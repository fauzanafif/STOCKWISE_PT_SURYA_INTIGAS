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50" tabRatio="656" activeTab="1"/>
  </bookViews>
  <sheets>
    <sheet name="STPP" sheetId="1" r:id="rId1"/>
    <sheet name="Maintenance" sheetId="3" r:id="rId2"/>
    <sheet name="Dropdown Lis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L4" authorId="0">
      <text>
        <r>
          <rPr>
            <b/>
            <sz val="9"/>
            <rFont val="Times New Roman"/>
            <charset val="0"/>
          </rPr>
          <t>user:</t>
        </r>
        <r>
          <rPr>
            <sz val="9"/>
            <rFont val="Times New Roman"/>
            <charset val="0"/>
          </rPr>
          <t xml:space="preserve">
Link folder bukti keluar</t>
        </r>
      </text>
    </comment>
    <comment ref="S4" authorId="0">
      <text>
        <r>
          <rPr>
            <b/>
            <sz val="9"/>
            <rFont val="Times New Roman"/>
            <charset val="0"/>
          </rPr>
          <t>user:</t>
        </r>
        <r>
          <rPr>
            <sz val="9"/>
            <rFont val="Times New Roman"/>
            <charset val="0"/>
          </rPr>
          <t xml:space="preserve">
Link folder bukti terima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<sst xmlns="http://schemas.openxmlformats.org/spreadsheetml/2006/main" count="6982" uniqueCount="2512">
  <si>
    <t>Tracking Serah Terima Pinjam Pakai (STPP)</t>
  </si>
  <si>
    <t>Cut-Off Tgl 15/08/2025</t>
  </si>
  <si>
    <t>DATA BUKTI/Foto - Tracking STPP/Pengeluaran/</t>
  </si>
  <si>
    <t>DATA BUKTI/Foto - Tracking STPP/Penerimaan/</t>
  </si>
  <si>
    <t>No</t>
  </si>
  <si>
    <t>No Seri</t>
  </si>
  <si>
    <t>Deskripsi Barang</t>
  </si>
  <si>
    <t>Kuantitas</t>
  </si>
  <si>
    <t>Satuan</t>
  </si>
  <si>
    <t>Peminta</t>
  </si>
  <si>
    <t>Penempatan</t>
  </si>
  <si>
    <t>Tgl NPBG</t>
  </si>
  <si>
    <t>No. NPBG</t>
  </si>
  <si>
    <t>Item No</t>
  </si>
  <si>
    <t>Nama File(.#ext)</t>
  </si>
  <si>
    <t>Bukti Keluar</t>
  </si>
  <si>
    <t>Keterangan Keluar</t>
  </si>
  <si>
    <t>Status</t>
  </si>
  <si>
    <t>Tgl RI</t>
  </si>
  <si>
    <t>Tanda Kembali</t>
  </si>
  <si>
    <t>Item No2</t>
  </si>
  <si>
    <t>Nama File(.#ext2)</t>
  </si>
  <si>
    <t>Bukti Terima</t>
  </si>
  <si>
    <t>Keterangan Kembali</t>
  </si>
  <si>
    <t>HC Tanda Kembali</t>
  </si>
  <si>
    <t>HC Nama File NPBG</t>
  </si>
  <si>
    <t>HC Nama File RI</t>
  </si>
  <si>
    <t>SN-0001</t>
  </si>
  <si>
    <t>BETEL BAJA - 1"</t>
  </si>
  <si>
    <t>PCS</t>
  </si>
  <si>
    <t>TOMY</t>
  </si>
  <si>
    <t>MAINTENANCE KENDARAAN</t>
  </si>
  <si>
    <t>NA/25/VIII/138</t>
  </si>
  <si>
    <t>NA.25.VIII.138-87</t>
  </si>
  <si>
    <t>UNTUK STPP AWAL MAINTENANCE</t>
  </si>
  <si>
    <t>SN-0002</t>
  </si>
  <si>
    <t>GERINDA POTONG DUDUK - MAKITA / 2414NB / 14"</t>
  </si>
  <si>
    <t>MAINTENANCE MA</t>
  </si>
  <si>
    <t>NA.25.VIII.138-85</t>
  </si>
  <si>
    <t>SN-0003</t>
  </si>
  <si>
    <t>GERINDA POTONG DUDUK - MAKITA / M2401B / 14"</t>
  </si>
  <si>
    <t>NA.25.VIII.138-84</t>
  </si>
  <si>
    <t>SN-0004</t>
  </si>
  <si>
    <t>BOR TANGAN - MAKITA / HP1630 / 5/8" (16mm)</t>
  </si>
  <si>
    <t>NA.25.VIII.138-83</t>
  </si>
  <si>
    <t>RI/NV/26/III/052</t>
  </si>
  <si>
    <t>KEMBALI DARI MAINTENANCE KARENA RUSAK DAN MINTA DIPERBAIKI</t>
  </si>
  <si>
    <t>SN-0005</t>
  </si>
  <si>
    <t>NA.25.VIII.138-82</t>
  </si>
  <si>
    <t>SN-0006</t>
  </si>
  <si>
    <t>HAND BOR - MODERN / M2150 / 13mm</t>
  </si>
  <si>
    <t>NA.25.VIII.138-81</t>
  </si>
  <si>
    <t>SN-0007</t>
  </si>
  <si>
    <t>HAND GERINDA - BOSCH / GWS 060 / 4"</t>
  </si>
  <si>
    <t>NA.25.VIII.138-80</t>
  </si>
  <si>
    <t>SN-0008</t>
  </si>
  <si>
    <t>HAND GERINDA - BOSCH / GWS 700 / 4"</t>
  </si>
  <si>
    <t>NA.25.VIII.138-79</t>
  </si>
  <si>
    <t>SN-0009</t>
  </si>
  <si>
    <t>HAND GERINDA - MAKITA (MAKTEC) / MT 90 / 4"</t>
  </si>
  <si>
    <t>NA.25.VIII.138-78</t>
  </si>
  <si>
    <t>RI/NV/25/XI/004</t>
  </si>
  <si>
    <t>RI.NV.25.XI.004-1</t>
  </si>
  <si>
    <t>PERMINTAAN UNTUK DIPERBAIKI</t>
  </si>
  <si>
    <t>SN-0010</t>
  </si>
  <si>
    <t>KABEL JUMPER AKI - P = 3m</t>
  </si>
  <si>
    <t>SET</t>
  </si>
  <si>
    <t>NA.25.VIII.138-77</t>
  </si>
  <si>
    <t>SN-0011</t>
  </si>
  <si>
    <t>KABEL MASSA LAS - P = 1m</t>
  </si>
  <si>
    <t>NA.25.VIII.138-76</t>
  </si>
  <si>
    <t>RI/NV/25/IX/069</t>
  </si>
  <si>
    <t>RI.NV.25.IX.069-5</t>
  </si>
  <si>
    <t>KEMBALI TUKAR DENGAN MESIN LAS CIGWELD</t>
  </si>
  <si>
    <t>SN-0012</t>
  </si>
  <si>
    <t>KABEL MASSA LAS - P = 2m</t>
  </si>
  <si>
    <t>NA.25.VIII.138-75</t>
  </si>
  <si>
    <t>RI/NV/25/XI/051</t>
  </si>
  <si>
    <t>RI.NV.25.XI.051-1</t>
  </si>
  <si>
    <t>KEMBALI KARENA KABEL SUDAH RUSAK DAN PUTUS</t>
  </si>
  <si>
    <t>SN-0013</t>
  </si>
  <si>
    <t>KABEL MASSA LAS - P = 4m</t>
  </si>
  <si>
    <t>NA.25.VIII.138-74</t>
  </si>
  <si>
    <t>SN-0014</t>
  </si>
  <si>
    <t>KABEL POWER F-to-F - @4slots / P = 10m</t>
  </si>
  <si>
    <t>NA.25.VIII.138-73</t>
  </si>
  <si>
    <t>SN-0015</t>
  </si>
  <si>
    <t>KABEL POWER F-to-F - @4slots / P = 18m</t>
  </si>
  <si>
    <t>NA.25.VIII.138-72</t>
  </si>
  <si>
    <t>SN-0016</t>
  </si>
  <si>
    <t>KABEL POWER F-to-F - @4slots / P = 26m</t>
  </si>
  <si>
    <t>NA.25.VIII.138-71</t>
  </si>
  <si>
    <t>SN-0017</t>
  </si>
  <si>
    <t>KABEL POWER F-to-F - @4slots / P = 29m</t>
  </si>
  <si>
    <t>NA.25.VIII.138-70</t>
  </si>
  <si>
    <t>SN-0018</t>
  </si>
  <si>
    <t>KABEL STANG LAS - P = 1.5m</t>
  </si>
  <si>
    <t>NA.25.VIII.138-69</t>
  </si>
  <si>
    <t>RI.NV.25.IX.069-4</t>
  </si>
  <si>
    <t>SN-0019</t>
  </si>
  <si>
    <t>KABEL STANG LAS - P = 2.5m</t>
  </si>
  <si>
    <t>NA.25.VIII.138-68</t>
  </si>
  <si>
    <t>SN-0020</t>
  </si>
  <si>
    <t>KABEL STANG LAS - P = 3m</t>
  </si>
  <si>
    <t>NA.25.VIII.138-67</t>
  </si>
  <si>
    <t>SN-0021</t>
  </si>
  <si>
    <t>KABEL STANG LAS - P = 4m</t>
  </si>
  <si>
    <t>NA.25.VIII.138-66</t>
  </si>
  <si>
    <t>RI/NV/25/XI/053</t>
  </si>
  <si>
    <t>RI.NV.25.XI.053-1</t>
  </si>
  <si>
    <t>ALIH FUNGSI JADI KABEL MASSA LAS</t>
  </si>
  <si>
    <t>SN-0022</t>
  </si>
  <si>
    <t>KABEL STANG LAS - P = 6m</t>
  </si>
  <si>
    <t>NA.25.VIII.138-65</t>
  </si>
  <si>
    <t>RI/NV/26/I/106</t>
  </si>
  <si>
    <t>RI.NV.26.I.106-1</t>
  </si>
  <si>
    <t>DITARIK SEMENTARA DARI MAINTENANCE UNTUK DILAKUKAN PENGGANTIAN kabel LAS YANG SUDAH RUSAK</t>
  </si>
  <si>
    <t>SN-0023</t>
  </si>
  <si>
    <t>KABEL STANG LAS - P = 7m</t>
  </si>
  <si>
    <t>NA.25.VIII.138-64</t>
  </si>
  <si>
    <t>RI/NV/26/II/009</t>
  </si>
  <si>
    <t>RI.NV.26.II.009-1</t>
  </si>
  <si>
    <t>DITARIK SEMENTARA DARI MAINTENANCE UNTUK DIGANTI STANG LAS NYA KARENA RUSAK</t>
  </si>
  <si>
    <t>SN-0024</t>
  </si>
  <si>
    <t>KACAMATA SAFETY - K55</t>
  </si>
  <si>
    <t>NA.25.VIII.138-63</t>
  </si>
  <si>
    <t>SN-0025</t>
  </si>
  <si>
    <t>NA.25.VIII.138-62</t>
  </si>
  <si>
    <t>SN-0026</t>
  </si>
  <si>
    <t>KIKIR BULAT BESI - LOKAL / 12"</t>
  </si>
  <si>
    <t>NA.25.VIII.138-61</t>
  </si>
  <si>
    <t>SN-0027</t>
  </si>
  <si>
    <t>KUNCI GERINDA TANGAN - LOKAL</t>
  </si>
  <si>
    <t>NA.25.VIII.138-60</t>
  </si>
  <si>
    <t>SN-0028</t>
  </si>
  <si>
    <t>KUNCI INGGRIS - CROSSMAN / 95-618 / 18"</t>
  </si>
  <si>
    <t>NA.25.VIII.138-59</t>
  </si>
  <si>
    <t>SN-0029</t>
  </si>
  <si>
    <t>KUNCI INGGRIS - TEKIRO / WR-AD1962 / 12"</t>
  </si>
  <si>
    <t>NA.25.VIII.138-58</t>
  </si>
  <si>
    <t>SN-0030</t>
  </si>
  <si>
    <t>NA.25.VIII.138-57</t>
  </si>
  <si>
    <t>SN-0031</t>
  </si>
  <si>
    <t>KUNCI INGGRIS CrV - TEKIRO / WR-AD1965 / 24"</t>
  </si>
  <si>
    <t>NA.25.VIII.138-56</t>
  </si>
  <si>
    <t>SN-0032</t>
  </si>
  <si>
    <t>KUNCI PAS - LOKAL / 10 x 12mm</t>
  </si>
  <si>
    <t>NA.25.VIII.138-55</t>
  </si>
  <si>
    <t>SN-0033</t>
  </si>
  <si>
    <t>KUNCI PIPA - INGCO / HPW18182 / 18"</t>
  </si>
  <si>
    <t>NA.25.VIII.138-54</t>
  </si>
  <si>
    <t>SN-0034</t>
  </si>
  <si>
    <t>KUNCI PIPA - TEKIRO / WR-PP0293 / 24"</t>
  </si>
  <si>
    <t>NA.25.VIII.138-53</t>
  </si>
  <si>
    <t>SN-0035</t>
  </si>
  <si>
    <t>KUNCI PIPA CrV - LOKAL / 14"</t>
  </si>
  <si>
    <t>NA.25.VIII.138-52</t>
  </si>
  <si>
    <t>SN-0036</t>
  </si>
  <si>
    <t>KUNCI PIPA CrV - TEKIRO / WR-PP0291 / 14"</t>
  </si>
  <si>
    <t>NA.25.VIII.138-51</t>
  </si>
  <si>
    <t>SN-0037</t>
  </si>
  <si>
    <t>KUNCI RING - LOKAL  / 17 x 18mm</t>
  </si>
  <si>
    <t>NA.25.VIII.138-50</t>
  </si>
  <si>
    <t>SN-0038</t>
  </si>
  <si>
    <t>KUNCI RING PAS - ATS / 14 x 14mm</t>
  </si>
  <si>
    <t>NA.25.VIII.138-49</t>
  </si>
  <si>
    <t>SN-0039</t>
  </si>
  <si>
    <t>KUNCI RING PAS - DIAMOND / 22 x 22mm</t>
  </si>
  <si>
    <t>NA.25.VIII.138-48</t>
  </si>
  <si>
    <t>SN-0040</t>
  </si>
  <si>
    <t>KUNCI RING PAS - HASSTON PROHEX / 15 x 15mm</t>
  </si>
  <si>
    <t>NA.25.VIII.138-47</t>
  </si>
  <si>
    <t>SN-0041</t>
  </si>
  <si>
    <t>KUNCI RING PAS - HASSTON PROHEX / 21 x 21mm</t>
  </si>
  <si>
    <t>NA.25.VIII.138-46</t>
  </si>
  <si>
    <t>SN-0042</t>
  </si>
  <si>
    <t>KUNCI RING PAS - MAC USA / 12 x 12mm</t>
  </si>
  <si>
    <t>NA.25.VIII.138-45</t>
  </si>
  <si>
    <t>SN-0043</t>
  </si>
  <si>
    <t>KUNCI RING PAS - WIPRO / 11 x 11mm</t>
  </si>
  <si>
    <t>NA.25.VIII.138-44</t>
  </si>
  <si>
    <t>SN-0044</t>
  </si>
  <si>
    <t>KUNCI RING PAS - WIPRO / 14 x 14mm</t>
  </si>
  <si>
    <t>NA.25.VIII.138-43</t>
  </si>
  <si>
    <t>SN-0045</t>
  </si>
  <si>
    <t>KUNCI RING PAS - WIPRO / 17 x 17mm</t>
  </si>
  <si>
    <t>NA.25.VIII.138-42</t>
  </si>
  <si>
    <t>SN-0046</t>
  </si>
  <si>
    <t>KUNCI RING PAS - WIPRO / 24 x 24mm</t>
  </si>
  <si>
    <t>NA.25.VIII.138-41</t>
  </si>
  <si>
    <t>SN-0047</t>
  </si>
  <si>
    <t>KUNCI RING PAS - WIPRO / 8 x 8mm</t>
  </si>
  <si>
    <t>NA.25.VIII.138-40</t>
  </si>
  <si>
    <t>SN-0048</t>
  </si>
  <si>
    <t>KUNCI RING PAS CrV - WIPRO / 8-32mm / @14pcs</t>
  </si>
  <si>
    <t>NA.25.VIII.138-39</t>
  </si>
  <si>
    <t>SN-0049</t>
  </si>
  <si>
    <t>KUNCI SOCK L CrV - WIPRO / RS-16815 / 1/2" (8-32mm) / @15pcs</t>
  </si>
  <si>
    <t>NA.25.VIII.138-38</t>
  </si>
  <si>
    <t>SN-0050</t>
  </si>
  <si>
    <t>LAMPU SOROT LED - 220-240V 50W / P = 15m</t>
  </si>
  <si>
    <t>NA.25.VIII.138-37</t>
  </si>
  <si>
    <t>SN-0051</t>
  </si>
  <si>
    <t>LASHING RATCHET - SPANSET / 20020/2-B-5M-07 / LC 2500kg STF 450kg</t>
  </si>
  <si>
    <t>NA.25.VIII.138-36</t>
  </si>
  <si>
    <t>SN-0052</t>
  </si>
  <si>
    <t>MATA BOR BETON - LOKAL / 10mm</t>
  </si>
  <si>
    <t>NA.25.VIII.138-35</t>
  </si>
  <si>
    <t>SN-0053</t>
  </si>
  <si>
    <t>MATA BOR HSS BAJA -  LOKAL / D = 15mm</t>
  </si>
  <si>
    <t>NA.25.VIII.138-34</t>
  </si>
  <si>
    <t>SN-0054</t>
  </si>
  <si>
    <t>MATA BOR HSS BAJA - LOKAL / D = 6mm</t>
  </si>
  <si>
    <t>NA.25.VIII.138-33</t>
  </si>
  <si>
    <t>SN-0055</t>
  </si>
  <si>
    <t>MATA BOR HSS BAJA - NACHI / 10mm</t>
  </si>
  <si>
    <t>NA.25.VIII.138-32</t>
  </si>
  <si>
    <t>SN-0056</t>
  </si>
  <si>
    <t>MATA KUNCI ROOFING BAJA - LOKAL / 6mm</t>
  </si>
  <si>
    <t>NA.25.VIII.138-31</t>
  </si>
  <si>
    <t>SN-0057</t>
  </si>
  <si>
    <t>MATA KUNCI SOCK BINTANG CrV - WIPRO / E10</t>
  </si>
  <si>
    <t>NA.25.VIII.138-30</t>
  </si>
  <si>
    <t>SN-0058</t>
  </si>
  <si>
    <t>MESIN LAS INVERTER MMA - REDBO / PRO ARC-160S</t>
  </si>
  <si>
    <t>NA.25.VIII.138-29</t>
  </si>
  <si>
    <t>1</t>
  </si>
  <si>
    <t>SN-0059</t>
  </si>
  <si>
    <t>MESIN LAS INVERTER MMA - REDBO / PRO ARC-200S</t>
  </si>
  <si>
    <t>NA.25.VIII.138-28</t>
  </si>
  <si>
    <t>SN-0060</t>
  </si>
  <si>
    <t>MESIN LAS INVERTER MMA - RHINO / MMA-300A</t>
  </si>
  <si>
    <t>NA.25.VIII.138-27</t>
  </si>
  <si>
    <t>SN-0061</t>
  </si>
  <si>
    <t>MESIN LAS INVERTER TIG - CALDWELL / TIG 200 GE</t>
  </si>
  <si>
    <t>NA.25.VIII.138-26</t>
  </si>
  <si>
    <t>RI.NV.25.IX.069-3</t>
  </si>
  <si>
    <t>SN-0062</t>
  </si>
  <si>
    <t>METERAN SAKU - LOKAL / P = 5m</t>
  </si>
  <si>
    <t>NA.25.VIII.138-25</t>
  </si>
  <si>
    <t>SN-0063</t>
  </si>
  <si>
    <t>METERAN SAKU - SOLIGEN / P = 10m</t>
  </si>
  <si>
    <t>NA.25.VIII.138-24</t>
  </si>
  <si>
    <t>RI/NV/26/I/075</t>
  </si>
  <si>
    <t>RI.NV.26.I.075-1</t>
  </si>
  <si>
    <t>METERAN SUDAH RUSAK DAN PATAH</t>
  </si>
  <si>
    <t>SN-0064</t>
  </si>
  <si>
    <t>NA.25.VIII.138-23</t>
  </si>
  <si>
    <t>RI/NV/26/VI/008</t>
  </si>
  <si>
    <t>23</t>
  </si>
  <si>
    <t>RI.NV.26.VI.008-23</t>
  </si>
  <si>
    <t>PENGEMBALIAN BARANG RUSAK DARI STPP MAINTENANCE MA DAN UNTUK PENGAJUAN PENGGANTIAN BARU
NO SERI BARANG: SN-0294, SN-0352 &amp; SN-0064</t>
  </si>
  <si>
    <t>SN-0065</t>
  </si>
  <si>
    <t>OBENG HANDLE MINUS (-) - WIPRO / 4" x 6mm / WPS 171</t>
  </si>
  <si>
    <t>NA.25.VIII.138-22</t>
  </si>
  <si>
    <t>SN-0066</t>
  </si>
  <si>
    <t>OBENG HANDLE PLUS (+) - WIPRO / 4" x 6mm / WPS 171</t>
  </si>
  <si>
    <t>NA.25.VIII.138-21</t>
  </si>
  <si>
    <t>SN-0067</t>
  </si>
  <si>
    <t>PALU BAJA - 1.5kg</t>
  </si>
  <si>
    <t>NA.25.VIII.138-20</t>
  </si>
  <si>
    <t>SN-0068</t>
  </si>
  <si>
    <t>PALU BAJA - 1kg</t>
  </si>
  <si>
    <t>NA.25.VIII.138-19</t>
  </si>
  <si>
    <t>SN-0069</t>
  </si>
  <si>
    <t>SN-0070</t>
  </si>
  <si>
    <t>PALU BAJA - 2kg</t>
  </si>
  <si>
    <t>NA.25.VIII.138-18</t>
  </si>
  <si>
    <t>SN-0071</t>
  </si>
  <si>
    <t>PALU BAJA - 500g</t>
  </si>
  <si>
    <t>NA.25.VIII.138-17</t>
  </si>
  <si>
    <t>SN-0072</t>
  </si>
  <si>
    <t>NA.25.VIII.138-16</t>
  </si>
  <si>
    <t>SN-0073</t>
  </si>
  <si>
    <t>NA.25.VIII.138-15</t>
  </si>
  <si>
    <t>SN-0074</t>
  </si>
  <si>
    <t>NA.25.VIII.138-14</t>
  </si>
  <si>
    <t>SN-0075</t>
  </si>
  <si>
    <t>NA.25.VIII.138-13</t>
  </si>
  <si>
    <t>SN-0076</t>
  </si>
  <si>
    <t>PALU KARET - 500g</t>
  </si>
  <si>
    <t>NA.25.VIII.138-12</t>
  </si>
  <si>
    <t>SN-0077</t>
  </si>
  <si>
    <t>PALU KETOK LAS BAJA - 25mm</t>
  </si>
  <si>
    <t>NA.25.VIII.138-11</t>
  </si>
  <si>
    <t>SN-0078</t>
  </si>
  <si>
    <t>PENGGARIS SIKU - BLITZ / 12"</t>
  </si>
  <si>
    <t>NA.25.VIII.138-10</t>
  </si>
  <si>
    <t>SN-0079</t>
  </si>
  <si>
    <t>NA.25.VIII.138-9</t>
  </si>
  <si>
    <t>SN-0080</t>
  </si>
  <si>
    <t>REGULATOR ARGON (ISO 9001) - STAHLWERK / 0-3500(psi) 0-250(bar)</t>
  </si>
  <si>
    <t>NA.25.VIII.138-8</t>
  </si>
  <si>
    <t>RI.NV.25.IX.069-2</t>
  </si>
  <si>
    <t>SN-0081</t>
  </si>
  <si>
    <t>SARUNG TANGAN KULIT - LOKAL</t>
  </si>
  <si>
    <t>NA.25.VIII.138-7</t>
  </si>
  <si>
    <t>SN-0082</t>
  </si>
  <si>
    <t>STANG LAS ARGON - WP 26 / P = 3m</t>
  </si>
  <si>
    <t>NA.25.VIII.138-6</t>
  </si>
  <si>
    <t>RI.NV.25.IX.069-1</t>
  </si>
  <si>
    <t>SN-0083</t>
  </si>
  <si>
    <t>TANG KOMBINASI - SOLIGEN / 6"</t>
  </si>
  <si>
    <t>NA.25.VIII.138-5</t>
  </si>
  <si>
    <t>SN-0084</t>
  </si>
  <si>
    <t>TOPENG LAS - LOKAL</t>
  </si>
  <si>
    <t>NA.25.VIII.138-4</t>
  </si>
  <si>
    <t>RI/NV/25/XI/061</t>
  </si>
  <si>
    <t>RI.NV.25.XI.061-2</t>
  </si>
  <si>
    <t>DITARIK SEMENTARA DARI STPP MAINTENANCE UNTUK DILAKUKAN PENGGANTIAN KACA LAS YANG BARU</t>
  </si>
  <si>
    <t>SN-0085</t>
  </si>
  <si>
    <t>TOPENG LAS - ROHA</t>
  </si>
  <si>
    <t>NA.25.VIII.138-3</t>
  </si>
  <si>
    <t>RI.NV.25.XI.061-1</t>
  </si>
  <si>
    <t>SN-0086</t>
  </si>
  <si>
    <t>NA.25.VIII.138-2</t>
  </si>
  <si>
    <t>SN-0087</t>
  </si>
  <si>
    <t>TOPENG LAS - WIPRO</t>
  </si>
  <si>
    <t>NA.25.VIII.138-1</t>
  </si>
  <si>
    <t>SN-0088</t>
  </si>
  <si>
    <t>PENGUKUR TEKANAN TABUNG C2H2</t>
  </si>
  <si>
    <t>SONY</t>
  </si>
  <si>
    <t>DISTRIBUSI</t>
  </si>
  <si>
    <t>NA/25/VIII/175</t>
  </si>
  <si>
    <t>NA.25.VIII.175-15</t>
  </si>
  <si>
    <t>UNTUK STPP AWAL DISTRIBUSI</t>
  </si>
  <si>
    <t>SN-0089</t>
  </si>
  <si>
    <t>PENGUKUR TEKANAN TABUNG O2/N2/AR</t>
  </si>
  <si>
    <t>NA.25.VIII.175-14</t>
  </si>
  <si>
    <t>RI/NV/26/IV/002</t>
  </si>
  <si>
    <t>DITARIK SEMENTARA DARI STPP DISTRIBUSI UNTUK DIGANTI MANOMETER/PRESSURE GAUGE NYA KARENA RUSAK</t>
  </si>
  <si>
    <t>SN-0090</t>
  </si>
  <si>
    <t>NA.25.VIII.175-13</t>
  </si>
  <si>
    <t>RI/NV/25/X/048</t>
  </si>
  <si>
    <t>RI.NV.25.X.048-1</t>
  </si>
  <si>
    <t>DIKEMBALIKAN HANYA UNTUK DIGANTI PRESSURE GAUGE NYA KARENA SUDAH RUSAK</t>
  </si>
  <si>
    <t>SN-0091</t>
  </si>
  <si>
    <t>CONNECTOR CURAH STAINLESS 1" - MALE 1 1/2" BSP</t>
  </si>
  <si>
    <t>NA.25.VIII.175-12</t>
  </si>
  <si>
    <t>SN-0092</t>
  </si>
  <si>
    <t>NA.25.VIII.175-11</t>
  </si>
  <si>
    <t>SN-0093</t>
  </si>
  <si>
    <t>CONNECTOR CURAH STAINLESS 1 1/2" - MALE 1 1/2" BSP</t>
  </si>
  <si>
    <t>NA.25.VIII.175-10</t>
  </si>
  <si>
    <t>RI/NV/25/XII/074</t>
  </si>
  <si>
    <t>RI.NV.25.XII.074-1</t>
  </si>
  <si>
    <t>DIAMBIL DARI DISTRIBUSI UNTUK DIPASANG PADA MB TANK 5000 KEPERLUAN PROJECT PT. DJARUM KUDUS</t>
  </si>
  <si>
    <t>SN-0094</t>
  </si>
  <si>
    <t>NA.25.VIII.175-9</t>
  </si>
  <si>
    <t>RI/NV/26/I/016</t>
  </si>
  <si>
    <t>RI.NV.26.I.016-1</t>
  </si>
  <si>
    <t>PENGGANTIAN KUNCI INGGRIS YANG HILANG OLEH DRIVER, HELPER JAJANG &amp; AAN</t>
  </si>
  <si>
    <t>SN-0095</t>
  </si>
  <si>
    <t>KUNCI PEN ACETYLENE BAJA</t>
  </si>
  <si>
    <t>NA.25.VIII.175-8</t>
  </si>
  <si>
    <t>SN-0096</t>
  </si>
  <si>
    <t>KUNCI RODA STANG - LOKAL / 21 x 41mm</t>
  </si>
  <si>
    <t>NA.25.VIII.175-7</t>
  </si>
  <si>
    <t>SN-0097</t>
  </si>
  <si>
    <t>P3K</t>
  </si>
  <si>
    <t>NA.25.VIII.175-6</t>
  </si>
  <si>
    <t>SN-0098</t>
  </si>
  <si>
    <t>NA.25.VIII.175-5</t>
  </si>
  <si>
    <t>SN-0099</t>
  </si>
  <si>
    <t>SEGITIGA PENGAMAN - HINO / @2pcs</t>
  </si>
  <si>
    <t>NA.25.VIII.175-4</t>
  </si>
  <si>
    <t>SN-0100</t>
  </si>
  <si>
    <t>PENGGANJAL RODA KARET</t>
  </si>
  <si>
    <t>NA.25.VIII.175-3</t>
  </si>
  <si>
    <t>SN-0101</t>
  </si>
  <si>
    <t>NA.25.VIII.175-2</t>
  </si>
  <si>
    <t>SN-0102</t>
  </si>
  <si>
    <t>NA.25.VIII.175-1</t>
  </si>
  <si>
    <t>SN-0103</t>
  </si>
  <si>
    <t>TROLI TABUNG 6m3 - @2slots</t>
  </si>
  <si>
    <t>MAINTENANCE TABUNG</t>
  </si>
  <si>
    <t>NA/25/VIII/178</t>
  </si>
  <si>
    <t>NA.25.VIII.178-35</t>
  </si>
  <si>
    <t>SN-0104</t>
  </si>
  <si>
    <t>NA.25.VIII.178-34</t>
  </si>
  <si>
    <t>SN-0105</t>
  </si>
  <si>
    <t>NA.25.VIII.178-33</t>
  </si>
  <si>
    <t>SN-0106</t>
  </si>
  <si>
    <t>NA.25.VIII.178-32</t>
  </si>
  <si>
    <t>SN-0107</t>
  </si>
  <si>
    <t>NA.25.VIII.178-31</t>
  </si>
  <si>
    <t>SN-0108</t>
  </si>
  <si>
    <t>TROLI TABUNG 6m3 - @1slot</t>
  </si>
  <si>
    <t>NA.25.VIII.178-30</t>
  </si>
  <si>
    <t>SN-0109</t>
  </si>
  <si>
    <t>NA.25.VIII.178-29</t>
  </si>
  <si>
    <t>SN-0110</t>
  </si>
  <si>
    <t>NA.25.VIII.178-28</t>
  </si>
  <si>
    <t>SN-0111</t>
  </si>
  <si>
    <t>TANGGA SLIDING FIBERGLASS - ZEHN / Q0241/20A / Ti = 6m / @20steps</t>
  </si>
  <si>
    <t>NA.25.VIII.178-27</t>
  </si>
  <si>
    <t>SN-0112</t>
  </si>
  <si>
    <t>GEROBAK DORONG - P.L = 85 x 50cm</t>
  </si>
  <si>
    <t>NA.25.VIII.178-26</t>
  </si>
  <si>
    <t>SN-0113</t>
  </si>
  <si>
    <t>TIMBANGAN DIGITAL - AVERY WEIGH-TRONIX / AWB 120 / MW 300kg</t>
  </si>
  <si>
    <t>NA.25.VIII.178-25</t>
  </si>
  <si>
    <t>SN-0114</t>
  </si>
  <si>
    <t>SELANG POMPA ANGIN - P = 8m</t>
  </si>
  <si>
    <t>NA.25.VIII.178-24</t>
  </si>
  <si>
    <t>SN-0115</t>
  </si>
  <si>
    <t>RAGUM - KENTARO / 4"</t>
  </si>
  <si>
    <t>NA.25.VIII.178-23</t>
  </si>
  <si>
    <t>SN-0116</t>
  </si>
  <si>
    <t>GEROBAK TARIK - P.L = 65 x 50cm</t>
  </si>
  <si>
    <t>NA.25.VIII.178-22</t>
  </si>
  <si>
    <t>SN-0117</t>
  </si>
  <si>
    <t>TANGGA SLIDING - LOKAL / Ti = 6m</t>
  </si>
  <si>
    <t>NA.25.VIII.178-21</t>
  </si>
  <si>
    <t>SN-0118</t>
  </si>
  <si>
    <t>TANGGA LIPAT - LOKAL / Ti = 2m</t>
  </si>
  <si>
    <t>NA.25.VIII.178-20</t>
  </si>
  <si>
    <t>SN-0119</t>
  </si>
  <si>
    <t>HIGH PRESSURE WASHER - NILFISK / C110.7 X-TRA 128470921</t>
  </si>
  <si>
    <t>NA.25.VIII.178-19</t>
  </si>
  <si>
    <t>SN-0120</t>
  </si>
  <si>
    <t>SELANG AIR PVC BENANG - TRILIUN (HIPREX) / 5/8"</t>
  </si>
  <si>
    <t>MTR</t>
  </si>
  <si>
    <t>NA.25.VIII.178-18</t>
  </si>
  <si>
    <t>SN-0121</t>
  </si>
  <si>
    <t>SELANG AIR PVC - TRILIUN (SUPERFLEX) / 5/8"</t>
  </si>
  <si>
    <t>NA.25.VIII.178-17</t>
  </si>
  <si>
    <t>SN-0122</t>
  </si>
  <si>
    <t>SELANG AIR PVC BENANG - KRISBOW / 3/4"</t>
  </si>
  <si>
    <t>NA.25.VIII.178-16</t>
  </si>
  <si>
    <t>SN-0123</t>
  </si>
  <si>
    <t>MATA CANGKUL BAJA - P.L = 26 x 18cm</t>
  </si>
  <si>
    <t>NA.25.VIII.178-15</t>
  </si>
  <si>
    <t>SN-0124</t>
  </si>
  <si>
    <t>MATA CANGKUL GARPU BAJA - P.L = 21 x 18cm</t>
  </si>
  <si>
    <t>NA.25.VIII.178-14</t>
  </si>
  <si>
    <t>SN-0125</t>
  </si>
  <si>
    <t>GERGAJI KAYU - LOKAL / 20"</t>
  </si>
  <si>
    <t>NA.25.VIII.178-13</t>
  </si>
  <si>
    <t>SN-0126</t>
  </si>
  <si>
    <t>GUNTING RUMPUT - LOKAL / 20"</t>
  </si>
  <si>
    <t>NA.25.VIII.178-12</t>
  </si>
  <si>
    <t>SN-0127</t>
  </si>
  <si>
    <t>REGULATOR PROPANE - MURAKU / 0-40(psi) 0-3(bar) x 0-400(psi) 0-30(bar)</t>
  </si>
  <si>
    <t>NA.25.VIII.178-11</t>
  </si>
  <si>
    <t>RI/NV/26/II/049</t>
  </si>
  <si>
    <t>RI.NV.26.II.049-1</t>
  </si>
  <si>
    <t>REGULATOR RUSAK KEMBALI DARI MAINTENANCE</t>
  </si>
  <si>
    <t>SN-0128</t>
  </si>
  <si>
    <t>REGULATOR OXYGEN - MURAKU / 0-350(psi) 0-25(bar) x 0-3500(psi) 0-250(bar)</t>
  </si>
  <si>
    <t>NA.25.VIII.178-10</t>
  </si>
  <si>
    <t>SN-0129</t>
  </si>
  <si>
    <t>NA.25.VIII.178-9</t>
  </si>
  <si>
    <t>RI/NV/26/V/021</t>
  </si>
  <si>
    <t>RI.NV.26.V.021-1</t>
  </si>
  <si>
    <t>SN-0130</t>
  </si>
  <si>
    <r>
      <rPr>
        <sz val="12"/>
        <rFont val="Calibri"/>
        <charset val="134"/>
        <scheme val="minor"/>
      </rPr>
      <t>REGULATOR LPG - YAMATO SANGYO / YR-76 / 0-30(lbs/in</t>
    </r>
    <r>
      <rPr>
        <vertAlign val="superscript"/>
        <sz val="12"/>
        <rFont val="Calibri"/>
        <charset val="134"/>
        <scheme val="minor"/>
      </rPr>
      <t>2</t>
    </r>
    <r>
      <rPr>
        <sz val="12"/>
        <rFont val="Calibri"/>
        <charset val="134"/>
        <scheme val="minor"/>
      </rPr>
      <t>) 0-2(kg/cm</t>
    </r>
    <r>
      <rPr>
        <vertAlign val="superscript"/>
        <sz val="12"/>
        <rFont val="Calibri"/>
        <charset val="134"/>
        <scheme val="minor"/>
      </rPr>
      <t>2</t>
    </r>
    <r>
      <rPr>
        <sz val="12"/>
        <rFont val="Calibri"/>
        <charset val="134"/>
        <scheme val="minor"/>
      </rPr>
      <t>) x 0-350(lbs/in</t>
    </r>
    <r>
      <rPr>
        <vertAlign val="superscript"/>
        <sz val="12"/>
        <rFont val="Calibri"/>
        <charset val="134"/>
        <scheme val="minor"/>
      </rPr>
      <t>2</t>
    </r>
    <r>
      <rPr>
        <sz val="12"/>
        <rFont val="Calibri"/>
        <charset val="134"/>
        <scheme val="minor"/>
      </rPr>
      <t>) 0-25(kg/cm</t>
    </r>
    <r>
      <rPr>
        <vertAlign val="superscript"/>
        <sz val="12"/>
        <rFont val="Calibri"/>
        <charset val="134"/>
        <scheme val="minor"/>
      </rPr>
      <t>2</t>
    </r>
    <r>
      <rPr>
        <sz val="12"/>
        <rFont val="Calibri"/>
        <charset val="134"/>
        <scheme val="minor"/>
      </rPr>
      <t>)</t>
    </r>
  </si>
  <si>
    <t>NA.25.VIII.178-8</t>
  </si>
  <si>
    <t>SN-0131</t>
  </si>
  <si>
    <t>GEROBAK DORONG - ARTCO</t>
  </si>
  <si>
    <t>NA.25.VIII.178-7</t>
  </si>
  <si>
    <t>SN-0132</t>
  </si>
  <si>
    <t>CANGKUL BAJA - LOKAL / 19cm</t>
  </si>
  <si>
    <t>MAINTENANCE</t>
  </si>
  <si>
    <t>NA.25.VIII.178-6</t>
  </si>
  <si>
    <t>SN-0133</t>
  </si>
  <si>
    <t>SEKOP BAJA - LOKAL / 24cm</t>
  </si>
  <si>
    <t>NA.25.VIII.178-5</t>
  </si>
  <si>
    <t>SN-0134</t>
  </si>
  <si>
    <t>STANG BLANDER LAS POTONG - LOKAL</t>
  </si>
  <si>
    <t>NA.25.VIII.178-4</t>
  </si>
  <si>
    <t>SN-0135</t>
  </si>
  <si>
    <t>NA.25.VIII.178-3</t>
  </si>
  <si>
    <t>SN-0136</t>
  </si>
  <si>
    <t>SELANG BLANDER - UNO-FLEX / D = (8.5/14.5)mm / MWP 50-160bar</t>
  </si>
  <si>
    <t>NA.25.VIII.178-2</t>
  </si>
  <si>
    <t>SN-0137</t>
  </si>
  <si>
    <t>SELANG BLANDER - HERRISH TWIN LINE / D = (1/4"/3/8")mm</t>
  </si>
  <si>
    <t>NA.25.VIII.178-1</t>
  </si>
  <si>
    <t>SN-0138</t>
  </si>
  <si>
    <t>KUNCI PIPA - LOKAL / 12"</t>
  </si>
  <si>
    <t>SAFARI</t>
  </si>
  <si>
    <t>NA/25/VIII/176</t>
  </si>
  <si>
    <t>NA.25.VIII.176-13</t>
  </si>
  <si>
    <t>SN-0139</t>
  </si>
  <si>
    <t>TIMBANGAN MEKANIK - CK BIMA / MW 300kg</t>
  </si>
  <si>
    <t>NA.25.VIII.176-12</t>
  </si>
  <si>
    <t>SN-0140</t>
  </si>
  <si>
    <t>NA.25.VIII.176-11</t>
  </si>
  <si>
    <t>SN-0141</t>
  </si>
  <si>
    <t>NA.25.VIII.176-10</t>
  </si>
  <si>
    <t>SN-0142</t>
  </si>
  <si>
    <t>NA.25.VIII.176-9</t>
  </si>
  <si>
    <t>SN-0143</t>
  </si>
  <si>
    <t>ANAK TIMBANGAN BRASS - LOKAL / 50-1000g</t>
  </si>
  <si>
    <t>NA.25.VIII.176-8</t>
  </si>
  <si>
    <t>SN-0144</t>
  </si>
  <si>
    <t>KUNCI INGGRIS CrV - TEKIRO / WR-AD1962 / 12"</t>
  </si>
  <si>
    <t>NA.25.VIII.176-7</t>
  </si>
  <si>
    <t>SN-0145</t>
  </si>
  <si>
    <t>NA.25.VIII.176-6</t>
  </si>
  <si>
    <t>SN-0146</t>
  </si>
  <si>
    <t>PEMBUKA DRUM ACETON BAJA</t>
  </si>
  <si>
    <t>NA.25.VIII.176-5</t>
  </si>
  <si>
    <t>SN-0147</t>
  </si>
  <si>
    <t>SEMPROTAN AIR - ASENA / 800ml</t>
  </si>
  <si>
    <t>NA.25.VIII.176-4</t>
  </si>
  <si>
    <t>SN-0148</t>
  </si>
  <si>
    <t>NA.25.VIII.176-3</t>
  </si>
  <si>
    <t>SN-0149</t>
  </si>
  <si>
    <t>SEMPROTAN AIR - ASENA / 500ml</t>
  </si>
  <si>
    <t>NA.25.VIII.176-2</t>
  </si>
  <si>
    <t>SN-0150</t>
  </si>
  <si>
    <t>NA.25.VIII.176-1</t>
  </si>
  <si>
    <t>SN-0151</t>
  </si>
  <si>
    <t>KEVIN</t>
  </si>
  <si>
    <t>NA/25/VIII/202</t>
  </si>
  <si>
    <t>NA.25.VIII.202-2</t>
  </si>
  <si>
    <t>UNTUK PENGETESAN TABUNG C2H2</t>
  </si>
  <si>
    <t>SN-0152</t>
  </si>
  <si>
    <t>NA.25.VIII.202-1</t>
  </si>
  <si>
    <t>SN-0153</t>
  </si>
  <si>
    <t>KUNCI L CARBON STEEL - 4mm</t>
  </si>
  <si>
    <t>AGUS</t>
  </si>
  <si>
    <t>GUDANG</t>
  </si>
  <si>
    <t>NA/25/VIII/219</t>
  </si>
  <si>
    <t>NA.25.VIII.219-115</t>
  </si>
  <si>
    <t>UNTUK STPP AWAL INVENTORY</t>
  </si>
  <si>
    <t>SN-0154</t>
  </si>
  <si>
    <t>KUNCI L GALVANIS - 4mm</t>
  </si>
  <si>
    <t>NA.25.VIII.219-114</t>
  </si>
  <si>
    <t>SN-0155</t>
  </si>
  <si>
    <t>NA.25.VIII.219-113</t>
  </si>
  <si>
    <t>SN-0156</t>
  </si>
  <si>
    <t>KUNCI L GALVANIS - 2.5mm</t>
  </si>
  <si>
    <t>NA.25.VIII.219-112</t>
  </si>
  <si>
    <t>SN-0157</t>
  </si>
  <si>
    <t>NA.25.VIII.219-111</t>
  </si>
  <si>
    <t>SN-0158</t>
  </si>
  <si>
    <t>MATA BOR BETON - LOKAL / D = 8mm</t>
  </si>
  <si>
    <t>NA.25.VIII.219-110</t>
  </si>
  <si>
    <t>SN-0159</t>
  </si>
  <si>
    <t>MATA BOR BETON - NICHOLSON / D = 5mm</t>
  </si>
  <si>
    <t>NA.25.VIII.219-109</t>
  </si>
  <si>
    <t>SN-0160</t>
  </si>
  <si>
    <t>MATA BOR BETON - LOKAL / D = 10mm</t>
  </si>
  <si>
    <t>NA.25.VIII.219-108</t>
  </si>
  <si>
    <t>SN-0161</t>
  </si>
  <si>
    <t>MATA BOR HSS BAJA - NACHI / D = 4.5mm</t>
  </si>
  <si>
    <t>NA.25.VIII.219-107</t>
  </si>
  <si>
    <t>SN-0162</t>
  </si>
  <si>
    <t>MATA BOR HSS BAJA - NACHI / D = 6mm</t>
  </si>
  <si>
    <t>NA.25.VIII.219-106</t>
  </si>
  <si>
    <t>SN-0163</t>
  </si>
  <si>
    <t>MATA BOR BAJA - NICHOLSON / D = 6mm</t>
  </si>
  <si>
    <t>NA.25.VIII.219-105</t>
  </si>
  <si>
    <t>SN-0164</t>
  </si>
  <si>
    <t>MATA BOR BAJA - NACHI / D = 6mm</t>
  </si>
  <si>
    <t>NA.25.VIII.219-104</t>
  </si>
  <si>
    <t>SN-0165</t>
  </si>
  <si>
    <t>KUNCI KEPALA BOR BAJA - 13mm</t>
  </si>
  <si>
    <t>NA.25.VIII.219-103</t>
  </si>
  <si>
    <t>SN-0166</t>
  </si>
  <si>
    <t>NA.25.VIII.219-102</t>
  </si>
  <si>
    <t>SN-0167</t>
  </si>
  <si>
    <t>MUR PENGUNCI GERINDA TANGAN - 4"</t>
  </si>
  <si>
    <t>NA.25.VIII.219-101</t>
  </si>
  <si>
    <t>SN-0168</t>
  </si>
  <si>
    <t>NA.25.VIII.219-100</t>
  </si>
  <si>
    <t>SN-0169</t>
  </si>
  <si>
    <t>NA.25.VIII.219-99</t>
  </si>
  <si>
    <t>SN-0170</t>
  </si>
  <si>
    <t>COLLET LAS TIG - D = 2.4mm</t>
  </si>
  <si>
    <t>NA.25.VIII.219-98</t>
  </si>
  <si>
    <t>SN-0171</t>
  </si>
  <si>
    <t>NA.25.VIII.219-97</t>
  </si>
  <si>
    <t>SN-0172</t>
  </si>
  <si>
    <t>TANG RIVET - SELERRY / 88-866 / 10"</t>
  </si>
  <si>
    <t>NA.25.VIII.219-96</t>
  </si>
  <si>
    <t>SN-0173</t>
  </si>
  <si>
    <t>TANG SNAP RING INTERNAL BENGKOK - TEKIRO / 7"</t>
  </si>
  <si>
    <t>NA.25.VIII.219-95</t>
  </si>
  <si>
    <t>SN-0174</t>
  </si>
  <si>
    <t>TANG CRIMPING - LOKAL / 8"</t>
  </si>
  <si>
    <t>NA.25.VIII.219-94</t>
  </si>
  <si>
    <t>SN-0175</t>
  </si>
  <si>
    <t>KUNCI RING PAS CrV - WIPRO / 19 x 19mm</t>
  </si>
  <si>
    <t>NA.25.VIII.219-93</t>
  </si>
  <si>
    <t>SN-0176</t>
  </si>
  <si>
    <t>KUNCI RING CrV - TEKIRO / 25 x 28mm</t>
  </si>
  <si>
    <t>NA.25.VIII.219-92</t>
  </si>
  <si>
    <t>SN-0177</t>
  </si>
  <si>
    <t>NA.25.VIII.219-91</t>
  </si>
  <si>
    <t>SN-0178</t>
  </si>
  <si>
    <t>KUNCI PAS - LOKAL / 14 x 17mm</t>
  </si>
  <si>
    <t>NA.25.VIII.219-90</t>
  </si>
  <si>
    <t>SN-0179</t>
  </si>
  <si>
    <t>NA.25.VIII.219-89</t>
  </si>
  <si>
    <t>SN-0180</t>
  </si>
  <si>
    <t>SOLDER - LOKAL / 220V-240V 30W</t>
  </si>
  <si>
    <t>NA.25.VIII.219-88</t>
  </si>
  <si>
    <t>SN-0181</t>
  </si>
  <si>
    <t>MULTI POCKET TOOL 3-in-1 - LOKAL</t>
  </si>
  <si>
    <t>NA.25.VIII.219-87</t>
  </si>
  <si>
    <t>SN-0182</t>
  </si>
  <si>
    <t>GAS TORCH - BLACKFOOT / GT.2.1.01</t>
  </si>
  <si>
    <t>NA.25.VIII.219-86</t>
  </si>
  <si>
    <t>SN-0183</t>
  </si>
  <si>
    <t>PRESSURE GAUGE BAN - DOZIRO / PGG-60</t>
  </si>
  <si>
    <t>NA.25.VIII.219-85</t>
  </si>
  <si>
    <t>SN-0184</t>
  </si>
  <si>
    <t>LEM GASKET SUPER SEALER - THREEBOND / No.1 / @75gr / ABU-ABU (GREY)</t>
  </si>
  <si>
    <t>NA.25.VIII.219-84</t>
  </si>
  <si>
    <t>SN-0185</t>
  </si>
  <si>
    <t>TUBING CUTTER - LOKAL / 5-50mm</t>
  </si>
  <si>
    <t>NA.25.VIII.219-83</t>
  </si>
  <si>
    <t>SN-0186</t>
  </si>
  <si>
    <t>KUNCI BUSI T - LOKAL / 17mm &amp; 19mm</t>
  </si>
  <si>
    <t>NA.25.VIII.219-82</t>
  </si>
  <si>
    <t>SN-0187</t>
  </si>
  <si>
    <t>OBENG MULTIFUNGSI 21-in-1 - KENTARO</t>
  </si>
  <si>
    <t>NA.25.VIII.219-81</t>
  </si>
  <si>
    <t>SN-0188</t>
  </si>
  <si>
    <t>GREASE GUN - LOKAL</t>
  </si>
  <si>
    <t>NA.25.VIII.219-80</t>
  </si>
  <si>
    <t>SN-0189</t>
  </si>
  <si>
    <t>NA.25.VIII.219-79</t>
  </si>
  <si>
    <t>SN-0190</t>
  </si>
  <si>
    <t>HAIR DRYER - GAMMA PIU / 240V 2000W</t>
  </si>
  <si>
    <t>NA.25.VIII.219-78</t>
  </si>
  <si>
    <t>SN-0191</t>
  </si>
  <si>
    <t>TABUNG CAT SPRAY GUN - LAKONI</t>
  </si>
  <si>
    <t>NA.25.VIII.219-77</t>
  </si>
  <si>
    <t>RI/NV/26/VIII/073</t>
  </si>
  <si>
    <t>RI.NV.26.VIII.073-1</t>
  </si>
  <si>
    <t>PENARIKAN STPP GUDANG KARENA BARANG SUDAH RUSAK BERLUBANG DAN TIDAK DAPAT DIGUNAKAN KEMBALI
NO SERI BARANG STPP: SN-0191</t>
  </si>
  <si>
    <t>SN-0192</t>
  </si>
  <si>
    <t>CAT SEMPROT KALENG ACRYLIC LACQUER - DITON / 839 / @300cc / HITAM</t>
  </si>
  <si>
    <t>NA.25.VIII.219-76</t>
  </si>
  <si>
    <t>SN-0193</t>
  </si>
  <si>
    <t>CAT SEMPROT KALENG ACRYLIC LACQUER - DITON / 840 / @300cc / PUTIH</t>
  </si>
  <si>
    <t>NA.25.VIII.219-75</t>
  </si>
  <si>
    <t>SN-0194</t>
  </si>
  <si>
    <t>CAT SEMPROT KALENG ACRYLIC LACQUER - DITON / 841 / @300cc / KUNING</t>
  </si>
  <si>
    <t>NA.25.VIII.219-74</t>
  </si>
  <si>
    <t>SN-0195</t>
  </si>
  <si>
    <t>CAT SEMPROT KALENG ACRYLIC EPOXY - RJ LONDON / 540 / @300cc / CLEAR</t>
  </si>
  <si>
    <t>NA.25.VIII.219-73</t>
  </si>
  <si>
    <t>SN-0196</t>
  </si>
  <si>
    <t>CAT SEMPROT KALENG ACRYLIC EPOXY - RJ LONDON / 37 / @300cc / HIJAU</t>
  </si>
  <si>
    <t>NA.25.VIII.219-72</t>
  </si>
  <si>
    <t>SN-0197</t>
  </si>
  <si>
    <t>CAT SEMPROT KALENG ACRYLIC EPOXY - RJ LONDON / 9 / @300cc / BIRU</t>
  </si>
  <si>
    <t>NA.25.VIII.219-71</t>
  </si>
  <si>
    <t>SN-0198</t>
  </si>
  <si>
    <t>AVIA THINNER LACQUER  - AVIAN / @0.5L</t>
  </si>
  <si>
    <t>NA.25.VIII.219-70</t>
  </si>
  <si>
    <t>SN-0199</t>
  </si>
  <si>
    <t>GAS PORTABLE - WONDERFUEL / @220gr</t>
  </si>
  <si>
    <t>NA.25.VIII.219-69</t>
  </si>
  <si>
    <t>SN-0200</t>
  </si>
  <si>
    <t>GAS PORTABLE LAS - SUPERLAS / @230gr</t>
  </si>
  <si>
    <t>NA.25.VIII.219-68</t>
  </si>
  <si>
    <t>SN-0201</t>
  </si>
  <si>
    <t>CARBURATOR CLEANER - UCU / No.808 / @500g</t>
  </si>
  <si>
    <t>NA.25.VIII.219-67</t>
  </si>
  <si>
    <t>SN-0202</t>
  </si>
  <si>
    <t>ENGINE DEGREASER - ZONE / @500ml</t>
  </si>
  <si>
    <t>NA.25.VIII.219-66</t>
  </si>
  <si>
    <t>SN-0203</t>
  </si>
  <si>
    <t>BRAKE &amp; PARTS CLEANER - ZONE / @500ml</t>
  </si>
  <si>
    <t>NA.25.VIII.219-65</t>
  </si>
  <si>
    <t>SN-0204</t>
  </si>
  <si>
    <t>CAIRAN PELUMAS ANTI KARAT - WD-40 / @333ml</t>
  </si>
  <si>
    <t>NA.25.VIII.219-64</t>
  </si>
  <si>
    <t>RI/26/III/001</t>
  </si>
  <si>
    <t>RI.26.III.001-1</t>
  </si>
  <si>
    <t>KEMBALI KOSONG SETELAH PEMAKAIAN MAINTENANCE</t>
  </si>
  <si>
    <t>SN-0205</t>
  </si>
  <si>
    <t>DOUBLE TAPE FOAM - PWI / 2"</t>
  </si>
  <si>
    <t>NA.25.VIII.219-63</t>
  </si>
  <si>
    <t>SN-0206</t>
  </si>
  <si>
    <t>NA.25.VIII.219-62</t>
  </si>
  <si>
    <t>SN-0207</t>
  </si>
  <si>
    <t>DOUBLE TAPE FOAM - NACHI / 1"</t>
  </si>
  <si>
    <t>NA.25.VIII.219-61</t>
  </si>
  <si>
    <t>SN-0208</t>
  </si>
  <si>
    <t>ISOLASI LAKBAN 2" - NACHI / 48mm x 100Y / COKELAT</t>
  </si>
  <si>
    <t>NA.25.VIII.219-60</t>
  </si>
  <si>
    <t>SN-0209</t>
  </si>
  <si>
    <t>TIMBANGAN DIGITAL - SF400 / MW 10kg</t>
  </si>
  <si>
    <t>NA.25.VIII.219-59</t>
  </si>
  <si>
    <t>SN-0210</t>
  </si>
  <si>
    <t>SENTER LED RECHARGEABLE - POWERLITE / 7W</t>
  </si>
  <si>
    <t>NA.25.VIII.219-58</t>
  </si>
  <si>
    <t>SN-0211</t>
  </si>
  <si>
    <t>GERGAJI BESI - LOKAL / 12"</t>
  </si>
  <si>
    <t>NA.25.VIII.219-57</t>
  </si>
  <si>
    <t>SN-0212</t>
  </si>
  <si>
    <t>PALU KAMBING - LOKAL / 500g</t>
  </si>
  <si>
    <t>NA.25.VIII.219-56</t>
  </si>
  <si>
    <t>SN-0213</t>
  </si>
  <si>
    <t>PENGGARIS SIKU - ATS / 10"</t>
  </si>
  <si>
    <t>NA.25.VIII.219-55</t>
  </si>
  <si>
    <t>SN-0214</t>
  </si>
  <si>
    <t>PARANG BAJA - LOKAL / 20"</t>
  </si>
  <si>
    <t>NA.25.VIII.219-54</t>
  </si>
  <si>
    <t>SN-0215</t>
  </si>
  <si>
    <t>KAPI BAJA - LOKAL / 2"</t>
  </si>
  <si>
    <t>NA.25.VIII.219-53</t>
  </si>
  <si>
    <t>SN-0216</t>
  </si>
  <si>
    <t>KAPI BAJA - LOKAL / 3"</t>
  </si>
  <si>
    <t>NA.25.VIII.219-52</t>
  </si>
  <si>
    <t>SN-0217</t>
  </si>
  <si>
    <t>KAPI PLASTIK - LOKAL / 7"</t>
  </si>
  <si>
    <t>NA.25.VIII.219-51</t>
  </si>
  <si>
    <t>SN-0218</t>
  </si>
  <si>
    <t>CETOK SEMEN - LOKAL / 7"</t>
  </si>
  <si>
    <t>NA.25.VIII.219-50</t>
  </si>
  <si>
    <t>SN-0219</t>
  </si>
  <si>
    <t>BATU GERINDA POTONG U/ BESI - WD / T41 WA60 SBF / 4" 105x1.2x16mm</t>
  </si>
  <si>
    <t>NA.25.VIII.219-49</t>
  </si>
  <si>
    <t>SN-0220</t>
  </si>
  <si>
    <t>BATU GERINDA TEBAL - NIPPON RESIBON / A24S BF / 4" 100x6x16mm</t>
  </si>
  <si>
    <t>NA.25.VIII.219-48</t>
  </si>
  <si>
    <t>SN-0221</t>
  </si>
  <si>
    <t>SANDING PAD VELCRO - HI-TEC / 4"</t>
  </si>
  <si>
    <t>NA.25.VIII.219-47</t>
  </si>
  <si>
    <t>SN-0222</t>
  </si>
  <si>
    <t>KERTAS AMPLAS 1000CW - LOKAL</t>
  </si>
  <si>
    <r>
      <rPr>
        <sz val="12"/>
        <rFont val="Calibri"/>
        <charset val="134"/>
        <scheme val="minor"/>
      </rPr>
      <t>CM</t>
    </r>
    <r>
      <rPr>
        <vertAlign val="superscript"/>
        <sz val="12"/>
        <rFont val="Calibri"/>
        <charset val="134"/>
        <scheme val="minor"/>
      </rPr>
      <t>2</t>
    </r>
  </si>
  <si>
    <t>NA.25.VIII.219-46</t>
  </si>
  <si>
    <t>RI/26/III/002</t>
  </si>
  <si>
    <t>RI.26.III.002-1</t>
  </si>
  <si>
    <t>DIPAKAI UNTUK AMPLAS CENTRAL REGULATOR YANG BANDANG</t>
  </si>
  <si>
    <t>SN-0223</t>
  </si>
  <si>
    <t>THERMAL PASTE - DEEPCOOL / Z5</t>
  </si>
  <si>
    <t>NA.25.VIII.219-45</t>
  </si>
  <si>
    <t>SN-0224</t>
  </si>
  <si>
    <t>SELANG PNEUMATIK PU - HAERIN / D = (4/6)mm</t>
  </si>
  <si>
    <t>1.4</t>
  </si>
  <si>
    <t>NA.25.VIII.219-44</t>
  </si>
  <si>
    <t>SN-0225</t>
  </si>
  <si>
    <t>KABEL LISTRIK ENGKEL NYA - ETERNA / 1 x 1.5mm / HITAM</t>
  </si>
  <si>
    <t>NA.25.VIII.219-43</t>
  </si>
  <si>
    <t>SN-0226</t>
  </si>
  <si>
    <t>KABEL LISTRIK SERABUT NYAF - LOKAL / 1 x 1.5mm / BIRU</t>
  </si>
  <si>
    <t>4.5</t>
  </si>
  <si>
    <t>NA.25.VIII.219-42</t>
  </si>
  <si>
    <t>SN-0227</t>
  </si>
  <si>
    <t>KABEL LISTRIK SERABUT NYAF - EWINDO / 1 x 2.5mm / MERAH</t>
  </si>
  <si>
    <t>NA.25.VIII.219-41</t>
  </si>
  <si>
    <t>RI/26/III/003</t>
  </si>
  <si>
    <t>RI.26.III.003-1</t>
  </si>
  <si>
    <t>DIPAKAI UNTUK KABEL NETRAL EKOR SIG BARU SIG - 12</t>
  </si>
  <si>
    <t>SN-0228</t>
  </si>
  <si>
    <t>KABEL TELEPON R-VV - SUPREME / 2 x 2 x 0.6mm</t>
  </si>
  <si>
    <t>NA.25.VIII.219-40</t>
  </si>
  <si>
    <t>SN-0229</t>
  </si>
  <si>
    <t>KABEL LISTRIK ENGKEL NYM - SUPREME / 2 x 1.5mm / PUTIH</t>
  </si>
  <si>
    <t>1.5</t>
  </si>
  <si>
    <t>NA.25.VIII.219-39</t>
  </si>
  <si>
    <t>SN-0230</t>
  </si>
  <si>
    <t>CORONG PLASTIK - 25cm</t>
  </si>
  <si>
    <t>NA.25.VIII.219-38</t>
  </si>
  <si>
    <t>SN-0231</t>
  </si>
  <si>
    <t>NA.25.VIII.219-37</t>
  </si>
  <si>
    <t>SN-0232</t>
  </si>
  <si>
    <t>COVER HAND GERINDA - 4"</t>
  </si>
  <si>
    <t>NA.25.VIII.219-36</t>
  </si>
  <si>
    <t>SN-0233</t>
  </si>
  <si>
    <t>MASTER PENGETESAN CARBON STEEL - MALE 1/2" NPT x MALE 1 1/2" NPT</t>
  </si>
  <si>
    <t>NA.25.VIII.219-35</t>
  </si>
  <si>
    <t>SN-0234</t>
  </si>
  <si>
    <t>MATA GERGAJI BESI - LOKAL / 12"</t>
  </si>
  <si>
    <t>NA.25.VIII.219-34</t>
  </si>
  <si>
    <t>SN-0235</t>
  </si>
  <si>
    <t>KUNCI NAPLE SPRAY GUN</t>
  </si>
  <si>
    <t>NA.25.VIII.219-33</t>
  </si>
  <si>
    <t>SN-0236</t>
  </si>
  <si>
    <t>CAT TEMBOK - PARAGON / EML PS / @5kg / PUTIH</t>
  </si>
  <si>
    <t>NA.25.VIII.219-32</t>
  </si>
  <si>
    <t>SN-0237</t>
  </si>
  <si>
    <t>CAT TEMBOK - PARAGON / EML PS 342 / @5kg / ORANYE</t>
  </si>
  <si>
    <t>NA.25.VIII.219-31</t>
  </si>
  <si>
    <t>SN-0238</t>
  </si>
  <si>
    <t>CAT TEMBOK - PARAGON / EML PS 368 / @5kg / SILVER GREY</t>
  </si>
  <si>
    <t>NA.25.VIII.219-30</t>
  </si>
  <si>
    <t>SN-0239</t>
  </si>
  <si>
    <t>CAT TEMBOK - SPECTRUM / 8602 / @3.78L / COKLAT MUDA</t>
  </si>
  <si>
    <t>NA.25.VIII.219-29</t>
  </si>
  <si>
    <t>SN-0240</t>
  </si>
  <si>
    <t>CAT TEMBOK - PARAGON / EML PS / @1kg / HITAM</t>
  </si>
  <si>
    <t>NA.25.VIII.219-28</t>
  </si>
  <si>
    <t>SN-0241</t>
  </si>
  <si>
    <t>CAT PELAPIS ANTI BOCOR - NO DROP / @4kg</t>
  </si>
  <si>
    <t>NA.25.VIII.219-27</t>
  </si>
  <si>
    <t>RI/26/III/004</t>
  </si>
  <si>
    <t>RI.26.III.004-1</t>
  </si>
  <si>
    <t>KELUAR UNTUK PENAMBALAN TALANG YANG BOCOR</t>
  </si>
  <si>
    <t>SN-0242</t>
  </si>
  <si>
    <t>CAT KAYU &amp; BESI - JOTUN / GARDEX PREMIUM GLOSS / @5L / PUTIH</t>
  </si>
  <si>
    <t>NA.25.VIII.219-26</t>
  </si>
  <si>
    <t>RI/26/III/005</t>
  </si>
  <si>
    <t>RI.26.III.005-1</t>
  </si>
  <si>
    <t>KELUAR UNTUK DIGUNAKAN CAT TANGKI YANG ADA DI CDO</t>
  </si>
  <si>
    <t>SN-0243</t>
  </si>
  <si>
    <t>PENGENCER CAT - JOTUN / GARDEX THINNER / @5L</t>
  </si>
  <si>
    <t>NA.25.VIII.219-25</t>
  </si>
  <si>
    <t>RI/26/III/006</t>
  </si>
  <si>
    <t>RI.26.III.006-1</t>
  </si>
  <si>
    <t>SN-0244</t>
  </si>
  <si>
    <t>CAT KAYU &amp; BESI - NIPPON PAINT / NIPPE 2000 / @0.9L / EXLUSIVE GREY</t>
  </si>
  <si>
    <t>NA.25.VIII.219-24</t>
  </si>
  <si>
    <t>RI/26/III/007</t>
  </si>
  <si>
    <t>RI.26.III.007-1</t>
  </si>
  <si>
    <t>CAT HABIS</t>
  </si>
  <si>
    <t>SN-0245</t>
  </si>
  <si>
    <t>CAT KAYU &amp; BESI GLOVIN - AVIAN / SB / @0.9L / SUPER BLACK</t>
  </si>
  <si>
    <t>NA.25.VIII.219-23</t>
  </si>
  <si>
    <t>RI.26.III.007-2</t>
  </si>
  <si>
    <t>SN-0246</t>
  </si>
  <si>
    <t>CAT MOBIL DANAGLOSS AUTOMOTIVE LACQUER - DANA PAINT / 245-0020 / @1L / BLACK</t>
  </si>
  <si>
    <t>NA.25.VIII.219-22</t>
  </si>
  <si>
    <t>RI.26.III.007-3</t>
  </si>
  <si>
    <t>SN-0247</t>
  </si>
  <si>
    <t>CAT MOBIL DANAGLOSS AUTOMOTIVE LACQUER - DANA PAINT / 245-22610 / @1L / RED</t>
  </si>
  <si>
    <t>NA.25.VIII.219-21</t>
  </si>
  <si>
    <t>SN-0248</t>
  </si>
  <si>
    <t>CAT KAYU &amp; BESI BEE BRAND 1000 - NIPPON PAINT / 1005 / @0.9L / ROSA</t>
  </si>
  <si>
    <t>NA.25.VIII.219-20</t>
  </si>
  <si>
    <t>SN-0249</t>
  </si>
  <si>
    <t>CAT ALUMINIUM - AVIAN / @0.75L / BRON PERAK</t>
  </si>
  <si>
    <t>NA.25.VIII.219-19</t>
  </si>
  <si>
    <t>SN-0250</t>
  </si>
  <si>
    <t>CAT ALUMINIUM - AVIAN / 002 / @0.9L / HAMMERTONE SILVER</t>
  </si>
  <si>
    <t>NA.25.VIII.219-18</t>
  </si>
  <si>
    <t>SN-0251</t>
  </si>
  <si>
    <t>CAT KAYU &amp; BESI AUTO 2000 - FUTANLUX / 9931 / @1kg / WROUGHT IRON</t>
  </si>
  <si>
    <t>NA.25.VIII.219-17</t>
  </si>
  <si>
    <t>SN-0252</t>
  </si>
  <si>
    <t>CAT POLITUR VERNIS BOYO - AVIAN / 610 / @1L / WALNUT</t>
  </si>
  <si>
    <t>NA.25.VIII.219-16</t>
  </si>
  <si>
    <t>SN-0253</t>
  </si>
  <si>
    <t>AIR AKI ZUUR AQUADEST - CAP SINGA / @1L</t>
  </si>
  <si>
    <t>NA.25.VIII.219-15</t>
  </si>
  <si>
    <t>SN-0254</t>
  </si>
  <si>
    <t>MINYAK REM DOT 3 - SEIKEN / 3100 / @1L</t>
  </si>
  <si>
    <t>NA.25.VIII.219-14</t>
  </si>
  <si>
    <t>SN-0255</t>
  </si>
  <si>
    <t>MINYAK REM DOT 3 - JUMBO / @300mL</t>
  </si>
  <si>
    <t>NA.25.VIII.219-13</t>
  </si>
  <si>
    <t>RI/26/III/008</t>
  </si>
  <si>
    <t>RI.26.III.008-1</t>
  </si>
  <si>
    <t>DIPAKAI UNTUK PENAMBAHAN MINYAK MASTER REM ATAS W 8763 QC SETELAH DIPERBAIKI</t>
  </si>
  <si>
    <t>SN-0256</t>
  </si>
  <si>
    <t>LEM PIPA &amp; FITTING PVC - ISARPLAS / @400gr</t>
  </si>
  <si>
    <t>NA.25.VIII.219-12</t>
  </si>
  <si>
    <t>SN-0257</t>
  </si>
  <si>
    <t>CAIRAN HCL - SRIKAYA / @1L</t>
  </si>
  <si>
    <t>NA.25.VIII.219-11</t>
  </si>
  <si>
    <t>HCL.21.05.26</t>
  </si>
  <si>
    <t>HCL.21.05.26-1</t>
  </si>
  <si>
    <t>DIPAKAI U/ CUCI VGL</t>
  </si>
  <si>
    <t>SN-0258</t>
  </si>
  <si>
    <t>MINYAK PELUMAS BEARING GREASE - KYODO YUSHI / @454gr</t>
  </si>
  <si>
    <t>NA.25.VIII.219-10</t>
  </si>
  <si>
    <t>SN-0259</t>
  </si>
  <si>
    <t>MINYAK PELUMAS HI-TEMP GREASE - TOP 1 / @454gr</t>
  </si>
  <si>
    <t>NA.25.VIII.219-9</t>
  </si>
  <si>
    <t>SN-0260</t>
  </si>
  <si>
    <t>MINYAK PELUMAS CHASIS GREASE NLGI-3 - TOP 1 / @454gr</t>
  </si>
  <si>
    <t>NA.25.VIII.219-8</t>
  </si>
  <si>
    <t>SN-0261</t>
  </si>
  <si>
    <t>OLI RORED EPA - PERTAMINA / API GL4 SAE 140 / @4L</t>
  </si>
  <si>
    <t>NA.25.VIII.219-7</t>
  </si>
  <si>
    <t>SN-0262</t>
  </si>
  <si>
    <t>LEM EPOXY HARDEN - UNION / @200gr</t>
  </si>
  <si>
    <t>NA.25.VIII.219-6</t>
  </si>
  <si>
    <t>SN-0263</t>
  </si>
  <si>
    <t>LEM EPOXY RESIN - UNION / @200gr</t>
  </si>
  <si>
    <t>NA.25.VIII.219-5</t>
  </si>
  <si>
    <t>SN-0264</t>
  </si>
  <si>
    <t>WATERPASS MAGNET - PALAZZO / D4137 / 24"</t>
  </si>
  <si>
    <t>NA.25.VIII.219-4</t>
  </si>
  <si>
    <t>SN-0265</t>
  </si>
  <si>
    <t>STANG CUTTING TORCH + SELANG + REGULATOR</t>
  </si>
  <si>
    <t>NA.25.VIII.219-3</t>
  </si>
  <si>
    <t>SN-0266</t>
  </si>
  <si>
    <t>STANG LAS ARGON + SELANG + REGULATOR</t>
  </si>
  <si>
    <t>NA.25.VIII.219-2</t>
  </si>
  <si>
    <t>SN-0267</t>
  </si>
  <si>
    <t>METERAN SAKU - SOLIGEN / 10m</t>
  </si>
  <si>
    <t>NA.25.VIII.219-1</t>
  </si>
  <si>
    <t>SN-0268</t>
  </si>
  <si>
    <t>MASTER PENGETESAN PRESSURE GAUGE 1/4"</t>
  </si>
  <si>
    <t>WAHYU</t>
  </si>
  <si>
    <t>NA/25/VIII/253</t>
  </si>
  <si>
    <t>NA.25.VIII.253-1</t>
  </si>
  <si>
    <t>UNTUK MASTER PENGETESAN PRESSURE GAUGE CONNECTION 1/4"</t>
  </si>
  <si>
    <t>SN-0269</t>
  </si>
  <si>
    <t>PLUG DRAD DALAM BRASS - BS 3 /200bar</t>
  </si>
  <si>
    <t>NA/25/IX/053</t>
  </si>
  <si>
    <t>NA.25.IX.053-2</t>
  </si>
  <si>
    <t>UNTUK PENGETESAN MANIFOLD CRADLE</t>
  </si>
  <si>
    <t>SN-0270</t>
  </si>
  <si>
    <t>(REFURBISHED) VALVE O2 BRASS - PUREAIR / QF-2G/ WP 15MPa</t>
  </si>
  <si>
    <t>NA.25.IX.053-1</t>
  </si>
  <si>
    <t>SN-0271</t>
  </si>
  <si>
    <t>NA/25/IX/027</t>
  </si>
  <si>
    <t>NA.25.IX.027-1</t>
  </si>
  <si>
    <t>SN-0272</t>
  </si>
  <si>
    <t>(REFURBISHED) MESIN LAS INVERTER MMA - CIGWELD / 170 INVERTER</t>
  </si>
  <si>
    <t>ROSUL</t>
  </si>
  <si>
    <t>NA/25/IX/075</t>
  </si>
  <si>
    <t>NA.25.IX.075-1</t>
  </si>
  <si>
    <t>UNTUK PEMAKAIAN HARIAN MAINTENANCE</t>
  </si>
  <si>
    <t>SN-0273</t>
  </si>
  <si>
    <t>LEM KUAT</t>
  </si>
  <si>
    <t>NA/25/XIX/121</t>
  </si>
  <si>
    <t>NA.25.XIX.121-1</t>
  </si>
  <si>
    <t>STPP GUDANG</t>
  </si>
  <si>
    <t>RI/26/III/009</t>
  </si>
  <si>
    <t>RI.26.III.009-1</t>
  </si>
  <si>
    <t>DIKELUARKAN UNTUK PERBAIKAN KENDARAAN</t>
  </si>
  <si>
    <t>SN-0274</t>
  </si>
  <si>
    <t>TALI TAMPAR - T.P = 7mm x 13m / HIJAU</t>
  </si>
  <si>
    <t>NA/25/IX/156</t>
  </si>
  <si>
    <t>NA.25.IX.156-1</t>
  </si>
  <si>
    <t>SN-0275</t>
  </si>
  <si>
    <t>DONGKRAK BOTOL HYDROLIS - HAKAIRA / 50T</t>
  </si>
  <si>
    <t>AYU</t>
  </si>
  <si>
    <t>NA/25/X/028</t>
  </si>
  <si>
    <t>NA.25.X.028-1</t>
  </si>
  <si>
    <t>RI/NV/25/XI/031</t>
  </si>
  <si>
    <t>RI.NV.25.XI.031-1</t>
  </si>
  <si>
    <t>DITARIK DARI STPP GUDANG UNTUK DIKELUARKAN GUNA KEPERLUAN STPP ARMADA LIQUID</t>
  </si>
  <si>
    <t>SN-0276</t>
  </si>
  <si>
    <t>NA/25/X/100</t>
  </si>
  <si>
    <t>NA.25.X.100-1</t>
  </si>
  <si>
    <t>UNTUK PENGETESAN TABUNG O2/N2/AR</t>
  </si>
  <si>
    <t>SN-0277</t>
  </si>
  <si>
    <t>FLEXIBLE HOSE RUBBER R8 3/8" - SUNFLEX / 1/4" FJIC SS x 1/2" FJIC SWIVEL SS / P = 3m</t>
  </si>
  <si>
    <t>GUDANG (PROJECT)</t>
  </si>
  <si>
    <t>NA/25/X/155</t>
  </si>
  <si>
    <t>NA.25.X.155-7</t>
  </si>
  <si>
    <t>UNTUK KEPERLUAN LEAKTEST SETIAP PROJECT</t>
  </si>
  <si>
    <t>SN-0278</t>
  </si>
  <si>
    <t>MALE ADAPTER BR - O2 VALVE x 14mm SW PIPE</t>
  </si>
  <si>
    <t>NA.25.X.155-6</t>
  </si>
  <si>
    <t>SN-0279</t>
  </si>
  <si>
    <t>CUMCUM BR - O2 VALVE x 1/4" MJIC</t>
  </si>
  <si>
    <t>NA.25.X.155-5</t>
  </si>
  <si>
    <t>SN-0280</t>
  </si>
  <si>
    <t>DOUBLE NIPPLE BR - 1/2" MJIC x 1/2" MNPT</t>
  </si>
  <si>
    <t>NA.25.X.155-4</t>
  </si>
  <si>
    <t>SN-0281</t>
  </si>
  <si>
    <t>VERLOOP RING BR - 1" MNPT x 1/2" FNPT</t>
  </si>
  <si>
    <t>NA.25.X.155-3</t>
  </si>
  <si>
    <t>SN-0282</t>
  </si>
  <si>
    <t>DOUBLE NIPPLE BR - 1/4" MNPT</t>
  </si>
  <si>
    <t>NA.25.X.155-2</t>
  </si>
  <si>
    <t>SN-0283</t>
  </si>
  <si>
    <t>(REFURBISHED) REGULATOR OXYGEN - MURAKU / 0-350psi 0-25bar x 0-3500psi 0-250bar</t>
  </si>
  <si>
    <t>NA.25.X.155-1</t>
  </si>
  <si>
    <t>RI/NV/26/VI/038</t>
  </si>
  <si>
    <t>RI.NV.26.VI.038-1</t>
  </si>
  <si>
    <t>DITARIK DARI STPP GUDANG UNTUK DIKELUARKAN GUNA PENGGANTIAN REGULATOR O2 CUTTING TORCH MILIK MAINTENANCE MA</t>
  </si>
  <si>
    <t>SN-0284</t>
  </si>
  <si>
    <t>POMPA VACUUM - ADIXEN / 2063SD</t>
  </si>
  <si>
    <t>NA/25/X/175</t>
  </si>
  <si>
    <t>NA.25.X.175-1</t>
  </si>
  <si>
    <t>U/ STPP DAN PEMAKAIAN HARIAN MAINTENANCE</t>
  </si>
  <si>
    <t>SN-0285</t>
  </si>
  <si>
    <t>MANUAL LUBRICATOR GREASE - WIPRO / LB70 (WP70) / 25L</t>
  </si>
  <si>
    <t>NA/25/X/190</t>
  </si>
  <si>
    <t>NA.25.X.190-1</t>
  </si>
  <si>
    <t>UNTUK STPP GUDANG DAN PEMAKAIAN MAINTENANCE</t>
  </si>
  <si>
    <t>SN-0286</t>
  </si>
  <si>
    <t>KUNCI RING PAS CrV - WIPRO / 10 x 10mm</t>
  </si>
  <si>
    <t>SATRIYO</t>
  </si>
  <si>
    <t>NA/25/X/251</t>
  </si>
  <si>
    <t>NA.25.X.251-9</t>
  </si>
  <si>
    <t>MELENGKAPI TOOLS</t>
  </si>
  <si>
    <t>SN-0287</t>
  </si>
  <si>
    <t>KUNCI RING PAS CrV - WIPRO / 13 x 13mm</t>
  </si>
  <si>
    <t>NA.25.X.251-8</t>
  </si>
  <si>
    <t>SN-0288</t>
  </si>
  <si>
    <t>NA.25.X.251-7</t>
  </si>
  <si>
    <t>SN-0289</t>
  </si>
  <si>
    <t>KUNCI RING PAS CrV - WIPRO / 22 x 22mm</t>
  </si>
  <si>
    <t>NA.25.X.251-6</t>
  </si>
  <si>
    <t>SN-0290</t>
  </si>
  <si>
    <t>KUNCI RING PAS CrV - WIPRO / 27 x 27mm</t>
  </si>
  <si>
    <t>NA.25.X.251-5</t>
  </si>
  <si>
    <t>SN-0291</t>
  </si>
  <si>
    <t>KUNCI RING PAS CrV - WIPRO / 30 x 30mm</t>
  </si>
  <si>
    <t>NA.25.X.251-4</t>
  </si>
  <si>
    <t>SN-0292</t>
  </si>
  <si>
    <t>KUNCI RING PAS CrV - WIPRO / 32 x 32mm</t>
  </si>
  <si>
    <t>NA.25.X.251-3</t>
  </si>
  <si>
    <t>SN-0293</t>
  </si>
  <si>
    <t>PENGGARIS SIKU - FURANO / 12"</t>
  </si>
  <si>
    <t>NA.25.X.251-2</t>
  </si>
  <si>
    <t>PENGGANTIAN KARENA PENGGARIS SIKU YANG LAMA SUDAH TIDAK SIKON</t>
  </si>
  <si>
    <t>SN-0294</t>
  </si>
  <si>
    <t>METERAN SAKU - ATS / 10m</t>
  </si>
  <si>
    <t>NA.25.X.251-1</t>
  </si>
  <si>
    <t>PENGGANTIAN METERAN LAMA KARENA UJUNGNYA SUDAH PUTUS</t>
  </si>
  <si>
    <t>RI.NV.26.VI.008-1</t>
  </si>
  <si>
    <t>SN-0295</t>
  </si>
  <si>
    <t>TAS KUNCI RING PAS - LOKAL / 8-32mm</t>
  </si>
  <si>
    <t>NA/25/XI/018</t>
  </si>
  <si>
    <t>NA.25.XI.018-2</t>
  </si>
  <si>
    <t>STPP MAINTENANCE U/ WADAH KUNCI RINGPAS</t>
  </si>
  <si>
    <t>SN-0296</t>
  </si>
  <si>
    <t>SARUNG TANGAN SAFETY KERJA - LOKAL</t>
  </si>
  <si>
    <t>VALEN</t>
  </si>
  <si>
    <t>NA/25/XI/030</t>
  </si>
  <si>
    <t>NA.25.XI.030-3</t>
  </si>
  <si>
    <t>SN-0297</t>
  </si>
  <si>
    <t>NA/25/XI/055</t>
  </si>
  <si>
    <t>NA.25.XI.055-4</t>
  </si>
  <si>
    <t>SUDAH DITARIK DARI GUDANG UNTUK DIJADIKAN STOCK SPANSET</t>
  </si>
  <si>
    <t>SN-0298</t>
  </si>
  <si>
    <t>KOLIM</t>
  </si>
  <si>
    <t>NA/25/XI/074</t>
  </si>
  <si>
    <t>NA.25.XI.074-5</t>
  </si>
  <si>
    <t>UNTUK STPP MAINTENANCE SETELAH PENGGANTIAN KABEL STANG LAS - P = 4m</t>
  </si>
  <si>
    <t>SN-0299</t>
  </si>
  <si>
    <t>SIKAT TOILET - LOKAL</t>
  </si>
  <si>
    <t>HIDA</t>
  </si>
  <si>
    <t>GENERAL SERVICE</t>
  </si>
  <si>
    <t>NA/25/XI/098</t>
  </si>
  <si>
    <t>NA.25.XI.098-6</t>
  </si>
  <si>
    <t>UNTUK PEMAKAIAN HARIAN GENERAL SERVICE</t>
  </si>
  <si>
    <t>SN-0300</t>
  </si>
  <si>
    <t>(REFURBISHED) DONGKRAK HIDROLIK - LOKAL / 50ton</t>
  </si>
  <si>
    <t>ANANG</t>
  </si>
  <si>
    <t>NA/25/XI/105</t>
  </si>
  <si>
    <t>NA.25.XI.105-7</t>
  </si>
  <si>
    <t>(W 8270 QA) UNTUK MELENGKAPI KENDARAAN KEBUTUHAN CURAH (STPP KENDARAAN)</t>
  </si>
  <si>
    <t>BA/05/WHEAD/0526/8270</t>
  </si>
  <si>
    <t>BA.05.WHEAD.0526.8270-1</t>
  </si>
  <si>
    <t>DI PASSIVEKAN UNTUK MASUK KE TRACKING STPP BA TANGGAL TERBARU</t>
  </si>
  <si>
    <t>SN-0301</t>
  </si>
  <si>
    <t>SEPATU BOOTS - AP BOOTS / AP MOTO 2 / UK 41</t>
  </si>
  <si>
    <t>NA/25/XI/108</t>
  </si>
  <si>
    <t>NA.25.XI.108-2</t>
  </si>
  <si>
    <t>UNTUK PEMAKAIAN HARIAN</t>
  </si>
  <si>
    <t>SN-0302</t>
  </si>
  <si>
    <t>(REFURBISHED) SARUNG TANGAN SAFETY KERJA - LOKAL</t>
  </si>
  <si>
    <t>NA.25.XI.108-1</t>
  </si>
  <si>
    <t>SN-0303</t>
  </si>
  <si>
    <t>RIKI</t>
  </si>
  <si>
    <t>NA/25/XI/111</t>
  </si>
  <si>
    <t>NA.25.XI.111-1</t>
  </si>
  <si>
    <t>(W 8602 PE) UNTUK MELENGKAPI KENDARAAN KEBUTUHAN CURAH (STPP KENDARAAN)</t>
  </si>
  <si>
    <t>BA/03/HEAD/0526/8602</t>
  </si>
  <si>
    <t>BA.03.HEAD.0526.8602-1</t>
  </si>
  <si>
    <t>SN-0304</t>
  </si>
  <si>
    <t>NA/25/XI/013</t>
  </si>
  <si>
    <t>NA.25.XI.013-1</t>
  </si>
  <si>
    <t>ALIH FUNGSI DARI KABEL STANG LAS MENJADI KABEL MASSA LAS</t>
  </si>
  <si>
    <t>SN-0305</t>
  </si>
  <si>
    <t>ARUNG</t>
  </si>
  <si>
    <t>NA/25/XI/172</t>
  </si>
  <si>
    <t>NA.25.XI.172-3</t>
  </si>
  <si>
    <t>SETELAH DILAKUKAN PENGGANTIAN KACA LAS</t>
  </si>
  <si>
    <t>SN-0306</t>
  </si>
  <si>
    <t>NA.25.XI.172-2</t>
  </si>
  <si>
    <t>RI/NV/25/XII/114</t>
  </si>
  <si>
    <t>RI.NV.25.XII.114-1</t>
  </si>
  <si>
    <t>PERMINTAAN UNTUK DI PERBAIKI</t>
  </si>
  <si>
    <t>SN-0307</t>
  </si>
  <si>
    <t>NA.25.XI.172-1</t>
  </si>
  <si>
    <t>SN-0308</t>
  </si>
  <si>
    <t>(REFURBISHED) GERINDA TANGAN - MAKITA (MAKTEC) / MT 90 / 4" / 540W 220-240V</t>
  </si>
  <si>
    <t>NA/25/XI/181</t>
  </si>
  <si>
    <t>NA.25.XI.181-1</t>
  </si>
  <si>
    <t>SETELAH PENGGANTIAN GIGI NANAS 13T YANG SUDAH AUS</t>
  </si>
  <si>
    <t>SN-0309</t>
  </si>
  <si>
    <t>KEMOCENG - LOKAL</t>
  </si>
  <si>
    <t>NA/25/XII/020</t>
  </si>
  <si>
    <t>NA.25.XII.020-1</t>
  </si>
  <si>
    <t>SN-0310</t>
  </si>
  <si>
    <t>NA/25/XII/024</t>
  </si>
  <si>
    <t>NA.25.XII.024-1</t>
  </si>
  <si>
    <t>UNTUK STPP GUDANG DAN PEMAKAIAN HARIAN</t>
  </si>
  <si>
    <t>SN-0311</t>
  </si>
  <si>
    <t>MANTO</t>
  </si>
  <si>
    <t>NA/25/XII/044</t>
  </si>
  <si>
    <t>NA.25.XII.044-1</t>
  </si>
  <si>
    <t>(W 9148 P) UNTUK DIJADIKAN STPP KENDARAAN KEPERLUAN CURAH LIQUID</t>
  </si>
  <si>
    <t>BA/01/WHEAD/0526/8202</t>
  </si>
  <si>
    <t>BA.01.WHEAD.0526.8202-1</t>
  </si>
  <si>
    <t>SN-0312</t>
  </si>
  <si>
    <t>FARIS</t>
  </si>
  <si>
    <t>NA/25/XII/046</t>
  </si>
  <si>
    <t>NA.25.XII.046-1</t>
  </si>
  <si>
    <t>(B 9245 KEI) UNTUK DIJADIKAN STPP AWAL DISTRIBUSI KEBUTUHAN CURAH LIQUID</t>
  </si>
  <si>
    <t>SN-0313</t>
  </si>
  <si>
    <t>DWI</t>
  </si>
  <si>
    <t>NA/25/XII/047</t>
  </si>
  <si>
    <t>NA.25.XII.047-1</t>
  </si>
  <si>
    <t>(B 9249 KEI) UNTUK DIJADIKAN STPP AWAL DISTRIBUSI KEBUTUHAN CURAH LIQUID</t>
  </si>
  <si>
    <t>SN-0314</t>
  </si>
  <si>
    <t>CHOTIM</t>
  </si>
  <si>
    <t>NA/25/XII/048</t>
  </si>
  <si>
    <t>NA.25.XII.048-1</t>
  </si>
  <si>
    <t>(W 8819 PF) UNTUK DIJADIKAN STPP AWAL DISTRIBUSI KEBUTUHAN CURAH LIQUID</t>
  </si>
  <si>
    <t>BA01/WHEAD/0526/8202</t>
  </si>
  <si>
    <t>BA01.WHEAD.0526.8202-1</t>
  </si>
  <si>
    <t>SN-0315</t>
  </si>
  <si>
    <t>HARTONO</t>
  </si>
  <si>
    <t>NA/25/XII/049</t>
  </si>
  <si>
    <t>NA.25.XII.049-1</t>
  </si>
  <si>
    <t>(W 8985 QC) UNTUK DIJADIKAN STPP AWAL DISTRIBUSI KEBUTUHAN CURAH LIQUID</t>
  </si>
  <si>
    <t>SN-0316</t>
  </si>
  <si>
    <t>VERLOOP RING SS - 1 1/2" MNPT x 2" FBSP</t>
  </si>
  <si>
    <t>NA/25/XII/141</t>
  </si>
  <si>
    <t>NA.25.XII.141-1</t>
  </si>
  <si>
    <t>UNTUK DIJADIKAN STPP DISTRIBUSI &amp; KEBUTUHAN CURAH LIQUID LCO2 (PROGAS BANTEN)</t>
  </si>
  <si>
    <t>SN-0317</t>
  </si>
  <si>
    <t>(REFURBHISED) MESIN LAS INVERTER TIG - CALDWELL / TIG 200 GE</t>
  </si>
  <si>
    <t>NA/25/XII/139</t>
  </si>
  <si>
    <t>NA.25.XII.139-3</t>
  </si>
  <si>
    <t>UNTUK DIJADIKAN STPP AWAL MAINTENANCE - LAS ARGON</t>
  </si>
  <si>
    <t>RI/NV/25/XII/057</t>
  </si>
  <si>
    <t>RI.NV.25.XII.057-3</t>
  </si>
  <si>
    <t>DITARIK SEMENTARA DARI MAINTENANCE UNTUK DIGANTI KABEL MASSA &amp; STANG LAS YANG SUDAH RUSAK</t>
  </si>
  <si>
    <t>SN-0318</t>
  </si>
  <si>
    <t>NA.25.XII.139-2</t>
  </si>
  <si>
    <t>RI.NV.25.XII.057-2</t>
  </si>
  <si>
    <t>SN-0319</t>
  </si>
  <si>
    <t>NA.25.XII.139-1</t>
  </si>
  <si>
    <t>RI.NV.25.XII.057-1</t>
  </si>
  <si>
    <t>SN-0320</t>
  </si>
  <si>
    <t>NA/25/XII/155</t>
  </si>
  <si>
    <t>NA.25.XII.155-4</t>
  </si>
  <si>
    <t>UNTUK DIGANTI KABEL MASSA &amp; STANG LASNYA KARENA SUDAH RUSAK DAN DIJADIKAN STPP</t>
  </si>
  <si>
    <t>SN-0321</t>
  </si>
  <si>
    <t>KABEL LAS - SUPERFLEX / NSLFF VDE 0250 / 35mm / ORANGE</t>
  </si>
  <si>
    <t>NA.25.XII.155-3</t>
  </si>
  <si>
    <t>SN-0322</t>
  </si>
  <si>
    <t>NA.25.XII.155-2</t>
  </si>
  <si>
    <t>SN-0323</t>
  </si>
  <si>
    <t>STANG LAS - KURT HAUFE / DE3600 / 600A</t>
  </si>
  <si>
    <t>NA.25.XII.155-1</t>
  </si>
  <si>
    <t>SN-0324</t>
  </si>
  <si>
    <t>KACAMATA SAFETY - STEEL HORSE / TRANSPARAN</t>
  </si>
  <si>
    <t>NA/25/XII/164</t>
  </si>
  <si>
    <t>NA.25.XII.164-2</t>
  </si>
  <si>
    <t>SN-0325</t>
  </si>
  <si>
    <t>NA.25.XII.164-1</t>
  </si>
  <si>
    <t>SN-0326</t>
  </si>
  <si>
    <t>MAGNET - LOKAL / P.L.T = 10 x 10 x 10mm</t>
  </si>
  <si>
    <t>NA/25/XII/221</t>
  </si>
  <si>
    <t>NA.25.XII.221-1</t>
  </si>
  <si>
    <t>SN-0327</t>
  </si>
  <si>
    <t>TEST INJECTOR KENDARAAN - LOKAL</t>
  </si>
  <si>
    <t>NA/25/XII/244</t>
  </si>
  <si>
    <t>NA.25.XII.244-1</t>
  </si>
  <si>
    <t>UNTUK DIJADIKAN STPP AWAL MAINTENANCE KENDARAAN</t>
  </si>
  <si>
    <t>SN-0328</t>
  </si>
  <si>
    <t>BAN DALAM - GAJAH TUNGGAL / (11.00)-20</t>
  </si>
  <si>
    <t>NA/25/XII/268</t>
  </si>
  <si>
    <t>NA.25.XII.268-10</t>
  </si>
  <si>
    <t>UNTUK DIJADIKAN STPP AWAL DISTRIBUSI</t>
  </si>
  <si>
    <t>SN-0329</t>
  </si>
  <si>
    <t>BAN DALAM - GAJAH TUNGGAL / (10.00)-20</t>
  </si>
  <si>
    <t>NA.25.XII.268-9</t>
  </si>
  <si>
    <t>SN-0330</t>
  </si>
  <si>
    <t>NA.25.XII.268-8</t>
  </si>
  <si>
    <t>SN-0331</t>
  </si>
  <si>
    <t>BAN DALAM - GAJAH TUNGGAL / (7.00/7.50)-16</t>
  </si>
  <si>
    <t>NA.25.XII.268-7</t>
  </si>
  <si>
    <t>SN-0332</t>
  </si>
  <si>
    <t>NA.25.XII.268-6</t>
  </si>
  <si>
    <t>SN-0333</t>
  </si>
  <si>
    <t>MARSET BAN - GAJAH TUNGGAL / (11.00-12.00)-20</t>
  </si>
  <si>
    <t>NA.25.XII.268-5</t>
  </si>
  <si>
    <t>SN-0334</t>
  </si>
  <si>
    <t>MARSET BAN - GAJAH TUNGGAL / (9.00-10.00)-20</t>
  </si>
  <si>
    <t>NA.25.XII.268-4</t>
  </si>
  <si>
    <t>SN-0335</t>
  </si>
  <si>
    <t>NA.25.XII.268-3</t>
  </si>
  <si>
    <t>SN-0336</t>
  </si>
  <si>
    <t>MARSET BAN - GRAN PRIX / 7.50-16</t>
  </si>
  <si>
    <t>NA.25.XII.268-2</t>
  </si>
  <si>
    <t>SN-0337</t>
  </si>
  <si>
    <t>NA.25.XII.268-1</t>
  </si>
  <si>
    <t>SN-0338</t>
  </si>
  <si>
    <t>KUNCI RING PAS CrV - TEKIRO / 19 x 19mm</t>
  </si>
  <si>
    <t>VANDIKA</t>
  </si>
  <si>
    <t>MAINTENANCE CDO</t>
  </si>
  <si>
    <t>NA/25/XII/279</t>
  </si>
  <si>
    <t>NA.25.XII.279-6</t>
  </si>
  <si>
    <t>UNTUK TRACKING STPP AWAL MAINTENANCE DI CDO</t>
  </si>
  <si>
    <t>SN-0339</t>
  </si>
  <si>
    <t>KUNCI RING PAS CrV - TEKIRO / 22 x 22mm</t>
  </si>
  <si>
    <t>NA.25.XII.279-5</t>
  </si>
  <si>
    <t>SN-0340</t>
  </si>
  <si>
    <t>KUNCI RING PAS CrV - TEKIRO / 24 x 24mm</t>
  </si>
  <si>
    <t>NA.25.XII.279-4</t>
  </si>
  <si>
    <t>SN-0341</t>
  </si>
  <si>
    <t>NA.25.XII.279-3</t>
  </si>
  <si>
    <t>SN-0342</t>
  </si>
  <si>
    <t>SPRAY GUN - NRT-PRO / F-75</t>
  </si>
  <si>
    <t>NA.25.XII.279-2</t>
  </si>
  <si>
    <t>RI/NV/26/III/009</t>
  </si>
  <si>
    <t>DITARIK SEMENTARA DARI MAINTENANCE UNTUK DIGANTI NOZZLE SPRAY NYA KARENA RUSAK</t>
  </si>
  <si>
    <t>SN-0343</t>
  </si>
  <si>
    <t>SPRAY GUN - YUKIDO / F-75G</t>
  </si>
  <si>
    <t>NA.25.XII.279-1</t>
  </si>
  <si>
    <t>SN-0344</t>
  </si>
  <si>
    <t>(REFURBISHED) TOPENG LAS - ROHA</t>
  </si>
  <si>
    <t>NA/25/XII/306</t>
  </si>
  <si>
    <t>NA.25.XII.306-1</t>
  </si>
  <si>
    <t>PERBAIKAN KE 2 TOPENG LAS</t>
  </si>
  <si>
    <t>RI/NV/26/II/074</t>
  </si>
  <si>
    <t>RI.NV.26.II.074-1</t>
  </si>
  <si>
    <t>DITARIK SEMENTARA DARI MAINTENANCE KARENA AKAN DIGANTI KACA LAS NYA</t>
  </si>
  <si>
    <t>SN-0345</t>
  </si>
  <si>
    <t>NA/26/I/076</t>
  </si>
  <si>
    <t>NA.26.I.076-1</t>
  </si>
  <si>
    <t>UNTUK DIJADIKAN STPP KEMBALI SETELAH BARANG HILANG</t>
  </si>
  <si>
    <t>SN-0346</t>
  </si>
  <si>
    <t>NA/26/I/155</t>
  </si>
  <si>
    <t>UNTUK PERMINTAAN STPP DISTRIBUSI</t>
  </si>
  <si>
    <t>SN-0347</t>
  </si>
  <si>
    <t>SN-0348</t>
  </si>
  <si>
    <t>SN-0349</t>
  </si>
  <si>
    <t>SN-0350</t>
  </si>
  <si>
    <t>SN-0351</t>
  </si>
  <si>
    <t>SN-0352</t>
  </si>
  <si>
    <t>NA/26/I/157</t>
  </si>
  <si>
    <t>NA.26.I.157-1</t>
  </si>
  <si>
    <t>UNTUK PENGGANTIAN METERAN SAKU SOLIGEN YANG RUSAK</t>
  </si>
  <si>
    <t>2</t>
  </si>
  <si>
    <t>RI.NV.26.VI.008-2</t>
  </si>
  <si>
    <t>SN-0353</t>
  </si>
  <si>
    <t>NA/26/I/165</t>
  </si>
  <si>
    <t>NA.26.I.165-2</t>
  </si>
  <si>
    <t>TAMBAHAN STPP DISTRIBUSI KARENA ADA PENAMBAHAN PENGETESAN C2H2</t>
  </si>
  <si>
    <t>SN-0354</t>
  </si>
  <si>
    <t>NA.26.I.165-1</t>
  </si>
  <si>
    <t>SN-0355</t>
  </si>
  <si>
    <t>KUNCI RING PAS CrV - TEKIRO / 30 x 30mm</t>
  </si>
  <si>
    <t>BUDI</t>
  </si>
  <si>
    <t>NA/26/I/208</t>
  </si>
  <si>
    <t>NA.26.I.208-31</t>
  </si>
  <si>
    <t>PENDATAAN AWAL U/ TRACKING STPP MAINTENANCE GENERAL (BUDI) REFF: RI/NV/26/I/096</t>
  </si>
  <si>
    <t>SN-0356</t>
  </si>
  <si>
    <t>KUNCI RING PAS CrV - TEKIRO / 32 x 32mm</t>
  </si>
  <si>
    <t>NA.26.I.208-30</t>
  </si>
  <si>
    <t>SN-0357</t>
  </si>
  <si>
    <t>NA.26.I.208-29</t>
  </si>
  <si>
    <t>SN-0358</t>
  </si>
  <si>
    <t>KUNCI RING PAS CrV - MAC USA / 24 x 24mm</t>
  </si>
  <si>
    <t>NA.26.I.208-28</t>
  </si>
  <si>
    <t>SN-0359</t>
  </si>
  <si>
    <t>KUNCI RING PAS CrV - MAC USA / 22 x 22mm</t>
  </si>
  <si>
    <t>NA.26.I.208-27</t>
  </si>
  <si>
    <t>SN-0360</t>
  </si>
  <si>
    <t>KUNCI RING PAS CrV - HASTON PROHEX / 19 x 19mm</t>
  </si>
  <si>
    <t>NA.26.I.208-26</t>
  </si>
  <si>
    <t>SN-0361</t>
  </si>
  <si>
    <t>KUNCI PAS CrV - LOKAL / 22 x 24mm</t>
  </si>
  <si>
    <t>NA.26.I.208-25</t>
  </si>
  <si>
    <t>SN-0362</t>
  </si>
  <si>
    <t>KUNCI PAS CrV - LOKAL / 17 x 19mm</t>
  </si>
  <si>
    <t>NA.26.I.208-24</t>
  </si>
  <si>
    <t>SN-0363</t>
  </si>
  <si>
    <t>KUNCI RING CrV - LOKAL / 25 x 28mm</t>
  </si>
  <si>
    <t>NA.26.I.208-23</t>
  </si>
  <si>
    <t>SN-0364</t>
  </si>
  <si>
    <t>KUNCI RING CrV - HASTON PROHEX / 22 x 24mm</t>
  </si>
  <si>
    <t>NA.26.I.208-22</t>
  </si>
  <si>
    <t>SN-0365</t>
  </si>
  <si>
    <t>KUNCI RING CrV - HASTON PROHEX / 21 x 23mm</t>
  </si>
  <si>
    <t>NA.26.I.208-21</t>
  </si>
  <si>
    <t>SN-0366</t>
  </si>
  <si>
    <t>KUNCI RING CrV - HASTON PROHEX / 25 x 28mm</t>
  </si>
  <si>
    <t>NA.26.I.208-20</t>
  </si>
  <si>
    <t>SN-0367</t>
  </si>
  <si>
    <t>KUNCI RING CrV - HASTON PROHEX / 30 x 32mm</t>
  </si>
  <si>
    <t>NA.26.I.208-19</t>
  </si>
  <si>
    <t>SN-0368</t>
  </si>
  <si>
    <t>NA.26.I.208-18</t>
  </si>
  <si>
    <t>SN-0369</t>
  </si>
  <si>
    <t>NA.26.I.208-17</t>
  </si>
  <si>
    <t>SN-0370</t>
  </si>
  <si>
    <t>KUNCI RING PAS CrV - TEKIRO /WR-SE0296 / 8-24mm /
@11pcs</t>
  </si>
  <si>
    <t>NA.26.I.208-16</t>
  </si>
  <si>
    <t>SN-0371</t>
  </si>
  <si>
    <t>KUNCI L CrV - TEKIRO / HK-LS1200 / 2-10mm / @8pcs</t>
  </si>
  <si>
    <t>NA.26.I.208-15</t>
  </si>
  <si>
    <t>SN-0372</t>
  </si>
  <si>
    <t>NA.26.I.208-14</t>
  </si>
  <si>
    <t>SN-0373</t>
  </si>
  <si>
    <t>MATA KUNCI SOCK HEXAGONAL CrV - LOKAL / 27mm</t>
  </si>
  <si>
    <t>NA.26.I.208-13</t>
  </si>
  <si>
    <t>SN-0374</t>
  </si>
  <si>
    <t>MATA KUNCI SOCK HEXAGONAL CrV - LOKAL / 21mm</t>
  </si>
  <si>
    <t>NA.26.I.208-12</t>
  </si>
  <si>
    <t>SN-0375</t>
  </si>
  <si>
    <t>NA.26.I.208-11</t>
  </si>
  <si>
    <t>SN-0376</t>
  </si>
  <si>
    <t>MATA KUNCI SOCK HEXAGONAL CrV - LOKAL / 17mm</t>
  </si>
  <si>
    <t>NA.26.I.208-10</t>
  </si>
  <si>
    <t>SN-0377</t>
  </si>
  <si>
    <t>MATA KUNCI SOCK HEXAGONAL CrV - LOKAL / 12mm</t>
  </si>
  <si>
    <t>NA.26.I.208-9</t>
  </si>
  <si>
    <t>SN-0378</t>
  </si>
  <si>
    <t>MATA KUNCI SOCK HEXAGONAL CrV - LOKAL / 8mm</t>
  </si>
  <si>
    <t>NA.26.I.208-8</t>
  </si>
  <si>
    <t>SN-0379</t>
  </si>
  <si>
    <t>MATA KUNCI SOCK HEXAGONAL CrV - TEKIRO / 32mm</t>
  </si>
  <si>
    <t>NA.26.I.208-7</t>
  </si>
  <si>
    <t>SN-0380</t>
  </si>
  <si>
    <t>MATA KUNCI SOCK HEXAGONAL CrV - JETJO / 22mm</t>
  </si>
  <si>
    <t>NA.26.I.208-6</t>
  </si>
  <si>
    <t>SN-0381</t>
  </si>
  <si>
    <t>STANG RATCHET KUNCI SOCK CrV  - VELOZ / 1/2"</t>
  </si>
  <si>
    <t>NA.26.I.208-5</t>
  </si>
  <si>
    <t>SN-0382</t>
  </si>
  <si>
    <t>TANG SNAP RING EXTERNAL STRAIGHT - LOKAL / 7"</t>
  </si>
  <si>
    <t>NA.26.I.208-4</t>
  </si>
  <si>
    <t>SN-0383</t>
  </si>
  <si>
    <t>KUNCI BONIT GCE SS - 3 KAKI</t>
  </si>
  <si>
    <t>NA.26.I.208-3</t>
  </si>
  <si>
    <t>SN-0384</t>
  </si>
  <si>
    <t>KUNCI BONIT GCE SS - 2 KAKI</t>
  </si>
  <si>
    <t>NA.26.I.208-2</t>
  </si>
  <si>
    <t>SN-0385</t>
  </si>
  <si>
    <t>OBENG HANDLE MINUS(-) - LOKAL / 12" x 8mm</t>
  </si>
  <si>
    <t>NA.26.I.208-1</t>
  </si>
  <si>
    <t>SN-0386</t>
  </si>
  <si>
    <t>(REFURBISHED) KABEL STANG LAS - LOKAL / P = 6m</t>
  </si>
  <si>
    <t>NA/26/I/248</t>
  </si>
  <si>
    <t>NA.26.I.248-1</t>
  </si>
  <si>
    <t>DIKEMBALIKAN MENJADI STPP MAINTENANCE SETELAH DILAKUKAN PENGGANTIAN STANG LAS YANG RUSAK
REF RI: RI/NV/26/I/106 (29/01/26)</t>
  </si>
  <si>
    <t>SN-0387</t>
  </si>
  <si>
    <t>NA/26/I/005</t>
  </si>
  <si>
    <t>NA.26.I.005-4</t>
  </si>
  <si>
    <t>U/ STPP DISTRIBUSI</t>
  </si>
  <si>
    <t>SN-0388</t>
  </si>
  <si>
    <t>NA.26.I.005-3</t>
  </si>
  <si>
    <t>SN-0389</t>
  </si>
  <si>
    <t>NA.26.I.005-2</t>
  </si>
  <si>
    <t>SN-0390</t>
  </si>
  <si>
    <t>NA.26.I.005-1</t>
  </si>
  <si>
    <t>SN-0391</t>
  </si>
  <si>
    <t>NA/26/I/006</t>
  </si>
  <si>
    <t>NA.26.I.006-1</t>
  </si>
  <si>
    <t>U/ PERMINTAAN STPP TOOLS MAINTENANCE CDO</t>
  </si>
  <si>
    <t>SN-0392</t>
  </si>
  <si>
    <t>NA.26.I.006-2</t>
  </si>
  <si>
    <t>SN-0393</t>
  </si>
  <si>
    <t>(REFURBISHED) KABEL STANG LAS - LOKAL / P = 7m</t>
  </si>
  <si>
    <t>FARID</t>
  </si>
  <si>
    <t>NA/26/II/047</t>
  </si>
  <si>
    <t>NA.26.II.047-1</t>
  </si>
  <si>
    <t>DIKEMBALIKAN KE MAINTENANCE SEBAGAI STPP SETELAH DILAKUKAN PENGGANTIAN STANG LAS
REF RI: RI/NV/26/II/009 (05/02/26)</t>
  </si>
  <si>
    <t>SN-0394</t>
  </si>
  <si>
    <t>PRESSURE GAUGE SS 4" (EN837-1) - ARMATHERM / 4041682322 / 1/2" MNPT BR (BELOW) / 0-250(kg/cm²) 0-3500psi</t>
  </si>
  <si>
    <t>NA/26/II/076</t>
  </si>
  <si>
    <t>NA.26.II.076-1</t>
  </si>
  <si>
    <t>UNTUK KEPERLUAN QUALITY CHECK  ALAT PENGETESTAN PRESSURE GAUGE BARU, DAN DIJADIKAN STPP GUDANG</t>
  </si>
  <si>
    <t>SN-0395</t>
  </si>
  <si>
    <t>NA/26/II/137</t>
  </si>
  <si>
    <t>NA.26.II.137-1</t>
  </si>
  <si>
    <t>PENGGANTIAN PERTAMA (1) REGULATOR PROPANE YANG RUSAK</t>
  </si>
  <si>
    <t>SN-0396</t>
  </si>
  <si>
    <t>CORONG PLASTIK - LOKAL / @30cm</t>
  </si>
  <si>
    <t>NA/26/II/207</t>
  </si>
  <si>
    <t/>
  </si>
  <si>
    <t>UNTUK DIJADIKAN STPP</t>
  </si>
  <si>
    <t>SN-0397</t>
  </si>
  <si>
    <t>NANDA</t>
  </si>
  <si>
    <t>NA/26/II/208</t>
  </si>
  <si>
    <t>NA.26.II.208-1</t>
  </si>
  <si>
    <t>SN-0398</t>
  </si>
  <si>
    <t>SASONGKO</t>
  </si>
  <si>
    <t>NA/26/II/224</t>
  </si>
  <si>
    <t>NA.26.II.224-1</t>
  </si>
  <si>
    <t>UNTUK DIJADIKAN STPP KEMBALI SETELAH DILAKUKAN PENGGANTIAN KACA LAS
REF RI: RI/NV/26/II/074 &amp; RI/NV/26/II/075 (26/02/26)</t>
  </si>
  <si>
    <t>SN-0399</t>
  </si>
  <si>
    <t>(REFURBISHED) SPRAY GUN - NRT-PRO / F-75</t>
  </si>
  <si>
    <t>NA/26/III/065</t>
  </si>
  <si>
    <t>NA.26.III.065-89</t>
  </si>
  <si>
    <t>KEMBALI DIJADIKAN STPP MAINTENANCE SETELAH PENGGANTIAN</t>
  </si>
  <si>
    <t>SN-0400</t>
  </si>
  <si>
    <t>STIKER REFLEKTIF - E1 104R / 00821 / 5cm / KUNING</t>
  </si>
  <si>
    <t>FERRY</t>
  </si>
  <si>
    <t>NA/26/III/155</t>
  </si>
  <si>
    <t>NA.26.III.155-87</t>
  </si>
  <si>
    <t>UNTUK STPP MAINTENANCE KENDARAAN</t>
  </si>
  <si>
    <t>SN-0401</t>
  </si>
  <si>
    <t>STIKER REFLEKTIF - E1 104R / 00821 / 5cm / MERAH</t>
  </si>
  <si>
    <t>NA.26.III.155-88</t>
  </si>
  <si>
    <t>SN-0402</t>
  </si>
  <si>
    <t>(REFURBHISED) FLEXIBLE HOSE RUBBER R2 3/8"" - SUNFLEX / 1/4" FJIC SWIVEL GI x 1/4" FJIC GI / P = 2m</t>
  </si>
  <si>
    <t>01/10/025</t>
  </si>
  <si>
    <t>NA/25/X/002</t>
  </si>
  <si>
    <t>NA.25.X.002-1</t>
  </si>
  <si>
    <t>U/ STPP MAINTENANCE SAFARI GUNA PENGISIAN C2H2</t>
  </si>
  <si>
    <t>SN-0403</t>
  </si>
  <si>
    <t>(REFURBISHED) PENGUKUR TEKANAN TABUNG O2/N2/AR</t>
  </si>
  <si>
    <t>NA/26/IV/043</t>
  </si>
  <si>
    <t>14</t>
  </si>
  <si>
    <t>NA.26.IV.043-14</t>
  </si>
  <si>
    <t>UNTUK DIKEMBALIKAN SEBAGAI STPP DISTRIBUSI SETELAH PENGGANTIAN MANOMETER</t>
  </si>
  <si>
    <t>SN-0404</t>
  </si>
  <si>
    <t>NA/26/IV/066</t>
  </si>
  <si>
    <t>NA.26.IV.066-1</t>
  </si>
  <si>
    <t>U/ STPP MAINTENANCE DI CDO</t>
  </si>
  <si>
    <t>SN-0405</t>
  </si>
  <si>
    <t>KUNCI RING PAS CrV - WIPRO / 12 x 12mm</t>
  </si>
  <si>
    <t>NA.26.IV.066-2</t>
  </si>
  <si>
    <t>SN-0406</t>
  </si>
  <si>
    <t>KUNCI RING PAS CrV - WIPRO / 14 x 14mm</t>
  </si>
  <si>
    <t>3</t>
  </si>
  <si>
    <t>NA.26.IV.066-3</t>
  </si>
  <si>
    <t>SN-0407</t>
  </si>
  <si>
    <t>TANG KOMBINASI - WIPRO / 6"</t>
  </si>
  <si>
    <t>4</t>
  </si>
  <si>
    <t>NA.26.IV.066-4</t>
  </si>
  <si>
    <t>SN-0408</t>
  </si>
  <si>
    <t>TANG CUCUT - SOLIGEN / 6"</t>
  </si>
  <si>
    <t>5</t>
  </si>
  <si>
    <t>NA.26.IV.066-5</t>
  </si>
  <si>
    <t>SN-0409</t>
  </si>
  <si>
    <t>OBENG HANDLE MINUS(-) - WIPRO / WPS 171 / 4" x 6mm</t>
  </si>
  <si>
    <t>6</t>
  </si>
  <si>
    <t>NA.26.IV.066-6</t>
  </si>
  <si>
    <t>SN-0410</t>
  </si>
  <si>
    <t>OBENG HANDLE PLUS(+) - WIPRO / WPS 171 / 4" x 6mm</t>
  </si>
  <si>
    <t>7</t>
  </si>
  <si>
    <t>NA.26.IV.066-7</t>
  </si>
  <si>
    <t>SN-0411</t>
  </si>
  <si>
    <t>BOTTLE SPRAYER - LOKAL / @500ml</t>
  </si>
  <si>
    <t>8</t>
  </si>
  <si>
    <t>NA.26.IV.066-8</t>
  </si>
  <si>
    <t>SN-0412</t>
  </si>
  <si>
    <t>(REFURBHISED) BOR TANGAN - MODERN / M-2150 / 1/2" (13mm)</t>
  </si>
  <si>
    <t>NA/26/V/172</t>
  </si>
  <si>
    <t>NA.26.V.172-1</t>
  </si>
  <si>
    <t>SETELAH DIPERBAIKI U/ DIKELUARKAN &amp; DIAKTIFKAN KEMBALI SEBAGAI STPP MAINTENANCE MA</t>
  </si>
  <si>
    <t>SN-0413</t>
  </si>
  <si>
    <t>KUNCI RODA BAJA - LOKAL / 30 x 33mm</t>
  </si>
  <si>
    <t>YOKO</t>
  </si>
  <si>
    <t>W 8202 UW</t>
  </si>
  <si>
    <t>SEBAGAI STPP GENERAL TOOLS DAN NIPPLE HEAD TRUCK W 8202 UW</t>
  </si>
  <si>
    <t>SN-0414</t>
  </si>
  <si>
    <t>STANG KUNCI RODA BAJA - LOKAL / 30 x 33mm - LOKAL</t>
  </si>
  <si>
    <t>BA.01.WHEAD.0526.8202-2</t>
  </si>
  <si>
    <t>SN-0415</t>
  </si>
  <si>
    <t>SEGITIGA PENGAMAN - LOKAL / @2pcs</t>
  </si>
  <si>
    <t>BA.01.WHEAD.0526.8202-3</t>
  </si>
  <si>
    <t>SN-0416</t>
  </si>
  <si>
    <t>APAR CO2 (SNI) - TONATA / TNT-500KS / @5kg</t>
  </si>
  <si>
    <t>BA.01.WHEAD.0526.8202-4</t>
  </si>
  <si>
    <t>SN-0417</t>
  </si>
  <si>
    <t>PIPA SAMBUNGAN KUNCI RODA BAJA - LOKAL / 30 x 33mm</t>
  </si>
  <si>
    <t>BA.01.WHEAD.0526.8202-5</t>
  </si>
  <si>
    <t>SN-0418</t>
  </si>
  <si>
    <t>STANG DONGKRAK</t>
  </si>
  <si>
    <t>BA.01.WHEAD.0526.8202-6</t>
  </si>
  <si>
    <t>SN-0419</t>
  </si>
  <si>
    <t>DONGKRAK HIDROLIK - HAKAIRA / 50ton</t>
  </si>
  <si>
    <t>BA.01.WHEAD.0526.8202-7</t>
  </si>
  <si>
    <t>SN-0420</t>
  </si>
  <si>
    <t>KOTAK P3K</t>
  </si>
  <si>
    <t>BA.01.WHEAD.0526.8202-8</t>
  </si>
  <si>
    <t>SN-0421</t>
  </si>
  <si>
    <t>KAYU PENGGANJAL BAN - LOKAL</t>
  </si>
  <si>
    <t>9</t>
  </si>
  <si>
    <t>BA.01.WHEAD.0526.8202-9</t>
  </si>
  <si>
    <t>SN-0422</t>
  </si>
  <si>
    <t>10</t>
  </si>
  <si>
    <t>BA.01.WHEAD.0526.8202-10</t>
  </si>
  <si>
    <t>SN-0423</t>
  </si>
  <si>
    <t>DOUBLE NIPPLE SS - 1 1/2" MBSP</t>
  </si>
  <si>
    <t>11</t>
  </si>
  <si>
    <t>BA.01.WHEAD.0526.8202-11</t>
  </si>
  <si>
    <t>SN-0424</t>
  </si>
  <si>
    <t>DOUBLE NIPPLE SS - 1 1/2" MBSP x 1 1/2" MNPT / MWP 3000psi</t>
  </si>
  <si>
    <t>12</t>
  </si>
  <si>
    <t>BA.01.WHEAD.0526.8202-12</t>
  </si>
  <si>
    <t>SN-0425</t>
  </si>
  <si>
    <t>VERLOOP RING SS - 1 1/2" MBSP x 1" FNPT / MWP 3000psi</t>
  </si>
  <si>
    <t>13</t>
  </si>
  <si>
    <t>BA.01.WHEAD.0526.8202-13</t>
  </si>
  <si>
    <t>SN-0426</t>
  </si>
  <si>
    <t>DOUBLE NIPPLE SS - 1" MNPT / MWP 3000psi / P = 120mm</t>
  </si>
  <si>
    <t>BA.01.WHEAD.0526.8202-14</t>
  </si>
  <si>
    <t>SN-0427</t>
  </si>
  <si>
    <t>REDUCING COUPLING SS - 2" TANKY API x 1 1/2" FNPT / MWP 3000psi</t>
  </si>
  <si>
    <t>15</t>
  </si>
  <si>
    <t>BA.01.WHEAD.0526.8202-15</t>
  </si>
  <si>
    <t>SN-0428</t>
  </si>
  <si>
    <t>DOUBLE NIPPLE SS - 2" MBSP x 2" MNPT / MWP 3000psi</t>
  </si>
  <si>
    <t>16</t>
  </si>
  <si>
    <t>BA.01.WHEAD.0526.8202-16</t>
  </si>
  <si>
    <t>SN-0429</t>
  </si>
  <si>
    <t>17</t>
  </si>
  <si>
    <t>BA.01.WHEAD.0526.8202-17</t>
  </si>
  <si>
    <t>SN-0430</t>
  </si>
  <si>
    <t>EAR PLUG - BLUE EAGLE / EP5C</t>
  </si>
  <si>
    <t>18</t>
  </si>
  <si>
    <t>BA.01.WHEAD.0526.8202-18</t>
  </si>
  <si>
    <t>SN-0431</t>
  </si>
  <si>
    <t>19</t>
  </si>
  <si>
    <t>BA.01.WHEAD.0526.8202-19</t>
  </si>
  <si>
    <t>SN-0432</t>
  </si>
  <si>
    <t>KACAMATA SAFETY - LOKAL</t>
  </si>
  <si>
    <t>20</t>
  </si>
  <si>
    <t>BA.01.WHEAD.0526.8202-20</t>
  </si>
  <si>
    <t>SN-0433</t>
  </si>
  <si>
    <t>21</t>
  </si>
  <si>
    <t>BA.01.WHEAD.0526.8202-21</t>
  </si>
  <si>
    <t>SN-0434</t>
  </si>
  <si>
    <t>SAFETY HELMET - ASA / KUNING</t>
  </si>
  <si>
    <t>22</t>
  </si>
  <si>
    <t>BA.01.WHEAD.0526.8202-22</t>
  </si>
  <si>
    <t>SN-0435</t>
  </si>
  <si>
    <t>BA.01.WHEAD.0526.8202-23</t>
  </si>
  <si>
    <t>SN-0436</t>
  </si>
  <si>
    <t>24</t>
  </si>
  <si>
    <t>BA.01.WHEAD.0526.8202-24</t>
  </si>
  <si>
    <t>SN-0437</t>
  </si>
  <si>
    <t>KUNCI PIPA CrV - TEKIRO / WR-PP0293 / 24"</t>
  </si>
  <si>
    <t>25</t>
  </si>
  <si>
    <t>BA.01.WHEAD.0526.8202-25</t>
  </si>
  <si>
    <t>SN-0438</t>
  </si>
  <si>
    <t>KUNCI F - LOKAL</t>
  </si>
  <si>
    <t>26</t>
  </si>
  <si>
    <t>BA.01.WHEAD.0526.8202-26</t>
  </si>
  <si>
    <t>SN-0439</t>
  </si>
  <si>
    <t>GAGANG LANDING GEAR TRAILER</t>
  </si>
  <si>
    <t>27</t>
  </si>
  <si>
    <t>BA.01.WHEAD.0526.8202-27</t>
  </si>
  <si>
    <t>SN-0440</t>
  </si>
  <si>
    <t>W 8819 PF</t>
  </si>
  <si>
    <t>BA/02/WHEAD/1125/8819</t>
  </si>
  <si>
    <t>BA.02.WHEAD.1125.8819-1</t>
  </si>
  <si>
    <t>SEBAGAI STPP GENERAL TOOLS DAN NIPPLE HEAD TRUCK W 8819 PF</t>
  </si>
  <si>
    <t>SN-0441</t>
  </si>
  <si>
    <t>BA.02.WHEAD.1125.8819-2</t>
  </si>
  <si>
    <t>SN-0442</t>
  </si>
  <si>
    <t>BA.02.WHEAD.1125.8819-3</t>
  </si>
  <si>
    <t>SN-0443</t>
  </si>
  <si>
    <t>BA.02.WHEAD.1125.8819-4</t>
  </si>
  <si>
    <t>SN-0444</t>
  </si>
  <si>
    <t>BA.02.WHEAD.1125.8819-5</t>
  </si>
  <si>
    <t>SN-0445</t>
  </si>
  <si>
    <t>BA.02.WHEAD.1125.8819-6</t>
  </si>
  <si>
    <t>SN-0446</t>
  </si>
  <si>
    <t>BA.02.WHEAD.1125.8819-7</t>
  </si>
  <si>
    <t>SN-0447</t>
  </si>
  <si>
    <t>KARET PENGGANJAL BAN - LOKAL</t>
  </si>
  <si>
    <t>BA.02.WHEAD.1125.8819-8</t>
  </si>
  <si>
    <t>SN-0448</t>
  </si>
  <si>
    <t>BA.02.WHEAD.1125.8819-9</t>
  </si>
  <si>
    <t>SN-0449</t>
  </si>
  <si>
    <t>DOUBLE NIPPLE SS - 1 1/2" MBSP / MWP 3000psi</t>
  </si>
  <si>
    <t>BA.02.WHEAD.1125.8819-10</t>
  </si>
  <si>
    <t>SN-0450</t>
  </si>
  <si>
    <t>BA.02.WHEAD.1125.8819-11</t>
  </si>
  <si>
    <t>SN-0451</t>
  </si>
  <si>
    <t>BA.02.WHEAD.1125.8819-12</t>
  </si>
  <si>
    <t>SN-0452</t>
  </si>
  <si>
    <t>BA.02.WHEAD.1125.8819-13</t>
  </si>
  <si>
    <t>SN-0453</t>
  </si>
  <si>
    <t>BA.02.WHEAD.1125.8819-14</t>
  </si>
  <si>
    <t>SN-0454</t>
  </si>
  <si>
    <t>BA.02.WHEAD.1125.8819-15</t>
  </si>
  <si>
    <t>SN-0455</t>
  </si>
  <si>
    <t>BA.02.WHEAD.1125.8819-16</t>
  </si>
  <si>
    <t>SN-0456</t>
  </si>
  <si>
    <t>BA.02.WHEAD.1125.8819-17</t>
  </si>
  <si>
    <t>SN-0457</t>
  </si>
  <si>
    <t>BA.02.WHEAD.1125.8819-18</t>
  </si>
  <si>
    <t>SN-0458</t>
  </si>
  <si>
    <t>BA.02.WHEAD.1125.8819-19</t>
  </si>
  <si>
    <t>SN-0459</t>
  </si>
  <si>
    <t>BA.02.WHEAD.1125.8819-20</t>
  </si>
  <si>
    <t>SN-0460</t>
  </si>
  <si>
    <t>BA.02.WHEAD.1125.8819-21</t>
  </si>
  <si>
    <t>SN-0461</t>
  </si>
  <si>
    <t>BA.02.WHEAD.1125.8819-22</t>
  </si>
  <si>
    <t>SN-0462</t>
  </si>
  <si>
    <t>BA.02.WHEAD.1125.8819-23</t>
  </si>
  <si>
    <t>SN-0463</t>
  </si>
  <si>
    <t>KUNCI PIPA HEAVY DUTY - WIPRO / 72-3815-240 / 24"</t>
  </si>
  <si>
    <t>BA.02.WHEAD.1125.8819-24</t>
  </si>
  <si>
    <t>SN-0464</t>
  </si>
  <si>
    <t>BA.02.WHEAD.1125.8819-25</t>
  </si>
  <si>
    <t>SN-0465</t>
  </si>
  <si>
    <t>BA.02.WHEAD.1125.8819-26</t>
  </si>
  <si>
    <t>SN-0466</t>
  </si>
  <si>
    <t>W 8602 PE</t>
  </si>
  <si>
    <t>SEBAGAI STPP GENERAL TOOLS DAN NIPPLE HEAD TRUCK W 8602 PE</t>
  </si>
  <si>
    <t>SN-0467</t>
  </si>
  <si>
    <t>BA.03.HEAD.0526.8602-2</t>
  </si>
  <si>
    <t>SN-0468</t>
  </si>
  <si>
    <t>BA.03.HEAD.0526.8602-3</t>
  </si>
  <si>
    <t>SN-0469</t>
  </si>
  <si>
    <t>BA.03.HEAD.0526.8602-4</t>
  </si>
  <si>
    <t>SN-0470</t>
  </si>
  <si>
    <t>BA.03.HEAD.0526.8602-5</t>
  </si>
  <si>
    <t>SN-0471</t>
  </si>
  <si>
    <t>BA.03.HEAD.0526.8602-6</t>
  </si>
  <si>
    <t>SN-0472</t>
  </si>
  <si>
    <t>BA.03.HEAD.0526.8602-7</t>
  </si>
  <si>
    <t>SN-0473</t>
  </si>
  <si>
    <t>BA.03.HEAD.0526.8602-8</t>
  </si>
  <si>
    <t>SN-0474</t>
  </si>
  <si>
    <t>BA.03.HEAD.0526.8602-9</t>
  </si>
  <si>
    <t>SN-0475</t>
  </si>
  <si>
    <t>BA.03.HEAD.0526.8602-10</t>
  </si>
  <si>
    <t>SN-0476</t>
  </si>
  <si>
    <t>BA.03.HEAD.0526.8602-11</t>
  </si>
  <si>
    <t>SN-0477</t>
  </si>
  <si>
    <t>BA.03.HEAD.0526.8602-12</t>
  </si>
  <si>
    <t>SN-0478</t>
  </si>
  <si>
    <t>BA.03.HEAD.0526.8602-13</t>
  </si>
  <si>
    <t>SN-0479</t>
  </si>
  <si>
    <t>BA.03.HEAD.0526.8602-14</t>
  </si>
  <si>
    <t>SN-0480</t>
  </si>
  <si>
    <t>BA.03.HEAD.0526.8602-15</t>
  </si>
  <si>
    <t>SN-0481</t>
  </si>
  <si>
    <t>BA.03.HEAD.0526.8602-16</t>
  </si>
  <si>
    <t>SN-0482</t>
  </si>
  <si>
    <t>BA.03.HEAD.0526.8602-17</t>
  </si>
  <si>
    <t>SN-0483</t>
  </si>
  <si>
    <t>BA.03.HEAD.0526.8602-18</t>
  </si>
  <si>
    <t>SN-0484</t>
  </si>
  <si>
    <t>BA.03.HEAD.0526.8602-19</t>
  </si>
  <si>
    <t>SN-0485</t>
  </si>
  <si>
    <t>BA.03.HEAD.0526.8602-20</t>
  </si>
  <si>
    <t>SN-0486</t>
  </si>
  <si>
    <t>BA.03.HEAD.0526.8602-21</t>
  </si>
  <si>
    <t>SN-0487</t>
  </si>
  <si>
    <t>BA.03.HEAD.0526.8602-22</t>
  </si>
  <si>
    <t>SN-0488</t>
  </si>
  <si>
    <t>BA.03.HEAD.0526.8602-23</t>
  </si>
  <si>
    <t>SN-0489</t>
  </si>
  <si>
    <t>BA.03.HEAD.0526.8602-24</t>
  </si>
  <si>
    <t>SN-0490</t>
  </si>
  <si>
    <t>BA.03.HEAD.0526.8602-25</t>
  </si>
  <si>
    <t>SN-0491</t>
  </si>
  <si>
    <t>BA.03.HEAD.0526.8602-26</t>
  </si>
  <si>
    <t>SN-0492</t>
  </si>
  <si>
    <t>BA.03.HEAD.0526.8602-27</t>
  </si>
  <si>
    <t>SN-0493</t>
  </si>
  <si>
    <t>MUHIDIN</t>
  </si>
  <si>
    <t>B 9245 KEI</t>
  </si>
  <si>
    <t>BA/04/HEAD/0526/9249</t>
  </si>
  <si>
    <t>BA.04.HEAD.0526.9249-1</t>
  </si>
  <si>
    <t>SEBAGAI STPP GENERAL TOOLS DAN NIPPLE HEAD TRUCK B 9249 KEI</t>
  </si>
  <si>
    <t>SN-0494</t>
  </si>
  <si>
    <t>BA.04.HEAD.0526.9249-2</t>
  </si>
  <si>
    <t>SN-0495</t>
  </si>
  <si>
    <t>BA.04.HEAD.0526.9249-3</t>
  </si>
  <si>
    <t>SN-0496</t>
  </si>
  <si>
    <t>BA.04.HEAD.0526.9249-4</t>
  </si>
  <si>
    <t>SN-0497</t>
  </si>
  <si>
    <t>BA.04.HEAD.0526.9249-5</t>
  </si>
  <si>
    <t>SN-0498</t>
  </si>
  <si>
    <t>BA.04.HEAD.0526.9249-6</t>
  </si>
  <si>
    <t>SN-0499</t>
  </si>
  <si>
    <t>BA.04.HEAD.0526.9249-7</t>
  </si>
  <si>
    <t>SN-0500</t>
  </si>
  <si>
    <t>BA.04.HEAD.0526.9249-8</t>
  </si>
  <si>
    <t>SN-0501</t>
  </si>
  <si>
    <t>BA.04.HEAD.0526.9249-9</t>
  </si>
  <si>
    <t>SN-0502</t>
  </si>
  <si>
    <t>BA.04.HEAD.0526.9249-10</t>
  </si>
  <si>
    <t>SN-0503</t>
  </si>
  <si>
    <t>BA.04.HEAD.0526.9249-11</t>
  </si>
  <si>
    <t>SN-0504</t>
  </si>
  <si>
    <t>BA.04.HEAD.0526.9249-12</t>
  </si>
  <si>
    <t>SN-0505</t>
  </si>
  <si>
    <t>BA.04.HEAD.0526.9249-13</t>
  </si>
  <si>
    <t>SN-0506</t>
  </si>
  <si>
    <t>BA.04.HEAD.0526.9249-14</t>
  </si>
  <si>
    <t>SN-0507</t>
  </si>
  <si>
    <t>BA.04.HEAD.0526.9249-15</t>
  </si>
  <si>
    <t>SN-0508</t>
  </si>
  <si>
    <t>BA.04.HEAD.0526.9249-16</t>
  </si>
  <si>
    <t>SN-0509</t>
  </si>
  <si>
    <t>BA.04.HEAD.0526.9249-17</t>
  </si>
  <si>
    <t>SN-0510</t>
  </si>
  <si>
    <t>BA.04.HEAD.0526.9249-18</t>
  </si>
  <si>
    <t>SN-0511</t>
  </si>
  <si>
    <t>BA.04.HEAD.0526.9249-19</t>
  </si>
  <si>
    <t>SN-0512</t>
  </si>
  <si>
    <t>BA.04.HEAD.0526.9249-20</t>
  </si>
  <si>
    <t>SN-0513</t>
  </si>
  <si>
    <t>BA.04.HEAD.0526.9249-21</t>
  </si>
  <si>
    <t>SN-0514</t>
  </si>
  <si>
    <t>BA.04.HEAD.0526.9249-22</t>
  </si>
  <si>
    <t>SN-0515</t>
  </si>
  <si>
    <t>BA.04.HEAD.0526.9249-23</t>
  </si>
  <si>
    <t>SN-0516</t>
  </si>
  <si>
    <t>BA.04.HEAD.0526.9249-24</t>
  </si>
  <si>
    <t>SN-0517</t>
  </si>
  <si>
    <t>BA.04.HEAD.0526.9249-25</t>
  </si>
  <si>
    <t>SN-0518</t>
  </si>
  <si>
    <t>BA.04.HEAD.0526.9249-26</t>
  </si>
  <si>
    <t>SN-0519</t>
  </si>
  <si>
    <t>W 8270 QA</t>
  </si>
  <si>
    <t>05/WHEAD/0526/8270</t>
  </si>
  <si>
    <t>05.WHEAD.0526.8270-1</t>
  </si>
  <si>
    <t>SEBAGAI STPP GENERAL TOOLS DAN NIPPLE HEAD TRUCK W 8270 QA</t>
  </si>
  <si>
    <t>SN-0520</t>
  </si>
  <si>
    <t>05.WHEAD.0526.8270-2</t>
  </si>
  <si>
    <t>SN-0521</t>
  </si>
  <si>
    <t>05.WHEAD.0526.8270-3</t>
  </si>
  <si>
    <t>SN-0522</t>
  </si>
  <si>
    <t>05.WHEAD.0526.8270-4</t>
  </si>
  <si>
    <t>SN-0523</t>
  </si>
  <si>
    <t>05.WHEAD.0526.8270-5</t>
  </si>
  <si>
    <t>SN-0524</t>
  </si>
  <si>
    <t>05.WHEAD.0526.8270-6</t>
  </si>
  <si>
    <t>SN-0525</t>
  </si>
  <si>
    <t>05.WHEAD.0526.8270-7</t>
  </si>
  <si>
    <t>SN-0526</t>
  </si>
  <si>
    <t>05.WHEAD.0526.8270-8</t>
  </si>
  <si>
    <t>SN-0527</t>
  </si>
  <si>
    <t>05.WHEAD.0526.8270-9</t>
  </si>
  <si>
    <t>SN-0528</t>
  </si>
  <si>
    <t>05.WHEAD.0526.8270-10</t>
  </si>
  <si>
    <t>SN-0529</t>
  </si>
  <si>
    <t>05.WHEAD.0526.8270-11</t>
  </si>
  <si>
    <t>SN-0530</t>
  </si>
  <si>
    <t>05.WHEAD.0526.8270-12</t>
  </si>
  <si>
    <t>SN-0531</t>
  </si>
  <si>
    <t>05.WHEAD.0526.8270-13</t>
  </si>
  <si>
    <t>SN-0532</t>
  </si>
  <si>
    <t>05.WHEAD.0526.8270-14</t>
  </si>
  <si>
    <t>SN-0533</t>
  </si>
  <si>
    <t>DOUBLE NIPPLE BR - 1" MNPT</t>
  </si>
  <si>
    <t>05.WHEAD.0526.8270-15</t>
  </si>
  <si>
    <t>SN-0534</t>
  </si>
  <si>
    <t>05.WHEAD.0526.8270-16</t>
  </si>
  <si>
    <t>SN-0535</t>
  </si>
  <si>
    <t>05.WHEAD.0526.8270-17</t>
  </si>
  <si>
    <t>SN-0536</t>
  </si>
  <si>
    <t>05.WHEAD.0526.8270-18</t>
  </si>
  <si>
    <t>SN-0537</t>
  </si>
  <si>
    <t>05.WHEAD.0526.8270-19</t>
  </si>
  <si>
    <t>SN-0538</t>
  </si>
  <si>
    <t>05.WHEAD.0526.8270-20</t>
  </si>
  <si>
    <t>SN-0539</t>
  </si>
  <si>
    <t>05.WHEAD.0526.8270-21</t>
  </si>
  <si>
    <t>SN-0540</t>
  </si>
  <si>
    <t>05.WHEAD.0526.8270-22</t>
  </si>
  <si>
    <t>SN-0541</t>
  </si>
  <si>
    <t>05.WHEAD.0526.8270-23</t>
  </si>
  <si>
    <t>SN-0542</t>
  </si>
  <si>
    <t>05.WHEAD.0526.8270-24</t>
  </si>
  <si>
    <t>SN-0543</t>
  </si>
  <si>
    <t>05.WHEAD.0526.8270-25</t>
  </si>
  <si>
    <t>SN-0544</t>
  </si>
  <si>
    <t>05.WHEAD.0526.8270-26</t>
  </si>
  <si>
    <t>SN-0545</t>
  </si>
  <si>
    <t>05.WHEAD.0526.8270-27</t>
  </si>
  <si>
    <t>SN-0546</t>
  </si>
  <si>
    <t>28</t>
  </si>
  <si>
    <t>05.WHEAD.0526.8270-28</t>
  </si>
  <si>
    <t>SN-0547</t>
  </si>
  <si>
    <t>06/WHEAD/0526/9245</t>
  </si>
  <si>
    <t>06.WHEAD.0526.9245-1</t>
  </si>
  <si>
    <t>SEBAGAI STPP GENERAL TOOLS DAN NIPPLE HEAD TRUCK B 9245 KEI</t>
  </si>
  <si>
    <t>SN-0548</t>
  </si>
  <si>
    <t>06.WHEAD.0526.9245-2</t>
  </si>
  <si>
    <t>SN-0549</t>
  </si>
  <si>
    <t>06.WHEAD.0526.9245-3</t>
  </si>
  <si>
    <t>SN-0550</t>
  </si>
  <si>
    <t>APAR CO2 (SNI)</t>
  </si>
  <si>
    <t>06.WHEAD.0526.9245-4</t>
  </si>
  <si>
    <t>SN-0551</t>
  </si>
  <si>
    <t>06.WHEAD.0526.9245-5</t>
  </si>
  <si>
    <t>SN-0552</t>
  </si>
  <si>
    <t>06.WHEAD.0526.9245-6</t>
  </si>
  <si>
    <t>SN-0553</t>
  </si>
  <si>
    <t>06.WHEAD.0526.9245-7</t>
  </si>
  <si>
    <t>SN-0554</t>
  </si>
  <si>
    <t>06.WHEAD.0526.9245-8</t>
  </si>
  <si>
    <t>SN-0555</t>
  </si>
  <si>
    <t>06.WHEAD.0526.9245-9</t>
  </si>
  <si>
    <t>SN-0556</t>
  </si>
  <si>
    <t>06.WHEAD.0526.9245-10</t>
  </si>
  <si>
    <t>SN-0557</t>
  </si>
  <si>
    <t>06.WHEAD.0526.9245-11</t>
  </si>
  <si>
    <t>SN-0558</t>
  </si>
  <si>
    <t>06.WHEAD.0526.9245-12</t>
  </si>
  <si>
    <t>SN-0559</t>
  </si>
  <si>
    <t>06.WHEAD.0526.9245-13</t>
  </si>
  <si>
    <t>SN-0560</t>
  </si>
  <si>
    <t>06.WHEAD.0526.9245-14</t>
  </si>
  <si>
    <t>SN-0561</t>
  </si>
  <si>
    <t>06.WHEAD.0526.9245-15</t>
  </si>
  <si>
    <t>SN-0562</t>
  </si>
  <si>
    <t>06.WHEAD.0526.9245-16</t>
  </si>
  <si>
    <t>SN-0563</t>
  </si>
  <si>
    <t>06.WHEAD.0526.9245-17</t>
  </si>
  <si>
    <t>SN-0564</t>
  </si>
  <si>
    <t>06.WHEAD.0526.9245-18</t>
  </si>
  <si>
    <t>SN-0565</t>
  </si>
  <si>
    <t>06.WHEAD.0526.9245-19</t>
  </si>
  <si>
    <t>SN-0566</t>
  </si>
  <si>
    <t>06.WHEAD.0526.9245-20</t>
  </si>
  <si>
    <t>SN-0567</t>
  </si>
  <si>
    <t>06.WHEAD.0526.9245-21</t>
  </si>
  <si>
    <t>SN-0568</t>
  </si>
  <si>
    <t>06.WHEAD.0526.9245-22</t>
  </si>
  <si>
    <t>SN-0569</t>
  </si>
  <si>
    <t>06.WHEAD.0526.9245-23</t>
  </si>
  <si>
    <t>SN-0570</t>
  </si>
  <si>
    <t>06.WHEAD.0526.9245-24</t>
  </si>
  <si>
    <t>SN-0571</t>
  </si>
  <si>
    <t>06.WHEAD.0526.9245-25</t>
  </si>
  <si>
    <t>SN-0572</t>
  </si>
  <si>
    <t>06.WHEAD.0526.9245-26</t>
  </si>
  <si>
    <t>SN-0573</t>
  </si>
  <si>
    <t>NA/26/VI/039</t>
  </si>
  <si>
    <t>NA.26.VI.039-1</t>
  </si>
  <si>
    <t>UNTUK PENGGANTIAN METERAN MAINTENANCE YANG RUSAK, REF RI: RI/NV/26/VI/008
NO SERI ITEM STPP: SN-0352</t>
  </si>
  <si>
    <t>SN-0574</t>
  </si>
  <si>
    <t>MONITOR - HP / E24 G4 FHD MONITOR</t>
  </si>
  <si>
    <t>ESTI</t>
  </si>
  <si>
    <t>BA/PAC-SIG/2026.01</t>
  </si>
  <si>
    <t>BA.PAC-SIG.2026.01-1</t>
  </si>
  <si>
    <t>TRACKING AWAL STPP ACCOUNTING PEMBELIAN ESTI</t>
  </si>
  <si>
    <t>SN-0575</t>
  </si>
  <si>
    <t xml:space="preserve">KEYBOARD WIRED - HP / TPA P001K </t>
  </si>
  <si>
    <t>BA.PAC-SIG.2026.01-2</t>
  </si>
  <si>
    <t>SN-0576</t>
  </si>
  <si>
    <t xml:space="preserve">MOUSE WIRED - LOGITECH / MR </t>
  </si>
  <si>
    <t>BA.PAC-SIG.2026.01-3</t>
  </si>
  <si>
    <t>SN-0577</t>
  </si>
  <si>
    <t>SYSTEM UNIT HP - SIG 025</t>
  </si>
  <si>
    <t>BA.PAC-SIG.2026.01-4</t>
  </si>
  <si>
    <t>SN-0578</t>
  </si>
  <si>
    <t>UPS - APC</t>
  </si>
  <si>
    <t>BA.PAC-SIG.2026.01-5</t>
  </si>
  <si>
    <t>SN-0579</t>
  </si>
  <si>
    <t>PRINTER - CANON / PIXMA G4770</t>
  </si>
  <si>
    <t>BA.PAC-SIG.2026.01-6</t>
  </si>
  <si>
    <t>SN-0580</t>
  </si>
  <si>
    <t>PESAWAT TELP - PANASONIC KX / TS505MX</t>
  </si>
  <si>
    <t>BA.PAC-SIG.2026.01-7</t>
  </si>
  <si>
    <t>SN-0581</t>
  </si>
  <si>
    <t xml:space="preserve">MONITOR - HP / E233 / 23" </t>
  </si>
  <si>
    <t>UTAMI</t>
  </si>
  <si>
    <t>BA/PAC-SIG/2026.02</t>
  </si>
  <si>
    <t>BA.PAC-SIG.2026.02-1</t>
  </si>
  <si>
    <t>TRACKING AWAL STPP ACCOUNTING PEMBELIAN UTAMI</t>
  </si>
  <si>
    <t>SN-0582</t>
  </si>
  <si>
    <t>KEYBOARD WIRED - HP / HSA A013K</t>
  </si>
  <si>
    <t>BA.PAC-SIG.2026.02-2</t>
  </si>
  <si>
    <t>SN-0583</t>
  </si>
  <si>
    <t>MOUSE WIRED - HP / HSA A017M</t>
  </si>
  <si>
    <t>BA.PAC-SIG.2026.02-3</t>
  </si>
  <si>
    <t>SN-0584</t>
  </si>
  <si>
    <t>SYSTEM UNIT HP - SIG 024</t>
  </si>
  <si>
    <t>BA.PAC-SIG.2026.02-4</t>
  </si>
  <si>
    <t>SN-0585</t>
  </si>
  <si>
    <t>BA.PAC-SIG.2026.02-5</t>
  </si>
  <si>
    <t>SN-0586</t>
  </si>
  <si>
    <t>RONY</t>
  </si>
  <si>
    <t>BA/PAC-SIG/2026.03</t>
  </si>
  <si>
    <t>BA.PAC-SIG.2026.03-1</t>
  </si>
  <si>
    <t>TRACKING AWAL STPP ACCOUNTING PEMBELIAN RONY</t>
  </si>
  <si>
    <t>SN-0587</t>
  </si>
  <si>
    <t>KEYBOARD WIRED - HP / SK2086</t>
  </si>
  <si>
    <t>BA.PAC-SIG.2026.03-2</t>
  </si>
  <si>
    <t>SN-0588</t>
  </si>
  <si>
    <t>MOUSE WIRED - LOGITECH / B100</t>
  </si>
  <si>
    <t>BA.PAC-SIG.2026.03-3</t>
  </si>
  <si>
    <t>SN-0589</t>
  </si>
  <si>
    <t>SYSTEM UNIT HP - SIG 027</t>
  </si>
  <si>
    <t>BA.PAC-SIG.2026.03-4</t>
  </si>
  <si>
    <t>SN-0590</t>
  </si>
  <si>
    <t>BA.PAC-SIG.2026.03-5</t>
  </si>
  <si>
    <t>SN-0591</t>
  </si>
  <si>
    <t>PRINTER - EPSON / L3210</t>
  </si>
  <si>
    <t>BA.PAC-SIG.2026.03-6</t>
  </si>
  <si>
    <t>SN-0592</t>
  </si>
  <si>
    <t>UPS - PROLINK / PRO700SFC</t>
  </si>
  <si>
    <t>BA.PAC-SIG.2026.03-7</t>
  </si>
  <si>
    <t>SN-0593</t>
  </si>
  <si>
    <t xml:space="preserve">MONITOR - HP / V223 </t>
  </si>
  <si>
    <t>BIMA</t>
  </si>
  <si>
    <t>BA/PAC-SIG/2026.04</t>
  </si>
  <si>
    <t>BA.PAC-SIG.2026.04-1</t>
  </si>
  <si>
    <t>TRACKING AWAL STPP ACCOUNTING PEMBELIAN BIMA</t>
  </si>
  <si>
    <t>SN-0594</t>
  </si>
  <si>
    <t>BA.PAC-SIG.2026.04-2</t>
  </si>
  <si>
    <t>SN-0595</t>
  </si>
  <si>
    <t>MOUSE WIRED - LOKAL</t>
  </si>
  <si>
    <t>BA.PAC-SIG.2026.04-3</t>
  </si>
  <si>
    <t>SN-0596</t>
  </si>
  <si>
    <t>SYSTEM UNIT HP - SIG / SU /033</t>
  </si>
  <si>
    <t>BA.PAC-SIG.2026.04-4</t>
  </si>
  <si>
    <t>SN-0597</t>
  </si>
  <si>
    <t>DAFFA</t>
  </si>
  <si>
    <t>BA/PCS-SIG/2026.01</t>
  </si>
  <si>
    <t>BA.PCS-SIG.2026.01-1</t>
  </si>
  <si>
    <t>TRACKING AWAL STPP PURCHASING DAFFA</t>
  </si>
  <si>
    <t>SN-0598</t>
  </si>
  <si>
    <t>KEYBOARD WIRELESS - HP / HSA-P003K</t>
  </si>
  <si>
    <t>BA.PCS-SIG.2026.01-2</t>
  </si>
  <si>
    <t>SN-0599</t>
  </si>
  <si>
    <t>MOUSE WIRELESS - HP / S1500</t>
  </si>
  <si>
    <t>BA.PCS-SIG.2026.01-3</t>
  </si>
  <si>
    <t>RI/NV/26/VII/007</t>
  </si>
  <si>
    <t>RI.NV.26.VII.007-3</t>
  </si>
  <si>
    <t>BARTER DARI PENGELUARAN MOUSE UNTUK PURCHASING A.N DAFFA, REF NPBG: NA/26/VII012 (02.07.26)
- NOTES: MOUSE MASIH DAPAT DIGUNAKAN</t>
  </si>
  <si>
    <t>SN-0600</t>
  </si>
  <si>
    <t>SYSTEM UNIT HP - SIG 026</t>
  </si>
  <si>
    <t>BA.PCS-SIG.2026.01-4</t>
  </si>
  <si>
    <t>SN-0601</t>
  </si>
  <si>
    <t>BA.PCS-SIG.2026.01-5</t>
  </si>
  <si>
    <t>SN-0602</t>
  </si>
  <si>
    <t>PRINTER - CANON / PIXMA G2010</t>
  </si>
  <si>
    <t>BA.PCS-SIG.2026.01-6</t>
  </si>
  <si>
    <t>SN-0603</t>
  </si>
  <si>
    <t>BA.PCS-SIG.2026.01-7</t>
  </si>
  <si>
    <t>SN-0604</t>
  </si>
  <si>
    <t>SHEREN</t>
  </si>
  <si>
    <t>BA/PCS-SIG/2026.02</t>
  </si>
  <si>
    <t>BA.PCS-SIG.2026.02-1</t>
  </si>
  <si>
    <t>TRACKING AWAL STPP PURCHASING SHEREN</t>
  </si>
  <si>
    <t>SN-0605</t>
  </si>
  <si>
    <t>BA.PCS-SIG.2026.02-2</t>
  </si>
  <si>
    <t>SN-0606</t>
  </si>
  <si>
    <t>BA.PCS-SIG.2026.02-3</t>
  </si>
  <si>
    <t>SN-0607</t>
  </si>
  <si>
    <t>SYSTEM UNIT HP - SIG 023</t>
  </si>
  <si>
    <t>BA.PCS-SIG.2026.02-4</t>
  </si>
  <si>
    <t>SN-0608</t>
  </si>
  <si>
    <t>BA.PCS-SIG.2026.02-5</t>
  </si>
  <si>
    <t>SN-0609</t>
  </si>
  <si>
    <t>MONITOR - HP / M22F FHD</t>
  </si>
  <si>
    <t>RENDY</t>
  </si>
  <si>
    <t>BA/AT-SIG/2026.01</t>
  </si>
  <si>
    <t>BA.AT-SIG.2026.01-1</t>
  </si>
  <si>
    <t>TRACKING AWAL STPP ADMIN TABUNG RENDY</t>
  </si>
  <si>
    <t>SN-0610</t>
  </si>
  <si>
    <t>KEYBOARD WIRED - HP / 125</t>
  </si>
  <si>
    <t>BA.AT-SIG.2026.01-2</t>
  </si>
  <si>
    <t>SN-0611</t>
  </si>
  <si>
    <t>MOUSE WIRED - HP</t>
  </si>
  <si>
    <t>BA.AT-SIG.2026.01-3</t>
  </si>
  <si>
    <t>SN-0612</t>
  </si>
  <si>
    <t>SYSTEM UNIT HP - SIG 013</t>
  </si>
  <si>
    <t>BA.AT-SIG.2026.01-4</t>
  </si>
  <si>
    <t>SN-0613</t>
  </si>
  <si>
    <t>BA.AT-SIG.2026.01-5</t>
  </si>
  <si>
    <t>SN-0614</t>
  </si>
  <si>
    <t>PRINTER - EPSON / LX310</t>
  </si>
  <si>
    <t>BA.AT-SIG.2026.01-6</t>
  </si>
  <si>
    <t>SN-0615</t>
  </si>
  <si>
    <t>MONITOR - LG / M22F FHD</t>
  </si>
  <si>
    <t>JORGY</t>
  </si>
  <si>
    <t>BA/AT-SIG/2026.02</t>
  </si>
  <si>
    <t>BA.AT-SIG.2026.02-1</t>
  </si>
  <si>
    <t>TRACKING AWAL STPP ADMIN TABUNG JORGY</t>
  </si>
  <si>
    <t>SN-0616</t>
  </si>
  <si>
    <t>BA.AT-SIG.2026.02-2</t>
  </si>
  <si>
    <t>SN-0617</t>
  </si>
  <si>
    <t>BA.AT-SIG.2026.02-3</t>
  </si>
  <si>
    <t>SN-0618</t>
  </si>
  <si>
    <t>BA.AT-SIG.2026.02-4</t>
  </si>
  <si>
    <t>SN-0619</t>
  </si>
  <si>
    <t>BA.AT-SIG.2026.02-5</t>
  </si>
  <si>
    <t>SN-0620</t>
  </si>
  <si>
    <t>BA.AT-SIG.2026.02-6</t>
  </si>
  <si>
    <t>SN-0621</t>
  </si>
  <si>
    <t>IKA</t>
  </si>
  <si>
    <t>BA/AT-SIG/2026.03</t>
  </si>
  <si>
    <t>BA.AT-SIG.2026.03-1</t>
  </si>
  <si>
    <t>TRACKING AWAL STPP ADMIN TABUNG IKA</t>
  </si>
  <si>
    <t>SN-0622</t>
  </si>
  <si>
    <t>KEYBOARD WIRED LOGITECH - K120</t>
  </si>
  <si>
    <t>BA.AT-SIG.2026.03-2</t>
  </si>
  <si>
    <t>SN-0623</t>
  </si>
  <si>
    <t>MOUSE WIRED - HP / 150</t>
  </si>
  <si>
    <t>BA.AT-SIG.2026.03-3</t>
  </si>
  <si>
    <t>SN-0624</t>
  </si>
  <si>
    <t>SYSTEM UNIT HP - SIG 014</t>
  </si>
  <si>
    <t>BA.AT-SIG.2026.03-4</t>
  </si>
  <si>
    <t>SN-0625</t>
  </si>
  <si>
    <t>UPS - ICA</t>
  </si>
  <si>
    <t>BA.AT-SIG.2026.03-5</t>
  </si>
  <si>
    <t>SN-0626</t>
  </si>
  <si>
    <t>BA.AT-SIG.2026.03-6</t>
  </si>
  <si>
    <t>SN-0627</t>
  </si>
  <si>
    <t>MISSE</t>
  </si>
  <si>
    <t>BA/AT-SIG/2026.04</t>
  </si>
  <si>
    <t>BA.AT-SIG.2026.04-1</t>
  </si>
  <si>
    <t>TRACKING AWAL STPP ADMIN TABUNG MISSE</t>
  </si>
  <si>
    <t>SN-0628</t>
  </si>
  <si>
    <t>KEYBOARD WIRED HP - SK2806</t>
  </si>
  <si>
    <t>BA.AT-SIG.2026.04-2</t>
  </si>
  <si>
    <t>SN-0629</t>
  </si>
  <si>
    <t>BA.AT-SIG.2026.04-3</t>
  </si>
  <si>
    <t>SN-0630</t>
  </si>
  <si>
    <t>SYSTEM UNIT HP - SIG 017</t>
  </si>
  <si>
    <t>BA.AT-SIG.2026.04-4</t>
  </si>
  <si>
    <t>SN-0631</t>
  </si>
  <si>
    <t>BA.AT-SIG.2026.04-5</t>
  </si>
  <si>
    <t>SN-0632</t>
  </si>
  <si>
    <t>BA.AT-SIG.2026.04-6</t>
  </si>
  <si>
    <t>SN-0633</t>
  </si>
  <si>
    <t>BA.AT-SIG.2026.04-7</t>
  </si>
  <si>
    <t>SN-0634</t>
  </si>
  <si>
    <t>MONITOR - HP / PAVILION 20FI / 20” IPS LED</t>
  </si>
  <si>
    <t>TIARA</t>
  </si>
  <si>
    <t>BA/AT-SIG/2026.05</t>
  </si>
  <si>
    <t>BA.AT-SIG.2026.05-1</t>
  </si>
  <si>
    <t>TRACKING AWAL STPP ADMIN TABUNG TIARA</t>
  </si>
  <si>
    <t>SN-0635</t>
  </si>
  <si>
    <t>BA.AT-SIG.2026.05-2</t>
  </si>
  <si>
    <t>SN-0636</t>
  </si>
  <si>
    <t>MOUSE WIRED - LOGITECH / MU0026</t>
  </si>
  <si>
    <t>BA.AT-SIG.2026.05-3</t>
  </si>
  <si>
    <t>SN-0637</t>
  </si>
  <si>
    <t>SYSTEM UNIT HP - SIG 015</t>
  </si>
  <si>
    <t>BA.AT-SIG.2026.05-4</t>
  </si>
  <si>
    <t>SN-0638</t>
  </si>
  <si>
    <t>BA.AT-SIG.2026.05-5</t>
  </si>
  <si>
    <t>SN-0639</t>
  </si>
  <si>
    <t>PRINTER - EPSON / L3110</t>
  </si>
  <si>
    <t>BA.AT-SIG.2026.05-6</t>
  </si>
  <si>
    <t>SN-0640</t>
  </si>
  <si>
    <t>BA/DIS-SIG/2026.01</t>
  </si>
  <si>
    <t>BA.DIS-SIG.2026.01-1</t>
  </si>
  <si>
    <t>TRACKING AWAL STPP DISTRIBUSI KEVIN</t>
  </si>
  <si>
    <t>SN-0641</t>
  </si>
  <si>
    <t>BA.DIS-SIG.2026.01-2</t>
  </si>
  <si>
    <t>SN-0642</t>
  </si>
  <si>
    <t>BA.DIS-SIG.2026.01-3</t>
  </si>
  <si>
    <t>SN-0643</t>
  </si>
  <si>
    <t>PC HP - SIG 020</t>
  </si>
  <si>
    <t>BA.DIS-SIG.2026.01-4</t>
  </si>
  <si>
    <t>SN-0644</t>
  </si>
  <si>
    <t>UPS - APC MODEL BX65021-MS</t>
  </si>
  <si>
    <t>BA.DIS-SIG.2026.01-5</t>
  </si>
  <si>
    <t>SN-0645</t>
  </si>
  <si>
    <t>PRINTER - HP DESKJET / 2060</t>
  </si>
  <si>
    <t>BA.DIS-SIG.2026.01-6</t>
  </si>
  <si>
    <t>SN-0646</t>
  </si>
  <si>
    <t>BA.DIS-SIG.2026.01-7</t>
  </si>
  <si>
    <t>SN-0647</t>
  </si>
  <si>
    <t>BA/DIS-SIG/2026.02</t>
  </si>
  <si>
    <t>BA.DIS-SIG.2026.02-1</t>
  </si>
  <si>
    <t>TRACKING AWAL STPP DISTRIBUSI SONY</t>
  </si>
  <si>
    <t>SN-0648</t>
  </si>
  <si>
    <t xml:space="preserve">MONITOR - INVORCE </t>
  </si>
  <si>
    <t>ANDYAN</t>
  </si>
  <si>
    <t>BA/DIS-SIG/2026.03</t>
  </si>
  <si>
    <t>BA.DIS-SIG.2026.03-1</t>
  </si>
  <si>
    <t>TRACKING AWAL STPP DISTRIBUSI ANDYAN</t>
  </si>
  <si>
    <t>SN-0649</t>
  </si>
  <si>
    <t>KEYBOARD WIRED - LOGITECH</t>
  </si>
  <si>
    <t>BA.DIS-SIG.2026.03-2</t>
  </si>
  <si>
    <t>SN-0650</t>
  </si>
  <si>
    <t>MOUSE WIRED - LOGITECH</t>
  </si>
  <si>
    <t>BA.DIS-SIG.2026.03-3</t>
  </si>
  <si>
    <t>SN-0651</t>
  </si>
  <si>
    <t>PC TYREX - SIG 021</t>
  </si>
  <si>
    <t>BA.DIS-SIG.2026.03-4</t>
  </si>
  <si>
    <t>SN-0652</t>
  </si>
  <si>
    <t>BA/DIS-SIG/2026.04</t>
  </si>
  <si>
    <t>BA.DIS-SIG.2026.04-1</t>
  </si>
  <si>
    <t>TRACKING AWAL STPP DISTRIBUSI DISTRIBUSI</t>
  </si>
  <si>
    <t>SN-0653</t>
  </si>
  <si>
    <t>MONITOR - HP / V913B</t>
  </si>
  <si>
    <t>NINING</t>
  </si>
  <si>
    <t>BA/GEN-SIG/2026.01</t>
  </si>
  <si>
    <t>BA.GEN-SIG.2026.01-1</t>
  </si>
  <si>
    <t>TRACKING AWAL STPP GENERAL SERVICE NINING</t>
  </si>
  <si>
    <t>SN-0654</t>
  </si>
  <si>
    <t>KEYBOARD WIRED - LOGITECH / K120</t>
  </si>
  <si>
    <t>BA.GEN-SIG.2026.01-2</t>
  </si>
  <si>
    <t>SN-0655</t>
  </si>
  <si>
    <t xml:space="preserve">MOUSE WIRED - LOGITECH </t>
  </si>
  <si>
    <t>BA.GEN-SIG.2026.01-3</t>
  </si>
  <si>
    <t>SN-0656</t>
  </si>
  <si>
    <t>SYSTEM UNIT HP - SIG 034</t>
  </si>
  <si>
    <t>BA.GEN-SIG.2026.01-4</t>
  </si>
  <si>
    <t>SN-0657</t>
  </si>
  <si>
    <t>PESAWAT TELP - PANASONIC / KXT-7730</t>
  </si>
  <si>
    <t>BA.GEN-SIG.2026.01-5</t>
  </si>
  <si>
    <t>SN-0658</t>
  </si>
  <si>
    <t>BA.GEN-SIG.2026.01-6</t>
  </si>
  <si>
    <t>SN-0659</t>
  </si>
  <si>
    <t>PESAWAT TELP - PANASONIC / KX-T2373MXW</t>
  </si>
  <si>
    <t>BA.GEN-SIG.2026.01-7</t>
  </si>
  <si>
    <t>SN-0660</t>
  </si>
  <si>
    <t>JASON</t>
  </si>
  <si>
    <t>BA/MNG-SIG/2026.01</t>
  </si>
  <si>
    <t>BA.MNG-SIG.2026.01-1</t>
  </si>
  <si>
    <t>TRACKING AWAL STPP GENERAL MANAGER JASON</t>
  </si>
  <si>
    <t>SN-0661</t>
  </si>
  <si>
    <t>KEYBOARD WIRED - HP / HSA - A0134</t>
  </si>
  <si>
    <t>BA.MNG-SIG.2026.01-2</t>
  </si>
  <si>
    <t>SN-0662</t>
  </si>
  <si>
    <t>BA.MNG-SIG.2026.01-3</t>
  </si>
  <si>
    <t>SN-0663</t>
  </si>
  <si>
    <t>SYSTEM UNIT HP - SIG 039</t>
  </si>
  <si>
    <t>BA.MNG-SIG.2026.01-4</t>
  </si>
  <si>
    <t>SN-0664</t>
  </si>
  <si>
    <t>UPS - ICA / CN650</t>
  </si>
  <si>
    <t>BA.MNG-SIG.2026.01-5</t>
  </si>
  <si>
    <t>SN-0665</t>
  </si>
  <si>
    <t>BA.MNG-SIG.2026.01-6</t>
  </si>
  <si>
    <t>SN-0666</t>
  </si>
  <si>
    <t>LEPTOP MSI - Core I7 9th Gen</t>
  </si>
  <si>
    <t>BA/INV-SIG/2026.01</t>
  </si>
  <si>
    <t>BA.INV-SIG.2026.01-1</t>
  </si>
  <si>
    <t>TRACKING AWAL STPP INVENTORY WAHYU</t>
  </si>
  <si>
    <t>SN-0667</t>
  </si>
  <si>
    <t>BA.INV-SIG.2026.01-2</t>
  </si>
  <si>
    <t>SN-0668</t>
  </si>
  <si>
    <t xml:space="preserve">PRINTER LABEL - KASSEN E460 </t>
  </si>
  <si>
    <t>BA.INV-SIG.2026.01-3</t>
  </si>
  <si>
    <t>SN-0669</t>
  </si>
  <si>
    <t>BA/INV-SIG/2026.02</t>
  </si>
  <si>
    <t>BA.INV-SIG.2026.02-1</t>
  </si>
  <si>
    <t>TRACKING AWAL STPP INVENTORY ROSUL</t>
  </si>
  <si>
    <t>SN-0670</t>
  </si>
  <si>
    <t>BA.INV-SIG.2026.02-2</t>
  </si>
  <si>
    <t>SN-0671</t>
  </si>
  <si>
    <t>KEYBOARD WIRED - HP / 240J7AA</t>
  </si>
  <si>
    <t>BA.INV-SIG.2026.02-3</t>
  </si>
  <si>
    <t>SN-0672</t>
  </si>
  <si>
    <t>SYSTEM UNIT - SIG SU 011</t>
  </si>
  <si>
    <t>BA.INV-SIG.2026.02-4</t>
  </si>
  <si>
    <t>SN-0673</t>
  </si>
  <si>
    <t xml:space="preserve">UPS - PROLINK </t>
  </si>
  <si>
    <t>BA.INV-SIG.2026.02-5</t>
  </si>
  <si>
    <t>SN-0674</t>
  </si>
  <si>
    <t>BA/INV-SIG/2026.03</t>
  </si>
  <si>
    <t>BA.INV-SIG.2026.03-1</t>
  </si>
  <si>
    <t>TRACKING AWAL STPP INVENTORY AYU</t>
  </si>
  <si>
    <t>SN-0675</t>
  </si>
  <si>
    <t>BA.INV-SIG.2026.03-2</t>
  </si>
  <si>
    <t>SN-0676</t>
  </si>
  <si>
    <t>BA.INV-SIG.2026.03-3</t>
  </si>
  <si>
    <t>SN-0677</t>
  </si>
  <si>
    <t>SYSTEM UNIT - SIG SU 022</t>
  </si>
  <si>
    <t>BA.INV-SIG.2026.03-4</t>
  </si>
  <si>
    <t>SN-0678</t>
  </si>
  <si>
    <t>BA.INV-SIG.2026.03-5</t>
  </si>
  <si>
    <t>SN-0679</t>
  </si>
  <si>
    <t xml:space="preserve">PESAWAT TELP - PANASONIC </t>
  </si>
  <si>
    <t>BA.INV-SIG.2026.03-6</t>
  </si>
  <si>
    <t>SN-0680</t>
  </si>
  <si>
    <t>PRINTER - CANON / PIXMA G2730</t>
  </si>
  <si>
    <t>BA.INV-SIG.2026.03-7</t>
  </si>
  <si>
    <t>SN-0681</t>
  </si>
  <si>
    <t>SYSTEM UNIT - 042</t>
  </si>
  <si>
    <t>BA/INV-SIG/2026.04</t>
  </si>
  <si>
    <t>BA.INV-SIG.2026.04-1</t>
  </si>
  <si>
    <t>TRACKING AWAL STPP INVENTORY VALEN</t>
  </si>
  <si>
    <t>SN-0682</t>
  </si>
  <si>
    <t>BA.INV-SIG.2026.04-2</t>
  </si>
  <si>
    <t>SN-0683</t>
  </si>
  <si>
    <t>KEYBOARD WIRED - HP / TPA-L001K</t>
  </si>
  <si>
    <t>BA.INV-SIG.2026.04-3</t>
  </si>
  <si>
    <t>SN-0684</t>
  </si>
  <si>
    <t>BA.INV-SIG.2026.04-4</t>
  </si>
  <si>
    <t>SN-0685</t>
  </si>
  <si>
    <t>SYSTEM UNIT - 032</t>
  </si>
  <si>
    <t>BELLA</t>
  </si>
  <si>
    <t>BA/INV-SIG/2026.05</t>
  </si>
  <si>
    <t>BA.INV-SIG.2026.05-1</t>
  </si>
  <si>
    <t>TRACKING AWAL STPP INVENTORY BELLA</t>
  </si>
  <si>
    <t>SN-0686</t>
  </si>
  <si>
    <t>BA.INV-SIG.2026.05-2</t>
  </si>
  <si>
    <t>SN-0687</t>
  </si>
  <si>
    <t>BA.INV-SIG.2026.05-3</t>
  </si>
  <si>
    <t>SN-0688</t>
  </si>
  <si>
    <t>MONITOR - HP / PAFILION 20FI</t>
  </si>
  <si>
    <t>BA.INV-SIG.2026.05-4</t>
  </si>
  <si>
    <t>SN-0689</t>
  </si>
  <si>
    <t>MONITOR - LG / 24U411A-B</t>
  </si>
  <si>
    <t>RIDHO</t>
  </si>
  <si>
    <t>BA/IT-SIG/2026.01</t>
  </si>
  <si>
    <t>BA.IT-SIG.2026.01-1</t>
  </si>
  <si>
    <t>TRACKING AWAL STPP IT DEVELOPER RIDHO</t>
  </si>
  <si>
    <t>SN-0690</t>
  </si>
  <si>
    <t>BA.IT-SIG.2026.01-2</t>
  </si>
  <si>
    <t>SN-0691</t>
  </si>
  <si>
    <t>BA.IT-SIG.2026.01-3</t>
  </si>
  <si>
    <t>SN-0692</t>
  </si>
  <si>
    <t>SYSTEM UNIT HP - SIG 036</t>
  </si>
  <si>
    <t>BA.IT-SIG.2026.01-4</t>
  </si>
  <si>
    <t>SN-0693</t>
  </si>
  <si>
    <t>ZAFI</t>
  </si>
  <si>
    <t>BA/IT-SIG/2026.02</t>
  </si>
  <si>
    <t>BA.IT-SIG.2026.02-1</t>
  </si>
  <si>
    <t>TRACKING AWAL STPP IT DEVELOPER ZAFI</t>
  </si>
  <si>
    <t>SN-0694</t>
  </si>
  <si>
    <t>BA.IT-SIG.2026.02-2</t>
  </si>
  <si>
    <t>SN-0695</t>
  </si>
  <si>
    <t>BA.IT-SIG.2026.02-3</t>
  </si>
  <si>
    <t>SN-0696</t>
  </si>
  <si>
    <t>SYSTEM UNIT HP - SIG 035</t>
  </si>
  <si>
    <t>BA.IT-SIG.2026.02-4</t>
  </si>
  <si>
    <t>SN-0697</t>
  </si>
  <si>
    <t>MIRA</t>
  </si>
  <si>
    <t>BA/SAC-SIG/2026.01</t>
  </si>
  <si>
    <t>BA.SAC-SIG.2026.01-1</t>
  </si>
  <si>
    <t>TRACKING AWAL STPP SALES ACCOUNTING MIRA</t>
  </si>
  <si>
    <t>SN-0698</t>
  </si>
  <si>
    <t>BA.SAC-SIG.2026.01-2</t>
  </si>
  <si>
    <t>SN-0699</t>
  </si>
  <si>
    <t>BA.SAC-SIG.2026.01-3</t>
  </si>
  <si>
    <t>SN-0700</t>
  </si>
  <si>
    <t>SYSTEM UNIT HP - SIG 037</t>
  </si>
  <si>
    <t>BA.SAC-SIG.2026.01-4</t>
  </si>
  <si>
    <t>SN-0701</t>
  </si>
  <si>
    <t>BA.SAC-SIG.2026.01-5</t>
  </si>
  <si>
    <t>SN-0702</t>
  </si>
  <si>
    <t>PRINTER - EPSON / L360</t>
  </si>
  <si>
    <t>BA.SAC-SIG.2026.01-6</t>
  </si>
  <si>
    <t>SN-0703</t>
  </si>
  <si>
    <t>BA.SAC-SIG.2026.01-7</t>
  </si>
  <si>
    <t>SN-0704</t>
  </si>
  <si>
    <t>NIA</t>
  </si>
  <si>
    <t>BA/SAC-SIG/2026.02</t>
  </si>
  <si>
    <t>BA.SAC-SIG.2026.02-1</t>
  </si>
  <si>
    <t>TRACKING AWAL STPP SALES ACCOUNTING NIA</t>
  </si>
  <si>
    <t>SN-0705</t>
  </si>
  <si>
    <t>KEYBOARD WIRED - HP / BK 2086</t>
  </si>
  <si>
    <t>BA.SAC-SIG.2026.02-2</t>
  </si>
  <si>
    <t>SN-0706</t>
  </si>
  <si>
    <t>MOUSE WIRED - LOGITECH / M100R</t>
  </si>
  <si>
    <t>BA.SAC-SIG.2026.02-3</t>
  </si>
  <si>
    <t>SN-0707</t>
  </si>
  <si>
    <t>SYSTEM UNIT HP - SIG 028</t>
  </si>
  <si>
    <t>BA.SAC-SIG.2026.02-4</t>
  </si>
  <si>
    <t>SN-0708</t>
  </si>
  <si>
    <t>BA.SAC-SIG.2026.02-5</t>
  </si>
  <si>
    <t>SN-0709</t>
  </si>
  <si>
    <t>BA.SAC-SIG.2026.02-6</t>
  </si>
  <si>
    <t>SN-0710</t>
  </si>
  <si>
    <t>BA.SAC-SIG.2026.02-7</t>
  </si>
  <si>
    <t>SN-0711</t>
  </si>
  <si>
    <t>YEFINA</t>
  </si>
  <si>
    <t>BA/SAC-SIG/2026.03</t>
  </si>
  <si>
    <t>BA.SAC-SIG.2026.03-1</t>
  </si>
  <si>
    <t>TRACKING AWAL STPP SALES ACCOUNTING YEFINA</t>
  </si>
  <si>
    <t>SN-0712</t>
  </si>
  <si>
    <t>SN-0713</t>
  </si>
  <si>
    <t>MOUSE WIRED - LOGITECH / MU-0026</t>
  </si>
  <si>
    <t>SN-0714</t>
  </si>
  <si>
    <t>SYSTEM UNIT HP - SIG 030</t>
  </si>
  <si>
    <t>SN-0715</t>
  </si>
  <si>
    <t>SN-0716</t>
  </si>
  <si>
    <t>PRINTER - HP LASERJET / P1102</t>
  </si>
  <si>
    <t>SN-0717</t>
  </si>
  <si>
    <t>SN-0718</t>
  </si>
  <si>
    <t>INDARTI</t>
  </si>
  <si>
    <t>BA/SAC-SIG/2026.04</t>
  </si>
  <si>
    <t>BA.SAC-SIG.2026.04-1</t>
  </si>
  <si>
    <t>TRACKING AWAL STPP SALES ACCOUNTING INDARTI</t>
  </si>
  <si>
    <t>SN-0719</t>
  </si>
  <si>
    <t>BA.SAC-SIG.2026.04-2</t>
  </si>
  <si>
    <t>SN-0720</t>
  </si>
  <si>
    <t>BA.SAC-SIG.2026.04-3</t>
  </si>
  <si>
    <t>SN-0721</t>
  </si>
  <si>
    <t>BA.SAC-SIG.2026.04-4</t>
  </si>
  <si>
    <t>SN-0722</t>
  </si>
  <si>
    <t>BA.SAC-SIG.2026.04-5</t>
  </si>
  <si>
    <t>SN-0723</t>
  </si>
  <si>
    <t>PRINTER - EPSON / LQ310</t>
  </si>
  <si>
    <t>BA.SAC-SIG.2026.04-6</t>
  </si>
  <si>
    <t>SN-0724</t>
  </si>
  <si>
    <t>BA.SAC-SIG.2026.04-7</t>
  </si>
  <si>
    <t>SN-0725</t>
  </si>
  <si>
    <t>SALES ACCOUNTING</t>
  </si>
  <si>
    <t>BA/SAC-SIG/2026.05</t>
  </si>
  <si>
    <t>BA.SAC-SIG.2026.05-1</t>
  </si>
  <si>
    <t>TRACKING AWAL STPP RUANGAN SALES ACCOUNTING YANG AKAN DIGUNAKAN UNTUK SALES ACCOUNTING BPN</t>
  </si>
  <si>
    <t>SN-0726</t>
  </si>
  <si>
    <t>BA.SAC-SIG.2026.05-2</t>
  </si>
  <si>
    <t>SN-0727</t>
  </si>
  <si>
    <t>MOUSE WIRED - HP / MOEYUO</t>
  </si>
  <si>
    <t>BA.SAC-SIG.2026.05-3</t>
  </si>
  <si>
    <t>SN-0728</t>
  </si>
  <si>
    <t>SYSTEM UNIT HP - SIG 029</t>
  </si>
  <si>
    <t>BA.SAC-SIG.2026.05-4</t>
  </si>
  <si>
    <t>SN-0729</t>
  </si>
  <si>
    <t>BA.SAC-SIG.2026.05-5</t>
  </si>
  <si>
    <t>SN-0730</t>
  </si>
  <si>
    <t>BA.SAC-SIG.2026.05-6</t>
  </si>
  <si>
    <t>SN-0731</t>
  </si>
  <si>
    <t>BA.SAC-SIG.2026.05-7</t>
  </si>
  <si>
    <t>SN-0732</t>
  </si>
  <si>
    <t>PC - HP / ALL IN ONE CORE I5</t>
  </si>
  <si>
    <t>BA/SAC-SIG/2026.06</t>
  </si>
  <si>
    <t>BA.SAC-SIG.2026.06-1</t>
  </si>
  <si>
    <t>TRACKING AWAL STPP RUANGAN SALES ACCOUNTING YANG AKAN DIGUNAKAN UNTUK BACK UP PAJAK</t>
  </si>
  <si>
    <t>SN-0733</t>
  </si>
  <si>
    <t>BA.SAC-SIG.2026.06-2</t>
  </si>
  <si>
    <t>SN-0734</t>
  </si>
  <si>
    <t>MOUSE WIRED - HP / HSA 013M</t>
  </si>
  <si>
    <t>BA.SAC-SIG.2026.06-3</t>
  </si>
  <si>
    <t>SN-0735</t>
  </si>
  <si>
    <t>PRINTER - HP DEKSJET / 2060</t>
  </si>
  <si>
    <t>BA.SAC-SIG.2026.06-4</t>
  </si>
  <si>
    <t>SN-0736</t>
  </si>
  <si>
    <t>PEMOTONG KERTAS HSM CLASIC 80.2</t>
  </si>
  <si>
    <t>BA/SAC-SIG/2026.07</t>
  </si>
  <si>
    <t>BA.SAC-SIG.2026.07-1</t>
  </si>
  <si>
    <t>TRACKING AWAL STPP RUANGAN SALES ACCOUNTING</t>
  </si>
  <si>
    <t>SN-0737</t>
  </si>
  <si>
    <t>MONITOR - HP / E24 G4</t>
  </si>
  <si>
    <t>ANI</t>
  </si>
  <si>
    <t>BA/SC-SIG/2026.01</t>
  </si>
  <si>
    <t>BA.SC-SIG.2026.01-1</t>
  </si>
  <si>
    <t>TRACKING AWAL STPP SALES COUNTER ANI</t>
  </si>
  <si>
    <t>SN-0738</t>
  </si>
  <si>
    <t>BA.SC-SIG.2026.01-2</t>
  </si>
  <si>
    <t>SN-0739</t>
  </si>
  <si>
    <t xml:space="preserve">MOUSE WIRED - HP </t>
  </si>
  <si>
    <t>BA.SC-SIG.2026.01-3</t>
  </si>
  <si>
    <t>SN-0740</t>
  </si>
  <si>
    <t>SYSTEM UNIT HP - SIG 019</t>
  </si>
  <si>
    <t>BA.SC-SIG.2026.01-4</t>
  </si>
  <si>
    <t>SN-0741</t>
  </si>
  <si>
    <t>BA.SC-SIG.2026.01-5</t>
  </si>
  <si>
    <t>SN-0742</t>
  </si>
  <si>
    <t>PRINTER - CANON / G4270</t>
  </si>
  <si>
    <t>BA.SC-SIG.2026.01-6</t>
  </si>
  <si>
    <t>SN-0743</t>
  </si>
  <si>
    <t>BA.SC-SIG.2026.01-7</t>
  </si>
  <si>
    <t>SN-0744</t>
  </si>
  <si>
    <t>SIFA</t>
  </si>
  <si>
    <t>BA/SC-SIG/2026.02</t>
  </si>
  <si>
    <t>BA.SC-SIG.2026.02-1</t>
  </si>
  <si>
    <t>TRACKING AWAL STPP SALES COUNTER SIFA</t>
  </si>
  <si>
    <t>SN-0745</t>
  </si>
  <si>
    <t>System Unit - SIG 010</t>
  </si>
  <si>
    <t>BA.SC-SIG.2026.02-2</t>
  </si>
  <si>
    <t>SN-0746</t>
  </si>
  <si>
    <t>BA.SC-SIG.2026.02-3</t>
  </si>
  <si>
    <t>SN-0747</t>
  </si>
  <si>
    <t xml:space="preserve">MOUSE WIRELESS - HP </t>
  </si>
  <si>
    <t>BA.SC-SIG.2026.02-4</t>
  </si>
  <si>
    <t>SN-0748</t>
  </si>
  <si>
    <t>BA.SC-SIG.2026.02-5</t>
  </si>
  <si>
    <t>SN-0749</t>
  </si>
  <si>
    <t>BA.SC-SIG.2026.02-6</t>
  </si>
  <si>
    <t>SN-0750</t>
  </si>
  <si>
    <t>UPS  - PROLINK</t>
  </si>
  <si>
    <t>BA.SC-SIG.2026.02-7</t>
  </si>
  <si>
    <t>SN-0751</t>
  </si>
  <si>
    <t>MONITOR - HP / V233</t>
  </si>
  <si>
    <t>BA.SC-SIG.2026.02-8</t>
  </si>
  <si>
    <t>SN-0752</t>
  </si>
  <si>
    <t>NABILA</t>
  </si>
  <si>
    <t>BA/SC-SIG/2026.03</t>
  </si>
  <si>
    <t>BA.SC-SIG.2026.03-1</t>
  </si>
  <si>
    <t>TRACKING AWAL STPP SALES COUNTER NABILA</t>
  </si>
  <si>
    <t>SN-0753</t>
  </si>
  <si>
    <t>System Unit - SIG 012</t>
  </si>
  <si>
    <t>BA.SC-SIG.2026.03-2</t>
  </si>
  <si>
    <t>SN-0754</t>
  </si>
  <si>
    <t>BA.SC-SIG.2026.03-3</t>
  </si>
  <si>
    <t>SN-0755</t>
  </si>
  <si>
    <t>BA.SC-SIG.2026.03-4</t>
  </si>
  <si>
    <t>SN-0756</t>
  </si>
  <si>
    <t>BA.SC-SIG.2026.03-5</t>
  </si>
  <si>
    <t>SN-0757</t>
  </si>
  <si>
    <t>BA.SC-SIG.2026.03-6</t>
  </si>
  <si>
    <t>SN-0758</t>
  </si>
  <si>
    <t>BA.SC-SIG.2026.03-7</t>
  </si>
  <si>
    <t>SN-0759</t>
  </si>
  <si>
    <t>BA.SC-SIG.2026.03-8</t>
  </si>
  <si>
    <t>SN-0760</t>
  </si>
  <si>
    <t>SANDY</t>
  </si>
  <si>
    <t>SECURITY</t>
  </si>
  <si>
    <t>BA/SEC-SIG/2026.01</t>
  </si>
  <si>
    <t>BA.SEC-SIG.2026.01-1</t>
  </si>
  <si>
    <t>TRACKING AWAL STPP SECURITY</t>
  </si>
  <si>
    <t>NA/26/VI/104</t>
  </si>
  <si>
    <t>NA.26.VI.104-1</t>
  </si>
  <si>
    <t>U/ PENGANTIAN (KE 1) REGULATOR O2 CUTTING TORCH YANG RUSAK</t>
  </si>
  <si>
    <t>REGULATOR OXYGEN - MURAKU / 0-350psi 0-25bar x 0-3500psi 0-250bar</t>
  </si>
  <si>
    <t>NA/26/VI/105</t>
  </si>
  <si>
    <t>NA.26.VI.105-1</t>
  </si>
  <si>
    <t>U/ MELENGKAPI MATERIAL LEAK TEST MILIK GUDANG KARENA REGULATOR SEBELUMNYA DIAMBIL UNTUK PENGGANTIAN CUTTING TORCH MILIK MAIINTENANCE MA</t>
  </si>
  <si>
    <t>SN-0761</t>
  </si>
  <si>
    <t>EXTENSION POLE STEEL - PRIMA / P = 3m</t>
  </si>
  <si>
    <t>NA/26/VI/114</t>
  </si>
  <si>
    <t>NA.26.VI.114-1</t>
  </si>
  <si>
    <t>UNTUK STPP GUDANG &amp; KEMUDIAN DIGUNAKAN SEBAGAI TOOLS PENGECATAN TANGKI DI DCO</t>
  </si>
  <si>
    <t>SN-0762</t>
  </si>
  <si>
    <t>TANG BUAYA - TEKIRO / PL-LG0770 / 10"</t>
  </si>
  <si>
    <t>NA/26/VI/154</t>
  </si>
  <si>
    <t>NA.26.VI.154-1</t>
  </si>
  <si>
    <t>SN-0763</t>
  </si>
  <si>
    <t>(REFURBISHED) MOUSE WIRED - LOGITECH / B100</t>
  </si>
  <si>
    <t>PURCHASING</t>
  </si>
  <si>
    <t>NA/26/VII/012</t>
  </si>
  <si>
    <t>NA.26.VII.012-1</t>
  </si>
  <si>
    <t>UNTUK PEMAKAIAN HARIAN (PENGGANTIAN MOUSE WIRED - HP / S1500)</t>
  </si>
  <si>
    <t>SN-0764</t>
  </si>
  <si>
    <t>NA/26/VII/051</t>
  </si>
  <si>
    <t>NA.26.VII.051-1</t>
  </si>
  <si>
    <t>UNTUK PENGGANTIAN STPP TOOLS MAINTENANCE KARENA SUDAH RUSAK
NOTES: NOMOR SERI BARANG STPP BARU</t>
  </si>
  <si>
    <t>SN-0765</t>
  </si>
  <si>
    <t>NA.26.VII.051-2</t>
  </si>
  <si>
    <t>SN-0766</t>
  </si>
  <si>
    <t>HANDPHONE - SAMSUNG GALAXY A14 / SM-A145F/DSN</t>
  </si>
  <si>
    <t>NA/26/VII/154</t>
  </si>
  <si>
    <t>NA.26.VII.154-1</t>
  </si>
  <si>
    <t>UNTUK TRACKING STPP AWAL REFF BA: BA/SC-SIG/VII/2026.01</t>
  </si>
  <si>
    <t>SN-0767</t>
  </si>
  <si>
    <t>HANDPHONE - SAMSUNG GALAXY A25 5G / SM-A256E /DSN</t>
  </si>
  <si>
    <t>NA/26/VII/155</t>
  </si>
  <si>
    <t>NA.26.VII.155-1</t>
  </si>
  <si>
    <t>UNTUK TRACKING STPP AWAL REFF BA: BA/SC-SIG/VII/2026.02</t>
  </si>
  <si>
    <t>SN-0768</t>
  </si>
  <si>
    <t>HANDPHONE - SAMSUNG GALAXY A50s / SM-507FN /DS</t>
  </si>
  <si>
    <t>NA/26/VII/156</t>
  </si>
  <si>
    <t>NA.26.VII.156-1</t>
  </si>
  <si>
    <t>UNTUK TRACKING STPP AWAL REFF BA: BA/PAC-SIG/VII/2026.01</t>
  </si>
  <si>
    <t>SN-0769</t>
  </si>
  <si>
    <t>HANDPHONE - SAMSUNG GALAXY A14 5G / SM-A146P /DSN</t>
  </si>
  <si>
    <t>NA/26/VII/157</t>
  </si>
  <si>
    <t>NA.26.VII.157-1</t>
  </si>
  <si>
    <t>UNTUK TRACKING STPP AWAL REFF BA: BA/PCS-SIG/VII/2026.01</t>
  </si>
  <si>
    <t>SN-0770</t>
  </si>
  <si>
    <t>HANDPHONE - SAMSUNG GALAXY S9 / SM-G9600 /DS</t>
  </si>
  <si>
    <t>NA/26/VII/158</t>
  </si>
  <si>
    <t>NA.26.VII.158-1</t>
  </si>
  <si>
    <t>UNTUK TRACKING STPP AWAL REFF BA: BA/SAC-SIG/VII/2026.01</t>
  </si>
  <si>
    <t>SN-0771</t>
  </si>
  <si>
    <t>HANDPHONE - SAMSUNG GALAXY A34 5G / SM-A346E /DS</t>
  </si>
  <si>
    <t>NAUFAL</t>
  </si>
  <si>
    <t>NA/26/VII/159</t>
  </si>
  <si>
    <t>NA.26.VII.159-1</t>
  </si>
  <si>
    <t>UNTUK TRACKING STPP AWAL REFF BA: BA/IT-SIG/VII/2026.01</t>
  </si>
  <si>
    <t>SN-0772</t>
  </si>
  <si>
    <t>(REFURBISHED) KEYBOARD WIRED - LOGITECH / K120 / USB PORT</t>
  </si>
  <si>
    <t>FAUZAN</t>
  </si>
  <si>
    <t>NA/26/VII/167</t>
  </si>
  <si>
    <t>NA.26.VII.167-1</t>
  </si>
  <si>
    <t>UNTUK PENGGANTIAN KEYBOARD IT DEVELOPER SEBELUMNYA KARENA ERROR - PREV. RIDHO</t>
  </si>
  <si>
    <t>SN-0773</t>
  </si>
  <si>
    <t>(REFURBISHED) MOUSE WIRED - HP / MSU0923</t>
  </si>
  <si>
    <t>NA/26/VII/102</t>
  </si>
  <si>
    <t>NA.26.VII.102-1</t>
  </si>
  <si>
    <t>UNTUK PENGGANTIAN MOUSE SEBELUMNYA MILIK ANDYAN KARENA TIDAK BERFUNGSI DENGAN BAIK</t>
  </si>
  <si>
    <t>SN-0774</t>
  </si>
  <si>
    <t>LAMP SOCKET TESTER - LOKAL</t>
  </si>
  <si>
    <t>NA/26/VII/256</t>
  </si>
  <si>
    <t>NA.26.VII.256-1</t>
  </si>
  <si>
    <t>UNTUK STPP GUDANG, GUNA PENGETESTAN LAMPU RUANGAN BARU SETELAH BELI</t>
  </si>
  <si>
    <t>SN-0775</t>
  </si>
  <si>
    <t>CAT SEMPROT KALENG ACRYLIC LACQUER - DITON / 8172 / @300cc / JUPITER BLUE</t>
  </si>
  <si>
    <t>NA/26/VIII/133</t>
  </si>
  <si>
    <t>NA.26.VIII.133-1</t>
  </si>
  <si>
    <t>UNTUK STPP AWAL GUDANG, GUNA PEMAKAIAN HARIAN</t>
  </si>
  <si>
    <t>Maintenance STPP</t>
  </si>
  <si>
    <t>No NPBG</t>
  </si>
  <si>
    <t>Keterangan</t>
  </si>
  <si>
    <t>NA/26/IV/273</t>
  </si>
  <si>
    <t>UNTUK REFILL STPP STIKER REFLEKTIF UNTUK KEBUTUHAN KENDARAAN</t>
  </si>
  <si>
    <t>NA/26/VI/010</t>
  </si>
  <si>
    <t>UNTUK REFILL STPP GUDANG SIG-SDA</t>
  </si>
  <si>
    <t>NA/26/VI/040</t>
  </si>
  <si>
    <t>UNTUK PENGGANTIAN KACA FILTER TOPENG LAS KARENA SUDAH BURAM
NO SERI ITEM: SN-0086, SN-0398, SN-0305</t>
  </si>
  <si>
    <t>ICA</t>
  </si>
  <si>
    <t>NA/26/VII/019</t>
  </si>
  <si>
    <t>UNTUK DIPAKAI KEMBALI SETELAH DILAKUKAN SERVICE</t>
  </si>
  <si>
    <t>NA/26/VI/182</t>
  </si>
  <si>
    <t>PENGEMBALIAN PRINTER KE RUANG ACC PENJUALAN SETELAH DISERVIS</t>
  </si>
  <si>
    <t>NA/26/VI/190</t>
  </si>
  <si>
    <t>PRINTER DIKEMBALIKAN UNTUK PEMAKAIAN HARIAN SETELAH DILAKUKAN SERVICE</t>
  </si>
  <si>
    <t>NA/26/VII/025</t>
  </si>
  <si>
    <t>UNTUK DIGUNAKAN KEMBALI SETELAH DILAKUKAN SERVICE</t>
  </si>
  <si>
    <t>UNTUK DILAKUKAN PENGGANTIAN KARENA YANG LAMA SUDAH RUSAK</t>
  </si>
  <si>
    <t>HUDA</t>
  </si>
  <si>
    <t>NA/26/VII/064</t>
  </si>
  <si>
    <t>(MAINTENANCE STPP) UNTUK PENGGANTIAN SELANG SPRAYGUN CAT TABUNG YANG RUSAK</t>
  </si>
  <si>
    <t>UNTUK PENGGANTIAN KEYBOARD KARENA SEBELUMNYA ERROR</t>
  </si>
  <si>
    <t>NA/26/VII/205</t>
  </si>
  <si>
    <t>UNTUK DIPASANG PADA ISOTANK, KEBUTUHAN PERSYARATAN B3 &amp; REFILL STPP MAINTENANCE KENDARAAN</t>
  </si>
  <si>
    <t>NA/26/VIII/011</t>
  </si>
  <si>
    <t>UNTUK MAINTAINING BARANG STPP MILIK GUDANG
NO SERI BARANG STPP: SN-0162</t>
  </si>
  <si>
    <t>Deskripsi Ban Lama</t>
  </si>
  <si>
    <t>No Seri Baru</t>
  </si>
  <si>
    <t>No Seri Lama</t>
  </si>
  <si>
    <t>B 9249 KEI</t>
  </si>
  <si>
    <t>ACCOUNTING PEMBELIAN</t>
  </si>
  <si>
    <t>ADMIN TABUNG</t>
  </si>
  <si>
    <t>RESEPSIONIS</t>
  </si>
  <si>
    <t>GENERAL MANAGER</t>
  </si>
  <si>
    <t>IT DEVELOPER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</si>
</sst>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0_ "/>
    <numFmt numFmtId="181" formatCode="dd/mm/yyyy;@"/>
  </numFmts>
  <fonts count="40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2"/>
      <name val="Calibri"/>
      <charset val="134"/>
      <scheme val="minor"/>
    </font>
    <font>
      <sz val="12"/>
      <name val="Calibri"/>
      <charset val="134"/>
      <scheme val="minor"/>
    </font>
    <font>
      <sz val="11"/>
      <name val="Calibri"/>
      <charset val="134"/>
    </font>
    <font>
      <sz val="12"/>
      <name val="Calibri"/>
      <charset val="134"/>
    </font>
    <font>
      <b/>
      <sz val="26"/>
      <name val="Calibri"/>
      <charset val="134"/>
    </font>
    <font>
      <b/>
      <sz val="12"/>
      <name val="Calibri"/>
      <charset val="134"/>
    </font>
    <font>
      <b/>
      <sz val="11"/>
      <name val="Calibri"/>
      <charset val="134"/>
    </font>
    <font>
      <b/>
      <sz val="36"/>
      <name val="Calibri"/>
      <charset val="134"/>
      <scheme val="minor"/>
    </font>
    <font>
      <sz val="36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2"/>
      <color theme="0"/>
      <name val="Calibri"/>
      <charset val="134"/>
      <scheme val="minor"/>
    </font>
    <font>
      <sz val="12"/>
      <name val="Calibri"/>
      <charset val="0"/>
      <scheme val="minor"/>
    </font>
    <font>
      <sz val="12"/>
      <name val="Arial"/>
      <charset val="134"/>
    </font>
    <font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FF00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8"/>
      <color rgb="FF000000"/>
      <name val="Arial"/>
      <charset val="134"/>
    </font>
    <font>
      <vertAlign val="superscript"/>
      <sz val="12"/>
      <name val="Calibri"/>
      <charset val="134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39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1" tint="0.2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6" applyNumberFormat="0" applyAlignment="0" applyProtection="0">
      <alignment vertical="center"/>
    </xf>
    <xf numFmtId="0" fontId="26" fillId="10" borderId="7" applyNumberFormat="0" applyAlignment="0" applyProtection="0">
      <alignment vertical="center"/>
    </xf>
    <xf numFmtId="0" fontId="27" fillId="10" borderId="6" applyNumberFormat="0" applyAlignment="0" applyProtection="0">
      <alignment vertical="center"/>
    </xf>
    <xf numFmtId="0" fontId="28" fillId="11" borderId="8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4" fontId="36" fillId="0" borderId="0">
      <alignment horizontal="left" vertical="top"/>
    </xf>
  </cellStyleXfs>
  <cellXfs count="1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80" fontId="2" fillId="0" borderId="0" xfId="0" applyNumberFormat="1" applyFont="1" applyFill="1" applyAlignment="1" applyProtection="1">
      <alignment horizontal="center" vertical="center"/>
      <protection locked="0"/>
    </xf>
    <xf numFmtId="0" fontId="1" fillId="0" borderId="0" xfId="0" applyFont="1">
      <alignment vertical="center"/>
    </xf>
    <xf numFmtId="0" fontId="3" fillId="0" borderId="0" xfId="0" applyFont="1" applyFill="1" applyAlignment="1" applyProtection="1">
      <alignment horizontal="left" vertical="center"/>
      <protection locked="0"/>
    </xf>
    <xf numFmtId="181" fontId="3" fillId="0" borderId="0" xfId="0" applyNumberFormat="1" applyFont="1" applyFill="1" applyAlignment="1" applyProtection="1">
      <alignment horizontal="left" vertical="center"/>
      <protection locked="0"/>
    </xf>
    <xf numFmtId="58" fontId="3" fillId="0" borderId="0" xfId="0" applyNumberFormat="1" applyFont="1" applyFill="1" applyAlignment="1" applyProtection="1">
      <alignment horizontal="left" vertical="center"/>
      <protection locked="0"/>
    </xf>
    <xf numFmtId="0" fontId="3" fillId="0" borderId="0" xfId="0" applyNumberFormat="1" applyFont="1" applyFill="1" applyAlignment="1" applyProtection="1">
      <alignment horizontal="left" vertical="center"/>
      <protection locked="0"/>
    </xf>
    <xf numFmtId="181" fontId="3" fillId="0" borderId="0" xfId="0" applyNumberFormat="1" applyFont="1" applyFill="1" applyAlignment="1" applyProtection="1">
      <alignment horizontal="left" vertical="center" wrapText="1"/>
      <protection locked="0"/>
    </xf>
    <xf numFmtId="0" fontId="3" fillId="0" borderId="0" xfId="0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81" fontId="4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left" vertical="center"/>
      <protection locked="0"/>
    </xf>
    <xf numFmtId="181" fontId="6" fillId="2" borderId="0" xfId="0" applyNumberFormat="1" applyFont="1" applyFill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left" vertical="center"/>
      <protection locked="0"/>
    </xf>
    <xf numFmtId="181" fontId="6" fillId="2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 applyFill="1" applyBorder="1" applyAlignment="1" applyProtection="1">
      <alignment horizontal="center" vertical="center"/>
      <protection locked="0"/>
    </xf>
    <xf numFmtId="181" fontId="7" fillId="0" borderId="0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0" fontId="4" fillId="0" borderId="0" xfId="0" applyNumberFormat="1" applyFont="1" applyFill="1" applyAlignment="1" applyProtection="1">
      <alignment horizontal="left" vertical="center"/>
    </xf>
    <xf numFmtId="0" fontId="4" fillId="0" borderId="0" xfId="0" applyNumberFormat="1" applyFont="1" applyFill="1" applyAlignment="1" applyProtection="1">
      <alignment horizontal="center" vertical="center"/>
    </xf>
    <xf numFmtId="181" fontId="4" fillId="0" borderId="0" xfId="0" applyNumberFormat="1" applyFont="1" applyFill="1" applyAlignment="1" applyProtection="1">
      <alignment horizontal="center" vertical="center"/>
      <protection locked="0"/>
    </xf>
    <xf numFmtId="58" fontId="8" fillId="3" borderId="1" xfId="0" applyNumberFormat="1" applyFont="1" applyFill="1" applyBorder="1" applyAlignment="1" applyProtection="1">
      <alignment horizontal="left" vertical="center" wrapText="1"/>
      <protection locked="0"/>
    </xf>
    <xf numFmtId="0" fontId="7" fillId="0" borderId="0" xfId="0" applyFont="1" applyFill="1" applyAlignment="1" applyProtection="1">
      <alignment horizontal="center" vertical="center" wrapText="1"/>
      <protection locked="0"/>
    </xf>
    <xf numFmtId="0" fontId="4" fillId="0" borderId="0" xfId="0" applyFont="1" applyFill="1" applyAlignment="1" applyProtection="1">
      <alignment horizontal="left" vertical="center" wrapText="1"/>
      <protection locked="0"/>
    </xf>
    <xf numFmtId="0" fontId="3" fillId="4" borderId="0" xfId="0" applyFont="1" applyFill="1" applyAlignment="1" applyProtection="1">
      <alignment horizontal="left" vertical="center"/>
      <protection locked="0"/>
    </xf>
    <xf numFmtId="0" fontId="3" fillId="4" borderId="0" xfId="0" applyFont="1" applyFill="1" applyAlignment="1" applyProtection="1">
      <alignment horizontal="center" vertical="center"/>
      <protection locked="0"/>
    </xf>
    <xf numFmtId="49" fontId="3" fillId="4" borderId="0" xfId="0" applyNumberFormat="1" applyFont="1" applyFill="1" applyAlignment="1" applyProtection="1">
      <alignment horizontal="justify" vertical="center"/>
      <protection locked="0"/>
    </xf>
    <xf numFmtId="180" fontId="3" fillId="4" borderId="0" xfId="0" applyNumberFormat="1" applyFont="1" applyFill="1" applyAlignment="1" applyProtection="1">
      <alignment horizontal="center" vertical="center"/>
      <protection locked="0"/>
    </xf>
    <xf numFmtId="180" fontId="3" fillId="4" borderId="0" xfId="0" applyNumberFormat="1" applyFont="1" applyFill="1" applyAlignment="1" applyProtection="1">
      <alignment horizontal="left" vertical="center" wrapText="1"/>
      <protection locked="0"/>
    </xf>
    <xf numFmtId="49" fontId="3" fillId="4" borderId="0" xfId="0" applyNumberFormat="1" applyFont="1" applyFill="1" applyAlignment="1" applyProtection="1">
      <alignment horizontal="center" vertical="center"/>
      <protection locked="0"/>
    </xf>
    <xf numFmtId="0" fontId="3" fillId="4" borderId="0" xfId="0" applyNumberFormat="1" applyFont="1" applyFill="1" applyAlignment="1" applyProtection="1">
      <alignment horizontal="center" vertical="center" wrapText="1"/>
      <protection locked="0"/>
    </xf>
    <xf numFmtId="0" fontId="2" fillId="4" borderId="0" xfId="0" applyNumberFormat="1" applyFont="1" applyFill="1" applyAlignment="1" applyProtection="1">
      <alignment horizontal="center" vertical="center"/>
      <protection locked="0"/>
    </xf>
    <xf numFmtId="49" fontId="2" fillId="4" borderId="0" xfId="0" applyNumberFormat="1" applyFont="1" applyFill="1" applyAlignment="1" applyProtection="1">
      <alignment horizontal="center" vertical="center"/>
      <protection locked="0"/>
    </xf>
    <xf numFmtId="0" fontId="3" fillId="4" borderId="0" xfId="0" applyNumberFormat="1" applyFont="1" applyFill="1" applyAlignment="1" applyProtection="1">
      <alignment horizontal="center" vertical="center"/>
    </xf>
    <xf numFmtId="0" fontId="3" fillId="4" borderId="0" xfId="0" applyFont="1" applyFill="1" applyAlignment="1" applyProtection="1">
      <alignment horizontal="left" vertical="center" wrapText="1"/>
      <protection locked="0"/>
    </xf>
    <xf numFmtId="0" fontId="3" fillId="4" borderId="0" xfId="0" applyFont="1" applyFill="1" applyAlignment="1" applyProtection="1">
      <alignment horizontal="center" vertical="center"/>
    </xf>
    <xf numFmtId="180" fontId="9" fillId="4" borderId="0" xfId="0" applyNumberFormat="1" applyFont="1" applyFill="1" applyAlignment="1" applyProtection="1">
      <alignment horizontal="center" vertical="center"/>
    </xf>
    <xf numFmtId="180" fontId="9" fillId="4" borderId="0" xfId="0" applyNumberFormat="1" applyFont="1" applyFill="1" applyAlignment="1" applyProtection="1">
      <alignment horizontal="left" vertical="center" wrapText="1"/>
    </xf>
    <xf numFmtId="180" fontId="9" fillId="4" borderId="1" xfId="0" applyNumberFormat="1" applyFont="1" applyFill="1" applyBorder="1" applyAlignment="1" applyProtection="1">
      <alignment horizontal="center" vertical="center"/>
    </xf>
    <xf numFmtId="180" fontId="9" fillId="4" borderId="1" xfId="0" applyNumberFormat="1" applyFont="1" applyFill="1" applyBorder="1" applyAlignment="1" applyProtection="1">
      <alignment horizontal="left" vertical="center" wrapText="1"/>
    </xf>
    <xf numFmtId="180" fontId="2" fillId="0" borderId="2" xfId="0" applyNumberFormat="1" applyFont="1" applyFill="1" applyBorder="1" applyAlignment="1" applyProtection="1">
      <alignment horizontal="center" vertical="center"/>
      <protection locked="0"/>
    </xf>
    <xf numFmtId="49" fontId="2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49" fontId="3" fillId="0" borderId="0" xfId="0" applyNumberFormat="1" applyFont="1" applyFill="1" applyAlignment="1" applyProtection="1">
      <alignment horizontal="left" vertical="center" wrapText="1"/>
      <protection locked="0"/>
    </xf>
    <xf numFmtId="180" fontId="3" fillId="0" borderId="0" xfId="0" applyNumberFormat="1" applyFont="1" applyFill="1" applyAlignment="1" applyProtection="1">
      <alignment horizontal="center" vertical="center"/>
      <protection locked="0"/>
    </xf>
    <xf numFmtId="49" fontId="3" fillId="0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left" vertical="center" wrapText="1"/>
      <protection locked="0"/>
    </xf>
    <xf numFmtId="49" fontId="9" fillId="4" borderId="0" xfId="0" applyNumberFormat="1" applyFont="1" applyFill="1" applyAlignment="1" applyProtection="1">
      <alignment horizontal="center" vertical="center"/>
    </xf>
    <xf numFmtId="0" fontId="9" fillId="4" borderId="0" xfId="0" applyNumberFormat="1" applyFont="1" applyFill="1" applyAlignment="1" applyProtection="1">
      <alignment horizontal="center" vertical="center"/>
    </xf>
    <xf numFmtId="180" fontId="10" fillId="4" borderId="0" xfId="0" applyNumberFormat="1" applyFont="1" applyFill="1" applyAlignment="1" applyProtection="1">
      <alignment horizontal="center" vertical="center"/>
    </xf>
    <xf numFmtId="49" fontId="9" fillId="4" borderId="1" xfId="0" applyNumberFormat="1" applyFont="1" applyFill="1" applyBorder="1" applyAlignment="1" applyProtection="1">
      <alignment horizontal="center" vertical="center"/>
    </xf>
    <xf numFmtId="0" fontId="9" fillId="4" borderId="1" xfId="0" applyNumberFormat="1" applyFont="1" applyFill="1" applyBorder="1" applyAlignment="1" applyProtection="1">
      <alignment horizontal="center" vertical="center"/>
    </xf>
    <xf numFmtId="180" fontId="10" fillId="4" borderId="1" xfId="0" applyNumberFormat="1" applyFont="1" applyFill="1" applyBorder="1" applyAlignment="1" applyProtection="1">
      <alignment horizontal="center" vertical="center"/>
    </xf>
    <xf numFmtId="49" fontId="2" fillId="5" borderId="2" xfId="0" applyNumberFormat="1" applyFont="1" applyFill="1" applyBorder="1" applyAlignment="1" applyProtection="1">
      <alignment horizontal="center" vertical="center" wrapText="1"/>
    </xf>
    <xf numFmtId="0" fontId="3" fillId="4" borderId="0" xfId="0" applyNumberFormat="1" applyFont="1" applyFill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center" vertical="center"/>
      <protection locked="0"/>
    </xf>
    <xf numFmtId="180" fontId="2" fillId="0" borderId="2" xfId="0" applyNumberFormat="1" applyFont="1" applyFill="1" applyBorder="1" applyAlignment="1" applyProtection="1">
      <alignment horizontal="center" vertical="center" wrapText="1"/>
      <protection locked="0"/>
    </xf>
    <xf numFmtId="181" fontId="3" fillId="0" borderId="0" xfId="0" applyNumberFormat="1" applyFont="1" applyFill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NumberFormat="1" applyFont="1" applyFill="1" applyAlignment="1" applyProtection="1">
      <alignment horizontal="center" vertical="center"/>
      <protection locked="0"/>
    </xf>
    <xf numFmtId="0" fontId="11" fillId="0" borderId="0" xfId="6" applyNumberFormat="1" applyFont="1" applyBorder="1" applyAlignment="1" applyProtection="1">
      <alignment horizontal="center" vertical="center"/>
    </xf>
    <xf numFmtId="180" fontId="3" fillId="0" borderId="0" xfId="0" applyNumberFormat="1" applyFont="1" applyFill="1" applyAlignment="1" applyProtection="1">
      <alignment horizontal="left" vertical="center" wrapText="1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1" fillId="0" borderId="0" xfId="6" applyNumberFormat="1" applyFont="1" applyFill="1" applyBorder="1" applyAlignment="1" applyProtection="1">
      <alignment horizontal="center" vertical="center"/>
    </xf>
    <xf numFmtId="0" fontId="12" fillId="0" borderId="0" xfId="6" applyNumberFormat="1" applyFill="1" applyBorder="1" applyAlignment="1" applyProtection="1">
      <alignment horizontal="center" vertical="center"/>
    </xf>
    <xf numFmtId="0" fontId="12" fillId="0" borderId="0" xfId="6" applyNumberFormat="1" applyBorder="1" applyAlignment="1" applyProtection="1">
      <alignment horizontal="center" vertical="center"/>
    </xf>
    <xf numFmtId="180" fontId="2" fillId="4" borderId="0" xfId="0" applyNumberFormat="1" applyFont="1" applyFill="1" applyAlignment="1" applyProtection="1">
      <alignment horizontal="center" vertical="center"/>
    </xf>
    <xf numFmtId="180" fontId="2" fillId="4" borderId="1" xfId="0" applyNumberFormat="1" applyFont="1" applyFill="1" applyBorder="1" applyAlignment="1" applyProtection="1">
      <alignment horizontal="center" vertical="center"/>
    </xf>
    <xf numFmtId="181" fontId="13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5" borderId="2" xfId="0" applyFont="1" applyFill="1" applyBorder="1" applyAlignment="1" applyProtection="1">
      <alignment horizontal="center" vertical="center" wrapText="1"/>
    </xf>
    <xf numFmtId="49" fontId="2" fillId="2" borderId="2" xfId="0" applyNumberFormat="1" applyFont="1" applyFill="1" applyBorder="1" applyAlignment="1" applyProtection="1">
      <alignment horizontal="center" vertical="center" wrapText="1"/>
      <protection locked="0"/>
    </xf>
    <xf numFmtId="181" fontId="2" fillId="0" borderId="2" xfId="0" applyNumberFormat="1" applyFont="1" applyFill="1" applyBorder="1" applyAlignment="1" applyProtection="1">
      <alignment horizontal="center" vertical="center"/>
      <protection locked="0"/>
    </xf>
    <xf numFmtId="181" fontId="2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3" fillId="0" borderId="0" xfId="0" applyNumberFormat="1" applyFont="1" applyFill="1" applyAlignment="1" applyProtection="1">
      <alignment horizontal="center" vertical="center" wrapText="1"/>
      <protection locked="0"/>
    </xf>
    <xf numFmtId="0" fontId="12" fillId="0" borderId="0" xfId="6" applyNumberFormat="1" applyFill="1" applyAlignment="1" applyProtection="1">
      <alignment horizontal="center" vertical="center" wrapText="1"/>
    </xf>
    <xf numFmtId="49" fontId="3" fillId="7" borderId="0" xfId="0" applyNumberFormat="1" applyFont="1" applyFill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/>
      <protection locked="0"/>
    </xf>
    <xf numFmtId="49" fontId="14" fillId="0" borderId="0" xfId="6" applyNumberFormat="1" applyFont="1" applyFill="1" applyAlignment="1" applyProtection="1">
      <alignment horizontal="center" vertical="center" wrapText="1"/>
      <protection locked="0"/>
    </xf>
    <xf numFmtId="0" fontId="11" fillId="0" borderId="0" xfId="6" applyNumberFormat="1" applyFont="1" applyFill="1" applyAlignment="1" applyProtection="1">
      <alignment horizontal="center" vertical="center" wrapText="1"/>
    </xf>
    <xf numFmtId="0" fontId="3" fillId="7" borderId="0" xfId="0" applyFont="1" applyFill="1" applyAlignment="1" applyProtection="1">
      <alignment horizontal="center" vertical="center"/>
      <protection locked="0"/>
    </xf>
    <xf numFmtId="0" fontId="12" fillId="7" borderId="0" xfId="6" applyNumberFormat="1" applyFill="1" applyAlignment="1" applyProtection="1">
      <alignment horizontal="center" vertical="center" wrapText="1"/>
    </xf>
    <xf numFmtId="0" fontId="12" fillId="0" borderId="0" xfId="6" applyNumberFormat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wrapText="1"/>
      <protection locked="0"/>
    </xf>
    <xf numFmtId="180" fontId="3" fillId="0" borderId="0" xfId="0" applyNumberFormat="1" applyFont="1" applyFill="1" applyBorder="1" applyAlignment="1" applyProtection="1">
      <alignment horizontal="center" vertical="center"/>
      <protection locked="0"/>
    </xf>
    <xf numFmtId="0" fontId="11" fillId="0" borderId="0" xfId="6" applyNumberFormat="1" applyFont="1" applyAlignment="1" applyProtection="1">
      <alignment horizontal="center" vertical="center"/>
    </xf>
    <xf numFmtId="181" fontId="3" fillId="7" borderId="0" xfId="0" applyNumberFormat="1" applyFont="1" applyFill="1" applyAlignment="1" applyProtection="1">
      <alignment horizontal="center" vertical="center"/>
      <protection locked="0"/>
    </xf>
    <xf numFmtId="0" fontId="11" fillId="0" borderId="0" xfId="6" applyNumberFormat="1" applyFont="1" applyFill="1" applyAlignment="1" applyProtection="1">
      <alignment horizontal="center" vertical="center"/>
    </xf>
    <xf numFmtId="49" fontId="15" fillId="0" borderId="0" xfId="0" applyNumberFormat="1" applyFont="1" applyAlignment="1" applyProtection="1">
      <alignment horizontal="center" vertical="center"/>
      <protection locked="0"/>
    </xf>
    <xf numFmtId="0" fontId="12" fillId="0" borderId="0" xfId="6" applyNumberFormat="1" applyFill="1" applyAlignment="1" applyProtection="1">
      <alignment horizontal="center" vertical="center"/>
    </xf>
    <xf numFmtId="0" fontId="1" fillId="0" borderId="0" xfId="0" applyFont="1" applyAlignment="1" applyProtection="1">
      <alignment vertical="center"/>
      <protection locked="0"/>
    </xf>
    <xf numFmtId="181" fontId="16" fillId="7" borderId="0" xfId="0" applyNumberFormat="1" applyFont="1" applyFill="1" applyAlignment="1" applyProtection="1">
      <alignment horizontal="center" vertical="center"/>
      <protection locked="0"/>
    </xf>
    <xf numFmtId="49" fontId="3" fillId="0" borderId="0" xfId="0" applyNumberFormat="1" applyFont="1" applyAlignment="1" applyProtection="1">
      <alignment horizontal="center" vertical="center"/>
      <protection locked="0"/>
    </xf>
    <xf numFmtId="49" fontId="14" fillId="0" borderId="0" xfId="6" applyNumberFormat="1" applyFont="1" applyFill="1" applyBorder="1" applyAlignment="1" applyProtection="1">
      <alignment horizontal="center" vertical="center"/>
      <protection locked="0"/>
    </xf>
    <xf numFmtId="49" fontId="17" fillId="7" borderId="0" xfId="0" applyNumberFormat="1" applyFont="1" applyFill="1" applyAlignment="1" applyProtection="1">
      <alignment horizontal="center" vertical="center"/>
      <protection locked="0"/>
    </xf>
    <xf numFmtId="49" fontId="16" fillId="7" borderId="0" xfId="0" applyNumberFormat="1" applyFont="1" applyFill="1" applyAlignment="1" applyProtection="1">
      <alignment horizontal="center" vertical="center" wrapText="1"/>
      <protection locked="0"/>
    </xf>
    <xf numFmtId="0" fontId="18" fillId="7" borderId="0" xfId="6" applyNumberFormat="1" applyFont="1" applyFill="1" applyAlignment="1" applyProtection="1">
      <alignment horizontal="center" vertical="center" wrapText="1"/>
    </xf>
    <xf numFmtId="181" fontId="3" fillId="7" borderId="0" xfId="0" applyNumberFormat="1" applyFont="1" applyFill="1" applyAlignment="1" applyProtection="1">
      <alignment horizontal="left" vertical="center" wrapText="1"/>
      <protection locked="0"/>
    </xf>
    <xf numFmtId="49" fontId="14" fillId="0" borderId="0" xfId="6" applyNumberFormat="1" applyFont="1" applyFill="1" applyAlignment="1" applyProtection="1">
      <alignment horizontal="center" vertical="center"/>
      <protection locked="0"/>
    </xf>
    <xf numFmtId="49" fontId="3" fillId="0" borderId="0" xfId="0" applyNumberFormat="1" applyFont="1" applyFill="1" applyAlignment="1" applyProtection="1">
      <alignment horizontal="justify" vertical="center"/>
      <protection locked="0"/>
    </xf>
    <xf numFmtId="49" fontId="3" fillId="0" borderId="0" xfId="0" applyNumberFormat="1" applyFont="1" applyFill="1" applyAlignment="1" applyProtection="1">
      <alignment horizontal="left" vertical="center"/>
      <protection locked="0"/>
    </xf>
    <xf numFmtId="180" fontId="3" fillId="0" borderId="0" xfId="0" applyNumberFormat="1" applyFont="1" applyFill="1" applyAlignment="1" applyProtection="1">
      <alignment horizontal="left" vertical="center"/>
      <protection locked="0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S5" xfId="49"/>
  </cellStyles>
  <dxfs count="44">
    <dxf/>
    <dxf>
      <numFmt numFmtId="181" formatCode="dd/mm/yyyy;@"/>
    </dxf>
    <dxf>
      <font>
        <u val="single"/>
        <color theme="8"/>
      </font>
      <numFmt numFmtId="0" formatCode="General"/>
      <alignment horizontal="center"/>
    </dxf>
    <dxf>
      <font>
        <b val="1"/>
      </font>
      <numFmt numFmtId="0" formatCode="General"/>
    </dxf>
    <dxf>
      <numFmt numFmtId="181" formatCode="dd/mm/yyyy;@"/>
    </dxf>
    <dxf>
      <font>
        <u val="none"/>
        <color auto="1"/>
      </font>
    </dxf>
    <dxf>
      <numFmt numFmtId="0" formatCode="General"/>
      <fill>
        <patternFill patternType="none"/>
      </fill>
      <alignment horizontal="center" vertical="center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theme="6"/>
        </patternFill>
      </fill>
    </dxf>
    <dxf>
      <fill>
        <patternFill patternType="solid">
          <bgColor theme="9"/>
        </patternFill>
      </fill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0" tint="-0.0499893185216834"/>
        </patternFill>
      </fill>
    </dxf>
    <dxf>
      <font>
        <name val="宋体"/>
        <scheme val="none"/>
        <b val="0"/>
        <i val="0"/>
        <u val="none"/>
        <sz val="11"/>
        <color theme="0" tint="-0.0499893185216834"/>
      </font>
      <fill>
        <patternFill patternType="solid">
          <bgColor theme="0" tint="-0.149998474074526"/>
        </patternFill>
      </fill>
      <border>
        <left/>
        <right/>
        <top/>
        <bottom style="medium">
          <color theme="1" tint="0.499984740745262"/>
        </bottom>
        <vertical/>
        <horizontal/>
      </border>
    </dxf>
    <dxf>
      <font>
        <name val="宋体"/>
        <scheme val="none"/>
        <b val="0"/>
        <i val="0"/>
        <u val="none"/>
        <sz val="11"/>
        <color theme="1" tint="0.249977111117893"/>
      </font>
      <fill>
        <patternFill patternType="solid">
          <bgColor theme="0"/>
        </patternFill>
      </fill>
      <border>
        <left/>
        <right/>
        <top style="thin">
          <color theme="1" tint="0.249977111117893"/>
        </top>
        <bottom style="thin">
          <color theme="1" tint="0.249977111117893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firstColumnStripe" dxfId="24"/>
    </tableStyle>
    <tableStyle name="表样式 1" pivot="0" count="3" xr9:uid="{AB0A5FED-8B18-44B1-A2F1-73899668B855}">
      <tableStyleElement type="wholeTable" dxfId="33"/>
      <tableStyleElement type="headerRow" dxfId="32"/>
      <tableStyleElement type="secondRowStripe" dxfId="31"/>
    </tableStyle>
    <tableStyle name="PivotStylePreset2_Accent1" table="0" count="10" xr9:uid="{267968C8-6FFD-4C36-ACC1-9EA1FD1885CA}">
      <tableStyleElement type="headerRow" dxfId="43"/>
      <tableStyleElement type="totalRow" dxfId="42"/>
      <tableStyleElement type="firstRowStripe" dxfId="41"/>
      <tableStyleElement type="firstColumnStripe" dxfId="40"/>
      <tableStyleElement type="firstSubtotalRow" dxfId="39"/>
      <tableStyleElement type="secondSubtotalRow" dxfId="38"/>
      <tableStyleElement type="firstRowSubheading" dxfId="37"/>
      <tableStyleElement type="secondRowSubheading" dxfId="36"/>
      <tableStyleElement type="pageFieldLabels" dxfId="35"/>
      <tableStyleElement type="pageFieldValues" dxfId="3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268605</xdr:colOff>
      <xdr:row>1</xdr:row>
      <xdr:rowOff>101600</xdr:rowOff>
    </xdr:from>
    <xdr:to>
      <xdr:col>1</xdr:col>
      <xdr:colOff>295275</xdr:colOff>
      <xdr:row>2</xdr:row>
      <xdr:rowOff>193675</xdr:rowOff>
    </xdr:to>
    <xdr:pic>
      <xdr:nvPicPr>
        <xdr:cNvPr id="2" name="图片 2" descr="库存积压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8605" y="318770"/>
          <a:ext cx="295275" cy="309245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261</xdr:row>
      <xdr:rowOff>0</xdr:rowOff>
    </xdr:from>
    <xdr:to>
      <xdr:col>19</xdr:col>
      <xdr:colOff>304800</xdr:colOff>
      <xdr:row>347</xdr:row>
      <xdr:rowOff>87630</xdr:rowOff>
    </xdr:to>
    <xdr:pic>
      <xdr:nvPicPr>
        <xdr:cNvPr id="5" name="Picture 4"/>
        <xdr:cNvPicPr>
          <a:picLocks noChangeAspect="1"/>
        </xdr:cNvPicPr>
      </xdr:nvPicPr>
      <xdr:blipFill>
        <a:stretch>
          <a:fillRect/>
        </a:stretch>
      </xdr:blipFill>
      <xdr:spPr>
        <a:xfrm>
          <a:off x="25784810" y="189738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304800</xdr:colOff>
      <xdr:row>1</xdr:row>
      <xdr:rowOff>101600</xdr:rowOff>
    </xdr:from>
    <xdr:to>
      <xdr:col>2</xdr:col>
      <xdr:colOff>0</xdr:colOff>
      <xdr:row>2</xdr:row>
      <xdr:rowOff>193675</xdr:rowOff>
    </xdr:to>
    <xdr:pic>
      <xdr:nvPicPr>
        <xdr:cNvPr id="2" name="图片 2" descr="库存积压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" y="317500"/>
          <a:ext cx="295275" cy="3079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表1_510111623253" displayName="表1_510111623253" ref="B5:X4207" totalsRowShown="0">
  <autoFilter xmlns:etc="http://www.wps.cn/officeDocument/2017/etCustomData" ref="B5:X4207" etc:filterBottomFollowUsedRange="0">
    <filterColumn colId="2">
      <filters>
        <filter val="SPRAY GUN - NRT-PRO / F-75"/>
        <filter val="(REFURBISHED) SPRAY GUN - NRT-PRO / F-75"/>
        <filter val="SPRAY GUN - YUKIDO / F-75G"/>
        <filter val="TABUNG CAT SPRAY GUN - LAKONI"/>
        <filter val="KUNCI NAPLE SPRAY GUN"/>
      </filters>
    </filterColumn>
  </autoFilter>
  <sortState ref="B5:X4207">
    <sortCondition ref="I5"/>
  </sortState>
  <tableColumns count="23">
    <tableColumn id="1" name="No"/>
    <tableColumn id="23" name="No Seri"/>
    <tableColumn id="3" name="Deskripsi Barang"/>
    <tableColumn id="4" name="Kuantitas"/>
    <tableColumn id="5" name="Satuan"/>
    <tableColumn id="6" name="Peminta" dataDxfId="0"/>
    <tableColumn id="7" name="Penempatan"/>
    <tableColumn id="15" name="Tgl NPBG" dataDxfId="1"/>
    <tableColumn id="14" name="No. NPBG"/>
    <tableColumn id="19" name="Item No"/>
    <tableColumn id="2" name="Nama File(.#ext)"/>
    <tableColumn id="12" name="Bukti Keluar" dataDxfId="2">
      <calculatedColumnFormula>IF(L6="","",HYPERLINK(_xlfn.CONCAT($L$4,L6,".jpg"),"Open File"))</calculatedColumnFormula>
    </tableColumn>
    <tableColumn id="8" name="Keterangan Keluar"/>
    <tableColumn id="9" name="Status" dataDxfId="3">
      <calculatedColumnFormula>IF(AND(Q6&lt;&gt;"",T6&lt;&gt;""),"PASSIVE",IF(AND(J6&lt;&gt;"",M6&lt;&gt;""),"ACTIVE",""))</calculatedColumnFormula>
    </tableColumn>
    <tableColumn id="16" name="Tgl RI" dataDxfId="4"/>
    <tableColumn id="10" name="Tanda Kembali"/>
    <tableColumn id="22" name="Item No2"/>
    <tableColumn id="17" name="Nama File(.#ext2)" dataDxfId="5"/>
    <tableColumn id="11" name="Bukti Terima" dataDxfId="6">
      <calculatedColumnFormula>IF(S6="","",HYPERLINK(_xlfn.CONCAT($S$4,S6,".jpg"),"Open File"))</calculatedColumnFormula>
    </tableColumn>
    <tableColumn id="13" name="Keterangan Kembali"/>
    <tableColumn id="21" name="HC Tanda Kembali" dataDxfId="7">
      <calculatedColumnFormula>IF(AND(Q6&lt;&gt;"",RIGHT(Q6,3)&lt;&gt;""),IF(COUNTIF($Q$6:Q6,Q6)=1,1,0),0)</calculatedColumnFormula>
    </tableColumn>
    <tableColumn id="18" name="HC Nama File NPBG" dataDxfId="8">
      <calculatedColumnFormula>IF(AND(K6&lt;&gt;"",L6&lt;&gt;""),_xlfn.CONCAT(SUBSTITUTE(K6,"/","."),"-",L6),"")</calculatedColumnFormula>
    </tableColumn>
    <tableColumn id="20" name="HC Nama File RI" dataDxfId="9">
      <calculatedColumnFormula>IF(AND(Q6&lt;&gt;"",R6&lt;&gt;""),_xlfn.CONCAT(SUBSTITUTE(Q6,"/","."),"-",R6),"")</calculatedColumnFormula>
    </tableColumn>
  </tableColumns>
  <tableStyleInfo name="表样式 1" showFirstColumn="0" showLastColumn="0" showRowStripes="1" showColumnStripes="0"/>
</table>
</file>

<file path=xl/tables/table2.xml><?xml version="1.0" encoding="utf-8"?>
<table xmlns="http://schemas.openxmlformats.org/spreadsheetml/2006/main" id="3" name="表1" displayName="表1" ref="B5:J4188" totalsRowShown="0">
  <autoFilter xmlns:etc="http://www.wps.cn/officeDocument/2017/etCustomData" ref="B5:J4188" etc:filterBottomFollowUsedRange="0"/>
  <tableColumns count="9">
    <tableColumn id="1" name="No"/>
    <tableColumn id="2" name="No Seri"/>
    <tableColumn id="3" name="Deskripsi Barang" dataDxfId="12">
      <calculatedColumnFormula array="1">IF(C6="","",IFERROR(INDEX(STPP!$D$6:$D$4207,MATCH(C6,STPP!$C$6:$C$4207,0)),"Not Found"))</calculatedColumnFormula>
    </tableColumn>
    <tableColumn id="4" name="Kuantitas" dataDxfId="13">
      <calculatedColumnFormula array="1">IF(C6="","",IFERROR(INDEX(STPP!$E$6:$E$4207,MATCH(C6,STPP!$C$6:$C$4207,0)),"Not Found"))</calculatedColumnFormula>
    </tableColumn>
    <tableColumn id="5" name="Satuan" dataDxfId="14">
      <calculatedColumnFormula array="1">IF(C6="","",IFERROR(INDEX(STPP!$F$6:$F$4207,MATCH(C6,STPP!$C$6:$C$4207,0)),"Not Found"))</calculatedColumnFormula>
    </tableColumn>
    <tableColumn id="6" name="Peminta" dataDxfId="15"/>
    <tableColumn id="7" name="Tgl NPBG" dataDxfId="16"/>
    <tableColumn id="8" name="No NPBG" dataDxfId="17"/>
    <tableColumn id="9" name="Keterangan" dataDxfId="18"/>
  </tableColumns>
  <tableStyleInfo name="表样式 1" showFirstColumn="0" showLastColumn="0" showRowStripes="1" showColumnStripes="0"/>
</table>
</file>

<file path=xl/tables/table3.xml><?xml version="1.0" encoding="utf-8"?>
<table xmlns="http://schemas.openxmlformats.org/spreadsheetml/2006/main" id="2" name="表1_51011162325372" displayName="表1_51011162325372" ref="A1:E4165" totalsRowShown="0">
  <autoFilter xmlns:etc="http://www.wps.cn/officeDocument/2017/etCustomData" ref="A1:E4165" etc:filterBottomFollowUsedRange="0"/>
  <sortState ref="A1:E4165">
    <sortCondition ref="A1:A4165"/>
  </sortState>
  <tableColumns count="5">
    <tableColumn id="1" name="Peminta" dataDxfId="19"/>
    <tableColumn id="2" name="Penempatan" dataDxfId="20"/>
    <tableColumn id="3" name="Deskripsi Ban Lama" dataDxfId="21"/>
    <tableColumn id="4" name="No Seri Baru" dataDxfId="22"/>
    <tableColumn id="5" name="No Seri Lama" dataDxfId="23"/>
  </tableColumns>
  <tableStyleInfo name="表样式 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.x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4207"/>
  <sheetViews>
    <sheetView zoomScale="80" zoomScaleNormal="80" topLeftCell="F1" workbookViewId="0">
      <pane ySplit="5" topLeftCell="A6" activePane="bottomLeft" state="frozen"/>
      <selection/>
      <selection pane="bottomLeft" activeCell="T240" sqref="T240"/>
    </sheetView>
  </sheetViews>
  <sheetFormatPr defaultColWidth="10.2857142857143" defaultRowHeight="17.1" customHeight="1"/>
  <cols>
    <col min="1" max="1" width="4.02857142857143" style="34" customWidth="1"/>
    <col min="2" max="2" width="6.14285714285714" style="35" customWidth="1"/>
    <col min="3" max="3" width="12.4285714285714" style="35" customWidth="1"/>
    <col min="4" max="4" width="84.7142857142857" style="36" customWidth="1"/>
    <col min="5" max="5" width="11" style="37" customWidth="1"/>
    <col min="6" max="6" width="8.42857142857143" style="37" customWidth="1"/>
    <col min="7" max="7" width="11.1428571428571" style="37" customWidth="1"/>
    <col min="8" max="8" width="30.1428571428571" style="35" customWidth="1"/>
    <col min="9" max="9" width="12.7142857142857" style="38" customWidth="1"/>
    <col min="10" max="10" width="28.2857142857143" style="39" customWidth="1"/>
    <col min="11" max="11" width="9.42857142857143" style="39" customWidth="1"/>
    <col min="12" max="12" width="30.4285714285714" style="40" customWidth="1"/>
    <col min="13" max="13" width="14" style="41" customWidth="1"/>
    <col min="14" max="14" width="45.0380952380952" style="42" customWidth="1"/>
    <col min="15" max="15" width="13.9428571428571" style="43" customWidth="1"/>
    <col min="16" max="16" width="13" style="33" customWidth="1"/>
    <col min="17" max="17" width="18.5714285714286" style="33" customWidth="1"/>
    <col min="18" max="18" width="10.5714285714286" style="37" customWidth="1"/>
    <col min="19" max="19" width="22.7142857142857" style="33" customWidth="1"/>
    <col min="20" max="20" width="14.4285714285714" style="41" customWidth="1"/>
    <col min="21" max="21" width="41" style="42" customWidth="1"/>
    <col min="22" max="22" width="19.5714285714286" style="43" hidden="1" customWidth="1"/>
    <col min="23" max="23" width="21.2857142857143" style="43" hidden="1" customWidth="1"/>
    <col min="24" max="24" width="19.2857142857143" style="43" hidden="1" customWidth="1"/>
    <col min="25" max="16384" width="10.2857142857143" style="32"/>
  </cols>
  <sheetData>
    <row r="1" s="32" customFormat="1" customHeight="1" spans="1:24">
      <c r="A1" s="34"/>
      <c r="B1" s="44" t="s">
        <v>0</v>
      </c>
      <c r="C1" s="44"/>
      <c r="D1" s="45"/>
      <c r="E1" s="44"/>
      <c r="F1" s="44"/>
      <c r="G1" s="44"/>
      <c r="H1" s="44"/>
      <c r="I1" s="44"/>
      <c r="J1" s="44"/>
      <c r="K1" s="44"/>
      <c r="L1" s="56"/>
      <c r="M1" s="57"/>
      <c r="N1" s="45"/>
      <c r="O1" s="44"/>
      <c r="P1" s="58"/>
      <c r="Q1" s="44"/>
      <c r="R1" s="56"/>
      <c r="S1" s="75"/>
      <c r="T1" s="57"/>
      <c r="U1" s="42"/>
      <c r="V1" s="43"/>
      <c r="W1" s="43"/>
      <c r="X1" s="43"/>
    </row>
    <row r="2" s="32" customFormat="1" customHeight="1" spans="1:24">
      <c r="A2" s="34"/>
      <c r="B2" s="44"/>
      <c r="C2" s="44"/>
      <c r="D2" s="45"/>
      <c r="E2" s="44"/>
      <c r="F2" s="44"/>
      <c r="G2" s="44"/>
      <c r="H2" s="44"/>
      <c r="I2" s="44"/>
      <c r="J2" s="44"/>
      <c r="K2" s="44"/>
      <c r="L2" s="56"/>
      <c r="M2" s="57"/>
      <c r="N2" s="45"/>
      <c r="O2" s="44"/>
      <c r="P2" s="58"/>
      <c r="Q2" s="44"/>
      <c r="R2" s="56"/>
      <c r="S2" s="75"/>
      <c r="T2" s="57"/>
      <c r="U2" s="42"/>
      <c r="V2" s="43"/>
      <c r="W2" s="43"/>
      <c r="X2" s="43"/>
    </row>
    <row r="3" s="32" customFormat="1" ht="18" customHeight="1" spans="1:24">
      <c r="A3" s="34"/>
      <c r="B3" s="46"/>
      <c r="C3" s="46"/>
      <c r="D3" s="47"/>
      <c r="E3" s="46"/>
      <c r="F3" s="46"/>
      <c r="G3" s="46"/>
      <c r="H3" s="46"/>
      <c r="I3" s="46"/>
      <c r="J3" s="46"/>
      <c r="K3" s="46"/>
      <c r="L3" s="59"/>
      <c r="M3" s="60"/>
      <c r="N3" s="47"/>
      <c r="O3" s="46"/>
      <c r="P3" s="61"/>
      <c r="Q3" s="46"/>
      <c r="R3" s="59"/>
      <c r="S3" s="76"/>
      <c r="T3" s="60"/>
      <c r="U3" s="77" t="s">
        <v>1</v>
      </c>
      <c r="V3" s="43"/>
      <c r="W3" s="43"/>
      <c r="X3" s="43"/>
    </row>
    <row r="4" s="32" customFormat="1" ht="47.25" spans="1:24">
      <c r="A4" s="34"/>
      <c r="B4" s="35"/>
      <c r="C4" s="35"/>
      <c r="D4" s="36"/>
      <c r="E4" s="37"/>
      <c r="F4" s="37"/>
      <c r="G4" s="37"/>
      <c r="H4" s="35"/>
      <c r="I4" s="38"/>
      <c r="J4" s="39"/>
      <c r="K4" s="39"/>
      <c r="L4" s="62" t="s">
        <v>2</v>
      </c>
      <c r="M4" s="63"/>
      <c r="N4" s="42"/>
      <c r="O4" s="33"/>
      <c r="P4" s="63"/>
      <c r="Q4" s="78" t="str">
        <f ca="1">"RI/"&amp;RIGHT(YEAR(TODAY()),2)&amp;"/"&amp;CHOOSE(MONTH(TODAY()),"I","II","III","IV","V","VI","VII","VIII","IX","X","XI","XII")&amp;"/"&amp;TEXT(SUMIFS(V6:V100030,Q6:Q100030,"RI/"&amp;RIGHT(YEAR(TODAY()),2)&amp;"/"&amp;CHOOSE(MONTH(TODAY()),"I","II","III","IV","V","VI","VII","VIII","IX","X","XI","XII")&amp;"/???")+1,"000")</f>
        <v>RI/26/IX/001</v>
      </c>
      <c r="R4" s="79"/>
      <c r="S4" s="62" t="s">
        <v>3</v>
      </c>
      <c r="T4" s="63"/>
      <c r="U4" s="42"/>
      <c r="V4" s="43"/>
      <c r="W4" s="43"/>
      <c r="X4" s="43"/>
    </row>
    <row r="5" s="33" customFormat="1" ht="15.75" spans="1:24">
      <c r="A5" s="37"/>
      <c r="B5" s="48" t="s">
        <v>4</v>
      </c>
      <c r="C5" s="48" t="s">
        <v>5</v>
      </c>
      <c r="D5" s="49" t="s">
        <v>6</v>
      </c>
      <c r="E5" s="48" t="s">
        <v>7</v>
      </c>
      <c r="F5" s="50" t="s">
        <v>8</v>
      </c>
      <c r="G5" s="50" t="s">
        <v>9</v>
      </c>
      <c r="H5" s="50" t="s">
        <v>10</v>
      </c>
      <c r="I5" s="50" t="s">
        <v>11</v>
      </c>
      <c r="J5" s="50" t="s">
        <v>12</v>
      </c>
      <c r="K5" s="50" t="s">
        <v>13</v>
      </c>
      <c r="L5" s="50" t="s">
        <v>14</v>
      </c>
      <c r="M5" s="64" t="s">
        <v>15</v>
      </c>
      <c r="N5" s="65" t="s">
        <v>16</v>
      </c>
      <c r="O5" s="64" t="s">
        <v>17</v>
      </c>
      <c r="P5" s="64" t="s">
        <v>18</v>
      </c>
      <c r="Q5" s="80" t="s">
        <v>19</v>
      </c>
      <c r="R5" s="50" t="s">
        <v>20</v>
      </c>
      <c r="S5" s="50" t="s">
        <v>21</v>
      </c>
      <c r="T5" s="64" t="s">
        <v>22</v>
      </c>
      <c r="U5" s="81" t="s">
        <v>23</v>
      </c>
      <c r="V5" s="43" t="s">
        <v>24</v>
      </c>
      <c r="W5" s="43" t="s">
        <v>25</v>
      </c>
      <c r="X5" s="43" t="s">
        <v>26</v>
      </c>
    </row>
    <row r="6" s="33" customFormat="1" hidden="1" customHeight="1" spans="1:24">
      <c r="A6" s="34"/>
      <c r="B6" s="51">
        <v>1</v>
      </c>
      <c r="C6" s="51" t="s">
        <v>27</v>
      </c>
      <c r="D6" s="52" t="s">
        <v>28</v>
      </c>
      <c r="E6" s="53">
        <v>1</v>
      </c>
      <c r="F6" s="54" t="s">
        <v>29</v>
      </c>
      <c r="G6" s="54" t="s">
        <v>30</v>
      </c>
      <c r="H6" s="54" t="s">
        <v>31</v>
      </c>
      <c r="I6" s="66">
        <v>45884</v>
      </c>
      <c r="J6" s="54" t="s">
        <v>32</v>
      </c>
      <c r="K6" s="67">
        <v>87</v>
      </c>
      <c r="L6" s="68" t="s">
        <v>33</v>
      </c>
      <c r="M6" s="69" t="str">
        <f t="shared" ref="M6:M69" si="0">IF(L6="","",HYPERLINK(_xlfn.CONCAT($L$4,L6,".jpg"),"Open File"))</f>
        <v>Open File</v>
      </c>
      <c r="N6" s="70" t="s">
        <v>34</v>
      </c>
      <c r="O6" s="71" t="str">
        <f t="shared" ref="O6:O28" si="1">IF(AND(Q6&lt;&gt;"",T6&lt;&gt;""),"PASSIVE",IF(AND(J6&lt;&gt;"",M6&lt;&gt;""),"ACTIVE",""))</f>
        <v>ACTIVE</v>
      </c>
      <c r="P6" s="66"/>
      <c r="Q6" s="66"/>
      <c r="R6" s="54"/>
      <c r="S6" s="82"/>
      <c r="T6" s="83" t="str">
        <f t="shared" ref="T6:T69" si="2">IF(S6="","",HYPERLINK(_xlfn.CONCAT($S$4,S6,".jpg"),"Open File"))</f>
        <v/>
      </c>
      <c r="U6" s="10"/>
      <c r="V6" s="41">
        <f>IF(AND(Q6&lt;&gt;"",RIGHT(Q6,3)&lt;&gt;""),IF(COUNTIF($Q$6:Q6,Q6)=1,1,0),0)</f>
        <v>0</v>
      </c>
      <c r="W6" s="41" t="str">
        <f>IF(AND(J6&lt;&gt;"",K6&lt;&gt;""),_xlfn.CONCAT(SUBSTITUTE(J6,"/","."),"-",K6),"")</f>
        <v>NA.25.VIII.138-87</v>
      </c>
      <c r="X6" s="41" t="str">
        <f t="shared" ref="X6:X69" si="3">IF(AND(Q6&lt;&gt;"",R6&lt;&gt;""),_xlfn.CONCAT(SUBSTITUTE(Q6,"/","."),"-",R6),"")</f>
        <v/>
      </c>
    </row>
    <row r="7" s="32" customFormat="1" hidden="1" customHeight="1" spans="1:24">
      <c r="A7" s="34"/>
      <c r="B7" s="51">
        <v>2</v>
      </c>
      <c r="C7" s="51" t="s">
        <v>35</v>
      </c>
      <c r="D7" s="52" t="s">
        <v>36</v>
      </c>
      <c r="E7" s="53">
        <v>1</v>
      </c>
      <c r="F7" s="54" t="s">
        <v>29</v>
      </c>
      <c r="G7" s="54" t="s">
        <v>30</v>
      </c>
      <c r="H7" s="54" t="s">
        <v>37</v>
      </c>
      <c r="I7" s="66">
        <v>45884</v>
      </c>
      <c r="J7" s="54" t="s">
        <v>32</v>
      </c>
      <c r="K7" s="67">
        <v>85</v>
      </c>
      <c r="L7" s="68" t="s">
        <v>38</v>
      </c>
      <c r="M7" s="69" t="str">
        <f t="shared" si="0"/>
        <v>Open File</v>
      </c>
      <c r="N7" s="70" t="s">
        <v>34</v>
      </c>
      <c r="O7" s="71" t="str">
        <f t="shared" si="1"/>
        <v>ACTIVE</v>
      </c>
      <c r="P7" s="66"/>
      <c r="Q7" s="66"/>
      <c r="R7" s="54"/>
      <c r="S7" s="82"/>
      <c r="T7" s="83" t="str">
        <f t="shared" si="2"/>
        <v/>
      </c>
      <c r="U7" s="10"/>
      <c r="V7" s="41">
        <f>IF(AND(Q7&lt;&gt;"",RIGHT(Q7,3)&lt;&gt;""),IF(COUNTIF($Q$6:Q7,Q7)=1,1,0),0)</f>
        <v>0</v>
      </c>
      <c r="W7" s="41" t="str">
        <f t="shared" ref="W6:W69" si="4">IF(AND(J7&lt;&gt;"",K7&lt;&gt;""),_xlfn.CONCAT(SUBSTITUTE(J7,"/","."),"-",K7),"")</f>
        <v>NA.25.VIII.138-85</v>
      </c>
      <c r="X7" s="41" t="str">
        <f t="shared" si="3"/>
        <v/>
      </c>
    </row>
    <row r="8" s="32" customFormat="1" hidden="1" customHeight="1" spans="1:24">
      <c r="A8" s="34"/>
      <c r="B8" s="51">
        <v>3</v>
      </c>
      <c r="C8" s="51" t="s">
        <v>39</v>
      </c>
      <c r="D8" s="52" t="s">
        <v>40</v>
      </c>
      <c r="E8" s="53">
        <v>1</v>
      </c>
      <c r="F8" s="54" t="s">
        <v>29</v>
      </c>
      <c r="G8" s="54" t="s">
        <v>30</v>
      </c>
      <c r="H8" s="54" t="s">
        <v>37</v>
      </c>
      <c r="I8" s="66">
        <v>45884</v>
      </c>
      <c r="J8" s="54" t="s">
        <v>32</v>
      </c>
      <c r="K8" s="67">
        <v>84</v>
      </c>
      <c r="L8" s="68" t="s">
        <v>41</v>
      </c>
      <c r="M8" s="69" t="str">
        <f t="shared" si="0"/>
        <v>Open File</v>
      </c>
      <c r="N8" s="70" t="s">
        <v>34</v>
      </c>
      <c r="O8" s="71" t="str">
        <f t="shared" si="1"/>
        <v>ACTIVE</v>
      </c>
      <c r="P8" s="66"/>
      <c r="Q8" s="66"/>
      <c r="R8" s="54"/>
      <c r="S8" s="82"/>
      <c r="T8" s="83" t="str">
        <f t="shared" si="2"/>
        <v/>
      </c>
      <c r="U8" s="10"/>
      <c r="V8" s="41">
        <f>IF(AND(Q8&lt;&gt;"",RIGHT(Q8,3)&lt;&gt;""),IF(COUNTIF($Q$6:Q8,Q8)=1,1,0),0)</f>
        <v>0</v>
      </c>
      <c r="W8" s="41" t="str">
        <f t="shared" si="4"/>
        <v>NA.25.VIII.138-84</v>
      </c>
      <c r="X8" s="41" t="str">
        <f t="shared" si="3"/>
        <v/>
      </c>
    </row>
    <row r="9" s="32" customFormat="1" hidden="1" customHeight="1" spans="1:24">
      <c r="A9" s="34"/>
      <c r="B9" s="51">
        <v>4</v>
      </c>
      <c r="C9" s="51" t="s">
        <v>42</v>
      </c>
      <c r="D9" s="52" t="s">
        <v>43</v>
      </c>
      <c r="E9" s="53">
        <v>1</v>
      </c>
      <c r="F9" s="54" t="s">
        <v>29</v>
      </c>
      <c r="G9" s="54" t="s">
        <v>30</v>
      </c>
      <c r="H9" s="54" t="s">
        <v>37</v>
      </c>
      <c r="I9" s="66">
        <v>45884</v>
      </c>
      <c r="J9" s="54" t="s">
        <v>32</v>
      </c>
      <c r="K9" s="67">
        <v>83</v>
      </c>
      <c r="L9" s="68" t="s">
        <v>44</v>
      </c>
      <c r="M9" s="72" t="str">
        <f t="shared" si="0"/>
        <v>Open File</v>
      </c>
      <c r="N9" s="70" t="s">
        <v>34</v>
      </c>
      <c r="O9" s="71" t="str">
        <f t="shared" si="1"/>
        <v>ACTIVE</v>
      </c>
      <c r="P9" s="66">
        <v>46106</v>
      </c>
      <c r="Q9" s="66" t="s">
        <v>45</v>
      </c>
      <c r="R9" s="54">
        <v>1</v>
      </c>
      <c r="S9" s="84"/>
      <c r="T9" s="83" t="str">
        <f t="shared" si="2"/>
        <v/>
      </c>
      <c r="U9" s="10" t="s">
        <v>46</v>
      </c>
      <c r="V9" s="41">
        <f>IF(AND(Q9&lt;&gt;"",RIGHT(Q9,3)&lt;&gt;""),IF(COUNTIF($Q$6:Q9,Q9)=1,1,0),0)</f>
        <v>1</v>
      </c>
      <c r="W9" s="41" t="str">
        <f t="shared" si="4"/>
        <v>NA.25.VIII.138-83</v>
      </c>
      <c r="X9" s="41" t="str">
        <f t="shared" si="3"/>
        <v>RI.NV.26.III.052-1</v>
      </c>
    </row>
    <row r="10" s="32" customFormat="1" hidden="1" customHeight="1" spans="1:24">
      <c r="A10" s="34"/>
      <c r="B10" s="51">
        <v>5</v>
      </c>
      <c r="C10" s="51" t="s">
        <v>47</v>
      </c>
      <c r="D10" s="52" t="s">
        <v>43</v>
      </c>
      <c r="E10" s="53">
        <v>1</v>
      </c>
      <c r="F10" s="54" t="s">
        <v>29</v>
      </c>
      <c r="G10" s="54" t="s">
        <v>30</v>
      </c>
      <c r="H10" s="54" t="s">
        <v>37</v>
      </c>
      <c r="I10" s="66">
        <v>45884</v>
      </c>
      <c r="J10" s="54" t="s">
        <v>32</v>
      </c>
      <c r="K10" s="67">
        <v>82</v>
      </c>
      <c r="L10" s="68" t="s">
        <v>48</v>
      </c>
      <c r="M10" s="73" t="str">
        <f t="shared" si="0"/>
        <v>Open File</v>
      </c>
      <c r="N10" s="70" t="s">
        <v>34</v>
      </c>
      <c r="O10" s="71" t="str">
        <f t="shared" si="1"/>
        <v>ACTIVE</v>
      </c>
      <c r="P10" s="66"/>
      <c r="Q10" s="66"/>
      <c r="R10" s="54"/>
      <c r="S10" s="82"/>
      <c r="T10" s="83" t="str">
        <f t="shared" si="2"/>
        <v/>
      </c>
      <c r="U10" s="10"/>
      <c r="V10" s="41">
        <f>IF(AND(Q10&lt;&gt;"",RIGHT(Q10,3)&lt;&gt;""),IF(COUNTIF($Q$6:Q10,Q10)=1,1,0),0)</f>
        <v>0</v>
      </c>
      <c r="W10" s="41" t="str">
        <f t="shared" si="4"/>
        <v>NA.25.VIII.138-82</v>
      </c>
      <c r="X10" s="41" t="str">
        <f t="shared" si="3"/>
        <v/>
      </c>
    </row>
    <row r="11" s="32" customFormat="1" hidden="1" customHeight="1" spans="1:24">
      <c r="A11" s="34"/>
      <c r="B11" s="51">
        <v>6</v>
      </c>
      <c r="C11" s="51" t="s">
        <v>49</v>
      </c>
      <c r="D11" s="52" t="s">
        <v>50</v>
      </c>
      <c r="E11" s="53">
        <v>1</v>
      </c>
      <c r="F11" s="54" t="s">
        <v>29</v>
      </c>
      <c r="G11" s="54" t="s">
        <v>30</v>
      </c>
      <c r="H11" s="54" t="s">
        <v>37</v>
      </c>
      <c r="I11" s="66">
        <v>45884</v>
      </c>
      <c r="J11" s="54" t="s">
        <v>32</v>
      </c>
      <c r="K11" s="67">
        <v>81</v>
      </c>
      <c r="L11" s="68" t="s">
        <v>51</v>
      </c>
      <c r="M11" s="74" t="str">
        <f t="shared" si="0"/>
        <v>Open File</v>
      </c>
      <c r="N11" s="70" t="s">
        <v>34</v>
      </c>
      <c r="O11" s="71" t="str">
        <f t="shared" si="1"/>
        <v>ACTIVE</v>
      </c>
      <c r="P11" s="66"/>
      <c r="Q11" s="66"/>
      <c r="R11" s="54"/>
      <c r="S11" s="82"/>
      <c r="T11" s="83" t="str">
        <f t="shared" si="2"/>
        <v/>
      </c>
      <c r="U11" s="10"/>
      <c r="V11" s="41">
        <f>IF(AND(Q11&lt;&gt;"",RIGHT(Q11,3)&lt;&gt;""),IF(COUNTIF($Q$6:Q11,Q11)=1,1,0),0)</f>
        <v>0</v>
      </c>
      <c r="W11" s="41" t="str">
        <f t="shared" si="4"/>
        <v>NA.25.VIII.138-81</v>
      </c>
      <c r="X11" s="41" t="str">
        <f t="shared" si="3"/>
        <v/>
      </c>
    </row>
    <row r="12" s="32" customFormat="1" hidden="1" customHeight="1" spans="1:24">
      <c r="A12" s="34"/>
      <c r="B12" s="51">
        <v>7</v>
      </c>
      <c r="C12" s="51" t="s">
        <v>52</v>
      </c>
      <c r="D12" s="52" t="s">
        <v>53</v>
      </c>
      <c r="E12" s="53">
        <v>1</v>
      </c>
      <c r="F12" s="54" t="s">
        <v>29</v>
      </c>
      <c r="G12" s="54" t="s">
        <v>30</v>
      </c>
      <c r="H12" s="54" t="s">
        <v>37</v>
      </c>
      <c r="I12" s="66">
        <v>45884</v>
      </c>
      <c r="J12" s="54" t="s">
        <v>32</v>
      </c>
      <c r="K12" s="67">
        <v>80</v>
      </c>
      <c r="L12" s="68" t="s">
        <v>54</v>
      </c>
      <c r="M12" s="72" t="str">
        <f t="shared" si="0"/>
        <v>Open File</v>
      </c>
      <c r="N12" s="70" t="s">
        <v>34</v>
      </c>
      <c r="O12" s="71" t="str">
        <f t="shared" si="1"/>
        <v>ACTIVE</v>
      </c>
      <c r="P12" s="66"/>
      <c r="Q12" s="66"/>
      <c r="R12" s="54"/>
      <c r="S12" s="82"/>
      <c r="T12" s="83" t="str">
        <f t="shared" si="2"/>
        <v/>
      </c>
      <c r="U12" s="10"/>
      <c r="V12" s="41">
        <f>IF(AND(Q12&lt;&gt;"",RIGHT(Q12,3)&lt;&gt;""),IF(COUNTIF($Q$6:Q12,Q12)=1,1,0),0)</f>
        <v>0</v>
      </c>
      <c r="W12" s="41" t="str">
        <f t="shared" si="4"/>
        <v>NA.25.VIII.138-80</v>
      </c>
      <c r="X12" s="41" t="str">
        <f t="shared" si="3"/>
        <v/>
      </c>
    </row>
    <row r="13" s="32" customFormat="1" hidden="1" customHeight="1" spans="1:24">
      <c r="A13" s="34"/>
      <c r="B13" s="51">
        <v>8</v>
      </c>
      <c r="C13" s="51" t="s">
        <v>55</v>
      </c>
      <c r="D13" s="52" t="s">
        <v>56</v>
      </c>
      <c r="E13" s="53">
        <v>1</v>
      </c>
      <c r="F13" s="54" t="s">
        <v>29</v>
      </c>
      <c r="G13" s="54" t="s">
        <v>30</v>
      </c>
      <c r="H13" s="54" t="s">
        <v>37</v>
      </c>
      <c r="I13" s="66">
        <v>45884</v>
      </c>
      <c r="J13" s="54" t="s">
        <v>32</v>
      </c>
      <c r="K13" s="67">
        <v>79</v>
      </c>
      <c r="L13" s="68" t="s">
        <v>57</v>
      </c>
      <c r="M13" s="72" t="str">
        <f t="shared" si="0"/>
        <v>Open File</v>
      </c>
      <c r="N13" s="70" t="s">
        <v>34</v>
      </c>
      <c r="O13" s="71" t="str">
        <f t="shared" si="1"/>
        <v>ACTIVE</v>
      </c>
      <c r="P13" s="66"/>
      <c r="Q13" s="66"/>
      <c r="R13" s="54"/>
      <c r="S13" s="82"/>
      <c r="T13" s="83" t="str">
        <f t="shared" si="2"/>
        <v/>
      </c>
      <c r="U13" s="10"/>
      <c r="V13" s="41">
        <f>IF(AND(Q13&lt;&gt;"",RIGHT(Q13,3)&lt;&gt;""),IF(COUNTIF($Q$6:Q13,Q13)=1,1,0),0)</f>
        <v>0</v>
      </c>
      <c r="W13" s="41" t="str">
        <f t="shared" si="4"/>
        <v>NA.25.VIII.138-79</v>
      </c>
      <c r="X13" s="41" t="str">
        <f t="shared" si="3"/>
        <v/>
      </c>
    </row>
    <row r="14" s="32" customFormat="1" hidden="1" customHeight="1" spans="1:24">
      <c r="A14" s="34"/>
      <c r="B14" s="51">
        <v>9</v>
      </c>
      <c r="C14" s="51" t="s">
        <v>58</v>
      </c>
      <c r="D14" s="52" t="s">
        <v>59</v>
      </c>
      <c r="E14" s="53">
        <v>1</v>
      </c>
      <c r="F14" s="54" t="s">
        <v>29</v>
      </c>
      <c r="G14" s="54" t="s">
        <v>30</v>
      </c>
      <c r="H14" s="54" t="s">
        <v>31</v>
      </c>
      <c r="I14" s="66">
        <v>45884</v>
      </c>
      <c r="J14" s="54" t="s">
        <v>32</v>
      </c>
      <c r="K14" s="67">
        <v>78</v>
      </c>
      <c r="L14" s="68" t="s">
        <v>60</v>
      </c>
      <c r="M14" s="72" t="str">
        <f t="shared" si="0"/>
        <v>Open File</v>
      </c>
      <c r="N14" s="70" t="s">
        <v>34</v>
      </c>
      <c r="O14" s="71" t="str">
        <f t="shared" si="1"/>
        <v>PASSIVE</v>
      </c>
      <c r="P14" s="66">
        <v>45658</v>
      </c>
      <c r="Q14" s="66" t="s">
        <v>61</v>
      </c>
      <c r="R14" s="85">
        <v>1</v>
      </c>
      <c r="S14" s="86" t="s">
        <v>62</v>
      </c>
      <c r="T14" s="87" t="str">
        <f t="shared" si="2"/>
        <v>Open File</v>
      </c>
      <c r="U14" s="10" t="s">
        <v>63</v>
      </c>
      <c r="V14" s="41">
        <f>IF(AND(Q14&lt;&gt;"",RIGHT(Q14,3)&lt;&gt;""),IF(COUNTIF($Q$6:Q14,Q14)=1,1,0),0)</f>
        <v>1</v>
      </c>
      <c r="W14" s="41" t="str">
        <f t="shared" si="4"/>
        <v>NA.25.VIII.138-78</v>
      </c>
      <c r="X14" s="41" t="str">
        <f t="shared" si="3"/>
        <v>RI.NV.25.XI.004-1</v>
      </c>
    </row>
    <row r="15" s="32" customFormat="1" hidden="1" customHeight="1" spans="1:24">
      <c r="A15" s="34"/>
      <c r="B15" s="51">
        <v>10</v>
      </c>
      <c r="C15" s="51" t="s">
        <v>64</v>
      </c>
      <c r="D15" s="52" t="s">
        <v>65</v>
      </c>
      <c r="E15" s="53">
        <v>1</v>
      </c>
      <c r="F15" s="54" t="s">
        <v>66</v>
      </c>
      <c r="G15" s="54" t="s">
        <v>30</v>
      </c>
      <c r="H15" s="54" t="s">
        <v>37</v>
      </c>
      <c r="I15" s="66">
        <v>45884</v>
      </c>
      <c r="J15" s="54" t="s">
        <v>32</v>
      </c>
      <c r="K15" s="67">
        <v>77</v>
      </c>
      <c r="L15" s="68" t="s">
        <v>67</v>
      </c>
      <c r="M15" s="74" t="str">
        <f t="shared" si="0"/>
        <v>Open File</v>
      </c>
      <c r="N15" s="70" t="s">
        <v>34</v>
      </c>
      <c r="O15" s="71" t="str">
        <f t="shared" si="1"/>
        <v>ACTIVE</v>
      </c>
      <c r="P15" s="66"/>
      <c r="Q15" s="66"/>
      <c r="R15" s="85"/>
      <c r="S15" s="82"/>
      <c r="T15" s="83" t="str">
        <f t="shared" si="2"/>
        <v/>
      </c>
      <c r="U15" s="10"/>
      <c r="V15" s="41">
        <f>IF(AND(Q15&lt;&gt;"",RIGHT(Q15,3)&lt;&gt;""),IF(COUNTIF($Q$6:Q15,Q15)=1,1,0),0)</f>
        <v>0</v>
      </c>
      <c r="W15" s="41" t="str">
        <f t="shared" si="4"/>
        <v>NA.25.VIII.138-77</v>
      </c>
      <c r="X15" s="41" t="str">
        <f t="shared" si="3"/>
        <v/>
      </c>
    </row>
    <row r="16" s="32" customFormat="1" hidden="1" customHeight="1" spans="1:24">
      <c r="A16" s="34"/>
      <c r="B16" s="51">
        <v>11</v>
      </c>
      <c r="C16" s="51" t="s">
        <v>68</v>
      </c>
      <c r="D16" s="52" t="s">
        <v>69</v>
      </c>
      <c r="E16" s="53">
        <v>1</v>
      </c>
      <c r="F16" s="54" t="s">
        <v>66</v>
      </c>
      <c r="G16" s="54" t="s">
        <v>30</v>
      </c>
      <c r="H16" s="54" t="s">
        <v>37</v>
      </c>
      <c r="I16" s="66">
        <v>45884</v>
      </c>
      <c r="J16" s="54" t="s">
        <v>32</v>
      </c>
      <c r="K16" s="67">
        <v>76</v>
      </c>
      <c r="L16" s="68" t="s">
        <v>70</v>
      </c>
      <c r="M16" s="69" t="str">
        <f t="shared" si="0"/>
        <v>Open File</v>
      </c>
      <c r="N16" s="70" t="s">
        <v>34</v>
      </c>
      <c r="O16" s="71" t="str">
        <f t="shared" si="1"/>
        <v>PASSIVE</v>
      </c>
      <c r="P16" s="66">
        <v>45912</v>
      </c>
      <c r="Q16" s="66" t="s">
        <v>71</v>
      </c>
      <c r="R16" s="85">
        <v>5</v>
      </c>
      <c r="S16" s="86" t="s">
        <v>72</v>
      </c>
      <c r="T16" s="87" t="str">
        <f t="shared" si="2"/>
        <v>Open File</v>
      </c>
      <c r="U16" s="10" t="s">
        <v>73</v>
      </c>
      <c r="V16" s="41">
        <f>IF(AND(Q16&lt;&gt;"",RIGHT(Q16,3)&lt;&gt;""),IF(COUNTIF($Q$6:Q16,Q16)=1,1,0),0)</f>
        <v>1</v>
      </c>
      <c r="W16" s="41" t="str">
        <f t="shared" si="4"/>
        <v>NA.25.VIII.138-76</v>
      </c>
      <c r="X16" s="41" t="str">
        <f t="shared" si="3"/>
        <v>RI.NV.25.IX.069-5</v>
      </c>
    </row>
    <row r="17" s="32" customFormat="1" hidden="1" customHeight="1" spans="1:24">
      <c r="A17" s="34"/>
      <c r="B17" s="51">
        <v>12</v>
      </c>
      <c r="C17" s="51" t="s">
        <v>74</v>
      </c>
      <c r="D17" s="52" t="s">
        <v>75</v>
      </c>
      <c r="E17" s="53">
        <v>1</v>
      </c>
      <c r="F17" s="54" t="s">
        <v>66</v>
      </c>
      <c r="G17" s="54" t="s">
        <v>30</v>
      </c>
      <c r="H17" s="54" t="s">
        <v>37</v>
      </c>
      <c r="I17" s="66">
        <v>45884</v>
      </c>
      <c r="J17" s="54" t="s">
        <v>32</v>
      </c>
      <c r="K17" s="67">
        <v>75</v>
      </c>
      <c r="L17" s="68" t="s">
        <v>76</v>
      </c>
      <c r="M17" s="69" t="str">
        <f t="shared" si="0"/>
        <v>Open File</v>
      </c>
      <c r="N17" s="70" t="s">
        <v>34</v>
      </c>
      <c r="O17" s="71" t="str">
        <f t="shared" si="1"/>
        <v>PASSIVE</v>
      </c>
      <c r="P17" s="66">
        <v>45974</v>
      </c>
      <c r="Q17" s="66" t="s">
        <v>77</v>
      </c>
      <c r="R17" s="85">
        <v>1</v>
      </c>
      <c r="S17" s="86" t="s">
        <v>78</v>
      </c>
      <c r="T17" s="87" t="str">
        <f t="shared" si="2"/>
        <v>Open File</v>
      </c>
      <c r="U17" s="10" t="s">
        <v>79</v>
      </c>
      <c r="V17" s="41">
        <f>IF(AND(Q17&lt;&gt;"",RIGHT(Q17,3)&lt;&gt;""),IF(COUNTIF($Q$6:Q17,Q17)=1,1,0),0)</f>
        <v>1</v>
      </c>
      <c r="W17" s="41" t="str">
        <f t="shared" si="4"/>
        <v>NA.25.VIII.138-75</v>
      </c>
      <c r="X17" s="41" t="str">
        <f t="shared" si="3"/>
        <v>RI.NV.25.XI.051-1</v>
      </c>
    </row>
    <row r="18" s="32" customFormat="1" hidden="1" customHeight="1" spans="1:24">
      <c r="A18" s="34"/>
      <c r="B18" s="51">
        <v>13</v>
      </c>
      <c r="C18" s="51" t="s">
        <v>80</v>
      </c>
      <c r="D18" s="52" t="s">
        <v>81</v>
      </c>
      <c r="E18" s="53">
        <v>1</v>
      </c>
      <c r="F18" s="54" t="s">
        <v>66</v>
      </c>
      <c r="G18" s="54" t="s">
        <v>30</v>
      </c>
      <c r="H18" s="54" t="s">
        <v>37</v>
      </c>
      <c r="I18" s="66">
        <v>45884</v>
      </c>
      <c r="J18" s="54" t="s">
        <v>32</v>
      </c>
      <c r="K18" s="67">
        <v>74</v>
      </c>
      <c r="L18" s="68" t="s">
        <v>82</v>
      </c>
      <c r="M18" s="74" t="str">
        <f t="shared" si="0"/>
        <v>Open File</v>
      </c>
      <c r="N18" s="70" t="s">
        <v>34</v>
      </c>
      <c r="O18" s="71" t="str">
        <f t="shared" si="1"/>
        <v>ACTIVE</v>
      </c>
      <c r="P18" s="66"/>
      <c r="Q18" s="66"/>
      <c r="R18" s="85"/>
      <c r="S18" s="82"/>
      <c r="T18" s="83" t="str">
        <f t="shared" si="2"/>
        <v/>
      </c>
      <c r="U18" s="10"/>
      <c r="V18" s="41">
        <f>IF(AND(Q18&lt;&gt;"",RIGHT(Q18,3)&lt;&gt;""),IF(COUNTIF($Q$6:Q18,Q18)=1,1,0),0)</f>
        <v>0</v>
      </c>
      <c r="W18" s="41" t="str">
        <f t="shared" si="4"/>
        <v>NA.25.VIII.138-74</v>
      </c>
      <c r="X18" s="41" t="str">
        <f t="shared" si="3"/>
        <v/>
      </c>
    </row>
    <row r="19" s="32" customFormat="1" hidden="1" customHeight="1" spans="1:24">
      <c r="A19" s="34"/>
      <c r="B19" s="51">
        <v>14</v>
      </c>
      <c r="C19" s="51" t="s">
        <v>83</v>
      </c>
      <c r="D19" s="52" t="s">
        <v>84</v>
      </c>
      <c r="E19" s="53">
        <v>1</v>
      </c>
      <c r="F19" s="54" t="s">
        <v>66</v>
      </c>
      <c r="G19" s="54" t="s">
        <v>30</v>
      </c>
      <c r="H19" s="54" t="s">
        <v>31</v>
      </c>
      <c r="I19" s="66">
        <v>45884</v>
      </c>
      <c r="J19" s="54" t="s">
        <v>32</v>
      </c>
      <c r="K19" s="67">
        <v>73</v>
      </c>
      <c r="L19" s="68" t="s">
        <v>85</v>
      </c>
      <c r="M19" s="69" t="str">
        <f t="shared" si="0"/>
        <v>Open File</v>
      </c>
      <c r="N19" s="70" t="s">
        <v>34</v>
      </c>
      <c r="O19" s="71" t="str">
        <f t="shared" si="1"/>
        <v>ACTIVE</v>
      </c>
      <c r="P19" s="66"/>
      <c r="Q19" s="66"/>
      <c r="R19" s="85"/>
      <c r="S19" s="82"/>
      <c r="T19" s="83" t="str">
        <f t="shared" si="2"/>
        <v/>
      </c>
      <c r="U19" s="10"/>
      <c r="V19" s="41">
        <f>IF(AND(Q19&lt;&gt;"",RIGHT(Q19,3)&lt;&gt;""),IF(COUNTIF($Q$6:Q19,Q19)=1,1,0),0)</f>
        <v>0</v>
      </c>
      <c r="W19" s="41" t="str">
        <f t="shared" si="4"/>
        <v>NA.25.VIII.138-73</v>
      </c>
      <c r="X19" s="41" t="str">
        <f t="shared" si="3"/>
        <v/>
      </c>
    </row>
    <row r="20" s="32" customFormat="1" hidden="1" customHeight="1" spans="1:24">
      <c r="A20" s="34"/>
      <c r="B20" s="51">
        <v>15</v>
      </c>
      <c r="C20" s="51" t="s">
        <v>86</v>
      </c>
      <c r="D20" s="52" t="s">
        <v>87</v>
      </c>
      <c r="E20" s="53">
        <v>1</v>
      </c>
      <c r="F20" s="54" t="s">
        <v>66</v>
      </c>
      <c r="G20" s="54" t="s">
        <v>30</v>
      </c>
      <c r="H20" s="54" t="s">
        <v>31</v>
      </c>
      <c r="I20" s="66">
        <v>45884</v>
      </c>
      <c r="J20" s="54" t="s">
        <v>32</v>
      </c>
      <c r="K20" s="67">
        <v>72</v>
      </c>
      <c r="L20" s="68" t="s">
        <v>88</v>
      </c>
      <c r="M20" s="69" t="str">
        <f t="shared" si="0"/>
        <v>Open File</v>
      </c>
      <c r="N20" s="70" t="s">
        <v>34</v>
      </c>
      <c r="O20" s="71" t="str">
        <f t="shared" si="1"/>
        <v>ACTIVE</v>
      </c>
      <c r="P20" s="66"/>
      <c r="Q20" s="66"/>
      <c r="R20" s="85"/>
      <c r="S20" s="82"/>
      <c r="T20" s="83" t="str">
        <f t="shared" si="2"/>
        <v/>
      </c>
      <c r="U20" s="10"/>
      <c r="V20" s="41">
        <f>IF(AND(Q20&lt;&gt;"",RIGHT(Q20,3)&lt;&gt;""),IF(COUNTIF($Q$6:Q20,Q20)=1,1,0),0)</f>
        <v>0</v>
      </c>
      <c r="W20" s="41" t="str">
        <f t="shared" si="4"/>
        <v>NA.25.VIII.138-72</v>
      </c>
      <c r="X20" s="41" t="str">
        <f t="shared" si="3"/>
        <v/>
      </c>
    </row>
    <row r="21" s="32" customFormat="1" hidden="1" customHeight="1" spans="1:24">
      <c r="A21" s="34"/>
      <c r="B21" s="51">
        <v>16</v>
      </c>
      <c r="C21" s="51" t="s">
        <v>89</v>
      </c>
      <c r="D21" s="52" t="s">
        <v>90</v>
      </c>
      <c r="E21" s="53">
        <v>1</v>
      </c>
      <c r="F21" s="54" t="s">
        <v>66</v>
      </c>
      <c r="G21" s="54" t="s">
        <v>30</v>
      </c>
      <c r="H21" s="54" t="s">
        <v>37</v>
      </c>
      <c r="I21" s="66">
        <v>45884</v>
      </c>
      <c r="J21" s="54" t="s">
        <v>32</v>
      </c>
      <c r="K21" s="67">
        <v>71</v>
      </c>
      <c r="L21" s="68" t="s">
        <v>91</v>
      </c>
      <c r="M21" s="74" t="str">
        <f t="shared" si="0"/>
        <v>Open File</v>
      </c>
      <c r="N21" s="70" t="s">
        <v>34</v>
      </c>
      <c r="O21" s="71" t="str">
        <f t="shared" si="1"/>
        <v>ACTIVE</v>
      </c>
      <c r="P21" s="66"/>
      <c r="Q21" s="66"/>
      <c r="R21" s="85"/>
      <c r="S21" s="82"/>
      <c r="T21" s="83" t="str">
        <f t="shared" si="2"/>
        <v/>
      </c>
      <c r="U21" s="10"/>
      <c r="V21" s="41">
        <f>IF(AND(Q21&lt;&gt;"",RIGHT(Q21,3)&lt;&gt;""),IF(COUNTIF($Q$6:Q21,Q21)=1,1,0),0)</f>
        <v>0</v>
      </c>
      <c r="W21" s="41" t="str">
        <f t="shared" si="4"/>
        <v>NA.25.VIII.138-71</v>
      </c>
      <c r="X21" s="41" t="str">
        <f t="shared" si="3"/>
        <v/>
      </c>
    </row>
    <row r="22" s="32" customFormat="1" hidden="1" customHeight="1" spans="1:24">
      <c r="A22" s="34"/>
      <c r="B22" s="51">
        <v>17</v>
      </c>
      <c r="C22" s="51" t="s">
        <v>92</v>
      </c>
      <c r="D22" s="52" t="s">
        <v>93</v>
      </c>
      <c r="E22" s="53">
        <v>1</v>
      </c>
      <c r="F22" s="54" t="s">
        <v>66</v>
      </c>
      <c r="G22" s="54" t="s">
        <v>30</v>
      </c>
      <c r="H22" s="54" t="s">
        <v>37</v>
      </c>
      <c r="I22" s="66">
        <v>45884</v>
      </c>
      <c r="J22" s="54" t="s">
        <v>32</v>
      </c>
      <c r="K22" s="67">
        <v>70</v>
      </c>
      <c r="L22" s="68" t="s">
        <v>94</v>
      </c>
      <c r="M22" s="73" t="str">
        <f t="shared" si="0"/>
        <v>Open File</v>
      </c>
      <c r="N22" s="70" t="s">
        <v>34</v>
      </c>
      <c r="O22" s="71" t="str">
        <f t="shared" si="1"/>
        <v>ACTIVE</v>
      </c>
      <c r="P22" s="66"/>
      <c r="Q22" s="66"/>
      <c r="R22" s="85"/>
      <c r="S22" s="82"/>
      <c r="T22" s="83" t="str">
        <f t="shared" si="2"/>
        <v/>
      </c>
      <c r="U22" s="10"/>
      <c r="V22" s="41">
        <f>IF(AND(Q22&lt;&gt;"",RIGHT(Q22,3)&lt;&gt;""),IF(COUNTIF($Q$6:Q22,Q22)=1,1,0),0)</f>
        <v>0</v>
      </c>
      <c r="W22" s="41" t="str">
        <f t="shared" si="4"/>
        <v>NA.25.VIII.138-70</v>
      </c>
      <c r="X22" s="41" t="str">
        <f t="shared" si="3"/>
        <v/>
      </c>
    </row>
    <row r="23" s="32" customFormat="1" hidden="1" customHeight="1" spans="1:24">
      <c r="A23" s="34"/>
      <c r="B23" s="51">
        <v>18</v>
      </c>
      <c r="C23" s="51" t="s">
        <v>95</v>
      </c>
      <c r="D23" s="52" t="s">
        <v>96</v>
      </c>
      <c r="E23" s="53">
        <v>1</v>
      </c>
      <c r="F23" s="54" t="s">
        <v>66</v>
      </c>
      <c r="G23" s="54" t="s">
        <v>30</v>
      </c>
      <c r="H23" s="54" t="s">
        <v>37</v>
      </c>
      <c r="I23" s="66">
        <v>45884</v>
      </c>
      <c r="J23" s="54" t="s">
        <v>32</v>
      </c>
      <c r="K23" s="67">
        <v>69</v>
      </c>
      <c r="L23" s="68" t="s">
        <v>97</v>
      </c>
      <c r="M23" s="74" t="str">
        <f t="shared" si="0"/>
        <v>Open File</v>
      </c>
      <c r="N23" s="70" t="s">
        <v>34</v>
      </c>
      <c r="O23" s="71" t="str">
        <f t="shared" si="1"/>
        <v>PASSIVE</v>
      </c>
      <c r="P23" s="66">
        <v>45912</v>
      </c>
      <c r="Q23" s="66" t="s">
        <v>71</v>
      </c>
      <c r="R23" s="85">
        <v>4</v>
      </c>
      <c r="S23" s="86" t="s">
        <v>98</v>
      </c>
      <c r="T23" s="87" t="str">
        <f t="shared" si="2"/>
        <v>Open File</v>
      </c>
      <c r="U23" s="10" t="s">
        <v>73</v>
      </c>
      <c r="V23" s="41">
        <f>IF(AND(Q23&lt;&gt;"",RIGHT(Q23,3)&lt;&gt;""),IF(COUNTIF($Q$6:Q23,Q23)=1,1,0),0)</f>
        <v>0</v>
      </c>
      <c r="W23" s="41" t="str">
        <f t="shared" si="4"/>
        <v>NA.25.VIII.138-69</v>
      </c>
      <c r="X23" s="41" t="str">
        <f t="shared" si="3"/>
        <v>RI.NV.25.IX.069-4</v>
      </c>
    </row>
    <row r="24" s="32" customFormat="1" hidden="1" customHeight="1" spans="1:24">
      <c r="A24" s="34"/>
      <c r="B24" s="51">
        <v>19</v>
      </c>
      <c r="C24" s="51" t="s">
        <v>99</v>
      </c>
      <c r="D24" s="52" t="s">
        <v>100</v>
      </c>
      <c r="E24" s="53">
        <v>1</v>
      </c>
      <c r="F24" s="54" t="s">
        <v>66</v>
      </c>
      <c r="G24" s="54" t="s">
        <v>30</v>
      </c>
      <c r="H24" s="54" t="s">
        <v>37</v>
      </c>
      <c r="I24" s="66">
        <v>45884</v>
      </c>
      <c r="J24" s="54" t="s">
        <v>32</v>
      </c>
      <c r="K24" s="67">
        <v>68</v>
      </c>
      <c r="L24" s="68" t="s">
        <v>101</v>
      </c>
      <c r="M24" s="74" t="str">
        <f t="shared" si="0"/>
        <v>Open File</v>
      </c>
      <c r="N24" s="70" t="s">
        <v>34</v>
      </c>
      <c r="O24" s="71" t="str">
        <f t="shared" si="1"/>
        <v>ACTIVE</v>
      </c>
      <c r="P24" s="66"/>
      <c r="Q24" s="66"/>
      <c r="R24" s="85"/>
      <c r="S24" s="82"/>
      <c r="T24" s="83" t="str">
        <f t="shared" si="2"/>
        <v/>
      </c>
      <c r="U24" s="10"/>
      <c r="V24" s="41">
        <f>IF(AND(Q24&lt;&gt;"",RIGHT(Q24,3)&lt;&gt;""),IF(COUNTIF($Q$6:Q24,Q24)=1,1,0),0)</f>
        <v>0</v>
      </c>
      <c r="W24" s="41" t="str">
        <f t="shared" si="4"/>
        <v>NA.25.VIII.138-68</v>
      </c>
      <c r="X24" s="41" t="str">
        <f t="shared" si="3"/>
        <v/>
      </c>
    </row>
    <row r="25" s="32" customFormat="1" hidden="1" customHeight="1" spans="1:24">
      <c r="A25" s="34"/>
      <c r="B25" s="51">
        <v>20</v>
      </c>
      <c r="C25" s="51" t="s">
        <v>102</v>
      </c>
      <c r="D25" s="52" t="s">
        <v>103</v>
      </c>
      <c r="E25" s="53">
        <v>1</v>
      </c>
      <c r="F25" s="54" t="s">
        <v>66</v>
      </c>
      <c r="G25" s="54" t="s">
        <v>30</v>
      </c>
      <c r="H25" s="54" t="s">
        <v>37</v>
      </c>
      <c r="I25" s="66">
        <v>45884</v>
      </c>
      <c r="J25" s="54" t="s">
        <v>32</v>
      </c>
      <c r="K25" s="67">
        <v>67</v>
      </c>
      <c r="L25" s="68" t="s">
        <v>104</v>
      </c>
      <c r="M25" s="74" t="str">
        <f t="shared" si="0"/>
        <v>Open File</v>
      </c>
      <c r="N25" s="70" t="s">
        <v>34</v>
      </c>
      <c r="O25" s="71" t="str">
        <f t="shared" si="1"/>
        <v>ACTIVE</v>
      </c>
      <c r="P25" s="66"/>
      <c r="Q25" s="66"/>
      <c r="R25" s="85"/>
      <c r="S25" s="82"/>
      <c r="T25" s="83" t="str">
        <f t="shared" si="2"/>
        <v/>
      </c>
      <c r="U25" s="10"/>
      <c r="V25" s="41">
        <f>IF(AND(Q25&lt;&gt;"",RIGHT(Q25,3)&lt;&gt;""),IF(COUNTIF($Q$6:Q25,Q25)=1,1,0),0)</f>
        <v>0</v>
      </c>
      <c r="W25" s="41" t="str">
        <f t="shared" si="4"/>
        <v>NA.25.VIII.138-67</v>
      </c>
      <c r="X25" s="41" t="str">
        <f t="shared" si="3"/>
        <v/>
      </c>
    </row>
    <row r="26" s="32" customFormat="1" hidden="1" customHeight="1" spans="1:24">
      <c r="A26" s="34"/>
      <c r="B26" s="51">
        <v>21</v>
      </c>
      <c r="C26" s="51" t="s">
        <v>105</v>
      </c>
      <c r="D26" s="52" t="s">
        <v>106</v>
      </c>
      <c r="E26" s="53">
        <v>1</v>
      </c>
      <c r="F26" s="54" t="s">
        <v>66</v>
      </c>
      <c r="G26" s="54" t="s">
        <v>30</v>
      </c>
      <c r="H26" s="54" t="s">
        <v>37</v>
      </c>
      <c r="I26" s="66">
        <v>45884</v>
      </c>
      <c r="J26" s="54" t="s">
        <v>32</v>
      </c>
      <c r="K26" s="67">
        <v>66</v>
      </c>
      <c r="L26" s="68" t="s">
        <v>107</v>
      </c>
      <c r="M26" s="74" t="str">
        <f t="shared" si="0"/>
        <v>Open File</v>
      </c>
      <c r="N26" s="70" t="s">
        <v>34</v>
      </c>
      <c r="O26" s="71" t="str">
        <f t="shared" si="1"/>
        <v>PASSIVE</v>
      </c>
      <c r="P26" s="66">
        <v>45975</v>
      </c>
      <c r="Q26" s="66" t="s">
        <v>108</v>
      </c>
      <c r="R26" s="85">
        <v>1</v>
      </c>
      <c r="S26" s="86" t="s">
        <v>109</v>
      </c>
      <c r="T26" s="87" t="str">
        <f t="shared" si="2"/>
        <v>Open File</v>
      </c>
      <c r="U26" s="10" t="s">
        <v>110</v>
      </c>
      <c r="V26" s="41">
        <f>IF(AND(Q26&lt;&gt;"",RIGHT(Q26,3)&lt;&gt;""),IF(COUNTIF($Q$6:Q26,Q26)=1,1,0),0)</f>
        <v>1</v>
      </c>
      <c r="W26" s="41" t="str">
        <f t="shared" si="4"/>
        <v>NA.25.VIII.138-66</v>
      </c>
      <c r="X26" s="41" t="str">
        <f t="shared" si="3"/>
        <v>RI.NV.25.XI.053-1</v>
      </c>
    </row>
    <row r="27" s="32" customFormat="1" hidden="1" customHeight="1" spans="1:24">
      <c r="A27" s="34"/>
      <c r="B27" s="51">
        <v>22</v>
      </c>
      <c r="C27" s="51" t="s">
        <v>111</v>
      </c>
      <c r="D27" s="52" t="s">
        <v>112</v>
      </c>
      <c r="E27" s="53">
        <v>1</v>
      </c>
      <c r="F27" s="54" t="s">
        <v>66</v>
      </c>
      <c r="G27" s="54" t="s">
        <v>30</v>
      </c>
      <c r="H27" s="54" t="s">
        <v>37</v>
      </c>
      <c r="I27" s="66">
        <v>45884</v>
      </c>
      <c r="J27" s="54" t="s">
        <v>32</v>
      </c>
      <c r="K27" s="67">
        <v>65</v>
      </c>
      <c r="L27" s="68" t="s">
        <v>113</v>
      </c>
      <c r="M27" s="69" t="str">
        <f t="shared" si="0"/>
        <v>Open File</v>
      </c>
      <c r="N27" s="70" t="s">
        <v>34</v>
      </c>
      <c r="O27" s="71" t="str">
        <f t="shared" si="1"/>
        <v>PASSIVE</v>
      </c>
      <c r="P27" s="66">
        <v>46051</v>
      </c>
      <c r="Q27" s="66" t="s">
        <v>114</v>
      </c>
      <c r="R27" s="85">
        <v>1</v>
      </c>
      <c r="S27" s="86" t="s">
        <v>115</v>
      </c>
      <c r="T27" s="87" t="str">
        <f t="shared" si="2"/>
        <v>Open File</v>
      </c>
      <c r="U27" s="10" t="s">
        <v>116</v>
      </c>
      <c r="V27" s="41">
        <f>IF(AND(Q27&lt;&gt;"",RIGHT(Q27,3)&lt;&gt;""),IF(COUNTIF($Q$6:Q27,Q27)=1,1,0),0)</f>
        <v>1</v>
      </c>
      <c r="W27" s="41" t="str">
        <f t="shared" si="4"/>
        <v>NA.25.VIII.138-65</v>
      </c>
      <c r="X27" s="41" t="str">
        <f t="shared" si="3"/>
        <v>RI.NV.26.I.106-1</v>
      </c>
    </row>
    <row r="28" s="32" customFormat="1" hidden="1" customHeight="1" spans="1:24">
      <c r="A28" s="34"/>
      <c r="B28" s="51">
        <v>23</v>
      </c>
      <c r="C28" s="51" t="s">
        <v>117</v>
      </c>
      <c r="D28" s="52" t="s">
        <v>118</v>
      </c>
      <c r="E28" s="53">
        <v>1</v>
      </c>
      <c r="F28" s="54" t="s">
        <v>66</v>
      </c>
      <c r="G28" s="54" t="s">
        <v>30</v>
      </c>
      <c r="H28" s="54" t="s">
        <v>37</v>
      </c>
      <c r="I28" s="66">
        <v>45884</v>
      </c>
      <c r="J28" s="54" t="s">
        <v>32</v>
      </c>
      <c r="K28" s="67">
        <v>64</v>
      </c>
      <c r="L28" s="68" t="s">
        <v>119</v>
      </c>
      <c r="M28" s="74" t="str">
        <f t="shared" si="0"/>
        <v>Open File</v>
      </c>
      <c r="N28" s="70" t="s">
        <v>34</v>
      </c>
      <c r="O28" s="71" t="str">
        <f t="shared" si="1"/>
        <v>PASSIVE</v>
      </c>
      <c r="P28" s="66">
        <v>46058</v>
      </c>
      <c r="Q28" s="66" t="s">
        <v>120</v>
      </c>
      <c r="R28" s="85">
        <v>1</v>
      </c>
      <c r="S28" s="86" t="s">
        <v>121</v>
      </c>
      <c r="T28" s="87" t="str">
        <f t="shared" si="2"/>
        <v>Open File</v>
      </c>
      <c r="U28" s="10" t="s">
        <v>122</v>
      </c>
      <c r="V28" s="41">
        <f>IF(AND(Q28&lt;&gt;"",RIGHT(Q28,3)&lt;&gt;""),IF(COUNTIF($Q$6:Q28,Q28)=1,1,0),0)</f>
        <v>1</v>
      </c>
      <c r="W28" s="41" t="str">
        <f t="shared" si="4"/>
        <v>NA.25.VIII.138-64</v>
      </c>
      <c r="X28" s="41" t="str">
        <f t="shared" si="3"/>
        <v>RI.NV.26.II.009-1</v>
      </c>
    </row>
    <row r="29" s="32" customFormat="1" hidden="1" customHeight="1" spans="1:24">
      <c r="A29" s="34"/>
      <c r="B29" s="51">
        <v>24</v>
      </c>
      <c r="C29" s="51" t="s">
        <v>123</v>
      </c>
      <c r="D29" s="52" t="s">
        <v>124</v>
      </c>
      <c r="E29" s="53">
        <v>1</v>
      </c>
      <c r="F29" s="54" t="s">
        <v>29</v>
      </c>
      <c r="G29" s="54" t="s">
        <v>30</v>
      </c>
      <c r="H29" s="54" t="s">
        <v>37</v>
      </c>
      <c r="I29" s="66">
        <v>45884</v>
      </c>
      <c r="J29" s="54" t="s">
        <v>32</v>
      </c>
      <c r="K29" s="67">
        <v>63</v>
      </c>
      <c r="L29" s="68" t="s">
        <v>125</v>
      </c>
      <c r="M29" s="73" t="str">
        <f t="shared" si="0"/>
        <v>Open File</v>
      </c>
      <c r="N29" s="70" t="s">
        <v>34</v>
      </c>
      <c r="O29" s="71" t="str">
        <f t="shared" ref="O29:O67" si="5">IF(AND(Q29&lt;&gt;"",T29&lt;&gt;""),"PASSIVE",IF(AND(J29&lt;&gt;"",M29&lt;&gt;""),"ACTIVE",""))</f>
        <v>ACTIVE</v>
      </c>
      <c r="P29" s="66"/>
      <c r="Q29" s="66"/>
      <c r="R29" s="85"/>
      <c r="S29" s="82"/>
      <c r="T29" s="83" t="str">
        <f t="shared" si="2"/>
        <v/>
      </c>
      <c r="U29" s="10"/>
      <c r="V29" s="41">
        <f>IF(AND(Q29&lt;&gt;"",RIGHT(Q29,3)&lt;&gt;""),IF(COUNTIF($Q$6:Q29,Q29)=1,1,0),0)</f>
        <v>0</v>
      </c>
      <c r="W29" s="41" t="str">
        <f t="shared" si="4"/>
        <v>NA.25.VIII.138-63</v>
      </c>
      <c r="X29" s="41" t="str">
        <f t="shared" si="3"/>
        <v/>
      </c>
    </row>
    <row r="30" s="32" customFormat="1" hidden="1" customHeight="1" spans="1:24">
      <c r="A30" s="34"/>
      <c r="B30" s="51">
        <v>25</v>
      </c>
      <c r="C30" s="51" t="s">
        <v>126</v>
      </c>
      <c r="D30" s="52" t="s">
        <v>124</v>
      </c>
      <c r="E30" s="53">
        <v>1</v>
      </c>
      <c r="F30" s="54" t="s">
        <v>29</v>
      </c>
      <c r="G30" s="54" t="s">
        <v>30</v>
      </c>
      <c r="H30" s="54" t="s">
        <v>37</v>
      </c>
      <c r="I30" s="66">
        <v>45884</v>
      </c>
      <c r="J30" s="54" t="s">
        <v>32</v>
      </c>
      <c r="K30" s="67">
        <v>62</v>
      </c>
      <c r="L30" s="68" t="s">
        <v>127</v>
      </c>
      <c r="M30" s="73" t="str">
        <f t="shared" si="0"/>
        <v>Open File</v>
      </c>
      <c r="N30" s="70" t="s">
        <v>34</v>
      </c>
      <c r="O30" s="71" t="str">
        <f t="shared" si="5"/>
        <v>ACTIVE</v>
      </c>
      <c r="P30" s="66"/>
      <c r="Q30" s="66"/>
      <c r="R30" s="85"/>
      <c r="S30" s="82"/>
      <c r="T30" s="83" t="str">
        <f t="shared" si="2"/>
        <v/>
      </c>
      <c r="U30" s="10"/>
      <c r="V30" s="41">
        <f>IF(AND(Q30&lt;&gt;"",RIGHT(Q30,3)&lt;&gt;""),IF(COUNTIF($Q$6:Q30,Q30)=1,1,0),0)</f>
        <v>0</v>
      </c>
      <c r="W30" s="41" t="str">
        <f t="shared" si="4"/>
        <v>NA.25.VIII.138-62</v>
      </c>
      <c r="X30" s="41" t="str">
        <f t="shared" si="3"/>
        <v/>
      </c>
    </row>
    <row r="31" s="32" customFormat="1" hidden="1" customHeight="1" spans="1:24">
      <c r="A31" s="34"/>
      <c r="B31" s="51">
        <v>26</v>
      </c>
      <c r="C31" s="51" t="s">
        <v>128</v>
      </c>
      <c r="D31" s="52" t="s">
        <v>129</v>
      </c>
      <c r="E31" s="53">
        <v>1</v>
      </c>
      <c r="F31" s="54" t="s">
        <v>29</v>
      </c>
      <c r="G31" s="54" t="s">
        <v>30</v>
      </c>
      <c r="H31" s="54" t="s">
        <v>31</v>
      </c>
      <c r="I31" s="66">
        <v>45884</v>
      </c>
      <c r="J31" s="54" t="s">
        <v>32</v>
      </c>
      <c r="K31" s="67">
        <v>61</v>
      </c>
      <c r="L31" s="68" t="s">
        <v>130</v>
      </c>
      <c r="M31" s="74" t="str">
        <f t="shared" si="0"/>
        <v>Open File</v>
      </c>
      <c r="N31" s="70" t="s">
        <v>34</v>
      </c>
      <c r="O31" s="71" t="str">
        <f t="shared" si="5"/>
        <v>ACTIVE</v>
      </c>
      <c r="P31" s="66"/>
      <c r="Q31" s="66"/>
      <c r="R31" s="85"/>
      <c r="S31" s="82"/>
      <c r="T31" s="83" t="str">
        <f t="shared" si="2"/>
        <v/>
      </c>
      <c r="U31" s="10"/>
      <c r="V31" s="41">
        <f>IF(AND(Q31&lt;&gt;"",RIGHT(Q31,3)&lt;&gt;""),IF(COUNTIF($Q$6:Q31,Q31)=1,1,0),0)</f>
        <v>0</v>
      </c>
      <c r="W31" s="41" t="str">
        <f t="shared" si="4"/>
        <v>NA.25.VIII.138-61</v>
      </c>
      <c r="X31" s="41" t="str">
        <f t="shared" si="3"/>
        <v/>
      </c>
    </row>
    <row r="32" s="32" customFormat="1" hidden="1" customHeight="1" spans="1:24">
      <c r="A32" s="34"/>
      <c r="B32" s="51">
        <v>27</v>
      </c>
      <c r="C32" s="51" t="s">
        <v>131</v>
      </c>
      <c r="D32" s="52" t="s">
        <v>132</v>
      </c>
      <c r="E32" s="53">
        <v>1</v>
      </c>
      <c r="F32" s="54" t="s">
        <v>29</v>
      </c>
      <c r="G32" s="54" t="s">
        <v>30</v>
      </c>
      <c r="H32" s="54" t="s">
        <v>37</v>
      </c>
      <c r="I32" s="66">
        <v>45884</v>
      </c>
      <c r="J32" s="54" t="s">
        <v>32</v>
      </c>
      <c r="K32" s="67">
        <v>60</v>
      </c>
      <c r="L32" s="68" t="s">
        <v>133</v>
      </c>
      <c r="M32" s="74" t="str">
        <f t="shared" si="0"/>
        <v>Open File</v>
      </c>
      <c r="N32" s="70" t="s">
        <v>34</v>
      </c>
      <c r="O32" s="71" t="str">
        <f t="shared" si="5"/>
        <v>ACTIVE</v>
      </c>
      <c r="P32" s="66"/>
      <c r="Q32" s="66"/>
      <c r="R32" s="85"/>
      <c r="S32" s="82"/>
      <c r="T32" s="83" t="str">
        <f t="shared" si="2"/>
        <v/>
      </c>
      <c r="U32" s="10"/>
      <c r="V32" s="41">
        <f>IF(AND(Q32&lt;&gt;"",RIGHT(Q32,3)&lt;&gt;""),IF(COUNTIF($Q$6:Q32,Q32)=1,1,0),0)</f>
        <v>0</v>
      </c>
      <c r="W32" s="41" t="str">
        <f t="shared" si="4"/>
        <v>NA.25.VIII.138-60</v>
      </c>
      <c r="X32" s="41" t="str">
        <f t="shared" si="3"/>
        <v/>
      </c>
    </row>
    <row r="33" s="32" customFormat="1" hidden="1" customHeight="1" spans="1:24">
      <c r="A33" s="34"/>
      <c r="B33" s="51">
        <v>28</v>
      </c>
      <c r="C33" s="51" t="s">
        <v>134</v>
      </c>
      <c r="D33" s="52" t="s">
        <v>135</v>
      </c>
      <c r="E33" s="53">
        <v>1</v>
      </c>
      <c r="F33" s="54" t="s">
        <v>29</v>
      </c>
      <c r="G33" s="54" t="s">
        <v>30</v>
      </c>
      <c r="H33" s="54" t="s">
        <v>37</v>
      </c>
      <c r="I33" s="66">
        <v>45884</v>
      </c>
      <c r="J33" s="54" t="s">
        <v>32</v>
      </c>
      <c r="K33" s="67">
        <v>59</v>
      </c>
      <c r="L33" s="68" t="s">
        <v>136</v>
      </c>
      <c r="M33" s="73" t="str">
        <f t="shared" si="0"/>
        <v>Open File</v>
      </c>
      <c r="N33" s="70" t="s">
        <v>34</v>
      </c>
      <c r="O33" s="71" t="str">
        <f t="shared" si="5"/>
        <v>ACTIVE</v>
      </c>
      <c r="P33" s="66"/>
      <c r="Q33" s="66"/>
      <c r="R33" s="85"/>
      <c r="S33" s="82"/>
      <c r="T33" s="83" t="str">
        <f t="shared" si="2"/>
        <v/>
      </c>
      <c r="U33" s="10"/>
      <c r="V33" s="41">
        <f>IF(AND(Q33&lt;&gt;"",RIGHT(Q33,3)&lt;&gt;""),IF(COUNTIF($Q$6:Q33,Q33)=1,1,0),0)</f>
        <v>0</v>
      </c>
      <c r="W33" s="41" t="str">
        <f t="shared" si="4"/>
        <v>NA.25.VIII.138-59</v>
      </c>
      <c r="X33" s="41" t="str">
        <f t="shared" si="3"/>
        <v/>
      </c>
    </row>
    <row r="34" s="32" customFormat="1" hidden="1" customHeight="1" spans="1:24">
      <c r="A34" s="34"/>
      <c r="B34" s="51">
        <v>29</v>
      </c>
      <c r="C34" s="51" t="s">
        <v>137</v>
      </c>
      <c r="D34" s="52" t="s">
        <v>138</v>
      </c>
      <c r="E34" s="53">
        <v>1</v>
      </c>
      <c r="F34" s="54" t="s">
        <v>29</v>
      </c>
      <c r="G34" s="54" t="s">
        <v>30</v>
      </c>
      <c r="H34" s="54" t="s">
        <v>37</v>
      </c>
      <c r="I34" s="66">
        <v>45884</v>
      </c>
      <c r="J34" s="54" t="s">
        <v>32</v>
      </c>
      <c r="K34" s="67">
        <v>58</v>
      </c>
      <c r="L34" s="68" t="s">
        <v>139</v>
      </c>
      <c r="M34" s="73" t="str">
        <f t="shared" si="0"/>
        <v>Open File</v>
      </c>
      <c r="N34" s="70" t="s">
        <v>34</v>
      </c>
      <c r="O34" s="71" t="str">
        <f t="shared" si="5"/>
        <v>ACTIVE</v>
      </c>
      <c r="P34" s="66"/>
      <c r="Q34" s="66"/>
      <c r="R34" s="85"/>
      <c r="S34" s="82"/>
      <c r="T34" s="83" t="str">
        <f t="shared" si="2"/>
        <v/>
      </c>
      <c r="U34" s="10"/>
      <c r="V34" s="41">
        <f>IF(AND(Q34&lt;&gt;"",RIGHT(Q34,3)&lt;&gt;""),IF(COUNTIF($Q$6:Q34,Q34)=1,1,0),0)</f>
        <v>0</v>
      </c>
      <c r="W34" s="41" t="str">
        <f t="shared" si="4"/>
        <v>NA.25.VIII.138-58</v>
      </c>
      <c r="X34" s="41" t="str">
        <f t="shared" si="3"/>
        <v/>
      </c>
    </row>
    <row r="35" s="32" customFormat="1" hidden="1" customHeight="1" spans="1:24">
      <c r="A35" s="34"/>
      <c r="B35" s="51">
        <v>30</v>
      </c>
      <c r="C35" s="51" t="s">
        <v>140</v>
      </c>
      <c r="D35" s="52" t="s">
        <v>138</v>
      </c>
      <c r="E35" s="53">
        <v>1</v>
      </c>
      <c r="F35" s="54" t="s">
        <v>29</v>
      </c>
      <c r="G35" s="54" t="s">
        <v>30</v>
      </c>
      <c r="H35" s="54" t="s">
        <v>37</v>
      </c>
      <c r="I35" s="66">
        <v>45884</v>
      </c>
      <c r="J35" s="54" t="s">
        <v>32</v>
      </c>
      <c r="K35" s="67">
        <v>57</v>
      </c>
      <c r="L35" s="68" t="s">
        <v>141</v>
      </c>
      <c r="M35" s="73" t="str">
        <f t="shared" si="0"/>
        <v>Open File</v>
      </c>
      <c r="N35" s="70" t="s">
        <v>34</v>
      </c>
      <c r="O35" s="71" t="str">
        <f t="shared" si="5"/>
        <v>ACTIVE</v>
      </c>
      <c r="P35" s="66"/>
      <c r="Q35" s="66"/>
      <c r="R35" s="85"/>
      <c r="S35" s="82"/>
      <c r="T35" s="83" t="str">
        <f t="shared" si="2"/>
        <v/>
      </c>
      <c r="U35" s="10"/>
      <c r="V35" s="41">
        <f>IF(AND(Q35&lt;&gt;"",RIGHT(Q35,3)&lt;&gt;""),IF(COUNTIF($Q$6:Q35,Q35)=1,1,0),0)</f>
        <v>0</v>
      </c>
      <c r="W35" s="41" t="str">
        <f t="shared" si="4"/>
        <v>NA.25.VIII.138-57</v>
      </c>
      <c r="X35" s="41" t="str">
        <f t="shared" si="3"/>
        <v/>
      </c>
    </row>
    <row r="36" s="32" customFormat="1" hidden="1" customHeight="1" spans="1:24">
      <c r="A36" s="34"/>
      <c r="B36" s="51">
        <v>31</v>
      </c>
      <c r="C36" s="51" t="s">
        <v>142</v>
      </c>
      <c r="D36" s="52" t="s">
        <v>143</v>
      </c>
      <c r="E36" s="53">
        <v>1</v>
      </c>
      <c r="F36" s="54" t="s">
        <v>29</v>
      </c>
      <c r="G36" s="54" t="s">
        <v>30</v>
      </c>
      <c r="H36" s="54" t="s">
        <v>37</v>
      </c>
      <c r="I36" s="66">
        <v>45884</v>
      </c>
      <c r="J36" s="54" t="s">
        <v>32</v>
      </c>
      <c r="K36" s="67">
        <v>56</v>
      </c>
      <c r="L36" s="68" t="s">
        <v>144</v>
      </c>
      <c r="M36" s="74" t="str">
        <f t="shared" si="0"/>
        <v>Open File</v>
      </c>
      <c r="N36" s="70" t="s">
        <v>34</v>
      </c>
      <c r="O36" s="71" t="str">
        <f t="shared" si="5"/>
        <v>ACTIVE</v>
      </c>
      <c r="P36" s="66"/>
      <c r="Q36" s="66"/>
      <c r="R36" s="85"/>
      <c r="S36" s="82"/>
      <c r="T36" s="83" t="str">
        <f t="shared" si="2"/>
        <v/>
      </c>
      <c r="U36" s="10"/>
      <c r="V36" s="41">
        <f>IF(AND(Q36&lt;&gt;"",RIGHT(Q36,3)&lt;&gt;""),IF(COUNTIF($Q$6:Q36,Q36)=1,1,0),0)</f>
        <v>0</v>
      </c>
      <c r="W36" s="41" t="str">
        <f t="shared" si="4"/>
        <v>NA.25.VIII.138-56</v>
      </c>
      <c r="X36" s="41" t="str">
        <f t="shared" si="3"/>
        <v/>
      </c>
    </row>
    <row r="37" s="32" customFormat="1" hidden="1" customHeight="1" spans="1:24">
      <c r="A37" s="34"/>
      <c r="B37" s="51">
        <v>32</v>
      </c>
      <c r="C37" s="51" t="s">
        <v>145</v>
      </c>
      <c r="D37" s="52" t="s">
        <v>146</v>
      </c>
      <c r="E37" s="53">
        <v>1</v>
      </c>
      <c r="F37" s="54" t="s">
        <v>29</v>
      </c>
      <c r="G37" s="54" t="s">
        <v>30</v>
      </c>
      <c r="H37" s="54" t="s">
        <v>37</v>
      </c>
      <c r="I37" s="66">
        <v>45884</v>
      </c>
      <c r="J37" s="54" t="s">
        <v>32</v>
      </c>
      <c r="K37" s="67">
        <v>55</v>
      </c>
      <c r="L37" s="68" t="s">
        <v>147</v>
      </c>
      <c r="M37" s="69" t="str">
        <f t="shared" si="0"/>
        <v>Open File</v>
      </c>
      <c r="N37" s="70" t="s">
        <v>34</v>
      </c>
      <c r="O37" s="71" t="str">
        <f t="shared" si="5"/>
        <v>ACTIVE</v>
      </c>
      <c r="P37" s="66"/>
      <c r="Q37" s="66"/>
      <c r="R37" s="85"/>
      <c r="S37" s="82"/>
      <c r="T37" s="83" t="str">
        <f t="shared" si="2"/>
        <v/>
      </c>
      <c r="U37" s="10"/>
      <c r="V37" s="41">
        <f>IF(AND(Q37&lt;&gt;"",RIGHT(Q37,3)&lt;&gt;""),IF(COUNTIF($Q$6:Q37,Q37)=1,1,0),0)</f>
        <v>0</v>
      </c>
      <c r="W37" s="41" t="str">
        <f t="shared" si="4"/>
        <v>NA.25.VIII.138-55</v>
      </c>
      <c r="X37" s="41" t="str">
        <f t="shared" si="3"/>
        <v/>
      </c>
    </row>
    <row r="38" s="32" customFormat="1" hidden="1" customHeight="1" spans="1:24">
      <c r="A38" s="34"/>
      <c r="B38" s="51">
        <v>33</v>
      </c>
      <c r="C38" s="51" t="s">
        <v>148</v>
      </c>
      <c r="D38" s="52" t="s">
        <v>149</v>
      </c>
      <c r="E38" s="53">
        <v>1</v>
      </c>
      <c r="F38" s="54" t="s">
        <v>29</v>
      </c>
      <c r="G38" s="54" t="s">
        <v>30</v>
      </c>
      <c r="H38" s="54" t="s">
        <v>37</v>
      </c>
      <c r="I38" s="66">
        <v>45884</v>
      </c>
      <c r="J38" s="54" t="s">
        <v>32</v>
      </c>
      <c r="K38" s="67">
        <v>54</v>
      </c>
      <c r="L38" s="68" t="s">
        <v>150</v>
      </c>
      <c r="M38" s="73" t="str">
        <f t="shared" si="0"/>
        <v>Open File</v>
      </c>
      <c r="N38" s="70" t="s">
        <v>34</v>
      </c>
      <c r="O38" s="71" t="str">
        <f t="shared" si="5"/>
        <v>ACTIVE</v>
      </c>
      <c r="P38" s="66"/>
      <c r="Q38" s="66"/>
      <c r="R38" s="85"/>
      <c r="S38" s="82"/>
      <c r="T38" s="83" t="str">
        <f t="shared" si="2"/>
        <v/>
      </c>
      <c r="U38" s="10"/>
      <c r="V38" s="41">
        <f>IF(AND(Q38&lt;&gt;"",RIGHT(Q38,3)&lt;&gt;""),IF(COUNTIF($Q$6:Q38,Q38)=1,1,0),0)</f>
        <v>0</v>
      </c>
      <c r="W38" s="41" t="str">
        <f t="shared" si="4"/>
        <v>NA.25.VIII.138-54</v>
      </c>
      <c r="X38" s="41" t="str">
        <f t="shared" si="3"/>
        <v/>
      </c>
    </row>
    <row r="39" s="32" customFormat="1" hidden="1" customHeight="1" spans="1:24">
      <c r="A39" s="34"/>
      <c r="B39" s="51">
        <v>34</v>
      </c>
      <c r="C39" s="51" t="s">
        <v>151</v>
      </c>
      <c r="D39" s="52" t="s">
        <v>152</v>
      </c>
      <c r="E39" s="53">
        <v>1</v>
      </c>
      <c r="F39" s="54" t="s">
        <v>29</v>
      </c>
      <c r="G39" s="54" t="s">
        <v>30</v>
      </c>
      <c r="H39" s="54" t="s">
        <v>37</v>
      </c>
      <c r="I39" s="66">
        <v>45884</v>
      </c>
      <c r="J39" s="54" t="s">
        <v>32</v>
      </c>
      <c r="K39" s="67">
        <v>53</v>
      </c>
      <c r="L39" s="68" t="s">
        <v>153</v>
      </c>
      <c r="M39" s="73" t="str">
        <f t="shared" si="0"/>
        <v>Open File</v>
      </c>
      <c r="N39" s="70" t="s">
        <v>34</v>
      </c>
      <c r="O39" s="71" t="str">
        <f t="shared" si="5"/>
        <v>ACTIVE</v>
      </c>
      <c r="P39" s="66"/>
      <c r="Q39" s="66"/>
      <c r="R39" s="85"/>
      <c r="S39" s="82"/>
      <c r="T39" s="83" t="str">
        <f t="shared" si="2"/>
        <v/>
      </c>
      <c r="U39" s="10"/>
      <c r="V39" s="41">
        <f>IF(AND(Q39&lt;&gt;"",RIGHT(Q39,3)&lt;&gt;""),IF(COUNTIF($Q$6:Q39,Q39)=1,1,0),0)</f>
        <v>0</v>
      </c>
      <c r="W39" s="41" t="str">
        <f t="shared" si="4"/>
        <v>NA.25.VIII.138-53</v>
      </c>
      <c r="X39" s="41" t="str">
        <f t="shared" si="3"/>
        <v/>
      </c>
    </row>
    <row r="40" s="32" customFormat="1" hidden="1" customHeight="1" spans="1:24">
      <c r="A40" s="34"/>
      <c r="B40" s="51">
        <v>35</v>
      </c>
      <c r="C40" s="51" t="s">
        <v>154</v>
      </c>
      <c r="D40" s="52" t="s">
        <v>155</v>
      </c>
      <c r="E40" s="53">
        <v>1</v>
      </c>
      <c r="F40" s="54" t="s">
        <v>29</v>
      </c>
      <c r="G40" s="54" t="s">
        <v>30</v>
      </c>
      <c r="H40" s="54" t="s">
        <v>37</v>
      </c>
      <c r="I40" s="66">
        <v>45884</v>
      </c>
      <c r="J40" s="54" t="s">
        <v>32</v>
      </c>
      <c r="K40" s="67">
        <v>52</v>
      </c>
      <c r="L40" s="68" t="s">
        <v>156</v>
      </c>
      <c r="M40" s="74" t="str">
        <f t="shared" si="0"/>
        <v>Open File</v>
      </c>
      <c r="N40" s="70" t="s">
        <v>34</v>
      </c>
      <c r="O40" s="71" t="str">
        <f t="shared" si="5"/>
        <v>ACTIVE</v>
      </c>
      <c r="P40" s="66"/>
      <c r="Q40" s="66"/>
      <c r="R40" s="85"/>
      <c r="S40" s="82"/>
      <c r="T40" s="83" t="str">
        <f t="shared" si="2"/>
        <v/>
      </c>
      <c r="U40" s="10"/>
      <c r="V40" s="41">
        <f>IF(AND(Q40&lt;&gt;"",RIGHT(Q40,3)&lt;&gt;""),IF(COUNTIF($Q$6:Q40,Q40)=1,1,0),0)</f>
        <v>0</v>
      </c>
      <c r="W40" s="41" t="str">
        <f t="shared" si="4"/>
        <v>NA.25.VIII.138-52</v>
      </c>
      <c r="X40" s="41" t="str">
        <f t="shared" si="3"/>
        <v/>
      </c>
    </row>
    <row r="41" s="32" customFormat="1" hidden="1" customHeight="1" spans="1:24">
      <c r="A41" s="34"/>
      <c r="B41" s="51">
        <v>36</v>
      </c>
      <c r="C41" s="51" t="s">
        <v>157</v>
      </c>
      <c r="D41" s="52" t="s">
        <v>158</v>
      </c>
      <c r="E41" s="53">
        <v>1</v>
      </c>
      <c r="F41" s="54" t="s">
        <v>29</v>
      </c>
      <c r="G41" s="54" t="s">
        <v>30</v>
      </c>
      <c r="H41" s="54" t="s">
        <v>37</v>
      </c>
      <c r="I41" s="66">
        <v>45884</v>
      </c>
      <c r="J41" s="54" t="s">
        <v>32</v>
      </c>
      <c r="K41" s="67">
        <v>51</v>
      </c>
      <c r="L41" s="68" t="s">
        <v>159</v>
      </c>
      <c r="M41" s="74" t="str">
        <f t="shared" si="0"/>
        <v>Open File</v>
      </c>
      <c r="N41" s="70" t="s">
        <v>34</v>
      </c>
      <c r="O41" s="71" t="str">
        <f t="shared" si="5"/>
        <v>ACTIVE</v>
      </c>
      <c r="P41" s="66"/>
      <c r="Q41" s="66"/>
      <c r="R41" s="85"/>
      <c r="S41" s="82"/>
      <c r="T41" s="83" t="str">
        <f t="shared" si="2"/>
        <v/>
      </c>
      <c r="U41" s="10"/>
      <c r="V41" s="41">
        <f>IF(AND(Q41&lt;&gt;"",RIGHT(Q41,3)&lt;&gt;""),IF(COUNTIF($Q$6:Q41,Q41)=1,1,0),0)</f>
        <v>0</v>
      </c>
      <c r="W41" s="41" t="str">
        <f t="shared" si="4"/>
        <v>NA.25.VIII.138-51</v>
      </c>
      <c r="X41" s="41" t="str">
        <f t="shared" si="3"/>
        <v/>
      </c>
    </row>
    <row r="42" s="32" customFormat="1" hidden="1" customHeight="1" spans="1:24">
      <c r="A42" s="34"/>
      <c r="B42" s="51">
        <v>37</v>
      </c>
      <c r="C42" s="51" t="s">
        <v>160</v>
      </c>
      <c r="D42" s="52" t="s">
        <v>161</v>
      </c>
      <c r="E42" s="53">
        <v>1</v>
      </c>
      <c r="F42" s="54" t="s">
        <v>29</v>
      </c>
      <c r="G42" s="54" t="s">
        <v>30</v>
      </c>
      <c r="H42" s="54" t="s">
        <v>37</v>
      </c>
      <c r="I42" s="66">
        <v>45884</v>
      </c>
      <c r="J42" s="54" t="s">
        <v>32</v>
      </c>
      <c r="K42" s="67">
        <v>50</v>
      </c>
      <c r="L42" s="68" t="s">
        <v>162</v>
      </c>
      <c r="M42" s="74" t="str">
        <f t="shared" si="0"/>
        <v>Open File</v>
      </c>
      <c r="N42" s="70" t="s">
        <v>34</v>
      </c>
      <c r="O42" s="71" t="str">
        <f t="shared" si="5"/>
        <v>ACTIVE</v>
      </c>
      <c r="P42" s="66"/>
      <c r="Q42" s="66"/>
      <c r="R42" s="85"/>
      <c r="S42" s="82"/>
      <c r="T42" s="83" t="str">
        <f t="shared" si="2"/>
        <v/>
      </c>
      <c r="U42" s="10"/>
      <c r="V42" s="41">
        <f>IF(AND(Q42&lt;&gt;"",RIGHT(Q42,3)&lt;&gt;""),IF(COUNTIF($Q$6:Q42,Q42)=1,1,0),0)</f>
        <v>0</v>
      </c>
      <c r="W42" s="41" t="str">
        <f t="shared" si="4"/>
        <v>NA.25.VIII.138-50</v>
      </c>
      <c r="X42" s="41" t="str">
        <f t="shared" si="3"/>
        <v/>
      </c>
    </row>
    <row r="43" s="32" customFormat="1" hidden="1" customHeight="1" spans="1:24">
      <c r="A43" s="34"/>
      <c r="B43" s="51">
        <v>38</v>
      </c>
      <c r="C43" s="51" t="s">
        <v>163</v>
      </c>
      <c r="D43" s="55" t="s">
        <v>164</v>
      </c>
      <c r="E43" s="53">
        <v>1</v>
      </c>
      <c r="F43" s="54" t="s">
        <v>29</v>
      </c>
      <c r="G43" s="54" t="s">
        <v>30</v>
      </c>
      <c r="H43" s="54" t="s">
        <v>37</v>
      </c>
      <c r="I43" s="66">
        <v>45884</v>
      </c>
      <c r="J43" s="54" t="s">
        <v>32</v>
      </c>
      <c r="K43" s="67">
        <v>49</v>
      </c>
      <c r="L43" s="68" t="s">
        <v>165</v>
      </c>
      <c r="M43" s="74" t="str">
        <f t="shared" si="0"/>
        <v>Open File</v>
      </c>
      <c r="N43" s="70" t="s">
        <v>34</v>
      </c>
      <c r="O43" s="71" t="str">
        <f t="shared" si="5"/>
        <v>ACTIVE</v>
      </c>
      <c r="P43" s="66"/>
      <c r="Q43" s="66"/>
      <c r="R43" s="85"/>
      <c r="S43" s="82"/>
      <c r="T43" s="83" t="str">
        <f t="shared" si="2"/>
        <v/>
      </c>
      <c r="U43" s="10"/>
      <c r="V43" s="41">
        <f>IF(AND(Q43&lt;&gt;"",RIGHT(Q43,3)&lt;&gt;""),IF(COUNTIF($Q$6:Q43,Q43)=1,1,0),0)</f>
        <v>0</v>
      </c>
      <c r="W43" s="41" t="str">
        <f t="shared" si="4"/>
        <v>NA.25.VIII.138-49</v>
      </c>
      <c r="X43" s="41" t="str">
        <f t="shared" si="3"/>
        <v/>
      </c>
    </row>
    <row r="44" s="32" customFormat="1" hidden="1" customHeight="1" spans="1:24">
      <c r="A44" s="34"/>
      <c r="B44" s="51">
        <v>39</v>
      </c>
      <c r="C44" s="51" t="s">
        <v>166</v>
      </c>
      <c r="D44" s="52" t="s">
        <v>167</v>
      </c>
      <c r="E44" s="53">
        <v>1</v>
      </c>
      <c r="F44" s="54" t="s">
        <v>29</v>
      </c>
      <c r="G44" s="54" t="s">
        <v>30</v>
      </c>
      <c r="H44" s="54" t="s">
        <v>37</v>
      </c>
      <c r="I44" s="66">
        <v>45884</v>
      </c>
      <c r="J44" s="54" t="s">
        <v>32</v>
      </c>
      <c r="K44" s="67">
        <v>48</v>
      </c>
      <c r="L44" s="68" t="s">
        <v>168</v>
      </c>
      <c r="M44" s="74" t="str">
        <f t="shared" si="0"/>
        <v>Open File</v>
      </c>
      <c r="N44" s="70" t="s">
        <v>34</v>
      </c>
      <c r="O44" s="71" t="str">
        <f t="shared" si="5"/>
        <v>ACTIVE</v>
      </c>
      <c r="P44" s="66"/>
      <c r="Q44" s="66"/>
      <c r="R44" s="85"/>
      <c r="S44" s="82"/>
      <c r="T44" s="83" t="str">
        <f t="shared" si="2"/>
        <v/>
      </c>
      <c r="U44" s="10"/>
      <c r="V44" s="41">
        <f>IF(AND(Q44&lt;&gt;"",RIGHT(Q44,3)&lt;&gt;""),IF(COUNTIF($Q$6:Q44,Q44)=1,1,0),0)</f>
        <v>0</v>
      </c>
      <c r="W44" s="41" t="str">
        <f t="shared" si="4"/>
        <v>NA.25.VIII.138-48</v>
      </c>
      <c r="X44" s="41" t="str">
        <f t="shared" si="3"/>
        <v/>
      </c>
    </row>
    <row r="45" s="32" customFormat="1" hidden="1" customHeight="1" spans="1:24">
      <c r="A45" s="34"/>
      <c r="B45" s="51">
        <v>40</v>
      </c>
      <c r="C45" s="51" t="s">
        <v>169</v>
      </c>
      <c r="D45" s="52" t="s">
        <v>170</v>
      </c>
      <c r="E45" s="53">
        <v>1</v>
      </c>
      <c r="F45" s="54" t="s">
        <v>29</v>
      </c>
      <c r="G45" s="54" t="s">
        <v>30</v>
      </c>
      <c r="H45" s="54" t="s">
        <v>37</v>
      </c>
      <c r="I45" s="66">
        <v>45884</v>
      </c>
      <c r="J45" s="54" t="s">
        <v>32</v>
      </c>
      <c r="K45" s="67">
        <v>47</v>
      </c>
      <c r="L45" s="68" t="s">
        <v>171</v>
      </c>
      <c r="M45" s="74" t="str">
        <f t="shared" si="0"/>
        <v>Open File</v>
      </c>
      <c r="N45" s="70" t="s">
        <v>34</v>
      </c>
      <c r="O45" s="71" t="str">
        <f t="shared" si="5"/>
        <v>ACTIVE</v>
      </c>
      <c r="P45" s="66"/>
      <c r="Q45" s="66"/>
      <c r="R45" s="85"/>
      <c r="S45" s="82"/>
      <c r="T45" s="83" t="str">
        <f t="shared" si="2"/>
        <v/>
      </c>
      <c r="U45" s="10"/>
      <c r="V45" s="41">
        <f>IF(AND(Q45&lt;&gt;"",RIGHT(Q45,3)&lt;&gt;""),IF(COUNTIF($Q$6:Q45,Q45)=1,1,0),0)</f>
        <v>0</v>
      </c>
      <c r="W45" s="41" t="str">
        <f t="shared" si="4"/>
        <v>NA.25.VIII.138-47</v>
      </c>
      <c r="X45" s="41" t="str">
        <f t="shared" si="3"/>
        <v/>
      </c>
    </row>
    <row r="46" s="32" customFormat="1" hidden="1" customHeight="1" spans="1:24">
      <c r="A46" s="34"/>
      <c r="B46" s="51">
        <v>41</v>
      </c>
      <c r="C46" s="51" t="s">
        <v>172</v>
      </c>
      <c r="D46" s="52" t="s">
        <v>173</v>
      </c>
      <c r="E46" s="53">
        <v>1</v>
      </c>
      <c r="F46" s="54" t="s">
        <v>29</v>
      </c>
      <c r="G46" s="54" t="s">
        <v>30</v>
      </c>
      <c r="H46" s="54" t="s">
        <v>37</v>
      </c>
      <c r="I46" s="66">
        <v>45884</v>
      </c>
      <c r="J46" s="54" t="s">
        <v>32</v>
      </c>
      <c r="K46" s="67">
        <v>46</v>
      </c>
      <c r="L46" s="68" t="s">
        <v>174</v>
      </c>
      <c r="M46" s="74" t="str">
        <f t="shared" si="0"/>
        <v>Open File</v>
      </c>
      <c r="N46" s="70" t="s">
        <v>34</v>
      </c>
      <c r="O46" s="71" t="str">
        <f t="shared" si="5"/>
        <v>ACTIVE</v>
      </c>
      <c r="P46" s="66"/>
      <c r="Q46" s="66"/>
      <c r="R46" s="85"/>
      <c r="S46" s="82"/>
      <c r="T46" s="83" t="str">
        <f t="shared" si="2"/>
        <v/>
      </c>
      <c r="U46" s="10"/>
      <c r="V46" s="41">
        <f>IF(AND(Q46&lt;&gt;"",RIGHT(Q46,3)&lt;&gt;""),IF(COUNTIF($Q$6:Q46,Q46)=1,1,0),0)</f>
        <v>0</v>
      </c>
      <c r="W46" s="41" t="str">
        <f t="shared" si="4"/>
        <v>NA.25.VIII.138-46</v>
      </c>
      <c r="X46" s="41" t="str">
        <f t="shared" si="3"/>
        <v/>
      </c>
    </row>
    <row r="47" s="32" customFormat="1" hidden="1" customHeight="1" spans="1:24">
      <c r="A47" s="34"/>
      <c r="B47" s="51">
        <v>42</v>
      </c>
      <c r="C47" s="51" t="s">
        <v>175</v>
      </c>
      <c r="D47" s="52" t="s">
        <v>176</v>
      </c>
      <c r="E47" s="53">
        <v>1</v>
      </c>
      <c r="F47" s="54" t="s">
        <v>29</v>
      </c>
      <c r="G47" s="54" t="s">
        <v>30</v>
      </c>
      <c r="H47" s="54" t="s">
        <v>37</v>
      </c>
      <c r="I47" s="66">
        <v>45884</v>
      </c>
      <c r="J47" s="54" t="s">
        <v>32</v>
      </c>
      <c r="K47" s="67">
        <v>45</v>
      </c>
      <c r="L47" s="68" t="s">
        <v>177</v>
      </c>
      <c r="M47" s="74" t="str">
        <f t="shared" si="0"/>
        <v>Open File</v>
      </c>
      <c r="N47" s="70" t="s">
        <v>34</v>
      </c>
      <c r="O47" s="71" t="str">
        <f t="shared" si="5"/>
        <v>ACTIVE</v>
      </c>
      <c r="P47" s="66"/>
      <c r="Q47" s="66"/>
      <c r="R47" s="85"/>
      <c r="S47" s="82"/>
      <c r="T47" s="83" t="str">
        <f t="shared" si="2"/>
        <v/>
      </c>
      <c r="U47" s="10"/>
      <c r="V47" s="41">
        <f>IF(AND(Q47&lt;&gt;"",RIGHT(Q47,3)&lt;&gt;""),IF(COUNTIF($Q$6:Q47,Q47)=1,1,0),0)</f>
        <v>0</v>
      </c>
      <c r="W47" s="41" t="str">
        <f t="shared" si="4"/>
        <v>NA.25.VIII.138-45</v>
      </c>
      <c r="X47" s="41" t="str">
        <f t="shared" si="3"/>
        <v/>
      </c>
    </row>
    <row r="48" s="32" customFormat="1" hidden="1" customHeight="1" spans="1:24">
      <c r="A48" s="34"/>
      <c r="B48" s="51">
        <v>43</v>
      </c>
      <c r="C48" s="51" t="s">
        <v>178</v>
      </c>
      <c r="D48" s="52" t="s">
        <v>179</v>
      </c>
      <c r="E48" s="53">
        <v>1</v>
      </c>
      <c r="F48" s="54" t="s">
        <v>29</v>
      </c>
      <c r="G48" s="54" t="s">
        <v>30</v>
      </c>
      <c r="H48" s="54" t="s">
        <v>37</v>
      </c>
      <c r="I48" s="66">
        <v>45884</v>
      </c>
      <c r="J48" s="54" t="s">
        <v>32</v>
      </c>
      <c r="K48" s="67">
        <v>44</v>
      </c>
      <c r="L48" s="68" t="s">
        <v>180</v>
      </c>
      <c r="M48" s="74" t="str">
        <f t="shared" si="0"/>
        <v>Open File</v>
      </c>
      <c r="N48" s="70" t="s">
        <v>34</v>
      </c>
      <c r="O48" s="71" t="str">
        <f t="shared" si="5"/>
        <v>ACTIVE</v>
      </c>
      <c r="P48" s="66"/>
      <c r="Q48" s="66"/>
      <c r="R48" s="85"/>
      <c r="S48" s="82"/>
      <c r="T48" s="83" t="str">
        <f t="shared" si="2"/>
        <v/>
      </c>
      <c r="U48" s="10"/>
      <c r="V48" s="41">
        <f>IF(AND(Q48&lt;&gt;"",RIGHT(Q48,3)&lt;&gt;""),IF(COUNTIF($Q$6:Q48,Q48)=1,1,0),0)</f>
        <v>0</v>
      </c>
      <c r="W48" s="41" t="str">
        <f t="shared" si="4"/>
        <v>NA.25.VIII.138-44</v>
      </c>
      <c r="X48" s="41" t="str">
        <f t="shared" si="3"/>
        <v/>
      </c>
    </row>
    <row r="49" s="32" customFormat="1" hidden="1" customHeight="1" spans="1:24">
      <c r="A49" s="34"/>
      <c r="B49" s="51">
        <v>44</v>
      </c>
      <c r="C49" s="51" t="s">
        <v>181</v>
      </c>
      <c r="D49" s="52" t="s">
        <v>182</v>
      </c>
      <c r="E49" s="53">
        <v>1</v>
      </c>
      <c r="F49" s="54" t="s">
        <v>29</v>
      </c>
      <c r="G49" s="54" t="s">
        <v>30</v>
      </c>
      <c r="H49" s="54" t="s">
        <v>37</v>
      </c>
      <c r="I49" s="66">
        <v>45884</v>
      </c>
      <c r="J49" s="54" t="s">
        <v>32</v>
      </c>
      <c r="K49" s="67">
        <v>43</v>
      </c>
      <c r="L49" s="68" t="s">
        <v>183</v>
      </c>
      <c r="M49" s="74" t="str">
        <f t="shared" si="0"/>
        <v>Open File</v>
      </c>
      <c r="N49" s="70" t="s">
        <v>34</v>
      </c>
      <c r="O49" s="71" t="str">
        <f t="shared" si="5"/>
        <v>ACTIVE</v>
      </c>
      <c r="P49" s="66"/>
      <c r="Q49" s="66"/>
      <c r="R49" s="85"/>
      <c r="S49" s="82"/>
      <c r="T49" s="83" t="str">
        <f t="shared" si="2"/>
        <v/>
      </c>
      <c r="U49" s="10"/>
      <c r="V49" s="41">
        <f>IF(AND(Q49&lt;&gt;"",RIGHT(Q49,3)&lt;&gt;""),IF(COUNTIF($Q$6:Q49,Q49)=1,1,0),0)</f>
        <v>0</v>
      </c>
      <c r="W49" s="41" t="str">
        <f t="shared" si="4"/>
        <v>NA.25.VIII.138-43</v>
      </c>
      <c r="X49" s="41" t="str">
        <f t="shared" si="3"/>
        <v/>
      </c>
    </row>
    <row r="50" s="32" customFormat="1" hidden="1" customHeight="1" spans="1:24">
      <c r="A50" s="34"/>
      <c r="B50" s="51">
        <v>45</v>
      </c>
      <c r="C50" s="51" t="s">
        <v>184</v>
      </c>
      <c r="D50" s="52" t="s">
        <v>185</v>
      </c>
      <c r="E50" s="53">
        <v>1</v>
      </c>
      <c r="F50" s="54" t="s">
        <v>29</v>
      </c>
      <c r="G50" s="54" t="s">
        <v>30</v>
      </c>
      <c r="H50" s="54" t="s">
        <v>37</v>
      </c>
      <c r="I50" s="66">
        <v>45884</v>
      </c>
      <c r="J50" s="54" t="s">
        <v>32</v>
      </c>
      <c r="K50" s="67">
        <v>42</v>
      </c>
      <c r="L50" s="68" t="s">
        <v>186</v>
      </c>
      <c r="M50" s="74" t="str">
        <f t="shared" si="0"/>
        <v>Open File</v>
      </c>
      <c r="N50" s="70" t="s">
        <v>34</v>
      </c>
      <c r="O50" s="71" t="str">
        <f t="shared" si="5"/>
        <v>ACTIVE</v>
      </c>
      <c r="P50" s="66"/>
      <c r="Q50" s="66"/>
      <c r="R50" s="85"/>
      <c r="S50" s="82"/>
      <c r="T50" s="83" t="str">
        <f t="shared" si="2"/>
        <v/>
      </c>
      <c r="U50" s="10"/>
      <c r="V50" s="41">
        <f>IF(AND(Q50&lt;&gt;"",RIGHT(Q50,3)&lt;&gt;""),IF(COUNTIF($Q$6:Q50,Q50)=1,1,0),0)</f>
        <v>0</v>
      </c>
      <c r="W50" s="41" t="str">
        <f t="shared" si="4"/>
        <v>NA.25.VIII.138-42</v>
      </c>
      <c r="X50" s="41" t="str">
        <f t="shared" si="3"/>
        <v/>
      </c>
    </row>
    <row r="51" s="32" customFormat="1" hidden="1" customHeight="1" spans="1:24">
      <c r="A51" s="34"/>
      <c r="B51" s="51">
        <v>46</v>
      </c>
      <c r="C51" s="51" t="s">
        <v>187</v>
      </c>
      <c r="D51" s="52" t="s">
        <v>188</v>
      </c>
      <c r="E51" s="53">
        <v>1</v>
      </c>
      <c r="F51" s="54" t="s">
        <v>29</v>
      </c>
      <c r="G51" s="54" t="s">
        <v>30</v>
      </c>
      <c r="H51" s="54" t="s">
        <v>37</v>
      </c>
      <c r="I51" s="66">
        <v>45884</v>
      </c>
      <c r="J51" s="54" t="s">
        <v>32</v>
      </c>
      <c r="K51" s="67">
        <v>41</v>
      </c>
      <c r="L51" s="68" t="s">
        <v>189</v>
      </c>
      <c r="M51" s="74" t="str">
        <f t="shared" si="0"/>
        <v>Open File</v>
      </c>
      <c r="N51" s="70" t="s">
        <v>34</v>
      </c>
      <c r="O51" s="71" t="str">
        <f t="shared" si="5"/>
        <v>ACTIVE</v>
      </c>
      <c r="P51" s="66"/>
      <c r="Q51" s="66"/>
      <c r="R51" s="85"/>
      <c r="S51" s="82"/>
      <c r="T51" s="83" t="str">
        <f t="shared" si="2"/>
        <v/>
      </c>
      <c r="U51" s="10"/>
      <c r="V51" s="41">
        <f>IF(AND(Q51&lt;&gt;"",RIGHT(Q51,3)&lt;&gt;""),IF(COUNTIF($Q$6:Q51,Q51)=1,1,0),0)</f>
        <v>0</v>
      </c>
      <c r="W51" s="41" t="str">
        <f t="shared" si="4"/>
        <v>NA.25.VIII.138-41</v>
      </c>
      <c r="X51" s="41" t="str">
        <f t="shared" si="3"/>
        <v/>
      </c>
    </row>
    <row r="52" s="32" customFormat="1" hidden="1" customHeight="1" spans="1:24">
      <c r="A52" s="34"/>
      <c r="B52" s="51">
        <v>47</v>
      </c>
      <c r="C52" s="51" t="s">
        <v>190</v>
      </c>
      <c r="D52" s="52" t="s">
        <v>191</v>
      </c>
      <c r="E52" s="53">
        <v>1</v>
      </c>
      <c r="F52" s="54" t="s">
        <v>29</v>
      </c>
      <c r="G52" s="54" t="s">
        <v>30</v>
      </c>
      <c r="H52" s="54" t="s">
        <v>37</v>
      </c>
      <c r="I52" s="66">
        <v>45884</v>
      </c>
      <c r="J52" s="54" t="s">
        <v>32</v>
      </c>
      <c r="K52" s="67">
        <v>40</v>
      </c>
      <c r="L52" s="68" t="s">
        <v>192</v>
      </c>
      <c r="M52" s="74" t="str">
        <f t="shared" si="0"/>
        <v>Open File</v>
      </c>
      <c r="N52" s="70" t="s">
        <v>34</v>
      </c>
      <c r="O52" s="71" t="str">
        <f t="shared" si="5"/>
        <v>ACTIVE</v>
      </c>
      <c r="P52" s="66"/>
      <c r="Q52" s="66"/>
      <c r="R52" s="85"/>
      <c r="S52" s="82"/>
      <c r="T52" s="83" t="str">
        <f t="shared" si="2"/>
        <v/>
      </c>
      <c r="U52" s="10"/>
      <c r="V52" s="41">
        <f>IF(AND(Q52&lt;&gt;"",RIGHT(Q52,3)&lt;&gt;""),IF(COUNTIF($Q$6:Q52,Q52)=1,1,0),0)</f>
        <v>0</v>
      </c>
      <c r="W52" s="41" t="str">
        <f t="shared" si="4"/>
        <v>NA.25.VIII.138-40</v>
      </c>
      <c r="X52" s="41" t="str">
        <f t="shared" si="3"/>
        <v/>
      </c>
    </row>
    <row r="53" s="32" customFormat="1" hidden="1" customHeight="1" spans="1:24">
      <c r="A53" s="34"/>
      <c r="B53" s="51">
        <v>48</v>
      </c>
      <c r="C53" s="51" t="s">
        <v>193</v>
      </c>
      <c r="D53" s="52" t="s">
        <v>194</v>
      </c>
      <c r="E53" s="53">
        <v>1</v>
      </c>
      <c r="F53" s="54" t="s">
        <v>66</v>
      </c>
      <c r="G53" s="54" t="s">
        <v>30</v>
      </c>
      <c r="H53" s="54" t="s">
        <v>31</v>
      </c>
      <c r="I53" s="66">
        <v>45884</v>
      </c>
      <c r="J53" s="54" t="s">
        <v>32</v>
      </c>
      <c r="K53" s="67">
        <v>39</v>
      </c>
      <c r="L53" s="68" t="s">
        <v>195</v>
      </c>
      <c r="M53" s="73" t="str">
        <f t="shared" si="0"/>
        <v>Open File</v>
      </c>
      <c r="N53" s="70" t="s">
        <v>34</v>
      </c>
      <c r="O53" s="71" t="str">
        <f t="shared" si="5"/>
        <v>ACTIVE</v>
      </c>
      <c r="P53" s="66"/>
      <c r="Q53" s="66"/>
      <c r="R53" s="85"/>
      <c r="S53" s="82"/>
      <c r="T53" s="83" t="str">
        <f t="shared" si="2"/>
        <v/>
      </c>
      <c r="U53" s="10"/>
      <c r="V53" s="41">
        <f>IF(AND(Q53&lt;&gt;"",RIGHT(Q53,3)&lt;&gt;""),IF(COUNTIF($Q$6:Q53,Q53)=1,1,0),0)</f>
        <v>0</v>
      </c>
      <c r="W53" s="41" t="str">
        <f t="shared" si="4"/>
        <v>NA.25.VIII.138-39</v>
      </c>
      <c r="X53" s="41" t="str">
        <f t="shared" si="3"/>
        <v/>
      </c>
    </row>
    <row r="54" s="32" customFormat="1" hidden="1" customHeight="1" spans="1:24">
      <c r="A54" s="34"/>
      <c r="B54" s="51">
        <v>49</v>
      </c>
      <c r="C54" s="51" t="s">
        <v>196</v>
      </c>
      <c r="D54" s="52" t="s">
        <v>197</v>
      </c>
      <c r="E54" s="53">
        <v>1</v>
      </c>
      <c r="F54" s="54" t="s">
        <v>66</v>
      </c>
      <c r="G54" s="54" t="s">
        <v>30</v>
      </c>
      <c r="H54" s="54" t="s">
        <v>31</v>
      </c>
      <c r="I54" s="66">
        <v>45884</v>
      </c>
      <c r="J54" s="54" t="s">
        <v>32</v>
      </c>
      <c r="K54" s="67">
        <v>38</v>
      </c>
      <c r="L54" s="68" t="s">
        <v>198</v>
      </c>
      <c r="M54" s="73" t="str">
        <f t="shared" si="0"/>
        <v>Open File</v>
      </c>
      <c r="N54" s="70" t="s">
        <v>34</v>
      </c>
      <c r="O54" s="71" t="str">
        <f t="shared" si="5"/>
        <v>ACTIVE</v>
      </c>
      <c r="P54" s="66"/>
      <c r="Q54" s="66"/>
      <c r="R54" s="85"/>
      <c r="S54" s="82"/>
      <c r="T54" s="83" t="str">
        <f t="shared" si="2"/>
        <v/>
      </c>
      <c r="U54" s="10"/>
      <c r="V54" s="41">
        <f>IF(AND(Q54&lt;&gt;"",RIGHT(Q54,3)&lt;&gt;""),IF(COUNTIF($Q$6:Q54,Q54)=1,1,0),0)</f>
        <v>0</v>
      </c>
      <c r="W54" s="41" t="str">
        <f t="shared" si="4"/>
        <v>NA.25.VIII.138-38</v>
      </c>
      <c r="X54" s="41" t="str">
        <f t="shared" si="3"/>
        <v/>
      </c>
    </row>
    <row r="55" s="32" customFormat="1" hidden="1" customHeight="1" spans="1:24">
      <c r="A55" s="34"/>
      <c r="B55" s="51">
        <v>50</v>
      </c>
      <c r="C55" s="51" t="s">
        <v>199</v>
      </c>
      <c r="D55" s="52" t="s">
        <v>200</v>
      </c>
      <c r="E55" s="53">
        <v>1</v>
      </c>
      <c r="F55" s="54" t="s">
        <v>66</v>
      </c>
      <c r="G55" s="54" t="s">
        <v>30</v>
      </c>
      <c r="H55" s="54" t="s">
        <v>31</v>
      </c>
      <c r="I55" s="66">
        <v>45884</v>
      </c>
      <c r="J55" s="54" t="s">
        <v>32</v>
      </c>
      <c r="K55" s="67">
        <v>37</v>
      </c>
      <c r="L55" s="68" t="s">
        <v>201</v>
      </c>
      <c r="M55" s="73" t="str">
        <f t="shared" si="0"/>
        <v>Open File</v>
      </c>
      <c r="N55" s="70" t="s">
        <v>34</v>
      </c>
      <c r="O55" s="71" t="str">
        <f t="shared" si="5"/>
        <v>ACTIVE</v>
      </c>
      <c r="P55" s="66"/>
      <c r="Q55" s="66"/>
      <c r="R55" s="85"/>
      <c r="S55" s="82"/>
      <c r="T55" s="83" t="str">
        <f t="shared" si="2"/>
        <v/>
      </c>
      <c r="U55" s="10"/>
      <c r="V55" s="41">
        <f>IF(AND(Q55&lt;&gt;"",RIGHT(Q55,3)&lt;&gt;""),IF(COUNTIF($Q$6:Q55,Q55)=1,1,0),0)</f>
        <v>0</v>
      </c>
      <c r="W55" s="41" t="str">
        <f t="shared" si="4"/>
        <v>NA.25.VIII.138-37</v>
      </c>
      <c r="X55" s="41" t="str">
        <f t="shared" si="3"/>
        <v/>
      </c>
    </row>
    <row r="56" s="32" customFormat="1" hidden="1" customHeight="1" spans="1:24">
      <c r="A56" s="34"/>
      <c r="B56" s="51">
        <v>51</v>
      </c>
      <c r="C56" s="51" t="s">
        <v>202</v>
      </c>
      <c r="D56" s="52" t="s">
        <v>203</v>
      </c>
      <c r="E56" s="53">
        <v>1</v>
      </c>
      <c r="F56" s="54" t="s">
        <v>66</v>
      </c>
      <c r="G56" s="54" t="s">
        <v>30</v>
      </c>
      <c r="H56" s="54" t="s">
        <v>31</v>
      </c>
      <c r="I56" s="66">
        <v>45884</v>
      </c>
      <c r="J56" s="54" t="s">
        <v>32</v>
      </c>
      <c r="K56" s="67">
        <v>36</v>
      </c>
      <c r="L56" s="68" t="s">
        <v>204</v>
      </c>
      <c r="M56" s="73" t="str">
        <f t="shared" si="0"/>
        <v>Open File</v>
      </c>
      <c r="N56" s="70" t="s">
        <v>34</v>
      </c>
      <c r="O56" s="71" t="str">
        <f t="shared" si="5"/>
        <v>ACTIVE</v>
      </c>
      <c r="P56" s="66"/>
      <c r="Q56" s="66"/>
      <c r="R56" s="85"/>
      <c r="S56" s="82"/>
      <c r="T56" s="83" t="str">
        <f t="shared" si="2"/>
        <v/>
      </c>
      <c r="U56" s="10"/>
      <c r="V56" s="41">
        <f>IF(AND(Q56&lt;&gt;"",RIGHT(Q56,3)&lt;&gt;""),IF(COUNTIF($Q$6:Q56,Q56)=1,1,0),0)</f>
        <v>0</v>
      </c>
      <c r="W56" s="41" t="str">
        <f t="shared" si="4"/>
        <v>NA.25.VIII.138-36</v>
      </c>
      <c r="X56" s="41" t="str">
        <f t="shared" si="3"/>
        <v/>
      </c>
    </row>
    <row r="57" s="32" customFormat="1" hidden="1" customHeight="1" spans="1:24">
      <c r="A57" s="34"/>
      <c r="B57" s="51">
        <v>52</v>
      </c>
      <c r="C57" s="51" t="s">
        <v>205</v>
      </c>
      <c r="D57" s="52" t="s">
        <v>206</v>
      </c>
      <c r="E57" s="53">
        <v>1</v>
      </c>
      <c r="F57" s="54" t="s">
        <v>29</v>
      </c>
      <c r="G57" s="54" t="s">
        <v>30</v>
      </c>
      <c r="H57" s="54" t="s">
        <v>37</v>
      </c>
      <c r="I57" s="66">
        <v>45884</v>
      </c>
      <c r="J57" s="54" t="s">
        <v>32</v>
      </c>
      <c r="K57" s="67">
        <v>35</v>
      </c>
      <c r="L57" s="68" t="s">
        <v>207</v>
      </c>
      <c r="M57" s="74" t="str">
        <f t="shared" si="0"/>
        <v>Open File</v>
      </c>
      <c r="N57" s="70" t="s">
        <v>34</v>
      </c>
      <c r="O57" s="71" t="str">
        <f t="shared" si="5"/>
        <v>ACTIVE</v>
      </c>
      <c r="P57" s="66"/>
      <c r="Q57" s="66"/>
      <c r="R57" s="85"/>
      <c r="S57" s="82"/>
      <c r="T57" s="83" t="str">
        <f t="shared" si="2"/>
        <v/>
      </c>
      <c r="U57" s="10"/>
      <c r="V57" s="41">
        <f>IF(AND(Q57&lt;&gt;"",RIGHT(Q57,3)&lt;&gt;""),IF(COUNTIF($Q$6:Q57,Q57)=1,1,0),0)</f>
        <v>0</v>
      </c>
      <c r="W57" s="41" t="str">
        <f t="shared" si="4"/>
        <v>NA.25.VIII.138-35</v>
      </c>
      <c r="X57" s="41" t="str">
        <f t="shared" si="3"/>
        <v/>
      </c>
    </row>
    <row r="58" s="32" customFormat="1" hidden="1" customHeight="1" spans="1:24">
      <c r="A58" s="34"/>
      <c r="B58" s="51">
        <v>53</v>
      </c>
      <c r="C58" s="51" t="s">
        <v>208</v>
      </c>
      <c r="D58" s="52" t="s">
        <v>209</v>
      </c>
      <c r="E58" s="53">
        <v>1</v>
      </c>
      <c r="F58" s="54" t="s">
        <v>29</v>
      </c>
      <c r="G58" s="54" t="s">
        <v>30</v>
      </c>
      <c r="H58" s="54" t="s">
        <v>37</v>
      </c>
      <c r="I58" s="66">
        <v>45884</v>
      </c>
      <c r="J58" s="54" t="s">
        <v>32</v>
      </c>
      <c r="K58" s="67">
        <v>34</v>
      </c>
      <c r="L58" s="68" t="s">
        <v>210</v>
      </c>
      <c r="M58" s="74" t="str">
        <f t="shared" si="0"/>
        <v>Open File</v>
      </c>
      <c r="N58" s="70" t="s">
        <v>34</v>
      </c>
      <c r="O58" s="71" t="str">
        <f t="shared" si="5"/>
        <v>ACTIVE</v>
      </c>
      <c r="P58" s="66"/>
      <c r="Q58" s="66"/>
      <c r="R58" s="85"/>
      <c r="S58" s="82"/>
      <c r="T58" s="83" t="str">
        <f t="shared" si="2"/>
        <v/>
      </c>
      <c r="U58" s="10"/>
      <c r="V58" s="41">
        <f>IF(AND(Q58&lt;&gt;"",RIGHT(Q58,3)&lt;&gt;""),IF(COUNTIF($Q$6:Q58,Q58)=1,1,0),0)</f>
        <v>0</v>
      </c>
      <c r="W58" s="41" t="str">
        <f t="shared" si="4"/>
        <v>NA.25.VIII.138-34</v>
      </c>
      <c r="X58" s="41" t="str">
        <f t="shared" si="3"/>
        <v/>
      </c>
    </row>
    <row r="59" s="32" customFormat="1" hidden="1" customHeight="1" spans="1:24">
      <c r="A59" s="34"/>
      <c r="B59" s="51">
        <v>54</v>
      </c>
      <c r="C59" s="51" t="s">
        <v>211</v>
      </c>
      <c r="D59" s="52" t="s">
        <v>212</v>
      </c>
      <c r="E59" s="53">
        <v>1</v>
      </c>
      <c r="F59" s="54" t="s">
        <v>29</v>
      </c>
      <c r="G59" s="54" t="s">
        <v>30</v>
      </c>
      <c r="H59" s="54" t="s">
        <v>37</v>
      </c>
      <c r="I59" s="66">
        <v>45884</v>
      </c>
      <c r="J59" s="54" t="s">
        <v>32</v>
      </c>
      <c r="K59" s="67">
        <v>33</v>
      </c>
      <c r="L59" s="68" t="s">
        <v>213</v>
      </c>
      <c r="M59" s="74" t="str">
        <f t="shared" si="0"/>
        <v>Open File</v>
      </c>
      <c r="N59" s="70" t="s">
        <v>34</v>
      </c>
      <c r="O59" s="71" t="str">
        <f t="shared" si="5"/>
        <v>ACTIVE</v>
      </c>
      <c r="P59" s="66"/>
      <c r="Q59" s="66"/>
      <c r="R59" s="85"/>
      <c r="S59" s="82"/>
      <c r="T59" s="83" t="str">
        <f t="shared" si="2"/>
        <v/>
      </c>
      <c r="U59" s="10"/>
      <c r="V59" s="41">
        <f>IF(AND(Q59&lt;&gt;"",RIGHT(Q59,3)&lt;&gt;""),IF(COUNTIF($Q$6:Q59,Q59)=1,1,0),0)</f>
        <v>0</v>
      </c>
      <c r="W59" s="41" t="str">
        <f t="shared" si="4"/>
        <v>NA.25.VIII.138-33</v>
      </c>
      <c r="X59" s="41" t="str">
        <f t="shared" si="3"/>
        <v/>
      </c>
    </row>
    <row r="60" s="32" customFormat="1" hidden="1" customHeight="1" spans="1:24">
      <c r="A60" s="34"/>
      <c r="B60" s="51">
        <v>55</v>
      </c>
      <c r="C60" s="51" t="s">
        <v>214</v>
      </c>
      <c r="D60" s="52" t="s">
        <v>215</v>
      </c>
      <c r="E60" s="53">
        <v>1</v>
      </c>
      <c r="F60" s="54" t="s">
        <v>29</v>
      </c>
      <c r="G60" s="54" t="s">
        <v>30</v>
      </c>
      <c r="H60" s="54" t="s">
        <v>37</v>
      </c>
      <c r="I60" s="66">
        <v>45884</v>
      </c>
      <c r="J60" s="54" t="s">
        <v>32</v>
      </c>
      <c r="K60" s="67">
        <v>32</v>
      </c>
      <c r="L60" s="68" t="s">
        <v>216</v>
      </c>
      <c r="M60" s="74" t="str">
        <f t="shared" si="0"/>
        <v>Open File</v>
      </c>
      <c r="N60" s="70" t="s">
        <v>34</v>
      </c>
      <c r="O60" s="71" t="str">
        <f t="shared" si="5"/>
        <v>ACTIVE</v>
      </c>
      <c r="P60" s="66"/>
      <c r="Q60" s="66"/>
      <c r="R60" s="85"/>
      <c r="S60" s="82"/>
      <c r="T60" s="83" t="str">
        <f t="shared" si="2"/>
        <v/>
      </c>
      <c r="U60" s="10"/>
      <c r="V60" s="41">
        <f>IF(AND(Q60&lt;&gt;"",RIGHT(Q60,3)&lt;&gt;""),IF(COUNTIF($Q$6:Q60,Q60)=1,1,0),0)</f>
        <v>0</v>
      </c>
      <c r="W60" s="41" t="str">
        <f t="shared" si="4"/>
        <v>NA.25.VIII.138-32</v>
      </c>
      <c r="X60" s="41" t="str">
        <f t="shared" si="3"/>
        <v/>
      </c>
    </row>
    <row r="61" s="32" customFormat="1" hidden="1" customHeight="1" spans="1:24">
      <c r="A61" s="34"/>
      <c r="B61" s="51">
        <v>56</v>
      </c>
      <c r="C61" s="51" t="s">
        <v>217</v>
      </c>
      <c r="D61" s="52" t="s">
        <v>218</v>
      </c>
      <c r="E61" s="53">
        <v>1</v>
      </c>
      <c r="F61" s="54" t="s">
        <v>29</v>
      </c>
      <c r="G61" s="54" t="s">
        <v>30</v>
      </c>
      <c r="H61" s="54" t="s">
        <v>37</v>
      </c>
      <c r="I61" s="66">
        <v>45884</v>
      </c>
      <c r="J61" s="54" t="s">
        <v>32</v>
      </c>
      <c r="K61" s="67">
        <v>31</v>
      </c>
      <c r="L61" s="68" t="s">
        <v>219</v>
      </c>
      <c r="M61" s="74" t="str">
        <f t="shared" si="0"/>
        <v>Open File</v>
      </c>
      <c r="N61" s="70" t="s">
        <v>34</v>
      </c>
      <c r="O61" s="71" t="str">
        <f t="shared" si="5"/>
        <v>ACTIVE</v>
      </c>
      <c r="P61" s="66"/>
      <c r="Q61" s="66"/>
      <c r="R61" s="85"/>
      <c r="S61" s="82"/>
      <c r="T61" s="83" t="str">
        <f t="shared" si="2"/>
        <v/>
      </c>
      <c r="U61" s="10"/>
      <c r="V61" s="41">
        <f>IF(AND(Q61&lt;&gt;"",RIGHT(Q61,3)&lt;&gt;""),IF(COUNTIF($Q$6:Q61,Q61)=1,1,0),0)</f>
        <v>0</v>
      </c>
      <c r="W61" s="41" t="str">
        <f t="shared" si="4"/>
        <v>NA.25.VIII.138-31</v>
      </c>
      <c r="X61" s="41" t="str">
        <f t="shared" si="3"/>
        <v/>
      </c>
    </row>
    <row r="62" s="32" customFormat="1" hidden="1" customHeight="1" spans="1:24">
      <c r="A62" s="34"/>
      <c r="B62" s="51">
        <v>57</v>
      </c>
      <c r="C62" s="51" t="s">
        <v>220</v>
      </c>
      <c r="D62" s="52" t="s">
        <v>221</v>
      </c>
      <c r="E62" s="53">
        <v>1</v>
      </c>
      <c r="F62" s="54" t="s">
        <v>29</v>
      </c>
      <c r="G62" s="54" t="s">
        <v>30</v>
      </c>
      <c r="H62" s="54" t="s">
        <v>37</v>
      </c>
      <c r="I62" s="66">
        <v>45884</v>
      </c>
      <c r="J62" s="54" t="s">
        <v>32</v>
      </c>
      <c r="K62" s="67">
        <v>30</v>
      </c>
      <c r="L62" s="68" t="s">
        <v>222</v>
      </c>
      <c r="M62" s="74" t="str">
        <f t="shared" si="0"/>
        <v>Open File</v>
      </c>
      <c r="N62" s="70" t="s">
        <v>34</v>
      </c>
      <c r="O62" s="71" t="str">
        <f t="shared" si="5"/>
        <v>ACTIVE</v>
      </c>
      <c r="P62" s="66"/>
      <c r="Q62" s="66"/>
      <c r="R62" s="85"/>
      <c r="S62" s="82"/>
      <c r="T62" s="83" t="str">
        <f t="shared" si="2"/>
        <v/>
      </c>
      <c r="U62" s="10"/>
      <c r="V62" s="41">
        <f>IF(AND(Q62&lt;&gt;"",RIGHT(Q62,3)&lt;&gt;""),IF(COUNTIF($Q$6:Q62,Q62)=1,1,0),0)</f>
        <v>0</v>
      </c>
      <c r="W62" s="41" t="str">
        <f t="shared" si="4"/>
        <v>NA.25.VIII.138-30</v>
      </c>
      <c r="X62" s="41" t="str">
        <f t="shared" si="3"/>
        <v/>
      </c>
    </row>
    <row r="63" s="32" customFormat="1" hidden="1" customHeight="1" spans="1:24">
      <c r="A63" s="34"/>
      <c r="B63" s="51">
        <v>58</v>
      </c>
      <c r="C63" s="51" t="s">
        <v>223</v>
      </c>
      <c r="D63" s="52" t="s">
        <v>224</v>
      </c>
      <c r="E63" s="53">
        <v>1</v>
      </c>
      <c r="F63" s="54" t="s">
        <v>29</v>
      </c>
      <c r="G63" s="54" t="s">
        <v>30</v>
      </c>
      <c r="H63" s="54" t="s">
        <v>37</v>
      </c>
      <c r="I63" s="66">
        <v>45884</v>
      </c>
      <c r="J63" s="54" t="s">
        <v>32</v>
      </c>
      <c r="K63" s="67">
        <v>29</v>
      </c>
      <c r="L63" s="68" t="s">
        <v>225</v>
      </c>
      <c r="M63" s="74" t="str">
        <f t="shared" si="0"/>
        <v>Open File</v>
      </c>
      <c r="N63" s="70" t="s">
        <v>34</v>
      </c>
      <c r="O63" s="71" t="str">
        <f t="shared" si="5"/>
        <v>ACTIVE</v>
      </c>
      <c r="P63" s="66">
        <v>46106</v>
      </c>
      <c r="Q63" s="66" t="s">
        <v>45</v>
      </c>
      <c r="R63" s="85" t="s">
        <v>226</v>
      </c>
      <c r="S63" s="84"/>
      <c r="T63" s="83" t="str">
        <f t="shared" si="2"/>
        <v/>
      </c>
      <c r="U63" s="10" t="s">
        <v>46</v>
      </c>
      <c r="V63" s="41">
        <f>IF(AND(Q63&lt;&gt;"",RIGHT(Q63,3)&lt;&gt;""),IF(COUNTIF($Q$6:Q63,Q63)=1,1,0),0)</f>
        <v>0</v>
      </c>
      <c r="W63" s="41" t="str">
        <f t="shared" si="4"/>
        <v>NA.25.VIII.138-29</v>
      </c>
      <c r="X63" s="41" t="str">
        <f t="shared" si="3"/>
        <v>RI.NV.26.III.052-1</v>
      </c>
    </row>
    <row r="64" s="32" customFormat="1" hidden="1" customHeight="1" spans="1:24">
      <c r="A64" s="34"/>
      <c r="B64" s="51">
        <v>59</v>
      </c>
      <c r="C64" s="51" t="s">
        <v>227</v>
      </c>
      <c r="D64" s="52" t="s">
        <v>228</v>
      </c>
      <c r="E64" s="53">
        <v>1</v>
      </c>
      <c r="F64" s="54" t="s">
        <v>29</v>
      </c>
      <c r="G64" s="54" t="s">
        <v>30</v>
      </c>
      <c r="H64" s="54" t="s">
        <v>37</v>
      </c>
      <c r="I64" s="66">
        <v>45884</v>
      </c>
      <c r="J64" s="54" t="s">
        <v>32</v>
      </c>
      <c r="K64" s="67">
        <v>28</v>
      </c>
      <c r="L64" s="68" t="s">
        <v>229</v>
      </c>
      <c r="M64" s="74" t="str">
        <f t="shared" si="0"/>
        <v>Open File</v>
      </c>
      <c r="N64" s="70" t="s">
        <v>34</v>
      </c>
      <c r="O64" s="71" t="str">
        <f t="shared" si="5"/>
        <v>ACTIVE</v>
      </c>
      <c r="P64" s="66"/>
      <c r="Q64" s="66"/>
      <c r="R64" s="85"/>
      <c r="S64" s="82"/>
      <c r="T64" s="83" t="str">
        <f t="shared" si="2"/>
        <v/>
      </c>
      <c r="U64" s="10"/>
      <c r="V64" s="41">
        <f>IF(AND(Q64&lt;&gt;"",RIGHT(Q64,3)&lt;&gt;""),IF(COUNTIF($Q$6:Q64,Q64)=1,1,0),0)</f>
        <v>0</v>
      </c>
      <c r="W64" s="41" t="str">
        <f t="shared" si="4"/>
        <v>NA.25.VIII.138-28</v>
      </c>
      <c r="X64" s="41" t="str">
        <f t="shared" si="3"/>
        <v/>
      </c>
    </row>
    <row r="65" s="32" customFormat="1" hidden="1" customHeight="1" spans="1:24">
      <c r="A65" s="34"/>
      <c r="B65" s="51">
        <v>60</v>
      </c>
      <c r="C65" s="51" t="s">
        <v>230</v>
      </c>
      <c r="D65" s="52" t="s">
        <v>231</v>
      </c>
      <c r="E65" s="53">
        <v>1</v>
      </c>
      <c r="F65" s="54" t="s">
        <v>29</v>
      </c>
      <c r="G65" s="54" t="s">
        <v>30</v>
      </c>
      <c r="H65" s="54" t="s">
        <v>37</v>
      </c>
      <c r="I65" s="66">
        <v>45884</v>
      </c>
      <c r="J65" s="54" t="s">
        <v>32</v>
      </c>
      <c r="K65" s="67">
        <v>27</v>
      </c>
      <c r="L65" s="68" t="s">
        <v>232</v>
      </c>
      <c r="M65" s="74" t="str">
        <f t="shared" si="0"/>
        <v>Open File</v>
      </c>
      <c r="N65" s="70" t="s">
        <v>34</v>
      </c>
      <c r="O65" s="71" t="str">
        <f t="shared" si="5"/>
        <v>ACTIVE</v>
      </c>
      <c r="P65" s="66"/>
      <c r="Q65" s="66"/>
      <c r="R65" s="85"/>
      <c r="S65" s="82"/>
      <c r="T65" s="83" t="str">
        <f t="shared" si="2"/>
        <v/>
      </c>
      <c r="U65" s="10"/>
      <c r="V65" s="41">
        <f>IF(AND(Q65&lt;&gt;"",RIGHT(Q65,3)&lt;&gt;""),IF(COUNTIF($Q$6:Q65,Q65)=1,1,0),0)</f>
        <v>0</v>
      </c>
      <c r="W65" s="41" t="str">
        <f t="shared" si="4"/>
        <v>NA.25.VIII.138-27</v>
      </c>
      <c r="X65" s="41" t="str">
        <f t="shared" si="3"/>
        <v/>
      </c>
    </row>
    <row r="66" s="32" customFormat="1" hidden="1" customHeight="1" spans="1:24">
      <c r="A66" s="34"/>
      <c r="B66" s="51">
        <v>61</v>
      </c>
      <c r="C66" s="51" t="s">
        <v>233</v>
      </c>
      <c r="D66" s="52" t="s">
        <v>234</v>
      </c>
      <c r="E66" s="53">
        <v>1</v>
      </c>
      <c r="F66" s="54" t="s">
        <v>29</v>
      </c>
      <c r="G66" s="54" t="s">
        <v>30</v>
      </c>
      <c r="H66" s="54" t="s">
        <v>37</v>
      </c>
      <c r="I66" s="66">
        <v>45884</v>
      </c>
      <c r="J66" s="54" t="s">
        <v>32</v>
      </c>
      <c r="K66" s="67">
        <v>26</v>
      </c>
      <c r="L66" s="68" t="s">
        <v>235</v>
      </c>
      <c r="M66" s="74" t="str">
        <f t="shared" si="0"/>
        <v>Open File</v>
      </c>
      <c r="N66" s="70" t="s">
        <v>34</v>
      </c>
      <c r="O66" s="71" t="str">
        <f t="shared" si="5"/>
        <v>PASSIVE</v>
      </c>
      <c r="P66" s="66">
        <v>45912</v>
      </c>
      <c r="Q66" s="66" t="s">
        <v>71</v>
      </c>
      <c r="R66" s="85">
        <v>3</v>
      </c>
      <c r="S66" s="86" t="s">
        <v>236</v>
      </c>
      <c r="T66" s="87" t="str">
        <f t="shared" si="2"/>
        <v>Open File</v>
      </c>
      <c r="U66" s="10" t="s">
        <v>73</v>
      </c>
      <c r="V66" s="41">
        <f>IF(AND(Q66&lt;&gt;"",RIGHT(Q66,3)&lt;&gt;""),IF(COUNTIF($Q$6:Q66,Q66)=1,1,0),0)</f>
        <v>0</v>
      </c>
      <c r="W66" s="41" t="str">
        <f t="shared" si="4"/>
        <v>NA.25.VIII.138-26</v>
      </c>
      <c r="X66" s="41" t="str">
        <f t="shared" si="3"/>
        <v>RI.NV.25.IX.069-3</v>
      </c>
    </row>
    <row r="67" s="32" customFormat="1" hidden="1" customHeight="1" spans="1:24">
      <c r="A67" s="34"/>
      <c r="B67" s="51">
        <v>62</v>
      </c>
      <c r="C67" s="88" t="s">
        <v>237</v>
      </c>
      <c r="D67" s="52" t="s">
        <v>238</v>
      </c>
      <c r="E67" s="53">
        <v>1</v>
      </c>
      <c r="F67" s="54" t="s">
        <v>29</v>
      </c>
      <c r="G67" s="54" t="s">
        <v>30</v>
      </c>
      <c r="H67" s="54" t="s">
        <v>37</v>
      </c>
      <c r="I67" s="66">
        <v>45884</v>
      </c>
      <c r="J67" s="54" t="s">
        <v>32</v>
      </c>
      <c r="K67" s="67">
        <v>25</v>
      </c>
      <c r="L67" s="68" t="s">
        <v>239</v>
      </c>
      <c r="M67" s="74" t="str">
        <f t="shared" si="0"/>
        <v>Open File</v>
      </c>
      <c r="N67" s="70" t="s">
        <v>34</v>
      </c>
      <c r="O67" s="71" t="str">
        <f t="shared" si="5"/>
        <v>ACTIVE</v>
      </c>
      <c r="P67" s="66"/>
      <c r="Q67" s="66"/>
      <c r="R67" s="85"/>
      <c r="S67" s="82"/>
      <c r="T67" s="83" t="str">
        <f t="shared" si="2"/>
        <v/>
      </c>
      <c r="U67" s="10"/>
      <c r="V67" s="41">
        <f>IF(AND(Q67&lt;&gt;"",RIGHT(Q67,3)&lt;&gt;""),IF(COUNTIF($Q$6:Q67,Q67)=1,1,0),0)</f>
        <v>0</v>
      </c>
      <c r="W67" s="41" t="str">
        <f t="shared" si="4"/>
        <v>NA.25.VIII.138-25</v>
      </c>
      <c r="X67" s="41" t="str">
        <f t="shared" si="3"/>
        <v/>
      </c>
    </row>
    <row r="68" s="32" customFormat="1" hidden="1" customHeight="1" spans="1:24">
      <c r="A68" s="34"/>
      <c r="B68" s="51">
        <v>63</v>
      </c>
      <c r="C68" s="51" t="s">
        <v>240</v>
      </c>
      <c r="D68" s="52" t="s">
        <v>241</v>
      </c>
      <c r="E68" s="53">
        <v>1</v>
      </c>
      <c r="F68" s="54" t="s">
        <v>29</v>
      </c>
      <c r="G68" s="54" t="s">
        <v>30</v>
      </c>
      <c r="H68" s="54" t="s">
        <v>37</v>
      </c>
      <c r="I68" s="66">
        <v>45884</v>
      </c>
      <c r="J68" s="54" t="s">
        <v>32</v>
      </c>
      <c r="K68" s="67">
        <v>24</v>
      </c>
      <c r="L68" s="68" t="s">
        <v>242</v>
      </c>
      <c r="M68" s="73" t="str">
        <f t="shared" si="0"/>
        <v>Open File</v>
      </c>
      <c r="N68" s="70" t="s">
        <v>34</v>
      </c>
      <c r="O68" s="71" t="str">
        <f t="shared" ref="O68:O131" si="6">IF(AND(Q68&lt;&gt;"",T68&lt;&gt;""),"PASSIVE",IF(AND(J68&lt;&gt;"",M68&lt;&gt;""),"ACTIVE",""))</f>
        <v>PASSIVE</v>
      </c>
      <c r="P68" s="66">
        <v>46042</v>
      </c>
      <c r="Q68" s="66" t="s">
        <v>243</v>
      </c>
      <c r="R68" s="85">
        <v>1</v>
      </c>
      <c r="S68" s="86" t="s">
        <v>244</v>
      </c>
      <c r="T68" s="87" t="str">
        <f t="shared" si="2"/>
        <v>Open File</v>
      </c>
      <c r="U68" s="10" t="s">
        <v>245</v>
      </c>
      <c r="V68" s="41">
        <f>IF(AND(Q68&lt;&gt;"",RIGHT(Q68,3)&lt;&gt;""),IF(COUNTIF($Q$6:Q68,Q68)=1,1,0),0)</f>
        <v>1</v>
      </c>
      <c r="W68" s="41" t="str">
        <f t="shared" si="4"/>
        <v>NA.25.VIII.138-24</v>
      </c>
      <c r="X68" s="41" t="str">
        <f t="shared" si="3"/>
        <v>RI.NV.26.I.075-1</v>
      </c>
    </row>
    <row r="69" s="32" customFormat="1" hidden="1" customHeight="1" spans="1:24">
      <c r="A69" s="34"/>
      <c r="B69" s="51">
        <v>64</v>
      </c>
      <c r="C69" s="51" t="s">
        <v>246</v>
      </c>
      <c r="D69" s="52" t="s">
        <v>241</v>
      </c>
      <c r="E69" s="53">
        <v>1</v>
      </c>
      <c r="F69" s="54" t="s">
        <v>29</v>
      </c>
      <c r="G69" s="54" t="s">
        <v>30</v>
      </c>
      <c r="H69" s="54" t="s">
        <v>37</v>
      </c>
      <c r="I69" s="66">
        <v>45884</v>
      </c>
      <c r="J69" s="54" t="s">
        <v>32</v>
      </c>
      <c r="K69" s="67">
        <v>23</v>
      </c>
      <c r="L69" s="68" t="s">
        <v>247</v>
      </c>
      <c r="M69" s="73" t="str">
        <f t="shared" si="0"/>
        <v>Open File</v>
      </c>
      <c r="N69" s="70" t="s">
        <v>34</v>
      </c>
      <c r="O69" s="71" t="str">
        <f t="shared" si="6"/>
        <v>PASSIVE</v>
      </c>
      <c r="P69" s="66">
        <v>46181</v>
      </c>
      <c r="Q69" s="66" t="s">
        <v>248</v>
      </c>
      <c r="R69" s="85" t="s">
        <v>249</v>
      </c>
      <c r="S69" s="82" t="s">
        <v>250</v>
      </c>
      <c r="T69" s="83" t="str">
        <f t="shared" si="2"/>
        <v>Open File</v>
      </c>
      <c r="U69" s="10" t="s">
        <v>251</v>
      </c>
      <c r="V69" s="41">
        <f>IF(AND(Q69&lt;&gt;"",RIGHT(Q69,3)&lt;&gt;""),IF(COUNTIF($Q$6:Q69,Q69)=1,1,0),0)</f>
        <v>1</v>
      </c>
      <c r="W69" s="41" t="str">
        <f t="shared" si="4"/>
        <v>NA.25.VIII.138-23</v>
      </c>
      <c r="X69" s="41" t="str">
        <f t="shared" si="3"/>
        <v>RI.NV.26.VI.008-23</v>
      </c>
    </row>
    <row r="70" s="32" customFormat="1" hidden="1" customHeight="1" spans="1:24">
      <c r="A70" s="34"/>
      <c r="B70" s="51">
        <v>65</v>
      </c>
      <c r="C70" s="51" t="s">
        <v>252</v>
      </c>
      <c r="D70" s="52" t="s">
        <v>253</v>
      </c>
      <c r="E70" s="53">
        <v>1</v>
      </c>
      <c r="F70" s="54" t="s">
        <v>29</v>
      </c>
      <c r="G70" s="54" t="s">
        <v>30</v>
      </c>
      <c r="H70" s="54" t="s">
        <v>31</v>
      </c>
      <c r="I70" s="66">
        <v>45884</v>
      </c>
      <c r="J70" s="54" t="s">
        <v>32</v>
      </c>
      <c r="K70" s="67">
        <v>22</v>
      </c>
      <c r="L70" s="68" t="s">
        <v>254</v>
      </c>
      <c r="M70" s="73" t="str">
        <f t="shared" ref="M70:M133" si="7">IF(L70="","",HYPERLINK(_xlfn.CONCAT($L$4,L70,".jpg"),"Open File"))</f>
        <v>Open File</v>
      </c>
      <c r="N70" s="70" t="s">
        <v>34</v>
      </c>
      <c r="O70" s="71" t="str">
        <f t="shared" si="6"/>
        <v>ACTIVE</v>
      </c>
      <c r="P70" s="66"/>
      <c r="Q70" s="66"/>
      <c r="R70" s="85"/>
      <c r="S70" s="82"/>
      <c r="T70" s="83" t="str">
        <f t="shared" ref="T70:T133" si="8">IF(S70="","",HYPERLINK(_xlfn.CONCAT($S$4,S70,".jpg"),"Open File"))</f>
        <v/>
      </c>
      <c r="U70" s="10"/>
      <c r="V70" s="41">
        <f>IF(AND(Q70&lt;&gt;"",RIGHT(Q70,3)&lt;&gt;""),IF(COUNTIF($Q$6:Q70,Q70)=1,1,0),0)</f>
        <v>0</v>
      </c>
      <c r="W70" s="41" t="str">
        <f t="shared" ref="W70:W133" si="9">IF(AND(J70&lt;&gt;"",K70&lt;&gt;""),_xlfn.CONCAT(SUBSTITUTE(J70,"/","."),"-",K70),"")</f>
        <v>NA.25.VIII.138-22</v>
      </c>
      <c r="X70" s="41" t="str">
        <f t="shared" ref="X70:X133" si="10">IF(AND(Q70&lt;&gt;"",R70&lt;&gt;""),_xlfn.CONCAT(SUBSTITUTE(Q70,"/","."),"-",R70),"")</f>
        <v/>
      </c>
    </row>
    <row r="71" s="32" customFormat="1" hidden="1" customHeight="1" spans="1:24">
      <c r="A71" s="34"/>
      <c r="B71" s="51">
        <v>66</v>
      </c>
      <c r="C71" s="51" t="s">
        <v>255</v>
      </c>
      <c r="D71" s="52" t="s">
        <v>256</v>
      </c>
      <c r="E71" s="53">
        <v>1</v>
      </c>
      <c r="F71" s="54" t="s">
        <v>29</v>
      </c>
      <c r="G71" s="54" t="s">
        <v>30</v>
      </c>
      <c r="H71" s="54" t="s">
        <v>31</v>
      </c>
      <c r="I71" s="66">
        <v>45884</v>
      </c>
      <c r="J71" s="54" t="s">
        <v>32</v>
      </c>
      <c r="K71" s="67">
        <v>21</v>
      </c>
      <c r="L71" s="68" t="s">
        <v>257</v>
      </c>
      <c r="M71" s="73" t="str">
        <f t="shared" si="7"/>
        <v>Open File</v>
      </c>
      <c r="N71" s="70" t="s">
        <v>34</v>
      </c>
      <c r="O71" s="71" t="str">
        <f t="shared" si="6"/>
        <v>ACTIVE</v>
      </c>
      <c r="P71" s="66"/>
      <c r="Q71" s="66"/>
      <c r="R71" s="85"/>
      <c r="S71" s="82"/>
      <c r="T71" s="83" t="str">
        <f t="shared" si="8"/>
        <v/>
      </c>
      <c r="U71" s="10"/>
      <c r="V71" s="41">
        <f>IF(AND(Q71&lt;&gt;"",RIGHT(Q71,3)&lt;&gt;""),IF(COUNTIF($Q$6:Q71,Q71)=1,1,0),0)</f>
        <v>0</v>
      </c>
      <c r="W71" s="41" t="str">
        <f t="shared" si="9"/>
        <v>NA.25.VIII.138-21</v>
      </c>
      <c r="X71" s="41" t="str">
        <f t="shared" si="10"/>
        <v/>
      </c>
    </row>
    <row r="72" s="32" customFormat="1" hidden="1" customHeight="1" spans="1:24">
      <c r="A72" s="34"/>
      <c r="B72" s="51">
        <v>67</v>
      </c>
      <c r="C72" s="51" t="s">
        <v>258</v>
      </c>
      <c r="D72" s="52" t="s">
        <v>259</v>
      </c>
      <c r="E72" s="53">
        <v>1</v>
      </c>
      <c r="F72" s="54" t="s">
        <v>29</v>
      </c>
      <c r="G72" s="54" t="s">
        <v>30</v>
      </c>
      <c r="H72" s="54" t="s">
        <v>31</v>
      </c>
      <c r="I72" s="66">
        <v>45884</v>
      </c>
      <c r="J72" s="54" t="s">
        <v>32</v>
      </c>
      <c r="K72" s="67">
        <v>20</v>
      </c>
      <c r="L72" s="68" t="s">
        <v>260</v>
      </c>
      <c r="M72" s="74" t="str">
        <f t="shared" si="7"/>
        <v>Open File</v>
      </c>
      <c r="N72" s="70" t="s">
        <v>34</v>
      </c>
      <c r="O72" s="71" t="str">
        <f t="shared" si="6"/>
        <v>ACTIVE</v>
      </c>
      <c r="P72" s="66"/>
      <c r="Q72" s="66"/>
      <c r="R72" s="85"/>
      <c r="S72" s="82"/>
      <c r="T72" s="83" t="str">
        <f t="shared" si="8"/>
        <v/>
      </c>
      <c r="U72" s="10"/>
      <c r="V72" s="41">
        <f>IF(AND(Q72&lt;&gt;"",RIGHT(Q72,3)&lt;&gt;""),IF(COUNTIF($Q$6:Q72,Q72)=1,1,0),0)</f>
        <v>0</v>
      </c>
      <c r="W72" s="41" t="str">
        <f t="shared" si="9"/>
        <v>NA.25.VIII.138-20</v>
      </c>
      <c r="X72" s="41" t="str">
        <f t="shared" si="10"/>
        <v/>
      </c>
    </row>
    <row r="73" s="32" customFormat="1" hidden="1" customHeight="1" spans="1:24">
      <c r="A73" s="34"/>
      <c r="B73" s="51">
        <v>68</v>
      </c>
      <c r="C73" s="51" t="s">
        <v>261</v>
      </c>
      <c r="D73" s="52" t="s">
        <v>262</v>
      </c>
      <c r="E73" s="53">
        <v>1</v>
      </c>
      <c r="F73" s="54" t="s">
        <v>29</v>
      </c>
      <c r="G73" s="54" t="s">
        <v>30</v>
      </c>
      <c r="H73" s="54" t="s">
        <v>37</v>
      </c>
      <c r="I73" s="66">
        <v>45884</v>
      </c>
      <c r="J73" s="54" t="s">
        <v>32</v>
      </c>
      <c r="K73" s="67">
        <v>19</v>
      </c>
      <c r="L73" s="68" t="s">
        <v>263</v>
      </c>
      <c r="M73" s="73" t="str">
        <f t="shared" si="7"/>
        <v>Open File</v>
      </c>
      <c r="N73" s="70" t="s">
        <v>34</v>
      </c>
      <c r="O73" s="71" t="str">
        <f t="shared" si="6"/>
        <v>ACTIVE</v>
      </c>
      <c r="P73" s="66"/>
      <c r="Q73" s="66"/>
      <c r="R73" s="85"/>
      <c r="S73" s="82"/>
      <c r="T73" s="83" t="str">
        <f t="shared" si="8"/>
        <v/>
      </c>
      <c r="U73" s="10"/>
      <c r="V73" s="41">
        <f>IF(AND(Q73&lt;&gt;"",RIGHT(Q73,3)&lt;&gt;""),IF(COUNTIF($Q$6:Q73,Q73)=1,1,0),0)</f>
        <v>0</v>
      </c>
      <c r="W73" s="41" t="str">
        <f t="shared" si="9"/>
        <v>NA.25.VIII.138-19</v>
      </c>
      <c r="X73" s="41" t="str">
        <f t="shared" si="10"/>
        <v/>
      </c>
    </row>
    <row r="74" s="32" customFormat="1" hidden="1" customHeight="1" spans="1:24">
      <c r="A74" s="34"/>
      <c r="B74" s="51">
        <v>69</v>
      </c>
      <c r="C74" s="51" t="s">
        <v>264</v>
      </c>
      <c r="D74" s="52" t="s">
        <v>262</v>
      </c>
      <c r="E74" s="53">
        <v>1</v>
      </c>
      <c r="F74" s="54" t="s">
        <v>29</v>
      </c>
      <c r="G74" s="54" t="s">
        <v>30</v>
      </c>
      <c r="H74" s="54" t="s">
        <v>31</v>
      </c>
      <c r="I74" s="66">
        <v>45884</v>
      </c>
      <c r="J74" s="54" t="s">
        <v>32</v>
      </c>
      <c r="K74" s="67">
        <v>19</v>
      </c>
      <c r="L74" s="68" t="s">
        <v>263</v>
      </c>
      <c r="M74" s="73" t="str">
        <f t="shared" si="7"/>
        <v>Open File</v>
      </c>
      <c r="N74" s="70" t="s">
        <v>34</v>
      </c>
      <c r="O74" s="71" t="str">
        <f t="shared" si="6"/>
        <v>ACTIVE</v>
      </c>
      <c r="P74" s="66"/>
      <c r="Q74" s="66"/>
      <c r="R74" s="85"/>
      <c r="S74" s="82"/>
      <c r="T74" s="83" t="str">
        <f t="shared" si="8"/>
        <v/>
      </c>
      <c r="U74" s="10"/>
      <c r="V74" s="41">
        <f>IF(AND(Q74&lt;&gt;"",RIGHT(Q74,3)&lt;&gt;""),IF(COUNTIF($Q$6:Q74,Q74)=1,1,0),0)</f>
        <v>0</v>
      </c>
      <c r="W74" s="41" t="str">
        <f t="shared" si="9"/>
        <v>NA.25.VIII.138-19</v>
      </c>
      <c r="X74" s="41" t="str">
        <f t="shared" si="10"/>
        <v/>
      </c>
    </row>
    <row r="75" s="32" customFormat="1" hidden="1" customHeight="1" spans="1:24">
      <c r="A75" s="34"/>
      <c r="B75" s="51">
        <v>70</v>
      </c>
      <c r="C75" s="51" t="s">
        <v>265</v>
      </c>
      <c r="D75" s="52" t="s">
        <v>266</v>
      </c>
      <c r="E75" s="53">
        <v>1</v>
      </c>
      <c r="F75" s="54" t="s">
        <v>29</v>
      </c>
      <c r="G75" s="54" t="s">
        <v>30</v>
      </c>
      <c r="H75" s="54" t="s">
        <v>31</v>
      </c>
      <c r="I75" s="66">
        <v>45884</v>
      </c>
      <c r="J75" s="54" t="s">
        <v>32</v>
      </c>
      <c r="K75" s="67">
        <v>18</v>
      </c>
      <c r="L75" s="68" t="s">
        <v>267</v>
      </c>
      <c r="M75" s="74" t="str">
        <f t="shared" si="7"/>
        <v>Open File</v>
      </c>
      <c r="N75" s="70" t="s">
        <v>34</v>
      </c>
      <c r="O75" s="71" t="str">
        <f t="shared" si="6"/>
        <v>ACTIVE</v>
      </c>
      <c r="P75" s="66"/>
      <c r="Q75" s="66"/>
      <c r="R75" s="85"/>
      <c r="S75" s="82"/>
      <c r="T75" s="83" t="str">
        <f t="shared" si="8"/>
        <v/>
      </c>
      <c r="U75" s="10"/>
      <c r="V75" s="41">
        <f>IF(AND(Q75&lt;&gt;"",RIGHT(Q75,3)&lt;&gt;""),IF(COUNTIF($Q$6:Q75,Q75)=1,1,0),0)</f>
        <v>0</v>
      </c>
      <c r="W75" s="41" t="str">
        <f t="shared" si="9"/>
        <v>NA.25.VIII.138-18</v>
      </c>
      <c r="X75" s="41" t="str">
        <f t="shared" si="10"/>
        <v/>
      </c>
    </row>
    <row r="76" s="32" customFormat="1" hidden="1" customHeight="1" spans="1:24">
      <c r="A76" s="34"/>
      <c r="B76" s="51">
        <v>71</v>
      </c>
      <c r="C76" s="51" t="s">
        <v>268</v>
      </c>
      <c r="D76" s="52" t="s">
        <v>269</v>
      </c>
      <c r="E76" s="53">
        <v>1</v>
      </c>
      <c r="F76" s="54" t="s">
        <v>29</v>
      </c>
      <c r="G76" s="54" t="s">
        <v>30</v>
      </c>
      <c r="H76" s="54" t="s">
        <v>37</v>
      </c>
      <c r="I76" s="66">
        <v>45884</v>
      </c>
      <c r="J76" s="54" t="s">
        <v>32</v>
      </c>
      <c r="K76" s="67">
        <v>17</v>
      </c>
      <c r="L76" s="68" t="s">
        <v>270</v>
      </c>
      <c r="M76" s="74" t="str">
        <f t="shared" si="7"/>
        <v>Open File</v>
      </c>
      <c r="N76" s="70" t="s">
        <v>34</v>
      </c>
      <c r="O76" s="71" t="str">
        <f t="shared" si="6"/>
        <v>ACTIVE</v>
      </c>
      <c r="P76" s="66"/>
      <c r="Q76" s="66"/>
      <c r="R76" s="85"/>
      <c r="S76" s="82"/>
      <c r="T76" s="83" t="str">
        <f t="shared" si="8"/>
        <v/>
      </c>
      <c r="U76" s="10"/>
      <c r="V76" s="41">
        <f>IF(AND(Q76&lt;&gt;"",RIGHT(Q76,3)&lt;&gt;""),IF(COUNTIF($Q$6:Q76,Q76)=1,1,0),0)</f>
        <v>0</v>
      </c>
      <c r="W76" s="41" t="str">
        <f t="shared" si="9"/>
        <v>NA.25.VIII.138-17</v>
      </c>
      <c r="X76" s="41" t="str">
        <f t="shared" si="10"/>
        <v/>
      </c>
    </row>
    <row r="77" s="32" customFormat="1" hidden="1" customHeight="1" spans="1:24">
      <c r="A77" s="34"/>
      <c r="B77" s="51">
        <v>72</v>
      </c>
      <c r="C77" s="51" t="s">
        <v>271</v>
      </c>
      <c r="D77" s="52" t="s">
        <v>269</v>
      </c>
      <c r="E77" s="53">
        <v>1</v>
      </c>
      <c r="F77" s="54" t="s">
        <v>29</v>
      </c>
      <c r="G77" s="54" t="s">
        <v>30</v>
      </c>
      <c r="H77" s="54" t="s">
        <v>37</v>
      </c>
      <c r="I77" s="66">
        <v>45884</v>
      </c>
      <c r="J77" s="54" t="s">
        <v>32</v>
      </c>
      <c r="K77" s="67">
        <v>16</v>
      </c>
      <c r="L77" s="68" t="s">
        <v>272</v>
      </c>
      <c r="M77" s="74" t="str">
        <f t="shared" si="7"/>
        <v>Open File</v>
      </c>
      <c r="N77" s="70" t="s">
        <v>34</v>
      </c>
      <c r="O77" s="71" t="str">
        <f t="shared" si="6"/>
        <v>ACTIVE</v>
      </c>
      <c r="P77" s="66"/>
      <c r="Q77" s="66"/>
      <c r="R77" s="85"/>
      <c r="S77" s="82"/>
      <c r="T77" s="83" t="str">
        <f t="shared" si="8"/>
        <v/>
      </c>
      <c r="U77" s="10"/>
      <c r="V77" s="41">
        <f>IF(AND(Q77&lt;&gt;"",RIGHT(Q77,3)&lt;&gt;""),IF(COUNTIF($Q$6:Q77,Q77)=1,1,0),0)</f>
        <v>0</v>
      </c>
      <c r="W77" s="41" t="str">
        <f t="shared" si="9"/>
        <v>NA.25.VIII.138-16</v>
      </c>
      <c r="X77" s="41" t="str">
        <f t="shared" si="10"/>
        <v/>
      </c>
    </row>
    <row r="78" s="32" customFormat="1" hidden="1" customHeight="1" spans="1:24">
      <c r="A78" s="34"/>
      <c r="B78" s="51">
        <v>73</v>
      </c>
      <c r="C78" s="51" t="s">
        <v>273</v>
      </c>
      <c r="D78" s="52" t="s">
        <v>269</v>
      </c>
      <c r="E78" s="53">
        <v>1</v>
      </c>
      <c r="F78" s="54" t="s">
        <v>29</v>
      </c>
      <c r="G78" s="54" t="s">
        <v>30</v>
      </c>
      <c r="H78" s="54" t="s">
        <v>37</v>
      </c>
      <c r="I78" s="66">
        <v>45884</v>
      </c>
      <c r="J78" s="54" t="s">
        <v>32</v>
      </c>
      <c r="K78" s="67">
        <v>15</v>
      </c>
      <c r="L78" s="68" t="s">
        <v>274</v>
      </c>
      <c r="M78" s="74" t="str">
        <f t="shared" si="7"/>
        <v>Open File</v>
      </c>
      <c r="N78" s="70" t="s">
        <v>34</v>
      </c>
      <c r="O78" s="71" t="str">
        <f t="shared" si="6"/>
        <v>ACTIVE</v>
      </c>
      <c r="P78" s="66"/>
      <c r="Q78" s="66"/>
      <c r="R78" s="85"/>
      <c r="S78" s="82"/>
      <c r="T78" s="83" t="str">
        <f t="shared" si="8"/>
        <v/>
      </c>
      <c r="U78" s="10"/>
      <c r="V78" s="41">
        <f>IF(AND(Q78&lt;&gt;"",RIGHT(Q78,3)&lt;&gt;""),IF(COUNTIF($Q$6:Q78,Q78)=1,1,0),0)</f>
        <v>0</v>
      </c>
      <c r="W78" s="41" t="str">
        <f t="shared" si="9"/>
        <v>NA.25.VIII.138-15</v>
      </c>
      <c r="X78" s="41" t="str">
        <f t="shared" si="10"/>
        <v/>
      </c>
    </row>
    <row r="79" s="32" customFormat="1" hidden="1" customHeight="1" spans="1:24">
      <c r="A79" s="34"/>
      <c r="B79" s="51">
        <v>74</v>
      </c>
      <c r="C79" s="51" t="s">
        <v>275</v>
      </c>
      <c r="D79" s="52" t="s">
        <v>269</v>
      </c>
      <c r="E79" s="53">
        <v>1</v>
      </c>
      <c r="F79" s="54" t="s">
        <v>29</v>
      </c>
      <c r="G79" s="54" t="s">
        <v>30</v>
      </c>
      <c r="H79" s="54" t="s">
        <v>31</v>
      </c>
      <c r="I79" s="66">
        <v>45884</v>
      </c>
      <c r="J79" s="54" t="s">
        <v>32</v>
      </c>
      <c r="K79" s="67">
        <v>14</v>
      </c>
      <c r="L79" s="68" t="s">
        <v>276</v>
      </c>
      <c r="M79" s="74" t="str">
        <f t="shared" si="7"/>
        <v>Open File</v>
      </c>
      <c r="N79" s="70" t="s">
        <v>34</v>
      </c>
      <c r="O79" s="71" t="str">
        <f t="shared" si="6"/>
        <v>ACTIVE</v>
      </c>
      <c r="P79" s="66"/>
      <c r="Q79" s="66"/>
      <c r="R79" s="85"/>
      <c r="S79" s="82"/>
      <c r="T79" s="83" t="str">
        <f t="shared" si="8"/>
        <v/>
      </c>
      <c r="U79" s="10"/>
      <c r="V79" s="41">
        <f>IF(AND(Q79&lt;&gt;"",RIGHT(Q79,3)&lt;&gt;""),IF(COUNTIF($Q$6:Q79,Q79)=1,1,0),0)</f>
        <v>0</v>
      </c>
      <c r="W79" s="41" t="str">
        <f t="shared" si="9"/>
        <v>NA.25.VIII.138-14</v>
      </c>
      <c r="X79" s="41" t="str">
        <f t="shared" si="10"/>
        <v/>
      </c>
    </row>
    <row r="80" s="32" customFormat="1" hidden="1" customHeight="1" spans="1:24">
      <c r="A80" s="34"/>
      <c r="B80" s="51">
        <v>75</v>
      </c>
      <c r="C80" s="51" t="s">
        <v>277</v>
      </c>
      <c r="D80" s="52" t="s">
        <v>269</v>
      </c>
      <c r="E80" s="53">
        <v>1</v>
      </c>
      <c r="F80" s="54" t="s">
        <v>29</v>
      </c>
      <c r="G80" s="54" t="s">
        <v>30</v>
      </c>
      <c r="H80" s="54" t="s">
        <v>31</v>
      </c>
      <c r="I80" s="66">
        <v>45884</v>
      </c>
      <c r="J80" s="54" t="s">
        <v>32</v>
      </c>
      <c r="K80" s="67">
        <v>13</v>
      </c>
      <c r="L80" s="68" t="s">
        <v>278</v>
      </c>
      <c r="M80" s="74" t="str">
        <f t="shared" si="7"/>
        <v>Open File</v>
      </c>
      <c r="N80" s="70" t="s">
        <v>34</v>
      </c>
      <c r="O80" s="71" t="str">
        <f t="shared" si="6"/>
        <v>ACTIVE</v>
      </c>
      <c r="P80" s="66"/>
      <c r="Q80" s="66"/>
      <c r="R80" s="85"/>
      <c r="S80" s="82"/>
      <c r="T80" s="83" t="str">
        <f t="shared" si="8"/>
        <v/>
      </c>
      <c r="U80" s="10"/>
      <c r="V80" s="41">
        <f>IF(AND(Q80&lt;&gt;"",RIGHT(Q80,3)&lt;&gt;""),IF(COUNTIF($Q$6:Q80,Q80)=1,1,0),0)</f>
        <v>0</v>
      </c>
      <c r="W80" s="41" t="str">
        <f t="shared" si="9"/>
        <v>NA.25.VIII.138-13</v>
      </c>
      <c r="X80" s="41" t="str">
        <f t="shared" si="10"/>
        <v/>
      </c>
    </row>
    <row r="81" s="32" customFormat="1" hidden="1" customHeight="1" spans="1:24">
      <c r="A81" s="34"/>
      <c r="B81" s="51">
        <v>76</v>
      </c>
      <c r="C81" s="51" t="s">
        <v>279</v>
      </c>
      <c r="D81" s="52" t="s">
        <v>280</v>
      </c>
      <c r="E81" s="53">
        <v>1</v>
      </c>
      <c r="F81" s="54" t="s">
        <v>29</v>
      </c>
      <c r="G81" s="54" t="s">
        <v>30</v>
      </c>
      <c r="H81" s="54" t="s">
        <v>31</v>
      </c>
      <c r="I81" s="66">
        <v>45884</v>
      </c>
      <c r="J81" s="54" t="s">
        <v>32</v>
      </c>
      <c r="K81" s="67">
        <v>12</v>
      </c>
      <c r="L81" s="68" t="s">
        <v>281</v>
      </c>
      <c r="M81" s="74" t="str">
        <f t="shared" si="7"/>
        <v>Open File</v>
      </c>
      <c r="N81" s="70" t="s">
        <v>34</v>
      </c>
      <c r="O81" s="71" t="str">
        <f t="shared" si="6"/>
        <v>ACTIVE</v>
      </c>
      <c r="P81" s="66"/>
      <c r="Q81" s="66"/>
      <c r="R81" s="85"/>
      <c r="S81" s="82"/>
      <c r="T81" s="83" t="str">
        <f t="shared" si="8"/>
        <v/>
      </c>
      <c r="U81" s="10"/>
      <c r="V81" s="41">
        <f>IF(AND(Q81&lt;&gt;"",RIGHT(Q81,3)&lt;&gt;""),IF(COUNTIF($Q$6:Q81,Q81)=1,1,0),0)</f>
        <v>0</v>
      </c>
      <c r="W81" s="41" t="str">
        <f t="shared" si="9"/>
        <v>NA.25.VIII.138-12</v>
      </c>
      <c r="X81" s="41" t="str">
        <f t="shared" si="10"/>
        <v/>
      </c>
    </row>
    <row r="82" s="32" customFormat="1" hidden="1" customHeight="1" spans="1:24">
      <c r="A82" s="34"/>
      <c r="B82" s="51">
        <v>77</v>
      </c>
      <c r="C82" s="51" t="s">
        <v>282</v>
      </c>
      <c r="D82" s="52" t="s">
        <v>283</v>
      </c>
      <c r="E82" s="53">
        <v>1</v>
      </c>
      <c r="F82" s="54" t="s">
        <v>29</v>
      </c>
      <c r="G82" s="54" t="s">
        <v>30</v>
      </c>
      <c r="H82" s="54" t="s">
        <v>37</v>
      </c>
      <c r="I82" s="66">
        <v>45884</v>
      </c>
      <c r="J82" s="54" t="s">
        <v>32</v>
      </c>
      <c r="K82" s="67">
        <v>11</v>
      </c>
      <c r="L82" s="68" t="s">
        <v>284</v>
      </c>
      <c r="M82" s="74" t="str">
        <f t="shared" si="7"/>
        <v>Open File</v>
      </c>
      <c r="N82" s="70" t="s">
        <v>34</v>
      </c>
      <c r="O82" s="71" t="str">
        <f t="shared" si="6"/>
        <v>ACTIVE</v>
      </c>
      <c r="P82" s="66"/>
      <c r="Q82" s="66"/>
      <c r="R82" s="85"/>
      <c r="S82" s="82"/>
      <c r="T82" s="83" t="str">
        <f t="shared" si="8"/>
        <v/>
      </c>
      <c r="U82" s="10"/>
      <c r="V82" s="41">
        <f>IF(AND(Q82&lt;&gt;"",RIGHT(Q82,3)&lt;&gt;""),IF(COUNTIF($Q$6:Q82,Q82)=1,1,0),0)</f>
        <v>0</v>
      </c>
      <c r="W82" s="41" t="str">
        <f t="shared" si="9"/>
        <v>NA.25.VIII.138-11</v>
      </c>
      <c r="X82" s="41" t="str">
        <f t="shared" si="10"/>
        <v/>
      </c>
    </row>
    <row r="83" s="32" customFormat="1" hidden="1" customHeight="1" spans="1:24">
      <c r="A83" s="34"/>
      <c r="B83" s="51">
        <v>78</v>
      </c>
      <c r="C83" s="51" t="s">
        <v>285</v>
      </c>
      <c r="D83" s="52" t="s">
        <v>286</v>
      </c>
      <c r="E83" s="53">
        <v>1</v>
      </c>
      <c r="F83" s="54" t="s">
        <v>29</v>
      </c>
      <c r="G83" s="54" t="s">
        <v>30</v>
      </c>
      <c r="H83" s="54" t="s">
        <v>37</v>
      </c>
      <c r="I83" s="66">
        <v>45884</v>
      </c>
      <c r="J83" s="54" t="s">
        <v>32</v>
      </c>
      <c r="K83" s="67">
        <v>10</v>
      </c>
      <c r="L83" s="68" t="s">
        <v>287</v>
      </c>
      <c r="M83" s="73" t="str">
        <f t="shared" si="7"/>
        <v>Open File</v>
      </c>
      <c r="N83" s="70" t="s">
        <v>34</v>
      </c>
      <c r="O83" s="71" t="str">
        <f t="shared" si="6"/>
        <v>ACTIVE</v>
      </c>
      <c r="P83" s="66"/>
      <c r="Q83" s="66"/>
      <c r="R83" s="85"/>
      <c r="S83" s="82"/>
      <c r="T83" s="83" t="str">
        <f t="shared" si="8"/>
        <v/>
      </c>
      <c r="U83" s="10"/>
      <c r="V83" s="41">
        <f>IF(AND(Q83&lt;&gt;"",RIGHT(Q83,3)&lt;&gt;""),IF(COUNTIF($Q$6:Q83,Q83)=1,1,0),0)</f>
        <v>0</v>
      </c>
      <c r="W83" s="41" t="str">
        <f t="shared" si="9"/>
        <v>NA.25.VIII.138-10</v>
      </c>
      <c r="X83" s="41" t="str">
        <f t="shared" si="10"/>
        <v/>
      </c>
    </row>
    <row r="84" s="32" customFormat="1" hidden="1" customHeight="1" spans="1:24">
      <c r="A84" s="34"/>
      <c r="B84" s="51">
        <v>79</v>
      </c>
      <c r="C84" s="51" t="s">
        <v>288</v>
      </c>
      <c r="D84" s="52" t="s">
        <v>286</v>
      </c>
      <c r="E84" s="53">
        <v>1</v>
      </c>
      <c r="F84" s="54" t="s">
        <v>29</v>
      </c>
      <c r="G84" s="54" t="s">
        <v>30</v>
      </c>
      <c r="H84" s="54" t="s">
        <v>37</v>
      </c>
      <c r="I84" s="66">
        <v>45884</v>
      </c>
      <c r="J84" s="54" t="s">
        <v>32</v>
      </c>
      <c r="K84" s="67">
        <v>9</v>
      </c>
      <c r="L84" s="68" t="s">
        <v>289</v>
      </c>
      <c r="M84" s="73" t="str">
        <f t="shared" si="7"/>
        <v>Open File</v>
      </c>
      <c r="N84" s="70" t="s">
        <v>34</v>
      </c>
      <c r="O84" s="71" t="str">
        <f t="shared" si="6"/>
        <v>ACTIVE</v>
      </c>
      <c r="P84" s="66"/>
      <c r="Q84" s="66"/>
      <c r="R84" s="85"/>
      <c r="S84" s="82"/>
      <c r="T84" s="83" t="str">
        <f t="shared" si="8"/>
        <v/>
      </c>
      <c r="U84" s="10"/>
      <c r="V84" s="41">
        <f>IF(AND(Q84&lt;&gt;"",RIGHT(Q84,3)&lt;&gt;""),IF(COUNTIF($Q$6:Q84,Q84)=1,1,0),0)</f>
        <v>0</v>
      </c>
      <c r="W84" s="41" t="str">
        <f t="shared" si="9"/>
        <v>NA.25.VIII.138-9</v>
      </c>
      <c r="X84" s="41" t="str">
        <f t="shared" si="10"/>
        <v/>
      </c>
    </row>
    <row r="85" s="32" customFormat="1" hidden="1" customHeight="1" spans="1:24">
      <c r="A85" s="34"/>
      <c r="B85" s="51">
        <v>80</v>
      </c>
      <c r="C85" s="51" t="s">
        <v>290</v>
      </c>
      <c r="D85" s="52" t="s">
        <v>291</v>
      </c>
      <c r="E85" s="53">
        <v>1</v>
      </c>
      <c r="F85" s="54" t="s">
        <v>66</v>
      </c>
      <c r="G85" s="54" t="s">
        <v>30</v>
      </c>
      <c r="H85" s="54" t="s">
        <v>37</v>
      </c>
      <c r="I85" s="66">
        <v>45884</v>
      </c>
      <c r="J85" s="54" t="s">
        <v>32</v>
      </c>
      <c r="K85" s="67">
        <v>8</v>
      </c>
      <c r="L85" s="68" t="s">
        <v>292</v>
      </c>
      <c r="M85" s="74" t="str">
        <f t="shared" si="7"/>
        <v>Open File</v>
      </c>
      <c r="N85" s="70" t="s">
        <v>34</v>
      </c>
      <c r="O85" s="71" t="str">
        <f t="shared" si="6"/>
        <v>PASSIVE</v>
      </c>
      <c r="P85" s="66">
        <v>45912</v>
      </c>
      <c r="Q85" s="66" t="s">
        <v>71</v>
      </c>
      <c r="R85" s="85">
        <v>2</v>
      </c>
      <c r="S85" s="86" t="s">
        <v>293</v>
      </c>
      <c r="T85" s="87" t="str">
        <f t="shared" si="8"/>
        <v>Open File</v>
      </c>
      <c r="U85" s="10" t="s">
        <v>73</v>
      </c>
      <c r="V85" s="41">
        <f>IF(AND(Q85&lt;&gt;"",RIGHT(Q85,3)&lt;&gt;""),IF(COUNTIF($Q$6:Q85,Q85)=1,1,0),0)</f>
        <v>0</v>
      </c>
      <c r="W85" s="41" t="str">
        <f t="shared" si="9"/>
        <v>NA.25.VIII.138-8</v>
      </c>
      <c r="X85" s="41" t="str">
        <f t="shared" si="10"/>
        <v>RI.NV.25.IX.069-2</v>
      </c>
    </row>
    <row r="86" s="32" customFormat="1" hidden="1" customHeight="1" spans="1:24">
      <c r="A86" s="34"/>
      <c r="B86" s="51">
        <v>81</v>
      </c>
      <c r="C86" s="51" t="s">
        <v>294</v>
      </c>
      <c r="D86" s="52" t="s">
        <v>295</v>
      </c>
      <c r="E86" s="53">
        <v>1</v>
      </c>
      <c r="F86" s="54" t="s">
        <v>66</v>
      </c>
      <c r="G86" s="54" t="s">
        <v>30</v>
      </c>
      <c r="H86" s="54" t="s">
        <v>37</v>
      </c>
      <c r="I86" s="66">
        <v>45884</v>
      </c>
      <c r="J86" s="54" t="s">
        <v>32</v>
      </c>
      <c r="K86" s="67">
        <v>7</v>
      </c>
      <c r="L86" s="68" t="s">
        <v>296</v>
      </c>
      <c r="M86" s="74" t="str">
        <f t="shared" si="7"/>
        <v>Open File</v>
      </c>
      <c r="N86" s="70" t="s">
        <v>34</v>
      </c>
      <c r="O86" s="71" t="str">
        <f t="shared" si="6"/>
        <v>ACTIVE</v>
      </c>
      <c r="P86" s="66"/>
      <c r="Q86" s="66"/>
      <c r="R86" s="85"/>
      <c r="S86" s="82"/>
      <c r="T86" s="83" t="str">
        <f t="shared" si="8"/>
        <v/>
      </c>
      <c r="U86" s="10"/>
      <c r="V86" s="41">
        <f>IF(AND(Q86&lt;&gt;"",RIGHT(Q86,3)&lt;&gt;""),IF(COUNTIF($Q$6:Q86,Q86)=1,1,0),0)</f>
        <v>0</v>
      </c>
      <c r="W86" s="41" t="str">
        <f t="shared" si="9"/>
        <v>NA.25.VIII.138-7</v>
      </c>
      <c r="X86" s="41" t="str">
        <f t="shared" si="10"/>
        <v/>
      </c>
    </row>
    <row r="87" s="32" customFormat="1" hidden="1" customHeight="1" spans="1:24">
      <c r="A87" s="34"/>
      <c r="B87" s="51">
        <v>82</v>
      </c>
      <c r="C87" s="51" t="s">
        <v>297</v>
      </c>
      <c r="D87" s="52" t="s">
        <v>298</v>
      </c>
      <c r="E87" s="53">
        <v>1</v>
      </c>
      <c r="F87" s="54" t="s">
        <v>66</v>
      </c>
      <c r="G87" s="54" t="s">
        <v>30</v>
      </c>
      <c r="H87" s="54" t="s">
        <v>37</v>
      </c>
      <c r="I87" s="66">
        <v>45884</v>
      </c>
      <c r="J87" s="54" t="s">
        <v>32</v>
      </c>
      <c r="K87" s="67">
        <v>6</v>
      </c>
      <c r="L87" s="68" t="s">
        <v>299</v>
      </c>
      <c r="M87" s="74" t="str">
        <f t="shared" si="7"/>
        <v>Open File</v>
      </c>
      <c r="N87" s="70" t="s">
        <v>34</v>
      </c>
      <c r="O87" s="71" t="str">
        <f t="shared" si="6"/>
        <v>PASSIVE</v>
      </c>
      <c r="P87" s="66">
        <v>45912</v>
      </c>
      <c r="Q87" s="66" t="s">
        <v>71</v>
      </c>
      <c r="R87" s="85">
        <v>1</v>
      </c>
      <c r="S87" s="86" t="s">
        <v>300</v>
      </c>
      <c r="T87" s="87" t="str">
        <f t="shared" si="8"/>
        <v>Open File</v>
      </c>
      <c r="U87" s="10" t="s">
        <v>73</v>
      </c>
      <c r="V87" s="41">
        <f>IF(AND(Q87&lt;&gt;"",RIGHT(Q87,3)&lt;&gt;""),IF(COUNTIF($Q$6:Q87,Q87)=1,1,0),0)</f>
        <v>0</v>
      </c>
      <c r="W87" s="41" t="str">
        <f t="shared" si="9"/>
        <v>NA.25.VIII.138-6</v>
      </c>
      <c r="X87" s="41" t="str">
        <f t="shared" si="10"/>
        <v>RI.NV.25.IX.069-1</v>
      </c>
    </row>
    <row r="88" s="32" customFormat="1" hidden="1" customHeight="1" spans="1:24">
      <c r="A88" s="34"/>
      <c r="B88" s="51">
        <v>83</v>
      </c>
      <c r="C88" s="51" t="s">
        <v>301</v>
      </c>
      <c r="D88" s="52" t="s">
        <v>302</v>
      </c>
      <c r="E88" s="53">
        <v>1</v>
      </c>
      <c r="F88" s="54" t="s">
        <v>29</v>
      </c>
      <c r="G88" s="54" t="s">
        <v>30</v>
      </c>
      <c r="H88" s="54" t="s">
        <v>37</v>
      </c>
      <c r="I88" s="66">
        <v>45884</v>
      </c>
      <c r="J88" s="54" t="s">
        <v>32</v>
      </c>
      <c r="K88" s="67">
        <v>5</v>
      </c>
      <c r="L88" s="68" t="s">
        <v>303</v>
      </c>
      <c r="M88" s="74" t="str">
        <f t="shared" si="7"/>
        <v>Open File</v>
      </c>
      <c r="N88" s="70" t="s">
        <v>34</v>
      </c>
      <c r="O88" s="71" t="str">
        <f t="shared" si="6"/>
        <v>ACTIVE</v>
      </c>
      <c r="P88" s="66"/>
      <c r="Q88" s="66"/>
      <c r="R88" s="85"/>
      <c r="S88" s="82"/>
      <c r="T88" s="83" t="str">
        <f t="shared" si="8"/>
        <v/>
      </c>
      <c r="U88" s="10"/>
      <c r="V88" s="41">
        <f>IF(AND(Q88&lt;&gt;"",RIGHT(Q88,3)&lt;&gt;""),IF(COUNTIF($Q$6:Q88,Q88)=1,1,0),0)</f>
        <v>0</v>
      </c>
      <c r="W88" s="41" t="str">
        <f t="shared" si="9"/>
        <v>NA.25.VIII.138-5</v>
      </c>
      <c r="X88" s="41" t="str">
        <f t="shared" si="10"/>
        <v/>
      </c>
    </row>
    <row r="89" s="32" customFormat="1" hidden="1" customHeight="1" spans="1:24">
      <c r="A89" s="34"/>
      <c r="B89" s="51">
        <v>84</v>
      </c>
      <c r="C89" s="51" t="s">
        <v>304</v>
      </c>
      <c r="D89" s="52" t="s">
        <v>305</v>
      </c>
      <c r="E89" s="53">
        <v>1</v>
      </c>
      <c r="F89" s="54" t="s">
        <v>29</v>
      </c>
      <c r="G89" s="54" t="s">
        <v>30</v>
      </c>
      <c r="H89" s="54" t="s">
        <v>37</v>
      </c>
      <c r="I89" s="66">
        <v>45884</v>
      </c>
      <c r="J89" s="54" t="s">
        <v>32</v>
      </c>
      <c r="K89" s="67">
        <v>4</v>
      </c>
      <c r="L89" s="68" t="s">
        <v>306</v>
      </c>
      <c r="M89" s="74" t="str">
        <f t="shared" si="7"/>
        <v>Open File</v>
      </c>
      <c r="N89" s="70" t="s">
        <v>34</v>
      </c>
      <c r="O89" s="71" t="str">
        <f t="shared" si="6"/>
        <v>PASSIVE</v>
      </c>
      <c r="P89" s="66">
        <v>45979</v>
      </c>
      <c r="Q89" s="66" t="s">
        <v>307</v>
      </c>
      <c r="R89" s="85">
        <v>2</v>
      </c>
      <c r="S89" s="86" t="s">
        <v>308</v>
      </c>
      <c r="T89" s="87" t="str">
        <f t="shared" si="8"/>
        <v>Open File</v>
      </c>
      <c r="U89" s="10" t="s">
        <v>309</v>
      </c>
      <c r="V89" s="41">
        <f>IF(AND(Q89&lt;&gt;"",RIGHT(Q89,3)&lt;&gt;""),IF(COUNTIF($Q$6:Q89,Q89)=1,1,0),0)</f>
        <v>1</v>
      </c>
      <c r="W89" s="41" t="str">
        <f t="shared" si="9"/>
        <v>NA.25.VIII.138-4</v>
      </c>
      <c r="X89" s="41" t="str">
        <f t="shared" si="10"/>
        <v>RI.NV.25.XI.061-2</v>
      </c>
    </row>
    <row r="90" s="32" customFormat="1" hidden="1" customHeight="1" spans="1:24">
      <c r="A90" s="34"/>
      <c r="B90" s="51">
        <v>85</v>
      </c>
      <c r="C90" s="51" t="s">
        <v>310</v>
      </c>
      <c r="D90" s="52" t="s">
        <v>311</v>
      </c>
      <c r="E90" s="53">
        <v>1</v>
      </c>
      <c r="F90" s="54" t="s">
        <v>29</v>
      </c>
      <c r="G90" s="54" t="s">
        <v>30</v>
      </c>
      <c r="H90" s="54" t="s">
        <v>37</v>
      </c>
      <c r="I90" s="66">
        <v>45884</v>
      </c>
      <c r="J90" s="54" t="s">
        <v>32</v>
      </c>
      <c r="K90" s="67">
        <v>3</v>
      </c>
      <c r="L90" s="68" t="s">
        <v>312</v>
      </c>
      <c r="M90" s="74" t="str">
        <f t="shared" si="7"/>
        <v>Open File</v>
      </c>
      <c r="N90" s="70" t="s">
        <v>34</v>
      </c>
      <c r="O90" s="71" t="str">
        <f t="shared" si="6"/>
        <v>PASSIVE</v>
      </c>
      <c r="P90" s="66">
        <v>45979</v>
      </c>
      <c r="Q90" s="66" t="s">
        <v>307</v>
      </c>
      <c r="R90" s="85">
        <v>1</v>
      </c>
      <c r="S90" s="86" t="s">
        <v>313</v>
      </c>
      <c r="T90" s="87" t="str">
        <f t="shared" si="8"/>
        <v>Open File</v>
      </c>
      <c r="U90" s="10" t="s">
        <v>309</v>
      </c>
      <c r="V90" s="41">
        <f>IF(AND(Q90&lt;&gt;"",RIGHT(Q90,3)&lt;&gt;""),IF(COUNTIF($Q$6:Q90,Q90)=1,1,0),0)</f>
        <v>0</v>
      </c>
      <c r="W90" s="41" t="str">
        <f t="shared" si="9"/>
        <v>NA.25.VIII.138-3</v>
      </c>
      <c r="X90" s="41" t="str">
        <f t="shared" si="10"/>
        <v>RI.NV.25.XI.061-1</v>
      </c>
    </row>
    <row r="91" s="32" customFormat="1" hidden="1" customHeight="1" spans="1:24">
      <c r="A91" s="34"/>
      <c r="B91" s="51">
        <v>86</v>
      </c>
      <c r="C91" s="51" t="s">
        <v>314</v>
      </c>
      <c r="D91" s="52" t="s">
        <v>311</v>
      </c>
      <c r="E91" s="53">
        <v>1</v>
      </c>
      <c r="F91" s="54" t="s">
        <v>29</v>
      </c>
      <c r="G91" s="54" t="s">
        <v>30</v>
      </c>
      <c r="H91" s="54" t="s">
        <v>37</v>
      </c>
      <c r="I91" s="66">
        <v>45884</v>
      </c>
      <c r="J91" s="54" t="s">
        <v>32</v>
      </c>
      <c r="K91" s="67">
        <v>2</v>
      </c>
      <c r="L91" s="68" t="s">
        <v>315</v>
      </c>
      <c r="M91" s="74" t="str">
        <f t="shared" si="7"/>
        <v>Open File</v>
      </c>
      <c r="N91" s="70" t="s">
        <v>34</v>
      </c>
      <c r="O91" s="71" t="str">
        <f t="shared" si="6"/>
        <v>ACTIVE</v>
      </c>
      <c r="P91" s="66"/>
      <c r="Q91" s="66"/>
      <c r="R91" s="85"/>
      <c r="S91" s="82"/>
      <c r="T91" s="83" t="str">
        <f t="shared" si="8"/>
        <v/>
      </c>
      <c r="U91" s="10"/>
      <c r="V91" s="41">
        <f>IF(AND(Q91&lt;&gt;"",RIGHT(Q91,3)&lt;&gt;""),IF(COUNTIF($Q$6:Q91,Q91)=1,1,0),0)</f>
        <v>0</v>
      </c>
      <c r="W91" s="41" t="str">
        <f t="shared" si="9"/>
        <v>NA.25.VIII.138-2</v>
      </c>
      <c r="X91" s="41" t="str">
        <f t="shared" si="10"/>
        <v/>
      </c>
    </row>
    <row r="92" s="32" customFormat="1" hidden="1" customHeight="1" spans="1:24">
      <c r="A92" s="34"/>
      <c r="B92" s="51">
        <v>87</v>
      </c>
      <c r="C92" s="51" t="s">
        <v>316</v>
      </c>
      <c r="D92" s="52" t="s">
        <v>317</v>
      </c>
      <c r="E92" s="53">
        <v>1</v>
      </c>
      <c r="F92" s="54" t="s">
        <v>29</v>
      </c>
      <c r="G92" s="54" t="s">
        <v>30</v>
      </c>
      <c r="H92" s="54" t="s">
        <v>37</v>
      </c>
      <c r="I92" s="66">
        <v>45884</v>
      </c>
      <c r="J92" s="54" t="s">
        <v>32</v>
      </c>
      <c r="K92" s="67">
        <v>1</v>
      </c>
      <c r="L92" s="68" t="s">
        <v>318</v>
      </c>
      <c r="M92" s="74" t="str">
        <f t="shared" si="7"/>
        <v>Open File</v>
      </c>
      <c r="N92" s="70" t="s">
        <v>34</v>
      </c>
      <c r="O92" s="71" t="str">
        <f t="shared" si="6"/>
        <v>PASSIVE</v>
      </c>
      <c r="P92" s="66">
        <v>45979</v>
      </c>
      <c r="Q92" s="66" t="s">
        <v>307</v>
      </c>
      <c r="R92" s="85">
        <v>1</v>
      </c>
      <c r="S92" s="86" t="s">
        <v>313</v>
      </c>
      <c r="T92" s="87" t="str">
        <f t="shared" si="8"/>
        <v>Open File</v>
      </c>
      <c r="U92" s="10" t="s">
        <v>309</v>
      </c>
      <c r="V92" s="41">
        <f>IF(AND(Q92&lt;&gt;"",RIGHT(Q92,3)&lt;&gt;""),IF(COUNTIF($Q$6:Q92,Q92)=1,1,0),0)</f>
        <v>0</v>
      </c>
      <c r="W92" s="41" t="str">
        <f t="shared" si="9"/>
        <v>NA.25.VIII.138-1</v>
      </c>
      <c r="X92" s="41" t="str">
        <f t="shared" si="10"/>
        <v>RI.NV.25.XI.061-1</v>
      </c>
    </row>
    <row r="93" s="32" customFormat="1" hidden="1" customHeight="1" spans="1:24">
      <c r="A93" s="34"/>
      <c r="B93" s="51">
        <v>88</v>
      </c>
      <c r="C93" s="51" t="s">
        <v>319</v>
      </c>
      <c r="D93" s="52" t="s">
        <v>320</v>
      </c>
      <c r="E93" s="53">
        <v>1</v>
      </c>
      <c r="F93" s="54" t="s">
        <v>66</v>
      </c>
      <c r="G93" s="54" t="s">
        <v>321</v>
      </c>
      <c r="H93" s="54" t="s">
        <v>322</v>
      </c>
      <c r="I93" s="66">
        <v>45888</v>
      </c>
      <c r="J93" s="54" t="s">
        <v>323</v>
      </c>
      <c r="K93" s="67">
        <v>15</v>
      </c>
      <c r="L93" s="68" t="s">
        <v>324</v>
      </c>
      <c r="M93" s="73" t="str">
        <f t="shared" si="7"/>
        <v>Open File</v>
      </c>
      <c r="N93" s="70" t="s">
        <v>325</v>
      </c>
      <c r="O93" s="71" t="str">
        <f t="shared" si="6"/>
        <v>ACTIVE</v>
      </c>
      <c r="P93" s="66"/>
      <c r="Q93" s="66"/>
      <c r="R93" s="85"/>
      <c r="S93" s="82"/>
      <c r="T93" s="83" t="str">
        <f t="shared" si="8"/>
        <v/>
      </c>
      <c r="U93" s="10"/>
      <c r="V93" s="41">
        <f>IF(AND(Q93&lt;&gt;"",RIGHT(Q93,3)&lt;&gt;""),IF(COUNTIF($Q$6:Q93,Q93)=1,1,0),0)</f>
        <v>0</v>
      </c>
      <c r="W93" s="41" t="str">
        <f t="shared" si="9"/>
        <v>NA.25.VIII.175-15</v>
      </c>
      <c r="X93" s="41" t="str">
        <f t="shared" si="10"/>
        <v/>
      </c>
    </row>
    <row r="94" s="32" customFormat="1" hidden="1" customHeight="1" spans="1:24">
      <c r="A94" s="34"/>
      <c r="B94" s="51">
        <v>89</v>
      </c>
      <c r="C94" s="51" t="s">
        <v>326</v>
      </c>
      <c r="D94" s="52" t="s">
        <v>327</v>
      </c>
      <c r="E94" s="53">
        <v>1</v>
      </c>
      <c r="F94" s="54" t="s">
        <v>66</v>
      </c>
      <c r="G94" s="54" t="s">
        <v>321</v>
      </c>
      <c r="H94" s="54" t="s">
        <v>322</v>
      </c>
      <c r="I94" s="66">
        <v>45888</v>
      </c>
      <c r="J94" s="54" t="s">
        <v>323</v>
      </c>
      <c r="K94" s="67">
        <v>14</v>
      </c>
      <c r="L94" s="68" t="s">
        <v>328</v>
      </c>
      <c r="M94" s="73" t="str">
        <f t="shared" si="7"/>
        <v>Open File</v>
      </c>
      <c r="N94" s="70" t="s">
        <v>325</v>
      </c>
      <c r="O94" s="71" t="str">
        <f t="shared" si="6"/>
        <v>ACTIVE</v>
      </c>
      <c r="P94" s="66">
        <v>46120</v>
      </c>
      <c r="Q94" s="66" t="s">
        <v>329</v>
      </c>
      <c r="R94" s="85"/>
      <c r="S94" s="82"/>
      <c r="T94" s="89" t="str">
        <f t="shared" si="8"/>
        <v/>
      </c>
      <c r="U94" s="10" t="s">
        <v>330</v>
      </c>
      <c r="V94" s="41">
        <f>IF(AND(Q94&lt;&gt;"",RIGHT(Q94,3)&lt;&gt;""),IF(COUNTIF($Q$6:Q94,Q94)=1,1,0),0)</f>
        <v>1</v>
      </c>
      <c r="W94" s="41" t="str">
        <f t="shared" si="9"/>
        <v>NA.25.VIII.175-14</v>
      </c>
      <c r="X94" s="41" t="str">
        <f t="shared" si="10"/>
        <v/>
      </c>
    </row>
    <row r="95" s="32" customFormat="1" hidden="1" customHeight="1" spans="1:24">
      <c r="A95" s="34"/>
      <c r="B95" s="51">
        <v>90</v>
      </c>
      <c r="C95" s="51" t="s">
        <v>331</v>
      </c>
      <c r="D95" s="52" t="s">
        <v>327</v>
      </c>
      <c r="E95" s="53">
        <v>1</v>
      </c>
      <c r="F95" s="54" t="s">
        <v>66</v>
      </c>
      <c r="G95" s="54" t="s">
        <v>321</v>
      </c>
      <c r="H95" s="54" t="s">
        <v>322</v>
      </c>
      <c r="I95" s="66">
        <v>45888</v>
      </c>
      <c r="J95" s="54" t="s">
        <v>323</v>
      </c>
      <c r="K95" s="67">
        <v>13</v>
      </c>
      <c r="L95" s="68" t="s">
        <v>332</v>
      </c>
      <c r="M95" s="73" t="str">
        <f t="shared" si="7"/>
        <v>Open File</v>
      </c>
      <c r="N95" s="70" t="s">
        <v>325</v>
      </c>
      <c r="O95" s="71" t="str">
        <f t="shared" si="6"/>
        <v>PASSIVE</v>
      </c>
      <c r="P95" s="66">
        <v>45941</v>
      </c>
      <c r="Q95" s="66" t="s">
        <v>333</v>
      </c>
      <c r="R95" s="85">
        <v>1</v>
      </c>
      <c r="S95" s="86" t="s">
        <v>334</v>
      </c>
      <c r="T95" s="87" t="str">
        <f t="shared" si="8"/>
        <v>Open File</v>
      </c>
      <c r="U95" s="10" t="s">
        <v>335</v>
      </c>
      <c r="V95" s="41">
        <f>IF(AND(Q95&lt;&gt;"",RIGHT(Q95,3)&lt;&gt;""),IF(COUNTIF($Q$6:Q95,Q95)=1,1,0),0)</f>
        <v>1</v>
      </c>
      <c r="W95" s="41" t="str">
        <f t="shared" si="9"/>
        <v>NA.25.VIII.175-13</v>
      </c>
      <c r="X95" s="41" t="str">
        <f t="shared" si="10"/>
        <v>RI.NV.25.X.048-1</v>
      </c>
    </row>
    <row r="96" s="32" customFormat="1" hidden="1" customHeight="1" spans="1:24">
      <c r="A96" s="34"/>
      <c r="B96" s="51">
        <v>91</v>
      </c>
      <c r="C96" s="51" t="s">
        <v>336</v>
      </c>
      <c r="D96" s="52" t="s">
        <v>337</v>
      </c>
      <c r="E96" s="53">
        <v>1</v>
      </c>
      <c r="F96" s="54" t="s">
        <v>66</v>
      </c>
      <c r="G96" s="54" t="s">
        <v>321</v>
      </c>
      <c r="H96" s="54" t="s">
        <v>322</v>
      </c>
      <c r="I96" s="66">
        <v>45888</v>
      </c>
      <c r="J96" s="54" t="s">
        <v>323</v>
      </c>
      <c r="K96" s="67">
        <v>12</v>
      </c>
      <c r="L96" s="68" t="s">
        <v>338</v>
      </c>
      <c r="M96" s="73" t="str">
        <f t="shared" si="7"/>
        <v>Open File</v>
      </c>
      <c r="N96" s="70" t="s">
        <v>325</v>
      </c>
      <c r="O96" s="71" t="str">
        <f t="shared" si="6"/>
        <v>ACTIVE</v>
      </c>
      <c r="P96" s="66"/>
      <c r="Q96" s="66"/>
      <c r="R96" s="85"/>
      <c r="S96" s="82"/>
      <c r="T96" s="83" t="str">
        <f t="shared" si="8"/>
        <v/>
      </c>
      <c r="U96" s="10"/>
      <c r="V96" s="41">
        <f>IF(AND(Q96&lt;&gt;"",RIGHT(Q96,3)&lt;&gt;""),IF(COUNTIF($Q$6:Q96,Q96)=1,1,0),0)</f>
        <v>0</v>
      </c>
      <c r="W96" s="41" t="str">
        <f t="shared" si="9"/>
        <v>NA.25.VIII.175-12</v>
      </c>
      <c r="X96" s="41" t="str">
        <f t="shared" si="10"/>
        <v/>
      </c>
    </row>
    <row r="97" s="32" customFormat="1" hidden="1" customHeight="1" spans="1:24">
      <c r="A97" s="34"/>
      <c r="B97" s="51">
        <v>92</v>
      </c>
      <c r="C97" s="51" t="s">
        <v>339</v>
      </c>
      <c r="D97" s="52" t="s">
        <v>337</v>
      </c>
      <c r="E97" s="53">
        <v>1</v>
      </c>
      <c r="F97" s="54" t="s">
        <v>66</v>
      </c>
      <c r="G97" s="54" t="s">
        <v>321</v>
      </c>
      <c r="H97" s="54" t="s">
        <v>322</v>
      </c>
      <c r="I97" s="66">
        <v>45888</v>
      </c>
      <c r="J97" s="54" t="s">
        <v>323</v>
      </c>
      <c r="K97" s="67">
        <v>11</v>
      </c>
      <c r="L97" s="68" t="s">
        <v>340</v>
      </c>
      <c r="M97" s="73" t="str">
        <f t="shared" si="7"/>
        <v>Open File</v>
      </c>
      <c r="N97" s="70" t="s">
        <v>325</v>
      </c>
      <c r="O97" s="71" t="str">
        <f t="shared" si="6"/>
        <v>ACTIVE</v>
      </c>
      <c r="P97" s="66"/>
      <c r="Q97" s="66"/>
      <c r="R97" s="85"/>
      <c r="S97" s="82"/>
      <c r="T97" s="83" t="str">
        <f t="shared" si="8"/>
        <v/>
      </c>
      <c r="U97" s="10"/>
      <c r="V97" s="41">
        <f>IF(AND(Q97&lt;&gt;"",RIGHT(Q97,3)&lt;&gt;""),IF(COUNTIF($Q$6:Q97,Q97)=1,1,0),0)</f>
        <v>0</v>
      </c>
      <c r="W97" s="41" t="str">
        <f t="shared" si="9"/>
        <v>NA.25.VIII.175-11</v>
      </c>
      <c r="X97" s="41" t="str">
        <f t="shared" si="10"/>
        <v/>
      </c>
    </row>
    <row r="98" s="32" customFormat="1" hidden="1" customHeight="1" spans="1:24">
      <c r="A98" s="34"/>
      <c r="B98" s="51">
        <v>93</v>
      </c>
      <c r="C98" s="51" t="s">
        <v>341</v>
      </c>
      <c r="D98" s="52" t="s">
        <v>342</v>
      </c>
      <c r="E98" s="53">
        <v>1</v>
      </c>
      <c r="F98" s="54" t="s">
        <v>66</v>
      </c>
      <c r="G98" s="54" t="s">
        <v>321</v>
      </c>
      <c r="H98" s="54" t="s">
        <v>322</v>
      </c>
      <c r="I98" s="66">
        <v>45888</v>
      </c>
      <c r="J98" s="54" t="s">
        <v>323</v>
      </c>
      <c r="K98" s="67">
        <v>10</v>
      </c>
      <c r="L98" s="68" t="s">
        <v>343</v>
      </c>
      <c r="M98" s="73" t="str">
        <f t="shared" si="7"/>
        <v>Open File</v>
      </c>
      <c r="N98" s="70" t="s">
        <v>325</v>
      </c>
      <c r="O98" s="71" t="str">
        <f t="shared" si="6"/>
        <v>PASSIVE</v>
      </c>
      <c r="P98" s="66">
        <v>46010</v>
      </c>
      <c r="Q98" s="66" t="s">
        <v>344</v>
      </c>
      <c r="R98" s="85">
        <v>1</v>
      </c>
      <c r="S98" s="86" t="s">
        <v>345</v>
      </c>
      <c r="T98" s="87" t="str">
        <f t="shared" si="8"/>
        <v>Open File</v>
      </c>
      <c r="U98" s="10" t="s">
        <v>346</v>
      </c>
      <c r="V98" s="41">
        <f>IF(AND(Q98&lt;&gt;"",RIGHT(Q98,3)&lt;&gt;""),IF(COUNTIF($Q$6:Q98,Q98)=1,1,0),0)</f>
        <v>1</v>
      </c>
      <c r="W98" s="41" t="str">
        <f t="shared" si="9"/>
        <v>NA.25.VIII.175-10</v>
      </c>
      <c r="X98" s="41" t="str">
        <f t="shared" si="10"/>
        <v>RI.NV.25.XII.074-1</v>
      </c>
    </row>
    <row r="99" s="32" customFormat="1" hidden="1" customHeight="1" spans="1:24">
      <c r="A99" s="34"/>
      <c r="B99" s="51">
        <v>94</v>
      </c>
      <c r="C99" s="51" t="s">
        <v>347</v>
      </c>
      <c r="D99" s="52" t="s">
        <v>138</v>
      </c>
      <c r="E99" s="53">
        <v>1</v>
      </c>
      <c r="F99" s="54" t="s">
        <v>29</v>
      </c>
      <c r="G99" s="54" t="s">
        <v>321</v>
      </c>
      <c r="H99" s="54" t="s">
        <v>322</v>
      </c>
      <c r="I99" s="66">
        <v>45888</v>
      </c>
      <c r="J99" s="54" t="s">
        <v>323</v>
      </c>
      <c r="K99" s="67">
        <v>9</v>
      </c>
      <c r="L99" s="68" t="s">
        <v>348</v>
      </c>
      <c r="M99" s="73" t="str">
        <f t="shared" si="7"/>
        <v>Open File</v>
      </c>
      <c r="N99" s="70" t="s">
        <v>325</v>
      </c>
      <c r="O99" s="71" t="str">
        <f t="shared" si="6"/>
        <v>PASSIVE</v>
      </c>
      <c r="P99" s="66">
        <v>46028</v>
      </c>
      <c r="Q99" s="66" t="s">
        <v>349</v>
      </c>
      <c r="R99" s="85">
        <v>1</v>
      </c>
      <c r="S99" s="86" t="s">
        <v>350</v>
      </c>
      <c r="T99" s="87" t="str">
        <f t="shared" si="8"/>
        <v>Open File</v>
      </c>
      <c r="U99" s="10" t="s">
        <v>351</v>
      </c>
      <c r="V99" s="41">
        <f>IF(AND(Q99&lt;&gt;"",RIGHT(Q99,3)&lt;&gt;""),IF(COUNTIF($Q$6:Q99,Q99)=1,1,0),0)</f>
        <v>1</v>
      </c>
      <c r="W99" s="41" t="str">
        <f t="shared" si="9"/>
        <v>NA.25.VIII.175-9</v>
      </c>
      <c r="X99" s="41" t="str">
        <f t="shared" si="10"/>
        <v>RI.NV.26.I.016-1</v>
      </c>
    </row>
    <row r="100" s="32" customFormat="1" hidden="1" customHeight="1" spans="1:24">
      <c r="A100" s="34"/>
      <c r="B100" s="51">
        <v>95</v>
      </c>
      <c r="C100" s="51" t="s">
        <v>352</v>
      </c>
      <c r="D100" s="52" t="s">
        <v>353</v>
      </c>
      <c r="E100" s="53">
        <v>1</v>
      </c>
      <c r="F100" s="54" t="s">
        <v>29</v>
      </c>
      <c r="G100" s="54" t="s">
        <v>321</v>
      </c>
      <c r="H100" s="54" t="s">
        <v>322</v>
      </c>
      <c r="I100" s="66">
        <v>45888</v>
      </c>
      <c r="J100" s="54" t="s">
        <v>323</v>
      </c>
      <c r="K100" s="67">
        <v>8</v>
      </c>
      <c r="L100" s="68" t="s">
        <v>354</v>
      </c>
      <c r="M100" s="73" t="str">
        <f t="shared" si="7"/>
        <v>Open File</v>
      </c>
      <c r="N100" s="70" t="s">
        <v>325</v>
      </c>
      <c r="O100" s="71" t="str">
        <f t="shared" si="6"/>
        <v>ACTIVE</v>
      </c>
      <c r="P100" s="66"/>
      <c r="Q100" s="66"/>
      <c r="R100" s="85"/>
      <c r="S100" s="82"/>
      <c r="T100" s="83" t="str">
        <f t="shared" si="8"/>
        <v/>
      </c>
      <c r="U100" s="10"/>
      <c r="V100" s="41">
        <f>IF(AND(Q100&lt;&gt;"",RIGHT(Q100,3)&lt;&gt;""),IF(COUNTIF($Q$6:Q100,Q100)=1,1,0),0)</f>
        <v>0</v>
      </c>
      <c r="W100" s="41" t="str">
        <f t="shared" si="9"/>
        <v>NA.25.VIII.175-8</v>
      </c>
      <c r="X100" s="41" t="str">
        <f t="shared" si="10"/>
        <v/>
      </c>
    </row>
    <row r="101" s="32" customFormat="1" hidden="1" customHeight="1" spans="1:24">
      <c r="A101" s="34"/>
      <c r="B101" s="51">
        <v>96</v>
      </c>
      <c r="C101" s="51" t="s">
        <v>355</v>
      </c>
      <c r="D101" s="52" t="s">
        <v>356</v>
      </c>
      <c r="E101" s="53">
        <v>1</v>
      </c>
      <c r="F101" s="54" t="s">
        <v>66</v>
      </c>
      <c r="G101" s="54" t="s">
        <v>321</v>
      </c>
      <c r="H101" s="54" t="s">
        <v>322</v>
      </c>
      <c r="I101" s="66">
        <v>45888</v>
      </c>
      <c r="J101" s="54" t="s">
        <v>323</v>
      </c>
      <c r="K101" s="67">
        <v>7</v>
      </c>
      <c r="L101" s="68" t="s">
        <v>357</v>
      </c>
      <c r="M101" s="73" t="str">
        <f t="shared" si="7"/>
        <v>Open File</v>
      </c>
      <c r="N101" s="70" t="s">
        <v>325</v>
      </c>
      <c r="O101" s="71" t="str">
        <f t="shared" si="6"/>
        <v>ACTIVE</v>
      </c>
      <c r="P101" s="66"/>
      <c r="Q101" s="66"/>
      <c r="R101" s="85"/>
      <c r="S101" s="82"/>
      <c r="T101" s="83" t="str">
        <f t="shared" si="8"/>
        <v/>
      </c>
      <c r="U101" s="10"/>
      <c r="V101" s="41">
        <f>IF(AND(Q101&lt;&gt;"",RIGHT(Q101,3)&lt;&gt;""),IF(COUNTIF($Q$6:Q101,Q101)=1,1,0),0)</f>
        <v>0</v>
      </c>
      <c r="W101" s="41" t="str">
        <f t="shared" si="9"/>
        <v>NA.25.VIII.175-7</v>
      </c>
      <c r="X101" s="41" t="str">
        <f t="shared" si="10"/>
        <v/>
      </c>
    </row>
    <row r="102" s="32" customFormat="1" hidden="1" customHeight="1" spans="1:24">
      <c r="A102" s="34"/>
      <c r="B102" s="51">
        <v>97</v>
      </c>
      <c r="C102" s="51" t="s">
        <v>358</v>
      </c>
      <c r="D102" s="52" t="s">
        <v>359</v>
      </c>
      <c r="E102" s="53">
        <v>1</v>
      </c>
      <c r="F102" s="54" t="s">
        <v>66</v>
      </c>
      <c r="G102" s="54" t="s">
        <v>321</v>
      </c>
      <c r="H102" s="54" t="s">
        <v>322</v>
      </c>
      <c r="I102" s="66">
        <v>45888</v>
      </c>
      <c r="J102" s="54" t="s">
        <v>323</v>
      </c>
      <c r="K102" s="67">
        <v>6</v>
      </c>
      <c r="L102" s="68" t="s">
        <v>360</v>
      </c>
      <c r="M102" s="73" t="str">
        <f t="shared" si="7"/>
        <v>Open File</v>
      </c>
      <c r="N102" s="70" t="s">
        <v>325</v>
      </c>
      <c r="O102" s="71" t="str">
        <f t="shared" si="6"/>
        <v>ACTIVE</v>
      </c>
      <c r="P102" s="66"/>
      <c r="Q102" s="66"/>
      <c r="R102" s="85"/>
      <c r="S102" s="82"/>
      <c r="T102" s="83" t="str">
        <f t="shared" si="8"/>
        <v/>
      </c>
      <c r="U102" s="10"/>
      <c r="V102" s="41">
        <f>IF(AND(Q102&lt;&gt;"",RIGHT(Q102,3)&lt;&gt;""),IF(COUNTIF($Q$6:Q102,Q102)=1,1,0),0)</f>
        <v>0</v>
      </c>
      <c r="W102" s="41" t="str">
        <f t="shared" si="9"/>
        <v>NA.25.VIII.175-6</v>
      </c>
      <c r="X102" s="41" t="str">
        <f t="shared" si="10"/>
        <v/>
      </c>
    </row>
    <row r="103" s="32" customFormat="1" hidden="1" customHeight="1" spans="1:24">
      <c r="A103" s="34"/>
      <c r="B103" s="51">
        <v>98</v>
      </c>
      <c r="C103" s="51" t="s">
        <v>361</v>
      </c>
      <c r="D103" s="52" t="s">
        <v>203</v>
      </c>
      <c r="E103" s="53">
        <v>1</v>
      </c>
      <c r="F103" s="54" t="s">
        <v>66</v>
      </c>
      <c r="G103" s="54" t="s">
        <v>321</v>
      </c>
      <c r="H103" s="54" t="s">
        <v>322</v>
      </c>
      <c r="I103" s="66">
        <v>45888</v>
      </c>
      <c r="J103" s="54" t="s">
        <v>323</v>
      </c>
      <c r="K103" s="67">
        <v>5</v>
      </c>
      <c r="L103" s="68" t="s">
        <v>362</v>
      </c>
      <c r="M103" s="73" t="str">
        <f t="shared" si="7"/>
        <v>Open File</v>
      </c>
      <c r="N103" s="70" t="s">
        <v>325</v>
      </c>
      <c r="O103" s="71" t="str">
        <f t="shared" si="6"/>
        <v>ACTIVE</v>
      </c>
      <c r="P103" s="66"/>
      <c r="Q103" s="66"/>
      <c r="R103" s="85"/>
      <c r="S103" s="82"/>
      <c r="T103" s="83" t="str">
        <f t="shared" si="8"/>
        <v/>
      </c>
      <c r="U103" s="10"/>
      <c r="V103" s="41">
        <f>IF(AND(Q103&lt;&gt;"",RIGHT(Q103,3)&lt;&gt;""),IF(COUNTIF($Q$6:Q103,Q103)=1,1,0),0)</f>
        <v>0</v>
      </c>
      <c r="W103" s="41" t="str">
        <f t="shared" si="9"/>
        <v>NA.25.VIII.175-5</v>
      </c>
      <c r="X103" s="41" t="str">
        <f t="shared" si="10"/>
        <v/>
      </c>
    </row>
    <row r="104" s="32" customFormat="1" hidden="1" customHeight="1" spans="1:24">
      <c r="A104" s="34"/>
      <c r="B104" s="51">
        <v>99</v>
      </c>
      <c r="C104" s="51" t="s">
        <v>363</v>
      </c>
      <c r="D104" s="52" t="s">
        <v>364</v>
      </c>
      <c r="E104" s="53">
        <v>1</v>
      </c>
      <c r="F104" s="54" t="s">
        <v>66</v>
      </c>
      <c r="G104" s="54" t="s">
        <v>321</v>
      </c>
      <c r="H104" s="54" t="s">
        <v>322</v>
      </c>
      <c r="I104" s="66">
        <v>45888</v>
      </c>
      <c r="J104" s="54" t="s">
        <v>323</v>
      </c>
      <c r="K104" s="67">
        <v>4</v>
      </c>
      <c r="L104" s="68" t="s">
        <v>365</v>
      </c>
      <c r="M104" s="73" t="str">
        <f t="shared" si="7"/>
        <v>Open File</v>
      </c>
      <c r="N104" s="70" t="s">
        <v>325</v>
      </c>
      <c r="O104" s="71" t="str">
        <f t="shared" si="6"/>
        <v>ACTIVE</v>
      </c>
      <c r="P104" s="66"/>
      <c r="Q104" s="66"/>
      <c r="R104" s="85"/>
      <c r="S104" s="82"/>
      <c r="T104" s="83" t="str">
        <f t="shared" si="8"/>
        <v/>
      </c>
      <c r="U104" s="10"/>
      <c r="V104" s="41">
        <f>IF(AND(Q104&lt;&gt;"",RIGHT(Q104,3)&lt;&gt;""),IF(COUNTIF($Q$6:Q104,Q104)=1,1,0),0)</f>
        <v>0</v>
      </c>
      <c r="W104" s="41" t="str">
        <f t="shared" si="9"/>
        <v>NA.25.VIII.175-4</v>
      </c>
      <c r="X104" s="41" t="str">
        <f t="shared" si="10"/>
        <v/>
      </c>
    </row>
    <row r="105" s="32" customFormat="1" hidden="1" customHeight="1" spans="1:24">
      <c r="A105" s="34"/>
      <c r="B105" s="51">
        <v>100</v>
      </c>
      <c r="C105" s="51" t="s">
        <v>366</v>
      </c>
      <c r="D105" s="52" t="s">
        <v>367</v>
      </c>
      <c r="E105" s="53">
        <v>1</v>
      </c>
      <c r="F105" s="54" t="s">
        <v>29</v>
      </c>
      <c r="G105" s="54" t="s">
        <v>321</v>
      </c>
      <c r="H105" s="54" t="s">
        <v>322</v>
      </c>
      <c r="I105" s="66">
        <v>45888</v>
      </c>
      <c r="J105" s="54" t="s">
        <v>323</v>
      </c>
      <c r="K105" s="67">
        <v>3</v>
      </c>
      <c r="L105" s="68" t="s">
        <v>368</v>
      </c>
      <c r="M105" s="73" t="str">
        <f t="shared" si="7"/>
        <v>Open File</v>
      </c>
      <c r="N105" s="70" t="s">
        <v>325</v>
      </c>
      <c r="O105" s="71" t="str">
        <f t="shared" si="6"/>
        <v>ACTIVE</v>
      </c>
      <c r="P105" s="66"/>
      <c r="Q105" s="66"/>
      <c r="R105" s="85"/>
      <c r="S105" s="82"/>
      <c r="T105" s="83" t="str">
        <f t="shared" si="8"/>
        <v/>
      </c>
      <c r="U105" s="10"/>
      <c r="V105" s="41">
        <f>IF(AND(Q105&lt;&gt;"",RIGHT(Q105,3)&lt;&gt;""),IF(COUNTIF($Q$6:Q105,Q105)=1,1,0),0)</f>
        <v>0</v>
      </c>
      <c r="W105" s="41" t="str">
        <f t="shared" si="9"/>
        <v>NA.25.VIII.175-3</v>
      </c>
      <c r="X105" s="41" t="str">
        <f t="shared" si="10"/>
        <v/>
      </c>
    </row>
    <row r="106" s="32" customFormat="1" hidden="1" customHeight="1" spans="1:24">
      <c r="A106" s="34"/>
      <c r="B106" s="51">
        <v>101</v>
      </c>
      <c r="C106" s="51" t="s">
        <v>369</v>
      </c>
      <c r="D106" s="52" t="s">
        <v>367</v>
      </c>
      <c r="E106" s="53">
        <v>1</v>
      </c>
      <c r="F106" s="54" t="s">
        <v>29</v>
      </c>
      <c r="G106" s="54" t="s">
        <v>321</v>
      </c>
      <c r="H106" s="54" t="s">
        <v>322</v>
      </c>
      <c r="I106" s="66">
        <v>45888</v>
      </c>
      <c r="J106" s="54" t="s">
        <v>323</v>
      </c>
      <c r="K106" s="67">
        <v>2</v>
      </c>
      <c r="L106" s="68" t="s">
        <v>370</v>
      </c>
      <c r="M106" s="73" t="str">
        <f t="shared" si="7"/>
        <v>Open File</v>
      </c>
      <c r="N106" s="70" t="s">
        <v>325</v>
      </c>
      <c r="O106" s="71" t="str">
        <f t="shared" si="6"/>
        <v>ACTIVE</v>
      </c>
      <c r="P106" s="66"/>
      <c r="Q106" s="66"/>
      <c r="R106" s="85"/>
      <c r="S106" s="82"/>
      <c r="T106" s="83" t="str">
        <f t="shared" si="8"/>
        <v/>
      </c>
      <c r="U106" s="10"/>
      <c r="V106" s="41">
        <f>IF(AND(Q106&lt;&gt;"",RIGHT(Q106,3)&lt;&gt;""),IF(COUNTIF($Q$6:Q106,Q106)=1,1,0),0)</f>
        <v>0</v>
      </c>
      <c r="W106" s="41" t="str">
        <f t="shared" si="9"/>
        <v>NA.25.VIII.175-2</v>
      </c>
      <c r="X106" s="41" t="str">
        <f t="shared" si="10"/>
        <v/>
      </c>
    </row>
    <row r="107" s="32" customFormat="1" hidden="1" customHeight="1" spans="1:24">
      <c r="A107" s="34"/>
      <c r="B107" s="51">
        <v>102</v>
      </c>
      <c r="C107" s="51" t="s">
        <v>371</v>
      </c>
      <c r="D107" s="52" t="s">
        <v>203</v>
      </c>
      <c r="E107" s="53">
        <v>1</v>
      </c>
      <c r="F107" s="54" t="s">
        <v>66</v>
      </c>
      <c r="G107" s="54" t="s">
        <v>321</v>
      </c>
      <c r="H107" s="54" t="s">
        <v>322</v>
      </c>
      <c r="I107" s="66">
        <v>45888</v>
      </c>
      <c r="J107" s="54" t="s">
        <v>323</v>
      </c>
      <c r="K107" s="67">
        <v>1</v>
      </c>
      <c r="L107" s="68" t="s">
        <v>372</v>
      </c>
      <c r="M107" s="73" t="str">
        <f t="shared" si="7"/>
        <v>Open File</v>
      </c>
      <c r="N107" s="70" t="s">
        <v>325</v>
      </c>
      <c r="O107" s="71" t="str">
        <f t="shared" si="6"/>
        <v>ACTIVE</v>
      </c>
      <c r="P107" s="66"/>
      <c r="Q107" s="66"/>
      <c r="R107" s="85"/>
      <c r="S107" s="82"/>
      <c r="T107" s="83" t="str">
        <f t="shared" si="8"/>
        <v/>
      </c>
      <c r="U107" s="10"/>
      <c r="V107" s="41">
        <f>IF(AND(Q107&lt;&gt;"",RIGHT(Q107,3)&lt;&gt;""),IF(COUNTIF($Q$6:Q107,Q107)=1,1,0),0)</f>
        <v>0</v>
      </c>
      <c r="W107" s="41" t="str">
        <f t="shared" si="9"/>
        <v>NA.25.VIII.175-1</v>
      </c>
      <c r="X107" s="41" t="str">
        <f t="shared" si="10"/>
        <v/>
      </c>
    </row>
    <row r="108" s="32" customFormat="1" hidden="1" customHeight="1" spans="1:24">
      <c r="A108" s="34"/>
      <c r="B108" s="51">
        <v>103</v>
      </c>
      <c r="C108" s="51" t="s">
        <v>373</v>
      </c>
      <c r="D108" s="52" t="s">
        <v>374</v>
      </c>
      <c r="E108" s="53">
        <v>1</v>
      </c>
      <c r="F108" s="54" t="s">
        <v>29</v>
      </c>
      <c r="G108" s="54" t="s">
        <v>30</v>
      </c>
      <c r="H108" s="54" t="s">
        <v>375</v>
      </c>
      <c r="I108" s="66">
        <v>45888</v>
      </c>
      <c r="J108" s="54" t="s">
        <v>376</v>
      </c>
      <c r="K108" s="67">
        <v>35</v>
      </c>
      <c r="L108" s="68" t="s">
        <v>377</v>
      </c>
      <c r="M108" s="74" t="str">
        <f t="shared" si="7"/>
        <v>Open File</v>
      </c>
      <c r="N108" s="70" t="s">
        <v>34</v>
      </c>
      <c r="O108" s="71" t="str">
        <f t="shared" si="6"/>
        <v>ACTIVE</v>
      </c>
      <c r="P108" s="66"/>
      <c r="Q108" s="66"/>
      <c r="R108" s="85"/>
      <c r="S108" s="82"/>
      <c r="T108" s="83" t="str">
        <f t="shared" si="8"/>
        <v/>
      </c>
      <c r="U108" s="10"/>
      <c r="V108" s="41">
        <f>IF(AND(Q108&lt;&gt;"",RIGHT(Q108,3)&lt;&gt;""),IF(COUNTIF($Q$6:Q108,Q108)=1,1,0),0)</f>
        <v>0</v>
      </c>
      <c r="W108" s="41" t="str">
        <f t="shared" si="9"/>
        <v>NA.25.VIII.178-35</v>
      </c>
      <c r="X108" s="41" t="str">
        <f t="shared" si="10"/>
        <v/>
      </c>
    </row>
    <row r="109" s="32" customFormat="1" hidden="1" customHeight="1" spans="1:24">
      <c r="A109" s="34"/>
      <c r="B109" s="51">
        <v>104</v>
      </c>
      <c r="C109" s="51" t="s">
        <v>378</v>
      </c>
      <c r="D109" s="52" t="s">
        <v>374</v>
      </c>
      <c r="E109" s="53">
        <v>1</v>
      </c>
      <c r="F109" s="54" t="s">
        <v>29</v>
      </c>
      <c r="G109" s="54" t="s">
        <v>30</v>
      </c>
      <c r="H109" s="54" t="s">
        <v>375</v>
      </c>
      <c r="I109" s="66">
        <v>45888</v>
      </c>
      <c r="J109" s="54" t="s">
        <v>376</v>
      </c>
      <c r="K109" s="67">
        <v>34</v>
      </c>
      <c r="L109" s="68" t="s">
        <v>379</v>
      </c>
      <c r="M109" s="74" t="str">
        <f t="shared" si="7"/>
        <v>Open File</v>
      </c>
      <c r="N109" s="70" t="s">
        <v>34</v>
      </c>
      <c r="O109" s="71" t="str">
        <f t="shared" si="6"/>
        <v>ACTIVE</v>
      </c>
      <c r="P109" s="66"/>
      <c r="Q109" s="66"/>
      <c r="R109" s="85"/>
      <c r="S109" s="82"/>
      <c r="T109" s="83" t="str">
        <f t="shared" si="8"/>
        <v/>
      </c>
      <c r="U109" s="10"/>
      <c r="V109" s="41">
        <f>IF(AND(Q109&lt;&gt;"",RIGHT(Q109,3)&lt;&gt;""),IF(COUNTIF($Q$6:Q109,Q109)=1,1,0),0)</f>
        <v>0</v>
      </c>
      <c r="W109" s="41" t="str">
        <f t="shared" si="9"/>
        <v>NA.25.VIII.178-34</v>
      </c>
      <c r="X109" s="41" t="str">
        <f t="shared" si="10"/>
        <v/>
      </c>
    </row>
    <row r="110" s="32" customFormat="1" hidden="1" customHeight="1" spans="1:24">
      <c r="A110" s="34"/>
      <c r="B110" s="51">
        <v>105</v>
      </c>
      <c r="C110" s="51" t="s">
        <v>380</v>
      </c>
      <c r="D110" s="52" t="s">
        <v>374</v>
      </c>
      <c r="E110" s="53">
        <v>1</v>
      </c>
      <c r="F110" s="54" t="s">
        <v>29</v>
      </c>
      <c r="G110" s="54" t="s">
        <v>30</v>
      </c>
      <c r="H110" s="54" t="s">
        <v>375</v>
      </c>
      <c r="I110" s="66">
        <v>45888</v>
      </c>
      <c r="J110" s="54" t="s">
        <v>376</v>
      </c>
      <c r="K110" s="67">
        <v>33</v>
      </c>
      <c r="L110" s="68" t="s">
        <v>381</v>
      </c>
      <c r="M110" s="74" t="str">
        <f t="shared" si="7"/>
        <v>Open File</v>
      </c>
      <c r="N110" s="70" t="s">
        <v>34</v>
      </c>
      <c r="O110" s="71" t="str">
        <f t="shared" si="6"/>
        <v>ACTIVE</v>
      </c>
      <c r="P110" s="66"/>
      <c r="Q110" s="66"/>
      <c r="R110" s="85"/>
      <c r="S110" s="82"/>
      <c r="T110" s="83" t="str">
        <f t="shared" si="8"/>
        <v/>
      </c>
      <c r="U110" s="10"/>
      <c r="V110" s="41">
        <f>IF(AND(Q110&lt;&gt;"",RIGHT(Q110,3)&lt;&gt;""),IF(COUNTIF($Q$6:Q110,Q110)=1,1,0),0)</f>
        <v>0</v>
      </c>
      <c r="W110" s="41" t="str">
        <f t="shared" si="9"/>
        <v>NA.25.VIII.178-33</v>
      </c>
      <c r="X110" s="41" t="str">
        <f t="shared" si="10"/>
        <v/>
      </c>
    </row>
    <row r="111" s="32" customFormat="1" hidden="1" customHeight="1" spans="1:24">
      <c r="A111" s="34"/>
      <c r="B111" s="51">
        <v>106</v>
      </c>
      <c r="C111" s="51" t="s">
        <v>382</v>
      </c>
      <c r="D111" s="52" t="s">
        <v>374</v>
      </c>
      <c r="E111" s="53">
        <v>1</v>
      </c>
      <c r="F111" s="54" t="s">
        <v>29</v>
      </c>
      <c r="G111" s="54" t="s">
        <v>30</v>
      </c>
      <c r="H111" s="54" t="s">
        <v>375</v>
      </c>
      <c r="I111" s="66">
        <v>45888</v>
      </c>
      <c r="J111" s="54" t="s">
        <v>376</v>
      </c>
      <c r="K111" s="67">
        <v>32</v>
      </c>
      <c r="L111" s="68" t="s">
        <v>383</v>
      </c>
      <c r="M111" s="74" t="str">
        <f t="shared" si="7"/>
        <v>Open File</v>
      </c>
      <c r="N111" s="70" t="s">
        <v>34</v>
      </c>
      <c r="O111" s="71" t="str">
        <f t="shared" si="6"/>
        <v>ACTIVE</v>
      </c>
      <c r="P111" s="66"/>
      <c r="Q111" s="66"/>
      <c r="R111" s="85"/>
      <c r="S111" s="82"/>
      <c r="T111" s="83" t="str">
        <f t="shared" si="8"/>
        <v/>
      </c>
      <c r="U111" s="10"/>
      <c r="V111" s="41">
        <f>IF(AND(Q111&lt;&gt;"",RIGHT(Q111,3)&lt;&gt;""),IF(COUNTIF($Q$6:Q111,Q111)=1,1,0),0)</f>
        <v>0</v>
      </c>
      <c r="W111" s="41" t="str">
        <f t="shared" si="9"/>
        <v>NA.25.VIII.178-32</v>
      </c>
      <c r="X111" s="41" t="str">
        <f t="shared" si="10"/>
        <v/>
      </c>
    </row>
    <row r="112" s="32" customFormat="1" hidden="1" customHeight="1" spans="1:24">
      <c r="A112" s="34"/>
      <c r="B112" s="51">
        <v>107</v>
      </c>
      <c r="C112" s="51" t="s">
        <v>384</v>
      </c>
      <c r="D112" s="52" t="s">
        <v>374</v>
      </c>
      <c r="E112" s="53">
        <v>1</v>
      </c>
      <c r="F112" s="54" t="s">
        <v>29</v>
      </c>
      <c r="G112" s="54" t="s">
        <v>30</v>
      </c>
      <c r="H112" s="54" t="s">
        <v>375</v>
      </c>
      <c r="I112" s="66">
        <v>45888</v>
      </c>
      <c r="J112" s="54" t="s">
        <v>376</v>
      </c>
      <c r="K112" s="67">
        <v>31</v>
      </c>
      <c r="L112" s="68" t="s">
        <v>385</v>
      </c>
      <c r="M112" s="74" t="str">
        <f t="shared" si="7"/>
        <v>Open File</v>
      </c>
      <c r="N112" s="70" t="s">
        <v>34</v>
      </c>
      <c r="O112" s="71" t="str">
        <f t="shared" si="6"/>
        <v>ACTIVE</v>
      </c>
      <c r="P112" s="66"/>
      <c r="Q112" s="66"/>
      <c r="R112" s="85"/>
      <c r="S112" s="82"/>
      <c r="T112" s="83" t="str">
        <f t="shared" si="8"/>
        <v/>
      </c>
      <c r="U112" s="10"/>
      <c r="V112" s="41">
        <f>IF(AND(Q112&lt;&gt;"",RIGHT(Q112,3)&lt;&gt;""),IF(COUNTIF($Q$6:Q112,Q112)=1,1,0),0)</f>
        <v>0</v>
      </c>
      <c r="W112" s="41" t="str">
        <f t="shared" si="9"/>
        <v>NA.25.VIII.178-31</v>
      </c>
      <c r="X112" s="41" t="str">
        <f t="shared" si="10"/>
        <v/>
      </c>
    </row>
    <row r="113" s="32" customFormat="1" hidden="1" customHeight="1" spans="1:24">
      <c r="A113" s="34"/>
      <c r="B113" s="51">
        <v>108</v>
      </c>
      <c r="C113" s="51" t="s">
        <v>386</v>
      </c>
      <c r="D113" s="52" t="s">
        <v>387</v>
      </c>
      <c r="E113" s="53">
        <v>1</v>
      </c>
      <c r="F113" s="54" t="s">
        <v>29</v>
      </c>
      <c r="G113" s="54" t="s">
        <v>30</v>
      </c>
      <c r="H113" s="54" t="s">
        <v>375</v>
      </c>
      <c r="I113" s="66">
        <v>45888</v>
      </c>
      <c r="J113" s="54" t="s">
        <v>376</v>
      </c>
      <c r="K113" s="67">
        <v>30</v>
      </c>
      <c r="L113" s="68" t="s">
        <v>388</v>
      </c>
      <c r="M113" s="74" t="str">
        <f t="shared" si="7"/>
        <v>Open File</v>
      </c>
      <c r="N113" s="70" t="s">
        <v>34</v>
      </c>
      <c r="O113" s="71" t="str">
        <f t="shared" si="6"/>
        <v>ACTIVE</v>
      </c>
      <c r="P113" s="66"/>
      <c r="Q113" s="66"/>
      <c r="R113" s="85"/>
      <c r="S113" s="82"/>
      <c r="T113" s="83" t="str">
        <f t="shared" si="8"/>
        <v/>
      </c>
      <c r="U113" s="10"/>
      <c r="V113" s="41">
        <f>IF(AND(Q113&lt;&gt;"",RIGHT(Q113,3)&lt;&gt;""),IF(COUNTIF($Q$6:Q113,Q113)=1,1,0),0)</f>
        <v>0</v>
      </c>
      <c r="W113" s="41" t="str">
        <f t="shared" si="9"/>
        <v>NA.25.VIII.178-30</v>
      </c>
      <c r="X113" s="41" t="str">
        <f t="shared" si="10"/>
        <v/>
      </c>
    </row>
    <row r="114" s="32" customFormat="1" hidden="1" customHeight="1" spans="1:24">
      <c r="A114" s="34"/>
      <c r="B114" s="51">
        <v>109</v>
      </c>
      <c r="C114" s="51" t="s">
        <v>389</v>
      </c>
      <c r="D114" s="52" t="s">
        <v>387</v>
      </c>
      <c r="E114" s="53">
        <v>1</v>
      </c>
      <c r="F114" s="54" t="s">
        <v>29</v>
      </c>
      <c r="G114" s="54" t="s">
        <v>30</v>
      </c>
      <c r="H114" s="54" t="s">
        <v>375</v>
      </c>
      <c r="I114" s="66">
        <v>45888</v>
      </c>
      <c r="J114" s="54" t="s">
        <v>376</v>
      </c>
      <c r="K114" s="67">
        <v>29</v>
      </c>
      <c r="L114" s="68" t="s">
        <v>390</v>
      </c>
      <c r="M114" s="74" t="str">
        <f t="shared" si="7"/>
        <v>Open File</v>
      </c>
      <c r="N114" s="70" t="s">
        <v>34</v>
      </c>
      <c r="O114" s="71" t="str">
        <f t="shared" si="6"/>
        <v>ACTIVE</v>
      </c>
      <c r="P114" s="66"/>
      <c r="Q114" s="66"/>
      <c r="R114" s="85"/>
      <c r="S114" s="82"/>
      <c r="T114" s="83" t="str">
        <f t="shared" si="8"/>
        <v/>
      </c>
      <c r="U114" s="10"/>
      <c r="V114" s="41">
        <f>IF(AND(Q114&lt;&gt;"",RIGHT(Q114,3)&lt;&gt;""),IF(COUNTIF($Q$6:Q114,Q114)=1,1,0),0)</f>
        <v>0</v>
      </c>
      <c r="W114" s="41" t="str">
        <f t="shared" si="9"/>
        <v>NA.25.VIII.178-29</v>
      </c>
      <c r="X114" s="41" t="str">
        <f t="shared" si="10"/>
        <v/>
      </c>
    </row>
    <row r="115" s="32" customFormat="1" hidden="1" customHeight="1" spans="1:24">
      <c r="A115" s="34"/>
      <c r="B115" s="51">
        <v>110</v>
      </c>
      <c r="C115" s="51" t="s">
        <v>391</v>
      </c>
      <c r="D115" s="52" t="s">
        <v>387</v>
      </c>
      <c r="E115" s="53">
        <v>1</v>
      </c>
      <c r="F115" s="54" t="s">
        <v>29</v>
      </c>
      <c r="G115" s="54" t="s">
        <v>30</v>
      </c>
      <c r="H115" s="54" t="s">
        <v>375</v>
      </c>
      <c r="I115" s="66">
        <v>45888</v>
      </c>
      <c r="J115" s="54" t="s">
        <v>376</v>
      </c>
      <c r="K115" s="67">
        <v>28</v>
      </c>
      <c r="L115" s="68" t="s">
        <v>392</v>
      </c>
      <c r="M115" s="74" t="str">
        <f t="shared" si="7"/>
        <v>Open File</v>
      </c>
      <c r="N115" s="70" t="s">
        <v>34</v>
      </c>
      <c r="O115" s="71" t="str">
        <f t="shared" si="6"/>
        <v>ACTIVE</v>
      </c>
      <c r="P115" s="66"/>
      <c r="Q115" s="66"/>
      <c r="R115" s="85"/>
      <c r="S115" s="82"/>
      <c r="T115" s="83" t="str">
        <f t="shared" si="8"/>
        <v/>
      </c>
      <c r="U115" s="10"/>
      <c r="V115" s="41">
        <f>IF(AND(Q115&lt;&gt;"",RIGHT(Q115,3)&lt;&gt;""),IF(COUNTIF($Q$6:Q115,Q115)=1,1,0),0)</f>
        <v>0</v>
      </c>
      <c r="W115" s="41" t="str">
        <f t="shared" si="9"/>
        <v>NA.25.VIII.178-28</v>
      </c>
      <c r="X115" s="41" t="str">
        <f t="shared" si="10"/>
        <v/>
      </c>
    </row>
    <row r="116" s="32" customFormat="1" hidden="1" customHeight="1" spans="1:24">
      <c r="A116" s="34"/>
      <c r="B116" s="51">
        <v>111</v>
      </c>
      <c r="C116" s="51" t="s">
        <v>393</v>
      </c>
      <c r="D116" s="52" t="s">
        <v>394</v>
      </c>
      <c r="E116" s="53">
        <v>1</v>
      </c>
      <c r="F116" s="54" t="s">
        <v>29</v>
      </c>
      <c r="G116" s="54" t="s">
        <v>30</v>
      </c>
      <c r="H116" s="54" t="s">
        <v>37</v>
      </c>
      <c r="I116" s="66">
        <v>45888</v>
      </c>
      <c r="J116" s="54" t="s">
        <v>376</v>
      </c>
      <c r="K116" s="67">
        <v>27</v>
      </c>
      <c r="L116" s="68" t="s">
        <v>395</v>
      </c>
      <c r="M116" s="74" t="str">
        <f t="shared" si="7"/>
        <v>Open File</v>
      </c>
      <c r="N116" s="70" t="s">
        <v>34</v>
      </c>
      <c r="O116" s="71" t="str">
        <f t="shared" si="6"/>
        <v>ACTIVE</v>
      </c>
      <c r="P116" s="66"/>
      <c r="Q116" s="66"/>
      <c r="R116" s="85"/>
      <c r="S116" s="82"/>
      <c r="T116" s="83" t="str">
        <f t="shared" si="8"/>
        <v/>
      </c>
      <c r="U116" s="10"/>
      <c r="V116" s="41">
        <f>IF(AND(Q116&lt;&gt;"",RIGHT(Q116,3)&lt;&gt;""),IF(COUNTIF($Q$6:Q116,Q116)=1,1,0),0)</f>
        <v>0</v>
      </c>
      <c r="W116" s="41" t="str">
        <f t="shared" si="9"/>
        <v>NA.25.VIII.178-27</v>
      </c>
      <c r="X116" s="41" t="str">
        <f t="shared" si="10"/>
        <v/>
      </c>
    </row>
    <row r="117" s="32" customFormat="1" hidden="1" customHeight="1" spans="1:24">
      <c r="A117" s="34"/>
      <c r="B117" s="51">
        <v>112</v>
      </c>
      <c r="C117" s="51" t="s">
        <v>396</v>
      </c>
      <c r="D117" s="52" t="s">
        <v>397</v>
      </c>
      <c r="E117" s="53">
        <v>1</v>
      </c>
      <c r="F117" s="54" t="s">
        <v>29</v>
      </c>
      <c r="G117" s="54" t="s">
        <v>30</v>
      </c>
      <c r="H117" s="54" t="s">
        <v>37</v>
      </c>
      <c r="I117" s="66">
        <v>45888</v>
      </c>
      <c r="J117" s="54" t="s">
        <v>376</v>
      </c>
      <c r="K117" s="67">
        <v>26</v>
      </c>
      <c r="L117" s="68" t="s">
        <v>398</v>
      </c>
      <c r="M117" s="74" t="str">
        <f t="shared" si="7"/>
        <v>Open File</v>
      </c>
      <c r="N117" s="70" t="s">
        <v>34</v>
      </c>
      <c r="O117" s="71" t="str">
        <f t="shared" si="6"/>
        <v>ACTIVE</v>
      </c>
      <c r="P117" s="66"/>
      <c r="Q117" s="66"/>
      <c r="R117" s="85"/>
      <c r="S117" s="82"/>
      <c r="T117" s="83" t="str">
        <f t="shared" si="8"/>
        <v/>
      </c>
      <c r="U117" s="10"/>
      <c r="V117" s="41">
        <f>IF(AND(Q117&lt;&gt;"",RIGHT(Q117,3)&lt;&gt;""),IF(COUNTIF($Q$6:Q117,Q117)=1,1,0),0)</f>
        <v>0</v>
      </c>
      <c r="W117" s="41" t="str">
        <f t="shared" si="9"/>
        <v>NA.25.VIII.178-26</v>
      </c>
      <c r="X117" s="41" t="str">
        <f t="shared" si="10"/>
        <v/>
      </c>
    </row>
    <row r="118" s="32" customFormat="1" hidden="1" customHeight="1" spans="1:24">
      <c r="A118" s="34"/>
      <c r="B118" s="51">
        <v>113</v>
      </c>
      <c r="C118" s="51" t="s">
        <v>399</v>
      </c>
      <c r="D118" s="52" t="s">
        <v>400</v>
      </c>
      <c r="E118" s="53">
        <v>1</v>
      </c>
      <c r="F118" s="54" t="s">
        <v>29</v>
      </c>
      <c r="G118" s="54" t="s">
        <v>30</v>
      </c>
      <c r="H118" s="54" t="s">
        <v>37</v>
      </c>
      <c r="I118" s="66">
        <v>45888</v>
      </c>
      <c r="J118" s="54" t="s">
        <v>376</v>
      </c>
      <c r="K118" s="67">
        <v>25</v>
      </c>
      <c r="L118" s="68" t="s">
        <v>401</v>
      </c>
      <c r="M118" s="74" t="str">
        <f t="shared" si="7"/>
        <v>Open File</v>
      </c>
      <c r="N118" s="70" t="s">
        <v>34</v>
      </c>
      <c r="O118" s="71" t="str">
        <f t="shared" si="6"/>
        <v>ACTIVE</v>
      </c>
      <c r="P118" s="66"/>
      <c r="Q118" s="66"/>
      <c r="R118" s="85"/>
      <c r="S118" s="82"/>
      <c r="T118" s="83" t="str">
        <f t="shared" si="8"/>
        <v/>
      </c>
      <c r="U118" s="10"/>
      <c r="V118" s="41">
        <f>IF(AND(Q118&lt;&gt;"",RIGHT(Q118,3)&lt;&gt;""),IF(COUNTIF($Q$6:Q118,Q118)=1,1,0),0)</f>
        <v>0</v>
      </c>
      <c r="W118" s="41" t="str">
        <f t="shared" si="9"/>
        <v>NA.25.VIII.178-25</v>
      </c>
      <c r="X118" s="41" t="str">
        <f t="shared" si="10"/>
        <v/>
      </c>
    </row>
    <row r="119" s="32" customFormat="1" hidden="1" customHeight="1" spans="1:24">
      <c r="A119" s="34"/>
      <c r="B119" s="51">
        <v>114</v>
      </c>
      <c r="C119" s="51" t="s">
        <v>402</v>
      </c>
      <c r="D119" s="52" t="s">
        <v>403</v>
      </c>
      <c r="E119" s="53">
        <v>1</v>
      </c>
      <c r="F119" s="54" t="s">
        <v>66</v>
      </c>
      <c r="G119" s="54" t="s">
        <v>30</v>
      </c>
      <c r="H119" s="54" t="s">
        <v>37</v>
      </c>
      <c r="I119" s="66">
        <v>45888</v>
      </c>
      <c r="J119" s="54" t="s">
        <v>376</v>
      </c>
      <c r="K119" s="67">
        <v>24</v>
      </c>
      <c r="L119" s="68" t="s">
        <v>404</v>
      </c>
      <c r="M119" s="74" t="str">
        <f t="shared" si="7"/>
        <v>Open File</v>
      </c>
      <c r="N119" s="70" t="s">
        <v>34</v>
      </c>
      <c r="O119" s="71" t="str">
        <f t="shared" si="6"/>
        <v>ACTIVE</v>
      </c>
      <c r="P119" s="66"/>
      <c r="Q119" s="66"/>
      <c r="R119" s="85"/>
      <c r="S119" s="82"/>
      <c r="T119" s="83" t="str">
        <f t="shared" si="8"/>
        <v/>
      </c>
      <c r="U119" s="10"/>
      <c r="V119" s="41">
        <f>IF(AND(Q119&lt;&gt;"",RIGHT(Q119,3)&lt;&gt;""),IF(COUNTIF($Q$6:Q119,Q119)=1,1,0),0)</f>
        <v>0</v>
      </c>
      <c r="W119" s="41" t="str">
        <f t="shared" si="9"/>
        <v>NA.25.VIII.178-24</v>
      </c>
      <c r="X119" s="41" t="str">
        <f t="shared" si="10"/>
        <v/>
      </c>
    </row>
    <row r="120" s="32" customFormat="1" hidden="1" customHeight="1" spans="1:24">
      <c r="A120" s="34"/>
      <c r="B120" s="51">
        <v>115</v>
      </c>
      <c r="C120" s="51" t="s">
        <v>405</v>
      </c>
      <c r="D120" s="52" t="s">
        <v>406</v>
      </c>
      <c r="E120" s="53">
        <v>1</v>
      </c>
      <c r="F120" s="54" t="s">
        <v>29</v>
      </c>
      <c r="G120" s="54" t="s">
        <v>30</v>
      </c>
      <c r="H120" s="54" t="s">
        <v>37</v>
      </c>
      <c r="I120" s="66">
        <v>45888</v>
      </c>
      <c r="J120" s="54" t="s">
        <v>376</v>
      </c>
      <c r="K120" s="67">
        <v>23</v>
      </c>
      <c r="L120" s="68" t="s">
        <v>407</v>
      </c>
      <c r="M120" s="74" t="str">
        <f t="shared" si="7"/>
        <v>Open File</v>
      </c>
      <c r="N120" s="70" t="s">
        <v>34</v>
      </c>
      <c r="O120" s="71" t="str">
        <f t="shared" si="6"/>
        <v>ACTIVE</v>
      </c>
      <c r="P120" s="66"/>
      <c r="Q120" s="66"/>
      <c r="R120" s="85"/>
      <c r="S120" s="82"/>
      <c r="T120" s="83" t="str">
        <f t="shared" si="8"/>
        <v/>
      </c>
      <c r="U120" s="10"/>
      <c r="V120" s="41">
        <f>IF(AND(Q120&lt;&gt;"",RIGHT(Q120,3)&lt;&gt;""),IF(COUNTIF($Q$6:Q120,Q120)=1,1,0),0)</f>
        <v>0</v>
      </c>
      <c r="W120" s="41" t="str">
        <f t="shared" si="9"/>
        <v>NA.25.VIII.178-23</v>
      </c>
      <c r="X120" s="41" t="str">
        <f t="shared" si="10"/>
        <v/>
      </c>
    </row>
    <row r="121" s="32" customFormat="1" hidden="1" customHeight="1" spans="1:24">
      <c r="A121" s="34"/>
      <c r="B121" s="51">
        <v>116</v>
      </c>
      <c r="C121" s="51" t="s">
        <v>408</v>
      </c>
      <c r="D121" s="52" t="s">
        <v>409</v>
      </c>
      <c r="E121" s="53">
        <v>1</v>
      </c>
      <c r="F121" s="54" t="s">
        <v>29</v>
      </c>
      <c r="G121" s="54" t="s">
        <v>30</v>
      </c>
      <c r="H121" s="54" t="s">
        <v>37</v>
      </c>
      <c r="I121" s="66">
        <v>45888</v>
      </c>
      <c r="J121" s="54" t="s">
        <v>376</v>
      </c>
      <c r="K121" s="67">
        <v>22</v>
      </c>
      <c r="L121" s="68" t="s">
        <v>410</v>
      </c>
      <c r="M121" s="74" t="str">
        <f t="shared" si="7"/>
        <v>Open File</v>
      </c>
      <c r="N121" s="70" t="s">
        <v>34</v>
      </c>
      <c r="O121" s="71" t="str">
        <f t="shared" si="6"/>
        <v>ACTIVE</v>
      </c>
      <c r="P121" s="66"/>
      <c r="Q121" s="66"/>
      <c r="R121" s="85"/>
      <c r="S121" s="82"/>
      <c r="T121" s="83" t="str">
        <f t="shared" si="8"/>
        <v/>
      </c>
      <c r="U121" s="10"/>
      <c r="V121" s="41">
        <f>IF(AND(Q121&lt;&gt;"",RIGHT(Q121,3)&lt;&gt;""),IF(COUNTIF($Q$6:Q121,Q121)=1,1,0),0)</f>
        <v>0</v>
      </c>
      <c r="W121" s="41" t="str">
        <f t="shared" si="9"/>
        <v>NA.25.VIII.178-22</v>
      </c>
      <c r="X121" s="41" t="str">
        <f t="shared" si="10"/>
        <v/>
      </c>
    </row>
    <row r="122" s="32" customFormat="1" hidden="1" customHeight="1" spans="1:24">
      <c r="A122" s="34"/>
      <c r="B122" s="51">
        <v>117</v>
      </c>
      <c r="C122" s="51" t="s">
        <v>411</v>
      </c>
      <c r="D122" s="52" t="s">
        <v>412</v>
      </c>
      <c r="E122" s="53">
        <v>1</v>
      </c>
      <c r="F122" s="54" t="s">
        <v>29</v>
      </c>
      <c r="G122" s="54" t="s">
        <v>30</v>
      </c>
      <c r="H122" s="54" t="s">
        <v>37</v>
      </c>
      <c r="I122" s="66">
        <v>45888</v>
      </c>
      <c r="J122" s="54" t="s">
        <v>376</v>
      </c>
      <c r="K122" s="67">
        <v>21</v>
      </c>
      <c r="L122" s="68" t="s">
        <v>413</v>
      </c>
      <c r="M122" s="74" t="str">
        <f t="shared" si="7"/>
        <v>Open File</v>
      </c>
      <c r="N122" s="70" t="s">
        <v>34</v>
      </c>
      <c r="O122" s="71" t="str">
        <f t="shared" si="6"/>
        <v>ACTIVE</v>
      </c>
      <c r="P122" s="66"/>
      <c r="Q122" s="66"/>
      <c r="R122" s="85"/>
      <c r="S122" s="82"/>
      <c r="T122" s="83" t="str">
        <f t="shared" si="8"/>
        <v/>
      </c>
      <c r="U122" s="10"/>
      <c r="V122" s="41">
        <f>IF(AND(Q122&lt;&gt;"",RIGHT(Q122,3)&lt;&gt;""),IF(COUNTIF($Q$6:Q122,Q122)=1,1,0),0)</f>
        <v>0</v>
      </c>
      <c r="W122" s="41" t="str">
        <f t="shared" si="9"/>
        <v>NA.25.VIII.178-21</v>
      </c>
      <c r="X122" s="41" t="str">
        <f t="shared" si="10"/>
        <v/>
      </c>
    </row>
    <row r="123" s="32" customFormat="1" hidden="1" customHeight="1" spans="1:24">
      <c r="A123" s="34"/>
      <c r="B123" s="51">
        <v>118</v>
      </c>
      <c r="C123" s="51" t="s">
        <v>414</v>
      </c>
      <c r="D123" s="52" t="s">
        <v>415</v>
      </c>
      <c r="E123" s="53">
        <v>1</v>
      </c>
      <c r="F123" s="54" t="s">
        <v>29</v>
      </c>
      <c r="G123" s="54" t="s">
        <v>30</v>
      </c>
      <c r="H123" s="54" t="s">
        <v>37</v>
      </c>
      <c r="I123" s="66">
        <v>45888</v>
      </c>
      <c r="J123" s="54" t="s">
        <v>376</v>
      </c>
      <c r="K123" s="67">
        <v>20</v>
      </c>
      <c r="L123" s="68" t="s">
        <v>416</v>
      </c>
      <c r="M123" s="74" t="str">
        <f t="shared" si="7"/>
        <v>Open File</v>
      </c>
      <c r="N123" s="70" t="s">
        <v>34</v>
      </c>
      <c r="O123" s="71" t="str">
        <f t="shared" si="6"/>
        <v>ACTIVE</v>
      </c>
      <c r="P123" s="66"/>
      <c r="Q123" s="66"/>
      <c r="R123" s="85"/>
      <c r="S123" s="82"/>
      <c r="T123" s="83" t="str">
        <f t="shared" si="8"/>
        <v/>
      </c>
      <c r="U123" s="10"/>
      <c r="V123" s="41">
        <f>IF(AND(Q123&lt;&gt;"",RIGHT(Q123,3)&lt;&gt;""),IF(COUNTIF($Q$6:Q123,Q123)=1,1,0),0)</f>
        <v>0</v>
      </c>
      <c r="W123" s="41" t="str">
        <f t="shared" si="9"/>
        <v>NA.25.VIII.178-20</v>
      </c>
      <c r="X123" s="41" t="str">
        <f t="shared" si="10"/>
        <v/>
      </c>
    </row>
    <row r="124" s="32" customFormat="1" hidden="1" customHeight="1" spans="1:24">
      <c r="A124" s="34"/>
      <c r="B124" s="51">
        <v>119</v>
      </c>
      <c r="C124" s="51" t="s">
        <v>417</v>
      </c>
      <c r="D124" s="52" t="s">
        <v>418</v>
      </c>
      <c r="E124" s="53">
        <v>1</v>
      </c>
      <c r="F124" s="54" t="s">
        <v>66</v>
      </c>
      <c r="G124" s="54" t="s">
        <v>30</v>
      </c>
      <c r="H124" s="54" t="s">
        <v>31</v>
      </c>
      <c r="I124" s="66">
        <v>45888</v>
      </c>
      <c r="J124" s="54" t="s">
        <v>376</v>
      </c>
      <c r="K124" s="67">
        <v>19</v>
      </c>
      <c r="L124" s="68" t="s">
        <v>419</v>
      </c>
      <c r="M124" s="74" t="str">
        <f t="shared" si="7"/>
        <v>Open File</v>
      </c>
      <c r="N124" s="70" t="s">
        <v>34</v>
      </c>
      <c r="O124" s="71" t="str">
        <f t="shared" si="6"/>
        <v>ACTIVE</v>
      </c>
      <c r="P124" s="66"/>
      <c r="Q124" s="66"/>
      <c r="R124" s="85"/>
      <c r="S124" s="82"/>
      <c r="T124" s="83" t="str">
        <f t="shared" si="8"/>
        <v/>
      </c>
      <c r="U124" s="10"/>
      <c r="V124" s="41">
        <f>IF(AND(Q124&lt;&gt;"",RIGHT(Q124,3)&lt;&gt;""),IF(COUNTIF($Q$6:Q124,Q124)=1,1,0),0)</f>
        <v>0</v>
      </c>
      <c r="W124" s="41" t="str">
        <f t="shared" si="9"/>
        <v>NA.25.VIII.178-19</v>
      </c>
      <c r="X124" s="41" t="str">
        <f t="shared" si="10"/>
        <v/>
      </c>
    </row>
    <row r="125" s="32" customFormat="1" hidden="1" customHeight="1" spans="1:24">
      <c r="A125" s="34"/>
      <c r="B125" s="51">
        <v>120</v>
      </c>
      <c r="C125" s="51" t="s">
        <v>420</v>
      </c>
      <c r="D125" s="52" t="s">
        <v>421</v>
      </c>
      <c r="E125" s="53">
        <v>10</v>
      </c>
      <c r="F125" s="54" t="s">
        <v>422</v>
      </c>
      <c r="G125" s="54" t="s">
        <v>30</v>
      </c>
      <c r="H125" s="54" t="s">
        <v>31</v>
      </c>
      <c r="I125" s="66">
        <v>45888</v>
      </c>
      <c r="J125" s="54" t="s">
        <v>376</v>
      </c>
      <c r="K125" s="67">
        <v>18</v>
      </c>
      <c r="L125" s="68" t="s">
        <v>423</v>
      </c>
      <c r="M125" s="74" t="str">
        <f t="shared" si="7"/>
        <v>Open File</v>
      </c>
      <c r="N125" s="70" t="s">
        <v>34</v>
      </c>
      <c r="O125" s="71" t="str">
        <f t="shared" si="6"/>
        <v>ACTIVE</v>
      </c>
      <c r="P125" s="66"/>
      <c r="Q125" s="66"/>
      <c r="R125" s="85"/>
      <c r="S125" s="82"/>
      <c r="T125" s="83" t="str">
        <f t="shared" si="8"/>
        <v/>
      </c>
      <c r="U125" s="10"/>
      <c r="V125" s="41">
        <f>IF(AND(Q125&lt;&gt;"",RIGHT(Q125,3)&lt;&gt;""),IF(COUNTIF($Q$6:Q125,Q125)=1,1,0),0)</f>
        <v>0</v>
      </c>
      <c r="W125" s="41" t="str">
        <f t="shared" si="9"/>
        <v>NA.25.VIII.178-18</v>
      </c>
      <c r="X125" s="41" t="str">
        <f t="shared" si="10"/>
        <v/>
      </c>
    </row>
    <row r="126" s="32" customFormat="1" hidden="1" customHeight="1" spans="1:24">
      <c r="A126" s="34"/>
      <c r="B126" s="51">
        <v>121</v>
      </c>
      <c r="C126" s="51" t="s">
        <v>424</v>
      </c>
      <c r="D126" s="52" t="s">
        <v>425</v>
      </c>
      <c r="E126" s="53">
        <v>17</v>
      </c>
      <c r="F126" s="54" t="s">
        <v>422</v>
      </c>
      <c r="G126" s="54" t="s">
        <v>30</v>
      </c>
      <c r="H126" s="54" t="s">
        <v>31</v>
      </c>
      <c r="I126" s="66">
        <v>45888</v>
      </c>
      <c r="J126" s="54" t="s">
        <v>376</v>
      </c>
      <c r="K126" s="67">
        <v>17</v>
      </c>
      <c r="L126" s="68" t="s">
        <v>426</v>
      </c>
      <c r="M126" s="69" t="str">
        <f t="shared" si="7"/>
        <v>Open File</v>
      </c>
      <c r="N126" s="70" t="s">
        <v>34</v>
      </c>
      <c r="O126" s="71" t="str">
        <f t="shared" si="6"/>
        <v>ACTIVE</v>
      </c>
      <c r="P126" s="66"/>
      <c r="Q126" s="66"/>
      <c r="R126" s="85"/>
      <c r="S126" s="82"/>
      <c r="T126" s="83" t="str">
        <f t="shared" si="8"/>
        <v/>
      </c>
      <c r="U126" s="10"/>
      <c r="V126" s="41">
        <f>IF(AND(Q126&lt;&gt;"",RIGHT(Q126,3)&lt;&gt;""),IF(COUNTIF($Q$6:Q126,Q126)=1,1,0),0)</f>
        <v>0</v>
      </c>
      <c r="W126" s="41" t="str">
        <f t="shared" si="9"/>
        <v>NA.25.VIII.178-17</v>
      </c>
      <c r="X126" s="41" t="str">
        <f t="shared" si="10"/>
        <v/>
      </c>
    </row>
    <row r="127" s="32" customFormat="1" hidden="1" customHeight="1" spans="1:24">
      <c r="A127" s="34"/>
      <c r="B127" s="51">
        <v>122</v>
      </c>
      <c r="C127" s="51" t="s">
        <v>427</v>
      </c>
      <c r="D127" s="52" t="s">
        <v>428</v>
      </c>
      <c r="E127" s="53">
        <v>5</v>
      </c>
      <c r="F127" s="54" t="s">
        <v>422</v>
      </c>
      <c r="G127" s="54" t="s">
        <v>30</v>
      </c>
      <c r="H127" s="54" t="s">
        <v>31</v>
      </c>
      <c r="I127" s="66">
        <v>45888</v>
      </c>
      <c r="J127" s="54" t="s">
        <v>376</v>
      </c>
      <c r="K127" s="67">
        <v>16</v>
      </c>
      <c r="L127" s="68" t="s">
        <v>429</v>
      </c>
      <c r="M127" s="69" t="str">
        <f t="shared" si="7"/>
        <v>Open File</v>
      </c>
      <c r="N127" s="70" t="s">
        <v>34</v>
      </c>
      <c r="O127" s="71" t="str">
        <f t="shared" si="6"/>
        <v>ACTIVE</v>
      </c>
      <c r="P127" s="66"/>
      <c r="Q127" s="66"/>
      <c r="R127" s="85"/>
      <c r="S127" s="82"/>
      <c r="T127" s="83" t="str">
        <f t="shared" si="8"/>
        <v/>
      </c>
      <c r="U127" s="10"/>
      <c r="V127" s="41">
        <f>IF(AND(Q127&lt;&gt;"",RIGHT(Q127,3)&lt;&gt;""),IF(COUNTIF($Q$6:Q127,Q127)=1,1,0),0)</f>
        <v>0</v>
      </c>
      <c r="W127" s="41" t="str">
        <f t="shared" si="9"/>
        <v>NA.25.VIII.178-16</v>
      </c>
      <c r="X127" s="41" t="str">
        <f t="shared" si="10"/>
        <v/>
      </c>
    </row>
    <row r="128" s="32" customFormat="1" hidden="1" customHeight="1" spans="1:24">
      <c r="A128" s="34"/>
      <c r="B128" s="51">
        <v>123</v>
      </c>
      <c r="C128" s="51" t="s">
        <v>430</v>
      </c>
      <c r="D128" s="52" t="s">
        <v>431</v>
      </c>
      <c r="E128" s="53">
        <v>1</v>
      </c>
      <c r="F128" s="54" t="s">
        <v>29</v>
      </c>
      <c r="G128" s="54" t="s">
        <v>30</v>
      </c>
      <c r="H128" s="54" t="s">
        <v>31</v>
      </c>
      <c r="I128" s="66">
        <v>45888</v>
      </c>
      <c r="J128" s="54" t="s">
        <v>376</v>
      </c>
      <c r="K128" s="67">
        <v>15</v>
      </c>
      <c r="L128" s="68" t="s">
        <v>432</v>
      </c>
      <c r="M128" s="74" t="str">
        <f t="shared" si="7"/>
        <v>Open File</v>
      </c>
      <c r="N128" s="70" t="s">
        <v>34</v>
      </c>
      <c r="O128" s="71" t="str">
        <f t="shared" si="6"/>
        <v>ACTIVE</v>
      </c>
      <c r="P128" s="66"/>
      <c r="Q128" s="66"/>
      <c r="R128" s="85"/>
      <c r="S128" s="82"/>
      <c r="T128" s="83" t="str">
        <f t="shared" si="8"/>
        <v/>
      </c>
      <c r="U128" s="10"/>
      <c r="V128" s="41">
        <f>IF(AND(Q128&lt;&gt;"",RIGHT(Q128,3)&lt;&gt;""),IF(COUNTIF($Q$6:Q128,Q128)=1,1,0),0)</f>
        <v>0</v>
      </c>
      <c r="W128" s="41" t="str">
        <f t="shared" si="9"/>
        <v>NA.25.VIII.178-15</v>
      </c>
      <c r="X128" s="41" t="str">
        <f t="shared" si="10"/>
        <v/>
      </c>
    </row>
    <row r="129" s="32" customFormat="1" hidden="1" customHeight="1" spans="1:24">
      <c r="A129" s="34"/>
      <c r="B129" s="51">
        <v>124</v>
      </c>
      <c r="C129" s="51" t="s">
        <v>433</v>
      </c>
      <c r="D129" s="52" t="s">
        <v>434</v>
      </c>
      <c r="E129" s="53">
        <v>1</v>
      </c>
      <c r="F129" s="54" t="s">
        <v>29</v>
      </c>
      <c r="G129" s="54" t="s">
        <v>30</v>
      </c>
      <c r="H129" s="54" t="s">
        <v>31</v>
      </c>
      <c r="I129" s="66">
        <v>45888</v>
      </c>
      <c r="J129" s="54" t="s">
        <v>376</v>
      </c>
      <c r="K129" s="67">
        <v>14</v>
      </c>
      <c r="L129" s="68" t="s">
        <v>435</v>
      </c>
      <c r="M129" s="74" t="str">
        <f t="shared" si="7"/>
        <v>Open File</v>
      </c>
      <c r="N129" s="70" t="s">
        <v>34</v>
      </c>
      <c r="O129" s="71" t="str">
        <f t="shared" si="6"/>
        <v>ACTIVE</v>
      </c>
      <c r="P129" s="66"/>
      <c r="Q129" s="66"/>
      <c r="R129" s="85"/>
      <c r="S129" s="82"/>
      <c r="T129" s="83" t="str">
        <f t="shared" si="8"/>
        <v/>
      </c>
      <c r="U129" s="10"/>
      <c r="V129" s="41">
        <f>IF(AND(Q129&lt;&gt;"",RIGHT(Q129,3)&lt;&gt;""),IF(COUNTIF($Q$6:Q129,Q129)=1,1,0),0)</f>
        <v>0</v>
      </c>
      <c r="W129" s="41" t="str">
        <f t="shared" si="9"/>
        <v>NA.25.VIII.178-14</v>
      </c>
      <c r="X129" s="41" t="str">
        <f t="shared" si="10"/>
        <v/>
      </c>
    </row>
    <row r="130" s="32" customFormat="1" hidden="1" customHeight="1" spans="1:24">
      <c r="A130" s="34"/>
      <c r="B130" s="51">
        <v>125</v>
      </c>
      <c r="C130" s="51" t="s">
        <v>436</v>
      </c>
      <c r="D130" s="52" t="s">
        <v>437</v>
      </c>
      <c r="E130" s="53">
        <v>1</v>
      </c>
      <c r="F130" s="54" t="s">
        <v>29</v>
      </c>
      <c r="G130" s="54" t="s">
        <v>30</v>
      </c>
      <c r="H130" s="54" t="s">
        <v>31</v>
      </c>
      <c r="I130" s="66">
        <v>45888</v>
      </c>
      <c r="J130" s="54" t="s">
        <v>376</v>
      </c>
      <c r="K130" s="67">
        <v>13</v>
      </c>
      <c r="L130" s="68" t="s">
        <v>438</v>
      </c>
      <c r="M130" s="74" t="str">
        <f t="shared" si="7"/>
        <v>Open File</v>
      </c>
      <c r="N130" s="70" t="s">
        <v>34</v>
      </c>
      <c r="O130" s="71" t="str">
        <f t="shared" si="6"/>
        <v>ACTIVE</v>
      </c>
      <c r="P130" s="66"/>
      <c r="Q130" s="66"/>
      <c r="R130" s="85"/>
      <c r="S130" s="82"/>
      <c r="T130" s="83" t="str">
        <f t="shared" si="8"/>
        <v/>
      </c>
      <c r="U130" s="10"/>
      <c r="V130" s="41">
        <f>IF(AND(Q130&lt;&gt;"",RIGHT(Q130,3)&lt;&gt;""),IF(COUNTIF($Q$6:Q130,Q130)=1,1,0),0)</f>
        <v>0</v>
      </c>
      <c r="W130" s="41" t="str">
        <f t="shared" si="9"/>
        <v>NA.25.VIII.178-13</v>
      </c>
      <c r="X130" s="41" t="str">
        <f t="shared" si="10"/>
        <v/>
      </c>
    </row>
    <row r="131" s="32" customFormat="1" hidden="1" customHeight="1" spans="1:24">
      <c r="A131" s="34"/>
      <c r="B131" s="51">
        <v>126</v>
      </c>
      <c r="C131" s="51" t="s">
        <v>439</v>
      </c>
      <c r="D131" s="52" t="s">
        <v>440</v>
      </c>
      <c r="E131" s="53">
        <v>1</v>
      </c>
      <c r="F131" s="54" t="s">
        <v>29</v>
      </c>
      <c r="G131" s="54" t="s">
        <v>30</v>
      </c>
      <c r="H131" s="54" t="s">
        <v>31</v>
      </c>
      <c r="I131" s="66">
        <v>45888</v>
      </c>
      <c r="J131" s="54" t="s">
        <v>376</v>
      </c>
      <c r="K131" s="67">
        <v>12</v>
      </c>
      <c r="L131" s="68" t="s">
        <v>441</v>
      </c>
      <c r="M131" s="74" t="str">
        <f t="shared" si="7"/>
        <v>Open File</v>
      </c>
      <c r="N131" s="70" t="s">
        <v>34</v>
      </c>
      <c r="O131" s="71" t="str">
        <f t="shared" si="6"/>
        <v>ACTIVE</v>
      </c>
      <c r="P131" s="66"/>
      <c r="Q131" s="66"/>
      <c r="R131" s="85"/>
      <c r="S131" s="82"/>
      <c r="T131" s="83" t="str">
        <f t="shared" si="8"/>
        <v/>
      </c>
      <c r="U131" s="10"/>
      <c r="V131" s="41">
        <f>IF(AND(Q131&lt;&gt;"",RIGHT(Q131,3)&lt;&gt;""),IF(COUNTIF($Q$6:Q131,Q131)=1,1,0),0)</f>
        <v>0</v>
      </c>
      <c r="W131" s="41" t="str">
        <f t="shared" si="9"/>
        <v>NA.25.VIII.178-12</v>
      </c>
      <c r="X131" s="41" t="str">
        <f t="shared" si="10"/>
        <v/>
      </c>
    </row>
    <row r="132" s="32" customFormat="1" hidden="1" customHeight="1" spans="1:24">
      <c r="A132" s="34"/>
      <c r="B132" s="51">
        <v>127</v>
      </c>
      <c r="C132" s="51" t="s">
        <v>442</v>
      </c>
      <c r="D132" s="52" t="s">
        <v>443</v>
      </c>
      <c r="E132" s="53">
        <v>1</v>
      </c>
      <c r="F132" s="54" t="s">
        <v>29</v>
      </c>
      <c r="G132" s="54" t="s">
        <v>30</v>
      </c>
      <c r="H132" s="54" t="s">
        <v>31</v>
      </c>
      <c r="I132" s="66">
        <v>45888</v>
      </c>
      <c r="J132" s="54" t="s">
        <v>376</v>
      </c>
      <c r="K132" s="67">
        <v>11</v>
      </c>
      <c r="L132" s="68" t="s">
        <v>444</v>
      </c>
      <c r="M132" s="74" t="str">
        <f t="shared" si="7"/>
        <v>Open File</v>
      </c>
      <c r="N132" s="70" t="s">
        <v>34</v>
      </c>
      <c r="O132" s="71" t="str">
        <f t="shared" ref="O132:O195" si="11">IF(AND(Q132&lt;&gt;"",T132&lt;&gt;""),"PASSIVE",IF(AND(J132&lt;&gt;"",M132&lt;&gt;""),"ACTIVE",""))</f>
        <v>PASSIVE</v>
      </c>
      <c r="P132" s="66">
        <v>46067</v>
      </c>
      <c r="Q132" s="66" t="s">
        <v>445</v>
      </c>
      <c r="R132" s="85">
        <v>1</v>
      </c>
      <c r="S132" s="86" t="s">
        <v>446</v>
      </c>
      <c r="T132" s="87" t="str">
        <f t="shared" si="8"/>
        <v>Open File</v>
      </c>
      <c r="U132" s="10" t="s">
        <v>447</v>
      </c>
      <c r="V132" s="41">
        <f>IF(AND(Q132&lt;&gt;"",RIGHT(Q132,3)&lt;&gt;""),IF(COUNTIF($Q$6:Q132,Q132)=1,1,0),0)</f>
        <v>1</v>
      </c>
      <c r="W132" s="41" t="str">
        <f t="shared" si="9"/>
        <v>NA.25.VIII.178-11</v>
      </c>
      <c r="X132" s="41" t="str">
        <f t="shared" si="10"/>
        <v>RI.NV.26.II.049-1</v>
      </c>
    </row>
    <row r="133" s="32" customFormat="1" hidden="1" customHeight="1" spans="1:24">
      <c r="A133" s="34"/>
      <c r="B133" s="51">
        <v>128</v>
      </c>
      <c r="C133" s="51" t="s">
        <v>448</v>
      </c>
      <c r="D133" s="52" t="s">
        <v>449</v>
      </c>
      <c r="E133" s="53">
        <v>1</v>
      </c>
      <c r="F133" s="54" t="s">
        <v>29</v>
      </c>
      <c r="G133" s="54" t="s">
        <v>30</v>
      </c>
      <c r="H133" s="54" t="s">
        <v>31</v>
      </c>
      <c r="I133" s="66">
        <v>45888</v>
      </c>
      <c r="J133" s="54" t="s">
        <v>376</v>
      </c>
      <c r="K133" s="67">
        <v>10</v>
      </c>
      <c r="L133" s="68" t="s">
        <v>450</v>
      </c>
      <c r="M133" s="69" t="str">
        <f t="shared" si="7"/>
        <v>Open File</v>
      </c>
      <c r="N133" s="70" t="s">
        <v>34</v>
      </c>
      <c r="O133" s="71" t="str">
        <f t="shared" si="11"/>
        <v>ACTIVE</v>
      </c>
      <c r="P133" s="66"/>
      <c r="Q133" s="66"/>
      <c r="R133" s="85"/>
      <c r="S133" s="82"/>
      <c r="T133" s="83" t="str">
        <f t="shared" si="8"/>
        <v/>
      </c>
      <c r="U133" s="10"/>
      <c r="V133" s="41">
        <f>IF(AND(Q133&lt;&gt;"",RIGHT(Q133,3)&lt;&gt;""),IF(COUNTIF($Q$6:Q133,Q133)=1,1,0),0)</f>
        <v>0</v>
      </c>
      <c r="W133" s="41" t="str">
        <f t="shared" si="9"/>
        <v>NA.25.VIII.178-10</v>
      </c>
      <c r="X133" s="41" t="str">
        <f t="shared" si="10"/>
        <v/>
      </c>
    </row>
    <row r="134" s="32" customFormat="1" hidden="1" customHeight="1" spans="1:24">
      <c r="A134" s="34"/>
      <c r="B134" s="51">
        <v>129</v>
      </c>
      <c r="C134" s="51" t="s">
        <v>451</v>
      </c>
      <c r="D134" s="52" t="s">
        <v>449</v>
      </c>
      <c r="E134" s="53">
        <v>1</v>
      </c>
      <c r="F134" s="54" t="s">
        <v>29</v>
      </c>
      <c r="G134" s="54" t="s">
        <v>30</v>
      </c>
      <c r="H134" s="54" t="s">
        <v>37</v>
      </c>
      <c r="I134" s="66">
        <v>45888</v>
      </c>
      <c r="J134" s="54" t="s">
        <v>376</v>
      </c>
      <c r="K134" s="67">
        <v>9</v>
      </c>
      <c r="L134" s="68" t="s">
        <v>452</v>
      </c>
      <c r="M134" s="69" t="str">
        <f t="shared" ref="M134:M197" si="12">IF(L134="","",HYPERLINK(_xlfn.CONCAT($L$4,L134,".jpg"),"Open File"))</f>
        <v>Open File</v>
      </c>
      <c r="N134" s="70" t="s">
        <v>34</v>
      </c>
      <c r="O134" s="71" t="str">
        <f t="shared" si="11"/>
        <v>PASSIVE</v>
      </c>
      <c r="P134" s="66">
        <v>46151</v>
      </c>
      <c r="Q134" s="66" t="s">
        <v>453</v>
      </c>
      <c r="R134" s="85" t="s">
        <v>226</v>
      </c>
      <c r="S134" s="82" t="s">
        <v>454</v>
      </c>
      <c r="T134" s="87" t="str">
        <f t="shared" ref="T134:T197" si="13">IF(S134="","",HYPERLINK(_xlfn.CONCAT($S$4,S134,".jpg"),"Open File"))</f>
        <v>Open File</v>
      </c>
      <c r="U134" s="10" t="s">
        <v>447</v>
      </c>
      <c r="V134" s="41">
        <f>IF(AND(Q134&lt;&gt;"",RIGHT(Q134,3)&lt;&gt;""),IF(COUNTIF($Q$6:Q134,Q134)=1,1,0),0)</f>
        <v>1</v>
      </c>
      <c r="W134" s="41" t="str">
        <f t="shared" ref="W134:W197" si="14">IF(AND(J134&lt;&gt;"",K134&lt;&gt;""),_xlfn.CONCAT(SUBSTITUTE(J134,"/","."),"-",K134),"")</f>
        <v>NA.25.VIII.178-9</v>
      </c>
      <c r="X134" s="41" t="str">
        <f t="shared" ref="X134:X197" si="15">IF(AND(Q134&lt;&gt;"",R134&lt;&gt;""),_xlfn.CONCAT(SUBSTITUTE(Q134,"/","."),"-",R134),"")</f>
        <v>RI.NV.26.V.021-1</v>
      </c>
    </row>
    <row r="135" s="32" customFormat="1" hidden="1" customHeight="1" spans="1:24">
      <c r="A135" s="34"/>
      <c r="B135" s="51">
        <v>130</v>
      </c>
      <c r="C135" s="51" t="s">
        <v>455</v>
      </c>
      <c r="D135" s="52" t="s">
        <v>456</v>
      </c>
      <c r="E135" s="53">
        <v>1</v>
      </c>
      <c r="F135" s="54" t="s">
        <v>29</v>
      </c>
      <c r="G135" s="54" t="s">
        <v>30</v>
      </c>
      <c r="H135" s="54" t="s">
        <v>37</v>
      </c>
      <c r="I135" s="66">
        <v>45888</v>
      </c>
      <c r="J135" s="54" t="s">
        <v>376</v>
      </c>
      <c r="K135" s="67">
        <v>8</v>
      </c>
      <c r="L135" s="68" t="s">
        <v>457</v>
      </c>
      <c r="M135" s="74" t="str">
        <f t="shared" si="12"/>
        <v>Open File</v>
      </c>
      <c r="N135" s="70" t="s">
        <v>34</v>
      </c>
      <c r="O135" s="71" t="str">
        <f t="shared" si="11"/>
        <v>ACTIVE</v>
      </c>
      <c r="P135" s="66"/>
      <c r="Q135" s="66"/>
      <c r="R135" s="85"/>
      <c r="S135" s="82"/>
      <c r="T135" s="83" t="str">
        <f t="shared" si="13"/>
        <v/>
      </c>
      <c r="U135" s="10"/>
      <c r="V135" s="41">
        <f>IF(AND(Q135&lt;&gt;"",RIGHT(Q135,3)&lt;&gt;""),IF(COUNTIF($Q$6:Q135,Q135)=1,1,0),0)</f>
        <v>0</v>
      </c>
      <c r="W135" s="41" t="str">
        <f t="shared" si="14"/>
        <v>NA.25.VIII.178-8</v>
      </c>
      <c r="X135" s="41" t="str">
        <f t="shared" si="15"/>
        <v/>
      </c>
    </row>
    <row r="136" s="32" customFormat="1" hidden="1" customHeight="1" spans="1:24">
      <c r="A136" s="34"/>
      <c r="B136" s="51">
        <v>131</v>
      </c>
      <c r="C136" s="51" t="s">
        <v>458</v>
      </c>
      <c r="D136" s="52" t="s">
        <v>459</v>
      </c>
      <c r="E136" s="53">
        <v>1</v>
      </c>
      <c r="F136" s="54" t="s">
        <v>29</v>
      </c>
      <c r="G136" s="54" t="s">
        <v>30</v>
      </c>
      <c r="H136" s="54" t="s">
        <v>31</v>
      </c>
      <c r="I136" s="66">
        <v>45888</v>
      </c>
      <c r="J136" s="54" t="s">
        <v>376</v>
      </c>
      <c r="K136" s="67">
        <v>7</v>
      </c>
      <c r="L136" s="68" t="s">
        <v>460</v>
      </c>
      <c r="M136" s="69" t="str">
        <f t="shared" si="12"/>
        <v>Open File</v>
      </c>
      <c r="N136" s="70" t="s">
        <v>34</v>
      </c>
      <c r="O136" s="71" t="str">
        <f t="shared" si="11"/>
        <v>ACTIVE</v>
      </c>
      <c r="P136" s="66"/>
      <c r="Q136" s="66"/>
      <c r="R136" s="85"/>
      <c r="S136" s="82"/>
      <c r="T136" s="83" t="str">
        <f t="shared" si="13"/>
        <v/>
      </c>
      <c r="U136" s="10"/>
      <c r="V136" s="41">
        <f>IF(AND(Q136&lt;&gt;"",RIGHT(Q136,3)&lt;&gt;""),IF(COUNTIF($Q$6:Q136,Q136)=1,1,0),0)</f>
        <v>0</v>
      </c>
      <c r="W136" s="41" t="str">
        <f t="shared" si="14"/>
        <v>NA.25.VIII.178-7</v>
      </c>
      <c r="X136" s="41" t="str">
        <f t="shared" si="15"/>
        <v/>
      </c>
    </row>
    <row r="137" s="32" customFormat="1" hidden="1" customHeight="1" spans="1:24">
      <c r="A137" s="34"/>
      <c r="B137" s="51">
        <v>132</v>
      </c>
      <c r="C137" s="51" t="s">
        <v>461</v>
      </c>
      <c r="D137" s="52" t="s">
        <v>462</v>
      </c>
      <c r="E137" s="53">
        <v>1</v>
      </c>
      <c r="F137" s="54" t="s">
        <v>29</v>
      </c>
      <c r="G137" s="54" t="s">
        <v>30</v>
      </c>
      <c r="H137" s="54" t="s">
        <v>463</v>
      </c>
      <c r="I137" s="66">
        <v>45888</v>
      </c>
      <c r="J137" s="54" t="s">
        <v>376</v>
      </c>
      <c r="K137" s="67">
        <v>6</v>
      </c>
      <c r="L137" s="68" t="s">
        <v>464</v>
      </c>
      <c r="M137" s="74" t="str">
        <f t="shared" si="12"/>
        <v>Open File</v>
      </c>
      <c r="N137" s="70" t="s">
        <v>34</v>
      </c>
      <c r="O137" s="71" t="str">
        <f t="shared" si="11"/>
        <v>ACTIVE</v>
      </c>
      <c r="P137" s="66"/>
      <c r="Q137" s="66"/>
      <c r="R137" s="85"/>
      <c r="S137" s="82"/>
      <c r="T137" s="83" t="str">
        <f t="shared" si="13"/>
        <v/>
      </c>
      <c r="U137" s="10"/>
      <c r="V137" s="41">
        <f>IF(AND(Q137&lt;&gt;"",RIGHT(Q137,3)&lt;&gt;""),IF(COUNTIF($Q$6:Q137,Q137)=1,1,0),0)</f>
        <v>0</v>
      </c>
      <c r="W137" s="41" t="str">
        <f t="shared" si="14"/>
        <v>NA.25.VIII.178-6</v>
      </c>
      <c r="X137" s="41" t="str">
        <f t="shared" si="15"/>
        <v/>
      </c>
    </row>
    <row r="138" s="32" customFormat="1" hidden="1" customHeight="1" spans="1:24">
      <c r="A138" s="34"/>
      <c r="B138" s="51">
        <v>133</v>
      </c>
      <c r="C138" s="51" t="s">
        <v>465</v>
      </c>
      <c r="D138" s="52" t="s">
        <v>466</v>
      </c>
      <c r="E138" s="53">
        <v>1</v>
      </c>
      <c r="F138" s="54" t="s">
        <v>29</v>
      </c>
      <c r="G138" s="54" t="s">
        <v>30</v>
      </c>
      <c r="H138" s="54" t="s">
        <v>463</v>
      </c>
      <c r="I138" s="66">
        <v>45888</v>
      </c>
      <c r="J138" s="54" t="s">
        <v>376</v>
      </c>
      <c r="K138" s="67">
        <v>5</v>
      </c>
      <c r="L138" s="68" t="s">
        <v>467</v>
      </c>
      <c r="M138" s="74" t="str">
        <f t="shared" si="12"/>
        <v>Open File</v>
      </c>
      <c r="N138" s="70" t="s">
        <v>34</v>
      </c>
      <c r="O138" s="71" t="str">
        <f t="shared" si="11"/>
        <v>ACTIVE</v>
      </c>
      <c r="P138" s="66"/>
      <c r="Q138" s="66"/>
      <c r="R138" s="85"/>
      <c r="S138" s="82"/>
      <c r="T138" s="83" t="str">
        <f t="shared" si="13"/>
        <v/>
      </c>
      <c r="U138" s="10"/>
      <c r="V138" s="41">
        <f>IF(AND(Q138&lt;&gt;"",RIGHT(Q138,3)&lt;&gt;""),IF(COUNTIF($Q$6:Q138,Q138)=1,1,0),0)</f>
        <v>0</v>
      </c>
      <c r="W138" s="41" t="str">
        <f t="shared" si="14"/>
        <v>NA.25.VIII.178-5</v>
      </c>
      <c r="X138" s="41" t="str">
        <f t="shared" si="15"/>
        <v/>
      </c>
    </row>
    <row r="139" s="32" customFormat="1" hidden="1" customHeight="1" spans="1:24">
      <c r="A139" s="34"/>
      <c r="B139" s="51">
        <v>134</v>
      </c>
      <c r="C139" s="51" t="s">
        <v>468</v>
      </c>
      <c r="D139" s="52" t="s">
        <v>469</v>
      </c>
      <c r="E139" s="53">
        <v>1</v>
      </c>
      <c r="F139" s="54" t="s">
        <v>29</v>
      </c>
      <c r="G139" s="54" t="s">
        <v>30</v>
      </c>
      <c r="H139" s="54" t="s">
        <v>37</v>
      </c>
      <c r="I139" s="66">
        <v>45888</v>
      </c>
      <c r="J139" s="54" t="s">
        <v>376</v>
      </c>
      <c r="K139" s="67">
        <v>4</v>
      </c>
      <c r="L139" s="68" t="s">
        <v>470</v>
      </c>
      <c r="M139" s="74" t="str">
        <f t="shared" si="12"/>
        <v>Open File</v>
      </c>
      <c r="N139" s="70" t="s">
        <v>34</v>
      </c>
      <c r="O139" s="71" t="str">
        <f t="shared" si="11"/>
        <v>ACTIVE</v>
      </c>
      <c r="P139" s="66"/>
      <c r="Q139" s="66"/>
      <c r="R139" s="85"/>
      <c r="S139" s="82"/>
      <c r="T139" s="83" t="str">
        <f t="shared" si="13"/>
        <v/>
      </c>
      <c r="U139" s="10"/>
      <c r="V139" s="41">
        <f>IF(AND(Q139&lt;&gt;"",RIGHT(Q139,3)&lt;&gt;""),IF(COUNTIF($Q$6:Q139,Q139)=1,1,0),0)</f>
        <v>0</v>
      </c>
      <c r="W139" s="41" t="str">
        <f t="shared" si="14"/>
        <v>NA.25.VIII.178-4</v>
      </c>
      <c r="X139" s="41" t="str">
        <f t="shared" si="15"/>
        <v/>
      </c>
    </row>
    <row r="140" s="32" customFormat="1" hidden="1" customHeight="1" spans="1:24">
      <c r="A140" s="34"/>
      <c r="B140" s="51">
        <v>135</v>
      </c>
      <c r="C140" s="51" t="s">
        <v>471</v>
      </c>
      <c r="D140" s="52" t="s">
        <v>469</v>
      </c>
      <c r="E140" s="53">
        <v>1</v>
      </c>
      <c r="F140" s="54" t="s">
        <v>29</v>
      </c>
      <c r="G140" s="54" t="s">
        <v>30</v>
      </c>
      <c r="H140" s="54" t="s">
        <v>31</v>
      </c>
      <c r="I140" s="66">
        <v>45888</v>
      </c>
      <c r="J140" s="54" t="s">
        <v>376</v>
      </c>
      <c r="K140" s="67">
        <v>3</v>
      </c>
      <c r="L140" s="68" t="s">
        <v>472</v>
      </c>
      <c r="M140" s="74" t="str">
        <f t="shared" si="12"/>
        <v>Open File</v>
      </c>
      <c r="N140" s="70" t="s">
        <v>34</v>
      </c>
      <c r="O140" s="71" t="str">
        <f t="shared" si="11"/>
        <v>ACTIVE</v>
      </c>
      <c r="P140" s="66"/>
      <c r="Q140" s="66"/>
      <c r="R140" s="85"/>
      <c r="S140" s="82"/>
      <c r="T140" s="83" t="str">
        <f t="shared" si="13"/>
        <v/>
      </c>
      <c r="U140" s="10"/>
      <c r="V140" s="41">
        <f>IF(AND(Q140&lt;&gt;"",RIGHT(Q140,3)&lt;&gt;""),IF(COUNTIF($Q$6:Q140,Q140)=1,1,0),0)</f>
        <v>0</v>
      </c>
      <c r="W140" s="41" t="str">
        <f t="shared" si="14"/>
        <v>NA.25.VIII.178-3</v>
      </c>
      <c r="X140" s="41" t="str">
        <f t="shared" si="15"/>
        <v/>
      </c>
    </row>
    <row r="141" s="32" customFormat="1" hidden="1" customHeight="1" spans="1:24">
      <c r="A141" s="34"/>
      <c r="B141" s="51">
        <v>136</v>
      </c>
      <c r="C141" s="51" t="s">
        <v>473</v>
      </c>
      <c r="D141" s="52" t="s">
        <v>474</v>
      </c>
      <c r="E141" s="53">
        <v>10</v>
      </c>
      <c r="F141" s="54" t="s">
        <v>422</v>
      </c>
      <c r="G141" s="54" t="s">
        <v>30</v>
      </c>
      <c r="H141" s="54" t="s">
        <v>31</v>
      </c>
      <c r="I141" s="66">
        <v>45888</v>
      </c>
      <c r="J141" s="54" t="s">
        <v>376</v>
      </c>
      <c r="K141" s="67">
        <v>2</v>
      </c>
      <c r="L141" s="68" t="s">
        <v>475</v>
      </c>
      <c r="M141" s="74" t="str">
        <f t="shared" si="12"/>
        <v>Open File</v>
      </c>
      <c r="N141" s="70" t="s">
        <v>34</v>
      </c>
      <c r="O141" s="71" t="str">
        <f t="shared" si="11"/>
        <v>ACTIVE</v>
      </c>
      <c r="P141" s="66"/>
      <c r="Q141" s="66"/>
      <c r="R141" s="85"/>
      <c r="S141" s="82"/>
      <c r="T141" s="83" t="str">
        <f t="shared" si="13"/>
        <v/>
      </c>
      <c r="U141" s="10"/>
      <c r="V141" s="41">
        <f>IF(AND(Q141&lt;&gt;"",RIGHT(Q141,3)&lt;&gt;""),IF(COUNTIF($Q$6:Q141,Q141)=1,1,0),0)</f>
        <v>0</v>
      </c>
      <c r="W141" s="41" t="str">
        <f t="shared" si="14"/>
        <v>NA.25.VIII.178-2</v>
      </c>
      <c r="X141" s="41" t="str">
        <f t="shared" si="15"/>
        <v/>
      </c>
    </row>
    <row r="142" s="32" customFormat="1" hidden="1" customHeight="1" spans="1:24">
      <c r="A142" s="34"/>
      <c r="B142" s="51">
        <v>137</v>
      </c>
      <c r="C142" s="51" t="s">
        <v>476</v>
      </c>
      <c r="D142" s="52" t="s">
        <v>477</v>
      </c>
      <c r="E142" s="53">
        <v>10</v>
      </c>
      <c r="F142" s="54" t="s">
        <v>422</v>
      </c>
      <c r="G142" s="54" t="s">
        <v>30</v>
      </c>
      <c r="H142" s="54" t="s">
        <v>37</v>
      </c>
      <c r="I142" s="66">
        <v>45888</v>
      </c>
      <c r="J142" s="54" t="s">
        <v>376</v>
      </c>
      <c r="K142" s="67">
        <v>1</v>
      </c>
      <c r="L142" s="68" t="s">
        <v>478</v>
      </c>
      <c r="M142" s="74" t="str">
        <f t="shared" si="12"/>
        <v>Open File</v>
      </c>
      <c r="N142" s="70" t="s">
        <v>34</v>
      </c>
      <c r="O142" s="71" t="str">
        <f t="shared" si="11"/>
        <v>ACTIVE</v>
      </c>
      <c r="P142" s="66"/>
      <c r="Q142" s="66"/>
      <c r="R142" s="85"/>
      <c r="S142" s="82"/>
      <c r="T142" s="83" t="str">
        <f t="shared" si="13"/>
        <v/>
      </c>
      <c r="U142" s="10"/>
      <c r="V142" s="41">
        <f>IF(AND(Q142&lt;&gt;"",RIGHT(Q142,3)&lt;&gt;""),IF(COUNTIF($Q$6:Q142,Q142)=1,1,0),0)</f>
        <v>0</v>
      </c>
      <c r="W142" s="41" t="str">
        <f t="shared" si="14"/>
        <v>NA.25.VIII.178-1</v>
      </c>
      <c r="X142" s="41" t="str">
        <f t="shared" si="15"/>
        <v/>
      </c>
    </row>
    <row r="143" s="32" customFormat="1" hidden="1" customHeight="1" spans="1:24">
      <c r="A143" s="34"/>
      <c r="B143" s="51">
        <v>138</v>
      </c>
      <c r="C143" s="51" t="s">
        <v>479</v>
      </c>
      <c r="D143" s="52" t="s">
        <v>480</v>
      </c>
      <c r="E143" s="53">
        <v>1</v>
      </c>
      <c r="F143" s="54" t="s">
        <v>29</v>
      </c>
      <c r="G143" s="54" t="s">
        <v>481</v>
      </c>
      <c r="H143" s="54" t="s">
        <v>375</v>
      </c>
      <c r="I143" s="66">
        <v>45888</v>
      </c>
      <c r="J143" s="54" t="s">
        <v>482</v>
      </c>
      <c r="K143" s="67">
        <v>13</v>
      </c>
      <c r="L143" s="68" t="s">
        <v>483</v>
      </c>
      <c r="M143" s="74" t="str">
        <f t="shared" si="12"/>
        <v>Open File</v>
      </c>
      <c r="N143" s="70" t="s">
        <v>34</v>
      </c>
      <c r="O143" s="71" t="str">
        <f t="shared" si="11"/>
        <v>ACTIVE</v>
      </c>
      <c r="P143" s="66"/>
      <c r="Q143" s="66"/>
      <c r="R143" s="85"/>
      <c r="S143" s="82"/>
      <c r="T143" s="83" t="str">
        <f t="shared" si="13"/>
        <v/>
      </c>
      <c r="U143" s="10"/>
      <c r="V143" s="41">
        <f>IF(AND(Q143&lt;&gt;"",RIGHT(Q143,3)&lt;&gt;""),IF(COUNTIF($Q$6:Q143,Q143)=1,1,0),0)</f>
        <v>0</v>
      </c>
      <c r="W143" s="41" t="str">
        <f t="shared" si="14"/>
        <v>NA.25.VIII.176-13</v>
      </c>
      <c r="X143" s="41" t="str">
        <f t="shared" si="15"/>
        <v/>
      </c>
    </row>
    <row r="144" s="32" customFormat="1" hidden="1" customHeight="1" spans="1:24">
      <c r="A144" s="34"/>
      <c r="B144" s="51">
        <v>139</v>
      </c>
      <c r="C144" s="51" t="s">
        <v>484</v>
      </c>
      <c r="D144" s="52" t="s">
        <v>485</v>
      </c>
      <c r="E144" s="53">
        <v>1</v>
      </c>
      <c r="F144" s="54" t="s">
        <v>29</v>
      </c>
      <c r="G144" s="54" t="s">
        <v>481</v>
      </c>
      <c r="H144" s="54" t="s">
        <v>375</v>
      </c>
      <c r="I144" s="66">
        <v>45888</v>
      </c>
      <c r="J144" s="54" t="s">
        <v>482</v>
      </c>
      <c r="K144" s="67">
        <v>12</v>
      </c>
      <c r="L144" s="68" t="s">
        <v>486</v>
      </c>
      <c r="M144" s="74" t="str">
        <f t="shared" si="12"/>
        <v>Open File</v>
      </c>
      <c r="N144" s="70" t="s">
        <v>34</v>
      </c>
      <c r="O144" s="71" t="str">
        <f t="shared" si="11"/>
        <v>ACTIVE</v>
      </c>
      <c r="P144" s="66"/>
      <c r="Q144" s="66"/>
      <c r="R144" s="85"/>
      <c r="S144" s="82"/>
      <c r="T144" s="83" t="str">
        <f t="shared" si="13"/>
        <v/>
      </c>
      <c r="U144" s="10"/>
      <c r="V144" s="41">
        <f>IF(AND(Q144&lt;&gt;"",RIGHT(Q144,3)&lt;&gt;""),IF(COUNTIF($Q$6:Q144,Q144)=1,1,0),0)</f>
        <v>0</v>
      </c>
      <c r="W144" s="41" t="str">
        <f t="shared" si="14"/>
        <v>NA.25.VIII.176-12</v>
      </c>
      <c r="X144" s="41" t="str">
        <f t="shared" si="15"/>
        <v/>
      </c>
    </row>
    <row r="145" s="32" customFormat="1" hidden="1" customHeight="1" spans="1:24">
      <c r="A145" s="34"/>
      <c r="B145" s="51">
        <v>140</v>
      </c>
      <c r="C145" s="51" t="s">
        <v>487</v>
      </c>
      <c r="D145" s="52" t="s">
        <v>320</v>
      </c>
      <c r="E145" s="53">
        <v>1</v>
      </c>
      <c r="F145" s="54" t="s">
        <v>29</v>
      </c>
      <c r="G145" s="54" t="s">
        <v>481</v>
      </c>
      <c r="H145" s="54" t="s">
        <v>375</v>
      </c>
      <c r="I145" s="66">
        <v>45888</v>
      </c>
      <c r="J145" s="54" t="s">
        <v>482</v>
      </c>
      <c r="K145" s="67">
        <v>11</v>
      </c>
      <c r="L145" s="68" t="s">
        <v>488</v>
      </c>
      <c r="M145" s="74" t="str">
        <f t="shared" si="12"/>
        <v>Open File</v>
      </c>
      <c r="N145" s="70" t="s">
        <v>34</v>
      </c>
      <c r="O145" s="71" t="str">
        <f t="shared" si="11"/>
        <v>ACTIVE</v>
      </c>
      <c r="P145" s="66"/>
      <c r="Q145" s="66"/>
      <c r="R145" s="85"/>
      <c r="S145" s="82"/>
      <c r="T145" s="83" t="str">
        <f t="shared" si="13"/>
        <v/>
      </c>
      <c r="U145" s="10"/>
      <c r="V145" s="41">
        <f>IF(AND(Q145&lt;&gt;"",RIGHT(Q145,3)&lt;&gt;""),IF(COUNTIF($Q$6:Q145,Q145)=1,1,0),0)</f>
        <v>0</v>
      </c>
      <c r="W145" s="41" t="str">
        <f t="shared" si="14"/>
        <v>NA.25.VIII.176-11</v>
      </c>
      <c r="X145" s="41" t="str">
        <f t="shared" si="15"/>
        <v/>
      </c>
    </row>
    <row r="146" s="32" customFormat="1" hidden="1" customHeight="1" spans="1:24">
      <c r="A146" s="34"/>
      <c r="B146" s="51">
        <v>141</v>
      </c>
      <c r="C146" s="51" t="s">
        <v>489</v>
      </c>
      <c r="D146" s="52" t="s">
        <v>320</v>
      </c>
      <c r="E146" s="53">
        <v>1</v>
      </c>
      <c r="F146" s="54" t="s">
        <v>29</v>
      </c>
      <c r="G146" s="54" t="s">
        <v>481</v>
      </c>
      <c r="H146" s="54" t="s">
        <v>375</v>
      </c>
      <c r="I146" s="66">
        <v>45888</v>
      </c>
      <c r="J146" s="54" t="s">
        <v>482</v>
      </c>
      <c r="K146" s="67">
        <v>10</v>
      </c>
      <c r="L146" s="68" t="s">
        <v>490</v>
      </c>
      <c r="M146" s="74" t="str">
        <f t="shared" si="12"/>
        <v>Open File</v>
      </c>
      <c r="N146" s="70" t="s">
        <v>34</v>
      </c>
      <c r="O146" s="71" t="str">
        <f t="shared" si="11"/>
        <v>ACTIVE</v>
      </c>
      <c r="P146" s="66"/>
      <c r="Q146" s="66"/>
      <c r="R146" s="85"/>
      <c r="S146" s="82"/>
      <c r="T146" s="83" t="str">
        <f t="shared" si="13"/>
        <v/>
      </c>
      <c r="U146" s="10"/>
      <c r="V146" s="41">
        <f>IF(AND(Q146&lt;&gt;"",RIGHT(Q146,3)&lt;&gt;""),IF(COUNTIF($Q$6:Q146,Q146)=1,1,0),0)</f>
        <v>0</v>
      </c>
      <c r="W146" s="41" t="str">
        <f t="shared" si="14"/>
        <v>NA.25.VIII.176-10</v>
      </c>
      <c r="X146" s="41" t="str">
        <f t="shared" si="15"/>
        <v/>
      </c>
    </row>
    <row r="147" s="32" customFormat="1" hidden="1" customHeight="1" spans="1:24">
      <c r="A147" s="34"/>
      <c r="B147" s="51">
        <v>142</v>
      </c>
      <c r="C147" s="51" t="s">
        <v>491</v>
      </c>
      <c r="D147" s="52" t="s">
        <v>327</v>
      </c>
      <c r="E147" s="53">
        <v>1</v>
      </c>
      <c r="F147" s="54" t="s">
        <v>29</v>
      </c>
      <c r="G147" s="54" t="s">
        <v>481</v>
      </c>
      <c r="H147" s="54" t="s">
        <v>375</v>
      </c>
      <c r="I147" s="66">
        <v>45888</v>
      </c>
      <c r="J147" s="54" t="s">
        <v>482</v>
      </c>
      <c r="K147" s="67">
        <v>9</v>
      </c>
      <c r="L147" s="68" t="s">
        <v>492</v>
      </c>
      <c r="M147" s="74" t="str">
        <f t="shared" si="12"/>
        <v>Open File</v>
      </c>
      <c r="N147" s="70" t="s">
        <v>34</v>
      </c>
      <c r="O147" s="71" t="str">
        <f t="shared" si="11"/>
        <v>ACTIVE</v>
      </c>
      <c r="P147" s="66"/>
      <c r="Q147" s="66"/>
      <c r="R147" s="85"/>
      <c r="S147" s="82"/>
      <c r="T147" s="83" t="str">
        <f t="shared" si="13"/>
        <v/>
      </c>
      <c r="U147" s="10"/>
      <c r="V147" s="41">
        <f>IF(AND(Q147&lt;&gt;"",RIGHT(Q147,3)&lt;&gt;""),IF(COUNTIF($Q$6:Q147,Q147)=1,1,0),0)</f>
        <v>0</v>
      </c>
      <c r="W147" s="41" t="str">
        <f t="shared" si="14"/>
        <v>NA.25.VIII.176-9</v>
      </c>
      <c r="X147" s="41" t="str">
        <f t="shared" si="15"/>
        <v/>
      </c>
    </row>
    <row r="148" s="32" customFormat="1" hidden="1" customHeight="1" spans="1:24">
      <c r="A148" s="34"/>
      <c r="B148" s="51">
        <v>143</v>
      </c>
      <c r="C148" s="51" t="s">
        <v>493</v>
      </c>
      <c r="D148" s="52" t="s">
        <v>494</v>
      </c>
      <c r="E148" s="53">
        <v>1</v>
      </c>
      <c r="F148" s="54" t="s">
        <v>66</v>
      </c>
      <c r="G148" s="54" t="s">
        <v>481</v>
      </c>
      <c r="H148" s="54" t="s">
        <v>375</v>
      </c>
      <c r="I148" s="66">
        <v>45888</v>
      </c>
      <c r="J148" s="54" t="s">
        <v>482</v>
      </c>
      <c r="K148" s="67">
        <v>8</v>
      </c>
      <c r="L148" s="68" t="s">
        <v>495</v>
      </c>
      <c r="M148" s="74" t="str">
        <f t="shared" si="12"/>
        <v>Open File</v>
      </c>
      <c r="N148" s="70" t="s">
        <v>34</v>
      </c>
      <c r="O148" s="71" t="str">
        <f t="shared" si="11"/>
        <v>ACTIVE</v>
      </c>
      <c r="P148" s="66"/>
      <c r="Q148" s="66"/>
      <c r="R148" s="85"/>
      <c r="S148" s="82"/>
      <c r="T148" s="83" t="str">
        <f t="shared" si="13"/>
        <v/>
      </c>
      <c r="U148" s="10"/>
      <c r="V148" s="41">
        <f>IF(AND(Q148&lt;&gt;"",RIGHT(Q148,3)&lt;&gt;""),IF(COUNTIF($Q$6:Q148,Q148)=1,1,0),0)</f>
        <v>0</v>
      </c>
      <c r="W148" s="41" t="str">
        <f t="shared" si="14"/>
        <v>NA.25.VIII.176-8</v>
      </c>
      <c r="X148" s="41" t="str">
        <f t="shared" si="15"/>
        <v/>
      </c>
    </row>
    <row r="149" s="32" customFormat="1" hidden="1" customHeight="1" spans="1:24">
      <c r="A149" s="34"/>
      <c r="B149" s="51">
        <v>144</v>
      </c>
      <c r="C149" s="51" t="s">
        <v>496</v>
      </c>
      <c r="D149" s="52" t="s">
        <v>497</v>
      </c>
      <c r="E149" s="53">
        <v>1</v>
      </c>
      <c r="F149" s="54" t="s">
        <v>29</v>
      </c>
      <c r="G149" s="54" t="s">
        <v>481</v>
      </c>
      <c r="H149" s="54" t="s">
        <v>375</v>
      </c>
      <c r="I149" s="66">
        <v>45888</v>
      </c>
      <c r="J149" s="54" t="s">
        <v>482</v>
      </c>
      <c r="K149" s="67">
        <v>7</v>
      </c>
      <c r="L149" s="68" t="s">
        <v>498</v>
      </c>
      <c r="M149" s="74" t="str">
        <f t="shared" si="12"/>
        <v>Open File</v>
      </c>
      <c r="N149" s="70" t="s">
        <v>34</v>
      </c>
      <c r="O149" s="71" t="str">
        <f t="shared" si="11"/>
        <v>ACTIVE</v>
      </c>
      <c r="P149" s="66"/>
      <c r="Q149" s="66"/>
      <c r="R149" s="85"/>
      <c r="S149" s="82"/>
      <c r="T149" s="83" t="str">
        <f t="shared" si="13"/>
        <v/>
      </c>
      <c r="U149" s="10"/>
      <c r="V149" s="41">
        <f>IF(AND(Q149&lt;&gt;"",RIGHT(Q149,3)&lt;&gt;""),IF(COUNTIF($Q$6:Q149,Q149)=1,1,0),0)</f>
        <v>0</v>
      </c>
      <c r="W149" s="41" t="str">
        <f t="shared" si="14"/>
        <v>NA.25.VIII.176-7</v>
      </c>
      <c r="X149" s="41" t="str">
        <f t="shared" si="15"/>
        <v/>
      </c>
    </row>
    <row r="150" s="32" customFormat="1" hidden="1" customHeight="1" spans="1:24">
      <c r="A150" s="34"/>
      <c r="B150" s="51">
        <v>145</v>
      </c>
      <c r="C150" s="51" t="s">
        <v>499</v>
      </c>
      <c r="D150" s="52" t="s">
        <v>353</v>
      </c>
      <c r="E150" s="53">
        <v>1</v>
      </c>
      <c r="F150" s="54" t="s">
        <v>29</v>
      </c>
      <c r="G150" s="54" t="s">
        <v>481</v>
      </c>
      <c r="H150" s="54" t="s">
        <v>375</v>
      </c>
      <c r="I150" s="66">
        <v>45888</v>
      </c>
      <c r="J150" s="54" t="s">
        <v>482</v>
      </c>
      <c r="K150" s="67">
        <v>6</v>
      </c>
      <c r="L150" s="68" t="s">
        <v>500</v>
      </c>
      <c r="M150" s="74" t="str">
        <f t="shared" si="12"/>
        <v>Open File</v>
      </c>
      <c r="N150" s="70" t="s">
        <v>34</v>
      </c>
      <c r="O150" s="71" t="str">
        <f t="shared" si="11"/>
        <v>ACTIVE</v>
      </c>
      <c r="P150" s="66"/>
      <c r="Q150" s="66"/>
      <c r="R150" s="85"/>
      <c r="S150" s="82"/>
      <c r="T150" s="83" t="str">
        <f t="shared" si="13"/>
        <v/>
      </c>
      <c r="U150" s="10"/>
      <c r="V150" s="41">
        <f>IF(AND(Q150&lt;&gt;"",RIGHT(Q150,3)&lt;&gt;""),IF(COUNTIF($Q$6:Q150,Q150)=1,1,0),0)</f>
        <v>0</v>
      </c>
      <c r="W150" s="41" t="str">
        <f t="shared" si="14"/>
        <v>NA.25.VIII.176-6</v>
      </c>
      <c r="X150" s="41" t="str">
        <f t="shared" si="15"/>
        <v/>
      </c>
    </row>
    <row r="151" s="32" customFormat="1" hidden="1" customHeight="1" spans="1:24">
      <c r="A151" s="34"/>
      <c r="B151" s="51">
        <v>146</v>
      </c>
      <c r="C151" s="51" t="s">
        <v>501</v>
      </c>
      <c r="D151" s="52" t="s">
        <v>502</v>
      </c>
      <c r="E151" s="53">
        <v>1</v>
      </c>
      <c r="F151" s="54" t="s">
        <v>29</v>
      </c>
      <c r="G151" s="54" t="s">
        <v>481</v>
      </c>
      <c r="H151" s="54" t="s">
        <v>375</v>
      </c>
      <c r="I151" s="66">
        <v>45888</v>
      </c>
      <c r="J151" s="54" t="s">
        <v>482</v>
      </c>
      <c r="K151" s="67">
        <v>5</v>
      </c>
      <c r="L151" s="68" t="s">
        <v>503</v>
      </c>
      <c r="M151" s="74" t="str">
        <f t="shared" si="12"/>
        <v>Open File</v>
      </c>
      <c r="N151" s="70" t="s">
        <v>34</v>
      </c>
      <c r="O151" s="71" t="str">
        <f t="shared" si="11"/>
        <v>ACTIVE</v>
      </c>
      <c r="P151" s="66"/>
      <c r="Q151" s="66"/>
      <c r="R151" s="85"/>
      <c r="S151" s="82"/>
      <c r="T151" s="83" t="str">
        <f t="shared" si="13"/>
        <v/>
      </c>
      <c r="U151" s="10"/>
      <c r="V151" s="41">
        <f>IF(AND(Q151&lt;&gt;"",RIGHT(Q151,3)&lt;&gt;""),IF(COUNTIF($Q$6:Q151,Q151)=1,1,0),0)</f>
        <v>0</v>
      </c>
      <c r="W151" s="41" t="str">
        <f t="shared" si="14"/>
        <v>NA.25.VIII.176-5</v>
      </c>
      <c r="X151" s="41" t="str">
        <f t="shared" si="15"/>
        <v/>
      </c>
    </row>
    <row r="152" s="32" customFormat="1" hidden="1" customHeight="1" spans="1:24">
      <c r="A152" s="34"/>
      <c r="B152" s="51">
        <v>147</v>
      </c>
      <c r="C152" s="51" t="s">
        <v>504</v>
      </c>
      <c r="D152" s="52" t="s">
        <v>505</v>
      </c>
      <c r="E152" s="53">
        <v>1</v>
      </c>
      <c r="F152" s="54" t="s">
        <v>29</v>
      </c>
      <c r="G152" s="54" t="s">
        <v>481</v>
      </c>
      <c r="H152" s="54" t="s">
        <v>375</v>
      </c>
      <c r="I152" s="66">
        <v>45888</v>
      </c>
      <c r="J152" s="54" t="s">
        <v>482</v>
      </c>
      <c r="K152" s="67">
        <v>4</v>
      </c>
      <c r="L152" s="68" t="s">
        <v>506</v>
      </c>
      <c r="M152" s="74" t="str">
        <f t="shared" si="12"/>
        <v>Open File</v>
      </c>
      <c r="N152" s="70" t="s">
        <v>34</v>
      </c>
      <c r="O152" s="71" t="str">
        <f t="shared" si="11"/>
        <v>ACTIVE</v>
      </c>
      <c r="P152" s="66"/>
      <c r="Q152" s="66"/>
      <c r="R152" s="85"/>
      <c r="S152" s="82"/>
      <c r="T152" s="83" t="str">
        <f t="shared" si="13"/>
        <v/>
      </c>
      <c r="U152" s="10"/>
      <c r="V152" s="41">
        <f>IF(AND(Q152&lt;&gt;"",RIGHT(Q152,3)&lt;&gt;""),IF(COUNTIF($Q$6:Q152,Q152)=1,1,0),0)</f>
        <v>0</v>
      </c>
      <c r="W152" s="41" t="str">
        <f t="shared" si="14"/>
        <v>NA.25.VIII.176-4</v>
      </c>
      <c r="X152" s="41" t="str">
        <f t="shared" si="15"/>
        <v/>
      </c>
    </row>
    <row r="153" s="32" customFormat="1" hidden="1" customHeight="1" spans="1:24">
      <c r="A153" s="34"/>
      <c r="B153" s="51">
        <v>148</v>
      </c>
      <c r="C153" s="51" t="s">
        <v>507</v>
      </c>
      <c r="D153" s="52" t="s">
        <v>505</v>
      </c>
      <c r="E153" s="53">
        <v>1</v>
      </c>
      <c r="F153" s="54" t="s">
        <v>29</v>
      </c>
      <c r="G153" s="54" t="s">
        <v>481</v>
      </c>
      <c r="H153" s="54" t="s">
        <v>375</v>
      </c>
      <c r="I153" s="66">
        <v>45888</v>
      </c>
      <c r="J153" s="54" t="s">
        <v>482</v>
      </c>
      <c r="K153" s="67">
        <v>3</v>
      </c>
      <c r="L153" s="68" t="s">
        <v>508</v>
      </c>
      <c r="M153" s="74" t="str">
        <f t="shared" si="12"/>
        <v>Open File</v>
      </c>
      <c r="N153" s="70" t="s">
        <v>34</v>
      </c>
      <c r="O153" s="71" t="str">
        <f t="shared" si="11"/>
        <v>ACTIVE</v>
      </c>
      <c r="P153" s="66"/>
      <c r="Q153" s="66"/>
      <c r="R153" s="85"/>
      <c r="S153" s="82"/>
      <c r="T153" s="83" t="str">
        <f t="shared" si="13"/>
        <v/>
      </c>
      <c r="U153" s="10"/>
      <c r="V153" s="41">
        <f>IF(AND(Q153&lt;&gt;"",RIGHT(Q153,3)&lt;&gt;""),IF(COUNTIF($Q$6:Q153,Q153)=1,1,0),0)</f>
        <v>0</v>
      </c>
      <c r="W153" s="41" t="str">
        <f t="shared" si="14"/>
        <v>NA.25.VIII.176-3</v>
      </c>
      <c r="X153" s="41" t="str">
        <f t="shared" si="15"/>
        <v/>
      </c>
    </row>
    <row r="154" s="32" customFormat="1" hidden="1" customHeight="1" spans="1:24">
      <c r="A154" s="34"/>
      <c r="B154" s="51">
        <v>149</v>
      </c>
      <c r="C154" s="51" t="s">
        <v>509</v>
      </c>
      <c r="D154" s="52" t="s">
        <v>510</v>
      </c>
      <c r="E154" s="53">
        <v>1</v>
      </c>
      <c r="F154" s="54" t="s">
        <v>29</v>
      </c>
      <c r="G154" s="54" t="s">
        <v>481</v>
      </c>
      <c r="H154" s="54" t="s">
        <v>375</v>
      </c>
      <c r="I154" s="66">
        <v>45888</v>
      </c>
      <c r="J154" s="54" t="s">
        <v>482</v>
      </c>
      <c r="K154" s="67">
        <v>2</v>
      </c>
      <c r="L154" s="68" t="s">
        <v>511</v>
      </c>
      <c r="M154" s="74" t="str">
        <f t="shared" si="12"/>
        <v>Open File</v>
      </c>
      <c r="N154" s="70" t="s">
        <v>34</v>
      </c>
      <c r="O154" s="71" t="str">
        <f t="shared" si="11"/>
        <v>ACTIVE</v>
      </c>
      <c r="P154" s="66"/>
      <c r="Q154" s="66"/>
      <c r="R154" s="85"/>
      <c r="S154" s="82"/>
      <c r="T154" s="83" t="str">
        <f t="shared" si="13"/>
        <v/>
      </c>
      <c r="U154" s="10"/>
      <c r="V154" s="41">
        <f>IF(AND(Q154&lt;&gt;"",RIGHT(Q154,3)&lt;&gt;""),IF(COUNTIF($Q$6:Q154,Q154)=1,1,0),0)</f>
        <v>0</v>
      </c>
      <c r="W154" s="41" t="str">
        <f t="shared" si="14"/>
        <v>NA.25.VIII.176-2</v>
      </c>
      <c r="X154" s="41" t="str">
        <f t="shared" si="15"/>
        <v/>
      </c>
    </row>
    <row r="155" s="32" customFormat="1" hidden="1" customHeight="1" spans="1:24">
      <c r="A155" s="34"/>
      <c r="B155" s="51">
        <v>150</v>
      </c>
      <c r="C155" s="51" t="s">
        <v>512</v>
      </c>
      <c r="D155" s="52" t="s">
        <v>510</v>
      </c>
      <c r="E155" s="53">
        <v>1</v>
      </c>
      <c r="F155" s="54" t="s">
        <v>29</v>
      </c>
      <c r="G155" s="54" t="s">
        <v>481</v>
      </c>
      <c r="H155" s="54" t="s">
        <v>375</v>
      </c>
      <c r="I155" s="66">
        <v>45888</v>
      </c>
      <c r="J155" s="54" t="s">
        <v>482</v>
      </c>
      <c r="K155" s="67">
        <v>1</v>
      </c>
      <c r="L155" s="68" t="s">
        <v>513</v>
      </c>
      <c r="M155" s="74" t="str">
        <f t="shared" si="12"/>
        <v>Open File</v>
      </c>
      <c r="N155" s="70" t="s">
        <v>34</v>
      </c>
      <c r="O155" s="71" t="str">
        <f t="shared" si="11"/>
        <v>ACTIVE</v>
      </c>
      <c r="P155" s="66"/>
      <c r="Q155" s="66"/>
      <c r="R155" s="85"/>
      <c r="S155" s="82"/>
      <c r="T155" s="83" t="str">
        <f t="shared" si="13"/>
        <v/>
      </c>
      <c r="U155" s="10"/>
      <c r="V155" s="41">
        <f>IF(AND(Q155&lt;&gt;"",RIGHT(Q155,3)&lt;&gt;""),IF(COUNTIF($Q$6:Q155,Q155)=1,1,0),0)</f>
        <v>0</v>
      </c>
      <c r="W155" s="41" t="str">
        <f t="shared" si="14"/>
        <v>NA.25.VIII.176-1</v>
      </c>
      <c r="X155" s="41" t="str">
        <f t="shared" si="15"/>
        <v/>
      </c>
    </row>
    <row r="156" s="32" customFormat="1" hidden="1" customHeight="1" spans="1:24">
      <c r="A156" s="34"/>
      <c r="B156" s="51">
        <v>151</v>
      </c>
      <c r="C156" s="51" t="s">
        <v>514</v>
      </c>
      <c r="D156" s="52" t="s">
        <v>353</v>
      </c>
      <c r="E156" s="53">
        <v>1</v>
      </c>
      <c r="F156" s="54" t="s">
        <v>29</v>
      </c>
      <c r="G156" s="54" t="s">
        <v>515</v>
      </c>
      <c r="H156" s="54" t="s">
        <v>322</v>
      </c>
      <c r="I156" s="66">
        <v>45892</v>
      </c>
      <c r="J156" s="54" t="s">
        <v>516</v>
      </c>
      <c r="K156" s="67">
        <v>2</v>
      </c>
      <c r="L156" s="68" t="s">
        <v>517</v>
      </c>
      <c r="M156" s="73" t="str">
        <f t="shared" si="12"/>
        <v>Open File</v>
      </c>
      <c r="N156" s="70" t="s">
        <v>518</v>
      </c>
      <c r="O156" s="71" t="str">
        <f t="shared" si="11"/>
        <v>ACTIVE</v>
      </c>
      <c r="P156" s="66"/>
      <c r="Q156" s="66"/>
      <c r="R156" s="85"/>
      <c r="S156" s="82"/>
      <c r="T156" s="83" t="str">
        <f t="shared" si="13"/>
        <v/>
      </c>
      <c r="U156" s="10"/>
      <c r="V156" s="41">
        <f>IF(AND(Q156&lt;&gt;"",RIGHT(Q156,3)&lt;&gt;""),IF(COUNTIF($Q$6:Q156,Q156)=1,1,0),0)</f>
        <v>0</v>
      </c>
      <c r="W156" s="41" t="str">
        <f t="shared" si="14"/>
        <v>NA.25.VIII.202-2</v>
      </c>
      <c r="X156" s="41" t="str">
        <f t="shared" si="15"/>
        <v/>
      </c>
    </row>
    <row r="157" s="32" customFormat="1" hidden="1" customHeight="1" spans="1:24">
      <c r="A157" s="34"/>
      <c r="B157" s="51">
        <v>152</v>
      </c>
      <c r="C157" s="51" t="s">
        <v>519</v>
      </c>
      <c r="D157" s="52" t="s">
        <v>353</v>
      </c>
      <c r="E157" s="53">
        <v>1</v>
      </c>
      <c r="F157" s="54" t="s">
        <v>29</v>
      </c>
      <c r="G157" s="54" t="s">
        <v>515</v>
      </c>
      <c r="H157" s="54" t="s">
        <v>322</v>
      </c>
      <c r="I157" s="66">
        <v>45892</v>
      </c>
      <c r="J157" s="54" t="s">
        <v>516</v>
      </c>
      <c r="K157" s="67">
        <v>1</v>
      </c>
      <c r="L157" s="68" t="s">
        <v>520</v>
      </c>
      <c r="M157" s="73" t="str">
        <f t="shared" si="12"/>
        <v>Open File</v>
      </c>
      <c r="N157" s="70" t="s">
        <v>518</v>
      </c>
      <c r="O157" s="71" t="str">
        <f t="shared" si="11"/>
        <v>ACTIVE</v>
      </c>
      <c r="P157" s="66"/>
      <c r="Q157" s="66"/>
      <c r="R157" s="85"/>
      <c r="S157" s="82"/>
      <c r="T157" s="83" t="str">
        <f t="shared" si="13"/>
        <v/>
      </c>
      <c r="U157" s="10"/>
      <c r="V157" s="41">
        <f>IF(AND(Q157&lt;&gt;"",RIGHT(Q157,3)&lt;&gt;""),IF(COUNTIF($Q$6:Q157,Q157)=1,1,0),0)</f>
        <v>0</v>
      </c>
      <c r="W157" s="41" t="str">
        <f t="shared" si="14"/>
        <v>NA.25.VIII.202-1</v>
      </c>
      <c r="X157" s="41" t="str">
        <f t="shared" si="15"/>
        <v/>
      </c>
    </row>
    <row r="158" s="32" customFormat="1" hidden="1" customHeight="1" spans="1:24">
      <c r="A158" s="34"/>
      <c r="B158" s="51">
        <v>153</v>
      </c>
      <c r="C158" s="51" t="s">
        <v>521</v>
      </c>
      <c r="D158" s="52" t="s">
        <v>522</v>
      </c>
      <c r="E158" s="53">
        <v>1</v>
      </c>
      <c r="F158" s="54" t="s">
        <v>29</v>
      </c>
      <c r="G158" s="54" t="s">
        <v>523</v>
      </c>
      <c r="H158" s="54" t="s">
        <v>524</v>
      </c>
      <c r="I158" s="66">
        <v>45892</v>
      </c>
      <c r="J158" s="54" t="s">
        <v>525</v>
      </c>
      <c r="K158" s="67">
        <v>115</v>
      </c>
      <c r="L158" s="68" t="s">
        <v>526</v>
      </c>
      <c r="M158" s="90" t="str">
        <f t="shared" si="12"/>
        <v>Open File</v>
      </c>
      <c r="N158" s="70" t="s">
        <v>527</v>
      </c>
      <c r="O158" s="71" t="str">
        <f t="shared" si="11"/>
        <v>ACTIVE</v>
      </c>
      <c r="P158" s="66"/>
      <c r="Q158" s="66"/>
      <c r="R158" s="85"/>
      <c r="S158" s="82"/>
      <c r="T158" s="83" t="str">
        <f t="shared" si="13"/>
        <v/>
      </c>
      <c r="U158" s="10"/>
      <c r="V158" s="41">
        <f>IF(AND(Q158&lt;&gt;"",RIGHT(Q158,3)&lt;&gt;""),IF(COUNTIF($Q$6:Q158,Q158)=1,1,0),0)</f>
        <v>0</v>
      </c>
      <c r="W158" s="41" t="str">
        <f t="shared" si="14"/>
        <v>NA.25.VIII.219-115</v>
      </c>
      <c r="X158" s="41" t="str">
        <f t="shared" si="15"/>
        <v/>
      </c>
    </row>
    <row r="159" s="32" customFormat="1" hidden="1" customHeight="1" spans="1:24">
      <c r="A159" s="34"/>
      <c r="B159" s="51">
        <v>154</v>
      </c>
      <c r="C159" s="51" t="s">
        <v>528</v>
      </c>
      <c r="D159" s="52" t="s">
        <v>529</v>
      </c>
      <c r="E159" s="53">
        <v>1</v>
      </c>
      <c r="F159" s="54" t="s">
        <v>29</v>
      </c>
      <c r="G159" s="54" t="s">
        <v>523</v>
      </c>
      <c r="H159" s="54" t="s">
        <v>524</v>
      </c>
      <c r="I159" s="66">
        <v>45892</v>
      </c>
      <c r="J159" s="54" t="s">
        <v>525</v>
      </c>
      <c r="K159" s="67">
        <v>114</v>
      </c>
      <c r="L159" s="68" t="s">
        <v>530</v>
      </c>
      <c r="M159" s="90" t="str">
        <f t="shared" si="12"/>
        <v>Open File</v>
      </c>
      <c r="N159" s="70" t="s">
        <v>527</v>
      </c>
      <c r="O159" s="71" t="str">
        <f t="shared" si="11"/>
        <v>ACTIVE</v>
      </c>
      <c r="P159" s="66"/>
      <c r="Q159" s="66"/>
      <c r="R159" s="85"/>
      <c r="S159" s="82"/>
      <c r="T159" s="83" t="str">
        <f t="shared" si="13"/>
        <v/>
      </c>
      <c r="U159" s="10"/>
      <c r="V159" s="41">
        <f>IF(AND(Q159&lt;&gt;"",RIGHT(Q159,3)&lt;&gt;""),IF(COUNTIF($Q$6:Q159,Q159)=1,1,0),0)</f>
        <v>0</v>
      </c>
      <c r="W159" s="41" t="str">
        <f t="shared" si="14"/>
        <v>NA.25.VIII.219-114</v>
      </c>
      <c r="X159" s="41" t="str">
        <f t="shared" si="15"/>
        <v/>
      </c>
    </row>
    <row r="160" s="32" customFormat="1" hidden="1" customHeight="1" spans="1:24">
      <c r="A160" s="34"/>
      <c r="B160" s="51">
        <v>155</v>
      </c>
      <c r="C160" s="51" t="s">
        <v>531</v>
      </c>
      <c r="D160" s="52" t="s">
        <v>529</v>
      </c>
      <c r="E160" s="53">
        <v>1</v>
      </c>
      <c r="F160" s="54" t="s">
        <v>29</v>
      </c>
      <c r="G160" s="54" t="s">
        <v>523</v>
      </c>
      <c r="H160" s="54" t="s">
        <v>524</v>
      </c>
      <c r="I160" s="66">
        <v>45892</v>
      </c>
      <c r="J160" s="54" t="s">
        <v>525</v>
      </c>
      <c r="K160" s="67">
        <v>113</v>
      </c>
      <c r="L160" s="68" t="s">
        <v>532</v>
      </c>
      <c r="M160" s="90" t="str">
        <f t="shared" si="12"/>
        <v>Open File</v>
      </c>
      <c r="N160" s="70" t="s">
        <v>527</v>
      </c>
      <c r="O160" s="71" t="str">
        <f t="shared" si="11"/>
        <v>ACTIVE</v>
      </c>
      <c r="P160" s="66"/>
      <c r="Q160" s="66"/>
      <c r="R160" s="85"/>
      <c r="S160" s="82"/>
      <c r="T160" s="83" t="str">
        <f t="shared" si="13"/>
        <v/>
      </c>
      <c r="U160" s="10"/>
      <c r="V160" s="41">
        <f>IF(AND(Q160&lt;&gt;"",RIGHT(Q160,3)&lt;&gt;""),IF(COUNTIF($Q$6:Q160,Q160)=1,1,0),0)</f>
        <v>0</v>
      </c>
      <c r="W160" s="41" t="str">
        <f t="shared" si="14"/>
        <v>NA.25.VIII.219-113</v>
      </c>
      <c r="X160" s="41" t="str">
        <f t="shared" si="15"/>
        <v/>
      </c>
    </row>
    <row r="161" s="32" customFormat="1" hidden="1" customHeight="1" spans="1:24">
      <c r="A161" s="34"/>
      <c r="B161" s="51">
        <v>156</v>
      </c>
      <c r="C161" s="51" t="s">
        <v>533</v>
      </c>
      <c r="D161" s="52" t="s">
        <v>534</v>
      </c>
      <c r="E161" s="53">
        <v>1</v>
      </c>
      <c r="F161" s="54" t="s">
        <v>29</v>
      </c>
      <c r="G161" s="54" t="s">
        <v>523</v>
      </c>
      <c r="H161" s="54" t="s">
        <v>524</v>
      </c>
      <c r="I161" s="66">
        <v>45892</v>
      </c>
      <c r="J161" s="54" t="s">
        <v>525</v>
      </c>
      <c r="K161" s="67">
        <v>112</v>
      </c>
      <c r="L161" s="68" t="s">
        <v>535</v>
      </c>
      <c r="M161" s="90" t="str">
        <f t="shared" si="12"/>
        <v>Open File</v>
      </c>
      <c r="N161" s="70" t="s">
        <v>527</v>
      </c>
      <c r="O161" s="71" t="str">
        <f t="shared" si="11"/>
        <v>ACTIVE</v>
      </c>
      <c r="P161" s="66"/>
      <c r="Q161" s="66"/>
      <c r="R161" s="85"/>
      <c r="S161" s="82"/>
      <c r="T161" s="83" t="str">
        <f t="shared" si="13"/>
        <v/>
      </c>
      <c r="U161" s="10"/>
      <c r="V161" s="41">
        <f>IF(AND(Q161&lt;&gt;"",RIGHT(Q161,3)&lt;&gt;""),IF(COUNTIF($Q$6:Q161,Q161)=1,1,0),0)</f>
        <v>0</v>
      </c>
      <c r="W161" s="41" t="str">
        <f t="shared" si="14"/>
        <v>NA.25.VIII.219-112</v>
      </c>
      <c r="X161" s="41" t="str">
        <f t="shared" si="15"/>
        <v/>
      </c>
    </row>
    <row r="162" s="32" customFormat="1" hidden="1" customHeight="1" spans="1:24">
      <c r="A162" s="34"/>
      <c r="B162" s="51">
        <v>157</v>
      </c>
      <c r="C162" s="51" t="s">
        <v>536</v>
      </c>
      <c r="D162" s="52" t="s">
        <v>534</v>
      </c>
      <c r="E162" s="53">
        <v>1</v>
      </c>
      <c r="F162" s="54" t="s">
        <v>29</v>
      </c>
      <c r="G162" s="54" t="s">
        <v>523</v>
      </c>
      <c r="H162" s="54" t="s">
        <v>524</v>
      </c>
      <c r="I162" s="66">
        <v>45892</v>
      </c>
      <c r="J162" s="54" t="s">
        <v>525</v>
      </c>
      <c r="K162" s="67">
        <v>111</v>
      </c>
      <c r="L162" s="68" t="s">
        <v>537</v>
      </c>
      <c r="M162" s="90" t="str">
        <f t="shared" si="12"/>
        <v>Open File</v>
      </c>
      <c r="N162" s="70" t="s">
        <v>527</v>
      </c>
      <c r="O162" s="71" t="str">
        <f t="shared" si="11"/>
        <v>ACTIVE</v>
      </c>
      <c r="P162" s="66"/>
      <c r="Q162" s="66"/>
      <c r="R162" s="85"/>
      <c r="S162" s="82"/>
      <c r="T162" s="83" t="str">
        <f t="shared" si="13"/>
        <v/>
      </c>
      <c r="U162" s="10"/>
      <c r="V162" s="41">
        <f>IF(AND(Q162&lt;&gt;"",RIGHT(Q162,3)&lt;&gt;""),IF(COUNTIF($Q$6:Q162,Q162)=1,1,0),0)</f>
        <v>0</v>
      </c>
      <c r="W162" s="41" t="str">
        <f t="shared" si="14"/>
        <v>NA.25.VIII.219-111</v>
      </c>
      <c r="X162" s="41" t="str">
        <f t="shared" si="15"/>
        <v/>
      </c>
    </row>
    <row r="163" s="32" customFormat="1" hidden="1" customHeight="1" spans="1:24">
      <c r="A163" s="34"/>
      <c r="B163" s="51">
        <v>158</v>
      </c>
      <c r="C163" s="51" t="s">
        <v>538</v>
      </c>
      <c r="D163" s="52" t="s">
        <v>539</v>
      </c>
      <c r="E163" s="53">
        <v>1</v>
      </c>
      <c r="F163" s="54" t="s">
        <v>29</v>
      </c>
      <c r="G163" s="54" t="s">
        <v>523</v>
      </c>
      <c r="H163" s="54" t="s">
        <v>524</v>
      </c>
      <c r="I163" s="66">
        <v>45892</v>
      </c>
      <c r="J163" s="54" t="s">
        <v>525</v>
      </c>
      <c r="K163" s="67">
        <v>110</v>
      </c>
      <c r="L163" s="68" t="s">
        <v>540</v>
      </c>
      <c r="M163" s="90" t="str">
        <f t="shared" si="12"/>
        <v>Open File</v>
      </c>
      <c r="N163" s="70" t="s">
        <v>527</v>
      </c>
      <c r="O163" s="71" t="str">
        <f t="shared" si="11"/>
        <v>ACTIVE</v>
      </c>
      <c r="P163" s="66"/>
      <c r="Q163" s="66"/>
      <c r="R163" s="85"/>
      <c r="S163" s="82"/>
      <c r="T163" s="83" t="str">
        <f t="shared" si="13"/>
        <v/>
      </c>
      <c r="U163" s="10"/>
      <c r="V163" s="41">
        <f>IF(AND(Q163&lt;&gt;"",RIGHT(Q163,3)&lt;&gt;""),IF(COUNTIF($Q$6:Q163,Q163)=1,1,0),0)</f>
        <v>0</v>
      </c>
      <c r="W163" s="41" t="str">
        <f t="shared" si="14"/>
        <v>NA.25.VIII.219-110</v>
      </c>
      <c r="X163" s="41" t="str">
        <f t="shared" si="15"/>
        <v/>
      </c>
    </row>
    <row r="164" s="32" customFormat="1" hidden="1" customHeight="1" spans="1:24">
      <c r="A164" s="34"/>
      <c r="B164" s="51">
        <v>159</v>
      </c>
      <c r="C164" s="51" t="s">
        <v>541</v>
      </c>
      <c r="D164" s="52" t="s">
        <v>542</v>
      </c>
      <c r="E164" s="53">
        <v>1</v>
      </c>
      <c r="F164" s="54" t="s">
        <v>29</v>
      </c>
      <c r="G164" s="54" t="s">
        <v>523</v>
      </c>
      <c r="H164" s="54" t="s">
        <v>524</v>
      </c>
      <c r="I164" s="66">
        <v>45892</v>
      </c>
      <c r="J164" s="54" t="s">
        <v>525</v>
      </c>
      <c r="K164" s="67">
        <v>109</v>
      </c>
      <c r="L164" s="68" t="s">
        <v>543</v>
      </c>
      <c r="M164" s="90" t="str">
        <f t="shared" si="12"/>
        <v>Open File</v>
      </c>
      <c r="N164" s="70" t="s">
        <v>527</v>
      </c>
      <c r="O164" s="71" t="str">
        <f t="shared" si="11"/>
        <v>ACTIVE</v>
      </c>
      <c r="P164" s="66"/>
      <c r="Q164" s="66"/>
      <c r="R164" s="85"/>
      <c r="S164" s="82"/>
      <c r="T164" s="83" t="str">
        <f t="shared" si="13"/>
        <v/>
      </c>
      <c r="U164" s="10"/>
      <c r="V164" s="41">
        <f>IF(AND(Q164&lt;&gt;"",RIGHT(Q164,3)&lt;&gt;""),IF(COUNTIF($Q$6:Q164,Q164)=1,1,0),0)</f>
        <v>0</v>
      </c>
      <c r="W164" s="41" t="str">
        <f t="shared" si="14"/>
        <v>NA.25.VIII.219-109</v>
      </c>
      <c r="X164" s="41" t="str">
        <f t="shared" si="15"/>
        <v/>
      </c>
    </row>
    <row r="165" s="32" customFormat="1" hidden="1" customHeight="1" spans="1:24">
      <c r="A165" s="34"/>
      <c r="B165" s="51">
        <v>160</v>
      </c>
      <c r="C165" s="51" t="s">
        <v>544</v>
      </c>
      <c r="D165" s="52" t="s">
        <v>545</v>
      </c>
      <c r="E165" s="53">
        <v>1</v>
      </c>
      <c r="F165" s="54" t="s">
        <v>29</v>
      </c>
      <c r="G165" s="54" t="s">
        <v>523</v>
      </c>
      <c r="H165" s="54" t="s">
        <v>524</v>
      </c>
      <c r="I165" s="66">
        <v>45892</v>
      </c>
      <c r="J165" s="54" t="s">
        <v>525</v>
      </c>
      <c r="K165" s="67">
        <v>108</v>
      </c>
      <c r="L165" s="68" t="s">
        <v>546</v>
      </c>
      <c r="M165" s="90" t="str">
        <f t="shared" si="12"/>
        <v>Open File</v>
      </c>
      <c r="N165" s="70" t="s">
        <v>527</v>
      </c>
      <c r="O165" s="71" t="str">
        <f t="shared" si="11"/>
        <v>ACTIVE</v>
      </c>
      <c r="P165" s="66"/>
      <c r="Q165" s="66"/>
      <c r="R165" s="85"/>
      <c r="S165" s="82"/>
      <c r="T165" s="83" t="str">
        <f t="shared" si="13"/>
        <v/>
      </c>
      <c r="U165" s="10"/>
      <c r="V165" s="41">
        <f>IF(AND(Q165&lt;&gt;"",RIGHT(Q165,3)&lt;&gt;""),IF(COUNTIF($Q$6:Q165,Q165)=1,1,0),0)</f>
        <v>0</v>
      </c>
      <c r="W165" s="41" t="str">
        <f t="shared" si="14"/>
        <v>NA.25.VIII.219-108</v>
      </c>
      <c r="X165" s="41" t="str">
        <f t="shared" si="15"/>
        <v/>
      </c>
    </row>
    <row r="166" s="32" customFormat="1" hidden="1" customHeight="1" spans="1:24">
      <c r="A166" s="34"/>
      <c r="B166" s="51">
        <v>161</v>
      </c>
      <c r="C166" s="51" t="s">
        <v>547</v>
      </c>
      <c r="D166" s="52" t="s">
        <v>548</v>
      </c>
      <c r="E166" s="53">
        <v>1</v>
      </c>
      <c r="F166" s="54" t="s">
        <v>29</v>
      </c>
      <c r="G166" s="54" t="s">
        <v>523</v>
      </c>
      <c r="H166" s="54" t="s">
        <v>524</v>
      </c>
      <c r="I166" s="66">
        <v>45892</v>
      </c>
      <c r="J166" s="54" t="s">
        <v>525</v>
      </c>
      <c r="K166" s="67">
        <v>107</v>
      </c>
      <c r="L166" s="68" t="s">
        <v>549</v>
      </c>
      <c r="M166" s="90" t="str">
        <f t="shared" si="12"/>
        <v>Open File</v>
      </c>
      <c r="N166" s="70" t="s">
        <v>527</v>
      </c>
      <c r="O166" s="71" t="str">
        <f t="shared" si="11"/>
        <v>ACTIVE</v>
      </c>
      <c r="P166" s="66"/>
      <c r="Q166" s="66"/>
      <c r="R166" s="85"/>
      <c r="S166" s="82"/>
      <c r="T166" s="83" t="str">
        <f t="shared" si="13"/>
        <v/>
      </c>
      <c r="U166" s="10"/>
      <c r="V166" s="41">
        <f>IF(AND(Q166&lt;&gt;"",RIGHT(Q166,3)&lt;&gt;""),IF(COUNTIF($Q$6:Q166,Q166)=1,1,0),0)</f>
        <v>0</v>
      </c>
      <c r="W166" s="41" t="str">
        <f t="shared" si="14"/>
        <v>NA.25.VIII.219-107</v>
      </c>
      <c r="X166" s="41" t="str">
        <f t="shared" si="15"/>
        <v/>
      </c>
    </row>
    <row r="167" s="32" customFormat="1" hidden="1" customHeight="1" spans="1:24">
      <c r="A167" s="34"/>
      <c r="B167" s="51">
        <v>162</v>
      </c>
      <c r="C167" s="51" t="s">
        <v>550</v>
      </c>
      <c r="D167" s="52" t="s">
        <v>551</v>
      </c>
      <c r="E167" s="53">
        <v>1</v>
      </c>
      <c r="F167" s="54" t="s">
        <v>29</v>
      </c>
      <c r="G167" s="54" t="s">
        <v>523</v>
      </c>
      <c r="H167" s="54" t="s">
        <v>524</v>
      </c>
      <c r="I167" s="66">
        <v>45892</v>
      </c>
      <c r="J167" s="54" t="s">
        <v>525</v>
      </c>
      <c r="K167" s="67">
        <v>106</v>
      </c>
      <c r="L167" s="68" t="s">
        <v>552</v>
      </c>
      <c r="M167" s="90" t="str">
        <f t="shared" si="12"/>
        <v>Open File</v>
      </c>
      <c r="N167" s="70" t="s">
        <v>527</v>
      </c>
      <c r="O167" s="71" t="str">
        <f t="shared" si="11"/>
        <v>ACTIVE</v>
      </c>
      <c r="P167" s="66"/>
      <c r="Q167" s="66"/>
      <c r="R167" s="85"/>
      <c r="S167" s="82"/>
      <c r="T167" s="83" t="str">
        <f t="shared" si="13"/>
        <v/>
      </c>
      <c r="U167" s="10"/>
      <c r="V167" s="41">
        <f>IF(AND(Q167&lt;&gt;"",RIGHT(Q167,3)&lt;&gt;""),IF(COUNTIF($Q$6:Q167,Q167)=1,1,0),0)</f>
        <v>0</v>
      </c>
      <c r="W167" s="41" t="str">
        <f t="shared" si="14"/>
        <v>NA.25.VIII.219-106</v>
      </c>
      <c r="X167" s="41" t="str">
        <f t="shared" si="15"/>
        <v/>
      </c>
    </row>
    <row r="168" s="32" customFormat="1" hidden="1" customHeight="1" spans="1:24">
      <c r="A168" s="34"/>
      <c r="B168" s="51">
        <v>163</v>
      </c>
      <c r="C168" s="51" t="s">
        <v>553</v>
      </c>
      <c r="D168" s="52" t="s">
        <v>554</v>
      </c>
      <c r="E168" s="53">
        <v>1</v>
      </c>
      <c r="F168" s="54" t="s">
        <v>29</v>
      </c>
      <c r="G168" s="54" t="s">
        <v>523</v>
      </c>
      <c r="H168" s="54" t="s">
        <v>524</v>
      </c>
      <c r="I168" s="66">
        <v>45892</v>
      </c>
      <c r="J168" s="54" t="s">
        <v>525</v>
      </c>
      <c r="K168" s="67">
        <v>105</v>
      </c>
      <c r="L168" s="68" t="s">
        <v>555</v>
      </c>
      <c r="M168" s="90" t="str">
        <f t="shared" si="12"/>
        <v>Open File</v>
      </c>
      <c r="N168" s="70" t="s">
        <v>527</v>
      </c>
      <c r="O168" s="71" t="str">
        <f t="shared" si="11"/>
        <v>ACTIVE</v>
      </c>
      <c r="P168" s="66"/>
      <c r="Q168" s="66"/>
      <c r="R168" s="85"/>
      <c r="S168" s="82"/>
      <c r="T168" s="83" t="str">
        <f t="shared" si="13"/>
        <v/>
      </c>
      <c r="U168" s="10"/>
      <c r="V168" s="41">
        <f>IF(AND(Q168&lt;&gt;"",RIGHT(Q168,3)&lt;&gt;""),IF(COUNTIF($Q$6:Q168,Q168)=1,1,0),0)</f>
        <v>0</v>
      </c>
      <c r="W168" s="41" t="str">
        <f t="shared" si="14"/>
        <v>NA.25.VIII.219-105</v>
      </c>
      <c r="X168" s="41" t="str">
        <f t="shared" si="15"/>
        <v/>
      </c>
    </row>
    <row r="169" s="32" customFormat="1" hidden="1" customHeight="1" spans="1:24">
      <c r="A169" s="34"/>
      <c r="B169" s="51">
        <v>164</v>
      </c>
      <c r="C169" s="51" t="s">
        <v>556</v>
      </c>
      <c r="D169" s="52" t="s">
        <v>557</v>
      </c>
      <c r="E169" s="53">
        <v>1</v>
      </c>
      <c r="F169" s="54" t="s">
        <v>29</v>
      </c>
      <c r="G169" s="54" t="s">
        <v>523</v>
      </c>
      <c r="H169" s="54" t="s">
        <v>524</v>
      </c>
      <c r="I169" s="66">
        <v>45892</v>
      </c>
      <c r="J169" s="54" t="s">
        <v>525</v>
      </c>
      <c r="K169" s="67">
        <v>104</v>
      </c>
      <c r="L169" s="68" t="s">
        <v>558</v>
      </c>
      <c r="M169" s="90" t="str">
        <f t="shared" si="12"/>
        <v>Open File</v>
      </c>
      <c r="N169" s="70" t="s">
        <v>527</v>
      </c>
      <c r="O169" s="71" t="str">
        <f t="shared" si="11"/>
        <v>ACTIVE</v>
      </c>
      <c r="P169" s="66"/>
      <c r="Q169" s="66"/>
      <c r="R169" s="85"/>
      <c r="S169" s="82"/>
      <c r="T169" s="83" t="str">
        <f t="shared" si="13"/>
        <v/>
      </c>
      <c r="U169" s="10"/>
      <c r="V169" s="41">
        <f>IF(AND(Q169&lt;&gt;"",RIGHT(Q169,3)&lt;&gt;""),IF(COUNTIF($Q$6:Q169,Q169)=1,1,0),0)</f>
        <v>0</v>
      </c>
      <c r="W169" s="41" t="str">
        <f t="shared" si="14"/>
        <v>NA.25.VIII.219-104</v>
      </c>
      <c r="X169" s="41" t="str">
        <f t="shared" si="15"/>
        <v/>
      </c>
    </row>
    <row r="170" s="32" customFormat="1" hidden="1" customHeight="1" spans="1:24">
      <c r="A170" s="34"/>
      <c r="B170" s="51">
        <v>165</v>
      </c>
      <c r="C170" s="51" t="s">
        <v>559</v>
      </c>
      <c r="D170" s="52" t="s">
        <v>560</v>
      </c>
      <c r="E170" s="53">
        <v>1</v>
      </c>
      <c r="F170" s="54" t="s">
        <v>29</v>
      </c>
      <c r="G170" s="54" t="s">
        <v>523</v>
      </c>
      <c r="H170" s="54" t="s">
        <v>524</v>
      </c>
      <c r="I170" s="66">
        <v>45892</v>
      </c>
      <c r="J170" s="54" t="s">
        <v>525</v>
      </c>
      <c r="K170" s="67">
        <v>103</v>
      </c>
      <c r="L170" s="68" t="s">
        <v>561</v>
      </c>
      <c r="M170" s="90" t="str">
        <f t="shared" si="12"/>
        <v>Open File</v>
      </c>
      <c r="N170" s="70" t="s">
        <v>527</v>
      </c>
      <c r="O170" s="71" t="str">
        <f t="shared" si="11"/>
        <v>ACTIVE</v>
      </c>
      <c r="P170" s="66"/>
      <c r="Q170" s="66"/>
      <c r="R170" s="85"/>
      <c r="S170" s="82"/>
      <c r="T170" s="83" t="str">
        <f t="shared" si="13"/>
        <v/>
      </c>
      <c r="U170" s="10"/>
      <c r="V170" s="41">
        <f>IF(AND(Q170&lt;&gt;"",RIGHT(Q170,3)&lt;&gt;""),IF(COUNTIF($Q$6:Q170,Q170)=1,1,0),0)</f>
        <v>0</v>
      </c>
      <c r="W170" s="41" t="str">
        <f t="shared" si="14"/>
        <v>NA.25.VIII.219-103</v>
      </c>
      <c r="X170" s="41" t="str">
        <f t="shared" si="15"/>
        <v/>
      </c>
    </row>
    <row r="171" s="32" customFormat="1" hidden="1" customHeight="1" spans="1:24">
      <c r="A171" s="34"/>
      <c r="B171" s="51">
        <v>166</v>
      </c>
      <c r="C171" s="51" t="s">
        <v>562</v>
      </c>
      <c r="D171" s="52" t="s">
        <v>560</v>
      </c>
      <c r="E171" s="53">
        <v>1</v>
      </c>
      <c r="F171" s="54" t="s">
        <v>29</v>
      </c>
      <c r="G171" s="54" t="s">
        <v>523</v>
      </c>
      <c r="H171" s="54" t="s">
        <v>524</v>
      </c>
      <c r="I171" s="66">
        <v>45892</v>
      </c>
      <c r="J171" s="54" t="s">
        <v>525</v>
      </c>
      <c r="K171" s="67">
        <v>102</v>
      </c>
      <c r="L171" s="68" t="s">
        <v>563</v>
      </c>
      <c r="M171" s="90" t="str">
        <f t="shared" si="12"/>
        <v>Open File</v>
      </c>
      <c r="N171" s="70" t="s">
        <v>527</v>
      </c>
      <c r="O171" s="71" t="str">
        <f t="shared" si="11"/>
        <v>ACTIVE</v>
      </c>
      <c r="P171" s="66"/>
      <c r="Q171" s="66"/>
      <c r="R171" s="85"/>
      <c r="S171" s="82"/>
      <c r="T171" s="83" t="str">
        <f t="shared" si="13"/>
        <v/>
      </c>
      <c r="U171" s="10"/>
      <c r="V171" s="41">
        <f>IF(AND(Q171&lt;&gt;"",RIGHT(Q171,3)&lt;&gt;""),IF(COUNTIF($Q$6:Q171,Q171)=1,1,0),0)</f>
        <v>0</v>
      </c>
      <c r="W171" s="41" t="str">
        <f t="shared" si="14"/>
        <v>NA.25.VIII.219-102</v>
      </c>
      <c r="X171" s="41" t="str">
        <f t="shared" si="15"/>
        <v/>
      </c>
    </row>
    <row r="172" s="32" customFormat="1" hidden="1" customHeight="1" spans="1:24">
      <c r="A172" s="34"/>
      <c r="B172" s="51">
        <v>167</v>
      </c>
      <c r="C172" s="51" t="s">
        <v>564</v>
      </c>
      <c r="D172" s="52" t="s">
        <v>565</v>
      </c>
      <c r="E172" s="53">
        <v>1</v>
      </c>
      <c r="F172" s="54" t="s">
        <v>29</v>
      </c>
      <c r="G172" s="54" t="s">
        <v>523</v>
      </c>
      <c r="H172" s="54" t="s">
        <v>524</v>
      </c>
      <c r="I172" s="66">
        <v>45892</v>
      </c>
      <c r="J172" s="54" t="s">
        <v>525</v>
      </c>
      <c r="K172" s="67">
        <v>101</v>
      </c>
      <c r="L172" s="68" t="s">
        <v>566</v>
      </c>
      <c r="M172" s="90" t="str">
        <f t="shared" si="12"/>
        <v>Open File</v>
      </c>
      <c r="N172" s="70" t="s">
        <v>527</v>
      </c>
      <c r="O172" s="71" t="str">
        <f t="shared" si="11"/>
        <v>ACTIVE</v>
      </c>
      <c r="P172" s="66"/>
      <c r="Q172" s="66"/>
      <c r="R172" s="85"/>
      <c r="S172" s="82"/>
      <c r="T172" s="83" t="str">
        <f t="shared" si="13"/>
        <v/>
      </c>
      <c r="U172" s="10"/>
      <c r="V172" s="41">
        <f>IF(AND(Q172&lt;&gt;"",RIGHT(Q172,3)&lt;&gt;""),IF(COUNTIF($Q$6:Q172,Q172)=1,1,0),0)</f>
        <v>0</v>
      </c>
      <c r="W172" s="41" t="str">
        <f t="shared" si="14"/>
        <v>NA.25.VIII.219-101</v>
      </c>
      <c r="X172" s="41" t="str">
        <f t="shared" si="15"/>
        <v/>
      </c>
    </row>
    <row r="173" s="32" customFormat="1" hidden="1" customHeight="1" spans="1:24">
      <c r="A173" s="34"/>
      <c r="B173" s="51">
        <v>168</v>
      </c>
      <c r="C173" s="51" t="s">
        <v>567</v>
      </c>
      <c r="D173" s="52" t="s">
        <v>565</v>
      </c>
      <c r="E173" s="53">
        <v>1</v>
      </c>
      <c r="F173" s="54" t="s">
        <v>29</v>
      </c>
      <c r="G173" s="54" t="s">
        <v>523</v>
      </c>
      <c r="H173" s="54" t="s">
        <v>524</v>
      </c>
      <c r="I173" s="66">
        <v>45892</v>
      </c>
      <c r="J173" s="54" t="s">
        <v>525</v>
      </c>
      <c r="K173" s="67">
        <v>100</v>
      </c>
      <c r="L173" s="68" t="s">
        <v>568</v>
      </c>
      <c r="M173" s="90" t="str">
        <f t="shared" si="12"/>
        <v>Open File</v>
      </c>
      <c r="N173" s="70" t="s">
        <v>527</v>
      </c>
      <c r="O173" s="71" t="str">
        <f t="shared" si="11"/>
        <v>ACTIVE</v>
      </c>
      <c r="P173" s="66"/>
      <c r="Q173" s="66"/>
      <c r="R173" s="85"/>
      <c r="S173" s="82"/>
      <c r="T173" s="83" t="str">
        <f t="shared" si="13"/>
        <v/>
      </c>
      <c r="U173" s="10"/>
      <c r="V173" s="41">
        <f>IF(AND(Q173&lt;&gt;"",RIGHT(Q173,3)&lt;&gt;""),IF(COUNTIF($Q$6:Q173,Q173)=1,1,0),0)</f>
        <v>0</v>
      </c>
      <c r="W173" s="41" t="str">
        <f t="shared" si="14"/>
        <v>NA.25.VIII.219-100</v>
      </c>
      <c r="X173" s="41" t="str">
        <f t="shared" si="15"/>
        <v/>
      </c>
    </row>
    <row r="174" s="32" customFormat="1" hidden="1" customHeight="1" spans="1:24">
      <c r="A174" s="34"/>
      <c r="B174" s="51">
        <v>169</v>
      </c>
      <c r="C174" s="51" t="s">
        <v>569</v>
      </c>
      <c r="D174" s="52" t="s">
        <v>565</v>
      </c>
      <c r="E174" s="53">
        <v>1</v>
      </c>
      <c r="F174" s="54" t="s">
        <v>29</v>
      </c>
      <c r="G174" s="54" t="s">
        <v>523</v>
      </c>
      <c r="H174" s="54" t="s">
        <v>524</v>
      </c>
      <c r="I174" s="66">
        <v>45892</v>
      </c>
      <c r="J174" s="54" t="s">
        <v>525</v>
      </c>
      <c r="K174" s="67">
        <v>99</v>
      </c>
      <c r="L174" s="68" t="s">
        <v>570</v>
      </c>
      <c r="M174" s="90" t="str">
        <f t="shared" si="12"/>
        <v>Open File</v>
      </c>
      <c r="N174" s="70" t="s">
        <v>527</v>
      </c>
      <c r="O174" s="71" t="str">
        <f t="shared" si="11"/>
        <v>ACTIVE</v>
      </c>
      <c r="P174" s="66"/>
      <c r="Q174" s="66"/>
      <c r="R174" s="85"/>
      <c r="S174" s="82"/>
      <c r="T174" s="83" t="str">
        <f t="shared" si="13"/>
        <v/>
      </c>
      <c r="U174" s="10"/>
      <c r="V174" s="41">
        <f>IF(AND(Q174&lt;&gt;"",RIGHT(Q174,3)&lt;&gt;""),IF(COUNTIF($Q$6:Q174,Q174)=1,1,0),0)</f>
        <v>0</v>
      </c>
      <c r="W174" s="41" t="str">
        <f t="shared" si="14"/>
        <v>NA.25.VIII.219-99</v>
      </c>
      <c r="X174" s="41" t="str">
        <f t="shared" si="15"/>
        <v/>
      </c>
    </row>
    <row r="175" s="32" customFormat="1" hidden="1" customHeight="1" spans="1:24">
      <c r="A175" s="34"/>
      <c r="B175" s="51">
        <v>170</v>
      </c>
      <c r="C175" s="51" t="s">
        <v>571</v>
      </c>
      <c r="D175" s="52" t="s">
        <v>572</v>
      </c>
      <c r="E175" s="53">
        <v>1</v>
      </c>
      <c r="F175" s="54" t="s">
        <v>29</v>
      </c>
      <c r="G175" s="54" t="s">
        <v>523</v>
      </c>
      <c r="H175" s="54" t="s">
        <v>524</v>
      </c>
      <c r="I175" s="66">
        <v>45892</v>
      </c>
      <c r="J175" s="54" t="s">
        <v>525</v>
      </c>
      <c r="K175" s="67">
        <v>98</v>
      </c>
      <c r="L175" s="68" t="s">
        <v>573</v>
      </c>
      <c r="M175" s="90" t="str">
        <f t="shared" si="12"/>
        <v>Open File</v>
      </c>
      <c r="N175" s="70" t="s">
        <v>527</v>
      </c>
      <c r="O175" s="71" t="str">
        <f t="shared" si="11"/>
        <v>ACTIVE</v>
      </c>
      <c r="P175" s="66"/>
      <c r="Q175" s="66"/>
      <c r="R175" s="85"/>
      <c r="S175" s="82"/>
      <c r="T175" s="83" t="str">
        <f t="shared" si="13"/>
        <v/>
      </c>
      <c r="U175" s="10"/>
      <c r="V175" s="41">
        <f>IF(AND(Q175&lt;&gt;"",RIGHT(Q175,3)&lt;&gt;""),IF(COUNTIF($Q$6:Q175,Q175)=1,1,0),0)</f>
        <v>0</v>
      </c>
      <c r="W175" s="41" t="str">
        <f t="shared" si="14"/>
        <v>NA.25.VIII.219-98</v>
      </c>
      <c r="X175" s="41" t="str">
        <f t="shared" si="15"/>
        <v/>
      </c>
    </row>
    <row r="176" s="32" customFormat="1" hidden="1" customHeight="1" spans="1:24">
      <c r="A176" s="34"/>
      <c r="B176" s="51">
        <v>171</v>
      </c>
      <c r="C176" s="51" t="s">
        <v>574</v>
      </c>
      <c r="D176" s="52" t="s">
        <v>572</v>
      </c>
      <c r="E176" s="53">
        <v>1</v>
      </c>
      <c r="F176" s="54" t="s">
        <v>29</v>
      </c>
      <c r="G176" s="54" t="s">
        <v>523</v>
      </c>
      <c r="H176" s="54" t="s">
        <v>524</v>
      </c>
      <c r="I176" s="66">
        <v>45892</v>
      </c>
      <c r="J176" s="54" t="s">
        <v>525</v>
      </c>
      <c r="K176" s="67">
        <v>97</v>
      </c>
      <c r="L176" s="68" t="s">
        <v>575</v>
      </c>
      <c r="M176" s="90" t="str">
        <f t="shared" si="12"/>
        <v>Open File</v>
      </c>
      <c r="N176" s="70" t="s">
        <v>527</v>
      </c>
      <c r="O176" s="71" t="str">
        <f t="shared" si="11"/>
        <v>ACTIVE</v>
      </c>
      <c r="P176" s="66"/>
      <c r="Q176" s="66"/>
      <c r="R176" s="85"/>
      <c r="S176" s="82"/>
      <c r="T176" s="83" t="str">
        <f t="shared" si="13"/>
        <v/>
      </c>
      <c r="U176" s="10"/>
      <c r="V176" s="41">
        <f>IF(AND(Q176&lt;&gt;"",RIGHT(Q176,3)&lt;&gt;""),IF(COUNTIF($Q$6:Q176,Q176)=1,1,0),0)</f>
        <v>0</v>
      </c>
      <c r="W176" s="41" t="str">
        <f t="shared" si="14"/>
        <v>NA.25.VIII.219-97</v>
      </c>
      <c r="X176" s="41" t="str">
        <f t="shared" si="15"/>
        <v/>
      </c>
    </row>
    <row r="177" s="32" customFormat="1" hidden="1" customHeight="1" spans="1:24">
      <c r="A177" s="34"/>
      <c r="B177" s="51">
        <v>172</v>
      </c>
      <c r="C177" s="51" t="s">
        <v>576</v>
      </c>
      <c r="D177" s="52" t="s">
        <v>577</v>
      </c>
      <c r="E177" s="53">
        <v>1</v>
      </c>
      <c r="F177" s="54" t="s">
        <v>29</v>
      </c>
      <c r="G177" s="54" t="s">
        <v>523</v>
      </c>
      <c r="H177" s="54" t="s">
        <v>524</v>
      </c>
      <c r="I177" s="66">
        <v>45892</v>
      </c>
      <c r="J177" s="54" t="s">
        <v>525</v>
      </c>
      <c r="K177" s="67">
        <v>96</v>
      </c>
      <c r="L177" s="68" t="s">
        <v>578</v>
      </c>
      <c r="M177" s="90" t="str">
        <f t="shared" si="12"/>
        <v>Open File</v>
      </c>
      <c r="N177" s="70" t="s">
        <v>527</v>
      </c>
      <c r="O177" s="71" t="str">
        <f t="shared" si="11"/>
        <v>ACTIVE</v>
      </c>
      <c r="P177" s="66"/>
      <c r="Q177" s="66"/>
      <c r="R177" s="85"/>
      <c r="S177" s="82"/>
      <c r="T177" s="83" t="str">
        <f t="shared" si="13"/>
        <v/>
      </c>
      <c r="U177" s="10"/>
      <c r="V177" s="41">
        <f>IF(AND(Q177&lt;&gt;"",RIGHT(Q177,3)&lt;&gt;""),IF(COUNTIF($Q$6:Q177,Q177)=1,1,0),0)</f>
        <v>0</v>
      </c>
      <c r="W177" s="41" t="str">
        <f t="shared" si="14"/>
        <v>NA.25.VIII.219-96</v>
      </c>
      <c r="X177" s="41" t="str">
        <f t="shared" si="15"/>
        <v/>
      </c>
    </row>
    <row r="178" s="32" customFormat="1" hidden="1" customHeight="1" spans="1:24">
      <c r="A178" s="34"/>
      <c r="B178" s="51">
        <v>173</v>
      </c>
      <c r="C178" s="51" t="s">
        <v>579</v>
      </c>
      <c r="D178" s="52" t="s">
        <v>580</v>
      </c>
      <c r="E178" s="53">
        <v>1</v>
      </c>
      <c r="F178" s="54" t="s">
        <v>29</v>
      </c>
      <c r="G178" s="54" t="s">
        <v>523</v>
      </c>
      <c r="H178" s="54" t="s">
        <v>524</v>
      </c>
      <c r="I178" s="66">
        <v>45892</v>
      </c>
      <c r="J178" s="54" t="s">
        <v>525</v>
      </c>
      <c r="K178" s="67">
        <v>95</v>
      </c>
      <c r="L178" s="68" t="s">
        <v>581</v>
      </c>
      <c r="M178" s="90" t="str">
        <f t="shared" si="12"/>
        <v>Open File</v>
      </c>
      <c r="N178" s="70" t="s">
        <v>527</v>
      </c>
      <c r="O178" s="71" t="str">
        <f t="shared" si="11"/>
        <v>ACTIVE</v>
      </c>
      <c r="P178" s="66"/>
      <c r="Q178" s="66"/>
      <c r="R178" s="85"/>
      <c r="S178" s="82"/>
      <c r="T178" s="83" t="str">
        <f t="shared" si="13"/>
        <v/>
      </c>
      <c r="U178" s="10"/>
      <c r="V178" s="41">
        <f>IF(AND(Q178&lt;&gt;"",RIGHT(Q178,3)&lt;&gt;""),IF(COUNTIF($Q$6:Q178,Q178)=1,1,0),0)</f>
        <v>0</v>
      </c>
      <c r="W178" s="41" t="str">
        <f t="shared" si="14"/>
        <v>NA.25.VIII.219-95</v>
      </c>
      <c r="X178" s="41" t="str">
        <f t="shared" si="15"/>
        <v/>
      </c>
    </row>
    <row r="179" s="32" customFormat="1" hidden="1" customHeight="1" spans="1:24">
      <c r="A179" s="34"/>
      <c r="B179" s="51">
        <v>174</v>
      </c>
      <c r="C179" s="51" t="s">
        <v>582</v>
      </c>
      <c r="D179" s="52" t="s">
        <v>583</v>
      </c>
      <c r="E179" s="53">
        <v>1</v>
      </c>
      <c r="F179" s="54" t="s">
        <v>29</v>
      </c>
      <c r="G179" s="54" t="s">
        <v>523</v>
      </c>
      <c r="H179" s="54" t="s">
        <v>524</v>
      </c>
      <c r="I179" s="66">
        <v>45892</v>
      </c>
      <c r="J179" s="54" t="s">
        <v>525</v>
      </c>
      <c r="K179" s="67">
        <v>94</v>
      </c>
      <c r="L179" s="68" t="s">
        <v>584</v>
      </c>
      <c r="M179" s="90" t="str">
        <f t="shared" si="12"/>
        <v>Open File</v>
      </c>
      <c r="N179" s="70" t="s">
        <v>527</v>
      </c>
      <c r="O179" s="71" t="str">
        <f t="shared" si="11"/>
        <v>ACTIVE</v>
      </c>
      <c r="P179" s="66"/>
      <c r="Q179" s="66"/>
      <c r="R179" s="85"/>
      <c r="S179" s="82"/>
      <c r="T179" s="83" t="str">
        <f t="shared" si="13"/>
        <v/>
      </c>
      <c r="U179" s="10"/>
      <c r="V179" s="41">
        <f>IF(AND(Q179&lt;&gt;"",RIGHT(Q179,3)&lt;&gt;""),IF(COUNTIF($Q$6:Q179,Q179)=1,1,0),0)</f>
        <v>0</v>
      </c>
      <c r="W179" s="41" t="str">
        <f t="shared" si="14"/>
        <v>NA.25.VIII.219-94</v>
      </c>
      <c r="X179" s="41" t="str">
        <f t="shared" si="15"/>
        <v/>
      </c>
    </row>
    <row r="180" s="32" customFormat="1" hidden="1" customHeight="1" spans="1:24">
      <c r="A180" s="34"/>
      <c r="B180" s="51">
        <v>175</v>
      </c>
      <c r="C180" s="51" t="s">
        <v>585</v>
      </c>
      <c r="D180" s="52" t="s">
        <v>586</v>
      </c>
      <c r="E180" s="53">
        <v>1</v>
      </c>
      <c r="F180" s="54" t="s">
        <v>29</v>
      </c>
      <c r="G180" s="54" t="s">
        <v>523</v>
      </c>
      <c r="H180" s="54" t="s">
        <v>524</v>
      </c>
      <c r="I180" s="66">
        <v>45892</v>
      </c>
      <c r="J180" s="54" t="s">
        <v>525</v>
      </c>
      <c r="K180" s="67">
        <v>93</v>
      </c>
      <c r="L180" s="68" t="s">
        <v>587</v>
      </c>
      <c r="M180" s="90" t="str">
        <f t="shared" si="12"/>
        <v>Open File</v>
      </c>
      <c r="N180" s="70" t="s">
        <v>527</v>
      </c>
      <c r="O180" s="71" t="str">
        <f t="shared" si="11"/>
        <v>ACTIVE</v>
      </c>
      <c r="P180" s="66"/>
      <c r="Q180" s="66"/>
      <c r="R180" s="85"/>
      <c r="S180" s="82"/>
      <c r="T180" s="83" t="str">
        <f t="shared" si="13"/>
        <v/>
      </c>
      <c r="U180" s="10"/>
      <c r="V180" s="41">
        <f>IF(AND(Q180&lt;&gt;"",RIGHT(Q180,3)&lt;&gt;""),IF(COUNTIF($Q$6:Q180,Q180)=1,1,0),0)</f>
        <v>0</v>
      </c>
      <c r="W180" s="41" t="str">
        <f t="shared" si="14"/>
        <v>NA.25.VIII.219-93</v>
      </c>
      <c r="X180" s="41" t="str">
        <f t="shared" si="15"/>
        <v/>
      </c>
    </row>
    <row r="181" s="32" customFormat="1" hidden="1" customHeight="1" spans="1:24">
      <c r="A181" s="34"/>
      <c r="B181" s="51">
        <v>176</v>
      </c>
      <c r="C181" s="51" t="s">
        <v>588</v>
      </c>
      <c r="D181" s="52" t="s">
        <v>589</v>
      </c>
      <c r="E181" s="53">
        <v>1</v>
      </c>
      <c r="F181" s="54" t="s">
        <v>29</v>
      </c>
      <c r="G181" s="54" t="s">
        <v>523</v>
      </c>
      <c r="H181" s="54" t="s">
        <v>524</v>
      </c>
      <c r="I181" s="66">
        <v>45892</v>
      </c>
      <c r="J181" s="54" t="s">
        <v>525</v>
      </c>
      <c r="K181" s="67">
        <v>92</v>
      </c>
      <c r="L181" s="68" t="s">
        <v>590</v>
      </c>
      <c r="M181" s="90" t="str">
        <f t="shared" si="12"/>
        <v>Open File</v>
      </c>
      <c r="N181" s="70" t="s">
        <v>527</v>
      </c>
      <c r="O181" s="71" t="str">
        <f t="shared" si="11"/>
        <v>ACTIVE</v>
      </c>
      <c r="P181" s="66"/>
      <c r="Q181" s="66"/>
      <c r="R181" s="85"/>
      <c r="S181" s="82"/>
      <c r="T181" s="83" t="str">
        <f t="shared" si="13"/>
        <v/>
      </c>
      <c r="U181" s="10"/>
      <c r="V181" s="41">
        <f>IF(AND(Q181&lt;&gt;"",RIGHT(Q181,3)&lt;&gt;""),IF(COUNTIF($Q$6:Q181,Q181)=1,1,0),0)</f>
        <v>0</v>
      </c>
      <c r="W181" s="41" t="str">
        <f t="shared" si="14"/>
        <v>NA.25.VIII.219-92</v>
      </c>
      <c r="X181" s="41" t="str">
        <f t="shared" si="15"/>
        <v/>
      </c>
    </row>
    <row r="182" s="32" customFormat="1" hidden="1" customHeight="1" spans="1:24">
      <c r="A182" s="34"/>
      <c r="B182" s="51">
        <v>177</v>
      </c>
      <c r="C182" s="51" t="s">
        <v>591</v>
      </c>
      <c r="D182" s="52" t="s">
        <v>146</v>
      </c>
      <c r="E182" s="53">
        <v>1</v>
      </c>
      <c r="F182" s="54" t="s">
        <v>29</v>
      </c>
      <c r="G182" s="54" t="s">
        <v>523</v>
      </c>
      <c r="H182" s="54" t="s">
        <v>524</v>
      </c>
      <c r="I182" s="66">
        <v>45892</v>
      </c>
      <c r="J182" s="54" t="s">
        <v>525</v>
      </c>
      <c r="K182" s="67">
        <v>91</v>
      </c>
      <c r="L182" s="68" t="s">
        <v>592</v>
      </c>
      <c r="M182" s="90" t="str">
        <f t="shared" si="12"/>
        <v>Open File</v>
      </c>
      <c r="N182" s="70" t="s">
        <v>527</v>
      </c>
      <c r="O182" s="71" t="str">
        <f t="shared" si="11"/>
        <v>ACTIVE</v>
      </c>
      <c r="P182" s="66"/>
      <c r="Q182" s="66"/>
      <c r="R182" s="85"/>
      <c r="S182" s="82"/>
      <c r="T182" s="83" t="str">
        <f t="shared" si="13"/>
        <v/>
      </c>
      <c r="U182" s="10"/>
      <c r="V182" s="41">
        <f>IF(AND(Q182&lt;&gt;"",RIGHT(Q182,3)&lt;&gt;""),IF(COUNTIF($Q$6:Q182,Q182)=1,1,0),0)</f>
        <v>0</v>
      </c>
      <c r="W182" s="41" t="str">
        <f t="shared" si="14"/>
        <v>NA.25.VIII.219-91</v>
      </c>
      <c r="X182" s="41" t="str">
        <f t="shared" si="15"/>
        <v/>
      </c>
    </row>
    <row r="183" s="32" customFormat="1" hidden="1" customHeight="1" spans="1:24">
      <c r="A183" s="34"/>
      <c r="B183" s="51">
        <v>178</v>
      </c>
      <c r="C183" s="51" t="s">
        <v>593</v>
      </c>
      <c r="D183" s="52" t="s">
        <v>594</v>
      </c>
      <c r="E183" s="53">
        <v>1</v>
      </c>
      <c r="F183" s="54" t="s">
        <v>29</v>
      </c>
      <c r="G183" s="54" t="s">
        <v>523</v>
      </c>
      <c r="H183" s="54" t="s">
        <v>524</v>
      </c>
      <c r="I183" s="66">
        <v>45892</v>
      </c>
      <c r="J183" s="54" t="s">
        <v>525</v>
      </c>
      <c r="K183" s="67">
        <v>90</v>
      </c>
      <c r="L183" s="68" t="s">
        <v>595</v>
      </c>
      <c r="M183" s="90" t="str">
        <f t="shared" si="12"/>
        <v>Open File</v>
      </c>
      <c r="N183" s="70" t="s">
        <v>527</v>
      </c>
      <c r="O183" s="71" t="str">
        <f t="shared" si="11"/>
        <v>ACTIVE</v>
      </c>
      <c r="P183" s="66"/>
      <c r="Q183" s="66"/>
      <c r="R183" s="85"/>
      <c r="S183" s="82"/>
      <c r="T183" s="83" t="str">
        <f t="shared" si="13"/>
        <v/>
      </c>
      <c r="U183" s="10"/>
      <c r="V183" s="41">
        <f>IF(AND(Q183&lt;&gt;"",RIGHT(Q183,3)&lt;&gt;""),IF(COUNTIF($Q$6:Q183,Q183)=1,1,0),0)</f>
        <v>0</v>
      </c>
      <c r="W183" s="41" t="str">
        <f t="shared" si="14"/>
        <v>NA.25.VIII.219-90</v>
      </c>
      <c r="X183" s="41" t="str">
        <f t="shared" si="15"/>
        <v/>
      </c>
    </row>
    <row r="184" s="32" customFormat="1" hidden="1" customHeight="1" spans="1:24">
      <c r="A184" s="34"/>
      <c r="B184" s="51">
        <v>179</v>
      </c>
      <c r="C184" s="51" t="s">
        <v>596</v>
      </c>
      <c r="D184" s="52" t="s">
        <v>158</v>
      </c>
      <c r="E184" s="53">
        <v>1</v>
      </c>
      <c r="F184" s="54" t="s">
        <v>29</v>
      </c>
      <c r="G184" s="54" t="s">
        <v>523</v>
      </c>
      <c r="H184" s="54" t="s">
        <v>524</v>
      </c>
      <c r="I184" s="66">
        <v>45892</v>
      </c>
      <c r="J184" s="54" t="s">
        <v>525</v>
      </c>
      <c r="K184" s="67">
        <v>89</v>
      </c>
      <c r="L184" s="68" t="s">
        <v>597</v>
      </c>
      <c r="M184" s="90" t="str">
        <f t="shared" si="12"/>
        <v>Open File</v>
      </c>
      <c r="N184" s="70" t="s">
        <v>527</v>
      </c>
      <c r="O184" s="71" t="str">
        <f t="shared" si="11"/>
        <v>ACTIVE</v>
      </c>
      <c r="P184" s="66"/>
      <c r="Q184" s="66"/>
      <c r="R184" s="85"/>
      <c r="S184" s="82"/>
      <c r="T184" s="83" t="str">
        <f t="shared" si="13"/>
        <v/>
      </c>
      <c r="U184" s="10"/>
      <c r="V184" s="41">
        <f>IF(AND(Q184&lt;&gt;"",RIGHT(Q184,3)&lt;&gt;""),IF(COUNTIF($Q$6:Q184,Q184)=1,1,0),0)</f>
        <v>0</v>
      </c>
      <c r="W184" s="41" t="str">
        <f t="shared" si="14"/>
        <v>NA.25.VIII.219-89</v>
      </c>
      <c r="X184" s="41" t="str">
        <f t="shared" si="15"/>
        <v/>
      </c>
    </row>
    <row r="185" s="32" customFormat="1" hidden="1" customHeight="1" spans="1:24">
      <c r="A185" s="34"/>
      <c r="B185" s="51">
        <v>180</v>
      </c>
      <c r="C185" s="51" t="s">
        <v>598</v>
      </c>
      <c r="D185" s="52" t="s">
        <v>599</v>
      </c>
      <c r="E185" s="53">
        <v>1</v>
      </c>
      <c r="F185" s="54" t="s">
        <v>29</v>
      </c>
      <c r="G185" s="54" t="s">
        <v>523</v>
      </c>
      <c r="H185" s="54" t="s">
        <v>524</v>
      </c>
      <c r="I185" s="66">
        <v>45892</v>
      </c>
      <c r="J185" s="54" t="s">
        <v>525</v>
      </c>
      <c r="K185" s="67">
        <v>88</v>
      </c>
      <c r="L185" s="68" t="s">
        <v>600</v>
      </c>
      <c r="M185" s="90" t="str">
        <f t="shared" si="12"/>
        <v>Open File</v>
      </c>
      <c r="N185" s="70" t="s">
        <v>527</v>
      </c>
      <c r="O185" s="71" t="str">
        <f t="shared" si="11"/>
        <v>ACTIVE</v>
      </c>
      <c r="P185" s="66"/>
      <c r="Q185" s="66"/>
      <c r="R185" s="85"/>
      <c r="S185" s="82"/>
      <c r="T185" s="83" t="str">
        <f t="shared" si="13"/>
        <v/>
      </c>
      <c r="U185" s="10"/>
      <c r="V185" s="41">
        <f>IF(AND(Q185&lt;&gt;"",RIGHT(Q185,3)&lt;&gt;""),IF(COUNTIF($Q$6:Q185,Q185)=1,1,0),0)</f>
        <v>0</v>
      </c>
      <c r="W185" s="41" t="str">
        <f t="shared" si="14"/>
        <v>NA.25.VIII.219-88</v>
      </c>
      <c r="X185" s="41" t="str">
        <f t="shared" si="15"/>
        <v/>
      </c>
    </row>
    <row r="186" s="32" customFormat="1" hidden="1" customHeight="1" spans="1:24">
      <c r="A186" s="34"/>
      <c r="B186" s="51">
        <v>181</v>
      </c>
      <c r="C186" s="51" t="s">
        <v>601</v>
      </c>
      <c r="D186" s="52" t="s">
        <v>602</v>
      </c>
      <c r="E186" s="53">
        <v>1</v>
      </c>
      <c r="F186" s="54" t="s">
        <v>29</v>
      </c>
      <c r="G186" s="54" t="s">
        <v>523</v>
      </c>
      <c r="H186" s="54" t="s">
        <v>524</v>
      </c>
      <c r="I186" s="66">
        <v>45892</v>
      </c>
      <c r="J186" s="54" t="s">
        <v>525</v>
      </c>
      <c r="K186" s="67">
        <v>87</v>
      </c>
      <c r="L186" s="68" t="s">
        <v>603</v>
      </c>
      <c r="M186" s="90" t="str">
        <f t="shared" si="12"/>
        <v>Open File</v>
      </c>
      <c r="N186" s="70" t="s">
        <v>527</v>
      </c>
      <c r="O186" s="71" t="str">
        <f t="shared" si="11"/>
        <v>ACTIVE</v>
      </c>
      <c r="P186" s="66"/>
      <c r="Q186" s="66"/>
      <c r="R186" s="85"/>
      <c r="S186" s="82"/>
      <c r="T186" s="83" t="str">
        <f t="shared" si="13"/>
        <v/>
      </c>
      <c r="U186" s="10"/>
      <c r="V186" s="41">
        <f>IF(AND(Q186&lt;&gt;"",RIGHT(Q186,3)&lt;&gt;""),IF(COUNTIF($Q$6:Q186,Q186)=1,1,0),0)</f>
        <v>0</v>
      </c>
      <c r="W186" s="41" t="str">
        <f t="shared" si="14"/>
        <v>NA.25.VIII.219-87</v>
      </c>
      <c r="X186" s="41" t="str">
        <f t="shared" si="15"/>
        <v/>
      </c>
    </row>
    <row r="187" s="32" customFormat="1" hidden="1" customHeight="1" spans="1:24">
      <c r="A187" s="34"/>
      <c r="B187" s="51">
        <v>182</v>
      </c>
      <c r="C187" s="51" t="s">
        <v>604</v>
      </c>
      <c r="D187" s="52" t="s">
        <v>605</v>
      </c>
      <c r="E187" s="53">
        <v>1</v>
      </c>
      <c r="F187" s="54" t="s">
        <v>29</v>
      </c>
      <c r="G187" s="54" t="s">
        <v>523</v>
      </c>
      <c r="H187" s="54" t="s">
        <v>524</v>
      </c>
      <c r="I187" s="66">
        <v>45892</v>
      </c>
      <c r="J187" s="54" t="s">
        <v>525</v>
      </c>
      <c r="K187" s="67">
        <v>86</v>
      </c>
      <c r="L187" s="68" t="s">
        <v>606</v>
      </c>
      <c r="M187" s="90" t="str">
        <f t="shared" si="12"/>
        <v>Open File</v>
      </c>
      <c r="N187" s="70" t="s">
        <v>527</v>
      </c>
      <c r="O187" s="71" t="str">
        <f t="shared" si="11"/>
        <v>ACTIVE</v>
      </c>
      <c r="P187" s="66"/>
      <c r="Q187" s="66"/>
      <c r="R187" s="85"/>
      <c r="S187" s="82"/>
      <c r="T187" s="83" t="str">
        <f t="shared" si="13"/>
        <v/>
      </c>
      <c r="U187" s="10"/>
      <c r="V187" s="41">
        <f>IF(AND(Q187&lt;&gt;"",RIGHT(Q187,3)&lt;&gt;""),IF(COUNTIF($Q$6:Q187,Q187)=1,1,0),0)</f>
        <v>0</v>
      </c>
      <c r="W187" s="41" t="str">
        <f t="shared" si="14"/>
        <v>NA.25.VIII.219-86</v>
      </c>
      <c r="X187" s="41" t="str">
        <f t="shared" si="15"/>
        <v/>
      </c>
    </row>
    <row r="188" s="32" customFormat="1" hidden="1" customHeight="1" spans="1:24">
      <c r="A188" s="34"/>
      <c r="B188" s="51">
        <v>183</v>
      </c>
      <c r="C188" s="51" t="s">
        <v>607</v>
      </c>
      <c r="D188" s="52" t="s">
        <v>608</v>
      </c>
      <c r="E188" s="53">
        <v>1</v>
      </c>
      <c r="F188" s="54" t="s">
        <v>29</v>
      </c>
      <c r="G188" s="54" t="s">
        <v>523</v>
      </c>
      <c r="H188" s="54" t="s">
        <v>524</v>
      </c>
      <c r="I188" s="66">
        <v>45892</v>
      </c>
      <c r="J188" s="54" t="s">
        <v>525</v>
      </c>
      <c r="K188" s="67">
        <v>85</v>
      </c>
      <c r="L188" s="68" t="s">
        <v>609</v>
      </c>
      <c r="M188" s="90" t="str">
        <f t="shared" si="12"/>
        <v>Open File</v>
      </c>
      <c r="N188" s="70" t="s">
        <v>527</v>
      </c>
      <c r="O188" s="71" t="str">
        <f t="shared" si="11"/>
        <v>ACTIVE</v>
      </c>
      <c r="P188" s="66"/>
      <c r="Q188" s="66"/>
      <c r="R188" s="85"/>
      <c r="S188" s="82"/>
      <c r="T188" s="83" t="str">
        <f t="shared" si="13"/>
        <v/>
      </c>
      <c r="U188" s="10"/>
      <c r="V188" s="41">
        <f>IF(AND(Q188&lt;&gt;"",RIGHT(Q188,3)&lt;&gt;""),IF(COUNTIF($Q$6:Q188,Q188)=1,1,0),0)</f>
        <v>0</v>
      </c>
      <c r="W188" s="41" t="str">
        <f t="shared" si="14"/>
        <v>NA.25.VIII.219-85</v>
      </c>
      <c r="X188" s="41" t="str">
        <f t="shared" si="15"/>
        <v/>
      </c>
    </row>
    <row r="189" s="32" customFormat="1" hidden="1" customHeight="1" spans="1:24">
      <c r="A189" s="34"/>
      <c r="B189" s="51">
        <v>184</v>
      </c>
      <c r="C189" s="51" t="s">
        <v>610</v>
      </c>
      <c r="D189" s="52" t="s">
        <v>611</v>
      </c>
      <c r="E189" s="53">
        <v>1</v>
      </c>
      <c r="F189" s="54" t="s">
        <v>29</v>
      </c>
      <c r="G189" s="54" t="s">
        <v>523</v>
      </c>
      <c r="H189" s="54" t="s">
        <v>524</v>
      </c>
      <c r="I189" s="66">
        <v>45892</v>
      </c>
      <c r="J189" s="54" t="s">
        <v>525</v>
      </c>
      <c r="K189" s="67">
        <v>84</v>
      </c>
      <c r="L189" s="68" t="s">
        <v>612</v>
      </c>
      <c r="M189" s="90" t="str">
        <f t="shared" si="12"/>
        <v>Open File</v>
      </c>
      <c r="N189" s="70" t="s">
        <v>527</v>
      </c>
      <c r="O189" s="71" t="str">
        <f t="shared" si="11"/>
        <v>ACTIVE</v>
      </c>
      <c r="P189" s="66"/>
      <c r="Q189" s="66"/>
      <c r="R189" s="85"/>
      <c r="S189" s="82"/>
      <c r="T189" s="83" t="str">
        <f t="shared" si="13"/>
        <v/>
      </c>
      <c r="U189" s="10"/>
      <c r="V189" s="41">
        <f>IF(AND(Q189&lt;&gt;"",RIGHT(Q189,3)&lt;&gt;""),IF(COUNTIF($Q$6:Q189,Q189)=1,1,0),0)</f>
        <v>0</v>
      </c>
      <c r="W189" s="41" t="str">
        <f t="shared" si="14"/>
        <v>NA.25.VIII.219-84</v>
      </c>
      <c r="X189" s="41" t="str">
        <f t="shared" si="15"/>
        <v/>
      </c>
    </row>
    <row r="190" s="32" customFormat="1" hidden="1" customHeight="1" spans="1:24">
      <c r="A190" s="34"/>
      <c r="B190" s="51">
        <v>185</v>
      </c>
      <c r="C190" s="51" t="s">
        <v>613</v>
      </c>
      <c r="D190" s="52" t="s">
        <v>614</v>
      </c>
      <c r="E190" s="53">
        <v>1</v>
      </c>
      <c r="F190" s="54" t="s">
        <v>29</v>
      </c>
      <c r="G190" s="54" t="s">
        <v>523</v>
      </c>
      <c r="H190" s="54" t="s">
        <v>524</v>
      </c>
      <c r="I190" s="66">
        <v>45892</v>
      </c>
      <c r="J190" s="54" t="s">
        <v>525</v>
      </c>
      <c r="K190" s="67">
        <v>83</v>
      </c>
      <c r="L190" s="68" t="s">
        <v>615</v>
      </c>
      <c r="M190" s="90" t="str">
        <f t="shared" si="12"/>
        <v>Open File</v>
      </c>
      <c r="N190" s="70" t="s">
        <v>527</v>
      </c>
      <c r="O190" s="71" t="str">
        <f t="shared" si="11"/>
        <v>ACTIVE</v>
      </c>
      <c r="P190" s="66"/>
      <c r="Q190" s="66"/>
      <c r="R190" s="85"/>
      <c r="S190" s="82"/>
      <c r="T190" s="83" t="str">
        <f t="shared" si="13"/>
        <v/>
      </c>
      <c r="U190" s="10"/>
      <c r="V190" s="41">
        <f>IF(AND(Q190&lt;&gt;"",RIGHT(Q190,3)&lt;&gt;""),IF(COUNTIF($Q$6:Q190,Q190)=1,1,0),0)</f>
        <v>0</v>
      </c>
      <c r="W190" s="41" t="str">
        <f t="shared" si="14"/>
        <v>NA.25.VIII.219-83</v>
      </c>
      <c r="X190" s="41" t="str">
        <f t="shared" si="15"/>
        <v/>
      </c>
    </row>
    <row r="191" s="32" customFormat="1" hidden="1" customHeight="1" spans="1:24">
      <c r="A191" s="34"/>
      <c r="B191" s="51">
        <v>186</v>
      </c>
      <c r="C191" s="51" t="s">
        <v>616</v>
      </c>
      <c r="D191" s="52" t="s">
        <v>617</v>
      </c>
      <c r="E191" s="53">
        <v>1</v>
      </c>
      <c r="F191" s="54" t="s">
        <v>29</v>
      </c>
      <c r="G191" s="54" t="s">
        <v>523</v>
      </c>
      <c r="H191" s="54" t="s">
        <v>524</v>
      </c>
      <c r="I191" s="66">
        <v>45892</v>
      </c>
      <c r="J191" s="54" t="s">
        <v>525</v>
      </c>
      <c r="K191" s="67">
        <v>82</v>
      </c>
      <c r="L191" s="68" t="s">
        <v>618</v>
      </c>
      <c r="M191" s="90" t="str">
        <f t="shared" si="12"/>
        <v>Open File</v>
      </c>
      <c r="N191" s="70" t="s">
        <v>527</v>
      </c>
      <c r="O191" s="71" t="str">
        <f t="shared" si="11"/>
        <v>ACTIVE</v>
      </c>
      <c r="P191" s="66"/>
      <c r="Q191" s="66"/>
      <c r="R191" s="85"/>
      <c r="S191" s="82"/>
      <c r="T191" s="83" t="str">
        <f t="shared" si="13"/>
        <v/>
      </c>
      <c r="U191" s="10"/>
      <c r="V191" s="41">
        <f>IF(AND(Q191&lt;&gt;"",RIGHT(Q191,3)&lt;&gt;""),IF(COUNTIF($Q$6:Q191,Q191)=1,1,0),0)</f>
        <v>0</v>
      </c>
      <c r="W191" s="41" t="str">
        <f t="shared" si="14"/>
        <v>NA.25.VIII.219-82</v>
      </c>
      <c r="X191" s="41" t="str">
        <f t="shared" si="15"/>
        <v/>
      </c>
    </row>
    <row r="192" s="32" customFormat="1" hidden="1" customHeight="1" spans="1:24">
      <c r="A192" s="34"/>
      <c r="B192" s="51">
        <v>187</v>
      </c>
      <c r="C192" s="51" t="s">
        <v>619</v>
      </c>
      <c r="D192" s="52" t="s">
        <v>620</v>
      </c>
      <c r="E192" s="53">
        <v>1</v>
      </c>
      <c r="F192" s="54" t="s">
        <v>66</v>
      </c>
      <c r="G192" s="54" t="s">
        <v>523</v>
      </c>
      <c r="H192" s="54" t="s">
        <v>524</v>
      </c>
      <c r="I192" s="66">
        <v>45892</v>
      </c>
      <c r="J192" s="54" t="s">
        <v>525</v>
      </c>
      <c r="K192" s="67">
        <v>81</v>
      </c>
      <c r="L192" s="68" t="s">
        <v>621</v>
      </c>
      <c r="M192" s="90" t="str">
        <f t="shared" si="12"/>
        <v>Open File</v>
      </c>
      <c r="N192" s="70" t="s">
        <v>527</v>
      </c>
      <c r="O192" s="71" t="str">
        <f t="shared" si="11"/>
        <v>ACTIVE</v>
      </c>
      <c r="P192" s="66"/>
      <c r="Q192" s="66"/>
      <c r="R192" s="85"/>
      <c r="S192" s="82"/>
      <c r="T192" s="83" t="str">
        <f t="shared" si="13"/>
        <v/>
      </c>
      <c r="U192" s="10"/>
      <c r="V192" s="41">
        <f>IF(AND(Q192&lt;&gt;"",RIGHT(Q192,3)&lt;&gt;""),IF(COUNTIF($Q$6:Q192,Q192)=1,1,0),0)</f>
        <v>0</v>
      </c>
      <c r="W192" s="41" t="str">
        <f t="shared" si="14"/>
        <v>NA.25.VIII.219-81</v>
      </c>
      <c r="X192" s="41" t="str">
        <f t="shared" si="15"/>
        <v/>
      </c>
    </row>
    <row r="193" s="32" customFormat="1" hidden="1" customHeight="1" spans="1:24">
      <c r="A193" s="34"/>
      <c r="B193" s="51">
        <v>188</v>
      </c>
      <c r="C193" s="51" t="s">
        <v>622</v>
      </c>
      <c r="D193" s="52" t="s">
        <v>623</v>
      </c>
      <c r="E193" s="53">
        <v>1</v>
      </c>
      <c r="F193" s="54" t="s">
        <v>29</v>
      </c>
      <c r="G193" s="54" t="s">
        <v>523</v>
      </c>
      <c r="H193" s="54" t="s">
        <v>524</v>
      </c>
      <c r="I193" s="66">
        <v>45892</v>
      </c>
      <c r="J193" s="54" t="s">
        <v>525</v>
      </c>
      <c r="K193" s="67">
        <v>80</v>
      </c>
      <c r="L193" s="68" t="s">
        <v>624</v>
      </c>
      <c r="M193" s="90" t="str">
        <f t="shared" si="12"/>
        <v>Open File</v>
      </c>
      <c r="N193" s="70" t="s">
        <v>527</v>
      </c>
      <c r="O193" s="71" t="str">
        <f t="shared" si="11"/>
        <v>ACTIVE</v>
      </c>
      <c r="P193" s="66"/>
      <c r="Q193" s="66"/>
      <c r="R193" s="85"/>
      <c r="S193" s="82"/>
      <c r="T193" s="83" t="str">
        <f t="shared" si="13"/>
        <v/>
      </c>
      <c r="U193" s="10"/>
      <c r="V193" s="41">
        <f>IF(AND(Q193&lt;&gt;"",RIGHT(Q193,3)&lt;&gt;""),IF(COUNTIF($Q$6:Q193,Q193)=1,1,0),0)</f>
        <v>0</v>
      </c>
      <c r="W193" s="41" t="str">
        <f t="shared" si="14"/>
        <v>NA.25.VIII.219-80</v>
      </c>
      <c r="X193" s="41" t="str">
        <f t="shared" si="15"/>
        <v/>
      </c>
    </row>
    <row r="194" s="32" customFormat="1" hidden="1" customHeight="1" spans="1:24">
      <c r="A194" s="34"/>
      <c r="B194" s="51">
        <v>189</v>
      </c>
      <c r="C194" s="51" t="s">
        <v>625</v>
      </c>
      <c r="D194" s="52" t="s">
        <v>623</v>
      </c>
      <c r="E194" s="53">
        <v>1</v>
      </c>
      <c r="F194" s="54" t="s">
        <v>29</v>
      </c>
      <c r="G194" s="54" t="s">
        <v>523</v>
      </c>
      <c r="H194" s="54" t="s">
        <v>524</v>
      </c>
      <c r="I194" s="66">
        <v>45892</v>
      </c>
      <c r="J194" s="54" t="s">
        <v>525</v>
      </c>
      <c r="K194" s="67">
        <v>79</v>
      </c>
      <c r="L194" s="68" t="s">
        <v>626</v>
      </c>
      <c r="M194" s="90" t="str">
        <f t="shared" si="12"/>
        <v>Open File</v>
      </c>
      <c r="N194" s="70" t="s">
        <v>527</v>
      </c>
      <c r="O194" s="71" t="str">
        <f t="shared" si="11"/>
        <v>ACTIVE</v>
      </c>
      <c r="P194" s="66"/>
      <c r="Q194" s="66"/>
      <c r="R194" s="85"/>
      <c r="S194" s="82"/>
      <c r="T194" s="83" t="str">
        <f t="shared" si="13"/>
        <v/>
      </c>
      <c r="U194" s="10"/>
      <c r="V194" s="41">
        <f>IF(AND(Q194&lt;&gt;"",RIGHT(Q194,3)&lt;&gt;""),IF(COUNTIF($Q$6:Q194,Q194)=1,1,0),0)</f>
        <v>0</v>
      </c>
      <c r="W194" s="41" t="str">
        <f t="shared" si="14"/>
        <v>NA.25.VIII.219-79</v>
      </c>
      <c r="X194" s="41" t="str">
        <f t="shared" si="15"/>
        <v/>
      </c>
    </row>
    <row r="195" s="32" customFormat="1" hidden="1" customHeight="1" spans="1:24">
      <c r="A195" s="34"/>
      <c r="B195" s="51">
        <v>190</v>
      </c>
      <c r="C195" s="51" t="s">
        <v>627</v>
      </c>
      <c r="D195" s="52" t="s">
        <v>628</v>
      </c>
      <c r="E195" s="53">
        <v>1</v>
      </c>
      <c r="F195" s="54" t="s">
        <v>29</v>
      </c>
      <c r="G195" s="54" t="s">
        <v>523</v>
      </c>
      <c r="H195" s="54" t="s">
        <v>524</v>
      </c>
      <c r="I195" s="66">
        <v>45892</v>
      </c>
      <c r="J195" s="54" t="s">
        <v>525</v>
      </c>
      <c r="K195" s="67">
        <v>78</v>
      </c>
      <c r="L195" s="68" t="s">
        <v>629</v>
      </c>
      <c r="M195" s="90" t="str">
        <f t="shared" si="12"/>
        <v>Open File</v>
      </c>
      <c r="N195" s="70" t="s">
        <v>527</v>
      </c>
      <c r="O195" s="71" t="str">
        <f t="shared" si="11"/>
        <v>ACTIVE</v>
      </c>
      <c r="P195" s="66"/>
      <c r="Q195" s="66"/>
      <c r="R195" s="85"/>
      <c r="S195" s="82"/>
      <c r="T195" s="83" t="str">
        <f t="shared" si="13"/>
        <v/>
      </c>
      <c r="U195" s="10"/>
      <c r="V195" s="41">
        <f>IF(AND(Q195&lt;&gt;"",RIGHT(Q195,3)&lt;&gt;""),IF(COUNTIF($Q$6:Q195,Q195)=1,1,0),0)</f>
        <v>0</v>
      </c>
      <c r="W195" s="41" t="str">
        <f t="shared" si="14"/>
        <v>NA.25.VIII.219-78</v>
      </c>
      <c r="X195" s="41" t="str">
        <f t="shared" si="15"/>
        <v/>
      </c>
    </row>
    <row r="196" s="32" customFormat="1" customHeight="1" spans="1:24">
      <c r="A196" s="34"/>
      <c r="B196" s="51">
        <v>191</v>
      </c>
      <c r="C196" s="51" t="s">
        <v>630</v>
      </c>
      <c r="D196" s="52" t="s">
        <v>631</v>
      </c>
      <c r="E196" s="53">
        <v>1</v>
      </c>
      <c r="F196" s="54" t="s">
        <v>29</v>
      </c>
      <c r="G196" s="54" t="s">
        <v>523</v>
      </c>
      <c r="H196" s="54" t="s">
        <v>524</v>
      </c>
      <c r="I196" s="66">
        <v>45892</v>
      </c>
      <c r="J196" s="54" t="s">
        <v>525</v>
      </c>
      <c r="K196" s="67">
        <v>77</v>
      </c>
      <c r="L196" s="68" t="s">
        <v>632</v>
      </c>
      <c r="M196" s="90" t="str">
        <f t="shared" si="12"/>
        <v>Open File</v>
      </c>
      <c r="N196" s="70" t="s">
        <v>527</v>
      </c>
      <c r="O196" s="71" t="str">
        <f t="shared" ref="O196:O224" si="16">IF(AND(Q196&lt;&gt;"",T196&lt;&gt;""),"PASSIVE",IF(AND(J196&lt;&gt;"",M196&lt;&gt;""),"ACTIVE",""))</f>
        <v>PASSIVE</v>
      </c>
      <c r="P196" s="66">
        <v>46261</v>
      </c>
      <c r="Q196" s="66" t="s">
        <v>633</v>
      </c>
      <c r="R196" s="85" t="s">
        <v>226</v>
      </c>
      <c r="S196" s="82" t="s">
        <v>634</v>
      </c>
      <c r="T196" s="83" t="str">
        <f t="shared" si="13"/>
        <v>Open File</v>
      </c>
      <c r="U196" s="10" t="s">
        <v>635</v>
      </c>
      <c r="V196" s="41">
        <f>IF(AND(Q196&lt;&gt;"",RIGHT(Q196,3)&lt;&gt;""),IF(COUNTIF($Q$6:Q196,Q196)=1,1,0),0)</f>
        <v>1</v>
      </c>
      <c r="W196" s="41" t="str">
        <f t="shared" si="14"/>
        <v>NA.25.VIII.219-77</v>
      </c>
      <c r="X196" s="41" t="str">
        <f t="shared" si="15"/>
        <v>RI.NV.26.VIII.073-1</v>
      </c>
    </row>
    <row r="197" s="32" customFormat="1" hidden="1" customHeight="1" spans="1:24">
      <c r="A197" s="34"/>
      <c r="B197" s="51">
        <v>192</v>
      </c>
      <c r="C197" s="51" t="s">
        <v>636</v>
      </c>
      <c r="D197" s="52" t="s">
        <v>637</v>
      </c>
      <c r="E197" s="53">
        <v>1</v>
      </c>
      <c r="F197" s="54" t="s">
        <v>29</v>
      </c>
      <c r="G197" s="54" t="s">
        <v>523</v>
      </c>
      <c r="H197" s="54" t="s">
        <v>524</v>
      </c>
      <c r="I197" s="66">
        <v>45892</v>
      </c>
      <c r="J197" s="54" t="s">
        <v>525</v>
      </c>
      <c r="K197" s="67">
        <v>76</v>
      </c>
      <c r="L197" s="68" t="s">
        <v>638</v>
      </c>
      <c r="M197" s="90" t="str">
        <f t="shared" si="12"/>
        <v>Open File</v>
      </c>
      <c r="N197" s="70" t="s">
        <v>527</v>
      </c>
      <c r="O197" s="71" t="str">
        <f t="shared" si="16"/>
        <v>ACTIVE</v>
      </c>
      <c r="P197" s="66"/>
      <c r="Q197" s="66"/>
      <c r="R197" s="85"/>
      <c r="S197" s="82"/>
      <c r="T197" s="83" t="str">
        <f t="shared" si="13"/>
        <v/>
      </c>
      <c r="U197" s="10"/>
      <c r="V197" s="41">
        <f>IF(AND(Q197&lt;&gt;"",RIGHT(Q197,3)&lt;&gt;""),IF(COUNTIF($Q$6:Q197,Q197)=1,1,0),0)</f>
        <v>0</v>
      </c>
      <c r="W197" s="41" t="str">
        <f t="shared" si="14"/>
        <v>NA.25.VIII.219-76</v>
      </c>
      <c r="X197" s="41" t="str">
        <f t="shared" si="15"/>
        <v/>
      </c>
    </row>
    <row r="198" s="32" customFormat="1" hidden="1" customHeight="1" spans="1:24">
      <c r="A198" s="34"/>
      <c r="B198" s="51">
        <v>193</v>
      </c>
      <c r="C198" s="51" t="s">
        <v>639</v>
      </c>
      <c r="D198" s="52" t="s">
        <v>640</v>
      </c>
      <c r="E198" s="53">
        <v>1</v>
      </c>
      <c r="F198" s="54" t="s">
        <v>29</v>
      </c>
      <c r="G198" s="54" t="s">
        <v>523</v>
      </c>
      <c r="H198" s="54" t="s">
        <v>524</v>
      </c>
      <c r="I198" s="66">
        <v>45892</v>
      </c>
      <c r="J198" s="54" t="s">
        <v>525</v>
      </c>
      <c r="K198" s="67">
        <v>75</v>
      </c>
      <c r="L198" s="68" t="s">
        <v>641</v>
      </c>
      <c r="M198" s="90" t="str">
        <f t="shared" ref="M198:M261" si="17">IF(L198="","",HYPERLINK(_xlfn.CONCAT($L$4,L198,".jpg"),"Open File"))</f>
        <v>Open File</v>
      </c>
      <c r="N198" s="70" t="s">
        <v>527</v>
      </c>
      <c r="O198" s="71" t="str">
        <f t="shared" si="16"/>
        <v>ACTIVE</v>
      </c>
      <c r="P198" s="66"/>
      <c r="Q198" s="66"/>
      <c r="R198" s="85"/>
      <c r="S198" s="82"/>
      <c r="T198" s="83" t="str">
        <f t="shared" ref="T198:T261" si="18">IF(S198="","",HYPERLINK(_xlfn.CONCAT($S$4,S198,".jpg"),"Open File"))</f>
        <v/>
      </c>
      <c r="U198" s="10"/>
      <c r="V198" s="41">
        <f>IF(AND(Q198&lt;&gt;"",RIGHT(Q198,3)&lt;&gt;""),IF(COUNTIF($Q$6:Q198,Q198)=1,1,0),0)</f>
        <v>0</v>
      </c>
      <c r="W198" s="41" t="str">
        <f t="shared" ref="W198:W261" si="19">IF(AND(J198&lt;&gt;"",K198&lt;&gt;""),_xlfn.CONCAT(SUBSTITUTE(J198,"/","."),"-",K198),"")</f>
        <v>NA.25.VIII.219-75</v>
      </c>
      <c r="X198" s="41" t="str">
        <f t="shared" ref="X198:X261" si="20">IF(AND(Q198&lt;&gt;"",R198&lt;&gt;""),_xlfn.CONCAT(SUBSTITUTE(Q198,"/","."),"-",R198),"")</f>
        <v/>
      </c>
    </row>
    <row r="199" s="32" customFormat="1" hidden="1" customHeight="1" spans="1:24">
      <c r="A199" s="34"/>
      <c r="B199" s="51">
        <v>194</v>
      </c>
      <c r="C199" s="51" t="s">
        <v>642</v>
      </c>
      <c r="D199" s="52" t="s">
        <v>643</v>
      </c>
      <c r="E199" s="53">
        <v>1</v>
      </c>
      <c r="F199" s="54" t="s">
        <v>29</v>
      </c>
      <c r="G199" s="54" t="s">
        <v>523</v>
      </c>
      <c r="H199" s="54" t="s">
        <v>524</v>
      </c>
      <c r="I199" s="66">
        <v>45892</v>
      </c>
      <c r="J199" s="54" t="s">
        <v>525</v>
      </c>
      <c r="K199" s="67">
        <v>74</v>
      </c>
      <c r="L199" s="68" t="s">
        <v>644</v>
      </c>
      <c r="M199" s="90" t="str">
        <f t="shared" si="17"/>
        <v>Open File</v>
      </c>
      <c r="N199" s="70" t="s">
        <v>527</v>
      </c>
      <c r="O199" s="71" t="str">
        <f t="shared" si="16"/>
        <v>ACTIVE</v>
      </c>
      <c r="P199" s="66"/>
      <c r="Q199" s="66"/>
      <c r="R199" s="85"/>
      <c r="S199" s="82"/>
      <c r="T199" s="83" t="str">
        <f t="shared" si="18"/>
        <v/>
      </c>
      <c r="U199" s="10"/>
      <c r="V199" s="41">
        <f>IF(AND(Q199&lt;&gt;"",RIGHT(Q199,3)&lt;&gt;""),IF(COUNTIF($Q$6:Q199,Q199)=1,1,0),0)</f>
        <v>0</v>
      </c>
      <c r="W199" s="41" t="str">
        <f t="shared" si="19"/>
        <v>NA.25.VIII.219-74</v>
      </c>
      <c r="X199" s="41" t="str">
        <f t="shared" si="20"/>
        <v/>
      </c>
    </row>
    <row r="200" s="32" customFormat="1" hidden="1" customHeight="1" spans="1:24">
      <c r="A200" s="34"/>
      <c r="B200" s="51">
        <v>195</v>
      </c>
      <c r="C200" s="51" t="s">
        <v>645</v>
      </c>
      <c r="D200" s="52" t="s">
        <v>646</v>
      </c>
      <c r="E200" s="53">
        <v>1</v>
      </c>
      <c r="F200" s="54" t="s">
        <v>29</v>
      </c>
      <c r="G200" s="54" t="s">
        <v>523</v>
      </c>
      <c r="H200" s="54" t="s">
        <v>524</v>
      </c>
      <c r="I200" s="66">
        <v>45892</v>
      </c>
      <c r="J200" s="54" t="s">
        <v>525</v>
      </c>
      <c r="K200" s="67">
        <v>73</v>
      </c>
      <c r="L200" s="68" t="s">
        <v>647</v>
      </c>
      <c r="M200" s="90" t="str">
        <f t="shared" si="17"/>
        <v>Open File</v>
      </c>
      <c r="N200" s="70" t="s">
        <v>527</v>
      </c>
      <c r="O200" s="71" t="str">
        <f t="shared" si="16"/>
        <v>ACTIVE</v>
      </c>
      <c r="P200" s="66"/>
      <c r="Q200" s="66"/>
      <c r="R200" s="85"/>
      <c r="S200" s="82"/>
      <c r="T200" s="83" t="str">
        <f t="shared" si="18"/>
        <v/>
      </c>
      <c r="U200" s="10"/>
      <c r="V200" s="41">
        <f>IF(AND(Q200&lt;&gt;"",RIGHT(Q200,3)&lt;&gt;""),IF(COUNTIF($Q$6:Q200,Q200)=1,1,0),0)</f>
        <v>0</v>
      </c>
      <c r="W200" s="41" t="str">
        <f t="shared" si="19"/>
        <v>NA.25.VIII.219-73</v>
      </c>
      <c r="X200" s="41" t="str">
        <f t="shared" si="20"/>
        <v/>
      </c>
    </row>
    <row r="201" s="32" customFormat="1" hidden="1" customHeight="1" spans="1:24">
      <c r="A201" s="34"/>
      <c r="B201" s="51">
        <v>196</v>
      </c>
      <c r="C201" s="51" t="s">
        <v>648</v>
      </c>
      <c r="D201" s="52" t="s">
        <v>649</v>
      </c>
      <c r="E201" s="53">
        <v>1</v>
      </c>
      <c r="F201" s="54" t="s">
        <v>29</v>
      </c>
      <c r="G201" s="54" t="s">
        <v>523</v>
      </c>
      <c r="H201" s="54" t="s">
        <v>524</v>
      </c>
      <c r="I201" s="66">
        <v>45892</v>
      </c>
      <c r="J201" s="54" t="s">
        <v>525</v>
      </c>
      <c r="K201" s="67">
        <v>72</v>
      </c>
      <c r="L201" s="68" t="s">
        <v>650</v>
      </c>
      <c r="M201" s="90" t="str">
        <f t="shared" si="17"/>
        <v>Open File</v>
      </c>
      <c r="N201" s="70" t="s">
        <v>527</v>
      </c>
      <c r="O201" s="71" t="str">
        <f t="shared" si="16"/>
        <v>ACTIVE</v>
      </c>
      <c r="P201" s="66"/>
      <c r="Q201" s="66"/>
      <c r="R201" s="85"/>
      <c r="S201" s="82"/>
      <c r="T201" s="83" t="str">
        <f t="shared" si="18"/>
        <v/>
      </c>
      <c r="U201" s="10"/>
      <c r="V201" s="41">
        <f>IF(AND(Q201&lt;&gt;"",RIGHT(Q201,3)&lt;&gt;""),IF(COUNTIF($Q$6:Q201,Q201)=1,1,0),0)</f>
        <v>0</v>
      </c>
      <c r="W201" s="41" t="str">
        <f t="shared" si="19"/>
        <v>NA.25.VIII.219-72</v>
      </c>
      <c r="X201" s="41" t="str">
        <f t="shared" si="20"/>
        <v/>
      </c>
    </row>
    <row r="202" s="32" customFormat="1" hidden="1" customHeight="1" spans="1:24">
      <c r="A202" s="34"/>
      <c r="B202" s="51">
        <v>197</v>
      </c>
      <c r="C202" s="51" t="s">
        <v>651</v>
      </c>
      <c r="D202" s="52" t="s">
        <v>652</v>
      </c>
      <c r="E202" s="53">
        <v>1</v>
      </c>
      <c r="F202" s="54" t="s">
        <v>29</v>
      </c>
      <c r="G202" s="54" t="s">
        <v>523</v>
      </c>
      <c r="H202" s="54" t="s">
        <v>524</v>
      </c>
      <c r="I202" s="66">
        <v>45892</v>
      </c>
      <c r="J202" s="54" t="s">
        <v>525</v>
      </c>
      <c r="K202" s="67">
        <v>71</v>
      </c>
      <c r="L202" s="68" t="s">
        <v>653</v>
      </c>
      <c r="M202" s="90" t="str">
        <f t="shared" si="17"/>
        <v>Open File</v>
      </c>
      <c r="N202" s="70" t="s">
        <v>527</v>
      </c>
      <c r="O202" s="71" t="str">
        <f t="shared" si="16"/>
        <v>ACTIVE</v>
      </c>
      <c r="P202" s="66"/>
      <c r="Q202" s="66"/>
      <c r="R202" s="85"/>
      <c r="S202" s="82"/>
      <c r="T202" s="83" t="str">
        <f t="shared" si="18"/>
        <v/>
      </c>
      <c r="U202" s="10"/>
      <c r="V202" s="41">
        <f>IF(AND(Q202&lt;&gt;"",RIGHT(Q202,3)&lt;&gt;""),IF(COUNTIF($Q$6:Q202,Q202)=1,1,0),0)</f>
        <v>0</v>
      </c>
      <c r="W202" s="41" t="str">
        <f t="shared" si="19"/>
        <v>NA.25.VIII.219-71</v>
      </c>
      <c r="X202" s="41" t="str">
        <f t="shared" si="20"/>
        <v/>
      </c>
    </row>
    <row r="203" s="32" customFormat="1" hidden="1" customHeight="1" spans="1:24">
      <c r="A203" s="34"/>
      <c r="B203" s="51">
        <v>198</v>
      </c>
      <c r="C203" s="51" t="s">
        <v>654</v>
      </c>
      <c r="D203" s="52" t="s">
        <v>655</v>
      </c>
      <c r="E203" s="53">
        <v>1</v>
      </c>
      <c r="F203" s="54" t="s">
        <v>29</v>
      </c>
      <c r="G203" s="54" t="s">
        <v>523</v>
      </c>
      <c r="H203" s="54" t="s">
        <v>524</v>
      </c>
      <c r="I203" s="66">
        <v>45892</v>
      </c>
      <c r="J203" s="54" t="s">
        <v>525</v>
      </c>
      <c r="K203" s="67">
        <v>70</v>
      </c>
      <c r="L203" s="68" t="s">
        <v>656</v>
      </c>
      <c r="M203" s="93" t="str">
        <f t="shared" si="17"/>
        <v>Open File</v>
      </c>
      <c r="N203" s="70" t="s">
        <v>527</v>
      </c>
      <c r="O203" s="71" t="str">
        <f t="shared" si="16"/>
        <v>ACTIVE</v>
      </c>
      <c r="P203" s="66"/>
      <c r="Q203" s="66"/>
      <c r="R203" s="85"/>
      <c r="S203" s="82"/>
      <c r="T203" s="83" t="str">
        <f t="shared" si="18"/>
        <v/>
      </c>
      <c r="U203" s="10"/>
      <c r="V203" s="41">
        <f>IF(AND(Q203&lt;&gt;"",RIGHT(Q203,3)&lt;&gt;""),IF(COUNTIF($Q$6:Q203,Q203)=1,1,0),0)</f>
        <v>0</v>
      </c>
      <c r="W203" s="41" t="str">
        <f t="shared" si="19"/>
        <v>NA.25.VIII.219-70</v>
      </c>
      <c r="X203" s="41" t="str">
        <f t="shared" si="20"/>
        <v/>
      </c>
    </row>
    <row r="204" s="32" customFormat="1" hidden="1" customHeight="1" spans="1:24">
      <c r="A204" s="34"/>
      <c r="B204" s="51">
        <v>199</v>
      </c>
      <c r="C204" s="51" t="s">
        <v>657</v>
      </c>
      <c r="D204" s="52" t="s">
        <v>658</v>
      </c>
      <c r="E204" s="53">
        <v>1</v>
      </c>
      <c r="F204" s="54" t="s">
        <v>29</v>
      </c>
      <c r="G204" s="54" t="s">
        <v>523</v>
      </c>
      <c r="H204" s="54" t="s">
        <v>524</v>
      </c>
      <c r="I204" s="66">
        <v>45892</v>
      </c>
      <c r="J204" s="54" t="s">
        <v>525</v>
      </c>
      <c r="K204" s="67">
        <v>69</v>
      </c>
      <c r="L204" s="68" t="s">
        <v>659</v>
      </c>
      <c r="M204" s="90" t="str">
        <f t="shared" si="17"/>
        <v>Open File</v>
      </c>
      <c r="N204" s="70" t="s">
        <v>527</v>
      </c>
      <c r="O204" s="71" t="str">
        <f t="shared" si="16"/>
        <v>ACTIVE</v>
      </c>
      <c r="P204" s="66"/>
      <c r="Q204" s="66"/>
      <c r="R204" s="85"/>
      <c r="S204" s="82"/>
      <c r="T204" s="83" t="str">
        <f t="shared" si="18"/>
        <v/>
      </c>
      <c r="U204" s="10"/>
      <c r="V204" s="41">
        <f>IF(AND(Q204&lt;&gt;"",RIGHT(Q204,3)&lt;&gt;""),IF(COUNTIF($Q$6:Q204,Q204)=1,1,0),0)</f>
        <v>0</v>
      </c>
      <c r="W204" s="41" t="str">
        <f t="shared" si="19"/>
        <v>NA.25.VIII.219-69</v>
      </c>
      <c r="X204" s="41" t="str">
        <f t="shared" si="20"/>
        <v/>
      </c>
    </row>
    <row r="205" s="32" customFormat="1" hidden="1" customHeight="1" spans="1:24">
      <c r="A205" s="34"/>
      <c r="B205" s="51">
        <v>200</v>
      </c>
      <c r="C205" s="51" t="s">
        <v>660</v>
      </c>
      <c r="D205" s="52" t="s">
        <v>661</v>
      </c>
      <c r="E205" s="53">
        <v>1</v>
      </c>
      <c r="F205" s="54" t="s">
        <v>29</v>
      </c>
      <c r="G205" s="54" t="s">
        <v>523</v>
      </c>
      <c r="H205" s="54" t="s">
        <v>524</v>
      </c>
      <c r="I205" s="66">
        <v>45892</v>
      </c>
      <c r="J205" s="54" t="s">
        <v>525</v>
      </c>
      <c r="K205" s="67">
        <v>68</v>
      </c>
      <c r="L205" s="68" t="s">
        <v>662</v>
      </c>
      <c r="M205" s="90" t="str">
        <f t="shared" si="17"/>
        <v>Open File</v>
      </c>
      <c r="N205" s="70" t="s">
        <v>527</v>
      </c>
      <c r="O205" s="71" t="str">
        <f t="shared" si="16"/>
        <v>ACTIVE</v>
      </c>
      <c r="P205" s="66"/>
      <c r="Q205" s="66"/>
      <c r="R205" s="85"/>
      <c r="S205" s="82"/>
      <c r="T205" s="83" t="str">
        <f t="shared" si="18"/>
        <v/>
      </c>
      <c r="U205" s="10"/>
      <c r="V205" s="41">
        <f>IF(AND(Q205&lt;&gt;"",RIGHT(Q205,3)&lt;&gt;""),IF(COUNTIF($Q$6:Q205,Q205)=1,1,0),0)</f>
        <v>0</v>
      </c>
      <c r="W205" s="41" t="str">
        <f t="shared" si="19"/>
        <v>NA.25.VIII.219-68</v>
      </c>
      <c r="X205" s="41" t="str">
        <f t="shared" si="20"/>
        <v/>
      </c>
    </row>
    <row r="206" s="32" customFormat="1" hidden="1" customHeight="1" spans="1:24">
      <c r="A206" s="34"/>
      <c r="B206" s="51">
        <v>201</v>
      </c>
      <c r="C206" s="51" t="s">
        <v>663</v>
      </c>
      <c r="D206" s="52" t="s">
        <v>664</v>
      </c>
      <c r="E206" s="53">
        <v>1</v>
      </c>
      <c r="F206" s="54" t="s">
        <v>29</v>
      </c>
      <c r="G206" s="54" t="s">
        <v>523</v>
      </c>
      <c r="H206" s="54" t="s">
        <v>524</v>
      </c>
      <c r="I206" s="66">
        <v>45892</v>
      </c>
      <c r="J206" s="54" t="s">
        <v>525</v>
      </c>
      <c r="K206" s="67">
        <v>67</v>
      </c>
      <c r="L206" s="68" t="s">
        <v>665</v>
      </c>
      <c r="M206" s="90" t="str">
        <f t="shared" si="17"/>
        <v>Open File</v>
      </c>
      <c r="N206" s="70" t="s">
        <v>527</v>
      </c>
      <c r="O206" s="71" t="str">
        <f t="shared" si="16"/>
        <v>ACTIVE</v>
      </c>
      <c r="P206" s="66"/>
      <c r="Q206" s="66"/>
      <c r="R206" s="85"/>
      <c r="S206" s="82"/>
      <c r="T206" s="83" t="str">
        <f t="shared" si="18"/>
        <v/>
      </c>
      <c r="U206" s="10"/>
      <c r="V206" s="41">
        <f>IF(AND(Q206&lt;&gt;"",RIGHT(Q206,3)&lt;&gt;""),IF(COUNTIF($Q$6:Q206,Q206)=1,1,0),0)</f>
        <v>0</v>
      </c>
      <c r="W206" s="41" t="str">
        <f t="shared" si="19"/>
        <v>NA.25.VIII.219-67</v>
      </c>
      <c r="X206" s="41" t="str">
        <f t="shared" si="20"/>
        <v/>
      </c>
    </row>
    <row r="207" s="32" customFormat="1" hidden="1" customHeight="1" spans="1:24">
      <c r="A207" s="34"/>
      <c r="B207" s="51">
        <v>202</v>
      </c>
      <c r="C207" s="51" t="s">
        <v>666</v>
      </c>
      <c r="D207" s="52" t="s">
        <v>667</v>
      </c>
      <c r="E207" s="53">
        <v>1</v>
      </c>
      <c r="F207" s="54" t="s">
        <v>29</v>
      </c>
      <c r="G207" s="54" t="s">
        <v>523</v>
      </c>
      <c r="H207" s="54" t="s">
        <v>524</v>
      </c>
      <c r="I207" s="66">
        <v>45892</v>
      </c>
      <c r="J207" s="54" t="s">
        <v>525</v>
      </c>
      <c r="K207" s="67">
        <v>66</v>
      </c>
      <c r="L207" s="68" t="s">
        <v>668</v>
      </c>
      <c r="M207" s="90" t="str">
        <f t="shared" si="17"/>
        <v>Open File</v>
      </c>
      <c r="N207" s="70" t="s">
        <v>527</v>
      </c>
      <c r="O207" s="71" t="str">
        <f t="shared" si="16"/>
        <v>ACTIVE</v>
      </c>
      <c r="P207" s="66"/>
      <c r="Q207" s="66"/>
      <c r="R207" s="85"/>
      <c r="S207" s="82"/>
      <c r="T207" s="83" t="str">
        <f t="shared" si="18"/>
        <v/>
      </c>
      <c r="U207" s="10"/>
      <c r="V207" s="41">
        <f>IF(AND(Q207&lt;&gt;"",RIGHT(Q207,3)&lt;&gt;""),IF(COUNTIF($Q$6:Q207,Q207)=1,1,0),0)</f>
        <v>0</v>
      </c>
      <c r="W207" s="41" t="str">
        <f t="shared" si="19"/>
        <v>NA.25.VIII.219-66</v>
      </c>
      <c r="X207" s="41" t="str">
        <f t="shared" si="20"/>
        <v/>
      </c>
    </row>
    <row r="208" s="32" customFormat="1" hidden="1" customHeight="1" spans="1:24">
      <c r="A208" s="34"/>
      <c r="B208" s="51">
        <v>203</v>
      </c>
      <c r="C208" s="51" t="s">
        <v>669</v>
      </c>
      <c r="D208" s="52" t="s">
        <v>670</v>
      </c>
      <c r="E208" s="53">
        <v>1</v>
      </c>
      <c r="F208" s="54" t="s">
        <v>29</v>
      </c>
      <c r="G208" s="54" t="s">
        <v>523</v>
      </c>
      <c r="H208" s="54" t="s">
        <v>524</v>
      </c>
      <c r="I208" s="66">
        <v>45892</v>
      </c>
      <c r="J208" s="54" t="s">
        <v>525</v>
      </c>
      <c r="K208" s="67">
        <v>65</v>
      </c>
      <c r="L208" s="68" t="s">
        <v>671</v>
      </c>
      <c r="M208" s="90" t="str">
        <f t="shared" si="17"/>
        <v>Open File</v>
      </c>
      <c r="N208" s="70" t="s">
        <v>527</v>
      </c>
      <c r="O208" s="71" t="str">
        <f t="shared" si="16"/>
        <v>ACTIVE</v>
      </c>
      <c r="P208" s="66"/>
      <c r="Q208" s="66"/>
      <c r="R208" s="85"/>
      <c r="S208" s="82"/>
      <c r="T208" s="83" t="str">
        <f t="shared" si="18"/>
        <v/>
      </c>
      <c r="U208" s="10"/>
      <c r="V208" s="41">
        <f>IF(AND(Q208&lt;&gt;"",RIGHT(Q208,3)&lt;&gt;""),IF(COUNTIF($Q$6:Q208,Q208)=1,1,0),0)</f>
        <v>0</v>
      </c>
      <c r="W208" s="41" t="str">
        <f t="shared" si="19"/>
        <v>NA.25.VIII.219-65</v>
      </c>
      <c r="X208" s="41" t="str">
        <f t="shared" si="20"/>
        <v/>
      </c>
    </row>
    <row r="209" s="32" customFormat="1" hidden="1" customHeight="1" spans="1:24">
      <c r="A209" s="34"/>
      <c r="B209" s="51">
        <v>204</v>
      </c>
      <c r="C209" s="51" t="s">
        <v>672</v>
      </c>
      <c r="D209" s="52" t="s">
        <v>673</v>
      </c>
      <c r="E209" s="53">
        <v>1</v>
      </c>
      <c r="F209" s="54" t="s">
        <v>29</v>
      </c>
      <c r="G209" s="54" t="s">
        <v>523</v>
      </c>
      <c r="H209" s="54" t="s">
        <v>524</v>
      </c>
      <c r="I209" s="66">
        <v>45892</v>
      </c>
      <c r="J209" s="54" t="s">
        <v>525</v>
      </c>
      <c r="K209" s="67">
        <v>64</v>
      </c>
      <c r="L209" s="68" t="s">
        <v>674</v>
      </c>
      <c r="M209" s="90" t="str">
        <f t="shared" si="17"/>
        <v>Open File</v>
      </c>
      <c r="N209" s="70" t="s">
        <v>527</v>
      </c>
      <c r="O209" s="71" t="str">
        <f t="shared" si="16"/>
        <v>PASSIVE</v>
      </c>
      <c r="P209" s="66">
        <v>45987</v>
      </c>
      <c r="Q209" s="66" t="s">
        <v>675</v>
      </c>
      <c r="R209" s="85">
        <v>1</v>
      </c>
      <c r="S209" s="86" t="s">
        <v>676</v>
      </c>
      <c r="T209" s="87" t="str">
        <f t="shared" si="18"/>
        <v>Open File</v>
      </c>
      <c r="U209" s="10" t="s">
        <v>677</v>
      </c>
      <c r="V209" s="41">
        <f>IF(AND(Q209&lt;&gt;"",RIGHT(Q209,3)&lt;&gt;""),IF(COUNTIF($Q$6:Q209,Q209)=1,1,0),0)</f>
        <v>1</v>
      </c>
      <c r="W209" s="41" t="str">
        <f t="shared" si="19"/>
        <v>NA.25.VIII.219-64</v>
      </c>
      <c r="X209" s="41" t="str">
        <f t="shared" si="20"/>
        <v>RI.26.III.001-1</v>
      </c>
    </row>
    <row r="210" s="32" customFormat="1" hidden="1" customHeight="1" spans="1:24">
      <c r="A210" s="34"/>
      <c r="B210" s="51">
        <v>205</v>
      </c>
      <c r="C210" s="51" t="s">
        <v>678</v>
      </c>
      <c r="D210" s="91" t="s">
        <v>679</v>
      </c>
      <c r="E210" s="92">
        <v>1</v>
      </c>
      <c r="F210" s="54" t="s">
        <v>29</v>
      </c>
      <c r="G210" s="54" t="s">
        <v>523</v>
      </c>
      <c r="H210" s="54" t="s">
        <v>524</v>
      </c>
      <c r="I210" s="66">
        <v>45892</v>
      </c>
      <c r="J210" s="54" t="s">
        <v>525</v>
      </c>
      <c r="K210" s="67">
        <v>63</v>
      </c>
      <c r="L210" s="68" t="s">
        <v>680</v>
      </c>
      <c r="M210" s="90" t="str">
        <f t="shared" si="17"/>
        <v>Open File</v>
      </c>
      <c r="N210" s="70" t="s">
        <v>527</v>
      </c>
      <c r="O210" s="71" t="str">
        <f t="shared" si="16"/>
        <v>ACTIVE</v>
      </c>
      <c r="P210" s="66"/>
      <c r="Q210" s="66"/>
      <c r="R210" s="85"/>
      <c r="S210" s="82"/>
      <c r="T210" s="83" t="str">
        <f t="shared" si="18"/>
        <v/>
      </c>
      <c r="U210" s="10"/>
      <c r="V210" s="41">
        <f>IF(AND(Q210&lt;&gt;"",RIGHT(Q210,3)&lt;&gt;""),IF(COUNTIF($Q$6:Q210,Q210)=1,1,0),0)</f>
        <v>0</v>
      </c>
      <c r="W210" s="41" t="str">
        <f t="shared" si="19"/>
        <v>NA.25.VIII.219-63</v>
      </c>
      <c r="X210" s="41" t="str">
        <f t="shared" si="20"/>
        <v/>
      </c>
    </row>
    <row r="211" s="32" customFormat="1" hidden="1" customHeight="1" spans="1:24">
      <c r="A211" s="34"/>
      <c r="B211" s="51">
        <v>206</v>
      </c>
      <c r="C211" s="51" t="s">
        <v>681</v>
      </c>
      <c r="D211" s="91" t="s">
        <v>679</v>
      </c>
      <c r="E211" s="92">
        <v>1</v>
      </c>
      <c r="F211" s="54" t="s">
        <v>29</v>
      </c>
      <c r="G211" s="54" t="s">
        <v>523</v>
      </c>
      <c r="H211" s="54" t="s">
        <v>524</v>
      </c>
      <c r="I211" s="66">
        <v>45892</v>
      </c>
      <c r="J211" s="54" t="s">
        <v>525</v>
      </c>
      <c r="K211" s="67">
        <v>62</v>
      </c>
      <c r="L211" s="68" t="s">
        <v>682</v>
      </c>
      <c r="M211" s="90" t="str">
        <f t="shared" si="17"/>
        <v>Open File</v>
      </c>
      <c r="N211" s="70" t="s">
        <v>527</v>
      </c>
      <c r="O211" s="71" t="str">
        <f t="shared" si="16"/>
        <v>ACTIVE</v>
      </c>
      <c r="P211" s="66"/>
      <c r="Q211" s="66"/>
      <c r="R211" s="85"/>
      <c r="S211" s="82"/>
      <c r="T211" s="83" t="str">
        <f t="shared" si="18"/>
        <v/>
      </c>
      <c r="U211" s="10"/>
      <c r="V211" s="41">
        <f>IF(AND(Q211&lt;&gt;"",RIGHT(Q211,3)&lt;&gt;""),IF(COUNTIF($Q$6:Q211,Q211)=1,1,0),0)</f>
        <v>0</v>
      </c>
      <c r="W211" s="41" t="str">
        <f t="shared" si="19"/>
        <v>NA.25.VIII.219-62</v>
      </c>
      <c r="X211" s="41" t="str">
        <f t="shared" si="20"/>
        <v/>
      </c>
    </row>
    <row r="212" s="32" customFormat="1" hidden="1" customHeight="1" spans="1:24">
      <c r="A212" s="34"/>
      <c r="B212" s="51">
        <v>207</v>
      </c>
      <c r="C212" s="51" t="s">
        <v>683</v>
      </c>
      <c r="D212" s="91" t="s">
        <v>684</v>
      </c>
      <c r="E212" s="92">
        <v>1</v>
      </c>
      <c r="F212" s="54" t="s">
        <v>29</v>
      </c>
      <c r="G212" s="54" t="s">
        <v>523</v>
      </c>
      <c r="H212" s="54" t="s">
        <v>524</v>
      </c>
      <c r="I212" s="66">
        <v>45892</v>
      </c>
      <c r="J212" s="54" t="s">
        <v>525</v>
      </c>
      <c r="K212" s="67">
        <v>61</v>
      </c>
      <c r="L212" s="68" t="s">
        <v>685</v>
      </c>
      <c r="M212" s="90" t="str">
        <f t="shared" si="17"/>
        <v>Open File</v>
      </c>
      <c r="N212" s="70" t="s">
        <v>527</v>
      </c>
      <c r="O212" s="71" t="str">
        <f t="shared" si="16"/>
        <v>ACTIVE</v>
      </c>
      <c r="P212" s="66"/>
      <c r="Q212" s="66"/>
      <c r="R212" s="85"/>
      <c r="S212" s="82"/>
      <c r="T212" s="83" t="str">
        <f t="shared" si="18"/>
        <v/>
      </c>
      <c r="U212" s="10"/>
      <c r="V212" s="41">
        <f>IF(AND(Q212&lt;&gt;"",RIGHT(Q212,3)&lt;&gt;""),IF(COUNTIF($Q$6:Q212,Q212)=1,1,0),0)</f>
        <v>0</v>
      </c>
      <c r="W212" s="41" t="str">
        <f t="shared" si="19"/>
        <v>NA.25.VIII.219-61</v>
      </c>
      <c r="X212" s="41" t="str">
        <f t="shared" si="20"/>
        <v/>
      </c>
    </row>
    <row r="213" s="32" customFormat="1" hidden="1" customHeight="1" spans="1:24">
      <c r="A213" s="34"/>
      <c r="B213" s="51">
        <v>208</v>
      </c>
      <c r="C213" s="51" t="s">
        <v>686</v>
      </c>
      <c r="D213" s="91" t="s">
        <v>687</v>
      </c>
      <c r="E213" s="92">
        <v>1</v>
      </c>
      <c r="F213" s="54" t="s">
        <v>29</v>
      </c>
      <c r="G213" s="54" t="s">
        <v>523</v>
      </c>
      <c r="H213" s="54" t="s">
        <v>524</v>
      </c>
      <c r="I213" s="66">
        <v>45892</v>
      </c>
      <c r="J213" s="54" t="s">
        <v>525</v>
      </c>
      <c r="K213" s="67">
        <v>60</v>
      </c>
      <c r="L213" s="68" t="s">
        <v>688</v>
      </c>
      <c r="M213" s="90" t="str">
        <f t="shared" si="17"/>
        <v>Open File</v>
      </c>
      <c r="N213" s="70" t="s">
        <v>527</v>
      </c>
      <c r="O213" s="71" t="str">
        <f t="shared" si="16"/>
        <v>ACTIVE</v>
      </c>
      <c r="P213" s="66"/>
      <c r="Q213" s="66"/>
      <c r="R213" s="85"/>
      <c r="S213" s="82"/>
      <c r="T213" s="83" t="str">
        <f t="shared" si="18"/>
        <v/>
      </c>
      <c r="U213" s="10"/>
      <c r="V213" s="41">
        <f>IF(AND(Q213&lt;&gt;"",RIGHT(Q213,3)&lt;&gt;""),IF(COUNTIF($Q$6:Q213,Q213)=1,1,0),0)</f>
        <v>0</v>
      </c>
      <c r="W213" s="41" t="str">
        <f t="shared" si="19"/>
        <v>NA.25.VIII.219-60</v>
      </c>
      <c r="X213" s="41" t="str">
        <f t="shared" si="20"/>
        <v/>
      </c>
    </row>
    <row r="214" s="32" customFormat="1" hidden="1" customHeight="1" spans="1:24">
      <c r="A214" s="34"/>
      <c r="B214" s="51">
        <v>209</v>
      </c>
      <c r="C214" s="51" t="s">
        <v>689</v>
      </c>
      <c r="D214" s="91" t="s">
        <v>690</v>
      </c>
      <c r="E214" s="92">
        <v>1</v>
      </c>
      <c r="F214" s="54" t="s">
        <v>29</v>
      </c>
      <c r="G214" s="54" t="s">
        <v>523</v>
      </c>
      <c r="H214" s="54" t="s">
        <v>524</v>
      </c>
      <c r="I214" s="66">
        <v>45892</v>
      </c>
      <c r="J214" s="54" t="s">
        <v>525</v>
      </c>
      <c r="K214" s="67">
        <v>59</v>
      </c>
      <c r="L214" s="68" t="s">
        <v>691</v>
      </c>
      <c r="M214" s="90" t="str">
        <f t="shared" si="17"/>
        <v>Open File</v>
      </c>
      <c r="N214" s="70" t="s">
        <v>527</v>
      </c>
      <c r="O214" s="71" t="str">
        <f t="shared" si="16"/>
        <v>ACTIVE</v>
      </c>
      <c r="P214" s="66"/>
      <c r="Q214" s="66"/>
      <c r="R214" s="85"/>
      <c r="S214" s="82"/>
      <c r="T214" s="83" t="str">
        <f t="shared" si="18"/>
        <v/>
      </c>
      <c r="U214" s="10"/>
      <c r="V214" s="41">
        <f>IF(AND(Q214&lt;&gt;"",RIGHT(Q214,3)&lt;&gt;""),IF(COUNTIF($Q$6:Q214,Q214)=1,1,0),0)</f>
        <v>0</v>
      </c>
      <c r="W214" s="41" t="str">
        <f t="shared" si="19"/>
        <v>NA.25.VIII.219-59</v>
      </c>
      <c r="X214" s="41" t="str">
        <f t="shared" si="20"/>
        <v/>
      </c>
    </row>
    <row r="215" s="32" customFormat="1" hidden="1" customHeight="1" spans="1:24">
      <c r="A215" s="34"/>
      <c r="B215" s="51">
        <v>210</v>
      </c>
      <c r="C215" s="51" t="s">
        <v>692</v>
      </c>
      <c r="D215" s="91" t="s">
        <v>693</v>
      </c>
      <c r="E215" s="92">
        <v>1</v>
      </c>
      <c r="F215" s="54" t="s">
        <v>29</v>
      </c>
      <c r="G215" s="54" t="s">
        <v>523</v>
      </c>
      <c r="H215" s="54" t="s">
        <v>524</v>
      </c>
      <c r="I215" s="66">
        <v>45892</v>
      </c>
      <c r="J215" s="54" t="s">
        <v>525</v>
      </c>
      <c r="K215" s="67">
        <v>58</v>
      </c>
      <c r="L215" s="68" t="s">
        <v>694</v>
      </c>
      <c r="M215" s="90" t="str">
        <f t="shared" si="17"/>
        <v>Open File</v>
      </c>
      <c r="N215" s="70" t="s">
        <v>527</v>
      </c>
      <c r="O215" s="71" t="str">
        <f t="shared" si="16"/>
        <v>ACTIVE</v>
      </c>
      <c r="P215" s="66"/>
      <c r="Q215" s="66"/>
      <c r="R215" s="85"/>
      <c r="S215" s="82"/>
      <c r="T215" s="83" t="str">
        <f t="shared" si="18"/>
        <v/>
      </c>
      <c r="U215" s="10"/>
      <c r="V215" s="41">
        <f>IF(AND(Q215&lt;&gt;"",RIGHT(Q215,3)&lt;&gt;""),IF(COUNTIF($Q$6:Q215,Q215)=1,1,0),0)</f>
        <v>0</v>
      </c>
      <c r="W215" s="41" t="str">
        <f t="shared" si="19"/>
        <v>NA.25.VIII.219-58</v>
      </c>
      <c r="X215" s="41" t="str">
        <f t="shared" si="20"/>
        <v/>
      </c>
    </row>
    <row r="216" s="32" customFormat="1" hidden="1" customHeight="1" spans="1:24">
      <c r="A216" s="34"/>
      <c r="B216" s="51">
        <v>211</v>
      </c>
      <c r="C216" s="51" t="s">
        <v>695</v>
      </c>
      <c r="D216" s="91" t="s">
        <v>696</v>
      </c>
      <c r="E216" s="92">
        <v>1</v>
      </c>
      <c r="F216" s="54" t="s">
        <v>29</v>
      </c>
      <c r="G216" s="54" t="s">
        <v>523</v>
      </c>
      <c r="H216" s="54" t="s">
        <v>524</v>
      </c>
      <c r="I216" s="66">
        <v>45892</v>
      </c>
      <c r="J216" s="54" t="s">
        <v>525</v>
      </c>
      <c r="K216" s="67">
        <v>57</v>
      </c>
      <c r="L216" s="68" t="s">
        <v>697</v>
      </c>
      <c r="M216" s="90" t="str">
        <f t="shared" si="17"/>
        <v>Open File</v>
      </c>
      <c r="N216" s="70" t="s">
        <v>527</v>
      </c>
      <c r="O216" s="71" t="str">
        <f t="shared" si="16"/>
        <v>ACTIVE</v>
      </c>
      <c r="P216" s="66"/>
      <c r="Q216" s="66"/>
      <c r="R216" s="85"/>
      <c r="S216" s="82"/>
      <c r="T216" s="83" t="str">
        <f t="shared" si="18"/>
        <v/>
      </c>
      <c r="U216" s="10"/>
      <c r="V216" s="41">
        <f>IF(AND(Q216&lt;&gt;"",RIGHT(Q216,3)&lt;&gt;""),IF(COUNTIF($Q$6:Q216,Q216)=1,1,0),0)</f>
        <v>0</v>
      </c>
      <c r="W216" s="41" t="str">
        <f t="shared" si="19"/>
        <v>NA.25.VIII.219-57</v>
      </c>
      <c r="X216" s="41" t="str">
        <f t="shared" si="20"/>
        <v/>
      </c>
    </row>
    <row r="217" s="32" customFormat="1" hidden="1" customHeight="1" spans="1:24">
      <c r="A217" s="34"/>
      <c r="B217" s="51">
        <v>212</v>
      </c>
      <c r="C217" s="51" t="s">
        <v>698</v>
      </c>
      <c r="D217" s="52" t="s">
        <v>699</v>
      </c>
      <c r="E217" s="53">
        <v>1</v>
      </c>
      <c r="F217" s="54" t="s">
        <v>29</v>
      </c>
      <c r="G217" s="54" t="s">
        <v>523</v>
      </c>
      <c r="H217" s="54" t="s">
        <v>524</v>
      </c>
      <c r="I217" s="66">
        <v>45892</v>
      </c>
      <c r="J217" s="54" t="s">
        <v>525</v>
      </c>
      <c r="K217" s="67">
        <v>56</v>
      </c>
      <c r="L217" s="68" t="s">
        <v>700</v>
      </c>
      <c r="M217" s="90" t="str">
        <f t="shared" si="17"/>
        <v>Open File</v>
      </c>
      <c r="N217" s="70" t="s">
        <v>527</v>
      </c>
      <c r="O217" s="71" t="str">
        <f t="shared" si="16"/>
        <v>ACTIVE</v>
      </c>
      <c r="P217" s="66"/>
      <c r="Q217" s="66"/>
      <c r="R217" s="85"/>
      <c r="S217" s="82"/>
      <c r="T217" s="83" t="str">
        <f t="shared" si="18"/>
        <v/>
      </c>
      <c r="U217" s="10"/>
      <c r="V217" s="41">
        <f>IF(AND(Q217&lt;&gt;"",RIGHT(Q217,3)&lt;&gt;""),IF(COUNTIF($Q$6:Q217,Q217)=1,1,0),0)</f>
        <v>0</v>
      </c>
      <c r="W217" s="41" t="str">
        <f t="shared" si="19"/>
        <v>NA.25.VIII.219-56</v>
      </c>
      <c r="X217" s="41" t="str">
        <f t="shared" si="20"/>
        <v/>
      </c>
    </row>
    <row r="218" s="32" customFormat="1" hidden="1" customHeight="1" spans="1:24">
      <c r="A218" s="34"/>
      <c r="B218" s="51">
        <v>213</v>
      </c>
      <c r="C218" s="51" t="s">
        <v>701</v>
      </c>
      <c r="D218" s="52" t="s">
        <v>702</v>
      </c>
      <c r="E218" s="53">
        <v>1</v>
      </c>
      <c r="F218" s="54" t="s">
        <v>29</v>
      </c>
      <c r="G218" s="54" t="s">
        <v>523</v>
      </c>
      <c r="H218" s="54" t="s">
        <v>524</v>
      </c>
      <c r="I218" s="66">
        <v>45892</v>
      </c>
      <c r="J218" s="54" t="s">
        <v>525</v>
      </c>
      <c r="K218" s="67">
        <v>55</v>
      </c>
      <c r="L218" s="68" t="s">
        <v>703</v>
      </c>
      <c r="M218" s="90" t="str">
        <f t="shared" si="17"/>
        <v>Open File</v>
      </c>
      <c r="N218" s="70" t="s">
        <v>527</v>
      </c>
      <c r="O218" s="71" t="str">
        <f t="shared" si="16"/>
        <v>ACTIVE</v>
      </c>
      <c r="P218" s="66"/>
      <c r="Q218" s="66"/>
      <c r="R218" s="85"/>
      <c r="S218" s="82"/>
      <c r="T218" s="83" t="str">
        <f t="shared" si="18"/>
        <v/>
      </c>
      <c r="U218" s="10"/>
      <c r="V218" s="41">
        <f>IF(AND(Q218&lt;&gt;"",RIGHT(Q218,3)&lt;&gt;""),IF(COUNTIF($Q$6:Q218,Q218)=1,1,0),0)</f>
        <v>0</v>
      </c>
      <c r="W218" s="41" t="str">
        <f t="shared" si="19"/>
        <v>NA.25.VIII.219-55</v>
      </c>
      <c r="X218" s="41" t="str">
        <f t="shared" si="20"/>
        <v/>
      </c>
    </row>
    <row r="219" s="32" customFormat="1" hidden="1" customHeight="1" spans="1:24">
      <c r="A219" s="34"/>
      <c r="B219" s="51">
        <v>214</v>
      </c>
      <c r="C219" s="51" t="s">
        <v>704</v>
      </c>
      <c r="D219" s="52" t="s">
        <v>705</v>
      </c>
      <c r="E219" s="53">
        <v>1</v>
      </c>
      <c r="F219" s="54" t="s">
        <v>29</v>
      </c>
      <c r="G219" s="54" t="s">
        <v>523</v>
      </c>
      <c r="H219" s="54" t="s">
        <v>524</v>
      </c>
      <c r="I219" s="66">
        <v>45892</v>
      </c>
      <c r="J219" s="54" t="s">
        <v>525</v>
      </c>
      <c r="K219" s="67">
        <v>54</v>
      </c>
      <c r="L219" s="68" t="s">
        <v>706</v>
      </c>
      <c r="M219" s="90" t="str">
        <f t="shared" si="17"/>
        <v>Open File</v>
      </c>
      <c r="N219" s="70" t="s">
        <v>527</v>
      </c>
      <c r="O219" s="71" t="str">
        <f t="shared" si="16"/>
        <v>ACTIVE</v>
      </c>
      <c r="P219" s="66"/>
      <c r="Q219" s="66"/>
      <c r="R219" s="85"/>
      <c r="S219" s="82"/>
      <c r="T219" s="83" t="str">
        <f t="shared" si="18"/>
        <v/>
      </c>
      <c r="U219" s="10"/>
      <c r="V219" s="41">
        <f>IF(AND(Q219&lt;&gt;"",RIGHT(Q219,3)&lt;&gt;""),IF(COUNTIF($Q$6:Q219,Q219)=1,1,0),0)</f>
        <v>0</v>
      </c>
      <c r="W219" s="41" t="str">
        <f t="shared" si="19"/>
        <v>NA.25.VIII.219-54</v>
      </c>
      <c r="X219" s="41" t="str">
        <f t="shared" si="20"/>
        <v/>
      </c>
    </row>
    <row r="220" s="32" customFormat="1" hidden="1" customHeight="1" spans="1:24">
      <c r="A220" s="34"/>
      <c r="B220" s="51">
        <v>215</v>
      </c>
      <c r="C220" s="51" t="s">
        <v>707</v>
      </c>
      <c r="D220" s="52" t="s">
        <v>708</v>
      </c>
      <c r="E220" s="53">
        <v>1</v>
      </c>
      <c r="F220" s="54" t="s">
        <v>29</v>
      </c>
      <c r="G220" s="54" t="s">
        <v>523</v>
      </c>
      <c r="H220" s="54" t="s">
        <v>524</v>
      </c>
      <c r="I220" s="66">
        <v>45892</v>
      </c>
      <c r="J220" s="54" t="s">
        <v>525</v>
      </c>
      <c r="K220" s="67">
        <v>53</v>
      </c>
      <c r="L220" s="68" t="s">
        <v>709</v>
      </c>
      <c r="M220" s="90" t="str">
        <f t="shared" si="17"/>
        <v>Open File</v>
      </c>
      <c r="N220" s="70" t="s">
        <v>527</v>
      </c>
      <c r="O220" s="71" t="str">
        <f t="shared" si="16"/>
        <v>ACTIVE</v>
      </c>
      <c r="P220" s="66"/>
      <c r="Q220" s="66"/>
      <c r="R220" s="85"/>
      <c r="S220" s="82"/>
      <c r="T220" s="83" t="str">
        <f t="shared" si="18"/>
        <v/>
      </c>
      <c r="U220" s="10"/>
      <c r="V220" s="41">
        <f>IF(AND(Q220&lt;&gt;"",RIGHT(Q220,3)&lt;&gt;""),IF(COUNTIF($Q$6:Q220,Q220)=1,1,0),0)</f>
        <v>0</v>
      </c>
      <c r="W220" s="41" t="str">
        <f t="shared" si="19"/>
        <v>NA.25.VIII.219-53</v>
      </c>
      <c r="X220" s="41" t="str">
        <f t="shared" si="20"/>
        <v/>
      </c>
    </row>
    <row r="221" s="32" customFormat="1" hidden="1" customHeight="1" spans="1:24">
      <c r="A221" s="34"/>
      <c r="B221" s="51">
        <v>216</v>
      </c>
      <c r="C221" s="51" t="s">
        <v>710</v>
      </c>
      <c r="D221" s="52" t="s">
        <v>711</v>
      </c>
      <c r="E221" s="53">
        <v>1</v>
      </c>
      <c r="F221" s="54" t="s">
        <v>29</v>
      </c>
      <c r="G221" s="54" t="s">
        <v>523</v>
      </c>
      <c r="H221" s="54" t="s">
        <v>524</v>
      </c>
      <c r="I221" s="66">
        <v>45892</v>
      </c>
      <c r="J221" s="54" t="s">
        <v>525</v>
      </c>
      <c r="K221" s="67">
        <v>52</v>
      </c>
      <c r="L221" s="68" t="s">
        <v>712</v>
      </c>
      <c r="M221" s="90" t="str">
        <f t="shared" si="17"/>
        <v>Open File</v>
      </c>
      <c r="N221" s="70" t="s">
        <v>527</v>
      </c>
      <c r="O221" s="71" t="str">
        <f t="shared" si="16"/>
        <v>ACTIVE</v>
      </c>
      <c r="P221" s="66"/>
      <c r="Q221" s="66"/>
      <c r="R221" s="85"/>
      <c r="S221" s="82"/>
      <c r="T221" s="83" t="str">
        <f t="shared" si="18"/>
        <v/>
      </c>
      <c r="U221" s="10"/>
      <c r="V221" s="41">
        <f>IF(AND(Q221&lt;&gt;"",RIGHT(Q221,3)&lt;&gt;""),IF(COUNTIF($Q$6:Q221,Q221)=1,1,0),0)</f>
        <v>0</v>
      </c>
      <c r="W221" s="41" t="str">
        <f t="shared" si="19"/>
        <v>NA.25.VIII.219-52</v>
      </c>
      <c r="X221" s="41" t="str">
        <f t="shared" si="20"/>
        <v/>
      </c>
    </row>
    <row r="222" s="32" customFormat="1" hidden="1" customHeight="1" spans="1:24">
      <c r="A222" s="34"/>
      <c r="B222" s="51">
        <v>217</v>
      </c>
      <c r="C222" s="51" t="s">
        <v>713</v>
      </c>
      <c r="D222" s="52" t="s">
        <v>714</v>
      </c>
      <c r="E222" s="53">
        <v>1</v>
      </c>
      <c r="F222" s="54" t="s">
        <v>29</v>
      </c>
      <c r="G222" s="54" t="s">
        <v>523</v>
      </c>
      <c r="H222" s="54" t="s">
        <v>524</v>
      </c>
      <c r="I222" s="66">
        <v>45892</v>
      </c>
      <c r="J222" s="54" t="s">
        <v>525</v>
      </c>
      <c r="K222" s="67">
        <v>51</v>
      </c>
      <c r="L222" s="68" t="s">
        <v>715</v>
      </c>
      <c r="M222" s="90" t="str">
        <f t="shared" si="17"/>
        <v>Open File</v>
      </c>
      <c r="N222" s="70" t="s">
        <v>527</v>
      </c>
      <c r="O222" s="71" t="str">
        <f t="shared" si="16"/>
        <v>ACTIVE</v>
      </c>
      <c r="P222" s="66"/>
      <c r="Q222" s="66"/>
      <c r="R222" s="85"/>
      <c r="S222" s="82"/>
      <c r="T222" s="83" t="str">
        <f t="shared" si="18"/>
        <v/>
      </c>
      <c r="U222" s="10"/>
      <c r="V222" s="41">
        <f>IF(AND(Q222&lt;&gt;"",RIGHT(Q222,3)&lt;&gt;""),IF(COUNTIF($Q$6:Q222,Q222)=1,1,0),0)</f>
        <v>0</v>
      </c>
      <c r="W222" s="41" t="str">
        <f t="shared" si="19"/>
        <v>NA.25.VIII.219-51</v>
      </c>
      <c r="X222" s="41" t="str">
        <f t="shared" si="20"/>
        <v/>
      </c>
    </row>
    <row r="223" s="32" customFormat="1" hidden="1" customHeight="1" spans="1:24">
      <c r="A223" s="34"/>
      <c r="B223" s="51">
        <v>218</v>
      </c>
      <c r="C223" s="51" t="s">
        <v>716</v>
      </c>
      <c r="D223" s="52" t="s">
        <v>717</v>
      </c>
      <c r="E223" s="53">
        <v>1</v>
      </c>
      <c r="F223" s="54" t="s">
        <v>29</v>
      </c>
      <c r="G223" s="54" t="s">
        <v>523</v>
      </c>
      <c r="H223" s="54" t="s">
        <v>524</v>
      </c>
      <c r="I223" s="66">
        <v>45892</v>
      </c>
      <c r="J223" s="54" t="s">
        <v>525</v>
      </c>
      <c r="K223" s="67">
        <v>50</v>
      </c>
      <c r="L223" s="68" t="s">
        <v>718</v>
      </c>
      <c r="M223" s="90" t="str">
        <f t="shared" si="17"/>
        <v>Open File</v>
      </c>
      <c r="N223" s="70" t="s">
        <v>527</v>
      </c>
      <c r="O223" s="71" t="str">
        <f t="shared" si="16"/>
        <v>ACTIVE</v>
      </c>
      <c r="P223" s="66"/>
      <c r="Q223" s="66"/>
      <c r="R223" s="85"/>
      <c r="S223" s="82"/>
      <c r="T223" s="83" t="str">
        <f t="shared" si="18"/>
        <v/>
      </c>
      <c r="U223" s="10"/>
      <c r="V223" s="41">
        <f>IF(AND(Q223&lt;&gt;"",RIGHT(Q223,3)&lt;&gt;""),IF(COUNTIF($Q$6:Q223,Q223)=1,1,0),0)</f>
        <v>0</v>
      </c>
      <c r="W223" s="41" t="str">
        <f t="shared" si="19"/>
        <v>NA.25.VIII.219-50</v>
      </c>
      <c r="X223" s="41" t="str">
        <f t="shared" si="20"/>
        <v/>
      </c>
    </row>
    <row r="224" s="32" customFormat="1" hidden="1" customHeight="1" spans="1:24">
      <c r="A224" s="34"/>
      <c r="B224" s="51">
        <v>219</v>
      </c>
      <c r="C224" s="51" t="s">
        <v>719</v>
      </c>
      <c r="D224" s="52" t="s">
        <v>720</v>
      </c>
      <c r="E224" s="53">
        <v>1</v>
      </c>
      <c r="F224" s="54" t="s">
        <v>29</v>
      </c>
      <c r="G224" s="54" t="s">
        <v>523</v>
      </c>
      <c r="H224" s="54" t="s">
        <v>524</v>
      </c>
      <c r="I224" s="66">
        <v>45892</v>
      </c>
      <c r="J224" s="54" t="s">
        <v>525</v>
      </c>
      <c r="K224" s="67">
        <v>49</v>
      </c>
      <c r="L224" s="68" t="s">
        <v>721</v>
      </c>
      <c r="M224" s="90" t="str">
        <f t="shared" si="17"/>
        <v>Open File</v>
      </c>
      <c r="N224" s="70" t="s">
        <v>527</v>
      </c>
      <c r="O224" s="71" t="str">
        <f t="shared" si="16"/>
        <v>ACTIVE</v>
      </c>
      <c r="P224" s="66"/>
      <c r="Q224" s="66"/>
      <c r="R224" s="85"/>
      <c r="S224" s="82"/>
      <c r="T224" s="83" t="str">
        <f t="shared" si="18"/>
        <v/>
      </c>
      <c r="U224" s="10"/>
      <c r="V224" s="41">
        <f>IF(AND(Q224&lt;&gt;"",RIGHT(Q224,3)&lt;&gt;""),IF(COUNTIF($Q$6:Q224,Q224)=1,1,0),0)</f>
        <v>0</v>
      </c>
      <c r="W224" s="41" t="str">
        <f t="shared" si="19"/>
        <v>NA.25.VIII.219-49</v>
      </c>
      <c r="X224" s="41" t="str">
        <f t="shared" si="20"/>
        <v/>
      </c>
    </row>
    <row r="225" s="32" customFormat="1" hidden="1" customHeight="1" spans="1:24">
      <c r="A225" s="34"/>
      <c r="B225" s="51">
        <v>220</v>
      </c>
      <c r="C225" s="51" t="s">
        <v>722</v>
      </c>
      <c r="D225" s="52" t="s">
        <v>723</v>
      </c>
      <c r="E225" s="53">
        <v>1</v>
      </c>
      <c r="F225" s="54" t="s">
        <v>29</v>
      </c>
      <c r="G225" s="54" t="s">
        <v>523</v>
      </c>
      <c r="H225" s="54" t="s">
        <v>524</v>
      </c>
      <c r="I225" s="66">
        <v>45892</v>
      </c>
      <c r="J225" s="54" t="s">
        <v>525</v>
      </c>
      <c r="K225" s="67">
        <v>48</v>
      </c>
      <c r="L225" s="68" t="s">
        <v>724</v>
      </c>
      <c r="M225" s="90" t="str">
        <f t="shared" si="17"/>
        <v>Open File</v>
      </c>
      <c r="N225" s="70" t="s">
        <v>527</v>
      </c>
      <c r="O225" s="71" t="str">
        <f t="shared" ref="O225:O258" si="21">IF(AND(Q225&lt;&gt;"",T225&lt;&gt;""),"PASSIVE",IF(AND(J225&lt;&gt;"",M225&lt;&gt;""),"ACTIVE",""))</f>
        <v>ACTIVE</v>
      </c>
      <c r="P225" s="66"/>
      <c r="Q225" s="66"/>
      <c r="R225" s="85"/>
      <c r="S225" s="82"/>
      <c r="T225" s="83" t="str">
        <f t="shared" si="18"/>
        <v/>
      </c>
      <c r="U225" s="10"/>
      <c r="V225" s="41">
        <f>IF(AND(Q225&lt;&gt;"",RIGHT(Q225,3)&lt;&gt;""),IF(COUNTIF($Q$6:Q225,Q225)=1,1,0),0)</f>
        <v>0</v>
      </c>
      <c r="W225" s="41" t="str">
        <f t="shared" si="19"/>
        <v>NA.25.VIII.219-48</v>
      </c>
      <c r="X225" s="41" t="str">
        <f t="shared" si="20"/>
        <v/>
      </c>
    </row>
    <row r="226" s="32" customFormat="1" hidden="1" customHeight="1" spans="1:24">
      <c r="A226" s="34"/>
      <c r="B226" s="51">
        <v>221</v>
      </c>
      <c r="C226" s="51" t="s">
        <v>725</v>
      </c>
      <c r="D226" s="52" t="s">
        <v>726</v>
      </c>
      <c r="E226" s="53">
        <v>1</v>
      </c>
      <c r="F226" s="54" t="s">
        <v>29</v>
      </c>
      <c r="G226" s="54" t="s">
        <v>523</v>
      </c>
      <c r="H226" s="54" t="s">
        <v>524</v>
      </c>
      <c r="I226" s="66">
        <v>45892</v>
      </c>
      <c r="J226" s="54" t="s">
        <v>525</v>
      </c>
      <c r="K226" s="67">
        <v>47</v>
      </c>
      <c r="L226" s="68" t="s">
        <v>727</v>
      </c>
      <c r="M226" s="90" t="str">
        <f t="shared" si="17"/>
        <v>Open File</v>
      </c>
      <c r="N226" s="70" t="s">
        <v>527</v>
      </c>
      <c r="O226" s="71" t="str">
        <f t="shared" si="21"/>
        <v>ACTIVE</v>
      </c>
      <c r="P226" s="66"/>
      <c r="Q226" s="66"/>
      <c r="R226" s="85"/>
      <c r="S226" s="82"/>
      <c r="T226" s="83" t="str">
        <f t="shared" si="18"/>
        <v/>
      </c>
      <c r="U226" s="10"/>
      <c r="V226" s="41">
        <f>IF(AND(Q226&lt;&gt;"",RIGHT(Q226,3)&lt;&gt;""),IF(COUNTIF($Q$6:Q226,Q226)=1,1,0),0)</f>
        <v>0</v>
      </c>
      <c r="W226" s="41" t="str">
        <f t="shared" si="19"/>
        <v>NA.25.VIII.219-47</v>
      </c>
      <c r="X226" s="41" t="str">
        <f t="shared" si="20"/>
        <v/>
      </c>
    </row>
    <row r="227" s="32" customFormat="1" hidden="1" customHeight="1" spans="1:24">
      <c r="A227" s="34"/>
      <c r="B227" s="51">
        <v>222</v>
      </c>
      <c r="C227" s="51" t="s">
        <v>728</v>
      </c>
      <c r="D227" s="52" t="s">
        <v>729</v>
      </c>
      <c r="E227" s="53">
        <v>180</v>
      </c>
      <c r="F227" s="54" t="s">
        <v>730</v>
      </c>
      <c r="G227" s="54" t="s">
        <v>523</v>
      </c>
      <c r="H227" s="54" t="s">
        <v>524</v>
      </c>
      <c r="I227" s="66">
        <v>45892</v>
      </c>
      <c r="J227" s="54" t="s">
        <v>525</v>
      </c>
      <c r="K227" s="67">
        <v>46</v>
      </c>
      <c r="L227" s="68" t="s">
        <v>731</v>
      </c>
      <c r="M227" s="90" t="str">
        <f t="shared" si="17"/>
        <v>Open File</v>
      </c>
      <c r="N227" s="70" t="s">
        <v>527</v>
      </c>
      <c r="O227" s="71" t="str">
        <f t="shared" si="21"/>
        <v>PASSIVE</v>
      </c>
      <c r="P227" s="94"/>
      <c r="Q227" s="66" t="s">
        <v>732</v>
      </c>
      <c r="R227" s="85">
        <v>1</v>
      </c>
      <c r="S227" s="86" t="s">
        <v>733</v>
      </c>
      <c r="T227" s="95" t="str">
        <f t="shared" si="18"/>
        <v>Open File</v>
      </c>
      <c r="U227" s="10" t="s">
        <v>734</v>
      </c>
      <c r="V227" s="41">
        <f>IF(AND(Q227&lt;&gt;"",RIGHT(Q227,3)&lt;&gt;""),IF(COUNTIF($Q$6:Q227,Q227)=1,1,0),0)</f>
        <v>1</v>
      </c>
      <c r="W227" s="41" t="str">
        <f t="shared" si="19"/>
        <v>NA.25.VIII.219-46</v>
      </c>
      <c r="X227" s="41" t="str">
        <f t="shared" si="20"/>
        <v>RI.26.III.002-1</v>
      </c>
    </row>
    <row r="228" s="32" customFormat="1" hidden="1" customHeight="1" spans="1:24">
      <c r="A228" s="34"/>
      <c r="B228" s="51">
        <v>223</v>
      </c>
      <c r="C228" s="51" t="s">
        <v>735</v>
      </c>
      <c r="D228" s="52" t="s">
        <v>736</v>
      </c>
      <c r="E228" s="53">
        <v>1</v>
      </c>
      <c r="F228" s="54" t="s">
        <v>29</v>
      </c>
      <c r="G228" s="54" t="s">
        <v>523</v>
      </c>
      <c r="H228" s="54" t="s">
        <v>524</v>
      </c>
      <c r="I228" s="66">
        <v>45892</v>
      </c>
      <c r="J228" s="54" t="s">
        <v>525</v>
      </c>
      <c r="K228" s="67">
        <v>45</v>
      </c>
      <c r="L228" s="68" t="s">
        <v>737</v>
      </c>
      <c r="M228" s="90" t="str">
        <f t="shared" si="17"/>
        <v>Open File</v>
      </c>
      <c r="N228" s="70" t="s">
        <v>527</v>
      </c>
      <c r="O228" s="71" t="str">
        <f t="shared" si="21"/>
        <v>ACTIVE</v>
      </c>
      <c r="P228" s="66"/>
      <c r="Q228" s="66"/>
      <c r="R228" s="85"/>
      <c r="S228" s="82"/>
      <c r="T228" s="83" t="str">
        <f t="shared" si="18"/>
        <v/>
      </c>
      <c r="U228" s="10"/>
      <c r="V228" s="41">
        <f>IF(AND(Q228&lt;&gt;"",RIGHT(Q228,3)&lt;&gt;""),IF(COUNTIF($Q$6:Q228,Q228)=1,1,0),0)</f>
        <v>0</v>
      </c>
      <c r="W228" s="41" t="str">
        <f t="shared" si="19"/>
        <v>NA.25.VIII.219-45</v>
      </c>
      <c r="X228" s="41" t="str">
        <f t="shared" si="20"/>
        <v/>
      </c>
    </row>
    <row r="229" s="32" customFormat="1" hidden="1" customHeight="1" spans="1:24">
      <c r="A229" s="34"/>
      <c r="B229" s="51">
        <v>224</v>
      </c>
      <c r="C229" s="51" t="s">
        <v>738</v>
      </c>
      <c r="D229" s="52" t="s">
        <v>739</v>
      </c>
      <c r="E229" s="53" t="s">
        <v>740</v>
      </c>
      <c r="F229" s="54" t="s">
        <v>422</v>
      </c>
      <c r="G229" s="54" t="s">
        <v>523</v>
      </c>
      <c r="H229" s="54" t="s">
        <v>524</v>
      </c>
      <c r="I229" s="66">
        <v>45892</v>
      </c>
      <c r="J229" s="54" t="s">
        <v>525</v>
      </c>
      <c r="K229" s="67">
        <v>44</v>
      </c>
      <c r="L229" s="68" t="s">
        <v>741</v>
      </c>
      <c r="M229" s="90" t="str">
        <f t="shared" si="17"/>
        <v>Open File</v>
      </c>
      <c r="N229" s="70" t="s">
        <v>527</v>
      </c>
      <c r="O229" s="71" t="str">
        <f t="shared" si="21"/>
        <v>ACTIVE</v>
      </c>
      <c r="P229" s="66"/>
      <c r="Q229" s="66"/>
      <c r="R229" s="85"/>
      <c r="S229" s="82"/>
      <c r="T229" s="83" t="str">
        <f t="shared" si="18"/>
        <v/>
      </c>
      <c r="U229" s="10"/>
      <c r="V229" s="41">
        <f>IF(AND(Q229&lt;&gt;"",RIGHT(Q229,3)&lt;&gt;""),IF(COUNTIF($Q$6:Q229,Q229)=1,1,0),0)</f>
        <v>0</v>
      </c>
      <c r="W229" s="41" t="str">
        <f t="shared" si="19"/>
        <v>NA.25.VIII.219-44</v>
      </c>
      <c r="X229" s="41" t="str">
        <f t="shared" si="20"/>
        <v/>
      </c>
    </row>
    <row r="230" s="32" customFormat="1" hidden="1" customHeight="1" spans="1:24">
      <c r="A230" s="34"/>
      <c r="B230" s="51">
        <v>225</v>
      </c>
      <c r="C230" s="51" t="s">
        <v>742</v>
      </c>
      <c r="D230" s="52" t="s">
        <v>743</v>
      </c>
      <c r="E230" s="53">
        <v>5</v>
      </c>
      <c r="F230" s="54" t="s">
        <v>422</v>
      </c>
      <c r="G230" s="54" t="s">
        <v>523</v>
      </c>
      <c r="H230" s="54" t="s">
        <v>524</v>
      </c>
      <c r="I230" s="66">
        <v>45892</v>
      </c>
      <c r="J230" s="54" t="s">
        <v>525</v>
      </c>
      <c r="K230" s="67">
        <v>43</v>
      </c>
      <c r="L230" s="68" t="s">
        <v>744</v>
      </c>
      <c r="M230" s="90" t="str">
        <f t="shared" si="17"/>
        <v>Open File</v>
      </c>
      <c r="N230" s="70" t="s">
        <v>527</v>
      </c>
      <c r="O230" s="71" t="str">
        <f t="shared" si="21"/>
        <v>ACTIVE</v>
      </c>
      <c r="P230" s="66"/>
      <c r="Q230" s="66"/>
      <c r="R230" s="85"/>
      <c r="S230" s="82"/>
      <c r="T230" s="83" t="str">
        <f t="shared" si="18"/>
        <v/>
      </c>
      <c r="U230" s="10"/>
      <c r="V230" s="41">
        <f>IF(AND(Q230&lt;&gt;"",RIGHT(Q230,3)&lt;&gt;""),IF(COUNTIF($Q$6:Q230,Q230)=1,1,0),0)</f>
        <v>0</v>
      </c>
      <c r="W230" s="41" t="str">
        <f t="shared" si="19"/>
        <v>NA.25.VIII.219-43</v>
      </c>
      <c r="X230" s="41" t="str">
        <f t="shared" si="20"/>
        <v/>
      </c>
    </row>
    <row r="231" s="32" customFormat="1" hidden="1" customHeight="1" spans="1:24">
      <c r="A231" s="34"/>
      <c r="B231" s="51">
        <v>226</v>
      </c>
      <c r="C231" s="51" t="s">
        <v>745</v>
      </c>
      <c r="D231" s="52" t="s">
        <v>746</v>
      </c>
      <c r="E231" s="53" t="s">
        <v>747</v>
      </c>
      <c r="F231" s="54" t="s">
        <v>422</v>
      </c>
      <c r="G231" s="54" t="s">
        <v>523</v>
      </c>
      <c r="H231" s="54" t="s">
        <v>524</v>
      </c>
      <c r="I231" s="66">
        <v>45892</v>
      </c>
      <c r="J231" s="54" t="s">
        <v>525</v>
      </c>
      <c r="K231" s="67">
        <v>42</v>
      </c>
      <c r="L231" s="68" t="s">
        <v>748</v>
      </c>
      <c r="M231" s="90" t="str">
        <f t="shared" si="17"/>
        <v>Open File</v>
      </c>
      <c r="N231" s="70" t="s">
        <v>527</v>
      </c>
      <c r="O231" s="71" t="str">
        <f t="shared" si="21"/>
        <v>ACTIVE</v>
      </c>
      <c r="P231" s="66"/>
      <c r="Q231" s="66"/>
      <c r="R231" s="85"/>
      <c r="S231" s="82"/>
      <c r="T231" s="83" t="str">
        <f t="shared" si="18"/>
        <v/>
      </c>
      <c r="U231" s="10"/>
      <c r="V231" s="41">
        <f>IF(AND(Q231&lt;&gt;"",RIGHT(Q231,3)&lt;&gt;""),IF(COUNTIF($Q$6:Q231,Q231)=1,1,0),0)</f>
        <v>0</v>
      </c>
      <c r="W231" s="41" t="str">
        <f t="shared" si="19"/>
        <v>NA.25.VIII.219-42</v>
      </c>
      <c r="X231" s="41" t="str">
        <f t="shared" si="20"/>
        <v/>
      </c>
    </row>
    <row r="232" s="32" customFormat="1" hidden="1" customHeight="1" spans="1:24">
      <c r="A232" s="34"/>
      <c r="B232" s="51">
        <v>227</v>
      </c>
      <c r="C232" s="51" t="s">
        <v>749</v>
      </c>
      <c r="D232" s="52" t="s">
        <v>750</v>
      </c>
      <c r="E232" s="53">
        <v>2</v>
      </c>
      <c r="F232" s="54" t="s">
        <v>422</v>
      </c>
      <c r="G232" s="54" t="s">
        <v>523</v>
      </c>
      <c r="H232" s="54" t="s">
        <v>524</v>
      </c>
      <c r="I232" s="66">
        <v>45892</v>
      </c>
      <c r="J232" s="54" t="s">
        <v>525</v>
      </c>
      <c r="K232" s="67">
        <v>41</v>
      </c>
      <c r="L232" s="68" t="s">
        <v>751</v>
      </c>
      <c r="M232" s="90" t="str">
        <f t="shared" si="17"/>
        <v>Open File</v>
      </c>
      <c r="N232" s="70" t="s">
        <v>527</v>
      </c>
      <c r="O232" s="71" t="str">
        <f t="shared" si="21"/>
        <v>PASSIVE</v>
      </c>
      <c r="P232" s="94"/>
      <c r="Q232" s="66" t="s">
        <v>752</v>
      </c>
      <c r="R232" s="85">
        <v>1</v>
      </c>
      <c r="S232" s="86" t="s">
        <v>753</v>
      </c>
      <c r="T232" s="87" t="str">
        <f t="shared" si="18"/>
        <v>Open File</v>
      </c>
      <c r="U232" s="10" t="s">
        <v>754</v>
      </c>
      <c r="V232" s="41">
        <f>IF(AND(Q232&lt;&gt;"",RIGHT(Q232,3)&lt;&gt;""),IF(COUNTIF($Q$6:Q232,Q232)=1,1,0),0)</f>
        <v>1</v>
      </c>
      <c r="W232" s="41" t="str">
        <f t="shared" si="19"/>
        <v>NA.25.VIII.219-41</v>
      </c>
      <c r="X232" s="41" t="str">
        <f t="shared" si="20"/>
        <v>RI.26.III.003-1</v>
      </c>
    </row>
    <row r="233" s="32" customFormat="1" hidden="1" customHeight="1" spans="1:24">
      <c r="A233" s="34"/>
      <c r="B233" s="51">
        <v>228</v>
      </c>
      <c r="C233" s="51" t="s">
        <v>755</v>
      </c>
      <c r="D233" s="52" t="s">
        <v>756</v>
      </c>
      <c r="E233" s="53">
        <v>2</v>
      </c>
      <c r="F233" s="54" t="s">
        <v>422</v>
      </c>
      <c r="G233" s="54" t="s">
        <v>523</v>
      </c>
      <c r="H233" s="54" t="s">
        <v>524</v>
      </c>
      <c r="I233" s="66">
        <v>45892</v>
      </c>
      <c r="J233" s="54" t="s">
        <v>525</v>
      </c>
      <c r="K233" s="67">
        <v>40</v>
      </c>
      <c r="L233" s="68" t="s">
        <v>757</v>
      </c>
      <c r="M233" s="90" t="str">
        <f t="shared" si="17"/>
        <v>Open File</v>
      </c>
      <c r="N233" s="70" t="s">
        <v>527</v>
      </c>
      <c r="O233" s="71" t="str">
        <f t="shared" si="21"/>
        <v>ACTIVE</v>
      </c>
      <c r="P233" s="66"/>
      <c r="Q233" s="66"/>
      <c r="R233" s="85"/>
      <c r="S233" s="82"/>
      <c r="T233" s="83" t="str">
        <f t="shared" si="18"/>
        <v/>
      </c>
      <c r="U233" s="10"/>
      <c r="V233" s="41">
        <f>IF(AND(Q233&lt;&gt;"",RIGHT(Q233,3)&lt;&gt;""),IF(COUNTIF($Q$6:Q233,Q233)=1,1,0),0)</f>
        <v>0</v>
      </c>
      <c r="W233" s="41" t="str">
        <f t="shared" si="19"/>
        <v>NA.25.VIII.219-40</v>
      </c>
      <c r="X233" s="41" t="str">
        <f t="shared" si="20"/>
        <v/>
      </c>
    </row>
    <row r="234" s="32" customFormat="1" hidden="1" customHeight="1" spans="1:24">
      <c r="A234" s="34"/>
      <c r="B234" s="51">
        <v>229</v>
      </c>
      <c r="C234" s="51" t="s">
        <v>758</v>
      </c>
      <c r="D234" s="52" t="s">
        <v>759</v>
      </c>
      <c r="E234" s="53" t="s">
        <v>760</v>
      </c>
      <c r="F234" s="54" t="s">
        <v>422</v>
      </c>
      <c r="G234" s="54" t="s">
        <v>523</v>
      </c>
      <c r="H234" s="54" t="s">
        <v>524</v>
      </c>
      <c r="I234" s="66">
        <v>45892</v>
      </c>
      <c r="J234" s="54" t="s">
        <v>525</v>
      </c>
      <c r="K234" s="67">
        <v>39</v>
      </c>
      <c r="L234" s="68" t="s">
        <v>761</v>
      </c>
      <c r="M234" s="90" t="str">
        <f t="shared" si="17"/>
        <v>Open File</v>
      </c>
      <c r="N234" s="70" t="s">
        <v>527</v>
      </c>
      <c r="O234" s="71" t="str">
        <f t="shared" si="21"/>
        <v>ACTIVE</v>
      </c>
      <c r="P234" s="66"/>
      <c r="Q234" s="66"/>
      <c r="R234" s="85"/>
      <c r="S234" s="82"/>
      <c r="T234" s="83" t="str">
        <f t="shared" si="18"/>
        <v/>
      </c>
      <c r="U234" s="10"/>
      <c r="V234" s="41">
        <f>IF(AND(Q234&lt;&gt;"",RIGHT(Q234,3)&lt;&gt;""),IF(COUNTIF($Q$6:Q234,Q234)=1,1,0),0)</f>
        <v>0</v>
      </c>
      <c r="W234" s="41" t="str">
        <f t="shared" si="19"/>
        <v>NA.25.VIII.219-39</v>
      </c>
      <c r="X234" s="41" t="str">
        <f t="shared" si="20"/>
        <v/>
      </c>
    </row>
    <row r="235" s="32" customFormat="1" hidden="1" customHeight="1" spans="1:24">
      <c r="A235" s="34"/>
      <c r="B235" s="51">
        <v>230</v>
      </c>
      <c r="C235" s="51" t="s">
        <v>762</v>
      </c>
      <c r="D235" s="52" t="s">
        <v>763</v>
      </c>
      <c r="E235" s="53">
        <v>1</v>
      </c>
      <c r="F235" s="54" t="s">
        <v>29</v>
      </c>
      <c r="G235" s="54" t="s">
        <v>523</v>
      </c>
      <c r="H235" s="54" t="s">
        <v>524</v>
      </c>
      <c r="I235" s="66">
        <v>45892</v>
      </c>
      <c r="J235" s="54" t="s">
        <v>525</v>
      </c>
      <c r="K235" s="67">
        <v>38</v>
      </c>
      <c r="L235" s="68" t="s">
        <v>764</v>
      </c>
      <c r="M235" s="90" t="str">
        <f t="shared" si="17"/>
        <v>Open File</v>
      </c>
      <c r="N235" s="70" t="s">
        <v>527</v>
      </c>
      <c r="O235" s="71" t="str">
        <f t="shared" si="21"/>
        <v>ACTIVE</v>
      </c>
      <c r="P235" s="66"/>
      <c r="Q235" s="66"/>
      <c r="R235" s="85"/>
      <c r="S235" s="82"/>
      <c r="T235" s="83" t="str">
        <f t="shared" si="18"/>
        <v/>
      </c>
      <c r="U235" s="10"/>
      <c r="V235" s="41">
        <f>IF(AND(Q235&lt;&gt;"",RIGHT(Q235,3)&lt;&gt;""),IF(COUNTIF($Q$6:Q235,Q235)=1,1,0),0)</f>
        <v>0</v>
      </c>
      <c r="W235" s="41" t="str">
        <f t="shared" si="19"/>
        <v>NA.25.VIII.219-38</v>
      </c>
      <c r="X235" s="41" t="str">
        <f t="shared" si="20"/>
        <v/>
      </c>
    </row>
    <row r="236" s="32" customFormat="1" hidden="1" customHeight="1" spans="1:24">
      <c r="A236" s="34"/>
      <c r="B236" s="51">
        <v>231</v>
      </c>
      <c r="C236" s="51" t="s">
        <v>765</v>
      </c>
      <c r="D236" s="52" t="s">
        <v>763</v>
      </c>
      <c r="E236" s="53">
        <v>1</v>
      </c>
      <c r="F236" s="54" t="s">
        <v>29</v>
      </c>
      <c r="G236" s="54" t="s">
        <v>523</v>
      </c>
      <c r="H236" s="54" t="s">
        <v>524</v>
      </c>
      <c r="I236" s="66">
        <v>45892</v>
      </c>
      <c r="J236" s="54" t="s">
        <v>525</v>
      </c>
      <c r="K236" s="67">
        <v>37</v>
      </c>
      <c r="L236" s="68" t="s">
        <v>766</v>
      </c>
      <c r="M236" s="90" t="str">
        <f t="shared" si="17"/>
        <v>Open File</v>
      </c>
      <c r="N236" s="70" t="s">
        <v>527</v>
      </c>
      <c r="O236" s="71" t="str">
        <f t="shared" si="21"/>
        <v>ACTIVE</v>
      </c>
      <c r="P236" s="66"/>
      <c r="Q236" s="66"/>
      <c r="R236" s="85"/>
      <c r="S236" s="82"/>
      <c r="T236" s="83" t="str">
        <f t="shared" si="18"/>
        <v/>
      </c>
      <c r="U236" s="10"/>
      <c r="V236" s="41">
        <f>IF(AND(Q236&lt;&gt;"",RIGHT(Q236,3)&lt;&gt;""),IF(COUNTIF($Q$6:Q236,Q236)=1,1,0),0)</f>
        <v>0</v>
      </c>
      <c r="W236" s="41" t="str">
        <f t="shared" si="19"/>
        <v>NA.25.VIII.219-37</v>
      </c>
      <c r="X236" s="41" t="str">
        <f t="shared" si="20"/>
        <v/>
      </c>
    </row>
    <row r="237" s="32" customFormat="1" hidden="1" customHeight="1" spans="1:24">
      <c r="A237" s="34"/>
      <c r="B237" s="51">
        <v>232</v>
      </c>
      <c r="C237" s="51" t="s">
        <v>767</v>
      </c>
      <c r="D237" s="52" t="s">
        <v>768</v>
      </c>
      <c r="E237" s="53">
        <v>1</v>
      </c>
      <c r="F237" s="54" t="s">
        <v>29</v>
      </c>
      <c r="G237" s="54" t="s">
        <v>523</v>
      </c>
      <c r="H237" s="54" t="s">
        <v>524</v>
      </c>
      <c r="I237" s="66">
        <v>45892</v>
      </c>
      <c r="J237" s="54" t="s">
        <v>525</v>
      </c>
      <c r="K237" s="67">
        <v>36</v>
      </c>
      <c r="L237" s="68" t="s">
        <v>769</v>
      </c>
      <c r="M237" s="90" t="str">
        <f t="shared" si="17"/>
        <v>Open File</v>
      </c>
      <c r="N237" s="70" t="s">
        <v>527</v>
      </c>
      <c r="O237" s="71" t="str">
        <f t="shared" si="21"/>
        <v>ACTIVE</v>
      </c>
      <c r="P237" s="66"/>
      <c r="Q237" s="66"/>
      <c r="R237" s="85"/>
      <c r="S237" s="82"/>
      <c r="T237" s="83" t="str">
        <f t="shared" si="18"/>
        <v/>
      </c>
      <c r="U237" s="10"/>
      <c r="V237" s="41">
        <f>IF(AND(Q237&lt;&gt;"",RIGHT(Q237,3)&lt;&gt;""),IF(COUNTIF($Q$6:Q237,Q237)=1,1,0),0)</f>
        <v>0</v>
      </c>
      <c r="W237" s="41" t="str">
        <f t="shared" si="19"/>
        <v>NA.25.VIII.219-36</v>
      </c>
      <c r="X237" s="41" t="str">
        <f t="shared" si="20"/>
        <v/>
      </c>
    </row>
    <row r="238" s="32" customFormat="1" hidden="1" customHeight="1" spans="1:24">
      <c r="A238" s="34"/>
      <c r="B238" s="51">
        <v>233</v>
      </c>
      <c r="C238" s="51" t="s">
        <v>770</v>
      </c>
      <c r="D238" s="52" t="s">
        <v>771</v>
      </c>
      <c r="E238" s="53">
        <v>1</v>
      </c>
      <c r="F238" s="54" t="s">
        <v>29</v>
      </c>
      <c r="G238" s="54" t="s">
        <v>523</v>
      </c>
      <c r="H238" s="54" t="s">
        <v>524</v>
      </c>
      <c r="I238" s="66">
        <v>45892</v>
      </c>
      <c r="J238" s="54" t="s">
        <v>525</v>
      </c>
      <c r="K238" s="67">
        <v>35</v>
      </c>
      <c r="L238" s="68" t="s">
        <v>772</v>
      </c>
      <c r="M238" s="90" t="str">
        <f t="shared" si="17"/>
        <v>Open File</v>
      </c>
      <c r="N238" s="70" t="s">
        <v>527</v>
      </c>
      <c r="O238" s="71" t="str">
        <f t="shared" si="21"/>
        <v>ACTIVE</v>
      </c>
      <c r="P238" s="66"/>
      <c r="Q238" s="66"/>
      <c r="R238" s="85"/>
      <c r="S238" s="82"/>
      <c r="T238" s="83" t="str">
        <f t="shared" si="18"/>
        <v/>
      </c>
      <c r="U238" s="10"/>
      <c r="V238" s="41">
        <f>IF(AND(Q238&lt;&gt;"",RIGHT(Q238,3)&lt;&gt;""),IF(COUNTIF($Q$6:Q238,Q238)=1,1,0),0)</f>
        <v>0</v>
      </c>
      <c r="W238" s="41" t="str">
        <f t="shared" si="19"/>
        <v>NA.25.VIII.219-35</v>
      </c>
      <c r="X238" s="41" t="str">
        <f t="shared" si="20"/>
        <v/>
      </c>
    </row>
    <row r="239" s="32" customFormat="1" hidden="1" customHeight="1" spans="1:24">
      <c r="A239" s="34"/>
      <c r="B239" s="51">
        <v>234</v>
      </c>
      <c r="C239" s="51" t="s">
        <v>773</v>
      </c>
      <c r="D239" s="52" t="s">
        <v>774</v>
      </c>
      <c r="E239" s="53">
        <v>1</v>
      </c>
      <c r="F239" s="54" t="s">
        <v>29</v>
      </c>
      <c r="G239" s="54" t="s">
        <v>523</v>
      </c>
      <c r="H239" s="54" t="s">
        <v>524</v>
      </c>
      <c r="I239" s="66">
        <v>45892</v>
      </c>
      <c r="J239" s="54" t="s">
        <v>525</v>
      </c>
      <c r="K239" s="67">
        <v>34</v>
      </c>
      <c r="L239" s="68" t="s">
        <v>775</v>
      </c>
      <c r="M239" s="93" t="str">
        <f t="shared" si="17"/>
        <v>Open File</v>
      </c>
      <c r="N239" s="70" t="s">
        <v>527</v>
      </c>
      <c r="O239" s="71" t="str">
        <f t="shared" si="21"/>
        <v>ACTIVE</v>
      </c>
      <c r="P239" s="66"/>
      <c r="Q239" s="66"/>
      <c r="R239" s="85"/>
      <c r="S239" s="82"/>
      <c r="T239" s="83" t="str">
        <f t="shared" si="18"/>
        <v/>
      </c>
      <c r="U239" s="10"/>
      <c r="V239" s="41">
        <f>IF(AND(Q239&lt;&gt;"",RIGHT(Q239,3)&lt;&gt;""),IF(COUNTIF($Q$6:Q239,Q239)=1,1,0),0)</f>
        <v>0</v>
      </c>
      <c r="W239" s="41" t="str">
        <f t="shared" si="19"/>
        <v>NA.25.VIII.219-34</v>
      </c>
      <c r="X239" s="41" t="str">
        <f t="shared" si="20"/>
        <v/>
      </c>
    </row>
    <row r="240" s="32" customFormat="1" customHeight="1" spans="1:24">
      <c r="A240" s="34"/>
      <c r="B240" s="51">
        <v>235</v>
      </c>
      <c r="C240" s="51" t="s">
        <v>776</v>
      </c>
      <c r="D240" s="52" t="s">
        <v>777</v>
      </c>
      <c r="E240" s="53">
        <v>1</v>
      </c>
      <c r="F240" s="54" t="s">
        <v>29</v>
      </c>
      <c r="G240" s="54" t="s">
        <v>523</v>
      </c>
      <c r="H240" s="54" t="s">
        <v>524</v>
      </c>
      <c r="I240" s="66">
        <v>45892</v>
      </c>
      <c r="J240" s="54" t="s">
        <v>525</v>
      </c>
      <c r="K240" s="67">
        <v>33</v>
      </c>
      <c r="L240" s="68" t="s">
        <v>778</v>
      </c>
      <c r="M240" s="93" t="str">
        <f t="shared" si="17"/>
        <v>Open File</v>
      </c>
      <c r="N240" s="70" t="s">
        <v>527</v>
      </c>
      <c r="O240" s="71" t="str">
        <f t="shared" si="21"/>
        <v>ACTIVE</v>
      </c>
      <c r="P240" s="66"/>
      <c r="Q240" s="66"/>
      <c r="R240" s="85"/>
      <c r="S240" s="82"/>
      <c r="T240" s="83" t="str">
        <f t="shared" si="18"/>
        <v/>
      </c>
      <c r="U240" s="10"/>
      <c r="V240" s="41">
        <f>IF(AND(Q240&lt;&gt;"",RIGHT(Q240,3)&lt;&gt;""),IF(COUNTIF($Q$6:Q240,Q240)=1,1,0),0)</f>
        <v>0</v>
      </c>
      <c r="W240" s="41" t="str">
        <f t="shared" si="19"/>
        <v>NA.25.VIII.219-33</v>
      </c>
      <c r="X240" s="41" t="str">
        <f t="shared" si="20"/>
        <v/>
      </c>
    </row>
    <row r="241" s="32" customFormat="1" hidden="1" customHeight="1" spans="1:24">
      <c r="A241" s="34"/>
      <c r="B241" s="51">
        <v>236</v>
      </c>
      <c r="C241" s="51" t="s">
        <v>779</v>
      </c>
      <c r="D241" s="52" t="s">
        <v>780</v>
      </c>
      <c r="E241" s="53">
        <v>1</v>
      </c>
      <c r="F241" s="54" t="s">
        <v>29</v>
      </c>
      <c r="G241" s="54" t="s">
        <v>523</v>
      </c>
      <c r="H241" s="54" t="s">
        <v>524</v>
      </c>
      <c r="I241" s="66">
        <v>45892</v>
      </c>
      <c r="J241" s="54" t="s">
        <v>525</v>
      </c>
      <c r="K241" s="67">
        <v>32</v>
      </c>
      <c r="L241" s="68" t="s">
        <v>781</v>
      </c>
      <c r="M241" s="90" t="str">
        <f t="shared" si="17"/>
        <v>Open File</v>
      </c>
      <c r="N241" s="70" t="s">
        <v>527</v>
      </c>
      <c r="O241" s="71" t="str">
        <f t="shared" si="21"/>
        <v>ACTIVE</v>
      </c>
      <c r="P241" s="66"/>
      <c r="Q241" s="66"/>
      <c r="R241" s="85"/>
      <c r="S241" s="82"/>
      <c r="T241" s="83" t="str">
        <f t="shared" si="18"/>
        <v/>
      </c>
      <c r="U241" s="10"/>
      <c r="V241" s="41">
        <f>IF(AND(Q241&lt;&gt;"",RIGHT(Q241,3)&lt;&gt;""),IF(COUNTIF($Q$6:Q241,Q241)=1,1,0),0)</f>
        <v>0</v>
      </c>
      <c r="W241" s="41" t="str">
        <f t="shared" si="19"/>
        <v>NA.25.VIII.219-32</v>
      </c>
      <c r="X241" s="41" t="str">
        <f t="shared" si="20"/>
        <v/>
      </c>
    </row>
    <row r="242" s="32" customFormat="1" hidden="1" customHeight="1" spans="1:24">
      <c r="A242" s="34"/>
      <c r="B242" s="51">
        <v>237</v>
      </c>
      <c r="C242" s="51" t="s">
        <v>782</v>
      </c>
      <c r="D242" s="52" t="s">
        <v>783</v>
      </c>
      <c r="E242" s="53">
        <v>1</v>
      </c>
      <c r="F242" s="54" t="s">
        <v>29</v>
      </c>
      <c r="G242" s="54" t="s">
        <v>523</v>
      </c>
      <c r="H242" s="54" t="s">
        <v>524</v>
      </c>
      <c r="I242" s="66">
        <v>45892</v>
      </c>
      <c r="J242" s="54" t="s">
        <v>525</v>
      </c>
      <c r="K242" s="67">
        <v>31</v>
      </c>
      <c r="L242" s="68" t="s">
        <v>784</v>
      </c>
      <c r="M242" s="90" t="str">
        <f t="shared" si="17"/>
        <v>Open File</v>
      </c>
      <c r="N242" s="70" t="s">
        <v>527</v>
      </c>
      <c r="O242" s="71" t="str">
        <f t="shared" si="21"/>
        <v>ACTIVE</v>
      </c>
      <c r="P242" s="66"/>
      <c r="Q242" s="66"/>
      <c r="R242" s="85"/>
      <c r="S242" s="82"/>
      <c r="T242" s="83" t="str">
        <f t="shared" si="18"/>
        <v/>
      </c>
      <c r="U242" s="10"/>
      <c r="V242" s="41">
        <f>IF(AND(Q242&lt;&gt;"",RIGHT(Q242,3)&lt;&gt;""),IF(COUNTIF($Q$6:Q242,Q242)=1,1,0),0)</f>
        <v>0</v>
      </c>
      <c r="W242" s="41" t="str">
        <f t="shared" si="19"/>
        <v>NA.25.VIII.219-31</v>
      </c>
      <c r="X242" s="41" t="str">
        <f t="shared" si="20"/>
        <v/>
      </c>
    </row>
    <row r="243" s="32" customFormat="1" hidden="1" customHeight="1" spans="1:24">
      <c r="A243" s="34"/>
      <c r="B243" s="51">
        <v>238</v>
      </c>
      <c r="C243" s="51" t="s">
        <v>785</v>
      </c>
      <c r="D243" s="52" t="s">
        <v>786</v>
      </c>
      <c r="E243" s="53">
        <v>1</v>
      </c>
      <c r="F243" s="54" t="s">
        <v>29</v>
      </c>
      <c r="G243" s="54" t="s">
        <v>523</v>
      </c>
      <c r="H243" s="54" t="s">
        <v>524</v>
      </c>
      <c r="I243" s="66">
        <v>45892</v>
      </c>
      <c r="J243" s="54" t="s">
        <v>525</v>
      </c>
      <c r="K243" s="67">
        <v>30</v>
      </c>
      <c r="L243" s="68" t="s">
        <v>787</v>
      </c>
      <c r="M243" s="90" t="str">
        <f t="shared" si="17"/>
        <v>Open File</v>
      </c>
      <c r="N243" s="70" t="s">
        <v>527</v>
      </c>
      <c r="O243" s="71" t="str">
        <f t="shared" si="21"/>
        <v>ACTIVE</v>
      </c>
      <c r="P243" s="66"/>
      <c r="Q243" s="66"/>
      <c r="R243" s="85"/>
      <c r="S243" s="82"/>
      <c r="T243" s="83" t="str">
        <f t="shared" si="18"/>
        <v/>
      </c>
      <c r="U243" s="10"/>
      <c r="V243" s="41">
        <f>IF(AND(Q243&lt;&gt;"",RIGHT(Q243,3)&lt;&gt;""),IF(COUNTIF($Q$6:Q243,Q243)=1,1,0),0)</f>
        <v>0</v>
      </c>
      <c r="W243" s="41" t="str">
        <f t="shared" si="19"/>
        <v>NA.25.VIII.219-30</v>
      </c>
      <c r="X243" s="41" t="str">
        <f t="shared" si="20"/>
        <v/>
      </c>
    </row>
    <row r="244" s="32" customFormat="1" hidden="1" customHeight="1" spans="1:24">
      <c r="A244" s="34"/>
      <c r="B244" s="51">
        <v>239</v>
      </c>
      <c r="C244" s="51" t="s">
        <v>788</v>
      </c>
      <c r="D244" s="52" t="s">
        <v>789</v>
      </c>
      <c r="E244" s="53">
        <v>1</v>
      </c>
      <c r="F244" s="54" t="s">
        <v>29</v>
      </c>
      <c r="G244" s="54" t="s">
        <v>523</v>
      </c>
      <c r="H244" s="54" t="s">
        <v>524</v>
      </c>
      <c r="I244" s="66">
        <v>45892</v>
      </c>
      <c r="J244" s="54" t="s">
        <v>525</v>
      </c>
      <c r="K244" s="67">
        <v>29</v>
      </c>
      <c r="L244" s="68" t="s">
        <v>790</v>
      </c>
      <c r="M244" s="90" t="str">
        <f t="shared" si="17"/>
        <v>Open File</v>
      </c>
      <c r="N244" s="70" t="s">
        <v>527</v>
      </c>
      <c r="O244" s="71" t="str">
        <f t="shared" si="21"/>
        <v>ACTIVE</v>
      </c>
      <c r="P244" s="66"/>
      <c r="Q244" s="66"/>
      <c r="R244" s="85"/>
      <c r="S244" s="82"/>
      <c r="T244" s="83" t="str">
        <f t="shared" si="18"/>
        <v/>
      </c>
      <c r="U244" s="10"/>
      <c r="V244" s="41">
        <f>IF(AND(Q244&lt;&gt;"",RIGHT(Q244,3)&lt;&gt;""),IF(COUNTIF($Q$6:Q244,Q244)=1,1,0),0)</f>
        <v>0</v>
      </c>
      <c r="W244" s="41" t="str">
        <f t="shared" si="19"/>
        <v>NA.25.VIII.219-29</v>
      </c>
      <c r="X244" s="41" t="str">
        <f t="shared" si="20"/>
        <v/>
      </c>
    </row>
    <row r="245" s="32" customFormat="1" hidden="1" customHeight="1" spans="1:24">
      <c r="A245" s="34"/>
      <c r="B245" s="51">
        <v>240</v>
      </c>
      <c r="C245" s="51" t="s">
        <v>791</v>
      </c>
      <c r="D245" s="52" t="s">
        <v>792</v>
      </c>
      <c r="E245" s="53">
        <v>1</v>
      </c>
      <c r="F245" s="54" t="s">
        <v>29</v>
      </c>
      <c r="G245" s="54" t="s">
        <v>523</v>
      </c>
      <c r="H245" s="54" t="s">
        <v>524</v>
      </c>
      <c r="I245" s="66">
        <v>45892</v>
      </c>
      <c r="J245" s="54" t="s">
        <v>525</v>
      </c>
      <c r="K245" s="67">
        <v>28</v>
      </c>
      <c r="L245" s="68" t="s">
        <v>793</v>
      </c>
      <c r="M245" s="90" t="str">
        <f t="shared" si="17"/>
        <v>Open File</v>
      </c>
      <c r="N245" s="70" t="s">
        <v>527</v>
      </c>
      <c r="O245" s="71" t="str">
        <f t="shared" si="21"/>
        <v>ACTIVE</v>
      </c>
      <c r="P245" s="66"/>
      <c r="Q245" s="66"/>
      <c r="R245" s="85"/>
      <c r="S245" s="82"/>
      <c r="T245" s="83" t="str">
        <f t="shared" si="18"/>
        <v/>
      </c>
      <c r="U245" s="10"/>
      <c r="V245" s="41">
        <f>IF(AND(Q245&lt;&gt;"",RIGHT(Q245,3)&lt;&gt;""),IF(COUNTIF($Q$6:Q245,Q245)=1,1,0),0)</f>
        <v>0</v>
      </c>
      <c r="W245" s="41" t="str">
        <f t="shared" si="19"/>
        <v>NA.25.VIII.219-28</v>
      </c>
      <c r="X245" s="41" t="str">
        <f t="shared" si="20"/>
        <v/>
      </c>
    </row>
    <row r="246" s="32" customFormat="1" hidden="1" customHeight="1" spans="1:24">
      <c r="A246" s="34"/>
      <c r="B246" s="51">
        <v>241</v>
      </c>
      <c r="C246" s="51" t="s">
        <v>794</v>
      </c>
      <c r="D246" s="52" t="s">
        <v>795</v>
      </c>
      <c r="E246" s="53">
        <v>1</v>
      </c>
      <c r="F246" s="54" t="s">
        <v>29</v>
      </c>
      <c r="G246" s="54" t="s">
        <v>523</v>
      </c>
      <c r="H246" s="54" t="s">
        <v>524</v>
      </c>
      <c r="I246" s="66">
        <v>45892</v>
      </c>
      <c r="J246" s="54" t="s">
        <v>525</v>
      </c>
      <c r="K246" s="67">
        <v>27</v>
      </c>
      <c r="L246" s="68" t="s">
        <v>796</v>
      </c>
      <c r="M246" s="90" t="str">
        <f t="shared" si="17"/>
        <v>Open File</v>
      </c>
      <c r="N246" s="70" t="s">
        <v>527</v>
      </c>
      <c r="O246" s="71" t="str">
        <f t="shared" si="21"/>
        <v>PASSIVE</v>
      </c>
      <c r="P246" s="66"/>
      <c r="Q246" s="66" t="s">
        <v>797</v>
      </c>
      <c r="R246" s="85">
        <v>1</v>
      </c>
      <c r="S246" s="86" t="s">
        <v>798</v>
      </c>
      <c r="T246" s="87" t="str">
        <f t="shared" si="18"/>
        <v>Open File</v>
      </c>
      <c r="U246" s="10" t="s">
        <v>799</v>
      </c>
      <c r="V246" s="41">
        <f>IF(AND(Q246&lt;&gt;"",RIGHT(Q246,3)&lt;&gt;""),IF(COUNTIF($Q$6:Q246,Q246)=1,1,0),0)</f>
        <v>1</v>
      </c>
      <c r="W246" s="41" t="str">
        <f t="shared" si="19"/>
        <v>NA.25.VIII.219-27</v>
      </c>
      <c r="X246" s="41" t="str">
        <f t="shared" si="20"/>
        <v>RI.26.III.004-1</v>
      </c>
    </row>
    <row r="247" s="32" customFormat="1" hidden="1" customHeight="1" spans="1:24">
      <c r="A247" s="34"/>
      <c r="B247" s="51">
        <v>242</v>
      </c>
      <c r="C247" s="51" t="s">
        <v>800</v>
      </c>
      <c r="D247" s="52" t="s">
        <v>801</v>
      </c>
      <c r="E247" s="53">
        <v>1</v>
      </c>
      <c r="F247" s="54" t="s">
        <v>29</v>
      </c>
      <c r="G247" s="54" t="s">
        <v>523</v>
      </c>
      <c r="H247" s="54" t="s">
        <v>524</v>
      </c>
      <c r="I247" s="66">
        <v>45892</v>
      </c>
      <c r="J247" s="54" t="s">
        <v>525</v>
      </c>
      <c r="K247" s="67">
        <v>26</v>
      </c>
      <c r="L247" s="68" t="s">
        <v>802</v>
      </c>
      <c r="M247" s="90" t="str">
        <f t="shared" si="17"/>
        <v>Open File</v>
      </c>
      <c r="N247" s="70" t="s">
        <v>527</v>
      </c>
      <c r="O247" s="71" t="str">
        <f t="shared" si="21"/>
        <v>PASSIVE</v>
      </c>
      <c r="P247" s="66">
        <v>46052</v>
      </c>
      <c r="Q247" s="66" t="s">
        <v>803</v>
      </c>
      <c r="R247" s="85">
        <v>1</v>
      </c>
      <c r="S247" s="86" t="s">
        <v>804</v>
      </c>
      <c r="T247" s="87" t="str">
        <f t="shared" si="18"/>
        <v>Open File</v>
      </c>
      <c r="U247" s="10" t="s">
        <v>805</v>
      </c>
      <c r="V247" s="41">
        <f>IF(AND(Q247&lt;&gt;"",RIGHT(Q247,3)&lt;&gt;""),IF(COUNTIF($Q$6:Q247,Q247)=1,1,0),0)</f>
        <v>1</v>
      </c>
      <c r="W247" s="41" t="str">
        <f t="shared" si="19"/>
        <v>NA.25.VIII.219-26</v>
      </c>
      <c r="X247" s="41" t="str">
        <f t="shared" si="20"/>
        <v>RI.26.III.005-1</v>
      </c>
    </row>
    <row r="248" s="32" customFormat="1" hidden="1" customHeight="1" spans="1:24">
      <c r="A248" s="34"/>
      <c r="B248" s="51">
        <v>243</v>
      </c>
      <c r="C248" s="51" t="s">
        <v>806</v>
      </c>
      <c r="D248" s="52" t="s">
        <v>807</v>
      </c>
      <c r="E248" s="53">
        <v>1</v>
      </c>
      <c r="F248" s="54" t="s">
        <v>29</v>
      </c>
      <c r="G248" s="54" t="s">
        <v>523</v>
      </c>
      <c r="H248" s="54" t="s">
        <v>524</v>
      </c>
      <c r="I248" s="66">
        <v>45892</v>
      </c>
      <c r="J248" s="54" t="s">
        <v>525</v>
      </c>
      <c r="K248" s="67">
        <v>25</v>
      </c>
      <c r="L248" s="68" t="s">
        <v>808</v>
      </c>
      <c r="M248" s="90" t="str">
        <f t="shared" si="17"/>
        <v>Open File</v>
      </c>
      <c r="N248" s="70" t="s">
        <v>527</v>
      </c>
      <c r="O248" s="71" t="str">
        <f t="shared" si="21"/>
        <v>PASSIVE</v>
      </c>
      <c r="P248" s="66">
        <v>46052</v>
      </c>
      <c r="Q248" s="66" t="s">
        <v>809</v>
      </c>
      <c r="R248" s="85">
        <v>1</v>
      </c>
      <c r="S248" s="86" t="s">
        <v>810</v>
      </c>
      <c r="T248" s="87" t="str">
        <f t="shared" si="18"/>
        <v>Open File</v>
      </c>
      <c r="U248" s="10" t="s">
        <v>805</v>
      </c>
      <c r="V248" s="41">
        <f>IF(AND(Q248&lt;&gt;"",RIGHT(Q248,3)&lt;&gt;""),IF(COUNTIF($Q$6:Q248,Q248)=1,1,0),0)</f>
        <v>1</v>
      </c>
      <c r="W248" s="41" t="str">
        <f t="shared" si="19"/>
        <v>NA.25.VIII.219-25</v>
      </c>
      <c r="X248" s="41" t="str">
        <f t="shared" si="20"/>
        <v>RI.26.III.006-1</v>
      </c>
    </row>
    <row r="249" s="32" customFormat="1" hidden="1" customHeight="1" spans="1:24">
      <c r="A249" s="34"/>
      <c r="B249" s="51">
        <v>244</v>
      </c>
      <c r="C249" s="51" t="s">
        <v>811</v>
      </c>
      <c r="D249" s="52" t="s">
        <v>812</v>
      </c>
      <c r="E249" s="53">
        <v>1</v>
      </c>
      <c r="F249" s="54" t="s">
        <v>29</v>
      </c>
      <c r="G249" s="54" t="s">
        <v>523</v>
      </c>
      <c r="H249" s="54" t="s">
        <v>524</v>
      </c>
      <c r="I249" s="66">
        <v>45892</v>
      </c>
      <c r="J249" s="54" t="s">
        <v>525</v>
      </c>
      <c r="K249" s="67">
        <v>24</v>
      </c>
      <c r="L249" s="68" t="s">
        <v>813</v>
      </c>
      <c r="M249" s="93" t="str">
        <f t="shared" si="17"/>
        <v>Open File</v>
      </c>
      <c r="N249" s="70" t="s">
        <v>527</v>
      </c>
      <c r="O249" s="71" t="str">
        <f t="shared" si="21"/>
        <v>PASSIVE</v>
      </c>
      <c r="P249" s="66">
        <v>45915</v>
      </c>
      <c r="Q249" s="66" t="s">
        <v>814</v>
      </c>
      <c r="R249" s="85">
        <v>1</v>
      </c>
      <c r="S249" s="86" t="s">
        <v>815</v>
      </c>
      <c r="T249" s="87" t="str">
        <f t="shared" si="18"/>
        <v>Open File</v>
      </c>
      <c r="U249" s="10" t="s">
        <v>816</v>
      </c>
      <c r="V249" s="41">
        <f>IF(AND(Q249&lt;&gt;"",RIGHT(Q249,3)&lt;&gt;""),IF(COUNTIF($Q$6:Q249,Q249)=1,1,0),0)</f>
        <v>1</v>
      </c>
      <c r="W249" s="41" t="str">
        <f t="shared" si="19"/>
        <v>NA.25.VIII.219-24</v>
      </c>
      <c r="X249" s="41" t="str">
        <f t="shared" si="20"/>
        <v>RI.26.III.007-1</v>
      </c>
    </row>
    <row r="250" s="32" customFormat="1" hidden="1" customHeight="1" spans="1:24">
      <c r="A250" s="34"/>
      <c r="B250" s="51">
        <v>245</v>
      </c>
      <c r="C250" s="51" t="s">
        <v>817</v>
      </c>
      <c r="D250" s="52" t="s">
        <v>818</v>
      </c>
      <c r="E250" s="53">
        <v>1</v>
      </c>
      <c r="F250" s="54" t="s">
        <v>29</v>
      </c>
      <c r="G250" s="54" t="s">
        <v>523</v>
      </c>
      <c r="H250" s="54" t="s">
        <v>524</v>
      </c>
      <c r="I250" s="66">
        <v>45892</v>
      </c>
      <c r="J250" s="54" t="s">
        <v>525</v>
      </c>
      <c r="K250" s="67">
        <v>23</v>
      </c>
      <c r="L250" s="68" t="s">
        <v>819</v>
      </c>
      <c r="M250" s="93" t="str">
        <f t="shared" si="17"/>
        <v>Open File</v>
      </c>
      <c r="N250" s="70" t="s">
        <v>527</v>
      </c>
      <c r="O250" s="71" t="str">
        <f t="shared" si="21"/>
        <v>PASSIVE</v>
      </c>
      <c r="P250" s="66">
        <v>45915</v>
      </c>
      <c r="Q250" s="66" t="s">
        <v>814</v>
      </c>
      <c r="R250" s="85">
        <v>2</v>
      </c>
      <c r="S250" s="86" t="s">
        <v>820</v>
      </c>
      <c r="T250" s="87" t="str">
        <f t="shared" si="18"/>
        <v>Open File</v>
      </c>
      <c r="U250" s="10" t="s">
        <v>816</v>
      </c>
      <c r="V250" s="41">
        <f>IF(AND(Q250&lt;&gt;"",RIGHT(Q250,3)&lt;&gt;""),IF(COUNTIF($Q$6:Q250,Q250)=1,1,0),0)</f>
        <v>0</v>
      </c>
      <c r="W250" s="41" t="str">
        <f t="shared" si="19"/>
        <v>NA.25.VIII.219-23</v>
      </c>
      <c r="X250" s="41" t="str">
        <f t="shared" si="20"/>
        <v>RI.26.III.007-2</v>
      </c>
    </row>
    <row r="251" s="32" customFormat="1" hidden="1" customHeight="1" spans="1:24">
      <c r="A251" s="34"/>
      <c r="B251" s="51">
        <v>246</v>
      </c>
      <c r="C251" s="51" t="s">
        <v>821</v>
      </c>
      <c r="D251" s="52" t="s">
        <v>822</v>
      </c>
      <c r="E251" s="53">
        <v>1</v>
      </c>
      <c r="F251" s="54" t="s">
        <v>29</v>
      </c>
      <c r="G251" s="54" t="s">
        <v>523</v>
      </c>
      <c r="H251" s="54" t="s">
        <v>524</v>
      </c>
      <c r="I251" s="66">
        <v>45892</v>
      </c>
      <c r="J251" s="54" t="s">
        <v>525</v>
      </c>
      <c r="K251" s="67">
        <v>22</v>
      </c>
      <c r="L251" s="68" t="s">
        <v>823</v>
      </c>
      <c r="M251" s="93" t="str">
        <f t="shared" si="17"/>
        <v>Open File</v>
      </c>
      <c r="N251" s="70" t="s">
        <v>527</v>
      </c>
      <c r="O251" s="71" t="str">
        <f t="shared" si="21"/>
        <v>PASSIVE</v>
      </c>
      <c r="P251" s="66">
        <v>45915</v>
      </c>
      <c r="Q251" s="66" t="s">
        <v>814</v>
      </c>
      <c r="R251" s="85">
        <v>3</v>
      </c>
      <c r="S251" s="86" t="s">
        <v>824</v>
      </c>
      <c r="T251" s="87" t="str">
        <f t="shared" si="18"/>
        <v>Open File</v>
      </c>
      <c r="U251" s="10" t="s">
        <v>816</v>
      </c>
      <c r="V251" s="41">
        <f>IF(AND(Q251&lt;&gt;"",RIGHT(Q251,3)&lt;&gt;""),IF(COUNTIF($Q$6:Q251,Q251)=1,1,0),0)</f>
        <v>0</v>
      </c>
      <c r="W251" s="41" t="str">
        <f t="shared" si="19"/>
        <v>NA.25.VIII.219-22</v>
      </c>
      <c r="X251" s="41" t="str">
        <f t="shared" si="20"/>
        <v>RI.26.III.007-3</v>
      </c>
    </row>
    <row r="252" s="32" customFormat="1" hidden="1" customHeight="1" spans="1:24">
      <c r="A252" s="34"/>
      <c r="B252" s="51">
        <v>247</v>
      </c>
      <c r="C252" s="51" t="s">
        <v>825</v>
      </c>
      <c r="D252" s="52" t="s">
        <v>826</v>
      </c>
      <c r="E252" s="53">
        <v>1</v>
      </c>
      <c r="F252" s="54" t="s">
        <v>29</v>
      </c>
      <c r="G252" s="54" t="s">
        <v>523</v>
      </c>
      <c r="H252" s="54" t="s">
        <v>524</v>
      </c>
      <c r="I252" s="66">
        <v>45892</v>
      </c>
      <c r="J252" s="54" t="s">
        <v>525</v>
      </c>
      <c r="K252" s="67">
        <v>21</v>
      </c>
      <c r="L252" s="68" t="s">
        <v>827</v>
      </c>
      <c r="M252" s="90" t="str">
        <f t="shared" si="17"/>
        <v>Open File</v>
      </c>
      <c r="N252" s="70" t="s">
        <v>527</v>
      </c>
      <c r="O252" s="71" t="str">
        <f t="shared" si="21"/>
        <v>ACTIVE</v>
      </c>
      <c r="P252" s="66"/>
      <c r="Q252" s="66"/>
      <c r="R252" s="85"/>
      <c r="S252" s="96"/>
      <c r="T252" s="97" t="str">
        <f t="shared" si="18"/>
        <v/>
      </c>
      <c r="U252" s="10"/>
      <c r="V252" s="41">
        <f>IF(AND(Q252&lt;&gt;"",RIGHT(Q252,3)&lt;&gt;""),IF(COUNTIF($Q$6:Q252,Q252)=1,1,0),0)</f>
        <v>0</v>
      </c>
      <c r="W252" s="41" t="str">
        <f t="shared" si="19"/>
        <v>NA.25.VIII.219-21</v>
      </c>
      <c r="X252" s="41" t="str">
        <f t="shared" si="20"/>
        <v/>
      </c>
    </row>
    <row r="253" s="32" customFormat="1" hidden="1" customHeight="1" spans="1:24">
      <c r="A253" s="34"/>
      <c r="B253" s="51">
        <v>248</v>
      </c>
      <c r="C253" s="51" t="s">
        <v>828</v>
      </c>
      <c r="D253" s="52" t="s">
        <v>829</v>
      </c>
      <c r="E253" s="53">
        <v>1</v>
      </c>
      <c r="F253" s="54" t="s">
        <v>29</v>
      </c>
      <c r="G253" s="54" t="s">
        <v>523</v>
      </c>
      <c r="H253" s="54" t="s">
        <v>524</v>
      </c>
      <c r="I253" s="66">
        <v>45892</v>
      </c>
      <c r="J253" s="54" t="s">
        <v>525</v>
      </c>
      <c r="K253" s="67">
        <v>20</v>
      </c>
      <c r="L253" s="68" t="s">
        <v>830</v>
      </c>
      <c r="M253" s="90" t="str">
        <f t="shared" si="17"/>
        <v>Open File</v>
      </c>
      <c r="N253" s="70" t="s">
        <v>527</v>
      </c>
      <c r="O253" s="71" t="str">
        <f t="shared" si="21"/>
        <v>ACTIVE</v>
      </c>
      <c r="P253" s="66"/>
      <c r="Q253" s="66"/>
      <c r="R253" s="85"/>
      <c r="S253" s="82"/>
      <c r="T253" s="83" t="str">
        <f t="shared" si="18"/>
        <v/>
      </c>
      <c r="U253" s="10"/>
      <c r="V253" s="41">
        <f>IF(AND(Q253&lt;&gt;"",RIGHT(Q253,3)&lt;&gt;""),IF(COUNTIF($Q$6:Q253,Q253)=1,1,0),0)</f>
        <v>0</v>
      </c>
      <c r="W253" s="41" t="str">
        <f t="shared" si="19"/>
        <v>NA.25.VIII.219-20</v>
      </c>
      <c r="X253" s="41" t="str">
        <f t="shared" si="20"/>
        <v/>
      </c>
    </row>
    <row r="254" s="32" customFormat="1" hidden="1" customHeight="1" spans="1:24">
      <c r="A254" s="34"/>
      <c r="B254" s="51">
        <v>249</v>
      </c>
      <c r="C254" s="51" t="s">
        <v>831</v>
      </c>
      <c r="D254" s="52" t="s">
        <v>832</v>
      </c>
      <c r="E254" s="53">
        <v>1</v>
      </c>
      <c r="F254" s="54" t="s">
        <v>29</v>
      </c>
      <c r="G254" s="54" t="s">
        <v>523</v>
      </c>
      <c r="H254" s="54" t="s">
        <v>524</v>
      </c>
      <c r="I254" s="66">
        <v>45892</v>
      </c>
      <c r="J254" s="54" t="s">
        <v>525</v>
      </c>
      <c r="K254" s="67">
        <v>19</v>
      </c>
      <c r="L254" s="68" t="s">
        <v>833</v>
      </c>
      <c r="M254" s="93" t="str">
        <f t="shared" si="17"/>
        <v>Open File</v>
      </c>
      <c r="N254" s="70" t="s">
        <v>527</v>
      </c>
      <c r="O254" s="71" t="str">
        <f t="shared" si="21"/>
        <v>ACTIVE</v>
      </c>
      <c r="P254" s="66"/>
      <c r="Q254" s="66"/>
      <c r="R254" s="85"/>
      <c r="S254" s="82"/>
      <c r="T254" s="83" t="str">
        <f t="shared" si="18"/>
        <v/>
      </c>
      <c r="U254" s="10"/>
      <c r="V254" s="41">
        <f>IF(AND(Q254&lt;&gt;"",RIGHT(Q254,3)&lt;&gt;""),IF(COUNTIF($Q$6:Q254,Q254)=1,1,0),0)</f>
        <v>0</v>
      </c>
      <c r="W254" s="41" t="str">
        <f t="shared" si="19"/>
        <v>NA.25.VIII.219-19</v>
      </c>
      <c r="X254" s="41" t="str">
        <f t="shared" si="20"/>
        <v/>
      </c>
    </row>
    <row r="255" s="32" customFormat="1" hidden="1" customHeight="1" spans="1:24">
      <c r="A255" s="34"/>
      <c r="B255" s="51">
        <v>250</v>
      </c>
      <c r="C255" s="51" t="s">
        <v>834</v>
      </c>
      <c r="D255" s="52" t="s">
        <v>835</v>
      </c>
      <c r="E255" s="53">
        <v>1</v>
      </c>
      <c r="F255" s="54" t="s">
        <v>29</v>
      </c>
      <c r="G255" s="54" t="s">
        <v>523</v>
      </c>
      <c r="H255" s="54" t="s">
        <v>524</v>
      </c>
      <c r="I255" s="66">
        <v>45892</v>
      </c>
      <c r="J255" s="54" t="s">
        <v>525</v>
      </c>
      <c r="K255" s="67">
        <v>18</v>
      </c>
      <c r="L255" s="68" t="s">
        <v>836</v>
      </c>
      <c r="M255" s="90" t="str">
        <f t="shared" si="17"/>
        <v>Open File</v>
      </c>
      <c r="N255" s="70" t="s">
        <v>527</v>
      </c>
      <c r="O255" s="71" t="str">
        <f t="shared" si="21"/>
        <v>ACTIVE</v>
      </c>
      <c r="P255" s="66"/>
      <c r="Q255" s="66"/>
      <c r="R255" s="85"/>
      <c r="S255" s="82"/>
      <c r="T255" s="83" t="str">
        <f t="shared" si="18"/>
        <v/>
      </c>
      <c r="U255" s="10"/>
      <c r="V255" s="41">
        <f>IF(AND(Q255&lt;&gt;"",RIGHT(Q255,3)&lt;&gt;""),IF(COUNTIF($Q$6:Q255,Q255)=1,1,0),0)</f>
        <v>0</v>
      </c>
      <c r="W255" s="41" t="str">
        <f t="shared" si="19"/>
        <v>NA.25.VIII.219-18</v>
      </c>
      <c r="X255" s="41" t="str">
        <f t="shared" si="20"/>
        <v/>
      </c>
    </row>
    <row r="256" s="32" customFormat="1" hidden="1" customHeight="1" spans="1:24">
      <c r="A256" s="34"/>
      <c r="B256" s="51">
        <v>251</v>
      </c>
      <c r="C256" s="51" t="s">
        <v>837</v>
      </c>
      <c r="D256" s="52" t="s">
        <v>838</v>
      </c>
      <c r="E256" s="53">
        <v>1</v>
      </c>
      <c r="F256" s="54" t="s">
        <v>29</v>
      </c>
      <c r="G256" s="54" t="s">
        <v>523</v>
      </c>
      <c r="H256" s="54" t="s">
        <v>524</v>
      </c>
      <c r="I256" s="66">
        <v>45892</v>
      </c>
      <c r="J256" s="54" t="s">
        <v>525</v>
      </c>
      <c r="K256" s="67">
        <v>17</v>
      </c>
      <c r="L256" s="68" t="s">
        <v>839</v>
      </c>
      <c r="M256" s="90" t="str">
        <f t="shared" si="17"/>
        <v>Open File</v>
      </c>
      <c r="N256" s="70" t="s">
        <v>527</v>
      </c>
      <c r="O256" s="71" t="str">
        <f t="shared" si="21"/>
        <v>ACTIVE</v>
      </c>
      <c r="P256" s="66"/>
      <c r="Q256" s="66"/>
      <c r="R256" s="85"/>
      <c r="S256" s="82"/>
      <c r="T256" s="83" t="str">
        <f t="shared" si="18"/>
        <v/>
      </c>
      <c r="U256" s="10"/>
      <c r="V256" s="41">
        <f>IF(AND(Q256&lt;&gt;"",RIGHT(Q256,3)&lt;&gt;""),IF(COUNTIF($Q$6:Q256,Q256)=1,1,0),0)</f>
        <v>0</v>
      </c>
      <c r="W256" s="41" t="str">
        <f t="shared" si="19"/>
        <v>NA.25.VIII.219-17</v>
      </c>
      <c r="X256" s="41" t="str">
        <f t="shared" si="20"/>
        <v/>
      </c>
    </row>
    <row r="257" s="32" customFormat="1" hidden="1" customHeight="1" spans="1:24">
      <c r="A257" s="34"/>
      <c r="B257" s="51">
        <v>252</v>
      </c>
      <c r="C257" s="51" t="s">
        <v>840</v>
      </c>
      <c r="D257" s="52" t="s">
        <v>841</v>
      </c>
      <c r="E257" s="53">
        <v>1</v>
      </c>
      <c r="F257" s="54" t="s">
        <v>29</v>
      </c>
      <c r="G257" s="54" t="s">
        <v>523</v>
      </c>
      <c r="H257" s="54" t="s">
        <v>524</v>
      </c>
      <c r="I257" s="66">
        <v>45892</v>
      </c>
      <c r="J257" s="54" t="s">
        <v>525</v>
      </c>
      <c r="K257" s="67">
        <v>16</v>
      </c>
      <c r="L257" s="68" t="s">
        <v>842</v>
      </c>
      <c r="M257" s="93" t="str">
        <f t="shared" si="17"/>
        <v>Open File</v>
      </c>
      <c r="N257" s="70" t="s">
        <v>527</v>
      </c>
      <c r="O257" s="71" t="str">
        <f t="shared" si="21"/>
        <v>ACTIVE</v>
      </c>
      <c r="P257" s="66"/>
      <c r="Q257" s="66"/>
      <c r="R257" s="85"/>
      <c r="S257" s="82"/>
      <c r="T257" s="83" t="str">
        <f t="shared" si="18"/>
        <v/>
      </c>
      <c r="U257" s="10"/>
      <c r="V257" s="41">
        <f>IF(AND(Q257&lt;&gt;"",RIGHT(Q257,3)&lt;&gt;""),IF(COUNTIF($Q$6:Q257,Q257)=1,1,0),0)</f>
        <v>0</v>
      </c>
      <c r="W257" s="41" t="str">
        <f t="shared" si="19"/>
        <v>NA.25.VIII.219-16</v>
      </c>
      <c r="X257" s="41" t="str">
        <f t="shared" si="20"/>
        <v/>
      </c>
    </row>
    <row r="258" s="32" customFormat="1" hidden="1" customHeight="1" spans="1:24">
      <c r="A258" s="34"/>
      <c r="B258" s="51">
        <v>253</v>
      </c>
      <c r="C258" s="51" t="s">
        <v>843</v>
      </c>
      <c r="D258" s="52" t="s">
        <v>844</v>
      </c>
      <c r="E258" s="53">
        <v>1</v>
      </c>
      <c r="F258" s="54" t="s">
        <v>29</v>
      </c>
      <c r="G258" s="54" t="s">
        <v>523</v>
      </c>
      <c r="H258" s="54" t="s">
        <v>524</v>
      </c>
      <c r="I258" s="66">
        <v>45892</v>
      </c>
      <c r="J258" s="54" t="s">
        <v>525</v>
      </c>
      <c r="K258" s="67">
        <v>15</v>
      </c>
      <c r="L258" s="68" t="s">
        <v>845</v>
      </c>
      <c r="M258" s="90" t="str">
        <f t="shared" si="17"/>
        <v>Open File</v>
      </c>
      <c r="N258" s="70" t="s">
        <v>527</v>
      </c>
      <c r="O258" s="71" t="str">
        <f t="shared" si="21"/>
        <v>ACTIVE</v>
      </c>
      <c r="P258" s="66"/>
      <c r="Q258" s="66"/>
      <c r="R258" s="85"/>
      <c r="S258" s="82"/>
      <c r="T258" s="83" t="str">
        <f t="shared" si="18"/>
        <v/>
      </c>
      <c r="U258" s="10"/>
      <c r="V258" s="41">
        <f>IF(AND(Q258&lt;&gt;"",RIGHT(Q258,3)&lt;&gt;""),IF(COUNTIF($Q$6:Q258,Q258)=1,1,0),0)</f>
        <v>0</v>
      </c>
      <c r="W258" s="41" t="str">
        <f t="shared" si="19"/>
        <v>NA.25.VIII.219-15</v>
      </c>
      <c r="X258" s="41" t="str">
        <f t="shared" si="20"/>
        <v/>
      </c>
    </row>
    <row r="259" s="32" customFormat="1" hidden="1" customHeight="1" spans="1:24">
      <c r="A259" s="34"/>
      <c r="B259" s="51">
        <v>254</v>
      </c>
      <c r="C259" s="51" t="s">
        <v>846</v>
      </c>
      <c r="D259" s="52" t="s">
        <v>847</v>
      </c>
      <c r="E259" s="53">
        <v>1</v>
      </c>
      <c r="F259" s="54" t="s">
        <v>29</v>
      </c>
      <c r="G259" s="54" t="s">
        <v>523</v>
      </c>
      <c r="H259" s="54" t="s">
        <v>524</v>
      </c>
      <c r="I259" s="66">
        <v>45892</v>
      </c>
      <c r="J259" s="54" t="s">
        <v>525</v>
      </c>
      <c r="K259" s="67">
        <v>14</v>
      </c>
      <c r="L259" s="68" t="s">
        <v>848</v>
      </c>
      <c r="M259" s="93" t="str">
        <f t="shared" si="17"/>
        <v>Open File</v>
      </c>
      <c r="N259" s="70" t="s">
        <v>527</v>
      </c>
      <c r="O259" s="71" t="str">
        <f t="shared" ref="O259:O331" si="22">IF(AND(Q259&lt;&gt;"",T259&lt;&gt;""),"PASSIVE",IF(AND(J259&lt;&gt;"",M259&lt;&gt;""),"ACTIVE",""))</f>
        <v>ACTIVE</v>
      </c>
      <c r="P259" s="66"/>
      <c r="Q259" s="66"/>
      <c r="R259" s="85"/>
      <c r="S259" s="82"/>
      <c r="T259" s="83" t="str">
        <f t="shared" si="18"/>
        <v/>
      </c>
      <c r="U259" s="10"/>
      <c r="V259" s="41">
        <f>IF(AND(Q259&lt;&gt;"",RIGHT(Q259,3)&lt;&gt;""),IF(COUNTIF($Q$6:Q259,Q259)=1,1,0),0)</f>
        <v>0</v>
      </c>
      <c r="W259" s="41" t="str">
        <f t="shared" si="19"/>
        <v>NA.25.VIII.219-14</v>
      </c>
      <c r="X259" s="41" t="str">
        <f t="shared" si="20"/>
        <v/>
      </c>
    </row>
    <row r="260" s="32" customFormat="1" hidden="1" customHeight="1" spans="1:24">
      <c r="A260" s="34"/>
      <c r="B260" s="51">
        <v>255</v>
      </c>
      <c r="C260" s="51" t="s">
        <v>849</v>
      </c>
      <c r="D260" s="52" t="s">
        <v>850</v>
      </c>
      <c r="E260" s="53">
        <v>1</v>
      </c>
      <c r="F260" s="54" t="s">
        <v>29</v>
      </c>
      <c r="G260" s="54" t="s">
        <v>523</v>
      </c>
      <c r="H260" s="54" t="s">
        <v>524</v>
      </c>
      <c r="I260" s="66">
        <v>45892</v>
      </c>
      <c r="J260" s="54" t="s">
        <v>525</v>
      </c>
      <c r="K260" s="67">
        <v>13</v>
      </c>
      <c r="L260" s="68" t="s">
        <v>851</v>
      </c>
      <c r="M260" s="90" t="str">
        <f t="shared" si="17"/>
        <v>Open File</v>
      </c>
      <c r="N260" s="70" t="s">
        <v>527</v>
      </c>
      <c r="O260" s="71" t="str">
        <f t="shared" si="22"/>
        <v>PASSIVE</v>
      </c>
      <c r="P260" s="66">
        <v>45926</v>
      </c>
      <c r="Q260" s="66" t="s">
        <v>852</v>
      </c>
      <c r="R260" s="85">
        <v>1</v>
      </c>
      <c r="S260" s="86" t="s">
        <v>853</v>
      </c>
      <c r="T260" s="87" t="str">
        <f t="shared" si="18"/>
        <v>Open File</v>
      </c>
      <c r="U260" s="10" t="s">
        <v>854</v>
      </c>
      <c r="V260" s="41">
        <f>IF(AND(Q260&lt;&gt;"",RIGHT(Q260,3)&lt;&gt;""),IF(COUNTIF($Q$6:Q260,Q260)=1,1,0),0)</f>
        <v>1</v>
      </c>
      <c r="W260" s="41" t="str">
        <f t="shared" si="19"/>
        <v>NA.25.VIII.219-13</v>
      </c>
      <c r="X260" s="41" t="str">
        <f t="shared" si="20"/>
        <v>RI.26.III.008-1</v>
      </c>
    </row>
    <row r="261" s="32" customFormat="1" hidden="1" customHeight="1" spans="1:24">
      <c r="A261" s="34"/>
      <c r="B261" s="51">
        <v>256</v>
      </c>
      <c r="C261" s="51" t="s">
        <v>855</v>
      </c>
      <c r="D261" s="52" t="s">
        <v>856</v>
      </c>
      <c r="E261" s="53">
        <v>1</v>
      </c>
      <c r="F261" s="54" t="s">
        <v>29</v>
      </c>
      <c r="G261" s="54" t="s">
        <v>523</v>
      </c>
      <c r="H261" s="54" t="s">
        <v>524</v>
      </c>
      <c r="I261" s="66">
        <v>45892</v>
      </c>
      <c r="J261" s="54" t="s">
        <v>525</v>
      </c>
      <c r="K261" s="67">
        <v>12</v>
      </c>
      <c r="L261" s="68" t="s">
        <v>857</v>
      </c>
      <c r="M261" s="90" t="str">
        <f t="shared" si="17"/>
        <v>Open File</v>
      </c>
      <c r="N261" s="70" t="s">
        <v>527</v>
      </c>
      <c r="O261" s="71" t="str">
        <f t="shared" si="22"/>
        <v>ACTIVE</v>
      </c>
      <c r="P261" s="66"/>
      <c r="Q261" s="66"/>
      <c r="R261" s="85"/>
      <c r="S261" s="82"/>
      <c r="T261" s="83" t="str">
        <f t="shared" si="18"/>
        <v/>
      </c>
      <c r="U261" s="10"/>
      <c r="V261" s="41">
        <f>IF(AND(Q261&lt;&gt;"",RIGHT(Q261,3)&lt;&gt;""),IF(COUNTIF($Q$6:Q261,Q261)=1,1,0),0)</f>
        <v>0</v>
      </c>
      <c r="W261" s="41" t="str">
        <f t="shared" si="19"/>
        <v>NA.25.VIII.219-12</v>
      </c>
      <c r="X261" s="41" t="str">
        <f t="shared" si="20"/>
        <v/>
      </c>
    </row>
    <row r="262" s="32" customFormat="1" hidden="1" customHeight="1" spans="1:24">
      <c r="A262" s="34"/>
      <c r="B262" s="51">
        <v>257</v>
      </c>
      <c r="C262" s="51" t="s">
        <v>858</v>
      </c>
      <c r="D262" s="52" t="s">
        <v>859</v>
      </c>
      <c r="E262" s="53">
        <v>1</v>
      </c>
      <c r="F262" s="54" t="s">
        <v>29</v>
      </c>
      <c r="G262" s="54" t="s">
        <v>523</v>
      </c>
      <c r="H262" s="54" t="s">
        <v>524</v>
      </c>
      <c r="I262" s="66">
        <v>45892</v>
      </c>
      <c r="J262" s="54" t="s">
        <v>525</v>
      </c>
      <c r="K262" s="67">
        <v>11</v>
      </c>
      <c r="L262" s="68" t="s">
        <v>860</v>
      </c>
      <c r="M262" s="93" t="str">
        <f t="shared" ref="M262:M325" si="23">IF(L262="","",HYPERLINK(_xlfn.CONCAT($L$4,L262,".jpg"),"Open File"))</f>
        <v>Open File</v>
      </c>
      <c r="N262" s="70" t="s">
        <v>527</v>
      </c>
      <c r="O262" s="71" t="str">
        <f t="shared" si="22"/>
        <v>PASSIVE</v>
      </c>
      <c r="P262" s="66">
        <v>46163</v>
      </c>
      <c r="Q262" s="66" t="s">
        <v>861</v>
      </c>
      <c r="R262" s="85" t="s">
        <v>226</v>
      </c>
      <c r="S262" s="100" t="s">
        <v>862</v>
      </c>
      <c r="T262" s="95" t="str">
        <f t="shared" ref="T262:T325" si="24">IF(S262="","",HYPERLINK(_xlfn.CONCAT($S$4,S262,".jpg"),"Open File"))</f>
        <v>Open File</v>
      </c>
      <c r="U262" s="10" t="s">
        <v>863</v>
      </c>
      <c r="V262" s="41">
        <f>IF(AND(Q262&lt;&gt;"",RIGHT(Q262,3)&lt;&gt;""),IF(COUNTIF($Q$6:Q262,Q262)=1,1,0),0)</f>
        <v>1</v>
      </c>
      <c r="W262" s="41" t="str">
        <f t="shared" ref="W262:W325" si="25">IF(AND(J262&lt;&gt;"",K262&lt;&gt;""),_xlfn.CONCAT(SUBSTITUTE(J262,"/","."),"-",K262),"")</f>
        <v>NA.25.VIII.219-11</v>
      </c>
      <c r="X262" s="41" t="str">
        <f t="shared" ref="X262:X325" si="26">IF(AND(Q262&lt;&gt;"",R262&lt;&gt;""),_xlfn.CONCAT(SUBSTITUTE(Q262,"/","."),"-",R262),"")</f>
        <v>HCL.21.05.26-1</v>
      </c>
    </row>
    <row r="263" s="32" customFormat="1" hidden="1" customHeight="1" spans="1:24">
      <c r="A263" s="34"/>
      <c r="B263" s="51">
        <v>258</v>
      </c>
      <c r="C263" s="51" t="s">
        <v>864</v>
      </c>
      <c r="D263" s="52" t="s">
        <v>865</v>
      </c>
      <c r="E263" s="53">
        <v>1</v>
      </c>
      <c r="F263" s="54" t="s">
        <v>29</v>
      </c>
      <c r="G263" s="54" t="s">
        <v>523</v>
      </c>
      <c r="H263" s="54" t="s">
        <v>524</v>
      </c>
      <c r="I263" s="66">
        <v>45892</v>
      </c>
      <c r="J263" s="54" t="s">
        <v>525</v>
      </c>
      <c r="K263" s="67">
        <v>10</v>
      </c>
      <c r="L263" s="68" t="s">
        <v>866</v>
      </c>
      <c r="M263" s="93" t="str">
        <f t="shared" si="23"/>
        <v>Open File</v>
      </c>
      <c r="N263" s="70" t="s">
        <v>527</v>
      </c>
      <c r="O263" s="71" t="str">
        <f t="shared" si="22"/>
        <v>ACTIVE</v>
      </c>
      <c r="P263" s="66"/>
      <c r="Q263" s="66"/>
      <c r="R263" s="85"/>
      <c r="S263" s="82"/>
      <c r="T263" s="83" t="str">
        <f t="shared" si="24"/>
        <v/>
      </c>
      <c r="U263" s="10"/>
      <c r="V263" s="41">
        <f>IF(AND(Q263&lt;&gt;"",RIGHT(Q263,3)&lt;&gt;""),IF(COUNTIF($Q$6:Q263,Q263)=1,1,0),0)</f>
        <v>0</v>
      </c>
      <c r="W263" s="41" t="str">
        <f t="shared" si="25"/>
        <v>NA.25.VIII.219-10</v>
      </c>
      <c r="X263" s="41" t="str">
        <f t="shared" si="26"/>
        <v/>
      </c>
    </row>
    <row r="264" s="32" customFormat="1" hidden="1" customHeight="1" spans="1:24">
      <c r="A264" s="34"/>
      <c r="B264" s="51">
        <v>259</v>
      </c>
      <c r="C264" s="51" t="s">
        <v>867</v>
      </c>
      <c r="D264" s="52" t="s">
        <v>868</v>
      </c>
      <c r="E264" s="53">
        <v>1</v>
      </c>
      <c r="F264" s="54" t="s">
        <v>29</v>
      </c>
      <c r="G264" s="54" t="s">
        <v>523</v>
      </c>
      <c r="H264" s="54" t="s">
        <v>524</v>
      </c>
      <c r="I264" s="66">
        <v>45892</v>
      </c>
      <c r="J264" s="54" t="s">
        <v>525</v>
      </c>
      <c r="K264" s="67">
        <v>9</v>
      </c>
      <c r="L264" s="68" t="s">
        <v>869</v>
      </c>
      <c r="M264" s="90" t="str">
        <f t="shared" si="23"/>
        <v>Open File</v>
      </c>
      <c r="N264" s="70" t="s">
        <v>527</v>
      </c>
      <c r="O264" s="71" t="str">
        <f t="shared" si="22"/>
        <v>ACTIVE</v>
      </c>
      <c r="P264" s="66"/>
      <c r="Q264" s="66"/>
      <c r="R264" s="85"/>
      <c r="S264" s="82"/>
      <c r="T264" s="83" t="str">
        <f t="shared" si="24"/>
        <v/>
      </c>
      <c r="U264" s="10"/>
      <c r="V264" s="41">
        <f>IF(AND(Q264&lt;&gt;"",RIGHT(Q264,3)&lt;&gt;""),IF(COUNTIF($Q$6:Q264,Q264)=1,1,0),0)</f>
        <v>0</v>
      </c>
      <c r="W264" s="41" t="str">
        <f t="shared" si="25"/>
        <v>NA.25.VIII.219-9</v>
      </c>
      <c r="X264" s="41" t="str">
        <f t="shared" si="26"/>
        <v/>
      </c>
    </row>
    <row r="265" s="32" customFormat="1" hidden="1" customHeight="1" spans="1:24">
      <c r="A265" s="34"/>
      <c r="B265" s="51">
        <v>260</v>
      </c>
      <c r="C265" s="51" t="s">
        <v>870</v>
      </c>
      <c r="D265" s="52" t="s">
        <v>871</v>
      </c>
      <c r="E265" s="53">
        <v>1</v>
      </c>
      <c r="F265" s="54" t="s">
        <v>29</v>
      </c>
      <c r="G265" s="54" t="s">
        <v>523</v>
      </c>
      <c r="H265" s="54" t="s">
        <v>524</v>
      </c>
      <c r="I265" s="66">
        <v>45892</v>
      </c>
      <c r="J265" s="54" t="s">
        <v>525</v>
      </c>
      <c r="K265" s="67">
        <v>8</v>
      </c>
      <c r="L265" s="68" t="s">
        <v>872</v>
      </c>
      <c r="M265" s="90" t="str">
        <f t="shared" si="23"/>
        <v>Open File</v>
      </c>
      <c r="N265" s="70" t="s">
        <v>527</v>
      </c>
      <c r="O265" s="71" t="str">
        <f t="shared" si="22"/>
        <v>ACTIVE</v>
      </c>
      <c r="P265" s="66"/>
      <c r="Q265" s="66"/>
      <c r="R265" s="85"/>
      <c r="S265" s="82"/>
      <c r="T265" s="83" t="str">
        <f t="shared" si="24"/>
        <v/>
      </c>
      <c r="U265" s="10"/>
      <c r="V265" s="41">
        <f>IF(AND(Q265&lt;&gt;"",RIGHT(Q265,3)&lt;&gt;""),IF(COUNTIF($Q$6:Q265,Q265)=1,1,0),0)</f>
        <v>0</v>
      </c>
      <c r="W265" s="41" t="str">
        <f t="shared" si="25"/>
        <v>NA.25.VIII.219-8</v>
      </c>
      <c r="X265" s="41" t="str">
        <f t="shared" si="26"/>
        <v/>
      </c>
    </row>
    <row r="266" s="32" customFormat="1" hidden="1" customHeight="1" spans="1:24">
      <c r="A266" s="34"/>
      <c r="B266" s="51">
        <v>261</v>
      </c>
      <c r="C266" s="51" t="s">
        <v>873</v>
      </c>
      <c r="D266" s="52" t="s">
        <v>874</v>
      </c>
      <c r="E266" s="53">
        <v>1</v>
      </c>
      <c r="F266" s="54" t="s">
        <v>29</v>
      </c>
      <c r="G266" s="54" t="s">
        <v>523</v>
      </c>
      <c r="H266" s="54" t="s">
        <v>524</v>
      </c>
      <c r="I266" s="66">
        <v>45892</v>
      </c>
      <c r="J266" s="54" t="s">
        <v>525</v>
      </c>
      <c r="K266" s="67">
        <v>7</v>
      </c>
      <c r="L266" s="68" t="s">
        <v>875</v>
      </c>
      <c r="M266" s="93" t="str">
        <f t="shared" si="23"/>
        <v>Open File</v>
      </c>
      <c r="N266" s="70" t="s">
        <v>527</v>
      </c>
      <c r="O266" s="71" t="str">
        <f t="shared" si="22"/>
        <v>ACTIVE</v>
      </c>
      <c r="P266" s="66"/>
      <c r="Q266" s="66"/>
      <c r="R266" s="85"/>
      <c r="S266" s="82"/>
      <c r="T266" s="83" t="str">
        <f t="shared" si="24"/>
        <v/>
      </c>
      <c r="U266" s="10"/>
      <c r="V266" s="41">
        <f>IF(AND(Q266&lt;&gt;"",RIGHT(Q266,3)&lt;&gt;""),IF(COUNTIF($Q$6:Q266,Q266)=1,1,0),0)</f>
        <v>0</v>
      </c>
      <c r="W266" s="41" t="str">
        <f t="shared" si="25"/>
        <v>NA.25.VIII.219-7</v>
      </c>
      <c r="X266" s="41" t="str">
        <f t="shared" si="26"/>
        <v/>
      </c>
    </row>
    <row r="267" s="32" customFormat="1" hidden="1" customHeight="1" spans="1:24">
      <c r="A267" s="34"/>
      <c r="B267" s="51">
        <v>262</v>
      </c>
      <c r="C267" s="51" t="s">
        <v>876</v>
      </c>
      <c r="D267" s="52" t="s">
        <v>877</v>
      </c>
      <c r="E267" s="53">
        <v>1</v>
      </c>
      <c r="F267" s="54" t="s">
        <v>29</v>
      </c>
      <c r="G267" s="54" t="s">
        <v>523</v>
      </c>
      <c r="H267" s="54" t="s">
        <v>524</v>
      </c>
      <c r="I267" s="66">
        <v>45892</v>
      </c>
      <c r="J267" s="54" t="s">
        <v>525</v>
      </c>
      <c r="K267" s="67">
        <v>6</v>
      </c>
      <c r="L267" s="68" t="s">
        <v>878</v>
      </c>
      <c r="M267" s="90" t="str">
        <f t="shared" si="23"/>
        <v>Open File</v>
      </c>
      <c r="N267" s="70" t="s">
        <v>527</v>
      </c>
      <c r="O267" s="71" t="str">
        <f t="shared" si="22"/>
        <v>ACTIVE</v>
      </c>
      <c r="P267" s="66"/>
      <c r="Q267" s="66"/>
      <c r="R267" s="85"/>
      <c r="S267" s="82"/>
      <c r="T267" s="83" t="str">
        <f t="shared" si="24"/>
        <v/>
      </c>
      <c r="U267" s="10"/>
      <c r="V267" s="41">
        <f>IF(AND(Q267&lt;&gt;"",RIGHT(Q267,3)&lt;&gt;""),IF(COUNTIF($Q$6:Q267,Q267)=1,1,0),0)</f>
        <v>0</v>
      </c>
      <c r="W267" s="41" t="str">
        <f t="shared" si="25"/>
        <v>NA.25.VIII.219-6</v>
      </c>
      <c r="X267" s="41" t="str">
        <f t="shared" si="26"/>
        <v/>
      </c>
    </row>
    <row r="268" s="32" customFormat="1" hidden="1" customHeight="1" spans="1:24">
      <c r="A268" s="34"/>
      <c r="B268" s="51">
        <v>263</v>
      </c>
      <c r="C268" s="51" t="s">
        <v>879</v>
      </c>
      <c r="D268" s="52" t="s">
        <v>880</v>
      </c>
      <c r="E268" s="53">
        <v>1</v>
      </c>
      <c r="F268" s="54" t="s">
        <v>29</v>
      </c>
      <c r="G268" s="54" t="s">
        <v>523</v>
      </c>
      <c r="H268" s="54" t="s">
        <v>524</v>
      </c>
      <c r="I268" s="66">
        <v>45892</v>
      </c>
      <c r="J268" s="54" t="s">
        <v>525</v>
      </c>
      <c r="K268" s="67">
        <v>5</v>
      </c>
      <c r="L268" s="68" t="s">
        <v>881</v>
      </c>
      <c r="M268" s="90" t="str">
        <f t="shared" si="23"/>
        <v>Open File</v>
      </c>
      <c r="N268" s="70" t="s">
        <v>527</v>
      </c>
      <c r="O268" s="71" t="str">
        <f t="shared" si="22"/>
        <v>ACTIVE</v>
      </c>
      <c r="P268" s="66"/>
      <c r="Q268" s="66"/>
      <c r="R268" s="85"/>
      <c r="S268" s="82"/>
      <c r="T268" s="83" t="str">
        <f t="shared" si="24"/>
        <v/>
      </c>
      <c r="U268" s="10"/>
      <c r="V268" s="41">
        <f>IF(AND(Q268&lt;&gt;"",RIGHT(Q268,3)&lt;&gt;""),IF(COUNTIF($Q$6:Q268,Q268)=1,1,0),0)</f>
        <v>0</v>
      </c>
      <c r="W268" s="41" t="str">
        <f t="shared" si="25"/>
        <v>NA.25.VIII.219-5</v>
      </c>
      <c r="X268" s="41" t="str">
        <f t="shared" si="26"/>
        <v/>
      </c>
    </row>
    <row r="269" s="32" customFormat="1" hidden="1" customHeight="1" spans="1:24">
      <c r="A269" s="34"/>
      <c r="B269" s="51">
        <v>264</v>
      </c>
      <c r="C269" s="51" t="s">
        <v>882</v>
      </c>
      <c r="D269" s="52" t="s">
        <v>883</v>
      </c>
      <c r="E269" s="53">
        <v>1</v>
      </c>
      <c r="F269" s="54" t="s">
        <v>29</v>
      </c>
      <c r="G269" s="54" t="s">
        <v>523</v>
      </c>
      <c r="H269" s="54" t="s">
        <v>524</v>
      </c>
      <c r="I269" s="66">
        <v>45892</v>
      </c>
      <c r="J269" s="54" t="s">
        <v>525</v>
      </c>
      <c r="K269" s="67">
        <v>4</v>
      </c>
      <c r="L269" s="68" t="s">
        <v>884</v>
      </c>
      <c r="M269" s="90" t="str">
        <f t="shared" si="23"/>
        <v>Open File</v>
      </c>
      <c r="N269" s="70" t="s">
        <v>527</v>
      </c>
      <c r="O269" s="71" t="str">
        <f t="shared" si="22"/>
        <v>ACTIVE</v>
      </c>
      <c r="P269" s="66"/>
      <c r="Q269" s="66"/>
      <c r="R269" s="85"/>
      <c r="S269" s="82"/>
      <c r="T269" s="83" t="str">
        <f t="shared" si="24"/>
        <v/>
      </c>
      <c r="U269" s="10"/>
      <c r="V269" s="41">
        <f>IF(AND(Q269&lt;&gt;"",RIGHT(Q269,3)&lt;&gt;""),IF(COUNTIF($Q$6:Q269,Q269)=1,1,0),0)</f>
        <v>0</v>
      </c>
      <c r="W269" s="41" t="str">
        <f t="shared" si="25"/>
        <v>NA.25.VIII.219-4</v>
      </c>
      <c r="X269" s="41" t="str">
        <f t="shared" si="26"/>
        <v/>
      </c>
    </row>
    <row r="270" s="32" customFormat="1" hidden="1" customHeight="1" spans="1:24">
      <c r="A270" s="34"/>
      <c r="B270" s="51">
        <v>265</v>
      </c>
      <c r="C270" s="51" t="s">
        <v>885</v>
      </c>
      <c r="D270" s="52" t="s">
        <v>886</v>
      </c>
      <c r="E270" s="53">
        <v>1</v>
      </c>
      <c r="F270" s="54" t="s">
        <v>66</v>
      </c>
      <c r="G270" s="54" t="s">
        <v>523</v>
      </c>
      <c r="H270" s="54" t="s">
        <v>524</v>
      </c>
      <c r="I270" s="66">
        <v>45892</v>
      </c>
      <c r="J270" s="54" t="s">
        <v>525</v>
      </c>
      <c r="K270" s="67">
        <v>3</v>
      </c>
      <c r="L270" s="68" t="s">
        <v>887</v>
      </c>
      <c r="M270" s="90" t="str">
        <f t="shared" si="23"/>
        <v>Open File</v>
      </c>
      <c r="N270" s="70" t="s">
        <v>527</v>
      </c>
      <c r="O270" s="71" t="str">
        <f t="shared" si="22"/>
        <v>ACTIVE</v>
      </c>
      <c r="P270" s="66"/>
      <c r="Q270" s="66"/>
      <c r="R270" s="85"/>
      <c r="S270" s="82"/>
      <c r="T270" s="83" t="str">
        <f t="shared" si="24"/>
        <v/>
      </c>
      <c r="U270" s="10"/>
      <c r="V270" s="41">
        <f>IF(AND(Q270&lt;&gt;"",RIGHT(Q270,3)&lt;&gt;""),IF(COUNTIF($Q$6:Q270,Q270)=1,1,0),0)</f>
        <v>0</v>
      </c>
      <c r="W270" s="41" t="str">
        <f t="shared" si="25"/>
        <v>NA.25.VIII.219-3</v>
      </c>
      <c r="X270" s="41" t="str">
        <f t="shared" si="26"/>
        <v/>
      </c>
    </row>
    <row r="271" s="32" customFormat="1" hidden="1" customHeight="1" spans="1:24">
      <c r="A271" s="34"/>
      <c r="B271" s="51">
        <v>266</v>
      </c>
      <c r="C271" s="51" t="s">
        <v>888</v>
      </c>
      <c r="D271" s="52" t="s">
        <v>889</v>
      </c>
      <c r="E271" s="53">
        <v>1</v>
      </c>
      <c r="F271" s="54" t="s">
        <v>66</v>
      </c>
      <c r="G271" s="54" t="s">
        <v>523</v>
      </c>
      <c r="H271" s="54" t="s">
        <v>524</v>
      </c>
      <c r="I271" s="66">
        <v>45892</v>
      </c>
      <c r="J271" s="54" t="s">
        <v>525</v>
      </c>
      <c r="K271" s="67">
        <v>2</v>
      </c>
      <c r="L271" s="68" t="s">
        <v>890</v>
      </c>
      <c r="M271" s="90" t="str">
        <f t="shared" si="23"/>
        <v>Open File</v>
      </c>
      <c r="N271" s="70" t="s">
        <v>527</v>
      </c>
      <c r="O271" s="71" t="str">
        <f t="shared" si="22"/>
        <v>ACTIVE</v>
      </c>
      <c r="P271" s="66"/>
      <c r="Q271" s="66"/>
      <c r="R271" s="85"/>
      <c r="S271" s="82"/>
      <c r="T271" s="83" t="str">
        <f t="shared" si="24"/>
        <v/>
      </c>
      <c r="U271" s="10"/>
      <c r="V271" s="41">
        <f>IF(AND(Q271&lt;&gt;"",RIGHT(Q271,3)&lt;&gt;""),IF(COUNTIF($Q$6:Q271,Q271)=1,1,0),0)</f>
        <v>0</v>
      </c>
      <c r="W271" s="41" t="str">
        <f t="shared" si="25"/>
        <v>NA.25.VIII.219-2</v>
      </c>
      <c r="X271" s="41" t="str">
        <f t="shared" si="26"/>
        <v/>
      </c>
    </row>
    <row r="272" s="32" customFormat="1" hidden="1" customHeight="1" spans="1:24">
      <c r="A272" s="34"/>
      <c r="B272" s="51">
        <v>267</v>
      </c>
      <c r="C272" s="88" t="s">
        <v>891</v>
      </c>
      <c r="D272" s="52" t="s">
        <v>892</v>
      </c>
      <c r="E272" s="53">
        <v>1</v>
      </c>
      <c r="F272" s="54" t="s">
        <v>29</v>
      </c>
      <c r="G272" s="54" t="s">
        <v>523</v>
      </c>
      <c r="H272" s="54" t="s">
        <v>524</v>
      </c>
      <c r="I272" s="66">
        <v>45892</v>
      </c>
      <c r="J272" s="54" t="s">
        <v>525</v>
      </c>
      <c r="K272" s="67">
        <v>1</v>
      </c>
      <c r="L272" s="68" t="s">
        <v>893</v>
      </c>
      <c r="M272" s="90" t="str">
        <f t="shared" si="23"/>
        <v>Open File</v>
      </c>
      <c r="N272" s="70" t="s">
        <v>527</v>
      </c>
      <c r="O272" s="71" t="str">
        <f t="shared" si="22"/>
        <v>ACTIVE</v>
      </c>
      <c r="P272" s="66"/>
      <c r="Q272" s="66"/>
      <c r="R272" s="85"/>
      <c r="S272" s="82"/>
      <c r="T272" s="83" t="str">
        <f t="shared" si="24"/>
        <v/>
      </c>
      <c r="U272" s="10"/>
      <c r="V272" s="41">
        <f>IF(AND(Q272&lt;&gt;"",RIGHT(Q272,3)&lt;&gt;""),IF(COUNTIF($Q$6:Q272,Q272)=1,1,0),0)</f>
        <v>0</v>
      </c>
      <c r="W272" s="41" t="str">
        <f t="shared" si="25"/>
        <v>NA.25.VIII.219-1</v>
      </c>
      <c r="X272" s="41" t="str">
        <f t="shared" si="26"/>
        <v/>
      </c>
    </row>
    <row r="273" s="32" customFormat="1" hidden="1" customHeight="1" spans="1:24">
      <c r="A273" s="34"/>
      <c r="B273" s="51">
        <v>268</v>
      </c>
      <c r="C273" s="51" t="s">
        <v>894</v>
      </c>
      <c r="D273" s="52" t="s">
        <v>895</v>
      </c>
      <c r="E273" s="53">
        <v>1</v>
      </c>
      <c r="F273" s="54" t="s">
        <v>29</v>
      </c>
      <c r="G273" s="54" t="s">
        <v>896</v>
      </c>
      <c r="H273" s="54" t="s">
        <v>524</v>
      </c>
      <c r="I273" s="66">
        <v>45898</v>
      </c>
      <c r="J273" s="54" t="s">
        <v>897</v>
      </c>
      <c r="K273" s="67">
        <v>1</v>
      </c>
      <c r="L273" s="68" t="s">
        <v>898</v>
      </c>
      <c r="M273" s="73" t="str">
        <f t="shared" si="23"/>
        <v>Open File</v>
      </c>
      <c r="N273" s="70" t="s">
        <v>899</v>
      </c>
      <c r="O273" s="71" t="str">
        <f t="shared" si="22"/>
        <v>ACTIVE</v>
      </c>
      <c r="P273" s="66"/>
      <c r="Q273" s="66"/>
      <c r="R273" s="85"/>
      <c r="S273" s="82"/>
      <c r="T273" s="83" t="str">
        <f t="shared" si="24"/>
        <v/>
      </c>
      <c r="U273" s="10"/>
      <c r="V273" s="41">
        <f>IF(AND(Q273&lt;&gt;"",RIGHT(Q273,3)&lt;&gt;""),IF(COUNTIF($Q$6:Q273,Q273)=1,1,0),0)</f>
        <v>0</v>
      </c>
      <c r="W273" s="41" t="str">
        <f t="shared" si="25"/>
        <v>NA.25.VIII.253-1</v>
      </c>
      <c r="X273" s="41" t="str">
        <f t="shared" si="26"/>
        <v/>
      </c>
    </row>
    <row r="274" s="32" customFormat="1" hidden="1" customHeight="1" spans="1:24">
      <c r="A274" s="34"/>
      <c r="B274" s="51">
        <v>269</v>
      </c>
      <c r="C274" s="51" t="s">
        <v>900</v>
      </c>
      <c r="D274" s="52" t="s">
        <v>901</v>
      </c>
      <c r="E274" s="53">
        <v>6</v>
      </c>
      <c r="F274" s="54" t="s">
        <v>29</v>
      </c>
      <c r="G274" s="54" t="s">
        <v>896</v>
      </c>
      <c r="H274" s="54" t="s">
        <v>524</v>
      </c>
      <c r="I274" s="66">
        <v>45908</v>
      </c>
      <c r="J274" s="54" t="s">
        <v>902</v>
      </c>
      <c r="K274" s="67">
        <v>2</v>
      </c>
      <c r="L274" s="68" t="s">
        <v>903</v>
      </c>
      <c r="M274" s="73" t="str">
        <f t="shared" si="23"/>
        <v>Open File</v>
      </c>
      <c r="N274" s="70" t="s">
        <v>904</v>
      </c>
      <c r="O274" s="71" t="str">
        <f t="shared" si="22"/>
        <v>ACTIVE</v>
      </c>
      <c r="P274" s="66"/>
      <c r="Q274" s="66"/>
      <c r="R274" s="85"/>
      <c r="S274" s="82"/>
      <c r="T274" s="83" t="str">
        <f t="shared" si="24"/>
        <v/>
      </c>
      <c r="U274" s="10"/>
      <c r="V274" s="41">
        <f>IF(AND(Q274&lt;&gt;"",RIGHT(Q274,3)&lt;&gt;""),IF(COUNTIF($Q$6:Q274,Q274)=1,1,0),0)</f>
        <v>0</v>
      </c>
      <c r="W274" s="41" t="str">
        <f t="shared" si="25"/>
        <v>NA.25.IX.053-2</v>
      </c>
      <c r="X274" s="41" t="str">
        <f t="shared" si="26"/>
        <v/>
      </c>
    </row>
    <row r="275" s="32" customFormat="1" hidden="1" customHeight="1" spans="1:24">
      <c r="A275" s="34"/>
      <c r="B275" s="51">
        <v>270</v>
      </c>
      <c r="C275" s="51" t="s">
        <v>905</v>
      </c>
      <c r="D275" s="52" t="s">
        <v>906</v>
      </c>
      <c r="E275" s="53">
        <v>1</v>
      </c>
      <c r="F275" s="54" t="s">
        <v>29</v>
      </c>
      <c r="G275" s="54" t="s">
        <v>896</v>
      </c>
      <c r="H275" s="54" t="s">
        <v>524</v>
      </c>
      <c r="I275" s="66">
        <v>45908</v>
      </c>
      <c r="J275" s="54" t="s">
        <v>902</v>
      </c>
      <c r="K275" s="67">
        <v>1</v>
      </c>
      <c r="L275" s="68" t="s">
        <v>907</v>
      </c>
      <c r="M275" s="73" t="str">
        <f t="shared" si="23"/>
        <v>Open File</v>
      </c>
      <c r="N275" s="70" t="s">
        <v>904</v>
      </c>
      <c r="O275" s="71" t="str">
        <f t="shared" si="22"/>
        <v>ACTIVE</v>
      </c>
      <c r="P275" s="66"/>
      <c r="Q275" s="66"/>
      <c r="R275" s="85"/>
      <c r="S275" s="82"/>
      <c r="T275" s="83" t="str">
        <f t="shared" si="24"/>
        <v/>
      </c>
      <c r="U275" s="10"/>
      <c r="V275" s="41">
        <f>IF(AND(Q275&lt;&gt;"",RIGHT(Q275,3)&lt;&gt;""),IF(COUNTIF($Q$6:Q275,Q275)=1,1,0),0)</f>
        <v>0</v>
      </c>
      <c r="W275" s="41" t="str">
        <f t="shared" si="25"/>
        <v>NA.25.IX.053-1</v>
      </c>
      <c r="X275" s="41" t="str">
        <f t="shared" si="26"/>
        <v/>
      </c>
    </row>
    <row r="276" s="32" customFormat="1" hidden="1" customHeight="1" spans="1:24">
      <c r="A276" s="34"/>
      <c r="B276" s="51">
        <v>271</v>
      </c>
      <c r="C276" s="51" t="s">
        <v>908</v>
      </c>
      <c r="D276" s="52" t="s">
        <v>320</v>
      </c>
      <c r="E276" s="53">
        <v>1</v>
      </c>
      <c r="F276" s="54" t="s">
        <v>66</v>
      </c>
      <c r="G276" s="54" t="s">
        <v>515</v>
      </c>
      <c r="H276" s="54" t="s">
        <v>322</v>
      </c>
      <c r="I276" s="66">
        <v>45910</v>
      </c>
      <c r="J276" s="54" t="s">
        <v>909</v>
      </c>
      <c r="K276" s="67">
        <v>1</v>
      </c>
      <c r="L276" s="68" t="s">
        <v>910</v>
      </c>
      <c r="M276" s="73" t="str">
        <f t="shared" si="23"/>
        <v>Open File</v>
      </c>
      <c r="N276" s="70" t="s">
        <v>518</v>
      </c>
      <c r="O276" s="71" t="str">
        <f t="shared" si="22"/>
        <v>ACTIVE</v>
      </c>
      <c r="P276" s="66"/>
      <c r="Q276" s="66"/>
      <c r="R276" s="85"/>
      <c r="S276" s="82"/>
      <c r="T276" s="83" t="str">
        <f t="shared" si="24"/>
        <v/>
      </c>
      <c r="U276" s="10"/>
      <c r="V276" s="41">
        <f>IF(AND(Q276&lt;&gt;"",RIGHT(Q276,3)&lt;&gt;""),IF(COUNTIF($Q$6:Q276,Q276)=1,1,0),0)</f>
        <v>0</v>
      </c>
      <c r="W276" s="41" t="str">
        <f t="shared" si="25"/>
        <v>NA.25.IX.027-1</v>
      </c>
      <c r="X276" s="41" t="str">
        <f t="shared" si="26"/>
        <v/>
      </c>
    </row>
    <row r="277" s="32" customFormat="1" hidden="1" customHeight="1" spans="1:24">
      <c r="A277" s="34"/>
      <c r="B277" s="51">
        <v>272</v>
      </c>
      <c r="C277" s="51" t="s">
        <v>911</v>
      </c>
      <c r="D277" s="52" t="s">
        <v>912</v>
      </c>
      <c r="E277" s="53">
        <v>1</v>
      </c>
      <c r="F277" s="54" t="s">
        <v>66</v>
      </c>
      <c r="G277" s="54" t="s">
        <v>913</v>
      </c>
      <c r="H277" s="54" t="s">
        <v>37</v>
      </c>
      <c r="I277" s="66">
        <v>45910</v>
      </c>
      <c r="J277" s="54" t="s">
        <v>914</v>
      </c>
      <c r="K277" s="67">
        <v>1</v>
      </c>
      <c r="L277" s="68" t="s">
        <v>915</v>
      </c>
      <c r="M277" s="73" t="str">
        <f t="shared" si="23"/>
        <v>Open File</v>
      </c>
      <c r="N277" s="70" t="s">
        <v>916</v>
      </c>
      <c r="O277" s="71" t="str">
        <f t="shared" si="22"/>
        <v>ACTIVE</v>
      </c>
      <c r="P277" s="66">
        <v>46106</v>
      </c>
      <c r="Q277" s="66" t="s">
        <v>45</v>
      </c>
      <c r="R277" s="85" t="s">
        <v>226</v>
      </c>
      <c r="S277" s="84"/>
      <c r="T277" s="83" t="str">
        <f t="shared" si="24"/>
        <v/>
      </c>
      <c r="U277" s="10" t="s">
        <v>46</v>
      </c>
      <c r="V277" s="41">
        <f>IF(AND(Q277&lt;&gt;"",RIGHT(Q277,3)&lt;&gt;""),IF(COUNTIF($Q$6:Q277,Q277)=1,1,0),0)</f>
        <v>0</v>
      </c>
      <c r="W277" s="41" t="str">
        <f t="shared" si="25"/>
        <v>NA.25.IX.075-1</v>
      </c>
      <c r="X277" s="41" t="str">
        <f t="shared" si="26"/>
        <v>RI.NV.26.III.052-1</v>
      </c>
    </row>
    <row r="278" s="32" customFormat="1" hidden="1" customHeight="1" spans="1:24">
      <c r="A278" s="34"/>
      <c r="B278" s="51">
        <v>273</v>
      </c>
      <c r="C278" s="51" t="s">
        <v>917</v>
      </c>
      <c r="D278" s="52" t="s">
        <v>918</v>
      </c>
      <c r="E278" s="53">
        <v>1</v>
      </c>
      <c r="F278" s="54" t="s">
        <v>29</v>
      </c>
      <c r="G278" s="54" t="s">
        <v>896</v>
      </c>
      <c r="H278" s="54" t="s">
        <v>524</v>
      </c>
      <c r="I278" s="66">
        <v>45918</v>
      </c>
      <c r="J278" s="54" t="s">
        <v>919</v>
      </c>
      <c r="K278" s="67">
        <v>1</v>
      </c>
      <c r="L278" s="68" t="s">
        <v>920</v>
      </c>
      <c r="M278" s="72" t="str">
        <f t="shared" si="23"/>
        <v>Open File</v>
      </c>
      <c r="N278" s="70" t="s">
        <v>921</v>
      </c>
      <c r="O278" s="71" t="str">
        <f t="shared" si="22"/>
        <v>PASSIVE</v>
      </c>
      <c r="P278" s="94"/>
      <c r="Q278" s="66" t="s">
        <v>922</v>
      </c>
      <c r="R278" s="85">
        <v>1</v>
      </c>
      <c r="S278" s="86" t="s">
        <v>923</v>
      </c>
      <c r="T278" s="95" t="str">
        <f t="shared" si="24"/>
        <v>Open File</v>
      </c>
      <c r="U278" s="10" t="s">
        <v>924</v>
      </c>
      <c r="V278" s="41">
        <f>IF(AND(Q278&lt;&gt;"",RIGHT(Q278,3)&lt;&gt;""),IF(COUNTIF($Q$6:Q278,Q278)=1,1,0),0)</f>
        <v>1</v>
      </c>
      <c r="W278" s="41" t="str">
        <f t="shared" si="25"/>
        <v>NA.25.XIX.121-1</v>
      </c>
      <c r="X278" s="41" t="str">
        <f t="shared" si="26"/>
        <v>RI.26.III.009-1</v>
      </c>
    </row>
    <row r="279" s="32" customFormat="1" hidden="1" customHeight="1" spans="1:24">
      <c r="A279" s="34"/>
      <c r="B279" s="51">
        <v>274</v>
      </c>
      <c r="C279" s="51" t="s">
        <v>925</v>
      </c>
      <c r="D279" s="52" t="s">
        <v>926</v>
      </c>
      <c r="E279" s="53">
        <v>1</v>
      </c>
      <c r="F279" s="54" t="s">
        <v>29</v>
      </c>
      <c r="G279" s="54" t="s">
        <v>913</v>
      </c>
      <c r="H279" s="54" t="s">
        <v>524</v>
      </c>
      <c r="I279" s="66">
        <v>45919</v>
      </c>
      <c r="J279" s="54" t="s">
        <v>927</v>
      </c>
      <c r="K279" s="67">
        <v>1</v>
      </c>
      <c r="L279" s="68" t="s">
        <v>928</v>
      </c>
      <c r="M279" s="93" t="str">
        <f t="shared" si="23"/>
        <v>Open File</v>
      </c>
      <c r="N279" s="70" t="s">
        <v>921</v>
      </c>
      <c r="O279" s="71" t="str">
        <f t="shared" si="22"/>
        <v>ACTIVE</v>
      </c>
      <c r="P279" s="66"/>
      <c r="Q279" s="66"/>
      <c r="R279" s="85"/>
      <c r="S279" s="82"/>
      <c r="T279" s="83" t="str">
        <f t="shared" si="24"/>
        <v/>
      </c>
      <c r="U279" s="10"/>
      <c r="V279" s="41">
        <f>IF(AND(Q279&lt;&gt;"",RIGHT(Q279,3)&lt;&gt;""),IF(COUNTIF($Q$6:Q279,Q279)=1,1,0),0)</f>
        <v>0</v>
      </c>
      <c r="W279" s="41" t="str">
        <f t="shared" si="25"/>
        <v>NA.25.IX.156-1</v>
      </c>
      <c r="X279" s="41" t="str">
        <f t="shared" si="26"/>
        <v/>
      </c>
    </row>
    <row r="280" s="32" customFormat="1" hidden="1" customHeight="1" spans="1:24">
      <c r="A280" s="34"/>
      <c r="B280" s="51">
        <v>275</v>
      </c>
      <c r="C280" s="51" t="s">
        <v>929</v>
      </c>
      <c r="D280" s="52" t="s">
        <v>930</v>
      </c>
      <c r="E280" s="53">
        <v>1</v>
      </c>
      <c r="F280" s="54" t="s">
        <v>29</v>
      </c>
      <c r="G280" s="54" t="s">
        <v>931</v>
      </c>
      <c r="H280" s="54" t="s">
        <v>524</v>
      </c>
      <c r="I280" s="66">
        <v>45932</v>
      </c>
      <c r="J280" s="54" t="s">
        <v>932</v>
      </c>
      <c r="K280" s="67">
        <v>1</v>
      </c>
      <c r="L280" s="68" t="s">
        <v>933</v>
      </c>
      <c r="M280" s="73" t="str">
        <f t="shared" si="23"/>
        <v>Open File</v>
      </c>
      <c r="N280" s="70" t="s">
        <v>921</v>
      </c>
      <c r="O280" s="71" t="str">
        <f t="shared" ref="O280:O288" si="27">IF(AND(Q280&lt;&gt;"",T280&lt;&gt;""),"PASSIVE",IF(AND(J280&lt;&gt;"",M280&lt;&gt;""),"ACTIVE",""))</f>
        <v>PASSIVE</v>
      </c>
      <c r="P280" s="66">
        <v>45972</v>
      </c>
      <c r="Q280" s="66" t="s">
        <v>934</v>
      </c>
      <c r="R280" s="85">
        <v>1</v>
      </c>
      <c r="S280" s="101" t="s">
        <v>935</v>
      </c>
      <c r="T280" s="72" t="str">
        <f t="shared" si="24"/>
        <v>Open File</v>
      </c>
      <c r="U280" s="10" t="s">
        <v>936</v>
      </c>
      <c r="V280" s="41">
        <f>IF(AND(Q280&lt;&gt;"",RIGHT(Q280,3)&lt;&gt;""),IF(COUNTIF($Q$6:Q280,Q280)=1,1,0),0)</f>
        <v>1</v>
      </c>
      <c r="W280" s="41" t="str">
        <f t="shared" si="25"/>
        <v>NA.25.X.028-1</v>
      </c>
      <c r="X280" s="41" t="str">
        <f t="shared" si="26"/>
        <v>RI.NV.25.XI.031-1</v>
      </c>
    </row>
    <row r="281" s="32" customFormat="1" hidden="1" customHeight="1" spans="1:24">
      <c r="A281" s="34"/>
      <c r="B281" s="51">
        <v>276</v>
      </c>
      <c r="C281" s="51" t="s">
        <v>937</v>
      </c>
      <c r="D281" s="52" t="s">
        <v>327</v>
      </c>
      <c r="E281" s="53">
        <v>1</v>
      </c>
      <c r="F281" s="54" t="s">
        <v>66</v>
      </c>
      <c r="G281" s="54" t="s">
        <v>321</v>
      </c>
      <c r="H281" s="54" t="s">
        <v>322</v>
      </c>
      <c r="I281" s="66">
        <v>45941</v>
      </c>
      <c r="J281" s="54" t="s">
        <v>938</v>
      </c>
      <c r="K281" s="67">
        <v>1</v>
      </c>
      <c r="L281" s="68" t="s">
        <v>939</v>
      </c>
      <c r="M281" s="73" t="str">
        <f t="shared" si="23"/>
        <v>Open File</v>
      </c>
      <c r="N281" s="98" t="s">
        <v>940</v>
      </c>
      <c r="O281" s="71" t="str">
        <f t="shared" si="27"/>
        <v>ACTIVE</v>
      </c>
      <c r="P281" s="66"/>
      <c r="Q281" s="66"/>
      <c r="R281" s="85"/>
      <c r="S281" s="82"/>
      <c r="T281" s="83" t="str">
        <f t="shared" si="24"/>
        <v/>
      </c>
      <c r="U281" s="10"/>
      <c r="V281" s="41">
        <f>IF(AND(Q281&lt;&gt;"",RIGHT(Q281,3)&lt;&gt;""),IF(COUNTIF($Q$6:Q281,Q281)=1,1,0),0)</f>
        <v>0</v>
      </c>
      <c r="W281" s="41" t="str">
        <f t="shared" si="25"/>
        <v>NA.25.X.100-1</v>
      </c>
      <c r="X281" s="41" t="str">
        <f t="shared" si="26"/>
        <v/>
      </c>
    </row>
    <row r="282" s="32" customFormat="1" hidden="1" customHeight="1" spans="1:24">
      <c r="A282" s="34"/>
      <c r="B282" s="51">
        <v>277</v>
      </c>
      <c r="C282" s="51" t="s">
        <v>941</v>
      </c>
      <c r="D282" s="52" t="s">
        <v>942</v>
      </c>
      <c r="E282" s="53">
        <v>1</v>
      </c>
      <c r="F282" s="54" t="s">
        <v>29</v>
      </c>
      <c r="G282" s="54" t="s">
        <v>913</v>
      </c>
      <c r="H282" s="54" t="s">
        <v>943</v>
      </c>
      <c r="I282" s="66">
        <v>45947</v>
      </c>
      <c r="J282" s="54" t="s">
        <v>944</v>
      </c>
      <c r="K282" s="67">
        <v>7</v>
      </c>
      <c r="L282" s="68" t="s">
        <v>945</v>
      </c>
      <c r="M282" s="73" t="str">
        <f t="shared" si="23"/>
        <v>Open File</v>
      </c>
      <c r="N282" s="70" t="s">
        <v>946</v>
      </c>
      <c r="O282" s="71" t="str">
        <f t="shared" si="27"/>
        <v>ACTIVE</v>
      </c>
      <c r="P282" s="66"/>
      <c r="Q282" s="66"/>
      <c r="R282" s="85"/>
      <c r="S282" s="82"/>
      <c r="T282" s="83" t="str">
        <f t="shared" si="24"/>
        <v/>
      </c>
      <c r="U282" s="10"/>
      <c r="V282" s="41">
        <f>IF(AND(Q282&lt;&gt;"",RIGHT(Q282,3)&lt;&gt;""),IF(COUNTIF($Q$6:Q282,Q282)=1,1,0),0)</f>
        <v>0</v>
      </c>
      <c r="W282" s="41" t="str">
        <f t="shared" si="25"/>
        <v>NA.25.X.155-7</v>
      </c>
      <c r="X282" s="41" t="str">
        <f t="shared" si="26"/>
        <v/>
      </c>
    </row>
    <row r="283" s="32" customFormat="1" hidden="1" customHeight="1" spans="1:24">
      <c r="A283" s="34"/>
      <c r="B283" s="51">
        <v>278</v>
      </c>
      <c r="C283" s="51" t="s">
        <v>947</v>
      </c>
      <c r="D283" s="52" t="s">
        <v>948</v>
      </c>
      <c r="E283" s="53">
        <v>1</v>
      </c>
      <c r="F283" s="54" t="s">
        <v>29</v>
      </c>
      <c r="G283" s="54" t="s">
        <v>913</v>
      </c>
      <c r="H283" s="54" t="s">
        <v>943</v>
      </c>
      <c r="I283" s="66">
        <v>45947</v>
      </c>
      <c r="J283" s="54" t="s">
        <v>944</v>
      </c>
      <c r="K283" s="67">
        <v>6</v>
      </c>
      <c r="L283" s="68" t="s">
        <v>949</v>
      </c>
      <c r="M283" s="73" t="str">
        <f t="shared" si="23"/>
        <v>Open File</v>
      </c>
      <c r="N283" s="70" t="s">
        <v>946</v>
      </c>
      <c r="O283" s="71" t="str">
        <f t="shared" si="27"/>
        <v>ACTIVE</v>
      </c>
      <c r="P283" s="66"/>
      <c r="Q283" s="66"/>
      <c r="R283" s="85"/>
      <c r="S283" s="82"/>
      <c r="T283" s="83" t="str">
        <f t="shared" si="24"/>
        <v/>
      </c>
      <c r="U283" s="10"/>
      <c r="V283" s="41">
        <f>IF(AND(Q283&lt;&gt;"",RIGHT(Q283,3)&lt;&gt;""),IF(COUNTIF($Q$6:Q283,Q283)=1,1,0),0)</f>
        <v>0</v>
      </c>
      <c r="W283" s="41" t="str">
        <f t="shared" si="25"/>
        <v>NA.25.X.155-6</v>
      </c>
      <c r="X283" s="41" t="str">
        <f t="shared" si="26"/>
        <v/>
      </c>
    </row>
    <row r="284" s="32" customFormat="1" hidden="1" customHeight="1" spans="1:24">
      <c r="A284" s="34"/>
      <c r="B284" s="51">
        <v>279</v>
      </c>
      <c r="C284" s="51" t="s">
        <v>950</v>
      </c>
      <c r="D284" s="52" t="s">
        <v>951</v>
      </c>
      <c r="E284" s="53">
        <v>1</v>
      </c>
      <c r="F284" s="54" t="s">
        <v>29</v>
      </c>
      <c r="G284" s="54" t="s">
        <v>913</v>
      </c>
      <c r="H284" s="54" t="s">
        <v>943</v>
      </c>
      <c r="I284" s="66">
        <v>45947</v>
      </c>
      <c r="J284" s="54" t="s">
        <v>944</v>
      </c>
      <c r="K284" s="67">
        <v>5</v>
      </c>
      <c r="L284" s="68" t="s">
        <v>952</v>
      </c>
      <c r="M284" s="73" t="str">
        <f t="shared" si="23"/>
        <v>Open File</v>
      </c>
      <c r="N284" s="70" t="s">
        <v>946</v>
      </c>
      <c r="O284" s="71" t="str">
        <f t="shared" si="27"/>
        <v>ACTIVE</v>
      </c>
      <c r="P284" s="66"/>
      <c r="Q284" s="66"/>
      <c r="R284" s="85"/>
      <c r="S284" s="82"/>
      <c r="T284" s="83" t="str">
        <f t="shared" si="24"/>
        <v/>
      </c>
      <c r="U284" s="10"/>
      <c r="V284" s="41">
        <f>IF(AND(Q284&lt;&gt;"",RIGHT(Q284,3)&lt;&gt;""),IF(COUNTIF($Q$6:Q284,Q284)=1,1,0),0)</f>
        <v>0</v>
      </c>
      <c r="W284" s="41" t="str">
        <f t="shared" si="25"/>
        <v>NA.25.X.155-5</v>
      </c>
      <c r="X284" s="41" t="str">
        <f t="shared" si="26"/>
        <v/>
      </c>
    </row>
    <row r="285" s="32" customFormat="1" hidden="1" customHeight="1" spans="1:24">
      <c r="A285" s="34"/>
      <c r="B285" s="51">
        <v>280</v>
      </c>
      <c r="C285" s="51" t="s">
        <v>953</v>
      </c>
      <c r="D285" s="52" t="s">
        <v>954</v>
      </c>
      <c r="E285" s="53">
        <v>1</v>
      </c>
      <c r="F285" s="54" t="s">
        <v>29</v>
      </c>
      <c r="G285" s="54" t="s">
        <v>913</v>
      </c>
      <c r="H285" s="54" t="s">
        <v>943</v>
      </c>
      <c r="I285" s="66">
        <v>45947</v>
      </c>
      <c r="J285" s="54" t="s">
        <v>944</v>
      </c>
      <c r="K285" s="67">
        <v>4</v>
      </c>
      <c r="L285" s="68" t="s">
        <v>955</v>
      </c>
      <c r="M285" s="73" t="str">
        <f t="shared" si="23"/>
        <v>Open File</v>
      </c>
      <c r="N285" s="70" t="s">
        <v>946</v>
      </c>
      <c r="O285" s="71" t="str">
        <f t="shared" si="27"/>
        <v>ACTIVE</v>
      </c>
      <c r="P285" s="66"/>
      <c r="Q285" s="66"/>
      <c r="R285" s="85"/>
      <c r="S285" s="82"/>
      <c r="T285" s="83" t="str">
        <f t="shared" si="24"/>
        <v/>
      </c>
      <c r="U285" s="10"/>
      <c r="V285" s="41">
        <f>IF(AND(Q285&lt;&gt;"",RIGHT(Q285,3)&lt;&gt;""),IF(COUNTIF($Q$6:Q285,Q285)=1,1,0),0)</f>
        <v>0</v>
      </c>
      <c r="W285" s="41" t="str">
        <f t="shared" si="25"/>
        <v>NA.25.X.155-4</v>
      </c>
      <c r="X285" s="41" t="str">
        <f t="shared" si="26"/>
        <v/>
      </c>
    </row>
    <row r="286" s="32" customFormat="1" hidden="1" customHeight="1" spans="1:24">
      <c r="A286" s="34"/>
      <c r="B286" s="51">
        <v>281</v>
      </c>
      <c r="C286" s="51" t="s">
        <v>956</v>
      </c>
      <c r="D286" s="52" t="s">
        <v>957</v>
      </c>
      <c r="E286" s="53">
        <v>1</v>
      </c>
      <c r="F286" s="54" t="s">
        <v>29</v>
      </c>
      <c r="G286" s="54" t="s">
        <v>913</v>
      </c>
      <c r="H286" s="54" t="s">
        <v>943</v>
      </c>
      <c r="I286" s="66">
        <v>45947</v>
      </c>
      <c r="J286" s="54" t="s">
        <v>944</v>
      </c>
      <c r="K286" s="67">
        <v>3</v>
      </c>
      <c r="L286" s="68" t="s">
        <v>958</v>
      </c>
      <c r="M286" s="73" t="str">
        <f t="shared" si="23"/>
        <v>Open File</v>
      </c>
      <c r="N286" s="70" t="s">
        <v>946</v>
      </c>
      <c r="O286" s="71" t="str">
        <f t="shared" si="27"/>
        <v>ACTIVE</v>
      </c>
      <c r="P286" s="66"/>
      <c r="Q286" s="66"/>
      <c r="R286" s="85"/>
      <c r="S286" s="82"/>
      <c r="T286" s="83" t="str">
        <f t="shared" si="24"/>
        <v/>
      </c>
      <c r="U286" s="10"/>
      <c r="V286" s="41">
        <f>IF(AND(Q286&lt;&gt;"",RIGHT(Q286,3)&lt;&gt;""),IF(COUNTIF($Q$6:Q286,Q286)=1,1,0),0)</f>
        <v>0</v>
      </c>
      <c r="W286" s="41" t="str">
        <f t="shared" si="25"/>
        <v>NA.25.X.155-3</v>
      </c>
      <c r="X286" s="41" t="str">
        <f t="shared" si="26"/>
        <v/>
      </c>
    </row>
    <row r="287" s="32" customFormat="1" hidden="1" customHeight="1" spans="1:24">
      <c r="A287" s="34"/>
      <c r="B287" s="51">
        <v>282</v>
      </c>
      <c r="C287" s="51" t="s">
        <v>959</v>
      </c>
      <c r="D287" s="52" t="s">
        <v>960</v>
      </c>
      <c r="E287" s="53">
        <v>1</v>
      </c>
      <c r="F287" s="54" t="s">
        <v>29</v>
      </c>
      <c r="G287" s="54" t="s">
        <v>913</v>
      </c>
      <c r="H287" s="54" t="s">
        <v>943</v>
      </c>
      <c r="I287" s="66">
        <v>45947</v>
      </c>
      <c r="J287" s="54" t="s">
        <v>944</v>
      </c>
      <c r="K287" s="67">
        <v>2</v>
      </c>
      <c r="L287" s="68" t="s">
        <v>961</v>
      </c>
      <c r="M287" s="73" t="str">
        <f t="shared" si="23"/>
        <v>Open File</v>
      </c>
      <c r="N287" s="70" t="s">
        <v>946</v>
      </c>
      <c r="O287" s="71" t="str">
        <f t="shared" si="27"/>
        <v>ACTIVE</v>
      </c>
      <c r="P287" s="66"/>
      <c r="Q287" s="66"/>
      <c r="R287" s="85"/>
      <c r="S287" s="82"/>
      <c r="T287" s="83" t="str">
        <f t="shared" si="24"/>
        <v/>
      </c>
      <c r="U287" s="10"/>
      <c r="V287" s="41">
        <f>IF(AND(Q287&lt;&gt;"",RIGHT(Q287,3)&lt;&gt;""),IF(COUNTIF($Q$6:Q287,Q287)=1,1,0),0)</f>
        <v>0</v>
      </c>
      <c r="W287" s="41" t="str">
        <f t="shared" si="25"/>
        <v>NA.25.X.155-2</v>
      </c>
      <c r="X287" s="41" t="str">
        <f t="shared" si="26"/>
        <v/>
      </c>
    </row>
    <row r="288" s="32" customFormat="1" hidden="1" customHeight="1" spans="1:24">
      <c r="A288" s="34"/>
      <c r="B288" s="51">
        <v>283</v>
      </c>
      <c r="C288" s="51" t="s">
        <v>962</v>
      </c>
      <c r="D288" s="52" t="s">
        <v>963</v>
      </c>
      <c r="E288" s="53">
        <v>1</v>
      </c>
      <c r="F288" s="54" t="s">
        <v>29</v>
      </c>
      <c r="G288" s="54" t="s">
        <v>913</v>
      </c>
      <c r="H288" s="54" t="s">
        <v>943</v>
      </c>
      <c r="I288" s="66">
        <v>45947</v>
      </c>
      <c r="J288" s="54" t="s">
        <v>944</v>
      </c>
      <c r="K288" s="67">
        <v>1</v>
      </c>
      <c r="L288" s="68" t="s">
        <v>964</v>
      </c>
      <c r="M288" s="72" t="str">
        <f t="shared" si="23"/>
        <v>Open File</v>
      </c>
      <c r="N288" s="70" t="s">
        <v>946</v>
      </c>
      <c r="O288" s="71" t="str">
        <f t="shared" si="27"/>
        <v>PASSIVE</v>
      </c>
      <c r="P288" s="66">
        <v>46188</v>
      </c>
      <c r="Q288" s="66" t="s">
        <v>965</v>
      </c>
      <c r="R288" s="85" t="s">
        <v>226</v>
      </c>
      <c r="S288" s="82" t="s">
        <v>966</v>
      </c>
      <c r="T288" s="87" t="str">
        <f t="shared" si="24"/>
        <v>Open File</v>
      </c>
      <c r="U288" s="10" t="s">
        <v>967</v>
      </c>
      <c r="V288" s="41">
        <f>IF(AND(Q288&lt;&gt;"",RIGHT(Q288,3)&lt;&gt;""),IF(COUNTIF($Q$6:Q288,Q288)=1,1,0),0)</f>
        <v>1</v>
      </c>
      <c r="W288" s="41" t="str">
        <f t="shared" si="25"/>
        <v>NA.25.X.155-1</v>
      </c>
      <c r="X288" s="41" t="str">
        <f t="shared" si="26"/>
        <v>RI.NV.26.VI.038-1</v>
      </c>
    </row>
    <row r="289" s="32" customFormat="1" hidden="1" customHeight="1" spans="1:24">
      <c r="A289" s="34"/>
      <c r="B289" s="51">
        <v>284</v>
      </c>
      <c r="C289" s="51" t="s">
        <v>968</v>
      </c>
      <c r="D289" s="52" t="s">
        <v>969</v>
      </c>
      <c r="E289" s="53">
        <v>1</v>
      </c>
      <c r="F289" s="54" t="s">
        <v>29</v>
      </c>
      <c r="G289" s="54" t="s">
        <v>30</v>
      </c>
      <c r="H289" s="54" t="s">
        <v>463</v>
      </c>
      <c r="I289" s="66">
        <v>45948</v>
      </c>
      <c r="J289" s="54" t="s">
        <v>970</v>
      </c>
      <c r="K289" s="67">
        <v>1</v>
      </c>
      <c r="L289" s="68" t="s">
        <v>971</v>
      </c>
      <c r="M289" s="72" t="str">
        <f t="shared" si="23"/>
        <v>Open File</v>
      </c>
      <c r="N289" s="70" t="s">
        <v>972</v>
      </c>
      <c r="O289" s="71" t="str">
        <f t="shared" si="22"/>
        <v>ACTIVE</v>
      </c>
      <c r="P289" s="66"/>
      <c r="Q289" s="66"/>
      <c r="R289" s="85"/>
      <c r="S289" s="82"/>
      <c r="T289" s="83" t="str">
        <f t="shared" si="24"/>
        <v/>
      </c>
      <c r="U289" s="10"/>
      <c r="V289" s="41">
        <f>IF(AND(Q289&lt;&gt;"",RIGHT(Q289,3)&lt;&gt;""),IF(COUNTIF($Q$6:Q289,Q289)=1,1,0),0)</f>
        <v>0</v>
      </c>
      <c r="W289" s="41" t="str">
        <f t="shared" si="25"/>
        <v>NA.25.X.175-1</v>
      </c>
      <c r="X289" s="41" t="str">
        <f t="shared" si="26"/>
        <v/>
      </c>
    </row>
    <row r="290" s="32" customFormat="1" hidden="1" customHeight="1" spans="1:24">
      <c r="A290" s="34"/>
      <c r="B290" s="51">
        <v>285</v>
      </c>
      <c r="C290" s="51" t="s">
        <v>973</v>
      </c>
      <c r="D290" s="52" t="s">
        <v>974</v>
      </c>
      <c r="E290" s="53">
        <v>1</v>
      </c>
      <c r="F290" s="54" t="s">
        <v>29</v>
      </c>
      <c r="G290" s="54" t="s">
        <v>931</v>
      </c>
      <c r="H290" s="54" t="s">
        <v>524</v>
      </c>
      <c r="I290" s="66">
        <v>45951</v>
      </c>
      <c r="J290" s="54" t="s">
        <v>975</v>
      </c>
      <c r="K290" s="67">
        <v>1</v>
      </c>
      <c r="L290" s="68" t="s">
        <v>976</v>
      </c>
      <c r="M290" s="73" t="str">
        <f t="shared" si="23"/>
        <v>Open File</v>
      </c>
      <c r="N290" s="70" t="s">
        <v>977</v>
      </c>
      <c r="O290" s="71" t="str">
        <f t="shared" si="22"/>
        <v>ACTIVE</v>
      </c>
      <c r="P290" s="66"/>
      <c r="Q290" s="66"/>
      <c r="R290" s="85"/>
      <c r="S290" s="82"/>
      <c r="T290" s="83" t="str">
        <f t="shared" si="24"/>
        <v/>
      </c>
      <c r="U290" s="10"/>
      <c r="V290" s="41">
        <f>IF(AND(Q290&lt;&gt;"",RIGHT(Q290,3)&lt;&gt;""),IF(COUNTIF($Q$6:Q290,Q290)=1,1,0),0)</f>
        <v>0</v>
      </c>
      <c r="W290" s="41" t="str">
        <f t="shared" si="25"/>
        <v>NA.25.X.190-1</v>
      </c>
      <c r="X290" s="41" t="str">
        <f t="shared" si="26"/>
        <v/>
      </c>
    </row>
    <row r="291" s="32" customFormat="1" hidden="1" customHeight="1" spans="1:24">
      <c r="A291" s="34"/>
      <c r="B291" s="51">
        <v>286</v>
      </c>
      <c r="C291" s="51" t="s">
        <v>978</v>
      </c>
      <c r="D291" s="52" t="s">
        <v>979</v>
      </c>
      <c r="E291" s="53">
        <v>1</v>
      </c>
      <c r="F291" s="54" t="s">
        <v>29</v>
      </c>
      <c r="G291" s="54" t="s">
        <v>980</v>
      </c>
      <c r="H291" s="54" t="s">
        <v>37</v>
      </c>
      <c r="I291" s="66">
        <v>45957</v>
      </c>
      <c r="J291" s="54" t="s">
        <v>981</v>
      </c>
      <c r="K291" s="67">
        <v>9</v>
      </c>
      <c r="L291" s="68" t="s">
        <v>982</v>
      </c>
      <c r="M291" s="73" t="str">
        <f t="shared" si="23"/>
        <v>Open File</v>
      </c>
      <c r="N291" s="70" t="s">
        <v>983</v>
      </c>
      <c r="O291" s="71" t="str">
        <f t="shared" si="22"/>
        <v>ACTIVE</v>
      </c>
      <c r="P291" s="66"/>
      <c r="Q291" s="66"/>
      <c r="R291" s="85"/>
      <c r="S291" s="82"/>
      <c r="T291" s="83" t="str">
        <f t="shared" si="24"/>
        <v/>
      </c>
      <c r="U291" s="10"/>
      <c r="V291" s="41">
        <f>IF(AND(Q291&lt;&gt;"",RIGHT(Q291,3)&lt;&gt;""),IF(COUNTIF($Q$6:Q291,Q291)=1,1,0),0)</f>
        <v>0</v>
      </c>
      <c r="W291" s="41" t="str">
        <f t="shared" si="25"/>
        <v>NA.25.X.251-9</v>
      </c>
      <c r="X291" s="41" t="str">
        <f t="shared" si="26"/>
        <v/>
      </c>
    </row>
    <row r="292" s="32" customFormat="1" hidden="1" customHeight="1" spans="1:24">
      <c r="A292" s="34"/>
      <c r="B292" s="51">
        <v>287</v>
      </c>
      <c r="C292" s="51" t="s">
        <v>984</v>
      </c>
      <c r="D292" s="52" t="s">
        <v>985</v>
      </c>
      <c r="E292" s="53">
        <v>1</v>
      </c>
      <c r="F292" s="54" t="s">
        <v>29</v>
      </c>
      <c r="G292" s="54" t="s">
        <v>980</v>
      </c>
      <c r="H292" s="54" t="s">
        <v>37</v>
      </c>
      <c r="I292" s="66">
        <v>45957</v>
      </c>
      <c r="J292" s="54" t="s">
        <v>981</v>
      </c>
      <c r="K292" s="67">
        <v>8</v>
      </c>
      <c r="L292" s="68" t="s">
        <v>986</v>
      </c>
      <c r="M292" s="72" t="str">
        <f t="shared" si="23"/>
        <v>Open File</v>
      </c>
      <c r="N292" s="70" t="s">
        <v>983</v>
      </c>
      <c r="O292" s="71" t="str">
        <f t="shared" si="22"/>
        <v>ACTIVE</v>
      </c>
      <c r="P292" s="66"/>
      <c r="Q292" s="66"/>
      <c r="R292" s="85"/>
      <c r="S292" s="82"/>
      <c r="T292" s="83" t="str">
        <f t="shared" si="24"/>
        <v/>
      </c>
      <c r="U292" s="10"/>
      <c r="V292" s="41">
        <f>IF(AND(Q292&lt;&gt;"",RIGHT(Q292,3)&lt;&gt;""),IF(COUNTIF($Q$6:Q292,Q292)=1,1,0),0)</f>
        <v>0</v>
      </c>
      <c r="W292" s="41" t="str">
        <f t="shared" si="25"/>
        <v>NA.25.X.251-8</v>
      </c>
      <c r="X292" s="41" t="str">
        <f t="shared" si="26"/>
        <v/>
      </c>
    </row>
    <row r="293" s="32" customFormat="1" hidden="1" customHeight="1" spans="1:24">
      <c r="A293" s="34"/>
      <c r="B293" s="51">
        <v>288</v>
      </c>
      <c r="C293" s="51" t="s">
        <v>987</v>
      </c>
      <c r="D293" s="52" t="s">
        <v>586</v>
      </c>
      <c r="E293" s="53">
        <v>1</v>
      </c>
      <c r="F293" s="54" t="s">
        <v>29</v>
      </c>
      <c r="G293" s="54" t="s">
        <v>980</v>
      </c>
      <c r="H293" s="54" t="s">
        <v>37</v>
      </c>
      <c r="I293" s="66">
        <v>45957</v>
      </c>
      <c r="J293" s="54" t="s">
        <v>981</v>
      </c>
      <c r="K293" s="67">
        <v>7</v>
      </c>
      <c r="L293" s="68" t="s">
        <v>988</v>
      </c>
      <c r="M293" s="73" t="str">
        <f t="shared" si="23"/>
        <v>Open File</v>
      </c>
      <c r="N293" s="70" t="s">
        <v>983</v>
      </c>
      <c r="O293" s="71" t="str">
        <f t="shared" si="22"/>
        <v>ACTIVE</v>
      </c>
      <c r="P293" s="66"/>
      <c r="Q293" s="66"/>
      <c r="R293" s="85"/>
      <c r="S293" s="82"/>
      <c r="T293" s="83" t="str">
        <f t="shared" si="24"/>
        <v/>
      </c>
      <c r="U293" s="10"/>
      <c r="V293" s="41">
        <f>IF(AND(Q293&lt;&gt;"",RIGHT(Q293,3)&lt;&gt;""),IF(COUNTIF($Q$6:Q293,Q293)=1,1,0),0)</f>
        <v>0</v>
      </c>
      <c r="W293" s="41" t="str">
        <f t="shared" si="25"/>
        <v>NA.25.X.251-7</v>
      </c>
      <c r="X293" s="41" t="str">
        <f t="shared" si="26"/>
        <v/>
      </c>
    </row>
    <row r="294" s="32" customFormat="1" hidden="1" customHeight="1" spans="1:24">
      <c r="A294" s="34"/>
      <c r="B294" s="51">
        <v>289</v>
      </c>
      <c r="C294" s="51" t="s">
        <v>989</v>
      </c>
      <c r="D294" s="52" t="s">
        <v>990</v>
      </c>
      <c r="E294" s="53">
        <v>1</v>
      </c>
      <c r="F294" s="54" t="s">
        <v>29</v>
      </c>
      <c r="G294" s="54" t="s">
        <v>980</v>
      </c>
      <c r="H294" s="54" t="s">
        <v>37</v>
      </c>
      <c r="I294" s="66">
        <v>45957</v>
      </c>
      <c r="J294" s="54" t="s">
        <v>981</v>
      </c>
      <c r="K294" s="67">
        <v>6</v>
      </c>
      <c r="L294" s="68" t="s">
        <v>991</v>
      </c>
      <c r="M294" s="73" t="str">
        <f t="shared" si="23"/>
        <v>Open File</v>
      </c>
      <c r="N294" s="70" t="s">
        <v>983</v>
      </c>
      <c r="O294" s="71" t="str">
        <f t="shared" si="22"/>
        <v>ACTIVE</v>
      </c>
      <c r="P294" s="66"/>
      <c r="Q294" s="66"/>
      <c r="R294" s="85"/>
      <c r="S294" s="82"/>
      <c r="T294" s="83" t="str">
        <f t="shared" si="24"/>
        <v/>
      </c>
      <c r="U294" s="10"/>
      <c r="V294" s="41">
        <f>IF(AND(Q294&lt;&gt;"",RIGHT(Q294,3)&lt;&gt;""),IF(COUNTIF($Q$6:Q294,Q294)=1,1,0),0)</f>
        <v>0</v>
      </c>
      <c r="W294" s="41" t="str">
        <f t="shared" si="25"/>
        <v>NA.25.X.251-6</v>
      </c>
      <c r="X294" s="41" t="str">
        <f t="shared" si="26"/>
        <v/>
      </c>
    </row>
    <row r="295" s="32" customFormat="1" hidden="1" customHeight="1" spans="1:24">
      <c r="A295" s="34"/>
      <c r="B295" s="51">
        <v>290</v>
      </c>
      <c r="C295" s="51" t="s">
        <v>992</v>
      </c>
      <c r="D295" s="52" t="s">
        <v>993</v>
      </c>
      <c r="E295" s="53">
        <v>1</v>
      </c>
      <c r="F295" s="54" t="s">
        <v>29</v>
      </c>
      <c r="G295" s="54" t="s">
        <v>980</v>
      </c>
      <c r="H295" s="54" t="s">
        <v>37</v>
      </c>
      <c r="I295" s="66">
        <v>45957</v>
      </c>
      <c r="J295" s="54" t="s">
        <v>981</v>
      </c>
      <c r="K295" s="67">
        <v>5</v>
      </c>
      <c r="L295" s="68" t="s">
        <v>994</v>
      </c>
      <c r="M295" s="73" t="str">
        <f t="shared" si="23"/>
        <v>Open File</v>
      </c>
      <c r="N295" s="70" t="s">
        <v>983</v>
      </c>
      <c r="O295" s="71" t="str">
        <f t="shared" si="22"/>
        <v>ACTIVE</v>
      </c>
      <c r="P295" s="66"/>
      <c r="Q295" s="66"/>
      <c r="R295" s="85"/>
      <c r="S295" s="82"/>
      <c r="T295" s="83" t="str">
        <f t="shared" si="24"/>
        <v/>
      </c>
      <c r="U295" s="10"/>
      <c r="V295" s="41">
        <f>IF(AND(Q295&lt;&gt;"",RIGHT(Q295,3)&lt;&gt;""),IF(COUNTIF($Q$6:Q295,Q295)=1,1,0),0)</f>
        <v>0</v>
      </c>
      <c r="W295" s="41" t="str">
        <f t="shared" si="25"/>
        <v>NA.25.X.251-5</v>
      </c>
      <c r="X295" s="41" t="str">
        <f t="shared" si="26"/>
        <v/>
      </c>
    </row>
    <row r="296" s="32" customFormat="1" hidden="1" customHeight="1" spans="1:24">
      <c r="A296" s="34"/>
      <c r="B296" s="51">
        <v>291</v>
      </c>
      <c r="C296" s="51" t="s">
        <v>995</v>
      </c>
      <c r="D296" s="52" t="s">
        <v>996</v>
      </c>
      <c r="E296" s="53">
        <v>1</v>
      </c>
      <c r="F296" s="54" t="s">
        <v>29</v>
      </c>
      <c r="G296" s="54" t="s">
        <v>980</v>
      </c>
      <c r="H296" s="54" t="s">
        <v>37</v>
      </c>
      <c r="I296" s="66">
        <v>45957</v>
      </c>
      <c r="J296" s="54" t="s">
        <v>981</v>
      </c>
      <c r="K296" s="67">
        <v>4</v>
      </c>
      <c r="L296" s="68" t="s">
        <v>997</v>
      </c>
      <c r="M296" s="73" t="str">
        <f t="shared" si="23"/>
        <v>Open File</v>
      </c>
      <c r="N296" s="70" t="s">
        <v>983</v>
      </c>
      <c r="O296" s="71" t="str">
        <f t="shared" si="22"/>
        <v>ACTIVE</v>
      </c>
      <c r="P296" s="66"/>
      <c r="Q296" s="66"/>
      <c r="R296" s="85"/>
      <c r="S296" s="82"/>
      <c r="T296" s="83" t="str">
        <f t="shared" si="24"/>
        <v/>
      </c>
      <c r="U296" s="10"/>
      <c r="V296" s="41">
        <f>IF(AND(Q296&lt;&gt;"",RIGHT(Q296,3)&lt;&gt;""),IF(COUNTIF($Q$6:Q296,Q296)=1,1,0),0)</f>
        <v>0</v>
      </c>
      <c r="W296" s="41" t="str">
        <f t="shared" si="25"/>
        <v>NA.25.X.251-4</v>
      </c>
      <c r="X296" s="41" t="str">
        <f t="shared" si="26"/>
        <v/>
      </c>
    </row>
    <row r="297" s="32" customFormat="1" hidden="1" customHeight="1" spans="1:24">
      <c r="A297" s="34"/>
      <c r="B297" s="51">
        <v>292</v>
      </c>
      <c r="C297" s="51" t="s">
        <v>998</v>
      </c>
      <c r="D297" s="52" t="s">
        <v>999</v>
      </c>
      <c r="E297" s="53">
        <v>1</v>
      </c>
      <c r="F297" s="54" t="s">
        <v>29</v>
      </c>
      <c r="G297" s="54" t="s">
        <v>980</v>
      </c>
      <c r="H297" s="54" t="s">
        <v>37</v>
      </c>
      <c r="I297" s="66">
        <v>45957</v>
      </c>
      <c r="J297" s="54" t="s">
        <v>981</v>
      </c>
      <c r="K297" s="67">
        <v>3</v>
      </c>
      <c r="L297" s="68" t="s">
        <v>1000</v>
      </c>
      <c r="M297" s="73" t="str">
        <f t="shared" si="23"/>
        <v>Open File</v>
      </c>
      <c r="N297" s="70" t="s">
        <v>983</v>
      </c>
      <c r="O297" s="71" t="str">
        <f t="shared" si="22"/>
        <v>ACTIVE</v>
      </c>
      <c r="P297" s="66"/>
      <c r="Q297" s="66"/>
      <c r="R297" s="85"/>
      <c r="S297" s="82"/>
      <c r="T297" s="83" t="str">
        <f t="shared" si="24"/>
        <v/>
      </c>
      <c r="U297" s="10"/>
      <c r="V297" s="41">
        <f>IF(AND(Q297&lt;&gt;"",RIGHT(Q297,3)&lt;&gt;""),IF(COUNTIF($Q$6:Q297,Q297)=1,1,0),0)</f>
        <v>0</v>
      </c>
      <c r="W297" s="41" t="str">
        <f t="shared" si="25"/>
        <v>NA.25.X.251-3</v>
      </c>
      <c r="X297" s="41" t="str">
        <f t="shared" si="26"/>
        <v/>
      </c>
    </row>
    <row r="298" s="32" customFormat="1" hidden="1" customHeight="1" spans="1:24">
      <c r="A298" s="34"/>
      <c r="B298" s="51">
        <v>293</v>
      </c>
      <c r="C298" s="51" t="s">
        <v>1001</v>
      </c>
      <c r="D298" s="52" t="s">
        <v>1002</v>
      </c>
      <c r="E298" s="53">
        <v>1</v>
      </c>
      <c r="F298" s="54" t="s">
        <v>29</v>
      </c>
      <c r="G298" s="54" t="s">
        <v>980</v>
      </c>
      <c r="H298" s="54" t="s">
        <v>37</v>
      </c>
      <c r="I298" s="66">
        <v>45957</v>
      </c>
      <c r="J298" s="54" t="s">
        <v>981</v>
      </c>
      <c r="K298" s="67">
        <v>2</v>
      </c>
      <c r="L298" s="68" t="s">
        <v>1003</v>
      </c>
      <c r="M298" s="97" t="str">
        <f t="shared" si="23"/>
        <v>Open File</v>
      </c>
      <c r="N298" s="70" t="s">
        <v>1004</v>
      </c>
      <c r="O298" s="71" t="str">
        <f t="shared" si="22"/>
        <v>ACTIVE</v>
      </c>
      <c r="P298" s="66"/>
      <c r="Q298" s="66"/>
      <c r="R298" s="85"/>
      <c r="S298" s="82"/>
      <c r="T298" s="83" t="str">
        <f t="shared" si="24"/>
        <v/>
      </c>
      <c r="U298" s="10"/>
      <c r="V298" s="41">
        <f>IF(AND(Q298&lt;&gt;"",RIGHT(Q298,3)&lt;&gt;""),IF(COUNTIF($Q$6:Q298,Q298)=1,1,0),0)</f>
        <v>0</v>
      </c>
      <c r="W298" s="41" t="str">
        <f t="shared" si="25"/>
        <v>NA.25.X.251-2</v>
      </c>
      <c r="X298" s="41" t="str">
        <f t="shared" si="26"/>
        <v/>
      </c>
    </row>
    <row r="299" s="32" customFormat="1" hidden="1" customHeight="1" spans="1:24">
      <c r="A299" s="34"/>
      <c r="B299" s="51">
        <v>294</v>
      </c>
      <c r="C299" s="51" t="s">
        <v>1005</v>
      </c>
      <c r="D299" s="52" t="s">
        <v>1006</v>
      </c>
      <c r="E299" s="53">
        <v>1</v>
      </c>
      <c r="F299" s="54" t="s">
        <v>29</v>
      </c>
      <c r="G299" s="54" t="s">
        <v>980</v>
      </c>
      <c r="H299" s="54" t="s">
        <v>37</v>
      </c>
      <c r="I299" s="66">
        <v>45957</v>
      </c>
      <c r="J299" s="54" t="s">
        <v>981</v>
      </c>
      <c r="K299" s="67">
        <v>1</v>
      </c>
      <c r="L299" s="68" t="s">
        <v>1007</v>
      </c>
      <c r="M299" s="97" t="str">
        <f t="shared" si="23"/>
        <v>Open File</v>
      </c>
      <c r="N299" s="70" t="s">
        <v>1008</v>
      </c>
      <c r="O299" s="71" t="str">
        <f t="shared" si="22"/>
        <v>PASSIVE</v>
      </c>
      <c r="P299" s="66">
        <v>46181</v>
      </c>
      <c r="Q299" s="66" t="s">
        <v>248</v>
      </c>
      <c r="R299" s="85" t="s">
        <v>226</v>
      </c>
      <c r="S299" s="82" t="s">
        <v>1009</v>
      </c>
      <c r="T299" s="83" t="str">
        <f t="shared" si="24"/>
        <v>Open File</v>
      </c>
      <c r="U299" s="10" t="s">
        <v>251</v>
      </c>
      <c r="V299" s="41">
        <f>IF(AND(Q299&lt;&gt;"",RIGHT(Q299,3)&lt;&gt;""),IF(COUNTIF($Q$6:Q299,Q299)=1,1,0),0)</f>
        <v>0</v>
      </c>
      <c r="W299" s="41" t="str">
        <f t="shared" si="25"/>
        <v>NA.25.X.251-1</v>
      </c>
      <c r="X299" s="41" t="str">
        <f t="shared" si="26"/>
        <v>RI.NV.26.VI.008-1</v>
      </c>
    </row>
    <row r="300" s="32" customFormat="1" hidden="1" customHeight="1" spans="1:24">
      <c r="A300" s="34"/>
      <c r="B300" s="51">
        <v>295</v>
      </c>
      <c r="C300" s="51" t="s">
        <v>1010</v>
      </c>
      <c r="D300" s="52" t="s">
        <v>1011</v>
      </c>
      <c r="E300" s="53">
        <v>1</v>
      </c>
      <c r="F300" s="54" t="s">
        <v>29</v>
      </c>
      <c r="G300" s="54" t="s">
        <v>481</v>
      </c>
      <c r="H300" s="54" t="s">
        <v>375</v>
      </c>
      <c r="I300" s="66">
        <v>45964</v>
      </c>
      <c r="J300" s="54" t="s">
        <v>1012</v>
      </c>
      <c r="K300" s="67">
        <v>2</v>
      </c>
      <c r="L300" s="68" t="s">
        <v>1013</v>
      </c>
      <c r="M300" s="97" t="str">
        <f t="shared" si="23"/>
        <v>Open File</v>
      </c>
      <c r="N300" s="70" t="s">
        <v>1014</v>
      </c>
      <c r="O300" s="71" t="str">
        <f t="shared" si="22"/>
        <v>ACTIVE</v>
      </c>
      <c r="P300" s="66"/>
      <c r="Q300" s="66"/>
      <c r="R300" s="85"/>
      <c r="S300" s="82"/>
      <c r="T300" s="83" t="str">
        <f t="shared" si="24"/>
        <v/>
      </c>
      <c r="U300" s="10"/>
      <c r="V300" s="41">
        <f>IF(AND(Q300&lt;&gt;"",RIGHT(Q300,3)&lt;&gt;""),IF(COUNTIF($Q$6:Q300,Q300)=1,1,0),0)</f>
        <v>0</v>
      </c>
      <c r="W300" s="41" t="str">
        <f t="shared" si="25"/>
        <v>NA.25.XI.018-2</v>
      </c>
      <c r="X300" s="41" t="str">
        <f t="shared" si="26"/>
        <v/>
      </c>
    </row>
    <row r="301" s="32" customFormat="1" hidden="1" customHeight="1" spans="1:24">
      <c r="A301" s="34"/>
      <c r="B301" s="51">
        <v>296</v>
      </c>
      <c r="C301" s="51" t="s">
        <v>1015</v>
      </c>
      <c r="D301" s="52" t="s">
        <v>1016</v>
      </c>
      <c r="E301" s="53">
        <v>1</v>
      </c>
      <c r="F301" s="54" t="s">
        <v>66</v>
      </c>
      <c r="G301" s="54" t="s">
        <v>1017</v>
      </c>
      <c r="H301" s="54" t="s">
        <v>524</v>
      </c>
      <c r="I301" s="66">
        <v>45965</v>
      </c>
      <c r="J301" s="54" t="s">
        <v>1018</v>
      </c>
      <c r="K301" s="67">
        <v>3</v>
      </c>
      <c r="L301" s="68" t="s">
        <v>1019</v>
      </c>
      <c r="M301" s="97" t="str">
        <f t="shared" si="23"/>
        <v>Open File</v>
      </c>
      <c r="N301" s="70" t="s">
        <v>921</v>
      </c>
      <c r="O301" s="71" t="str">
        <f t="shared" si="22"/>
        <v>ACTIVE</v>
      </c>
      <c r="P301" s="66"/>
      <c r="Q301" s="66"/>
      <c r="R301" s="85"/>
      <c r="S301" s="82"/>
      <c r="T301" s="83" t="str">
        <f t="shared" si="24"/>
        <v/>
      </c>
      <c r="U301" s="10"/>
      <c r="V301" s="41">
        <f>IF(AND(Q301&lt;&gt;"",RIGHT(Q301,3)&lt;&gt;""),IF(COUNTIF($Q$6:Q301,Q301)=1,1,0),0)</f>
        <v>0</v>
      </c>
      <c r="W301" s="41" t="str">
        <f t="shared" si="25"/>
        <v>NA.25.XI.030-3</v>
      </c>
      <c r="X301" s="41" t="str">
        <f t="shared" si="26"/>
        <v/>
      </c>
    </row>
    <row r="302" s="32" customFormat="1" hidden="1" customHeight="1" spans="1:24">
      <c r="A302" s="34"/>
      <c r="B302" s="51">
        <v>297</v>
      </c>
      <c r="C302" s="51" t="s">
        <v>1020</v>
      </c>
      <c r="D302" s="52" t="s">
        <v>203</v>
      </c>
      <c r="E302" s="53">
        <v>2</v>
      </c>
      <c r="F302" s="54" t="s">
        <v>66</v>
      </c>
      <c r="G302" s="54" t="s">
        <v>913</v>
      </c>
      <c r="H302" s="54" t="s">
        <v>524</v>
      </c>
      <c r="I302" s="66">
        <v>45968</v>
      </c>
      <c r="J302" s="54" t="s">
        <v>1021</v>
      </c>
      <c r="K302" s="67">
        <v>4</v>
      </c>
      <c r="L302" s="68" t="s">
        <v>1022</v>
      </c>
      <c r="M302" s="97" t="str">
        <f t="shared" si="23"/>
        <v>Open File</v>
      </c>
      <c r="N302" s="70" t="s">
        <v>921</v>
      </c>
      <c r="O302" s="71" t="str">
        <f t="shared" si="22"/>
        <v>ACTIVE</v>
      </c>
      <c r="P302" s="99"/>
      <c r="Q302" s="99"/>
      <c r="R302" s="102"/>
      <c r="S302" s="103"/>
      <c r="T302" s="104" t="str">
        <f t="shared" si="24"/>
        <v/>
      </c>
      <c r="U302" s="105" t="s">
        <v>1023</v>
      </c>
      <c r="V302" s="41">
        <f>IF(AND(Q302&lt;&gt;"",RIGHT(Q302,3)&lt;&gt;""),IF(COUNTIF($Q$6:Q302,Q302)=1,1,0),0)</f>
        <v>0</v>
      </c>
      <c r="W302" s="41" t="str">
        <f t="shared" si="25"/>
        <v>NA.25.XI.055-4</v>
      </c>
      <c r="X302" s="41" t="str">
        <f t="shared" si="26"/>
        <v/>
      </c>
    </row>
    <row r="303" s="32" customFormat="1" hidden="1" customHeight="1" spans="1:24">
      <c r="A303" s="34"/>
      <c r="B303" s="51">
        <v>298</v>
      </c>
      <c r="C303" s="51" t="s">
        <v>1024</v>
      </c>
      <c r="D303" s="52" t="s">
        <v>112</v>
      </c>
      <c r="E303" s="53">
        <v>1</v>
      </c>
      <c r="F303" s="54" t="s">
        <v>66</v>
      </c>
      <c r="G303" s="54" t="s">
        <v>1025</v>
      </c>
      <c r="H303" s="54" t="s">
        <v>37</v>
      </c>
      <c r="I303" s="66">
        <v>45971</v>
      </c>
      <c r="J303" s="54" t="s">
        <v>1026</v>
      </c>
      <c r="K303" s="67">
        <v>5</v>
      </c>
      <c r="L303" s="68" t="s">
        <v>1027</v>
      </c>
      <c r="M303" s="97" t="str">
        <f t="shared" si="23"/>
        <v>Open File</v>
      </c>
      <c r="N303" s="70" t="s">
        <v>1028</v>
      </c>
      <c r="O303" s="71" t="str">
        <f t="shared" si="22"/>
        <v>ACTIVE</v>
      </c>
      <c r="P303" s="66"/>
      <c r="Q303" s="66"/>
      <c r="R303" s="85"/>
      <c r="S303" s="82"/>
      <c r="T303" s="83" t="str">
        <f t="shared" si="24"/>
        <v/>
      </c>
      <c r="U303" s="10"/>
      <c r="V303" s="41">
        <f>IF(AND(Q303&lt;&gt;"",RIGHT(Q303,3)&lt;&gt;""),IF(COUNTIF($Q$6:Q303,Q303)=1,1,0),0)</f>
        <v>0</v>
      </c>
      <c r="W303" s="41" t="str">
        <f t="shared" si="25"/>
        <v>NA.25.XI.074-5</v>
      </c>
      <c r="X303" s="41" t="str">
        <f t="shared" si="26"/>
        <v/>
      </c>
    </row>
    <row r="304" s="32" customFormat="1" hidden="1" customHeight="1" spans="1:24">
      <c r="A304" s="34"/>
      <c r="B304" s="51">
        <v>299</v>
      </c>
      <c r="C304" s="51" t="s">
        <v>1029</v>
      </c>
      <c r="D304" s="52" t="s">
        <v>1030</v>
      </c>
      <c r="E304" s="53">
        <v>1</v>
      </c>
      <c r="F304" s="54" t="s">
        <v>29</v>
      </c>
      <c r="G304" s="54" t="s">
        <v>1031</v>
      </c>
      <c r="H304" s="54" t="s">
        <v>1032</v>
      </c>
      <c r="I304" s="66">
        <v>45973</v>
      </c>
      <c r="J304" s="54" t="s">
        <v>1033</v>
      </c>
      <c r="K304" s="67">
        <v>6</v>
      </c>
      <c r="L304" s="68" t="s">
        <v>1034</v>
      </c>
      <c r="M304" s="97" t="str">
        <f t="shared" si="23"/>
        <v>Open File</v>
      </c>
      <c r="N304" s="70" t="s">
        <v>1035</v>
      </c>
      <c r="O304" s="71" t="str">
        <f t="shared" si="22"/>
        <v>ACTIVE</v>
      </c>
      <c r="P304" s="66"/>
      <c r="Q304" s="66"/>
      <c r="R304" s="85"/>
      <c r="S304" s="82"/>
      <c r="T304" s="83" t="str">
        <f t="shared" si="24"/>
        <v/>
      </c>
      <c r="U304" s="10"/>
      <c r="V304" s="41">
        <f>IF(AND(Q304&lt;&gt;"",RIGHT(Q304,3)&lt;&gt;""),IF(COUNTIF($Q$6:Q304,Q304)=1,1,0),0)</f>
        <v>0</v>
      </c>
      <c r="W304" s="41" t="str">
        <f t="shared" si="25"/>
        <v>NA.25.XI.098-6</v>
      </c>
      <c r="X304" s="41" t="str">
        <f t="shared" si="26"/>
        <v/>
      </c>
    </row>
    <row r="305" s="32" customFormat="1" hidden="1" customHeight="1" spans="1:24">
      <c r="A305" s="34"/>
      <c r="B305" s="51">
        <v>300</v>
      </c>
      <c r="C305" s="51" t="s">
        <v>1036</v>
      </c>
      <c r="D305" s="52" t="s">
        <v>1037</v>
      </c>
      <c r="E305" s="53">
        <v>1</v>
      </c>
      <c r="F305" s="54" t="s">
        <v>29</v>
      </c>
      <c r="G305" s="54" t="s">
        <v>1038</v>
      </c>
      <c r="H305" s="54" t="s">
        <v>322</v>
      </c>
      <c r="I305" s="66">
        <v>45973</v>
      </c>
      <c r="J305" s="54" t="s">
        <v>1039</v>
      </c>
      <c r="K305" s="67">
        <v>7</v>
      </c>
      <c r="L305" s="68" t="s">
        <v>1040</v>
      </c>
      <c r="M305" s="97" t="str">
        <f t="shared" si="23"/>
        <v>Open File</v>
      </c>
      <c r="N305" s="70" t="s">
        <v>1041</v>
      </c>
      <c r="O305" s="71" t="str">
        <f t="shared" si="22"/>
        <v>PASSIVE</v>
      </c>
      <c r="P305" s="66">
        <v>46171</v>
      </c>
      <c r="Q305" s="66" t="s">
        <v>1042</v>
      </c>
      <c r="R305" s="85" t="s">
        <v>226</v>
      </c>
      <c r="S305" s="82" t="s">
        <v>1043</v>
      </c>
      <c r="T305" s="83" t="str">
        <f t="shared" si="24"/>
        <v>Open File</v>
      </c>
      <c r="U305" s="10" t="s">
        <v>1044</v>
      </c>
      <c r="V305" s="41">
        <f>IF(AND(Q305&lt;&gt;"",RIGHT(Q305,3)&lt;&gt;""),IF(COUNTIF($Q$6:Q305,Q305)=1,1,0),0)</f>
        <v>1</v>
      </c>
      <c r="W305" s="41" t="str">
        <f t="shared" si="25"/>
        <v>NA.25.XI.105-7</v>
      </c>
      <c r="X305" s="41" t="str">
        <f t="shared" si="26"/>
        <v>BA.05.WHEAD.0526.8270-1</v>
      </c>
    </row>
    <row r="306" s="32" customFormat="1" hidden="1" customHeight="1" spans="1:24">
      <c r="A306" s="34"/>
      <c r="B306" s="51">
        <v>301</v>
      </c>
      <c r="C306" s="51" t="s">
        <v>1045</v>
      </c>
      <c r="D306" s="52" t="s">
        <v>1046</v>
      </c>
      <c r="E306" s="53">
        <v>1</v>
      </c>
      <c r="F306" s="54" t="s">
        <v>66</v>
      </c>
      <c r="G306" s="54" t="s">
        <v>1031</v>
      </c>
      <c r="H306" s="54" t="s">
        <v>1032</v>
      </c>
      <c r="I306" s="66">
        <v>45973</v>
      </c>
      <c r="J306" s="54" t="s">
        <v>1047</v>
      </c>
      <c r="K306" s="67">
        <v>2</v>
      </c>
      <c r="L306" s="68" t="s">
        <v>1048</v>
      </c>
      <c r="M306" s="97" t="str">
        <f t="shared" si="23"/>
        <v>Open File</v>
      </c>
      <c r="N306" s="70" t="s">
        <v>1049</v>
      </c>
      <c r="O306" s="71" t="str">
        <f t="shared" si="22"/>
        <v>ACTIVE</v>
      </c>
      <c r="P306" s="66"/>
      <c r="Q306" s="66"/>
      <c r="R306" s="85"/>
      <c r="S306" s="82"/>
      <c r="T306" s="83" t="str">
        <f t="shared" si="24"/>
        <v/>
      </c>
      <c r="U306" s="10"/>
      <c r="V306" s="41">
        <f>IF(AND(Q306&lt;&gt;"",RIGHT(Q306,3)&lt;&gt;""),IF(COUNTIF($Q$6:Q306,Q306)=1,1,0),0)</f>
        <v>0</v>
      </c>
      <c r="W306" s="41" t="str">
        <f t="shared" si="25"/>
        <v>NA.25.XI.108-2</v>
      </c>
      <c r="X306" s="41" t="str">
        <f t="shared" si="26"/>
        <v/>
      </c>
    </row>
    <row r="307" s="32" customFormat="1" hidden="1" customHeight="1" spans="1:24">
      <c r="A307" s="34"/>
      <c r="B307" s="51">
        <v>302</v>
      </c>
      <c r="C307" s="51" t="s">
        <v>1050</v>
      </c>
      <c r="D307" s="52" t="s">
        <v>1051</v>
      </c>
      <c r="E307" s="53">
        <v>1</v>
      </c>
      <c r="F307" s="54" t="s">
        <v>66</v>
      </c>
      <c r="G307" s="54" t="s">
        <v>1031</v>
      </c>
      <c r="H307" s="54" t="s">
        <v>1032</v>
      </c>
      <c r="I307" s="66">
        <v>45973</v>
      </c>
      <c r="J307" s="54" t="s">
        <v>1047</v>
      </c>
      <c r="K307" s="67">
        <v>1</v>
      </c>
      <c r="L307" s="68" t="s">
        <v>1052</v>
      </c>
      <c r="M307" s="97" t="str">
        <f t="shared" si="23"/>
        <v>Open File</v>
      </c>
      <c r="N307" s="70" t="s">
        <v>1049</v>
      </c>
      <c r="O307" s="71" t="str">
        <f t="shared" si="22"/>
        <v>ACTIVE</v>
      </c>
      <c r="P307" s="66"/>
      <c r="Q307" s="66"/>
      <c r="R307" s="85"/>
      <c r="S307" s="82"/>
      <c r="T307" s="83" t="str">
        <f t="shared" si="24"/>
        <v/>
      </c>
      <c r="U307" s="10"/>
      <c r="V307" s="41">
        <f>IF(AND(Q307&lt;&gt;"",RIGHT(Q307,3)&lt;&gt;""),IF(COUNTIF($Q$6:Q307,Q307)=1,1,0),0)</f>
        <v>0</v>
      </c>
      <c r="W307" s="41" t="str">
        <f t="shared" si="25"/>
        <v>NA.25.XI.108-1</v>
      </c>
      <c r="X307" s="41" t="str">
        <f t="shared" si="26"/>
        <v/>
      </c>
    </row>
    <row r="308" s="32" customFormat="1" hidden="1" customHeight="1" spans="1:24">
      <c r="A308" s="34"/>
      <c r="B308" s="51">
        <v>303</v>
      </c>
      <c r="C308" s="51" t="s">
        <v>1053</v>
      </c>
      <c r="D308" s="52" t="s">
        <v>1037</v>
      </c>
      <c r="E308" s="53">
        <v>1</v>
      </c>
      <c r="F308" s="54" t="s">
        <v>29</v>
      </c>
      <c r="G308" s="54" t="s">
        <v>1054</v>
      </c>
      <c r="H308" s="54" t="s">
        <v>322</v>
      </c>
      <c r="I308" s="66">
        <v>45973</v>
      </c>
      <c r="J308" s="54" t="s">
        <v>1055</v>
      </c>
      <c r="K308" s="67">
        <v>1</v>
      </c>
      <c r="L308" s="68" t="s">
        <v>1056</v>
      </c>
      <c r="M308" s="97" t="str">
        <f t="shared" si="23"/>
        <v>Open File</v>
      </c>
      <c r="N308" s="70" t="s">
        <v>1057</v>
      </c>
      <c r="O308" s="71" t="str">
        <f t="shared" si="22"/>
        <v>PASSIVE</v>
      </c>
      <c r="P308" s="66">
        <v>46165</v>
      </c>
      <c r="Q308" s="66" t="s">
        <v>1058</v>
      </c>
      <c r="R308" s="85" t="s">
        <v>226</v>
      </c>
      <c r="S308" s="82" t="s">
        <v>1059</v>
      </c>
      <c r="T308" s="83" t="str">
        <f t="shared" si="24"/>
        <v>Open File</v>
      </c>
      <c r="U308" s="10" t="s">
        <v>1044</v>
      </c>
      <c r="V308" s="41">
        <f>IF(AND(Q308&lt;&gt;"",RIGHT(Q308,3)&lt;&gt;""),IF(COUNTIF($Q$6:Q308,Q308)=1,1,0),0)</f>
        <v>1</v>
      </c>
      <c r="W308" s="41" t="str">
        <f t="shared" si="25"/>
        <v>NA.25.XI.111-1</v>
      </c>
      <c r="X308" s="41" t="str">
        <f t="shared" si="26"/>
        <v>BA.03.HEAD.0526.8602-1</v>
      </c>
    </row>
    <row r="309" s="32" customFormat="1" hidden="1" customHeight="1" spans="1:24">
      <c r="A309" s="34"/>
      <c r="B309" s="51">
        <v>304</v>
      </c>
      <c r="C309" s="51" t="s">
        <v>1060</v>
      </c>
      <c r="D309" s="52" t="s">
        <v>81</v>
      </c>
      <c r="E309" s="53">
        <v>1</v>
      </c>
      <c r="F309" s="54" t="s">
        <v>66</v>
      </c>
      <c r="G309" s="54" t="s">
        <v>1025</v>
      </c>
      <c r="H309" s="54" t="s">
        <v>37</v>
      </c>
      <c r="I309" s="66">
        <v>45975</v>
      </c>
      <c r="J309" s="54" t="s">
        <v>1061</v>
      </c>
      <c r="K309" s="67">
        <v>1</v>
      </c>
      <c r="L309" s="68" t="s">
        <v>1062</v>
      </c>
      <c r="M309" s="97" t="str">
        <f t="shared" si="23"/>
        <v>Open File</v>
      </c>
      <c r="N309" s="70" t="s">
        <v>1063</v>
      </c>
      <c r="O309" s="71" t="str">
        <f t="shared" si="22"/>
        <v>ACTIVE</v>
      </c>
      <c r="P309" s="66"/>
      <c r="Q309" s="66"/>
      <c r="R309" s="85"/>
      <c r="S309" s="82"/>
      <c r="T309" s="83" t="str">
        <f t="shared" si="24"/>
        <v/>
      </c>
      <c r="U309" s="10"/>
      <c r="V309" s="41">
        <f>IF(AND(Q309&lt;&gt;"",RIGHT(Q309,3)&lt;&gt;""),IF(COUNTIF($Q$6:Q309,Q309)=1,1,0),0)</f>
        <v>0</v>
      </c>
      <c r="W309" s="41" t="str">
        <f t="shared" si="25"/>
        <v>NA.25.XI.013-1</v>
      </c>
      <c r="X309" s="41" t="str">
        <f t="shared" si="26"/>
        <v/>
      </c>
    </row>
    <row r="310" s="32" customFormat="1" hidden="1" customHeight="1" spans="1:24">
      <c r="A310" s="34"/>
      <c r="B310" s="51">
        <v>305</v>
      </c>
      <c r="C310" s="51" t="s">
        <v>1064</v>
      </c>
      <c r="D310" s="52" t="s">
        <v>305</v>
      </c>
      <c r="E310" s="53">
        <v>1</v>
      </c>
      <c r="F310" s="54" t="s">
        <v>29</v>
      </c>
      <c r="G310" s="54" t="s">
        <v>1065</v>
      </c>
      <c r="H310" s="54" t="s">
        <v>37</v>
      </c>
      <c r="I310" s="66">
        <v>45979</v>
      </c>
      <c r="J310" s="54" t="s">
        <v>1066</v>
      </c>
      <c r="K310" s="67">
        <v>3</v>
      </c>
      <c r="L310" s="68" t="s">
        <v>1067</v>
      </c>
      <c r="M310" s="97" t="str">
        <f t="shared" si="23"/>
        <v>Open File</v>
      </c>
      <c r="N310" s="70" t="s">
        <v>1068</v>
      </c>
      <c r="O310" s="71" t="str">
        <f t="shared" si="22"/>
        <v>ACTIVE</v>
      </c>
      <c r="P310" s="66"/>
      <c r="Q310" s="66"/>
      <c r="R310" s="85"/>
      <c r="S310" s="82"/>
      <c r="T310" s="83" t="str">
        <f t="shared" si="24"/>
        <v/>
      </c>
      <c r="U310" s="10"/>
      <c r="V310" s="41">
        <f>IF(AND(Q310&lt;&gt;"",RIGHT(Q310,3)&lt;&gt;""),IF(COUNTIF($Q$6:Q310,Q310)=1,1,0),0)</f>
        <v>0</v>
      </c>
      <c r="W310" s="41" t="str">
        <f t="shared" si="25"/>
        <v>NA.25.XI.172-3</v>
      </c>
      <c r="X310" s="41" t="str">
        <f t="shared" si="26"/>
        <v/>
      </c>
    </row>
    <row r="311" s="32" customFormat="1" hidden="1" customHeight="1" spans="1:24">
      <c r="A311" s="34"/>
      <c r="B311" s="51">
        <v>306</v>
      </c>
      <c r="C311" s="51" t="s">
        <v>1069</v>
      </c>
      <c r="D311" s="52" t="s">
        <v>311</v>
      </c>
      <c r="E311" s="53">
        <v>1</v>
      </c>
      <c r="F311" s="54" t="s">
        <v>29</v>
      </c>
      <c r="G311" s="54" t="s">
        <v>1065</v>
      </c>
      <c r="H311" s="54" t="s">
        <v>37</v>
      </c>
      <c r="I311" s="66">
        <v>45979</v>
      </c>
      <c r="J311" s="54" t="s">
        <v>1066</v>
      </c>
      <c r="K311" s="67">
        <v>2</v>
      </c>
      <c r="L311" s="68" t="s">
        <v>1070</v>
      </c>
      <c r="M311" s="97" t="str">
        <f t="shared" si="23"/>
        <v>Open File</v>
      </c>
      <c r="N311" s="70" t="s">
        <v>1068</v>
      </c>
      <c r="O311" s="71" t="str">
        <f t="shared" si="22"/>
        <v>PASSIVE</v>
      </c>
      <c r="P311" s="66">
        <v>46022</v>
      </c>
      <c r="Q311" s="66" t="s">
        <v>1071</v>
      </c>
      <c r="R311" s="85">
        <v>1</v>
      </c>
      <c r="S311" s="106" t="s">
        <v>1072</v>
      </c>
      <c r="T311" s="95" t="str">
        <f t="shared" si="24"/>
        <v>Open File</v>
      </c>
      <c r="U311" s="10" t="s">
        <v>1073</v>
      </c>
      <c r="V311" s="41">
        <f>IF(AND(Q311&lt;&gt;"",RIGHT(Q311,3)&lt;&gt;""),IF(COUNTIF($Q$6:Q311,Q311)=1,1,0),0)</f>
        <v>1</v>
      </c>
      <c r="W311" s="41" t="str">
        <f t="shared" si="25"/>
        <v>NA.25.XI.172-2</v>
      </c>
      <c r="X311" s="41" t="str">
        <f t="shared" si="26"/>
        <v>RI.NV.25.XII.114-1</v>
      </c>
    </row>
    <row r="312" s="32" customFormat="1" hidden="1" customHeight="1" spans="1:24">
      <c r="A312" s="34"/>
      <c r="B312" s="51">
        <v>307</v>
      </c>
      <c r="C312" s="51" t="s">
        <v>1074</v>
      </c>
      <c r="D312" s="52" t="s">
        <v>317</v>
      </c>
      <c r="E312" s="53">
        <v>1</v>
      </c>
      <c r="F312" s="54" t="s">
        <v>29</v>
      </c>
      <c r="G312" s="54" t="s">
        <v>1065</v>
      </c>
      <c r="H312" s="54" t="s">
        <v>37</v>
      </c>
      <c r="I312" s="66">
        <v>45979</v>
      </c>
      <c r="J312" s="54" t="s">
        <v>1066</v>
      </c>
      <c r="K312" s="67">
        <v>1</v>
      </c>
      <c r="L312" s="68" t="s">
        <v>1075</v>
      </c>
      <c r="M312" s="97" t="str">
        <f t="shared" si="23"/>
        <v>Open File</v>
      </c>
      <c r="N312" s="70" t="s">
        <v>1068</v>
      </c>
      <c r="O312" s="71" t="str">
        <f t="shared" si="22"/>
        <v>ACTIVE</v>
      </c>
      <c r="P312" s="66"/>
      <c r="Q312" s="66"/>
      <c r="R312" s="85"/>
      <c r="S312" s="82"/>
      <c r="T312" s="83" t="str">
        <f t="shared" si="24"/>
        <v/>
      </c>
      <c r="U312" s="10"/>
      <c r="V312" s="41">
        <f>IF(AND(Q312&lt;&gt;"",RIGHT(Q312,3)&lt;&gt;""),IF(COUNTIF($Q$6:Q312,Q312)=1,1,0),0)</f>
        <v>0</v>
      </c>
      <c r="W312" s="41" t="str">
        <f t="shared" si="25"/>
        <v>NA.25.XI.172-1</v>
      </c>
      <c r="X312" s="41" t="str">
        <f t="shared" si="26"/>
        <v/>
      </c>
    </row>
    <row r="313" s="32" customFormat="1" hidden="1" customHeight="1" spans="1:24">
      <c r="A313" s="34"/>
      <c r="B313" s="51">
        <v>308</v>
      </c>
      <c r="C313" s="51" t="s">
        <v>1076</v>
      </c>
      <c r="D313" s="52" t="s">
        <v>1077</v>
      </c>
      <c r="E313" s="53">
        <v>1</v>
      </c>
      <c r="F313" s="54" t="s">
        <v>29</v>
      </c>
      <c r="G313" s="54" t="s">
        <v>1065</v>
      </c>
      <c r="H313" s="54" t="s">
        <v>37</v>
      </c>
      <c r="I313" s="66">
        <v>45980</v>
      </c>
      <c r="J313" s="54" t="s">
        <v>1078</v>
      </c>
      <c r="K313" s="67">
        <v>1</v>
      </c>
      <c r="L313" s="68" t="s">
        <v>1079</v>
      </c>
      <c r="M313" s="73" t="str">
        <f t="shared" si="23"/>
        <v>Open File</v>
      </c>
      <c r="N313" s="70" t="s">
        <v>1080</v>
      </c>
      <c r="O313" s="71" t="str">
        <f t="shared" si="22"/>
        <v>ACTIVE</v>
      </c>
      <c r="P313" s="66"/>
      <c r="Q313" s="66"/>
      <c r="R313" s="85"/>
      <c r="S313" s="82"/>
      <c r="T313" s="83" t="str">
        <f t="shared" si="24"/>
        <v/>
      </c>
      <c r="U313" s="10"/>
      <c r="V313" s="41">
        <f>IF(AND(Q313&lt;&gt;"",RIGHT(Q313,3)&lt;&gt;""),IF(COUNTIF($Q$6:Q313,Q313)=1,1,0),0)</f>
        <v>0</v>
      </c>
      <c r="W313" s="41" t="str">
        <f t="shared" si="25"/>
        <v>NA.25.XI.181-1</v>
      </c>
      <c r="X313" s="41" t="str">
        <f t="shared" si="26"/>
        <v/>
      </c>
    </row>
    <row r="314" s="32" customFormat="1" hidden="1" customHeight="1" spans="1:24">
      <c r="A314" s="34"/>
      <c r="B314" s="51">
        <v>309</v>
      </c>
      <c r="C314" s="51" t="s">
        <v>1081</v>
      </c>
      <c r="D314" s="52" t="s">
        <v>1082</v>
      </c>
      <c r="E314" s="53">
        <v>1</v>
      </c>
      <c r="F314" s="54" t="s">
        <v>29</v>
      </c>
      <c r="G314" s="54" t="s">
        <v>1031</v>
      </c>
      <c r="H314" s="54" t="s">
        <v>1032</v>
      </c>
      <c r="I314" s="66">
        <v>45993</v>
      </c>
      <c r="J314" s="54" t="s">
        <v>1083</v>
      </c>
      <c r="K314" s="67">
        <v>1</v>
      </c>
      <c r="L314" s="68" t="s">
        <v>1084</v>
      </c>
      <c r="M314" s="97" t="str">
        <f t="shared" si="23"/>
        <v>Open File</v>
      </c>
      <c r="N314" s="70" t="s">
        <v>1049</v>
      </c>
      <c r="O314" s="71" t="str">
        <f t="shared" si="22"/>
        <v>ACTIVE</v>
      </c>
      <c r="P314" s="66"/>
      <c r="Q314" s="66"/>
      <c r="R314" s="85"/>
      <c r="S314" s="82"/>
      <c r="T314" s="83" t="str">
        <f t="shared" si="24"/>
        <v/>
      </c>
      <c r="U314" s="10"/>
      <c r="V314" s="41">
        <f>IF(AND(Q314&lt;&gt;"",RIGHT(Q314,3)&lt;&gt;""),IF(COUNTIF($Q$6:Q314,Q314)=1,1,0),0)</f>
        <v>0</v>
      </c>
      <c r="W314" s="41" t="str">
        <f t="shared" si="25"/>
        <v>NA.25.XII.020-1</v>
      </c>
      <c r="X314" s="41" t="str">
        <f t="shared" si="26"/>
        <v/>
      </c>
    </row>
    <row r="315" s="32" customFormat="1" hidden="1" customHeight="1" spans="1:24">
      <c r="A315" s="34"/>
      <c r="B315" s="51">
        <v>310</v>
      </c>
      <c r="C315" s="51" t="s">
        <v>1085</v>
      </c>
      <c r="D315" s="52" t="s">
        <v>673</v>
      </c>
      <c r="E315" s="53">
        <v>1</v>
      </c>
      <c r="F315" s="54" t="s">
        <v>29</v>
      </c>
      <c r="G315" s="54" t="s">
        <v>1017</v>
      </c>
      <c r="H315" s="54" t="s">
        <v>524</v>
      </c>
      <c r="I315" s="66">
        <v>45993</v>
      </c>
      <c r="J315" s="54" t="s">
        <v>1086</v>
      </c>
      <c r="K315" s="67">
        <v>1</v>
      </c>
      <c r="L315" s="68" t="s">
        <v>1087</v>
      </c>
      <c r="M315" s="97" t="str">
        <f t="shared" si="23"/>
        <v>Open File</v>
      </c>
      <c r="N315" s="70" t="s">
        <v>1088</v>
      </c>
      <c r="O315" s="71" t="str">
        <f t="shared" si="22"/>
        <v>ACTIVE</v>
      </c>
      <c r="P315" s="66"/>
      <c r="Q315" s="66"/>
      <c r="R315" s="85"/>
      <c r="S315" s="82"/>
      <c r="T315" s="83" t="str">
        <f t="shared" si="24"/>
        <v/>
      </c>
      <c r="U315" s="10"/>
      <c r="V315" s="41">
        <f>IF(AND(Q315&lt;&gt;"",RIGHT(Q315,3)&lt;&gt;""),IF(COUNTIF($Q$6:Q315,Q315)=1,1,0),0)</f>
        <v>0</v>
      </c>
      <c r="W315" s="41" t="str">
        <f t="shared" si="25"/>
        <v>NA.25.XII.024-1</v>
      </c>
      <c r="X315" s="41" t="str">
        <f t="shared" si="26"/>
        <v/>
      </c>
    </row>
    <row r="316" s="32" customFormat="1" hidden="1" customHeight="1" spans="1:24">
      <c r="A316" s="34"/>
      <c r="B316" s="51">
        <v>311</v>
      </c>
      <c r="C316" s="51" t="s">
        <v>1089</v>
      </c>
      <c r="D316" s="52" t="s">
        <v>1037</v>
      </c>
      <c r="E316" s="53">
        <v>1</v>
      </c>
      <c r="F316" s="54" t="s">
        <v>29</v>
      </c>
      <c r="G316" s="54" t="s">
        <v>1090</v>
      </c>
      <c r="H316" s="54" t="s">
        <v>322</v>
      </c>
      <c r="I316" s="66">
        <v>45994</v>
      </c>
      <c r="J316" s="54" t="s">
        <v>1091</v>
      </c>
      <c r="K316" s="67">
        <v>1</v>
      </c>
      <c r="L316" s="68" t="s">
        <v>1092</v>
      </c>
      <c r="M316" s="97" t="str">
        <f t="shared" si="23"/>
        <v>Open File</v>
      </c>
      <c r="N316" s="70" t="s">
        <v>1093</v>
      </c>
      <c r="O316" s="71" t="str">
        <f t="shared" si="22"/>
        <v>PASSIVE</v>
      </c>
      <c r="P316" s="66">
        <v>46162</v>
      </c>
      <c r="Q316" s="66" t="s">
        <v>1094</v>
      </c>
      <c r="R316" s="85" t="s">
        <v>226</v>
      </c>
      <c r="S316" s="82" t="s">
        <v>1095</v>
      </c>
      <c r="T316" s="83" t="str">
        <f t="shared" si="24"/>
        <v>Open File</v>
      </c>
      <c r="U316" s="10" t="s">
        <v>1044</v>
      </c>
      <c r="V316" s="41">
        <f>IF(AND(Q316&lt;&gt;"",RIGHT(Q316,3)&lt;&gt;""),IF(COUNTIF($Q$6:Q316,Q316)=1,1,0),0)</f>
        <v>1</v>
      </c>
      <c r="W316" s="41" t="str">
        <f t="shared" si="25"/>
        <v>NA.25.XII.044-1</v>
      </c>
      <c r="X316" s="41" t="str">
        <f t="shared" si="26"/>
        <v>BA.01.WHEAD.0526.8202-1</v>
      </c>
    </row>
    <row r="317" s="32" customFormat="1" hidden="1" customHeight="1" spans="1:24">
      <c r="A317" s="34"/>
      <c r="B317" s="51">
        <v>312</v>
      </c>
      <c r="C317" s="51" t="s">
        <v>1096</v>
      </c>
      <c r="D317" s="52" t="s">
        <v>930</v>
      </c>
      <c r="E317" s="53">
        <v>1</v>
      </c>
      <c r="F317" s="54" t="s">
        <v>29</v>
      </c>
      <c r="G317" s="54" t="s">
        <v>1097</v>
      </c>
      <c r="H317" s="54" t="s">
        <v>322</v>
      </c>
      <c r="I317" s="66">
        <v>45994</v>
      </c>
      <c r="J317" s="54" t="s">
        <v>1098</v>
      </c>
      <c r="K317" s="67">
        <v>1</v>
      </c>
      <c r="L317" s="68" t="s">
        <v>1099</v>
      </c>
      <c r="M317" s="97" t="str">
        <f t="shared" si="23"/>
        <v>Open File</v>
      </c>
      <c r="N317" s="70" t="s">
        <v>1100</v>
      </c>
      <c r="O317" s="71" t="str">
        <f t="shared" si="22"/>
        <v>ACTIVE</v>
      </c>
      <c r="P317" s="66"/>
      <c r="Q317" s="66"/>
      <c r="R317" s="85"/>
      <c r="S317" s="82"/>
      <c r="T317" s="83" t="str">
        <f t="shared" si="24"/>
        <v/>
      </c>
      <c r="U317" s="10"/>
      <c r="V317" s="41">
        <f>IF(AND(Q317&lt;&gt;"",RIGHT(Q317,3)&lt;&gt;""),IF(COUNTIF($Q$6:Q317,Q317)=1,1,0),0)</f>
        <v>0</v>
      </c>
      <c r="W317" s="41" t="str">
        <f t="shared" si="25"/>
        <v>NA.25.XII.046-1</v>
      </c>
      <c r="X317" s="41" t="str">
        <f t="shared" si="26"/>
        <v/>
      </c>
    </row>
    <row r="318" s="32" customFormat="1" hidden="1" customHeight="1" spans="1:24">
      <c r="A318" s="34"/>
      <c r="B318" s="51">
        <v>313</v>
      </c>
      <c r="C318" s="51" t="s">
        <v>1101</v>
      </c>
      <c r="D318" s="52" t="s">
        <v>930</v>
      </c>
      <c r="E318" s="53">
        <v>1</v>
      </c>
      <c r="F318" s="54" t="s">
        <v>29</v>
      </c>
      <c r="G318" s="54" t="s">
        <v>1102</v>
      </c>
      <c r="H318" s="54" t="s">
        <v>322</v>
      </c>
      <c r="I318" s="66">
        <v>45994</v>
      </c>
      <c r="J318" s="54" t="s">
        <v>1103</v>
      </c>
      <c r="K318" s="67">
        <v>1</v>
      </c>
      <c r="L318" s="68" t="s">
        <v>1104</v>
      </c>
      <c r="M318" s="97" t="str">
        <f t="shared" si="23"/>
        <v>Open File</v>
      </c>
      <c r="N318" s="70" t="s">
        <v>1105</v>
      </c>
      <c r="O318" s="71" t="str">
        <f t="shared" si="22"/>
        <v>ACTIVE</v>
      </c>
      <c r="P318" s="66"/>
      <c r="Q318" s="66"/>
      <c r="R318" s="85"/>
      <c r="S318" s="82"/>
      <c r="T318" s="83" t="str">
        <f t="shared" si="24"/>
        <v/>
      </c>
      <c r="U318" s="10"/>
      <c r="V318" s="41">
        <f>IF(AND(Q318&lt;&gt;"",RIGHT(Q318,3)&lt;&gt;""),IF(COUNTIF($Q$6:Q318,Q318)=1,1,0),0)</f>
        <v>0</v>
      </c>
      <c r="W318" s="41" t="str">
        <f t="shared" si="25"/>
        <v>NA.25.XII.047-1</v>
      </c>
      <c r="X318" s="41" t="str">
        <f t="shared" si="26"/>
        <v/>
      </c>
    </row>
    <row r="319" s="32" customFormat="1" hidden="1" customHeight="1" spans="1:24">
      <c r="A319" s="34"/>
      <c r="B319" s="51">
        <v>314</v>
      </c>
      <c r="C319" s="51" t="s">
        <v>1106</v>
      </c>
      <c r="D319" s="52" t="s">
        <v>930</v>
      </c>
      <c r="E319" s="53">
        <v>1</v>
      </c>
      <c r="F319" s="54" t="s">
        <v>29</v>
      </c>
      <c r="G319" s="54" t="s">
        <v>1107</v>
      </c>
      <c r="H319" s="54" t="s">
        <v>322</v>
      </c>
      <c r="I319" s="66">
        <v>45994</v>
      </c>
      <c r="J319" s="54" t="s">
        <v>1108</v>
      </c>
      <c r="K319" s="67">
        <v>1</v>
      </c>
      <c r="L319" s="68" t="s">
        <v>1109</v>
      </c>
      <c r="M319" s="95" t="str">
        <f t="shared" si="23"/>
        <v>Open File</v>
      </c>
      <c r="N319" s="70" t="s">
        <v>1110</v>
      </c>
      <c r="O319" s="71" t="str">
        <f t="shared" si="22"/>
        <v>PASSIVE</v>
      </c>
      <c r="P319" s="66">
        <v>46165</v>
      </c>
      <c r="Q319" s="66" t="s">
        <v>1111</v>
      </c>
      <c r="R319" s="85" t="s">
        <v>226</v>
      </c>
      <c r="S319" s="82" t="s">
        <v>1112</v>
      </c>
      <c r="T319" s="83" t="str">
        <f t="shared" si="24"/>
        <v>Open File</v>
      </c>
      <c r="U319" s="10" t="s">
        <v>1044</v>
      </c>
      <c r="V319" s="41">
        <f>IF(AND(Q319&lt;&gt;"",RIGHT(Q319,3)&lt;&gt;""),IF(COUNTIF($Q$6:Q319,Q319)=1,1,0),0)</f>
        <v>1</v>
      </c>
      <c r="W319" s="41" t="str">
        <f t="shared" si="25"/>
        <v>NA.25.XII.048-1</v>
      </c>
      <c r="X319" s="41" t="str">
        <f t="shared" si="26"/>
        <v>BA01.WHEAD.0526.8202-1</v>
      </c>
    </row>
    <row r="320" s="32" customFormat="1" hidden="1" customHeight="1" spans="1:24">
      <c r="A320" s="34"/>
      <c r="B320" s="51">
        <v>315</v>
      </c>
      <c r="C320" s="51" t="s">
        <v>1113</v>
      </c>
      <c r="D320" s="52" t="s">
        <v>930</v>
      </c>
      <c r="E320" s="53">
        <v>1</v>
      </c>
      <c r="F320" s="54" t="s">
        <v>29</v>
      </c>
      <c r="G320" s="54" t="s">
        <v>1114</v>
      </c>
      <c r="H320" s="54" t="s">
        <v>322</v>
      </c>
      <c r="I320" s="66">
        <v>45994</v>
      </c>
      <c r="J320" s="54" t="s">
        <v>1115</v>
      </c>
      <c r="K320" s="67">
        <v>1</v>
      </c>
      <c r="L320" s="68" t="s">
        <v>1116</v>
      </c>
      <c r="M320" s="97" t="str">
        <f t="shared" si="23"/>
        <v>Open File</v>
      </c>
      <c r="N320" s="70" t="s">
        <v>1117</v>
      </c>
      <c r="O320" s="71" t="str">
        <f t="shared" si="22"/>
        <v>ACTIVE</v>
      </c>
      <c r="P320" s="66"/>
      <c r="Q320" s="66"/>
      <c r="R320" s="85"/>
      <c r="S320" s="82"/>
      <c r="T320" s="83" t="str">
        <f t="shared" si="24"/>
        <v/>
      </c>
      <c r="U320" s="10"/>
      <c r="V320" s="41">
        <f>IF(AND(Q320&lt;&gt;"",RIGHT(Q320,3)&lt;&gt;""),IF(COUNTIF($Q$6:Q320,Q320)=1,1,0),0)</f>
        <v>0</v>
      </c>
      <c r="W320" s="41" t="str">
        <f t="shared" si="25"/>
        <v>NA.25.XII.049-1</v>
      </c>
      <c r="X320" s="41" t="str">
        <f t="shared" si="26"/>
        <v/>
      </c>
    </row>
    <row r="321" s="32" customFormat="1" hidden="1" customHeight="1" spans="1:24">
      <c r="A321" s="34"/>
      <c r="B321" s="51">
        <v>316</v>
      </c>
      <c r="C321" s="51" t="s">
        <v>1118</v>
      </c>
      <c r="D321" s="52" t="s">
        <v>1119</v>
      </c>
      <c r="E321" s="53">
        <v>1</v>
      </c>
      <c r="F321" s="54" t="s">
        <v>29</v>
      </c>
      <c r="G321" s="54" t="s">
        <v>321</v>
      </c>
      <c r="H321" s="54" t="s">
        <v>322</v>
      </c>
      <c r="I321" s="66">
        <v>46004</v>
      </c>
      <c r="J321" s="54" t="s">
        <v>1120</v>
      </c>
      <c r="K321" s="67">
        <v>1</v>
      </c>
      <c r="L321" s="68" t="s">
        <v>1121</v>
      </c>
      <c r="M321" s="97" t="str">
        <f t="shared" si="23"/>
        <v>Open File</v>
      </c>
      <c r="N321" s="70" t="s">
        <v>1122</v>
      </c>
      <c r="O321" s="71" t="str">
        <f t="shared" si="22"/>
        <v>ACTIVE</v>
      </c>
      <c r="P321" s="66"/>
      <c r="Q321" s="66"/>
      <c r="R321" s="85"/>
      <c r="S321" s="82"/>
      <c r="T321" s="83" t="str">
        <f t="shared" si="24"/>
        <v/>
      </c>
      <c r="U321" s="10"/>
      <c r="V321" s="41">
        <f>IF(AND(Q321&lt;&gt;"",RIGHT(Q321,3)&lt;&gt;""),IF(COUNTIF($Q$6:Q321,Q321)=1,1,0),0)</f>
        <v>0</v>
      </c>
      <c r="W321" s="41" t="str">
        <f t="shared" si="25"/>
        <v>NA.25.XII.141-1</v>
      </c>
      <c r="X321" s="41" t="str">
        <f t="shared" si="26"/>
        <v/>
      </c>
    </row>
    <row r="322" s="32" customFormat="1" hidden="1" customHeight="1" spans="1:24">
      <c r="A322" s="107"/>
      <c r="B322" s="51">
        <v>317</v>
      </c>
      <c r="C322" s="51" t="s">
        <v>1123</v>
      </c>
      <c r="D322" s="52" t="s">
        <v>1124</v>
      </c>
      <c r="E322" s="53">
        <v>1</v>
      </c>
      <c r="F322" s="54" t="s">
        <v>29</v>
      </c>
      <c r="G322" s="54" t="s">
        <v>913</v>
      </c>
      <c r="H322" s="54" t="s">
        <v>524</v>
      </c>
      <c r="I322" s="66">
        <v>46006</v>
      </c>
      <c r="J322" s="54" t="s">
        <v>1125</v>
      </c>
      <c r="K322" s="67">
        <v>3</v>
      </c>
      <c r="L322" s="68" t="s">
        <v>1126</v>
      </c>
      <c r="M322" s="97" t="str">
        <f t="shared" si="23"/>
        <v>Open File</v>
      </c>
      <c r="N322" s="70" t="s">
        <v>1127</v>
      </c>
      <c r="O322" s="71" t="str">
        <f t="shared" si="22"/>
        <v>PASSIVE</v>
      </c>
      <c r="P322" s="66">
        <v>46006</v>
      </c>
      <c r="Q322" s="66" t="s">
        <v>1128</v>
      </c>
      <c r="R322" s="85">
        <v>3</v>
      </c>
      <c r="S322" s="106" t="s">
        <v>1129</v>
      </c>
      <c r="T322" s="95" t="str">
        <f t="shared" si="24"/>
        <v>Open File</v>
      </c>
      <c r="U322" s="10" t="s">
        <v>1130</v>
      </c>
      <c r="V322" s="41">
        <f>IF(AND(Q322&lt;&gt;"",RIGHT(Q322,3)&lt;&gt;""),IF(COUNTIF($Q$6:Q322,Q322)=1,1,0),0)</f>
        <v>1</v>
      </c>
      <c r="W322" s="41" t="str">
        <f t="shared" si="25"/>
        <v>NA.25.XII.139-3</v>
      </c>
      <c r="X322" s="41" t="str">
        <f t="shared" si="26"/>
        <v>RI.NV.25.XII.057-3</v>
      </c>
    </row>
    <row r="323" s="32" customFormat="1" hidden="1" customHeight="1" spans="1:24">
      <c r="A323" s="34"/>
      <c r="B323" s="51">
        <v>318</v>
      </c>
      <c r="C323" s="51" t="s">
        <v>1131</v>
      </c>
      <c r="D323" s="52" t="s">
        <v>69</v>
      </c>
      <c r="E323" s="53">
        <v>1</v>
      </c>
      <c r="F323" s="54" t="s">
        <v>66</v>
      </c>
      <c r="G323" s="54" t="s">
        <v>913</v>
      </c>
      <c r="H323" s="54" t="s">
        <v>524</v>
      </c>
      <c r="I323" s="66">
        <v>46006</v>
      </c>
      <c r="J323" s="54" t="s">
        <v>1125</v>
      </c>
      <c r="K323" s="67">
        <v>2</v>
      </c>
      <c r="L323" s="68" t="s">
        <v>1132</v>
      </c>
      <c r="M323" s="97" t="str">
        <f t="shared" si="23"/>
        <v>Open File</v>
      </c>
      <c r="N323" s="70" t="s">
        <v>1127</v>
      </c>
      <c r="O323" s="71" t="str">
        <f t="shared" si="22"/>
        <v>PASSIVE</v>
      </c>
      <c r="P323" s="66">
        <v>46006</v>
      </c>
      <c r="Q323" s="66" t="s">
        <v>1128</v>
      </c>
      <c r="R323" s="85">
        <v>2</v>
      </c>
      <c r="S323" s="106" t="s">
        <v>1133</v>
      </c>
      <c r="T323" s="95" t="str">
        <f t="shared" si="24"/>
        <v>Open File</v>
      </c>
      <c r="U323" s="10" t="s">
        <v>1130</v>
      </c>
      <c r="V323" s="41">
        <f>IF(AND(Q323&lt;&gt;"",RIGHT(Q323,3)&lt;&gt;""),IF(COUNTIF($Q$6:Q323,Q323)=1,1,0),0)</f>
        <v>0</v>
      </c>
      <c r="W323" s="41" t="str">
        <f t="shared" si="25"/>
        <v>NA.25.XII.139-2</v>
      </c>
      <c r="X323" s="41" t="str">
        <f t="shared" si="26"/>
        <v>RI.NV.25.XII.057-2</v>
      </c>
    </row>
    <row r="324" s="32" customFormat="1" hidden="1" customHeight="1" spans="1:24">
      <c r="A324" s="34"/>
      <c r="B324" s="51">
        <v>319</v>
      </c>
      <c r="C324" s="51" t="s">
        <v>1134</v>
      </c>
      <c r="D324" s="52" t="s">
        <v>96</v>
      </c>
      <c r="E324" s="53">
        <v>1</v>
      </c>
      <c r="F324" s="54" t="s">
        <v>66</v>
      </c>
      <c r="G324" s="54" t="s">
        <v>913</v>
      </c>
      <c r="H324" s="54" t="s">
        <v>524</v>
      </c>
      <c r="I324" s="66">
        <v>46006</v>
      </c>
      <c r="J324" s="54" t="s">
        <v>1125</v>
      </c>
      <c r="K324" s="67">
        <v>1</v>
      </c>
      <c r="L324" s="68" t="s">
        <v>1135</v>
      </c>
      <c r="M324" s="97" t="str">
        <f t="shared" si="23"/>
        <v>Open File</v>
      </c>
      <c r="N324" s="70" t="s">
        <v>1127</v>
      </c>
      <c r="O324" s="71" t="str">
        <f t="shared" si="22"/>
        <v>PASSIVE</v>
      </c>
      <c r="P324" s="66">
        <v>46006</v>
      </c>
      <c r="Q324" s="66" t="s">
        <v>1128</v>
      </c>
      <c r="R324" s="85">
        <v>1</v>
      </c>
      <c r="S324" s="106" t="s">
        <v>1136</v>
      </c>
      <c r="T324" s="95" t="str">
        <f t="shared" si="24"/>
        <v>Open File</v>
      </c>
      <c r="U324" s="10" t="s">
        <v>1130</v>
      </c>
      <c r="V324" s="41">
        <f>IF(AND(Q324&lt;&gt;"",RIGHT(Q324,3)&lt;&gt;""),IF(COUNTIF($Q$6:Q324,Q324)=1,1,0),0)</f>
        <v>0</v>
      </c>
      <c r="W324" s="41" t="str">
        <f t="shared" si="25"/>
        <v>NA.25.XII.139-1</v>
      </c>
      <c r="X324" s="41" t="str">
        <f t="shared" si="26"/>
        <v>RI.NV.25.XII.057-1</v>
      </c>
    </row>
    <row r="325" s="32" customFormat="1" hidden="1" customHeight="1" spans="1:24">
      <c r="A325" s="34"/>
      <c r="B325" s="51">
        <v>320</v>
      </c>
      <c r="C325" s="51" t="s">
        <v>1137</v>
      </c>
      <c r="D325" s="52" t="s">
        <v>1124</v>
      </c>
      <c r="E325" s="53">
        <v>1</v>
      </c>
      <c r="F325" s="54" t="s">
        <v>29</v>
      </c>
      <c r="G325" s="54" t="s">
        <v>913</v>
      </c>
      <c r="H325" s="54" t="s">
        <v>524</v>
      </c>
      <c r="I325" s="66">
        <v>46006</v>
      </c>
      <c r="J325" s="54" t="s">
        <v>1138</v>
      </c>
      <c r="K325" s="67">
        <v>4</v>
      </c>
      <c r="L325" s="68" t="s">
        <v>1139</v>
      </c>
      <c r="M325" s="97" t="str">
        <f t="shared" si="23"/>
        <v>Open File</v>
      </c>
      <c r="N325" s="70" t="s">
        <v>1140</v>
      </c>
      <c r="O325" s="71" t="str">
        <f t="shared" si="22"/>
        <v>ACTIVE</v>
      </c>
      <c r="P325" s="66"/>
      <c r="Q325" s="66"/>
      <c r="R325" s="85"/>
      <c r="S325" s="82"/>
      <c r="T325" s="83" t="str">
        <f t="shared" si="24"/>
        <v/>
      </c>
      <c r="U325" s="10"/>
      <c r="V325" s="41">
        <f>IF(AND(Q325&lt;&gt;"",RIGHT(Q325,3)&lt;&gt;""),IF(COUNTIF($Q$6:Q325,Q325)=1,1,0),0)</f>
        <v>0</v>
      </c>
      <c r="W325" s="41" t="str">
        <f t="shared" si="25"/>
        <v>NA.25.XII.155-4</v>
      </c>
      <c r="X325" s="41" t="str">
        <f t="shared" si="26"/>
        <v/>
      </c>
    </row>
    <row r="326" s="32" customFormat="1" hidden="1" customHeight="1" spans="1:24">
      <c r="A326" s="34"/>
      <c r="B326" s="51">
        <v>321</v>
      </c>
      <c r="C326" s="51" t="s">
        <v>1141</v>
      </c>
      <c r="D326" s="52" t="s">
        <v>1142</v>
      </c>
      <c r="E326" s="53">
        <v>4</v>
      </c>
      <c r="F326" s="54" t="s">
        <v>422</v>
      </c>
      <c r="G326" s="54" t="s">
        <v>913</v>
      </c>
      <c r="H326" s="54" t="s">
        <v>524</v>
      </c>
      <c r="I326" s="66">
        <v>46006</v>
      </c>
      <c r="J326" s="54" t="s">
        <v>1138</v>
      </c>
      <c r="K326" s="67">
        <v>3</v>
      </c>
      <c r="L326" s="68" t="s">
        <v>1143</v>
      </c>
      <c r="M326" s="97" t="str">
        <f t="shared" ref="M326:M355" si="28">IF(L326="","",HYPERLINK(_xlfn.CONCAT($L$4,L326,".jpg"),"Open File"))</f>
        <v>Open File</v>
      </c>
      <c r="N326" s="70" t="s">
        <v>1140</v>
      </c>
      <c r="O326" s="71" t="str">
        <f t="shared" si="22"/>
        <v>ACTIVE</v>
      </c>
      <c r="P326" s="66"/>
      <c r="Q326" s="66"/>
      <c r="R326" s="85"/>
      <c r="S326" s="82"/>
      <c r="T326" s="83" t="str">
        <f t="shared" ref="T326:T355" si="29">IF(S326="","",HYPERLINK(_xlfn.CONCAT($S$4,S326,".jpg"),"Open File"))</f>
        <v/>
      </c>
      <c r="U326" s="10"/>
      <c r="V326" s="41">
        <f>IF(AND(Q326&lt;&gt;"",RIGHT(Q326,3)&lt;&gt;""),IF(COUNTIF($Q$6:Q326,Q326)=1,1,0),0)</f>
        <v>0</v>
      </c>
      <c r="W326" s="41" t="str">
        <f t="shared" ref="W326:W351" si="30">IF(AND(J326&lt;&gt;"",K326&lt;&gt;""),_xlfn.CONCAT(SUBSTITUTE(J326,"/","."),"-",K326),"")</f>
        <v>NA.25.XII.155-3</v>
      </c>
      <c r="X326" s="41" t="str">
        <f t="shared" ref="X326:X355" si="31">IF(AND(Q326&lt;&gt;"",R326&lt;&gt;""),_xlfn.CONCAT(SUBSTITUTE(Q326,"/","."),"-",R326),"")</f>
        <v/>
      </c>
    </row>
    <row r="327" s="32" customFormat="1" hidden="1" customHeight="1" spans="1:24">
      <c r="A327" s="34"/>
      <c r="B327" s="51">
        <v>322</v>
      </c>
      <c r="C327" s="51" t="s">
        <v>1144</v>
      </c>
      <c r="D327" s="52" t="s">
        <v>1142</v>
      </c>
      <c r="E327" s="53">
        <v>2</v>
      </c>
      <c r="F327" s="54" t="s">
        <v>422</v>
      </c>
      <c r="G327" s="54" t="s">
        <v>913</v>
      </c>
      <c r="H327" s="54" t="s">
        <v>524</v>
      </c>
      <c r="I327" s="66">
        <v>46006</v>
      </c>
      <c r="J327" s="54" t="s">
        <v>1138</v>
      </c>
      <c r="K327" s="67">
        <v>2</v>
      </c>
      <c r="L327" s="68" t="s">
        <v>1145</v>
      </c>
      <c r="M327" s="97" t="str">
        <f t="shared" si="28"/>
        <v>Open File</v>
      </c>
      <c r="N327" s="70" t="s">
        <v>1140</v>
      </c>
      <c r="O327" s="71" t="str">
        <f t="shared" si="22"/>
        <v>ACTIVE</v>
      </c>
      <c r="P327" s="66"/>
      <c r="Q327" s="66"/>
      <c r="R327" s="85"/>
      <c r="S327" s="82"/>
      <c r="T327" s="83" t="str">
        <f t="shared" si="29"/>
        <v/>
      </c>
      <c r="U327" s="10"/>
      <c r="V327" s="41">
        <f>IF(AND(Q327&lt;&gt;"",RIGHT(Q327,3)&lt;&gt;""),IF(COUNTIF($Q$6:Q327,Q327)=1,1,0),0)</f>
        <v>0</v>
      </c>
      <c r="W327" s="41" t="str">
        <f t="shared" si="30"/>
        <v>NA.25.XII.155-2</v>
      </c>
      <c r="X327" s="41" t="str">
        <f t="shared" si="31"/>
        <v/>
      </c>
    </row>
    <row r="328" s="32" customFormat="1" hidden="1" customHeight="1" spans="1:24">
      <c r="A328" s="34"/>
      <c r="B328" s="51">
        <v>323</v>
      </c>
      <c r="C328" s="51" t="s">
        <v>1146</v>
      </c>
      <c r="D328" s="52" t="s">
        <v>1147</v>
      </c>
      <c r="E328" s="53">
        <v>1</v>
      </c>
      <c r="F328" s="54" t="s">
        <v>29</v>
      </c>
      <c r="G328" s="54" t="s">
        <v>913</v>
      </c>
      <c r="H328" s="54" t="s">
        <v>524</v>
      </c>
      <c r="I328" s="66">
        <v>46006</v>
      </c>
      <c r="J328" s="54" t="s">
        <v>1138</v>
      </c>
      <c r="K328" s="67">
        <v>1</v>
      </c>
      <c r="L328" s="68" t="s">
        <v>1148</v>
      </c>
      <c r="M328" s="97" t="str">
        <f t="shared" si="28"/>
        <v>Open File</v>
      </c>
      <c r="N328" s="70" t="s">
        <v>325</v>
      </c>
      <c r="O328" s="71" t="str">
        <f t="shared" si="22"/>
        <v>ACTIVE</v>
      </c>
      <c r="P328" s="66"/>
      <c r="Q328" s="66"/>
      <c r="R328" s="85"/>
      <c r="S328" s="82"/>
      <c r="T328" s="83" t="str">
        <f t="shared" si="29"/>
        <v/>
      </c>
      <c r="U328" s="10"/>
      <c r="V328" s="41">
        <f>IF(AND(Q328&lt;&gt;"",RIGHT(Q328,3)&lt;&gt;""),IF(COUNTIF($Q$6:Q328,Q328)=1,1,0),0)</f>
        <v>0</v>
      </c>
      <c r="W328" s="41" t="str">
        <f t="shared" si="30"/>
        <v>NA.25.XII.155-1</v>
      </c>
      <c r="X328" s="41" t="str">
        <f t="shared" si="31"/>
        <v/>
      </c>
    </row>
    <row r="329" s="32" customFormat="1" hidden="1" customHeight="1" spans="1:24">
      <c r="A329" s="34"/>
      <c r="B329" s="51">
        <v>324</v>
      </c>
      <c r="C329" s="51" t="s">
        <v>1149</v>
      </c>
      <c r="D329" s="52" t="s">
        <v>1150</v>
      </c>
      <c r="E329" s="53">
        <v>1</v>
      </c>
      <c r="F329" s="54" t="s">
        <v>29</v>
      </c>
      <c r="G329" s="54" t="s">
        <v>515</v>
      </c>
      <c r="H329" s="54" t="s">
        <v>322</v>
      </c>
      <c r="I329" s="66">
        <v>46007</v>
      </c>
      <c r="J329" s="54" t="s">
        <v>1151</v>
      </c>
      <c r="K329" s="67">
        <v>2</v>
      </c>
      <c r="L329" s="68" t="s">
        <v>1152</v>
      </c>
      <c r="M329" s="97" t="str">
        <f t="shared" si="28"/>
        <v>Open File</v>
      </c>
      <c r="N329" s="70" t="s">
        <v>325</v>
      </c>
      <c r="O329" s="71" t="str">
        <f t="shared" si="22"/>
        <v>ACTIVE</v>
      </c>
      <c r="P329" s="66"/>
      <c r="Q329" s="66"/>
      <c r="R329" s="85"/>
      <c r="S329" s="82"/>
      <c r="T329" s="83" t="str">
        <f t="shared" si="29"/>
        <v/>
      </c>
      <c r="U329" s="10"/>
      <c r="V329" s="41">
        <f>IF(AND(Q329&lt;&gt;"",RIGHT(Q329,3)&lt;&gt;""),IF(COUNTIF($Q$6:Q329,Q329)=1,1,0),0)</f>
        <v>0</v>
      </c>
      <c r="W329" s="41" t="str">
        <f t="shared" si="30"/>
        <v>NA.25.XII.164-2</v>
      </c>
      <c r="X329" s="41" t="str">
        <f t="shared" si="31"/>
        <v/>
      </c>
    </row>
    <row r="330" s="32" customFormat="1" hidden="1" customHeight="1" spans="1:24">
      <c r="A330" s="34"/>
      <c r="B330" s="51">
        <v>325</v>
      </c>
      <c r="C330" s="51" t="s">
        <v>1153</v>
      </c>
      <c r="D330" s="52" t="s">
        <v>1150</v>
      </c>
      <c r="E330" s="53">
        <v>1</v>
      </c>
      <c r="F330" s="54" t="s">
        <v>29</v>
      </c>
      <c r="G330" s="54" t="s">
        <v>515</v>
      </c>
      <c r="H330" s="54" t="s">
        <v>322</v>
      </c>
      <c r="I330" s="66">
        <v>46007</v>
      </c>
      <c r="J330" s="54" t="s">
        <v>1151</v>
      </c>
      <c r="K330" s="67">
        <v>1</v>
      </c>
      <c r="L330" s="68" t="s">
        <v>1154</v>
      </c>
      <c r="M330" s="97" t="str">
        <f t="shared" si="28"/>
        <v>Open File</v>
      </c>
      <c r="N330" s="70" t="s">
        <v>325</v>
      </c>
      <c r="O330" s="71" t="str">
        <f t="shared" si="22"/>
        <v>ACTIVE</v>
      </c>
      <c r="P330" s="66"/>
      <c r="Q330" s="66"/>
      <c r="R330" s="85"/>
      <c r="S330" s="82"/>
      <c r="T330" s="83" t="str">
        <f t="shared" si="29"/>
        <v/>
      </c>
      <c r="U330" s="10"/>
      <c r="V330" s="41">
        <f>IF(AND(Q330&lt;&gt;"",RIGHT(Q330,3)&lt;&gt;""),IF(COUNTIF($Q$6:Q330,Q330)=1,1,0),0)</f>
        <v>0</v>
      </c>
      <c r="W330" s="41" t="str">
        <f t="shared" si="30"/>
        <v>NA.25.XII.164-1</v>
      </c>
      <c r="X330" s="41" t="str">
        <f t="shared" si="31"/>
        <v/>
      </c>
    </row>
    <row r="331" s="32" customFormat="1" hidden="1" customHeight="1" spans="1:24">
      <c r="A331" s="34"/>
      <c r="B331" s="51">
        <v>326</v>
      </c>
      <c r="C331" s="51" t="s">
        <v>1155</v>
      </c>
      <c r="D331" s="52" t="s">
        <v>1156</v>
      </c>
      <c r="E331" s="53">
        <v>2</v>
      </c>
      <c r="F331" s="54" t="s">
        <v>29</v>
      </c>
      <c r="G331" s="54" t="s">
        <v>896</v>
      </c>
      <c r="H331" s="54" t="s">
        <v>524</v>
      </c>
      <c r="I331" s="66">
        <v>46013</v>
      </c>
      <c r="J331" s="54" t="s">
        <v>1157</v>
      </c>
      <c r="K331" s="67">
        <v>1</v>
      </c>
      <c r="L331" s="68" t="s">
        <v>1158</v>
      </c>
      <c r="M331" s="97" t="str">
        <f t="shared" si="28"/>
        <v>Open File</v>
      </c>
      <c r="N331" s="70" t="s">
        <v>1088</v>
      </c>
      <c r="O331" s="71" t="str">
        <f t="shared" si="22"/>
        <v>ACTIVE</v>
      </c>
      <c r="P331" s="66"/>
      <c r="Q331" s="66"/>
      <c r="R331" s="85"/>
      <c r="S331" s="54"/>
      <c r="T331" s="97" t="str">
        <f t="shared" si="29"/>
        <v/>
      </c>
      <c r="U331" s="10"/>
      <c r="V331" s="41">
        <f>IF(AND(Q331&lt;&gt;"",RIGHT(Q331,3)&lt;&gt;""),IF(COUNTIF($Q$6:Q331,Q331)=1,1,0),0)</f>
        <v>0</v>
      </c>
      <c r="W331" s="41" t="str">
        <f t="shared" si="30"/>
        <v>NA.25.XII.221-1</v>
      </c>
      <c r="X331" s="41" t="str">
        <f t="shared" si="31"/>
        <v/>
      </c>
    </row>
    <row r="332" s="32" customFormat="1" hidden="1" customHeight="1" spans="1:24">
      <c r="A332" s="34"/>
      <c r="B332" s="51">
        <v>327</v>
      </c>
      <c r="C332" s="51" t="s">
        <v>1159</v>
      </c>
      <c r="D332" s="52" t="s">
        <v>1160</v>
      </c>
      <c r="E332" s="53">
        <v>1</v>
      </c>
      <c r="F332" s="54" t="s">
        <v>29</v>
      </c>
      <c r="G332" s="54" t="s">
        <v>30</v>
      </c>
      <c r="H332" s="54" t="s">
        <v>31</v>
      </c>
      <c r="I332" s="66">
        <v>46015</v>
      </c>
      <c r="J332" s="54" t="s">
        <v>1161</v>
      </c>
      <c r="K332" s="67">
        <v>1</v>
      </c>
      <c r="L332" s="68" t="s">
        <v>1162</v>
      </c>
      <c r="M332" s="97" t="str">
        <f t="shared" si="28"/>
        <v>Open File</v>
      </c>
      <c r="N332" s="98" t="s">
        <v>1163</v>
      </c>
      <c r="O332" s="71" t="str">
        <f t="shared" ref="O332:O355" si="32">IF(AND(Q332&lt;&gt;"",T332&lt;&gt;""),"PASSIVE",IF(AND(J332&lt;&gt;"",M332&lt;&gt;""),"ACTIVE",""))</f>
        <v>ACTIVE</v>
      </c>
      <c r="P332" s="66"/>
      <c r="Q332" s="66"/>
      <c r="R332" s="85"/>
      <c r="S332" s="82"/>
      <c r="T332" s="83" t="str">
        <f t="shared" si="29"/>
        <v/>
      </c>
      <c r="U332" s="10"/>
      <c r="V332" s="41">
        <f>IF(AND(Q332&lt;&gt;"",RIGHT(Q332,3)&lt;&gt;""),IF(COUNTIF($Q$6:Q332,Q332)=1,1,0),0)</f>
        <v>0</v>
      </c>
      <c r="W332" s="41" t="str">
        <f t="shared" si="30"/>
        <v>NA.25.XII.244-1</v>
      </c>
      <c r="X332" s="41" t="str">
        <f t="shared" si="31"/>
        <v/>
      </c>
    </row>
    <row r="333" s="32" customFormat="1" hidden="1" customHeight="1" spans="1:24">
      <c r="A333" s="34"/>
      <c r="B333" s="51">
        <v>328</v>
      </c>
      <c r="C333" s="51" t="s">
        <v>1164</v>
      </c>
      <c r="D333" s="52" t="s">
        <v>1165</v>
      </c>
      <c r="E333" s="53">
        <v>1</v>
      </c>
      <c r="F333" s="54" t="s">
        <v>29</v>
      </c>
      <c r="G333" s="54" t="s">
        <v>321</v>
      </c>
      <c r="H333" s="54" t="s">
        <v>322</v>
      </c>
      <c r="I333" s="66">
        <v>46018</v>
      </c>
      <c r="J333" s="54" t="s">
        <v>1166</v>
      </c>
      <c r="K333" s="67">
        <v>10</v>
      </c>
      <c r="L333" s="68" t="s">
        <v>1167</v>
      </c>
      <c r="M333" s="97" t="str">
        <f t="shared" si="28"/>
        <v>Open File</v>
      </c>
      <c r="N333" s="70" t="s">
        <v>1168</v>
      </c>
      <c r="O333" s="71" t="str">
        <f t="shared" si="32"/>
        <v>ACTIVE</v>
      </c>
      <c r="P333" s="66"/>
      <c r="Q333" s="66"/>
      <c r="R333" s="85"/>
      <c r="S333" s="82"/>
      <c r="T333" s="83" t="str">
        <f t="shared" si="29"/>
        <v/>
      </c>
      <c r="U333" s="10"/>
      <c r="V333" s="41">
        <f>IF(AND(Q333&lt;&gt;"",RIGHT(Q333,3)&lt;&gt;""),IF(COUNTIF($Q$6:Q333,Q333)=1,1,0),0)</f>
        <v>0</v>
      </c>
      <c r="W333" s="41" t="str">
        <f t="shared" si="30"/>
        <v>NA.25.XII.268-10</v>
      </c>
      <c r="X333" s="41" t="str">
        <f t="shared" si="31"/>
        <v/>
      </c>
    </row>
    <row r="334" s="32" customFormat="1" hidden="1" customHeight="1" spans="1:24">
      <c r="A334" s="34"/>
      <c r="B334" s="51">
        <v>329</v>
      </c>
      <c r="C334" s="51" t="s">
        <v>1169</v>
      </c>
      <c r="D334" s="52" t="s">
        <v>1170</v>
      </c>
      <c r="E334" s="53">
        <v>1</v>
      </c>
      <c r="F334" s="54" t="s">
        <v>29</v>
      </c>
      <c r="G334" s="54" t="s">
        <v>321</v>
      </c>
      <c r="H334" s="54" t="s">
        <v>322</v>
      </c>
      <c r="I334" s="66">
        <v>46018</v>
      </c>
      <c r="J334" s="54" t="s">
        <v>1166</v>
      </c>
      <c r="K334" s="67">
        <v>9</v>
      </c>
      <c r="L334" s="68" t="s">
        <v>1171</v>
      </c>
      <c r="M334" s="97" t="str">
        <f t="shared" si="28"/>
        <v>Open File</v>
      </c>
      <c r="N334" s="70" t="s">
        <v>1168</v>
      </c>
      <c r="O334" s="71" t="str">
        <f t="shared" si="32"/>
        <v>ACTIVE</v>
      </c>
      <c r="P334" s="66"/>
      <c r="Q334" s="66"/>
      <c r="R334" s="85"/>
      <c r="S334" s="82"/>
      <c r="T334" s="83" t="str">
        <f t="shared" si="29"/>
        <v/>
      </c>
      <c r="U334" s="10"/>
      <c r="V334" s="41">
        <f>IF(AND(Q334&lt;&gt;"",RIGHT(Q334,3)&lt;&gt;""),IF(COUNTIF($Q$6:Q334,Q334)=1,1,0),0)</f>
        <v>0</v>
      </c>
      <c r="W334" s="41" t="str">
        <f t="shared" si="30"/>
        <v>NA.25.XII.268-9</v>
      </c>
      <c r="X334" s="41" t="str">
        <f t="shared" si="31"/>
        <v/>
      </c>
    </row>
    <row r="335" s="32" customFormat="1" hidden="1" customHeight="1" spans="1:24">
      <c r="A335" s="34"/>
      <c r="B335" s="51">
        <v>330</v>
      </c>
      <c r="C335" s="51" t="s">
        <v>1172</v>
      </c>
      <c r="D335" s="52" t="s">
        <v>1170</v>
      </c>
      <c r="E335" s="53">
        <v>1</v>
      </c>
      <c r="F335" s="54" t="s">
        <v>29</v>
      </c>
      <c r="G335" s="54" t="s">
        <v>321</v>
      </c>
      <c r="H335" s="54" t="s">
        <v>322</v>
      </c>
      <c r="I335" s="66">
        <v>46018</v>
      </c>
      <c r="J335" s="54" t="s">
        <v>1166</v>
      </c>
      <c r="K335" s="67">
        <v>8</v>
      </c>
      <c r="L335" s="68" t="s">
        <v>1173</v>
      </c>
      <c r="M335" s="97" t="str">
        <f t="shared" si="28"/>
        <v>Open File</v>
      </c>
      <c r="N335" s="70" t="s">
        <v>1168</v>
      </c>
      <c r="O335" s="71" t="str">
        <f t="shared" si="32"/>
        <v>ACTIVE</v>
      </c>
      <c r="P335" s="66"/>
      <c r="Q335" s="66"/>
      <c r="R335" s="85"/>
      <c r="S335" s="82"/>
      <c r="T335" s="83" t="str">
        <f t="shared" si="29"/>
        <v/>
      </c>
      <c r="U335" s="10"/>
      <c r="V335" s="41">
        <f>IF(AND(Q335&lt;&gt;"",RIGHT(Q335,3)&lt;&gt;""),IF(COUNTIF($Q$6:Q335,Q335)=1,1,0),0)</f>
        <v>0</v>
      </c>
      <c r="W335" s="41" t="str">
        <f t="shared" si="30"/>
        <v>NA.25.XII.268-8</v>
      </c>
      <c r="X335" s="41" t="str">
        <f t="shared" si="31"/>
        <v/>
      </c>
    </row>
    <row r="336" s="32" customFormat="1" hidden="1" customHeight="1" spans="1:24">
      <c r="A336" s="34"/>
      <c r="B336" s="51">
        <v>331</v>
      </c>
      <c r="C336" s="51" t="s">
        <v>1174</v>
      </c>
      <c r="D336" s="52" t="s">
        <v>1175</v>
      </c>
      <c r="E336" s="53">
        <v>1</v>
      </c>
      <c r="F336" s="54" t="s">
        <v>29</v>
      </c>
      <c r="G336" s="54" t="s">
        <v>321</v>
      </c>
      <c r="H336" s="54" t="s">
        <v>322</v>
      </c>
      <c r="I336" s="66">
        <v>46018</v>
      </c>
      <c r="J336" s="54" t="s">
        <v>1166</v>
      </c>
      <c r="K336" s="67">
        <v>7</v>
      </c>
      <c r="L336" s="68" t="s">
        <v>1176</v>
      </c>
      <c r="M336" s="97" t="str">
        <f t="shared" si="28"/>
        <v>Open File</v>
      </c>
      <c r="N336" s="70" t="s">
        <v>1168</v>
      </c>
      <c r="O336" s="71" t="str">
        <f t="shared" si="32"/>
        <v>ACTIVE</v>
      </c>
      <c r="P336" s="66"/>
      <c r="Q336" s="66"/>
      <c r="R336" s="85"/>
      <c r="S336" s="82"/>
      <c r="T336" s="83" t="str">
        <f t="shared" si="29"/>
        <v/>
      </c>
      <c r="U336" s="10"/>
      <c r="V336" s="41">
        <f>IF(AND(Q336&lt;&gt;"",RIGHT(Q336,3)&lt;&gt;""),IF(COUNTIF($Q$6:Q336,Q336)=1,1,0),0)</f>
        <v>0</v>
      </c>
      <c r="W336" s="41" t="str">
        <f t="shared" si="30"/>
        <v>NA.25.XII.268-7</v>
      </c>
      <c r="X336" s="41" t="str">
        <f t="shared" si="31"/>
        <v/>
      </c>
    </row>
    <row r="337" s="32" customFormat="1" hidden="1" customHeight="1" spans="1:24">
      <c r="A337" s="34"/>
      <c r="B337" s="51">
        <v>332</v>
      </c>
      <c r="C337" s="51" t="s">
        <v>1177</v>
      </c>
      <c r="D337" s="52" t="s">
        <v>1175</v>
      </c>
      <c r="E337" s="53">
        <v>1</v>
      </c>
      <c r="F337" s="54" t="s">
        <v>29</v>
      </c>
      <c r="G337" s="54" t="s">
        <v>321</v>
      </c>
      <c r="H337" s="54" t="s">
        <v>322</v>
      </c>
      <c r="I337" s="66">
        <v>46018</v>
      </c>
      <c r="J337" s="54" t="s">
        <v>1166</v>
      </c>
      <c r="K337" s="67">
        <v>6</v>
      </c>
      <c r="L337" s="68" t="s">
        <v>1178</v>
      </c>
      <c r="M337" s="97" t="str">
        <f t="shared" si="28"/>
        <v>Open File</v>
      </c>
      <c r="N337" s="70" t="s">
        <v>1168</v>
      </c>
      <c r="O337" s="71" t="str">
        <f t="shared" si="32"/>
        <v>ACTIVE</v>
      </c>
      <c r="P337" s="66"/>
      <c r="Q337" s="66"/>
      <c r="R337" s="85"/>
      <c r="S337" s="82"/>
      <c r="T337" s="83" t="str">
        <f t="shared" si="29"/>
        <v/>
      </c>
      <c r="U337" s="10"/>
      <c r="V337" s="41">
        <f>IF(AND(Q337&lt;&gt;"",RIGHT(Q337,3)&lt;&gt;""),IF(COUNTIF($Q$6:Q337,Q337)=1,1,0),0)</f>
        <v>0</v>
      </c>
      <c r="W337" s="41" t="str">
        <f t="shared" si="30"/>
        <v>NA.25.XII.268-6</v>
      </c>
      <c r="X337" s="41" t="str">
        <f t="shared" si="31"/>
        <v/>
      </c>
    </row>
    <row r="338" s="32" customFormat="1" hidden="1" customHeight="1" spans="1:24">
      <c r="A338" s="34"/>
      <c r="B338" s="51">
        <v>333</v>
      </c>
      <c r="C338" s="51" t="s">
        <v>1179</v>
      </c>
      <c r="D338" s="52" t="s">
        <v>1180</v>
      </c>
      <c r="E338" s="53">
        <v>1</v>
      </c>
      <c r="F338" s="54" t="s">
        <v>29</v>
      </c>
      <c r="G338" s="54" t="s">
        <v>321</v>
      </c>
      <c r="H338" s="54" t="s">
        <v>322</v>
      </c>
      <c r="I338" s="66">
        <v>46018</v>
      </c>
      <c r="J338" s="54" t="s">
        <v>1166</v>
      </c>
      <c r="K338" s="67">
        <v>5</v>
      </c>
      <c r="L338" s="68" t="s">
        <v>1181</v>
      </c>
      <c r="M338" s="97" t="str">
        <f t="shared" si="28"/>
        <v>Open File</v>
      </c>
      <c r="N338" s="70" t="s">
        <v>1168</v>
      </c>
      <c r="O338" s="71" t="str">
        <f t="shared" si="32"/>
        <v>ACTIVE</v>
      </c>
      <c r="P338" s="66"/>
      <c r="Q338" s="66"/>
      <c r="R338" s="85"/>
      <c r="S338" s="82"/>
      <c r="T338" s="83" t="str">
        <f t="shared" si="29"/>
        <v/>
      </c>
      <c r="U338" s="10"/>
      <c r="V338" s="41">
        <f>IF(AND(Q338&lt;&gt;"",RIGHT(Q338,3)&lt;&gt;""),IF(COUNTIF($Q$6:Q338,Q338)=1,1,0),0)</f>
        <v>0</v>
      </c>
      <c r="W338" s="41" t="str">
        <f t="shared" si="30"/>
        <v>NA.25.XII.268-5</v>
      </c>
      <c r="X338" s="41" t="str">
        <f t="shared" si="31"/>
        <v/>
      </c>
    </row>
    <row r="339" s="32" customFormat="1" hidden="1" customHeight="1" spans="1:24">
      <c r="A339" s="34"/>
      <c r="B339" s="51">
        <v>334</v>
      </c>
      <c r="C339" s="51" t="s">
        <v>1182</v>
      </c>
      <c r="D339" s="52" t="s">
        <v>1183</v>
      </c>
      <c r="E339" s="53">
        <v>1</v>
      </c>
      <c r="F339" s="54" t="s">
        <v>29</v>
      </c>
      <c r="G339" s="54" t="s">
        <v>321</v>
      </c>
      <c r="H339" s="54" t="s">
        <v>322</v>
      </c>
      <c r="I339" s="66">
        <v>46018</v>
      </c>
      <c r="J339" s="54" t="s">
        <v>1166</v>
      </c>
      <c r="K339" s="67">
        <v>4</v>
      </c>
      <c r="L339" s="68" t="s">
        <v>1184</v>
      </c>
      <c r="M339" s="97" t="str">
        <f t="shared" si="28"/>
        <v>Open File</v>
      </c>
      <c r="N339" s="70" t="s">
        <v>1168</v>
      </c>
      <c r="O339" s="71" t="str">
        <f t="shared" si="32"/>
        <v>ACTIVE</v>
      </c>
      <c r="P339" s="66"/>
      <c r="Q339" s="66"/>
      <c r="R339" s="85"/>
      <c r="S339" s="82"/>
      <c r="T339" s="83" t="str">
        <f t="shared" si="29"/>
        <v/>
      </c>
      <c r="U339" s="10"/>
      <c r="V339" s="41">
        <f>IF(AND(Q339&lt;&gt;"",RIGHT(Q339,3)&lt;&gt;""),IF(COUNTIF($Q$6:Q339,Q339)=1,1,0),0)</f>
        <v>0</v>
      </c>
      <c r="W339" s="41" t="str">
        <f t="shared" si="30"/>
        <v>NA.25.XII.268-4</v>
      </c>
      <c r="X339" s="41" t="str">
        <f t="shared" si="31"/>
        <v/>
      </c>
    </row>
    <row r="340" s="32" customFormat="1" hidden="1" customHeight="1" spans="1:24">
      <c r="A340" s="34"/>
      <c r="B340" s="51">
        <v>335</v>
      </c>
      <c r="C340" s="51" t="s">
        <v>1185</v>
      </c>
      <c r="D340" s="52" t="s">
        <v>1183</v>
      </c>
      <c r="E340" s="53">
        <v>1</v>
      </c>
      <c r="F340" s="54" t="s">
        <v>29</v>
      </c>
      <c r="G340" s="54" t="s">
        <v>321</v>
      </c>
      <c r="H340" s="54" t="s">
        <v>322</v>
      </c>
      <c r="I340" s="66">
        <v>46018</v>
      </c>
      <c r="J340" s="54" t="s">
        <v>1166</v>
      </c>
      <c r="K340" s="67">
        <v>3</v>
      </c>
      <c r="L340" s="68" t="s">
        <v>1186</v>
      </c>
      <c r="M340" s="97" t="str">
        <f t="shared" si="28"/>
        <v>Open File</v>
      </c>
      <c r="N340" s="70" t="s">
        <v>1168</v>
      </c>
      <c r="O340" s="71" t="str">
        <f t="shared" si="32"/>
        <v>ACTIVE</v>
      </c>
      <c r="P340" s="66"/>
      <c r="Q340" s="66"/>
      <c r="R340" s="85"/>
      <c r="S340" s="82"/>
      <c r="T340" s="83" t="str">
        <f t="shared" si="29"/>
        <v/>
      </c>
      <c r="U340" s="10"/>
      <c r="V340" s="41">
        <f>IF(AND(Q340&lt;&gt;"",RIGHT(Q340,3)&lt;&gt;""),IF(COUNTIF($Q$6:Q340,Q340)=1,1,0),0)</f>
        <v>0</v>
      </c>
      <c r="W340" s="41" t="str">
        <f t="shared" si="30"/>
        <v>NA.25.XII.268-3</v>
      </c>
      <c r="X340" s="41" t="str">
        <f t="shared" si="31"/>
        <v/>
      </c>
    </row>
    <row r="341" s="32" customFormat="1" hidden="1" customHeight="1" spans="1:24">
      <c r="A341" s="34"/>
      <c r="B341" s="51">
        <v>336</v>
      </c>
      <c r="C341" s="51" t="s">
        <v>1187</v>
      </c>
      <c r="D341" s="52" t="s">
        <v>1188</v>
      </c>
      <c r="E341" s="53">
        <v>1</v>
      </c>
      <c r="F341" s="54" t="s">
        <v>29</v>
      </c>
      <c r="G341" s="54" t="s">
        <v>321</v>
      </c>
      <c r="H341" s="54" t="s">
        <v>322</v>
      </c>
      <c r="I341" s="66">
        <v>46018</v>
      </c>
      <c r="J341" s="54" t="s">
        <v>1166</v>
      </c>
      <c r="K341" s="67">
        <v>2</v>
      </c>
      <c r="L341" s="68" t="s">
        <v>1189</v>
      </c>
      <c r="M341" s="97" t="str">
        <f t="shared" si="28"/>
        <v>Open File</v>
      </c>
      <c r="N341" s="70" t="s">
        <v>1168</v>
      </c>
      <c r="O341" s="71" t="str">
        <f t="shared" si="32"/>
        <v>ACTIVE</v>
      </c>
      <c r="P341" s="66"/>
      <c r="Q341" s="66"/>
      <c r="R341" s="85"/>
      <c r="S341" s="82"/>
      <c r="T341" s="83" t="str">
        <f t="shared" si="29"/>
        <v/>
      </c>
      <c r="U341" s="10"/>
      <c r="V341" s="41">
        <f>IF(AND(Q341&lt;&gt;"",RIGHT(Q341,3)&lt;&gt;""),IF(COUNTIF($Q$6:Q341,Q341)=1,1,0),0)</f>
        <v>0</v>
      </c>
      <c r="W341" s="41" t="str">
        <f t="shared" si="30"/>
        <v>NA.25.XII.268-2</v>
      </c>
      <c r="X341" s="41" t="str">
        <f t="shared" si="31"/>
        <v/>
      </c>
    </row>
    <row r="342" s="32" customFormat="1" hidden="1" customHeight="1" spans="1:24">
      <c r="A342" s="34"/>
      <c r="B342" s="51">
        <v>337</v>
      </c>
      <c r="C342" s="51" t="s">
        <v>1190</v>
      </c>
      <c r="D342" s="52" t="s">
        <v>1188</v>
      </c>
      <c r="E342" s="53">
        <v>1</v>
      </c>
      <c r="F342" s="54" t="s">
        <v>29</v>
      </c>
      <c r="G342" s="54" t="s">
        <v>321</v>
      </c>
      <c r="H342" s="54" t="s">
        <v>322</v>
      </c>
      <c r="I342" s="66">
        <v>46018</v>
      </c>
      <c r="J342" s="54" t="s">
        <v>1166</v>
      </c>
      <c r="K342" s="67">
        <v>1</v>
      </c>
      <c r="L342" s="68" t="s">
        <v>1191</v>
      </c>
      <c r="M342" s="97" t="str">
        <f t="shared" si="28"/>
        <v>Open File</v>
      </c>
      <c r="N342" s="70" t="s">
        <v>1168</v>
      </c>
      <c r="O342" s="71" t="str">
        <f t="shared" si="32"/>
        <v>ACTIVE</v>
      </c>
      <c r="P342" s="66"/>
      <c r="Q342" s="66"/>
      <c r="R342" s="85"/>
      <c r="S342" s="82"/>
      <c r="T342" s="83" t="str">
        <f t="shared" si="29"/>
        <v/>
      </c>
      <c r="U342" s="10"/>
      <c r="V342" s="41">
        <f>IF(AND(Q342&lt;&gt;"",RIGHT(Q342,3)&lt;&gt;""),IF(COUNTIF($Q$6:Q342,Q342)=1,1,0),0)</f>
        <v>0</v>
      </c>
      <c r="W342" s="41" t="str">
        <f t="shared" si="30"/>
        <v>NA.25.XII.268-1</v>
      </c>
      <c r="X342" s="41" t="str">
        <f t="shared" si="31"/>
        <v/>
      </c>
    </row>
    <row r="343" s="32" customFormat="1" hidden="1" customHeight="1" spans="1:24">
      <c r="A343" s="34"/>
      <c r="B343" s="51">
        <v>338</v>
      </c>
      <c r="C343" s="51" t="s">
        <v>1192</v>
      </c>
      <c r="D343" s="52" t="s">
        <v>1193</v>
      </c>
      <c r="E343" s="53">
        <v>1</v>
      </c>
      <c r="F343" s="54" t="s">
        <v>29</v>
      </c>
      <c r="G343" s="54" t="s">
        <v>1194</v>
      </c>
      <c r="H343" s="54" t="s">
        <v>1195</v>
      </c>
      <c r="I343" s="66">
        <v>46020</v>
      </c>
      <c r="J343" s="54" t="s">
        <v>1196</v>
      </c>
      <c r="K343" s="67">
        <v>6</v>
      </c>
      <c r="L343" s="68" t="s">
        <v>1197</v>
      </c>
      <c r="M343" s="69" t="str">
        <f t="shared" si="28"/>
        <v>Open File</v>
      </c>
      <c r="N343" s="70" t="s">
        <v>1198</v>
      </c>
      <c r="O343" s="71" t="str">
        <f t="shared" si="32"/>
        <v>ACTIVE</v>
      </c>
      <c r="P343" s="66"/>
      <c r="Q343" s="66"/>
      <c r="R343" s="85"/>
      <c r="S343" s="82"/>
      <c r="T343" s="83" t="str">
        <f t="shared" si="29"/>
        <v/>
      </c>
      <c r="U343" s="10"/>
      <c r="V343" s="41">
        <f>IF(AND(Q343&lt;&gt;"",RIGHT(Q343,3)&lt;&gt;""),IF(COUNTIF($Q$6:Q343,Q343)=1,1,0),0)</f>
        <v>0</v>
      </c>
      <c r="W343" s="41" t="str">
        <f t="shared" si="30"/>
        <v>NA.25.XII.279-6</v>
      </c>
      <c r="X343" s="41" t="str">
        <f t="shared" si="31"/>
        <v/>
      </c>
    </row>
    <row r="344" s="32" customFormat="1" hidden="1" customHeight="1" spans="1:24">
      <c r="A344" s="34"/>
      <c r="B344" s="51">
        <v>339</v>
      </c>
      <c r="C344" s="51" t="s">
        <v>1199</v>
      </c>
      <c r="D344" s="52" t="s">
        <v>1200</v>
      </c>
      <c r="E344" s="53">
        <v>1</v>
      </c>
      <c r="F344" s="54" t="s">
        <v>29</v>
      </c>
      <c r="G344" s="54" t="s">
        <v>1194</v>
      </c>
      <c r="H344" s="54" t="s">
        <v>1195</v>
      </c>
      <c r="I344" s="66">
        <v>46020</v>
      </c>
      <c r="J344" s="54" t="s">
        <v>1196</v>
      </c>
      <c r="K344" s="67">
        <v>5</v>
      </c>
      <c r="L344" s="68" t="s">
        <v>1201</v>
      </c>
      <c r="M344" s="74" t="str">
        <f t="shared" si="28"/>
        <v>Open File</v>
      </c>
      <c r="N344" s="70" t="s">
        <v>1198</v>
      </c>
      <c r="O344" s="71" t="str">
        <f t="shared" si="32"/>
        <v>ACTIVE</v>
      </c>
      <c r="P344" s="66"/>
      <c r="Q344" s="66"/>
      <c r="R344" s="85"/>
      <c r="S344" s="82"/>
      <c r="T344" s="83" t="str">
        <f t="shared" si="29"/>
        <v/>
      </c>
      <c r="U344" s="10"/>
      <c r="V344" s="41">
        <f>IF(AND(Q344&lt;&gt;"",RIGHT(Q344,3)&lt;&gt;""),IF(COUNTIF($Q$6:Q344,Q344)=1,1,0),0)</f>
        <v>0</v>
      </c>
      <c r="W344" s="41" t="str">
        <f t="shared" si="30"/>
        <v>NA.25.XII.279-5</v>
      </c>
      <c r="X344" s="41" t="str">
        <f t="shared" si="31"/>
        <v/>
      </c>
    </row>
    <row r="345" s="32" customFormat="1" hidden="1" customHeight="1" spans="1:24">
      <c r="A345" s="34"/>
      <c r="B345" s="51">
        <v>340</v>
      </c>
      <c r="C345" s="51" t="s">
        <v>1202</v>
      </c>
      <c r="D345" s="52" t="s">
        <v>1203</v>
      </c>
      <c r="E345" s="53">
        <v>1</v>
      </c>
      <c r="F345" s="54" t="s">
        <v>29</v>
      </c>
      <c r="G345" s="54" t="s">
        <v>1194</v>
      </c>
      <c r="H345" s="54" t="s">
        <v>1195</v>
      </c>
      <c r="I345" s="66">
        <v>46020</v>
      </c>
      <c r="J345" s="54" t="s">
        <v>1196</v>
      </c>
      <c r="K345" s="67">
        <v>4</v>
      </c>
      <c r="L345" s="68" t="s">
        <v>1204</v>
      </c>
      <c r="M345" s="74" t="str">
        <f t="shared" si="28"/>
        <v>Open File</v>
      </c>
      <c r="N345" s="70" t="s">
        <v>1198</v>
      </c>
      <c r="O345" s="71" t="str">
        <f t="shared" si="32"/>
        <v>ACTIVE</v>
      </c>
      <c r="P345" s="66"/>
      <c r="Q345" s="66"/>
      <c r="R345" s="85"/>
      <c r="S345" s="82"/>
      <c r="T345" s="83" t="str">
        <f t="shared" si="29"/>
        <v/>
      </c>
      <c r="U345" s="10"/>
      <c r="V345" s="41">
        <f>IF(AND(Q345&lt;&gt;"",RIGHT(Q345,3)&lt;&gt;""),IF(COUNTIF($Q$6:Q345,Q345)=1,1,0),0)</f>
        <v>0</v>
      </c>
      <c r="W345" s="41" t="str">
        <f t="shared" si="30"/>
        <v>NA.25.XII.279-4</v>
      </c>
      <c r="X345" s="41" t="str">
        <f t="shared" si="31"/>
        <v/>
      </c>
    </row>
    <row r="346" s="32" customFormat="1" hidden="1" customHeight="1" spans="1:24">
      <c r="A346" s="34"/>
      <c r="B346" s="51">
        <v>341</v>
      </c>
      <c r="C346" s="51" t="s">
        <v>1205</v>
      </c>
      <c r="D346" s="52" t="s">
        <v>497</v>
      </c>
      <c r="E346" s="53">
        <v>1</v>
      </c>
      <c r="F346" s="54" t="s">
        <v>29</v>
      </c>
      <c r="G346" s="54" t="s">
        <v>1194</v>
      </c>
      <c r="H346" s="54" t="s">
        <v>1195</v>
      </c>
      <c r="I346" s="66">
        <v>46020</v>
      </c>
      <c r="J346" s="54" t="s">
        <v>1196</v>
      </c>
      <c r="K346" s="67">
        <v>3</v>
      </c>
      <c r="L346" s="68" t="s">
        <v>1206</v>
      </c>
      <c r="M346" s="74" t="str">
        <f t="shared" si="28"/>
        <v>Open File</v>
      </c>
      <c r="N346" s="70" t="s">
        <v>1198</v>
      </c>
      <c r="O346" s="71" t="str">
        <f t="shared" si="32"/>
        <v>ACTIVE</v>
      </c>
      <c r="P346" s="66"/>
      <c r="Q346" s="66"/>
      <c r="R346" s="85"/>
      <c r="S346" s="82"/>
      <c r="T346" s="83" t="str">
        <f t="shared" si="29"/>
        <v/>
      </c>
      <c r="U346" s="10"/>
      <c r="V346" s="41">
        <f>IF(AND(Q346&lt;&gt;"",RIGHT(Q346,3)&lt;&gt;""),IF(COUNTIF($Q$6:Q346,Q346)=1,1,0),0)</f>
        <v>0</v>
      </c>
      <c r="W346" s="41" t="str">
        <f t="shared" si="30"/>
        <v>NA.25.XII.279-3</v>
      </c>
      <c r="X346" s="41" t="str">
        <f t="shared" si="31"/>
        <v/>
      </c>
    </row>
    <row r="347" s="32" customFormat="1" customHeight="1" spans="1:24">
      <c r="A347" s="34"/>
      <c r="B347" s="51">
        <v>342</v>
      </c>
      <c r="C347" s="51" t="s">
        <v>1207</v>
      </c>
      <c r="D347" s="52" t="s">
        <v>1208</v>
      </c>
      <c r="E347" s="53">
        <v>1</v>
      </c>
      <c r="F347" s="54" t="s">
        <v>29</v>
      </c>
      <c r="G347" s="54" t="s">
        <v>1194</v>
      </c>
      <c r="H347" s="54" t="s">
        <v>1195</v>
      </c>
      <c r="I347" s="66">
        <v>46020</v>
      </c>
      <c r="J347" s="54" t="s">
        <v>1196</v>
      </c>
      <c r="K347" s="67">
        <v>2</v>
      </c>
      <c r="L347" s="68" t="s">
        <v>1209</v>
      </c>
      <c r="M347" s="69" t="str">
        <f t="shared" si="28"/>
        <v>Open File</v>
      </c>
      <c r="N347" s="70" t="s">
        <v>1198</v>
      </c>
      <c r="O347" s="71" t="str">
        <f t="shared" si="32"/>
        <v>ACTIVE</v>
      </c>
      <c r="P347" s="66">
        <v>46088</v>
      </c>
      <c r="Q347" s="66" t="s">
        <v>1210</v>
      </c>
      <c r="R347" s="85" t="s">
        <v>226</v>
      </c>
      <c r="S347" s="84"/>
      <c r="T347" s="83" t="str">
        <f t="shared" si="29"/>
        <v/>
      </c>
      <c r="U347" s="10" t="s">
        <v>1211</v>
      </c>
      <c r="V347" s="41">
        <f>IF(AND(Q347&lt;&gt;"",RIGHT(Q347,3)&lt;&gt;""),IF(COUNTIF($Q$6:Q347,Q347)=1,1,0),0)</f>
        <v>1</v>
      </c>
      <c r="W347" s="41" t="str">
        <f t="shared" si="30"/>
        <v>NA.25.XII.279-2</v>
      </c>
      <c r="X347" s="41" t="str">
        <f t="shared" si="31"/>
        <v>RI.NV.26.III.009-1</v>
      </c>
    </row>
    <row r="348" s="32" customFormat="1" customHeight="1" spans="1:24">
      <c r="A348" s="34"/>
      <c r="B348" s="51">
        <v>343</v>
      </c>
      <c r="C348" s="51" t="s">
        <v>1212</v>
      </c>
      <c r="D348" s="52" t="s">
        <v>1213</v>
      </c>
      <c r="E348" s="53">
        <v>1</v>
      </c>
      <c r="F348" s="54" t="s">
        <v>29</v>
      </c>
      <c r="G348" s="54" t="s">
        <v>1194</v>
      </c>
      <c r="H348" s="54" t="s">
        <v>1195</v>
      </c>
      <c r="I348" s="66">
        <v>46020</v>
      </c>
      <c r="J348" s="54" t="s">
        <v>1196</v>
      </c>
      <c r="K348" s="67">
        <v>1</v>
      </c>
      <c r="L348" s="68" t="s">
        <v>1214</v>
      </c>
      <c r="M348" s="74" t="str">
        <f t="shared" si="28"/>
        <v>Open File</v>
      </c>
      <c r="N348" s="70" t="s">
        <v>1198</v>
      </c>
      <c r="O348" s="71" t="str">
        <f t="shared" si="32"/>
        <v>ACTIVE</v>
      </c>
      <c r="P348" s="66"/>
      <c r="Q348" s="66"/>
      <c r="R348" s="85"/>
      <c r="S348" s="82"/>
      <c r="T348" s="83" t="str">
        <f t="shared" si="29"/>
        <v/>
      </c>
      <c r="U348" s="10"/>
      <c r="V348" s="41">
        <f>IF(AND(Q348&lt;&gt;"",RIGHT(Q348,3)&lt;&gt;""),IF(COUNTIF($Q$6:Q348,Q348)=1,1,0),0)</f>
        <v>0</v>
      </c>
      <c r="W348" s="41" t="str">
        <f t="shared" si="30"/>
        <v>NA.25.XII.279-1</v>
      </c>
      <c r="X348" s="41" t="str">
        <f t="shared" si="31"/>
        <v/>
      </c>
    </row>
    <row r="349" s="32" customFormat="1" hidden="1" customHeight="1" spans="1:24">
      <c r="A349" s="34"/>
      <c r="B349" s="51">
        <v>344</v>
      </c>
      <c r="C349" s="51" t="s">
        <v>1215</v>
      </c>
      <c r="D349" s="52" t="s">
        <v>1216</v>
      </c>
      <c r="E349" s="53">
        <v>1</v>
      </c>
      <c r="F349" s="54" t="s">
        <v>29</v>
      </c>
      <c r="G349" s="54" t="s">
        <v>1025</v>
      </c>
      <c r="H349" s="54" t="s">
        <v>37</v>
      </c>
      <c r="I349" s="66">
        <v>46022</v>
      </c>
      <c r="J349" s="54" t="s">
        <v>1217</v>
      </c>
      <c r="K349" s="67">
        <v>1</v>
      </c>
      <c r="L349" s="68" t="s">
        <v>1218</v>
      </c>
      <c r="M349" s="97" t="str">
        <f t="shared" si="28"/>
        <v>Open File</v>
      </c>
      <c r="N349" s="70" t="s">
        <v>1219</v>
      </c>
      <c r="O349" s="71" t="str">
        <f t="shared" si="32"/>
        <v>PASSIVE</v>
      </c>
      <c r="P349" s="66">
        <v>46079</v>
      </c>
      <c r="Q349" s="66" t="s">
        <v>1220</v>
      </c>
      <c r="R349" s="85">
        <v>1</v>
      </c>
      <c r="S349" s="86" t="s">
        <v>1221</v>
      </c>
      <c r="T349" s="87" t="str">
        <f t="shared" si="29"/>
        <v>Open File</v>
      </c>
      <c r="U349" s="10" t="s">
        <v>1222</v>
      </c>
      <c r="V349" s="41">
        <f>IF(AND(Q349&lt;&gt;"",RIGHT(Q349,3)&lt;&gt;""),IF(COUNTIF($Q$6:Q349,Q349)=1,1,0),0)</f>
        <v>1</v>
      </c>
      <c r="W349" s="41" t="str">
        <f t="shared" si="30"/>
        <v>NA.25.XII.306-1</v>
      </c>
      <c r="X349" s="41" t="str">
        <f t="shared" si="31"/>
        <v>RI.NV.26.II.074-1</v>
      </c>
    </row>
    <row r="350" s="32" customFormat="1" hidden="1" customHeight="1" spans="1:24">
      <c r="A350" s="34"/>
      <c r="B350" s="51">
        <v>345</v>
      </c>
      <c r="C350" s="51" t="s">
        <v>1223</v>
      </c>
      <c r="D350" s="52" t="s">
        <v>497</v>
      </c>
      <c r="E350" s="53">
        <v>1</v>
      </c>
      <c r="F350" s="54" t="s">
        <v>29</v>
      </c>
      <c r="G350" s="54" t="s">
        <v>321</v>
      </c>
      <c r="H350" s="54" t="s">
        <v>322</v>
      </c>
      <c r="I350" s="66">
        <v>46031</v>
      </c>
      <c r="J350" s="54" t="s">
        <v>1224</v>
      </c>
      <c r="K350" s="67">
        <v>1</v>
      </c>
      <c r="L350" s="68" t="s">
        <v>1225</v>
      </c>
      <c r="M350" s="83" t="str">
        <f t="shared" si="28"/>
        <v>Open File</v>
      </c>
      <c r="N350" s="70" t="s">
        <v>1226</v>
      </c>
      <c r="O350" s="71" t="str">
        <f t="shared" si="32"/>
        <v>ACTIVE</v>
      </c>
      <c r="P350" s="66"/>
      <c r="Q350" s="66"/>
      <c r="R350" s="54"/>
      <c r="S350" s="82"/>
      <c r="T350" s="83" t="str">
        <f t="shared" si="29"/>
        <v/>
      </c>
      <c r="U350" s="10"/>
      <c r="V350" s="41">
        <f>IF(AND(Q350&lt;&gt;"",RIGHT(Q350,3)&lt;&gt;""),IF(COUNTIF($Q$6:Q350,Q350)=1,1,0),0)</f>
        <v>0</v>
      </c>
      <c r="W350" s="41" t="str">
        <f t="shared" si="30"/>
        <v>NA.26.I.076-1</v>
      </c>
      <c r="X350" s="41" t="str">
        <f t="shared" si="31"/>
        <v/>
      </c>
    </row>
    <row r="351" s="32" customFormat="1" hidden="1" customHeight="1" spans="1:24">
      <c r="A351" s="34"/>
      <c r="B351" s="51">
        <v>346</v>
      </c>
      <c r="C351" s="51" t="s">
        <v>1227</v>
      </c>
      <c r="D351" s="52" t="s">
        <v>320</v>
      </c>
      <c r="E351" s="53">
        <v>1</v>
      </c>
      <c r="F351" s="54" t="s">
        <v>29</v>
      </c>
      <c r="G351" s="54" t="s">
        <v>321</v>
      </c>
      <c r="H351" s="54" t="s">
        <v>322</v>
      </c>
      <c r="I351" s="66">
        <v>46035</v>
      </c>
      <c r="J351" s="54" t="s">
        <v>1228</v>
      </c>
      <c r="K351" s="67">
        <v>1</v>
      </c>
      <c r="L351" s="68" t="s">
        <v>964</v>
      </c>
      <c r="M351" s="97" t="str">
        <f t="shared" si="28"/>
        <v>Open File</v>
      </c>
      <c r="N351" s="70" t="s">
        <v>1229</v>
      </c>
      <c r="O351" s="71" t="str">
        <f t="shared" si="32"/>
        <v>ACTIVE</v>
      </c>
      <c r="P351" s="66"/>
      <c r="Q351" s="66"/>
      <c r="R351" s="54"/>
      <c r="S351" s="82"/>
      <c r="T351" s="83" t="str">
        <f t="shared" si="29"/>
        <v/>
      </c>
      <c r="U351" s="10"/>
      <c r="V351" s="41">
        <f>IF(AND(Q351&lt;&gt;"",RIGHT(Q351,3)&lt;&gt;""),IF(COUNTIF($Q$6:Q351,Q351)=1,1,0),0)</f>
        <v>0</v>
      </c>
      <c r="W351" s="41" t="str">
        <f t="shared" si="30"/>
        <v>NA.26.I.155-1</v>
      </c>
      <c r="X351" s="41" t="str">
        <f t="shared" si="31"/>
        <v/>
      </c>
    </row>
    <row r="352" s="32" customFormat="1" hidden="1" customHeight="1" spans="1:24">
      <c r="A352" s="34"/>
      <c r="B352" s="51">
        <v>347</v>
      </c>
      <c r="C352" s="51" t="s">
        <v>1230</v>
      </c>
      <c r="D352" s="52" t="s">
        <v>320</v>
      </c>
      <c r="E352" s="53">
        <v>1</v>
      </c>
      <c r="F352" s="54" t="s">
        <v>29</v>
      </c>
      <c r="G352" s="54" t="s">
        <v>321</v>
      </c>
      <c r="H352" s="54" t="s">
        <v>322</v>
      </c>
      <c r="I352" s="66">
        <v>46035</v>
      </c>
      <c r="J352" s="54" t="s">
        <v>1228</v>
      </c>
      <c r="K352" s="67">
        <v>2</v>
      </c>
      <c r="L352" s="68" t="s">
        <v>961</v>
      </c>
      <c r="M352" s="97" t="str">
        <f t="shared" si="28"/>
        <v>Open File</v>
      </c>
      <c r="N352" s="70" t="s">
        <v>1229</v>
      </c>
      <c r="O352" s="71" t="str">
        <f t="shared" si="32"/>
        <v>ACTIVE</v>
      </c>
      <c r="P352" s="66"/>
      <c r="Q352" s="66"/>
      <c r="R352" s="54"/>
      <c r="S352" s="82"/>
      <c r="T352" s="83" t="str">
        <f t="shared" si="29"/>
        <v/>
      </c>
      <c r="U352" s="10"/>
      <c r="V352" s="41">
        <f>IF(AND(Q352&lt;&gt;"",RIGHT(Q352,3)&lt;&gt;""),IF(COUNTIF($Q$6:Q352,Q352)=1,1,0),0)</f>
        <v>0</v>
      </c>
      <c r="W352" s="41" t="str">
        <f>IF(AND(K352&lt;&gt;"",L352&lt;&gt;""),_xlfn.CONCAT(SUBSTITUTE(K352,"/","."),"-",L352),"")</f>
        <v>2-NA.25.X.155-2</v>
      </c>
      <c r="X352" s="41" t="str">
        <f t="shared" si="31"/>
        <v/>
      </c>
    </row>
    <row r="353" s="32" customFormat="1" hidden="1" customHeight="1" spans="1:24">
      <c r="A353" s="34"/>
      <c r="B353" s="51">
        <v>348</v>
      </c>
      <c r="C353" s="51" t="s">
        <v>1231</v>
      </c>
      <c r="D353" s="52" t="s">
        <v>320</v>
      </c>
      <c r="E353" s="53">
        <v>1</v>
      </c>
      <c r="F353" s="54" t="s">
        <v>29</v>
      </c>
      <c r="G353" s="54" t="s">
        <v>321</v>
      </c>
      <c r="H353" s="54" t="s">
        <v>322</v>
      </c>
      <c r="I353" s="66">
        <v>46035</v>
      </c>
      <c r="J353" s="54" t="s">
        <v>1228</v>
      </c>
      <c r="K353" s="67">
        <v>3</v>
      </c>
      <c r="L353" s="68" t="s">
        <v>958</v>
      </c>
      <c r="M353" s="97" t="str">
        <f t="shared" si="28"/>
        <v>Open File</v>
      </c>
      <c r="N353" s="70" t="s">
        <v>1229</v>
      </c>
      <c r="O353" s="71" t="str">
        <f t="shared" si="32"/>
        <v>ACTIVE</v>
      </c>
      <c r="P353" s="66"/>
      <c r="Q353" s="66"/>
      <c r="R353" s="54"/>
      <c r="S353" s="82"/>
      <c r="T353" s="83" t="str">
        <f t="shared" si="29"/>
        <v/>
      </c>
      <c r="U353" s="10"/>
      <c r="V353" s="41">
        <f>IF(AND(Q353&lt;&gt;"",RIGHT(Q353,3)&lt;&gt;""),IF(COUNTIF($Q$6:Q353,Q353)=1,1,0),0)</f>
        <v>0</v>
      </c>
      <c r="W353" s="41" t="str">
        <f>IF(AND(K353&lt;&gt;"",L353&lt;&gt;""),_xlfn.CONCAT(SUBSTITUTE(K353,"/","."),"-",L353),"")</f>
        <v>3-NA.25.X.155-3</v>
      </c>
      <c r="X353" s="41" t="str">
        <f t="shared" si="31"/>
        <v/>
      </c>
    </row>
    <row r="354" s="32" customFormat="1" hidden="1" customHeight="1" spans="1:24">
      <c r="A354" s="34"/>
      <c r="B354" s="51">
        <v>349</v>
      </c>
      <c r="C354" s="51" t="s">
        <v>1232</v>
      </c>
      <c r="D354" s="52" t="s">
        <v>327</v>
      </c>
      <c r="E354" s="53">
        <v>1</v>
      </c>
      <c r="F354" s="54" t="s">
        <v>29</v>
      </c>
      <c r="G354" s="54" t="s">
        <v>321</v>
      </c>
      <c r="H354" s="54" t="s">
        <v>322</v>
      </c>
      <c r="I354" s="66">
        <v>46035</v>
      </c>
      <c r="J354" s="54" t="s">
        <v>1228</v>
      </c>
      <c r="K354" s="67">
        <v>4</v>
      </c>
      <c r="L354" s="68" t="s">
        <v>955</v>
      </c>
      <c r="M354" s="97" t="str">
        <f t="shared" si="28"/>
        <v>Open File</v>
      </c>
      <c r="N354" s="70" t="s">
        <v>1229</v>
      </c>
      <c r="O354" s="71" t="str">
        <f t="shared" si="32"/>
        <v>ACTIVE</v>
      </c>
      <c r="P354" s="66"/>
      <c r="Q354" s="66"/>
      <c r="R354" s="54"/>
      <c r="S354" s="82"/>
      <c r="T354" s="83" t="str">
        <f t="shared" si="29"/>
        <v/>
      </c>
      <c r="U354" s="10"/>
      <c r="V354" s="41">
        <f>IF(AND(Q354&lt;&gt;"",RIGHT(Q354,3)&lt;&gt;""),IF(COUNTIF($Q$6:Q354,Q354)=1,1,0),0)</f>
        <v>0</v>
      </c>
      <c r="W354" s="41" t="str">
        <f>IF(AND(K354&lt;&gt;"",L354&lt;&gt;""),_xlfn.CONCAT(SUBSTITUTE(K354,"/","."),"-",L354),"")</f>
        <v>4-NA.25.X.155-4</v>
      </c>
      <c r="X354" s="41" t="str">
        <f t="shared" si="31"/>
        <v/>
      </c>
    </row>
    <row r="355" s="32" customFormat="1" hidden="1" customHeight="1" spans="1:24">
      <c r="A355" s="34"/>
      <c r="B355" s="51">
        <v>350</v>
      </c>
      <c r="C355" s="51" t="s">
        <v>1233</v>
      </c>
      <c r="D355" s="52" t="s">
        <v>327</v>
      </c>
      <c r="E355" s="53">
        <v>1</v>
      </c>
      <c r="F355" s="54" t="s">
        <v>29</v>
      </c>
      <c r="G355" s="54" t="s">
        <v>321</v>
      </c>
      <c r="H355" s="54" t="s">
        <v>322</v>
      </c>
      <c r="I355" s="66">
        <v>46035</v>
      </c>
      <c r="J355" s="54" t="s">
        <v>1228</v>
      </c>
      <c r="K355" s="67">
        <v>5</v>
      </c>
      <c r="L355" s="68" t="s">
        <v>952</v>
      </c>
      <c r="M355" s="97" t="str">
        <f t="shared" si="28"/>
        <v>Open File</v>
      </c>
      <c r="N355" s="70" t="s">
        <v>1229</v>
      </c>
      <c r="O355" s="71" t="str">
        <f t="shared" si="32"/>
        <v>ACTIVE</v>
      </c>
      <c r="P355" s="66"/>
      <c r="Q355" s="66"/>
      <c r="R355" s="54"/>
      <c r="S355" s="82"/>
      <c r="T355" s="83" t="str">
        <f t="shared" si="29"/>
        <v/>
      </c>
      <c r="U355" s="10"/>
      <c r="V355" s="41">
        <f>IF(AND(Q355&lt;&gt;"",RIGHT(Q355,3)&lt;&gt;""),IF(COUNTIF($Q$6:Q355,Q355)=1,1,0),0)</f>
        <v>0</v>
      </c>
      <c r="W355" s="41" t="str">
        <f>IF(AND(K355&lt;&gt;"",L355&lt;&gt;""),_xlfn.CONCAT(SUBSTITUTE(K355,"/","."),"-",L355),"")</f>
        <v>5-NA.25.X.155-5</v>
      </c>
      <c r="X355" s="41" t="str">
        <f t="shared" si="31"/>
        <v/>
      </c>
    </row>
    <row r="356" s="32" customFormat="1" hidden="1" customHeight="1" spans="1:24">
      <c r="A356" s="34"/>
      <c r="B356" s="51">
        <v>351</v>
      </c>
      <c r="C356" s="51" t="s">
        <v>1234</v>
      </c>
      <c r="D356" s="52" t="s">
        <v>327</v>
      </c>
      <c r="E356" s="53">
        <v>1</v>
      </c>
      <c r="F356" s="54" t="s">
        <v>29</v>
      </c>
      <c r="G356" s="54" t="s">
        <v>321</v>
      </c>
      <c r="H356" s="54" t="s">
        <v>322</v>
      </c>
      <c r="I356" s="66">
        <v>46035</v>
      </c>
      <c r="J356" s="54" t="s">
        <v>1228</v>
      </c>
      <c r="K356" s="67">
        <v>6</v>
      </c>
      <c r="L356" s="68" t="s">
        <v>949</v>
      </c>
      <c r="M356" s="97" t="str">
        <f t="shared" ref="M356:M393" si="33">IF(L356="","",HYPERLINK(_xlfn.CONCAT($L$4,L356,".jpg"),"Open File"))</f>
        <v>Open File</v>
      </c>
      <c r="N356" s="70" t="s">
        <v>1229</v>
      </c>
      <c r="O356" s="71" t="str">
        <f t="shared" ref="O356:O399" si="34">IF(AND(Q356&lt;&gt;"",T356&lt;&gt;""),"PASSIVE",IF(AND(J356&lt;&gt;"",M356&lt;&gt;""),"ACTIVE",""))</f>
        <v>ACTIVE</v>
      </c>
      <c r="P356" s="66"/>
      <c r="Q356" s="66"/>
      <c r="R356" s="54"/>
      <c r="S356" s="82"/>
      <c r="T356" s="83" t="str">
        <f t="shared" ref="T356:T393" si="35">IF(S356="","",HYPERLINK(_xlfn.CONCAT($S$4,S356,".jpg"),"Open File"))</f>
        <v/>
      </c>
      <c r="U356" s="10"/>
      <c r="V356" s="41">
        <f>IF(AND(Q356&lt;&gt;"",RIGHT(Q356,3)&lt;&gt;""),IF(COUNTIF($Q$6:Q356,Q356)=1,1,0),0)</f>
        <v>0</v>
      </c>
      <c r="W356" s="41" t="str">
        <f t="shared" ref="W356:W393" si="36">IF(AND(J356&lt;&gt;"",K356&lt;&gt;""),_xlfn.CONCAT(SUBSTITUTE(J356,"/","."),"-",K356),"")</f>
        <v>NA.26.I.155-6</v>
      </c>
      <c r="X356" s="41" t="str">
        <f t="shared" ref="X356:X393" si="37">IF(AND(Q356&lt;&gt;"",R356&lt;&gt;""),_xlfn.CONCAT(SUBSTITUTE(Q356,"/","."),"-",R356),"")</f>
        <v/>
      </c>
    </row>
    <row r="357" s="32" customFormat="1" hidden="1" customHeight="1" spans="1:24">
      <c r="A357" s="34"/>
      <c r="B357" s="51">
        <v>352</v>
      </c>
      <c r="C357" s="51" t="s">
        <v>1235</v>
      </c>
      <c r="D357" s="52" t="s">
        <v>1006</v>
      </c>
      <c r="E357" s="53">
        <v>1</v>
      </c>
      <c r="F357" s="54" t="s">
        <v>29</v>
      </c>
      <c r="G357" s="54" t="s">
        <v>980</v>
      </c>
      <c r="H357" s="54" t="s">
        <v>37</v>
      </c>
      <c r="I357" s="66">
        <v>46042</v>
      </c>
      <c r="J357" s="54" t="s">
        <v>1236</v>
      </c>
      <c r="K357" s="67">
        <v>2</v>
      </c>
      <c r="L357" s="68" t="s">
        <v>1237</v>
      </c>
      <c r="M357" s="97" t="str">
        <f t="shared" si="33"/>
        <v>Open File</v>
      </c>
      <c r="N357" s="70" t="s">
        <v>1238</v>
      </c>
      <c r="O357" s="71" t="str">
        <f t="shared" si="34"/>
        <v>PASSIVE</v>
      </c>
      <c r="P357" s="66">
        <v>46181</v>
      </c>
      <c r="Q357" s="66" t="s">
        <v>248</v>
      </c>
      <c r="R357" s="54" t="s">
        <v>1239</v>
      </c>
      <c r="S357" s="82" t="s">
        <v>1240</v>
      </c>
      <c r="T357" s="83" t="str">
        <f t="shared" si="35"/>
        <v>Open File</v>
      </c>
      <c r="U357" s="10" t="s">
        <v>251</v>
      </c>
      <c r="V357" s="41">
        <f>IF(AND(Q357&lt;&gt;"",RIGHT(Q357,3)&lt;&gt;""),IF(COUNTIF($Q$6:Q357,Q357)=1,1,0),0)</f>
        <v>0</v>
      </c>
      <c r="W357" s="41" t="str">
        <f t="shared" si="36"/>
        <v>NA.26.I.157-2</v>
      </c>
      <c r="X357" s="41" t="str">
        <f t="shared" si="37"/>
        <v>RI.NV.26.VI.008-2</v>
      </c>
    </row>
    <row r="358" s="32" customFormat="1" hidden="1" customHeight="1" spans="1:24">
      <c r="A358" s="34"/>
      <c r="B358" s="51">
        <v>353</v>
      </c>
      <c r="C358" s="51" t="s">
        <v>1241</v>
      </c>
      <c r="D358" s="52" t="s">
        <v>353</v>
      </c>
      <c r="E358" s="53">
        <v>1</v>
      </c>
      <c r="F358" s="54" t="s">
        <v>29</v>
      </c>
      <c r="G358" s="54" t="s">
        <v>321</v>
      </c>
      <c r="H358" s="54" t="s">
        <v>322</v>
      </c>
      <c r="I358" s="66">
        <v>46043</v>
      </c>
      <c r="J358" s="54" t="s">
        <v>1242</v>
      </c>
      <c r="K358" s="67">
        <v>2</v>
      </c>
      <c r="L358" s="68" t="s">
        <v>1243</v>
      </c>
      <c r="M358" s="73" t="str">
        <f t="shared" si="33"/>
        <v>Open File</v>
      </c>
      <c r="N358" s="70" t="s">
        <v>1244</v>
      </c>
      <c r="O358" s="71" t="str">
        <f t="shared" si="34"/>
        <v>ACTIVE</v>
      </c>
      <c r="P358" s="66"/>
      <c r="Q358" s="66"/>
      <c r="R358" s="54"/>
      <c r="S358" s="82"/>
      <c r="T358" s="83" t="str">
        <f t="shared" si="35"/>
        <v/>
      </c>
      <c r="U358" s="10"/>
      <c r="V358" s="41">
        <f>IF(AND(Q358&lt;&gt;"",RIGHT(Q358,3)&lt;&gt;""),IF(COUNTIF($Q$6:Q358,Q358)=1,1,0),0)</f>
        <v>0</v>
      </c>
      <c r="W358" s="41" t="str">
        <f t="shared" si="36"/>
        <v>NA.26.I.165-2</v>
      </c>
      <c r="X358" s="41" t="str">
        <f t="shared" si="37"/>
        <v/>
      </c>
    </row>
    <row r="359" s="32" customFormat="1" hidden="1" customHeight="1" spans="1:24">
      <c r="A359" s="34"/>
      <c r="B359" s="51">
        <v>354</v>
      </c>
      <c r="C359" s="51" t="s">
        <v>1245</v>
      </c>
      <c r="D359" s="52" t="s">
        <v>353</v>
      </c>
      <c r="E359" s="53">
        <v>1</v>
      </c>
      <c r="F359" s="54" t="s">
        <v>29</v>
      </c>
      <c r="G359" s="54" t="s">
        <v>321</v>
      </c>
      <c r="H359" s="54" t="s">
        <v>322</v>
      </c>
      <c r="I359" s="66">
        <v>46043</v>
      </c>
      <c r="J359" s="54" t="s">
        <v>1242</v>
      </c>
      <c r="K359" s="67">
        <v>1</v>
      </c>
      <c r="L359" s="68" t="s">
        <v>1246</v>
      </c>
      <c r="M359" s="73" t="str">
        <f t="shared" si="33"/>
        <v>Open File</v>
      </c>
      <c r="N359" s="70" t="s">
        <v>1244</v>
      </c>
      <c r="O359" s="71" t="str">
        <f t="shared" si="34"/>
        <v>ACTIVE</v>
      </c>
      <c r="P359" s="66"/>
      <c r="Q359" s="66"/>
      <c r="R359" s="54"/>
      <c r="S359" s="82"/>
      <c r="T359" s="83" t="str">
        <f t="shared" si="35"/>
        <v/>
      </c>
      <c r="U359" s="10"/>
      <c r="V359" s="41">
        <f>IF(AND(Q359&lt;&gt;"",RIGHT(Q359,3)&lt;&gt;""),IF(COUNTIF($Q$6:Q359,Q359)=1,1,0),0)</f>
        <v>0</v>
      </c>
      <c r="W359" s="41" t="str">
        <f t="shared" si="36"/>
        <v>NA.26.I.165-1</v>
      </c>
      <c r="X359" s="41" t="str">
        <f t="shared" si="37"/>
        <v/>
      </c>
    </row>
    <row r="360" s="32" customFormat="1" hidden="1" customHeight="1" spans="1:24">
      <c r="A360" s="34"/>
      <c r="B360" s="51">
        <v>355</v>
      </c>
      <c r="C360" s="51" t="s">
        <v>1247</v>
      </c>
      <c r="D360" s="52" t="s">
        <v>1248</v>
      </c>
      <c r="E360" s="53">
        <v>1</v>
      </c>
      <c r="F360" s="54" t="s">
        <v>29</v>
      </c>
      <c r="G360" s="54" t="s">
        <v>1249</v>
      </c>
      <c r="H360" s="54" t="s">
        <v>1249</v>
      </c>
      <c r="I360" s="66">
        <v>46048</v>
      </c>
      <c r="J360" s="54" t="s">
        <v>1250</v>
      </c>
      <c r="K360" s="67">
        <v>31</v>
      </c>
      <c r="L360" s="68" t="s">
        <v>1251</v>
      </c>
      <c r="M360" s="97" t="str">
        <f t="shared" si="33"/>
        <v>Open File</v>
      </c>
      <c r="N360" s="70" t="s">
        <v>1252</v>
      </c>
      <c r="O360" s="71" t="str">
        <f t="shared" si="34"/>
        <v>ACTIVE</v>
      </c>
      <c r="P360" s="66"/>
      <c r="Q360" s="66"/>
      <c r="R360" s="54"/>
      <c r="S360" s="82"/>
      <c r="T360" s="83" t="str">
        <f t="shared" si="35"/>
        <v/>
      </c>
      <c r="U360" s="10"/>
      <c r="V360" s="41">
        <f>IF(AND(Q360&lt;&gt;"",RIGHT(Q360,3)&lt;&gt;""),IF(COUNTIF($Q$6:Q360,Q360)=1,1,0),0)</f>
        <v>0</v>
      </c>
      <c r="W360" s="41" t="str">
        <f t="shared" si="36"/>
        <v>NA.26.I.208-31</v>
      </c>
      <c r="X360" s="41" t="str">
        <f t="shared" si="37"/>
        <v/>
      </c>
    </row>
    <row r="361" s="32" customFormat="1" hidden="1" customHeight="1" spans="1:24">
      <c r="A361" s="34"/>
      <c r="B361" s="51">
        <v>356</v>
      </c>
      <c r="C361" s="51" t="s">
        <v>1253</v>
      </c>
      <c r="D361" s="52" t="s">
        <v>1254</v>
      </c>
      <c r="E361" s="53">
        <v>1</v>
      </c>
      <c r="F361" s="54" t="s">
        <v>29</v>
      </c>
      <c r="G361" s="54" t="s">
        <v>1249</v>
      </c>
      <c r="H361" s="54" t="s">
        <v>1249</v>
      </c>
      <c r="I361" s="66">
        <v>46048</v>
      </c>
      <c r="J361" s="54" t="s">
        <v>1250</v>
      </c>
      <c r="K361" s="67">
        <v>30</v>
      </c>
      <c r="L361" s="68" t="s">
        <v>1255</v>
      </c>
      <c r="M361" s="97" t="str">
        <f t="shared" si="33"/>
        <v>Open File</v>
      </c>
      <c r="N361" s="70" t="s">
        <v>1252</v>
      </c>
      <c r="O361" s="71" t="str">
        <f t="shared" si="34"/>
        <v>ACTIVE</v>
      </c>
      <c r="P361" s="66"/>
      <c r="Q361" s="66"/>
      <c r="R361" s="54"/>
      <c r="S361" s="82"/>
      <c r="T361" s="83" t="str">
        <f t="shared" si="35"/>
        <v/>
      </c>
      <c r="U361" s="10"/>
      <c r="V361" s="41">
        <f>IF(AND(Q361&lt;&gt;"",RIGHT(Q361,3)&lt;&gt;""),IF(COUNTIF($Q$6:Q361,Q361)=1,1,0),0)</f>
        <v>0</v>
      </c>
      <c r="W361" s="41" t="str">
        <f t="shared" si="36"/>
        <v>NA.26.I.208-30</v>
      </c>
      <c r="X361" s="41" t="str">
        <f t="shared" si="37"/>
        <v/>
      </c>
    </row>
    <row r="362" s="32" customFormat="1" hidden="1" customHeight="1" spans="1:24">
      <c r="A362" s="34"/>
      <c r="B362" s="51">
        <v>357</v>
      </c>
      <c r="C362" s="51" t="s">
        <v>1256</v>
      </c>
      <c r="D362" s="52" t="s">
        <v>1203</v>
      </c>
      <c r="E362" s="53">
        <v>1</v>
      </c>
      <c r="F362" s="54" t="s">
        <v>29</v>
      </c>
      <c r="G362" s="54" t="s">
        <v>1249</v>
      </c>
      <c r="H362" s="54" t="s">
        <v>1249</v>
      </c>
      <c r="I362" s="66">
        <v>46048</v>
      </c>
      <c r="J362" s="54" t="s">
        <v>1250</v>
      </c>
      <c r="K362" s="67">
        <v>29</v>
      </c>
      <c r="L362" s="68" t="s">
        <v>1257</v>
      </c>
      <c r="M362" s="97" t="str">
        <f t="shared" si="33"/>
        <v>Open File</v>
      </c>
      <c r="N362" s="70" t="s">
        <v>1252</v>
      </c>
      <c r="O362" s="71" t="str">
        <f t="shared" si="34"/>
        <v>ACTIVE</v>
      </c>
      <c r="P362" s="66"/>
      <c r="Q362" s="66"/>
      <c r="R362" s="54"/>
      <c r="S362" s="82"/>
      <c r="T362" s="83" t="str">
        <f t="shared" si="35"/>
        <v/>
      </c>
      <c r="U362" s="10"/>
      <c r="V362" s="41">
        <f>IF(AND(Q362&lt;&gt;"",RIGHT(Q362,3)&lt;&gt;""),IF(COUNTIF($Q$6:Q362,Q362)=1,1,0),0)</f>
        <v>0</v>
      </c>
      <c r="W362" s="41" t="str">
        <f t="shared" si="36"/>
        <v>NA.26.I.208-29</v>
      </c>
      <c r="X362" s="41" t="str">
        <f t="shared" si="37"/>
        <v/>
      </c>
    </row>
    <row r="363" s="32" customFormat="1" hidden="1" customHeight="1" spans="1:24">
      <c r="A363" s="34"/>
      <c r="B363" s="51">
        <v>358</v>
      </c>
      <c r="C363" s="51" t="s">
        <v>1258</v>
      </c>
      <c r="D363" s="52" t="s">
        <v>1259</v>
      </c>
      <c r="E363" s="53">
        <v>1</v>
      </c>
      <c r="F363" s="54" t="s">
        <v>29</v>
      </c>
      <c r="G363" s="54" t="s">
        <v>1249</v>
      </c>
      <c r="H363" s="54" t="s">
        <v>1249</v>
      </c>
      <c r="I363" s="66">
        <v>46048</v>
      </c>
      <c r="J363" s="54" t="s">
        <v>1250</v>
      </c>
      <c r="K363" s="67">
        <v>28</v>
      </c>
      <c r="L363" s="68" t="s">
        <v>1260</v>
      </c>
      <c r="M363" s="97" t="str">
        <f t="shared" si="33"/>
        <v>Open File</v>
      </c>
      <c r="N363" s="70" t="s">
        <v>1252</v>
      </c>
      <c r="O363" s="71" t="str">
        <f t="shared" si="34"/>
        <v>ACTIVE</v>
      </c>
      <c r="P363" s="66"/>
      <c r="Q363" s="66"/>
      <c r="R363" s="54"/>
      <c r="S363" s="82"/>
      <c r="T363" s="83" t="str">
        <f t="shared" si="35"/>
        <v/>
      </c>
      <c r="U363" s="10"/>
      <c r="V363" s="41">
        <f>IF(AND(Q363&lt;&gt;"",RIGHT(Q363,3)&lt;&gt;""),IF(COUNTIF($Q$6:Q363,Q363)=1,1,0),0)</f>
        <v>0</v>
      </c>
      <c r="W363" s="41" t="str">
        <f t="shared" si="36"/>
        <v>NA.26.I.208-28</v>
      </c>
      <c r="X363" s="41" t="str">
        <f t="shared" si="37"/>
        <v/>
      </c>
    </row>
    <row r="364" s="32" customFormat="1" hidden="1" customHeight="1" spans="1:24">
      <c r="A364" s="34"/>
      <c r="B364" s="51">
        <v>359</v>
      </c>
      <c r="C364" s="51" t="s">
        <v>1261</v>
      </c>
      <c r="D364" s="52" t="s">
        <v>1262</v>
      </c>
      <c r="E364" s="53">
        <v>1</v>
      </c>
      <c r="F364" s="54" t="s">
        <v>29</v>
      </c>
      <c r="G364" s="54" t="s">
        <v>1249</v>
      </c>
      <c r="H364" s="54" t="s">
        <v>1249</v>
      </c>
      <c r="I364" s="66">
        <v>46048</v>
      </c>
      <c r="J364" s="54" t="s">
        <v>1250</v>
      </c>
      <c r="K364" s="67">
        <v>27</v>
      </c>
      <c r="L364" s="68" t="s">
        <v>1263</v>
      </c>
      <c r="M364" s="97" t="str">
        <f t="shared" si="33"/>
        <v>Open File</v>
      </c>
      <c r="N364" s="70" t="s">
        <v>1252</v>
      </c>
      <c r="O364" s="71" t="str">
        <f t="shared" si="34"/>
        <v>ACTIVE</v>
      </c>
      <c r="P364" s="66"/>
      <c r="Q364" s="66"/>
      <c r="R364" s="54"/>
      <c r="S364" s="82"/>
      <c r="T364" s="83" t="str">
        <f t="shared" si="35"/>
        <v/>
      </c>
      <c r="U364" s="10"/>
      <c r="V364" s="41">
        <f>IF(AND(Q364&lt;&gt;"",RIGHT(Q364,3)&lt;&gt;""),IF(COUNTIF($Q$6:Q364,Q364)=1,1,0),0)</f>
        <v>0</v>
      </c>
      <c r="W364" s="41" t="str">
        <f t="shared" si="36"/>
        <v>NA.26.I.208-27</v>
      </c>
      <c r="X364" s="41" t="str">
        <f t="shared" si="37"/>
        <v/>
      </c>
    </row>
    <row r="365" s="32" customFormat="1" hidden="1" customHeight="1" spans="1:24">
      <c r="A365" s="34"/>
      <c r="B365" s="51">
        <v>360</v>
      </c>
      <c r="C365" s="51" t="s">
        <v>1264</v>
      </c>
      <c r="D365" s="52" t="s">
        <v>1265</v>
      </c>
      <c r="E365" s="53">
        <v>1</v>
      </c>
      <c r="F365" s="54" t="s">
        <v>29</v>
      </c>
      <c r="G365" s="54" t="s">
        <v>1249</v>
      </c>
      <c r="H365" s="54" t="s">
        <v>1249</v>
      </c>
      <c r="I365" s="66">
        <v>46048</v>
      </c>
      <c r="J365" s="54" t="s">
        <v>1250</v>
      </c>
      <c r="K365" s="67">
        <v>26</v>
      </c>
      <c r="L365" s="68" t="s">
        <v>1266</v>
      </c>
      <c r="M365" s="97" t="str">
        <f t="shared" si="33"/>
        <v>Open File</v>
      </c>
      <c r="N365" s="70" t="s">
        <v>1252</v>
      </c>
      <c r="O365" s="71" t="str">
        <f t="shared" si="34"/>
        <v>ACTIVE</v>
      </c>
      <c r="P365" s="66"/>
      <c r="Q365" s="66"/>
      <c r="R365" s="54"/>
      <c r="S365" s="82"/>
      <c r="T365" s="83" t="str">
        <f t="shared" si="35"/>
        <v/>
      </c>
      <c r="U365" s="10"/>
      <c r="V365" s="41">
        <f>IF(AND(Q365&lt;&gt;"",RIGHT(Q365,3)&lt;&gt;""),IF(COUNTIF($Q$6:Q365,Q365)=1,1,0),0)</f>
        <v>0</v>
      </c>
      <c r="W365" s="41" t="str">
        <f t="shared" si="36"/>
        <v>NA.26.I.208-26</v>
      </c>
      <c r="X365" s="41" t="str">
        <f t="shared" si="37"/>
        <v/>
      </c>
    </row>
    <row r="366" s="32" customFormat="1" hidden="1" customHeight="1" spans="1:24">
      <c r="A366" s="34"/>
      <c r="B366" s="51">
        <v>361</v>
      </c>
      <c r="C366" s="51" t="s">
        <v>1267</v>
      </c>
      <c r="D366" s="52" t="s">
        <v>1268</v>
      </c>
      <c r="E366" s="53">
        <v>1</v>
      </c>
      <c r="F366" s="54" t="s">
        <v>29</v>
      </c>
      <c r="G366" s="54" t="s">
        <v>1249</v>
      </c>
      <c r="H366" s="54" t="s">
        <v>1249</v>
      </c>
      <c r="I366" s="66">
        <v>46048</v>
      </c>
      <c r="J366" s="54" t="s">
        <v>1250</v>
      </c>
      <c r="K366" s="67">
        <v>25</v>
      </c>
      <c r="L366" s="68" t="s">
        <v>1269</v>
      </c>
      <c r="M366" s="97" t="str">
        <f t="shared" si="33"/>
        <v>Open File</v>
      </c>
      <c r="N366" s="70" t="s">
        <v>1252</v>
      </c>
      <c r="O366" s="71" t="str">
        <f t="shared" si="34"/>
        <v>ACTIVE</v>
      </c>
      <c r="P366" s="66"/>
      <c r="Q366" s="66"/>
      <c r="R366" s="54"/>
      <c r="S366" s="82"/>
      <c r="T366" s="83" t="str">
        <f t="shared" si="35"/>
        <v/>
      </c>
      <c r="U366" s="10"/>
      <c r="V366" s="41">
        <f>IF(AND(Q366&lt;&gt;"",RIGHT(Q366,3)&lt;&gt;""),IF(COUNTIF($Q$6:Q366,Q366)=1,1,0),0)</f>
        <v>0</v>
      </c>
      <c r="W366" s="41" t="str">
        <f t="shared" si="36"/>
        <v>NA.26.I.208-25</v>
      </c>
      <c r="X366" s="41" t="str">
        <f t="shared" si="37"/>
        <v/>
      </c>
    </row>
    <row r="367" s="32" customFormat="1" hidden="1" customHeight="1" spans="1:24">
      <c r="A367" s="34"/>
      <c r="B367" s="51">
        <v>362</v>
      </c>
      <c r="C367" s="51" t="s">
        <v>1270</v>
      </c>
      <c r="D367" s="52" t="s">
        <v>1271</v>
      </c>
      <c r="E367" s="53">
        <v>1</v>
      </c>
      <c r="F367" s="54" t="s">
        <v>29</v>
      </c>
      <c r="G367" s="54" t="s">
        <v>1249</v>
      </c>
      <c r="H367" s="54" t="s">
        <v>1249</v>
      </c>
      <c r="I367" s="66">
        <v>46048</v>
      </c>
      <c r="J367" s="54" t="s">
        <v>1250</v>
      </c>
      <c r="K367" s="67">
        <v>24</v>
      </c>
      <c r="L367" s="68" t="s">
        <v>1272</v>
      </c>
      <c r="M367" s="97" t="str">
        <f t="shared" si="33"/>
        <v>Open File</v>
      </c>
      <c r="N367" s="70" t="s">
        <v>1252</v>
      </c>
      <c r="O367" s="71" t="str">
        <f t="shared" si="34"/>
        <v>ACTIVE</v>
      </c>
      <c r="P367" s="66"/>
      <c r="Q367" s="66"/>
      <c r="R367" s="54"/>
      <c r="S367" s="82"/>
      <c r="T367" s="83" t="str">
        <f t="shared" si="35"/>
        <v/>
      </c>
      <c r="U367" s="10"/>
      <c r="V367" s="41">
        <f>IF(AND(Q367&lt;&gt;"",RIGHT(Q367,3)&lt;&gt;""),IF(COUNTIF($Q$6:Q367,Q367)=1,1,0),0)</f>
        <v>0</v>
      </c>
      <c r="W367" s="41" t="str">
        <f t="shared" si="36"/>
        <v>NA.26.I.208-24</v>
      </c>
      <c r="X367" s="41" t="str">
        <f t="shared" si="37"/>
        <v/>
      </c>
    </row>
    <row r="368" s="32" customFormat="1" hidden="1" customHeight="1" spans="1:24">
      <c r="A368" s="34"/>
      <c r="B368" s="51">
        <v>363</v>
      </c>
      <c r="C368" s="51" t="s">
        <v>1273</v>
      </c>
      <c r="D368" s="52" t="s">
        <v>1274</v>
      </c>
      <c r="E368" s="53">
        <v>1</v>
      </c>
      <c r="F368" s="54" t="s">
        <v>29</v>
      </c>
      <c r="G368" s="54" t="s">
        <v>1249</v>
      </c>
      <c r="H368" s="54" t="s">
        <v>1249</v>
      </c>
      <c r="I368" s="66">
        <v>46048</v>
      </c>
      <c r="J368" s="54" t="s">
        <v>1250</v>
      </c>
      <c r="K368" s="67">
        <v>23</v>
      </c>
      <c r="L368" s="68" t="s">
        <v>1275</v>
      </c>
      <c r="M368" s="97" t="str">
        <f t="shared" si="33"/>
        <v>Open File</v>
      </c>
      <c r="N368" s="70" t="s">
        <v>1252</v>
      </c>
      <c r="O368" s="71" t="str">
        <f t="shared" si="34"/>
        <v>ACTIVE</v>
      </c>
      <c r="P368" s="66"/>
      <c r="Q368" s="66"/>
      <c r="R368" s="54"/>
      <c r="S368" s="82"/>
      <c r="T368" s="83" t="str">
        <f t="shared" si="35"/>
        <v/>
      </c>
      <c r="U368" s="10"/>
      <c r="V368" s="41">
        <f>IF(AND(Q368&lt;&gt;"",RIGHT(Q368,3)&lt;&gt;""),IF(COUNTIF($Q$6:Q368,Q368)=1,1,0),0)</f>
        <v>0</v>
      </c>
      <c r="W368" s="41" t="str">
        <f t="shared" si="36"/>
        <v>NA.26.I.208-23</v>
      </c>
      <c r="X368" s="41" t="str">
        <f t="shared" si="37"/>
        <v/>
      </c>
    </row>
    <row r="369" s="32" customFormat="1" hidden="1" customHeight="1" spans="1:24">
      <c r="A369" s="34"/>
      <c r="B369" s="51">
        <v>364</v>
      </c>
      <c r="C369" s="51" t="s">
        <v>1276</v>
      </c>
      <c r="D369" s="52" t="s">
        <v>1277</v>
      </c>
      <c r="E369" s="53">
        <v>1</v>
      </c>
      <c r="F369" s="54" t="s">
        <v>29</v>
      </c>
      <c r="G369" s="54" t="s">
        <v>1249</v>
      </c>
      <c r="H369" s="54" t="s">
        <v>1249</v>
      </c>
      <c r="I369" s="66">
        <v>46048</v>
      </c>
      <c r="J369" s="54" t="s">
        <v>1250</v>
      </c>
      <c r="K369" s="67">
        <v>22</v>
      </c>
      <c r="L369" s="68" t="s">
        <v>1278</v>
      </c>
      <c r="M369" s="97" t="str">
        <f t="shared" si="33"/>
        <v>Open File</v>
      </c>
      <c r="N369" s="70" t="s">
        <v>1252</v>
      </c>
      <c r="O369" s="71" t="str">
        <f t="shared" si="34"/>
        <v>ACTIVE</v>
      </c>
      <c r="P369" s="66"/>
      <c r="Q369" s="66"/>
      <c r="R369" s="54"/>
      <c r="S369" s="82"/>
      <c r="T369" s="83" t="str">
        <f t="shared" si="35"/>
        <v/>
      </c>
      <c r="U369" s="10"/>
      <c r="V369" s="41">
        <f>IF(AND(Q369&lt;&gt;"",RIGHT(Q369,3)&lt;&gt;""),IF(COUNTIF($Q$6:Q369,Q369)=1,1,0),0)</f>
        <v>0</v>
      </c>
      <c r="W369" s="41" t="str">
        <f t="shared" si="36"/>
        <v>NA.26.I.208-22</v>
      </c>
      <c r="X369" s="41" t="str">
        <f t="shared" si="37"/>
        <v/>
      </c>
    </row>
    <row r="370" s="32" customFormat="1" hidden="1" customHeight="1" spans="1:24">
      <c r="A370" s="34"/>
      <c r="B370" s="51">
        <v>365</v>
      </c>
      <c r="C370" s="51" t="s">
        <v>1279</v>
      </c>
      <c r="D370" s="52" t="s">
        <v>1280</v>
      </c>
      <c r="E370" s="53">
        <v>1</v>
      </c>
      <c r="F370" s="54" t="s">
        <v>29</v>
      </c>
      <c r="G370" s="54" t="s">
        <v>1249</v>
      </c>
      <c r="H370" s="54" t="s">
        <v>1249</v>
      </c>
      <c r="I370" s="66">
        <v>46048</v>
      </c>
      <c r="J370" s="54" t="s">
        <v>1250</v>
      </c>
      <c r="K370" s="67">
        <v>21</v>
      </c>
      <c r="L370" s="68" t="s">
        <v>1281</v>
      </c>
      <c r="M370" s="97" t="str">
        <f t="shared" si="33"/>
        <v>Open File</v>
      </c>
      <c r="N370" s="70" t="s">
        <v>1252</v>
      </c>
      <c r="O370" s="71" t="str">
        <f t="shared" si="34"/>
        <v>ACTIVE</v>
      </c>
      <c r="P370" s="66"/>
      <c r="Q370" s="66"/>
      <c r="R370" s="54"/>
      <c r="S370" s="82"/>
      <c r="T370" s="83" t="str">
        <f t="shared" si="35"/>
        <v/>
      </c>
      <c r="U370" s="10"/>
      <c r="V370" s="41">
        <f>IF(AND(Q370&lt;&gt;"",RIGHT(Q370,3)&lt;&gt;""),IF(COUNTIF($Q$6:Q370,Q370)=1,1,0),0)</f>
        <v>0</v>
      </c>
      <c r="W370" s="41" t="str">
        <f t="shared" si="36"/>
        <v>NA.26.I.208-21</v>
      </c>
      <c r="X370" s="41" t="str">
        <f t="shared" si="37"/>
        <v/>
      </c>
    </row>
    <row r="371" s="32" customFormat="1" hidden="1" customHeight="1" spans="1:24">
      <c r="A371" s="34"/>
      <c r="B371" s="51">
        <v>366</v>
      </c>
      <c r="C371" s="51" t="s">
        <v>1282</v>
      </c>
      <c r="D371" s="52" t="s">
        <v>1283</v>
      </c>
      <c r="E371" s="53">
        <v>1</v>
      </c>
      <c r="F371" s="54" t="s">
        <v>29</v>
      </c>
      <c r="G371" s="54" t="s">
        <v>1249</v>
      </c>
      <c r="H371" s="54" t="s">
        <v>1249</v>
      </c>
      <c r="I371" s="66">
        <v>46048</v>
      </c>
      <c r="J371" s="54" t="s">
        <v>1250</v>
      </c>
      <c r="K371" s="67">
        <v>20</v>
      </c>
      <c r="L371" s="68" t="s">
        <v>1284</v>
      </c>
      <c r="M371" s="97" t="str">
        <f t="shared" si="33"/>
        <v>Open File</v>
      </c>
      <c r="N371" s="70" t="s">
        <v>1252</v>
      </c>
      <c r="O371" s="71" t="str">
        <f t="shared" si="34"/>
        <v>ACTIVE</v>
      </c>
      <c r="P371" s="66"/>
      <c r="Q371" s="66"/>
      <c r="R371" s="54"/>
      <c r="S371" s="82"/>
      <c r="T371" s="83" t="str">
        <f t="shared" si="35"/>
        <v/>
      </c>
      <c r="U371" s="10"/>
      <c r="V371" s="41">
        <f>IF(AND(Q371&lt;&gt;"",RIGHT(Q371,3)&lt;&gt;""),IF(COUNTIF($Q$6:Q371,Q371)=1,1,0),0)</f>
        <v>0</v>
      </c>
      <c r="W371" s="41" t="str">
        <f t="shared" si="36"/>
        <v>NA.26.I.208-20</v>
      </c>
      <c r="X371" s="41" t="str">
        <f t="shared" si="37"/>
        <v/>
      </c>
    </row>
    <row r="372" s="32" customFormat="1" hidden="1" customHeight="1" spans="1:24">
      <c r="A372" s="34"/>
      <c r="B372" s="51">
        <v>367</v>
      </c>
      <c r="C372" s="51" t="s">
        <v>1285</v>
      </c>
      <c r="D372" s="52" t="s">
        <v>1286</v>
      </c>
      <c r="E372" s="53">
        <v>1</v>
      </c>
      <c r="F372" s="54" t="s">
        <v>29</v>
      </c>
      <c r="G372" s="54" t="s">
        <v>1249</v>
      </c>
      <c r="H372" s="54" t="s">
        <v>1249</v>
      </c>
      <c r="I372" s="66">
        <v>46048</v>
      </c>
      <c r="J372" s="54" t="s">
        <v>1250</v>
      </c>
      <c r="K372" s="67">
        <v>19</v>
      </c>
      <c r="L372" s="68" t="s">
        <v>1287</v>
      </c>
      <c r="M372" s="97" t="str">
        <f t="shared" si="33"/>
        <v>Open File</v>
      </c>
      <c r="N372" s="70" t="s">
        <v>1252</v>
      </c>
      <c r="O372" s="71" t="str">
        <f t="shared" si="34"/>
        <v>ACTIVE</v>
      </c>
      <c r="P372" s="66"/>
      <c r="Q372" s="66"/>
      <c r="R372" s="54"/>
      <c r="S372" s="82"/>
      <c r="T372" s="83" t="str">
        <f t="shared" si="35"/>
        <v/>
      </c>
      <c r="U372" s="10"/>
      <c r="V372" s="41">
        <f>IF(AND(Q372&lt;&gt;"",RIGHT(Q372,3)&lt;&gt;""),IF(COUNTIF($Q$6:Q372,Q372)=1,1,0),0)</f>
        <v>0</v>
      </c>
      <c r="W372" s="41" t="str">
        <f t="shared" si="36"/>
        <v>NA.26.I.208-19</v>
      </c>
      <c r="X372" s="41" t="str">
        <f t="shared" si="37"/>
        <v/>
      </c>
    </row>
    <row r="373" s="32" customFormat="1" hidden="1" customHeight="1" spans="1:24">
      <c r="A373" s="34"/>
      <c r="B373" s="51">
        <v>368</v>
      </c>
      <c r="C373" s="51" t="s">
        <v>1288</v>
      </c>
      <c r="D373" s="52" t="s">
        <v>497</v>
      </c>
      <c r="E373" s="53">
        <v>1</v>
      </c>
      <c r="F373" s="54" t="s">
        <v>29</v>
      </c>
      <c r="G373" s="54" t="s">
        <v>1249</v>
      </c>
      <c r="H373" s="54" t="s">
        <v>1249</v>
      </c>
      <c r="I373" s="66">
        <v>46048</v>
      </c>
      <c r="J373" s="54" t="s">
        <v>1250</v>
      </c>
      <c r="K373" s="67">
        <v>18</v>
      </c>
      <c r="L373" s="68" t="s">
        <v>1289</v>
      </c>
      <c r="M373" s="97" t="str">
        <f t="shared" si="33"/>
        <v>Open File</v>
      </c>
      <c r="N373" s="70" t="s">
        <v>1252</v>
      </c>
      <c r="O373" s="71" t="str">
        <f t="shared" si="34"/>
        <v>ACTIVE</v>
      </c>
      <c r="P373" s="66"/>
      <c r="Q373" s="66"/>
      <c r="R373" s="54"/>
      <c r="S373" s="82"/>
      <c r="T373" s="83" t="str">
        <f t="shared" si="35"/>
        <v/>
      </c>
      <c r="U373" s="10"/>
      <c r="V373" s="41">
        <f>IF(AND(Q373&lt;&gt;"",RIGHT(Q373,3)&lt;&gt;""),IF(COUNTIF($Q$6:Q373,Q373)=1,1,0),0)</f>
        <v>0</v>
      </c>
      <c r="W373" s="41" t="str">
        <f t="shared" si="36"/>
        <v>NA.26.I.208-18</v>
      </c>
      <c r="X373" s="41" t="str">
        <f t="shared" si="37"/>
        <v/>
      </c>
    </row>
    <row r="374" s="32" customFormat="1" hidden="1" customHeight="1" spans="1:24">
      <c r="A374" s="34"/>
      <c r="B374" s="51">
        <v>369</v>
      </c>
      <c r="C374" s="51" t="s">
        <v>1290</v>
      </c>
      <c r="D374" s="52" t="s">
        <v>158</v>
      </c>
      <c r="E374" s="53">
        <v>1</v>
      </c>
      <c r="F374" s="54" t="s">
        <v>29</v>
      </c>
      <c r="G374" s="54" t="s">
        <v>1249</v>
      </c>
      <c r="H374" s="54" t="s">
        <v>1249</v>
      </c>
      <c r="I374" s="66">
        <v>46048</v>
      </c>
      <c r="J374" s="54" t="s">
        <v>1250</v>
      </c>
      <c r="K374" s="67">
        <v>17</v>
      </c>
      <c r="L374" s="68" t="s">
        <v>1291</v>
      </c>
      <c r="M374" s="97" t="str">
        <f t="shared" si="33"/>
        <v>Open File</v>
      </c>
      <c r="N374" s="70" t="s">
        <v>1252</v>
      </c>
      <c r="O374" s="71" t="str">
        <f t="shared" si="34"/>
        <v>ACTIVE</v>
      </c>
      <c r="P374" s="66"/>
      <c r="Q374" s="66"/>
      <c r="R374" s="54"/>
      <c r="S374" s="82"/>
      <c r="T374" s="83" t="str">
        <f t="shared" si="35"/>
        <v/>
      </c>
      <c r="U374" s="10"/>
      <c r="V374" s="41">
        <f>IF(AND(Q374&lt;&gt;"",RIGHT(Q374,3)&lt;&gt;""),IF(COUNTIF($Q$6:Q374,Q374)=1,1,0),0)</f>
        <v>0</v>
      </c>
      <c r="W374" s="41" t="str">
        <f t="shared" si="36"/>
        <v>NA.26.I.208-17</v>
      </c>
      <c r="X374" s="41" t="str">
        <f t="shared" si="37"/>
        <v/>
      </c>
    </row>
    <row r="375" s="32" customFormat="1" hidden="1" customHeight="1" spans="1:24">
      <c r="A375" s="34"/>
      <c r="B375" s="51">
        <v>370</v>
      </c>
      <c r="C375" s="51" t="s">
        <v>1292</v>
      </c>
      <c r="D375" s="108" t="s">
        <v>1293</v>
      </c>
      <c r="E375" s="53">
        <v>1</v>
      </c>
      <c r="F375" s="54" t="s">
        <v>66</v>
      </c>
      <c r="G375" s="54" t="s">
        <v>1249</v>
      </c>
      <c r="H375" s="54" t="s">
        <v>1249</v>
      </c>
      <c r="I375" s="66">
        <v>46048</v>
      </c>
      <c r="J375" s="54" t="s">
        <v>1250</v>
      </c>
      <c r="K375" s="67">
        <v>16</v>
      </c>
      <c r="L375" s="68" t="s">
        <v>1294</v>
      </c>
      <c r="M375" s="97" t="str">
        <f t="shared" si="33"/>
        <v>Open File</v>
      </c>
      <c r="N375" s="70" t="s">
        <v>1252</v>
      </c>
      <c r="O375" s="71" t="str">
        <f t="shared" si="34"/>
        <v>ACTIVE</v>
      </c>
      <c r="P375" s="66"/>
      <c r="Q375" s="66"/>
      <c r="R375" s="54"/>
      <c r="S375" s="82"/>
      <c r="T375" s="83" t="str">
        <f t="shared" si="35"/>
        <v/>
      </c>
      <c r="U375" s="10"/>
      <c r="V375" s="41">
        <f>IF(AND(Q375&lt;&gt;"",RIGHT(Q375,3)&lt;&gt;""),IF(COUNTIF($Q$6:Q375,Q375)=1,1,0),0)</f>
        <v>0</v>
      </c>
      <c r="W375" s="41" t="str">
        <f t="shared" si="36"/>
        <v>NA.26.I.208-16</v>
      </c>
      <c r="X375" s="41" t="str">
        <f t="shared" si="37"/>
        <v/>
      </c>
    </row>
    <row r="376" s="32" customFormat="1" hidden="1" customHeight="1" spans="1:24">
      <c r="A376" s="34"/>
      <c r="B376" s="51">
        <v>371</v>
      </c>
      <c r="C376" s="51" t="s">
        <v>1295</v>
      </c>
      <c r="D376" s="52" t="s">
        <v>1296</v>
      </c>
      <c r="E376" s="53">
        <v>1</v>
      </c>
      <c r="F376" s="54" t="s">
        <v>66</v>
      </c>
      <c r="G376" s="54" t="s">
        <v>1249</v>
      </c>
      <c r="H376" s="54" t="s">
        <v>1249</v>
      </c>
      <c r="I376" s="66">
        <v>46048</v>
      </c>
      <c r="J376" s="54" t="s">
        <v>1250</v>
      </c>
      <c r="K376" s="67">
        <v>15</v>
      </c>
      <c r="L376" s="68" t="s">
        <v>1297</v>
      </c>
      <c r="M376" s="97" t="str">
        <f t="shared" si="33"/>
        <v>Open File</v>
      </c>
      <c r="N376" s="70" t="s">
        <v>1252</v>
      </c>
      <c r="O376" s="71" t="str">
        <f t="shared" si="34"/>
        <v>ACTIVE</v>
      </c>
      <c r="P376" s="66"/>
      <c r="Q376" s="66"/>
      <c r="R376" s="54"/>
      <c r="S376" s="82"/>
      <c r="T376" s="83" t="str">
        <f t="shared" si="35"/>
        <v/>
      </c>
      <c r="U376" s="10"/>
      <c r="V376" s="41">
        <f>IF(AND(Q376&lt;&gt;"",RIGHT(Q376,3)&lt;&gt;""),IF(COUNTIF($Q$6:Q376,Q376)=1,1,0),0)</f>
        <v>0</v>
      </c>
      <c r="W376" s="41" t="str">
        <f t="shared" si="36"/>
        <v>NA.26.I.208-15</v>
      </c>
      <c r="X376" s="41" t="str">
        <f t="shared" si="37"/>
        <v/>
      </c>
    </row>
    <row r="377" s="32" customFormat="1" hidden="1" customHeight="1" spans="1:24">
      <c r="A377" s="34"/>
      <c r="B377" s="51">
        <v>372</v>
      </c>
      <c r="C377" s="51" t="s">
        <v>1298</v>
      </c>
      <c r="D377" s="52" t="s">
        <v>1296</v>
      </c>
      <c r="E377" s="53">
        <v>1</v>
      </c>
      <c r="F377" s="54" t="s">
        <v>29</v>
      </c>
      <c r="G377" s="54" t="s">
        <v>1249</v>
      </c>
      <c r="H377" s="54" t="s">
        <v>1249</v>
      </c>
      <c r="I377" s="66">
        <v>46048</v>
      </c>
      <c r="J377" s="54" t="s">
        <v>1250</v>
      </c>
      <c r="K377" s="67">
        <v>14</v>
      </c>
      <c r="L377" s="68" t="s">
        <v>1299</v>
      </c>
      <c r="M377" s="97" t="str">
        <f t="shared" si="33"/>
        <v>Open File</v>
      </c>
      <c r="N377" s="70" t="s">
        <v>1252</v>
      </c>
      <c r="O377" s="71" t="str">
        <f t="shared" si="34"/>
        <v>ACTIVE</v>
      </c>
      <c r="P377" s="66"/>
      <c r="Q377" s="66"/>
      <c r="R377" s="54"/>
      <c r="S377" s="82"/>
      <c r="T377" s="83" t="str">
        <f t="shared" si="35"/>
        <v/>
      </c>
      <c r="U377" s="10"/>
      <c r="V377" s="41">
        <f>IF(AND(Q377&lt;&gt;"",RIGHT(Q377,3)&lt;&gt;""),IF(COUNTIF($Q$6:Q377,Q377)=1,1,0),0)</f>
        <v>0</v>
      </c>
      <c r="W377" s="41" t="str">
        <f t="shared" si="36"/>
        <v>NA.26.I.208-14</v>
      </c>
      <c r="X377" s="41" t="str">
        <f t="shared" si="37"/>
        <v/>
      </c>
    </row>
    <row r="378" s="32" customFormat="1" hidden="1" customHeight="1" spans="1:24">
      <c r="A378" s="34"/>
      <c r="B378" s="51">
        <v>373</v>
      </c>
      <c r="C378" s="51" t="s">
        <v>1300</v>
      </c>
      <c r="D378" s="52" t="s">
        <v>1301</v>
      </c>
      <c r="E378" s="53">
        <v>1</v>
      </c>
      <c r="F378" s="54" t="s">
        <v>29</v>
      </c>
      <c r="G378" s="54" t="s">
        <v>1249</v>
      </c>
      <c r="H378" s="54" t="s">
        <v>1249</v>
      </c>
      <c r="I378" s="66">
        <v>46048</v>
      </c>
      <c r="J378" s="54" t="s">
        <v>1250</v>
      </c>
      <c r="K378" s="67">
        <v>13</v>
      </c>
      <c r="L378" s="68" t="s">
        <v>1302</v>
      </c>
      <c r="M378" s="97" t="str">
        <f t="shared" si="33"/>
        <v>Open File</v>
      </c>
      <c r="N378" s="70" t="s">
        <v>1252</v>
      </c>
      <c r="O378" s="71" t="str">
        <f t="shared" si="34"/>
        <v>ACTIVE</v>
      </c>
      <c r="P378" s="66"/>
      <c r="Q378" s="66"/>
      <c r="R378" s="54"/>
      <c r="S378" s="82"/>
      <c r="T378" s="83" t="str">
        <f t="shared" si="35"/>
        <v/>
      </c>
      <c r="U378" s="10"/>
      <c r="V378" s="41">
        <f>IF(AND(Q378&lt;&gt;"",RIGHT(Q378,3)&lt;&gt;""),IF(COUNTIF($Q$6:Q378,Q378)=1,1,0),0)</f>
        <v>0</v>
      </c>
      <c r="W378" s="41" t="str">
        <f t="shared" si="36"/>
        <v>NA.26.I.208-13</v>
      </c>
      <c r="X378" s="41" t="str">
        <f t="shared" si="37"/>
        <v/>
      </c>
    </row>
    <row r="379" s="32" customFormat="1" hidden="1" customHeight="1" spans="1:24">
      <c r="A379" s="34"/>
      <c r="B379" s="51">
        <v>374</v>
      </c>
      <c r="C379" s="51" t="s">
        <v>1303</v>
      </c>
      <c r="D379" s="52" t="s">
        <v>1304</v>
      </c>
      <c r="E379" s="53">
        <v>1</v>
      </c>
      <c r="F379" s="54" t="s">
        <v>29</v>
      </c>
      <c r="G379" s="54" t="s">
        <v>1249</v>
      </c>
      <c r="H379" s="54" t="s">
        <v>1249</v>
      </c>
      <c r="I379" s="66">
        <v>46048</v>
      </c>
      <c r="J379" s="54" t="s">
        <v>1250</v>
      </c>
      <c r="K379" s="67">
        <v>12</v>
      </c>
      <c r="L379" s="68" t="s">
        <v>1305</v>
      </c>
      <c r="M379" s="97" t="str">
        <f t="shared" si="33"/>
        <v>Open File</v>
      </c>
      <c r="N379" s="70" t="s">
        <v>1252</v>
      </c>
      <c r="O379" s="71" t="str">
        <f t="shared" si="34"/>
        <v>ACTIVE</v>
      </c>
      <c r="P379" s="66"/>
      <c r="Q379" s="66"/>
      <c r="R379" s="54"/>
      <c r="S379" s="82"/>
      <c r="T379" s="83" t="str">
        <f t="shared" si="35"/>
        <v/>
      </c>
      <c r="U379" s="10"/>
      <c r="V379" s="41">
        <f>IF(AND(Q379&lt;&gt;"",RIGHT(Q379,3)&lt;&gt;""),IF(COUNTIF($Q$6:Q379,Q379)=1,1,0),0)</f>
        <v>0</v>
      </c>
      <c r="W379" s="41" t="str">
        <f t="shared" si="36"/>
        <v>NA.26.I.208-12</v>
      </c>
      <c r="X379" s="41" t="str">
        <f t="shared" si="37"/>
        <v/>
      </c>
    </row>
    <row r="380" s="32" customFormat="1" hidden="1" customHeight="1" spans="1:24">
      <c r="A380" s="34"/>
      <c r="B380" s="51">
        <v>375</v>
      </c>
      <c r="C380" s="51" t="s">
        <v>1306</v>
      </c>
      <c r="D380" s="52" t="s">
        <v>1304</v>
      </c>
      <c r="E380" s="53">
        <v>1</v>
      </c>
      <c r="F380" s="54" t="s">
        <v>29</v>
      </c>
      <c r="G380" s="54" t="s">
        <v>1249</v>
      </c>
      <c r="H380" s="54" t="s">
        <v>1249</v>
      </c>
      <c r="I380" s="66">
        <v>46048</v>
      </c>
      <c r="J380" s="54" t="s">
        <v>1250</v>
      </c>
      <c r="K380" s="67">
        <v>11</v>
      </c>
      <c r="L380" s="68" t="s">
        <v>1307</v>
      </c>
      <c r="M380" s="97" t="str">
        <f t="shared" si="33"/>
        <v>Open File</v>
      </c>
      <c r="N380" s="70" t="s">
        <v>1252</v>
      </c>
      <c r="O380" s="71" t="str">
        <f t="shared" si="34"/>
        <v>ACTIVE</v>
      </c>
      <c r="P380" s="66"/>
      <c r="Q380" s="66"/>
      <c r="R380" s="54"/>
      <c r="S380" s="82"/>
      <c r="T380" s="83" t="str">
        <f t="shared" si="35"/>
        <v/>
      </c>
      <c r="U380" s="10"/>
      <c r="V380" s="41">
        <f>IF(AND(Q380&lt;&gt;"",RIGHT(Q380,3)&lt;&gt;""),IF(COUNTIF($Q$6:Q380,Q380)=1,1,0),0)</f>
        <v>0</v>
      </c>
      <c r="W380" s="41" t="str">
        <f t="shared" si="36"/>
        <v>NA.26.I.208-11</v>
      </c>
      <c r="X380" s="41" t="str">
        <f t="shared" si="37"/>
        <v/>
      </c>
    </row>
    <row r="381" s="32" customFormat="1" hidden="1" customHeight="1" spans="1:24">
      <c r="A381" s="34"/>
      <c r="B381" s="51">
        <v>376</v>
      </c>
      <c r="C381" s="51" t="s">
        <v>1308</v>
      </c>
      <c r="D381" s="52" t="s">
        <v>1309</v>
      </c>
      <c r="E381" s="53">
        <v>1</v>
      </c>
      <c r="F381" s="54" t="s">
        <v>29</v>
      </c>
      <c r="G381" s="54" t="s">
        <v>1249</v>
      </c>
      <c r="H381" s="54" t="s">
        <v>1249</v>
      </c>
      <c r="I381" s="66">
        <v>46048</v>
      </c>
      <c r="J381" s="54" t="s">
        <v>1250</v>
      </c>
      <c r="K381" s="67">
        <v>10</v>
      </c>
      <c r="L381" s="68" t="s">
        <v>1310</v>
      </c>
      <c r="M381" s="97" t="str">
        <f t="shared" si="33"/>
        <v>Open File</v>
      </c>
      <c r="N381" s="70" t="s">
        <v>1252</v>
      </c>
      <c r="O381" s="71" t="str">
        <f t="shared" si="34"/>
        <v>ACTIVE</v>
      </c>
      <c r="P381" s="66"/>
      <c r="Q381" s="66"/>
      <c r="R381" s="54"/>
      <c r="S381" s="82"/>
      <c r="T381" s="83" t="str">
        <f t="shared" si="35"/>
        <v/>
      </c>
      <c r="U381" s="10"/>
      <c r="V381" s="41">
        <f>IF(AND(Q381&lt;&gt;"",RIGHT(Q381,3)&lt;&gt;""),IF(COUNTIF($Q$6:Q381,Q381)=1,1,0),0)</f>
        <v>0</v>
      </c>
      <c r="W381" s="41" t="str">
        <f t="shared" si="36"/>
        <v>NA.26.I.208-10</v>
      </c>
      <c r="X381" s="41" t="str">
        <f t="shared" si="37"/>
        <v/>
      </c>
    </row>
    <row r="382" s="32" customFormat="1" hidden="1" customHeight="1" spans="1:24">
      <c r="A382" s="34"/>
      <c r="B382" s="51">
        <v>377</v>
      </c>
      <c r="C382" s="51" t="s">
        <v>1311</v>
      </c>
      <c r="D382" s="52" t="s">
        <v>1312</v>
      </c>
      <c r="E382" s="53">
        <v>1</v>
      </c>
      <c r="F382" s="54" t="s">
        <v>29</v>
      </c>
      <c r="G382" s="54" t="s">
        <v>1249</v>
      </c>
      <c r="H382" s="54" t="s">
        <v>1249</v>
      </c>
      <c r="I382" s="66">
        <v>46048</v>
      </c>
      <c r="J382" s="54" t="s">
        <v>1250</v>
      </c>
      <c r="K382" s="67">
        <v>9</v>
      </c>
      <c r="L382" s="68" t="s">
        <v>1313</v>
      </c>
      <c r="M382" s="97" t="str">
        <f t="shared" si="33"/>
        <v>Open File</v>
      </c>
      <c r="N382" s="70" t="s">
        <v>1252</v>
      </c>
      <c r="O382" s="71" t="str">
        <f t="shared" si="34"/>
        <v>ACTIVE</v>
      </c>
      <c r="P382" s="66"/>
      <c r="Q382" s="66"/>
      <c r="R382" s="54"/>
      <c r="S382" s="82"/>
      <c r="T382" s="83" t="str">
        <f t="shared" si="35"/>
        <v/>
      </c>
      <c r="U382" s="10"/>
      <c r="V382" s="41">
        <f>IF(AND(Q382&lt;&gt;"",RIGHT(Q382,3)&lt;&gt;""),IF(COUNTIF($Q$6:Q382,Q382)=1,1,0),0)</f>
        <v>0</v>
      </c>
      <c r="W382" s="41" t="str">
        <f t="shared" si="36"/>
        <v>NA.26.I.208-9</v>
      </c>
      <c r="X382" s="41" t="str">
        <f t="shared" si="37"/>
        <v/>
      </c>
    </row>
    <row r="383" s="32" customFormat="1" hidden="1" customHeight="1" spans="1:24">
      <c r="A383" s="34"/>
      <c r="B383" s="51">
        <v>378</v>
      </c>
      <c r="C383" s="51" t="s">
        <v>1314</v>
      </c>
      <c r="D383" s="52" t="s">
        <v>1315</v>
      </c>
      <c r="E383" s="53">
        <v>1</v>
      </c>
      <c r="F383" s="54" t="s">
        <v>29</v>
      </c>
      <c r="G383" s="54" t="s">
        <v>1249</v>
      </c>
      <c r="H383" s="54" t="s">
        <v>1249</v>
      </c>
      <c r="I383" s="66">
        <v>46048</v>
      </c>
      <c r="J383" s="54" t="s">
        <v>1250</v>
      </c>
      <c r="K383" s="67">
        <v>8</v>
      </c>
      <c r="L383" s="68" t="s">
        <v>1316</v>
      </c>
      <c r="M383" s="97" t="str">
        <f t="shared" si="33"/>
        <v>Open File</v>
      </c>
      <c r="N383" s="70" t="s">
        <v>1252</v>
      </c>
      <c r="O383" s="71" t="str">
        <f t="shared" si="34"/>
        <v>ACTIVE</v>
      </c>
      <c r="P383" s="66"/>
      <c r="Q383" s="66"/>
      <c r="R383" s="54"/>
      <c r="S383" s="82"/>
      <c r="T383" s="83" t="str">
        <f t="shared" si="35"/>
        <v/>
      </c>
      <c r="U383" s="10"/>
      <c r="V383" s="41">
        <f>IF(AND(Q383&lt;&gt;"",RIGHT(Q383,3)&lt;&gt;""),IF(COUNTIF($Q$6:Q383,Q383)=1,1,0),0)</f>
        <v>0</v>
      </c>
      <c r="W383" s="41" t="str">
        <f t="shared" si="36"/>
        <v>NA.26.I.208-8</v>
      </c>
      <c r="X383" s="41" t="str">
        <f t="shared" si="37"/>
        <v/>
      </c>
    </row>
    <row r="384" s="32" customFormat="1" hidden="1" customHeight="1" spans="1:24">
      <c r="A384" s="34"/>
      <c r="B384" s="51">
        <v>379</v>
      </c>
      <c r="C384" s="51" t="s">
        <v>1317</v>
      </c>
      <c r="D384" s="52" t="s">
        <v>1318</v>
      </c>
      <c r="E384" s="53">
        <v>1</v>
      </c>
      <c r="F384" s="54" t="s">
        <v>29</v>
      </c>
      <c r="G384" s="54" t="s">
        <v>1249</v>
      </c>
      <c r="H384" s="54" t="s">
        <v>1249</v>
      </c>
      <c r="I384" s="66">
        <v>46048</v>
      </c>
      <c r="J384" s="54" t="s">
        <v>1250</v>
      </c>
      <c r="K384" s="67">
        <v>7</v>
      </c>
      <c r="L384" s="68" t="s">
        <v>1319</v>
      </c>
      <c r="M384" s="97" t="str">
        <f t="shared" si="33"/>
        <v>Open File</v>
      </c>
      <c r="N384" s="70" t="s">
        <v>1252</v>
      </c>
      <c r="O384" s="71" t="str">
        <f t="shared" si="34"/>
        <v>ACTIVE</v>
      </c>
      <c r="P384" s="66"/>
      <c r="Q384" s="66"/>
      <c r="R384" s="54"/>
      <c r="S384" s="82"/>
      <c r="T384" s="83" t="str">
        <f t="shared" si="35"/>
        <v/>
      </c>
      <c r="U384" s="10"/>
      <c r="V384" s="41">
        <f>IF(AND(Q384&lt;&gt;"",RIGHT(Q384,3)&lt;&gt;""),IF(COUNTIF($Q$6:Q384,Q384)=1,1,0),0)</f>
        <v>0</v>
      </c>
      <c r="W384" s="41" t="str">
        <f t="shared" si="36"/>
        <v>NA.26.I.208-7</v>
      </c>
      <c r="X384" s="41" t="str">
        <f t="shared" si="37"/>
        <v/>
      </c>
    </row>
    <row r="385" s="32" customFormat="1" hidden="1" customHeight="1" spans="1:24">
      <c r="A385" s="34"/>
      <c r="B385" s="51">
        <v>380</v>
      </c>
      <c r="C385" s="51" t="s">
        <v>1320</v>
      </c>
      <c r="D385" s="52" t="s">
        <v>1321</v>
      </c>
      <c r="E385" s="53">
        <v>1</v>
      </c>
      <c r="F385" s="54" t="s">
        <v>29</v>
      </c>
      <c r="G385" s="54" t="s">
        <v>1249</v>
      </c>
      <c r="H385" s="54" t="s">
        <v>1249</v>
      </c>
      <c r="I385" s="66">
        <v>46048</v>
      </c>
      <c r="J385" s="54" t="s">
        <v>1250</v>
      </c>
      <c r="K385" s="67">
        <v>6</v>
      </c>
      <c r="L385" s="68" t="s">
        <v>1322</v>
      </c>
      <c r="M385" s="97" t="str">
        <f t="shared" si="33"/>
        <v>Open File</v>
      </c>
      <c r="N385" s="70" t="s">
        <v>1252</v>
      </c>
      <c r="O385" s="71" t="str">
        <f t="shared" si="34"/>
        <v>ACTIVE</v>
      </c>
      <c r="P385" s="66"/>
      <c r="Q385" s="66"/>
      <c r="R385" s="54"/>
      <c r="S385" s="82"/>
      <c r="T385" s="83" t="str">
        <f t="shared" si="35"/>
        <v/>
      </c>
      <c r="U385" s="10"/>
      <c r="V385" s="41">
        <f>IF(AND(Q385&lt;&gt;"",RIGHT(Q385,3)&lt;&gt;""),IF(COUNTIF($Q$6:Q385,Q385)=1,1,0),0)</f>
        <v>0</v>
      </c>
      <c r="W385" s="41" t="str">
        <f t="shared" si="36"/>
        <v>NA.26.I.208-6</v>
      </c>
      <c r="X385" s="41" t="str">
        <f t="shared" si="37"/>
        <v/>
      </c>
    </row>
    <row r="386" s="32" customFormat="1" hidden="1" customHeight="1" spans="1:24">
      <c r="A386" s="34"/>
      <c r="B386" s="51">
        <v>381</v>
      </c>
      <c r="C386" s="51" t="s">
        <v>1323</v>
      </c>
      <c r="D386" s="52" t="s">
        <v>1324</v>
      </c>
      <c r="E386" s="53">
        <v>1</v>
      </c>
      <c r="F386" s="54" t="s">
        <v>29</v>
      </c>
      <c r="G386" s="54" t="s">
        <v>1249</v>
      </c>
      <c r="H386" s="54" t="s">
        <v>1249</v>
      </c>
      <c r="I386" s="66">
        <v>46048</v>
      </c>
      <c r="J386" s="54" t="s">
        <v>1250</v>
      </c>
      <c r="K386" s="67">
        <v>5</v>
      </c>
      <c r="L386" s="68" t="s">
        <v>1325</v>
      </c>
      <c r="M386" s="97" t="str">
        <f t="shared" si="33"/>
        <v>Open File</v>
      </c>
      <c r="N386" s="70" t="s">
        <v>1252</v>
      </c>
      <c r="O386" s="71" t="str">
        <f t="shared" si="34"/>
        <v>ACTIVE</v>
      </c>
      <c r="P386" s="66"/>
      <c r="Q386" s="66"/>
      <c r="R386" s="54"/>
      <c r="S386" s="82"/>
      <c r="T386" s="83" t="str">
        <f t="shared" si="35"/>
        <v/>
      </c>
      <c r="U386" s="10"/>
      <c r="V386" s="41">
        <f>IF(AND(Q386&lt;&gt;"",RIGHT(Q386,3)&lt;&gt;""),IF(COUNTIF($Q$6:Q386,Q386)=1,1,0),0)</f>
        <v>0</v>
      </c>
      <c r="W386" s="41" t="str">
        <f t="shared" si="36"/>
        <v>NA.26.I.208-5</v>
      </c>
      <c r="X386" s="41" t="str">
        <f t="shared" si="37"/>
        <v/>
      </c>
    </row>
    <row r="387" s="32" customFormat="1" hidden="1" customHeight="1" spans="1:24">
      <c r="A387" s="34"/>
      <c r="B387" s="51">
        <v>382</v>
      </c>
      <c r="C387" s="51" t="s">
        <v>1326</v>
      </c>
      <c r="D387" s="52" t="s">
        <v>1327</v>
      </c>
      <c r="E387" s="53">
        <v>1</v>
      </c>
      <c r="F387" s="54" t="s">
        <v>29</v>
      </c>
      <c r="G387" s="54" t="s">
        <v>1249</v>
      </c>
      <c r="H387" s="54" t="s">
        <v>1249</v>
      </c>
      <c r="I387" s="66">
        <v>46048</v>
      </c>
      <c r="J387" s="54" t="s">
        <v>1250</v>
      </c>
      <c r="K387" s="67">
        <v>4</v>
      </c>
      <c r="L387" s="68" t="s">
        <v>1328</v>
      </c>
      <c r="M387" s="97" t="str">
        <f t="shared" si="33"/>
        <v>Open File</v>
      </c>
      <c r="N387" s="70" t="s">
        <v>1252</v>
      </c>
      <c r="O387" s="71" t="str">
        <f t="shared" si="34"/>
        <v>ACTIVE</v>
      </c>
      <c r="P387" s="66"/>
      <c r="Q387" s="66"/>
      <c r="R387" s="54"/>
      <c r="S387" s="82"/>
      <c r="T387" s="83" t="str">
        <f t="shared" si="35"/>
        <v/>
      </c>
      <c r="U387" s="10"/>
      <c r="V387" s="41">
        <f>IF(AND(Q387&lt;&gt;"",RIGHT(Q387,3)&lt;&gt;""),IF(COUNTIF($Q$6:Q387,Q387)=1,1,0),0)</f>
        <v>0</v>
      </c>
      <c r="W387" s="41" t="str">
        <f t="shared" si="36"/>
        <v>NA.26.I.208-4</v>
      </c>
      <c r="X387" s="41" t="str">
        <f t="shared" si="37"/>
        <v/>
      </c>
    </row>
    <row r="388" s="32" customFormat="1" hidden="1" customHeight="1" spans="1:24">
      <c r="A388" s="34"/>
      <c r="B388" s="51">
        <v>383</v>
      </c>
      <c r="C388" s="51" t="s">
        <v>1329</v>
      </c>
      <c r="D388" s="52" t="s">
        <v>1330</v>
      </c>
      <c r="E388" s="53">
        <v>1</v>
      </c>
      <c r="F388" s="54" t="s">
        <v>29</v>
      </c>
      <c r="G388" s="54" t="s">
        <v>1249</v>
      </c>
      <c r="H388" s="54" t="s">
        <v>1249</v>
      </c>
      <c r="I388" s="66">
        <v>46048</v>
      </c>
      <c r="J388" s="54" t="s">
        <v>1250</v>
      </c>
      <c r="K388" s="67">
        <v>3</v>
      </c>
      <c r="L388" s="68" t="s">
        <v>1331</v>
      </c>
      <c r="M388" s="97" t="str">
        <f t="shared" si="33"/>
        <v>Open File</v>
      </c>
      <c r="N388" s="70" t="s">
        <v>1252</v>
      </c>
      <c r="O388" s="71" t="str">
        <f t="shared" si="34"/>
        <v>ACTIVE</v>
      </c>
      <c r="P388" s="66"/>
      <c r="Q388" s="66"/>
      <c r="R388" s="54"/>
      <c r="S388" s="82"/>
      <c r="T388" s="83" t="str">
        <f t="shared" si="35"/>
        <v/>
      </c>
      <c r="U388" s="10"/>
      <c r="V388" s="41">
        <f>IF(AND(Q388&lt;&gt;"",RIGHT(Q388,3)&lt;&gt;""),IF(COUNTIF($Q$6:Q388,Q388)=1,1,0),0)</f>
        <v>0</v>
      </c>
      <c r="W388" s="41" t="str">
        <f t="shared" si="36"/>
        <v>NA.26.I.208-3</v>
      </c>
      <c r="X388" s="41" t="str">
        <f t="shared" si="37"/>
        <v/>
      </c>
    </row>
    <row r="389" s="32" customFormat="1" hidden="1" customHeight="1" spans="1:24">
      <c r="A389" s="34"/>
      <c r="B389" s="51">
        <v>384</v>
      </c>
      <c r="C389" s="51" t="s">
        <v>1332</v>
      </c>
      <c r="D389" s="52" t="s">
        <v>1333</v>
      </c>
      <c r="E389" s="53">
        <v>1</v>
      </c>
      <c r="F389" s="54" t="s">
        <v>29</v>
      </c>
      <c r="G389" s="54" t="s">
        <v>1249</v>
      </c>
      <c r="H389" s="54" t="s">
        <v>1249</v>
      </c>
      <c r="I389" s="66">
        <v>46048</v>
      </c>
      <c r="J389" s="54" t="s">
        <v>1250</v>
      </c>
      <c r="K389" s="67">
        <v>2</v>
      </c>
      <c r="L389" s="68" t="s">
        <v>1334</v>
      </c>
      <c r="M389" s="97" t="str">
        <f t="shared" si="33"/>
        <v>Open File</v>
      </c>
      <c r="N389" s="70" t="s">
        <v>1252</v>
      </c>
      <c r="O389" s="71" t="str">
        <f t="shared" si="34"/>
        <v>ACTIVE</v>
      </c>
      <c r="P389" s="66"/>
      <c r="Q389" s="66"/>
      <c r="R389" s="54"/>
      <c r="S389" s="82"/>
      <c r="T389" s="83" t="str">
        <f t="shared" si="35"/>
        <v/>
      </c>
      <c r="U389" s="10"/>
      <c r="V389" s="41">
        <f>IF(AND(Q389&lt;&gt;"",RIGHT(Q389,3)&lt;&gt;""),IF(COUNTIF($Q$6:Q389,Q389)=1,1,0),0)</f>
        <v>0</v>
      </c>
      <c r="W389" s="41" t="str">
        <f t="shared" si="36"/>
        <v>NA.26.I.208-2</v>
      </c>
      <c r="X389" s="41" t="str">
        <f t="shared" si="37"/>
        <v/>
      </c>
    </row>
    <row r="390" s="32" customFormat="1" hidden="1" customHeight="1" spans="1:24">
      <c r="A390" s="34"/>
      <c r="B390" s="51">
        <v>385</v>
      </c>
      <c r="C390" s="51" t="s">
        <v>1335</v>
      </c>
      <c r="D390" s="52" t="s">
        <v>1336</v>
      </c>
      <c r="E390" s="53">
        <v>1</v>
      </c>
      <c r="F390" s="54" t="s">
        <v>29</v>
      </c>
      <c r="G390" s="54" t="s">
        <v>1249</v>
      </c>
      <c r="H390" s="54" t="s">
        <v>1249</v>
      </c>
      <c r="I390" s="66">
        <v>46048</v>
      </c>
      <c r="J390" s="54" t="s">
        <v>1250</v>
      </c>
      <c r="K390" s="67">
        <v>1</v>
      </c>
      <c r="L390" s="68" t="s">
        <v>1337</v>
      </c>
      <c r="M390" s="97" t="str">
        <f t="shared" si="33"/>
        <v>Open File</v>
      </c>
      <c r="N390" s="70" t="s">
        <v>1252</v>
      </c>
      <c r="O390" s="71" t="str">
        <f t="shared" si="34"/>
        <v>ACTIVE</v>
      </c>
      <c r="P390" s="66"/>
      <c r="Q390" s="66"/>
      <c r="R390" s="54"/>
      <c r="S390" s="82"/>
      <c r="T390" s="83" t="str">
        <f t="shared" si="35"/>
        <v/>
      </c>
      <c r="U390" s="10"/>
      <c r="V390" s="41">
        <f>IF(AND(Q390&lt;&gt;"",RIGHT(Q390,3)&lt;&gt;""),IF(COUNTIF($Q$6:Q390,Q390)=1,1,0),0)</f>
        <v>0</v>
      </c>
      <c r="W390" s="41" t="str">
        <f t="shared" si="36"/>
        <v>NA.26.I.208-1</v>
      </c>
      <c r="X390" s="41" t="str">
        <f t="shared" si="37"/>
        <v/>
      </c>
    </row>
    <row r="391" s="32" customFormat="1" hidden="1" customHeight="1" spans="1:24">
      <c r="A391" s="34"/>
      <c r="B391" s="51">
        <v>386</v>
      </c>
      <c r="C391" s="51" t="s">
        <v>1338</v>
      </c>
      <c r="D391" s="52" t="s">
        <v>1339</v>
      </c>
      <c r="E391" s="53">
        <v>1</v>
      </c>
      <c r="F391" s="54" t="s">
        <v>66</v>
      </c>
      <c r="G391" s="54" t="s">
        <v>1065</v>
      </c>
      <c r="H391" s="54" t="s">
        <v>37</v>
      </c>
      <c r="I391" s="66">
        <v>46051</v>
      </c>
      <c r="J391" s="54" t="s">
        <v>1340</v>
      </c>
      <c r="K391" s="67">
        <v>1</v>
      </c>
      <c r="L391" s="68" t="s">
        <v>1341</v>
      </c>
      <c r="M391" s="97" t="str">
        <f t="shared" si="33"/>
        <v>Open File</v>
      </c>
      <c r="N391" s="70" t="s">
        <v>1342</v>
      </c>
      <c r="O391" s="71" t="str">
        <f t="shared" si="34"/>
        <v>ACTIVE</v>
      </c>
      <c r="P391" s="66"/>
      <c r="Q391" s="66"/>
      <c r="R391" s="54"/>
      <c r="S391" s="82"/>
      <c r="T391" s="83" t="str">
        <f t="shared" si="35"/>
        <v/>
      </c>
      <c r="U391" s="10"/>
      <c r="V391" s="41">
        <f>IF(AND(Q391&lt;&gt;"",RIGHT(Q391,3)&lt;&gt;""),IF(COUNTIF($Q$6:Q391,Q391)=1,1,0),0)</f>
        <v>0</v>
      </c>
      <c r="W391" s="41" t="str">
        <f t="shared" si="36"/>
        <v>NA.26.I.248-1</v>
      </c>
      <c r="X391" s="41" t="str">
        <f t="shared" si="37"/>
        <v/>
      </c>
    </row>
    <row r="392" s="32" customFormat="1" hidden="1" customHeight="1" spans="1:24">
      <c r="A392" s="34"/>
      <c r="B392" s="51">
        <v>387</v>
      </c>
      <c r="C392" s="51" t="s">
        <v>1343</v>
      </c>
      <c r="D392" s="52" t="s">
        <v>497</v>
      </c>
      <c r="E392" s="53">
        <v>1</v>
      </c>
      <c r="F392" s="54" t="s">
        <v>29</v>
      </c>
      <c r="G392" s="54" t="s">
        <v>321</v>
      </c>
      <c r="H392" s="54" t="s">
        <v>322</v>
      </c>
      <c r="I392" s="66">
        <v>46055</v>
      </c>
      <c r="J392" s="54" t="s">
        <v>1344</v>
      </c>
      <c r="K392" s="67">
        <v>4</v>
      </c>
      <c r="L392" s="68" t="s">
        <v>1345</v>
      </c>
      <c r="M392" s="97" t="str">
        <f t="shared" si="33"/>
        <v>Open File</v>
      </c>
      <c r="N392" s="70" t="s">
        <v>1346</v>
      </c>
      <c r="O392" s="71" t="str">
        <f t="shared" si="34"/>
        <v>ACTIVE</v>
      </c>
      <c r="P392" s="66"/>
      <c r="Q392" s="66"/>
      <c r="R392" s="54"/>
      <c r="S392" s="82"/>
      <c r="T392" s="83" t="str">
        <f t="shared" si="35"/>
        <v/>
      </c>
      <c r="U392" s="10"/>
      <c r="V392" s="41">
        <f>IF(AND(Q392&lt;&gt;"",RIGHT(Q392,3)&lt;&gt;""),IF(COUNTIF($Q$6:Q392,Q392)=1,1,0),0)</f>
        <v>0</v>
      </c>
      <c r="W392" s="41" t="str">
        <f t="shared" si="36"/>
        <v>NA.26.I.005-4</v>
      </c>
      <c r="X392" s="41" t="str">
        <f t="shared" si="37"/>
        <v/>
      </c>
    </row>
    <row r="393" s="32" customFormat="1" hidden="1" customHeight="1" spans="1:24">
      <c r="A393" s="34"/>
      <c r="B393" s="51">
        <v>388</v>
      </c>
      <c r="C393" s="51" t="s">
        <v>1347</v>
      </c>
      <c r="D393" s="52" t="s">
        <v>497</v>
      </c>
      <c r="E393" s="53">
        <v>1</v>
      </c>
      <c r="F393" s="54" t="s">
        <v>29</v>
      </c>
      <c r="G393" s="54" t="s">
        <v>321</v>
      </c>
      <c r="H393" s="54" t="s">
        <v>322</v>
      </c>
      <c r="I393" s="66">
        <v>46055</v>
      </c>
      <c r="J393" s="54" t="s">
        <v>1344</v>
      </c>
      <c r="K393" s="67">
        <v>3</v>
      </c>
      <c r="L393" s="68" t="s">
        <v>1348</v>
      </c>
      <c r="M393" s="97" t="str">
        <f t="shared" si="33"/>
        <v>Open File</v>
      </c>
      <c r="N393" s="70" t="s">
        <v>1346</v>
      </c>
      <c r="O393" s="71" t="str">
        <f t="shared" si="34"/>
        <v>ACTIVE</v>
      </c>
      <c r="P393" s="66"/>
      <c r="Q393" s="66"/>
      <c r="R393" s="54"/>
      <c r="S393" s="82"/>
      <c r="T393" s="83" t="str">
        <f t="shared" si="35"/>
        <v/>
      </c>
      <c r="U393" s="10"/>
      <c r="V393" s="41">
        <f>IF(AND(Q393&lt;&gt;"",RIGHT(Q393,3)&lt;&gt;""),IF(COUNTIF($Q$6:Q393,Q393)=1,1,0),0)</f>
        <v>0</v>
      </c>
      <c r="W393" s="41" t="str">
        <f t="shared" si="36"/>
        <v>NA.26.I.005-3</v>
      </c>
      <c r="X393" s="41" t="str">
        <f t="shared" si="37"/>
        <v/>
      </c>
    </row>
    <row r="394" s="32" customFormat="1" hidden="1" customHeight="1" spans="1:24">
      <c r="A394" s="34"/>
      <c r="B394" s="51">
        <v>389</v>
      </c>
      <c r="C394" s="51" t="s">
        <v>1349</v>
      </c>
      <c r="D394" s="52" t="s">
        <v>497</v>
      </c>
      <c r="E394" s="53">
        <v>1</v>
      </c>
      <c r="F394" s="54" t="s">
        <v>29</v>
      </c>
      <c r="G394" s="54" t="s">
        <v>321</v>
      </c>
      <c r="H394" s="54" t="s">
        <v>322</v>
      </c>
      <c r="I394" s="66">
        <v>46055</v>
      </c>
      <c r="J394" s="54" t="s">
        <v>1344</v>
      </c>
      <c r="K394" s="67">
        <v>2</v>
      </c>
      <c r="L394" s="68" t="s">
        <v>1350</v>
      </c>
      <c r="M394" s="97" t="str">
        <f t="shared" ref="M394:M457" si="38">IF(L394="","",HYPERLINK(_xlfn.CONCAT($L$4,L394,".jpg"),"Open File"))</f>
        <v>Open File</v>
      </c>
      <c r="N394" s="70" t="s">
        <v>1346</v>
      </c>
      <c r="O394" s="71" t="str">
        <f t="shared" si="34"/>
        <v>ACTIVE</v>
      </c>
      <c r="P394" s="66"/>
      <c r="Q394" s="66"/>
      <c r="R394" s="54"/>
      <c r="S394" s="82"/>
      <c r="T394" s="83" t="str">
        <f t="shared" ref="T394:T457" si="39">IF(S394="","",HYPERLINK(_xlfn.CONCAT($S$4,S394,".jpg"),"Open File"))</f>
        <v/>
      </c>
      <c r="U394" s="10"/>
      <c r="V394" s="41">
        <f>IF(AND(Q394&lt;&gt;"",RIGHT(Q394,3)&lt;&gt;""),IF(COUNTIF($Q$6:Q394,Q394)=1,1,0),0)</f>
        <v>0</v>
      </c>
      <c r="W394" s="41" t="str">
        <f t="shared" ref="W394:W457" si="40">IF(AND(J394&lt;&gt;"",K394&lt;&gt;""),_xlfn.CONCAT(SUBSTITUTE(J394,"/","."),"-",K394),"")</f>
        <v>NA.26.I.005-2</v>
      </c>
      <c r="X394" s="41" t="str">
        <f t="shared" ref="X394:X457" si="41">IF(AND(Q394&lt;&gt;"",R394&lt;&gt;""),_xlfn.CONCAT(SUBSTITUTE(Q394,"/","."),"-",R394),"")</f>
        <v/>
      </c>
    </row>
    <row r="395" s="32" customFormat="1" hidden="1" customHeight="1" spans="1:24">
      <c r="A395" s="34"/>
      <c r="B395" s="51">
        <v>390</v>
      </c>
      <c r="C395" s="51" t="s">
        <v>1351</v>
      </c>
      <c r="D395" s="52" t="s">
        <v>497</v>
      </c>
      <c r="E395" s="53">
        <v>1</v>
      </c>
      <c r="F395" s="54" t="s">
        <v>29</v>
      </c>
      <c r="G395" s="54" t="s">
        <v>321</v>
      </c>
      <c r="H395" s="54" t="s">
        <v>322</v>
      </c>
      <c r="I395" s="66">
        <v>46055</v>
      </c>
      <c r="J395" s="54" t="s">
        <v>1344</v>
      </c>
      <c r="K395" s="67">
        <v>1</v>
      </c>
      <c r="L395" s="68" t="s">
        <v>1352</v>
      </c>
      <c r="M395" s="97" t="str">
        <f t="shared" si="38"/>
        <v>Open File</v>
      </c>
      <c r="N395" s="70" t="s">
        <v>1346</v>
      </c>
      <c r="O395" s="71" t="str">
        <f t="shared" si="34"/>
        <v>ACTIVE</v>
      </c>
      <c r="P395" s="66"/>
      <c r="Q395" s="66"/>
      <c r="R395" s="54"/>
      <c r="S395" s="82"/>
      <c r="T395" s="83" t="str">
        <f t="shared" si="39"/>
        <v/>
      </c>
      <c r="U395" s="10"/>
      <c r="V395" s="41">
        <f>IF(AND(Q395&lt;&gt;"",RIGHT(Q395,3)&lt;&gt;""),IF(COUNTIF($Q$6:Q395,Q395)=1,1,0),0)</f>
        <v>0</v>
      </c>
      <c r="W395" s="41" t="str">
        <f t="shared" si="40"/>
        <v>NA.26.I.005-1</v>
      </c>
      <c r="X395" s="41" t="str">
        <f t="shared" si="41"/>
        <v/>
      </c>
    </row>
    <row r="396" s="32" customFormat="1" hidden="1" customHeight="1" spans="1:24">
      <c r="A396" s="34"/>
      <c r="B396" s="51">
        <v>391</v>
      </c>
      <c r="C396" s="51" t="s">
        <v>1353</v>
      </c>
      <c r="D396" s="52" t="s">
        <v>497</v>
      </c>
      <c r="E396" s="53">
        <v>1</v>
      </c>
      <c r="F396" s="54" t="s">
        <v>29</v>
      </c>
      <c r="G396" s="54" t="s">
        <v>1194</v>
      </c>
      <c r="H396" s="54" t="s">
        <v>1195</v>
      </c>
      <c r="I396" s="66">
        <v>46055</v>
      </c>
      <c r="J396" s="54" t="s">
        <v>1354</v>
      </c>
      <c r="K396" s="67">
        <v>1</v>
      </c>
      <c r="L396" s="68" t="s">
        <v>1355</v>
      </c>
      <c r="M396" s="95" t="str">
        <f t="shared" si="38"/>
        <v>Open File</v>
      </c>
      <c r="N396" s="70" t="s">
        <v>1356</v>
      </c>
      <c r="O396" s="71" t="str">
        <f t="shared" si="34"/>
        <v>ACTIVE</v>
      </c>
      <c r="P396" s="66"/>
      <c r="Q396" s="66"/>
      <c r="R396" s="54"/>
      <c r="S396" s="82"/>
      <c r="T396" s="83" t="str">
        <f t="shared" si="39"/>
        <v/>
      </c>
      <c r="U396" s="10"/>
      <c r="V396" s="41">
        <f>IF(AND(Q396&lt;&gt;"",RIGHT(Q396,3)&lt;&gt;""),IF(COUNTIF($Q$6:Q396,Q396)=1,1,0),0)</f>
        <v>0</v>
      </c>
      <c r="W396" s="41" t="str">
        <f t="shared" si="40"/>
        <v>NA.26.I.006-1</v>
      </c>
      <c r="X396" s="41" t="str">
        <f t="shared" si="41"/>
        <v/>
      </c>
    </row>
    <row r="397" s="32" customFormat="1" hidden="1" customHeight="1" spans="1:24">
      <c r="A397" s="34"/>
      <c r="B397" s="51">
        <v>392</v>
      </c>
      <c r="C397" s="51" t="s">
        <v>1357</v>
      </c>
      <c r="D397" s="52" t="s">
        <v>158</v>
      </c>
      <c r="E397" s="53">
        <v>1</v>
      </c>
      <c r="F397" s="54" t="s">
        <v>29</v>
      </c>
      <c r="G397" s="54" t="s">
        <v>1194</v>
      </c>
      <c r="H397" s="54" t="s">
        <v>1195</v>
      </c>
      <c r="I397" s="66">
        <v>46055</v>
      </c>
      <c r="J397" s="54" t="s">
        <v>1354</v>
      </c>
      <c r="K397" s="67">
        <v>2</v>
      </c>
      <c r="L397" s="68" t="s">
        <v>1358</v>
      </c>
      <c r="M397" s="95" t="str">
        <f t="shared" si="38"/>
        <v>Open File</v>
      </c>
      <c r="N397" s="70" t="s">
        <v>1356</v>
      </c>
      <c r="O397" s="71" t="str">
        <f t="shared" si="34"/>
        <v>ACTIVE</v>
      </c>
      <c r="P397" s="66"/>
      <c r="Q397" s="66"/>
      <c r="R397" s="54"/>
      <c r="S397" s="82"/>
      <c r="T397" s="83" t="str">
        <f t="shared" si="39"/>
        <v/>
      </c>
      <c r="U397" s="10"/>
      <c r="V397" s="41">
        <f>IF(AND(Q397&lt;&gt;"",RIGHT(Q397,3)&lt;&gt;""),IF(COUNTIF($Q$6:Q397,Q397)=1,1,0),0)</f>
        <v>0</v>
      </c>
      <c r="W397" s="41" t="str">
        <f t="shared" si="40"/>
        <v>NA.26.I.006-2</v>
      </c>
      <c r="X397" s="41" t="str">
        <f t="shared" si="41"/>
        <v/>
      </c>
    </row>
    <row r="398" s="32" customFormat="1" hidden="1" customHeight="1" spans="1:24">
      <c r="A398" s="34"/>
      <c r="B398" s="51">
        <v>393</v>
      </c>
      <c r="C398" s="51" t="s">
        <v>1359</v>
      </c>
      <c r="D398" s="52" t="s">
        <v>1360</v>
      </c>
      <c r="E398" s="53">
        <v>1</v>
      </c>
      <c r="F398" s="54" t="s">
        <v>66</v>
      </c>
      <c r="G398" s="54" t="s">
        <v>1361</v>
      </c>
      <c r="H398" s="54" t="s">
        <v>37</v>
      </c>
      <c r="I398" s="66">
        <v>46058</v>
      </c>
      <c r="J398" s="54" t="s">
        <v>1362</v>
      </c>
      <c r="K398" s="67">
        <v>1</v>
      </c>
      <c r="L398" s="68" t="s">
        <v>1363</v>
      </c>
      <c r="M398" s="95" t="str">
        <f t="shared" si="38"/>
        <v>Open File</v>
      </c>
      <c r="N398" s="70" t="s">
        <v>1364</v>
      </c>
      <c r="O398" s="71" t="str">
        <f t="shared" si="34"/>
        <v>ACTIVE</v>
      </c>
      <c r="P398" s="66"/>
      <c r="Q398" s="66"/>
      <c r="R398" s="54"/>
      <c r="S398" s="82"/>
      <c r="T398" s="83" t="str">
        <f t="shared" si="39"/>
        <v/>
      </c>
      <c r="U398" s="10"/>
      <c r="V398" s="41">
        <f>IF(AND(Q398&lt;&gt;"",RIGHT(Q398,3)&lt;&gt;""),IF(COUNTIF($Q$6:Q398,Q398)=1,1,0),0)</f>
        <v>0</v>
      </c>
      <c r="W398" s="41" t="str">
        <f t="shared" si="40"/>
        <v>NA.26.II.047-1</v>
      </c>
      <c r="X398" s="41" t="str">
        <f t="shared" si="41"/>
        <v/>
      </c>
    </row>
    <row r="399" s="32" customFormat="1" hidden="1" customHeight="1" spans="1:24">
      <c r="A399" s="34"/>
      <c r="B399" s="51">
        <v>394</v>
      </c>
      <c r="C399" s="51" t="s">
        <v>1365</v>
      </c>
      <c r="D399" s="52" t="s">
        <v>1366</v>
      </c>
      <c r="E399" s="53">
        <v>1</v>
      </c>
      <c r="F399" s="54" t="s">
        <v>29</v>
      </c>
      <c r="G399" s="54" t="s">
        <v>896</v>
      </c>
      <c r="H399" s="54" t="s">
        <v>524</v>
      </c>
      <c r="I399" s="66">
        <v>46062</v>
      </c>
      <c r="J399" s="54" t="s">
        <v>1367</v>
      </c>
      <c r="K399" s="67">
        <v>1</v>
      </c>
      <c r="L399" s="68" t="s">
        <v>1368</v>
      </c>
      <c r="M399" s="97" t="str">
        <f t="shared" si="38"/>
        <v>Open File</v>
      </c>
      <c r="N399" s="70" t="s">
        <v>1369</v>
      </c>
      <c r="O399" s="71" t="str">
        <f t="shared" si="34"/>
        <v>ACTIVE</v>
      </c>
      <c r="P399" s="66"/>
      <c r="Q399" s="66"/>
      <c r="R399" s="54"/>
      <c r="S399" s="82"/>
      <c r="T399" s="83" t="str">
        <f t="shared" si="39"/>
        <v/>
      </c>
      <c r="U399" s="10"/>
      <c r="V399" s="41">
        <f>IF(AND(Q399&lt;&gt;"",RIGHT(Q399,3)&lt;&gt;""),IF(COUNTIF($Q$6:Q399,Q399)=1,1,0),0)</f>
        <v>0</v>
      </c>
      <c r="W399" s="41" t="str">
        <f t="shared" si="40"/>
        <v>NA.26.II.076-1</v>
      </c>
      <c r="X399" s="41" t="str">
        <f t="shared" si="41"/>
        <v/>
      </c>
    </row>
    <row r="400" s="32" customFormat="1" hidden="1" customHeight="1" spans="1:24">
      <c r="A400" s="34"/>
      <c r="B400" s="51">
        <v>395</v>
      </c>
      <c r="C400" s="51" t="s">
        <v>1370</v>
      </c>
      <c r="D400" s="52" t="s">
        <v>443</v>
      </c>
      <c r="E400" s="53">
        <v>1</v>
      </c>
      <c r="F400" s="54" t="s">
        <v>29</v>
      </c>
      <c r="G400" s="54" t="s">
        <v>1025</v>
      </c>
      <c r="H400" s="54" t="s">
        <v>37</v>
      </c>
      <c r="I400" s="66">
        <v>46067</v>
      </c>
      <c r="J400" s="54" t="s">
        <v>1371</v>
      </c>
      <c r="K400" s="67">
        <v>1</v>
      </c>
      <c r="L400" s="68" t="s">
        <v>1372</v>
      </c>
      <c r="M400" s="97" t="str">
        <f t="shared" si="38"/>
        <v>Open File</v>
      </c>
      <c r="N400" s="70" t="s">
        <v>1373</v>
      </c>
      <c r="O400" s="71" t="str">
        <f t="shared" ref="O400:O463" si="42">IF(AND(Q400&lt;&gt;"",T400&lt;&gt;""),"PASSIVE",IF(AND(J400&lt;&gt;"",M400&lt;&gt;""),"ACTIVE",""))</f>
        <v>ACTIVE</v>
      </c>
      <c r="P400" s="66"/>
      <c r="Q400" s="66"/>
      <c r="R400" s="54"/>
      <c r="S400" s="82"/>
      <c r="T400" s="83" t="str">
        <f t="shared" si="39"/>
        <v/>
      </c>
      <c r="U400" s="10"/>
      <c r="V400" s="41">
        <f>IF(AND(Q400&lt;&gt;"",RIGHT(Q400,3)&lt;&gt;""),IF(COUNTIF($Q$6:Q400,Q400)=1,1,0),0)</f>
        <v>0</v>
      </c>
      <c r="W400" s="41" t="str">
        <f t="shared" si="40"/>
        <v>NA.26.II.137-1</v>
      </c>
      <c r="X400" s="41" t="str">
        <f t="shared" si="41"/>
        <v/>
      </c>
    </row>
    <row r="401" s="32" customFormat="1" hidden="1" customHeight="1" spans="1:24">
      <c r="A401" s="34"/>
      <c r="B401" s="51">
        <v>396</v>
      </c>
      <c r="C401" s="51" t="s">
        <v>1374</v>
      </c>
      <c r="D401" s="52" t="s">
        <v>1375</v>
      </c>
      <c r="E401" s="53">
        <v>1</v>
      </c>
      <c r="F401" s="54" t="s">
        <v>29</v>
      </c>
      <c r="G401" s="54" t="s">
        <v>481</v>
      </c>
      <c r="H401" s="54" t="s">
        <v>375</v>
      </c>
      <c r="I401" s="66">
        <v>46077</v>
      </c>
      <c r="J401" s="54" t="s">
        <v>1376</v>
      </c>
      <c r="K401" s="67"/>
      <c r="L401" s="68" t="s">
        <v>1377</v>
      </c>
      <c r="M401" s="97" t="str">
        <f t="shared" si="38"/>
        <v/>
      </c>
      <c r="N401" s="70" t="s">
        <v>1378</v>
      </c>
      <c r="O401" s="71" t="str">
        <f t="shared" si="42"/>
        <v/>
      </c>
      <c r="P401" s="66"/>
      <c r="Q401" s="66"/>
      <c r="R401" s="54"/>
      <c r="S401" s="82"/>
      <c r="T401" s="83" t="str">
        <f t="shared" si="39"/>
        <v/>
      </c>
      <c r="U401" s="10"/>
      <c r="V401" s="41">
        <f>IF(AND(Q401&lt;&gt;"",RIGHT(Q401,3)&lt;&gt;""),IF(COUNTIF($Q$6:Q401,Q401)=1,1,0),0)</f>
        <v>0</v>
      </c>
      <c r="W401" s="41" t="str">
        <f t="shared" si="40"/>
        <v/>
      </c>
      <c r="X401" s="41" t="str">
        <f t="shared" si="41"/>
        <v/>
      </c>
    </row>
    <row r="402" s="32" customFormat="1" hidden="1" customHeight="1" spans="1:24">
      <c r="A402" s="34"/>
      <c r="B402" s="51">
        <v>397</v>
      </c>
      <c r="C402" s="51" t="s">
        <v>1379</v>
      </c>
      <c r="D402" s="52" t="s">
        <v>1375</v>
      </c>
      <c r="E402" s="53">
        <v>1</v>
      </c>
      <c r="F402" s="54" t="s">
        <v>29</v>
      </c>
      <c r="G402" s="54" t="s">
        <v>1380</v>
      </c>
      <c r="H402" s="54" t="s">
        <v>1195</v>
      </c>
      <c r="I402" s="66">
        <v>46077</v>
      </c>
      <c r="J402" s="54" t="s">
        <v>1381</v>
      </c>
      <c r="K402" s="67">
        <v>1</v>
      </c>
      <c r="L402" s="68" t="s">
        <v>1382</v>
      </c>
      <c r="M402" s="95" t="str">
        <f t="shared" si="38"/>
        <v>Open File</v>
      </c>
      <c r="N402" s="70" t="s">
        <v>1378</v>
      </c>
      <c r="O402" s="71" t="str">
        <f t="shared" si="42"/>
        <v>ACTIVE</v>
      </c>
      <c r="P402" s="66"/>
      <c r="Q402" s="66"/>
      <c r="R402" s="54"/>
      <c r="S402" s="82"/>
      <c r="T402" s="83" t="str">
        <f t="shared" si="39"/>
        <v/>
      </c>
      <c r="U402" s="10"/>
      <c r="V402" s="41">
        <f>IF(AND(Q402&lt;&gt;"",RIGHT(Q402,3)&lt;&gt;""),IF(COUNTIF($Q$6:Q402,Q402)=1,1,0),0)</f>
        <v>0</v>
      </c>
      <c r="W402" s="41" t="str">
        <f t="shared" si="40"/>
        <v>NA.26.II.208-1</v>
      </c>
      <c r="X402" s="41" t="str">
        <f t="shared" si="41"/>
        <v/>
      </c>
    </row>
    <row r="403" s="32" customFormat="1" hidden="1" customHeight="1" spans="1:24">
      <c r="A403" s="34"/>
      <c r="B403" s="51">
        <v>398</v>
      </c>
      <c r="C403" s="51" t="s">
        <v>1383</v>
      </c>
      <c r="D403" s="52" t="s">
        <v>1216</v>
      </c>
      <c r="E403" s="53">
        <v>1</v>
      </c>
      <c r="F403" s="54" t="s">
        <v>29</v>
      </c>
      <c r="G403" s="54" t="s">
        <v>1384</v>
      </c>
      <c r="H403" s="54" t="s">
        <v>37</v>
      </c>
      <c r="I403" s="66">
        <v>46079</v>
      </c>
      <c r="J403" s="54" t="s">
        <v>1385</v>
      </c>
      <c r="K403" s="67">
        <v>1</v>
      </c>
      <c r="L403" s="68" t="s">
        <v>1386</v>
      </c>
      <c r="M403" s="95" t="str">
        <f t="shared" si="38"/>
        <v>Open File</v>
      </c>
      <c r="N403" s="70" t="s">
        <v>1387</v>
      </c>
      <c r="O403" s="71" t="str">
        <f t="shared" si="42"/>
        <v>ACTIVE</v>
      </c>
      <c r="P403" s="66"/>
      <c r="Q403" s="66"/>
      <c r="R403" s="54"/>
      <c r="S403" s="82"/>
      <c r="T403" s="83" t="str">
        <f t="shared" si="39"/>
        <v/>
      </c>
      <c r="U403" s="10"/>
      <c r="V403" s="41">
        <f>IF(AND(Q403&lt;&gt;"",RIGHT(Q403,3)&lt;&gt;""),IF(COUNTIF($Q$6:Q403,Q403)=1,1,0),0)</f>
        <v>0</v>
      </c>
      <c r="W403" s="41" t="str">
        <f t="shared" si="40"/>
        <v>NA.26.II.224-1</v>
      </c>
      <c r="X403" s="41" t="str">
        <f t="shared" si="41"/>
        <v/>
      </c>
    </row>
    <row r="404" s="32" customFormat="1" customHeight="1" spans="1:24">
      <c r="A404" s="34"/>
      <c r="B404" s="51">
        <v>399</v>
      </c>
      <c r="C404" s="51" t="s">
        <v>1388</v>
      </c>
      <c r="D404" s="52" t="s">
        <v>1389</v>
      </c>
      <c r="E404" s="53">
        <v>1</v>
      </c>
      <c r="F404" s="54" t="s">
        <v>29</v>
      </c>
      <c r="G404" s="54" t="s">
        <v>30</v>
      </c>
      <c r="H404" s="54" t="s">
        <v>31</v>
      </c>
      <c r="I404" s="66">
        <v>46088</v>
      </c>
      <c r="J404" s="54" t="s">
        <v>1390</v>
      </c>
      <c r="K404" s="67">
        <v>89</v>
      </c>
      <c r="L404" s="68" t="s">
        <v>1391</v>
      </c>
      <c r="M404" s="95" t="str">
        <f t="shared" si="38"/>
        <v>Open File</v>
      </c>
      <c r="N404" s="70" t="s">
        <v>1392</v>
      </c>
      <c r="O404" s="71" t="str">
        <f t="shared" si="42"/>
        <v>ACTIVE</v>
      </c>
      <c r="P404" s="66"/>
      <c r="Q404" s="66"/>
      <c r="R404" s="54"/>
      <c r="S404" s="82"/>
      <c r="T404" s="83" t="str">
        <f t="shared" si="39"/>
        <v/>
      </c>
      <c r="U404" s="10"/>
      <c r="V404" s="41">
        <f>IF(AND(Q404&lt;&gt;"",RIGHT(Q404,3)&lt;&gt;""),IF(COUNTIF($Q$6:Q404,Q404)=1,1,0),0)</f>
        <v>0</v>
      </c>
      <c r="W404" s="41" t="str">
        <f t="shared" si="40"/>
        <v>NA.26.III.065-89</v>
      </c>
      <c r="X404" s="41" t="str">
        <f t="shared" si="41"/>
        <v/>
      </c>
    </row>
    <row r="405" s="32" customFormat="1" hidden="1" customHeight="1" spans="1:24">
      <c r="A405" s="34"/>
      <c r="B405" s="51">
        <v>400</v>
      </c>
      <c r="C405" s="51" t="s">
        <v>1393</v>
      </c>
      <c r="D405" s="52" t="s">
        <v>1394</v>
      </c>
      <c r="E405" s="53">
        <v>45</v>
      </c>
      <c r="F405" s="54" t="s">
        <v>422</v>
      </c>
      <c r="G405" s="54" t="s">
        <v>1395</v>
      </c>
      <c r="H405" s="54" t="s">
        <v>31</v>
      </c>
      <c r="I405" s="66">
        <v>46107</v>
      </c>
      <c r="J405" s="54" t="s">
        <v>1396</v>
      </c>
      <c r="K405" s="67">
        <v>87</v>
      </c>
      <c r="L405" s="68" t="s">
        <v>1397</v>
      </c>
      <c r="M405" s="97" t="str">
        <f t="shared" si="38"/>
        <v>Open File</v>
      </c>
      <c r="N405" s="70" t="s">
        <v>1398</v>
      </c>
      <c r="O405" s="71" t="str">
        <f t="shared" si="42"/>
        <v>ACTIVE</v>
      </c>
      <c r="P405" s="66"/>
      <c r="Q405" s="66"/>
      <c r="R405" s="54"/>
      <c r="S405" s="82"/>
      <c r="T405" s="83" t="str">
        <f t="shared" si="39"/>
        <v/>
      </c>
      <c r="U405" s="10"/>
      <c r="V405" s="41">
        <f>IF(AND(Q405&lt;&gt;"",RIGHT(Q405,3)&lt;&gt;""),IF(COUNTIF($Q$6:Q405,Q405)=1,1,0),0)</f>
        <v>0</v>
      </c>
      <c r="W405" s="41" t="str">
        <f t="shared" si="40"/>
        <v>NA.26.III.155-87</v>
      </c>
      <c r="X405" s="41" t="str">
        <f t="shared" si="41"/>
        <v/>
      </c>
    </row>
    <row r="406" s="32" customFormat="1" hidden="1" customHeight="1" spans="1:24">
      <c r="A406" s="34"/>
      <c r="B406" s="51">
        <v>401</v>
      </c>
      <c r="C406" s="51" t="s">
        <v>1399</v>
      </c>
      <c r="D406" s="52" t="s">
        <v>1400</v>
      </c>
      <c r="E406" s="53">
        <v>45</v>
      </c>
      <c r="F406" s="54" t="s">
        <v>422</v>
      </c>
      <c r="G406" s="54" t="s">
        <v>1395</v>
      </c>
      <c r="H406" s="54" t="s">
        <v>31</v>
      </c>
      <c r="I406" s="66">
        <v>46107</v>
      </c>
      <c r="J406" s="54" t="s">
        <v>1396</v>
      </c>
      <c r="K406" s="67">
        <v>88</v>
      </c>
      <c r="L406" s="68" t="s">
        <v>1401</v>
      </c>
      <c r="M406" s="95" t="str">
        <f t="shared" si="38"/>
        <v>Open File</v>
      </c>
      <c r="N406" s="70" t="s">
        <v>1398</v>
      </c>
      <c r="O406" s="71" t="str">
        <f t="shared" si="42"/>
        <v>ACTIVE</v>
      </c>
      <c r="P406" s="66"/>
      <c r="Q406" s="66"/>
      <c r="R406" s="54"/>
      <c r="S406" s="82"/>
      <c r="T406" s="83" t="str">
        <f t="shared" si="39"/>
        <v/>
      </c>
      <c r="U406" s="10"/>
      <c r="V406" s="41">
        <f>IF(AND(Q406&lt;&gt;"",RIGHT(Q406,3)&lt;&gt;""),IF(COUNTIF($Q$6:Q406,Q406)=1,1,0),0)</f>
        <v>0</v>
      </c>
      <c r="W406" s="41" t="str">
        <f t="shared" si="40"/>
        <v>NA.26.III.155-88</v>
      </c>
      <c r="X406" s="41" t="str">
        <f t="shared" si="41"/>
        <v/>
      </c>
    </row>
    <row r="407" s="32" customFormat="1" hidden="1" customHeight="1" spans="1:24">
      <c r="A407" s="34"/>
      <c r="B407" s="51">
        <v>402</v>
      </c>
      <c r="C407" s="51" t="s">
        <v>1402</v>
      </c>
      <c r="D407" s="52" t="s">
        <v>1403</v>
      </c>
      <c r="E407" s="53">
        <v>1</v>
      </c>
      <c r="F407" s="54" t="s">
        <v>29</v>
      </c>
      <c r="G407" s="54" t="s">
        <v>481</v>
      </c>
      <c r="H407" s="54" t="s">
        <v>375</v>
      </c>
      <c r="I407" s="66" t="s">
        <v>1404</v>
      </c>
      <c r="J407" s="54" t="s">
        <v>1405</v>
      </c>
      <c r="K407" s="67">
        <v>1</v>
      </c>
      <c r="L407" s="68" t="s">
        <v>1406</v>
      </c>
      <c r="M407" s="97" t="str">
        <f t="shared" si="38"/>
        <v>Open File</v>
      </c>
      <c r="N407" s="70" t="s">
        <v>1407</v>
      </c>
      <c r="O407" s="71" t="str">
        <f t="shared" si="42"/>
        <v>ACTIVE</v>
      </c>
      <c r="P407" s="66"/>
      <c r="Q407" s="66"/>
      <c r="R407" s="54"/>
      <c r="S407" s="82"/>
      <c r="T407" s="83" t="str">
        <f t="shared" si="39"/>
        <v/>
      </c>
      <c r="U407" s="10"/>
      <c r="V407" s="41">
        <f>IF(AND(Q407&lt;&gt;"",RIGHT(Q407,3)&lt;&gt;""),IF(COUNTIF($Q$6:Q407,Q407)=1,1,0),0)</f>
        <v>0</v>
      </c>
      <c r="W407" s="41" t="str">
        <f t="shared" si="40"/>
        <v>NA.25.X.002-1</v>
      </c>
      <c r="X407" s="41" t="str">
        <f t="shared" si="41"/>
        <v/>
      </c>
    </row>
    <row r="408" s="32" customFormat="1" hidden="1" customHeight="1" spans="1:24">
      <c r="A408" s="34"/>
      <c r="B408" s="51">
        <v>403</v>
      </c>
      <c r="C408" s="51" t="s">
        <v>1408</v>
      </c>
      <c r="D408" s="52" t="s">
        <v>1409</v>
      </c>
      <c r="E408" s="53">
        <v>1</v>
      </c>
      <c r="F408" s="54" t="s">
        <v>29</v>
      </c>
      <c r="G408" s="54" t="s">
        <v>515</v>
      </c>
      <c r="H408" s="54" t="s">
        <v>322</v>
      </c>
      <c r="I408" s="66">
        <v>46120</v>
      </c>
      <c r="J408" s="54" t="s">
        <v>1410</v>
      </c>
      <c r="K408" s="54" t="s">
        <v>1411</v>
      </c>
      <c r="L408" s="54" t="s">
        <v>1412</v>
      </c>
      <c r="M408" s="97" t="str">
        <f t="shared" si="38"/>
        <v>Open File</v>
      </c>
      <c r="N408" s="70" t="s">
        <v>1413</v>
      </c>
      <c r="O408" s="71" t="str">
        <f t="shared" si="42"/>
        <v>ACTIVE</v>
      </c>
      <c r="P408" s="66"/>
      <c r="Q408" s="66"/>
      <c r="R408" s="54"/>
      <c r="S408" s="82"/>
      <c r="T408" s="83" t="str">
        <f t="shared" si="39"/>
        <v/>
      </c>
      <c r="U408" s="10"/>
      <c r="V408" s="41">
        <f>IF(AND(Q408&lt;&gt;"",RIGHT(Q408,3)&lt;&gt;""),IF(COUNTIF($Q$6:Q408,Q408)=1,1,0),0)</f>
        <v>0</v>
      </c>
      <c r="W408" s="41" t="str">
        <f t="shared" si="40"/>
        <v>NA.26.IV.043-14</v>
      </c>
      <c r="X408" s="41" t="str">
        <f t="shared" si="41"/>
        <v/>
      </c>
    </row>
    <row r="409" s="32" customFormat="1" hidden="1" customHeight="1" spans="1:24">
      <c r="A409" s="34"/>
      <c r="B409" s="51">
        <v>404</v>
      </c>
      <c r="C409" s="51" t="s">
        <v>1414</v>
      </c>
      <c r="D409" s="52" t="s">
        <v>979</v>
      </c>
      <c r="E409" s="53">
        <v>1</v>
      </c>
      <c r="F409" s="54" t="s">
        <v>29</v>
      </c>
      <c r="G409" s="54" t="s">
        <v>1194</v>
      </c>
      <c r="H409" s="54" t="s">
        <v>1195</v>
      </c>
      <c r="I409" s="66">
        <v>46121</v>
      </c>
      <c r="J409" s="54" t="s">
        <v>1415</v>
      </c>
      <c r="K409" s="54" t="s">
        <v>226</v>
      </c>
      <c r="L409" s="54" t="s">
        <v>1416</v>
      </c>
      <c r="M409" s="95" t="str">
        <f t="shared" si="38"/>
        <v>Open File</v>
      </c>
      <c r="N409" s="70" t="s">
        <v>1417</v>
      </c>
      <c r="O409" s="71" t="str">
        <f t="shared" si="42"/>
        <v>ACTIVE</v>
      </c>
      <c r="P409" s="66"/>
      <c r="Q409" s="66"/>
      <c r="R409" s="54"/>
      <c r="S409" s="82"/>
      <c r="T409" s="83" t="str">
        <f t="shared" si="39"/>
        <v/>
      </c>
      <c r="U409" s="10"/>
      <c r="V409" s="41">
        <f>IF(AND(Q409&lt;&gt;"",RIGHT(Q409,3)&lt;&gt;""),IF(COUNTIF($Q$6:Q409,Q409)=1,1,0),0)</f>
        <v>0</v>
      </c>
      <c r="W409" s="41" t="str">
        <f t="shared" si="40"/>
        <v>NA.26.IV.066-1</v>
      </c>
      <c r="X409" s="41" t="str">
        <f t="shared" si="41"/>
        <v/>
      </c>
    </row>
    <row r="410" s="32" customFormat="1" hidden="1" customHeight="1" spans="1:24">
      <c r="A410" s="34"/>
      <c r="B410" s="51">
        <v>405</v>
      </c>
      <c r="C410" s="51" t="s">
        <v>1418</v>
      </c>
      <c r="D410" s="52" t="s">
        <v>1419</v>
      </c>
      <c r="E410" s="53">
        <v>1</v>
      </c>
      <c r="F410" s="54" t="s">
        <v>29</v>
      </c>
      <c r="G410" s="54" t="s">
        <v>1194</v>
      </c>
      <c r="H410" s="54" t="s">
        <v>1195</v>
      </c>
      <c r="I410" s="66">
        <v>46121</v>
      </c>
      <c r="J410" s="54" t="s">
        <v>1415</v>
      </c>
      <c r="K410" s="54" t="s">
        <v>1239</v>
      </c>
      <c r="L410" s="54" t="s">
        <v>1420</v>
      </c>
      <c r="M410" s="97" t="str">
        <f t="shared" si="38"/>
        <v>Open File</v>
      </c>
      <c r="N410" s="70" t="s">
        <v>1417</v>
      </c>
      <c r="O410" s="71" t="str">
        <f t="shared" si="42"/>
        <v>ACTIVE</v>
      </c>
      <c r="P410" s="66"/>
      <c r="Q410" s="66"/>
      <c r="R410" s="54"/>
      <c r="S410" s="82"/>
      <c r="T410" s="83" t="str">
        <f t="shared" si="39"/>
        <v/>
      </c>
      <c r="U410" s="10"/>
      <c r="V410" s="41">
        <f>IF(AND(Q410&lt;&gt;"",RIGHT(Q410,3)&lt;&gt;""),IF(COUNTIF($Q$6:Q410,Q410)=1,1,0),0)</f>
        <v>0</v>
      </c>
      <c r="W410" s="41" t="str">
        <f t="shared" si="40"/>
        <v>NA.26.IV.066-2</v>
      </c>
      <c r="X410" s="41" t="str">
        <f t="shared" si="41"/>
        <v/>
      </c>
    </row>
    <row r="411" s="32" customFormat="1" hidden="1" customHeight="1" spans="1:24">
      <c r="A411" s="34"/>
      <c r="B411" s="51">
        <v>406</v>
      </c>
      <c r="C411" s="51" t="s">
        <v>1421</v>
      </c>
      <c r="D411" s="52" t="s">
        <v>1422</v>
      </c>
      <c r="E411" s="53">
        <v>1</v>
      </c>
      <c r="F411" s="54" t="s">
        <v>29</v>
      </c>
      <c r="G411" s="54" t="s">
        <v>1194</v>
      </c>
      <c r="H411" s="54" t="s">
        <v>1195</v>
      </c>
      <c r="I411" s="66">
        <v>46121</v>
      </c>
      <c r="J411" s="54" t="s">
        <v>1415</v>
      </c>
      <c r="K411" s="54" t="s">
        <v>1423</v>
      </c>
      <c r="L411" s="54" t="s">
        <v>1424</v>
      </c>
      <c r="M411" s="97" t="str">
        <f t="shared" si="38"/>
        <v>Open File</v>
      </c>
      <c r="N411" s="70" t="s">
        <v>1417</v>
      </c>
      <c r="O411" s="71" t="str">
        <f t="shared" si="42"/>
        <v>ACTIVE</v>
      </c>
      <c r="P411" s="66"/>
      <c r="Q411" s="66"/>
      <c r="R411" s="54"/>
      <c r="S411" s="82"/>
      <c r="T411" s="83" t="str">
        <f t="shared" si="39"/>
        <v/>
      </c>
      <c r="U411" s="10"/>
      <c r="V411" s="41">
        <f>IF(AND(Q411&lt;&gt;"",RIGHT(Q411,3)&lt;&gt;""),IF(COUNTIF($Q$6:Q411,Q411)=1,1,0),0)</f>
        <v>0</v>
      </c>
      <c r="W411" s="41" t="str">
        <f t="shared" si="40"/>
        <v>NA.26.IV.066-3</v>
      </c>
      <c r="X411" s="41" t="str">
        <f t="shared" si="41"/>
        <v/>
      </c>
    </row>
    <row r="412" s="32" customFormat="1" hidden="1" customHeight="1" spans="1:24">
      <c r="A412" s="34"/>
      <c r="B412" s="51">
        <v>407</v>
      </c>
      <c r="C412" s="51" t="s">
        <v>1425</v>
      </c>
      <c r="D412" s="52" t="s">
        <v>1426</v>
      </c>
      <c r="E412" s="53">
        <v>1</v>
      </c>
      <c r="F412" s="54" t="s">
        <v>29</v>
      </c>
      <c r="G412" s="54" t="s">
        <v>1194</v>
      </c>
      <c r="H412" s="54" t="s">
        <v>1195</v>
      </c>
      <c r="I412" s="66">
        <v>46121</v>
      </c>
      <c r="J412" s="54" t="s">
        <v>1415</v>
      </c>
      <c r="K412" s="54" t="s">
        <v>1427</v>
      </c>
      <c r="L412" s="54" t="s">
        <v>1428</v>
      </c>
      <c r="M412" s="95" t="str">
        <f t="shared" si="38"/>
        <v>Open File</v>
      </c>
      <c r="N412" s="70" t="s">
        <v>1417</v>
      </c>
      <c r="O412" s="71" t="str">
        <f t="shared" si="42"/>
        <v>ACTIVE</v>
      </c>
      <c r="P412" s="66"/>
      <c r="Q412" s="66"/>
      <c r="R412" s="54"/>
      <c r="S412" s="82"/>
      <c r="T412" s="83" t="str">
        <f t="shared" si="39"/>
        <v/>
      </c>
      <c r="U412" s="10"/>
      <c r="V412" s="41">
        <f>IF(AND(Q412&lt;&gt;"",RIGHT(Q412,3)&lt;&gt;""),IF(COUNTIF($Q$6:Q412,Q412)=1,1,0),0)</f>
        <v>0</v>
      </c>
      <c r="W412" s="41" t="str">
        <f t="shared" si="40"/>
        <v>NA.26.IV.066-4</v>
      </c>
      <c r="X412" s="41" t="str">
        <f t="shared" si="41"/>
        <v/>
      </c>
    </row>
    <row r="413" s="32" customFormat="1" hidden="1" customHeight="1" spans="1:24">
      <c r="A413" s="34"/>
      <c r="B413" s="51">
        <v>408</v>
      </c>
      <c r="C413" s="51" t="s">
        <v>1429</v>
      </c>
      <c r="D413" s="52" t="s">
        <v>1430</v>
      </c>
      <c r="E413" s="53">
        <v>1</v>
      </c>
      <c r="F413" s="54" t="s">
        <v>29</v>
      </c>
      <c r="G413" s="54" t="s">
        <v>1194</v>
      </c>
      <c r="H413" s="54" t="s">
        <v>1195</v>
      </c>
      <c r="I413" s="66">
        <v>46121</v>
      </c>
      <c r="J413" s="54" t="s">
        <v>1415</v>
      </c>
      <c r="K413" s="54" t="s">
        <v>1431</v>
      </c>
      <c r="L413" s="54" t="s">
        <v>1432</v>
      </c>
      <c r="M413" s="97" t="str">
        <f t="shared" si="38"/>
        <v>Open File</v>
      </c>
      <c r="N413" s="70" t="s">
        <v>1417</v>
      </c>
      <c r="O413" s="71" t="str">
        <f t="shared" si="42"/>
        <v>ACTIVE</v>
      </c>
      <c r="P413" s="66"/>
      <c r="Q413" s="66"/>
      <c r="R413" s="54"/>
      <c r="S413" s="82"/>
      <c r="T413" s="83" t="str">
        <f t="shared" si="39"/>
        <v/>
      </c>
      <c r="U413" s="10"/>
      <c r="V413" s="41">
        <f>IF(AND(Q413&lt;&gt;"",RIGHT(Q413,3)&lt;&gt;""),IF(COUNTIF($Q$6:Q413,Q413)=1,1,0),0)</f>
        <v>0</v>
      </c>
      <c r="W413" s="41" t="str">
        <f t="shared" si="40"/>
        <v>NA.26.IV.066-5</v>
      </c>
      <c r="X413" s="41" t="str">
        <f t="shared" si="41"/>
        <v/>
      </c>
    </row>
    <row r="414" s="32" customFormat="1" hidden="1" customHeight="1" spans="1:24">
      <c r="A414" s="34"/>
      <c r="B414" s="51">
        <v>409</v>
      </c>
      <c r="C414" s="51" t="s">
        <v>1433</v>
      </c>
      <c r="D414" s="52" t="s">
        <v>1434</v>
      </c>
      <c r="E414" s="53">
        <v>1</v>
      </c>
      <c r="F414" s="54" t="s">
        <v>29</v>
      </c>
      <c r="G414" s="54" t="s">
        <v>1194</v>
      </c>
      <c r="H414" s="54" t="s">
        <v>1195</v>
      </c>
      <c r="I414" s="66">
        <v>46121</v>
      </c>
      <c r="J414" s="54" t="s">
        <v>1415</v>
      </c>
      <c r="K414" s="54" t="s">
        <v>1435</v>
      </c>
      <c r="L414" s="54" t="s">
        <v>1436</v>
      </c>
      <c r="M414" s="97" t="str">
        <f t="shared" si="38"/>
        <v>Open File</v>
      </c>
      <c r="N414" s="70" t="s">
        <v>1417</v>
      </c>
      <c r="O414" s="71" t="str">
        <f t="shared" si="42"/>
        <v>ACTIVE</v>
      </c>
      <c r="P414" s="66"/>
      <c r="Q414" s="66"/>
      <c r="R414" s="54"/>
      <c r="S414" s="82"/>
      <c r="T414" s="83" t="str">
        <f t="shared" si="39"/>
        <v/>
      </c>
      <c r="U414" s="10"/>
      <c r="V414" s="41">
        <f>IF(AND(Q414&lt;&gt;"",RIGHT(Q414,3)&lt;&gt;""),IF(COUNTIF($Q$6:Q414,Q414)=1,1,0),0)</f>
        <v>0</v>
      </c>
      <c r="W414" s="41" t="str">
        <f t="shared" si="40"/>
        <v>NA.26.IV.066-6</v>
      </c>
      <c r="X414" s="41" t="str">
        <f t="shared" si="41"/>
        <v/>
      </c>
    </row>
    <row r="415" s="32" customFormat="1" hidden="1" customHeight="1" spans="1:24">
      <c r="A415" s="34"/>
      <c r="B415" s="51">
        <v>410</v>
      </c>
      <c r="C415" s="51" t="s">
        <v>1437</v>
      </c>
      <c r="D415" s="52" t="s">
        <v>1438</v>
      </c>
      <c r="E415" s="53">
        <v>1</v>
      </c>
      <c r="F415" s="54" t="s">
        <v>29</v>
      </c>
      <c r="G415" s="54" t="s">
        <v>1194</v>
      </c>
      <c r="H415" s="54" t="s">
        <v>1195</v>
      </c>
      <c r="I415" s="66">
        <v>46121</v>
      </c>
      <c r="J415" s="54" t="s">
        <v>1415</v>
      </c>
      <c r="K415" s="54" t="s">
        <v>1439</v>
      </c>
      <c r="L415" s="54" t="s">
        <v>1440</v>
      </c>
      <c r="M415" s="97" t="str">
        <f t="shared" si="38"/>
        <v>Open File</v>
      </c>
      <c r="N415" s="70" t="s">
        <v>1417</v>
      </c>
      <c r="O415" s="71" t="str">
        <f t="shared" si="42"/>
        <v>ACTIVE</v>
      </c>
      <c r="P415" s="66"/>
      <c r="Q415" s="66"/>
      <c r="R415" s="54"/>
      <c r="S415" s="82"/>
      <c r="T415" s="83" t="str">
        <f t="shared" si="39"/>
        <v/>
      </c>
      <c r="U415" s="10"/>
      <c r="V415" s="41">
        <f>IF(AND(Q415&lt;&gt;"",RIGHT(Q415,3)&lt;&gt;""),IF(COUNTIF($Q$6:Q415,Q415)=1,1,0),0)</f>
        <v>0</v>
      </c>
      <c r="W415" s="41" t="str">
        <f t="shared" si="40"/>
        <v>NA.26.IV.066-7</v>
      </c>
      <c r="X415" s="41" t="str">
        <f t="shared" si="41"/>
        <v/>
      </c>
    </row>
    <row r="416" s="32" customFormat="1" hidden="1" customHeight="1" spans="1:24">
      <c r="A416" s="34"/>
      <c r="B416" s="51">
        <v>411</v>
      </c>
      <c r="C416" s="51" t="s">
        <v>1441</v>
      </c>
      <c r="D416" s="52" t="s">
        <v>1442</v>
      </c>
      <c r="E416" s="53">
        <v>1</v>
      </c>
      <c r="F416" s="54" t="s">
        <v>29</v>
      </c>
      <c r="G416" s="54" t="s">
        <v>1194</v>
      </c>
      <c r="H416" s="54" t="s">
        <v>1195</v>
      </c>
      <c r="I416" s="66">
        <v>46121</v>
      </c>
      <c r="J416" s="54" t="s">
        <v>1415</v>
      </c>
      <c r="K416" s="54" t="s">
        <v>1443</v>
      </c>
      <c r="L416" s="54" t="s">
        <v>1444</v>
      </c>
      <c r="M416" s="97" t="str">
        <f t="shared" si="38"/>
        <v>Open File</v>
      </c>
      <c r="N416" s="70" t="s">
        <v>1417</v>
      </c>
      <c r="O416" s="71" t="str">
        <f t="shared" si="42"/>
        <v>ACTIVE</v>
      </c>
      <c r="P416" s="66"/>
      <c r="Q416" s="66"/>
      <c r="R416" s="54"/>
      <c r="S416" s="82"/>
      <c r="T416" s="83" t="str">
        <f t="shared" si="39"/>
        <v/>
      </c>
      <c r="U416" s="10"/>
      <c r="V416" s="41">
        <f>IF(AND(Q416&lt;&gt;"",RIGHT(Q416,3)&lt;&gt;""),IF(COUNTIF($Q$6:Q416,Q416)=1,1,0),0)</f>
        <v>0</v>
      </c>
      <c r="W416" s="41" t="str">
        <f t="shared" si="40"/>
        <v>NA.26.IV.066-8</v>
      </c>
      <c r="X416" s="41" t="str">
        <f t="shared" si="41"/>
        <v/>
      </c>
    </row>
    <row r="417" s="32" customFormat="1" hidden="1" customHeight="1" spans="1:24">
      <c r="A417" s="34"/>
      <c r="B417" s="51">
        <v>412</v>
      </c>
      <c r="C417" s="51" t="s">
        <v>1445</v>
      </c>
      <c r="D417" s="52" t="s">
        <v>1446</v>
      </c>
      <c r="E417" s="53">
        <v>1</v>
      </c>
      <c r="F417" s="54" t="s">
        <v>29</v>
      </c>
      <c r="G417" s="54" t="s">
        <v>980</v>
      </c>
      <c r="H417" s="54" t="s">
        <v>37</v>
      </c>
      <c r="I417" s="66">
        <v>46163</v>
      </c>
      <c r="J417" s="54" t="s">
        <v>1447</v>
      </c>
      <c r="K417" s="54" t="s">
        <v>226</v>
      </c>
      <c r="L417" s="54" t="s">
        <v>1448</v>
      </c>
      <c r="M417" s="95" t="str">
        <f t="shared" si="38"/>
        <v>Open File</v>
      </c>
      <c r="N417" s="70" t="s">
        <v>1449</v>
      </c>
      <c r="O417" s="71" t="str">
        <f t="shared" si="42"/>
        <v>ACTIVE</v>
      </c>
      <c r="P417" s="66"/>
      <c r="Q417" s="66"/>
      <c r="R417" s="54"/>
      <c r="S417" s="82"/>
      <c r="T417" s="83" t="str">
        <f t="shared" si="39"/>
        <v/>
      </c>
      <c r="U417" s="10"/>
      <c r="V417" s="41">
        <f>IF(AND(Q417&lt;&gt;"",RIGHT(Q417,3)&lt;&gt;""),IF(COUNTIF($Q$6:Q417,Q417)=1,1,0),0)</f>
        <v>0</v>
      </c>
      <c r="W417" s="41" t="str">
        <f t="shared" si="40"/>
        <v>NA.26.V.172-1</v>
      </c>
      <c r="X417" s="41" t="str">
        <f t="shared" si="41"/>
        <v/>
      </c>
    </row>
    <row r="418" s="32" customFormat="1" hidden="1" customHeight="1" spans="1:24">
      <c r="A418" s="34"/>
      <c r="B418" s="51">
        <v>413</v>
      </c>
      <c r="C418" s="51" t="s">
        <v>1450</v>
      </c>
      <c r="D418" s="52" t="s">
        <v>1451</v>
      </c>
      <c r="E418" s="53">
        <v>1</v>
      </c>
      <c r="F418" s="54" t="s">
        <v>29</v>
      </c>
      <c r="G418" s="54" t="s">
        <v>1452</v>
      </c>
      <c r="H418" s="54" t="s">
        <v>1453</v>
      </c>
      <c r="I418" s="66">
        <v>46162</v>
      </c>
      <c r="J418" s="54" t="s">
        <v>1094</v>
      </c>
      <c r="K418" s="54" t="s">
        <v>226</v>
      </c>
      <c r="L418" s="54" t="s">
        <v>1095</v>
      </c>
      <c r="M418" s="95" t="str">
        <f t="shared" si="38"/>
        <v>Open File</v>
      </c>
      <c r="N418" s="70" t="s">
        <v>1454</v>
      </c>
      <c r="O418" s="71" t="str">
        <f t="shared" si="42"/>
        <v>ACTIVE</v>
      </c>
      <c r="P418" s="66"/>
      <c r="Q418" s="66"/>
      <c r="R418" s="54"/>
      <c r="S418" s="82"/>
      <c r="T418" s="83" t="str">
        <f t="shared" si="39"/>
        <v/>
      </c>
      <c r="U418" s="10"/>
      <c r="V418" s="41">
        <f>IF(AND(Q418&lt;&gt;"",RIGHT(Q418,3)&lt;&gt;""),IF(COUNTIF($Q$6:Q418,Q418)=1,1,0),0)</f>
        <v>0</v>
      </c>
      <c r="W418" s="41" t="str">
        <f t="shared" si="40"/>
        <v>BA.01.WHEAD.0526.8202-1</v>
      </c>
      <c r="X418" s="41" t="str">
        <f t="shared" si="41"/>
        <v/>
      </c>
    </row>
    <row r="419" s="32" customFormat="1" hidden="1" customHeight="1" spans="1:24">
      <c r="A419" s="34"/>
      <c r="B419" s="51">
        <v>414</v>
      </c>
      <c r="C419" s="51" t="s">
        <v>1455</v>
      </c>
      <c r="D419" s="52" t="s">
        <v>1456</v>
      </c>
      <c r="E419" s="53">
        <v>1</v>
      </c>
      <c r="F419" s="54" t="s">
        <v>29</v>
      </c>
      <c r="G419" s="54" t="s">
        <v>1452</v>
      </c>
      <c r="H419" s="54" t="s">
        <v>1453</v>
      </c>
      <c r="I419" s="66">
        <v>46162</v>
      </c>
      <c r="J419" s="54" t="s">
        <v>1094</v>
      </c>
      <c r="K419" s="54" t="s">
        <v>1239</v>
      </c>
      <c r="L419" s="54" t="s">
        <v>1457</v>
      </c>
      <c r="M419" s="97" t="str">
        <f t="shared" si="38"/>
        <v>Open File</v>
      </c>
      <c r="N419" s="70" t="s">
        <v>1454</v>
      </c>
      <c r="O419" s="71" t="str">
        <f t="shared" si="42"/>
        <v>ACTIVE</v>
      </c>
      <c r="P419" s="66"/>
      <c r="Q419" s="66"/>
      <c r="R419" s="54"/>
      <c r="S419" s="82"/>
      <c r="T419" s="83" t="str">
        <f t="shared" si="39"/>
        <v/>
      </c>
      <c r="U419" s="10"/>
      <c r="V419" s="41">
        <f>IF(AND(Q419&lt;&gt;"",RIGHT(Q419,3)&lt;&gt;""),IF(COUNTIF($Q$6:Q419,Q419)=1,1,0),0)</f>
        <v>0</v>
      </c>
      <c r="W419" s="41" t="str">
        <f t="shared" si="40"/>
        <v>BA.01.WHEAD.0526.8202-2</v>
      </c>
      <c r="X419" s="41" t="str">
        <f t="shared" si="41"/>
        <v/>
      </c>
    </row>
    <row r="420" s="32" customFormat="1" hidden="1" customHeight="1" spans="1:24">
      <c r="A420" s="34"/>
      <c r="B420" s="51">
        <v>415</v>
      </c>
      <c r="C420" s="51" t="s">
        <v>1458</v>
      </c>
      <c r="D420" s="52" t="s">
        <v>1459</v>
      </c>
      <c r="E420" s="53">
        <v>1</v>
      </c>
      <c r="F420" s="54" t="s">
        <v>29</v>
      </c>
      <c r="G420" s="54" t="s">
        <v>1452</v>
      </c>
      <c r="H420" s="54" t="s">
        <v>1453</v>
      </c>
      <c r="I420" s="66">
        <v>46162</v>
      </c>
      <c r="J420" s="54" t="s">
        <v>1094</v>
      </c>
      <c r="K420" s="54" t="s">
        <v>1423</v>
      </c>
      <c r="L420" s="54" t="s">
        <v>1460</v>
      </c>
      <c r="M420" s="97" t="str">
        <f t="shared" si="38"/>
        <v>Open File</v>
      </c>
      <c r="N420" s="70" t="s">
        <v>1454</v>
      </c>
      <c r="O420" s="71" t="str">
        <f t="shared" si="42"/>
        <v>ACTIVE</v>
      </c>
      <c r="P420" s="66"/>
      <c r="Q420" s="66"/>
      <c r="R420" s="54"/>
      <c r="S420" s="82"/>
      <c r="T420" s="83" t="str">
        <f t="shared" si="39"/>
        <v/>
      </c>
      <c r="U420" s="10"/>
      <c r="V420" s="41">
        <f>IF(AND(Q420&lt;&gt;"",RIGHT(Q420,3)&lt;&gt;""),IF(COUNTIF($Q$6:Q420,Q420)=1,1,0),0)</f>
        <v>0</v>
      </c>
      <c r="W420" s="41" t="str">
        <f t="shared" si="40"/>
        <v>BA.01.WHEAD.0526.8202-3</v>
      </c>
      <c r="X420" s="41" t="str">
        <f t="shared" si="41"/>
        <v/>
      </c>
    </row>
    <row r="421" s="32" customFormat="1" hidden="1" customHeight="1" spans="1:24">
      <c r="A421" s="34"/>
      <c r="B421" s="51">
        <v>416</v>
      </c>
      <c r="C421" s="51" t="s">
        <v>1461</v>
      </c>
      <c r="D421" s="52" t="s">
        <v>1462</v>
      </c>
      <c r="E421" s="53">
        <v>1</v>
      </c>
      <c r="F421" s="54" t="s">
        <v>29</v>
      </c>
      <c r="G421" s="54" t="s">
        <v>1452</v>
      </c>
      <c r="H421" s="54" t="s">
        <v>1453</v>
      </c>
      <c r="I421" s="66">
        <v>46162</v>
      </c>
      <c r="J421" s="54" t="s">
        <v>1094</v>
      </c>
      <c r="K421" s="54" t="s">
        <v>1427</v>
      </c>
      <c r="L421" s="54" t="s">
        <v>1463</v>
      </c>
      <c r="M421" s="97" t="str">
        <f t="shared" si="38"/>
        <v>Open File</v>
      </c>
      <c r="N421" s="70" t="s">
        <v>1454</v>
      </c>
      <c r="O421" s="71" t="str">
        <f t="shared" si="42"/>
        <v>ACTIVE</v>
      </c>
      <c r="P421" s="66"/>
      <c r="Q421" s="66"/>
      <c r="R421" s="54"/>
      <c r="S421" s="82"/>
      <c r="T421" s="83" t="str">
        <f t="shared" si="39"/>
        <v/>
      </c>
      <c r="U421" s="10"/>
      <c r="V421" s="41">
        <f>IF(AND(Q421&lt;&gt;"",RIGHT(Q421,3)&lt;&gt;""),IF(COUNTIF($Q$6:Q421,Q421)=1,1,0),0)</f>
        <v>0</v>
      </c>
      <c r="W421" s="41" t="str">
        <f t="shared" si="40"/>
        <v>BA.01.WHEAD.0526.8202-4</v>
      </c>
      <c r="X421" s="41" t="str">
        <f t="shared" si="41"/>
        <v/>
      </c>
    </row>
    <row r="422" s="32" customFormat="1" hidden="1" customHeight="1" spans="1:24">
      <c r="A422" s="34"/>
      <c r="B422" s="51">
        <v>417</v>
      </c>
      <c r="C422" s="51" t="s">
        <v>1464</v>
      </c>
      <c r="D422" s="52" t="s">
        <v>1465</v>
      </c>
      <c r="E422" s="53">
        <v>1</v>
      </c>
      <c r="F422" s="54" t="s">
        <v>29</v>
      </c>
      <c r="G422" s="54" t="s">
        <v>1452</v>
      </c>
      <c r="H422" s="54" t="s">
        <v>1453</v>
      </c>
      <c r="I422" s="66">
        <v>46162</v>
      </c>
      <c r="J422" s="54" t="s">
        <v>1094</v>
      </c>
      <c r="K422" s="54" t="s">
        <v>1431</v>
      </c>
      <c r="L422" s="54" t="s">
        <v>1466</v>
      </c>
      <c r="M422" s="97" t="str">
        <f t="shared" si="38"/>
        <v>Open File</v>
      </c>
      <c r="N422" s="70" t="s">
        <v>1454</v>
      </c>
      <c r="O422" s="71" t="str">
        <f t="shared" si="42"/>
        <v>ACTIVE</v>
      </c>
      <c r="P422" s="66"/>
      <c r="Q422" s="66"/>
      <c r="R422" s="54"/>
      <c r="S422" s="82"/>
      <c r="T422" s="83" t="str">
        <f t="shared" si="39"/>
        <v/>
      </c>
      <c r="U422" s="10"/>
      <c r="V422" s="41">
        <f>IF(AND(Q422&lt;&gt;"",RIGHT(Q422,3)&lt;&gt;""),IF(COUNTIF($Q$6:Q422,Q422)=1,1,0),0)</f>
        <v>0</v>
      </c>
      <c r="W422" s="41" t="str">
        <f t="shared" si="40"/>
        <v>BA.01.WHEAD.0526.8202-5</v>
      </c>
      <c r="X422" s="41" t="str">
        <f t="shared" si="41"/>
        <v/>
      </c>
    </row>
    <row r="423" s="32" customFormat="1" hidden="1" customHeight="1" spans="1:24">
      <c r="A423" s="34"/>
      <c r="B423" s="51">
        <v>418</v>
      </c>
      <c r="C423" s="51" t="s">
        <v>1467</v>
      </c>
      <c r="D423" s="52" t="s">
        <v>1468</v>
      </c>
      <c r="E423" s="53">
        <v>1</v>
      </c>
      <c r="F423" s="54" t="s">
        <v>29</v>
      </c>
      <c r="G423" s="54" t="s">
        <v>1452</v>
      </c>
      <c r="H423" s="54" t="s">
        <v>1453</v>
      </c>
      <c r="I423" s="66">
        <v>46162</v>
      </c>
      <c r="J423" s="54" t="s">
        <v>1094</v>
      </c>
      <c r="K423" s="54" t="s">
        <v>1435</v>
      </c>
      <c r="L423" s="54" t="s">
        <v>1469</v>
      </c>
      <c r="M423" s="97" t="str">
        <f t="shared" si="38"/>
        <v>Open File</v>
      </c>
      <c r="N423" s="70" t="s">
        <v>1454</v>
      </c>
      <c r="O423" s="71" t="str">
        <f t="shared" si="42"/>
        <v>ACTIVE</v>
      </c>
      <c r="P423" s="66"/>
      <c r="Q423" s="66"/>
      <c r="R423" s="54"/>
      <c r="S423" s="82"/>
      <c r="T423" s="83" t="str">
        <f t="shared" si="39"/>
        <v/>
      </c>
      <c r="U423" s="10"/>
      <c r="V423" s="41">
        <f>IF(AND(Q423&lt;&gt;"",RIGHT(Q423,3)&lt;&gt;""),IF(COUNTIF($Q$6:Q423,Q423)=1,1,0),0)</f>
        <v>0</v>
      </c>
      <c r="W423" s="41" t="str">
        <f t="shared" si="40"/>
        <v>BA.01.WHEAD.0526.8202-6</v>
      </c>
      <c r="X423" s="41" t="str">
        <f t="shared" si="41"/>
        <v/>
      </c>
    </row>
    <row r="424" s="32" customFormat="1" hidden="1" customHeight="1" spans="1:24">
      <c r="A424" s="34"/>
      <c r="B424" s="51">
        <v>419</v>
      </c>
      <c r="C424" s="51" t="s">
        <v>1470</v>
      </c>
      <c r="D424" s="52" t="s">
        <v>1471</v>
      </c>
      <c r="E424" s="53">
        <v>1</v>
      </c>
      <c r="F424" s="54" t="s">
        <v>29</v>
      </c>
      <c r="G424" s="54" t="s">
        <v>1452</v>
      </c>
      <c r="H424" s="54" t="s">
        <v>1453</v>
      </c>
      <c r="I424" s="66">
        <v>46162</v>
      </c>
      <c r="J424" s="54" t="s">
        <v>1094</v>
      </c>
      <c r="K424" s="54" t="s">
        <v>1439</v>
      </c>
      <c r="L424" s="54" t="s">
        <v>1472</v>
      </c>
      <c r="M424" s="97" t="str">
        <f t="shared" si="38"/>
        <v>Open File</v>
      </c>
      <c r="N424" s="70" t="s">
        <v>1454</v>
      </c>
      <c r="O424" s="71" t="str">
        <f t="shared" si="42"/>
        <v>ACTIVE</v>
      </c>
      <c r="P424" s="66"/>
      <c r="Q424" s="66"/>
      <c r="R424" s="54"/>
      <c r="S424" s="82"/>
      <c r="T424" s="83" t="str">
        <f t="shared" si="39"/>
        <v/>
      </c>
      <c r="U424" s="10"/>
      <c r="V424" s="41">
        <f>IF(AND(Q424&lt;&gt;"",RIGHT(Q424,3)&lt;&gt;""),IF(COUNTIF($Q$6:Q424,Q424)=1,1,0),0)</f>
        <v>0</v>
      </c>
      <c r="W424" s="41" t="str">
        <f t="shared" si="40"/>
        <v>BA.01.WHEAD.0526.8202-7</v>
      </c>
      <c r="X424" s="41" t="str">
        <f t="shared" si="41"/>
        <v/>
      </c>
    </row>
    <row r="425" s="32" customFormat="1" hidden="1" customHeight="1" spans="1:24">
      <c r="A425" s="34"/>
      <c r="B425" s="51">
        <v>420</v>
      </c>
      <c r="C425" s="51" t="s">
        <v>1473</v>
      </c>
      <c r="D425" s="52" t="s">
        <v>1474</v>
      </c>
      <c r="E425" s="53">
        <v>1</v>
      </c>
      <c r="F425" s="54" t="s">
        <v>29</v>
      </c>
      <c r="G425" s="54" t="s">
        <v>1452</v>
      </c>
      <c r="H425" s="54" t="s">
        <v>1453</v>
      </c>
      <c r="I425" s="66">
        <v>46162</v>
      </c>
      <c r="J425" s="54" t="s">
        <v>1094</v>
      </c>
      <c r="K425" s="54" t="s">
        <v>1443</v>
      </c>
      <c r="L425" s="54" t="s">
        <v>1475</v>
      </c>
      <c r="M425" s="97" t="str">
        <f t="shared" si="38"/>
        <v>Open File</v>
      </c>
      <c r="N425" s="70" t="s">
        <v>1454</v>
      </c>
      <c r="O425" s="71" t="str">
        <f t="shared" si="42"/>
        <v>ACTIVE</v>
      </c>
      <c r="P425" s="66"/>
      <c r="Q425" s="66"/>
      <c r="R425" s="54"/>
      <c r="S425" s="82"/>
      <c r="T425" s="83" t="str">
        <f t="shared" si="39"/>
        <v/>
      </c>
      <c r="U425" s="10"/>
      <c r="V425" s="41">
        <f>IF(AND(Q425&lt;&gt;"",RIGHT(Q425,3)&lt;&gt;""),IF(COUNTIF($Q$6:Q425,Q425)=1,1,0),0)</f>
        <v>0</v>
      </c>
      <c r="W425" s="41" t="str">
        <f t="shared" si="40"/>
        <v>BA.01.WHEAD.0526.8202-8</v>
      </c>
      <c r="X425" s="41" t="str">
        <f t="shared" si="41"/>
        <v/>
      </c>
    </row>
    <row r="426" s="32" customFormat="1" hidden="1" customHeight="1" spans="1:24">
      <c r="A426" s="34"/>
      <c r="B426" s="51">
        <v>421</v>
      </c>
      <c r="C426" s="51" t="s">
        <v>1476</v>
      </c>
      <c r="D426" s="52" t="s">
        <v>1477</v>
      </c>
      <c r="E426" s="53">
        <v>1</v>
      </c>
      <c r="F426" s="54" t="s">
        <v>29</v>
      </c>
      <c r="G426" s="54" t="s">
        <v>1452</v>
      </c>
      <c r="H426" s="54" t="s">
        <v>1453</v>
      </c>
      <c r="I426" s="66">
        <v>46162</v>
      </c>
      <c r="J426" s="54" t="s">
        <v>1094</v>
      </c>
      <c r="K426" s="54" t="s">
        <v>1478</v>
      </c>
      <c r="L426" s="54" t="s">
        <v>1479</v>
      </c>
      <c r="M426" s="95" t="str">
        <f t="shared" si="38"/>
        <v>Open File</v>
      </c>
      <c r="N426" s="70" t="s">
        <v>1454</v>
      </c>
      <c r="O426" s="71" t="str">
        <f t="shared" si="42"/>
        <v>ACTIVE</v>
      </c>
      <c r="P426" s="66"/>
      <c r="Q426" s="66"/>
      <c r="R426" s="54"/>
      <c r="S426" s="82"/>
      <c r="T426" s="83" t="str">
        <f t="shared" si="39"/>
        <v/>
      </c>
      <c r="U426" s="10"/>
      <c r="V426" s="41">
        <f>IF(AND(Q426&lt;&gt;"",RIGHT(Q426,3)&lt;&gt;""),IF(COUNTIF($Q$6:Q426,Q426)=1,1,0),0)</f>
        <v>0</v>
      </c>
      <c r="W426" s="41" t="str">
        <f t="shared" si="40"/>
        <v>BA.01.WHEAD.0526.8202-9</v>
      </c>
      <c r="X426" s="41" t="str">
        <f t="shared" si="41"/>
        <v/>
      </c>
    </row>
    <row r="427" s="32" customFormat="1" hidden="1" customHeight="1" spans="1:24">
      <c r="A427" s="34"/>
      <c r="B427" s="51">
        <v>422</v>
      </c>
      <c r="C427" s="51" t="s">
        <v>1480</v>
      </c>
      <c r="D427" s="52" t="s">
        <v>1477</v>
      </c>
      <c r="E427" s="53">
        <v>1</v>
      </c>
      <c r="F427" s="54" t="s">
        <v>29</v>
      </c>
      <c r="G427" s="54" t="s">
        <v>1452</v>
      </c>
      <c r="H427" s="54" t="s">
        <v>1453</v>
      </c>
      <c r="I427" s="66">
        <v>46162</v>
      </c>
      <c r="J427" s="54" t="s">
        <v>1094</v>
      </c>
      <c r="K427" s="54" t="s">
        <v>1481</v>
      </c>
      <c r="L427" s="54" t="s">
        <v>1482</v>
      </c>
      <c r="M427" s="95" t="str">
        <f t="shared" si="38"/>
        <v>Open File</v>
      </c>
      <c r="N427" s="70" t="s">
        <v>1454</v>
      </c>
      <c r="O427" s="71" t="str">
        <f t="shared" si="42"/>
        <v>ACTIVE</v>
      </c>
      <c r="P427" s="66"/>
      <c r="Q427" s="66"/>
      <c r="R427" s="54"/>
      <c r="S427" s="82"/>
      <c r="T427" s="83" t="str">
        <f t="shared" si="39"/>
        <v/>
      </c>
      <c r="U427" s="10"/>
      <c r="V427" s="41">
        <f>IF(AND(Q427&lt;&gt;"",RIGHT(Q427,3)&lt;&gt;""),IF(COUNTIF($Q$6:Q427,Q427)=1,1,0),0)</f>
        <v>0</v>
      </c>
      <c r="W427" s="41" t="str">
        <f>IF(AND(K427&lt;&gt;"",L427&lt;&gt;""),_xlfn.CONCAT(SUBSTITUTE(K427,"/","."),"-",L427),"")</f>
        <v>10-BA.01.WHEAD.0526.8202-10</v>
      </c>
      <c r="X427" s="41" t="str">
        <f t="shared" si="41"/>
        <v/>
      </c>
    </row>
    <row r="428" s="32" customFormat="1" hidden="1" customHeight="1" spans="1:24">
      <c r="A428" s="34"/>
      <c r="B428" s="51">
        <v>423</v>
      </c>
      <c r="C428" s="51" t="s">
        <v>1483</v>
      </c>
      <c r="D428" s="52" t="s">
        <v>1484</v>
      </c>
      <c r="E428" s="53">
        <v>1</v>
      </c>
      <c r="F428" s="54" t="s">
        <v>29</v>
      </c>
      <c r="G428" s="54" t="s">
        <v>1452</v>
      </c>
      <c r="H428" s="54" t="s">
        <v>1453</v>
      </c>
      <c r="I428" s="66">
        <v>46162</v>
      </c>
      <c r="J428" s="54" t="s">
        <v>1094</v>
      </c>
      <c r="K428" s="54" t="s">
        <v>1485</v>
      </c>
      <c r="L428" s="54" t="s">
        <v>1486</v>
      </c>
      <c r="M428" s="97" t="str">
        <f t="shared" si="38"/>
        <v>Open File</v>
      </c>
      <c r="N428" s="70" t="s">
        <v>1454</v>
      </c>
      <c r="O428" s="71" t="str">
        <f t="shared" si="42"/>
        <v>ACTIVE</v>
      </c>
      <c r="P428" s="66"/>
      <c r="Q428" s="66"/>
      <c r="R428" s="54"/>
      <c r="S428" s="82"/>
      <c r="T428" s="83" t="str">
        <f t="shared" si="39"/>
        <v/>
      </c>
      <c r="U428" s="10"/>
      <c r="V428" s="41">
        <f>IF(AND(Q428&lt;&gt;"",RIGHT(Q428,3)&lt;&gt;""),IF(COUNTIF($Q$6:Q428,Q428)=1,1,0),0)</f>
        <v>0</v>
      </c>
      <c r="W428" s="41" t="str">
        <f t="shared" ref="W428:W435" si="43">IF(AND(J428&lt;&gt;"",K428&lt;&gt;""),_xlfn.CONCAT(SUBSTITUTE(J428,"/","."),"-",K428),"")</f>
        <v>BA.01.WHEAD.0526.8202-11</v>
      </c>
      <c r="X428" s="41" t="str">
        <f t="shared" si="41"/>
        <v/>
      </c>
    </row>
    <row r="429" s="32" customFormat="1" hidden="1" customHeight="1" spans="1:24">
      <c r="A429" s="34"/>
      <c r="B429" s="51">
        <v>424</v>
      </c>
      <c r="C429" s="51" t="s">
        <v>1487</v>
      </c>
      <c r="D429" s="52" t="s">
        <v>1488</v>
      </c>
      <c r="E429" s="53">
        <v>1</v>
      </c>
      <c r="F429" s="54" t="s">
        <v>29</v>
      </c>
      <c r="G429" s="54" t="s">
        <v>1452</v>
      </c>
      <c r="H429" s="54" t="s">
        <v>1453</v>
      </c>
      <c r="I429" s="66">
        <v>46162</v>
      </c>
      <c r="J429" s="54" t="s">
        <v>1094</v>
      </c>
      <c r="K429" s="54" t="s">
        <v>1489</v>
      </c>
      <c r="L429" s="54" t="s">
        <v>1490</v>
      </c>
      <c r="M429" s="97" t="str">
        <f t="shared" si="38"/>
        <v>Open File</v>
      </c>
      <c r="N429" s="70" t="s">
        <v>1454</v>
      </c>
      <c r="O429" s="71" t="str">
        <f t="shared" si="42"/>
        <v>ACTIVE</v>
      </c>
      <c r="P429" s="66"/>
      <c r="Q429" s="66"/>
      <c r="R429" s="54"/>
      <c r="S429" s="82"/>
      <c r="T429" s="83" t="str">
        <f t="shared" si="39"/>
        <v/>
      </c>
      <c r="U429" s="10"/>
      <c r="V429" s="41">
        <f>IF(AND(Q429&lt;&gt;"",RIGHT(Q429,3)&lt;&gt;""),IF(COUNTIF($Q$6:Q429,Q429)=1,1,0),0)</f>
        <v>0</v>
      </c>
      <c r="W429" s="41" t="str">
        <f t="shared" si="43"/>
        <v>BA.01.WHEAD.0526.8202-12</v>
      </c>
      <c r="X429" s="41" t="str">
        <f t="shared" si="41"/>
        <v/>
      </c>
    </row>
    <row r="430" s="32" customFormat="1" hidden="1" customHeight="1" spans="1:24">
      <c r="A430" s="34"/>
      <c r="B430" s="51">
        <v>425</v>
      </c>
      <c r="C430" s="51" t="s">
        <v>1491</v>
      </c>
      <c r="D430" s="52" t="s">
        <v>1492</v>
      </c>
      <c r="E430" s="53">
        <v>1</v>
      </c>
      <c r="F430" s="54" t="s">
        <v>29</v>
      </c>
      <c r="G430" s="54" t="s">
        <v>1452</v>
      </c>
      <c r="H430" s="54" t="s">
        <v>1453</v>
      </c>
      <c r="I430" s="66">
        <v>46162</v>
      </c>
      <c r="J430" s="54" t="s">
        <v>1094</v>
      </c>
      <c r="K430" s="54" t="s">
        <v>1493</v>
      </c>
      <c r="L430" s="54" t="s">
        <v>1494</v>
      </c>
      <c r="M430" s="97" t="str">
        <f t="shared" si="38"/>
        <v>Open File</v>
      </c>
      <c r="N430" s="70" t="s">
        <v>1454</v>
      </c>
      <c r="O430" s="71" t="str">
        <f t="shared" si="42"/>
        <v>ACTIVE</v>
      </c>
      <c r="P430" s="66"/>
      <c r="Q430" s="66"/>
      <c r="R430" s="54"/>
      <c r="S430" s="82"/>
      <c r="T430" s="83" t="str">
        <f t="shared" si="39"/>
        <v/>
      </c>
      <c r="U430" s="10"/>
      <c r="V430" s="41">
        <f>IF(AND(Q430&lt;&gt;"",RIGHT(Q430,3)&lt;&gt;""),IF(COUNTIF($Q$6:Q430,Q430)=1,1,0),0)</f>
        <v>0</v>
      </c>
      <c r="W430" s="41" t="str">
        <f t="shared" si="43"/>
        <v>BA.01.WHEAD.0526.8202-13</v>
      </c>
      <c r="X430" s="41" t="str">
        <f t="shared" si="41"/>
        <v/>
      </c>
    </row>
    <row r="431" s="32" customFormat="1" hidden="1" customHeight="1" spans="1:24">
      <c r="A431" s="34"/>
      <c r="B431" s="51">
        <v>426</v>
      </c>
      <c r="C431" s="51" t="s">
        <v>1495</v>
      </c>
      <c r="D431" s="52" t="s">
        <v>1496</v>
      </c>
      <c r="E431" s="53">
        <v>1</v>
      </c>
      <c r="F431" s="54" t="s">
        <v>29</v>
      </c>
      <c r="G431" s="54" t="s">
        <v>1452</v>
      </c>
      <c r="H431" s="54" t="s">
        <v>1453</v>
      </c>
      <c r="I431" s="66">
        <v>46162</v>
      </c>
      <c r="J431" s="54" t="s">
        <v>1094</v>
      </c>
      <c r="K431" s="54" t="s">
        <v>1411</v>
      </c>
      <c r="L431" s="54" t="s">
        <v>1497</v>
      </c>
      <c r="M431" s="95" t="str">
        <f t="shared" si="38"/>
        <v>Open File</v>
      </c>
      <c r="N431" s="70" t="s">
        <v>1454</v>
      </c>
      <c r="O431" s="71" t="str">
        <f t="shared" si="42"/>
        <v>ACTIVE</v>
      </c>
      <c r="P431" s="66"/>
      <c r="Q431" s="66"/>
      <c r="R431" s="54"/>
      <c r="S431" s="82"/>
      <c r="T431" s="83" t="str">
        <f t="shared" si="39"/>
        <v/>
      </c>
      <c r="U431" s="10"/>
      <c r="V431" s="41">
        <f>IF(AND(Q431&lt;&gt;"",RIGHT(Q431,3)&lt;&gt;""),IF(COUNTIF($Q$6:Q431,Q431)=1,1,0),0)</f>
        <v>0</v>
      </c>
      <c r="W431" s="41" t="str">
        <f t="shared" si="43"/>
        <v>BA.01.WHEAD.0526.8202-14</v>
      </c>
      <c r="X431" s="41" t="str">
        <f t="shared" si="41"/>
        <v/>
      </c>
    </row>
    <row r="432" s="32" customFormat="1" hidden="1" customHeight="1" spans="1:24">
      <c r="A432" s="34"/>
      <c r="B432" s="51">
        <v>427</v>
      </c>
      <c r="C432" s="51" t="s">
        <v>1498</v>
      </c>
      <c r="D432" s="52" t="s">
        <v>1499</v>
      </c>
      <c r="E432" s="53">
        <v>1</v>
      </c>
      <c r="F432" s="54" t="s">
        <v>29</v>
      </c>
      <c r="G432" s="54" t="s">
        <v>1452</v>
      </c>
      <c r="H432" s="54" t="s">
        <v>1453</v>
      </c>
      <c r="I432" s="66">
        <v>46162</v>
      </c>
      <c r="J432" s="54" t="s">
        <v>1094</v>
      </c>
      <c r="K432" s="54" t="s">
        <v>1500</v>
      </c>
      <c r="L432" s="54" t="s">
        <v>1501</v>
      </c>
      <c r="M432" s="97" t="str">
        <f t="shared" si="38"/>
        <v>Open File</v>
      </c>
      <c r="N432" s="70" t="s">
        <v>1454</v>
      </c>
      <c r="O432" s="71" t="str">
        <f t="shared" si="42"/>
        <v>ACTIVE</v>
      </c>
      <c r="P432" s="66"/>
      <c r="Q432" s="66"/>
      <c r="R432" s="54"/>
      <c r="S432" s="82"/>
      <c r="T432" s="83" t="str">
        <f t="shared" si="39"/>
        <v/>
      </c>
      <c r="U432" s="10"/>
      <c r="V432" s="41">
        <f>IF(AND(Q432&lt;&gt;"",RIGHT(Q432,3)&lt;&gt;""),IF(COUNTIF($Q$6:Q432,Q432)=1,1,0),0)</f>
        <v>0</v>
      </c>
      <c r="W432" s="41" t="str">
        <f t="shared" si="43"/>
        <v>BA.01.WHEAD.0526.8202-15</v>
      </c>
      <c r="X432" s="41" t="str">
        <f t="shared" si="41"/>
        <v/>
      </c>
    </row>
    <row r="433" s="32" customFormat="1" hidden="1" customHeight="1" spans="1:24">
      <c r="A433" s="34"/>
      <c r="B433" s="51">
        <v>428</v>
      </c>
      <c r="C433" s="51" t="s">
        <v>1502</v>
      </c>
      <c r="D433" s="52" t="s">
        <v>1503</v>
      </c>
      <c r="E433" s="53">
        <v>1</v>
      </c>
      <c r="F433" s="54" t="s">
        <v>29</v>
      </c>
      <c r="G433" s="54" t="s">
        <v>1452</v>
      </c>
      <c r="H433" s="54" t="s">
        <v>1453</v>
      </c>
      <c r="I433" s="66">
        <v>46162</v>
      </c>
      <c r="J433" s="54" t="s">
        <v>1094</v>
      </c>
      <c r="K433" s="54" t="s">
        <v>1504</v>
      </c>
      <c r="L433" s="54" t="s">
        <v>1505</v>
      </c>
      <c r="M433" s="97" t="str">
        <f t="shared" si="38"/>
        <v>Open File</v>
      </c>
      <c r="N433" s="70" t="s">
        <v>1454</v>
      </c>
      <c r="O433" s="71" t="str">
        <f t="shared" si="42"/>
        <v>ACTIVE</v>
      </c>
      <c r="P433" s="66"/>
      <c r="Q433" s="66"/>
      <c r="R433" s="54"/>
      <c r="S433" s="82"/>
      <c r="T433" s="83" t="str">
        <f t="shared" si="39"/>
        <v/>
      </c>
      <c r="U433" s="10"/>
      <c r="V433" s="41">
        <f>IF(AND(Q433&lt;&gt;"",RIGHT(Q433,3)&lt;&gt;""),IF(COUNTIF($Q$6:Q433,Q433)=1,1,0),0)</f>
        <v>0</v>
      </c>
      <c r="W433" s="41" t="str">
        <f t="shared" si="43"/>
        <v>BA.01.WHEAD.0526.8202-16</v>
      </c>
      <c r="X433" s="41" t="str">
        <f t="shared" si="41"/>
        <v/>
      </c>
    </row>
    <row r="434" s="32" customFormat="1" hidden="1" customHeight="1" spans="1:24">
      <c r="A434" s="34"/>
      <c r="B434" s="51">
        <v>429</v>
      </c>
      <c r="C434" s="51" t="s">
        <v>1506</v>
      </c>
      <c r="D434" s="52" t="s">
        <v>1119</v>
      </c>
      <c r="E434" s="53">
        <v>1</v>
      </c>
      <c r="F434" s="54" t="s">
        <v>29</v>
      </c>
      <c r="G434" s="54" t="s">
        <v>1452</v>
      </c>
      <c r="H434" s="54" t="s">
        <v>1453</v>
      </c>
      <c r="I434" s="66">
        <v>46162</v>
      </c>
      <c r="J434" s="54" t="s">
        <v>1094</v>
      </c>
      <c r="K434" s="54" t="s">
        <v>1507</v>
      </c>
      <c r="L434" s="54" t="s">
        <v>1508</v>
      </c>
      <c r="M434" s="97" t="str">
        <f t="shared" si="38"/>
        <v>Open File</v>
      </c>
      <c r="N434" s="70" t="s">
        <v>1454</v>
      </c>
      <c r="O434" s="71" t="str">
        <f t="shared" si="42"/>
        <v>ACTIVE</v>
      </c>
      <c r="P434" s="66"/>
      <c r="Q434" s="66"/>
      <c r="R434" s="54"/>
      <c r="S434" s="82"/>
      <c r="T434" s="83" t="str">
        <f t="shared" si="39"/>
        <v/>
      </c>
      <c r="U434" s="10"/>
      <c r="V434" s="41">
        <f>IF(AND(Q434&lt;&gt;"",RIGHT(Q434,3)&lt;&gt;""),IF(COUNTIF($Q$6:Q434,Q434)=1,1,0),0)</f>
        <v>0</v>
      </c>
      <c r="W434" s="41" t="str">
        <f t="shared" si="43"/>
        <v>BA.01.WHEAD.0526.8202-17</v>
      </c>
      <c r="X434" s="41" t="str">
        <f t="shared" si="41"/>
        <v/>
      </c>
    </row>
    <row r="435" s="32" customFormat="1" hidden="1" customHeight="1" spans="1:24">
      <c r="A435" s="34"/>
      <c r="B435" s="51">
        <v>430</v>
      </c>
      <c r="C435" s="51" t="s">
        <v>1509</v>
      </c>
      <c r="D435" s="52" t="s">
        <v>1510</v>
      </c>
      <c r="E435" s="53">
        <v>1</v>
      </c>
      <c r="F435" s="54" t="s">
        <v>29</v>
      </c>
      <c r="G435" s="54" t="s">
        <v>1452</v>
      </c>
      <c r="H435" s="54" t="s">
        <v>1453</v>
      </c>
      <c r="I435" s="66">
        <v>46162</v>
      </c>
      <c r="J435" s="54" t="s">
        <v>1094</v>
      </c>
      <c r="K435" s="54" t="s">
        <v>1511</v>
      </c>
      <c r="L435" s="54" t="s">
        <v>1512</v>
      </c>
      <c r="M435" s="97" t="str">
        <f t="shared" si="38"/>
        <v>Open File</v>
      </c>
      <c r="N435" s="70" t="s">
        <v>1454</v>
      </c>
      <c r="O435" s="71" t="str">
        <f t="shared" si="42"/>
        <v>ACTIVE</v>
      </c>
      <c r="P435" s="66"/>
      <c r="Q435" s="66"/>
      <c r="R435" s="54"/>
      <c r="S435" s="82"/>
      <c r="T435" s="83" t="str">
        <f t="shared" si="39"/>
        <v/>
      </c>
      <c r="U435" s="10"/>
      <c r="V435" s="41">
        <f>IF(AND(Q435&lt;&gt;"",RIGHT(Q435,3)&lt;&gt;""),IF(COUNTIF($Q$6:Q435,Q435)=1,1,0),0)</f>
        <v>0</v>
      </c>
      <c r="W435" s="41" t="str">
        <f t="shared" si="43"/>
        <v>BA.01.WHEAD.0526.8202-18</v>
      </c>
      <c r="X435" s="41" t="str">
        <f t="shared" si="41"/>
        <v/>
      </c>
    </row>
    <row r="436" s="32" customFormat="1" hidden="1" customHeight="1" spans="1:24">
      <c r="A436" s="34"/>
      <c r="B436" s="51">
        <v>431</v>
      </c>
      <c r="C436" s="51" t="s">
        <v>1513</v>
      </c>
      <c r="D436" s="52" t="s">
        <v>1510</v>
      </c>
      <c r="E436" s="53">
        <v>1</v>
      </c>
      <c r="F436" s="54" t="s">
        <v>29</v>
      </c>
      <c r="G436" s="54" t="s">
        <v>1452</v>
      </c>
      <c r="H436" s="54" t="s">
        <v>1453</v>
      </c>
      <c r="I436" s="66">
        <v>46162</v>
      </c>
      <c r="J436" s="54" t="s">
        <v>1094</v>
      </c>
      <c r="K436" s="54" t="s">
        <v>1514</v>
      </c>
      <c r="L436" s="54" t="s">
        <v>1515</v>
      </c>
      <c r="M436" s="97" t="str">
        <f t="shared" si="38"/>
        <v>Open File</v>
      </c>
      <c r="N436" s="70" t="s">
        <v>1454</v>
      </c>
      <c r="O436" s="71" t="str">
        <f t="shared" si="42"/>
        <v>ACTIVE</v>
      </c>
      <c r="P436" s="66"/>
      <c r="Q436" s="66"/>
      <c r="R436" s="54"/>
      <c r="S436" s="82"/>
      <c r="T436" s="83" t="str">
        <f t="shared" si="39"/>
        <v/>
      </c>
      <c r="U436" s="10"/>
      <c r="V436" s="41">
        <f>IF(AND(Q436&lt;&gt;"",RIGHT(Q436,3)&lt;&gt;""),IF(COUNTIF($Q$6:Q436,Q436)=1,1,0),0)</f>
        <v>0</v>
      </c>
      <c r="W436" s="41" t="str">
        <f>IF(AND(K436&lt;&gt;"",L436&lt;&gt;""),_xlfn.CONCAT(SUBSTITUTE(K436,"/","."),"-",L436),"")</f>
        <v>19-BA.01.WHEAD.0526.8202-19</v>
      </c>
      <c r="X436" s="41" t="str">
        <f t="shared" si="41"/>
        <v/>
      </c>
    </row>
    <row r="437" s="32" customFormat="1" hidden="1" customHeight="1" spans="1:24">
      <c r="A437" s="34"/>
      <c r="B437" s="51">
        <v>432</v>
      </c>
      <c r="C437" s="51" t="s">
        <v>1516</v>
      </c>
      <c r="D437" s="52" t="s">
        <v>1517</v>
      </c>
      <c r="E437" s="53">
        <v>1</v>
      </c>
      <c r="F437" s="54" t="s">
        <v>29</v>
      </c>
      <c r="G437" s="54" t="s">
        <v>1452</v>
      </c>
      <c r="H437" s="54" t="s">
        <v>1453</v>
      </c>
      <c r="I437" s="66">
        <v>46162</v>
      </c>
      <c r="J437" s="54" t="s">
        <v>1094</v>
      </c>
      <c r="K437" s="54" t="s">
        <v>1518</v>
      </c>
      <c r="L437" s="54" t="s">
        <v>1519</v>
      </c>
      <c r="M437" s="97" t="str">
        <f t="shared" si="38"/>
        <v>Open File</v>
      </c>
      <c r="N437" s="70" t="s">
        <v>1454</v>
      </c>
      <c r="O437" s="71" t="str">
        <f t="shared" si="42"/>
        <v>ACTIVE</v>
      </c>
      <c r="P437" s="66"/>
      <c r="Q437" s="66"/>
      <c r="R437" s="54"/>
      <c r="S437" s="82"/>
      <c r="T437" s="83" t="str">
        <f t="shared" si="39"/>
        <v/>
      </c>
      <c r="U437" s="10"/>
      <c r="V437" s="41">
        <f>IF(AND(Q437&lt;&gt;"",RIGHT(Q437,3)&lt;&gt;""),IF(COUNTIF($Q$6:Q437,Q437)=1,1,0),0)</f>
        <v>0</v>
      </c>
      <c r="W437" s="41" t="str">
        <f>IF(AND(J437&lt;&gt;"",K437&lt;&gt;""),_xlfn.CONCAT(SUBSTITUTE(J437,"/","."),"-",K437),"")</f>
        <v>BA.01.WHEAD.0526.8202-20</v>
      </c>
      <c r="X437" s="41" t="str">
        <f t="shared" si="41"/>
        <v/>
      </c>
    </row>
    <row r="438" s="32" customFormat="1" hidden="1" customHeight="1" spans="1:24">
      <c r="A438" s="34"/>
      <c r="B438" s="51">
        <v>433</v>
      </c>
      <c r="C438" s="51" t="s">
        <v>1520</v>
      </c>
      <c r="D438" s="52" t="s">
        <v>1517</v>
      </c>
      <c r="E438" s="53">
        <v>1</v>
      </c>
      <c r="F438" s="54" t="s">
        <v>29</v>
      </c>
      <c r="G438" s="54" t="s">
        <v>1452</v>
      </c>
      <c r="H438" s="54" t="s">
        <v>1453</v>
      </c>
      <c r="I438" s="66">
        <v>46162</v>
      </c>
      <c r="J438" s="54" t="s">
        <v>1094</v>
      </c>
      <c r="K438" s="54" t="s">
        <v>1521</v>
      </c>
      <c r="L438" s="54" t="s">
        <v>1522</v>
      </c>
      <c r="M438" s="97" t="str">
        <f t="shared" si="38"/>
        <v>Open File</v>
      </c>
      <c r="N438" s="70" t="s">
        <v>1454</v>
      </c>
      <c r="O438" s="71" t="str">
        <f t="shared" si="42"/>
        <v>ACTIVE</v>
      </c>
      <c r="P438" s="66"/>
      <c r="Q438" s="66"/>
      <c r="R438" s="54"/>
      <c r="S438" s="82"/>
      <c r="T438" s="83" t="str">
        <f t="shared" si="39"/>
        <v/>
      </c>
      <c r="U438" s="10"/>
      <c r="V438" s="41">
        <f>IF(AND(Q438&lt;&gt;"",RIGHT(Q438,3)&lt;&gt;""),IF(COUNTIF($Q$6:Q438,Q438)=1,1,0),0)</f>
        <v>0</v>
      </c>
      <c r="W438" s="41" t="str">
        <f>IF(AND(K438&lt;&gt;"",L438&lt;&gt;""),_xlfn.CONCAT(SUBSTITUTE(K438,"/","."),"-",L438),"")</f>
        <v>21-BA.01.WHEAD.0526.8202-21</v>
      </c>
      <c r="X438" s="41" t="str">
        <f t="shared" si="41"/>
        <v/>
      </c>
    </row>
    <row r="439" s="32" customFormat="1" hidden="1" customHeight="1" spans="1:24">
      <c r="A439" s="34"/>
      <c r="B439" s="51">
        <v>434</v>
      </c>
      <c r="C439" s="51" t="s">
        <v>1523</v>
      </c>
      <c r="D439" s="52" t="s">
        <v>1524</v>
      </c>
      <c r="E439" s="53">
        <v>1</v>
      </c>
      <c r="F439" s="54" t="s">
        <v>29</v>
      </c>
      <c r="G439" s="54" t="s">
        <v>1452</v>
      </c>
      <c r="H439" s="54" t="s">
        <v>1453</v>
      </c>
      <c r="I439" s="66">
        <v>46162</v>
      </c>
      <c r="J439" s="54" t="s">
        <v>1094</v>
      </c>
      <c r="K439" s="54" t="s">
        <v>1525</v>
      </c>
      <c r="L439" s="54" t="s">
        <v>1526</v>
      </c>
      <c r="M439" s="97" t="str">
        <f t="shared" si="38"/>
        <v>Open File</v>
      </c>
      <c r="N439" s="70" t="s">
        <v>1454</v>
      </c>
      <c r="O439" s="71" t="str">
        <f t="shared" si="42"/>
        <v>ACTIVE</v>
      </c>
      <c r="P439" s="66"/>
      <c r="Q439" s="66"/>
      <c r="R439" s="54"/>
      <c r="S439" s="82"/>
      <c r="T439" s="83" t="str">
        <f t="shared" si="39"/>
        <v/>
      </c>
      <c r="U439" s="10"/>
      <c r="V439" s="41">
        <f>IF(AND(Q439&lt;&gt;"",RIGHT(Q439,3)&lt;&gt;""),IF(COUNTIF($Q$6:Q439,Q439)=1,1,0),0)</f>
        <v>0</v>
      </c>
      <c r="W439" s="41" t="str">
        <f>IF(AND(J439&lt;&gt;"",K439&lt;&gt;""),_xlfn.CONCAT(SUBSTITUTE(J439,"/","."),"-",K439),"")</f>
        <v>BA.01.WHEAD.0526.8202-22</v>
      </c>
      <c r="X439" s="41" t="str">
        <f t="shared" si="41"/>
        <v/>
      </c>
    </row>
    <row r="440" s="32" customFormat="1" hidden="1" customHeight="1" spans="1:24">
      <c r="A440" s="34"/>
      <c r="B440" s="51">
        <v>435</v>
      </c>
      <c r="C440" s="51" t="s">
        <v>1527</v>
      </c>
      <c r="D440" s="52" t="s">
        <v>1524</v>
      </c>
      <c r="E440" s="53">
        <v>1</v>
      </c>
      <c r="F440" s="54" t="s">
        <v>29</v>
      </c>
      <c r="G440" s="54" t="s">
        <v>1452</v>
      </c>
      <c r="H440" s="54" t="s">
        <v>1453</v>
      </c>
      <c r="I440" s="66">
        <v>46162</v>
      </c>
      <c r="J440" s="54" t="s">
        <v>1094</v>
      </c>
      <c r="K440" s="54" t="s">
        <v>249</v>
      </c>
      <c r="L440" s="54" t="s">
        <v>1528</v>
      </c>
      <c r="M440" s="97" t="str">
        <f t="shared" si="38"/>
        <v>Open File</v>
      </c>
      <c r="N440" s="70" t="s">
        <v>1454</v>
      </c>
      <c r="O440" s="71" t="str">
        <f t="shared" si="42"/>
        <v>ACTIVE</v>
      </c>
      <c r="P440" s="66"/>
      <c r="Q440" s="66"/>
      <c r="R440" s="54"/>
      <c r="S440" s="82"/>
      <c r="T440" s="83" t="str">
        <f t="shared" si="39"/>
        <v/>
      </c>
      <c r="U440" s="10"/>
      <c r="V440" s="41">
        <f>IF(AND(Q440&lt;&gt;"",RIGHT(Q440,3)&lt;&gt;""),IF(COUNTIF($Q$6:Q440,Q440)=1,1,0),0)</f>
        <v>0</v>
      </c>
      <c r="W440" s="41" t="str">
        <f>IF(AND(K440&lt;&gt;"",L440&lt;&gt;""),_xlfn.CONCAT(SUBSTITUTE(K440,"/","."),"-",L440),"")</f>
        <v>23-BA.01.WHEAD.0526.8202-23</v>
      </c>
      <c r="X440" s="41" t="str">
        <f t="shared" si="41"/>
        <v/>
      </c>
    </row>
    <row r="441" s="32" customFormat="1" hidden="1" customHeight="1" spans="1:24">
      <c r="A441" s="34"/>
      <c r="B441" s="51">
        <v>436</v>
      </c>
      <c r="C441" s="51" t="s">
        <v>1529</v>
      </c>
      <c r="D441" s="52" t="s">
        <v>143</v>
      </c>
      <c r="E441" s="53">
        <v>1</v>
      </c>
      <c r="F441" s="54" t="s">
        <v>29</v>
      </c>
      <c r="G441" s="54" t="s">
        <v>1452</v>
      </c>
      <c r="H441" s="54" t="s">
        <v>1453</v>
      </c>
      <c r="I441" s="66">
        <v>46162</v>
      </c>
      <c r="J441" s="54" t="s">
        <v>1094</v>
      </c>
      <c r="K441" s="54" t="s">
        <v>1530</v>
      </c>
      <c r="L441" s="54" t="s">
        <v>1531</v>
      </c>
      <c r="M441" s="97" t="str">
        <f t="shared" si="38"/>
        <v>Open File</v>
      </c>
      <c r="N441" s="70" t="s">
        <v>1454</v>
      </c>
      <c r="O441" s="71" t="str">
        <f t="shared" si="42"/>
        <v>ACTIVE</v>
      </c>
      <c r="P441" s="66"/>
      <c r="Q441" s="66"/>
      <c r="R441" s="54"/>
      <c r="S441" s="82"/>
      <c r="T441" s="83" t="str">
        <f t="shared" si="39"/>
        <v/>
      </c>
      <c r="U441" s="10"/>
      <c r="V441" s="41">
        <f>IF(AND(Q441&lt;&gt;"",RIGHT(Q441,3)&lt;&gt;""),IF(COUNTIF($Q$6:Q441,Q441)=1,1,0),0)</f>
        <v>0</v>
      </c>
      <c r="W441" s="41" t="str">
        <f t="shared" ref="W441:W452" si="44">IF(AND(J441&lt;&gt;"",K441&lt;&gt;""),_xlfn.CONCAT(SUBSTITUTE(J441,"/","."),"-",K441),"")</f>
        <v>BA.01.WHEAD.0526.8202-24</v>
      </c>
      <c r="X441" s="41" t="str">
        <f t="shared" si="41"/>
        <v/>
      </c>
    </row>
    <row r="442" s="32" customFormat="1" hidden="1" customHeight="1" spans="1:24">
      <c r="A442" s="34"/>
      <c r="B442" s="51">
        <v>437</v>
      </c>
      <c r="C442" s="51" t="s">
        <v>1532</v>
      </c>
      <c r="D442" s="52" t="s">
        <v>1533</v>
      </c>
      <c r="E442" s="53">
        <v>1</v>
      </c>
      <c r="F442" s="54" t="s">
        <v>29</v>
      </c>
      <c r="G442" s="54" t="s">
        <v>1452</v>
      </c>
      <c r="H442" s="54" t="s">
        <v>1453</v>
      </c>
      <c r="I442" s="66">
        <v>46162</v>
      </c>
      <c r="J442" s="54" t="s">
        <v>1094</v>
      </c>
      <c r="K442" s="54" t="s">
        <v>1534</v>
      </c>
      <c r="L442" s="54" t="s">
        <v>1535</v>
      </c>
      <c r="M442" s="97" t="str">
        <f t="shared" si="38"/>
        <v>Open File</v>
      </c>
      <c r="N442" s="70" t="s">
        <v>1454</v>
      </c>
      <c r="O442" s="71" t="str">
        <f t="shared" si="42"/>
        <v>ACTIVE</v>
      </c>
      <c r="P442" s="66"/>
      <c r="Q442" s="66"/>
      <c r="R442" s="54"/>
      <c r="S442" s="82"/>
      <c r="T442" s="83" t="str">
        <f t="shared" si="39"/>
        <v/>
      </c>
      <c r="U442" s="10"/>
      <c r="V442" s="41">
        <f>IF(AND(Q442&lt;&gt;"",RIGHT(Q442,3)&lt;&gt;""),IF(COUNTIF($Q$6:Q442,Q442)=1,1,0),0)</f>
        <v>0</v>
      </c>
      <c r="W442" s="41" t="str">
        <f t="shared" si="44"/>
        <v>BA.01.WHEAD.0526.8202-25</v>
      </c>
      <c r="X442" s="41" t="str">
        <f t="shared" si="41"/>
        <v/>
      </c>
    </row>
    <row r="443" s="32" customFormat="1" hidden="1" customHeight="1" spans="1:24">
      <c r="A443" s="34"/>
      <c r="B443" s="51">
        <v>438</v>
      </c>
      <c r="C443" s="51" t="s">
        <v>1536</v>
      </c>
      <c r="D443" s="52" t="s">
        <v>1537</v>
      </c>
      <c r="E443" s="53">
        <v>1</v>
      </c>
      <c r="F443" s="54" t="s">
        <v>29</v>
      </c>
      <c r="G443" s="54" t="s">
        <v>1452</v>
      </c>
      <c r="H443" s="54" t="s">
        <v>1453</v>
      </c>
      <c r="I443" s="66">
        <v>46162</v>
      </c>
      <c r="J443" s="54" t="s">
        <v>1094</v>
      </c>
      <c r="K443" s="54" t="s">
        <v>1538</v>
      </c>
      <c r="L443" s="54" t="s">
        <v>1539</v>
      </c>
      <c r="M443" s="97" t="str">
        <f t="shared" si="38"/>
        <v>Open File</v>
      </c>
      <c r="N443" s="70" t="s">
        <v>1454</v>
      </c>
      <c r="O443" s="71" t="str">
        <f t="shared" si="42"/>
        <v>ACTIVE</v>
      </c>
      <c r="P443" s="66"/>
      <c r="Q443" s="66"/>
      <c r="R443" s="54"/>
      <c r="S443" s="82"/>
      <c r="T443" s="83" t="str">
        <f t="shared" si="39"/>
        <v/>
      </c>
      <c r="U443" s="10"/>
      <c r="V443" s="41">
        <f>IF(AND(Q443&lt;&gt;"",RIGHT(Q443,3)&lt;&gt;""),IF(COUNTIF($Q$6:Q443,Q443)=1,1,0),0)</f>
        <v>0</v>
      </c>
      <c r="W443" s="41" t="str">
        <f t="shared" si="44"/>
        <v>BA.01.WHEAD.0526.8202-26</v>
      </c>
      <c r="X443" s="41" t="str">
        <f t="shared" si="41"/>
        <v/>
      </c>
    </row>
    <row r="444" s="32" customFormat="1" hidden="1" customHeight="1" spans="1:24">
      <c r="A444" s="34"/>
      <c r="B444" s="51">
        <v>439</v>
      </c>
      <c r="C444" s="51" t="s">
        <v>1540</v>
      </c>
      <c r="D444" s="52" t="s">
        <v>1541</v>
      </c>
      <c r="E444" s="53">
        <v>1</v>
      </c>
      <c r="F444" s="54" t="s">
        <v>29</v>
      </c>
      <c r="G444" s="54" t="s">
        <v>1452</v>
      </c>
      <c r="H444" s="54" t="s">
        <v>1453</v>
      </c>
      <c r="I444" s="66">
        <v>46162</v>
      </c>
      <c r="J444" s="54" t="s">
        <v>1094</v>
      </c>
      <c r="K444" s="54" t="s">
        <v>1542</v>
      </c>
      <c r="L444" s="54" t="s">
        <v>1543</v>
      </c>
      <c r="M444" s="97" t="str">
        <f t="shared" si="38"/>
        <v>Open File</v>
      </c>
      <c r="N444" s="70" t="s">
        <v>1454</v>
      </c>
      <c r="O444" s="71" t="str">
        <f t="shared" si="42"/>
        <v>ACTIVE</v>
      </c>
      <c r="P444" s="66"/>
      <c r="Q444" s="66"/>
      <c r="R444" s="54"/>
      <c r="S444" s="82"/>
      <c r="T444" s="83" t="str">
        <f t="shared" si="39"/>
        <v/>
      </c>
      <c r="U444" s="10"/>
      <c r="V444" s="41">
        <f>IF(AND(Q444&lt;&gt;"",RIGHT(Q444,3)&lt;&gt;""),IF(COUNTIF($Q$6:Q444,Q444)=1,1,0),0)</f>
        <v>0</v>
      </c>
      <c r="W444" s="41" t="str">
        <f t="shared" si="44"/>
        <v>BA.01.WHEAD.0526.8202-27</v>
      </c>
      <c r="X444" s="41" t="str">
        <f t="shared" si="41"/>
        <v/>
      </c>
    </row>
    <row r="445" s="32" customFormat="1" hidden="1" customHeight="1" spans="1:24">
      <c r="A445" s="34"/>
      <c r="B445" s="51">
        <v>440</v>
      </c>
      <c r="C445" s="51" t="s">
        <v>1544</v>
      </c>
      <c r="D445" s="52" t="s">
        <v>1451</v>
      </c>
      <c r="E445" s="53">
        <v>1</v>
      </c>
      <c r="F445" s="54" t="s">
        <v>29</v>
      </c>
      <c r="G445" s="54" t="s">
        <v>1107</v>
      </c>
      <c r="H445" s="54" t="s">
        <v>1545</v>
      </c>
      <c r="I445" s="66">
        <v>46163</v>
      </c>
      <c r="J445" s="54" t="s">
        <v>1546</v>
      </c>
      <c r="K445" s="54" t="s">
        <v>226</v>
      </c>
      <c r="L445" s="54" t="s">
        <v>1547</v>
      </c>
      <c r="M445" s="97" t="str">
        <f t="shared" si="38"/>
        <v>Open File</v>
      </c>
      <c r="N445" s="70" t="s">
        <v>1548</v>
      </c>
      <c r="O445" s="71" t="str">
        <f t="shared" si="42"/>
        <v>ACTIVE</v>
      </c>
      <c r="P445" s="66"/>
      <c r="Q445" s="66"/>
      <c r="R445" s="54"/>
      <c r="S445" s="82"/>
      <c r="T445" s="83" t="str">
        <f t="shared" si="39"/>
        <v/>
      </c>
      <c r="U445" s="10"/>
      <c r="V445" s="41">
        <f>IF(AND(Q445&lt;&gt;"",RIGHT(Q445,3)&lt;&gt;""),IF(COUNTIF($Q$6:Q445,Q445)=1,1,0),0)</f>
        <v>0</v>
      </c>
      <c r="W445" s="41" t="str">
        <f t="shared" si="44"/>
        <v>BA.02.WHEAD.1125.8819-1</v>
      </c>
      <c r="X445" s="41" t="str">
        <f t="shared" si="41"/>
        <v/>
      </c>
    </row>
    <row r="446" s="32" customFormat="1" hidden="1" customHeight="1" spans="1:24">
      <c r="A446" s="34"/>
      <c r="B446" s="51">
        <v>441</v>
      </c>
      <c r="C446" s="51" t="s">
        <v>1549</v>
      </c>
      <c r="D446" s="52" t="s">
        <v>1456</v>
      </c>
      <c r="E446" s="53">
        <v>1</v>
      </c>
      <c r="F446" s="54" t="s">
        <v>29</v>
      </c>
      <c r="G446" s="54" t="s">
        <v>1107</v>
      </c>
      <c r="H446" s="54" t="s">
        <v>1545</v>
      </c>
      <c r="I446" s="66">
        <v>46163</v>
      </c>
      <c r="J446" s="54" t="s">
        <v>1546</v>
      </c>
      <c r="K446" s="54" t="s">
        <v>1239</v>
      </c>
      <c r="L446" s="54" t="s">
        <v>1550</v>
      </c>
      <c r="M446" s="97" t="str">
        <f t="shared" si="38"/>
        <v>Open File</v>
      </c>
      <c r="N446" s="70" t="s">
        <v>1548</v>
      </c>
      <c r="O446" s="71" t="str">
        <f t="shared" si="42"/>
        <v>ACTIVE</v>
      </c>
      <c r="P446" s="66"/>
      <c r="Q446" s="66"/>
      <c r="R446" s="54"/>
      <c r="S446" s="82"/>
      <c r="T446" s="83" t="str">
        <f t="shared" si="39"/>
        <v/>
      </c>
      <c r="U446" s="10"/>
      <c r="V446" s="41">
        <f>IF(AND(Q446&lt;&gt;"",RIGHT(Q446,3)&lt;&gt;""),IF(COUNTIF($Q$6:Q446,Q446)=1,1,0),0)</f>
        <v>0</v>
      </c>
      <c r="W446" s="41" t="str">
        <f t="shared" si="44"/>
        <v>BA.02.WHEAD.1125.8819-2</v>
      </c>
      <c r="X446" s="41" t="str">
        <f t="shared" si="41"/>
        <v/>
      </c>
    </row>
    <row r="447" s="32" customFormat="1" hidden="1" customHeight="1" spans="1:24">
      <c r="A447" s="34"/>
      <c r="B447" s="51">
        <v>442</v>
      </c>
      <c r="C447" s="51" t="s">
        <v>1551</v>
      </c>
      <c r="D447" s="52" t="s">
        <v>1459</v>
      </c>
      <c r="E447" s="53">
        <v>1</v>
      </c>
      <c r="F447" s="54" t="s">
        <v>29</v>
      </c>
      <c r="G447" s="54" t="s">
        <v>1107</v>
      </c>
      <c r="H447" s="54" t="s">
        <v>1545</v>
      </c>
      <c r="I447" s="66">
        <v>46163</v>
      </c>
      <c r="J447" s="54" t="s">
        <v>1546</v>
      </c>
      <c r="K447" s="54" t="s">
        <v>1423</v>
      </c>
      <c r="L447" s="54" t="s">
        <v>1552</v>
      </c>
      <c r="M447" s="97" t="str">
        <f t="shared" si="38"/>
        <v>Open File</v>
      </c>
      <c r="N447" s="70" t="s">
        <v>1548</v>
      </c>
      <c r="O447" s="71" t="str">
        <f t="shared" si="42"/>
        <v>ACTIVE</v>
      </c>
      <c r="P447" s="66"/>
      <c r="Q447" s="66"/>
      <c r="R447" s="54"/>
      <c r="S447" s="82"/>
      <c r="T447" s="83" t="str">
        <f t="shared" si="39"/>
        <v/>
      </c>
      <c r="U447" s="10"/>
      <c r="V447" s="41">
        <f>IF(AND(Q447&lt;&gt;"",RIGHT(Q447,3)&lt;&gt;""),IF(COUNTIF($Q$6:Q447,Q447)=1,1,0),0)</f>
        <v>0</v>
      </c>
      <c r="W447" s="41" t="str">
        <f t="shared" si="44"/>
        <v>BA.02.WHEAD.1125.8819-3</v>
      </c>
      <c r="X447" s="41" t="str">
        <f t="shared" si="41"/>
        <v/>
      </c>
    </row>
    <row r="448" s="32" customFormat="1" hidden="1" customHeight="1" spans="1:24">
      <c r="A448" s="34"/>
      <c r="B448" s="51">
        <v>443</v>
      </c>
      <c r="C448" s="51" t="s">
        <v>1553</v>
      </c>
      <c r="D448" s="52" t="s">
        <v>1462</v>
      </c>
      <c r="E448" s="53">
        <v>1</v>
      </c>
      <c r="F448" s="54" t="s">
        <v>29</v>
      </c>
      <c r="G448" s="54" t="s">
        <v>1107</v>
      </c>
      <c r="H448" s="54" t="s">
        <v>1545</v>
      </c>
      <c r="I448" s="66">
        <v>46163</v>
      </c>
      <c r="J448" s="54" t="s">
        <v>1546</v>
      </c>
      <c r="K448" s="54" t="s">
        <v>1427</v>
      </c>
      <c r="L448" s="54" t="s">
        <v>1554</v>
      </c>
      <c r="M448" s="97" t="str">
        <f t="shared" si="38"/>
        <v>Open File</v>
      </c>
      <c r="N448" s="70" t="s">
        <v>1548</v>
      </c>
      <c r="O448" s="71" t="str">
        <f t="shared" si="42"/>
        <v>ACTIVE</v>
      </c>
      <c r="P448" s="66"/>
      <c r="Q448" s="66"/>
      <c r="R448" s="54"/>
      <c r="S448" s="82"/>
      <c r="T448" s="83" t="str">
        <f t="shared" si="39"/>
        <v/>
      </c>
      <c r="U448" s="10"/>
      <c r="V448" s="41">
        <f>IF(AND(Q448&lt;&gt;"",RIGHT(Q448,3)&lt;&gt;""),IF(COUNTIF($Q$6:Q448,Q448)=1,1,0),0)</f>
        <v>0</v>
      </c>
      <c r="W448" s="41" t="str">
        <f t="shared" si="44"/>
        <v>BA.02.WHEAD.1125.8819-4</v>
      </c>
      <c r="X448" s="41" t="str">
        <f t="shared" si="41"/>
        <v/>
      </c>
    </row>
    <row r="449" s="32" customFormat="1" hidden="1" customHeight="1" spans="1:24">
      <c r="A449" s="34"/>
      <c r="B449" s="51">
        <v>444</v>
      </c>
      <c r="C449" s="51" t="s">
        <v>1555</v>
      </c>
      <c r="D449" s="52" t="s">
        <v>1468</v>
      </c>
      <c r="E449" s="53">
        <v>1</v>
      </c>
      <c r="F449" s="54" t="s">
        <v>29</v>
      </c>
      <c r="G449" s="54" t="s">
        <v>1107</v>
      </c>
      <c r="H449" s="54" t="s">
        <v>1545</v>
      </c>
      <c r="I449" s="66">
        <v>46163</v>
      </c>
      <c r="J449" s="54" t="s">
        <v>1546</v>
      </c>
      <c r="K449" s="54" t="s">
        <v>1431</v>
      </c>
      <c r="L449" s="54" t="s">
        <v>1556</v>
      </c>
      <c r="M449" s="97" t="str">
        <f t="shared" si="38"/>
        <v>Open File</v>
      </c>
      <c r="N449" s="70" t="s">
        <v>1548</v>
      </c>
      <c r="O449" s="71" t="str">
        <f t="shared" si="42"/>
        <v>ACTIVE</v>
      </c>
      <c r="P449" s="66"/>
      <c r="Q449" s="66"/>
      <c r="R449" s="54"/>
      <c r="S449" s="82"/>
      <c r="T449" s="83" t="str">
        <f t="shared" si="39"/>
        <v/>
      </c>
      <c r="U449" s="10"/>
      <c r="V449" s="41">
        <f>IF(AND(Q449&lt;&gt;"",RIGHT(Q449,3)&lt;&gt;""),IF(COUNTIF($Q$6:Q449,Q449)=1,1,0),0)</f>
        <v>0</v>
      </c>
      <c r="W449" s="41" t="str">
        <f t="shared" si="44"/>
        <v>BA.02.WHEAD.1125.8819-5</v>
      </c>
      <c r="X449" s="41" t="str">
        <f t="shared" si="41"/>
        <v/>
      </c>
    </row>
    <row r="450" s="32" customFormat="1" hidden="1" customHeight="1" spans="1:24">
      <c r="A450" s="34"/>
      <c r="B450" s="51">
        <v>445</v>
      </c>
      <c r="C450" s="51" t="s">
        <v>1557</v>
      </c>
      <c r="D450" s="52" t="s">
        <v>1471</v>
      </c>
      <c r="E450" s="53">
        <v>1</v>
      </c>
      <c r="F450" s="54" t="s">
        <v>29</v>
      </c>
      <c r="G450" s="54" t="s">
        <v>1107</v>
      </c>
      <c r="H450" s="54" t="s">
        <v>1545</v>
      </c>
      <c r="I450" s="66">
        <v>46163</v>
      </c>
      <c r="J450" s="54" t="s">
        <v>1546</v>
      </c>
      <c r="K450" s="54" t="s">
        <v>1435</v>
      </c>
      <c r="L450" s="54" t="s">
        <v>1558</v>
      </c>
      <c r="M450" s="97" t="str">
        <f t="shared" si="38"/>
        <v>Open File</v>
      </c>
      <c r="N450" s="70" t="s">
        <v>1548</v>
      </c>
      <c r="O450" s="71" t="str">
        <f t="shared" si="42"/>
        <v>ACTIVE</v>
      </c>
      <c r="P450" s="66"/>
      <c r="Q450" s="66"/>
      <c r="R450" s="54"/>
      <c r="S450" s="82"/>
      <c r="T450" s="83" t="str">
        <f t="shared" si="39"/>
        <v/>
      </c>
      <c r="U450" s="10"/>
      <c r="V450" s="41">
        <f>IF(AND(Q450&lt;&gt;"",RIGHT(Q450,3)&lt;&gt;""),IF(COUNTIF($Q$6:Q450,Q450)=1,1,0),0)</f>
        <v>0</v>
      </c>
      <c r="W450" s="41" t="str">
        <f t="shared" si="44"/>
        <v>BA.02.WHEAD.1125.8819-6</v>
      </c>
      <c r="X450" s="41" t="str">
        <f t="shared" si="41"/>
        <v/>
      </c>
    </row>
    <row r="451" s="32" customFormat="1" hidden="1" customHeight="1" spans="1:24">
      <c r="A451" s="34"/>
      <c r="B451" s="51">
        <v>446</v>
      </c>
      <c r="C451" s="51" t="s">
        <v>1559</v>
      </c>
      <c r="D451" s="52" t="s">
        <v>1474</v>
      </c>
      <c r="E451" s="53">
        <v>1</v>
      </c>
      <c r="F451" s="54" t="s">
        <v>29</v>
      </c>
      <c r="G451" s="54" t="s">
        <v>1107</v>
      </c>
      <c r="H451" s="54" t="s">
        <v>1545</v>
      </c>
      <c r="I451" s="66">
        <v>46163</v>
      </c>
      <c r="J451" s="54" t="s">
        <v>1546</v>
      </c>
      <c r="K451" s="54" t="s">
        <v>1439</v>
      </c>
      <c r="L451" s="54" t="s">
        <v>1560</v>
      </c>
      <c r="M451" s="97" t="str">
        <f t="shared" si="38"/>
        <v>Open File</v>
      </c>
      <c r="N451" s="70" t="s">
        <v>1548</v>
      </c>
      <c r="O451" s="71" t="str">
        <f t="shared" si="42"/>
        <v>ACTIVE</v>
      </c>
      <c r="P451" s="66"/>
      <c r="Q451" s="66"/>
      <c r="R451" s="54"/>
      <c r="S451" s="82"/>
      <c r="T451" s="83" t="str">
        <f t="shared" si="39"/>
        <v/>
      </c>
      <c r="U451" s="10"/>
      <c r="V451" s="41">
        <f>IF(AND(Q451&lt;&gt;"",RIGHT(Q451,3)&lt;&gt;""),IF(COUNTIF($Q$6:Q451,Q451)=1,1,0),0)</f>
        <v>0</v>
      </c>
      <c r="W451" s="41" t="str">
        <f t="shared" si="44"/>
        <v>BA.02.WHEAD.1125.8819-7</v>
      </c>
      <c r="X451" s="41" t="str">
        <f t="shared" si="41"/>
        <v/>
      </c>
    </row>
    <row r="452" s="32" customFormat="1" hidden="1" customHeight="1" spans="1:24">
      <c r="A452" s="34"/>
      <c r="B452" s="51">
        <v>447</v>
      </c>
      <c r="C452" s="51" t="s">
        <v>1561</v>
      </c>
      <c r="D452" s="52" t="s">
        <v>1562</v>
      </c>
      <c r="E452" s="53">
        <v>1</v>
      </c>
      <c r="F452" s="54" t="s">
        <v>29</v>
      </c>
      <c r="G452" s="54" t="s">
        <v>1107</v>
      </c>
      <c r="H452" s="54" t="s">
        <v>1545</v>
      </c>
      <c r="I452" s="66">
        <v>46163</v>
      </c>
      <c r="J452" s="54" t="s">
        <v>1546</v>
      </c>
      <c r="K452" s="54" t="s">
        <v>1443</v>
      </c>
      <c r="L452" s="54" t="s">
        <v>1563</v>
      </c>
      <c r="M452" s="95" t="str">
        <f t="shared" si="38"/>
        <v>Open File</v>
      </c>
      <c r="N452" s="70" t="s">
        <v>1548</v>
      </c>
      <c r="O452" s="71" t="str">
        <f t="shared" si="42"/>
        <v>ACTIVE</v>
      </c>
      <c r="P452" s="66"/>
      <c r="Q452" s="66"/>
      <c r="R452" s="54"/>
      <c r="S452" s="82"/>
      <c r="T452" s="83" t="str">
        <f t="shared" si="39"/>
        <v/>
      </c>
      <c r="U452" s="10"/>
      <c r="V452" s="41">
        <f>IF(AND(Q452&lt;&gt;"",RIGHT(Q452,3)&lt;&gt;""),IF(COUNTIF($Q$6:Q452,Q452)=1,1,0),0)</f>
        <v>0</v>
      </c>
      <c r="W452" s="41" t="str">
        <f t="shared" si="44"/>
        <v>BA.02.WHEAD.1125.8819-8</v>
      </c>
      <c r="X452" s="41" t="str">
        <f t="shared" si="41"/>
        <v/>
      </c>
    </row>
    <row r="453" s="32" customFormat="1" hidden="1" customHeight="1" spans="1:24">
      <c r="A453" s="34"/>
      <c r="B453" s="51">
        <v>448</v>
      </c>
      <c r="C453" s="51" t="s">
        <v>1564</v>
      </c>
      <c r="D453" s="52" t="s">
        <v>1562</v>
      </c>
      <c r="E453" s="53">
        <v>1</v>
      </c>
      <c r="F453" s="54" t="s">
        <v>29</v>
      </c>
      <c r="G453" s="54" t="s">
        <v>1107</v>
      </c>
      <c r="H453" s="54" t="s">
        <v>1545</v>
      </c>
      <c r="I453" s="66">
        <v>46163</v>
      </c>
      <c r="J453" s="54" t="s">
        <v>1546</v>
      </c>
      <c r="K453" s="54" t="s">
        <v>1478</v>
      </c>
      <c r="L453" s="54" t="s">
        <v>1565</v>
      </c>
      <c r="M453" s="97" t="str">
        <f t="shared" si="38"/>
        <v>Open File</v>
      </c>
      <c r="N453" s="70" t="s">
        <v>1548</v>
      </c>
      <c r="O453" s="71" t="str">
        <f t="shared" si="42"/>
        <v>ACTIVE</v>
      </c>
      <c r="P453" s="66"/>
      <c r="Q453" s="66"/>
      <c r="R453" s="54"/>
      <c r="S453" s="82"/>
      <c r="T453" s="83" t="str">
        <f t="shared" si="39"/>
        <v/>
      </c>
      <c r="U453" s="10"/>
      <c r="V453" s="41">
        <f>IF(AND(Q453&lt;&gt;"",RIGHT(Q453,3)&lt;&gt;""),IF(COUNTIF($Q$6:Q453,Q453)=1,1,0),0)</f>
        <v>0</v>
      </c>
      <c r="W453" s="41" t="str">
        <f>IF(AND(K453&lt;&gt;"",L453&lt;&gt;""),_xlfn.CONCAT(SUBSTITUTE(K453,"/","."),"-",L453),"")</f>
        <v>9-BA.02.WHEAD.1125.8819-9</v>
      </c>
      <c r="X453" s="41" t="str">
        <f t="shared" si="41"/>
        <v/>
      </c>
    </row>
    <row r="454" s="32" customFormat="1" hidden="1" customHeight="1" spans="1:24">
      <c r="A454" s="34"/>
      <c r="B454" s="51">
        <v>449</v>
      </c>
      <c r="C454" s="51" t="s">
        <v>1566</v>
      </c>
      <c r="D454" s="52" t="s">
        <v>1567</v>
      </c>
      <c r="E454" s="53">
        <v>1</v>
      </c>
      <c r="F454" s="54" t="s">
        <v>29</v>
      </c>
      <c r="G454" s="54" t="s">
        <v>1107</v>
      </c>
      <c r="H454" s="54" t="s">
        <v>1545</v>
      </c>
      <c r="I454" s="66">
        <v>46163</v>
      </c>
      <c r="J454" s="54" t="s">
        <v>1546</v>
      </c>
      <c r="K454" s="54" t="s">
        <v>1481</v>
      </c>
      <c r="L454" s="54" t="s">
        <v>1568</v>
      </c>
      <c r="M454" s="97" t="str">
        <f t="shared" si="38"/>
        <v>Open File</v>
      </c>
      <c r="N454" s="70" t="s">
        <v>1548</v>
      </c>
      <c r="O454" s="71" t="str">
        <f t="shared" si="42"/>
        <v>ACTIVE</v>
      </c>
      <c r="P454" s="66"/>
      <c r="Q454" s="66"/>
      <c r="R454" s="54"/>
      <c r="S454" s="82"/>
      <c r="T454" s="83" t="str">
        <f t="shared" si="39"/>
        <v/>
      </c>
      <c r="U454" s="10"/>
      <c r="V454" s="41">
        <f>IF(AND(Q454&lt;&gt;"",RIGHT(Q454,3)&lt;&gt;""),IF(COUNTIF($Q$6:Q454,Q454)=1,1,0),0)</f>
        <v>0</v>
      </c>
      <c r="W454" s="41" t="str">
        <f t="shared" ref="W454:W461" si="45">IF(AND(J454&lt;&gt;"",K454&lt;&gt;""),_xlfn.CONCAT(SUBSTITUTE(J454,"/","."),"-",K454),"")</f>
        <v>BA.02.WHEAD.1125.8819-10</v>
      </c>
      <c r="X454" s="41" t="str">
        <f t="shared" si="41"/>
        <v/>
      </c>
    </row>
    <row r="455" s="32" customFormat="1" hidden="1" customHeight="1" spans="1:24">
      <c r="A455" s="34"/>
      <c r="B455" s="51">
        <v>450</v>
      </c>
      <c r="C455" s="51" t="s">
        <v>1569</v>
      </c>
      <c r="D455" s="52" t="s">
        <v>1488</v>
      </c>
      <c r="E455" s="53">
        <v>1</v>
      </c>
      <c r="F455" s="54" t="s">
        <v>29</v>
      </c>
      <c r="G455" s="54" t="s">
        <v>1107</v>
      </c>
      <c r="H455" s="54" t="s">
        <v>1545</v>
      </c>
      <c r="I455" s="66">
        <v>46163</v>
      </c>
      <c r="J455" s="54" t="s">
        <v>1546</v>
      </c>
      <c r="K455" s="54" t="s">
        <v>1485</v>
      </c>
      <c r="L455" s="54" t="s">
        <v>1570</v>
      </c>
      <c r="M455" s="97" t="str">
        <f t="shared" si="38"/>
        <v>Open File</v>
      </c>
      <c r="N455" s="70" t="s">
        <v>1548</v>
      </c>
      <c r="O455" s="71" t="str">
        <f t="shared" si="42"/>
        <v>ACTIVE</v>
      </c>
      <c r="P455" s="66"/>
      <c r="Q455" s="66"/>
      <c r="R455" s="54"/>
      <c r="S455" s="82"/>
      <c r="T455" s="83" t="str">
        <f t="shared" si="39"/>
        <v/>
      </c>
      <c r="U455" s="10"/>
      <c r="V455" s="41">
        <f>IF(AND(Q455&lt;&gt;"",RIGHT(Q455,3)&lt;&gt;""),IF(COUNTIF($Q$6:Q455,Q455)=1,1,0),0)</f>
        <v>0</v>
      </c>
      <c r="W455" s="41" t="str">
        <f t="shared" si="45"/>
        <v>BA.02.WHEAD.1125.8819-11</v>
      </c>
      <c r="X455" s="41" t="str">
        <f t="shared" si="41"/>
        <v/>
      </c>
    </row>
    <row r="456" s="32" customFormat="1" hidden="1" customHeight="1" spans="1:24">
      <c r="A456" s="34"/>
      <c r="B456" s="51">
        <v>451</v>
      </c>
      <c r="C456" s="51" t="s">
        <v>1571</v>
      </c>
      <c r="D456" s="52" t="s">
        <v>1492</v>
      </c>
      <c r="E456" s="53">
        <v>1</v>
      </c>
      <c r="F456" s="54" t="s">
        <v>29</v>
      </c>
      <c r="G456" s="54" t="s">
        <v>1107</v>
      </c>
      <c r="H456" s="54" t="s">
        <v>1545</v>
      </c>
      <c r="I456" s="66">
        <v>46163</v>
      </c>
      <c r="J456" s="54" t="s">
        <v>1546</v>
      </c>
      <c r="K456" s="54" t="s">
        <v>1489</v>
      </c>
      <c r="L456" s="54" t="s">
        <v>1572</v>
      </c>
      <c r="M456" s="97" t="str">
        <f t="shared" si="38"/>
        <v>Open File</v>
      </c>
      <c r="N456" s="70" t="s">
        <v>1548</v>
      </c>
      <c r="O456" s="71" t="str">
        <f t="shared" si="42"/>
        <v>ACTIVE</v>
      </c>
      <c r="P456" s="66"/>
      <c r="Q456" s="66"/>
      <c r="R456" s="54"/>
      <c r="S456" s="82"/>
      <c r="T456" s="83" t="str">
        <f t="shared" si="39"/>
        <v/>
      </c>
      <c r="U456" s="10"/>
      <c r="V456" s="41">
        <f>IF(AND(Q456&lt;&gt;"",RIGHT(Q456,3)&lt;&gt;""),IF(COUNTIF($Q$6:Q456,Q456)=1,1,0),0)</f>
        <v>0</v>
      </c>
      <c r="W456" s="41" t="str">
        <f t="shared" si="45"/>
        <v>BA.02.WHEAD.1125.8819-12</v>
      </c>
      <c r="X456" s="41" t="str">
        <f t="shared" si="41"/>
        <v/>
      </c>
    </row>
    <row r="457" s="32" customFormat="1" hidden="1" customHeight="1" spans="1:24">
      <c r="A457" s="34"/>
      <c r="B457" s="51">
        <v>452</v>
      </c>
      <c r="C457" s="51" t="s">
        <v>1573</v>
      </c>
      <c r="D457" s="52" t="s">
        <v>1496</v>
      </c>
      <c r="E457" s="53">
        <v>1</v>
      </c>
      <c r="F457" s="54" t="s">
        <v>29</v>
      </c>
      <c r="G457" s="54" t="s">
        <v>1107</v>
      </c>
      <c r="H457" s="54" t="s">
        <v>1545</v>
      </c>
      <c r="I457" s="66">
        <v>46163</v>
      </c>
      <c r="J457" s="54" t="s">
        <v>1546</v>
      </c>
      <c r="K457" s="54" t="s">
        <v>1493</v>
      </c>
      <c r="L457" s="54" t="s">
        <v>1574</v>
      </c>
      <c r="M457" s="97" t="str">
        <f t="shared" si="38"/>
        <v>Open File</v>
      </c>
      <c r="N457" s="70" t="s">
        <v>1548</v>
      </c>
      <c r="O457" s="71" t="str">
        <f t="shared" si="42"/>
        <v>ACTIVE</v>
      </c>
      <c r="P457" s="66"/>
      <c r="Q457" s="66"/>
      <c r="R457" s="54"/>
      <c r="S457" s="82"/>
      <c r="T457" s="83" t="str">
        <f t="shared" si="39"/>
        <v/>
      </c>
      <c r="U457" s="10"/>
      <c r="V457" s="41">
        <f>IF(AND(Q457&lt;&gt;"",RIGHT(Q457,3)&lt;&gt;""),IF(COUNTIF($Q$6:Q457,Q457)=1,1,0),0)</f>
        <v>0</v>
      </c>
      <c r="W457" s="41" t="str">
        <f t="shared" si="45"/>
        <v>BA.02.WHEAD.1125.8819-13</v>
      </c>
      <c r="X457" s="41" t="str">
        <f t="shared" si="41"/>
        <v/>
      </c>
    </row>
    <row r="458" s="32" customFormat="1" hidden="1" customHeight="1" spans="1:24">
      <c r="A458" s="34"/>
      <c r="B458" s="51">
        <v>453</v>
      </c>
      <c r="C458" s="51" t="s">
        <v>1575</v>
      </c>
      <c r="D458" s="52" t="s">
        <v>1499</v>
      </c>
      <c r="E458" s="53">
        <v>1</v>
      </c>
      <c r="F458" s="54" t="s">
        <v>29</v>
      </c>
      <c r="G458" s="54" t="s">
        <v>1107</v>
      </c>
      <c r="H458" s="54" t="s">
        <v>1545</v>
      </c>
      <c r="I458" s="66">
        <v>46163</v>
      </c>
      <c r="J458" s="54" t="s">
        <v>1546</v>
      </c>
      <c r="K458" s="54" t="s">
        <v>1411</v>
      </c>
      <c r="L458" s="54" t="s">
        <v>1576</v>
      </c>
      <c r="M458" s="95" t="str">
        <f t="shared" ref="M458:M521" si="46">IF(L458="","",HYPERLINK(_xlfn.CONCAT($L$4,L458,".jpg"),"Open File"))</f>
        <v>Open File</v>
      </c>
      <c r="N458" s="70" t="s">
        <v>1548</v>
      </c>
      <c r="O458" s="71" t="str">
        <f t="shared" si="42"/>
        <v>ACTIVE</v>
      </c>
      <c r="P458" s="66"/>
      <c r="Q458" s="66"/>
      <c r="R458" s="54"/>
      <c r="S458" s="82"/>
      <c r="T458" s="83" t="str">
        <f t="shared" ref="T458:T521" si="47">IF(S458="","",HYPERLINK(_xlfn.CONCAT($S$4,S458,".jpg"),"Open File"))</f>
        <v/>
      </c>
      <c r="U458" s="10"/>
      <c r="V458" s="41">
        <f>IF(AND(Q458&lt;&gt;"",RIGHT(Q458,3)&lt;&gt;""),IF(COUNTIF($Q$6:Q458,Q458)=1,1,0),0)</f>
        <v>0</v>
      </c>
      <c r="W458" s="41" t="str">
        <f t="shared" si="45"/>
        <v>BA.02.WHEAD.1125.8819-14</v>
      </c>
      <c r="X458" s="41" t="str">
        <f t="shared" ref="X458:X521" si="48">IF(AND(Q458&lt;&gt;"",R458&lt;&gt;""),_xlfn.CONCAT(SUBSTITUTE(Q458,"/","."),"-",R458),"")</f>
        <v/>
      </c>
    </row>
    <row r="459" s="32" customFormat="1" hidden="1" customHeight="1" spans="1:24">
      <c r="A459" s="34"/>
      <c r="B459" s="51">
        <v>454</v>
      </c>
      <c r="C459" s="51" t="s">
        <v>1577</v>
      </c>
      <c r="D459" s="52" t="s">
        <v>1503</v>
      </c>
      <c r="E459" s="53">
        <v>1</v>
      </c>
      <c r="F459" s="54" t="s">
        <v>29</v>
      </c>
      <c r="G459" s="54" t="s">
        <v>1107</v>
      </c>
      <c r="H459" s="54" t="s">
        <v>1545</v>
      </c>
      <c r="I459" s="66">
        <v>46163</v>
      </c>
      <c r="J459" s="54" t="s">
        <v>1546</v>
      </c>
      <c r="K459" s="54" t="s">
        <v>1500</v>
      </c>
      <c r="L459" s="54" t="s">
        <v>1578</v>
      </c>
      <c r="M459" s="97" t="str">
        <f t="shared" si="46"/>
        <v>Open File</v>
      </c>
      <c r="N459" s="70" t="s">
        <v>1548</v>
      </c>
      <c r="O459" s="71" t="str">
        <f t="shared" si="42"/>
        <v>ACTIVE</v>
      </c>
      <c r="P459" s="66"/>
      <c r="Q459" s="66"/>
      <c r="R459" s="54"/>
      <c r="S459" s="82"/>
      <c r="T459" s="83" t="str">
        <f t="shared" si="47"/>
        <v/>
      </c>
      <c r="U459" s="10"/>
      <c r="V459" s="41">
        <f>IF(AND(Q459&lt;&gt;"",RIGHT(Q459,3)&lt;&gt;""),IF(COUNTIF($Q$6:Q459,Q459)=1,1,0),0)</f>
        <v>0</v>
      </c>
      <c r="W459" s="41" t="str">
        <f t="shared" si="45"/>
        <v>BA.02.WHEAD.1125.8819-15</v>
      </c>
      <c r="X459" s="41" t="str">
        <f t="shared" si="48"/>
        <v/>
      </c>
    </row>
    <row r="460" s="32" customFormat="1" hidden="1" customHeight="1" spans="1:24">
      <c r="A460" s="34"/>
      <c r="B460" s="51">
        <v>455</v>
      </c>
      <c r="C460" s="51" t="s">
        <v>1579</v>
      </c>
      <c r="D460" s="52" t="s">
        <v>1119</v>
      </c>
      <c r="E460" s="53">
        <v>1</v>
      </c>
      <c r="F460" s="54" t="s">
        <v>29</v>
      </c>
      <c r="G460" s="54" t="s">
        <v>1107</v>
      </c>
      <c r="H460" s="54" t="s">
        <v>1545</v>
      </c>
      <c r="I460" s="66">
        <v>46163</v>
      </c>
      <c r="J460" s="54" t="s">
        <v>1546</v>
      </c>
      <c r="K460" s="54" t="s">
        <v>1504</v>
      </c>
      <c r="L460" s="54" t="s">
        <v>1580</v>
      </c>
      <c r="M460" s="95" t="str">
        <f t="shared" si="46"/>
        <v>Open File</v>
      </c>
      <c r="N460" s="70" t="s">
        <v>1548</v>
      </c>
      <c r="O460" s="71" t="str">
        <f t="shared" si="42"/>
        <v>ACTIVE</v>
      </c>
      <c r="P460" s="66"/>
      <c r="Q460" s="66"/>
      <c r="R460" s="54"/>
      <c r="S460" s="82"/>
      <c r="T460" s="83" t="str">
        <f t="shared" si="47"/>
        <v/>
      </c>
      <c r="U460" s="10"/>
      <c r="V460" s="41">
        <f>IF(AND(Q460&lt;&gt;"",RIGHT(Q460,3)&lt;&gt;""),IF(COUNTIF($Q$6:Q460,Q460)=1,1,0),0)</f>
        <v>0</v>
      </c>
      <c r="W460" s="41" t="str">
        <f t="shared" si="45"/>
        <v>BA.02.WHEAD.1125.8819-16</v>
      </c>
      <c r="X460" s="41" t="str">
        <f t="shared" si="48"/>
        <v/>
      </c>
    </row>
    <row r="461" s="32" customFormat="1" hidden="1" customHeight="1" spans="1:24">
      <c r="A461" s="34"/>
      <c r="B461" s="51">
        <v>456</v>
      </c>
      <c r="C461" s="51" t="s">
        <v>1581</v>
      </c>
      <c r="D461" s="52" t="s">
        <v>1510</v>
      </c>
      <c r="E461" s="53">
        <v>1</v>
      </c>
      <c r="F461" s="54" t="s">
        <v>29</v>
      </c>
      <c r="G461" s="54" t="s">
        <v>1107</v>
      </c>
      <c r="H461" s="54" t="s">
        <v>1545</v>
      </c>
      <c r="I461" s="66">
        <v>46163</v>
      </c>
      <c r="J461" s="54" t="s">
        <v>1546</v>
      </c>
      <c r="K461" s="54" t="s">
        <v>1507</v>
      </c>
      <c r="L461" s="54" t="s">
        <v>1582</v>
      </c>
      <c r="M461" s="95" t="str">
        <f t="shared" si="46"/>
        <v>Open File</v>
      </c>
      <c r="N461" s="70" t="s">
        <v>1548</v>
      </c>
      <c r="O461" s="71" t="str">
        <f t="shared" si="42"/>
        <v>ACTIVE</v>
      </c>
      <c r="P461" s="66"/>
      <c r="Q461" s="66"/>
      <c r="R461" s="54"/>
      <c r="S461" s="82"/>
      <c r="T461" s="83" t="str">
        <f t="shared" si="47"/>
        <v/>
      </c>
      <c r="U461" s="10"/>
      <c r="V461" s="41">
        <f>IF(AND(Q461&lt;&gt;"",RIGHT(Q461,3)&lt;&gt;""),IF(COUNTIF($Q$6:Q461,Q461)=1,1,0),0)</f>
        <v>0</v>
      </c>
      <c r="W461" s="41" t="str">
        <f t="shared" si="45"/>
        <v>BA.02.WHEAD.1125.8819-17</v>
      </c>
      <c r="X461" s="41" t="str">
        <f t="shared" si="48"/>
        <v/>
      </c>
    </row>
    <row r="462" s="32" customFormat="1" hidden="1" customHeight="1" spans="1:24">
      <c r="A462" s="34"/>
      <c r="B462" s="51">
        <v>457</v>
      </c>
      <c r="C462" s="51" t="s">
        <v>1583</v>
      </c>
      <c r="D462" s="52" t="s">
        <v>1510</v>
      </c>
      <c r="E462" s="53">
        <v>1</v>
      </c>
      <c r="F462" s="54" t="s">
        <v>29</v>
      </c>
      <c r="G462" s="54" t="s">
        <v>1107</v>
      </c>
      <c r="H462" s="54" t="s">
        <v>1545</v>
      </c>
      <c r="I462" s="66">
        <v>46163</v>
      </c>
      <c r="J462" s="54" t="s">
        <v>1546</v>
      </c>
      <c r="K462" s="54" t="s">
        <v>1511</v>
      </c>
      <c r="L462" s="54" t="s">
        <v>1584</v>
      </c>
      <c r="M462" s="95" t="str">
        <f t="shared" si="46"/>
        <v>Open File</v>
      </c>
      <c r="N462" s="70" t="s">
        <v>1548</v>
      </c>
      <c r="O462" s="71" t="str">
        <f t="shared" si="42"/>
        <v>ACTIVE</v>
      </c>
      <c r="P462" s="66"/>
      <c r="Q462" s="66"/>
      <c r="R462" s="54"/>
      <c r="S462" s="82"/>
      <c r="T462" s="83" t="str">
        <f t="shared" si="47"/>
        <v/>
      </c>
      <c r="U462" s="10"/>
      <c r="V462" s="41">
        <f>IF(AND(Q462&lt;&gt;"",RIGHT(Q462,3)&lt;&gt;""),IF(COUNTIF($Q$6:Q462,Q462)=1,1,0),0)</f>
        <v>0</v>
      </c>
      <c r="W462" s="41" t="str">
        <f>IF(AND(K462&lt;&gt;"",L462&lt;&gt;""),_xlfn.CONCAT(SUBSTITUTE(K462,"/","."),"-",L462),"")</f>
        <v>18-BA.02.WHEAD.1125.8819-18</v>
      </c>
      <c r="X462" s="41" t="str">
        <f t="shared" si="48"/>
        <v/>
      </c>
    </row>
    <row r="463" s="32" customFormat="1" hidden="1" customHeight="1" spans="1:24">
      <c r="A463" s="34"/>
      <c r="B463" s="51">
        <v>458</v>
      </c>
      <c r="C463" s="51" t="s">
        <v>1585</v>
      </c>
      <c r="D463" s="52" t="s">
        <v>1517</v>
      </c>
      <c r="E463" s="53">
        <v>1</v>
      </c>
      <c r="F463" s="54" t="s">
        <v>29</v>
      </c>
      <c r="G463" s="54" t="s">
        <v>1107</v>
      </c>
      <c r="H463" s="54" t="s">
        <v>1545</v>
      </c>
      <c r="I463" s="66">
        <v>46163</v>
      </c>
      <c r="J463" s="54" t="s">
        <v>1546</v>
      </c>
      <c r="K463" s="54" t="s">
        <v>1514</v>
      </c>
      <c r="L463" s="54" t="s">
        <v>1586</v>
      </c>
      <c r="M463" s="95" t="str">
        <f t="shared" si="46"/>
        <v>Open File</v>
      </c>
      <c r="N463" s="70" t="s">
        <v>1548</v>
      </c>
      <c r="O463" s="71" t="str">
        <f t="shared" si="42"/>
        <v>ACTIVE</v>
      </c>
      <c r="P463" s="66"/>
      <c r="Q463" s="66"/>
      <c r="R463" s="54"/>
      <c r="S463" s="82"/>
      <c r="T463" s="83" t="str">
        <f t="shared" si="47"/>
        <v/>
      </c>
      <c r="U463" s="10"/>
      <c r="V463" s="41">
        <f>IF(AND(Q463&lt;&gt;"",RIGHT(Q463,3)&lt;&gt;""),IF(COUNTIF($Q$6:Q463,Q463)=1,1,0),0)</f>
        <v>0</v>
      </c>
      <c r="W463" s="41" t="str">
        <f>IF(AND(J463&lt;&gt;"",K463&lt;&gt;""),_xlfn.CONCAT(SUBSTITUTE(J463,"/","."),"-",K463),"")</f>
        <v>BA.02.WHEAD.1125.8819-19</v>
      </c>
      <c r="X463" s="41" t="str">
        <f t="shared" si="48"/>
        <v/>
      </c>
    </row>
    <row r="464" s="32" customFormat="1" hidden="1" customHeight="1" spans="1:24">
      <c r="A464" s="34"/>
      <c r="B464" s="51">
        <v>459</v>
      </c>
      <c r="C464" s="51" t="s">
        <v>1587</v>
      </c>
      <c r="D464" s="52" t="s">
        <v>1517</v>
      </c>
      <c r="E464" s="53">
        <v>1</v>
      </c>
      <c r="F464" s="54" t="s">
        <v>29</v>
      </c>
      <c r="G464" s="54" t="s">
        <v>1107</v>
      </c>
      <c r="H464" s="54" t="s">
        <v>1545</v>
      </c>
      <c r="I464" s="66">
        <v>46163</v>
      </c>
      <c r="J464" s="54" t="s">
        <v>1546</v>
      </c>
      <c r="K464" s="54" t="s">
        <v>1518</v>
      </c>
      <c r="L464" s="54" t="s">
        <v>1588</v>
      </c>
      <c r="M464" s="97" t="str">
        <f t="shared" si="46"/>
        <v>Open File</v>
      </c>
      <c r="N464" s="70" t="s">
        <v>1548</v>
      </c>
      <c r="O464" s="71" t="str">
        <f>IF(AND(Q464&lt;&gt;"",T464&lt;&gt;""),"PASSIVE",IF(AND(J464&lt;&gt;"",M464&lt;&gt;""),"ACTIVE",""))</f>
        <v>ACTIVE</v>
      </c>
      <c r="P464" s="66"/>
      <c r="Q464" s="66"/>
      <c r="R464" s="54"/>
      <c r="S464" s="82"/>
      <c r="T464" s="83" t="str">
        <f t="shared" si="47"/>
        <v/>
      </c>
      <c r="U464" s="10"/>
      <c r="V464" s="41">
        <f>IF(AND(Q464&lt;&gt;"",RIGHT(Q464,3)&lt;&gt;""),IF(COUNTIF($Q$6:Q464,Q464)=1,1,0),0)</f>
        <v>0</v>
      </c>
      <c r="W464" s="41" t="str">
        <f>IF(AND(K464&lt;&gt;"",L464&lt;&gt;""),_xlfn.CONCAT(SUBSTITUTE(K464,"/","."),"-",L464),"")</f>
        <v>20-BA.02.WHEAD.1125.8819-20</v>
      </c>
      <c r="X464" s="41" t="str">
        <f t="shared" si="48"/>
        <v/>
      </c>
    </row>
    <row r="465" s="32" customFormat="1" hidden="1" customHeight="1" spans="1:24">
      <c r="A465" s="34"/>
      <c r="B465" s="51">
        <v>460</v>
      </c>
      <c r="C465" s="51" t="s">
        <v>1589</v>
      </c>
      <c r="D465" s="52" t="s">
        <v>1524</v>
      </c>
      <c r="E465" s="53">
        <v>1</v>
      </c>
      <c r="F465" s="54" t="s">
        <v>29</v>
      </c>
      <c r="G465" s="54" t="s">
        <v>1107</v>
      </c>
      <c r="H465" s="54" t="s">
        <v>1545</v>
      </c>
      <c r="I465" s="66">
        <v>46163</v>
      </c>
      <c r="J465" s="54" t="s">
        <v>1546</v>
      </c>
      <c r="K465" s="54" t="s">
        <v>1521</v>
      </c>
      <c r="L465" s="54" t="s">
        <v>1590</v>
      </c>
      <c r="M465" s="97" t="str">
        <f t="shared" si="46"/>
        <v>Open File</v>
      </c>
      <c r="N465" s="70" t="s">
        <v>1548</v>
      </c>
      <c r="O465" s="71" t="str">
        <f>IF(AND(Q465&lt;&gt;"",T465&lt;&gt;""),"PASSIVE",IF(AND(J465&lt;&gt;"",M465&lt;&gt;""),"ACTIVE",""))</f>
        <v>ACTIVE</v>
      </c>
      <c r="P465" s="66"/>
      <c r="Q465" s="66"/>
      <c r="R465" s="54"/>
      <c r="S465" s="82"/>
      <c r="T465" s="83" t="str">
        <f t="shared" si="47"/>
        <v/>
      </c>
      <c r="U465" s="10"/>
      <c r="V465" s="41">
        <f>IF(AND(Q465&lt;&gt;"",RIGHT(Q465,3)&lt;&gt;""),IF(COUNTIF($Q$6:Q465,Q465)=1,1,0),0)</f>
        <v>0</v>
      </c>
      <c r="W465" s="41" t="str">
        <f>IF(AND(J465&lt;&gt;"",K465&lt;&gt;""),_xlfn.CONCAT(SUBSTITUTE(J465,"/","."),"-",K465),"")</f>
        <v>BA.02.WHEAD.1125.8819-21</v>
      </c>
      <c r="X465" s="41" t="str">
        <f t="shared" si="48"/>
        <v/>
      </c>
    </row>
    <row r="466" s="32" customFormat="1" hidden="1" customHeight="1" spans="1:24">
      <c r="A466" s="34"/>
      <c r="B466" s="51">
        <v>461</v>
      </c>
      <c r="C466" s="51" t="s">
        <v>1591</v>
      </c>
      <c r="D466" s="52" t="s">
        <v>1524</v>
      </c>
      <c r="E466" s="53">
        <v>1</v>
      </c>
      <c r="F466" s="54" t="s">
        <v>29</v>
      </c>
      <c r="G466" s="54" t="s">
        <v>1107</v>
      </c>
      <c r="H466" s="54" t="s">
        <v>1545</v>
      </c>
      <c r="I466" s="66">
        <v>46163</v>
      </c>
      <c r="J466" s="54" t="s">
        <v>1546</v>
      </c>
      <c r="K466" s="54" t="s">
        <v>1525</v>
      </c>
      <c r="L466" s="54" t="s">
        <v>1592</v>
      </c>
      <c r="M466" s="97" t="str">
        <f t="shared" si="46"/>
        <v>Open File</v>
      </c>
      <c r="N466" s="70" t="s">
        <v>1548</v>
      </c>
      <c r="O466" s="71" t="str">
        <f>IF(AND(Q466&lt;&gt;"",T466&lt;&gt;""),"PASSIVE",IF(AND(J466&lt;&gt;"",M466&lt;&gt;""),"ACTIVE",""))</f>
        <v>ACTIVE</v>
      </c>
      <c r="P466" s="66"/>
      <c r="Q466" s="66"/>
      <c r="R466" s="54"/>
      <c r="S466" s="82"/>
      <c r="T466" s="83" t="str">
        <f t="shared" si="47"/>
        <v/>
      </c>
      <c r="U466" s="10"/>
      <c r="V466" s="41">
        <f>IF(AND(Q466&lt;&gt;"",RIGHT(Q466,3)&lt;&gt;""),IF(COUNTIF($Q$6:Q466,Q466)=1,1,0),0)</f>
        <v>0</v>
      </c>
      <c r="W466" s="41" t="str">
        <f>IF(AND(K466&lt;&gt;"",L466&lt;&gt;""),_xlfn.CONCAT(SUBSTITUTE(K466,"/","."),"-",L466),"")</f>
        <v>22-BA.02.WHEAD.1125.8819-22</v>
      </c>
      <c r="X466" s="41" t="str">
        <f t="shared" si="48"/>
        <v/>
      </c>
    </row>
    <row r="467" s="32" customFormat="1" hidden="1" customHeight="1" spans="1:24">
      <c r="A467" s="34"/>
      <c r="B467" s="51">
        <v>462</v>
      </c>
      <c r="C467" s="51" t="s">
        <v>1593</v>
      </c>
      <c r="D467" s="52" t="s">
        <v>143</v>
      </c>
      <c r="E467" s="53">
        <v>1</v>
      </c>
      <c r="F467" s="54" t="s">
        <v>29</v>
      </c>
      <c r="G467" s="54" t="s">
        <v>1107</v>
      </c>
      <c r="H467" s="54" t="s">
        <v>1545</v>
      </c>
      <c r="I467" s="66">
        <v>46163</v>
      </c>
      <c r="J467" s="54" t="s">
        <v>1546</v>
      </c>
      <c r="K467" s="54" t="s">
        <v>249</v>
      </c>
      <c r="L467" s="54" t="s">
        <v>1594</v>
      </c>
      <c r="M467" s="97" t="str">
        <f t="shared" si="46"/>
        <v>Open File</v>
      </c>
      <c r="N467" s="70" t="s">
        <v>1548</v>
      </c>
      <c r="O467" s="71" t="str">
        <f t="shared" ref="O467:O530" si="49">IF(AND(Q467&lt;&gt;"",T467&lt;&gt;""),"PASSIVE",IF(AND(J467&lt;&gt;"",M467&lt;&gt;""),"ACTIVE",""))</f>
        <v>ACTIVE</v>
      </c>
      <c r="P467" s="66"/>
      <c r="Q467" s="66"/>
      <c r="R467" s="54"/>
      <c r="S467" s="82"/>
      <c r="T467" s="83" t="str">
        <f t="shared" si="47"/>
        <v/>
      </c>
      <c r="U467" s="10"/>
      <c r="V467" s="41">
        <f>IF(AND(Q467&lt;&gt;"",RIGHT(Q467,3)&lt;&gt;""),IF(COUNTIF($Q$6:Q467,Q467)=1,1,0),0)</f>
        <v>0</v>
      </c>
      <c r="W467" s="41" t="str">
        <f t="shared" ref="W467:W479" si="50">IF(AND(J467&lt;&gt;"",K467&lt;&gt;""),_xlfn.CONCAT(SUBSTITUTE(J467,"/","."),"-",K467),"")</f>
        <v>BA.02.WHEAD.1125.8819-23</v>
      </c>
      <c r="X467" s="41" t="str">
        <f t="shared" si="48"/>
        <v/>
      </c>
    </row>
    <row r="468" s="32" customFormat="1" hidden="1" customHeight="1" spans="1:24">
      <c r="A468" s="34"/>
      <c r="B468" s="51">
        <v>463</v>
      </c>
      <c r="C468" s="51" t="s">
        <v>1595</v>
      </c>
      <c r="D468" s="52" t="s">
        <v>1596</v>
      </c>
      <c r="E468" s="53">
        <v>1</v>
      </c>
      <c r="F468" s="54" t="s">
        <v>29</v>
      </c>
      <c r="G468" s="54" t="s">
        <v>1107</v>
      </c>
      <c r="H468" s="54" t="s">
        <v>1545</v>
      </c>
      <c r="I468" s="66">
        <v>46163</v>
      </c>
      <c r="J468" s="54" t="s">
        <v>1546</v>
      </c>
      <c r="K468" s="54" t="s">
        <v>1530</v>
      </c>
      <c r="L468" s="54" t="s">
        <v>1597</v>
      </c>
      <c r="M468" s="95" t="str">
        <f t="shared" si="46"/>
        <v>Open File</v>
      </c>
      <c r="N468" s="70" t="s">
        <v>1548</v>
      </c>
      <c r="O468" s="71" t="str">
        <f t="shared" si="49"/>
        <v>ACTIVE</v>
      </c>
      <c r="P468" s="66"/>
      <c r="Q468" s="66"/>
      <c r="R468" s="54"/>
      <c r="S468" s="82"/>
      <c r="T468" s="83" t="str">
        <f t="shared" si="47"/>
        <v/>
      </c>
      <c r="U468" s="10"/>
      <c r="V468" s="41">
        <f>IF(AND(Q468&lt;&gt;"",RIGHT(Q468,3)&lt;&gt;""),IF(COUNTIF($Q$6:Q468,Q468)=1,1,0),0)</f>
        <v>0</v>
      </c>
      <c r="W468" s="41" t="str">
        <f t="shared" si="50"/>
        <v>BA.02.WHEAD.1125.8819-24</v>
      </c>
      <c r="X468" s="41" t="str">
        <f t="shared" si="48"/>
        <v/>
      </c>
    </row>
    <row r="469" s="32" customFormat="1" hidden="1" customHeight="1" spans="1:24">
      <c r="A469" s="34"/>
      <c r="B469" s="51">
        <v>464</v>
      </c>
      <c r="C469" s="51" t="s">
        <v>1598</v>
      </c>
      <c r="D469" s="52" t="s">
        <v>1537</v>
      </c>
      <c r="E469" s="53">
        <v>1</v>
      </c>
      <c r="F469" s="54" t="s">
        <v>29</v>
      </c>
      <c r="G469" s="54" t="s">
        <v>1107</v>
      </c>
      <c r="H469" s="54" t="s">
        <v>1545</v>
      </c>
      <c r="I469" s="66">
        <v>46163</v>
      </c>
      <c r="J469" s="54" t="s">
        <v>1546</v>
      </c>
      <c r="K469" s="54" t="s">
        <v>1534</v>
      </c>
      <c r="L469" s="54" t="s">
        <v>1599</v>
      </c>
      <c r="M469" s="97" t="str">
        <f t="shared" si="46"/>
        <v>Open File</v>
      </c>
      <c r="N469" s="70" t="s">
        <v>1548</v>
      </c>
      <c r="O469" s="71" t="str">
        <f t="shared" si="49"/>
        <v>ACTIVE</v>
      </c>
      <c r="P469" s="66"/>
      <c r="Q469" s="66"/>
      <c r="R469" s="54"/>
      <c r="S469" s="82"/>
      <c r="T469" s="83" t="str">
        <f t="shared" si="47"/>
        <v/>
      </c>
      <c r="U469" s="10"/>
      <c r="V469" s="41">
        <f>IF(AND(Q469&lt;&gt;"",RIGHT(Q469,3)&lt;&gt;""),IF(COUNTIF($Q$6:Q469,Q469)=1,1,0),0)</f>
        <v>0</v>
      </c>
      <c r="W469" s="41" t="str">
        <f t="shared" si="50"/>
        <v>BA.02.WHEAD.1125.8819-25</v>
      </c>
      <c r="X469" s="41" t="str">
        <f t="shared" si="48"/>
        <v/>
      </c>
    </row>
    <row r="470" s="32" customFormat="1" hidden="1" customHeight="1" spans="1:24">
      <c r="A470" s="34"/>
      <c r="B470" s="51">
        <v>465</v>
      </c>
      <c r="C470" s="51" t="s">
        <v>1600</v>
      </c>
      <c r="D470" s="52" t="s">
        <v>1541</v>
      </c>
      <c r="E470" s="53">
        <v>1</v>
      </c>
      <c r="F470" s="54" t="s">
        <v>29</v>
      </c>
      <c r="G470" s="54" t="s">
        <v>1107</v>
      </c>
      <c r="H470" s="54" t="s">
        <v>1545</v>
      </c>
      <c r="I470" s="66">
        <v>46163</v>
      </c>
      <c r="J470" s="54" t="s">
        <v>1546</v>
      </c>
      <c r="K470" s="54" t="s">
        <v>1538</v>
      </c>
      <c r="L470" s="54" t="s">
        <v>1601</v>
      </c>
      <c r="M470" s="95" t="str">
        <f t="shared" si="46"/>
        <v>Open File</v>
      </c>
      <c r="N470" s="70" t="s">
        <v>1548</v>
      </c>
      <c r="O470" s="71" t="str">
        <f t="shared" si="49"/>
        <v>ACTIVE</v>
      </c>
      <c r="P470" s="66"/>
      <c r="Q470" s="66"/>
      <c r="R470" s="54"/>
      <c r="S470" s="82"/>
      <c r="T470" s="83" t="str">
        <f t="shared" si="47"/>
        <v/>
      </c>
      <c r="U470" s="10"/>
      <c r="V470" s="41">
        <f>IF(AND(Q470&lt;&gt;"",RIGHT(Q470,3)&lt;&gt;""),IF(COUNTIF($Q$6:Q470,Q470)=1,1,0),0)</f>
        <v>0</v>
      </c>
      <c r="W470" s="41" t="str">
        <f t="shared" si="50"/>
        <v>BA.02.WHEAD.1125.8819-26</v>
      </c>
      <c r="X470" s="41" t="str">
        <f t="shared" si="48"/>
        <v/>
      </c>
    </row>
    <row r="471" s="32" customFormat="1" hidden="1" customHeight="1" spans="1:24">
      <c r="A471" s="34"/>
      <c r="B471" s="51">
        <v>466</v>
      </c>
      <c r="C471" s="51" t="s">
        <v>1602</v>
      </c>
      <c r="D471" s="52" t="s">
        <v>1451</v>
      </c>
      <c r="E471" s="53">
        <v>1</v>
      </c>
      <c r="F471" s="54" t="s">
        <v>29</v>
      </c>
      <c r="G471" s="54" t="s">
        <v>1054</v>
      </c>
      <c r="H471" s="54" t="s">
        <v>1603</v>
      </c>
      <c r="I471" s="66">
        <v>46165</v>
      </c>
      <c r="J471" s="54" t="s">
        <v>1058</v>
      </c>
      <c r="K471" s="54" t="s">
        <v>226</v>
      </c>
      <c r="L471" s="54" t="s">
        <v>1059</v>
      </c>
      <c r="M471" s="95" t="str">
        <f t="shared" si="46"/>
        <v>Open File</v>
      </c>
      <c r="N471" s="70" t="s">
        <v>1604</v>
      </c>
      <c r="O471" s="71" t="str">
        <f t="shared" si="49"/>
        <v>ACTIVE</v>
      </c>
      <c r="P471" s="66"/>
      <c r="Q471" s="66"/>
      <c r="R471" s="54"/>
      <c r="S471" s="82"/>
      <c r="T471" s="83" t="str">
        <f t="shared" si="47"/>
        <v/>
      </c>
      <c r="U471" s="10"/>
      <c r="V471" s="41">
        <f>IF(AND(Q471&lt;&gt;"",RIGHT(Q471,3)&lt;&gt;""),IF(COUNTIF($Q$6:Q471,Q471)=1,1,0),0)</f>
        <v>0</v>
      </c>
      <c r="W471" s="41" t="str">
        <f t="shared" si="50"/>
        <v>BA.03.HEAD.0526.8602-1</v>
      </c>
      <c r="X471" s="41" t="str">
        <f t="shared" si="48"/>
        <v/>
      </c>
    </row>
    <row r="472" s="32" customFormat="1" hidden="1" customHeight="1" spans="1:24">
      <c r="A472" s="34"/>
      <c r="B472" s="51">
        <v>467</v>
      </c>
      <c r="C472" s="51" t="s">
        <v>1605</v>
      </c>
      <c r="D472" s="52" t="s">
        <v>1456</v>
      </c>
      <c r="E472" s="53">
        <v>1</v>
      </c>
      <c r="F472" s="54" t="s">
        <v>29</v>
      </c>
      <c r="G472" s="54" t="s">
        <v>1054</v>
      </c>
      <c r="H472" s="54" t="s">
        <v>1603</v>
      </c>
      <c r="I472" s="66">
        <v>46165</v>
      </c>
      <c r="J472" s="54" t="s">
        <v>1058</v>
      </c>
      <c r="K472" s="54" t="s">
        <v>1239</v>
      </c>
      <c r="L472" s="54" t="s">
        <v>1606</v>
      </c>
      <c r="M472" s="95" t="str">
        <f t="shared" si="46"/>
        <v>Open File</v>
      </c>
      <c r="N472" s="70" t="s">
        <v>1604</v>
      </c>
      <c r="O472" s="71" t="str">
        <f t="shared" si="49"/>
        <v>ACTIVE</v>
      </c>
      <c r="P472" s="66"/>
      <c r="Q472" s="66"/>
      <c r="R472" s="54"/>
      <c r="S472" s="82"/>
      <c r="T472" s="83" t="str">
        <f t="shared" si="47"/>
        <v/>
      </c>
      <c r="U472" s="10"/>
      <c r="V472" s="41">
        <f>IF(AND(Q472&lt;&gt;"",RIGHT(Q472,3)&lt;&gt;""),IF(COUNTIF($Q$6:Q472,Q472)=1,1,0),0)</f>
        <v>0</v>
      </c>
      <c r="W472" s="41" t="str">
        <f t="shared" si="50"/>
        <v>BA.03.HEAD.0526.8602-2</v>
      </c>
      <c r="X472" s="41" t="str">
        <f t="shared" si="48"/>
        <v/>
      </c>
    </row>
    <row r="473" s="32" customFormat="1" hidden="1" customHeight="1" spans="1:24">
      <c r="A473" s="34"/>
      <c r="B473" s="51">
        <v>468</v>
      </c>
      <c r="C473" s="51" t="s">
        <v>1607</v>
      </c>
      <c r="D473" s="52" t="s">
        <v>1459</v>
      </c>
      <c r="E473" s="53">
        <v>1</v>
      </c>
      <c r="F473" s="54" t="s">
        <v>29</v>
      </c>
      <c r="G473" s="54" t="s">
        <v>1054</v>
      </c>
      <c r="H473" s="54" t="s">
        <v>1603</v>
      </c>
      <c r="I473" s="66">
        <v>46165</v>
      </c>
      <c r="J473" s="54" t="s">
        <v>1058</v>
      </c>
      <c r="K473" s="54" t="s">
        <v>1423</v>
      </c>
      <c r="L473" s="54" t="s">
        <v>1608</v>
      </c>
      <c r="M473" s="95" t="str">
        <f t="shared" si="46"/>
        <v>Open File</v>
      </c>
      <c r="N473" s="70" t="s">
        <v>1604</v>
      </c>
      <c r="O473" s="71" t="str">
        <f t="shared" si="49"/>
        <v>ACTIVE</v>
      </c>
      <c r="P473" s="66"/>
      <c r="Q473" s="66"/>
      <c r="R473" s="54"/>
      <c r="S473" s="82"/>
      <c r="T473" s="83" t="str">
        <f t="shared" si="47"/>
        <v/>
      </c>
      <c r="U473" s="10"/>
      <c r="V473" s="41">
        <f>IF(AND(Q473&lt;&gt;"",RIGHT(Q473,3)&lt;&gt;""),IF(COUNTIF($Q$6:Q473,Q473)=1,1,0),0)</f>
        <v>0</v>
      </c>
      <c r="W473" s="41" t="str">
        <f t="shared" si="50"/>
        <v>BA.03.HEAD.0526.8602-3</v>
      </c>
      <c r="X473" s="41" t="str">
        <f t="shared" si="48"/>
        <v/>
      </c>
    </row>
    <row r="474" s="32" customFormat="1" hidden="1" customHeight="1" spans="1:24">
      <c r="A474" s="34"/>
      <c r="B474" s="51">
        <v>469</v>
      </c>
      <c r="C474" s="51" t="s">
        <v>1609</v>
      </c>
      <c r="D474" s="52" t="s">
        <v>1462</v>
      </c>
      <c r="E474" s="53">
        <v>1</v>
      </c>
      <c r="F474" s="54" t="s">
        <v>29</v>
      </c>
      <c r="G474" s="54" t="s">
        <v>1054</v>
      </c>
      <c r="H474" s="54" t="s">
        <v>1603</v>
      </c>
      <c r="I474" s="66">
        <v>46165</v>
      </c>
      <c r="J474" s="54" t="s">
        <v>1058</v>
      </c>
      <c r="K474" s="54" t="s">
        <v>1427</v>
      </c>
      <c r="L474" s="54" t="s">
        <v>1610</v>
      </c>
      <c r="M474" s="97" t="str">
        <f t="shared" si="46"/>
        <v>Open File</v>
      </c>
      <c r="N474" s="70" t="s">
        <v>1604</v>
      </c>
      <c r="O474" s="71" t="str">
        <f t="shared" si="49"/>
        <v>ACTIVE</v>
      </c>
      <c r="P474" s="66"/>
      <c r="Q474" s="66"/>
      <c r="R474" s="54"/>
      <c r="S474" s="82"/>
      <c r="T474" s="83" t="str">
        <f t="shared" si="47"/>
        <v/>
      </c>
      <c r="U474" s="10"/>
      <c r="V474" s="41">
        <f>IF(AND(Q474&lt;&gt;"",RIGHT(Q474,3)&lt;&gt;""),IF(COUNTIF($Q$6:Q474,Q474)=1,1,0),0)</f>
        <v>0</v>
      </c>
      <c r="W474" s="41" t="str">
        <f t="shared" si="50"/>
        <v>BA.03.HEAD.0526.8602-4</v>
      </c>
      <c r="X474" s="41" t="str">
        <f t="shared" si="48"/>
        <v/>
      </c>
    </row>
    <row r="475" s="32" customFormat="1" hidden="1" customHeight="1" spans="1:24">
      <c r="A475" s="34"/>
      <c r="B475" s="51">
        <v>470</v>
      </c>
      <c r="C475" s="51" t="s">
        <v>1611</v>
      </c>
      <c r="D475" s="52" t="s">
        <v>1465</v>
      </c>
      <c r="E475" s="53">
        <v>1</v>
      </c>
      <c r="F475" s="54" t="s">
        <v>29</v>
      </c>
      <c r="G475" s="54" t="s">
        <v>1054</v>
      </c>
      <c r="H475" s="54" t="s">
        <v>1603</v>
      </c>
      <c r="I475" s="66">
        <v>46165</v>
      </c>
      <c r="J475" s="54" t="s">
        <v>1058</v>
      </c>
      <c r="K475" s="54" t="s">
        <v>1431</v>
      </c>
      <c r="L475" s="54" t="s">
        <v>1612</v>
      </c>
      <c r="M475" s="97" t="str">
        <f t="shared" si="46"/>
        <v>Open File</v>
      </c>
      <c r="N475" s="70" t="s">
        <v>1604</v>
      </c>
      <c r="O475" s="71" t="str">
        <f t="shared" si="49"/>
        <v>ACTIVE</v>
      </c>
      <c r="P475" s="66"/>
      <c r="Q475" s="66"/>
      <c r="R475" s="54"/>
      <c r="S475" s="82"/>
      <c r="T475" s="83" t="str">
        <f t="shared" si="47"/>
        <v/>
      </c>
      <c r="U475" s="10"/>
      <c r="V475" s="41">
        <f>IF(AND(Q475&lt;&gt;"",RIGHT(Q475,3)&lt;&gt;""),IF(COUNTIF($Q$6:Q475,Q475)=1,1,0),0)</f>
        <v>0</v>
      </c>
      <c r="W475" s="41" t="str">
        <f t="shared" si="50"/>
        <v>BA.03.HEAD.0526.8602-5</v>
      </c>
      <c r="X475" s="41" t="str">
        <f t="shared" si="48"/>
        <v/>
      </c>
    </row>
    <row r="476" s="32" customFormat="1" hidden="1" customHeight="1" spans="1:24">
      <c r="A476" s="34"/>
      <c r="B476" s="51">
        <v>471</v>
      </c>
      <c r="C476" s="51" t="s">
        <v>1613</v>
      </c>
      <c r="D476" s="52" t="s">
        <v>1468</v>
      </c>
      <c r="E476" s="53">
        <v>1</v>
      </c>
      <c r="F476" s="54" t="s">
        <v>29</v>
      </c>
      <c r="G476" s="54" t="s">
        <v>1054</v>
      </c>
      <c r="H476" s="54" t="s">
        <v>1603</v>
      </c>
      <c r="I476" s="66">
        <v>46165</v>
      </c>
      <c r="J476" s="54" t="s">
        <v>1058</v>
      </c>
      <c r="K476" s="54" t="s">
        <v>1435</v>
      </c>
      <c r="L476" s="54" t="s">
        <v>1614</v>
      </c>
      <c r="M476" s="97" t="str">
        <f t="shared" si="46"/>
        <v>Open File</v>
      </c>
      <c r="N476" s="70" t="s">
        <v>1604</v>
      </c>
      <c r="O476" s="71" t="str">
        <f t="shared" si="49"/>
        <v>ACTIVE</v>
      </c>
      <c r="P476" s="66"/>
      <c r="Q476" s="66"/>
      <c r="R476" s="54"/>
      <c r="S476" s="82"/>
      <c r="T476" s="83" t="str">
        <f t="shared" si="47"/>
        <v/>
      </c>
      <c r="U476" s="10"/>
      <c r="V476" s="41">
        <f>IF(AND(Q476&lt;&gt;"",RIGHT(Q476,3)&lt;&gt;""),IF(COUNTIF($Q$6:Q476,Q476)=1,1,0),0)</f>
        <v>0</v>
      </c>
      <c r="W476" s="41" t="str">
        <f t="shared" si="50"/>
        <v>BA.03.HEAD.0526.8602-6</v>
      </c>
      <c r="X476" s="41" t="str">
        <f t="shared" si="48"/>
        <v/>
      </c>
    </row>
    <row r="477" s="32" customFormat="1" hidden="1" customHeight="1" spans="1:24">
      <c r="A477" s="34"/>
      <c r="B477" s="51">
        <v>472</v>
      </c>
      <c r="C477" s="51" t="s">
        <v>1615</v>
      </c>
      <c r="D477" s="52" t="s">
        <v>1471</v>
      </c>
      <c r="E477" s="53">
        <v>1</v>
      </c>
      <c r="F477" s="54" t="s">
        <v>29</v>
      </c>
      <c r="G477" s="54" t="s">
        <v>1054</v>
      </c>
      <c r="H477" s="54" t="s">
        <v>1603</v>
      </c>
      <c r="I477" s="66">
        <v>46165</v>
      </c>
      <c r="J477" s="54" t="s">
        <v>1058</v>
      </c>
      <c r="K477" s="54" t="s">
        <v>1439</v>
      </c>
      <c r="L477" s="54" t="s">
        <v>1616</v>
      </c>
      <c r="M477" s="97" t="str">
        <f t="shared" si="46"/>
        <v>Open File</v>
      </c>
      <c r="N477" s="70" t="s">
        <v>1604</v>
      </c>
      <c r="O477" s="71" t="str">
        <f t="shared" si="49"/>
        <v>ACTIVE</v>
      </c>
      <c r="P477" s="66"/>
      <c r="Q477" s="66"/>
      <c r="R477" s="54"/>
      <c r="S477" s="82"/>
      <c r="T477" s="83" t="str">
        <f t="shared" si="47"/>
        <v/>
      </c>
      <c r="U477" s="10"/>
      <c r="V477" s="41">
        <f>IF(AND(Q477&lt;&gt;"",RIGHT(Q477,3)&lt;&gt;""),IF(COUNTIF($Q$6:Q477,Q477)=1,1,0),0)</f>
        <v>0</v>
      </c>
      <c r="W477" s="41" t="str">
        <f t="shared" si="50"/>
        <v>BA.03.HEAD.0526.8602-7</v>
      </c>
      <c r="X477" s="41" t="str">
        <f t="shared" si="48"/>
        <v/>
      </c>
    </row>
    <row r="478" s="32" customFormat="1" hidden="1" customHeight="1" spans="1:24">
      <c r="A478" s="34"/>
      <c r="B478" s="51">
        <v>473</v>
      </c>
      <c r="C478" s="51" t="s">
        <v>1617</v>
      </c>
      <c r="D478" s="52" t="s">
        <v>1474</v>
      </c>
      <c r="E478" s="53">
        <v>1</v>
      </c>
      <c r="F478" s="54" t="s">
        <v>29</v>
      </c>
      <c r="G478" s="54" t="s">
        <v>1054</v>
      </c>
      <c r="H478" s="54" t="s">
        <v>1603</v>
      </c>
      <c r="I478" s="66">
        <v>46165</v>
      </c>
      <c r="J478" s="54" t="s">
        <v>1058</v>
      </c>
      <c r="K478" s="54" t="s">
        <v>1443</v>
      </c>
      <c r="L478" s="54" t="s">
        <v>1618</v>
      </c>
      <c r="M478" s="97" t="str">
        <f t="shared" si="46"/>
        <v>Open File</v>
      </c>
      <c r="N478" s="70" t="s">
        <v>1604</v>
      </c>
      <c r="O478" s="71" t="str">
        <f t="shared" si="49"/>
        <v>ACTIVE</v>
      </c>
      <c r="P478" s="66"/>
      <c r="Q478" s="66"/>
      <c r="R478" s="54"/>
      <c r="S478" s="82"/>
      <c r="T478" s="83" t="str">
        <f t="shared" si="47"/>
        <v/>
      </c>
      <c r="U478" s="10"/>
      <c r="V478" s="41">
        <f>IF(AND(Q478&lt;&gt;"",RIGHT(Q478,3)&lt;&gt;""),IF(COUNTIF($Q$6:Q478,Q478)=1,1,0),0)</f>
        <v>0</v>
      </c>
      <c r="W478" s="41" t="str">
        <f t="shared" si="50"/>
        <v>BA.03.HEAD.0526.8602-8</v>
      </c>
      <c r="X478" s="41" t="str">
        <f t="shared" si="48"/>
        <v/>
      </c>
    </row>
    <row r="479" s="32" customFormat="1" hidden="1" customHeight="1" spans="1:24">
      <c r="A479" s="34"/>
      <c r="B479" s="51">
        <v>474</v>
      </c>
      <c r="C479" s="51" t="s">
        <v>1619</v>
      </c>
      <c r="D479" s="52" t="s">
        <v>1477</v>
      </c>
      <c r="E479" s="53">
        <v>1</v>
      </c>
      <c r="F479" s="54" t="s">
        <v>29</v>
      </c>
      <c r="G479" s="54" t="s">
        <v>1054</v>
      </c>
      <c r="H479" s="54" t="s">
        <v>1603</v>
      </c>
      <c r="I479" s="66">
        <v>46165</v>
      </c>
      <c r="J479" s="54" t="s">
        <v>1058</v>
      </c>
      <c r="K479" s="54" t="s">
        <v>1478</v>
      </c>
      <c r="L479" s="54" t="s">
        <v>1620</v>
      </c>
      <c r="M479" s="97" t="str">
        <f t="shared" si="46"/>
        <v>Open File</v>
      </c>
      <c r="N479" s="70" t="s">
        <v>1604</v>
      </c>
      <c r="O479" s="71" t="str">
        <f t="shared" si="49"/>
        <v>ACTIVE</v>
      </c>
      <c r="P479" s="66"/>
      <c r="Q479" s="66"/>
      <c r="R479" s="54"/>
      <c r="S479" s="82"/>
      <c r="T479" s="83" t="str">
        <f t="shared" si="47"/>
        <v/>
      </c>
      <c r="U479" s="10"/>
      <c r="V479" s="41">
        <f>IF(AND(Q479&lt;&gt;"",RIGHT(Q479,3)&lt;&gt;""),IF(COUNTIF($Q$6:Q479,Q479)=1,1,0),0)</f>
        <v>0</v>
      </c>
      <c r="W479" s="41" t="str">
        <f t="shared" si="50"/>
        <v>BA.03.HEAD.0526.8602-9</v>
      </c>
      <c r="X479" s="41" t="str">
        <f t="shared" si="48"/>
        <v/>
      </c>
    </row>
    <row r="480" s="32" customFormat="1" hidden="1" customHeight="1" spans="1:24">
      <c r="A480" s="34"/>
      <c r="B480" s="51">
        <v>475</v>
      </c>
      <c r="C480" s="51" t="s">
        <v>1621</v>
      </c>
      <c r="D480" s="52" t="s">
        <v>1477</v>
      </c>
      <c r="E480" s="53">
        <v>1</v>
      </c>
      <c r="F480" s="54" t="s">
        <v>29</v>
      </c>
      <c r="G480" s="54" t="s">
        <v>1054</v>
      </c>
      <c r="H480" s="54" t="s">
        <v>1603</v>
      </c>
      <c r="I480" s="66">
        <v>46165</v>
      </c>
      <c r="J480" s="54" t="s">
        <v>1058</v>
      </c>
      <c r="K480" s="54" t="s">
        <v>1481</v>
      </c>
      <c r="L480" s="54" t="s">
        <v>1622</v>
      </c>
      <c r="M480" s="95" t="str">
        <f t="shared" si="46"/>
        <v>Open File</v>
      </c>
      <c r="N480" s="70" t="s">
        <v>1604</v>
      </c>
      <c r="O480" s="71" t="str">
        <f t="shared" si="49"/>
        <v>ACTIVE</v>
      </c>
      <c r="P480" s="66"/>
      <c r="Q480" s="66"/>
      <c r="R480" s="54"/>
      <c r="S480" s="82"/>
      <c r="T480" s="83" t="str">
        <f t="shared" si="47"/>
        <v/>
      </c>
      <c r="U480" s="10"/>
      <c r="V480" s="41">
        <f>IF(AND(Q480&lt;&gt;"",RIGHT(Q480,3)&lt;&gt;""),IF(COUNTIF($Q$6:Q480,Q480)=1,1,0),0)</f>
        <v>0</v>
      </c>
      <c r="W480" s="41" t="str">
        <f>IF(AND(K480&lt;&gt;"",L480&lt;&gt;""),_xlfn.CONCAT(SUBSTITUTE(K480,"/","."),"-",L480),"")</f>
        <v>10-BA.03.HEAD.0526.8602-10</v>
      </c>
      <c r="X480" s="41" t="str">
        <f t="shared" si="48"/>
        <v/>
      </c>
    </row>
    <row r="481" s="32" customFormat="1" hidden="1" customHeight="1" spans="1:24">
      <c r="A481" s="34"/>
      <c r="B481" s="51">
        <v>476</v>
      </c>
      <c r="C481" s="51" t="s">
        <v>1623</v>
      </c>
      <c r="D481" s="52" t="s">
        <v>1567</v>
      </c>
      <c r="E481" s="53">
        <v>1</v>
      </c>
      <c r="F481" s="54" t="s">
        <v>29</v>
      </c>
      <c r="G481" s="54" t="s">
        <v>1054</v>
      </c>
      <c r="H481" s="54" t="s">
        <v>1603</v>
      </c>
      <c r="I481" s="66">
        <v>46165</v>
      </c>
      <c r="J481" s="54" t="s">
        <v>1058</v>
      </c>
      <c r="K481" s="54" t="s">
        <v>1485</v>
      </c>
      <c r="L481" s="54" t="s">
        <v>1624</v>
      </c>
      <c r="M481" s="97" t="str">
        <f t="shared" si="46"/>
        <v>Open File</v>
      </c>
      <c r="N481" s="70" t="s">
        <v>1604</v>
      </c>
      <c r="O481" s="71" t="str">
        <f t="shared" si="49"/>
        <v>ACTIVE</v>
      </c>
      <c r="P481" s="66"/>
      <c r="Q481" s="66"/>
      <c r="R481" s="54"/>
      <c r="S481" s="82"/>
      <c r="T481" s="83" t="str">
        <f t="shared" si="47"/>
        <v/>
      </c>
      <c r="U481" s="10"/>
      <c r="V481" s="41">
        <f>IF(AND(Q481&lt;&gt;"",RIGHT(Q481,3)&lt;&gt;""),IF(COUNTIF($Q$6:Q481,Q481)=1,1,0),0)</f>
        <v>0</v>
      </c>
      <c r="W481" s="41" t="str">
        <f t="shared" ref="W481:W488" si="51">IF(AND(J481&lt;&gt;"",K481&lt;&gt;""),_xlfn.CONCAT(SUBSTITUTE(J481,"/","."),"-",K481),"")</f>
        <v>BA.03.HEAD.0526.8602-11</v>
      </c>
      <c r="X481" s="41" t="str">
        <f t="shared" si="48"/>
        <v/>
      </c>
    </row>
    <row r="482" s="32" customFormat="1" hidden="1" customHeight="1" spans="1:24">
      <c r="A482" s="34"/>
      <c r="B482" s="51">
        <v>477</v>
      </c>
      <c r="C482" s="51" t="s">
        <v>1625</v>
      </c>
      <c r="D482" s="52" t="s">
        <v>1488</v>
      </c>
      <c r="E482" s="53">
        <v>1</v>
      </c>
      <c r="F482" s="54" t="s">
        <v>29</v>
      </c>
      <c r="G482" s="54" t="s">
        <v>1054</v>
      </c>
      <c r="H482" s="54" t="s">
        <v>1603</v>
      </c>
      <c r="I482" s="66">
        <v>46165</v>
      </c>
      <c r="J482" s="54" t="s">
        <v>1058</v>
      </c>
      <c r="K482" s="54" t="s">
        <v>1489</v>
      </c>
      <c r="L482" s="54" t="s">
        <v>1626</v>
      </c>
      <c r="M482" s="97" t="str">
        <f t="shared" si="46"/>
        <v>Open File</v>
      </c>
      <c r="N482" s="70" t="s">
        <v>1604</v>
      </c>
      <c r="O482" s="71" t="str">
        <f t="shared" si="49"/>
        <v>ACTIVE</v>
      </c>
      <c r="P482" s="66"/>
      <c r="Q482" s="66"/>
      <c r="R482" s="54"/>
      <c r="S482" s="82"/>
      <c r="T482" s="83" t="str">
        <f t="shared" si="47"/>
        <v/>
      </c>
      <c r="U482" s="10"/>
      <c r="V482" s="41">
        <f>IF(AND(Q482&lt;&gt;"",RIGHT(Q482,3)&lt;&gt;""),IF(COUNTIF($Q$6:Q482,Q482)=1,1,0),0)</f>
        <v>0</v>
      </c>
      <c r="W482" s="41" t="str">
        <f t="shared" si="51"/>
        <v>BA.03.HEAD.0526.8602-12</v>
      </c>
      <c r="X482" s="41" t="str">
        <f t="shared" si="48"/>
        <v/>
      </c>
    </row>
    <row r="483" s="32" customFormat="1" hidden="1" customHeight="1" spans="1:24">
      <c r="A483" s="34"/>
      <c r="B483" s="51">
        <v>478</v>
      </c>
      <c r="C483" s="51" t="s">
        <v>1627</v>
      </c>
      <c r="D483" s="52" t="s">
        <v>1492</v>
      </c>
      <c r="E483" s="53">
        <v>1</v>
      </c>
      <c r="F483" s="54" t="s">
        <v>29</v>
      </c>
      <c r="G483" s="54" t="s">
        <v>1054</v>
      </c>
      <c r="H483" s="54" t="s">
        <v>1603</v>
      </c>
      <c r="I483" s="66">
        <v>46165</v>
      </c>
      <c r="J483" s="54" t="s">
        <v>1058</v>
      </c>
      <c r="K483" s="54" t="s">
        <v>1493</v>
      </c>
      <c r="L483" s="54" t="s">
        <v>1628</v>
      </c>
      <c r="M483" s="97" t="str">
        <f t="shared" si="46"/>
        <v>Open File</v>
      </c>
      <c r="N483" s="70" t="s">
        <v>1604</v>
      </c>
      <c r="O483" s="71" t="str">
        <f t="shared" si="49"/>
        <v>ACTIVE</v>
      </c>
      <c r="P483" s="66"/>
      <c r="Q483" s="66"/>
      <c r="R483" s="54"/>
      <c r="S483" s="82"/>
      <c r="T483" s="83" t="str">
        <f t="shared" si="47"/>
        <v/>
      </c>
      <c r="U483" s="10"/>
      <c r="V483" s="41">
        <f>IF(AND(Q483&lt;&gt;"",RIGHT(Q483,3)&lt;&gt;""),IF(COUNTIF($Q$6:Q483,Q483)=1,1,0),0)</f>
        <v>0</v>
      </c>
      <c r="W483" s="41" t="str">
        <f t="shared" si="51"/>
        <v>BA.03.HEAD.0526.8602-13</v>
      </c>
      <c r="X483" s="41" t="str">
        <f t="shared" si="48"/>
        <v/>
      </c>
    </row>
    <row r="484" s="32" customFormat="1" hidden="1" customHeight="1" spans="1:24">
      <c r="A484" s="34"/>
      <c r="B484" s="51">
        <v>479</v>
      </c>
      <c r="C484" s="51" t="s">
        <v>1629</v>
      </c>
      <c r="D484" s="52" t="s">
        <v>1496</v>
      </c>
      <c r="E484" s="53">
        <v>1</v>
      </c>
      <c r="F484" s="54" t="s">
        <v>29</v>
      </c>
      <c r="G484" s="54" t="s">
        <v>1054</v>
      </c>
      <c r="H484" s="54" t="s">
        <v>1603</v>
      </c>
      <c r="I484" s="66">
        <v>46165</v>
      </c>
      <c r="J484" s="54" t="s">
        <v>1058</v>
      </c>
      <c r="K484" s="54" t="s">
        <v>1411</v>
      </c>
      <c r="L484" s="54" t="s">
        <v>1630</v>
      </c>
      <c r="M484" s="97" t="str">
        <f t="shared" si="46"/>
        <v>Open File</v>
      </c>
      <c r="N484" s="70" t="s">
        <v>1604</v>
      </c>
      <c r="O484" s="71" t="str">
        <f t="shared" si="49"/>
        <v>ACTIVE</v>
      </c>
      <c r="P484" s="66"/>
      <c r="Q484" s="66"/>
      <c r="R484" s="54"/>
      <c r="S484" s="82"/>
      <c r="T484" s="83" t="str">
        <f t="shared" si="47"/>
        <v/>
      </c>
      <c r="U484" s="10"/>
      <c r="V484" s="41">
        <f>IF(AND(Q484&lt;&gt;"",RIGHT(Q484,3)&lt;&gt;""),IF(COUNTIF($Q$6:Q484,Q484)=1,1,0),0)</f>
        <v>0</v>
      </c>
      <c r="W484" s="41" t="str">
        <f t="shared" si="51"/>
        <v>BA.03.HEAD.0526.8602-14</v>
      </c>
      <c r="X484" s="41" t="str">
        <f t="shared" si="48"/>
        <v/>
      </c>
    </row>
    <row r="485" s="32" customFormat="1" hidden="1" customHeight="1" spans="1:24">
      <c r="A485" s="34"/>
      <c r="B485" s="51">
        <v>480</v>
      </c>
      <c r="C485" s="51" t="s">
        <v>1631</v>
      </c>
      <c r="D485" s="52" t="s">
        <v>1499</v>
      </c>
      <c r="E485" s="53">
        <v>1</v>
      </c>
      <c r="F485" s="54" t="s">
        <v>29</v>
      </c>
      <c r="G485" s="54" t="s">
        <v>1054</v>
      </c>
      <c r="H485" s="54" t="s">
        <v>1603</v>
      </c>
      <c r="I485" s="66">
        <v>46165</v>
      </c>
      <c r="J485" s="54" t="s">
        <v>1058</v>
      </c>
      <c r="K485" s="54" t="s">
        <v>1500</v>
      </c>
      <c r="L485" s="54" t="s">
        <v>1632</v>
      </c>
      <c r="M485" s="95" t="str">
        <f t="shared" si="46"/>
        <v>Open File</v>
      </c>
      <c r="N485" s="70" t="s">
        <v>1604</v>
      </c>
      <c r="O485" s="71" t="str">
        <f t="shared" si="49"/>
        <v>ACTIVE</v>
      </c>
      <c r="P485" s="66"/>
      <c r="Q485" s="66"/>
      <c r="R485" s="54"/>
      <c r="S485" s="82"/>
      <c r="T485" s="83" t="str">
        <f t="shared" si="47"/>
        <v/>
      </c>
      <c r="U485" s="10"/>
      <c r="V485" s="41">
        <f>IF(AND(Q485&lt;&gt;"",RIGHT(Q485,3)&lt;&gt;""),IF(COUNTIF($Q$6:Q485,Q485)=1,1,0),0)</f>
        <v>0</v>
      </c>
      <c r="W485" s="41" t="str">
        <f t="shared" si="51"/>
        <v>BA.03.HEAD.0526.8602-15</v>
      </c>
      <c r="X485" s="41" t="str">
        <f t="shared" si="48"/>
        <v/>
      </c>
    </row>
    <row r="486" s="32" customFormat="1" hidden="1" customHeight="1" spans="1:24">
      <c r="A486" s="34"/>
      <c r="B486" s="51">
        <v>481</v>
      </c>
      <c r="C486" s="51" t="s">
        <v>1633</v>
      </c>
      <c r="D486" s="52" t="s">
        <v>1503</v>
      </c>
      <c r="E486" s="53">
        <v>1</v>
      </c>
      <c r="F486" s="54" t="s">
        <v>29</v>
      </c>
      <c r="G486" s="54" t="s">
        <v>1054</v>
      </c>
      <c r="H486" s="54" t="s">
        <v>1603</v>
      </c>
      <c r="I486" s="66">
        <v>46165</v>
      </c>
      <c r="J486" s="54" t="s">
        <v>1058</v>
      </c>
      <c r="K486" s="54" t="s">
        <v>1504</v>
      </c>
      <c r="L486" s="54" t="s">
        <v>1634</v>
      </c>
      <c r="M486" s="97" t="str">
        <f t="shared" si="46"/>
        <v>Open File</v>
      </c>
      <c r="N486" s="70" t="s">
        <v>1604</v>
      </c>
      <c r="O486" s="71" t="str">
        <f t="shared" si="49"/>
        <v>ACTIVE</v>
      </c>
      <c r="P486" s="66"/>
      <c r="Q486" s="66"/>
      <c r="R486" s="54"/>
      <c r="S486" s="82"/>
      <c r="T486" s="83" t="str">
        <f t="shared" si="47"/>
        <v/>
      </c>
      <c r="U486" s="10"/>
      <c r="V486" s="41">
        <f>IF(AND(Q486&lt;&gt;"",RIGHT(Q486,3)&lt;&gt;""),IF(COUNTIF($Q$6:Q486,Q486)=1,1,0),0)</f>
        <v>0</v>
      </c>
      <c r="W486" s="41" t="str">
        <f t="shared" si="51"/>
        <v>BA.03.HEAD.0526.8602-16</v>
      </c>
      <c r="X486" s="41" t="str">
        <f t="shared" si="48"/>
        <v/>
      </c>
    </row>
    <row r="487" s="32" customFormat="1" hidden="1" customHeight="1" spans="1:24">
      <c r="A487" s="34"/>
      <c r="B487" s="51">
        <v>482</v>
      </c>
      <c r="C487" s="51" t="s">
        <v>1635</v>
      </c>
      <c r="D487" s="52" t="s">
        <v>1119</v>
      </c>
      <c r="E487" s="53">
        <v>1</v>
      </c>
      <c r="F487" s="54" t="s">
        <v>29</v>
      </c>
      <c r="G487" s="54" t="s">
        <v>1054</v>
      </c>
      <c r="H487" s="54" t="s">
        <v>1603</v>
      </c>
      <c r="I487" s="66">
        <v>46165</v>
      </c>
      <c r="J487" s="54" t="s">
        <v>1058</v>
      </c>
      <c r="K487" s="54" t="s">
        <v>1507</v>
      </c>
      <c r="L487" s="54" t="s">
        <v>1636</v>
      </c>
      <c r="M487" s="97" t="str">
        <f t="shared" si="46"/>
        <v>Open File</v>
      </c>
      <c r="N487" s="70" t="s">
        <v>1604</v>
      </c>
      <c r="O487" s="71" t="str">
        <f t="shared" si="49"/>
        <v>ACTIVE</v>
      </c>
      <c r="P487" s="66"/>
      <c r="Q487" s="66"/>
      <c r="R487" s="54"/>
      <c r="S487" s="82"/>
      <c r="T487" s="83" t="str">
        <f t="shared" si="47"/>
        <v/>
      </c>
      <c r="U487" s="10"/>
      <c r="V487" s="41">
        <f>IF(AND(Q487&lt;&gt;"",RIGHT(Q487,3)&lt;&gt;""),IF(COUNTIF($Q$6:Q487,Q487)=1,1,0),0)</f>
        <v>0</v>
      </c>
      <c r="W487" s="41" t="str">
        <f t="shared" si="51"/>
        <v>BA.03.HEAD.0526.8602-17</v>
      </c>
      <c r="X487" s="41" t="str">
        <f t="shared" si="48"/>
        <v/>
      </c>
    </row>
    <row r="488" s="32" customFormat="1" hidden="1" customHeight="1" spans="1:24">
      <c r="A488" s="34"/>
      <c r="B488" s="51">
        <v>483</v>
      </c>
      <c r="C488" s="51" t="s">
        <v>1637</v>
      </c>
      <c r="D488" s="52" t="s">
        <v>1510</v>
      </c>
      <c r="E488" s="53">
        <v>1</v>
      </c>
      <c r="F488" s="54" t="s">
        <v>29</v>
      </c>
      <c r="G488" s="54" t="s">
        <v>1054</v>
      </c>
      <c r="H488" s="54" t="s">
        <v>1603</v>
      </c>
      <c r="I488" s="66">
        <v>46165</v>
      </c>
      <c r="J488" s="54" t="s">
        <v>1058</v>
      </c>
      <c r="K488" s="54" t="s">
        <v>1511</v>
      </c>
      <c r="L488" s="54" t="s">
        <v>1638</v>
      </c>
      <c r="M488" s="95" t="str">
        <f t="shared" si="46"/>
        <v>Open File</v>
      </c>
      <c r="N488" s="70" t="s">
        <v>1604</v>
      </c>
      <c r="O488" s="71" t="str">
        <f t="shared" si="49"/>
        <v>ACTIVE</v>
      </c>
      <c r="P488" s="66"/>
      <c r="Q488" s="66"/>
      <c r="R488" s="54"/>
      <c r="S488" s="82"/>
      <c r="T488" s="83" t="str">
        <f t="shared" si="47"/>
        <v/>
      </c>
      <c r="U488" s="10"/>
      <c r="V488" s="41">
        <f>IF(AND(Q488&lt;&gt;"",RIGHT(Q488,3)&lt;&gt;""),IF(COUNTIF($Q$6:Q488,Q488)=1,1,0),0)</f>
        <v>0</v>
      </c>
      <c r="W488" s="41" t="str">
        <f t="shared" si="51"/>
        <v>BA.03.HEAD.0526.8602-18</v>
      </c>
      <c r="X488" s="41" t="str">
        <f t="shared" si="48"/>
        <v/>
      </c>
    </row>
    <row r="489" s="32" customFormat="1" hidden="1" customHeight="1" spans="1:24">
      <c r="A489" s="34"/>
      <c r="B489" s="51">
        <v>484</v>
      </c>
      <c r="C489" s="51" t="s">
        <v>1639</v>
      </c>
      <c r="D489" s="52" t="s">
        <v>1510</v>
      </c>
      <c r="E489" s="53">
        <v>1</v>
      </c>
      <c r="F489" s="54" t="s">
        <v>29</v>
      </c>
      <c r="G489" s="54" t="s">
        <v>1054</v>
      </c>
      <c r="H489" s="54" t="s">
        <v>1603</v>
      </c>
      <c r="I489" s="66">
        <v>46165</v>
      </c>
      <c r="J489" s="54" t="s">
        <v>1058</v>
      </c>
      <c r="K489" s="54" t="s">
        <v>1514</v>
      </c>
      <c r="L489" s="54" t="s">
        <v>1640</v>
      </c>
      <c r="M489" s="97" t="str">
        <f t="shared" si="46"/>
        <v>Open File</v>
      </c>
      <c r="N489" s="70" t="s">
        <v>1604</v>
      </c>
      <c r="O489" s="71" t="str">
        <f t="shared" si="49"/>
        <v>ACTIVE</v>
      </c>
      <c r="P489" s="66"/>
      <c r="Q489" s="66"/>
      <c r="R489" s="54"/>
      <c r="S489" s="82"/>
      <c r="T489" s="83" t="str">
        <f t="shared" si="47"/>
        <v/>
      </c>
      <c r="U489" s="10"/>
      <c r="V489" s="41">
        <f>IF(AND(Q489&lt;&gt;"",RIGHT(Q489,3)&lt;&gt;""),IF(COUNTIF($Q$6:Q489,Q489)=1,1,0),0)</f>
        <v>0</v>
      </c>
      <c r="W489" s="41" t="str">
        <f>IF(AND(K489&lt;&gt;"",L489&lt;&gt;""),_xlfn.CONCAT(SUBSTITUTE(K489,"/","."),"-",L489),"")</f>
        <v>19-BA.03.HEAD.0526.8602-19</v>
      </c>
      <c r="X489" s="41" t="str">
        <f t="shared" si="48"/>
        <v/>
      </c>
    </row>
    <row r="490" s="32" customFormat="1" hidden="1" customHeight="1" spans="1:24">
      <c r="A490" s="34"/>
      <c r="B490" s="51">
        <v>485</v>
      </c>
      <c r="C490" s="51" t="s">
        <v>1641</v>
      </c>
      <c r="D490" s="52" t="s">
        <v>1517</v>
      </c>
      <c r="E490" s="53">
        <v>1</v>
      </c>
      <c r="F490" s="54" t="s">
        <v>29</v>
      </c>
      <c r="G490" s="54" t="s">
        <v>1054</v>
      </c>
      <c r="H490" s="54" t="s">
        <v>1603</v>
      </c>
      <c r="I490" s="66">
        <v>46165</v>
      </c>
      <c r="J490" s="54" t="s">
        <v>1058</v>
      </c>
      <c r="K490" s="54" t="s">
        <v>1518</v>
      </c>
      <c r="L490" s="54" t="s">
        <v>1642</v>
      </c>
      <c r="M490" s="97" t="str">
        <f t="shared" si="46"/>
        <v>Open File</v>
      </c>
      <c r="N490" s="70" t="s">
        <v>1604</v>
      </c>
      <c r="O490" s="71" t="str">
        <f t="shared" si="49"/>
        <v>ACTIVE</v>
      </c>
      <c r="P490" s="66"/>
      <c r="Q490" s="66"/>
      <c r="R490" s="54"/>
      <c r="S490" s="82"/>
      <c r="T490" s="83" t="str">
        <f t="shared" si="47"/>
        <v/>
      </c>
      <c r="U490" s="10"/>
      <c r="V490" s="41">
        <f>IF(AND(Q490&lt;&gt;"",RIGHT(Q490,3)&lt;&gt;""),IF(COUNTIF($Q$6:Q490,Q490)=1,1,0),0)</f>
        <v>0</v>
      </c>
      <c r="W490" s="41" t="str">
        <f>IF(AND(J490&lt;&gt;"",K490&lt;&gt;""),_xlfn.CONCAT(SUBSTITUTE(J490,"/","."),"-",K490),"")</f>
        <v>BA.03.HEAD.0526.8602-20</v>
      </c>
      <c r="X490" s="41" t="str">
        <f t="shared" si="48"/>
        <v/>
      </c>
    </row>
    <row r="491" s="32" customFormat="1" hidden="1" customHeight="1" spans="1:24">
      <c r="A491" s="34"/>
      <c r="B491" s="51">
        <v>486</v>
      </c>
      <c r="C491" s="51" t="s">
        <v>1643</v>
      </c>
      <c r="D491" s="52" t="s">
        <v>1517</v>
      </c>
      <c r="E491" s="53">
        <v>1</v>
      </c>
      <c r="F491" s="54" t="s">
        <v>29</v>
      </c>
      <c r="G491" s="54" t="s">
        <v>1054</v>
      </c>
      <c r="H491" s="54" t="s">
        <v>1603</v>
      </c>
      <c r="I491" s="66">
        <v>46165</v>
      </c>
      <c r="J491" s="54" t="s">
        <v>1058</v>
      </c>
      <c r="K491" s="54" t="s">
        <v>1521</v>
      </c>
      <c r="L491" s="54" t="s">
        <v>1644</v>
      </c>
      <c r="M491" s="97" t="str">
        <f t="shared" si="46"/>
        <v>Open File</v>
      </c>
      <c r="N491" s="70" t="s">
        <v>1604</v>
      </c>
      <c r="O491" s="71" t="str">
        <f t="shared" si="49"/>
        <v>ACTIVE</v>
      </c>
      <c r="P491" s="66"/>
      <c r="Q491" s="66"/>
      <c r="R491" s="54"/>
      <c r="S491" s="82"/>
      <c r="T491" s="83" t="str">
        <f t="shared" si="47"/>
        <v/>
      </c>
      <c r="U491" s="10"/>
      <c r="V491" s="41">
        <f>IF(AND(Q491&lt;&gt;"",RIGHT(Q491,3)&lt;&gt;""),IF(COUNTIF($Q$6:Q491,Q491)=1,1,0),0)</f>
        <v>0</v>
      </c>
      <c r="W491" s="41" t="str">
        <f>IF(AND(K491&lt;&gt;"",L491&lt;&gt;""),_xlfn.CONCAT(SUBSTITUTE(K491,"/","."),"-",L491),"")</f>
        <v>21-BA.03.HEAD.0526.8602-21</v>
      </c>
      <c r="X491" s="41" t="str">
        <f t="shared" si="48"/>
        <v/>
      </c>
    </row>
    <row r="492" s="32" customFormat="1" hidden="1" customHeight="1" spans="1:24">
      <c r="A492" s="34"/>
      <c r="B492" s="51">
        <v>487</v>
      </c>
      <c r="C492" s="51" t="s">
        <v>1645</v>
      </c>
      <c r="D492" s="52" t="s">
        <v>1524</v>
      </c>
      <c r="E492" s="53">
        <v>1</v>
      </c>
      <c r="F492" s="54" t="s">
        <v>29</v>
      </c>
      <c r="G492" s="54" t="s">
        <v>1054</v>
      </c>
      <c r="H492" s="54" t="s">
        <v>1603</v>
      </c>
      <c r="I492" s="66">
        <v>46165</v>
      </c>
      <c r="J492" s="54" t="s">
        <v>1058</v>
      </c>
      <c r="K492" s="54" t="s">
        <v>1525</v>
      </c>
      <c r="L492" s="54" t="s">
        <v>1646</v>
      </c>
      <c r="M492" s="97" t="str">
        <f t="shared" si="46"/>
        <v>Open File</v>
      </c>
      <c r="N492" s="70" t="s">
        <v>1604</v>
      </c>
      <c r="O492" s="71" t="str">
        <f t="shared" si="49"/>
        <v>ACTIVE</v>
      </c>
      <c r="P492" s="66"/>
      <c r="Q492" s="66"/>
      <c r="R492" s="54"/>
      <c r="S492" s="82"/>
      <c r="T492" s="83" t="str">
        <f t="shared" si="47"/>
        <v/>
      </c>
      <c r="U492" s="10"/>
      <c r="V492" s="41">
        <f>IF(AND(Q492&lt;&gt;"",RIGHT(Q492,3)&lt;&gt;""),IF(COUNTIF($Q$6:Q492,Q492)=1,1,0),0)</f>
        <v>0</v>
      </c>
      <c r="W492" s="41" t="str">
        <f>IF(AND(J492&lt;&gt;"",K492&lt;&gt;""),_xlfn.CONCAT(SUBSTITUTE(J492,"/","."),"-",K492),"")</f>
        <v>BA.03.HEAD.0526.8602-22</v>
      </c>
      <c r="X492" s="41" t="str">
        <f t="shared" si="48"/>
        <v/>
      </c>
    </row>
    <row r="493" s="32" customFormat="1" hidden="1" customHeight="1" spans="1:24">
      <c r="A493" s="34"/>
      <c r="B493" s="51">
        <v>488</v>
      </c>
      <c r="C493" s="51" t="s">
        <v>1647</v>
      </c>
      <c r="D493" s="52" t="s">
        <v>1524</v>
      </c>
      <c r="E493" s="53">
        <v>1</v>
      </c>
      <c r="F493" s="54" t="s">
        <v>29</v>
      </c>
      <c r="G493" s="54" t="s">
        <v>1054</v>
      </c>
      <c r="H493" s="54" t="s">
        <v>1603</v>
      </c>
      <c r="I493" s="66">
        <v>46165</v>
      </c>
      <c r="J493" s="54" t="s">
        <v>1058</v>
      </c>
      <c r="K493" s="54" t="s">
        <v>249</v>
      </c>
      <c r="L493" s="54" t="s">
        <v>1648</v>
      </c>
      <c r="M493" s="97" t="str">
        <f t="shared" si="46"/>
        <v>Open File</v>
      </c>
      <c r="N493" s="70" t="s">
        <v>1604</v>
      </c>
      <c r="O493" s="71" t="str">
        <f t="shared" si="49"/>
        <v>ACTIVE</v>
      </c>
      <c r="P493" s="66"/>
      <c r="Q493" s="66"/>
      <c r="R493" s="54"/>
      <c r="S493" s="82"/>
      <c r="T493" s="83" t="str">
        <f t="shared" si="47"/>
        <v/>
      </c>
      <c r="U493" s="10"/>
      <c r="V493" s="41">
        <f>IF(AND(Q493&lt;&gt;"",RIGHT(Q493,3)&lt;&gt;""),IF(COUNTIF($Q$6:Q493,Q493)=1,1,0),0)</f>
        <v>0</v>
      </c>
      <c r="W493" s="41" t="str">
        <f>IF(AND(K493&lt;&gt;"",L493&lt;&gt;""),_xlfn.CONCAT(SUBSTITUTE(K493,"/","."),"-",L493),"")</f>
        <v>23-BA.03.HEAD.0526.8602-23</v>
      </c>
      <c r="X493" s="41" t="str">
        <f t="shared" si="48"/>
        <v/>
      </c>
    </row>
    <row r="494" s="32" customFormat="1" hidden="1" customHeight="1" spans="1:24">
      <c r="A494" s="34"/>
      <c r="B494" s="51">
        <v>489</v>
      </c>
      <c r="C494" s="51" t="s">
        <v>1649</v>
      </c>
      <c r="D494" s="52" t="s">
        <v>143</v>
      </c>
      <c r="E494" s="53">
        <v>1</v>
      </c>
      <c r="F494" s="54" t="s">
        <v>29</v>
      </c>
      <c r="G494" s="54" t="s">
        <v>1054</v>
      </c>
      <c r="H494" s="54" t="s">
        <v>1603</v>
      </c>
      <c r="I494" s="66">
        <v>46165</v>
      </c>
      <c r="J494" s="54" t="s">
        <v>1058</v>
      </c>
      <c r="K494" s="54" t="s">
        <v>1530</v>
      </c>
      <c r="L494" s="54" t="s">
        <v>1650</v>
      </c>
      <c r="M494" s="97" t="str">
        <f t="shared" si="46"/>
        <v>Open File</v>
      </c>
      <c r="N494" s="70" t="s">
        <v>1604</v>
      </c>
      <c r="O494" s="71" t="str">
        <f t="shared" si="49"/>
        <v>ACTIVE</v>
      </c>
      <c r="P494" s="66"/>
      <c r="Q494" s="66"/>
      <c r="R494" s="54"/>
      <c r="S494" s="82"/>
      <c r="T494" s="83" t="str">
        <f t="shared" si="47"/>
        <v/>
      </c>
      <c r="U494" s="10"/>
      <c r="V494" s="41">
        <f>IF(AND(Q494&lt;&gt;"",RIGHT(Q494,3)&lt;&gt;""),IF(COUNTIF($Q$6:Q494,Q494)=1,1,0),0)</f>
        <v>0</v>
      </c>
      <c r="W494" s="41" t="str">
        <f t="shared" ref="W494:W500" si="52">IF(AND(J494&lt;&gt;"",K494&lt;&gt;""),_xlfn.CONCAT(SUBSTITUTE(J494,"/","."),"-",K494),"")</f>
        <v>BA.03.HEAD.0526.8602-24</v>
      </c>
      <c r="X494" s="41" t="str">
        <f t="shared" si="48"/>
        <v/>
      </c>
    </row>
    <row r="495" s="32" customFormat="1" hidden="1" customHeight="1" spans="1:24">
      <c r="A495" s="34"/>
      <c r="B495" s="51">
        <v>490</v>
      </c>
      <c r="C495" s="51" t="s">
        <v>1651</v>
      </c>
      <c r="D495" s="52" t="s">
        <v>1596</v>
      </c>
      <c r="E495" s="53">
        <v>1</v>
      </c>
      <c r="F495" s="54" t="s">
        <v>29</v>
      </c>
      <c r="G495" s="54" t="s">
        <v>1054</v>
      </c>
      <c r="H495" s="54" t="s">
        <v>1603</v>
      </c>
      <c r="I495" s="66">
        <v>46165</v>
      </c>
      <c r="J495" s="54" t="s">
        <v>1058</v>
      </c>
      <c r="K495" s="54" t="s">
        <v>1534</v>
      </c>
      <c r="L495" s="54" t="s">
        <v>1652</v>
      </c>
      <c r="M495" s="97" t="str">
        <f t="shared" si="46"/>
        <v>Open File</v>
      </c>
      <c r="N495" s="70" t="s">
        <v>1604</v>
      </c>
      <c r="O495" s="71" t="str">
        <f t="shared" si="49"/>
        <v>ACTIVE</v>
      </c>
      <c r="P495" s="66"/>
      <c r="Q495" s="66"/>
      <c r="R495" s="54"/>
      <c r="S495" s="82"/>
      <c r="T495" s="83" t="str">
        <f t="shared" si="47"/>
        <v/>
      </c>
      <c r="U495" s="10"/>
      <c r="V495" s="41">
        <f>IF(AND(Q495&lt;&gt;"",RIGHT(Q495,3)&lt;&gt;""),IF(COUNTIF($Q$6:Q495,Q495)=1,1,0),0)</f>
        <v>0</v>
      </c>
      <c r="W495" s="41" t="str">
        <f t="shared" si="52"/>
        <v>BA.03.HEAD.0526.8602-25</v>
      </c>
      <c r="X495" s="41" t="str">
        <f t="shared" si="48"/>
        <v/>
      </c>
    </row>
    <row r="496" s="32" customFormat="1" hidden="1" customHeight="1" spans="1:24">
      <c r="A496" s="34"/>
      <c r="B496" s="51">
        <v>491</v>
      </c>
      <c r="C496" s="51" t="s">
        <v>1653</v>
      </c>
      <c r="D496" s="52" t="s">
        <v>1537</v>
      </c>
      <c r="E496" s="53">
        <v>1</v>
      </c>
      <c r="F496" s="54" t="s">
        <v>29</v>
      </c>
      <c r="G496" s="54" t="s">
        <v>1054</v>
      </c>
      <c r="H496" s="54" t="s">
        <v>1603</v>
      </c>
      <c r="I496" s="66">
        <v>46165</v>
      </c>
      <c r="J496" s="54" t="s">
        <v>1058</v>
      </c>
      <c r="K496" s="54" t="s">
        <v>1538</v>
      </c>
      <c r="L496" s="54" t="s">
        <v>1654</v>
      </c>
      <c r="M496" s="97" t="str">
        <f t="shared" si="46"/>
        <v>Open File</v>
      </c>
      <c r="N496" s="70" t="s">
        <v>1604</v>
      </c>
      <c r="O496" s="71" t="str">
        <f t="shared" si="49"/>
        <v>ACTIVE</v>
      </c>
      <c r="P496" s="66"/>
      <c r="Q496" s="66"/>
      <c r="R496" s="54"/>
      <c r="S496" s="82"/>
      <c r="T496" s="83" t="str">
        <f t="shared" si="47"/>
        <v/>
      </c>
      <c r="U496" s="10"/>
      <c r="V496" s="41">
        <f>IF(AND(Q496&lt;&gt;"",RIGHT(Q496,3)&lt;&gt;""),IF(COUNTIF($Q$6:Q496,Q496)=1,1,0),0)</f>
        <v>0</v>
      </c>
      <c r="W496" s="41" t="str">
        <f t="shared" si="52"/>
        <v>BA.03.HEAD.0526.8602-26</v>
      </c>
      <c r="X496" s="41" t="str">
        <f t="shared" si="48"/>
        <v/>
      </c>
    </row>
    <row r="497" s="32" customFormat="1" hidden="1" customHeight="1" spans="1:24">
      <c r="A497" s="34"/>
      <c r="B497" s="51">
        <v>492</v>
      </c>
      <c r="C497" s="51" t="s">
        <v>1655</v>
      </c>
      <c r="D497" s="52" t="s">
        <v>1541</v>
      </c>
      <c r="E497" s="53">
        <v>1</v>
      </c>
      <c r="F497" s="54" t="s">
        <v>29</v>
      </c>
      <c r="G497" s="54" t="s">
        <v>1054</v>
      </c>
      <c r="H497" s="54" t="s">
        <v>1603</v>
      </c>
      <c r="I497" s="66">
        <v>46165</v>
      </c>
      <c r="J497" s="54" t="s">
        <v>1058</v>
      </c>
      <c r="K497" s="54" t="s">
        <v>1542</v>
      </c>
      <c r="L497" s="54" t="s">
        <v>1656</v>
      </c>
      <c r="M497" s="95" t="str">
        <f t="shared" si="46"/>
        <v>Open File</v>
      </c>
      <c r="N497" s="70" t="s">
        <v>1604</v>
      </c>
      <c r="O497" s="71" t="str">
        <f t="shared" si="49"/>
        <v>ACTIVE</v>
      </c>
      <c r="P497" s="66"/>
      <c r="Q497" s="66"/>
      <c r="R497" s="54"/>
      <c r="S497" s="82"/>
      <c r="T497" s="83" t="str">
        <f t="shared" si="47"/>
        <v/>
      </c>
      <c r="U497" s="10"/>
      <c r="V497" s="41">
        <f>IF(AND(Q497&lt;&gt;"",RIGHT(Q497,3)&lt;&gt;""),IF(COUNTIF($Q$6:Q497,Q497)=1,1,0),0)</f>
        <v>0</v>
      </c>
      <c r="W497" s="41" t="str">
        <f t="shared" si="52"/>
        <v>BA.03.HEAD.0526.8602-27</v>
      </c>
      <c r="X497" s="41" t="str">
        <f t="shared" si="48"/>
        <v/>
      </c>
    </row>
    <row r="498" s="32" customFormat="1" hidden="1" customHeight="1" spans="1:24">
      <c r="A498" s="34"/>
      <c r="B498" s="51">
        <v>493</v>
      </c>
      <c r="C498" s="51" t="s">
        <v>1657</v>
      </c>
      <c r="D498" s="52" t="s">
        <v>1451</v>
      </c>
      <c r="E498" s="53">
        <v>1</v>
      </c>
      <c r="F498" s="54" t="s">
        <v>29</v>
      </c>
      <c r="G498" s="54" t="s">
        <v>1658</v>
      </c>
      <c r="H498" s="54" t="s">
        <v>1659</v>
      </c>
      <c r="I498" s="66">
        <v>46170</v>
      </c>
      <c r="J498" s="54" t="s">
        <v>1660</v>
      </c>
      <c r="K498" s="54" t="s">
        <v>226</v>
      </c>
      <c r="L498" s="54" t="s">
        <v>1661</v>
      </c>
      <c r="M498" s="95" t="str">
        <f t="shared" si="46"/>
        <v>Open File</v>
      </c>
      <c r="N498" s="70" t="s">
        <v>1662</v>
      </c>
      <c r="O498" s="71" t="str">
        <f t="shared" si="49"/>
        <v>ACTIVE</v>
      </c>
      <c r="P498" s="66"/>
      <c r="Q498" s="66"/>
      <c r="R498" s="54"/>
      <c r="S498" s="82"/>
      <c r="T498" s="83" t="str">
        <f t="shared" si="47"/>
        <v/>
      </c>
      <c r="U498" s="10"/>
      <c r="V498" s="41">
        <f>IF(AND(Q498&lt;&gt;"",RIGHT(Q498,3)&lt;&gt;""),IF(COUNTIF($Q$6:Q498,Q498)=1,1,0),0)</f>
        <v>0</v>
      </c>
      <c r="W498" s="41" t="str">
        <f t="shared" si="52"/>
        <v>BA.04.HEAD.0526.9249-1</v>
      </c>
      <c r="X498" s="41" t="str">
        <f t="shared" si="48"/>
        <v/>
      </c>
    </row>
    <row r="499" s="32" customFormat="1" hidden="1" customHeight="1" spans="1:24">
      <c r="A499" s="34"/>
      <c r="B499" s="51">
        <v>494</v>
      </c>
      <c r="C499" s="51" t="s">
        <v>1663</v>
      </c>
      <c r="D499" s="52" t="s">
        <v>1456</v>
      </c>
      <c r="E499" s="53">
        <v>1</v>
      </c>
      <c r="F499" s="54" t="s">
        <v>29</v>
      </c>
      <c r="G499" s="54" t="s">
        <v>1658</v>
      </c>
      <c r="H499" s="54" t="s">
        <v>1659</v>
      </c>
      <c r="I499" s="66">
        <v>46170</v>
      </c>
      <c r="J499" s="54" t="s">
        <v>1660</v>
      </c>
      <c r="K499" s="54" t="s">
        <v>1239</v>
      </c>
      <c r="L499" s="54" t="s">
        <v>1664</v>
      </c>
      <c r="M499" s="95" t="str">
        <f t="shared" si="46"/>
        <v>Open File</v>
      </c>
      <c r="N499" s="70" t="s">
        <v>1662</v>
      </c>
      <c r="O499" s="71" t="str">
        <f t="shared" si="49"/>
        <v>ACTIVE</v>
      </c>
      <c r="P499" s="66"/>
      <c r="Q499" s="66"/>
      <c r="R499" s="54"/>
      <c r="S499" s="82"/>
      <c r="T499" s="83" t="str">
        <f t="shared" si="47"/>
        <v/>
      </c>
      <c r="U499" s="10"/>
      <c r="V499" s="41">
        <f>IF(AND(Q499&lt;&gt;"",RIGHT(Q499,3)&lt;&gt;""),IF(COUNTIF($Q$6:Q499,Q499)=1,1,0),0)</f>
        <v>0</v>
      </c>
      <c r="W499" s="41" t="str">
        <f t="shared" si="52"/>
        <v>BA.04.HEAD.0526.9249-2</v>
      </c>
      <c r="X499" s="41" t="str">
        <f t="shared" si="48"/>
        <v/>
      </c>
    </row>
    <row r="500" s="32" customFormat="1" hidden="1" customHeight="1" spans="1:24">
      <c r="A500" s="34"/>
      <c r="B500" s="51">
        <v>495</v>
      </c>
      <c r="C500" s="51" t="s">
        <v>1665</v>
      </c>
      <c r="D500" s="52" t="s">
        <v>1459</v>
      </c>
      <c r="E500" s="53">
        <v>1</v>
      </c>
      <c r="F500" s="54" t="s">
        <v>29</v>
      </c>
      <c r="G500" s="54" t="s">
        <v>1658</v>
      </c>
      <c r="H500" s="54" t="s">
        <v>1659</v>
      </c>
      <c r="I500" s="66">
        <v>46170</v>
      </c>
      <c r="J500" s="54" t="s">
        <v>1660</v>
      </c>
      <c r="K500" s="54" t="s">
        <v>1423</v>
      </c>
      <c r="L500" s="54" t="s">
        <v>1666</v>
      </c>
      <c r="M500" s="95" t="str">
        <f t="shared" si="46"/>
        <v>Open File</v>
      </c>
      <c r="N500" s="70" t="s">
        <v>1662</v>
      </c>
      <c r="O500" s="71" t="str">
        <f t="shared" si="49"/>
        <v>ACTIVE</v>
      </c>
      <c r="P500" s="66"/>
      <c r="Q500" s="66"/>
      <c r="R500" s="54"/>
      <c r="S500" s="82"/>
      <c r="T500" s="83" t="str">
        <f t="shared" si="47"/>
        <v/>
      </c>
      <c r="U500" s="10"/>
      <c r="V500" s="41">
        <f>IF(AND(Q500&lt;&gt;"",RIGHT(Q500,3)&lt;&gt;""),IF(COUNTIF($Q$6:Q500,Q500)=1,1,0),0)</f>
        <v>0</v>
      </c>
      <c r="W500" s="41" t="str">
        <f t="shared" si="52"/>
        <v>BA.04.HEAD.0526.9249-3</v>
      </c>
      <c r="X500" s="41" t="str">
        <f t="shared" si="48"/>
        <v/>
      </c>
    </row>
    <row r="501" s="32" customFormat="1" hidden="1" customHeight="1" spans="1:24">
      <c r="A501" s="34"/>
      <c r="B501" s="51">
        <v>496</v>
      </c>
      <c r="C501" s="51" t="s">
        <v>1667</v>
      </c>
      <c r="D501" s="52" t="s">
        <v>1459</v>
      </c>
      <c r="E501" s="53">
        <v>1</v>
      </c>
      <c r="F501" s="54" t="s">
        <v>29</v>
      </c>
      <c r="G501" s="54" t="s">
        <v>1658</v>
      </c>
      <c r="H501" s="54" t="s">
        <v>1659</v>
      </c>
      <c r="I501" s="66">
        <v>46170</v>
      </c>
      <c r="J501" s="54" t="s">
        <v>1660</v>
      </c>
      <c r="K501" s="54" t="s">
        <v>1427</v>
      </c>
      <c r="L501" s="54" t="s">
        <v>1668</v>
      </c>
      <c r="M501" s="95" t="str">
        <f t="shared" si="46"/>
        <v>Open File</v>
      </c>
      <c r="N501" s="70" t="s">
        <v>1662</v>
      </c>
      <c r="O501" s="71" t="str">
        <f t="shared" si="49"/>
        <v>ACTIVE</v>
      </c>
      <c r="P501" s="66"/>
      <c r="Q501" s="66"/>
      <c r="R501" s="54"/>
      <c r="S501" s="82"/>
      <c r="T501" s="83" t="str">
        <f t="shared" si="47"/>
        <v/>
      </c>
      <c r="U501" s="10"/>
      <c r="V501" s="41">
        <f>IF(AND(Q501&lt;&gt;"",RIGHT(Q501,3)&lt;&gt;""),IF(COUNTIF($Q$6:Q501,Q501)=1,1,0),0)</f>
        <v>0</v>
      </c>
      <c r="W501" s="41" t="str">
        <f>IF(AND(K501&lt;&gt;"",L501&lt;&gt;""),_xlfn.CONCAT(SUBSTITUTE(K501,"/","."),"-",L501),"")</f>
        <v>4-BA.04.HEAD.0526.9249-4</v>
      </c>
      <c r="X501" s="41" t="str">
        <f t="shared" si="48"/>
        <v/>
      </c>
    </row>
    <row r="502" s="32" customFormat="1" hidden="1" customHeight="1" spans="1:24">
      <c r="A502" s="34"/>
      <c r="B502" s="51">
        <v>497</v>
      </c>
      <c r="C502" s="51" t="s">
        <v>1669</v>
      </c>
      <c r="D502" s="52" t="s">
        <v>1462</v>
      </c>
      <c r="E502" s="53">
        <v>1</v>
      </c>
      <c r="F502" s="54" t="s">
        <v>29</v>
      </c>
      <c r="G502" s="54" t="s">
        <v>1658</v>
      </c>
      <c r="H502" s="54" t="s">
        <v>1659</v>
      </c>
      <c r="I502" s="66">
        <v>46170</v>
      </c>
      <c r="J502" s="54" t="s">
        <v>1660</v>
      </c>
      <c r="K502" s="54" t="s">
        <v>1431</v>
      </c>
      <c r="L502" s="54" t="s">
        <v>1670</v>
      </c>
      <c r="M502" s="97" t="str">
        <f t="shared" si="46"/>
        <v>Open File</v>
      </c>
      <c r="N502" s="70" t="s">
        <v>1662</v>
      </c>
      <c r="O502" s="71" t="str">
        <f t="shared" si="49"/>
        <v>ACTIVE</v>
      </c>
      <c r="P502" s="66"/>
      <c r="Q502" s="66"/>
      <c r="R502" s="54"/>
      <c r="S502" s="82"/>
      <c r="T502" s="83" t="str">
        <f t="shared" si="47"/>
        <v/>
      </c>
      <c r="U502" s="10"/>
      <c r="V502" s="41">
        <f>IF(AND(Q502&lt;&gt;"",RIGHT(Q502,3)&lt;&gt;""),IF(COUNTIF($Q$6:Q502,Q502)=1,1,0),0)</f>
        <v>0</v>
      </c>
      <c r="W502" s="41" t="str">
        <f t="shared" ref="W502:W514" si="53">IF(AND(J502&lt;&gt;"",K502&lt;&gt;""),_xlfn.CONCAT(SUBSTITUTE(J502,"/","."),"-",K502),"")</f>
        <v>BA.04.HEAD.0526.9249-5</v>
      </c>
      <c r="X502" s="41" t="str">
        <f t="shared" si="48"/>
        <v/>
      </c>
    </row>
    <row r="503" s="32" customFormat="1" hidden="1" customHeight="1" spans="1:24">
      <c r="A503" s="34"/>
      <c r="B503" s="51">
        <v>498</v>
      </c>
      <c r="C503" s="51" t="s">
        <v>1671</v>
      </c>
      <c r="D503" s="52" t="s">
        <v>1468</v>
      </c>
      <c r="E503" s="53">
        <v>1</v>
      </c>
      <c r="F503" s="54" t="s">
        <v>29</v>
      </c>
      <c r="G503" s="54" t="s">
        <v>1658</v>
      </c>
      <c r="H503" s="54" t="s">
        <v>1659</v>
      </c>
      <c r="I503" s="66">
        <v>46170</v>
      </c>
      <c r="J503" s="54" t="s">
        <v>1660</v>
      </c>
      <c r="K503" s="54" t="s">
        <v>1435</v>
      </c>
      <c r="L503" s="54" t="s">
        <v>1672</v>
      </c>
      <c r="M503" s="97" t="str">
        <f t="shared" si="46"/>
        <v>Open File</v>
      </c>
      <c r="N503" s="70" t="s">
        <v>1662</v>
      </c>
      <c r="O503" s="71" t="str">
        <f t="shared" si="49"/>
        <v>ACTIVE</v>
      </c>
      <c r="P503" s="66"/>
      <c r="Q503" s="66"/>
      <c r="R503" s="54"/>
      <c r="S503" s="82"/>
      <c r="T503" s="83" t="str">
        <f t="shared" si="47"/>
        <v/>
      </c>
      <c r="U503" s="10"/>
      <c r="V503" s="41">
        <f>IF(AND(Q503&lt;&gt;"",RIGHT(Q503,3)&lt;&gt;""),IF(COUNTIF($Q$6:Q503,Q503)=1,1,0),0)</f>
        <v>0</v>
      </c>
      <c r="W503" s="41" t="str">
        <f t="shared" si="53"/>
        <v>BA.04.HEAD.0526.9249-6</v>
      </c>
      <c r="X503" s="41" t="str">
        <f t="shared" si="48"/>
        <v/>
      </c>
    </row>
    <row r="504" s="32" customFormat="1" hidden="1" customHeight="1" spans="1:24">
      <c r="A504" s="34"/>
      <c r="B504" s="51">
        <v>499</v>
      </c>
      <c r="C504" s="51" t="s">
        <v>1673</v>
      </c>
      <c r="D504" s="52" t="s">
        <v>1471</v>
      </c>
      <c r="E504" s="53">
        <v>1</v>
      </c>
      <c r="F504" s="54" t="s">
        <v>29</v>
      </c>
      <c r="G504" s="54" t="s">
        <v>1658</v>
      </c>
      <c r="H504" s="54" t="s">
        <v>1659</v>
      </c>
      <c r="I504" s="66">
        <v>46170</v>
      </c>
      <c r="J504" s="54" t="s">
        <v>1660</v>
      </c>
      <c r="K504" s="54" t="s">
        <v>1439</v>
      </c>
      <c r="L504" s="54" t="s">
        <v>1674</v>
      </c>
      <c r="M504" s="97" t="str">
        <f t="shared" si="46"/>
        <v>Open File</v>
      </c>
      <c r="N504" s="70" t="s">
        <v>1662</v>
      </c>
      <c r="O504" s="71" t="str">
        <f t="shared" si="49"/>
        <v>ACTIVE</v>
      </c>
      <c r="P504" s="66"/>
      <c r="Q504" s="66"/>
      <c r="R504" s="54"/>
      <c r="S504" s="82"/>
      <c r="T504" s="83" t="str">
        <f t="shared" si="47"/>
        <v/>
      </c>
      <c r="U504" s="10"/>
      <c r="V504" s="41">
        <f>IF(AND(Q504&lt;&gt;"",RIGHT(Q504,3)&lt;&gt;""),IF(COUNTIF($Q$6:Q504,Q504)=1,1,0),0)</f>
        <v>0</v>
      </c>
      <c r="W504" s="41" t="str">
        <f t="shared" si="53"/>
        <v>BA.04.HEAD.0526.9249-7</v>
      </c>
      <c r="X504" s="41" t="str">
        <f t="shared" si="48"/>
        <v/>
      </c>
    </row>
    <row r="505" s="32" customFormat="1" hidden="1" customHeight="1" spans="1:24">
      <c r="A505" s="34"/>
      <c r="B505" s="51">
        <v>500</v>
      </c>
      <c r="C505" s="51" t="s">
        <v>1675</v>
      </c>
      <c r="D505" s="52" t="s">
        <v>1474</v>
      </c>
      <c r="E505" s="53">
        <v>1</v>
      </c>
      <c r="F505" s="54" t="s">
        <v>66</v>
      </c>
      <c r="G505" s="54" t="s">
        <v>1658</v>
      </c>
      <c r="H505" s="54" t="s">
        <v>1659</v>
      </c>
      <c r="I505" s="66">
        <v>46170</v>
      </c>
      <c r="J505" s="54" t="s">
        <v>1660</v>
      </c>
      <c r="K505" s="54" t="s">
        <v>1443</v>
      </c>
      <c r="L505" s="54" t="s">
        <v>1676</v>
      </c>
      <c r="M505" s="97" t="str">
        <f t="shared" si="46"/>
        <v>Open File</v>
      </c>
      <c r="N505" s="70" t="s">
        <v>1662</v>
      </c>
      <c r="O505" s="71" t="str">
        <f t="shared" si="49"/>
        <v>ACTIVE</v>
      </c>
      <c r="P505" s="66"/>
      <c r="Q505" s="66"/>
      <c r="R505" s="54"/>
      <c r="S505" s="82"/>
      <c r="T505" s="83" t="str">
        <f t="shared" si="47"/>
        <v/>
      </c>
      <c r="U505" s="10"/>
      <c r="V505" s="41">
        <f>IF(AND(Q505&lt;&gt;"",RIGHT(Q505,3)&lt;&gt;""),IF(COUNTIF($Q$6:Q505,Q505)=1,1,0),0)</f>
        <v>0</v>
      </c>
      <c r="W505" s="41" t="str">
        <f t="shared" si="53"/>
        <v>BA.04.HEAD.0526.9249-8</v>
      </c>
      <c r="X505" s="41" t="str">
        <f t="shared" si="48"/>
        <v/>
      </c>
    </row>
    <row r="506" s="32" customFormat="1" hidden="1" customHeight="1" spans="1:24">
      <c r="A506" s="34"/>
      <c r="B506" s="51">
        <v>501</v>
      </c>
      <c r="C506" s="51" t="s">
        <v>1677</v>
      </c>
      <c r="D506" s="52" t="s">
        <v>1562</v>
      </c>
      <c r="E506" s="53">
        <v>1</v>
      </c>
      <c r="F506" s="54" t="s">
        <v>29</v>
      </c>
      <c r="G506" s="54" t="s">
        <v>1658</v>
      </c>
      <c r="H506" s="54" t="s">
        <v>1659</v>
      </c>
      <c r="I506" s="66">
        <v>46170</v>
      </c>
      <c r="J506" s="54" t="s">
        <v>1660</v>
      </c>
      <c r="K506" s="54" t="s">
        <v>1478</v>
      </c>
      <c r="L506" s="54" t="s">
        <v>1678</v>
      </c>
      <c r="M506" s="97" t="str">
        <f t="shared" si="46"/>
        <v>Open File</v>
      </c>
      <c r="N506" s="70" t="s">
        <v>1662</v>
      </c>
      <c r="O506" s="71" t="str">
        <f t="shared" si="49"/>
        <v>ACTIVE</v>
      </c>
      <c r="P506" s="66"/>
      <c r="Q506" s="66"/>
      <c r="R506" s="54"/>
      <c r="S506" s="82"/>
      <c r="T506" s="83" t="str">
        <f t="shared" si="47"/>
        <v/>
      </c>
      <c r="U506" s="10"/>
      <c r="V506" s="41">
        <f>IF(AND(Q506&lt;&gt;"",RIGHT(Q506,3)&lt;&gt;""),IF(COUNTIF($Q$6:Q506,Q506)=1,1,0),0)</f>
        <v>0</v>
      </c>
      <c r="W506" s="41" t="str">
        <f t="shared" si="53"/>
        <v>BA.04.HEAD.0526.9249-9</v>
      </c>
      <c r="X506" s="41" t="str">
        <f t="shared" si="48"/>
        <v/>
      </c>
    </row>
    <row r="507" s="32" customFormat="1" hidden="1" customHeight="1" spans="1:24">
      <c r="A507" s="34"/>
      <c r="B507" s="51">
        <v>502</v>
      </c>
      <c r="C507" s="51" t="s">
        <v>1679</v>
      </c>
      <c r="D507" s="52" t="s">
        <v>1567</v>
      </c>
      <c r="E507" s="53">
        <v>1</v>
      </c>
      <c r="F507" s="54" t="s">
        <v>29</v>
      </c>
      <c r="G507" s="54" t="s">
        <v>1658</v>
      </c>
      <c r="H507" s="54" t="s">
        <v>1659</v>
      </c>
      <c r="I507" s="66">
        <v>46170</v>
      </c>
      <c r="J507" s="54" t="s">
        <v>1660</v>
      </c>
      <c r="K507" s="54" t="s">
        <v>1481</v>
      </c>
      <c r="L507" s="54" t="s">
        <v>1680</v>
      </c>
      <c r="M507" s="97" t="str">
        <f t="shared" si="46"/>
        <v>Open File</v>
      </c>
      <c r="N507" s="70" t="s">
        <v>1662</v>
      </c>
      <c r="O507" s="71" t="str">
        <f t="shared" si="49"/>
        <v>ACTIVE</v>
      </c>
      <c r="P507" s="66"/>
      <c r="Q507" s="66"/>
      <c r="R507" s="54"/>
      <c r="S507" s="82"/>
      <c r="T507" s="83" t="str">
        <f t="shared" si="47"/>
        <v/>
      </c>
      <c r="U507" s="10"/>
      <c r="V507" s="41">
        <f>IF(AND(Q507&lt;&gt;"",RIGHT(Q507,3)&lt;&gt;""),IF(COUNTIF($Q$6:Q507,Q507)=1,1,0),0)</f>
        <v>0</v>
      </c>
      <c r="W507" s="41" t="str">
        <f t="shared" si="53"/>
        <v>BA.04.HEAD.0526.9249-10</v>
      </c>
      <c r="X507" s="41" t="str">
        <f t="shared" si="48"/>
        <v/>
      </c>
    </row>
    <row r="508" s="32" customFormat="1" hidden="1" customHeight="1" spans="1:24">
      <c r="A508" s="34"/>
      <c r="B508" s="51">
        <v>503</v>
      </c>
      <c r="C508" s="51" t="s">
        <v>1681</v>
      </c>
      <c r="D508" s="52" t="s">
        <v>1488</v>
      </c>
      <c r="E508" s="53">
        <v>1</v>
      </c>
      <c r="F508" s="54" t="s">
        <v>29</v>
      </c>
      <c r="G508" s="54" t="s">
        <v>1658</v>
      </c>
      <c r="H508" s="54" t="s">
        <v>1659</v>
      </c>
      <c r="I508" s="66">
        <v>46170</v>
      </c>
      <c r="J508" s="54" t="s">
        <v>1660</v>
      </c>
      <c r="K508" s="54" t="s">
        <v>1485</v>
      </c>
      <c r="L508" s="54" t="s">
        <v>1682</v>
      </c>
      <c r="M508" s="97" t="str">
        <f t="shared" si="46"/>
        <v>Open File</v>
      </c>
      <c r="N508" s="70" t="s">
        <v>1662</v>
      </c>
      <c r="O508" s="71" t="str">
        <f t="shared" si="49"/>
        <v>ACTIVE</v>
      </c>
      <c r="P508" s="66"/>
      <c r="Q508" s="66"/>
      <c r="R508" s="54"/>
      <c r="S508" s="82"/>
      <c r="T508" s="83" t="str">
        <f t="shared" si="47"/>
        <v/>
      </c>
      <c r="U508" s="10"/>
      <c r="V508" s="41">
        <f>IF(AND(Q508&lt;&gt;"",RIGHT(Q508,3)&lt;&gt;""),IF(COUNTIF($Q$6:Q508,Q508)=1,1,0),0)</f>
        <v>0</v>
      </c>
      <c r="W508" s="41" t="str">
        <f t="shared" si="53"/>
        <v>BA.04.HEAD.0526.9249-11</v>
      </c>
      <c r="X508" s="41" t="str">
        <f t="shared" si="48"/>
        <v/>
      </c>
    </row>
    <row r="509" s="32" customFormat="1" hidden="1" customHeight="1" spans="1:24">
      <c r="A509" s="34"/>
      <c r="B509" s="51">
        <v>504</v>
      </c>
      <c r="C509" s="51" t="s">
        <v>1683</v>
      </c>
      <c r="D509" s="52" t="s">
        <v>1492</v>
      </c>
      <c r="E509" s="53">
        <v>1</v>
      </c>
      <c r="F509" s="54" t="s">
        <v>29</v>
      </c>
      <c r="G509" s="54" t="s">
        <v>1658</v>
      </c>
      <c r="H509" s="54" t="s">
        <v>1659</v>
      </c>
      <c r="I509" s="66">
        <v>46170</v>
      </c>
      <c r="J509" s="54" t="s">
        <v>1660</v>
      </c>
      <c r="K509" s="54" t="s">
        <v>1489</v>
      </c>
      <c r="L509" s="54" t="s">
        <v>1684</v>
      </c>
      <c r="M509" s="97" t="str">
        <f t="shared" si="46"/>
        <v>Open File</v>
      </c>
      <c r="N509" s="70" t="s">
        <v>1662</v>
      </c>
      <c r="O509" s="71" t="str">
        <f t="shared" si="49"/>
        <v>ACTIVE</v>
      </c>
      <c r="P509" s="66"/>
      <c r="Q509" s="66"/>
      <c r="R509" s="54"/>
      <c r="S509" s="82"/>
      <c r="T509" s="83" t="str">
        <f t="shared" si="47"/>
        <v/>
      </c>
      <c r="U509" s="10"/>
      <c r="V509" s="41">
        <f>IF(AND(Q509&lt;&gt;"",RIGHT(Q509,3)&lt;&gt;""),IF(COUNTIF($Q$6:Q509,Q509)=1,1,0),0)</f>
        <v>0</v>
      </c>
      <c r="W509" s="41" t="str">
        <f t="shared" si="53"/>
        <v>BA.04.HEAD.0526.9249-12</v>
      </c>
      <c r="X509" s="41" t="str">
        <f t="shared" si="48"/>
        <v/>
      </c>
    </row>
    <row r="510" s="32" customFormat="1" hidden="1" customHeight="1" spans="1:24">
      <c r="A510" s="34"/>
      <c r="B510" s="51">
        <v>505</v>
      </c>
      <c r="C510" s="51" t="s">
        <v>1685</v>
      </c>
      <c r="D510" s="52" t="s">
        <v>1496</v>
      </c>
      <c r="E510" s="53">
        <v>1</v>
      </c>
      <c r="F510" s="54" t="s">
        <v>29</v>
      </c>
      <c r="G510" s="54" t="s">
        <v>1658</v>
      </c>
      <c r="H510" s="54" t="s">
        <v>1659</v>
      </c>
      <c r="I510" s="66">
        <v>46170</v>
      </c>
      <c r="J510" s="54" t="s">
        <v>1660</v>
      </c>
      <c r="K510" s="54" t="s">
        <v>1493</v>
      </c>
      <c r="L510" s="54" t="s">
        <v>1686</v>
      </c>
      <c r="M510" s="97" t="str">
        <f t="shared" si="46"/>
        <v>Open File</v>
      </c>
      <c r="N510" s="70" t="s">
        <v>1662</v>
      </c>
      <c r="O510" s="71" t="str">
        <f t="shared" si="49"/>
        <v>ACTIVE</v>
      </c>
      <c r="P510" s="66"/>
      <c r="Q510" s="66"/>
      <c r="R510" s="54"/>
      <c r="S510" s="82"/>
      <c r="T510" s="83" t="str">
        <f t="shared" si="47"/>
        <v/>
      </c>
      <c r="U510" s="10"/>
      <c r="V510" s="41">
        <f>IF(AND(Q510&lt;&gt;"",RIGHT(Q510,3)&lt;&gt;""),IF(COUNTIF($Q$6:Q510,Q510)=1,1,0),0)</f>
        <v>0</v>
      </c>
      <c r="W510" s="41" t="str">
        <f t="shared" si="53"/>
        <v>BA.04.HEAD.0526.9249-13</v>
      </c>
      <c r="X510" s="41" t="str">
        <f t="shared" si="48"/>
        <v/>
      </c>
    </row>
    <row r="511" s="32" customFormat="1" hidden="1" customHeight="1" spans="1:24">
      <c r="A511" s="34"/>
      <c r="B511" s="51">
        <v>506</v>
      </c>
      <c r="C511" s="51" t="s">
        <v>1687</v>
      </c>
      <c r="D511" s="52" t="s">
        <v>1499</v>
      </c>
      <c r="E511" s="53">
        <v>1</v>
      </c>
      <c r="F511" s="54" t="s">
        <v>29</v>
      </c>
      <c r="G511" s="54" t="s">
        <v>1658</v>
      </c>
      <c r="H511" s="54" t="s">
        <v>1659</v>
      </c>
      <c r="I511" s="66">
        <v>46170</v>
      </c>
      <c r="J511" s="54" t="s">
        <v>1660</v>
      </c>
      <c r="K511" s="54" t="s">
        <v>1411</v>
      </c>
      <c r="L511" s="54" t="s">
        <v>1688</v>
      </c>
      <c r="M511" s="97" t="str">
        <f t="shared" si="46"/>
        <v>Open File</v>
      </c>
      <c r="N511" s="70" t="s">
        <v>1662</v>
      </c>
      <c r="O511" s="71" t="str">
        <f t="shared" si="49"/>
        <v>ACTIVE</v>
      </c>
      <c r="P511" s="66"/>
      <c r="Q511" s="66"/>
      <c r="R511" s="54"/>
      <c r="S511" s="82"/>
      <c r="T511" s="83" t="str">
        <f t="shared" si="47"/>
        <v/>
      </c>
      <c r="U511" s="10"/>
      <c r="V511" s="41">
        <f>IF(AND(Q511&lt;&gt;"",RIGHT(Q511,3)&lt;&gt;""),IF(COUNTIF($Q$6:Q511,Q511)=1,1,0),0)</f>
        <v>0</v>
      </c>
      <c r="W511" s="41" t="str">
        <f t="shared" si="53"/>
        <v>BA.04.HEAD.0526.9249-14</v>
      </c>
      <c r="X511" s="41" t="str">
        <f t="shared" si="48"/>
        <v/>
      </c>
    </row>
    <row r="512" s="32" customFormat="1" hidden="1" customHeight="1" spans="1:24">
      <c r="A512" s="34"/>
      <c r="B512" s="51">
        <v>507</v>
      </c>
      <c r="C512" s="51" t="s">
        <v>1689</v>
      </c>
      <c r="D512" s="52" t="s">
        <v>1503</v>
      </c>
      <c r="E512" s="53">
        <v>1</v>
      </c>
      <c r="F512" s="54" t="s">
        <v>29</v>
      </c>
      <c r="G512" s="54" t="s">
        <v>1658</v>
      </c>
      <c r="H512" s="54" t="s">
        <v>1659</v>
      </c>
      <c r="I512" s="66">
        <v>46170</v>
      </c>
      <c r="J512" s="54" t="s">
        <v>1660</v>
      </c>
      <c r="K512" s="54" t="s">
        <v>1500</v>
      </c>
      <c r="L512" s="54" t="s">
        <v>1690</v>
      </c>
      <c r="M512" s="97" t="str">
        <f t="shared" si="46"/>
        <v>Open File</v>
      </c>
      <c r="N512" s="70" t="s">
        <v>1662</v>
      </c>
      <c r="O512" s="71" t="str">
        <f t="shared" si="49"/>
        <v>ACTIVE</v>
      </c>
      <c r="P512" s="66"/>
      <c r="Q512" s="66"/>
      <c r="R512" s="54"/>
      <c r="S512" s="82"/>
      <c r="T512" s="83" t="str">
        <f t="shared" si="47"/>
        <v/>
      </c>
      <c r="U512" s="10"/>
      <c r="V512" s="41">
        <f>IF(AND(Q512&lt;&gt;"",RIGHT(Q512,3)&lt;&gt;""),IF(COUNTIF($Q$6:Q512,Q512)=1,1,0),0)</f>
        <v>0</v>
      </c>
      <c r="W512" s="41" t="str">
        <f t="shared" si="53"/>
        <v>BA.04.HEAD.0526.9249-15</v>
      </c>
      <c r="X512" s="41" t="str">
        <f t="shared" si="48"/>
        <v/>
      </c>
    </row>
    <row r="513" s="32" customFormat="1" hidden="1" customHeight="1" spans="1:24">
      <c r="A513" s="34"/>
      <c r="B513" s="51">
        <v>508</v>
      </c>
      <c r="C513" s="51" t="s">
        <v>1691</v>
      </c>
      <c r="D513" s="52" t="s">
        <v>1119</v>
      </c>
      <c r="E513" s="53">
        <v>1</v>
      </c>
      <c r="F513" s="54" t="s">
        <v>29</v>
      </c>
      <c r="G513" s="54" t="s">
        <v>1658</v>
      </c>
      <c r="H513" s="54" t="s">
        <v>1659</v>
      </c>
      <c r="I513" s="66">
        <v>46170</v>
      </c>
      <c r="J513" s="54" t="s">
        <v>1660</v>
      </c>
      <c r="K513" s="54" t="s">
        <v>1504</v>
      </c>
      <c r="L513" s="54" t="s">
        <v>1692</v>
      </c>
      <c r="M513" s="97" t="str">
        <f t="shared" si="46"/>
        <v>Open File</v>
      </c>
      <c r="N513" s="70" t="s">
        <v>1662</v>
      </c>
      <c r="O513" s="71" t="str">
        <f t="shared" si="49"/>
        <v>ACTIVE</v>
      </c>
      <c r="P513" s="66"/>
      <c r="Q513" s="66"/>
      <c r="R513" s="54"/>
      <c r="S513" s="82"/>
      <c r="T513" s="83" t="str">
        <f t="shared" si="47"/>
        <v/>
      </c>
      <c r="U513" s="10"/>
      <c r="V513" s="41">
        <f>IF(AND(Q513&lt;&gt;"",RIGHT(Q513,3)&lt;&gt;""),IF(COUNTIF($Q$6:Q513,Q513)=1,1,0),0)</f>
        <v>0</v>
      </c>
      <c r="W513" s="41" t="str">
        <f t="shared" si="53"/>
        <v>BA.04.HEAD.0526.9249-16</v>
      </c>
      <c r="X513" s="41" t="str">
        <f t="shared" si="48"/>
        <v/>
      </c>
    </row>
    <row r="514" s="32" customFormat="1" hidden="1" customHeight="1" spans="1:24">
      <c r="A514" s="34"/>
      <c r="B514" s="51">
        <v>509</v>
      </c>
      <c r="C514" s="51" t="s">
        <v>1693</v>
      </c>
      <c r="D514" s="52" t="s">
        <v>1510</v>
      </c>
      <c r="E514" s="53">
        <v>1</v>
      </c>
      <c r="F514" s="54" t="s">
        <v>66</v>
      </c>
      <c r="G514" s="54" t="s">
        <v>1658</v>
      </c>
      <c r="H514" s="54" t="s">
        <v>1659</v>
      </c>
      <c r="I514" s="66">
        <v>46170</v>
      </c>
      <c r="J514" s="54" t="s">
        <v>1660</v>
      </c>
      <c r="K514" s="54" t="s">
        <v>1507</v>
      </c>
      <c r="L514" s="54" t="s">
        <v>1694</v>
      </c>
      <c r="M514" s="95" t="str">
        <f t="shared" si="46"/>
        <v>Open File</v>
      </c>
      <c r="N514" s="70" t="s">
        <v>1662</v>
      </c>
      <c r="O514" s="71" t="str">
        <f t="shared" si="49"/>
        <v>ACTIVE</v>
      </c>
      <c r="P514" s="66"/>
      <c r="Q514" s="66"/>
      <c r="R514" s="54"/>
      <c r="S514" s="82"/>
      <c r="T514" s="83" t="str">
        <f t="shared" si="47"/>
        <v/>
      </c>
      <c r="U514" s="10"/>
      <c r="V514" s="41">
        <f>IF(AND(Q514&lt;&gt;"",RIGHT(Q514,3)&lt;&gt;""),IF(COUNTIF($Q$6:Q514,Q514)=1,1,0),0)</f>
        <v>0</v>
      </c>
      <c r="W514" s="41" t="str">
        <f t="shared" si="53"/>
        <v>BA.04.HEAD.0526.9249-17</v>
      </c>
      <c r="X514" s="41" t="str">
        <f t="shared" si="48"/>
        <v/>
      </c>
    </row>
    <row r="515" s="32" customFormat="1" hidden="1" customHeight="1" spans="1:24">
      <c r="A515" s="34"/>
      <c r="B515" s="51">
        <v>510</v>
      </c>
      <c r="C515" s="51" t="s">
        <v>1695</v>
      </c>
      <c r="D515" s="52" t="s">
        <v>1510</v>
      </c>
      <c r="E515" s="53">
        <v>1</v>
      </c>
      <c r="F515" s="54" t="s">
        <v>66</v>
      </c>
      <c r="G515" s="54" t="s">
        <v>1658</v>
      </c>
      <c r="H515" s="54" t="s">
        <v>1659</v>
      </c>
      <c r="I515" s="66">
        <v>46170</v>
      </c>
      <c r="J515" s="54" t="s">
        <v>1660</v>
      </c>
      <c r="K515" s="54" t="s">
        <v>1511</v>
      </c>
      <c r="L515" s="54" t="s">
        <v>1696</v>
      </c>
      <c r="M515" s="97" t="str">
        <f t="shared" si="46"/>
        <v>Open File</v>
      </c>
      <c r="N515" s="70" t="s">
        <v>1662</v>
      </c>
      <c r="O515" s="71" t="str">
        <f t="shared" si="49"/>
        <v>ACTIVE</v>
      </c>
      <c r="P515" s="66"/>
      <c r="Q515" s="66"/>
      <c r="R515" s="54"/>
      <c r="S515" s="82"/>
      <c r="T515" s="83" t="str">
        <f t="shared" si="47"/>
        <v/>
      </c>
      <c r="U515" s="10"/>
      <c r="V515" s="41">
        <f>IF(AND(Q515&lt;&gt;"",RIGHT(Q515,3)&lt;&gt;""),IF(COUNTIF($Q$6:Q515,Q515)=1,1,0),0)</f>
        <v>0</v>
      </c>
      <c r="W515" s="41" t="str">
        <f>IF(AND(K515&lt;&gt;"",L515&lt;&gt;""),_xlfn.CONCAT(SUBSTITUTE(K515,"/","."),"-",L515),"")</f>
        <v>18-BA.04.HEAD.0526.9249-18</v>
      </c>
      <c r="X515" s="41" t="str">
        <f t="shared" si="48"/>
        <v/>
      </c>
    </row>
    <row r="516" s="32" customFormat="1" hidden="1" customHeight="1" spans="1:24">
      <c r="A516" s="34"/>
      <c r="B516" s="51">
        <v>511</v>
      </c>
      <c r="C516" s="51" t="s">
        <v>1697</v>
      </c>
      <c r="D516" s="52" t="s">
        <v>1517</v>
      </c>
      <c r="E516" s="53">
        <v>1</v>
      </c>
      <c r="F516" s="54" t="s">
        <v>29</v>
      </c>
      <c r="G516" s="54" t="s">
        <v>1658</v>
      </c>
      <c r="H516" s="54" t="s">
        <v>1659</v>
      </c>
      <c r="I516" s="66">
        <v>46170</v>
      </c>
      <c r="J516" s="54" t="s">
        <v>1660</v>
      </c>
      <c r="K516" s="54" t="s">
        <v>1514</v>
      </c>
      <c r="L516" s="54" t="s">
        <v>1698</v>
      </c>
      <c r="M516" s="97" t="str">
        <f t="shared" si="46"/>
        <v>Open File</v>
      </c>
      <c r="N516" s="70" t="s">
        <v>1662</v>
      </c>
      <c r="O516" s="71" t="str">
        <f t="shared" si="49"/>
        <v>ACTIVE</v>
      </c>
      <c r="P516" s="66"/>
      <c r="Q516" s="66"/>
      <c r="R516" s="54"/>
      <c r="S516" s="82"/>
      <c r="T516" s="83" t="str">
        <f t="shared" si="47"/>
        <v/>
      </c>
      <c r="U516" s="10"/>
      <c r="V516" s="41">
        <f>IF(AND(Q516&lt;&gt;"",RIGHT(Q516,3)&lt;&gt;""),IF(COUNTIF($Q$6:Q516,Q516)=1,1,0),0)</f>
        <v>0</v>
      </c>
      <c r="W516" s="41" t="str">
        <f>IF(AND(J516&lt;&gt;"",K516&lt;&gt;""),_xlfn.CONCAT(SUBSTITUTE(J516,"/","."),"-",K516),"")</f>
        <v>BA.04.HEAD.0526.9249-19</v>
      </c>
      <c r="X516" s="41" t="str">
        <f t="shared" si="48"/>
        <v/>
      </c>
    </row>
    <row r="517" s="32" customFormat="1" hidden="1" customHeight="1" spans="1:24">
      <c r="A517" s="34"/>
      <c r="B517" s="51">
        <v>512</v>
      </c>
      <c r="C517" s="51" t="s">
        <v>1699</v>
      </c>
      <c r="D517" s="52" t="s">
        <v>1517</v>
      </c>
      <c r="E517" s="53">
        <v>1</v>
      </c>
      <c r="F517" s="54" t="s">
        <v>29</v>
      </c>
      <c r="G517" s="54" t="s">
        <v>1658</v>
      </c>
      <c r="H517" s="54" t="s">
        <v>1659</v>
      </c>
      <c r="I517" s="66">
        <v>46170</v>
      </c>
      <c r="J517" s="54" t="s">
        <v>1660</v>
      </c>
      <c r="K517" s="54" t="s">
        <v>1518</v>
      </c>
      <c r="L517" s="54" t="s">
        <v>1700</v>
      </c>
      <c r="M517" s="97" t="str">
        <f t="shared" si="46"/>
        <v>Open File</v>
      </c>
      <c r="N517" s="70" t="s">
        <v>1662</v>
      </c>
      <c r="O517" s="71" t="str">
        <f t="shared" si="49"/>
        <v>ACTIVE</v>
      </c>
      <c r="P517" s="66"/>
      <c r="Q517" s="66"/>
      <c r="R517" s="54"/>
      <c r="S517" s="82"/>
      <c r="T517" s="83" t="str">
        <f t="shared" si="47"/>
        <v/>
      </c>
      <c r="U517" s="10"/>
      <c r="V517" s="41">
        <f>IF(AND(Q517&lt;&gt;"",RIGHT(Q517,3)&lt;&gt;""),IF(COUNTIF($Q$6:Q517,Q517)=1,1,0),0)</f>
        <v>0</v>
      </c>
      <c r="W517" s="41" t="str">
        <f>IF(AND(K517&lt;&gt;"",L517&lt;&gt;""),_xlfn.CONCAT(SUBSTITUTE(K517,"/","."),"-",L517),"")</f>
        <v>20-BA.04.HEAD.0526.9249-20</v>
      </c>
      <c r="X517" s="41" t="str">
        <f t="shared" si="48"/>
        <v/>
      </c>
    </row>
    <row r="518" s="32" customFormat="1" hidden="1" customHeight="1" spans="1:24">
      <c r="A518" s="34"/>
      <c r="B518" s="51">
        <v>513</v>
      </c>
      <c r="C518" s="51" t="s">
        <v>1701</v>
      </c>
      <c r="D518" s="52" t="s">
        <v>1524</v>
      </c>
      <c r="E518" s="53">
        <v>1</v>
      </c>
      <c r="F518" s="54" t="s">
        <v>29</v>
      </c>
      <c r="G518" s="54" t="s">
        <v>1658</v>
      </c>
      <c r="H518" s="54" t="s">
        <v>1659</v>
      </c>
      <c r="I518" s="66">
        <v>46170</v>
      </c>
      <c r="J518" s="54" t="s">
        <v>1660</v>
      </c>
      <c r="K518" s="54" t="s">
        <v>1521</v>
      </c>
      <c r="L518" s="54" t="s">
        <v>1702</v>
      </c>
      <c r="M518" s="97" t="str">
        <f t="shared" si="46"/>
        <v>Open File</v>
      </c>
      <c r="N518" s="70" t="s">
        <v>1662</v>
      </c>
      <c r="O518" s="71" t="str">
        <f t="shared" si="49"/>
        <v>ACTIVE</v>
      </c>
      <c r="P518" s="66"/>
      <c r="Q518" s="66"/>
      <c r="R518" s="54"/>
      <c r="S518" s="82"/>
      <c r="T518" s="83" t="str">
        <f t="shared" si="47"/>
        <v/>
      </c>
      <c r="U518" s="10"/>
      <c r="V518" s="41">
        <f>IF(AND(Q518&lt;&gt;"",RIGHT(Q518,3)&lt;&gt;""),IF(COUNTIF($Q$6:Q518,Q518)=1,1,0),0)</f>
        <v>0</v>
      </c>
      <c r="W518" s="41" t="str">
        <f>IF(AND(J518&lt;&gt;"",K518&lt;&gt;""),_xlfn.CONCAT(SUBSTITUTE(J518,"/","."),"-",K518),"")</f>
        <v>BA.04.HEAD.0526.9249-21</v>
      </c>
      <c r="X518" s="41" t="str">
        <f t="shared" si="48"/>
        <v/>
      </c>
    </row>
    <row r="519" s="32" customFormat="1" hidden="1" customHeight="1" spans="1:24">
      <c r="A519" s="34"/>
      <c r="B519" s="51">
        <v>514</v>
      </c>
      <c r="C519" s="51" t="s">
        <v>1703</v>
      </c>
      <c r="D519" s="52" t="s">
        <v>1524</v>
      </c>
      <c r="E519" s="53">
        <v>1</v>
      </c>
      <c r="F519" s="54" t="s">
        <v>29</v>
      </c>
      <c r="G519" s="54" t="s">
        <v>1658</v>
      </c>
      <c r="H519" s="54" t="s">
        <v>1659</v>
      </c>
      <c r="I519" s="66">
        <v>46170</v>
      </c>
      <c r="J519" s="54" t="s">
        <v>1660</v>
      </c>
      <c r="K519" s="54" t="s">
        <v>1525</v>
      </c>
      <c r="L519" s="54" t="s">
        <v>1704</v>
      </c>
      <c r="M519" s="97" t="str">
        <f t="shared" si="46"/>
        <v>Open File</v>
      </c>
      <c r="N519" s="70" t="s">
        <v>1662</v>
      </c>
      <c r="O519" s="71" t="str">
        <f t="shared" si="49"/>
        <v>ACTIVE</v>
      </c>
      <c r="P519" s="66"/>
      <c r="Q519" s="66"/>
      <c r="R519" s="54"/>
      <c r="S519" s="82"/>
      <c r="T519" s="83" t="str">
        <f t="shared" si="47"/>
        <v/>
      </c>
      <c r="U519" s="10"/>
      <c r="V519" s="41">
        <f>IF(AND(Q519&lt;&gt;"",RIGHT(Q519,3)&lt;&gt;""),IF(COUNTIF($Q$6:Q519,Q519)=1,1,0),0)</f>
        <v>0</v>
      </c>
      <c r="W519" s="41" t="str">
        <f>IF(AND(K519&lt;&gt;"",L519&lt;&gt;""),_xlfn.CONCAT(SUBSTITUTE(K519,"/","."),"-",L519),"")</f>
        <v>22-BA.04.HEAD.0526.9249-22</v>
      </c>
      <c r="X519" s="41" t="str">
        <f t="shared" si="48"/>
        <v/>
      </c>
    </row>
    <row r="520" s="32" customFormat="1" hidden="1" customHeight="1" spans="1:24">
      <c r="A520" s="34"/>
      <c r="B520" s="51">
        <v>515</v>
      </c>
      <c r="C520" s="51" t="s">
        <v>1705</v>
      </c>
      <c r="D520" s="52" t="s">
        <v>143</v>
      </c>
      <c r="E520" s="53">
        <v>1</v>
      </c>
      <c r="F520" s="54" t="s">
        <v>29</v>
      </c>
      <c r="G520" s="54" t="s">
        <v>1658</v>
      </c>
      <c r="H520" s="54" t="s">
        <v>1659</v>
      </c>
      <c r="I520" s="66">
        <v>46170</v>
      </c>
      <c r="J520" s="54" t="s">
        <v>1660</v>
      </c>
      <c r="K520" s="54" t="s">
        <v>249</v>
      </c>
      <c r="L520" s="54" t="s">
        <v>1706</v>
      </c>
      <c r="M520" s="97" t="str">
        <f t="shared" si="46"/>
        <v>Open File</v>
      </c>
      <c r="N520" s="70" t="s">
        <v>1662</v>
      </c>
      <c r="O520" s="71" t="str">
        <f t="shared" si="49"/>
        <v>ACTIVE</v>
      </c>
      <c r="P520" s="66"/>
      <c r="Q520" s="66"/>
      <c r="R520" s="54"/>
      <c r="S520" s="82"/>
      <c r="T520" s="83" t="str">
        <f t="shared" si="47"/>
        <v/>
      </c>
      <c r="U520" s="10"/>
      <c r="V520" s="41">
        <f>IF(AND(Q520&lt;&gt;"",RIGHT(Q520,3)&lt;&gt;""),IF(COUNTIF($Q$6:Q520,Q520)=1,1,0),0)</f>
        <v>0</v>
      </c>
      <c r="W520" s="41" t="str">
        <f t="shared" ref="W520:W526" si="54">IF(AND(J520&lt;&gt;"",K520&lt;&gt;""),_xlfn.CONCAT(SUBSTITUTE(J520,"/","."),"-",K520),"")</f>
        <v>BA.04.HEAD.0526.9249-23</v>
      </c>
      <c r="X520" s="41" t="str">
        <f t="shared" si="48"/>
        <v/>
      </c>
    </row>
    <row r="521" s="32" customFormat="1" hidden="1" customHeight="1" spans="1:24">
      <c r="A521" s="34"/>
      <c r="B521" s="51">
        <v>516</v>
      </c>
      <c r="C521" s="51" t="s">
        <v>1707</v>
      </c>
      <c r="D521" s="52" t="s">
        <v>1533</v>
      </c>
      <c r="E521" s="53">
        <v>1</v>
      </c>
      <c r="F521" s="54" t="s">
        <v>29</v>
      </c>
      <c r="G521" s="54" t="s">
        <v>1658</v>
      </c>
      <c r="H521" s="54" t="s">
        <v>1659</v>
      </c>
      <c r="I521" s="66">
        <v>46170</v>
      </c>
      <c r="J521" s="54" t="s">
        <v>1660</v>
      </c>
      <c r="K521" s="54" t="s">
        <v>1530</v>
      </c>
      <c r="L521" s="54" t="s">
        <v>1708</v>
      </c>
      <c r="M521" s="97" t="str">
        <f t="shared" si="46"/>
        <v>Open File</v>
      </c>
      <c r="N521" s="70" t="s">
        <v>1662</v>
      </c>
      <c r="O521" s="71" t="str">
        <f t="shared" si="49"/>
        <v>ACTIVE</v>
      </c>
      <c r="P521" s="66"/>
      <c r="Q521" s="66"/>
      <c r="R521" s="54"/>
      <c r="S521" s="82"/>
      <c r="T521" s="83" t="str">
        <f t="shared" si="47"/>
        <v/>
      </c>
      <c r="U521" s="10"/>
      <c r="V521" s="41">
        <f>IF(AND(Q521&lt;&gt;"",RIGHT(Q521,3)&lt;&gt;""),IF(COUNTIF($Q$6:Q521,Q521)=1,1,0),0)</f>
        <v>0</v>
      </c>
      <c r="W521" s="41" t="str">
        <f t="shared" si="54"/>
        <v>BA.04.HEAD.0526.9249-24</v>
      </c>
      <c r="X521" s="41" t="str">
        <f t="shared" si="48"/>
        <v/>
      </c>
    </row>
    <row r="522" s="32" customFormat="1" hidden="1" customHeight="1" spans="1:24">
      <c r="A522" s="34"/>
      <c r="B522" s="51">
        <v>517</v>
      </c>
      <c r="C522" s="51" t="s">
        <v>1709</v>
      </c>
      <c r="D522" s="52" t="s">
        <v>1537</v>
      </c>
      <c r="E522" s="53">
        <v>1</v>
      </c>
      <c r="F522" s="54" t="s">
        <v>29</v>
      </c>
      <c r="G522" s="54" t="s">
        <v>1658</v>
      </c>
      <c r="H522" s="54" t="s">
        <v>1659</v>
      </c>
      <c r="I522" s="66">
        <v>46170</v>
      </c>
      <c r="J522" s="54" t="s">
        <v>1660</v>
      </c>
      <c r="K522" s="54" t="s">
        <v>1534</v>
      </c>
      <c r="L522" s="54" t="s">
        <v>1710</v>
      </c>
      <c r="M522" s="97" t="str">
        <f t="shared" ref="M522:M527" si="55">IF(L522="","",HYPERLINK(_xlfn.CONCAT($L$4,L522,".jpg"),"Open File"))</f>
        <v>Open File</v>
      </c>
      <c r="N522" s="70" t="s">
        <v>1662</v>
      </c>
      <c r="O522" s="71" t="str">
        <f t="shared" si="49"/>
        <v>ACTIVE</v>
      </c>
      <c r="P522" s="66"/>
      <c r="Q522" s="66"/>
      <c r="R522" s="54"/>
      <c r="S522" s="82"/>
      <c r="T522" s="83" t="str">
        <f t="shared" ref="T522:T527" si="56">IF(S522="","",HYPERLINK(_xlfn.CONCAT($S$4,S522,".jpg"),"Open File"))</f>
        <v/>
      </c>
      <c r="U522" s="10"/>
      <c r="V522" s="41">
        <f>IF(AND(Q522&lt;&gt;"",RIGHT(Q522,3)&lt;&gt;""),IF(COUNTIF($Q$6:Q522,Q522)=1,1,0),0)</f>
        <v>0</v>
      </c>
      <c r="W522" s="41" t="str">
        <f t="shared" si="54"/>
        <v>BA.04.HEAD.0526.9249-25</v>
      </c>
      <c r="X522" s="41" t="str">
        <f t="shared" ref="X522:X527" si="57">IF(AND(Q522&lt;&gt;"",R522&lt;&gt;""),_xlfn.CONCAT(SUBSTITUTE(Q522,"/","."),"-",R522),"")</f>
        <v/>
      </c>
    </row>
    <row r="523" s="32" customFormat="1" hidden="1" customHeight="1" spans="1:24">
      <c r="A523" s="34"/>
      <c r="B523" s="51">
        <v>518</v>
      </c>
      <c r="C523" s="51" t="s">
        <v>1711</v>
      </c>
      <c r="D523" s="52" t="s">
        <v>1541</v>
      </c>
      <c r="E523" s="53">
        <v>1</v>
      </c>
      <c r="F523" s="54" t="s">
        <v>29</v>
      </c>
      <c r="G523" s="54" t="s">
        <v>1658</v>
      </c>
      <c r="H523" s="54" t="s">
        <v>1659</v>
      </c>
      <c r="I523" s="66">
        <v>46170</v>
      </c>
      <c r="J523" s="54" t="s">
        <v>1660</v>
      </c>
      <c r="K523" s="54" t="s">
        <v>1538</v>
      </c>
      <c r="L523" s="54" t="s">
        <v>1712</v>
      </c>
      <c r="M523" s="97" t="str">
        <f t="shared" si="55"/>
        <v>Open File</v>
      </c>
      <c r="N523" s="70" t="s">
        <v>1662</v>
      </c>
      <c r="O523" s="71" t="str">
        <f t="shared" si="49"/>
        <v>ACTIVE</v>
      </c>
      <c r="P523" s="66"/>
      <c r="Q523" s="66"/>
      <c r="R523" s="54"/>
      <c r="S523" s="82"/>
      <c r="T523" s="83" t="str">
        <f t="shared" si="56"/>
        <v/>
      </c>
      <c r="U523" s="10"/>
      <c r="V523" s="41">
        <f>IF(AND(Q523&lt;&gt;"",RIGHT(Q523,3)&lt;&gt;""),IF(COUNTIF($Q$6:Q523,Q523)=1,1,0),0)</f>
        <v>0</v>
      </c>
      <c r="W523" s="41" t="str">
        <f t="shared" si="54"/>
        <v>BA.04.HEAD.0526.9249-26</v>
      </c>
      <c r="X523" s="41" t="str">
        <f t="shared" si="57"/>
        <v/>
      </c>
    </row>
    <row r="524" s="32" customFormat="1" hidden="1" customHeight="1" spans="1:24">
      <c r="A524" s="34"/>
      <c r="B524" s="51">
        <v>519</v>
      </c>
      <c r="C524" s="51" t="s">
        <v>1713</v>
      </c>
      <c r="D524" s="52" t="s">
        <v>1451</v>
      </c>
      <c r="E524" s="53">
        <v>1</v>
      </c>
      <c r="F524" s="54" t="s">
        <v>29</v>
      </c>
      <c r="G524" s="54" t="s">
        <v>1038</v>
      </c>
      <c r="H524" s="54" t="s">
        <v>1714</v>
      </c>
      <c r="I524" s="66">
        <v>46171</v>
      </c>
      <c r="J524" s="54" t="s">
        <v>1715</v>
      </c>
      <c r="K524" s="54" t="s">
        <v>226</v>
      </c>
      <c r="L524" s="54" t="s">
        <v>1716</v>
      </c>
      <c r="M524" s="97" t="str">
        <f t="shared" si="55"/>
        <v>Open File</v>
      </c>
      <c r="N524" s="70" t="s">
        <v>1717</v>
      </c>
      <c r="O524" s="71" t="str">
        <f t="shared" si="49"/>
        <v>ACTIVE</v>
      </c>
      <c r="P524" s="66"/>
      <c r="Q524" s="66"/>
      <c r="R524" s="54"/>
      <c r="S524" s="82"/>
      <c r="T524" s="83" t="str">
        <f t="shared" si="56"/>
        <v/>
      </c>
      <c r="U524" s="10"/>
      <c r="V524" s="41">
        <f>IF(AND(Q524&lt;&gt;"",RIGHT(Q524,3)&lt;&gt;""),IF(COUNTIF($Q$6:Q524,Q524)=1,1,0),0)</f>
        <v>0</v>
      </c>
      <c r="W524" s="41" t="str">
        <f t="shared" si="54"/>
        <v>05.WHEAD.0526.8270-1</v>
      </c>
      <c r="X524" s="41" t="str">
        <f t="shared" si="57"/>
        <v/>
      </c>
    </row>
    <row r="525" s="32" customFormat="1" hidden="1" customHeight="1" spans="1:24">
      <c r="A525" s="34"/>
      <c r="B525" s="51">
        <v>520</v>
      </c>
      <c r="C525" s="51" t="s">
        <v>1718</v>
      </c>
      <c r="D525" s="52" t="s">
        <v>1456</v>
      </c>
      <c r="E525" s="53">
        <v>1</v>
      </c>
      <c r="F525" s="54" t="s">
        <v>29</v>
      </c>
      <c r="G525" s="54" t="s">
        <v>1038</v>
      </c>
      <c r="H525" s="54" t="s">
        <v>1714</v>
      </c>
      <c r="I525" s="66">
        <v>46171</v>
      </c>
      <c r="J525" s="54" t="s">
        <v>1715</v>
      </c>
      <c r="K525" s="54" t="s">
        <v>1239</v>
      </c>
      <c r="L525" s="54" t="s">
        <v>1719</v>
      </c>
      <c r="M525" s="97" t="str">
        <f t="shared" si="55"/>
        <v>Open File</v>
      </c>
      <c r="N525" s="70" t="s">
        <v>1717</v>
      </c>
      <c r="O525" s="71" t="str">
        <f t="shared" si="49"/>
        <v>ACTIVE</v>
      </c>
      <c r="P525" s="66"/>
      <c r="Q525" s="66"/>
      <c r="R525" s="54"/>
      <c r="S525" s="82"/>
      <c r="T525" s="83" t="str">
        <f t="shared" si="56"/>
        <v/>
      </c>
      <c r="U525" s="10"/>
      <c r="V525" s="41">
        <f>IF(AND(Q525&lt;&gt;"",RIGHT(Q525,3)&lt;&gt;""),IF(COUNTIF($Q$6:Q525,Q525)=1,1,0),0)</f>
        <v>0</v>
      </c>
      <c r="W525" s="41" t="str">
        <f t="shared" si="54"/>
        <v>05.WHEAD.0526.8270-2</v>
      </c>
      <c r="X525" s="41" t="str">
        <f t="shared" si="57"/>
        <v/>
      </c>
    </row>
    <row r="526" s="32" customFormat="1" hidden="1" customHeight="1" spans="1:24">
      <c r="A526" s="34"/>
      <c r="B526" s="51">
        <v>521</v>
      </c>
      <c r="C526" s="51" t="s">
        <v>1720</v>
      </c>
      <c r="D526" s="52" t="s">
        <v>1459</v>
      </c>
      <c r="E526" s="53">
        <v>1</v>
      </c>
      <c r="F526" s="54" t="s">
        <v>29</v>
      </c>
      <c r="G526" s="54" t="s">
        <v>1038</v>
      </c>
      <c r="H526" s="54" t="s">
        <v>1714</v>
      </c>
      <c r="I526" s="66">
        <v>46171</v>
      </c>
      <c r="J526" s="54" t="s">
        <v>1715</v>
      </c>
      <c r="K526" s="54" t="s">
        <v>1423</v>
      </c>
      <c r="L526" s="54" t="s">
        <v>1721</v>
      </c>
      <c r="M526" s="97" t="str">
        <f t="shared" si="55"/>
        <v>Open File</v>
      </c>
      <c r="N526" s="70" t="s">
        <v>1717</v>
      </c>
      <c r="O526" s="71" t="str">
        <f t="shared" si="49"/>
        <v>ACTIVE</v>
      </c>
      <c r="P526" s="66"/>
      <c r="Q526" s="66"/>
      <c r="R526" s="54"/>
      <c r="S526" s="82"/>
      <c r="T526" s="83" t="str">
        <f t="shared" si="56"/>
        <v/>
      </c>
      <c r="U526" s="10"/>
      <c r="V526" s="41">
        <f>IF(AND(Q526&lt;&gt;"",RIGHT(Q526,3)&lt;&gt;""),IF(COUNTIF($Q$6:Q526,Q526)=1,1,0),0)</f>
        <v>0</v>
      </c>
      <c r="W526" s="41" t="str">
        <f t="shared" si="54"/>
        <v>05.WHEAD.0526.8270-3</v>
      </c>
      <c r="X526" s="41" t="str">
        <f t="shared" si="57"/>
        <v/>
      </c>
    </row>
    <row r="527" s="32" customFormat="1" hidden="1" customHeight="1" spans="1:24">
      <c r="A527" s="34"/>
      <c r="B527" s="51">
        <v>522</v>
      </c>
      <c r="C527" s="51" t="s">
        <v>1722</v>
      </c>
      <c r="D527" s="52" t="s">
        <v>1459</v>
      </c>
      <c r="E527" s="53">
        <v>1</v>
      </c>
      <c r="F527" s="54" t="s">
        <v>29</v>
      </c>
      <c r="G527" s="54" t="s">
        <v>1038</v>
      </c>
      <c r="H527" s="54" t="s">
        <v>1714</v>
      </c>
      <c r="I527" s="66">
        <v>46171</v>
      </c>
      <c r="J527" s="54" t="s">
        <v>1715</v>
      </c>
      <c r="K527" s="54" t="s">
        <v>1427</v>
      </c>
      <c r="L527" s="54" t="s">
        <v>1723</v>
      </c>
      <c r="M527" s="97" t="str">
        <f t="shared" si="55"/>
        <v>Open File</v>
      </c>
      <c r="N527" s="70" t="s">
        <v>1717</v>
      </c>
      <c r="O527" s="71" t="str">
        <f t="shared" si="49"/>
        <v>ACTIVE</v>
      </c>
      <c r="P527" s="66"/>
      <c r="Q527" s="66"/>
      <c r="R527" s="54"/>
      <c r="S527" s="82"/>
      <c r="T527" s="83" t="str">
        <f t="shared" si="56"/>
        <v/>
      </c>
      <c r="U527" s="10"/>
      <c r="V527" s="41">
        <f>IF(AND(Q527&lt;&gt;"",RIGHT(Q527,3)&lt;&gt;""),IF(COUNTIF($Q$6:Q527,Q527)=1,1,0),0)</f>
        <v>0</v>
      </c>
      <c r="W527" s="41" t="str">
        <f>IF(AND(K527&lt;&gt;"",L527&lt;&gt;""),_xlfn.CONCAT(SUBSTITUTE(K527,"/","."),"-",L527),"")</f>
        <v>4-05.WHEAD.0526.8270-4</v>
      </c>
      <c r="X527" s="41" t="str">
        <f t="shared" si="57"/>
        <v/>
      </c>
    </row>
    <row r="528" s="32" customFormat="1" hidden="1" customHeight="1" spans="1:24">
      <c r="A528" s="34"/>
      <c r="B528" s="51">
        <v>523</v>
      </c>
      <c r="C528" s="51" t="s">
        <v>1724</v>
      </c>
      <c r="D528" s="52" t="s">
        <v>1462</v>
      </c>
      <c r="E528" s="53">
        <v>1</v>
      </c>
      <c r="F528" s="54" t="s">
        <v>29</v>
      </c>
      <c r="G528" s="54" t="s">
        <v>1038</v>
      </c>
      <c r="H528" s="54" t="s">
        <v>1714</v>
      </c>
      <c r="I528" s="66">
        <v>46171</v>
      </c>
      <c r="J528" s="54" t="s">
        <v>1715</v>
      </c>
      <c r="K528" s="54" t="s">
        <v>1431</v>
      </c>
      <c r="L528" s="54" t="s">
        <v>1725</v>
      </c>
      <c r="M528" s="97" t="str">
        <f t="shared" ref="M528:M573" si="58">IF(L528="","",HYPERLINK(_xlfn.CONCAT($L$4,L528,".jpg"),"Open File"))</f>
        <v>Open File</v>
      </c>
      <c r="N528" s="70" t="s">
        <v>1717</v>
      </c>
      <c r="O528" s="71" t="str">
        <f t="shared" si="49"/>
        <v>ACTIVE</v>
      </c>
      <c r="P528" s="66"/>
      <c r="Q528" s="66"/>
      <c r="R528" s="54"/>
      <c r="S528" s="82"/>
      <c r="T528" s="83" t="str">
        <f t="shared" ref="T528:T573" si="59">IF(S528="","",HYPERLINK(_xlfn.CONCAT($S$4,S528,".jpg"),"Open File"))</f>
        <v/>
      </c>
      <c r="U528" s="10"/>
      <c r="V528" s="41">
        <f>IF(AND(Q528&lt;&gt;"",RIGHT(Q528,3)&lt;&gt;""),IF(COUNTIF($Q$6:Q528,Q528)=1,1,0),0)</f>
        <v>0</v>
      </c>
      <c r="W528" s="41" t="str">
        <f t="shared" ref="W528:W538" si="60">IF(AND(J528&lt;&gt;"",K528&lt;&gt;""),_xlfn.CONCAT(SUBSTITUTE(J528,"/","."),"-",K528),"")</f>
        <v>05.WHEAD.0526.8270-5</v>
      </c>
      <c r="X528" s="41" t="str">
        <f t="shared" ref="X528:X573" si="61">IF(AND(Q528&lt;&gt;"",R528&lt;&gt;""),_xlfn.CONCAT(SUBSTITUTE(Q528,"/","."),"-",R528),"")</f>
        <v/>
      </c>
    </row>
    <row r="529" s="32" customFormat="1" hidden="1" customHeight="1" spans="1:24">
      <c r="A529" s="34"/>
      <c r="B529" s="51">
        <v>524</v>
      </c>
      <c r="C529" s="51" t="s">
        <v>1726</v>
      </c>
      <c r="D529" s="52" t="s">
        <v>1465</v>
      </c>
      <c r="E529" s="53">
        <v>1</v>
      </c>
      <c r="F529" s="54" t="s">
        <v>29</v>
      </c>
      <c r="G529" s="54" t="s">
        <v>1038</v>
      </c>
      <c r="H529" s="54" t="s">
        <v>1714</v>
      </c>
      <c r="I529" s="66">
        <v>46171</v>
      </c>
      <c r="J529" s="54" t="s">
        <v>1715</v>
      </c>
      <c r="K529" s="54" t="s">
        <v>1435</v>
      </c>
      <c r="L529" s="54" t="s">
        <v>1727</v>
      </c>
      <c r="M529" s="97" t="str">
        <f t="shared" si="58"/>
        <v>Open File</v>
      </c>
      <c r="N529" s="70" t="s">
        <v>1717</v>
      </c>
      <c r="O529" s="71" t="str">
        <f t="shared" si="49"/>
        <v>ACTIVE</v>
      </c>
      <c r="P529" s="66"/>
      <c r="Q529" s="66"/>
      <c r="R529" s="54"/>
      <c r="S529" s="82"/>
      <c r="T529" s="83" t="str">
        <f t="shared" si="59"/>
        <v/>
      </c>
      <c r="U529" s="10"/>
      <c r="V529" s="41">
        <f>IF(AND(Q529&lt;&gt;"",RIGHT(Q529,3)&lt;&gt;""),IF(COUNTIF($Q$6:Q529,Q529)=1,1,0),0)</f>
        <v>0</v>
      </c>
      <c r="W529" s="41" t="str">
        <f t="shared" si="60"/>
        <v>05.WHEAD.0526.8270-6</v>
      </c>
      <c r="X529" s="41" t="str">
        <f t="shared" si="61"/>
        <v/>
      </c>
    </row>
    <row r="530" s="32" customFormat="1" hidden="1" customHeight="1" spans="1:24">
      <c r="A530" s="34"/>
      <c r="B530" s="51">
        <v>525</v>
      </c>
      <c r="C530" s="51" t="s">
        <v>1728</v>
      </c>
      <c r="D530" s="52" t="s">
        <v>1468</v>
      </c>
      <c r="E530" s="53">
        <v>1</v>
      </c>
      <c r="F530" s="54" t="s">
        <v>29</v>
      </c>
      <c r="G530" s="54" t="s">
        <v>1038</v>
      </c>
      <c r="H530" s="54" t="s">
        <v>1714</v>
      </c>
      <c r="I530" s="66">
        <v>46171</v>
      </c>
      <c r="J530" s="54" t="s">
        <v>1715</v>
      </c>
      <c r="K530" s="54" t="s">
        <v>1439</v>
      </c>
      <c r="L530" s="54" t="s">
        <v>1729</v>
      </c>
      <c r="M530" s="97" t="str">
        <f t="shared" si="58"/>
        <v>Open File</v>
      </c>
      <c r="N530" s="70" t="s">
        <v>1717</v>
      </c>
      <c r="O530" s="71" t="str">
        <f t="shared" si="49"/>
        <v>ACTIVE</v>
      </c>
      <c r="P530" s="66"/>
      <c r="Q530" s="66"/>
      <c r="R530" s="54"/>
      <c r="S530" s="82"/>
      <c r="T530" s="83" t="str">
        <f t="shared" si="59"/>
        <v/>
      </c>
      <c r="U530" s="10"/>
      <c r="V530" s="41">
        <f>IF(AND(Q530&lt;&gt;"",RIGHT(Q530,3)&lt;&gt;""),IF(COUNTIF($Q$6:Q530,Q530)=1,1,0),0)</f>
        <v>0</v>
      </c>
      <c r="W530" s="41" t="str">
        <f t="shared" si="60"/>
        <v>05.WHEAD.0526.8270-7</v>
      </c>
      <c r="X530" s="41" t="str">
        <f t="shared" si="61"/>
        <v/>
      </c>
    </row>
    <row r="531" s="32" customFormat="1" hidden="1" customHeight="1" spans="1:24">
      <c r="A531" s="34"/>
      <c r="B531" s="51">
        <v>526</v>
      </c>
      <c r="C531" s="51" t="s">
        <v>1730</v>
      </c>
      <c r="D531" s="52" t="s">
        <v>1471</v>
      </c>
      <c r="E531" s="53">
        <v>1</v>
      </c>
      <c r="F531" s="54" t="s">
        <v>29</v>
      </c>
      <c r="G531" s="54" t="s">
        <v>1038</v>
      </c>
      <c r="H531" s="54" t="s">
        <v>1714</v>
      </c>
      <c r="I531" s="66">
        <v>46171</v>
      </c>
      <c r="J531" s="54" t="s">
        <v>1715</v>
      </c>
      <c r="K531" s="54" t="s">
        <v>1443</v>
      </c>
      <c r="L531" s="54" t="s">
        <v>1731</v>
      </c>
      <c r="M531" s="97" t="str">
        <f t="shared" si="58"/>
        <v>Open File</v>
      </c>
      <c r="N531" s="70" t="s">
        <v>1717</v>
      </c>
      <c r="O531" s="71" t="str">
        <f t="shared" ref="O531:O547" si="62">IF(AND(Q531&lt;&gt;"",T531&lt;&gt;""),"PASSIVE",IF(AND(J531&lt;&gt;"",M531&lt;&gt;""),"ACTIVE",""))</f>
        <v>ACTIVE</v>
      </c>
      <c r="P531" s="66"/>
      <c r="Q531" s="66"/>
      <c r="R531" s="54"/>
      <c r="S531" s="82"/>
      <c r="T531" s="83" t="str">
        <f t="shared" si="59"/>
        <v/>
      </c>
      <c r="U531" s="10"/>
      <c r="V531" s="41">
        <f>IF(AND(Q531&lt;&gt;"",RIGHT(Q531,3)&lt;&gt;""),IF(COUNTIF($Q$6:Q531,Q531)=1,1,0),0)</f>
        <v>0</v>
      </c>
      <c r="W531" s="41" t="str">
        <f t="shared" si="60"/>
        <v>05.WHEAD.0526.8270-8</v>
      </c>
      <c r="X531" s="41" t="str">
        <f t="shared" si="61"/>
        <v/>
      </c>
    </row>
    <row r="532" s="32" customFormat="1" hidden="1" customHeight="1" spans="1:24">
      <c r="A532" s="34"/>
      <c r="B532" s="51">
        <v>527</v>
      </c>
      <c r="C532" s="51" t="s">
        <v>1732</v>
      </c>
      <c r="D532" s="52" t="s">
        <v>1474</v>
      </c>
      <c r="E532" s="53">
        <v>1</v>
      </c>
      <c r="F532" s="54" t="s">
        <v>66</v>
      </c>
      <c r="G532" s="54" t="s">
        <v>1038</v>
      </c>
      <c r="H532" s="54" t="s">
        <v>1714</v>
      </c>
      <c r="I532" s="66">
        <v>46171</v>
      </c>
      <c r="J532" s="54" t="s">
        <v>1715</v>
      </c>
      <c r="K532" s="54" t="s">
        <v>1478</v>
      </c>
      <c r="L532" s="54" t="s">
        <v>1733</v>
      </c>
      <c r="M532" s="97" t="str">
        <f t="shared" si="58"/>
        <v>Open File</v>
      </c>
      <c r="N532" s="70" t="s">
        <v>1717</v>
      </c>
      <c r="O532" s="71" t="str">
        <f t="shared" si="62"/>
        <v>ACTIVE</v>
      </c>
      <c r="P532" s="66"/>
      <c r="Q532" s="66"/>
      <c r="R532" s="54"/>
      <c r="S532" s="82"/>
      <c r="T532" s="83" t="str">
        <f t="shared" si="59"/>
        <v/>
      </c>
      <c r="U532" s="10"/>
      <c r="V532" s="41">
        <f>IF(AND(Q532&lt;&gt;"",RIGHT(Q532,3)&lt;&gt;""),IF(COUNTIF($Q$6:Q532,Q532)=1,1,0),0)</f>
        <v>0</v>
      </c>
      <c r="W532" s="41" t="str">
        <f t="shared" si="60"/>
        <v>05.WHEAD.0526.8270-9</v>
      </c>
      <c r="X532" s="41" t="str">
        <f t="shared" si="61"/>
        <v/>
      </c>
    </row>
    <row r="533" s="32" customFormat="1" hidden="1" customHeight="1" spans="1:24">
      <c r="A533" s="34"/>
      <c r="B533" s="51">
        <v>528</v>
      </c>
      <c r="C533" s="51" t="s">
        <v>1734</v>
      </c>
      <c r="D533" s="52" t="s">
        <v>1562</v>
      </c>
      <c r="E533" s="53">
        <v>1</v>
      </c>
      <c r="F533" s="54" t="s">
        <v>29</v>
      </c>
      <c r="G533" s="54" t="s">
        <v>1038</v>
      </c>
      <c r="H533" s="54" t="s">
        <v>1714</v>
      </c>
      <c r="I533" s="66">
        <v>46171</v>
      </c>
      <c r="J533" s="54" t="s">
        <v>1715</v>
      </c>
      <c r="K533" s="54" t="s">
        <v>1481</v>
      </c>
      <c r="L533" s="54" t="s">
        <v>1735</v>
      </c>
      <c r="M533" s="95" t="str">
        <f t="shared" si="58"/>
        <v>Open File</v>
      </c>
      <c r="N533" s="70" t="s">
        <v>1717</v>
      </c>
      <c r="O533" s="71" t="str">
        <f t="shared" si="62"/>
        <v>ACTIVE</v>
      </c>
      <c r="P533" s="66"/>
      <c r="Q533" s="66"/>
      <c r="R533" s="54"/>
      <c r="S533" s="82"/>
      <c r="T533" s="83" t="str">
        <f t="shared" si="59"/>
        <v/>
      </c>
      <c r="U533" s="10"/>
      <c r="V533" s="41">
        <f>IF(AND(Q533&lt;&gt;"",RIGHT(Q533,3)&lt;&gt;""),IF(COUNTIF($Q$6:Q533,Q533)=1,1,0),0)</f>
        <v>0</v>
      </c>
      <c r="W533" s="41" t="str">
        <f t="shared" si="60"/>
        <v>05.WHEAD.0526.8270-10</v>
      </c>
      <c r="X533" s="41" t="str">
        <f t="shared" si="61"/>
        <v/>
      </c>
    </row>
    <row r="534" s="32" customFormat="1" hidden="1" customHeight="1" spans="1:24">
      <c r="A534" s="34"/>
      <c r="B534" s="51">
        <v>529</v>
      </c>
      <c r="C534" s="51" t="s">
        <v>1736</v>
      </c>
      <c r="D534" s="52" t="s">
        <v>1562</v>
      </c>
      <c r="E534" s="53">
        <v>1</v>
      </c>
      <c r="F534" s="54" t="s">
        <v>29</v>
      </c>
      <c r="G534" s="54" t="s">
        <v>1038</v>
      </c>
      <c r="H534" s="54" t="s">
        <v>1714</v>
      </c>
      <c r="I534" s="66">
        <v>46171</v>
      </c>
      <c r="J534" s="54" t="s">
        <v>1715</v>
      </c>
      <c r="K534" s="54" t="s">
        <v>1485</v>
      </c>
      <c r="L534" s="54" t="s">
        <v>1737</v>
      </c>
      <c r="M534" s="95" t="str">
        <f t="shared" si="58"/>
        <v>Open File</v>
      </c>
      <c r="N534" s="70" t="s">
        <v>1717</v>
      </c>
      <c r="O534" s="71" t="str">
        <f t="shared" si="62"/>
        <v>ACTIVE</v>
      </c>
      <c r="P534" s="66"/>
      <c r="Q534" s="66"/>
      <c r="R534" s="54"/>
      <c r="S534" s="82"/>
      <c r="T534" s="83" t="str">
        <f t="shared" si="59"/>
        <v/>
      </c>
      <c r="U534" s="10"/>
      <c r="V534" s="41">
        <f>IF(AND(Q534&lt;&gt;"",RIGHT(Q534,3)&lt;&gt;""),IF(COUNTIF($Q$6:Q534,Q534)=1,1,0),0)</f>
        <v>0</v>
      </c>
      <c r="W534" s="41" t="str">
        <f>IF(AND(K534&lt;&gt;"",L534&lt;&gt;""),_xlfn.CONCAT(SUBSTITUTE(K534,"/","."),"-",L534),"")</f>
        <v>11-05.WHEAD.0526.8270-11</v>
      </c>
      <c r="X534" s="41" t="str">
        <f t="shared" si="61"/>
        <v/>
      </c>
    </row>
    <row r="535" s="32" customFormat="1" hidden="1" customHeight="1" spans="1:24">
      <c r="A535" s="34"/>
      <c r="B535" s="51">
        <v>530</v>
      </c>
      <c r="C535" s="51" t="s">
        <v>1738</v>
      </c>
      <c r="D535" s="52" t="s">
        <v>1567</v>
      </c>
      <c r="E535" s="53">
        <v>1</v>
      </c>
      <c r="F535" s="54" t="s">
        <v>29</v>
      </c>
      <c r="G535" s="54" t="s">
        <v>1038</v>
      </c>
      <c r="H535" s="54" t="s">
        <v>1714</v>
      </c>
      <c r="I535" s="66">
        <v>46171</v>
      </c>
      <c r="J535" s="54" t="s">
        <v>1715</v>
      </c>
      <c r="K535" s="54" t="s">
        <v>1489</v>
      </c>
      <c r="L535" s="54" t="s">
        <v>1739</v>
      </c>
      <c r="M535" s="97" t="str">
        <f t="shared" si="58"/>
        <v>Open File</v>
      </c>
      <c r="N535" s="70" t="s">
        <v>1717</v>
      </c>
      <c r="O535" s="71" t="str">
        <f t="shared" si="62"/>
        <v>ACTIVE</v>
      </c>
      <c r="P535" s="66"/>
      <c r="Q535" s="66"/>
      <c r="R535" s="54"/>
      <c r="S535" s="82"/>
      <c r="T535" s="83" t="str">
        <f t="shared" si="59"/>
        <v/>
      </c>
      <c r="U535" s="10"/>
      <c r="V535" s="41">
        <f>IF(AND(Q535&lt;&gt;"",RIGHT(Q535,3)&lt;&gt;""),IF(COUNTIF($Q$6:Q535,Q535)=1,1,0),0)</f>
        <v>0</v>
      </c>
      <c r="W535" s="41" t="str">
        <f t="shared" ref="W535:W542" si="63">IF(AND(J535&lt;&gt;"",K535&lt;&gt;""),_xlfn.CONCAT(SUBSTITUTE(J535,"/","."),"-",K535),"")</f>
        <v>05.WHEAD.0526.8270-12</v>
      </c>
      <c r="X535" s="41" t="str">
        <f t="shared" si="61"/>
        <v/>
      </c>
    </row>
    <row r="536" s="32" customFormat="1" hidden="1" customHeight="1" spans="1:24">
      <c r="A536" s="34"/>
      <c r="B536" s="51">
        <v>531</v>
      </c>
      <c r="C536" s="51" t="s">
        <v>1740</v>
      </c>
      <c r="D536" s="52" t="s">
        <v>1488</v>
      </c>
      <c r="E536" s="53">
        <v>1</v>
      </c>
      <c r="F536" s="54" t="s">
        <v>29</v>
      </c>
      <c r="G536" s="54" t="s">
        <v>1038</v>
      </c>
      <c r="H536" s="54" t="s">
        <v>1714</v>
      </c>
      <c r="I536" s="66">
        <v>46171</v>
      </c>
      <c r="J536" s="54" t="s">
        <v>1715</v>
      </c>
      <c r="K536" s="54" t="s">
        <v>1493</v>
      </c>
      <c r="L536" s="54" t="s">
        <v>1741</v>
      </c>
      <c r="M536" s="97" t="str">
        <f t="shared" si="58"/>
        <v>Open File</v>
      </c>
      <c r="N536" s="70" t="s">
        <v>1717</v>
      </c>
      <c r="O536" s="71" t="str">
        <f t="shared" si="62"/>
        <v>ACTIVE</v>
      </c>
      <c r="P536" s="66"/>
      <c r="Q536" s="66"/>
      <c r="R536" s="54"/>
      <c r="S536" s="82"/>
      <c r="T536" s="83" t="str">
        <f t="shared" si="59"/>
        <v/>
      </c>
      <c r="U536" s="10"/>
      <c r="V536" s="41">
        <f>IF(AND(Q536&lt;&gt;"",RIGHT(Q536,3)&lt;&gt;""),IF(COUNTIF($Q$6:Q536,Q536)=1,1,0),0)</f>
        <v>0</v>
      </c>
      <c r="W536" s="41" t="str">
        <f t="shared" si="63"/>
        <v>05.WHEAD.0526.8270-13</v>
      </c>
      <c r="X536" s="41" t="str">
        <f t="shared" si="61"/>
        <v/>
      </c>
    </row>
    <row r="537" s="32" customFormat="1" hidden="1" customHeight="1" spans="1:24">
      <c r="A537" s="34"/>
      <c r="B537" s="51">
        <v>532</v>
      </c>
      <c r="C537" s="51" t="s">
        <v>1742</v>
      </c>
      <c r="D537" s="52" t="s">
        <v>1492</v>
      </c>
      <c r="E537" s="53">
        <v>1</v>
      </c>
      <c r="F537" s="54" t="s">
        <v>29</v>
      </c>
      <c r="G537" s="54" t="s">
        <v>1038</v>
      </c>
      <c r="H537" s="54" t="s">
        <v>1714</v>
      </c>
      <c r="I537" s="66">
        <v>46171</v>
      </c>
      <c r="J537" s="54" t="s">
        <v>1715</v>
      </c>
      <c r="K537" s="54" t="s">
        <v>1411</v>
      </c>
      <c r="L537" s="54" t="s">
        <v>1743</v>
      </c>
      <c r="M537" s="95" t="str">
        <f t="shared" si="58"/>
        <v>Open File</v>
      </c>
      <c r="N537" s="70" t="s">
        <v>1717</v>
      </c>
      <c r="O537" s="71" t="str">
        <f t="shared" si="62"/>
        <v>ACTIVE</v>
      </c>
      <c r="P537" s="66"/>
      <c r="Q537" s="66"/>
      <c r="R537" s="54"/>
      <c r="S537" s="82"/>
      <c r="T537" s="83" t="str">
        <f t="shared" si="59"/>
        <v/>
      </c>
      <c r="U537" s="10"/>
      <c r="V537" s="41">
        <f>IF(AND(Q537&lt;&gt;"",RIGHT(Q537,3)&lt;&gt;""),IF(COUNTIF($Q$6:Q537,Q537)=1,1,0),0)</f>
        <v>0</v>
      </c>
      <c r="W537" s="41" t="str">
        <f t="shared" si="63"/>
        <v>05.WHEAD.0526.8270-14</v>
      </c>
      <c r="X537" s="41" t="str">
        <f t="shared" si="61"/>
        <v/>
      </c>
    </row>
    <row r="538" s="32" customFormat="1" hidden="1" customHeight="1" spans="1:24">
      <c r="A538" s="34"/>
      <c r="B538" s="51">
        <v>533</v>
      </c>
      <c r="C538" s="51" t="s">
        <v>1744</v>
      </c>
      <c r="D538" s="52" t="s">
        <v>1745</v>
      </c>
      <c r="E538" s="53">
        <v>1</v>
      </c>
      <c r="F538" s="54" t="s">
        <v>29</v>
      </c>
      <c r="G538" s="54" t="s">
        <v>1038</v>
      </c>
      <c r="H538" s="54" t="s">
        <v>1714</v>
      </c>
      <c r="I538" s="66">
        <v>46171</v>
      </c>
      <c r="J538" s="54" t="s">
        <v>1715</v>
      </c>
      <c r="K538" s="54" t="s">
        <v>1500</v>
      </c>
      <c r="L538" s="54" t="s">
        <v>1746</v>
      </c>
      <c r="M538" s="95" t="str">
        <f t="shared" si="58"/>
        <v>Open File</v>
      </c>
      <c r="N538" s="70" t="s">
        <v>1717</v>
      </c>
      <c r="O538" s="71" t="str">
        <f t="shared" si="62"/>
        <v>ACTIVE</v>
      </c>
      <c r="P538" s="66"/>
      <c r="Q538" s="66"/>
      <c r="R538" s="54"/>
      <c r="S538" s="82"/>
      <c r="T538" s="83" t="str">
        <f t="shared" si="59"/>
        <v/>
      </c>
      <c r="U538" s="10"/>
      <c r="V538" s="41">
        <f>IF(AND(Q538&lt;&gt;"",RIGHT(Q538,3)&lt;&gt;""),IF(COUNTIF($Q$6:Q538,Q538)=1,1,0),0)</f>
        <v>0</v>
      </c>
      <c r="W538" s="41" t="str">
        <f t="shared" si="63"/>
        <v>05.WHEAD.0526.8270-15</v>
      </c>
      <c r="X538" s="41" t="str">
        <f t="shared" si="61"/>
        <v/>
      </c>
    </row>
    <row r="539" s="32" customFormat="1" hidden="1" customHeight="1" spans="1:24">
      <c r="A539" s="34"/>
      <c r="B539" s="51">
        <v>534</v>
      </c>
      <c r="C539" s="51" t="s">
        <v>1747</v>
      </c>
      <c r="D539" s="52" t="s">
        <v>1499</v>
      </c>
      <c r="E539" s="53">
        <v>1</v>
      </c>
      <c r="F539" s="54" t="s">
        <v>29</v>
      </c>
      <c r="G539" s="54" t="s">
        <v>1038</v>
      </c>
      <c r="H539" s="54" t="s">
        <v>1714</v>
      </c>
      <c r="I539" s="66">
        <v>46171</v>
      </c>
      <c r="J539" s="54" t="s">
        <v>1715</v>
      </c>
      <c r="K539" s="54" t="s">
        <v>1504</v>
      </c>
      <c r="L539" s="54" t="s">
        <v>1748</v>
      </c>
      <c r="M539" s="97" t="str">
        <f t="shared" si="58"/>
        <v>Open File</v>
      </c>
      <c r="N539" s="70" t="s">
        <v>1717</v>
      </c>
      <c r="O539" s="71" t="str">
        <f t="shared" si="62"/>
        <v>ACTIVE</v>
      </c>
      <c r="P539" s="66"/>
      <c r="Q539" s="66"/>
      <c r="R539" s="54"/>
      <c r="S539" s="82"/>
      <c r="T539" s="83" t="str">
        <f t="shared" si="59"/>
        <v/>
      </c>
      <c r="U539" s="10"/>
      <c r="V539" s="41">
        <f>IF(AND(Q539&lt;&gt;"",RIGHT(Q539,3)&lt;&gt;""),IF(COUNTIF($Q$6:Q539,Q539)=1,1,0),0)</f>
        <v>0</v>
      </c>
      <c r="W539" s="41" t="str">
        <f t="shared" si="63"/>
        <v>05.WHEAD.0526.8270-16</v>
      </c>
      <c r="X539" s="41" t="str">
        <f t="shared" si="61"/>
        <v/>
      </c>
    </row>
    <row r="540" s="32" customFormat="1" hidden="1" customHeight="1" spans="1:24">
      <c r="A540" s="34"/>
      <c r="B540" s="51">
        <v>535</v>
      </c>
      <c r="C540" s="51" t="s">
        <v>1749</v>
      </c>
      <c r="D540" s="52" t="s">
        <v>1503</v>
      </c>
      <c r="E540" s="53">
        <v>1</v>
      </c>
      <c r="F540" s="54" t="s">
        <v>29</v>
      </c>
      <c r="G540" s="54" t="s">
        <v>1038</v>
      </c>
      <c r="H540" s="54" t="s">
        <v>1714</v>
      </c>
      <c r="I540" s="66">
        <v>46171</v>
      </c>
      <c r="J540" s="54" t="s">
        <v>1715</v>
      </c>
      <c r="K540" s="54" t="s">
        <v>1507</v>
      </c>
      <c r="L540" s="54" t="s">
        <v>1750</v>
      </c>
      <c r="M540" s="95" t="str">
        <f t="shared" si="58"/>
        <v>Open File</v>
      </c>
      <c r="N540" s="70" t="s">
        <v>1717</v>
      </c>
      <c r="O540" s="71" t="str">
        <f t="shared" si="62"/>
        <v>ACTIVE</v>
      </c>
      <c r="P540" s="66"/>
      <c r="Q540" s="66"/>
      <c r="R540" s="54"/>
      <c r="S540" s="82"/>
      <c r="T540" s="83" t="str">
        <f t="shared" si="59"/>
        <v/>
      </c>
      <c r="U540" s="10"/>
      <c r="V540" s="41">
        <f>IF(AND(Q540&lt;&gt;"",RIGHT(Q540,3)&lt;&gt;""),IF(COUNTIF($Q$6:Q540,Q540)=1,1,0),0)</f>
        <v>0</v>
      </c>
      <c r="W540" s="41" t="str">
        <f t="shared" si="63"/>
        <v>05.WHEAD.0526.8270-17</v>
      </c>
      <c r="X540" s="41" t="str">
        <f t="shared" si="61"/>
        <v/>
      </c>
    </row>
    <row r="541" s="32" customFormat="1" hidden="1" customHeight="1" spans="1:24">
      <c r="A541" s="34"/>
      <c r="B541" s="51">
        <v>536</v>
      </c>
      <c r="C541" s="51" t="s">
        <v>1751</v>
      </c>
      <c r="D541" s="52" t="s">
        <v>1119</v>
      </c>
      <c r="E541" s="53">
        <v>1</v>
      </c>
      <c r="F541" s="54" t="s">
        <v>29</v>
      </c>
      <c r="G541" s="54" t="s">
        <v>1038</v>
      </c>
      <c r="H541" s="54" t="s">
        <v>1714</v>
      </c>
      <c r="I541" s="66">
        <v>46171</v>
      </c>
      <c r="J541" s="54" t="s">
        <v>1715</v>
      </c>
      <c r="K541" s="54" t="s">
        <v>1511</v>
      </c>
      <c r="L541" s="54" t="s">
        <v>1752</v>
      </c>
      <c r="M541" s="97" t="str">
        <f t="shared" si="58"/>
        <v>Open File</v>
      </c>
      <c r="N541" s="70" t="s">
        <v>1717</v>
      </c>
      <c r="O541" s="71" t="str">
        <f t="shared" si="62"/>
        <v>ACTIVE</v>
      </c>
      <c r="P541" s="66"/>
      <c r="Q541" s="66"/>
      <c r="R541" s="54"/>
      <c r="S541" s="82"/>
      <c r="T541" s="83" t="str">
        <f t="shared" si="59"/>
        <v/>
      </c>
      <c r="U541" s="10"/>
      <c r="V541" s="41">
        <f>IF(AND(Q541&lt;&gt;"",RIGHT(Q541,3)&lt;&gt;""),IF(COUNTIF($Q$6:Q541,Q541)=1,1,0),0)</f>
        <v>0</v>
      </c>
      <c r="W541" s="41" t="str">
        <f t="shared" si="63"/>
        <v>05.WHEAD.0526.8270-18</v>
      </c>
      <c r="X541" s="41" t="str">
        <f t="shared" si="61"/>
        <v/>
      </c>
    </row>
    <row r="542" s="32" customFormat="1" hidden="1" customHeight="1" spans="1:24">
      <c r="A542" s="34"/>
      <c r="B542" s="51">
        <v>537</v>
      </c>
      <c r="C542" s="51" t="s">
        <v>1753</v>
      </c>
      <c r="D542" s="52" t="s">
        <v>1510</v>
      </c>
      <c r="E542" s="53">
        <v>1</v>
      </c>
      <c r="F542" s="54" t="s">
        <v>66</v>
      </c>
      <c r="G542" s="54" t="s">
        <v>1038</v>
      </c>
      <c r="H542" s="54" t="s">
        <v>1714</v>
      </c>
      <c r="I542" s="66">
        <v>46171</v>
      </c>
      <c r="J542" s="54" t="s">
        <v>1715</v>
      </c>
      <c r="K542" s="54" t="s">
        <v>1514</v>
      </c>
      <c r="L542" s="54" t="s">
        <v>1754</v>
      </c>
      <c r="M542" s="97" t="str">
        <f t="shared" si="58"/>
        <v>Open File</v>
      </c>
      <c r="N542" s="70" t="s">
        <v>1717</v>
      </c>
      <c r="O542" s="71" t="str">
        <f t="shared" si="62"/>
        <v>ACTIVE</v>
      </c>
      <c r="P542" s="66"/>
      <c r="Q542" s="66"/>
      <c r="R542" s="54"/>
      <c r="S542" s="82"/>
      <c r="T542" s="83" t="str">
        <f t="shared" si="59"/>
        <v/>
      </c>
      <c r="U542" s="10"/>
      <c r="V542" s="41">
        <f>IF(AND(Q542&lt;&gt;"",RIGHT(Q542,3)&lt;&gt;""),IF(COUNTIF($Q$6:Q542,Q542)=1,1,0),0)</f>
        <v>0</v>
      </c>
      <c r="W542" s="41" t="str">
        <f t="shared" si="63"/>
        <v>05.WHEAD.0526.8270-19</v>
      </c>
      <c r="X542" s="41" t="str">
        <f t="shared" si="61"/>
        <v/>
      </c>
    </row>
    <row r="543" s="32" customFormat="1" hidden="1" customHeight="1" spans="1:24">
      <c r="A543" s="34"/>
      <c r="B543" s="51">
        <v>538</v>
      </c>
      <c r="C543" s="51" t="s">
        <v>1755</v>
      </c>
      <c r="D543" s="52" t="s">
        <v>1510</v>
      </c>
      <c r="E543" s="53">
        <v>1</v>
      </c>
      <c r="F543" s="54" t="s">
        <v>66</v>
      </c>
      <c r="G543" s="54" t="s">
        <v>1038</v>
      </c>
      <c r="H543" s="54" t="s">
        <v>1714</v>
      </c>
      <c r="I543" s="66">
        <v>46171</v>
      </c>
      <c r="J543" s="54" t="s">
        <v>1715</v>
      </c>
      <c r="K543" s="54" t="s">
        <v>1518</v>
      </c>
      <c r="L543" s="54" t="s">
        <v>1756</v>
      </c>
      <c r="M543" s="95" t="str">
        <f t="shared" si="58"/>
        <v>Open File</v>
      </c>
      <c r="N543" s="70" t="s">
        <v>1717</v>
      </c>
      <c r="O543" s="71" t="str">
        <f t="shared" si="62"/>
        <v>ACTIVE</v>
      </c>
      <c r="P543" s="66"/>
      <c r="Q543" s="66"/>
      <c r="R543" s="54"/>
      <c r="S543" s="82"/>
      <c r="T543" s="83" t="str">
        <f t="shared" si="59"/>
        <v/>
      </c>
      <c r="U543" s="10"/>
      <c r="V543" s="41">
        <f>IF(AND(Q543&lt;&gt;"",RIGHT(Q543,3)&lt;&gt;""),IF(COUNTIF($Q$6:Q543,Q543)=1,1,0),0)</f>
        <v>0</v>
      </c>
      <c r="W543" s="41" t="str">
        <f>IF(AND(K543&lt;&gt;"",L543&lt;&gt;""),_xlfn.CONCAT(SUBSTITUTE(K543,"/","."),"-",L543),"")</f>
        <v>20-05.WHEAD.0526.8270-20</v>
      </c>
      <c r="X543" s="41" t="str">
        <f t="shared" si="61"/>
        <v/>
      </c>
    </row>
    <row r="544" s="32" customFormat="1" hidden="1" customHeight="1" spans="1:24">
      <c r="A544" s="34"/>
      <c r="B544" s="51">
        <v>539</v>
      </c>
      <c r="C544" s="51" t="s">
        <v>1757</v>
      </c>
      <c r="D544" s="52" t="s">
        <v>1517</v>
      </c>
      <c r="E544" s="53">
        <v>1</v>
      </c>
      <c r="F544" s="54" t="s">
        <v>29</v>
      </c>
      <c r="G544" s="54" t="s">
        <v>1038</v>
      </c>
      <c r="H544" s="54" t="s">
        <v>1714</v>
      </c>
      <c r="I544" s="66">
        <v>46171</v>
      </c>
      <c r="J544" s="54" t="s">
        <v>1715</v>
      </c>
      <c r="K544" s="54" t="s">
        <v>1521</v>
      </c>
      <c r="L544" s="54" t="s">
        <v>1758</v>
      </c>
      <c r="M544" s="97" t="str">
        <f t="shared" si="58"/>
        <v>Open File</v>
      </c>
      <c r="N544" s="70" t="s">
        <v>1717</v>
      </c>
      <c r="O544" s="71" t="str">
        <f t="shared" si="62"/>
        <v>ACTIVE</v>
      </c>
      <c r="P544" s="66"/>
      <c r="Q544" s="66"/>
      <c r="R544" s="54"/>
      <c r="S544" s="82"/>
      <c r="T544" s="83" t="str">
        <f t="shared" si="59"/>
        <v/>
      </c>
      <c r="U544" s="10"/>
      <c r="V544" s="41">
        <f>IF(AND(Q544&lt;&gt;"",RIGHT(Q544,3)&lt;&gt;""),IF(COUNTIF($Q$6:Q544,Q544)=1,1,0),0)</f>
        <v>0</v>
      </c>
      <c r="W544" s="41" t="str">
        <f>IF(AND(J544&lt;&gt;"",K544&lt;&gt;""),_xlfn.CONCAT(SUBSTITUTE(J544,"/","."),"-",K544),"")</f>
        <v>05.WHEAD.0526.8270-21</v>
      </c>
      <c r="X544" s="41" t="str">
        <f t="shared" si="61"/>
        <v/>
      </c>
    </row>
    <row r="545" s="32" customFormat="1" hidden="1" customHeight="1" spans="1:24">
      <c r="A545" s="34"/>
      <c r="B545" s="51">
        <v>540</v>
      </c>
      <c r="C545" s="51" t="s">
        <v>1759</v>
      </c>
      <c r="D545" s="52" t="s">
        <v>1517</v>
      </c>
      <c r="E545" s="53">
        <v>1</v>
      </c>
      <c r="F545" s="54" t="s">
        <v>29</v>
      </c>
      <c r="G545" s="54" t="s">
        <v>1038</v>
      </c>
      <c r="H545" s="54" t="s">
        <v>1714</v>
      </c>
      <c r="I545" s="66">
        <v>46171</v>
      </c>
      <c r="J545" s="54" t="s">
        <v>1715</v>
      </c>
      <c r="K545" s="54" t="s">
        <v>1525</v>
      </c>
      <c r="L545" s="54" t="s">
        <v>1760</v>
      </c>
      <c r="M545" s="97" t="str">
        <f t="shared" si="58"/>
        <v>Open File</v>
      </c>
      <c r="N545" s="70" t="s">
        <v>1717</v>
      </c>
      <c r="O545" s="71" t="str">
        <f t="shared" si="62"/>
        <v>ACTIVE</v>
      </c>
      <c r="P545" s="66"/>
      <c r="Q545" s="66"/>
      <c r="R545" s="54"/>
      <c r="S545" s="82"/>
      <c r="T545" s="83" t="str">
        <f t="shared" si="59"/>
        <v/>
      </c>
      <c r="U545" s="10"/>
      <c r="V545" s="41">
        <f>IF(AND(Q545&lt;&gt;"",RIGHT(Q545,3)&lt;&gt;""),IF(COUNTIF($Q$6:Q545,Q545)=1,1,0),0)</f>
        <v>0</v>
      </c>
      <c r="W545" s="41" t="str">
        <f>IF(AND(K545&lt;&gt;"",L545&lt;&gt;""),_xlfn.CONCAT(SUBSTITUTE(K545,"/","."),"-",L545),"")</f>
        <v>22-05.WHEAD.0526.8270-22</v>
      </c>
      <c r="X545" s="41" t="str">
        <f t="shared" si="61"/>
        <v/>
      </c>
    </row>
    <row r="546" s="32" customFormat="1" hidden="1" customHeight="1" spans="1:24">
      <c r="A546" s="34"/>
      <c r="B546" s="51">
        <v>541</v>
      </c>
      <c r="C546" s="51" t="s">
        <v>1761</v>
      </c>
      <c r="D546" s="52" t="s">
        <v>1524</v>
      </c>
      <c r="E546" s="53">
        <v>1</v>
      </c>
      <c r="F546" s="54" t="s">
        <v>29</v>
      </c>
      <c r="G546" s="54" t="s">
        <v>1038</v>
      </c>
      <c r="H546" s="54" t="s">
        <v>1714</v>
      </c>
      <c r="I546" s="66">
        <v>46171</v>
      </c>
      <c r="J546" s="54" t="s">
        <v>1715</v>
      </c>
      <c r="K546" s="54" t="s">
        <v>249</v>
      </c>
      <c r="L546" s="54" t="s">
        <v>1762</v>
      </c>
      <c r="M546" s="97" t="str">
        <f t="shared" si="58"/>
        <v>Open File</v>
      </c>
      <c r="N546" s="70" t="s">
        <v>1717</v>
      </c>
      <c r="O546" s="71" t="str">
        <f t="shared" si="62"/>
        <v>ACTIVE</v>
      </c>
      <c r="P546" s="66"/>
      <c r="Q546" s="66"/>
      <c r="R546" s="54"/>
      <c r="S546" s="82"/>
      <c r="T546" s="83" t="str">
        <f t="shared" si="59"/>
        <v/>
      </c>
      <c r="U546" s="10"/>
      <c r="V546" s="41">
        <f>IF(AND(Q546&lt;&gt;"",RIGHT(Q546,3)&lt;&gt;""),IF(COUNTIF($Q$6:Q546,Q546)=1,1,0),0)</f>
        <v>0</v>
      </c>
      <c r="W546" s="41" t="str">
        <f>IF(AND(J546&lt;&gt;"",K546&lt;&gt;""),_xlfn.CONCAT(SUBSTITUTE(J546,"/","."),"-",K546),"")</f>
        <v>05.WHEAD.0526.8270-23</v>
      </c>
      <c r="X546" s="41" t="str">
        <f t="shared" si="61"/>
        <v/>
      </c>
    </row>
    <row r="547" s="32" customFormat="1" hidden="1" customHeight="1" spans="1:24">
      <c r="A547" s="34"/>
      <c r="B547" s="51">
        <v>542</v>
      </c>
      <c r="C547" s="51" t="s">
        <v>1763</v>
      </c>
      <c r="D547" s="52" t="s">
        <v>1524</v>
      </c>
      <c r="E547" s="53">
        <v>1</v>
      </c>
      <c r="F547" s="54" t="s">
        <v>29</v>
      </c>
      <c r="G547" s="54" t="s">
        <v>1038</v>
      </c>
      <c r="H547" s="54" t="s">
        <v>1714</v>
      </c>
      <c r="I547" s="66">
        <v>46171</v>
      </c>
      <c r="J547" s="54" t="s">
        <v>1715</v>
      </c>
      <c r="K547" s="54" t="s">
        <v>1530</v>
      </c>
      <c r="L547" s="54" t="s">
        <v>1764</v>
      </c>
      <c r="M547" s="97" t="str">
        <f t="shared" si="58"/>
        <v>Open File</v>
      </c>
      <c r="N547" s="70" t="s">
        <v>1717</v>
      </c>
      <c r="O547" s="71" t="str">
        <f t="shared" si="62"/>
        <v>ACTIVE</v>
      </c>
      <c r="P547" s="66"/>
      <c r="Q547" s="66"/>
      <c r="R547" s="54"/>
      <c r="S547" s="82"/>
      <c r="T547" s="83" t="str">
        <f t="shared" si="59"/>
        <v/>
      </c>
      <c r="U547" s="10"/>
      <c r="V547" s="41">
        <f>IF(AND(Q547&lt;&gt;"",RIGHT(Q547,3)&lt;&gt;""),IF(COUNTIF($Q$6:Q547,Q547)=1,1,0),0)</f>
        <v>0</v>
      </c>
      <c r="W547" s="41" t="str">
        <f>IF(AND(K547&lt;&gt;"",L547&lt;&gt;""),_xlfn.CONCAT(SUBSTITUTE(K547,"/","."),"-",L547),"")</f>
        <v>24-05.WHEAD.0526.8270-24</v>
      </c>
      <c r="X547" s="41" t="str">
        <f t="shared" si="61"/>
        <v/>
      </c>
    </row>
    <row r="548" s="32" customFormat="1" hidden="1" customHeight="1" spans="1:24">
      <c r="A548" s="34"/>
      <c r="B548" s="51">
        <v>543</v>
      </c>
      <c r="C548" s="51" t="s">
        <v>1765</v>
      </c>
      <c r="D548" s="52" t="s">
        <v>143</v>
      </c>
      <c r="E548" s="53">
        <v>1</v>
      </c>
      <c r="F548" s="54" t="s">
        <v>29</v>
      </c>
      <c r="G548" s="54" t="s">
        <v>1038</v>
      </c>
      <c r="H548" s="54" t="s">
        <v>1714</v>
      </c>
      <c r="I548" s="66">
        <v>46171</v>
      </c>
      <c r="J548" s="54" t="s">
        <v>1715</v>
      </c>
      <c r="K548" s="54" t="s">
        <v>1534</v>
      </c>
      <c r="L548" s="54" t="s">
        <v>1766</v>
      </c>
      <c r="M548" s="97" t="str">
        <f t="shared" si="58"/>
        <v>Open File</v>
      </c>
      <c r="N548" s="70" t="s">
        <v>1717</v>
      </c>
      <c r="O548" s="71" t="str">
        <f t="shared" ref="O548:O573" si="64">IF(AND(Q548&lt;&gt;"",T548&lt;&gt;""),"PASSIVE",IF(AND(J548&lt;&gt;"",M548&lt;&gt;""),"ACTIVE",""))</f>
        <v>ACTIVE</v>
      </c>
      <c r="P548" s="66"/>
      <c r="Q548" s="66"/>
      <c r="R548" s="54"/>
      <c r="S548" s="82"/>
      <c r="T548" s="83" t="str">
        <f t="shared" si="59"/>
        <v/>
      </c>
      <c r="U548" s="10"/>
      <c r="V548" s="41">
        <f>IF(AND(Q548&lt;&gt;"",RIGHT(Q548,3)&lt;&gt;""),IF(COUNTIF($Q$6:Q548,Q548)=1,1,0),0)</f>
        <v>0</v>
      </c>
      <c r="W548" s="41" t="str">
        <f t="shared" ref="W548:W553" si="65">IF(AND(J548&lt;&gt;"",K548&lt;&gt;""),_xlfn.CONCAT(SUBSTITUTE(J548,"/","."),"-",K548),"")</f>
        <v>05.WHEAD.0526.8270-25</v>
      </c>
      <c r="X548" s="41" t="str">
        <f t="shared" si="61"/>
        <v/>
      </c>
    </row>
    <row r="549" s="32" customFormat="1" hidden="1" customHeight="1" spans="1:24">
      <c r="A549" s="34"/>
      <c r="B549" s="51">
        <v>544</v>
      </c>
      <c r="C549" s="51" t="s">
        <v>1767</v>
      </c>
      <c r="D549" s="52" t="s">
        <v>1533</v>
      </c>
      <c r="E549" s="53">
        <v>1</v>
      </c>
      <c r="F549" s="54" t="s">
        <v>29</v>
      </c>
      <c r="G549" s="54" t="s">
        <v>1038</v>
      </c>
      <c r="H549" s="54" t="s">
        <v>1714</v>
      </c>
      <c r="I549" s="66">
        <v>46171</v>
      </c>
      <c r="J549" s="54" t="s">
        <v>1715</v>
      </c>
      <c r="K549" s="54" t="s">
        <v>1538</v>
      </c>
      <c r="L549" s="54" t="s">
        <v>1768</v>
      </c>
      <c r="M549" s="97" t="str">
        <f t="shared" si="58"/>
        <v>Open File</v>
      </c>
      <c r="N549" s="70" t="s">
        <v>1717</v>
      </c>
      <c r="O549" s="71" t="str">
        <f t="shared" si="64"/>
        <v>ACTIVE</v>
      </c>
      <c r="P549" s="66"/>
      <c r="Q549" s="66"/>
      <c r="R549" s="54"/>
      <c r="S549" s="82"/>
      <c r="T549" s="83" t="str">
        <f t="shared" si="59"/>
        <v/>
      </c>
      <c r="U549" s="10"/>
      <c r="V549" s="41">
        <f>IF(AND(Q549&lt;&gt;"",RIGHT(Q549,3)&lt;&gt;""),IF(COUNTIF($Q$6:Q549,Q549)=1,1,0),0)</f>
        <v>0</v>
      </c>
      <c r="W549" s="41" t="str">
        <f t="shared" si="65"/>
        <v>05.WHEAD.0526.8270-26</v>
      </c>
      <c r="X549" s="41" t="str">
        <f t="shared" si="61"/>
        <v/>
      </c>
    </row>
    <row r="550" s="32" customFormat="1" hidden="1" customHeight="1" spans="1:24">
      <c r="A550" s="34"/>
      <c r="B550" s="51">
        <v>545</v>
      </c>
      <c r="C550" s="51" t="s">
        <v>1769</v>
      </c>
      <c r="D550" s="52" t="s">
        <v>1537</v>
      </c>
      <c r="E550" s="53">
        <v>1</v>
      </c>
      <c r="F550" s="54" t="s">
        <v>29</v>
      </c>
      <c r="G550" s="54" t="s">
        <v>1038</v>
      </c>
      <c r="H550" s="54" t="s">
        <v>1714</v>
      </c>
      <c r="I550" s="66">
        <v>46171</v>
      </c>
      <c r="J550" s="54" t="s">
        <v>1715</v>
      </c>
      <c r="K550" s="54" t="s">
        <v>1542</v>
      </c>
      <c r="L550" s="54" t="s">
        <v>1770</v>
      </c>
      <c r="M550" s="97" t="str">
        <f t="shared" si="58"/>
        <v>Open File</v>
      </c>
      <c r="N550" s="70" t="s">
        <v>1717</v>
      </c>
      <c r="O550" s="71" t="str">
        <f t="shared" si="64"/>
        <v>ACTIVE</v>
      </c>
      <c r="P550" s="66"/>
      <c r="Q550" s="66"/>
      <c r="R550" s="54"/>
      <c r="S550" s="82"/>
      <c r="T550" s="83" t="str">
        <f t="shared" si="59"/>
        <v/>
      </c>
      <c r="U550" s="10"/>
      <c r="V550" s="41">
        <f>IF(AND(Q550&lt;&gt;"",RIGHT(Q550,3)&lt;&gt;""),IF(COUNTIF($Q$6:Q550,Q550)=1,1,0),0)</f>
        <v>0</v>
      </c>
      <c r="W550" s="41" t="str">
        <f t="shared" si="65"/>
        <v>05.WHEAD.0526.8270-27</v>
      </c>
      <c r="X550" s="41" t="str">
        <f t="shared" si="61"/>
        <v/>
      </c>
    </row>
    <row r="551" s="32" customFormat="1" hidden="1" customHeight="1" spans="1:24">
      <c r="A551" s="34"/>
      <c r="B551" s="51">
        <v>546</v>
      </c>
      <c r="C551" s="51" t="s">
        <v>1771</v>
      </c>
      <c r="D551" s="52" t="s">
        <v>1541</v>
      </c>
      <c r="E551" s="53">
        <v>1</v>
      </c>
      <c r="F551" s="54" t="s">
        <v>29</v>
      </c>
      <c r="G551" s="54" t="s">
        <v>1038</v>
      </c>
      <c r="H551" s="54" t="s">
        <v>1714</v>
      </c>
      <c r="I551" s="66">
        <v>46171</v>
      </c>
      <c r="J551" s="54" t="s">
        <v>1715</v>
      </c>
      <c r="K551" s="54" t="s">
        <v>1772</v>
      </c>
      <c r="L551" s="54" t="s">
        <v>1773</v>
      </c>
      <c r="M551" s="97" t="str">
        <f t="shared" si="58"/>
        <v>Open File</v>
      </c>
      <c r="N551" s="70" t="s">
        <v>1717</v>
      </c>
      <c r="O551" s="71" t="str">
        <f t="shared" si="64"/>
        <v>ACTIVE</v>
      </c>
      <c r="P551" s="66"/>
      <c r="Q551" s="66"/>
      <c r="R551" s="54"/>
      <c r="S551" s="82"/>
      <c r="T551" s="83" t="str">
        <f t="shared" si="59"/>
        <v/>
      </c>
      <c r="U551" s="10"/>
      <c r="V551" s="41">
        <f>IF(AND(Q551&lt;&gt;"",RIGHT(Q551,3)&lt;&gt;""),IF(COUNTIF($Q$6:Q551,Q551)=1,1,0),0)</f>
        <v>0</v>
      </c>
      <c r="W551" s="41" t="str">
        <f t="shared" si="65"/>
        <v>05.WHEAD.0526.8270-28</v>
      </c>
      <c r="X551" s="41" t="str">
        <f t="shared" si="61"/>
        <v/>
      </c>
    </row>
    <row r="552" s="32" customFormat="1" hidden="1" customHeight="1" spans="1:24">
      <c r="A552" s="34"/>
      <c r="B552" s="51">
        <v>547</v>
      </c>
      <c r="C552" s="51" t="s">
        <v>1774</v>
      </c>
      <c r="D552" s="52" t="s">
        <v>1456</v>
      </c>
      <c r="E552" s="53">
        <v>1</v>
      </c>
      <c r="F552" s="54" t="s">
        <v>29</v>
      </c>
      <c r="G552" s="54" t="s">
        <v>1097</v>
      </c>
      <c r="H552" s="54" t="s">
        <v>1659</v>
      </c>
      <c r="I552" s="66">
        <v>46172</v>
      </c>
      <c r="J552" s="54" t="s">
        <v>1775</v>
      </c>
      <c r="K552" s="54" t="s">
        <v>226</v>
      </c>
      <c r="L552" s="54" t="s">
        <v>1776</v>
      </c>
      <c r="M552" s="97" t="str">
        <f t="shared" si="58"/>
        <v>Open File</v>
      </c>
      <c r="N552" s="70" t="s">
        <v>1777</v>
      </c>
      <c r="O552" s="71" t="str">
        <f t="shared" si="64"/>
        <v>ACTIVE</v>
      </c>
      <c r="P552" s="66"/>
      <c r="Q552" s="66"/>
      <c r="R552" s="54"/>
      <c r="S552" s="82"/>
      <c r="T552" s="83" t="str">
        <f t="shared" si="59"/>
        <v/>
      </c>
      <c r="U552" s="10"/>
      <c r="V552" s="41">
        <f>IF(AND(Q552&lt;&gt;"",RIGHT(Q552,3)&lt;&gt;""),IF(COUNTIF($Q$6:Q552,Q552)=1,1,0),0)</f>
        <v>0</v>
      </c>
      <c r="W552" s="41" t="str">
        <f t="shared" si="65"/>
        <v>06.WHEAD.0526.9245-1</v>
      </c>
      <c r="X552" s="41" t="str">
        <f t="shared" si="61"/>
        <v/>
      </c>
    </row>
    <row r="553" s="32" customFormat="1" hidden="1" customHeight="1" spans="1:24">
      <c r="A553" s="34"/>
      <c r="B553" s="51">
        <v>548</v>
      </c>
      <c r="C553" s="51" t="s">
        <v>1778</v>
      </c>
      <c r="D553" s="52" t="s">
        <v>1459</v>
      </c>
      <c r="E553" s="53">
        <v>1</v>
      </c>
      <c r="F553" s="54" t="s">
        <v>29</v>
      </c>
      <c r="G553" s="54" t="s">
        <v>1097</v>
      </c>
      <c r="H553" s="54" t="s">
        <v>1659</v>
      </c>
      <c r="I553" s="66">
        <v>46172</v>
      </c>
      <c r="J553" s="54" t="s">
        <v>1775</v>
      </c>
      <c r="K553" s="54" t="s">
        <v>1239</v>
      </c>
      <c r="L553" s="54" t="s">
        <v>1779</v>
      </c>
      <c r="M553" s="97" t="str">
        <f t="shared" si="58"/>
        <v>Open File</v>
      </c>
      <c r="N553" s="70" t="s">
        <v>1777</v>
      </c>
      <c r="O553" s="71" t="str">
        <f t="shared" si="64"/>
        <v>ACTIVE</v>
      </c>
      <c r="P553" s="66"/>
      <c r="Q553" s="66"/>
      <c r="R553" s="54"/>
      <c r="S553" s="82"/>
      <c r="T553" s="83" t="str">
        <f t="shared" si="59"/>
        <v/>
      </c>
      <c r="U553" s="10"/>
      <c r="V553" s="41">
        <f>IF(AND(Q553&lt;&gt;"",RIGHT(Q553,3)&lt;&gt;""),IF(COUNTIF($Q$6:Q553,Q553)=1,1,0),0)</f>
        <v>0</v>
      </c>
      <c r="W553" s="41" t="str">
        <f t="shared" si="65"/>
        <v>06.WHEAD.0526.9245-2</v>
      </c>
      <c r="X553" s="41" t="str">
        <f t="shared" si="61"/>
        <v/>
      </c>
    </row>
    <row r="554" s="32" customFormat="1" hidden="1" customHeight="1" spans="1:24">
      <c r="A554" s="34"/>
      <c r="B554" s="51">
        <v>549</v>
      </c>
      <c r="C554" s="51" t="s">
        <v>1780</v>
      </c>
      <c r="D554" s="52" t="s">
        <v>1459</v>
      </c>
      <c r="E554" s="53">
        <v>1</v>
      </c>
      <c r="F554" s="54" t="s">
        <v>29</v>
      </c>
      <c r="G554" s="54" t="s">
        <v>1097</v>
      </c>
      <c r="H554" s="54" t="s">
        <v>1659</v>
      </c>
      <c r="I554" s="66">
        <v>46172</v>
      </c>
      <c r="J554" s="54" t="s">
        <v>1775</v>
      </c>
      <c r="K554" s="54" t="s">
        <v>1423</v>
      </c>
      <c r="L554" s="54" t="s">
        <v>1781</v>
      </c>
      <c r="M554" s="97" t="str">
        <f t="shared" si="58"/>
        <v>Open File</v>
      </c>
      <c r="N554" s="70" t="s">
        <v>1777</v>
      </c>
      <c r="O554" s="71" t="str">
        <f t="shared" si="64"/>
        <v>ACTIVE</v>
      </c>
      <c r="P554" s="66"/>
      <c r="Q554" s="66"/>
      <c r="R554" s="54"/>
      <c r="S554" s="82"/>
      <c r="T554" s="83" t="str">
        <f t="shared" si="59"/>
        <v/>
      </c>
      <c r="U554" s="10"/>
      <c r="V554" s="41">
        <f>IF(AND(Q554&lt;&gt;"",RIGHT(Q554,3)&lt;&gt;""),IF(COUNTIF($Q$6:Q554,Q554)=1,1,0),0)</f>
        <v>0</v>
      </c>
      <c r="W554" s="41" t="str">
        <f>IF(AND(K554&lt;&gt;"",L554&lt;&gt;""),_xlfn.CONCAT(SUBSTITUTE(K554,"/","."),"-",L554),"")</f>
        <v>3-06.WHEAD.0526.9245-3</v>
      </c>
      <c r="X554" s="41" t="str">
        <f t="shared" si="61"/>
        <v/>
      </c>
    </row>
    <row r="555" s="32" customFormat="1" hidden="1" customHeight="1" spans="1:24">
      <c r="A555" s="34"/>
      <c r="B555" s="51">
        <v>550</v>
      </c>
      <c r="C555" s="51" t="s">
        <v>1782</v>
      </c>
      <c r="D555" s="52" t="s">
        <v>1783</v>
      </c>
      <c r="E555" s="53">
        <v>1</v>
      </c>
      <c r="F555" s="54" t="s">
        <v>29</v>
      </c>
      <c r="G555" s="54" t="s">
        <v>1097</v>
      </c>
      <c r="H555" s="54" t="s">
        <v>1659</v>
      </c>
      <c r="I555" s="66">
        <v>46172</v>
      </c>
      <c r="J555" s="54" t="s">
        <v>1775</v>
      </c>
      <c r="K555" s="54" t="s">
        <v>1427</v>
      </c>
      <c r="L555" s="54" t="s">
        <v>1784</v>
      </c>
      <c r="M555" s="95" t="str">
        <f t="shared" si="58"/>
        <v>Open File</v>
      </c>
      <c r="N555" s="70" t="s">
        <v>1777</v>
      </c>
      <c r="O555" s="71" t="str">
        <f t="shared" si="64"/>
        <v>ACTIVE</v>
      </c>
      <c r="P555" s="66"/>
      <c r="Q555" s="66"/>
      <c r="R555" s="54"/>
      <c r="S555" s="82"/>
      <c r="T555" s="83" t="str">
        <f t="shared" si="59"/>
        <v/>
      </c>
      <c r="U555" s="10"/>
      <c r="V555" s="41">
        <f>IF(AND(Q555&lt;&gt;"",RIGHT(Q555,3)&lt;&gt;""),IF(COUNTIF($Q$6:Q555,Q555)=1,1,0),0)</f>
        <v>0</v>
      </c>
      <c r="W555" s="41" t="str">
        <f>IF(AND(J555&lt;&gt;"",K555&lt;&gt;""),_xlfn.CONCAT(SUBSTITUTE(J555,"/","."),"-",K555),"")</f>
        <v>06.WHEAD.0526.9245-4</v>
      </c>
      <c r="X555" s="41" t="str">
        <f t="shared" si="61"/>
        <v/>
      </c>
    </row>
    <row r="556" s="32" customFormat="1" hidden="1" customHeight="1" spans="1:24">
      <c r="A556" s="34"/>
      <c r="B556" s="51">
        <v>551</v>
      </c>
      <c r="C556" s="51" t="s">
        <v>1785</v>
      </c>
      <c r="D556" s="52" t="s">
        <v>1468</v>
      </c>
      <c r="E556" s="53">
        <v>1</v>
      </c>
      <c r="F556" s="54" t="s">
        <v>29</v>
      </c>
      <c r="G556" s="54" t="s">
        <v>1097</v>
      </c>
      <c r="H556" s="54" t="s">
        <v>1659</v>
      </c>
      <c r="I556" s="66">
        <v>46172</v>
      </c>
      <c r="J556" s="54" t="s">
        <v>1775</v>
      </c>
      <c r="K556" s="54" t="s">
        <v>1431</v>
      </c>
      <c r="L556" s="54" t="s">
        <v>1786</v>
      </c>
      <c r="M556" s="97" t="str">
        <f t="shared" si="58"/>
        <v>Open File</v>
      </c>
      <c r="N556" s="70" t="s">
        <v>1777</v>
      </c>
      <c r="O556" s="71" t="str">
        <f t="shared" si="64"/>
        <v>ACTIVE</v>
      </c>
      <c r="P556" s="66"/>
      <c r="Q556" s="66"/>
      <c r="R556" s="54"/>
      <c r="S556" s="82"/>
      <c r="T556" s="83" t="str">
        <f t="shared" si="59"/>
        <v/>
      </c>
      <c r="U556" s="10"/>
      <c r="V556" s="41">
        <f>IF(AND(Q556&lt;&gt;"",RIGHT(Q556,3)&lt;&gt;""),IF(COUNTIF($Q$6:Q556,Q556)=1,1,0),0)</f>
        <v>0</v>
      </c>
      <c r="W556" s="41" t="str">
        <f>IF(AND(J556&lt;&gt;"",K556&lt;&gt;""),_xlfn.CONCAT(SUBSTITUTE(J556,"/","."),"-",K556),"")</f>
        <v>06.WHEAD.0526.9245-5</v>
      </c>
      <c r="X556" s="41" t="str">
        <f t="shared" si="61"/>
        <v/>
      </c>
    </row>
    <row r="557" s="32" customFormat="1" hidden="1" customHeight="1" spans="1:24">
      <c r="A557" s="34"/>
      <c r="B557" s="51">
        <v>552</v>
      </c>
      <c r="C557" s="51" t="s">
        <v>1787</v>
      </c>
      <c r="D557" s="52" t="s">
        <v>1471</v>
      </c>
      <c r="E557" s="53">
        <v>1</v>
      </c>
      <c r="F557" s="54" t="s">
        <v>29</v>
      </c>
      <c r="G557" s="54" t="s">
        <v>1097</v>
      </c>
      <c r="H557" s="54" t="s">
        <v>1659</v>
      </c>
      <c r="I557" s="66">
        <v>46172</v>
      </c>
      <c r="J557" s="54" t="s">
        <v>1775</v>
      </c>
      <c r="K557" s="54" t="s">
        <v>1435</v>
      </c>
      <c r="L557" s="54" t="s">
        <v>1788</v>
      </c>
      <c r="M557" s="97" t="str">
        <f t="shared" si="58"/>
        <v>Open File</v>
      </c>
      <c r="N557" s="70" t="s">
        <v>1777</v>
      </c>
      <c r="O557" s="71" t="str">
        <f t="shared" si="64"/>
        <v>ACTIVE</v>
      </c>
      <c r="P557" s="66"/>
      <c r="Q557" s="66"/>
      <c r="R557" s="54"/>
      <c r="S557" s="82"/>
      <c r="T557" s="83" t="str">
        <f t="shared" si="59"/>
        <v/>
      </c>
      <c r="U557" s="10"/>
      <c r="V557" s="41">
        <f>IF(AND(Q557&lt;&gt;"",RIGHT(Q557,3)&lt;&gt;""),IF(COUNTIF($Q$6:Q557,Q557)=1,1,0),0)</f>
        <v>0</v>
      </c>
      <c r="W557" s="41" t="str">
        <f>IF(AND(J557&lt;&gt;"",K557&lt;&gt;""),_xlfn.CONCAT(SUBSTITUTE(J557,"/","."),"-",K557),"")</f>
        <v>06.WHEAD.0526.9245-6</v>
      </c>
      <c r="X557" s="41" t="str">
        <f t="shared" si="61"/>
        <v/>
      </c>
    </row>
    <row r="558" s="32" customFormat="1" hidden="1" customHeight="1" spans="1:24">
      <c r="A558" s="34"/>
      <c r="B558" s="51">
        <v>553</v>
      </c>
      <c r="C558" s="51" t="s">
        <v>1789</v>
      </c>
      <c r="D558" s="52" t="s">
        <v>1474</v>
      </c>
      <c r="E558" s="53">
        <v>1</v>
      </c>
      <c r="F558" s="54" t="s">
        <v>66</v>
      </c>
      <c r="G558" s="54" t="s">
        <v>1097</v>
      </c>
      <c r="H558" s="54" t="s">
        <v>1659</v>
      </c>
      <c r="I558" s="66">
        <v>46172</v>
      </c>
      <c r="J558" s="54" t="s">
        <v>1775</v>
      </c>
      <c r="K558" s="54" t="s">
        <v>1439</v>
      </c>
      <c r="L558" s="54" t="s">
        <v>1790</v>
      </c>
      <c r="M558" s="97" t="str">
        <f t="shared" si="58"/>
        <v>Open File</v>
      </c>
      <c r="N558" s="70" t="s">
        <v>1777</v>
      </c>
      <c r="O558" s="71" t="str">
        <f t="shared" si="64"/>
        <v>ACTIVE</v>
      </c>
      <c r="P558" s="66"/>
      <c r="Q558" s="66"/>
      <c r="R558" s="54"/>
      <c r="S558" s="82"/>
      <c r="T558" s="83" t="str">
        <f t="shared" si="59"/>
        <v/>
      </c>
      <c r="U558" s="10"/>
      <c r="V558" s="41">
        <f>IF(AND(Q558&lt;&gt;"",RIGHT(Q558,3)&lt;&gt;""),IF(COUNTIF($Q$6:Q558,Q558)=1,1,0),0)</f>
        <v>0</v>
      </c>
      <c r="W558" s="41" t="str">
        <f>IF(AND(J558&lt;&gt;"",K558&lt;&gt;""),_xlfn.CONCAT(SUBSTITUTE(J558,"/","."),"-",K558),"")</f>
        <v>06.WHEAD.0526.9245-7</v>
      </c>
      <c r="X558" s="41" t="str">
        <f t="shared" si="61"/>
        <v/>
      </c>
    </row>
    <row r="559" s="32" customFormat="1" hidden="1" customHeight="1" spans="1:24">
      <c r="A559" s="34"/>
      <c r="B559" s="51">
        <v>554</v>
      </c>
      <c r="C559" s="51" t="s">
        <v>1791</v>
      </c>
      <c r="D559" s="52" t="s">
        <v>1477</v>
      </c>
      <c r="E559" s="53">
        <v>1</v>
      </c>
      <c r="F559" s="54" t="s">
        <v>29</v>
      </c>
      <c r="G559" s="54" t="s">
        <v>1097</v>
      </c>
      <c r="H559" s="54" t="s">
        <v>1659</v>
      </c>
      <c r="I559" s="66">
        <v>46172</v>
      </c>
      <c r="J559" s="54" t="s">
        <v>1775</v>
      </c>
      <c r="K559" s="54" t="s">
        <v>1443</v>
      </c>
      <c r="L559" s="54" t="s">
        <v>1792</v>
      </c>
      <c r="M559" s="97" t="str">
        <f t="shared" si="58"/>
        <v>Open File</v>
      </c>
      <c r="N559" s="70" t="s">
        <v>1777</v>
      </c>
      <c r="O559" s="71" t="str">
        <f t="shared" si="64"/>
        <v>ACTIVE</v>
      </c>
      <c r="P559" s="66"/>
      <c r="Q559" s="66"/>
      <c r="R559" s="54"/>
      <c r="S559" s="82"/>
      <c r="T559" s="83" t="str">
        <f t="shared" si="59"/>
        <v/>
      </c>
      <c r="U559" s="10"/>
      <c r="V559" s="41">
        <f>IF(AND(Q559&lt;&gt;"",RIGHT(Q559,3)&lt;&gt;""),IF(COUNTIF($Q$6:Q559,Q559)=1,1,0),0)</f>
        <v>0</v>
      </c>
      <c r="W559" s="41" t="str">
        <f>IF(AND(J559&lt;&gt;"",K559&lt;&gt;""),_xlfn.CONCAT(SUBSTITUTE(J559,"/","."),"-",K559),"")</f>
        <v>06.WHEAD.0526.9245-8</v>
      </c>
      <c r="X559" s="41" t="str">
        <f t="shared" si="61"/>
        <v/>
      </c>
    </row>
    <row r="560" s="32" customFormat="1" hidden="1" customHeight="1" spans="1:24">
      <c r="A560" s="34"/>
      <c r="B560" s="51">
        <v>555</v>
      </c>
      <c r="C560" s="51" t="s">
        <v>1793</v>
      </c>
      <c r="D560" s="52" t="s">
        <v>1477</v>
      </c>
      <c r="E560" s="53">
        <v>1</v>
      </c>
      <c r="F560" s="54" t="s">
        <v>29</v>
      </c>
      <c r="G560" s="54" t="s">
        <v>1097</v>
      </c>
      <c r="H560" s="54" t="s">
        <v>1659</v>
      </c>
      <c r="I560" s="66">
        <v>46172</v>
      </c>
      <c r="J560" s="54" t="s">
        <v>1775</v>
      </c>
      <c r="K560" s="54" t="s">
        <v>1478</v>
      </c>
      <c r="L560" s="54" t="s">
        <v>1794</v>
      </c>
      <c r="M560" s="97" t="str">
        <f t="shared" si="58"/>
        <v>Open File</v>
      </c>
      <c r="N560" s="70" t="s">
        <v>1777</v>
      </c>
      <c r="O560" s="71" t="str">
        <f t="shared" si="64"/>
        <v>ACTIVE</v>
      </c>
      <c r="P560" s="66"/>
      <c r="Q560" s="66"/>
      <c r="R560" s="54"/>
      <c r="S560" s="82"/>
      <c r="T560" s="83" t="str">
        <f t="shared" si="59"/>
        <v/>
      </c>
      <c r="U560" s="10"/>
      <c r="V560" s="41">
        <f>IF(AND(Q560&lt;&gt;"",RIGHT(Q560,3)&lt;&gt;""),IF(COUNTIF($Q$6:Q560,Q560)=1,1,0),0)</f>
        <v>0</v>
      </c>
      <c r="W560" s="41" t="str">
        <f>IF(AND(K560&lt;&gt;"",L560&lt;&gt;""),_xlfn.CONCAT(SUBSTITUTE(K560,"/","."),"-",L560),"")</f>
        <v>9-06.WHEAD.0526.9245-9</v>
      </c>
      <c r="X560" s="41" t="str">
        <f t="shared" si="61"/>
        <v/>
      </c>
    </row>
    <row r="561" s="32" customFormat="1" hidden="1" customHeight="1" spans="1:24">
      <c r="A561" s="34"/>
      <c r="B561" s="51">
        <v>556</v>
      </c>
      <c r="C561" s="51" t="s">
        <v>1795</v>
      </c>
      <c r="D561" s="52" t="s">
        <v>1567</v>
      </c>
      <c r="E561" s="53">
        <v>1</v>
      </c>
      <c r="F561" s="54" t="s">
        <v>29</v>
      </c>
      <c r="G561" s="54" t="s">
        <v>1097</v>
      </c>
      <c r="H561" s="54" t="s">
        <v>1659</v>
      </c>
      <c r="I561" s="66">
        <v>46172</v>
      </c>
      <c r="J561" s="54" t="s">
        <v>1775</v>
      </c>
      <c r="K561" s="54" t="s">
        <v>1481</v>
      </c>
      <c r="L561" s="54" t="s">
        <v>1796</v>
      </c>
      <c r="M561" s="97" t="str">
        <f t="shared" si="58"/>
        <v>Open File</v>
      </c>
      <c r="N561" s="70" t="s">
        <v>1777</v>
      </c>
      <c r="O561" s="71" t="str">
        <f t="shared" si="64"/>
        <v>ACTIVE</v>
      </c>
      <c r="P561" s="66"/>
      <c r="Q561" s="66"/>
      <c r="R561" s="54"/>
      <c r="S561" s="82"/>
      <c r="T561" s="83" t="str">
        <f t="shared" si="59"/>
        <v/>
      </c>
      <c r="U561" s="10"/>
      <c r="V561" s="41">
        <f>IF(AND(Q561&lt;&gt;"",RIGHT(Q561,3)&lt;&gt;""),IF(COUNTIF($Q$6:Q561,Q561)=1,1,0),0)</f>
        <v>0</v>
      </c>
      <c r="W561" s="41" t="str">
        <f t="shared" ref="W561:W568" si="66">IF(AND(J561&lt;&gt;"",K561&lt;&gt;""),_xlfn.CONCAT(SUBSTITUTE(J561,"/","."),"-",K561),"")</f>
        <v>06.WHEAD.0526.9245-10</v>
      </c>
      <c r="X561" s="41" t="str">
        <f t="shared" si="61"/>
        <v/>
      </c>
    </row>
    <row r="562" s="32" customFormat="1" hidden="1" customHeight="1" spans="1:24">
      <c r="A562" s="34"/>
      <c r="B562" s="51">
        <v>557</v>
      </c>
      <c r="C562" s="51" t="s">
        <v>1797</v>
      </c>
      <c r="D562" s="52" t="s">
        <v>1488</v>
      </c>
      <c r="E562" s="53">
        <v>1</v>
      </c>
      <c r="F562" s="54" t="s">
        <v>29</v>
      </c>
      <c r="G562" s="54" t="s">
        <v>1097</v>
      </c>
      <c r="H562" s="54" t="s">
        <v>1659</v>
      </c>
      <c r="I562" s="66">
        <v>46172</v>
      </c>
      <c r="J562" s="54" t="s">
        <v>1775</v>
      </c>
      <c r="K562" s="54" t="s">
        <v>1485</v>
      </c>
      <c r="L562" s="54" t="s">
        <v>1798</v>
      </c>
      <c r="M562" s="97" t="str">
        <f t="shared" si="58"/>
        <v>Open File</v>
      </c>
      <c r="N562" s="70" t="s">
        <v>1777</v>
      </c>
      <c r="O562" s="71" t="str">
        <f t="shared" si="64"/>
        <v>ACTIVE</v>
      </c>
      <c r="P562" s="66"/>
      <c r="Q562" s="66"/>
      <c r="R562" s="54"/>
      <c r="S562" s="82"/>
      <c r="T562" s="83" t="str">
        <f t="shared" si="59"/>
        <v/>
      </c>
      <c r="U562" s="10"/>
      <c r="V562" s="41">
        <f>IF(AND(Q562&lt;&gt;"",RIGHT(Q562,3)&lt;&gt;""),IF(COUNTIF($Q$6:Q562,Q562)=1,1,0),0)</f>
        <v>0</v>
      </c>
      <c r="W562" s="41" t="str">
        <f t="shared" si="66"/>
        <v>06.WHEAD.0526.9245-11</v>
      </c>
      <c r="X562" s="41" t="str">
        <f t="shared" si="61"/>
        <v/>
      </c>
    </row>
    <row r="563" s="32" customFormat="1" hidden="1" customHeight="1" spans="1:24">
      <c r="A563" s="34"/>
      <c r="B563" s="51">
        <v>558</v>
      </c>
      <c r="C563" s="51" t="s">
        <v>1799</v>
      </c>
      <c r="D563" s="52" t="s">
        <v>1492</v>
      </c>
      <c r="E563" s="53">
        <v>1</v>
      </c>
      <c r="F563" s="54" t="s">
        <v>29</v>
      </c>
      <c r="G563" s="54" t="s">
        <v>1097</v>
      </c>
      <c r="H563" s="54" t="s">
        <v>1659</v>
      </c>
      <c r="I563" s="66">
        <v>46172</v>
      </c>
      <c r="J563" s="54" t="s">
        <v>1775</v>
      </c>
      <c r="K563" s="54" t="s">
        <v>1489</v>
      </c>
      <c r="L563" s="54" t="s">
        <v>1800</v>
      </c>
      <c r="M563" s="97" t="str">
        <f t="shared" si="58"/>
        <v>Open File</v>
      </c>
      <c r="N563" s="70" t="s">
        <v>1777</v>
      </c>
      <c r="O563" s="71" t="str">
        <f t="shared" si="64"/>
        <v>ACTIVE</v>
      </c>
      <c r="P563" s="66"/>
      <c r="Q563" s="66"/>
      <c r="R563" s="54"/>
      <c r="S563" s="82"/>
      <c r="T563" s="83" t="str">
        <f t="shared" si="59"/>
        <v/>
      </c>
      <c r="U563" s="10"/>
      <c r="V563" s="41">
        <f>IF(AND(Q563&lt;&gt;"",RIGHT(Q563,3)&lt;&gt;""),IF(COUNTIF($Q$6:Q563,Q563)=1,1,0),0)</f>
        <v>0</v>
      </c>
      <c r="W563" s="41" t="str">
        <f t="shared" si="66"/>
        <v>06.WHEAD.0526.9245-12</v>
      </c>
      <c r="X563" s="41" t="str">
        <f t="shared" si="61"/>
        <v/>
      </c>
    </row>
    <row r="564" s="32" customFormat="1" hidden="1" customHeight="1" spans="1:24">
      <c r="A564" s="34"/>
      <c r="B564" s="51">
        <v>559</v>
      </c>
      <c r="C564" s="51" t="s">
        <v>1801</v>
      </c>
      <c r="D564" s="52" t="s">
        <v>1496</v>
      </c>
      <c r="E564" s="53">
        <v>1</v>
      </c>
      <c r="F564" s="54" t="s">
        <v>29</v>
      </c>
      <c r="G564" s="54" t="s">
        <v>1097</v>
      </c>
      <c r="H564" s="54" t="s">
        <v>1659</v>
      </c>
      <c r="I564" s="66">
        <v>46172</v>
      </c>
      <c r="J564" s="54" t="s">
        <v>1775</v>
      </c>
      <c r="K564" s="54" t="s">
        <v>1493</v>
      </c>
      <c r="L564" s="54" t="s">
        <v>1802</v>
      </c>
      <c r="M564" s="97" t="str">
        <f t="shared" si="58"/>
        <v>Open File</v>
      </c>
      <c r="N564" s="70" t="s">
        <v>1777</v>
      </c>
      <c r="O564" s="71" t="str">
        <f t="shared" si="64"/>
        <v>ACTIVE</v>
      </c>
      <c r="P564" s="66"/>
      <c r="Q564" s="66"/>
      <c r="R564" s="54"/>
      <c r="S564" s="82"/>
      <c r="T564" s="83" t="str">
        <f t="shared" si="59"/>
        <v/>
      </c>
      <c r="U564" s="10"/>
      <c r="V564" s="41">
        <f>IF(AND(Q564&lt;&gt;"",RIGHT(Q564,3)&lt;&gt;""),IF(COUNTIF($Q$6:Q564,Q564)=1,1,0),0)</f>
        <v>0</v>
      </c>
      <c r="W564" s="41" t="str">
        <f t="shared" si="66"/>
        <v>06.WHEAD.0526.9245-13</v>
      </c>
      <c r="X564" s="41" t="str">
        <f t="shared" si="61"/>
        <v/>
      </c>
    </row>
    <row r="565" s="32" customFormat="1" hidden="1" customHeight="1" spans="1:24">
      <c r="A565" s="34"/>
      <c r="B565" s="51">
        <v>560</v>
      </c>
      <c r="C565" s="51" t="s">
        <v>1803</v>
      </c>
      <c r="D565" s="52" t="s">
        <v>1499</v>
      </c>
      <c r="E565" s="53">
        <v>1</v>
      </c>
      <c r="F565" s="54" t="s">
        <v>29</v>
      </c>
      <c r="G565" s="54" t="s">
        <v>1097</v>
      </c>
      <c r="H565" s="54" t="s">
        <v>1659</v>
      </c>
      <c r="I565" s="66">
        <v>46172</v>
      </c>
      <c r="J565" s="54" t="s">
        <v>1775</v>
      </c>
      <c r="K565" s="54" t="s">
        <v>1411</v>
      </c>
      <c r="L565" s="54" t="s">
        <v>1804</v>
      </c>
      <c r="M565" s="97" t="str">
        <f t="shared" si="58"/>
        <v>Open File</v>
      </c>
      <c r="N565" s="70" t="s">
        <v>1777</v>
      </c>
      <c r="O565" s="71" t="str">
        <f t="shared" si="64"/>
        <v>ACTIVE</v>
      </c>
      <c r="P565" s="66"/>
      <c r="Q565" s="66"/>
      <c r="R565" s="54"/>
      <c r="S565" s="82"/>
      <c r="T565" s="83" t="str">
        <f t="shared" si="59"/>
        <v/>
      </c>
      <c r="U565" s="10"/>
      <c r="V565" s="41">
        <f>IF(AND(Q565&lt;&gt;"",RIGHT(Q565,3)&lt;&gt;""),IF(COUNTIF($Q$6:Q565,Q565)=1,1,0),0)</f>
        <v>0</v>
      </c>
      <c r="W565" s="41" t="str">
        <f t="shared" si="66"/>
        <v>06.WHEAD.0526.9245-14</v>
      </c>
      <c r="X565" s="41" t="str">
        <f t="shared" si="61"/>
        <v/>
      </c>
    </row>
    <row r="566" s="32" customFormat="1" hidden="1" customHeight="1" spans="1:24">
      <c r="A566" s="34"/>
      <c r="B566" s="51">
        <v>561</v>
      </c>
      <c r="C566" s="51" t="s">
        <v>1805</v>
      </c>
      <c r="D566" s="52" t="s">
        <v>1503</v>
      </c>
      <c r="E566" s="53">
        <v>1</v>
      </c>
      <c r="F566" s="54" t="s">
        <v>29</v>
      </c>
      <c r="G566" s="54" t="s">
        <v>1097</v>
      </c>
      <c r="H566" s="54" t="s">
        <v>1659</v>
      </c>
      <c r="I566" s="66">
        <v>46172</v>
      </c>
      <c r="J566" s="54" t="s">
        <v>1775</v>
      </c>
      <c r="K566" s="54" t="s">
        <v>1500</v>
      </c>
      <c r="L566" s="54" t="s">
        <v>1806</v>
      </c>
      <c r="M566" s="97" t="str">
        <f t="shared" si="58"/>
        <v>Open File</v>
      </c>
      <c r="N566" s="70" t="s">
        <v>1777</v>
      </c>
      <c r="O566" s="71" t="str">
        <f t="shared" si="64"/>
        <v>ACTIVE</v>
      </c>
      <c r="P566" s="66"/>
      <c r="Q566" s="66"/>
      <c r="R566" s="54"/>
      <c r="S566" s="82"/>
      <c r="T566" s="83" t="str">
        <f t="shared" si="59"/>
        <v/>
      </c>
      <c r="U566" s="10"/>
      <c r="V566" s="41">
        <f>IF(AND(Q566&lt;&gt;"",RIGHT(Q566,3)&lt;&gt;""),IF(COUNTIF($Q$6:Q566,Q566)=1,1,0),0)</f>
        <v>0</v>
      </c>
      <c r="W566" s="41" t="str">
        <f t="shared" si="66"/>
        <v>06.WHEAD.0526.9245-15</v>
      </c>
      <c r="X566" s="41" t="str">
        <f t="shared" si="61"/>
        <v/>
      </c>
    </row>
    <row r="567" s="32" customFormat="1" hidden="1" customHeight="1" spans="1:24">
      <c r="A567" s="34"/>
      <c r="B567" s="51">
        <v>562</v>
      </c>
      <c r="C567" s="51" t="s">
        <v>1807</v>
      </c>
      <c r="D567" s="52" t="s">
        <v>1119</v>
      </c>
      <c r="E567" s="53">
        <v>1</v>
      </c>
      <c r="F567" s="54" t="s">
        <v>29</v>
      </c>
      <c r="G567" s="54" t="s">
        <v>1097</v>
      </c>
      <c r="H567" s="54" t="s">
        <v>1659</v>
      </c>
      <c r="I567" s="66">
        <v>46172</v>
      </c>
      <c r="J567" s="54" t="s">
        <v>1775</v>
      </c>
      <c r="K567" s="54" t="s">
        <v>1504</v>
      </c>
      <c r="L567" s="54" t="s">
        <v>1808</v>
      </c>
      <c r="M567" s="97" t="str">
        <f t="shared" si="58"/>
        <v>Open File</v>
      </c>
      <c r="N567" s="70" t="s">
        <v>1777</v>
      </c>
      <c r="O567" s="71" t="str">
        <f t="shared" si="64"/>
        <v>ACTIVE</v>
      </c>
      <c r="P567" s="66"/>
      <c r="Q567" s="66"/>
      <c r="R567" s="54"/>
      <c r="S567" s="82"/>
      <c r="T567" s="83" t="str">
        <f t="shared" si="59"/>
        <v/>
      </c>
      <c r="U567" s="10"/>
      <c r="V567" s="41">
        <f>IF(AND(Q567&lt;&gt;"",RIGHT(Q567,3)&lt;&gt;""),IF(COUNTIF($Q$6:Q567,Q567)=1,1,0),0)</f>
        <v>0</v>
      </c>
      <c r="W567" s="41" t="str">
        <f t="shared" si="66"/>
        <v>06.WHEAD.0526.9245-16</v>
      </c>
      <c r="X567" s="41" t="str">
        <f t="shared" si="61"/>
        <v/>
      </c>
    </row>
    <row r="568" s="32" customFormat="1" hidden="1" customHeight="1" spans="1:24">
      <c r="A568" s="34"/>
      <c r="B568" s="51">
        <v>563</v>
      </c>
      <c r="C568" s="51" t="s">
        <v>1809</v>
      </c>
      <c r="D568" s="52" t="s">
        <v>1510</v>
      </c>
      <c r="E568" s="53">
        <v>1</v>
      </c>
      <c r="F568" s="54" t="s">
        <v>66</v>
      </c>
      <c r="G568" s="54" t="s">
        <v>1097</v>
      </c>
      <c r="H568" s="54" t="s">
        <v>1659</v>
      </c>
      <c r="I568" s="66">
        <v>46172</v>
      </c>
      <c r="J568" s="54" t="s">
        <v>1775</v>
      </c>
      <c r="K568" s="54" t="s">
        <v>1507</v>
      </c>
      <c r="L568" s="54" t="s">
        <v>1810</v>
      </c>
      <c r="M568" s="97" t="str">
        <f t="shared" si="58"/>
        <v>Open File</v>
      </c>
      <c r="N568" s="70" t="s">
        <v>1777</v>
      </c>
      <c r="O568" s="71" t="str">
        <f t="shared" si="64"/>
        <v>ACTIVE</v>
      </c>
      <c r="P568" s="66"/>
      <c r="Q568" s="66"/>
      <c r="R568" s="54"/>
      <c r="S568" s="82"/>
      <c r="T568" s="83" t="str">
        <f t="shared" si="59"/>
        <v/>
      </c>
      <c r="U568" s="10"/>
      <c r="V568" s="41">
        <f>IF(AND(Q568&lt;&gt;"",RIGHT(Q568,3)&lt;&gt;""),IF(COUNTIF($Q$6:Q568,Q568)=1,1,0),0)</f>
        <v>0</v>
      </c>
      <c r="W568" s="41" t="str">
        <f t="shared" si="66"/>
        <v>06.WHEAD.0526.9245-17</v>
      </c>
      <c r="X568" s="41" t="str">
        <f t="shared" si="61"/>
        <v/>
      </c>
    </row>
    <row r="569" s="32" customFormat="1" hidden="1" customHeight="1" spans="1:24">
      <c r="A569" s="34"/>
      <c r="B569" s="51">
        <v>564</v>
      </c>
      <c r="C569" s="51" t="s">
        <v>1811</v>
      </c>
      <c r="D569" s="52" t="s">
        <v>1510</v>
      </c>
      <c r="E569" s="53">
        <v>1</v>
      </c>
      <c r="F569" s="54" t="s">
        <v>66</v>
      </c>
      <c r="G569" s="54" t="s">
        <v>1097</v>
      </c>
      <c r="H569" s="54" t="s">
        <v>1659</v>
      </c>
      <c r="I569" s="66">
        <v>46172</v>
      </c>
      <c r="J569" s="54" t="s">
        <v>1775</v>
      </c>
      <c r="K569" s="54" t="s">
        <v>1511</v>
      </c>
      <c r="L569" s="54" t="s">
        <v>1812</v>
      </c>
      <c r="M569" s="97" t="str">
        <f t="shared" si="58"/>
        <v>Open File</v>
      </c>
      <c r="N569" s="70" t="s">
        <v>1777</v>
      </c>
      <c r="O569" s="71" t="str">
        <f t="shared" si="64"/>
        <v>ACTIVE</v>
      </c>
      <c r="P569" s="66"/>
      <c r="Q569" s="66"/>
      <c r="R569" s="54"/>
      <c r="S569" s="82"/>
      <c r="T569" s="83" t="str">
        <f t="shared" si="59"/>
        <v/>
      </c>
      <c r="U569" s="10"/>
      <c r="V569" s="41">
        <f>IF(AND(Q569&lt;&gt;"",RIGHT(Q569,3)&lt;&gt;""),IF(COUNTIF($Q$6:Q569,Q569)=1,1,0),0)</f>
        <v>0</v>
      </c>
      <c r="W569" s="41" t="str">
        <f>IF(AND(K569&lt;&gt;"",L569&lt;&gt;""),_xlfn.CONCAT(SUBSTITUTE(K569,"/","."),"-",L569),"")</f>
        <v>18-06.WHEAD.0526.9245-18</v>
      </c>
      <c r="X569" s="41" t="str">
        <f t="shared" si="61"/>
        <v/>
      </c>
    </row>
    <row r="570" s="32" customFormat="1" hidden="1" customHeight="1" spans="1:24">
      <c r="A570" s="34"/>
      <c r="B570" s="51">
        <v>565</v>
      </c>
      <c r="C570" s="51" t="s">
        <v>1813</v>
      </c>
      <c r="D570" s="52" t="s">
        <v>1517</v>
      </c>
      <c r="E570" s="53">
        <v>1</v>
      </c>
      <c r="F570" s="54" t="s">
        <v>29</v>
      </c>
      <c r="G570" s="54" t="s">
        <v>1097</v>
      </c>
      <c r="H570" s="54" t="s">
        <v>1659</v>
      </c>
      <c r="I570" s="66">
        <v>46172</v>
      </c>
      <c r="J570" s="54" t="s">
        <v>1775</v>
      </c>
      <c r="K570" s="54" t="s">
        <v>1514</v>
      </c>
      <c r="L570" s="54" t="s">
        <v>1814</v>
      </c>
      <c r="M570" s="97" t="str">
        <f t="shared" si="58"/>
        <v>Open File</v>
      </c>
      <c r="N570" s="70" t="s">
        <v>1777</v>
      </c>
      <c r="O570" s="71" t="str">
        <f t="shared" si="64"/>
        <v>ACTIVE</v>
      </c>
      <c r="P570" s="66"/>
      <c r="Q570" s="66"/>
      <c r="R570" s="54"/>
      <c r="S570" s="82"/>
      <c r="T570" s="83" t="str">
        <f t="shared" si="59"/>
        <v/>
      </c>
      <c r="U570" s="10"/>
      <c r="V570" s="41">
        <f>IF(AND(Q570&lt;&gt;"",RIGHT(Q570,3)&lt;&gt;""),IF(COUNTIF($Q$6:Q570,Q570)=1,1,0),0)</f>
        <v>0</v>
      </c>
      <c r="W570" s="41" t="str">
        <f>IF(AND(J570&lt;&gt;"",K570&lt;&gt;""),_xlfn.CONCAT(SUBSTITUTE(J570,"/","."),"-",K570),"")</f>
        <v>06.WHEAD.0526.9245-19</v>
      </c>
      <c r="X570" s="41" t="str">
        <f t="shared" si="61"/>
        <v/>
      </c>
    </row>
    <row r="571" s="32" customFormat="1" hidden="1" customHeight="1" spans="1:24">
      <c r="A571" s="34"/>
      <c r="B571" s="51">
        <v>566</v>
      </c>
      <c r="C571" s="51" t="s">
        <v>1815</v>
      </c>
      <c r="D571" s="52" t="s">
        <v>1517</v>
      </c>
      <c r="E571" s="53">
        <v>1</v>
      </c>
      <c r="F571" s="54" t="s">
        <v>29</v>
      </c>
      <c r="G571" s="54" t="s">
        <v>1097</v>
      </c>
      <c r="H571" s="54" t="s">
        <v>1659</v>
      </c>
      <c r="I571" s="66">
        <v>46172</v>
      </c>
      <c r="J571" s="54" t="s">
        <v>1775</v>
      </c>
      <c r="K571" s="54" t="s">
        <v>1518</v>
      </c>
      <c r="L571" s="54" t="s">
        <v>1816</v>
      </c>
      <c r="M571" s="97" t="str">
        <f t="shared" si="58"/>
        <v>Open File</v>
      </c>
      <c r="N571" s="70" t="s">
        <v>1777</v>
      </c>
      <c r="O571" s="71" t="str">
        <f t="shared" si="64"/>
        <v>ACTIVE</v>
      </c>
      <c r="P571" s="66"/>
      <c r="Q571" s="66"/>
      <c r="R571" s="54"/>
      <c r="S571" s="82"/>
      <c r="T571" s="83" t="str">
        <f t="shared" si="59"/>
        <v/>
      </c>
      <c r="U571" s="10"/>
      <c r="V571" s="41">
        <f>IF(AND(Q571&lt;&gt;"",RIGHT(Q571,3)&lt;&gt;""),IF(COUNTIF($Q$6:Q571,Q571)=1,1,0),0)</f>
        <v>0</v>
      </c>
      <c r="W571" s="41" t="str">
        <f>IF(AND(K571&lt;&gt;"",L571&lt;&gt;""),_xlfn.CONCAT(SUBSTITUTE(K571,"/","."),"-",L571),"")</f>
        <v>20-06.WHEAD.0526.9245-20</v>
      </c>
      <c r="X571" s="41" t="str">
        <f t="shared" si="61"/>
        <v/>
      </c>
    </row>
    <row r="572" s="32" customFormat="1" hidden="1" customHeight="1" spans="1:24">
      <c r="A572" s="34"/>
      <c r="B572" s="51">
        <v>567</v>
      </c>
      <c r="C572" s="51" t="s">
        <v>1817</v>
      </c>
      <c r="D572" s="52" t="s">
        <v>1524</v>
      </c>
      <c r="E572" s="53">
        <v>1</v>
      </c>
      <c r="F572" s="54" t="s">
        <v>29</v>
      </c>
      <c r="G572" s="54" t="s">
        <v>1097</v>
      </c>
      <c r="H572" s="54" t="s">
        <v>1659</v>
      </c>
      <c r="I572" s="66">
        <v>46172</v>
      </c>
      <c r="J572" s="54" t="s">
        <v>1775</v>
      </c>
      <c r="K572" s="54" t="s">
        <v>1521</v>
      </c>
      <c r="L572" s="54" t="s">
        <v>1818</v>
      </c>
      <c r="M572" s="97" t="str">
        <f t="shared" si="58"/>
        <v>Open File</v>
      </c>
      <c r="N572" s="70" t="s">
        <v>1777</v>
      </c>
      <c r="O572" s="71" t="str">
        <f t="shared" si="64"/>
        <v>ACTIVE</v>
      </c>
      <c r="P572" s="66"/>
      <c r="Q572" s="66"/>
      <c r="R572" s="54"/>
      <c r="S572" s="82"/>
      <c r="T572" s="83" t="str">
        <f t="shared" si="59"/>
        <v/>
      </c>
      <c r="U572" s="10"/>
      <c r="V572" s="41">
        <f>IF(AND(Q572&lt;&gt;"",RIGHT(Q572,3)&lt;&gt;""),IF(COUNTIF($Q$6:Q572,Q572)=1,1,0),0)</f>
        <v>0</v>
      </c>
      <c r="W572" s="41" t="str">
        <f>IF(AND(J572&lt;&gt;"",K572&lt;&gt;""),_xlfn.CONCAT(SUBSTITUTE(J572,"/","."),"-",K572),"")</f>
        <v>06.WHEAD.0526.9245-21</v>
      </c>
      <c r="X572" s="41" t="str">
        <f t="shared" si="61"/>
        <v/>
      </c>
    </row>
    <row r="573" s="32" customFormat="1" hidden="1" customHeight="1" spans="1:24">
      <c r="A573" s="34"/>
      <c r="B573" s="51">
        <v>568</v>
      </c>
      <c r="C573" s="51" t="s">
        <v>1819</v>
      </c>
      <c r="D573" s="52" t="s">
        <v>1524</v>
      </c>
      <c r="E573" s="53">
        <v>1</v>
      </c>
      <c r="F573" s="54" t="s">
        <v>29</v>
      </c>
      <c r="G573" s="54" t="s">
        <v>1097</v>
      </c>
      <c r="H573" s="54" t="s">
        <v>1659</v>
      </c>
      <c r="I573" s="66">
        <v>46172</v>
      </c>
      <c r="J573" s="54" t="s">
        <v>1775</v>
      </c>
      <c r="K573" s="54" t="s">
        <v>1525</v>
      </c>
      <c r="L573" s="54" t="s">
        <v>1820</v>
      </c>
      <c r="M573" s="97" t="str">
        <f t="shared" si="58"/>
        <v>Open File</v>
      </c>
      <c r="N573" s="70" t="s">
        <v>1777</v>
      </c>
      <c r="O573" s="71" t="str">
        <f t="shared" si="64"/>
        <v>ACTIVE</v>
      </c>
      <c r="P573" s="66"/>
      <c r="Q573" s="66"/>
      <c r="R573" s="54"/>
      <c r="S573" s="82"/>
      <c r="T573" s="83" t="str">
        <f t="shared" si="59"/>
        <v/>
      </c>
      <c r="U573" s="10"/>
      <c r="V573" s="41">
        <f>IF(AND(Q573&lt;&gt;"",RIGHT(Q573,3)&lt;&gt;""),IF(COUNTIF($Q$6:Q573,Q573)=1,1,0),0)</f>
        <v>0</v>
      </c>
      <c r="W573" s="41" t="str">
        <f>IF(AND(K573&lt;&gt;"",L573&lt;&gt;""),_xlfn.CONCAT(SUBSTITUTE(K573,"/","."),"-",L573),"")</f>
        <v>22-06.WHEAD.0526.9245-22</v>
      </c>
      <c r="X573" s="41" t="str">
        <f t="shared" si="61"/>
        <v/>
      </c>
    </row>
    <row r="574" s="32" customFormat="1" hidden="1" customHeight="1" spans="1:24">
      <c r="A574" s="34"/>
      <c r="B574" s="51">
        <v>569</v>
      </c>
      <c r="C574" s="51" t="s">
        <v>1821</v>
      </c>
      <c r="D574" s="52" t="s">
        <v>143</v>
      </c>
      <c r="E574" s="53">
        <v>1</v>
      </c>
      <c r="F574" s="54" t="s">
        <v>29</v>
      </c>
      <c r="G574" s="54" t="s">
        <v>1097</v>
      </c>
      <c r="H574" s="54" t="s">
        <v>1659</v>
      </c>
      <c r="I574" s="66">
        <v>46172</v>
      </c>
      <c r="J574" s="54" t="s">
        <v>1775</v>
      </c>
      <c r="K574" s="54" t="s">
        <v>249</v>
      </c>
      <c r="L574" s="54" t="s">
        <v>1822</v>
      </c>
      <c r="M574" s="97" t="str">
        <f t="shared" ref="M574:M611" si="67">IF(L574="","",HYPERLINK(_xlfn.CONCAT($L$4,L574,".jpg"),"Open File"))</f>
        <v>Open File</v>
      </c>
      <c r="N574" s="70" t="s">
        <v>1777</v>
      </c>
      <c r="O574" s="71" t="str">
        <f t="shared" ref="O574:O624" si="68">IF(AND(Q574&lt;&gt;"",T574&lt;&gt;""),"PASSIVE",IF(AND(J574&lt;&gt;"",M574&lt;&gt;""),"ACTIVE",""))</f>
        <v>ACTIVE</v>
      </c>
      <c r="P574" s="66"/>
      <c r="Q574" s="66"/>
      <c r="R574" s="54"/>
      <c r="S574" s="82"/>
      <c r="T574" s="83" t="str">
        <f t="shared" ref="T574:T611" si="69">IF(S574="","",HYPERLINK(_xlfn.CONCAT($S$4,S574,".jpg"),"Open File"))</f>
        <v/>
      </c>
      <c r="U574" s="10"/>
      <c r="V574" s="41">
        <f>IF(AND(Q574&lt;&gt;"",RIGHT(Q574,3)&lt;&gt;""),IF(COUNTIF($Q$6:Q574,Q574)=1,1,0),0)</f>
        <v>0</v>
      </c>
      <c r="W574" s="41" t="str">
        <f t="shared" ref="W574:W611" si="70">IF(AND(J574&lt;&gt;"",K574&lt;&gt;""),_xlfn.CONCAT(SUBSTITUTE(J574,"/","."),"-",K574),"")</f>
        <v>06.WHEAD.0526.9245-23</v>
      </c>
      <c r="X574" s="41" t="str">
        <f t="shared" ref="X574:X611" si="71">IF(AND(Q574&lt;&gt;"",R574&lt;&gt;""),_xlfn.CONCAT(SUBSTITUTE(Q574,"/","."),"-",R574),"")</f>
        <v/>
      </c>
    </row>
    <row r="575" s="32" customFormat="1" hidden="1" customHeight="1" spans="1:24">
      <c r="A575" s="34"/>
      <c r="B575" s="51">
        <v>570</v>
      </c>
      <c r="C575" s="51" t="s">
        <v>1823</v>
      </c>
      <c r="D575" s="52" t="s">
        <v>1533</v>
      </c>
      <c r="E575" s="53">
        <v>1</v>
      </c>
      <c r="F575" s="54" t="s">
        <v>29</v>
      </c>
      <c r="G575" s="54" t="s">
        <v>1097</v>
      </c>
      <c r="H575" s="54" t="s">
        <v>1659</v>
      </c>
      <c r="I575" s="66">
        <v>46172</v>
      </c>
      <c r="J575" s="54" t="s">
        <v>1775</v>
      </c>
      <c r="K575" s="54" t="s">
        <v>1530</v>
      </c>
      <c r="L575" s="54" t="s">
        <v>1824</v>
      </c>
      <c r="M575" s="97" t="str">
        <f t="shared" si="67"/>
        <v>Open File</v>
      </c>
      <c r="N575" s="70" t="s">
        <v>1777</v>
      </c>
      <c r="O575" s="71" t="str">
        <f t="shared" si="68"/>
        <v>ACTIVE</v>
      </c>
      <c r="P575" s="66"/>
      <c r="Q575" s="66"/>
      <c r="R575" s="54"/>
      <c r="S575" s="82"/>
      <c r="T575" s="83" t="str">
        <f t="shared" si="69"/>
        <v/>
      </c>
      <c r="U575" s="10"/>
      <c r="V575" s="41">
        <f>IF(AND(Q575&lt;&gt;"",RIGHT(Q575,3)&lt;&gt;""),IF(COUNTIF($Q$6:Q575,Q575)=1,1,0),0)</f>
        <v>0</v>
      </c>
      <c r="W575" s="41" t="str">
        <f t="shared" si="70"/>
        <v>06.WHEAD.0526.9245-24</v>
      </c>
      <c r="X575" s="41" t="str">
        <f t="shared" si="71"/>
        <v/>
      </c>
    </row>
    <row r="576" s="32" customFormat="1" hidden="1" customHeight="1" spans="1:24">
      <c r="A576" s="34"/>
      <c r="B576" s="51">
        <v>571</v>
      </c>
      <c r="C576" s="51" t="s">
        <v>1825</v>
      </c>
      <c r="D576" s="52" t="s">
        <v>1537</v>
      </c>
      <c r="E576" s="53">
        <v>1</v>
      </c>
      <c r="F576" s="54" t="s">
        <v>29</v>
      </c>
      <c r="G576" s="54" t="s">
        <v>1097</v>
      </c>
      <c r="H576" s="54" t="s">
        <v>1659</v>
      </c>
      <c r="I576" s="66">
        <v>46172</v>
      </c>
      <c r="J576" s="54" t="s">
        <v>1775</v>
      </c>
      <c r="K576" s="54" t="s">
        <v>1534</v>
      </c>
      <c r="L576" s="54" t="s">
        <v>1826</v>
      </c>
      <c r="M576" s="97" t="str">
        <f t="shared" si="67"/>
        <v>Open File</v>
      </c>
      <c r="N576" s="70" t="s">
        <v>1777</v>
      </c>
      <c r="O576" s="71" t="str">
        <f t="shared" si="68"/>
        <v>ACTIVE</v>
      </c>
      <c r="P576" s="66"/>
      <c r="Q576" s="66"/>
      <c r="R576" s="54"/>
      <c r="S576" s="82"/>
      <c r="T576" s="83" t="str">
        <f t="shared" si="69"/>
        <v/>
      </c>
      <c r="U576" s="10"/>
      <c r="V576" s="41">
        <f>IF(AND(Q576&lt;&gt;"",RIGHT(Q576,3)&lt;&gt;""),IF(COUNTIF($Q$6:Q576,Q576)=1,1,0),0)</f>
        <v>0</v>
      </c>
      <c r="W576" s="41" t="str">
        <f t="shared" si="70"/>
        <v>06.WHEAD.0526.9245-25</v>
      </c>
      <c r="X576" s="41" t="str">
        <f t="shared" si="71"/>
        <v/>
      </c>
    </row>
    <row r="577" s="32" customFormat="1" hidden="1" customHeight="1" spans="1:24">
      <c r="A577" s="34"/>
      <c r="B577" s="51">
        <v>572</v>
      </c>
      <c r="C577" s="51" t="s">
        <v>1827</v>
      </c>
      <c r="D577" s="52" t="s">
        <v>1541</v>
      </c>
      <c r="E577" s="53">
        <v>1</v>
      </c>
      <c r="F577" s="54" t="s">
        <v>29</v>
      </c>
      <c r="G577" s="54" t="s">
        <v>1097</v>
      </c>
      <c r="H577" s="54" t="s">
        <v>1659</v>
      </c>
      <c r="I577" s="66">
        <v>46172</v>
      </c>
      <c r="J577" s="54" t="s">
        <v>1775</v>
      </c>
      <c r="K577" s="54" t="s">
        <v>1538</v>
      </c>
      <c r="L577" s="54" t="s">
        <v>1828</v>
      </c>
      <c r="M577" s="95" t="str">
        <f t="shared" si="67"/>
        <v>Open File</v>
      </c>
      <c r="N577" s="70" t="s">
        <v>1777</v>
      </c>
      <c r="O577" s="71" t="str">
        <f t="shared" si="68"/>
        <v>ACTIVE</v>
      </c>
      <c r="P577" s="66"/>
      <c r="Q577" s="66"/>
      <c r="R577" s="54"/>
      <c r="S577" s="82"/>
      <c r="T577" s="83" t="str">
        <f t="shared" si="69"/>
        <v/>
      </c>
      <c r="U577" s="10"/>
      <c r="V577" s="41">
        <f>IF(AND(Q577&lt;&gt;"",RIGHT(Q577,3)&lt;&gt;""),IF(COUNTIF($Q$6:Q577,Q577)=1,1,0),0)</f>
        <v>0</v>
      </c>
      <c r="W577" s="41" t="str">
        <f t="shared" si="70"/>
        <v>06.WHEAD.0526.9245-26</v>
      </c>
      <c r="X577" s="41" t="str">
        <f t="shared" si="71"/>
        <v/>
      </c>
    </row>
    <row r="578" s="32" customFormat="1" hidden="1" customHeight="1" spans="1:24">
      <c r="A578" s="34"/>
      <c r="B578" s="51">
        <v>573</v>
      </c>
      <c r="C578" s="51" t="s">
        <v>1829</v>
      </c>
      <c r="D578" s="52" t="s">
        <v>1006</v>
      </c>
      <c r="E578" s="53">
        <v>1</v>
      </c>
      <c r="F578" s="54" t="s">
        <v>29</v>
      </c>
      <c r="G578" s="54" t="s">
        <v>1384</v>
      </c>
      <c r="H578" s="54" t="s">
        <v>37</v>
      </c>
      <c r="I578" s="66">
        <v>46179</v>
      </c>
      <c r="J578" s="54" t="s">
        <v>1830</v>
      </c>
      <c r="K578" s="54" t="s">
        <v>226</v>
      </c>
      <c r="L578" s="54" t="s">
        <v>1831</v>
      </c>
      <c r="M578" s="95" t="str">
        <f t="shared" si="67"/>
        <v>Open File</v>
      </c>
      <c r="N578" s="70" t="s">
        <v>1832</v>
      </c>
      <c r="O578" s="71" t="str">
        <f t="shared" si="68"/>
        <v>ACTIVE</v>
      </c>
      <c r="P578" s="66"/>
      <c r="Q578" s="66"/>
      <c r="R578" s="54"/>
      <c r="S578" s="82"/>
      <c r="T578" s="83" t="str">
        <f t="shared" si="69"/>
        <v/>
      </c>
      <c r="U578" s="10"/>
      <c r="V578" s="41">
        <f>IF(AND(Q578&lt;&gt;"",RIGHT(Q578,3)&lt;&gt;""),IF(COUNTIF($Q$6:Q578,Q578)=1,1,0),0)</f>
        <v>0</v>
      </c>
      <c r="W578" s="41" t="str">
        <f t="shared" si="70"/>
        <v>NA.26.VI.039-1</v>
      </c>
      <c r="X578" s="41" t="str">
        <f t="shared" si="71"/>
        <v/>
      </c>
    </row>
    <row r="579" s="32" customFormat="1" hidden="1" customHeight="1" spans="1:24">
      <c r="A579" s="34"/>
      <c r="B579" s="51">
        <v>574</v>
      </c>
      <c r="C579" s="51" t="s">
        <v>1833</v>
      </c>
      <c r="D579" s="52" t="s">
        <v>1834</v>
      </c>
      <c r="E579" s="53">
        <v>1</v>
      </c>
      <c r="F579" s="54" t="s">
        <v>29</v>
      </c>
      <c r="G579" s="54" t="s">
        <v>1835</v>
      </c>
      <c r="H579" s="54" t="s">
        <v>1835</v>
      </c>
      <c r="I579" s="66">
        <v>46162</v>
      </c>
      <c r="J579" s="54" t="s">
        <v>1836</v>
      </c>
      <c r="K579" s="54" t="s">
        <v>226</v>
      </c>
      <c r="L579" s="54" t="s">
        <v>1837</v>
      </c>
      <c r="M579" s="95" t="str">
        <f t="shared" si="67"/>
        <v>Open File</v>
      </c>
      <c r="N579" s="70" t="s">
        <v>1838</v>
      </c>
      <c r="O579" s="71" t="str">
        <f t="shared" si="68"/>
        <v>ACTIVE</v>
      </c>
      <c r="P579" s="66"/>
      <c r="Q579" s="66"/>
      <c r="R579" s="54"/>
      <c r="S579" s="82"/>
      <c r="T579" s="83" t="str">
        <f t="shared" si="69"/>
        <v/>
      </c>
      <c r="U579" s="10"/>
      <c r="V579" s="41">
        <f>IF(AND(Q579&lt;&gt;"",RIGHT(Q579,3)&lt;&gt;""),IF(COUNTIF($Q$6:Q579,Q579)=1,1,0),0)</f>
        <v>0</v>
      </c>
      <c r="W579" s="41" t="str">
        <f t="shared" si="70"/>
        <v>BA.PAC-SIG.2026.01-1</v>
      </c>
      <c r="X579" s="41" t="str">
        <f t="shared" si="71"/>
        <v/>
      </c>
    </row>
    <row r="580" s="32" customFormat="1" hidden="1" customHeight="1" spans="1:24">
      <c r="A580" s="34"/>
      <c r="B580" s="51">
        <v>575</v>
      </c>
      <c r="C580" s="51" t="s">
        <v>1839</v>
      </c>
      <c r="D580" s="52" t="s">
        <v>1840</v>
      </c>
      <c r="E580" s="53">
        <v>1</v>
      </c>
      <c r="F580" s="54" t="s">
        <v>29</v>
      </c>
      <c r="G580" s="54" t="s">
        <v>1835</v>
      </c>
      <c r="H580" s="54" t="s">
        <v>1835</v>
      </c>
      <c r="I580" s="66">
        <v>46162</v>
      </c>
      <c r="J580" s="54" t="s">
        <v>1836</v>
      </c>
      <c r="K580" s="54" t="s">
        <v>1239</v>
      </c>
      <c r="L580" s="54" t="s">
        <v>1841</v>
      </c>
      <c r="M580" s="97" t="str">
        <f t="shared" si="67"/>
        <v>Open File</v>
      </c>
      <c r="N580" s="70" t="s">
        <v>1838</v>
      </c>
      <c r="O580" s="71" t="str">
        <f t="shared" si="68"/>
        <v>ACTIVE</v>
      </c>
      <c r="P580" s="66"/>
      <c r="Q580" s="66"/>
      <c r="R580" s="54"/>
      <c r="S580" s="82"/>
      <c r="T580" s="83" t="str">
        <f t="shared" si="69"/>
        <v/>
      </c>
      <c r="U580" s="10"/>
      <c r="V580" s="41">
        <f>IF(AND(Q580&lt;&gt;"",RIGHT(Q580,3)&lt;&gt;""),IF(COUNTIF($Q$6:Q580,Q580)=1,1,0),0)</f>
        <v>0</v>
      </c>
      <c r="W580" s="41" t="str">
        <f t="shared" si="70"/>
        <v>BA.PAC-SIG.2026.01-2</v>
      </c>
      <c r="X580" s="41" t="str">
        <f t="shared" si="71"/>
        <v/>
      </c>
    </row>
    <row r="581" s="32" customFormat="1" hidden="1" customHeight="1" spans="1:24">
      <c r="A581" s="34"/>
      <c r="B581" s="51">
        <v>576</v>
      </c>
      <c r="C581" s="51" t="s">
        <v>1842</v>
      </c>
      <c r="D581" s="52" t="s">
        <v>1843</v>
      </c>
      <c r="E581" s="53">
        <v>1</v>
      </c>
      <c r="F581" s="54" t="s">
        <v>29</v>
      </c>
      <c r="G581" s="54" t="s">
        <v>1835</v>
      </c>
      <c r="H581" s="54" t="s">
        <v>1835</v>
      </c>
      <c r="I581" s="66">
        <v>46162</v>
      </c>
      <c r="J581" s="54" t="s">
        <v>1836</v>
      </c>
      <c r="K581" s="54" t="s">
        <v>1423</v>
      </c>
      <c r="L581" s="54" t="s">
        <v>1844</v>
      </c>
      <c r="M581" s="97" t="str">
        <f t="shared" si="67"/>
        <v>Open File</v>
      </c>
      <c r="N581" s="70" t="s">
        <v>1838</v>
      </c>
      <c r="O581" s="71" t="str">
        <f t="shared" si="68"/>
        <v>ACTIVE</v>
      </c>
      <c r="P581" s="66"/>
      <c r="Q581" s="66"/>
      <c r="R581" s="54"/>
      <c r="S581" s="82"/>
      <c r="T581" s="83" t="str">
        <f t="shared" si="69"/>
        <v/>
      </c>
      <c r="U581" s="10"/>
      <c r="V581" s="41">
        <f>IF(AND(Q581&lt;&gt;"",RIGHT(Q581,3)&lt;&gt;""),IF(COUNTIF($Q$6:Q581,Q581)=1,1,0),0)</f>
        <v>0</v>
      </c>
      <c r="W581" s="41" t="str">
        <f t="shared" si="70"/>
        <v>BA.PAC-SIG.2026.01-3</v>
      </c>
      <c r="X581" s="41" t="str">
        <f t="shared" si="71"/>
        <v/>
      </c>
    </row>
    <row r="582" s="32" customFormat="1" hidden="1" customHeight="1" spans="1:24">
      <c r="A582" s="34"/>
      <c r="B582" s="51">
        <v>577</v>
      </c>
      <c r="C582" s="51" t="s">
        <v>1845</v>
      </c>
      <c r="D582" s="52" t="s">
        <v>1846</v>
      </c>
      <c r="E582" s="53">
        <v>1</v>
      </c>
      <c r="F582" s="54" t="s">
        <v>29</v>
      </c>
      <c r="G582" s="54" t="s">
        <v>1835</v>
      </c>
      <c r="H582" s="54" t="s">
        <v>1835</v>
      </c>
      <c r="I582" s="66">
        <v>46162</v>
      </c>
      <c r="J582" s="54" t="s">
        <v>1836</v>
      </c>
      <c r="K582" s="54" t="s">
        <v>1427</v>
      </c>
      <c r="L582" s="54" t="s">
        <v>1847</v>
      </c>
      <c r="M582" s="97" t="str">
        <f t="shared" si="67"/>
        <v>Open File</v>
      </c>
      <c r="N582" s="70" t="s">
        <v>1838</v>
      </c>
      <c r="O582" s="71" t="str">
        <f t="shared" si="68"/>
        <v>ACTIVE</v>
      </c>
      <c r="P582" s="66"/>
      <c r="Q582" s="66"/>
      <c r="R582" s="54"/>
      <c r="S582" s="82"/>
      <c r="T582" s="83" t="str">
        <f t="shared" si="69"/>
        <v/>
      </c>
      <c r="U582" s="10"/>
      <c r="V582" s="41">
        <f>IF(AND(Q582&lt;&gt;"",RIGHT(Q582,3)&lt;&gt;""),IF(COUNTIF($Q$6:Q582,Q582)=1,1,0),0)</f>
        <v>0</v>
      </c>
      <c r="W582" s="41" t="str">
        <f t="shared" si="70"/>
        <v>BA.PAC-SIG.2026.01-4</v>
      </c>
      <c r="X582" s="41" t="str">
        <f t="shared" si="71"/>
        <v/>
      </c>
    </row>
    <row r="583" s="32" customFormat="1" hidden="1" customHeight="1" spans="1:24">
      <c r="A583" s="34"/>
      <c r="B583" s="51">
        <v>578</v>
      </c>
      <c r="C583" s="51" t="s">
        <v>1848</v>
      </c>
      <c r="D583" s="52" t="s">
        <v>1849</v>
      </c>
      <c r="E583" s="53">
        <v>1</v>
      </c>
      <c r="F583" s="54" t="s">
        <v>29</v>
      </c>
      <c r="G583" s="54" t="s">
        <v>1835</v>
      </c>
      <c r="H583" s="54" t="s">
        <v>1835</v>
      </c>
      <c r="I583" s="66">
        <v>46162</v>
      </c>
      <c r="J583" s="54" t="s">
        <v>1836</v>
      </c>
      <c r="K583" s="54" t="s">
        <v>1431</v>
      </c>
      <c r="L583" s="54" t="s">
        <v>1850</v>
      </c>
      <c r="M583" s="97" t="str">
        <f t="shared" si="67"/>
        <v>Open File</v>
      </c>
      <c r="N583" s="70" t="s">
        <v>1838</v>
      </c>
      <c r="O583" s="71" t="str">
        <f t="shared" si="68"/>
        <v>ACTIVE</v>
      </c>
      <c r="P583" s="66"/>
      <c r="Q583" s="66"/>
      <c r="R583" s="54"/>
      <c r="S583" s="82"/>
      <c r="T583" s="83" t="str">
        <f t="shared" si="69"/>
        <v/>
      </c>
      <c r="U583" s="10"/>
      <c r="V583" s="41">
        <f>IF(AND(Q583&lt;&gt;"",RIGHT(Q583,3)&lt;&gt;""),IF(COUNTIF($Q$6:Q583,Q583)=1,1,0),0)</f>
        <v>0</v>
      </c>
      <c r="W583" s="41" t="str">
        <f t="shared" si="70"/>
        <v>BA.PAC-SIG.2026.01-5</v>
      </c>
      <c r="X583" s="41" t="str">
        <f t="shared" si="71"/>
        <v/>
      </c>
    </row>
    <row r="584" s="32" customFormat="1" hidden="1" customHeight="1" spans="1:24">
      <c r="A584" s="34"/>
      <c r="B584" s="51">
        <v>579</v>
      </c>
      <c r="C584" s="51" t="s">
        <v>1851</v>
      </c>
      <c r="D584" s="52" t="s">
        <v>1852</v>
      </c>
      <c r="E584" s="53">
        <v>1</v>
      </c>
      <c r="F584" s="54" t="s">
        <v>29</v>
      </c>
      <c r="G584" s="54" t="s">
        <v>1835</v>
      </c>
      <c r="H584" s="54" t="s">
        <v>1835</v>
      </c>
      <c r="I584" s="66">
        <v>46162</v>
      </c>
      <c r="J584" s="54" t="s">
        <v>1836</v>
      </c>
      <c r="K584" s="54" t="s">
        <v>1435</v>
      </c>
      <c r="L584" s="54" t="s">
        <v>1853</v>
      </c>
      <c r="M584" s="97" t="str">
        <f t="shared" si="67"/>
        <v>Open File</v>
      </c>
      <c r="N584" s="70" t="s">
        <v>1838</v>
      </c>
      <c r="O584" s="71" t="str">
        <f t="shared" si="68"/>
        <v>ACTIVE</v>
      </c>
      <c r="P584" s="66"/>
      <c r="Q584" s="66"/>
      <c r="R584" s="54"/>
      <c r="S584" s="82"/>
      <c r="T584" s="83" t="str">
        <f t="shared" si="69"/>
        <v/>
      </c>
      <c r="U584" s="10"/>
      <c r="V584" s="41">
        <f>IF(AND(Q584&lt;&gt;"",RIGHT(Q584,3)&lt;&gt;""),IF(COUNTIF($Q$6:Q584,Q584)=1,1,0),0)</f>
        <v>0</v>
      </c>
      <c r="W584" s="41" t="str">
        <f t="shared" si="70"/>
        <v>BA.PAC-SIG.2026.01-6</v>
      </c>
      <c r="X584" s="41" t="str">
        <f t="shared" si="71"/>
        <v/>
      </c>
    </row>
    <row r="585" s="32" customFormat="1" hidden="1" customHeight="1" spans="1:24">
      <c r="A585" s="34"/>
      <c r="B585" s="51">
        <v>580</v>
      </c>
      <c r="C585" s="51" t="s">
        <v>1854</v>
      </c>
      <c r="D585" s="52" t="s">
        <v>1855</v>
      </c>
      <c r="E585" s="53">
        <v>1</v>
      </c>
      <c r="F585" s="54" t="s">
        <v>29</v>
      </c>
      <c r="G585" s="54" t="s">
        <v>1835</v>
      </c>
      <c r="H585" s="54" t="s">
        <v>1835</v>
      </c>
      <c r="I585" s="66">
        <v>46162</v>
      </c>
      <c r="J585" s="54" t="s">
        <v>1836</v>
      </c>
      <c r="K585" s="54" t="s">
        <v>1439</v>
      </c>
      <c r="L585" s="54" t="s">
        <v>1856</v>
      </c>
      <c r="M585" s="97" t="str">
        <f t="shared" si="67"/>
        <v>Open File</v>
      </c>
      <c r="N585" s="70" t="s">
        <v>1838</v>
      </c>
      <c r="O585" s="71" t="str">
        <f t="shared" si="68"/>
        <v>ACTIVE</v>
      </c>
      <c r="P585" s="66"/>
      <c r="Q585" s="66"/>
      <c r="R585" s="54"/>
      <c r="S585" s="82"/>
      <c r="T585" s="83" t="str">
        <f t="shared" si="69"/>
        <v/>
      </c>
      <c r="U585" s="10"/>
      <c r="V585" s="41">
        <f>IF(AND(Q585&lt;&gt;"",RIGHT(Q585,3)&lt;&gt;""),IF(COUNTIF($Q$6:Q585,Q585)=1,1,0),0)</f>
        <v>0</v>
      </c>
      <c r="W585" s="41" t="str">
        <f t="shared" si="70"/>
        <v>BA.PAC-SIG.2026.01-7</v>
      </c>
      <c r="X585" s="41" t="str">
        <f t="shared" si="71"/>
        <v/>
      </c>
    </row>
    <row r="586" s="32" customFormat="1" hidden="1" customHeight="1" spans="1:24">
      <c r="A586" s="34"/>
      <c r="B586" s="51">
        <v>581</v>
      </c>
      <c r="C586" s="51" t="s">
        <v>1857</v>
      </c>
      <c r="D586" s="52" t="s">
        <v>1858</v>
      </c>
      <c r="E586" s="53">
        <v>1</v>
      </c>
      <c r="F586" s="54" t="s">
        <v>29</v>
      </c>
      <c r="G586" s="54" t="s">
        <v>1859</v>
      </c>
      <c r="H586" s="54" t="s">
        <v>1859</v>
      </c>
      <c r="I586" s="66">
        <v>46162</v>
      </c>
      <c r="J586" s="54" t="s">
        <v>1860</v>
      </c>
      <c r="K586" s="54" t="s">
        <v>226</v>
      </c>
      <c r="L586" s="54" t="s">
        <v>1861</v>
      </c>
      <c r="M586" s="97" t="str">
        <f t="shared" si="67"/>
        <v>Open File</v>
      </c>
      <c r="N586" s="70" t="s">
        <v>1862</v>
      </c>
      <c r="O586" s="71" t="str">
        <f t="shared" si="68"/>
        <v>ACTIVE</v>
      </c>
      <c r="P586" s="66"/>
      <c r="Q586" s="66"/>
      <c r="R586" s="54"/>
      <c r="S586" s="82"/>
      <c r="T586" s="83" t="str">
        <f t="shared" si="69"/>
        <v/>
      </c>
      <c r="U586" s="10"/>
      <c r="V586" s="41">
        <f>IF(AND(Q586&lt;&gt;"",RIGHT(Q586,3)&lt;&gt;""),IF(COUNTIF($Q$6:Q586,Q586)=1,1,0),0)</f>
        <v>0</v>
      </c>
      <c r="W586" s="41" t="str">
        <f t="shared" si="70"/>
        <v>BA.PAC-SIG.2026.02-1</v>
      </c>
      <c r="X586" s="41" t="str">
        <f t="shared" si="71"/>
        <v/>
      </c>
    </row>
    <row r="587" s="32" customFormat="1" hidden="1" customHeight="1" spans="1:24">
      <c r="A587" s="34"/>
      <c r="B587" s="51">
        <v>582</v>
      </c>
      <c r="C587" s="51" t="s">
        <v>1863</v>
      </c>
      <c r="D587" s="52" t="s">
        <v>1864</v>
      </c>
      <c r="E587" s="53">
        <v>1</v>
      </c>
      <c r="F587" s="54" t="s">
        <v>29</v>
      </c>
      <c r="G587" s="54" t="s">
        <v>1859</v>
      </c>
      <c r="H587" s="54" t="s">
        <v>1859</v>
      </c>
      <c r="I587" s="66">
        <v>46162</v>
      </c>
      <c r="J587" s="54" t="s">
        <v>1860</v>
      </c>
      <c r="K587" s="54" t="s">
        <v>1239</v>
      </c>
      <c r="L587" s="54" t="s">
        <v>1865</v>
      </c>
      <c r="M587" s="97" t="str">
        <f t="shared" si="67"/>
        <v>Open File</v>
      </c>
      <c r="N587" s="70" t="s">
        <v>1862</v>
      </c>
      <c r="O587" s="71" t="str">
        <f t="shared" si="68"/>
        <v>ACTIVE</v>
      </c>
      <c r="P587" s="66"/>
      <c r="Q587" s="66"/>
      <c r="R587" s="54"/>
      <c r="S587" s="82"/>
      <c r="T587" s="83" t="str">
        <f t="shared" si="69"/>
        <v/>
      </c>
      <c r="U587" s="10"/>
      <c r="V587" s="41">
        <f>IF(AND(Q587&lt;&gt;"",RIGHT(Q587,3)&lt;&gt;""),IF(COUNTIF($Q$6:Q587,Q587)=1,1,0),0)</f>
        <v>0</v>
      </c>
      <c r="W587" s="41" t="str">
        <f t="shared" si="70"/>
        <v>BA.PAC-SIG.2026.02-2</v>
      </c>
      <c r="X587" s="41" t="str">
        <f t="shared" si="71"/>
        <v/>
      </c>
    </row>
    <row r="588" s="32" customFormat="1" hidden="1" customHeight="1" spans="1:24">
      <c r="A588" s="34"/>
      <c r="B588" s="51">
        <v>583</v>
      </c>
      <c r="C588" s="51" t="s">
        <v>1866</v>
      </c>
      <c r="D588" s="52" t="s">
        <v>1867</v>
      </c>
      <c r="E588" s="53">
        <v>1</v>
      </c>
      <c r="F588" s="54" t="s">
        <v>29</v>
      </c>
      <c r="G588" s="54" t="s">
        <v>1859</v>
      </c>
      <c r="H588" s="54" t="s">
        <v>1859</v>
      </c>
      <c r="I588" s="66">
        <v>46162</v>
      </c>
      <c r="J588" s="54" t="s">
        <v>1860</v>
      </c>
      <c r="K588" s="54" t="s">
        <v>1423</v>
      </c>
      <c r="L588" s="54" t="s">
        <v>1868</v>
      </c>
      <c r="M588" s="97" t="str">
        <f t="shared" si="67"/>
        <v>Open File</v>
      </c>
      <c r="N588" s="70" t="s">
        <v>1862</v>
      </c>
      <c r="O588" s="71" t="str">
        <f t="shared" si="68"/>
        <v>ACTIVE</v>
      </c>
      <c r="P588" s="66"/>
      <c r="Q588" s="66"/>
      <c r="R588" s="54"/>
      <c r="S588" s="82"/>
      <c r="T588" s="83" t="str">
        <f t="shared" si="69"/>
        <v/>
      </c>
      <c r="U588" s="10"/>
      <c r="V588" s="41">
        <f>IF(AND(Q588&lt;&gt;"",RIGHT(Q588,3)&lt;&gt;""),IF(COUNTIF($Q$6:Q588,Q588)=1,1,0),0)</f>
        <v>0</v>
      </c>
      <c r="W588" s="41" t="str">
        <f t="shared" si="70"/>
        <v>BA.PAC-SIG.2026.02-3</v>
      </c>
      <c r="X588" s="41" t="str">
        <f t="shared" si="71"/>
        <v/>
      </c>
    </row>
    <row r="589" s="32" customFormat="1" hidden="1" customHeight="1" spans="1:24">
      <c r="A589" s="34"/>
      <c r="B589" s="51">
        <v>584</v>
      </c>
      <c r="C589" s="51" t="s">
        <v>1869</v>
      </c>
      <c r="D589" s="52" t="s">
        <v>1870</v>
      </c>
      <c r="E589" s="53">
        <v>1</v>
      </c>
      <c r="F589" s="54" t="s">
        <v>29</v>
      </c>
      <c r="G589" s="54" t="s">
        <v>1859</v>
      </c>
      <c r="H589" s="54" t="s">
        <v>1859</v>
      </c>
      <c r="I589" s="66">
        <v>46162</v>
      </c>
      <c r="J589" s="54" t="s">
        <v>1860</v>
      </c>
      <c r="K589" s="54" t="s">
        <v>1427</v>
      </c>
      <c r="L589" s="54" t="s">
        <v>1871</v>
      </c>
      <c r="M589" s="97" t="str">
        <f t="shared" si="67"/>
        <v>Open File</v>
      </c>
      <c r="N589" s="70" t="s">
        <v>1862</v>
      </c>
      <c r="O589" s="71" t="str">
        <f t="shared" si="68"/>
        <v>ACTIVE</v>
      </c>
      <c r="P589" s="66"/>
      <c r="Q589" s="66"/>
      <c r="R589" s="54"/>
      <c r="S589" s="82"/>
      <c r="T589" s="83" t="str">
        <f t="shared" si="69"/>
        <v/>
      </c>
      <c r="U589" s="10"/>
      <c r="V589" s="41">
        <f>IF(AND(Q589&lt;&gt;"",RIGHT(Q589,3)&lt;&gt;""),IF(COUNTIF($Q$6:Q589,Q589)=1,1,0),0)</f>
        <v>0</v>
      </c>
      <c r="W589" s="41" t="str">
        <f t="shared" si="70"/>
        <v>BA.PAC-SIG.2026.02-4</v>
      </c>
      <c r="X589" s="41" t="str">
        <f t="shared" si="71"/>
        <v/>
      </c>
    </row>
    <row r="590" s="32" customFormat="1" hidden="1" customHeight="1" spans="1:24">
      <c r="A590" s="34"/>
      <c r="B590" s="51">
        <v>585</v>
      </c>
      <c r="C590" s="51" t="s">
        <v>1872</v>
      </c>
      <c r="D590" s="52" t="s">
        <v>1855</v>
      </c>
      <c r="E590" s="53">
        <v>1</v>
      </c>
      <c r="F590" s="54" t="s">
        <v>29</v>
      </c>
      <c r="G590" s="54" t="s">
        <v>1859</v>
      </c>
      <c r="H590" s="54" t="s">
        <v>1859</v>
      </c>
      <c r="I590" s="66">
        <v>46162</v>
      </c>
      <c r="J590" s="54" t="s">
        <v>1860</v>
      </c>
      <c r="K590" s="54" t="s">
        <v>1431</v>
      </c>
      <c r="L590" s="54" t="s">
        <v>1873</v>
      </c>
      <c r="M590" s="97" t="str">
        <f t="shared" si="67"/>
        <v>Open File</v>
      </c>
      <c r="N590" s="70" t="s">
        <v>1862</v>
      </c>
      <c r="O590" s="71" t="str">
        <f t="shared" si="68"/>
        <v>ACTIVE</v>
      </c>
      <c r="P590" s="66"/>
      <c r="Q590" s="66"/>
      <c r="R590" s="54"/>
      <c r="S590" s="82"/>
      <c r="T590" s="83" t="str">
        <f t="shared" si="69"/>
        <v/>
      </c>
      <c r="U590" s="10"/>
      <c r="V590" s="41">
        <f>IF(AND(Q590&lt;&gt;"",RIGHT(Q590,3)&lt;&gt;""),IF(COUNTIF($Q$6:Q590,Q590)=1,1,0),0)</f>
        <v>0</v>
      </c>
      <c r="W590" s="41" t="str">
        <f t="shared" si="70"/>
        <v>BA.PAC-SIG.2026.02-5</v>
      </c>
      <c r="X590" s="41" t="str">
        <f t="shared" si="71"/>
        <v/>
      </c>
    </row>
    <row r="591" s="32" customFormat="1" hidden="1" customHeight="1" spans="1:24">
      <c r="A591" s="34"/>
      <c r="B591" s="51">
        <v>586</v>
      </c>
      <c r="C591" s="51" t="s">
        <v>1874</v>
      </c>
      <c r="D591" s="52" t="s">
        <v>1834</v>
      </c>
      <c r="E591" s="53">
        <v>1</v>
      </c>
      <c r="F591" s="54" t="s">
        <v>29</v>
      </c>
      <c r="G591" s="54" t="s">
        <v>1875</v>
      </c>
      <c r="H591" s="54" t="s">
        <v>1875</v>
      </c>
      <c r="I591" s="66">
        <v>46162</v>
      </c>
      <c r="J591" s="54" t="s">
        <v>1876</v>
      </c>
      <c r="K591" s="54" t="s">
        <v>226</v>
      </c>
      <c r="L591" s="54" t="s">
        <v>1877</v>
      </c>
      <c r="M591" s="97" t="str">
        <f t="shared" si="67"/>
        <v>Open File</v>
      </c>
      <c r="N591" s="70" t="s">
        <v>1878</v>
      </c>
      <c r="O591" s="71" t="str">
        <f t="shared" si="68"/>
        <v>ACTIVE</v>
      </c>
      <c r="P591" s="66"/>
      <c r="Q591" s="66"/>
      <c r="R591" s="54"/>
      <c r="S591" s="82"/>
      <c r="T591" s="83" t="str">
        <f t="shared" si="69"/>
        <v/>
      </c>
      <c r="U591" s="10"/>
      <c r="V591" s="41">
        <f>IF(AND(Q591&lt;&gt;"",RIGHT(Q591,3)&lt;&gt;""),IF(COUNTIF($Q$6:Q591,Q591)=1,1,0),0)</f>
        <v>0</v>
      </c>
      <c r="W591" s="41" t="str">
        <f t="shared" si="70"/>
        <v>BA.PAC-SIG.2026.03-1</v>
      </c>
      <c r="X591" s="41" t="str">
        <f t="shared" si="71"/>
        <v/>
      </c>
    </row>
    <row r="592" s="32" customFormat="1" hidden="1" customHeight="1" spans="1:24">
      <c r="A592" s="34"/>
      <c r="B592" s="51">
        <v>587</v>
      </c>
      <c r="C592" s="51" t="s">
        <v>1879</v>
      </c>
      <c r="D592" s="52" t="s">
        <v>1880</v>
      </c>
      <c r="E592" s="53">
        <v>1</v>
      </c>
      <c r="F592" s="54" t="s">
        <v>29</v>
      </c>
      <c r="G592" s="54" t="s">
        <v>1875</v>
      </c>
      <c r="H592" s="54" t="s">
        <v>1875</v>
      </c>
      <c r="I592" s="66">
        <v>46162</v>
      </c>
      <c r="J592" s="54" t="s">
        <v>1876</v>
      </c>
      <c r="K592" s="54" t="s">
        <v>1239</v>
      </c>
      <c r="L592" s="54" t="s">
        <v>1881</v>
      </c>
      <c r="M592" s="97" t="str">
        <f t="shared" si="67"/>
        <v>Open File</v>
      </c>
      <c r="N592" s="70" t="s">
        <v>1878</v>
      </c>
      <c r="O592" s="71" t="str">
        <f t="shared" si="68"/>
        <v>ACTIVE</v>
      </c>
      <c r="P592" s="66"/>
      <c r="Q592" s="66"/>
      <c r="R592" s="54"/>
      <c r="S592" s="82"/>
      <c r="T592" s="83" t="str">
        <f t="shared" si="69"/>
        <v/>
      </c>
      <c r="U592" s="10"/>
      <c r="V592" s="41">
        <f>IF(AND(Q592&lt;&gt;"",RIGHT(Q592,3)&lt;&gt;""),IF(COUNTIF($Q$6:Q592,Q592)=1,1,0),0)</f>
        <v>0</v>
      </c>
      <c r="W592" s="41" t="str">
        <f t="shared" si="70"/>
        <v>BA.PAC-SIG.2026.03-2</v>
      </c>
      <c r="X592" s="41" t="str">
        <f t="shared" si="71"/>
        <v/>
      </c>
    </row>
    <row r="593" s="32" customFormat="1" hidden="1" customHeight="1" spans="1:24">
      <c r="A593" s="34"/>
      <c r="B593" s="51">
        <v>588</v>
      </c>
      <c r="C593" s="51" t="s">
        <v>1882</v>
      </c>
      <c r="D593" s="52" t="s">
        <v>1883</v>
      </c>
      <c r="E593" s="53">
        <v>1</v>
      </c>
      <c r="F593" s="54" t="s">
        <v>29</v>
      </c>
      <c r="G593" s="54" t="s">
        <v>1875</v>
      </c>
      <c r="H593" s="54" t="s">
        <v>1875</v>
      </c>
      <c r="I593" s="66">
        <v>46162</v>
      </c>
      <c r="J593" s="54" t="s">
        <v>1876</v>
      </c>
      <c r="K593" s="54" t="s">
        <v>1423</v>
      </c>
      <c r="L593" s="54" t="s">
        <v>1884</v>
      </c>
      <c r="M593" s="97" t="str">
        <f t="shared" si="67"/>
        <v>Open File</v>
      </c>
      <c r="N593" s="70" t="s">
        <v>1878</v>
      </c>
      <c r="O593" s="71" t="str">
        <f t="shared" si="68"/>
        <v>ACTIVE</v>
      </c>
      <c r="P593" s="66"/>
      <c r="Q593" s="66"/>
      <c r="R593" s="54"/>
      <c r="S593" s="82"/>
      <c r="T593" s="83" t="str">
        <f t="shared" si="69"/>
        <v/>
      </c>
      <c r="U593" s="10"/>
      <c r="V593" s="41">
        <f>IF(AND(Q593&lt;&gt;"",RIGHT(Q593,3)&lt;&gt;""),IF(COUNTIF($Q$6:Q593,Q593)=1,1,0),0)</f>
        <v>0</v>
      </c>
      <c r="W593" s="41" t="str">
        <f t="shared" si="70"/>
        <v>BA.PAC-SIG.2026.03-3</v>
      </c>
      <c r="X593" s="41" t="str">
        <f t="shared" si="71"/>
        <v/>
      </c>
    </row>
    <row r="594" s="32" customFormat="1" hidden="1" customHeight="1" spans="1:24">
      <c r="A594" s="34"/>
      <c r="B594" s="51">
        <v>589</v>
      </c>
      <c r="C594" s="51" t="s">
        <v>1885</v>
      </c>
      <c r="D594" s="52" t="s">
        <v>1886</v>
      </c>
      <c r="E594" s="53">
        <v>1</v>
      </c>
      <c r="F594" s="54" t="s">
        <v>29</v>
      </c>
      <c r="G594" s="54" t="s">
        <v>1875</v>
      </c>
      <c r="H594" s="54" t="s">
        <v>1875</v>
      </c>
      <c r="I594" s="66">
        <v>46162</v>
      </c>
      <c r="J594" s="54" t="s">
        <v>1876</v>
      </c>
      <c r="K594" s="54" t="s">
        <v>1427</v>
      </c>
      <c r="L594" s="54" t="s">
        <v>1887</v>
      </c>
      <c r="M594" s="97" t="str">
        <f t="shared" si="67"/>
        <v>Open File</v>
      </c>
      <c r="N594" s="70" t="s">
        <v>1878</v>
      </c>
      <c r="O594" s="71" t="str">
        <f t="shared" si="68"/>
        <v>ACTIVE</v>
      </c>
      <c r="P594" s="66"/>
      <c r="Q594" s="66"/>
      <c r="R594" s="54"/>
      <c r="S594" s="82"/>
      <c r="T594" s="83" t="str">
        <f t="shared" si="69"/>
        <v/>
      </c>
      <c r="U594" s="10"/>
      <c r="V594" s="41">
        <f>IF(AND(Q594&lt;&gt;"",RIGHT(Q594,3)&lt;&gt;""),IF(COUNTIF($Q$6:Q594,Q594)=1,1,0),0)</f>
        <v>0</v>
      </c>
      <c r="W594" s="41" t="str">
        <f t="shared" si="70"/>
        <v>BA.PAC-SIG.2026.03-4</v>
      </c>
      <c r="X594" s="41" t="str">
        <f t="shared" si="71"/>
        <v/>
      </c>
    </row>
    <row r="595" s="32" customFormat="1" hidden="1" customHeight="1" spans="1:24">
      <c r="A595" s="34"/>
      <c r="B595" s="51">
        <v>590</v>
      </c>
      <c r="C595" s="51" t="s">
        <v>1888</v>
      </c>
      <c r="D595" s="52" t="s">
        <v>1855</v>
      </c>
      <c r="E595" s="53">
        <v>1</v>
      </c>
      <c r="F595" s="54" t="s">
        <v>29</v>
      </c>
      <c r="G595" s="54" t="s">
        <v>1875</v>
      </c>
      <c r="H595" s="54" t="s">
        <v>1875</v>
      </c>
      <c r="I595" s="66">
        <v>46162</v>
      </c>
      <c r="J595" s="54" t="s">
        <v>1876</v>
      </c>
      <c r="K595" s="54" t="s">
        <v>1431</v>
      </c>
      <c r="L595" s="54" t="s">
        <v>1889</v>
      </c>
      <c r="M595" s="97" t="str">
        <f t="shared" si="67"/>
        <v>Open File</v>
      </c>
      <c r="N595" s="70" t="s">
        <v>1878</v>
      </c>
      <c r="O595" s="71" t="str">
        <f t="shared" si="68"/>
        <v>ACTIVE</v>
      </c>
      <c r="P595" s="66"/>
      <c r="Q595" s="66"/>
      <c r="R595" s="54"/>
      <c r="S595" s="82"/>
      <c r="T595" s="83" t="str">
        <f t="shared" si="69"/>
        <v/>
      </c>
      <c r="U595" s="10"/>
      <c r="V595" s="41">
        <f>IF(AND(Q595&lt;&gt;"",RIGHT(Q595,3)&lt;&gt;""),IF(COUNTIF($Q$6:Q595,Q595)=1,1,0),0)</f>
        <v>0</v>
      </c>
      <c r="W595" s="41" t="str">
        <f t="shared" si="70"/>
        <v>BA.PAC-SIG.2026.03-5</v>
      </c>
      <c r="X595" s="41" t="str">
        <f t="shared" si="71"/>
        <v/>
      </c>
    </row>
    <row r="596" s="32" customFormat="1" hidden="1" customHeight="1" spans="1:24">
      <c r="A596" s="34"/>
      <c r="B596" s="51">
        <v>591</v>
      </c>
      <c r="C596" s="51" t="s">
        <v>1890</v>
      </c>
      <c r="D596" s="52" t="s">
        <v>1891</v>
      </c>
      <c r="E596" s="53">
        <v>1</v>
      </c>
      <c r="F596" s="54" t="s">
        <v>29</v>
      </c>
      <c r="G596" s="54" t="s">
        <v>1875</v>
      </c>
      <c r="H596" s="54" t="s">
        <v>1875</v>
      </c>
      <c r="I596" s="66">
        <v>46162</v>
      </c>
      <c r="J596" s="54" t="s">
        <v>1876</v>
      </c>
      <c r="K596" s="54" t="s">
        <v>1435</v>
      </c>
      <c r="L596" s="54" t="s">
        <v>1892</v>
      </c>
      <c r="M596" s="97" t="str">
        <f t="shared" si="67"/>
        <v>Open File</v>
      </c>
      <c r="N596" s="70" t="s">
        <v>1878</v>
      </c>
      <c r="O596" s="71" t="str">
        <f t="shared" si="68"/>
        <v>ACTIVE</v>
      </c>
      <c r="P596" s="66"/>
      <c r="Q596" s="66"/>
      <c r="R596" s="54"/>
      <c r="S596" s="82"/>
      <c r="T596" s="83" t="str">
        <f t="shared" si="69"/>
        <v/>
      </c>
      <c r="U596" s="10"/>
      <c r="V596" s="41">
        <f>IF(AND(Q596&lt;&gt;"",RIGHT(Q596,3)&lt;&gt;""),IF(COUNTIF($Q$6:Q596,Q596)=1,1,0),0)</f>
        <v>0</v>
      </c>
      <c r="W596" s="41" t="str">
        <f t="shared" si="70"/>
        <v>BA.PAC-SIG.2026.03-6</v>
      </c>
      <c r="X596" s="41" t="str">
        <f t="shared" si="71"/>
        <v/>
      </c>
    </row>
    <row r="597" s="32" customFormat="1" hidden="1" customHeight="1" spans="1:24">
      <c r="A597" s="34"/>
      <c r="B597" s="51">
        <v>592</v>
      </c>
      <c r="C597" s="51" t="s">
        <v>1893</v>
      </c>
      <c r="D597" s="52" t="s">
        <v>1894</v>
      </c>
      <c r="E597" s="53">
        <v>1</v>
      </c>
      <c r="F597" s="54" t="s">
        <v>29</v>
      </c>
      <c r="G597" s="54" t="s">
        <v>1875</v>
      </c>
      <c r="H597" s="54" t="s">
        <v>1875</v>
      </c>
      <c r="I597" s="66">
        <v>46162</v>
      </c>
      <c r="J597" s="54" t="s">
        <v>1876</v>
      </c>
      <c r="K597" s="54" t="s">
        <v>1439</v>
      </c>
      <c r="L597" s="54" t="s">
        <v>1895</v>
      </c>
      <c r="M597" s="97" t="str">
        <f t="shared" si="67"/>
        <v>Open File</v>
      </c>
      <c r="N597" s="70" t="s">
        <v>1878</v>
      </c>
      <c r="O597" s="71" t="str">
        <f t="shared" si="68"/>
        <v>ACTIVE</v>
      </c>
      <c r="P597" s="66"/>
      <c r="Q597" s="66"/>
      <c r="R597" s="54"/>
      <c r="S597" s="82"/>
      <c r="T597" s="83" t="str">
        <f t="shared" si="69"/>
        <v/>
      </c>
      <c r="U597" s="10"/>
      <c r="V597" s="41">
        <f>IF(AND(Q597&lt;&gt;"",RIGHT(Q597,3)&lt;&gt;""),IF(COUNTIF($Q$6:Q597,Q597)=1,1,0),0)</f>
        <v>0</v>
      </c>
      <c r="W597" s="41" t="str">
        <f t="shared" si="70"/>
        <v>BA.PAC-SIG.2026.03-7</v>
      </c>
      <c r="X597" s="41" t="str">
        <f t="shared" si="71"/>
        <v/>
      </c>
    </row>
    <row r="598" s="32" customFormat="1" hidden="1" customHeight="1" spans="1:24">
      <c r="A598" s="34"/>
      <c r="B598" s="51">
        <v>593</v>
      </c>
      <c r="C598" s="51" t="s">
        <v>1896</v>
      </c>
      <c r="D598" s="52" t="s">
        <v>1897</v>
      </c>
      <c r="E598" s="53">
        <v>1</v>
      </c>
      <c r="F598" s="54" t="s">
        <v>29</v>
      </c>
      <c r="G598" s="54" t="s">
        <v>1898</v>
      </c>
      <c r="H598" s="54" t="s">
        <v>1898</v>
      </c>
      <c r="I598" s="66">
        <v>46162</v>
      </c>
      <c r="J598" s="54" t="s">
        <v>1899</v>
      </c>
      <c r="K598" s="54" t="s">
        <v>226</v>
      </c>
      <c r="L598" s="54" t="s">
        <v>1900</v>
      </c>
      <c r="M598" s="95" t="str">
        <f t="shared" si="67"/>
        <v>Open File</v>
      </c>
      <c r="N598" s="70" t="s">
        <v>1901</v>
      </c>
      <c r="O598" s="71" t="str">
        <f t="shared" si="68"/>
        <v>ACTIVE</v>
      </c>
      <c r="P598" s="66"/>
      <c r="Q598" s="66"/>
      <c r="R598" s="54"/>
      <c r="S598" s="82"/>
      <c r="T598" s="83" t="str">
        <f t="shared" si="69"/>
        <v/>
      </c>
      <c r="U598" s="10"/>
      <c r="V598" s="41">
        <f>IF(AND(Q598&lt;&gt;"",RIGHT(Q598,3)&lt;&gt;""),IF(COUNTIF($Q$6:Q598,Q598)=1,1,0),0)</f>
        <v>0</v>
      </c>
      <c r="W598" s="41" t="str">
        <f t="shared" si="70"/>
        <v>BA.PAC-SIG.2026.04-1</v>
      </c>
      <c r="X598" s="41" t="str">
        <f t="shared" si="71"/>
        <v/>
      </c>
    </row>
    <row r="599" s="32" customFormat="1" hidden="1" customHeight="1" spans="1:24">
      <c r="A599" s="34"/>
      <c r="B599" s="51">
        <v>594</v>
      </c>
      <c r="C599" s="51" t="s">
        <v>1902</v>
      </c>
      <c r="D599" s="52" t="s">
        <v>1864</v>
      </c>
      <c r="E599" s="53">
        <v>1</v>
      </c>
      <c r="F599" s="54" t="s">
        <v>29</v>
      </c>
      <c r="G599" s="54" t="s">
        <v>1898</v>
      </c>
      <c r="H599" s="54" t="s">
        <v>1898</v>
      </c>
      <c r="I599" s="66">
        <v>46162</v>
      </c>
      <c r="J599" s="54" t="s">
        <v>1899</v>
      </c>
      <c r="K599" s="54" t="s">
        <v>1239</v>
      </c>
      <c r="L599" s="54" t="s">
        <v>1903</v>
      </c>
      <c r="M599" s="97" t="str">
        <f t="shared" si="67"/>
        <v>Open File</v>
      </c>
      <c r="N599" s="70" t="s">
        <v>1901</v>
      </c>
      <c r="O599" s="71" t="str">
        <f t="shared" si="68"/>
        <v>ACTIVE</v>
      </c>
      <c r="P599" s="66"/>
      <c r="Q599" s="66"/>
      <c r="R599" s="54"/>
      <c r="S599" s="82"/>
      <c r="T599" s="83" t="str">
        <f t="shared" si="69"/>
        <v/>
      </c>
      <c r="U599" s="10"/>
      <c r="V599" s="41">
        <f>IF(AND(Q599&lt;&gt;"",RIGHT(Q599,3)&lt;&gt;""),IF(COUNTIF($Q$6:Q599,Q599)=1,1,0),0)</f>
        <v>0</v>
      </c>
      <c r="W599" s="41" t="str">
        <f t="shared" si="70"/>
        <v>BA.PAC-SIG.2026.04-2</v>
      </c>
      <c r="X599" s="41" t="str">
        <f t="shared" si="71"/>
        <v/>
      </c>
    </row>
    <row r="600" s="32" customFormat="1" hidden="1" customHeight="1" spans="1:24">
      <c r="A600" s="34"/>
      <c r="B600" s="51">
        <v>595</v>
      </c>
      <c r="C600" s="51" t="s">
        <v>1904</v>
      </c>
      <c r="D600" s="52" t="s">
        <v>1905</v>
      </c>
      <c r="E600" s="53">
        <v>1</v>
      </c>
      <c r="F600" s="54" t="s">
        <v>29</v>
      </c>
      <c r="G600" s="54" t="s">
        <v>1898</v>
      </c>
      <c r="H600" s="54" t="s">
        <v>1898</v>
      </c>
      <c r="I600" s="66">
        <v>46162</v>
      </c>
      <c r="J600" s="54" t="s">
        <v>1899</v>
      </c>
      <c r="K600" s="54" t="s">
        <v>1423</v>
      </c>
      <c r="L600" s="54" t="s">
        <v>1906</v>
      </c>
      <c r="M600" s="97" t="str">
        <f t="shared" si="67"/>
        <v>Open File</v>
      </c>
      <c r="N600" s="70" t="s">
        <v>1901</v>
      </c>
      <c r="O600" s="71" t="str">
        <f t="shared" si="68"/>
        <v>ACTIVE</v>
      </c>
      <c r="P600" s="66"/>
      <c r="Q600" s="66"/>
      <c r="R600" s="54"/>
      <c r="S600" s="82"/>
      <c r="T600" s="83" t="str">
        <f t="shared" si="69"/>
        <v/>
      </c>
      <c r="U600" s="10"/>
      <c r="V600" s="41">
        <f>IF(AND(Q600&lt;&gt;"",RIGHT(Q600,3)&lt;&gt;""),IF(COUNTIF($Q$6:Q600,Q600)=1,1,0),0)</f>
        <v>0</v>
      </c>
      <c r="W600" s="41" t="str">
        <f t="shared" si="70"/>
        <v>BA.PAC-SIG.2026.04-3</v>
      </c>
      <c r="X600" s="41" t="str">
        <f t="shared" si="71"/>
        <v/>
      </c>
    </row>
    <row r="601" s="32" customFormat="1" hidden="1" customHeight="1" spans="1:24">
      <c r="A601" s="34"/>
      <c r="B601" s="51">
        <v>596</v>
      </c>
      <c r="C601" s="51" t="s">
        <v>1907</v>
      </c>
      <c r="D601" s="52" t="s">
        <v>1908</v>
      </c>
      <c r="E601" s="53">
        <v>1</v>
      </c>
      <c r="F601" s="54" t="s">
        <v>29</v>
      </c>
      <c r="G601" s="54" t="s">
        <v>1898</v>
      </c>
      <c r="H601" s="54" t="s">
        <v>1898</v>
      </c>
      <c r="I601" s="66">
        <v>46162</v>
      </c>
      <c r="J601" s="54" t="s">
        <v>1899</v>
      </c>
      <c r="K601" s="54" t="s">
        <v>1427</v>
      </c>
      <c r="L601" s="54" t="s">
        <v>1909</v>
      </c>
      <c r="M601" s="97" t="str">
        <f t="shared" si="67"/>
        <v>Open File</v>
      </c>
      <c r="N601" s="70" t="s">
        <v>1901</v>
      </c>
      <c r="O601" s="71" t="str">
        <f t="shared" si="68"/>
        <v>ACTIVE</v>
      </c>
      <c r="P601" s="66"/>
      <c r="Q601" s="66"/>
      <c r="R601" s="54"/>
      <c r="S601" s="82"/>
      <c r="T601" s="83" t="str">
        <f t="shared" si="69"/>
        <v/>
      </c>
      <c r="U601" s="10"/>
      <c r="V601" s="41">
        <f>IF(AND(Q601&lt;&gt;"",RIGHT(Q601,3)&lt;&gt;""),IF(COUNTIF($Q$6:Q601,Q601)=1,1,0),0)</f>
        <v>0</v>
      </c>
      <c r="W601" s="41" t="str">
        <f t="shared" si="70"/>
        <v>BA.PAC-SIG.2026.04-4</v>
      </c>
      <c r="X601" s="41" t="str">
        <f t="shared" si="71"/>
        <v/>
      </c>
    </row>
    <row r="602" s="32" customFormat="1" hidden="1" customHeight="1" spans="1:24">
      <c r="A602" s="34"/>
      <c r="B602" s="51">
        <v>597</v>
      </c>
      <c r="C602" s="51" t="s">
        <v>1910</v>
      </c>
      <c r="D602" s="52" t="s">
        <v>1897</v>
      </c>
      <c r="E602" s="53">
        <v>1</v>
      </c>
      <c r="F602" s="54" t="s">
        <v>29</v>
      </c>
      <c r="G602" s="54" t="s">
        <v>1911</v>
      </c>
      <c r="H602" s="54" t="s">
        <v>1911</v>
      </c>
      <c r="I602" s="66">
        <v>46162</v>
      </c>
      <c r="J602" s="54" t="s">
        <v>1912</v>
      </c>
      <c r="K602" s="54" t="s">
        <v>226</v>
      </c>
      <c r="L602" s="54" t="s">
        <v>1913</v>
      </c>
      <c r="M602" s="95" t="str">
        <f t="shared" si="67"/>
        <v>Open File</v>
      </c>
      <c r="N602" s="70" t="s">
        <v>1914</v>
      </c>
      <c r="O602" s="71" t="str">
        <f t="shared" si="68"/>
        <v>ACTIVE</v>
      </c>
      <c r="P602" s="66"/>
      <c r="Q602" s="66"/>
      <c r="R602" s="54"/>
      <c r="S602" s="82"/>
      <c r="T602" s="83" t="str">
        <f t="shared" si="69"/>
        <v/>
      </c>
      <c r="U602" s="10"/>
      <c r="V602" s="41">
        <f>IF(AND(Q602&lt;&gt;"",RIGHT(Q602,3)&lt;&gt;""),IF(COUNTIF($Q$6:Q602,Q602)=1,1,0),0)</f>
        <v>0</v>
      </c>
      <c r="W602" s="41" t="str">
        <f t="shared" si="70"/>
        <v>BA.PCS-SIG.2026.01-1</v>
      </c>
      <c r="X602" s="41" t="str">
        <f t="shared" si="71"/>
        <v/>
      </c>
    </row>
    <row r="603" s="32" customFormat="1" hidden="1" customHeight="1" spans="1:24">
      <c r="A603" s="34"/>
      <c r="B603" s="51">
        <v>598</v>
      </c>
      <c r="C603" s="51" t="s">
        <v>1915</v>
      </c>
      <c r="D603" s="52" t="s">
        <v>1916</v>
      </c>
      <c r="E603" s="53">
        <v>1</v>
      </c>
      <c r="F603" s="54" t="s">
        <v>29</v>
      </c>
      <c r="G603" s="54" t="s">
        <v>1911</v>
      </c>
      <c r="H603" s="54" t="s">
        <v>1911</v>
      </c>
      <c r="I603" s="66">
        <v>46162</v>
      </c>
      <c r="J603" s="54" t="s">
        <v>1912</v>
      </c>
      <c r="K603" s="54" t="s">
        <v>1239</v>
      </c>
      <c r="L603" s="54" t="s">
        <v>1917</v>
      </c>
      <c r="M603" s="97" t="str">
        <f t="shared" si="67"/>
        <v>Open File</v>
      </c>
      <c r="N603" s="70" t="s">
        <v>1914</v>
      </c>
      <c r="O603" s="71" t="str">
        <f t="shared" si="68"/>
        <v>ACTIVE</v>
      </c>
      <c r="P603" s="66"/>
      <c r="Q603" s="66"/>
      <c r="R603" s="54"/>
      <c r="S603" s="82"/>
      <c r="T603" s="83" t="str">
        <f t="shared" si="69"/>
        <v/>
      </c>
      <c r="U603" s="10"/>
      <c r="V603" s="41">
        <f>IF(AND(Q603&lt;&gt;"",RIGHT(Q603,3)&lt;&gt;""),IF(COUNTIF($Q$6:Q603,Q603)=1,1,0),0)</f>
        <v>0</v>
      </c>
      <c r="W603" s="41" t="str">
        <f t="shared" si="70"/>
        <v>BA.PCS-SIG.2026.01-2</v>
      </c>
      <c r="X603" s="41" t="str">
        <f t="shared" si="71"/>
        <v/>
      </c>
    </row>
    <row r="604" s="32" customFormat="1" hidden="1" customHeight="1" spans="1:24">
      <c r="A604" s="34"/>
      <c r="B604" s="51">
        <v>599</v>
      </c>
      <c r="C604" s="51" t="s">
        <v>1918</v>
      </c>
      <c r="D604" s="52" t="s">
        <v>1919</v>
      </c>
      <c r="E604" s="53">
        <v>1</v>
      </c>
      <c r="F604" s="54" t="s">
        <v>29</v>
      </c>
      <c r="G604" s="54" t="s">
        <v>1911</v>
      </c>
      <c r="H604" s="54" t="s">
        <v>1911</v>
      </c>
      <c r="I604" s="66">
        <v>46162</v>
      </c>
      <c r="J604" s="54" t="s">
        <v>1912</v>
      </c>
      <c r="K604" s="54" t="s">
        <v>1423</v>
      </c>
      <c r="L604" s="54" t="s">
        <v>1920</v>
      </c>
      <c r="M604" s="97" t="str">
        <f t="shared" si="67"/>
        <v>Open File</v>
      </c>
      <c r="N604" s="70" t="s">
        <v>1914</v>
      </c>
      <c r="O604" s="71" t="str">
        <f t="shared" si="68"/>
        <v>PASSIVE</v>
      </c>
      <c r="P604" s="66">
        <v>46206</v>
      </c>
      <c r="Q604" s="66" t="s">
        <v>1921</v>
      </c>
      <c r="R604" s="54" t="s">
        <v>1423</v>
      </c>
      <c r="S604" s="82" t="s">
        <v>1922</v>
      </c>
      <c r="T604" s="83" t="str">
        <f t="shared" si="69"/>
        <v>Open File</v>
      </c>
      <c r="U604" s="10" t="s">
        <v>1923</v>
      </c>
      <c r="V604" s="41">
        <f>IF(AND(Q604&lt;&gt;"",RIGHT(Q604,3)&lt;&gt;""),IF(COUNTIF($Q$6:Q604,Q604)=1,1,0),0)</f>
        <v>1</v>
      </c>
      <c r="W604" s="41" t="str">
        <f t="shared" si="70"/>
        <v>BA.PCS-SIG.2026.01-3</v>
      </c>
      <c r="X604" s="41" t="str">
        <f t="shared" si="71"/>
        <v>RI.NV.26.VII.007-3</v>
      </c>
    </row>
    <row r="605" s="32" customFormat="1" hidden="1" customHeight="1" spans="1:24">
      <c r="A605" s="34"/>
      <c r="B605" s="51">
        <v>600</v>
      </c>
      <c r="C605" s="51" t="s">
        <v>1924</v>
      </c>
      <c r="D605" s="52" t="s">
        <v>1925</v>
      </c>
      <c r="E605" s="53">
        <v>1</v>
      </c>
      <c r="F605" s="54" t="s">
        <v>29</v>
      </c>
      <c r="G605" s="54" t="s">
        <v>1911</v>
      </c>
      <c r="H605" s="54" t="s">
        <v>1911</v>
      </c>
      <c r="I605" s="66">
        <v>46162</v>
      </c>
      <c r="J605" s="54" t="s">
        <v>1912</v>
      </c>
      <c r="K605" s="54" t="s">
        <v>1427</v>
      </c>
      <c r="L605" s="54" t="s">
        <v>1926</v>
      </c>
      <c r="M605" s="97" t="str">
        <f t="shared" si="67"/>
        <v>Open File</v>
      </c>
      <c r="N605" s="70" t="s">
        <v>1914</v>
      </c>
      <c r="O605" s="71" t="str">
        <f t="shared" si="68"/>
        <v>ACTIVE</v>
      </c>
      <c r="P605" s="66"/>
      <c r="Q605" s="66"/>
      <c r="R605" s="54"/>
      <c r="S605" s="82"/>
      <c r="T605" s="83" t="str">
        <f t="shared" si="69"/>
        <v/>
      </c>
      <c r="U605" s="10"/>
      <c r="V605" s="41">
        <f>IF(AND(Q605&lt;&gt;"",RIGHT(Q605,3)&lt;&gt;""),IF(COUNTIF($Q$6:Q605,Q605)=1,1,0),0)</f>
        <v>0</v>
      </c>
      <c r="W605" s="41" t="str">
        <f t="shared" si="70"/>
        <v>BA.PCS-SIG.2026.01-4</v>
      </c>
      <c r="X605" s="41" t="str">
        <f t="shared" si="71"/>
        <v/>
      </c>
    </row>
    <row r="606" s="32" customFormat="1" hidden="1" customHeight="1" spans="1:24">
      <c r="A606" s="34"/>
      <c r="B606" s="51">
        <v>601</v>
      </c>
      <c r="C606" s="51" t="s">
        <v>1927</v>
      </c>
      <c r="D606" s="52" t="s">
        <v>1849</v>
      </c>
      <c r="E606" s="53">
        <v>1</v>
      </c>
      <c r="F606" s="54" t="s">
        <v>29</v>
      </c>
      <c r="G606" s="54" t="s">
        <v>1911</v>
      </c>
      <c r="H606" s="54" t="s">
        <v>1911</v>
      </c>
      <c r="I606" s="66">
        <v>46162</v>
      </c>
      <c r="J606" s="54" t="s">
        <v>1912</v>
      </c>
      <c r="K606" s="54" t="s">
        <v>1431</v>
      </c>
      <c r="L606" s="54" t="s">
        <v>1928</v>
      </c>
      <c r="M606" s="95" t="str">
        <f t="shared" si="67"/>
        <v>Open File</v>
      </c>
      <c r="N606" s="70" t="s">
        <v>1914</v>
      </c>
      <c r="O606" s="71" t="str">
        <f t="shared" si="68"/>
        <v>ACTIVE</v>
      </c>
      <c r="P606" s="66"/>
      <c r="Q606" s="66"/>
      <c r="R606" s="54"/>
      <c r="S606" s="82"/>
      <c r="T606" s="83" t="str">
        <f t="shared" si="69"/>
        <v/>
      </c>
      <c r="U606" s="10"/>
      <c r="V606" s="41">
        <f>IF(AND(Q606&lt;&gt;"",RIGHT(Q606,3)&lt;&gt;""),IF(COUNTIF($Q$6:Q606,Q606)=1,1,0),0)</f>
        <v>0</v>
      </c>
      <c r="W606" s="41" t="str">
        <f t="shared" si="70"/>
        <v>BA.PCS-SIG.2026.01-5</v>
      </c>
      <c r="X606" s="41" t="str">
        <f t="shared" si="71"/>
        <v/>
      </c>
    </row>
    <row r="607" s="32" customFormat="1" hidden="1" customHeight="1" spans="1:24">
      <c r="A607" s="34"/>
      <c r="B607" s="51">
        <v>602</v>
      </c>
      <c r="C607" s="51" t="s">
        <v>1929</v>
      </c>
      <c r="D607" s="52" t="s">
        <v>1930</v>
      </c>
      <c r="E607" s="53">
        <v>1</v>
      </c>
      <c r="F607" s="54" t="s">
        <v>29</v>
      </c>
      <c r="G607" s="54" t="s">
        <v>1911</v>
      </c>
      <c r="H607" s="54" t="s">
        <v>1911</v>
      </c>
      <c r="I607" s="66">
        <v>46162</v>
      </c>
      <c r="J607" s="54" t="s">
        <v>1912</v>
      </c>
      <c r="K607" s="54" t="s">
        <v>1435</v>
      </c>
      <c r="L607" s="54" t="s">
        <v>1931</v>
      </c>
      <c r="M607" s="97" t="str">
        <f t="shared" si="67"/>
        <v>Open File</v>
      </c>
      <c r="N607" s="70" t="s">
        <v>1914</v>
      </c>
      <c r="O607" s="71" t="str">
        <f t="shared" si="68"/>
        <v>ACTIVE</v>
      </c>
      <c r="P607" s="66"/>
      <c r="Q607" s="66"/>
      <c r="R607" s="54"/>
      <c r="S607" s="82"/>
      <c r="T607" s="83" t="str">
        <f t="shared" si="69"/>
        <v/>
      </c>
      <c r="U607" s="10"/>
      <c r="V607" s="41">
        <f>IF(AND(Q607&lt;&gt;"",RIGHT(Q607,3)&lt;&gt;""),IF(COUNTIF($Q$6:Q607,Q607)=1,1,0),0)</f>
        <v>0</v>
      </c>
      <c r="W607" s="41" t="str">
        <f t="shared" si="70"/>
        <v>BA.PCS-SIG.2026.01-6</v>
      </c>
      <c r="X607" s="41" t="str">
        <f t="shared" si="71"/>
        <v/>
      </c>
    </row>
    <row r="608" s="32" customFormat="1" hidden="1" customHeight="1" spans="1:24">
      <c r="A608" s="34"/>
      <c r="B608" s="51">
        <v>603</v>
      </c>
      <c r="C608" s="51" t="s">
        <v>1932</v>
      </c>
      <c r="D608" s="52" t="s">
        <v>1855</v>
      </c>
      <c r="E608" s="53">
        <v>1</v>
      </c>
      <c r="F608" s="54" t="s">
        <v>29</v>
      </c>
      <c r="G608" s="54" t="s">
        <v>1911</v>
      </c>
      <c r="H608" s="54" t="s">
        <v>1911</v>
      </c>
      <c r="I608" s="66">
        <v>46162</v>
      </c>
      <c r="J608" s="54" t="s">
        <v>1912</v>
      </c>
      <c r="K608" s="54" t="s">
        <v>1439</v>
      </c>
      <c r="L608" s="54" t="s">
        <v>1933</v>
      </c>
      <c r="M608" s="97" t="str">
        <f t="shared" si="67"/>
        <v>Open File</v>
      </c>
      <c r="N608" s="70" t="s">
        <v>1914</v>
      </c>
      <c r="O608" s="71" t="str">
        <f t="shared" si="68"/>
        <v>ACTIVE</v>
      </c>
      <c r="P608" s="66"/>
      <c r="Q608" s="66"/>
      <c r="R608" s="54"/>
      <c r="S608" s="82"/>
      <c r="T608" s="83" t="str">
        <f t="shared" si="69"/>
        <v/>
      </c>
      <c r="U608" s="10"/>
      <c r="V608" s="41">
        <f>IF(AND(Q608&lt;&gt;"",RIGHT(Q608,3)&lt;&gt;""),IF(COUNTIF($Q$6:Q608,Q608)=1,1,0),0)</f>
        <v>0</v>
      </c>
      <c r="W608" s="41" t="str">
        <f t="shared" si="70"/>
        <v>BA.PCS-SIG.2026.01-7</v>
      </c>
      <c r="X608" s="41" t="str">
        <f t="shared" si="71"/>
        <v/>
      </c>
    </row>
    <row r="609" s="32" customFormat="1" hidden="1" customHeight="1" spans="1:24">
      <c r="A609" s="34"/>
      <c r="B609" s="51">
        <v>604</v>
      </c>
      <c r="C609" s="51" t="s">
        <v>1934</v>
      </c>
      <c r="D609" s="52" t="s">
        <v>1858</v>
      </c>
      <c r="E609" s="53">
        <v>1</v>
      </c>
      <c r="F609" s="54" t="s">
        <v>29</v>
      </c>
      <c r="G609" s="54" t="s">
        <v>1935</v>
      </c>
      <c r="H609" s="54" t="s">
        <v>1935</v>
      </c>
      <c r="I609" s="66">
        <v>46162</v>
      </c>
      <c r="J609" s="54" t="s">
        <v>1936</v>
      </c>
      <c r="K609" s="54" t="s">
        <v>226</v>
      </c>
      <c r="L609" s="54" t="s">
        <v>1937</v>
      </c>
      <c r="M609" s="95" t="str">
        <f t="shared" si="67"/>
        <v>Open File</v>
      </c>
      <c r="N609" s="70" t="s">
        <v>1938</v>
      </c>
      <c r="O609" s="71" t="str">
        <f t="shared" si="68"/>
        <v>ACTIVE</v>
      </c>
      <c r="P609" s="66"/>
      <c r="Q609" s="66"/>
      <c r="R609" s="54"/>
      <c r="S609" s="82"/>
      <c r="T609" s="83" t="str">
        <f t="shared" si="69"/>
        <v/>
      </c>
      <c r="U609" s="10"/>
      <c r="V609" s="41">
        <f>IF(AND(Q609&lt;&gt;"",RIGHT(Q609,3)&lt;&gt;""),IF(COUNTIF($Q$6:Q609,Q609)=1,1,0),0)</f>
        <v>0</v>
      </c>
      <c r="W609" s="41" t="str">
        <f t="shared" si="70"/>
        <v>BA.PCS-SIG.2026.02-1</v>
      </c>
      <c r="X609" s="41" t="str">
        <f t="shared" si="71"/>
        <v/>
      </c>
    </row>
    <row r="610" s="32" customFormat="1" hidden="1" customHeight="1" spans="1:24">
      <c r="A610" s="34"/>
      <c r="B610" s="51">
        <v>605</v>
      </c>
      <c r="C610" s="51" t="s">
        <v>1939</v>
      </c>
      <c r="D610" s="52" t="s">
        <v>1864</v>
      </c>
      <c r="E610" s="53">
        <v>1</v>
      </c>
      <c r="F610" s="54" t="s">
        <v>29</v>
      </c>
      <c r="G610" s="54" t="s">
        <v>1935</v>
      </c>
      <c r="H610" s="54" t="s">
        <v>1935</v>
      </c>
      <c r="I610" s="66">
        <v>46162</v>
      </c>
      <c r="J610" s="54" t="s">
        <v>1936</v>
      </c>
      <c r="K610" s="54" t="s">
        <v>1239</v>
      </c>
      <c r="L610" s="54" t="s">
        <v>1940</v>
      </c>
      <c r="M610" s="97" t="str">
        <f t="shared" si="67"/>
        <v>Open File</v>
      </c>
      <c r="N610" s="70" t="s">
        <v>1938</v>
      </c>
      <c r="O610" s="71" t="str">
        <f t="shared" si="68"/>
        <v>ACTIVE</v>
      </c>
      <c r="P610" s="66"/>
      <c r="Q610" s="66"/>
      <c r="R610" s="54"/>
      <c r="S610" s="82"/>
      <c r="T610" s="83" t="str">
        <f t="shared" si="69"/>
        <v/>
      </c>
      <c r="U610" s="10"/>
      <c r="V610" s="41">
        <f>IF(AND(Q610&lt;&gt;"",RIGHT(Q610,3)&lt;&gt;""),IF(COUNTIF($Q$6:Q610,Q610)=1,1,0),0)</f>
        <v>0</v>
      </c>
      <c r="W610" s="41" t="str">
        <f t="shared" si="70"/>
        <v>BA.PCS-SIG.2026.02-2</v>
      </c>
      <c r="X610" s="41" t="str">
        <f t="shared" si="71"/>
        <v/>
      </c>
    </row>
    <row r="611" s="32" customFormat="1" hidden="1" customHeight="1" spans="1:24">
      <c r="A611" s="34"/>
      <c r="B611" s="51">
        <v>606</v>
      </c>
      <c r="C611" s="51" t="s">
        <v>1941</v>
      </c>
      <c r="D611" s="52" t="s">
        <v>1867</v>
      </c>
      <c r="E611" s="53">
        <v>1</v>
      </c>
      <c r="F611" s="54" t="s">
        <v>29</v>
      </c>
      <c r="G611" s="54" t="s">
        <v>1935</v>
      </c>
      <c r="H611" s="54" t="s">
        <v>1935</v>
      </c>
      <c r="I611" s="66">
        <v>46162</v>
      </c>
      <c r="J611" s="54" t="s">
        <v>1936</v>
      </c>
      <c r="K611" s="54" t="s">
        <v>1423</v>
      </c>
      <c r="L611" s="54" t="s">
        <v>1942</v>
      </c>
      <c r="M611" s="97" t="str">
        <f t="shared" si="67"/>
        <v>Open File</v>
      </c>
      <c r="N611" s="70" t="s">
        <v>1938</v>
      </c>
      <c r="O611" s="71" t="str">
        <f t="shared" si="68"/>
        <v>ACTIVE</v>
      </c>
      <c r="P611" s="66"/>
      <c r="Q611" s="66"/>
      <c r="R611" s="54"/>
      <c r="S611" s="82"/>
      <c r="T611" s="83" t="str">
        <f t="shared" si="69"/>
        <v/>
      </c>
      <c r="U611" s="10"/>
      <c r="V611" s="41">
        <f>IF(AND(Q611&lt;&gt;"",RIGHT(Q611,3)&lt;&gt;""),IF(COUNTIF($Q$6:Q611,Q611)=1,1,0),0)</f>
        <v>0</v>
      </c>
      <c r="W611" s="41" t="str">
        <f t="shared" si="70"/>
        <v>BA.PCS-SIG.2026.02-3</v>
      </c>
      <c r="X611" s="41" t="str">
        <f t="shared" si="71"/>
        <v/>
      </c>
    </row>
    <row r="612" s="32" customFormat="1" hidden="1" customHeight="1" spans="1:24">
      <c r="A612" s="34"/>
      <c r="B612" s="51">
        <v>607</v>
      </c>
      <c r="C612" s="51" t="s">
        <v>1943</v>
      </c>
      <c r="D612" s="52" t="s">
        <v>1944</v>
      </c>
      <c r="E612" s="53">
        <v>1</v>
      </c>
      <c r="F612" s="54" t="s">
        <v>29</v>
      </c>
      <c r="G612" s="54" t="s">
        <v>1935</v>
      </c>
      <c r="H612" s="54" t="s">
        <v>1935</v>
      </c>
      <c r="I612" s="66">
        <v>46162</v>
      </c>
      <c r="J612" s="54" t="s">
        <v>1936</v>
      </c>
      <c r="K612" s="54" t="s">
        <v>1427</v>
      </c>
      <c r="L612" s="54" t="s">
        <v>1945</v>
      </c>
      <c r="M612" s="97" t="str">
        <f t="shared" ref="M612:M675" si="72">IF(L612="","",HYPERLINK(_xlfn.CONCAT($L$4,L612,".jpg"),"Open File"))</f>
        <v>Open File</v>
      </c>
      <c r="N612" s="70" t="s">
        <v>1938</v>
      </c>
      <c r="O612" s="71" t="str">
        <f t="shared" si="68"/>
        <v>ACTIVE</v>
      </c>
      <c r="P612" s="66"/>
      <c r="Q612" s="66"/>
      <c r="R612" s="54"/>
      <c r="S612" s="82"/>
      <c r="T612" s="83" t="str">
        <f t="shared" ref="T612:T675" si="73">IF(S612="","",HYPERLINK(_xlfn.CONCAT($S$4,S612,".jpg"),"Open File"))</f>
        <v/>
      </c>
      <c r="U612" s="10"/>
      <c r="V612" s="41">
        <f>IF(AND(Q612&lt;&gt;"",RIGHT(Q612,3)&lt;&gt;""),IF(COUNTIF($Q$6:Q612,Q612)=1,1,0),0)</f>
        <v>0</v>
      </c>
      <c r="W612" s="41" t="str">
        <f t="shared" ref="W612:W675" si="74">IF(AND(J612&lt;&gt;"",K612&lt;&gt;""),_xlfn.CONCAT(SUBSTITUTE(J612,"/","."),"-",K612),"")</f>
        <v>BA.PCS-SIG.2026.02-4</v>
      </c>
      <c r="X612" s="41" t="str">
        <f t="shared" ref="X612:X675" si="75">IF(AND(Q612&lt;&gt;"",R612&lt;&gt;""),_xlfn.CONCAT(SUBSTITUTE(Q612,"/","."),"-",R612),"")</f>
        <v/>
      </c>
    </row>
    <row r="613" s="32" customFormat="1" hidden="1" customHeight="1" spans="1:24">
      <c r="A613" s="34"/>
      <c r="B613" s="51">
        <v>608</v>
      </c>
      <c r="C613" s="51" t="s">
        <v>1946</v>
      </c>
      <c r="D613" s="52" t="s">
        <v>1894</v>
      </c>
      <c r="E613" s="53">
        <v>1</v>
      </c>
      <c r="F613" s="54" t="s">
        <v>29</v>
      </c>
      <c r="G613" s="54" t="s">
        <v>1935</v>
      </c>
      <c r="H613" s="54" t="s">
        <v>1935</v>
      </c>
      <c r="I613" s="66">
        <v>46162</v>
      </c>
      <c r="J613" s="54" t="s">
        <v>1936</v>
      </c>
      <c r="K613" s="54" t="s">
        <v>1431</v>
      </c>
      <c r="L613" s="54" t="s">
        <v>1947</v>
      </c>
      <c r="M613" s="97" t="str">
        <f t="shared" si="72"/>
        <v>Open File</v>
      </c>
      <c r="N613" s="70" t="s">
        <v>1938</v>
      </c>
      <c r="O613" s="71" t="str">
        <f t="shared" si="68"/>
        <v>ACTIVE</v>
      </c>
      <c r="P613" s="66"/>
      <c r="Q613" s="66"/>
      <c r="R613" s="54"/>
      <c r="S613" s="82"/>
      <c r="T613" s="83" t="str">
        <f t="shared" si="73"/>
        <v/>
      </c>
      <c r="U613" s="10"/>
      <c r="V613" s="41">
        <f>IF(AND(Q613&lt;&gt;"",RIGHT(Q613,3)&lt;&gt;""),IF(COUNTIF($Q$6:Q613,Q613)=1,1,0),0)</f>
        <v>0</v>
      </c>
      <c r="W613" s="41" t="str">
        <f t="shared" si="74"/>
        <v>BA.PCS-SIG.2026.02-5</v>
      </c>
      <c r="X613" s="41" t="str">
        <f t="shared" si="75"/>
        <v/>
      </c>
    </row>
    <row r="614" s="32" customFormat="1" hidden="1" customHeight="1" spans="1:24">
      <c r="A614" s="34"/>
      <c r="B614" s="51">
        <v>609</v>
      </c>
      <c r="C614" s="51" t="s">
        <v>1948</v>
      </c>
      <c r="D614" s="52" t="s">
        <v>1949</v>
      </c>
      <c r="E614" s="53">
        <v>1</v>
      </c>
      <c r="F614" s="54" t="s">
        <v>29</v>
      </c>
      <c r="G614" s="54" t="s">
        <v>1950</v>
      </c>
      <c r="H614" s="54" t="s">
        <v>1950</v>
      </c>
      <c r="I614" s="66">
        <v>46160</v>
      </c>
      <c r="J614" s="54" t="s">
        <v>1951</v>
      </c>
      <c r="K614" s="54" t="s">
        <v>226</v>
      </c>
      <c r="L614" s="54" t="s">
        <v>1952</v>
      </c>
      <c r="M614" s="95" t="str">
        <f t="shared" si="72"/>
        <v>Open File</v>
      </c>
      <c r="N614" s="70" t="s">
        <v>1953</v>
      </c>
      <c r="O614" s="71" t="str">
        <f t="shared" si="68"/>
        <v>ACTIVE</v>
      </c>
      <c r="P614" s="66"/>
      <c r="Q614" s="66"/>
      <c r="R614" s="54"/>
      <c r="S614" s="82"/>
      <c r="T614" s="83" t="str">
        <f t="shared" si="73"/>
        <v/>
      </c>
      <c r="U614" s="10"/>
      <c r="V614" s="41">
        <f>IF(AND(Q614&lt;&gt;"",RIGHT(Q614,3)&lt;&gt;""),IF(COUNTIF($Q$6:Q614,Q614)=1,1,0),0)</f>
        <v>0</v>
      </c>
      <c r="W614" s="41" t="str">
        <f t="shared" si="74"/>
        <v>BA.AT-SIG.2026.01-1</v>
      </c>
      <c r="X614" s="41" t="str">
        <f t="shared" si="75"/>
        <v/>
      </c>
    </row>
    <row r="615" s="32" customFormat="1" hidden="1" customHeight="1" spans="1:24">
      <c r="A615" s="34"/>
      <c r="B615" s="51">
        <v>610</v>
      </c>
      <c r="C615" s="51" t="s">
        <v>1954</v>
      </c>
      <c r="D615" s="52" t="s">
        <v>1955</v>
      </c>
      <c r="E615" s="53">
        <v>1</v>
      </c>
      <c r="F615" s="54" t="s">
        <v>29</v>
      </c>
      <c r="G615" s="54" t="s">
        <v>1950</v>
      </c>
      <c r="H615" s="54" t="s">
        <v>1950</v>
      </c>
      <c r="I615" s="66">
        <v>46160</v>
      </c>
      <c r="J615" s="54" t="s">
        <v>1951</v>
      </c>
      <c r="K615" s="54" t="s">
        <v>1239</v>
      </c>
      <c r="L615" s="54" t="s">
        <v>1956</v>
      </c>
      <c r="M615" s="97" t="str">
        <f t="shared" si="72"/>
        <v>Open File</v>
      </c>
      <c r="N615" s="70" t="s">
        <v>1953</v>
      </c>
      <c r="O615" s="71" t="str">
        <f t="shared" si="68"/>
        <v>ACTIVE</v>
      </c>
      <c r="P615" s="66"/>
      <c r="Q615" s="66"/>
      <c r="R615" s="54"/>
      <c r="S615" s="82"/>
      <c r="T615" s="83" t="str">
        <f t="shared" si="73"/>
        <v/>
      </c>
      <c r="U615" s="10"/>
      <c r="V615" s="41">
        <f>IF(AND(Q615&lt;&gt;"",RIGHT(Q615,3)&lt;&gt;""),IF(COUNTIF($Q$6:Q615,Q615)=1,1,0),0)</f>
        <v>0</v>
      </c>
      <c r="W615" s="41" t="str">
        <f t="shared" si="74"/>
        <v>BA.AT-SIG.2026.01-2</v>
      </c>
      <c r="X615" s="41" t="str">
        <f t="shared" si="75"/>
        <v/>
      </c>
    </row>
    <row r="616" s="32" customFormat="1" hidden="1" customHeight="1" spans="1:24">
      <c r="A616" s="34"/>
      <c r="B616" s="51">
        <v>611</v>
      </c>
      <c r="C616" s="51" t="s">
        <v>1957</v>
      </c>
      <c r="D616" s="52" t="s">
        <v>1958</v>
      </c>
      <c r="E616" s="53">
        <v>1</v>
      </c>
      <c r="F616" s="54" t="s">
        <v>29</v>
      </c>
      <c r="G616" s="54" t="s">
        <v>1950</v>
      </c>
      <c r="H616" s="54" t="s">
        <v>1950</v>
      </c>
      <c r="I616" s="66">
        <v>46160</v>
      </c>
      <c r="J616" s="54" t="s">
        <v>1951</v>
      </c>
      <c r="K616" s="54" t="s">
        <v>1423</v>
      </c>
      <c r="L616" s="54" t="s">
        <v>1959</v>
      </c>
      <c r="M616" s="97" t="str">
        <f t="shared" si="72"/>
        <v>Open File</v>
      </c>
      <c r="N616" s="70" t="s">
        <v>1953</v>
      </c>
      <c r="O616" s="71" t="str">
        <f t="shared" si="68"/>
        <v>ACTIVE</v>
      </c>
      <c r="P616" s="66"/>
      <c r="Q616" s="66"/>
      <c r="R616" s="54"/>
      <c r="S616" s="82"/>
      <c r="T616" s="83" t="str">
        <f t="shared" si="73"/>
        <v/>
      </c>
      <c r="U616" s="10"/>
      <c r="V616" s="41">
        <f>IF(AND(Q616&lt;&gt;"",RIGHT(Q616,3)&lt;&gt;""),IF(COUNTIF($Q$6:Q616,Q616)=1,1,0),0)</f>
        <v>0</v>
      </c>
      <c r="W616" s="41" t="str">
        <f t="shared" si="74"/>
        <v>BA.AT-SIG.2026.01-3</v>
      </c>
      <c r="X616" s="41" t="str">
        <f t="shared" si="75"/>
        <v/>
      </c>
    </row>
    <row r="617" s="32" customFormat="1" hidden="1" customHeight="1" spans="1:24">
      <c r="A617" s="34"/>
      <c r="B617" s="88">
        <v>612</v>
      </c>
      <c r="C617" s="51" t="s">
        <v>1960</v>
      </c>
      <c r="D617" s="52" t="s">
        <v>1961</v>
      </c>
      <c r="E617" s="53">
        <v>1</v>
      </c>
      <c r="F617" s="54" t="s">
        <v>29</v>
      </c>
      <c r="G617" s="54" t="s">
        <v>1950</v>
      </c>
      <c r="H617" s="54" t="s">
        <v>1950</v>
      </c>
      <c r="I617" s="66">
        <v>46160</v>
      </c>
      <c r="J617" s="54" t="s">
        <v>1951</v>
      </c>
      <c r="K617" s="54" t="s">
        <v>1427</v>
      </c>
      <c r="L617" s="54" t="s">
        <v>1962</v>
      </c>
      <c r="M617" s="97" t="str">
        <f t="shared" si="72"/>
        <v>Open File</v>
      </c>
      <c r="N617" s="70" t="s">
        <v>1953</v>
      </c>
      <c r="O617" s="71" t="str">
        <f t="shared" si="68"/>
        <v>ACTIVE</v>
      </c>
      <c r="P617" s="66"/>
      <c r="Q617" s="66"/>
      <c r="R617" s="54"/>
      <c r="S617" s="82"/>
      <c r="T617" s="83" t="str">
        <f t="shared" si="73"/>
        <v/>
      </c>
      <c r="U617" s="10"/>
      <c r="V617" s="41">
        <f>IF(AND(Q617&lt;&gt;"",RIGHT(Q617,3)&lt;&gt;""),IF(COUNTIF($Q$6:Q617,Q617)=1,1,0),0)</f>
        <v>0</v>
      </c>
      <c r="W617" s="41" t="str">
        <f t="shared" si="74"/>
        <v>BA.AT-SIG.2026.01-4</v>
      </c>
      <c r="X617" s="41" t="str">
        <f t="shared" si="75"/>
        <v/>
      </c>
    </row>
    <row r="618" s="32" customFormat="1" hidden="1" customHeight="1" spans="1:24">
      <c r="A618" s="34"/>
      <c r="B618" s="51">
        <v>613</v>
      </c>
      <c r="C618" s="51" t="s">
        <v>1963</v>
      </c>
      <c r="D618" s="52" t="s">
        <v>1894</v>
      </c>
      <c r="E618" s="53">
        <v>1</v>
      </c>
      <c r="F618" s="54" t="s">
        <v>29</v>
      </c>
      <c r="G618" s="54" t="s">
        <v>1950</v>
      </c>
      <c r="H618" s="54" t="s">
        <v>1950</v>
      </c>
      <c r="I618" s="66">
        <v>46160</v>
      </c>
      <c r="J618" s="54" t="s">
        <v>1951</v>
      </c>
      <c r="K618" s="54" t="s">
        <v>1431</v>
      </c>
      <c r="L618" s="54" t="s">
        <v>1964</v>
      </c>
      <c r="M618" s="97" t="str">
        <f t="shared" si="72"/>
        <v>Open File</v>
      </c>
      <c r="N618" s="70" t="s">
        <v>1953</v>
      </c>
      <c r="O618" s="71" t="str">
        <f t="shared" si="68"/>
        <v>ACTIVE</v>
      </c>
      <c r="P618" s="66"/>
      <c r="Q618" s="66"/>
      <c r="R618" s="54"/>
      <c r="S618" s="82"/>
      <c r="T618" s="83" t="str">
        <f t="shared" si="73"/>
        <v/>
      </c>
      <c r="U618" s="10"/>
      <c r="V618" s="41">
        <f>IF(AND(Q618&lt;&gt;"",RIGHT(Q618,3)&lt;&gt;""),IF(COUNTIF($Q$6:Q618,Q618)=1,1,0),0)</f>
        <v>0</v>
      </c>
      <c r="W618" s="41" t="str">
        <f t="shared" si="74"/>
        <v>BA.AT-SIG.2026.01-5</v>
      </c>
      <c r="X618" s="41" t="str">
        <f t="shared" si="75"/>
        <v/>
      </c>
    </row>
    <row r="619" s="32" customFormat="1" hidden="1" customHeight="1" spans="1:24">
      <c r="A619" s="34"/>
      <c r="B619" s="51">
        <v>614</v>
      </c>
      <c r="C619" s="51" t="s">
        <v>1965</v>
      </c>
      <c r="D619" s="52" t="s">
        <v>1966</v>
      </c>
      <c r="E619" s="53">
        <v>1</v>
      </c>
      <c r="F619" s="54" t="s">
        <v>29</v>
      </c>
      <c r="G619" s="54" t="s">
        <v>1950</v>
      </c>
      <c r="H619" s="54" t="s">
        <v>1950</v>
      </c>
      <c r="I619" s="66">
        <v>46160</v>
      </c>
      <c r="J619" s="54" t="s">
        <v>1951</v>
      </c>
      <c r="K619" s="54" t="s">
        <v>1435</v>
      </c>
      <c r="L619" s="54" t="s">
        <v>1967</v>
      </c>
      <c r="M619" s="95" t="str">
        <f t="shared" si="72"/>
        <v>Open File</v>
      </c>
      <c r="N619" s="70" t="s">
        <v>1953</v>
      </c>
      <c r="O619" s="71" t="str">
        <f t="shared" si="68"/>
        <v>ACTIVE</v>
      </c>
      <c r="P619" s="66"/>
      <c r="Q619" s="66"/>
      <c r="R619" s="54"/>
      <c r="S619" s="82"/>
      <c r="T619" s="83" t="str">
        <f t="shared" si="73"/>
        <v/>
      </c>
      <c r="U619" s="10"/>
      <c r="V619" s="41">
        <f>IF(AND(Q619&lt;&gt;"",RIGHT(Q619,3)&lt;&gt;""),IF(COUNTIF($Q$6:Q619,Q619)=1,1,0),0)</f>
        <v>0</v>
      </c>
      <c r="W619" s="41" t="str">
        <f t="shared" si="74"/>
        <v>BA.AT-SIG.2026.01-6</v>
      </c>
      <c r="X619" s="41" t="str">
        <f t="shared" si="75"/>
        <v/>
      </c>
    </row>
    <row r="620" s="32" customFormat="1" hidden="1" customHeight="1" spans="1:24">
      <c r="A620" s="34"/>
      <c r="B620" s="51">
        <v>615</v>
      </c>
      <c r="C620" s="51" t="s">
        <v>1968</v>
      </c>
      <c r="D620" s="52" t="s">
        <v>1969</v>
      </c>
      <c r="E620" s="53">
        <v>1</v>
      </c>
      <c r="F620" s="54" t="s">
        <v>29</v>
      </c>
      <c r="G620" s="54" t="s">
        <v>1970</v>
      </c>
      <c r="H620" s="54" t="s">
        <v>1970</v>
      </c>
      <c r="I620" s="66">
        <v>46160</v>
      </c>
      <c r="J620" s="54" t="s">
        <v>1971</v>
      </c>
      <c r="K620" s="54" t="s">
        <v>226</v>
      </c>
      <c r="L620" s="54" t="s">
        <v>1972</v>
      </c>
      <c r="M620" s="95" t="str">
        <f t="shared" si="72"/>
        <v>Open File</v>
      </c>
      <c r="N620" s="70" t="s">
        <v>1973</v>
      </c>
      <c r="O620" s="71" t="str">
        <f t="shared" si="68"/>
        <v>ACTIVE</v>
      </c>
      <c r="P620" s="66"/>
      <c r="Q620" s="66"/>
      <c r="R620" s="54"/>
      <c r="S620" s="82"/>
      <c r="T620" s="83" t="str">
        <f t="shared" si="73"/>
        <v/>
      </c>
      <c r="U620" s="10"/>
      <c r="V620" s="41">
        <f>IF(AND(Q620&lt;&gt;"",RIGHT(Q620,3)&lt;&gt;""),IF(COUNTIF($Q$6:Q620,Q620)=1,1,0),0)</f>
        <v>0</v>
      </c>
      <c r="W620" s="41" t="str">
        <f t="shared" si="74"/>
        <v>BA.AT-SIG.2026.02-1</v>
      </c>
      <c r="X620" s="41" t="str">
        <f t="shared" si="75"/>
        <v/>
      </c>
    </row>
    <row r="621" s="32" customFormat="1" hidden="1" customHeight="1" spans="1:24">
      <c r="A621" s="34"/>
      <c r="B621" s="51">
        <v>616</v>
      </c>
      <c r="C621" s="51" t="s">
        <v>1974</v>
      </c>
      <c r="D621" s="52" t="s">
        <v>1955</v>
      </c>
      <c r="E621" s="53">
        <v>1</v>
      </c>
      <c r="F621" s="54" t="s">
        <v>29</v>
      </c>
      <c r="G621" s="54" t="s">
        <v>1970</v>
      </c>
      <c r="H621" s="54" t="s">
        <v>1970</v>
      </c>
      <c r="I621" s="66">
        <v>46160</v>
      </c>
      <c r="J621" s="54" t="s">
        <v>1971</v>
      </c>
      <c r="K621" s="54" t="s">
        <v>1239</v>
      </c>
      <c r="L621" s="54" t="s">
        <v>1975</v>
      </c>
      <c r="M621" s="97" t="str">
        <f t="shared" si="72"/>
        <v>Open File</v>
      </c>
      <c r="N621" s="70" t="s">
        <v>1973</v>
      </c>
      <c r="O621" s="71" t="str">
        <f t="shared" si="68"/>
        <v>ACTIVE</v>
      </c>
      <c r="P621" s="66"/>
      <c r="Q621" s="66"/>
      <c r="R621" s="54"/>
      <c r="S621" s="82"/>
      <c r="T621" s="83" t="str">
        <f t="shared" si="73"/>
        <v/>
      </c>
      <c r="U621" s="10"/>
      <c r="V621" s="41">
        <f>IF(AND(Q621&lt;&gt;"",RIGHT(Q621,3)&lt;&gt;""),IF(COUNTIF($Q$6:Q621,Q621)=1,1,0),0)</f>
        <v>0</v>
      </c>
      <c r="W621" s="41" t="str">
        <f t="shared" si="74"/>
        <v>BA.AT-SIG.2026.02-2</v>
      </c>
      <c r="X621" s="41" t="str">
        <f t="shared" si="75"/>
        <v/>
      </c>
    </row>
    <row r="622" s="32" customFormat="1" hidden="1" customHeight="1" spans="1:24">
      <c r="A622" s="34"/>
      <c r="B622" s="51">
        <v>617</v>
      </c>
      <c r="C622" s="51" t="s">
        <v>1976</v>
      </c>
      <c r="D622" s="52" t="s">
        <v>1958</v>
      </c>
      <c r="E622" s="53">
        <v>1</v>
      </c>
      <c r="F622" s="54" t="s">
        <v>29</v>
      </c>
      <c r="G622" s="54" t="s">
        <v>1970</v>
      </c>
      <c r="H622" s="54" t="s">
        <v>1970</v>
      </c>
      <c r="I622" s="66">
        <v>46160</v>
      </c>
      <c r="J622" s="54" t="s">
        <v>1971</v>
      </c>
      <c r="K622" s="54" t="s">
        <v>1423</v>
      </c>
      <c r="L622" s="54" t="s">
        <v>1977</v>
      </c>
      <c r="M622" s="97" t="str">
        <f t="shared" si="72"/>
        <v>Open File</v>
      </c>
      <c r="N622" s="70" t="s">
        <v>1973</v>
      </c>
      <c r="O622" s="71" t="str">
        <f t="shared" si="68"/>
        <v>ACTIVE</v>
      </c>
      <c r="P622" s="66"/>
      <c r="Q622" s="66"/>
      <c r="R622" s="54"/>
      <c r="S622" s="82"/>
      <c r="T622" s="83" t="str">
        <f t="shared" si="73"/>
        <v/>
      </c>
      <c r="U622" s="10"/>
      <c r="V622" s="41">
        <f>IF(AND(Q622&lt;&gt;"",RIGHT(Q622,3)&lt;&gt;""),IF(COUNTIF($Q$6:Q622,Q622)=1,1,0),0)</f>
        <v>0</v>
      </c>
      <c r="W622" s="41" t="str">
        <f t="shared" si="74"/>
        <v>BA.AT-SIG.2026.02-3</v>
      </c>
      <c r="X622" s="41" t="str">
        <f t="shared" si="75"/>
        <v/>
      </c>
    </row>
    <row r="623" s="32" customFormat="1" hidden="1" customHeight="1" spans="1:24">
      <c r="A623" s="34"/>
      <c r="B623" s="51">
        <v>618</v>
      </c>
      <c r="C623" s="51" t="s">
        <v>1978</v>
      </c>
      <c r="D623" s="52" t="s">
        <v>1961</v>
      </c>
      <c r="E623" s="53">
        <v>1</v>
      </c>
      <c r="F623" s="54" t="s">
        <v>29</v>
      </c>
      <c r="G623" s="54" t="s">
        <v>1970</v>
      </c>
      <c r="H623" s="54" t="s">
        <v>1970</v>
      </c>
      <c r="I623" s="66">
        <v>46160</v>
      </c>
      <c r="J623" s="54" t="s">
        <v>1971</v>
      </c>
      <c r="K623" s="54" t="s">
        <v>1427</v>
      </c>
      <c r="L623" s="54" t="s">
        <v>1979</v>
      </c>
      <c r="M623" s="97" t="str">
        <f t="shared" si="72"/>
        <v>Open File</v>
      </c>
      <c r="N623" s="70" t="s">
        <v>1973</v>
      </c>
      <c r="O623" s="71" t="str">
        <f t="shared" si="68"/>
        <v>ACTIVE</v>
      </c>
      <c r="P623" s="66"/>
      <c r="Q623" s="66"/>
      <c r="R623" s="54"/>
      <c r="S623" s="82"/>
      <c r="T623" s="83" t="str">
        <f t="shared" si="73"/>
        <v/>
      </c>
      <c r="U623" s="10"/>
      <c r="V623" s="41">
        <f>IF(AND(Q623&lt;&gt;"",RIGHT(Q623,3)&lt;&gt;""),IF(COUNTIF($Q$6:Q623,Q623)=1,1,0),0)</f>
        <v>0</v>
      </c>
      <c r="W623" s="41" t="str">
        <f t="shared" si="74"/>
        <v>BA.AT-SIG.2026.02-4</v>
      </c>
      <c r="X623" s="41" t="str">
        <f t="shared" si="75"/>
        <v/>
      </c>
    </row>
    <row r="624" s="32" customFormat="1" hidden="1" customHeight="1" spans="1:24">
      <c r="A624" s="34"/>
      <c r="B624" s="51">
        <v>619</v>
      </c>
      <c r="C624" s="51" t="s">
        <v>1980</v>
      </c>
      <c r="D624" s="52" t="s">
        <v>1894</v>
      </c>
      <c r="E624" s="53">
        <v>1</v>
      </c>
      <c r="F624" s="54" t="s">
        <v>29</v>
      </c>
      <c r="G624" s="54" t="s">
        <v>1970</v>
      </c>
      <c r="H624" s="54" t="s">
        <v>1970</v>
      </c>
      <c r="I624" s="66">
        <v>46160</v>
      </c>
      <c r="J624" s="54" t="s">
        <v>1971</v>
      </c>
      <c r="K624" s="54" t="s">
        <v>1431</v>
      </c>
      <c r="L624" s="54" t="s">
        <v>1981</v>
      </c>
      <c r="M624" s="97" t="str">
        <f t="shared" si="72"/>
        <v>Open File</v>
      </c>
      <c r="N624" s="70" t="s">
        <v>1973</v>
      </c>
      <c r="O624" s="71" t="str">
        <f t="shared" si="68"/>
        <v>ACTIVE</v>
      </c>
      <c r="P624" s="66"/>
      <c r="Q624" s="66"/>
      <c r="R624" s="54"/>
      <c r="S624" s="82"/>
      <c r="T624" s="83" t="str">
        <f t="shared" si="73"/>
        <v/>
      </c>
      <c r="U624" s="10"/>
      <c r="V624" s="41">
        <f>IF(AND(Q624&lt;&gt;"",RIGHT(Q624,3)&lt;&gt;""),IF(COUNTIF($Q$6:Q624,Q624)=1,1,0),0)</f>
        <v>0</v>
      </c>
      <c r="W624" s="41" t="str">
        <f t="shared" si="74"/>
        <v>BA.AT-SIG.2026.02-5</v>
      </c>
      <c r="X624" s="41" t="str">
        <f t="shared" si="75"/>
        <v/>
      </c>
    </row>
    <row r="625" s="32" customFormat="1" hidden="1" customHeight="1" spans="1:24">
      <c r="A625" s="34"/>
      <c r="B625" s="51">
        <v>620</v>
      </c>
      <c r="C625" s="51" t="s">
        <v>1982</v>
      </c>
      <c r="D625" s="52" t="s">
        <v>1855</v>
      </c>
      <c r="E625" s="53">
        <v>1</v>
      </c>
      <c r="F625" s="54" t="s">
        <v>29</v>
      </c>
      <c r="G625" s="54" t="s">
        <v>1970</v>
      </c>
      <c r="H625" s="54" t="s">
        <v>1970</v>
      </c>
      <c r="I625" s="66">
        <v>46160</v>
      </c>
      <c r="J625" s="54" t="s">
        <v>1971</v>
      </c>
      <c r="K625" s="54" t="s">
        <v>1435</v>
      </c>
      <c r="L625" s="54" t="s">
        <v>1983</v>
      </c>
      <c r="M625" s="97" t="str">
        <f t="shared" si="72"/>
        <v>Open File</v>
      </c>
      <c r="N625" s="70" t="s">
        <v>1973</v>
      </c>
      <c r="O625" s="71" t="str">
        <f t="shared" ref="O625:O688" si="76">IF(AND(Q625&lt;&gt;"",T625&lt;&gt;""),"PASSIVE",IF(AND(J625&lt;&gt;"",M625&lt;&gt;""),"ACTIVE",""))</f>
        <v>ACTIVE</v>
      </c>
      <c r="P625" s="66"/>
      <c r="Q625" s="66"/>
      <c r="R625" s="54"/>
      <c r="S625" s="82"/>
      <c r="T625" s="83" t="str">
        <f t="shared" si="73"/>
        <v/>
      </c>
      <c r="U625" s="10"/>
      <c r="V625" s="41">
        <f>IF(AND(Q625&lt;&gt;"",RIGHT(Q625,3)&lt;&gt;""),IF(COUNTIF($Q$6:Q625,Q625)=1,1,0),0)</f>
        <v>0</v>
      </c>
      <c r="W625" s="41" t="str">
        <f t="shared" si="74"/>
        <v>BA.AT-SIG.2026.02-6</v>
      </c>
      <c r="X625" s="41" t="str">
        <f t="shared" si="75"/>
        <v/>
      </c>
    </row>
    <row r="626" s="32" customFormat="1" hidden="1" customHeight="1" spans="1:24">
      <c r="A626" s="34"/>
      <c r="B626" s="51">
        <v>621</v>
      </c>
      <c r="C626" s="51" t="s">
        <v>1984</v>
      </c>
      <c r="D626" s="52" t="s">
        <v>1858</v>
      </c>
      <c r="E626" s="53">
        <v>1</v>
      </c>
      <c r="F626" s="54" t="s">
        <v>29</v>
      </c>
      <c r="G626" s="54" t="s">
        <v>1985</v>
      </c>
      <c r="H626" s="54" t="s">
        <v>1985</v>
      </c>
      <c r="I626" s="66">
        <v>46160</v>
      </c>
      <c r="J626" s="54" t="s">
        <v>1986</v>
      </c>
      <c r="K626" s="54" t="s">
        <v>226</v>
      </c>
      <c r="L626" s="54" t="s">
        <v>1987</v>
      </c>
      <c r="M626" s="95" t="str">
        <f t="shared" si="72"/>
        <v>Open File</v>
      </c>
      <c r="N626" s="70" t="s">
        <v>1988</v>
      </c>
      <c r="O626" s="71" t="str">
        <f t="shared" si="76"/>
        <v>ACTIVE</v>
      </c>
      <c r="P626" s="66"/>
      <c r="Q626" s="66"/>
      <c r="R626" s="54"/>
      <c r="S626" s="82"/>
      <c r="T626" s="83" t="str">
        <f t="shared" si="73"/>
        <v/>
      </c>
      <c r="U626" s="10"/>
      <c r="V626" s="41">
        <f>IF(AND(Q626&lt;&gt;"",RIGHT(Q626,3)&lt;&gt;""),IF(COUNTIF($Q$6:Q626,Q626)=1,1,0),0)</f>
        <v>0</v>
      </c>
      <c r="W626" s="41" t="str">
        <f t="shared" si="74"/>
        <v>BA.AT-SIG.2026.03-1</v>
      </c>
      <c r="X626" s="41" t="str">
        <f t="shared" si="75"/>
        <v/>
      </c>
    </row>
    <row r="627" s="32" customFormat="1" hidden="1" customHeight="1" spans="1:24">
      <c r="A627" s="34"/>
      <c r="B627" s="51">
        <v>622</v>
      </c>
      <c r="C627" s="51" t="s">
        <v>1989</v>
      </c>
      <c r="D627" s="52" t="s">
        <v>1990</v>
      </c>
      <c r="E627" s="53">
        <v>1</v>
      </c>
      <c r="F627" s="54" t="s">
        <v>29</v>
      </c>
      <c r="G627" s="54" t="s">
        <v>1985</v>
      </c>
      <c r="H627" s="54" t="s">
        <v>1985</v>
      </c>
      <c r="I627" s="66">
        <v>46160</v>
      </c>
      <c r="J627" s="54" t="s">
        <v>1986</v>
      </c>
      <c r="K627" s="54" t="s">
        <v>1239</v>
      </c>
      <c r="L627" s="54" t="s">
        <v>1991</v>
      </c>
      <c r="M627" s="97" t="str">
        <f t="shared" si="72"/>
        <v>Open File</v>
      </c>
      <c r="N627" s="70" t="s">
        <v>1988</v>
      </c>
      <c r="O627" s="71" t="str">
        <f t="shared" si="76"/>
        <v>ACTIVE</v>
      </c>
      <c r="P627" s="66"/>
      <c r="Q627" s="66"/>
      <c r="R627" s="54"/>
      <c r="S627" s="82"/>
      <c r="T627" s="83" t="str">
        <f t="shared" si="73"/>
        <v/>
      </c>
      <c r="U627" s="10"/>
      <c r="V627" s="41">
        <f>IF(AND(Q627&lt;&gt;"",RIGHT(Q627,3)&lt;&gt;""),IF(COUNTIF($Q$6:Q627,Q627)=1,1,0),0)</f>
        <v>0</v>
      </c>
      <c r="W627" s="41" t="str">
        <f t="shared" si="74"/>
        <v>BA.AT-SIG.2026.03-2</v>
      </c>
      <c r="X627" s="41" t="str">
        <f t="shared" si="75"/>
        <v/>
      </c>
    </row>
    <row r="628" s="32" customFormat="1" hidden="1" customHeight="1" spans="1:24">
      <c r="A628" s="34"/>
      <c r="B628" s="51">
        <v>623</v>
      </c>
      <c r="C628" s="51" t="s">
        <v>1992</v>
      </c>
      <c r="D628" s="52" t="s">
        <v>1993</v>
      </c>
      <c r="E628" s="53">
        <v>1</v>
      </c>
      <c r="F628" s="54" t="s">
        <v>29</v>
      </c>
      <c r="G628" s="54" t="s">
        <v>1985</v>
      </c>
      <c r="H628" s="54" t="s">
        <v>1985</v>
      </c>
      <c r="I628" s="66">
        <v>46160</v>
      </c>
      <c r="J628" s="54" t="s">
        <v>1986</v>
      </c>
      <c r="K628" s="54" t="s">
        <v>1423</v>
      </c>
      <c r="L628" s="54" t="s">
        <v>1994</v>
      </c>
      <c r="M628" s="97" t="str">
        <f t="shared" si="72"/>
        <v>Open File</v>
      </c>
      <c r="N628" s="70" t="s">
        <v>1988</v>
      </c>
      <c r="O628" s="71" t="str">
        <f t="shared" si="76"/>
        <v>ACTIVE</v>
      </c>
      <c r="P628" s="66"/>
      <c r="Q628" s="66"/>
      <c r="R628" s="54"/>
      <c r="S628" s="82"/>
      <c r="T628" s="83" t="str">
        <f t="shared" si="73"/>
        <v/>
      </c>
      <c r="U628" s="10"/>
      <c r="V628" s="41">
        <f>IF(AND(Q628&lt;&gt;"",RIGHT(Q628,3)&lt;&gt;""),IF(COUNTIF($Q$6:Q628,Q628)=1,1,0),0)</f>
        <v>0</v>
      </c>
      <c r="W628" s="41" t="str">
        <f t="shared" si="74"/>
        <v>BA.AT-SIG.2026.03-3</v>
      </c>
      <c r="X628" s="41" t="str">
        <f t="shared" si="75"/>
        <v/>
      </c>
    </row>
    <row r="629" s="32" customFormat="1" hidden="1" customHeight="1" spans="1:24">
      <c r="A629" s="34"/>
      <c r="B629" s="51">
        <v>624</v>
      </c>
      <c r="C629" s="51" t="s">
        <v>1995</v>
      </c>
      <c r="D629" s="52" t="s">
        <v>1996</v>
      </c>
      <c r="E629" s="53">
        <v>1</v>
      </c>
      <c r="F629" s="54" t="s">
        <v>29</v>
      </c>
      <c r="G629" s="54" t="s">
        <v>1985</v>
      </c>
      <c r="H629" s="54" t="s">
        <v>1985</v>
      </c>
      <c r="I629" s="66">
        <v>46160</v>
      </c>
      <c r="J629" s="54" t="s">
        <v>1986</v>
      </c>
      <c r="K629" s="54" t="s">
        <v>1427</v>
      </c>
      <c r="L629" s="54" t="s">
        <v>1997</v>
      </c>
      <c r="M629" s="97" t="str">
        <f t="shared" si="72"/>
        <v>Open File</v>
      </c>
      <c r="N629" s="70" t="s">
        <v>1988</v>
      </c>
      <c r="O629" s="71" t="str">
        <f t="shared" si="76"/>
        <v>ACTIVE</v>
      </c>
      <c r="P629" s="66"/>
      <c r="Q629" s="66"/>
      <c r="R629" s="54"/>
      <c r="S629" s="82"/>
      <c r="T629" s="83" t="str">
        <f t="shared" si="73"/>
        <v/>
      </c>
      <c r="U629" s="10"/>
      <c r="V629" s="41">
        <f>IF(AND(Q629&lt;&gt;"",RIGHT(Q629,3)&lt;&gt;""),IF(COUNTIF($Q$6:Q629,Q629)=1,1,0),0)</f>
        <v>0</v>
      </c>
      <c r="W629" s="41" t="str">
        <f t="shared" si="74"/>
        <v>BA.AT-SIG.2026.03-4</v>
      </c>
      <c r="X629" s="41" t="str">
        <f t="shared" si="75"/>
        <v/>
      </c>
    </row>
    <row r="630" s="32" customFormat="1" hidden="1" customHeight="1" spans="1:24">
      <c r="A630" s="34"/>
      <c r="B630" s="51">
        <v>625</v>
      </c>
      <c r="C630" s="51" t="s">
        <v>1998</v>
      </c>
      <c r="D630" s="52" t="s">
        <v>1999</v>
      </c>
      <c r="E630" s="53">
        <v>1</v>
      </c>
      <c r="F630" s="54" t="s">
        <v>29</v>
      </c>
      <c r="G630" s="54" t="s">
        <v>1985</v>
      </c>
      <c r="H630" s="54" t="s">
        <v>1985</v>
      </c>
      <c r="I630" s="66">
        <v>46160</v>
      </c>
      <c r="J630" s="54" t="s">
        <v>1986</v>
      </c>
      <c r="K630" s="54" t="s">
        <v>1431</v>
      </c>
      <c r="L630" s="54" t="s">
        <v>2000</v>
      </c>
      <c r="M630" s="97" t="str">
        <f t="shared" si="72"/>
        <v>Open File</v>
      </c>
      <c r="N630" s="70" t="s">
        <v>1988</v>
      </c>
      <c r="O630" s="71" t="str">
        <f t="shared" si="76"/>
        <v>ACTIVE</v>
      </c>
      <c r="P630" s="66"/>
      <c r="Q630" s="66"/>
      <c r="R630" s="54"/>
      <c r="S630" s="82"/>
      <c r="T630" s="83" t="str">
        <f t="shared" si="73"/>
        <v/>
      </c>
      <c r="U630" s="10"/>
      <c r="V630" s="41">
        <f>IF(AND(Q630&lt;&gt;"",RIGHT(Q630,3)&lt;&gt;""),IF(COUNTIF($Q$6:Q630,Q630)=1,1,0),0)</f>
        <v>0</v>
      </c>
      <c r="W630" s="41" t="str">
        <f t="shared" si="74"/>
        <v>BA.AT-SIG.2026.03-5</v>
      </c>
      <c r="X630" s="41" t="str">
        <f t="shared" si="75"/>
        <v/>
      </c>
    </row>
    <row r="631" s="32" customFormat="1" hidden="1" customHeight="1" spans="1:24">
      <c r="A631" s="34"/>
      <c r="B631" s="51">
        <v>626</v>
      </c>
      <c r="C631" s="51" t="s">
        <v>2001</v>
      </c>
      <c r="D631" s="52" t="s">
        <v>1855</v>
      </c>
      <c r="E631" s="53">
        <v>1</v>
      </c>
      <c r="F631" s="54" t="s">
        <v>29</v>
      </c>
      <c r="G631" s="54" t="s">
        <v>1985</v>
      </c>
      <c r="H631" s="54" t="s">
        <v>1985</v>
      </c>
      <c r="I631" s="66">
        <v>46160</v>
      </c>
      <c r="J631" s="54" t="s">
        <v>1986</v>
      </c>
      <c r="K631" s="54" t="s">
        <v>1435</v>
      </c>
      <c r="L631" s="54" t="s">
        <v>2002</v>
      </c>
      <c r="M631" s="97" t="str">
        <f t="shared" si="72"/>
        <v>Open File</v>
      </c>
      <c r="N631" s="70" t="s">
        <v>1988</v>
      </c>
      <c r="O631" s="71" t="str">
        <f t="shared" si="76"/>
        <v>ACTIVE</v>
      </c>
      <c r="P631" s="66"/>
      <c r="Q631" s="66"/>
      <c r="R631" s="54"/>
      <c r="S631" s="82"/>
      <c r="T631" s="83" t="str">
        <f t="shared" si="73"/>
        <v/>
      </c>
      <c r="U631" s="10"/>
      <c r="V631" s="41">
        <f>IF(AND(Q631&lt;&gt;"",RIGHT(Q631,3)&lt;&gt;""),IF(COUNTIF($Q$6:Q631,Q631)=1,1,0),0)</f>
        <v>0</v>
      </c>
      <c r="W631" s="41" t="str">
        <f t="shared" si="74"/>
        <v>BA.AT-SIG.2026.03-6</v>
      </c>
      <c r="X631" s="41" t="str">
        <f t="shared" si="75"/>
        <v/>
      </c>
    </row>
    <row r="632" s="32" customFormat="1" hidden="1" customHeight="1" spans="1:24">
      <c r="A632" s="34"/>
      <c r="B632" s="51">
        <v>627</v>
      </c>
      <c r="C632" s="51" t="s">
        <v>2003</v>
      </c>
      <c r="D632" s="52" t="s">
        <v>1834</v>
      </c>
      <c r="E632" s="53">
        <v>1</v>
      </c>
      <c r="F632" s="54" t="s">
        <v>29</v>
      </c>
      <c r="G632" s="54" t="s">
        <v>2004</v>
      </c>
      <c r="H632" s="54" t="s">
        <v>2004</v>
      </c>
      <c r="I632" s="66">
        <v>46160</v>
      </c>
      <c r="J632" s="54" t="s">
        <v>2005</v>
      </c>
      <c r="K632" s="54" t="s">
        <v>226</v>
      </c>
      <c r="L632" s="54" t="s">
        <v>2006</v>
      </c>
      <c r="M632" s="95" t="str">
        <f t="shared" si="72"/>
        <v>Open File</v>
      </c>
      <c r="N632" s="70" t="s">
        <v>2007</v>
      </c>
      <c r="O632" s="71" t="str">
        <f t="shared" si="76"/>
        <v>ACTIVE</v>
      </c>
      <c r="P632" s="66"/>
      <c r="Q632" s="66"/>
      <c r="R632" s="54"/>
      <c r="S632" s="82"/>
      <c r="T632" s="83" t="str">
        <f t="shared" si="73"/>
        <v/>
      </c>
      <c r="U632" s="10"/>
      <c r="V632" s="41">
        <f>IF(AND(Q632&lt;&gt;"",RIGHT(Q632,3)&lt;&gt;""),IF(COUNTIF($Q$6:Q632,Q632)=1,1,0),0)</f>
        <v>0</v>
      </c>
      <c r="W632" s="41" t="str">
        <f t="shared" si="74"/>
        <v>BA.AT-SIG.2026.04-1</v>
      </c>
      <c r="X632" s="41" t="str">
        <f t="shared" si="75"/>
        <v/>
      </c>
    </row>
    <row r="633" s="32" customFormat="1" hidden="1" customHeight="1" spans="1:24">
      <c r="A633" s="34"/>
      <c r="B633" s="51">
        <v>628</v>
      </c>
      <c r="C633" s="51" t="s">
        <v>2008</v>
      </c>
      <c r="D633" s="52" t="s">
        <v>2009</v>
      </c>
      <c r="E633" s="53">
        <v>1</v>
      </c>
      <c r="F633" s="54" t="s">
        <v>29</v>
      </c>
      <c r="G633" s="54" t="s">
        <v>2004</v>
      </c>
      <c r="H633" s="54" t="s">
        <v>2004</v>
      </c>
      <c r="I633" s="66">
        <v>46160</v>
      </c>
      <c r="J633" s="54" t="s">
        <v>2005</v>
      </c>
      <c r="K633" s="54" t="s">
        <v>1239</v>
      </c>
      <c r="L633" s="54" t="s">
        <v>2010</v>
      </c>
      <c r="M633" s="97" t="str">
        <f t="shared" si="72"/>
        <v>Open File</v>
      </c>
      <c r="N633" s="70" t="s">
        <v>2007</v>
      </c>
      <c r="O633" s="71" t="str">
        <f t="shared" si="76"/>
        <v>ACTIVE</v>
      </c>
      <c r="P633" s="66"/>
      <c r="Q633" s="66"/>
      <c r="R633" s="54"/>
      <c r="S633" s="82"/>
      <c r="T633" s="83" t="str">
        <f t="shared" si="73"/>
        <v/>
      </c>
      <c r="U633" s="10"/>
      <c r="V633" s="41">
        <f>IF(AND(Q633&lt;&gt;"",RIGHT(Q633,3)&lt;&gt;""),IF(COUNTIF($Q$6:Q633,Q633)=1,1,0),0)</f>
        <v>0</v>
      </c>
      <c r="W633" s="41" t="str">
        <f t="shared" si="74"/>
        <v>BA.AT-SIG.2026.04-2</v>
      </c>
      <c r="X633" s="41" t="str">
        <f t="shared" si="75"/>
        <v/>
      </c>
    </row>
    <row r="634" s="32" customFormat="1" hidden="1" customHeight="1" spans="1:24">
      <c r="A634" s="34"/>
      <c r="B634" s="51">
        <v>629</v>
      </c>
      <c r="C634" s="51" t="s">
        <v>2011</v>
      </c>
      <c r="D634" s="52" t="s">
        <v>1993</v>
      </c>
      <c r="E634" s="53">
        <v>1</v>
      </c>
      <c r="F634" s="54" t="s">
        <v>29</v>
      </c>
      <c r="G634" s="54" t="s">
        <v>2004</v>
      </c>
      <c r="H634" s="54" t="s">
        <v>2004</v>
      </c>
      <c r="I634" s="66">
        <v>46160</v>
      </c>
      <c r="J634" s="54" t="s">
        <v>2005</v>
      </c>
      <c r="K634" s="54" t="s">
        <v>1423</v>
      </c>
      <c r="L634" s="54" t="s">
        <v>2012</v>
      </c>
      <c r="M634" s="97" t="str">
        <f t="shared" si="72"/>
        <v>Open File</v>
      </c>
      <c r="N634" s="70" t="s">
        <v>2007</v>
      </c>
      <c r="O634" s="71" t="str">
        <f t="shared" si="76"/>
        <v>ACTIVE</v>
      </c>
      <c r="P634" s="66"/>
      <c r="Q634" s="66"/>
      <c r="R634" s="54"/>
      <c r="S634" s="82"/>
      <c r="T634" s="83" t="str">
        <f t="shared" si="73"/>
        <v/>
      </c>
      <c r="U634" s="10"/>
      <c r="V634" s="41">
        <f>IF(AND(Q634&lt;&gt;"",RIGHT(Q634,3)&lt;&gt;""),IF(COUNTIF($Q$6:Q634,Q634)=1,1,0),0)</f>
        <v>0</v>
      </c>
      <c r="W634" s="41" t="str">
        <f t="shared" si="74"/>
        <v>BA.AT-SIG.2026.04-3</v>
      </c>
      <c r="X634" s="41" t="str">
        <f t="shared" si="75"/>
        <v/>
      </c>
    </row>
    <row r="635" s="32" customFormat="1" hidden="1" customHeight="1" spans="1:24">
      <c r="A635" s="34"/>
      <c r="B635" s="51">
        <v>630</v>
      </c>
      <c r="C635" s="51" t="s">
        <v>2013</v>
      </c>
      <c r="D635" s="52" t="s">
        <v>2014</v>
      </c>
      <c r="E635" s="53">
        <v>1</v>
      </c>
      <c r="F635" s="54" t="s">
        <v>29</v>
      </c>
      <c r="G635" s="54" t="s">
        <v>2004</v>
      </c>
      <c r="H635" s="54" t="s">
        <v>2004</v>
      </c>
      <c r="I635" s="66">
        <v>46160</v>
      </c>
      <c r="J635" s="54" t="s">
        <v>2005</v>
      </c>
      <c r="K635" s="54" t="s">
        <v>1427</v>
      </c>
      <c r="L635" s="54" t="s">
        <v>2015</v>
      </c>
      <c r="M635" s="97" t="str">
        <f t="shared" si="72"/>
        <v>Open File</v>
      </c>
      <c r="N635" s="70" t="s">
        <v>2007</v>
      </c>
      <c r="O635" s="71" t="str">
        <f t="shared" si="76"/>
        <v>ACTIVE</v>
      </c>
      <c r="P635" s="66"/>
      <c r="Q635" s="66"/>
      <c r="R635" s="54"/>
      <c r="S635" s="82"/>
      <c r="T635" s="83" t="str">
        <f t="shared" si="73"/>
        <v/>
      </c>
      <c r="U635" s="10"/>
      <c r="V635" s="41">
        <f>IF(AND(Q635&lt;&gt;"",RIGHT(Q635,3)&lt;&gt;""),IF(COUNTIF($Q$6:Q635,Q635)=1,1,0),0)</f>
        <v>0</v>
      </c>
      <c r="W635" s="41" t="str">
        <f t="shared" si="74"/>
        <v>BA.AT-SIG.2026.04-4</v>
      </c>
      <c r="X635" s="41" t="str">
        <f t="shared" si="75"/>
        <v/>
      </c>
    </row>
    <row r="636" s="32" customFormat="1" hidden="1" customHeight="1" spans="1:24">
      <c r="A636" s="34"/>
      <c r="B636" s="51">
        <v>631</v>
      </c>
      <c r="C636" s="51" t="s">
        <v>2016</v>
      </c>
      <c r="D636" s="52" t="s">
        <v>1999</v>
      </c>
      <c r="E636" s="53">
        <v>1</v>
      </c>
      <c r="F636" s="54" t="s">
        <v>29</v>
      </c>
      <c r="G636" s="54" t="s">
        <v>2004</v>
      </c>
      <c r="H636" s="54" t="s">
        <v>2004</v>
      </c>
      <c r="I636" s="66">
        <v>46160</v>
      </c>
      <c r="J636" s="54" t="s">
        <v>2005</v>
      </c>
      <c r="K636" s="54" t="s">
        <v>1431</v>
      </c>
      <c r="L636" s="54" t="s">
        <v>2017</v>
      </c>
      <c r="M636" s="97" t="str">
        <f t="shared" si="72"/>
        <v>Open File</v>
      </c>
      <c r="N636" s="70" t="s">
        <v>2007</v>
      </c>
      <c r="O636" s="71" t="str">
        <f t="shared" si="76"/>
        <v>ACTIVE</v>
      </c>
      <c r="P636" s="66"/>
      <c r="Q636" s="66"/>
      <c r="R636" s="54"/>
      <c r="S636" s="82"/>
      <c r="T636" s="83" t="str">
        <f t="shared" si="73"/>
        <v/>
      </c>
      <c r="U636" s="10"/>
      <c r="V636" s="41">
        <f>IF(AND(Q636&lt;&gt;"",RIGHT(Q636,3)&lt;&gt;""),IF(COUNTIF($Q$6:Q636,Q636)=1,1,0),0)</f>
        <v>0</v>
      </c>
      <c r="W636" s="41" t="str">
        <f t="shared" si="74"/>
        <v>BA.AT-SIG.2026.04-5</v>
      </c>
      <c r="X636" s="41" t="str">
        <f t="shared" si="75"/>
        <v/>
      </c>
    </row>
    <row r="637" s="32" customFormat="1" hidden="1" customHeight="1" spans="1:24">
      <c r="A637" s="34"/>
      <c r="B637" s="51">
        <v>632</v>
      </c>
      <c r="C637" s="51" t="s">
        <v>2018</v>
      </c>
      <c r="D637" s="52" t="s">
        <v>1891</v>
      </c>
      <c r="E637" s="53">
        <v>1</v>
      </c>
      <c r="F637" s="54" t="s">
        <v>29</v>
      </c>
      <c r="G637" s="54" t="s">
        <v>2004</v>
      </c>
      <c r="H637" s="54" t="s">
        <v>2004</v>
      </c>
      <c r="I637" s="66">
        <v>46160</v>
      </c>
      <c r="J637" s="54" t="s">
        <v>2005</v>
      </c>
      <c r="K637" s="54" t="s">
        <v>1435</v>
      </c>
      <c r="L637" s="54" t="s">
        <v>2019</v>
      </c>
      <c r="M637" s="97" t="str">
        <f t="shared" si="72"/>
        <v>Open File</v>
      </c>
      <c r="N637" s="70" t="s">
        <v>2007</v>
      </c>
      <c r="O637" s="71" t="str">
        <f t="shared" si="76"/>
        <v>ACTIVE</v>
      </c>
      <c r="P637" s="66"/>
      <c r="Q637" s="66"/>
      <c r="R637" s="54"/>
      <c r="S637" s="82"/>
      <c r="T637" s="83" t="str">
        <f t="shared" si="73"/>
        <v/>
      </c>
      <c r="U637" s="10"/>
      <c r="V637" s="41">
        <f>IF(AND(Q637&lt;&gt;"",RIGHT(Q637,3)&lt;&gt;""),IF(COUNTIF($Q$6:Q637,Q637)=1,1,0),0)</f>
        <v>0</v>
      </c>
      <c r="W637" s="41" t="str">
        <f t="shared" si="74"/>
        <v>BA.AT-SIG.2026.04-6</v>
      </c>
      <c r="X637" s="41" t="str">
        <f t="shared" si="75"/>
        <v/>
      </c>
    </row>
    <row r="638" s="32" customFormat="1" hidden="1" customHeight="1" spans="1:24">
      <c r="A638" s="34"/>
      <c r="B638" s="51">
        <v>633</v>
      </c>
      <c r="C638" s="51" t="s">
        <v>2020</v>
      </c>
      <c r="D638" s="52" t="s">
        <v>1855</v>
      </c>
      <c r="E638" s="53">
        <v>1</v>
      </c>
      <c r="F638" s="54" t="s">
        <v>29</v>
      </c>
      <c r="G638" s="54" t="s">
        <v>2004</v>
      </c>
      <c r="H638" s="54" t="s">
        <v>2004</v>
      </c>
      <c r="I638" s="66">
        <v>46160</v>
      </c>
      <c r="J638" s="54" t="s">
        <v>2005</v>
      </c>
      <c r="K638" s="54" t="s">
        <v>1439</v>
      </c>
      <c r="L638" s="54" t="s">
        <v>2021</v>
      </c>
      <c r="M638" s="97" t="str">
        <f t="shared" si="72"/>
        <v>Open File</v>
      </c>
      <c r="N638" s="70" t="s">
        <v>2007</v>
      </c>
      <c r="O638" s="71" t="str">
        <f t="shared" si="76"/>
        <v>ACTIVE</v>
      </c>
      <c r="P638" s="66"/>
      <c r="Q638" s="66"/>
      <c r="R638" s="54"/>
      <c r="S638" s="82"/>
      <c r="T638" s="83" t="str">
        <f t="shared" si="73"/>
        <v/>
      </c>
      <c r="U638" s="10"/>
      <c r="V638" s="41">
        <f>IF(AND(Q638&lt;&gt;"",RIGHT(Q638,3)&lt;&gt;""),IF(COUNTIF($Q$6:Q638,Q638)=1,1,0),0)</f>
        <v>0</v>
      </c>
      <c r="W638" s="41" t="str">
        <f t="shared" si="74"/>
        <v>BA.AT-SIG.2026.04-7</v>
      </c>
      <c r="X638" s="41" t="str">
        <f t="shared" si="75"/>
        <v/>
      </c>
    </row>
    <row r="639" s="32" customFormat="1" hidden="1" customHeight="1" spans="1:24">
      <c r="A639" s="34"/>
      <c r="B639" s="51">
        <v>634</v>
      </c>
      <c r="C639" s="51" t="s">
        <v>2022</v>
      </c>
      <c r="D639" s="52" t="s">
        <v>2023</v>
      </c>
      <c r="E639" s="53">
        <v>1</v>
      </c>
      <c r="F639" s="54" t="s">
        <v>29</v>
      </c>
      <c r="G639" s="54" t="s">
        <v>2024</v>
      </c>
      <c r="H639" s="54" t="s">
        <v>2024</v>
      </c>
      <c r="I639" s="66">
        <v>46160</v>
      </c>
      <c r="J639" s="54" t="s">
        <v>2025</v>
      </c>
      <c r="K639" s="54" t="s">
        <v>226</v>
      </c>
      <c r="L639" s="54" t="s">
        <v>2026</v>
      </c>
      <c r="M639" s="95" t="str">
        <f t="shared" si="72"/>
        <v>Open File</v>
      </c>
      <c r="N639" s="70" t="s">
        <v>2027</v>
      </c>
      <c r="O639" s="71" t="str">
        <f t="shared" si="76"/>
        <v>ACTIVE</v>
      </c>
      <c r="P639" s="66"/>
      <c r="Q639" s="66"/>
      <c r="R639" s="54"/>
      <c r="S639" s="82"/>
      <c r="T639" s="83" t="str">
        <f t="shared" si="73"/>
        <v/>
      </c>
      <c r="U639" s="10"/>
      <c r="V639" s="41">
        <f>IF(AND(Q639&lt;&gt;"",RIGHT(Q639,3)&lt;&gt;""),IF(COUNTIF($Q$6:Q639,Q639)=1,1,0),0)</f>
        <v>0</v>
      </c>
      <c r="W639" s="41" t="str">
        <f t="shared" si="74"/>
        <v>BA.AT-SIG.2026.05-1</v>
      </c>
      <c r="X639" s="41" t="str">
        <f t="shared" si="75"/>
        <v/>
      </c>
    </row>
    <row r="640" s="32" customFormat="1" hidden="1" customHeight="1" spans="1:24">
      <c r="A640" s="34"/>
      <c r="B640" s="51">
        <v>635</v>
      </c>
      <c r="C640" s="51" t="s">
        <v>2028</v>
      </c>
      <c r="D640" s="52" t="s">
        <v>1955</v>
      </c>
      <c r="E640" s="53">
        <v>1</v>
      </c>
      <c r="F640" s="54" t="s">
        <v>29</v>
      </c>
      <c r="G640" s="54" t="s">
        <v>2024</v>
      </c>
      <c r="H640" s="54" t="s">
        <v>2024</v>
      </c>
      <c r="I640" s="66">
        <v>46160</v>
      </c>
      <c r="J640" s="54" t="s">
        <v>2025</v>
      </c>
      <c r="K640" s="54" t="s">
        <v>1239</v>
      </c>
      <c r="L640" s="54" t="s">
        <v>2029</v>
      </c>
      <c r="M640" s="97" t="str">
        <f t="shared" si="72"/>
        <v>Open File</v>
      </c>
      <c r="N640" s="70" t="s">
        <v>2027</v>
      </c>
      <c r="O640" s="71" t="str">
        <f t="shared" si="76"/>
        <v>ACTIVE</v>
      </c>
      <c r="P640" s="66"/>
      <c r="Q640" s="66"/>
      <c r="R640" s="54"/>
      <c r="S640" s="82"/>
      <c r="T640" s="83" t="str">
        <f t="shared" si="73"/>
        <v/>
      </c>
      <c r="U640" s="10"/>
      <c r="V640" s="41">
        <f>IF(AND(Q640&lt;&gt;"",RIGHT(Q640,3)&lt;&gt;""),IF(COUNTIF($Q$6:Q640,Q640)=1,1,0),0)</f>
        <v>0</v>
      </c>
      <c r="W640" s="41" t="str">
        <f t="shared" si="74"/>
        <v>BA.AT-SIG.2026.05-2</v>
      </c>
      <c r="X640" s="41" t="str">
        <f t="shared" si="75"/>
        <v/>
      </c>
    </row>
    <row r="641" s="32" customFormat="1" hidden="1" customHeight="1" spans="1:24">
      <c r="A641" s="34"/>
      <c r="B641" s="51">
        <v>636</v>
      </c>
      <c r="C641" s="51" t="s">
        <v>2030</v>
      </c>
      <c r="D641" s="52" t="s">
        <v>2031</v>
      </c>
      <c r="E641" s="53">
        <v>1</v>
      </c>
      <c r="F641" s="54" t="s">
        <v>29</v>
      </c>
      <c r="G641" s="54" t="s">
        <v>2024</v>
      </c>
      <c r="H641" s="54" t="s">
        <v>2024</v>
      </c>
      <c r="I641" s="66">
        <v>46160</v>
      </c>
      <c r="J641" s="54" t="s">
        <v>2025</v>
      </c>
      <c r="K641" s="54" t="s">
        <v>1423</v>
      </c>
      <c r="L641" s="54" t="s">
        <v>2032</v>
      </c>
      <c r="M641" s="97" t="str">
        <f t="shared" si="72"/>
        <v>Open File</v>
      </c>
      <c r="N641" s="70" t="s">
        <v>2027</v>
      </c>
      <c r="O641" s="71" t="str">
        <f t="shared" si="76"/>
        <v>ACTIVE</v>
      </c>
      <c r="P641" s="66"/>
      <c r="Q641" s="66"/>
      <c r="R641" s="54"/>
      <c r="S641" s="82"/>
      <c r="T641" s="83" t="str">
        <f t="shared" si="73"/>
        <v/>
      </c>
      <c r="U641" s="10"/>
      <c r="V641" s="41">
        <f>IF(AND(Q641&lt;&gt;"",RIGHT(Q641,3)&lt;&gt;""),IF(COUNTIF($Q$6:Q641,Q641)=1,1,0),0)</f>
        <v>0</v>
      </c>
      <c r="W641" s="41" t="str">
        <f t="shared" si="74"/>
        <v>BA.AT-SIG.2026.05-3</v>
      </c>
      <c r="X641" s="41" t="str">
        <f t="shared" si="75"/>
        <v/>
      </c>
    </row>
    <row r="642" s="32" customFormat="1" hidden="1" customHeight="1" spans="1:24">
      <c r="A642" s="34"/>
      <c r="B642" s="51">
        <v>637</v>
      </c>
      <c r="C642" s="51" t="s">
        <v>2033</v>
      </c>
      <c r="D642" s="52" t="s">
        <v>2034</v>
      </c>
      <c r="E642" s="53">
        <v>1</v>
      </c>
      <c r="F642" s="54" t="s">
        <v>29</v>
      </c>
      <c r="G642" s="54" t="s">
        <v>2024</v>
      </c>
      <c r="H642" s="54" t="s">
        <v>2024</v>
      </c>
      <c r="I642" s="66">
        <v>46160</v>
      </c>
      <c r="J642" s="54" t="s">
        <v>2025</v>
      </c>
      <c r="K642" s="54" t="s">
        <v>1427</v>
      </c>
      <c r="L642" s="54" t="s">
        <v>2035</v>
      </c>
      <c r="M642" s="97" t="str">
        <f t="shared" si="72"/>
        <v>Open File</v>
      </c>
      <c r="N642" s="70" t="s">
        <v>2027</v>
      </c>
      <c r="O642" s="71" t="str">
        <f t="shared" si="76"/>
        <v>ACTIVE</v>
      </c>
      <c r="P642" s="66"/>
      <c r="Q642" s="66"/>
      <c r="R642" s="54"/>
      <c r="S642" s="82"/>
      <c r="T642" s="83" t="str">
        <f t="shared" si="73"/>
        <v/>
      </c>
      <c r="U642" s="10"/>
      <c r="V642" s="41">
        <f>IF(AND(Q642&lt;&gt;"",RIGHT(Q642,3)&lt;&gt;""),IF(COUNTIF($Q$6:Q642,Q642)=1,1,0),0)</f>
        <v>0</v>
      </c>
      <c r="W642" s="41" t="str">
        <f t="shared" si="74"/>
        <v>BA.AT-SIG.2026.05-4</v>
      </c>
      <c r="X642" s="41" t="str">
        <f t="shared" si="75"/>
        <v/>
      </c>
    </row>
    <row r="643" s="32" customFormat="1" hidden="1" customHeight="1" spans="1:24">
      <c r="A643" s="34"/>
      <c r="B643" s="51">
        <v>638</v>
      </c>
      <c r="C643" s="51" t="s">
        <v>2036</v>
      </c>
      <c r="D643" s="52" t="s">
        <v>1999</v>
      </c>
      <c r="E643" s="53">
        <v>1</v>
      </c>
      <c r="F643" s="54" t="s">
        <v>29</v>
      </c>
      <c r="G643" s="54" t="s">
        <v>2024</v>
      </c>
      <c r="H643" s="54" t="s">
        <v>2024</v>
      </c>
      <c r="I643" s="66">
        <v>46160</v>
      </c>
      <c r="J643" s="54" t="s">
        <v>2025</v>
      </c>
      <c r="K643" s="54" t="s">
        <v>1431</v>
      </c>
      <c r="L643" s="54" t="s">
        <v>2037</v>
      </c>
      <c r="M643" s="97" t="str">
        <f t="shared" si="72"/>
        <v>Open File</v>
      </c>
      <c r="N643" s="70" t="s">
        <v>2027</v>
      </c>
      <c r="O643" s="71" t="str">
        <f t="shared" si="76"/>
        <v>ACTIVE</v>
      </c>
      <c r="P643" s="66"/>
      <c r="Q643" s="66"/>
      <c r="R643" s="54"/>
      <c r="S643" s="82"/>
      <c r="T643" s="83" t="str">
        <f t="shared" si="73"/>
        <v/>
      </c>
      <c r="U643" s="10"/>
      <c r="V643" s="41">
        <f>IF(AND(Q643&lt;&gt;"",RIGHT(Q643,3)&lt;&gt;""),IF(COUNTIF($Q$6:Q643,Q643)=1,1,0),0)</f>
        <v>0</v>
      </c>
      <c r="W643" s="41" t="str">
        <f t="shared" si="74"/>
        <v>BA.AT-SIG.2026.05-5</v>
      </c>
      <c r="X643" s="41" t="str">
        <f t="shared" si="75"/>
        <v/>
      </c>
    </row>
    <row r="644" s="32" customFormat="1" hidden="1" customHeight="1" spans="1:24">
      <c r="A644" s="34"/>
      <c r="B644" s="51">
        <v>639</v>
      </c>
      <c r="C644" s="51" t="s">
        <v>2038</v>
      </c>
      <c r="D644" s="52" t="s">
        <v>2039</v>
      </c>
      <c r="E644" s="53">
        <v>1</v>
      </c>
      <c r="F644" s="54" t="s">
        <v>29</v>
      </c>
      <c r="G644" s="54" t="s">
        <v>2024</v>
      </c>
      <c r="H644" s="54" t="s">
        <v>2024</v>
      </c>
      <c r="I644" s="66">
        <v>46160</v>
      </c>
      <c r="J644" s="54" t="s">
        <v>2025</v>
      </c>
      <c r="K644" s="54" t="s">
        <v>1435</v>
      </c>
      <c r="L644" s="54" t="s">
        <v>2040</v>
      </c>
      <c r="M644" s="97" t="str">
        <f t="shared" si="72"/>
        <v>Open File</v>
      </c>
      <c r="N644" s="70" t="s">
        <v>2027</v>
      </c>
      <c r="O644" s="71" t="str">
        <f t="shared" si="76"/>
        <v>ACTIVE</v>
      </c>
      <c r="P644" s="66"/>
      <c r="Q644" s="66"/>
      <c r="R644" s="54"/>
      <c r="S644" s="82"/>
      <c r="T644" s="83" t="str">
        <f t="shared" si="73"/>
        <v/>
      </c>
      <c r="U644" s="10"/>
      <c r="V644" s="41">
        <f>IF(AND(Q644&lt;&gt;"",RIGHT(Q644,3)&lt;&gt;""),IF(COUNTIF($Q$6:Q644,Q644)=1,1,0),0)</f>
        <v>0</v>
      </c>
      <c r="W644" s="41" t="str">
        <f t="shared" si="74"/>
        <v>BA.AT-SIG.2026.05-6</v>
      </c>
      <c r="X644" s="41" t="str">
        <f t="shared" si="75"/>
        <v/>
      </c>
    </row>
    <row r="645" s="32" customFormat="1" hidden="1" customHeight="1" spans="1:24">
      <c r="A645" s="34"/>
      <c r="B645" s="51">
        <v>640</v>
      </c>
      <c r="C645" s="51" t="s">
        <v>2041</v>
      </c>
      <c r="D645" s="52" t="s">
        <v>1858</v>
      </c>
      <c r="E645" s="53">
        <v>1</v>
      </c>
      <c r="F645" s="54" t="s">
        <v>29</v>
      </c>
      <c r="G645" s="54" t="s">
        <v>515</v>
      </c>
      <c r="H645" s="54" t="s">
        <v>515</v>
      </c>
      <c r="I645" s="66">
        <v>46134</v>
      </c>
      <c r="J645" s="54" t="s">
        <v>2042</v>
      </c>
      <c r="K645" s="54" t="s">
        <v>226</v>
      </c>
      <c r="L645" s="54" t="s">
        <v>2043</v>
      </c>
      <c r="M645" s="97" t="str">
        <f t="shared" si="72"/>
        <v>Open File</v>
      </c>
      <c r="N645" s="70" t="s">
        <v>2044</v>
      </c>
      <c r="O645" s="71" t="str">
        <f t="shared" si="76"/>
        <v>ACTIVE</v>
      </c>
      <c r="P645" s="66"/>
      <c r="Q645" s="66"/>
      <c r="R645" s="54"/>
      <c r="S645" s="82"/>
      <c r="T645" s="83" t="str">
        <f t="shared" si="73"/>
        <v/>
      </c>
      <c r="U645" s="10"/>
      <c r="V645" s="41">
        <f>IF(AND(Q645&lt;&gt;"",RIGHT(Q645,3)&lt;&gt;""),IF(COUNTIF($Q$6:Q645,Q645)=1,1,0),0)</f>
        <v>0</v>
      </c>
      <c r="W645" s="41" t="str">
        <f t="shared" si="74"/>
        <v>BA.DIS-SIG.2026.01-1</v>
      </c>
      <c r="X645" s="41" t="str">
        <f t="shared" si="75"/>
        <v/>
      </c>
    </row>
    <row r="646" s="32" customFormat="1" hidden="1" customHeight="1" spans="1:24">
      <c r="A646" s="34"/>
      <c r="B646" s="51">
        <v>641</v>
      </c>
      <c r="C646" s="51" t="s">
        <v>2045</v>
      </c>
      <c r="D646" s="52" t="s">
        <v>1864</v>
      </c>
      <c r="E646" s="53">
        <v>1</v>
      </c>
      <c r="F646" s="54" t="s">
        <v>29</v>
      </c>
      <c r="G646" s="54" t="s">
        <v>515</v>
      </c>
      <c r="H646" s="54" t="s">
        <v>515</v>
      </c>
      <c r="I646" s="66">
        <v>46134</v>
      </c>
      <c r="J646" s="54" t="s">
        <v>2042</v>
      </c>
      <c r="K646" s="54" t="s">
        <v>1239</v>
      </c>
      <c r="L646" s="54" t="s">
        <v>2046</v>
      </c>
      <c r="M646" s="97" t="str">
        <f t="shared" si="72"/>
        <v>Open File</v>
      </c>
      <c r="N646" s="70" t="s">
        <v>2044</v>
      </c>
      <c r="O646" s="71" t="str">
        <f t="shared" si="76"/>
        <v>ACTIVE</v>
      </c>
      <c r="P646" s="66"/>
      <c r="Q646" s="66"/>
      <c r="R646" s="54"/>
      <c r="S646" s="82"/>
      <c r="T646" s="83" t="str">
        <f t="shared" si="73"/>
        <v/>
      </c>
      <c r="U646" s="10"/>
      <c r="V646" s="41">
        <f>IF(AND(Q646&lt;&gt;"",RIGHT(Q646,3)&lt;&gt;""),IF(COUNTIF($Q$6:Q646,Q646)=1,1,0),0)</f>
        <v>0</v>
      </c>
      <c r="W646" s="41" t="str">
        <f t="shared" si="74"/>
        <v>BA.DIS-SIG.2026.01-2</v>
      </c>
      <c r="X646" s="41" t="str">
        <f t="shared" si="75"/>
        <v/>
      </c>
    </row>
    <row r="647" s="32" customFormat="1" hidden="1" customHeight="1" spans="1:24">
      <c r="A647" s="34"/>
      <c r="B647" s="51">
        <v>642</v>
      </c>
      <c r="C647" s="51" t="s">
        <v>2047</v>
      </c>
      <c r="D647" s="52" t="s">
        <v>1867</v>
      </c>
      <c r="E647" s="53">
        <v>1</v>
      </c>
      <c r="F647" s="54" t="s">
        <v>29</v>
      </c>
      <c r="G647" s="54" t="s">
        <v>515</v>
      </c>
      <c r="H647" s="54" t="s">
        <v>515</v>
      </c>
      <c r="I647" s="66">
        <v>46134</v>
      </c>
      <c r="J647" s="54" t="s">
        <v>2042</v>
      </c>
      <c r="K647" s="54" t="s">
        <v>1423</v>
      </c>
      <c r="L647" s="54" t="s">
        <v>2048</v>
      </c>
      <c r="M647" s="95" t="str">
        <f t="shared" si="72"/>
        <v>Open File</v>
      </c>
      <c r="N647" s="70" t="s">
        <v>2044</v>
      </c>
      <c r="O647" s="71" t="str">
        <f t="shared" si="76"/>
        <v>ACTIVE</v>
      </c>
      <c r="P647" s="66"/>
      <c r="Q647" s="66"/>
      <c r="R647" s="54"/>
      <c r="S647" s="82"/>
      <c r="T647" s="83" t="str">
        <f t="shared" si="73"/>
        <v/>
      </c>
      <c r="U647" s="10"/>
      <c r="V647" s="41">
        <f>IF(AND(Q647&lt;&gt;"",RIGHT(Q647,3)&lt;&gt;""),IF(COUNTIF($Q$6:Q647,Q647)=1,1,0),0)</f>
        <v>0</v>
      </c>
      <c r="W647" s="41" t="str">
        <f t="shared" si="74"/>
        <v>BA.DIS-SIG.2026.01-3</v>
      </c>
      <c r="X647" s="41" t="str">
        <f t="shared" si="75"/>
        <v/>
      </c>
    </row>
    <row r="648" s="32" customFormat="1" hidden="1" customHeight="1" spans="1:24">
      <c r="A648" s="34"/>
      <c r="B648" s="51">
        <v>643</v>
      </c>
      <c r="C648" s="51" t="s">
        <v>2049</v>
      </c>
      <c r="D648" s="52" t="s">
        <v>2050</v>
      </c>
      <c r="E648" s="53">
        <v>1</v>
      </c>
      <c r="F648" s="54" t="s">
        <v>29</v>
      </c>
      <c r="G648" s="54" t="s">
        <v>515</v>
      </c>
      <c r="H648" s="54" t="s">
        <v>515</v>
      </c>
      <c r="I648" s="66">
        <v>46134</v>
      </c>
      <c r="J648" s="54" t="s">
        <v>2042</v>
      </c>
      <c r="K648" s="54" t="s">
        <v>1427</v>
      </c>
      <c r="L648" s="54" t="s">
        <v>2051</v>
      </c>
      <c r="M648" s="95" t="str">
        <f t="shared" si="72"/>
        <v>Open File</v>
      </c>
      <c r="N648" s="70" t="s">
        <v>2044</v>
      </c>
      <c r="O648" s="71" t="str">
        <f t="shared" si="76"/>
        <v>ACTIVE</v>
      </c>
      <c r="P648" s="66"/>
      <c r="Q648" s="66"/>
      <c r="R648" s="54"/>
      <c r="S648" s="82"/>
      <c r="T648" s="83" t="str">
        <f t="shared" si="73"/>
        <v/>
      </c>
      <c r="U648" s="10"/>
      <c r="V648" s="41">
        <f>IF(AND(Q648&lt;&gt;"",RIGHT(Q648,3)&lt;&gt;""),IF(COUNTIF($Q$6:Q648,Q648)=1,1,0),0)</f>
        <v>0</v>
      </c>
      <c r="W648" s="41" t="str">
        <f t="shared" si="74"/>
        <v>BA.DIS-SIG.2026.01-4</v>
      </c>
      <c r="X648" s="41" t="str">
        <f t="shared" si="75"/>
        <v/>
      </c>
    </row>
    <row r="649" s="32" customFormat="1" hidden="1" customHeight="1" spans="1:24">
      <c r="A649" s="34"/>
      <c r="B649" s="51">
        <v>644</v>
      </c>
      <c r="C649" s="51" t="s">
        <v>2052</v>
      </c>
      <c r="D649" s="52" t="s">
        <v>2053</v>
      </c>
      <c r="E649" s="53">
        <v>1</v>
      </c>
      <c r="F649" s="54" t="s">
        <v>29</v>
      </c>
      <c r="G649" s="54" t="s">
        <v>515</v>
      </c>
      <c r="H649" s="54" t="s">
        <v>515</v>
      </c>
      <c r="I649" s="66">
        <v>46134</v>
      </c>
      <c r="J649" s="54" t="s">
        <v>2042</v>
      </c>
      <c r="K649" s="54" t="s">
        <v>1431</v>
      </c>
      <c r="L649" s="54" t="s">
        <v>2054</v>
      </c>
      <c r="M649" s="97" t="str">
        <f t="shared" si="72"/>
        <v>Open File</v>
      </c>
      <c r="N649" s="70" t="s">
        <v>2044</v>
      </c>
      <c r="O649" s="71" t="str">
        <f t="shared" si="76"/>
        <v>ACTIVE</v>
      </c>
      <c r="P649" s="66"/>
      <c r="Q649" s="66"/>
      <c r="R649" s="54"/>
      <c r="S649" s="82"/>
      <c r="T649" s="83" t="str">
        <f t="shared" si="73"/>
        <v/>
      </c>
      <c r="U649" s="10"/>
      <c r="V649" s="41">
        <f>IF(AND(Q649&lt;&gt;"",RIGHT(Q649,3)&lt;&gt;""),IF(COUNTIF($Q$6:Q649,Q649)=1,1,0),0)</f>
        <v>0</v>
      </c>
      <c r="W649" s="41" t="str">
        <f t="shared" si="74"/>
        <v>BA.DIS-SIG.2026.01-5</v>
      </c>
      <c r="X649" s="41" t="str">
        <f t="shared" si="75"/>
        <v/>
      </c>
    </row>
    <row r="650" s="32" customFormat="1" hidden="1" customHeight="1" spans="1:24">
      <c r="A650" s="34"/>
      <c r="B650" s="51">
        <v>645</v>
      </c>
      <c r="C650" s="51" t="s">
        <v>2055</v>
      </c>
      <c r="D650" s="52" t="s">
        <v>2056</v>
      </c>
      <c r="E650" s="53">
        <v>1</v>
      </c>
      <c r="F650" s="54" t="s">
        <v>29</v>
      </c>
      <c r="G650" s="54" t="s">
        <v>515</v>
      </c>
      <c r="H650" s="54" t="s">
        <v>515</v>
      </c>
      <c r="I650" s="66">
        <v>46134</v>
      </c>
      <c r="J650" s="54" t="s">
        <v>2042</v>
      </c>
      <c r="K650" s="54" t="s">
        <v>1435</v>
      </c>
      <c r="L650" s="54" t="s">
        <v>2057</v>
      </c>
      <c r="M650" s="97" t="str">
        <f t="shared" si="72"/>
        <v>Open File</v>
      </c>
      <c r="N650" s="70" t="s">
        <v>2044</v>
      </c>
      <c r="O650" s="71" t="str">
        <f t="shared" si="76"/>
        <v>ACTIVE</v>
      </c>
      <c r="P650" s="66"/>
      <c r="Q650" s="66"/>
      <c r="R650" s="54"/>
      <c r="S650" s="82"/>
      <c r="T650" s="83" t="str">
        <f t="shared" si="73"/>
        <v/>
      </c>
      <c r="U650" s="10"/>
      <c r="V650" s="41">
        <f>IF(AND(Q650&lt;&gt;"",RIGHT(Q650,3)&lt;&gt;""),IF(COUNTIF($Q$6:Q650,Q650)=1,1,0),0)</f>
        <v>0</v>
      </c>
      <c r="W650" s="41" t="str">
        <f t="shared" si="74"/>
        <v>BA.DIS-SIG.2026.01-6</v>
      </c>
      <c r="X650" s="41" t="str">
        <f t="shared" si="75"/>
        <v/>
      </c>
    </row>
    <row r="651" s="32" customFormat="1" hidden="1" customHeight="1" spans="1:24">
      <c r="A651" s="34"/>
      <c r="B651" s="51">
        <v>646</v>
      </c>
      <c r="C651" s="51" t="s">
        <v>2058</v>
      </c>
      <c r="D651" s="52" t="s">
        <v>1855</v>
      </c>
      <c r="E651" s="53">
        <v>1</v>
      </c>
      <c r="F651" s="54" t="s">
        <v>29</v>
      </c>
      <c r="G651" s="54" t="s">
        <v>515</v>
      </c>
      <c r="H651" s="54" t="s">
        <v>515</v>
      </c>
      <c r="I651" s="66">
        <v>46134</v>
      </c>
      <c r="J651" s="54" t="s">
        <v>2042</v>
      </c>
      <c r="K651" s="54" t="s">
        <v>1439</v>
      </c>
      <c r="L651" s="54" t="s">
        <v>2059</v>
      </c>
      <c r="M651" s="97" t="str">
        <f t="shared" si="72"/>
        <v>Open File</v>
      </c>
      <c r="N651" s="70" t="s">
        <v>2044</v>
      </c>
      <c r="O651" s="71" t="str">
        <f t="shared" si="76"/>
        <v>ACTIVE</v>
      </c>
      <c r="P651" s="66"/>
      <c r="Q651" s="66"/>
      <c r="R651" s="54"/>
      <c r="S651" s="82"/>
      <c r="T651" s="83" t="str">
        <f t="shared" si="73"/>
        <v/>
      </c>
      <c r="U651" s="10"/>
      <c r="V651" s="41">
        <f>IF(AND(Q651&lt;&gt;"",RIGHT(Q651,3)&lt;&gt;""),IF(COUNTIF($Q$6:Q651,Q651)=1,1,0),0)</f>
        <v>0</v>
      </c>
      <c r="W651" s="41" t="str">
        <f t="shared" si="74"/>
        <v>BA.DIS-SIG.2026.01-7</v>
      </c>
      <c r="X651" s="41" t="str">
        <f t="shared" si="75"/>
        <v/>
      </c>
    </row>
    <row r="652" s="32" customFormat="1" hidden="1" customHeight="1" spans="1:24">
      <c r="A652" s="34"/>
      <c r="B652" s="51">
        <v>647</v>
      </c>
      <c r="C652" s="51" t="s">
        <v>2060</v>
      </c>
      <c r="D652" s="52" t="s">
        <v>1855</v>
      </c>
      <c r="E652" s="53">
        <v>1</v>
      </c>
      <c r="F652" s="54" t="s">
        <v>29</v>
      </c>
      <c r="G652" s="54" t="s">
        <v>321</v>
      </c>
      <c r="H652" s="54" t="s">
        <v>321</v>
      </c>
      <c r="I652" s="66">
        <v>46134</v>
      </c>
      <c r="J652" s="54" t="s">
        <v>2061</v>
      </c>
      <c r="K652" s="54" t="s">
        <v>226</v>
      </c>
      <c r="L652" s="54" t="s">
        <v>2062</v>
      </c>
      <c r="M652" s="97" t="str">
        <f t="shared" si="72"/>
        <v>Open File</v>
      </c>
      <c r="N652" s="70" t="s">
        <v>2063</v>
      </c>
      <c r="O652" s="71" t="str">
        <f t="shared" si="76"/>
        <v>ACTIVE</v>
      </c>
      <c r="P652" s="66"/>
      <c r="Q652" s="66"/>
      <c r="R652" s="54"/>
      <c r="S652" s="82"/>
      <c r="T652" s="83" t="str">
        <f t="shared" si="73"/>
        <v/>
      </c>
      <c r="U652" s="10"/>
      <c r="V652" s="41">
        <f>IF(AND(Q652&lt;&gt;"",RIGHT(Q652,3)&lt;&gt;""),IF(COUNTIF($Q$6:Q652,Q652)=1,1,0),0)</f>
        <v>0</v>
      </c>
      <c r="W652" s="41" t="str">
        <f t="shared" si="74"/>
        <v>BA.DIS-SIG.2026.02-1</v>
      </c>
      <c r="X652" s="41" t="str">
        <f t="shared" si="75"/>
        <v/>
      </c>
    </row>
    <row r="653" s="32" customFormat="1" hidden="1" customHeight="1" spans="1:24">
      <c r="A653" s="34"/>
      <c r="B653" s="51">
        <v>648</v>
      </c>
      <c r="C653" s="51" t="s">
        <v>2064</v>
      </c>
      <c r="D653" s="52" t="s">
        <v>2065</v>
      </c>
      <c r="E653" s="53">
        <v>1</v>
      </c>
      <c r="F653" s="54" t="s">
        <v>29</v>
      </c>
      <c r="G653" s="54" t="s">
        <v>2066</v>
      </c>
      <c r="H653" s="54" t="s">
        <v>2066</v>
      </c>
      <c r="I653" s="66">
        <v>46134</v>
      </c>
      <c r="J653" s="54" t="s">
        <v>2067</v>
      </c>
      <c r="K653" s="54" t="s">
        <v>226</v>
      </c>
      <c r="L653" s="54" t="s">
        <v>2068</v>
      </c>
      <c r="M653" s="97" t="str">
        <f t="shared" si="72"/>
        <v>Open File</v>
      </c>
      <c r="N653" s="70" t="s">
        <v>2069</v>
      </c>
      <c r="O653" s="71" t="str">
        <f t="shared" si="76"/>
        <v>ACTIVE</v>
      </c>
      <c r="P653" s="66"/>
      <c r="Q653" s="66"/>
      <c r="R653" s="54"/>
      <c r="S653" s="82"/>
      <c r="T653" s="83" t="str">
        <f t="shared" si="73"/>
        <v/>
      </c>
      <c r="U653" s="10"/>
      <c r="V653" s="41">
        <f>IF(AND(Q653&lt;&gt;"",RIGHT(Q653,3)&lt;&gt;""),IF(COUNTIF($Q$6:Q653,Q653)=1,1,0),0)</f>
        <v>0</v>
      </c>
      <c r="W653" s="41" t="str">
        <f t="shared" si="74"/>
        <v>BA.DIS-SIG.2026.03-1</v>
      </c>
      <c r="X653" s="41" t="str">
        <f t="shared" si="75"/>
        <v/>
      </c>
    </row>
    <row r="654" s="32" customFormat="1" hidden="1" customHeight="1" spans="1:24">
      <c r="A654" s="34"/>
      <c r="B654" s="51">
        <v>649</v>
      </c>
      <c r="C654" s="51" t="s">
        <v>2070</v>
      </c>
      <c r="D654" s="52" t="s">
        <v>2071</v>
      </c>
      <c r="E654" s="53">
        <v>1</v>
      </c>
      <c r="F654" s="54" t="s">
        <v>29</v>
      </c>
      <c r="G654" s="54" t="s">
        <v>2066</v>
      </c>
      <c r="H654" s="54" t="s">
        <v>2066</v>
      </c>
      <c r="I654" s="66">
        <v>46134</v>
      </c>
      <c r="J654" s="54" t="s">
        <v>2067</v>
      </c>
      <c r="K654" s="54" t="s">
        <v>1239</v>
      </c>
      <c r="L654" s="54" t="s">
        <v>2072</v>
      </c>
      <c r="M654" s="95" t="str">
        <f t="shared" si="72"/>
        <v>Open File</v>
      </c>
      <c r="N654" s="70" t="s">
        <v>2069</v>
      </c>
      <c r="O654" s="71" t="str">
        <f t="shared" si="76"/>
        <v>ACTIVE</v>
      </c>
      <c r="P654" s="66"/>
      <c r="Q654" s="66"/>
      <c r="R654" s="54"/>
      <c r="S654" s="82"/>
      <c r="T654" s="83" t="str">
        <f t="shared" si="73"/>
        <v/>
      </c>
      <c r="U654" s="10"/>
      <c r="V654" s="41">
        <f>IF(AND(Q654&lt;&gt;"",RIGHT(Q654,3)&lt;&gt;""),IF(COUNTIF($Q$6:Q654,Q654)=1,1,0),0)</f>
        <v>0</v>
      </c>
      <c r="W654" s="41" t="str">
        <f t="shared" si="74"/>
        <v>BA.DIS-SIG.2026.03-2</v>
      </c>
      <c r="X654" s="41" t="str">
        <f t="shared" si="75"/>
        <v/>
      </c>
    </row>
    <row r="655" s="32" customFormat="1" hidden="1" customHeight="1" spans="1:24">
      <c r="A655" s="34"/>
      <c r="B655" s="51">
        <v>650</v>
      </c>
      <c r="C655" s="51" t="s">
        <v>2073</v>
      </c>
      <c r="D655" s="52" t="s">
        <v>2074</v>
      </c>
      <c r="E655" s="53">
        <v>1</v>
      </c>
      <c r="F655" s="54" t="s">
        <v>29</v>
      </c>
      <c r="G655" s="54" t="s">
        <v>2066</v>
      </c>
      <c r="H655" s="54" t="s">
        <v>2066</v>
      </c>
      <c r="I655" s="66">
        <v>46134</v>
      </c>
      <c r="J655" s="54" t="s">
        <v>2067</v>
      </c>
      <c r="K655" s="54" t="s">
        <v>1423</v>
      </c>
      <c r="L655" s="54" t="s">
        <v>2075</v>
      </c>
      <c r="M655" s="97" t="str">
        <f t="shared" si="72"/>
        <v>Open File</v>
      </c>
      <c r="N655" s="70" t="s">
        <v>2069</v>
      </c>
      <c r="O655" s="71" t="str">
        <f t="shared" si="76"/>
        <v>ACTIVE</v>
      </c>
      <c r="P655" s="66"/>
      <c r="Q655" s="66"/>
      <c r="R655" s="54"/>
      <c r="S655" s="82"/>
      <c r="T655" s="83" t="str">
        <f t="shared" si="73"/>
        <v/>
      </c>
      <c r="U655" s="10"/>
      <c r="V655" s="41">
        <f>IF(AND(Q655&lt;&gt;"",RIGHT(Q655,3)&lt;&gt;""),IF(COUNTIF($Q$6:Q655,Q655)=1,1,0),0)</f>
        <v>0</v>
      </c>
      <c r="W655" s="41" t="str">
        <f t="shared" si="74"/>
        <v>BA.DIS-SIG.2026.03-3</v>
      </c>
      <c r="X655" s="41" t="str">
        <f t="shared" si="75"/>
        <v/>
      </c>
    </row>
    <row r="656" s="32" customFormat="1" hidden="1" customHeight="1" spans="1:24">
      <c r="A656" s="34"/>
      <c r="B656" s="51">
        <v>651</v>
      </c>
      <c r="C656" s="51" t="s">
        <v>2076</v>
      </c>
      <c r="D656" s="52" t="s">
        <v>2077</v>
      </c>
      <c r="E656" s="53">
        <v>1</v>
      </c>
      <c r="F656" s="54" t="s">
        <v>29</v>
      </c>
      <c r="G656" s="54" t="s">
        <v>2066</v>
      </c>
      <c r="H656" s="54" t="s">
        <v>2066</v>
      </c>
      <c r="I656" s="66">
        <v>46134</v>
      </c>
      <c r="J656" s="54" t="s">
        <v>2067</v>
      </c>
      <c r="K656" s="54" t="s">
        <v>1427</v>
      </c>
      <c r="L656" s="54" t="s">
        <v>2078</v>
      </c>
      <c r="M656" s="97" t="str">
        <f t="shared" si="72"/>
        <v>Open File</v>
      </c>
      <c r="N656" s="70" t="s">
        <v>2069</v>
      </c>
      <c r="O656" s="71" t="str">
        <f t="shared" si="76"/>
        <v>ACTIVE</v>
      </c>
      <c r="P656" s="66"/>
      <c r="Q656" s="66"/>
      <c r="R656" s="54"/>
      <c r="S656" s="82"/>
      <c r="T656" s="83" t="str">
        <f t="shared" si="73"/>
        <v/>
      </c>
      <c r="U656" s="10"/>
      <c r="V656" s="41">
        <f>IF(AND(Q656&lt;&gt;"",RIGHT(Q656,3)&lt;&gt;""),IF(COUNTIF($Q$6:Q656,Q656)=1,1,0),0)</f>
        <v>0</v>
      </c>
      <c r="W656" s="41" t="str">
        <f t="shared" si="74"/>
        <v>BA.DIS-SIG.2026.03-4</v>
      </c>
      <c r="X656" s="41" t="str">
        <f t="shared" si="75"/>
        <v/>
      </c>
    </row>
    <row r="657" s="32" customFormat="1" hidden="1" customHeight="1" spans="1:24">
      <c r="A657" s="34"/>
      <c r="B657" s="51">
        <v>652</v>
      </c>
      <c r="C657" s="51" t="s">
        <v>2079</v>
      </c>
      <c r="D657" s="52" t="s">
        <v>1855</v>
      </c>
      <c r="E657" s="53">
        <v>1</v>
      </c>
      <c r="F657" s="54" t="s">
        <v>29</v>
      </c>
      <c r="G657" s="54" t="s">
        <v>30</v>
      </c>
      <c r="H657" s="54" t="s">
        <v>30</v>
      </c>
      <c r="I657" s="66">
        <v>46134</v>
      </c>
      <c r="J657" s="54" t="s">
        <v>2080</v>
      </c>
      <c r="K657" s="54" t="s">
        <v>226</v>
      </c>
      <c r="L657" s="54" t="s">
        <v>2081</v>
      </c>
      <c r="M657" s="95" t="str">
        <f t="shared" si="72"/>
        <v>Open File</v>
      </c>
      <c r="N657" s="70" t="s">
        <v>2082</v>
      </c>
      <c r="O657" s="71" t="str">
        <f t="shared" si="76"/>
        <v>ACTIVE</v>
      </c>
      <c r="P657" s="66"/>
      <c r="Q657" s="66"/>
      <c r="R657" s="54"/>
      <c r="S657" s="82"/>
      <c r="T657" s="83" t="str">
        <f t="shared" si="73"/>
        <v/>
      </c>
      <c r="U657" s="10"/>
      <c r="V657" s="41">
        <f>IF(AND(Q657&lt;&gt;"",RIGHT(Q657,3)&lt;&gt;""),IF(COUNTIF($Q$6:Q657,Q657)=1,1,0),0)</f>
        <v>0</v>
      </c>
      <c r="W657" s="41" t="str">
        <f t="shared" si="74"/>
        <v>BA.DIS-SIG.2026.04-1</v>
      </c>
      <c r="X657" s="41" t="str">
        <f t="shared" si="75"/>
        <v/>
      </c>
    </row>
    <row r="658" s="32" customFormat="1" hidden="1" customHeight="1" spans="1:24">
      <c r="A658" s="34"/>
      <c r="B658" s="51">
        <v>653</v>
      </c>
      <c r="C658" s="51" t="s">
        <v>2083</v>
      </c>
      <c r="D658" s="52" t="s">
        <v>2084</v>
      </c>
      <c r="E658" s="53">
        <v>1</v>
      </c>
      <c r="F658" s="54" t="s">
        <v>29</v>
      </c>
      <c r="G658" s="54" t="s">
        <v>2085</v>
      </c>
      <c r="H658" s="54" t="s">
        <v>2085</v>
      </c>
      <c r="I658" s="66">
        <v>46162</v>
      </c>
      <c r="J658" s="54" t="s">
        <v>2086</v>
      </c>
      <c r="K658" s="54" t="s">
        <v>226</v>
      </c>
      <c r="L658" s="54" t="s">
        <v>2087</v>
      </c>
      <c r="M658" s="95" t="str">
        <f t="shared" si="72"/>
        <v>Open File</v>
      </c>
      <c r="N658" s="70" t="s">
        <v>2088</v>
      </c>
      <c r="O658" s="71" t="str">
        <f t="shared" si="76"/>
        <v>ACTIVE</v>
      </c>
      <c r="P658" s="66"/>
      <c r="Q658" s="66"/>
      <c r="R658" s="54"/>
      <c r="S658" s="82"/>
      <c r="T658" s="83" t="str">
        <f t="shared" si="73"/>
        <v/>
      </c>
      <c r="U658" s="10"/>
      <c r="V658" s="41">
        <f>IF(AND(Q658&lt;&gt;"",RIGHT(Q658,3)&lt;&gt;""),IF(COUNTIF($Q$6:Q658,Q658)=1,1,0),0)</f>
        <v>0</v>
      </c>
      <c r="W658" s="41" t="str">
        <f t="shared" si="74"/>
        <v>BA.GEN-SIG.2026.01-1</v>
      </c>
      <c r="X658" s="41" t="str">
        <f t="shared" si="75"/>
        <v/>
      </c>
    </row>
    <row r="659" s="32" customFormat="1" hidden="1" customHeight="1" spans="1:24">
      <c r="A659" s="34"/>
      <c r="B659" s="51">
        <v>654</v>
      </c>
      <c r="C659" s="51" t="s">
        <v>2089</v>
      </c>
      <c r="D659" s="52" t="s">
        <v>2090</v>
      </c>
      <c r="E659" s="53">
        <v>1</v>
      </c>
      <c r="F659" s="54" t="s">
        <v>29</v>
      </c>
      <c r="G659" s="54" t="s">
        <v>2085</v>
      </c>
      <c r="H659" s="54" t="s">
        <v>2085</v>
      </c>
      <c r="I659" s="66">
        <v>46162</v>
      </c>
      <c r="J659" s="54" t="s">
        <v>2086</v>
      </c>
      <c r="K659" s="54" t="s">
        <v>1239</v>
      </c>
      <c r="L659" s="54" t="s">
        <v>2091</v>
      </c>
      <c r="M659" s="95" t="str">
        <f t="shared" si="72"/>
        <v>Open File</v>
      </c>
      <c r="N659" s="70" t="s">
        <v>2088</v>
      </c>
      <c r="O659" s="71" t="str">
        <f t="shared" si="76"/>
        <v>ACTIVE</v>
      </c>
      <c r="P659" s="66"/>
      <c r="Q659" s="66"/>
      <c r="R659" s="54"/>
      <c r="S659" s="82"/>
      <c r="T659" s="83" t="str">
        <f t="shared" si="73"/>
        <v/>
      </c>
      <c r="U659" s="10"/>
      <c r="V659" s="41">
        <f>IF(AND(Q659&lt;&gt;"",RIGHT(Q659,3)&lt;&gt;""),IF(COUNTIF($Q$6:Q659,Q659)=1,1,0),0)</f>
        <v>0</v>
      </c>
      <c r="W659" s="41" t="str">
        <f t="shared" si="74"/>
        <v>BA.GEN-SIG.2026.01-2</v>
      </c>
      <c r="X659" s="41" t="str">
        <f t="shared" si="75"/>
        <v/>
      </c>
    </row>
    <row r="660" s="32" customFormat="1" hidden="1" customHeight="1" spans="1:24">
      <c r="A660" s="34"/>
      <c r="B660" s="51">
        <v>655</v>
      </c>
      <c r="C660" s="51" t="s">
        <v>2092</v>
      </c>
      <c r="D660" s="52" t="s">
        <v>2093</v>
      </c>
      <c r="E660" s="53">
        <v>1</v>
      </c>
      <c r="F660" s="54" t="s">
        <v>29</v>
      </c>
      <c r="G660" s="54" t="s">
        <v>2085</v>
      </c>
      <c r="H660" s="54" t="s">
        <v>2085</v>
      </c>
      <c r="I660" s="66">
        <v>46162</v>
      </c>
      <c r="J660" s="54" t="s">
        <v>2086</v>
      </c>
      <c r="K660" s="54" t="s">
        <v>1423</v>
      </c>
      <c r="L660" s="54" t="s">
        <v>2094</v>
      </c>
      <c r="M660" s="97" t="str">
        <f t="shared" si="72"/>
        <v>Open File</v>
      </c>
      <c r="N660" s="70" t="s">
        <v>2088</v>
      </c>
      <c r="O660" s="71" t="str">
        <f t="shared" si="76"/>
        <v>ACTIVE</v>
      </c>
      <c r="P660" s="66"/>
      <c r="Q660" s="66"/>
      <c r="R660" s="54"/>
      <c r="S660" s="82"/>
      <c r="T660" s="83" t="str">
        <f t="shared" si="73"/>
        <v/>
      </c>
      <c r="U660" s="10"/>
      <c r="V660" s="41">
        <f>IF(AND(Q660&lt;&gt;"",RIGHT(Q660,3)&lt;&gt;""),IF(COUNTIF($Q$6:Q660,Q660)=1,1,0),0)</f>
        <v>0</v>
      </c>
      <c r="W660" s="41" t="str">
        <f t="shared" si="74"/>
        <v>BA.GEN-SIG.2026.01-3</v>
      </c>
      <c r="X660" s="41" t="str">
        <f t="shared" si="75"/>
        <v/>
      </c>
    </row>
    <row r="661" s="32" customFormat="1" hidden="1" customHeight="1" spans="1:24">
      <c r="A661" s="34"/>
      <c r="B661" s="51">
        <v>656</v>
      </c>
      <c r="C661" s="51" t="s">
        <v>2095</v>
      </c>
      <c r="D661" s="52" t="s">
        <v>2096</v>
      </c>
      <c r="E661" s="53">
        <v>1</v>
      </c>
      <c r="F661" s="54" t="s">
        <v>29</v>
      </c>
      <c r="G661" s="54" t="s">
        <v>2085</v>
      </c>
      <c r="H661" s="54" t="s">
        <v>2085</v>
      </c>
      <c r="I661" s="66">
        <v>46162</v>
      </c>
      <c r="J661" s="54" t="s">
        <v>2086</v>
      </c>
      <c r="K661" s="54" t="s">
        <v>1427</v>
      </c>
      <c r="L661" s="54" t="s">
        <v>2097</v>
      </c>
      <c r="M661" s="97" t="str">
        <f t="shared" si="72"/>
        <v>Open File</v>
      </c>
      <c r="N661" s="70" t="s">
        <v>2088</v>
      </c>
      <c r="O661" s="71" t="str">
        <f t="shared" si="76"/>
        <v>ACTIVE</v>
      </c>
      <c r="P661" s="66"/>
      <c r="Q661" s="66"/>
      <c r="R661" s="54"/>
      <c r="S661" s="82"/>
      <c r="T661" s="83" t="str">
        <f t="shared" si="73"/>
        <v/>
      </c>
      <c r="U661" s="10"/>
      <c r="V661" s="41">
        <f>IF(AND(Q661&lt;&gt;"",RIGHT(Q661,3)&lt;&gt;""),IF(COUNTIF($Q$6:Q661,Q661)=1,1,0),0)</f>
        <v>0</v>
      </c>
      <c r="W661" s="41" t="str">
        <f t="shared" si="74"/>
        <v>BA.GEN-SIG.2026.01-4</v>
      </c>
      <c r="X661" s="41" t="str">
        <f t="shared" si="75"/>
        <v/>
      </c>
    </row>
    <row r="662" s="32" customFormat="1" hidden="1" customHeight="1" spans="1:24">
      <c r="A662" s="34"/>
      <c r="B662" s="51">
        <v>657</v>
      </c>
      <c r="C662" s="51" t="s">
        <v>2098</v>
      </c>
      <c r="D662" s="52" t="s">
        <v>2099</v>
      </c>
      <c r="E662" s="53">
        <v>1</v>
      </c>
      <c r="F662" s="54" t="s">
        <v>29</v>
      </c>
      <c r="G662" s="54" t="s">
        <v>2085</v>
      </c>
      <c r="H662" s="54" t="s">
        <v>2085</v>
      </c>
      <c r="I662" s="66">
        <v>46162</v>
      </c>
      <c r="J662" s="54" t="s">
        <v>2086</v>
      </c>
      <c r="K662" s="54" t="s">
        <v>1431</v>
      </c>
      <c r="L662" s="54" t="s">
        <v>2100</v>
      </c>
      <c r="M662" s="97" t="str">
        <f t="shared" si="72"/>
        <v>Open File</v>
      </c>
      <c r="N662" s="70" t="s">
        <v>2088</v>
      </c>
      <c r="O662" s="71" t="str">
        <f t="shared" si="76"/>
        <v>ACTIVE</v>
      </c>
      <c r="P662" s="66"/>
      <c r="Q662" s="66"/>
      <c r="R662" s="54"/>
      <c r="S662" s="82"/>
      <c r="T662" s="83" t="str">
        <f t="shared" si="73"/>
        <v/>
      </c>
      <c r="U662" s="10"/>
      <c r="V662" s="41">
        <f>IF(AND(Q662&lt;&gt;"",RIGHT(Q662,3)&lt;&gt;""),IF(COUNTIF($Q$6:Q662,Q662)=1,1,0),0)</f>
        <v>0</v>
      </c>
      <c r="W662" s="41" t="str">
        <f t="shared" si="74"/>
        <v>BA.GEN-SIG.2026.01-5</v>
      </c>
      <c r="X662" s="41" t="str">
        <f t="shared" si="75"/>
        <v/>
      </c>
    </row>
    <row r="663" s="32" customFormat="1" hidden="1" customHeight="1" spans="1:24">
      <c r="A663" s="34"/>
      <c r="B663" s="51">
        <v>658</v>
      </c>
      <c r="C663" s="51" t="s">
        <v>2101</v>
      </c>
      <c r="D663" s="52" t="s">
        <v>2099</v>
      </c>
      <c r="E663" s="53">
        <v>1</v>
      </c>
      <c r="F663" s="54" t="s">
        <v>29</v>
      </c>
      <c r="G663" s="54" t="s">
        <v>2085</v>
      </c>
      <c r="H663" s="54" t="s">
        <v>2085</v>
      </c>
      <c r="I663" s="66">
        <v>46162</v>
      </c>
      <c r="J663" s="54" t="s">
        <v>2086</v>
      </c>
      <c r="K663" s="54" t="s">
        <v>1435</v>
      </c>
      <c r="L663" s="54" t="s">
        <v>2102</v>
      </c>
      <c r="M663" s="95" t="str">
        <f t="shared" si="72"/>
        <v>Open File</v>
      </c>
      <c r="N663" s="70" t="s">
        <v>2088</v>
      </c>
      <c r="O663" s="71" t="str">
        <f t="shared" si="76"/>
        <v>ACTIVE</v>
      </c>
      <c r="P663" s="66"/>
      <c r="Q663" s="66"/>
      <c r="R663" s="54"/>
      <c r="S663" s="82"/>
      <c r="T663" s="83" t="str">
        <f t="shared" si="73"/>
        <v/>
      </c>
      <c r="U663" s="10"/>
      <c r="V663" s="41">
        <f>IF(AND(Q663&lt;&gt;"",RIGHT(Q663,3)&lt;&gt;""),IF(COUNTIF($Q$6:Q663,Q663)=1,1,0),0)</f>
        <v>0</v>
      </c>
      <c r="W663" s="41" t="str">
        <f t="shared" si="74"/>
        <v>BA.GEN-SIG.2026.01-6</v>
      </c>
      <c r="X663" s="41" t="str">
        <f t="shared" si="75"/>
        <v/>
      </c>
    </row>
    <row r="664" s="32" customFormat="1" hidden="1" customHeight="1" spans="1:24">
      <c r="A664" s="34"/>
      <c r="B664" s="51">
        <v>659</v>
      </c>
      <c r="C664" s="51" t="s">
        <v>2103</v>
      </c>
      <c r="D664" s="52" t="s">
        <v>2104</v>
      </c>
      <c r="E664" s="53">
        <v>1</v>
      </c>
      <c r="F664" s="54" t="s">
        <v>29</v>
      </c>
      <c r="G664" s="54" t="s">
        <v>2085</v>
      </c>
      <c r="H664" s="54" t="s">
        <v>2085</v>
      </c>
      <c r="I664" s="66">
        <v>46162</v>
      </c>
      <c r="J664" s="54" t="s">
        <v>2086</v>
      </c>
      <c r="K664" s="54" t="s">
        <v>1439</v>
      </c>
      <c r="L664" s="54" t="s">
        <v>2105</v>
      </c>
      <c r="M664" s="95" t="str">
        <f t="shared" si="72"/>
        <v>Open File</v>
      </c>
      <c r="N664" s="70" t="s">
        <v>2088</v>
      </c>
      <c r="O664" s="71" t="str">
        <f t="shared" si="76"/>
        <v>ACTIVE</v>
      </c>
      <c r="P664" s="66"/>
      <c r="Q664" s="66"/>
      <c r="R664" s="54"/>
      <c r="S664" s="82"/>
      <c r="T664" s="83" t="str">
        <f t="shared" si="73"/>
        <v/>
      </c>
      <c r="U664" s="10"/>
      <c r="V664" s="41">
        <f>IF(AND(Q664&lt;&gt;"",RIGHT(Q664,3)&lt;&gt;""),IF(COUNTIF($Q$6:Q664,Q664)=1,1,0),0)</f>
        <v>0</v>
      </c>
      <c r="W664" s="41" t="str">
        <f t="shared" si="74"/>
        <v>BA.GEN-SIG.2026.01-7</v>
      </c>
      <c r="X664" s="41" t="str">
        <f t="shared" si="75"/>
        <v/>
      </c>
    </row>
    <row r="665" s="32" customFormat="1" hidden="1" customHeight="1" spans="1:24">
      <c r="A665" s="34"/>
      <c r="B665" s="51">
        <v>660</v>
      </c>
      <c r="C665" s="51" t="s">
        <v>2106</v>
      </c>
      <c r="D665" s="52" t="s">
        <v>1858</v>
      </c>
      <c r="E665" s="53">
        <v>1</v>
      </c>
      <c r="F665" s="54" t="s">
        <v>29</v>
      </c>
      <c r="G665" s="54" t="s">
        <v>2107</v>
      </c>
      <c r="H665" s="54" t="s">
        <v>2107</v>
      </c>
      <c r="I665" s="66">
        <v>46162</v>
      </c>
      <c r="J665" s="54" t="s">
        <v>2108</v>
      </c>
      <c r="K665" s="54" t="s">
        <v>226</v>
      </c>
      <c r="L665" s="54" t="s">
        <v>2109</v>
      </c>
      <c r="M665" s="95" t="str">
        <f t="shared" si="72"/>
        <v>Open File</v>
      </c>
      <c r="N665" s="70" t="s">
        <v>2110</v>
      </c>
      <c r="O665" s="71" t="str">
        <f t="shared" si="76"/>
        <v>ACTIVE</v>
      </c>
      <c r="P665" s="66"/>
      <c r="Q665" s="66"/>
      <c r="R665" s="54"/>
      <c r="S665" s="82"/>
      <c r="T665" s="83" t="str">
        <f t="shared" si="73"/>
        <v/>
      </c>
      <c r="U665" s="10"/>
      <c r="V665" s="41">
        <f>IF(AND(Q665&lt;&gt;"",RIGHT(Q665,3)&lt;&gt;""),IF(COUNTIF($Q$6:Q665,Q665)=1,1,0),0)</f>
        <v>0</v>
      </c>
      <c r="W665" s="41" t="str">
        <f t="shared" si="74"/>
        <v>BA.MNG-SIG.2026.01-1</v>
      </c>
      <c r="X665" s="41" t="str">
        <f t="shared" si="75"/>
        <v/>
      </c>
    </row>
    <row r="666" s="32" customFormat="1" hidden="1" customHeight="1" spans="1:24">
      <c r="A666" s="34"/>
      <c r="B666" s="51">
        <v>661</v>
      </c>
      <c r="C666" s="51" t="s">
        <v>2111</v>
      </c>
      <c r="D666" s="52" t="s">
        <v>2112</v>
      </c>
      <c r="E666" s="53">
        <v>1</v>
      </c>
      <c r="F666" s="54" t="s">
        <v>29</v>
      </c>
      <c r="G666" s="54" t="s">
        <v>2107</v>
      </c>
      <c r="H666" s="54" t="s">
        <v>2107</v>
      </c>
      <c r="I666" s="66">
        <v>46162</v>
      </c>
      <c r="J666" s="54" t="s">
        <v>2108</v>
      </c>
      <c r="K666" s="54" t="s">
        <v>1239</v>
      </c>
      <c r="L666" s="54" t="s">
        <v>2113</v>
      </c>
      <c r="M666" s="97" t="str">
        <f t="shared" si="72"/>
        <v>Open File</v>
      </c>
      <c r="N666" s="70" t="s">
        <v>2110</v>
      </c>
      <c r="O666" s="71" t="str">
        <f t="shared" si="76"/>
        <v>ACTIVE</v>
      </c>
      <c r="P666" s="66"/>
      <c r="Q666" s="66"/>
      <c r="R666" s="54"/>
      <c r="S666" s="82"/>
      <c r="T666" s="83" t="str">
        <f t="shared" si="73"/>
        <v/>
      </c>
      <c r="U666" s="10"/>
      <c r="V666" s="41">
        <f>IF(AND(Q666&lt;&gt;"",RIGHT(Q666,3)&lt;&gt;""),IF(COUNTIF($Q$6:Q666,Q666)=1,1,0),0)</f>
        <v>0</v>
      </c>
      <c r="W666" s="41" t="str">
        <f t="shared" si="74"/>
        <v>BA.MNG-SIG.2026.01-2</v>
      </c>
      <c r="X666" s="41" t="str">
        <f t="shared" si="75"/>
        <v/>
      </c>
    </row>
    <row r="667" s="32" customFormat="1" hidden="1" customHeight="1" spans="1:24">
      <c r="A667" s="34"/>
      <c r="B667" s="51">
        <v>662</v>
      </c>
      <c r="C667" s="51" t="s">
        <v>2114</v>
      </c>
      <c r="D667" s="52" t="s">
        <v>1993</v>
      </c>
      <c r="E667" s="53">
        <v>1</v>
      </c>
      <c r="F667" s="54" t="s">
        <v>29</v>
      </c>
      <c r="G667" s="54" t="s">
        <v>2107</v>
      </c>
      <c r="H667" s="54" t="s">
        <v>2107</v>
      </c>
      <c r="I667" s="66">
        <v>46162</v>
      </c>
      <c r="J667" s="54" t="s">
        <v>2108</v>
      </c>
      <c r="K667" s="54" t="s">
        <v>1423</v>
      </c>
      <c r="L667" s="54" t="s">
        <v>2115</v>
      </c>
      <c r="M667" s="97" t="str">
        <f t="shared" si="72"/>
        <v>Open File</v>
      </c>
      <c r="N667" s="70" t="s">
        <v>2110</v>
      </c>
      <c r="O667" s="71" t="str">
        <f t="shared" si="76"/>
        <v>ACTIVE</v>
      </c>
      <c r="P667" s="66"/>
      <c r="Q667" s="66"/>
      <c r="R667" s="54"/>
      <c r="S667" s="82"/>
      <c r="T667" s="83" t="str">
        <f t="shared" si="73"/>
        <v/>
      </c>
      <c r="U667" s="10"/>
      <c r="V667" s="41">
        <f>IF(AND(Q667&lt;&gt;"",RIGHT(Q667,3)&lt;&gt;""),IF(COUNTIF($Q$6:Q667,Q667)=1,1,0),0)</f>
        <v>0</v>
      </c>
      <c r="W667" s="41" t="str">
        <f t="shared" si="74"/>
        <v>BA.MNG-SIG.2026.01-3</v>
      </c>
      <c r="X667" s="41" t="str">
        <f t="shared" si="75"/>
        <v/>
      </c>
    </row>
    <row r="668" s="32" customFormat="1" hidden="1" customHeight="1" spans="1:24">
      <c r="A668" s="34"/>
      <c r="B668" s="51">
        <v>663</v>
      </c>
      <c r="C668" s="51" t="s">
        <v>2116</v>
      </c>
      <c r="D668" s="52" t="s">
        <v>2117</v>
      </c>
      <c r="E668" s="53">
        <v>1</v>
      </c>
      <c r="F668" s="54" t="s">
        <v>29</v>
      </c>
      <c r="G668" s="54" t="s">
        <v>2107</v>
      </c>
      <c r="H668" s="54" t="s">
        <v>2107</v>
      </c>
      <c r="I668" s="66">
        <v>46162</v>
      </c>
      <c r="J668" s="54" t="s">
        <v>2108</v>
      </c>
      <c r="K668" s="54" t="s">
        <v>1427</v>
      </c>
      <c r="L668" s="54" t="s">
        <v>2118</v>
      </c>
      <c r="M668" s="97" t="str">
        <f t="shared" si="72"/>
        <v>Open File</v>
      </c>
      <c r="N668" s="70" t="s">
        <v>2110</v>
      </c>
      <c r="O668" s="71" t="str">
        <f t="shared" si="76"/>
        <v>ACTIVE</v>
      </c>
      <c r="P668" s="66"/>
      <c r="Q668" s="66"/>
      <c r="R668" s="54"/>
      <c r="S668" s="82"/>
      <c r="T668" s="83" t="str">
        <f t="shared" si="73"/>
        <v/>
      </c>
      <c r="U668" s="10"/>
      <c r="V668" s="41">
        <f>IF(AND(Q668&lt;&gt;"",RIGHT(Q668,3)&lt;&gt;""),IF(COUNTIF($Q$6:Q668,Q668)=1,1,0),0)</f>
        <v>0</v>
      </c>
      <c r="W668" s="41" t="str">
        <f t="shared" si="74"/>
        <v>BA.MNG-SIG.2026.01-4</v>
      </c>
      <c r="X668" s="41" t="str">
        <f t="shared" si="75"/>
        <v/>
      </c>
    </row>
    <row r="669" s="32" customFormat="1" hidden="1" customHeight="1" spans="1:24">
      <c r="A669" s="34"/>
      <c r="B669" s="51">
        <v>664</v>
      </c>
      <c r="C669" s="51" t="s">
        <v>2119</v>
      </c>
      <c r="D669" s="52" t="s">
        <v>2120</v>
      </c>
      <c r="E669" s="53">
        <v>1</v>
      </c>
      <c r="F669" s="54" t="s">
        <v>29</v>
      </c>
      <c r="G669" s="54" t="s">
        <v>2107</v>
      </c>
      <c r="H669" s="54" t="s">
        <v>2107</v>
      </c>
      <c r="I669" s="66">
        <v>46162</v>
      </c>
      <c r="J669" s="54" t="s">
        <v>2108</v>
      </c>
      <c r="K669" s="54" t="s">
        <v>1431</v>
      </c>
      <c r="L669" s="54" t="s">
        <v>2121</v>
      </c>
      <c r="M669" s="97" t="str">
        <f t="shared" si="72"/>
        <v>Open File</v>
      </c>
      <c r="N669" s="70" t="s">
        <v>2110</v>
      </c>
      <c r="O669" s="71" t="str">
        <f t="shared" si="76"/>
        <v>ACTIVE</v>
      </c>
      <c r="P669" s="66"/>
      <c r="Q669" s="66"/>
      <c r="R669" s="54"/>
      <c r="S669" s="82"/>
      <c r="T669" s="83" t="str">
        <f t="shared" si="73"/>
        <v/>
      </c>
      <c r="U669" s="10"/>
      <c r="V669" s="41">
        <f>IF(AND(Q669&lt;&gt;"",RIGHT(Q669,3)&lt;&gt;""),IF(COUNTIF($Q$6:Q669,Q669)=1,1,0),0)</f>
        <v>0</v>
      </c>
      <c r="W669" s="41" t="str">
        <f t="shared" si="74"/>
        <v>BA.MNG-SIG.2026.01-5</v>
      </c>
      <c r="X669" s="41" t="str">
        <f t="shared" si="75"/>
        <v/>
      </c>
    </row>
    <row r="670" s="32" customFormat="1" hidden="1" customHeight="1" spans="1:24">
      <c r="A670" s="34"/>
      <c r="B670" s="51">
        <v>665</v>
      </c>
      <c r="C670" s="51" t="s">
        <v>2122</v>
      </c>
      <c r="D670" s="52" t="s">
        <v>1855</v>
      </c>
      <c r="E670" s="53">
        <v>1</v>
      </c>
      <c r="F670" s="54" t="s">
        <v>29</v>
      </c>
      <c r="G670" s="54" t="s">
        <v>2107</v>
      </c>
      <c r="H670" s="54" t="s">
        <v>2107</v>
      </c>
      <c r="I670" s="66">
        <v>46162</v>
      </c>
      <c r="J670" s="54" t="s">
        <v>2108</v>
      </c>
      <c r="K670" s="54" t="s">
        <v>1435</v>
      </c>
      <c r="L670" s="54" t="s">
        <v>2123</v>
      </c>
      <c r="M670" s="97" t="str">
        <f t="shared" si="72"/>
        <v>Open File</v>
      </c>
      <c r="N670" s="70" t="s">
        <v>2110</v>
      </c>
      <c r="O670" s="71" t="str">
        <f t="shared" si="76"/>
        <v>ACTIVE</v>
      </c>
      <c r="P670" s="66"/>
      <c r="Q670" s="66"/>
      <c r="R670" s="54"/>
      <c r="S670" s="82"/>
      <c r="T670" s="83" t="str">
        <f t="shared" si="73"/>
        <v/>
      </c>
      <c r="U670" s="10"/>
      <c r="V670" s="41">
        <f>IF(AND(Q670&lt;&gt;"",RIGHT(Q670,3)&lt;&gt;""),IF(COUNTIF($Q$6:Q670,Q670)=1,1,0),0)</f>
        <v>0</v>
      </c>
      <c r="W670" s="41" t="str">
        <f t="shared" si="74"/>
        <v>BA.MNG-SIG.2026.01-6</v>
      </c>
      <c r="X670" s="41" t="str">
        <f t="shared" si="75"/>
        <v/>
      </c>
    </row>
    <row r="671" s="32" customFormat="1" hidden="1" customHeight="1" spans="1:24">
      <c r="A671" s="34"/>
      <c r="B671" s="51">
        <v>666</v>
      </c>
      <c r="C671" s="51" t="s">
        <v>2124</v>
      </c>
      <c r="D671" s="52" t="s">
        <v>2125</v>
      </c>
      <c r="E671" s="53">
        <v>1</v>
      </c>
      <c r="F671" s="54" t="s">
        <v>29</v>
      </c>
      <c r="G671" s="54" t="s">
        <v>896</v>
      </c>
      <c r="H671" s="54" t="s">
        <v>896</v>
      </c>
      <c r="I671" s="66">
        <v>46134</v>
      </c>
      <c r="J671" s="54" t="s">
        <v>2126</v>
      </c>
      <c r="K671" s="54" t="s">
        <v>226</v>
      </c>
      <c r="L671" s="54" t="s">
        <v>2127</v>
      </c>
      <c r="M671" s="95" t="str">
        <f t="shared" si="72"/>
        <v>Open File</v>
      </c>
      <c r="N671" s="70" t="s">
        <v>2128</v>
      </c>
      <c r="O671" s="71" t="str">
        <f t="shared" si="76"/>
        <v>ACTIVE</v>
      </c>
      <c r="P671" s="66"/>
      <c r="Q671" s="66"/>
      <c r="R671" s="54"/>
      <c r="S671" s="82"/>
      <c r="T671" s="83" t="str">
        <f t="shared" si="73"/>
        <v/>
      </c>
      <c r="U671" s="10"/>
      <c r="V671" s="41">
        <f>IF(AND(Q671&lt;&gt;"",RIGHT(Q671,3)&lt;&gt;""),IF(COUNTIF($Q$6:Q671,Q671)=1,1,0),0)</f>
        <v>0</v>
      </c>
      <c r="W671" s="41" t="str">
        <f t="shared" si="74"/>
        <v>BA.INV-SIG.2026.01-1</v>
      </c>
      <c r="X671" s="41" t="str">
        <f t="shared" si="75"/>
        <v/>
      </c>
    </row>
    <row r="672" s="32" customFormat="1" hidden="1" customHeight="1" spans="1:24">
      <c r="A672" s="34"/>
      <c r="B672" s="51">
        <v>667</v>
      </c>
      <c r="C672" s="51" t="s">
        <v>2129</v>
      </c>
      <c r="D672" s="52" t="s">
        <v>1867</v>
      </c>
      <c r="E672" s="53">
        <v>1</v>
      </c>
      <c r="F672" s="54" t="s">
        <v>29</v>
      </c>
      <c r="G672" s="54" t="s">
        <v>896</v>
      </c>
      <c r="H672" s="54" t="s">
        <v>896</v>
      </c>
      <c r="I672" s="66">
        <v>46134</v>
      </c>
      <c r="J672" s="54" t="s">
        <v>2126</v>
      </c>
      <c r="K672" s="54" t="s">
        <v>1239</v>
      </c>
      <c r="L672" s="54" t="s">
        <v>2130</v>
      </c>
      <c r="M672" s="97" t="str">
        <f t="shared" si="72"/>
        <v>Open File</v>
      </c>
      <c r="N672" s="70" t="s">
        <v>2128</v>
      </c>
      <c r="O672" s="71" t="str">
        <f t="shared" si="76"/>
        <v>ACTIVE</v>
      </c>
      <c r="P672" s="66"/>
      <c r="Q672" s="66"/>
      <c r="R672" s="54"/>
      <c r="S672" s="82"/>
      <c r="T672" s="83" t="str">
        <f t="shared" si="73"/>
        <v/>
      </c>
      <c r="U672" s="10"/>
      <c r="V672" s="41">
        <f>IF(AND(Q672&lt;&gt;"",RIGHT(Q672,3)&lt;&gt;""),IF(COUNTIF($Q$6:Q672,Q672)=1,1,0),0)</f>
        <v>0</v>
      </c>
      <c r="W672" s="41" t="str">
        <f t="shared" si="74"/>
        <v>BA.INV-SIG.2026.01-2</v>
      </c>
      <c r="X672" s="41" t="str">
        <f t="shared" si="75"/>
        <v/>
      </c>
    </row>
    <row r="673" s="32" customFormat="1" hidden="1" customHeight="1" spans="1:24">
      <c r="A673" s="34"/>
      <c r="B673" s="51">
        <v>668</v>
      </c>
      <c r="C673" s="51" t="s">
        <v>2131</v>
      </c>
      <c r="D673" s="52" t="s">
        <v>2132</v>
      </c>
      <c r="E673" s="53">
        <v>1</v>
      </c>
      <c r="F673" s="54" t="s">
        <v>29</v>
      </c>
      <c r="G673" s="54" t="s">
        <v>896</v>
      </c>
      <c r="H673" s="54" t="s">
        <v>896</v>
      </c>
      <c r="I673" s="66">
        <v>46134</v>
      </c>
      <c r="J673" s="54" t="s">
        <v>2126</v>
      </c>
      <c r="K673" s="54" t="s">
        <v>1423</v>
      </c>
      <c r="L673" s="54" t="s">
        <v>2133</v>
      </c>
      <c r="M673" s="97" t="str">
        <f t="shared" si="72"/>
        <v>Open File</v>
      </c>
      <c r="N673" s="70" t="s">
        <v>2128</v>
      </c>
      <c r="O673" s="71" t="str">
        <f t="shared" si="76"/>
        <v>ACTIVE</v>
      </c>
      <c r="P673" s="66"/>
      <c r="Q673" s="66"/>
      <c r="R673" s="54"/>
      <c r="S673" s="82"/>
      <c r="T673" s="83" t="str">
        <f t="shared" si="73"/>
        <v/>
      </c>
      <c r="U673" s="10"/>
      <c r="V673" s="41">
        <f>IF(AND(Q673&lt;&gt;"",RIGHT(Q673,3)&lt;&gt;""),IF(COUNTIF($Q$6:Q673,Q673)=1,1,0),0)</f>
        <v>0</v>
      </c>
      <c r="W673" s="41" t="str">
        <f t="shared" si="74"/>
        <v>BA.INV-SIG.2026.01-3</v>
      </c>
      <c r="X673" s="41" t="str">
        <f t="shared" si="75"/>
        <v/>
      </c>
    </row>
    <row r="674" s="32" customFormat="1" hidden="1" customHeight="1" spans="1:24">
      <c r="A674" s="34"/>
      <c r="B674" s="51">
        <v>669</v>
      </c>
      <c r="C674" s="51" t="s">
        <v>2134</v>
      </c>
      <c r="D674" s="52" t="s">
        <v>1858</v>
      </c>
      <c r="E674" s="53">
        <v>1</v>
      </c>
      <c r="F674" s="54" t="s">
        <v>29</v>
      </c>
      <c r="G674" s="54" t="s">
        <v>913</v>
      </c>
      <c r="H674" s="54" t="s">
        <v>913</v>
      </c>
      <c r="I674" s="66">
        <v>46134</v>
      </c>
      <c r="J674" s="54" t="s">
        <v>2135</v>
      </c>
      <c r="K674" s="54" t="s">
        <v>226</v>
      </c>
      <c r="L674" s="54" t="s">
        <v>2136</v>
      </c>
      <c r="M674" s="95" t="str">
        <f t="shared" si="72"/>
        <v>Open File</v>
      </c>
      <c r="N674" s="70" t="s">
        <v>2137</v>
      </c>
      <c r="O674" s="71" t="str">
        <f t="shared" si="76"/>
        <v>ACTIVE</v>
      </c>
      <c r="P674" s="66"/>
      <c r="Q674" s="66"/>
      <c r="R674" s="54"/>
      <c r="S674" s="82"/>
      <c r="T674" s="83" t="str">
        <f t="shared" si="73"/>
        <v/>
      </c>
      <c r="U674" s="10"/>
      <c r="V674" s="41">
        <f>IF(AND(Q674&lt;&gt;"",RIGHT(Q674,3)&lt;&gt;""),IF(COUNTIF($Q$6:Q674,Q674)=1,1,0),0)</f>
        <v>0</v>
      </c>
      <c r="W674" s="41" t="str">
        <f t="shared" si="74"/>
        <v>BA.INV-SIG.2026.02-1</v>
      </c>
      <c r="X674" s="41" t="str">
        <f t="shared" si="75"/>
        <v/>
      </c>
    </row>
    <row r="675" s="32" customFormat="1" hidden="1" customHeight="1" spans="1:24">
      <c r="A675" s="34"/>
      <c r="B675" s="51">
        <v>670</v>
      </c>
      <c r="C675" s="51" t="s">
        <v>2138</v>
      </c>
      <c r="D675" s="52" t="s">
        <v>1883</v>
      </c>
      <c r="E675" s="53">
        <v>1</v>
      </c>
      <c r="F675" s="54" t="s">
        <v>29</v>
      </c>
      <c r="G675" s="54" t="s">
        <v>913</v>
      </c>
      <c r="H675" s="54" t="s">
        <v>913</v>
      </c>
      <c r="I675" s="66">
        <v>46134</v>
      </c>
      <c r="J675" s="54" t="s">
        <v>2135</v>
      </c>
      <c r="K675" s="54" t="s">
        <v>1239</v>
      </c>
      <c r="L675" s="54" t="s">
        <v>2139</v>
      </c>
      <c r="M675" s="97" t="str">
        <f t="shared" si="72"/>
        <v>Open File</v>
      </c>
      <c r="N675" s="70" t="s">
        <v>2137</v>
      </c>
      <c r="O675" s="71" t="str">
        <f t="shared" si="76"/>
        <v>ACTIVE</v>
      </c>
      <c r="P675" s="66"/>
      <c r="Q675" s="66"/>
      <c r="R675" s="54"/>
      <c r="S675" s="82"/>
      <c r="T675" s="83" t="str">
        <f t="shared" si="73"/>
        <v/>
      </c>
      <c r="U675" s="10"/>
      <c r="V675" s="41">
        <f>IF(AND(Q675&lt;&gt;"",RIGHT(Q675,3)&lt;&gt;""),IF(COUNTIF($Q$6:Q675,Q675)=1,1,0),0)</f>
        <v>0</v>
      </c>
      <c r="W675" s="41" t="str">
        <f t="shared" si="74"/>
        <v>BA.INV-SIG.2026.02-2</v>
      </c>
      <c r="X675" s="41" t="str">
        <f t="shared" si="75"/>
        <v/>
      </c>
    </row>
    <row r="676" s="32" customFormat="1" hidden="1" customHeight="1" spans="1:24">
      <c r="A676" s="34"/>
      <c r="B676" s="51">
        <v>671</v>
      </c>
      <c r="C676" s="51" t="s">
        <v>2140</v>
      </c>
      <c r="D676" s="52" t="s">
        <v>2141</v>
      </c>
      <c r="E676" s="53">
        <v>1</v>
      </c>
      <c r="F676" s="54" t="s">
        <v>29</v>
      </c>
      <c r="G676" s="54" t="s">
        <v>913</v>
      </c>
      <c r="H676" s="54" t="s">
        <v>913</v>
      </c>
      <c r="I676" s="66">
        <v>46134</v>
      </c>
      <c r="J676" s="54" t="s">
        <v>2135</v>
      </c>
      <c r="K676" s="54" t="s">
        <v>1423</v>
      </c>
      <c r="L676" s="54" t="s">
        <v>2142</v>
      </c>
      <c r="M676" s="97" t="str">
        <f t="shared" ref="M676:M739" si="77">IF(L676="","",HYPERLINK(_xlfn.CONCAT($L$4,L676,".jpg"),"Open File"))</f>
        <v>Open File</v>
      </c>
      <c r="N676" s="70" t="s">
        <v>2137</v>
      </c>
      <c r="O676" s="71" t="str">
        <f t="shared" si="76"/>
        <v>ACTIVE</v>
      </c>
      <c r="P676" s="66"/>
      <c r="Q676" s="66"/>
      <c r="R676" s="54"/>
      <c r="S676" s="82"/>
      <c r="T676" s="83" t="str">
        <f t="shared" ref="T676:T739" si="78">IF(S676="","",HYPERLINK(_xlfn.CONCAT($S$4,S676,".jpg"),"Open File"))</f>
        <v/>
      </c>
      <c r="U676" s="10"/>
      <c r="V676" s="41">
        <f>IF(AND(Q676&lt;&gt;"",RIGHT(Q676,3)&lt;&gt;""),IF(COUNTIF($Q$6:Q676,Q676)=1,1,0),0)</f>
        <v>0</v>
      </c>
      <c r="W676" s="41" t="str">
        <f t="shared" ref="W676:W739" si="79">IF(AND(J676&lt;&gt;"",K676&lt;&gt;""),_xlfn.CONCAT(SUBSTITUTE(J676,"/","."),"-",K676),"")</f>
        <v>BA.INV-SIG.2026.02-3</v>
      </c>
      <c r="X676" s="41" t="str">
        <f t="shared" ref="X676:X739" si="80">IF(AND(Q676&lt;&gt;"",R676&lt;&gt;""),_xlfn.CONCAT(SUBSTITUTE(Q676,"/","."),"-",R676),"")</f>
        <v/>
      </c>
    </row>
    <row r="677" s="32" customFormat="1" hidden="1" customHeight="1" spans="1:24">
      <c r="A677" s="34"/>
      <c r="B677" s="51">
        <v>672</v>
      </c>
      <c r="C677" s="51" t="s">
        <v>2143</v>
      </c>
      <c r="D677" s="52" t="s">
        <v>2144</v>
      </c>
      <c r="E677" s="53">
        <v>1</v>
      </c>
      <c r="F677" s="54" t="s">
        <v>29</v>
      </c>
      <c r="G677" s="54" t="s">
        <v>913</v>
      </c>
      <c r="H677" s="54" t="s">
        <v>913</v>
      </c>
      <c r="I677" s="66">
        <v>46134</v>
      </c>
      <c r="J677" s="54" t="s">
        <v>2135</v>
      </c>
      <c r="K677" s="54" t="s">
        <v>1427</v>
      </c>
      <c r="L677" s="54" t="s">
        <v>2145</v>
      </c>
      <c r="M677" s="97" t="str">
        <f t="shared" si="77"/>
        <v>Open File</v>
      </c>
      <c r="N677" s="70" t="s">
        <v>2137</v>
      </c>
      <c r="O677" s="71" t="str">
        <f t="shared" si="76"/>
        <v>ACTIVE</v>
      </c>
      <c r="P677" s="66"/>
      <c r="Q677" s="66"/>
      <c r="R677" s="54"/>
      <c r="S677" s="82"/>
      <c r="T677" s="83" t="str">
        <f t="shared" si="78"/>
        <v/>
      </c>
      <c r="U677" s="10"/>
      <c r="V677" s="41">
        <f>IF(AND(Q677&lt;&gt;"",RIGHT(Q677,3)&lt;&gt;""),IF(COUNTIF($Q$6:Q677,Q677)=1,1,0),0)</f>
        <v>0</v>
      </c>
      <c r="W677" s="41" t="str">
        <f t="shared" si="79"/>
        <v>BA.INV-SIG.2026.02-4</v>
      </c>
      <c r="X677" s="41" t="str">
        <f t="shared" si="80"/>
        <v/>
      </c>
    </row>
    <row r="678" s="32" customFormat="1" hidden="1" customHeight="1" spans="1:24">
      <c r="A678" s="34"/>
      <c r="B678" s="51">
        <v>673</v>
      </c>
      <c r="C678" s="51" t="s">
        <v>2146</v>
      </c>
      <c r="D678" s="52" t="s">
        <v>2147</v>
      </c>
      <c r="E678" s="53">
        <v>1</v>
      </c>
      <c r="F678" s="54" t="s">
        <v>29</v>
      </c>
      <c r="G678" s="54" t="s">
        <v>913</v>
      </c>
      <c r="H678" s="54" t="s">
        <v>913</v>
      </c>
      <c r="I678" s="66">
        <v>46134</v>
      </c>
      <c r="J678" s="54" t="s">
        <v>2135</v>
      </c>
      <c r="K678" s="54" t="s">
        <v>1431</v>
      </c>
      <c r="L678" s="54" t="s">
        <v>2148</v>
      </c>
      <c r="M678" s="97" t="str">
        <f t="shared" si="77"/>
        <v>Open File</v>
      </c>
      <c r="N678" s="70" t="s">
        <v>2137</v>
      </c>
      <c r="O678" s="71" t="str">
        <f t="shared" si="76"/>
        <v>ACTIVE</v>
      </c>
      <c r="P678" s="66"/>
      <c r="Q678" s="66"/>
      <c r="R678" s="54"/>
      <c r="S678" s="82"/>
      <c r="T678" s="83" t="str">
        <f t="shared" si="78"/>
        <v/>
      </c>
      <c r="U678" s="10"/>
      <c r="V678" s="41">
        <f>IF(AND(Q678&lt;&gt;"",RIGHT(Q678,3)&lt;&gt;""),IF(COUNTIF($Q$6:Q678,Q678)=1,1,0),0)</f>
        <v>0</v>
      </c>
      <c r="W678" s="41" t="str">
        <f t="shared" si="79"/>
        <v>BA.INV-SIG.2026.02-5</v>
      </c>
      <c r="X678" s="41" t="str">
        <f t="shared" si="80"/>
        <v/>
      </c>
    </row>
    <row r="679" s="32" customFormat="1" hidden="1" customHeight="1" spans="1:24">
      <c r="A679" s="34"/>
      <c r="B679" s="51">
        <v>674</v>
      </c>
      <c r="C679" s="51" t="s">
        <v>2149</v>
      </c>
      <c r="D679" s="52" t="s">
        <v>1858</v>
      </c>
      <c r="E679" s="53">
        <v>1</v>
      </c>
      <c r="F679" s="54" t="s">
        <v>29</v>
      </c>
      <c r="G679" s="54" t="s">
        <v>931</v>
      </c>
      <c r="H679" s="54" t="s">
        <v>931</v>
      </c>
      <c r="I679" s="66">
        <v>46134</v>
      </c>
      <c r="J679" s="54" t="s">
        <v>2150</v>
      </c>
      <c r="K679" s="54" t="s">
        <v>226</v>
      </c>
      <c r="L679" s="54" t="s">
        <v>2151</v>
      </c>
      <c r="M679" s="97" t="str">
        <f t="shared" si="77"/>
        <v>Open File</v>
      </c>
      <c r="N679" s="70" t="s">
        <v>2152</v>
      </c>
      <c r="O679" s="71" t="str">
        <f t="shared" si="76"/>
        <v>ACTIVE</v>
      </c>
      <c r="P679" s="66"/>
      <c r="Q679" s="66"/>
      <c r="R679" s="54"/>
      <c r="S679" s="82"/>
      <c r="T679" s="83" t="str">
        <f t="shared" si="78"/>
        <v/>
      </c>
      <c r="U679" s="10"/>
      <c r="V679" s="41">
        <f>IF(AND(Q679&lt;&gt;"",RIGHT(Q679,3)&lt;&gt;""),IF(COUNTIF($Q$6:Q679,Q679)=1,1,0),0)</f>
        <v>0</v>
      </c>
      <c r="W679" s="41" t="str">
        <f t="shared" si="79"/>
        <v>BA.INV-SIG.2026.03-1</v>
      </c>
      <c r="X679" s="41" t="str">
        <f t="shared" si="80"/>
        <v/>
      </c>
    </row>
    <row r="680" s="32" customFormat="1" hidden="1" customHeight="1" spans="1:24">
      <c r="A680" s="34"/>
      <c r="B680" s="51">
        <v>675</v>
      </c>
      <c r="C680" s="51" t="s">
        <v>2153</v>
      </c>
      <c r="D680" s="52" t="s">
        <v>1867</v>
      </c>
      <c r="E680" s="53">
        <v>1</v>
      </c>
      <c r="F680" s="54" t="s">
        <v>29</v>
      </c>
      <c r="G680" s="54" t="s">
        <v>931</v>
      </c>
      <c r="H680" s="54" t="s">
        <v>931</v>
      </c>
      <c r="I680" s="66">
        <v>46134</v>
      </c>
      <c r="J680" s="54" t="s">
        <v>2150</v>
      </c>
      <c r="K680" s="54" t="s">
        <v>1239</v>
      </c>
      <c r="L680" s="54" t="s">
        <v>2154</v>
      </c>
      <c r="M680" s="97" t="str">
        <f t="shared" si="77"/>
        <v>Open File</v>
      </c>
      <c r="N680" s="70" t="s">
        <v>2152</v>
      </c>
      <c r="O680" s="71" t="str">
        <f t="shared" si="76"/>
        <v>ACTIVE</v>
      </c>
      <c r="P680" s="66"/>
      <c r="Q680" s="66"/>
      <c r="R680" s="54"/>
      <c r="S680" s="82"/>
      <c r="T680" s="83" t="str">
        <f t="shared" si="78"/>
        <v/>
      </c>
      <c r="U680" s="10"/>
      <c r="V680" s="41">
        <f>IF(AND(Q680&lt;&gt;"",RIGHT(Q680,3)&lt;&gt;""),IF(COUNTIF($Q$6:Q680,Q680)=1,1,0),0)</f>
        <v>0</v>
      </c>
      <c r="W680" s="41" t="str">
        <f t="shared" si="79"/>
        <v>BA.INV-SIG.2026.03-2</v>
      </c>
      <c r="X680" s="41" t="str">
        <f t="shared" si="80"/>
        <v/>
      </c>
    </row>
    <row r="681" s="32" customFormat="1" hidden="1" customHeight="1" spans="1:24">
      <c r="A681" s="34"/>
      <c r="B681" s="51">
        <v>676</v>
      </c>
      <c r="C681" s="51" t="s">
        <v>2155</v>
      </c>
      <c r="D681" s="52" t="s">
        <v>1864</v>
      </c>
      <c r="E681" s="53">
        <v>1</v>
      </c>
      <c r="F681" s="54" t="s">
        <v>29</v>
      </c>
      <c r="G681" s="54" t="s">
        <v>931</v>
      </c>
      <c r="H681" s="54" t="s">
        <v>931</v>
      </c>
      <c r="I681" s="66">
        <v>46134</v>
      </c>
      <c r="J681" s="54" t="s">
        <v>2150</v>
      </c>
      <c r="K681" s="54" t="s">
        <v>1423</v>
      </c>
      <c r="L681" s="54" t="s">
        <v>2156</v>
      </c>
      <c r="M681" s="97" t="str">
        <f t="shared" si="77"/>
        <v>Open File</v>
      </c>
      <c r="N681" s="70" t="s">
        <v>2152</v>
      </c>
      <c r="O681" s="71" t="str">
        <f t="shared" si="76"/>
        <v>ACTIVE</v>
      </c>
      <c r="P681" s="66"/>
      <c r="Q681" s="66"/>
      <c r="R681" s="54"/>
      <c r="S681" s="82"/>
      <c r="T681" s="83" t="str">
        <f t="shared" si="78"/>
        <v/>
      </c>
      <c r="U681" s="10"/>
      <c r="V681" s="41">
        <f>IF(AND(Q681&lt;&gt;"",RIGHT(Q681,3)&lt;&gt;""),IF(COUNTIF($Q$6:Q681,Q681)=1,1,0),0)</f>
        <v>0</v>
      </c>
      <c r="W681" s="41" t="str">
        <f t="shared" si="79"/>
        <v>BA.INV-SIG.2026.03-3</v>
      </c>
      <c r="X681" s="41" t="str">
        <f t="shared" si="80"/>
        <v/>
      </c>
    </row>
    <row r="682" s="32" customFormat="1" hidden="1" customHeight="1" spans="1:24">
      <c r="A682" s="34"/>
      <c r="B682" s="51">
        <v>677</v>
      </c>
      <c r="C682" s="51" t="s">
        <v>2157</v>
      </c>
      <c r="D682" s="52" t="s">
        <v>2158</v>
      </c>
      <c r="E682" s="53">
        <v>1</v>
      </c>
      <c r="F682" s="54" t="s">
        <v>29</v>
      </c>
      <c r="G682" s="54" t="s">
        <v>931</v>
      </c>
      <c r="H682" s="54" t="s">
        <v>931</v>
      </c>
      <c r="I682" s="66">
        <v>46134</v>
      </c>
      <c r="J682" s="54" t="s">
        <v>2150</v>
      </c>
      <c r="K682" s="54" t="s">
        <v>1427</v>
      </c>
      <c r="L682" s="54" t="s">
        <v>2159</v>
      </c>
      <c r="M682" s="97" t="str">
        <f t="shared" si="77"/>
        <v>Open File</v>
      </c>
      <c r="N682" s="70" t="s">
        <v>2152</v>
      </c>
      <c r="O682" s="71" t="str">
        <f t="shared" si="76"/>
        <v>ACTIVE</v>
      </c>
      <c r="P682" s="66"/>
      <c r="Q682" s="66"/>
      <c r="R682" s="54"/>
      <c r="S682" s="82"/>
      <c r="T682" s="83" t="str">
        <f t="shared" si="78"/>
        <v/>
      </c>
      <c r="U682" s="10"/>
      <c r="V682" s="41">
        <f>IF(AND(Q682&lt;&gt;"",RIGHT(Q682,3)&lt;&gt;""),IF(COUNTIF($Q$6:Q682,Q682)=1,1,0),0)</f>
        <v>0</v>
      </c>
      <c r="W682" s="41" t="str">
        <f t="shared" si="79"/>
        <v>BA.INV-SIG.2026.03-4</v>
      </c>
      <c r="X682" s="41" t="str">
        <f t="shared" si="80"/>
        <v/>
      </c>
    </row>
    <row r="683" s="32" customFormat="1" hidden="1" customHeight="1" spans="1:24">
      <c r="A683" s="34"/>
      <c r="B683" s="51">
        <v>678</v>
      </c>
      <c r="C683" s="51" t="s">
        <v>2160</v>
      </c>
      <c r="D683" s="52" t="s">
        <v>1849</v>
      </c>
      <c r="E683" s="53">
        <v>1</v>
      </c>
      <c r="F683" s="54" t="s">
        <v>29</v>
      </c>
      <c r="G683" s="54" t="s">
        <v>931</v>
      </c>
      <c r="H683" s="54" t="s">
        <v>931</v>
      </c>
      <c r="I683" s="66">
        <v>46134</v>
      </c>
      <c r="J683" s="54" t="s">
        <v>2150</v>
      </c>
      <c r="K683" s="54" t="s">
        <v>1431</v>
      </c>
      <c r="L683" s="54" t="s">
        <v>2161</v>
      </c>
      <c r="M683" s="97" t="str">
        <f t="shared" si="77"/>
        <v>Open File</v>
      </c>
      <c r="N683" s="70" t="s">
        <v>2152</v>
      </c>
      <c r="O683" s="71" t="str">
        <f t="shared" si="76"/>
        <v>ACTIVE</v>
      </c>
      <c r="P683" s="66"/>
      <c r="Q683" s="66"/>
      <c r="R683" s="54"/>
      <c r="S683" s="82"/>
      <c r="T683" s="83" t="str">
        <f t="shared" si="78"/>
        <v/>
      </c>
      <c r="U683" s="10"/>
      <c r="V683" s="41">
        <f>IF(AND(Q683&lt;&gt;"",RIGHT(Q683,3)&lt;&gt;""),IF(COUNTIF($Q$6:Q683,Q683)=1,1,0),0)</f>
        <v>0</v>
      </c>
      <c r="W683" s="41" t="str">
        <f t="shared" si="79"/>
        <v>BA.INV-SIG.2026.03-5</v>
      </c>
      <c r="X683" s="41" t="str">
        <f t="shared" si="80"/>
        <v/>
      </c>
    </row>
    <row r="684" s="32" customFormat="1" hidden="1" customHeight="1" spans="1:24">
      <c r="A684" s="34"/>
      <c r="B684" s="51">
        <v>679</v>
      </c>
      <c r="C684" s="51" t="s">
        <v>2162</v>
      </c>
      <c r="D684" s="52" t="s">
        <v>2163</v>
      </c>
      <c r="E684" s="53">
        <v>1</v>
      </c>
      <c r="F684" s="54" t="s">
        <v>29</v>
      </c>
      <c r="G684" s="54" t="s">
        <v>931</v>
      </c>
      <c r="H684" s="54" t="s">
        <v>931</v>
      </c>
      <c r="I684" s="66">
        <v>46134</v>
      </c>
      <c r="J684" s="54" t="s">
        <v>2150</v>
      </c>
      <c r="K684" s="54" t="s">
        <v>1435</v>
      </c>
      <c r="L684" s="54" t="s">
        <v>2164</v>
      </c>
      <c r="M684" s="97" t="str">
        <f t="shared" si="77"/>
        <v>Open File</v>
      </c>
      <c r="N684" s="70" t="s">
        <v>2152</v>
      </c>
      <c r="O684" s="71" t="str">
        <f t="shared" si="76"/>
        <v>ACTIVE</v>
      </c>
      <c r="P684" s="66"/>
      <c r="Q684" s="66"/>
      <c r="R684" s="54"/>
      <c r="S684" s="82"/>
      <c r="T684" s="83" t="str">
        <f t="shared" si="78"/>
        <v/>
      </c>
      <c r="U684" s="10"/>
      <c r="V684" s="41">
        <f>IF(AND(Q684&lt;&gt;"",RIGHT(Q684,3)&lt;&gt;""),IF(COUNTIF($Q$6:Q684,Q684)=1,1,0),0)</f>
        <v>0</v>
      </c>
      <c r="W684" s="41" t="str">
        <f t="shared" si="79"/>
        <v>BA.INV-SIG.2026.03-6</v>
      </c>
      <c r="X684" s="41" t="str">
        <f t="shared" si="80"/>
        <v/>
      </c>
    </row>
    <row r="685" s="32" customFormat="1" hidden="1" customHeight="1" spans="1:24">
      <c r="A685" s="34"/>
      <c r="B685" s="51">
        <v>680</v>
      </c>
      <c r="C685" s="51" t="s">
        <v>2165</v>
      </c>
      <c r="D685" s="52" t="s">
        <v>2166</v>
      </c>
      <c r="E685" s="53">
        <v>1</v>
      </c>
      <c r="F685" s="54" t="s">
        <v>29</v>
      </c>
      <c r="G685" s="54" t="s">
        <v>931</v>
      </c>
      <c r="H685" s="54" t="s">
        <v>931</v>
      </c>
      <c r="I685" s="66">
        <v>46134</v>
      </c>
      <c r="J685" s="54" t="s">
        <v>2150</v>
      </c>
      <c r="K685" s="54" t="s">
        <v>1439</v>
      </c>
      <c r="L685" s="54" t="s">
        <v>2167</v>
      </c>
      <c r="M685" s="97" t="str">
        <f t="shared" si="77"/>
        <v>Open File</v>
      </c>
      <c r="N685" s="70" t="s">
        <v>2152</v>
      </c>
      <c r="O685" s="71" t="str">
        <f t="shared" si="76"/>
        <v>ACTIVE</v>
      </c>
      <c r="P685" s="66"/>
      <c r="Q685" s="66"/>
      <c r="R685" s="54"/>
      <c r="S685" s="82"/>
      <c r="T685" s="83" t="str">
        <f t="shared" si="78"/>
        <v/>
      </c>
      <c r="U685" s="10"/>
      <c r="V685" s="41">
        <f>IF(AND(Q685&lt;&gt;"",RIGHT(Q685,3)&lt;&gt;""),IF(COUNTIF($Q$6:Q685,Q685)=1,1,0),0)</f>
        <v>0</v>
      </c>
      <c r="W685" s="41" t="str">
        <f t="shared" si="79"/>
        <v>BA.INV-SIG.2026.03-7</v>
      </c>
      <c r="X685" s="41" t="str">
        <f t="shared" si="80"/>
        <v/>
      </c>
    </row>
    <row r="686" s="32" customFormat="1" hidden="1" customHeight="1" spans="1:24">
      <c r="A686" s="34"/>
      <c r="B686" s="51">
        <v>681</v>
      </c>
      <c r="C686" s="51" t="s">
        <v>2168</v>
      </c>
      <c r="D686" s="52" t="s">
        <v>2169</v>
      </c>
      <c r="E686" s="53">
        <v>1</v>
      </c>
      <c r="F686" s="54" t="s">
        <v>29</v>
      </c>
      <c r="G686" s="54" t="s">
        <v>1017</v>
      </c>
      <c r="H686" s="54" t="s">
        <v>1017</v>
      </c>
      <c r="I686" s="66">
        <v>46134</v>
      </c>
      <c r="J686" s="54" t="s">
        <v>2170</v>
      </c>
      <c r="K686" s="54" t="s">
        <v>226</v>
      </c>
      <c r="L686" s="54" t="s">
        <v>2171</v>
      </c>
      <c r="M686" s="97" t="str">
        <f t="shared" si="77"/>
        <v>Open File</v>
      </c>
      <c r="N686" s="70" t="s">
        <v>2172</v>
      </c>
      <c r="O686" s="71" t="str">
        <f t="shared" si="76"/>
        <v>ACTIVE</v>
      </c>
      <c r="P686" s="66"/>
      <c r="Q686" s="66"/>
      <c r="R686" s="54"/>
      <c r="S686" s="82"/>
      <c r="T686" s="83" t="str">
        <f t="shared" si="78"/>
        <v/>
      </c>
      <c r="U686" s="10"/>
      <c r="V686" s="41">
        <f>IF(AND(Q686&lt;&gt;"",RIGHT(Q686,3)&lt;&gt;""),IF(COUNTIF($Q$6:Q686,Q686)=1,1,0),0)</f>
        <v>0</v>
      </c>
      <c r="W686" s="41" t="str">
        <f t="shared" si="79"/>
        <v>BA.INV-SIG.2026.04-1</v>
      </c>
      <c r="X686" s="41" t="str">
        <f t="shared" si="80"/>
        <v/>
      </c>
    </row>
    <row r="687" s="32" customFormat="1" hidden="1" customHeight="1" spans="1:24">
      <c r="A687" s="34"/>
      <c r="B687" s="51">
        <v>682</v>
      </c>
      <c r="C687" s="51" t="s">
        <v>2173</v>
      </c>
      <c r="D687" s="52" t="s">
        <v>1867</v>
      </c>
      <c r="E687" s="53">
        <v>1</v>
      </c>
      <c r="F687" s="54" t="s">
        <v>29</v>
      </c>
      <c r="G687" s="54" t="s">
        <v>1017</v>
      </c>
      <c r="H687" s="54" t="s">
        <v>1017</v>
      </c>
      <c r="I687" s="66">
        <v>46134</v>
      </c>
      <c r="J687" s="54" t="s">
        <v>2170</v>
      </c>
      <c r="K687" s="54" t="s">
        <v>1239</v>
      </c>
      <c r="L687" s="54" t="s">
        <v>2174</v>
      </c>
      <c r="M687" s="97" t="str">
        <f t="shared" si="77"/>
        <v>Open File</v>
      </c>
      <c r="N687" s="70" t="s">
        <v>2172</v>
      </c>
      <c r="O687" s="71" t="str">
        <f t="shared" si="76"/>
        <v>ACTIVE</v>
      </c>
      <c r="P687" s="66"/>
      <c r="Q687" s="66"/>
      <c r="R687" s="54"/>
      <c r="S687" s="82"/>
      <c r="T687" s="83" t="str">
        <f t="shared" si="78"/>
        <v/>
      </c>
      <c r="U687" s="10"/>
      <c r="V687" s="41">
        <f>IF(AND(Q687&lt;&gt;"",RIGHT(Q687,3)&lt;&gt;""),IF(COUNTIF($Q$6:Q687,Q687)=1,1,0),0)</f>
        <v>0</v>
      </c>
      <c r="W687" s="41" t="str">
        <f t="shared" si="79"/>
        <v>BA.INV-SIG.2026.04-2</v>
      </c>
      <c r="X687" s="41" t="str">
        <f t="shared" si="80"/>
        <v/>
      </c>
    </row>
    <row r="688" s="32" customFormat="1" hidden="1" customHeight="1" spans="1:24">
      <c r="A688" s="34"/>
      <c r="B688" s="51">
        <v>683</v>
      </c>
      <c r="C688" s="51" t="s">
        <v>2175</v>
      </c>
      <c r="D688" s="52" t="s">
        <v>2176</v>
      </c>
      <c r="E688" s="53">
        <v>1</v>
      </c>
      <c r="F688" s="54" t="s">
        <v>29</v>
      </c>
      <c r="G688" s="54" t="s">
        <v>1017</v>
      </c>
      <c r="H688" s="54" t="s">
        <v>1017</v>
      </c>
      <c r="I688" s="66">
        <v>46134</v>
      </c>
      <c r="J688" s="54" t="s">
        <v>2170</v>
      </c>
      <c r="K688" s="54" t="s">
        <v>1423</v>
      </c>
      <c r="L688" s="54" t="s">
        <v>2177</v>
      </c>
      <c r="M688" s="97" t="str">
        <f t="shared" si="77"/>
        <v>Open File</v>
      </c>
      <c r="N688" s="70" t="s">
        <v>2172</v>
      </c>
      <c r="O688" s="71" t="str">
        <f t="shared" si="76"/>
        <v>ACTIVE</v>
      </c>
      <c r="P688" s="66"/>
      <c r="Q688" s="66"/>
      <c r="R688" s="54"/>
      <c r="S688" s="82"/>
      <c r="T688" s="83" t="str">
        <f t="shared" si="78"/>
        <v/>
      </c>
      <c r="U688" s="10"/>
      <c r="V688" s="41">
        <f>IF(AND(Q688&lt;&gt;"",RIGHT(Q688,3)&lt;&gt;""),IF(COUNTIF($Q$6:Q688,Q688)=1,1,0),0)</f>
        <v>0</v>
      </c>
      <c r="W688" s="41" t="str">
        <f t="shared" si="79"/>
        <v>BA.INV-SIG.2026.04-3</v>
      </c>
      <c r="X688" s="41" t="str">
        <f t="shared" si="80"/>
        <v/>
      </c>
    </row>
    <row r="689" s="32" customFormat="1" hidden="1" customHeight="1" spans="1:24">
      <c r="A689" s="34"/>
      <c r="B689" s="51">
        <v>684</v>
      </c>
      <c r="C689" s="51" t="s">
        <v>2178</v>
      </c>
      <c r="D689" s="52" t="s">
        <v>2163</v>
      </c>
      <c r="E689" s="53">
        <v>1</v>
      </c>
      <c r="F689" s="54" t="s">
        <v>29</v>
      </c>
      <c r="G689" s="54" t="s">
        <v>1017</v>
      </c>
      <c r="H689" s="54" t="s">
        <v>1017</v>
      </c>
      <c r="I689" s="66">
        <v>46134</v>
      </c>
      <c r="J689" s="54" t="s">
        <v>2170</v>
      </c>
      <c r="K689" s="54" t="s">
        <v>1427</v>
      </c>
      <c r="L689" s="54" t="s">
        <v>2179</v>
      </c>
      <c r="M689" s="97" t="str">
        <f t="shared" si="77"/>
        <v>Open File</v>
      </c>
      <c r="N689" s="70" t="s">
        <v>2172</v>
      </c>
      <c r="O689" s="71" t="str">
        <f t="shared" ref="O689:O752" si="81">IF(AND(Q689&lt;&gt;"",T689&lt;&gt;""),"PASSIVE",IF(AND(J689&lt;&gt;"",M689&lt;&gt;""),"ACTIVE",""))</f>
        <v>ACTIVE</v>
      </c>
      <c r="P689" s="66"/>
      <c r="Q689" s="66"/>
      <c r="R689" s="54"/>
      <c r="S689" s="82"/>
      <c r="T689" s="83" t="str">
        <f t="shared" si="78"/>
        <v/>
      </c>
      <c r="U689" s="10"/>
      <c r="V689" s="41">
        <f>IF(AND(Q689&lt;&gt;"",RIGHT(Q689,3)&lt;&gt;""),IF(COUNTIF($Q$6:Q689,Q689)=1,1,0),0)</f>
        <v>0</v>
      </c>
      <c r="W689" s="41" t="str">
        <f t="shared" si="79"/>
        <v>BA.INV-SIG.2026.04-4</v>
      </c>
      <c r="X689" s="41" t="str">
        <f t="shared" si="80"/>
        <v/>
      </c>
    </row>
    <row r="690" s="32" customFormat="1" hidden="1" customHeight="1" spans="1:24">
      <c r="A690" s="34"/>
      <c r="B690" s="51">
        <v>685</v>
      </c>
      <c r="C690" s="51" t="s">
        <v>2180</v>
      </c>
      <c r="D690" s="52" t="s">
        <v>2181</v>
      </c>
      <c r="E690" s="53">
        <v>1</v>
      </c>
      <c r="F690" s="54" t="s">
        <v>29</v>
      </c>
      <c r="G690" s="54" t="s">
        <v>2182</v>
      </c>
      <c r="H690" s="54" t="s">
        <v>2182</v>
      </c>
      <c r="I690" s="66">
        <v>46134</v>
      </c>
      <c r="J690" s="54" t="s">
        <v>2183</v>
      </c>
      <c r="K690" s="54" t="s">
        <v>226</v>
      </c>
      <c r="L690" s="54" t="s">
        <v>2184</v>
      </c>
      <c r="M690" s="95" t="str">
        <f t="shared" si="77"/>
        <v>Open File</v>
      </c>
      <c r="N690" s="70" t="s">
        <v>2185</v>
      </c>
      <c r="O690" s="71" t="str">
        <f t="shared" si="81"/>
        <v>ACTIVE</v>
      </c>
      <c r="P690" s="66"/>
      <c r="Q690" s="66"/>
      <c r="R690" s="54"/>
      <c r="S690" s="82"/>
      <c r="T690" s="83" t="str">
        <f t="shared" si="78"/>
        <v/>
      </c>
      <c r="U690" s="10"/>
      <c r="V690" s="41">
        <f>IF(AND(Q690&lt;&gt;"",RIGHT(Q690,3)&lt;&gt;""),IF(COUNTIF($Q$6:Q690,Q690)=1,1,0),0)</f>
        <v>0</v>
      </c>
      <c r="W690" s="41" t="str">
        <f t="shared" si="79"/>
        <v>BA.INV-SIG.2026.05-1</v>
      </c>
      <c r="X690" s="41" t="str">
        <f t="shared" si="80"/>
        <v/>
      </c>
    </row>
    <row r="691" s="32" customFormat="1" hidden="1" customHeight="1" spans="1:24">
      <c r="A691" s="34"/>
      <c r="B691" s="51">
        <v>686</v>
      </c>
      <c r="C691" s="51" t="s">
        <v>2186</v>
      </c>
      <c r="D691" s="52" t="s">
        <v>1883</v>
      </c>
      <c r="E691" s="53">
        <v>1</v>
      </c>
      <c r="F691" s="54" t="s">
        <v>29</v>
      </c>
      <c r="G691" s="54" t="s">
        <v>2182</v>
      </c>
      <c r="H691" s="54" t="s">
        <v>2182</v>
      </c>
      <c r="I691" s="66">
        <v>46134</v>
      </c>
      <c r="J691" s="54" t="s">
        <v>2183</v>
      </c>
      <c r="K691" s="54" t="s">
        <v>1239</v>
      </c>
      <c r="L691" s="54" t="s">
        <v>2187</v>
      </c>
      <c r="M691" s="97" t="str">
        <f t="shared" si="77"/>
        <v>Open File</v>
      </c>
      <c r="N691" s="70" t="s">
        <v>2185</v>
      </c>
      <c r="O691" s="71" t="str">
        <f t="shared" si="81"/>
        <v>ACTIVE</v>
      </c>
      <c r="P691" s="66"/>
      <c r="Q691" s="66"/>
      <c r="R691" s="54"/>
      <c r="S691" s="82"/>
      <c r="T691" s="83" t="str">
        <f t="shared" si="78"/>
        <v/>
      </c>
      <c r="U691" s="10"/>
      <c r="V691" s="41">
        <f>IF(AND(Q691&lt;&gt;"",RIGHT(Q691,3)&lt;&gt;""),IF(COUNTIF($Q$6:Q691,Q691)=1,1,0),0)</f>
        <v>0</v>
      </c>
      <c r="W691" s="41" t="str">
        <f t="shared" si="79"/>
        <v>BA.INV-SIG.2026.05-2</v>
      </c>
      <c r="X691" s="41" t="str">
        <f t="shared" si="80"/>
        <v/>
      </c>
    </row>
    <row r="692" s="32" customFormat="1" hidden="1" customHeight="1" spans="1:24">
      <c r="A692" s="34"/>
      <c r="B692" s="51">
        <v>687</v>
      </c>
      <c r="C692" s="51" t="s">
        <v>2188</v>
      </c>
      <c r="D692" s="52" t="s">
        <v>2141</v>
      </c>
      <c r="E692" s="53">
        <v>1</v>
      </c>
      <c r="F692" s="54" t="s">
        <v>29</v>
      </c>
      <c r="G692" s="54" t="s">
        <v>2182</v>
      </c>
      <c r="H692" s="54" t="s">
        <v>2182</v>
      </c>
      <c r="I692" s="66">
        <v>46134</v>
      </c>
      <c r="J692" s="54" t="s">
        <v>2183</v>
      </c>
      <c r="K692" s="54" t="s">
        <v>1423</v>
      </c>
      <c r="L692" s="54" t="s">
        <v>2189</v>
      </c>
      <c r="M692" s="97" t="str">
        <f t="shared" si="77"/>
        <v>Open File</v>
      </c>
      <c r="N692" s="70" t="s">
        <v>2185</v>
      </c>
      <c r="O692" s="71" t="str">
        <f t="shared" si="81"/>
        <v>ACTIVE</v>
      </c>
      <c r="P692" s="66"/>
      <c r="Q692" s="66"/>
      <c r="R692" s="54"/>
      <c r="S692" s="82"/>
      <c r="T692" s="83" t="str">
        <f t="shared" si="78"/>
        <v/>
      </c>
      <c r="U692" s="10"/>
      <c r="V692" s="41">
        <f>IF(AND(Q692&lt;&gt;"",RIGHT(Q692,3)&lt;&gt;""),IF(COUNTIF($Q$6:Q692,Q692)=1,1,0),0)</f>
        <v>0</v>
      </c>
      <c r="W692" s="41" t="str">
        <f t="shared" si="79"/>
        <v>BA.INV-SIG.2026.05-3</v>
      </c>
      <c r="X692" s="41" t="str">
        <f t="shared" si="80"/>
        <v/>
      </c>
    </row>
    <row r="693" s="32" customFormat="1" hidden="1" customHeight="1" spans="1:24">
      <c r="A693" s="34"/>
      <c r="B693" s="51">
        <v>688</v>
      </c>
      <c r="C693" s="51" t="s">
        <v>2190</v>
      </c>
      <c r="D693" s="52" t="s">
        <v>2191</v>
      </c>
      <c r="E693" s="53">
        <v>1</v>
      </c>
      <c r="F693" s="54" t="s">
        <v>29</v>
      </c>
      <c r="G693" s="54" t="s">
        <v>2182</v>
      </c>
      <c r="H693" s="54" t="s">
        <v>2182</v>
      </c>
      <c r="I693" s="66">
        <v>46134</v>
      </c>
      <c r="J693" s="54" t="s">
        <v>2183</v>
      </c>
      <c r="K693" s="54" t="s">
        <v>1427</v>
      </c>
      <c r="L693" s="54" t="s">
        <v>2192</v>
      </c>
      <c r="M693" s="97" t="str">
        <f t="shared" si="77"/>
        <v>Open File</v>
      </c>
      <c r="N693" s="70" t="s">
        <v>2185</v>
      </c>
      <c r="O693" s="71" t="str">
        <f t="shared" si="81"/>
        <v>ACTIVE</v>
      </c>
      <c r="P693" s="66"/>
      <c r="Q693" s="66"/>
      <c r="R693" s="54"/>
      <c r="S693" s="82"/>
      <c r="T693" s="83" t="str">
        <f t="shared" si="78"/>
        <v/>
      </c>
      <c r="U693" s="10"/>
      <c r="V693" s="41">
        <f>IF(AND(Q693&lt;&gt;"",RIGHT(Q693,3)&lt;&gt;""),IF(COUNTIF($Q$6:Q693,Q693)=1,1,0),0)</f>
        <v>0</v>
      </c>
      <c r="W693" s="41" t="str">
        <f t="shared" si="79"/>
        <v>BA.INV-SIG.2026.05-4</v>
      </c>
      <c r="X693" s="41" t="str">
        <f t="shared" si="80"/>
        <v/>
      </c>
    </row>
    <row r="694" s="32" customFormat="1" hidden="1" customHeight="1" spans="1:24">
      <c r="A694" s="34"/>
      <c r="B694" s="51">
        <v>689</v>
      </c>
      <c r="C694" s="51" t="s">
        <v>2193</v>
      </c>
      <c r="D694" s="52" t="s">
        <v>2194</v>
      </c>
      <c r="E694" s="53">
        <v>1</v>
      </c>
      <c r="F694" s="54" t="s">
        <v>29</v>
      </c>
      <c r="G694" s="54" t="s">
        <v>2195</v>
      </c>
      <c r="H694" s="54" t="s">
        <v>2195</v>
      </c>
      <c r="I694" s="66">
        <v>46157</v>
      </c>
      <c r="J694" s="54" t="s">
        <v>2196</v>
      </c>
      <c r="K694" s="54" t="s">
        <v>226</v>
      </c>
      <c r="L694" s="54" t="s">
        <v>2197</v>
      </c>
      <c r="M694" s="97" t="str">
        <f t="shared" si="77"/>
        <v>Open File</v>
      </c>
      <c r="N694" s="70" t="s">
        <v>2198</v>
      </c>
      <c r="O694" s="71" t="str">
        <f t="shared" si="81"/>
        <v>ACTIVE</v>
      </c>
      <c r="P694" s="66"/>
      <c r="Q694" s="66"/>
      <c r="R694" s="54"/>
      <c r="S694" s="82"/>
      <c r="T694" s="83" t="str">
        <f t="shared" si="78"/>
        <v/>
      </c>
      <c r="U694" s="10"/>
      <c r="V694" s="41">
        <f>IF(AND(Q694&lt;&gt;"",RIGHT(Q694,3)&lt;&gt;""),IF(COUNTIF($Q$6:Q694,Q694)=1,1,0),0)</f>
        <v>0</v>
      </c>
      <c r="W694" s="41" t="str">
        <f t="shared" si="79"/>
        <v>BA.IT-SIG.2026.01-1</v>
      </c>
      <c r="X694" s="41" t="str">
        <f t="shared" si="80"/>
        <v/>
      </c>
    </row>
    <row r="695" s="32" customFormat="1" hidden="1" customHeight="1" spans="1:24">
      <c r="A695" s="34"/>
      <c r="B695" s="51">
        <v>690</v>
      </c>
      <c r="C695" s="51" t="s">
        <v>2199</v>
      </c>
      <c r="D695" s="52" t="s">
        <v>2141</v>
      </c>
      <c r="E695" s="53">
        <v>1</v>
      </c>
      <c r="F695" s="54" t="s">
        <v>29</v>
      </c>
      <c r="G695" s="54" t="s">
        <v>2195</v>
      </c>
      <c r="H695" s="54" t="s">
        <v>2195</v>
      </c>
      <c r="I695" s="66">
        <v>46157</v>
      </c>
      <c r="J695" s="54" t="s">
        <v>2196</v>
      </c>
      <c r="K695" s="54" t="s">
        <v>1239</v>
      </c>
      <c r="L695" s="54" t="s">
        <v>2200</v>
      </c>
      <c r="M695" s="97" t="str">
        <f t="shared" si="77"/>
        <v>Open File</v>
      </c>
      <c r="N695" s="70" t="s">
        <v>2198</v>
      </c>
      <c r="O695" s="71" t="str">
        <f t="shared" si="81"/>
        <v>ACTIVE</v>
      </c>
      <c r="P695" s="66">
        <v>46224</v>
      </c>
      <c r="Q695" s="66"/>
      <c r="R695" s="54"/>
      <c r="S695" s="82"/>
      <c r="T695" s="83" t="str">
        <f t="shared" si="78"/>
        <v/>
      </c>
      <c r="U695" s="10"/>
      <c r="V695" s="41">
        <f>IF(AND(Q695&lt;&gt;"",RIGHT(Q695,3)&lt;&gt;""),IF(COUNTIF($Q$6:Q695,Q695)=1,1,0),0)</f>
        <v>0</v>
      </c>
      <c r="W695" s="41" t="str">
        <f t="shared" si="79"/>
        <v>BA.IT-SIG.2026.01-2</v>
      </c>
      <c r="X695" s="41" t="str">
        <f t="shared" si="80"/>
        <v/>
      </c>
    </row>
    <row r="696" s="32" customFormat="1" hidden="1" customHeight="1" spans="1:24">
      <c r="A696" s="34"/>
      <c r="B696" s="51">
        <v>691</v>
      </c>
      <c r="C696" s="51" t="s">
        <v>2201</v>
      </c>
      <c r="D696" s="52" t="s">
        <v>1993</v>
      </c>
      <c r="E696" s="53">
        <v>1</v>
      </c>
      <c r="F696" s="54" t="s">
        <v>29</v>
      </c>
      <c r="G696" s="54" t="s">
        <v>2195</v>
      </c>
      <c r="H696" s="54" t="s">
        <v>2195</v>
      </c>
      <c r="I696" s="66">
        <v>46157</v>
      </c>
      <c r="J696" s="54" t="s">
        <v>2196</v>
      </c>
      <c r="K696" s="54" t="s">
        <v>1423</v>
      </c>
      <c r="L696" s="54" t="s">
        <v>2202</v>
      </c>
      <c r="M696" s="97" t="str">
        <f t="shared" si="77"/>
        <v>Open File</v>
      </c>
      <c r="N696" s="70" t="s">
        <v>2198</v>
      </c>
      <c r="O696" s="71" t="str">
        <f t="shared" si="81"/>
        <v>ACTIVE</v>
      </c>
      <c r="P696" s="66"/>
      <c r="Q696" s="66"/>
      <c r="R696" s="54"/>
      <c r="S696" s="82"/>
      <c r="T696" s="83" t="str">
        <f t="shared" si="78"/>
        <v/>
      </c>
      <c r="U696" s="10"/>
      <c r="V696" s="41">
        <f>IF(AND(Q696&lt;&gt;"",RIGHT(Q696,3)&lt;&gt;""),IF(COUNTIF($Q$6:Q696,Q696)=1,1,0),0)</f>
        <v>0</v>
      </c>
      <c r="W696" s="41" t="str">
        <f t="shared" si="79"/>
        <v>BA.IT-SIG.2026.01-3</v>
      </c>
      <c r="X696" s="41" t="str">
        <f t="shared" si="80"/>
        <v/>
      </c>
    </row>
    <row r="697" s="32" customFormat="1" hidden="1" customHeight="1" spans="1:24">
      <c r="A697" s="34"/>
      <c r="B697" s="51">
        <v>692</v>
      </c>
      <c r="C697" s="51" t="s">
        <v>2203</v>
      </c>
      <c r="D697" s="52" t="s">
        <v>2204</v>
      </c>
      <c r="E697" s="53">
        <v>1</v>
      </c>
      <c r="F697" s="54" t="s">
        <v>29</v>
      </c>
      <c r="G697" s="54" t="s">
        <v>2195</v>
      </c>
      <c r="H697" s="54" t="s">
        <v>2195</v>
      </c>
      <c r="I697" s="66">
        <v>46157</v>
      </c>
      <c r="J697" s="54" t="s">
        <v>2196</v>
      </c>
      <c r="K697" s="54" t="s">
        <v>1427</v>
      </c>
      <c r="L697" s="54" t="s">
        <v>2205</v>
      </c>
      <c r="M697" s="95" t="str">
        <f t="shared" si="77"/>
        <v>Open File</v>
      </c>
      <c r="N697" s="70" t="s">
        <v>2198</v>
      </c>
      <c r="O697" s="71" t="str">
        <f t="shared" si="81"/>
        <v>ACTIVE</v>
      </c>
      <c r="P697" s="66"/>
      <c r="Q697" s="66"/>
      <c r="R697" s="54"/>
      <c r="S697" s="82"/>
      <c r="T697" s="83" t="str">
        <f t="shared" si="78"/>
        <v/>
      </c>
      <c r="U697" s="10"/>
      <c r="V697" s="41">
        <f>IF(AND(Q697&lt;&gt;"",RIGHT(Q697,3)&lt;&gt;""),IF(COUNTIF($Q$6:Q697,Q697)=1,1,0),0)</f>
        <v>0</v>
      </c>
      <c r="W697" s="41" t="str">
        <f t="shared" si="79"/>
        <v>BA.IT-SIG.2026.01-4</v>
      </c>
      <c r="X697" s="41" t="str">
        <f t="shared" si="80"/>
        <v/>
      </c>
    </row>
    <row r="698" s="32" customFormat="1" hidden="1" customHeight="1" spans="1:24">
      <c r="A698" s="34"/>
      <c r="B698" s="51">
        <v>693</v>
      </c>
      <c r="C698" s="51" t="s">
        <v>2206</v>
      </c>
      <c r="D698" s="52" t="s">
        <v>2194</v>
      </c>
      <c r="E698" s="53">
        <v>1</v>
      </c>
      <c r="F698" s="54" t="s">
        <v>29</v>
      </c>
      <c r="G698" s="54" t="s">
        <v>2207</v>
      </c>
      <c r="H698" s="54" t="s">
        <v>2207</v>
      </c>
      <c r="I698" s="66">
        <v>46157</v>
      </c>
      <c r="J698" s="54" t="s">
        <v>2208</v>
      </c>
      <c r="K698" s="54" t="s">
        <v>226</v>
      </c>
      <c r="L698" s="54" t="s">
        <v>2209</v>
      </c>
      <c r="M698" s="95" t="str">
        <f t="shared" si="77"/>
        <v>Open File</v>
      </c>
      <c r="N698" s="70" t="s">
        <v>2210</v>
      </c>
      <c r="O698" s="71" t="str">
        <f t="shared" si="81"/>
        <v>ACTIVE</v>
      </c>
      <c r="P698" s="66"/>
      <c r="Q698" s="66"/>
      <c r="R698" s="54"/>
      <c r="S698" s="82"/>
      <c r="T698" s="83" t="str">
        <f t="shared" si="78"/>
        <v/>
      </c>
      <c r="U698" s="10"/>
      <c r="V698" s="41">
        <f>IF(AND(Q698&lt;&gt;"",RIGHT(Q698,3)&lt;&gt;""),IF(COUNTIF($Q$6:Q698,Q698)=1,1,0),0)</f>
        <v>0</v>
      </c>
      <c r="W698" s="41" t="str">
        <f t="shared" si="79"/>
        <v>BA.IT-SIG.2026.02-1</v>
      </c>
      <c r="X698" s="41" t="str">
        <f t="shared" si="80"/>
        <v/>
      </c>
    </row>
    <row r="699" s="32" customFormat="1" hidden="1" customHeight="1" spans="1:24">
      <c r="A699" s="34"/>
      <c r="B699" s="51">
        <v>694</v>
      </c>
      <c r="C699" s="51" t="s">
        <v>2211</v>
      </c>
      <c r="D699" s="52" t="s">
        <v>2141</v>
      </c>
      <c r="E699" s="53">
        <v>1</v>
      </c>
      <c r="F699" s="54" t="s">
        <v>29</v>
      </c>
      <c r="G699" s="54" t="s">
        <v>2207</v>
      </c>
      <c r="H699" s="54" t="s">
        <v>2207</v>
      </c>
      <c r="I699" s="66">
        <v>46157</v>
      </c>
      <c r="J699" s="54" t="s">
        <v>2208</v>
      </c>
      <c r="K699" s="54" t="s">
        <v>1239</v>
      </c>
      <c r="L699" s="54" t="s">
        <v>2212</v>
      </c>
      <c r="M699" s="97" t="str">
        <f t="shared" si="77"/>
        <v>Open File</v>
      </c>
      <c r="N699" s="70" t="s">
        <v>2210</v>
      </c>
      <c r="O699" s="71" t="str">
        <f t="shared" si="81"/>
        <v>ACTIVE</v>
      </c>
      <c r="P699" s="66"/>
      <c r="Q699" s="66"/>
      <c r="R699" s="54"/>
      <c r="S699" s="82"/>
      <c r="T699" s="83" t="str">
        <f t="shared" si="78"/>
        <v/>
      </c>
      <c r="U699" s="10"/>
      <c r="V699" s="41">
        <f>IF(AND(Q699&lt;&gt;"",RIGHT(Q699,3)&lt;&gt;""),IF(COUNTIF($Q$6:Q699,Q699)=1,1,0),0)</f>
        <v>0</v>
      </c>
      <c r="W699" s="41" t="str">
        <f t="shared" si="79"/>
        <v>BA.IT-SIG.2026.02-2</v>
      </c>
      <c r="X699" s="41" t="str">
        <f t="shared" si="80"/>
        <v/>
      </c>
    </row>
    <row r="700" s="32" customFormat="1" hidden="1" customHeight="1" spans="1:24">
      <c r="A700" s="34"/>
      <c r="B700" s="51">
        <v>695</v>
      </c>
      <c r="C700" s="51" t="s">
        <v>2213</v>
      </c>
      <c r="D700" s="52" t="s">
        <v>1993</v>
      </c>
      <c r="E700" s="53">
        <v>1</v>
      </c>
      <c r="F700" s="54" t="s">
        <v>29</v>
      </c>
      <c r="G700" s="54" t="s">
        <v>2207</v>
      </c>
      <c r="H700" s="54" t="s">
        <v>2207</v>
      </c>
      <c r="I700" s="66">
        <v>46157</v>
      </c>
      <c r="J700" s="54" t="s">
        <v>2208</v>
      </c>
      <c r="K700" s="54" t="s">
        <v>1423</v>
      </c>
      <c r="L700" s="54" t="s">
        <v>2214</v>
      </c>
      <c r="M700" s="97" t="str">
        <f t="shared" si="77"/>
        <v>Open File</v>
      </c>
      <c r="N700" s="70" t="s">
        <v>2210</v>
      </c>
      <c r="O700" s="71" t="str">
        <f t="shared" si="81"/>
        <v>ACTIVE</v>
      </c>
      <c r="P700" s="66"/>
      <c r="Q700" s="66"/>
      <c r="R700" s="54"/>
      <c r="S700" s="82"/>
      <c r="T700" s="83" t="str">
        <f t="shared" si="78"/>
        <v/>
      </c>
      <c r="U700" s="10"/>
      <c r="V700" s="41">
        <f>IF(AND(Q700&lt;&gt;"",RIGHT(Q700,3)&lt;&gt;""),IF(COUNTIF($Q$6:Q700,Q700)=1,1,0),0)</f>
        <v>0</v>
      </c>
      <c r="W700" s="41" t="str">
        <f t="shared" si="79"/>
        <v>BA.IT-SIG.2026.02-3</v>
      </c>
      <c r="X700" s="41" t="str">
        <f t="shared" si="80"/>
        <v/>
      </c>
    </row>
    <row r="701" s="32" customFormat="1" hidden="1" customHeight="1" spans="1:24">
      <c r="A701" s="34"/>
      <c r="B701" s="51">
        <v>696</v>
      </c>
      <c r="C701" s="51" t="s">
        <v>2215</v>
      </c>
      <c r="D701" s="52" t="s">
        <v>2216</v>
      </c>
      <c r="E701" s="53">
        <v>1</v>
      </c>
      <c r="F701" s="54" t="s">
        <v>29</v>
      </c>
      <c r="G701" s="54" t="s">
        <v>2207</v>
      </c>
      <c r="H701" s="54" t="s">
        <v>2207</v>
      </c>
      <c r="I701" s="66">
        <v>46157</v>
      </c>
      <c r="J701" s="54" t="s">
        <v>2208</v>
      </c>
      <c r="K701" s="54" t="s">
        <v>1427</v>
      </c>
      <c r="L701" s="54" t="s">
        <v>2217</v>
      </c>
      <c r="M701" s="97" t="str">
        <f t="shared" si="77"/>
        <v>Open File</v>
      </c>
      <c r="N701" s="70" t="s">
        <v>2210</v>
      </c>
      <c r="O701" s="71" t="str">
        <f t="shared" si="81"/>
        <v>ACTIVE</v>
      </c>
      <c r="P701" s="66"/>
      <c r="Q701" s="66"/>
      <c r="R701" s="54"/>
      <c r="S701" s="82"/>
      <c r="T701" s="83" t="str">
        <f t="shared" si="78"/>
        <v/>
      </c>
      <c r="U701" s="10"/>
      <c r="V701" s="41">
        <f>IF(AND(Q701&lt;&gt;"",RIGHT(Q701,3)&lt;&gt;""),IF(COUNTIF($Q$6:Q701,Q701)=1,1,0),0)</f>
        <v>0</v>
      </c>
      <c r="W701" s="41" t="str">
        <f t="shared" si="79"/>
        <v>BA.IT-SIG.2026.02-4</v>
      </c>
      <c r="X701" s="41" t="str">
        <f t="shared" si="80"/>
        <v/>
      </c>
    </row>
    <row r="702" s="32" customFormat="1" hidden="1" customHeight="1" spans="1:24">
      <c r="A702" s="34"/>
      <c r="B702" s="51">
        <v>697</v>
      </c>
      <c r="C702" s="51" t="s">
        <v>2218</v>
      </c>
      <c r="D702" s="52" t="s">
        <v>2194</v>
      </c>
      <c r="E702" s="53">
        <v>1</v>
      </c>
      <c r="F702" s="54" t="s">
        <v>29</v>
      </c>
      <c r="G702" s="54" t="s">
        <v>2219</v>
      </c>
      <c r="H702" s="54" t="s">
        <v>2219</v>
      </c>
      <c r="I702" s="66">
        <v>46162</v>
      </c>
      <c r="J702" s="54" t="s">
        <v>2220</v>
      </c>
      <c r="K702" s="54" t="s">
        <v>226</v>
      </c>
      <c r="L702" s="54" t="s">
        <v>2221</v>
      </c>
      <c r="M702" s="97" t="str">
        <f t="shared" si="77"/>
        <v>Open File</v>
      </c>
      <c r="N702" s="70" t="s">
        <v>2222</v>
      </c>
      <c r="O702" s="71" t="str">
        <f t="shared" si="81"/>
        <v>ACTIVE</v>
      </c>
      <c r="P702" s="66"/>
      <c r="Q702" s="66"/>
      <c r="R702" s="54"/>
      <c r="S702" s="82"/>
      <c r="T702" s="83" t="str">
        <f t="shared" si="78"/>
        <v/>
      </c>
      <c r="U702" s="10"/>
      <c r="V702" s="41">
        <f>IF(AND(Q702&lt;&gt;"",RIGHT(Q702,3)&lt;&gt;""),IF(COUNTIF($Q$6:Q702,Q702)=1,1,0),0)</f>
        <v>0</v>
      </c>
      <c r="W702" s="41" t="str">
        <f t="shared" si="79"/>
        <v>BA.SAC-SIG.2026.01-1</v>
      </c>
      <c r="X702" s="41" t="str">
        <f t="shared" si="80"/>
        <v/>
      </c>
    </row>
    <row r="703" s="32" customFormat="1" hidden="1" customHeight="1" spans="1:24">
      <c r="A703" s="34"/>
      <c r="B703" s="51">
        <v>698</v>
      </c>
      <c r="C703" s="51" t="s">
        <v>2223</v>
      </c>
      <c r="D703" s="52" t="s">
        <v>1864</v>
      </c>
      <c r="E703" s="53">
        <v>1</v>
      </c>
      <c r="F703" s="54" t="s">
        <v>29</v>
      </c>
      <c r="G703" s="54" t="s">
        <v>2219</v>
      </c>
      <c r="H703" s="54" t="s">
        <v>2219</v>
      </c>
      <c r="I703" s="66">
        <v>46162</v>
      </c>
      <c r="J703" s="54" t="s">
        <v>2220</v>
      </c>
      <c r="K703" s="54" t="s">
        <v>1239</v>
      </c>
      <c r="L703" s="54" t="s">
        <v>2224</v>
      </c>
      <c r="M703" s="97" t="str">
        <f t="shared" si="77"/>
        <v>Open File</v>
      </c>
      <c r="N703" s="70" t="s">
        <v>2222</v>
      </c>
      <c r="O703" s="71" t="str">
        <f t="shared" si="81"/>
        <v>ACTIVE</v>
      </c>
      <c r="P703" s="66"/>
      <c r="Q703" s="66"/>
      <c r="R703" s="54"/>
      <c r="S703" s="82"/>
      <c r="T703" s="83" t="str">
        <f t="shared" si="78"/>
        <v/>
      </c>
      <c r="U703" s="10"/>
      <c r="V703" s="41">
        <f>IF(AND(Q703&lt;&gt;"",RIGHT(Q703,3)&lt;&gt;""),IF(COUNTIF($Q$6:Q703,Q703)=1,1,0),0)</f>
        <v>0</v>
      </c>
      <c r="W703" s="41" t="str">
        <f t="shared" si="79"/>
        <v>BA.SAC-SIG.2026.01-2</v>
      </c>
      <c r="X703" s="41" t="str">
        <f t="shared" si="80"/>
        <v/>
      </c>
    </row>
    <row r="704" s="32" customFormat="1" hidden="1" customHeight="1" spans="1:24">
      <c r="A704" s="34"/>
      <c r="B704" s="51">
        <v>699</v>
      </c>
      <c r="C704" s="51" t="s">
        <v>2225</v>
      </c>
      <c r="D704" s="52" t="s">
        <v>1867</v>
      </c>
      <c r="E704" s="53">
        <v>1</v>
      </c>
      <c r="F704" s="54" t="s">
        <v>29</v>
      </c>
      <c r="G704" s="54" t="s">
        <v>2219</v>
      </c>
      <c r="H704" s="54" t="s">
        <v>2219</v>
      </c>
      <c r="I704" s="66">
        <v>46162</v>
      </c>
      <c r="J704" s="54" t="s">
        <v>2220</v>
      </c>
      <c r="K704" s="54" t="s">
        <v>1423</v>
      </c>
      <c r="L704" s="54" t="s">
        <v>2226</v>
      </c>
      <c r="M704" s="97" t="str">
        <f t="shared" si="77"/>
        <v>Open File</v>
      </c>
      <c r="N704" s="70" t="s">
        <v>2222</v>
      </c>
      <c r="O704" s="71" t="str">
        <f t="shared" si="81"/>
        <v>ACTIVE</v>
      </c>
      <c r="P704" s="66"/>
      <c r="Q704" s="66"/>
      <c r="R704" s="54"/>
      <c r="S704" s="82"/>
      <c r="T704" s="83" t="str">
        <f t="shared" si="78"/>
        <v/>
      </c>
      <c r="U704" s="10"/>
      <c r="V704" s="41">
        <f>IF(AND(Q704&lt;&gt;"",RIGHT(Q704,3)&lt;&gt;""),IF(COUNTIF($Q$6:Q704,Q704)=1,1,0),0)</f>
        <v>0</v>
      </c>
      <c r="W704" s="41" t="str">
        <f t="shared" si="79"/>
        <v>BA.SAC-SIG.2026.01-3</v>
      </c>
      <c r="X704" s="41" t="str">
        <f t="shared" si="80"/>
        <v/>
      </c>
    </row>
    <row r="705" s="32" customFormat="1" hidden="1" customHeight="1" spans="1:24">
      <c r="A705" s="34"/>
      <c r="B705" s="51">
        <v>700</v>
      </c>
      <c r="C705" s="51" t="s">
        <v>2227</v>
      </c>
      <c r="D705" s="52" t="s">
        <v>2228</v>
      </c>
      <c r="E705" s="53">
        <v>1</v>
      </c>
      <c r="F705" s="54" t="s">
        <v>29</v>
      </c>
      <c r="G705" s="54" t="s">
        <v>2219</v>
      </c>
      <c r="H705" s="54" t="s">
        <v>2219</v>
      </c>
      <c r="I705" s="66">
        <v>46162</v>
      </c>
      <c r="J705" s="54" t="s">
        <v>2220</v>
      </c>
      <c r="K705" s="54" t="s">
        <v>1427</v>
      </c>
      <c r="L705" s="54" t="s">
        <v>2229</v>
      </c>
      <c r="M705" s="97" t="str">
        <f t="shared" si="77"/>
        <v>Open File</v>
      </c>
      <c r="N705" s="70" t="s">
        <v>2222</v>
      </c>
      <c r="O705" s="71" t="str">
        <f t="shared" si="81"/>
        <v>ACTIVE</v>
      </c>
      <c r="P705" s="66"/>
      <c r="Q705" s="66"/>
      <c r="R705" s="54"/>
      <c r="S705" s="82"/>
      <c r="T705" s="83" t="str">
        <f t="shared" si="78"/>
        <v/>
      </c>
      <c r="U705" s="10"/>
      <c r="V705" s="41">
        <f>IF(AND(Q705&lt;&gt;"",RIGHT(Q705,3)&lt;&gt;""),IF(COUNTIF($Q$6:Q705,Q705)=1,1,0),0)</f>
        <v>0</v>
      </c>
      <c r="W705" s="41" t="str">
        <f t="shared" si="79"/>
        <v>BA.SAC-SIG.2026.01-4</v>
      </c>
      <c r="X705" s="41" t="str">
        <f t="shared" si="80"/>
        <v/>
      </c>
    </row>
    <row r="706" s="32" customFormat="1" hidden="1" customHeight="1" spans="1:24">
      <c r="A706" s="34"/>
      <c r="B706" s="51">
        <v>701</v>
      </c>
      <c r="C706" s="51" t="s">
        <v>2230</v>
      </c>
      <c r="D706" s="52" t="s">
        <v>1849</v>
      </c>
      <c r="E706" s="53">
        <v>1</v>
      </c>
      <c r="F706" s="54" t="s">
        <v>29</v>
      </c>
      <c r="G706" s="54" t="s">
        <v>2219</v>
      </c>
      <c r="H706" s="54" t="s">
        <v>2219</v>
      </c>
      <c r="I706" s="66">
        <v>46162</v>
      </c>
      <c r="J706" s="54" t="s">
        <v>2220</v>
      </c>
      <c r="K706" s="54" t="s">
        <v>1431</v>
      </c>
      <c r="L706" s="54" t="s">
        <v>2231</v>
      </c>
      <c r="M706" s="97" t="str">
        <f t="shared" si="77"/>
        <v>Open File</v>
      </c>
      <c r="N706" s="70" t="s">
        <v>2222</v>
      </c>
      <c r="O706" s="71" t="str">
        <f t="shared" si="81"/>
        <v>ACTIVE</v>
      </c>
      <c r="P706" s="66"/>
      <c r="Q706" s="66"/>
      <c r="R706" s="54"/>
      <c r="S706" s="82"/>
      <c r="T706" s="83" t="str">
        <f t="shared" si="78"/>
        <v/>
      </c>
      <c r="U706" s="10"/>
      <c r="V706" s="41">
        <f>IF(AND(Q706&lt;&gt;"",RIGHT(Q706,3)&lt;&gt;""),IF(COUNTIF($Q$6:Q706,Q706)=1,1,0),0)</f>
        <v>0</v>
      </c>
      <c r="W706" s="41" t="str">
        <f t="shared" si="79"/>
        <v>BA.SAC-SIG.2026.01-5</v>
      </c>
      <c r="X706" s="41" t="str">
        <f t="shared" si="80"/>
        <v/>
      </c>
    </row>
    <row r="707" s="32" customFormat="1" hidden="1" customHeight="1" spans="1:24">
      <c r="A707" s="34"/>
      <c r="B707" s="51">
        <v>702</v>
      </c>
      <c r="C707" s="51" t="s">
        <v>2232</v>
      </c>
      <c r="D707" s="52" t="s">
        <v>2233</v>
      </c>
      <c r="E707" s="53">
        <v>1</v>
      </c>
      <c r="F707" s="54" t="s">
        <v>29</v>
      </c>
      <c r="G707" s="54" t="s">
        <v>2219</v>
      </c>
      <c r="H707" s="54" t="s">
        <v>2219</v>
      </c>
      <c r="I707" s="66">
        <v>46162</v>
      </c>
      <c r="J707" s="54" t="s">
        <v>2220</v>
      </c>
      <c r="K707" s="54" t="s">
        <v>1435</v>
      </c>
      <c r="L707" s="54" t="s">
        <v>2234</v>
      </c>
      <c r="M707" s="95" t="str">
        <f t="shared" si="77"/>
        <v>Open File</v>
      </c>
      <c r="N707" s="70" t="s">
        <v>2222</v>
      </c>
      <c r="O707" s="71" t="str">
        <f t="shared" si="81"/>
        <v>ACTIVE</v>
      </c>
      <c r="P707" s="66"/>
      <c r="Q707" s="66"/>
      <c r="R707" s="54"/>
      <c r="S707" s="82"/>
      <c r="T707" s="83" t="str">
        <f t="shared" si="78"/>
        <v/>
      </c>
      <c r="U707" s="10"/>
      <c r="V707" s="41">
        <f>IF(AND(Q707&lt;&gt;"",RIGHT(Q707,3)&lt;&gt;""),IF(COUNTIF($Q$6:Q707,Q707)=1,1,0),0)</f>
        <v>0</v>
      </c>
      <c r="W707" s="41" t="str">
        <f t="shared" si="79"/>
        <v>BA.SAC-SIG.2026.01-6</v>
      </c>
      <c r="X707" s="41" t="str">
        <f t="shared" si="80"/>
        <v/>
      </c>
    </row>
    <row r="708" s="32" customFormat="1" hidden="1" customHeight="1" spans="1:24">
      <c r="A708" s="34"/>
      <c r="B708" s="51">
        <v>703</v>
      </c>
      <c r="C708" s="51" t="s">
        <v>2235</v>
      </c>
      <c r="D708" s="52" t="s">
        <v>1855</v>
      </c>
      <c r="E708" s="53">
        <v>1</v>
      </c>
      <c r="F708" s="54" t="s">
        <v>29</v>
      </c>
      <c r="G708" s="54" t="s">
        <v>2219</v>
      </c>
      <c r="H708" s="54" t="s">
        <v>2219</v>
      </c>
      <c r="I708" s="66">
        <v>46162</v>
      </c>
      <c r="J708" s="54" t="s">
        <v>2220</v>
      </c>
      <c r="K708" s="54" t="s">
        <v>1439</v>
      </c>
      <c r="L708" s="54" t="s">
        <v>2236</v>
      </c>
      <c r="M708" s="97" t="str">
        <f t="shared" si="77"/>
        <v>Open File</v>
      </c>
      <c r="N708" s="70" t="s">
        <v>2222</v>
      </c>
      <c r="O708" s="71" t="str">
        <f t="shared" si="81"/>
        <v>ACTIVE</v>
      </c>
      <c r="P708" s="66"/>
      <c r="Q708" s="66"/>
      <c r="R708" s="54"/>
      <c r="S708" s="82"/>
      <c r="T708" s="83" t="str">
        <f t="shared" si="78"/>
        <v/>
      </c>
      <c r="U708" s="10"/>
      <c r="V708" s="41">
        <f>IF(AND(Q708&lt;&gt;"",RIGHT(Q708,3)&lt;&gt;""),IF(COUNTIF($Q$6:Q708,Q708)=1,1,0),0)</f>
        <v>0</v>
      </c>
      <c r="W708" s="41" t="str">
        <f t="shared" si="79"/>
        <v>BA.SAC-SIG.2026.01-7</v>
      </c>
      <c r="X708" s="41" t="str">
        <f t="shared" si="80"/>
        <v/>
      </c>
    </row>
    <row r="709" s="32" customFormat="1" hidden="1" customHeight="1" spans="1:24">
      <c r="A709" s="34"/>
      <c r="B709" s="51">
        <v>704</v>
      </c>
      <c r="C709" s="51" t="s">
        <v>2237</v>
      </c>
      <c r="D709" s="52" t="s">
        <v>1834</v>
      </c>
      <c r="E709" s="53">
        <v>1</v>
      </c>
      <c r="F709" s="54" t="s">
        <v>29</v>
      </c>
      <c r="G709" s="54" t="s">
        <v>2238</v>
      </c>
      <c r="H709" s="54" t="s">
        <v>2238</v>
      </c>
      <c r="I709" s="66">
        <v>46162</v>
      </c>
      <c r="J709" s="54" t="s">
        <v>2239</v>
      </c>
      <c r="K709" s="54" t="s">
        <v>226</v>
      </c>
      <c r="L709" s="54" t="s">
        <v>2240</v>
      </c>
      <c r="M709" s="97" t="str">
        <f t="shared" si="77"/>
        <v>Open File</v>
      </c>
      <c r="N709" s="70" t="s">
        <v>2241</v>
      </c>
      <c r="O709" s="71" t="str">
        <f t="shared" si="81"/>
        <v>ACTIVE</v>
      </c>
      <c r="P709" s="66"/>
      <c r="Q709" s="66"/>
      <c r="R709" s="54"/>
      <c r="S709" s="82"/>
      <c r="T709" s="83" t="str">
        <f t="shared" si="78"/>
        <v/>
      </c>
      <c r="U709" s="10"/>
      <c r="V709" s="41">
        <f>IF(AND(Q709&lt;&gt;"",RIGHT(Q709,3)&lt;&gt;""),IF(COUNTIF($Q$6:Q709,Q709)=1,1,0),0)</f>
        <v>0</v>
      </c>
      <c r="W709" s="41" t="str">
        <f t="shared" si="79"/>
        <v>BA.SAC-SIG.2026.02-1</v>
      </c>
      <c r="X709" s="41" t="str">
        <f t="shared" si="80"/>
        <v/>
      </c>
    </row>
    <row r="710" s="32" customFormat="1" hidden="1" customHeight="1" spans="1:24">
      <c r="A710" s="34"/>
      <c r="B710" s="51">
        <v>705</v>
      </c>
      <c r="C710" s="51" t="s">
        <v>2242</v>
      </c>
      <c r="D710" s="52" t="s">
        <v>2243</v>
      </c>
      <c r="E710" s="53">
        <v>1</v>
      </c>
      <c r="F710" s="54" t="s">
        <v>29</v>
      </c>
      <c r="G710" s="54" t="s">
        <v>2238</v>
      </c>
      <c r="H710" s="54" t="s">
        <v>2238</v>
      </c>
      <c r="I710" s="66">
        <v>46162</v>
      </c>
      <c r="J710" s="54" t="s">
        <v>2239</v>
      </c>
      <c r="K710" s="54" t="s">
        <v>1239</v>
      </c>
      <c r="L710" s="54" t="s">
        <v>2244</v>
      </c>
      <c r="M710" s="97" t="str">
        <f t="shared" si="77"/>
        <v>Open File</v>
      </c>
      <c r="N710" s="70" t="s">
        <v>2241</v>
      </c>
      <c r="O710" s="71" t="str">
        <f t="shared" si="81"/>
        <v>ACTIVE</v>
      </c>
      <c r="P710" s="66"/>
      <c r="Q710" s="66"/>
      <c r="R710" s="54"/>
      <c r="S710" s="82"/>
      <c r="T710" s="83" t="str">
        <f t="shared" si="78"/>
        <v/>
      </c>
      <c r="U710" s="10"/>
      <c r="V710" s="41">
        <f>IF(AND(Q710&lt;&gt;"",RIGHT(Q710,3)&lt;&gt;""),IF(COUNTIF($Q$6:Q710,Q710)=1,1,0),0)</f>
        <v>0</v>
      </c>
      <c r="W710" s="41" t="str">
        <f t="shared" si="79"/>
        <v>BA.SAC-SIG.2026.02-2</v>
      </c>
      <c r="X710" s="41" t="str">
        <f t="shared" si="80"/>
        <v/>
      </c>
    </row>
    <row r="711" s="32" customFormat="1" hidden="1" customHeight="1" spans="1:24">
      <c r="A711" s="34"/>
      <c r="B711" s="51">
        <v>706</v>
      </c>
      <c r="C711" s="51" t="s">
        <v>2245</v>
      </c>
      <c r="D711" s="52" t="s">
        <v>2246</v>
      </c>
      <c r="E711" s="53">
        <v>1</v>
      </c>
      <c r="F711" s="54" t="s">
        <v>29</v>
      </c>
      <c r="G711" s="54" t="s">
        <v>2238</v>
      </c>
      <c r="H711" s="54" t="s">
        <v>2238</v>
      </c>
      <c r="I711" s="66">
        <v>46162</v>
      </c>
      <c r="J711" s="54" t="s">
        <v>2239</v>
      </c>
      <c r="K711" s="54" t="s">
        <v>1423</v>
      </c>
      <c r="L711" s="54" t="s">
        <v>2247</v>
      </c>
      <c r="M711" s="97" t="str">
        <f t="shared" si="77"/>
        <v>Open File</v>
      </c>
      <c r="N711" s="70" t="s">
        <v>2241</v>
      </c>
      <c r="O711" s="71" t="str">
        <f t="shared" si="81"/>
        <v>ACTIVE</v>
      </c>
      <c r="P711" s="66"/>
      <c r="Q711" s="66"/>
      <c r="R711" s="54"/>
      <c r="S711" s="82"/>
      <c r="T711" s="83" t="str">
        <f t="shared" si="78"/>
        <v/>
      </c>
      <c r="U711" s="10"/>
      <c r="V711" s="41">
        <f>IF(AND(Q711&lt;&gt;"",RIGHT(Q711,3)&lt;&gt;""),IF(COUNTIF($Q$6:Q711,Q711)=1,1,0),0)</f>
        <v>0</v>
      </c>
      <c r="W711" s="41" t="str">
        <f t="shared" si="79"/>
        <v>BA.SAC-SIG.2026.02-3</v>
      </c>
      <c r="X711" s="41" t="str">
        <f t="shared" si="80"/>
        <v/>
      </c>
    </row>
    <row r="712" s="32" customFormat="1" hidden="1" customHeight="1" spans="1:24">
      <c r="A712" s="34"/>
      <c r="B712" s="51">
        <v>707</v>
      </c>
      <c r="C712" s="51" t="s">
        <v>2248</v>
      </c>
      <c r="D712" s="52" t="s">
        <v>2249</v>
      </c>
      <c r="E712" s="53">
        <v>1</v>
      </c>
      <c r="F712" s="54" t="s">
        <v>29</v>
      </c>
      <c r="G712" s="54" t="s">
        <v>2238</v>
      </c>
      <c r="H712" s="54" t="s">
        <v>2238</v>
      </c>
      <c r="I712" s="66">
        <v>46162</v>
      </c>
      <c r="J712" s="54" t="s">
        <v>2239</v>
      </c>
      <c r="K712" s="54" t="s">
        <v>1427</v>
      </c>
      <c r="L712" s="54" t="s">
        <v>2250</v>
      </c>
      <c r="M712" s="97" t="str">
        <f t="shared" si="77"/>
        <v>Open File</v>
      </c>
      <c r="N712" s="70" t="s">
        <v>2241</v>
      </c>
      <c r="O712" s="71" t="str">
        <f t="shared" si="81"/>
        <v>ACTIVE</v>
      </c>
      <c r="P712" s="66"/>
      <c r="Q712" s="66"/>
      <c r="R712" s="54"/>
      <c r="S712" s="82"/>
      <c r="T712" s="83" t="str">
        <f t="shared" si="78"/>
        <v/>
      </c>
      <c r="U712" s="10"/>
      <c r="V712" s="41">
        <f>IF(AND(Q712&lt;&gt;"",RIGHT(Q712,3)&lt;&gt;""),IF(COUNTIF($Q$6:Q712,Q712)=1,1,0),0)</f>
        <v>0</v>
      </c>
      <c r="W712" s="41" t="str">
        <f t="shared" si="79"/>
        <v>BA.SAC-SIG.2026.02-4</v>
      </c>
      <c r="X712" s="41" t="str">
        <f t="shared" si="80"/>
        <v/>
      </c>
    </row>
    <row r="713" s="32" customFormat="1" hidden="1" customHeight="1" spans="1:24">
      <c r="A713" s="34"/>
      <c r="B713" s="51">
        <v>708</v>
      </c>
      <c r="C713" s="51" t="s">
        <v>2251</v>
      </c>
      <c r="D713" s="52" t="s">
        <v>1999</v>
      </c>
      <c r="E713" s="53">
        <v>1</v>
      </c>
      <c r="F713" s="54" t="s">
        <v>29</v>
      </c>
      <c r="G713" s="54" t="s">
        <v>2238</v>
      </c>
      <c r="H713" s="54" t="s">
        <v>2238</v>
      </c>
      <c r="I713" s="66">
        <v>46162</v>
      </c>
      <c r="J713" s="54" t="s">
        <v>2239</v>
      </c>
      <c r="K713" s="54" t="s">
        <v>1431</v>
      </c>
      <c r="L713" s="54" t="s">
        <v>2252</v>
      </c>
      <c r="M713" s="97" t="str">
        <f t="shared" si="77"/>
        <v>Open File</v>
      </c>
      <c r="N713" s="70" t="s">
        <v>2241</v>
      </c>
      <c r="O713" s="71" t="str">
        <f t="shared" si="81"/>
        <v>ACTIVE</v>
      </c>
      <c r="P713" s="66"/>
      <c r="Q713" s="66"/>
      <c r="R713" s="54"/>
      <c r="S713" s="82"/>
      <c r="T713" s="83" t="str">
        <f t="shared" si="78"/>
        <v/>
      </c>
      <c r="U713" s="10"/>
      <c r="V713" s="41">
        <f>IF(AND(Q713&lt;&gt;"",RIGHT(Q713,3)&lt;&gt;""),IF(COUNTIF($Q$6:Q713,Q713)=1,1,0),0)</f>
        <v>0</v>
      </c>
      <c r="W713" s="41" t="str">
        <f t="shared" si="79"/>
        <v>BA.SAC-SIG.2026.02-5</v>
      </c>
      <c r="X713" s="41" t="str">
        <f t="shared" si="80"/>
        <v/>
      </c>
    </row>
    <row r="714" s="32" customFormat="1" hidden="1" customHeight="1" spans="1:24">
      <c r="A714" s="34"/>
      <c r="B714" s="51">
        <v>709</v>
      </c>
      <c r="C714" s="51" t="s">
        <v>2253</v>
      </c>
      <c r="D714" s="52" t="s">
        <v>1930</v>
      </c>
      <c r="E714" s="53">
        <v>1</v>
      </c>
      <c r="F714" s="54" t="s">
        <v>29</v>
      </c>
      <c r="G714" s="54" t="s">
        <v>2238</v>
      </c>
      <c r="H714" s="54" t="s">
        <v>2238</v>
      </c>
      <c r="I714" s="66">
        <v>46162</v>
      </c>
      <c r="J714" s="54" t="s">
        <v>2239</v>
      </c>
      <c r="K714" s="54" t="s">
        <v>1435</v>
      </c>
      <c r="L714" s="54" t="s">
        <v>2254</v>
      </c>
      <c r="M714" s="97" t="str">
        <f t="shared" si="77"/>
        <v>Open File</v>
      </c>
      <c r="N714" s="70" t="s">
        <v>2241</v>
      </c>
      <c r="O714" s="71" t="str">
        <f t="shared" si="81"/>
        <v>ACTIVE</v>
      </c>
      <c r="P714" s="66"/>
      <c r="Q714" s="66"/>
      <c r="R714" s="54"/>
      <c r="S714" s="82"/>
      <c r="T714" s="83" t="str">
        <f t="shared" si="78"/>
        <v/>
      </c>
      <c r="U714" s="10"/>
      <c r="V714" s="41">
        <f>IF(AND(Q714&lt;&gt;"",RIGHT(Q714,3)&lt;&gt;""),IF(COUNTIF($Q$6:Q714,Q714)=1,1,0),0)</f>
        <v>0</v>
      </c>
      <c r="W714" s="41" t="str">
        <f t="shared" si="79"/>
        <v>BA.SAC-SIG.2026.02-6</v>
      </c>
      <c r="X714" s="41" t="str">
        <f t="shared" si="80"/>
        <v/>
      </c>
    </row>
    <row r="715" s="32" customFormat="1" hidden="1" customHeight="1" spans="1:24">
      <c r="A715" s="34"/>
      <c r="B715" s="51">
        <v>710</v>
      </c>
      <c r="C715" s="51" t="s">
        <v>2255</v>
      </c>
      <c r="D715" s="52" t="s">
        <v>1855</v>
      </c>
      <c r="E715" s="53">
        <v>1</v>
      </c>
      <c r="F715" s="54" t="s">
        <v>29</v>
      </c>
      <c r="G715" s="54" t="s">
        <v>2238</v>
      </c>
      <c r="H715" s="54" t="s">
        <v>2238</v>
      </c>
      <c r="I715" s="66">
        <v>46162</v>
      </c>
      <c r="J715" s="54" t="s">
        <v>2239</v>
      </c>
      <c r="K715" s="54" t="s">
        <v>1439</v>
      </c>
      <c r="L715" s="54" t="s">
        <v>2256</v>
      </c>
      <c r="M715" s="97" t="str">
        <f t="shared" si="77"/>
        <v>Open File</v>
      </c>
      <c r="N715" s="70" t="s">
        <v>2241</v>
      </c>
      <c r="O715" s="71" t="str">
        <f t="shared" si="81"/>
        <v>ACTIVE</v>
      </c>
      <c r="P715" s="66"/>
      <c r="Q715" s="66"/>
      <c r="R715" s="54"/>
      <c r="S715" s="82"/>
      <c r="T715" s="83" t="str">
        <f t="shared" si="78"/>
        <v/>
      </c>
      <c r="U715" s="10"/>
      <c r="V715" s="41">
        <f>IF(AND(Q715&lt;&gt;"",RIGHT(Q715,3)&lt;&gt;""),IF(COUNTIF($Q$6:Q715,Q715)=1,1,0),0)</f>
        <v>0</v>
      </c>
      <c r="W715" s="41" t="str">
        <f t="shared" si="79"/>
        <v>BA.SAC-SIG.2026.02-7</v>
      </c>
      <c r="X715" s="41" t="str">
        <f t="shared" si="80"/>
        <v/>
      </c>
    </row>
    <row r="716" s="32" customFormat="1" hidden="1" customHeight="1" spans="1:24">
      <c r="A716" s="34"/>
      <c r="B716" s="51">
        <v>711</v>
      </c>
      <c r="C716" s="51" t="s">
        <v>2257</v>
      </c>
      <c r="D716" s="52" t="s">
        <v>2191</v>
      </c>
      <c r="E716" s="53">
        <v>1</v>
      </c>
      <c r="F716" s="54" t="s">
        <v>29</v>
      </c>
      <c r="G716" s="54" t="s">
        <v>2258</v>
      </c>
      <c r="H716" s="54" t="s">
        <v>2258</v>
      </c>
      <c r="I716" s="66">
        <v>46162</v>
      </c>
      <c r="J716" s="54" t="s">
        <v>2259</v>
      </c>
      <c r="K716" s="54" t="s">
        <v>226</v>
      </c>
      <c r="L716" s="54" t="s">
        <v>2260</v>
      </c>
      <c r="M716" s="97" t="str">
        <f t="shared" si="77"/>
        <v>Open File</v>
      </c>
      <c r="N716" s="70" t="s">
        <v>2261</v>
      </c>
      <c r="O716" s="71" t="str">
        <f t="shared" si="81"/>
        <v>ACTIVE</v>
      </c>
      <c r="P716" s="66"/>
      <c r="Q716" s="66"/>
      <c r="R716" s="54"/>
      <c r="S716" s="82"/>
      <c r="T716" s="83" t="str">
        <f t="shared" si="78"/>
        <v/>
      </c>
      <c r="U716" s="10"/>
      <c r="V716" s="41">
        <f>IF(AND(Q716&lt;&gt;"",RIGHT(Q716,3)&lt;&gt;""),IF(COUNTIF($Q$6:Q716,Q716)=1,1,0),0)</f>
        <v>0</v>
      </c>
      <c r="W716" s="41" t="str">
        <f t="shared" si="79"/>
        <v>BA.SAC-SIG.2026.03-1</v>
      </c>
      <c r="X716" s="41" t="str">
        <f t="shared" si="80"/>
        <v/>
      </c>
    </row>
    <row r="717" s="32" customFormat="1" hidden="1" customHeight="1" spans="1:24">
      <c r="A717" s="34"/>
      <c r="B717" s="51">
        <v>712</v>
      </c>
      <c r="C717" s="51" t="s">
        <v>2262</v>
      </c>
      <c r="D717" s="52" t="s">
        <v>2243</v>
      </c>
      <c r="E717" s="53">
        <v>1</v>
      </c>
      <c r="F717" s="54" t="s">
        <v>29</v>
      </c>
      <c r="G717" s="54" t="s">
        <v>2258</v>
      </c>
      <c r="H717" s="54" t="s">
        <v>2258</v>
      </c>
      <c r="I717" s="66">
        <v>46162</v>
      </c>
      <c r="J717" s="54" t="s">
        <v>2259</v>
      </c>
      <c r="K717" s="54" t="s">
        <v>1239</v>
      </c>
      <c r="L717" s="54" t="s">
        <v>2260</v>
      </c>
      <c r="M717" s="97" t="str">
        <f t="shared" si="77"/>
        <v>Open File</v>
      </c>
      <c r="N717" s="70" t="s">
        <v>2261</v>
      </c>
      <c r="O717" s="71" t="str">
        <f t="shared" si="81"/>
        <v>ACTIVE</v>
      </c>
      <c r="P717" s="66"/>
      <c r="Q717" s="66"/>
      <c r="R717" s="54"/>
      <c r="S717" s="82"/>
      <c r="T717" s="83" t="str">
        <f t="shared" si="78"/>
        <v/>
      </c>
      <c r="U717" s="10"/>
      <c r="V717" s="41">
        <f>IF(AND(Q717&lt;&gt;"",RIGHT(Q717,3)&lt;&gt;""),IF(COUNTIF($Q$6:Q717,Q717)=1,1,0),0)</f>
        <v>0</v>
      </c>
      <c r="W717" s="41" t="str">
        <f t="shared" si="79"/>
        <v>BA.SAC-SIG.2026.03-2</v>
      </c>
      <c r="X717" s="41" t="str">
        <f t="shared" si="80"/>
        <v/>
      </c>
    </row>
    <row r="718" s="32" customFormat="1" hidden="1" customHeight="1" spans="1:24">
      <c r="A718" s="34"/>
      <c r="B718" s="51">
        <v>713</v>
      </c>
      <c r="C718" s="51" t="s">
        <v>2263</v>
      </c>
      <c r="D718" s="52" t="s">
        <v>2264</v>
      </c>
      <c r="E718" s="53">
        <v>1</v>
      </c>
      <c r="F718" s="54" t="s">
        <v>29</v>
      </c>
      <c r="G718" s="54" t="s">
        <v>2258</v>
      </c>
      <c r="H718" s="54" t="s">
        <v>2258</v>
      </c>
      <c r="I718" s="66">
        <v>46162</v>
      </c>
      <c r="J718" s="54" t="s">
        <v>2259</v>
      </c>
      <c r="K718" s="54" t="s">
        <v>1423</v>
      </c>
      <c r="L718" s="54" t="s">
        <v>2260</v>
      </c>
      <c r="M718" s="97" t="str">
        <f t="shared" si="77"/>
        <v>Open File</v>
      </c>
      <c r="N718" s="70" t="s">
        <v>2261</v>
      </c>
      <c r="O718" s="71" t="str">
        <f t="shared" si="81"/>
        <v>ACTIVE</v>
      </c>
      <c r="P718" s="66"/>
      <c r="Q718" s="66"/>
      <c r="R718" s="54"/>
      <c r="S718" s="82"/>
      <c r="T718" s="83" t="str">
        <f t="shared" si="78"/>
        <v/>
      </c>
      <c r="U718" s="10"/>
      <c r="V718" s="41">
        <f>IF(AND(Q718&lt;&gt;"",RIGHT(Q718,3)&lt;&gt;""),IF(COUNTIF($Q$6:Q718,Q718)=1,1,0),0)</f>
        <v>0</v>
      </c>
      <c r="W718" s="41" t="str">
        <f t="shared" si="79"/>
        <v>BA.SAC-SIG.2026.03-3</v>
      </c>
      <c r="X718" s="41" t="str">
        <f t="shared" si="80"/>
        <v/>
      </c>
    </row>
    <row r="719" s="32" customFormat="1" hidden="1" customHeight="1" spans="1:24">
      <c r="A719" s="34"/>
      <c r="B719" s="51">
        <v>714</v>
      </c>
      <c r="C719" s="51" t="s">
        <v>2265</v>
      </c>
      <c r="D719" s="52" t="s">
        <v>2266</v>
      </c>
      <c r="E719" s="53">
        <v>1</v>
      </c>
      <c r="F719" s="54" t="s">
        <v>29</v>
      </c>
      <c r="G719" s="54" t="s">
        <v>2258</v>
      </c>
      <c r="H719" s="54" t="s">
        <v>2258</v>
      </c>
      <c r="I719" s="66">
        <v>46162</v>
      </c>
      <c r="J719" s="54" t="s">
        <v>2259</v>
      </c>
      <c r="K719" s="54" t="s">
        <v>1427</v>
      </c>
      <c r="L719" s="54" t="s">
        <v>2260</v>
      </c>
      <c r="M719" s="97" t="str">
        <f t="shared" si="77"/>
        <v>Open File</v>
      </c>
      <c r="N719" s="70" t="s">
        <v>2261</v>
      </c>
      <c r="O719" s="71" t="str">
        <f t="shared" si="81"/>
        <v>ACTIVE</v>
      </c>
      <c r="P719" s="66"/>
      <c r="Q719" s="66"/>
      <c r="R719" s="54"/>
      <c r="S719" s="82"/>
      <c r="T719" s="83" t="str">
        <f t="shared" si="78"/>
        <v/>
      </c>
      <c r="U719" s="10"/>
      <c r="V719" s="41">
        <f>IF(AND(Q719&lt;&gt;"",RIGHT(Q719,3)&lt;&gt;""),IF(COUNTIF($Q$6:Q719,Q719)=1,1,0),0)</f>
        <v>0</v>
      </c>
      <c r="W719" s="41" t="str">
        <f t="shared" si="79"/>
        <v>BA.SAC-SIG.2026.03-4</v>
      </c>
      <c r="X719" s="41" t="str">
        <f t="shared" si="80"/>
        <v/>
      </c>
    </row>
    <row r="720" s="32" customFormat="1" hidden="1" customHeight="1" spans="1:24">
      <c r="A720" s="34"/>
      <c r="B720" s="51">
        <v>715</v>
      </c>
      <c r="C720" s="51" t="s">
        <v>2267</v>
      </c>
      <c r="D720" s="52" t="s">
        <v>1999</v>
      </c>
      <c r="E720" s="53">
        <v>1</v>
      </c>
      <c r="F720" s="54" t="s">
        <v>29</v>
      </c>
      <c r="G720" s="54" t="s">
        <v>2258</v>
      </c>
      <c r="H720" s="54" t="s">
        <v>2258</v>
      </c>
      <c r="I720" s="66">
        <v>46162</v>
      </c>
      <c r="J720" s="54" t="s">
        <v>2259</v>
      </c>
      <c r="K720" s="54" t="s">
        <v>1431</v>
      </c>
      <c r="L720" s="54" t="s">
        <v>2260</v>
      </c>
      <c r="M720" s="97" t="str">
        <f t="shared" si="77"/>
        <v>Open File</v>
      </c>
      <c r="N720" s="70" t="s">
        <v>2261</v>
      </c>
      <c r="O720" s="71" t="str">
        <f t="shared" si="81"/>
        <v>ACTIVE</v>
      </c>
      <c r="P720" s="66"/>
      <c r="Q720" s="66"/>
      <c r="R720" s="54"/>
      <c r="S720" s="82"/>
      <c r="T720" s="83" t="str">
        <f t="shared" si="78"/>
        <v/>
      </c>
      <c r="U720" s="10"/>
      <c r="V720" s="41">
        <f>IF(AND(Q720&lt;&gt;"",RIGHT(Q720,3)&lt;&gt;""),IF(COUNTIF($Q$6:Q720,Q720)=1,1,0),0)</f>
        <v>0</v>
      </c>
      <c r="W720" s="41" t="str">
        <f t="shared" si="79"/>
        <v>BA.SAC-SIG.2026.03-5</v>
      </c>
      <c r="X720" s="41" t="str">
        <f t="shared" si="80"/>
        <v/>
      </c>
    </row>
    <row r="721" s="32" customFormat="1" hidden="1" customHeight="1" spans="1:24">
      <c r="A721" s="34"/>
      <c r="B721" s="51">
        <v>716</v>
      </c>
      <c r="C721" s="51" t="s">
        <v>2268</v>
      </c>
      <c r="D721" s="52" t="s">
        <v>2269</v>
      </c>
      <c r="E721" s="53">
        <v>1</v>
      </c>
      <c r="F721" s="54" t="s">
        <v>29</v>
      </c>
      <c r="G721" s="54" t="s">
        <v>2258</v>
      </c>
      <c r="H721" s="54" t="s">
        <v>2258</v>
      </c>
      <c r="I721" s="66">
        <v>46162</v>
      </c>
      <c r="J721" s="54" t="s">
        <v>2259</v>
      </c>
      <c r="K721" s="54" t="s">
        <v>1435</v>
      </c>
      <c r="L721" s="54" t="s">
        <v>2260</v>
      </c>
      <c r="M721" s="95" t="str">
        <f t="shared" si="77"/>
        <v>Open File</v>
      </c>
      <c r="N721" s="70" t="s">
        <v>2261</v>
      </c>
      <c r="O721" s="71" t="str">
        <f t="shared" si="81"/>
        <v>ACTIVE</v>
      </c>
      <c r="P721" s="66"/>
      <c r="Q721" s="66"/>
      <c r="R721" s="54"/>
      <c r="S721" s="82"/>
      <c r="T721" s="83" t="str">
        <f t="shared" si="78"/>
        <v/>
      </c>
      <c r="U721" s="10"/>
      <c r="V721" s="41">
        <f>IF(AND(Q721&lt;&gt;"",RIGHT(Q721,3)&lt;&gt;""),IF(COUNTIF($Q$6:Q721,Q721)=1,1,0),0)</f>
        <v>0</v>
      </c>
      <c r="W721" s="41" t="str">
        <f t="shared" si="79"/>
        <v>BA.SAC-SIG.2026.03-6</v>
      </c>
      <c r="X721" s="41" t="str">
        <f t="shared" si="80"/>
        <v/>
      </c>
    </row>
    <row r="722" s="32" customFormat="1" hidden="1" customHeight="1" spans="1:24">
      <c r="A722" s="34"/>
      <c r="B722" s="51">
        <v>717</v>
      </c>
      <c r="C722" s="51" t="s">
        <v>2270</v>
      </c>
      <c r="D722" s="52" t="s">
        <v>1855</v>
      </c>
      <c r="E722" s="53">
        <v>1</v>
      </c>
      <c r="F722" s="54" t="s">
        <v>29</v>
      </c>
      <c r="G722" s="54" t="s">
        <v>2258</v>
      </c>
      <c r="H722" s="54" t="s">
        <v>2258</v>
      </c>
      <c r="I722" s="66">
        <v>46162</v>
      </c>
      <c r="J722" s="54" t="s">
        <v>2259</v>
      </c>
      <c r="K722" s="54" t="s">
        <v>1439</v>
      </c>
      <c r="L722" s="54" t="s">
        <v>2260</v>
      </c>
      <c r="M722" s="95" t="str">
        <f t="shared" si="77"/>
        <v>Open File</v>
      </c>
      <c r="N722" s="70" t="s">
        <v>2261</v>
      </c>
      <c r="O722" s="71" t="str">
        <f t="shared" si="81"/>
        <v>ACTIVE</v>
      </c>
      <c r="P722" s="66"/>
      <c r="Q722" s="66"/>
      <c r="R722" s="54"/>
      <c r="S722" s="82"/>
      <c r="T722" s="83" t="str">
        <f t="shared" si="78"/>
        <v/>
      </c>
      <c r="U722" s="10"/>
      <c r="V722" s="41">
        <f>IF(AND(Q722&lt;&gt;"",RIGHT(Q722,3)&lt;&gt;""),IF(COUNTIF($Q$6:Q722,Q722)=1,1,0),0)</f>
        <v>0</v>
      </c>
      <c r="W722" s="41" t="str">
        <f t="shared" si="79"/>
        <v>BA.SAC-SIG.2026.03-7</v>
      </c>
      <c r="X722" s="41" t="str">
        <f t="shared" si="80"/>
        <v/>
      </c>
    </row>
    <row r="723" s="32" customFormat="1" hidden="1" customHeight="1" spans="1:24">
      <c r="A723" s="34"/>
      <c r="B723" s="51">
        <v>718</v>
      </c>
      <c r="C723" s="51" t="s">
        <v>2271</v>
      </c>
      <c r="D723" s="52" t="s">
        <v>2191</v>
      </c>
      <c r="E723" s="53">
        <v>1</v>
      </c>
      <c r="F723" s="54" t="s">
        <v>29</v>
      </c>
      <c r="G723" s="54" t="s">
        <v>2272</v>
      </c>
      <c r="H723" s="54" t="s">
        <v>2272</v>
      </c>
      <c r="I723" s="66">
        <v>46162</v>
      </c>
      <c r="J723" s="54" t="s">
        <v>2273</v>
      </c>
      <c r="K723" s="54" t="s">
        <v>226</v>
      </c>
      <c r="L723" s="54" t="s">
        <v>2274</v>
      </c>
      <c r="M723" s="97" t="str">
        <f t="shared" si="77"/>
        <v>Open File</v>
      </c>
      <c r="N723" s="70" t="s">
        <v>2275</v>
      </c>
      <c r="O723" s="71" t="str">
        <f t="shared" si="81"/>
        <v>ACTIVE</v>
      </c>
      <c r="P723" s="66"/>
      <c r="Q723" s="66"/>
      <c r="R723" s="54"/>
      <c r="S723" s="82"/>
      <c r="T723" s="83" t="str">
        <f t="shared" si="78"/>
        <v/>
      </c>
      <c r="U723" s="10"/>
      <c r="V723" s="41">
        <f>IF(AND(Q723&lt;&gt;"",RIGHT(Q723,3)&lt;&gt;""),IF(COUNTIF($Q$6:Q723,Q723)=1,1,0),0)</f>
        <v>0</v>
      </c>
      <c r="W723" s="41" t="str">
        <f t="shared" si="79"/>
        <v>BA.SAC-SIG.2026.04-1</v>
      </c>
      <c r="X723" s="41" t="str">
        <f t="shared" si="80"/>
        <v/>
      </c>
    </row>
    <row r="724" s="32" customFormat="1" hidden="1" customHeight="1" spans="1:24">
      <c r="A724" s="34"/>
      <c r="B724" s="51">
        <v>719</v>
      </c>
      <c r="C724" s="51" t="s">
        <v>2276</v>
      </c>
      <c r="D724" s="52" t="s">
        <v>2243</v>
      </c>
      <c r="E724" s="53">
        <v>1</v>
      </c>
      <c r="F724" s="54" t="s">
        <v>29</v>
      </c>
      <c r="G724" s="54" t="s">
        <v>2272</v>
      </c>
      <c r="H724" s="54" t="s">
        <v>2272</v>
      </c>
      <c r="I724" s="66">
        <v>46162</v>
      </c>
      <c r="J724" s="54" t="s">
        <v>2273</v>
      </c>
      <c r="K724" s="54" t="s">
        <v>1239</v>
      </c>
      <c r="L724" s="54" t="s">
        <v>2277</v>
      </c>
      <c r="M724" s="97" t="str">
        <f t="shared" si="77"/>
        <v>Open File</v>
      </c>
      <c r="N724" s="70" t="s">
        <v>2275</v>
      </c>
      <c r="O724" s="71" t="str">
        <f t="shared" si="81"/>
        <v>ACTIVE</v>
      </c>
      <c r="P724" s="66"/>
      <c r="Q724" s="66"/>
      <c r="R724" s="54"/>
      <c r="S724" s="82"/>
      <c r="T724" s="83" t="str">
        <f t="shared" si="78"/>
        <v/>
      </c>
      <c r="U724" s="10"/>
      <c r="V724" s="41">
        <f>IF(AND(Q724&lt;&gt;"",RIGHT(Q724,3)&lt;&gt;""),IF(COUNTIF($Q$6:Q724,Q724)=1,1,0),0)</f>
        <v>0</v>
      </c>
      <c r="W724" s="41" t="str">
        <f t="shared" si="79"/>
        <v>BA.SAC-SIG.2026.04-2</v>
      </c>
      <c r="X724" s="41" t="str">
        <f t="shared" si="80"/>
        <v/>
      </c>
    </row>
    <row r="725" s="32" customFormat="1" hidden="1" customHeight="1" spans="1:24">
      <c r="A725" s="34"/>
      <c r="B725" s="51">
        <v>720</v>
      </c>
      <c r="C725" s="51" t="s">
        <v>2278</v>
      </c>
      <c r="D725" s="52" t="s">
        <v>2264</v>
      </c>
      <c r="E725" s="53">
        <v>1</v>
      </c>
      <c r="F725" s="54" t="s">
        <v>29</v>
      </c>
      <c r="G725" s="54" t="s">
        <v>2272</v>
      </c>
      <c r="H725" s="54" t="s">
        <v>2272</v>
      </c>
      <c r="I725" s="66">
        <v>46162</v>
      </c>
      <c r="J725" s="54" t="s">
        <v>2273</v>
      </c>
      <c r="K725" s="54" t="s">
        <v>1423</v>
      </c>
      <c r="L725" s="54" t="s">
        <v>2279</v>
      </c>
      <c r="M725" s="97" t="str">
        <f t="shared" si="77"/>
        <v>Open File</v>
      </c>
      <c r="N725" s="70" t="s">
        <v>2275</v>
      </c>
      <c r="O725" s="71" t="str">
        <f t="shared" si="81"/>
        <v>ACTIVE</v>
      </c>
      <c r="P725" s="66"/>
      <c r="Q725" s="66"/>
      <c r="R725" s="54"/>
      <c r="S725" s="82"/>
      <c r="T725" s="83" t="str">
        <f t="shared" si="78"/>
        <v/>
      </c>
      <c r="U725" s="10"/>
      <c r="V725" s="41">
        <f>IF(AND(Q725&lt;&gt;"",RIGHT(Q725,3)&lt;&gt;""),IF(COUNTIF($Q$6:Q725,Q725)=1,1,0),0)</f>
        <v>0</v>
      </c>
      <c r="W725" s="41" t="str">
        <f t="shared" si="79"/>
        <v>BA.SAC-SIG.2026.04-3</v>
      </c>
      <c r="X725" s="41" t="str">
        <f t="shared" si="80"/>
        <v/>
      </c>
    </row>
    <row r="726" s="32" customFormat="1" hidden="1" customHeight="1" spans="1:24">
      <c r="A726" s="34"/>
      <c r="B726" s="51">
        <v>721</v>
      </c>
      <c r="C726" s="51" t="s">
        <v>2280</v>
      </c>
      <c r="D726" s="52" t="s">
        <v>2266</v>
      </c>
      <c r="E726" s="53">
        <v>1</v>
      </c>
      <c r="F726" s="54" t="s">
        <v>29</v>
      </c>
      <c r="G726" s="54" t="s">
        <v>2272</v>
      </c>
      <c r="H726" s="54" t="s">
        <v>2272</v>
      </c>
      <c r="I726" s="66">
        <v>46162</v>
      </c>
      <c r="J726" s="54" t="s">
        <v>2273</v>
      </c>
      <c r="K726" s="54" t="s">
        <v>1427</v>
      </c>
      <c r="L726" s="54" t="s">
        <v>2281</v>
      </c>
      <c r="M726" s="95" t="str">
        <f t="shared" si="77"/>
        <v>Open File</v>
      </c>
      <c r="N726" s="70" t="s">
        <v>2275</v>
      </c>
      <c r="O726" s="71" t="str">
        <f t="shared" si="81"/>
        <v>ACTIVE</v>
      </c>
      <c r="P726" s="66"/>
      <c r="Q726" s="66"/>
      <c r="R726" s="54"/>
      <c r="S726" s="82"/>
      <c r="T726" s="83" t="str">
        <f t="shared" si="78"/>
        <v/>
      </c>
      <c r="U726" s="10"/>
      <c r="V726" s="41">
        <f>IF(AND(Q726&lt;&gt;"",RIGHT(Q726,3)&lt;&gt;""),IF(COUNTIF($Q$6:Q726,Q726)=1,1,0),0)</f>
        <v>0</v>
      </c>
      <c r="W726" s="41" t="str">
        <f t="shared" si="79"/>
        <v>BA.SAC-SIG.2026.04-4</v>
      </c>
      <c r="X726" s="41" t="str">
        <f t="shared" si="80"/>
        <v/>
      </c>
    </row>
    <row r="727" s="32" customFormat="1" hidden="1" customHeight="1" spans="1:24">
      <c r="A727" s="34"/>
      <c r="B727" s="51">
        <v>722</v>
      </c>
      <c r="C727" s="51" t="s">
        <v>2282</v>
      </c>
      <c r="D727" s="52" t="s">
        <v>1999</v>
      </c>
      <c r="E727" s="53">
        <v>1</v>
      </c>
      <c r="F727" s="54" t="s">
        <v>29</v>
      </c>
      <c r="G727" s="54" t="s">
        <v>2272</v>
      </c>
      <c r="H727" s="54" t="s">
        <v>2272</v>
      </c>
      <c r="I727" s="66">
        <v>46162</v>
      </c>
      <c r="J727" s="54" t="s">
        <v>2273</v>
      </c>
      <c r="K727" s="54" t="s">
        <v>1431</v>
      </c>
      <c r="L727" s="54" t="s">
        <v>2283</v>
      </c>
      <c r="M727" s="97" t="str">
        <f t="shared" si="77"/>
        <v>Open File</v>
      </c>
      <c r="N727" s="70" t="s">
        <v>2275</v>
      </c>
      <c r="O727" s="71" t="str">
        <f t="shared" si="81"/>
        <v>ACTIVE</v>
      </c>
      <c r="P727" s="66"/>
      <c r="Q727" s="66"/>
      <c r="R727" s="54"/>
      <c r="S727" s="82"/>
      <c r="T727" s="83" t="str">
        <f t="shared" si="78"/>
        <v/>
      </c>
      <c r="U727" s="10"/>
      <c r="V727" s="41">
        <f>IF(AND(Q727&lt;&gt;"",RIGHT(Q727,3)&lt;&gt;""),IF(COUNTIF($Q$6:Q727,Q727)=1,1,0),0)</f>
        <v>0</v>
      </c>
      <c r="W727" s="41" t="str">
        <f t="shared" si="79"/>
        <v>BA.SAC-SIG.2026.04-5</v>
      </c>
      <c r="X727" s="41" t="str">
        <f t="shared" si="80"/>
        <v/>
      </c>
    </row>
    <row r="728" s="32" customFormat="1" hidden="1" customHeight="1" spans="1:24">
      <c r="A728" s="34"/>
      <c r="B728" s="51">
        <v>723</v>
      </c>
      <c r="C728" s="51" t="s">
        <v>2284</v>
      </c>
      <c r="D728" s="52" t="s">
        <v>2285</v>
      </c>
      <c r="E728" s="53">
        <v>1</v>
      </c>
      <c r="F728" s="54" t="s">
        <v>29</v>
      </c>
      <c r="G728" s="54" t="s">
        <v>2272</v>
      </c>
      <c r="H728" s="54" t="s">
        <v>2272</v>
      </c>
      <c r="I728" s="66">
        <v>46162</v>
      </c>
      <c r="J728" s="54" t="s">
        <v>2273</v>
      </c>
      <c r="K728" s="54" t="s">
        <v>1435</v>
      </c>
      <c r="L728" s="54" t="s">
        <v>2286</v>
      </c>
      <c r="M728" s="97" t="str">
        <f t="shared" si="77"/>
        <v>Open File</v>
      </c>
      <c r="N728" s="70" t="s">
        <v>2275</v>
      </c>
      <c r="O728" s="71" t="str">
        <f t="shared" si="81"/>
        <v>ACTIVE</v>
      </c>
      <c r="P728" s="66"/>
      <c r="Q728" s="66"/>
      <c r="R728" s="54"/>
      <c r="S728" s="82"/>
      <c r="T728" s="83" t="str">
        <f t="shared" si="78"/>
        <v/>
      </c>
      <c r="U728" s="10"/>
      <c r="V728" s="41">
        <f>IF(AND(Q728&lt;&gt;"",RIGHT(Q728,3)&lt;&gt;""),IF(COUNTIF($Q$6:Q728,Q728)=1,1,0),0)</f>
        <v>0</v>
      </c>
      <c r="W728" s="41" t="str">
        <f t="shared" si="79"/>
        <v>BA.SAC-SIG.2026.04-6</v>
      </c>
      <c r="X728" s="41" t="str">
        <f t="shared" si="80"/>
        <v/>
      </c>
    </row>
    <row r="729" s="32" customFormat="1" hidden="1" customHeight="1" spans="1:24">
      <c r="A729" s="34"/>
      <c r="B729" s="51">
        <v>724</v>
      </c>
      <c r="C729" s="51" t="s">
        <v>2287</v>
      </c>
      <c r="D729" s="52" t="s">
        <v>1855</v>
      </c>
      <c r="E729" s="53">
        <v>1</v>
      </c>
      <c r="F729" s="54" t="s">
        <v>29</v>
      </c>
      <c r="G729" s="54" t="s">
        <v>2272</v>
      </c>
      <c r="H729" s="54" t="s">
        <v>2272</v>
      </c>
      <c r="I729" s="66">
        <v>46162</v>
      </c>
      <c r="J729" s="54" t="s">
        <v>2273</v>
      </c>
      <c r="K729" s="54" t="s">
        <v>1439</v>
      </c>
      <c r="L729" s="54" t="s">
        <v>2288</v>
      </c>
      <c r="M729" s="95" t="str">
        <f t="shared" si="77"/>
        <v>Open File</v>
      </c>
      <c r="N729" s="70" t="s">
        <v>2275</v>
      </c>
      <c r="O729" s="71" t="str">
        <f t="shared" si="81"/>
        <v>ACTIVE</v>
      </c>
      <c r="P729" s="66"/>
      <c r="Q729" s="66"/>
      <c r="R729" s="54"/>
      <c r="S729" s="82"/>
      <c r="T729" s="83" t="str">
        <f t="shared" si="78"/>
        <v/>
      </c>
      <c r="U729" s="10"/>
      <c r="V729" s="41">
        <f>IF(AND(Q729&lt;&gt;"",RIGHT(Q729,3)&lt;&gt;""),IF(COUNTIF($Q$6:Q729,Q729)=1,1,0),0)</f>
        <v>0</v>
      </c>
      <c r="W729" s="41" t="str">
        <f t="shared" si="79"/>
        <v>BA.SAC-SIG.2026.04-7</v>
      </c>
      <c r="X729" s="41" t="str">
        <f t="shared" si="80"/>
        <v/>
      </c>
    </row>
    <row r="730" s="32" customFormat="1" hidden="1" customHeight="1" spans="1:24">
      <c r="A730" s="34"/>
      <c r="B730" s="51">
        <v>725</v>
      </c>
      <c r="C730" s="51" t="s">
        <v>2289</v>
      </c>
      <c r="D730" s="52" t="s">
        <v>1949</v>
      </c>
      <c r="E730" s="53">
        <v>1</v>
      </c>
      <c r="F730" s="54" t="s">
        <v>29</v>
      </c>
      <c r="G730" s="54" t="s">
        <v>2219</v>
      </c>
      <c r="H730" s="54" t="s">
        <v>2290</v>
      </c>
      <c r="I730" s="66">
        <v>46162</v>
      </c>
      <c r="J730" s="54" t="s">
        <v>2291</v>
      </c>
      <c r="K730" s="54" t="s">
        <v>226</v>
      </c>
      <c r="L730" s="54" t="s">
        <v>2292</v>
      </c>
      <c r="M730" s="97" t="str">
        <f t="shared" si="77"/>
        <v>Open File</v>
      </c>
      <c r="N730" s="70" t="s">
        <v>2293</v>
      </c>
      <c r="O730" s="71" t="str">
        <f t="shared" si="81"/>
        <v>ACTIVE</v>
      </c>
      <c r="P730" s="66"/>
      <c r="Q730" s="66"/>
      <c r="R730" s="54"/>
      <c r="S730" s="82"/>
      <c r="T730" s="83" t="str">
        <f t="shared" si="78"/>
        <v/>
      </c>
      <c r="U730" s="10"/>
      <c r="V730" s="41">
        <f>IF(AND(Q730&lt;&gt;"",RIGHT(Q730,3)&lt;&gt;""),IF(COUNTIF($Q$6:Q730,Q730)=1,1,0),0)</f>
        <v>0</v>
      </c>
      <c r="W730" s="41" t="str">
        <f t="shared" si="79"/>
        <v>BA.SAC-SIG.2026.05-1</v>
      </c>
      <c r="X730" s="41" t="str">
        <f t="shared" si="80"/>
        <v/>
      </c>
    </row>
    <row r="731" s="32" customFormat="1" hidden="1" customHeight="1" spans="1:24">
      <c r="A731" s="34"/>
      <c r="B731" s="51">
        <v>726</v>
      </c>
      <c r="C731" s="51" t="s">
        <v>2294</v>
      </c>
      <c r="D731" s="52" t="s">
        <v>1864</v>
      </c>
      <c r="E731" s="53">
        <v>1</v>
      </c>
      <c r="F731" s="54" t="s">
        <v>29</v>
      </c>
      <c r="G731" s="54" t="s">
        <v>2219</v>
      </c>
      <c r="H731" s="54" t="s">
        <v>2290</v>
      </c>
      <c r="I731" s="66">
        <v>46162</v>
      </c>
      <c r="J731" s="54" t="s">
        <v>2291</v>
      </c>
      <c r="K731" s="54" t="s">
        <v>1239</v>
      </c>
      <c r="L731" s="54" t="s">
        <v>2295</v>
      </c>
      <c r="M731" s="97" t="str">
        <f t="shared" si="77"/>
        <v>Open File</v>
      </c>
      <c r="N731" s="70" t="s">
        <v>2293</v>
      </c>
      <c r="O731" s="71" t="str">
        <f t="shared" si="81"/>
        <v>ACTIVE</v>
      </c>
      <c r="P731" s="66"/>
      <c r="Q731" s="66"/>
      <c r="R731" s="54"/>
      <c r="S731" s="82"/>
      <c r="T731" s="83" t="str">
        <f t="shared" si="78"/>
        <v/>
      </c>
      <c r="U731" s="10"/>
      <c r="V731" s="41">
        <f>IF(AND(Q731&lt;&gt;"",RIGHT(Q731,3)&lt;&gt;""),IF(COUNTIF($Q$6:Q731,Q731)=1,1,0),0)</f>
        <v>0</v>
      </c>
      <c r="W731" s="41" t="str">
        <f t="shared" si="79"/>
        <v>BA.SAC-SIG.2026.05-2</v>
      </c>
      <c r="X731" s="41" t="str">
        <f t="shared" si="80"/>
        <v/>
      </c>
    </row>
    <row r="732" s="32" customFormat="1" hidden="1" customHeight="1" spans="1:24">
      <c r="A732" s="34"/>
      <c r="B732" s="51">
        <v>727</v>
      </c>
      <c r="C732" s="51" t="s">
        <v>2296</v>
      </c>
      <c r="D732" s="52" t="s">
        <v>2297</v>
      </c>
      <c r="E732" s="53">
        <v>1</v>
      </c>
      <c r="F732" s="54" t="s">
        <v>29</v>
      </c>
      <c r="G732" s="54" t="s">
        <v>2219</v>
      </c>
      <c r="H732" s="54" t="s">
        <v>2290</v>
      </c>
      <c r="I732" s="66">
        <v>46162</v>
      </c>
      <c r="J732" s="54" t="s">
        <v>2291</v>
      </c>
      <c r="K732" s="54" t="s">
        <v>1423</v>
      </c>
      <c r="L732" s="54" t="s">
        <v>2298</v>
      </c>
      <c r="M732" s="97" t="str">
        <f t="shared" si="77"/>
        <v>Open File</v>
      </c>
      <c r="N732" s="70" t="s">
        <v>2293</v>
      </c>
      <c r="O732" s="71" t="str">
        <f t="shared" si="81"/>
        <v>ACTIVE</v>
      </c>
      <c r="P732" s="66"/>
      <c r="Q732" s="66"/>
      <c r="R732" s="54"/>
      <c r="S732" s="82"/>
      <c r="T732" s="83" t="str">
        <f t="shared" si="78"/>
        <v/>
      </c>
      <c r="U732" s="10"/>
      <c r="V732" s="41">
        <f>IF(AND(Q732&lt;&gt;"",RIGHT(Q732,3)&lt;&gt;""),IF(COUNTIF($Q$6:Q732,Q732)=1,1,0),0)</f>
        <v>0</v>
      </c>
      <c r="W732" s="41" t="str">
        <f t="shared" si="79"/>
        <v>BA.SAC-SIG.2026.05-3</v>
      </c>
      <c r="X732" s="41" t="str">
        <f t="shared" si="80"/>
        <v/>
      </c>
    </row>
    <row r="733" s="32" customFormat="1" hidden="1" customHeight="1" spans="1:24">
      <c r="A733" s="34"/>
      <c r="B733" s="51">
        <v>728</v>
      </c>
      <c r="C733" s="51" t="s">
        <v>2299</v>
      </c>
      <c r="D733" s="52" t="s">
        <v>2300</v>
      </c>
      <c r="E733" s="53">
        <v>1</v>
      </c>
      <c r="F733" s="54" t="s">
        <v>29</v>
      </c>
      <c r="G733" s="54" t="s">
        <v>2219</v>
      </c>
      <c r="H733" s="54" t="s">
        <v>2290</v>
      </c>
      <c r="I733" s="66">
        <v>46162</v>
      </c>
      <c r="J733" s="54" t="s">
        <v>2291</v>
      </c>
      <c r="K733" s="54" t="s">
        <v>1427</v>
      </c>
      <c r="L733" s="54" t="s">
        <v>2301</v>
      </c>
      <c r="M733" s="97" t="str">
        <f t="shared" si="77"/>
        <v>Open File</v>
      </c>
      <c r="N733" s="70" t="s">
        <v>2293</v>
      </c>
      <c r="O733" s="71" t="str">
        <f t="shared" si="81"/>
        <v>ACTIVE</v>
      </c>
      <c r="P733" s="66"/>
      <c r="Q733" s="66"/>
      <c r="R733" s="54"/>
      <c r="S733" s="82"/>
      <c r="T733" s="83" t="str">
        <f t="shared" si="78"/>
        <v/>
      </c>
      <c r="U733" s="10"/>
      <c r="V733" s="41">
        <f>IF(AND(Q733&lt;&gt;"",RIGHT(Q733,3)&lt;&gt;""),IF(COUNTIF($Q$6:Q733,Q733)=1,1,0),0)</f>
        <v>0</v>
      </c>
      <c r="W733" s="41" t="str">
        <f t="shared" si="79"/>
        <v>BA.SAC-SIG.2026.05-4</v>
      </c>
      <c r="X733" s="41" t="str">
        <f t="shared" si="80"/>
        <v/>
      </c>
    </row>
    <row r="734" s="32" customFormat="1" hidden="1" customHeight="1" spans="1:24">
      <c r="A734" s="34"/>
      <c r="B734" s="51">
        <v>729</v>
      </c>
      <c r="C734" s="51" t="s">
        <v>2302</v>
      </c>
      <c r="D734" s="52" t="s">
        <v>1849</v>
      </c>
      <c r="E734" s="53">
        <v>1</v>
      </c>
      <c r="F734" s="54" t="s">
        <v>29</v>
      </c>
      <c r="G734" s="54" t="s">
        <v>2219</v>
      </c>
      <c r="H734" s="54" t="s">
        <v>2290</v>
      </c>
      <c r="I734" s="66">
        <v>46162</v>
      </c>
      <c r="J734" s="54" t="s">
        <v>2291</v>
      </c>
      <c r="K734" s="54" t="s">
        <v>1431</v>
      </c>
      <c r="L734" s="54" t="s">
        <v>2303</v>
      </c>
      <c r="M734" s="97" t="str">
        <f t="shared" si="77"/>
        <v>Open File</v>
      </c>
      <c r="N734" s="70" t="s">
        <v>2293</v>
      </c>
      <c r="O734" s="71" t="str">
        <f t="shared" si="81"/>
        <v>ACTIVE</v>
      </c>
      <c r="P734" s="66"/>
      <c r="Q734" s="66"/>
      <c r="R734" s="54"/>
      <c r="S734" s="82"/>
      <c r="T734" s="83" t="str">
        <f t="shared" si="78"/>
        <v/>
      </c>
      <c r="U734" s="10"/>
      <c r="V734" s="41">
        <f>IF(AND(Q734&lt;&gt;"",RIGHT(Q734,3)&lt;&gt;""),IF(COUNTIF($Q$6:Q734,Q734)=1,1,0),0)</f>
        <v>0</v>
      </c>
      <c r="W734" s="41" t="str">
        <f t="shared" si="79"/>
        <v>BA.SAC-SIG.2026.05-5</v>
      </c>
      <c r="X734" s="41" t="str">
        <f t="shared" si="80"/>
        <v/>
      </c>
    </row>
    <row r="735" s="32" customFormat="1" hidden="1" customHeight="1" spans="1:24">
      <c r="A735" s="34"/>
      <c r="B735" s="51">
        <v>730</v>
      </c>
      <c r="C735" s="51" t="s">
        <v>2304</v>
      </c>
      <c r="D735" s="52" t="s">
        <v>2233</v>
      </c>
      <c r="E735" s="53">
        <v>1</v>
      </c>
      <c r="F735" s="54" t="s">
        <v>29</v>
      </c>
      <c r="G735" s="54" t="s">
        <v>2219</v>
      </c>
      <c r="H735" s="54" t="s">
        <v>2290</v>
      </c>
      <c r="I735" s="66">
        <v>46162</v>
      </c>
      <c r="J735" s="54" t="s">
        <v>2291</v>
      </c>
      <c r="K735" s="54" t="s">
        <v>1435</v>
      </c>
      <c r="L735" s="54" t="s">
        <v>2305</v>
      </c>
      <c r="M735" s="95" t="str">
        <f t="shared" si="77"/>
        <v>Open File</v>
      </c>
      <c r="N735" s="70" t="s">
        <v>2293</v>
      </c>
      <c r="O735" s="71" t="str">
        <f t="shared" si="81"/>
        <v>ACTIVE</v>
      </c>
      <c r="P735" s="66"/>
      <c r="Q735" s="66"/>
      <c r="R735" s="54"/>
      <c r="S735" s="82"/>
      <c r="T735" s="83" t="str">
        <f t="shared" si="78"/>
        <v/>
      </c>
      <c r="U735" s="10"/>
      <c r="V735" s="41">
        <f>IF(AND(Q735&lt;&gt;"",RIGHT(Q735,3)&lt;&gt;""),IF(COUNTIF($Q$6:Q735,Q735)=1,1,0),0)</f>
        <v>0</v>
      </c>
      <c r="W735" s="41" t="str">
        <f t="shared" si="79"/>
        <v>BA.SAC-SIG.2026.05-6</v>
      </c>
      <c r="X735" s="41" t="str">
        <f t="shared" si="80"/>
        <v/>
      </c>
    </row>
    <row r="736" s="32" customFormat="1" hidden="1" customHeight="1" spans="1:24">
      <c r="A736" s="34"/>
      <c r="B736" s="51">
        <v>731</v>
      </c>
      <c r="C736" s="51" t="s">
        <v>2306</v>
      </c>
      <c r="D736" s="52" t="s">
        <v>1855</v>
      </c>
      <c r="E736" s="53">
        <v>1</v>
      </c>
      <c r="F736" s="54" t="s">
        <v>29</v>
      </c>
      <c r="G736" s="54" t="s">
        <v>2219</v>
      </c>
      <c r="H736" s="54" t="s">
        <v>2290</v>
      </c>
      <c r="I736" s="66">
        <v>46162</v>
      </c>
      <c r="J736" s="54" t="s">
        <v>2291</v>
      </c>
      <c r="K736" s="54" t="s">
        <v>1439</v>
      </c>
      <c r="L736" s="54" t="s">
        <v>2307</v>
      </c>
      <c r="M736" s="97" t="str">
        <f t="shared" si="77"/>
        <v>Open File</v>
      </c>
      <c r="N736" s="70" t="s">
        <v>2293</v>
      </c>
      <c r="O736" s="71" t="str">
        <f t="shared" si="81"/>
        <v>ACTIVE</v>
      </c>
      <c r="P736" s="66"/>
      <c r="Q736" s="66"/>
      <c r="R736" s="54"/>
      <c r="S736" s="82"/>
      <c r="T736" s="83" t="str">
        <f t="shared" si="78"/>
        <v/>
      </c>
      <c r="U736" s="10"/>
      <c r="V736" s="41">
        <f>IF(AND(Q736&lt;&gt;"",RIGHT(Q736,3)&lt;&gt;""),IF(COUNTIF($Q$6:Q736,Q736)=1,1,0),0)</f>
        <v>0</v>
      </c>
      <c r="W736" s="41" t="str">
        <f t="shared" si="79"/>
        <v>BA.SAC-SIG.2026.05-7</v>
      </c>
      <c r="X736" s="41" t="str">
        <f t="shared" si="80"/>
        <v/>
      </c>
    </row>
    <row r="737" s="32" customFormat="1" hidden="1" customHeight="1" spans="1:24">
      <c r="A737" s="34"/>
      <c r="B737" s="51">
        <v>732</v>
      </c>
      <c r="C737" s="51" t="s">
        <v>2308</v>
      </c>
      <c r="D737" s="52" t="s">
        <v>2309</v>
      </c>
      <c r="E737" s="53">
        <v>1</v>
      </c>
      <c r="F737" s="54" t="s">
        <v>29</v>
      </c>
      <c r="G737" s="54" t="s">
        <v>2219</v>
      </c>
      <c r="H737" s="54" t="s">
        <v>2290</v>
      </c>
      <c r="I737" s="66">
        <v>46162</v>
      </c>
      <c r="J737" s="54" t="s">
        <v>2310</v>
      </c>
      <c r="K737" s="54" t="s">
        <v>226</v>
      </c>
      <c r="L737" s="54" t="s">
        <v>2311</v>
      </c>
      <c r="M737" s="97" t="str">
        <f t="shared" si="77"/>
        <v>Open File</v>
      </c>
      <c r="N737" s="70" t="s">
        <v>2312</v>
      </c>
      <c r="O737" s="71" t="str">
        <f t="shared" si="81"/>
        <v>ACTIVE</v>
      </c>
      <c r="P737" s="66"/>
      <c r="Q737" s="66"/>
      <c r="R737" s="54"/>
      <c r="S737" s="82"/>
      <c r="T737" s="83" t="str">
        <f t="shared" si="78"/>
        <v/>
      </c>
      <c r="U737" s="10"/>
      <c r="V737" s="41">
        <f>IF(AND(Q737&lt;&gt;"",RIGHT(Q737,3)&lt;&gt;""),IF(COUNTIF($Q$6:Q737,Q737)=1,1,0),0)</f>
        <v>0</v>
      </c>
      <c r="W737" s="41" t="str">
        <f t="shared" si="79"/>
        <v>BA.SAC-SIG.2026.06-1</v>
      </c>
      <c r="X737" s="41" t="str">
        <f t="shared" si="80"/>
        <v/>
      </c>
    </row>
    <row r="738" s="32" customFormat="1" hidden="1" customHeight="1" spans="1:24">
      <c r="A738" s="34"/>
      <c r="B738" s="51">
        <v>733</v>
      </c>
      <c r="C738" s="51" t="s">
        <v>2313</v>
      </c>
      <c r="D738" s="52" t="s">
        <v>1864</v>
      </c>
      <c r="E738" s="53">
        <v>1</v>
      </c>
      <c r="F738" s="54" t="s">
        <v>29</v>
      </c>
      <c r="G738" s="54" t="s">
        <v>2219</v>
      </c>
      <c r="H738" s="54" t="s">
        <v>2290</v>
      </c>
      <c r="I738" s="66">
        <v>46162</v>
      </c>
      <c r="J738" s="54" t="s">
        <v>2310</v>
      </c>
      <c r="K738" s="54" t="s">
        <v>1239</v>
      </c>
      <c r="L738" s="54" t="s">
        <v>2314</v>
      </c>
      <c r="M738" s="97" t="str">
        <f t="shared" si="77"/>
        <v>Open File</v>
      </c>
      <c r="N738" s="70" t="s">
        <v>2312</v>
      </c>
      <c r="O738" s="71" t="str">
        <f t="shared" si="81"/>
        <v>ACTIVE</v>
      </c>
      <c r="P738" s="66"/>
      <c r="Q738" s="66"/>
      <c r="R738" s="54"/>
      <c r="S738" s="82"/>
      <c r="T738" s="83" t="str">
        <f t="shared" si="78"/>
        <v/>
      </c>
      <c r="U738" s="10"/>
      <c r="V738" s="41">
        <f>IF(AND(Q738&lt;&gt;"",RIGHT(Q738,3)&lt;&gt;""),IF(COUNTIF($Q$6:Q738,Q738)=1,1,0),0)</f>
        <v>0</v>
      </c>
      <c r="W738" s="41" t="str">
        <f t="shared" si="79"/>
        <v>BA.SAC-SIG.2026.06-2</v>
      </c>
      <c r="X738" s="41" t="str">
        <f t="shared" si="80"/>
        <v/>
      </c>
    </row>
    <row r="739" s="32" customFormat="1" hidden="1" customHeight="1" spans="1:24">
      <c r="A739" s="34"/>
      <c r="B739" s="51">
        <v>734</v>
      </c>
      <c r="C739" s="51" t="s">
        <v>2315</v>
      </c>
      <c r="D739" s="52" t="s">
        <v>2316</v>
      </c>
      <c r="E739" s="53">
        <v>1</v>
      </c>
      <c r="F739" s="54" t="s">
        <v>29</v>
      </c>
      <c r="G739" s="54" t="s">
        <v>2219</v>
      </c>
      <c r="H739" s="54" t="s">
        <v>2290</v>
      </c>
      <c r="I739" s="66">
        <v>46162</v>
      </c>
      <c r="J739" s="54" t="s">
        <v>2310</v>
      </c>
      <c r="K739" s="54" t="s">
        <v>1423</v>
      </c>
      <c r="L739" s="54" t="s">
        <v>2317</v>
      </c>
      <c r="M739" s="97" t="str">
        <f t="shared" si="77"/>
        <v>Open File</v>
      </c>
      <c r="N739" s="70" t="s">
        <v>2312</v>
      </c>
      <c r="O739" s="71" t="str">
        <f t="shared" si="81"/>
        <v>ACTIVE</v>
      </c>
      <c r="P739" s="66"/>
      <c r="Q739" s="66"/>
      <c r="R739" s="54"/>
      <c r="S739" s="82"/>
      <c r="T739" s="83" t="str">
        <f t="shared" si="78"/>
        <v/>
      </c>
      <c r="U739" s="10"/>
      <c r="V739" s="41">
        <f>IF(AND(Q739&lt;&gt;"",RIGHT(Q739,3)&lt;&gt;""),IF(COUNTIF($Q$6:Q739,Q739)=1,1,0),0)</f>
        <v>0</v>
      </c>
      <c r="W739" s="41" t="str">
        <f t="shared" si="79"/>
        <v>BA.SAC-SIG.2026.06-3</v>
      </c>
      <c r="X739" s="41" t="str">
        <f t="shared" si="80"/>
        <v/>
      </c>
    </row>
    <row r="740" s="32" customFormat="1" hidden="1" customHeight="1" spans="1:24">
      <c r="A740" s="34"/>
      <c r="B740" s="51">
        <v>735</v>
      </c>
      <c r="C740" s="51" t="s">
        <v>2318</v>
      </c>
      <c r="D740" s="52" t="s">
        <v>2319</v>
      </c>
      <c r="E740" s="53">
        <v>1</v>
      </c>
      <c r="F740" s="54" t="s">
        <v>29</v>
      </c>
      <c r="G740" s="54" t="s">
        <v>2219</v>
      </c>
      <c r="H740" s="54" t="s">
        <v>2290</v>
      </c>
      <c r="I740" s="66">
        <v>46162</v>
      </c>
      <c r="J740" s="54" t="s">
        <v>2310</v>
      </c>
      <c r="K740" s="54" t="s">
        <v>1427</v>
      </c>
      <c r="L740" s="54" t="s">
        <v>2320</v>
      </c>
      <c r="M740" s="97" t="str">
        <f t="shared" ref="M740:M803" si="82">IF(L740="","",HYPERLINK(_xlfn.CONCAT($L$4,L740,".jpg"),"Open File"))</f>
        <v>Open File</v>
      </c>
      <c r="N740" s="70" t="s">
        <v>2312</v>
      </c>
      <c r="O740" s="71" t="str">
        <f t="shared" si="81"/>
        <v>ACTIVE</v>
      </c>
      <c r="P740" s="66"/>
      <c r="Q740" s="66"/>
      <c r="R740" s="54"/>
      <c r="S740" s="82"/>
      <c r="T740" s="83" t="str">
        <f t="shared" ref="T740:T803" si="83">IF(S740="","",HYPERLINK(_xlfn.CONCAT($S$4,S740,".jpg"),"Open File"))</f>
        <v/>
      </c>
      <c r="U740" s="10"/>
      <c r="V740" s="41">
        <f>IF(AND(Q740&lt;&gt;"",RIGHT(Q740,3)&lt;&gt;""),IF(COUNTIF($Q$6:Q740,Q740)=1,1,0),0)</f>
        <v>0</v>
      </c>
      <c r="W740" s="41" t="str">
        <f t="shared" ref="W740:W803" si="84">IF(AND(J740&lt;&gt;"",K740&lt;&gt;""),_xlfn.CONCAT(SUBSTITUTE(J740,"/","."),"-",K740),"")</f>
        <v>BA.SAC-SIG.2026.06-4</v>
      </c>
      <c r="X740" s="41" t="str">
        <f t="shared" ref="X740:X803" si="85">IF(AND(Q740&lt;&gt;"",R740&lt;&gt;""),_xlfn.CONCAT(SUBSTITUTE(Q740,"/","."),"-",R740),"")</f>
        <v/>
      </c>
    </row>
    <row r="741" s="32" customFormat="1" hidden="1" customHeight="1" spans="1:24">
      <c r="A741" s="34"/>
      <c r="B741" s="51">
        <v>736</v>
      </c>
      <c r="C741" s="51" t="s">
        <v>2321</v>
      </c>
      <c r="D741" s="52" t="s">
        <v>2322</v>
      </c>
      <c r="E741" s="53">
        <v>1</v>
      </c>
      <c r="F741" s="54" t="s">
        <v>29</v>
      </c>
      <c r="G741" s="54" t="s">
        <v>2219</v>
      </c>
      <c r="H741" s="54" t="s">
        <v>2290</v>
      </c>
      <c r="I741" s="66">
        <v>46162</v>
      </c>
      <c r="J741" s="54" t="s">
        <v>2323</v>
      </c>
      <c r="K741" s="54" t="s">
        <v>226</v>
      </c>
      <c r="L741" s="54" t="s">
        <v>2324</v>
      </c>
      <c r="M741" s="95" t="str">
        <f t="shared" si="82"/>
        <v>Open File</v>
      </c>
      <c r="N741" s="70" t="s">
        <v>2325</v>
      </c>
      <c r="O741" s="71" t="str">
        <f t="shared" si="81"/>
        <v>ACTIVE</v>
      </c>
      <c r="P741" s="66"/>
      <c r="Q741" s="66"/>
      <c r="R741" s="54"/>
      <c r="S741" s="82"/>
      <c r="T741" s="83" t="str">
        <f t="shared" si="83"/>
        <v/>
      </c>
      <c r="U741" s="10"/>
      <c r="V741" s="41">
        <f>IF(AND(Q741&lt;&gt;"",RIGHT(Q741,3)&lt;&gt;""),IF(COUNTIF($Q$6:Q741,Q741)=1,1,0),0)</f>
        <v>0</v>
      </c>
      <c r="W741" s="41" t="str">
        <f t="shared" si="84"/>
        <v>BA.SAC-SIG.2026.07-1</v>
      </c>
      <c r="X741" s="41" t="str">
        <f t="shared" si="85"/>
        <v/>
      </c>
    </row>
    <row r="742" s="32" customFormat="1" hidden="1" customHeight="1" spans="1:24">
      <c r="A742" s="34"/>
      <c r="B742" s="51">
        <v>737</v>
      </c>
      <c r="C742" s="51" t="s">
        <v>2326</v>
      </c>
      <c r="D742" s="52" t="s">
        <v>2327</v>
      </c>
      <c r="E742" s="53">
        <v>1</v>
      </c>
      <c r="F742" s="54" t="s">
        <v>29</v>
      </c>
      <c r="G742" s="54" t="s">
        <v>2328</v>
      </c>
      <c r="H742" s="54" t="s">
        <v>2328</v>
      </c>
      <c r="I742" s="66">
        <v>46157</v>
      </c>
      <c r="J742" s="54" t="s">
        <v>2329</v>
      </c>
      <c r="K742" s="54" t="s">
        <v>226</v>
      </c>
      <c r="L742" s="54" t="s">
        <v>2330</v>
      </c>
      <c r="M742" s="97" t="str">
        <f t="shared" si="82"/>
        <v>Open File</v>
      </c>
      <c r="N742" s="70" t="s">
        <v>2331</v>
      </c>
      <c r="O742" s="71" t="str">
        <f t="shared" si="81"/>
        <v>ACTIVE</v>
      </c>
      <c r="P742" s="66"/>
      <c r="Q742" s="66"/>
      <c r="R742" s="54"/>
      <c r="S742" s="82"/>
      <c r="T742" s="83" t="str">
        <f t="shared" si="83"/>
        <v/>
      </c>
      <c r="U742" s="10"/>
      <c r="V742" s="41">
        <f>IF(AND(Q742&lt;&gt;"",RIGHT(Q742,3)&lt;&gt;""),IF(COUNTIF($Q$6:Q742,Q742)=1,1,0),0)</f>
        <v>0</v>
      </c>
      <c r="W742" s="41" t="str">
        <f t="shared" si="84"/>
        <v>BA.SC-SIG.2026.01-1</v>
      </c>
      <c r="X742" s="41" t="str">
        <f t="shared" si="85"/>
        <v/>
      </c>
    </row>
    <row r="743" s="32" customFormat="1" hidden="1" customHeight="1" spans="1:24">
      <c r="A743" s="34"/>
      <c r="B743" s="51">
        <v>738</v>
      </c>
      <c r="C743" s="51" t="s">
        <v>2332</v>
      </c>
      <c r="D743" s="52" t="s">
        <v>1880</v>
      </c>
      <c r="E743" s="53">
        <v>1</v>
      </c>
      <c r="F743" s="54" t="s">
        <v>29</v>
      </c>
      <c r="G743" s="54" t="s">
        <v>2328</v>
      </c>
      <c r="H743" s="54" t="s">
        <v>2328</v>
      </c>
      <c r="I743" s="66">
        <v>46157</v>
      </c>
      <c r="J743" s="54" t="s">
        <v>2329</v>
      </c>
      <c r="K743" s="54" t="s">
        <v>1239</v>
      </c>
      <c r="L743" s="54" t="s">
        <v>2333</v>
      </c>
      <c r="M743" s="97" t="str">
        <f t="shared" si="82"/>
        <v>Open File</v>
      </c>
      <c r="N743" s="70" t="s">
        <v>2331</v>
      </c>
      <c r="O743" s="71" t="str">
        <f t="shared" si="81"/>
        <v>ACTIVE</v>
      </c>
      <c r="P743" s="66"/>
      <c r="Q743" s="66"/>
      <c r="R743" s="54"/>
      <c r="S743" s="82"/>
      <c r="T743" s="83" t="str">
        <f t="shared" si="83"/>
        <v/>
      </c>
      <c r="U743" s="10"/>
      <c r="V743" s="41">
        <f>IF(AND(Q743&lt;&gt;"",RIGHT(Q743,3)&lt;&gt;""),IF(COUNTIF($Q$6:Q743,Q743)=1,1,0),0)</f>
        <v>0</v>
      </c>
      <c r="W743" s="41" t="str">
        <f t="shared" si="84"/>
        <v>BA.SC-SIG.2026.01-2</v>
      </c>
      <c r="X743" s="41" t="str">
        <f t="shared" si="85"/>
        <v/>
      </c>
    </row>
    <row r="744" s="32" customFormat="1" hidden="1" customHeight="1" spans="1:24">
      <c r="A744" s="34"/>
      <c r="B744" s="51">
        <v>739</v>
      </c>
      <c r="C744" s="51" t="s">
        <v>2334</v>
      </c>
      <c r="D744" s="52" t="s">
        <v>2335</v>
      </c>
      <c r="E744" s="53">
        <v>1</v>
      </c>
      <c r="F744" s="54" t="s">
        <v>29</v>
      </c>
      <c r="G744" s="54" t="s">
        <v>2328</v>
      </c>
      <c r="H744" s="54" t="s">
        <v>2328</v>
      </c>
      <c r="I744" s="66">
        <v>46157</v>
      </c>
      <c r="J744" s="54" t="s">
        <v>2329</v>
      </c>
      <c r="K744" s="54" t="s">
        <v>1423</v>
      </c>
      <c r="L744" s="54" t="s">
        <v>2336</v>
      </c>
      <c r="M744" s="97" t="str">
        <f t="shared" si="82"/>
        <v>Open File</v>
      </c>
      <c r="N744" s="70" t="s">
        <v>2331</v>
      </c>
      <c r="O744" s="71" t="str">
        <f t="shared" si="81"/>
        <v>ACTIVE</v>
      </c>
      <c r="P744" s="66"/>
      <c r="Q744" s="66"/>
      <c r="R744" s="54"/>
      <c r="S744" s="82"/>
      <c r="T744" s="83" t="str">
        <f t="shared" si="83"/>
        <v/>
      </c>
      <c r="U744" s="10"/>
      <c r="V744" s="41">
        <f>IF(AND(Q744&lt;&gt;"",RIGHT(Q744,3)&lt;&gt;""),IF(COUNTIF($Q$6:Q744,Q744)=1,1,0),0)</f>
        <v>0</v>
      </c>
      <c r="W744" s="41" t="str">
        <f t="shared" si="84"/>
        <v>BA.SC-SIG.2026.01-3</v>
      </c>
      <c r="X744" s="41" t="str">
        <f t="shared" si="85"/>
        <v/>
      </c>
    </row>
    <row r="745" s="32" customFormat="1" hidden="1" customHeight="1" spans="1:24">
      <c r="A745" s="34"/>
      <c r="B745" s="51">
        <v>740</v>
      </c>
      <c r="C745" s="51" t="s">
        <v>2337</v>
      </c>
      <c r="D745" s="52" t="s">
        <v>2338</v>
      </c>
      <c r="E745" s="53">
        <v>1</v>
      </c>
      <c r="F745" s="54" t="s">
        <v>29</v>
      </c>
      <c r="G745" s="54" t="s">
        <v>2328</v>
      </c>
      <c r="H745" s="54" t="s">
        <v>2328</v>
      </c>
      <c r="I745" s="66">
        <v>46157</v>
      </c>
      <c r="J745" s="54" t="s">
        <v>2329</v>
      </c>
      <c r="K745" s="54" t="s">
        <v>1427</v>
      </c>
      <c r="L745" s="54" t="s">
        <v>2339</v>
      </c>
      <c r="M745" s="97" t="str">
        <f t="shared" si="82"/>
        <v>Open File</v>
      </c>
      <c r="N745" s="70" t="s">
        <v>2331</v>
      </c>
      <c r="O745" s="71" t="str">
        <f t="shared" si="81"/>
        <v>ACTIVE</v>
      </c>
      <c r="P745" s="66"/>
      <c r="Q745" s="66"/>
      <c r="R745" s="54"/>
      <c r="S745" s="82"/>
      <c r="T745" s="83" t="str">
        <f t="shared" si="83"/>
        <v/>
      </c>
      <c r="U745" s="10"/>
      <c r="V745" s="41">
        <f>IF(AND(Q745&lt;&gt;"",RIGHT(Q745,3)&lt;&gt;""),IF(COUNTIF($Q$6:Q745,Q745)=1,1,0),0)</f>
        <v>0</v>
      </c>
      <c r="W745" s="41" t="str">
        <f t="shared" si="84"/>
        <v>BA.SC-SIG.2026.01-4</v>
      </c>
      <c r="X745" s="41" t="str">
        <f t="shared" si="85"/>
        <v/>
      </c>
    </row>
    <row r="746" s="32" customFormat="1" hidden="1" customHeight="1" spans="1:24">
      <c r="A746" s="34"/>
      <c r="B746" s="51">
        <v>741</v>
      </c>
      <c r="C746" s="51" t="s">
        <v>2340</v>
      </c>
      <c r="D746" s="52" t="s">
        <v>1999</v>
      </c>
      <c r="E746" s="53">
        <v>1</v>
      </c>
      <c r="F746" s="54" t="s">
        <v>29</v>
      </c>
      <c r="G746" s="54" t="s">
        <v>2328</v>
      </c>
      <c r="H746" s="54" t="s">
        <v>2328</v>
      </c>
      <c r="I746" s="66">
        <v>46157</v>
      </c>
      <c r="J746" s="54" t="s">
        <v>2329</v>
      </c>
      <c r="K746" s="54" t="s">
        <v>1431</v>
      </c>
      <c r="L746" s="54" t="s">
        <v>2341</v>
      </c>
      <c r="M746" s="95" t="str">
        <f t="shared" si="82"/>
        <v>Open File</v>
      </c>
      <c r="N746" s="70" t="s">
        <v>2331</v>
      </c>
      <c r="O746" s="71" t="str">
        <f t="shared" si="81"/>
        <v>ACTIVE</v>
      </c>
      <c r="P746" s="66"/>
      <c r="Q746" s="66"/>
      <c r="R746" s="54"/>
      <c r="S746" s="82"/>
      <c r="T746" s="83" t="str">
        <f t="shared" si="83"/>
        <v/>
      </c>
      <c r="U746" s="10"/>
      <c r="V746" s="41">
        <f>IF(AND(Q746&lt;&gt;"",RIGHT(Q746,3)&lt;&gt;""),IF(COUNTIF($Q$6:Q746,Q746)=1,1,0),0)</f>
        <v>0</v>
      </c>
      <c r="W746" s="41" t="str">
        <f t="shared" si="84"/>
        <v>BA.SC-SIG.2026.01-5</v>
      </c>
      <c r="X746" s="41" t="str">
        <f t="shared" si="85"/>
        <v/>
      </c>
    </row>
    <row r="747" s="32" customFormat="1" hidden="1" customHeight="1" spans="1:24">
      <c r="A747" s="34"/>
      <c r="B747" s="51">
        <v>742</v>
      </c>
      <c r="C747" s="51" t="s">
        <v>2342</v>
      </c>
      <c r="D747" s="52" t="s">
        <v>2343</v>
      </c>
      <c r="E747" s="53">
        <v>1</v>
      </c>
      <c r="F747" s="54" t="s">
        <v>29</v>
      </c>
      <c r="G747" s="54" t="s">
        <v>2328</v>
      </c>
      <c r="H747" s="54" t="s">
        <v>2328</v>
      </c>
      <c r="I747" s="66">
        <v>46157</v>
      </c>
      <c r="J747" s="54" t="s">
        <v>2329</v>
      </c>
      <c r="K747" s="54" t="s">
        <v>1435</v>
      </c>
      <c r="L747" s="54" t="s">
        <v>2344</v>
      </c>
      <c r="M747" s="97" t="str">
        <f t="shared" si="82"/>
        <v>Open File</v>
      </c>
      <c r="N747" s="70" t="s">
        <v>2331</v>
      </c>
      <c r="O747" s="71" t="str">
        <f t="shared" si="81"/>
        <v>ACTIVE</v>
      </c>
      <c r="P747" s="66"/>
      <c r="Q747" s="66"/>
      <c r="R747" s="54"/>
      <c r="S747" s="82"/>
      <c r="T747" s="83" t="str">
        <f t="shared" si="83"/>
        <v/>
      </c>
      <c r="U747" s="10"/>
      <c r="V747" s="41">
        <f>IF(AND(Q747&lt;&gt;"",RIGHT(Q747,3)&lt;&gt;""),IF(COUNTIF($Q$6:Q747,Q747)=1,1,0),0)</f>
        <v>0</v>
      </c>
      <c r="W747" s="41" t="str">
        <f t="shared" si="84"/>
        <v>BA.SC-SIG.2026.01-6</v>
      </c>
      <c r="X747" s="41" t="str">
        <f t="shared" si="85"/>
        <v/>
      </c>
    </row>
    <row r="748" s="32" customFormat="1" hidden="1" customHeight="1" spans="1:24">
      <c r="A748" s="34"/>
      <c r="B748" s="51">
        <v>743</v>
      </c>
      <c r="C748" s="51" t="s">
        <v>2345</v>
      </c>
      <c r="D748" s="52" t="s">
        <v>1855</v>
      </c>
      <c r="E748" s="53">
        <v>1</v>
      </c>
      <c r="F748" s="54" t="s">
        <v>29</v>
      </c>
      <c r="G748" s="54" t="s">
        <v>2328</v>
      </c>
      <c r="H748" s="54" t="s">
        <v>2328</v>
      </c>
      <c r="I748" s="66">
        <v>46157</v>
      </c>
      <c r="J748" s="54" t="s">
        <v>2329</v>
      </c>
      <c r="K748" s="54" t="s">
        <v>1439</v>
      </c>
      <c r="L748" s="54" t="s">
        <v>2346</v>
      </c>
      <c r="M748" s="97" t="str">
        <f t="shared" si="82"/>
        <v>Open File</v>
      </c>
      <c r="N748" s="70" t="s">
        <v>2331</v>
      </c>
      <c r="O748" s="71" t="str">
        <f t="shared" si="81"/>
        <v>ACTIVE</v>
      </c>
      <c r="P748" s="66"/>
      <c r="Q748" s="66"/>
      <c r="R748" s="54"/>
      <c r="S748" s="82"/>
      <c r="T748" s="83" t="str">
        <f t="shared" si="83"/>
        <v/>
      </c>
      <c r="U748" s="10"/>
      <c r="V748" s="41">
        <f>IF(AND(Q748&lt;&gt;"",RIGHT(Q748,3)&lt;&gt;""),IF(COUNTIF($Q$6:Q748,Q748)=1,1,0),0)</f>
        <v>0</v>
      </c>
      <c r="W748" s="41" t="str">
        <f t="shared" si="84"/>
        <v>BA.SC-SIG.2026.01-7</v>
      </c>
      <c r="X748" s="41" t="str">
        <f t="shared" si="85"/>
        <v/>
      </c>
    </row>
    <row r="749" s="32" customFormat="1" hidden="1" customHeight="1" spans="1:24">
      <c r="A749" s="34"/>
      <c r="B749" s="51">
        <v>744</v>
      </c>
      <c r="C749" s="51" t="s">
        <v>2347</v>
      </c>
      <c r="D749" s="52" t="s">
        <v>1855</v>
      </c>
      <c r="E749" s="53">
        <v>1</v>
      </c>
      <c r="F749" s="54" t="s">
        <v>29</v>
      </c>
      <c r="G749" s="54" t="s">
        <v>2348</v>
      </c>
      <c r="H749" s="54" t="s">
        <v>2348</v>
      </c>
      <c r="I749" s="66">
        <v>46157</v>
      </c>
      <c r="J749" s="54" t="s">
        <v>2349</v>
      </c>
      <c r="K749" s="54" t="s">
        <v>226</v>
      </c>
      <c r="L749" s="54" t="s">
        <v>2350</v>
      </c>
      <c r="M749" s="95" t="str">
        <f t="shared" si="82"/>
        <v>Open File</v>
      </c>
      <c r="N749" s="70" t="s">
        <v>2351</v>
      </c>
      <c r="O749" s="71" t="str">
        <f t="shared" si="81"/>
        <v>ACTIVE</v>
      </c>
      <c r="P749" s="66"/>
      <c r="Q749" s="66"/>
      <c r="R749" s="54"/>
      <c r="S749" s="82"/>
      <c r="T749" s="83" t="str">
        <f t="shared" si="83"/>
        <v/>
      </c>
      <c r="U749" s="10"/>
      <c r="V749" s="41">
        <f>IF(AND(Q749&lt;&gt;"",RIGHT(Q749,3)&lt;&gt;""),IF(COUNTIF($Q$6:Q749,Q749)=1,1,0),0)</f>
        <v>0</v>
      </c>
      <c r="W749" s="41" t="str">
        <f t="shared" si="84"/>
        <v>BA.SC-SIG.2026.02-1</v>
      </c>
      <c r="X749" s="41" t="str">
        <f t="shared" si="85"/>
        <v/>
      </c>
    </row>
    <row r="750" s="32" customFormat="1" hidden="1" customHeight="1" spans="1:24">
      <c r="A750" s="34"/>
      <c r="B750" s="51">
        <v>745</v>
      </c>
      <c r="C750" s="51" t="s">
        <v>2352</v>
      </c>
      <c r="D750" s="52" t="s">
        <v>2353</v>
      </c>
      <c r="E750" s="53">
        <v>1</v>
      </c>
      <c r="F750" s="54" t="s">
        <v>29</v>
      </c>
      <c r="G750" s="54" t="s">
        <v>2348</v>
      </c>
      <c r="H750" s="54" t="s">
        <v>2348</v>
      </c>
      <c r="I750" s="66">
        <v>46157</v>
      </c>
      <c r="J750" s="54" t="s">
        <v>2349</v>
      </c>
      <c r="K750" s="54" t="s">
        <v>1239</v>
      </c>
      <c r="L750" s="54" t="s">
        <v>2354</v>
      </c>
      <c r="M750" s="97" t="str">
        <f t="shared" si="82"/>
        <v>Open File</v>
      </c>
      <c r="N750" s="70" t="s">
        <v>2351</v>
      </c>
      <c r="O750" s="71" t="str">
        <f t="shared" si="81"/>
        <v>ACTIVE</v>
      </c>
      <c r="P750" s="66"/>
      <c r="Q750" s="66"/>
      <c r="R750" s="54"/>
      <c r="S750" s="82"/>
      <c r="T750" s="83" t="str">
        <f t="shared" si="83"/>
        <v/>
      </c>
      <c r="U750" s="10"/>
      <c r="V750" s="41">
        <f>IF(AND(Q750&lt;&gt;"",RIGHT(Q750,3)&lt;&gt;""),IF(COUNTIF($Q$6:Q750,Q750)=1,1,0),0)</f>
        <v>0</v>
      </c>
      <c r="W750" s="41" t="str">
        <f t="shared" si="84"/>
        <v>BA.SC-SIG.2026.02-2</v>
      </c>
      <c r="X750" s="41" t="str">
        <f t="shared" si="85"/>
        <v/>
      </c>
    </row>
    <row r="751" s="32" customFormat="1" hidden="1" customHeight="1" spans="1:24">
      <c r="A751" s="34"/>
      <c r="B751" s="51">
        <v>746</v>
      </c>
      <c r="C751" s="51" t="s">
        <v>2355</v>
      </c>
      <c r="D751" s="52" t="s">
        <v>1864</v>
      </c>
      <c r="E751" s="53">
        <v>1</v>
      </c>
      <c r="F751" s="54" t="s">
        <v>29</v>
      </c>
      <c r="G751" s="54" t="s">
        <v>2348</v>
      </c>
      <c r="H751" s="54" t="s">
        <v>2348</v>
      </c>
      <c r="I751" s="66">
        <v>46157</v>
      </c>
      <c r="J751" s="54" t="s">
        <v>2349</v>
      </c>
      <c r="K751" s="54" t="s">
        <v>1423</v>
      </c>
      <c r="L751" s="54" t="s">
        <v>2356</v>
      </c>
      <c r="M751" s="97" t="str">
        <f t="shared" si="82"/>
        <v>Open File</v>
      </c>
      <c r="N751" s="70" t="s">
        <v>2351</v>
      </c>
      <c r="O751" s="71" t="str">
        <f t="shared" si="81"/>
        <v>ACTIVE</v>
      </c>
      <c r="P751" s="66"/>
      <c r="Q751" s="66"/>
      <c r="R751" s="54"/>
      <c r="S751" s="82"/>
      <c r="T751" s="83" t="str">
        <f t="shared" si="83"/>
        <v/>
      </c>
      <c r="U751" s="10"/>
      <c r="V751" s="41">
        <f>IF(AND(Q751&lt;&gt;"",RIGHT(Q751,3)&lt;&gt;""),IF(COUNTIF($Q$6:Q751,Q751)=1,1,0),0)</f>
        <v>0</v>
      </c>
      <c r="W751" s="41" t="str">
        <f t="shared" si="84"/>
        <v>BA.SC-SIG.2026.02-3</v>
      </c>
      <c r="X751" s="41" t="str">
        <f t="shared" si="85"/>
        <v/>
      </c>
    </row>
    <row r="752" s="32" customFormat="1" hidden="1" customHeight="1" spans="1:24">
      <c r="A752" s="34"/>
      <c r="B752" s="51">
        <v>747</v>
      </c>
      <c r="C752" s="51" t="s">
        <v>2357</v>
      </c>
      <c r="D752" s="52" t="s">
        <v>2358</v>
      </c>
      <c r="E752" s="53">
        <v>1</v>
      </c>
      <c r="F752" s="54" t="s">
        <v>29</v>
      </c>
      <c r="G752" s="54" t="s">
        <v>2348</v>
      </c>
      <c r="H752" s="54" t="s">
        <v>2348</v>
      </c>
      <c r="I752" s="66">
        <v>46157</v>
      </c>
      <c r="J752" s="54" t="s">
        <v>2349</v>
      </c>
      <c r="K752" s="54" t="s">
        <v>1427</v>
      </c>
      <c r="L752" s="54" t="s">
        <v>2359</v>
      </c>
      <c r="M752" s="97" t="str">
        <f t="shared" si="82"/>
        <v>Open File</v>
      </c>
      <c r="N752" s="70" t="s">
        <v>2351</v>
      </c>
      <c r="O752" s="71" t="str">
        <f t="shared" si="81"/>
        <v>ACTIVE</v>
      </c>
      <c r="P752" s="66"/>
      <c r="Q752" s="66"/>
      <c r="R752" s="54"/>
      <c r="S752" s="82"/>
      <c r="T752" s="83" t="str">
        <f t="shared" si="83"/>
        <v/>
      </c>
      <c r="U752" s="10"/>
      <c r="V752" s="41">
        <f>IF(AND(Q752&lt;&gt;"",RIGHT(Q752,3)&lt;&gt;""),IF(COUNTIF($Q$6:Q752,Q752)=1,1,0),0)</f>
        <v>0</v>
      </c>
      <c r="W752" s="41" t="str">
        <f t="shared" si="84"/>
        <v>BA.SC-SIG.2026.02-4</v>
      </c>
      <c r="X752" s="41" t="str">
        <f t="shared" si="85"/>
        <v/>
      </c>
    </row>
    <row r="753" s="32" customFormat="1" hidden="1" customHeight="1" spans="1:24">
      <c r="A753" s="34"/>
      <c r="B753" s="51">
        <v>748</v>
      </c>
      <c r="C753" s="51" t="s">
        <v>2360</v>
      </c>
      <c r="D753" s="52" t="s">
        <v>1966</v>
      </c>
      <c r="E753" s="53">
        <v>1</v>
      </c>
      <c r="F753" s="54" t="s">
        <v>29</v>
      </c>
      <c r="G753" s="54" t="s">
        <v>2348</v>
      </c>
      <c r="H753" s="54" t="s">
        <v>2348</v>
      </c>
      <c r="I753" s="66">
        <v>46157</v>
      </c>
      <c r="J753" s="54" t="s">
        <v>2349</v>
      </c>
      <c r="K753" s="54" t="s">
        <v>1431</v>
      </c>
      <c r="L753" s="54" t="s">
        <v>2361</v>
      </c>
      <c r="M753" s="97" t="str">
        <f t="shared" si="82"/>
        <v>Open File</v>
      </c>
      <c r="N753" s="70" t="s">
        <v>2351</v>
      </c>
      <c r="O753" s="71" t="str">
        <f t="shared" ref="O753:O816" si="86">IF(AND(Q753&lt;&gt;"",T753&lt;&gt;""),"PASSIVE",IF(AND(J753&lt;&gt;"",M753&lt;&gt;""),"ACTIVE",""))</f>
        <v>ACTIVE</v>
      </c>
      <c r="P753" s="66"/>
      <c r="Q753" s="66"/>
      <c r="R753" s="54"/>
      <c r="S753" s="82"/>
      <c r="T753" s="83" t="str">
        <f t="shared" si="83"/>
        <v/>
      </c>
      <c r="U753" s="10"/>
      <c r="V753" s="41">
        <f>IF(AND(Q753&lt;&gt;"",RIGHT(Q753,3)&lt;&gt;""),IF(COUNTIF($Q$6:Q753,Q753)=1,1,0),0)</f>
        <v>0</v>
      </c>
      <c r="W753" s="41" t="str">
        <f t="shared" si="84"/>
        <v>BA.SC-SIG.2026.02-5</v>
      </c>
      <c r="X753" s="41" t="str">
        <f t="shared" si="85"/>
        <v/>
      </c>
    </row>
    <row r="754" s="32" customFormat="1" hidden="1" customHeight="1" spans="1:24">
      <c r="A754" s="34"/>
      <c r="B754" s="51">
        <v>749</v>
      </c>
      <c r="C754" s="51" t="s">
        <v>2362</v>
      </c>
      <c r="D754" s="52" t="s">
        <v>2269</v>
      </c>
      <c r="E754" s="53">
        <v>1</v>
      </c>
      <c r="F754" s="54" t="s">
        <v>29</v>
      </c>
      <c r="G754" s="54" t="s">
        <v>2348</v>
      </c>
      <c r="H754" s="54" t="s">
        <v>2348</v>
      </c>
      <c r="I754" s="66">
        <v>46157</v>
      </c>
      <c r="J754" s="54" t="s">
        <v>2349</v>
      </c>
      <c r="K754" s="54" t="s">
        <v>1435</v>
      </c>
      <c r="L754" s="54" t="s">
        <v>2363</v>
      </c>
      <c r="M754" s="97" t="str">
        <f t="shared" si="82"/>
        <v>Open File</v>
      </c>
      <c r="N754" s="70" t="s">
        <v>2351</v>
      </c>
      <c r="O754" s="71" t="str">
        <f t="shared" si="86"/>
        <v>ACTIVE</v>
      </c>
      <c r="P754" s="66"/>
      <c r="Q754" s="66"/>
      <c r="R754" s="54"/>
      <c r="S754" s="82"/>
      <c r="T754" s="83" t="str">
        <f t="shared" si="83"/>
        <v/>
      </c>
      <c r="U754" s="10"/>
      <c r="V754" s="41">
        <f>IF(AND(Q754&lt;&gt;"",RIGHT(Q754,3)&lt;&gt;""),IF(COUNTIF($Q$6:Q754,Q754)=1,1,0),0)</f>
        <v>0</v>
      </c>
      <c r="W754" s="41" t="str">
        <f t="shared" si="84"/>
        <v>BA.SC-SIG.2026.02-6</v>
      </c>
      <c r="X754" s="41" t="str">
        <f t="shared" si="85"/>
        <v/>
      </c>
    </row>
    <row r="755" s="32" customFormat="1" hidden="1" customHeight="1" spans="1:24">
      <c r="A755" s="34"/>
      <c r="B755" s="51">
        <v>750</v>
      </c>
      <c r="C755" s="51" t="s">
        <v>2364</v>
      </c>
      <c r="D755" s="52" t="s">
        <v>2365</v>
      </c>
      <c r="E755" s="53">
        <v>1</v>
      </c>
      <c r="F755" s="54" t="s">
        <v>29</v>
      </c>
      <c r="G755" s="54" t="s">
        <v>2348</v>
      </c>
      <c r="H755" s="54" t="s">
        <v>2348</v>
      </c>
      <c r="I755" s="66">
        <v>46157</v>
      </c>
      <c r="J755" s="54" t="s">
        <v>2349</v>
      </c>
      <c r="K755" s="54" t="s">
        <v>1439</v>
      </c>
      <c r="L755" s="54" t="s">
        <v>2366</v>
      </c>
      <c r="M755" s="95" t="str">
        <f t="shared" si="82"/>
        <v>Open File</v>
      </c>
      <c r="N755" s="70" t="s">
        <v>2351</v>
      </c>
      <c r="O755" s="71" t="str">
        <f t="shared" si="86"/>
        <v>ACTIVE</v>
      </c>
      <c r="P755" s="66"/>
      <c r="Q755" s="66"/>
      <c r="R755" s="54"/>
      <c r="S755" s="82"/>
      <c r="T755" s="83" t="str">
        <f t="shared" si="83"/>
        <v/>
      </c>
      <c r="U755" s="10"/>
      <c r="V755" s="41">
        <f>IF(AND(Q755&lt;&gt;"",RIGHT(Q755,3)&lt;&gt;""),IF(COUNTIF($Q$6:Q755,Q755)=1,1,0),0)</f>
        <v>0</v>
      </c>
      <c r="W755" s="41" t="str">
        <f t="shared" si="84"/>
        <v>BA.SC-SIG.2026.02-7</v>
      </c>
      <c r="X755" s="41" t="str">
        <f t="shared" si="85"/>
        <v/>
      </c>
    </row>
    <row r="756" s="32" customFormat="1" hidden="1" customHeight="1" spans="1:24">
      <c r="A756" s="34"/>
      <c r="B756" s="51">
        <v>751</v>
      </c>
      <c r="C756" s="51" t="s">
        <v>2367</v>
      </c>
      <c r="D756" s="52" t="s">
        <v>2368</v>
      </c>
      <c r="E756" s="53">
        <v>1</v>
      </c>
      <c r="F756" s="54" t="s">
        <v>29</v>
      </c>
      <c r="G756" s="54" t="s">
        <v>2348</v>
      </c>
      <c r="H756" s="54" t="s">
        <v>2348</v>
      </c>
      <c r="I756" s="66">
        <v>46157</v>
      </c>
      <c r="J756" s="54" t="s">
        <v>2349</v>
      </c>
      <c r="K756" s="54" t="s">
        <v>1443</v>
      </c>
      <c r="L756" s="54" t="s">
        <v>2369</v>
      </c>
      <c r="M756" s="97" t="str">
        <f t="shared" si="82"/>
        <v>Open File</v>
      </c>
      <c r="N756" s="70" t="s">
        <v>2351</v>
      </c>
      <c r="O756" s="71" t="str">
        <f t="shared" si="86"/>
        <v>ACTIVE</v>
      </c>
      <c r="P756" s="66"/>
      <c r="Q756" s="66"/>
      <c r="R756" s="54"/>
      <c r="S756" s="82"/>
      <c r="T756" s="83" t="str">
        <f t="shared" si="83"/>
        <v/>
      </c>
      <c r="U756" s="10"/>
      <c r="V756" s="41">
        <f>IF(AND(Q756&lt;&gt;"",RIGHT(Q756,3)&lt;&gt;""),IF(COUNTIF($Q$6:Q756,Q756)=1,1,0),0)</f>
        <v>0</v>
      </c>
      <c r="W756" s="41" t="str">
        <f t="shared" si="84"/>
        <v>BA.SC-SIG.2026.02-8</v>
      </c>
      <c r="X756" s="41" t="str">
        <f t="shared" si="85"/>
        <v/>
      </c>
    </row>
    <row r="757" s="32" customFormat="1" hidden="1" customHeight="1" spans="1:24">
      <c r="A757" s="34"/>
      <c r="B757" s="51">
        <v>752</v>
      </c>
      <c r="C757" s="51" t="s">
        <v>2370</v>
      </c>
      <c r="D757" s="52" t="s">
        <v>1855</v>
      </c>
      <c r="E757" s="53">
        <v>1</v>
      </c>
      <c r="F757" s="54" t="s">
        <v>29</v>
      </c>
      <c r="G757" s="54" t="s">
        <v>2371</v>
      </c>
      <c r="H757" s="54" t="s">
        <v>2371</v>
      </c>
      <c r="I757" s="66">
        <v>46157</v>
      </c>
      <c r="J757" s="54" t="s">
        <v>2372</v>
      </c>
      <c r="K757" s="54" t="s">
        <v>226</v>
      </c>
      <c r="L757" s="54" t="s">
        <v>2373</v>
      </c>
      <c r="M757" s="97" t="str">
        <f t="shared" si="82"/>
        <v>Open File</v>
      </c>
      <c r="N757" s="70" t="s">
        <v>2374</v>
      </c>
      <c r="O757" s="71" t="str">
        <f t="shared" si="86"/>
        <v>ACTIVE</v>
      </c>
      <c r="P757" s="66"/>
      <c r="Q757" s="66"/>
      <c r="R757" s="54"/>
      <c r="S757" s="82"/>
      <c r="T757" s="83" t="str">
        <f t="shared" si="83"/>
        <v/>
      </c>
      <c r="U757" s="10"/>
      <c r="V757" s="41">
        <f>IF(AND(Q757&lt;&gt;"",RIGHT(Q757,3)&lt;&gt;""),IF(COUNTIF($Q$6:Q757,Q757)=1,1,0),0)</f>
        <v>0</v>
      </c>
      <c r="W757" s="41" t="str">
        <f t="shared" si="84"/>
        <v>BA.SC-SIG.2026.03-1</v>
      </c>
      <c r="X757" s="41" t="str">
        <f t="shared" si="85"/>
        <v/>
      </c>
    </row>
    <row r="758" s="32" customFormat="1" hidden="1" customHeight="1" spans="1:24">
      <c r="A758" s="34"/>
      <c r="B758" s="51">
        <v>753</v>
      </c>
      <c r="C758" s="51" t="s">
        <v>2375</v>
      </c>
      <c r="D758" s="52" t="s">
        <v>2376</v>
      </c>
      <c r="E758" s="53">
        <v>1</v>
      </c>
      <c r="F758" s="54" t="s">
        <v>29</v>
      </c>
      <c r="G758" s="54" t="s">
        <v>2371</v>
      </c>
      <c r="H758" s="54" t="s">
        <v>2371</v>
      </c>
      <c r="I758" s="66">
        <v>46157</v>
      </c>
      <c r="J758" s="54" t="s">
        <v>2372</v>
      </c>
      <c r="K758" s="54" t="s">
        <v>1239</v>
      </c>
      <c r="L758" s="54" t="s">
        <v>2377</v>
      </c>
      <c r="M758" s="97" t="str">
        <f t="shared" si="82"/>
        <v>Open File</v>
      </c>
      <c r="N758" s="70" t="s">
        <v>2374</v>
      </c>
      <c r="O758" s="71" t="str">
        <f t="shared" si="86"/>
        <v>ACTIVE</v>
      </c>
      <c r="P758" s="66"/>
      <c r="Q758" s="66"/>
      <c r="R758" s="54"/>
      <c r="S758" s="82"/>
      <c r="T758" s="83" t="str">
        <f t="shared" si="83"/>
        <v/>
      </c>
      <c r="U758" s="10"/>
      <c r="V758" s="41">
        <f>IF(AND(Q758&lt;&gt;"",RIGHT(Q758,3)&lt;&gt;""),IF(COUNTIF($Q$6:Q758,Q758)=1,1,0),0)</f>
        <v>0</v>
      </c>
      <c r="W758" s="41" t="str">
        <f t="shared" si="84"/>
        <v>BA.SC-SIG.2026.03-2</v>
      </c>
      <c r="X758" s="41" t="str">
        <f t="shared" si="85"/>
        <v/>
      </c>
    </row>
    <row r="759" s="32" customFormat="1" hidden="1" customHeight="1" spans="1:24">
      <c r="A759" s="34"/>
      <c r="B759" s="51">
        <v>754</v>
      </c>
      <c r="C759" s="51" t="s">
        <v>2378</v>
      </c>
      <c r="D759" s="52" t="s">
        <v>1864</v>
      </c>
      <c r="E759" s="53">
        <v>1</v>
      </c>
      <c r="F759" s="54" t="s">
        <v>29</v>
      </c>
      <c r="G759" s="54" t="s">
        <v>2371</v>
      </c>
      <c r="H759" s="54" t="s">
        <v>2371</v>
      </c>
      <c r="I759" s="66">
        <v>46157</v>
      </c>
      <c r="J759" s="54" t="s">
        <v>2372</v>
      </c>
      <c r="K759" s="54" t="s">
        <v>1423</v>
      </c>
      <c r="L759" s="54" t="s">
        <v>2379</v>
      </c>
      <c r="M759" s="97" t="str">
        <f t="shared" si="82"/>
        <v>Open File</v>
      </c>
      <c r="N759" s="70" t="s">
        <v>2374</v>
      </c>
      <c r="O759" s="71" t="str">
        <f t="shared" si="86"/>
        <v>ACTIVE</v>
      </c>
      <c r="P759" s="66"/>
      <c r="Q759" s="66"/>
      <c r="R759" s="54"/>
      <c r="S759" s="82"/>
      <c r="T759" s="83" t="str">
        <f t="shared" si="83"/>
        <v/>
      </c>
      <c r="U759" s="10"/>
      <c r="V759" s="41">
        <f>IF(AND(Q759&lt;&gt;"",RIGHT(Q759,3)&lt;&gt;""),IF(COUNTIF($Q$6:Q759,Q759)=1,1,0),0)</f>
        <v>0</v>
      </c>
      <c r="W759" s="41" t="str">
        <f t="shared" si="84"/>
        <v>BA.SC-SIG.2026.03-3</v>
      </c>
      <c r="X759" s="41" t="str">
        <f t="shared" si="85"/>
        <v/>
      </c>
    </row>
    <row r="760" s="32" customFormat="1" hidden="1" customHeight="1" spans="1:24">
      <c r="A760" s="34"/>
      <c r="B760" s="51">
        <v>755</v>
      </c>
      <c r="C760" s="51" t="s">
        <v>2380</v>
      </c>
      <c r="D760" s="52" t="s">
        <v>1867</v>
      </c>
      <c r="E760" s="53">
        <v>1</v>
      </c>
      <c r="F760" s="54" t="s">
        <v>29</v>
      </c>
      <c r="G760" s="54" t="s">
        <v>2371</v>
      </c>
      <c r="H760" s="54" t="s">
        <v>2371</v>
      </c>
      <c r="I760" s="66">
        <v>46157</v>
      </c>
      <c r="J760" s="54" t="s">
        <v>2372</v>
      </c>
      <c r="K760" s="54" t="s">
        <v>1427</v>
      </c>
      <c r="L760" s="54" t="s">
        <v>2381</v>
      </c>
      <c r="M760" s="97" t="str">
        <f t="shared" si="82"/>
        <v>Open File</v>
      </c>
      <c r="N760" s="70" t="s">
        <v>2374</v>
      </c>
      <c r="O760" s="71" t="str">
        <f t="shared" si="86"/>
        <v>ACTIVE</v>
      </c>
      <c r="P760" s="66"/>
      <c r="Q760" s="66"/>
      <c r="R760" s="54"/>
      <c r="S760" s="82"/>
      <c r="T760" s="83" t="str">
        <f t="shared" si="83"/>
        <v/>
      </c>
      <c r="U760" s="10"/>
      <c r="V760" s="41">
        <f>IF(AND(Q760&lt;&gt;"",RIGHT(Q760,3)&lt;&gt;""),IF(COUNTIF($Q$6:Q760,Q760)=1,1,0),0)</f>
        <v>0</v>
      </c>
      <c r="W760" s="41" t="str">
        <f t="shared" si="84"/>
        <v>BA.SC-SIG.2026.03-4</v>
      </c>
      <c r="X760" s="41" t="str">
        <f t="shared" si="85"/>
        <v/>
      </c>
    </row>
    <row r="761" s="32" customFormat="1" hidden="1" customHeight="1" spans="1:24">
      <c r="A761" s="34"/>
      <c r="B761" s="51">
        <v>756</v>
      </c>
      <c r="C761" s="51" t="s">
        <v>2382</v>
      </c>
      <c r="D761" s="52" t="s">
        <v>1966</v>
      </c>
      <c r="E761" s="53">
        <v>1</v>
      </c>
      <c r="F761" s="54" t="s">
        <v>29</v>
      </c>
      <c r="G761" s="54" t="s">
        <v>2371</v>
      </c>
      <c r="H761" s="54" t="s">
        <v>2371</v>
      </c>
      <c r="I761" s="66">
        <v>46157</v>
      </c>
      <c r="J761" s="54" t="s">
        <v>2372</v>
      </c>
      <c r="K761" s="54" t="s">
        <v>1431</v>
      </c>
      <c r="L761" s="54" t="s">
        <v>2383</v>
      </c>
      <c r="M761" s="97" t="str">
        <f t="shared" si="82"/>
        <v>Open File</v>
      </c>
      <c r="N761" s="70" t="s">
        <v>2374</v>
      </c>
      <c r="O761" s="71" t="str">
        <f t="shared" si="86"/>
        <v>ACTIVE</v>
      </c>
      <c r="P761" s="66"/>
      <c r="Q761" s="66"/>
      <c r="R761" s="54"/>
      <c r="S761" s="82"/>
      <c r="T761" s="83" t="str">
        <f t="shared" si="83"/>
        <v/>
      </c>
      <c r="U761" s="10"/>
      <c r="V761" s="41">
        <f>IF(AND(Q761&lt;&gt;"",RIGHT(Q761,3)&lt;&gt;""),IF(COUNTIF($Q$6:Q761,Q761)=1,1,0),0)</f>
        <v>0</v>
      </c>
      <c r="W761" s="41" t="str">
        <f t="shared" si="84"/>
        <v>BA.SC-SIG.2026.03-5</v>
      </c>
      <c r="X761" s="41" t="str">
        <f t="shared" si="85"/>
        <v/>
      </c>
    </row>
    <row r="762" s="32" customFormat="1" hidden="1" customHeight="1" spans="1:24">
      <c r="A762" s="34"/>
      <c r="B762" s="51">
        <v>757</v>
      </c>
      <c r="C762" s="51" t="s">
        <v>2384</v>
      </c>
      <c r="D762" s="52" t="s">
        <v>2233</v>
      </c>
      <c r="E762" s="53">
        <v>1</v>
      </c>
      <c r="F762" s="54" t="s">
        <v>29</v>
      </c>
      <c r="G762" s="54" t="s">
        <v>2371</v>
      </c>
      <c r="H762" s="54" t="s">
        <v>2371</v>
      </c>
      <c r="I762" s="66">
        <v>46157</v>
      </c>
      <c r="J762" s="54" t="s">
        <v>2372</v>
      </c>
      <c r="K762" s="54" t="s">
        <v>1435</v>
      </c>
      <c r="L762" s="54" t="s">
        <v>2385</v>
      </c>
      <c r="M762" s="97" t="str">
        <f t="shared" si="82"/>
        <v>Open File</v>
      </c>
      <c r="N762" s="70" t="s">
        <v>2374</v>
      </c>
      <c r="O762" s="71" t="str">
        <f t="shared" si="86"/>
        <v>ACTIVE</v>
      </c>
      <c r="P762" s="66"/>
      <c r="Q762" s="66"/>
      <c r="R762" s="54"/>
      <c r="S762" s="82"/>
      <c r="T762" s="83" t="str">
        <f t="shared" si="83"/>
        <v/>
      </c>
      <c r="U762" s="10"/>
      <c r="V762" s="41">
        <f>IF(AND(Q762&lt;&gt;"",RIGHT(Q762,3)&lt;&gt;""),IF(COUNTIF($Q$6:Q762,Q762)=1,1,0),0)</f>
        <v>0</v>
      </c>
      <c r="W762" s="41" t="str">
        <f t="shared" si="84"/>
        <v>BA.SC-SIG.2026.03-6</v>
      </c>
      <c r="X762" s="41" t="str">
        <f t="shared" si="85"/>
        <v/>
      </c>
    </row>
    <row r="763" s="32" customFormat="1" hidden="1" customHeight="1" spans="1:24">
      <c r="A763" s="34"/>
      <c r="B763" s="51">
        <v>758</v>
      </c>
      <c r="C763" s="51" t="s">
        <v>2386</v>
      </c>
      <c r="D763" s="52" t="s">
        <v>2365</v>
      </c>
      <c r="E763" s="53">
        <v>1</v>
      </c>
      <c r="F763" s="54" t="s">
        <v>29</v>
      </c>
      <c r="G763" s="54" t="s">
        <v>2371</v>
      </c>
      <c r="H763" s="54" t="s">
        <v>2371</v>
      </c>
      <c r="I763" s="66">
        <v>46157</v>
      </c>
      <c r="J763" s="54" t="s">
        <v>2372</v>
      </c>
      <c r="K763" s="54" t="s">
        <v>1439</v>
      </c>
      <c r="L763" s="54" t="s">
        <v>2387</v>
      </c>
      <c r="M763" s="97" t="str">
        <f t="shared" si="82"/>
        <v>Open File</v>
      </c>
      <c r="N763" s="70" t="s">
        <v>2374</v>
      </c>
      <c r="O763" s="71" t="str">
        <f t="shared" si="86"/>
        <v>ACTIVE</v>
      </c>
      <c r="P763" s="66"/>
      <c r="Q763" s="66"/>
      <c r="R763" s="54"/>
      <c r="S763" s="82"/>
      <c r="T763" s="83" t="str">
        <f t="shared" si="83"/>
        <v/>
      </c>
      <c r="U763" s="10"/>
      <c r="V763" s="41">
        <f>IF(AND(Q763&lt;&gt;"",RIGHT(Q763,3)&lt;&gt;""),IF(COUNTIF($Q$6:Q763,Q763)=1,1,0),0)</f>
        <v>0</v>
      </c>
      <c r="W763" s="41" t="str">
        <f t="shared" si="84"/>
        <v>BA.SC-SIG.2026.03-7</v>
      </c>
      <c r="X763" s="41" t="str">
        <f t="shared" si="85"/>
        <v/>
      </c>
    </row>
    <row r="764" s="32" customFormat="1" hidden="1" customHeight="1" spans="1:24">
      <c r="A764" s="34"/>
      <c r="B764" s="51">
        <v>759</v>
      </c>
      <c r="C764" s="51" t="s">
        <v>2388</v>
      </c>
      <c r="D764" s="52" t="s">
        <v>2368</v>
      </c>
      <c r="E764" s="53">
        <v>1</v>
      </c>
      <c r="F764" s="54" t="s">
        <v>29</v>
      </c>
      <c r="G764" s="54" t="s">
        <v>2371</v>
      </c>
      <c r="H764" s="54" t="s">
        <v>2371</v>
      </c>
      <c r="I764" s="66">
        <v>46157</v>
      </c>
      <c r="J764" s="54" t="s">
        <v>2372</v>
      </c>
      <c r="K764" s="54" t="s">
        <v>1443</v>
      </c>
      <c r="L764" s="54" t="s">
        <v>2389</v>
      </c>
      <c r="M764" s="95" t="str">
        <f t="shared" si="82"/>
        <v>Open File</v>
      </c>
      <c r="N764" s="70" t="s">
        <v>2374</v>
      </c>
      <c r="O764" s="71" t="str">
        <f t="shared" si="86"/>
        <v>ACTIVE</v>
      </c>
      <c r="P764" s="66"/>
      <c r="Q764" s="66"/>
      <c r="R764" s="54"/>
      <c r="S764" s="82"/>
      <c r="T764" s="83" t="str">
        <f t="shared" si="83"/>
        <v/>
      </c>
      <c r="U764" s="10"/>
      <c r="V764" s="41">
        <f>IF(AND(Q764&lt;&gt;"",RIGHT(Q764,3)&lt;&gt;""),IF(COUNTIF($Q$6:Q764,Q764)=1,1,0),0)</f>
        <v>0</v>
      </c>
      <c r="W764" s="41" t="str">
        <f t="shared" si="84"/>
        <v>BA.SC-SIG.2026.03-8</v>
      </c>
      <c r="X764" s="41" t="str">
        <f t="shared" si="85"/>
        <v/>
      </c>
    </row>
    <row r="765" s="32" customFormat="1" hidden="1" customHeight="1" spans="1:24">
      <c r="A765" s="34"/>
      <c r="B765" s="51">
        <v>760</v>
      </c>
      <c r="C765" s="51" t="s">
        <v>2390</v>
      </c>
      <c r="D765" s="52" t="s">
        <v>1855</v>
      </c>
      <c r="E765" s="53">
        <v>1</v>
      </c>
      <c r="F765" s="54" t="s">
        <v>29</v>
      </c>
      <c r="G765" s="54" t="s">
        <v>2391</v>
      </c>
      <c r="H765" s="54" t="s">
        <v>2392</v>
      </c>
      <c r="I765" s="66">
        <v>46134</v>
      </c>
      <c r="J765" s="54" t="s">
        <v>2393</v>
      </c>
      <c r="K765" s="54" t="s">
        <v>226</v>
      </c>
      <c r="L765" s="54" t="s">
        <v>2394</v>
      </c>
      <c r="M765" s="95" t="str">
        <f t="shared" si="82"/>
        <v>Open File</v>
      </c>
      <c r="N765" s="70" t="s">
        <v>2395</v>
      </c>
      <c r="O765" s="71" t="str">
        <f t="shared" si="86"/>
        <v>ACTIVE</v>
      </c>
      <c r="P765" s="66"/>
      <c r="Q765" s="66"/>
      <c r="R765" s="54"/>
      <c r="S765" s="82"/>
      <c r="T765" s="83" t="str">
        <f t="shared" si="83"/>
        <v/>
      </c>
      <c r="U765" s="10"/>
      <c r="V765" s="41">
        <f>IF(AND(Q765&lt;&gt;"",RIGHT(Q765,3)&lt;&gt;""),IF(COUNTIF($Q$6:Q765,Q765)=1,1,0),0)</f>
        <v>0</v>
      </c>
      <c r="W765" s="41" t="str">
        <f t="shared" si="84"/>
        <v>BA.SEC-SIG.2026.01-1</v>
      </c>
      <c r="X765" s="41" t="str">
        <f t="shared" si="85"/>
        <v/>
      </c>
    </row>
    <row r="766" s="32" customFormat="1" hidden="1" customHeight="1" spans="1:24">
      <c r="A766" s="34"/>
      <c r="B766" s="51">
        <v>761</v>
      </c>
      <c r="C766" s="51" t="s">
        <v>451</v>
      </c>
      <c r="D766" s="52" t="s">
        <v>963</v>
      </c>
      <c r="E766" s="53">
        <v>1</v>
      </c>
      <c r="F766" s="54" t="s">
        <v>29</v>
      </c>
      <c r="G766" s="54" t="s">
        <v>980</v>
      </c>
      <c r="H766" s="54" t="s">
        <v>37</v>
      </c>
      <c r="I766" s="66">
        <v>46188</v>
      </c>
      <c r="J766" s="54" t="s">
        <v>2396</v>
      </c>
      <c r="K766" s="54" t="s">
        <v>226</v>
      </c>
      <c r="L766" s="54" t="s">
        <v>2397</v>
      </c>
      <c r="M766" s="95" t="str">
        <f t="shared" si="82"/>
        <v>Open File</v>
      </c>
      <c r="N766" s="70" t="s">
        <v>2398</v>
      </c>
      <c r="O766" s="71" t="str">
        <f t="shared" si="86"/>
        <v>ACTIVE</v>
      </c>
      <c r="P766" s="66"/>
      <c r="Q766" s="66"/>
      <c r="R766" s="54"/>
      <c r="S766" s="82"/>
      <c r="T766" s="83" t="str">
        <f t="shared" si="83"/>
        <v/>
      </c>
      <c r="U766" s="10"/>
      <c r="V766" s="41">
        <f>IF(AND(Q766&lt;&gt;"",RIGHT(Q766,3)&lt;&gt;""),IF(COUNTIF($Q$6:Q766,Q766)=1,1,0),0)</f>
        <v>0</v>
      </c>
      <c r="W766" s="41" t="str">
        <f t="shared" si="84"/>
        <v>NA.26.VI.104-1</v>
      </c>
      <c r="X766" s="41" t="str">
        <f t="shared" si="85"/>
        <v/>
      </c>
    </row>
    <row r="767" s="32" customFormat="1" hidden="1" customHeight="1" spans="1:24">
      <c r="A767" s="34"/>
      <c r="B767" s="51">
        <v>762</v>
      </c>
      <c r="C767" s="51" t="s">
        <v>962</v>
      </c>
      <c r="D767" s="52" t="s">
        <v>2399</v>
      </c>
      <c r="E767" s="53">
        <v>1</v>
      </c>
      <c r="F767" s="54" t="s">
        <v>29</v>
      </c>
      <c r="G767" s="54" t="s">
        <v>913</v>
      </c>
      <c r="H767" s="54" t="s">
        <v>943</v>
      </c>
      <c r="I767" s="66">
        <v>46188</v>
      </c>
      <c r="J767" s="54" t="s">
        <v>2400</v>
      </c>
      <c r="K767" s="54" t="s">
        <v>226</v>
      </c>
      <c r="L767" s="54" t="s">
        <v>2401</v>
      </c>
      <c r="M767" s="95" t="str">
        <f t="shared" si="82"/>
        <v>Open File</v>
      </c>
      <c r="N767" s="70" t="s">
        <v>2402</v>
      </c>
      <c r="O767" s="71" t="str">
        <f t="shared" si="86"/>
        <v>ACTIVE</v>
      </c>
      <c r="P767" s="66"/>
      <c r="Q767" s="66"/>
      <c r="R767" s="54"/>
      <c r="S767" s="82"/>
      <c r="T767" s="83" t="str">
        <f t="shared" si="83"/>
        <v/>
      </c>
      <c r="U767" s="10"/>
      <c r="V767" s="41">
        <f>IF(AND(Q767&lt;&gt;"",RIGHT(Q767,3)&lt;&gt;""),IF(COUNTIF($Q$6:Q767,Q767)=1,1,0),0)</f>
        <v>0</v>
      </c>
      <c r="W767" s="41" t="str">
        <f t="shared" si="84"/>
        <v>NA.26.VI.105-1</v>
      </c>
      <c r="X767" s="41" t="str">
        <f t="shared" si="85"/>
        <v/>
      </c>
    </row>
    <row r="768" s="32" customFormat="1" hidden="1" customHeight="1" spans="1:24">
      <c r="A768" s="34"/>
      <c r="B768" s="51">
        <v>763</v>
      </c>
      <c r="C768" s="51" t="s">
        <v>2403</v>
      </c>
      <c r="D768" s="52" t="s">
        <v>2404</v>
      </c>
      <c r="E768" s="53">
        <v>1</v>
      </c>
      <c r="F768" s="54" t="s">
        <v>29</v>
      </c>
      <c r="G768" s="54" t="s">
        <v>913</v>
      </c>
      <c r="H768" s="54" t="s">
        <v>943</v>
      </c>
      <c r="I768" s="66">
        <v>46190</v>
      </c>
      <c r="J768" s="54" t="s">
        <v>2405</v>
      </c>
      <c r="K768" s="54" t="s">
        <v>226</v>
      </c>
      <c r="L768" s="54" t="s">
        <v>2406</v>
      </c>
      <c r="M768" s="95" t="str">
        <f t="shared" si="82"/>
        <v>Open File</v>
      </c>
      <c r="N768" s="70" t="s">
        <v>2407</v>
      </c>
      <c r="O768" s="71" t="str">
        <f t="shared" si="86"/>
        <v>ACTIVE</v>
      </c>
      <c r="P768" s="66"/>
      <c r="Q768" s="66"/>
      <c r="R768" s="54"/>
      <c r="S768" s="82"/>
      <c r="T768" s="83" t="str">
        <f t="shared" si="83"/>
        <v/>
      </c>
      <c r="U768" s="10"/>
      <c r="V768" s="41">
        <f>IF(AND(Q768&lt;&gt;"",RIGHT(Q768,3)&lt;&gt;""),IF(COUNTIF($Q$6:Q768,Q768)=1,1,0),0)</f>
        <v>0</v>
      </c>
      <c r="W768" s="41" t="str">
        <f t="shared" si="84"/>
        <v>NA.26.VI.114-1</v>
      </c>
      <c r="X768" s="41" t="str">
        <f t="shared" si="85"/>
        <v/>
      </c>
    </row>
    <row r="769" s="32" customFormat="1" hidden="1" customHeight="1" spans="1:24">
      <c r="A769" s="34"/>
      <c r="B769" s="51">
        <v>764</v>
      </c>
      <c r="C769" s="51" t="s">
        <v>2408</v>
      </c>
      <c r="D769" s="52" t="s">
        <v>2409</v>
      </c>
      <c r="E769" s="53">
        <v>1</v>
      </c>
      <c r="F769" s="54" t="s">
        <v>29</v>
      </c>
      <c r="G769" s="54" t="s">
        <v>30</v>
      </c>
      <c r="H769" s="54" t="s">
        <v>31</v>
      </c>
      <c r="I769" s="66">
        <v>46196</v>
      </c>
      <c r="J769" s="54" t="s">
        <v>2410</v>
      </c>
      <c r="K769" s="54" t="s">
        <v>226</v>
      </c>
      <c r="L769" s="54" t="s">
        <v>2411</v>
      </c>
      <c r="M769" s="97" t="str">
        <f t="shared" si="82"/>
        <v>Open File</v>
      </c>
      <c r="N769" s="70" t="s">
        <v>1398</v>
      </c>
      <c r="O769" s="71" t="str">
        <f t="shared" si="86"/>
        <v>ACTIVE</v>
      </c>
      <c r="P769" s="66"/>
      <c r="Q769" s="66"/>
      <c r="R769" s="54"/>
      <c r="S769" s="82"/>
      <c r="T769" s="83" t="str">
        <f t="shared" si="83"/>
        <v/>
      </c>
      <c r="U769" s="10"/>
      <c r="V769" s="41">
        <f>IF(AND(Q769&lt;&gt;"",RIGHT(Q769,3)&lt;&gt;""),IF(COUNTIF($Q$6:Q769,Q769)=1,1,0),0)</f>
        <v>0</v>
      </c>
      <c r="W769" s="41" t="str">
        <f t="shared" si="84"/>
        <v>NA.26.VI.154-1</v>
      </c>
      <c r="X769" s="41" t="str">
        <f t="shared" si="85"/>
        <v/>
      </c>
    </row>
    <row r="770" s="32" customFormat="1" hidden="1" customHeight="1" spans="1:24">
      <c r="A770" s="34"/>
      <c r="B770" s="51">
        <v>765</v>
      </c>
      <c r="C770" s="51" t="s">
        <v>2412</v>
      </c>
      <c r="D770" s="52" t="s">
        <v>2413</v>
      </c>
      <c r="E770" s="53">
        <v>1</v>
      </c>
      <c r="F770" s="54" t="s">
        <v>29</v>
      </c>
      <c r="G770" s="54" t="s">
        <v>1911</v>
      </c>
      <c r="H770" s="54" t="s">
        <v>2414</v>
      </c>
      <c r="I770" s="66">
        <v>46205</v>
      </c>
      <c r="J770" s="54" t="s">
        <v>2415</v>
      </c>
      <c r="K770" s="54" t="s">
        <v>226</v>
      </c>
      <c r="L770" s="54" t="s">
        <v>2416</v>
      </c>
      <c r="M770" s="97" t="str">
        <f t="shared" si="82"/>
        <v>Open File</v>
      </c>
      <c r="N770" s="70" t="s">
        <v>2417</v>
      </c>
      <c r="O770" s="71" t="str">
        <f t="shared" si="86"/>
        <v>ACTIVE</v>
      </c>
      <c r="P770" s="66"/>
      <c r="Q770" s="66"/>
      <c r="R770" s="54"/>
      <c r="S770" s="82"/>
      <c r="T770" s="83" t="str">
        <f t="shared" si="83"/>
        <v/>
      </c>
      <c r="U770" s="10"/>
      <c r="V770" s="41">
        <f>IF(AND(Q770&lt;&gt;"",RIGHT(Q770,3)&lt;&gt;""),IF(COUNTIF($Q$6:Q770,Q770)=1,1,0),0)</f>
        <v>0</v>
      </c>
      <c r="W770" s="41" t="str">
        <f t="shared" si="84"/>
        <v>NA.26.VII.012-1</v>
      </c>
      <c r="X770" s="41" t="str">
        <f t="shared" si="85"/>
        <v/>
      </c>
    </row>
    <row r="771" s="32" customFormat="1" hidden="1" customHeight="1" spans="1:24">
      <c r="A771" s="34"/>
      <c r="B771" s="51">
        <v>766</v>
      </c>
      <c r="C771" s="51" t="s">
        <v>2418</v>
      </c>
      <c r="D771" s="52" t="s">
        <v>1006</v>
      </c>
      <c r="E771" s="53">
        <v>1</v>
      </c>
      <c r="F771" s="54" t="s">
        <v>29</v>
      </c>
      <c r="G771" s="54" t="s">
        <v>1384</v>
      </c>
      <c r="H771" s="54" t="s">
        <v>37</v>
      </c>
      <c r="I771" s="66">
        <v>46211</v>
      </c>
      <c r="J771" s="54" t="s">
        <v>2419</v>
      </c>
      <c r="K771" s="54" t="s">
        <v>226</v>
      </c>
      <c r="L771" s="54" t="s">
        <v>2420</v>
      </c>
      <c r="M771" s="97" t="str">
        <f t="shared" si="82"/>
        <v>Open File</v>
      </c>
      <c r="N771" s="70" t="s">
        <v>2421</v>
      </c>
      <c r="O771" s="71" t="str">
        <f t="shared" si="86"/>
        <v>ACTIVE</v>
      </c>
      <c r="P771" s="66"/>
      <c r="Q771" s="66"/>
      <c r="R771" s="54"/>
      <c r="S771" s="82"/>
      <c r="T771" s="83" t="str">
        <f t="shared" si="83"/>
        <v/>
      </c>
      <c r="U771" s="10"/>
      <c r="V771" s="41">
        <f>IF(AND(Q771&lt;&gt;"",RIGHT(Q771,3)&lt;&gt;""),IF(COUNTIF($Q$6:Q771,Q771)=1,1,0),0)</f>
        <v>0</v>
      </c>
      <c r="W771" s="41" t="str">
        <f t="shared" si="84"/>
        <v>NA.26.VII.051-1</v>
      </c>
      <c r="X771" s="41" t="str">
        <f t="shared" si="85"/>
        <v/>
      </c>
    </row>
    <row r="772" s="32" customFormat="1" hidden="1" customHeight="1" spans="1:24">
      <c r="A772" s="34"/>
      <c r="B772" s="51">
        <v>767</v>
      </c>
      <c r="C772" s="51" t="s">
        <v>2422</v>
      </c>
      <c r="D772" s="52" t="s">
        <v>1006</v>
      </c>
      <c r="E772" s="53">
        <v>1</v>
      </c>
      <c r="F772" s="54" t="s">
        <v>29</v>
      </c>
      <c r="G772" s="54" t="s">
        <v>1384</v>
      </c>
      <c r="H772" s="54" t="s">
        <v>37</v>
      </c>
      <c r="I772" s="66">
        <v>46211</v>
      </c>
      <c r="J772" s="54" t="s">
        <v>2419</v>
      </c>
      <c r="K772" s="54" t="s">
        <v>1239</v>
      </c>
      <c r="L772" s="54" t="s">
        <v>2423</v>
      </c>
      <c r="M772" s="97" t="str">
        <f t="shared" si="82"/>
        <v>Open File</v>
      </c>
      <c r="N772" s="70" t="s">
        <v>2421</v>
      </c>
      <c r="O772" s="71" t="str">
        <f t="shared" si="86"/>
        <v>ACTIVE</v>
      </c>
      <c r="P772" s="66"/>
      <c r="Q772" s="66"/>
      <c r="R772" s="54"/>
      <c r="S772" s="82"/>
      <c r="T772" s="83" t="str">
        <f t="shared" si="83"/>
        <v/>
      </c>
      <c r="U772" s="10"/>
      <c r="V772" s="41">
        <f>IF(AND(Q772&lt;&gt;"",RIGHT(Q772,3)&lt;&gt;""),IF(COUNTIF($Q$6:Q772,Q772)=1,1,0),0)</f>
        <v>0</v>
      </c>
      <c r="W772" s="41" t="str">
        <f t="shared" si="84"/>
        <v>NA.26.VII.051-2</v>
      </c>
      <c r="X772" s="41" t="str">
        <f t="shared" si="85"/>
        <v/>
      </c>
    </row>
    <row r="773" s="32" customFormat="1" hidden="1" customHeight="1" spans="1:24">
      <c r="A773" s="34"/>
      <c r="B773" s="51">
        <v>768</v>
      </c>
      <c r="C773" s="51" t="s">
        <v>2424</v>
      </c>
      <c r="D773" s="52" t="s">
        <v>2425</v>
      </c>
      <c r="E773" s="53">
        <v>1</v>
      </c>
      <c r="F773" s="54" t="s">
        <v>29</v>
      </c>
      <c r="G773" s="54" t="s">
        <v>2328</v>
      </c>
      <c r="H773" s="54" t="s">
        <v>2328</v>
      </c>
      <c r="I773" s="66">
        <v>46223</v>
      </c>
      <c r="J773" s="54" t="s">
        <v>2426</v>
      </c>
      <c r="K773" s="54" t="s">
        <v>226</v>
      </c>
      <c r="L773" s="54" t="s">
        <v>2427</v>
      </c>
      <c r="M773" s="95" t="str">
        <f t="shared" si="82"/>
        <v>Open File</v>
      </c>
      <c r="N773" s="70" t="s">
        <v>2428</v>
      </c>
      <c r="O773" s="71" t="str">
        <f t="shared" si="86"/>
        <v>ACTIVE</v>
      </c>
      <c r="P773" s="66"/>
      <c r="Q773" s="66"/>
      <c r="R773" s="54"/>
      <c r="S773" s="82"/>
      <c r="T773" s="83" t="str">
        <f t="shared" si="83"/>
        <v/>
      </c>
      <c r="U773" s="10"/>
      <c r="V773" s="41">
        <f>IF(AND(Q773&lt;&gt;"",RIGHT(Q773,3)&lt;&gt;""),IF(COUNTIF($Q$6:Q773,Q773)=1,1,0),0)</f>
        <v>0</v>
      </c>
      <c r="W773" s="41" t="str">
        <f t="shared" si="84"/>
        <v>NA.26.VII.154-1</v>
      </c>
      <c r="X773" s="41" t="str">
        <f t="shared" si="85"/>
        <v/>
      </c>
    </row>
    <row r="774" s="32" customFormat="1" hidden="1" customHeight="1" spans="1:24">
      <c r="A774" s="34"/>
      <c r="B774" s="51">
        <v>769</v>
      </c>
      <c r="C774" s="51" t="s">
        <v>2429</v>
      </c>
      <c r="D774" s="52" t="s">
        <v>2430</v>
      </c>
      <c r="E774" s="53">
        <v>1</v>
      </c>
      <c r="F774" s="54" t="s">
        <v>29</v>
      </c>
      <c r="G774" s="54" t="s">
        <v>2371</v>
      </c>
      <c r="H774" s="54" t="s">
        <v>2371</v>
      </c>
      <c r="I774" s="66">
        <v>46223</v>
      </c>
      <c r="J774" s="54" t="s">
        <v>2431</v>
      </c>
      <c r="K774" s="54" t="s">
        <v>226</v>
      </c>
      <c r="L774" s="54" t="s">
        <v>2432</v>
      </c>
      <c r="M774" s="95" t="str">
        <f t="shared" si="82"/>
        <v>Open File</v>
      </c>
      <c r="N774" s="70" t="s">
        <v>2433</v>
      </c>
      <c r="O774" s="71" t="str">
        <f t="shared" si="86"/>
        <v>ACTIVE</v>
      </c>
      <c r="P774" s="66"/>
      <c r="Q774" s="66"/>
      <c r="R774" s="54"/>
      <c r="S774" s="82"/>
      <c r="T774" s="83" t="str">
        <f t="shared" si="83"/>
        <v/>
      </c>
      <c r="U774" s="10"/>
      <c r="V774" s="41">
        <f>IF(AND(Q774&lt;&gt;"",RIGHT(Q774,3)&lt;&gt;""),IF(COUNTIF($Q$6:Q774,Q774)=1,1,0),0)</f>
        <v>0</v>
      </c>
      <c r="W774" s="41" t="str">
        <f t="shared" si="84"/>
        <v>NA.26.VII.155-1</v>
      </c>
      <c r="X774" s="41" t="str">
        <f t="shared" si="85"/>
        <v/>
      </c>
    </row>
    <row r="775" s="32" customFormat="1" hidden="1" customHeight="1" spans="1:24">
      <c r="A775" s="34"/>
      <c r="B775" s="51">
        <v>770</v>
      </c>
      <c r="C775" s="51" t="s">
        <v>2434</v>
      </c>
      <c r="D775" s="52" t="s">
        <v>2435</v>
      </c>
      <c r="E775" s="53">
        <v>1</v>
      </c>
      <c r="F775" s="54" t="s">
        <v>29</v>
      </c>
      <c r="G775" s="54" t="s">
        <v>1835</v>
      </c>
      <c r="H775" s="54" t="s">
        <v>1835</v>
      </c>
      <c r="I775" s="66">
        <v>46223</v>
      </c>
      <c r="J775" s="54" t="s">
        <v>2436</v>
      </c>
      <c r="K775" s="54" t="s">
        <v>226</v>
      </c>
      <c r="L775" s="54" t="s">
        <v>2437</v>
      </c>
      <c r="M775" s="95" t="str">
        <f t="shared" si="82"/>
        <v>Open File</v>
      </c>
      <c r="N775" s="109" t="s">
        <v>2438</v>
      </c>
      <c r="O775" s="71" t="str">
        <f t="shared" si="86"/>
        <v>ACTIVE</v>
      </c>
      <c r="P775" s="66"/>
      <c r="Q775" s="66"/>
      <c r="R775" s="54"/>
      <c r="S775" s="82"/>
      <c r="T775" s="83" t="str">
        <f t="shared" si="83"/>
        <v/>
      </c>
      <c r="U775" s="10"/>
      <c r="V775" s="41">
        <f>IF(AND(Q775&lt;&gt;"",RIGHT(Q775,3)&lt;&gt;""),IF(COUNTIF($Q$6:Q775,Q775)=1,1,0),0)</f>
        <v>0</v>
      </c>
      <c r="W775" s="41" t="str">
        <f t="shared" si="84"/>
        <v>NA.26.VII.156-1</v>
      </c>
      <c r="X775" s="41" t="str">
        <f t="shared" si="85"/>
        <v/>
      </c>
    </row>
    <row r="776" s="32" customFormat="1" hidden="1" customHeight="1" spans="1:24">
      <c r="A776" s="34"/>
      <c r="B776" s="51">
        <v>771</v>
      </c>
      <c r="C776" s="51" t="s">
        <v>2439</v>
      </c>
      <c r="D776" s="52" t="s">
        <v>2440</v>
      </c>
      <c r="E776" s="53">
        <v>1</v>
      </c>
      <c r="F776" s="54" t="s">
        <v>29</v>
      </c>
      <c r="G776" s="54" t="s">
        <v>1911</v>
      </c>
      <c r="H776" s="54" t="s">
        <v>1911</v>
      </c>
      <c r="I776" s="66">
        <v>46223</v>
      </c>
      <c r="J776" s="54" t="s">
        <v>2441</v>
      </c>
      <c r="K776" s="54" t="s">
        <v>226</v>
      </c>
      <c r="L776" s="54" t="s">
        <v>2442</v>
      </c>
      <c r="M776" s="97" t="str">
        <f t="shared" si="82"/>
        <v>Open File</v>
      </c>
      <c r="N776" s="109" t="s">
        <v>2443</v>
      </c>
      <c r="O776" s="71" t="str">
        <f t="shared" si="86"/>
        <v>ACTIVE</v>
      </c>
      <c r="P776" s="66"/>
      <c r="Q776" s="66"/>
      <c r="R776" s="54"/>
      <c r="S776" s="82"/>
      <c r="T776" s="83" t="str">
        <f t="shared" si="83"/>
        <v/>
      </c>
      <c r="U776" s="10"/>
      <c r="V776" s="41">
        <f>IF(AND(Q776&lt;&gt;"",RIGHT(Q776,3)&lt;&gt;""),IF(COUNTIF($Q$6:Q776,Q776)=1,1,0),0)</f>
        <v>0</v>
      </c>
      <c r="W776" s="41" t="str">
        <f t="shared" si="84"/>
        <v>NA.26.VII.157-1</v>
      </c>
      <c r="X776" s="41" t="str">
        <f t="shared" si="85"/>
        <v/>
      </c>
    </row>
    <row r="777" s="32" customFormat="1" hidden="1" customHeight="1" spans="1:24">
      <c r="A777" s="34"/>
      <c r="B777" s="51">
        <v>772</v>
      </c>
      <c r="C777" s="51" t="s">
        <v>2444</v>
      </c>
      <c r="D777" s="52" t="s">
        <v>2445</v>
      </c>
      <c r="E777" s="53">
        <v>1</v>
      </c>
      <c r="F777" s="54" t="s">
        <v>29</v>
      </c>
      <c r="G777" s="54" t="s">
        <v>2238</v>
      </c>
      <c r="H777" s="54" t="s">
        <v>2238</v>
      </c>
      <c r="I777" s="66">
        <v>46223</v>
      </c>
      <c r="J777" s="54" t="s">
        <v>2446</v>
      </c>
      <c r="K777" s="54" t="s">
        <v>226</v>
      </c>
      <c r="L777" s="54" t="s">
        <v>2447</v>
      </c>
      <c r="M777" s="97" t="str">
        <f t="shared" si="82"/>
        <v>Open File</v>
      </c>
      <c r="N777" s="109" t="s">
        <v>2448</v>
      </c>
      <c r="O777" s="71" t="str">
        <f t="shared" si="86"/>
        <v>ACTIVE</v>
      </c>
      <c r="P777" s="66"/>
      <c r="Q777" s="66"/>
      <c r="R777" s="54"/>
      <c r="S777" s="82"/>
      <c r="T777" s="83" t="str">
        <f t="shared" si="83"/>
        <v/>
      </c>
      <c r="U777" s="10"/>
      <c r="V777" s="41">
        <f>IF(AND(Q777&lt;&gt;"",RIGHT(Q777,3)&lt;&gt;""),IF(COUNTIF($Q$6:Q777,Q777)=1,1,0),0)</f>
        <v>0</v>
      </c>
      <c r="W777" s="41" t="str">
        <f t="shared" si="84"/>
        <v>NA.26.VII.158-1</v>
      </c>
      <c r="X777" s="41" t="str">
        <f t="shared" si="85"/>
        <v/>
      </c>
    </row>
    <row r="778" s="32" customFormat="1" hidden="1" customHeight="1" spans="1:24">
      <c r="A778" s="34"/>
      <c r="B778" s="51">
        <v>773</v>
      </c>
      <c r="C778" s="51" t="s">
        <v>2449</v>
      </c>
      <c r="D778" s="52" t="s">
        <v>2450</v>
      </c>
      <c r="E778" s="53">
        <v>1</v>
      </c>
      <c r="F778" s="54" t="s">
        <v>29</v>
      </c>
      <c r="G778" s="54" t="s">
        <v>2451</v>
      </c>
      <c r="H778" s="54" t="s">
        <v>2451</v>
      </c>
      <c r="I778" s="66">
        <v>46223</v>
      </c>
      <c r="J778" s="54" t="s">
        <v>2452</v>
      </c>
      <c r="K778" s="54" t="s">
        <v>226</v>
      </c>
      <c r="L778" s="54" t="s">
        <v>2453</v>
      </c>
      <c r="M778" s="97" t="str">
        <f t="shared" si="82"/>
        <v>Open File</v>
      </c>
      <c r="N778" s="70" t="s">
        <v>2454</v>
      </c>
      <c r="O778" s="71" t="str">
        <f t="shared" si="86"/>
        <v>ACTIVE</v>
      </c>
      <c r="P778" s="66"/>
      <c r="Q778" s="66"/>
      <c r="R778" s="54"/>
      <c r="S778" s="82"/>
      <c r="T778" s="83" t="str">
        <f t="shared" si="83"/>
        <v/>
      </c>
      <c r="U778" s="10"/>
      <c r="V778" s="41">
        <f>IF(AND(Q778&lt;&gt;"",RIGHT(Q778,3)&lt;&gt;""),IF(COUNTIF($Q$6:Q778,Q778)=1,1,0),0)</f>
        <v>0</v>
      </c>
      <c r="W778" s="41" t="str">
        <f t="shared" si="84"/>
        <v>NA.26.VII.159-1</v>
      </c>
      <c r="X778" s="41" t="str">
        <f t="shared" si="85"/>
        <v/>
      </c>
    </row>
    <row r="779" s="32" customFormat="1" hidden="1" customHeight="1" spans="1:24">
      <c r="A779" s="34"/>
      <c r="B779" s="51">
        <v>774</v>
      </c>
      <c r="C779" s="51" t="s">
        <v>2455</v>
      </c>
      <c r="D779" s="52" t="s">
        <v>2456</v>
      </c>
      <c r="E779" s="53">
        <v>1</v>
      </c>
      <c r="F779" s="54" t="s">
        <v>29</v>
      </c>
      <c r="G779" s="54" t="s">
        <v>2457</v>
      </c>
      <c r="H779" s="54" t="s">
        <v>2457</v>
      </c>
      <c r="I779" s="66">
        <v>46224</v>
      </c>
      <c r="J779" s="54" t="s">
        <v>2458</v>
      </c>
      <c r="K779" s="54" t="s">
        <v>226</v>
      </c>
      <c r="L779" s="54" t="s">
        <v>2459</v>
      </c>
      <c r="M779" s="95" t="str">
        <f t="shared" si="82"/>
        <v>Open File</v>
      </c>
      <c r="N779" s="70" t="s">
        <v>2460</v>
      </c>
      <c r="O779" s="71" t="str">
        <f t="shared" si="86"/>
        <v>ACTIVE</v>
      </c>
      <c r="P779" s="66"/>
      <c r="Q779" s="66"/>
      <c r="R779" s="54"/>
      <c r="S779" s="82"/>
      <c r="T779" s="83" t="str">
        <f t="shared" si="83"/>
        <v/>
      </c>
      <c r="U779" s="10"/>
      <c r="V779" s="41">
        <f>IF(AND(Q779&lt;&gt;"",RIGHT(Q779,3)&lt;&gt;""),IF(COUNTIF($Q$6:Q779,Q779)=1,1,0),0)</f>
        <v>0</v>
      </c>
      <c r="W779" s="41" t="str">
        <f t="shared" si="84"/>
        <v>NA.26.VII.167-1</v>
      </c>
      <c r="X779" s="41" t="str">
        <f t="shared" si="85"/>
        <v/>
      </c>
    </row>
    <row r="780" s="32" customFormat="1" hidden="1" customHeight="1" spans="1:24">
      <c r="A780" s="34"/>
      <c r="B780" s="51">
        <v>775</v>
      </c>
      <c r="C780" s="51" t="s">
        <v>2461</v>
      </c>
      <c r="D780" s="52" t="s">
        <v>2462</v>
      </c>
      <c r="E780" s="53">
        <v>1</v>
      </c>
      <c r="F780" s="54" t="s">
        <v>29</v>
      </c>
      <c r="G780" s="54" t="s">
        <v>1950</v>
      </c>
      <c r="H780" s="54" t="s">
        <v>1950</v>
      </c>
      <c r="I780" s="66">
        <v>46217</v>
      </c>
      <c r="J780" s="54" t="s">
        <v>2463</v>
      </c>
      <c r="K780" s="54" t="s">
        <v>226</v>
      </c>
      <c r="L780" s="54" t="s">
        <v>2464</v>
      </c>
      <c r="M780" s="97" t="str">
        <f t="shared" si="82"/>
        <v>Open File</v>
      </c>
      <c r="N780" s="70" t="s">
        <v>2465</v>
      </c>
      <c r="O780" s="71" t="str">
        <f t="shared" si="86"/>
        <v>ACTIVE</v>
      </c>
      <c r="P780" s="66"/>
      <c r="Q780" s="66"/>
      <c r="R780" s="54"/>
      <c r="S780" s="82"/>
      <c r="T780" s="83" t="str">
        <f t="shared" si="83"/>
        <v/>
      </c>
      <c r="U780" s="10"/>
      <c r="V780" s="41">
        <f>IF(AND(Q780&lt;&gt;"",RIGHT(Q780,3)&lt;&gt;""),IF(COUNTIF($Q$6:Q780,Q780)=1,1,0),0)</f>
        <v>0</v>
      </c>
      <c r="W780" s="41" t="str">
        <f t="shared" si="84"/>
        <v>NA.26.VII.102-1</v>
      </c>
      <c r="X780" s="41" t="str">
        <f t="shared" si="85"/>
        <v/>
      </c>
    </row>
    <row r="781" s="32" customFormat="1" hidden="1" customHeight="1" spans="1:24">
      <c r="A781" s="34"/>
      <c r="B781" s="51">
        <v>776</v>
      </c>
      <c r="C781" s="51" t="s">
        <v>2466</v>
      </c>
      <c r="D781" s="52" t="s">
        <v>2467</v>
      </c>
      <c r="E781" s="53">
        <v>1</v>
      </c>
      <c r="F781" s="54" t="s">
        <v>29</v>
      </c>
      <c r="G781" s="54" t="s">
        <v>1017</v>
      </c>
      <c r="H781" s="54" t="s">
        <v>524</v>
      </c>
      <c r="I781" s="66">
        <v>46233</v>
      </c>
      <c r="J781" s="54" t="s">
        <v>2468</v>
      </c>
      <c r="K781" s="54" t="s">
        <v>226</v>
      </c>
      <c r="L781" s="54" t="s">
        <v>2469</v>
      </c>
      <c r="M781" s="97" t="str">
        <f t="shared" si="82"/>
        <v>Open File</v>
      </c>
      <c r="N781" s="70" t="s">
        <v>2470</v>
      </c>
      <c r="O781" s="71" t="str">
        <f t="shared" si="86"/>
        <v>ACTIVE</v>
      </c>
      <c r="P781" s="66"/>
      <c r="Q781" s="66"/>
      <c r="R781" s="54"/>
      <c r="S781" s="82"/>
      <c r="T781" s="83" t="str">
        <f t="shared" si="83"/>
        <v/>
      </c>
      <c r="U781" s="10"/>
      <c r="V781" s="41">
        <f>IF(AND(Q781&lt;&gt;"",RIGHT(Q781,3)&lt;&gt;""),IF(COUNTIF($Q$6:Q781,Q781)=1,1,0),0)</f>
        <v>0</v>
      </c>
      <c r="W781" s="41" t="str">
        <f t="shared" si="84"/>
        <v>NA.26.VII.256-1</v>
      </c>
      <c r="X781" s="41" t="str">
        <f t="shared" si="85"/>
        <v/>
      </c>
    </row>
    <row r="782" s="32" customFormat="1" hidden="1" customHeight="1" spans="1:24">
      <c r="A782" s="34"/>
      <c r="B782" s="51">
        <v>775</v>
      </c>
      <c r="C782" s="51" t="s">
        <v>2471</v>
      </c>
      <c r="D782" s="52" t="s">
        <v>2472</v>
      </c>
      <c r="E782" s="53">
        <v>1</v>
      </c>
      <c r="F782" s="54" t="s">
        <v>29</v>
      </c>
      <c r="G782" s="54" t="s">
        <v>1017</v>
      </c>
      <c r="H782" s="54" t="s">
        <v>524</v>
      </c>
      <c r="I782" s="66">
        <v>46253</v>
      </c>
      <c r="J782" s="54" t="s">
        <v>2473</v>
      </c>
      <c r="K782" s="54" t="s">
        <v>226</v>
      </c>
      <c r="L782" s="54" t="s">
        <v>2474</v>
      </c>
      <c r="M782" s="97" t="str">
        <f t="shared" si="82"/>
        <v>Open File</v>
      </c>
      <c r="N782" s="70" t="s">
        <v>2475</v>
      </c>
      <c r="O782" s="71" t="str">
        <f t="shared" si="86"/>
        <v>ACTIVE</v>
      </c>
      <c r="P782" s="66"/>
      <c r="Q782" s="66"/>
      <c r="R782" s="54"/>
      <c r="S782" s="82"/>
      <c r="T782" s="83" t="str">
        <f t="shared" si="83"/>
        <v/>
      </c>
      <c r="U782" s="10"/>
      <c r="V782" s="41">
        <f>IF(AND(Q782&lt;&gt;"",RIGHT(Q782,3)&lt;&gt;""),IF(COUNTIF($Q$6:Q782,Q782)=1,1,0),0)</f>
        <v>0</v>
      </c>
      <c r="W782" s="41" t="str">
        <f t="shared" si="84"/>
        <v>NA.26.VIII.133-1</v>
      </c>
      <c r="X782" s="41" t="str">
        <f t="shared" si="85"/>
        <v/>
      </c>
    </row>
    <row r="783" s="32" customFormat="1" hidden="1" customHeight="1" spans="1:24">
      <c r="A783" s="34"/>
      <c r="B783" s="51"/>
      <c r="C783" s="51"/>
      <c r="D783" s="52"/>
      <c r="E783" s="53"/>
      <c r="F783" s="54"/>
      <c r="G783" s="54"/>
      <c r="H783" s="54"/>
      <c r="I783" s="66"/>
      <c r="J783" s="54"/>
      <c r="K783" s="54"/>
      <c r="L783" s="54"/>
      <c r="M783" s="97" t="str">
        <f t="shared" si="82"/>
        <v/>
      </c>
      <c r="N783" s="70"/>
      <c r="O783" s="71" t="str">
        <f t="shared" si="86"/>
        <v/>
      </c>
      <c r="P783" s="66"/>
      <c r="Q783" s="66"/>
      <c r="R783" s="54"/>
      <c r="S783" s="82"/>
      <c r="T783" s="83" t="str">
        <f t="shared" si="83"/>
        <v/>
      </c>
      <c r="U783" s="10"/>
      <c r="V783" s="41">
        <f>IF(AND(Q783&lt;&gt;"",RIGHT(Q783,3)&lt;&gt;""),IF(COUNTIF($Q$6:Q783,Q783)=1,1,0),0)</f>
        <v>0</v>
      </c>
      <c r="W783" s="41" t="str">
        <f t="shared" si="84"/>
        <v/>
      </c>
      <c r="X783" s="41" t="str">
        <f t="shared" si="85"/>
        <v/>
      </c>
    </row>
    <row r="784" s="32" customFormat="1" hidden="1" customHeight="1" spans="1:24">
      <c r="A784" s="34"/>
      <c r="B784" s="51"/>
      <c r="C784" s="51"/>
      <c r="D784" s="52"/>
      <c r="E784" s="53"/>
      <c r="F784" s="54"/>
      <c r="G784" s="54"/>
      <c r="H784" s="54"/>
      <c r="I784" s="66"/>
      <c r="J784" s="54"/>
      <c r="K784" s="54"/>
      <c r="L784" s="54"/>
      <c r="M784" s="97" t="str">
        <f t="shared" si="82"/>
        <v/>
      </c>
      <c r="N784" s="70"/>
      <c r="O784" s="71" t="str">
        <f t="shared" si="86"/>
        <v/>
      </c>
      <c r="P784" s="66"/>
      <c r="Q784" s="66"/>
      <c r="R784" s="54"/>
      <c r="S784" s="82"/>
      <c r="T784" s="83" t="str">
        <f t="shared" si="83"/>
        <v/>
      </c>
      <c r="U784" s="10"/>
      <c r="V784" s="41">
        <f>IF(AND(Q784&lt;&gt;"",RIGHT(Q784,3)&lt;&gt;""),IF(COUNTIF($Q$6:Q784,Q784)=1,1,0),0)</f>
        <v>0</v>
      </c>
      <c r="W784" s="41" t="str">
        <f t="shared" si="84"/>
        <v/>
      </c>
      <c r="X784" s="41" t="str">
        <f t="shared" si="85"/>
        <v/>
      </c>
    </row>
    <row r="785" s="32" customFormat="1" hidden="1" customHeight="1" spans="1:24">
      <c r="A785" s="34"/>
      <c r="B785" s="51"/>
      <c r="C785" s="51"/>
      <c r="D785" s="52"/>
      <c r="E785" s="53"/>
      <c r="F785" s="54"/>
      <c r="G785" s="54"/>
      <c r="H785" s="54"/>
      <c r="I785" s="66"/>
      <c r="J785" s="54"/>
      <c r="K785" s="54"/>
      <c r="L785" s="54"/>
      <c r="M785" s="97" t="str">
        <f t="shared" si="82"/>
        <v/>
      </c>
      <c r="N785" s="70"/>
      <c r="O785" s="71" t="str">
        <f t="shared" si="86"/>
        <v/>
      </c>
      <c r="P785" s="66"/>
      <c r="Q785" s="66"/>
      <c r="R785" s="54"/>
      <c r="S785" s="82"/>
      <c r="T785" s="83" t="str">
        <f t="shared" si="83"/>
        <v/>
      </c>
      <c r="U785" s="10"/>
      <c r="V785" s="41">
        <f>IF(AND(Q785&lt;&gt;"",RIGHT(Q785,3)&lt;&gt;""),IF(COUNTIF($Q$6:Q785,Q785)=1,1,0),0)</f>
        <v>0</v>
      </c>
      <c r="W785" s="41" t="str">
        <f t="shared" si="84"/>
        <v/>
      </c>
      <c r="X785" s="41" t="str">
        <f t="shared" si="85"/>
        <v/>
      </c>
    </row>
    <row r="786" s="32" customFormat="1" hidden="1" customHeight="1" spans="1:24">
      <c r="A786" s="34"/>
      <c r="B786" s="51"/>
      <c r="C786" s="51"/>
      <c r="D786" s="52"/>
      <c r="E786" s="53"/>
      <c r="F786" s="54"/>
      <c r="G786" s="54"/>
      <c r="H786" s="54"/>
      <c r="I786" s="66"/>
      <c r="J786" s="54"/>
      <c r="K786" s="54"/>
      <c r="L786" s="54"/>
      <c r="M786" s="97" t="str">
        <f t="shared" si="82"/>
        <v/>
      </c>
      <c r="N786" s="70"/>
      <c r="O786" s="71" t="str">
        <f t="shared" si="86"/>
        <v/>
      </c>
      <c r="P786" s="66"/>
      <c r="Q786" s="66"/>
      <c r="R786" s="54"/>
      <c r="S786" s="82"/>
      <c r="T786" s="83" t="str">
        <f t="shared" si="83"/>
        <v/>
      </c>
      <c r="U786" s="10"/>
      <c r="V786" s="41">
        <f>IF(AND(Q786&lt;&gt;"",RIGHT(Q786,3)&lt;&gt;""),IF(COUNTIF($Q$6:Q786,Q786)=1,1,0),0)</f>
        <v>0</v>
      </c>
      <c r="W786" s="41" t="str">
        <f t="shared" si="84"/>
        <v/>
      </c>
      <c r="X786" s="41" t="str">
        <f t="shared" si="85"/>
        <v/>
      </c>
    </row>
    <row r="787" s="32" customFormat="1" hidden="1" customHeight="1" spans="1:24">
      <c r="A787" s="34"/>
      <c r="B787" s="51"/>
      <c r="C787" s="51"/>
      <c r="D787" s="52"/>
      <c r="E787" s="53"/>
      <c r="F787" s="54"/>
      <c r="G787" s="54"/>
      <c r="H787" s="54"/>
      <c r="I787" s="66"/>
      <c r="J787" s="54"/>
      <c r="K787" s="54"/>
      <c r="L787" s="54"/>
      <c r="M787" s="97" t="str">
        <f t="shared" si="82"/>
        <v/>
      </c>
      <c r="N787" s="70"/>
      <c r="O787" s="71" t="str">
        <f t="shared" si="86"/>
        <v/>
      </c>
      <c r="P787" s="66"/>
      <c r="Q787" s="66"/>
      <c r="R787" s="54"/>
      <c r="S787" s="82"/>
      <c r="T787" s="83" t="str">
        <f t="shared" si="83"/>
        <v/>
      </c>
      <c r="U787" s="10"/>
      <c r="V787" s="41">
        <f>IF(AND(Q787&lt;&gt;"",RIGHT(Q787,3)&lt;&gt;""),IF(COUNTIF($Q$6:Q787,Q787)=1,1,0),0)</f>
        <v>0</v>
      </c>
      <c r="W787" s="41" t="str">
        <f t="shared" si="84"/>
        <v/>
      </c>
      <c r="X787" s="41" t="str">
        <f t="shared" si="85"/>
        <v/>
      </c>
    </row>
    <row r="788" s="32" customFormat="1" hidden="1" customHeight="1" spans="1:24">
      <c r="A788" s="34"/>
      <c r="B788" s="51"/>
      <c r="C788" s="51"/>
      <c r="D788" s="52"/>
      <c r="E788" s="53"/>
      <c r="F788" s="54"/>
      <c r="G788" s="54"/>
      <c r="H788" s="54"/>
      <c r="I788" s="66"/>
      <c r="J788" s="54"/>
      <c r="K788" s="54"/>
      <c r="L788" s="54"/>
      <c r="M788" s="97" t="str">
        <f t="shared" si="82"/>
        <v/>
      </c>
      <c r="N788" s="70"/>
      <c r="O788" s="71" t="str">
        <f t="shared" si="86"/>
        <v/>
      </c>
      <c r="P788" s="66"/>
      <c r="Q788" s="66"/>
      <c r="R788" s="54"/>
      <c r="S788" s="82"/>
      <c r="T788" s="83" t="str">
        <f t="shared" si="83"/>
        <v/>
      </c>
      <c r="U788" s="10"/>
      <c r="V788" s="41">
        <f>IF(AND(Q788&lt;&gt;"",RIGHT(Q788,3)&lt;&gt;""),IF(COUNTIF($Q$6:Q788,Q788)=1,1,0),0)</f>
        <v>0</v>
      </c>
      <c r="W788" s="41" t="str">
        <f t="shared" si="84"/>
        <v/>
      </c>
      <c r="X788" s="41" t="str">
        <f t="shared" si="85"/>
        <v/>
      </c>
    </row>
    <row r="789" s="32" customFormat="1" hidden="1" customHeight="1" spans="1:24">
      <c r="A789" s="34"/>
      <c r="B789" s="51"/>
      <c r="C789" s="51"/>
      <c r="D789" s="52"/>
      <c r="E789" s="53"/>
      <c r="F789" s="54"/>
      <c r="G789" s="54"/>
      <c r="H789" s="54"/>
      <c r="I789" s="66"/>
      <c r="J789" s="54"/>
      <c r="K789" s="54"/>
      <c r="L789" s="54"/>
      <c r="M789" s="97" t="str">
        <f t="shared" si="82"/>
        <v/>
      </c>
      <c r="N789" s="70"/>
      <c r="O789" s="71" t="str">
        <f t="shared" si="86"/>
        <v/>
      </c>
      <c r="P789" s="66"/>
      <c r="Q789" s="66"/>
      <c r="R789" s="54"/>
      <c r="S789" s="82"/>
      <c r="T789" s="83" t="str">
        <f t="shared" si="83"/>
        <v/>
      </c>
      <c r="U789" s="10"/>
      <c r="V789" s="41">
        <f>IF(AND(Q789&lt;&gt;"",RIGHT(Q789,3)&lt;&gt;""),IF(COUNTIF($Q$6:Q789,Q789)=1,1,0),0)</f>
        <v>0</v>
      </c>
      <c r="W789" s="41" t="str">
        <f t="shared" si="84"/>
        <v/>
      </c>
      <c r="X789" s="41" t="str">
        <f t="shared" si="85"/>
        <v/>
      </c>
    </row>
    <row r="790" s="32" customFormat="1" hidden="1" customHeight="1" spans="1:24">
      <c r="A790" s="34"/>
      <c r="B790" s="51"/>
      <c r="C790" s="51"/>
      <c r="D790" s="52"/>
      <c r="E790" s="53"/>
      <c r="F790" s="54"/>
      <c r="G790" s="54"/>
      <c r="H790" s="54"/>
      <c r="I790" s="66"/>
      <c r="J790" s="54"/>
      <c r="K790" s="54"/>
      <c r="L790" s="54"/>
      <c r="M790" s="97" t="str">
        <f t="shared" si="82"/>
        <v/>
      </c>
      <c r="N790" s="70"/>
      <c r="O790" s="71" t="str">
        <f t="shared" si="86"/>
        <v/>
      </c>
      <c r="P790" s="66"/>
      <c r="Q790" s="66"/>
      <c r="R790" s="54"/>
      <c r="S790" s="82"/>
      <c r="T790" s="83" t="str">
        <f t="shared" si="83"/>
        <v/>
      </c>
      <c r="U790" s="10"/>
      <c r="V790" s="41">
        <f>IF(AND(Q790&lt;&gt;"",RIGHT(Q790,3)&lt;&gt;""),IF(COUNTIF($Q$6:Q790,Q790)=1,1,0),0)</f>
        <v>0</v>
      </c>
      <c r="W790" s="41" t="str">
        <f t="shared" si="84"/>
        <v/>
      </c>
      <c r="X790" s="41" t="str">
        <f t="shared" si="85"/>
        <v/>
      </c>
    </row>
    <row r="791" s="32" customFormat="1" hidden="1" customHeight="1" spans="1:24">
      <c r="A791" s="34"/>
      <c r="B791" s="51"/>
      <c r="C791" s="51"/>
      <c r="D791" s="52"/>
      <c r="E791" s="53"/>
      <c r="F791" s="54"/>
      <c r="G791" s="54"/>
      <c r="H791" s="54"/>
      <c r="I791" s="66"/>
      <c r="J791" s="54"/>
      <c r="K791" s="54"/>
      <c r="L791" s="54"/>
      <c r="M791" s="97" t="str">
        <f t="shared" si="82"/>
        <v/>
      </c>
      <c r="N791" s="70"/>
      <c r="O791" s="71" t="str">
        <f t="shared" si="86"/>
        <v/>
      </c>
      <c r="P791" s="66"/>
      <c r="Q791" s="66"/>
      <c r="R791" s="54"/>
      <c r="S791" s="82"/>
      <c r="T791" s="83" t="str">
        <f t="shared" si="83"/>
        <v/>
      </c>
      <c r="U791" s="10"/>
      <c r="V791" s="41">
        <f>IF(AND(Q791&lt;&gt;"",RIGHT(Q791,3)&lt;&gt;""),IF(COUNTIF($Q$6:Q791,Q791)=1,1,0),0)</f>
        <v>0</v>
      </c>
      <c r="W791" s="41" t="str">
        <f t="shared" si="84"/>
        <v/>
      </c>
      <c r="X791" s="41" t="str">
        <f t="shared" si="85"/>
        <v/>
      </c>
    </row>
    <row r="792" s="32" customFormat="1" hidden="1" customHeight="1" spans="1:24">
      <c r="A792" s="34"/>
      <c r="B792" s="51"/>
      <c r="C792" s="51"/>
      <c r="D792" s="52"/>
      <c r="E792" s="53"/>
      <c r="F792" s="54"/>
      <c r="G792" s="54"/>
      <c r="H792" s="54"/>
      <c r="I792" s="66"/>
      <c r="J792" s="54"/>
      <c r="K792" s="54"/>
      <c r="L792" s="54"/>
      <c r="M792" s="97" t="str">
        <f t="shared" si="82"/>
        <v/>
      </c>
      <c r="N792" s="70"/>
      <c r="O792" s="71" t="str">
        <f t="shared" si="86"/>
        <v/>
      </c>
      <c r="P792" s="66"/>
      <c r="Q792" s="66"/>
      <c r="R792" s="54"/>
      <c r="S792" s="82"/>
      <c r="T792" s="83" t="str">
        <f t="shared" si="83"/>
        <v/>
      </c>
      <c r="U792" s="10"/>
      <c r="V792" s="41">
        <f>IF(AND(Q792&lt;&gt;"",RIGHT(Q792,3)&lt;&gt;""),IF(COUNTIF($Q$6:Q792,Q792)=1,1,0),0)</f>
        <v>0</v>
      </c>
      <c r="W792" s="41" t="str">
        <f t="shared" si="84"/>
        <v/>
      </c>
      <c r="X792" s="41" t="str">
        <f t="shared" si="85"/>
        <v/>
      </c>
    </row>
    <row r="793" s="32" customFormat="1" hidden="1" customHeight="1" spans="1:24">
      <c r="A793" s="34"/>
      <c r="B793" s="51"/>
      <c r="C793" s="51"/>
      <c r="D793" s="52"/>
      <c r="E793" s="53"/>
      <c r="F793" s="54"/>
      <c r="G793" s="54"/>
      <c r="H793" s="54"/>
      <c r="I793" s="66"/>
      <c r="J793" s="54"/>
      <c r="K793" s="54"/>
      <c r="L793" s="54"/>
      <c r="M793" s="97" t="str">
        <f t="shared" si="82"/>
        <v/>
      </c>
      <c r="N793" s="70"/>
      <c r="O793" s="71" t="str">
        <f t="shared" si="86"/>
        <v/>
      </c>
      <c r="P793" s="66"/>
      <c r="Q793" s="66"/>
      <c r="R793" s="54"/>
      <c r="S793" s="82"/>
      <c r="T793" s="83" t="str">
        <f t="shared" si="83"/>
        <v/>
      </c>
      <c r="U793" s="10"/>
      <c r="V793" s="41">
        <f>IF(AND(Q793&lt;&gt;"",RIGHT(Q793,3)&lt;&gt;""),IF(COUNTIF($Q$6:Q793,Q793)=1,1,0),0)</f>
        <v>0</v>
      </c>
      <c r="W793" s="41" t="str">
        <f t="shared" si="84"/>
        <v/>
      </c>
      <c r="X793" s="41" t="str">
        <f t="shared" si="85"/>
        <v/>
      </c>
    </row>
    <row r="794" s="32" customFormat="1" hidden="1" customHeight="1" spans="1:24">
      <c r="A794" s="34"/>
      <c r="B794" s="51"/>
      <c r="C794" s="51"/>
      <c r="D794" s="52"/>
      <c r="E794" s="53"/>
      <c r="F794" s="54"/>
      <c r="G794" s="54"/>
      <c r="H794" s="54"/>
      <c r="I794" s="66"/>
      <c r="J794" s="54"/>
      <c r="K794" s="54"/>
      <c r="L794" s="54"/>
      <c r="M794" s="97" t="str">
        <f t="shared" si="82"/>
        <v/>
      </c>
      <c r="N794" s="70"/>
      <c r="O794" s="71" t="str">
        <f t="shared" si="86"/>
        <v/>
      </c>
      <c r="P794" s="66"/>
      <c r="Q794" s="66"/>
      <c r="R794" s="54"/>
      <c r="S794" s="82"/>
      <c r="T794" s="83" t="str">
        <f t="shared" si="83"/>
        <v/>
      </c>
      <c r="U794" s="10"/>
      <c r="V794" s="41">
        <f>IF(AND(Q794&lt;&gt;"",RIGHT(Q794,3)&lt;&gt;""),IF(COUNTIF($Q$6:Q794,Q794)=1,1,0),0)</f>
        <v>0</v>
      </c>
      <c r="W794" s="41" t="str">
        <f t="shared" si="84"/>
        <v/>
      </c>
      <c r="X794" s="41" t="str">
        <f t="shared" si="85"/>
        <v/>
      </c>
    </row>
    <row r="795" s="32" customFormat="1" hidden="1" customHeight="1" spans="1:24">
      <c r="A795" s="34"/>
      <c r="B795" s="51"/>
      <c r="C795" s="51"/>
      <c r="D795" s="52"/>
      <c r="E795" s="53"/>
      <c r="F795" s="54"/>
      <c r="G795" s="54"/>
      <c r="H795" s="54"/>
      <c r="I795" s="66"/>
      <c r="J795" s="54"/>
      <c r="K795" s="54"/>
      <c r="L795" s="54"/>
      <c r="M795" s="97" t="str">
        <f t="shared" si="82"/>
        <v/>
      </c>
      <c r="N795" s="70"/>
      <c r="O795" s="71" t="str">
        <f t="shared" si="86"/>
        <v/>
      </c>
      <c r="P795" s="66"/>
      <c r="Q795" s="66"/>
      <c r="R795" s="54"/>
      <c r="S795" s="82"/>
      <c r="T795" s="83" t="str">
        <f t="shared" si="83"/>
        <v/>
      </c>
      <c r="U795" s="10"/>
      <c r="V795" s="41">
        <f>IF(AND(Q795&lt;&gt;"",RIGHT(Q795,3)&lt;&gt;""),IF(COUNTIF($Q$6:Q795,Q795)=1,1,0),0)</f>
        <v>0</v>
      </c>
      <c r="W795" s="41" t="str">
        <f t="shared" si="84"/>
        <v/>
      </c>
      <c r="X795" s="41" t="str">
        <f t="shared" si="85"/>
        <v/>
      </c>
    </row>
    <row r="796" s="32" customFormat="1" hidden="1" customHeight="1" spans="1:24">
      <c r="A796" s="34"/>
      <c r="B796" s="51"/>
      <c r="C796" s="51"/>
      <c r="D796" s="52"/>
      <c r="E796" s="53"/>
      <c r="F796" s="54"/>
      <c r="G796" s="54"/>
      <c r="H796" s="54"/>
      <c r="I796" s="66"/>
      <c r="J796" s="54"/>
      <c r="K796" s="54"/>
      <c r="L796" s="54"/>
      <c r="M796" s="97" t="str">
        <f t="shared" si="82"/>
        <v/>
      </c>
      <c r="N796" s="70"/>
      <c r="O796" s="71" t="str">
        <f t="shared" si="86"/>
        <v/>
      </c>
      <c r="P796" s="66"/>
      <c r="Q796" s="66"/>
      <c r="R796" s="54"/>
      <c r="S796" s="82"/>
      <c r="T796" s="83" t="str">
        <f t="shared" si="83"/>
        <v/>
      </c>
      <c r="U796" s="10"/>
      <c r="V796" s="41">
        <f>IF(AND(Q796&lt;&gt;"",RIGHT(Q796,3)&lt;&gt;""),IF(COUNTIF($Q$6:Q796,Q796)=1,1,0),0)</f>
        <v>0</v>
      </c>
      <c r="W796" s="41" t="str">
        <f t="shared" si="84"/>
        <v/>
      </c>
      <c r="X796" s="41" t="str">
        <f t="shared" si="85"/>
        <v/>
      </c>
    </row>
    <row r="797" s="32" customFormat="1" hidden="1" customHeight="1" spans="1:24">
      <c r="A797" s="34"/>
      <c r="B797" s="51"/>
      <c r="C797" s="51"/>
      <c r="D797" s="52"/>
      <c r="E797" s="53"/>
      <c r="F797" s="54"/>
      <c r="G797" s="54"/>
      <c r="H797" s="54"/>
      <c r="I797" s="66"/>
      <c r="J797" s="54"/>
      <c r="K797" s="54"/>
      <c r="L797" s="54"/>
      <c r="M797" s="97" t="str">
        <f t="shared" si="82"/>
        <v/>
      </c>
      <c r="N797" s="70"/>
      <c r="O797" s="71" t="str">
        <f t="shared" si="86"/>
        <v/>
      </c>
      <c r="P797" s="66"/>
      <c r="Q797" s="66"/>
      <c r="R797" s="54"/>
      <c r="S797" s="82"/>
      <c r="T797" s="83" t="str">
        <f t="shared" si="83"/>
        <v/>
      </c>
      <c r="U797" s="10"/>
      <c r="V797" s="41">
        <f>IF(AND(Q797&lt;&gt;"",RIGHT(Q797,3)&lt;&gt;""),IF(COUNTIF($Q$6:Q797,Q797)=1,1,0),0)</f>
        <v>0</v>
      </c>
      <c r="W797" s="41" t="str">
        <f t="shared" si="84"/>
        <v/>
      </c>
      <c r="X797" s="41" t="str">
        <f t="shared" si="85"/>
        <v/>
      </c>
    </row>
    <row r="798" s="32" customFormat="1" hidden="1" customHeight="1" spans="1:24">
      <c r="A798" s="34"/>
      <c r="B798" s="51"/>
      <c r="C798" s="51"/>
      <c r="D798" s="52"/>
      <c r="E798" s="53"/>
      <c r="F798" s="54"/>
      <c r="G798" s="54"/>
      <c r="H798" s="54"/>
      <c r="I798" s="66"/>
      <c r="J798" s="54"/>
      <c r="K798" s="54"/>
      <c r="L798" s="54"/>
      <c r="M798" s="97" t="str">
        <f t="shared" si="82"/>
        <v/>
      </c>
      <c r="N798" s="70"/>
      <c r="O798" s="71" t="str">
        <f t="shared" si="86"/>
        <v/>
      </c>
      <c r="P798" s="66"/>
      <c r="Q798" s="66"/>
      <c r="R798" s="54"/>
      <c r="S798" s="82"/>
      <c r="T798" s="83" t="str">
        <f t="shared" si="83"/>
        <v/>
      </c>
      <c r="U798" s="10"/>
      <c r="V798" s="41">
        <f>IF(AND(Q798&lt;&gt;"",RIGHT(Q798,3)&lt;&gt;""),IF(COUNTIF($Q$6:Q798,Q798)=1,1,0),0)</f>
        <v>0</v>
      </c>
      <c r="W798" s="41" t="str">
        <f t="shared" si="84"/>
        <v/>
      </c>
      <c r="X798" s="41" t="str">
        <f t="shared" si="85"/>
        <v/>
      </c>
    </row>
    <row r="799" s="32" customFormat="1" hidden="1" customHeight="1" spans="1:24">
      <c r="A799" s="34"/>
      <c r="B799" s="51"/>
      <c r="C799" s="51"/>
      <c r="D799" s="52"/>
      <c r="E799" s="53"/>
      <c r="F799" s="54"/>
      <c r="G799" s="54"/>
      <c r="H799" s="54"/>
      <c r="I799" s="66"/>
      <c r="J799" s="54"/>
      <c r="K799" s="54"/>
      <c r="L799" s="54"/>
      <c r="M799" s="97" t="str">
        <f t="shared" si="82"/>
        <v/>
      </c>
      <c r="N799" s="70"/>
      <c r="O799" s="71" t="str">
        <f t="shared" si="86"/>
        <v/>
      </c>
      <c r="P799" s="66"/>
      <c r="Q799" s="66"/>
      <c r="R799" s="54"/>
      <c r="S799" s="82"/>
      <c r="T799" s="83" t="str">
        <f t="shared" si="83"/>
        <v/>
      </c>
      <c r="U799" s="10"/>
      <c r="V799" s="41">
        <f>IF(AND(Q799&lt;&gt;"",RIGHT(Q799,3)&lt;&gt;""),IF(COUNTIF($Q$6:Q799,Q799)=1,1,0),0)</f>
        <v>0</v>
      </c>
      <c r="W799" s="41" t="str">
        <f t="shared" si="84"/>
        <v/>
      </c>
      <c r="X799" s="41" t="str">
        <f t="shared" si="85"/>
        <v/>
      </c>
    </row>
    <row r="800" s="32" customFormat="1" hidden="1" customHeight="1" spans="1:24">
      <c r="A800" s="34"/>
      <c r="B800" s="51"/>
      <c r="C800" s="51"/>
      <c r="D800" s="52"/>
      <c r="E800" s="53"/>
      <c r="F800" s="54"/>
      <c r="G800" s="54"/>
      <c r="H800" s="54"/>
      <c r="I800" s="66"/>
      <c r="J800" s="54"/>
      <c r="K800" s="54"/>
      <c r="L800" s="54"/>
      <c r="M800" s="97" t="str">
        <f t="shared" si="82"/>
        <v/>
      </c>
      <c r="N800" s="70"/>
      <c r="O800" s="71" t="str">
        <f t="shared" si="86"/>
        <v/>
      </c>
      <c r="P800" s="66"/>
      <c r="Q800" s="66"/>
      <c r="R800" s="54"/>
      <c r="S800" s="82"/>
      <c r="T800" s="83" t="str">
        <f t="shared" si="83"/>
        <v/>
      </c>
      <c r="U800" s="10"/>
      <c r="V800" s="41">
        <f>IF(AND(Q800&lt;&gt;"",RIGHT(Q800,3)&lt;&gt;""),IF(COUNTIF($Q$6:Q800,Q800)=1,1,0),0)</f>
        <v>0</v>
      </c>
      <c r="W800" s="41" t="str">
        <f t="shared" si="84"/>
        <v/>
      </c>
      <c r="X800" s="41" t="str">
        <f t="shared" si="85"/>
        <v/>
      </c>
    </row>
    <row r="801" s="32" customFormat="1" hidden="1" customHeight="1" spans="1:24">
      <c r="A801" s="34"/>
      <c r="B801" s="51"/>
      <c r="C801" s="51"/>
      <c r="D801" s="52"/>
      <c r="E801" s="53"/>
      <c r="F801" s="54"/>
      <c r="G801" s="54"/>
      <c r="H801" s="54"/>
      <c r="I801" s="66"/>
      <c r="J801" s="54"/>
      <c r="K801" s="54"/>
      <c r="L801" s="54"/>
      <c r="M801" s="97" t="str">
        <f t="shared" si="82"/>
        <v/>
      </c>
      <c r="N801" s="70"/>
      <c r="O801" s="71" t="str">
        <f t="shared" si="86"/>
        <v/>
      </c>
      <c r="P801" s="66"/>
      <c r="Q801" s="66"/>
      <c r="R801" s="54"/>
      <c r="S801" s="82"/>
      <c r="T801" s="83" t="str">
        <f t="shared" si="83"/>
        <v/>
      </c>
      <c r="U801" s="10"/>
      <c r="V801" s="41">
        <f>IF(AND(Q801&lt;&gt;"",RIGHT(Q801,3)&lt;&gt;""),IF(COUNTIF($Q$6:Q801,Q801)=1,1,0),0)</f>
        <v>0</v>
      </c>
      <c r="W801" s="41" t="str">
        <f t="shared" si="84"/>
        <v/>
      </c>
      <c r="X801" s="41" t="str">
        <f t="shared" si="85"/>
        <v/>
      </c>
    </row>
    <row r="802" s="32" customFormat="1" hidden="1" customHeight="1" spans="1:24">
      <c r="A802" s="34"/>
      <c r="B802" s="51"/>
      <c r="C802" s="51"/>
      <c r="D802" s="52"/>
      <c r="E802" s="53"/>
      <c r="F802" s="54"/>
      <c r="G802" s="54"/>
      <c r="H802" s="54"/>
      <c r="I802" s="66"/>
      <c r="J802" s="54"/>
      <c r="K802" s="54"/>
      <c r="L802" s="54"/>
      <c r="M802" s="97" t="str">
        <f t="shared" si="82"/>
        <v/>
      </c>
      <c r="N802" s="70"/>
      <c r="O802" s="71" t="str">
        <f t="shared" si="86"/>
        <v/>
      </c>
      <c r="P802" s="66"/>
      <c r="Q802" s="66"/>
      <c r="R802" s="54"/>
      <c r="S802" s="82"/>
      <c r="T802" s="83" t="str">
        <f t="shared" si="83"/>
        <v/>
      </c>
      <c r="U802" s="10"/>
      <c r="V802" s="41">
        <f>IF(AND(Q802&lt;&gt;"",RIGHT(Q802,3)&lt;&gt;""),IF(COUNTIF($Q$6:Q802,Q802)=1,1,0),0)</f>
        <v>0</v>
      </c>
      <c r="W802" s="41" t="str">
        <f t="shared" si="84"/>
        <v/>
      </c>
      <c r="X802" s="41" t="str">
        <f t="shared" si="85"/>
        <v/>
      </c>
    </row>
    <row r="803" s="32" customFormat="1" hidden="1" customHeight="1" spans="1:24">
      <c r="A803" s="34"/>
      <c r="B803" s="51"/>
      <c r="C803" s="51"/>
      <c r="D803" s="52"/>
      <c r="E803" s="53"/>
      <c r="F803" s="54"/>
      <c r="G803" s="54"/>
      <c r="H803" s="54"/>
      <c r="I803" s="66"/>
      <c r="J803" s="54"/>
      <c r="K803" s="54"/>
      <c r="L803" s="54"/>
      <c r="M803" s="97" t="str">
        <f t="shared" si="82"/>
        <v/>
      </c>
      <c r="N803" s="70"/>
      <c r="O803" s="71" t="str">
        <f t="shared" si="86"/>
        <v/>
      </c>
      <c r="P803" s="66"/>
      <c r="Q803" s="66"/>
      <c r="R803" s="54"/>
      <c r="S803" s="82"/>
      <c r="T803" s="83" t="str">
        <f t="shared" si="83"/>
        <v/>
      </c>
      <c r="U803" s="10"/>
      <c r="V803" s="41">
        <f>IF(AND(Q803&lt;&gt;"",RIGHT(Q803,3)&lt;&gt;""),IF(COUNTIF($Q$6:Q803,Q803)=1,1,0),0)</f>
        <v>0</v>
      </c>
      <c r="W803" s="41" t="str">
        <f t="shared" si="84"/>
        <v/>
      </c>
      <c r="X803" s="41" t="str">
        <f t="shared" si="85"/>
        <v/>
      </c>
    </row>
    <row r="804" s="32" customFormat="1" hidden="1" customHeight="1" spans="1:24">
      <c r="A804" s="34"/>
      <c r="B804" s="51"/>
      <c r="C804" s="51"/>
      <c r="D804" s="52"/>
      <c r="E804" s="53"/>
      <c r="F804" s="54"/>
      <c r="G804" s="54"/>
      <c r="H804" s="54"/>
      <c r="I804" s="66"/>
      <c r="J804" s="54"/>
      <c r="K804" s="54"/>
      <c r="L804" s="54"/>
      <c r="M804" s="97" t="str">
        <f t="shared" ref="M804:M867" si="87">IF(L804="","",HYPERLINK(_xlfn.CONCAT($L$4,L804,".jpg"),"Open File"))</f>
        <v/>
      </c>
      <c r="N804" s="70"/>
      <c r="O804" s="71" t="str">
        <f t="shared" si="86"/>
        <v/>
      </c>
      <c r="P804" s="66"/>
      <c r="Q804" s="66"/>
      <c r="R804" s="54"/>
      <c r="S804" s="82"/>
      <c r="T804" s="83" t="str">
        <f t="shared" ref="T804:T867" si="88">IF(S804="","",HYPERLINK(_xlfn.CONCAT($S$4,S804,".jpg"),"Open File"))</f>
        <v/>
      </c>
      <c r="U804" s="10"/>
      <c r="V804" s="41">
        <f>IF(AND(Q804&lt;&gt;"",RIGHT(Q804,3)&lt;&gt;""),IF(COUNTIF($Q$6:Q804,Q804)=1,1,0),0)</f>
        <v>0</v>
      </c>
      <c r="W804" s="41" t="str">
        <f t="shared" ref="W804:W867" si="89">IF(AND(J804&lt;&gt;"",K804&lt;&gt;""),_xlfn.CONCAT(SUBSTITUTE(J804,"/","."),"-",K804),"")</f>
        <v/>
      </c>
      <c r="X804" s="41" t="str">
        <f t="shared" ref="X804:X867" si="90">IF(AND(Q804&lt;&gt;"",R804&lt;&gt;""),_xlfn.CONCAT(SUBSTITUTE(Q804,"/","."),"-",R804),"")</f>
        <v/>
      </c>
    </row>
    <row r="805" s="32" customFormat="1" hidden="1" customHeight="1" spans="1:24">
      <c r="A805" s="34"/>
      <c r="B805" s="51"/>
      <c r="C805" s="51"/>
      <c r="D805" s="52"/>
      <c r="E805" s="53"/>
      <c r="F805" s="54"/>
      <c r="G805" s="54"/>
      <c r="H805" s="54"/>
      <c r="I805" s="66"/>
      <c r="J805" s="54"/>
      <c r="K805" s="54"/>
      <c r="L805" s="54"/>
      <c r="M805" s="97" t="str">
        <f t="shared" si="87"/>
        <v/>
      </c>
      <c r="N805" s="70"/>
      <c r="O805" s="71" t="str">
        <f t="shared" si="86"/>
        <v/>
      </c>
      <c r="P805" s="66"/>
      <c r="Q805" s="66"/>
      <c r="R805" s="54"/>
      <c r="S805" s="82"/>
      <c r="T805" s="83" t="str">
        <f t="shared" si="88"/>
        <v/>
      </c>
      <c r="U805" s="10"/>
      <c r="V805" s="41">
        <f>IF(AND(Q805&lt;&gt;"",RIGHT(Q805,3)&lt;&gt;""),IF(COUNTIF($Q$6:Q805,Q805)=1,1,0),0)</f>
        <v>0</v>
      </c>
      <c r="W805" s="41" t="str">
        <f t="shared" si="89"/>
        <v/>
      </c>
      <c r="X805" s="41" t="str">
        <f t="shared" si="90"/>
        <v/>
      </c>
    </row>
    <row r="806" s="32" customFormat="1" hidden="1" customHeight="1" spans="1:24">
      <c r="A806" s="34"/>
      <c r="B806" s="51"/>
      <c r="C806" s="51"/>
      <c r="D806" s="52"/>
      <c r="E806" s="53"/>
      <c r="F806" s="54"/>
      <c r="G806" s="54"/>
      <c r="H806" s="54"/>
      <c r="I806" s="66"/>
      <c r="J806" s="54"/>
      <c r="K806" s="54"/>
      <c r="L806" s="54"/>
      <c r="M806" s="97" t="str">
        <f t="shared" si="87"/>
        <v/>
      </c>
      <c r="N806" s="70"/>
      <c r="O806" s="71" t="str">
        <f t="shared" si="86"/>
        <v/>
      </c>
      <c r="P806" s="66"/>
      <c r="Q806" s="66"/>
      <c r="R806" s="54"/>
      <c r="S806" s="82"/>
      <c r="T806" s="83" t="str">
        <f t="shared" si="88"/>
        <v/>
      </c>
      <c r="U806" s="10"/>
      <c r="V806" s="41">
        <f>IF(AND(Q806&lt;&gt;"",RIGHT(Q806,3)&lt;&gt;""),IF(COUNTIF($Q$6:Q806,Q806)=1,1,0),0)</f>
        <v>0</v>
      </c>
      <c r="W806" s="41" t="str">
        <f t="shared" si="89"/>
        <v/>
      </c>
      <c r="X806" s="41" t="str">
        <f t="shared" si="90"/>
        <v/>
      </c>
    </row>
    <row r="807" s="32" customFormat="1" hidden="1" customHeight="1" spans="1:24">
      <c r="A807" s="34"/>
      <c r="B807" s="51"/>
      <c r="C807" s="51"/>
      <c r="D807" s="52"/>
      <c r="E807" s="53"/>
      <c r="F807" s="54"/>
      <c r="G807" s="54"/>
      <c r="H807" s="54"/>
      <c r="I807" s="66"/>
      <c r="J807" s="54"/>
      <c r="K807" s="54"/>
      <c r="L807" s="54"/>
      <c r="M807" s="97" t="str">
        <f t="shared" si="87"/>
        <v/>
      </c>
      <c r="N807" s="70"/>
      <c r="O807" s="71" t="str">
        <f t="shared" si="86"/>
        <v/>
      </c>
      <c r="P807" s="66"/>
      <c r="Q807" s="66"/>
      <c r="R807" s="54"/>
      <c r="S807" s="82"/>
      <c r="T807" s="83" t="str">
        <f t="shared" si="88"/>
        <v/>
      </c>
      <c r="U807" s="10"/>
      <c r="V807" s="41">
        <f>IF(AND(Q807&lt;&gt;"",RIGHT(Q807,3)&lt;&gt;""),IF(COUNTIF($Q$6:Q807,Q807)=1,1,0),0)</f>
        <v>0</v>
      </c>
      <c r="W807" s="41" t="str">
        <f t="shared" si="89"/>
        <v/>
      </c>
      <c r="X807" s="41" t="str">
        <f t="shared" si="90"/>
        <v/>
      </c>
    </row>
    <row r="808" s="32" customFormat="1" hidden="1" customHeight="1" spans="1:24">
      <c r="A808" s="34"/>
      <c r="B808" s="51"/>
      <c r="C808" s="51"/>
      <c r="D808" s="52"/>
      <c r="E808" s="53"/>
      <c r="F808" s="54"/>
      <c r="G808" s="54"/>
      <c r="H808" s="54"/>
      <c r="I808" s="66"/>
      <c r="J808" s="54"/>
      <c r="K808" s="54"/>
      <c r="L808" s="54"/>
      <c r="M808" s="97" t="str">
        <f t="shared" si="87"/>
        <v/>
      </c>
      <c r="N808" s="70"/>
      <c r="O808" s="71" t="str">
        <f t="shared" si="86"/>
        <v/>
      </c>
      <c r="P808" s="66"/>
      <c r="Q808" s="66"/>
      <c r="R808" s="54"/>
      <c r="S808" s="82"/>
      <c r="T808" s="83" t="str">
        <f t="shared" si="88"/>
        <v/>
      </c>
      <c r="U808" s="10"/>
      <c r="V808" s="41">
        <f>IF(AND(Q808&lt;&gt;"",RIGHT(Q808,3)&lt;&gt;""),IF(COUNTIF($Q$6:Q808,Q808)=1,1,0),0)</f>
        <v>0</v>
      </c>
      <c r="W808" s="41" t="str">
        <f t="shared" si="89"/>
        <v/>
      </c>
      <c r="X808" s="41" t="str">
        <f t="shared" si="90"/>
        <v/>
      </c>
    </row>
    <row r="809" s="32" customFormat="1" hidden="1" customHeight="1" spans="1:24">
      <c r="A809" s="34"/>
      <c r="B809" s="51"/>
      <c r="C809" s="51"/>
      <c r="D809" s="52"/>
      <c r="E809" s="53"/>
      <c r="F809" s="54"/>
      <c r="G809" s="54"/>
      <c r="H809" s="54"/>
      <c r="I809" s="66"/>
      <c r="J809" s="54"/>
      <c r="K809" s="54"/>
      <c r="L809" s="54"/>
      <c r="M809" s="97" t="str">
        <f t="shared" si="87"/>
        <v/>
      </c>
      <c r="N809" s="70"/>
      <c r="O809" s="71" t="str">
        <f t="shared" si="86"/>
        <v/>
      </c>
      <c r="P809" s="66"/>
      <c r="Q809" s="66"/>
      <c r="R809" s="54"/>
      <c r="S809" s="82"/>
      <c r="T809" s="83" t="str">
        <f t="shared" si="88"/>
        <v/>
      </c>
      <c r="U809" s="10"/>
      <c r="V809" s="41">
        <f>IF(AND(Q809&lt;&gt;"",RIGHT(Q809,3)&lt;&gt;""),IF(COUNTIF($Q$6:Q809,Q809)=1,1,0),0)</f>
        <v>0</v>
      </c>
      <c r="W809" s="41" t="str">
        <f t="shared" si="89"/>
        <v/>
      </c>
      <c r="X809" s="41" t="str">
        <f t="shared" si="90"/>
        <v/>
      </c>
    </row>
    <row r="810" s="32" customFormat="1" hidden="1" customHeight="1" spans="1:24">
      <c r="A810" s="34"/>
      <c r="B810" s="51"/>
      <c r="C810" s="51"/>
      <c r="D810" s="52"/>
      <c r="E810" s="53"/>
      <c r="F810" s="54"/>
      <c r="G810" s="54"/>
      <c r="H810" s="54"/>
      <c r="I810" s="66"/>
      <c r="J810" s="54"/>
      <c r="K810" s="54"/>
      <c r="L810" s="54"/>
      <c r="M810" s="97" t="str">
        <f t="shared" si="87"/>
        <v/>
      </c>
      <c r="N810" s="70"/>
      <c r="O810" s="71" t="str">
        <f t="shared" si="86"/>
        <v/>
      </c>
      <c r="P810" s="66"/>
      <c r="Q810" s="66"/>
      <c r="R810" s="54"/>
      <c r="S810" s="82"/>
      <c r="T810" s="83" t="str">
        <f t="shared" si="88"/>
        <v/>
      </c>
      <c r="U810" s="10"/>
      <c r="V810" s="41">
        <f>IF(AND(Q810&lt;&gt;"",RIGHT(Q810,3)&lt;&gt;""),IF(COUNTIF($Q$6:Q810,Q810)=1,1,0),0)</f>
        <v>0</v>
      </c>
      <c r="W810" s="41" t="str">
        <f t="shared" si="89"/>
        <v/>
      </c>
      <c r="X810" s="41" t="str">
        <f t="shared" si="90"/>
        <v/>
      </c>
    </row>
    <row r="811" s="32" customFormat="1" hidden="1" customHeight="1" spans="1:24">
      <c r="A811" s="34"/>
      <c r="B811" s="51"/>
      <c r="C811" s="51"/>
      <c r="D811" s="52"/>
      <c r="E811" s="53"/>
      <c r="F811" s="54"/>
      <c r="G811" s="54"/>
      <c r="H811" s="54"/>
      <c r="I811" s="66"/>
      <c r="J811" s="54"/>
      <c r="K811" s="54"/>
      <c r="L811" s="54"/>
      <c r="M811" s="97" t="str">
        <f t="shared" si="87"/>
        <v/>
      </c>
      <c r="N811" s="70"/>
      <c r="O811" s="71" t="str">
        <f t="shared" si="86"/>
        <v/>
      </c>
      <c r="P811" s="66"/>
      <c r="Q811" s="66"/>
      <c r="R811" s="54"/>
      <c r="S811" s="82"/>
      <c r="T811" s="83" t="str">
        <f t="shared" si="88"/>
        <v/>
      </c>
      <c r="U811" s="10"/>
      <c r="V811" s="41">
        <f>IF(AND(Q811&lt;&gt;"",RIGHT(Q811,3)&lt;&gt;""),IF(COUNTIF($Q$6:Q811,Q811)=1,1,0),0)</f>
        <v>0</v>
      </c>
      <c r="W811" s="41" t="str">
        <f t="shared" si="89"/>
        <v/>
      </c>
      <c r="X811" s="41" t="str">
        <f t="shared" si="90"/>
        <v/>
      </c>
    </row>
    <row r="812" s="32" customFormat="1" hidden="1" customHeight="1" spans="1:24">
      <c r="A812" s="34"/>
      <c r="B812" s="51"/>
      <c r="C812" s="51"/>
      <c r="D812" s="52"/>
      <c r="E812" s="53"/>
      <c r="F812" s="54"/>
      <c r="G812" s="54"/>
      <c r="H812" s="54"/>
      <c r="I812" s="66"/>
      <c r="J812" s="54"/>
      <c r="K812" s="54"/>
      <c r="L812" s="54"/>
      <c r="M812" s="97" t="str">
        <f t="shared" si="87"/>
        <v/>
      </c>
      <c r="N812" s="70"/>
      <c r="O812" s="71" t="str">
        <f t="shared" si="86"/>
        <v/>
      </c>
      <c r="P812" s="66"/>
      <c r="Q812" s="66"/>
      <c r="R812" s="54"/>
      <c r="S812" s="82"/>
      <c r="T812" s="83" t="str">
        <f t="shared" si="88"/>
        <v/>
      </c>
      <c r="U812" s="10"/>
      <c r="V812" s="41">
        <f>IF(AND(Q812&lt;&gt;"",RIGHT(Q812,3)&lt;&gt;""),IF(COUNTIF($Q$6:Q812,Q812)=1,1,0),0)</f>
        <v>0</v>
      </c>
      <c r="W812" s="41" t="str">
        <f t="shared" si="89"/>
        <v/>
      </c>
      <c r="X812" s="41" t="str">
        <f t="shared" si="90"/>
        <v/>
      </c>
    </row>
    <row r="813" s="32" customFormat="1" hidden="1" customHeight="1" spans="1:24">
      <c r="A813" s="34"/>
      <c r="B813" s="51"/>
      <c r="C813" s="51"/>
      <c r="D813" s="52"/>
      <c r="E813" s="53"/>
      <c r="F813" s="54"/>
      <c r="G813" s="54"/>
      <c r="H813" s="54"/>
      <c r="I813" s="66"/>
      <c r="J813" s="54"/>
      <c r="K813" s="54"/>
      <c r="L813" s="54"/>
      <c r="M813" s="97" t="str">
        <f t="shared" si="87"/>
        <v/>
      </c>
      <c r="N813" s="70"/>
      <c r="O813" s="71" t="str">
        <f t="shared" si="86"/>
        <v/>
      </c>
      <c r="P813" s="66"/>
      <c r="Q813" s="66"/>
      <c r="R813" s="54"/>
      <c r="S813" s="82"/>
      <c r="T813" s="83" t="str">
        <f t="shared" si="88"/>
        <v/>
      </c>
      <c r="U813" s="10"/>
      <c r="V813" s="41">
        <f>IF(AND(Q813&lt;&gt;"",RIGHT(Q813,3)&lt;&gt;""),IF(COUNTIF($Q$6:Q813,Q813)=1,1,0),0)</f>
        <v>0</v>
      </c>
      <c r="W813" s="41" t="str">
        <f t="shared" si="89"/>
        <v/>
      </c>
      <c r="X813" s="41" t="str">
        <f t="shared" si="90"/>
        <v/>
      </c>
    </row>
    <row r="814" s="32" customFormat="1" hidden="1" customHeight="1" spans="1:24">
      <c r="A814" s="34"/>
      <c r="B814" s="51"/>
      <c r="C814" s="51"/>
      <c r="D814" s="52"/>
      <c r="E814" s="53"/>
      <c r="F814" s="54"/>
      <c r="G814" s="54"/>
      <c r="H814" s="54"/>
      <c r="I814" s="66"/>
      <c r="J814" s="54"/>
      <c r="K814" s="54"/>
      <c r="L814" s="54"/>
      <c r="M814" s="97" t="str">
        <f t="shared" si="87"/>
        <v/>
      </c>
      <c r="N814" s="70"/>
      <c r="O814" s="71" t="str">
        <f t="shared" si="86"/>
        <v/>
      </c>
      <c r="P814" s="66"/>
      <c r="Q814" s="66"/>
      <c r="R814" s="54"/>
      <c r="S814" s="82"/>
      <c r="T814" s="83" t="str">
        <f t="shared" si="88"/>
        <v/>
      </c>
      <c r="U814" s="10"/>
      <c r="V814" s="41">
        <f>IF(AND(Q814&lt;&gt;"",RIGHT(Q814,3)&lt;&gt;""),IF(COUNTIF($Q$6:Q814,Q814)=1,1,0),0)</f>
        <v>0</v>
      </c>
      <c r="W814" s="41" t="str">
        <f t="shared" si="89"/>
        <v/>
      </c>
      <c r="X814" s="41" t="str">
        <f t="shared" si="90"/>
        <v/>
      </c>
    </row>
    <row r="815" s="32" customFormat="1" hidden="1" customHeight="1" spans="1:24">
      <c r="A815" s="34"/>
      <c r="B815" s="51"/>
      <c r="C815" s="51"/>
      <c r="D815" s="52"/>
      <c r="E815" s="53"/>
      <c r="F815" s="54"/>
      <c r="G815" s="54"/>
      <c r="H815" s="54"/>
      <c r="I815" s="66"/>
      <c r="J815" s="54"/>
      <c r="K815" s="54"/>
      <c r="L815" s="54"/>
      <c r="M815" s="97" t="str">
        <f t="shared" si="87"/>
        <v/>
      </c>
      <c r="N815" s="70"/>
      <c r="O815" s="71" t="str">
        <f t="shared" si="86"/>
        <v/>
      </c>
      <c r="P815" s="66"/>
      <c r="Q815" s="66"/>
      <c r="R815" s="54"/>
      <c r="S815" s="82"/>
      <c r="T815" s="83" t="str">
        <f t="shared" si="88"/>
        <v/>
      </c>
      <c r="U815" s="10"/>
      <c r="V815" s="41">
        <f>IF(AND(Q815&lt;&gt;"",RIGHT(Q815,3)&lt;&gt;""),IF(COUNTIF($Q$6:Q815,Q815)=1,1,0),0)</f>
        <v>0</v>
      </c>
      <c r="W815" s="41" t="str">
        <f t="shared" si="89"/>
        <v/>
      </c>
      <c r="X815" s="41" t="str">
        <f t="shared" si="90"/>
        <v/>
      </c>
    </row>
    <row r="816" s="32" customFormat="1" hidden="1" customHeight="1" spans="1:24">
      <c r="A816" s="34"/>
      <c r="B816" s="51"/>
      <c r="C816" s="51"/>
      <c r="D816" s="52"/>
      <c r="E816" s="53"/>
      <c r="F816" s="54"/>
      <c r="G816" s="54"/>
      <c r="H816" s="54"/>
      <c r="I816" s="66"/>
      <c r="J816" s="54"/>
      <c r="K816" s="54"/>
      <c r="L816" s="54"/>
      <c r="M816" s="97" t="str">
        <f t="shared" si="87"/>
        <v/>
      </c>
      <c r="N816" s="70"/>
      <c r="O816" s="71" t="str">
        <f t="shared" si="86"/>
        <v/>
      </c>
      <c r="P816" s="66"/>
      <c r="Q816" s="66"/>
      <c r="R816" s="54"/>
      <c r="S816" s="82"/>
      <c r="T816" s="83" t="str">
        <f t="shared" si="88"/>
        <v/>
      </c>
      <c r="U816" s="10"/>
      <c r="V816" s="41">
        <f>IF(AND(Q816&lt;&gt;"",RIGHT(Q816,3)&lt;&gt;""),IF(COUNTIF($Q$6:Q816,Q816)=1,1,0),0)</f>
        <v>0</v>
      </c>
      <c r="W816" s="41" t="str">
        <f t="shared" si="89"/>
        <v/>
      </c>
      <c r="X816" s="41" t="str">
        <f t="shared" si="90"/>
        <v/>
      </c>
    </row>
    <row r="817" s="32" customFormat="1" hidden="1" customHeight="1" spans="1:24">
      <c r="A817" s="34"/>
      <c r="B817" s="51"/>
      <c r="C817" s="51"/>
      <c r="D817" s="52"/>
      <c r="E817" s="53"/>
      <c r="F817" s="54"/>
      <c r="G817" s="54"/>
      <c r="H817" s="54"/>
      <c r="I817" s="66"/>
      <c r="J817" s="54"/>
      <c r="K817" s="54"/>
      <c r="L817" s="54"/>
      <c r="M817" s="97" t="str">
        <f t="shared" si="87"/>
        <v/>
      </c>
      <c r="N817" s="70"/>
      <c r="O817" s="71" t="str">
        <f t="shared" ref="O817:O880" si="91">IF(AND(Q817&lt;&gt;"",T817&lt;&gt;""),"PASSIVE",IF(AND(J817&lt;&gt;"",M817&lt;&gt;""),"ACTIVE",""))</f>
        <v/>
      </c>
      <c r="P817" s="66"/>
      <c r="Q817" s="66"/>
      <c r="R817" s="54"/>
      <c r="S817" s="82"/>
      <c r="T817" s="83" t="str">
        <f t="shared" si="88"/>
        <v/>
      </c>
      <c r="U817" s="10"/>
      <c r="V817" s="41">
        <f>IF(AND(Q817&lt;&gt;"",RIGHT(Q817,3)&lt;&gt;""),IF(COUNTIF($Q$6:Q817,Q817)=1,1,0),0)</f>
        <v>0</v>
      </c>
      <c r="W817" s="41" t="str">
        <f t="shared" si="89"/>
        <v/>
      </c>
      <c r="X817" s="41" t="str">
        <f t="shared" si="90"/>
        <v/>
      </c>
    </row>
    <row r="818" s="32" customFormat="1" hidden="1" customHeight="1" spans="1:24">
      <c r="A818" s="34"/>
      <c r="B818" s="51"/>
      <c r="C818" s="51"/>
      <c r="D818" s="52"/>
      <c r="E818" s="53"/>
      <c r="F818" s="54"/>
      <c r="G818" s="54"/>
      <c r="H818" s="54"/>
      <c r="I818" s="66"/>
      <c r="J818" s="54"/>
      <c r="K818" s="54"/>
      <c r="L818" s="54"/>
      <c r="M818" s="97" t="str">
        <f t="shared" si="87"/>
        <v/>
      </c>
      <c r="N818" s="70"/>
      <c r="O818" s="71" t="str">
        <f t="shared" si="91"/>
        <v/>
      </c>
      <c r="P818" s="66"/>
      <c r="Q818" s="66"/>
      <c r="R818" s="54"/>
      <c r="S818" s="82"/>
      <c r="T818" s="83" t="str">
        <f t="shared" si="88"/>
        <v/>
      </c>
      <c r="U818" s="10"/>
      <c r="V818" s="41">
        <f>IF(AND(Q818&lt;&gt;"",RIGHT(Q818,3)&lt;&gt;""),IF(COUNTIF($Q$6:Q818,Q818)=1,1,0),0)</f>
        <v>0</v>
      </c>
      <c r="W818" s="41" t="str">
        <f t="shared" si="89"/>
        <v/>
      </c>
      <c r="X818" s="41" t="str">
        <f t="shared" si="90"/>
        <v/>
      </c>
    </row>
    <row r="819" s="32" customFormat="1" hidden="1" customHeight="1" spans="1:24">
      <c r="A819" s="34"/>
      <c r="B819" s="51"/>
      <c r="C819" s="51"/>
      <c r="D819" s="52"/>
      <c r="E819" s="53"/>
      <c r="F819" s="54"/>
      <c r="G819" s="54"/>
      <c r="H819" s="54"/>
      <c r="I819" s="66"/>
      <c r="J819" s="54"/>
      <c r="K819" s="54"/>
      <c r="L819" s="54"/>
      <c r="M819" s="97" t="str">
        <f t="shared" si="87"/>
        <v/>
      </c>
      <c r="N819" s="70"/>
      <c r="O819" s="71" t="str">
        <f t="shared" si="91"/>
        <v/>
      </c>
      <c r="P819" s="66"/>
      <c r="Q819" s="66"/>
      <c r="R819" s="54"/>
      <c r="S819" s="82"/>
      <c r="T819" s="83" t="str">
        <f t="shared" si="88"/>
        <v/>
      </c>
      <c r="U819" s="10"/>
      <c r="V819" s="41">
        <f>IF(AND(Q819&lt;&gt;"",RIGHT(Q819,3)&lt;&gt;""),IF(COUNTIF($Q$6:Q819,Q819)=1,1,0),0)</f>
        <v>0</v>
      </c>
      <c r="W819" s="41" t="str">
        <f t="shared" si="89"/>
        <v/>
      </c>
      <c r="X819" s="41" t="str">
        <f t="shared" si="90"/>
        <v/>
      </c>
    </row>
    <row r="820" s="32" customFormat="1" hidden="1" customHeight="1" spans="1:24">
      <c r="A820" s="34"/>
      <c r="B820" s="51"/>
      <c r="C820" s="51"/>
      <c r="D820" s="52"/>
      <c r="E820" s="53"/>
      <c r="F820" s="54"/>
      <c r="G820" s="54"/>
      <c r="H820" s="54"/>
      <c r="I820" s="66"/>
      <c r="J820" s="54"/>
      <c r="K820" s="54"/>
      <c r="L820" s="54"/>
      <c r="M820" s="97" t="str">
        <f t="shared" si="87"/>
        <v/>
      </c>
      <c r="N820" s="70"/>
      <c r="O820" s="71" t="str">
        <f t="shared" si="91"/>
        <v/>
      </c>
      <c r="P820" s="66"/>
      <c r="Q820" s="66"/>
      <c r="R820" s="54"/>
      <c r="S820" s="82"/>
      <c r="T820" s="83" t="str">
        <f t="shared" si="88"/>
        <v/>
      </c>
      <c r="U820" s="10"/>
      <c r="V820" s="41">
        <f>IF(AND(Q820&lt;&gt;"",RIGHT(Q820,3)&lt;&gt;""),IF(COUNTIF($Q$6:Q820,Q820)=1,1,0),0)</f>
        <v>0</v>
      </c>
      <c r="W820" s="41" t="str">
        <f t="shared" si="89"/>
        <v/>
      </c>
      <c r="X820" s="41" t="str">
        <f t="shared" si="90"/>
        <v/>
      </c>
    </row>
    <row r="821" s="32" customFormat="1" hidden="1" customHeight="1" spans="1:24">
      <c r="A821" s="34"/>
      <c r="B821" s="51"/>
      <c r="C821" s="51"/>
      <c r="D821" s="52"/>
      <c r="E821" s="53"/>
      <c r="F821" s="54"/>
      <c r="G821" s="54"/>
      <c r="H821" s="54"/>
      <c r="I821" s="66"/>
      <c r="J821" s="54"/>
      <c r="K821" s="54"/>
      <c r="L821" s="54"/>
      <c r="M821" s="97" t="str">
        <f t="shared" si="87"/>
        <v/>
      </c>
      <c r="N821" s="70"/>
      <c r="O821" s="71" t="str">
        <f t="shared" si="91"/>
        <v/>
      </c>
      <c r="P821" s="66"/>
      <c r="Q821" s="66"/>
      <c r="R821" s="54"/>
      <c r="S821" s="82"/>
      <c r="T821" s="83" t="str">
        <f t="shared" si="88"/>
        <v/>
      </c>
      <c r="U821" s="10"/>
      <c r="V821" s="41">
        <f>IF(AND(Q821&lt;&gt;"",RIGHT(Q821,3)&lt;&gt;""),IF(COUNTIF($Q$6:Q821,Q821)=1,1,0),0)</f>
        <v>0</v>
      </c>
      <c r="W821" s="41" t="str">
        <f t="shared" si="89"/>
        <v/>
      </c>
      <c r="X821" s="41" t="str">
        <f t="shared" si="90"/>
        <v/>
      </c>
    </row>
    <row r="822" s="32" customFormat="1" hidden="1" customHeight="1" spans="1:24">
      <c r="A822" s="34"/>
      <c r="B822" s="51"/>
      <c r="C822" s="51"/>
      <c r="D822" s="52"/>
      <c r="E822" s="53"/>
      <c r="F822" s="54"/>
      <c r="G822" s="54"/>
      <c r="H822" s="54"/>
      <c r="I822" s="66"/>
      <c r="J822" s="54"/>
      <c r="K822" s="54"/>
      <c r="L822" s="54"/>
      <c r="M822" s="97" t="str">
        <f t="shared" si="87"/>
        <v/>
      </c>
      <c r="N822" s="70"/>
      <c r="O822" s="71" t="str">
        <f t="shared" si="91"/>
        <v/>
      </c>
      <c r="P822" s="66"/>
      <c r="Q822" s="66"/>
      <c r="R822" s="54"/>
      <c r="S822" s="82"/>
      <c r="T822" s="83" t="str">
        <f t="shared" si="88"/>
        <v/>
      </c>
      <c r="U822" s="10"/>
      <c r="V822" s="41">
        <f>IF(AND(Q822&lt;&gt;"",RIGHT(Q822,3)&lt;&gt;""),IF(COUNTIF($Q$6:Q822,Q822)=1,1,0),0)</f>
        <v>0</v>
      </c>
      <c r="W822" s="41" t="str">
        <f t="shared" si="89"/>
        <v/>
      </c>
      <c r="X822" s="41" t="str">
        <f t="shared" si="90"/>
        <v/>
      </c>
    </row>
    <row r="823" s="32" customFormat="1" hidden="1" customHeight="1" spans="1:24">
      <c r="A823" s="34"/>
      <c r="B823" s="51"/>
      <c r="C823" s="51"/>
      <c r="D823" s="52"/>
      <c r="E823" s="53"/>
      <c r="F823" s="54"/>
      <c r="G823" s="54"/>
      <c r="H823" s="54"/>
      <c r="I823" s="66"/>
      <c r="J823" s="54"/>
      <c r="K823" s="54"/>
      <c r="L823" s="54"/>
      <c r="M823" s="97" t="str">
        <f t="shared" si="87"/>
        <v/>
      </c>
      <c r="N823" s="70"/>
      <c r="O823" s="71" t="str">
        <f t="shared" si="91"/>
        <v/>
      </c>
      <c r="P823" s="66"/>
      <c r="Q823" s="66"/>
      <c r="R823" s="54"/>
      <c r="S823" s="82"/>
      <c r="T823" s="83" t="str">
        <f t="shared" si="88"/>
        <v/>
      </c>
      <c r="U823" s="10"/>
      <c r="V823" s="41">
        <f>IF(AND(Q823&lt;&gt;"",RIGHT(Q823,3)&lt;&gt;""),IF(COUNTIF($Q$6:Q823,Q823)=1,1,0),0)</f>
        <v>0</v>
      </c>
      <c r="W823" s="41" t="str">
        <f t="shared" si="89"/>
        <v/>
      </c>
      <c r="X823" s="41" t="str">
        <f t="shared" si="90"/>
        <v/>
      </c>
    </row>
    <row r="824" s="32" customFormat="1" hidden="1" customHeight="1" spans="1:24">
      <c r="A824" s="34"/>
      <c r="B824" s="51"/>
      <c r="C824" s="51"/>
      <c r="D824" s="52"/>
      <c r="E824" s="53"/>
      <c r="F824" s="54"/>
      <c r="G824" s="54"/>
      <c r="H824" s="54"/>
      <c r="I824" s="66"/>
      <c r="J824" s="54"/>
      <c r="K824" s="54"/>
      <c r="L824" s="54"/>
      <c r="M824" s="97" t="str">
        <f t="shared" si="87"/>
        <v/>
      </c>
      <c r="N824" s="70"/>
      <c r="O824" s="71" t="str">
        <f t="shared" si="91"/>
        <v/>
      </c>
      <c r="P824" s="66"/>
      <c r="Q824" s="66"/>
      <c r="R824" s="54"/>
      <c r="S824" s="82"/>
      <c r="T824" s="83" t="str">
        <f t="shared" si="88"/>
        <v/>
      </c>
      <c r="U824" s="10"/>
      <c r="V824" s="41">
        <f>IF(AND(Q824&lt;&gt;"",RIGHT(Q824,3)&lt;&gt;""),IF(COUNTIF($Q$6:Q824,Q824)=1,1,0),0)</f>
        <v>0</v>
      </c>
      <c r="W824" s="41" t="str">
        <f t="shared" si="89"/>
        <v/>
      </c>
      <c r="X824" s="41" t="str">
        <f t="shared" si="90"/>
        <v/>
      </c>
    </row>
    <row r="825" s="32" customFormat="1" hidden="1" customHeight="1" spans="1:24">
      <c r="A825" s="34"/>
      <c r="B825" s="51"/>
      <c r="C825" s="51"/>
      <c r="D825" s="52"/>
      <c r="E825" s="53"/>
      <c r="F825" s="54"/>
      <c r="G825" s="54"/>
      <c r="H825" s="54"/>
      <c r="I825" s="66"/>
      <c r="J825" s="54"/>
      <c r="K825" s="54"/>
      <c r="L825" s="54"/>
      <c r="M825" s="97" t="str">
        <f t="shared" si="87"/>
        <v/>
      </c>
      <c r="N825" s="70"/>
      <c r="O825" s="71" t="str">
        <f t="shared" si="91"/>
        <v/>
      </c>
      <c r="P825" s="66"/>
      <c r="Q825" s="66"/>
      <c r="R825" s="54"/>
      <c r="S825" s="82"/>
      <c r="T825" s="83" t="str">
        <f t="shared" si="88"/>
        <v/>
      </c>
      <c r="U825" s="10"/>
      <c r="V825" s="41">
        <f>IF(AND(Q825&lt;&gt;"",RIGHT(Q825,3)&lt;&gt;""),IF(COUNTIF($Q$6:Q825,Q825)=1,1,0),0)</f>
        <v>0</v>
      </c>
      <c r="W825" s="41" t="str">
        <f t="shared" si="89"/>
        <v/>
      </c>
      <c r="X825" s="41" t="str">
        <f t="shared" si="90"/>
        <v/>
      </c>
    </row>
    <row r="826" s="32" customFormat="1" hidden="1" customHeight="1" spans="1:24">
      <c r="A826" s="34"/>
      <c r="B826" s="51"/>
      <c r="C826" s="51"/>
      <c r="D826" s="52"/>
      <c r="E826" s="53"/>
      <c r="F826" s="54"/>
      <c r="G826" s="54"/>
      <c r="H826" s="54"/>
      <c r="I826" s="66"/>
      <c r="J826" s="54"/>
      <c r="K826" s="54"/>
      <c r="L826" s="54"/>
      <c r="M826" s="97" t="str">
        <f t="shared" si="87"/>
        <v/>
      </c>
      <c r="N826" s="70"/>
      <c r="O826" s="71" t="str">
        <f t="shared" si="91"/>
        <v/>
      </c>
      <c r="P826" s="66"/>
      <c r="Q826" s="66"/>
      <c r="R826" s="54"/>
      <c r="S826" s="82"/>
      <c r="T826" s="83" t="str">
        <f t="shared" si="88"/>
        <v/>
      </c>
      <c r="U826" s="10"/>
      <c r="V826" s="41">
        <f>IF(AND(Q826&lt;&gt;"",RIGHT(Q826,3)&lt;&gt;""),IF(COUNTIF($Q$6:Q826,Q826)=1,1,0),0)</f>
        <v>0</v>
      </c>
      <c r="W826" s="41" t="str">
        <f t="shared" si="89"/>
        <v/>
      </c>
      <c r="X826" s="41" t="str">
        <f t="shared" si="90"/>
        <v/>
      </c>
    </row>
    <row r="827" s="32" customFormat="1" hidden="1" customHeight="1" spans="1:24">
      <c r="A827" s="34"/>
      <c r="B827" s="51"/>
      <c r="C827" s="51"/>
      <c r="D827" s="52"/>
      <c r="E827" s="53"/>
      <c r="F827" s="54"/>
      <c r="G827" s="54"/>
      <c r="H827" s="54"/>
      <c r="I827" s="66"/>
      <c r="J827" s="54"/>
      <c r="K827" s="54"/>
      <c r="L827" s="54"/>
      <c r="M827" s="97" t="str">
        <f t="shared" si="87"/>
        <v/>
      </c>
      <c r="N827" s="70"/>
      <c r="O827" s="71" t="str">
        <f t="shared" si="91"/>
        <v/>
      </c>
      <c r="P827" s="66"/>
      <c r="Q827" s="66"/>
      <c r="R827" s="54"/>
      <c r="S827" s="82"/>
      <c r="T827" s="83" t="str">
        <f t="shared" si="88"/>
        <v/>
      </c>
      <c r="U827" s="10"/>
      <c r="V827" s="41">
        <f>IF(AND(Q827&lt;&gt;"",RIGHT(Q827,3)&lt;&gt;""),IF(COUNTIF($Q$6:Q827,Q827)=1,1,0),0)</f>
        <v>0</v>
      </c>
      <c r="W827" s="41" t="str">
        <f t="shared" si="89"/>
        <v/>
      </c>
      <c r="X827" s="41" t="str">
        <f t="shared" si="90"/>
        <v/>
      </c>
    </row>
    <row r="828" s="32" customFormat="1" hidden="1" customHeight="1" spans="1:24">
      <c r="A828" s="34"/>
      <c r="B828" s="51"/>
      <c r="C828" s="51"/>
      <c r="D828" s="52"/>
      <c r="E828" s="53"/>
      <c r="F828" s="54"/>
      <c r="G828" s="54"/>
      <c r="H828" s="54"/>
      <c r="I828" s="66"/>
      <c r="J828" s="54"/>
      <c r="K828" s="54"/>
      <c r="L828" s="54"/>
      <c r="M828" s="97" t="str">
        <f t="shared" si="87"/>
        <v/>
      </c>
      <c r="N828" s="70"/>
      <c r="O828" s="71" t="str">
        <f t="shared" si="91"/>
        <v/>
      </c>
      <c r="P828" s="66"/>
      <c r="Q828" s="66"/>
      <c r="R828" s="54"/>
      <c r="S828" s="82"/>
      <c r="T828" s="83" t="str">
        <f t="shared" si="88"/>
        <v/>
      </c>
      <c r="U828" s="10"/>
      <c r="V828" s="41">
        <f>IF(AND(Q828&lt;&gt;"",RIGHT(Q828,3)&lt;&gt;""),IF(COUNTIF($Q$6:Q828,Q828)=1,1,0),0)</f>
        <v>0</v>
      </c>
      <c r="W828" s="41" t="str">
        <f t="shared" si="89"/>
        <v/>
      </c>
      <c r="X828" s="41" t="str">
        <f t="shared" si="90"/>
        <v/>
      </c>
    </row>
    <row r="829" s="32" customFormat="1" hidden="1" customHeight="1" spans="1:24">
      <c r="A829" s="34"/>
      <c r="B829" s="51"/>
      <c r="C829" s="51"/>
      <c r="D829" s="52"/>
      <c r="E829" s="53"/>
      <c r="F829" s="54"/>
      <c r="G829" s="54"/>
      <c r="H829" s="54"/>
      <c r="I829" s="66"/>
      <c r="J829" s="54"/>
      <c r="K829" s="54"/>
      <c r="L829" s="54"/>
      <c r="M829" s="97" t="str">
        <f t="shared" si="87"/>
        <v/>
      </c>
      <c r="N829" s="70"/>
      <c r="O829" s="71" t="str">
        <f t="shared" si="91"/>
        <v/>
      </c>
      <c r="P829" s="66"/>
      <c r="Q829" s="66"/>
      <c r="R829" s="54"/>
      <c r="S829" s="82"/>
      <c r="T829" s="83" t="str">
        <f t="shared" si="88"/>
        <v/>
      </c>
      <c r="U829" s="10"/>
      <c r="V829" s="41">
        <f>IF(AND(Q829&lt;&gt;"",RIGHT(Q829,3)&lt;&gt;""),IF(COUNTIF($Q$6:Q829,Q829)=1,1,0),0)</f>
        <v>0</v>
      </c>
      <c r="W829" s="41" t="str">
        <f t="shared" si="89"/>
        <v/>
      </c>
      <c r="X829" s="41" t="str">
        <f t="shared" si="90"/>
        <v/>
      </c>
    </row>
    <row r="830" s="32" customFormat="1" hidden="1" customHeight="1" spans="1:24">
      <c r="A830" s="34"/>
      <c r="B830" s="51"/>
      <c r="C830" s="51"/>
      <c r="D830" s="52"/>
      <c r="E830" s="53"/>
      <c r="F830" s="54"/>
      <c r="G830" s="54"/>
      <c r="H830" s="54"/>
      <c r="I830" s="66"/>
      <c r="J830" s="54"/>
      <c r="K830" s="54"/>
      <c r="L830" s="54"/>
      <c r="M830" s="97" t="str">
        <f t="shared" si="87"/>
        <v/>
      </c>
      <c r="N830" s="70"/>
      <c r="O830" s="71" t="str">
        <f t="shared" si="91"/>
        <v/>
      </c>
      <c r="P830" s="66"/>
      <c r="Q830" s="66"/>
      <c r="R830" s="54"/>
      <c r="S830" s="82"/>
      <c r="T830" s="83" t="str">
        <f t="shared" si="88"/>
        <v/>
      </c>
      <c r="U830" s="10"/>
      <c r="V830" s="41">
        <f>IF(AND(Q830&lt;&gt;"",RIGHT(Q830,3)&lt;&gt;""),IF(COUNTIF($Q$6:Q830,Q830)=1,1,0),0)</f>
        <v>0</v>
      </c>
      <c r="W830" s="41" t="str">
        <f t="shared" si="89"/>
        <v/>
      </c>
      <c r="X830" s="41" t="str">
        <f t="shared" si="90"/>
        <v/>
      </c>
    </row>
    <row r="831" s="32" customFormat="1" hidden="1" customHeight="1" spans="1:24">
      <c r="A831" s="34"/>
      <c r="B831" s="51"/>
      <c r="C831" s="51"/>
      <c r="D831" s="52"/>
      <c r="E831" s="53"/>
      <c r="F831" s="54"/>
      <c r="G831" s="54"/>
      <c r="H831" s="54"/>
      <c r="I831" s="66"/>
      <c r="J831" s="54"/>
      <c r="K831" s="54"/>
      <c r="L831" s="54"/>
      <c r="M831" s="97" t="str">
        <f t="shared" si="87"/>
        <v/>
      </c>
      <c r="N831" s="70"/>
      <c r="O831" s="71" t="str">
        <f t="shared" si="91"/>
        <v/>
      </c>
      <c r="P831" s="66"/>
      <c r="Q831" s="66"/>
      <c r="R831" s="54"/>
      <c r="S831" s="82"/>
      <c r="T831" s="83" t="str">
        <f t="shared" si="88"/>
        <v/>
      </c>
      <c r="U831" s="10"/>
      <c r="V831" s="41">
        <f>IF(AND(Q831&lt;&gt;"",RIGHT(Q831,3)&lt;&gt;""),IF(COUNTIF($Q$6:Q831,Q831)=1,1,0),0)</f>
        <v>0</v>
      </c>
      <c r="W831" s="41" t="str">
        <f t="shared" si="89"/>
        <v/>
      </c>
      <c r="X831" s="41" t="str">
        <f t="shared" si="90"/>
        <v/>
      </c>
    </row>
    <row r="832" s="32" customFormat="1" hidden="1" customHeight="1" spans="1:24">
      <c r="A832" s="34"/>
      <c r="B832" s="51"/>
      <c r="C832" s="51"/>
      <c r="D832" s="52"/>
      <c r="E832" s="53"/>
      <c r="F832" s="54"/>
      <c r="G832" s="54"/>
      <c r="H832" s="54"/>
      <c r="I832" s="66"/>
      <c r="J832" s="54"/>
      <c r="K832" s="54"/>
      <c r="L832" s="54"/>
      <c r="M832" s="97" t="str">
        <f t="shared" si="87"/>
        <v/>
      </c>
      <c r="N832" s="70"/>
      <c r="O832" s="71" t="str">
        <f t="shared" si="91"/>
        <v/>
      </c>
      <c r="P832" s="66"/>
      <c r="Q832" s="66"/>
      <c r="R832" s="54"/>
      <c r="S832" s="82"/>
      <c r="T832" s="83" t="str">
        <f t="shared" si="88"/>
        <v/>
      </c>
      <c r="U832" s="10"/>
      <c r="V832" s="41">
        <f>IF(AND(Q832&lt;&gt;"",RIGHT(Q832,3)&lt;&gt;""),IF(COUNTIF($Q$6:Q832,Q832)=1,1,0),0)</f>
        <v>0</v>
      </c>
      <c r="W832" s="41" t="str">
        <f t="shared" si="89"/>
        <v/>
      </c>
      <c r="X832" s="41" t="str">
        <f t="shared" si="90"/>
        <v/>
      </c>
    </row>
    <row r="833" s="32" customFormat="1" hidden="1" customHeight="1" spans="1:24">
      <c r="A833" s="34"/>
      <c r="B833" s="51"/>
      <c r="C833" s="51"/>
      <c r="D833" s="52"/>
      <c r="E833" s="53"/>
      <c r="F833" s="54"/>
      <c r="G833" s="54"/>
      <c r="H833" s="54"/>
      <c r="I833" s="66"/>
      <c r="J833" s="54"/>
      <c r="K833" s="54"/>
      <c r="L833" s="54"/>
      <c r="M833" s="97" t="str">
        <f t="shared" si="87"/>
        <v/>
      </c>
      <c r="N833" s="70"/>
      <c r="O833" s="71" t="str">
        <f t="shared" si="91"/>
        <v/>
      </c>
      <c r="P833" s="66"/>
      <c r="Q833" s="66"/>
      <c r="R833" s="54"/>
      <c r="S833" s="82"/>
      <c r="T833" s="83" t="str">
        <f t="shared" si="88"/>
        <v/>
      </c>
      <c r="U833" s="10"/>
      <c r="V833" s="41">
        <f>IF(AND(Q833&lt;&gt;"",RIGHT(Q833,3)&lt;&gt;""),IF(COUNTIF($Q$6:Q833,Q833)=1,1,0),0)</f>
        <v>0</v>
      </c>
      <c r="W833" s="41" t="str">
        <f t="shared" si="89"/>
        <v/>
      </c>
      <c r="X833" s="41" t="str">
        <f t="shared" si="90"/>
        <v/>
      </c>
    </row>
    <row r="834" s="32" customFormat="1" hidden="1" customHeight="1" spans="1:24">
      <c r="A834" s="34"/>
      <c r="B834" s="51"/>
      <c r="C834" s="51"/>
      <c r="D834" s="52"/>
      <c r="E834" s="53"/>
      <c r="F834" s="54"/>
      <c r="G834" s="54"/>
      <c r="H834" s="54"/>
      <c r="I834" s="66"/>
      <c r="J834" s="54"/>
      <c r="K834" s="54"/>
      <c r="L834" s="54"/>
      <c r="M834" s="97" t="str">
        <f t="shared" si="87"/>
        <v/>
      </c>
      <c r="N834" s="70"/>
      <c r="O834" s="71" t="str">
        <f t="shared" si="91"/>
        <v/>
      </c>
      <c r="P834" s="66"/>
      <c r="Q834" s="66"/>
      <c r="R834" s="54"/>
      <c r="S834" s="82"/>
      <c r="T834" s="83" t="str">
        <f t="shared" si="88"/>
        <v/>
      </c>
      <c r="U834" s="10"/>
      <c r="V834" s="41">
        <f>IF(AND(Q834&lt;&gt;"",RIGHT(Q834,3)&lt;&gt;""),IF(COUNTIF($Q$6:Q834,Q834)=1,1,0),0)</f>
        <v>0</v>
      </c>
      <c r="W834" s="41" t="str">
        <f t="shared" si="89"/>
        <v/>
      </c>
      <c r="X834" s="41" t="str">
        <f t="shared" si="90"/>
        <v/>
      </c>
    </row>
    <row r="835" s="32" customFormat="1" hidden="1" customHeight="1" spans="1:24">
      <c r="A835" s="34"/>
      <c r="B835" s="51"/>
      <c r="C835" s="51"/>
      <c r="D835" s="52"/>
      <c r="E835" s="53"/>
      <c r="F835" s="54"/>
      <c r="G835" s="54"/>
      <c r="H835" s="54"/>
      <c r="I835" s="66"/>
      <c r="J835" s="54"/>
      <c r="K835" s="54"/>
      <c r="L835" s="54"/>
      <c r="M835" s="97" t="str">
        <f t="shared" si="87"/>
        <v/>
      </c>
      <c r="N835" s="70"/>
      <c r="O835" s="71" t="str">
        <f t="shared" si="91"/>
        <v/>
      </c>
      <c r="P835" s="66"/>
      <c r="Q835" s="66"/>
      <c r="R835" s="54"/>
      <c r="S835" s="82"/>
      <c r="T835" s="83" t="str">
        <f t="shared" si="88"/>
        <v/>
      </c>
      <c r="U835" s="10"/>
      <c r="V835" s="41">
        <f>IF(AND(Q835&lt;&gt;"",RIGHT(Q835,3)&lt;&gt;""),IF(COUNTIF($Q$6:Q835,Q835)=1,1,0),0)</f>
        <v>0</v>
      </c>
      <c r="W835" s="41" t="str">
        <f t="shared" si="89"/>
        <v/>
      </c>
      <c r="X835" s="41" t="str">
        <f t="shared" si="90"/>
        <v/>
      </c>
    </row>
    <row r="836" s="32" customFormat="1" hidden="1" customHeight="1" spans="1:24">
      <c r="A836" s="34"/>
      <c r="B836" s="51"/>
      <c r="C836" s="51"/>
      <c r="D836" s="52"/>
      <c r="E836" s="53"/>
      <c r="F836" s="54"/>
      <c r="G836" s="54"/>
      <c r="H836" s="54"/>
      <c r="I836" s="66"/>
      <c r="J836" s="54"/>
      <c r="K836" s="54"/>
      <c r="L836" s="54"/>
      <c r="M836" s="97" t="str">
        <f t="shared" si="87"/>
        <v/>
      </c>
      <c r="N836" s="70"/>
      <c r="O836" s="71" t="str">
        <f t="shared" si="91"/>
        <v/>
      </c>
      <c r="P836" s="66"/>
      <c r="Q836" s="66"/>
      <c r="R836" s="54"/>
      <c r="S836" s="82"/>
      <c r="T836" s="83" t="str">
        <f t="shared" si="88"/>
        <v/>
      </c>
      <c r="U836" s="10"/>
      <c r="V836" s="41">
        <f>IF(AND(Q836&lt;&gt;"",RIGHT(Q836,3)&lt;&gt;""),IF(COUNTIF($Q$6:Q836,Q836)=1,1,0),0)</f>
        <v>0</v>
      </c>
      <c r="W836" s="41" t="str">
        <f t="shared" si="89"/>
        <v/>
      </c>
      <c r="X836" s="41" t="str">
        <f t="shared" si="90"/>
        <v/>
      </c>
    </row>
    <row r="837" s="32" customFormat="1" hidden="1" customHeight="1" spans="1:24">
      <c r="A837" s="34"/>
      <c r="B837" s="51"/>
      <c r="C837" s="51"/>
      <c r="D837" s="52"/>
      <c r="E837" s="53"/>
      <c r="F837" s="54"/>
      <c r="G837" s="54"/>
      <c r="H837" s="54"/>
      <c r="I837" s="66"/>
      <c r="J837" s="54"/>
      <c r="K837" s="54"/>
      <c r="L837" s="54"/>
      <c r="M837" s="97" t="str">
        <f t="shared" si="87"/>
        <v/>
      </c>
      <c r="N837" s="70"/>
      <c r="O837" s="71" t="str">
        <f t="shared" si="91"/>
        <v/>
      </c>
      <c r="P837" s="66"/>
      <c r="Q837" s="66"/>
      <c r="R837" s="54"/>
      <c r="S837" s="82"/>
      <c r="T837" s="83" t="str">
        <f t="shared" si="88"/>
        <v/>
      </c>
      <c r="U837" s="10"/>
      <c r="V837" s="41">
        <f>IF(AND(Q837&lt;&gt;"",RIGHT(Q837,3)&lt;&gt;""),IF(COUNTIF($Q$6:Q837,Q837)=1,1,0),0)</f>
        <v>0</v>
      </c>
      <c r="W837" s="41" t="str">
        <f t="shared" si="89"/>
        <v/>
      </c>
      <c r="X837" s="41" t="str">
        <f t="shared" si="90"/>
        <v/>
      </c>
    </row>
    <row r="838" s="32" customFormat="1" hidden="1" customHeight="1" spans="1:24">
      <c r="A838" s="34"/>
      <c r="B838" s="51"/>
      <c r="C838" s="51"/>
      <c r="D838" s="52"/>
      <c r="E838" s="53"/>
      <c r="F838" s="54"/>
      <c r="G838" s="54"/>
      <c r="H838" s="54"/>
      <c r="I838" s="66"/>
      <c r="J838" s="54"/>
      <c r="K838" s="54"/>
      <c r="L838" s="54"/>
      <c r="M838" s="97" t="str">
        <f t="shared" si="87"/>
        <v/>
      </c>
      <c r="N838" s="70"/>
      <c r="O838" s="71" t="str">
        <f t="shared" si="91"/>
        <v/>
      </c>
      <c r="P838" s="66"/>
      <c r="Q838" s="66"/>
      <c r="R838" s="54"/>
      <c r="S838" s="82"/>
      <c r="T838" s="83" t="str">
        <f t="shared" si="88"/>
        <v/>
      </c>
      <c r="U838" s="10"/>
      <c r="V838" s="41">
        <f>IF(AND(Q838&lt;&gt;"",RIGHT(Q838,3)&lt;&gt;""),IF(COUNTIF($Q$6:Q838,Q838)=1,1,0),0)</f>
        <v>0</v>
      </c>
      <c r="W838" s="41" t="str">
        <f t="shared" si="89"/>
        <v/>
      </c>
      <c r="X838" s="41" t="str">
        <f t="shared" si="90"/>
        <v/>
      </c>
    </row>
    <row r="839" s="32" customFormat="1" hidden="1" customHeight="1" spans="1:24">
      <c r="A839" s="34"/>
      <c r="B839" s="51"/>
      <c r="C839" s="51"/>
      <c r="D839" s="52"/>
      <c r="E839" s="53"/>
      <c r="F839" s="54"/>
      <c r="G839" s="54"/>
      <c r="H839" s="54"/>
      <c r="I839" s="66"/>
      <c r="J839" s="54"/>
      <c r="K839" s="54"/>
      <c r="L839" s="54"/>
      <c r="M839" s="97" t="str">
        <f t="shared" si="87"/>
        <v/>
      </c>
      <c r="N839" s="70"/>
      <c r="O839" s="71" t="str">
        <f t="shared" si="91"/>
        <v/>
      </c>
      <c r="P839" s="66"/>
      <c r="Q839" s="66"/>
      <c r="R839" s="54"/>
      <c r="S839" s="82"/>
      <c r="T839" s="83" t="str">
        <f t="shared" si="88"/>
        <v/>
      </c>
      <c r="U839" s="10"/>
      <c r="V839" s="41">
        <f>IF(AND(Q839&lt;&gt;"",RIGHT(Q839,3)&lt;&gt;""),IF(COUNTIF($Q$6:Q839,Q839)=1,1,0),0)</f>
        <v>0</v>
      </c>
      <c r="W839" s="41" t="str">
        <f t="shared" si="89"/>
        <v/>
      </c>
      <c r="X839" s="41" t="str">
        <f t="shared" si="90"/>
        <v/>
      </c>
    </row>
    <row r="840" s="32" customFormat="1" hidden="1" customHeight="1" spans="1:24">
      <c r="A840" s="34"/>
      <c r="B840" s="51"/>
      <c r="C840" s="51"/>
      <c r="D840" s="52"/>
      <c r="E840" s="53"/>
      <c r="F840" s="54"/>
      <c r="G840" s="54"/>
      <c r="H840" s="54"/>
      <c r="I840" s="66"/>
      <c r="J840" s="54"/>
      <c r="K840" s="54"/>
      <c r="L840" s="54"/>
      <c r="M840" s="97" t="str">
        <f t="shared" si="87"/>
        <v/>
      </c>
      <c r="N840" s="70"/>
      <c r="O840" s="71" t="str">
        <f t="shared" si="91"/>
        <v/>
      </c>
      <c r="P840" s="66"/>
      <c r="Q840" s="66"/>
      <c r="R840" s="54"/>
      <c r="S840" s="82"/>
      <c r="T840" s="83" t="str">
        <f t="shared" si="88"/>
        <v/>
      </c>
      <c r="U840" s="10"/>
      <c r="V840" s="41">
        <f>IF(AND(Q840&lt;&gt;"",RIGHT(Q840,3)&lt;&gt;""),IF(COUNTIF($Q$6:Q840,Q840)=1,1,0),0)</f>
        <v>0</v>
      </c>
      <c r="W840" s="41" t="str">
        <f t="shared" si="89"/>
        <v/>
      </c>
      <c r="X840" s="41" t="str">
        <f t="shared" si="90"/>
        <v/>
      </c>
    </row>
    <row r="841" s="32" customFormat="1" hidden="1" customHeight="1" spans="1:24">
      <c r="A841" s="34"/>
      <c r="B841" s="51"/>
      <c r="C841" s="51"/>
      <c r="D841" s="52"/>
      <c r="E841" s="53"/>
      <c r="F841" s="54"/>
      <c r="G841" s="54"/>
      <c r="H841" s="54"/>
      <c r="I841" s="66"/>
      <c r="J841" s="54"/>
      <c r="K841" s="54"/>
      <c r="L841" s="54"/>
      <c r="M841" s="97" t="str">
        <f t="shared" si="87"/>
        <v/>
      </c>
      <c r="N841" s="70"/>
      <c r="O841" s="71" t="str">
        <f t="shared" si="91"/>
        <v/>
      </c>
      <c r="P841" s="66"/>
      <c r="Q841" s="66"/>
      <c r="R841" s="54"/>
      <c r="S841" s="82"/>
      <c r="T841" s="83" t="str">
        <f t="shared" si="88"/>
        <v/>
      </c>
      <c r="U841" s="10"/>
      <c r="V841" s="41">
        <f>IF(AND(Q841&lt;&gt;"",RIGHT(Q841,3)&lt;&gt;""),IF(COUNTIF($Q$6:Q841,Q841)=1,1,0),0)</f>
        <v>0</v>
      </c>
      <c r="W841" s="41" t="str">
        <f t="shared" si="89"/>
        <v/>
      </c>
      <c r="X841" s="41" t="str">
        <f t="shared" si="90"/>
        <v/>
      </c>
    </row>
    <row r="842" s="32" customFormat="1" hidden="1" customHeight="1" spans="1:24">
      <c r="A842" s="34"/>
      <c r="B842" s="51"/>
      <c r="C842" s="51"/>
      <c r="D842" s="52"/>
      <c r="E842" s="53"/>
      <c r="F842" s="54"/>
      <c r="G842" s="54"/>
      <c r="H842" s="54"/>
      <c r="I842" s="66"/>
      <c r="J842" s="54"/>
      <c r="K842" s="54"/>
      <c r="L842" s="54"/>
      <c r="M842" s="97" t="str">
        <f t="shared" si="87"/>
        <v/>
      </c>
      <c r="N842" s="70"/>
      <c r="O842" s="71" t="str">
        <f t="shared" si="91"/>
        <v/>
      </c>
      <c r="P842" s="66"/>
      <c r="Q842" s="66"/>
      <c r="R842" s="54"/>
      <c r="S842" s="82"/>
      <c r="T842" s="83" t="str">
        <f t="shared" si="88"/>
        <v/>
      </c>
      <c r="U842" s="10"/>
      <c r="V842" s="41">
        <f>IF(AND(Q842&lt;&gt;"",RIGHT(Q842,3)&lt;&gt;""),IF(COUNTIF($Q$6:Q842,Q842)=1,1,0),0)</f>
        <v>0</v>
      </c>
      <c r="W842" s="41" t="str">
        <f t="shared" si="89"/>
        <v/>
      </c>
      <c r="X842" s="41" t="str">
        <f t="shared" si="90"/>
        <v/>
      </c>
    </row>
    <row r="843" s="32" customFormat="1" hidden="1" customHeight="1" spans="1:24">
      <c r="A843" s="34"/>
      <c r="B843" s="51"/>
      <c r="C843" s="51"/>
      <c r="D843" s="52"/>
      <c r="E843" s="53"/>
      <c r="F843" s="54"/>
      <c r="G843" s="54"/>
      <c r="H843" s="54"/>
      <c r="I843" s="66"/>
      <c r="J843" s="54"/>
      <c r="K843" s="54"/>
      <c r="L843" s="54"/>
      <c r="M843" s="97" t="str">
        <f t="shared" si="87"/>
        <v/>
      </c>
      <c r="N843" s="70"/>
      <c r="O843" s="71" t="str">
        <f t="shared" si="91"/>
        <v/>
      </c>
      <c r="P843" s="66"/>
      <c r="Q843" s="66"/>
      <c r="R843" s="54"/>
      <c r="S843" s="82"/>
      <c r="T843" s="83" t="str">
        <f t="shared" si="88"/>
        <v/>
      </c>
      <c r="U843" s="10"/>
      <c r="V843" s="41">
        <f>IF(AND(Q843&lt;&gt;"",RIGHT(Q843,3)&lt;&gt;""),IF(COUNTIF($Q$6:Q843,Q843)=1,1,0),0)</f>
        <v>0</v>
      </c>
      <c r="W843" s="41" t="str">
        <f t="shared" si="89"/>
        <v/>
      </c>
      <c r="X843" s="41" t="str">
        <f t="shared" si="90"/>
        <v/>
      </c>
    </row>
    <row r="844" s="32" customFormat="1" hidden="1" customHeight="1" spans="1:24">
      <c r="A844" s="34"/>
      <c r="B844" s="51"/>
      <c r="C844" s="51"/>
      <c r="D844" s="52"/>
      <c r="E844" s="53"/>
      <c r="F844" s="54"/>
      <c r="G844" s="54"/>
      <c r="H844" s="54"/>
      <c r="I844" s="66"/>
      <c r="J844" s="54"/>
      <c r="K844" s="54"/>
      <c r="L844" s="54"/>
      <c r="M844" s="97" t="str">
        <f t="shared" si="87"/>
        <v/>
      </c>
      <c r="N844" s="70"/>
      <c r="O844" s="71" t="str">
        <f t="shared" si="91"/>
        <v/>
      </c>
      <c r="P844" s="66"/>
      <c r="Q844" s="66"/>
      <c r="R844" s="54"/>
      <c r="S844" s="82"/>
      <c r="T844" s="83" t="str">
        <f t="shared" si="88"/>
        <v/>
      </c>
      <c r="U844" s="10"/>
      <c r="V844" s="41">
        <f>IF(AND(Q844&lt;&gt;"",RIGHT(Q844,3)&lt;&gt;""),IF(COUNTIF($Q$6:Q844,Q844)=1,1,0),0)</f>
        <v>0</v>
      </c>
      <c r="W844" s="41" t="str">
        <f t="shared" si="89"/>
        <v/>
      </c>
      <c r="X844" s="41" t="str">
        <f t="shared" si="90"/>
        <v/>
      </c>
    </row>
    <row r="845" s="32" customFormat="1" hidden="1" customHeight="1" spans="1:24">
      <c r="A845" s="34"/>
      <c r="B845" s="51"/>
      <c r="C845" s="51"/>
      <c r="D845" s="52"/>
      <c r="E845" s="53"/>
      <c r="F845" s="54"/>
      <c r="G845" s="54"/>
      <c r="H845" s="54"/>
      <c r="I845" s="66"/>
      <c r="J845" s="54"/>
      <c r="K845" s="54"/>
      <c r="L845" s="54"/>
      <c r="M845" s="97" t="str">
        <f t="shared" si="87"/>
        <v/>
      </c>
      <c r="N845" s="70"/>
      <c r="O845" s="71" t="str">
        <f t="shared" si="91"/>
        <v/>
      </c>
      <c r="P845" s="66"/>
      <c r="Q845" s="66"/>
      <c r="R845" s="54"/>
      <c r="S845" s="82"/>
      <c r="T845" s="83" t="str">
        <f t="shared" si="88"/>
        <v/>
      </c>
      <c r="U845" s="10"/>
      <c r="V845" s="41">
        <f>IF(AND(Q845&lt;&gt;"",RIGHT(Q845,3)&lt;&gt;""),IF(COUNTIF($Q$6:Q845,Q845)=1,1,0),0)</f>
        <v>0</v>
      </c>
      <c r="W845" s="41" t="str">
        <f t="shared" si="89"/>
        <v/>
      </c>
      <c r="X845" s="41" t="str">
        <f t="shared" si="90"/>
        <v/>
      </c>
    </row>
    <row r="846" s="32" customFormat="1" hidden="1" customHeight="1" spans="1:24">
      <c r="A846" s="34"/>
      <c r="B846" s="51"/>
      <c r="C846" s="51"/>
      <c r="D846" s="52"/>
      <c r="E846" s="53"/>
      <c r="F846" s="54"/>
      <c r="G846" s="54"/>
      <c r="H846" s="54"/>
      <c r="I846" s="66"/>
      <c r="J846" s="54"/>
      <c r="K846" s="54"/>
      <c r="L846" s="54"/>
      <c r="M846" s="97" t="str">
        <f t="shared" si="87"/>
        <v/>
      </c>
      <c r="N846" s="70"/>
      <c r="O846" s="71" t="str">
        <f t="shared" si="91"/>
        <v/>
      </c>
      <c r="P846" s="66"/>
      <c r="Q846" s="66"/>
      <c r="R846" s="54"/>
      <c r="S846" s="82"/>
      <c r="T846" s="83" t="str">
        <f t="shared" si="88"/>
        <v/>
      </c>
      <c r="U846" s="10"/>
      <c r="V846" s="41">
        <f>IF(AND(Q846&lt;&gt;"",RIGHT(Q846,3)&lt;&gt;""),IF(COUNTIF($Q$6:Q846,Q846)=1,1,0),0)</f>
        <v>0</v>
      </c>
      <c r="W846" s="41" t="str">
        <f t="shared" si="89"/>
        <v/>
      </c>
      <c r="X846" s="41" t="str">
        <f t="shared" si="90"/>
        <v/>
      </c>
    </row>
    <row r="847" s="32" customFormat="1" hidden="1" customHeight="1" spans="1:24">
      <c r="A847" s="34"/>
      <c r="B847" s="51"/>
      <c r="C847" s="51"/>
      <c r="D847" s="52"/>
      <c r="E847" s="53"/>
      <c r="F847" s="54"/>
      <c r="G847" s="54"/>
      <c r="H847" s="54"/>
      <c r="I847" s="66"/>
      <c r="J847" s="54"/>
      <c r="K847" s="54"/>
      <c r="L847" s="54"/>
      <c r="M847" s="97" t="str">
        <f t="shared" si="87"/>
        <v/>
      </c>
      <c r="N847" s="70"/>
      <c r="O847" s="71" t="str">
        <f t="shared" si="91"/>
        <v/>
      </c>
      <c r="P847" s="66"/>
      <c r="Q847" s="66"/>
      <c r="R847" s="54"/>
      <c r="S847" s="82"/>
      <c r="T847" s="83" t="str">
        <f t="shared" si="88"/>
        <v/>
      </c>
      <c r="U847" s="10"/>
      <c r="V847" s="41">
        <f>IF(AND(Q847&lt;&gt;"",RIGHT(Q847,3)&lt;&gt;""),IF(COUNTIF($Q$6:Q847,Q847)=1,1,0),0)</f>
        <v>0</v>
      </c>
      <c r="W847" s="41" t="str">
        <f t="shared" si="89"/>
        <v/>
      </c>
      <c r="X847" s="41" t="str">
        <f t="shared" si="90"/>
        <v/>
      </c>
    </row>
    <row r="848" s="32" customFormat="1" hidden="1" customHeight="1" spans="1:24">
      <c r="A848" s="34"/>
      <c r="B848" s="51"/>
      <c r="C848" s="51"/>
      <c r="D848" s="52"/>
      <c r="E848" s="53"/>
      <c r="F848" s="54"/>
      <c r="G848" s="54"/>
      <c r="H848" s="54"/>
      <c r="I848" s="66"/>
      <c r="J848" s="54"/>
      <c r="K848" s="54"/>
      <c r="L848" s="54"/>
      <c r="M848" s="97" t="str">
        <f t="shared" si="87"/>
        <v/>
      </c>
      <c r="N848" s="70"/>
      <c r="O848" s="71" t="str">
        <f t="shared" si="91"/>
        <v/>
      </c>
      <c r="P848" s="66"/>
      <c r="Q848" s="66"/>
      <c r="R848" s="54"/>
      <c r="S848" s="82"/>
      <c r="T848" s="83" t="str">
        <f t="shared" si="88"/>
        <v/>
      </c>
      <c r="U848" s="10"/>
      <c r="V848" s="41">
        <f>IF(AND(Q848&lt;&gt;"",RIGHT(Q848,3)&lt;&gt;""),IF(COUNTIF($Q$6:Q848,Q848)=1,1,0),0)</f>
        <v>0</v>
      </c>
      <c r="W848" s="41" t="str">
        <f t="shared" si="89"/>
        <v/>
      </c>
      <c r="X848" s="41" t="str">
        <f t="shared" si="90"/>
        <v/>
      </c>
    </row>
    <row r="849" s="32" customFormat="1" hidden="1" customHeight="1" spans="1:24">
      <c r="A849" s="34"/>
      <c r="B849" s="51"/>
      <c r="C849" s="51"/>
      <c r="D849" s="52"/>
      <c r="E849" s="53"/>
      <c r="F849" s="54"/>
      <c r="G849" s="54"/>
      <c r="H849" s="54"/>
      <c r="I849" s="66"/>
      <c r="J849" s="54"/>
      <c r="K849" s="54"/>
      <c r="L849" s="54"/>
      <c r="M849" s="97" t="str">
        <f t="shared" si="87"/>
        <v/>
      </c>
      <c r="N849" s="70"/>
      <c r="O849" s="71" t="str">
        <f t="shared" si="91"/>
        <v/>
      </c>
      <c r="P849" s="66"/>
      <c r="Q849" s="66"/>
      <c r="R849" s="54"/>
      <c r="S849" s="82"/>
      <c r="T849" s="83" t="str">
        <f t="shared" si="88"/>
        <v/>
      </c>
      <c r="U849" s="10"/>
      <c r="V849" s="41">
        <f>IF(AND(Q849&lt;&gt;"",RIGHT(Q849,3)&lt;&gt;""),IF(COUNTIF($Q$6:Q849,Q849)=1,1,0),0)</f>
        <v>0</v>
      </c>
      <c r="W849" s="41" t="str">
        <f t="shared" si="89"/>
        <v/>
      </c>
      <c r="X849" s="41" t="str">
        <f t="shared" si="90"/>
        <v/>
      </c>
    </row>
    <row r="850" s="32" customFormat="1" hidden="1" customHeight="1" spans="1:24">
      <c r="A850" s="34"/>
      <c r="B850" s="51"/>
      <c r="C850" s="51"/>
      <c r="D850" s="52"/>
      <c r="E850" s="53"/>
      <c r="F850" s="54"/>
      <c r="G850" s="54"/>
      <c r="H850" s="54"/>
      <c r="I850" s="66"/>
      <c r="J850" s="54"/>
      <c r="K850" s="54"/>
      <c r="L850" s="54"/>
      <c r="M850" s="97" t="str">
        <f t="shared" si="87"/>
        <v/>
      </c>
      <c r="N850" s="70"/>
      <c r="O850" s="71" t="str">
        <f t="shared" si="91"/>
        <v/>
      </c>
      <c r="P850" s="66"/>
      <c r="Q850" s="66"/>
      <c r="R850" s="54"/>
      <c r="S850" s="82"/>
      <c r="T850" s="83" t="str">
        <f t="shared" si="88"/>
        <v/>
      </c>
      <c r="U850" s="10"/>
      <c r="V850" s="41">
        <f>IF(AND(Q850&lt;&gt;"",RIGHT(Q850,3)&lt;&gt;""),IF(COUNTIF($Q$6:Q850,Q850)=1,1,0),0)</f>
        <v>0</v>
      </c>
      <c r="W850" s="41" t="str">
        <f t="shared" si="89"/>
        <v/>
      </c>
      <c r="X850" s="41" t="str">
        <f t="shared" si="90"/>
        <v/>
      </c>
    </row>
    <row r="851" s="32" customFormat="1" hidden="1" customHeight="1" spans="1:24">
      <c r="A851" s="34"/>
      <c r="B851" s="51"/>
      <c r="C851" s="51"/>
      <c r="D851" s="52"/>
      <c r="E851" s="53"/>
      <c r="F851" s="54"/>
      <c r="G851" s="54"/>
      <c r="H851" s="54"/>
      <c r="I851" s="66"/>
      <c r="J851" s="54"/>
      <c r="K851" s="54"/>
      <c r="L851" s="54"/>
      <c r="M851" s="97" t="str">
        <f t="shared" si="87"/>
        <v/>
      </c>
      <c r="N851" s="70"/>
      <c r="O851" s="71" t="str">
        <f t="shared" si="91"/>
        <v/>
      </c>
      <c r="P851" s="66"/>
      <c r="Q851" s="66"/>
      <c r="R851" s="54"/>
      <c r="S851" s="82"/>
      <c r="T851" s="83" t="str">
        <f t="shared" si="88"/>
        <v/>
      </c>
      <c r="U851" s="10"/>
      <c r="V851" s="41">
        <f>IF(AND(Q851&lt;&gt;"",RIGHT(Q851,3)&lt;&gt;""),IF(COUNTIF($Q$6:Q851,Q851)=1,1,0),0)</f>
        <v>0</v>
      </c>
      <c r="W851" s="41" t="str">
        <f t="shared" si="89"/>
        <v/>
      </c>
      <c r="X851" s="41" t="str">
        <f t="shared" si="90"/>
        <v/>
      </c>
    </row>
    <row r="852" s="32" customFormat="1" hidden="1" customHeight="1" spans="1:24">
      <c r="A852" s="34"/>
      <c r="B852" s="51"/>
      <c r="C852" s="51"/>
      <c r="D852" s="52"/>
      <c r="E852" s="53"/>
      <c r="F852" s="54"/>
      <c r="G852" s="54"/>
      <c r="H852" s="54"/>
      <c r="I852" s="66"/>
      <c r="J852" s="54"/>
      <c r="K852" s="54"/>
      <c r="L852" s="54"/>
      <c r="M852" s="97" t="str">
        <f t="shared" si="87"/>
        <v/>
      </c>
      <c r="N852" s="70"/>
      <c r="O852" s="71" t="str">
        <f t="shared" si="91"/>
        <v/>
      </c>
      <c r="P852" s="66"/>
      <c r="Q852" s="66"/>
      <c r="R852" s="54"/>
      <c r="S852" s="82"/>
      <c r="T852" s="83" t="str">
        <f t="shared" si="88"/>
        <v/>
      </c>
      <c r="U852" s="10"/>
      <c r="V852" s="41">
        <f>IF(AND(Q852&lt;&gt;"",RIGHT(Q852,3)&lt;&gt;""),IF(COUNTIF($Q$6:Q852,Q852)=1,1,0),0)</f>
        <v>0</v>
      </c>
      <c r="W852" s="41" t="str">
        <f t="shared" si="89"/>
        <v/>
      </c>
      <c r="X852" s="41" t="str">
        <f t="shared" si="90"/>
        <v/>
      </c>
    </row>
    <row r="853" s="32" customFormat="1" hidden="1" customHeight="1" spans="1:24">
      <c r="A853" s="34"/>
      <c r="B853" s="51"/>
      <c r="C853" s="51"/>
      <c r="D853" s="52"/>
      <c r="E853" s="53"/>
      <c r="F853" s="54"/>
      <c r="G853" s="54"/>
      <c r="H853" s="54"/>
      <c r="I853" s="66"/>
      <c r="J853" s="54"/>
      <c r="K853" s="54"/>
      <c r="L853" s="54"/>
      <c r="M853" s="97" t="str">
        <f t="shared" si="87"/>
        <v/>
      </c>
      <c r="N853" s="70"/>
      <c r="O853" s="71" t="str">
        <f t="shared" si="91"/>
        <v/>
      </c>
      <c r="P853" s="66"/>
      <c r="Q853" s="66"/>
      <c r="R853" s="54"/>
      <c r="S853" s="82"/>
      <c r="T853" s="83" t="str">
        <f t="shared" si="88"/>
        <v/>
      </c>
      <c r="U853" s="10"/>
      <c r="V853" s="41">
        <f>IF(AND(Q853&lt;&gt;"",RIGHT(Q853,3)&lt;&gt;""),IF(COUNTIF($Q$6:Q853,Q853)=1,1,0),0)</f>
        <v>0</v>
      </c>
      <c r="W853" s="41" t="str">
        <f t="shared" si="89"/>
        <v/>
      </c>
      <c r="X853" s="41" t="str">
        <f t="shared" si="90"/>
        <v/>
      </c>
    </row>
    <row r="854" s="32" customFormat="1" hidden="1" customHeight="1" spans="1:24">
      <c r="A854" s="34"/>
      <c r="B854" s="51"/>
      <c r="C854" s="51"/>
      <c r="D854" s="52"/>
      <c r="E854" s="53"/>
      <c r="F854" s="54"/>
      <c r="G854" s="54"/>
      <c r="H854" s="54"/>
      <c r="I854" s="66"/>
      <c r="J854" s="54"/>
      <c r="K854" s="54"/>
      <c r="L854" s="54"/>
      <c r="M854" s="97" t="str">
        <f t="shared" si="87"/>
        <v/>
      </c>
      <c r="N854" s="70"/>
      <c r="O854" s="71" t="str">
        <f t="shared" si="91"/>
        <v/>
      </c>
      <c r="P854" s="66"/>
      <c r="Q854" s="66"/>
      <c r="R854" s="54"/>
      <c r="S854" s="82"/>
      <c r="T854" s="83" t="str">
        <f t="shared" si="88"/>
        <v/>
      </c>
      <c r="U854" s="10"/>
      <c r="V854" s="41">
        <f>IF(AND(Q854&lt;&gt;"",RIGHT(Q854,3)&lt;&gt;""),IF(COUNTIF($Q$6:Q854,Q854)=1,1,0),0)</f>
        <v>0</v>
      </c>
      <c r="W854" s="41" t="str">
        <f t="shared" si="89"/>
        <v/>
      </c>
      <c r="X854" s="41" t="str">
        <f t="shared" si="90"/>
        <v/>
      </c>
    </row>
    <row r="855" s="32" customFormat="1" hidden="1" customHeight="1" spans="1:24">
      <c r="A855" s="34"/>
      <c r="B855" s="51"/>
      <c r="C855" s="51"/>
      <c r="D855" s="52"/>
      <c r="E855" s="53"/>
      <c r="F855" s="54"/>
      <c r="G855" s="54"/>
      <c r="H855" s="54"/>
      <c r="I855" s="66"/>
      <c r="J855" s="54"/>
      <c r="K855" s="54"/>
      <c r="L855" s="54"/>
      <c r="M855" s="97" t="str">
        <f t="shared" si="87"/>
        <v/>
      </c>
      <c r="N855" s="70"/>
      <c r="O855" s="71" t="str">
        <f t="shared" si="91"/>
        <v/>
      </c>
      <c r="P855" s="66"/>
      <c r="Q855" s="66"/>
      <c r="R855" s="54"/>
      <c r="S855" s="82"/>
      <c r="T855" s="83" t="str">
        <f t="shared" si="88"/>
        <v/>
      </c>
      <c r="U855" s="10"/>
      <c r="V855" s="41">
        <f>IF(AND(Q855&lt;&gt;"",RIGHT(Q855,3)&lt;&gt;""),IF(COUNTIF($Q$6:Q855,Q855)=1,1,0),0)</f>
        <v>0</v>
      </c>
      <c r="W855" s="41" t="str">
        <f t="shared" si="89"/>
        <v/>
      </c>
      <c r="X855" s="41" t="str">
        <f t="shared" si="90"/>
        <v/>
      </c>
    </row>
    <row r="856" s="32" customFormat="1" hidden="1" customHeight="1" spans="1:24">
      <c r="A856" s="34"/>
      <c r="B856" s="51"/>
      <c r="C856" s="51"/>
      <c r="D856" s="52"/>
      <c r="E856" s="53"/>
      <c r="F856" s="54"/>
      <c r="G856" s="54"/>
      <c r="H856" s="54"/>
      <c r="I856" s="66"/>
      <c r="J856" s="54"/>
      <c r="K856" s="54"/>
      <c r="L856" s="54"/>
      <c r="M856" s="97" t="str">
        <f t="shared" si="87"/>
        <v/>
      </c>
      <c r="N856" s="70"/>
      <c r="O856" s="71" t="str">
        <f t="shared" si="91"/>
        <v/>
      </c>
      <c r="P856" s="66"/>
      <c r="Q856" s="66"/>
      <c r="R856" s="54"/>
      <c r="S856" s="82"/>
      <c r="T856" s="83" t="str">
        <f t="shared" si="88"/>
        <v/>
      </c>
      <c r="U856" s="10"/>
      <c r="V856" s="41">
        <f>IF(AND(Q856&lt;&gt;"",RIGHT(Q856,3)&lt;&gt;""),IF(COUNTIF($Q$6:Q856,Q856)=1,1,0),0)</f>
        <v>0</v>
      </c>
      <c r="W856" s="41" t="str">
        <f t="shared" si="89"/>
        <v/>
      </c>
      <c r="X856" s="41" t="str">
        <f t="shared" si="90"/>
        <v/>
      </c>
    </row>
    <row r="857" s="32" customFormat="1" hidden="1" customHeight="1" spans="1:24">
      <c r="A857" s="34"/>
      <c r="B857" s="51"/>
      <c r="C857" s="51"/>
      <c r="D857" s="52"/>
      <c r="E857" s="53"/>
      <c r="F857" s="54"/>
      <c r="G857" s="54"/>
      <c r="H857" s="54"/>
      <c r="I857" s="66"/>
      <c r="J857" s="54"/>
      <c r="K857" s="54"/>
      <c r="L857" s="54"/>
      <c r="M857" s="97" t="str">
        <f t="shared" si="87"/>
        <v/>
      </c>
      <c r="N857" s="70"/>
      <c r="O857" s="71" t="str">
        <f t="shared" si="91"/>
        <v/>
      </c>
      <c r="P857" s="66"/>
      <c r="Q857" s="66"/>
      <c r="R857" s="54"/>
      <c r="S857" s="82"/>
      <c r="T857" s="83" t="str">
        <f t="shared" si="88"/>
        <v/>
      </c>
      <c r="U857" s="10"/>
      <c r="V857" s="41">
        <f>IF(AND(Q857&lt;&gt;"",RIGHT(Q857,3)&lt;&gt;""),IF(COUNTIF($Q$6:Q857,Q857)=1,1,0),0)</f>
        <v>0</v>
      </c>
      <c r="W857" s="41" t="str">
        <f t="shared" si="89"/>
        <v/>
      </c>
      <c r="X857" s="41" t="str">
        <f t="shared" si="90"/>
        <v/>
      </c>
    </row>
    <row r="858" s="32" customFormat="1" hidden="1" customHeight="1" spans="1:24">
      <c r="A858" s="34"/>
      <c r="B858" s="51"/>
      <c r="C858" s="51"/>
      <c r="D858" s="52"/>
      <c r="E858" s="53"/>
      <c r="F858" s="54"/>
      <c r="G858" s="54"/>
      <c r="H858" s="54"/>
      <c r="I858" s="66"/>
      <c r="J858" s="54"/>
      <c r="K858" s="54"/>
      <c r="L858" s="54"/>
      <c r="M858" s="97" t="str">
        <f t="shared" si="87"/>
        <v/>
      </c>
      <c r="N858" s="70"/>
      <c r="O858" s="71" t="str">
        <f t="shared" si="91"/>
        <v/>
      </c>
      <c r="P858" s="66"/>
      <c r="Q858" s="66"/>
      <c r="R858" s="54"/>
      <c r="S858" s="82"/>
      <c r="T858" s="83" t="str">
        <f t="shared" si="88"/>
        <v/>
      </c>
      <c r="U858" s="10"/>
      <c r="V858" s="41">
        <f>IF(AND(Q858&lt;&gt;"",RIGHT(Q858,3)&lt;&gt;""),IF(COUNTIF($Q$6:Q858,Q858)=1,1,0),0)</f>
        <v>0</v>
      </c>
      <c r="W858" s="41" t="str">
        <f t="shared" si="89"/>
        <v/>
      </c>
      <c r="X858" s="41" t="str">
        <f t="shared" si="90"/>
        <v/>
      </c>
    </row>
    <row r="859" s="32" customFormat="1" hidden="1" customHeight="1" spans="1:24">
      <c r="A859" s="34"/>
      <c r="B859" s="51"/>
      <c r="C859" s="51"/>
      <c r="D859" s="52"/>
      <c r="E859" s="53"/>
      <c r="F859" s="54"/>
      <c r="G859" s="54"/>
      <c r="H859" s="54"/>
      <c r="I859" s="66"/>
      <c r="J859" s="54"/>
      <c r="K859" s="54"/>
      <c r="L859" s="54"/>
      <c r="M859" s="97" t="str">
        <f t="shared" si="87"/>
        <v/>
      </c>
      <c r="N859" s="70"/>
      <c r="O859" s="71" t="str">
        <f t="shared" si="91"/>
        <v/>
      </c>
      <c r="P859" s="66"/>
      <c r="Q859" s="66"/>
      <c r="R859" s="54"/>
      <c r="S859" s="82"/>
      <c r="T859" s="83" t="str">
        <f t="shared" si="88"/>
        <v/>
      </c>
      <c r="U859" s="10"/>
      <c r="V859" s="41">
        <f>IF(AND(Q859&lt;&gt;"",RIGHT(Q859,3)&lt;&gt;""),IF(COUNTIF($Q$6:Q859,Q859)=1,1,0),0)</f>
        <v>0</v>
      </c>
      <c r="W859" s="41" t="str">
        <f t="shared" si="89"/>
        <v/>
      </c>
      <c r="X859" s="41" t="str">
        <f t="shared" si="90"/>
        <v/>
      </c>
    </row>
    <row r="860" s="32" customFormat="1" hidden="1" customHeight="1" spans="1:24">
      <c r="A860" s="34"/>
      <c r="B860" s="51"/>
      <c r="C860" s="51"/>
      <c r="D860" s="52"/>
      <c r="E860" s="53"/>
      <c r="F860" s="54"/>
      <c r="G860" s="54"/>
      <c r="H860" s="54"/>
      <c r="I860" s="66"/>
      <c r="J860" s="54"/>
      <c r="K860" s="54"/>
      <c r="L860" s="54"/>
      <c r="M860" s="97" t="str">
        <f t="shared" si="87"/>
        <v/>
      </c>
      <c r="N860" s="70"/>
      <c r="O860" s="71" t="str">
        <f t="shared" si="91"/>
        <v/>
      </c>
      <c r="P860" s="66"/>
      <c r="Q860" s="66"/>
      <c r="R860" s="54"/>
      <c r="S860" s="82"/>
      <c r="T860" s="83" t="str">
        <f t="shared" si="88"/>
        <v/>
      </c>
      <c r="U860" s="10"/>
      <c r="V860" s="41">
        <f>IF(AND(Q860&lt;&gt;"",RIGHT(Q860,3)&lt;&gt;""),IF(COUNTIF($Q$6:Q860,Q860)=1,1,0),0)</f>
        <v>0</v>
      </c>
      <c r="W860" s="41" t="str">
        <f t="shared" si="89"/>
        <v/>
      </c>
      <c r="X860" s="41" t="str">
        <f t="shared" si="90"/>
        <v/>
      </c>
    </row>
    <row r="861" s="32" customFormat="1" hidden="1" customHeight="1" spans="1:24">
      <c r="A861" s="34"/>
      <c r="B861" s="51"/>
      <c r="C861" s="51"/>
      <c r="D861" s="52"/>
      <c r="E861" s="53"/>
      <c r="F861" s="54"/>
      <c r="G861" s="54"/>
      <c r="H861" s="54"/>
      <c r="I861" s="66"/>
      <c r="J861" s="54"/>
      <c r="K861" s="54"/>
      <c r="L861" s="54"/>
      <c r="M861" s="97" t="str">
        <f t="shared" si="87"/>
        <v/>
      </c>
      <c r="N861" s="70"/>
      <c r="O861" s="71" t="str">
        <f t="shared" si="91"/>
        <v/>
      </c>
      <c r="P861" s="66"/>
      <c r="Q861" s="66"/>
      <c r="R861" s="54"/>
      <c r="S861" s="82"/>
      <c r="T861" s="83" t="str">
        <f t="shared" si="88"/>
        <v/>
      </c>
      <c r="U861" s="10"/>
      <c r="V861" s="41">
        <f>IF(AND(Q861&lt;&gt;"",RIGHT(Q861,3)&lt;&gt;""),IF(COUNTIF($Q$6:Q861,Q861)=1,1,0),0)</f>
        <v>0</v>
      </c>
      <c r="W861" s="41" t="str">
        <f t="shared" si="89"/>
        <v/>
      </c>
      <c r="X861" s="41" t="str">
        <f t="shared" si="90"/>
        <v/>
      </c>
    </row>
    <row r="862" s="32" customFormat="1" hidden="1" customHeight="1" spans="1:24">
      <c r="A862" s="34"/>
      <c r="B862" s="51"/>
      <c r="C862" s="51"/>
      <c r="D862" s="52"/>
      <c r="E862" s="53"/>
      <c r="F862" s="54"/>
      <c r="G862" s="54"/>
      <c r="H862" s="54"/>
      <c r="I862" s="66"/>
      <c r="J862" s="54"/>
      <c r="K862" s="54"/>
      <c r="L862" s="54"/>
      <c r="M862" s="97" t="str">
        <f t="shared" si="87"/>
        <v/>
      </c>
      <c r="N862" s="70"/>
      <c r="O862" s="71" t="str">
        <f t="shared" si="91"/>
        <v/>
      </c>
      <c r="P862" s="66"/>
      <c r="Q862" s="66"/>
      <c r="R862" s="54"/>
      <c r="S862" s="82"/>
      <c r="T862" s="83" t="str">
        <f t="shared" si="88"/>
        <v/>
      </c>
      <c r="U862" s="10"/>
      <c r="V862" s="41">
        <f>IF(AND(Q862&lt;&gt;"",RIGHT(Q862,3)&lt;&gt;""),IF(COUNTIF($Q$6:Q862,Q862)=1,1,0),0)</f>
        <v>0</v>
      </c>
      <c r="W862" s="41" t="str">
        <f t="shared" si="89"/>
        <v/>
      </c>
      <c r="X862" s="41" t="str">
        <f t="shared" si="90"/>
        <v/>
      </c>
    </row>
    <row r="863" s="32" customFormat="1" hidden="1" customHeight="1" spans="1:24">
      <c r="A863" s="34"/>
      <c r="B863" s="51"/>
      <c r="C863" s="51"/>
      <c r="D863" s="52"/>
      <c r="E863" s="53"/>
      <c r="F863" s="54"/>
      <c r="G863" s="54"/>
      <c r="H863" s="54"/>
      <c r="I863" s="66"/>
      <c r="J863" s="54"/>
      <c r="K863" s="54"/>
      <c r="L863" s="54"/>
      <c r="M863" s="97" t="str">
        <f t="shared" si="87"/>
        <v/>
      </c>
      <c r="N863" s="70"/>
      <c r="O863" s="71" t="str">
        <f t="shared" si="91"/>
        <v/>
      </c>
      <c r="P863" s="66"/>
      <c r="Q863" s="66"/>
      <c r="R863" s="54"/>
      <c r="S863" s="82"/>
      <c r="T863" s="83" t="str">
        <f t="shared" si="88"/>
        <v/>
      </c>
      <c r="U863" s="10"/>
      <c r="V863" s="41">
        <f>IF(AND(Q863&lt;&gt;"",RIGHT(Q863,3)&lt;&gt;""),IF(COUNTIF($Q$6:Q863,Q863)=1,1,0),0)</f>
        <v>0</v>
      </c>
      <c r="W863" s="41" t="str">
        <f t="shared" si="89"/>
        <v/>
      </c>
      <c r="X863" s="41" t="str">
        <f t="shared" si="90"/>
        <v/>
      </c>
    </row>
    <row r="864" s="32" customFormat="1" hidden="1" customHeight="1" spans="1:24">
      <c r="A864" s="34"/>
      <c r="B864" s="51"/>
      <c r="C864" s="51"/>
      <c r="D864" s="52"/>
      <c r="E864" s="53"/>
      <c r="F864" s="54"/>
      <c r="G864" s="54"/>
      <c r="H864" s="54"/>
      <c r="I864" s="66"/>
      <c r="J864" s="54"/>
      <c r="K864" s="54"/>
      <c r="L864" s="54"/>
      <c r="M864" s="97" t="str">
        <f t="shared" si="87"/>
        <v/>
      </c>
      <c r="N864" s="70"/>
      <c r="O864" s="71" t="str">
        <f t="shared" si="91"/>
        <v/>
      </c>
      <c r="P864" s="66"/>
      <c r="Q864" s="66"/>
      <c r="R864" s="54"/>
      <c r="S864" s="82"/>
      <c r="T864" s="83" t="str">
        <f t="shared" si="88"/>
        <v/>
      </c>
      <c r="U864" s="10"/>
      <c r="V864" s="41">
        <f>IF(AND(Q864&lt;&gt;"",RIGHT(Q864,3)&lt;&gt;""),IF(COUNTIF($Q$6:Q864,Q864)=1,1,0),0)</f>
        <v>0</v>
      </c>
      <c r="W864" s="41" t="str">
        <f t="shared" si="89"/>
        <v/>
      </c>
      <c r="X864" s="41" t="str">
        <f t="shared" si="90"/>
        <v/>
      </c>
    </row>
    <row r="865" s="32" customFormat="1" hidden="1" customHeight="1" spans="1:24">
      <c r="A865" s="34"/>
      <c r="B865" s="51"/>
      <c r="C865" s="51"/>
      <c r="D865" s="52"/>
      <c r="E865" s="53"/>
      <c r="F865" s="54"/>
      <c r="G865" s="54"/>
      <c r="H865" s="54"/>
      <c r="I865" s="66"/>
      <c r="J865" s="54"/>
      <c r="K865" s="54"/>
      <c r="L865" s="54"/>
      <c r="M865" s="97" t="str">
        <f t="shared" si="87"/>
        <v/>
      </c>
      <c r="N865" s="70"/>
      <c r="O865" s="71" t="str">
        <f t="shared" si="91"/>
        <v/>
      </c>
      <c r="P865" s="66"/>
      <c r="Q865" s="66"/>
      <c r="R865" s="54"/>
      <c r="S865" s="82"/>
      <c r="T865" s="83" t="str">
        <f t="shared" si="88"/>
        <v/>
      </c>
      <c r="U865" s="10"/>
      <c r="V865" s="41">
        <f>IF(AND(Q865&lt;&gt;"",RIGHT(Q865,3)&lt;&gt;""),IF(COUNTIF($Q$6:Q865,Q865)=1,1,0),0)</f>
        <v>0</v>
      </c>
      <c r="W865" s="41" t="str">
        <f t="shared" si="89"/>
        <v/>
      </c>
      <c r="X865" s="41" t="str">
        <f t="shared" si="90"/>
        <v/>
      </c>
    </row>
    <row r="866" s="32" customFormat="1" hidden="1" customHeight="1" spans="1:24">
      <c r="A866" s="34"/>
      <c r="B866" s="51"/>
      <c r="C866" s="51"/>
      <c r="D866" s="52"/>
      <c r="E866" s="53"/>
      <c r="F866" s="54"/>
      <c r="G866" s="54"/>
      <c r="H866" s="54"/>
      <c r="I866" s="66"/>
      <c r="J866" s="54"/>
      <c r="K866" s="54"/>
      <c r="L866" s="54"/>
      <c r="M866" s="97" t="str">
        <f t="shared" si="87"/>
        <v/>
      </c>
      <c r="N866" s="70"/>
      <c r="O866" s="71" t="str">
        <f t="shared" si="91"/>
        <v/>
      </c>
      <c r="P866" s="66"/>
      <c r="Q866" s="66"/>
      <c r="R866" s="54"/>
      <c r="S866" s="82"/>
      <c r="T866" s="83" t="str">
        <f t="shared" si="88"/>
        <v/>
      </c>
      <c r="U866" s="10"/>
      <c r="V866" s="41">
        <f>IF(AND(Q866&lt;&gt;"",RIGHT(Q866,3)&lt;&gt;""),IF(COUNTIF($Q$6:Q866,Q866)=1,1,0),0)</f>
        <v>0</v>
      </c>
      <c r="W866" s="41" t="str">
        <f t="shared" si="89"/>
        <v/>
      </c>
      <c r="X866" s="41" t="str">
        <f t="shared" si="90"/>
        <v/>
      </c>
    </row>
    <row r="867" s="32" customFormat="1" hidden="1" customHeight="1" spans="1:24">
      <c r="A867" s="34"/>
      <c r="B867" s="51"/>
      <c r="C867" s="51"/>
      <c r="D867" s="52"/>
      <c r="E867" s="53"/>
      <c r="F867" s="54"/>
      <c r="G867" s="54"/>
      <c r="H867" s="54"/>
      <c r="I867" s="66"/>
      <c r="J867" s="54"/>
      <c r="K867" s="54"/>
      <c r="L867" s="54"/>
      <c r="M867" s="97" t="str">
        <f t="shared" si="87"/>
        <v/>
      </c>
      <c r="N867" s="70"/>
      <c r="O867" s="71" t="str">
        <f t="shared" si="91"/>
        <v/>
      </c>
      <c r="P867" s="66"/>
      <c r="Q867" s="66"/>
      <c r="R867" s="54"/>
      <c r="S867" s="82"/>
      <c r="T867" s="83" t="str">
        <f t="shared" si="88"/>
        <v/>
      </c>
      <c r="U867" s="10"/>
      <c r="V867" s="41">
        <f>IF(AND(Q867&lt;&gt;"",RIGHT(Q867,3)&lt;&gt;""),IF(COUNTIF($Q$6:Q867,Q867)=1,1,0),0)</f>
        <v>0</v>
      </c>
      <c r="W867" s="41" t="str">
        <f t="shared" si="89"/>
        <v/>
      </c>
      <c r="X867" s="41" t="str">
        <f t="shared" si="90"/>
        <v/>
      </c>
    </row>
    <row r="868" s="32" customFormat="1" hidden="1" customHeight="1" spans="1:24">
      <c r="A868" s="34"/>
      <c r="B868" s="51"/>
      <c r="C868" s="51"/>
      <c r="D868" s="52"/>
      <c r="E868" s="53"/>
      <c r="F868" s="54"/>
      <c r="G868" s="54"/>
      <c r="H868" s="54"/>
      <c r="I868" s="66"/>
      <c r="J868" s="54"/>
      <c r="K868" s="54"/>
      <c r="L868" s="54"/>
      <c r="M868" s="97" t="str">
        <f t="shared" ref="M868:M931" si="92">IF(L868="","",HYPERLINK(_xlfn.CONCAT($L$4,L868,".jpg"),"Open File"))</f>
        <v/>
      </c>
      <c r="N868" s="70"/>
      <c r="O868" s="71" t="str">
        <f t="shared" si="91"/>
        <v/>
      </c>
      <c r="P868" s="66"/>
      <c r="Q868" s="66"/>
      <c r="R868" s="54"/>
      <c r="S868" s="82"/>
      <c r="T868" s="83" t="str">
        <f t="shared" ref="T868:T931" si="93">IF(S868="","",HYPERLINK(_xlfn.CONCAT($S$4,S868,".jpg"),"Open File"))</f>
        <v/>
      </c>
      <c r="U868" s="10"/>
      <c r="V868" s="41">
        <f>IF(AND(Q868&lt;&gt;"",RIGHT(Q868,3)&lt;&gt;""),IF(COUNTIF($Q$6:Q868,Q868)=1,1,0),0)</f>
        <v>0</v>
      </c>
      <c r="W868" s="41" t="str">
        <f t="shared" ref="W868:W931" si="94">IF(AND(J868&lt;&gt;"",K868&lt;&gt;""),_xlfn.CONCAT(SUBSTITUTE(J868,"/","."),"-",K868),"")</f>
        <v/>
      </c>
      <c r="X868" s="41" t="str">
        <f t="shared" ref="X868:X931" si="95">IF(AND(Q868&lt;&gt;"",R868&lt;&gt;""),_xlfn.CONCAT(SUBSTITUTE(Q868,"/","."),"-",R868),"")</f>
        <v/>
      </c>
    </row>
    <row r="869" s="32" customFormat="1" hidden="1" customHeight="1" spans="1:24">
      <c r="A869" s="34"/>
      <c r="B869" s="51"/>
      <c r="C869" s="51"/>
      <c r="D869" s="52"/>
      <c r="E869" s="53"/>
      <c r="F869" s="54"/>
      <c r="G869" s="54"/>
      <c r="H869" s="54"/>
      <c r="I869" s="66"/>
      <c r="J869" s="54"/>
      <c r="K869" s="54"/>
      <c r="L869" s="54"/>
      <c r="M869" s="97" t="str">
        <f t="shared" si="92"/>
        <v/>
      </c>
      <c r="N869" s="70"/>
      <c r="O869" s="71" t="str">
        <f t="shared" si="91"/>
        <v/>
      </c>
      <c r="P869" s="66"/>
      <c r="Q869" s="66"/>
      <c r="R869" s="54"/>
      <c r="S869" s="82"/>
      <c r="T869" s="83" t="str">
        <f t="shared" si="93"/>
        <v/>
      </c>
      <c r="U869" s="10"/>
      <c r="V869" s="41">
        <f>IF(AND(Q869&lt;&gt;"",RIGHT(Q869,3)&lt;&gt;""),IF(COUNTIF($Q$6:Q869,Q869)=1,1,0),0)</f>
        <v>0</v>
      </c>
      <c r="W869" s="41" t="str">
        <f t="shared" si="94"/>
        <v/>
      </c>
      <c r="X869" s="41" t="str">
        <f t="shared" si="95"/>
        <v/>
      </c>
    </row>
    <row r="870" s="32" customFormat="1" hidden="1" customHeight="1" spans="1:24">
      <c r="A870" s="34"/>
      <c r="B870" s="51"/>
      <c r="C870" s="51"/>
      <c r="D870" s="52"/>
      <c r="E870" s="53"/>
      <c r="F870" s="54"/>
      <c r="G870" s="54"/>
      <c r="H870" s="54"/>
      <c r="I870" s="66"/>
      <c r="J870" s="54"/>
      <c r="K870" s="54"/>
      <c r="L870" s="54"/>
      <c r="M870" s="97" t="str">
        <f t="shared" si="92"/>
        <v/>
      </c>
      <c r="N870" s="70"/>
      <c r="O870" s="71" t="str">
        <f t="shared" si="91"/>
        <v/>
      </c>
      <c r="P870" s="66"/>
      <c r="Q870" s="66"/>
      <c r="R870" s="54"/>
      <c r="S870" s="82"/>
      <c r="T870" s="83" t="str">
        <f t="shared" si="93"/>
        <v/>
      </c>
      <c r="U870" s="10"/>
      <c r="V870" s="41">
        <f>IF(AND(Q870&lt;&gt;"",RIGHT(Q870,3)&lt;&gt;""),IF(COUNTIF($Q$6:Q870,Q870)=1,1,0),0)</f>
        <v>0</v>
      </c>
      <c r="W870" s="41" t="str">
        <f t="shared" si="94"/>
        <v/>
      </c>
      <c r="X870" s="41" t="str">
        <f t="shared" si="95"/>
        <v/>
      </c>
    </row>
    <row r="871" s="32" customFormat="1" hidden="1" customHeight="1" spans="1:24">
      <c r="A871" s="34"/>
      <c r="B871" s="51"/>
      <c r="C871" s="51"/>
      <c r="D871" s="52"/>
      <c r="E871" s="53"/>
      <c r="F871" s="54"/>
      <c r="G871" s="54"/>
      <c r="H871" s="54"/>
      <c r="I871" s="66"/>
      <c r="J871" s="54"/>
      <c r="K871" s="54"/>
      <c r="L871" s="54"/>
      <c r="M871" s="97" t="str">
        <f t="shared" si="92"/>
        <v/>
      </c>
      <c r="N871" s="70"/>
      <c r="O871" s="71" t="str">
        <f t="shared" si="91"/>
        <v/>
      </c>
      <c r="P871" s="66"/>
      <c r="Q871" s="66"/>
      <c r="R871" s="54"/>
      <c r="S871" s="82"/>
      <c r="T871" s="83" t="str">
        <f t="shared" si="93"/>
        <v/>
      </c>
      <c r="U871" s="10"/>
      <c r="V871" s="41">
        <f>IF(AND(Q871&lt;&gt;"",RIGHT(Q871,3)&lt;&gt;""),IF(COUNTIF($Q$6:Q871,Q871)=1,1,0),0)</f>
        <v>0</v>
      </c>
      <c r="W871" s="41" t="str">
        <f t="shared" si="94"/>
        <v/>
      </c>
      <c r="X871" s="41" t="str">
        <f t="shared" si="95"/>
        <v/>
      </c>
    </row>
    <row r="872" s="32" customFormat="1" hidden="1" customHeight="1" spans="1:24">
      <c r="A872" s="34"/>
      <c r="B872" s="51"/>
      <c r="C872" s="51"/>
      <c r="D872" s="52"/>
      <c r="E872" s="53"/>
      <c r="F872" s="54"/>
      <c r="G872" s="54"/>
      <c r="H872" s="54"/>
      <c r="I872" s="66"/>
      <c r="J872" s="54"/>
      <c r="K872" s="54"/>
      <c r="L872" s="54"/>
      <c r="M872" s="97" t="str">
        <f t="shared" si="92"/>
        <v/>
      </c>
      <c r="N872" s="70"/>
      <c r="O872" s="71" t="str">
        <f t="shared" si="91"/>
        <v/>
      </c>
      <c r="P872" s="66"/>
      <c r="Q872" s="66"/>
      <c r="R872" s="54"/>
      <c r="S872" s="82"/>
      <c r="T872" s="83" t="str">
        <f t="shared" si="93"/>
        <v/>
      </c>
      <c r="U872" s="10"/>
      <c r="V872" s="41">
        <f>IF(AND(Q872&lt;&gt;"",RIGHT(Q872,3)&lt;&gt;""),IF(COUNTIF($Q$6:Q872,Q872)=1,1,0),0)</f>
        <v>0</v>
      </c>
      <c r="W872" s="41" t="str">
        <f t="shared" si="94"/>
        <v/>
      </c>
      <c r="X872" s="41" t="str">
        <f t="shared" si="95"/>
        <v/>
      </c>
    </row>
    <row r="873" s="32" customFormat="1" hidden="1" customHeight="1" spans="1:24">
      <c r="A873" s="34"/>
      <c r="B873" s="51"/>
      <c r="C873" s="51"/>
      <c r="D873" s="52"/>
      <c r="E873" s="53"/>
      <c r="F873" s="54"/>
      <c r="G873" s="54"/>
      <c r="H873" s="54"/>
      <c r="I873" s="66"/>
      <c r="J873" s="54"/>
      <c r="K873" s="54"/>
      <c r="L873" s="54"/>
      <c r="M873" s="97" t="str">
        <f t="shared" si="92"/>
        <v/>
      </c>
      <c r="N873" s="70"/>
      <c r="O873" s="71" t="str">
        <f t="shared" si="91"/>
        <v/>
      </c>
      <c r="P873" s="66"/>
      <c r="Q873" s="66"/>
      <c r="R873" s="54"/>
      <c r="S873" s="82"/>
      <c r="T873" s="83" t="str">
        <f t="shared" si="93"/>
        <v/>
      </c>
      <c r="U873" s="10"/>
      <c r="V873" s="41">
        <f>IF(AND(Q873&lt;&gt;"",RIGHT(Q873,3)&lt;&gt;""),IF(COUNTIF($Q$6:Q873,Q873)=1,1,0),0)</f>
        <v>0</v>
      </c>
      <c r="W873" s="41" t="str">
        <f t="shared" si="94"/>
        <v/>
      </c>
      <c r="X873" s="41" t="str">
        <f t="shared" si="95"/>
        <v/>
      </c>
    </row>
    <row r="874" s="32" customFormat="1" hidden="1" customHeight="1" spans="1:24">
      <c r="A874" s="34"/>
      <c r="B874" s="51"/>
      <c r="C874" s="51"/>
      <c r="D874" s="52"/>
      <c r="E874" s="53"/>
      <c r="F874" s="54"/>
      <c r="G874" s="54"/>
      <c r="H874" s="54"/>
      <c r="I874" s="66"/>
      <c r="J874" s="54"/>
      <c r="K874" s="54"/>
      <c r="L874" s="54"/>
      <c r="M874" s="97" t="str">
        <f t="shared" si="92"/>
        <v/>
      </c>
      <c r="N874" s="70"/>
      <c r="O874" s="71" t="str">
        <f t="shared" si="91"/>
        <v/>
      </c>
      <c r="P874" s="66"/>
      <c r="Q874" s="66"/>
      <c r="R874" s="54"/>
      <c r="S874" s="82"/>
      <c r="T874" s="83" t="str">
        <f t="shared" si="93"/>
        <v/>
      </c>
      <c r="U874" s="10"/>
      <c r="V874" s="41">
        <f>IF(AND(Q874&lt;&gt;"",RIGHT(Q874,3)&lt;&gt;""),IF(COUNTIF($Q$6:Q874,Q874)=1,1,0),0)</f>
        <v>0</v>
      </c>
      <c r="W874" s="41" t="str">
        <f t="shared" si="94"/>
        <v/>
      </c>
      <c r="X874" s="41" t="str">
        <f t="shared" si="95"/>
        <v/>
      </c>
    </row>
    <row r="875" s="32" customFormat="1" hidden="1" customHeight="1" spans="1:24">
      <c r="A875" s="34"/>
      <c r="B875" s="51"/>
      <c r="C875" s="51"/>
      <c r="D875" s="52"/>
      <c r="E875" s="53"/>
      <c r="F875" s="54"/>
      <c r="G875" s="54"/>
      <c r="H875" s="54"/>
      <c r="I875" s="66"/>
      <c r="J875" s="54"/>
      <c r="K875" s="54"/>
      <c r="L875" s="54"/>
      <c r="M875" s="97" t="str">
        <f t="shared" si="92"/>
        <v/>
      </c>
      <c r="N875" s="70"/>
      <c r="O875" s="71" t="str">
        <f t="shared" si="91"/>
        <v/>
      </c>
      <c r="P875" s="66"/>
      <c r="Q875" s="66"/>
      <c r="R875" s="54"/>
      <c r="S875" s="82"/>
      <c r="T875" s="83" t="str">
        <f t="shared" si="93"/>
        <v/>
      </c>
      <c r="U875" s="10"/>
      <c r="V875" s="41">
        <f>IF(AND(Q875&lt;&gt;"",RIGHT(Q875,3)&lt;&gt;""),IF(COUNTIF($Q$6:Q875,Q875)=1,1,0),0)</f>
        <v>0</v>
      </c>
      <c r="W875" s="41" t="str">
        <f t="shared" si="94"/>
        <v/>
      </c>
      <c r="X875" s="41" t="str">
        <f t="shared" si="95"/>
        <v/>
      </c>
    </row>
    <row r="876" s="32" customFormat="1" hidden="1" customHeight="1" spans="1:24">
      <c r="A876" s="34"/>
      <c r="B876" s="51"/>
      <c r="C876" s="51"/>
      <c r="D876" s="52"/>
      <c r="E876" s="53"/>
      <c r="F876" s="54"/>
      <c r="G876" s="54"/>
      <c r="H876" s="54"/>
      <c r="I876" s="66"/>
      <c r="J876" s="54"/>
      <c r="K876" s="54"/>
      <c r="L876" s="54"/>
      <c r="M876" s="97" t="str">
        <f t="shared" si="92"/>
        <v/>
      </c>
      <c r="N876" s="70"/>
      <c r="O876" s="71" t="str">
        <f t="shared" si="91"/>
        <v/>
      </c>
      <c r="P876" s="66"/>
      <c r="Q876" s="66"/>
      <c r="R876" s="54"/>
      <c r="S876" s="82"/>
      <c r="T876" s="83" t="str">
        <f t="shared" si="93"/>
        <v/>
      </c>
      <c r="U876" s="10"/>
      <c r="V876" s="41">
        <f>IF(AND(Q876&lt;&gt;"",RIGHT(Q876,3)&lt;&gt;""),IF(COUNTIF($Q$6:Q876,Q876)=1,1,0),0)</f>
        <v>0</v>
      </c>
      <c r="W876" s="41" t="str">
        <f t="shared" si="94"/>
        <v/>
      </c>
      <c r="X876" s="41" t="str">
        <f t="shared" si="95"/>
        <v/>
      </c>
    </row>
    <row r="877" s="32" customFormat="1" hidden="1" customHeight="1" spans="1:24">
      <c r="A877" s="34"/>
      <c r="B877" s="51"/>
      <c r="C877" s="51"/>
      <c r="D877" s="52"/>
      <c r="E877" s="53"/>
      <c r="F877" s="54"/>
      <c r="G877" s="54"/>
      <c r="H877" s="54"/>
      <c r="I877" s="66"/>
      <c r="J877" s="54"/>
      <c r="K877" s="54"/>
      <c r="L877" s="54"/>
      <c r="M877" s="97" t="str">
        <f t="shared" si="92"/>
        <v/>
      </c>
      <c r="N877" s="70"/>
      <c r="O877" s="71" t="str">
        <f t="shared" si="91"/>
        <v/>
      </c>
      <c r="P877" s="66"/>
      <c r="Q877" s="66"/>
      <c r="R877" s="54"/>
      <c r="S877" s="82"/>
      <c r="T877" s="83" t="str">
        <f t="shared" si="93"/>
        <v/>
      </c>
      <c r="U877" s="10"/>
      <c r="V877" s="41">
        <f>IF(AND(Q877&lt;&gt;"",RIGHT(Q877,3)&lt;&gt;""),IF(COUNTIF($Q$6:Q877,Q877)=1,1,0),0)</f>
        <v>0</v>
      </c>
      <c r="W877" s="41" t="str">
        <f t="shared" si="94"/>
        <v/>
      </c>
      <c r="X877" s="41" t="str">
        <f t="shared" si="95"/>
        <v/>
      </c>
    </row>
    <row r="878" s="32" customFormat="1" hidden="1" customHeight="1" spans="1:24">
      <c r="A878" s="34"/>
      <c r="B878" s="51"/>
      <c r="C878" s="51"/>
      <c r="D878" s="52"/>
      <c r="E878" s="53"/>
      <c r="F878" s="54"/>
      <c r="G878" s="54"/>
      <c r="H878" s="54"/>
      <c r="I878" s="66"/>
      <c r="J878" s="54"/>
      <c r="K878" s="54"/>
      <c r="L878" s="54"/>
      <c r="M878" s="97" t="str">
        <f t="shared" si="92"/>
        <v/>
      </c>
      <c r="N878" s="70"/>
      <c r="O878" s="71" t="str">
        <f t="shared" si="91"/>
        <v/>
      </c>
      <c r="P878" s="66"/>
      <c r="Q878" s="66"/>
      <c r="R878" s="54"/>
      <c r="S878" s="82"/>
      <c r="T878" s="83" t="str">
        <f t="shared" si="93"/>
        <v/>
      </c>
      <c r="U878" s="10"/>
      <c r="V878" s="41">
        <f>IF(AND(Q878&lt;&gt;"",RIGHT(Q878,3)&lt;&gt;""),IF(COUNTIF($Q$6:Q878,Q878)=1,1,0),0)</f>
        <v>0</v>
      </c>
      <c r="W878" s="41" t="str">
        <f t="shared" si="94"/>
        <v/>
      </c>
      <c r="X878" s="41" t="str">
        <f t="shared" si="95"/>
        <v/>
      </c>
    </row>
    <row r="879" s="32" customFormat="1" hidden="1" customHeight="1" spans="1:24">
      <c r="A879" s="34"/>
      <c r="B879" s="51"/>
      <c r="C879" s="51"/>
      <c r="D879" s="52"/>
      <c r="E879" s="53"/>
      <c r="F879" s="54"/>
      <c r="G879" s="54"/>
      <c r="H879" s="54"/>
      <c r="I879" s="66"/>
      <c r="J879" s="54"/>
      <c r="K879" s="54"/>
      <c r="L879" s="54"/>
      <c r="M879" s="97" t="str">
        <f t="shared" si="92"/>
        <v/>
      </c>
      <c r="N879" s="70"/>
      <c r="O879" s="71" t="str">
        <f t="shared" si="91"/>
        <v/>
      </c>
      <c r="P879" s="66"/>
      <c r="Q879" s="66"/>
      <c r="R879" s="54"/>
      <c r="S879" s="82"/>
      <c r="T879" s="83" t="str">
        <f t="shared" si="93"/>
        <v/>
      </c>
      <c r="U879" s="10"/>
      <c r="V879" s="41">
        <f>IF(AND(Q879&lt;&gt;"",RIGHT(Q879,3)&lt;&gt;""),IF(COUNTIF($Q$6:Q879,Q879)=1,1,0),0)</f>
        <v>0</v>
      </c>
      <c r="W879" s="41" t="str">
        <f t="shared" si="94"/>
        <v/>
      </c>
      <c r="X879" s="41" t="str">
        <f t="shared" si="95"/>
        <v/>
      </c>
    </row>
    <row r="880" s="32" customFormat="1" hidden="1" customHeight="1" spans="1:24">
      <c r="A880" s="34"/>
      <c r="B880" s="51"/>
      <c r="C880" s="51"/>
      <c r="D880" s="52"/>
      <c r="E880" s="53"/>
      <c r="F880" s="54"/>
      <c r="G880" s="54"/>
      <c r="H880" s="54"/>
      <c r="I880" s="66"/>
      <c r="J880" s="54"/>
      <c r="K880" s="54"/>
      <c r="L880" s="54"/>
      <c r="M880" s="97" t="str">
        <f t="shared" si="92"/>
        <v/>
      </c>
      <c r="N880" s="70"/>
      <c r="O880" s="71" t="str">
        <f t="shared" si="91"/>
        <v/>
      </c>
      <c r="P880" s="66"/>
      <c r="Q880" s="66"/>
      <c r="R880" s="54"/>
      <c r="S880" s="82"/>
      <c r="T880" s="83" t="str">
        <f t="shared" si="93"/>
        <v/>
      </c>
      <c r="U880" s="10"/>
      <c r="V880" s="41">
        <f>IF(AND(Q880&lt;&gt;"",RIGHT(Q880,3)&lt;&gt;""),IF(COUNTIF($Q$6:Q880,Q880)=1,1,0),0)</f>
        <v>0</v>
      </c>
      <c r="W880" s="41" t="str">
        <f t="shared" si="94"/>
        <v/>
      </c>
      <c r="X880" s="41" t="str">
        <f t="shared" si="95"/>
        <v/>
      </c>
    </row>
    <row r="881" s="32" customFormat="1" hidden="1" customHeight="1" spans="1:24">
      <c r="A881" s="34"/>
      <c r="B881" s="51"/>
      <c r="C881" s="51"/>
      <c r="D881" s="52"/>
      <c r="E881" s="53"/>
      <c r="F881" s="54"/>
      <c r="G881" s="54"/>
      <c r="H881" s="54"/>
      <c r="I881" s="66"/>
      <c r="J881" s="54"/>
      <c r="K881" s="54"/>
      <c r="L881" s="54"/>
      <c r="M881" s="97" t="str">
        <f t="shared" si="92"/>
        <v/>
      </c>
      <c r="N881" s="70"/>
      <c r="O881" s="71" t="str">
        <f t="shared" ref="O881:O944" si="96">IF(AND(Q881&lt;&gt;"",T881&lt;&gt;""),"PASSIVE",IF(AND(J881&lt;&gt;"",M881&lt;&gt;""),"ACTIVE",""))</f>
        <v/>
      </c>
      <c r="P881" s="66"/>
      <c r="Q881" s="66"/>
      <c r="R881" s="54"/>
      <c r="S881" s="82"/>
      <c r="T881" s="83" t="str">
        <f t="shared" si="93"/>
        <v/>
      </c>
      <c r="U881" s="10"/>
      <c r="V881" s="41">
        <f>IF(AND(Q881&lt;&gt;"",RIGHT(Q881,3)&lt;&gt;""),IF(COUNTIF($Q$6:Q881,Q881)=1,1,0),0)</f>
        <v>0</v>
      </c>
      <c r="W881" s="41" t="str">
        <f t="shared" si="94"/>
        <v/>
      </c>
      <c r="X881" s="41" t="str">
        <f t="shared" si="95"/>
        <v/>
      </c>
    </row>
    <row r="882" s="32" customFormat="1" hidden="1" customHeight="1" spans="1:24">
      <c r="A882" s="34"/>
      <c r="B882" s="51"/>
      <c r="C882" s="51"/>
      <c r="D882" s="52"/>
      <c r="E882" s="53"/>
      <c r="F882" s="54"/>
      <c r="G882" s="54"/>
      <c r="H882" s="54"/>
      <c r="I882" s="66"/>
      <c r="J882" s="54"/>
      <c r="K882" s="54"/>
      <c r="L882" s="54"/>
      <c r="M882" s="97" t="str">
        <f t="shared" si="92"/>
        <v/>
      </c>
      <c r="N882" s="70"/>
      <c r="O882" s="71" t="str">
        <f t="shared" si="96"/>
        <v/>
      </c>
      <c r="P882" s="66"/>
      <c r="Q882" s="66"/>
      <c r="R882" s="54"/>
      <c r="S882" s="82"/>
      <c r="T882" s="83" t="str">
        <f t="shared" si="93"/>
        <v/>
      </c>
      <c r="U882" s="10"/>
      <c r="V882" s="41">
        <f>IF(AND(Q882&lt;&gt;"",RIGHT(Q882,3)&lt;&gt;""),IF(COUNTIF($Q$6:Q882,Q882)=1,1,0),0)</f>
        <v>0</v>
      </c>
      <c r="W882" s="41" t="str">
        <f t="shared" si="94"/>
        <v/>
      </c>
      <c r="X882" s="41" t="str">
        <f t="shared" si="95"/>
        <v/>
      </c>
    </row>
    <row r="883" s="32" customFormat="1" hidden="1" customHeight="1" spans="1:24">
      <c r="A883" s="34"/>
      <c r="B883" s="51"/>
      <c r="C883" s="51"/>
      <c r="D883" s="52"/>
      <c r="E883" s="53"/>
      <c r="F883" s="54"/>
      <c r="G883" s="54"/>
      <c r="H883" s="54"/>
      <c r="I883" s="66"/>
      <c r="J883" s="54"/>
      <c r="K883" s="54"/>
      <c r="L883" s="54"/>
      <c r="M883" s="97" t="str">
        <f t="shared" si="92"/>
        <v/>
      </c>
      <c r="N883" s="70"/>
      <c r="O883" s="71" t="str">
        <f t="shared" si="96"/>
        <v/>
      </c>
      <c r="P883" s="66"/>
      <c r="Q883" s="66"/>
      <c r="R883" s="54"/>
      <c r="S883" s="82"/>
      <c r="T883" s="83" t="str">
        <f t="shared" si="93"/>
        <v/>
      </c>
      <c r="U883" s="10"/>
      <c r="V883" s="41">
        <f>IF(AND(Q883&lt;&gt;"",RIGHT(Q883,3)&lt;&gt;""),IF(COUNTIF($Q$6:Q883,Q883)=1,1,0),0)</f>
        <v>0</v>
      </c>
      <c r="W883" s="41" t="str">
        <f t="shared" si="94"/>
        <v/>
      </c>
      <c r="X883" s="41" t="str">
        <f t="shared" si="95"/>
        <v/>
      </c>
    </row>
    <row r="884" s="32" customFormat="1" hidden="1" customHeight="1" spans="1:24">
      <c r="A884" s="34"/>
      <c r="B884" s="51"/>
      <c r="C884" s="51"/>
      <c r="D884" s="52"/>
      <c r="E884" s="53"/>
      <c r="F884" s="54"/>
      <c r="G884" s="54"/>
      <c r="H884" s="54"/>
      <c r="I884" s="66"/>
      <c r="J884" s="54"/>
      <c r="K884" s="54"/>
      <c r="L884" s="54"/>
      <c r="M884" s="97" t="str">
        <f t="shared" si="92"/>
        <v/>
      </c>
      <c r="N884" s="70"/>
      <c r="O884" s="71" t="str">
        <f t="shared" si="96"/>
        <v/>
      </c>
      <c r="P884" s="66"/>
      <c r="Q884" s="66"/>
      <c r="R884" s="54"/>
      <c r="S884" s="82"/>
      <c r="T884" s="83" t="str">
        <f t="shared" si="93"/>
        <v/>
      </c>
      <c r="U884" s="10"/>
      <c r="V884" s="41">
        <f>IF(AND(Q884&lt;&gt;"",RIGHT(Q884,3)&lt;&gt;""),IF(COUNTIF($Q$6:Q884,Q884)=1,1,0),0)</f>
        <v>0</v>
      </c>
      <c r="W884" s="41" t="str">
        <f t="shared" si="94"/>
        <v/>
      </c>
      <c r="X884" s="41" t="str">
        <f t="shared" si="95"/>
        <v/>
      </c>
    </row>
    <row r="885" s="32" customFormat="1" hidden="1" customHeight="1" spans="1:24">
      <c r="A885" s="34"/>
      <c r="B885" s="51"/>
      <c r="C885" s="51"/>
      <c r="D885" s="52"/>
      <c r="E885" s="53"/>
      <c r="F885" s="54"/>
      <c r="G885" s="54"/>
      <c r="H885" s="54"/>
      <c r="I885" s="66"/>
      <c r="J885" s="54"/>
      <c r="K885" s="54"/>
      <c r="L885" s="54"/>
      <c r="M885" s="97" t="str">
        <f t="shared" si="92"/>
        <v/>
      </c>
      <c r="N885" s="70"/>
      <c r="O885" s="71" t="str">
        <f t="shared" si="96"/>
        <v/>
      </c>
      <c r="P885" s="66"/>
      <c r="Q885" s="66"/>
      <c r="R885" s="54"/>
      <c r="S885" s="82"/>
      <c r="T885" s="83" t="str">
        <f t="shared" si="93"/>
        <v/>
      </c>
      <c r="U885" s="10"/>
      <c r="V885" s="41">
        <f>IF(AND(Q885&lt;&gt;"",RIGHT(Q885,3)&lt;&gt;""),IF(COUNTIF($Q$6:Q885,Q885)=1,1,0),0)</f>
        <v>0</v>
      </c>
      <c r="W885" s="41" t="str">
        <f t="shared" si="94"/>
        <v/>
      </c>
      <c r="X885" s="41" t="str">
        <f t="shared" si="95"/>
        <v/>
      </c>
    </row>
    <row r="886" s="32" customFormat="1" hidden="1" customHeight="1" spans="1:24">
      <c r="A886" s="34"/>
      <c r="B886" s="51"/>
      <c r="C886" s="51"/>
      <c r="D886" s="52"/>
      <c r="E886" s="53"/>
      <c r="F886" s="54"/>
      <c r="G886" s="54"/>
      <c r="H886" s="54"/>
      <c r="I886" s="66"/>
      <c r="J886" s="54"/>
      <c r="K886" s="54"/>
      <c r="L886" s="54"/>
      <c r="M886" s="97" t="str">
        <f t="shared" si="92"/>
        <v/>
      </c>
      <c r="N886" s="70"/>
      <c r="O886" s="71" t="str">
        <f t="shared" si="96"/>
        <v/>
      </c>
      <c r="P886" s="66"/>
      <c r="Q886" s="66"/>
      <c r="R886" s="54"/>
      <c r="S886" s="82"/>
      <c r="T886" s="83" t="str">
        <f t="shared" si="93"/>
        <v/>
      </c>
      <c r="U886" s="10"/>
      <c r="V886" s="41">
        <f>IF(AND(Q886&lt;&gt;"",RIGHT(Q886,3)&lt;&gt;""),IF(COUNTIF($Q$6:Q886,Q886)=1,1,0),0)</f>
        <v>0</v>
      </c>
      <c r="W886" s="41" t="str">
        <f t="shared" si="94"/>
        <v/>
      </c>
      <c r="X886" s="41" t="str">
        <f t="shared" si="95"/>
        <v/>
      </c>
    </row>
    <row r="887" s="32" customFormat="1" hidden="1" customHeight="1" spans="1:24">
      <c r="A887" s="34"/>
      <c r="B887" s="51"/>
      <c r="C887" s="51"/>
      <c r="D887" s="52"/>
      <c r="E887" s="53"/>
      <c r="F887" s="54"/>
      <c r="G887" s="54"/>
      <c r="H887" s="54"/>
      <c r="I887" s="66"/>
      <c r="J887" s="54"/>
      <c r="K887" s="54"/>
      <c r="L887" s="54"/>
      <c r="M887" s="97" t="str">
        <f t="shared" si="92"/>
        <v/>
      </c>
      <c r="N887" s="70"/>
      <c r="O887" s="71" t="str">
        <f t="shared" si="96"/>
        <v/>
      </c>
      <c r="P887" s="66"/>
      <c r="Q887" s="66"/>
      <c r="R887" s="54"/>
      <c r="S887" s="82"/>
      <c r="T887" s="83" t="str">
        <f t="shared" si="93"/>
        <v/>
      </c>
      <c r="U887" s="10"/>
      <c r="V887" s="41">
        <f>IF(AND(Q887&lt;&gt;"",RIGHT(Q887,3)&lt;&gt;""),IF(COUNTIF($Q$6:Q887,Q887)=1,1,0),0)</f>
        <v>0</v>
      </c>
      <c r="W887" s="41" t="str">
        <f t="shared" si="94"/>
        <v/>
      </c>
      <c r="X887" s="41" t="str">
        <f t="shared" si="95"/>
        <v/>
      </c>
    </row>
    <row r="888" s="32" customFormat="1" hidden="1" customHeight="1" spans="1:24">
      <c r="A888" s="34"/>
      <c r="B888" s="51"/>
      <c r="C888" s="51"/>
      <c r="D888" s="52"/>
      <c r="E888" s="53"/>
      <c r="F888" s="54"/>
      <c r="G888" s="54"/>
      <c r="H888" s="54"/>
      <c r="I888" s="66"/>
      <c r="J888" s="54"/>
      <c r="K888" s="54"/>
      <c r="L888" s="54"/>
      <c r="M888" s="97" t="str">
        <f t="shared" si="92"/>
        <v/>
      </c>
      <c r="N888" s="70"/>
      <c r="O888" s="71" t="str">
        <f t="shared" si="96"/>
        <v/>
      </c>
      <c r="P888" s="66"/>
      <c r="Q888" s="66"/>
      <c r="R888" s="54"/>
      <c r="S888" s="82"/>
      <c r="T888" s="83" t="str">
        <f t="shared" si="93"/>
        <v/>
      </c>
      <c r="U888" s="10"/>
      <c r="V888" s="41">
        <f>IF(AND(Q888&lt;&gt;"",RIGHT(Q888,3)&lt;&gt;""),IF(COUNTIF($Q$6:Q888,Q888)=1,1,0),0)</f>
        <v>0</v>
      </c>
      <c r="W888" s="41" t="str">
        <f t="shared" si="94"/>
        <v/>
      </c>
      <c r="X888" s="41" t="str">
        <f t="shared" si="95"/>
        <v/>
      </c>
    </row>
    <row r="889" s="32" customFormat="1" hidden="1" customHeight="1" spans="1:24">
      <c r="A889" s="34"/>
      <c r="B889" s="51"/>
      <c r="C889" s="51"/>
      <c r="D889" s="52"/>
      <c r="E889" s="53"/>
      <c r="F889" s="54"/>
      <c r="G889" s="54"/>
      <c r="H889" s="54"/>
      <c r="I889" s="66"/>
      <c r="J889" s="54"/>
      <c r="K889" s="54"/>
      <c r="L889" s="54"/>
      <c r="M889" s="97" t="str">
        <f t="shared" si="92"/>
        <v/>
      </c>
      <c r="N889" s="70"/>
      <c r="O889" s="71" t="str">
        <f t="shared" si="96"/>
        <v/>
      </c>
      <c r="P889" s="66"/>
      <c r="Q889" s="66"/>
      <c r="R889" s="54"/>
      <c r="S889" s="82"/>
      <c r="T889" s="83" t="str">
        <f t="shared" si="93"/>
        <v/>
      </c>
      <c r="U889" s="10"/>
      <c r="V889" s="41">
        <f>IF(AND(Q889&lt;&gt;"",RIGHT(Q889,3)&lt;&gt;""),IF(COUNTIF($Q$6:Q889,Q889)=1,1,0),0)</f>
        <v>0</v>
      </c>
      <c r="W889" s="41" t="str">
        <f t="shared" si="94"/>
        <v/>
      </c>
      <c r="X889" s="41" t="str">
        <f t="shared" si="95"/>
        <v/>
      </c>
    </row>
    <row r="890" s="32" customFormat="1" hidden="1" customHeight="1" spans="1:24">
      <c r="A890" s="34"/>
      <c r="B890" s="51"/>
      <c r="C890" s="51"/>
      <c r="D890" s="52"/>
      <c r="E890" s="53"/>
      <c r="F890" s="54"/>
      <c r="G890" s="54"/>
      <c r="H890" s="54"/>
      <c r="I890" s="66"/>
      <c r="J890" s="54"/>
      <c r="K890" s="54"/>
      <c r="L890" s="54"/>
      <c r="M890" s="97" t="str">
        <f t="shared" si="92"/>
        <v/>
      </c>
      <c r="N890" s="70"/>
      <c r="O890" s="71" t="str">
        <f t="shared" si="96"/>
        <v/>
      </c>
      <c r="P890" s="66"/>
      <c r="Q890" s="66"/>
      <c r="R890" s="54"/>
      <c r="S890" s="82"/>
      <c r="T890" s="83" t="str">
        <f t="shared" si="93"/>
        <v/>
      </c>
      <c r="U890" s="10"/>
      <c r="V890" s="41">
        <f>IF(AND(Q890&lt;&gt;"",RIGHT(Q890,3)&lt;&gt;""),IF(COUNTIF($Q$6:Q890,Q890)=1,1,0),0)</f>
        <v>0</v>
      </c>
      <c r="W890" s="41" t="str">
        <f t="shared" si="94"/>
        <v/>
      </c>
      <c r="X890" s="41" t="str">
        <f t="shared" si="95"/>
        <v/>
      </c>
    </row>
    <row r="891" s="32" customFormat="1" hidden="1" customHeight="1" spans="1:24">
      <c r="A891" s="34"/>
      <c r="B891" s="51"/>
      <c r="C891" s="51"/>
      <c r="D891" s="52"/>
      <c r="E891" s="53"/>
      <c r="F891" s="54"/>
      <c r="G891" s="54"/>
      <c r="H891" s="54"/>
      <c r="I891" s="66"/>
      <c r="J891" s="54"/>
      <c r="K891" s="54"/>
      <c r="L891" s="54"/>
      <c r="M891" s="97" t="str">
        <f t="shared" si="92"/>
        <v/>
      </c>
      <c r="N891" s="70"/>
      <c r="O891" s="71" t="str">
        <f t="shared" si="96"/>
        <v/>
      </c>
      <c r="P891" s="66"/>
      <c r="Q891" s="66"/>
      <c r="R891" s="54"/>
      <c r="S891" s="82"/>
      <c r="T891" s="83" t="str">
        <f t="shared" si="93"/>
        <v/>
      </c>
      <c r="U891" s="10"/>
      <c r="V891" s="41">
        <f>IF(AND(Q891&lt;&gt;"",RIGHT(Q891,3)&lt;&gt;""),IF(COUNTIF($Q$6:Q891,Q891)=1,1,0),0)</f>
        <v>0</v>
      </c>
      <c r="W891" s="41" t="str">
        <f t="shared" si="94"/>
        <v/>
      </c>
      <c r="X891" s="41" t="str">
        <f t="shared" si="95"/>
        <v/>
      </c>
    </row>
    <row r="892" s="32" customFormat="1" hidden="1" customHeight="1" spans="1:24">
      <c r="A892" s="34"/>
      <c r="B892" s="51"/>
      <c r="C892" s="51"/>
      <c r="D892" s="52"/>
      <c r="E892" s="53"/>
      <c r="F892" s="54"/>
      <c r="G892" s="54"/>
      <c r="H892" s="54"/>
      <c r="I892" s="66"/>
      <c r="J892" s="54"/>
      <c r="K892" s="54"/>
      <c r="L892" s="54"/>
      <c r="M892" s="97" t="str">
        <f t="shared" si="92"/>
        <v/>
      </c>
      <c r="N892" s="70"/>
      <c r="O892" s="71" t="str">
        <f t="shared" si="96"/>
        <v/>
      </c>
      <c r="P892" s="66"/>
      <c r="Q892" s="66"/>
      <c r="R892" s="54"/>
      <c r="S892" s="82"/>
      <c r="T892" s="83" t="str">
        <f t="shared" si="93"/>
        <v/>
      </c>
      <c r="U892" s="10"/>
      <c r="V892" s="41">
        <f>IF(AND(Q892&lt;&gt;"",RIGHT(Q892,3)&lt;&gt;""),IF(COUNTIF($Q$6:Q892,Q892)=1,1,0),0)</f>
        <v>0</v>
      </c>
      <c r="W892" s="41" t="str">
        <f t="shared" si="94"/>
        <v/>
      </c>
      <c r="X892" s="41" t="str">
        <f t="shared" si="95"/>
        <v/>
      </c>
    </row>
    <row r="893" s="32" customFormat="1" hidden="1" customHeight="1" spans="1:24">
      <c r="A893" s="34"/>
      <c r="B893" s="51"/>
      <c r="C893" s="51"/>
      <c r="D893" s="52"/>
      <c r="E893" s="53"/>
      <c r="F893" s="54"/>
      <c r="G893" s="54"/>
      <c r="H893" s="54"/>
      <c r="I893" s="66"/>
      <c r="J893" s="54"/>
      <c r="K893" s="54"/>
      <c r="L893" s="54"/>
      <c r="M893" s="97" t="str">
        <f t="shared" si="92"/>
        <v/>
      </c>
      <c r="N893" s="70"/>
      <c r="O893" s="71" t="str">
        <f t="shared" si="96"/>
        <v/>
      </c>
      <c r="P893" s="66"/>
      <c r="Q893" s="66"/>
      <c r="R893" s="54"/>
      <c r="S893" s="82"/>
      <c r="T893" s="83" t="str">
        <f t="shared" si="93"/>
        <v/>
      </c>
      <c r="U893" s="10"/>
      <c r="V893" s="41">
        <f>IF(AND(Q893&lt;&gt;"",RIGHT(Q893,3)&lt;&gt;""),IF(COUNTIF($Q$6:Q893,Q893)=1,1,0),0)</f>
        <v>0</v>
      </c>
      <c r="W893" s="41" t="str">
        <f t="shared" si="94"/>
        <v/>
      </c>
      <c r="X893" s="41" t="str">
        <f t="shared" si="95"/>
        <v/>
      </c>
    </row>
    <row r="894" s="32" customFormat="1" hidden="1" customHeight="1" spans="1:24">
      <c r="A894" s="34"/>
      <c r="B894" s="51"/>
      <c r="C894" s="51"/>
      <c r="D894" s="52"/>
      <c r="E894" s="53"/>
      <c r="F894" s="54"/>
      <c r="G894" s="54"/>
      <c r="H894" s="54"/>
      <c r="I894" s="66"/>
      <c r="J894" s="54"/>
      <c r="K894" s="54"/>
      <c r="L894" s="54"/>
      <c r="M894" s="97" t="str">
        <f t="shared" si="92"/>
        <v/>
      </c>
      <c r="N894" s="70"/>
      <c r="O894" s="71" t="str">
        <f t="shared" si="96"/>
        <v/>
      </c>
      <c r="P894" s="66"/>
      <c r="Q894" s="66"/>
      <c r="R894" s="54"/>
      <c r="S894" s="82"/>
      <c r="T894" s="83" t="str">
        <f t="shared" si="93"/>
        <v/>
      </c>
      <c r="U894" s="10"/>
      <c r="V894" s="41">
        <f>IF(AND(Q894&lt;&gt;"",RIGHT(Q894,3)&lt;&gt;""),IF(COUNTIF($Q$6:Q894,Q894)=1,1,0),0)</f>
        <v>0</v>
      </c>
      <c r="W894" s="41" t="str">
        <f t="shared" si="94"/>
        <v/>
      </c>
      <c r="X894" s="41" t="str">
        <f t="shared" si="95"/>
        <v/>
      </c>
    </row>
    <row r="895" s="32" customFormat="1" hidden="1" customHeight="1" spans="1:24">
      <c r="A895" s="34"/>
      <c r="B895" s="51"/>
      <c r="C895" s="51"/>
      <c r="D895" s="52"/>
      <c r="E895" s="53"/>
      <c r="F895" s="54"/>
      <c r="G895" s="54"/>
      <c r="H895" s="54"/>
      <c r="I895" s="66"/>
      <c r="J895" s="54"/>
      <c r="K895" s="54"/>
      <c r="L895" s="54"/>
      <c r="M895" s="97" t="str">
        <f t="shared" si="92"/>
        <v/>
      </c>
      <c r="N895" s="70"/>
      <c r="O895" s="71" t="str">
        <f t="shared" si="96"/>
        <v/>
      </c>
      <c r="P895" s="66"/>
      <c r="Q895" s="66"/>
      <c r="R895" s="54"/>
      <c r="S895" s="82"/>
      <c r="T895" s="83" t="str">
        <f t="shared" si="93"/>
        <v/>
      </c>
      <c r="U895" s="10"/>
      <c r="V895" s="41">
        <f>IF(AND(Q895&lt;&gt;"",RIGHT(Q895,3)&lt;&gt;""),IF(COUNTIF($Q$6:Q895,Q895)=1,1,0),0)</f>
        <v>0</v>
      </c>
      <c r="W895" s="41" t="str">
        <f t="shared" si="94"/>
        <v/>
      </c>
      <c r="X895" s="41" t="str">
        <f t="shared" si="95"/>
        <v/>
      </c>
    </row>
    <row r="896" s="32" customFormat="1" hidden="1" customHeight="1" spans="1:24">
      <c r="A896" s="34"/>
      <c r="B896" s="51"/>
      <c r="C896" s="51"/>
      <c r="D896" s="52"/>
      <c r="E896" s="53"/>
      <c r="F896" s="54"/>
      <c r="G896" s="54"/>
      <c r="H896" s="54"/>
      <c r="I896" s="66"/>
      <c r="J896" s="54"/>
      <c r="K896" s="54"/>
      <c r="L896" s="54"/>
      <c r="M896" s="97" t="str">
        <f t="shared" si="92"/>
        <v/>
      </c>
      <c r="N896" s="70"/>
      <c r="O896" s="71" t="str">
        <f t="shared" si="96"/>
        <v/>
      </c>
      <c r="P896" s="66"/>
      <c r="Q896" s="66"/>
      <c r="R896" s="54"/>
      <c r="S896" s="82"/>
      <c r="T896" s="83" t="str">
        <f t="shared" si="93"/>
        <v/>
      </c>
      <c r="U896" s="10"/>
      <c r="V896" s="41">
        <f>IF(AND(Q896&lt;&gt;"",RIGHT(Q896,3)&lt;&gt;""),IF(COUNTIF($Q$6:Q896,Q896)=1,1,0),0)</f>
        <v>0</v>
      </c>
      <c r="W896" s="41" t="str">
        <f t="shared" si="94"/>
        <v/>
      </c>
      <c r="X896" s="41" t="str">
        <f t="shared" si="95"/>
        <v/>
      </c>
    </row>
    <row r="897" s="32" customFormat="1" hidden="1" customHeight="1" spans="1:24">
      <c r="A897" s="34"/>
      <c r="B897" s="51"/>
      <c r="C897" s="51"/>
      <c r="D897" s="52"/>
      <c r="E897" s="53"/>
      <c r="F897" s="54"/>
      <c r="G897" s="54"/>
      <c r="H897" s="54"/>
      <c r="I897" s="66"/>
      <c r="J897" s="54"/>
      <c r="K897" s="54"/>
      <c r="L897" s="54"/>
      <c r="M897" s="97" t="str">
        <f t="shared" si="92"/>
        <v/>
      </c>
      <c r="N897" s="70"/>
      <c r="O897" s="71" t="str">
        <f t="shared" si="96"/>
        <v/>
      </c>
      <c r="P897" s="66"/>
      <c r="Q897" s="66"/>
      <c r="R897" s="54"/>
      <c r="S897" s="82"/>
      <c r="T897" s="83" t="str">
        <f t="shared" si="93"/>
        <v/>
      </c>
      <c r="U897" s="10"/>
      <c r="V897" s="41">
        <f>IF(AND(Q897&lt;&gt;"",RIGHT(Q897,3)&lt;&gt;""),IF(COUNTIF($Q$6:Q897,Q897)=1,1,0),0)</f>
        <v>0</v>
      </c>
      <c r="W897" s="41" t="str">
        <f t="shared" si="94"/>
        <v/>
      </c>
      <c r="X897" s="41" t="str">
        <f t="shared" si="95"/>
        <v/>
      </c>
    </row>
    <row r="898" s="32" customFormat="1" hidden="1" customHeight="1" spans="1:24">
      <c r="A898" s="34"/>
      <c r="B898" s="51"/>
      <c r="C898" s="51"/>
      <c r="D898" s="52"/>
      <c r="E898" s="53"/>
      <c r="F898" s="54"/>
      <c r="G898" s="54"/>
      <c r="H898" s="54"/>
      <c r="I898" s="66"/>
      <c r="J898" s="54"/>
      <c r="K898" s="54"/>
      <c r="L898" s="54"/>
      <c r="M898" s="97" t="str">
        <f t="shared" si="92"/>
        <v/>
      </c>
      <c r="N898" s="70"/>
      <c r="O898" s="71" t="str">
        <f t="shared" si="96"/>
        <v/>
      </c>
      <c r="P898" s="66"/>
      <c r="Q898" s="66"/>
      <c r="R898" s="54"/>
      <c r="S898" s="82"/>
      <c r="T898" s="83" t="str">
        <f t="shared" si="93"/>
        <v/>
      </c>
      <c r="U898" s="10"/>
      <c r="V898" s="41">
        <f>IF(AND(Q898&lt;&gt;"",RIGHT(Q898,3)&lt;&gt;""),IF(COUNTIF($Q$6:Q898,Q898)=1,1,0),0)</f>
        <v>0</v>
      </c>
      <c r="W898" s="41" t="str">
        <f t="shared" si="94"/>
        <v/>
      </c>
      <c r="X898" s="41" t="str">
        <f t="shared" si="95"/>
        <v/>
      </c>
    </row>
    <row r="899" s="32" customFormat="1" hidden="1" customHeight="1" spans="1:24">
      <c r="A899" s="34"/>
      <c r="B899" s="51"/>
      <c r="C899" s="51"/>
      <c r="D899" s="52"/>
      <c r="E899" s="53"/>
      <c r="F899" s="54"/>
      <c r="G899" s="54"/>
      <c r="H899" s="54"/>
      <c r="I899" s="66"/>
      <c r="J899" s="54"/>
      <c r="K899" s="54"/>
      <c r="L899" s="54"/>
      <c r="M899" s="97" t="str">
        <f t="shared" si="92"/>
        <v/>
      </c>
      <c r="N899" s="70"/>
      <c r="O899" s="71" t="str">
        <f t="shared" si="96"/>
        <v/>
      </c>
      <c r="P899" s="66"/>
      <c r="Q899" s="66"/>
      <c r="R899" s="54"/>
      <c r="S899" s="82"/>
      <c r="T899" s="83" t="str">
        <f t="shared" si="93"/>
        <v/>
      </c>
      <c r="U899" s="10"/>
      <c r="V899" s="41">
        <f>IF(AND(Q899&lt;&gt;"",RIGHT(Q899,3)&lt;&gt;""),IF(COUNTIF($Q$6:Q899,Q899)=1,1,0),0)</f>
        <v>0</v>
      </c>
      <c r="W899" s="41" t="str">
        <f t="shared" si="94"/>
        <v/>
      </c>
      <c r="X899" s="41" t="str">
        <f t="shared" si="95"/>
        <v/>
      </c>
    </row>
    <row r="900" s="32" customFormat="1" hidden="1" customHeight="1" spans="1:24">
      <c r="A900" s="34"/>
      <c r="B900" s="51"/>
      <c r="C900" s="51"/>
      <c r="D900" s="52"/>
      <c r="E900" s="53"/>
      <c r="F900" s="54"/>
      <c r="G900" s="54"/>
      <c r="H900" s="54"/>
      <c r="I900" s="66"/>
      <c r="J900" s="54"/>
      <c r="K900" s="54"/>
      <c r="L900" s="54"/>
      <c r="M900" s="97" t="str">
        <f t="shared" si="92"/>
        <v/>
      </c>
      <c r="N900" s="70"/>
      <c r="O900" s="71" t="str">
        <f t="shared" si="96"/>
        <v/>
      </c>
      <c r="P900" s="66"/>
      <c r="Q900" s="66"/>
      <c r="R900" s="54"/>
      <c r="S900" s="82"/>
      <c r="T900" s="83" t="str">
        <f t="shared" si="93"/>
        <v/>
      </c>
      <c r="U900" s="10"/>
      <c r="V900" s="41">
        <f>IF(AND(Q900&lt;&gt;"",RIGHT(Q900,3)&lt;&gt;""),IF(COUNTIF($Q$6:Q900,Q900)=1,1,0),0)</f>
        <v>0</v>
      </c>
      <c r="W900" s="41" t="str">
        <f t="shared" si="94"/>
        <v/>
      </c>
      <c r="X900" s="41" t="str">
        <f t="shared" si="95"/>
        <v/>
      </c>
    </row>
    <row r="901" s="32" customFormat="1" hidden="1" customHeight="1" spans="1:24">
      <c r="A901" s="34"/>
      <c r="B901" s="51"/>
      <c r="C901" s="51"/>
      <c r="D901" s="52"/>
      <c r="E901" s="53"/>
      <c r="F901" s="54"/>
      <c r="G901" s="54"/>
      <c r="H901" s="54"/>
      <c r="I901" s="66"/>
      <c r="J901" s="54"/>
      <c r="K901" s="54"/>
      <c r="L901" s="54"/>
      <c r="M901" s="97" t="str">
        <f t="shared" si="92"/>
        <v/>
      </c>
      <c r="N901" s="70"/>
      <c r="O901" s="71" t="str">
        <f t="shared" si="96"/>
        <v/>
      </c>
      <c r="P901" s="66"/>
      <c r="Q901" s="66"/>
      <c r="R901" s="54"/>
      <c r="S901" s="82"/>
      <c r="T901" s="83" t="str">
        <f t="shared" si="93"/>
        <v/>
      </c>
      <c r="U901" s="10"/>
      <c r="V901" s="41">
        <f>IF(AND(Q901&lt;&gt;"",RIGHT(Q901,3)&lt;&gt;""),IF(COUNTIF($Q$6:Q901,Q901)=1,1,0),0)</f>
        <v>0</v>
      </c>
      <c r="W901" s="41" t="str">
        <f t="shared" si="94"/>
        <v/>
      </c>
      <c r="X901" s="41" t="str">
        <f t="shared" si="95"/>
        <v/>
      </c>
    </row>
    <row r="902" s="32" customFormat="1" hidden="1" customHeight="1" spans="1:24">
      <c r="A902" s="34"/>
      <c r="B902" s="51"/>
      <c r="C902" s="51"/>
      <c r="D902" s="52"/>
      <c r="E902" s="53"/>
      <c r="F902" s="54"/>
      <c r="G902" s="54"/>
      <c r="H902" s="54"/>
      <c r="I902" s="66"/>
      <c r="J902" s="54"/>
      <c r="K902" s="54"/>
      <c r="L902" s="54"/>
      <c r="M902" s="97" t="str">
        <f t="shared" si="92"/>
        <v/>
      </c>
      <c r="N902" s="70"/>
      <c r="O902" s="71" t="str">
        <f t="shared" si="96"/>
        <v/>
      </c>
      <c r="P902" s="66"/>
      <c r="Q902" s="66"/>
      <c r="R902" s="54"/>
      <c r="S902" s="82"/>
      <c r="T902" s="83" t="str">
        <f t="shared" si="93"/>
        <v/>
      </c>
      <c r="U902" s="10"/>
      <c r="V902" s="41">
        <f>IF(AND(Q902&lt;&gt;"",RIGHT(Q902,3)&lt;&gt;""),IF(COUNTIF($Q$6:Q902,Q902)=1,1,0),0)</f>
        <v>0</v>
      </c>
      <c r="W902" s="41" t="str">
        <f t="shared" si="94"/>
        <v/>
      </c>
      <c r="X902" s="41" t="str">
        <f t="shared" si="95"/>
        <v/>
      </c>
    </row>
    <row r="903" s="32" customFormat="1" hidden="1" customHeight="1" spans="1:24">
      <c r="A903" s="34"/>
      <c r="B903" s="51"/>
      <c r="C903" s="51"/>
      <c r="D903" s="52"/>
      <c r="E903" s="53"/>
      <c r="F903" s="54"/>
      <c r="G903" s="54"/>
      <c r="H903" s="54"/>
      <c r="I903" s="66"/>
      <c r="J903" s="54"/>
      <c r="K903" s="54"/>
      <c r="L903" s="54"/>
      <c r="M903" s="97" t="str">
        <f t="shared" si="92"/>
        <v/>
      </c>
      <c r="N903" s="70"/>
      <c r="O903" s="71" t="str">
        <f t="shared" si="96"/>
        <v/>
      </c>
      <c r="P903" s="66"/>
      <c r="Q903" s="66"/>
      <c r="R903" s="54"/>
      <c r="S903" s="82"/>
      <c r="T903" s="83" t="str">
        <f t="shared" si="93"/>
        <v/>
      </c>
      <c r="U903" s="10"/>
      <c r="V903" s="41">
        <f>IF(AND(Q903&lt;&gt;"",RIGHT(Q903,3)&lt;&gt;""),IF(COUNTIF($Q$6:Q903,Q903)=1,1,0),0)</f>
        <v>0</v>
      </c>
      <c r="W903" s="41" t="str">
        <f t="shared" si="94"/>
        <v/>
      </c>
      <c r="X903" s="41" t="str">
        <f t="shared" si="95"/>
        <v/>
      </c>
    </row>
    <row r="904" s="32" customFormat="1" hidden="1" customHeight="1" spans="1:24">
      <c r="A904" s="34"/>
      <c r="B904" s="51"/>
      <c r="C904" s="51"/>
      <c r="D904" s="52"/>
      <c r="E904" s="53"/>
      <c r="F904" s="54"/>
      <c r="G904" s="54"/>
      <c r="H904" s="54"/>
      <c r="I904" s="66"/>
      <c r="J904" s="54"/>
      <c r="K904" s="54"/>
      <c r="L904" s="54"/>
      <c r="M904" s="97" t="str">
        <f t="shared" si="92"/>
        <v/>
      </c>
      <c r="N904" s="70"/>
      <c r="O904" s="71" t="str">
        <f t="shared" si="96"/>
        <v/>
      </c>
      <c r="P904" s="66"/>
      <c r="Q904" s="66"/>
      <c r="R904" s="54"/>
      <c r="S904" s="82"/>
      <c r="T904" s="83" t="str">
        <f t="shared" si="93"/>
        <v/>
      </c>
      <c r="U904" s="10"/>
      <c r="V904" s="41">
        <f>IF(AND(Q904&lt;&gt;"",RIGHT(Q904,3)&lt;&gt;""),IF(COUNTIF($Q$6:Q904,Q904)=1,1,0),0)</f>
        <v>0</v>
      </c>
      <c r="W904" s="41" t="str">
        <f t="shared" si="94"/>
        <v/>
      </c>
      <c r="X904" s="41" t="str">
        <f t="shared" si="95"/>
        <v/>
      </c>
    </row>
    <row r="905" s="32" customFormat="1" hidden="1" customHeight="1" spans="1:24">
      <c r="A905" s="34"/>
      <c r="B905" s="51"/>
      <c r="C905" s="51"/>
      <c r="D905" s="52"/>
      <c r="E905" s="53"/>
      <c r="F905" s="54"/>
      <c r="G905" s="54"/>
      <c r="H905" s="54"/>
      <c r="I905" s="66"/>
      <c r="J905" s="54"/>
      <c r="K905" s="54"/>
      <c r="L905" s="54"/>
      <c r="M905" s="97" t="str">
        <f t="shared" si="92"/>
        <v/>
      </c>
      <c r="N905" s="70"/>
      <c r="O905" s="71" t="str">
        <f t="shared" si="96"/>
        <v/>
      </c>
      <c r="P905" s="66"/>
      <c r="Q905" s="66"/>
      <c r="R905" s="54"/>
      <c r="S905" s="82"/>
      <c r="T905" s="83" t="str">
        <f t="shared" si="93"/>
        <v/>
      </c>
      <c r="U905" s="10"/>
      <c r="V905" s="41">
        <f>IF(AND(Q905&lt;&gt;"",RIGHT(Q905,3)&lt;&gt;""),IF(COUNTIF($Q$6:Q905,Q905)=1,1,0),0)</f>
        <v>0</v>
      </c>
      <c r="W905" s="41" t="str">
        <f t="shared" si="94"/>
        <v/>
      </c>
      <c r="X905" s="41" t="str">
        <f t="shared" si="95"/>
        <v/>
      </c>
    </row>
    <row r="906" s="32" customFormat="1" hidden="1" customHeight="1" spans="1:24">
      <c r="A906" s="34"/>
      <c r="B906" s="51"/>
      <c r="C906" s="51"/>
      <c r="D906" s="52"/>
      <c r="E906" s="53"/>
      <c r="F906" s="54"/>
      <c r="G906" s="54"/>
      <c r="H906" s="54"/>
      <c r="I906" s="66"/>
      <c r="J906" s="54"/>
      <c r="K906" s="54"/>
      <c r="L906" s="54"/>
      <c r="M906" s="97" t="str">
        <f t="shared" si="92"/>
        <v/>
      </c>
      <c r="N906" s="70"/>
      <c r="O906" s="71" t="str">
        <f t="shared" si="96"/>
        <v/>
      </c>
      <c r="P906" s="66"/>
      <c r="Q906" s="66"/>
      <c r="R906" s="54"/>
      <c r="S906" s="82"/>
      <c r="T906" s="83" t="str">
        <f t="shared" si="93"/>
        <v/>
      </c>
      <c r="U906" s="10"/>
      <c r="V906" s="41">
        <f>IF(AND(Q906&lt;&gt;"",RIGHT(Q906,3)&lt;&gt;""),IF(COUNTIF($Q$6:Q906,Q906)=1,1,0),0)</f>
        <v>0</v>
      </c>
      <c r="W906" s="41" t="str">
        <f t="shared" si="94"/>
        <v/>
      </c>
      <c r="X906" s="41" t="str">
        <f t="shared" si="95"/>
        <v/>
      </c>
    </row>
    <row r="907" s="32" customFormat="1" hidden="1" customHeight="1" spans="1:24">
      <c r="A907" s="34"/>
      <c r="B907" s="51"/>
      <c r="C907" s="51"/>
      <c r="D907" s="52"/>
      <c r="E907" s="53"/>
      <c r="F907" s="54"/>
      <c r="G907" s="54"/>
      <c r="H907" s="54"/>
      <c r="I907" s="66"/>
      <c r="J907" s="54"/>
      <c r="K907" s="54"/>
      <c r="L907" s="54"/>
      <c r="M907" s="97" t="str">
        <f t="shared" si="92"/>
        <v/>
      </c>
      <c r="N907" s="70"/>
      <c r="O907" s="71" t="str">
        <f t="shared" si="96"/>
        <v/>
      </c>
      <c r="P907" s="66"/>
      <c r="Q907" s="66"/>
      <c r="R907" s="54"/>
      <c r="S907" s="82"/>
      <c r="T907" s="83" t="str">
        <f t="shared" si="93"/>
        <v/>
      </c>
      <c r="U907" s="10"/>
      <c r="V907" s="41">
        <f>IF(AND(Q907&lt;&gt;"",RIGHT(Q907,3)&lt;&gt;""),IF(COUNTIF($Q$6:Q907,Q907)=1,1,0),0)</f>
        <v>0</v>
      </c>
      <c r="W907" s="41" t="str">
        <f t="shared" si="94"/>
        <v/>
      </c>
      <c r="X907" s="41" t="str">
        <f t="shared" si="95"/>
        <v/>
      </c>
    </row>
    <row r="908" s="32" customFormat="1" hidden="1" customHeight="1" spans="1:24">
      <c r="A908" s="34"/>
      <c r="B908" s="51"/>
      <c r="C908" s="51"/>
      <c r="D908" s="52"/>
      <c r="E908" s="53"/>
      <c r="F908" s="54"/>
      <c r="G908" s="54"/>
      <c r="H908" s="54"/>
      <c r="I908" s="66"/>
      <c r="J908" s="54"/>
      <c r="K908" s="54"/>
      <c r="L908" s="54"/>
      <c r="M908" s="97" t="str">
        <f t="shared" si="92"/>
        <v/>
      </c>
      <c r="N908" s="70"/>
      <c r="O908" s="71" t="str">
        <f t="shared" si="96"/>
        <v/>
      </c>
      <c r="P908" s="66"/>
      <c r="Q908" s="66"/>
      <c r="R908" s="54"/>
      <c r="S908" s="82"/>
      <c r="T908" s="83" t="str">
        <f t="shared" si="93"/>
        <v/>
      </c>
      <c r="U908" s="10"/>
      <c r="V908" s="41">
        <f>IF(AND(Q908&lt;&gt;"",RIGHT(Q908,3)&lt;&gt;""),IF(COUNTIF($Q$6:Q908,Q908)=1,1,0),0)</f>
        <v>0</v>
      </c>
      <c r="W908" s="41" t="str">
        <f t="shared" si="94"/>
        <v/>
      </c>
      <c r="X908" s="41" t="str">
        <f t="shared" si="95"/>
        <v/>
      </c>
    </row>
    <row r="909" s="32" customFormat="1" hidden="1" customHeight="1" spans="1:24">
      <c r="A909" s="34"/>
      <c r="B909" s="51"/>
      <c r="C909" s="51"/>
      <c r="D909" s="52"/>
      <c r="E909" s="53"/>
      <c r="F909" s="54"/>
      <c r="G909" s="54"/>
      <c r="H909" s="54"/>
      <c r="I909" s="66"/>
      <c r="J909" s="54"/>
      <c r="K909" s="54"/>
      <c r="L909" s="54"/>
      <c r="M909" s="97" t="str">
        <f t="shared" si="92"/>
        <v/>
      </c>
      <c r="N909" s="70"/>
      <c r="O909" s="71" t="str">
        <f t="shared" si="96"/>
        <v/>
      </c>
      <c r="P909" s="66"/>
      <c r="Q909" s="66"/>
      <c r="R909" s="54"/>
      <c r="S909" s="82"/>
      <c r="T909" s="83" t="str">
        <f t="shared" si="93"/>
        <v/>
      </c>
      <c r="U909" s="10"/>
      <c r="V909" s="41">
        <f>IF(AND(Q909&lt;&gt;"",RIGHT(Q909,3)&lt;&gt;""),IF(COUNTIF($Q$6:Q909,Q909)=1,1,0),0)</f>
        <v>0</v>
      </c>
      <c r="W909" s="41" t="str">
        <f t="shared" si="94"/>
        <v/>
      </c>
      <c r="X909" s="41" t="str">
        <f t="shared" si="95"/>
        <v/>
      </c>
    </row>
    <row r="910" s="32" customFormat="1" hidden="1" customHeight="1" spans="1:24">
      <c r="A910" s="34"/>
      <c r="B910" s="51"/>
      <c r="C910" s="51"/>
      <c r="D910" s="52"/>
      <c r="E910" s="53"/>
      <c r="F910" s="54"/>
      <c r="G910" s="54"/>
      <c r="H910" s="54"/>
      <c r="I910" s="66"/>
      <c r="J910" s="54"/>
      <c r="K910" s="54"/>
      <c r="L910" s="54"/>
      <c r="M910" s="97" t="str">
        <f t="shared" si="92"/>
        <v/>
      </c>
      <c r="N910" s="70"/>
      <c r="O910" s="71" t="str">
        <f t="shared" si="96"/>
        <v/>
      </c>
      <c r="P910" s="66"/>
      <c r="Q910" s="66"/>
      <c r="R910" s="54"/>
      <c r="S910" s="82"/>
      <c r="T910" s="83" t="str">
        <f t="shared" si="93"/>
        <v/>
      </c>
      <c r="U910" s="10"/>
      <c r="V910" s="41">
        <f>IF(AND(Q910&lt;&gt;"",RIGHT(Q910,3)&lt;&gt;""),IF(COUNTIF($Q$6:Q910,Q910)=1,1,0),0)</f>
        <v>0</v>
      </c>
      <c r="W910" s="41" t="str">
        <f t="shared" si="94"/>
        <v/>
      </c>
      <c r="X910" s="41" t="str">
        <f t="shared" si="95"/>
        <v/>
      </c>
    </row>
    <row r="911" s="32" customFormat="1" hidden="1" customHeight="1" spans="1:24">
      <c r="A911" s="34"/>
      <c r="B911" s="51"/>
      <c r="C911" s="51"/>
      <c r="D911" s="52"/>
      <c r="E911" s="53"/>
      <c r="F911" s="54"/>
      <c r="G911" s="54"/>
      <c r="H911" s="54"/>
      <c r="I911" s="66"/>
      <c r="J911" s="54"/>
      <c r="K911" s="54"/>
      <c r="L911" s="54"/>
      <c r="M911" s="97" t="str">
        <f t="shared" si="92"/>
        <v/>
      </c>
      <c r="N911" s="70"/>
      <c r="O911" s="71" t="str">
        <f t="shared" si="96"/>
        <v/>
      </c>
      <c r="P911" s="66"/>
      <c r="Q911" s="66"/>
      <c r="R911" s="54"/>
      <c r="S911" s="82"/>
      <c r="T911" s="83" t="str">
        <f t="shared" si="93"/>
        <v/>
      </c>
      <c r="U911" s="10"/>
      <c r="V911" s="41">
        <f>IF(AND(Q911&lt;&gt;"",RIGHT(Q911,3)&lt;&gt;""),IF(COUNTIF($Q$6:Q911,Q911)=1,1,0),0)</f>
        <v>0</v>
      </c>
      <c r="W911" s="41" t="str">
        <f t="shared" si="94"/>
        <v/>
      </c>
      <c r="X911" s="41" t="str">
        <f t="shared" si="95"/>
        <v/>
      </c>
    </row>
    <row r="912" s="32" customFormat="1" hidden="1" customHeight="1" spans="1:24">
      <c r="A912" s="34"/>
      <c r="B912" s="51"/>
      <c r="C912" s="51"/>
      <c r="D912" s="52"/>
      <c r="E912" s="53"/>
      <c r="F912" s="54"/>
      <c r="G912" s="54"/>
      <c r="H912" s="54"/>
      <c r="I912" s="66"/>
      <c r="J912" s="54"/>
      <c r="K912" s="54"/>
      <c r="L912" s="54"/>
      <c r="M912" s="97" t="str">
        <f t="shared" si="92"/>
        <v/>
      </c>
      <c r="N912" s="70"/>
      <c r="O912" s="71" t="str">
        <f t="shared" si="96"/>
        <v/>
      </c>
      <c r="P912" s="66"/>
      <c r="Q912" s="66"/>
      <c r="R912" s="54"/>
      <c r="S912" s="82"/>
      <c r="T912" s="83" t="str">
        <f t="shared" si="93"/>
        <v/>
      </c>
      <c r="U912" s="10"/>
      <c r="V912" s="41">
        <f>IF(AND(Q912&lt;&gt;"",RIGHT(Q912,3)&lt;&gt;""),IF(COUNTIF($Q$6:Q912,Q912)=1,1,0),0)</f>
        <v>0</v>
      </c>
      <c r="W912" s="41" t="str">
        <f t="shared" si="94"/>
        <v/>
      </c>
      <c r="X912" s="41" t="str">
        <f t="shared" si="95"/>
        <v/>
      </c>
    </row>
    <row r="913" s="32" customFormat="1" hidden="1" customHeight="1" spans="1:24">
      <c r="A913" s="34"/>
      <c r="B913" s="51"/>
      <c r="C913" s="51"/>
      <c r="D913" s="52"/>
      <c r="E913" s="53"/>
      <c r="F913" s="54"/>
      <c r="G913" s="54"/>
      <c r="H913" s="54"/>
      <c r="I913" s="66"/>
      <c r="J913" s="54"/>
      <c r="K913" s="54"/>
      <c r="L913" s="54"/>
      <c r="M913" s="97" t="str">
        <f t="shared" si="92"/>
        <v/>
      </c>
      <c r="N913" s="70"/>
      <c r="O913" s="71" t="str">
        <f t="shared" si="96"/>
        <v/>
      </c>
      <c r="P913" s="66"/>
      <c r="Q913" s="66"/>
      <c r="R913" s="54"/>
      <c r="S913" s="82"/>
      <c r="T913" s="83" t="str">
        <f t="shared" si="93"/>
        <v/>
      </c>
      <c r="U913" s="10"/>
      <c r="V913" s="41">
        <f>IF(AND(Q913&lt;&gt;"",RIGHT(Q913,3)&lt;&gt;""),IF(COUNTIF($Q$6:Q913,Q913)=1,1,0),0)</f>
        <v>0</v>
      </c>
      <c r="W913" s="41" t="str">
        <f t="shared" si="94"/>
        <v/>
      </c>
      <c r="X913" s="41" t="str">
        <f t="shared" si="95"/>
        <v/>
      </c>
    </row>
    <row r="914" s="32" customFormat="1" hidden="1" customHeight="1" spans="1:24">
      <c r="A914" s="34"/>
      <c r="B914" s="51"/>
      <c r="C914" s="51"/>
      <c r="D914" s="52"/>
      <c r="E914" s="53"/>
      <c r="F914" s="54"/>
      <c r="G914" s="54"/>
      <c r="H914" s="54"/>
      <c r="I914" s="66"/>
      <c r="J914" s="54"/>
      <c r="K914" s="54"/>
      <c r="L914" s="54"/>
      <c r="M914" s="97" t="str">
        <f t="shared" si="92"/>
        <v/>
      </c>
      <c r="N914" s="70"/>
      <c r="O914" s="71" t="str">
        <f t="shared" si="96"/>
        <v/>
      </c>
      <c r="P914" s="66"/>
      <c r="Q914" s="66"/>
      <c r="R914" s="54"/>
      <c r="S914" s="82"/>
      <c r="T914" s="83" t="str">
        <f t="shared" si="93"/>
        <v/>
      </c>
      <c r="U914" s="10"/>
      <c r="V914" s="41">
        <f>IF(AND(Q914&lt;&gt;"",RIGHT(Q914,3)&lt;&gt;""),IF(COUNTIF($Q$6:Q914,Q914)=1,1,0),0)</f>
        <v>0</v>
      </c>
      <c r="W914" s="41" t="str">
        <f t="shared" si="94"/>
        <v/>
      </c>
      <c r="X914" s="41" t="str">
        <f t="shared" si="95"/>
        <v/>
      </c>
    </row>
    <row r="915" s="32" customFormat="1" hidden="1" customHeight="1" spans="1:24">
      <c r="A915" s="34"/>
      <c r="B915" s="51"/>
      <c r="C915" s="51"/>
      <c r="D915" s="52"/>
      <c r="E915" s="53"/>
      <c r="F915" s="54"/>
      <c r="G915" s="54"/>
      <c r="H915" s="54"/>
      <c r="I915" s="66"/>
      <c r="J915" s="54"/>
      <c r="K915" s="54"/>
      <c r="L915" s="54"/>
      <c r="M915" s="97" t="str">
        <f t="shared" si="92"/>
        <v/>
      </c>
      <c r="N915" s="70"/>
      <c r="O915" s="71" t="str">
        <f t="shared" si="96"/>
        <v/>
      </c>
      <c r="P915" s="66"/>
      <c r="Q915" s="66"/>
      <c r="R915" s="54"/>
      <c r="S915" s="82"/>
      <c r="T915" s="83" t="str">
        <f t="shared" si="93"/>
        <v/>
      </c>
      <c r="U915" s="10"/>
      <c r="V915" s="41">
        <f>IF(AND(Q915&lt;&gt;"",RIGHT(Q915,3)&lt;&gt;""),IF(COUNTIF($Q$6:Q915,Q915)=1,1,0),0)</f>
        <v>0</v>
      </c>
      <c r="W915" s="41" t="str">
        <f t="shared" si="94"/>
        <v/>
      </c>
      <c r="X915" s="41" t="str">
        <f t="shared" si="95"/>
        <v/>
      </c>
    </row>
    <row r="916" s="32" customFormat="1" hidden="1" customHeight="1" spans="1:24">
      <c r="A916" s="34"/>
      <c r="B916" s="51"/>
      <c r="C916" s="51"/>
      <c r="D916" s="52"/>
      <c r="E916" s="53"/>
      <c r="F916" s="54"/>
      <c r="G916" s="54"/>
      <c r="H916" s="54"/>
      <c r="I916" s="66"/>
      <c r="J916" s="54"/>
      <c r="K916" s="54"/>
      <c r="L916" s="54"/>
      <c r="M916" s="97" t="str">
        <f t="shared" si="92"/>
        <v/>
      </c>
      <c r="N916" s="70"/>
      <c r="O916" s="71" t="str">
        <f t="shared" si="96"/>
        <v/>
      </c>
      <c r="P916" s="66"/>
      <c r="Q916" s="66"/>
      <c r="R916" s="54"/>
      <c r="S916" s="82"/>
      <c r="T916" s="83" t="str">
        <f t="shared" si="93"/>
        <v/>
      </c>
      <c r="U916" s="10"/>
      <c r="V916" s="41">
        <f>IF(AND(Q916&lt;&gt;"",RIGHT(Q916,3)&lt;&gt;""),IF(COUNTIF($Q$6:Q916,Q916)=1,1,0),0)</f>
        <v>0</v>
      </c>
      <c r="W916" s="41" t="str">
        <f t="shared" si="94"/>
        <v/>
      </c>
      <c r="X916" s="41" t="str">
        <f t="shared" si="95"/>
        <v/>
      </c>
    </row>
    <row r="917" s="32" customFormat="1" hidden="1" customHeight="1" spans="1:24">
      <c r="A917" s="34"/>
      <c r="B917" s="51"/>
      <c r="C917" s="51"/>
      <c r="D917" s="52"/>
      <c r="E917" s="53"/>
      <c r="F917" s="54"/>
      <c r="G917" s="54"/>
      <c r="H917" s="54"/>
      <c r="I917" s="66"/>
      <c r="J917" s="54"/>
      <c r="K917" s="54"/>
      <c r="L917" s="54"/>
      <c r="M917" s="97" t="str">
        <f t="shared" si="92"/>
        <v/>
      </c>
      <c r="N917" s="70"/>
      <c r="O917" s="71" t="str">
        <f t="shared" si="96"/>
        <v/>
      </c>
      <c r="P917" s="66"/>
      <c r="Q917" s="66"/>
      <c r="R917" s="54"/>
      <c r="S917" s="82"/>
      <c r="T917" s="83" t="str">
        <f t="shared" si="93"/>
        <v/>
      </c>
      <c r="U917" s="10"/>
      <c r="V917" s="41">
        <f>IF(AND(Q917&lt;&gt;"",RIGHT(Q917,3)&lt;&gt;""),IF(COUNTIF($Q$6:Q917,Q917)=1,1,0),0)</f>
        <v>0</v>
      </c>
      <c r="W917" s="41" t="str">
        <f t="shared" si="94"/>
        <v/>
      </c>
      <c r="X917" s="41" t="str">
        <f t="shared" si="95"/>
        <v/>
      </c>
    </row>
    <row r="918" s="32" customFormat="1" hidden="1" customHeight="1" spans="1:24">
      <c r="A918" s="34"/>
      <c r="B918" s="51"/>
      <c r="C918" s="51"/>
      <c r="D918" s="52"/>
      <c r="E918" s="53"/>
      <c r="F918" s="54"/>
      <c r="G918" s="54"/>
      <c r="H918" s="54"/>
      <c r="I918" s="66"/>
      <c r="J918" s="54"/>
      <c r="K918" s="54"/>
      <c r="L918" s="54"/>
      <c r="M918" s="97" t="str">
        <f t="shared" si="92"/>
        <v/>
      </c>
      <c r="N918" s="70"/>
      <c r="O918" s="71" t="str">
        <f t="shared" si="96"/>
        <v/>
      </c>
      <c r="P918" s="66"/>
      <c r="Q918" s="66"/>
      <c r="R918" s="54"/>
      <c r="S918" s="82"/>
      <c r="T918" s="83" t="str">
        <f t="shared" si="93"/>
        <v/>
      </c>
      <c r="U918" s="10"/>
      <c r="V918" s="41">
        <f>IF(AND(Q918&lt;&gt;"",RIGHT(Q918,3)&lt;&gt;""),IF(COUNTIF($Q$6:Q918,Q918)=1,1,0),0)</f>
        <v>0</v>
      </c>
      <c r="W918" s="41" t="str">
        <f t="shared" si="94"/>
        <v/>
      </c>
      <c r="X918" s="41" t="str">
        <f t="shared" si="95"/>
        <v/>
      </c>
    </row>
    <row r="919" s="32" customFormat="1" hidden="1" customHeight="1" spans="1:24">
      <c r="A919" s="34"/>
      <c r="B919" s="51"/>
      <c r="C919" s="51"/>
      <c r="D919" s="52"/>
      <c r="E919" s="53"/>
      <c r="F919" s="54"/>
      <c r="G919" s="54"/>
      <c r="H919" s="54"/>
      <c r="I919" s="66"/>
      <c r="J919" s="54"/>
      <c r="K919" s="54"/>
      <c r="L919" s="54"/>
      <c r="M919" s="97" t="str">
        <f t="shared" si="92"/>
        <v/>
      </c>
      <c r="N919" s="70"/>
      <c r="O919" s="71" t="str">
        <f t="shared" si="96"/>
        <v/>
      </c>
      <c r="P919" s="66"/>
      <c r="Q919" s="66"/>
      <c r="R919" s="54"/>
      <c r="S919" s="82"/>
      <c r="T919" s="83" t="str">
        <f t="shared" si="93"/>
        <v/>
      </c>
      <c r="U919" s="10"/>
      <c r="V919" s="41">
        <f>IF(AND(Q919&lt;&gt;"",RIGHT(Q919,3)&lt;&gt;""),IF(COUNTIF($Q$6:Q919,Q919)=1,1,0),0)</f>
        <v>0</v>
      </c>
      <c r="W919" s="41" t="str">
        <f t="shared" si="94"/>
        <v/>
      </c>
      <c r="X919" s="41" t="str">
        <f t="shared" si="95"/>
        <v/>
      </c>
    </row>
    <row r="920" s="32" customFormat="1" hidden="1" customHeight="1" spans="1:24">
      <c r="A920" s="34"/>
      <c r="B920" s="51"/>
      <c r="C920" s="51"/>
      <c r="D920" s="52"/>
      <c r="E920" s="53"/>
      <c r="F920" s="54"/>
      <c r="G920" s="54"/>
      <c r="H920" s="54"/>
      <c r="I920" s="66"/>
      <c r="J920" s="54"/>
      <c r="K920" s="54"/>
      <c r="L920" s="54"/>
      <c r="M920" s="97" t="str">
        <f t="shared" si="92"/>
        <v/>
      </c>
      <c r="N920" s="70"/>
      <c r="O920" s="71" t="str">
        <f t="shared" si="96"/>
        <v/>
      </c>
      <c r="P920" s="66"/>
      <c r="Q920" s="66"/>
      <c r="R920" s="54"/>
      <c r="S920" s="82"/>
      <c r="T920" s="83" t="str">
        <f t="shared" si="93"/>
        <v/>
      </c>
      <c r="U920" s="10"/>
      <c r="V920" s="41">
        <f>IF(AND(Q920&lt;&gt;"",RIGHT(Q920,3)&lt;&gt;""),IF(COUNTIF($Q$6:Q920,Q920)=1,1,0),0)</f>
        <v>0</v>
      </c>
      <c r="W920" s="41" t="str">
        <f t="shared" si="94"/>
        <v/>
      </c>
      <c r="X920" s="41" t="str">
        <f t="shared" si="95"/>
        <v/>
      </c>
    </row>
    <row r="921" s="32" customFormat="1" hidden="1" customHeight="1" spans="1:24">
      <c r="A921" s="34"/>
      <c r="B921" s="51"/>
      <c r="C921" s="51"/>
      <c r="D921" s="52"/>
      <c r="E921" s="53"/>
      <c r="F921" s="54"/>
      <c r="G921" s="54"/>
      <c r="H921" s="54"/>
      <c r="I921" s="66"/>
      <c r="J921" s="54"/>
      <c r="K921" s="54"/>
      <c r="L921" s="54"/>
      <c r="M921" s="97" t="str">
        <f t="shared" si="92"/>
        <v/>
      </c>
      <c r="N921" s="70"/>
      <c r="O921" s="71" t="str">
        <f t="shared" si="96"/>
        <v/>
      </c>
      <c r="P921" s="66"/>
      <c r="Q921" s="66"/>
      <c r="R921" s="54"/>
      <c r="S921" s="82"/>
      <c r="T921" s="83" t="str">
        <f t="shared" si="93"/>
        <v/>
      </c>
      <c r="U921" s="10"/>
      <c r="V921" s="41">
        <f>IF(AND(Q921&lt;&gt;"",RIGHT(Q921,3)&lt;&gt;""),IF(COUNTIF($Q$6:Q921,Q921)=1,1,0),0)</f>
        <v>0</v>
      </c>
      <c r="W921" s="41" t="str">
        <f t="shared" si="94"/>
        <v/>
      </c>
      <c r="X921" s="41" t="str">
        <f t="shared" si="95"/>
        <v/>
      </c>
    </row>
    <row r="922" s="32" customFormat="1" hidden="1" customHeight="1" spans="1:24">
      <c r="A922" s="34"/>
      <c r="B922" s="51"/>
      <c r="C922" s="51"/>
      <c r="D922" s="52"/>
      <c r="E922" s="53"/>
      <c r="F922" s="54"/>
      <c r="G922" s="54"/>
      <c r="H922" s="54"/>
      <c r="I922" s="66"/>
      <c r="J922" s="54"/>
      <c r="K922" s="54"/>
      <c r="L922" s="54"/>
      <c r="M922" s="97" t="str">
        <f t="shared" si="92"/>
        <v/>
      </c>
      <c r="N922" s="70"/>
      <c r="O922" s="71" t="str">
        <f t="shared" si="96"/>
        <v/>
      </c>
      <c r="P922" s="66"/>
      <c r="Q922" s="66"/>
      <c r="R922" s="54"/>
      <c r="S922" s="82"/>
      <c r="T922" s="83" t="str">
        <f t="shared" si="93"/>
        <v/>
      </c>
      <c r="U922" s="10"/>
      <c r="V922" s="41">
        <f>IF(AND(Q922&lt;&gt;"",RIGHT(Q922,3)&lt;&gt;""),IF(COUNTIF($Q$6:Q922,Q922)=1,1,0),0)</f>
        <v>0</v>
      </c>
      <c r="W922" s="41" t="str">
        <f t="shared" si="94"/>
        <v/>
      </c>
      <c r="X922" s="41" t="str">
        <f t="shared" si="95"/>
        <v/>
      </c>
    </row>
    <row r="923" s="32" customFormat="1" hidden="1" customHeight="1" spans="1:24">
      <c r="A923" s="34"/>
      <c r="B923" s="51"/>
      <c r="C923" s="51"/>
      <c r="D923" s="52"/>
      <c r="E923" s="53"/>
      <c r="F923" s="54"/>
      <c r="G923" s="54"/>
      <c r="H923" s="54"/>
      <c r="I923" s="66"/>
      <c r="J923" s="54"/>
      <c r="K923" s="54"/>
      <c r="L923" s="54"/>
      <c r="M923" s="97" t="str">
        <f t="shared" si="92"/>
        <v/>
      </c>
      <c r="N923" s="70"/>
      <c r="O923" s="71" t="str">
        <f t="shared" si="96"/>
        <v/>
      </c>
      <c r="P923" s="66"/>
      <c r="Q923" s="66"/>
      <c r="R923" s="54"/>
      <c r="S923" s="82"/>
      <c r="T923" s="83" t="str">
        <f t="shared" si="93"/>
        <v/>
      </c>
      <c r="U923" s="10"/>
      <c r="V923" s="41">
        <f>IF(AND(Q923&lt;&gt;"",RIGHT(Q923,3)&lt;&gt;""),IF(COUNTIF($Q$6:Q923,Q923)=1,1,0),0)</f>
        <v>0</v>
      </c>
      <c r="W923" s="41" t="str">
        <f t="shared" si="94"/>
        <v/>
      </c>
      <c r="X923" s="41" t="str">
        <f t="shared" si="95"/>
        <v/>
      </c>
    </row>
    <row r="924" s="32" customFormat="1" hidden="1" customHeight="1" spans="1:24">
      <c r="A924" s="34"/>
      <c r="B924" s="51"/>
      <c r="C924" s="51"/>
      <c r="D924" s="52"/>
      <c r="E924" s="53"/>
      <c r="F924" s="54"/>
      <c r="G924" s="54"/>
      <c r="H924" s="54"/>
      <c r="I924" s="66"/>
      <c r="J924" s="54"/>
      <c r="K924" s="54"/>
      <c r="L924" s="54"/>
      <c r="M924" s="97" t="str">
        <f t="shared" si="92"/>
        <v/>
      </c>
      <c r="N924" s="70"/>
      <c r="O924" s="71" t="str">
        <f t="shared" si="96"/>
        <v/>
      </c>
      <c r="P924" s="66"/>
      <c r="Q924" s="66"/>
      <c r="R924" s="54"/>
      <c r="S924" s="82"/>
      <c r="T924" s="83" t="str">
        <f t="shared" si="93"/>
        <v/>
      </c>
      <c r="U924" s="10"/>
      <c r="V924" s="41">
        <f>IF(AND(Q924&lt;&gt;"",RIGHT(Q924,3)&lt;&gt;""),IF(COUNTIF($Q$6:Q924,Q924)=1,1,0),0)</f>
        <v>0</v>
      </c>
      <c r="W924" s="41" t="str">
        <f t="shared" si="94"/>
        <v/>
      </c>
      <c r="X924" s="41" t="str">
        <f t="shared" si="95"/>
        <v/>
      </c>
    </row>
    <row r="925" s="32" customFormat="1" hidden="1" customHeight="1" spans="1:24">
      <c r="A925" s="34"/>
      <c r="B925" s="51"/>
      <c r="C925" s="51"/>
      <c r="D925" s="52"/>
      <c r="E925" s="53"/>
      <c r="F925" s="54"/>
      <c r="G925" s="54"/>
      <c r="H925" s="54"/>
      <c r="I925" s="66"/>
      <c r="J925" s="54"/>
      <c r="K925" s="54"/>
      <c r="L925" s="54"/>
      <c r="M925" s="97" t="str">
        <f t="shared" si="92"/>
        <v/>
      </c>
      <c r="N925" s="70"/>
      <c r="O925" s="71" t="str">
        <f t="shared" si="96"/>
        <v/>
      </c>
      <c r="P925" s="66"/>
      <c r="Q925" s="66"/>
      <c r="R925" s="54"/>
      <c r="S925" s="82"/>
      <c r="T925" s="83" t="str">
        <f t="shared" si="93"/>
        <v/>
      </c>
      <c r="U925" s="10"/>
      <c r="V925" s="41">
        <f>IF(AND(Q925&lt;&gt;"",RIGHT(Q925,3)&lt;&gt;""),IF(COUNTIF($Q$6:Q925,Q925)=1,1,0),0)</f>
        <v>0</v>
      </c>
      <c r="W925" s="41" t="str">
        <f t="shared" si="94"/>
        <v/>
      </c>
      <c r="X925" s="41" t="str">
        <f t="shared" si="95"/>
        <v/>
      </c>
    </row>
    <row r="926" s="32" customFormat="1" hidden="1" customHeight="1" spans="1:24">
      <c r="A926" s="34"/>
      <c r="B926" s="51"/>
      <c r="C926" s="51"/>
      <c r="D926" s="52"/>
      <c r="E926" s="53"/>
      <c r="F926" s="54"/>
      <c r="G926" s="54"/>
      <c r="H926" s="54"/>
      <c r="I926" s="66"/>
      <c r="J926" s="54"/>
      <c r="K926" s="54"/>
      <c r="L926" s="54"/>
      <c r="M926" s="97" t="str">
        <f t="shared" si="92"/>
        <v/>
      </c>
      <c r="N926" s="70"/>
      <c r="O926" s="71" t="str">
        <f t="shared" si="96"/>
        <v/>
      </c>
      <c r="P926" s="66"/>
      <c r="Q926" s="66"/>
      <c r="R926" s="54"/>
      <c r="S926" s="82"/>
      <c r="T926" s="83" t="str">
        <f t="shared" si="93"/>
        <v/>
      </c>
      <c r="U926" s="10"/>
      <c r="V926" s="41">
        <f>IF(AND(Q926&lt;&gt;"",RIGHT(Q926,3)&lt;&gt;""),IF(COUNTIF($Q$6:Q926,Q926)=1,1,0),0)</f>
        <v>0</v>
      </c>
      <c r="W926" s="41" t="str">
        <f t="shared" si="94"/>
        <v/>
      </c>
      <c r="X926" s="41" t="str">
        <f t="shared" si="95"/>
        <v/>
      </c>
    </row>
    <row r="927" s="32" customFormat="1" hidden="1" customHeight="1" spans="1:24">
      <c r="A927" s="34"/>
      <c r="B927" s="51"/>
      <c r="C927" s="51"/>
      <c r="D927" s="52"/>
      <c r="E927" s="53"/>
      <c r="F927" s="54"/>
      <c r="G927" s="54"/>
      <c r="H927" s="54"/>
      <c r="I927" s="66"/>
      <c r="J927" s="54"/>
      <c r="K927" s="54"/>
      <c r="L927" s="54"/>
      <c r="M927" s="97" t="str">
        <f t="shared" si="92"/>
        <v/>
      </c>
      <c r="N927" s="70"/>
      <c r="O927" s="71" t="str">
        <f t="shared" si="96"/>
        <v/>
      </c>
      <c r="P927" s="66"/>
      <c r="Q927" s="66"/>
      <c r="R927" s="54"/>
      <c r="S927" s="82"/>
      <c r="T927" s="83" t="str">
        <f t="shared" si="93"/>
        <v/>
      </c>
      <c r="U927" s="10"/>
      <c r="V927" s="41">
        <f>IF(AND(Q927&lt;&gt;"",RIGHT(Q927,3)&lt;&gt;""),IF(COUNTIF($Q$6:Q927,Q927)=1,1,0),0)</f>
        <v>0</v>
      </c>
      <c r="W927" s="41" t="str">
        <f t="shared" si="94"/>
        <v/>
      </c>
      <c r="X927" s="41" t="str">
        <f t="shared" si="95"/>
        <v/>
      </c>
    </row>
    <row r="928" s="32" customFormat="1" hidden="1" customHeight="1" spans="1:24">
      <c r="A928" s="34"/>
      <c r="B928" s="51"/>
      <c r="C928" s="51"/>
      <c r="D928" s="52"/>
      <c r="E928" s="53"/>
      <c r="F928" s="54"/>
      <c r="G928" s="54"/>
      <c r="H928" s="54"/>
      <c r="I928" s="66"/>
      <c r="J928" s="54"/>
      <c r="K928" s="54"/>
      <c r="L928" s="54"/>
      <c r="M928" s="97" t="str">
        <f t="shared" si="92"/>
        <v/>
      </c>
      <c r="N928" s="70"/>
      <c r="O928" s="71" t="str">
        <f t="shared" si="96"/>
        <v/>
      </c>
      <c r="P928" s="66"/>
      <c r="Q928" s="66"/>
      <c r="R928" s="54"/>
      <c r="S928" s="82"/>
      <c r="T928" s="83" t="str">
        <f t="shared" si="93"/>
        <v/>
      </c>
      <c r="U928" s="10"/>
      <c r="V928" s="41">
        <f>IF(AND(Q928&lt;&gt;"",RIGHT(Q928,3)&lt;&gt;""),IF(COUNTIF($Q$6:Q928,Q928)=1,1,0),0)</f>
        <v>0</v>
      </c>
      <c r="W928" s="41" t="str">
        <f t="shared" si="94"/>
        <v/>
      </c>
      <c r="X928" s="41" t="str">
        <f t="shared" si="95"/>
        <v/>
      </c>
    </row>
    <row r="929" s="32" customFormat="1" hidden="1" customHeight="1" spans="1:24">
      <c r="A929" s="34"/>
      <c r="B929" s="51"/>
      <c r="C929" s="51"/>
      <c r="D929" s="52"/>
      <c r="E929" s="53"/>
      <c r="F929" s="54"/>
      <c r="G929" s="54"/>
      <c r="H929" s="54"/>
      <c r="I929" s="66"/>
      <c r="J929" s="54"/>
      <c r="K929" s="54"/>
      <c r="L929" s="54"/>
      <c r="M929" s="97" t="str">
        <f t="shared" si="92"/>
        <v/>
      </c>
      <c r="N929" s="70"/>
      <c r="O929" s="71" t="str">
        <f t="shared" si="96"/>
        <v/>
      </c>
      <c r="P929" s="66"/>
      <c r="Q929" s="66"/>
      <c r="R929" s="54"/>
      <c r="S929" s="82"/>
      <c r="T929" s="83" t="str">
        <f t="shared" si="93"/>
        <v/>
      </c>
      <c r="U929" s="10"/>
      <c r="V929" s="41">
        <f>IF(AND(Q929&lt;&gt;"",RIGHT(Q929,3)&lt;&gt;""),IF(COUNTIF($Q$6:Q929,Q929)=1,1,0),0)</f>
        <v>0</v>
      </c>
      <c r="W929" s="41" t="str">
        <f t="shared" si="94"/>
        <v/>
      </c>
      <c r="X929" s="41" t="str">
        <f t="shared" si="95"/>
        <v/>
      </c>
    </row>
    <row r="930" s="32" customFormat="1" hidden="1" customHeight="1" spans="1:24">
      <c r="A930" s="34"/>
      <c r="B930" s="51"/>
      <c r="C930" s="51"/>
      <c r="D930" s="52"/>
      <c r="E930" s="53"/>
      <c r="F930" s="54"/>
      <c r="G930" s="54"/>
      <c r="H930" s="54"/>
      <c r="I930" s="66"/>
      <c r="J930" s="54"/>
      <c r="K930" s="54"/>
      <c r="L930" s="54"/>
      <c r="M930" s="97" t="str">
        <f t="shared" si="92"/>
        <v/>
      </c>
      <c r="N930" s="70"/>
      <c r="O930" s="71" t="str">
        <f t="shared" si="96"/>
        <v/>
      </c>
      <c r="P930" s="66"/>
      <c r="Q930" s="66"/>
      <c r="R930" s="54"/>
      <c r="S930" s="82"/>
      <c r="T930" s="83" t="str">
        <f t="shared" si="93"/>
        <v/>
      </c>
      <c r="U930" s="10"/>
      <c r="V930" s="41">
        <f>IF(AND(Q930&lt;&gt;"",RIGHT(Q930,3)&lt;&gt;""),IF(COUNTIF($Q$6:Q930,Q930)=1,1,0),0)</f>
        <v>0</v>
      </c>
      <c r="W930" s="41" t="str">
        <f t="shared" si="94"/>
        <v/>
      </c>
      <c r="X930" s="41" t="str">
        <f t="shared" si="95"/>
        <v/>
      </c>
    </row>
    <row r="931" s="32" customFormat="1" hidden="1" customHeight="1" spans="1:24">
      <c r="A931" s="34"/>
      <c r="B931" s="51"/>
      <c r="C931" s="51"/>
      <c r="D931" s="52"/>
      <c r="E931" s="53"/>
      <c r="F931" s="54"/>
      <c r="G931" s="54"/>
      <c r="H931" s="54"/>
      <c r="I931" s="66"/>
      <c r="J931" s="54"/>
      <c r="K931" s="54"/>
      <c r="L931" s="54"/>
      <c r="M931" s="97" t="str">
        <f t="shared" si="92"/>
        <v/>
      </c>
      <c r="N931" s="70"/>
      <c r="O931" s="71" t="str">
        <f t="shared" si="96"/>
        <v/>
      </c>
      <c r="P931" s="66"/>
      <c r="Q931" s="66"/>
      <c r="R931" s="54"/>
      <c r="S931" s="82"/>
      <c r="T931" s="83" t="str">
        <f t="shared" si="93"/>
        <v/>
      </c>
      <c r="U931" s="10"/>
      <c r="V931" s="41">
        <f>IF(AND(Q931&lt;&gt;"",RIGHT(Q931,3)&lt;&gt;""),IF(COUNTIF($Q$6:Q931,Q931)=1,1,0),0)</f>
        <v>0</v>
      </c>
      <c r="W931" s="41" t="str">
        <f t="shared" si="94"/>
        <v/>
      </c>
      <c r="X931" s="41" t="str">
        <f t="shared" si="95"/>
        <v/>
      </c>
    </row>
    <row r="932" s="32" customFormat="1" hidden="1" customHeight="1" spans="1:24">
      <c r="A932" s="34"/>
      <c r="B932" s="51"/>
      <c r="C932" s="51"/>
      <c r="D932" s="52"/>
      <c r="E932" s="53"/>
      <c r="F932" s="54"/>
      <c r="G932" s="54"/>
      <c r="H932" s="54"/>
      <c r="I932" s="66"/>
      <c r="J932" s="54"/>
      <c r="K932" s="54"/>
      <c r="L932" s="54"/>
      <c r="M932" s="97" t="str">
        <f t="shared" ref="M932:M995" si="97">IF(L932="","",HYPERLINK(_xlfn.CONCAT($L$4,L932,".jpg"),"Open File"))</f>
        <v/>
      </c>
      <c r="N932" s="70"/>
      <c r="O932" s="71" t="str">
        <f t="shared" si="96"/>
        <v/>
      </c>
      <c r="P932" s="66"/>
      <c r="Q932" s="66"/>
      <c r="R932" s="54"/>
      <c r="S932" s="82"/>
      <c r="T932" s="83" t="str">
        <f t="shared" ref="T932:T995" si="98">IF(S932="","",HYPERLINK(_xlfn.CONCAT($S$4,S932,".jpg"),"Open File"))</f>
        <v/>
      </c>
      <c r="U932" s="10"/>
      <c r="V932" s="41">
        <f>IF(AND(Q932&lt;&gt;"",RIGHT(Q932,3)&lt;&gt;""),IF(COUNTIF($Q$6:Q932,Q932)=1,1,0),0)</f>
        <v>0</v>
      </c>
      <c r="W932" s="41" t="str">
        <f t="shared" ref="W932:W995" si="99">IF(AND(J932&lt;&gt;"",K932&lt;&gt;""),_xlfn.CONCAT(SUBSTITUTE(J932,"/","."),"-",K932),"")</f>
        <v/>
      </c>
      <c r="X932" s="41" t="str">
        <f t="shared" ref="X932:X995" si="100">IF(AND(Q932&lt;&gt;"",R932&lt;&gt;""),_xlfn.CONCAT(SUBSTITUTE(Q932,"/","."),"-",R932),"")</f>
        <v/>
      </c>
    </row>
    <row r="933" s="32" customFormat="1" hidden="1" customHeight="1" spans="1:24">
      <c r="A933" s="34"/>
      <c r="B933" s="51"/>
      <c r="C933" s="51"/>
      <c r="D933" s="52"/>
      <c r="E933" s="53"/>
      <c r="F933" s="54"/>
      <c r="G933" s="54"/>
      <c r="H933" s="54"/>
      <c r="I933" s="66"/>
      <c r="J933" s="54"/>
      <c r="K933" s="54"/>
      <c r="L933" s="54"/>
      <c r="M933" s="97" t="str">
        <f t="shared" si="97"/>
        <v/>
      </c>
      <c r="N933" s="70"/>
      <c r="O933" s="71" t="str">
        <f t="shared" si="96"/>
        <v/>
      </c>
      <c r="P933" s="66"/>
      <c r="Q933" s="66"/>
      <c r="R933" s="54"/>
      <c r="S933" s="82"/>
      <c r="T933" s="83" t="str">
        <f t="shared" si="98"/>
        <v/>
      </c>
      <c r="U933" s="10"/>
      <c r="V933" s="41">
        <f>IF(AND(Q933&lt;&gt;"",RIGHT(Q933,3)&lt;&gt;""),IF(COUNTIF($Q$6:Q933,Q933)=1,1,0),0)</f>
        <v>0</v>
      </c>
      <c r="W933" s="41" t="str">
        <f t="shared" si="99"/>
        <v/>
      </c>
      <c r="X933" s="41" t="str">
        <f t="shared" si="100"/>
        <v/>
      </c>
    </row>
    <row r="934" s="32" customFormat="1" hidden="1" customHeight="1" spans="1:24">
      <c r="A934" s="34"/>
      <c r="B934" s="51"/>
      <c r="C934" s="51"/>
      <c r="D934" s="52"/>
      <c r="E934" s="53"/>
      <c r="F934" s="54"/>
      <c r="G934" s="54"/>
      <c r="H934" s="54"/>
      <c r="I934" s="66"/>
      <c r="J934" s="54"/>
      <c r="K934" s="54"/>
      <c r="L934" s="54"/>
      <c r="M934" s="97" t="str">
        <f t="shared" si="97"/>
        <v/>
      </c>
      <c r="N934" s="70"/>
      <c r="O934" s="71" t="str">
        <f t="shared" si="96"/>
        <v/>
      </c>
      <c r="P934" s="66"/>
      <c r="Q934" s="66"/>
      <c r="R934" s="54"/>
      <c r="S934" s="82"/>
      <c r="T934" s="83" t="str">
        <f t="shared" si="98"/>
        <v/>
      </c>
      <c r="U934" s="10"/>
      <c r="V934" s="41">
        <f>IF(AND(Q934&lt;&gt;"",RIGHT(Q934,3)&lt;&gt;""),IF(COUNTIF($Q$6:Q934,Q934)=1,1,0),0)</f>
        <v>0</v>
      </c>
      <c r="W934" s="41" t="str">
        <f t="shared" si="99"/>
        <v/>
      </c>
      <c r="X934" s="41" t="str">
        <f t="shared" si="100"/>
        <v/>
      </c>
    </row>
    <row r="935" s="32" customFormat="1" hidden="1" customHeight="1" spans="1:24">
      <c r="A935" s="34"/>
      <c r="B935" s="51"/>
      <c r="C935" s="51"/>
      <c r="D935" s="52"/>
      <c r="E935" s="53"/>
      <c r="F935" s="54"/>
      <c r="G935" s="54"/>
      <c r="H935" s="54"/>
      <c r="I935" s="66"/>
      <c r="J935" s="54"/>
      <c r="K935" s="54"/>
      <c r="L935" s="54"/>
      <c r="M935" s="97" t="str">
        <f t="shared" si="97"/>
        <v/>
      </c>
      <c r="N935" s="70"/>
      <c r="O935" s="71" t="str">
        <f t="shared" si="96"/>
        <v/>
      </c>
      <c r="P935" s="66"/>
      <c r="Q935" s="66"/>
      <c r="R935" s="54"/>
      <c r="S935" s="82"/>
      <c r="T935" s="83" t="str">
        <f t="shared" si="98"/>
        <v/>
      </c>
      <c r="U935" s="10"/>
      <c r="V935" s="41">
        <f>IF(AND(Q935&lt;&gt;"",RIGHT(Q935,3)&lt;&gt;""),IF(COUNTIF($Q$6:Q935,Q935)=1,1,0),0)</f>
        <v>0</v>
      </c>
      <c r="W935" s="41" t="str">
        <f t="shared" si="99"/>
        <v/>
      </c>
      <c r="X935" s="41" t="str">
        <f t="shared" si="100"/>
        <v/>
      </c>
    </row>
    <row r="936" s="32" customFormat="1" hidden="1" customHeight="1" spans="1:24">
      <c r="A936" s="34"/>
      <c r="B936" s="51"/>
      <c r="C936" s="51"/>
      <c r="D936" s="52"/>
      <c r="E936" s="53"/>
      <c r="F936" s="54"/>
      <c r="G936" s="54"/>
      <c r="H936" s="54"/>
      <c r="I936" s="66"/>
      <c r="J936" s="54"/>
      <c r="K936" s="54"/>
      <c r="L936" s="54"/>
      <c r="M936" s="97" t="str">
        <f t="shared" si="97"/>
        <v/>
      </c>
      <c r="N936" s="70"/>
      <c r="O936" s="71" t="str">
        <f t="shared" si="96"/>
        <v/>
      </c>
      <c r="P936" s="66"/>
      <c r="Q936" s="66"/>
      <c r="R936" s="54"/>
      <c r="S936" s="82"/>
      <c r="T936" s="83" t="str">
        <f t="shared" si="98"/>
        <v/>
      </c>
      <c r="U936" s="10"/>
      <c r="V936" s="41">
        <f>IF(AND(Q936&lt;&gt;"",RIGHT(Q936,3)&lt;&gt;""),IF(COUNTIF($Q$6:Q936,Q936)=1,1,0),0)</f>
        <v>0</v>
      </c>
      <c r="W936" s="41" t="str">
        <f t="shared" si="99"/>
        <v/>
      </c>
      <c r="X936" s="41" t="str">
        <f t="shared" si="100"/>
        <v/>
      </c>
    </row>
    <row r="937" s="32" customFormat="1" hidden="1" customHeight="1" spans="1:24">
      <c r="A937" s="34"/>
      <c r="B937" s="51"/>
      <c r="C937" s="51"/>
      <c r="D937" s="52"/>
      <c r="E937" s="53"/>
      <c r="F937" s="54"/>
      <c r="G937" s="54"/>
      <c r="H937" s="54"/>
      <c r="I937" s="66"/>
      <c r="J937" s="54"/>
      <c r="K937" s="54"/>
      <c r="L937" s="54"/>
      <c r="M937" s="97" t="str">
        <f t="shared" si="97"/>
        <v/>
      </c>
      <c r="N937" s="70"/>
      <c r="O937" s="71" t="str">
        <f t="shared" si="96"/>
        <v/>
      </c>
      <c r="P937" s="66"/>
      <c r="Q937" s="66"/>
      <c r="R937" s="54"/>
      <c r="S937" s="82"/>
      <c r="T937" s="83" t="str">
        <f t="shared" si="98"/>
        <v/>
      </c>
      <c r="U937" s="10"/>
      <c r="V937" s="41">
        <f>IF(AND(Q937&lt;&gt;"",RIGHT(Q937,3)&lt;&gt;""),IF(COUNTIF($Q$6:Q937,Q937)=1,1,0),0)</f>
        <v>0</v>
      </c>
      <c r="W937" s="41" t="str">
        <f t="shared" si="99"/>
        <v/>
      </c>
      <c r="X937" s="41" t="str">
        <f t="shared" si="100"/>
        <v/>
      </c>
    </row>
    <row r="938" s="32" customFormat="1" hidden="1" customHeight="1" spans="1:24">
      <c r="A938" s="34"/>
      <c r="B938" s="51"/>
      <c r="C938" s="51"/>
      <c r="D938" s="52"/>
      <c r="E938" s="53"/>
      <c r="F938" s="54"/>
      <c r="G938" s="54"/>
      <c r="H938" s="54"/>
      <c r="I938" s="66"/>
      <c r="J938" s="54"/>
      <c r="K938" s="54"/>
      <c r="L938" s="54"/>
      <c r="M938" s="97" t="str">
        <f t="shared" si="97"/>
        <v/>
      </c>
      <c r="N938" s="70"/>
      <c r="O938" s="71" t="str">
        <f t="shared" si="96"/>
        <v/>
      </c>
      <c r="P938" s="66"/>
      <c r="Q938" s="66"/>
      <c r="R938" s="54"/>
      <c r="S938" s="82"/>
      <c r="T938" s="83" t="str">
        <f t="shared" si="98"/>
        <v/>
      </c>
      <c r="U938" s="10"/>
      <c r="V938" s="41">
        <f>IF(AND(Q938&lt;&gt;"",RIGHT(Q938,3)&lt;&gt;""),IF(COUNTIF($Q$6:Q938,Q938)=1,1,0),0)</f>
        <v>0</v>
      </c>
      <c r="W938" s="41" t="str">
        <f t="shared" si="99"/>
        <v/>
      </c>
      <c r="X938" s="41" t="str">
        <f t="shared" si="100"/>
        <v/>
      </c>
    </row>
    <row r="939" s="32" customFormat="1" hidden="1" customHeight="1" spans="1:24">
      <c r="A939" s="34"/>
      <c r="B939" s="51"/>
      <c r="C939" s="51"/>
      <c r="D939" s="52"/>
      <c r="E939" s="53"/>
      <c r="F939" s="54"/>
      <c r="G939" s="54"/>
      <c r="H939" s="54"/>
      <c r="I939" s="66"/>
      <c r="J939" s="54"/>
      <c r="K939" s="54"/>
      <c r="L939" s="54"/>
      <c r="M939" s="97" t="str">
        <f t="shared" si="97"/>
        <v/>
      </c>
      <c r="N939" s="70"/>
      <c r="O939" s="71" t="str">
        <f t="shared" si="96"/>
        <v/>
      </c>
      <c r="P939" s="66"/>
      <c r="Q939" s="66"/>
      <c r="R939" s="54"/>
      <c r="S939" s="82"/>
      <c r="T939" s="83" t="str">
        <f t="shared" si="98"/>
        <v/>
      </c>
      <c r="U939" s="10"/>
      <c r="V939" s="41">
        <f>IF(AND(Q939&lt;&gt;"",RIGHT(Q939,3)&lt;&gt;""),IF(COUNTIF($Q$6:Q939,Q939)=1,1,0),0)</f>
        <v>0</v>
      </c>
      <c r="W939" s="41" t="str">
        <f t="shared" si="99"/>
        <v/>
      </c>
      <c r="X939" s="41" t="str">
        <f t="shared" si="100"/>
        <v/>
      </c>
    </row>
    <row r="940" s="32" customFormat="1" hidden="1" customHeight="1" spans="1:24">
      <c r="A940" s="34"/>
      <c r="B940" s="51"/>
      <c r="C940" s="51"/>
      <c r="D940" s="52"/>
      <c r="E940" s="53"/>
      <c r="F940" s="54"/>
      <c r="G940" s="54"/>
      <c r="H940" s="54"/>
      <c r="I940" s="66"/>
      <c r="J940" s="54"/>
      <c r="K940" s="54"/>
      <c r="L940" s="54"/>
      <c r="M940" s="97" t="str">
        <f t="shared" si="97"/>
        <v/>
      </c>
      <c r="N940" s="70"/>
      <c r="O940" s="71" t="str">
        <f t="shared" si="96"/>
        <v/>
      </c>
      <c r="P940" s="66"/>
      <c r="Q940" s="66"/>
      <c r="R940" s="54"/>
      <c r="S940" s="82"/>
      <c r="T940" s="83" t="str">
        <f t="shared" si="98"/>
        <v/>
      </c>
      <c r="U940" s="10"/>
      <c r="V940" s="41">
        <f>IF(AND(Q940&lt;&gt;"",RIGHT(Q940,3)&lt;&gt;""),IF(COUNTIF($Q$6:Q940,Q940)=1,1,0),0)</f>
        <v>0</v>
      </c>
      <c r="W940" s="41" t="str">
        <f t="shared" si="99"/>
        <v/>
      </c>
      <c r="X940" s="41" t="str">
        <f t="shared" si="100"/>
        <v/>
      </c>
    </row>
    <row r="941" s="32" customFormat="1" hidden="1" customHeight="1" spans="1:24">
      <c r="A941" s="34"/>
      <c r="B941" s="51"/>
      <c r="C941" s="51"/>
      <c r="D941" s="52"/>
      <c r="E941" s="53"/>
      <c r="F941" s="54"/>
      <c r="G941" s="54"/>
      <c r="H941" s="54"/>
      <c r="I941" s="66"/>
      <c r="J941" s="54"/>
      <c r="K941" s="54"/>
      <c r="L941" s="54"/>
      <c r="M941" s="97" t="str">
        <f t="shared" si="97"/>
        <v/>
      </c>
      <c r="N941" s="70"/>
      <c r="O941" s="71" t="str">
        <f t="shared" si="96"/>
        <v/>
      </c>
      <c r="P941" s="66"/>
      <c r="Q941" s="66"/>
      <c r="R941" s="54"/>
      <c r="S941" s="82"/>
      <c r="T941" s="83" t="str">
        <f t="shared" si="98"/>
        <v/>
      </c>
      <c r="U941" s="10"/>
      <c r="V941" s="41">
        <f>IF(AND(Q941&lt;&gt;"",RIGHT(Q941,3)&lt;&gt;""),IF(COUNTIF($Q$6:Q941,Q941)=1,1,0),0)</f>
        <v>0</v>
      </c>
      <c r="W941" s="41" t="str">
        <f t="shared" si="99"/>
        <v/>
      </c>
      <c r="X941" s="41" t="str">
        <f t="shared" si="100"/>
        <v/>
      </c>
    </row>
    <row r="942" s="32" customFormat="1" hidden="1" customHeight="1" spans="1:24">
      <c r="A942" s="34"/>
      <c r="B942" s="51"/>
      <c r="C942" s="51"/>
      <c r="D942" s="52"/>
      <c r="E942" s="53"/>
      <c r="F942" s="54"/>
      <c r="G942" s="54"/>
      <c r="H942" s="54"/>
      <c r="I942" s="66"/>
      <c r="J942" s="54"/>
      <c r="K942" s="54"/>
      <c r="L942" s="54"/>
      <c r="M942" s="97" t="str">
        <f t="shared" si="97"/>
        <v/>
      </c>
      <c r="N942" s="70"/>
      <c r="O942" s="71" t="str">
        <f t="shared" si="96"/>
        <v/>
      </c>
      <c r="P942" s="66"/>
      <c r="Q942" s="66"/>
      <c r="R942" s="54"/>
      <c r="S942" s="82"/>
      <c r="T942" s="83" t="str">
        <f t="shared" si="98"/>
        <v/>
      </c>
      <c r="U942" s="10"/>
      <c r="V942" s="41">
        <f>IF(AND(Q942&lt;&gt;"",RIGHT(Q942,3)&lt;&gt;""),IF(COUNTIF($Q$6:Q942,Q942)=1,1,0),0)</f>
        <v>0</v>
      </c>
      <c r="W942" s="41" t="str">
        <f t="shared" si="99"/>
        <v/>
      </c>
      <c r="X942" s="41" t="str">
        <f t="shared" si="100"/>
        <v/>
      </c>
    </row>
    <row r="943" s="32" customFormat="1" hidden="1" customHeight="1" spans="1:24">
      <c r="A943" s="34"/>
      <c r="B943" s="51"/>
      <c r="C943" s="51"/>
      <c r="D943" s="52"/>
      <c r="E943" s="53"/>
      <c r="F943" s="54"/>
      <c r="G943" s="54"/>
      <c r="H943" s="54"/>
      <c r="I943" s="66"/>
      <c r="J943" s="54"/>
      <c r="K943" s="54"/>
      <c r="L943" s="54"/>
      <c r="M943" s="97" t="str">
        <f t="shared" si="97"/>
        <v/>
      </c>
      <c r="N943" s="70"/>
      <c r="O943" s="71" t="str">
        <f t="shared" si="96"/>
        <v/>
      </c>
      <c r="P943" s="66"/>
      <c r="Q943" s="66"/>
      <c r="R943" s="54"/>
      <c r="S943" s="82"/>
      <c r="T943" s="83" t="str">
        <f t="shared" si="98"/>
        <v/>
      </c>
      <c r="U943" s="10"/>
      <c r="V943" s="41">
        <f>IF(AND(Q943&lt;&gt;"",RIGHT(Q943,3)&lt;&gt;""),IF(COUNTIF($Q$6:Q943,Q943)=1,1,0),0)</f>
        <v>0</v>
      </c>
      <c r="W943" s="41" t="str">
        <f t="shared" si="99"/>
        <v/>
      </c>
      <c r="X943" s="41" t="str">
        <f t="shared" si="100"/>
        <v/>
      </c>
    </row>
    <row r="944" s="32" customFormat="1" hidden="1" customHeight="1" spans="1:24">
      <c r="A944" s="34"/>
      <c r="B944" s="51"/>
      <c r="C944" s="51"/>
      <c r="D944" s="52"/>
      <c r="E944" s="53"/>
      <c r="F944" s="54"/>
      <c r="G944" s="54"/>
      <c r="H944" s="54"/>
      <c r="I944" s="66"/>
      <c r="J944" s="54"/>
      <c r="K944" s="54"/>
      <c r="L944" s="54"/>
      <c r="M944" s="97" t="str">
        <f t="shared" si="97"/>
        <v/>
      </c>
      <c r="N944" s="70"/>
      <c r="O944" s="71" t="str">
        <f t="shared" si="96"/>
        <v/>
      </c>
      <c r="P944" s="66"/>
      <c r="Q944" s="66"/>
      <c r="R944" s="54"/>
      <c r="S944" s="82"/>
      <c r="T944" s="83" t="str">
        <f t="shared" si="98"/>
        <v/>
      </c>
      <c r="U944" s="10"/>
      <c r="V944" s="41">
        <f>IF(AND(Q944&lt;&gt;"",RIGHT(Q944,3)&lt;&gt;""),IF(COUNTIF($Q$6:Q944,Q944)=1,1,0),0)</f>
        <v>0</v>
      </c>
      <c r="W944" s="41" t="str">
        <f t="shared" si="99"/>
        <v/>
      </c>
      <c r="X944" s="41" t="str">
        <f t="shared" si="100"/>
        <v/>
      </c>
    </row>
    <row r="945" s="32" customFormat="1" hidden="1" customHeight="1" spans="1:24">
      <c r="A945" s="34"/>
      <c r="B945" s="51"/>
      <c r="C945" s="51"/>
      <c r="D945" s="52"/>
      <c r="E945" s="53"/>
      <c r="F945" s="54"/>
      <c r="G945" s="54"/>
      <c r="H945" s="54"/>
      <c r="I945" s="66"/>
      <c r="J945" s="54"/>
      <c r="K945" s="54"/>
      <c r="L945" s="54"/>
      <c r="M945" s="97" t="str">
        <f t="shared" si="97"/>
        <v/>
      </c>
      <c r="N945" s="70"/>
      <c r="O945" s="71" t="str">
        <f t="shared" ref="O945:O1008" si="101">IF(AND(Q945&lt;&gt;"",T945&lt;&gt;""),"PASSIVE",IF(AND(J945&lt;&gt;"",M945&lt;&gt;""),"ACTIVE",""))</f>
        <v/>
      </c>
      <c r="P945" s="66"/>
      <c r="Q945" s="66"/>
      <c r="R945" s="54"/>
      <c r="S945" s="82"/>
      <c r="T945" s="83" t="str">
        <f t="shared" si="98"/>
        <v/>
      </c>
      <c r="U945" s="10"/>
      <c r="V945" s="41">
        <f>IF(AND(Q945&lt;&gt;"",RIGHT(Q945,3)&lt;&gt;""),IF(COUNTIF($Q$6:Q945,Q945)=1,1,0),0)</f>
        <v>0</v>
      </c>
      <c r="W945" s="41" t="str">
        <f t="shared" si="99"/>
        <v/>
      </c>
      <c r="X945" s="41" t="str">
        <f t="shared" si="100"/>
        <v/>
      </c>
    </row>
    <row r="946" s="32" customFormat="1" hidden="1" customHeight="1" spans="1:24">
      <c r="A946" s="34"/>
      <c r="B946" s="51"/>
      <c r="C946" s="51"/>
      <c r="D946" s="52"/>
      <c r="E946" s="53"/>
      <c r="F946" s="54"/>
      <c r="G946" s="54"/>
      <c r="H946" s="54"/>
      <c r="I946" s="66"/>
      <c r="J946" s="54"/>
      <c r="K946" s="54"/>
      <c r="L946" s="54"/>
      <c r="M946" s="97" t="str">
        <f t="shared" si="97"/>
        <v/>
      </c>
      <c r="N946" s="70"/>
      <c r="O946" s="71" t="str">
        <f t="shared" si="101"/>
        <v/>
      </c>
      <c r="P946" s="66"/>
      <c r="Q946" s="66"/>
      <c r="R946" s="54"/>
      <c r="S946" s="82"/>
      <c r="T946" s="83" t="str">
        <f t="shared" si="98"/>
        <v/>
      </c>
      <c r="U946" s="10"/>
      <c r="V946" s="41">
        <f>IF(AND(Q946&lt;&gt;"",RIGHT(Q946,3)&lt;&gt;""),IF(COUNTIF($Q$6:Q946,Q946)=1,1,0),0)</f>
        <v>0</v>
      </c>
      <c r="W946" s="41" t="str">
        <f t="shared" si="99"/>
        <v/>
      </c>
      <c r="X946" s="41" t="str">
        <f t="shared" si="100"/>
        <v/>
      </c>
    </row>
    <row r="947" s="32" customFormat="1" hidden="1" customHeight="1" spans="1:24">
      <c r="A947" s="34"/>
      <c r="B947" s="51"/>
      <c r="C947" s="51"/>
      <c r="D947" s="52"/>
      <c r="E947" s="53"/>
      <c r="F947" s="54"/>
      <c r="G947" s="54"/>
      <c r="H947" s="54"/>
      <c r="I947" s="66"/>
      <c r="J947" s="54"/>
      <c r="K947" s="54"/>
      <c r="L947" s="54"/>
      <c r="M947" s="97" t="str">
        <f t="shared" si="97"/>
        <v/>
      </c>
      <c r="N947" s="70"/>
      <c r="O947" s="71" t="str">
        <f t="shared" si="101"/>
        <v/>
      </c>
      <c r="P947" s="66"/>
      <c r="Q947" s="66"/>
      <c r="R947" s="54"/>
      <c r="S947" s="82"/>
      <c r="T947" s="83" t="str">
        <f t="shared" si="98"/>
        <v/>
      </c>
      <c r="U947" s="10"/>
      <c r="V947" s="41">
        <f>IF(AND(Q947&lt;&gt;"",RIGHT(Q947,3)&lt;&gt;""),IF(COUNTIF($Q$6:Q947,Q947)=1,1,0),0)</f>
        <v>0</v>
      </c>
      <c r="W947" s="41" t="str">
        <f t="shared" si="99"/>
        <v/>
      </c>
      <c r="X947" s="41" t="str">
        <f t="shared" si="100"/>
        <v/>
      </c>
    </row>
    <row r="948" s="32" customFormat="1" hidden="1" customHeight="1" spans="1:24">
      <c r="A948" s="34"/>
      <c r="B948" s="51"/>
      <c r="C948" s="51"/>
      <c r="D948" s="52"/>
      <c r="E948" s="53"/>
      <c r="F948" s="54"/>
      <c r="G948" s="54"/>
      <c r="H948" s="54"/>
      <c r="I948" s="66"/>
      <c r="J948" s="54"/>
      <c r="K948" s="54"/>
      <c r="L948" s="54"/>
      <c r="M948" s="97" t="str">
        <f t="shared" si="97"/>
        <v/>
      </c>
      <c r="N948" s="70"/>
      <c r="O948" s="71" t="str">
        <f t="shared" si="101"/>
        <v/>
      </c>
      <c r="P948" s="66"/>
      <c r="Q948" s="66"/>
      <c r="R948" s="54"/>
      <c r="S948" s="82"/>
      <c r="T948" s="83" t="str">
        <f t="shared" si="98"/>
        <v/>
      </c>
      <c r="U948" s="10"/>
      <c r="V948" s="41">
        <f>IF(AND(Q948&lt;&gt;"",RIGHT(Q948,3)&lt;&gt;""),IF(COUNTIF($Q$6:Q948,Q948)=1,1,0),0)</f>
        <v>0</v>
      </c>
      <c r="W948" s="41" t="str">
        <f t="shared" si="99"/>
        <v/>
      </c>
      <c r="X948" s="41" t="str">
        <f t="shared" si="100"/>
        <v/>
      </c>
    </row>
    <row r="949" s="32" customFormat="1" hidden="1" customHeight="1" spans="1:24">
      <c r="A949" s="34"/>
      <c r="B949" s="51"/>
      <c r="C949" s="51"/>
      <c r="D949" s="52"/>
      <c r="E949" s="53"/>
      <c r="F949" s="54"/>
      <c r="G949" s="54"/>
      <c r="H949" s="54"/>
      <c r="I949" s="66"/>
      <c r="J949" s="54"/>
      <c r="K949" s="54"/>
      <c r="L949" s="54"/>
      <c r="M949" s="97" t="str">
        <f t="shared" si="97"/>
        <v/>
      </c>
      <c r="N949" s="70"/>
      <c r="O949" s="71" t="str">
        <f t="shared" si="101"/>
        <v/>
      </c>
      <c r="P949" s="66"/>
      <c r="Q949" s="66"/>
      <c r="R949" s="54"/>
      <c r="S949" s="82"/>
      <c r="T949" s="83" t="str">
        <f t="shared" si="98"/>
        <v/>
      </c>
      <c r="U949" s="10"/>
      <c r="V949" s="41">
        <f>IF(AND(Q949&lt;&gt;"",RIGHT(Q949,3)&lt;&gt;""),IF(COUNTIF($Q$6:Q949,Q949)=1,1,0),0)</f>
        <v>0</v>
      </c>
      <c r="W949" s="41" t="str">
        <f t="shared" si="99"/>
        <v/>
      </c>
      <c r="X949" s="41" t="str">
        <f t="shared" si="100"/>
        <v/>
      </c>
    </row>
    <row r="950" s="32" customFormat="1" hidden="1" customHeight="1" spans="1:24">
      <c r="A950" s="34"/>
      <c r="B950" s="51"/>
      <c r="C950" s="51"/>
      <c r="D950" s="52"/>
      <c r="E950" s="53"/>
      <c r="F950" s="54"/>
      <c r="G950" s="54"/>
      <c r="H950" s="54"/>
      <c r="I950" s="66"/>
      <c r="J950" s="54"/>
      <c r="K950" s="54"/>
      <c r="L950" s="54"/>
      <c r="M950" s="97" t="str">
        <f t="shared" si="97"/>
        <v/>
      </c>
      <c r="N950" s="70"/>
      <c r="O950" s="71" t="str">
        <f t="shared" si="101"/>
        <v/>
      </c>
      <c r="P950" s="66"/>
      <c r="Q950" s="66"/>
      <c r="R950" s="54"/>
      <c r="S950" s="82"/>
      <c r="T950" s="83" t="str">
        <f t="shared" si="98"/>
        <v/>
      </c>
      <c r="U950" s="10"/>
      <c r="V950" s="41">
        <f>IF(AND(Q950&lt;&gt;"",RIGHT(Q950,3)&lt;&gt;""),IF(COUNTIF($Q$6:Q950,Q950)=1,1,0),0)</f>
        <v>0</v>
      </c>
      <c r="W950" s="41" t="str">
        <f t="shared" si="99"/>
        <v/>
      </c>
      <c r="X950" s="41" t="str">
        <f t="shared" si="100"/>
        <v/>
      </c>
    </row>
    <row r="951" s="32" customFormat="1" hidden="1" customHeight="1" spans="1:24">
      <c r="A951" s="34"/>
      <c r="B951" s="51"/>
      <c r="C951" s="51"/>
      <c r="D951" s="52"/>
      <c r="E951" s="53"/>
      <c r="F951" s="54"/>
      <c r="G951" s="54"/>
      <c r="H951" s="54"/>
      <c r="I951" s="66"/>
      <c r="J951" s="54"/>
      <c r="K951" s="54"/>
      <c r="L951" s="54"/>
      <c r="M951" s="97" t="str">
        <f t="shared" si="97"/>
        <v/>
      </c>
      <c r="N951" s="70"/>
      <c r="O951" s="71" t="str">
        <f t="shared" si="101"/>
        <v/>
      </c>
      <c r="P951" s="66"/>
      <c r="Q951" s="66"/>
      <c r="R951" s="54"/>
      <c r="S951" s="82"/>
      <c r="T951" s="83" t="str">
        <f t="shared" si="98"/>
        <v/>
      </c>
      <c r="U951" s="10"/>
      <c r="V951" s="41">
        <f>IF(AND(Q951&lt;&gt;"",RIGHT(Q951,3)&lt;&gt;""),IF(COUNTIF($Q$6:Q951,Q951)=1,1,0),0)</f>
        <v>0</v>
      </c>
      <c r="W951" s="41" t="str">
        <f t="shared" si="99"/>
        <v/>
      </c>
      <c r="X951" s="41" t="str">
        <f t="shared" si="100"/>
        <v/>
      </c>
    </row>
    <row r="952" s="32" customFormat="1" hidden="1" customHeight="1" spans="1:24">
      <c r="A952" s="34"/>
      <c r="B952" s="51"/>
      <c r="C952" s="51"/>
      <c r="D952" s="52"/>
      <c r="E952" s="53"/>
      <c r="F952" s="54"/>
      <c r="G952" s="54"/>
      <c r="H952" s="54"/>
      <c r="I952" s="66"/>
      <c r="J952" s="54"/>
      <c r="K952" s="54"/>
      <c r="L952" s="54"/>
      <c r="M952" s="97" t="str">
        <f t="shared" si="97"/>
        <v/>
      </c>
      <c r="N952" s="70"/>
      <c r="O952" s="71" t="str">
        <f t="shared" si="101"/>
        <v/>
      </c>
      <c r="P952" s="66"/>
      <c r="Q952" s="66"/>
      <c r="R952" s="54"/>
      <c r="S952" s="82"/>
      <c r="T952" s="83" t="str">
        <f t="shared" si="98"/>
        <v/>
      </c>
      <c r="U952" s="10"/>
      <c r="V952" s="41">
        <f>IF(AND(Q952&lt;&gt;"",RIGHT(Q952,3)&lt;&gt;""),IF(COUNTIF($Q$6:Q952,Q952)=1,1,0),0)</f>
        <v>0</v>
      </c>
      <c r="W952" s="41" t="str">
        <f t="shared" si="99"/>
        <v/>
      </c>
      <c r="X952" s="41" t="str">
        <f t="shared" si="100"/>
        <v/>
      </c>
    </row>
    <row r="953" s="32" customFormat="1" hidden="1" customHeight="1" spans="1:24">
      <c r="A953" s="34"/>
      <c r="B953" s="51"/>
      <c r="C953" s="51"/>
      <c r="D953" s="52"/>
      <c r="E953" s="53"/>
      <c r="F953" s="54"/>
      <c r="G953" s="54"/>
      <c r="H953" s="54"/>
      <c r="I953" s="66"/>
      <c r="J953" s="54"/>
      <c r="K953" s="54"/>
      <c r="L953" s="54"/>
      <c r="M953" s="97" t="str">
        <f t="shared" si="97"/>
        <v/>
      </c>
      <c r="N953" s="70"/>
      <c r="O953" s="71" t="str">
        <f t="shared" si="101"/>
        <v/>
      </c>
      <c r="P953" s="66"/>
      <c r="Q953" s="66"/>
      <c r="R953" s="54"/>
      <c r="S953" s="82"/>
      <c r="T953" s="83" t="str">
        <f t="shared" si="98"/>
        <v/>
      </c>
      <c r="U953" s="10"/>
      <c r="V953" s="41">
        <f>IF(AND(Q953&lt;&gt;"",RIGHT(Q953,3)&lt;&gt;""),IF(COUNTIF($Q$6:Q953,Q953)=1,1,0),0)</f>
        <v>0</v>
      </c>
      <c r="W953" s="41" t="str">
        <f t="shared" si="99"/>
        <v/>
      </c>
      <c r="X953" s="41" t="str">
        <f t="shared" si="100"/>
        <v/>
      </c>
    </row>
    <row r="954" s="32" customFormat="1" hidden="1" customHeight="1" spans="1:24">
      <c r="A954" s="34"/>
      <c r="B954" s="51"/>
      <c r="C954" s="51"/>
      <c r="D954" s="52"/>
      <c r="E954" s="53"/>
      <c r="F954" s="54"/>
      <c r="G954" s="54"/>
      <c r="H954" s="54"/>
      <c r="I954" s="66"/>
      <c r="J954" s="54"/>
      <c r="K954" s="54"/>
      <c r="L954" s="54"/>
      <c r="M954" s="97" t="str">
        <f t="shared" si="97"/>
        <v/>
      </c>
      <c r="N954" s="70"/>
      <c r="O954" s="71" t="str">
        <f t="shared" si="101"/>
        <v/>
      </c>
      <c r="P954" s="66"/>
      <c r="Q954" s="66"/>
      <c r="R954" s="54"/>
      <c r="S954" s="82"/>
      <c r="T954" s="83" t="str">
        <f t="shared" si="98"/>
        <v/>
      </c>
      <c r="U954" s="10"/>
      <c r="V954" s="41">
        <f>IF(AND(Q954&lt;&gt;"",RIGHT(Q954,3)&lt;&gt;""),IF(COUNTIF($Q$6:Q954,Q954)=1,1,0),0)</f>
        <v>0</v>
      </c>
      <c r="W954" s="41" t="str">
        <f t="shared" si="99"/>
        <v/>
      </c>
      <c r="X954" s="41" t="str">
        <f t="shared" si="100"/>
        <v/>
      </c>
    </row>
    <row r="955" s="32" customFormat="1" hidden="1" customHeight="1" spans="1:24">
      <c r="A955" s="34"/>
      <c r="B955" s="51"/>
      <c r="C955" s="51"/>
      <c r="D955" s="52"/>
      <c r="E955" s="53"/>
      <c r="F955" s="54"/>
      <c r="G955" s="54"/>
      <c r="H955" s="54"/>
      <c r="I955" s="66"/>
      <c r="J955" s="54"/>
      <c r="K955" s="54"/>
      <c r="L955" s="54"/>
      <c r="M955" s="97" t="str">
        <f t="shared" si="97"/>
        <v/>
      </c>
      <c r="N955" s="70"/>
      <c r="O955" s="71" t="str">
        <f t="shared" si="101"/>
        <v/>
      </c>
      <c r="P955" s="66"/>
      <c r="Q955" s="66"/>
      <c r="R955" s="54"/>
      <c r="S955" s="82"/>
      <c r="T955" s="83" t="str">
        <f t="shared" si="98"/>
        <v/>
      </c>
      <c r="U955" s="10"/>
      <c r="V955" s="41">
        <f>IF(AND(Q955&lt;&gt;"",RIGHT(Q955,3)&lt;&gt;""),IF(COUNTIF($Q$6:Q955,Q955)=1,1,0),0)</f>
        <v>0</v>
      </c>
      <c r="W955" s="41" t="str">
        <f t="shared" si="99"/>
        <v/>
      </c>
      <c r="X955" s="41" t="str">
        <f t="shared" si="100"/>
        <v/>
      </c>
    </row>
    <row r="956" s="32" customFormat="1" hidden="1" customHeight="1" spans="1:24">
      <c r="A956" s="34"/>
      <c r="B956" s="51"/>
      <c r="C956" s="51"/>
      <c r="D956" s="52"/>
      <c r="E956" s="53"/>
      <c r="F956" s="54"/>
      <c r="G956" s="54"/>
      <c r="H956" s="54"/>
      <c r="I956" s="66"/>
      <c r="J956" s="54"/>
      <c r="K956" s="54"/>
      <c r="L956" s="54"/>
      <c r="M956" s="97" t="str">
        <f t="shared" si="97"/>
        <v/>
      </c>
      <c r="N956" s="70"/>
      <c r="O956" s="71" t="str">
        <f t="shared" si="101"/>
        <v/>
      </c>
      <c r="P956" s="66"/>
      <c r="Q956" s="66"/>
      <c r="R956" s="54"/>
      <c r="S956" s="82"/>
      <c r="T956" s="83" t="str">
        <f t="shared" si="98"/>
        <v/>
      </c>
      <c r="U956" s="10"/>
      <c r="V956" s="41">
        <f>IF(AND(Q956&lt;&gt;"",RIGHT(Q956,3)&lt;&gt;""),IF(COUNTIF($Q$6:Q956,Q956)=1,1,0),0)</f>
        <v>0</v>
      </c>
      <c r="W956" s="41" t="str">
        <f t="shared" si="99"/>
        <v/>
      </c>
      <c r="X956" s="41" t="str">
        <f t="shared" si="100"/>
        <v/>
      </c>
    </row>
    <row r="957" s="32" customFormat="1" hidden="1" customHeight="1" spans="1:24">
      <c r="A957" s="34"/>
      <c r="B957" s="51"/>
      <c r="C957" s="51"/>
      <c r="D957" s="52"/>
      <c r="E957" s="53"/>
      <c r="F957" s="54"/>
      <c r="G957" s="54"/>
      <c r="H957" s="54"/>
      <c r="I957" s="66"/>
      <c r="J957" s="54"/>
      <c r="K957" s="54"/>
      <c r="L957" s="54"/>
      <c r="M957" s="97" t="str">
        <f t="shared" si="97"/>
        <v/>
      </c>
      <c r="N957" s="70"/>
      <c r="O957" s="71" t="str">
        <f t="shared" si="101"/>
        <v/>
      </c>
      <c r="P957" s="66"/>
      <c r="Q957" s="66"/>
      <c r="R957" s="54"/>
      <c r="S957" s="82"/>
      <c r="T957" s="83" t="str">
        <f t="shared" si="98"/>
        <v/>
      </c>
      <c r="U957" s="10"/>
      <c r="V957" s="41">
        <f>IF(AND(Q957&lt;&gt;"",RIGHT(Q957,3)&lt;&gt;""),IF(COUNTIF($Q$6:Q957,Q957)=1,1,0),0)</f>
        <v>0</v>
      </c>
      <c r="W957" s="41" t="str">
        <f t="shared" si="99"/>
        <v/>
      </c>
      <c r="X957" s="41" t="str">
        <f t="shared" si="100"/>
        <v/>
      </c>
    </row>
    <row r="958" s="32" customFormat="1" hidden="1" customHeight="1" spans="1:24">
      <c r="A958" s="34"/>
      <c r="B958" s="51"/>
      <c r="C958" s="51"/>
      <c r="D958" s="52"/>
      <c r="E958" s="53"/>
      <c r="F958" s="54"/>
      <c r="G958" s="54"/>
      <c r="H958" s="54"/>
      <c r="I958" s="66"/>
      <c r="J958" s="54"/>
      <c r="K958" s="54"/>
      <c r="L958" s="54"/>
      <c r="M958" s="97" t="str">
        <f t="shared" si="97"/>
        <v/>
      </c>
      <c r="N958" s="70"/>
      <c r="O958" s="71" t="str">
        <f t="shared" si="101"/>
        <v/>
      </c>
      <c r="P958" s="66"/>
      <c r="Q958" s="66"/>
      <c r="R958" s="54"/>
      <c r="S958" s="82"/>
      <c r="T958" s="83" t="str">
        <f t="shared" si="98"/>
        <v/>
      </c>
      <c r="U958" s="10"/>
      <c r="V958" s="41">
        <f>IF(AND(Q958&lt;&gt;"",RIGHT(Q958,3)&lt;&gt;""),IF(COUNTIF($Q$6:Q958,Q958)=1,1,0),0)</f>
        <v>0</v>
      </c>
      <c r="W958" s="41" t="str">
        <f t="shared" si="99"/>
        <v/>
      </c>
      <c r="X958" s="41" t="str">
        <f t="shared" si="100"/>
        <v/>
      </c>
    </row>
    <row r="959" s="32" customFormat="1" hidden="1" customHeight="1" spans="1:24">
      <c r="A959" s="34"/>
      <c r="B959" s="51"/>
      <c r="C959" s="51"/>
      <c r="D959" s="52"/>
      <c r="E959" s="53"/>
      <c r="F959" s="54"/>
      <c r="G959" s="54"/>
      <c r="H959" s="54"/>
      <c r="I959" s="66"/>
      <c r="J959" s="54"/>
      <c r="K959" s="54"/>
      <c r="L959" s="54"/>
      <c r="M959" s="97" t="str">
        <f t="shared" si="97"/>
        <v/>
      </c>
      <c r="N959" s="70"/>
      <c r="O959" s="71" t="str">
        <f t="shared" si="101"/>
        <v/>
      </c>
      <c r="P959" s="66"/>
      <c r="Q959" s="66"/>
      <c r="R959" s="54"/>
      <c r="S959" s="82"/>
      <c r="T959" s="83" t="str">
        <f t="shared" si="98"/>
        <v/>
      </c>
      <c r="U959" s="10"/>
      <c r="V959" s="41">
        <f>IF(AND(Q959&lt;&gt;"",RIGHT(Q959,3)&lt;&gt;""),IF(COUNTIF($Q$6:Q959,Q959)=1,1,0),0)</f>
        <v>0</v>
      </c>
      <c r="W959" s="41" t="str">
        <f t="shared" si="99"/>
        <v/>
      </c>
      <c r="X959" s="41" t="str">
        <f t="shared" si="100"/>
        <v/>
      </c>
    </row>
    <row r="960" s="32" customFormat="1" hidden="1" customHeight="1" spans="1:24">
      <c r="A960" s="34"/>
      <c r="B960" s="51"/>
      <c r="C960" s="51"/>
      <c r="D960" s="52"/>
      <c r="E960" s="53"/>
      <c r="F960" s="54"/>
      <c r="G960" s="54"/>
      <c r="H960" s="54"/>
      <c r="I960" s="66"/>
      <c r="J960" s="54"/>
      <c r="K960" s="54"/>
      <c r="L960" s="54"/>
      <c r="M960" s="97" t="str">
        <f t="shared" si="97"/>
        <v/>
      </c>
      <c r="N960" s="70"/>
      <c r="O960" s="71" t="str">
        <f t="shared" si="101"/>
        <v/>
      </c>
      <c r="P960" s="66"/>
      <c r="Q960" s="66"/>
      <c r="R960" s="54"/>
      <c r="S960" s="82"/>
      <c r="T960" s="83" t="str">
        <f t="shared" si="98"/>
        <v/>
      </c>
      <c r="U960" s="10"/>
      <c r="V960" s="41">
        <f>IF(AND(Q960&lt;&gt;"",RIGHT(Q960,3)&lt;&gt;""),IF(COUNTIF($Q$6:Q960,Q960)=1,1,0),0)</f>
        <v>0</v>
      </c>
      <c r="W960" s="41" t="str">
        <f t="shared" si="99"/>
        <v/>
      </c>
      <c r="X960" s="41" t="str">
        <f t="shared" si="100"/>
        <v/>
      </c>
    </row>
    <row r="961" s="32" customFormat="1" hidden="1" customHeight="1" spans="1:24">
      <c r="A961" s="34"/>
      <c r="B961" s="51"/>
      <c r="C961" s="51"/>
      <c r="D961" s="52"/>
      <c r="E961" s="53"/>
      <c r="F961" s="54"/>
      <c r="G961" s="54"/>
      <c r="H961" s="54"/>
      <c r="I961" s="66"/>
      <c r="J961" s="54"/>
      <c r="K961" s="54"/>
      <c r="L961" s="54"/>
      <c r="M961" s="97" t="str">
        <f t="shared" si="97"/>
        <v/>
      </c>
      <c r="N961" s="70"/>
      <c r="O961" s="71" t="str">
        <f t="shared" si="101"/>
        <v/>
      </c>
      <c r="P961" s="66"/>
      <c r="Q961" s="66"/>
      <c r="R961" s="54"/>
      <c r="S961" s="82"/>
      <c r="T961" s="83" t="str">
        <f t="shared" si="98"/>
        <v/>
      </c>
      <c r="U961" s="10"/>
      <c r="V961" s="41">
        <f>IF(AND(Q961&lt;&gt;"",RIGHT(Q961,3)&lt;&gt;""),IF(COUNTIF($Q$6:Q961,Q961)=1,1,0),0)</f>
        <v>0</v>
      </c>
      <c r="W961" s="41" t="str">
        <f t="shared" si="99"/>
        <v/>
      </c>
      <c r="X961" s="41" t="str">
        <f t="shared" si="100"/>
        <v/>
      </c>
    </row>
    <row r="962" s="32" customFormat="1" hidden="1" customHeight="1" spans="1:24">
      <c r="A962" s="34"/>
      <c r="B962" s="51"/>
      <c r="C962" s="51"/>
      <c r="D962" s="52"/>
      <c r="E962" s="53"/>
      <c r="F962" s="54"/>
      <c r="G962" s="54"/>
      <c r="H962" s="54"/>
      <c r="I962" s="66"/>
      <c r="J962" s="54"/>
      <c r="K962" s="54"/>
      <c r="L962" s="54"/>
      <c r="M962" s="97" t="str">
        <f t="shared" si="97"/>
        <v/>
      </c>
      <c r="N962" s="70"/>
      <c r="O962" s="71" t="str">
        <f t="shared" si="101"/>
        <v/>
      </c>
      <c r="P962" s="66"/>
      <c r="Q962" s="66"/>
      <c r="R962" s="54"/>
      <c r="S962" s="82"/>
      <c r="T962" s="83" t="str">
        <f t="shared" si="98"/>
        <v/>
      </c>
      <c r="U962" s="10"/>
      <c r="V962" s="41">
        <f>IF(AND(Q962&lt;&gt;"",RIGHT(Q962,3)&lt;&gt;""),IF(COUNTIF($Q$6:Q962,Q962)=1,1,0),0)</f>
        <v>0</v>
      </c>
      <c r="W962" s="41" t="str">
        <f t="shared" si="99"/>
        <v/>
      </c>
      <c r="X962" s="41" t="str">
        <f t="shared" si="100"/>
        <v/>
      </c>
    </row>
    <row r="963" s="32" customFormat="1" hidden="1" customHeight="1" spans="1:24">
      <c r="A963" s="34"/>
      <c r="B963" s="51"/>
      <c r="C963" s="51"/>
      <c r="D963" s="52"/>
      <c r="E963" s="53"/>
      <c r="F963" s="54"/>
      <c r="G963" s="54"/>
      <c r="H963" s="54"/>
      <c r="I963" s="66"/>
      <c r="J963" s="54"/>
      <c r="K963" s="54"/>
      <c r="L963" s="54"/>
      <c r="M963" s="97" t="str">
        <f t="shared" si="97"/>
        <v/>
      </c>
      <c r="N963" s="70"/>
      <c r="O963" s="71" t="str">
        <f t="shared" si="101"/>
        <v/>
      </c>
      <c r="P963" s="66"/>
      <c r="Q963" s="66"/>
      <c r="R963" s="54"/>
      <c r="S963" s="82"/>
      <c r="T963" s="83" t="str">
        <f t="shared" si="98"/>
        <v/>
      </c>
      <c r="U963" s="10"/>
      <c r="V963" s="41">
        <f>IF(AND(Q963&lt;&gt;"",RIGHT(Q963,3)&lt;&gt;""),IF(COUNTIF($Q$6:Q963,Q963)=1,1,0),0)</f>
        <v>0</v>
      </c>
      <c r="W963" s="41" t="str">
        <f t="shared" si="99"/>
        <v/>
      </c>
      <c r="X963" s="41" t="str">
        <f t="shared" si="100"/>
        <v/>
      </c>
    </row>
    <row r="964" s="32" customFormat="1" hidden="1" customHeight="1" spans="1:24">
      <c r="A964" s="34"/>
      <c r="B964" s="51"/>
      <c r="C964" s="51"/>
      <c r="D964" s="52"/>
      <c r="E964" s="53"/>
      <c r="F964" s="54"/>
      <c r="G964" s="54"/>
      <c r="H964" s="54"/>
      <c r="I964" s="66"/>
      <c r="J964" s="54"/>
      <c r="K964" s="54"/>
      <c r="L964" s="54"/>
      <c r="M964" s="97" t="str">
        <f t="shared" si="97"/>
        <v/>
      </c>
      <c r="N964" s="70"/>
      <c r="O964" s="71" t="str">
        <f t="shared" si="101"/>
        <v/>
      </c>
      <c r="P964" s="66"/>
      <c r="Q964" s="66"/>
      <c r="R964" s="54"/>
      <c r="S964" s="82"/>
      <c r="T964" s="83" t="str">
        <f t="shared" si="98"/>
        <v/>
      </c>
      <c r="U964" s="10"/>
      <c r="V964" s="41">
        <f>IF(AND(Q964&lt;&gt;"",RIGHT(Q964,3)&lt;&gt;""),IF(COUNTIF($Q$6:Q964,Q964)=1,1,0),0)</f>
        <v>0</v>
      </c>
      <c r="W964" s="41" t="str">
        <f t="shared" si="99"/>
        <v/>
      </c>
      <c r="X964" s="41" t="str">
        <f t="shared" si="100"/>
        <v/>
      </c>
    </row>
    <row r="965" s="32" customFormat="1" hidden="1" customHeight="1" spans="1:24">
      <c r="A965" s="34"/>
      <c r="B965" s="51"/>
      <c r="C965" s="51"/>
      <c r="D965" s="52"/>
      <c r="E965" s="53"/>
      <c r="F965" s="54"/>
      <c r="G965" s="54"/>
      <c r="H965" s="54"/>
      <c r="I965" s="66"/>
      <c r="J965" s="54"/>
      <c r="K965" s="54"/>
      <c r="L965" s="54"/>
      <c r="M965" s="97" t="str">
        <f t="shared" si="97"/>
        <v/>
      </c>
      <c r="N965" s="70"/>
      <c r="O965" s="71" t="str">
        <f t="shared" si="101"/>
        <v/>
      </c>
      <c r="P965" s="66"/>
      <c r="Q965" s="66"/>
      <c r="R965" s="54"/>
      <c r="S965" s="82"/>
      <c r="T965" s="83" t="str">
        <f t="shared" si="98"/>
        <v/>
      </c>
      <c r="U965" s="10"/>
      <c r="V965" s="41">
        <f>IF(AND(Q965&lt;&gt;"",RIGHT(Q965,3)&lt;&gt;""),IF(COUNTIF($Q$6:Q965,Q965)=1,1,0),0)</f>
        <v>0</v>
      </c>
      <c r="W965" s="41" t="str">
        <f t="shared" si="99"/>
        <v/>
      </c>
      <c r="X965" s="41" t="str">
        <f t="shared" si="100"/>
        <v/>
      </c>
    </row>
    <row r="966" s="32" customFormat="1" hidden="1" customHeight="1" spans="1:24">
      <c r="A966" s="34"/>
      <c r="B966" s="51"/>
      <c r="C966" s="51"/>
      <c r="D966" s="52"/>
      <c r="E966" s="53"/>
      <c r="F966" s="54"/>
      <c r="G966" s="54"/>
      <c r="H966" s="54"/>
      <c r="I966" s="66"/>
      <c r="J966" s="54"/>
      <c r="K966" s="54"/>
      <c r="L966" s="54"/>
      <c r="M966" s="97" t="str">
        <f t="shared" si="97"/>
        <v/>
      </c>
      <c r="N966" s="70"/>
      <c r="O966" s="71" t="str">
        <f t="shared" si="101"/>
        <v/>
      </c>
      <c r="P966" s="66"/>
      <c r="Q966" s="66"/>
      <c r="R966" s="54"/>
      <c r="S966" s="82"/>
      <c r="T966" s="83" t="str">
        <f t="shared" si="98"/>
        <v/>
      </c>
      <c r="U966" s="10"/>
      <c r="V966" s="41">
        <f>IF(AND(Q966&lt;&gt;"",RIGHT(Q966,3)&lt;&gt;""),IF(COUNTIF($Q$6:Q966,Q966)=1,1,0),0)</f>
        <v>0</v>
      </c>
      <c r="W966" s="41" t="str">
        <f t="shared" si="99"/>
        <v/>
      </c>
      <c r="X966" s="41" t="str">
        <f t="shared" si="100"/>
        <v/>
      </c>
    </row>
    <row r="967" s="32" customFormat="1" hidden="1" customHeight="1" spans="1:24">
      <c r="A967" s="34"/>
      <c r="B967" s="51"/>
      <c r="C967" s="51"/>
      <c r="D967" s="52"/>
      <c r="E967" s="53"/>
      <c r="F967" s="54"/>
      <c r="G967" s="54"/>
      <c r="H967" s="54"/>
      <c r="I967" s="66"/>
      <c r="J967" s="54"/>
      <c r="K967" s="54"/>
      <c r="L967" s="54"/>
      <c r="M967" s="97" t="str">
        <f t="shared" si="97"/>
        <v/>
      </c>
      <c r="N967" s="70"/>
      <c r="O967" s="71" t="str">
        <f t="shared" si="101"/>
        <v/>
      </c>
      <c r="P967" s="66"/>
      <c r="Q967" s="66"/>
      <c r="R967" s="54"/>
      <c r="S967" s="82"/>
      <c r="T967" s="83" t="str">
        <f t="shared" si="98"/>
        <v/>
      </c>
      <c r="U967" s="10"/>
      <c r="V967" s="41">
        <f>IF(AND(Q967&lt;&gt;"",RIGHT(Q967,3)&lt;&gt;""),IF(COUNTIF($Q$6:Q967,Q967)=1,1,0),0)</f>
        <v>0</v>
      </c>
      <c r="W967" s="41" t="str">
        <f t="shared" si="99"/>
        <v/>
      </c>
      <c r="X967" s="41" t="str">
        <f t="shared" si="100"/>
        <v/>
      </c>
    </row>
    <row r="968" s="32" customFormat="1" hidden="1" customHeight="1" spans="1:24">
      <c r="A968" s="34"/>
      <c r="B968" s="51"/>
      <c r="C968" s="51"/>
      <c r="D968" s="52"/>
      <c r="E968" s="53"/>
      <c r="F968" s="54"/>
      <c r="G968" s="54"/>
      <c r="H968" s="54"/>
      <c r="I968" s="66"/>
      <c r="J968" s="54"/>
      <c r="K968" s="54"/>
      <c r="L968" s="54"/>
      <c r="M968" s="97" t="str">
        <f t="shared" si="97"/>
        <v/>
      </c>
      <c r="N968" s="70"/>
      <c r="O968" s="71" t="str">
        <f t="shared" si="101"/>
        <v/>
      </c>
      <c r="P968" s="66"/>
      <c r="Q968" s="66"/>
      <c r="R968" s="54"/>
      <c r="S968" s="82"/>
      <c r="T968" s="83" t="str">
        <f t="shared" si="98"/>
        <v/>
      </c>
      <c r="U968" s="10"/>
      <c r="V968" s="41">
        <f>IF(AND(Q968&lt;&gt;"",RIGHT(Q968,3)&lt;&gt;""),IF(COUNTIF($Q$6:Q968,Q968)=1,1,0),0)</f>
        <v>0</v>
      </c>
      <c r="W968" s="41" t="str">
        <f t="shared" si="99"/>
        <v/>
      </c>
      <c r="X968" s="41" t="str">
        <f t="shared" si="100"/>
        <v/>
      </c>
    </row>
    <row r="969" s="32" customFormat="1" hidden="1" customHeight="1" spans="1:24">
      <c r="A969" s="34"/>
      <c r="B969" s="51"/>
      <c r="C969" s="51"/>
      <c r="D969" s="52"/>
      <c r="E969" s="53"/>
      <c r="F969" s="54"/>
      <c r="G969" s="54"/>
      <c r="H969" s="54"/>
      <c r="I969" s="66"/>
      <c r="J969" s="54"/>
      <c r="K969" s="54"/>
      <c r="L969" s="54"/>
      <c r="M969" s="97" t="str">
        <f t="shared" si="97"/>
        <v/>
      </c>
      <c r="N969" s="70"/>
      <c r="O969" s="71" t="str">
        <f t="shared" si="101"/>
        <v/>
      </c>
      <c r="P969" s="66"/>
      <c r="Q969" s="66"/>
      <c r="R969" s="54"/>
      <c r="S969" s="82"/>
      <c r="T969" s="83" t="str">
        <f t="shared" si="98"/>
        <v/>
      </c>
      <c r="U969" s="10"/>
      <c r="V969" s="41">
        <f>IF(AND(Q969&lt;&gt;"",RIGHT(Q969,3)&lt;&gt;""),IF(COUNTIF($Q$6:Q969,Q969)=1,1,0),0)</f>
        <v>0</v>
      </c>
      <c r="W969" s="41" t="str">
        <f t="shared" si="99"/>
        <v/>
      </c>
      <c r="X969" s="41" t="str">
        <f t="shared" si="100"/>
        <v/>
      </c>
    </row>
    <row r="970" s="32" customFormat="1" hidden="1" customHeight="1" spans="1:24">
      <c r="A970" s="34"/>
      <c r="B970" s="51"/>
      <c r="C970" s="51"/>
      <c r="D970" s="52"/>
      <c r="E970" s="53"/>
      <c r="F970" s="54"/>
      <c r="G970" s="54"/>
      <c r="H970" s="54"/>
      <c r="I970" s="66"/>
      <c r="J970" s="54"/>
      <c r="K970" s="54"/>
      <c r="L970" s="54"/>
      <c r="M970" s="97" t="str">
        <f t="shared" si="97"/>
        <v/>
      </c>
      <c r="N970" s="70"/>
      <c r="O970" s="71" t="str">
        <f t="shared" si="101"/>
        <v/>
      </c>
      <c r="P970" s="66"/>
      <c r="Q970" s="66"/>
      <c r="R970" s="54"/>
      <c r="S970" s="82"/>
      <c r="T970" s="83" t="str">
        <f t="shared" si="98"/>
        <v/>
      </c>
      <c r="U970" s="10"/>
      <c r="V970" s="41">
        <f>IF(AND(Q970&lt;&gt;"",RIGHT(Q970,3)&lt;&gt;""),IF(COUNTIF($Q$6:Q970,Q970)=1,1,0),0)</f>
        <v>0</v>
      </c>
      <c r="W970" s="41" t="str">
        <f t="shared" si="99"/>
        <v/>
      </c>
      <c r="X970" s="41" t="str">
        <f t="shared" si="100"/>
        <v/>
      </c>
    </row>
    <row r="971" s="32" customFormat="1" hidden="1" customHeight="1" spans="1:24">
      <c r="A971" s="34"/>
      <c r="B971" s="51"/>
      <c r="C971" s="51"/>
      <c r="D971" s="52"/>
      <c r="E971" s="53"/>
      <c r="F971" s="54"/>
      <c r="G971" s="54"/>
      <c r="H971" s="54"/>
      <c r="I971" s="66"/>
      <c r="J971" s="54"/>
      <c r="K971" s="54"/>
      <c r="L971" s="54"/>
      <c r="M971" s="97" t="str">
        <f t="shared" si="97"/>
        <v/>
      </c>
      <c r="N971" s="70"/>
      <c r="O971" s="71" t="str">
        <f t="shared" si="101"/>
        <v/>
      </c>
      <c r="P971" s="66"/>
      <c r="Q971" s="66"/>
      <c r="R971" s="54"/>
      <c r="S971" s="82"/>
      <c r="T971" s="83" t="str">
        <f t="shared" si="98"/>
        <v/>
      </c>
      <c r="U971" s="10"/>
      <c r="V971" s="41">
        <f>IF(AND(Q971&lt;&gt;"",RIGHT(Q971,3)&lt;&gt;""),IF(COUNTIF($Q$6:Q971,Q971)=1,1,0),0)</f>
        <v>0</v>
      </c>
      <c r="W971" s="41" t="str">
        <f t="shared" si="99"/>
        <v/>
      </c>
      <c r="X971" s="41" t="str">
        <f t="shared" si="100"/>
        <v/>
      </c>
    </row>
    <row r="972" s="32" customFormat="1" hidden="1" customHeight="1" spans="1:24">
      <c r="A972" s="34"/>
      <c r="B972" s="51"/>
      <c r="C972" s="51"/>
      <c r="D972" s="52"/>
      <c r="E972" s="53"/>
      <c r="F972" s="54"/>
      <c r="G972" s="54"/>
      <c r="H972" s="54"/>
      <c r="I972" s="66"/>
      <c r="J972" s="54"/>
      <c r="K972" s="54"/>
      <c r="L972" s="54"/>
      <c r="M972" s="97" t="str">
        <f t="shared" si="97"/>
        <v/>
      </c>
      <c r="N972" s="70"/>
      <c r="O972" s="71" t="str">
        <f t="shared" si="101"/>
        <v/>
      </c>
      <c r="P972" s="66"/>
      <c r="Q972" s="66"/>
      <c r="R972" s="54"/>
      <c r="S972" s="82"/>
      <c r="T972" s="83" t="str">
        <f t="shared" si="98"/>
        <v/>
      </c>
      <c r="U972" s="10"/>
      <c r="V972" s="41">
        <f>IF(AND(Q972&lt;&gt;"",RIGHT(Q972,3)&lt;&gt;""),IF(COUNTIF($Q$6:Q972,Q972)=1,1,0),0)</f>
        <v>0</v>
      </c>
      <c r="W972" s="41" t="str">
        <f t="shared" si="99"/>
        <v/>
      </c>
      <c r="X972" s="41" t="str">
        <f t="shared" si="100"/>
        <v/>
      </c>
    </row>
    <row r="973" s="32" customFormat="1" hidden="1" customHeight="1" spans="1:24">
      <c r="A973" s="34"/>
      <c r="B973" s="51"/>
      <c r="C973" s="51"/>
      <c r="D973" s="52"/>
      <c r="E973" s="53"/>
      <c r="F973" s="54"/>
      <c r="G973" s="54"/>
      <c r="H973" s="54"/>
      <c r="I973" s="66"/>
      <c r="J973" s="54"/>
      <c r="K973" s="54"/>
      <c r="L973" s="54"/>
      <c r="M973" s="97" t="str">
        <f t="shared" si="97"/>
        <v/>
      </c>
      <c r="N973" s="70"/>
      <c r="O973" s="71" t="str">
        <f t="shared" si="101"/>
        <v/>
      </c>
      <c r="P973" s="66"/>
      <c r="Q973" s="66"/>
      <c r="R973" s="54"/>
      <c r="S973" s="82"/>
      <c r="T973" s="83" t="str">
        <f t="shared" si="98"/>
        <v/>
      </c>
      <c r="U973" s="10"/>
      <c r="V973" s="41">
        <f>IF(AND(Q973&lt;&gt;"",RIGHT(Q973,3)&lt;&gt;""),IF(COUNTIF($Q$6:Q973,Q973)=1,1,0),0)</f>
        <v>0</v>
      </c>
      <c r="W973" s="41" t="str">
        <f t="shared" si="99"/>
        <v/>
      </c>
      <c r="X973" s="41" t="str">
        <f t="shared" si="100"/>
        <v/>
      </c>
    </row>
    <row r="974" s="32" customFormat="1" hidden="1" customHeight="1" spans="1:24">
      <c r="A974" s="34"/>
      <c r="B974" s="51"/>
      <c r="C974" s="51"/>
      <c r="D974" s="52"/>
      <c r="E974" s="53"/>
      <c r="F974" s="54"/>
      <c r="G974" s="54"/>
      <c r="H974" s="54"/>
      <c r="I974" s="66"/>
      <c r="J974" s="54"/>
      <c r="K974" s="54"/>
      <c r="L974" s="54"/>
      <c r="M974" s="97" t="str">
        <f t="shared" si="97"/>
        <v/>
      </c>
      <c r="N974" s="70"/>
      <c r="O974" s="71" t="str">
        <f t="shared" si="101"/>
        <v/>
      </c>
      <c r="P974" s="66"/>
      <c r="Q974" s="66"/>
      <c r="R974" s="54"/>
      <c r="S974" s="82"/>
      <c r="T974" s="83" t="str">
        <f t="shared" si="98"/>
        <v/>
      </c>
      <c r="U974" s="10"/>
      <c r="V974" s="41">
        <f>IF(AND(Q974&lt;&gt;"",RIGHT(Q974,3)&lt;&gt;""),IF(COUNTIF($Q$6:Q974,Q974)=1,1,0),0)</f>
        <v>0</v>
      </c>
      <c r="W974" s="41" t="str">
        <f t="shared" si="99"/>
        <v/>
      </c>
      <c r="X974" s="41" t="str">
        <f t="shared" si="100"/>
        <v/>
      </c>
    </row>
    <row r="975" s="32" customFormat="1" hidden="1" customHeight="1" spans="1:24">
      <c r="A975" s="34"/>
      <c r="B975" s="51"/>
      <c r="C975" s="51"/>
      <c r="D975" s="52"/>
      <c r="E975" s="53"/>
      <c r="F975" s="54"/>
      <c r="G975" s="54"/>
      <c r="H975" s="54"/>
      <c r="I975" s="66"/>
      <c r="J975" s="54"/>
      <c r="K975" s="54"/>
      <c r="L975" s="54"/>
      <c r="M975" s="97" t="str">
        <f t="shared" si="97"/>
        <v/>
      </c>
      <c r="N975" s="70"/>
      <c r="O975" s="71" t="str">
        <f t="shared" si="101"/>
        <v/>
      </c>
      <c r="P975" s="66"/>
      <c r="Q975" s="66"/>
      <c r="R975" s="54"/>
      <c r="S975" s="82"/>
      <c r="T975" s="83" t="str">
        <f t="shared" si="98"/>
        <v/>
      </c>
      <c r="U975" s="10"/>
      <c r="V975" s="41">
        <f>IF(AND(Q975&lt;&gt;"",RIGHT(Q975,3)&lt;&gt;""),IF(COUNTIF($Q$6:Q975,Q975)=1,1,0),0)</f>
        <v>0</v>
      </c>
      <c r="W975" s="41" t="str">
        <f t="shared" si="99"/>
        <v/>
      </c>
      <c r="X975" s="41" t="str">
        <f t="shared" si="100"/>
        <v/>
      </c>
    </row>
    <row r="976" s="32" customFormat="1" hidden="1" customHeight="1" spans="1:24">
      <c r="A976" s="34"/>
      <c r="B976" s="51"/>
      <c r="C976" s="51"/>
      <c r="D976" s="52"/>
      <c r="E976" s="53"/>
      <c r="F976" s="54"/>
      <c r="G976" s="54"/>
      <c r="H976" s="54"/>
      <c r="I976" s="66"/>
      <c r="J976" s="54"/>
      <c r="K976" s="54"/>
      <c r="L976" s="54"/>
      <c r="M976" s="97" t="str">
        <f t="shared" si="97"/>
        <v/>
      </c>
      <c r="N976" s="70"/>
      <c r="O976" s="71" t="str">
        <f t="shared" si="101"/>
        <v/>
      </c>
      <c r="P976" s="66"/>
      <c r="Q976" s="66"/>
      <c r="R976" s="54"/>
      <c r="S976" s="82"/>
      <c r="T976" s="83" t="str">
        <f t="shared" si="98"/>
        <v/>
      </c>
      <c r="U976" s="10"/>
      <c r="V976" s="41">
        <f>IF(AND(Q976&lt;&gt;"",RIGHT(Q976,3)&lt;&gt;""),IF(COUNTIF($Q$6:Q976,Q976)=1,1,0),0)</f>
        <v>0</v>
      </c>
      <c r="W976" s="41" t="str">
        <f t="shared" si="99"/>
        <v/>
      </c>
      <c r="X976" s="41" t="str">
        <f t="shared" si="100"/>
        <v/>
      </c>
    </row>
    <row r="977" s="32" customFormat="1" hidden="1" customHeight="1" spans="1:24">
      <c r="A977" s="34"/>
      <c r="B977" s="51"/>
      <c r="C977" s="51"/>
      <c r="D977" s="52"/>
      <c r="E977" s="53"/>
      <c r="F977" s="54"/>
      <c r="G977" s="54"/>
      <c r="H977" s="54"/>
      <c r="I977" s="66"/>
      <c r="J977" s="54"/>
      <c r="K977" s="54"/>
      <c r="L977" s="54"/>
      <c r="M977" s="97" t="str">
        <f t="shared" si="97"/>
        <v/>
      </c>
      <c r="N977" s="70"/>
      <c r="O977" s="71" t="str">
        <f t="shared" si="101"/>
        <v/>
      </c>
      <c r="P977" s="66"/>
      <c r="Q977" s="66"/>
      <c r="R977" s="54"/>
      <c r="S977" s="82"/>
      <c r="T977" s="83" t="str">
        <f t="shared" si="98"/>
        <v/>
      </c>
      <c r="U977" s="10"/>
      <c r="V977" s="41">
        <f>IF(AND(Q977&lt;&gt;"",RIGHT(Q977,3)&lt;&gt;""),IF(COUNTIF($Q$6:Q977,Q977)=1,1,0),0)</f>
        <v>0</v>
      </c>
      <c r="W977" s="41" t="str">
        <f t="shared" si="99"/>
        <v/>
      </c>
      <c r="X977" s="41" t="str">
        <f t="shared" si="100"/>
        <v/>
      </c>
    </row>
    <row r="978" s="32" customFormat="1" hidden="1" customHeight="1" spans="1:24">
      <c r="A978" s="34"/>
      <c r="B978" s="51"/>
      <c r="C978" s="51"/>
      <c r="D978" s="52"/>
      <c r="E978" s="53"/>
      <c r="F978" s="54"/>
      <c r="G978" s="54"/>
      <c r="H978" s="54"/>
      <c r="I978" s="66"/>
      <c r="J978" s="54"/>
      <c r="K978" s="54"/>
      <c r="L978" s="54"/>
      <c r="M978" s="97" t="str">
        <f t="shared" si="97"/>
        <v/>
      </c>
      <c r="N978" s="70"/>
      <c r="O978" s="71" t="str">
        <f t="shared" si="101"/>
        <v/>
      </c>
      <c r="P978" s="66"/>
      <c r="Q978" s="66"/>
      <c r="R978" s="54"/>
      <c r="S978" s="82"/>
      <c r="T978" s="83" t="str">
        <f t="shared" si="98"/>
        <v/>
      </c>
      <c r="U978" s="10"/>
      <c r="V978" s="41">
        <f>IF(AND(Q978&lt;&gt;"",RIGHT(Q978,3)&lt;&gt;""),IF(COUNTIF($Q$6:Q978,Q978)=1,1,0),0)</f>
        <v>0</v>
      </c>
      <c r="W978" s="41" t="str">
        <f t="shared" si="99"/>
        <v/>
      </c>
      <c r="X978" s="41" t="str">
        <f t="shared" si="100"/>
        <v/>
      </c>
    </row>
    <row r="979" s="32" customFormat="1" hidden="1" customHeight="1" spans="1:24">
      <c r="A979" s="34"/>
      <c r="B979" s="51"/>
      <c r="C979" s="51"/>
      <c r="D979" s="52"/>
      <c r="E979" s="53"/>
      <c r="F979" s="54"/>
      <c r="G979" s="54"/>
      <c r="H979" s="54"/>
      <c r="I979" s="66"/>
      <c r="J979" s="54"/>
      <c r="K979" s="54"/>
      <c r="L979" s="54"/>
      <c r="M979" s="97" t="str">
        <f t="shared" si="97"/>
        <v/>
      </c>
      <c r="N979" s="70"/>
      <c r="O979" s="71" t="str">
        <f t="shared" si="101"/>
        <v/>
      </c>
      <c r="P979" s="66"/>
      <c r="Q979" s="66"/>
      <c r="R979" s="54"/>
      <c r="S979" s="82"/>
      <c r="T979" s="83" t="str">
        <f t="shared" si="98"/>
        <v/>
      </c>
      <c r="U979" s="10"/>
      <c r="V979" s="41">
        <f>IF(AND(Q979&lt;&gt;"",RIGHT(Q979,3)&lt;&gt;""),IF(COUNTIF($Q$6:Q979,Q979)=1,1,0),0)</f>
        <v>0</v>
      </c>
      <c r="W979" s="41" t="str">
        <f t="shared" si="99"/>
        <v/>
      </c>
      <c r="X979" s="41" t="str">
        <f t="shared" si="100"/>
        <v/>
      </c>
    </row>
    <row r="980" s="32" customFormat="1" hidden="1" customHeight="1" spans="1:24">
      <c r="A980" s="34"/>
      <c r="B980" s="51"/>
      <c r="C980" s="51"/>
      <c r="D980" s="52"/>
      <c r="E980" s="53"/>
      <c r="F980" s="54"/>
      <c r="G980" s="54"/>
      <c r="H980" s="54"/>
      <c r="I980" s="66"/>
      <c r="J980" s="54"/>
      <c r="K980" s="54"/>
      <c r="L980" s="54"/>
      <c r="M980" s="97" t="str">
        <f t="shared" si="97"/>
        <v/>
      </c>
      <c r="N980" s="70"/>
      <c r="O980" s="71" t="str">
        <f t="shared" si="101"/>
        <v/>
      </c>
      <c r="P980" s="66"/>
      <c r="Q980" s="66"/>
      <c r="R980" s="54"/>
      <c r="S980" s="82"/>
      <c r="T980" s="83" t="str">
        <f t="shared" si="98"/>
        <v/>
      </c>
      <c r="U980" s="10"/>
      <c r="V980" s="41">
        <f>IF(AND(Q980&lt;&gt;"",RIGHT(Q980,3)&lt;&gt;""),IF(COUNTIF($Q$6:Q980,Q980)=1,1,0),0)</f>
        <v>0</v>
      </c>
      <c r="W980" s="41" t="str">
        <f t="shared" si="99"/>
        <v/>
      </c>
      <c r="X980" s="41" t="str">
        <f t="shared" si="100"/>
        <v/>
      </c>
    </row>
    <row r="981" s="32" customFormat="1" hidden="1" customHeight="1" spans="1:24">
      <c r="A981" s="34"/>
      <c r="B981" s="51"/>
      <c r="C981" s="51"/>
      <c r="D981" s="52"/>
      <c r="E981" s="53"/>
      <c r="F981" s="54"/>
      <c r="G981" s="54"/>
      <c r="H981" s="54"/>
      <c r="I981" s="66"/>
      <c r="J981" s="54"/>
      <c r="K981" s="54"/>
      <c r="L981" s="54"/>
      <c r="M981" s="97" t="str">
        <f t="shared" si="97"/>
        <v/>
      </c>
      <c r="N981" s="70"/>
      <c r="O981" s="71" t="str">
        <f t="shared" si="101"/>
        <v/>
      </c>
      <c r="P981" s="66"/>
      <c r="Q981" s="66"/>
      <c r="R981" s="54"/>
      <c r="S981" s="82"/>
      <c r="T981" s="83" t="str">
        <f t="shared" si="98"/>
        <v/>
      </c>
      <c r="U981" s="10"/>
      <c r="V981" s="41">
        <f>IF(AND(Q981&lt;&gt;"",RIGHT(Q981,3)&lt;&gt;""),IF(COUNTIF($Q$6:Q981,Q981)=1,1,0),0)</f>
        <v>0</v>
      </c>
      <c r="W981" s="41" t="str">
        <f t="shared" si="99"/>
        <v/>
      </c>
      <c r="X981" s="41" t="str">
        <f t="shared" si="100"/>
        <v/>
      </c>
    </row>
    <row r="982" s="32" customFormat="1" hidden="1" customHeight="1" spans="1:24">
      <c r="A982" s="34"/>
      <c r="B982" s="51"/>
      <c r="C982" s="51"/>
      <c r="D982" s="52"/>
      <c r="E982" s="53"/>
      <c r="F982" s="54"/>
      <c r="G982" s="54"/>
      <c r="H982" s="54"/>
      <c r="I982" s="66"/>
      <c r="J982" s="54"/>
      <c r="K982" s="54"/>
      <c r="L982" s="54"/>
      <c r="M982" s="97" t="str">
        <f t="shared" si="97"/>
        <v/>
      </c>
      <c r="N982" s="70"/>
      <c r="O982" s="71" t="str">
        <f t="shared" si="101"/>
        <v/>
      </c>
      <c r="P982" s="66"/>
      <c r="Q982" s="66"/>
      <c r="R982" s="54"/>
      <c r="S982" s="82"/>
      <c r="T982" s="83" t="str">
        <f t="shared" si="98"/>
        <v/>
      </c>
      <c r="U982" s="10"/>
      <c r="V982" s="41">
        <f>IF(AND(Q982&lt;&gt;"",RIGHT(Q982,3)&lt;&gt;""),IF(COUNTIF($Q$6:Q982,Q982)=1,1,0),0)</f>
        <v>0</v>
      </c>
      <c r="W982" s="41" t="str">
        <f t="shared" si="99"/>
        <v/>
      </c>
      <c r="X982" s="41" t="str">
        <f t="shared" si="100"/>
        <v/>
      </c>
    </row>
    <row r="983" s="32" customFormat="1" hidden="1" customHeight="1" spans="1:24">
      <c r="A983" s="34"/>
      <c r="B983" s="51"/>
      <c r="C983" s="51"/>
      <c r="D983" s="52"/>
      <c r="E983" s="53"/>
      <c r="F983" s="54"/>
      <c r="G983" s="54"/>
      <c r="H983" s="54"/>
      <c r="I983" s="66"/>
      <c r="J983" s="54"/>
      <c r="K983" s="54"/>
      <c r="L983" s="54"/>
      <c r="M983" s="97" t="str">
        <f t="shared" si="97"/>
        <v/>
      </c>
      <c r="N983" s="70"/>
      <c r="O983" s="71" t="str">
        <f t="shared" si="101"/>
        <v/>
      </c>
      <c r="P983" s="66"/>
      <c r="Q983" s="66"/>
      <c r="R983" s="54"/>
      <c r="S983" s="82"/>
      <c r="T983" s="83" t="str">
        <f t="shared" si="98"/>
        <v/>
      </c>
      <c r="U983" s="10"/>
      <c r="V983" s="41">
        <f>IF(AND(Q983&lt;&gt;"",RIGHT(Q983,3)&lt;&gt;""),IF(COUNTIF($Q$6:Q983,Q983)=1,1,0),0)</f>
        <v>0</v>
      </c>
      <c r="W983" s="41" t="str">
        <f t="shared" si="99"/>
        <v/>
      </c>
      <c r="X983" s="41" t="str">
        <f t="shared" si="100"/>
        <v/>
      </c>
    </row>
    <row r="984" s="32" customFormat="1" hidden="1" customHeight="1" spans="1:24">
      <c r="A984" s="34"/>
      <c r="B984" s="51"/>
      <c r="C984" s="51"/>
      <c r="D984" s="52"/>
      <c r="E984" s="53"/>
      <c r="F984" s="54"/>
      <c r="G984" s="54"/>
      <c r="H984" s="54"/>
      <c r="I984" s="66"/>
      <c r="J984" s="54"/>
      <c r="K984" s="54"/>
      <c r="L984" s="54"/>
      <c r="M984" s="97" t="str">
        <f t="shared" si="97"/>
        <v/>
      </c>
      <c r="N984" s="70"/>
      <c r="O984" s="71" t="str">
        <f t="shared" si="101"/>
        <v/>
      </c>
      <c r="P984" s="66"/>
      <c r="Q984" s="66"/>
      <c r="R984" s="54"/>
      <c r="S984" s="82"/>
      <c r="T984" s="83" t="str">
        <f t="shared" si="98"/>
        <v/>
      </c>
      <c r="U984" s="10"/>
      <c r="V984" s="41">
        <f>IF(AND(Q984&lt;&gt;"",RIGHT(Q984,3)&lt;&gt;""),IF(COUNTIF($Q$6:Q984,Q984)=1,1,0),0)</f>
        <v>0</v>
      </c>
      <c r="W984" s="41" t="str">
        <f t="shared" si="99"/>
        <v/>
      </c>
      <c r="X984" s="41" t="str">
        <f t="shared" si="100"/>
        <v/>
      </c>
    </row>
    <row r="985" s="32" customFormat="1" hidden="1" customHeight="1" spans="1:24">
      <c r="A985" s="34"/>
      <c r="B985" s="51"/>
      <c r="C985" s="51"/>
      <c r="D985" s="52"/>
      <c r="E985" s="53"/>
      <c r="F985" s="54"/>
      <c r="G985" s="54"/>
      <c r="H985" s="54"/>
      <c r="I985" s="66"/>
      <c r="J985" s="54"/>
      <c r="K985" s="54"/>
      <c r="L985" s="54"/>
      <c r="M985" s="97" t="str">
        <f t="shared" si="97"/>
        <v/>
      </c>
      <c r="N985" s="70"/>
      <c r="O985" s="71" t="str">
        <f t="shared" si="101"/>
        <v/>
      </c>
      <c r="P985" s="66"/>
      <c r="Q985" s="66"/>
      <c r="R985" s="54"/>
      <c r="S985" s="82"/>
      <c r="T985" s="83" t="str">
        <f t="shared" si="98"/>
        <v/>
      </c>
      <c r="U985" s="10"/>
      <c r="V985" s="41">
        <f>IF(AND(Q985&lt;&gt;"",RIGHT(Q985,3)&lt;&gt;""),IF(COUNTIF($Q$6:Q985,Q985)=1,1,0),0)</f>
        <v>0</v>
      </c>
      <c r="W985" s="41" t="str">
        <f t="shared" si="99"/>
        <v/>
      </c>
      <c r="X985" s="41" t="str">
        <f t="shared" si="100"/>
        <v/>
      </c>
    </row>
    <row r="986" s="32" customFormat="1" hidden="1" customHeight="1" spans="1:24">
      <c r="A986" s="34"/>
      <c r="B986" s="51"/>
      <c r="C986" s="51"/>
      <c r="D986" s="52"/>
      <c r="E986" s="53"/>
      <c r="F986" s="54"/>
      <c r="G986" s="54"/>
      <c r="H986" s="54"/>
      <c r="I986" s="66"/>
      <c r="J986" s="54"/>
      <c r="K986" s="54"/>
      <c r="L986" s="54"/>
      <c r="M986" s="97" t="str">
        <f t="shared" si="97"/>
        <v/>
      </c>
      <c r="N986" s="70"/>
      <c r="O986" s="71" t="str">
        <f t="shared" si="101"/>
        <v/>
      </c>
      <c r="P986" s="66"/>
      <c r="Q986" s="66"/>
      <c r="R986" s="54"/>
      <c r="S986" s="82"/>
      <c r="T986" s="83" t="str">
        <f t="shared" si="98"/>
        <v/>
      </c>
      <c r="U986" s="10"/>
      <c r="V986" s="41">
        <f>IF(AND(Q986&lt;&gt;"",RIGHT(Q986,3)&lt;&gt;""),IF(COUNTIF($Q$6:Q986,Q986)=1,1,0),0)</f>
        <v>0</v>
      </c>
      <c r="W986" s="41" t="str">
        <f t="shared" si="99"/>
        <v/>
      </c>
      <c r="X986" s="41" t="str">
        <f t="shared" si="100"/>
        <v/>
      </c>
    </row>
    <row r="987" s="32" customFormat="1" hidden="1" customHeight="1" spans="1:24">
      <c r="A987" s="34"/>
      <c r="B987" s="51"/>
      <c r="C987" s="51"/>
      <c r="D987" s="52"/>
      <c r="E987" s="53"/>
      <c r="F987" s="54"/>
      <c r="G987" s="54"/>
      <c r="H987" s="54"/>
      <c r="I987" s="66"/>
      <c r="J987" s="54"/>
      <c r="K987" s="54"/>
      <c r="L987" s="54"/>
      <c r="M987" s="97" t="str">
        <f t="shared" si="97"/>
        <v/>
      </c>
      <c r="N987" s="70"/>
      <c r="O987" s="71" t="str">
        <f t="shared" si="101"/>
        <v/>
      </c>
      <c r="P987" s="66"/>
      <c r="Q987" s="66"/>
      <c r="R987" s="54"/>
      <c r="S987" s="82"/>
      <c r="T987" s="83" t="str">
        <f t="shared" si="98"/>
        <v/>
      </c>
      <c r="U987" s="10"/>
      <c r="V987" s="41">
        <f>IF(AND(Q987&lt;&gt;"",RIGHT(Q987,3)&lt;&gt;""),IF(COUNTIF($Q$6:Q987,Q987)=1,1,0),0)</f>
        <v>0</v>
      </c>
      <c r="W987" s="41" t="str">
        <f t="shared" si="99"/>
        <v/>
      </c>
      <c r="X987" s="41" t="str">
        <f t="shared" si="100"/>
        <v/>
      </c>
    </row>
    <row r="988" s="32" customFormat="1" hidden="1" customHeight="1" spans="1:24">
      <c r="A988" s="34"/>
      <c r="B988" s="51"/>
      <c r="C988" s="51"/>
      <c r="D988" s="52"/>
      <c r="E988" s="53"/>
      <c r="F988" s="54"/>
      <c r="G988" s="54"/>
      <c r="H988" s="54"/>
      <c r="I988" s="66"/>
      <c r="J988" s="54"/>
      <c r="K988" s="54"/>
      <c r="L988" s="54"/>
      <c r="M988" s="97" t="str">
        <f t="shared" si="97"/>
        <v/>
      </c>
      <c r="N988" s="70"/>
      <c r="O988" s="71" t="str">
        <f t="shared" si="101"/>
        <v/>
      </c>
      <c r="P988" s="66"/>
      <c r="Q988" s="66"/>
      <c r="R988" s="54"/>
      <c r="S988" s="82"/>
      <c r="T988" s="83" t="str">
        <f t="shared" si="98"/>
        <v/>
      </c>
      <c r="U988" s="10"/>
      <c r="V988" s="41">
        <f>IF(AND(Q988&lt;&gt;"",RIGHT(Q988,3)&lt;&gt;""),IF(COUNTIF($Q$6:Q988,Q988)=1,1,0),0)</f>
        <v>0</v>
      </c>
      <c r="W988" s="41" t="str">
        <f t="shared" si="99"/>
        <v/>
      </c>
      <c r="X988" s="41" t="str">
        <f t="shared" si="100"/>
        <v/>
      </c>
    </row>
    <row r="989" s="32" customFormat="1" hidden="1" customHeight="1" spans="1:24">
      <c r="A989" s="34"/>
      <c r="B989" s="51"/>
      <c r="C989" s="51"/>
      <c r="D989" s="52"/>
      <c r="E989" s="53"/>
      <c r="F989" s="54"/>
      <c r="G989" s="54"/>
      <c r="H989" s="54"/>
      <c r="I989" s="66"/>
      <c r="J989" s="54"/>
      <c r="K989" s="54"/>
      <c r="L989" s="54"/>
      <c r="M989" s="97" t="str">
        <f t="shared" si="97"/>
        <v/>
      </c>
      <c r="N989" s="70"/>
      <c r="O989" s="71" t="str">
        <f t="shared" si="101"/>
        <v/>
      </c>
      <c r="P989" s="66"/>
      <c r="Q989" s="66"/>
      <c r="R989" s="54"/>
      <c r="S989" s="82"/>
      <c r="T989" s="83" t="str">
        <f t="shared" si="98"/>
        <v/>
      </c>
      <c r="U989" s="10"/>
      <c r="V989" s="41">
        <f>IF(AND(Q989&lt;&gt;"",RIGHT(Q989,3)&lt;&gt;""),IF(COUNTIF($Q$6:Q989,Q989)=1,1,0),0)</f>
        <v>0</v>
      </c>
      <c r="W989" s="41" t="str">
        <f t="shared" si="99"/>
        <v/>
      </c>
      <c r="X989" s="41" t="str">
        <f t="shared" si="100"/>
        <v/>
      </c>
    </row>
    <row r="990" s="32" customFormat="1" hidden="1" customHeight="1" spans="1:24">
      <c r="A990" s="34"/>
      <c r="B990" s="51"/>
      <c r="C990" s="51"/>
      <c r="D990" s="52"/>
      <c r="E990" s="53"/>
      <c r="F990" s="54"/>
      <c r="G990" s="54"/>
      <c r="H990" s="54"/>
      <c r="I990" s="66"/>
      <c r="J990" s="54"/>
      <c r="K990" s="54"/>
      <c r="L990" s="54"/>
      <c r="M990" s="97" t="str">
        <f t="shared" si="97"/>
        <v/>
      </c>
      <c r="N990" s="70"/>
      <c r="O990" s="71" t="str">
        <f t="shared" si="101"/>
        <v/>
      </c>
      <c r="P990" s="66"/>
      <c r="Q990" s="66"/>
      <c r="R990" s="54"/>
      <c r="S990" s="82"/>
      <c r="T990" s="83" t="str">
        <f t="shared" si="98"/>
        <v/>
      </c>
      <c r="U990" s="10"/>
      <c r="V990" s="41">
        <f>IF(AND(Q990&lt;&gt;"",RIGHT(Q990,3)&lt;&gt;""),IF(COUNTIF($Q$6:Q990,Q990)=1,1,0),0)</f>
        <v>0</v>
      </c>
      <c r="W990" s="41" t="str">
        <f t="shared" si="99"/>
        <v/>
      </c>
      <c r="X990" s="41" t="str">
        <f t="shared" si="100"/>
        <v/>
      </c>
    </row>
    <row r="991" s="32" customFormat="1" hidden="1" customHeight="1" spans="1:24">
      <c r="A991" s="34"/>
      <c r="B991" s="51"/>
      <c r="C991" s="51"/>
      <c r="D991" s="52"/>
      <c r="E991" s="53"/>
      <c r="F991" s="54"/>
      <c r="G991" s="54"/>
      <c r="H991" s="54"/>
      <c r="I991" s="66"/>
      <c r="J991" s="54"/>
      <c r="K991" s="54"/>
      <c r="L991" s="54"/>
      <c r="M991" s="97" t="str">
        <f t="shared" si="97"/>
        <v/>
      </c>
      <c r="N991" s="70"/>
      <c r="O991" s="71" t="str">
        <f t="shared" si="101"/>
        <v/>
      </c>
      <c r="P991" s="66"/>
      <c r="Q991" s="66"/>
      <c r="R991" s="54"/>
      <c r="S991" s="82"/>
      <c r="T991" s="83" t="str">
        <f t="shared" si="98"/>
        <v/>
      </c>
      <c r="U991" s="10"/>
      <c r="V991" s="41">
        <f>IF(AND(Q991&lt;&gt;"",RIGHT(Q991,3)&lt;&gt;""),IF(COUNTIF($Q$6:Q991,Q991)=1,1,0),0)</f>
        <v>0</v>
      </c>
      <c r="W991" s="41" t="str">
        <f t="shared" si="99"/>
        <v/>
      </c>
      <c r="X991" s="41" t="str">
        <f t="shared" si="100"/>
        <v/>
      </c>
    </row>
    <row r="992" s="32" customFormat="1" hidden="1" customHeight="1" spans="1:24">
      <c r="A992" s="34"/>
      <c r="B992" s="51"/>
      <c r="C992" s="51"/>
      <c r="D992" s="52"/>
      <c r="E992" s="53"/>
      <c r="F992" s="54"/>
      <c r="G992" s="54"/>
      <c r="H992" s="54"/>
      <c r="I992" s="66"/>
      <c r="J992" s="54"/>
      <c r="K992" s="54"/>
      <c r="L992" s="54"/>
      <c r="M992" s="97" t="str">
        <f t="shared" si="97"/>
        <v/>
      </c>
      <c r="N992" s="70"/>
      <c r="O992" s="71" t="str">
        <f t="shared" si="101"/>
        <v/>
      </c>
      <c r="P992" s="66"/>
      <c r="Q992" s="66"/>
      <c r="R992" s="54"/>
      <c r="S992" s="82"/>
      <c r="T992" s="83" t="str">
        <f t="shared" si="98"/>
        <v/>
      </c>
      <c r="U992" s="10"/>
      <c r="V992" s="41">
        <f>IF(AND(Q992&lt;&gt;"",RIGHT(Q992,3)&lt;&gt;""),IF(COUNTIF($Q$6:Q992,Q992)=1,1,0),0)</f>
        <v>0</v>
      </c>
      <c r="W992" s="41" t="str">
        <f t="shared" si="99"/>
        <v/>
      </c>
      <c r="X992" s="41" t="str">
        <f t="shared" si="100"/>
        <v/>
      </c>
    </row>
    <row r="993" s="32" customFormat="1" hidden="1" customHeight="1" spans="1:24">
      <c r="A993" s="34"/>
      <c r="B993" s="51"/>
      <c r="C993" s="51"/>
      <c r="D993" s="52"/>
      <c r="E993" s="53"/>
      <c r="F993" s="54"/>
      <c r="G993" s="54"/>
      <c r="H993" s="54"/>
      <c r="I993" s="66"/>
      <c r="J993" s="54"/>
      <c r="K993" s="54"/>
      <c r="L993" s="54"/>
      <c r="M993" s="97" t="str">
        <f t="shared" si="97"/>
        <v/>
      </c>
      <c r="N993" s="70"/>
      <c r="O993" s="71" t="str">
        <f t="shared" si="101"/>
        <v/>
      </c>
      <c r="P993" s="66"/>
      <c r="Q993" s="66"/>
      <c r="R993" s="54"/>
      <c r="S993" s="82"/>
      <c r="T993" s="83" t="str">
        <f t="shared" si="98"/>
        <v/>
      </c>
      <c r="U993" s="10"/>
      <c r="V993" s="41">
        <f>IF(AND(Q993&lt;&gt;"",RIGHT(Q993,3)&lt;&gt;""),IF(COUNTIF($Q$6:Q993,Q993)=1,1,0),0)</f>
        <v>0</v>
      </c>
      <c r="W993" s="41" t="str">
        <f t="shared" si="99"/>
        <v/>
      </c>
      <c r="X993" s="41" t="str">
        <f t="shared" si="100"/>
        <v/>
      </c>
    </row>
    <row r="994" s="32" customFormat="1" hidden="1" customHeight="1" spans="1:24">
      <c r="A994" s="34"/>
      <c r="B994" s="51"/>
      <c r="C994" s="51"/>
      <c r="D994" s="52"/>
      <c r="E994" s="53"/>
      <c r="F994" s="54"/>
      <c r="G994" s="54"/>
      <c r="H994" s="54"/>
      <c r="I994" s="66"/>
      <c r="J994" s="54"/>
      <c r="K994" s="54"/>
      <c r="L994" s="54"/>
      <c r="M994" s="97" t="str">
        <f t="shared" si="97"/>
        <v/>
      </c>
      <c r="N994" s="70"/>
      <c r="O994" s="71" t="str">
        <f t="shared" si="101"/>
        <v/>
      </c>
      <c r="P994" s="66"/>
      <c r="Q994" s="66"/>
      <c r="R994" s="54"/>
      <c r="S994" s="82"/>
      <c r="T994" s="83" t="str">
        <f t="shared" si="98"/>
        <v/>
      </c>
      <c r="U994" s="10"/>
      <c r="V994" s="41">
        <f>IF(AND(Q994&lt;&gt;"",RIGHT(Q994,3)&lt;&gt;""),IF(COUNTIF($Q$6:Q994,Q994)=1,1,0),0)</f>
        <v>0</v>
      </c>
      <c r="W994" s="41" t="str">
        <f t="shared" si="99"/>
        <v/>
      </c>
      <c r="X994" s="41" t="str">
        <f t="shared" si="100"/>
        <v/>
      </c>
    </row>
    <row r="995" s="32" customFormat="1" hidden="1" customHeight="1" spans="1:24">
      <c r="A995" s="34"/>
      <c r="B995" s="51"/>
      <c r="C995" s="51"/>
      <c r="D995" s="52"/>
      <c r="E995" s="53"/>
      <c r="F995" s="54"/>
      <c r="G995" s="54"/>
      <c r="H995" s="54"/>
      <c r="I995" s="66"/>
      <c r="J995" s="54"/>
      <c r="K995" s="54"/>
      <c r="L995" s="54"/>
      <c r="M995" s="97" t="str">
        <f t="shared" si="97"/>
        <v/>
      </c>
      <c r="N995" s="70"/>
      <c r="O995" s="71" t="str">
        <f t="shared" si="101"/>
        <v/>
      </c>
      <c r="P995" s="66"/>
      <c r="Q995" s="66"/>
      <c r="R995" s="54"/>
      <c r="S995" s="82"/>
      <c r="T995" s="83" t="str">
        <f t="shared" si="98"/>
        <v/>
      </c>
      <c r="U995" s="10"/>
      <c r="V995" s="41">
        <f>IF(AND(Q995&lt;&gt;"",RIGHT(Q995,3)&lt;&gt;""),IF(COUNTIF($Q$6:Q995,Q995)=1,1,0),0)</f>
        <v>0</v>
      </c>
      <c r="W995" s="41" t="str">
        <f t="shared" si="99"/>
        <v/>
      </c>
      <c r="X995" s="41" t="str">
        <f t="shared" si="100"/>
        <v/>
      </c>
    </row>
    <row r="996" s="32" customFormat="1" hidden="1" customHeight="1" spans="1:24">
      <c r="A996" s="34"/>
      <c r="B996" s="51"/>
      <c r="C996" s="51"/>
      <c r="D996" s="52"/>
      <c r="E996" s="53"/>
      <c r="F996" s="54"/>
      <c r="G996" s="54"/>
      <c r="H996" s="54"/>
      <c r="I996" s="66"/>
      <c r="J996" s="54"/>
      <c r="K996" s="54"/>
      <c r="L996" s="54"/>
      <c r="M996" s="97" t="str">
        <f t="shared" ref="M996:M1059" si="102">IF(L996="","",HYPERLINK(_xlfn.CONCAT($L$4,L996,".jpg"),"Open File"))</f>
        <v/>
      </c>
      <c r="N996" s="70"/>
      <c r="O996" s="71" t="str">
        <f t="shared" si="101"/>
        <v/>
      </c>
      <c r="P996" s="66"/>
      <c r="Q996" s="66"/>
      <c r="R996" s="54"/>
      <c r="S996" s="82"/>
      <c r="T996" s="83" t="str">
        <f t="shared" ref="T996:T1059" si="103">IF(S996="","",HYPERLINK(_xlfn.CONCAT($S$4,S996,".jpg"),"Open File"))</f>
        <v/>
      </c>
      <c r="U996" s="10"/>
      <c r="V996" s="41">
        <f>IF(AND(Q996&lt;&gt;"",RIGHT(Q996,3)&lt;&gt;""),IF(COUNTIF($Q$6:Q996,Q996)=1,1,0),0)</f>
        <v>0</v>
      </c>
      <c r="W996" s="41" t="str">
        <f t="shared" ref="W996:W1059" si="104">IF(AND(J996&lt;&gt;"",K996&lt;&gt;""),_xlfn.CONCAT(SUBSTITUTE(J996,"/","."),"-",K996),"")</f>
        <v/>
      </c>
      <c r="X996" s="41" t="str">
        <f t="shared" ref="X996:X1059" si="105">IF(AND(Q996&lt;&gt;"",R996&lt;&gt;""),_xlfn.CONCAT(SUBSTITUTE(Q996,"/","."),"-",R996),"")</f>
        <v/>
      </c>
    </row>
    <row r="997" s="32" customFormat="1" hidden="1" customHeight="1" spans="1:24">
      <c r="A997" s="34"/>
      <c r="B997" s="51"/>
      <c r="C997" s="51"/>
      <c r="D997" s="52"/>
      <c r="E997" s="53"/>
      <c r="F997" s="54"/>
      <c r="G997" s="54"/>
      <c r="H997" s="54"/>
      <c r="I997" s="66"/>
      <c r="J997" s="54"/>
      <c r="K997" s="54"/>
      <c r="L997" s="54"/>
      <c r="M997" s="97" t="str">
        <f t="shared" si="102"/>
        <v/>
      </c>
      <c r="N997" s="70"/>
      <c r="O997" s="71" t="str">
        <f t="shared" si="101"/>
        <v/>
      </c>
      <c r="P997" s="66"/>
      <c r="Q997" s="66"/>
      <c r="R997" s="54"/>
      <c r="S997" s="82"/>
      <c r="T997" s="83" t="str">
        <f t="shared" si="103"/>
        <v/>
      </c>
      <c r="U997" s="10"/>
      <c r="V997" s="41">
        <f>IF(AND(Q997&lt;&gt;"",RIGHT(Q997,3)&lt;&gt;""),IF(COUNTIF($Q$6:Q997,Q997)=1,1,0),0)</f>
        <v>0</v>
      </c>
      <c r="W997" s="41" t="str">
        <f t="shared" si="104"/>
        <v/>
      </c>
      <c r="X997" s="41" t="str">
        <f t="shared" si="105"/>
        <v/>
      </c>
    </row>
    <row r="998" s="32" customFormat="1" hidden="1" customHeight="1" spans="1:24">
      <c r="A998" s="34"/>
      <c r="B998" s="51"/>
      <c r="C998" s="51"/>
      <c r="D998" s="52"/>
      <c r="E998" s="53"/>
      <c r="F998" s="54"/>
      <c r="G998" s="54"/>
      <c r="H998" s="54"/>
      <c r="I998" s="66"/>
      <c r="J998" s="54"/>
      <c r="K998" s="54"/>
      <c r="L998" s="54"/>
      <c r="M998" s="97" t="str">
        <f t="shared" si="102"/>
        <v/>
      </c>
      <c r="N998" s="70"/>
      <c r="O998" s="71" t="str">
        <f t="shared" si="101"/>
        <v/>
      </c>
      <c r="P998" s="66"/>
      <c r="Q998" s="66"/>
      <c r="R998" s="54"/>
      <c r="S998" s="82"/>
      <c r="T998" s="83" t="str">
        <f t="shared" si="103"/>
        <v/>
      </c>
      <c r="U998" s="10"/>
      <c r="V998" s="41">
        <f>IF(AND(Q998&lt;&gt;"",RIGHT(Q998,3)&lt;&gt;""),IF(COUNTIF($Q$6:Q998,Q998)=1,1,0),0)</f>
        <v>0</v>
      </c>
      <c r="W998" s="41" t="str">
        <f t="shared" si="104"/>
        <v/>
      </c>
      <c r="X998" s="41" t="str">
        <f t="shared" si="105"/>
        <v/>
      </c>
    </row>
    <row r="999" s="32" customFormat="1" hidden="1" customHeight="1" spans="1:24">
      <c r="A999" s="34"/>
      <c r="B999" s="51"/>
      <c r="C999" s="51"/>
      <c r="D999" s="52"/>
      <c r="E999" s="53"/>
      <c r="F999" s="54"/>
      <c r="G999" s="54"/>
      <c r="H999" s="54"/>
      <c r="I999" s="66"/>
      <c r="J999" s="54"/>
      <c r="K999" s="54"/>
      <c r="L999" s="54"/>
      <c r="M999" s="97" t="str">
        <f t="shared" si="102"/>
        <v/>
      </c>
      <c r="N999" s="70"/>
      <c r="O999" s="71" t="str">
        <f t="shared" si="101"/>
        <v/>
      </c>
      <c r="P999" s="66"/>
      <c r="Q999" s="66"/>
      <c r="R999" s="54"/>
      <c r="S999" s="82"/>
      <c r="T999" s="83" t="str">
        <f t="shared" si="103"/>
        <v/>
      </c>
      <c r="U999" s="10"/>
      <c r="V999" s="41">
        <f>IF(AND(Q999&lt;&gt;"",RIGHT(Q999,3)&lt;&gt;""),IF(COUNTIF($Q$6:Q999,Q999)=1,1,0),0)</f>
        <v>0</v>
      </c>
      <c r="W999" s="41" t="str">
        <f t="shared" si="104"/>
        <v/>
      </c>
      <c r="X999" s="41" t="str">
        <f t="shared" si="105"/>
        <v/>
      </c>
    </row>
    <row r="1000" s="32" customFormat="1" hidden="1" customHeight="1" spans="1:24">
      <c r="A1000" s="34"/>
      <c r="B1000" s="51"/>
      <c r="C1000" s="51"/>
      <c r="D1000" s="52"/>
      <c r="E1000" s="53"/>
      <c r="F1000" s="54"/>
      <c r="G1000" s="54"/>
      <c r="H1000" s="54"/>
      <c r="I1000" s="66"/>
      <c r="J1000" s="54"/>
      <c r="K1000" s="54"/>
      <c r="L1000" s="54"/>
      <c r="M1000" s="97" t="str">
        <f t="shared" si="102"/>
        <v/>
      </c>
      <c r="N1000" s="70"/>
      <c r="O1000" s="71" t="str">
        <f t="shared" si="101"/>
        <v/>
      </c>
      <c r="P1000" s="66"/>
      <c r="Q1000" s="66"/>
      <c r="R1000" s="54"/>
      <c r="S1000" s="82"/>
      <c r="T1000" s="83" t="str">
        <f t="shared" si="103"/>
        <v/>
      </c>
      <c r="U1000" s="10"/>
      <c r="V1000" s="41">
        <f>IF(AND(Q1000&lt;&gt;"",RIGHT(Q1000,3)&lt;&gt;""),IF(COUNTIF($Q$6:Q1000,Q1000)=1,1,0),0)</f>
        <v>0</v>
      </c>
      <c r="W1000" s="41" t="str">
        <f t="shared" si="104"/>
        <v/>
      </c>
      <c r="X1000" s="41" t="str">
        <f t="shared" si="105"/>
        <v/>
      </c>
    </row>
    <row r="1001" s="32" customFormat="1" hidden="1" customHeight="1" spans="1:24">
      <c r="A1001" s="34"/>
      <c r="B1001" s="51"/>
      <c r="C1001" s="51"/>
      <c r="D1001" s="52"/>
      <c r="E1001" s="53"/>
      <c r="F1001" s="54"/>
      <c r="G1001" s="54"/>
      <c r="H1001" s="54"/>
      <c r="I1001" s="66"/>
      <c r="J1001" s="54"/>
      <c r="K1001" s="54"/>
      <c r="L1001" s="54"/>
      <c r="M1001" s="97" t="str">
        <f t="shared" si="102"/>
        <v/>
      </c>
      <c r="N1001" s="70"/>
      <c r="O1001" s="71" t="str">
        <f t="shared" si="101"/>
        <v/>
      </c>
      <c r="P1001" s="66"/>
      <c r="Q1001" s="66"/>
      <c r="R1001" s="54"/>
      <c r="S1001" s="82"/>
      <c r="T1001" s="83" t="str">
        <f t="shared" si="103"/>
        <v/>
      </c>
      <c r="U1001" s="10"/>
      <c r="V1001" s="41">
        <f>IF(AND(Q1001&lt;&gt;"",RIGHT(Q1001,3)&lt;&gt;""),IF(COUNTIF($Q$6:Q1001,Q1001)=1,1,0),0)</f>
        <v>0</v>
      </c>
      <c r="W1001" s="41" t="str">
        <f t="shared" si="104"/>
        <v/>
      </c>
      <c r="X1001" s="41" t="str">
        <f t="shared" si="105"/>
        <v/>
      </c>
    </row>
    <row r="1002" s="32" customFormat="1" hidden="1" customHeight="1" spans="1:24">
      <c r="A1002" s="34"/>
      <c r="B1002" s="51"/>
      <c r="C1002" s="51"/>
      <c r="D1002" s="52"/>
      <c r="E1002" s="53"/>
      <c r="F1002" s="54"/>
      <c r="G1002" s="54"/>
      <c r="H1002" s="54"/>
      <c r="I1002" s="66"/>
      <c r="J1002" s="54"/>
      <c r="K1002" s="54"/>
      <c r="L1002" s="54"/>
      <c r="M1002" s="97" t="str">
        <f t="shared" si="102"/>
        <v/>
      </c>
      <c r="N1002" s="70"/>
      <c r="O1002" s="71" t="str">
        <f t="shared" si="101"/>
        <v/>
      </c>
      <c r="P1002" s="66"/>
      <c r="Q1002" s="66"/>
      <c r="R1002" s="54"/>
      <c r="S1002" s="82"/>
      <c r="T1002" s="83" t="str">
        <f t="shared" si="103"/>
        <v/>
      </c>
      <c r="U1002" s="10"/>
      <c r="V1002" s="41">
        <f>IF(AND(Q1002&lt;&gt;"",RIGHT(Q1002,3)&lt;&gt;""),IF(COUNTIF($Q$6:Q1002,Q1002)=1,1,0),0)</f>
        <v>0</v>
      </c>
      <c r="W1002" s="41" t="str">
        <f t="shared" si="104"/>
        <v/>
      </c>
      <c r="X1002" s="41" t="str">
        <f t="shared" si="105"/>
        <v/>
      </c>
    </row>
    <row r="1003" s="32" customFormat="1" hidden="1" customHeight="1" spans="1:24">
      <c r="A1003" s="34"/>
      <c r="B1003" s="51"/>
      <c r="C1003" s="51"/>
      <c r="D1003" s="52"/>
      <c r="E1003" s="53"/>
      <c r="F1003" s="54"/>
      <c r="G1003" s="54"/>
      <c r="H1003" s="54"/>
      <c r="I1003" s="66"/>
      <c r="J1003" s="54"/>
      <c r="K1003" s="54"/>
      <c r="L1003" s="54"/>
      <c r="M1003" s="97" t="str">
        <f t="shared" si="102"/>
        <v/>
      </c>
      <c r="N1003" s="70"/>
      <c r="O1003" s="71" t="str">
        <f t="shared" si="101"/>
        <v/>
      </c>
      <c r="P1003" s="66"/>
      <c r="Q1003" s="66"/>
      <c r="R1003" s="54"/>
      <c r="S1003" s="82"/>
      <c r="T1003" s="83" t="str">
        <f t="shared" si="103"/>
        <v/>
      </c>
      <c r="U1003" s="10"/>
      <c r="V1003" s="41">
        <f>IF(AND(Q1003&lt;&gt;"",RIGHT(Q1003,3)&lt;&gt;""),IF(COUNTIF($Q$6:Q1003,Q1003)=1,1,0),0)</f>
        <v>0</v>
      </c>
      <c r="W1003" s="41" t="str">
        <f t="shared" si="104"/>
        <v/>
      </c>
      <c r="X1003" s="41" t="str">
        <f t="shared" si="105"/>
        <v/>
      </c>
    </row>
    <row r="1004" s="32" customFormat="1" hidden="1" customHeight="1" spans="1:24">
      <c r="A1004" s="34"/>
      <c r="B1004" s="51"/>
      <c r="C1004" s="51"/>
      <c r="D1004" s="52"/>
      <c r="E1004" s="53"/>
      <c r="F1004" s="54"/>
      <c r="G1004" s="54"/>
      <c r="H1004" s="54"/>
      <c r="I1004" s="66"/>
      <c r="J1004" s="54"/>
      <c r="K1004" s="54"/>
      <c r="L1004" s="54"/>
      <c r="M1004" s="97" t="str">
        <f t="shared" si="102"/>
        <v/>
      </c>
      <c r="N1004" s="70"/>
      <c r="O1004" s="71" t="str">
        <f t="shared" si="101"/>
        <v/>
      </c>
      <c r="P1004" s="66"/>
      <c r="Q1004" s="66"/>
      <c r="R1004" s="54"/>
      <c r="S1004" s="82"/>
      <c r="T1004" s="83" t="str">
        <f t="shared" si="103"/>
        <v/>
      </c>
      <c r="U1004" s="10"/>
      <c r="V1004" s="41">
        <f>IF(AND(Q1004&lt;&gt;"",RIGHT(Q1004,3)&lt;&gt;""),IF(COUNTIF($Q$6:Q1004,Q1004)=1,1,0),0)</f>
        <v>0</v>
      </c>
      <c r="W1004" s="41" t="str">
        <f t="shared" si="104"/>
        <v/>
      </c>
      <c r="X1004" s="41" t="str">
        <f t="shared" si="105"/>
        <v/>
      </c>
    </row>
    <row r="1005" s="32" customFormat="1" hidden="1" customHeight="1" spans="1:24">
      <c r="A1005" s="34"/>
      <c r="B1005" s="51"/>
      <c r="C1005" s="51"/>
      <c r="D1005" s="52"/>
      <c r="E1005" s="53"/>
      <c r="F1005" s="54"/>
      <c r="G1005" s="54"/>
      <c r="H1005" s="54"/>
      <c r="I1005" s="66"/>
      <c r="J1005" s="54"/>
      <c r="K1005" s="54"/>
      <c r="L1005" s="54"/>
      <c r="M1005" s="97" t="str">
        <f t="shared" si="102"/>
        <v/>
      </c>
      <c r="N1005" s="70"/>
      <c r="O1005" s="71" t="str">
        <f t="shared" si="101"/>
        <v/>
      </c>
      <c r="P1005" s="66"/>
      <c r="Q1005" s="66"/>
      <c r="R1005" s="54"/>
      <c r="S1005" s="82"/>
      <c r="T1005" s="83" t="str">
        <f t="shared" si="103"/>
        <v/>
      </c>
      <c r="U1005" s="10"/>
      <c r="V1005" s="41">
        <f>IF(AND(Q1005&lt;&gt;"",RIGHT(Q1005,3)&lt;&gt;""),IF(COUNTIF($Q$6:Q1005,Q1005)=1,1,0),0)</f>
        <v>0</v>
      </c>
      <c r="W1005" s="41" t="str">
        <f t="shared" si="104"/>
        <v/>
      </c>
      <c r="X1005" s="41" t="str">
        <f t="shared" si="105"/>
        <v/>
      </c>
    </row>
    <row r="1006" s="32" customFormat="1" hidden="1" customHeight="1" spans="1:24">
      <c r="A1006" s="34"/>
      <c r="B1006" s="51"/>
      <c r="C1006" s="51"/>
      <c r="D1006" s="52"/>
      <c r="E1006" s="53"/>
      <c r="F1006" s="54"/>
      <c r="G1006" s="54"/>
      <c r="H1006" s="54"/>
      <c r="I1006" s="66"/>
      <c r="J1006" s="54"/>
      <c r="K1006" s="54"/>
      <c r="L1006" s="54"/>
      <c r="M1006" s="97" t="str">
        <f t="shared" si="102"/>
        <v/>
      </c>
      <c r="N1006" s="70"/>
      <c r="O1006" s="71" t="str">
        <f t="shared" si="101"/>
        <v/>
      </c>
      <c r="P1006" s="66"/>
      <c r="Q1006" s="66"/>
      <c r="R1006" s="54"/>
      <c r="S1006" s="82"/>
      <c r="T1006" s="83" t="str">
        <f t="shared" si="103"/>
        <v/>
      </c>
      <c r="U1006" s="10"/>
      <c r="V1006" s="41">
        <f>IF(AND(Q1006&lt;&gt;"",RIGHT(Q1006,3)&lt;&gt;""),IF(COUNTIF($Q$6:Q1006,Q1006)=1,1,0),0)</f>
        <v>0</v>
      </c>
      <c r="W1006" s="41" t="str">
        <f t="shared" si="104"/>
        <v/>
      </c>
      <c r="X1006" s="41" t="str">
        <f t="shared" si="105"/>
        <v/>
      </c>
    </row>
    <row r="1007" s="32" customFormat="1" hidden="1" customHeight="1" spans="1:24">
      <c r="A1007" s="34"/>
      <c r="B1007" s="51"/>
      <c r="C1007" s="51"/>
      <c r="D1007" s="52"/>
      <c r="E1007" s="53"/>
      <c r="F1007" s="54"/>
      <c r="G1007" s="54"/>
      <c r="H1007" s="54"/>
      <c r="I1007" s="66"/>
      <c r="J1007" s="54"/>
      <c r="K1007" s="54"/>
      <c r="L1007" s="54"/>
      <c r="M1007" s="97" t="str">
        <f t="shared" si="102"/>
        <v/>
      </c>
      <c r="N1007" s="70"/>
      <c r="O1007" s="71" t="str">
        <f t="shared" si="101"/>
        <v/>
      </c>
      <c r="P1007" s="66"/>
      <c r="Q1007" s="66"/>
      <c r="R1007" s="54"/>
      <c r="S1007" s="82"/>
      <c r="T1007" s="83" t="str">
        <f t="shared" si="103"/>
        <v/>
      </c>
      <c r="U1007" s="10"/>
      <c r="V1007" s="41">
        <f>IF(AND(Q1007&lt;&gt;"",RIGHT(Q1007,3)&lt;&gt;""),IF(COUNTIF($Q$6:Q1007,Q1007)=1,1,0),0)</f>
        <v>0</v>
      </c>
      <c r="W1007" s="41" t="str">
        <f t="shared" si="104"/>
        <v/>
      </c>
      <c r="X1007" s="41" t="str">
        <f t="shared" si="105"/>
        <v/>
      </c>
    </row>
    <row r="1008" s="32" customFormat="1" hidden="1" customHeight="1" spans="1:24">
      <c r="A1008" s="34"/>
      <c r="B1008" s="51"/>
      <c r="C1008" s="51"/>
      <c r="D1008" s="52"/>
      <c r="E1008" s="53"/>
      <c r="F1008" s="54"/>
      <c r="G1008" s="54"/>
      <c r="H1008" s="54"/>
      <c r="I1008" s="66"/>
      <c r="J1008" s="54"/>
      <c r="K1008" s="54"/>
      <c r="L1008" s="54"/>
      <c r="M1008" s="97" t="str">
        <f t="shared" si="102"/>
        <v/>
      </c>
      <c r="N1008" s="70"/>
      <c r="O1008" s="71" t="str">
        <f t="shared" si="101"/>
        <v/>
      </c>
      <c r="P1008" s="66"/>
      <c r="Q1008" s="66"/>
      <c r="R1008" s="54"/>
      <c r="S1008" s="82"/>
      <c r="T1008" s="83" t="str">
        <f t="shared" si="103"/>
        <v/>
      </c>
      <c r="U1008" s="10"/>
      <c r="V1008" s="41">
        <f>IF(AND(Q1008&lt;&gt;"",RIGHT(Q1008,3)&lt;&gt;""),IF(COUNTIF($Q$6:Q1008,Q1008)=1,1,0),0)</f>
        <v>0</v>
      </c>
      <c r="W1008" s="41" t="str">
        <f t="shared" si="104"/>
        <v/>
      </c>
      <c r="X1008" s="41" t="str">
        <f t="shared" si="105"/>
        <v/>
      </c>
    </row>
    <row r="1009" s="32" customFormat="1" hidden="1" customHeight="1" spans="1:24">
      <c r="A1009" s="34"/>
      <c r="B1009" s="51"/>
      <c r="C1009" s="51"/>
      <c r="D1009" s="52"/>
      <c r="E1009" s="53"/>
      <c r="F1009" s="54"/>
      <c r="G1009" s="54"/>
      <c r="H1009" s="54"/>
      <c r="I1009" s="66"/>
      <c r="J1009" s="54"/>
      <c r="K1009" s="54"/>
      <c r="L1009" s="54"/>
      <c r="M1009" s="97" t="str">
        <f t="shared" si="102"/>
        <v/>
      </c>
      <c r="N1009" s="70"/>
      <c r="O1009" s="71" t="str">
        <f t="shared" ref="O1009:O1072" si="106">IF(AND(Q1009&lt;&gt;"",T1009&lt;&gt;""),"PASSIVE",IF(AND(J1009&lt;&gt;"",M1009&lt;&gt;""),"ACTIVE",""))</f>
        <v/>
      </c>
      <c r="P1009" s="66"/>
      <c r="Q1009" s="66"/>
      <c r="R1009" s="54"/>
      <c r="S1009" s="82"/>
      <c r="T1009" s="83" t="str">
        <f t="shared" si="103"/>
        <v/>
      </c>
      <c r="U1009" s="10"/>
      <c r="V1009" s="41">
        <f>IF(AND(Q1009&lt;&gt;"",RIGHT(Q1009,3)&lt;&gt;""),IF(COUNTIF($Q$6:Q1009,Q1009)=1,1,0),0)</f>
        <v>0</v>
      </c>
      <c r="W1009" s="41" t="str">
        <f t="shared" si="104"/>
        <v/>
      </c>
      <c r="X1009" s="41" t="str">
        <f t="shared" si="105"/>
        <v/>
      </c>
    </row>
    <row r="1010" s="32" customFormat="1" hidden="1" customHeight="1" spans="1:24">
      <c r="A1010" s="34"/>
      <c r="B1010" s="51"/>
      <c r="C1010" s="51"/>
      <c r="D1010" s="52"/>
      <c r="E1010" s="53"/>
      <c r="F1010" s="54"/>
      <c r="G1010" s="54"/>
      <c r="H1010" s="54"/>
      <c r="I1010" s="66"/>
      <c r="J1010" s="54"/>
      <c r="K1010" s="54"/>
      <c r="L1010" s="54"/>
      <c r="M1010" s="97" t="str">
        <f t="shared" si="102"/>
        <v/>
      </c>
      <c r="N1010" s="70"/>
      <c r="O1010" s="71" t="str">
        <f t="shared" si="106"/>
        <v/>
      </c>
      <c r="P1010" s="66"/>
      <c r="Q1010" s="66"/>
      <c r="R1010" s="54"/>
      <c r="S1010" s="82"/>
      <c r="T1010" s="83" t="str">
        <f t="shared" si="103"/>
        <v/>
      </c>
      <c r="U1010" s="10"/>
      <c r="V1010" s="41">
        <f>IF(AND(Q1010&lt;&gt;"",RIGHT(Q1010,3)&lt;&gt;""),IF(COUNTIF($Q$6:Q1010,Q1010)=1,1,0),0)</f>
        <v>0</v>
      </c>
      <c r="W1010" s="41" t="str">
        <f t="shared" si="104"/>
        <v/>
      </c>
      <c r="X1010" s="41" t="str">
        <f t="shared" si="105"/>
        <v/>
      </c>
    </row>
    <row r="1011" s="32" customFormat="1" hidden="1" customHeight="1" spans="1:24">
      <c r="A1011" s="34"/>
      <c r="B1011" s="51"/>
      <c r="C1011" s="51"/>
      <c r="D1011" s="52"/>
      <c r="E1011" s="53"/>
      <c r="F1011" s="54"/>
      <c r="G1011" s="54"/>
      <c r="H1011" s="54"/>
      <c r="I1011" s="66"/>
      <c r="J1011" s="54"/>
      <c r="K1011" s="54"/>
      <c r="L1011" s="54"/>
      <c r="M1011" s="97" t="str">
        <f t="shared" si="102"/>
        <v/>
      </c>
      <c r="N1011" s="70"/>
      <c r="O1011" s="71" t="str">
        <f t="shared" si="106"/>
        <v/>
      </c>
      <c r="P1011" s="66"/>
      <c r="Q1011" s="66"/>
      <c r="R1011" s="54"/>
      <c r="S1011" s="82"/>
      <c r="T1011" s="83" t="str">
        <f t="shared" si="103"/>
        <v/>
      </c>
      <c r="U1011" s="10"/>
      <c r="V1011" s="41">
        <f>IF(AND(Q1011&lt;&gt;"",RIGHT(Q1011,3)&lt;&gt;""),IF(COUNTIF($Q$6:Q1011,Q1011)=1,1,0),0)</f>
        <v>0</v>
      </c>
      <c r="W1011" s="41" t="str">
        <f t="shared" si="104"/>
        <v/>
      </c>
      <c r="X1011" s="41" t="str">
        <f t="shared" si="105"/>
        <v/>
      </c>
    </row>
    <row r="1012" s="32" customFormat="1" hidden="1" customHeight="1" spans="1:24">
      <c r="A1012" s="34"/>
      <c r="B1012" s="51"/>
      <c r="C1012" s="51"/>
      <c r="D1012" s="52"/>
      <c r="E1012" s="53"/>
      <c r="F1012" s="54"/>
      <c r="G1012" s="54"/>
      <c r="H1012" s="54"/>
      <c r="I1012" s="66"/>
      <c r="J1012" s="54"/>
      <c r="K1012" s="54"/>
      <c r="L1012" s="54"/>
      <c r="M1012" s="97" t="str">
        <f t="shared" si="102"/>
        <v/>
      </c>
      <c r="N1012" s="70"/>
      <c r="O1012" s="71" t="str">
        <f t="shared" si="106"/>
        <v/>
      </c>
      <c r="P1012" s="66"/>
      <c r="Q1012" s="66"/>
      <c r="R1012" s="54"/>
      <c r="S1012" s="82"/>
      <c r="T1012" s="83" t="str">
        <f t="shared" si="103"/>
        <v/>
      </c>
      <c r="U1012" s="10"/>
      <c r="V1012" s="41">
        <f>IF(AND(Q1012&lt;&gt;"",RIGHT(Q1012,3)&lt;&gt;""),IF(COUNTIF($Q$6:Q1012,Q1012)=1,1,0),0)</f>
        <v>0</v>
      </c>
      <c r="W1012" s="41" t="str">
        <f t="shared" si="104"/>
        <v/>
      </c>
      <c r="X1012" s="41" t="str">
        <f t="shared" si="105"/>
        <v/>
      </c>
    </row>
    <row r="1013" s="32" customFormat="1" hidden="1" customHeight="1" spans="1:24">
      <c r="A1013" s="34"/>
      <c r="B1013" s="51"/>
      <c r="C1013" s="51"/>
      <c r="D1013" s="52"/>
      <c r="E1013" s="53"/>
      <c r="F1013" s="54"/>
      <c r="G1013" s="54"/>
      <c r="H1013" s="54"/>
      <c r="I1013" s="66"/>
      <c r="J1013" s="54"/>
      <c r="K1013" s="54"/>
      <c r="L1013" s="54"/>
      <c r="M1013" s="97" t="str">
        <f t="shared" si="102"/>
        <v/>
      </c>
      <c r="N1013" s="70"/>
      <c r="O1013" s="71" t="str">
        <f t="shared" si="106"/>
        <v/>
      </c>
      <c r="P1013" s="66"/>
      <c r="Q1013" s="66"/>
      <c r="R1013" s="54"/>
      <c r="S1013" s="82"/>
      <c r="T1013" s="83" t="str">
        <f t="shared" si="103"/>
        <v/>
      </c>
      <c r="U1013" s="10"/>
      <c r="V1013" s="41">
        <f>IF(AND(Q1013&lt;&gt;"",RIGHT(Q1013,3)&lt;&gt;""),IF(COUNTIF($Q$6:Q1013,Q1013)=1,1,0),0)</f>
        <v>0</v>
      </c>
      <c r="W1013" s="41" t="str">
        <f t="shared" si="104"/>
        <v/>
      </c>
      <c r="X1013" s="41" t="str">
        <f t="shared" si="105"/>
        <v/>
      </c>
    </row>
    <row r="1014" s="32" customFormat="1" hidden="1" customHeight="1" spans="1:24">
      <c r="A1014" s="34"/>
      <c r="B1014" s="51"/>
      <c r="C1014" s="51"/>
      <c r="D1014" s="52"/>
      <c r="E1014" s="53"/>
      <c r="F1014" s="54"/>
      <c r="G1014" s="54"/>
      <c r="H1014" s="54"/>
      <c r="I1014" s="66"/>
      <c r="J1014" s="54"/>
      <c r="K1014" s="54"/>
      <c r="L1014" s="54"/>
      <c r="M1014" s="97" t="str">
        <f t="shared" si="102"/>
        <v/>
      </c>
      <c r="N1014" s="70"/>
      <c r="O1014" s="71" t="str">
        <f t="shared" si="106"/>
        <v/>
      </c>
      <c r="P1014" s="66"/>
      <c r="Q1014" s="66"/>
      <c r="R1014" s="54"/>
      <c r="S1014" s="82"/>
      <c r="T1014" s="83" t="str">
        <f t="shared" si="103"/>
        <v/>
      </c>
      <c r="U1014" s="10"/>
      <c r="V1014" s="41">
        <f>IF(AND(Q1014&lt;&gt;"",RIGHT(Q1014,3)&lt;&gt;""),IF(COUNTIF($Q$6:Q1014,Q1014)=1,1,0),0)</f>
        <v>0</v>
      </c>
      <c r="W1014" s="41" t="str">
        <f t="shared" si="104"/>
        <v/>
      </c>
      <c r="X1014" s="41" t="str">
        <f t="shared" si="105"/>
        <v/>
      </c>
    </row>
    <row r="1015" s="32" customFormat="1" hidden="1" customHeight="1" spans="1:24">
      <c r="A1015" s="34"/>
      <c r="B1015" s="51"/>
      <c r="C1015" s="51"/>
      <c r="D1015" s="52"/>
      <c r="E1015" s="53"/>
      <c r="F1015" s="54"/>
      <c r="G1015" s="54"/>
      <c r="H1015" s="54"/>
      <c r="I1015" s="66"/>
      <c r="J1015" s="54"/>
      <c r="K1015" s="54"/>
      <c r="L1015" s="54"/>
      <c r="M1015" s="97" t="str">
        <f t="shared" si="102"/>
        <v/>
      </c>
      <c r="N1015" s="70"/>
      <c r="O1015" s="71" t="str">
        <f t="shared" si="106"/>
        <v/>
      </c>
      <c r="P1015" s="66"/>
      <c r="Q1015" s="66"/>
      <c r="R1015" s="54"/>
      <c r="S1015" s="82"/>
      <c r="T1015" s="83" t="str">
        <f t="shared" si="103"/>
        <v/>
      </c>
      <c r="U1015" s="10"/>
      <c r="V1015" s="41">
        <f>IF(AND(Q1015&lt;&gt;"",RIGHT(Q1015,3)&lt;&gt;""),IF(COUNTIF($Q$6:Q1015,Q1015)=1,1,0),0)</f>
        <v>0</v>
      </c>
      <c r="W1015" s="41" t="str">
        <f t="shared" si="104"/>
        <v/>
      </c>
      <c r="X1015" s="41" t="str">
        <f t="shared" si="105"/>
        <v/>
      </c>
    </row>
    <row r="1016" s="32" customFormat="1" hidden="1" customHeight="1" spans="1:24">
      <c r="A1016" s="34"/>
      <c r="B1016" s="51"/>
      <c r="C1016" s="51"/>
      <c r="D1016" s="52"/>
      <c r="E1016" s="53"/>
      <c r="F1016" s="54"/>
      <c r="G1016" s="54"/>
      <c r="H1016" s="54"/>
      <c r="I1016" s="66"/>
      <c r="J1016" s="54"/>
      <c r="K1016" s="54"/>
      <c r="L1016" s="54"/>
      <c r="M1016" s="97" t="str">
        <f t="shared" si="102"/>
        <v/>
      </c>
      <c r="N1016" s="70"/>
      <c r="O1016" s="71" t="str">
        <f t="shared" si="106"/>
        <v/>
      </c>
      <c r="P1016" s="66"/>
      <c r="Q1016" s="66"/>
      <c r="R1016" s="54"/>
      <c r="S1016" s="82"/>
      <c r="T1016" s="83" t="str">
        <f t="shared" si="103"/>
        <v/>
      </c>
      <c r="U1016" s="10"/>
      <c r="V1016" s="41">
        <f>IF(AND(Q1016&lt;&gt;"",RIGHT(Q1016,3)&lt;&gt;""),IF(COUNTIF($Q$6:Q1016,Q1016)=1,1,0),0)</f>
        <v>0</v>
      </c>
      <c r="W1016" s="41" t="str">
        <f t="shared" si="104"/>
        <v/>
      </c>
      <c r="X1016" s="41" t="str">
        <f t="shared" si="105"/>
        <v/>
      </c>
    </row>
    <row r="1017" s="32" customFormat="1" hidden="1" customHeight="1" spans="1:24">
      <c r="A1017" s="34"/>
      <c r="B1017" s="51"/>
      <c r="C1017" s="51"/>
      <c r="D1017" s="52"/>
      <c r="E1017" s="53"/>
      <c r="F1017" s="54"/>
      <c r="G1017" s="54"/>
      <c r="H1017" s="54"/>
      <c r="I1017" s="66"/>
      <c r="J1017" s="54"/>
      <c r="K1017" s="54"/>
      <c r="L1017" s="54"/>
      <c r="M1017" s="97" t="str">
        <f t="shared" si="102"/>
        <v/>
      </c>
      <c r="N1017" s="70"/>
      <c r="O1017" s="71" t="str">
        <f t="shared" si="106"/>
        <v/>
      </c>
      <c r="P1017" s="66"/>
      <c r="Q1017" s="66"/>
      <c r="R1017" s="54"/>
      <c r="S1017" s="82"/>
      <c r="T1017" s="83" t="str">
        <f t="shared" si="103"/>
        <v/>
      </c>
      <c r="U1017" s="10"/>
      <c r="V1017" s="41">
        <f>IF(AND(Q1017&lt;&gt;"",RIGHT(Q1017,3)&lt;&gt;""),IF(COUNTIF($Q$6:Q1017,Q1017)=1,1,0),0)</f>
        <v>0</v>
      </c>
      <c r="W1017" s="41" t="str">
        <f t="shared" si="104"/>
        <v/>
      </c>
      <c r="X1017" s="41" t="str">
        <f t="shared" si="105"/>
        <v/>
      </c>
    </row>
    <row r="1018" s="32" customFormat="1" hidden="1" customHeight="1" spans="1:24">
      <c r="A1018" s="34"/>
      <c r="B1018" s="51"/>
      <c r="C1018" s="51"/>
      <c r="D1018" s="52"/>
      <c r="E1018" s="53"/>
      <c r="F1018" s="54"/>
      <c r="G1018" s="54"/>
      <c r="H1018" s="54"/>
      <c r="I1018" s="66"/>
      <c r="J1018" s="54"/>
      <c r="K1018" s="54"/>
      <c r="L1018" s="54"/>
      <c r="M1018" s="97" t="str">
        <f t="shared" si="102"/>
        <v/>
      </c>
      <c r="N1018" s="70"/>
      <c r="O1018" s="71" t="str">
        <f t="shared" si="106"/>
        <v/>
      </c>
      <c r="P1018" s="66"/>
      <c r="Q1018" s="66"/>
      <c r="R1018" s="54"/>
      <c r="S1018" s="82"/>
      <c r="T1018" s="83" t="str">
        <f t="shared" si="103"/>
        <v/>
      </c>
      <c r="U1018" s="10"/>
      <c r="V1018" s="41">
        <f>IF(AND(Q1018&lt;&gt;"",RIGHT(Q1018,3)&lt;&gt;""),IF(COUNTIF($Q$6:Q1018,Q1018)=1,1,0),0)</f>
        <v>0</v>
      </c>
      <c r="W1018" s="41" t="str">
        <f t="shared" si="104"/>
        <v/>
      </c>
      <c r="X1018" s="41" t="str">
        <f t="shared" si="105"/>
        <v/>
      </c>
    </row>
    <row r="1019" s="32" customFormat="1" hidden="1" customHeight="1" spans="1:24">
      <c r="A1019" s="34"/>
      <c r="B1019" s="51"/>
      <c r="C1019" s="51"/>
      <c r="D1019" s="52"/>
      <c r="E1019" s="53"/>
      <c r="F1019" s="54"/>
      <c r="G1019" s="54"/>
      <c r="H1019" s="54"/>
      <c r="I1019" s="66"/>
      <c r="J1019" s="54"/>
      <c r="K1019" s="54"/>
      <c r="L1019" s="54"/>
      <c r="M1019" s="97" t="str">
        <f t="shared" si="102"/>
        <v/>
      </c>
      <c r="N1019" s="70"/>
      <c r="O1019" s="71" t="str">
        <f t="shared" si="106"/>
        <v/>
      </c>
      <c r="P1019" s="66"/>
      <c r="Q1019" s="66"/>
      <c r="R1019" s="54"/>
      <c r="S1019" s="82"/>
      <c r="T1019" s="83" t="str">
        <f t="shared" si="103"/>
        <v/>
      </c>
      <c r="U1019" s="10"/>
      <c r="V1019" s="41">
        <f>IF(AND(Q1019&lt;&gt;"",RIGHT(Q1019,3)&lt;&gt;""),IF(COUNTIF($Q$6:Q1019,Q1019)=1,1,0),0)</f>
        <v>0</v>
      </c>
      <c r="W1019" s="41" t="str">
        <f t="shared" si="104"/>
        <v/>
      </c>
      <c r="X1019" s="41" t="str">
        <f t="shared" si="105"/>
        <v/>
      </c>
    </row>
    <row r="1020" s="32" customFormat="1" hidden="1" customHeight="1" spans="1:24">
      <c r="A1020" s="34"/>
      <c r="B1020" s="51"/>
      <c r="C1020" s="51"/>
      <c r="D1020" s="52"/>
      <c r="E1020" s="53"/>
      <c r="F1020" s="54"/>
      <c r="G1020" s="54"/>
      <c r="H1020" s="54"/>
      <c r="I1020" s="66"/>
      <c r="J1020" s="54"/>
      <c r="K1020" s="54"/>
      <c r="L1020" s="54"/>
      <c r="M1020" s="97" t="str">
        <f t="shared" si="102"/>
        <v/>
      </c>
      <c r="N1020" s="70"/>
      <c r="O1020" s="71" t="str">
        <f t="shared" si="106"/>
        <v/>
      </c>
      <c r="P1020" s="66"/>
      <c r="Q1020" s="66"/>
      <c r="R1020" s="54"/>
      <c r="S1020" s="82"/>
      <c r="T1020" s="83" t="str">
        <f t="shared" si="103"/>
        <v/>
      </c>
      <c r="U1020" s="10"/>
      <c r="V1020" s="41">
        <f>IF(AND(Q1020&lt;&gt;"",RIGHT(Q1020,3)&lt;&gt;""),IF(COUNTIF($Q$6:Q1020,Q1020)=1,1,0),0)</f>
        <v>0</v>
      </c>
      <c r="W1020" s="41" t="str">
        <f t="shared" si="104"/>
        <v/>
      </c>
      <c r="X1020" s="41" t="str">
        <f t="shared" si="105"/>
        <v/>
      </c>
    </row>
    <row r="1021" s="32" customFormat="1" hidden="1" customHeight="1" spans="1:24">
      <c r="A1021" s="34"/>
      <c r="B1021" s="51"/>
      <c r="C1021" s="51"/>
      <c r="D1021" s="52"/>
      <c r="E1021" s="53"/>
      <c r="F1021" s="54"/>
      <c r="G1021" s="54"/>
      <c r="H1021" s="54"/>
      <c r="I1021" s="66"/>
      <c r="J1021" s="54"/>
      <c r="K1021" s="54"/>
      <c r="L1021" s="54"/>
      <c r="M1021" s="97" t="str">
        <f t="shared" si="102"/>
        <v/>
      </c>
      <c r="N1021" s="70"/>
      <c r="O1021" s="71" t="str">
        <f t="shared" si="106"/>
        <v/>
      </c>
      <c r="P1021" s="66"/>
      <c r="Q1021" s="66"/>
      <c r="R1021" s="54"/>
      <c r="S1021" s="82"/>
      <c r="T1021" s="83" t="str">
        <f t="shared" si="103"/>
        <v/>
      </c>
      <c r="U1021" s="10"/>
      <c r="V1021" s="41">
        <f>IF(AND(Q1021&lt;&gt;"",RIGHT(Q1021,3)&lt;&gt;""),IF(COUNTIF($Q$6:Q1021,Q1021)=1,1,0),0)</f>
        <v>0</v>
      </c>
      <c r="W1021" s="41" t="str">
        <f t="shared" si="104"/>
        <v/>
      </c>
      <c r="X1021" s="41" t="str">
        <f t="shared" si="105"/>
        <v/>
      </c>
    </row>
    <row r="1022" s="32" customFormat="1" hidden="1" customHeight="1" spans="1:24">
      <c r="A1022" s="34"/>
      <c r="B1022" s="51"/>
      <c r="C1022" s="51"/>
      <c r="D1022" s="52"/>
      <c r="E1022" s="53"/>
      <c r="F1022" s="54"/>
      <c r="G1022" s="54"/>
      <c r="H1022" s="54"/>
      <c r="I1022" s="66"/>
      <c r="J1022" s="54"/>
      <c r="K1022" s="54"/>
      <c r="L1022" s="54"/>
      <c r="M1022" s="97" t="str">
        <f t="shared" si="102"/>
        <v/>
      </c>
      <c r="N1022" s="70"/>
      <c r="O1022" s="71" t="str">
        <f t="shared" si="106"/>
        <v/>
      </c>
      <c r="P1022" s="66"/>
      <c r="Q1022" s="66"/>
      <c r="R1022" s="54"/>
      <c r="S1022" s="82"/>
      <c r="T1022" s="83" t="str">
        <f t="shared" si="103"/>
        <v/>
      </c>
      <c r="U1022" s="10"/>
      <c r="V1022" s="41">
        <f>IF(AND(Q1022&lt;&gt;"",RIGHT(Q1022,3)&lt;&gt;""),IF(COUNTIF($Q$6:Q1022,Q1022)=1,1,0),0)</f>
        <v>0</v>
      </c>
      <c r="W1022" s="41" t="str">
        <f t="shared" si="104"/>
        <v/>
      </c>
      <c r="X1022" s="41" t="str">
        <f t="shared" si="105"/>
        <v/>
      </c>
    </row>
    <row r="1023" s="32" customFormat="1" hidden="1" customHeight="1" spans="1:24">
      <c r="A1023" s="34"/>
      <c r="B1023" s="51"/>
      <c r="C1023" s="51"/>
      <c r="D1023" s="52"/>
      <c r="E1023" s="53"/>
      <c r="F1023" s="54"/>
      <c r="G1023" s="54"/>
      <c r="H1023" s="54"/>
      <c r="I1023" s="66"/>
      <c r="J1023" s="54"/>
      <c r="K1023" s="54"/>
      <c r="L1023" s="54"/>
      <c r="M1023" s="97" t="str">
        <f t="shared" si="102"/>
        <v/>
      </c>
      <c r="N1023" s="70"/>
      <c r="O1023" s="71" t="str">
        <f t="shared" si="106"/>
        <v/>
      </c>
      <c r="P1023" s="66"/>
      <c r="Q1023" s="66"/>
      <c r="R1023" s="54"/>
      <c r="S1023" s="82"/>
      <c r="T1023" s="83" t="str">
        <f t="shared" si="103"/>
        <v/>
      </c>
      <c r="U1023" s="10"/>
      <c r="V1023" s="41">
        <f>IF(AND(Q1023&lt;&gt;"",RIGHT(Q1023,3)&lt;&gt;""),IF(COUNTIF($Q$6:Q1023,Q1023)=1,1,0),0)</f>
        <v>0</v>
      </c>
      <c r="W1023" s="41" t="str">
        <f t="shared" si="104"/>
        <v/>
      </c>
      <c r="X1023" s="41" t="str">
        <f t="shared" si="105"/>
        <v/>
      </c>
    </row>
    <row r="1024" s="32" customFormat="1" hidden="1" customHeight="1" spans="1:24">
      <c r="A1024" s="34"/>
      <c r="B1024" s="51"/>
      <c r="C1024" s="51"/>
      <c r="D1024" s="52"/>
      <c r="E1024" s="53"/>
      <c r="F1024" s="54"/>
      <c r="G1024" s="54"/>
      <c r="H1024" s="54"/>
      <c r="I1024" s="66"/>
      <c r="J1024" s="54"/>
      <c r="K1024" s="54"/>
      <c r="L1024" s="54"/>
      <c r="M1024" s="97" t="str">
        <f t="shared" si="102"/>
        <v/>
      </c>
      <c r="N1024" s="70"/>
      <c r="O1024" s="71" t="str">
        <f t="shared" si="106"/>
        <v/>
      </c>
      <c r="P1024" s="66"/>
      <c r="Q1024" s="66"/>
      <c r="R1024" s="54"/>
      <c r="S1024" s="82"/>
      <c r="T1024" s="83" t="str">
        <f t="shared" si="103"/>
        <v/>
      </c>
      <c r="U1024" s="10"/>
      <c r="V1024" s="41">
        <f>IF(AND(Q1024&lt;&gt;"",RIGHT(Q1024,3)&lt;&gt;""),IF(COUNTIF($Q$6:Q1024,Q1024)=1,1,0),0)</f>
        <v>0</v>
      </c>
      <c r="W1024" s="41" t="str">
        <f t="shared" si="104"/>
        <v/>
      </c>
      <c r="X1024" s="41" t="str">
        <f t="shared" si="105"/>
        <v/>
      </c>
    </row>
    <row r="1025" s="32" customFormat="1" hidden="1" customHeight="1" spans="1:24">
      <c r="A1025" s="34"/>
      <c r="B1025" s="51"/>
      <c r="C1025" s="51"/>
      <c r="D1025" s="52"/>
      <c r="E1025" s="53"/>
      <c r="F1025" s="54"/>
      <c r="G1025" s="54"/>
      <c r="H1025" s="54"/>
      <c r="I1025" s="66"/>
      <c r="J1025" s="54"/>
      <c r="K1025" s="54"/>
      <c r="L1025" s="54"/>
      <c r="M1025" s="97" t="str">
        <f t="shared" si="102"/>
        <v/>
      </c>
      <c r="N1025" s="70"/>
      <c r="O1025" s="71" t="str">
        <f t="shared" si="106"/>
        <v/>
      </c>
      <c r="P1025" s="66"/>
      <c r="Q1025" s="66"/>
      <c r="R1025" s="54"/>
      <c r="S1025" s="82"/>
      <c r="T1025" s="83" t="str">
        <f t="shared" si="103"/>
        <v/>
      </c>
      <c r="U1025" s="10"/>
      <c r="V1025" s="41">
        <f>IF(AND(Q1025&lt;&gt;"",RIGHT(Q1025,3)&lt;&gt;""),IF(COUNTIF($Q$6:Q1025,Q1025)=1,1,0),0)</f>
        <v>0</v>
      </c>
      <c r="W1025" s="41" t="str">
        <f t="shared" si="104"/>
        <v/>
      </c>
      <c r="X1025" s="41" t="str">
        <f t="shared" si="105"/>
        <v/>
      </c>
    </row>
    <row r="1026" s="32" customFormat="1" hidden="1" customHeight="1" spans="1:24">
      <c r="A1026" s="34"/>
      <c r="B1026" s="51"/>
      <c r="C1026" s="51"/>
      <c r="D1026" s="52"/>
      <c r="E1026" s="53"/>
      <c r="F1026" s="54"/>
      <c r="G1026" s="54"/>
      <c r="H1026" s="54"/>
      <c r="I1026" s="66"/>
      <c r="J1026" s="54"/>
      <c r="K1026" s="54"/>
      <c r="L1026" s="54"/>
      <c r="M1026" s="97" t="str">
        <f t="shared" si="102"/>
        <v/>
      </c>
      <c r="N1026" s="70"/>
      <c r="O1026" s="71" t="str">
        <f t="shared" si="106"/>
        <v/>
      </c>
      <c r="P1026" s="66"/>
      <c r="Q1026" s="66"/>
      <c r="R1026" s="54"/>
      <c r="S1026" s="82"/>
      <c r="T1026" s="83" t="str">
        <f t="shared" si="103"/>
        <v/>
      </c>
      <c r="U1026" s="10"/>
      <c r="V1026" s="41">
        <f>IF(AND(Q1026&lt;&gt;"",RIGHT(Q1026,3)&lt;&gt;""),IF(COUNTIF($Q$6:Q1026,Q1026)=1,1,0),0)</f>
        <v>0</v>
      </c>
      <c r="W1026" s="41" t="str">
        <f t="shared" si="104"/>
        <v/>
      </c>
      <c r="X1026" s="41" t="str">
        <f t="shared" si="105"/>
        <v/>
      </c>
    </row>
    <row r="1027" s="32" customFormat="1" hidden="1" customHeight="1" spans="1:24">
      <c r="A1027" s="34"/>
      <c r="B1027" s="51"/>
      <c r="C1027" s="51"/>
      <c r="D1027" s="52"/>
      <c r="E1027" s="53"/>
      <c r="F1027" s="54"/>
      <c r="G1027" s="54"/>
      <c r="H1027" s="54"/>
      <c r="I1027" s="66"/>
      <c r="J1027" s="54"/>
      <c r="K1027" s="54"/>
      <c r="L1027" s="54"/>
      <c r="M1027" s="97" t="str">
        <f t="shared" si="102"/>
        <v/>
      </c>
      <c r="N1027" s="70"/>
      <c r="O1027" s="71" t="str">
        <f t="shared" si="106"/>
        <v/>
      </c>
      <c r="P1027" s="66"/>
      <c r="Q1027" s="66"/>
      <c r="R1027" s="54"/>
      <c r="S1027" s="82"/>
      <c r="T1027" s="83" t="str">
        <f t="shared" si="103"/>
        <v/>
      </c>
      <c r="U1027" s="10"/>
      <c r="V1027" s="41">
        <f>IF(AND(Q1027&lt;&gt;"",RIGHT(Q1027,3)&lt;&gt;""),IF(COUNTIF($Q$6:Q1027,Q1027)=1,1,0),0)</f>
        <v>0</v>
      </c>
      <c r="W1027" s="41" t="str">
        <f t="shared" si="104"/>
        <v/>
      </c>
      <c r="X1027" s="41" t="str">
        <f t="shared" si="105"/>
        <v/>
      </c>
    </row>
    <row r="1028" s="32" customFormat="1" hidden="1" customHeight="1" spans="1:24">
      <c r="A1028" s="34"/>
      <c r="B1028" s="51"/>
      <c r="C1028" s="51"/>
      <c r="D1028" s="52"/>
      <c r="E1028" s="53"/>
      <c r="F1028" s="54"/>
      <c r="G1028" s="54"/>
      <c r="H1028" s="54"/>
      <c r="I1028" s="66"/>
      <c r="J1028" s="54"/>
      <c r="K1028" s="54"/>
      <c r="L1028" s="54"/>
      <c r="M1028" s="97" t="str">
        <f t="shared" si="102"/>
        <v/>
      </c>
      <c r="N1028" s="70"/>
      <c r="O1028" s="71" t="str">
        <f t="shared" si="106"/>
        <v/>
      </c>
      <c r="P1028" s="66"/>
      <c r="Q1028" s="66"/>
      <c r="R1028" s="54"/>
      <c r="S1028" s="82"/>
      <c r="T1028" s="83" t="str">
        <f t="shared" si="103"/>
        <v/>
      </c>
      <c r="U1028" s="10"/>
      <c r="V1028" s="41">
        <f>IF(AND(Q1028&lt;&gt;"",RIGHT(Q1028,3)&lt;&gt;""),IF(COUNTIF($Q$6:Q1028,Q1028)=1,1,0),0)</f>
        <v>0</v>
      </c>
      <c r="W1028" s="41" t="str">
        <f t="shared" si="104"/>
        <v/>
      </c>
      <c r="X1028" s="41" t="str">
        <f t="shared" si="105"/>
        <v/>
      </c>
    </row>
    <row r="1029" s="32" customFormat="1" hidden="1" customHeight="1" spans="1:24">
      <c r="A1029" s="34"/>
      <c r="B1029" s="51"/>
      <c r="C1029" s="51"/>
      <c r="D1029" s="52"/>
      <c r="E1029" s="53"/>
      <c r="F1029" s="54"/>
      <c r="G1029" s="54"/>
      <c r="H1029" s="54"/>
      <c r="I1029" s="66"/>
      <c r="J1029" s="54"/>
      <c r="K1029" s="54"/>
      <c r="L1029" s="54"/>
      <c r="M1029" s="97" t="str">
        <f t="shared" si="102"/>
        <v/>
      </c>
      <c r="N1029" s="70"/>
      <c r="O1029" s="71" t="str">
        <f t="shared" si="106"/>
        <v/>
      </c>
      <c r="P1029" s="66"/>
      <c r="Q1029" s="66"/>
      <c r="R1029" s="54"/>
      <c r="S1029" s="82"/>
      <c r="T1029" s="83" t="str">
        <f t="shared" si="103"/>
        <v/>
      </c>
      <c r="U1029" s="10"/>
      <c r="V1029" s="41">
        <f>IF(AND(Q1029&lt;&gt;"",RIGHT(Q1029,3)&lt;&gt;""),IF(COUNTIF($Q$6:Q1029,Q1029)=1,1,0),0)</f>
        <v>0</v>
      </c>
      <c r="W1029" s="41" t="str">
        <f t="shared" si="104"/>
        <v/>
      </c>
      <c r="X1029" s="41" t="str">
        <f t="shared" si="105"/>
        <v/>
      </c>
    </row>
    <row r="1030" s="32" customFormat="1" hidden="1" customHeight="1" spans="1:24">
      <c r="A1030" s="34"/>
      <c r="B1030" s="51"/>
      <c r="C1030" s="51"/>
      <c r="D1030" s="52"/>
      <c r="E1030" s="53"/>
      <c r="F1030" s="54"/>
      <c r="G1030" s="54"/>
      <c r="H1030" s="54"/>
      <c r="I1030" s="66"/>
      <c r="J1030" s="54"/>
      <c r="K1030" s="54"/>
      <c r="L1030" s="54"/>
      <c r="M1030" s="97" t="str">
        <f t="shared" si="102"/>
        <v/>
      </c>
      <c r="N1030" s="70"/>
      <c r="O1030" s="71" t="str">
        <f t="shared" si="106"/>
        <v/>
      </c>
      <c r="P1030" s="66"/>
      <c r="Q1030" s="66"/>
      <c r="R1030" s="54"/>
      <c r="S1030" s="82"/>
      <c r="T1030" s="83" t="str">
        <f t="shared" si="103"/>
        <v/>
      </c>
      <c r="U1030" s="10"/>
      <c r="V1030" s="41">
        <f>IF(AND(Q1030&lt;&gt;"",RIGHT(Q1030,3)&lt;&gt;""),IF(COUNTIF($Q$6:Q1030,Q1030)=1,1,0),0)</f>
        <v>0</v>
      </c>
      <c r="W1030" s="41" t="str">
        <f t="shared" si="104"/>
        <v/>
      </c>
      <c r="X1030" s="41" t="str">
        <f t="shared" si="105"/>
        <v/>
      </c>
    </row>
    <row r="1031" s="32" customFormat="1" hidden="1" customHeight="1" spans="1:24">
      <c r="A1031" s="34"/>
      <c r="B1031" s="51"/>
      <c r="C1031" s="51"/>
      <c r="D1031" s="52"/>
      <c r="E1031" s="53"/>
      <c r="F1031" s="54"/>
      <c r="G1031" s="54"/>
      <c r="H1031" s="54"/>
      <c r="I1031" s="66"/>
      <c r="J1031" s="54"/>
      <c r="K1031" s="54"/>
      <c r="L1031" s="54"/>
      <c r="M1031" s="97" t="str">
        <f t="shared" si="102"/>
        <v/>
      </c>
      <c r="N1031" s="70"/>
      <c r="O1031" s="71" t="str">
        <f t="shared" si="106"/>
        <v/>
      </c>
      <c r="P1031" s="66"/>
      <c r="Q1031" s="66"/>
      <c r="R1031" s="54"/>
      <c r="S1031" s="82"/>
      <c r="T1031" s="83" t="str">
        <f t="shared" si="103"/>
        <v/>
      </c>
      <c r="U1031" s="10"/>
      <c r="V1031" s="41">
        <f>IF(AND(Q1031&lt;&gt;"",RIGHT(Q1031,3)&lt;&gt;""),IF(COUNTIF($Q$6:Q1031,Q1031)=1,1,0),0)</f>
        <v>0</v>
      </c>
      <c r="W1031" s="41" t="str">
        <f t="shared" si="104"/>
        <v/>
      </c>
      <c r="X1031" s="41" t="str">
        <f t="shared" si="105"/>
        <v/>
      </c>
    </row>
    <row r="1032" s="32" customFormat="1" hidden="1" customHeight="1" spans="1:24">
      <c r="A1032" s="34"/>
      <c r="B1032" s="51"/>
      <c r="C1032" s="51"/>
      <c r="D1032" s="52"/>
      <c r="E1032" s="53"/>
      <c r="F1032" s="54"/>
      <c r="G1032" s="54"/>
      <c r="H1032" s="54"/>
      <c r="I1032" s="66"/>
      <c r="J1032" s="54"/>
      <c r="K1032" s="54"/>
      <c r="L1032" s="54"/>
      <c r="M1032" s="97" t="str">
        <f t="shared" si="102"/>
        <v/>
      </c>
      <c r="N1032" s="70"/>
      <c r="O1032" s="71" t="str">
        <f t="shared" si="106"/>
        <v/>
      </c>
      <c r="P1032" s="66"/>
      <c r="Q1032" s="66"/>
      <c r="R1032" s="54"/>
      <c r="S1032" s="82"/>
      <c r="T1032" s="83" t="str">
        <f t="shared" si="103"/>
        <v/>
      </c>
      <c r="U1032" s="10"/>
      <c r="V1032" s="41">
        <f>IF(AND(Q1032&lt;&gt;"",RIGHT(Q1032,3)&lt;&gt;""),IF(COUNTIF($Q$6:Q1032,Q1032)=1,1,0),0)</f>
        <v>0</v>
      </c>
      <c r="W1032" s="41" t="str">
        <f t="shared" si="104"/>
        <v/>
      </c>
      <c r="X1032" s="41" t="str">
        <f t="shared" si="105"/>
        <v/>
      </c>
    </row>
    <row r="1033" s="32" customFormat="1" hidden="1" customHeight="1" spans="1:24">
      <c r="A1033" s="34"/>
      <c r="B1033" s="51"/>
      <c r="C1033" s="51"/>
      <c r="D1033" s="52"/>
      <c r="E1033" s="53"/>
      <c r="F1033" s="54"/>
      <c r="G1033" s="54"/>
      <c r="H1033" s="54"/>
      <c r="I1033" s="66"/>
      <c r="J1033" s="54"/>
      <c r="K1033" s="54"/>
      <c r="L1033" s="54"/>
      <c r="M1033" s="97" t="str">
        <f t="shared" si="102"/>
        <v/>
      </c>
      <c r="N1033" s="70"/>
      <c r="O1033" s="71" t="str">
        <f t="shared" si="106"/>
        <v/>
      </c>
      <c r="P1033" s="66"/>
      <c r="Q1033" s="66"/>
      <c r="R1033" s="54"/>
      <c r="S1033" s="82"/>
      <c r="T1033" s="83" t="str">
        <f t="shared" si="103"/>
        <v/>
      </c>
      <c r="U1033" s="10"/>
      <c r="V1033" s="41">
        <f>IF(AND(Q1033&lt;&gt;"",RIGHT(Q1033,3)&lt;&gt;""),IF(COUNTIF($Q$6:Q1033,Q1033)=1,1,0),0)</f>
        <v>0</v>
      </c>
      <c r="W1033" s="41" t="str">
        <f t="shared" si="104"/>
        <v/>
      </c>
      <c r="X1033" s="41" t="str">
        <f t="shared" si="105"/>
        <v/>
      </c>
    </row>
    <row r="1034" s="32" customFormat="1" hidden="1" customHeight="1" spans="1:24">
      <c r="A1034" s="34"/>
      <c r="B1034" s="51"/>
      <c r="C1034" s="51"/>
      <c r="D1034" s="52"/>
      <c r="E1034" s="53"/>
      <c r="F1034" s="54"/>
      <c r="G1034" s="54"/>
      <c r="H1034" s="54"/>
      <c r="I1034" s="66"/>
      <c r="J1034" s="54"/>
      <c r="K1034" s="54"/>
      <c r="L1034" s="54"/>
      <c r="M1034" s="97" t="str">
        <f t="shared" si="102"/>
        <v/>
      </c>
      <c r="N1034" s="70"/>
      <c r="O1034" s="71" t="str">
        <f t="shared" si="106"/>
        <v/>
      </c>
      <c r="P1034" s="66"/>
      <c r="Q1034" s="66"/>
      <c r="R1034" s="54"/>
      <c r="S1034" s="82"/>
      <c r="T1034" s="83" t="str">
        <f t="shared" si="103"/>
        <v/>
      </c>
      <c r="U1034" s="10"/>
      <c r="V1034" s="41">
        <f>IF(AND(Q1034&lt;&gt;"",RIGHT(Q1034,3)&lt;&gt;""),IF(COUNTIF($Q$6:Q1034,Q1034)=1,1,0),0)</f>
        <v>0</v>
      </c>
      <c r="W1034" s="41" t="str">
        <f t="shared" si="104"/>
        <v/>
      </c>
      <c r="X1034" s="41" t="str">
        <f t="shared" si="105"/>
        <v/>
      </c>
    </row>
    <row r="1035" s="32" customFormat="1" hidden="1" customHeight="1" spans="1:24">
      <c r="A1035" s="34"/>
      <c r="B1035" s="51"/>
      <c r="C1035" s="51"/>
      <c r="D1035" s="52"/>
      <c r="E1035" s="53"/>
      <c r="F1035" s="54"/>
      <c r="G1035" s="54"/>
      <c r="H1035" s="54"/>
      <c r="I1035" s="66"/>
      <c r="J1035" s="54"/>
      <c r="K1035" s="54"/>
      <c r="L1035" s="54"/>
      <c r="M1035" s="97" t="str">
        <f t="shared" si="102"/>
        <v/>
      </c>
      <c r="N1035" s="70"/>
      <c r="O1035" s="71" t="str">
        <f t="shared" si="106"/>
        <v/>
      </c>
      <c r="P1035" s="66"/>
      <c r="Q1035" s="66"/>
      <c r="R1035" s="54"/>
      <c r="S1035" s="82"/>
      <c r="T1035" s="83" t="str">
        <f t="shared" si="103"/>
        <v/>
      </c>
      <c r="U1035" s="10"/>
      <c r="V1035" s="41">
        <f>IF(AND(Q1035&lt;&gt;"",RIGHT(Q1035,3)&lt;&gt;""),IF(COUNTIF($Q$6:Q1035,Q1035)=1,1,0),0)</f>
        <v>0</v>
      </c>
      <c r="W1035" s="41" t="str">
        <f t="shared" si="104"/>
        <v/>
      </c>
      <c r="X1035" s="41" t="str">
        <f t="shared" si="105"/>
        <v/>
      </c>
    </row>
    <row r="1036" s="32" customFormat="1" hidden="1" customHeight="1" spans="1:24">
      <c r="A1036" s="34"/>
      <c r="B1036" s="51"/>
      <c r="C1036" s="51"/>
      <c r="D1036" s="52"/>
      <c r="E1036" s="53"/>
      <c r="F1036" s="54"/>
      <c r="G1036" s="54"/>
      <c r="H1036" s="54"/>
      <c r="I1036" s="66"/>
      <c r="J1036" s="54"/>
      <c r="K1036" s="54"/>
      <c r="L1036" s="54"/>
      <c r="M1036" s="97" t="str">
        <f t="shared" si="102"/>
        <v/>
      </c>
      <c r="N1036" s="70"/>
      <c r="O1036" s="71" t="str">
        <f t="shared" si="106"/>
        <v/>
      </c>
      <c r="P1036" s="66"/>
      <c r="Q1036" s="66"/>
      <c r="R1036" s="54"/>
      <c r="S1036" s="82"/>
      <c r="T1036" s="83" t="str">
        <f t="shared" si="103"/>
        <v/>
      </c>
      <c r="U1036" s="10"/>
      <c r="V1036" s="41">
        <f>IF(AND(Q1036&lt;&gt;"",RIGHT(Q1036,3)&lt;&gt;""),IF(COUNTIF($Q$6:Q1036,Q1036)=1,1,0),0)</f>
        <v>0</v>
      </c>
      <c r="W1036" s="41" t="str">
        <f t="shared" si="104"/>
        <v/>
      </c>
      <c r="X1036" s="41" t="str">
        <f t="shared" si="105"/>
        <v/>
      </c>
    </row>
    <row r="1037" s="32" customFormat="1" hidden="1" customHeight="1" spans="1:24">
      <c r="A1037" s="34"/>
      <c r="B1037" s="51"/>
      <c r="C1037" s="51"/>
      <c r="D1037" s="52"/>
      <c r="E1037" s="53"/>
      <c r="F1037" s="54"/>
      <c r="G1037" s="54"/>
      <c r="H1037" s="54"/>
      <c r="I1037" s="66"/>
      <c r="J1037" s="54"/>
      <c r="K1037" s="54"/>
      <c r="L1037" s="54"/>
      <c r="M1037" s="97" t="str">
        <f t="shared" si="102"/>
        <v/>
      </c>
      <c r="N1037" s="70"/>
      <c r="O1037" s="71" t="str">
        <f t="shared" si="106"/>
        <v/>
      </c>
      <c r="P1037" s="66"/>
      <c r="Q1037" s="66"/>
      <c r="R1037" s="54"/>
      <c r="S1037" s="82"/>
      <c r="T1037" s="83" t="str">
        <f t="shared" si="103"/>
        <v/>
      </c>
      <c r="U1037" s="10"/>
      <c r="V1037" s="41">
        <f>IF(AND(Q1037&lt;&gt;"",RIGHT(Q1037,3)&lt;&gt;""),IF(COUNTIF($Q$6:Q1037,Q1037)=1,1,0),0)</f>
        <v>0</v>
      </c>
      <c r="W1037" s="41" t="str">
        <f t="shared" si="104"/>
        <v/>
      </c>
      <c r="X1037" s="41" t="str">
        <f t="shared" si="105"/>
        <v/>
      </c>
    </row>
    <row r="1038" s="32" customFormat="1" hidden="1" customHeight="1" spans="1:24">
      <c r="A1038" s="34"/>
      <c r="B1038" s="51"/>
      <c r="C1038" s="51"/>
      <c r="D1038" s="52"/>
      <c r="E1038" s="53"/>
      <c r="F1038" s="54"/>
      <c r="G1038" s="54"/>
      <c r="H1038" s="54"/>
      <c r="I1038" s="66"/>
      <c r="J1038" s="54"/>
      <c r="K1038" s="54"/>
      <c r="L1038" s="54"/>
      <c r="M1038" s="97" t="str">
        <f t="shared" si="102"/>
        <v/>
      </c>
      <c r="N1038" s="70"/>
      <c r="O1038" s="71" t="str">
        <f t="shared" si="106"/>
        <v/>
      </c>
      <c r="P1038" s="66"/>
      <c r="Q1038" s="66"/>
      <c r="R1038" s="54"/>
      <c r="S1038" s="82"/>
      <c r="T1038" s="83" t="str">
        <f t="shared" si="103"/>
        <v/>
      </c>
      <c r="U1038" s="10"/>
      <c r="V1038" s="41">
        <f>IF(AND(Q1038&lt;&gt;"",RIGHT(Q1038,3)&lt;&gt;""),IF(COUNTIF($Q$6:Q1038,Q1038)=1,1,0),0)</f>
        <v>0</v>
      </c>
      <c r="W1038" s="41" t="str">
        <f t="shared" si="104"/>
        <v/>
      </c>
      <c r="X1038" s="41" t="str">
        <f t="shared" si="105"/>
        <v/>
      </c>
    </row>
    <row r="1039" s="32" customFormat="1" hidden="1" customHeight="1" spans="1:24">
      <c r="A1039" s="34"/>
      <c r="B1039" s="51"/>
      <c r="C1039" s="51"/>
      <c r="D1039" s="52"/>
      <c r="E1039" s="53"/>
      <c r="F1039" s="54"/>
      <c r="G1039" s="54"/>
      <c r="H1039" s="54"/>
      <c r="I1039" s="66"/>
      <c r="J1039" s="54"/>
      <c r="K1039" s="54"/>
      <c r="L1039" s="54"/>
      <c r="M1039" s="97" t="str">
        <f t="shared" si="102"/>
        <v/>
      </c>
      <c r="N1039" s="70"/>
      <c r="O1039" s="71" t="str">
        <f t="shared" si="106"/>
        <v/>
      </c>
      <c r="P1039" s="66"/>
      <c r="Q1039" s="66"/>
      <c r="R1039" s="54"/>
      <c r="S1039" s="82"/>
      <c r="T1039" s="83" t="str">
        <f t="shared" si="103"/>
        <v/>
      </c>
      <c r="U1039" s="10"/>
      <c r="V1039" s="41">
        <f>IF(AND(Q1039&lt;&gt;"",RIGHT(Q1039,3)&lt;&gt;""),IF(COUNTIF($Q$6:Q1039,Q1039)=1,1,0),0)</f>
        <v>0</v>
      </c>
      <c r="W1039" s="41" t="str">
        <f t="shared" si="104"/>
        <v/>
      </c>
      <c r="X1039" s="41" t="str">
        <f t="shared" si="105"/>
        <v/>
      </c>
    </row>
    <row r="1040" s="32" customFormat="1" hidden="1" customHeight="1" spans="1:24">
      <c r="A1040" s="34"/>
      <c r="B1040" s="51"/>
      <c r="C1040" s="51"/>
      <c r="D1040" s="52"/>
      <c r="E1040" s="53"/>
      <c r="F1040" s="54"/>
      <c r="G1040" s="54"/>
      <c r="H1040" s="54"/>
      <c r="I1040" s="66"/>
      <c r="J1040" s="54"/>
      <c r="K1040" s="54"/>
      <c r="L1040" s="54"/>
      <c r="M1040" s="97" t="str">
        <f t="shared" si="102"/>
        <v/>
      </c>
      <c r="N1040" s="70"/>
      <c r="O1040" s="71" t="str">
        <f t="shared" si="106"/>
        <v/>
      </c>
      <c r="P1040" s="66"/>
      <c r="Q1040" s="66"/>
      <c r="R1040" s="54"/>
      <c r="S1040" s="82"/>
      <c r="T1040" s="83" t="str">
        <f t="shared" si="103"/>
        <v/>
      </c>
      <c r="U1040" s="10"/>
      <c r="V1040" s="41">
        <f>IF(AND(Q1040&lt;&gt;"",RIGHT(Q1040,3)&lt;&gt;""),IF(COUNTIF($Q$6:Q1040,Q1040)=1,1,0),0)</f>
        <v>0</v>
      </c>
      <c r="W1040" s="41" t="str">
        <f t="shared" si="104"/>
        <v/>
      </c>
      <c r="X1040" s="41" t="str">
        <f t="shared" si="105"/>
        <v/>
      </c>
    </row>
    <row r="1041" s="32" customFormat="1" hidden="1" customHeight="1" spans="1:24">
      <c r="A1041" s="34"/>
      <c r="B1041" s="51"/>
      <c r="C1041" s="51"/>
      <c r="D1041" s="52"/>
      <c r="E1041" s="53"/>
      <c r="F1041" s="54"/>
      <c r="G1041" s="54"/>
      <c r="H1041" s="54"/>
      <c r="I1041" s="66"/>
      <c r="J1041" s="54"/>
      <c r="K1041" s="54"/>
      <c r="L1041" s="54"/>
      <c r="M1041" s="97" t="str">
        <f t="shared" si="102"/>
        <v/>
      </c>
      <c r="N1041" s="70"/>
      <c r="O1041" s="71" t="str">
        <f t="shared" si="106"/>
        <v/>
      </c>
      <c r="P1041" s="66"/>
      <c r="Q1041" s="66"/>
      <c r="R1041" s="54"/>
      <c r="S1041" s="82"/>
      <c r="T1041" s="83" t="str">
        <f t="shared" si="103"/>
        <v/>
      </c>
      <c r="U1041" s="10"/>
      <c r="V1041" s="41">
        <f>IF(AND(Q1041&lt;&gt;"",RIGHT(Q1041,3)&lt;&gt;""),IF(COUNTIF($Q$6:Q1041,Q1041)=1,1,0),0)</f>
        <v>0</v>
      </c>
      <c r="W1041" s="41" t="str">
        <f t="shared" si="104"/>
        <v/>
      </c>
      <c r="X1041" s="41" t="str">
        <f t="shared" si="105"/>
        <v/>
      </c>
    </row>
    <row r="1042" s="32" customFormat="1" hidden="1" customHeight="1" spans="1:24">
      <c r="A1042" s="34"/>
      <c r="B1042" s="51"/>
      <c r="C1042" s="51"/>
      <c r="D1042" s="52"/>
      <c r="E1042" s="53"/>
      <c r="F1042" s="54"/>
      <c r="G1042" s="54"/>
      <c r="H1042" s="54"/>
      <c r="I1042" s="66"/>
      <c r="J1042" s="54"/>
      <c r="K1042" s="54"/>
      <c r="L1042" s="54"/>
      <c r="M1042" s="97" t="str">
        <f t="shared" si="102"/>
        <v/>
      </c>
      <c r="N1042" s="70"/>
      <c r="O1042" s="71" t="str">
        <f t="shared" si="106"/>
        <v/>
      </c>
      <c r="P1042" s="66"/>
      <c r="Q1042" s="66"/>
      <c r="R1042" s="54"/>
      <c r="S1042" s="82"/>
      <c r="T1042" s="83" t="str">
        <f t="shared" si="103"/>
        <v/>
      </c>
      <c r="U1042" s="10"/>
      <c r="V1042" s="41">
        <f>IF(AND(Q1042&lt;&gt;"",RIGHT(Q1042,3)&lt;&gt;""),IF(COUNTIF($Q$6:Q1042,Q1042)=1,1,0),0)</f>
        <v>0</v>
      </c>
      <c r="W1042" s="41" t="str">
        <f t="shared" si="104"/>
        <v/>
      </c>
      <c r="X1042" s="41" t="str">
        <f t="shared" si="105"/>
        <v/>
      </c>
    </row>
    <row r="1043" s="32" customFormat="1" hidden="1" customHeight="1" spans="1:24">
      <c r="A1043" s="34"/>
      <c r="B1043" s="51"/>
      <c r="C1043" s="51"/>
      <c r="D1043" s="52"/>
      <c r="E1043" s="53"/>
      <c r="F1043" s="54"/>
      <c r="G1043" s="54"/>
      <c r="H1043" s="54"/>
      <c r="I1043" s="66"/>
      <c r="J1043" s="54"/>
      <c r="K1043" s="54"/>
      <c r="L1043" s="54"/>
      <c r="M1043" s="97" t="str">
        <f t="shared" si="102"/>
        <v/>
      </c>
      <c r="N1043" s="70"/>
      <c r="O1043" s="71" t="str">
        <f t="shared" si="106"/>
        <v/>
      </c>
      <c r="P1043" s="66"/>
      <c r="Q1043" s="66"/>
      <c r="R1043" s="54"/>
      <c r="S1043" s="82"/>
      <c r="T1043" s="83" t="str">
        <f t="shared" si="103"/>
        <v/>
      </c>
      <c r="U1043" s="10"/>
      <c r="V1043" s="41">
        <f>IF(AND(Q1043&lt;&gt;"",RIGHT(Q1043,3)&lt;&gt;""),IF(COUNTIF($Q$6:Q1043,Q1043)=1,1,0),0)</f>
        <v>0</v>
      </c>
      <c r="W1043" s="41" t="str">
        <f t="shared" si="104"/>
        <v/>
      </c>
      <c r="X1043" s="41" t="str">
        <f t="shared" si="105"/>
        <v/>
      </c>
    </row>
    <row r="1044" s="32" customFormat="1" hidden="1" customHeight="1" spans="1:24">
      <c r="A1044" s="34"/>
      <c r="B1044" s="51"/>
      <c r="C1044" s="51"/>
      <c r="D1044" s="52"/>
      <c r="E1044" s="53"/>
      <c r="F1044" s="54"/>
      <c r="G1044" s="54"/>
      <c r="H1044" s="54"/>
      <c r="I1044" s="66"/>
      <c r="J1044" s="54"/>
      <c r="K1044" s="54"/>
      <c r="L1044" s="54"/>
      <c r="M1044" s="97" t="str">
        <f t="shared" si="102"/>
        <v/>
      </c>
      <c r="N1044" s="70"/>
      <c r="O1044" s="71" t="str">
        <f t="shared" si="106"/>
        <v/>
      </c>
      <c r="P1044" s="66"/>
      <c r="Q1044" s="66"/>
      <c r="R1044" s="54"/>
      <c r="S1044" s="82"/>
      <c r="T1044" s="83" t="str">
        <f t="shared" si="103"/>
        <v/>
      </c>
      <c r="U1044" s="10"/>
      <c r="V1044" s="41">
        <f>IF(AND(Q1044&lt;&gt;"",RIGHT(Q1044,3)&lt;&gt;""),IF(COUNTIF($Q$6:Q1044,Q1044)=1,1,0),0)</f>
        <v>0</v>
      </c>
      <c r="W1044" s="41" t="str">
        <f t="shared" si="104"/>
        <v/>
      </c>
      <c r="X1044" s="41" t="str">
        <f t="shared" si="105"/>
        <v/>
      </c>
    </row>
    <row r="1045" s="32" customFormat="1" hidden="1" customHeight="1" spans="1:24">
      <c r="A1045" s="34"/>
      <c r="B1045" s="51"/>
      <c r="C1045" s="51"/>
      <c r="D1045" s="52"/>
      <c r="E1045" s="53"/>
      <c r="F1045" s="54"/>
      <c r="G1045" s="54"/>
      <c r="H1045" s="54"/>
      <c r="I1045" s="66"/>
      <c r="J1045" s="54"/>
      <c r="K1045" s="54"/>
      <c r="L1045" s="54"/>
      <c r="M1045" s="97" t="str">
        <f t="shared" si="102"/>
        <v/>
      </c>
      <c r="N1045" s="70"/>
      <c r="O1045" s="71" t="str">
        <f t="shared" si="106"/>
        <v/>
      </c>
      <c r="P1045" s="66"/>
      <c r="Q1045" s="66"/>
      <c r="R1045" s="54"/>
      <c r="S1045" s="82"/>
      <c r="T1045" s="83" t="str">
        <f t="shared" si="103"/>
        <v/>
      </c>
      <c r="U1045" s="10"/>
      <c r="V1045" s="41">
        <f>IF(AND(Q1045&lt;&gt;"",RIGHT(Q1045,3)&lt;&gt;""),IF(COUNTIF($Q$6:Q1045,Q1045)=1,1,0),0)</f>
        <v>0</v>
      </c>
      <c r="W1045" s="41" t="str">
        <f t="shared" si="104"/>
        <v/>
      </c>
      <c r="X1045" s="41" t="str">
        <f t="shared" si="105"/>
        <v/>
      </c>
    </row>
    <row r="1046" s="32" customFormat="1" hidden="1" customHeight="1" spans="1:24">
      <c r="A1046" s="34"/>
      <c r="B1046" s="51"/>
      <c r="C1046" s="51"/>
      <c r="D1046" s="52"/>
      <c r="E1046" s="53"/>
      <c r="F1046" s="54"/>
      <c r="G1046" s="54"/>
      <c r="H1046" s="54"/>
      <c r="I1046" s="66"/>
      <c r="J1046" s="54"/>
      <c r="K1046" s="54"/>
      <c r="L1046" s="54"/>
      <c r="M1046" s="97" t="str">
        <f t="shared" si="102"/>
        <v/>
      </c>
      <c r="N1046" s="70"/>
      <c r="O1046" s="71" t="str">
        <f t="shared" si="106"/>
        <v/>
      </c>
      <c r="P1046" s="66"/>
      <c r="Q1046" s="66"/>
      <c r="R1046" s="54"/>
      <c r="S1046" s="82"/>
      <c r="T1046" s="83" t="str">
        <f t="shared" si="103"/>
        <v/>
      </c>
      <c r="U1046" s="10"/>
      <c r="V1046" s="41">
        <f>IF(AND(Q1046&lt;&gt;"",RIGHT(Q1046,3)&lt;&gt;""),IF(COUNTIF($Q$6:Q1046,Q1046)=1,1,0),0)</f>
        <v>0</v>
      </c>
      <c r="W1046" s="41" t="str">
        <f t="shared" si="104"/>
        <v/>
      </c>
      <c r="X1046" s="41" t="str">
        <f t="shared" si="105"/>
        <v/>
      </c>
    </row>
    <row r="1047" s="32" customFormat="1" hidden="1" customHeight="1" spans="1:24">
      <c r="A1047" s="34"/>
      <c r="B1047" s="51"/>
      <c r="C1047" s="51"/>
      <c r="D1047" s="52"/>
      <c r="E1047" s="53"/>
      <c r="F1047" s="54"/>
      <c r="G1047" s="54"/>
      <c r="H1047" s="54"/>
      <c r="I1047" s="66"/>
      <c r="J1047" s="54"/>
      <c r="K1047" s="54"/>
      <c r="L1047" s="54"/>
      <c r="M1047" s="97" t="str">
        <f t="shared" si="102"/>
        <v/>
      </c>
      <c r="N1047" s="70"/>
      <c r="O1047" s="71" t="str">
        <f t="shared" si="106"/>
        <v/>
      </c>
      <c r="P1047" s="66"/>
      <c r="Q1047" s="66"/>
      <c r="R1047" s="54"/>
      <c r="S1047" s="82"/>
      <c r="T1047" s="83" t="str">
        <f t="shared" si="103"/>
        <v/>
      </c>
      <c r="U1047" s="10"/>
      <c r="V1047" s="41">
        <f>IF(AND(Q1047&lt;&gt;"",RIGHT(Q1047,3)&lt;&gt;""),IF(COUNTIF($Q$6:Q1047,Q1047)=1,1,0),0)</f>
        <v>0</v>
      </c>
      <c r="W1047" s="41" t="str">
        <f t="shared" si="104"/>
        <v/>
      </c>
      <c r="X1047" s="41" t="str">
        <f t="shared" si="105"/>
        <v/>
      </c>
    </row>
    <row r="1048" s="32" customFormat="1" hidden="1" customHeight="1" spans="1:24">
      <c r="A1048" s="34"/>
      <c r="B1048" s="51"/>
      <c r="C1048" s="51"/>
      <c r="D1048" s="52"/>
      <c r="E1048" s="53"/>
      <c r="F1048" s="54"/>
      <c r="G1048" s="54"/>
      <c r="H1048" s="54"/>
      <c r="I1048" s="66"/>
      <c r="J1048" s="54"/>
      <c r="K1048" s="54"/>
      <c r="L1048" s="54"/>
      <c r="M1048" s="97" t="str">
        <f t="shared" si="102"/>
        <v/>
      </c>
      <c r="N1048" s="70"/>
      <c r="O1048" s="71" t="str">
        <f t="shared" si="106"/>
        <v/>
      </c>
      <c r="P1048" s="66"/>
      <c r="Q1048" s="66"/>
      <c r="R1048" s="54"/>
      <c r="S1048" s="82"/>
      <c r="T1048" s="83" t="str">
        <f t="shared" si="103"/>
        <v/>
      </c>
      <c r="U1048" s="10"/>
      <c r="V1048" s="41">
        <f>IF(AND(Q1048&lt;&gt;"",RIGHT(Q1048,3)&lt;&gt;""),IF(COUNTIF($Q$6:Q1048,Q1048)=1,1,0),0)</f>
        <v>0</v>
      </c>
      <c r="W1048" s="41" t="str">
        <f t="shared" si="104"/>
        <v/>
      </c>
      <c r="X1048" s="41" t="str">
        <f t="shared" si="105"/>
        <v/>
      </c>
    </row>
    <row r="1049" s="32" customFormat="1" hidden="1" customHeight="1" spans="1:24">
      <c r="A1049" s="34"/>
      <c r="B1049" s="51"/>
      <c r="C1049" s="51"/>
      <c r="D1049" s="52"/>
      <c r="E1049" s="53"/>
      <c r="F1049" s="54"/>
      <c r="G1049" s="54"/>
      <c r="H1049" s="54"/>
      <c r="I1049" s="66"/>
      <c r="J1049" s="54"/>
      <c r="K1049" s="54"/>
      <c r="L1049" s="54"/>
      <c r="M1049" s="97" t="str">
        <f t="shared" si="102"/>
        <v/>
      </c>
      <c r="N1049" s="70"/>
      <c r="O1049" s="71" t="str">
        <f t="shared" si="106"/>
        <v/>
      </c>
      <c r="P1049" s="66"/>
      <c r="Q1049" s="66"/>
      <c r="R1049" s="54"/>
      <c r="S1049" s="82"/>
      <c r="T1049" s="83" t="str">
        <f t="shared" si="103"/>
        <v/>
      </c>
      <c r="U1049" s="10"/>
      <c r="V1049" s="41">
        <f>IF(AND(Q1049&lt;&gt;"",RIGHT(Q1049,3)&lt;&gt;""),IF(COUNTIF($Q$6:Q1049,Q1049)=1,1,0),0)</f>
        <v>0</v>
      </c>
      <c r="W1049" s="41" t="str">
        <f t="shared" si="104"/>
        <v/>
      </c>
      <c r="X1049" s="41" t="str">
        <f t="shared" si="105"/>
        <v/>
      </c>
    </row>
    <row r="1050" s="32" customFormat="1" hidden="1" customHeight="1" spans="1:24">
      <c r="A1050" s="34"/>
      <c r="B1050" s="51"/>
      <c r="C1050" s="51"/>
      <c r="D1050" s="52"/>
      <c r="E1050" s="53"/>
      <c r="F1050" s="54"/>
      <c r="G1050" s="54"/>
      <c r="H1050" s="54"/>
      <c r="I1050" s="66"/>
      <c r="J1050" s="54"/>
      <c r="K1050" s="54"/>
      <c r="L1050" s="54"/>
      <c r="M1050" s="97" t="str">
        <f t="shared" si="102"/>
        <v/>
      </c>
      <c r="N1050" s="70"/>
      <c r="O1050" s="71" t="str">
        <f t="shared" si="106"/>
        <v/>
      </c>
      <c r="P1050" s="66"/>
      <c r="Q1050" s="66"/>
      <c r="R1050" s="54"/>
      <c r="S1050" s="82"/>
      <c r="T1050" s="83" t="str">
        <f t="shared" si="103"/>
        <v/>
      </c>
      <c r="U1050" s="10"/>
      <c r="V1050" s="41">
        <f>IF(AND(Q1050&lt;&gt;"",RIGHT(Q1050,3)&lt;&gt;""),IF(COUNTIF($Q$6:Q1050,Q1050)=1,1,0),0)</f>
        <v>0</v>
      </c>
      <c r="W1050" s="41" t="str">
        <f t="shared" si="104"/>
        <v/>
      </c>
      <c r="X1050" s="41" t="str">
        <f t="shared" si="105"/>
        <v/>
      </c>
    </row>
    <row r="1051" s="32" customFormat="1" hidden="1" customHeight="1" spans="1:24">
      <c r="A1051" s="34"/>
      <c r="B1051" s="51"/>
      <c r="C1051" s="51"/>
      <c r="D1051" s="52"/>
      <c r="E1051" s="53"/>
      <c r="F1051" s="54"/>
      <c r="G1051" s="54"/>
      <c r="H1051" s="54"/>
      <c r="I1051" s="66"/>
      <c r="J1051" s="54"/>
      <c r="K1051" s="54"/>
      <c r="L1051" s="54"/>
      <c r="M1051" s="97" t="str">
        <f t="shared" si="102"/>
        <v/>
      </c>
      <c r="N1051" s="70"/>
      <c r="O1051" s="71" t="str">
        <f t="shared" si="106"/>
        <v/>
      </c>
      <c r="P1051" s="66"/>
      <c r="Q1051" s="66"/>
      <c r="R1051" s="54"/>
      <c r="S1051" s="82"/>
      <c r="T1051" s="83" t="str">
        <f t="shared" si="103"/>
        <v/>
      </c>
      <c r="U1051" s="10"/>
      <c r="V1051" s="41">
        <f>IF(AND(Q1051&lt;&gt;"",RIGHT(Q1051,3)&lt;&gt;""),IF(COUNTIF($Q$6:Q1051,Q1051)=1,1,0),0)</f>
        <v>0</v>
      </c>
      <c r="W1051" s="41" t="str">
        <f t="shared" si="104"/>
        <v/>
      </c>
      <c r="X1051" s="41" t="str">
        <f t="shared" si="105"/>
        <v/>
      </c>
    </row>
    <row r="1052" s="32" customFormat="1" hidden="1" customHeight="1" spans="1:24">
      <c r="A1052" s="34"/>
      <c r="B1052" s="51"/>
      <c r="C1052" s="51"/>
      <c r="D1052" s="52"/>
      <c r="E1052" s="53"/>
      <c r="F1052" s="54"/>
      <c r="G1052" s="54"/>
      <c r="H1052" s="54"/>
      <c r="I1052" s="66"/>
      <c r="J1052" s="54"/>
      <c r="K1052" s="54"/>
      <c r="L1052" s="54"/>
      <c r="M1052" s="97" t="str">
        <f t="shared" si="102"/>
        <v/>
      </c>
      <c r="N1052" s="70"/>
      <c r="O1052" s="71" t="str">
        <f t="shared" si="106"/>
        <v/>
      </c>
      <c r="P1052" s="66"/>
      <c r="Q1052" s="66"/>
      <c r="R1052" s="54"/>
      <c r="S1052" s="82"/>
      <c r="T1052" s="83" t="str">
        <f t="shared" si="103"/>
        <v/>
      </c>
      <c r="U1052" s="10"/>
      <c r="V1052" s="41">
        <f>IF(AND(Q1052&lt;&gt;"",RIGHT(Q1052,3)&lt;&gt;""),IF(COUNTIF($Q$6:Q1052,Q1052)=1,1,0),0)</f>
        <v>0</v>
      </c>
      <c r="W1052" s="41" t="str">
        <f t="shared" si="104"/>
        <v/>
      </c>
      <c r="X1052" s="41" t="str">
        <f t="shared" si="105"/>
        <v/>
      </c>
    </row>
    <row r="1053" s="32" customFormat="1" hidden="1" customHeight="1" spans="1:24">
      <c r="A1053" s="34"/>
      <c r="B1053" s="51"/>
      <c r="C1053" s="51"/>
      <c r="D1053" s="52"/>
      <c r="E1053" s="53"/>
      <c r="F1053" s="54"/>
      <c r="G1053" s="54"/>
      <c r="H1053" s="54"/>
      <c r="I1053" s="66"/>
      <c r="J1053" s="54"/>
      <c r="K1053" s="54"/>
      <c r="L1053" s="54"/>
      <c r="M1053" s="97" t="str">
        <f t="shared" si="102"/>
        <v/>
      </c>
      <c r="N1053" s="70"/>
      <c r="O1053" s="71" t="str">
        <f t="shared" si="106"/>
        <v/>
      </c>
      <c r="P1053" s="66"/>
      <c r="Q1053" s="66"/>
      <c r="R1053" s="54"/>
      <c r="S1053" s="82"/>
      <c r="T1053" s="83" t="str">
        <f t="shared" si="103"/>
        <v/>
      </c>
      <c r="U1053" s="10"/>
      <c r="V1053" s="41">
        <f>IF(AND(Q1053&lt;&gt;"",RIGHT(Q1053,3)&lt;&gt;""),IF(COUNTIF($Q$6:Q1053,Q1053)=1,1,0),0)</f>
        <v>0</v>
      </c>
      <c r="W1053" s="41" t="str">
        <f t="shared" si="104"/>
        <v/>
      </c>
      <c r="X1053" s="41" t="str">
        <f t="shared" si="105"/>
        <v/>
      </c>
    </row>
    <row r="1054" s="32" customFormat="1" hidden="1" customHeight="1" spans="1:24">
      <c r="A1054" s="34"/>
      <c r="B1054" s="51"/>
      <c r="C1054" s="51"/>
      <c r="D1054" s="52"/>
      <c r="E1054" s="53"/>
      <c r="F1054" s="54"/>
      <c r="G1054" s="54"/>
      <c r="H1054" s="54"/>
      <c r="I1054" s="66"/>
      <c r="J1054" s="54"/>
      <c r="K1054" s="54"/>
      <c r="L1054" s="54"/>
      <c r="M1054" s="97" t="str">
        <f t="shared" si="102"/>
        <v/>
      </c>
      <c r="N1054" s="70"/>
      <c r="O1054" s="71" t="str">
        <f t="shared" si="106"/>
        <v/>
      </c>
      <c r="P1054" s="66"/>
      <c r="Q1054" s="66"/>
      <c r="R1054" s="54"/>
      <c r="S1054" s="82"/>
      <c r="T1054" s="83" t="str">
        <f t="shared" si="103"/>
        <v/>
      </c>
      <c r="U1054" s="10"/>
      <c r="V1054" s="41">
        <f>IF(AND(Q1054&lt;&gt;"",RIGHT(Q1054,3)&lt;&gt;""),IF(COUNTIF($Q$6:Q1054,Q1054)=1,1,0),0)</f>
        <v>0</v>
      </c>
      <c r="W1054" s="41" t="str">
        <f t="shared" si="104"/>
        <v/>
      </c>
      <c r="X1054" s="41" t="str">
        <f t="shared" si="105"/>
        <v/>
      </c>
    </row>
    <row r="1055" s="32" customFormat="1" hidden="1" customHeight="1" spans="1:24">
      <c r="A1055" s="34"/>
      <c r="B1055" s="51"/>
      <c r="C1055" s="51"/>
      <c r="D1055" s="52"/>
      <c r="E1055" s="53"/>
      <c r="F1055" s="54"/>
      <c r="G1055" s="54"/>
      <c r="H1055" s="54"/>
      <c r="I1055" s="66"/>
      <c r="J1055" s="54"/>
      <c r="K1055" s="54"/>
      <c r="L1055" s="54"/>
      <c r="M1055" s="97" t="str">
        <f t="shared" si="102"/>
        <v/>
      </c>
      <c r="N1055" s="70"/>
      <c r="O1055" s="71" t="str">
        <f t="shared" si="106"/>
        <v/>
      </c>
      <c r="P1055" s="66"/>
      <c r="Q1055" s="66"/>
      <c r="R1055" s="54"/>
      <c r="S1055" s="82"/>
      <c r="T1055" s="83" t="str">
        <f t="shared" si="103"/>
        <v/>
      </c>
      <c r="U1055" s="10"/>
      <c r="V1055" s="41">
        <f>IF(AND(Q1055&lt;&gt;"",RIGHT(Q1055,3)&lt;&gt;""),IF(COUNTIF($Q$6:Q1055,Q1055)=1,1,0),0)</f>
        <v>0</v>
      </c>
      <c r="W1055" s="41" t="str">
        <f t="shared" si="104"/>
        <v/>
      </c>
      <c r="X1055" s="41" t="str">
        <f t="shared" si="105"/>
        <v/>
      </c>
    </row>
    <row r="1056" s="32" customFormat="1" hidden="1" customHeight="1" spans="1:24">
      <c r="A1056" s="34"/>
      <c r="B1056" s="51"/>
      <c r="C1056" s="51"/>
      <c r="D1056" s="52"/>
      <c r="E1056" s="53"/>
      <c r="F1056" s="54"/>
      <c r="G1056" s="54"/>
      <c r="H1056" s="54"/>
      <c r="I1056" s="66"/>
      <c r="J1056" s="54"/>
      <c r="K1056" s="54"/>
      <c r="L1056" s="54"/>
      <c r="M1056" s="97" t="str">
        <f t="shared" si="102"/>
        <v/>
      </c>
      <c r="N1056" s="70"/>
      <c r="O1056" s="71" t="str">
        <f t="shared" si="106"/>
        <v/>
      </c>
      <c r="P1056" s="66"/>
      <c r="Q1056" s="66"/>
      <c r="R1056" s="54"/>
      <c r="S1056" s="82"/>
      <c r="T1056" s="83" t="str">
        <f t="shared" si="103"/>
        <v/>
      </c>
      <c r="U1056" s="10"/>
      <c r="V1056" s="41">
        <f>IF(AND(Q1056&lt;&gt;"",RIGHT(Q1056,3)&lt;&gt;""),IF(COUNTIF($Q$6:Q1056,Q1056)=1,1,0),0)</f>
        <v>0</v>
      </c>
      <c r="W1056" s="41" t="str">
        <f t="shared" si="104"/>
        <v/>
      </c>
      <c r="X1056" s="41" t="str">
        <f t="shared" si="105"/>
        <v/>
      </c>
    </row>
    <row r="1057" s="32" customFormat="1" hidden="1" customHeight="1" spans="1:24">
      <c r="A1057" s="34"/>
      <c r="B1057" s="51"/>
      <c r="C1057" s="51"/>
      <c r="D1057" s="52"/>
      <c r="E1057" s="53"/>
      <c r="F1057" s="54"/>
      <c r="G1057" s="54"/>
      <c r="H1057" s="54"/>
      <c r="I1057" s="66"/>
      <c r="J1057" s="54"/>
      <c r="K1057" s="54"/>
      <c r="L1057" s="54"/>
      <c r="M1057" s="97" t="str">
        <f t="shared" si="102"/>
        <v/>
      </c>
      <c r="N1057" s="70"/>
      <c r="O1057" s="71" t="str">
        <f t="shared" si="106"/>
        <v/>
      </c>
      <c r="P1057" s="66"/>
      <c r="Q1057" s="66"/>
      <c r="R1057" s="54"/>
      <c r="S1057" s="82"/>
      <c r="T1057" s="83" t="str">
        <f t="shared" si="103"/>
        <v/>
      </c>
      <c r="U1057" s="10"/>
      <c r="V1057" s="41">
        <f>IF(AND(Q1057&lt;&gt;"",RIGHT(Q1057,3)&lt;&gt;""),IF(COUNTIF($Q$6:Q1057,Q1057)=1,1,0),0)</f>
        <v>0</v>
      </c>
      <c r="W1057" s="41" t="str">
        <f t="shared" si="104"/>
        <v/>
      </c>
      <c r="X1057" s="41" t="str">
        <f t="shared" si="105"/>
        <v/>
      </c>
    </row>
    <row r="1058" s="32" customFormat="1" hidden="1" customHeight="1" spans="1:24">
      <c r="A1058" s="34"/>
      <c r="B1058" s="51"/>
      <c r="C1058" s="51"/>
      <c r="D1058" s="52"/>
      <c r="E1058" s="53"/>
      <c r="F1058" s="54"/>
      <c r="G1058" s="54"/>
      <c r="H1058" s="54"/>
      <c r="I1058" s="66"/>
      <c r="J1058" s="54"/>
      <c r="K1058" s="54"/>
      <c r="L1058" s="54"/>
      <c r="M1058" s="97" t="str">
        <f t="shared" si="102"/>
        <v/>
      </c>
      <c r="N1058" s="70"/>
      <c r="O1058" s="71" t="str">
        <f t="shared" si="106"/>
        <v/>
      </c>
      <c r="P1058" s="66"/>
      <c r="Q1058" s="66"/>
      <c r="R1058" s="54"/>
      <c r="S1058" s="82"/>
      <c r="T1058" s="83" t="str">
        <f t="shared" si="103"/>
        <v/>
      </c>
      <c r="U1058" s="10"/>
      <c r="V1058" s="41">
        <f>IF(AND(Q1058&lt;&gt;"",RIGHT(Q1058,3)&lt;&gt;""),IF(COUNTIF($Q$6:Q1058,Q1058)=1,1,0),0)</f>
        <v>0</v>
      </c>
      <c r="W1058" s="41" t="str">
        <f t="shared" si="104"/>
        <v/>
      </c>
      <c r="X1058" s="41" t="str">
        <f t="shared" si="105"/>
        <v/>
      </c>
    </row>
    <row r="1059" s="32" customFormat="1" hidden="1" customHeight="1" spans="1:24">
      <c r="A1059" s="34"/>
      <c r="B1059" s="51"/>
      <c r="C1059" s="51"/>
      <c r="D1059" s="52"/>
      <c r="E1059" s="53"/>
      <c r="F1059" s="54"/>
      <c r="G1059" s="54"/>
      <c r="H1059" s="54"/>
      <c r="I1059" s="66"/>
      <c r="J1059" s="54"/>
      <c r="K1059" s="54"/>
      <c r="L1059" s="54"/>
      <c r="M1059" s="97" t="str">
        <f t="shared" si="102"/>
        <v/>
      </c>
      <c r="N1059" s="70"/>
      <c r="O1059" s="71" t="str">
        <f t="shared" si="106"/>
        <v/>
      </c>
      <c r="P1059" s="66"/>
      <c r="Q1059" s="66"/>
      <c r="R1059" s="54"/>
      <c r="S1059" s="82"/>
      <c r="T1059" s="83" t="str">
        <f t="shared" si="103"/>
        <v/>
      </c>
      <c r="U1059" s="10"/>
      <c r="V1059" s="41">
        <f>IF(AND(Q1059&lt;&gt;"",RIGHT(Q1059,3)&lt;&gt;""),IF(COUNTIF($Q$6:Q1059,Q1059)=1,1,0),0)</f>
        <v>0</v>
      </c>
      <c r="W1059" s="41" t="str">
        <f t="shared" si="104"/>
        <v/>
      </c>
      <c r="X1059" s="41" t="str">
        <f t="shared" si="105"/>
        <v/>
      </c>
    </row>
    <row r="1060" s="32" customFormat="1" hidden="1" customHeight="1" spans="1:24">
      <c r="A1060" s="34"/>
      <c r="B1060" s="51"/>
      <c r="C1060" s="51"/>
      <c r="D1060" s="52"/>
      <c r="E1060" s="53"/>
      <c r="F1060" s="54"/>
      <c r="G1060" s="54"/>
      <c r="H1060" s="54"/>
      <c r="I1060" s="66"/>
      <c r="J1060" s="54"/>
      <c r="K1060" s="54"/>
      <c r="L1060" s="54"/>
      <c r="M1060" s="97" t="str">
        <f t="shared" ref="M1060:M1123" si="107">IF(L1060="","",HYPERLINK(_xlfn.CONCAT($L$4,L1060,".jpg"),"Open File"))</f>
        <v/>
      </c>
      <c r="N1060" s="70"/>
      <c r="O1060" s="71" t="str">
        <f t="shared" si="106"/>
        <v/>
      </c>
      <c r="P1060" s="66"/>
      <c r="Q1060" s="66"/>
      <c r="R1060" s="54"/>
      <c r="S1060" s="82"/>
      <c r="T1060" s="83" t="str">
        <f t="shared" ref="T1060:T1123" si="108">IF(S1060="","",HYPERLINK(_xlfn.CONCAT($S$4,S1060,".jpg"),"Open File"))</f>
        <v/>
      </c>
      <c r="U1060" s="10"/>
      <c r="V1060" s="41">
        <f>IF(AND(Q1060&lt;&gt;"",RIGHT(Q1060,3)&lt;&gt;""),IF(COUNTIF($Q$6:Q1060,Q1060)=1,1,0),0)</f>
        <v>0</v>
      </c>
      <c r="W1060" s="41" t="str">
        <f t="shared" ref="W1060:W1123" si="109">IF(AND(J1060&lt;&gt;"",K1060&lt;&gt;""),_xlfn.CONCAT(SUBSTITUTE(J1060,"/","."),"-",K1060),"")</f>
        <v/>
      </c>
      <c r="X1060" s="41" t="str">
        <f t="shared" ref="X1060:X1123" si="110">IF(AND(Q1060&lt;&gt;"",R1060&lt;&gt;""),_xlfn.CONCAT(SUBSTITUTE(Q1060,"/","."),"-",R1060),"")</f>
        <v/>
      </c>
    </row>
    <row r="1061" s="32" customFormat="1" hidden="1" customHeight="1" spans="1:24">
      <c r="A1061" s="34"/>
      <c r="B1061" s="51"/>
      <c r="C1061" s="51"/>
      <c r="D1061" s="52"/>
      <c r="E1061" s="53"/>
      <c r="F1061" s="54"/>
      <c r="G1061" s="54"/>
      <c r="H1061" s="54"/>
      <c r="I1061" s="66"/>
      <c r="J1061" s="54"/>
      <c r="K1061" s="54"/>
      <c r="L1061" s="54"/>
      <c r="M1061" s="97" t="str">
        <f t="shared" si="107"/>
        <v/>
      </c>
      <c r="N1061" s="70"/>
      <c r="O1061" s="71" t="str">
        <f t="shared" si="106"/>
        <v/>
      </c>
      <c r="P1061" s="66"/>
      <c r="Q1061" s="66"/>
      <c r="R1061" s="54"/>
      <c r="S1061" s="82"/>
      <c r="T1061" s="83" t="str">
        <f t="shared" si="108"/>
        <v/>
      </c>
      <c r="U1061" s="10"/>
      <c r="V1061" s="41">
        <f>IF(AND(Q1061&lt;&gt;"",RIGHT(Q1061,3)&lt;&gt;""),IF(COUNTIF($Q$6:Q1061,Q1061)=1,1,0),0)</f>
        <v>0</v>
      </c>
      <c r="W1061" s="41" t="str">
        <f t="shared" si="109"/>
        <v/>
      </c>
      <c r="X1061" s="41" t="str">
        <f t="shared" si="110"/>
        <v/>
      </c>
    </row>
    <row r="1062" s="32" customFormat="1" hidden="1" customHeight="1" spans="1:24">
      <c r="A1062" s="34"/>
      <c r="B1062" s="51"/>
      <c r="C1062" s="51"/>
      <c r="D1062" s="52"/>
      <c r="E1062" s="53"/>
      <c r="F1062" s="54"/>
      <c r="G1062" s="54"/>
      <c r="H1062" s="54"/>
      <c r="I1062" s="66"/>
      <c r="J1062" s="54"/>
      <c r="K1062" s="54"/>
      <c r="L1062" s="54"/>
      <c r="M1062" s="97" t="str">
        <f t="shared" si="107"/>
        <v/>
      </c>
      <c r="N1062" s="70"/>
      <c r="O1062" s="71" t="str">
        <f t="shared" si="106"/>
        <v/>
      </c>
      <c r="P1062" s="66"/>
      <c r="Q1062" s="66"/>
      <c r="R1062" s="54"/>
      <c r="S1062" s="82"/>
      <c r="T1062" s="83" t="str">
        <f t="shared" si="108"/>
        <v/>
      </c>
      <c r="U1062" s="10"/>
      <c r="V1062" s="41">
        <f>IF(AND(Q1062&lt;&gt;"",RIGHT(Q1062,3)&lt;&gt;""),IF(COUNTIF($Q$6:Q1062,Q1062)=1,1,0),0)</f>
        <v>0</v>
      </c>
      <c r="W1062" s="41" t="str">
        <f t="shared" si="109"/>
        <v/>
      </c>
      <c r="X1062" s="41" t="str">
        <f t="shared" si="110"/>
        <v/>
      </c>
    </row>
    <row r="1063" s="32" customFormat="1" hidden="1" customHeight="1" spans="1:24">
      <c r="A1063" s="34"/>
      <c r="B1063" s="51"/>
      <c r="C1063" s="51"/>
      <c r="D1063" s="52"/>
      <c r="E1063" s="53"/>
      <c r="F1063" s="54"/>
      <c r="G1063" s="54"/>
      <c r="H1063" s="54"/>
      <c r="I1063" s="66"/>
      <c r="J1063" s="54"/>
      <c r="K1063" s="54"/>
      <c r="L1063" s="54"/>
      <c r="M1063" s="97" t="str">
        <f t="shared" si="107"/>
        <v/>
      </c>
      <c r="N1063" s="70"/>
      <c r="O1063" s="71" t="str">
        <f t="shared" si="106"/>
        <v/>
      </c>
      <c r="P1063" s="66"/>
      <c r="Q1063" s="66"/>
      <c r="R1063" s="54"/>
      <c r="S1063" s="82"/>
      <c r="T1063" s="83" t="str">
        <f t="shared" si="108"/>
        <v/>
      </c>
      <c r="U1063" s="10"/>
      <c r="V1063" s="41">
        <f>IF(AND(Q1063&lt;&gt;"",RIGHT(Q1063,3)&lt;&gt;""),IF(COUNTIF($Q$6:Q1063,Q1063)=1,1,0),0)</f>
        <v>0</v>
      </c>
      <c r="W1063" s="41" t="str">
        <f t="shared" si="109"/>
        <v/>
      </c>
      <c r="X1063" s="41" t="str">
        <f t="shared" si="110"/>
        <v/>
      </c>
    </row>
    <row r="1064" s="32" customFormat="1" hidden="1" customHeight="1" spans="1:24">
      <c r="A1064" s="34"/>
      <c r="B1064" s="51"/>
      <c r="C1064" s="51"/>
      <c r="D1064" s="52"/>
      <c r="E1064" s="53"/>
      <c r="F1064" s="54"/>
      <c r="G1064" s="54"/>
      <c r="H1064" s="54"/>
      <c r="I1064" s="66"/>
      <c r="J1064" s="54"/>
      <c r="K1064" s="54"/>
      <c r="L1064" s="54"/>
      <c r="M1064" s="97" t="str">
        <f t="shared" si="107"/>
        <v/>
      </c>
      <c r="N1064" s="70"/>
      <c r="O1064" s="71" t="str">
        <f t="shared" si="106"/>
        <v/>
      </c>
      <c r="P1064" s="66"/>
      <c r="Q1064" s="66"/>
      <c r="R1064" s="54"/>
      <c r="S1064" s="82"/>
      <c r="T1064" s="83" t="str">
        <f t="shared" si="108"/>
        <v/>
      </c>
      <c r="U1064" s="10"/>
      <c r="V1064" s="41">
        <f>IF(AND(Q1064&lt;&gt;"",RIGHT(Q1064,3)&lt;&gt;""),IF(COUNTIF($Q$6:Q1064,Q1064)=1,1,0),0)</f>
        <v>0</v>
      </c>
      <c r="W1064" s="41" t="str">
        <f t="shared" si="109"/>
        <v/>
      </c>
      <c r="X1064" s="41" t="str">
        <f t="shared" si="110"/>
        <v/>
      </c>
    </row>
    <row r="1065" s="32" customFormat="1" hidden="1" customHeight="1" spans="1:24">
      <c r="A1065" s="34"/>
      <c r="B1065" s="51"/>
      <c r="C1065" s="51"/>
      <c r="D1065" s="52"/>
      <c r="E1065" s="53"/>
      <c r="F1065" s="54"/>
      <c r="G1065" s="54"/>
      <c r="H1065" s="54"/>
      <c r="I1065" s="66"/>
      <c r="J1065" s="54"/>
      <c r="K1065" s="54"/>
      <c r="L1065" s="54"/>
      <c r="M1065" s="97" t="str">
        <f t="shared" si="107"/>
        <v/>
      </c>
      <c r="N1065" s="70"/>
      <c r="O1065" s="71" t="str">
        <f t="shared" si="106"/>
        <v/>
      </c>
      <c r="P1065" s="66"/>
      <c r="Q1065" s="66"/>
      <c r="R1065" s="54"/>
      <c r="S1065" s="82"/>
      <c r="T1065" s="83" t="str">
        <f t="shared" si="108"/>
        <v/>
      </c>
      <c r="U1065" s="10"/>
      <c r="V1065" s="41">
        <f>IF(AND(Q1065&lt;&gt;"",RIGHT(Q1065,3)&lt;&gt;""),IF(COUNTIF($Q$6:Q1065,Q1065)=1,1,0),0)</f>
        <v>0</v>
      </c>
      <c r="W1065" s="41" t="str">
        <f t="shared" si="109"/>
        <v/>
      </c>
      <c r="X1065" s="41" t="str">
        <f t="shared" si="110"/>
        <v/>
      </c>
    </row>
    <row r="1066" s="32" customFormat="1" hidden="1" customHeight="1" spans="1:24">
      <c r="A1066" s="34"/>
      <c r="B1066" s="51"/>
      <c r="C1066" s="51"/>
      <c r="D1066" s="52"/>
      <c r="E1066" s="53"/>
      <c r="F1066" s="54"/>
      <c r="G1066" s="54"/>
      <c r="H1066" s="54"/>
      <c r="I1066" s="66"/>
      <c r="J1066" s="54"/>
      <c r="K1066" s="54"/>
      <c r="L1066" s="54"/>
      <c r="M1066" s="97" t="str">
        <f t="shared" si="107"/>
        <v/>
      </c>
      <c r="N1066" s="70"/>
      <c r="O1066" s="71" t="str">
        <f t="shared" si="106"/>
        <v/>
      </c>
      <c r="P1066" s="66"/>
      <c r="Q1066" s="66"/>
      <c r="R1066" s="54"/>
      <c r="S1066" s="82"/>
      <c r="T1066" s="83" t="str">
        <f t="shared" si="108"/>
        <v/>
      </c>
      <c r="U1066" s="10"/>
      <c r="V1066" s="41">
        <f>IF(AND(Q1066&lt;&gt;"",RIGHT(Q1066,3)&lt;&gt;""),IF(COUNTIF($Q$6:Q1066,Q1066)=1,1,0),0)</f>
        <v>0</v>
      </c>
      <c r="W1066" s="41" t="str">
        <f t="shared" si="109"/>
        <v/>
      </c>
      <c r="X1066" s="41" t="str">
        <f t="shared" si="110"/>
        <v/>
      </c>
    </row>
    <row r="1067" s="32" customFormat="1" hidden="1" customHeight="1" spans="1:24">
      <c r="A1067" s="34"/>
      <c r="B1067" s="51"/>
      <c r="C1067" s="51"/>
      <c r="D1067" s="52"/>
      <c r="E1067" s="53"/>
      <c r="F1067" s="54"/>
      <c r="G1067" s="54"/>
      <c r="H1067" s="54"/>
      <c r="I1067" s="66"/>
      <c r="J1067" s="54"/>
      <c r="K1067" s="54"/>
      <c r="L1067" s="54"/>
      <c r="M1067" s="97" t="str">
        <f t="shared" si="107"/>
        <v/>
      </c>
      <c r="N1067" s="70"/>
      <c r="O1067" s="71" t="str">
        <f t="shared" si="106"/>
        <v/>
      </c>
      <c r="P1067" s="66"/>
      <c r="Q1067" s="66"/>
      <c r="R1067" s="54"/>
      <c r="S1067" s="82"/>
      <c r="T1067" s="83" t="str">
        <f t="shared" si="108"/>
        <v/>
      </c>
      <c r="U1067" s="10"/>
      <c r="V1067" s="41">
        <f>IF(AND(Q1067&lt;&gt;"",RIGHT(Q1067,3)&lt;&gt;""),IF(COUNTIF($Q$6:Q1067,Q1067)=1,1,0),0)</f>
        <v>0</v>
      </c>
      <c r="W1067" s="41" t="str">
        <f t="shared" si="109"/>
        <v/>
      </c>
      <c r="X1067" s="41" t="str">
        <f t="shared" si="110"/>
        <v/>
      </c>
    </row>
    <row r="1068" s="32" customFormat="1" hidden="1" customHeight="1" spans="1:24">
      <c r="A1068" s="34"/>
      <c r="B1068" s="51"/>
      <c r="C1068" s="51"/>
      <c r="D1068" s="52"/>
      <c r="E1068" s="53"/>
      <c r="F1068" s="54"/>
      <c r="G1068" s="54"/>
      <c r="H1068" s="54"/>
      <c r="I1068" s="66"/>
      <c r="J1068" s="54"/>
      <c r="K1068" s="54"/>
      <c r="L1068" s="54"/>
      <c r="M1068" s="97" t="str">
        <f t="shared" si="107"/>
        <v/>
      </c>
      <c r="N1068" s="70"/>
      <c r="O1068" s="71" t="str">
        <f t="shared" si="106"/>
        <v/>
      </c>
      <c r="P1068" s="66"/>
      <c r="Q1068" s="66"/>
      <c r="R1068" s="54"/>
      <c r="S1068" s="82"/>
      <c r="T1068" s="83" t="str">
        <f t="shared" si="108"/>
        <v/>
      </c>
      <c r="U1068" s="10"/>
      <c r="V1068" s="41">
        <f>IF(AND(Q1068&lt;&gt;"",RIGHT(Q1068,3)&lt;&gt;""),IF(COUNTIF($Q$6:Q1068,Q1068)=1,1,0),0)</f>
        <v>0</v>
      </c>
      <c r="W1068" s="41" t="str">
        <f t="shared" si="109"/>
        <v/>
      </c>
      <c r="X1068" s="41" t="str">
        <f t="shared" si="110"/>
        <v/>
      </c>
    </row>
    <row r="1069" s="32" customFormat="1" hidden="1" customHeight="1" spans="1:24">
      <c r="A1069" s="34"/>
      <c r="B1069" s="51"/>
      <c r="C1069" s="51"/>
      <c r="D1069" s="52"/>
      <c r="E1069" s="53"/>
      <c r="F1069" s="54"/>
      <c r="G1069" s="54"/>
      <c r="H1069" s="54"/>
      <c r="I1069" s="66"/>
      <c r="J1069" s="54"/>
      <c r="K1069" s="54"/>
      <c r="L1069" s="54"/>
      <c r="M1069" s="97" t="str">
        <f t="shared" si="107"/>
        <v/>
      </c>
      <c r="N1069" s="70"/>
      <c r="O1069" s="71" t="str">
        <f t="shared" si="106"/>
        <v/>
      </c>
      <c r="P1069" s="66"/>
      <c r="Q1069" s="66"/>
      <c r="R1069" s="54"/>
      <c r="S1069" s="82"/>
      <c r="T1069" s="83" t="str">
        <f t="shared" si="108"/>
        <v/>
      </c>
      <c r="U1069" s="10"/>
      <c r="V1069" s="41">
        <f>IF(AND(Q1069&lt;&gt;"",RIGHT(Q1069,3)&lt;&gt;""),IF(COUNTIF($Q$6:Q1069,Q1069)=1,1,0),0)</f>
        <v>0</v>
      </c>
      <c r="W1069" s="41" t="str">
        <f t="shared" si="109"/>
        <v/>
      </c>
      <c r="X1069" s="41" t="str">
        <f t="shared" si="110"/>
        <v/>
      </c>
    </row>
    <row r="1070" s="32" customFormat="1" hidden="1" customHeight="1" spans="1:24">
      <c r="A1070" s="34"/>
      <c r="B1070" s="51"/>
      <c r="C1070" s="51"/>
      <c r="D1070" s="52"/>
      <c r="E1070" s="53"/>
      <c r="F1070" s="54"/>
      <c r="G1070" s="54"/>
      <c r="H1070" s="54"/>
      <c r="I1070" s="66"/>
      <c r="J1070" s="54"/>
      <c r="K1070" s="54"/>
      <c r="L1070" s="54"/>
      <c r="M1070" s="97" t="str">
        <f t="shared" si="107"/>
        <v/>
      </c>
      <c r="N1070" s="70"/>
      <c r="O1070" s="71" t="str">
        <f t="shared" si="106"/>
        <v/>
      </c>
      <c r="P1070" s="66"/>
      <c r="Q1070" s="66"/>
      <c r="R1070" s="54"/>
      <c r="S1070" s="82"/>
      <c r="T1070" s="83" t="str">
        <f t="shared" si="108"/>
        <v/>
      </c>
      <c r="U1070" s="10"/>
      <c r="V1070" s="41">
        <f>IF(AND(Q1070&lt;&gt;"",RIGHT(Q1070,3)&lt;&gt;""),IF(COUNTIF($Q$6:Q1070,Q1070)=1,1,0),0)</f>
        <v>0</v>
      </c>
      <c r="W1070" s="41" t="str">
        <f t="shared" si="109"/>
        <v/>
      </c>
      <c r="X1070" s="41" t="str">
        <f t="shared" si="110"/>
        <v/>
      </c>
    </row>
    <row r="1071" s="32" customFormat="1" hidden="1" customHeight="1" spans="1:24">
      <c r="A1071" s="34"/>
      <c r="B1071" s="51"/>
      <c r="C1071" s="51"/>
      <c r="D1071" s="52"/>
      <c r="E1071" s="53"/>
      <c r="F1071" s="54"/>
      <c r="G1071" s="54"/>
      <c r="H1071" s="54"/>
      <c r="I1071" s="66"/>
      <c r="J1071" s="54"/>
      <c r="K1071" s="54"/>
      <c r="L1071" s="54"/>
      <c r="M1071" s="97" t="str">
        <f t="shared" si="107"/>
        <v/>
      </c>
      <c r="N1071" s="70"/>
      <c r="O1071" s="71" t="str">
        <f t="shared" si="106"/>
        <v/>
      </c>
      <c r="P1071" s="66"/>
      <c r="Q1071" s="66"/>
      <c r="R1071" s="54"/>
      <c r="S1071" s="82"/>
      <c r="T1071" s="83" t="str">
        <f t="shared" si="108"/>
        <v/>
      </c>
      <c r="U1071" s="10"/>
      <c r="V1071" s="41">
        <f>IF(AND(Q1071&lt;&gt;"",RIGHT(Q1071,3)&lt;&gt;""),IF(COUNTIF($Q$6:Q1071,Q1071)=1,1,0),0)</f>
        <v>0</v>
      </c>
      <c r="W1071" s="41" t="str">
        <f t="shared" si="109"/>
        <v/>
      </c>
      <c r="X1071" s="41" t="str">
        <f t="shared" si="110"/>
        <v/>
      </c>
    </row>
    <row r="1072" s="32" customFormat="1" hidden="1" customHeight="1" spans="1:24">
      <c r="A1072" s="34"/>
      <c r="B1072" s="51"/>
      <c r="C1072" s="51"/>
      <c r="D1072" s="52"/>
      <c r="E1072" s="53"/>
      <c r="F1072" s="54"/>
      <c r="G1072" s="54"/>
      <c r="H1072" s="54"/>
      <c r="I1072" s="66"/>
      <c r="J1072" s="54"/>
      <c r="K1072" s="54"/>
      <c r="L1072" s="54"/>
      <c r="M1072" s="97" t="str">
        <f t="shared" si="107"/>
        <v/>
      </c>
      <c r="N1072" s="70"/>
      <c r="O1072" s="71" t="str">
        <f t="shared" si="106"/>
        <v/>
      </c>
      <c r="P1072" s="66"/>
      <c r="Q1072" s="66"/>
      <c r="R1072" s="54"/>
      <c r="S1072" s="82"/>
      <c r="T1072" s="83" t="str">
        <f t="shared" si="108"/>
        <v/>
      </c>
      <c r="U1072" s="10"/>
      <c r="V1072" s="41">
        <f>IF(AND(Q1072&lt;&gt;"",RIGHT(Q1072,3)&lt;&gt;""),IF(COUNTIF($Q$6:Q1072,Q1072)=1,1,0),0)</f>
        <v>0</v>
      </c>
      <c r="W1072" s="41" t="str">
        <f t="shared" si="109"/>
        <v/>
      </c>
      <c r="X1072" s="41" t="str">
        <f t="shared" si="110"/>
        <v/>
      </c>
    </row>
    <row r="1073" s="32" customFormat="1" hidden="1" customHeight="1" spans="1:24">
      <c r="A1073" s="34"/>
      <c r="B1073" s="51"/>
      <c r="C1073" s="51"/>
      <c r="D1073" s="52"/>
      <c r="E1073" s="53"/>
      <c r="F1073" s="54"/>
      <c r="G1073" s="54"/>
      <c r="H1073" s="54"/>
      <c r="I1073" s="66"/>
      <c r="J1073" s="54"/>
      <c r="K1073" s="54"/>
      <c r="L1073" s="54"/>
      <c r="M1073" s="97" t="str">
        <f t="shared" si="107"/>
        <v/>
      </c>
      <c r="N1073" s="70"/>
      <c r="O1073" s="71" t="str">
        <f t="shared" ref="O1073:O1136" si="111">IF(AND(Q1073&lt;&gt;"",T1073&lt;&gt;""),"PASSIVE",IF(AND(J1073&lt;&gt;"",M1073&lt;&gt;""),"ACTIVE",""))</f>
        <v/>
      </c>
      <c r="P1073" s="66"/>
      <c r="Q1073" s="66"/>
      <c r="R1073" s="54"/>
      <c r="S1073" s="82"/>
      <c r="T1073" s="83" t="str">
        <f t="shared" si="108"/>
        <v/>
      </c>
      <c r="U1073" s="10"/>
      <c r="V1073" s="41">
        <f>IF(AND(Q1073&lt;&gt;"",RIGHT(Q1073,3)&lt;&gt;""),IF(COUNTIF($Q$6:Q1073,Q1073)=1,1,0),0)</f>
        <v>0</v>
      </c>
      <c r="W1073" s="41" t="str">
        <f t="shared" si="109"/>
        <v/>
      </c>
      <c r="X1073" s="41" t="str">
        <f t="shared" si="110"/>
        <v/>
      </c>
    </row>
    <row r="1074" s="32" customFormat="1" hidden="1" customHeight="1" spans="1:24">
      <c r="A1074" s="34"/>
      <c r="B1074" s="51"/>
      <c r="C1074" s="51"/>
      <c r="D1074" s="52"/>
      <c r="E1074" s="53"/>
      <c r="F1074" s="54"/>
      <c r="G1074" s="54"/>
      <c r="H1074" s="54"/>
      <c r="I1074" s="66"/>
      <c r="J1074" s="54"/>
      <c r="K1074" s="54"/>
      <c r="L1074" s="54"/>
      <c r="M1074" s="97" t="str">
        <f t="shared" si="107"/>
        <v/>
      </c>
      <c r="N1074" s="70"/>
      <c r="O1074" s="71" t="str">
        <f t="shared" si="111"/>
        <v/>
      </c>
      <c r="P1074" s="66"/>
      <c r="Q1074" s="66"/>
      <c r="R1074" s="54"/>
      <c r="S1074" s="82"/>
      <c r="T1074" s="83" t="str">
        <f t="shared" si="108"/>
        <v/>
      </c>
      <c r="U1074" s="10"/>
      <c r="V1074" s="41">
        <f>IF(AND(Q1074&lt;&gt;"",RIGHT(Q1074,3)&lt;&gt;""),IF(COUNTIF($Q$6:Q1074,Q1074)=1,1,0),0)</f>
        <v>0</v>
      </c>
      <c r="W1074" s="41" t="str">
        <f t="shared" si="109"/>
        <v/>
      </c>
      <c r="X1074" s="41" t="str">
        <f t="shared" si="110"/>
        <v/>
      </c>
    </row>
    <row r="1075" s="32" customFormat="1" hidden="1" customHeight="1" spans="1:24">
      <c r="A1075" s="34"/>
      <c r="B1075" s="51"/>
      <c r="C1075" s="51"/>
      <c r="D1075" s="52"/>
      <c r="E1075" s="53"/>
      <c r="F1075" s="54"/>
      <c r="G1075" s="54"/>
      <c r="H1075" s="54"/>
      <c r="I1075" s="66"/>
      <c r="J1075" s="54"/>
      <c r="K1075" s="54"/>
      <c r="L1075" s="54"/>
      <c r="M1075" s="97" t="str">
        <f t="shared" si="107"/>
        <v/>
      </c>
      <c r="N1075" s="70"/>
      <c r="O1075" s="71" t="str">
        <f t="shared" si="111"/>
        <v/>
      </c>
      <c r="P1075" s="66"/>
      <c r="Q1075" s="66"/>
      <c r="R1075" s="54"/>
      <c r="S1075" s="82"/>
      <c r="T1075" s="83" t="str">
        <f t="shared" si="108"/>
        <v/>
      </c>
      <c r="U1075" s="10"/>
      <c r="V1075" s="41">
        <f>IF(AND(Q1075&lt;&gt;"",RIGHT(Q1075,3)&lt;&gt;""),IF(COUNTIF($Q$6:Q1075,Q1075)=1,1,0),0)</f>
        <v>0</v>
      </c>
      <c r="W1075" s="41" t="str">
        <f t="shared" si="109"/>
        <v/>
      </c>
      <c r="X1075" s="41" t="str">
        <f t="shared" si="110"/>
        <v/>
      </c>
    </row>
    <row r="1076" s="32" customFormat="1" hidden="1" customHeight="1" spans="1:24">
      <c r="A1076" s="34"/>
      <c r="B1076" s="51"/>
      <c r="C1076" s="51"/>
      <c r="D1076" s="52"/>
      <c r="E1076" s="53"/>
      <c r="F1076" s="54"/>
      <c r="G1076" s="54"/>
      <c r="H1076" s="54"/>
      <c r="I1076" s="66"/>
      <c r="J1076" s="54"/>
      <c r="K1076" s="54"/>
      <c r="L1076" s="54"/>
      <c r="M1076" s="97" t="str">
        <f t="shared" si="107"/>
        <v/>
      </c>
      <c r="N1076" s="70"/>
      <c r="O1076" s="71" t="str">
        <f t="shared" si="111"/>
        <v/>
      </c>
      <c r="P1076" s="66"/>
      <c r="Q1076" s="66"/>
      <c r="R1076" s="54"/>
      <c r="S1076" s="82"/>
      <c r="T1076" s="83" t="str">
        <f t="shared" si="108"/>
        <v/>
      </c>
      <c r="U1076" s="10"/>
      <c r="V1076" s="41">
        <f>IF(AND(Q1076&lt;&gt;"",RIGHT(Q1076,3)&lt;&gt;""),IF(COUNTIF($Q$6:Q1076,Q1076)=1,1,0),0)</f>
        <v>0</v>
      </c>
      <c r="W1076" s="41" t="str">
        <f t="shared" si="109"/>
        <v/>
      </c>
      <c r="X1076" s="41" t="str">
        <f t="shared" si="110"/>
        <v/>
      </c>
    </row>
    <row r="1077" s="32" customFormat="1" hidden="1" customHeight="1" spans="1:24">
      <c r="A1077" s="34"/>
      <c r="B1077" s="51"/>
      <c r="C1077" s="51"/>
      <c r="D1077" s="52"/>
      <c r="E1077" s="53"/>
      <c r="F1077" s="54"/>
      <c r="G1077" s="54"/>
      <c r="H1077" s="54"/>
      <c r="I1077" s="66"/>
      <c r="J1077" s="54"/>
      <c r="K1077" s="54"/>
      <c r="L1077" s="54"/>
      <c r="M1077" s="97" t="str">
        <f t="shared" si="107"/>
        <v/>
      </c>
      <c r="N1077" s="70"/>
      <c r="O1077" s="71" t="str">
        <f t="shared" si="111"/>
        <v/>
      </c>
      <c r="P1077" s="66"/>
      <c r="Q1077" s="66"/>
      <c r="R1077" s="54"/>
      <c r="S1077" s="82"/>
      <c r="T1077" s="83" t="str">
        <f t="shared" si="108"/>
        <v/>
      </c>
      <c r="U1077" s="10"/>
      <c r="V1077" s="41">
        <f>IF(AND(Q1077&lt;&gt;"",RIGHT(Q1077,3)&lt;&gt;""),IF(COUNTIF($Q$6:Q1077,Q1077)=1,1,0),0)</f>
        <v>0</v>
      </c>
      <c r="W1077" s="41" t="str">
        <f t="shared" si="109"/>
        <v/>
      </c>
      <c r="X1077" s="41" t="str">
        <f t="shared" si="110"/>
        <v/>
      </c>
    </row>
    <row r="1078" s="32" customFormat="1" hidden="1" customHeight="1" spans="1:24">
      <c r="A1078" s="34"/>
      <c r="B1078" s="51"/>
      <c r="C1078" s="51"/>
      <c r="D1078" s="52"/>
      <c r="E1078" s="53"/>
      <c r="F1078" s="54"/>
      <c r="G1078" s="54"/>
      <c r="H1078" s="54"/>
      <c r="I1078" s="66"/>
      <c r="J1078" s="54"/>
      <c r="K1078" s="54"/>
      <c r="L1078" s="54"/>
      <c r="M1078" s="97" t="str">
        <f t="shared" si="107"/>
        <v/>
      </c>
      <c r="N1078" s="70"/>
      <c r="O1078" s="71" t="str">
        <f t="shared" si="111"/>
        <v/>
      </c>
      <c r="P1078" s="66"/>
      <c r="Q1078" s="66"/>
      <c r="R1078" s="54"/>
      <c r="S1078" s="82"/>
      <c r="T1078" s="83" t="str">
        <f t="shared" si="108"/>
        <v/>
      </c>
      <c r="U1078" s="10"/>
      <c r="V1078" s="41">
        <f>IF(AND(Q1078&lt;&gt;"",RIGHT(Q1078,3)&lt;&gt;""),IF(COUNTIF($Q$6:Q1078,Q1078)=1,1,0),0)</f>
        <v>0</v>
      </c>
      <c r="W1078" s="41" t="str">
        <f t="shared" si="109"/>
        <v/>
      </c>
      <c r="X1078" s="41" t="str">
        <f t="shared" si="110"/>
        <v/>
      </c>
    </row>
    <row r="1079" s="32" customFormat="1" hidden="1" customHeight="1" spans="1:24">
      <c r="A1079" s="34"/>
      <c r="B1079" s="51"/>
      <c r="C1079" s="51"/>
      <c r="D1079" s="52"/>
      <c r="E1079" s="53"/>
      <c r="F1079" s="54"/>
      <c r="G1079" s="54"/>
      <c r="H1079" s="54"/>
      <c r="I1079" s="66"/>
      <c r="J1079" s="54"/>
      <c r="K1079" s="54"/>
      <c r="L1079" s="54"/>
      <c r="M1079" s="97" t="str">
        <f t="shared" si="107"/>
        <v/>
      </c>
      <c r="N1079" s="70"/>
      <c r="O1079" s="71" t="str">
        <f t="shared" si="111"/>
        <v/>
      </c>
      <c r="P1079" s="66"/>
      <c r="Q1079" s="66"/>
      <c r="R1079" s="54"/>
      <c r="S1079" s="82"/>
      <c r="T1079" s="83" t="str">
        <f t="shared" si="108"/>
        <v/>
      </c>
      <c r="U1079" s="10"/>
      <c r="V1079" s="41">
        <f>IF(AND(Q1079&lt;&gt;"",RIGHT(Q1079,3)&lt;&gt;""),IF(COUNTIF($Q$6:Q1079,Q1079)=1,1,0),0)</f>
        <v>0</v>
      </c>
      <c r="W1079" s="41" t="str">
        <f t="shared" si="109"/>
        <v/>
      </c>
      <c r="X1079" s="41" t="str">
        <f t="shared" si="110"/>
        <v/>
      </c>
    </row>
    <row r="1080" s="32" customFormat="1" hidden="1" customHeight="1" spans="1:24">
      <c r="A1080" s="34"/>
      <c r="B1080" s="51"/>
      <c r="C1080" s="51"/>
      <c r="D1080" s="52"/>
      <c r="E1080" s="53"/>
      <c r="F1080" s="54"/>
      <c r="G1080" s="54"/>
      <c r="H1080" s="54"/>
      <c r="I1080" s="66"/>
      <c r="J1080" s="54"/>
      <c r="K1080" s="54"/>
      <c r="L1080" s="54"/>
      <c r="M1080" s="97" t="str">
        <f t="shared" si="107"/>
        <v/>
      </c>
      <c r="N1080" s="70"/>
      <c r="O1080" s="71" t="str">
        <f t="shared" si="111"/>
        <v/>
      </c>
      <c r="P1080" s="66"/>
      <c r="Q1080" s="66"/>
      <c r="R1080" s="54"/>
      <c r="S1080" s="82"/>
      <c r="T1080" s="83" t="str">
        <f t="shared" si="108"/>
        <v/>
      </c>
      <c r="U1080" s="10"/>
      <c r="V1080" s="41">
        <f>IF(AND(Q1080&lt;&gt;"",RIGHT(Q1080,3)&lt;&gt;""),IF(COUNTIF($Q$6:Q1080,Q1080)=1,1,0),0)</f>
        <v>0</v>
      </c>
      <c r="W1080" s="41" t="str">
        <f t="shared" si="109"/>
        <v/>
      </c>
      <c r="X1080" s="41" t="str">
        <f t="shared" si="110"/>
        <v/>
      </c>
    </row>
    <row r="1081" s="32" customFormat="1" hidden="1" customHeight="1" spans="1:24">
      <c r="A1081" s="34"/>
      <c r="B1081" s="51"/>
      <c r="C1081" s="51"/>
      <c r="D1081" s="52"/>
      <c r="E1081" s="53"/>
      <c r="F1081" s="54"/>
      <c r="G1081" s="54"/>
      <c r="H1081" s="54"/>
      <c r="I1081" s="66"/>
      <c r="J1081" s="54"/>
      <c r="K1081" s="54"/>
      <c r="L1081" s="54"/>
      <c r="M1081" s="97" t="str">
        <f t="shared" si="107"/>
        <v/>
      </c>
      <c r="N1081" s="70"/>
      <c r="O1081" s="71" t="str">
        <f t="shared" si="111"/>
        <v/>
      </c>
      <c r="P1081" s="66"/>
      <c r="Q1081" s="66"/>
      <c r="R1081" s="54"/>
      <c r="S1081" s="82"/>
      <c r="T1081" s="83" t="str">
        <f t="shared" si="108"/>
        <v/>
      </c>
      <c r="U1081" s="10"/>
      <c r="V1081" s="41">
        <f>IF(AND(Q1081&lt;&gt;"",RIGHT(Q1081,3)&lt;&gt;""),IF(COUNTIF($Q$6:Q1081,Q1081)=1,1,0),0)</f>
        <v>0</v>
      </c>
      <c r="W1081" s="41" t="str">
        <f t="shared" si="109"/>
        <v/>
      </c>
      <c r="X1081" s="41" t="str">
        <f t="shared" si="110"/>
        <v/>
      </c>
    </row>
    <row r="1082" s="32" customFormat="1" hidden="1" customHeight="1" spans="1:24">
      <c r="A1082" s="34"/>
      <c r="B1082" s="51"/>
      <c r="C1082" s="51"/>
      <c r="D1082" s="52"/>
      <c r="E1082" s="53"/>
      <c r="F1082" s="54"/>
      <c r="G1082" s="54"/>
      <c r="H1082" s="54"/>
      <c r="I1082" s="66"/>
      <c r="J1082" s="54"/>
      <c r="K1082" s="54"/>
      <c r="L1082" s="54"/>
      <c r="M1082" s="97" t="str">
        <f t="shared" si="107"/>
        <v/>
      </c>
      <c r="N1082" s="70"/>
      <c r="O1082" s="71" t="str">
        <f t="shared" si="111"/>
        <v/>
      </c>
      <c r="P1082" s="66"/>
      <c r="Q1082" s="66"/>
      <c r="R1082" s="54"/>
      <c r="S1082" s="82"/>
      <c r="T1082" s="83" t="str">
        <f t="shared" si="108"/>
        <v/>
      </c>
      <c r="U1082" s="10"/>
      <c r="V1082" s="41">
        <f>IF(AND(Q1082&lt;&gt;"",RIGHT(Q1082,3)&lt;&gt;""),IF(COUNTIF($Q$6:Q1082,Q1082)=1,1,0),0)</f>
        <v>0</v>
      </c>
      <c r="W1082" s="41" t="str">
        <f t="shared" si="109"/>
        <v/>
      </c>
      <c r="X1082" s="41" t="str">
        <f t="shared" si="110"/>
        <v/>
      </c>
    </row>
    <row r="1083" s="32" customFormat="1" hidden="1" customHeight="1" spans="1:24">
      <c r="A1083" s="34"/>
      <c r="B1083" s="51"/>
      <c r="C1083" s="51"/>
      <c r="D1083" s="52"/>
      <c r="E1083" s="53"/>
      <c r="F1083" s="54"/>
      <c r="G1083" s="54"/>
      <c r="H1083" s="54"/>
      <c r="I1083" s="66"/>
      <c r="J1083" s="54"/>
      <c r="K1083" s="54"/>
      <c r="L1083" s="54"/>
      <c r="M1083" s="97" t="str">
        <f t="shared" si="107"/>
        <v/>
      </c>
      <c r="N1083" s="70"/>
      <c r="O1083" s="71" t="str">
        <f t="shared" si="111"/>
        <v/>
      </c>
      <c r="P1083" s="66"/>
      <c r="Q1083" s="66"/>
      <c r="R1083" s="54"/>
      <c r="S1083" s="82"/>
      <c r="T1083" s="83" t="str">
        <f t="shared" si="108"/>
        <v/>
      </c>
      <c r="U1083" s="10"/>
      <c r="V1083" s="41">
        <f>IF(AND(Q1083&lt;&gt;"",RIGHT(Q1083,3)&lt;&gt;""),IF(COUNTIF($Q$6:Q1083,Q1083)=1,1,0),0)</f>
        <v>0</v>
      </c>
      <c r="W1083" s="41" t="str">
        <f t="shared" si="109"/>
        <v/>
      </c>
      <c r="X1083" s="41" t="str">
        <f t="shared" si="110"/>
        <v/>
      </c>
    </row>
    <row r="1084" s="32" customFormat="1" hidden="1" customHeight="1" spans="1:24">
      <c r="A1084" s="34"/>
      <c r="B1084" s="51"/>
      <c r="C1084" s="51"/>
      <c r="D1084" s="52"/>
      <c r="E1084" s="53"/>
      <c r="F1084" s="54"/>
      <c r="G1084" s="54"/>
      <c r="H1084" s="54"/>
      <c r="I1084" s="66"/>
      <c r="J1084" s="54"/>
      <c r="K1084" s="54"/>
      <c r="L1084" s="54"/>
      <c r="M1084" s="97" t="str">
        <f t="shared" si="107"/>
        <v/>
      </c>
      <c r="N1084" s="70"/>
      <c r="O1084" s="71" t="str">
        <f t="shared" si="111"/>
        <v/>
      </c>
      <c r="P1084" s="66"/>
      <c r="Q1084" s="66"/>
      <c r="R1084" s="54"/>
      <c r="S1084" s="82"/>
      <c r="T1084" s="83" t="str">
        <f t="shared" si="108"/>
        <v/>
      </c>
      <c r="U1084" s="10"/>
      <c r="V1084" s="41">
        <f>IF(AND(Q1084&lt;&gt;"",RIGHT(Q1084,3)&lt;&gt;""),IF(COUNTIF($Q$6:Q1084,Q1084)=1,1,0),0)</f>
        <v>0</v>
      </c>
      <c r="W1084" s="41" t="str">
        <f t="shared" si="109"/>
        <v/>
      </c>
      <c r="X1084" s="41" t="str">
        <f t="shared" si="110"/>
        <v/>
      </c>
    </row>
    <row r="1085" s="32" customFormat="1" hidden="1" customHeight="1" spans="1:24">
      <c r="A1085" s="34"/>
      <c r="B1085" s="51"/>
      <c r="C1085" s="51"/>
      <c r="D1085" s="52"/>
      <c r="E1085" s="53"/>
      <c r="F1085" s="54"/>
      <c r="G1085" s="54"/>
      <c r="H1085" s="54"/>
      <c r="I1085" s="66"/>
      <c r="J1085" s="54"/>
      <c r="K1085" s="54"/>
      <c r="L1085" s="54"/>
      <c r="M1085" s="97" t="str">
        <f t="shared" si="107"/>
        <v/>
      </c>
      <c r="N1085" s="70"/>
      <c r="O1085" s="71" t="str">
        <f t="shared" si="111"/>
        <v/>
      </c>
      <c r="P1085" s="66"/>
      <c r="Q1085" s="66"/>
      <c r="R1085" s="54"/>
      <c r="S1085" s="82"/>
      <c r="T1085" s="83" t="str">
        <f t="shared" si="108"/>
        <v/>
      </c>
      <c r="U1085" s="10"/>
      <c r="V1085" s="41">
        <f>IF(AND(Q1085&lt;&gt;"",RIGHT(Q1085,3)&lt;&gt;""),IF(COUNTIF($Q$6:Q1085,Q1085)=1,1,0),0)</f>
        <v>0</v>
      </c>
      <c r="W1085" s="41" t="str">
        <f t="shared" si="109"/>
        <v/>
      </c>
      <c r="X1085" s="41" t="str">
        <f t="shared" si="110"/>
        <v/>
      </c>
    </row>
    <row r="1086" s="32" customFormat="1" hidden="1" customHeight="1" spans="1:24">
      <c r="A1086" s="34"/>
      <c r="B1086" s="51"/>
      <c r="C1086" s="51"/>
      <c r="D1086" s="52"/>
      <c r="E1086" s="53"/>
      <c r="F1086" s="54"/>
      <c r="G1086" s="54"/>
      <c r="H1086" s="54"/>
      <c r="I1086" s="66"/>
      <c r="J1086" s="54"/>
      <c r="K1086" s="54"/>
      <c r="L1086" s="54"/>
      <c r="M1086" s="97" t="str">
        <f t="shared" si="107"/>
        <v/>
      </c>
      <c r="N1086" s="70"/>
      <c r="O1086" s="71" t="str">
        <f t="shared" si="111"/>
        <v/>
      </c>
      <c r="P1086" s="66"/>
      <c r="Q1086" s="66"/>
      <c r="R1086" s="54"/>
      <c r="S1086" s="82"/>
      <c r="T1086" s="83" t="str">
        <f t="shared" si="108"/>
        <v/>
      </c>
      <c r="U1086" s="10"/>
      <c r="V1086" s="41">
        <f>IF(AND(Q1086&lt;&gt;"",RIGHT(Q1086,3)&lt;&gt;""),IF(COUNTIF($Q$6:Q1086,Q1086)=1,1,0),0)</f>
        <v>0</v>
      </c>
      <c r="W1086" s="41" t="str">
        <f t="shared" si="109"/>
        <v/>
      </c>
      <c r="X1086" s="41" t="str">
        <f t="shared" si="110"/>
        <v/>
      </c>
    </row>
    <row r="1087" s="32" customFormat="1" hidden="1" customHeight="1" spans="1:24">
      <c r="A1087" s="34"/>
      <c r="B1087" s="51"/>
      <c r="C1087" s="51"/>
      <c r="D1087" s="52"/>
      <c r="E1087" s="53"/>
      <c r="F1087" s="54"/>
      <c r="G1087" s="54"/>
      <c r="H1087" s="54"/>
      <c r="I1087" s="66"/>
      <c r="J1087" s="54"/>
      <c r="K1087" s="54"/>
      <c r="L1087" s="54"/>
      <c r="M1087" s="97" t="str">
        <f t="shared" si="107"/>
        <v/>
      </c>
      <c r="N1087" s="70"/>
      <c r="O1087" s="71" t="str">
        <f t="shared" si="111"/>
        <v/>
      </c>
      <c r="P1087" s="66"/>
      <c r="Q1087" s="66"/>
      <c r="R1087" s="54"/>
      <c r="S1087" s="82"/>
      <c r="T1087" s="83" t="str">
        <f t="shared" si="108"/>
        <v/>
      </c>
      <c r="U1087" s="10"/>
      <c r="V1087" s="41">
        <f>IF(AND(Q1087&lt;&gt;"",RIGHT(Q1087,3)&lt;&gt;""),IF(COUNTIF($Q$6:Q1087,Q1087)=1,1,0),0)</f>
        <v>0</v>
      </c>
      <c r="W1087" s="41" t="str">
        <f t="shared" si="109"/>
        <v/>
      </c>
      <c r="X1087" s="41" t="str">
        <f t="shared" si="110"/>
        <v/>
      </c>
    </row>
    <row r="1088" s="32" customFormat="1" hidden="1" customHeight="1" spans="1:24">
      <c r="A1088" s="34"/>
      <c r="B1088" s="51"/>
      <c r="C1088" s="51"/>
      <c r="D1088" s="52"/>
      <c r="E1088" s="53"/>
      <c r="F1088" s="54"/>
      <c r="G1088" s="54"/>
      <c r="H1088" s="54"/>
      <c r="I1088" s="66"/>
      <c r="J1088" s="54"/>
      <c r="K1088" s="54"/>
      <c r="L1088" s="54"/>
      <c r="M1088" s="97" t="str">
        <f t="shared" si="107"/>
        <v/>
      </c>
      <c r="N1088" s="70"/>
      <c r="O1088" s="71" t="str">
        <f t="shared" si="111"/>
        <v/>
      </c>
      <c r="P1088" s="66"/>
      <c r="Q1088" s="66"/>
      <c r="R1088" s="54"/>
      <c r="S1088" s="82"/>
      <c r="T1088" s="83" t="str">
        <f t="shared" si="108"/>
        <v/>
      </c>
      <c r="U1088" s="10"/>
      <c r="V1088" s="41">
        <f>IF(AND(Q1088&lt;&gt;"",RIGHT(Q1088,3)&lt;&gt;""),IF(COUNTIF($Q$6:Q1088,Q1088)=1,1,0),0)</f>
        <v>0</v>
      </c>
      <c r="W1088" s="41" t="str">
        <f t="shared" si="109"/>
        <v/>
      </c>
      <c r="X1088" s="41" t="str">
        <f t="shared" si="110"/>
        <v/>
      </c>
    </row>
    <row r="1089" s="32" customFormat="1" hidden="1" customHeight="1" spans="1:24">
      <c r="A1089" s="34"/>
      <c r="B1089" s="51"/>
      <c r="C1089" s="51"/>
      <c r="D1089" s="52"/>
      <c r="E1089" s="53"/>
      <c r="F1089" s="54"/>
      <c r="G1089" s="54"/>
      <c r="H1089" s="54"/>
      <c r="I1089" s="66"/>
      <c r="J1089" s="54"/>
      <c r="K1089" s="54"/>
      <c r="L1089" s="54"/>
      <c r="M1089" s="97" t="str">
        <f t="shared" si="107"/>
        <v/>
      </c>
      <c r="N1089" s="70"/>
      <c r="O1089" s="71" t="str">
        <f t="shared" si="111"/>
        <v/>
      </c>
      <c r="P1089" s="66"/>
      <c r="Q1089" s="66"/>
      <c r="R1089" s="54"/>
      <c r="S1089" s="82"/>
      <c r="T1089" s="83" t="str">
        <f t="shared" si="108"/>
        <v/>
      </c>
      <c r="U1089" s="10"/>
      <c r="V1089" s="41">
        <f>IF(AND(Q1089&lt;&gt;"",RIGHT(Q1089,3)&lt;&gt;""),IF(COUNTIF($Q$6:Q1089,Q1089)=1,1,0),0)</f>
        <v>0</v>
      </c>
      <c r="W1089" s="41" t="str">
        <f t="shared" si="109"/>
        <v/>
      </c>
      <c r="X1089" s="41" t="str">
        <f t="shared" si="110"/>
        <v/>
      </c>
    </row>
    <row r="1090" s="32" customFormat="1" hidden="1" customHeight="1" spans="1:24">
      <c r="A1090" s="34"/>
      <c r="B1090" s="51"/>
      <c r="C1090" s="51"/>
      <c r="D1090" s="52"/>
      <c r="E1090" s="53"/>
      <c r="F1090" s="54"/>
      <c r="G1090" s="54"/>
      <c r="H1090" s="54"/>
      <c r="I1090" s="66"/>
      <c r="J1090" s="54"/>
      <c r="K1090" s="54"/>
      <c r="L1090" s="54"/>
      <c r="M1090" s="97" t="str">
        <f t="shared" si="107"/>
        <v/>
      </c>
      <c r="N1090" s="70"/>
      <c r="O1090" s="71" t="str">
        <f t="shared" si="111"/>
        <v/>
      </c>
      <c r="P1090" s="66"/>
      <c r="Q1090" s="66"/>
      <c r="R1090" s="54"/>
      <c r="S1090" s="82"/>
      <c r="T1090" s="83" t="str">
        <f t="shared" si="108"/>
        <v/>
      </c>
      <c r="U1090" s="10"/>
      <c r="V1090" s="41">
        <f>IF(AND(Q1090&lt;&gt;"",RIGHT(Q1090,3)&lt;&gt;""),IF(COUNTIF($Q$6:Q1090,Q1090)=1,1,0),0)</f>
        <v>0</v>
      </c>
      <c r="W1090" s="41" t="str">
        <f t="shared" si="109"/>
        <v/>
      </c>
      <c r="X1090" s="41" t="str">
        <f t="shared" si="110"/>
        <v/>
      </c>
    </row>
    <row r="1091" s="32" customFormat="1" hidden="1" customHeight="1" spans="1:24">
      <c r="A1091" s="34"/>
      <c r="B1091" s="51"/>
      <c r="C1091" s="51"/>
      <c r="D1091" s="52"/>
      <c r="E1091" s="53"/>
      <c r="F1091" s="54"/>
      <c r="G1091" s="54"/>
      <c r="H1091" s="54"/>
      <c r="I1091" s="66"/>
      <c r="J1091" s="54"/>
      <c r="K1091" s="54"/>
      <c r="L1091" s="54"/>
      <c r="M1091" s="97" t="str">
        <f t="shared" si="107"/>
        <v/>
      </c>
      <c r="N1091" s="70"/>
      <c r="O1091" s="71" t="str">
        <f t="shared" si="111"/>
        <v/>
      </c>
      <c r="P1091" s="66"/>
      <c r="Q1091" s="66"/>
      <c r="R1091" s="54"/>
      <c r="S1091" s="82"/>
      <c r="T1091" s="83" t="str">
        <f t="shared" si="108"/>
        <v/>
      </c>
      <c r="U1091" s="10"/>
      <c r="V1091" s="41">
        <f>IF(AND(Q1091&lt;&gt;"",RIGHT(Q1091,3)&lt;&gt;""),IF(COUNTIF($Q$6:Q1091,Q1091)=1,1,0),0)</f>
        <v>0</v>
      </c>
      <c r="W1091" s="41" t="str">
        <f t="shared" si="109"/>
        <v/>
      </c>
      <c r="X1091" s="41" t="str">
        <f t="shared" si="110"/>
        <v/>
      </c>
    </row>
    <row r="1092" s="32" customFormat="1" hidden="1" customHeight="1" spans="1:24">
      <c r="A1092" s="34"/>
      <c r="B1092" s="51"/>
      <c r="C1092" s="51"/>
      <c r="D1092" s="52"/>
      <c r="E1092" s="53"/>
      <c r="F1092" s="54"/>
      <c r="G1092" s="54"/>
      <c r="H1092" s="54"/>
      <c r="I1092" s="66"/>
      <c r="J1092" s="54"/>
      <c r="K1092" s="54"/>
      <c r="L1092" s="54"/>
      <c r="M1092" s="97" t="str">
        <f t="shared" si="107"/>
        <v/>
      </c>
      <c r="N1092" s="70"/>
      <c r="O1092" s="71" t="str">
        <f t="shared" si="111"/>
        <v/>
      </c>
      <c r="P1092" s="66"/>
      <c r="Q1092" s="66"/>
      <c r="R1092" s="54"/>
      <c r="S1092" s="82"/>
      <c r="T1092" s="83" t="str">
        <f t="shared" si="108"/>
        <v/>
      </c>
      <c r="U1092" s="10"/>
      <c r="V1092" s="41">
        <f>IF(AND(Q1092&lt;&gt;"",RIGHT(Q1092,3)&lt;&gt;""),IF(COUNTIF($Q$6:Q1092,Q1092)=1,1,0),0)</f>
        <v>0</v>
      </c>
      <c r="W1092" s="41" t="str">
        <f t="shared" si="109"/>
        <v/>
      </c>
      <c r="X1092" s="41" t="str">
        <f t="shared" si="110"/>
        <v/>
      </c>
    </row>
    <row r="1093" s="32" customFormat="1" hidden="1" customHeight="1" spans="1:24">
      <c r="A1093" s="34"/>
      <c r="B1093" s="51"/>
      <c r="C1093" s="51"/>
      <c r="D1093" s="52"/>
      <c r="E1093" s="53"/>
      <c r="F1093" s="54"/>
      <c r="G1093" s="54"/>
      <c r="H1093" s="54"/>
      <c r="I1093" s="66"/>
      <c r="J1093" s="54"/>
      <c r="K1093" s="54"/>
      <c r="L1093" s="54"/>
      <c r="M1093" s="97" t="str">
        <f t="shared" si="107"/>
        <v/>
      </c>
      <c r="N1093" s="70"/>
      <c r="O1093" s="71" t="str">
        <f t="shared" si="111"/>
        <v/>
      </c>
      <c r="P1093" s="66"/>
      <c r="Q1093" s="66"/>
      <c r="R1093" s="54"/>
      <c r="S1093" s="82"/>
      <c r="T1093" s="83" t="str">
        <f t="shared" si="108"/>
        <v/>
      </c>
      <c r="U1093" s="10"/>
      <c r="V1093" s="41">
        <f>IF(AND(Q1093&lt;&gt;"",RIGHT(Q1093,3)&lt;&gt;""),IF(COUNTIF($Q$6:Q1093,Q1093)=1,1,0),0)</f>
        <v>0</v>
      </c>
      <c r="W1093" s="41" t="str">
        <f t="shared" si="109"/>
        <v/>
      </c>
      <c r="X1093" s="41" t="str">
        <f t="shared" si="110"/>
        <v/>
      </c>
    </row>
    <row r="1094" s="32" customFormat="1" hidden="1" customHeight="1" spans="1:24">
      <c r="A1094" s="34"/>
      <c r="B1094" s="51"/>
      <c r="C1094" s="51"/>
      <c r="D1094" s="52"/>
      <c r="E1094" s="53"/>
      <c r="F1094" s="54"/>
      <c r="G1094" s="54"/>
      <c r="H1094" s="54"/>
      <c r="I1094" s="66"/>
      <c r="J1094" s="54"/>
      <c r="K1094" s="54"/>
      <c r="L1094" s="54"/>
      <c r="M1094" s="97" t="str">
        <f t="shared" si="107"/>
        <v/>
      </c>
      <c r="N1094" s="70"/>
      <c r="O1094" s="71" t="str">
        <f t="shared" si="111"/>
        <v/>
      </c>
      <c r="P1094" s="66"/>
      <c r="Q1094" s="66"/>
      <c r="R1094" s="54"/>
      <c r="S1094" s="82"/>
      <c r="T1094" s="83" t="str">
        <f t="shared" si="108"/>
        <v/>
      </c>
      <c r="U1094" s="10"/>
      <c r="V1094" s="41">
        <f>IF(AND(Q1094&lt;&gt;"",RIGHT(Q1094,3)&lt;&gt;""),IF(COUNTIF($Q$6:Q1094,Q1094)=1,1,0),0)</f>
        <v>0</v>
      </c>
      <c r="W1094" s="41" t="str">
        <f t="shared" si="109"/>
        <v/>
      </c>
      <c r="X1094" s="41" t="str">
        <f t="shared" si="110"/>
        <v/>
      </c>
    </row>
    <row r="1095" s="32" customFormat="1" hidden="1" customHeight="1" spans="1:24">
      <c r="A1095" s="34"/>
      <c r="B1095" s="51"/>
      <c r="C1095" s="51"/>
      <c r="D1095" s="52"/>
      <c r="E1095" s="53"/>
      <c r="F1095" s="54"/>
      <c r="G1095" s="54"/>
      <c r="H1095" s="54"/>
      <c r="I1095" s="66"/>
      <c r="J1095" s="54"/>
      <c r="K1095" s="54"/>
      <c r="L1095" s="54"/>
      <c r="M1095" s="97" t="str">
        <f t="shared" si="107"/>
        <v/>
      </c>
      <c r="N1095" s="70"/>
      <c r="O1095" s="71" t="str">
        <f t="shared" si="111"/>
        <v/>
      </c>
      <c r="P1095" s="66"/>
      <c r="Q1095" s="66"/>
      <c r="R1095" s="54"/>
      <c r="S1095" s="82"/>
      <c r="T1095" s="83" t="str">
        <f t="shared" si="108"/>
        <v/>
      </c>
      <c r="U1095" s="10"/>
      <c r="V1095" s="41">
        <f>IF(AND(Q1095&lt;&gt;"",RIGHT(Q1095,3)&lt;&gt;""),IF(COUNTIF($Q$6:Q1095,Q1095)=1,1,0),0)</f>
        <v>0</v>
      </c>
      <c r="W1095" s="41" t="str">
        <f t="shared" si="109"/>
        <v/>
      </c>
      <c r="X1095" s="41" t="str">
        <f t="shared" si="110"/>
        <v/>
      </c>
    </row>
    <row r="1096" s="32" customFormat="1" hidden="1" customHeight="1" spans="1:24">
      <c r="A1096" s="34"/>
      <c r="B1096" s="51"/>
      <c r="C1096" s="51"/>
      <c r="D1096" s="52"/>
      <c r="E1096" s="53"/>
      <c r="F1096" s="54"/>
      <c r="G1096" s="54"/>
      <c r="H1096" s="54"/>
      <c r="I1096" s="66"/>
      <c r="J1096" s="54"/>
      <c r="K1096" s="54"/>
      <c r="L1096" s="54"/>
      <c r="M1096" s="97" t="str">
        <f t="shared" si="107"/>
        <v/>
      </c>
      <c r="N1096" s="70"/>
      <c r="O1096" s="71" t="str">
        <f t="shared" si="111"/>
        <v/>
      </c>
      <c r="P1096" s="66"/>
      <c r="Q1096" s="66"/>
      <c r="R1096" s="54"/>
      <c r="S1096" s="82"/>
      <c r="T1096" s="83" t="str">
        <f t="shared" si="108"/>
        <v/>
      </c>
      <c r="U1096" s="10"/>
      <c r="V1096" s="41">
        <f>IF(AND(Q1096&lt;&gt;"",RIGHT(Q1096,3)&lt;&gt;""),IF(COUNTIF($Q$6:Q1096,Q1096)=1,1,0),0)</f>
        <v>0</v>
      </c>
      <c r="W1096" s="41" t="str">
        <f t="shared" si="109"/>
        <v/>
      </c>
      <c r="X1096" s="41" t="str">
        <f t="shared" si="110"/>
        <v/>
      </c>
    </row>
    <row r="1097" s="32" customFormat="1" hidden="1" customHeight="1" spans="1:24">
      <c r="A1097" s="34"/>
      <c r="B1097" s="51"/>
      <c r="C1097" s="51"/>
      <c r="D1097" s="52"/>
      <c r="E1097" s="53"/>
      <c r="F1097" s="54"/>
      <c r="G1097" s="54"/>
      <c r="H1097" s="54"/>
      <c r="I1097" s="66"/>
      <c r="J1097" s="54"/>
      <c r="K1097" s="54"/>
      <c r="L1097" s="54"/>
      <c r="M1097" s="97" t="str">
        <f t="shared" si="107"/>
        <v/>
      </c>
      <c r="N1097" s="70"/>
      <c r="O1097" s="71" t="str">
        <f t="shared" si="111"/>
        <v/>
      </c>
      <c r="P1097" s="66"/>
      <c r="Q1097" s="66"/>
      <c r="R1097" s="54"/>
      <c r="S1097" s="82"/>
      <c r="T1097" s="83" t="str">
        <f t="shared" si="108"/>
        <v/>
      </c>
      <c r="U1097" s="10"/>
      <c r="V1097" s="41">
        <f>IF(AND(Q1097&lt;&gt;"",RIGHT(Q1097,3)&lt;&gt;""),IF(COUNTIF($Q$6:Q1097,Q1097)=1,1,0),0)</f>
        <v>0</v>
      </c>
      <c r="W1097" s="41" t="str">
        <f t="shared" si="109"/>
        <v/>
      </c>
      <c r="X1097" s="41" t="str">
        <f t="shared" si="110"/>
        <v/>
      </c>
    </row>
    <row r="1098" s="32" customFormat="1" hidden="1" customHeight="1" spans="1:24">
      <c r="A1098" s="34"/>
      <c r="B1098" s="51"/>
      <c r="C1098" s="51"/>
      <c r="D1098" s="52"/>
      <c r="E1098" s="53"/>
      <c r="F1098" s="54"/>
      <c r="G1098" s="54"/>
      <c r="H1098" s="54"/>
      <c r="I1098" s="66"/>
      <c r="J1098" s="54"/>
      <c r="K1098" s="54"/>
      <c r="L1098" s="54"/>
      <c r="M1098" s="97" t="str">
        <f t="shared" si="107"/>
        <v/>
      </c>
      <c r="N1098" s="70"/>
      <c r="O1098" s="71" t="str">
        <f t="shared" si="111"/>
        <v/>
      </c>
      <c r="P1098" s="66"/>
      <c r="Q1098" s="66"/>
      <c r="R1098" s="54"/>
      <c r="S1098" s="82"/>
      <c r="T1098" s="83" t="str">
        <f t="shared" si="108"/>
        <v/>
      </c>
      <c r="U1098" s="10"/>
      <c r="V1098" s="41">
        <f>IF(AND(Q1098&lt;&gt;"",RIGHT(Q1098,3)&lt;&gt;""),IF(COUNTIF($Q$6:Q1098,Q1098)=1,1,0),0)</f>
        <v>0</v>
      </c>
      <c r="W1098" s="41" t="str">
        <f t="shared" si="109"/>
        <v/>
      </c>
      <c r="X1098" s="41" t="str">
        <f t="shared" si="110"/>
        <v/>
      </c>
    </row>
    <row r="1099" s="32" customFormat="1" hidden="1" customHeight="1" spans="1:24">
      <c r="A1099" s="34"/>
      <c r="B1099" s="51"/>
      <c r="C1099" s="51"/>
      <c r="D1099" s="52"/>
      <c r="E1099" s="53"/>
      <c r="F1099" s="54"/>
      <c r="G1099" s="54"/>
      <c r="H1099" s="54"/>
      <c r="I1099" s="66"/>
      <c r="J1099" s="54"/>
      <c r="K1099" s="54"/>
      <c r="L1099" s="54"/>
      <c r="M1099" s="97" t="str">
        <f t="shared" si="107"/>
        <v/>
      </c>
      <c r="N1099" s="70"/>
      <c r="O1099" s="71" t="str">
        <f t="shared" si="111"/>
        <v/>
      </c>
      <c r="P1099" s="66"/>
      <c r="Q1099" s="66"/>
      <c r="R1099" s="54"/>
      <c r="S1099" s="82"/>
      <c r="T1099" s="83" t="str">
        <f t="shared" si="108"/>
        <v/>
      </c>
      <c r="U1099" s="10"/>
      <c r="V1099" s="41">
        <f>IF(AND(Q1099&lt;&gt;"",RIGHT(Q1099,3)&lt;&gt;""),IF(COUNTIF($Q$6:Q1099,Q1099)=1,1,0),0)</f>
        <v>0</v>
      </c>
      <c r="W1099" s="41" t="str">
        <f t="shared" si="109"/>
        <v/>
      </c>
      <c r="X1099" s="41" t="str">
        <f t="shared" si="110"/>
        <v/>
      </c>
    </row>
    <row r="1100" s="32" customFormat="1" hidden="1" customHeight="1" spans="1:24">
      <c r="A1100" s="34"/>
      <c r="B1100" s="51"/>
      <c r="C1100" s="51"/>
      <c r="D1100" s="52"/>
      <c r="E1100" s="53"/>
      <c r="F1100" s="54"/>
      <c r="G1100" s="54"/>
      <c r="H1100" s="54"/>
      <c r="I1100" s="66"/>
      <c r="J1100" s="54"/>
      <c r="K1100" s="54"/>
      <c r="L1100" s="54"/>
      <c r="M1100" s="97" t="str">
        <f t="shared" si="107"/>
        <v/>
      </c>
      <c r="N1100" s="70"/>
      <c r="O1100" s="71" t="str">
        <f t="shared" si="111"/>
        <v/>
      </c>
      <c r="P1100" s="66"/>
      <c r="Q1100" s="66"/>
      <c r="R1100" s="54"/>
      <c r="S1100" s="82"/>
      <c r="T1100" s="83" t="str">
        <f t="shared" si="108"/>
        <v/>
      </c>
      <c r="U1100" s="10"/>
      <c r="V1100" s="41">
        <f>IF(AND(Q1100&lt;&gt;"",RIGHT(Q1100,3)&lt;&gt;""),IF(COUNTIF($Q$6:Q1100,Q1100)=1,1,0),0)</f>
        <v>0</v>
      </c>
      <c r="W1100" s="41" t="str">
        <f t="shared" si="109"/>
        <v/>
      </c>
      <c r="X1100" s="41" t="str">
        <f t="shared" si="110"/>
        <v/>
      </c>
    </row>
    <row r="1101" s="32" customFormat="1" hidden="1" customHeight="1" spans="1:24">
      <c r="A1101" s="34"/>
      <c r="B1101" s="51"/>
      <c r="C1101" s="51"/>
      <c r="D1101" s="52"/>
      <c r="E1101" s="53"/>
      <c r="F1101" s="54"/>
      <c r="G1101" s="54"/>
      <c r="H1101" s="54"/>
      <c r="I1101" s="66"/>
      <c r="J1101" s="54"/>
      <c r="K1101" s="54"/>
      <c r="L1101" s="54"/>
      <c r="M1101" s="97" t="str">
        <f t="shared" si="107"/>
        <v/>
      </c>
      <c r="N1101" s="70"/>
      <c r="O1101" s="71" t="str">
        <f t="shared" si="111"/>
        <v/>
      </c>
      <c r="P1101" s="66"/>
      <c r="Q1101" s="66"/>
      <c r="R1101" s="54"/>
      <c r="S1101" s="82"/>
      <c r="T1101" s="83" t="str">
        <f t="shared" si="108"/>
        <v/>
      </c>
      <c r="U1101" s="10"/>
      <c r="V1101" s="41">
        <f>IF(AND(Q1101&lt;&gt;"",RIGHT(Q1101,3)&lt;&gt;""),IF(COUNTIF($Q$6:Q1101,Q1101)=1,1,0),0)</f>
        <v>0</v>
      </c>
      <c r="W1101" s="41" t="str">
        <f t="shared" si="109"/>
        <v/>
      </c>
      <c r="X1101" s="41" t="str">
        <f t="shared" si="110"/>
        <v/>
      </c>
    </row>
    <row r="1102" s="32" customFormat="1" hidden="1" customHeight="1" spans="1:24">
      <c r="A1102" s="34"/>
      <c r="B1102" s="51"/>
      <c r="C1102" s="51"/>
      <c r="D1102" s="52"/>
      <c r="E1102" s="53"/>
      <c r="F1102" s="54"/>
      <c r="G1102" s="54"/>
      <c r="H1102" s="54"/>
      <c r="I1102" s="66"/>
      <c r="J1102" s="54"/>
      <c r="K1102" s="54"/>
      <c r="L1102" s="54"/>
      <c r="M1102" s="97" t="str">
        <f t="shared" si="107"/>
        <v/>
      </c>
      <c r="N1102" s="70"/>
      <c r="O1102" s="71" t="str">
        <f t="shared" si="111"/>
        <v/>
      </c>
      <c r="P1102" s="66"/>
      <c r="Q1102" s="66"/>
      <c r="R1102" s="54"/>
      <c r="S1102" s="82"/>
      <c r="T1102" s="83" t="str">
        <f t="shared" si="108"/>
        <v/>
      </c>
      <c r="U1102" s="10"/>
      <c r="V1102" s="41">
        <f>IF(AND(Q1102&lt;&gt;"",RIGHT(Q1102,3)&lt;&gt;""),IF(COUNTIF($Q$6:Q1102,Q1102)=1,1,0),0)</f>
        <v>0</v>
      </c>
      <c r="W1102" s="41" t="str">
        <f t="shared" si="109"/>
        <v/>
      </c>
      <c r="X1102" s="41" t="str">
        <f t="shared" si="110"/>
        <v/>
      </c>
    </row>
    <row r="1103" s="32" customFormat="1" hidden="1" customHeight="1" spans="1:24">
      <c r="A1103" s="34"/>
      <c r="B1103" s="51"/>
      <c r="C1103" s="51"/>
      <c r="D1103" s="52"/>
      <c r="E1103" s="53"/>
      <c r="F1103" s="54"/>
      <c r="G1103" s="54"/>
      <c r="H1103" s="54"/>
      <c r="I1103" s="66"/>
      <c r="J1103" s="54"/>
      <c r="K1103" s="54"/>
      <c r="L1103" s="54"/>
      <c r="M1103" s="97" t="str">
        <f t="shared" si="107"/>
        <v/>
      </c>
      <c r="N1103" s="70"/>
      <c r="O1103" s="71" t="str">
        <f t="shared" si="111"/>
        <v/>
      </c>
      <c r="P1103" s="66"/>
      <c r="Q1103" s="66"/>
      <c r="R1103" s="54"/>
      <c r="S1103" s="82"/>
      <c r="T1103" s="83" t="str">
        <f t="shared" si="108"/>
        <v/>
      </c>
      <c r="U1103" s="10"/>
      <c r="V1103" s="41">
        <f>IF(AND(Q1103&lt;&gt;"",RIGHT(Q1103,3)&lt;&gt;""),IF(COUNTIF($Q$6:Q1103,Q1103)=1,1,0),0)</f>
        <v>0</v>
      </c>
      <c r="W1103" s="41" t="str">
        <f t="shared" si="109"/>
        <v/>
      </c>
      <c r="X1103" s="41" t="str">
        <f t="shared" si="110"/>
        <v/>
      </c>
    </row>
    <row r="1104" s="32" customFormat="1" hidden="1" customHeight="1" spans="1:24">
      <c r="A1104" s="34"/>
      <c r="B1104" s="51"/>
      <c r="C1104" s="51"/>
      <c r="D1104" s="52"/>
      <c r="E1104" s="53"/>
      <c r="F1104" s="54"/>
      <c r="G1104" s="54"/>
      <c r="H1104" s="54"/>
      <c r="I1104" s="66"/>
      <c r="J1104" s="54"/>
      <c r="K1104" s="54"/>
      <c r="L1104" s="54"/>
      <c r="M1104" s="97" t="str">
        <f t="shared" si="107"/>
        <v/>
      </c>
      <c r="N1104" s="70"/>
      <c r="O1104" s="71" t="str">
        <f t="shared" si="111"/>
        <v/>
      </c>
      <c r="P1104" s="66"/>
      <c r="Q1104" s="66"/>
      <c r="R1104" s="54"/>
      <c r="S1104" s="82"/>
      <c r="T1104" s="83" t="str">
        <f t="shared" si="108"/>
        <v/>
      </c>
      <c r="U1104" s="10"/>
      <c r="V1104" s="41">
        <f>IF(AND(Q1104&lt;&gt;"",RIGHT(Q1104,3)&lt;&gt;""),IF(COUNTIF($Q$6:Q1104,Q1104)=1,1,0),0)</f>
        <v>0</v>
      </c>
      <c r="W1104" s="41" t="str">
        <f t="shared" si="109"/>
        <v/>
      </c>
      <c r="X1104" s="41" t="str">
        <f t="shared" si="110"/>
        <v/>
      </c>
    </row>
    <row r="1105" s="32" customFormat="1" hidden="1" customHeight="1" spans="1:24">
      <c r="A1105" s="34"/>
      <c r="B1105" s="51"/>
      <c r="C1105" s="51"/>
      <c r="D1105" s="52"/>
      <c r="E1105" s="53"/>
      <c r="F1105" s="54"/>
      <c r="G1105" s="54"/>
      <c r="H1105" s="54"/>
      <c r="I1105" s="66"/>
      <c r="J1105" s="54"/>
      <c r="K1105" s="54"/>
      <c r="L1105" s="54"/>
      <c r="M1105" s="97" t="str">
        <f t="shared" si="107"/>
        <v/>
      </c>
      <c r="N1105" s="70"/>
      <c r="O1105" s="71" t="str">
        <f t="shared" si="111"/>
        <v/>
      </c>
      <c r="P1105" s="66"/>
      <c r="Q1105" s="66"/>
      <c r="R1105" s="54"/>
      <c r="S1105" s="82"/>
      <c r="T1105" s="83" t="str">
        <f t="shared" si="108"/>
        <v/>
      </c>
      <c r="U1105" s="10"/>
      <c r="V1105" s="41">
        <f>IF(AND(Q1105&lt;&gt;"",RIGHT(Q1105,3)&lt;&gt;""),IF(COUNTIF($Q$6:Q1105,Q1105)=1,1,0),0)</f>
        <v>0</v>
      </c>
      <c r="W1105" s="41" t="str">
        <f t="shared" si="109"/>
        <v/>
      </c>
      <c r="X1105" s="41" t="str">
        <f t="shared" si="110"/>
        <v/>
      </c>
    </row>
    <row r="1106" s="32" customFormat="1" hidden="1" customHeight="1" spans="1:24">
      <c r="A1106" s="34"/>
      <c r="B1106" s="51"/>
      <c r="C1106" s="51"/>
      <c r="D1106" s="52"/>
      <c r="E1106" s="53"/>
      <c r="F1106" s="54"/>
      <c r="G1106" s="54"/>
      <c r="H1106" s="54"/>
      <c r="I1106" s="66"/>
      <c r="J1106" s="54"/>
      <c r="K1106" s="54"/>
      <c r="L1106" s="54"/>
      <c r="M1106" s="97" t="str">
        <f t="shared" si="107"/>
        <v/>
      </c>
      <c r="N1106" s="70"/>
      <c r="O1106" s="71" t="str">
        <f t="shared" si="111"/>
        <v/>
      </c>
      <c r="P1106" s="66"/>
      <c r="Q1106" s="66"/>
      <c r="R1106" s="54"/>
      <c r="S1106" s="82"/>
      <c r="T1106" s="83" t="str">
        <f t="shared" si="108"/>
        <v/>
      </c>
      <c r="U1106" s="10"/>
      <c r="V1106" s="41">
        <f>IF(AND(Q1106&lt;&gt;"",RIGHT(Q1106,3)&lt;&gt;""),IF(COUNTIF($Q$6:Q1106,Q1106)=1,1,0),0)</f>
        <v>0</v>
      </c>
      <c r="W1106" s="41" t="str">
        <f t="shared" si="109"/>
        <v/>
      </c>
      <c r="X1106" s="41" t="str">
        <f t="shared" si="110"/>
        <v/>
      </c>
    </row>
    <row r="1107" s="32" customFormat="1" hidden="1" customHeight="1" spans="1:24">
      <c r="A1107" s="34"/>
      <c r="B1107" s="51"/>
      <c r="C1107" s="51"/>
      <c r="D1107" s="52"/>
      <c r="E1107" s="53"/>
      <c r="F1107" s="54"/>
      <c r="G1107" s="54"/>
      <c r="H1107" s="54"/>
      <c r="I1107" s="66"/>
      <c r="J1107" s="54"/>
      <c r="K1107" s="54"/>
      <c r="L1107" s="54"/>
      <c r="M1107" s="97" t="str">
        <f t="shared" si="107"/>
        <v/>
      </c>
      <c r="N1107" s="70"/>
      <c r="O1107" s="71" t="str">
        <f t="shared" si="111"/>
        <v/>
      </c>
      <c r="P1107" s="66"/>
      <c r="Q1107" s="66"/>
      <c r="R1107" s="54"/>
      <c r="S1107" s="82"/>
      <c r="T1107" s="83" t="str">
        <f t="shared" si="108"/>
        <v/>
      </c>
      <c r="U1107" s="10"/>
      <c r="V1107" s="41">
        <f>IF(AND(Q1107&lt;&gt;"",RIGHT(Q1107,3)&lt;&gt;""),IF(COUNTIF($Q$6:Q1107,Q1107)=1,1,0),0)</f>
        <v>0</v>
      </c>
      <c r="W1107" s="41" t="str">
        <f t="shared" si="109"/>
        <v/>
      </c>
      <c r="X1107" s="41" t="str">
        <f t="shared" si="110"/>
        <v/>
      </c>
    </row>
    <row r="1108" s="32" customFormat="1" hidden="1" customHeight="1" spans="1:24">
      <c r="A1108" s="34"/>
      <c r="B1108" s="51"/>
      <c r="C1108" s="51"/>
      <c r="D1108" s="52"/>
      <c r="E1108" s="53"/>
      <c r="F1108" s="54"/>
      <c r="G1108" s="54"/>
      <c r="H1108" s="54"/>
      <c r="I1108" s="66"/>
      <c r="J1108" s="54"/>
      <c r="K1108" s="54"/>
      <c r="L1108" s="54"/>
      <c r="M1108" s="97" t="str">
        <f t="shared" si="107"/>
        <v/>
      </c>
      <c r="N1108" s="70"/>
      <c r="O1108" s="71" t="str">
        <f t="shared" si="111"/>
        <v/>
      </c>
      <c r="P1108" s="66"/>
      <c r="Q1108" s="66"/>
      <c r="R1108" s="54"/>
      <c r="S1108" s="82"/>
      <c r="T1108" s="83" t="str">
        <f t="shared" si="108"/>
        <v/>
      </c>
      <c r="U1108" s="10"/>
      <c r="V1108" s="41">
        <f>IF(AND(Q1108&lt;&gt;"",RIGHT(Q1108,3)&lt;&gt;""),IF(COUNTIF($Q$6:Q1108,Q1108)=1,1,0),0)</f>
        <v>0</v>
      </c>
      <c r="W1108" s="41" t="str">
        <f t="shared" si="109"/>
        <v/>
      </c>
      <c r="X1108" s="41" t="str">
        <f t="shared" si="110"/>
        <v/>
      </c>
    </row>
    <row r="1109" s="32" customFormat="1" hidden="1" customHeight="1" spans="1:24">
      <c r="A1109" s="34"/>
      <c r="B1109" s="51"/>
      <c r="C1109" s="51"/>
      <c r="D1109" s="52"/>
      <c r="E1109" s="53"/>
      <c r="F1109" s="54"/>
      <c r="G1109" s="54"/>
      <c r="H1109" s="54"/>
      <c r="I1109" s="66"/>
      <c r="J1109" s="54"/>
      <c r="K1109" s="54"/>
      <c r="L1109" s="54"/>
      <c r="M1109" s="97" t="str">
        <f t="shared" si="107"/>
        <v/>
      </c>
      <c r="N1109" s="70"/>
      <c r="O1109" s="71" t="str">
        <f t="shared" si="111"/>
        <v/>
      </c>
      <c r="P1109" s="66"/>
      <c r="Q1109" s="66"/>
      <c r="R1109" s="54"/>
      <c r="S1109" s="82"/>
      <c r="T1109" s="83" t="str">
        <f t="shared" si="108"/>
        <v/>
      </c>
      <c r="U1109" s="10"/>
      <c r="V1109" s="41">
        <f>IF(AND(Q1109&lt;&gt;"",RIGHT(Q1109,3)&lt;&gt;""),IF(COUNTIF($Q$6:Q1109,Q1109)=1,1,0),0)</f>
        <v>0</v>
      </c>
      <c r="W1109" s="41" t="str">
        <f t="shared" si="109"/>
        <v/>
      </c>
      <c r="X1109" s="41" t="str">
        <f t="shared" si="110"/>
        <v/>
      </c>
    </row>
    <row r="1110" s="32" customFormat="1" hidden="1" customHeight="1" spans="1:24">
      <c r="A1110" s="34"/>
      <c r="B1110" s="51"/>
      <c r="C1110" s="51"/>
      <c r="D1110" s="52"/>
      <c r="E1110" s="53"/>
      <c r="F1110" s="54"/>
      <c r="G1110" s="54"/>
      <c r="H1110" s="54"/>
      <c r="I1110" s="66"/>
      <c r="J1110" s="54"/>
      <c r="K1110" s="54"/>
      <c r="L1110" s="54"/>
      <c r="M1110" s="97" t="str">
        <f t="shared" si="107"/>
        <v/>
      </c>
      <c r="N1110" s="70"/>
      <c r="O1110" s="71" t="str">
        <f t="shared" si="111"/>
        <v/>
      </c>
      <c r="P1110" s="66"/>
      <c r="Q1110" s="66"/>
      <c r="R1110" s="54"/>
      <c r="S1110" s="82"/>
      <c r="T1110" s="83" t="str">
        <f t="shared" si="108"/>
        <v/>
      </c>
      <c r="U1110" s="10"/>
      <c r="V1110" s="41">
        <f>IF(AND(Q1110&lt;&gt;"",RIGHT(Q1110,3)&lt;&gt;""),IF(COUNTIF($Q$6:Q1110,Q1110)=1,1,0),0)</f>
        <v>0</v>
      </c>
      <c r="W1110" s="41" t="str">
        <f t="shared" si="109"/>
        <v/>
      </c>
      <c r="X1110" s="41" t="str">
        <f t="shared" si="110"/>
        <v/>
      </c>
    </row>
    <row r="1111" s="32" customFormat="1" hidden="1" customHeight="1" spans="1:24">
      <c r="A1111" s="34"/>
      <c r="B1111" s="51"/>
      <c r="C1111" s="51"/>
      <c r="D1111" s="52"/>
      <c r="E1111" s="53"/>
      <c r="F1111" s="54"/>
      <c r="G1111" s="54"/>
      <c r="H1111" s="54"/>
      <c r="I1111" s="66"/>
      <c r="J1111" s="54"/>
      <c r="K1111" s="54"/>
      <c r="L1111" s="54"/>
      <c r="M1111" s="97" t="str">
        <f t="shared" si="107"/>
        <v/>
      </c>
      <c r="N1111" s="70"/>
      <c r="O1111" s="71" t="str">
        <f t="shared" si="111"/>
        <v/>
      </c>
      <c r="P1111" s="66"/>
      <c r="Q1111" s="66"/>
      <c r="R1111" s="54"/>
      <c r="S1111" s="82"/>
      <c r="T1111" s="83" t="str">
        <f t="shared" si="108"/>
        <v/>
      </c>
      <c r="U1111" s="10"/>
      <c r="V1111" s="41">
        <f>IF(AND(Q1111&lt;&gt;"",RIGHT(Q1111,3)&lt;&gt;""),IF(COUNTIF($Q$6:Q1111,Q1111)=1,1,0),0)</f>
        <v>0</v>
      </c>
      <c r="W1111" s="41" t="str">
        <f t="shared" si="109"/>
        <v/>
      </c>
      <c r="X1111" s="41" t="str">
        <f t="shared" si="110"/>
        <v/>
      </c>
    </row>
    <row r="1112" s="32" customFormat="1" hidden="1" customHeight="1" spans="1:24">
      <c r="A1112" s="34"/>
      <c r="B1112" s="51"/>
      <c r="C1112" s="51"/>
      <c r="D1112" s="52"/>
      <c r="E1112" s="53"/>
      <c r="F1112" s="54"/>
      <c r="G1112" s="54"/>
      <c r="H1112" s="54"/>
      <c r="I1112" s="66"/>
      <c r="J1112" s="54"/>
      <c r="K1112" s="54"/>
      <c r="L1112" s="54"/>
      <c r="M1112" s="97" t="str">
        <f t="shared" si="107"/>
        <v/>
      </c>
      <c r="N1112" s="70"/>
      <c r="O1112" s="71" t="str">
        <f t="shared" si="111"/>
        <v/>
      </c>
      <c r="P1112" s="66"/>
      <c r="Q1112" s="66"/>
      <c r="R1112" s="54"/>
      <c r="S1112" s="82"/>
      <c r="T1112" s="83" t="str">
        <f t="shared" si="108"/>
        <v/>
      </c>
      <c r="U1112" s="10"/>
      <c r="V1112" s="41">
        <f>IF(AND(Q1112&lt;&gt;"",RIGHT(Q1112,3)&lt;&gt;""),IF(COUNTIF($Q$6:Q1112,Q1112)=1,1,0),0)</f>
        <v>0</v>
      </c>
      <c r="W1112" s="41" t="str">
        <f t="shared" si="109"/>
        <v/>
      </c>
      <c r="X1112" s="41" t="str">
        <f t="shared" si="110"/>
        <v/>
      </c>
    </row>
    <row r="1113" s="32" customFormat="1" hidden="1" customHeight="1" spans="1:24">
      <c r="A1113" s="34"/>
      <c r="B1113" s="51"/>
      <c r="C1113" s="51"/>
      <c r="D1113" s="52"/>
      <c r="E1113" s="53"/>
      <c r="F1113" s="54"/>
      <c r="G1113" s="54"/>
      <c r="H1113" s="54"/>
      <c r="I1113" s="66"/>
      <c r="J1113" s="54"/>
      <c r="K1113" s="54"/>
      <c r="L1113" s="54"/>
      <c r="M1113" s="97" t="str">
        <f t="shared" si="107"/>
        <v/>
      </c>
      <c r="N1113" s="70"/>
      <c r="O1113" s="71" t="str">
        <f t="shared" si="111"/>
        <v/>
      </c>
      <c r="P1113" s="66"/>
      <c r="Q1113" s="66"/>
      <c r="R1113" s="54"/>
      <c r="S1113" s="82"/>
      <c r="T1113" s="83" t="str">
        <f t="shared" si="108"/>
        <v/>
      </c>
      <c r="U1113" s="10"/>
      <c r="V1113" s="41">
        <f>IF(AND(Q1113&lt;&gt;"",RIGHT(Q1113,3)&lt;&gt;""),IF(COUNTIF($Q$6:Q1113,Q1113)=1,1,0),0)</f>
        <v>0</v>
      </c>
      <c r="W1113" s="41" t="str">
        <f t="shared" si="109"/>
        <v/>
      </c>
      <c r="X1113" s="41" t="str">
        <f t="shared" si="110"/>
        <v/>
      </c>
    </row>
    <row r="1114" s="32" customFormat="1" hidden="1" customHeight="1" spans="1:24">
      <c r="A1114" s="34"/>
      <c r="B1114" s="51"/>
      <c r="C1114" s="51"/>
      <c r="D1114" s="52"/>
      <c r="E1114" s="53"/>
      <c r="F1114" s="54"/>
      <c r="G1114" s="54"/>
      <c r="H1114" s="54"/>
      <c r="I1114" s="66"/>
      <c r="J1114" s="54"/>
      <c r="K1114" s="54"/>
      <c r="L1114" s="54"/>
      <c r="M1114" s="97" t="str">
        <f t="shared" si="107"/>
        <v/>
      </c>
      <c r="N1114" s="70"/>
      <c r="O1114" s="71" t="str">
        <f t="shared" si="111"/>
        <v/>
      </c>
      <c r="P1114" s="66"/>
      <c r="Q1114" s="66"/>
      <c r="R1114" s="54"/>
      <c r="S1114" s="82"/>
      <c r="T1114" s="83" t="str">
        <f t="shared" si="108"/>
        <v/>
      </c>
      <c r="U1114" s="10"/>
      <c r="V1114" s="41">
        <f>IF(AND(Q1114&lt;&gt;"",RIGHT(Q1114,3)&lt;&gt;""),IF(COUNTIF($Q$6:Q1114,Q1114)=1,1,0),0)</f>
        <v>0</v>
      </c>
      <c r="W1114" s="41" t="str">
        <f t="shared" si="109"/>
        <v/>
      </c>
      <c r="X1114" s="41" t="str">
        <f t="shared" si="110"/>
        <v/>
      </c>
    </row>
    <row r="1115" s="32" customFormat="1" hidden="1" customHeight="1" spans="1:24">
      <c r="A1115" s="34"/>
      <c r="B1115" s="51"/>
      <c r="C1115" s="51"/>
      <c r="D1115" s="52"/>
      <c r="E1115" s="53"/>
      <c r="F1115" s="54"/>
      <c r="G1115" s="54"/>
      <c r="H1115" s="54"/>
      <c r="I1115" s="66"/>
      <c r="J1115" s="54"/>
      <c r="K1115" s="54"/>
      <c r="L1115" s="54"/>
      <c r="M1115" s="97" t="str">
        <f t="shared" si="107"/>
        <v/>
      </c>
      <c r="N1115" s="70"/>
      <c r="O1115" s="71" t="str">
        <f t="shared" si="111"/>
        <v/>
      </c>
      <c r="P1115" s="66"/>
      <c r="Q1115" s="66"/>
      <c r="R1115" s="54"/>
      <c r="S1115" s="82"/>
      <c r="T1115" s="83" t="str">
        <f t="shared" si="108"/>
        <v/>
      </c>
      <c r="U1115" s="10"/>
      <c r="V1115" s="41">
        <f>IF(AND(Q1115&lt;&gt;"",RIGHT(Q1115,3)&lt;&gt;""),IF(COUNTIF($Q$6:Q1115,Q1115)=1,1,0),0)</f>
        <v>0</v>
      </c>
      <c r="W1115" s="41" t="str">
        <f t="shared" si="109"/>
        <v/>
      </c>
      <c r="X1115" s="41" t="str">
        <f t="shared" si="110"/>
        <v/>
      </c>
    </row>
    <row r="1116" s="32" customFormat="1" hidden="1" customHeight="1" spans="1:24">
      <c r="A1116" s="34"/>
      <c r="B1116" s="51"/>
      <c r="C1116" s="51"/>
      <c r="D1116" s="52"/>
      <c r="E1116" s="53"/>
      <c r="F1116" s="54"/>
      <c r="G1116" s="54"/>
      <c r="H1116" s="54"/>
      <c r="I1116" s="66"/>
      <c r="J1116" s="54"/>
      <c r="K1116" s="54"/>
      <c r="L1116" s="54"/>
      <c r="M1116" s="97" t="str">
        <f t="shared" si="107"/>
        <v/>
      </c>
      <c r="N1116" s="70"/>
      <c r="O1116" s="71" t="str">
        <f t="shared" si="111"/>
        <v/>
      </c>
      <c r="P1116" s="66"/>
      <c r="Q1116" s="66"/>
      <c r="R1116" s="54"/>
      <c r="S1116" s="82"/>
      <c r="T1116" s="83" t="str">
        <f t="shared" si="108"/>
        <v/>
      </c>
      <c r="U1116" s="10"/>
      <c r="V1116" s="41">
        <f>IF(AND(Q1116&lt;&gt;"",RIGHT(Q1116,3)&lt;&gt;""),IF(COUNTIF($Q$6:Q1116,Q1116)=1,1,0),0)</f>
        <v>0</v>
      </c>
      <c r="W1116" s="41" t="str">
        <f t="shared" si="109"/>
        <v/>
      </c>
      <c r="X1116" s="41" t="str">
        <f t="shared" si="110"/>
        <v/>
      </c>
    </row>
    <row r="1117" s="32" customFormat="1" hidden="1" customHeight="1" spans="1:24">
      <c r="A1117" s="34"/>
      <c r="B1117" s="51"/>
      <c r="C1117" s="51"/>
      <c r="D1117" s="52"/>
      <c r="E1117" s="53"/>
      <c r="F1117" s="54"/>
      <c r="G1117" s="54"/>
      <c r="H1117" s="54"/>
      <c r="I1117" s="66"/>
      <c r="J1117" s="54"/>
      <c r="K1117" s="54"/>
      <c r="L1117" s="54"/>
      <c r="M1117" s="97" t="str">
        <f t="shared" si="107"/>
        <v/>
      </c>
      <c r="N1117" s="70"/>
      <c r="O1117" s="71" t="str">
        <f t="shared" si="111"/>
        <v/>
      </c>
      <c r="P1117" s="66"/>
      <c r="Q1117" s="66"/>
      <c r="R1117" s="54"/>
      <c r="S1117" s="82"/>
      <c r="T1117" s="83" t="str">
        <f t="shared" si="108"/>
        <v/>
      </c>
      <c r="U1117" s="10"/>
      <c r="V1117" s="41">
        <f>IF(AND(Q1117&lt;&gt;"",RIGHT(Q1117,3)&lt;&gt;""),IF(COUNTIF($Q$6:Q1117,Q1117)=1,1,0),0)</f>
        <v>0</v>
      </c>
      <c r="W1117" s="41" t="str">
        <f t="shared" si="109"/>
        <v/>
      </c>
      <c r="X1117" s="41" t="str">
        <f t="shared" si="110"/>
        <v/>
      </c>
    </row>
    <row r="1118" s="32" customFormat="1" hidden="1" customHeight="1" spans="1:24">
      <c r="A1118" s="34"/>
      <c r="B1118" s="51"/>
      <c r="C1118" s="51"/>
      <c r="D1118" s="52"/>
      <c r="E1118" s="53"/>
      <c r="F1118" s="54"/>
      <c r="G1118" s="54"/>
      <c r="H1118" s="54"/>
      <c r="I1118" s="66"/>
      <c r="J1118" s="54"/>
      <c r="K1118" s="54"/>
      <c r="L1118" s="54"/>
      <c r="M1118" s="97" t="str">
        <f t="shared" si="107"/>
        <v/>
      </c>
      <c r="N1118" s="70"/>
      <c r="O1118" s="71" t="str">
        <f t="shared" si="111"/>
        <v/>
      </c>
      <c r="P1118" s="66"/>
      <c r="Q1118" s="66"/>
      <c r="R1118" s="54"/>
      <c r="S1118" s="82"/>
      <c r="T1118" s="83" t="str">
        <f t="shared" si="108"/>
        <v/>
      </c>
      <c r="U1118" s="10"/>
      <c r="V1118" s="41">
        <f>IF(AND(Q1118&lt;&gt;"",RIGHT(Q1118,3)&lt;&gt;""),IF(COUNTIF($Q$6:Q1118,Q1118)=1,1,0),0)</f>
        <v>0</v>
      </c>
      <c r="W1118" s="41" t="str">
        <f t="shared" si="109"/>
        <v/>
      </c>
      <c r="X1118" s="41" t="str">
        <f t="shared" si="110"/>
        <v/>
      </c>
    </row>
    <row r="1119" s="32" customFormat="1" hidden="1" customHeight="1" spans="1:24">
      <c r="A1119" s="34"/>
      <c r="B1119" s="51"/>
      <c r="C1119" s="51"/>
      <c r="D1119" s="52"/>
      <c r="E1119" s="53"/>
      <c r="F1119" s="54"/>
      <c r="G1119" s="54"/>
      <c r="H1119" s="54"/>
      <c r="I1119" s="66"/>
      <c r="J1119" s="54"/>
      <c r="K1119" s="54"/>
      <c r="L1119" s="54"/>
      <c r="M1119" s="97" t="str">
        <f t="shared" si="107"/>
        <v/>
      </c>
      <c r="N1119" s="70"/>
      <c r="O1119" s="71" t="str">
        <f t="shared" si="111"/>
        <v/>
      </c>
      <c r="P1119" s="66"/>
      <c r="Q1119" s="66"/>
      <c r="R1119" s="54"/>
      <c r="S1119" s="82"/>
      <c r="T1119" s="83" t="str">
        <f t="shared" si="108"/>
        <v/>
      </c>
      <c r="U1119" s="10"/>
      <c r="V1119" s="41">
        <f>IF(AND(Q1119&lt;&gt;"",RIGHT(Q1119,3)&lt;&gt;""),IF(COUNTIF($Q$6:Q1119,Q1119)=1,1,0),0)</f>
        <v>0</v>
      </c>
      <c r="W1119" s="41" t="str">
        <f t="shared" si="109"/>
        <v/>
      </c>
      <c r="X1119" s="41" t="str">
        <f t="shared" si="110"/>
        <v/>
      </c>
    </row>
    <row r="1120" s="32" customFormat="1" hidden="1" customHeight="1" spans="1:24">
      <c r="A1120" s="34"/>
      <c r="B1120" s="51"/>
      <c r="C1120" s="51"/>
      <c r="D1120" s="52"/>
      <c r="E1120" s="53"/>
      <c r="F1120" s="54"/>
      <c r="G1120" s="54"/>
      <c r="H1120" s="54"/>
      <c r="I1120" s="66"/>
      <c r="J1120" s="54"/>
      <c r="K1120" s="54"/>
      <c r="L1120" s="54"/>
      <c r="M1120" s="97" t="str">
        <f t="shared" si="107"/>
        <v/>
      </c>
      <c r="N1120" s="70"/>
      <c r="O1120" s="71" t="str">
        <f t="shared" si="111"/>
        <v/>
      </c>
      <c r="P1120" s="66"/>
      <c r="Q1120" s="66"/>
      <c r="R1120" s="54"/>
      <c r="S1120" s="82"/>
      <c r="T1120" s="83" t="str">
        <f t="shared" si="108"/>
        <v/>
      </c>
      <c r="U1120" s="10"/>
      <c r="V1120" s="41">
        <f>IF(AND(Q1120&lt;&gt;"",RIGHT(Q1120,3)&lt;&gt;""),IF(COUNTIF($Q$6:Q1120,Q1120)=1,1,0),0)</f>
        <v>0</v>
      </c>
      <c r="W1120" s="41" t="str">
        <f t="shared" si="109"/>
        <v/>
      </c>
      <c r="X1120" s="41" t="str">
        <f t="shared" si="110"/>
        <v/>
      </c>
    </row>
    <row r="1121" s="32" customFormat="1" hidden="1" customHeight="1" spans="1:24">
      <c r="A1121" s="34"/>
      <c r="B1121" s="51"/>
      <c r="C1121" s="51"/>
      <c r="D1121" s="52"/>
      <c r="E1121" s="53"/>
      <c r="F1121" s="54"/>
      <c r="G1121" s="54"/>
      <c r="H1121" s="54"/>
      <c r="I1121" s="66"/>
      <c r="J1121" s="54"/>
      <c r="K1121" s="54"/>
      <c r="L1121" s="54"/>
      <c r="M1121" s="97" t="str">
        <f t="shared" si="107"/>
        <v/>
      </c>
      <c r="N1121" s="70"/>
      <c r="O1121" s="71" t="str">
        <f t="shared" si="111"/>
        <v/>
      </c>
      <c r="P1121" s="66"/>
      <c r="Q1121" s="66"/>
      <c r="R1121" s="54"/>
      <c r="S1121" s="82"/>
      <c r="T1121" s="83" t="str">
        <f t="shared" si="108"/>
        <v/>
      </c>
      <c r="U1121" s="10"/>
      <c r="V1121" s="41">
        <f>IF(AND(Q1121&lt;&gt;"",RIGHT(Q1121,3)&lt;&gt;""),IF(COUNTIF($Q$6:Q1121,Q1121)=1,1,0),0)</f>
        <v>0</v>
      </c>
      <c r="W1121" s="41" t="str">
        <f t="shared" si="109"/>
        <v/>
      </c>
      <c r="X1121" s="41" t="str">
        <f t="shared" si="110"/>
        <v/>
      </c>
    </row>
    <row r="1122" s="32" customFormat="1" hidden="1" customHeight="1" spans="1:24">
      <c r="A1122" s="34"/>
      <c r="B1122" s="51"/>
      <c r="C1122" s="51"/>
      <c r="D1122" s="52"/>
      <c r="E1122" s="53"/>
      <c r="F1122" s="54"/>
      <c r="G1122" s="54"/>
      <c r="H1122" s="54"/>
      <c r="I1122" s="66"/>
      <c r="J1122" s="54"/>
      <c r="K1122" s="54"/>
      <c r="L1122" s="54"/>
      <c r="M1122" s="97" t="str">
        <f t="shared" si="107"/>
        <v/>
      </c>
      <c r="N1122" s="70"/>
      <c r="O1122" s="71" t="str">
        <f t="shared" si="111"/>
        <v/>
      </c>
      <c r="P1122" s="66"/>
      <c r="Q1122" s="66"/>
      <c r="R1122" s="54"/>
      <c r="S1122" s="82"/>
      <c r="T1122" s="83" t="str">
        <f t="shared" si="108"/>
        <v/>
      </c>
      <c r="U1122" s="10"/>
      <c r="V1122" s="41">
        <f>IF(AND(Q1122&lt;&gt;"",RIGHT(Q1122,3)&lt;&gt;""),IF(COUNTIF($Q$6:Q1122,Q1122)=1,1,0),0)</f>
        <v>0</v>
      </c>
      <c r="W1122" s="41" t="str">
        <f t="shared" si="109"/>
        <v/>
      </c>
      <c r="X1122" s="41" t="str">
        <f t="shared" si="110"/>
        <v/>
      </c>
    </row>
    <row r="1123" s="32" customFormat="1" hidden="1" customHeight="1" spans="1:24">
      <c r="A1123" s="34"/>
      <c r="B1123" s="51"/>
      <c r="C1123" s="51"/>
      <c r="D1123" s="52"/>
      <c r="E1123" s="53"/>
      <c r="F1123" s="54"/>
      <c r="G1123" s="54"/>
      <c r="H1123" s="54"/>
      <c r="I1123" s="66"/>
      <c r="J1123" s="54"/>
      <c r="K1123" s="54"/>
      <c r="L1123" s="54"/>
      <c r="M1123" s="97" t="str">
        <f t="shared" si="107"/>
        <v/>
      </c>
      <c r="N1123" s="70"/>
      <c r="O1123" s="71" t="str">
        <f t="shared" si="111"/>
        <v/>
      </c>
      <c r="P1123" s="66"/>
      <c r="Q1123" s="66"/>
      <c r="R1123" s="54"/>
      <c r="S1123" s="82"/>
      <c r="T1123" s="83" t="str">
        <f t="shared" si="108"/>
        <v/>
      </c>
      <c r="U1123" s="10"/>
      <c r="V1123" s="41">
        <f>IF(AND(Q1123&lt;&gt;"",RIGHT(Q1123,3)&lt;&gt;""),IF(COUNTIF($Q$6:Q1123,Q1123)=1,1,0),0)</f>
        <v>0</v>
      </c>
      <c r="W1123" s="41" t="str">
        <f t="shared" si="109"/>
        <v/>
      </c>
      <c r="X1123" s="41" t="str">
        <f t="shared" si="110"/>
        <v/>
      </c>
    </row>
    <row r="1124" s="32" customFormat="1" hidden="1" customHeight="1" spans="1:24">
      <c r="A1124" s="34"/>
      <c r="B1124" s="51"/>
      <c r="C1124" s="51"/>
      <c r="D1124" s="52"/>
      <c r="E1124" s="53"/>
      <c r="F1124" s="54"/>
      <c r="G1124" s="54"/>
      <c r="H1124" s="54"/>
      <c r="I1124" s="66"/>
      <c r="J1124" s="54"/>
      <c r="K1124" s="54"/>
      <c r="L1124" s="54"/>
      <c r="M1124" s="97" t="str">
        <f t="shared" ref="M1124:M1187" si="112">IF(L1124="","",HYPERLINK(_xlfn.CONCAT($L$4,L1124,".jpg"),"Open File"))</f>
        <v/>
      </c>
      <c r="N1124" s="70"/>
      <c r="O1124" s="71" t="str">
        <f t="shared" si="111"/>
        <v/>
      </c>
      <c r="P1124" s="66"/>
      <c r="Q1124" s="66"/>
      <c r="R1124" s="54"/>
      <c r="S1124" s="82"/>
      <c r="T1124" s="83" t="str">
        <f t="shared" ref="T1124:T1187" si="113">IF(S1124="","",HYPERLINK(_xlfn.CONCAT($S$4,S1124,".jpg"),"Open File"))</f>
        <v/>
      </c>
      <c r="U1124" s="10"/>
      <c r="V1124" s="41">
        <f>IF(AND(Q1124&lt;&gt;"",RIGHT(Q1124,3)&lt;&gt;""),IF(COUNTIF($Q$6:Q1124,Q1124)=1,1,0),0)</f>
        <v>0</v>
      </c>
      <c r="W1124" s="41" t="str">
        <f t="shared" ref="W1124:W1187" si="114">IF(AND(J1124&lt;&gt;"",K1124&lt;&gt;""),_xlfn.CONCAT(SUBSTITUTE(J1124,"/","."),"-",K1124),"")</f>
        <v/>
      </c>
      <c r="X1124" s="41" t="str">
        <f t="shared" ref="X1124:X1187" si="115">IF(AND(Q1124&lt;&gt;"",R1124&lt;&gt;""),_xlfn.CONCAT(SUBSTITUTE(Q1124,"/","."),"-",R1124),"")</f>
        <v/>
      </c>
    </row>
    <row r="1125" s="32" customFormat="1" hidden="1" customHeight="1" spans="1:24">
      <c r="A1125" s="34"/>
      <c r="B1125" s="51"/>
      <c r="C1125" s="51"/>
      <c r="D1125" s="52"/>
      <c r="E1125" s="53"/>
      <c r="F1125" s="54"/>
      <c r="G1125" s="54"/>
      <c r="H1125" s="54"/>
      <c r="I1125" s="66"/>
      <c r="J1125" s="54"/>
      <c r="K1125" s="54"/>
      <c r="L1125" s="54"/>
      <c r="M1125" s="97" t="str">
        <f t="shared" si="112"/>
        <v/>
      </c>
      <c r="N1125" s="70"/>
      <c r="O1125" s="71" t="str">
        <f t="shared" si="111"/>
        <v/>
      </c>
      <c r="P1125" s="66"/>
      <c r="Q1125" s="66"/>
      <c r="R1125" s="54"/>
      <c r="S1125" s="82"/>
      <c r="T1125" s="83" t="str">
        <f t="shared" si="113"/>
        <v/>
      </c>
      <c r="U1125" s="10"/>
      <c r="V1125" s="41">
        <f>IF(AND(Q1125&lt;&gt;"",RIGHT(Q1125,3)&lt;&gt;""),IF(COUNTIF($Q$6:Q1125,Q1125)=1,1,0),0)</f>
        <v>0</v>
      </c>
      <c r="W1125" s="41" t="str">
        <f t="shared" si="114"/>
        <v/>
      </c>
      <c r="X1125" s="41" t="str">
        <f t="shared" si="115"/>
        <v/>
      </c>
    </row>
    <row r="1126" s="32" customFormat="1" hidden="1" customHeight="1" spans="1:24">
      <c r="A1126" s="34"/>
      <c r="B1126" s="51"/>
      <c r="C1126" s="51"/>
      <c r="D1126" s="52"/>
      <c r="E1126" s="53"/>
      <c r="F1126" s="54"/>
      <c r="G1126" s="54"/>
      <c r="H1126" s="54"/>
      <c r="I1126" s="66"/>
      <c r="J1126" s="54"/>
      <c r="K1126" s="54"/>
      <c r="L1126" s="54"/>
      <c r="M1126" s="97" t="str">
        <f t="shared" si="112"/>
        <v/>
      </c>
      <c r="N1126" s="70"/>
      <c r="O1126" s="71" t="str">
        <f t="shared" si="111"/>
        <v/>
      </c>
      <c r="P1126" s="66"/>
      <c r="Q1126" s="66"/>
      <c r="R1126" s="54"/>
      <c r="S1126" s="82"/>
      <c r="T1126" s="83" t="str">
        <f t="shared" si="113"/>
        <v/>
      </c>
      <c r="U1126" s="10"/>
      <c r="V1126" s="41">
        <f>IF(AND(Q1126&lt;&gt;"",RIGHT(Q1126,3)&lt;&gt;""),IF(COUNTIF($Q$6:Q1126,Q1126)=1,1,0),0)</f>
        <v>0</v>
      </c>
      <c r="W1126" s="41" t="str">
        <f t="shared" si="114"/>
        <v/>
      </c>
      <c r="X1126" s="41" t="str">
        <f t="shared" si="115"/>
        <v/>
      </c>
    </row>
    <row r="1127" s="32" customFormat="1" hidden="1" customHeight="1" spans="1:24">
      <c r="A1127" s="34"/>
      <c r="B1127" s="51"/>
      <c r="C1127" s="51"/>
      <c r="D1127" s="52"/>
      <c r="E1127" s="53"/>
      <c r="F1127" s="54"/>
      <c r="G1127" s="54"/>
      <c r="H1127" s="54"/>
      <c r="I1127" s="66"/>
      <c r="J1127" s="54"/>
      <c r="K1127" s="54"/>
      <c r="L1127" s="54"/>
      <c r="M1127" s="97" t="str">
        <f t="shared" si="112"/>
        <v/>
      </c>
      <c r="N1127" s="70"/>
      <c r="O1127" s="71" t="str">
        <f t="shared" si="111"/>
        <v/>
      </c>
      <c r="P1127" s="66"/>
      <c r="Q1127" s="66"/>
      <c r="R1127" s="54"/>
      <c r="S1127" s="82"/>
      <c r="T1127" s="83" t="str">
        <f t="shared" si="113"/>
        <v/>
      </c>
      <c r="U1127" s="10"/>
      <c r="V1127" s="41">
        <f>IF(AND(Q1127&lt;&gt;"",RIGHT(Q1127,3)&lt;&gt;""),IF(COUNTIF($Q$6:Q1127,Q1127)=1,1,0),0)</f>
        <v>0</v>
      </c>
      <c r="W1127" s="41" t="str">
        <f t="shared" si="114"/>
        <v/>
      </c>
      <c r="X1127" s="41" t="str">
        <f t="shared" si="115"/>
        <v/>
      </c>
    </row>
    <row r="1128" s="32" customFormat="1" hidden="1" customHeight="1" spans="1:24">
      <c r="A1128" s="34"/>
      <c r="B1128" s="51"/>
      <c r="C1128" s="51"/>
      <c r="D1128" s="52"/>
      <c r="E1128" s="53"/>
      <c r="F1128" s="54"/>
      <c r="G1128" s="54"/>
      <c r="H1128" s="54"/>
      <c r="I1128" s="66"/>
      <c r="J1128" s="54"/>
      <c r="K1128" s="54"/>
      <c r="L1128" s="54"/>
      <c r="M1128" s="97" t="str">
        <f t="shared" si="112"/>
        <v/>
      </c>
      <c r="N1128" s="70"/>
      <c r="O1128" s="71" t="str">
        <f t="shared" si="111"/>
        <v/>
      </c>
      <c r="P1128" s="66"/>
      <c r="Q1128" s="66"/>
      <c r="R1128" s="54"/>
      <c r="S1128" s="82"/>
      <c r="T1128" s="83" t="str">
        <f t="shared" si="113"/>
        <v/>
      </c>
      <c r="U1128" s="10"/>
      <c r="V1128" s="41">
        <f>IF(AND(Q1128&lt;&gt;"",RIGHT(Q1128,3)&lt;&gt;""),IF(COUNTIF($Q$6:Q1128,Q1128)=1,1,0),0)</f>
        <v>0</v>
      </c>
      <c r="W1128" s="41" t="str">
        <f t="shared" si="114"/>
        <v/>
      </c>
      <c r="X1128" s="41" t="str">
        <f t="shared" si="115"/>
        <v/>
      </c>
    </row>
    <row r="1129" s="32" customFormat="1" hidden="1" customHeight="1" spans="1:24">
      <c r="A1129" s="34"/>
      <c r="B1129" s="51"/>
      <c r="C1129" s="51"/>
      <c r="D1129" s="52"/>
      <c r="E1129" s="53"/>
      <c r="F1129" s="54"/>
      <c r="G1129" s="54"/>
      <c r="H1129" s="54"/>
      <c r="I1129" s="66"/>
      <c r="J1129" s="54"/>
      <c r="K1129" s="54"/>
      <c r="L1129" s="54"/>
      <c r="M1129" s="97" t="str">
        <f t="shared" si="112"/>
        <v/>
      </c>
      <c r="N1129" s="70"/>
      <c r="O1129" s="71" t="str">
        <f t="shared" si="111"/>
        <v/>
      </c>
      <c r="P1129" s="66"/>
      <c r="Q1129" s="66"/>
      <c r="R1129" s="54"/>
      <c r="S1129" s="82"/>
      <c r="T1129" s="83" t="str">
        <f t="shared" si="113"/>
        <v/>
      </c>
      <c r="U1129" s="10"/>
      <c r="V1129" s="41">
        <f>IF(AND(Q1129&lt;&gt;"",RIGHT(Q1129,3)&lt;&gt;""),IF(COUNTIF($Q$6:Q1129,Q1129)=1,1,0),0)</f>
        <v>0</v>
      </c>
      <c r="W1129" s="41" t="str">
        <f t="shared" si="114"/>
        <v/>
      </c>
      <c r="X1129" s="41" t="str">
        <f t="shared" si="115"/>
        <v/>
      </c>
    </row>
    <row r="1130" s="32" customFormat="1" hidden="1" customHeight="1" spans="1:24">
      <c r="A1130" s="34"/>
      <c r="B1130" s="51"/>
      <c r="C1130" s="51"/>
      <c r="D1130" s="52"/>
      <c r="E1130" s="53"/>
      <c r="F1130" s="54"/>
      <c r="G1130" s="54"/>
      <c r="H1130" s="54"/>
      <c r="I1130" s="66"/>
      <c r="J1130" s="54"/>
      <c r="K1130" s="54"/>
      <c r="L1130" s="54"/>
      <c r="M1130" s="97" t="str">
        <f t="shared" si="112"/>
        <v/>
      </c>
      <c r="N1130" s="70"/>
      <c r="O1130" s="71" t="str">
        <f t="shared" si="111"/>
        <v/>
      </c>
      <c r="P1130" s="66"/>
      <c r="Q1130" s="66"/>
      <c r="R1130" s="54"/>
      <c r="S1130" s="82"/>
      <c r="T1130" s="83" t="str">
        <f t="shared" si="113"/>
        <v/>
      </c>
      <c r="U1130" s="10"/>
      <c r="V1130" s="41">
        <f>IF(AND(Q1130&lt;&gt;"",RIGHT(Q1130,3)&lt;&gt;""),IF(COUNTIF($Q$6:Q1130,Q1130)=1,1,0),0)</f>
        <v>0</v>
      </c>
      <c r="W1130" s="41" t="str">
        <f t="shared" si="114"/>
        <v/>
      </c>
      <c r="X1130" s="41" t="str">
        <f t="shared" si="115"/>
        <v/>
      </c>
    </row>
    <row r="1131" s="32" customFormat="1" hidden="1" customHeight="1" spans="1:24">
      <c r="A1131" s="34"/>
      <c r="B1131" s="51"/>
      <c r="C1131" s="51"/>
      <c r="D1131" s="52"/>
      <c r="E1131" s="53"/>
      <c r="F1131" s="54"/>
      <c r="G1131" s="54"/>
      <c r="H1131" s="54"/>
      <c r="I1131" s="66"/>
      <c r="J1131" s="54"/>
      <c r="K1131" s="54"/>
      <c r="L1131" s="54"/>
      <c r="M1131" s="97" t="str">
        <f t="shared" si="112"/>
        <v/>
      </c>
      <c r="N1131" s="70"/>
      <c r="O1131" s="71" t="str">
        <f t="shared" si="111"/>
        <v/>
      </c>
      <c r="P1131" s="66"/>
      <c r="Q1131" s="66"/>
      <c r="R1131" s="54"/>
      <c r="S1131" s="82"/>
      <c r="T1131" s="83" t="str">
        <f t="shared" si="113"/>
        <v/>
      </c>
      <c r="U1131" s="10"/>
      <c r="V1131" s="41">
        <f>IF(AND(Q1131&lt;&gt;"",RIGHT(Q1131,3)&lt;&gt;""),IF(COUNTIF($Q$6:Q1131,Q1131)=1,1,0),0)</f>
        <v>0</v>
      </c>
      <c r="W1131" s="41" t="str">
        <f t="shared" si="114"/>
        <v/>
      </c>
      <c r="X1131" s="41" t="str">
        <f t="shared" si="115"/>
        <v/>
      </c>
    </row>
    <row r="1132" s="32" customFormat="1" hidden="1" customHeight="1" spans="1:24">
      <c r="A1132" s="34"/>
      <c r="B1132" s="51"/>
      <c r="C1132" s="51"/>
      <c r="D1132" s="52"/>
      <c r="E1132" s="53"/>
      <c r="F1132" s="54"/>
      <c r="G1132" s="54"/>
      <c r="H1132" s="54"/>
      <c r="I1132" s="66"/>
      <c r="J1132" s="54"/>
      <c r="K1132" s="54"/>
      <c r="L1132" s="54"/>
      <c r="M1132" s="97" t="str">
        <f t="shared" si="112"/>
        <v/>
      </c>
      <c r="N1132" s="70"/>
      <c r="O1132" s="71" t="str">
        <f t="shared" si="111"/>
        <v/>
      </c>
      <c r="P1132" s="66"/>
      <c r="Q1132" s="66"/>
      <c r="R1132" s="54"/>
      <c r="S1132" s="82"/>
      <c r="T1132" s="83" t="str">
        <f t="shared" si="113"/>
        <v/>
      </c>
      <c r="U1132" s="10"/>
      <c r="V1132" s="41">
        <f>IF(AND(Q1132&lt;&gt;"",RIGHT(Q1132,3)&lt;&gt;""),IF(COUNTIF($Q$6:Q1132,Q1132)=1,1,0),0)</f>
        <v>0</v>
      </c>
      <c r="W1132" s="41" t="str">
        <f t="shared" si="114"/>
        <v/>
      </c>
      <c r="X1132" s="41" t="str">
        <f t="shared" si="115"/>
        <v/>
      </c>
    </row>
    <row r="1133" s="32" customFormat="1" hidden="1" customHeight="1" spans="1:24">
      <c r="A1133" s="34"/>
      <c r="B1133" s="51"/>
      <c r="C1133" s="51"/>
      <c r="D1133" s="52"/>
      <c r="E1133" s="53"/>
      <c r="F1133" s="54"/>
      <c r="G1133" s="54"/>
      <c r="H1133" s="54"/>
      <c r="I1133" s="66"/>
      <c r="J1133" s="54"/>
      <c r="K1133" s="54"/>
      <c r="L1133" s="54"/>
      <c r="M1133" s="97" t="str">
        <f t="shared" si="112"/>
        <v/>
      </c>
      <c r="N1133" s="70"/>
      <c r="O1133" s="71" t="str">
        <f t="shared" si="111"/>
        <v/>
      </c>
      <c r="P1133" s="66"/>
      <c r="Q1133" s="66"/>
      <c r="R1133" s="54"/>
      <c r="S1133" s="82"/>
      <c r="T1133" s="83" t="str">
        <f t="shared" si="113"/>
        <v/>
      </c>
      <c r="U1133" s="10"/>
      <c r="V1133" s="41">
        <f>IF(AND(Q1133&lt;&gt;"",RIGHT(Q1133,3)&lt;&gt;""),IF(COUNTIF($Q$6:Q1133,Q1133)=1,1,0),0)</f>
        <v>0</v>
      </c>
      <c r="W1133" s="41" t="str">
        <f t="shared" si="114"/>
        <v/>
      </c>
      <c r="X1133" s="41" t="str">
        <f t="shared" si="115"/>
        <v/>
      </c>
    </row>
    <row r="1134" s="32" customFormat="1" hidden="1" customHeight="1" spans="1:24">
      <c r="A1134" s="34"/>
      <c r="B1134" s="51"/>
      <c r="C1134" s="51"/>
      <c r="D1134" s="52"/>
      <c r="E1134" s="53"/>
      <c r="F1134" s="54"/>
      <c r="G1134" s="54"/>
      <c r="H1134" s="54"/>
      <c r="I1134" s="66"/>
      <c r="J1134" s="54"/>
      <c r="K1134" s="54"/>
      <c r="L1134" s="54"/>
      <c r="M1134" s="97" t="str">
        <f t="shared" si="112"/>
        <v/>
      </c>
      <c r="N1134" s="70"/>
      <c r="O1134" s="71" t="str">
        <f t="shared" si="111"/>
        <v/>
      </c>
      <c r="P1134" s="66"/>
      <c r="Q1134" s="66"/>
      <c r="R1134" s="54"/>
      <c r="S1134" s="82"/>
      <c r="T1134" s="83" t="str">
        <f t="shared" si="113"/>
        <v/>
      </c>
      <c r="U1134" s="10"/>
      <c r="V1134" s="41">
        <f>IF(AND(Q1134&lt;&gt;"",RIGHT(Q1134,3)&lt;&gt;""),IF(COUNTIF($Q$6:Q1134,Q1134)=1,1,0),0)</f>
        <v>0</v>
      </c>
      <c r="W1134" s="41" t="str">
        <f t="shared" si="114"/>
        <v/>
      </c>
      <c r="X1134" s="41" t="str">
        <f t="shared" si="115"/>
        <v/>
      </c>
    </row>
    <row r="1135" s="32" customFormat="1" hidden="1" customHeight="1" spans="1:24">
      <c r="A1135" s="34"/>
      <c r="B1135" s="51"/>
      <c r="C1135" s="51"/>
      <c r="D1135" s="52"/>
      <c r="E1135" s="53"/>
      <c r="F1135" s="54"/>
      <c r="G1135" s="54"/>
      <c r="H1135" s="54"/>
      <c r="I1135" s="66"/>
      <c r="J1135" s="54"/>
      <c r="K1135" s="54"/>
      <c r="L1135" s="54"/>
      <c r="M1135" s="97" t="str">
        <f t="shared" si="112"/>
        <v/>
      </c>
      <c r="N1135" s="70"/>
      <c r="O1135" s="71" t="str">
        <f t="shared" si="111"/>
        <v/>
      </c>
      <c r="P1135" s="66"/>
      <c r="Q1135" s="66"/>
      <c r="R1135" s="54"/>
      <c r="S1135" s="82"/>
      <c r="T1135" s="83" t="str">
        <f t="shared" si="113"/>
        <v/>
      </c>
      <c r="U1135" s="10"/>
      <c r="V1135" s="41">
        <f>IF(AND(Q1135&lt;&gt;"",RIGHT(Q1135,3)&lt;&gt;""),IF(COUNTIF($Q$6:Q1135,Q1135)=1,1,0),0)</f>
        <v>0</v>
      </c>
      <c r="W1135" s="41" t="str">
        <f t="shared" si="114"/>
        <v/>
      </c>
      <c r="X1135" s="41" t="str">
        <f t="shared" si="115"/>
        <v/>
      </c>
    </row>
    <row r="1136" s="32" customFormat="1" hidden="1" customHeight="1" spans="1:24">
      <c r="A1136" s="34"/>
      <c r="B1136" s="51"/>
      <c r="C1136" s="51"/>
      <c r="D1136" s="52"/>
      <c r="E1136" s="53"/>
      <c r="F1136" s="54"/>
      <c r="G1136" s="54"/>
      <c r="H1136" s="54"/>
      <c r="I1136" s="66"/>
      <c r="J1136" s="54"/>
      <c r="K1136" s="54"/>
      <c r="L1136" s="54"/>
      <c r="M1136" s="97" t="str">
        <f t="shared" si="112"/>
        <v/>
      </c>
      <c r="N1136" s="70"/>
      <c r="O1136" s="71" t="str">
        <f t="shared" si="111"/>
        <v/>
      </c>
      <c r="P1136" s="66"/>
      <c r="Q1136" s="66"/>
      <c r="R1136" s="54"/>
      <c r="S1136" s="82"/>
      <c r="T1136" s="83" t="str">
        <f t="shared" si="113"/>
        <v/>
      </c>
      <c r="U1136" s="10"/>
      <c r="V1136" s="41">
        <f>IF(AND(Q1136&lt;&gt;"",RIGHT(Q1136,3)&lt;&gt;""),IF(COUNTIF($Q$6:Q1136,Q1136)=1,1,0),0)</f>
        <v>0</v>
      </c>
      <c r="W1136" s="41" t="str">
        <f t="shared" si="114"/>
        <v/>
      </c>
      <c r="X1136" s="41" t="str">
        <f t="shared" si="115"/>
        <v/>
      </c>
    </row>
    <row r="1137" s="32" customFormat="1" hidden="1" customHeight="1" spans="1:24">
      <c r="A1137" s="34"/>
      <c r="B1137" s="51"/>
      <c r="C1137" s="51"/>
      <c r="D1137" s="52"/>
      <c r="E1137" s="53"/>
      <c r="F1137" s="54"/>
      <c r="G1137" s="54"/>
      <c r="H1137" s="54"/>
      <c r="I1137" s="66"/>
      <c r="J1137" s="54"/>
      <c r="K1137" s="54"/>
      <c r="L1137" s="54"/>
      <c r="M1137" s="97" t="str">
        <f t="shared" si="112"/>
        <v/>
      </c>
      <c r="N1137" s="70"/>
      <c r="O1137" s="71" t="str">
        <f t="shared" ref="O1137:O1200" si="116">IF(AND(Q1137&lt;&gt;"",T1137&lt;&gt;""),"PASSIVE",IF(AND(J1137&lt;&gt;"",M1137&lt;&gt;""),"ACTIVE",""))</f>
        <v/>
      </c>
      <c r="P1137" s="66"/>
      <c r="Q1137" s="66"/>
      <c r="R1137" s="54"/>
      <c r="S1137" s="82"/>
      <c r="T1137" s="83" t="str">
        <f t="shared" si="113"/>
        <v/>
      </c>
      <c r="U1137" s="10"/>
      <c r="V1137" s="41">
        <f>IF(AND(Q1137&lt;&gt;"",RIGHT(Q1137,3)&lt;&gt;""),IF(COUNTIF($Q$6:Q1137,Q1137)=1,1,0),0)</f>
        <v>0</v>
      </c>
      <c r="W1137" s="41" t="str">
        <f t="shared" si="114"/>
        <v/>
      </c>
      <c r="X1137" s="41" t="str">
        <f t="shared" si="115"/>
        <v/>
      </c>
    </row>
    <row r="1138" s="32" customFormat="1" hidden="1" customHeight="1" spans="1:24">
      <c r="A1138" s="34"/>
      <c r="B1138" s="51"/>
      <c r="C1138" s="51"/>
      <c r="D1138" s="52"/>
      <c r="E1138" s="53"/>
      <c r="F1138" s="54"/>
      <c r="G1138" s="54"/>
      <c r="H1138" s="54"/>
      <c r="I1138" s="66"/>
      <c r="J1138" s="54"/>
      <c r="K1138" s="54"/>
      <c r="L1138" s="54"/>
      <c r="M1138" s="97" t="str">
        <f t="shared" si="112"/>
        <v/>
      </c>
      <c r="N1138" s="70"/>
      <c r="O1138" s="71" t="str">
        <f t="shared" si="116"/>
        <v/>
      </c>
      <c r="P1138" s="66"/>
      <c r="Q1138" s="66"/>
      <c r="R1138" s="54"/>
      <c r="S1138" s="82"/>
      <c r="T1138" s="83" t="str">
        <f t="shared" si="113"/>
        <v/>
      </c>
      <c r="U1138" s="10"/>
      <c r="V1138" s="41">
        <f>IF(AND(Q1138&lt;&gt;"",RIGHT(Q1138,3)&lt;&gt;""),IF(COUNTIF($Q$6:Q1138,Q1138)=1,1,0),0)</f>
        <v>0</v>
      </c>
      <c r="W1138" s="41" t="str">
        <f t="shared" si="114"/>
        <v/>
      </c>
      <c r="X1138" s="41" t="str">
        <f t="shared" si="115"/>
        <v/>
      </c>
    </row>
    <row r="1139" s="32" customFormat="1" hidden="1" customHeight="1" spans="1:24">
      <c r="A1139" s="34"/>
      <c r="B1139" s="51"/>
      <c r="C1139" s="51"/>
      <c r="D1139" s="52"/>
      <c r="E1139" s="53"/>
      <c r="F1139" s="54"/>
      <c r="G1139" s="54"/>
      <c r="H1139" s="54"/>
      <c r="I1139" s="66"/>
      <c r="J1139" s="54"/>
      <c r="K1139" s="54"/>
      <c r="L1139" s="54"/>
      <c r="M1139" s="97" t="str">
        <f t="shared" si="112"/>
        <v/>
      </c>
      <c r="N1139" s="70"/>
      <c r="O1139" s="71" t="str">
        <f t="shared" si="116"/>
        <v/>
      </c>
      <c r="P1139" s="66"/>
      <c r="Q1139" s="66"/>
      <c r="R1139" s="54"/>
      <c r="S1139" s="82"/>
      <c r="T1139" s="83" t="str">
        <f t="shared" si="113"/>
        <v/>
      </c>
      <c r="U1139" s="10"/>
      <c r="V1139" s="41">
        <f>IF(AND(Q1139&lt;&gt;"",RIGHT(Q1139,3)&lt;&gt;""),IF(COUNTIF($Q$6:Q1139,Q1139)=1,1,0),0)</f>
        <v>0</v>
      </c>
      <c r="W1139" s="41" t="str">
        <f t="shared" si="114"/>
        <v/>
      </c>
      <c r="X1139" s="41" t="str">
        <f t="shared" si="115"/>
        <v/>
      </c>
    </row>
    <row r="1140" s="32" customFormat="1" hidden="1" customHeight="1" spans="1:24">
      <c r="A1140" s="34"/>
      <c r="B1140" s="51"/>
      <c r="C1140" s="51"/>
      <c r="D1140" s="52"/>
      <c r="E1140" s="53"/>
      <c r="F1140" s="54"/>
      <c r="G1140" s="54"/>
      <c r="H1140" s="54"/>
      <c r="I1140" s="66"/>
      <c r="J1140" s="54"/>
      <c r="K1140" s="54"/>
      <c r="L1140" s="54"/>
      <c r="M1140" s="97" t="str">
        <f t="shared" si="112"/>
        <v/>
      </c>
      <c r="N1140" s="70"/>
      <c r="O1140" s="71" t="str">
        <f t="shared" si="116"/>
        <v/>
      </c>
      <c r="P1140" s="66"/>
      <c r="Q1140" s="66"/>
      <c r="R1140" s="54"/>
      <c r="S1140" s="82"/>
      <c r="T1140" s="83" t="str">
        <f t="shared" si="113"/>
        <v/>
      </c>
      <c r="U1140" s="10"/>
      <c r="V1140" s="41">
        <f>IF(AND(Q1140&lt;&gt;"",RIGHT(Q1140,3)&lt;&gt;""),IF(COUNTIF($Q$6:Q1140,Q1140)=1,1,0),0)</f>
        <v>0</v>
      </c>
      <c r="W1140" s="41" t="str">
        <f t="shared" si="114"/>
        <v/>
      </c>
      <c r="X1140" s="41" t="str">
        <f t="shared" si="115"/>
        <v/>
      </c>
    </row>
    <row r="1141" s="32" customFormat="1" hidden="1" customHeight="1" spans="1:24">
      <c r="A1141" s="34"/>
      <c r="B1141" s="51"/>
      <c r="C1141" s="51"/>
      <c r="D1141" s="52"/>
      <c r="E1141" s="53"/>
      <c r="F1141" s="54"/>
      <c r="G1141" s="54"/>
      <c r="H1141" s="54"/>
      <c r="I1141" s="66"/>
      <c r="J1141" s="54"/>
      <c r="K1141" s="54"/>
      <c r="L1141" s="54"/>
      <c r="M1141" s="97" t="str">
        <f t="shared" si="112"/>
        <v/>
      </c>
      <c r="N1141" s="70"/>
      <c r="O1141" s="71" t="str">
        <f t="shared" si="116"/>
        <v/>
      </c>
      <c r="P1141" s="66"/>
      <c r="Q1141" s="66"/>
      <c r="R1141" s="54"/>
      <c r="S1141" s="82"/>
      <c r="T1141" s="83" t="str">
        <f t="shared" si="113"/>
        <v/>
      </c>
      <c r="U1141" s="10"/>
      <c r="V1141" s="41">
        <f>IF(AND(Q1141&lt;&gt;"",RIGHT(Q1141,3)&lt;&gt;""),IF(COUNTIF($Q$6:Q1141,Q1141)=1,1,0),0)</f>
        <v>0</v>
      </c>
      <c r="W1141" s="41" t="str">
        <f t="shared" si="114"/>
        <v/>
      </c>
      <c r="X1141" s="41" t="str">
        <f t="shared" si="115"/>
        <v/>
      </c>
    </row>
    <row r="1142" s="32" customFormat="1" hidden="1" customHeight="1" spans="1:24">
      <c r="A1142" s="34"/>
      <c r="B1142" s="51"/>
      <c r="C1142" s="51"/>
      <c r="D1142" s="52"/>
      <c r="E1142" s="53"/>
      <c r="F1142" s="54"/>
      <c r="G1142" s="54"/>
      <c r="H1142" s="54"/>
      <c r="I1142" s="66"/>
      <c r="J1142" s="54"/>
      <c r="K1142" s="54"/>
      <c r="L1142" s="54"/>
      <c r="M1142" s="97" t="str">
        <f t="shared" si="112"/>
        <v/>
      </c>
      <c r="N1142" s="70"/>
      <c r="O1142" s="71" t="str">
        <f t="shared" si="116"/>
        <v/>
      </c>
      <c r="P1142" s="66"/>
      <c r="Q1142" s="66"/>
      <c r="R1142" s="54"/>
      <c r="S1142" s="82"/>
      <c r="T1142" s="83" t="str">
        <f t="shared" si="113"/>
        <v/>
      </c>
      <c r="U1142" s="10"/>
      <c r="V1142" s="41">
        <f>IF(AND(Q1142&lt;&gt;"",RIGHT(Q1142,3)&lt;&gt;""),IF(COUNTIF($Q$6:Q1142,Q1142)=1,1,0),0)</f>
        <v>0</v>
      </c>
      <c r="W1142" s="41" t="str">
        <f t="shared" si="114"/>
        <v/>
      </c>
      <c r="X1142" s="41" t="str">
        <f t="shared" si="115"/>
        <v/>
      </c>
    </row>
    <row r="1143" s="32" customFormat="1" hidden="1" customHeight="1" spans="1:24">
      <c r="A1143" s="34"/>
      <c r="B1143" s="51"/>
      <c r="C1143" s="51"/>
      <c r="D1143" s="52"/>
      <c r="E1143" s="53"/>
      <c r="F1143" s="54"/>
      <c r="G1143" s="54"/>
      <c r="H1143" s="54"/>
      <c r="I1143" s="66"/>
      <c r="J1143" s="54"/>
      <c r="K1143" s="54"/>
      <c r="L1143" s="54"/>
      <c r="M1143" s="97" t="str">
        <f t="shared" si="112"/>
        <v/>
      </c>
      <c r="N1143" s="70"/>
      <c r="O1143" s="71" t="str">
        <f t="shared" si="116"/>
        <v/>
      </c>
      <c r="P1143" s="66"/>
      <c r="Q1143" s="66"/>
      <c r="R1143" s="54"/>
      <c r="S1143" s="82"/>
      <c r="T1143" s="83" t="str">
        <f t="shared" si="113"/>
        <v/>
      </c>
      <c r="U1143" s="10"/>
      <c r="V1143" s="41">
        <f>IF(AND(Q1143&lt;&gt;"",RIGHT(Q1143,3)&lt;&gt;""),IF(COUNTIF($Q$6:Q1143,Q1143)=1,1,0),0)</f>
        <v>0</v>
      </c>
      <c r="W1143" s="41" t="str">
        <f t="shared" si="114"/>
        <v/>
      </c>
      <c r="X1143" s="41" t="str">
        <f t="shared" si="115"/>
        <v/>
      </c>
    </row>
    <row r="1144" s="32" customFormat="1" hidden="1" customHeight="1" spans="1:24">
      <c r="A1144" s="34"/>
      <c r="B1144" s="51"/>
      <c r="C1144" s="51"/>
      <c r="D1144" s="52"/>
      <c r="E1144" s="53"/>
      <c r="F1144" s="54"/>
      <c r="G1144" s="54"/>
      <c r="H1144" s="54"/>
      <c r="I1144" s="66"/>
      <c r="J1144" s="54"/>
      <c r="K1144" s="54"/>
      <c r="L1144" s="54"/>
      <c r="M1144" s="97" t="str">
        <f t="shared" si="112"/>
        <v/>
      </c>
      <c r="N1144" s="70"/>
      <c r="O1144" s="71" t="str">
        <f t="shared" si="116"/>
        <v/>
      </c>
      <c r="P1144" s="66"/>
      <c r="Q1144" s="66"/>
      <c r="R1144" s="54"/>
      <c r="S1144" s="82"/>
      <c r="T1144" s="83" t="str">
        <f t="shared" si="113"/>
        <v/>
      </c>
      <c r="U1144" s="10"/>
      <c r="V1144" s="41">
        <f>IF(AND(Q1144&lt;&gt;"",RIGHT(Q1144,3)&lt;&gt;""),IF(COUNTIF($Q$6:Q1144,Q1144)=1,1,0),0)</f>
        <v>0</v>
      </c>
      <c r="W1144" s="41" t="str">
        <f t="shared" si="114"/>
        <v/>
      </c>
      <c r="X1144" s="41" t="str">
        <f t="shared" si="115"/>
        <v/>
      </c>
    </row>
    <row r="1145" s="32" customFormat="1" hidden="1" customHeight="1" spans="1:24">
      <c r="A1145" s="34"/>
      <c r="B1145" s="51"/>
      <c r="C1145" s="51"/>
      <c r="D1145" s="52"/>
      <c r="E1145" s="53"/>
      <c r="F1145" s="54"/>
      <c r="G1145" s="54"/>
      <c r="H1145" s="54"/>
      <c r="I1145" s="66"/>
      <c r="J1145" s="54"/>
      <c r="K1145" s="54"/>
      <c r="L1145" s="54"/>
      <c r="M1145" s="97" t="str">
        <f t="shared" si="112"/>
        <v/>
      </c>
      <c r="N1145" s="70"/>
      <c r="O1145" s="71" t="str">
        <f t="shared" si="116"/>
        <v/>
      </c>
      <c r="P1145" s="66"/>
      <c r="Q1145" s="66"/>
      <c r="R1145" s="54"/>
      <c r="S1145" s="82"/>
      <c r="T1145" s="83" t="str">
        <f t="shared" si="113"/>
        <v/>
      </c>
      <c r="U1145" s="10"/>
      <c r="V1145" s="41">
        <f>IF(AND(Q1145&lt;&gt;"",RIGHT(Q1145,3)&lt;&gt;""),IF(COUNTIF($Q$6:Q1145,Q1145)=1,1,0),0)</f>
        <v>0</v>
      </c>
      <c r="W1145" s="41" t="str">
        <f t="shared" si="114"/>
        <v/>
      </c>
      <c r="X1145" s="41" t="str">
        <f t="shared" si="115"/>
        <v/>
      </c>
    </row>
    <row r="1146" s="32" customFormat="1" hidden="1" customHeight="1" spans="1:24">
      <c r="A1146" s="34"/>
      <c r="B1146" s="51"/>
      <c r="C1146" s="51"/>
      <c r="D1146" s="52"/>
      <c r="E1146" s="53"/>
      <c r="F1146" s="54"/>
      <c r="G1146" s="54"/>
      <c r="H1146" s="54"/>
      <c r="I1146" s="66"/>
      <c r="J1146" s="54"/>
      <c r="K1146" s="54"/>
      <c r="L1146" s="54"/>
      <c r="M1146" s="97" t="str">
        <f t="shared" si="112"/>
        <v/>
      </c>
      <c r="N1146" s="70"/>
      <c r="O1146" s="71" t="str">
        <f t="shared" si="116"/>
        <v/>
      </c>
      <c r="P1146" s="66"/>
      <c r="Q1146" s="66"/>
      <c r="R1146" s="54"/>
      <c r="S1146" s="82"/>
      <c r="T1146" s="83" t="str">
        <f t="shared" si="113"/>
        <v/>
      </c>
      <c r="U1146" s="10"/>
      <c r="V1146" s="41">
        <f>IF(AND(Q1146&lt;&gt;"",RIGHT(Q1146,3)&lt;&gt;""),IF(COUNTIF($Q$6:Q1146,Q1146)=1,1,0),0)</f>
        <v>0</v>
      </c>
      <c r="W1146" s="41" t="str">
        <f t="shared" si="114"/>
        <v/>
      </c>
      <c r="X1146" s="41" t="str">
        <f t="shared" si="115"/>
        <v/>
      </c>
    </row>
    <row r="1147" s="32" customFormat="1" hidden="1" customHeight="1" spans="1:24">
      <c r="A1147" s="34"/>
      <c r="B1147" s="51"/>
      <c r="C1147" s="51"/>
      <c r="D1147" s="52"/>
      <c r="E1147" s="53"/>
      <c r="F1147" s="54"/>
      <c r="G1147" s="54"/>
      <c r="H1147" s="54"/>
      <c r="I1147" s="66"/>
      <c r="J1147" s="54"/>
      <c r="K1147" s="54"/>
      <c r="L1147" s="54"/>
      <c r="M1147" s="97" t="str">
        <f t="shared" si="112"/>
        <v/>
      </c>
      <c r="N1147" s="70"/>
      <c r="O1147" s="71" t="str">
        <f t="shared" si="116"/>
        <v/>
      </c>
      <c r="P1147" s="66"/>
      <c r="Q1147" s="66"/>
      <c r="R1147" s="54"/>
      <c r="S1147" s="82"/>
      <c r="T1147" s="83" t="str">
        <f t="shared" si="113"/>
        <v/>
      </c>
      <c r="U1147" s="10"/>
      <c r="V1147" s="41">
        <f>IF(AND(Q1147&lt;&gt;"",RIGHT(Q1147,3)&lt;&gt;""),IF(COUNTIF($Q$6:Q1147,Q1147)=1,1,0),0)</f>
        <v>0</v>
      </c>
      <c r="W1147" s="41" t="str">
        <f t="shared" si="114"/>
        <v/>
      </c>
      <c r="X1147" s="41" t="str">
        <f t="shared" si="115"/>
        <v/>
      </c>
    </row>
    <row r="1148" s="32" customFormat="1" hidden="1" customHeight="1" spans="1:24">
      <c r="A1148" s="34"/>
      <c r="B1148" s="51"/>
      <c r="C1148" s="51"/>
      <c r="D1148" s="52"/>
      <c r="E1148" s="53"/>
      <c r="F1148" s="54"/>
      <c r="G1148" s="54"/>
      <c r="H1148" s="54"/>
      <c r="I1148" s="66"/>
      <c r="J1148" s="54"/>
      <c r="K1148" s="54"/>
      <c r="L1148" s="54"/>
      <c r="M1148" s="97" t="str">
        <f t="shared" si="112"/>
        <v/>
      </c>
      <c r="N1148" s="70"/>
      <c r="O1148" s="71" t="str">
        <f t="shared" si="116"/>
        <v/>
      </c>
      <c r="P1148" s="66"/>
      <c r="Q1148" s="66"/>
      <c r="R1148" s="54"/>
      <c r="S1148" s="82"/>
      <c r="T1148" s="83" t="str">
        <f t="shared" si="113"/>
        <v/>
      </c>
      <c r="U1148" s="10"/>
      <c r="V1148" s="41">
        <f>IF(AND(Q1148&lt;&gt;"",RIGHT(Q1148,3)&lt;&gt;""),IF(COUNTIF($Q$6:Q1148,Q1148)=1,1,0),0)</f>
        <v>0</v>
      </c>
      <c r="W1148" s="41" t="str">
        <f t="shared" si="114"/>
        <v/>
      </c>
      <c r="X1148" s="41" t="str">
        <f t="shared" si="115"/>
        <v/>
      </c>
    </row>
    <row r="1149" s="32" customFormat="1" hidden="1" customHeight="1" spans="1:24">
      <c r="A1149" s="34"/>
      <c r="B1149" s="51"/>
      <c r="C1149" s="51"/>
      <c r="D1149" s="52"/>
      <c r="E1149" s="53"/>
      <c r="F1149" s="54"/>
      <c r="G1149" s="54"/>
      <c r="H1149" s="54"/>
      <c r="I1149" s="66"/>
      <c r="J1149" s="54"/>
      <c r="K1149" s="54"/>
      <c r="L1149" s="54"/>
      <c r="M1149" s="97" t="str">
        <f t="shared" si="112"/>
        <v/>
      </c>
      <c r="N1149" s="70"/>
      <c r="O1149" s="71" t="str">
        <f t="shared" si="116"/>
        <v/>
      </c>
      <c r="P1149" s="66"/>
      <c r="Q1149" s="66"/>
      <c r="R1149" s="54"/>
      <c r="S1149" s="82"/>
      <c r="T1149" s="83" t="str">
        <f t="shared" si="113"/>
        <v/>
      </c>
      <c r="U1149" s="10"/>
      <c r="V1149" s="41">
        <f>IF(AND(Q1149&lt;&gt;"",RIGHT(Q1149,3)&lt;&gt;""),IF(COUNTIF($Q$6:Q1149,Q1149)=1,1,0),0)</f>
        <v>0</v>
      </c>
      <c r="W1149" s="41" t="str">
        <f t="shared" si="114"/>
        <v/>
      </c>
      <c r="X1149" s="41" t="str">
        <f t="shared" si="115"/>
        <v/>
      </c>
    </row>
    <row r="1150" s="32" customFormat="1" hidden="1" customHeight="1" spans="1:24">
      <c r="A1150" s="34"/>
      <c r="B1150" s="51"/>
      <c r="C1150" s="51"/>
      <c r="D1150" s="52"/>
      <c r="E1150" s="53"/>
      <c r="F1150" s="54"/>
      <c r="G1150" s="54"/>
      <c r="H1150" s="54"/>
      <c r="I1150" s="66"/>
      <c r="J1150" s="54"/>
      <c r="K1150" s="54"/>
      <c r="L1150" s="54"/>
      <c r="M1150" s="97" t="str">
        <f t="shared" si="112"/>
        <v/>
      </c>
      <c r="N1150" s="70"/>
      <c r="O1150" s="71" t="str">
        <f t="shared" si="116"/>
        <v/>
      </c>
      <c r="P1150" s="66"/>
      <c r="Q1150" s="66"/>
      <c r="R1150" s="54"/>
      <c r="S1150" s="82"/>
      <c r="T1150" s="83" t="str">
        <f t="shared" si="113"/>
        <v/>
      </c>
      <c r="U1150" s="10"/>
      <c r="V1150" s="41">
        <f>IF(AND(Q1150&lt;&gt;"",RIGHT(Q1150,3)&lt;&gt;""),IF(COUNTIF($Q$6:Q1150,Q1150)=1,1,0),0)</f>
        <v>0</v>
      </c>
      <c r="W1150" s="41" t="str">
        <f t="shared" si="114"/>
        <v/>
      </c>
      <c r="X1150" s="41" t="str">
        <f t="shared" si="115"/>
        <v/>
      </c>
    </row>
    <row r="1151" s="32" customFormat="1" hidden="1" customHeight="1" spans="1:24">
      <c r="A1151" s="34"/>
      <c r="B1151" s="51"/>
      <c r="C1151" s="51"/>
      <c r="D1151" s="52"/>
      <c r="E1151" s="53"/>
      <c r="F1151" s="54"/>
      <c r="G1151" s="54"/>
      <c r="H1151" s="54"/>
      <c r="I1151" s="66"/>
      <c r="J1151" s="54"/>
      <c r="K1151" s="54"/>
      <c r="L1151" s="54"/>
      <c r="M1151" s="97" t="str">
        <f t="shared" si="112"/>
        <v/>
      </c>
      <c r="N1151" s="70"/>
      <c r="O1151" s="71" t="str">
        <f t="shared" si="116"/>
        <v/>
      </c>
      <c r="P1151" s="66"/>
      <c r="Q1151" s="66"/>
      <c r="R1151" s="54"/>
      <c r="S1151" s="82"/>
      <c r="T1151" s="83" t="str">
        <f t="shared" si="113"/>
        <v/>
      </c>
      <c r="U1151" s="10"/>
      <c r="V1151" s="41">
        <f>IF(AND(Q1151&lt;&gt;"",RIGHT(Q1151,3)&lt;&gt;""),IF(COUNTIF($Q$6:Q1151,Q1151)=1,1,0),0)</f>
        <v>0</v>
      </c>
      <c r="W1151" s="41" t="str">
        <f t="shared" si="114"/>
        <v/>
      </c>
      <c r="X1151" s="41" t="str">
        <f t="shared" si="115"/>
        <v/>
      </c>
    </row>
    <row r="1152" s="32" customFormat="1" hidden="1" customHeight="1" spans="1:24">
      <c r="A1152" s="34"/>
      <c r="B1152" s="51"/>
      <c r="C1152" s="51"/>
      <c r="D1152" s="52"/>
      <c r="E1152" s="53"/>
      <c r="F1152" s="54"/>
      <c r="G1152" s="54"/>
      <c r="H1152" s="54"/>
      <c r="I1152" s="66"/>
      <c r="J1152" s="54"/>
      <c r="K1152" s="54"/>
      <c r="L1152" s="54"/>
      <c r="M1152" s="97" t="str">
        <f t="shared" si="112"/>
        <v/>
      </c>
      <c r="N1152" s="70"/>
      <c r="O1152" s="71" t="str">
        <f t="shared" si="116"/>
        <v/>
      </c>
      <c r="P1152" s="66"/>
      <c r="Q1152" s="66"/>
      <c r="R1152" s="54"/>
      <c r="S1152" s="82"/>
      <c r="T1152" s="83" t="str">
        <f t="shared" si="113"/>
        <v/>
      </c>
      <c r="U1152" s="10"/>
      <c r="V1152" s="41">
        <f>IF(AND(Q1152&lt;&gt;"",RIGHT(Q1152,3)&lt;&gt;""),IF(COUNTIF($Q$6:Q1152,Q1152)=1,1,0),0)</f>
        <v>0</v>
      </c>
      <c r="W1152" s="41" t="str">
        <f t="shared" si="114"/>
        <v/>
      </c>
      <c r="X1152" s="41" t="str">
        <f t="shared" si="115"/>
        <v/>
      </c>
    </row>
    <row r="1153" s="32" customFormat="1" hidden="1" customHeight="1" spans="1:24">
      <c r="A1153" s="34"/>
      <c r="B1153" s="51"/>
      <c r="C1153" s="51"/>
      <c r="D1153" s="52"/>
      <c r="E1153" s="53"/>
      <c r="F1153" s="54"/>
      <c r="G1153" s="54"/>
      <c r="H1153" s="54"/>
      <c r="I1153" s="66"/>
      <c r="J1153" s="54"/>
      <c r="K1153" s="54"/>
      <c r="L1153" s="54"/>
      <c r="M1153" s="97" t="str">
        <f t="shared" si="112"/>
        <v/>
      </c>
      <c r="N1153" s="70"/>
      <c r="O1153" s="71" t="str">
        <f t="shared" si="116"/>
        <v/>
      </c>
      <c r="P1153" s="66"/>
      <c r="Q1153" s="66"/>
      <c r="R1153" s="54"/>
      <c r="S1153" s="82"/>
      <c r="T1153" s="83" t="str">
        <f t="shared" si="113"/>
        <v/>
      </c>
      <c r="U1153" s="10"/>
      <c r="V1153" s="41">
        <f>IF(AND(Q1153&lt;&gt;"",RIGHT(Q1153,3)&lt;&gt;""),IF(COUNTIF($Q$6:Q1153,Q1153)=1,1,0),0)</f>
        <v>0</v>
      </c>
      <c r="W1153" s="41" t="str">
        <f t="shared" si="114"/>
        <v/>
      </c>
      <c r="X1153" s="41" t="str">
        <f t="shared" si="115"/>
        <v/>
      </c>
    </row>
    <row r="1154" s="32" customFormat="1" hidden="1" customHeight="1" spans="1:24">
      <c r="A1154" s="34"/>
      <c r="B1154" s="51"/>
      <c r="C1154" s="51"/>
      <c r="D1154" s="52"/>
      <c r="E1154" s="53"/>
      <c r="F1154" s="54"/>
      <c r="G1154" s="54"/>
      <c r="H1154" s="54"/>
      <c r="I1154" s="66"/>
      <c r="J1154" s="54"/>
      <c r="K1154" s="54"/>
      <c r="L1154" s="54"/>
      <c r="M1154" s="97" t="str">
        <f t="shared" si="112"/>
        <v/>
      </c>
      <c r="N1154" s="70"/>
      <c r="O1154" s="71" t="str">
        <f t="shared" si="116"/>
        <v/>
      </c>
      <c r="P1154" s="66"/>
      <c r="Q1154" s="66"/>
      <c r="R1154" s="54"/>
      <c r="S1154" s="82"/>
      <c r="T1154" s="83" t="str">
        <f t="shared" si="113"/>
        <v/>
      </c>
      <c r="U1154" s="10"/>
      <c r="V1154" s="41">
        <f>IF(AND(Q1154&lt;&gt;"",RIGHT(Q1154,3)&lt;&gt;""),IF(COUNTIF($Q$6:Q1154,Q1154)=1,1,0),0)</f>
        <v>0</v>
      </c>
      <c r="W1154" s="41" t="str">
        <f t="shared" si="114"/>
        <v/>
      </c>
      <c r="X1154" s="41" t="str">
        <f t="shared" si="115"/>
        <v/>
      </c>
    </row>
    <row r="1155" s="32" customFormat="1" hidden="1" customHeight="1" spans="1:24">
      <c r="A1155" s="34"/>
      <c r="B1155" s="51"/>
      <c r="C1155" s="51"/>
      <c r="D1155" s="52"/>
      <c r="E1155" s="53"/>
      <c r="F1155" s="54"/>
      <c r="G1155" s="54"/>
      <c r="H1155" s="54"/>
      <c r="I1155" s="66"/>
      <c r="J1155" s="54"/>
      <c r="K1155" s="54"/>
      <c r="L1155" s="54"/>
      <c r="M1155" s="97" t="str">
        <f t="shared" si="112"/>
        <v/>
      </c>
      <c r="N1155" s="70"/>
      <c r="O1155" s="71" t="str">
        <f t="shared" si="116"/>
        <v/>
      </c>
      <c r="P1155" s="66"/>
      <c r="Q1155" s="66"/>
      <c r="R1155" s="54"/>
      <c r="S1155" s="82"/>
      <c r="T1155" s="83" t="str">
        <f t="shared" si="113"/>
        <v/>
      </c>
      <c r="U1155" s="10"/>
      <c r="V1155" s="41">
        <f>IF(AND(Q1155&lt;&gt;"",RIGHT(Q1155,3)&lt;&gt;""),IF(COUNTIF($Q$6:Q1155,Q1155)=1,1,0),0)</f>
        <v>0</v>
      </c>
      <c r="W1155" s="41" t="str">
        <f t="shared" si="114"/>
        <v/>
      </c>
      <c r="X1155" s="41" t="str">
        <f t="shared" si="115"/>
        <v/>
      </c>
    </row>
    <row r="1156" s="32" customFormat="1" hidden="1" customHeight="1" spans="1:24">
      <c r="A1156" s="34"/>
      <c r="B1156" s="51"/>
      <c r="C1156" s="51"/>
      <c r="D1156" s="52"/>
      <c r="E1156" s="53"/>
      <c r="F1156" s="54"/>
      <c r="G1156" s="54"/>
      <c r="H1156" s="54"/>
      <c r="I1156" s="66"/>
      <c r="J1156" s="54"/>
      <c r="K1156" s="54"/>
      <c r="L1156" s="54"/>
      <c r="M1156" s="97" t="str">
        <f t="shared" si="112"/>
        <v/>
      </c>
      <c r="N1156" s="70"/>
      <c r="O1156" s="71" t="str">
        <f t="shared" si="116"/>
        <v/>
      </c>
      <c r="P1156" s="66"/>
      <c r="Q1156" s="66"/>
      <c r="R1156" s="54"/>
      <c r="S1156" s="82"/>
      <c r="T1156" s="83" t="str">
        <f t="shared" si="113"/>
        <v/>
      </c>
      <c r="U1156" s="10"/>
      <c r="V1156" s="41">
        <f>IF(AND(Q1156&lt;&gt;"",RIGHT(Q1156,3)&lt;&gt;""),IF(COUNTIF($Q$6:Q1156,Q1156)=1,1,0),0)</f>
        <v>0</v>
      </c>
      <c r="W1156" s="41" t="str">
        <f t="shared" si="114"/>
        <v/>
      </c>
      <c r="X1156" s="41" t="str">
        <f t="shared" si="115"/>
        <v/>
      </c>
    </row>
    <row r="1157" s="32" customFormat="1" hidden="1" customHeight="1" spans="1:24">
      <c r="A1157" s="34"/>
      <c r="B1157" s="51"/>
      <c r="C1157" s="51"/>
      <c r="D1157" s="52"/>
      <c r="E1157" s="53"/>
      <c r="F1157" s="54"/>
      <c r="G1157" s="54"/>
      <c r="H1157" s="54"/>
      <c r="I1157" s="66"/>
      <c r="J1157" s="54"/>
      <c r="K1157" s="54"/>
      <c r="L1157" s="54"/>
      <c r="M1157" s="97" t="str">
        <f t="shared" si="112"/>
        <v/>
      </c>
      <c r="N1157" s="70"/>
      <c r="O1157" s="71" t="str">
        <f t="shared" si="116"/>
        <v/>
      </c>
      <c r="P1157" s="66"/>
      <c r="Q1157" s="66"/>
      <c r="R1157" s="54"/>
      <c r="S1157" s="82"/>
      <c r="T1157" s="83" t="str">
        <f t="shared" si="113"/>
        <v/>
      </c>
      <c r="U1157" s="10"/>
      <c r="V1157" s="41">
        <f>IF(AND(Q1157&lt;&gt;"",RIGHT(Q1157,3)&lt;&gt;""),IF(COUNTIF($Q$6:Q1157,Q1157)=1,1,0),0)</f>
        <v>0</v>
      </c>
      <c r="W1157" s="41" t="str">
        <f t="shared" si="114"/>
        <v/>
      </c>
      <c r="X1157" s="41" t="str">
        <f t="shared" si="115"/>
        <v/>
      </c>
    </row>
    <row r="1158" s="32" customFormat="1" hidden="1" customHeight="1" spans="1:24">
      <c r="A1158" s="34"/>
      <c r="B1158" s="51"/>
      <c r="C1158" s="51"/>
      <c r="D1158" s="52"/>
      <c r="E1158" s="53"/>
      <c r="F1158" s="54"/>
      <c r="G1158" s="54"/>
      <c r="H1158" s="54"/>
      <c r="I1158" s="66"/>
      <c r="J1158" s="54"/>
      <c r="K1158" s="54"/>
      <c r="L1158" s="54"/>
      <c r="M1158" s="97" t="str">
        <f t="shared" si="112"/>
        <v/>
      </c>
      <c r="N1158" s="70"/>
      <c r="O1158" s="71" t="str">
        <f t="shared" si="116"/>
        <v/>
      </c>
      <c r="P1158" s="66"/>
      <c r="Q1158" s="66"/>
      <c r="R1158" s="54"/>
      <c r="S1158" s="82"/>
      <c r="T1158" s="83" t="str">
        <f t="shared" si="113"/>
        <v/>
      </c>
      <c r="U1158" s="10"/>
      <c r="V1158" s="41">
        <f>IF(AND(Q1158&lt;&gt;"",RIGHT(Q1158,3)&lt;&gt;""),IF(COUNTIF($Q$6:Q1158,Q1158)=1,1,0),0)</f>
        <v>0</v>
      </c>
      <c r="W1158" s="41" t="str">
        <f t="shared" si="114"/>
        <v/>
      </c>
      <c r="X1158" s="41" t="str">
        <f t="shared" si="115"/>
        <v/>
      </c>
    </row>
    <row r="1159" s="32" customFormat="1" hidden="1" customHeight="1" spans="1:24">
      <c r="A1159" s="34"/>
      <c r="B1159" s="51"/>
      <c r="C1159" s="51"/>
      <c r="D1159" s="52"/>
      <c r="E1159" s="53"/>
      <c r="F1159" s="54"/>
      <c r="G1159" s="54"/>
      <c r="H1159" s="54"/>
      <c r="I1159" s="66"/>
      <c r="J1159" s="54"/>
      <c r="K1159" s="54"/>
      <c r="L1159" s="54"/>
      <c r="M1159" s="97" t="str">
        <f t="shared" si="112"/>
        <v/>
      </c>
      <c r="N1159" s="70"/>
      <c r="O1159" s="71" t="str">
        <f t="shared" si="116"/>
        <v/>
      </c>
      <c r="P1159" s="66"/>
      <c r="Q1159" s="66"/>
      <c r="R1159" s="54"/>
      <c r="S1159" s="82"/>
      <c r="T1159" s="83" t="str">
        <f t="shared" si="113"/>
        <v/>
      </c>
      <c r="U1159" s="10"/>
      <c r="V1159" s="41">
        <f>IF(AND(Q1159&lt;&gt;"",RIGHT(Q1159,3)&lt;&gt;""),IF(COUNTIF($Q$6:Q1159,Q1159)=1,1,0),0)</f>
        <v>0</v>
      </c>
      <c r="W1159" s="41" t="str">
        <f t="shared" si="114"/>
        <v/>
      </c>
      <c r="X1159" s="41" t="str">
        <f t="shared" si="115"/>
        <v/>
      </c>
    </row>
    <row r="1160" s="32" customFormat="1" hidden="1" customHeight="1" spans="1:24">
      <c r="A1160" s="34"/>
      <c r="B1160" s="51"/>
      <c r="C1160" s="51"/>
      <c r="D1160" s="52"/>
      <c r="E1160" s="53"/>
      <c r="F1160" s="54"/>
      <c r="G1160" s="54"/>
      <c r="H1160" s="54"/>
      <c r="I1160" s="66"/>
      <c r="J1160" s="54"/>
      <c r="K1160" s="54"/>
      <c r="L1160" s="54"/>
      <c r="M1160" s="97" t="str">
        <f t="shared" si="112"/>
        <v/>
      </c>
      <c r="N1160" s="70"/>
      <c r="O1160" s="71" t="str">
        <f t="shared" si="116"/>
        <v/>
      </c>
      <c r="P1160" s="66"/>
      <c r="Q1160" s="66"/>
      <c r="R1160" s="54"/>
      <c r="S1160" s="82"/>
      <c r="T1160" s="83" t="str">
        <f t="shared" si="113"/>
        <v/>
      </c>
      <c r="U1160" s="10"/>
      <c r="V1160" s="41">
        <f>IF(AND(Q1160&lt;&gt;"",RIGHT(Q1160,3)&lt;&gt;""),IF(COUNTIF($Q$6:Q1160,Q1160)=1,1,0),0)</f>
        <v>0</v>
      </c>
      <c r="W1160" s="41" t="str">
        <f t="shared" si="114"/>
        <v/>
      </c>
      <c r="X1160" s="41" t="str">
        <f t="shared" si="115"/>
        <v/>
      </c>
    </row>
    <row r="1161" s="32" customFormat="1" hidden="1" customHeight="1" spans="1:24">
      <c r="A1161" s="34"/>
      <c r="B1161" s="51"/>
      <c r="C1161" s="51"/>
      <c r="D1161" s="52"/>
      <c r="E1161" s="53"/>
      <c r="F1161" s="54"/>
      <c r="G1161" s="54"/>
      <c r="H1161" s="54"/>
      <c r="I1161" s="66"/>
      <c r="J1161" s="54"/>
      <c r="K1161" s="54"/>
      <c r="L1161" s="54"/>
      <c r="M1161" s="97" t="str">
        <f t="shared" si="112"/>
        <v/>
      </c>
      <c r="N1161" s="70"/>
      <c r="O1161" s="71" t="str">
        <f t="shared" si="116"/>
        <v/>
      </c>
      <c r="P1161" s="66"/>
      <c r="Q1161" s="66"/>
      <c r="R1161" s="54"/>
      <c r="S1161" s="82"/>
      <c r="T1161" s="83" t="str">
        <f t="shared" si="113"/>
        <v/>
      </c>
      <c r="U1161" s="10"/>
      <c r="V1161" s="41">
        <f>IF(AND(Q1161&lt;&gt;"",RIGHT(Q1161,3)&lt;&gt;""),IF(COUNTIF($Q$6:Q1161,Q1161)=1,1,0),0)</f>
        <v>0</v>
      </c>
      <c r="W1161" s="41" t="str">
        <f t="shared" si="114"/>
        <v/>
      </c>
      <c r="X1161" s="41" t="str">
        <f t="shared" si="115"/>
        <v/>
      </c>
    </row>
    <row r="1162" s="32" customFormat="1" hidden="1" customHeight="1" spans="1:24">
      <c r="A1162" s="34"/>
      <c r="B1162" s="51"/>
      <c r="C1162" s="51"/>
      <c r="D1162" s="52"/>
      <c r="E1162" s="53"/>
      <c r="F1162" s="54"/>
      <c r="G1162" s="54"/>
      <c r="H1162" s="54"/>
      <c r="I1162" s="66"/>
      <c r="J1162" s="54"/>
      <c r="K1162" s="54"/>
      <c r="L1162" s="54"/>
      <c r="M1162" s="97" t="str">
        <f t="shared" si="112"/>
        <v/>
      </c>
      <c r="N1162" s="70"/>
      <c r="O1162" s="71" t="str">
        <f t="shared" si="116"/>
        <v/>
      </c>
      <c r="P1162" s="66"/>
      <c r="Q1162" s="66"/>
      <c r="R1162" s="54"/>
      <c r="S1162" s="82"/>
      <c r="T1162" s="83" t="str">
        <f t="shared" si="113"/>
        <v/>
      </c>
      <c r="U1162" s="10"/>
      <c r="V1162" s="41">
        <f>IF(AND(Q1162&lt;&gt;"",RIGHT(Q1162,3)&lt;&gt;""),IF(COUNTIF($Q$6:Q1162,Q1162)=1,1,0),0)</f>
        <v>0</v>
      </c>
      <c r="W1162" s="41" t="str">
        <f t="shared" si="114"/>
        <v/>
      </c>
      <c r="X1162" s="41" t="str">
        <f t="shared" si="115"/>
        <v/>
      </c>
    </row>
    <row r="1163" s="32" customFormat="1" hidden="1" customHeight="1" spans="1:24">
      <c r="A1163" s="34"/>
      <c r="B1163" s="51"/>
      <c r="C1163" s="51"/>
      <c r="D1163" s="52"/>
      <c r="E1163" s="53"/>
      <c r="F1163" s="54"/>
      <c r="G1163" s="54"/>
      <c r="H1163" s="54"/>
      <c r="I1163" s="66"/>
      <c r="J1163" s="54"/>
      <c r="K1163" s="54"/>
      <c r="L1163" s="54"/>
      <c r="M1163" s="97" t="str">
        <f t="shared" si="112"/>
        <v/>
      </c>
      <c r="N1163" s="70"/>
      <c r="O1163" s="71" t="str">
        <f t="shared" si="116"/>
        <v/>
      </c>
      <c r="P1163" s="66"/>
      <c r="Q1163" s="66"/>
      <c r="R1163" s="54"/>
      <c r="S1163" s="82"/>
      <c r="T1163" s="83" t="str">
        <f t="shared" si="113"/>
        <v/>
      </c>
      <c r="U1163" s="10"/>
      <c r="V1163" s="41">
        <f>IF(AND(Q1163&lt;&gt;"",RIGHT(Q1163,3)&lt;&gt;""),IF(COUNTIF($Q$6:Q1163,Q1163)=1,1,0),0)</f>
        <v>0</v>
      </c>
      <c r="W1163" s="41" t="str">
        <f t="shared" si="114"/>
        <v/>
      </c>
      <c r="X1163" s="41" t="str">
        <f t="shared" si="115"/>
        <v/>
      </c>
    </row>
    <row r="1164" s="32" customFormat="1" hidden="1" customHeight="1" spans="1:24">
      <c r="A1164" s="34"/>
      <c r="B1164" s="51"/>
      <c r="C1164" s="51"/>
      <c r="D1164" s="52"/>
      <c r="E1164" s="53"/>
      <c r="F1164" s="54"/>
      <c r="G1164" s="54"/>
      <c r="H1164" s="54"/>
      <c r="I1164" s="66"/>
      <c r="J1164" s="54"/>
      <c r="K1164" s="54"/>
      <c r="L1164" s="54"/>
      <c r="M1164" s="97" t="str">
        <f t="shared" si="112"/>
        <v/>
      </c>
      <c r="N1164" s="70"/>
      <c r="O1164" s="71" t="str">
        <f t="shared" si="116"/>
        <v/>
      </c>
      <c r="P1164" s="66"/>
      <c r="Q1164" s="66"/>
      <c r="R1164" s="54"/>
      <c r="S1164" s="82"/>
      <c r="T1164" s="83" t="str">
        <f t="shared" si="113"/>
        <v/>
      </c>
      <c r="U1164" s="10"/>
      <c r="V1164" s="41">
        <f>IF(AND(Q1164&lt;&gt;"",RIGHT(Q1164,3)&lt;&gt;""),IF(COUNTIF($Q$6:Q1164,Q1164)=1,1,0),0)</f>
        <v>0</v>
      </c>
      <c r="W1164" s="41" t="str">
        <f t="shared" si="114"/>
        <v/>
      </c>
      <c r="X1164" s="41" t="str">
        <f t="shared" si="115"/>
        <v/>
      </c>
    </row>
    <row r="1165" s="32" customFormat="1" hidden="1" customHeight="1" spans="1:24">
      <c r="A1165" s="34"/>
      <c r="B1165" s="51"/>
      <c r="C1165" s="51"/>
      <c r="D1165" s="52"/>
      <c r="E1165" s="53"/>
      <c r="F1165" s="54"/>
      <c r="G1165" s="54"/>
      <c r="H1165" s="54"/>
      <c r="I1165" s="66"/>
      <c r="J1165" s="54"/>
      <c r="K1165" s="54"/>
      <c r="L1165" s="54"/>
      <c r="M1165" s="97" t="str">
        <f t="shared" si="112"/>
        <v/>
      </c>
      <c r="N1165" s="70"/>
      <c r="O1165" s="71" t="str">
        <f t="shared" si="116"/>
        <v/>
      </c>
      <c r="P1165" s="66"/>
      <c r="Q1165" s="66"/>
      <c r="R1165" s="54"/>
      <c r="S1165" s="82"/>
      <c r="T1165" s="83" t="str">
        <f t="shared" si="113"/>
        <v/>
      </c>
      <c r="U1165" s="10"/>
      <c r="V1165" s="41">
        <f>IF(AND(Q1165&lt;&gt;"",RIGHT(Q1165,3)&lt;&gt;""),IF(COUNTIF($Q$6:Q1165,Q1165)=1,1,0),0)</f>
        <v>0</v>
      </c>
      <c r="W1165" s="41" t="str">
        <f t="shared" si="114"/>
        <v/>
      </c>
      <c r="X1165" s="41" t="str">
        <f t="shared" si="115"/>
        <v/>
      </c>
    </row>
    <row r="1166" s="32" customFormat="1" hidden="1" customHeight="1" spans="1:24">
      <c r="A1166" s="34"/>
      <c r="B1166" s="51"/>
      <c r="C1166" s="51"/>
      <c r="D1166" s="52"/>
      <c r="E1166" s="53"/>
      <c r="F1166" s="54"/>
      <c r="G1166" s="54"/>
      <c r="H1166" s="54"/>
      <c r="I1166" s="66"/>
      <c r="J1166" s="54"/>
      <c r="K1166" s="54"/>
      <c r="L1166" s="54"/>
      <c r="M1166" s="97" t="str">
        <f t="shared" si="112"/>
        <v/>
      </c>
      <c r="N1166" s="70"/>
      <c r="O1166" s="71" t="str">
        <f t="shared" si="116"/>
        <v/>
      </c>
      <c r="P1166" s="66"/>
      <c r="Q1166" s="66"/>
      <c r="R1166" s="54"/>
      <c r="S1166" s="82"/>
      <c r="T1166" s="83" t="str">
        <f t="shared" si="113"/>
        <v/>
      </c>
      <c r="U1166" s="10"/>
      <c r="V1166" s="41">
        <f>IF(AND(Q1166&lt;&gt;"",RIGHT(Q1166,3)&lt;&gt;""),IF(COUNTIF($Q$6:Q1166,Q1166)=1,1,0),0)</f>
        <v>0</v>
      </c>
      <c r="W1166" s="41" t="str">
        <f t="shared" si="114"/>
        <v/>
      </c>
      <c r="X1166" s="41" t="str">
        <f t="shared" si="115"/>
        <v/>
      </c>
    </row>
    <row r="1167" s="32" customFormat="1" hidden="1" customHeight="1" spans="1:24">
      <c r="A1167" s="34"/>
      <c r="B1167" s="51"/>
      <c r="C1167" s="51"/>
      <c r="D1167" s="52"/>
      <c r="E1167" s="53"/>
      <c r="F1167" s="54"/>
      <c r="G1167" s="54"/>
      <c r="H1167" s="54"/>
      <c r="I1167" s="66"/>
      <c r="J1167" s="54"/>
      <c r="K1167" s="54"/>
      <c r="L1167" s="54"/>
      <c r="M1167" s="97" t="str">
        <f t="shared" si="112"/>
        <v/>
      </c>
      <c r="N1167" s="70"/>
      <c r="O1167" s="71" t="str">
        <f t="shared" si="116"/>
        <v/>
      </c>
      <c r="P1167" s="66"/>
      <c r="Q1167" s="66"/>
      <c r="R1167" s="54"/>
      <c r="S1167" s="82"/>
      <c r="T1167" s="83" t="str">
        <f t="shared" si="113"/>
        <v/>
      </c>
      <c r="U1167" s="10"/>
      <c r="V1167" s="41">
        <f>IF(AND(Q1167&lt;&gt;"",RIGHT(Q1167,3)&lt;&gt;""),IF(COUNTIF($Q$6:Q1167,Q1167)=1,1,0),0)</f>
        <v>0</v>
      </c>
      <c r="W1167" s="41" t="str">
        <f t="shared" si="114"/>
        <v/>
      </c>
      <c r="X1167" s="41" t="str">
        <f t="shared" si="115"/>
        <v/>
      </c>
    </row>
    <row r="1168" s="32" customFormat="1" hidden="1" customHeight="1" spans="1:24">
      <c r="A1168" s="34"/>
      <c r="B1168" s="51"/>
      <c r="C1168" s="51"/>
      <c r="D1168" s="52"/>
      <c r="E1168" s="53"/>
      <c r="F1168" s="54"/>
      <c r="G1168" s="54"/>
      <c r="H1168" s="54"/>
      <c r="I1168" s="66"/>
      <c r="J1168" s="54"/>
      <c r="K1168" s="54"/>
      <c r="L1168" s="54"/>
      <c r="M1168" s="97" t="str">
        <f t="shared" si="112"/>
        <v/>
      </c>
      <c r="N1168" s="70"/>
      <c r="O1168" s="71" t="str">
        <f t="shared" si="116"/>
        <v/>
      </c>
      <c r="P1168" s="66"/>
      <c r="Q1168" s="66"/>
      <c r="R1168" s="54"/>
      <c r="S1168" s="82"/>
      <c r="T1168" s="83" t="str">
        <f t="shared" si="113"/>
        <v/>
      </c>
      <c r="U1168" s="10"/>
      <c r="V1168" s="41">
        <f>IF(AND(Q1168&lt;&gt;"",RIGHT(Q1168,3)&lt;&gt;""),IF(COUNTIF($Q$6:Q1168,Q1168)=1,1,0),0)</f>
        <v>0</v>
      </c>
      <c r="W1168" s="41" t="str">
        <f t="shared" si="114"/>
        <v/>
      </c>
      <c r="X1168" s="41" t="str">
        <f t="shared" si="115"/>
        <v/>
      </c>
    </row>
    <row r="1169" s="32" customFormat="1" hidden="1" customHeight="1" spans="1:24">
      <c r="A1169" s="34"/>
      <c r="B1169" s="51"/>
      <c r="C1169" s="51"/>
      <c r="D1169" s="52"/>
      <c r="E1169" s="53"/>
      <c r="F1169" s="54"/>
      <c r="G1169" s="54"/>
      <c r="H1169" s="54"/>
      <c r="I1169" s="66"/>
      <c r="J1169" s="54"/>
      <c r="K1169" s="54"/>
      <c r="L1169" s="54"/>
      <c r="M1169" s="97" t="str">
        <f t="shared" si="112"/>
        <v/>
      </c>
      <c r="N1169" s="70"/>
      <c r="O1169" s="71" t="str">
        <f t="shared" si="116"/>
        <v/>
      </c>
      <c r="P1169" s="66"/>
      <c r="Q1169" s="66"/>
      <c r="R1169" s="54"/>
      <c r="S1169" s="82"/>
      <c r="T1169" s="83" t="str">
        <f t="shared" si="113"/>
        <v/>
      </c>
      <c r="U1169" s="10"/>
      <c r="V1169" s="41">
        <f>IF(AND(Q1169&lt;&gt;"",RIGHT(Q1169,3)&lt;&gt;""),IF(COUNTIF($Q$6:Q1169,Q1169)=1,1,0),0)</f>
        <v>0</v>
      </c>
      <c r="W1169" s="41" t="str">
        <f t="shared" si="114"/>
        <v/>
      </c>
      <c r="X1169" s="41" t="str">
        <f t="shared" si="115"/>
        <v/>
      </c>
    </row>
    <row r="1170" s="32" customFormat="1" hidden="1" customHeight="1" spans="1:24">
      <c r="A1170" s="34"/>
      <c r="B1170" s="51"/>
      <c r="C1170" s="51"/>
      <c r="D1170" s="52"/>
      <c r="E1170" s="53"/>
      <c r="F1170" s="54"/>
      <c r="G1170" s="54"/>
      <c r="H1170" s="54"/>
      <c r="I1170" s="66"/>
      <c r="J1170" s="54"/>
      <c r="K1170" s="54"/>
      <c r="L1170" s="54"/>
      <c r="M1170" s="97" t="str">
        <f t="shared" si="112"/>
        <v/>
      </c>
      <c r="N1170" s="70"/>
      <c r="O1170" s="71" t="str">
        <f t="shared" si="116"/>
        <v/>
      </c>
      <c r="P1170" s="66"/>
      <c r="Q1170" s="66"/>
      <c r="R1170" s="54"/>
      <c r="S1170" s="82"/>
      <c r="T1170" s="83" t="str">
        <f t="shared" si="113"/>
        <v/>
      </c>
      <c r="U1170" s="10"/>
      <c r="V1170" s="41">
        <f>IF(AND(Q1170&lt;&gt;"",RIGHT(Q1170,3)&lt;&gt;""),IF(COUNTIF($Q$6:Q1170,Q1170)=1,1,0),0)</f>
        <v>0</v>
      </c>
      <c r="W1170" s="41" t="str">
        <f t="shared" si="114"/>
        <v/>
      </c>
      <c r="X1170" s="41" t="str">
        <f t="shared" si="115"/>
        <v/>
      </c>
    </row>
    <row r="1171" s="32" customFormat="1" hidden="1" customHeight="1" spans="1:24">
      <c r="A1171" s="34"/>
      <c r="B1171" s="51"/>
      <c r="C1171" s="51"/>
      <c r="D1171" s="52"/>
      <c r="E1171" s="53"/>
      <c r="F1171" s="54"/>
      <c r="G1171" s="54"/>
      <c r="H1171" s="54"/>
      <c r="I1171" s="66"/>
      <c r="J1171" s="54"/>
      <c r="K1171" s="54"/>
      <c r="L1171" s="54"/>
      <c r="M1171" s="97" t="str">
        <f t="shared" si="112"/>
        <v/>
      </c>
      <c r="N1171" s="70"/>
      <c r="O1171" s="71" t="str">
        <f t="shared" si="116"/>
        <v/>
      </c>
      <c r="P1171" s="66"/>
      <c r="Q1171" s="66"/>
      <c r="R1171" s="54"/>
      <c r="S1171" s="82"/>
      <c r="T1171" s="83" t="str">
        <f t="shared" si="113"/>
        <v/>
      </c>
      <c r="U1171" s="10"/>
      <c r="V1171" s="41">
        <f>IF(AND(Q1171&lt;&gt;"",RIGHT(Q1171,3)&lt;&gt;""),IF(COUNTIF($Q$6:Q1171,Q1171)=1,1,0),0)</f>
        <v>0</v>
      </c>
      <c r="W1171" s="41" t="str">
        <f t="shared" si="114"/>
        <v/>
      </c>
      <c r="X1171" s="41" t="str">
        <f t="shared" si="115"/>
        <v/>
      </c>
    </row>
    <row r="1172" s="32" customFormat="1" hidden="1" customHeight="1" spans="1:24">
      <c r="A1172" s="34"/>
      <c r="B1172" s="51"/>
      <c r="C1172" s="51"/>
      <c r="D1172" s="52"/>
      <c r="E1172" s="53"/>
      <c r="F1172" s="54"/>
      <c r="G1172" s="54"/>
      <c r="H1172" s="54"/>
      <c r="I1172" s="66"/>
      <c r="J1172" s="54"/>
      <c r="K1172" s="54"/>
      <c r="L1172" s="54"/>
      <c r="M1172" s="97" t="str">
        <f t="shared" si="112"/>
        <v/>
      </c>
      <c r="N1172" s="70"/>
      <c r="O1172" s="71" t="str">
        <f t="shared" si="116"/>
        <v/>
      </c>
      <c r="P1172" s="66"/>
      <c r="Q1172" s="66"/>
      <c r="R1172" s="54"/>
      <c r="S1172" s="82"/>
      <c r="T1172" s="83" t="str">
        <f t="shared" si="113"/>
        <v/>
      </c>
      <c r="U1172" s="10"/>
      <c r="V1172" s="41">
        <f>IF(AND(Q1172&lt;&gt;"",RIGHT(Q1172,3)&lt;&gt;""),IF(COUNTIF($Q$6:Q1172,Q1172)=1,1,0),0)</f>
        <v>0</v>
      </c>
      <c r="W1172" s="41" t="str">
        <f t="shared" si="114"/>
        <v/>
      </c>
      <c r="X1172" s="41" t="str">
        <f t="shared" si="115"/>
        <v/>
      </c>
    </row>
    <row r="1173" s="32" customFormat="1" hidden="1" customHeight="1" spans="1:24">
      <c r="A1173" s="34"/>
      <c r="B1173" s="51"/>
      <c r="C1173" s="51"/>
      <c r="D1173" s="52"/>
      <c r="E1173" s="53"/>
      <c r="F1173" s="54"/>
      <c r="G1173" s="54"/>
      <c r="H1173" s="54"/>
      <c r="I1173" s="66"/>
      <c r="J1173" s="54"/>
      <c r="K1173" s="54"/>
      <c r="L1173" s="54"/>
      <c r="M1173" s="97" t="str">
        <f t="shared" si="112"/>
        <v/>
      </c>
      <c r="N1173" s="70"/>
      <c r="O1173" s="71" t="str">
        <f t="shared" si="116"/>
        <v/>
      </c>
      <c r="P1173" s="66"/>
      <c r="Q1173" s="66"/>
      <c r="R1173" s="54"/>
      <c r="S1173" s="82"/>
      <c r="T1173" s="83" t="str">
        <f t="shared" si="113"/>
        <v/>
      </c>
      <c r="U1173" s="10"/>
      <c r="V1173" s="41">
        <f>IF(AND(Q1173&lt;&gt;"",RIGHT(Q1173,3)&lt;&gt;""),IF(COUNTIF($Q$6:Q1173,Q1173)=1,1,0),0)</f>
        <v>0</v>
      </c>
      <c r="W1173" s="41" t="str">
        <f t="shared" si="114"/>
        <v/>
      </c>
      <c r="X1173" s="41" t="str">
        <f t="shared" si="115"/>
        <v/>
      </c>
    </row>
    <row r="1174" s="32" customFormat="1" hidden="1" customHeight="1" spans="1:24">
      <c r="A1174" s="34"/>
      <c r="B1174" s="51"/>
      <c r="C1174" s="51"/>
      <c r="D1174" s="52"/>
      <c r="E1174" s="53"/>
      <c r="F1174" s="54"/>
      <c r="G1174" s="54"/>
      <c r="H1174" s="54"/>
      <c r="I1174" s="66"/>
      <c r="J1174" s="54"/>
      <c r="K1174" s="54"/>
      <c r="L1174" s="54"/>
      <c r="M1174" s="97" t="str">
        <f t="shared" si="112"/>
        <v/>
      </c>
      <c r="N1174" s="70"/>
      <c r="O1174" s="71" t="str">
        <f t="shared" si="116"/>
        <v/>
      </c>
      <c r="P1174" s="66"/>
      <c r="Q1174" s="66"/>
      <c r="R1174" s="54"/>
      <c r="S1174" s="82"/>
      <c r="T1174" s="83" t="str">
        <f t="shared" si="113"/>
        <v/>
      </c>
      <c r="U1174" s="10"/>
      <c r="V1174" s="41">
        <f>IF(AND(Q1174&lt;&gt;"",RIGHT(Q1174,3)&lt;&gt;""),IF(COUNTIF($Q$6:Q1174,Q1174)=1,1,0),0)</f>
        <v>0</v>
      </c>
      <c r="W1174" s="41" t="str">
        <f t="shared" si="114"/>
        <v/>
      </c>
      <c r="X1174" s="41" t="str">
        <f t="shared" si="115"/>
        <v/>
      </c>
    </row>
    <row r="1175" s="32" customFormat="1" hidden="1" customHeight="1" spans="1:24">
      <c r="A1175" s="34"/>
      <c r="B1175" s="51"/>
      <c r="C1175" s="51"/>
      <c r="D1175" s="52"/>
      <c r="E1175" s="53"/>
      <c r="F1175" s="54"/>
      <c r="G1175" s="54"/>
      <c r="H1175" s="54"/>
      <c r="I1175" s="66"/>
      <c r="J1175" s="54"/>
      <c r="K1175" s="54"/>
      <c r="L1175" s="54"/>
      <c r="M1175" s="97" t="str">
        <f t="shared" si="112"/>
        <v/>
      </c>
      <c r="N1175" s="70"/>
      <c r="O1175" s="71" t="str">
        <f t="shared" si="116"/>
        <v/>
      </c>
      <c r="P1175" s="66"/>
      <c r="Q1175" s="66"/>
      <c r="R1175" s="54"/>
      <c r="S1175" s="82"/>
      <c r="T1175" s="83" t="str">
        <f t="shared" si="113"/>
        <v/>
      </c>
      <c r="U1175" s="10"/>
      <c r="V1175" s="41">
        <f>IF(AND(Q1175&lt;&gt;"",RIGHT(Q1175,3)&lt;&gt;""),IF(COUNTIF($Q$6:Q1175,Q1175)=1,1,0),0)</f>
        <v>0</v>
      </c>
      <c r="W1175" s="41" t="str">
        <f t="shared" si="114"/>
        <v/>
      </c>
      <c r="X1175" s="41" t="str">
        <f t="shared" si="115"/>
        <v/>
      </c>
    </row>
    <row r="1176" s="32" customFormat="1" hidden="1" customHeight="1" spans="1:24">
      <c r="A1176" s="34"/>
      <c r="B1176" s="51"/>
      <c r="C1176" s="51"/>
      <c r="D1176" s="52"/>
      <c r="E1176" s="53"/>
      <c r="F1176" s="54"/>
      <c r="G1176" s="54"/>
      <c r="H1176" s="54"/>
      <c r="I1176" s="66"/>
      <c r="J1176" s="54"/>
      <c r="K1176" s="54"/>
      <c r="L1176" s="54"/>
      <c r="M1176" s="97" t="str">
        <f t="shared" si="112"/>
        <v/>
      </c>
      <c r="N1176" s="70"/>
      <c r="O1176" s="71" t="str">
        <f t="shared" si="116"/>
        <v/>
      </c>
      <c r="P1176" s="66"/>
      <c r="Q1176" s="66"/>
      <c r="R1176" s="54"/>
      <c r="S1176" s="82"/>
      <c r="T1176" s="83" t="str">
        <f t="shared" si="113"/>
        <v/>
      </c>
      <c r="U1176" s="10"/>
      <c r="V1176" s="41">
        <f>IF(AND(Q1176&lt;&gt;"",RIGHT(Q1176,3)&lt;&gt;""),IF(COUNTIF($Q$6:Q1176,Q1176)=1,1,0),0)</f>
        <v>0</v>
      </c>
      <c r="W1176" s="41" t="str">
        <f t="shared" si="114"/>
        <v/>
      </c>
      <c r="X1176" s="41" t="str">
        <f t="shared" si="115"/>
        <v/>
      </c>
    </row>
    <row r="1177" s="32" customFormat="1" hidden="1" customHeight="1" spans="1:24">
      <c r="A1177" s="34"/>
      <c r="B1177" s="51"/>
      <c r="C1177" s="51"/>
      <c r="D1177" s="52"/>
      <c r="E1177" s="53"/>
      <c r="F1177" s="54"/>
      <c r="G1177" s="54"/>
      <c r="H1177" s="54"/>
      <c r="I1177" s="66"/>
      <c r="J1177" s="54"/>
      <c r="K1177" s="54"/>
      <c r="L1177" s="54"/>
      <c r="M1177" s="97" t="str">
        <f t="shared" si="112"/>
        <v/>
      </c>
      <c r="N1177" s="70"/>
      <c r="O1177" s="71" t="str">
        <f t="shared" si="116"/>
        <v/>
      </c>
      <c r="P1177" s="66"/>
      <c r="Q1177" s="66"/>
      <c r="R1177" s="54"/>
      <c r="S1177" s="82"/>
      <c r="T1177" s="83" t="str">
        <f t="shared" si="113"/>
        <v/>
      </c>
      <c r="U1177" s="10"/>
      <c r="V1177" s="41">
        <f>IF(AND(Q1177&lt;&gt;"",RIGHT(Q1177,3)&lt;&gt;""),IF(COUNTIF($Q$6:Q1177,Q1177)=1,1,0),0)</f>
        <v>0</v>
      </c>
      <c r="W1177" s="41" t="str">
        <f t="shared" si="114"/>
        <v/>
      </c>
      <c r="X1177" s="41" t="str">
        <f t="shared" si="115"/>
        <v/>
      </c>
    </row>
    <row r="1178" s="32" customFormat="1" hidden="1" customHeight="1" spans="1:24">
      <c r="A1178" s="34"/>
      <c r="B1178" s="51"/>
      <c r="C1178" s="51"/>
      <c r="D1178" s="52"/>
      <c r="E1178" s="53"/>
      <c r="F1178" s="54"/>
      <c r="G1178" s="54"/>
      <c r="H1178" s="54"/>
      <c r="I1178" s="66"/>
      <c r="J1178" s="54"/>
      <c r="K1178" s="54"/>
      <c r="L1178" s="54"/>
      <c r="M1178" s="97" t="str">
        <f t="shared" si="112"/>
        <v/>
      </c>
      <c r="N1178" s="70"/>
      <c r="O1178" s="71" t="str">
        <f t="shared" si="116"/>
        <v/>
      </c>
      <c r="P1178" s="66"/>
      <c r="Q1178" s="66"/>
      <c r="R1178" s="54"/>
      <c r="S1178" s="82"/>
      <c r="T1178" s="83" t="str">
        <f t="shared" si="113"/>
        <v/>
      </c>
      <c r="U1178" s="10"/>
      <c r="V1178" s="41">
        <f>IF(AND(Q1178&lt;&gt;"",RIGHT(Q1178,3)&lt;&gt;""),IF(COUNTIF($Q$6:Q1178,Q1178)=1,1,0),0)</f>
        <v>0</v>
      </c>
      <c r="W1178" s="41" t="str">
        <f t="shared" si="114"/>
        <v/>
      </c>
      <c r="X1178" s="41" t="str">
        <f t="shared" si="115"/>
        <v/>
      </c>
    </row>
    <row r="1179" s="32" customFormat="1" hidden="1" customHeight="1" spans="1:24">
      <c r="A1179" s="34"/>
      <c r="B1179" s="51"/>
      <c r="C1179" s="51"/>
      <c r="D1179" s="52"/>
      <c r="E1179" s="53"/>
      <c r="F1179" s="54"/>
      <c r="G1179" s="54"/>
      <c r="H1179" s="54"/>
      <c r="I1179" s="66"/>
      <c r="J1179" s="54"/>
      <c r="K1179" s="54"/>
      <c r="L1179" s="54"/>
      <c r="M1179" s="97" t="str">
        <f t="shared" si="112"/>
        <v/>
      </c>
      <c r="N1179" s="70"/>
      <c r="O1179" s="71" t="str">
        <f t="shared" si="116"/>
        <v/>
      </c>
      <c r="P1179" s="66"/>
      <c r="Q1179" s="66"/>
      <c r="R1179" s="54"/>
      <c r="S1179" s="82"/>
      <c r="T1179" s="83" t="str">
        <f t="shared" si="113"/>
        <v/>
      </c>
      <c r="U1179" s="10"/>
      <c r="V1179" s="41">
        <f>IF(AND(Q1179&lt;&gt;"",RIGHT(Q1179,3)&lt;&gt;""),IF(COUNTIF($Q$6:Q1179,Q1179)=1,1,0),0)</f>
        <v>0</v>
      </c>
      <c r="W1179" s="41" t="str">
        <f t="shared" si="114"/>
        <v/>
      </c>
      <c r="X1179" s="41" t="str">
        <f t="shared" si="115"/>
        <v/>
      </c>
    </row>
    <row r="1180" s="32" customFormat="1" hidden="1" customHeight="1" spans="1:24">
      <c r="A1180" s="34"/>
      <c r="B1180" s="51"/>
      <c r="C1180" s="51"/>
      <c r="D1180" s="52"/>
      <c r="E1180" s="53"/>
      <c r="F1180" s="54"/>
      <c r="G1180" s="54"/>
      <c r="H1180" s="54"/>
      <c r="I1180" s="66"/>
      <c r="J1180" s="54"/>
      <c r="K1180" s="54"/>
      <c r="L1180" s="54"/>
      <c r="M1180" s="97" t="str">
        <f t="shared" si="112"/>
        <v/>
      </c>
      <c r="N1180" s="70"/>
      <c r="O1180" s="71" t="str">
        <f t="shared" si="116"/>
        <v/>
      </c>
      <c r="P1180" s="66"/>
      <c r="Q1180" s="66"/>
      <c r="R1180" s="54"/>
      <c r="S1180" s="82"/>
      <c r="T1180" s="83" t="str">
        <f t="shared" si="113"/>
        <v/>
      </c>
      <c r="U1180" s="10"/>
      <c r="V1180" s="41">
        <f>IF(AND(Q1180&lt;&gt;"",RIGHT(Q1180,3)&lt;&gt;""),IF(COUNTIF($Q$6:Q1180,Q1180)=1,1,0),0)</f>
        <v>0</v>
      </c>
      <c r="W1180" s="41" t="str">
        <f t="shared" si="114"/>
        <v/>
      </c>
      <c r="X1180" s="41" t="str">
        <f t="shared" si="115"/>
        <v/>
      </c>
    </row>
    <row r="1181" s="32" customFormat="1" hidden="1" customHeight="1" spans="1:24">
      <c r="A1181" s="34"/>
      <c r="B1181" s="51"/>
      <c r="C1181" s="51"/>
      <c r="D1181" s="52"/>
      <c r="E1181" s="53"/>
      <c r="F1181" s="54"/>
      <c r="G1181" s="54"/>
      <c r="H1181" s="54"/>
      <c r="I1181" s="66"/>
      <c r="J1181" s="54"/>
      <c r="K1181" s="54"/>
      <c r="L1181" s="54"/>
      <c r="M1181" s="97" t="str">
        <f t="shared" si="112"/>
        <v/>
      </c>
      <c r="N1181" s="70"/>
      <c r="O1181" s="71" t="str">
        <f t="shared" si="116"/>
        <v/>
      </c>
      <c r="P1181" s="66"/>
      <c r="Q1181" s="66"/>
      <c r="R1181" s="54"/>
      <c r="S1181" s="82"/>
      <c r="T1181" s="83" t="str">
        <f t="shared" si="113"/>
        <v/>
      </c>
      <c r="U1181" s="10"/>
      <c r="V1181" s="41">
        <f>IF(AND(Q1181&lt;&gt;"",RIGHT(Q1181,3)&lt;&gt;""),IF(COUNTIF($Q$6:Q1181,Q1181)=1,1,0),0)</f>
        <v>0</v>
      </c>
      <c r="W1181" s="41" t="str">
        <f t="shared" si="114"/>
        <v/>
      </c>
      <c r="X1181" s="41" t="str">
        <f t="shared" si="115"/>
        <v/>
      </c>
    </row>
    <row r="1182" s="32" customFormat="1" hidden="1" customHeight="1" spans="1:24">
      <c r="A1182" s="34"/>
      <c r="B1182" s="51"/>
      <c r="C1182" s="51"/>
      <c r="D1182" s="52"/>
      <c r="E1182" s="53"/>
      <c r="F1182" s="54"/>
      <c r="G1182" s="54"/>
      <c r="H1182" s="54"/>
      <c r="I1182" s="66"/>
      <c r="J1182" s="54"/>
      <c r="K1182" s="54"/>
      <c r="L1182" s="54"/>
      <c r="M1182" s="97" t="str">
        <f t="shared" si="112"/>
        <v/>
      </c>
      <c r="N1182" s="70"/>
      <c r="O1182" s="71" t="str">
        <f t="shared" si="116"/>
        <v/>
      </c>
      <c r="P1182" s="66"/>
      <c r="Q1182" s="66"/>
      <c r="R1182" s="54"/>
      <c r="S1182" s="82"/>
      <c r="T1182" s="83" t="str">
        <f t="shared" si="113"/>
        <v/>
      </c>
      <c r="U1182" s="10"/>
      <c r="V1182" s="41">
        <f>IF(AND(Q1182&lt;&gt;"",RIGHT(Q1182,3)&lt;&gt;""),IF(COUNTIF($Q$6:Q1182,Q1182)=1,1,0),0)</f>
        <v>0</v>
      </c>
      <c r="W1182" s="41" t="str">
        <f t="shared" si="114"/>
        <v/>
      </c>
      <c r="X1182" s="41" t="str">
        <f t="shared" si="115"/>
        <v/>
      </c>
    </row>
    <row r="1183" s="32" customFormat="1" hidden="1" customHeight="1" spans="1:24">
      <c r="A1183" s="34"/>
      <c r="B1183" s="51"/>
      <c r="C1183" s="51"/>
      <c r="D1183" s="52"/>
      <c r="E1183" s="53"/>
      <c r="F1183" s="54"/>
      <c r="G1183" s="54"/>
      <c r="H1183" s="54"/>
      <c r="I1183" s="66"/>
      <c r="J1183" s="54"/>
      <c r="K1183" s="54"/>
      <c r="L1183" s="54"/>
      <c r="M1183" s="97" t="str">
        <f t="shared" si="112"/>
        <v/>
      </c>
      <c r="N1183" s="70"/>
      <c r="O1183" s="71" t="str">
        <f t="shared" si="116"/>
        <v/>
      </c>
      <c r="P1183" s="66"/>
      <c r="Q1183" s="66"/>
      <c r="R1183" s="54"/>
      <c r="S1183" s="82"/>
      <c r="T1183" s="83" t="str">
        <f t="shared" si="113"/>
        <v/>
      </c>
      <c r="U1183" s="10"/>
      <c r="V1183" s="41">
        <f>IF(AND(Q1183&lt;&gt;"",RIGHT(Q1183,3)&lt;&gt;""),IF(COUNTIF($Q$6:Q1183,Q1183)=1,1,0),0)</f>
        <v>0</v>
      </c>
      <c r="W1183" s="41" t="str">
        <f t="shared" si="114"/>
        <v/>
      </c>
      <c r="X1183" s="41" t="str">
        <f t="shared" si="115"/>
        <v/>
      </c>
    </row>
    <row r="1184" s="32" customFormat="1" hidden="1" customHeight="1" spans="1:24">
      <c r="A1184" s="34"/>
      <c r="B1184" s="51"/>
      <c r="C1184" s="51"/>
      <c r="D1184" s="52"/>
      <c r="E1184" s="53"/>
      <c r="F1184" s="54"/>
      <c r="G1184" s="54"/>
      <c r="H1184" s="54"/>
      <c r="I1184" s="66"/>
      <c r="J1184" s="54"/>
      <c r="K1184" s="54"/>
      <c r="L1184" s="54"/>
      <c r="M1184" s="97" t="str">
        <f t="shared" si="112"/>
        <v/>
      </c>
      <c r="N1184" s="70"/>
      <c r="O1184" s="71" t="str">
        <f t="shared" si="116"/>
        <v/>
      </c>
      <c r="P1184" s="66"/>
      <c r="Q1184" s="66"/>
      <c r="R1184" s="54"/>
      <c r="S1184" s="82"/>
      <c r="T1184" s="83" t="str">
        <f t="shared" si="113"/>
        <v/>
      </c>
      <c r="U1184" s="10"/>
      <c r="V1184" s="41">
        <f>IF(AND(Q1184&lt;&gt;"",RIGHT(Q1184,3)&lt;&gt;""),IF(COUNTIF($Q$6:Q1184,Q1184)=1,1,0),0)</f>
        <v>0</v>
      </c>
      <c r="W1184" s="41" t="str">
        <f t="shared" si="114"/>
        <v/>
      </c>
      <c r="X1184" s="41" t="str">
        <f t="shared" si="115"/>
        <v/>
      </c>
    </row>
    <row r="1185" s="32" customFormat="1" hidden="1" customHeight="1" spans="1:24">
      <c r="A1185" s="34"/>
      <c r="B1185" s="51"/>
      <c r="C1185" s="51"/>
      <c r="D1185" s="52"/>
      <c r="E1185" s="53"/>
      <c r="F1185" s="54"/>
      <c r="G1185" s="54"/>
      <c r="H1185" s="54"/>
      <c r="I1185" s="66"/>
      <c r="J1185" s="54"/>
      <c r="K1185" s="54"/>
      <c r="L1185" s="54"/>
      <c r="M1185" s="97" t="str">
        <f t="shared" si="112"/>
        <v/>
      </c>
      <c r="N1185" s="70"/>
      <c r="O1185" s="71" t="str">
        <f t="shared" si="116"/>
        <v/>
      </c>
      <c r="P1185" s="66"/>
      <c r="Q1185" s="66"/>
      <c r="R1185" s="54"/>
      <c r="S1185" s="82"/>
      <c r="T1185" s="83" t="str">
        <f t="shared" si="113"/>
        <v/>
      </c>
      <c r="U1185" s="10"/>
      <c r="V1185" s="41">
        <f>IF(AND(Q1185&lt;&gt;"",RIGHT(Q1185,3)&lt;&gt;""),IF(COUNTIF($Q$6:Q1185,Q1185)=1,1,0),0)</f>
        <v>0</v>
      </c>
      <c r="W1185" s="41" t="str">
        <f t="shared" si="114"/>
        <v/>
      </c>
      <c r="X1185" s="41" t="str">
        <f t="shared" si="115"/>
        <v/>
      </c>
    </row>
    <row r="1186" s="32" customFormat="1" hidden="1" customHeight="1" spans="1:24">
      <c r="A1186" s="34"/>
      <c r="B1186" s="51"/>
      <c r="C1186" s="51"/>
      <c r="D1186" s="52"/>
      <c r="E1186" s="53"/>
      <c r="F1186" s="54"/>
      <c r="G1186" s="54"/>
      <c r="H1186" s="54"/>
      <c r="I1186" s="66"/>
      <c r="J1186" s="54"/>
      <c r="K1186" s="54"/>
      <c r="L1186" s="54"/>
      <c r="M1186" s="97" t="str">
        <f t="shared" si="112"/>
        <v/>
      </c>
      <c r="N1186" s="70"/>
      <c r="O1186" s="71" t="str">
        <f t="shared" si="116"/>
        <v/>
      </c>
      <c r="P1186" s="66"/>
      <c r="Q1186" s="66"/>
      <c r="R1186" s="54"/>
      <c r="S1186" s="82"/>
      <c r="T1186" s="83" t="str">
        <f t="shared" si="113"/>
        <v/>
      </c>
      <c r="U1186" s="10"/>
      <c r="V1186" s="41">
        <f>IF(AND(Q1186&lt;&gt;"",RIGHT(Q1186,3)&lt;&gt;""),IF(COUNTIF($Q$6:Q1186,Q1186)=1,1,0),0)</f>
        <v>0</v>
      </c>
      <c r="W1186" s="41" t="str">
        <f t="shared" si="114"/>
        <v/>
      </c>
      <c r="X1186" s="41" t="str">
        <f t="shared" si="115"/>
        <v/>
      </c>
    </row>
    <row r="1187" s="32" customFormat="1" hidden="1" customHeight="1" spans="1:24">
      <c r="A1187" s="34"/>
      <c r="B1187" s="51"/>
      <c r="C1187" s="51"/>
      <c r="D1187" s="52"/>
      <c r="E1187" s="53"/>
      <c r="F1187" s="54"/>
      <c r="G1187" s="54"/>
      <c r="H1187" s="54"/>
      <c r="I1187" s="66"/>
      <c r="J1187" s="54"/>
      <c r="K1187" s="54"/>
      <c r="L1187" s="54"/>
      <c r="M1187" s="97" t="str">
        <f t="shared" si="112"/>
        <v/>
      </c>
      <c r="N1187" s="70"/>
      <c r="O1187" s="71" t="str">
        <f t="shared" si="116"/>
        <v/>
      </c>
      <c r="P1187" s="66"/>
      <c r="Q1187" s="66"/>
      <c r="R1187" s="54"/>
      <c r="S1187" s="82"/>
      <c r="T1187" s="83" t="str">
        <f t="shared" si="113"/>
        <v/>
      </c>
      <c r="U1187" s="10"/>
      <c r="V1187" s="41">
        <f>IF(AND(Q1187&lt;&gt;"",RIGHT(Q1187,3)&lt;&gt;""),IF(COUNTIF($Q$6:Q1187,Q1187)=1,1,0),0)</f>
        <v>0</v>
      </c>
      <c r="W1187" s="41" t="str">
        <f t="shared" si="114"/>
        <v/>
      </c>
      <c r="X1187" s="41" t="str">
        <f t="shared" si="115"/>
        <v/>
      </c>
    </row>
    <row r="1188" s="32" customFormat="1" hidden="1" customHeight="1" spans="1:24">
      <c r="A1188" s="34"/>
      <c r="B1188" s="51"/>
      <c r="C1188" s="51"/>
      <c r="D1188" s="52"/>
      <c r="E1188" s="53"/>
      <c r="F1188" s="54"/>
      <c r="G1188" s="54"/>
      <c r="H1188" s="54"/>
      <c r="I1188" s="66"/>
      <c r="J1188" s="54"/>
      <c r="K1188" s="54"/>
      <c r="L1188" s="54"/>
      <c r="M1188" s="97" t="str">
        <f t="shared" ref="M1188:M1251" si="117">IF(L1188="","",HYPERLINK(_xlfn.CONCAT($L$4,L1188,".jpg"),"Open File"))</f>
        <v/>
      </c>
      <c r="N1188" s="70"/>
      <c r="O1188" s="71" t="str">
        <f t="shared" si="116"/>
        <v/>
      </c>
      <c r="P1188" s="66"/>
      <c r="Q1188" s="66"/>
      <c r="R1188" s="54"/>
      <c r="S1188" s="82"/>
      <c r="T1188" s="83" t="str">
        <f t="shared" ref="T1188:T1251" si="118">IF(S1188="","",HYPERLINK(_xlfn.CONCAT($S$4,S1188,".jpg"),"Open File"))</f>
        <v/>
      </c>
      <c r="U1188" s="10"/>
      <c r="V1188" s="41">
        <f>IF(AND(Q1188&lt;&gt;"",RIGHT(Q1188,3)&lt;&gt;""),IF(COUNTIF($Q$6:Q1188,Q1188)=1,1,0),0)</f>
        <v>0</v>
      </c>
      <c r="W1188" s="41" t="str">
        <f t="shared" ref="W1188:W1251" si="119">IF(AND(J1188&lt;&gt;"",K1188&lt;&gt;""),_xlfn.CONCAT(SUBSTITUTE(J1188,"/","."),"-",K1188),"")</f>
        <v/>
      </c>
      <c r="X1188" s="41" t="str">
        <f t="shared" ref="X1188:X1251" si="120">IF(AND(Q1188&lt;&gt;"",R1188&lt;&gt;""),_xlfn.CONCAT(SUBSTITUTE(Q1188,"/","."),"-",R1188),"")</f>
        <v/>
      </c>
    </row>
    <row r="1189" s="32" customFormat="1" hidden="1" customHeight="1" spans="1:24">
      <c r="A1189" s="34"/>
      <c r="B1189" s="51"/>
      <c r="C1189" s="51"/>
      <c r="D1189" s="52"/>
      <c r="E1189" s="53"/>
      <c r="F1189" s="54"/>
      <c r="G1189" s="54"/>
      <c r="H1189" s="54"/>
      <c r="I1189" s="66"/>
      <c r="J1189" s="54"/>
      <c r="K1189" s="54"/>
      <c r="L1189" s="54"/>
      <c r="M1189" s="97" t="str">
        <f t="shared" si="117"/>
        <v/>
      </c>
      <c r="N1189" s="70"/>
      <c r="O1189" s="71" t="str">
        <f t="shared" si="116"/>
        <v/>
      </c>
      <c r="P1189" s="66"/>
      <c r="Q1189" s="66"/>
      <c r="R1189" s="54"/>
      <c r="S1189" s="82"/>
      <c r="T1189" s="83" t="str">
        <f t="shared" si="118"/>
        <v/>
      </c>
      <c r="U1189" s="10"/>
      <c r="V1189" s="41">
        <f>IF(AND(Q1189&lt;&gt;"",RIGHT(Q1189,3)&lt;&gt;""),IF(COUNTIF($Q$6:Q1189,Q1189)=1,1,0),0)</f>
        <v>0</v>
      </c>
      <c r="W1189" s="41" t="str">
        <f t="shared" si="119"/>
        <v/>
      </c>
      <c r="X1189" s="41" t="str">
        <f t="shared" si="120"/>
        <v/>
      </c>
    </row>
    <row r="1190" s="32" customFormat="1" hidden="1" customHeight="1" spans="1:24">
      <c r="A1190" s="34"/>
      <c r="B1190" s="51"/>
      <c r="C1190" s="51"/>
      <c r="D1190" s="52"/>
      <c r="E1190" s="53"/>
      <c r="F1190" s="54"/>
      <c r="G1190" s="54"/>
      <c r="H1190" s="54"/>
      <c r="I1190" s="66"/>
      <c r="J1190" s="54"/>
      <c r="K1190" s="54"/>
      <c r="L1190" s="54"/>
      <c r="M1190" s="97" t="str">
        <f t="shared" si="117"/>
        <v/>
      </c>
      <c r="N1190" s="70"/>
      <c r="O1190" s="71" t="str">
        <f t="shared" si="116"/>
        <v/>
      </c>
      <c r="P1190" s="66"/>
      <c r="Q1190" s="66"/>
      <c r="R1190" s="54"/>
      <c r="S1190" s="82"/>
      <c r="T1190" s="83" t="str">
        <f t="shared" si="118"/>
        <v/>
      </c>
      <c r="U1190" s="10"/>
      <c r="V1190" s="41">
        <f>IF(AND(Q1190&lt;&gt;"",RIGHT(Q1190,3)&lt;&gt;""),IF(COUNTIF($Q$6:Q1190,Q1190)=1,1,0),0)</f>
        <v>0</v>
      </c>
      <c r="W1190" s="41" t="str">
        <f t="shared" si="119"/>
        <v/>
      </c>
      <c r="X1190" s="41" t="str">
        <f t="shared" si="120"/>
        <v/>
      </c>
    </row>
    <row r="1191" s="32" customFormat="1" hidden="1" customHeight="1" spans="1:24">
      <c r="A1191" s="34"/>
      <c r="B1191" s="51"/>
      <c r="C1191" s="51"/>
      <c r="D1191" s="52"/>
      <c r="E1191" s="53"/>
      <c r="F1191" s="54"/>
      <c r="G1191" s="54"/>
      <c r="H1191" s="54"/>
      <c r="I1191" s="66"/>
      <c r="J1191" s="54"/>
      <c r="K1191" s="54"/>
      <c r="L1191" s="54"/>
      <c r="M1191" s="97" t="str">
        <f t="shared" si="117"/>
        <v/>
      </c>
      <c r="N1191" s="70"/>
      <c r="O1191" s="71" t="str">
        <f t="shared" si="116"/>
        <v/>
      </c>
      <c r="P1191" s="66"/>
      <c r="Q1191" s="66"/>
      <c r="R1191" s="54"/>
      <c r="S1191" s="82"/>
      <c r="T1191" s="83" t="str">
        <f t="shared" si="118"/>
        <v/>
      </c>
      <c r="U1191" s="10"/>
      <c r="V1191" s="41">
        <f>IF(AND(Q1191&lt;&gt;"",RIGHT(Q1191,3)&lt;&gt;""),IF(COUNTIF($Q$6:Q1191,Q1191)=1,1,0),0)</f>
        <v>0</v>
      </c>
      <c r="W1191" s="41" t="str">
        <f t="shared" si="119"/>
        <v/>
      </c>
      <c r="X1191" s="41" t="str">
        <f t="shared" si="120"/>
        <v/>
      </c>
    </row>
    <row r="1192" s="32" customFormat="1" hidden="1" customHeight="1" spans="1:24">
      <c r="A1192" s="34"/>
      <c r="B1192" s="51"/>
      <c r="C1192" s="51"/>
      <c r="D1192" s="52"/>
      <c r="E1192" s="53"/>
      <c r="F1192" s="54"/>
      <c r="G1192" s="54"/>
      <c r="H1192" s="54"/>
      <c r="I1192" s="66"/>
      <c r="J1192" s="54"/>
      <c r="K1192" s="54"/>
      <c r="L1192" s="54"/>
      <c r="M1192" s="97" t="str">
        <f t="shared" si="117"/>
        <v/>
      </c>
      <c r="N1192" s="70"/>
      <c r="O1192" s="71" t="str">
        <f t="shared" si="116"/>
        <v/>
      </c>
      <c r="P1192" s="66"/>
      <c r="Q1192" s="66"/>
      <c r="R1192" s="54"/>
      <c r="S1192" s="82"/>
      <c r="T1192" s="83" t="str">
        <f t="shared" si="118"/>
        <v/>
      </c>
      <c r="U1192" s="10"/>
      <c r="V1192" s="41">
        <f>IF(AND(Q1192&lt;&gt;"",RIGHT(Q1192,3)&lt;&gt;""),IF(COUNTIF($Q$6:Q1192,Q1192)=1,1,0),0)</f>
        <v>0</v>
      </c>
      <c r="W1192" s="41" t="str">
        <f t="shared" si="119"/>
        <v/>
      </c>
      <c r="X1192" s="41" t="str">
        <f t="shared" si="120"/>
        <v/>
      </c>
    </row>
    <row r="1193" s="32" customFormat="1" hidden="1" customHeight="1" spans="1:24">
      <c r="A1193" s="34"/>
      <c r="B1193" s="51"/>
      <c r="C1193" s="51"/>
      <c r="D1193" s="52"/>
      <c r="E1193" s="53"/>
      <c r="F1193" s="54"/>
      <c r="G1193" s="54"/>
      <c r="H1193" s="54"/>
      <c r="I1193" s="66"/>
      <c r="J1193" s="54"/>
      <c r="K1193" s="54"/>
      <c r="L1193" s="54"/>
      <c r="M1193" s="97" t="str">
        <f t="shared" si="117"/>
        <v/>
      </c>
      <c r="N1193" s="70"/>
      <c r="O1193" s="71" t="str">
        <f t="shared" si="116"/>
        <v/>
      </c>
      <c r="P1193" s="66"/>
      <c r="Q1193" s="66"/>
      <c r="R1193" s="54"/>
      <c r="S1193" s="82"/>
      <c r="T1193" s="83" t="str">
        <f t="shared" si="118"/>
        <v/>
      </c>
      <c r="U1193" s="10"/>
      <c r="V1193" s="41">
        <f>IF(AND(Q1193&lt;&gt;"",RIGHT(Q1193,3)&lt;&gt;""),IF(COUNTIF($Q$6:Q1193,Q1193)=1,1,0),0)</f>
        <v>0</v>
      </c>
      <c r="W1193" s="41" t="str">
        <f t="shared" si="119"/>
        <v/>
      </c>
      <c r="X1193" s="41" t="str">
        <f t="shared" si="120"/>
        <v/>
      </c>
    </row>
    <row r="1194" s="32" customFormat="1" hidden="1" customHeight="1" spans="1:24">
      <c r="A1194" s="34"/>
      <c r="B1194" s="51"/>
      <c r="C1194" s="51"/>
      <c r="D1194" s="52"/>
      <c r="E1194" s="53"/>
      <c r="F1194" s="54"/>
      <c r="G1194" s="54"/>
      <c r="H1194" s="54"/>
      <c r="I1194" s="66"/>
      <c r="J1194" s="54"/>
      <c r="K1194" s="54"/>
      <c r="L1194" s="54"/>
      <c r="M1194" s="97" t="str">
        <f t="shared" si="117"/>
        <v/>
      </c>
      <c r="N1194" s="70"/>
      <c r="O1194" s="71" t="str">
        <f t="shared" si="116"/>
        <v/>
      </c>
      <c r="P1194" s="66"/>
      <c r="Q1194" s="66"/>
      <c r="R1194" s="54"/>
      <c r="S1194" s="82"/>
      <c r="T1194" s="83" t="str">
        <f t="shared" si="118"/>
        <v/>
      </c>
      <c r="U1194" s="10"/>
      <c r="V1194" s="41">
        <f>IF(AND(Q1194&lt;&gt;"",RIGHT(Q1194,3)&lt;&gt;""),IF(COUNTIF($Q$6:Q1194,Q1194)=1,1,0),0)</f>
        <v>0</v>
      </c>
      <c r="W1194" s="41" t="str">
        <f t="shared" si="119"/>
        <v/>
      </c>
      <c r="X1194" s="41" t="str">
        <f t="shared" si="120"/>
        <v/>
      </c>
    </row>
    <row r="1195" s="32" customFormat="1" hidden="1" customHeight="1" spans="1:24">
      <c r="A1195" s="34"/>
      <c r="B1195" s="51"/>
      <c r="C1195" s="51"/>
      <c r="D1195" s="52"/>
      <c r="E1195" s="53"/>
      <c r="F1195" s="54"/>
      <c r="G1195" s="54"/>
      <c r="H1195" s="54"/>
      <c r="I1195" s="66"/>
      <c r="J1195" s="54"/>
      <c r="K1195" s="54"/>
      <c r="L1195" s="54"/>
      <c r="M1195" s="97" t="str">
        <f t="shared" si="117"/>
        <v/>
      </c>
      <c r="N1195" s="70"/>
      <c r="O1195" s="71" t="str">
        <f t="shared" si="116"/>
        <v/>
      </c>
      <c r="P1195" s="66"/>
      <c r="Q1195" s="66"/>
      <c r="R1195" s="54"/>
      <c r="S1195" s="82"/>
      <c r="T1195" s="83" t="str">
        <f t="shared" si="118"/>
        <v/>
      </c>
      <c r="U1195" s="10"/>
      <c r="V1195" s="41">
        <f>IF(AND(Q1195&lt;&gt;"",RIGHT(Q1195,3)&lt;&gt;""),IF(COUNTIF($Q$6:Q1195,Q1195)=1,1,0),0)</f>
        <v>0</v>
      </c>
      <c r="W1195" s="41" t="str">
        <f t="shared" si="119"/>
        <v/>
      </c>
      <c r="X1195" s="41" t="str">
        <f t="shared" si="120"/>
        <v/>
      </c>
    </row>
    <row r="1196" s="32" customFormat="1" hidden="1" customHeight="1" spans="1:24">
      <c r="A1196" s="34"/>
      <c r="B1196" s="51"/>
      <c r="C1196" s="51"/>
      <c r="D1196" s="52"/>
      <c r="E1196" s="53"/>
      <c r="F1196" s="54"/>
      <c r="G1196" s="54"/>
      <c r="H1196" s="54"/>
      <c r="I1196" s="66"/>
      <c r="J1196" s="54"/>
      <c r="K1196" s="54"/>
      <c r="L1196" s="54"/>
      <c r="M1196" s="97" t="str">
        <f t="shared" si="117"/>
        <v/>
      </c>
      <c r="N1196" s="70"/>
      <c r="O1196" s="71" t="str">
        <f t="shared" si="116"/>
        <v/>
      </c>
      <c r="P1196" s="66"/>
      <c r="Q1196" s="66"/>
      <c r="R1196" s="54"/>
      <c r="S1196" s="82"/>
      <c r="T1196" s="83" t="str">
        <f t="shared" si="118"/>
        <v/>
      </c>
      <c r="U1196" s="10"/>
      <c r="V1196" s="41">
        <f>IF(AND(Q1196&lt;&gt;"",RIGHT(Q1196,3)&lt;&gt;""),IF(COUNTIF($Q$6:Q1196,Q1196)=1,1,0),0)</f>
        <v>0</v>
      </c>
      <c r="W1196" s="41" t="str">
        <f t="shared" si="119"/>
        <v/>
      </c>
      <c r="X1196" s="41" t="str">
        <f t="shared" si="120"/>
        <v/>
      </c>
    </row>
    <row r="1197" s="32" customFormat="1" hidden="1" customHeight="1" spans="1:24">
      <c r="A1197" s="34"/>
      <c r="B1197" s="51"/>
      <c r="C1197" s="51"/>
      <c r="D1197" s="52"/>
      <c r="E1197" s="53"/>
      <c r="F1197" s="54"/>
      <c r="G1197" s="54"/>
      <c r="H1197" s="54"/>
      <c r="I1197" s="66"/>
      <c r="J1197" s="54"/>
      <c r="K1197" s="54"/>
      <c r="L1197" s="54"/>
      <c r="M1197" s="97" t="str">
        <f t="shared" si="117"/>
        <v/>
      </c>
      <c r="N1197" s="70"/>
      <c r="O1197" s="71" t="str">
        <f t="shared" si="116"/>
        <v/>
      </c>
      <c r="P1197" s="66"/>
      <c r="Q1197" s="66"/>
      <c r="R1197" s="54"/>
      <c r="S1197" s="82"/>
      <c r="T1197" s="83" t="str">
        <f t="shared" si="118"/>
        <v/>
      </c>
      <c r="U1197" s="10"/>
      <c r="V1197" s="41">
        <f>IF(AND(Q1197&lt;&gt;"",RIGHT(Q1197,3)&lt;&gt;""),IF(COUNTIF($Q$6:Q1197,Q1197)=1,1,0),0)</f>
        <v>0</v>
      </c>
      <c r="W1197" s="41" t="str">
        <f t="shared" si="119"/>
        <v/>
      </c>
      <c r="X1197" s="41" t="str">
        <f t="shared" si="120"/>
        <v/>
      </c>
    </row>
    <row r="1198" s="32" customFormat="1" hidden="1" customHeight="1" spans="1:24">
      <c r="A1198" s="34"/>
      <c r="B1198" s="51"/>
      <c r="C1198" s="51"/>
      <c r="D1198" s="52"/>
      <c r="E1198" s="53"/>
      <c r="F1198" s="54"/>
      <c r="G1198" s="54"/>
      <c r="H1198" s="54"/>
      <c r="I1198" s="66"/>
      <c r="J1198" s="54"/>
      <c r="K1198" s="54"/>
      <c r="L1198" s="54"/>
      <c r="M1198" s="97" t="str">
        <f t="shared" si="117"/>
        <v/>
      </c>
      <c r="N1198" s="70"/>
      <c r="O1198" s="71" t="str">
        <f t="shared" si="116"/>
        <v/>
      </c>
      <c r="P1198" s="66"/>
      <c r="Q1198" s="66"/>
      <c r="R1198" s="54"/>
      <c r="S1198" s="82"/>
      <c r="T1198" s="83" t="str">
        <f t="shared" si="118"/>
        <v/>
      </c>
      <c r="U1198" s="10"/>
      <c r="V1198" s="41">
        <f>IF(AND(Q1198&lt;&gt;"",RIGHT(Q1198,3)&lt;&gt;""),IF(COUNTIF($Q$6:Q1198,Q1198)=1,1,0),0)</f>
        <v>0</v>
      </c>
      <c r="W1198" s="41" t="str">
        <f t="shared" si="119"/>
        <v/>
      </c>
      <c r="X1198" s="41" t="str">
        <f t="shared" si="120"/>
        <v/>
      </c>
    </row>
    <row r="1199" s="32" customFormat="1" hidden="1" customHeight="1" spans="1:24">
      <c r="A1199" s="34"/>
      <c r="B1199" s="51"/>
      <c r="C1199" s="51"/>
      <c r="D1199" s="52"/>
      <c r="E1199" s="53"/>
      <c r="F1199" s="54"/>
      <c r="G1199" s="54"/>
      <c r="H1199" s="54"/>
      <c r="I1199" s="66"/>
      <c r="J1199" s="54"/>
      <c r="K1199" s="54"/>
      <c r="L1199" s="54"/>
      <c r="M1199" s="97" t="str">
        <f t="shared" si="117"/>
        <v/>
      </c>
      <c r="N1199" s="70"/>
      <c r="O1199" s="71" t="str">
        <f t="shared" si="116"/>
        <v/>
      </c>
      <c r="P1199" s="66"/>
      <c r="Q1199" s="66"/>
      <c r="R1199" s="54"/>
      <c r="S1199" s="82"/>
      <c r="T1199" s="83" t="str">
        <f t="shared" si="118"/>
        <v/>
      </c>
      <c r="U1199" s="10"/>
      <c r="V1199" s="41">
        <f>IF(AND(Q1199&lt;&gt;"",RIGHT(Q1199,3)&lt;&gt;""),IF(COUNTIF($Q$6:Q1199,Q1199)=1,1,0),0)</f>
        <v>0</v>
      </c>
      <c r="W1199" s="41" t="str">
        <f t="shared" si="119"/>
        <v/>
      </c>
      <c r="X1199" s="41" t="str">
        <f t="shared" si="120"/>
        <v/>
      </c>
    </row>
    <row r="1200" s="32" customFormat="1" hidden="1" customHeight="1" spans="1:24">
      <c r="A1200" s="34"/>
      <c r="B1200" s="51"/>
      <c r="C1200" s="51"/>
      <c r="D1200" s="52"/>
      <c r="E1200" s="53"/>
      <c r="F1200" s="54"/>
      <c r="G1200" s="54"/>
      <c r="H1200" s="54"/>
      <c r="I1200" s="66"/>
      <c r="J1200" s="54"/>
      <c r="K1200" s="54"/>
      <c r="L1200" s="54"/>
      <c r="M1200" s="97" t="str">
        <f t="shared" si="117"/>
        <v/>
      </c>
      <c r="N1200" s="70"/>
      <c r="O1200" s="71" t="str">
        <f t="shared" si="116"/>
        <v/>
      </c>
      <c r="P1200" s="66"/>
      <c r="Q1200" s="66"/>
      <c r="R1200" s="54"/>
      <c r="S1200" s="82"/>
      <c r="T1200" s="83" t="str">
        <f t="shared" si="118"/>
        <v/>
      </c>
      <c r="U1200" s="10"/>
      <c r="V1200" s="41">
        <f>IF(AND(Q1200&lt;&gt;"",RIGHT(Q1200,3)&lt;&gt;""),IF(COUNTIF($Q$6:Q1200,Q1200)=1,1,0),0)</f>
        <v>0</v>
      </c>
      <c r="W1200" s="41" t="str">
        <f t="shared" si="119"/>
        <v/>
      </c>
      <c r="X1200" s="41" t="str">
        <f t="shared" si="120"/>
        <v/>
      </c>
    </row>
    <row r="1201" s="32" customFormat="1" hidden="1" customHeight="1" spans="1:24">
      <c r="A1201" s="34"/>
      <c r="B1201" s="51"/>
      <c r="C1201" s="51"/>
      <c r="D1201" s="52"/>
      <c r="E1201" s="53"/>
      <c r="F1201" s="54"/>
      <c r="G1201" s="54"/>
      <c r="H1201" s="54"/>
      <c r="I1201" s="66"/>
      <c r="J1201" s="54"/>
      <c r="K1201" s="54"/>
      <c r="L1201" s="54"/>
      <c r="M1201" s="97" t="str">
        <f t="shared" si="117"/>
        <v/>
      </c>
      <c r="N1201" s="70"/>
      <c r="O1201" s="71" t="str">
        <f t="shared" ref="O1201:O1264" si="121">IF(AND(Q1201&lt;&gt;"",T1201&lt;&gt;""),"PASSIVE",IF(AND(J1201&lt;&gt;"",M1201&lt;&gt;""),"ACTIVE",""))</f>
        <v/>
      </c>
      <c r="P1201" s="66"/>
      <c r="Q1201" s="66"/>
      <c r="R1201" s="54"/>
      <c r="S1201" s="82"/>
      <c r="T1201" s="83" t="str">
        <f t="shared" si="118"/>
        <v/>
      </c>
      <c r="U1201" s="10"/>
      <c r="V1201" s="41">
        <f>IF(AND(Q1201&lt;&gt;"",RIGHT(Q1201,3)&lt;&gt;""),IF(COUNTIF($Q$6:Q1201,Q1201)=1,1,0),0)</f>
        <v>0</v>
      </c>
      <c r="W1201" s="41" t="str">
        <f t="shared" si="119"/>
        <v/>
      </c>
      <c r="X1201" s="41" t="str">
        <f t="shared" si="120"/>
        <v/>
      </c>
    </row>
    <row r="1202" s="32" customFormat="1" hidden="1" customHeight="1" spans="1:24">
      <c r="A1202" s="34"/>
      <c r="B1202" s="51"/>
      <c r="C1202" s="51"/>
      <c r="D1202" s="52"/>
      <c r="E1202" s="53"/>
      <c r="F1202" s="54"/>
      <c r="G1202" s="54"/>
      <c r="H1202" s="54"/>
      <c r="I1202" s="66"/>
      <c r="J1202" s="54"/>
      <c r="K1202" s="54"/>
      <c r="L1202" s="54"/>
      <c r="M1202" s="97" t="str">
        <f t="shared" si="117"/>
        <v/>
      </c>
      <c r="N1202" s="70"/>
      <c r="O1202" s="71" t="str">
        <f t="shared" si="121"/>
        <v/>
      </c>
      <c r="P1202" s="66"/>
      <c r="Q1202" s="66"/>
      <c r="R1202" s="54"/>
      <c r="S1202" s="82"/>
      <c r="T1202" s="83" t="str">
        <f t="shared" si="118"/>
        <v/>
      </c>
      <c r="U1202" s="10"/>
      <c r="V1202" s="41">
        <f>IF(AND(Q1202&lt;&gt;"",RIGHT(Q1202,3)&lt;&gt;""),IF(COUNTIF($Q$6:Q1202,Q1202)=1,1,0),0)</f>
        <v>0</v>
      </c>
      <c r="W1202" s="41" t="str">
        <f t="shared" si="119"/>
        <v/>
      </c>
      <c r="X1202" s="41" t="str">
        <f t="shared" si="120"/>
        <v/>
      </c>
    </row>
    <row r="1203" s="32" customFormat="1" hidden="1" customHeight="1" spans="1:24">
      <c r="A1203" s="34"/>
      <c r="B1203" s="51"/>
      <c r="C1203" s="51"/>
      <c r="D1203" s="52"/>
      <c r="E1203" s="53"/>
      <c r="F1203" s="54"/>
      <c r="G1203" s="54"/>
      <c r="H1203" s="54"/>
      <c r="I1203" s="66"/>
      <c r="J1203" s="54"/>
      <c r="K1203" s="54"/>
      <c r="L1203" s="54"/>
      <c r="M1203" s="97" t="str">
        <f t="shared" si="117"/>
        <v/>
      </c>
      <c r="N1203" s="70"/>
      <c r="O1203" s="71" t="str">
        <f t="shared" si="121"/>
        <v/>
      </c>
      <c r="P1203" s="66"/>
      <c r="Q1203" s="66"/>
      <c r="R1203" s="54"/>
      <c r="S1203" s="82"/>
      <c r="T1203" s="83" t="str">
        <f t="shared" si="118"/>
        <v/>
      </c>
      <c r="U1203" s="10"/>
      <c r="V1203" s="41">
        <f>IF(AND(Q1203&lt;&gt;"",RIGHT(Q1203,3)&lt;&gt;""),IF(COUNTIF($Q$6:Q1203,Q1203)=1,1,0),0)</f>
        <v>0</v>
      </c>
      <c r="W1203" s="41" t="str">
        <f t="shared" si="119"/>
        <v/>
      </c>
      <c r="X1203" s="41" t="str">
        <f t="shared" si="120"/>
        <v/>
      </c>
    </row>
    <row r="1204" s="32" customFormat="1" hidden="1" customHeight="1" spans="1:24">
      <c r="A1204" s="34"/>
      <c r="B1204" s="51"/>
      <c r="C1204" s="51"/>
      <c r="D1204" s="52"/>
      <c r="E1204" s="53"/>
      <c r="F1204" s="54"/>
      <c r="G1204" s="54"/>
      <c r="H1204" s="54"/>
      <c r="I1204" s="66"/>
      <c r="J1204" s="54"/>
      <c r="K1204" s="54"/>
      <c r="L1204" s="54"/>
      <c r="M1204" s="97" t="str">
        <f t="shared" si="117"/>
        <v/>
      </c>
      <c r="N1204" s="70"/>
      <c r="O1204" s="71" t="str">
        <f t="shared" si="121"/>
        <v/>
      </c>
      <c r="P1204" s="66"/>
      <c r="Q1204" s="66"/>
      <c r="R1204" s="54"/>
      <c r="S1204" s="82"/>
      <c r="T1204" s="83" t="str">
        <f t="shared" si="118"/>
        <v/>
      </c>
      <c r="U1204" s="10"/>
      <c r="V1204" s="41">
        <f>IF(AND(Q1204&lt;&gt;"",RIGHT(Q1204,3)&lt;&gt;""),IF(COUNTIF($Q$6:Q1204,Q1204)=1,1,0),0)</f>
        <v>0</v>
      </c>
      <c r="W1204" s="41" t="str">
        <f t="shared" si="119"/>
        <v/>
      </c>
      <c r="X1204" s="41" t="str">
        <f t="shared" si="120"/>
        <v/>
      </c>
    </row>
    <row r="1205" s="32" customFormat="1" hidden="1" customHeight="1" spans="1:24">
      <c r="A1205" s="34"/>
      <c r="B1205" s="51"/>
      <c r="C1205" s="51"/>
      <c r="D1205" s="52"/>
      <c r="E1205" s="53"/>
      <c r="F1205" s="54"/>
      <c r="G1205" s="54"/>
      <c r="H1205" s="54"/>
      <c r="I1205" s="66"/>
      <c r="J1205" s="54"/>
      <c r="K1205" s="54"/>
      <c r="L1205" s="54"/>
      <c r="M1205" s="97" t="str">
        <f t="shared" si="117"/>
        <v/>
      </c>
      <c r="N1205" s="70"/>
      <c r="O1205" s="71" t="str">
        <f t="shared" si="121"/>
        <v/>
      </c>
      <c r="P1205" s="66"/>
      <c r="Q1205" s="66"/>
      <c r="R1205" s="54"/>
      <c r="S1205" s="82"/>
      <c r="T1205" s="83" t="str">
        <f t="shared" si="118"/>
        <v/>
      </c>
      <c r="U1205" s="10"/>
      <c r="V1205" s="41">
        <f>IF(AND(Q1205&lt;&gt;"",RIGHT(Q1205,3)&lt;&gt;""),IF(COUNTIF($Q$6:Q1205,Q1205)=1,1,0),0)</f>
        <v>0</v>
      </c>
      <c r="W1205" s="41" t="str">
        <f t="shared" si="119"/>
        <v/>
      </c>
      <c r="X1205" s="41" t="str">
        <f t="shared" si="120"/>
        <v/>
      </c>
    </row>
    <row r="1206" s="32" customFormat="1" hidden="1" customHeight="1" spans="1:24">
      <c r="A1206" s="34"/>
      <c r="B1206" s="51"/>
      <c r="C1206" s="51"/>
      <c r="D1206" s="52"/>
      <c r="E1206" s="53"/>
      <c r="F1206" s="54"/>
      <c r="G1206" s="54"/>
      <c r="H1206" s="54"/>
      <c r="I1206" s="66"/>
      <c r="J1206" s="54"/>
      <c r="K1206" s="54"/>
      <c r="L1206" s="54"/>
      <c r="M1206" s="97" t="str">
        <f t="shared" si="117"/>
        <v/>
      </c>
      <c r="N1206" s="70"/>
      <c r="O1206" s="71" t="str">
        <f t="shared" si="121"/>
        <v/>
      </c>
      <c r="P1206" s="66"/>
      <c r="Q1206" s="66"/>
      <c r="R1206" s="54"/>
      <c r="S1206" s="82"/>
      <c r="T1206" s="83" t="str">
        <f t="shared" si="118"/>
        <v/>
      </c>
      <c r="U1206" s="10"/>
      <c r="V1206" s="41">
        <f>IF(AND(Q1206&lt;&gt;"",RIGHT(Q1206,3)&lt;&gt;""),IF(COUNTIF($Q$6:Q1206,Q1206)=1,1,0),0)</f>
        <v>0</v>
      </c>
      <c r="W1206" s="41" t="str">
        <f t="shared" si="119"/>
        <v/>
      </c>
      <c r="X1206" s="41" t="str">
        <f t="shared" si="120"/>
        <v/>
      </c>
    </row>
    <row r="1207" s="32" customFormat="1" hidden="1" customHeight="1" spans="1:24">
      <c r="A1207" s="34"/>
      <c r="B1207" s="51"/>
      <c r="C1207" s="51"/>
      <c r="D1207" s="52"/>
      <c r="E1207" s="53"/>
      <c r="F1207" s="54"/>
      <c r="G1207" s="54"/>
      <c r="H1207" s="54"/>
      <c r="I1207" s="66"/>
      <c r="J1207" s="54"/>
      <c r="K1207" s="54"/>
      <c r="L1207" s="54"/>
      <c r="M1207" s="97" t="str">
        <f t="shared" si="117"/>
        <v/>
      </c>
      <c r="N1207" s="70"/>
      <c r="O1207" s="71" t="str">
        <f t="shared" si="121"/>
        <v/>
      </c>
      <c r="P1207" s="66"/>
      <c r="Q1207" s="66"/>
      <c r="R1207" s="54"/>
      <c r="S1207" s="82"/>
      <c r="T1207" s="83" t="str">
        <f t="shared" si="118"/>
        <v/>
      </c>
      <c r="U1207" s="10"/>
      <c r="V1207" s="41">
        <f>IF(AND(Q1207&lt;&gt;"",RIGHT(Q1207,3)&lt;&gt;""),IF(COUNTIF($Q$6:Q1207,Q1207)=1,1,0),0)</f>
        <v>0</v>
      </c>
      <c r="W1207" s="41" t="str">
        <f t="shared" si="119"/>
        <v/>
      </c>
      <c r="X1207" s="41" t="str">
        <f t="shared" si="120"/>
        <v/>
      </c>
    </row>
    <row r="1208" s="32" customFormat="1" hidden="1" customHeight="1" spans="1:24">
      <c r="A1208" s="34"/>
      <c r="B1208" s="51"/>
      <c r="C1208" s="51"/>
      <c r="D1208" s="52"/>
      <c r="E1208" s="53"/>
      <c r="F1208" s="54"/>
      <c r="G1208" s="54"/>
      <c r="H1208" s="54"/>
      <c r="I1208" s="66"/>
      <c r="J1208" s="54"/>
      <c r="K1208" s="54"/>
      <c r="L1208" s="54"/>
      <c r="M1208" s="97" t="str">
        <f t="shared" si="117"/>
        <v/>
      </c>
      <c r="N1208" s="70"/>
      <c r="O1208" s="71" t="str">
        <f t="shared" si="121"/>
        <v/>
      </c>
      <c r="P1208" s="66"/>
      <c r="Q1208" s="66"/>
      <c r="R1208" s="54"/>
      <c r="S1208" s="82"/>
      <c r="T1208" s="83" t="str">
        <f t="shared" si="118"/>
        <v/>
      </c>
      <c r="U1208" s="10"/>
      <c r="V1208" s="41">
        <f>IF(AND(Q1208&lt;&gt;"",RIGHT(Q1208,3)&lt;&gt;""),IF(COUNTIF($Q$6:Q1208,Q1208)=1,1,0),0)</f>
        <v>0</v>
      </c>
      <c r="W1208" s="41" t="str">
        <f t="shared" si="119"/>
        <v/>
      </c>
      <c r="X1208" s="41" t="str">
        <f t="shared" si="120"/>
        <v/>
      </c>
    </row>
    <row r="1209" s="32" customFormat="1" hidden="1" customHeight="1" spans="1:24">
      <c r="A1209" s="34"/>
      <c r="B1209" s="51"/>
      <c r="C1209" s="51"/>
      <c r="D1209" s="52"/>
      <c r="E1209" s="53"/>
      <c r="F1209" s="54"/>
      <c r="G1209" s="54"/>
      <c r="H1209" s="54"/>
      <c r="I1209" s="66"/>
      <c r="J1209" s="54"/>
      <c r="K1209" s="54"/>
      <c r="L1209" s="54"/>
      <c r="M1209" s="97" t="str">
        <f t="shared" si="117"/>
        <v/>
      </c>
      <c r="N1209" s="70"/>
      <c r="O1209" s="71" t="str">
        <f t="shared" si="121"/>
        <v/>
      </c>
      <c r="P1209" s="66"/>
      <c r="Q1209" s="66"/>
      <c r="R1209" s="54"/>
      <c r="S1209" s="82"/>
      <c r="T1209" s="83" t="str">
        <f t="shared" si="118"/>
        <v/>
      </c>
      <c r="U1209" s="10"/>
      <c r="V1209" s="41">
        <f>IF(AND(Q1209&lt;&gt;"",RIGHT(Q1209,3)&lt;&gt;""),IF(COUNTIF($Q$6:Q1209,Q1209)=1,1,0),0)</f>
        <v>0</v>
      </c>
      <c r="W1209" s="41" t="str">
        <f t="shared" si="119"/>
        <v/>
      </c>
      <c r="X1209" s="41" t="str">
        <f t="shared" si="120"/>
        <v/>
      </c>
    </row>
    <row r="1210" s="32" customFormat="1" hidden="1" customHeight="1" spans="1:24">
      <c r="A1210" s="34"/>
      <c r="B1210" s="51"/>
      <c r="C1210" s="51"/>
      <c r="D1210" s="52"/>
      <c r="E1210" s="53"/>
      <c r="F1210" s="54"/>
      <c r="G1210" s="54"/>
      <c r="H1210" s="54"/>
      <c r="I1210" s="66"/>
      <c r="J1210" s="54"/>
      <c r="K1210" s="54"/>
      <c r="L1210" s="54"/>
      <c r="M1210" s="97" t="str">
        <f t="shared" si="117"/>
        <v/>
      </c>
      <c r="N1210" s="70"/>
      <c r="O1210" s="71" t="str">
        <f t="shared" si="121"/>
        <v/>
      </c>
      <c r="P1210" s="66"/>
      <c r="Q1210" s="66"/>
      <c r="R1210" s="54"/>
      <c r="S1210" s="82"/>
      <c r="T1210" s="83" t="str">
        <f t="shared" si="118"/>
        <v/>
      </c>
      <c r="U1210" s="10"/>
      <c r="V1210" s="41">
        <f>IF(AND(Q1210&lt;&gt;"",RIGHT(Q1210,3)&lt;&gt;""),IF(COUNTIF($Q$6:Q1210,Q1210)=1,1,0),0)</f>
        <v>0</v>
      </c>
      <c r="W1210" s="41" t="str">
        <f t="shared" si="119"/>
        <v/>
      </c>
      <c r="X1210" s="41" t="str">
        <f t="shared" si="120"/>
        <v/>
      </c>
    </row>
    <row r="1211" s="32" customFormat="1" hidden="1" customHeight="1" spans="1:24">
      <c r="A1211" s="34"/>
      <c r="B1211" s="51"/>
      <c r="C1211" s="51"/>
      <c r="D1211" s="52"/>
      <c r="E1211" s="53"/>
      <c r="F1211" s="54"/>
      <c r="G1211" s="54"/>
      <c r="H1211" s="54"/>
      <c r="I1211" s="66"/>
      <c r="J1211" s="54"/>
      <c r="K1211" s="54"/>
      <c r="L1211" s="54"/>
      <c r="M1211" s="97" t="str">
        <f t="shared" si="117"/>
        <v/>
      </c>
      <c r="N1211" s="70"/>
      <c r="O1211" s="71" t="str">
        <f t="shared" si="121"/>
        <v/>
      </c>
      <c r="P1211" s="66"/>
      <c r="Q1211" s="66"/>
      <c r="R1211" s="54"/>
      <c r="S1211" s="82"/>
      <c r="T1211" s="83" t="str">
        <f t="shared" si="118"/>
        <v/>
      </c>
      <c r="U1211" s="10"/>
      <c r="V1211" s="41">
        <f>IF(AND(Q1211&lt;&gt;"",RIGHT(Q1211,3)&lt;&gt;""),IF(COUNTIF($Q$6:Q1211,Q1211)=1,1,0),0)</f>
        <v>0</v>
      </c>
      <c r="W1211" s="41" t="str">
        <f t="shared" si="119"/>
        <v/>
      </c>
      <c r="X1211" s="41" t="str">
        <f t="shared" si="120"/>
        <v/>
      </c>
    </row>
    <row r="1212" s="32" customFormat="1" hidden="1" customHeight="1" spans="1:24">
      <c r="A1212" s="34"/>
      <c r="B1212" s="51"/>
      <c r="C1212" s="51"/>
      <c r="D1212" s="52"/>
      <c r="E1212" s="53"/>
      <c r="F1212" s="54"/>
      <c r="G1212" s="54"/>
      <c r="H1212" s="54"/>
      <c r="I1212" s="66"/>
      <c r="J1212" s="54"/>
      <c r="K1212" s="54"/>
      <c r="L1212" s="54"/>
      <c r="M1212" s="97" t="str">
        <f t="shared" si="117"/>
        <v/>
      </c>
      <c r="N1212" s="70"/>
      <c r="O1212" s="71" t="str">
        <f t="shared" si="121"/>
        <v/>
      </c>
      <c r="P1212" s="66"/>
      <c r="Q1212" s="66"/>
      <c r="R1212" s="54"/>
      <c r="S1212" s="82"/>
      <c r="T1212" s="83" t="str">
        <f t="shared" si="118"/>
        <v/>
      </c>
      <c r="U1212" s="10"/>
      <c r="V1212" s="41">
        <f>IF(AND(Q1212&lt;&gt;"",RIGHT(Q1212,3)&lt;&gt;""),IF(COUNTIF($Q$6:Q1212,Q1212)=1,1,0),0)</f>
        <v>0</v>
      </c>
      <c r="W1212" s="41" t="str">
        <f t="shared" si="119"/>
        <v/>
      </c>
      <c r="X1212" s="41" t="str">
        <f t="shared" si="120"/>
        <v/>
      </c>
    </row>
    <row r="1213" s="32" customFormat="1" hidden="1" customHeight="1" spans="1:24">
      <c r="A1213" s="34"/>
      <c r="B1213" s="51"/>
      <c r="C1213" s="51"/>
      <c r="D1213" s="52"/>
      <c r="E1213" s="53"/>
      <c r="F1213" s="54"/>
      <c r="G1213" s="54"/>
      <c r="H1213" s="54"/>
      <c r="I1213" s="66"/>
      <c r="J1213" s="54"/>
      <c r="K1213" s="54"/>
      <c r="L1213" s="54"/>
      <c r="M1213" s="97" t="str">
        <f t="shared" si="117"/>
        <v/>
      </c>
      <c r="N1213" s="70"/>
      <c r="O1213" s="71" t="str">
        <f t="shared" si="121"/>
        <v/>
      </c>
      <c r="P1213" s="66"/>
      <c r="Q1213" s="66"/>
      <c r="R1213" s="54"/>
      <c r="S1213" s="82"/>
      <c r="T1213" s="83" t="str">
        <f t="shared" si="118"/>
        <v/>
      </c>
      <c r="U1213" s="10"/>
      <c r="V1213" s="41">
        <f>IF(AND(Q1213&lt;&gt;"",RIGHT(Q1213,3)&lt;&gt;""),IF(COUNTIF($Q$6:Q1213,Q1213)=1,1,0),0)</f>
        <v>0</v>
      </c>
      <c r="W1213" s="41" t="str">
        <f t="shared" si="119"/>
        <v/>
      </c>
      <c r="X1213" s="41" t="str">
        <f t="shared" si="120"/>
        <v/>
      </c>
    </row>
    <row r="1214" s="32" customFormat="1" hidden="1" customHeight="1" spans="1:24">
      <c r="A1214" s="34"/>
      <c r="B1214" s="51"/>
      <c r="C1214" s="51"/>
      <c r="D1214" s="52"/>
      <c r="E1214" s="53"/>
      <c r="F1214" s="54"/>
      <c r="G1214" s="54"/>
      <c r="H1214" s="54"/>
      <c r="I1214" s="66"/>
      <c r="J1214" s="54"/>
      <c r="K1214" s="54"/>
      <c r="L1214" s="54"/>
      <c r="M1214" s="97" t="str">
        <f t="shared" si="117"/>
        <v/>
      </c>
      <c r="N1214" s="70"/>
      <c r="O1214" s="71" t="str">
        <f t="shared" si="121"/>
        <v/>
      </c>
      <c r="P1214" s="66"/>
      <c r="Q1214" s="66"/>
      <c r="R1214" s="54"/>
      <c r="S1214" s="82"/>
      <c r="T1214" s="83" t="str">
        <f t="shared" si="118"/>
        <v/>
      </c>
      <c r="U1214" s="10"/>
      <c r="V1214" s="41">
        <f>IF(AND(Q1214&lt;&gt;"",RIGHT(Q1214,3)&lt;&gt;""),IF(COUNTIF($Q$6:Q1214,Q1214)=1,1,0),0)</f>
        <v>0</v>
      </c>
      <c r="W1214" s="41" t="str">
        <f t="shared" si="119"/>
        <v/>
      </c>
      <c r="X1214" s="41" t="str">
        <f t="shared" si="120"/>
        <v/>
      </c>
    </row>
    <row r="1215" s="32" customFormat="1" hidden="1" customHeight="1" spans="1:24">
      <c r="A1215" s="34"/>
      <c r="B1215" s="51"/>
      <c r="C1215" s="51"/>
      <c r="D1215" s="52"/>
      <c r="E1215" s="53"/>
      <c r="F1215" s="54"/>
      <c r="G1215" s="54"/>
      <c r="H1215" s="54"/>
      <c r="I1215" s="66"/>
      <c r="J1215" s="54"/>
      <c r="K1215" s="54"/>
      <c r="L1215" s="54"/>
      <c r="M1215" s="97" t="str">
        <f t="shared" si="117"/>
        <v/>
      </c>
      <c r="N1215" s="70"/>
      <c r="O1215" s="71" t="str">
        <f t="shared" si="121"/>
        <v/>
      </c>
      <c r="P1215" s="66"/>
      <c r="Q1215" s="66"/>
      <c r="R1215" s="54"/>
      <c r="S1215" s="82"/>
      <c r="T1215" s="83" t="str">
        <f t="shared" si="118"/>
        <v/>
      </c>
      <c r="U1215" s="10"/>
      <c r="V1215" s="41">
        <f>IF(AND(Q1215&lt;&gt;"",RIGHT(Q1215,3)&lt;&gt;""),IF(COUNTIF($Q$6:Q1215,Q1215)=1,1,0),0)</f>
        <v>0</v>
      </c>
      <c r="W1215" s="41" t="str">
        <f t="shared" si="119"/>
        <v/>
      </c>
      <c r="X1215" s="41" t="str">
        <f t="shared" si="120"/>
        <v/>
      </c>
    </row>
    <row r="1216" s="32" customFormat="1" hidden="1" customHeight="1" spans="1:24">
      <c r="A1216" s="34"/>
      <c r="B1216" s="51"/>
      <c r="C1216" s="51"/>
      <c r="D1216" s="52"/>
      <c r="E1216" s="53"/>
      <c r="F1216" s="54"/>
      <c r="G1216" s="54"/>
      <c r="H1216" s="54"/>
      <c r="I1216" s="66"/>
      <c r="J1216" s="54"/>
      <c r="K1216" s="54"/>
      <c r="L1216" s="54"/>
      <c r="M1216" s="97" t="str">
        <f t="shared" si="117"/>
        <v/>
      </c>
      <c r="N1216" s="70"/>
      <c r="O1216" s="71" t="str">
        <f t="shared" si="121"/>
        <v/>
      </c>
      <c r="P1216" s="66"/>
      <c r="Q1216" s="66"/>
      <c r="R1216" s="54"/>
      <c r="S1216" s="82"/>
      <c r="T1216" s="83" t="str">
        <f t="shared" si="118"/>
        <v/>
      </c>
      <c r="U1216" s="10"/>
      <c r="V1216" s="41">
        <f>IF(AND(Q1216&lt;&gt;"",RIGHT(Q1216,3)&lt;&gt;""),IF(COUNTIF($Q$6:Q1216,Q1216)=1,1,0),0)</f>
        <v>0</v>
      </c>
      <c r="W1216" s="41" t="str">
        <f t="shared" si="119"/>
        <v/>
      </c>
      <c r="X1216" s="41" t="str">
        <f t="shared" si="120"/>
        <v/>
      </c>
    </row>
    <row r="1217" s="32" customFormat="1" hidden="1" customHeight="1" spans="1:24">
      <c r="A1217" s="34"/>
      <c r="B1217" s="51"/>
      <c r="C1217" s="51"/>
      <c r="D1217" s="52"/>
      <c r="E1217" s="53"/>
      <c r="F1217" s="54"/>
      <c r="G1217" s="54"/>
      <c r="H1217" s="54"/>
      <c r="I1217" s="66"/>
      <c r="J1217" s="54"/>
      <c r="K1217" s="54"/>
      <c r="L1217" s="54"/>
      <c r="M1217" s="97" t="str">
        <f t="shared" si="117"/>
        <v/>
      </c>
      <c r="N1217" s="70"/>
      <c r="O1217" s="71" t="str">
        <f t="shared" si="121"/>
        <v/>
      </c>
      <c r="P1217" s="66"/>
      <c r="Q1217" s="66"/>
      <c r="R1217" s="54"/>
      <c r="S1217" s="82"/>
      <c r="T1217" s="83" t="str">
        <f t="shared" si="118"/>
        <v/>
      </c>
      <c r="U1217" s="10"/>
      <c r="V1217" s="41">
        <f>IF(AND(Q1217&lt;&gt;"",RIGHT(Q1217,3)&lt;&gt;""),IF(COUNTIF($Q$6:Q1217,Q1217)=1,1,0),0)</f>
        <v>0</v>
      </c>
      <c r="W1217" s="41" t="str">
        <f t="shared" si="119"/>
        <v/>
      </c>
      <c r="X1217" s="41" t="str">
        <f t="shared" si="120"/>
        <v/>
      </c>
    </row>
    <row r="1218" s="32" customFormat="1" hidden="1" customHeight="1" spans="1:24">
      <c r="A1218" s="34"/>
      <c r="B1218" s="51"/>
      <c r="C1218" s="51"/>
      <c r="D1218" s="52"/>
      <c r="E1218" s="53"/>
      <c r="F1218" s="54"/>
      <c r="G1218" s="54"/>
      <c r="H1218" s="54"/>
      <c r="I1218" s="66"/>
      <c r="J1218" s="54"/>
      <c r="K1218" s="54"/>
      <c r="L1218" s="54"/>
      <c r="M1218" s="97" t="str">
        <f t="shared" si="117"/>
        <v/>
      </c>
      <c r="N1218" s="70"/>
      <c r="O1218" s="71" t="str">
        <f t="shared" si="121"/>
        <v/>
      </c>
      <c r="P1218" s="66"/>
      <c r="Q1218" s="66"/>
      <c r="R1218" s="54"/>
      <c r="S1218" s="82"/>
      <c r="T1218" s="83" t="str">
        <f t="shared" si="118"/>
        <v/>
      </c>
      <c r="U1218" s="10"/>
      <c r="V1218" s="41">
        <f>IF(AND(Q1218&lt;&gt;"",RIGHT(Q1218,3)&lt;&gt;""),IF(COUNTIF($Q$6:Q1218,Q1218)=1,1,0),0)</f>
        <v>0</v>
      </c>
      <c r="W1218" s="41" t="str">
        <f t="shared" si="119"/>
        <v/>
      </c>
      <c r="X1218" s="41" t="str">
        <f t="shared" si="120"/>
        <v/>
      </c>
    </row>
    <row r="1219" s="32" customFormat="1" hidden="1" customHeight="1" spans="1:24">
      <c r="A1219" s="34"/>
      <c r="B1219" s="51"/>
      <c r="C1219" s="51"/>
      <c r="D1219" s="52"/>
      <c r="E1219" s="53"/>
      <c r="F1219" s="54"/>
      <c r="G1219" s="54"/>
      <c r="H1219" s="54"/>
      <c r="I1219" s="66"/>
      <c r="J1219" s="54"/>
      <c r="K1219" s="54"/>
      <c r="L1219" s="54"/>
      <c r="M1219" s="97" t="str">
        <f t="shared" si="117"/>
        <v/>
      </c>
      <c r="N1219" s="70"/>
      <c r="O1219" s="71" t="str">
        <f t="shared" si="121"/>
        <v/>
      </c>
      <c r="P1219" s="66"/>
      <c r="Q1219" s="66"/>
      <c r="R1219" s="54"/>
      <c r="S1219" s="82"/>
      <c r="T1219" s="83" t="str">
        <f t="shared" si="118"/>
        <v/>
      </c>
      <c r="U1219" s="10"/>
      <c r="V1219" s="41">
        <f>IF(AND(Q1219&lt;&gt;"",RIGHT(Q1219,3)&lt;&gt;""),IF(COUNTIF($Q$6:Q1219,Q1219)=1,1,0),0)</f>
        <v>0</v>
      </c>
      <c r="W1219" s="41" t="str">
        <f t="shared" si="119"/>
        <v/>
      </c>
      <c r="X1219" s="41" t="str">
        <f t="shared" si="120"/>
        <v/>
      </c>
    </row>
    <row r="1220" s="32" customFormat="1" hidden="1" customHeight="1" spans="1:24">
      <c r="A1220" s="34"/>
      <c r="B1220" s="51"/>
      <c r="C1220" s="51"/>
      <c r="D1220" s="52"/>
      <c r="E1220" s="53"/>
      <c r="F1220" s="54"/>
      <c r="G1220" s="54"/>
      <c r="H1220" s="54"/>
      <c r="I1220" s="66"/>
      <c r="J1220" s="54"/>
      <c r="K1220" s="54"/>
      <c r="L1220" s="54"/>
      <c r="M1220" s="97" t="str">
        <f t="shared" si="117"/>
        <v/>
      </c>
      <c r="N1220" s="70"/>
      <c r="O1220" s="71" t="str">
        <f t="shared" si="121"/>
        <v/>
      </c>
      <c r="P1220" s="66"/>
      <c r="Q1220" s="66"/>
      <c r="R1220" s="54"/>
      <c r="S1220" s="82"/>
      <c r="T1220" s="83" t="str">
        <f t="shared" si="118"/>
        <v/>
      </c>
      <c r="U1220" s="10"/>
      <c r="V1220" s="41">
        <f>IF(AND(Q1220&lt;&gt;"",RIGHT(Q1220,3)&lt;&gt;""),IF(COUNTIF($Q$6:Q1220,Q1220)=1,1,0),0)</f>
        <v>0</v>
      </c>
      <c r="W1220" s="41" t="str">
        <f t="shared" si="119"/>
        <v/>
      </c>
      <c r="X1220" s="41" t="str">
        <f t="shared" si="120"/>
        <v/>
      </c>
    </row>
    <row r="1221" s="32" customFormat="1" hidden="1" customHeight="1" spans="1:24">
      <c r="A1221" s="34"/>
      <c r="B1221" s="51"/>
      <c r="C1221" s="51"/>
      <c r="D1221" s="52"/>
      <c r="E1221" s="53"/>
      <c r="F1221" s="54"/>
      <c r="G1221" s="54"/>
      <c r="H1221" s="54"/>
      <c r="I1221" s="66"/>
      <c r="J1221" s="54"/>
      <c r="K1221" s="54"/>
      <c r="L1221" s="54"/>
      <c r="M1221" s="97" t="str">
        <f t="shared" si="117"/>
        <v/>
      </c>
      <c r="N1221" s="70"/>
      <c r="O1221" s="71" t="str">
        <f t="shared" si="121"/>
        <v/>
      </c>
      <c r="P1221" s="66"/>
      <c r="Q1221" s="66"/>
      <c r="R1221" s="54"/>
      <c r="S1221" s="82"/>
      <c r="T1221" s="83" t="str">
        <f t="shared" si="118"/>
        <v/>
      </c>
      <c r="U1221" s="10"/>
      <c r="V1221" s="41">
        <f>IF(AND(Q1221&lt;&gt;"",RIGHT(Q1221,3)&lt;&gt;""),IF(COUNTIF($Q$6:Q1221,Q1221)=1,1,0),0)</f>
        <v>0</v>
      </c>
      <c r="W1221" s="41" t="str">
        <f t="shared" si="119"/>
        <v/>
      </c>
      <c r="X1221" s="41" t="str">
        <f t="shared" si="120"/>
        <v/>
      </c>
    </row>
    <row r="1222" s="32" customFormat="1" hidden="1" customHeight="1" spans="1:24">
      <c r="A1222" s="34"/>
      <c r="B1222" s="51"/>
      <c r="C1222" s="51"/>
      <c r="D1222" s="52"/>
      <c r="E1222" s="53"/>
      <c r="F1222" s="54"/>
      <c r="G1222" s="54"/>
      <c r="H1222" s="54"/>
      <c r="I1222" s="66"/>
      <c r="J1222" s="54"/>
      <c r="K1222" s="54"/>
      <c r="L1222" s="54"/>
      <c r="M1222" s="97" t="str">
        <f t="shared" si="117"/>
        <v/>
      </c>
      <c r="N1222" s="70"/>
      <c r="O1222" s="71" t="str">
        <f t="shared" si="121"/>
        <v/>
      </c>
      <c r="P1222" s="66"/>
      <c r="Q1222" s="66"/>
      <c r="R1222" s="54"/>
      <c r="S1222" s="82"/>
      <c r="T1222" s="83" t="str">
        <f t="shared" si="118"/>
        <v/>
      </c>
      <c r="U1222" s="10"/>
      <c r="V1222" s="41">
        <f>IF(AND(Q1222&lt;&gt;"",RIGHT(Q1222,3)&lt;&gt;""),IF(COUNTIF($Q$6:Q1222,Q1222)=1,1,0),0)</f>
        <v>0</v>
      </c>
      <c r="W1222" s="41" t="str">
        <f t="shared" si="119"/>
        <v/>
      </c>
      <c r="X1222" s="41" t="str">
        <f t="shared" si="120"/>
        <v/>
      </c>
    </row>
    <row r="1223" s="32" customFormat="1" hidden="1" customHeight="1" spans="1:24">
      <c r="A1223" s="34"/>
      <c r="B1223" s="51"/>
      <c r="C1223" s="51"/>
      <c r="D1223" s="52"/>
      <c r="E1223" s="53"/>
      <c r="F1223" s="54"/>
      <c r="G1223" s="54"/>
      <c r="H1223" s="54"/>
      <c r="I1223" s="66"/>
      <c r="J1223" s="54"/>
      <c r="K1223" s="54"/>
      <c r="L1223" s="54"/>
      <c r="M1223" s="97" t="str">
        <f t="shared" si="117"/>
        <v/>
      </c>
      <c r="N1223" s="70"/>
      <c r="O1223" s="71" t="str">
        <f t="shared" si="121"/>
        <v/>
      </c>
      <c r="P1223" s="66"/>
      <c r="Q1223" s="66"/>
      <c r="R1223" s="54"/>
      <c r="S1223" s="82"/>
      <c r="T1223" s="83" t="str">
        <f t="shared" si="118"/>
        <v/>
      </c>
      <c r="U1223" s="10"/>
      <c r="V1223" s="41">
        <f>IF(AND(Q1223&lt;&gt;"",RIGHT(Q1223,3)&lt;&gt;""),IF(COUNTIF($Q$6:Q1223,Q1223)=1,1,0),0)</f>
        <v>0</v>
      </c>
      <c r="W1223" s="41" t="str">
        <f t="shared" si="119"/>
        <v/>
      </c>
      <c r="X1223" s="41" t="str">
        <f t="shared" si="120"/>
        <v/>
      </c>
    </row>
    <row r="1224" s="32" customFormat="1" hidden="1" customHeight="1" spans="1:24">
      <c r="A1224" s="34"/>
      <c r="B1224" s="51"/>
      <c r="C1224" s="51"/>
      <c r="D1224" s="52"/>
      <c r="E1224" s="53"/>
      <c r="F1224" s="54"/>
      <c r="G1224" s="54"/>
      <c r="H1224" s="54"/>
      <c r="I1224" s="66"/>
      <c r="J1224" s="54"/>
      <c r="K1224" s="54"/>
      <c r="L1224" s="54"/>
      <c r="M1224" s="97" t="str">
        <f t="shared" si="117"/>
        <v/>
      </c>
      <c r="N1224" s="70"/>
      <c r="O1224" s="71" t="str">
        <f t="shared" si="121"/>
        <v/>
      </c>
      <c r="P1224" s="66"/>
      <c r="Q1224" s="66"/>
      <c r="R1224" s="54"/>
      <c r="S1224" s="82"/>
      <c r="T1224" s="83" t="str">
        <f t="shared" si="118"/>
        <v/>
      </c>
      <c r="U1224" s="10"/>
      <c r="V1224" s="41">
        <f>IF(AND(Q1224&lt;&gt;"",RIGHT(Q1224,3)&lt;&gt;""),IF(COUNTIF($Q$6:Q1224,Q1224)=1,1,0),0)</f>
        <v>0</v>
      </c>
      <c r="W1224" s="41" t="str">
        <f t="shared" si="119"/>
        <v/>
      </c>
      <c r="X1224" s="41" t="str">
        <f t="shared" si="120"/>
        <v/>
      </c>
    </row>
    <row r="1225" s="32" customFormat="1" hidden="1" customHeight="1" spans="1:24">
      <c r="A1225" s="34"/>
      <c r="B1225" s="51"/>
      <c r="C1225" s="51"/>
      <c r="D1225" s="52"/>
      <c r="E1225" s="53"/>
      <c r="F1225" s="54"/>
      <c r="G1225" s="54"/>
      <c r="H1225" s="54"/>
      <c r="I1225" s="66"/>
      <c r="J1225" s="54"/>
      <c r="K1225" s="54"/>
      <c r="L1225" s="54"/>
      <c r="M1225" s="97" t="str">
        <f t="shared" si="117"/>
        <v/>
      </c>
      <c r="N1225" s="70"/>
      <c r="O1225" s="71" t="str">
        <f t="shared" si="121"/>
        <v/>
      </c>
      <c r="P1225" s="66"/>
      <c r="Q1225" s="66"/>
      <c r="R1225" s="54"/>
      <c r="S1225" s="82"/>
      <c r="T1225" s="83" t="str">
        <f t="shared" si="118"/>
        <v/>
      </c>
      <c r="U1225" s="10"/>
      <c r="V1225" s="41">
        <f>IF(AND(Q1225&lt;&gt;"",RIGHT(Q1225,3)&lt;&gt;""),IF(COUNTIF($Q$6:Q1225,Q1225)=1,1,0),0)</f>
        <v>0</v>
      </c>
      <c r="W1225" s="41" t="str">
        <f t="shared" si="119"/>
        <v/>
      </c>
      <c r="X1225" s="41" t="str">
        <f t="shared" si="120"/>
        <v/>
      </c>
    </row>
    <row r="1226" s="32" customFormat="1" hidden="1" customHeight="1" spans="1:24">
      <c r="A1226" s="34"/>
      <c r="B1226" s="51"/>
      <c r="C1226" s="51"/>
      <c r="D1226" s="52"/>
      <c r="E1226" s="53"/>
      <c r="F1226" s="54"/>
      <c r="G1226" s="54"/>
      <c r="H1226" s="54"/>
      <c r="I1226" s="66"/>
      <c r="J1226" s="54"/>
      <c r="K1226" s="54"/>
      <c r="L1226" s="54"/>
      <c r="M1226" s="97" t="str">
        <f t="shared" si="117"/>
        <v/>
      </c>
      <c r="N1226" s="70"/>
      <c r="O1226" s="71" t="str">
        <f t="shared" si="121"/>
        <v/>
      </c>
      <c r="P1226" s="66"/>
      <c r="Q1226" s="66"/>
      <c r="R1226" s="54"/>
      <c r="S1226" s="82"/>
      <c r="T1226" s="83" t="str">
        <f t="shared" si="118"/>
        <v/>
      </c>
      <c r="U1226" s="10"/>
      <c r="V1226" s="41">
        <f>IF(AND(Q1226&lt;&gt;"",RIGHT(Q1226,3)&lt;&gt;""),IF(COUNTIF($Q$6:Q1226,Q1226)=1,1,0),0)</f>
        <v>0</v>
      </c>
      <c r="W1226" s="41" t="str">
        <f t="shared" si="119"/>
        <v/>
      </c>
      <c r="X1226" s="41" t="str">
        <f t="shared" si="120"/>
        <v/>
      </c>
    </row>
    <row r="1227" s="32" customFormat="1" hidden="1" customHeight="1" spans="1:24">
      <c r="A1227" s="34"/>
      <c r="B1227" s="51"/>
      <c r="C1227" s="51"/>
      <c r="D1227" s="52"/>
      <c r="E1227" s="53"/>
      <c r="F1227" s="54"/>
      <c r="G1227" s="54"/>
      <c r="H1227" s="54"/>
      <c r="I1227" s="66"/>
      <c r="J1227" s="54"/>
      <c r="K1227" s="54"/>
      <c r="L1227" s="54"/>
      <c r="M1227" s="97" t="str">
        <f t="shared" si="117"/>
        <v/>
      </c>
      <c r="N1227" s="70"/>
      <c r="O1227" s="71" t="str">
        <f t="shared" si="121"/>
        <v/>
      </c>
      <c r="P1227" s="66"/>
      <c r="Q1227" s="66"/>
      <c r="R1227" s="54"/>
      <c r="S1227" s="82"/>
      <c r="T1227" s="83" t="str">
        <f t="shared" si="118"/>
        <v/>
      </c>
      <c r="U1227" s="10"/>
      <c r="V1227" s="41">
        <f>IF(AND(Q1227&lt;&gt;"",RIGHT(Q1227,3)&lt;&gt;""),IF(COUNTIF($Q$6:Q1227,Q1227)=1,1,0),0)</f>
        <v>0</v>
      </c>
      <c r="W1227" s="41" t="str">
        <f t="shared" si="119"/>
        <v/>
      </c>
      <c r="X1227" s="41" t="str">
        <f t="shared" si="120"/>
        <v/>
      </c>
    </row>
    <row r="1228" s="32" customFormat="1" hidden="1" customHeight="1" spans="1:24">
      <c r="A1228" s="34"/>
      <c r="B1228" s="51"/>
      <c r="C1228" s="51"/>
      <c r="D1228" s="52"/>
      <c r="E1228" s="53"/>
      <c r="F1228" s="54"/>
      <c r="G1228" s="54"/>
      <c r="H1228" s="54"/>
      <c r="I1228" s="66"/>
      <c r="J1228" s="54"/>
      <c r="K1228" s="54"/>
      <c r="L1228" s="54"/>
      <c r="M1228" s="97" t="str">
        <f t="shared" si="117"/>
        <v/>
      </c>
      <c r="N1228" s="70"/>
      <c r="O1228" s="71" t="str">
        <f t="shared" si="121"/>
        <v/>
      </c>
      <c r="P1228" s="66"/>
      <c r="Q1228" s="66"/>
      <c r="R1228" s="54"/>
      <c r="S1228" s="82"/>
      <c r="T1228" s="83" t="str">
        <f t="shared" si="118"/>
        <v/>
      </c>
      <c r="U1228" s="10"/>
      <c r="V1228" s="41">
        <f>IF(AND(Q1228&lt;&gt;"",RIGHT(Q1228,3)&lt;&gt;""),IF(COUNTIF($Q$6:Q1228,Q1228)=1,1,0),0)</f>
        <v>0</v>
      </c>
      <c r="W1228" s="41" t="str">
        <f t="shared" si="119"/>
        <v/>
      </c>
      <c r="X1228" s="41" t="str">
        <f t="shared" si="120"/>
        <v/>
      </c>
    </row>
    <row r="1229" s="32" customFormat="1" hidden="1" customHeight="1" spans="1:24">
      <c r="A1229" s="34"/>
      <c r="B1229" s="51"/>
      <c r="C1229" s="51"/>
      <c r="D1229" s="52"/>
      <c r="E1229" s="53"/>
      <c r="F1229" s="54"/>
      <c r="G1229" s="54"/>
      <c r="H1229" s="54"/>
      <c r="I1229" s="66"/>
      <c r="J1229" s="54"/>
      <c r="K1229" s="54"/>
      <c r="L1229" s="54"/>
      <c r="M1229" s="97" t="str">
        <f t="shared" si="117"/>
        <v/>
      </c>
      <c r="N1229" s="70"/>
      <c r="O1229" s="71" t="str">
        <f t="shared" si="121"/>
        <v/>
      </c>
      <c r="P1229" s="66"/>
      <c r="Q1229" s="66"/>
      <c r="R1229" s="54"/>
      <c r="S1229" s="82"/>
      <c r="T1229" s="83" t="str">
        <f t="shared" si="118"/>
        <v/>
      </c>
      <c r="U1229" s="10"/>
      <c r="V1229" s="41">
        <f>IF(AND(Q1229&lt;&gt;"",RIGHT(Q1229,3)&lt;&gt;""),IF(COUNTIF($Q$6:Q1229,Q1229)=1,1,0),0)</f>
        <v>0</v>
      </c>
      <c r="W1229" s="41" t="str">
        <f t="shared" si="119"/>
        <v/>
      </c>
      <c r="X1229" s="41" t="str">
        <f t="shared" si="120"/>
        <v/>
      </c>
    </row>
    <row r="1230" s="32" customFormat="1" hidden="1" customHeight="1" spans="1:24">
      <c r="A1230" s="34"/>
      <c r="B1230" s="51"/>
      <c r="C1230" s="51"/>
      <c r="D1230" s="52"/>
      <c r="E1230" s="53"/>
      <c r="F1230" s="54"/>
      <c r="G1230" s="54"/>
      <c r="H1230" s="54"/>
      <c r="I1230" s="66"/>
      <c r="J1230" s="54"/>
      <c r="K1230" s="54"/>
      <c r="L1230" s="54"/>
      <c r="M1230" s="97" t="str">
        <f t="shared" si="117"/>
        <v/>
      </c>
      <c r="N1230" s="70"/>
      <c r="O1230" s="71" t="str">
        <f t="shared" si="121"/>
        <v/>
      </c>
      <c r="P1230" s="66"/>
      <c r="Q1230" s="66"/>
      <c r="R1230" s="54"/>
      <c r="S1230" s="82"/>
      <c r="T1230" s="83" t="str">
        <f t="shared" si="118"/>
        <v/>
      </c>
      <c r="U1230" s="10"/>
      <c r="V1230" s="41">
        <f>IF(AND(Q1230&lt;&gt;"",RIGHT(Q1230,3)&lt;&gt;""),IF(COUNTIF($Q$6:Q1230,Q1230)=1,1,0),0)</f>
        <v>0</v>
      </c>
      <c r="W1230" s="41" t="str">
        <f t="shared" si="119"/>
        <v/>
      </c>
      <c r="X1230" s="41" t="str">
        <f t="shared" si="120"/>
        <v/>
      </c>
    </row>
    <row r="1231" s="32" customFormat="1" hidden="1" customHeight="1" spans="1:24">
      <c r="A1231" s="34"/>
      <c r="B1231" s="51"/>
      <c r="C1231" s="51"/>
      <c r="D1231" s="52"/>
      <c r="E1231" s="53"/>
      <c r="F1231" s="54"/>
      <c r="G1231" s="54"/>
      <c r="H1231" s="54"/>
      <c r="I1231" s="66"/>
      <c r="J1231" s="54"/>
      <c r="K1231" s="54"/>
      <c r="L1231" s="54"/>
      <c r="M1231" s="97" t="str">
        <f t="shared" si="117"/>
        <v/>
      </c>
      <c r="N1231" s="70"/>
      <c r="O1231" s="71" t="str">
        <f t="shared" si="121"/>
        <v/>
      </c>
      <c r="P1231" s="66"/>
      <c r="Q1231" s="66"/>
      <c r="R1231" s="54"/>
      <c r="S1231" s="82"/>
      <c r="T1231" s="83" t="str">
        <f t="shared" si="118"/>
        <v/>
      </c>
      <c r="U1231" s="10"/>
      <c r="V1231" s="41">
        <f>IF(AND(Q1231&lt;&gt;"",RIGHT(Q1231,3)&lt;&gt;""),IF(COUNTIF($Q$6:Q1231,Q1231)=1,1,0),0)</f>
        <v>0</v>
      </c>
      <c r="W1231" s="41" t="str">
        <f t="shared" si="119"/>
        <v/>
      </c>
      <c r="X1231" s="41" t="str">
        <f t="shared" si="120"/>
        <v/>
      </c>
    </row>
    <row r="1232" s="32" customFormat="1" hidden="1" customHeight="1" spans="1:24">
      <c r="A1232" s="34"/>
      <c r="B1232" s="51"/>
      <c r="C1232" s="51"/>
      <c r="D1232" s="52"/>
      <c r="E1232" s="53"/>
      <c r="F1232" s="54"/>
      <c r="G1232" s="54"/>
      <c r="H1232" s="54"/>
      <c r="I1232" s="66"/>
      <c r="J1232" s="54"/>
      <c r="K1232" s="54"/>
      <c r="L1232" s="54"/>
      <c r="M1232" s="97" t="str">
        <f t="shared" si="117"/>
        <v/>
      </c>
      <c r="N1232" s="70"/>
      <c r="O1232" s="71" t="str">
        <f t="shared" si="121"/>
        <v/>
      </c>
      <c r="P1232" s="66"/>
      <c r="Q1232" s="66"/>
      <c r="R1232" s="54"/>
      <c r="S1232" s="82"/>
      <c r="T1232" s="83" t="str">
        <f t="shared" si="118"/>
        <v/>
      </c>
      <c r="U1232" s="10"/>
      <c r="V1232" s="41">
        <f>IF(AND(Q1232&lt;&gt;"",RIGHT(Q1232,3)&lt;&gt;""),IF(COUNTIF($Q$6:Q1232,Q1232)=1,1,0),0)</f>
        <v>0</v>
      </c>
      <c r="W1232" s="41" t="str">
        <f t="shared" si="119"/>
        <v/>
      </c>
      <c r="X1232" s="41" t="str">
        <f t="shared" si="120"/>
        <v/>
      </c>
    </row>
    <row r="1233" s="32" customFormat="1" hidden="1" customHeight="1" spans="1:24">
      <c r="A1233" s="34"/>
      <c r="B1233" s="51"/>
      <c r="C1233" s="51"/>
      <c r="D1233" s="52"/>
      <c r="E1233" s="53"/>
      <c r="F1233" s="54"/>
      <c r="G1233" s="54"/>
      <c r="H1233" s="54"/>
      <c r="I1233" s="66"/>
      <c r="J1233" s="54"/>
      <c r="K1233" s="54"/>
      <c r="L1233" s="54"/>
      <c r="M1233" s="97" t="str">
        <f t="shared" si="117"/>
        <v/>
      </c>
      <c r="N1233" s="70"/>
      <c r="O1233" s="71" t="str">
        <f t="shared" si="121"/>
        <v/>
      </c>
      <c r="P1233" s="66"/>
      <c r="Q1233" s="66"/>
      <c r="R1233" s="54"/>
      <c r="S1233" s="82"/>
      <c r="T1233" s="83" t="str">
        <f t="shared" si="118"/>
        <v/>
      </c>
      <c r="U1233" s="10"/>
      <c r="V1233" s="41">
        <f>IF(AND(Q1233&lt;&gt;"",RIGHT(Q1233,3)&lt;&gt;""),IF(COUNTIF($Q$6:Q1233,Q1233)=1,1,0),0)</f>
        <v>0</v>
      </c>
      <c r="W1233" s="41" t="str">
        <f t="shared" si="119"/>
        <v/>
      </c>
      <c r="X1233" s="41" t="str">
        <f t="shared" si="120"/>
        <v/>
      </c>
    </row>
    <row r="1234" s="32" customFormat="1" hidden="1" customHeight="1" spans="1:24">
      <c r="A1234" s="34"/>
      <c r="B1234" s="51"/>
      <c r="C1234" s="51"/>
      <c r="D1234" s="52"/>
      <c r="E1234" s="53"/>
      <c r="F1234" s="54"/>
      <c r="G1234" s="54"/>
      <c r="H1234" s="54"/>
      <c r="I1234" s="66"/>
      <c r="J1234" s="54"/>
      <c r="K1234" s="54"/>
      <c r="L1234" s="54"/>
      <c r="M1234" s="97" t="str">
        <f t="shared" si="117"/>
        <v/>
      </c>
      <c r="N1234" s="70"/>
      <c r="O1234" s="71" t="str">
        <f t="shared" si="121"/>
        <v/>
      </c>
      <c r="P1234" s="66"/>
      <c r="Q1234" s="66"/>
      <c r="R1234" s="54"/>
      <c r="S1234" s="82"/>
      <c r="T1234" s="83" t="str">
        <f t="shared" si="118"/>
        <v/>
      </c>
      <c r="U1234" s="10"/>
      <c r="V1234" s="41">
        <f>IF(AND(Q1234&lt;&gt;"",RIGHT(Q1234,3)&lt;&gt;""),IF(COUNTIF($Q$6:Q1234,Q1234)=1,1,0),0)</f>
        <v>0</v>
      </c>
      <c r="W1234" s="41" t="str">
        <f t="shared" si="119"/>
        <v/>
      </c>
      <c r="X1234" s="41" t="str">
        <f t="shared" si="120"/>
        <v/>
      </c>
    </row>
    <row r="1235" s="32" customFormat="1" hidden="1" customHeight="1" spans="1:24">
      <c r="A1235" s="34"/>
      <c r="B1235" s="51"/>
      <c r="C1235" s="51"/>
      <c r="D1235" s="52"/>
      <c r="E1235" s="53"/>
      <c r="F1235" s="54"/>
      <c r="G1235" s="54"/>
      <c r="H1235" s="54"/>
      <c r="I1235" s="66"/>
      <c r="J1235" s="54"/>
      <c r="K1235" s="54"/>
      <c r="L1235" s="54"/>
      <c r="M1235" s="97" t="str">
        <f t="shared" si="117"/>
        <v/>
      </c>
      <c r="N1235" s="70"/>
      <c r="O1235" s="71" t="str">
        <f t="shared" si="121"/>
        <v/>
      </c>
      <c r="P1235" s="66"/>
      <c r="Q1235" s="66"/>
      <c r="R1235" s="54"/>
      <c r="S1235" s="82"/>
      <c r="T1235" s="83" t="str">
        <f t="shared" si="118"/>
        <v/>
      </c>
      <c r="U1235" s="10"/>
      <c r="V1235" s="41">
        <f>IF(AND(Q1235&lt;&gt;"",RIGHT(Q1235,3)&lt;&gt;""),IF(COUNTIF($Q$6:Q1235,Q1235)=1,1,0),0)</f>
        <v>0</v>
      </c>
      <c r="W1235" s="41" t="str">
        <f t="shared" si="119"/>
        <v/>
      </c>
      <c r="X1235" s="41" t="str">
        <f t="shared" si="120"/>
        <v/>
      </c>
    </row>
    <row r="1236" s="32" customFormat="1" hidden="1" customHeight="1" spans="1:24">
      <c r="A1236" s="34"/>
      <c r="B1236" s="51"/>
      <c r="C1236" s="51"/>
      <c r="D1236" s="52"/>
      <c r="E1236" s="53"/>
      <c r="F1236" s="54"/>
      <c r="G1236" s="54"/>
      <c r="H1236" s="54"/>
      <c r="I1236" s="66"/>
      <c r="J1236" s="54"/>
      <c r="K1236" s="54"/>
      <c r="L1236" s="54"/>
      <c r="M1236" s="97" t="str">
        <f t="shared" si="117"/>
        <v/>
      </c>
      <c r="N1236" s="70"/>
      <c r="O1236" s="71" t="str">
        <f t="shared" si="121"/>
        <v/>
      </c>
      <c r="P1236" s="66"/>
      <c r="Q1236" s="66"/>
      <c r="R1236" s="54"/>
      <c r="S1236" s="82"/>
      <c r="T1236" s="83" t="str">
        <f t="shared" si="118"/>
        <v/>
      </c>
      <c r="U1236" s="10"/>
      <c r="V1236" s="41">
        <f>IF(AND(Q1236&lt;&gt;"",RIGHT(Q1236,3)&lt;&gt;""),IF(COUNTIF($Q$6:Q1236,Q1236)=1,1,0),0)</f>
        <v>0</v>
      </c>
      <c r="W1236" s="41" t="str">
        <f t="shared" si="119"/>
        <v/>
      </c>
      <c r="X1236" s="41" t="str">
        <f t="shared" si="120"/>
        <v/>
      </c>
    </row>
    <row r="1237" s="32" customFormat="1" hidden="1" customHeight="1" spans="1:24">
      <c r="A1237" s="34"/>
      <c r="B1237" s="51"/>
      <c r="C1237" s="51"/>
      <c r="D1237" s="52"/>
      <c r="E1237" s="53"/>
      <c r="F1237" s="54"/>
      <c r="G1237" s="54"/>
      <c r="H1237" s="54"/>
      <c r="I1237" s="66"/>
      <c r="J1237" s="54"/>
      <c r="K1237" s="54"/>
      <c r="L1237" s="54"/>
      <c r="M1237" s="97" t="str">
        <f t="shared" si="117"/>
        <v/>
      </c>
      <c r="N1237" s="70"/>
      <c r="O1237" s="71" t="str">
        <f t="shared" si="121"/>
        <v/>
      </c>
      <c r="P1237" s="66"/>
      <c r="Q1237" s="66"/>
      <c r="R1237" s="54"/>
      <c r="S1237" s="82"/>
      <c r="T1237" s="83" t="str">
        <f t="shared" si="118"/>
        <v/>
      </c>
      <c r="U1237" s="10"/>
      <c r="V1237" s="41">
        <f>IF(AND(Q1237&lt;&gt;"",RIGHT(Q1237,3)&lt;&gt;""),IF(COUNTIF($Q$6:Q1237,Q1237)=1,1,0),0)</f>
        <v>0</v>
      </c>
      <c r="W1237" s="41" t="str">
        <f t="shared" si="119"/>
        <v/>
      </c>
      <c r="X1237" s="41" t="str">
        <f t="shared" si="120"/>
        <v/>
      </c>
    </row>
    <row r="1238" s="32" customFormat="1" hidden="1" customHeight="1" spans="1:24">
      <c r="A1238" s="34"/>
      <c r="B1238" s="51"/>
      <c r="C1238" s="51"/>
      <c r="D1238" s="52"/>
      <c r="E1238" s="53"/>
      <c r="F1238" s="54"/>
      <c r="G1238" s="54"/>
      <c r="H1238" s="54"/>
      <c r="I1238" s="66"/>
      <c r="J1238" s="54"/>
      <c r="K1238" s="54"/>
      <c r="L1238" s="54"/>
      <c r="M1238" s="97" t="str">
        <f t="shared" si="117"/>
        <v/>
      </c>
      <c r="N1238" s="70"/>
      <c r="O1238" s="71" t="str">
        <f t="shared" si="121"/>
        <v/>
      </c>
      <c r="P1238" s="66"/>
      <c r="Q1238" s="66"/>
      <c r="R1238" s="54"/>
      <c r="S1238" s="82"/>
      <c r="T1238" s="83" t="str">
        <f t="shared" si="118"/>
        <v/>
      </c>
      <c r="U1238" s="10"/>
      <c r="V1238" s="41">
        <f>IF(AND(Q1238&lt;&gt;"",RIGHT(Q1238,3)&lt;&gt;""),IF(COUNTIF($Q$6:Q1238,Q1238)=1,1,0),0)</f>
        <v>0</v>
      </c>
      <c r="W1238" s="41" t="str">
        <f t="shared" si="119"/>
        <v/>
      </c>
      <c r="X1238" s="41" t="str">
        <f t="shared" si="120"/>
        <v/>
      </c>
    </row>
    <row r="1239" s="32" customFormat="1" hidden="1" customHeight="1" spans="1:24">
      <c r="A1239" s="34"/>
      <c r="B1239" s="51"/>
      <c r="C1239" s="51"/>
      <c r="D1239" s="52"/>
      <c r="E1239" s="53"/>
      <c r="F1239" s="54"/>
      <c r="G1239" s="54"/>
      <c r="H1239" s="54"/>
      <c r="I1239" s="66"/>
      <c r="J1239" s="54"/>
      <c r="K1239" s="54"/>
      <c r="L1239" s="54"/>
      <c r="M1239" s="97" t="str">
        <f t="shared" si="117"/>
        <v/>
      </c>
      <c r="N1239" s="70"/>
      <c r="O1239" s="71" t="str">
        <f t="shared" si="121"/>
        <v/>
      </c>
      <c r="P1239" s="66"/>
      <c r="Q1239" s="66"/>
      <c r="R1239" s="54"/>
      <c r="S1239" s="82"/>
      <c r="T1239" s="83" t="str">
        <f t="shared" si="118"/>
        <v/>
      </c>
      <c r="U1239" s="10"/>
      <c r="V1239" s="41">
        <f>IF(AND(Q1239&lt;&gt;"",RIGHT(Q1239,3)&lt;&gt;""),IF(COUNTIF($Q$6:Q1239,Q1239)=1,1,0),0)</f>
        <v>0</v>
      </c>
      <c r="W1239" s="41" t="str">
        <f t="shared" si="119"/>
        <v/>
      </c>
      <c r="X1239" s="41" t="str">
        <f t="shared" si="120"/>
        <v/>
      </c>
    </row>
    <row r="1240" s="32" customFormat="1" hidden="1" customHeight="1" spans="1:24">
      <c r="A1240" s="34"/>
      <c r="B1240" s="51"/>
      <c r="C1240" s="51"/>
      <c r="D1240" s="52"/>
      <c r="E1240" s="53"/>
      <c r="F1240" s="54"/>
      <c r="G1240" s="54"/>
      <c r="H1240" s="54"/>
      <c r="I1240" s="66"/>
      <c r="J1240" s="54"/>
      <c r="K1240" s="54"/>
      <c r="L1240" s="54"/>
      <c r="M1240" s="97" t="str">
        <f t="shared" si="117"/>
        <v/>
      </c>
      <c r="N1240" s="70"/>
      <c r="O1240" s="71" t="str">
        <f t="shared" si="121"/>
        <v/>
      </c>
      <c r="P1240" s="66"/>
      <c r="Q1240" s="66"/>
      <c r="R1240" s="54"/>
      <c r="S1240" s="82"/>
      <c r="T1240" s="83" t="str">
        <f t="shared" si="118"/>
        <v/>
      </c>
      <c r="U1240" s="10"/>
      <c r="V1240" s="41">
        <f>IF(AND(Q1240&lt;&gt;"",RIGHT(Q1240,3)&lt;&gt;""),IF(COUNTIF($Q$6:Q1240,Q1240)=1,1,0),0)</f>
        <v>0</v>
      </c>
      <c r="W1240" s="41" t="str">
        <f t="shared" si="119"/>
        <v/>
      </c>
      <c r="X1240" s="41" t="str">
        <f t="shared" si="120"/>
        <v/>
      </c>
    </row>
    <row r="1241" s="32" customFormat="1" hidden="1" customHeight="1" spans="1:24">
      <c r="A1241" s="34"/>
      <c r="B1241" s="51"/>
      <c r="C1241" s="51"/>
      <c r="D1241" s="52"/>
      <c r="E1241" s="53"/>
      <c r="F1241" s="54"/>
      <c r="G1241" s="54"/>
      <c r="H1241" s="54"/>
      <c r="I1241" s="66"/>
      <c r="J1241" s="54"/>
      <c r="K1241" s="54"/>
      <c r="L1241" s="54"/>
      <c r="M1241" s="97" t="str">
        <f t="shared" si="117"/>
        <v/>
      </c>
      <c r="N1241" s="70"/>
      <c r="O1241" s="71" t="str">
        <f t="shared" si="121"/>
        <v/>
      </c>
      <c r="P1241" s="66"/>
      <c r="Q1241" s="66"/>
      <c r="R1241" s="54"/>
      <c r="S1241" s="82"/>
      <c r="T1241" s="83" t="str">
        <f t="shared" si="118"/>
        <v/>
      </c>
      <c r="U1241" s="10"/>
      <c r="V1241" s="41">
        <f>IF(AND(Q1241&lt;&gt;"",RIGHT(Q1241,3)&lt;&gt;""),IF(COUNTIF($Q$6:Q1241,Q1241)=1,1,0),0)</f>
        <v>0</v>
      </c>
      <c r="W1241" s="41" t="str">
        <f t="shared" si="119"/>
        <v/>
      </c>
      <c r="X1241" s="41" t="str">
        <f t="shared" si="120"/>
        <v/>
      </c>
    </row>
    <row r="1242" s="32" customFormat="1" hidden="1" customHeight="1" spans="1:24">
      <c r="A1242" s="34"/>
      <c r="B1242" s="51"/>
      <c r="C1242" s="51"/>
      <c r="D1242" s="52"/>
      <c r="E1242" s="53"/>
      <c r="F1242" s="54"/>
      <c r="G1242" s="54"/>
      <c r="H1242" s="54"/>
      <c r="I1242" s="66"/>
      <c r="J1242" s="54"/>
      <c r="K1242" s="54"/>
      <c r="L1242" s="54"/>
      <c r="M1242" s="97" t="str">
        <f t="shared" si="117"/>
        <v/>
      </c>
      <c r="N1242" s="70"/>
      <c r="O1242" s="71" t="str">
        <f t="shared" si="121"/>
        <v/>
      </c>
      <c r="P1242" s="66"/>
      <c r="Q1242" s="66"/>
      <c r="R1242" s="54"/>
      <c r="S1242" s="82"/>
      <c r="T1242" s="83" t="str">
        <f t="shared" si="118"/>
        <v/>
      </c>
      <c r="U1242" s="10"/>
      <c r="V1242" s="41">
        <f>IF(AND(Q1242&lt;&gt;"",RIGHT(Q1242,3)&lt;&gt;""),IF(COUNTIF($Q$6:Q1242,Q1242)=1,1,0),0)</f>
        <v>0</v>
      </c>
      <c r="W1242" s="41" t="str">
        <f t="shared" si="119"/>
        <v/>
      </c>
      <c r="X1242" s="41" t="str">
        <f t="shared" si="120"/>
        <v/>
      </c>
    </row>
    <row r="1243" s="32" customFormat="1" hidden="1" customHeight="1" spans="1:24">
      <c r="A1243" s="34"/>
      <c r="B1243" s="51"/>
      <c r="C1243" s="51"/>
      <c r="D1243" s="52"/>
      <c r="E1243" s="53"/>
      <c r="F1243" s="54"/>
      <c r="G1243" s="54"/>
      <c r="H1243" s="54"/>
      <c r="I1243" s="66"/>
      <c r="J1243" s="54"/>
      <c r="K1243" s="54"/>
      <c r="L1243" s="54"/>
      <c r="M1243" s="97" t="str">
        <f t="shared" si="117"/>
        <v/>
      </c>
      <c r="N1243" s="70"/>
      <c r="O1243" s="71" t="str">
        <f t="shared" si="121"/>
        <v/>
      </c>
      <c r="P1243" s="66"/>
      <c r="Q1243" s="66"/>
      <c r="R1243" s="54"/>
      <c r="S1243" s="82"/>
      <c r="T1243" s="83" t="str">
        <f t="shared" si="118"/>
        <v/>
      </c>
      <c r="U1243" s="10"/>
      <c r="V1243" s="41">
        <f>IF(AND(Q1243&lt;&gt;"",RIGHT(Q1243,3)&lt;&gt;""),IF(COUNTIF($Q$6:Q1243,Q1243)=1,1,0),0)</f>
        <v>0</v>
      </c>
      <c r="W1243" s="41" t="str">
        <f t="shared" si="119"/>
        <v/>
      </c>
      <c r="X1243" s="41" t="str">
        <f t="shared" si="120"/>
        <v/>
      </c>
    </row>
    <row r="1244" s="32" customFormat="1" hidden="1" customHeight="1" spans="1:24">
      <c r="A1244" s="34"/>
      <c r="B1244" s="51"/>
      <c r="C1244" s="51"/>
      <c r="D1244" s="52"/>
      <c r="E1244" s="53"/>
      <c r="F1244" s="54"/>
      <c r="G1244" s="54"/>
      <c r="H1244" s="54"/>
      <c r="I1244" s="66"/>
      <c r="J1244" s="54"/>
      <c r="K1244" s="54"/>
      <c r="L1244" s="54"/>
      <c r="M1244" s="97" t="str">
        <f t="shared" si="117"/>
        <v/>
      </c>
      <c r="N1244" s="70"/>
      <c r="O1244" s="71" t="str">
        <f t="shared" si="121"/>
        <v/>
      </c>
      <c r="P1244" s="66"/>
      <c r="Q1244" s="66"/>
      <c r="R1244" s="54"/>
      <c r="S1244" s="82"/>
      <c r="T1244" s="83" t="str">
        <f t="shared" si="118"/>
        <v/>
      </c>
      <c r="U1244" s="10"/>
      <c r="V1244" s="41">
        <f>IF(AND(Q1244&lt;&gt;"",RIGHT(Q1244,3)&lt;&gt;""),IF(COUNTIF($Q$6:Q1244,Q1244)=1,1,0),0)</f>
        <v>0</v>
      </c>
      <c r="W1244" s="41" t="str">
        <f t="shared" si="119"/>
        <v/>
      </c>
      <c r="X1244" s="41" t="str">
        <f t="shared" si="120"/>
        <v/>
      </c>
    </row>
    <row r="1245" s="32" customFormat="1" hidden="1" customHeight="1" spans="1:24">
      <c r="A1245" s="34"/>
      <c r="B1245" s="51"/>
      <c r="C1245" s="51"/>
      <c r="D1245" s="52"/>
      <c r="E1245" s="53"/>
      <c r="F1245" s="54"/>
      <c r="G1245" s="54"/>
      <c r="H1245" s="54"/>
      <c r="I1245" s="66"/>
      <c r="J1245" s="54"/>
      <c r="K1245" s="54"/>
      <c r="L1245" s="54"/>
      <c r="M1245" s="97" t="str">
        <f t="shared" si="117"/>
        <v/>
      </c>
      <c r="N1245" s="70"/>
      <c r="O1245" s="71" t="str">
        <f t="shared" si="121"/>
        <v/>
      </c>
      <c r="P1245" s="66"/>
      <c r="Q1245" s="66"/>
      <c r="R1245" s="54"/>
      <c r="S1245" s="82"/>
      <c r="T1245" s="83" t="str">
        <f t="shared" si="118"/>
        <v/>
      </c>
      <c r="U1245" s="10"/>
      <c r="V1245" s="41">
        <f>IF(AND(Q1245&lt;&gt;"",RIGHT(Q1245,3)&lt;&gt;""),IF(COUNTIF($Q$6:Q1245,Q1245)=1,1,0),0)</f>
        <v>0</v>
      </c>
      <c r="W1245" s="41" t="str">
        <f t="shared" si="119"/>
        <v/>
      </c>
      <c r="X1245" s="41" t="str">
        <f t="shared" si="120"/>
        <v/>
      </c>
    </row>
    <row r="1246" s="32" customFormat="1" hidden="1" customHeight="1" spans="1:24">
      <c r="A1246" s="34"/>
      <c r="B1246" s="51"/>
      <c r="C1246" s="51"/>
      <c r="D1246" s="52"/>
      <c r="E1246" s="53"/>
      <c r="F1246" s="54"/>
      <c r="G1246" s="54"/>
      <c r="H1246" s="54"/>
      <c r="I1246" s="66"/>
      <c r="J1246" s="54"/>
      <c r="K1246" s="54"/>
      <c r="L1246" s="54"/>
      <c r="M1246" s="97" t="str">
        <f t="shared" si="117"/>
        <v/>
      </c>
      <c r="N1246" s="70"/>
      <c r="O1246" s="71" t="str">
        <f t="shared" si="121"/>
        <v/>
      </c>
      <c r="P1246" s="66"/>
      <c r="Q1246" s="66"/>
      <c r="R1246" s="54"/>
      <c r="S1246" s="82"/>
      <c r="T1246" s="83" t="str">
        <f t="shared" si="118"/>
        <v/>
      </c>
      <c r="U1246" s="10"/>
      <c r="V1246" s="41">
        <f>IF(AND(Q1246&lt;&gt;"",RIGHT(Q1246,3)&lt;&gt;""),IF(COUNTIF($Q$6:Q1246,Q1246)=1,1,0),0)</f>
        <v>0</v>
      </c>
      <c r="W1246" s="41" t="str">
        <f t="shared" si="119"/>
        <v/>
      </c>
      <c r="X1246" s="41" t="str">
        <f t="shared" si="120"/>
        <v/>
      </c>
    </row>
    <row r="1247" s="32" customFormat="1" hidden="1" customHeight="1" spans="1:24">
      <c r="A1247" s="34"/>
      <c r="B1247" s="51"/>
      <c r="C1247" s="51"/>
      <c r="D1247" s="52"/>
      <c r="E1247" s="53"/>
      <c r="F1247" s="54"/>
      <c r="G1247" s="54"/>
      <c r="H1247" s="54"/>
      <c r="I1247" s="66"/>
      <c r="J1247" s="54"/>
      <c r="K1247" s="54"/>
      <c r="L1247" s="54"/>
      <c r="M1247" s="97" t="str">
        <f t="shared" si="117"/>
        <v/>
      </c>
      <c r="N1247" s="70"/>
      <c r="O1247" s="71" t="str">
        <f t="shared" si="121"/>
        <v/>
      </c>
      <c r="P1247" s="66"/>
      <c r="Q1247" s="66"/>
      <c r="R1247" s="54"/>
      <c r="S1247" s="82"/>
      <c r="T1247" s="83" t="str">
        <f t="shared" si="118"/>
        <v/>
      </c>
      <c r="U1247" s="10"/>
      <c r="V1247" s="41">
        <f>IF(AND(Q1247&lt;&gt;"",RIGHT(Q1247,3)&lt;&gt;""),IF(COUNTIF($Q$6:Q1247,Q1247)=1,1,0),0)</f>
        <v>0</v>
      </c>
      <c r="W1247" s="41" t="str">
        <f t="shared" si="119"/>
        <v/>
      </c>
      <c r="X1247" s="41" t="str">
        <f t="shared" si="120"/>
        <v/>
      </c>
    </row>
    <row r="1248" s="32" customFormat="1" hidden="1" customHeight="1" spans="1:24">
      <c r="A1248" s="34"/>
      <c r="B1248" s="51"/>
      <c r="C1248" s="51"/>
      <c r="D1248" s="52"/>
      <c r="E1248" s="53"/>
      <c r="F1248" s="54"/>
      <c r="G1248" s="54"/>
      <c r="H1248" s="54"/>
      <c r="I1248" s="66"/>
      <c r="J1248" s="54"/>
      <c r="K1248" s="54"/>
      <c r="L1248" s="54"/>
      <c r="M1248" s="97" t="str">
        <f t="shared" si="117"/>
        <v/>
      </c>
      <c r="N1248" s="70"/>
      <c r="O1248" s="71" t="str">
        <f t="shared" si="121"/>
        <v/>
      </c>
      <c r="P1248" s="66"/>
      <c r="Q1248" s="66"/>
      <c r="R1248" s="54"/>
      <c r="S1248" s="82"/>
      <c r="T1248" s="83" t="str">
        <f t="shared" si="118"/>
        <v/>
      </c>
      <c r="U1248" s="10"/>
      <c r="V1248" s="41">
        <f>IF(AND(Q1248&lt;&gt;"",RIGHT(Q1248,3)&lt;&gt;""),IF(COUNTIF($Q$6:Q1248,Q1248)=1,1,0),0)</f>
        <v>0</v>
      </c>
      <c r="W1248" s="41" t="str">
        <f t="shared" si="119"/>
        <v/>
      </c>
      <c r="X1248" s="41" t="str">
        <f t="shared" si="120"/>
        <v/>
      </c>
    </row>
    <row r="1249" s="32" customFormat="1" hidden="1" customHeight="1" spans="1:24">
      <c r="A1249" s="34"/>
      <c r="B1249" s="51"/>
      <c r="C1249" s="51"/>
      <c r="D1249" s="52"/>
      <c r="E1249" s="53"/>
      <c r="F1249" s="54"/>
      <c r="G1249" s="54"/>
      <c r="H1249" s="54"/>
      <c r="I1249" s="66"/>
      <c r="J1249" s="54"/>
      <c r="K1249" s="54"/>
      <c r="L1249" s="54"/>
      <c r="M1249" s="97" t="str">
        <f t="shared" si="117"/>
        <v/>
      </c>
      <c r="N1249" s="70"/>
      <c r="O1249" s="71" t="str">
        <f t="shared" si="121"/>
        <v/>
      </c>
      <c r="P1249" s="66"/>
      <c r="Q1249" s="66"/>
      <c r="R1249" s="54"/>
      <c r="S1249" s="82"/>
      <c r="T1249" s="83" t="str">
        <f t="shared" si="118"/>
        <v/>
      </c>
      <c r="U1249" s="10"/>
      <c r="V1249" s="41">
        <f>IF(AND(Q1249&lt;&gt;"",RIGHT(Q1249,3)&lt;&gt;""),IF(COUNTIF($Q$6:Q1249,Q1249)=1,1,0),0)</f>
        <v>0</v>
      </c>
      <c r="W1249" s="41" t="str">
        <f t="shared" si="119"/>
        <v/>
      </c>
      <c r="X1249" s="41" t="str">
        <f t="shared" si="120"/>
        <v/>
      </c>
    </row>
    <row r="1250" s="32" customFormat="1" hidden="1" customHeight="1" spans="1:24">
      <c r="A1250" s="34"/>
      <c r="B1250" s="51"/>
      <c r="C1250" s="51"/>
      <c r="D1250" s="52"/>
      <c r="E1250" s="53"/>
      <c r="F1250" s="54"/>
      <c r="G1250" s="54"/>
      <c r="H1250" s="54"/>
      <c r="I1250" s="66"/>
      <c r="J1250" s="54"/>
      <c r="K1250" s="54"/>
      <c r="L1250" s="54"/>
      <c r="M1250" s="97" t="str">
        <f t="shared" si="117"/>
        <v/>
      </c>
      <c r="N1250" s="70"/>
      <c r="O1250" s="71" t="str">
        <f t="shared" si="121"/>
        <v/>
      </c>
      <c r="P1250" s="66"/>
      <c r="Q1250" s="66"/>
      <c r="R1250" s="54"/>
      <c r="S1250" s="82"/>
      <c r="T1250" s="83" t="str">
        <f t="shared" si="118"/>
        <v/>
      </c>
      <c r="U1250" s="10"/>
      <c r="V1250" s="41">
        <f>IF(AND(Q1250&lt;&gt;"",RIGHT(Q1250,3)&lt;&gt;""),IF(COUNTIF($Q$6:Q1250,Q1250)=1,1,0),0)</f>
        <v>0</v>
      </c>
      <c r="W1250" s="41" t="str">
        <f t="shared" si="119"/>
        <v/>
      </c>
      <c r="X1250" s="41" t="str">
        <f t="shared" si="120"/>
        <v/>
      </c>
    </row>
    <row r="1251" s="32" customFormat="1" hidden="1" customHeight="1" spans="1:24">
      <c r="A1251" s="34"/>
      <c r="B1251" s="51"/>
      <c r="C1251" s="51"/>
      <c r="D1251" s="52"/>
      <c r="E1251" s="53"/>
      <c r="F1251" s="54"/>
      <c r="G1251" s="54"/>
      <c r="H1251" s="54"/>
      <c r="I1251" s="66"/>
      <c r="J1251" s="54"/>
      <c r="K1251" s="54"/>
      <c r="L1251" s="54"/>
      <c r="M1251" s="97" t="str">
        <f t="shared" si="117"/>
        <v/>
      </c>
      <c r="N1251" s="70"/>
      <c r="O1251" s="71" t="str">
        <f t="shared" si="121"/>
        <v/>
      </c>
      <c r="P1251" s="66"/>
      <c r="Q1251" s="66"/>
      <c r="R1251" s="54"/>
      <c r="S1251" s="82"/>
      <c r="T1251" s="83" t="str">
        <f t="shared" si="118"/>
        <v/>
      </c>
      <c r="U1251" s="10"/>
      <c r="V1251" s="41">
        <f>IF(AND(Q1251&lt;&gt;"",RIGHT(Q1251,3)&lt;&gt;""),IF(COUNTIF($Q$6:Q1251,Q1251)=1,1,0),0)</f>
        <v>0</v>
      </c>
      <c r="W1251" s="41" t="str">
        <f t="shared" si="119"/>
        <v/>
      </c>
      <c r="X1251" s="41" t="str">
        <f t="shared" si="120"/>
        <v/>
      </c>
    </row>
    <row r="1252" s="32" customFormat="1" hidden="1" customHeight="1" spans="1:24">
      <c r="A1252" s="34"/>
      <c r="B1252" s="51"/>
      <c r="C1252" s="51"/>
      <c r="D1252" s="52"/>
      <c r="E1252" s="53"/>
      <c r="F1252" s="54"/>
      <c r="G1252" s="54"/>
      <c r="H1252" s="54"/>
      <c r="I1252" s="66"/>
      <c r="J1252" s="54"/>
      <c r="K1252" s="54"/>
      <c r="L1252" s="54"/>
      <c r="M1252" s="97" t="str">
        <f t="shared" ref="M1252:M1315" si="122">IF(L1252="","",HYPERLINK(_xlfn.CONCAT($L$4,L1252,".jpg"),"Open File"))</f>
        <v/>
      </c>
      <c r="N1252" s="70"/>
      <c r="O1252" s="71" t="str">
        <f t="shared" si="121"/>
        <v/>
      </c>
      <c r="P1252" s="66"/>
      <c r="Q1252" s="66"/>
      <c r="R1252" s="54"/>
      <c r="S1252" s="82"/>
      <c r="T1252" s="83" t="str">
        <f t="shared" ref="T1252:T1315" si="123">IF(S1252="","",HYPERLINK(_xlfn.CONCAT($S$4,S1252,".jpg"),"Open File"))</f>
        <v/>
      </c>
      <c r="U1252" s="10"/>
      <c r="V1252" s="41">
        <f>IF(AND(Q1252&lt;&gt;"",RIGHT(Q1252,3)&lt;&gt;""),IF(COUNTIF($Q$6:Q1252,Q1252)=1,1,0),0)</f>
        <v>0</v>
      </c>
      <c r="W1252" s="41" t="str">
        <f t="shared" ref="W1252:W1315" si="124">IF(AND(J1252&lt;&gt;"",K1252&lt;&gt;""),_xlfn.CONCAT(SUBSTITUTE(J1252,"/","."),"-",K1252),"")</f>
        <v/>
      </c>
      <c r="X1252" s="41" t="str">
        <f t="shared" ref="X1252:X1315" si="125">IF(AND(Q1252&lt;&gt;"",R1252&lt;&gt;""),_xlfn.CONCAT(SUBSTITUTE(Q1252,"/","."),"-",R1252),"")</f>
        <v/>
      </c>
    </row>
    <row r="1253" s="32" customFormat="1" hidden="1" customHeight="1" spans="1:24">
      <c r="A1253" s="34"/>
      <c r="B1253" s="51"/>
      <c r="C1253" s="51"/>
      <c r="D1253" s="52"/>
      <c r="E1253" s="53"/>
      <c r="F1253" s="54"/>
      <c r="G1253" s="54"/>
      <c r="H1253" s="54"/>
      <c r="I1253" s="66"/>
      <c r="J1253" s="54"/>
      <c r="K1253" s="54"/>
      <c r="L1253" s="54"/>
      <c r="M1253" s="97" t="str">
        <f t="shared" si="122"/>
        <v/>
      </c>
      <c r="N1253" s="70"/>
      <c r="O1253" s="71" t="str">
        <f t="shared" si="121"/>
        <v/>
      </c>
      <c r="P1253" s="66"/>
      <c r="Q1253" s="66"/>
      <c r="R1253" s="54"/>
      <c r="S1253" s="82"/>
      <c r="T1253" s="83" t="str">
        <f t="shared" si="123"/>
        <v/>
      </c>
      <c r="U1253" s="10"/>
      <c r="V1253" s="41">
        <f>IF(AND(Q1253&lt;&gt;"",RIGHT(Q1253,3)&lt;&gt;""),IF(COUNTIF($Q$6:Q1253,Q1253)=1,1,0),0)</f>
        <v>0</v>
      </c>
      <c r="W1253" s="41" t="str">
        <f t="shared" si="124"/>
        <v/>
      </c>
      <c r="X1253" s="41" t="str">
        <f t="shared" si="125"/>
        <v/>
      </c>
    </row>
    <row r="1254" s="32" customFormat="1" hidden="1" customHeight="1" spans="1:24">
      <c r="A1254" s="34"/>
      <c r="B1254" s="51"/>
      <c r="C1254" s="51"/>
      <c r="D1254" s="52"/>
      <c r="E1254" s="53"/>
      <c r="F1254" s="54"/>
      <c r="G1254" s="54"/>
      <c r="H1254" s="54"/>
      <c r="I1254" s="66"/>
      <c r="J1254" s="54"/>
      <c r="K1254" s="54"/>
      <c r="L1254" s="54"/>
      <c r="M1254" s="97" t="str">
        <f t="shared" si="122"/>
        <v/>
      </c>
      <c r="N1254" s="70"/>
      <c r="O1254" s="71" t="str">
        <f t="shared" si="121"/>
        <v/>
      </c>
      <c r="P1254" s="66"/>
      <c r="Q1254" s="66"/>
      <c r="R1254" s="54"/>
      <c r="S1254" s="82"/>
      <c r="T1254" s="83" t="str">
        <f t="shared" si="123"/>
        <v/>
      </c>
      <c r="U1254" s="10"/>
      <c r="V1254" s="41">
        <f>IF(AND(Q1254&lt;&gt;"",RIGHT(Q1254,3)&lt;&gt;""),IF(COUNTIF($Q$6:Q1254,Q1254)=1,1,0),0)</f>
        <v>0</v>
      </c>
      <c r="W1254" s="41" t="str">
        <f t="shared" si="124"/>
        <v/>
      </c>
      <c r="X1254" s="41" t="str">
        <f t="shared" si="125"/>
        <v/>
      </c>
    </row>
    <row r="1255" s="32" customFormat="1" hidden="1" customHeight="1" spans="1:24">
      <c r="A1255" s="34"/>
      <c r="B1255" s="51"/>
      <c r="C1255" s="51"/>
      <c r="D1255" s="52"/>
      <c r="E1255" s="53"/>
      <c r="F1255" s="54"/>
      <c r="G1255" s="54"/>
      <c r="H1255" s="54"/>
      <c r="I1255" s="66"/>
      <c r="J1255" s="54"/>
      <c r="K1255" s="54"/>
      <c r="L1255" s="54"/>
      <c r="M1255" s="97" t="str">
        <f t="shared" si="122"/>
        <v/>
      </c>
      <c r="N1255" s="70"/>
      <c r="O1255" s="71" t="str">
        <f t="shared" si="121"/>
        <v/>
      </c>
      <c r="P1255" s="66"/>
      <c r="Q1255" s="66"/>
      <c r="R1255" s="54"/>
      <c r="S1255" s="82"/>
      <c r="T1255" s="83" t="str">
        <f t="shared" si="123"/>
        <v/>
      </c>
      <c r="U1255" s="10"/>
      <c r="V1255" s="41">
        <f>IF(AND(Q1255&lt;&gt;"",RIGHT(Q1255,3)&lt;&gt;""),IF(COUNTIF($Q$6:Q1255,Q1255)=1,1,0),0)</f>
        <v>0</v>
      </c>
      <c r="W1255" s="41" t="str">
        <f t="shared" si="124"/>
        <v/>
      </c>
      <c r="X1255" s="41" t="str">
        <f t="shared" si="125"/>
        <v/>
      </c>
    </row>
    <row r="1256" s="32" customFormat="1" hidden="1" customHeight="1" spans="1:24">
      <c r="A1256" s="34"/>
      <c r="B1256" s="51"/>
      <c r="C1256" s="51"/>
      <c r="D1256" s="52"/>
      <c r="E1256" s="53"/>
      <c r="F1256" s="54"/>
      <c r="G1256" s="54"/>
      <c r="H1256" s="54"/>
      <c r="I1256" s="66"/>
      <c r="J1256" s="54"/>
      <c r="K1256" s="54"/>
      <c r="L1256" s="54"/>
      <c r="M1256" s="97" t="str">
        <f t="shared" si="122"/>
        <v/>
      </c>
      <c r="N1256" s="70"/>
      <c r="O1256" s="71" t="str">
        <f t="shared" si="121"/>
        <v/>
      </c>
      <c r="P1256" s="66"/>
      <c r="Q1256" s="66"/>
      <c r="R1256" s="54"/>
      <c r="S1256" s="82"/>
      <c r="T1256" s="83" t="str">
        <f t="shared" si="123"/>
        <v/>
      </c>
      <c r="U1256" s="10"/>
      <c r="V1256" s="41">
        <f>IF(AND(Q1256&lt;&gt;"",RIGHT(Q1256,3)&lt;&gt;""),IF(COUNTIF($Q$6:Q1256,Q1256)=1,1,0),0)</f>
        <v>0</v>
      </c>
      <c r="W1256" s="41" t="str">
        <f t="shared" si="124"/>
        <v/>
      </c>
      <c r="X1256" s="41" t="str">
        <f t="shared" si="125"/>
        <v/>
      </c>
    </row>
    <row r="1257" s="32" customFormat="1" hidden="1" customHeight="1" spans="1:24">
      <c r="A1257" s="34"/>
      <c r="B1257" s="51"/>
      <c r="C1257" s="51"/>
      <c r="D1257" s="52"/>
      <c r="E1257" s="53"/>
      <c r="F1257" s="54"/>
      <c r="G1257" s="54"/>
      <c r="H1257" s="54"/>
      <c r="I1257" s="66"/>
      <c r="J1257" s="54"/>
      <c r="K1257" s="54"/>
      <c r="L1257" s="54"/>
      <c r="M1257" s="97" t="str">
        <f t="shared" si="122"/>
        <v/>
      </c>
      <c r="N1257" s="70"/>
      <c r="O1257" s="71" t="str">
        <f t="shared" si="121"/>
        <v/>
      </c>
      <c r="P1257" s="66"/>
      <c r="Q1257" s="66"/>
      <c r="R1257" s="54"/>
      <c r="S1257" s="82"/>
      <c r="T1257" s="83" t="str">
        <f t="shared" si="123"/>
        <v/>
      </c>
      <c r="U1257" s="10"/>
      <c r="V1257" s="41">
        <f>IF(AND(Q1257&lt;&gt;"",RIGHT(Q1257,3)&lt;&gt;""),IF(COUNTIF($Q$6:Q1257,Q1257)=1,1,0),0)</f>
        <v>0</v>
      </c>
      <c r="W1257" s="41" t="str">
        <f t="shared" si="124"/>
        <v/>
      </c>
      <c r="X1257" s="41" t="str">
        <f t="shared" si="125"/>
        <v/>
      </c>
    </row>
    <row r="1258" s="32" customFormat="1" hidden="1" customHeight="1" spans="1:24">
      <c r="A1258" s="34"/>
      <c r="B1258" s="51"/>
      <c r="C1258" s="51"/>
      <c r="D1258" s="52"/>
      <c r="E1258" s="53"/>
      <c r="F1258" s="54"/>
      <c r="G1258" s="54"/>
      <c r="H1258" s="54"/>
      <c r="I1258" s="66"/>
      <c r="J1258" s="54"/>
      <c r="K1258" s="54"/>
      <c r="L1258" s="54"/>
      <c r="M1258" s="97" t="str">
        <f t="shared" si="122"/>
        <v/>
      </c>
      <c r="N1258" s="70"/>
      <c r="O1258" s="71" t="str">
        <f t="shared" si="121"/>
        <v/>
      </c>
      <c r="P1258" s="66"/>
      <c r="Q1258" s="66"/>
      <c r="R1258" s="54"/>
      <c r="S1258" s="82"/>
      <c r="T1258" s="83" t="str">
        <f t="shared" si="123"/>
        <v/>
      </c>
      <c r="U1258" s="10"/>
      <c r="V1258" s="41">
        <f>IF(AND(Q1258&lt;&gt;"",RIGHT(Q1258,3)&lt;&gt;""),IF(COUNTIF($Q$6:Q1258,Q1258)=1,1,0),0)</f>
        <v>0</v>
      </c>
      <c r="W1258" s="41" t="str">
        <f t="shared" si="124"/>
        <v/>
      </c>
      <c r="X1258" s="41" t="str">
        <f t="shared" si="125"/>
        <v/>
      </c>
    </row>
    <row r="1259" s="32" customFormat="1" hidden="1" customHeight="1" spans="1:24">
      <c r="A1259" s="34"/>
      <c r="B1259" s="51"/>
      <c r="C1259" s="51"/>
      <c r="D1259" s="52"/>
      <c r="E1259" s="53"/>
      <c r="F1259" s="54"/>
      <c r="G1259" s="54"/>
      <c r="H1259" s="54"/>
      <c r="I1259" s="66"/>
      <c r="J1259" s="54"/>
      <c r="K1259" s="54"/>
      <c r="L1259" s="54"/>
      <c r="M1259" s="97" t="str">
        <f t="shared" si="122"/>
        <v/>
      </c>
      <c r="N1259" s="70"/>
      <c r="O1259" s="71" t="str">
        <f t="shared" si="121"/>
        <v/>
      </c>
      <c r="P1259" s="66"/>
      <c r="Q1259" s="66"/>
      <c r="R1259" s="54"/>
      <c r="S1259" s="82"/>
      <c r="T1259" s="83" t="str">
        <f t="shared" si="123"/>
        <v/>
      </c>
      <c r="U1259" s="10"/>
      <c r="V1259" s="41">
        <f>IF(AND(Q1259&lt;&gt;"",RIGHT(Q1259,3)&lt;&gt;""),IF(COUNTIF($Q$6:Q1259,Q1259)=1,1,0),0)</f>
        <v>0</v>
      </c>
      <c r="W1259" s="41" t="str">
        <f t="shared" si="124"/>
        <v/>
      </c>
      <c r="X1259" s="41" t="str">
        <f t="shared" si="125"/>
        <v/>
      </c>
    </row>
    <row r="1260" s="32" customFormat="1" hidden="1" customHeight="1" spans="1:24">
      <c r="A1260" s="34"/>
      <c r="B1260" s="51"/>
      <c r="C1260" s="51"/>
      <c r="D1260" s="52"/>
      <c r="E1260" s="53"/>
      <c r="F1260" s="54"/>
      <c r="G1260" s="54"/>
      <c r="H1260" s="54"/>
      <c r="I1260" s="66"/>
      <c r="J1260" s="54"/>
      <c r="K1260" s="54"/>
      <c r="L1260" s="54"/>
      <c r="M1260" s="97" t="str">
        <f t="shared" si="122"/>
        <v/>
      </c>
      <c r="N1260" s="70"/>
      <c r="O1260" s="71" t="str">
        <f t="shared" si="121"/>
        <v/>
      </c>
      <c r="P1260" s="66"/>
      <c r="Q1260" s="66"/>
      <c r="R1260" s="54"/>
      <c r="S1260" s="82"/>
      <c r="T1260" s="83" t="str">
        <f t="shared" si="123"/>
        <v/>
      </c>
      <c r="U1260" s="10"/>
      <c r="V1260" s="41">
        <f>IF(AND(Q1260&lt;&gt;"",RIGHT(Q1260,3)&lt;&gt;""),IF(COUNTIF($Q$6:Q1260,Q1260)=1,1,0),0)</f>
        <v>0</v>
      </c>
      <c r="W1260" s="41" t="str">
        <f t="shared" si="124"/>
        <v/>
      </c>
      <c r="X1260" s="41" t="str">
        <f t="shared" si="125"/>
        <v/>
      </c>
    </row>
    <row r="1261" s="32" customFormat="1" hidden="1" customHeight="1" spans="1:24">
      <c r="A1261" s="34"/>
      <c r="B1261" s="51"/>
      <c r="C1261" s="51"/>
      <c r="D1261" s="52"/>
      <c r="E1261" s="53"/>
      <c r="F1261" s="54"/>
      <c r="G1261" s="54"/>
      <c r="H1261" s="54"/>
      <c r="I1261" s="66"/>
      <c r="J1261" s="54"/>
      <c r="K1261" s="54"/>
      <c r="L1261" s="54"/>
      <c r="M1261" s="97" t="str">
        <f t="shared" si="122"/>
        <v/>
      </c>
      <c r="N1261" s="70"/>
      <c r="O1261" s="71" t="str">
        <f t="shared" si="121"/>
        <v/>
      </c>
      <c r="P1261" s="66"/>
      <c r="Q1261" s="66"/>
      <c r="R1261" s="54"/>
      <c r="S1261" s="82"/>
      <c r="T1261" s="83" t="str">
        <f t="shared" si="123"/>
        <v/>
      </c>
      <c r="U1261" s="10"/>
      <c r="V1261" s="41">
        <f>IF(AND(Q1261&lt;&gt;"",RIGHT(Q1261,3)&lt;&gt;""),IF(COUNTIF($Q$6:Q1261,Q1261)=1,1,0),0)</f>
        <v>0</v>
      </c>
      <c r="W1261" s="41" t="str">
        <f t="shared" si="124"/>
        <v/>
      </c>
      <c r="X1261" s="41" t="str">
        <f t="shared" si="125"/>
        <v/>
      </c>
    </row>
    <row r="1262" s="32" customFormat="1" hidden="1" customHeight="1" spans="1:24">
      <c r="A1262" s="34"/>
      <c r="B1262" s="51"/>
      <c r="C1262" s="51"/>
      <c r="D1262" s="52"/>
      <c r="E1262" s="53"/>
      <c r="F1262" s="54"/>
      <c r="G1262" s="54"/>
      <c r="H1262" s="54"/>
      <c r="I1262" s="66"/>
      <c r="J1262" s="54"/>
      <c r="K1262" s="54"/>
      <c r="L1262" s="54"/>
      <c r="M1262" s="97" t="str">
        <f t="shared" si="122"/>
        <v/>
      </c>
      <c r="N1262" s="70"/>
      <c r="O1262" s="71" t="str">
        <f t="shared" si="121"/>
        <v/>
      </c>
      <c r="P1262" s="66"/>
      <c r="Q1262" s="66"/>
      <c r="R1262" s="54"/>
      <c r="S1262" s="82"/>
      <c r="T1262" s="83" t="str">
        <f t="shared" si="123"/>
        <v/>
      </c>
      <c r="U1262" s="10"/>
      <c r="V1262" s="41">
        <f>IF(AND(Q1262&lt;&gt;"",RIGHT(Q1262,3)&lt;&gt;""),IF(COUNTIF($Q$6:Q1262,Q1262)=1,1,0),0)</f>
        <v>0</v>
      </c>
      <c r="W1262" s="41" t="str">
        <f t="shared" si="124"/>
        <v/>
      </c>
      <c r="X1262" s="41" t="str">
        <f t="shared" si="125"/>
        <v/>
      </c>
    </row>
    <row r="1263" s="32" customFormat="1" hidden="1" customHeight="1" spans="1:24">
      <c r="A1263" s="34"/>
      <c r="B1263" s="51"/>
      <c r="C1263" s="51"/>
      <c r="D1263" s="52"/>
      <c r="E1263" s="53"/>
      <c r="F1263" s="54"/>
      <c r="G1263" s="54"/>
      <c r="H1263" s="54"/>
      <c r="I1263" s="66"/>
      <c r="J1263" s="54"/>
      <c r="K1263" s="54"/>
      <c r="L1263" s="54"/>
      <c r="M1263" s="97" t="str">
        <f t="shared" si="122"/>
        <v/>
      </c>
      <c r="N1263" s="70"/>
      <c r="O1263" s="71" t="str">
        <f t="shared" si="121"/>
        <v/>
      </c>
      <c r="P1263" s="66"/>
      <c r="Q1263" s="66"/>
      <c r="R1263" s="54"/>
      <c r="S1263" s="82"/>
      <c r="T1263" s="83" t="str">
        <f t="shared" si="123"/>
        <v/>
      </c>
      <c r="U1263" s="10"/>
      <c r="V1263" s="41">
        <f>IF(AND(Q1263&lt;&gt;"",RIGHT(Q1263,3)&lt;&gt;""),IF(COUNTIF($Q$6:Q1263,Q1263)=1,1,0),0)</f>
        <v>0</v>
      </c>
      <c r="W1263" s="41" t="str">
        <f t="shared" si="124"/>
        <v/>
      </c>
      <c r="X1263" s="41" t="str">
        <f t="shared" si="125"/>
        <v/>
      </c>
    </row>
    <row r="1264" s="32" customFormat="1" hidden="1" customHeight="1" spans="1:24">
      <c r="A1264" s="34"/>
      <c r="B1264" s="51"/>
      <c r="C1264" s="51"/>
      <c r="D1264" s="52"/>
      <c r="E1264" s="53"/>
      <c r="F1264" s="54"/>
      <c r="G1264" s="54"/>
      <c r="H1264" s="54"/>
      <c r="I1264" s="66"/>
      <c r="J1264" s="54"/>
      <c r="K1264" s="54"/>
      <c r="L1264" s="54"/>
      <c r="M1264" s="97" t="str">
        <f t="shared" si="122"/>
        <v/>
      </c>
      <c r="N1264" s="70"/>
      <c r="O1264" s="71" t="str">
        <f t="shared" si="121"/>
        <v/>
      </c>
      <c r="P1264" s="66"/>
      <c r="Q1264" s="66"/>
      <c r="R1264" s="54"/>
      <c r="S1264" s="82"/>
      <c r="T1264" s="83" t="str">
        <f t="shared" si="123"/>
        <v/>
      </c>
      <c r="U1264" s="10"/>
      <c r="V1264" s="41">
        <f>IF(AND(Q1264&lt;&gt;"",RIGHT(Q1264,3)&lt;&gt;""),IF(COUNTIF($Q$6:Q1264,Q1264)=1,1,0),0)</f>
        <v>0</v>
      </c>
      <c r="W1264" s="41" t="str">
        <f t="shared" si="124"/>
        <v/>
      </c>
      <c r="X1264" s="41" t="str">
        <f t="shared" si="125"/>
        <v/>
      </c>
    </row>
    <row r="1265" s="32" customFormat="1" hidden="1" customHeight="1" spans="1:24">
      <c r="A1265" s="34"/>
      <c r="B1265" s="51"/>
      <c r="C1265" s="51"/>
      <c r="D1265" s="52"/>
      <c r="E1265" s="53"/>
      <c r="F1265" s="54"/>
      <c r="G1265" s="54"/>
      <c r="H1265" s="54"/>
      <c r="I1265" s="66"/>
      <c r="J1265" s="54"/>
      <c r="K1265" s="54"/>
      <c r="L1265" s="54"/>
      <c r="M1265" s="97" t="str">
        <f t="shared" si="122"/>
        <v/>
      </c>
      <c r="N1265" s="70"/>
      <c r="O1265" s="71" t="str">
        <f t="shared" ref="O1265:O1328" si="126">IF(AND(Q1265&lt;&gt;"",T1265&lt;&gt;""),"PASSIVE",IF(AND(J1265&lt;&gt;"",M1265&lt;&gt;""),"ACTIVE",""))</f>
        <v/>
      </c>
      <c r="P1265" s="66"/>
      <c r="Q1265" s="66"/>
      <c r="R1265" s="54"/>
      <c r="S1265" s="82"/>
      <c r="T1265" s="83" t="str">
        <f t="shared" si="123"/>
        <v/>
      </c>
      <c r="U1265" s="10"/>
      <c r="V1265" s="41">
        <f>IF(AND(Q1265&lt;&gt;"",RIGHT(Q1265,3)&lt;&gt;""),IF(COUNTIF($Q$6:Q1265,Q1265)=1,1,0),0)</f>
        <v>0</v>
      </c>
      <c r="W1265" s="41" t="str">
        <f t="shared" si="124"/>
        <v/>
      </c>
      <c r="X1265" s="41" t="str">
        <f t="shared" si="125"/>
        <v/>
      </c>
    </row>
    <row r="1266" s="32" customFormat="1" hidden="1" customHeight="1" spans="1:24">
      <c r="A1266" s="34"/>
      <c r="B1266" s="51"/>
      <c r="C1266" s="51"/>
      <c r="D1266" s="52"/>
      <c r="E1266" s="53"/>
      <c r="F1266" s="54"/>
      <c r="G1266" s="54"/>
      <c r="H1266" s="54"/>
      <c r="I1266" s="66"/>
      <c r="J1266" s="54"/>
      <c r="K1266" s="54"/>
      <c r="L1266" s="54"/>
      <c r="M1266" s="97" t="str">
        <f t="shared" si="122"/>
        <v/>
      </c>
      <c r="N1266" s="70"/>
      <c r="O1266" s="71" t="str">
        <f t="shared" si="126"/>
        <v/>
      </c>
      <c r="P1266" s="66"/>
      <c r="Q1266" s="66"/>
      <c r="R1266" s="54"/>
      <c r="S1266" s="82"/>
      <c r="T1266" s="83" t="str">
        <f t="shared" si="123"/>
        <v/>
      </c>
      <c r="U1266" s="10"/>
      <c r="V1266" s="41">
        <f>IF(AND(Q1266&lt;&gt;"",RIGHT(Q1266,3)&lt;&gt;""),IF(COUNTIF($Q$6:Q1266,Q1266)=1,1,0),0)</f>
        <v>0</v>
      </c>
      <c r="W1266" s="41" t="str">
        <f t="shared" si="124"/>
        <v/>
      </c>
      <c r="X1266" s="41" t="str">
        <f t="shared" si="125"/>
        <v/>
      </c>
    </row>
    <row r="1267" s="32" customFormat="1" hidden="1" customHeight="1" spans="1:24">
      <c r="A1267" s="34"/>
      <c r="B1267" s="51"/>
      <c r="C1267" s="51"/>
      <c r="D1267" s="52"/>
      <c r="E1267" s="53"/>
      <c r="F1267" s="54"/>
      <c r="G1267" s="54"/>
      <c r="H1267" s="54"/>
      <c r="I1267" s="66"/>
      <c r="J1267" s="54"/>
      <c r="K1267" s="54"/>
      <c r="L1267" s="54"/>
      <c r="M1267" s="97" t="str">
        <f t="shared" si="122"/>
        <v/>
      </c>
      <c r="N1267" s="70"/>
      <c r="O1267" s="71" t="str">
        <f t="shared" si="126"/>
        <v/>
      </c>
      <c r="P1267" s="66"/>
      <c r="Q1267" s="66"/>
      <c r="R1267" s="54"/>
      <c r="S1267" s="82"/>
      <c r="T1267" s="83" t="str">
        <f t="shared" si="123"/>
        <v/>
      </c>
      <c r="U1267" s="10"/>
      <c r="V1267" s="41">
        <f>IF(AND(Q1267&lt;&gt;"",RIGHT(Q1267,3)&lt;&gt;""),IF(COUNTIF($Q$6:Q1267,Q1267)=1,1,0),0)</f>
        <v>0</v>
      </c>
      <c r="W1267" s="41" t="str">
        <f t="shared" si="124"/>
        <v/>
      </c>
      <c r="X1267" s="41" t="str">
        <f t="shared" si="125"/>
        <v/>
      </c>
    </row>
    <row r="1268" s="32" customFormat="1" hidden="1" customHeight="1" spans="1:24">
      <c r="A1268" s="34"/>
      <c r="B1268" s="51"/>
      <c r="C1268" s="51"/>
      <c r="D1268" s="52"/>
      <c r="E1268" s="53"/>
      <c r="F1268" s="54"/>
      <c r="G1268" s="54"/>
      <c r="H1268" s="54"/>
      <c r="I1268" s="66"/>
      <c r="J1268" s="54"/>
      <c r="K1268" s="54"/>
      <c r="L1268" s="54"/>
      <c r="M1268" s="97" t="str">
        <f t="shared" si="122"/>
        <v/>
      </c>
      <c r="N1268" s="70"/>
      <c r="O1268" s="71" t="str">
        <f t="shared" si="126"/>
        <v/>
      </c>
      <c r="P1268" s="66"/>
      <c r="Q1268" s="66"/>
      <c r="R1268" s="54"/>
      <c r="S1268" s="82"/>
      <c r="T1268" s="83" t="str">
        <f t="shared" si="123"/>
        <v/>
      </c>
      <c r="U1268" s="10"/>
      <c r="V1268" s="41">
        <f>IF(AND(Q1268&lt;&gt;"",RIGHT(Q1268,3)&lt;&gt;""),IF(COUNTIF($Q$6:Q1268,Q1268)=1,1,0),0)</f>
        <v>0</v>
      </c>
      <c r="W1268" s="41" t="str">
        <f t="shared" si="124"/>
        <v/>
      </c>
      <c r="X1268" s="41" t="str">
        <f t="shared" si="125"/>
        <v/>
      </c>
    </row>
    <row r="1269" s="32" customFormat="1" hidden="1" customHeight="1" spans="1:24">
      <c r="A1269" s="34"/>
      <c r="B1269" s="51"/>
      <c r="C1269" s="51"/>
      <c r="D1269" s="52"/>
      <c r="E1269" s="53"/>
      <c r="F1269" s="54"/>
      <c r="G1269" s="54"/>
      <c r="H1269" s="54"/>
      <c r="I1269" s="66"/>
      <c r="J1269" s="54"/>
      <c r="K1269" s="54"/>
      <c r="L1269" s="54"/>
      <c r="M1269" s="97" t="str">
        <f t="shared" si="122"/>
        <v/>
      </c>
      <c r="N1269" s="70"/>
      <c r="O1269" s="71" t="str">
        <f t="shared" si="126"/>
        <v/>
      </c>
      <c r="P1269" s="66"/>
      <c r="Q1269" s="66"/>
      <c r="R1269" s="54"/>
      <c r="S1269" s="82"/>
      <c r="T1269" s="83" t="str">
        <f t="shared" si="123"/>
        <v/>
      </c>
      <c r="U1269" s="10"/>
      <c r="V1269" s="41">
        <f>IF(AND(Q1269&lt;&gt;"",RIGHT(Q1269,3)&lt;&gt;""),IF(COUNTIF($Q$6:Q1269,Q1269)=1,1,0),0)</f>
        <v>0</v>
      </c>
      <c r="W1269" s="41" t="str">
        <f t="shared" si="124"/>
        <v/>
      </c>
      <c r="X1269" s="41" t="str">
        <f t="shared" si="125"/>
        <v/>
      </c>
    </row>
    <row r="1270" s="32" customFormat="1" hidden="1" customHeight="1" spans="1:24">
      <c r="A1270" s="34"/>
      <c r="B1270" s="51"/>
      <c r="C1270" s="51"/>
      <c r="D1270" s="52"/>
      <c r="E1270" s="53"/>
      <c r="F1270" s="54"/>
      <c r="G1270" s="54"/>
      <c r="H1270" s="54"/>
      <c r="I1270" s="66"/>
      <c r="J1270" s="54"/>
      <c r="K1270" s="54"/>
      <c r="L1270" s="54"/>
      <c r="M1270" s="97" t="str">
        <f t="shared" si="122"/>
        <v/>
      </c>
      <c r="N1270" s="70"/>
      <c r="O1270" s="71" t="str">
        <f t="shared" si="126"/>
        <v/>
      </c>
      <c r="P1270" s="66"/>
      <c r="Q1270" s="66"/>
      <c r="R1270" s="54"/>
      <c r="S1270" s="82"/>
      <c r="T1270" s="83" t="str">
        <f t="shared" si="123"/>
        <v/>
      </c>
      <c r="U1270" s="10"/>
      <c r="V1270" s="41">
        <f>IF(AND(Q1270&lt;&gt;"",RIGHT(Q1270,3)&lt;&gt;""),IF(COUNTIF($Q$6:Q1270,Q1270)=1,1,0),0)</f>
        <v>0</v>
      </c>
      <c r="W1270" s="41" t="str">
        <f t="shared" si="124"/>
        <v/>
      </c>
      <c r="X1270" s="41" t="str">
        <f t="shared" si="125"/>
        <v/>
      </c>
    </row>
    <row r="1271" s="32" customFormat="1" hidden="1" customHeight="1" spans="1:24">
      <c r="A1271" s="34"/>
      <c r="B1271" s="51"/>
      <c r="C1271" s="51"/>
      <c r="D1271" s="52"/>
      <c r="E1271" s="53"/>
      <c r="F1271" s="54"/>
      <c r="G1271" s="54"/>
      <c r="H1271" s="54"/>
      <c r="I1271" s="66"/>
      <c r="J1271" s="54"/>
      <c r="K1271" s="54"/>
      <c r="L1271" s="54"/>
      <c r="M1271" s="97" t="str">
        <f t="shared" si="122"/>
        <v/>
      </c>
      <c r="N1271" s="70"/>
      <c r="O1271" s="71" t="str">
        <f t="shared" si="126"/>
        <v/>
      </c>
      <c r="P1271" s="66"/>
      <c r="Q1271" s="66"/>
      <c r="R1271" s="54"/>
      <c r="S1271" s="82"/>
      <c r="T1271" s="83" t="str">
        <f t="shared" si="123"/>
        <v/>
      </c>
      <c r="U1271" s="10"/>
      <c r="V1271" s="41">
        <f>IF(AND(Q1271&lt;&gt;"",RIGHT(Q1271,3)&lt;&gt;""),IF(COUNTIF($Q$6:Q1271,Q1271)=1,1,0),0)</f>
        <v>0</v>
      </c>
      <c r="W1271" s="41" t="str">
        <f t="shared" si="124"/>
        <v/>
      </c>
      <c r="X1271" s="41" t="str">
        <f t="shared" si="125"/>
        <v/>
      </c>
    </row>
    <row r="1272" s="32" customFormat="1" hidden="1" customHeight="1" spans="1:24">
      <c r="A1272" s="34"/>
      <c r="B1272" s="51"/>
      <c r="C1272" s="51"/>
      <c r="D1272" s="52"/>
      <c r="E1272" s="53"/>
      <c r="F1272" s="54"/>
      <c r="G1272" s="54"/>
      <c r="H1272" s="54"/>
      <c r="I1272" s="66"/>
      <c r="J1272" s="54"/>
      <c r="K1272" s="54"/>
      <c r="L1272" s="54"/>
      <c r="M1272" s="97" t="str">
        <f t="shared" si="122"/>
        <v/>
      </c>
      <c r="N1272" s="70"/>
      <c r="O1272" s="71" t="str">
        <f t="shared" si="126"/>
        <v/>
      </c>
      <c r="P1272" s="66"/>
      <c r="Q1272" s="66"/>
      <c r="R1272" s="54"/>
      <c r="S1272" s="82"/>
      <c r="T1272" s="83" t="str">
        <f t="shared" si="123"/>
        <v/>
      </c>
      <c r="U1272" s="10"/>
      <c r="V1272" s="41">
        <f>IF(AND(Q1272&lt;&gt;"",RIGHT(Q1272,3)&lt;&gt;""),IF(COUNTIF($Q$6:Q1272,Q1272)=1,1,0),0)</f>
        <v>0</v>
      </c>
      <c r="W1272" s="41" t="str">
        <f t="shared" si="124"/>
        <v/>
      </c>
      <c r="X1272" s="41" t="str">
        <f t="shared" si="125"/>
        <v/>
      </c>
    </row>
    <row r="1273" s="32" customFormat="1" hidden="1" customHeight="1" spans="1:24">
      <c r="A1273" s="34"/>
      <c r="B1273" s="51"/>
      <c r="C1273" s="51"/>
      <c r="D1273" s="52"/>
      <c r="E1273" s="53"/>
      <c r="F1273" s="54"/>
      <c r="G1273" s="54"/>
      <c r="H1273" s="54"/>
      <c r="I1273" s="66"/>
      <c r="J1273" s="54"/>
      <c r="K1273" s="54"/>
      <c r="L1273" s="54"/>
      <c r="M1273" s="97" t="str">
        <f t="shared" si="122"/>
        <v/>
      </c>
      <c r="N1273" s="70"/>
      <c r="O1273" s="71" t="str">
        <f t="shared" si="126"/>
        <v/>
      </c>
      <c r="P1273" s="66"/>
      <c r="Q1273" s="66"/>
      <c r="R1273" s="54"/>
      <c r="S1273" s="82"/>
      <c r="T1273" s="83" t="str">
        <f t="shared" si="123"/>
        <v/>
      </c>
      <c r="U1273" s="10"/>
      <c r="V1273" s="41">
        <f>IF(AND(Q1273&lt;&gt;"",RIGHT(Q1273,3)&lt;&gt;""),IF(COUNTIF($Q$6:Q1273,Q1273)=1,1,0),0)</f>
        <v>0</v>
      </c>
      <c r="W1273" s="41" t="str">
        <f t="shared" si="124"/>
        <v/>
      </c>
      <c r="X1273" s="41" t="str">
        <f t="shared" si="125"/>
        <v/>
      </c>
    </row>
    <row r="1274" s="32" customFormat="1" hidden="1" customHeight="1" spans="1:24">
      <c r="A1274" s="34"/>
      <c r="B1274" s="51"/>
      <c r="C1274" s="51"/>
      <c r="D1274" s="52"/>
      <c r="E1274" s="53"/>
      <c r="F1274" s="54"/>
      <c r="G1274" s="54"/>
      <c r="H1274" s="54"/>
      <c r="I1274" s="66"/>
      <c r="J1274" s="54"/>
      <c r="K1274" s="54"/>
      <c r="L1274" s="54"/>
      <c r="M1274" s="97" t="str">
        <f t="shared" si="122"/>
        <v/>
      </c>
      <c r="N1274" s="70"/>
      <c r="O1274" s="71" t="str">
        <f t="shared" si="126"/>
        <v/>
      </c>
      <c r="P1274" s="66"/>
      <c r="Q1274" s="66"/>
      <c r="R1274" s="54"/>
      <c r="S1274" s="82"/>
      <c r="T1274" s="83" t="str">
        <f t="shared" si="123"/>
        <v/>
      </c>
      <c r="U1274" s="10"/>
      <c r="V1274" s="41">
        <f>IF(AND(Q1274&lt;&gt;"",RIGHT(Q1274,3)&lt;&gt;""),IF(COUNTIF($Q$6:Q1274,Q1274)=1,1,0),0)</f>
        <v>0</v>
      </c>
      <c r="W1274" s="41" t="str">
        <f t="shared" si="124"/>
        <v/>
      </c>
      <c r="X1274" s="41" t="str">
        <f t="shared" si="125"/>
        <v/>
      </c>
    </row>
    <row r="1275" s="32" customFormat="1" hidden="1" customHeight="1" spans="1:24">
      <c r="A1275" s="34"/>
      <c r="B1275" s="51"/>
      <c r="C1275" s="51"/>
      <c r="D1275" s="52"/>
      <c r="E1275" s="53"/>
      <c r="F1275" s="54"/>
      <c r="G1275" s="54"/>
      <c r="H1275" s="54"/>
      <c r="I1275" s="66"/>
      <c r="J1275" s="54"/>
      <c r="K1275" s="54"/>
      <c r="L1275" s="54"/>
      <c r="M1275" s="97" t="str">
        <f t="shared" si="122"/>
        <v/>
      </c>
      <c r="N1275" s="70"/>
      <c r="O1275" s="71" t="str">
        <f t="shared" si="126"/>
        <v/>
      </c>
      <c r="P1275" s="66"/>
      <c r="Q1275" s="66"/>
      <c r="R1275" s="54"/>
      <c r="S1275" s="82"/>
      <c r="T1275" s="83" t="str">
        <f t="shared" si="123"/>
        <v/>
      </c>
      <c r="U1275" s="10"/>
      <c r="V1275" s="41">
        <f>IF(AND(Q1275&lt;&gt;"",RIGHT(Q1275,3)&lt;&gt;""),IF(COUNTIF($Q$6:Q1275,Q1275)=1,1,0),0)</f>
        <v>0</v>
      </c>
      <c r="W1275" s="41" t="str">
        <f t="shared" si="124"/>
        <v/>
      </c>
      <c r="X1275" s="41" t="str">
        <f t="shared" si="125"/>
        <v/>
      </c>
    </row>
    <row r="1276" s="32" customFormat="1" hidden="1" customHeight="1" spans="1:24">
      <c r="A1276" s="34"/>
      <c r="B1276" s="51"/>
      <c r="C1276" s="51"/>
      <c r="D1276" s="52"/>
      <c r="E1276" s="53"/>
      <c r="F1276" s="54"/>
      <c r="G1276" s="54"/>
      <c r="H1276" s="54"/>
      <c r="I1276" s="66"/>
      <c r="J1276" s="54"/>
      <c r="K1276" s="54"/>
      <c r="L1276" s="54"/>
      <c r="M1276" s="97" t="str">
        <f t="shared" si="122"/>
        <v/>
      </c>
      <c r="N1276" s="70"/>
      <c r="O1276" s="71" t="str">
        <f t="shared" si="126"/>
        <v/>
      </c>
      <c r="P1276" s="66"/>
      <c r="Q1276" s="66"/>
      <c r="R1276" s="54"/>
      <c r="S1276" s="82"/>
      <c r="T1276" s="83" t="str">
        <f t="shared" si="123"/>
        <v/>
      </c>
      <c r="U1276" s="10"/>
      <c r="V1276" s="41">
        <f>IF(AND(Q1276&lt;&gt;"",RIGHT(Q1276,3)&lt;&gt;""),IF(COUNTIF($Q$6:Q1276,Q1276)=1,1,0),0)</f>
        <v>0</v>
      </c>
      <c r="W1276" s="41" t="str">
        <f t="shared" si="124"/>
        <v/>
      </c>
      <c r="X1276" s="41" t="str">
        <f t="shared" si="125"/>
        <v/>
      </c>
    </row>
    <row r="1277" s="32" customFormat="1" hidden="1" customHeight="1" spans="1:24">
      <c r="A1277" s="34"/>
      <c r="B1277" s="51"/>
      <c r="C1277" s="51"/>
      <c r="D1277" s="52"/>
      <c r="E1277" s="53"/>
      <c r="F1277" s="54"/>
      <c r="G1277" s="54"/>
      <c r="H1277" s="54"/>
      <c r="I1277" s="66"/>
      <c r="J1277" s="54"/>
      <c r="K1277" s="54"/>
      <c r="L1277" s="54"/>
      <c r="M1277" s="97" t="str">
        <f t="shared" si="122"/>
        <v/>
      </c>
      <c r="N1277" s="70"/>
      <c r="O1277" s="71" t="str">
        <f t="shared" si="126"/>
        <v/>
      </c>
      <c r="P1277" s="66"/>
      <c r="Q1277" s="66"/>
      <c r="R1277" s="54"/>
      <c r="S1277" s="82"/>
      <c r="T1277" s="83" t="str">
        <f t="shared" si="123"/>
        <v/>
      </c>
      <c r="U1277" s="10"/>
      <c r="V1277" s="41">
        <f>IF(AND(Q1277&lt;&gt;"",RIGHT(Q1277,3)&lt;&gt;""),IF(COUNTIF($Q$6:Q1277,Q1277)=1,1,0),0)</f>
        <v>0</v>
      </c>
      <c r="W1277" s="41" t="str">
        <f t="shared" si="124"/>
        <v/>
      </c>
      <c r="X1277" s="41" t="str">
        <f t="shared" si="125"/>
        <v/>
      </c>
    </row>
    <row r="1278" s="32" customFormat="1" hidden="1" customHeight="1" spans="1:24">
      <c r="A1278" s="34"/>
      <c r="B1278" s="51"/>
      <c r="C1278" s="51"/>
      <c r="D1278" s="52"/>
      <c r="E1278" s="53"/>
      <c r="F1278" s="54"/>
      <c r="G1278" s="54"/>
      <c r="H1278" s="54"/>
      <c r="I1278" s="66"/>
      <c r="J1278" s="54"/>
      <c r="K1278" s="54"/>
      <c r="L1278" s="54"/>
      <c r="M1278" s="97" t="str">
        <f t="shared" si="122"/>
        <v/>
      </c>
      <c r="N1278" s="70"/>
      <c r="O1278" s="71" t="str">
        <f t="shared" si="126"/>
        <v/>
      </c>
      <c r="P1278" s="66"/>
      <c r="Q1278" s="66"/>
      <c r="R1278" s="54"/>
      <c r="S1278" s="82"/>
      <c r="T1278" s="83" t="str">
        <f t="shared" si="123"/>
        <v/>
      </c>
      <c r="U1278" s="10"/>
      <c r="V1278" s="41">
        <f>IF(AND(Q1278&lt;&gt;"",RIGHT(Q1278,3)&lt;&gt;""),IF(COUNTIF($Q$6:Q1278,Q1278)=1,1,0),0)</f>
        <v>0</v>
      </c>
      <c r="W1278" s="41" t="str">
        <f t="shared" si="124"/>
        <v/>
      </c>
      <c r="X1278" s="41" t="str">
        <f t="shared" si="125"/>
        <v/>
      </c>
    </row>
    <row r="1279" s="32" customFormat="1" hidden="1" customHeight="1" spans="1:24">
      <c r="A1279" s="34"/>
      <c r="B1279" s="51"/>
      <c r="C1279" s="51"/>
      <c r="D1279" s="52"/>
      <c r="E1279" s="53"/>
      <c r="F1279" s="54"/>
      <c r="G1279" s="54"/>
      <c r="H1279" s="54"/>
      <c r="I1279" s="66"/>
      <c r="J1279" s="54"/>
      <c r="K1279" s="54"/>
      <c r="L1279" s="54"/>
      <c r="M1279" s="97" t="str">
        <f t="shared" si="122"/>
        <v/>
      </c>
      <c r="N1279" s="70"/>
      <c r="O1279" s="71" t="str">
        <f t="shared" si="126"/>
        <v/>
      </c>
      <c r="P1279" s="66"/>
      <c r="Q1279" s="66"/>
      <c r="R1279" s="54"/>
      <c r="S1279" s="82"/>
      <c r="T1279" s="83" t="str">
        <f t="shared" si="123"/>
        <v/>
      </c>
      <c r="U1279" s="10"/>
      <c r="V1279" s="41">
        <f>IF(AND(Q1279&lt;&gt;"",RIGHT(Q1279,3)&lt;&gt;""),IF(COUNTIF($Q$6:Q1279,Q1279)=1,1,0),0)</f>
        <v>0</v>
      </c>
      <c r="W1279" s="41" t="str">
        <f t="shared" si="124"/>
        <v/>
      </c>
      <c r="X1279" s="41" t="str">
        <f t="shared" si="125"/>
        <v/>
      </c>
    </row>
    <row r="1280" s="32" customFormat="1" hidden="1" customHeight="1" spans="1:24">
      <c r="A1280" s="34"/>
      <c r="B1280" s="51"/>
      <c r="C1280" s="51"/>
      <c r="D1280" s="52"/>
      <c r="E1280" s="53"/>
      <c r="F1280" s="54"/>
      <c r="G1280" s="54"/>
      <c r="H1280" s="54"/>
      <c r="I1280" s="66"/>
      <c r="J1280" s="54"/>
      <c r="K1280" s="54"/>
      <c r="L1280" s="54"/>
      <c r="M1280" s="97" t="str">
        <f t="shared" si="122"/>
        <v/>
      </c>
      <c r="N1280" s="70"/>
      <c r="O1280" s="71" t="str">
        <f t="shared" si="126"/>
        <v/>
      </c>
      <c r="P1280" s="66"/>
      <c r="Q1280" s="66"/>
      <c r="R1280" s="54"/>
      <c r="S1280" s="82"/>
      <c r="T1280" s="83" t="str">
        <f t="shared" si="123"/>
        <v/>
      </c>
      <c r="U1280" s="10"/>
      <c r="V1280" s="41">
        <f>IF(AND(Q1280&lt;&gt;"",RIGHT(Q1280,3)&lt;&gt;""),IF(COUNTIF($Q$6:Q1280,Q1280)=1,1,0),0)</f>
        <v>0</v>
      </c>
      <c r="W1280" s="41" t="str">
        <f t="shared" si="124"/>
        <v/>
      </c>
      <c r="X1280" s="41" t="str">
        <f t="shared" si="125"/>
        <v/>
      </c>
    </row>
    <row r="1281" s="32" customFormat="1" hidden="1" customHeight="1" spans="1:24">
      <c r="A1281" s="34"/>
      <c r="B1281" s="51"/>
      <c r="C1281" s="51"/>
      <c r="D1281" s="52"/>
      <c r="E1281" s="53"/>
      <c r="F1281" s="54"/>
      <c r="G1281" s="54"/>
      <c r="H1281" s="54"/>
      <c r="I1281" s="66"/>
      <c r="J1281" s="54"/>
      <c r="K1281" s="54"/>
      <c r="L1281" s="54"/>
      <c r="M1281" s="97" t="str">
        <f t="shared" si="122"/>
        <v/>
      </c>
      <c r="N1281" s="70"/>
      <c r="O1281" s="71" t="str">
        <f t="shared" si="126"/>
        <v/>
      </c>
      <c r="P1281" s="66"/>
      <c r="Q1281" s="66"/>
      <c r="R1281" s="54"/>
      <c r="S1281" s="82"/>
      <c r="T1281" s="83" t="str">
        <f t="shared" si="123"/>
        <v/>
      </c>
      <c r="U1281" s="10"/>
      <c r="V1281" s="41">
        <f>IF(AND(Q1281&lt;&gt;"",RIGHT(Q1281,3)&lt;&gt;""),IF(COUNTIF($Q$6:Q1281,Q1281)=1,1,0),0)</f>
        <v>0</v>
      </c>
      <c r="W1281" s="41" t="str">
        <f t="shared" si="124"/>
        <v/>
      </c>
      <c r="X1281" s="41" t="str">
        <f t="shared" si="125"/>
        <v/>
      </c>
    </row>
    <row r="1282" s="32" customFormat="1" hidden="1" customHeight="1" spans="1:24">
      <c r="A1282" s="34"/>
      <c r="B1282" s="51"/>
      <c r="C1282" s="51"/>
      <c r="D1282" s="52"/>
      <c r="E1282" s="53"/>
      <c r="F1282" s="54"/>
      <c r="G1282" s="54"/>
      <c r="H1282" s="54"/>
      <c r="I1282" s="66"/>
      <c r="J1282" s="54"/>
      <c r="K1282" s="54"/>
      <c r="L1282" s="54"/>
      <c r="M1282" s="97" t="str">
        <f t="shared" si="122"/>
        <v/>
      </c>
      <c r="N1282" s="70"/>
      <c r="O1282" s="71" t="str">
        <f t="shared" si="126"/>
        <v/>
      </c>
      <c r="P1282" s="66"/>
      <c r="Q1282" s="66"/>
      <c r="R1282" s="54"/>
      <c r="S1282" s="82"/>
      <c r="T1282" s="83" t="str">
        <f t="shared" si="123"/>
        <v/>
      </c>
      <c r="U1282" s="10"/>
      <c r="V1282" s="41">
        <f>IF(AND(Q1282&lt;&gt;"",RIGHT(Q1282,3)&lt;&gt;""),IF(COUNTIF($Q$6:Q1282,Q1282)=1,1,0),0)</f>
        <v>0</v>
      </c>
      <c r="W1282" s="41" t="str">
        <f t="shared" si="124"/>
        <v/>
      </c>
      <c r="X1282" s="41" t="str">
        <f t="shared" si="125"/>
        <v/>
      </c>
    </row>
    <row r="1283" s="32" customFormat="1" hidden="1" customHeight="1" spans="1:24">
      <c r="A1283" s="34"/>
      <c r="B1283" s="51"/>
      <c r="C1283" s="51"/>
      <c r="D1283" s="52"/>
      <c r="E1283" s="53"/>
      <c r="F1283" s="54"/>
      <c r="G1283" s="54"/>
      <c r="H1283" s="54"/>
      <c r="I1283" s="66"/>
      <c r="J1283" s="54"/>
      <c r="K1283" s="54"/>
      <c r="L1283" s="54"/>
      <c r="M1283" s="97" t="str">
        <f t="shared" si="122"/>
        <v/>
      </c>
      <c r="N1283" s="70"/>
      <c r="O1283" s="71" t="str">
        <f t="shared" si="126"/>
        <v/>
      </c>
      <c r="P1283" s="66"/>
      <c r="Q1283" s="66"/>
      <c r="R1283" s="54"/>
      <c r="S1283" s="82"/>
      <c r="T1283" s="83" t="str">
        <f t="shared" si="123"/>
        <v/>
      </c>
      <c r="U1283" s="10"/>
      <c r="V1283" s="41">
        <f>IF(AND(Q1283&lt;&gt;"",RIGHT(Q1283,3)&lt;&gt;""),IF(COUNTIF($Q$6:Q1283,Q1283)=1,1,0),0)</f>
        <v>0</v>
      </c>
      <c r="W1283" s="41" t="str">
        <f t="shared" si="124"/>
        <v/>
      </c>
      <c r="X1283" s="41" t="str">
        <f t="shared" si="125"/>
        <v/>
      </c>
    </row>
    <row r="1284" s="32" customFormat="1" hidden="1" customHeight="1" spans="1:24">
      <c r="A1284" s="34"/>
      <c r="B1284" s="51"/>
      <c r="C1284" s="51"/>
      <c r="D1284" s="52"/>
      <c r="E1284" s="53"/>
      <c r="F1284" s="54"/>
      <c r="G1284" s="54"/>
      <c r="H1284" s="54"/>
      <c r="I1284" s="66"/>
      <c r="J1284" s="54"/>
      <c r="K1284" s="54"/>
      <c r="L1284" s="54"/>
      <c r="M1284" s="97" t="str">
        <f t="shared" si="122"/>
        <v/>
      </c>
      <c r="N1284" s="70"/>
      <c r="O1284" s="71" t="str">
        <f t="shared" si="126"/>
        <v/>
      </c>
      <c r="P1284" s="66"/>
      <c r="Q1284" s="66"/>
      <c r="R1284" s="54"/>
      <c r="S1284" s="82"/>
      <c r="T1284" s="83" t="str">
        <f t="shared" si="123"/>
        <v/>
      </c>
      <c r="U1284" s="10"/>
      <c r="V1284" s="41">
        <f>IF(AND(Q1284&lt;&gt;"",RIGHT(Q1284,3)&lt;&gt;""),IF(COUNTIF($Q$6:Q1284,Q1284)=1,1,0),0)</f>
        <v>0</v>
      </c>
      <c r="W1284" s="41" t="str">
        <f t="shared" si="124"/>
        <v/>
      </c>
      <c r="X1284" s="41" t="str">
        <f t="shared" si="125"/>
        <v/>
      </c>
    </row>
    <row r="1285" s="32" customFormat="1" hidden="1" customHeight="1" spans="1:24">
      <c r="A1285" s="34"/>
      <c r="B1285" s="51"/>
      <c r="C1285" s="51"/>
      <c r="D1285" s="52"/>
      <c r="E1285" s="53"/>
      <c r="F1285" s="54"/>
      <c r="G1285" s="54"/>
      <c r="H1285" s="54"/>
      <c r="I1285" s="66"/>
      <c r="J1285" s="54"/>
      <c r="K1285" s="54"/>
      <c r="L1285" s="54"/>
      <c r="M1285" s="97" t="str">
        <f t="shared" si="122"/>
        <v/>
      </c>
      <c r="N1285" s="70"/>
      <c r="O1285" s="71" t="str">
        <f t="shared" si="126"/>
        <v/>
      </c>
      <c r="P1285" s="66"/>
      <c r="Q1285" s="66"/>
      <c r="R1285" s="54"/>
      <c r="S1285" s="82"/>
      <c r="T1285" s="83" t="str">
        <f t="shared" si="123"/>
        <v/>
      </c>
      <c r="U1285" s="10"/>
      <c r="V1285" s="41">
        <f>IF(AND(Q1285&lt;&gt;"",RIGHT(Q1285,3)&lt;&gt;""),IF(COUNTIF($Q$6:Q1285,Q1285)=1,1,0),0)</f>
        <v>0</v>
      </c>
      <c r="W1285" s="41" t="str">
        <f t="shared" si="124"/>
        <v/>
      </c>
      <c r="X1285" s="41" t="str">
        <f t="shared" si="125"/>
        <v/>
      </c>
    </row>
    <row r="1286" s="32" customFormat="1" hidden="1" customHeight="1" spans="1:24">
      <c r="A1286" s="34"/>
      <c r="B1286" s="51"/>
      <c r="C1286" s="51"/>
      <c r="D1286" s="52"/>
      <c r="E1286" s="53"/>
      <c r="F1286" s="54"/>
      <c r="G1286" s="54"/>
      <c r="H1286" s="54"/>
      <c r="I1286" s="66"/>
      <c r="J1286" s="54"/>
      <c r="K1286" s="54"/>
      <c r="L1286" s="54"/>
      <c r="M1286" s="97" t="str">
        <f t="shared" si="122"/>
        <v/>
      </c>
      <c r="N1286" s="70"/>
      <c r="O1286" s="71" t="str">
        <f t="shared" si="126"/>
        <v/>
      </c>
      <c r="P1286" s="66"/>
      <c r="Q1286" s="66"/>
      <c r="R1286" s="54"/>
      <c r="S1286" s="82"/>
      <c r="T1286" s="83" t="str">
        <f t="shared" si="123"/>
        <v/>
      </c>
      <c r="U1286" s="10"/>
      <c r="V1286" s="41">
        <f>IF(AND(Q1286&lt;&gt;"",RIGHT(Q1286,3)&lt;&gt;""),IF(COUNTIF($Q$6:Q1286,Q1286)=1,1,0),0)</f>
        <v>0</v>
      </c>
      <c r="W1286" s="41" t="str">
        <f t="shared" si="124"/>
        <v/>
      </c>
      <c r="X1286" s="41" t="str">
        <f t="shared" si="125"/>
        <v/>
      </c>
    </row>
    <row r="1287" s="32" customFormat="1" hidden="1" customHeight="1" spans="1:24">
      <c r="A1287" s="34"/>
      <c r="B1287" s="51"/>
      <c r="C1287" s="51"/>
      <c r="D1287" s="52"/>
      <c r="E1287" s="53"/>
      <c r="F1287" s="54"/>
      <c r="G1287" s="54"/>
      <c r="H1287" s="54"/>
      <c r="I1287" s="66"/>
      <c r="J1287" s="54"/>
      <c r="K1287" s="54"/>
      <c r="L1287" s="54"/>
      <c r="M1287" s="97" t="str">
        <f t="shared" si="122"/>
        <v/>
      </c>
      <c r="N1287" s="70"/>
      <c r="O1287" s="71" t="str">
        <f t="shared" si="126"/>
        <v/>
      </c>
      <c r="P1287" s="66"/>
      <c r="Q1287" s="66"/>
      <c r="R1287" s="54"/>
      <c r="S1287" s="82"/>
      <c r="T1287" s="83" t="str">
        <f t="shared" si="123"/>
        <v/>
      </c>
      <c r="U1287" s="10"/>
      <c r="V1287" s="41">
        <f>IF(AND(Q1287&lt;&gt;"",RIGHT(Q1287,3)&lt;&gt;""),IF(COUNTIF($Q$6:Q1287,Q1287)=1,1,0),0)</f>
        <v>0</v>
      </c>
      <c r="W1287" s="41" t="str">
        <f t="shared" si="124"/>
        <v/>
      </c>
      <c r="X1287" s="41" t="str">
        <f t="shared" si="125"/>
        <v/>
      </c>
    </row>
    <row r="1288" s="32" customFormat="1" hidden="1" customHeight="1" spans="1:24">
      <c r="A1288" s="34"/>
      <c r="B1288" s="51"/>
      <c r="C1288" s="51"/>
      <c r="D1288" s="52"/>
      <c r="E1288" s="53"/>
      <c r="F1288" s="54"/>
      <c r="G1288" s="54"/>
      <c r="H1288" s="54"/>
      <c r="I1288" s="66"/>
      <c r="J1288" s="54"/>
      <c r="K1288" s="54"/>
      <c r="L1288" s="54"/>
      <c r="M1288" s="97" t="str">
        <f t="shared" si="122"/>
        <v/>
      </c>
      <c r="N1288" s="70"/>
      <c r="O1288" s="71" t="str">
        <f t="shared" si="126"/>
        <v/>
      </c>
      <c r="P1288" s="66"/>
      <c r="Q1288" s="66"/>
      <c r="R1288" s="54"/>
      <c r="S1288" s="82"/>
      <c r="T1288" s="83" t="str">
        <f t="shared" si="123"/>
        <v/>
      </c>
      <c r="U1288" s="10"/>
      <c r="V1288" s="41">
        <f>IF(AND(Q1288&lt;&gt;"",RIGHT(Q1288,3)&lt;&gt;""),IF(COUNTIF($Q$6:Q1288,Q1288)=1,1,0),0)</f>
        <v>0</v>
      </c>
      <c r="W1288" s="41" t="str">
        <f t="shared" si="124"/>
        <v/>
      </c>
      <c r="X1288" s="41" t="str">
        <f t="shared" si="125"/>
        <v/>
      </c>
    </row>
    <row r="1289" s="32" customFormat="1" hidden="1" customHeight="1" spans="1:24">
      <c r="A1289" s="34"/>
      <c r="B1289" s="51"/>
      <c r="C1289" s="51"/>
      <c r="D1289" s="52"/>
      <c r="E1289" s="53"/>
      <c r="F1289" s="54"/>
      <c r="G1289" s="54"/>
      <c r="H1289" s="54"/>
      <c r="I1289" s="66"/>
      <c r="J1289" s="54"/>
      <c r="K1289" s="54"/>
      <c r="L1289" s="54"/>
      <c r="M1289" s="97" t="str">
        <f t="shared" si="122"/>
        <v/>
      </c>
      <c r="N1289" s="70"/>
      <c r="O1289" s="71" t="str">
        <f t="shared" si="126"/>
        <v/>
      </c>
      <c r="P1289" s="66"/>
      <c r="Q1289" s="66"/>
      <c r="R1289" s="54"/>
      <c r="S1289" s="82"/>
      <c r="T1289" s="83" t="str">
        <f t="shared" si="123"/>
        <v/>
      </c>
      <c r="U1289" s="10"/>
      <c r="V1289" s="41">
        <f>IF(AND(Q1289&lt;&gt;"",RIGHT(Q1289,3)&lt;&gt;""),IF(COUNTIF($Q$6:Q1289,Q1289)=1,1,0),0)</f>
        <v>0</v>
      </c>
      <c r="W1289" s="41" t="str">
        <f t="shared" si="124"/>
        <v/>
      </c>
      <c r="X1289" s="41" t="str">
        <f t="shared" si="125"/>
        <v/>
      </c>
    </row>
    <row r="1290" s="32" customFormat="1" hidden="1" customHeight="1" spans="1:24">
      <c r="A1290" s="34"/>
      <c r="B1290" s="51"/>
      <c r="C1290" s="51"/>
      <c r="D1290" s="52"/>
      <c r="E1290" s="53"/>
      <c r="F1290" s="54"/>
      <c r="G1290" s="54"/>
      <c r="H1290" s="54"/>
      <c r="I1290" s="66"/>
      <c r="J1290" s="54"/>
      <c r="K1290" s="54"/>
      <c r="L1290" s="54"/>
      <c r="M1290" s="97" t="str">
        <f t="shared" si="122"/>
        <v/>
      </c>
      <c r="N1290" s="70"/>
      <c r="O1290" s="71" t="str">
        <f t="shared" si="126"/>
        <v/>
      </c>
      <c r="P1290" s="66"/>
      <c r="Q1290" s="66"/>
      <c r="R1290" s="54"/>
      <c r="S1290" s="82"/>
      <c r="T1290" s="83" t="str">
        <f t="shared" si="123"/>
        <v/>
      </c>
      <c r="U1290" s="10"/>
      <c r="V1290" s="41">
        <f>IF(AND(Q1290&lt;&gt;"",RIGHT(Q1290,3)&lt;&gt;""),IF(COUNTIF($Q$6:Q1290,Q1290)=1,1,0),0)</f>
        <v>0</v>
      </c>
      <c r="W1290" s="41" t="str">
        <f t="shared" si="124"/>
        <v/>
      </c>
      <c r="X1290" s="41" t="str">
        <f t="shared" si="125"/>
        <v/>
      </c>
    </row>
    <row r="1291" s="32" customFormat="1" hidden="1" customHeight="1" spans="1:24">
      <c r="A1291" s="34"/>
      <c r="B1291" s="51"/>
      <c r="C1291" s="51"/>
      <c r="D1291" s="52"/>
      <c r="E1291" s="53"/>
      <c r="F1291" s="54"/>
      <c r="G1291" s="54"/>
      <c r="H1291" s="54"/>
      <c r="I1291" s="66"/>
      <c r="J1291" s="54"/>
      <c r="K1291" s="54"/>
      <c r="L1291" s="54"/>
      <c r="M1291" s="97" t="str">
        <f t="shared" si="122"/>
        <v/>
      </c>
      <c r="N1291" s="70"/>
      <c r="O1291" s="71" t="str">
        <f t="shared" si="126"/>
        <v/>
      </c>
      <c r="P1291" s="66"/>
      <c r="Q1291" s="66"/>
      <c r="R1291" s="54"/>
      <c r="S1291" s="82"/>
      <c r="T1291" s="83" t="str">
        <f t="shared" si="123"/>
        <v/>
      </c>
      <c r="U1291" s="10"/>
      <c r="V1291" s="41">
        <f>IF(AND(Q1291&lt;&gt;"",RIGHT(Q1291,3)&lt;&gt;""),IF(COUNTIF($Q$6:Q1291,Q1291)=1,1,0),0)</f>
        <v>0</v>
      </c>
      <c r="W1291" s="41" t="str">
        <f t="shared" si="124"/>
        <v/>
      </c>
      <c r="X1291" s="41" t="str">
        <f t="shared" si="125"/>
        <v/>
      </c>
    </row>
    <row r="1292" s="32" customFormat="1" hidden="1" customHeight="1" spans="1:24">
      <c r="A1292" s="34"/>
      <c r="B1292" s="51"/>
      <c r="C1292" s="51"/>
      <c r="D1292" s="52"/>
      <c r="E1292" s="53"/>
      <c r="F1292" s="54"/>
      <c r="G1292" s="54"/>
      <c r="H1292" s="54"/>
      <c r="I1292" s="66"/>
      <c r="J1292" s="54"/>
      <c r="K1292" s="54"/>
      <c r="L1292" s="54"/>
      <c r="M1292" s="97" t="str">
        <f t="shared" si="122"/>
        <v/>
      </c>
      <c r="N1292" s="70"/>
      <c r="O1292" s="71" t="str">
        <f t="shared" si="126"/>
        <v/>
      </c>
      <c r="P1292" s="66"/>
      <c r="Q1292" s="66"/>
      <c r="R1292" s="54"/>
      <c r="S1292" s="82"/>
      <c r="T1292" s="83" t="str">
        <f t="shared" si="123"/>
        <v/>
      </c>
      <c r="U1292" s="10"/>
      <c r="V1292" s="41">
        <f>IF(AND(Q1292&lt;&gt;"",RIGHT(Q1292,3)&lt;&gt;""),IF(COUNTIF($Q$6:Q1292,Q1292)=1,1,0),0)</f>
        <v>0</v>
      </c>
      <c r="W1292" s="41" t="str">
        <f t="shared" si="124"/>
        <v/>
      </c>
      <c r="X1292" s="41" t="str">
        <f t="shared" si="125"/>
        <v/>
      </c>
    </row>
    <row r="1293" s="32" customFormat="1" hidden="1" customHeight="1" spans="1:24">
      <c r="A1293" s="34"/>
      <c r="B1293" s="51"/>
      <c r="C1293" s="51"/>
      <c r="D1293" s="52"/>
      <c r="E1293" s="53"/>
      <c r="F1293" s="54"/>
      <c r="G1293" s="54"/>
      <c r="H1293" s="54"/>
      <c r="I1293" s="66"/>
      <c r="J1293" s="54"/>
      <c r="K1293" s="54"/>
      <c r="L1293" s="54"/>
      <c r="M1293" s="97" t="str">
        <f t="shared" si="122"/>
        <v/>
      </c>
      <c r="N1293" s="70"/>
      <c r="O1293" s="71" t="str">
        <f t="shared" si="126"/>
        <v/>
      </c>
      <c r="P1293" s="66"/>
      <c r="Q1293" s="66"/>
      <c r="R1293" s="54"/>
      <c r="S1293" s="82"/>
      <c r="T1293" s="83" t="str">
        <f t="shared" si="123"/>
        <v/>
      </c>
      <c r="U1293" s="10"/>
      <c r="V1293" s="41">
        <f>IF(AND(Q1293&lt;&gt;"",RIGHT(Q1293,3)&lt;&gt;""),IF(COUNTIF($Q$6:Q1293,Q1293)=1,1,0),0)</f>
        <v>0</v>
      </c>
      <c r="W1293" s="41" t="str">
        <f t="shared" si="124"/>
        <v/>
      </c>
      <c r="X1293" s="41" t="str">
        <f t="shared" si="125"/>
        <v/>
      </c>
    </row>
    <row r="1294" s="32" customFormat="1" hidden="1" customHeight="1" spans="1:24">
      <c r="A1294" s="34"/>
      <c r="B1294" s="51"/>
      <c r="C1294" s="51"/>
      <c r="D1294" s="52"/>
      <c r="E1294" s="53"/>
      <c r="F1294" s="54"/>
      <c r="G1294" s="54"/>
      <c r="H1294" s="54"/>
      <c r="I1294" s="66"/>
      <c r="J1294" s="54"/>
      <c r="K1294" s="54"/>
      <c r="L1294" s="54"/>
      <c r="M1294" s="97" t="str">
        <f t="shared" si="122"/>
        <v/>
      </c>
      <c r="N1294" s="70"/>
      <c r="O1294" s="71" t="str">
        <f t="shared" si="126"/>
        <v/>
      </c>
      <c r="P1294" s="66"/>
      <c r="Q1294" s="66"/>
      <c r="R1294" s="54"/>
      <c r="S1294" s="82"/>
      <c r="T1294" s="83" t="str">
        <f t="shared" si="123"/>
        <v/>
      </c>
      <c r="U1294" s="10"/>
      <c r="V1294" s="41">
        <f>IF(AND(Q1294&lt;&gt;"",RIGHT(Q1294,3)&lt;&gt;""),IF(COUNTIF($Q$6:Q1294,Q1294)=1,1,0),0)</f>
        <v>0</v>
      </c>
      <c r="W1294" s="41" t="str">
        <f t="shared" si="124"/>
        <v/>
      </c>
      <c r="X1294" s="41" t="str">
        <f t="shared" si="125"/>
        <v/>
      </c>
    </row>
    <row r="1295" s="32" customFormat="1" hidden="1" customHeight="1" spans="1:24">
      <c r="A1295" s="34"/>
      <c r="B1295" s="51"/>
      <c r="C1295" s="51"/>
      <c r="D1295" s="52"/>
      <c r="E1295" s="53"/>
      <c r="F1295" s="54"/>
      <c r="G1295" s="54"/>
      <c r="H1295" s="54"/>
      <c r="I1295" s="66"/>
      <c r="J1295" s="54"/>
      <c r="K1295" s="54"/>
      <c r="L1295" s="54"/>
      <c r="M1295" s="97" t="str">
        <f t="shared" si="122"/>
        <v/>
      </c>
      <c r="N1295" s="70"/>
      <c r="O1295" s="71" t="str">
        <f t="shared" si="126"/>
        <v/>
      </c>
      <c r="P1295" s="66"/>
      <c r="Q1295" s="66"/>
      <c r="R1295" s="54"/>
      <c r="S1295" s="82"/>
      <c r="T1295" s="83" t="str">
        <f t="shared" si="123"/>
        <v/>
      </c>
      <c r="U1295" s="10"/>
      <c r="V1295" s="41">
        <f>IF(AND(Q1295&lt;&gt;"",RIGHT(Q1295,3)&lt;&gt;""),IF(COUNTIF($Q$6:Q1295,Q1295)=1,1,0),0)</f>
        <v>0</v>
      </c>
      <c r="W1295" s="41" t="str">
        <f t="shared" si="124"/>
        <v/>
      </c>
      <c r="X1295" s="41" t="str">
        <f t="shared" si="125"/>
        <v/>
      </c>
    </row>
    <row r="1296" s="32" customFormat="1" hidden="1" customHeight="1" spans="1:24">
      <c r="A1296" s="34"/>
      <c r="B1296" s="51"/>
      <c r="C1296" s="51"/>
      <c r="D1296" s="52"/>
      <c r="E1296" s="53"/>
      <c r="F1296" s="54"/>
      <c r="G1296" s="54"/>
      <c r="H1296" s="54"/>
      <c r="I1296" s="66"/>
      <c r="J1296" s="54"/>
      <c r="K1296" s="54"/>
      <c r="L1296" s="54"/>
      <c r="M1296" s="97" t="str">
        <f t="shared" si="122"/>
        <v/>
      </c>
      <c r="N1296" s="70"/>
      <c r="O1296" s="71" t="str">
        <f t="shared" si="126"/>
        <v/>
      </c>
      <c r="P1296" s="66"/>
      <c r="Q1296" s="66"/>
      <c r="R1296" s="54"/>
      <c r="S1296" s="82"/>
      <c r="T1296" s="83" t="str">
        <f t="shared" si="123"/>
        <v/>
      </c>
      <c r="U1296" s="10"/>
      <c r="V1296" s="41">
        <f>IF(AND(Q1296&lt;&gt;"",RIGHT(Q1296,3)&lt;&gt;""),IF(COUNTIF($Q$6:Q1296,Q1296)=1,1,0),0)</f>
        <v>0</v>
      </c>
      <c r="W1296" s="41" t="str">
        <f t="shared" si="124"/>
        <v/>
      </c>
      <c r="X1296" s="41" t="str">
        <f t="shared" si="125"/>
        <v/>
      </c>
    </row>
    <row r="1297" s="32" customFormat="1" hidden="1" customHeight="1" spans="1:24">
      <c r="A1297" s="34"/>
      <c r="B1297" s="51"/>
      <c r="C1297" s="51"/>
      <c r="D1297" s="52"/>
      <c r="E1297" s="53"/>
      <c r="F1297" s="54"/>
      <c r="G1297" s="54"/>
      <c r="H1297" s="54"/>
      <c r="I1297" s="66"/>
      <c r="J1297" s="54"/>
      <c r="K1297" s="54"/>
      <c r="L1297" s="54"/>
      <c r="M1297" s="97" t="str">
        <f t="shared" si="122"/>
        <v/>
      </c>
      <c r="N1297" s="70"/>
      <c r="O1297" s="71" t="str">
        <f t="shared" si="126"/>
        <v/>
      </c>
      <c r="P1297" s="66"/>
      <c r="Q1297" s="66"/>
      <c r="R1297" s="54"/>
      <c r="S1297" s="82"/>
      <c r="T1297" s="83" t="str">
        <f t="shared" si="123"/>
        <v/>
      </c>
      <c r="U1297" s="10"/>
      <c r="V1297" s="41">
        <f>IF(AND(Q1297&lt;&gt;"",RIGHT(Q1297,3)&lt;&gt;""),IF(COUNTIF($Q$6:Q1297,Q1297)=1,1,0),0)</f>
        <v>0</v>
      </c>
      <c r="W1297" s="41" t="str">
        <f t="shared" si="124"/>
        <v/>
      </c>
      <c r="X1297" s="41" t="str">
        <f t="shared" si="125"/>
        <v/>
      </c>
    </row>
    <row r="1298" s="32" customFormat="1" hidden="1" customHeight="1" spans="1:24">
      <c r="A1298" s="34"/>
      <c r="B1298" s="51"/>
      <c r="C1298" s="51"/>
      <c r="D1298" s="52"/>
      <c r="E1298" s="53"/>
      <c r="F1298" s="54"/>
      <c r="G1298" s="54"/>
      <c r="H1298" s="54"/>
      <c r="I1298" s="66"/>
      <c r="J1298" s="54"/>
      <c r="K1298" s="54"/>
      <c r="L1298" s="54"/>
      <c r="M1298" s="97" t="str">
        <f t="shared" si="122"/>
        <v/>
      </c>
      <c r="N1298" s="70"/>
      <c r="O1298" s="71" t="str">
        <f t="shared" si="126"/>
        <v/>
      </c>
      <c r="P1298" s="66"/>
      <c r="Q1298" s="66"/>
      <c r="R1298" s="54"/>
      <c r="S1298" s="82"/>
      <c r="T1298" s="83" t="str">
        <f t="shared" si="123"/>
        <v/>
      </c>
      <c r="U1298" s="10"/>
      <c r="V1298" s="41">
        <f>IF(AND(Q1298&lt;&gt;"",RIGHT(Q1298,3)&lt;&gt;""),IF(COUNTIF($Q$6:Q1298,Q1298)=1,1,0),0)</f>
        <v>0</v>
      </c>
      <c r="W1298" s="41" t="str">
        <f t="shared" si="124"/>
        <v/>
      </c>
      <c r="X1298" s="41" t="str">
        <f t="shared" si="125"/>
        <v/>
      </c>
    </row>
    <row r="1299" s="32" customFormat="1" hidden="1" customHeight="1" spans="1:24">
      <c r="A1299" s="34"/>
      <c r="B1299" s="51"/>
      <c r="C1299" s="51"/>
      <c r="D1299" s="52"/>
      <c r="E1299" s="53"/>
      <c r="F1299" s="54"/>
      <c r="G1299" s="54"/>
      <c r="H1299" s="54"/>
      <c r="I1299" s="66"/>
      <c r="J1299" s="54"/>
      <c r="K1299" s="54"/>
      <c r="L1299" s="54"/>
      <c r="M1299" s="97" t="str">
        <f t="shared" si="122"/>
        <v/>
      </c>
      <c r="N1299" s="70"/>
      <c r="O1299" s="71" t="str">
        <f t="shared" si="126"/>
        <v/>
      </c>
      <c r="P1299" s="66"/>
      <c r="Q1299" s="66"/>
      <c r="R1299" s="54"/>
      <c r="S1299" s="82"/>
      <c r="T1299" s="83" t="str">
        <f t="shared" si="123"/>
        <v/>
      </c>
      <c r="U1299" s="10"/>
      <c r="V1299" s="41">
        <f>IF(AND(Q1299&lt;&gt;"",RIGHT(Q1299,3)&lt;&gt;""),IF(COUNTIF($Q$6:Q1299,Q1299)=1,1,0),0)</f>
        <v>0</v>
      </c>
      <c r="W1299" s="41" t="str">
        <f t="shared" si="124"/>
        <v/>
      </c>
      <c r="X1299" s="41" t="str">
        <f t="shared" si="125"/>
        <v/>
      </c>
    </row>
    <row r="1300" s="32" customFormat="1" hidden="1" customHeight="1" spans="1:24">
      <c r="A1300" s="34"/>
      <c r="B1300" s="51"/>
      <c r="C1300" s="51"/>
      <c r="D1300" s="52"/>
      <c r="E1300" s="53"/>
      <c r="F1300" s="54"/>
      <c r="G1300" s="54"/>
      <c r="H1300" s="54"/>
      <c r="I1300" s="66"/>
      <c r="J1300" s="54"/>
      <c r="K1300" s="54"/>
      <c r="L1300" s="54"/>
      <c r="M1300" s="97" t="str">
        <f t="shared" si="122"/>
        <v/>
      </c>
      <c r="N1300" s="70"/>
      <c r="O1300" s="71" t="str">
        <f t="shared" si="126"/>
        <v/>
      </c>
      <c r="P1300" s="66"/>
      <c r="Q1300" s="66"/>
      <c r="R1300" s="54"/>
      <c r="S1300" s="82"/>
      <c r="T1300" s="83" t="str">
        <f t="shared" si="123"/>
        <v/>
      </c>
      <c r="U1300" s="10"/>
      <c r="V1300" s="41">
        <f>IF(AND(Q1300&lt;&gt;"",RIGHT(Q1300,3)&lt;&gt;""),IF(COUNTIF($Q$6:Q1300,Q1300)=1,1,0),0)</f>
        <v>0</v>
      </c>
      <c r="W1300" s="41" t="str">
        <f t="shared" si="124"/>
        <v/>
      </c>
      <c r="X1300" s="41" t="str">
        <f t="shared" si="125"/>
        <v/>
      </c>
    </row>
    <row r="1301" s="32" customFormat="1" hidden="1" customHeight="1" spans="1:24">
      <c r="A1301" s="34"/>
      <c r="B1301" s="51"/>
      <c r="C1301" s="51"/>
      <c r="D1301" s="52"/>
      <c r="E1301" s="53"/>
      <c r="F1301" s="54"/>
      <c r="G1301" s="54"/>
      <c r="H1301" s="54"/>
      <c r="I1301" s="66"/>
      <c r="J1301" s="54"/>
      <c r="K1301" s="54"/>
      <c r="L1301" s="54"/>
      <c r="M1301" s="97" t="str">
        <f t="shared" si="122"/>
        <v/>
      </c>
      <c r="N1301" s="70"/>
      <c r="O1301" s="71" t="str">
        <f t="shared" si="126"/>
        <v/>
      </c>
      <c r="P1301" s="66"/>
      <c r="Q1301" s="66"/>
      <c r="R1301" s="54"/>
      <c r="S1301" s="82"/>
      <c r="T1301" s="83" t="str">
        <f t="shared" si="123"/>
        <v/>
      </c>
      <c r="U1301" s="10"/>
      <c r="V1301" s="41">
        <f>IF(AND(Q1301&lt;&gt;"",RIGHT(Q1301,3)&lt;&gt;""),IF(COUNTIF($Q$6:Q1301,Q1301)=1,1,0),0)</f>
        <v>0</v>
      </c>
      <c r="W1301" s="41" t="str">
        <f t="shared" si="124"/>
        <v/>
      </c>
      <c r="X1301" s="41" t="str">
        <f t="shared" si="125"/>
        <v/>
      </c>
    </row>
    <row r="1302" s="32" customFormat="1" hidden="1" customHeight="1" spans="1:24">
      <c r="A1302" s="34"/>
      <c r="B1302" s="51"/>
      <c r="C1302" s="51"/>
      <c r="D1302" s="52"/>
      <c r="E1302" s="53"/>
      <c r="F1302" s="54"/>
      <c r="G1302" s="54"/>
      <c r="H1302" s="54"/>
      <c r="I1302" s="66"/>
      <c r="J1302" s="54"/>
      <c r="K1302" s="54"/>
      <c r="L1302" s="54"/>
      <c r="M1302" s="97" t="str">
        <f t="shared" si="122"/>
        <v/>
      </c>
      <c r="N1302" s="70"/>
      <c r="O1302" s="71" t="str">
        <f t="shared" si="126"/>
        <v/>
      </c>
      <c r="P1302" s="66"/>
      <c r="Q1302" s="66"/>
      <c r="R1302" s="54"/>
      <c r="S1302" s="82"/>
      <c r="T1302" s="83" t="str">
        <f t="shared" si="123"/>
        <v/>
      </c>
      <c r="U1302" s="10"/>
      <c r="V1302" s="41">
        <f>IF(AND(Q1302&lt;&gt;"",RIGHT(Q1302,3)&lt;&gt;""),IF(COUNTIF($Q$6:Q1302,Q1302)=1,1,0),0)</f>
        <v>0</v>
      </c>
      <c r="W1302" s="41" t="str">
        <f t="shared" si="124"/>
        <v/>
      </c>
      <c r="X1302" s="41" t="str">
        <f t="shared" si="125"/>
        <v/>
      </c>
    </row>
    <row r="1303" s="32" customFormat="1" hidden="1" customHeight="1" spans="1:24">
      <c r="A1303" s="34"/>
      <c r="B1303" s="51"/>
      <c r="C1303" s="51"/>
      <c r="D1303" s="52"/>
      <c r="E1303" s="53"/>
      <c r="F1303" s="54"/>
      <c r="G1303" s="54"/>
      <c r="H1303" s="54"/>
      <c r="I1303" s="66"/>
      <c r="J1303" s="54"/>
      <c r="K1303" s="54"/>
      <c r="L1303" s="54"/>
      <c r="M1303" s="97" t="str">
        <f t="shared" si="122"/>
        <v/>
      </c>
      <c r="N1303" s="70"/>
      <c r="O1303" s="71" t="str">
        <f t="shared" si="126"/>
        <v/>
      </c>
      <c r="P1303" s="66"/>
      <c r="Q1303" s="66"/>
      <c r="R1303" s="54"/>
      <c r="S1303" s="82"/>
      <c r="T1303" s="83" t="str">
        <f t="shared" si="123"/>
        <v/>
      </c>
      <c r="U1303" s="10"/>
      <c r="V1303" s="41">
        <f>IF(AND(Q1303&lt;&gt;"",RIGHT(Q1303,3)&lt;&gt;""),IF(COUNTIF($Q$6:Q1303,Q1303)=1,1,0),0)</f>
        <v>0</v>
      </c>
      <c r="W1303" s="41" t="str">
        <f t="shared" si="124"/>
        <v/>
      </c>
      <c r="X1303" s="41" t="str">
        <f t="shared" si="125"/>
        <v/>
      </c>
    </row>
    <row r="1304" s="32" customFormat="1" hidden="1" customHeight="1" spans="1:24">
      <c r="A1304" s="34"/>
      <c r="B1304" s="51"/>
      <c r="C1304" s="51"/>
      <c r="D1304" s="52"/>
      <c r="E1304" s="53"/>
      <c r="F1304" s="54"/>
      <c r="G1304" s="54"/>
      <c r="H1304" s="54"/>
      <c r="I1304" s="66"/>
      <c r="J1304" s="54"/>
      <c r="K1304" s="54"/>
      <c r="L1304" s="54"/>
      <c r="M1304" s="97" t="str">
        <f t="shared" si="122"/>
        <v/>
      </c>
      <c r="N1304" s="70"/>
      <c r="O1304" s="71" t="str">
        <f t="shared" si="126"/>
        <v/>
      </c>
      <c r="P1304" s="66"/>
      <c r="Q1304" s="66"/>
      <c r="R1304" s="54"/>
      <c r="S1304" s="82"/>
      <c r="T1304" s="83" t="str">
        <f t="shared" si="123"/>
        <v/>
      </c>
      <c r="U1304" s="10"/>
      <c r="V1304" s="41">
        <f>IF(AND(Q1304&lt;&gt;"",RIGHT(Q1304,3)&lt;&gt;""),IF(COUNTIF($Q$6:Q1304,Q1304)=1,1,0),0)</f>
        <v>0</v>
      </c>
      <c r="W1304" s="41" t="str">
        <f t="shared" si="124"/>
        <v/>
      </c>
      <c r="X1304" s="41" t="str">
        <f t="shared" si="125"/>
        <v/>
      </c>
    </row>
    <row r="1305" s="32" customFormat="1" hidden="1" customHeight="1" spans="1:24">
      <c r="A1305" s="34"/>
      <c r="B1305" s="51"/>
      <c r="C1305" s="51"/>
      <c r="D1305" s="52"/>
      <c r="E1305" s="53"/>
      <c r="F1305" s="54"/>
      <c r="G1305" s="54"/>
      <c r="H1305" s="54"/>
      <c r="I1305" s="66"/>
      <c r="J1305" s="54"/>
      <c r="K1305" s="54"/>
      <c r="L1305" s="54"/>
      <c r="M1305" s="97" t="str">
        <f t="shared" si="122"/>
        <v/>
      </c>
      <c r="N1305" s="70"/>
      <c r="O1305" s="71" t="str">
        <f t="shared" si="126"/>
        <v/>
      </c>
      <c r="P1305" s="66"/>
      <c r="Q1305" s="66"/>
      <c r="R1305" s="54"/>
      <c r="S1305" s="82"/>
      <c r="T1305" s="83" t="str">
        <f t="shared" si="123"/>
        <v/>
      </c>
      <c r="U1305" s="10"/>
      <c r="V1305" s="41">
        <f>IF(AND(Q1305&lt;&gt;"",RIGHT(Q1305,3)&lt;&gt;""),IF(COUNTIF($Q$6:Q1305,Q1305)=1,1,0),0)</f>
        <v>0</v>
      </c>
      <c r="W1305" s="41" t="str">
        <f t="shared" si="124"/>
        <v/>
      </c>
      <c r="X1305" s="41" t="str">
        <f t="shared" si="125"/>
        <v/>
      </c>
    </row>
    <row r="1306" s="32" customFormat="1" hidden="1" customHeight="1" spans="1:24">
      <c r="A1306" s="34"/>
      <c r="B1306" s="51"/>
      <c r="C1306" s="51"/>
      <c r="D1306" s="52"/>
      <c r="E1306" s="53"/>
      <c r="F1306" s="54"/>
      <c r="G1306" s="54"/>
      <c r="H1306" s="54"/>
      <c r="I1306" s="66"/>
      <c r="J1306" s="54"/>
      <c r="K1306" s="54"/>
      <c r="L1306" s="54"/>
      <c r="M1306" s="97" t="str">
        <f t="shared" si="122"/>
        <v/>
      </c>
      <c r="N1306" s="70"/>
      <c r="O1306" s="71" t="str">
        <f t="shared" si="126"/>
        <v/>
      </c>
      <c r="P1306" s="66"/>
      <c r="Q1306" s="66"/>
      <c r="R1306" s="54"/>
      <c r="S1306" s="82"/>
      <c r="T1306" s="83" t="str">
        <f t="shared" si="123"/>
        <v/>
      </c>
      <c r="U1306" s="10"/>
      <c r="V1306" s="41">
        <f>IF(AND(Q1306&lt;&gt;"",RIGHT(Q1306,3)&lt;&gt;""),IF(COUNTIF($Q$6:Q1306,Q1306)=1,1,0),0)</f>
        <v>0</v>
      </c>
      <c r="W1306" s="41" t="str">
        <f t="shared" si="124"/>
        <v/>
      </c>
      <c r="X1306" s="41" t="str">
        <f t="shared" si="125"/>
        <v/>
      </c>
    </row>
    <row r="1307" s="32" customFormat="1" hidden="1" customHeight="1" spans="1:24">
      <c r="A1307" s="34"/>
      <c r="B1307" s="51"/>
      <c r="C1307" s="51"/>
      <c r="D1307" s="52"/>
      <c r="E1307" s="53"/>
      <c r="F1307" s="54"/>
      <c r="G1307" s="54"/>
      <c r="H1307" s="54"/>
      <c r="I1307" s="66"/>
      <c r="J1307" s="54"/>
      <c r="K1307" s="54"/>
      <c r="L1307" s="54"/>
      <c r="M1307" s="97" t="str">
        <f t="shared" si="122"/>
        <v/>
      </c>
      <c r="N1307" s="70"/>
      <c r="O1307" s="71" t="str">
        <f t="shared" si="126"/>
        <v/>
      </c>
      <c r="P1307" s="66"/>
      <c r="Q1307" s="66"/>
      <c r="R1307" s="54"/>
      <c r="S1307" s="82"/>
      <c r="T1307" s="83" t="str">
        <f t="shared" si="123"/>
        <v/>
      </c>
      <c r="U1307" s="10"/>
      <c r="V1307" s="41">
        <f>IF(AND(Q1307&lt;&gt;"",RIGHT(Q1307,3)&lt;&gt;""),IF(COUNTIF($Q$6:Q1307,Q1307)=1,1,0),0)</f>
        <v>0</v>
      </c>
      <c r="W1307" s="41" t="str">
        <f t="shared" si="124"/>
        <v/>
      </c>
      <c r="X1307" s="41" t="str">
        <f t="shared" si="125"/>
        <v/>
      </c>
    </row>
    <row r="1308" s="32" customFormat="1" hidden="1" customHeight="1" spans="1:24">
      <c r="A1308" s="34"/>
      <c r="B1308" s="51"/>
      <c r="C1308" s="51"/>
      <c r="D1308" s="52"/>
      <c r="E1308" s="53"/>
      <c r="F1308" s="54"/>
      <c r="G1308" s="54"/>
      <c r="H1308" s="54"/>
      <c r="I1308" s="66"/>
      <c r="J1308" s="54"/>
      <c r="K1308" s="54"/>
      <c r="L1308" s="54"/>
      <c r="M1308" s="97" t="str">
        <f t="shared" si="122"/>
        <v/>
      </c>
      <c r="N1308" s="70"/>
      <c r="O1308" s="71" t="str">
        <f t="shared" si="126"/>
        <v/>
      </c>
      <c r="P1308" s="66"/>
      <c r="Q1308" s="66"/>
      <c r="R1308" s="54"/>
      <c r="S1308" s="82"/>
      <c r="T1308" s="83" t="str">
        <f t="shared" si="123"/>
        <v/>
      </c>
      <c r="U1308" s="10"/>
      <c r="V1308" s="41">
        <f>IF(AND(Q1308&lt;&gt;"",RIGHT(Q1308,3)&lt;&gt;""),IF(COUNTIF($Q$6:Q1308,Q1308)=1,1,0),0)</f>
        <v>0</v>
      </c>
      <c r="W1308" s="41" t="str">
        <f t="shared" si="124"/>
        <v/>
      </c>
      <c r="X1308" s="41" t="str">
        <f t="shared" si="125"/>
        <v/>
      </c>
    </row>
    <row r="1309" s="32" customFormat="1" hidden="1" customHeight="1" spans="1:24">
      <c r="A1309" s="34"/>
      <c r="B1309" s="51"/>
      <c r="C1309" s="51"/>
      <c r="D1309" s="52"/>
      <c r="E1309" s="53"/>
      <c r="F1309" s="54"/>
      <c r="G1309" s="54"/>
      <c r="H1309" s="54"/>
      <c r="I1309" s="66"/>
      <c r="J1309" s="54"/>
      <c r="K1309" s="54"/>
      <c r="L1309" s="54"/>
      <c r="M1309" s="97" t="str">
        <f t="shared" si="122"/>
        <v/>
      </c>
      <c r="N1309" s="70"/>
      <c r="O1309" s="71" t="str">
        <f t="shared" si="126"/>
        <v/>
      </c>
      <c r="P1309" s="66"/>
      <c r="Q1309" s="66"/>
      <c r="R1309" s="54"/>
      <c r="S1309" s="82"/>
      <c r="T1309" s="83" t="str">
        <f t="shared" si="123"/>
        <v/>
      </c>
      <c r="U1309" s="10"/>
      <c r="V1309" s="41">
        <f>IF(AND(Q1309&lt;&gt;"",RIGHT(Q1309,3)&lt;&gt;""),IF(COUNTIF($Q$6:Q1309,Q1309)=1,1,0),0)</f>
        <v>0</v>
      </c>
      <c r="W1309" s="41" t="str">
        <f t="shared" si="124"/>
        <v/>
      </c>
      <c r="X1309" s="41" t="str">
        <f t="shared" si="125"/>
        <v/>
      </c>
    </row>
    <row r="1310" s="32" customFormat="1" hidden="1" customHeight="1" spans="1:24">
      <c r="A1310" s="34"/>
      <c r="B1310" s="51"/>
      <c r="C1310" s="51"/>
      <c r="D1310" s="52"/>
      <c r="E1310" s="53"/>
      <c r="F1310" s="54"/>
      <c r="G1310" s="54"/>
      <c r="H1310" s="54"/>
      <c r="I1310" s="66"/>
      <c r="J1310" s="54"/>
      <c r="K1310" s="54"/>
      <c r="L1310" s="54"/>
      <c r="M1310" s="97" t="str">
        <f t="shared" si="122"/>
        <v/>
      </c>
      <c r="N1310" s="70"/>
      <c r="O1310" s="71" t="str">
        <f t="shared" si="126"/>
        <v/>
      </c>
      <c r="P1310" s="66"/>
      <c r="Q1310" s="66"/>
      <c r="R1310" s="54"/>
      <c r="S1310" s="82"/>
      <c r="T1310" s="83" t="str">
        <f t="shared" si="123"/>
        <v/>
      </c>
      <c r="U1310" s="10"/>
      <c r="V1310" s="41">
        <f>IF(AND(Q1310&lt;&gt;"",RIGHT(Q1310,3)&lt;&gt;""),IF(COUNTIF($Q$6:Q1310,Q1310)=1,1,0),0)</f>
        <v>0</v>
      </c>
      <c r="W1310" s="41" t="str">
        <f t="shared" si="124"/>
        <v/>
      </c>
      <c r="X1310" s="41" t="str">
        <f t="shared" si="125"/>
        <v/>
      </c>
    </row>
    <row r="1311" s="32" customFormat="1" hidden="1" customHeight="1" spans="1:24">
      <c r="A1311" s="34"/>
      <c r="B1311" s="51"/>
      <c r="C1311" s="51"/>
      <c r="D1311" s="52"/>
      <c r="E1311" s="53"/>
      <c r="F1311" s="54"/>
      <c r="G1311" s="54"/>
      <c r="H1311" s="54"/>
      <c r="I1311" s="66"/>
      <c r="J1311" s="54"/>
      <c r="K1311" s="54"/>
      <c r="L1311" s="54"/>
      <c r="M1311" s="97" t="str">
        <f t="shared" si="122"/>
        <v/>
      </c>
      <c r="N1311" s="70"/>
      <c r="O1311" s="71" t="str">
        <f t="shared" si="126"/>
        <v/>
      </c>
      <c r="P1311" s="66"/>
      <c r="Q1311" s="66"/>
      <c r="R1311" s="54"/>
      <c r="S1311" s="82"/>
      <c r="T1311" s="83" t="str">
        <f t="shared" si="123"/>
        <v/>
      </c>
      <c r="U1311" s="10"/>
      <c r="V1311" s="41">
        <f>IF(AND(Q1311&lt;&gt;"",RIGHT(Q1311,3)&lt;&gt;""),IF(COUNTIF($Q$6:Q1311,Q1311)=1,1,0),0)</f>
        <v>0</v>
      </c>
      <c r="W1311" s="41" t="str">
        <f t="shared" si="124"/>
        <v/>
      </c>
      <c r="X1311" s="41" t="str">
        <f t="shared" si="125"/>
        <v/>
      </c>
    </row>
    <row r="1312" s="32" customFormat="1" hidden="1" customHeight="1" spans="1:24">
      <c r="A1312" s="34"/>
      <c r="B1312" s="51"/>
      <c r="C1312" s="51"/>
      <c r="D1312" s="52"/>
      <c r="E1312" s="53"/>
      <c r="F1312" s="54"/>
      <c r="G1312" s="54"/>
      <c r="H1312" s="54"/>
      <c r="I1312" s="66"/>
      <c r="J1312" s="54"/>
      <c r="K1312" s="54"/>
      <c r="L1312" s="54"/>
      <c r="M1312" s="97" t="str">
        <f t="shared" si="122"/>
        <v/>
      </c>
      <c r="N1312" s="70"/>
      <c r="O1312" s="71" t="str">
        <f t="shared" si="126"/>
        <v/>
      </c>
      <c r="P1312" s="66"/>
      <c r="Q1312" s="66"/>
      <c r="R1312" s="54"/>
      <c r="S1312" s="82"/>
      <c r="T1312" s="83" t="str">
        <f t="shared" si="123"/>
        <v/>
      </c>
      <c r="U1312" s="10"/>
      <c r="V1312" s="41">
        <f>IF(AND(Q1312&lt;&gt;"",RIGHT(Q1312,3)&lt;&gt;""),IF(COUNTIF($Q$6:Q1312,Q1312)=1,1,0),0)</f>
        <v>0</v>
      </c>
      <c r="W1312" s="41" t="str">
        <f t="shared" si="124"/>
        <v/>
      </c>
      <c r="X1312" s="41" t="str">
        <f t="shared" si="125"/>
        <v/>
      </c>
    </row>
    <row r="1313" s="32" customFormat="1" hidden="1" customHeight="1" spans="1:24">
      <c r="A1313" s="34"/>
      <c r="B1313" s="51"/>
      <c r="C1313" s="51"/>
      <c r="D1313" s="52"/>
      <c r="E1313" s="53"/>
      <c r="F1313" s="54"/>
      <c r="G1313" s="54"/>
      <c r="H1313" s="54"/>
      <c r="I1313" s="66"/>
      <c r="J1313" s="54"/>
      <c r="K1313" s="54"/>
      <c r="L1313" s="54"/>
      <c r="M1313" s="97" t="str">
        <f t="shared" si="122"/>
        <v/>
      </c>
      <c r="N1313" s="70"/>
      <c r="O1313" s="71" t="str">
        <f t="shared" si="126"/>
        <v/>
      </c>
      <c r="P1313" s="66"/>
      <c r="Q1313" s="66"/>
      <c r="R1313" s="54"/>
      <c r="S1313" s="82"/>
      <c r="T1313" s="83" t="str">
        <f t="shared" si="123"/>
        <v/>
      </c>
      <c r="U1313" s="10"/>
      <c r="V1313" s="41">
        <f>IF(AND(Q1313&lt;&gt;"",RIGHT(Q1313,3)&lt;&gt;""),IF(COUNTIF($Q$6:Q1313,Q1313)=1,1,0),0)</f>
        <v>0</v>
      </c>
      <c r="W1313" s="41" t="str">
        <f t="shared" si="124"/>
        <v/>
      </c>
      <c r="X1313" s="41" t="str">
        <f t="shared" si="125"/>
        <v/>
      </c>
    </row>
    <row r="1314" s="32" customFormat="1" hidden="1" customHeight="1" spans="1:24">
      <c r="A1314" s="34"/>
      <c r="B1314" s="51"/>
      <c r="C1314" s="51"/>
      <c r="D1314" s="52"/>
      <c r="E1314" s="53"/>
      <c r="F1314" s="54"/>
      <c r="G1314" s="54"/>
      <c r="H1314" s="54"/>
      <c r="I1314" s="66"/>
      <c r="J1314" s="54"/>
      <c r="K1314" s="54"/>
      <c r="L1314" s="54"/>
      <c r="M1314" s="97" t="str">
        <f t="shared" si="122"/>
        <v/>
      </c>
      <c r="N1314" s="70"/>
      <c r="O1314" s="71" t="str">
        <f t="shared" si="126"/>
        <v/>
      </c>
      <c r="P1314" s="66"/>
      <c r="Q1314" s="66"/>
      <c r="R1314" s="54"/>
      <c r="S1314" s="82"/>
      <c r="T1314" s="83" t="str">
        <f t="shared" si="123"/>
        <v/>
      </c>
      <c r="U1314" s="10"/>
      <c r="V1314" s="41">
        <f>IF(AND(Q1314&lt;&gt;"",RIGHT(Q1314,3)&lt;&gt;""),IF(COUNTIF($Q$6:Q1314,Q1314)=1,1,0),0)</f>
        <v>0</v>
      </c>
      <c r="W1314" s="41" t="str">
        <f t="shared" si="124"/>
        <v/>
      </c>
      <c r="X1314" s="41" t="str">
        <f t="shared" si="125"/>
        <v/>
      </c>
    </row>
    <row r="1315" s="32" customFormat="1" hidden="1" customHeight="1" spans="1:24">
      <c r="A1315" s="34"/>
      <c r="B1315" s="51"/>
      <c r="C1315" s="51"/>
      <c r="D1315" s="52"/>
      <c r="E1315" s="53"/>
      <c r="F1315" s="54"/>
      <c r="G1315" s="54"/>
      <c r="H1315" s="54"/>
      <c r="I1315" s="66"/>
      <c r="J1315" s="54"/>
      <c r="K1315" s="54"/>
      <c r="L1315" s="54"/>
      <c r="M1315" s="97" t="str">
        <f t="shared" si="122"/>
        <v/>
      </c>
      <c r="N1315" s="70"/>
      <c r="O1315" s="71" t="str">
        <f t="shared" si="126"/>
        <v/>
      </c>
      <c r="P1315" s="66"/>
      <c r="Q1315" s="66"/>
      <c r="R1315" s="54"/>
      <c r="S1315" s="82"/>
      <c r="T1315" s="83" t="str">
        <f t="shared" si="123"/>
        <v/>
      </c>
      <c r="U1315" s="10"/>
      <c r="V1315" s="41">
        <f>IF(AND(Q1315&lt;&gt;"",RIGHT(Q1315,3)&lt;&gt;""),IF(COUNTIF($Q$6:Q1315,Q1315)=1,1,0),0)</f>
        <v>0</v>
      </c>
      <c r="W1315" s="41" t="str">
        <f t="shared" si="124"/>
        <v/>
      </c>
      <c r="X1315" s="41" t="str">
        <f t="shared" si="125"/>
        <v/>
      </c>
    </row>
    <row r="1316" s="32" customFormat="1" hidden="1" customHeight="1" spans="1:24">
      <c r="A1316" s="34"/>
      <c r="B1316" s="51"/>
      <c r="C1316" s="51"/>
      <c r="D1316" s="52"/>
      <c r="E1316" s="53"/>
      <c r="F1316" s="54"/>
      <c r="G1316" s="54"/>
      <c r="H1316" s="54"/>
      <c r="I1316" s="66"/>
      <c r="J1316" s="54"/>
      <c r="K1316" s="54"/>
      <c r="L1316" s="54"/>
      <c r="M1316" s="97" t="str">
        <f t="shared" ref="M1316:M1379" si="127">IF(L1316="","",HYPERLINK(_xlfn.CONCAT($L$4,L1316,".jpg"),"Open File"))</f>
        <v/>
      </c>
      <c r="N1316" s="70"/>
      <c r="O1316" s="71" t="str">
        <f t="shared" si="126"/>
        <v/>
      </c>
      <c r="P1316" s="66"/>
      <c r="Q1316" s="66"/>
      <c r="R1316" s="54"/>
      <c r="S1316" s="82"/>
      <c r="T1316" s="83" t="str">
        <f t="shared" ref="T1316:T1379" si="128">IF(S1316="","",HYPERLINK(_xlfn.CONCAT($S$4,S1316,".jpg"),"Open File"))</f>
        <v/>
      </c>
      <c r="U1316" s="10"/>
      <c r="V1316" s="41">
        <f>IF(AND(Q1316&lt;&gt;"",RIGHT(Q1316,3)&lt;&gt;""),IF(COUNTIF($Q$6:Q1316,Q1316)=1,1,0),0)</f>
        <v>0</v>
      </c>
      <c r="W1316" s="41" t="str">
        <f t="shared" ref="W1316:W1379" si="129">IF(AND(J1316&lt;&gt;"",K1316&lt;&gt;""),_xlfn.CONCAT(SUBSTITUTE(J1316,"/","."),"-",K1316),"")</f>
        <v/>
      </c>
      <c r="X1316" s="41" t="str">
        <f t="shared" ref="X1316:X1379" si="130">IF(AND(Q1316&lt;&gt;"",R1316&lt;&gt;""),_xlfn.CONCAT(SUBSTITUTE(Q1316,"/","."),"-",R1316),"")</f>
        <v/>
      </c>
    </row>
    <row r="1317" s="32" customFormat="1" hidden="1" customHeight="1" spans="1:24">
      <c r="A1317" s="34"/>
      <c r="B1317" s="51"/>
      <c r="C1317" s="51"/>
      <c r="D1317" s="52"/>
      <c r="E1317" s="53"/>
      <c r="F1317" s="54"/>
      <c r="G1317" s="54"/>
      <c r="H1317" s="54"/>
      <c r="I1317" s="66"/>
      <c r="J1317" s="54"/>
      <c r="K1317" s="54"/>
      <c r="L1317" s="54"/>
      <c r="M1317" s="97" t="str">
        <f t="shared" si="127"/>
        <v/>
      </c>
      <c r="N1317" s="70"/>
      <c r="O1317" s="71" t="str">
        <f t="shared" si="126"/>
        <v/>
      </c>
      <c r="P1317" s="66"/>
      <c r="Q1317" s="66"/>
      <c r="R1317" s="54"/>
      <c r="S1317" s="82"/>
      <c r="T1317" s="83" t="str">
        <f t="shared" si="128"/>
        <v/>
      </c>
      <c r="U1317" s="10"/>
      <c r="V1317" s="41">
        <f>IF(AND(Q1317&lt;&gt;"",RIGHT(Q1317,3)&lt;&gt;""),IF(COUNTIF($Q$6:Q1317,Q1317)=1,1,0),0)</f>
        <v>0</v>
      </c>
      <c r="W1317" s="41" t="str">
        <f t="shared" si="129"/>
        <v/>
      </c>
      <c r="X1317" s="41" t="str">
        <f t="shared" si="130"/>
        <v/>
      </c>
    </row>
    <row r="1318" s="32" customFormat="1" hidden="1" customHeight="1" spans="1:24">
      <c r="A1318" s="34"/>
      <c r="B1318" s="51"/>
      <c r="C1318" s="51"/>
      <c r="D1318" s="52"/>
      <c r="E1318" s="53"/>
      <c r="F1318" s="54"/>
      <c r="G1318" s="54"/>
      <c r="H1318" s="54"/>
      <c r="I1318" s="66"/>
      <c r="J1318" s="54"/>
      <c r="K1318" s="54"/>
      <c r="L1318" s="54"/>
      <c r="M1318" s="97" t="str">
        <f t="shared" si="127"/>
        <v/>
      </c>
      <c r="N1318" s="70"/>
      <c r="O1318" s="71" t="str">
        <f t="shared" si="126"/>
        <v/>
      </c>
      <c r="P1318" s="66"/>
      <c r="Q1318" s="66"/>
      <c r="R1318" s="54"/>
      <c r="S1318" s="82"/>
      <c r="T1318" s="83" t="str">
        <f t="shared" si="128"/>
        <v/>
      </c>
      <c r="U1318" s="10"/>
      <c r="V1318" s="41">
        <f>IF(AND(Q1318&lt;&gt;"",RIGHT(Q1318,3)&lt;&gt;""),IF(COUNTIF($Q$6:Q1318,Q1318)=1,1,0),0)</f>
        <v>0</v>
      </c>
      <c r="W1318" s="41" t="str">
        <f t="shared" si="129"/>
        <v/>
      </c>
      <c r="X1318" s="41" t="str">
        <f t="shared" si="130"/>
        <v/>
      </c>
    </row>
    <row r="1319" s="32" customFormat="1" hidden="1" customHeight="1" spans="1:24">
      <c r="A1319" s="34"/>
      <c r="B1319" s="51"/>
      <c r="C1319" s="51"/>
      <c r="D1319" s="52"/>
      <c r="E1319" s="53"/>
      <c r="F1319" s="54"/>
      <c r="G1319" s="54"/>
      <c r="H1319" s="54"/>
      <c r="I1319" s="66"/>
      <c r="J1319" s="54"/>
      <c r="K1319" s="54"/>
      <c r="L1319" s="54"/>
      <c r="M1319" s="97" t="str">
        <f t="shared" si="127"/>
        <v/>
      </c>
      <c r="N1319" s="70"/>
      <c r="O1319" s="71" t="str">
        <f t="shared" si="126"/>
        <v/>
      </c>
      <c r="P1319" s="66"/>
      <c r="Q1319" s="66"/>
      <c r="R1319" s="54"/>
      <c r="S1319" s="82"/>
      <c r="T1319" s="83" t="str">
        <f t="shared" si="128"/>
        <v/>
      </c>
      <c r="U1319" s="10"/>
      <c r="V1319" s="41">
        <f>IF(AND(Q1319&lt;&gt;"",RIGHT(Q1319,3)&lt;&gt;""),IF(COUNTIF($Q$6:Q1319,Q1319)=1,1,0),0)</f>
        <v>0</v>
      </c>
      <c r="W1319" s="41" t="str">
        <f t="shared" si="129"/>
        <v/>
      </c>
      <c r="X1319" s="41" t="str">
        <f t="shared" si="130"/>
        <v/>
      </c>
    </row>
    <row r="1320" s="32" customFormat="1" hidden="1" customHeight="1" spans="1:24">
      <c r="A1320" s="34"/>
      <c r="B1320" s="51"/>
      <c r="C1320" s="51"/>
      <c r="D1320" s="52"/>
      <c r="E1320" s="53"/>
      <c r="F1320" s="54"/>
      <c r="G1320" s="54"/>
      <c r="H1320" s="54"/>
      <c r="I1320" s="66"/>
      <c r="J1320" s="54"/>
      <c r="K1320" s="54"/>
      <c r="L1320" s="54"/>
      <c r="M1320" s="97" t="str">
        <f t="shared" si="127"/>
        <v/>
      </c>
      <c r="N1320" s="70"/>
      <c r="O1320" s="71" t="str">
        <f t="shared" si="126"/>
        <v/>
      </c>
      <c r="P1320" s="66"/>
      <c r="Q1320" s="66"/>
      <c r="R1320" s="54"/>
      <c r="S1320" s="82"/>
      <c r="T1320" s="83" t="str">
        <f t="shared" si="128"/>
        <v/>
      </c>
      <c r="U1320" s="10"/>
      <c r="V1320" s="41">
        <f>IF(AND(Q1320&lt;&gt;"",RIGHT(Q1320,3)&lt;&gt;""),IF(COUNTIF($Q$6:Q1320,Q1320)=1,1,0),0)</f>
        <v>0</v>
      </c>
      <c r="W1320" s="41" t="str">
        <f t="shared" si="129"/>
        <v/>
      </c>
      <c r="X1320" s="41" t="str">
        <f t="shared" si="130"/>
        <v/>
      </c>
    </row>
    <row r="1321" s="32" customFormat="1" hidden="1" customHeight="1" spans="1:24">
      <c r="A1321" s="34"/>
      <c r="B1321" s="51"/>
      <c r="C1321" s="51"/>
      <c r="D1321" s="52"/>
      <c r="E1321" s="53"/>
      <c r="F1321" s="54"/>
      <c r="G1321" s="54"/>
      <c r="H1321" s="54"/>
      <c r="I1321" s="66"/>
      <c r="J1321" s="54"/>
      <c r="K1321" s="54"/>
      <c r="L1321" s="54"/>
      <c r="M1321" s="97" t="str">
        <f t="shared" si="127"/>
        <v/>
      </c>
      <c r="N1321" s="70"/>
      <c r="O1321" s="71" t="str">
        <f t="shared" si="126"/>
        <v/>
      </c>
      <c r="P1321" s="66"/>
      <c r="Q1321" s="66"/>
      <c r="R1321" s="54"/>
      <c r="S1321" s="82"/>
      <c r="T1321" s="83" t="str">
        <f t="shared" si="128"/>
        <v/>
      </c>
      <c r="U1321" s="10"/>
      <c r="V1321" s="41">
        <f>IF(AND(Q1321&lt;&gt;"",RIGHT(Q1321,3)&lt;&gt;""),IF(COUNTIF($Q$6:Q1321,Q1321)=1,1,0),0)</f>
        <v>0</v>
      </c>
      <c r="W1321" s="41" t="str">
        <f t="shared" si="129"/>
        <v/>
      </c>
      <c r="X1321" s="41" t="str">
        <f t="shared" si="130"/>
        <v/>
      </c>
    </row>
    <row r="1322" s="32" customFormat="1" hidden="1" customHeight="1" spans="1:24">
      <c r="A1322" s="34"/>
      <c r="B1322" s="51"/>
      <c r="C1322" s="51"/>
      <c r="D1322" s="52"/>
      <c r="E1322" s="53"/>
      <c r="F1322" s="54"/>
      <c r="G1322" s="54"/>
      <c r="H1322" s="54"/>
      <c r="I1322" s="66"/>
      <c r="J1322" s="54"/>
      <c r="K1322" s="54"/>
      <c r="L1322" s="54"/>
      <c r="M1322" s="97" t="str">
        <f t="shared" si="127"/>
        <v/>
      </c>
      <c r="N1322" s="70"/>
      <c r="O1322" s="71" t="str">
        <f t="shared" si="126"/>
        <v/>
      </c>
      <c r="P1322" s="66"/>
      <c r="Q1322" s="66"/>
      <c r="R1322" s="54"/>
      <c r="S1322" s="82"/>
      <c r="T1322" s="83" t="str">
        <f t="shared" si="128"/>
        <v/>
      </c>
      <c r="U1322" s="10"/>
      <c r="V1322" s="41">
        <f>IF(AND(Q1322&lt;&gt;"",RIGHT(Q1322,3)&lt;&gt;""),IF(COUNTIF($Q$6:Q1322,Q1322)=1,1,0),0)</f>
        <v>0</v>
      </c>
      <c r="W1322" s="41" t="str">
        <f t="shared" si="129"/>
        <v/>
      </c>
      <c r="X1322" s="41" t="str">
        <f t="shared" si="130"/>
        <v/>
      </c>
    </row>
    <row r="1323" s="32" customFormat="1" hidden="1" customHeight="1" spans="1:24">
      <c r="A1323" s="34"/>
      <c r="B1323" s="51"/>
      <c r="C1323" s="51"/>
      <c r="D1323" s="52"/>
      <c r="E1323" s="53"/>
      <c r="F1323" s="54"/>
      <c r="G1323" s="54"/>
      <c r="H1323" s="54"/>
      <c r="I1323" s="66"/>
      <c r="J1323" s="54"/>
      <c r="K1323" s="54"/>
      <c r="L1323" s="54"/>
      <c r="M1323" s="97" t="str">
        <f t="shared" si="127"/>
        <v/>
      </c>
      <c r="N1323" s="70"/>
      <c r="O1323" s="71" t="str">
        <f t="shared" si="126"/>
        <v/>
      </c>
      <c r="P1323" s="66"/>
      <c r="Q1323" s="66"/>
      <c r="R1323" s="54"/>
      <c r="S1323" s="82"/>
      <c r="T1323" s="83" t="str">
        <f t="shared" si="128"/>
        <v/>
      </c>
      <c r="U1323" s="10"/>
      <c r="V1323" s="41">
        <f>IF(AND(Q1323&lt;&gt;"",RIGHT(Q1323,3)&lt;&gt;""),IF(COUNTIF($Q$6:Q1323,Q1323)=1,1,0),0)</f>
        <v>0</v>
      </c>
      <c r="W1323" s="41" t="str">
        <f t="shared" si="129"/>
        <v/>
      </c>
      <c r="X1323" s="41" t="str">
        <f t="shared" si="130"/>
        <v/>
      </c>
    </row>
    <row r="1324" s="32" customFormat="1" hidden="1" customHeight="1" spans="1:24">
      <c r="A1324" s="34"/>
      <c r="B1324" s="51"/>
      <c r="C1324" s="51"/>
      <c r="D1324" s="52"/>
      <c r="E1324" s="53"/>
      <c r="F1324" s="54"/>
      <c r="G1324" s="54"/>
      <c r="H1324" s="54"/>
      <c r="I1324" s="66"/>
      <c r="J1324" s="54"/>
      <c r="K1324" s="54"/>
      <c r="L1324" s="54"/>
      <c r="M1324" s="97" t="str">
        <f t="shared" si="127"/>
        <v/>
      </c>
      <c r="N1324" s="70"/>
      <c r="O1324" s="71" t="str">
        <f t="shared" si="126"/>
        <v/>
      </c>
      <c r="P1324" s="66"/>
      <c r="Q1324" s="66"/>
      <c r="R1324" s="54"/>
      <c r="S1324" s="82"/>
      <c r="T1324" s="83" t="str">
        <f t="shared" si="128"/>
        <v/>
      </c>
      <c r="U1324" s="10"/>
      <c r="V1324" s="41">
        <f>IF(AND(Q1324&lt;&gt;"",RIGHT(Q1324,3)&lt;&gt;""),IF(COUNTIF($Q$6:Q1324,Q1324)=1,1,0),0)</f>
        <v>0</v>
      </c>
      <c r="W1324" s="41" t="str">
        <f t="shared" si="129"/>
        <v/>
      </c>
      <c r="X1324" s="41" t="str">
        <f t="shared" si="130"/>
        <v/>
      </c>
    </row>
    <row r="1325" s="32" customFormat="1" hidden="1" customHeight="1" spans="1:24">
      <c r="A1325" s="34"/>
      <c r="B1325" s="51"/>
      <c r="C1325" s="51"/>
      <c r="D1325" s="52"/>
      <c r="E1325" s="53"/>
      <c r="F1325" s="54"/>
      <c r="G1325" s="54"/>
      <c r="H1325" s="54"/>
      <c r="I1325" s="66"/>
      <c r="J1325" s="54"/>
      <c r="K1325" s="54"/>
      <c r="L1325" s="54"/>
      <c r="M1325" s="97" t="str">
        <f t="shared" si="127"/>
        <v/>
      </c>
      <c r="N1325" s="70"/>
      <c r="O1325" s="71" t="str">
        <f t="shared" si="126"/>
        <v/>
      </c>
      <c r="P1325" s="66"/>
      <c r="Q1325" s="66"/>
      <c r="R1325" s="54"/>
      <c r="S1325" s="82"/>
      <c r="T1325" s="83" t="str">
        <f t="shared" si="128"/>
        <v/>
      </c>
      <c r="U1325" s="10"/>
      <c r="V1325" s="41">
        <f>IF(AND(Q1325&lt;&gt;"",RIGHT(Q1325,3)&lt;&gt;""),IF(COUNTIF($Q$6:Q1325,Q1325)=1,1,0),0)</f>
        <v>0</v>
      </c>
      <c r="W1325" s="41" t="str">
        <f t="shared" si="129"/>
        <v/>
      </c>
      <c r="X1325" s="41" t="str">
        <f t="shared" si="130"/>
        <v/>
      </c>
    </row>
    <row r="1326" s="32" customFormat="1" hidden="1" customHeight="1" spans="1:24">
      <c r="A1326" s="34"/>
      <c r="B1326" s="51"/>
      <c r="C1326" s="51"/>
      <c r="D1326" s="52"/>
      <c r="E1326" s="53"/>
      <c r="F1326" s="54"/>
      <c r="G1326" s="54"/>
      <c r="H1326" s="54"/>
      <c r="I1326" s="66"/>
      <c r="J1326" s="54"/>
      <c r="K1326" s="54"/>
      <c r="L1326" s="54"/>
      <c r="M1326" s="97" t="str">
        <f t="shared" si="127"/>
        <v/>
      </c>
      <c r="N1326" s="70"/>
      <c r="O1326" s="71" t="str">
        <f t="shared" si="126"/>
        <v/>
      </c>
      <c r="P1326" s="66"/>
      <c r="Q1326" s="66"/>
      <c r="R1326" s="54"/>
      <c r="S1326" s="82"/>
      <c r="T1326" s="83" t="str">
        <f t="shared" si="128"/>
        <v/>
      </c>
      <c r="U1326" s="10"/>
      <c r="V1326" s="41">
        <f>IF(AND(Q1326&lt;&gt;"",RIGHT(Q1326,3)&lt;&gt;""),IF(COUNTIF($Q$6:Q1326,Q1326)=1,1,0),0)</f>
        <v>0</v>
      </c>
      <c r="W1326" s="41" t="str">
        <f t="shared" si="129"/>
        <v/>
      </c>
      <c r="X1326" s="41" t="str">
        <f t="shared" si="130"/>
        <v/>
      </c>
    </row>
    <row r="1327" s="32" customFormat="1" hidden="1" customHeight="1" spans="1:24">
      <c r="A1327" s="34"/>
      <c r="B1327" s="51"/>
      <c r="C1327" s="51"/>
      <c r="D1327" s="52"/>
      <c r="E1327" s="53"/>
      <c r="F1327" s="54"/>
      <c r="G1327" s="54"/>
      <c r="H1327" s="54"/>
      <c r="I1327" s="66"/>
      <c r="J1327" s="54"/>
      <c r="K1327" s="54"/>
      <c r="L1327" s="54"/>
      <c r="M1327" s="97" t="str">
        <f t="shared" si="127"/>
        <v/>
      </c>
      <c r="N1327" s="70"/>
      <c r="O1327" s="71" t="str">
        <f t="shared" si="126"/>
        <v/>
      </c>
      <c r="P1327" s="66"/>
      <c r="Q1327" s="66"/>
      <c r="R1327" s="54"/>
      <c r="S1327" s="82"/>
      <c r="T1327" s="83" t="str">
        <f t="shared" si="128"/>
        <v/>
      </c>
      <c r="U1327" s="10"/>
      <c r="V1327" s="41">
        <f>IF(AND(Q1327&lt;&gt;"",RIGHT(Q1327,3)&lt;&gt;""),IF(COUNTIF($Q$6:Q1327,Q1327)=1,1,0),0)</f>
        <v>0</v>
      </c>
      <c r="W1327" s="41" t="str">
        <f t="shared" si="129"/>
        <v/>
      </c>
      <c r="X1327" s="41" t="str">
        <f t="shared" si="130"/>
        <v/>
      </c>
    </row>
    <row r="1328" s="32" customFormat="1" hidden="1" customHeight="1" spans="1:24">
      <c r="A1328" s="34"/>
      <c r="B1328" s="51"/>
      <c r="C1328" s="51"/>
      <c r="D1328" s="52"/>
      <c r="E1328" s="53"/>
      <c r="F1328" s="54"/>
      <c r="G1328" s="54"/>
      <c r="H1328" s="54"/>
      <c r="I1328" s="66"/>
      <c r="J1328" s="54"/>
      <c r="K1328" s="54"/>
      <c r="L1328" s="54"/>
      <c r="M1328" s="97" t="str">
        <f t="shared" si="127"/>
        <v/>
      </c>
      <c r="N1328" s="70"/>
      <c r="O1328" s="71" t="str">
        <f t="shared" si="126"/>
        <v/>
      </c>
      <c r="P1328" s="66"/>
      <c r="Q1328" s="66"/>
      <c r="R1328" s="54"/>
      <c r="S1328" s="82"/>
      <c r="T1328" s="83" t="str">
        <f t="shared" si="128"/>
        <v/>
      </c>
      <c r="U1328" s="10"/>
      <c r="V1328" s="41">
        <f>IF(AND(Q1328&lt;&gt;"",RIGHT(Q1328,3)&lt;&gt;""),IF(COUNTIF($Q$6:Q1328,Q1328)=1,1,0),0)</f>
        <v>0</v>
      </c>
      <c r="W1328" s="41" t="str">
        <f t="shared" si="129"/>
        <v/>
      </c>
      <c r="X1328" s="41" t="str">
        <f t="shared" si="130"/>
        <v/>
      </c>
    </row>
    <row r="1329" s="32" customFormat="1" hidden="1" customHeight="1" spans="1:24">
      <c r="A1329" s="34"/>
      <c r="B1329" s="51"/>
      <c r="C1329" s="51"/>
      <c r="D1329" s="52"/>
      <c r="E1329" s="53"/>
      <c r="F1329" s="54"/>
      <c r="G1329" s="54"/>
      <c r="H1329" s="54"/>
      <c r="I1329" s="66"/>
      <c r="J1329" s="54"/>
      <c r="K1329" s="54"/>
      <c r="L1329" s="54"/>
      <c r="M1329" s="97" t="str">
        <f t="shared" si="127"/>
        <v/>
      </c>
      <c r="N1329" s="70"/>
      <c r="O1329" s="71" t="str">
        <f t="shared" ref="O1329:O1392" si="131">IF(AND(Q1329&lt;&gt;"",T1329&lt;&gt;""),"PASSIVE",IF(AND(J1329&lt;&gt;"",M1329&lt;&gt;""),"ACTIVE",""))</f>
        <v/>
      </c>
      <c r="P1329" s="66"/>
      <c r="Q1329" s="66"/>
      <c r="R1329" s="54"/>
      <c r="S1329" s="82"/>
      <c r="T1329" s="83" t="str">
        <f t="shared" si="128"/>
        <v/>
      </c>
      <c r="U1329" s="10"/>
      <c r="V1329" s="41">
        <f>IF(AND(Q1329&lt;&gt;"",RIGHT(Q1329,3)&lt;&gt;""),IF(COUNTIF($Q$6:Q1329,Q1329)=1,1,0),0)</f>
        <v>0</v>
      </c>
      <c r="W1329" s="41" t="str">
        <f t="shared" si="129"/>
        <v/>
      </c>
      <c r="X1329" s="41" t="str">
        <f t="shared" si="130"/>
        <v/>
      </c>
    </row>
    <row r="1330" s="32" customFormat="1" hidden="1" customHeight="1" spans="1:24">
      <c r="A1330" s="34"/>
      <c r="B1330" s="51"/>
      <c r="C1330" s="51"/>
      <c r="D1330" s="52"/>
      <c r="E1330" s="53"/>
      <c r="F1330" s="54"/>
      <c r="G1330" s="54"/>
      <c r="H1330" s="54"/>
      <c r="I1330" s="66"/>
      <c r="J1330" s="54"/>
      <c r="K1330" s="54"/>
      <c r="L1330" s="54"/>
      <c r="M1330" s="97" t="str">
        <f t="shared" si="127"/>
        <v/>
      </c>
      <c r="N1330" s="70"/>
      <c r="O1330" s="71" t="str">
        <f t="shared" si="131"/>
        <v/>
      </c>
      <c r="P1330" s="66"/>
      <c r="Q1330" s="66"/>
      <c r="R1330" s="54"/>
      <c r="S1330" s="82"/>
      <c r="T1330" s="83" t="str">
        <f t="shared" si="128"/>
        <v/>
      </c>
      <c r="U1330" s="10"/>
      <c r="V1330" s="41">
        <f>IF(AND(Q1330&lt;&gt;"",RIGHT(Q1330,3)&lt;&gt;""),IF(COUNTIF($Q$6:Q1330,Q1330)=1,1,0),0)</f>
        <v>0</v>
      </c>
      <c r="W1330" s="41" t="str">
        <f t="shared" si="129"/>
        <v/>
      </c>
      <c r="X1330" s="41" t="str">
        <f t="shared" si="130"/>
        <v/>
      </c>
    </row>
    <row r="1331" s="32" customFormat="1" hidden="1" customHeight="1" spans="1:24">
      <c r="A1331" s="34"/>
      <c r="B1331" s="51"/>
      <c r="C1331" s="51"/>
      <c r="D1331" s="52"/>
      <c r="E1331" s="53"/>
      <c r="F1331" s="54"/>
      <c r="G1331" s="54"/>
      <c r="H1331" s="54"/>
      <c r="I1331" s="66"/>
      <c r="J1331" s="54"/>
      <c r="K1331" s="54"/>
      <c r="L1331" s="54"/>
      <c r="M1331" s="97" t="str">
        <f t="shared" si="127"/>
        <v/>
      </c>
      <c r="N1331" s="70"/>
      <c r="O1331" s="71" t="str">
        <f t="shared" si="131"/>
        <v/>
      </c>
      <c r="P1331" s="66"/>
      <c r="Q1331" s="66"/>
      <c r="R1331" s="54"/>
      <c r="S1331" s="82"/>
      <c r="T1331" s="83" t="str">
        <f t="shared" si="128"/>
        <v/>
      </c>
      <c r="U1331" s="10"/>
      <c r="V1331" s="41">
        <f>IF(AND(Q1331&lt;&gt;"",RIGHT(Q1331,3)&lt;&gt;""),IF(COUNTIF($Q$6:Q1331,Q1331)=1,1,0),0)</f>
        <v>0</v>
      </c>
      <c r="W1331" s="41" t="str">
        <f t="shared" si="129"/>
        <v/>
      </c>
      <c r="X1331" s="41" t="str">
        <f t="shared" si="130"/>
        <v/>
      </c>
    </row>
    <row r="1332" s="32" customFormat="1" hidden="1" customHeight="1" spans="1:24">
      <c r="A1332" s="34"/>
      <c r="B1332" s="51"/>
      <c r="C1332" s="51"/>
      <c r="D1332" s="52"/>
      <c r="E1332" s="53"/>
      <c r="F1332" s="54"/>
      <c r="G1332" s="54"/>
      <c r="H1332" s="54"/>
      <c r="I1332" s="66"/>
      <c r="J1332" s="54"/>
      <c r="K1332" s="54"/>
      <c r="L1332" s="54"/>
      <c r="M1332" s="97" t="str">
        <f t="shared" si="127"/>
        <v/>
      </c>
      <c r="N1332" s="70"/>
      <c r="O1332" s="71" t="str">
        <f t="shared" si="131"/>
        <v/>
      </c>
      <c r="P1332" s="66"/>
      <c r="Q1332" s="66"/>
      <c r="R1332" s="54"/>
      <c r="S1332" s="82"/>
      <c r="T1332" s="83" t="str">
        <f t="shared" si="128"/>
        <v/>
      </c>
      <c r="U1332" s="10"/>
      <c r="V1332" s="41">
        <f>IF(AND(Q1332&lt;&gt;"",RIGHT(Q1332,3)&lt;&gt;""),IF(COUNTIF($Q$6:Q1332,Q1332)=1,1,0),0)</f>
        <v>0</v>
      </c>
      <c r="W1332" s="41" t="str">
        <f t="shared" si="129"/>
        <v/>
      </c>
      <c r="X1332" s="41" t="str">
        <f t="shared" si="130"/>
        <v/>
      </c>
    </row>
    <row r="1333" s="32" customFormat="1" hidden="1" customHeight="1" spans="1:24">
      <c r="A1333" s="34"/>
      <c r="B1333" s="51"/>
      <c r="C1333" s="51"/>
      <c r="D1333" s="52"/>
      <c r="E1333" s="53"/>
      <c r="F1333" s="54"/>
      <c r="G1333" s="54"/>
      <c r="H1333" s="54"/>
      <c r="I1333" s="66"/>
      <c r="J1333" s="54"/>
      <c r="K1333" s="54"/>
      <c r="L1333" s="54"/>
      <c r="M1333" s="97" t="str">
        <f t="shared" si="127"/>
        <v/>
      </c>
      <c r="N1333" s="70"/>
      <c r="O1333" s="71" t="str">
        <f t="shared" si="131"/>
        <v/>
      </c>
      <c r="P1333" s="66"/>
      <c r="Q1333" s="66"/>
      <c r="R1333" s="54"/>
      <c r="S1333" s="82"/>
      <c r="T1333" s="83" t="str">
        <f t="shared" si="128"/>
        <v/>
      </c>
      <c r="U1333" s="10"/>
      <c r="V1333" s="41">
        <f>IF(AND(Q1333&lt;&gt;"",RIGHT(Q1333,3)&lt;&gt;""),IF(COUNTIF($Q$6:Q1333,Q1333)=1,1,0),0)</f>
        <v>0</v>
      </c>
      <c r="W1333" s="41" t="str">
        <f t="shared" si="129"/>
        <v/>
      </c>
      <c r="X1333" s="41" t="str">
        <f t="shared" si="130"/>
        <v/>
      </c>
    </row>
    <row r="1334" s="32" customFormat="1" hidden="1" customHeight="1" spans="1:24">
      <c r="A1334" s="34"/>
      <c r="B1334" s="51"/>
      <c r="C1334" s="51"/>
      <c r="D1334" s="52"/>
      <c r="E1334" s="53"/>
      <c r="F1334" s="54"/>
      <c r="G1334" s="54"/>
      <c r="H1334" s="54"/>
      <c r="I1334" s="66"/>
      <c r="J1334" s="54"/>
      <c r="K1334" s="54"/>
      <c r="L1334" s="54"/>
      <c r="M1334" s="97" t="str">
        <f t="shared" si="127"/>
        <v/>
      </c>
      <c r="N1334" s="70"/>
      <c r="O1334" s="71" t="str">
        <f t="shared" si="131"/>
        <v/>
      </c>
      <c r="P1334" s="66"/>
      <c r="Q1334" s="66"/>
      <c r="R1334" s="54"/>
      <c r="S1334" s="82"/>
      <c r="T1334" s="83" t="str">
        <f t="shared" si="128"/>
        <v/>
      </c>
      <c r="U1334" s="10"/>
      <c r="V1334" s="41">
        <f>IF(AND(Q1334&lt;&gt;"",RIGHT(Q1334,3)&lt;&gt;""),IF(COUNTIF($Q$6:Q1334,Q1334)=1,1,0),0)</f>
        <v>0</v>
      </c>
      <c r="W1334" s="41" t="str">
        <f t="shared" si="129"/>
        <v/>
      </c>
      <c r="X1334" s="41" t="str">
        <f t="shared" si="130"/>
        <v/>
      </c>
    </row>
    <row r="1335" s="32" customFormat="1" hidden="1" customHeight="1" spans="1:24">
      <c r="A1335" s="34"/>
      <c r="B1335" s="51"/>
      <c r="C1335" s="51"/>
      <c r="D1335" s="52"/>
      <c r="E1335" s="53"/>
      <c r="F1335" s="54"/>
      <c r="G1335" s="54"/>
      <c r="H1335" s="54"/>
      <c r="I1335" s="66"/>
      <c r="J1335" s="54"/>
      <c r="K1335" s="54"/>
      <c r="L1335" s="54"/>
      <c r="M1335" s="97" t="str">
        <f t="shared" si="127"/>
        <v/>
      </c>
      <c r="N1335" s="70"/>
      <c r="O1335" s="71" t="str">
        <f t="shared" si="131"/>
        <v/>
      </c>
      <c r="P1335" s="66"/>
      <c r="Q1335" s="66"/>
      <c r="R1335" s="54"/>
      <c r="S1335" s="82"/>
      <c r="T1335" s="83" t="str">
        <f t="shared" si="128"/>
        <v/>
      </c>
      <c r="U1335" s="10"/>
      <c r="V1335" s="41">
        <f>IF(AND(Q1335&lt;&gt;"",RIGHT(Q1335,3)&lt;&gt;""),IF(COUNTIF($Q$6:Q1335,Q1335)=1,1,0),0)</f>
        <v>0</v>
      </c>
      <c r="W1335" s="41" t="str">
        <f t="shared" si="129"/>
        <v/>
      </c>
      <c r="X1335" s="41" t="str">
        <f t="shared" si="130"/>
        <v/>
      </c>
    </row>
    <row r="1336" s="32" customFormat="1" hidden="1" customHeight="1" spans="1:24">
      <c r="A1336" s="34"/>
      <c r="B1336" s="51"/>
      <c r="C1336" s="51"/>
      <c r="D1336" s="52"/>
      <c r="E1336" s="53"/>
      <c r="F1336" s="54"/>
      <c r="G1336" s="54"/>
      <c r="H1336" s="54"/>
      <c r="I1336" s="66"/>
      <c r="J1336" s="54"/>
      <c r="K1336" s="54"/>
      <c r="L1336" s="54"/>
      <c r="M1336" s="97" t="str">
        <f t="shared" si="127"/>
        <v/>
      </c>
      <c r="N1336" s="70"/>
      <c r="O1336" s="71" t="str">
        <f t="shared" si="131"/>
        <v/>
      </c>
      <c r="P1336" s="66"/>
      <c r="Q1336" s="66"/>
      <c r="R1336" s="54"/>
      <c r="S1336" s="82"/>
      <c r="T1336" s="83" t="str">
        <f t="shared" si="128"/>
        <v/>
      </c>
      <c r="U1336" s="10"/>
      <c r="V1336" s="41">
        <f>IF(AND(Q1336&lt;&gt;"",RIGHT(Q1336,3)&lt;&gt;""),IF(COUNTIF($Q$6:Q1336,Q1336)=1,1,0),0)</f>
        <v>0</v>
      </c>
      <c r="W1336" s="41" t="str">
        <f t="shared" si="129"/>
        <v/>
      </c>
      <c r="X1336" s="41" t="str">
        <f t="shared" si="130"/>
        <v/>
      </c>
    </row>
    <row r="1337" s="32" customFormat="1" hidden="1" customHeight="1" spans="1:24">
      <c r="A1337" s="34"/>
      <c r="B1337" s="51"/>
      <c r="C1337" s="51"/>
      <c r="D1337" s="52"/>
      <c r="E1337" s="53"/>
      <c r="F1337" s="54"/>
      <c r="G1337" s="54"/>
      <c r="H1337" s="54"/>
      <c r="I1337" s="66"/>
      <c r="J1337" s="54"/>
      <c r="K1337" s="54"/>
      <c r="L1337" s="54"/>
      <c r="M1337" s="97" t="str">
        <f t="shared" si="127"/>
        <v/>
      </c>
      <c r="N1337" s="70"/>
      <c r="O1337" s="71" t="str">
        <f t="shared" si="131"/>
        <v/>
      </c>
      <c r="P1337" s="66"/>
      <c r="Q1337" s="66"/>
      <c r="R1337" s="54"/>
      <c r="S1337" s="82"/>
      <c r="T1337" s="83" t="str">
        <f t="shared" si="128"/>
        <v/>
      </c>
      <c r="U1337" s="10"/>
      <c r="V1337" s="41">
        <f>IF(AND(Q1337&lt;&gt;"",RIGHT(Q1337,3)&lt;&gt;""),IF(COUNTIF($Q$6:Q1337,Q1337)=1,1,0),0)</f>
        <v>0</v>
      </c>
      <c r="W1337" s="41" t="str">
        <f t="shared" si="129"/>
        <v/>
      </c>
      <c r="X1337" s="41" t="str">
        <f t="shared" si="130"/>
        <v/>
      </c>
    </row>
    <row r="1338" s="32" customFormat="1" hidden="1" customHeight="1" spans="1:24">
      <c r="A1338" s="34"/>
      <c r="B1338" s="51"/>
      <c r="C1338" s="51"/>
      <c r="D1338" s="52"/>
      <c r="E1338" s="53"/>
      <c r="F1338" s="54"/>
      <c r="G1338" s="54"/>
      <c r="H1338" s="54"/>
      <c r="I1338" s="66"/>
      <c r="J1338" s="54"/>
      <c r="K1338" s="54"/>
      <c r="L1338" s="54"/>
      <c r="M1338" s="97" t="str">
        <f t="shared" si="127"/>
        <v/>
      </c>
      <c r="N1338" s="70"/>
      <c r="O1338" s="71" t="str">
        <f t="shared" si="131"/>
        <v/>
      </c>
      <c r="P1338" s="66"/>
      <c r="Q1338" s="66"/>
      <c r="R1338" s="54"/>
      <c r="S1338" s="82"/>
      <c r="T1338" s="83" t="str">
        <f t="shared" si="128"/>
        <v/>
      </c>
      <c r="U1338" s="10"/>
      <c r="V1338" s="41">
        <f>IF(AND(Q1338&lt;&gt;"",RIGHT(Q1338,3)&lt;&gt;""),IF(COUNTIF($Q$6:Q1338,Q1338)=1,1,0),0)</f>
        <v>0</v>
      </c>
      <c r="W1338" s="41" t="str">
        <f t="shared" si="129"/>
        <v/>
      </c>
      <c r="X1338" s="41" t="str">
        <f t="shared" si="130"/>
        <v/>
      </c>
    </row>
    <row r="1339" s="32" customFormat="1" hidden="1" customHeight="1" spans="1:24">
      <c r="A1339" s="34"/>
      <c r="B1339" s="51"/>
      <c r="C1339" s="51"/>
      <c r="D1339" s="52"/>
      <c r="E1339" s="53"/>
      <c r="F1339" s="54"/>
      <c r="G1339" s="54"/>
      <c r="H1339" s="54"/>
      <c r="I1339" s="66"/>
      <c r="J1339" s="54"/>
      <c r="K1339" s="54"/>
      <c r="L1339" s="54"/>
      <c r="M1339" s="97" t="str">
        <f t="shared" si="127"/>
        <v/>
      </c>
      <c r="N1339" s="70"/>
      <c r="O1339" s="71" t="str">
        <f t="shared" si="131"/>
        <v/>
      </c>
      <c r="P1339" s="66"/>
      <c r="Q1339" s="66"/>
      <c r="R1339" s="54"/>
      <c r="S1339" s="82"/>
      <c r="T1339" s="83" t="str">
        <f t="shared" si="128"/>
        <v/>
      </c>
      <c r="U1339" s="10"/>
      <c r="V1339" s="41">
        <f>IF(AND(Q1339&lt;&gt;"",RIGHT(Q1339,3)&lt;&gt;""),IF(COUNTIF($Q$6:Q1339,Q1339)=1,1,0),0)</f>
        <v>0</v>
      </c>
      <c r="W1339" s="41" t="str">
        <f t="shared" si="129"/>
        <v/>
      </c>
      <c r="X1339" s="41" t="str">
        <f t="shared" si="130"/>
        <v/>
      </c>
    </row>
    <row r="1340" s="32" customFormat="1" hidden="1" customHeight="1" spans="1:24">
      <c r="A1340" s="34"/>
      <c r="B1340" s="51"/>
      <c r="C1340" s="51"/>
      <c r="D1340" s="52"/>
      <c r="E1340" s="53"/>
      <c r="F1340" s="54"/>
      <c r="G1340" s="54"/>
      <c r="H1340" s="54"/>
      <c r="I1340" s="66"/>
      <c r="J1340" s="54"/>
      <c r="K1340" s="54"/>
      <c r="L1340" s="54"/>
      <c r="M1340" s="97" t="str">
        <f t="shared" si="127"/>
        <v/>
      </c>
      <c r="N1340" s="70"/>
      <c r="O1340" s="71" t="str">
        <f t="shared" si="131"/>
        <v/>
      </c>
      <c r="P1340" s="66"/>
      <c r="Q1340" s="66"/>
      <c r="R1340" s="54"/>
      <c r="S1340" s="82"/>
      <c r="T1340" s="83" t="str">
        <f t="shared" si="128"/>
        <v/>
      </c>
      <c r="U1340" s="10"/>
      <c r="V1340" s="41">
        <f>IF(AND(Q1340&lt;&gt;"",RIGHT(Q1340,3)&lt;&gt;""),IF(COUNTIF($Q$6:Q1340,Q1340)=1,1,0),0)</f>
        <v>0</v>
      </c>
      <c r="W1340" s="41" t="str">
        <f t="shared" si="129"/>
        <v/>
      </c>
      <c r="X1340" s="41" t="str">
        <f t="shared" si="130"/>
        <v/>
      </c>
    </row>
    <row r="1341" s="32" customFormat="1" hidden="1" customHeight="1" spans="1:24">
      <c r="A1341" s="34"/>
      <c r="B1341" s="51"/>
      <c r="C1341" s="51"/>
      <c r="D1341" s="52"/>
      <c r="E1341" s="53"/>
      <c r="F1341" s="54"/>
      <c r="G1341" s="54"/>
      <c r="H1341" s="54"/>
      <c r="I1341" s="66"/>
      <c r="J1341" s="54"/>
      <c r="K1341" s="54"/>
      <c r="L1341" s="54"/>
      <c r="M1341" s="97" t="str">
        <f t="shared" si="127"/>
        <v/>
      </c>
      <c r="N1341" s="70"/>
      <c r="O1341" s="71" t="str">
        <f t="shared" si="131"/>
        <v/>
      </c>
      <c r="P1341" s="66"/>
      <c r="Q1341" s="66"/>
      <c r="R1341" s="54"/>
      <c r="S1341" s="82"/>
      <c r="T1341" s="83" t="str">
        <f t="shared" si="128"/>
        <v/>
      </c>
      <c r="U1341" s="10"/>
      <c r="V1341" s="41">
        <f>IF(AND(Q1341&lt;&gt;"",RIGHT(Q1341,3)&lt;&gt;""),IF(COUNTIF($Q$6:Q1341,Q1341)=1,1,0),0)</f>
        <v>0</v>
      </c>
      <c r="W1341" s="41" t="str">
        <f t="shared" si="129"/>
        <v/>
      </c>
      <c r="X1341" s="41" t="str">
        <f t="shared" si="130"/>
        <v/>
      </c>
    </row>
    <row r="1342" s="32" customFormat="1" hidden="1" customHeight="1" spans="1:24">
      <c r="A1342" s="34"/>
      <c r="B1342" s="51"/>
      <c r="C1342" s="51"/>
      <c r="D1342" s="52"/>
      <c r="E1342" s="53"/>
      <c r="F1342" s="54"/>
      <c r="G1342" s="54"/>
      <c r="H1342" s="54"/>
      <c r="I1342" s="66"/>
      <c r="J1342" s="54"/>
      <c r="K1342" s="54"/>
      <c r="L1342" s="54"/>
      <c r="M1342" s="97" t="str">
        <f t="shared" si="127"/>
        <v/>
      </c>
      <c r="N1342" s="70"/>
      <c r="O1342" s="71" t="str">
        <f t="shared" si="131"/>
        <v/>
      </c>
      <c r="P1342" s="66"/>
      <c r="Q1342" s="66"/>
      <c r="R1342" s="54"/>
      <c r="S1342" s="82"/>
      <c r="T1342" s="83" t="str">
        <f t="shared" si="128"/>
        <v/>
      </c>
      <c r="U1342" s="10"/>
      <c r="V1342" s="41">
        <f>IF(AND(Q1342&lt;&gt;"",RIGHT(Q1342,3)&lt;&gt;""),IF(COUNTIF($Q$6:Q1342,Q1342)=1,1,0),0)</f>
        <v>0</v>
      </c>
      <c r="W1342" s="41" t="str">
        <f t="shared" si="129"/>
        <v/>
      </c>
      <c r="X1342" s="41" t="str">
        <f t="shared" si="130"/>
        <v/>
      </c>
    </row>
    <row r="1343" s="32" customFormat="1" hidden="1" customHeight="1" spans="1:24">
      <c r="A1343" s="34"/>
      <c r="B1343" s="51"/>
      <c r="C1343" s="51"/>
      <c r="D1343" s="52"/>
      <c r="E1343" s="53"/>
      <c r="F1343" s="54"/>
      <c r="G1343" s="54"/>
      <c r="H1343" s="54"/>
      <c r="I1343" s="66"/>
      <c r="J1343" s="54"/>
      <c r="K1343" s="54"/>
      <c r="L1343" s="54"/>
      <c r="M1343" s="97" t="str">
        <f t="shared" si="127"/>
        <v/>
      </c>
      <c r="N1343" s="70"/>
      <c r="O1343" s="71" t="str">
        <f t="shared" si="131"/>
        <v/>
      </c>
      <c r="P1343" s="66"/>
      <c r="Q1343" s="66"/>
      <c r="R1343" s="54"/>
      <c r="S1343" s="82"/>
      <c r="T1343" s="83" t="str">
        <f t="shared" si="128"/>
        <v/>
      </c>
      <c r="U1343" s="10"/>
      <c r="V1343" s="41">
        <f>IF(AND(Q1343&lt;&gt;"",RIGHT(Q1343,3)&lt;&gt;""),IF(COUNTIF($Q$6:Q1343,Q1343)=1,1,0),0)</f>
        <v>0</v>
      </c>
      <c r="W1343" s="41" t="str">
        <f t="shared" si="129"/>
        <v/>
      </c>
      <c r="X1343" s="41" t="str">
        <f t="shared" si="130"/>
        <v/>
      </c>
    </row>
    <row r="1344" s="32" customFormat="1" hidden="1" customHeight="1" spans="1:24">
      <c r="A1344" s="34"/>
      <c r="B1344" s="51"/>
      <c r="C1344" s="51"/>
      <c r="D1344" s="52"/>
      <c r="E1344" s="53"/>
      <c r="F1344" s="54"/>
      <c r="G1344" s="54"/>
      <c r="H1344" s="54"/>
      <c r="I1344" s="66"/>
      <c r="J1344" s="54"/>
      <c r="K1344" s="54"/>
      <c r="L1344" s="54"/>
      <c r="M1344" s="97" t="str">
        <f t="shared" si="127"/>
        <v/>
      </c>
      <c r="N1344" s="70"/>
      <c r="O1344" s="71" t="str">
        <f t="shared" si="131"/>
        <v/>
      </c>
      <c r="P1344" s="66"/>
      <c r="Q1344" s="66"/>
      <c r="R1344" s="54"/>
      <c r="S1344" s="82"/>
      <c r="T1344" s="83" t="str">
        <f t="shared" si="128"/>
        <v/>
      </c>
      <c r="U1344" s="10"/>
      <c r="V1344" s="41">
        <f>IF(AND(Q1344&lt;&gt;"",RIGHT(Q1344,3)&lt;&gt;""),IF(COUNTIF($Q$6:Q1344,Q1344)=1,1,0),0)</f>
        <v>0</v>
      </c>
      <c r="W1344" s="41" t="str">
        <f t="shared" si="129"/>
        <v/>
      </c>
      <c r="X1344" s="41" t="str">
        <f t="shared" si="130"/>
        <v/>
      </c>
    </row>
    <row r="1345" s="32" customFormat="1" hidden="1" customHeight="1" spans="1:24">
      <c r="A1345" s="34"/>
      <c r="B1345" s="51"/>
      <c r="C1345" s="51"/>
      <c r="D1345" s="52"/>
      <c r="E1345" s="53"/>
      <c r="F1345" s="54"/>
      <c r="G1345" s="54"/>
      <c r="H1345" s="54"/>
      <c r="I1345" s="66"/>
      <c r="J1345" s="54"/>
      <c r="K1345" s="54"/>
      <c r="L1345" s="54"/>
      <c r="M1345" s="97" t="str">
        <f t="shared" si="127"/>
        <v/>
      </c>
      <c r="N1345" s="70"/>
      <c r="O1345" s="71" t="str">
        <f t="shared" si="131"/>
        <v/>
      </c>
      <c r="P1345" s="66"/>
      <c r="Q1345" s="66"/>
      <c r="R1345" s="54"/>
      <c r="S1345" s="82"/>
      <c r="T1345" s="83" t="str">
        <f t="shared" si="128"/>
        <v/>
      </c>
      <c r="U1345" s="10"/>
      <c r="V1345" s="41">
        <f>IF(AND(Q1345&lt;&gt;"",RIGHT(Q1345,3)&lt;&gt;""),IF(COUNTIF($Q$6:Q1345,Q1345)=1,1,0),0)</f>
        <v>0</v>
      </c>
      <c r="W1345" s="41" t="str">
        <f t="shared" si="129"/>
        <v/>
      </c>
      <c r="X1345" s="41" t="str">
        <f t="shared" si="130"/>
        <v/>
      </c>
    </row>
    <row r="1346" s="32" customFormat="1" hidden="1" customHeight="1" spans="1:24">
      <c r="A1346" s="34"/>
      <c r="B1346" s="51"/>
      <c r="C1346" s="51"/>
      <c r="D1346" s="52"/>
      <c r="E1346" s="53"/>
      <c r="F1346" s="54"/>
      <c r="G1346" s="54"/>
      <c r="H1346" s="54"/>
      <c r="I1346" s="66"/>
      <c r="J1346" s="54"/>
      <c r="K1346" s="54"/>
      <c r="L1346" s="54"/>
      <c r="M1346" s="97" t="str">
        <f t="shared" si="127"/>
        <v/>
      </c>
      <c r="N1346" s="70"/>
      <c r="O1346" s="71" t="str">
        <f t="shared" si="131"/>
        <v/>
      </c>
      <c r="P1346" s="66"/>
      <c r="Q1346" s="66"/>
      <c r="R1346" s="54"/>
      <c r="S1346" s="82"/>
      <c r="T1346" s="83" t="str">
        <f t="shared" si="128"/>
        <v/>
      </c>
      <c r="U1346" s="10"/>
      <c r="V1346" s="41">
        <f>IF(AND(Q1346&lt;&gt;"",RIGHT(Q1346,3)&lt;&gt;""),IF(COUNTIF($Q$6:Q1346,Q1346)=1,1,0),0)</f>
        <v>0</v>
      </c>
      <c r="W1346" s="41" t="str">
        <f t="shared" si="129"/>
        <v/>
      </c>
      <c r="X1346" s="41" t="str">
        <f t="shared" si="130"/>
        <v/>
      </c>
    </row>
    <row r="1347" s="32" customFormat="1" hidden="1" customHeight="1" spans="1:24">
      <c r="A1347" s="34"/>
      <c r="B1347" s="51"/>
      <c r="C1347" s="51"/>
      <c r="D1347" s="52"/>
      <c r="E1347" s="53"/>
      <c r="F1347" s="54"/>
      <c r="G1347" s="54"/>
      <c r="H1347" s="54"/>
      <c r="I1347" s="66"/>
      <c r="J1347" s="54"/>
      <c r="K1347" s="54"/>
      <c r="L1347" s="54"/>
      <c r="M1347" s="97" t="str">
        <f t="shared" si="127"/>
        <v/>
      </c>
      <c r="N1347" s="70"/>
      <c r="O1347" s="71" t="str">
        <f t="shared" si="131"/>
        <v/>
      </c>
      <c r="P1347" s="66"/>
      <c r="Q1347" s="66"/>
      <c r="R1347" s="54"/>
      <c r="S1347" s="82"/>
      <c r="T1347" s="83" t="str">
        <f t="shared" si="128"/>
        <v/>
      </c>
      <c r="U1347" s="10"/>
      <c r="V1347" s="41">
        <f>IF(AND(Q1347&lt;&gt;"",RIGHT(Q1347,3)&lt;&gt;""),IF(COUNTIF($Q$6:Q1347,Q1347)=1,1,0),0)</f>
        <v>0</v>
      </c>
      <c r="W1347" s="41" t="str">
        <f t="shared" si="129"/>
        <v/>
      </c>
      <c r="X1347" s="41" t="str">
        <f t="shared" si="130"/>
        <v/>
      </c>
    </row>
    <row r="1348" s="32" customFormat="1" hidden="1" customHeight="1" spans="1:24">
      <c r="A1348" s="34"/>
      <c r="B1348" s="51"/>
      <c r="C1348" s="51"/>
      <c r="D1348" s="52"/>
      <c r="E1348" s="53"/>
      <c r="F1348" s="54"/>
      <c r="G1348" s="54"/>
      <c r="H1348" s="54"/>
      <c r="I1348" s="66"/>
      <c r="J1348" s="54"/>
      <c r="K1348" s="54"/>
      <c r="L1348" s="54"/>
      <c r="M1348" s="97" t="str">
        <f t="shared" si="127"/>
        <v/>
      </c>
      <c r="N1348" s="70"/>
      <c r="O1348" s="71" t="str">
        <f t="shared" si="131"/>
        <v/>
      </c>
      <c r="P1348" s="66"/>
      <c r="Q1348" s="66"/>
      <c r="R1348" s="54"/>
      <c r="S1348" s="82"/>
      <c r="T1348" s="83" t="str">
        <f t="shared" si="128"/>
        <v/>
      </c>
      <c r="U1348" s="10"/>
      <c r="V1348" s="41">
        <f>IF(AND(Q1348&lt;&gt;"",RIGHT(Q1348,3)&lt;&gt;""),IF(COUNTIF($Q$6:Q1348,Q1348)=1,1,0),0)</f>
        <v>0</v>
      </c>
      <c r="W1348" s="41" t="str">
        <f t="shared" si="129"/>
        <v/>
      </c>
      <c r="X1348" s="41" t="str">
        <f t="shared" si="130"/>
        <v/>
      </c>
    </row>
    <row r="1349" s="32" customFormat="1" hidden="1" customHeight="1" spans="1:24">
      <c r="A1349" s="34"/>
      <c r="B1349" s="51"/>
      <c r="C1349" s="51"/>
      <c r="D1349" s="52"/>
      <c r="E1349" s="53"/>
      <c r="F1349" s="54"/>
      <c r="G1349" s="54"/>
      <c r="H1349" s="54"/>
      <c r="I1349" s="66"/>
      <c r="J1349" s="54"/>
      <c r="K1349" s="54"/>
      <c r="L1349" s="54"/>
      <c r="M1349" s="97" t="str">
        <f t="shared" si="127"/>
        <v/>
      </c>
      <c r="N1349" s="70"/>
      <c r="O1349" s="71" t="str">
        <f t="shared" si="131"/>
        <v/>
      </c>
      <c r="P1349" s="66"/>
      <c r="Q1349" s="66"/>
      <c r="R1349" s="54"/>
      <c r="S1349" s="82"/>
      <c r="T1349" s="83" t="str">
        <f t="shared" si="128"/>
        <v/>
      </c>
      <c r="U1349" s="10"/>
      <c r="V1349" s="41">
        <f>IF(AND(Q1349&lt;&gt;"",RIGHT(Q1349,3)&lt;&gt;""),IF(COUNTIF($Q$6:Q1349,Q1349)=1,1,0),0)</f>
        <v>0</v>
      </c>
      <c r="W1349" s="41" t="str">
        <f t="shared" si="129"/>
        <v/>
      </c>
      <c r="X1349" s="41" t="str">
        <f t="shared" si="130"/>
        <v/>
      </c>
    </row>
    <row r="1350" s="32" customFormat="1" hidden="1" customHeight="1" spans="1:24">
      <c r="A1350" s="34"/>
      <c r="B1350" s="51"/>
      <c r="C1350" s="51"/>
      <c r="D1350" s="52"/>
      <c r="E1350" s="53"/>
      <c r="F1350" s="54"/>
      <c r="G1350" s="54"/>
      <c r="H1350" s="54"/>
      <c r="I1350" s="66"/>
      <c r="J1350" s="54"/>
      <c r="K1350" s="54"/>
      <c r="L1350" s="54"/>
      <c r="M1350" s="97" t="str">
        <f t="shared" si="127"/>
        <v/>
      </c>
      <c r="N1350" s="70"/>
      <c r="O1350" s="71" t="str">
        <f t="shared" si="131"/>
        <v/>
      </c>
      <c r="P1350" s="66"/>
      <c r="Q1350" s="66"/>
      <c r="R1350" s="54"/>
      <c r="S1350" s="82"/>
      <c r="T1350" s="83" t="str">
        <f t="shared" si="128"/>
        <v/>
      </c>
      <c r="U1350" s="10"/>
      <c r="V1350" s="41">
        <f>IF(AND(Q1350&lt;&gt;"",RIGHT(Q1350,3)&lt;&gt;""),IF(COUNTIF($Q$6:Q1350,Q1350)=1,1,0),0)</f>
        <v>0</v>
      </c>
      <c r="W1350" s="41" t="str">
        <f t="shared" si="129"/>
        <v/>
      </c>
      <c r="X1350" s="41" t="str">
        <f t="shared" si="130"/>
        <v/>
      </c>
    </row>
    <row r="1351" s="32" customFormat="1" hidden="1" customHeight="1" spans="1:24">
      <c r="A1351" s="34"/>
      <c r="B1351" s="51"/>
      <c r="C1351" s="51"/>
      <c r="D1351" s="52"/>
      <c r="E1351" s="53"/>
      <c r="F1351" s="54"/>
      <c r="G1351" s="54"/>
      <c r="H1351" s="54"/>
      <c r="I1351" s="66"/>
      <c r="J1351" s="54"/>
      <c r="K1351" s="54"/>
      <c r="L1351" s="54"/>
      <c r="M1351" s="97" t="str">
        <f t="shared" si="127"/>
        <v/>
      </c>
      <c r="N1351" s="70"/>
      <c r="O1351" s="71" t="str">
        <f t="shared" si="131"/>
        <v/>
      </c>
      <c r="P1351" s="66"/>
      <c r="Q1351" s="66"/>
      <c r="R1351" s="54"/>
      <c r="S1351" s="82"/>
      <c r="T1351" s="83" t="str">
        <f t="shared" si="128"/>
        <v/>
      </c>
      <c r="U1351" s="10"/>
      <c r="V1351" s="41">
        <f>IF(AND(Q1351&lt;&gt;"",RIGHT(Q1351,3)&lt;&gt;""),IF(COUNTIF($Q$6:Q1351,Q1351)=1,1,0),0)</f>
        <v>0</v>
      </c>
      <c r="W1351" s="41" t="str">
        <f t="shared" si="129"/>
        <v/>
      </c>
      <c r="X1351" s="41" t="str">
        <f t="shared" si="130"/>
        <v/>
      </c>
    </row>
    <row r="1352" s="32" customFormat="1" hidden="1" customHeight="1" spans="1:24">
      <c r="A1352" s="34"/>
      <c r="B1352" s="51"/>
      <c r="C1352" s="51"/>
      <c r="D1352" s="52"/>
      <c r="E1352" s="53"/>
      <c r="F1352" s="54"/>
      <c r="G1352" s="54"/>
      <c r="H1352" s="54"/>
      <c r="I1352" s="66"/>
      <c r="J1352" s="54"/>
      <c r="K1352" s="54"/>
      <c r="L1352" s="54"/>
      <c r="M1352" s="97" t="str">
        <f t="shared" si="127"/>
        <v/>
      </c>
      <c r="N1352" s="70"/>
      <c r="O1352" s="71" t="str">
        <f t="shared" si="131"/>
        <v/>
      </c>
      <c r="P1352" s="66"/>
      <c r="Q1352" s="66"/>
      <c r="R1352" s="54"/>
      <c r="S1352" s="82"/>
      <c r="T1352" s="83" t="str">
        <f t="shared" si="128"/>
        <v/>
      </c>
      <c r="U1352" s="10"/>
      <c r="V1352" s="41">
        <f>IF(AND(Q1352&lt;&gt;"",RIGHT(Q1352,3)&lt;&gt;""),IF(COUNTIF($Q$6:Q1352,Q1352)=1,1,0),0)</f>
        <v>0</v>
      </c>
      <c r="W1352" s="41" t="str">
        <f t="shared" si="129"/>
        <v/>
      </c>
      <c r="X1352" s="41" t="str">
        <f t="shared" si="130"/>
        <v/>
      </c>
    </row>
    <row r="1353" s="32" customFormat="1" hidden="1" customHeight="1" spans="1:24">
      <c r="A1353" s="34"/>
      <c r="B1353" s="51"/>
      <c r="C1353" s="51"/>
      <c r="D1353" s="52"/>
      <c r="E1353" s="53"/>
      <c r="F1353" s="54"/>
      <c r="G1353" s="54"/>
      <c r="H1353" s="54"/>
      <c r="I1353" s="66"/>
      <c r="J1353" s="54"/>
      <c r="K1353" s="54"/>
      <c r="L1353" s="54"/>
      <c r="M1353" s="97" t="str">
        <f t="shared" si="127"/>
        <v/>
      </c>
      <c r="N1353" s="70"/>
      <c r="O1353" s="71" t="str">
        <f t="shared" si="131"/>
        <v/>
      </c>
      <c r="P1353" s="66"/>
      <c r="Q1353" s="66"/>
      <c r="R1353" s="54"/>
      <c r="S1353" s="82"/>
      <c r="T1353" s="83" t="str">
        <f t="shared" si="128"/>
        <v/>
      </c>
      <c r="U1353" s="10"/>
      <c r="V1353" s="41">
        <f>IF(AND(Q1353&lt;&gt;"",RIGHT(Q1353,3)&lt;&gt;""),IF(COUNTIF($Q$6:Q1353,Q1353)=1,1,0),0)</f>
        <v>0</v>
      </c>
      <c r="W1353" s="41" t="str">
        <f t="shared" si="129"/>
        <v/>
      </c>
      <c r="X1353" s="41" t="str">
        <f t="shared" si="130"/>
        <v/>
      </c>
    </row>
    <row r="1354" s="32" customFormat="1" hidden="1" customHeight="1" spans="1:24">
      <c r="A1354" s="34"/>
      <c r="B1354" s="51"/>
      <c r="C1354" s="51"/>
      <c r="D1354" s="52"/>
      <c r="E1354" s="53"/>
      <c r="F1354" s="54"/>
      <c r="G1354" s="54"/>
      <c r="H1354" s="54"/>
      <c r="I1354" s="66"/>
      <c r="J1354" s="54"/>
      <c r="K1354" s="54"/>
      <c r="L1354" s="54"/>
      <c r="M1354" s="97" t="str">
        <f t="shared" si="127"/>
        <v/>
      </c>
      <c r="N1354" s="70"/>
      <c r="O1354" s="71" t="str">
        <f t="shared" si="131"/>
        <v/>
      </c>
      <c r="P1354" s="66"/>
      <c r="Q1354" s="66"/>
      <c r="R1354" s="54"/>
      <c r="S1354" s="82"/>
      <c r="T1354" s="83" t="str">
        <f t="shared" si="128"/>
        <v/>
      </c>
      <c r="U1354" s="10"/>
      <c r="V1354" s="41">
        <f>IF(AND(Q1354&lt;&gt;"",RIGHT(Q1354,3)&lt;&gt;""),IF(COUNTIF($Q$6:Q1354,Q1354)=1,1,0),0)</f>
        <v>0</v>
      </c>
      <c r="W1354" s="41" t="str">
        <f t="shared" si="129"/>
        <v/>
      </c>
      <c r="X1354" s="41" t="str">
        <f t="shared" si="130"/>
        <v/>
      </c>
    </row>
    <row r="1355" s="32" customFormat="1" hidden="1" customHeight="1" spans="1:24">
      <c r="A1355" s="34"/>
      <c r="B1355" s="51"/>
      <c r="C1355" s="51"/>
      <c r="D1355" s="52"/>
      <c r="E1355" s="53"/>
      <c r="F1355" s="54"/>
      <c r="G1355" s="54"/>
      <c r="H1355" s="54"/>
      <c r="I1355" s="66"/>
      <c r="J1355" s="54"/>
      <c r="K1355" s="54"/>
      <c r="L1355" s="54"/>
      <c r="M1355" s="97" t="str">
        <f t="shared" si="127"/>
        <v/>
      </c>
      <c r="N1355" s="70"/>
      <c r="O1355" s="71" t="str">
        <f t="shared" si="131"/>
        <v/>
      </c>
      <c r="P1355" s="66"/>
      <c r="Q1355" s="66"/>
      <c r="R1355" s="54"/>
      <c r="S1355" s="82"/>
      <c r="T1355" s="83" t="str">
        <f t="shared" si="128"/>
        <v/>
      </c>
      <c r="U1355" s="10"/>
      <c r="V1355" s="41">
        <f>IF(AND(Q1355&lt;&gt;"",RIGHT(Q1355,3)&lt;&gt;""),IF(COUNTIF($Q$6:Q1355,Q1355)=1,1,0),0)</f>
        <v>0</v>
      </c>
      <c r="W1355" s="41" t="str">
        <f t="shared" si="129"/>
        <v/>
      </c>
      <c r="X1355" s="41" t="str">
        <f t="shared" si="130"/>
        <v/>
      </c>
    </row>
    <row r="1356" s="32" customFormat="1" hidden="1" customHeight="1" spans="1:24">
      <c r="A1356" s="34"/>
      <c r="B1356" s="51"/>
      <c r="C1356" s="51"/>
      <c r="D1356" s="52"/>
      <c r="E1356" s="53"/>
      <c r="F1356" s="54"/>
      <c r="G1356" s="54"/>
      <c r="H1356" s="54"/>
      <c r="I1356" s="66"/>
      <c r="J1356" s="54"/>
      <c r="K1356" s="54"/>
      <c r="L1356" s="54"/>
      <c r="M1356" s="97" t="str">
        <f t="shared" si="127"/>
        <v/>
      </c>
      <c r="N1356" s="70"/>
      <c r="O1356" s="71" t="str">
        <f t="shared" si="131"/>
        <v/>
      </c>
      <c r="P1356" s="66"/>
      <c r="Q1356" s="66"/>
      <c r="R1356" s="54"/>
      <c r="S1356" s="82"/>
      <c r="T1356" s="83" t="str">
        <f t="shared" si="128"/>
        <v/>
      </c>
      <c r="U1356" s="10"/>
      <c r="V1356" s="41">
        <f>IF(AND(Q1356&lt;&gt;"",RIGHT(Q1356,3)&lt;&gt;""),IF(COUNTIF($Q$6:Q1356,Q1356)=1,1,0),0)</f>
        <v>0</v>
      </c>
      <c r="W1356" s="41" t="str">
        <f t="shared" si="129"/>
        <v/>
      </c>
      <c r="X1356" s="41" t="str">
        <f t="shared" si="130"/>
        <v/>
      </c>
    </row>
    <row r="1357" s="32" customFormat="1" hidden="1" customHeight="1" spans="1:24">
      <c r="A1357" s="34"/>
      <c r="B1357" s="51"/>
      <c r="C1357" s="51"/>
      <c r="D1357" s="52"/>
      <c r="E1357" s="53"/>
      <c r="F1357" s="54"/>
      <c r="G1357" s="54"/>
      <c r="H1357" s="54"/>
      <c r="I1357" s="66"/>
      <c r="J1357" s="54"/>
      <c r="K1357" s="54"/>
      <c r="L1357" s="54"/>
      <c r="M1357" s="97" t="str">
        <f t="shared" si="127"/>
        <v/>
      </c>
      <c r="N1357" s="70"/>
      <c r="O1357" s="71" t="str">
        <f t="shared" si="131"/>
        <v/>
      </c>
      <c r="P1357" s="66"/>
      <c r="Q1357" s="66"/>
      <c r="R1357" s="54"/>
      <c r="S1357" s="82"/>
      <c r="T1357" s="83" t="str">
        <f t="shared" si="128"/>
        <v/>
      </c>
      <c r="U1357" s="10"/>
      <c r="V1357" s="41">
        <f>IF(AND(Q1357&lt;&gt;"",RIGHT(Q1357,3)&lt;&gt;""),IF(COUNTIF($Q$6:Q1357,Q1357)=1,1,0),0)</f>
        <v>0</v>
      </c>
      <c r="W1357" s="41" t="str">
        <f t="shared" si="129"/>
        <v/>
      </c>
      <c r="X1357" s="41" t="str">
        <f t="shared" si="130"/>
        <v/>
      </c>
    </row>
    <row r="1358" s="32" customFormat="1" hidden="1" customHeight="1" spans="1:24">
      <c r="A1358" s="34"/>
      <c r="B1358" s="51"/>
      <c r="C1358" s="51"/>
      <c r="D1358" s="52"/>
      <c r="E1358" s="53"/>
      <c r="F1358" s="54"/>
      <c r="G1358" s="54"/>
      <c r="H1358" s="54"/>
      <c r="I1358" s="66"/>
      <c r="J1358" s="54"/>
      <c r="K1358" s="54"/>
      <c r="L1358" s="54"/>
      <c r="M1358" s="97" t="str">
        <f t="shared" si="127"/>
        <v/>
      </c>
      <c r="N1358" s="70"/>
      <c r="O1358" s="71" t="str">
        <f t="shared" si="131"/>
        <v/>
      </c>
      <c r="P1358" s="66"/>
      <c r="Q1358" s="66"/>
      <c r="R1358" s="54"/>
      <c r="S1358" s="82"/>
      <c r="T1358" s="83" t="str">
        <f t="shared" si="128"/>
        <v/>
      </c>
      <c r="U1358" s="10"/>
      <c r="V1358" s="41">
        <f>IF(AND(Q1358&lt;&gt;"",RIGHT(Q1358,3)&lt;&gt;""),IF(COUNTIF($Q$6:Q1358,Q1358)=1,1,0),0)</f>
        <v>0</v>
      </c>
      <c r="W1358" s="41" t="str">
        <f t="shared" si="129"/>
        <v/>
      </c>
      <c r="X1358" s="41" t="str">
        <f t="shared" si="130"/>
        <v/>
      </c>
    </row>
    <row r="1359" s="32" customFormat="1" hidden="1" customHeight="1" spans="1:24">
      <c r="A1359" s="34"/>
      <c r="B1359" s="51"/>
      <c r="C1359" s="51"/>
      <c r="D1359" s="52"/>
      <c r="E1359" s="53"/>
      <c r="F1359" s="54"/>
      <c r="G1359" s="54"/>
      <c r="H1359" s="54"/>
      <c r="I1359" s="66"/>
      <c r="J1359" s="54"/>
      <c r="K1359" s="54"/>
      <c r="L1359" s="54"/>
      <c r="M1359" s="97" t="str">
        <f t="shared" si="127"/>
        <v/>
      </c>
      <c r="N1359" s="70"/>
      <c r="O1359" s="71" t="str">
        <f t="shared" si="131"/>
        <v/>
      </c>
      <c r="P1359" s="66"/>
      <c r="Q1359" s="66"/>
      <c r="R1359" s="54"/>
      <c r="S1359" s="82"/>
      <c r="T1359" s="83" t="str">
        <f t="shared" si="128"/>
        <v/>
      </c>
      <c r="U1359" s="10"/>
      <c r="V1359" s="41">
        <f>IF(AND(Q1359&lt;&gt;"",RIGHT(Q1359,3)&lt;&gt;""),IF(COUNTIF($Q$6:Q1359,Q1359)=1,1,0),0)</f>
        <v>0</v>
      </c>
      <c r="W1359" s="41" t="str">
        <f t="shared" si="129"/>
        <v/>
      </c>
      <c r="X1359" s="41" t="str">
        <f t="shared" si="130"/>
        <v/>
      </c>
    </row>
    <row r="1360" s="32" customFormat="1" hidden="1" customHeight="1" spans="1:24">
      <c r="A1360" s="34"/>
      <c r="B1360" s="51"/>
      <c r="C1360" s="51"/>
      <c r="D1360" s="52"/>
      <c r="E1360" s="53"/>
      <c r="F1360" s="54"/>
      <c r="G1360" s="54"/>
      <c r="H1360" s="54"/>
      <c r="I1360" s="66"/>
      <c r="J1360" s="54"/>
      <c r="K1360" s="54"/>
      <c r="L1360" s="54"/>
      <c r="M1360" s="97" t="str">
        <f t="shared" si="127"/>
        <v/>
      </c>
      <c r="N1360" s="70"/>
      <c r="O1360" s="71" t="str">
        <f t="shared" si="131"/>
        <v/>
      </c>
      <c r="P1360" s="66"/>
      <c r="Q1360" s="66"/>
      <c r="R1360" s="54"/>
      <c r="S1360" s="82"/>
      <c r="T1360" s="83" t="str">
        <f t="shared" si="128"/>
        <v/>
      </c>
      <c r="U1360" s="10"/>
      <c r="V1360" s="41">
        <f>IF(AND(Q1360&lt;&gt;"",RIGHT(Q1360,3)&lt;&gt;""),IF(COUNTIF($Q$6:Q1360,Q1360)=1,1,0),0)</f>
        <v>0</v>
      </c>
      <c r="W1360" s="41" t="str">
        <f t="shared" si="129"/>
        <v/>
      </c>
      <c r="X1360" s="41" t="str">
        <f t="shared" si="130"/>
        <v/>
      </c>
    </row>
    <row r="1361" s="32" customFormat="1" hidden="1" customHeight="1" spans="1:24">
      <c r="A1361" s="34"/>
      <c r="B1361" s="51"/>
      <c r="C1361" s="51"/>
      <c r="D1361" s="52"/>
      <c r="E1361" s="53"/>
      <c r="F1361" s="54"/>
      <c r="G1361" s="54"/>
      <c r="H1361" s="54"/>
      <c r="I1361" s="66"/>
      <c r="J1361" s="54"/>
      <c r="K1361" s="54"/>
      <c r="L1361" s="54"/>
      <c r="M1361" s="97" t="str">
        <f t="shared" si="127"/>
        <v/>
      </c>
      <c r="N1361" s="70"/>
      <c r="O1361" s="71" t="str">
        <f t="shared" si="131"/>
        <v/>
      </c>
      <c r="P1361" s="66"/>
      <c r="Q1361" s="66"/>
      <c r="R1361" s="54"/>
      <c r="S1361" s="82"/>
      <c r="T1361" s="83" t="str">
        <f t="shared" si="128"/>
        <v/>
      </c>
      <c r="U1361" s="10"/>
      <c r="V1361" s="41">
        <f>IF(AND(Q1361&lt;&gt;"",RIGHT(Q1361,3)&lt;&gt;""),IF(COUNTIF($Q$6:Q1361,Q1361)=1,1,0),0)</f>
        <v>0</v>
      </c>
      <c r="W1361" s="41" t="str">
        <f t="shared" si="129"/>
        <v/>
      </c>
      <c r="X1361" s="41" t="str">
        <f t="shared" si="130"/>
        <v/>
      </c>
    </row>
    <row r="1362" s="32" customFormat="1" hidden="1" customHeight="1" spans="1:24">
      <c r="A1362" s="34"/>
      <c r="B1362" s="51"/>
      <c r="C1362" s="51"/>
      <c r="D1362" s="52"/>
      <c r="E1362" s="53"/>
      <c r="F1362" s="54"/>
      <c r="G1362" s="54"/>
      <c r="H1362" s="54"/>
      <c r="I1362" s="66"/>
      <c r="J1362" s="54"/>
      <c r="K1362" s="54"/>
      <c r="L1362" s="54"/>
      <c r="M1362" s="97" t="str">
        <f t="shared" si="127"/>
        <v/>
      </c>
      <c r="N1362" s="70"/>
      <c r="O1362" s="71" t="str">
        <f t="shared" si="131"/>
        <v/>
      </c>
      <c r="P1362" s="66"/>
      <c r="Q1362" s="66"/>
      <c r="R1362" s="54"/>
      <c r="S1362" s="82"/>
      <c r="T1362" s="83" t="str">
        <f t="shared" si="128"/>
        <v/>
      </c>
      <c r="U1362" s="10"/>
      <c r="V1362" s="41">
        <f>IF(AND(Q1362&lt;&gt;"",RIGHT(Q1362,3)&lt;&gt;""),IF(COUNTIF($Q$6:Q1362,Q1362)=1,1,0),0)</f>
        <v>0</v>
      </c>
      <c r="W1362" s="41" t="str">
        <f t="shared" si="129"/>
        <v/>
      </c>
      <c r="X1362" s="41" t="str">
        <f t="shared" si="130"/>
        <v/>
      </c>
    </row>
    <row r="1363" s="32" customFormat="1" hidden="1" customHeight="1" spans="1:24">
      <c r="A1363" s="34"/>
      <c r="B1363" s="51"/>
      <c r="C1363" s="51"/>
      <c r="D1363" s="52"/>
      <c r="E1363" s="53"/>
      <c r="F1363" s="54"/>
      <c r="G1363" s="54"/>
      <c r="H1363" s="54"/>
      <c r="I1363" s="66"/>
      <c r="J1363" s="54"/>
      <c r="K1363" s="54"/>
      <c r="L1363" s="54"/>
      <c r="M1363" s="97" t="str">
        <f t="shared" si="127"/>
        <v/>
      </c>
      <c r="N1363" s="70"/>
      <c r="O1363" s="71" t="str">
        <f t="shared" si="131"/>
        <v/>
      </c>
      <c r="P1363" s="66"/>
      <c r="Q1363" s="66"/>
      <c r="R1363" s="54"/>
      <c r="S1363" s="82"/>
      <c r="T1363" s="83" t="str">
        <f t="shared" si="128"/>
        <v/>
      </c>
      <c r="U1363" s="10"/>
      <c r="V1363" s="41">
        <f>IF(AND(Q1363&lt;&gt;"",RIGHT(Q1363,3)&lt;&gt;""),IF(COUNTIF($Q$6:Q1363,Q1363)=1,1,0),0)</f>
        <v>0</v>
      </c>
      <c r="W1363" s="41" t="str">
        <f t="shared" si="129"/>
        <v/>
      </c>
      <c r="X1363" s="41" t="str">
        <f t="shared" si="130"/>
        <v/>
      </c>
    </row>
    <row r="1364" s="32" customFormat="1" hidden="1" customHeight="1" spans="1:24">
      <c r="A1364" s="34"/>
      <c r="B1364" s="51"/>
      <c r="C1364" s="51"/>
      <c r="D1364" s="52"/>
      <c r="E1364" s="53"/>
      <c r="F1364" s="54"/>
      <c r="G1364" s="54"/>
      <c r="H1364" s="54"/>
      <c r="I1364" s="66"/>
      <c r="J1364" s="54"/>
      <c r="K1364" s="54"/>
      <c r="L1364" s="54"/>
      <c r="M1364" s="97" t="str">
        <f t="shared" si="127"/>
        <v/>
      </c>
      <c r="N1364" s="70"/>
      <c r="O1364" s="71" t="str">
        <f t="shared" si="131"/>
        <v/>
      </c>
      <c r="P1364" s="66"/>
      <c r="Q1364" s="66"/>
      <c r="R1364" s="54"/>
      <c r="S1364" s="82"/>
      <c r="T1364" s="83" t="str">
        <f t="shared" si="128"/>
        <v/>
      </c>
      <c r="U1364" s="10"/>
      <c r="V1364" s="41">
        <f>IF(AND(Q1364&lt;&gt;"",RIGHT(Q1364,3)&lt;&gt;""),IF(COUNTIF($Q$6:Q1364,Q1364)=1,1,0),0)</f>
        <v>0</v>
      </c>
      <c r="W1364" s="41" t="str">
        <f t="shared" si="129"/>
        <v/>
      </c>
      <c r="X1364" s="41" t="str">
        <f t="shared" si="130"/>
        <v/>
      </c>
    </row>
    <row r="1365" s="32" customFormat="1" hidden="1" customHeight="1" spans="1:24">
      <c r="A1365" s="34"/>
      <c r="B1365" s="51"/>
      <c r="C1365" s="51"/>
      <c r="D1365" s="52"/>
      <c r="E1365" s="53"/>
      <c r="F1365" s="54"/>
      <c r="G1365" s="54"/>
      <c r="H1365" s="54"/>
      <c r="I1365" s="66"/>
      <c r="J1365" s="54"/>
      <c r="K1365" s="54"/>
      <c r="L1365" s="54"/>
      <c r="M1365" s="97" t="str">
        <f t="shared" si="127"/>
        <v/>
      </c>
      <c r="N1365" s="70"/>
      <c r="O1365" s="71" t="str">
        <f t="shared" si="131"/>
        <v/>
      </c>
      <c r="P1365" s="66"/>
      <c r="Q1365" s="66"/>
      <c r="R1365" s="54"/>
      <c r="S1365" s="82"/>
      <c r="T1365" s="83" t="str">
        <f t="shared" si="128"/>
        <v/>
      </c>
      <c r="U1365" s="10"/>
      <c r="V1365" s="41">
        <f>IF(AND(Q1365&lt;&gt;"",RIGHT(Q1365,3)&lt;&gt;""),IF(COUNTIF($Q$6:Q1365,Q1365)=1,1,0),0)</f>
        <v>0</v>
      </c>
      <c r="W1365" s="41" t="str">
        <f t="shared" si="129"/>
        <v/>
      </c>
      <c r="X1365" s="41" t="str">
        <f t="shared" si="130"/>
        <v/>
      </c>
    </row>
    <row r="1366" s="32" customFormat="1" hidden="1" customHeight="1" spans="1:24">
      <c r="A1366" s="34"/>
      <c r="B1366" s="51"/>
      <c r="C1366" s="51"/>
      <c r="D1366" s="52"/>
      <c r="E1366" s="53"/>
      <c r="F1366" s="54"/>
      <c r="G1366" s="54"/>
      <c r="H1366" s="54"/>
      <c r="I1366" s="66"/>
      <c r="J1366" s="54"/>
      <c r="K1366" s="54"/>
      <c r="L1366" s="54"/>
      <c r="M1366" s="97" t="str">
        <f t="shared" si="127"/>
        <v/>
      </c>
      <c r="N1366" s="70"/>
      <c r="O1366" s="71" t="str">
        <f t="shared" si="131"/>
        <v/>
      </c>
      <c r="P1366" s="66"/>
      <c r="Q1366" s="66"/>
      <c r="R1366" s="54"/>
      <c r="S1366" s="82"/>
      <c r="T1366" s="83" t="str">
        <f t="shared" si="128"/>
        <v/>
      </c>
      <c r="U1366" s="10"/>
      <c r="V1366" s="41">
        <f>IF(AND(Q1366&lt;&gt;"",RIGHT(Q1366,3)&lt;&gt;""),IF(COUNTIF($Q$6:Q1366,Q1366)=1,1,0),0)</f>
        <v>0</v>
      </c>
      <c r="W1366" s="41" t="str">
        <f t="shared" si="129"/>
        <v/>
      </c>
      <c r="X1366" s="41" t="str">
        <f t="shared" si="130"/>
        <v/>
      </c>
    </row>
    <row r="1367" s="32" customFormat="1" hidden="1" customHeight="1" spans="1:24">
      <c r="A1367" s="34"/>
      <c r="B1367" s="51"/>
      <c r="C1367" s="51"/>
      <c r="D1367" s="52"/>
      <c r="E1367" s="53"/>
      <c r="F1367" s="54"/>
      <c r="G1367" s="54"/>
      <c r="H1367" s="54"/>
      <c r="I1367" s="66"/>
      <c r="J1367" s="54"/>
      <c r="K1367" s="54"/>
      <c r="L1367" s="54"/>
      <c r="M1367" s="97" t="str">
        <f t="shared" si="127"/>
        <v/>
      </c>
      <c r="N1367" s="70"/>
      <c r="O1367" s="71" t="str">
        <f t="shared" si="131"/>
        <v/>
      </c>
      <c r="P1367" s="66"/>
      <c r="Q1367" s="66"/>
      <c r="R1367" s="54"/>
      <c r="S1367" s="82"/>
      <c r="T1367" s="83" t="str">
        <f t="shared" si="128"/>
        <v/>
      </c>
      <c r="U1367" s="10"/>
      <c r="V1367" s="41">
        <f>IF(AND(Q1367&lt;&gt;"",RIGHT(Q1367,3)&lt;&gt;""),IF(COUNTIF($Q$6:Q1367,Q1367)=1,1,0),0)</f>
        <v>0</v>
      </c>
      <c r="W1367" s="41" t="str">
        <f t="shared" si="129"/>
        <v/>
      </c>
      <c r="X1367" s="41" t="str">
        <f t="shared" si="130"/>
        <v/>
      </c>
    </row>
    <row r="1368" s="32" customFormat="1" hidden="1" customHeight="1" spans="1:24">
      <c r="A1368" s="34"/>
      <c r="B1368" s="51"/>
      <c r="C1368" s="51"/>
      <c r="D1368" s="52"/>
      <c r="E1368" s="53"/>
      <c r="F1368" s="54"/>
      <c r="G1368" s="54"/>
      <c r="H1368" s="54"/>
      <c r="I1368" s="66"/>
      <c r="J1368" s="54"/>
      <c r="K1368" s="54"/>
      <c r="L1368" s="54"/>
      <c r="M1368" s="97" t="str">
        <f t="shared" si="127"/>
        <v/>
      </c>
      <c r="N1368" s="70"/>
      <c r="O1368" s="71" t="str">
        <f t="shared" si="131"/>
        <v/>
      </c>
      <c r="P1368" s="66"/>
      <c r="Q1368" s="66"/>
      <c r="R1368" s="54"/>
      <c r="S1368" s="82"/>
      <c r="T1368" s="83" t="str">
        <f t="shared" si="128"/>
        <v/>
      </c>
      <c r="U1368" s="10"/>
      <c r="V1368" s="41">
        <f>IF(AND(Q1368&lt;&gt;"",RIGHT(Q1368,3)&lt;&gt;""),IF(COUNTIF($Q$6:Q1368,Q1368)=1,1,0),0)</f>
        <v>0</v>
      </c>
      <c r="W1368" s="41" t="str">
        <f t="shared" si="129"/>
        <v/>
      </c>
      <c r="X1368" s="41" t="str">
        <f t="shared" si="130"/>
        <v/>
      </c>
    </row>
    <row r="1369" s="32" customFormat="1" hidden="1" customHeight="1" spans="1:24">
      <c r="A1369" s="34"/>
      <c r="B1369" s="51"/>
      <c r="C1369" s="51"/>
      <c r="D1369" s="52"/>
      <c r="E1369" s="53"/>
      <c r="F1369" s="54"/>
      <c r="G1369" s="54"/>
      <c r="H1369" s="54"/>
      <c r="I1369" s="66"/>
      <c r="J1369" s="54"/>
      <c r="K1369" s="54"/>
      <c r="L1369" s="54"/>
      <c r="M1369" s="97" t="str">
        <f t="shared" si="127"/>
        <v/>
      </c>
      <c r="N1369" s="70"/>
      <c r="O1369" s="71" t="str">
        <f t="shared" si="131"/>
        <v/>
      </c>
      <c r="P1369" s="66"/>
      <c r="Q1369" s="66"/>
      <c r="R1369" s="54"/>
      <c r="S1369" s="82"/>
      <c r="T1369" s="83" t="str">
        <f t="shared" si="128"/>
        <v/>
      </c>
      <c r="U1369" s="10"/>
      <c r="V1369" s="41">
        <f>IF(AND(Q1369&lt;&gt;"",RIGHT(Q1369,3)&lt;&gt;""),IF(COUNTIF($Q$6:Q1369,Q1369)=1,1,0),0)</f>
        <v>0</v>
      </c>
      <c r="W1369" s="41" t="str">
        <f t="shared" si="129"/>
        <v/>
      </c>
      <c r="X1369" s="41" t="str">
        <f t="shared" si="130"/>
        <v/>
      </c>
    </row>
    <row r="1370" s="32" customFormat="1" hidden="1" customHeight="1" spans="1:24">
      <c r="A1370" s="34"/>
      <c r="B1370" s="51"/>
      <c r="C1370" s="51"/>
      <c r="D1370" s="52"/>
      <c r="E1370" s="53"/>
      <c r="F1370" s="54"/>
      <c r="G1370" s="54"/>
      <c r="H1370" s="54"/>
      <c r="I1370" s="66"/>
      <c r="J1370" s="54"/>
      <c r="K1370" s="54"/>
      <c r="L1370" s="54"/>
      <c r="M1370" s="97" t="str">
        <f t="shared" si="127"/>
        <v/>
      </c>
      <c r="N1370" s="70"/>
      <c r="O1370" s="71" t="str">
        <f t="shared" si="131"/>
        <v/>
      </c>
      <c r="P1370" s="66"/>
      <c r="Q1370" s="66"/>
      <c r="R1370" s="54"/>
      <c r="S1370" s="82"/>
      <c r="T1370" s="83" t="str">
        <f t="shared" si="128"/>
        <v/>
      </c>
      <c r="U1370" s="10"/>
      <c r="V1370" s="41">
        <f>IF(AND(Q1370&lt;&gt;"",RIGHT(Q1370,3)&lt;&gt;""),IF(COUNTIF($Q$6:Q1370,Q1370)=1,1,0),0)</f>
        <v>0</v>
      </c>
      <c r="W1370" s="41" t="str">
        <f t="shared" si="129"/>
        <v/>
      </c>
      <c r="X1370" s="41" t="str">
        <f t="shared" si="130"/>
        <v/>
      </c>
    </row>
    <row r="1371" s="32" customFormat="1" hidden="1" customHeight="1" spans="1:24">
      <c r="A1371" s="34"/>
      <c r="B1371" s="51"/>
      <c r="C1371" s="51"/>
      <c r="D1371" s="52"/>
      <c r="E1371" s="53"/>
      <c r="F1371" s="54"/>
      <c r="G1371" s="54"/>
      <c r="H1371" s="54"/>
      <c r="I1371" s="66"/>
      <c r="J1371" s="54"/>
      <c r="K1371" s="54"/>
      <c r="L1371" s="54"/>
      <c r="M1371" s="97" t="str">
        <f t="shared" si="127"/>
        <v/>
      </c>
      <c r="N1371" s="70"/>
      <c r="O1371" s="71" t="str">
        <f t="shared" si="131"/>
        <v/>
      </c>
      <c r="P1371" s="66"/>
      <c r="Q1371" s="66"/>
      <c r="R1371" s="54"/>
      <c r="S1371" s="82"/>
      <c r="T1371" s="83" t="str">
        <f t="shared" si="128"/>
        <v/>
      </c>
      <c r="U1371" s="10"/>
      <c r="V1371" s="41">
        <f>IF(AND(Q1371&lt;&gt;"",RIGHT(Q1371,3)&lt;&gt;""),IF(COUNTIF($Q$6:Q1371,Q1371)=1,1,0),0)</f>
        <v>0</v>
      </c>
      <c r="W1371" s="41" t="str">
        <f t="shared" si="129"/>
        <v/>
      </c>
      <c r="X1371" s="41" t="str">
        <f t="shared" si="130"/>
        <v/>
      </c>
    </row>
    <row r="1372" s="32" customFormat="1" hidden="1" customHeight="1" spans="1:24">
      <c r="A1372" s="34"/>
      <c r="B1372" s="51"/>
      <c r="C1372" s="51"/>
      <c r="D1372" s="52"/>
      <c r="E1372" s="53"/>
      <c r="F1372" s="54"/>
      <c r="G1372" s="54"/>
      <c r="H1372" s="54"/>
      <c r="I1372" s="66"/>
      <c r="J1372" s="54"/>
      <c r="K1372" s="54"/>
      <c r="L1372" s="54"/>
      <c r="M1372" s="97" t="str">
        <f t="shared" si="127"/>
        <v/>
      </c>
      <c r="N1372" s="70"/>
      <c r="O1372" s="71" t="str">
        <f t="shared" si="131"/>
        <v/>
      </c>
      <c r="P1372" s="66"/>
      <c r="Q1372" s="66"/>
      <c r="R1372" s="54"/>
      <c r="S1372" s="82"/>
      <c r="T1372" s="83" t="str">
        <f t="shared" si="128"/>
        <v/>
      </c>
      <c r="U1372" s="10"/>
      <c r="V1372" s="41">
        <f>IF(AND(Q1372&lt;&gt;"",RIGHT(Q1372,3)&lt;&gt;""),IF(COUNTIF($Q$6:Q1372,Q1372)=1,1,0),0)</f>
        <v>0</v>
      </c>
      <c r="W1372" s="41" t="str">
        <f t="shared" si="129"/>
        <v/>
      </c>
      <c r="X1372" s="41" t="str">
        <f t="shared" si="130"/>
        <v/>
      </c>
    </row>
    <row r="1373" s="32" customFormat="1" hidden="1" customHeight="1" spans="1:24">
      <c r="A1373" s="34"/>
      <c r="B1373" s="51"/>
      <c r="C1373" s="51"/>
      <c r="D1373" s="52"/>
      <c r="E1373" s="53"/>
      <c r="F1373" s="54"/>
      <c r="G1373" s="54"/>
      <c r="H1373" s="54"/>
      <c r="I1373" s="66"/>
      <c r="J1373" s="54"/>
      <c r="K1373" s="54"/>
      <c r="L1373" s="54"/>
      <c r="M1373" s="97" t="str">
        <f t="shared" si="127"/>
        <v/>
      </c>
      <c r="N1373" s="70"/>
      <c r="O1373" s="71" t="str">
        <f t="shared" si="131"/>
        <v/>
      </c>
      <c r="P1373" s="66"/>
      <c r="Q1373" s="66"/>
      <c r="R1373" s="54"/>
      <c r="S1373" s="82"/>
      <c r="T1373" s="83" t="str">
        <f t="shared" si="128"/>
        <v/>
      </c>
      <c r="U1373" s="10"/>
      <c r="V1373" s="41">
        <f>IF(AND(Q1373&lt;&gt;"",RIGHT(Q1373,3)&lt;&gt;""),IF(COUNTIF($Q$6:Q1373,Q1373)=1,1,0),0)</f>
        <v>0</v>
      </c>
      <c r="W1373" s="41" t="str">
        <f t="shared" si="129"/>
        <v/>
      </c>
      <c r="X1373" s="41" t="str">
        <f t="shared" si="130"/>
        <v/>
      </c>
    </row>
    <row r="1374" s="32" customFormat="1" hidden="1" customHeight="1" spans="1:24">
      <c r="A1374" s="34"/>
      <c r="B1374" s="51"/>
      <c r="C1374" s="51"/>
      <c r="D1374" s="52"/>
      <c r="E1374" s="53"/>
      <c r="F1374" s="54"/>
      <c r="G1374" s="54"/>
      <c r="H1374" s="54"/>
      <c r="I1374" s="66"/>
      <c r="J1374" s="54"/>
      <c r="K1374" s="54"/>
      <c r="L1374" s="54"/>
      <c r="M1374" s="97" t="str">
        <f t="shared" si="127"/>
        <v/>
      </c>
      <c r="N1374" s="70"/>
      <c r="O1374" s="71" t="str">
        <f t="shared" si="131"/>
        <v/>
      </c>
      <c r="P1374" s="66"/>
      <c r="Q1374" s="66"/>
      <c r="R1374" s="54"/>
      <c r="S1374" s="82"/>
      <c r="T1374" s="83" t="str">
        <f t="shared" si="128"/>
        <v/>
      </c>
      <c r="U1374" s="10"/>
      <c r="V1374" s="41">
        <f>IF(AND(Q1374&lt;&gt;"",RIGHT(Q1374,3)&lt;&gt;""),IF(COUNTIF($Q$6:Q1374,Q1374)=1,1,0),0)</f>
        <v>0</v>
      </c>
      <c r="W1374" s="41" t="str">
        <f t="shared" si="129"/>
        <v/>
      </c>
      <c r="X1374" s="41" t="str">
        <f t="shared" si="130"/>
        <v/>
      </c>
    </row>
    <row r="1375" s="32" customFormat="1" hidden="1" customHeight="1" spans="1:24">
      <c r="A1375" s="34"/>
      <c r="B1375" s="51"/>
      <c r="C1375" s="51"/>
      <c r="D1375" s="52"/>
      <c r="E1375" s="53"/>
      <c r="F1375" s="54"/>
      <c r="G1375" s="54"/>
      <c r="H1375" s="54"/>
      <c r="I1375" s="66"/>
      <c r="J1375" s="54"/>
      <c r="K1375" s="54"/>
      <c r="L1375" s="54"/>
      <c r="M1375" s="97" t="str">
        <f t="shared" si="127"/>
        <v/>
      </c>
      <c r="N1375" s="70"/>
      <c r="O1375" s="71" t="str">
        <f t="shared" si="131"/>
        <v/>
      </c>
      <c r="P1375" s="66"/>
      <c r="Q1375" s="66"/>
      <c r="R1375" s="54"/>
      <c r="S1375" s="82"/>
      <c r="T1375" s="83" t="str">
        <f t="shared" si="128"/>
        <v/>
      </c>
      <c r="U1375" s="10"/>
      <c r="V1375" s="41">
        <f>IF(AND(Q1375&lt;&gt;"",RIGHT(Q1375,3)&lt;&gt;""),IF(COUNTIF($Q$6:Q1375,Q1375)=1,1,0),0)</f>
        <v>0</v>
      </c>
      <c r="W1375" s="41" t="str">
        <f t="shared" si="129"/>
        <v/>
      </c>
      <c r="X1375" s="41" t="str">
        <f t="shared" si="130"/>
        <v/>
      </c>
    </row>
    <row r="1376" s="32" customFormat="1" hidden="1" customHeight="1" spans="1:24">
      <c r="A1376" s="34"/>
      <c r="B1376" s="51"/>
      <c r="C1376" s="51"/>
      <c r="D1376" s="52"/>
      <c r="E1376" s="53"/>
      <c r="F1376" s="54"/>
      <c r="G1376" s="54"/>
      <c r="H1376" s="54"/>
      <c r="I1376" s="66"/>
      <c r="J1376" s="54"/>
      <c r="K1376" s="54"/>
      <c r="L1376" s="54"/>
      <c r="M1376" s="97" t="str">
        <f t="shared" si="127"/>
        <v/>
      </c>
      <c r="N1376" s="70"/>
      <c r="O1376" s="71" t="str">
        <f t="shared" si="131"/>
        <v/>
      </c>
      <c r="P1376" s="66"/>
      <c r="Q1376" s="66"/>
      <c r="R1376" s="54"/>
      <c r="S1376" s="82"/>
      <c r="T1376" s="83" t="str">
        <f t="shared" si="128"/>
        <v/>
      </c>
      <c r="U1376" s="10"/>
      <c r="V1376" s="41">
        <f>IF(AND(Q1376&lt;&gt;"",RIGHT(Q1376,3)&lt;&gt;""),IF(COUNTIF($Q$6:Q1376,Q1376)=1,1,0),0)</f>
        <v>0</v>
      </c>
      <c r="W1376" s="41" t="str">
        <f t="shared" si="129"/>
        <v/>
      </c>
      <c r="X1376" s="41" t="str">
        <f t="shared" si="130"/>
        <v/>
      </c>
    </row>
    <row r="1377" s="32" customFormat="1" hidden="1" customHeight="1" spans="1:24">
      <c r="A1377" s="34"/>
      <c r="B1377" s="51"/>
      <c r="C1377" s="51"/>
      <c r="D1377" s="52"/>
      <c r="E1377" s="53"/>
      <c r="F1377" s="54"/>
      <c r="G1377" s="54"/>
      <c r="H1377" s="54"/>
      <c r="I1377" s="66"/>
      <c r="J1377" s="54"/>
      <c r="K1377" s="54"/>
      <c r="L1377" s="54"/>
      <c r="M1377" s="97" t="str">
        <f t="shared" si="127"/>
        <v/>
      </c>
      <c r="N1377" s="70"/>
      <c r="O1377" s="71" t="str">
        <f t="shared" si="131"/>
        <v/>
      </c>
      <c r="P1377" s="66"/>
      <c r="Q1377" s="66"/>
      <c r="R1377" s="54"/>
      <c r="S1377" s="82"/>
      <c r="T1377" s="83" t="str">
        <f t="shared" si="128"/>
        <v/>
      </c>
      <c r="U1377" s="10"/>
      <c r="V1377" s="41">
        <f>IF(AND(Q1377&lt;&gt;"",RIGHT(Q1377,3)&lt;&gt;""),IF(COUNTIF($Q$6:Q1377,Q1377)=1,1,0),0)</f>
        <v>0</v>
      </c>
      <c r="W1377" s="41" t="str">
        <f t="shared" si="129"/>
        <v/>
      </c>
      <c r="X1377" s="41" t="str">
        <f t="shared" si="130"/>
        <v/>
      </c>
    </row>
    <row r="1378" s="32" customFormat="1" hidden="1" customHeight="1" spans="1:24">
      <c r="A1378" s="34"/>
      <c r="B1378" s="51"/>
      <c r="C1378" s="51"/>
      <c r="D1378" s="52"/>
      <c r="E1378" s="53"/>
      <c r="F1378" s="54"/>
      <c r="G1378" s="54"/>
      <c r="H1378" s="54"/>
      <c r="I1378" s="66"/>
      <c r="J1378" s="54"/>
      <c r="K1378" s="54"/>
      <c r="L1378" s="54"/>
      <c r="M1378" s="97" t="str">
        <f t="shared" si="127"/>
        <v/>
      </c>
      <c r="N1378" s="70"/>
      <c r="O1378" s="71" t="str">
        <f t="shared" si="131"/>
        <v/>
      </c>
      <c r="P1378" s="66"/>
      <c r="Q1378" s="66"/>
      <c r="R1378" s="54"/>
      <c r="S1378" s="82"/>
      <c r="T1378" s="83" t="str">
        <f t="shared" si="128"/>
        <v/>
      </c>
      <c r="U1378" s="10"/>
      <c r="V1378" s="41">
        <f>IF(AND(Q1378&lt;&gt;"",RIGHT(Q1378,3)&lt;&gt;""),IF(COUNTIF($Q$6:Q1378,Q1378)=1,1,0),0)</f>
        <v>0</v>
      </c>
      <c r="W1378" s="41" t="str">
        <f t="shared" si="129"/>
        <v/>
      </c>
      <c r="X1378" s="41" t="str">
        <f t="shared" si="130"/>
        <v/>
      </c>
    </row>
    <row r="1379" s="32" customFormat="1" hidden="1" customHeight="1" spans="1:24">
      <c r="A1379" s="34"/>
      <c r="B1379" s="51"/>
      <c r="C1379" s="51"/>
      <c r="D1379" s="52"/>
      <c r="E1379" s="53"/>
      <c r="F1379" s="54"/>
      <c r="G1379" s="54"/>
      <c r="H1379" s="54"/>
      <c r="I1379" s="66"/>
      <c r="J1379" s="54"/>
      <c r="K1379" s="54"/>
      <c r="L1379" s="54"/>
      <c r="M1379" s="97" t="str">
        <f t="shared" si="127"/>
        <v/>
      </c>
      <c r="N1379" s="70"/>
      <c r="O1379" s="71" t="str">
        <f t="shared" si="131"/>
        <v/>
      </c>
      <c r="P1379" s="66"/>
      <c r="Q1379" s="66"/>
      <c r="R1379" s="54"/>
      <c r="S1379" s="82"/>
      <c r="T1379" s="83" t="str">
        <f t="shared" si="128"/>
        <v/>
      </c>
      <c r="U1379" s="10"/>
      <c r="V1379" s="41">
        <f>IF(AND(Q1379&lt;&gt;"",RIGHT(Q1379,3)&lt;&gt;""),IF(COUNTIF($Q$6:Q1379,Q1379)=1,1,0),0)</f>
        <v>0</v>
      </c>
      <c r="W1379" s="41" t="str">
        <f t="shared" si="129"/>
        <v/>
      </c>
      <c r="X1379" s="41" t="str">
        <f t="shared" si="130"/>
        <v/>
      </c>
    </row>
    <row r="1380" s="32" customFormat="1" hidden="1" customHeight="1" spans="1:24">
      <c r="A1380" s="34"/>
      <c r="B1380" s="51"/>
      <c r="C1380" s="51"/>
      <c r="D1380" s="52"/>
      <c r="E1380" s="53"/>
      <c r="F1380" s="54"/>
      <c r="G1380" s="54"/>
      <c r="H1380" s="54"/>
      <c r="I1380" s="66"/>
      <c r="J1380" s="54"/>
      <c r="K1380" s="54"/>
      <c r="L1380" s="54"/>
      <c r="M1380" s="97" t="str">
        <f t="shared" ref="M1380:M1443" si="132">IF(L1380="","",HYPERLINK(_xlfn.CONCAT($L$4,L1380,".jpg"),"Open File"))</f>
        <v/>
      </c>
      <c r="N1380" s="70"/>
      <c r="O1380" s="71" t="str">
        <f t="shared" si="131"/>
        <v/>
      </c>
      <c r="P1380" s="66"/>
      <c r="Q1380" s="66"/>
      <c r="R1380" s="54"/>
      <c r="S1380" s="82"/>
      <c r="T1380" s="83" t="str">
        <f t="shared" ref="T1380:T1443" si="133">IF(S1380="","",HYPERLINK(_xlfn.CONCAT($S$4,S1380,".jpg"),"Open File"))</f>
        <v/>
      </c>
      <c r="U1380" s="10"/>
      <c r="V1380" s="41">
        <f>IF(AND(Q1380&lt;&gt;"",RIGHT(Q1380,3)&lt;&gt;""),IF(COUNTIF($Q$6:Q1380,Q1380)=1,1,0),0)</f>
        <v>0</v>
      </c>
      <c r="W1380" s="41" t="str">
        <f t="shared" ref="W1380:W1443" si="134">IF(AND(J1380&lt;&gt;"",K1380&lt;&gt;""),_xlfn.CONCAT(SUBSTITUTE(J1380,"/","."),"-",K1380),"")</f>
        <v/>
      </c>
      <c r="X1380" s="41" t="str">
        <f t="shared" ref="X1380:X1443" si="135">IF(AND(Q1380&lt;&gt;"",R1380&lt;&gt;""),_xlfn.CONCAT(SUBSTITUTE(Q1380,"/","."),"-",R1380),"")</f>
        <v/>
      </c>
    </row>
    <row r="1381" s="32" customFormat="1" hidden="1" customHeight="1" spans="1:24">
      <c r="A1381" s="34"/>
      <c r="B1381" s="51"/>
      <c r="C1381" s="51"/>
      <c r="D1381" s="52"/>
      <c r="E1381" s="53"/>
      <c r="F1381" s="54"/>
      <c r="G1381" s="54"/>
      <c r="H1381" s="54"/>
      <c r="I1381" s="66"/>
      <c r="J1381" s="54"/>
      <c r="K1381" s="54"/>
      <c r="L1381" s="54"/>
      <c r="M1381" s="97" t="str">
        <f t="shared" si="132"/>
        <v/>
      </c>
      <c r="N1381" s="70"/>
      <c r="O1381" s="71" t="str">
        <f t="shared" si="131"/>
        <v/>
      </c>
      <c r="P1381" s="66"/>
      <c r="Q1381" s="66"/>
      <c r="R1381" s="54"/>
      <c r="S1381" s="82"/>
      <c r="T1381" s="83" t="str">
        <f t="shared" si="133"/>
        <v/>
      </c>
      <c r="U1381" s="10"/>
      <c r="V1381" s="41">
        <f>IF(AND(Q1381&lt;&gt;"",RIGHT(Q1381,3)&lt;&gt;""),IF(COUNTIF($Q$6:Q1381,Q1381)=1,1,0),0)</f>
        <v>0</v>
      </c>
      <c r="W1381" s="41" t="str">
        <f t="shared" si="134"/>
        <v/>
      </c>
      <c r="X1381" s="41" t="str">
        <f t="shared" si="135"/>
        <v/>
      </c>
    </row>
    <row r="1382" s="32" customFormat="1" hidden="1" customHeight="1" spans="1:24">
      <c r="A1382" s="34"/>
      <c r="B1382" s="51"/>
      <c r="C1382" s="51"/>
      <c r="D1382" s="52"/>
      <c r="E1382" s="53"/>
      <c r="F1382" s="54"/>
      <c r="G1382" s="54"/>
      <c r="H1382" s="54"/>
      <c r="I1382" s="66"/>
      <c r="J1382" s="54"/>
      <c r="K1382" s="54"/>
      <c r="L1382" s="54"/>
      <c r="M1382" s="97" t="str">
        <f t="shared" si="132"/>
        <v/>
      </c>
      <c r="N1382" s="70"/>
      <c r="O1382" s="71" t="str">
        <f t="shared" si="131"/>
        <v/>
      </c>
      <c r="P1382" s="66"/>
      <c r="Q1382" s="66"/>
      <c r="R1382" s="54"/>
      <c r="S1382" s="82"/>
      <c r="T1382" s="83" t="str">
        <f t="shared" si="133"/>
        <v/>
      </c>
      <c r="U1382" s="10"/>
      <c r="V1382" s="41">
        <f>IF(AND(Q1382&lt;&gt;"",RIGHT(Q1382,3)&lt;&gt;""),IF(COUNTIF($Q$6:Q1382,Q1382)=1,1,0),0)</f>
        <v>0</v>
      </c>
      <c r="W1382" s="41" t="str">
        <f t="shared" si="134"/>
        <v/>
      </c>
      <c r="X1382" s="41" t="str">
        <f t="shared" si="135"/>
        <v/>
      </c>
    </row>
    <row r="1383" s="32" customFormat="1" hidden="1" customHeight="1" spans="1:24">
      <c r="A1383" s="34"/>
      <c r="B1383" s="51"/>
      <c r="C1383" s="51"/>
      <c r="D1383" s="52"/>
      <c r="E1383" s="53"/>
      <c r="F1383" s="54"/>
      <c r="G1383" s="54"/>
      <c r="H1383" s="54"/>
      <c r="I1383" s="66"/>
      <c r="J1383" s="54"/>
      <c r="K1383" s="54"/>
      <c r="L1383" s="54"/>
      <c r="M1383" s="97" t="str">
        <f t="shared" si="132"/>
        <v/>
      </c>
      <c r="N1383" s="70"/>
      <c r="O1383" s="71" t="str">
        <f t="shared" si="131"/>
        <v/>
      </c>
      <c r="P1383" s="66"/>
      <c r="Q1383" s="66"/>
      <c r="R1383" s="54"/>
      <c r="S1383" s="82"/>
      <c r="T1383" s="83" t="str">
        <f t="shared" si="133"/>
        <v/>
      </c>
      <c r="U1383" s="10"/>
      <c r="V1383" s="41">
        <f>IF(AND(Q1383&lt;&gt;"",RIGHT(Q1383,3)&lt;&gt;""),IF(COUNTIF($Q$6:Q1383,Q1383)=1,1,0),0)</f>
        <v>0</v>
      </c>
      <c r="W1383" s="41" t="str">
        <f t="shared" si="134"/>
        <v/>
      </c>
      <c r="X1383" s="41" t="str">
        <f t="shared" si="135"/>
        <v/>
      </c>
    </row>
    <row r="1384" s="32" customFormat="1" hidden="1" customHeight="1" spans="1:24">
      <c r="A1384" s="34"/>
      <c r="B1384" s="51"/>
      <c r="C1384" s="51"/>
      <c r="D1384" s="52"/>
      <c r="E1384" s="53"/>
      <c r="F1384" s="54"/>
      <c r="G1384" s="54"/>
      <c r="H1384" s="54"/>
      <c r="I1384" s="66"/>
      <c r="J1384" s="54"/>
      <c r="K1384" s="54"/>
      <c r="L1384" s="54"/>
      <c r="M1384" s="97" t="str">
        <f t="shared" si="132"/>
        <v/>
      </c>
      <c r="N1384" s="70"/>
      <c r="O1384" s="71" t="str">
        <f t="shared" si="131"/>
        <v/>
      </c>
      <c r="P1384" s="66"/>
      <c r="Q1384" s="66"/>
      <c r="R1384" s="54"/>
      <c r="S1384" s="82"/>
      <c r="T1384" s="83" t="str">
        <f t="shared" si="133"/>
        <v/>
      </c>
      <c r="U1384" s="10"/>
      <c r="V1384" s="41">
        <f>IF(AND(Q1384&lt;&gt;"",RIGHT(Q1384,3)&lt;&gt;""),IF(COUNTIF($Q$6:Q1384,Q1384)=1,1,0),0)</f>
        <v>0</v>
      </c>
      <c r="W1384" s="41" t="str">
        <f t="shared" si="134"/>
        <v/>
      </c>
      <c r="X1384" s="41" t="str">
        <f t="shared" si="135"/>
        <v/>
      </c>
    </row>
    <row r="1385" s="32" customFormat="1" hidden="1" customHeight="1" spans="1:24">
      <c r="A1385" s="34"/>
      <c r="B1385" s="51"/>
      <c r="C1385" s="51"/>
      <c r="D1385" s="52"/>
      <c r="E1385" s="53"/>
      <c r="F1385" s="54"/>
      <c r="G1385" s="54"/>
      <c r="H1385" s="54"/>
      <c r="I1385" s="66"/>
      <c r="J1385" s="54"/>
      <c r="K1385" s="54"/>
      <c r="L1385" s="54"/>
      <c r="M1385" s="97" t="str">
        <f t="shared" si="132"/>
        <v/>
      </c>
      <c r="N1385" s="70"/>
      <c r="O1385" s="71" t="str">
        <f t="shared" si="131"/>
        <v/>
      </c>
      <c r="P1385" s="66"/>
      <c r="Q1385" s="66"/>
      <c r="R1385" s="54"/>
      <c r="S1385" s="82"/>
      <c r="T1385" s="83" t="str">
        <f t="shared" si="133"/>
        <v/>
      </c>
      <c r="U1385" s="10"/>
      <c r="V1385" s="41">
        <f>IF(AND(Q1385&lt;&gt;"",RIGHT(Q1385,3)&lt;&gt;""),IF(COUNTIF($Q$6:Q1385,Q1385)=1,1,0),0)</f>
        <v>0</v>
      </c>
      <c r="W1385" s="41" t="str">
        <f t="shared" si="134"/>
        <v/>
      </c>
      <c r="X1385" s="41" t="str">
        <f t="shared" si="135"/>
        <v/>
      </c>
    </row>
    <row r="1386" s="32" customFormat="1" hidden="1" customHeight="1" spans="1:24">
      <c r="A1386" s="34"/>
      <c r="B1386" s="51"/>
      <c r="C1386" s="51"/>
      <c r="D1386" s="52"/>
      <c r="E1386" s="53"/>
      <c r="F1386" s="54"/>
      <c r="G1386" s="54"/>
      <c r="H1386" s="54"/>
      <c r="I1386" s="66"/>
      <c r="J1386" s="54"/>
      <c r="K1386" s="54"/>
      <c r="L1386" s="54"/>
      <c r="M1386" s="97" t="str">
        <f t="shared" si="132"/>
        <v/>
      </c>
      <c r="N1386" s="70"/>
      <c r="O1386" s="71" t="str">
        <f t="shared" si="131"/>
        <v/>
      </c>
      <c r="P1386" s="66"/>
      <c r="Q1386" s="66"/>
      <c r="R1386" s="54"/>
      <c r="S1386" s="82"/>
      <c r="T1386" s="83" t="str">
        <f t="shared" si="133"/>
        <v/>
      </c>
      <c r="U1386" s="10"/>
      <c r="V1386" s="41">
        <f>IF(AND(Q1386&lt;&gt;"",RIGHT(Q1386,3)&lt;&gt;""),IF(COUNTIF($Q$6:Q1386,Q1386)=1,1,0),0)</f>
        <v>0</v>
      </c>
      <c r="W1386" s="41" t="str">
        <f t="shared" si="134"/>
        <v/>
      </c>
      <c r="X1386" s="41" t="str">
        <f t="shared" si="135"/>
        <v/>
      </c>
    </row>
    <row r="1387" s="32" customFormat="1" hidden="1" customHeight="1" spans="1:24">
      <c r="A1387" s="34"/>
      <c r="B1387" s="51"/>
      <c r="C1387" s="51"/>
      <c r="D1387" s="52"/>
      <c r="E1387" s="53"/>
      <c r="F1387" s="54"/>
      <c r="G1387" s="54"/>
      <c r="H1387" s="54"/>
      <c r="I1387" s="66"/>
      <c r="J1387" s="54"/>
      <c r="K1387" s="54"/>
      <c r="L1387" s="54"/>
      <c r="M1387" s="97" t="str">
        <f t="shared" si="132"/>
        <v/>
      </c>
      <c r="N1387" s="70"/>
      <c r="O1387" s="71" t="str">
        <f t="shared" si="131"/>
        <v/>
      </c>
      <c r="P1387" s="66"/>
      <c r="Q1387" s="66"/>
      <c r="R1387" s="54"/>
      <c r="S1387" s="82"/>
      <c r="T1387" s="83" t="str">
        <f t="shared" si="133"/>
        <v/>
      </c>
      <c r="U1387" s="10"/>
      <c r="V1387" s="41">
        <f>IF(AND(Q1387&lt;&gt;"",RIGHT(Q1387,3)&lt;&gt;""),IF(COUNTIF($Q$6:Q1387,Q1387)=1,1,0),0)</f>
        <v>0</v>
      </c>
      <c r="W1387" s="41" t="str">
        <f t="shared" si="134"/>
        <v/>
      </c>
      <c r="X1387" s="41" t="str">
        <f t="shared" si="135"/>
        <v/>
      </c>
    </row>
    <row r="1388" s="32" customFormat="1" hidden="1" customHeight="1" spans="1:24">
      <c r="A1388" s="34"/>
      <c r="B1388" s="51"/>
      <c r="C1388" s="51"/>
      <c r="D1388" s="52"/>
      <c r="E1388" s="53"/>
      <c r="F1388" s="54"/>
      <c r="G1388" s="54"/>
      <c r="H1388" s="54"/>
      <c r="I1388" s="66"/>
      <c r="J1388" s="54"/>
      <c r="K1388" s="54"/>
      <c r="L1388" s="54"/>
      <c r="M1388" s="97" t="str">
        <f t="shared" si="132"/>
        <v/>
      </c>
      <c r="N1388" s="70"/>
      <c r="O1388" s="71" t="str">
        <f t="shared" si="131"/>
        <v/>
      </c>
      <c r="P1388" s="66"/>
      <c r="Q1388" s="66"/>
      <c r="R1388" s="54"/>
      <c r="S1388" s="82"/>
      <c r="T1388" s="83" t="str">
        <f t="shared" si="133"/>
        <v/>
      </c>
      <c r="U1388" s="10"/>
      <c r="V1388" s="41">
        <f>IF(AND(Q1388&lt;&gt;"",RIGHT(Q1388,3)&lt;&gt;""),IF(COUNTIF($Q$6:Q1388,Q1388)=1,1,0),0)</f>
        <v>0</v>
      </c>
      <c r="W1388" s="41" t="str">
        <f t="shared" si="134"/>
        <v/>
      </c>
      <c r="X1388" s="41" t="str">
        <f t="shared" si="135"/>
        <v/>
      </c>
    </row>
    <row r="1389" s="32" customFormat="1" hidden="1" customHeight="1" spans="1:24">
      <c r="A1389" s="34"/>
      <c r="B1389" s="51"/>
      <c r="C1389" s="51"/>
      <c r="D1389" s="52"/>
      <c r="E1389" s="53"/>
      <c r="F1389" s="54"/>
      <c r="G1389" s="54"/>
      <c r="H1389" s="54"/>
      <c r="I1389" s="66"/>
      <c r="J1389" s="54"/>
      <c r="K1389" s="54"/>
      <c r="L1389" s="54"/>
      <c r="M1389" s="97" t="str">
        <f t="shared" si="132"/>
        <v/>
      </c>
      <c r="N1389" s="70"/>
      <c r="O1389" s="71" t="str">
        <f t="shared" si="131"/>
        <v/>
      </c>
      <c r="P1389" s="66"/>
      <c r="Q1389" s="66"/>
      <c r="R1389" s="54"/>
      <c r="S1389" s="82"/>
      <c r="T1389" s="83" t="str">
        <f t="shared" si="133"/>
        <v/>
      </c>
      <c r="U1389" s="10"/>
      <c r="V1389" s="41">
        <f>IF(AND(Q1389&lt;&gt;"",RIGHT(Q1389,3)&lt;&gt;""),IF(COUNTIF($Q$6:Q1389,Q1389)=1,1,0),0)</f>
        <v>0</v>
      </c>
      <c r="W1389" s="41" t="str">
        <f t="shared" si="134"/>
        <v/>
      </c>
      <c r="X1389" s="41" t="str">
        <f t="shared" si="135"/>
        <v/>
      </c>
    </row>
    <row r="1390" s="32" customFormat="1" hidden="1" customHeight="1" spans="1:24">
      <c r="A1390" s="34"/>
      <c r="B1390" s="51"/>
      <c r="C1390" s="51"/>
      <c r="D1390" s="52"/>
      <c r="E1390" s="53"/>
      <c r="F1390" s="54"/>
      <c r="G1390" s="54"/>
      <c r="H1390" s="54"/>
      <c r="I1390" s="66"/>
      <c r="J1390" s="54"/>
      <c r="K1390" s="54"/>
      <c r="L1390" s="54"/>
      <c r="M1390" s="97" t="str">
        <f t="shared" si="132"/>
        <v/>
      </c>
      <c r="N1390" s="70"/>
      <c r="O1390" s="71" t="str">
        <f t="shared" si="131"/>
        <v/>
      </c>
      <c r="P1390" s="66"/>
      <c r="Q1390" s="66"/>
      <c r="R1390" s="54"/>
      <c r="S1390" s="82"/>
      <c r="T1390" s="83" t="str">
        <f t="shared" si="133"/>
        <v/>
      </c>
      <c r="U1390" s="10"/>
      <c r="V1390" s="41">
        <f>IF(AND(Q1390&lt;&gt;"",RIGHT(Q1390,3)&lt;&gt;""),IF(COUNTIF($Q$6:Q1390,Q1390)=1,1,0),0)</f>
        <v>0</v>
      </c>
      <c r="W1390" s="41" t="str">
        <f t="shared" si="134"/>
        <v/>
      </c>
      <c r="X1390" s="41" t="str">
        <f t="shared" si="135"/>
        <v/>
      </c>
    </row>
    <row r="1391" s="32" customFormat="1" hidden="1" customHeight="1" spans="1:24">
      <c r="A1391" s="34"/>
      <c r="B1391" s="51"/>
      <c r="C1391" s="51"/>
      <c r="D1391" s="52"/>
      <c r="E1391" s="53"/>
      <c r="F1391" s="54"/>
      <c r="G1391" s="54"/>
      <c r="H1391" s="54"/>
      <c r="I1391" s="66"/>
      <c r="J1391" s="54"/>
      <c r="K1391" s="54"/>
      <c r="L1391" s="54"/>
      <c r="M1391" s="97" t="str">
        <f t="shared" si="132"/>
        <v/>
      </c>
      <c r="N1391" s="70"/>
      <c r="O1391" s="71" t="str">
        <f t="shared" si="131"/>
        <v/>
      </c>
      <c r="P1391" s="66"/>
      <c r="Q1391" s="66"/>
      <c r="R1391" s="54"/>
      <c r="S1391" s="82"/>
      <c r="T1391" s="83" t="str">
        <f t="shared" si="133"/>
        <v/>
      </c>
      <c r="U1391" s="10"/>
      <c r="V1391" s="41">
        <f>IF(AND(Q1391&lt;&gt;"",RIGHT(Q1391,3)&lt;&gt;""),IF(COUNTIF($Q$6:Q1391,Q1391)=1,1,0),0)</f>
        <v>0</v>
      </c>
      <c r="W1391" s="41" t="str">
        <f t="shared" si="134"/>
        <v/>
      </c>
      <c r="X1391" s="41" t="str">
        <f t="shared" si="135"/>
        <v/>
      </c>
    </row>
    <row r="1392" s="32" customFormat="1" hidden="1" customHeight="1" spans="1:24">
      <c r="A1392" s="34"/>
      <c r="B1392" s="51"/>
      <c r="C1392" s="51"/>
      <c r="D1392" s="52"/>
      <c r="E1392" s="53"/>
      <c r="F1392" s="54"/>
      <c r="G1392" s="54"/>
      <c r="H1392" s="54"/>
      <c r="I1392" s="66"/>
      <c r="J1392" s="54"/>
      <c r="K1392" s="54"/>
      <c r="L1392" s="54"/>
      <c r="M1392" s="97" t="str">
        <f t="shared" si="132"/>
        <v/>
      </c>
      <c r="N1392" s="70"/>
      <c r="O1392" s="71" t="str">
        <f t="shared" si="131"/>
        <v/>
      </c>
      <c r="P1392" s="66"/>
      <c r="Q1392" s="66"/>
      <c r="R1392" s="54"/>
      <c r="S1392" s="82"/>
      <c r="T1392" s="83" t="str">
        <f t="shared" si="133"/>
        <v/>
      </c>
      <c r="U1392" s="10"/>
      <c r="V1392" s="41">
        <f>IF(AND(Q1392&lt;&gt;"",RIGHT(Q1392,3)&lt;&gt;""),IF(COUNTIF($Q$6:Q1392,Q1392)=1,1,0),0)</f>
        <v>0</v>
      </c>
      <c r="W1392" s="41" t="str">
        <f t="shared" si="134"/>
        <v/>
      </c>
      <c r="X1392" s="41" t="str">
        <f t="shared" si="135"/>
        <v/>
      </c>
    </row>
    <row r="1393" s="32" customFormat="1" hidden="1" customHeight="1" spans="1:24">
      <c r="A1393" s="34"/>
      <c r="B1393" s="51"/>
      <c r="C1393" s="51"/>
      <c r="D1393" s="52"/>
      <c r="E1393" s="53"/>
      <c r="F1393" s="54"/>
      <c r="G1393" s="54"/>
      <c r="H1393" s="54"/>
      <c r="I1393" s="66"/>
      <c r="J1393" s="54"/>
      <c r="K1393" s="54"/>
      <c r="L1393" s="54"/>
      <c r="M1393" s="97" t="str">
        <f t="shared" si="132"/>
        <v/>
      </c>
      <c r="N1393" s="70"/>
      <c r="O1393" s="71" t="str">
        <f t="shared" ref="O1393:O1456" si="136">IF(AND(Q1393&lt;&gt;"",T1393&lt;&gt;""),"PASSIVE",IF(AND(J1393&lt;&gt;"",M1393&lt;&gt;""),"ACTIVE",""))</f>
        <v/>
      </c>
      <c r="P1393" s="66"/>
      <c r="Q1393" s="66"/>
      <c r="R1393" s="54"/>
      <c r="S1393" s="82"/>
      <c r="T1393" s="83" t="str">
        <f t="shared" si="133"/>
        <v/>
      </c>
      <c r="U1393" s="10"/>
      <c r="V1393" s="41">
        <f>IF(AND(Q1393&lt;&gt;"",RIGHT(Q1393,3)&lt;&gt;""),IF(COUNTIF($Q$6:Q1393,Q1393)=1,1,0),0)</f>
        <v>0</v>
      </c>
      <c r="W1393" s="41" t="str">
        <f t="shared" si="134"/>
        <v/>
      </c>
      <c r="X1393" s="41" t="str">
        <f t="shared" si="135"/>
        <v/>
      </c>
    </row>
    <row r="1394" s="32" customFormat="1" hidden="1" customHeight="1" spans="1:24">
      <c r="A1394" s="34"/>
      <c r="B1394" s="51"/>
      <c r="C1394" s="51"/>
      <c r="D1394" s="52"/>
      <c r="E1394" s="53"/>
      <c r="F1394" s="54"/>
      <c r="G1394" s="54"/>
      <c r="H1394" s="54"/>
      <c r="I1394" s="66"/>
      <c r="J1394" s="54"/>
      <c r="K1394" s="54"/>
      <c r="L1394" s="54"/>
      <c r="M1394" s="97" t="str">
        <f t="shared" si="132"/>
        <v/>
      </c>
      <c r="N1394" s="70"/>
      <c r="O1394" s="71" t="str">
        <f t="shared" si="136"/>
        <v/>
      </c>
      <c r="P1394" s="66"/>
      <c r="Q1394" s="66"/>
      <c r="R1394" s="54"/>
      <c r="S1394" s="82"/>
      <c r="T1394" s="83" t="str">
        <f t="shared" si="133"/>
        <v/>
      </c>
      <c r="U1394" s="10"/>
      <c r="V1394" s="41">
        <f>IF(AND(Q1394&lt;&gt;"",RIGHT(Q1394,3)&lt;&gt;""),IF(COUNTIF($Q$6:Q1394,Q1394)=1,1,0),0)</f>
        <v>0</v>
      </c>
      <c r="W1394" s="41" t="str">
        <f t="shared" si="134"/>
        <v/>
      </c>
      <c r="X1394" s="41" t="str">
        <f t="shared" si="135"/>
        <v/>
      </c>
    </row>
    <row r="1395" s="32" customFormat="1" hidden="1" customHeight="1" spans="1:24">
      <c r="A1395" s="34"/>
      <c r="B1395" s="51"/>
      <c r="C1395" s="51"/>
      <c r="D1395" s="52"/>
      <c r="E1395" s="53"/>
      <c r="F1395" s="54"/>
      <c r="G1395" s="54"/>
      <c r="H1395" s="54"/>
      <c r="I1395" s="66"/>
      <c r="J1395" s="54"/>
      <c r="K1395" s="54"/>
      <c r="L1395" s="54"/>
      <c r="M1395" s="97" t="str">
        <f t="shared" si="132"/>
        <v/>
      </c>
      <c r="N1395" s="70"/>
      <c r="O1395" s="71" t="str">
        <f t="shared" si="136"/>
        <v/>
      </c>
      <c r="P1395" s="66"/>
      <c r="Q1395" s="66"/>
      <c r="R1395" s="54"/>
      <c r="S1395" s="82"/>
      <c r="T1395" s="83" t="str">
        <f t="shared" si="133"/>
        <v/>
      </c>
      <c r="U1395" s="10"/>
      <c r="V1395" s="41">
        <f>IF(AND(Q1395&lt;&gt;"",RIGHT(Q1395,3)&lt;&gt;""),IF(COUNTIF($Q$6:Q1395,Q1395)=1,1,0),0)</f>
        <v>0</v>
      </c>
      <c r="W1395" s="41" t="str">
        <f t="shared" si="134"/>
        <v/>
      </c>
      <c r="X1395" s="41" t="str">
        <f t="shared" si="135"/>
        <v/>
      </c>
    </row>
    <row r="1396" s="32" customFormat="1" hidden="1" customHeight="1" spans="1:24">
      <c r="A1396" s="34"/>
      <c r="B1396" s="51"/>
      <c r="C1396" s="51"/>
      <c r="D1396" s="52"/>
      <c r="E1396" s="53"/>
      <c r="F1396" s="54"/>
      <c r="G1396" s="54"/>
      <c r="H1396" s="54"/>
      <c r="I1396" s="66"/>
      <c r="J1396" s="54"/>
      <c r="K1396" s="54"/>
      <c r="L1396" s="54"/>
      <c r="M1396" s="97" t="str">
        <f t="shared" si="132"/>
        <v/>
      </c>
      <c r="N1396" s="70"/>
      <c r="O1396" s="71" t="str">
        <f t="shared" si="136"/>
        <v/>
      </c>
      <c r="P1396" s="66"/>
      <c r="Q1396" s="66"/>
      <c r="R1396" s="54"/>
      <c r="S1396" s="82"/>
      <c r="T1396" s="83" t="str">
        <f t="shared" si="133"/>
        <v/>
      </c>
      <c r="U1396" s="10"/>
      <c r="V1396" s="41">
        <f>IF(AND(Q1396&lt;&gt;"",RIGHT(Q1396,3)&lt;&gt;""),IF(COUNTIF($Q$6:Q1396,Q1396)=1,1,0),0)</f>
        <v>0</v>
      </c>
      <c r="W1396" s="41" t="str">
        <f t="shared" si="134"/>
        <v/>
      </c>
      <c r="X1396" s="41" t="str">
        <f t="shared" si="135"/>
        <v/>
      </c>
    </row>
    <row r="1397" s="32" customFormat="1" hidden="1" customHeight="1" spans="1:24">
      <c r="A1397" s="34"/>
      <c r="B1397" s="51"/>
      <c r="C1397" s="51"/>
      <c r="D1397" s="52"/>
      <c r="E1397" s="53"/>
      <c r="F1397" s="54"/>
      <c r="G1397" s="54"/>
      <c r="H1397" s="54"/>
      <c r="I1397" s="66"/>
      <c r="J1397" s="54"/>
      <c r="K1397" s="54"/>
      <c r="L1397" s="54"/>
      <c r="M1397" s="97" t="str">
        <f t="shared" si="132"/>
        <v/>
      </c>
      <c r="N1397" s="70"/>
      <c r="O1397" s="71" t="str">
        <f t="shared" si="136"/>
        <v/>
      </c>
      <c r="P1397" s="66"/>
      <c r="Q1397" s="66"/>
      <c r="R1397" s="54"/>
      <c r="S1397" s="82"/>
      <c r="T1397" s="83" t="str">
        <f t="shared" si="133"/>
        <v/>
      </c>
      <c r="U1397" s="10"/>
      <c r="V1397" s="41">
        <f>IF(AND(Q1397&lt;&gt;"",RIGHT(Q1397,3)&lt;&gt;""),IF(COUNTIF($Q$6:Q1397,Q1397)=1,1,0),0)</f>
        <v>0</v>
      </c>
      <c r="W1397" s="41" t="str">
        <f t="shared" si="134"/>
        <v/>
      </c>
      <c r="X1397" s="41" t="str">
        <f t="shared" si="135"/>
        <v/>
      </c>
    </row>
    <row r="1398" s="32" customFormat="1" hidden="1" customHeight="1" spans="1:24">
      <c r="A1398" s="34"/>
      <c r="B1398" s="51"/>
      <c r="C1398" s="51"/>
      <c r="D1398" s="52"/>
      <c r="E1398" s="53"/>
      <c r="F1398" s="54"/>
      <c r="G1398" s="54"/>
      <c r="H1398" s="54"/>
      <c r="I1398" s="66"/>
      <c r="J1398" s="54"/>
      <c r="K1398" s="54"/>
      <c r="L1398" s="54"/>
      <c r="M1398" s="97" t="str">
        <f t="shared" si="132"/>
        <v/>
      </c>
      <c r="N1398" s="70"/>
      <c r="O1398" s="71" t="str">
        <f t="shared" si="136"/>
        <v/>
      </c>
      <c r="P1398" s="66"/>
      <c r="Q1398" s="66"/>
      <c r="R1398" s="54"/>
      <c r="S1398" s="82"/>
      <c r="T1398" s="83" t="str">
        <f t="shared" si="133"/>
        <v/>
      </c>
      <c r="U1398" s="10"/>
      <c r="V1398" s="41">
        <f>IF(AND(Q1398&lt;&gt;"",RIGHT(Q1398,3)&lt;&gt;""),IF(COUNTIF($Q$6:Q1398,Q1398)=1,1,0),0)</f>
        <v>0</v>
      </c>
      <c r="W1398" s="41" t="str">
        <f t="shared" si="134"/>
        <v/>
      </c>
      <c r="X1398" s="41" t="str">
        <f t="shared" si="135"/>
        <v/>
      </c>
    </row>
    <row r="1399" s="32" customFormat="1" hidden="1" customHeight="1" spans="1:24">
      <c r="A1399" s="34"/>
      <c r="B1399" s="51"/>
      <c r="C1399" s="51"/>
      <c r="D1399" s="52"/>
      <c r="E1399" s="53"/>
      <c r="F1399" s="54"/>
      <c r="G1399" s="54"/>
      <c r="H1399" s="54"/>
      <c r="I1399" s="66"/>
      <c r="J1399" s="54"/>
      <c r="K1399" s="54"/>
      <c r="L1399" s="54"/>
      <c r="M1399" s="97" t="str">
        <f t="shared" si="132"/>
        <v/>
      </c>
      <c r="N1399" s="70"/>
      <c r="O1399" s="71" t="str">
        <f t="shared" si="136"/>
        <v/>
      </c>
      <c r="P1399" s="66"/>
      <c r="Q1399" s="66"/>
      <c r="R1399" s="54"/>
      <c r="S1399" s="82"/>
      <c r="T1399" s="83" t="str">
        <f t="shared" si="133"/>
        <v/>
      </c>
      <c r="U1399" s="10"/>
      <c r="V1399" s="41">
        <f>IF(AND(Q1399&lt;&gt;"",RIGHT(Q1399,3)&lt;&gt;""),IF(COUNTIF($Q$6:Q1399,Q1399)=1,1,0),0)</f>
        <v>0</v>
      </c>
      <c r="W1399" s="41" t="str">
        <f t="shared" si="134"/>
        <v/>
      </c>
      <c r="X1399" s="41" t="str">
        <f t="shared" si="135"/>
        <v/>
      </c>
    </row>
    <row r="1400" s="32" customFormat="1" hidden="1" customHeight="1" spans="1:24">
      <c r="A1400" s="34"/>
      <c r="B1400" s="51"/>
      <c r="C1400" s="51"/>
      <c r="D1400" s="52"/>
      <c r="E1400" s="53"/>
      <c r="F1400" s="54"/>
      <c r="G1400" s="54"/>
      <c r="H1400" s="54"/>
      <c r="I1400" s="66"/>
      <c r="J1400" s="54"/>
      <c r="K1400" s="54"/>
      <c r="L1400" s="54"/>
      <c r="M1400" s="97" t="str">
        <f t="shared" si="132"/>
        <v/>
      </c>
      <c r="N1400" s="70"/>
      <c r="O1400" s="71" t="str">
        <f t="shared" si="136"/>
        <v/>
      </c>
      <c r="P1400" s="66"/>
      <c r="Q1400" s="66"/>
      <c r="R1400" s="54"/>
      <c r="S1400" s="82"/>
      <c r="T1400" s="83" t="str">
        <f t="shared" si="133"/>
        <v/>
      </c>
      <c r="U1400" s="10"/>
      <c r="V1400" s="41">
        <f>IF(AND(Q1400&lt;&gt;"",RIGHT(Q1400,3)&lt;&gt;""),IF(COUNTIF($Q$6:Q1400,Q1400)=1,1,0),0)</f>
        <v>0</v>
      </c>
      <c r="W1400" s="41" t="str">
        <f t="shared" si="134"/>
        <v/>
      </c>
      <c r="X1400" s="41" t="str">
        <f t="shared" si="135"/>
        <v/>
      </c>
    </row>
    <row r="1401" s="32" customFormat="1" hidden="1" customHeight="1" spans="1:24">
      <c r="A1401" s="34"/>
      <c r="B1401" s="51"/>
      <c r="C1401" s="51"/>
      <c r="D1401" s="52"/>
      <c r="E1401" s="53"/>
      <c r="F1401" s="54"/>
      <c r="G1401" s="54"/>
      <c r="H1401" s="54"/>
      <c r="I1401" s="66"/>
      <c r="J1401" s="54"/>
      <c r="K1401" s="54"/>
      <c r="L1401" s="54"/>
      <c r="M1401" s="97" t="str">
        <f t="shared" si="132"/>
        <v/>
      </c>
      <c r="N1401" s="70"/>
      <c r="O1401" s="71" t="str">
        <f t="shared" si="136"/>
        <v/>
      </c>
      <c r="P1401" s="66"/>
      <c r="Q1401" s="66"/>
      <c r="R1401" s="54"/>
      <c r="S1401" s="82"/>
      <c r="T1401" s="83" t="str">
        <f t="shared" si="133"/>
        <v/>
      </c>
      <c r="U1401" s="10"/>
      <c r="V1401" s="41">
        <f>IF(AND(Q1401&lt;&gt;"",RIGHT(Q1401,3)&lt;&gt;""),IF(COUNTIF($Q$6:Q1401,Q1401)=1,1,0),0)</f>
        <v>0</v>
      </c>
      <c r="W1401" s="41" t="str">
        <f t="shared" si="134"/>
        <v/>
      </c>
      <c r="X1401" s="41" t="str">
        <f t="shared" si="135"/>
        <v/>
      </c>
    </row>
    <row r="1402" s="32" customFormat="1" hidden="1" customHeight="1" spans="1:24">
      <c r="A1402" s="34"/>
      <c r="B1402" s="51"/>
      <c r="C1402" s="51"/>
      <c r="D1402" s="52"/>
      <c r="E1402" s="53"/>
      <c r="F1402" s="54"/>
      <c r="G1402" s="54"/>
      <c r="H1402" s="54"/>
      <c r="I1402" s="66"/>
      <c r="J1402" s="54"/>
      <c r="K1402" s="54"/>
      <c r="L1402" s="54"/>
      <c r="M1402" s="97" t="str">
        <f t="shared" si="132"/>
        <v/>
      </c>
      <c r="N1402" s="70"/>
      <c r="O1402" s="71" t="str">
        <f t="shared" si="136"/>
        <v/>
      </c>
      <c r="P1402" s="66"/>
      <c r="Q1402" s="66"/>
      <c r="R1402" s="54"/>
      <c r="S1402" s="82"/>
      <c r="T1402" s="83" t="str">
        <f t="shared" si="133"/>
        <v/>
      </c>
      <c r="U1402" s="10"/>
      <c r="V1402" s="41">
        <f>IF(AND(Q1402&lt;&gt;"",RIGHT(Q1402,3)&lt;&gt;""),IF(COUNTIF($Q$6:Q1402,Q1402)=1,1,0),0)</f>
        <v>0</v>
      </c>
      <c r="W1402" s="41" t="str">
        <f t="shared" si="134"/>
        <v/>
      </c>
      <c r="X1402" s="41" t="str">
        <f t="shared" si="135"/>
        <v/>
      </c>
    </row>
    <row r="1403" s="32" customFormat="1" hidden="1" customHeight="1" spans="1:24">
      <c r="A1403" s="34"/>
      <c r="B1403" s="51"/>
      <c r="C1403" s="51"/>
      <c r="D1403" s="52"/>
      <c r="E1403" s="53"/>
      <c r="F1403" s="54"/>
      <c r="G1403" s="54"/>
      <c r="H1403" s="54"/>
      <c r="I1403" s="66"/>
      <c r="J1403" s="54"/>
      <c r="K1403" s="54"/>
      <c r="L1403" s="54"/>
      <c r="M1403" s="97" t="str">
        <f t="shared" si="132"/>
        <v/>
      </c>
      <c r="N1403" s="70"/>
      <c r="O1403" s="71" t="str">
        <f t="shared" si="136"/>
        <v/>
      </c>
      <c r="P1403" s="66"/>
      <c r="Q1403" s="66"/>
      <c r="R1403" s="54"/>
      <c r="S1403" s="82"/>
      <c r="T1403" s="83" t="str">
        <f t="shared" si="133"/>
        <v/>
      </c>
      <c r="U1403" s="10"/>
      <c r="V1403" s="41">
        <f>IF(AND(Q1403&lt;&gt;"",RIGHT(Q1403,3)&lt;&gt;""),IF(COUNTIF($Q$6:Q1403,Q1403)=1,1,0),0)</f>
        <v>0</v>
      </c>
      <c r="W1403" s="41" t="str">
        <f t="shared" si="134"/>
        <v/>
      </c>
      <c r="X1403" s="41" t="str">
        <f t="shared" si="135"/>
        <v/>
      </c>
    </row>
    <row r="1404" s="32" customFormat="1" hidden="1" customHeight="1" spans="1:24">
      <c r="A1404" s="34"/>
      <c r="B1404" s="51"/>
      <c r="C1404" s="51"/>
      <c r="D1404" s="52"/>
      <c r="E1404" s="53"/>
      <c r="F1404" s="54"/>
      <c r="G1404" s="54"/>
      <c r="H1404" s="54"/>
      <c r="I1404" s="66"/>
      <c r="J1404" s="54"/>
      <c r="K1404" s="54"/>
      <c r="L1404" s="54"/>
      <c r="M1404" s="97" t="str">
        <f t="shared" si="132"/>
        <v/>
      </c>
      <c r="N1404" s="70"/>
      <c r="O1404" s="71" t="str">
        <f t="shared" si="136"/>
        <v/>
      </c>
      <c r="P1404" s="66"/>
      <c r="Q1404" s="66"/>
      <c r="R1404" s="54"/>
      <c r="S1404" s="82"/>
      <c r="T1404" s="83" t="str">
        <f t="shared" si="133"/>
        <v/>
      </c>
      <c r="U1404" s="10"/>
      <c r="V1404" s="41">
        <f>IF(AND(Q1404&lt;&gt;"",RIGHT(Q1404,3)&lt;&gt;""),IF(COUNTIF($Q$6:Q1404,Q1404)=1,1,0),0)</f>
        <v>0</v>
      </c>
      <c r="W1404" s="41" t="str">
        <f t="shared" si="134"/>
        <v/>
      </c>
      <c r="X1404" s="41" t="str">
        <f t="shared" si="135"/>
        <v/>
      </c>
    </row>
    <row r="1405" s="32" customFormat="1" hidden="1" customHeight="1" spans="1:24">
      <c r="A1405" s="34"/>
      <c r="B1405" s="51"/>
      <c r="C1405" s="51"/>
      <c r="D1405" s="52"/>
      <c r="E1405" s="53"/>
      <c r="F1405" s="54"/>
      <c r="G1405" s="54"/>
      <c r="H1405" s="54"/>
      <c r="I1405" s="66"/>
      <c r="J1405" s="54"/>
      <c r="K1405" s="54"/>
      <c r="L1405" s="54"/>
      <c r="M1405" s="97" t="str">
        <f t="shared" si="132"/>
        <v/>
      </c>
      <c r="N1405" s="70"/>
      <c r="O1405" s="71" t="str">
        <f t="shared" si="136"/>
        <v/>
      </c>
      <c r="P1405" s="66"/>
      <c r="Q1405" s="66"/>
      <c r="R1405" s="54"/>
      <c r="S1405" s="82"/>
      <c r="T1405" s="83" t="str">
        <f t="shared" si="133"/>
        <v/>
      </c>
      <c r="U1405" s="10"/>
      <c r="V1405" s="41">
        <f>IF(AND(Q1405&lt;&gt;"",RIGHT(Q1405,3)&lt;&gt;""),IF(COUNTIF($Q$6:Q1405,Q1405)=1,1,0),0)</f>
        <v>0</v>
      </c>
      <c r="W1405" s="41" t="str">
        <f t="shared" si="134"/>
        <v/>
      </c>
      <c r="X1405" s="41" t="str">
        <f t="shared" si="135"/>
        <v/>
      </c>
    </row>
    <row r="1406" s="32" customFormat="1" hidden="1" customHeight="1" spans="1:24">
      <c r="A1406" s="34"/>
      <c r="B1406" s="51"/>
      <c r="C1406" s="51"/>
      <c r="D1406" s="52"/>
      <c r="E1406" s="53"/>
      <c r="F1406" s="54"/>
      <c r="G1406" s="54"/>
      <c r="H1406" s="54"/>
      <c r="I1406" s="66"/>
      <c r="J1406" s="54"/>
      <c r="K1406" s="54"/>
      <c r="L1406" s="54"/>
      <c r="M1406" s="97" t="str">
        <f t="shared" si="132"/>
        <v/>
      </c>
      <c r="N1406" s="70"/>
      <c r="O1406" s="71" t="str">
        <f t="shared" si="136"/>
        <v/>
      </c>
      <c r="P1406" s="66"/>
      <c r="Q1406" s="66"/>
      <c r="R1406" s="54"/>
      <c r="S1406" s="82"/>
      <c r="T1406" s="83" t="str">
        <f t="shared" si="133"/>
        <v/>
      </c>
      <c r="U1406" s="10"/>
      <c r="V1406" s="41">
        <f>IF(AND(Q1406&lt;&gt;"",RIGHT(Q1406,3)&lt;&gt;""),IF(COUNTIF($Q$6:Q1406,Q1406)=1,1,0),0)</f>
        <v>0</v>
      </c>
      <c r="W1406" s="41" t="str">
        <f t="shared" si="134"/>
        <v/>
      </c>
      <c r="X1406" s="41" t="str">
        <f t="shared" si="135"/>
        <v/>
      </c>
    </row>
    <row r="1407" s="32" customFormat="1" hidden="1" customHeight="1" spans="1:24">
      <c r="A1407" s="34"/>
      <c r="B1407" s="51"/>
      <c r="C1407" s="51"/>
      <c r="D1407" s="52"/>
      <c r="E1407" s="53"/>
      <c r="F1407" s="54"/>
      <c r="G1407" s="54"/>
      <c r="H1407" s="54"/>
      <c r="I1407" s="66"/>
      <c r="J1407" s="54"/>
      <c r="K1407" s="54"/>
      <c r="L1407" s="54"/>
      <c r="M1407" s="97" t="str">
        <f t="shared" si="132"/>
        <v/>
      </c>
      <c r="N1407" s="70"/>
      <c r="O1407" s="71" t="str">
        <f t="shared" si="136"/>
        <v/>
      </c>
      <c r="P1407" s="66"/>
      <c r="Q1407" s="66"/>
      <c r="R1407" s="54"/>
      <c r="S1407" s="82"/>
      <c r="T1407" s="83" t="str">
        <f t="shared" si="133"/>
        <v/>
      </c>
      <c r="U1407" s="10"/>
      <c r="V1407" s="41">
        <f>IF(AND(Q1407&lt;&gt;"",RIGHT(Q1407,3)&lt;&gt;""),IF(COUNTIF($Q$6:Q1407,Q1407)=1,1,0),0)</f>
        <v>0</v>
      </c>
      <c r="W1407" s="41" t="str">
        <f t="shared" si="134"/>
        <v/>
      </c>
      <c r="X1407" s="41" t="str">
        <f t="shared" si="135"/>
        <v/>
      </c>
    </row>
    <row r="1408" s="32" customFormat="1" hidden="1" customHeight="1" spans="1:24">
      <c r="A1408" s="34"/>
      <c r="B1408" s="51"/>
      <c r="C1408" s="51"/>
      <c r="D1408" s="52"/>
      <c r="E1408" s="53"/>
      <c r="F1408" s="54"/>
      <c r="G1408" s="54"/>
      <c r="H1408" s="54"/>
      <c r="I1408" s="66"/>
      <c r="J1408" s="54"/>
      <c r="K1408" s="54"/>
      <c r="L1408" s="54"/>
      <c r="M1408" s="97" t="str">
        <f t="shared" si="132"/>
        <v/>
      </c>
      <c r="N1408" s="70"/>
      <c r="O1408" s="71" t="str">
        <f t="shared" si="136"/>
        <v/>
      </c>
      <c r="P1408" s="66"/>
      <c r="Q1408" s="66"/>
      <c r="R1408" s="54"/>
      <c r="S1408" s="82"/>
      <c r="T1408" s="83" t="str">
        <f t="shared" si="133"/>
        <v/>
      </c>
      <c r="U1408" s="10"/>
      <c r="V1408" s="41">
        <f>IF(AND(Q1408&lt;&gt;"",RIGHT(Q1408,3)&lt;&gt;""),IF(COUNTIF($Q$6:Q1408,Q1408)=1,1,0),0)</f>
        <v>0</v>
      </c>
      <c r="W1408" s="41" t="str">
        <f t="shared" si="134"/>
        <v/>
      </c>
      <c r="X1408" s="41" t="str">
        <f t="shared" si="135"/>
        <v/>
      </c>
    </row>
    <row r="1409" s="32" customFormat="1" hidden="1" customHeight="1" spans="1:24">
      <c r="A1409" s="34"/>
      <c r="B1409" s="51"/>
      <c r="C1409" s="51"/>
      <c r="D1409" s="52"/>
      <c r="E1409" s="53"/>
      <c r="F1409" s="54"/>
      <c r="G1409" s="54"/>
      <c r="H1409" s="54"/>
      <c r="I1409" s="66"/>
      <c r="J1409" s="54"/>
      <c r="K1409" s="54"/>
      <c r="L1409" s="54"/>
      <c r="M1409" s="97" t="str">
        <f t="shared" si="132"/>
        <v/>
      </c>
      <c r="N1409" s="70"/>
      <c r="O1409" s="71" t="str">
        <f t="shared" si="136"/>
        <v/>
      </c>
      <c r="P1409" s="66"/>
      <c r="Q1409" s="66"/>
      <c r="R1409" s="54"/>
      <c r="S1409" s="82"/>
      <c r="T1409" s="83" t="str">
        <f t="shared" si="133"/>
        <v/>
      </c>
      <c r="U1409" s="10"/>
      <c r="V1409" s="41">
        <f>IF(AND(Q1409&lt;&gt;"",RIGHT(Q1409,3)&lt;&gt;""),IF(COUNTIF($Q$6:Q1409,Q1409)=1,1,0),0)</f>
        <v>0</v>
      </c>
      <c r="W1409" s="41" t="str">
        <f t="shared" si="134"/>
        <v/>
      </c>
      <c r="X1409" s="41" t="str">
        <f t="shared" si="135"/>
        <v/>
      </c>
    </row>
    <row r="1410" s="32" customFormat="1" hidden="1" customHeight="1" spans="1:24">
      <c r="A1410" s="34"/>
      <c r="B1410" s="51"/>
      <c r="C1410" s="51"/>
      <c r="D1410" s="52"/>
      <c r="E1410" s="53"/>
      <c r="F1410" s="54"/>
      <c r="G1410" s="54"/>
      <c r="H1410" s="54"/>
      <c r="I1410" s="66"/>
      <c r="J1410" s="54"/>
      <c r="K1410" s="54"/>
      <c r="L1410" s="54"/>
      <c r="M1410" s="97" t="str">
        <f t="shared" si="132"/>
        <v/>
      </c>
      <c r="N1410" s="70"/>
      <c r="O1410" s="71" t="str">
        <f t="shared" si="136"/>
        <v/>
      </c>
      <c r="P1410" s="66"/>
      <c r="Q1410" s="66"/>
      <c r="R1410" s="54"/>
      <c r="S1410" s="82"/>
      <c r="T1410" s="83" t="str">
        <f t="shared" si="133"/>
        <v/>
      </c>
      <c r="U1410" s="10"/>
      <c r="V1410" s="41">
        <f>IF(AND(Q1410&lt;&gt;"",RIGHT(Q1410,3)&lt;&gt;""),IF(COUNTIF($Q$6:Q1410,Q1410)=1,1,0),0)</f>
        <v>0</v>
      </c>
      <c r="W1410" s="41" t="str">
        <f t="shared" si="134"/>
        <v/>
      </c>
      <c r="X1410" s="41" t="str">
        <f t="shared" si="135"/>
        <v/>
      </c>
    </row>
    <row r="1411" s="32" customFormat="1" hidden="1" customHeight="1" spans="1:24">
      <c r="A1411" s="34"/>
      <c r="B1411" s="51"/>
      <c r="C1411" s="51"/>
      <c r="D1411" s="52"/>
      <c r="E1411" s="53"/>
      <c r="F1411" s="54"/>
      <c r="G1411" s="54"/>
      <c r="H1411" s="54"/>
      <c r="I1411" s="66"/>
      <c r="J1411" s="54"/>
      <c r="K1411" s="54"/>
      <c r="L1411" s="54"/>
      <c r="M1411" s="97" t="str">
        <f t="shared" si="132"/>
        <v/>
      </c>
      <c r="N1411" s="70"/>
      <c r="O1411" s="71" t="str">
        <f t="shared" si="136"/>
        <v/>
      </c>
      <c r="P1411" s="66"/>
      <c r="Q1411" s="66"/>
      <c r="R1411" s="54"/>
      <c r="S1411" s="82"/>
      <c r="T1411" s="83" t="str">
        <f t="shared" si="133"/>
        <v/>
      </c>
      <c r="U1411" s="10"/>
      <c r="V1411" s="41">
        <f>IF(AND(Q1411&lt;&gt;"",RIGHT(Q1411,3)&lt;&gt;""),IF(COUNTIF($Q$6:Q1411,Q1411)=1,1,0),0)</f>
        <v>0</v>
      </c>
      <c r="W1411" s="41" t="str">
        <f t="shared" si="134"/>
        <v/>
      </c>
      <c r="X1411" s="41" t="str">
        <f t="shared" si="135"/>
        <v/>
      </c>
    </row>
    <row r="1412" s="32" customFormat="1" hidden="1" customHeight="1" spans="1:24">
      <c r="A1412" s="34"/>
      <c r="B1412" s="51"/>
      <c r="C1412" s="51"/>
      <c r="D1412" s="52"/>
      <c r="E1412" s="53"/>
      <c r="F1412" s="54"/>
      <c r="G1412" s="54"/>
      <c r="H1412" s="54"/>
      <c r="I1412" s="66"/>
      <c r="J1412" s="54"/>
      <c r="K1412" s="54"/>
      <c r="L1412" s="54"/>
      <c r="M1412" s="97" t="str">
        <f t="shared" si="132"/>
        <v/>
      </c>
      <c r="N1412" s="70"/>
      <c r="O1412" s="71" t="str">
        <f t="shared" si="136"/>
        <v/>
      </c>
      <c r="P1412" s="66"/>
      <c r="Q1412" s="66"/>
      <c r="R1412" s="54"/>
      <c r="S1412" s="82"/>
      <c r="T1412" s="83" t="str">
        <f t="shared" si="133"/>
        <v/>
      </c>
      <c r="U1412" s="10"/>
      <c r="V1412" s="41">
        <f>IF(AND(Q1412&lt;&gt;"",RIGHT(Q1412,3)&lt;&gt;""),IF(COUNTIF($Q$6:Q1412,Q1412)=1,1,0),0)</f>
        <v>0</v>
      </c>
      <c r="W1412" s="41" t="str">
        <f t="shared" si="134"/>
        <v/>
      </c>
      <c r="X1412" s="41" t="str">
        <f t="shared" si="135"/>
        <v/>
      </c>
    </row>
    <row r="1413" s="32" customFormat="1" hidden="1" customHeight="1" spans="1:24">
      <c r="A1413" s="34"/>
      <c r="B1413" s="51"/>
      <c r="C1413" s="51"/>
      <c r="D1413" s="52"/>
      <c r="E1413" s="53"/>
      <c r="F1413" s="54"/>
      <c r="G1413" s="54"/>
      <c r="H1413" s="54"/>
      <c r="I1413" s="66"/>
      <c r="J1413" s="54"/>
      <c r="K1413" s="54"/>
      <c r="L1413" s="54"/>
      <c r="M1413" s="97" t="str">
        <f t="shared" si="132"/>
        <v/>
      </c>
      <c r="N1413" s="70"/>
      <c r="O1413" s="71" t="str">
        <f t="shared" si="136"/>
        <v/>
      </c>
      <c r="P1413" s="66"/>
      <c r="Q1413" s="66"/>
      <c r="R1413" s="54"/>
      <c r="S1413" s="82"/>
      <c r="T1413" s="83" t="str">
        <f t="shared" si="133"/>
        <v/>
      </c>
      <c r="U1413" s="10"/>
      <c r="V1413" s="41">
        <f>IF(AND(Q1413&lt;&gt;"",RIGHT(Q1413,3)&lt;&gt;""),IF(COUNTIF($Q$6:Q1413,Q1413)=1,1,0),0)</f>
        <v>0</v>
      </c>
      <c r="W1413" s="41" t="str">
        <f t="shared" si="134"/>
        <v/>
      </c>
      <c r="X1413" s="41" t="str">
        <f t="shared" si="135"/>
        <v/>
      </c>
    </row>
    <row r="1414" s="32" customFormat="1" hidden="1" customHeight="1" spans="1:24">
      <c r="A1414" s="34"/>
      <c r="B1414" s="51"/>
      <c r="C1414" s="51"/>
      <c r="D1414" s="52"/>
      <c r="E1414" s="53"/>
      <c r="F1414" s="54"/>
      <c r="G1414" s="54"/>
      <c r="H1414" s="54"/>
      <c r="I1414" s="66"/>
      <c r="J1414" s="54"/>
      <c r="K1414" s="54"/>
      <c r="L1414" s="54"/>
      <c r="M1414" s="97" t="str">
        <f t="shared" si="132"/>
        <v/>
      </c>
      <c r="N1414" s="70"/>
      <c r="O1414" s="71" t="str">
        <f t="shared" si="136"/>
        <v/>
      </c>
      <c r="P1414" s="66"/>
      <c r="Q1414" s="66"/>
      <c r="R1414" s="54"/>
      <c r="S1414" s="82"/>
      <c r="T1414" s="83" t="str">
        <f t="shared" si="133"/>
        <v/>
      </c>
      <c r="U1414" s="10"/>
      <c r="V1414" s="41">
        <f>IF(AND(Q1414&lt;&gt;"",RIGHT(Q1414,3)&lt;&gt;""),IF(COUNTIF($Q$6:Q1414,Q1414)=1,1,0),0)</f>
        <v>0</v>
      </c>
      <c r="W1414" s="41" t="str">
        <f t="shared" si="134"/>
        <v/>
      </c>
      <c r="X1414" s="41" t="str">
        <f t="shared" si="135"/>
        <v/>
      </c>
    </row>
    <row r="1415" s="32" customFormat="1" hidden="1" customHeight="1" spans="1:24">
      <c r="A1415" s="34"/>
      <c r="B1415" s="51"/>
      <c r="C1415" s="51"/>
      <c r="D1415" s="52"/>
      <c r="E1415" s="53"/>
      <c r="F1415" s="54"/>
      <c r="G1415" s="54"/>
      <c r="H1415" s="54"/>
      <c r="I1415" s="66"/>
      <c r="J1415" s="54"/>
      <c r="K1415" s="54"/>
      <c r="L1415" s="54"/>
      <c r="M1415" s="97" t="str">
        <f t="shared" si="132"/>
        <v/>
      </c>
      <c r="N1415" s="70"/>
      <c r="O1415" s="71" t="str">
        <f t="shared" si="136"/>
        <v/>
      </c>
      <c r="P1415" s="66"/>
      <c r="Q1415" s="66"/>
      <c r="R1415" s="54"/>
      <c r="S1415" s="82"/>
      <c r="T1415" s="83" t="str">
        <f t="shared" si="133"/>
        <v/>
      </c>
      <c r="U1415" s="10"/>
      <c r="V1415" s="41">
        <f>IF(AND(Q1415&lt;&gt;"",RIGHT(Q1415,3)&lt;&gt;""),IF(COUNTIF($Q$6:Q1415,Q1415)=1,1,0),0)</f>
        <v>0</v>
      </c>
      <c r="W1415" s="41" t="str">
        <f t="shared" si="134"/>
        <v/>
      </c>
      <c r="X1415" s="41" t="str">
        <f t="shared" si="135"/>
        <v/>
      </c>
    </row>
    <row r="1416" s="32" customFormat="1" hidden="1" customHeight="1" spans="1:24">
      <c r="A1416" s="34"/>
      <c r="B1416" s="51"/>
      <c r="C1416" s="51"/>
      <c r="D1416" s="52"/>
      <c r="E1416" s="53"/>
      <c r="F1416" s="54"/>
      <c r="G1416" s="54"/>
      <c r="H1416" s="54"/>
      <c r="I1416" s="66"/>
      <c r="J1416" s="54"/>
      <c r="K1416" s="54"/>
      <c r="L1416" s="54"/>
      <c r="M1416" s="97" t="str">
        <f t="shared" si="132"/>
        <v/>
      </c>
      <c r="N1416" s="70"/>
      <c r="O1416" s="71" t="str">
        <f t="shared" si="136"/>
        <v/>
      </c>
      <c r="P1416" s="66"/>
      <c r="Q1416" s="66"/>
      <c r="R1416" s="54"/>
      <c r="S1416" s="82"/>
      <c r="T1416" s="83" t="str">
        <f t="shared" si="133"/>
        <v/>
      </c>
      <c r="U1416" s="10"/>
      <c r="V1416" s="41">
        <f>IF(AND(Q1416&lt;&gt;"",RIGHT(Q1416,3)&lt;&gt;""),IF(COUNTIF($Q$6:Q1416,Q1416)=1,1,0),0)</f>
        <v>0</v>
      </c>
      <c r="W1416" s="41" t="str">
        <f t="shared" si="134"/>
        <v/>
      </c>
      <c r="X1416" s="41" t="str">
        <f t="shared" si="135"/>
        <v/>
      </c>
    </row>
    <row r="1417" s="32" customFormat="1" hidden="1" customHeight="1" spans="1:24">
      <c r="A1417" s="34"/>
      <c r="B1417" s="51"/>
      <c r="C1417" s="51"/>
      <c r="D1417" s="52"/>
      <c r="E1417" s="53"/>
      <c r="F1417" s="54"/>
      <c r="G1417" s="54"/>
      <c r="H1417" s="54"/>
      <c r="I1417" s="66"/>
      <c r="J1417" s="54"/>
      <c r="K1417" s="54"/>
      <c r="L1417" s="54"/>
      <c r="M1417" s="97" t="str">
        <f t="shared" si="132"/>
        <v/>
      </c>
      <c r="N1417" s="70"/>
      <c r="O1417" s="71" t="str">
        <f t="shared" si="136"/>
        <v/>
      </c>
      <c r="P1417" s="66"/>
      <c r="Q1417" s="66"/>
      <c r="R1417" s="54"/>
      <c r="S1417" s="82"/>
      <c r="T1417" s="83" t="str">
        <f t="shared" si="133"/>
        <v/>
      </c>
      <c r="U1417" s="10"/>
      <c r="V1417" s="41">
        <f>IF(AND(Q1417&lt;&gt;"",RIGHT(Q1417,3)&lt;&gt;""),IF(COUNTIF($Q$6:Q1417,Q1417)=1,1,0),0)</f>
        <v>0</v>
      </c>
      <c r="W1417" s="41" t="str">
        <f t="shared" si="134"/>
        <v/>
      </c>
      <c r="X1417" s="41" t="str">
        <f t="shared" si="135"/>
        <v/>
      </c>
    </row>
    <row r="1418" s="32" customFormat="1" hidden="1" customHeight="1" spans="1:24">
      <c r="A1418" s="34"/>
      <c r="B1418" s="51"/>
      <c r="C1418" s="51"/>
      <c r="D1418" s="52"/>
      <c r="E1418" s="53"/>
      <c r="F1418" s="54"/>
      <c r="G1418" s="54"/>
      <c r="H1418" s="54"/>
      <c r="I1418" s="66"/>
      <c r="J1418" s="54"/>
      <c r="K1418" s="54"/>
      <c r="L1418" s="54"/>
      <c r="M1418" s="97" t="str">
        <f t="shared" si="132"/>
        <v/>
      </c>
      <c r="N1418" s="70"/>
      <c r="O1418" s="71" t="str">
        <f t="shared" si="136"/>
        <v/>
      </c>
      <c r="P1418" s="66"/>
      <c r="Q1418" s="66"/>
      <c r="R1418" s="54"/>
      <c r="S1418" s="82"/>
      <c r="T1418" s="83" t="str">
        <f t="shared" si="133"/>
        <v/>
      </c>
      <c r="U1418" s="10"/>
      <c r="V1418" s="41">
        <f>IF(AND(Q1418&lt;&gt;"",RIGHT(Q1418,3)&lt;&gt;""),IF(COUNTIF($Q$6:Q1418,Q1418)=1,1,0),0)</f>
        <v>0</v>
      </c>
      <c r="W1418" s="41" t="str">
        <f t="shared" si="134"/>
        <v/>
      </c>
      <c r="X1418" s="41" t="str">
        <f t="shared" si="135"/>
        <v/>
      </c>
    </row>
    <row r="1419" s="32" customFormat="1" hidden="1" customHeight="1" spans="1:24">
      <c r="A1419" s="34"/>
      <c r="B1419" s="51"/>
      <c r="C1419" s="51"/>
      <c r="D1419" s="52"/>
      <c r="E1419" s="53"/>
      <c r="F1419" s="54"/>
      <c r="G1419" s="54"/>
      <c r="H1419" s="54"/>
      <c r="I1419" s="66"/>
      <c r="J1419" s="54"/>
      <c r="K1419" s="54"/>
      <c r="L1419" s="54"/>
      <c r="M1419" s="97" t="str">
        <f t="shared" si="132"/>
        <v/>
      </c>
      <c r="N1419" s="70"/>
      <c r="O1419" s="71" t="str">
        <f t="shared" si="136"/>
        <v/>
      </c>
      <c r="P1419" s="66"/>
      <c r="Q1419" s="66"/>
      <c r="R1419" s="54"/>
      <c r="S1419" s="82"/>
      <c r="T1419" s="83" t="str">
        <f t="shared" si="133"/>
        <v/>
      </c>
      <c r="U1419" s="10"/>
      <c r="V1419" s="41">
        <f>IF(AND(Q1419&lt;&gt;"",RIGHT(Q1419,3)&lt;&gt;""),IF(COUNTIF($Q$6:Q1419,Q1419)=1,1,0),0)</f>
        <v>0</v>
      </c>
      <c r="W1419" s="41" t="str">
        <f t="shared" si="134"/>
        <v/>
      </c>
      <c r="X1419" s="41" t="str">
        <f t="shared" si="135"/>
        <v/>
      </c>
    </row>
    <row r="1420" s="32" customFormat="1" hidden="1" customHeight="1" spans="1:24">
      <c r="A1420" s="34"/>
      <c r="B1420" s="51"/>
      <c r="C1420" s="51"/>
      <c r="D1420" s="52"/>
      <c r="E1420" s="53"/>
      <c r="F1420" s="54"/>
      <c r="G1420" s="54"/>
      <c r="H1420" s="54"/>
      <c r="I1420" s="66"/>
      <c r="J1420" s="54"/>
      <c r="K1420" s="54"/>
      <c r="L1420" s="54"/>
      <c r="M1420" s="97" t="str">
        <f t="shared" si="132"/>
        <v/>
      </c>
      <c r="N1420" s="70"/>
      <c r="O1420" s="71" t="str">
        <f t="shared" si="136"/>
        <v/>
      </c>
      <c r="P1420" s="66"/>
      <c r="Q1420" s="66"/>
      <c r="R1420" s="54"/>
      <c r="S1420" s="82"/>
      <c r="T1420" s="83" t="str">
        <f t="shared" si="133"/>
        <v/>
      </c>
      <c r="U1420" s="10"/>
      <c r="V1420" s="41">
        <f>IF(AND(Q1420&lt;&gt;"",RIGHT(Q1420,3)&lt;&gt;""),IF(COUNTIF($Q$6:Q1420,Q1420)=1,1,0),0)</f>
        <v>0</v>
      </c>
      <c r="W1420" s="41" t="str">
        <f t="shared" si="134"/>
        <v/>
      </c>
      <c r="X1420" s="41" t="str">
        <f t="shared" si="135"/>
        <v/>
      </c>
    </row>
    <row r="1421" s="32" customFormat="1" hidden="1" customHeight="1" spans="1:24">
      <c r="A1421" s="34"/>
      <c r="B1421" s="51"/>
      <c r="C1421" s="51"/>
      <c r="D1421" s="52"/>
      <c r="E1421" s="53"/>
      <c r="F1421" s="54"/>
      <c r="G1421" s="54"/>
      <c r="H1421" s="54"/>
      <c r="I1421" s="66"/>
      <c r="J1421" s="54"/>
      <c r="K1421" s="54"/>
      <c r="L1421" s="54"/>
      <c r="M1421" s="97" t="str">
        <f t="shared" si="132"/>
        <v/>
      </c>
      <c r="N1421" s="70"/>
      <c r="O1421" s="71" t="str">
        <f t="shared" si="136"/>
        <v/>
      </c>
      <c r="P1421" s="66"/>
      <c r="Q1421" s="66"/>
      <c r="R1421" s="54"/>
      <c r="S1421" s="82"/>
      <c r="T1421" s="83" t="str">
        <f t="shared" si="133"/>
        <v/>
      </c>
      <c r="U1421" s="10"/>
      <c r="V1421" s="41">
        <f>IF(AND(Q1421&lt;&gt;"",RIGHT(Q1421,3)&lt;&gt;""),IF(COUNTIF($Q$6:Q1421,Q1421)=1,1,0),0)</f>
        <v>0</v>
      </c>
      <c r="W1421" s="41" t="str">
        <f t="shared" si="134"/>
        <v/>
      </c>
      <c r="X1421" s="41" t="str">
        <f t="shared" si="135"/>
        <v/>
      </c>
    </row>
    <row r="1422" s="32" customFormat="1" hidden="1" customHeight="1" spans="1:24">
      <c r="A1422" s="34"/>
      <c r="B1422" s="51"/>
      <c r="C1422" s="51"/>
      <c r="D1422" s="52"/>
      <c r="E1422" s="53"/>
      <c r="F1422" s="54"/>
      <c r="G1422" s="54"/>
      <c r="H1422" s="54"/>
      <c r="I1422" s="66"/>
      <c r="J1422" s="54"/>
      <c r="K1422" s="54"/>
      <c r="L1422" s="54"/>
      <c r="M1422" s="97" t="str">
        <f t="shared" si="132"/>
        <v/>
      </c>
      <c r="N1422" s="70"/>
      <c r="O1422" s="71" t="str">
        <f t="shared" si="136"/>
        <v/>
      </c>
      <c r="P1422" s="66"/>
      <c r="Q1422" s="66"/>
      <c r="R1422" s="54"/>
      <c r="S1422" s="82"/>
      <c r="T1422" s="83" t="str">
        <f t="shared" si="133"/>
        <v/>
      </c>
      <c r="U1422" s="10"/>
      <c r="V1422" s="41">
        <f>IF(AND(Q1422&lt;&gt;"",RIGHT(Q1422,3)&lt;&gt;""),IF(COUNTIF($Q$6:Q1422,Q1422)=1,1,0),0)</f>
        <v>0</v>
      </c>
      <c r="W1422" s="41" t="str">
        <f t="shared" si="134"/>
        <v/>
      </c>
      <c r="X1422" s="41" t="str">
        <f t="shared" si="135"/>
        <v/>
      </c>
    </row>
    <row r="1423" s="32" customFormat="1" hidden="1" customHeight="1" spans="1:24">
      <c r="A1423" s="34"/>
      <c r="B1423" s="51"/>
      <c r="C1423" s="51"/>
      <c r="D1423" s="52"/>
      <c r="E1423" s="53"/>
      <c r="F1423" s="54"/>
      <c r="G1423" s="54"/>
      <c r="H1423" s="54"/>
      <c r="I1423" s="66"/>
      <c r="J1423" s="54"/>
      <c r="K1423" s="54"/>
      <c r="L1423" s="54"/>
      <c r="M1423" s="97" t="str">
        <f t="shared" si="132"/>
        <v/>
      </c>
      <c r="N1423" s="70"/>
      <c r="O1423" s="71" t="str">
        <f t="shared" si="136"/>
        <v/>
      </c>
      <c r="P1423" s="66"/>
      <c r="Q1423" s="66"/>
      <c r="R1423" s="54"/>
      <c r="S1423" s="82"/>
      <c r="T1423" s="83" t="str">
        <f t="shared" si="133"/>
        <v/>
      </c>
      <c r="U1423" s="10"/>
      <c r="V1423" s="41">
        <f>IF(AND(Q1423&lt;&gt;"",RIGHT(Q1423,3)&lt;&gt;""),IF(COUNTIF($Q$6:Q1423,Q1423)=1,1,0),0)</f>
        <v>0</v>
      </c>
      <c r="W1423" s="41" t="str">
        <f t="shared" si="134"/>
        <v/>
      </c>
      <c r="X1423" s="41" t="str">
        <f t="shared" si="135"/>
        <v/>
      </c>
    </row>
    <row r="1424" s="32" customFormat="1" hidden="1" customHeight="1" spans="1:24">
      <c r="A1424" s="34"/>
      <c r="B1424" s="51"/>
      <c r="C1424" s="51"/>
      <c r="D1424" s="52"/>
      <c r="E1424" s="53"/>
      <c r="F1424" s="54"/>
      <c r="G1424" s="54"/>
      <c r="H1424" s="54"/>
      <c r="I1424" s="66"/>
      <c r="J1424" s="54"/>
      <c r="K1424" s="54"/>
      <c r="L1424" s="54"/>
      <c r="M1424" s="97" t="str">
        <f t="shared" si="132"/>
        <v/>
      </c>
      <c r="N1424" s="70"/>
      <c r="O1424" s="71" t="str">
        <f t="shared" si="136"/>
        <v/>
      </c>
      <c r="P1424" s="66"/>
      <c r="Q1424" s="66"/>
      <c r="R1424" s="54"/>
      <c r="S1424" s="82"/>
      <c r="T1424" s="83" t="str">
        <f t="shared" si="133"/>
        <v/>
      </c>
      <c r="U1424" s="10"/>
      <c r="V1424" s="41">
        <f>IF(AND(Q1424&lt;&gt;"",RIGHT(Q1424,3)&lt;&gt;""),IF(COUNTIF($Q$6:Q1424,Q1424)=1,1,0),0)</f>
        <v>0</v>
      </c>
      <c r="W1424" s="41" t="str">
        <f t="shared" si="134"/>
        <v/>
      </c>
      <c r="X1424" s="41" t="str">
        <f t="shared" si="135"/>
        <v/>
      </c>
    </row>
    <row r="1425" s="32" customFormat="1" hidden="1" customHeight="1" spans="1:24">
      <c r="A1425" s="34"/>
      <c r="B1425" s="51"/>
      <c r="C1425" s="51"/>
      <c r="D1425" s="52"/>
      <c r="E1425" s="53"/>
      <c r="F1425" s="54"/>
      <c r="G1425" s="54"/>
      <c r="H1425" s="54"/>
      <c r="I1425" s="66"/>
      <c r="J1425" s="54"/>
      <c r="K1425" s="54"/>
      <c r="L1425" s="54"/>
      <c r="M1425" s="97" t="str">
        <f t="shared" si="132"/>
        <v/>
      </c>
      <c r="N1425" s="70"/>
      <c r="O1425" s="71" t="str">
        <f t="shared" si="136"/>
        <v/>
      </c>
      <c r="P1425" s="66"/>
      <c r="Q1425" s="66"/>
      <c r="R1425" s="54"/>
      <c r="S1425" s="82"/>
      <c r="T1425" s="83" t="str">
        <f t="shared" si="133"/>
        <v/>
      </c>
      <c r="U1425" s="10"/>
      <c r="V1425" s="41">
        <f>IF(AND(Q1425&lt;&gt;"",RIGHT(Q1425,3)&lt;&gt;""),IF(COUNTIF($Q$6:Q1425,Q1425)=1,1,0),0)</f>
        <v>0</v>
      </c>
      <c r="W1425" s="41" t="str">
        <f t="shared" si="134"/>
        <v/>
      </c>
      <c r="X1425" s="41" t="str">
        <f t="shared" si="135"/>
        <v/>
      </c>
    </row>
    <row r="1426" s="32" customFormat="1" hidden="1" customHeight="1" spans="1:24">
      <c r="A1426" s="34"/>
      <c r="B1426" s="51"/>
      <c r="C1426" s="51"/>
      <c r="D1426" s="52"/>
      <c r="E1426" s="53"/>
      <c r="F1426" s="54"/>
      <c r="G1426" s="54"/>
      <c r="H1426" s="54"/>
      <c r="I1426" s="66"/>
      <c r="J1426" s="54"/>
      <c r="K1426" s="54"/>
      <c r="L1426" s="54"/>
      <c r="M1426" s="97" t="str">
        <f t="shared" si="132"/>
        <v/>
      </c>
      <c r="N1426" s="70"/>
      <c r="O1426" s="71" t="str">
        <f t="shared" si="136"/>
        <v/>
      </c>
      <c r="P1426" s="66"/>
      <c r="Q1426" s="66"/>
      <c r="R1426" s="54"/>
      <c r="S1426" s="82"/>
      <c r="T1426" s="83" t="str">
        <f t="shared" si="133"/>
        <v/>
      </c>
      <c r="U1426" s="10"/>
      <c r="V1426" s="41">
        <f>IF(AND(Q1426&lt;&gt;"",RIGHT(Q1426,3)&lt;&gt;""),IF(COUNTIF($Q$6:Q1426,Q1426)=1,1,0),0)</f>
        <v>0</v>
      </c>
      <c r="W1426" s="41" t="str">
        <f t="shared" si="134"/>
        <v/>
      </c>
      <c r="X1426" s="41" t="str">
        <f t="shared" si="135"/>
        <v/>
      </c>
    </row>
    <row r="1427" s="32" customFormat="1" hidden="1" customHeight="1" spans="1:24">
      <c r="A1427" s="34"/>
      <c r="B1427" s="51"/>
      <c r="C1427" s="51"/>
      <c r="D1427" s="52"/>
      <c r="E1427" s="53"/>
      <c r="F1427" s="54"/>
      <c r="G1427" s="54"/>
      <c r="H1427" s="54"/>
      <c r="I1427" s="66"/>
      <c r="J1427" s="54"/>
      <c r="K1427" s="54"/>
      <c r="L1427" s="54"/>
      <c r="M1427" s="97" t="str">
        <f t="shared" si="132"/>
        <v/>
      </c>
      <c r="N1427" s="70"/>
      <c r="O1427" s="71" t="str">
        <f t="shared" si="136"/>
        <v/>
      </c>
      <c r="P1427" s="66"/>
      <c r="Q1427" s="66"/>
      <c r="R1427" s="54"/>
      <c r="S1427" s="82"/>
      <c r="T1427" s="83" t="str">
        <f t="shared" si="133"/>
        <v/>
      </c>
      <c r="U1427" s="10"/>
      <c r="V1427" s="41">
        <f>IF(AND(Q1427&lt;&gt;"",RIGHT(Q1427,3)&lt;&gt;""),IF(COUNTIF($Q$6:Q1427,Q1427)=1,1,0),0)</f>
        <v>0</v>
      </c>
      <c r="W1427" s="41" t="str">
        <f t="shared" si="134"/>
        <v/>
      </c>
      <c r="X1427" s="41" t="str">
        <f t="shared" si="135"/>
        <v/>
      </c>
    </row>
    <row r="1428" s="32" customFormat="1" hidden="1" customHeight="1" spans="1:24">
      <c r="A1428" s="34"/>
      <c r="B1428" s="51"/>
      <c r="C1428" s="51"/>
      <c r="D1428" s="52"/>
      <c r="E1428" s="53"/>
      <c r="F1428" s="54"/>
      <c r="G1428" s="54"/>
      <c r="H1428" s="54"/>
      <c r="I1428" s="66"/>
      <c r="J1428" s="54"/>
      <c r="K1428" s="54"/>
      <c r="L1428" s="54"/>
      <c r="M1428" s="97" t="str">
        <f t="shared" si="132"/>
        <v/>
      </c>
      <c r="N1428" s="70"/>
      <c r="O1428" s="71" t="str">
        <f t="shared" si="136"/>
        <v/>
      </c>
      <c r="P1428" s="66"/>
      <c r="Q1428" s="66"/>
      <c r="R1428" s="54"/>
      <c r="S1428" s="82"/>
      <c r="T1428" s="83" t="str">
        <f t="shared" si="133"/>
        <v/>
      </c>
      <c r="U1428" s="10"/>
      <c r="V1428" s="41">
        <f>IF(AND(Q1428&lt;&gt;"",RIGHT(Q1428,3)&lt;&gt;""),IF(COUNTIF($Q$6:Q1428,Q1428)=1,1,0),0)</f>
        <v>0</v>
      </c>
      <c r="W1428" s="41" t="str">
        <f t="shared" si="134"/>
        <v/>
      </c>
      <c r="X1428" s="41" t="str">
        <f t="shared" si="135"/>
        <v/>
      </c>
    </row>
    <row r="1429" s="32" customFormat="1" hidden="1" customHeight="1" spans="1:24">
      <c r="A1429" s="34"/>
      <c r="B1429" s="51"/>
      <c r="C1429" s="51"/>
      <c r="D1429" s="52"/>
      <c r="E1429" s="53"/>
      <c r="F1429" s="54"/>
      <c r="G1429" s="54"/>
      <c r="H1429" s="54"/>
      <c r="I1429" s="66"/>
      <c r="J1429" s="54"/>
      <c r="K1429" s="54"/>
      <c r="L1429" s="54"/>
      <c r="M1429" s="97" t="str">
        <f t="shared" si="132"/>
        <v/>
      </c>
      <c r="N1429" s="70"/>
      <c r="O1429" s="71" t="str">
        <f t="shared" si="136"/>
        <v/>
      </c>
      <c r="P1429" s="66"/>
      <c r="Q1429" s="66"/>
      <c r="R1429" s="54"/>
      <c r="S1429" s="82"/>
      <c r="T1429" s="83" t="str">
        <f t="shared" si="133"/>
        <v/>
      </c>
      <c r="U1429" s="10"/>
      <c r="V1429" s="41">
        <f>IF(AND(Q1429&lt;&gt;"",RIGHT(Q1429,3)&lt;&gt;""),IF(COUNTIF($Q$6:Q1429,Q1429)=1,1,0),0)</f>
        <v>0</v>
      </c>
      <c r="W1429" s="41" t="str">
        <f t="shared" si="134"/>
        <v/>
      </c>
      <c r="X1429" s="41" t="str">
        <f t="shared" si="135"/>
        <v/>
      </c>
    </row>
    <row r="1430" s="32" customFormat="1" hidden="1" customHeight="1" spans="1:24">
      <c r="A1430" s="34"/>
      <c r="B1430" s="51"/>
      <c r="C1430" s="51"/>
      <c r="D1430" s="52"/>
      <c r="E1430" s="53"/>
      <c r="F1430" s="54"/>
      <c r="G1430" s="54"/>
      <c r="H1430" s="54"/>
      <c r="I1430" s="66"/>
      <c r="J1430" s="54"/>
      <c r="K1430" s="54"/>
      <c r="L1430" s="54"/>
      <c r="M1430" s="97" t="str">
        <f t="shared" si="132"/>
        <v/>
      </c>
      <c r="N1430" s="70"/>
      <c r="O1430" s="71" t="str">
        <f t="shared" si="136"/>
        <v/>
      </c>
      <c r="P1430" s="66"/>
      <c r="Q1430" s="66"/>
      <c r="R1430" s="54"/>
      <c r="S1430" s="82"/>
      <c r="T1430" s="83" t="str">
        <f t="shared" si="133"/>
        <v/>
      </c>
      <c r="U1430" s="10"/>
      <c r="V1430" s="41">
        <f>IF(AND(Q1430&lt;&gt;"",RIGHT(Q1430,3)&lt;&gt;""),IF(COUNTIF($Q$6:Q1430,Q1430)=1,1,0),0)</f>
        <v>0</v>
      </c>
      <c r="W1430" s="41" t="str">
        <f t="shared" si="134"/>
        <v/>
      </c>
      <c r="X1430" s="41" t="str">
        <f t="shared" si="135"/>
        <v/>
      </c>
    </row>
    <row r="1431" s="32" customFormat="1" hidden="1" customHeight="1" spans="1:24">
      <c r="A1431" s="34"/>
      <c r="B1431" s="51"/>
      <c r="C1431" s="51"/>
      <c r="D1431" s="52"/>
      <c r="E1431" s="53"/>
      <c r="F1431" s="54"/>
      <c r="G1431" s="54"/>
      <c r="H1431" s="54"/>
      <c r="I1431" s="66"/>
      <c r="J1431" s="54"/>
      <c r="K1431" s="54"/>
      <c r="L1431" s="54"/>
      <c r="M1431" s="97" t="str">
        <f t="shared" si="132"/>
        <v/>
      </c>
      <c r="N1431" s="70"/>
      <c r="O1431" s="71" t="str">
        <f t="shared" si="136"/>
        <v/>
      </c>
      <c r="P1431" s="66"/>
      <c r="Q1431" s="66"/>
      <c r="R1431" s="54"/>
      <c r="S1431" s="82"/>
      <c r="T1431" s="83" t="str">
        <f t="shared" si="133"/>
        <v/>
      </c>
      <c r="U1431" s="10"/>
      <c r="V1431" s="41">
        <f>IF(AND(Q1431&lt;&gt;"",RIGHT(Q1431,3)&lt;&gt;""),IF(COUNTIF($Q$6:Q1431,Q1431)=1,1,0),0)</f>
        <v>0</v>
      </c>
      <c r="W1431" s="41" t="str">
        <f t="shared" si="134"/>
        <v/>
      </c>
      <c r="X1431" s="41" t="str">
        <f t="shared" si="135"/>
        <v/>
      </c>
    </row>
    <row r="1432" s="32" customFormat="1" hidden="1" customHeight="1" spans="1:24">
      <c r="A1432" s="34"/>
      <c r="B1432" s="51"/>
      <c r="C1432" s="51"/>
      <c r="D1432" s="52"/>
      <c r="E1432" s="53"/>
      <c r="F1432" s="54"/>
      <c r="G1432" s="54"/>
      <c r="H1432" s="54"/>
      <c r="I1432" s="66"/>
      <c r="J1432" s="54"/>
      <c r="K1432" s="54"/>
      <c r="L1432" s="54"/>
      <c r="M1432" s="97" t="str">
        <f t="shared" si="132"/>
        <v/>
      </c>
      <c r="N1432" s="70"/>
      <c r="O1432" s="71" t="str">
        <f t="shared" si="136"/>
        <v/>
      </c>
      <c r="P1432" s="66"/>
      <c r="Q1432" s="66"/>
      <c r="R1432" s="54"/>
      <c r="S1432" s="82"/>
      <c r="T1432" s="83" t="str">
        <f t="shared" si="133"/>
        <v/>
      </c>
      <c r="U1432" s="10"/>
      <c r="V1432" s="41">
        <f>IF(AND(Q1432&lt;&gt;"",RIGHT(Q1432,3)&lt;&gt;""),IF(COUNTIF($Q$6:Q1432,Q1432)=1,1,0),0)</f>
        <v>0</v>
      </c>
      <c r="W1432" s="41" t="str">
        <f t="shared" si="134"/>
        <v/>
      </c>
      <c r="X1432" s="41" t="str">
        <f t="shared" si="135"/>
        <v/>
      </c>
    </row>
    <row r="1433" s="32" customFormat="1" hidden="1" customHeight="1" spans="1:24">
      <c r="A1433" s="34"/>
      <c r="B1433" s="51"/>
      <c r="C1433" s="51"/>
      <c r="D1433" s="52"/>
      <c r="E1433" s="53"/>
      <c r="F1433" s="54"/>
      <c r="G1433" s="54"/>
      <c r="H1433" s="54"/>
      <c r="I1433" s="66"/>
      <c r="J1433" s="54"/>
      <c r="K1433" s="54"/>
      <c r="L1433" s="54"/>
      <c r="M1433" s="97" t="str">
        <f t="shared" si="132"/>
        <v/>
      </c>
      <c r="N1433" s="70"/>
      <c r="O1433" s="71" t="str">
        <f t="shared" si="136"/>
        <v/>
      </c>
      <c r="P1433" s="66"/>
      <c r="Q1433" s="66"/>
      <c r="R1433" s="54"/>
      <c r="S1433" s="82"/>
      <c r="T1433" s="83" t="str">
        <f t="shared" si="133"/>
        <v/>
      </c>
      <c r="U1433" s="10"/>
      <c r="V1433" s="41">
        <f>IF(AND(Q1433&lt;&gt;"",RIGHT(Q1433,3)&lt;&gt;""),IF(COUNTIF($Q$6:Q1433,Q1433)=1,1,0),0)</f>
        <v>0</v>
      </c>
      <c r="W1433" s="41" t="str">
        <f t="shared" si="134"/>
        <v/>
      </c>
      <c r="X1433" s="41" t="str">
        <f t="shared" si="135"/>
        <v/>
      </c>
    </row>
    <row r="1434" s="32" customFormat="1" hidden="1" customHeight="1" spans="1:24">
      <c r="A1434" s="34"/>
      <c r="B1434" s="51"/>
      <c r="C1434" s="51"/>
      <c r="D1434" s="52"/>
      <c r="E1434" s="53"/>
      <c r="F1434" s="54"/>
      <c r="G1434" s="54"/>
      <c r="H1434" s="54"/>
      <c r="I1434" s="66"/>
      <c r="J1434" s="54"/>
      <c r="K1434" s="54"/>
      <c r="L1434" s="54"/>
      <c r="M1434" s="97" t="str">
        <f t="shared" si="132"/>
        <v/>
      </c>
      <c r="N1434" s="70"/>
      <c r="O1434" s="71" t="str">
        <f t="shared" si="136"/>
        <v/>
      </c>
      <c r="P1434" s="66"/>
      <c r="Q1434" s="66"/>
      <c r="R1434" s="54"/>
      <c r="S1434" s="82"/>
      <c r="T1434" s="83" t="str">
        <f t="shared" si="133"/>
        <v/>
      </c>
      <c r="U1434" s="10"/>
      <c r="V1434" s="41">
        <f>IF(AND(Q1434&lt;&gt;"",RIGHT(Q1434,3)&lt;&gt;""),IF(COUNTIF($Q$6:Q1434,Q1434)=1,1,0),0)</f>
        <v>0</v>
      </c>
      <c r="W1434" s="41" t="str">
        <f t="shared" si="134"/>
        <v/>
      </c>
      <c r="X1434" s="41" t="str">
        <f t="shared" si="135"/>
        <v/>
      </c>
    </row>
    <row r="1435" s="32" customFormat="1" hidden="1" customHeight="1" spans="1:24">
      <c r="A1435" s="34"/>
      <c r="B1435" s="51"/>
      <c r="C1435" s="51"/>
      <c r="D1435" s="52"/>
      <c r="E1435" s="53"/>
      <c r="F1435" s="54"/>
      <c r="G1435" s="54"/>
      <c r="H1435" s="54"/>
      <c r="I1435" s="66"/>
      <c r="J1435" s="54"/>
      <c r="K1435" s="54"/>
      <c r="L1435" s="54"/>
      <c r="M1435" s="97" t="str">
        <f t="shared" si="132"/>
        <v/>
      </c>
      <c r="N1435" s="70"/>
      <c r="O1435" s="71" t="str">
        <f t="shared" si="136"/>
        <v/>
      </c>
      <c r="P1435" s="66"/>
      <c r="Q1435" s="66"/>
      <c r="R1435" s="54"/>
      <c r="S1435" s="82"/>
      <c r="T1435" s="83" t="str">
        <f t="shared" si="133"/>
        <v/>
      </c>
      <c r="U1435" s="10"/>
      <c r="V1435" s="41">
        <f>IF(AND(Q1435&lt;&gt;"",RIGHT(Q1435,3)&lt;&gt;""),IF(COUNTIF($Q$6:Q1435,Q1435)=1,1,0),0)</f>
        <v>0</v>
      </c>
      <c r="W1435" s="41" t="str">
        <f t="shared" si="134"/>
        <v/>
      </c>
      <c r="X1435" s="41" t="str">
        <f t="shared" si="135"/>
        <v/>
      </c>
    </row>
    <row r="1436" s="32" customFormat="1" hidden="1" customHeight="1" spans="1:24">
      <c r="A1436" s="34"/>
      <c r="B1436" s="51"/>
      <c r="C1436" s="51"/>
      <c r="D1436" s="52"/>
      <c r="E1436" s="53"/>
      <c r="F1436" s="54"/>
      <c r="G1436" s="54"/>
      <c r="H1436" s="54"/>
      <c r="I1436" s="66"/>
      <c r="J1436" s="54"/>
      <c r="K1436" s="54"/>
      <c r="L1436" s="54"/>
      <c r="M1436" s="97" t="str">
        <f t="shared" si="132"/>
        <v/>
      </c>
      <c r="N1436" s="70"/>
      <c r="O1436" s="71" t="str">
        <f t="shared" si="136"/>
        <v/>
      </c>
      <c r="P1436" s="66"/>
      <c r="Q1436" s="66"/>
      <c r="R1436" s="54"/>
      <c r="S1436" s="82"/>
      <c r="T1436" s="83" t="str">
        <f t="shared" si="133"/>
        <v/>
      </c>
      <c r="U1436" s="10"/>
      <c r="V1436" s="41">
        <f>IF(AND(Q1436&lt;&gt;"",RIGHT(Q1436,3)&lt;&gt;""),IF(COUNTIF($Q$6:Q1436,Q1436)=1,1,0),0)</f>
        <v>0</v>
      </c>
      <c r="W1436" s="41" t="str">
        <f t="shared" si="134"/>
        <v/>
      </c>
      <c r="X1436" s="41" t="str">
        <f t="shared" si="135"/>
        <v/>
      </c>
    </row>
    <row r="1437" s="32" customFormat="1" hidden="1" customHeight="1" spans="1:24">
      <c r="A1437" s="34"/>
      <c r="B1437" s="51"/>
      <c r="C1437" s="51"/>
      <c r="D1437" s="52"/>
      <c r="E1437" s="53"/>
      <c r="F1437" s="54"/>
      <c r="G1437" s="54"/>
      <c r="H1437" s="54"/>
      <c r="I1437" s="66"/>
      <c r="J1437" s="54"/>
      <c r="K1437" s="54"/>
      <c r="L1437" s="54"/>
      <c r="M1437" s="97" t="str">
        <f t="shared" si="132"/>
        <v/>
      </c>
      <c r="N1437" s="70"/>
      <c r="O1437" s="71" t="str">
        <f t="shared" si="136"/>
        <v/>
      </c>
      <c r="P1437" s="66"/>
      <c r="Q1437" s="66"/>
      <c r="R1437" s="54"/>
      <c r="S1437" s="82"/>
      <c r="T1437" s="83" t="str">
        <f t="shared" si="133"/>
        <v/>
      </c>
      <c r="U1437" s="10"/>
      <c r="V1437" s="41">
        <f>IF(AND(Q1437&lt;&gt;"",RIGHT(Q1437,3)&lt;&gt;""),IF(COUNTIF($Q$6:Q1437,Q1437)=1,1,0),0)</f>
        <v>0</v>
      </c>
      <c r="W1437" s="41" t="str">
        <f t="shared" si="134"/>
        <v/>
      </c>
      <c r="X1437" s="41" t="str">
        <f t="shared" si="135"/>
        <v/>
      </c>
    </row>
    <row r="1438" s="32" customFormat="1" hidden="1" customHeight="1" spans="1:24">
      <c r="A1438" s="34"/>
      <c r="B1438" s="51"/>
      <c r="C1438" s="51"/>
      <c r="D1438" s="52"/>
      <c r="E1438" s="53"/>
      <c r="F1438" s="54"/>
      <c r="G1438" s="54"/>
      <c r="H1438" s="54"/>
      <c r="I1438" s="66"/>
      <c r="J1438" s="54"/>
      <c r="K1438" s="54"/>
      <c r="L1438" s="54"/>
      <c r="M1438" s="97" t="str">
        <f t="shared" si="132"/>
        <v/>
      </c>
      <c r="N1438" s="70"/>
      <c r="O1438" s="71" t="str">
        <f t="shared" si="136"/>
        <v/>
      </c>
      <c r="P1438" s="66"/>
      <c r="Q1438" s="66"/>
      <c r="R1438" s="54"/>
      <c r="S1438" s="82"/>
      <c r="T1438" s="83" t="str">
        <f t="shared" si="133"/>
        <v/>
      </c>
      <c r="U1438" s="10"/>
      <c r="V1438" s="41">
        <f>IF(AND(Q1438&lt;&gt;"",RIGHT(Q1438,3)&lt;&gt;""),IF(COUNTIF($Q$6:Q1438,Q1438)=1,1,0),0)</f>
        <v>0</v>
      </c>
      <c r="W1438" s="41" t="str">
        <f t="shared" si="134"/>
        <v/>
      </c>
      <c r="X1438" s="41" t="str">
        <f t="shared" si="135"/>
        <v/>
      </c>
    </row>
    <row r="1439" s="32" customFormat="1" hidden="1" customHeight="1" spans="1:24">
      <c r="A1439" s="34"/>
      <c r="B1439" s="51"/>
      <c r="C1439" s="51"/>
      <c r="D1439" s="52"/>
      <c r="E1439" s="53"/>
      <c r="F1439" s="54"/>
      <c r="G1439" s="54"/>
      <c r="H1439" s="54"/>
      <c r="I1439" s="66"/>
      <c r="J1439" s="54"/>
      <c r="K1439" s="54"/>
      <c r="L1439" s="54"/>
      <c r="M1439" s="97" t="str">
        <f t="shared" si="132"/>
        <v/>
      </c>
      <c r="N1439" s="70"/>
      <c r="O1439" s="71" t="str">
        <f t="shared" si="136"/>
        <v/>
      </c>
      <c r="P1439" s="66"/>
      <c r="Q1439" s="66"/>
      <c r="R1439" s="54"/>
      <c r="S1439" s="82"/>
      <c r="T1439" s="83" t="str">
        <f t="shared" si="133"/>
        <v/>
      </c>
      <c r="U1439" s="10"/>
      <c r="V1439" s="41">
        <f>IF(AND(Q1439&lt;&gt;"",RIGHT(Q1439,3)&lt;&gt;""),IF(COUNTIF($Q$6:Q1439,Q1439)=1,1,0),0)</f>
        <v>0</v>
      </c>
      <c r="W1439" s="41" t="str">
        <f t="shared" si="134"/>
        <v/>
      </c>
      <c r="X1439" s="41" t="str">
        <f t="shared" si="135"/>
        <v/>
      </c>
    </row>
    <row r="1440" s="32" customFormat="1" hidden="1" customHeight="1" spans="1:24">
      <c r="A1440" s="34"/>
      <c r="B1440" s="51"/>
      <c r="C1440" s="51"/>
      <c r="D1440" s="52"/>
      <c r="E1440" s="53"/>
      <c r="F1440" s="54"/>
      <c r="G1440" s="54"/>
      <c r="H1440" s="54"/>
      <c r="I1440" s="66"/>
      <c r="J1440" s="54"/>
      <c r="K1440" s="54"/>
      <c r="L1440" s="54"/>
      <c r="M1440" s="97" t="str">
        <f t="shared" si="132"/>
        <v/>
      </c>
      <c r="N1440" s="70"/>
      <c r="O1440" s="71" t="str">
        <f t="shared" si="136"/>
        <v/>
      </c>
      <c r="P1440" s="66"/>
      <c r="Q1440" s="66"/>
      <c r="R1440" s="54"/>
      <c r="S1440" s="82"/>
      <c r="T1440" s="83" t="str">
        <f t="shared" si="133"/>
        <v/>
      </c>
      <c r="U1440" s="10"/>
      <c r="V1440" s="41">
        <f>IF(AND(Q1440&lt;&gt;"",RIGHT(Q1440,3)&lt;&gt;""),IF(COUNTIF($Q$6:Q1440,Q1440)=1,1,0),0)</f>
        <v>0</v>
      </c>
      <c r="W1440" s="41" t="str">
        <f t="shared" si="134"/>
        <v/>
      </c>
      <c r="X1440" s="41" t="str">
        <f t="shared" si="135"/>
        <v/>
      </c>
    </row>
    <row r="1441" s="32" customFormat="1" hidden="1" customHeight="1" spans="1:24">
      <c r="A1441" s="34"/>
      <c r="B1441" s="51"/>
      <c r="C1441" s="51"/>
      <c r="D1441" s="52"/>
      <c r="E1441" s="53"/>
      <c r="F1441" s="54"/>
      <c r="G1441" s="54"/>
      <c r="H1441" s="54"/>
      <c r="I1441" s="66"/>
      <c r="J1441" s="54"/>
      <c r="K1441" s="54"/>
      <c r="L1441" s="54"/>
      <c r="M1441" s="97" t="str">
        <f t="shared" si="132"/>
        <v/>
      </c>
      <c r="N1441" s="70"/>
      <c r="O1441" s="71" t="str">
        <f t="shared" si="136"/>
        <v/>
      </c>
      <c r="P1441" s="66"/>
      <c r="Q1441" s="66"/>
      <c r="R1441" s="54"/>
      <c r="S1441" s="82"/>
      <c r="T1441" s="83" t="str">
        <f t="shared" si="133"/>
        <v/>
      </c>
      <c r="U1441" s="10"/>
      <c r="V1441" s="41">
        <f>IF(AND(Q1441&lt;&gt;"",RIGHT(Q1441,3)&lt;&gt;""),IF(COUNTIF($Q$6:Q1441,Q1441)=1,1,0),0)</f>
        <v>0</v>
      </c>
      <c r="W1441" s="41" t="str">
        <f t="shared" si="134"/>
        <v/>
      </c>
      <c r="X1441" s="41" t="str">
        <f t="shared" si="135"/>
        <v/>
      </c>
    </row>
    <row r="1442" s="32" customFormat="1" hidden="1" customHeight="1" spans="1:24">
      <c r="A1442" s="34"/>
      <c r="B1442" s="51"/>
      <c r="C1442" s="51"/>
      <c r="D1442" s="52"/>
      <c r="E1442" s="53"/>
      <c r="F1442" s="54"/>
      <c r="G1442" s="54"/>
      <c r="H1442" s="54"/>
      <c r="I1442" s="66"/>
      <c r="J1442" s="54"/>
      <c r="K1442" s="54"/>
      <c r="L1442" s="54"/>
      <c r="M1442" s="97" t="str">
        <f t="shared" si="132"/>
        <v/>
      </c>
      <c r="N1442" s="70"/>
      <c r="O1442" s="71" t="str">
        <f t="shared" si="136"/>
        <v/>
      </c>
      <c r="P1442" s="66"/>
      <c r="Q1442" s="66"/>
      <c r="R1442" s="54"/>
      <c r="S1442" s="82"/>
      <c r="T1442" s="83" t="str">
        <f t="shared" si="133"/>
        <v/>
      </c>
      <c r="U1442" s="10"/>
      <c r="V1442" s="41">
        <f>IF(AND(Q1442&lt;&gt;"",RIGHT(Q1442,3)&lt;&gt;""),IF(COUNTIF($Q$6:Q1442,Q1442)=1,1,0),0)</f>
        <v>0</v>
      </c>
      <c r="W1442" s="41" t="str">
        <f t="shared" si="134"/>
        <v/>
      </c>
      <c r="X1442" s="41" t="str">
        <f t="shared" si="135"/>
        <v/>
      </c>
    </row>
    <row r="1443" s="32" customFormat="1" hidden="1" customHeight="1" spans="1:24">
      <c r="A1443" s="34"/>
      <c r="B1443" s="51"/>
      <c r="C1443" s="51"/>
      <c r="D1443" s="52"/>
      <c r="E1443" s="53"/>
      <c r="F1443" s="54"/>
      <c r="G1443" s="54"/>
      <c r="H1443" s="54"/>
      <c r="I1443" s="66"/>
      <c r="J1443" s="54"/>
      <c r="K1443" s="54"/>
      <c r="L1443" s="54"/>
      <c r="M1443" s="97" t="str">
        <f t="shared" si="132"/>
        <v/>
      </c>
      <c r="N1443" s="70"/>
      <c r="O1443" s="71" t="str">
        <f t="shared" si="136"/>
        <v/>
      </c>
      <c r="P1443" s="66"/>
      <c r="Q1443" s="66"/>
      <c r="R1443" s="54"/>
      <c r="S1443" s="82"/>
      <c r="T1443" s="83" t="str">
        <f t="shared" si="133"/>
        <v/>
      </c>
      <c r="U1443" s="10"/>
      <c r="V1443" s="41">
        <f>IF(AND(Q1443&lt;&gt;"",RIGHT(Q1443,3)&lt;&gt;""),IF(COUNTIF($Q$6:Q1443,Q1443)=1,1,0),0)</f>
        <v>0</v>
      </c>
      <c r="W1443" s="41" t="str">
        <f t="shared" si="134"/>
        <v/>
      </c>
      <c r="X1443" s="41" t="str">
        <f t="shared" si="135"/>
        <v/>
      </c>
    </row>
    <row r="1444" s="32" customFormat="1" hidden="1" customHeight="1" spans="1:24">
      <c r="A1444" s="34"/>
      <c r="B1444" s="51"/>
      <c r="C1444" s="51"/>
      <c r="D1444" s="52"/>
      <c r="E1444" s="53"/>
      <c r="F1444" s="54"/>
      <c r="G1444" s="54"/>
      <c r="H1444" s="54"/>
      <c r="I1444" s="66"/>
      <c r="J1444" s="54"/>
      <c r="K1444" s="54"/>
      <c r="L1444" s="54"/>
      <c r="M1444" s="97" t="str">
        <f t="shared" ref="M1444:M1507" si="137">IF(L1444="","",HYPERLINK(_xlfn.CONCAT($L$4,L1444,".jpg"),"Open File"))</f>
        <v/>
      </c>
      <c r="N1444" s="70"/>
      <c r="O1444" s="71" t="str">
        <f t="shared" si="136"/>
        <v/>
      </c>
      <c r="P1444" s="66"/>
      <c r="Q1444" s="66"/>
      <c r="R1444" s="54"/>
      <c r="S1444" s="82"/>
      <c r="T1444" s="83" t="str">
        <f t="shared" ref="T1444:T1507" si="138">IF(S1444="","",HYPERLINK(_xlfn.CONCAT($S$4,S1444,".jpg"),"Open File"))</f>
        <v/>
      </c>
      <c r="U1444" s="10"/>
      <c r="V1444" s="41">
        <f>IF(AND(Q1444&lt;&gt;"",RIGHT(Q1444,3)&lt;&gt;""),IF(COUNTIF($Q$6:Q1444,Q1444)=1,1,0),0)</f>
        <v>0</v>
      </c>
      <c r="W1444" s="41" t="str">
        <f t="shared" ref="W1444:W1507" si="139">IF(AND(J1444&lt;&gt;"",K1444&lt;&gt;""),_xlfn.CONCAT(SUBSTITUTE(J1444,"/","."),"-",K1444),"")</f>
        <v/>
      </c>
      <c r="X1444" s="41" t="str">
        <f t="shared" ref="X1444:X1507" si="140">IF(AND(Q1444&lt;&gt;"",R1444&lt;&gt;""),_xlfn.CONCAT(SUBSTITUTE(Q1444,"/","."),"-",R1444),"")</f>
        <v/>
      </c>
    </row>
    <row r="1445" s="32" customFormat="1" hidden="1" customHeight="1" spans="1:24">
      <c r="A1445" s="34"/>
      <c r="B1445" s="51"/>
      <c r="C1445" s="51"/>
      <c r="D1445" s="52"/>
      <c r="E1445" s="53"/>
      <c r="F1445" s="54"/>
      <c r="G1445" s="54"/>
      <c r="H1445" s="54"/>
      <c r="I1445" s="66"/>
      <c r="J1445" s="54"/>
      <c r="K1445" s="54"/>
      <c r="L1445" s="54"/>
      <c r="M1445" s="97" t="str">
        <f t="shared" si="137"/>
        <v/>
      </c>
      <c r="N1445" s="70"/>
      <c r="O1445" s="71" t="str">
        <f t="shared" si="136"/>
        <v/>
      </c>
      <c r="P1445" s="66"/>
      <c r="Q1445" s="66"/>
      <c r="R1445" s="54"/>
      <c r="S1445" s="82"/>
      <c r="T1445" s="83" t="str">
        <f t="shared" si="138"/>
        <v/>
      </c>
      <c r="U1445" s="10"/>
      <c r="V1445" s="41">
        <f>IF(AND(Q1445&lt;&gt;"",RIGHT(Q1445,3)&lt;&gt;""),IF(COUNTIF($Q$6:Q1445,Q1445)=1,1,0),0)</f>
        <v>0</v>
      </c>
      <c r="W1445" s="41" t="str">
        <f t="shared" si="139"/>
        <v/>
      </c>
      <c r="X1445" s="41" t="str">
        <f t="shared" si="140"/>
        <v/>
      </c>
    </row>
    <row r="1446" s="32" customFormat="1" hidden="1" customHeight="1" spans="1:24">
      <c r="A1446" s="34"/>
      <c r="B1446" s="51"/>
      <c r="C1446" s="51"/>
      <c r="D1446" s="52"/>
      <c r="E1446" s="53"/>
      <c r="F1446" s="54"/>
      <c r="G1446" s="54"/>
      <c r="H1446" s="54"/>
      <c r="I1446" s="66"/>
      <c r="J1446" s="54"/>
      <c r="K1446" s="54"/>
      <c r="L1446" s="54"/>
      <c r="M1446" s="97" t="str">
        <f t="shared" si="137"/>
        <v/>
      </c>
      <c r="N1446" s="70"/>
      <c r="O1446" s="71" t="str">
        <f t="shared" si="136"/>
        <v/>
      </c>
      <c r="P1446" s="66"/>
      <c r="Q1446" s="66"/>
      <c r="R1446" s="54"/>
      <c r="S1446" s="82"/>
      <c r="T1446" s="83" t="str">
        <f t="shared" si="138"/>
        <v/>
      </c>
      <c r="U1446" s="10"/>
      <c r="V1446" s="41">
        <f>IF(AND(Q1446&lt;&gt;"",RIGHT(Q1446,3)&lt;&gt;""),IF(COUNTIF($Q$6:Q1446,Q1446)=1,1,0),0)</f>
        <v>0</v>
      </c>
      <c r="W1446" s="41" t="str">
        <f t="shared" si="139"/>
        <v/>
      </c>
      <c r="X1446" s="41" t="str">
        <f t="shared" si="140"/>
        <v/>
      </c>
    </row>
    <row r="1447" s="32" customFormat="1" hidden="1" customHeight="1" spans="1:24">
      <c r="A1447" s="34"/>
      <c r="B1447" s="51"/>
      <c r="C1447" s="51"/>
      <c r="D1447" s="52"/>
      <c r="E1447" s="53"/>
      <c r="F1447" s="54"/>
      <c r="G1447" s="54"/>
      <c r="H1447" s="54"/>
      <c r="I1447" s="66"/>
      <c r="J1447" s="54"/>
      <c r="K1447" s="54"/>
      <c r="L1447" s="54"/>
      <c r="M1447" s="97" t="str">
        <f t="shared" si="137"/>
        <v/>
      </c>
      <c r="N1447" s="70"/>
      <c r="O1447" s="71" t="str">
        <f t="shared" si="136"/>
        <v/>
      </c>
      <c r="P1447" s="66"/>
      <c r="Q1447" s="66"/>
      <c r="R1447" s="54"/>
      <c r="S1447" s="82"/>
      <c r="T1447" s="83" t="str">
        <f t="shared" si="138"/>
        <v/>
      </c>
      <c r="U1447" s="10"/>
      <c r="V1447" s="41">
        <f>IF(AND(Q1447&lt;&gt;"",RIGHT(Q1447,3)&lt;&gt;""),IF(COUNTIF($Q$6:Q1447,Q1447)=1,1,0),0)</f>
        <v>0</v>
      </c>
      <c r="W1447" s="41" t="str">
        <f t="shared" si="139"/>
        <v/>
      </c>
      <c r="X1447" s="41" t="str">
        <f t="shared" si="140"/>
        <v/>
      </c>
    </row>
    <row r="1448" s="32" customFormat="1" hidden="1" customHeight="1" spans="1:24">
      <c r="A1448" s="34"/>
      <c r="B1448" s="51"/>
      <c r="C1448" s="51"/>
      <c r="D1448" s="52"/>
      <c r="E1448" s="53"/>
      <c r="F1448" s="54"/>
      <c r="G1448" s="54"/>
      <c r="H1448" s="54"/>
      <c r="I1448" s="66"/>
      <c r="J1448" s="54"/>
      <c r="K1448" s="54"/>
      <c r="L1448" s="54"/>
      <c r="M1448" s="97" t="str">
        <f t="shared" si="137"/>
        <v/>
      </c>
      <c r="N1448" s="70"/>
      <c r="O1448" s="71" t="str">
        <f t="shared" si="136"/>
        <v/>
      </c>
      <c r="P1448" s="66"/>
      <c r="Q1448" s="66"/>
      <c r="R1448" s="54"/>
      <c r="S1448" s="82"/>
      <c r="T1448" s="83" t="str">
        <f t="shared" si="138"/>
        <v/>
      </c>
      <c r="U1448" s="10"/>
      <c r="V1448" s="41">
        <f>IF(AND(Q1448&lt;&gt;"",RIGHT(Q1448,3)&lt;&gt;""),IF(COUNTIF($Q$6:Q1448,Q1448)=1,1,0),0)</f>
        <v>0</v>
      </c>
      <c r="W1448" s="41" t="str">
        <f t="shared" si="139"/>
        <v/>
      </c>
      <c r="X1448" s="41" t="str">
        <f t="shared" si="140"/>
        <v/>
      </c>
    </row>
    <row r="1449" s="32" customFormat="1" hidden="1" customHeight="1" spans="1:24">
      <c r="A1449" s="34"/>
      <c r="B1449" s="51"/>
      <c r="C1449" s="51"/>
      <c r="D1449" s="52"/>
      <c r="E1449" s="53"/>
      <c r="F1449" s="54"/>
      <c r="G1449" s="54"/>
      <c r="H1449" s="54"/>
      <c r="I1449" s="66"/>
      <c r="J1449" s="54"/>
      <c r="K1449" s="54"/>
      <c r="L1449" s="54"/>
      <c r="M1449" s="97" t="str">
        <f t="shared" si="137"/>
        <v/>
      </c>
      <c r="N1449" s="70"/>
      <c r="O1449" s="71" t="str">
        <f t="shared" si="136"/>
        <v/>
      </c>
      <c r="P1449" s="66"/>
      <c r="Q1449" s="66"/>
      <c r="R1449" s="54"/>
      <c r="S1449" s="82"/>
      <c r="T1449" s="83" t="str">
        <f t="shared" si="138"/>
        <v/>
      </c>
      <c r="U1449" s="10"/>
      <c r="V1449" s="41">
        <f>IF(AND(Q1449&lt;&gt;"",RIGHT(Q1449,3)&lt;&gt;""),IF(COUNTIF($Q$6:Q1449,Q1449)=1,1,0),0)</f>
        <v>0</v>
      </c>
      <c r="W1449" s="41" t="str">
        <f t="shared" si="139"/>
        <v/>
      </c>
      <c r="X1449" s="41" t="str">
        <f t="shared" si="140"/>
        <v/>
      </c>
    </row>
    <row r="1450" s="32" customFormat="1" hidden="1" customHeight="1" spans="1:24">
      <c r="A1450" s="34"/>
      <c r="B1450" s="51"/>
      <c r="C1450" s="51"/>
      <c r="D1450" s="52"/>
      <c r="E1450" s="53"/>
      <c r="F1450" s="54"/>
      <c r="G1450" s="54"/>
      <c r="H1450" s="54"/>
      <c r="I1450" s="66"/>
      <c r="J1450" s="54"/>
      <c r="K1450" s="54"/>
      <c r="L1450" s="54"/>
      <c r="M1450" s="97" t="str">
        <f t="shared" si="137"/>
        <v/>
      </c>
      <c r="N1450" s="70"/>
      <c r="O1450" s="71" t="str">
        <f t="shared" si="136"/>
        <v/>
      </c>
      <c r="P1450" s="66"/>
      <c r="Q1450" s="66"/>
      <c r="R1450" s="54"/>
      <c r="S1450" s="82"/>
      <c r="T1450" s="83" t="str">
        <f t="shared" si="138"/>
        <v/>
      </c>
      <c r="U1450" s="10"/>
      <c r="V1450" s="41">
        <f>IF(AND(Q1450&lt;&gt;"",RIGHT(Q1450,3)&lt;&gt;""),IF(COUNTIF($Q$6:Q1450,Q1450)=1,1,0),0)</f>
        <v>0</v>
      </c>
      <c r="W1450" s="41" t="str">
        <f t="shared" si="139"/>
        <v/>
      </c>
      <c r="X1450" s="41" t="str">
        <f t="shared" si="140"/>
        <v/>
      </c>
    </row>
    <row r="1451" s="32" customFormat="1" hidden="1" customHeight="1" spans="1:24">
      <c r="A1451" s="34"/>
      <c r="B1451" s="51"/>
      <c r="C1451" s="51"/>
      <c r="D1451" s="52"/>
      <c r="E1451" s="53"/>
      <c r="F1451" s="54"/>
      <c r="G1451" s="54"/>
      <c r="H1451" s="54"/>
      <c r="I1451" s="66"/>
      <c r="J1451" s="54"/>
      <c r="K1451" s="54"/>
      <c r="L1451" s="54"/>
      <c r="M1451" s="97" t="str">
        <f t="shared" si="137"/>
        <v/>
      </c>
      <c r="N1451" s="70"/>
      <c r="O1451" s="71" t="str">
        <f t="shared" si="136"/>
        <v/>
      </c>
      <c r="P1451" s="66"/>
      <c r="Q1451" s="66"/>
      <c r="R1451" s="54"/>
      <c r="S1451" s="82"/>
      <c r="T1451" s="83" t="str">
        <f t="shared" si="138"/>
        <v/>
      </c>
      <c r="U1451" s="10"/>
      <c r="V1451" s="41">
        <f>IF(AND(Q1451&lt;&gt;"",RIGHT(Q1451,3)&lt;&gt;""),IF(COUNTIF($Q$6:Q1451,Q1451)=1,1,0),0)</f>
        <v>0</v>
      </c>
      <c r="W1451" s="41" t="str">
        <f t="shared" si="139"/>
        <v/>
      </c>
      <c r="X1451" s="41" t="str">
        <f t="shared" si="140"/>
        <v/>
      </c>
    </row>
    <row r="1452" s="32" customFormat="1" hidden="1" customHeight="1" spans="1:24">
      <c r="A1452" s="34"/>
      <c r="B1452" s="51"/>
      <c r="C1452" s="51"/>
      <c r="D1452" s="52"/>
      <c r="E1452" s="53"/>
      <c r="F1452" s="54"/>
      <c r="G1452" s="54"/>
      <c r="H1452" s="54"/>
      <c r="I1452" s="66"/>
      <c r="J1452" s="54"/>
      <c r="K1452" s="54"/>
      <c r="L1452" s="54"/>
      <c r="M1452" s="97" t="str">
        <f t="shared" si="137"/>
        <v/>
      </c>
      <c r="N1452" s="70"/>
      <c r="O1452" s="71" t="str">
        <f t="shared" si="136"/>
        <v/>
      </c>
      <c r="P1452" s="66"/>
      <c r="Q1452" s="66"/>
      <c r="R1452" s="54"/>
      <c r="S1452" s="82"/>
      <c r="T1452" s="83" t="str">
        <f t="shared" si="138"/>
        <v/>
      </c>
      <c r="U1452" s="10"/>
      <c r="V1452" s="41">
        <f>IF(AND(Q1452&lt;&gt;"",RIGHT(Q1452,3)&lt;&gt;""),IF(COUNTIF($Q$6:Q1452,Q1452)=1,1,0),0)</f>
        <v>0</v>
      </c>
      <c r="W1452" s="41" t="str">
        <f t="shared" si="139"/>
        <v/>
      </c>
      <c r="X1452" s="41" t="str">
        <f t="shared" si="140"/>
        <v/>
      </c>
    </row>
    <row r="1453" s="32" customFormat="1" hidden="1" customHeight="1" spans="1:24">
      <c r="A1453" s="34"/>
      <c r="B1453" s="51"/>
      <c r="C1453" s="51"/>
      <c r="D1453" s="52"/>
      <c r="E1453" s="53"/>
      <c r="F1453" s="54"/>
      <c r="G1453" s="54"/>
      <c r="H1453" s="54"/>
      <c r="I1453" s="66"/>
      <c r="J1453" s="54"/>
      <c r="K1453" s="54"/>
      <c r="L1453" s="54"/>
      <c r="M1453" s="97" t="str">
        <f t="shared" si="137"/>
        <v/>
      </c>
      <c r="N1453" s="70"/>
      <c r="O1453" s="71" t="str">
        <f t="shared" si="136"/>
        <v/>
      </c>
      <c r="P1453" s="66"/>
      <c r="Q1453" s="66"/>
      <c r="R1453" s="54"/>
      <c r="S1453" s="82"/>
      <c r="T1453" s="83" t="str">
        <f t="shared" si="138"/>
        <v/>
      </c>
      <c r="U1453" s="10"/>
      <c r="V1453" s="41">
        <f>IF(AND(Q1453&lt;&gt;"",RIGHT(Q1453,3)&lt;&gt;""),IF(COUNTIF($Q$6:Q1453,Q1453)=1,1,0),0)</f>
        <v>0</v>
      </c>
      <c r="W1453" s="41" t="str">
        <f t="shared" si="139"/>
        <v/>
      </c>
      <c r="X1453" s="41" t="str">
        <f t="shared" si="140"/>
        <v/>
      </c>
    </row>
    <row r="1454" s="32" customFormat="1" hidden="1" customHeight="1" spans="1:24">
      <c r="A1454" s="34"/>
      <c r="B1454" s="51"/>
      <c r="C1454" s="51"/>
      <c r="D1454" s="52"/>
      <c r="E1454" s="53"/>
      <c r="F1454" s="54"/>
      <c r="G1454" s="54"/>
      <c r="H1454" s="54"/>
      <c r="I1454" s="66"/>
      <c r="J1454" s="54"/>
      <c r="K1454" s="54"/>
      <c r="L1454" s="54"/>
      <c r="M1454" s="97" t="str">
        <f t="shared" si="137"/>
        <v/>
      </c>
      <c r="N1454" s="70"/>
      <c r="O1454" s="71" t="str">
        <f t="shared" si="136"/>
        <v/>
      </c>
      <c r="P1454" s="66"/>
      <c r="Q1454" s="66"/>
      <c r="R1454" s="54"/>
      <c r="S1454" s="82"/>
      <c r="T1454" s="83" t="str">
        <f t="shared" si="138"/>
        <v/>
      </c>
      <c r="U1454" s="10"/>
      <c r="V1454" s="41">
        <f>IF(AND(Q1454&lt;&gt;"",RIGHT(Q1454,3)&lt;&gt;""),IF(COUNTIF($Q$6:Q1454,Q1454)=1,1,0),0)</f>
        <v>0</v>
      </c>
      <c r="W1454" s="41" t="str">
        <f t="shared" si="139"/>
        <v/>
      </c>
      <c r="X1454" s="41" t="str">
        <f t="shared" si="140"/>
        <v/>
      </c>
    </row>
    <row r="1455" s="32" customFormat="1" hidden="1" customHeight="1" spans="1:24">
      <c r="A1455" s="34"/>
      <c r="B1455" s="51"/>
      <c r="C1455" s="51"/>
      <c r="D1455" s="52"/>
      <c r="E1455" s="53"/>
      <c r="F1455" s="54"/>
      <c r="G1455" s="54"/>
      <c r="H1455" s="54"/>
      <c r="I1455" s="66"/>
      <c r="J1455" s="54"/>
      <c r="K1455" s="54"/>
      <c r="L1455" s="54"/>
      <c r="M1455" s="97" t="str">
        <f t="shared" si="137"/>
        <v/>
      </c>
      <c r="N1455" s="70"/>
      <c r="O1455" s="71" t="str">
        <f t="shared" si="136"/>
        <v/>
      </c>
      <c r="P1455" s="66"/>
      <c r="Q1455" s="66"/>
      <c r="R1455" s="54"/>
      <c r="S1455" s="82"/>
      <c r="T1455" s="83" t="str">
        <f t="shared" si="138"/>
        <v/>
      </c>
      <c r="U1455" s="10"/>
      <c r="V1455" s="41">
        <f>IF(AND(Q1455&lt;&gt;"",RIGHT(Q1455,3)&lt;&gt;""),IF(COUNTIF($Q$6:Q1455,Q1455)=1,1,0),0)</f>
        <v>0</v>
      </c>
      <c r="W1455" s="41" t="str">
        <f t="shared" si="139"/>
        <v/>
      </c>
      <c r="X1455" s="41" t="str">
        <f t="shared" si="140"/>
        <v/>
      </c>
    </row>
    <row r="1456" s="32" customFormat="1" hidden="1" customHeight="1" spans="1:24">
      <c r="A1456" s="34"/>
      <c r="B1456" s="51"/>
      <c r="C1456" s="51"/>
      <c r="D1456" s="52"/>
      <c r="E1456" s="53"/>
      <c r="F1456" s="54"/>
      <c r="G1456" s="54"/>
      <c r="H1456" s="54"/>
      <c r="I1456" s="66"/>
      <c r="J1456" s="54"/>
      <c r="K1456" s="54"/>
      <c r="L1456" s="54"/>
      <c r="M1456" s="97" t="str">
        <f t="shared" si="137"/>
        <v/>
      </c>
      <c r="N1456" s="70"/>
      <c r="O1456" s="71" t="str">
        <f t="shared" si="136"/>
        <v/>
      </c>
      <c r="P1456" s="66"/>
      <c r="Q1456" s="66"/>
      <c r="R1456" s="54"/>
      <c r="S1456" s="82"/>
      <c r="T1456" s="83" t="str">
        <f t="shared" si="138"/>
        <v/>
      </c>
      <c r="U1456" s="10"/>
      <c r="V1456" s="41">
        <f>IF(AND(Q1456&lt;&gt;"",RIGHT(Q1456,3)&lt;&gt;""),IF(COUNTIF($Q$6:Q1456,Q1456)=1,1,0),0)</f>
        <v>0</v>
      </c>
      <c r="W1456" s="41" t="str">
        <f t="shared" si="139"/>
        <v/>
      </c>
      <c r="X1456" s="41" t="str">
        <f t="shared" si="140"/>
        <v/>
      </c>
    </row>
    <row r="1457" s="32" customFormat="1" hidden="1" customHeight="1" spans="1:24">
      <c r="A1457" s="34"/>
      <c r="B1457" s="51"/>
      <c r="C1457" s="51"/>
      <c r="D1457" s="52"/>
      <c r="E1457" s="53"/>
      <c r="F1457" s="54"/>
      <c r="G1457" s="54"/>
      <c r="H1457" s="54"/>
      <c r="I1457" s="66"/>
      <c r="J1457" s="54"/>
      <c r="K1457" s="54"/>
      <c r="L1457" s="54"/>
      <c r="M1457" s="97" t="str">
        <f t="shared" si="137"/>
        <v/>
      </c>
      <c r="N1457" s="70"/>
      <c r="O1457" s="71" t="str">
        <f t="shared" ref="O1457:O1520" si="141">IF(AND(Q1457&lt;&gt;"",T1457&lt;&gt;""),"PASSIVE",IF(AND(J1457&lt;&gt;"",M1457&lt;&gt;""),"ACTIVE",""))</f>
        <v/>
      </c>
      <c r="P1457" s="66"/>
      <c r="Q1457" s="66"/>
      <c r="R1457" s="54"/>
      <c r="S1457" s="82"/>
      <c r="T1457" s="83" t="str">
        <f t="shared" si="138"/>
        <v/>
      </c>
      <c r="U1457" s="10"/>
      <c r="V1457" s="41">
        <f>IF(AND(Q1457&lt;&gt;"",RIGHT(Q1457,3)&lt;&gt;""),IF(COUNTIF($Q$6:Q1457,Q1457)=1,1,0),0)</f>
        <v>0</v>
      </c>
      <c r="W1457" s="41" t="str">
        <f t="shared" si="139"/>
        <v/>
      </c>
      <c r="X1457" s="41" t="str">
        <f t="shared" si="140"/>
        <v/>
      </c>
    </row>
    <row r="1458" s="32" customFormat="1" hidden="1" customHeight="1" spans="1:24">
      <c r="A1458" s="34"/>
      <c r="B1458" s="51"/>
      <c r="C1458" s="51"/>
      <c r="D1458" s="52"/>
      <c r="E1458" s="53"/>
      <c r="F1458" s="54"/>
      <c r="G1458" s="54"/>
      <c r="H1458" s="54"/>
      <c r="I1458" s="66"/>
      <c r="J1458" s="54"/>
      <c r="K1458" s="54"/>
      <c r="L1458" s="54"/>
      <c r="M1458" s="97" t="str">
        <f t="shared" si="137"/>
        <v/>
      </c>
      <c r="N1458" s="70"/>
      <c r="O1458" s="71" t="str">
        <f t="shared" si="141"/>
        <v/>
      </c>
      <c r="P1458" s="66"/>
      <c r="Q1458" s="66"/>
      <c r="R1458" s="54"/>
      <c r="S1458" s="82"/>
      <c r="T1458" s="83" t="str">
        <f t="shared" si="138"/>
        <v/>
      </c>
      <c r="U1458" s="10"/>
      <c r="V1458" s="41">
        <f>IF(AND(Q1458&lt;&gt;"",RIGHT(Q1458,3)&lt;&gt;""),IF(COUNTIF($Q$6:Q1458,Q1458)=1,1,0),0)</f>
        <v>0</v>
      </c>
      <c r="W1458" s="41" t="str">
        <f t="shared" si="139"/>
        <v/>
      </c>
      <c r="X1458" s="41" t="str">
        <f t="shared" si="140"/>
        <v/>
      </c>
    </row>
    <row r="1459" s="32" customFormat="1" hidden="1" customHeight="1" spans="1:24">
      <c r="A1459" s="34"/>
      <c r="B1459" s="51"/>
      <c r="C1459" s="51"/>
      <c r="D1459" s="52"/>
      <c r="E1459" s="53"/>
      <c r="F1459" s="54"/>
      <c r="G1459" s="54"/>
      <c r="H1459" s="54"/>
      <c r="I1459" s="66"/>
      <c r="J1459" s="54"/>
      <c r="K1459" s="54"/>
      <c r="L1459" s="54"/>
      <c r="M1459" s="97" t="str">
        <f t="shared" si="137"/>
        <v/>
      </c>
      <c r="N1459" s="70"/>
      <c r="O1459" s="71" t="str">
        <f t="shared" si="141"/>
        <v/>
      </c>
      <c r="P1459" s="66"/>
      <c r="Q1459" s="66"/>
      <c r="R1459" s="54"/>
      <c r="S1459" s="82"/>
      <c r="T1459" s="83" t="str">
        <f t="shared" si="138"/>
        <v/>
      </c>
      <c r="U1459" s="10"/>
      <c r="V1459" s="41">
        <f>IF(AND(Q1459&lt;&gt;"",RIGHT(Q1459,3)&lt;&gt;""),IF(COUNTIF($Q$6:Q1459,Q1459)=1,1,0),0)</f>
        <v>0</v>
      </c>
      <c r="W1459" s="41" t="str">
        <f t="shared" si="139"/>
        <v/>
      </c>
      <c r="X1459" s="41" t="str">
        <f t="shared" si="140"/>
        <v/>
      </c>
    </row>
    <row r="1460" s="32" customFormat="1" hidden="1" customHeight="1" spans="1:24">
      <c r="A1460" s="34"/>
      <c r="B1460" s="51"/>
      <c r="C1460" s="51"/>
      <c r="D1460" s="52"/>
      <c r="E1460" s="53"/>
      <c r="F1460" s="54"/>
      <c r="G1460" s="54"/>
      <c r="H1460" s="54"/>
      <c r="I1460" s="66"/>
      <c r="J1460" s="54"/>
      <c r="K1460" s="54"/>
      <c r="L1460" s="54"/>
      <c r="M1460" s="97" t="str">
        <f t="shared" si="137"/>
        <v/>
      </c>
      <c r="N1460" s="70"/>
      <c r="O1460" s="71" t="str">
        <f t="shared" si="141"/>
        <v/>
      </c>
      <c r="P1460" s="66"/>
      <c r="Q1460" s="66"/>
      <c r="R1460" s="54"/>
      <c r="S1460" s="82"/>
      <c r="T1460" s="83" t="str">
        <f t="shared" si="138"/>
        <v/>
      </c>
      <c r="U1460" s="10"/>
      <c r="V1460" s="41">
        <f>IF(AND(Q1460&lt;&gt;"",RIGHT(Q1460,3)&lt;&gt;""),IF(COUNTIF($Q$6:Q1460,Q1460)=1,1,0),0)</f>
        <v>0</v>
      </c>
      <c r="W1460" s="41" t="str">
        <f t="shared" si="139"/>
        <v/>
      </c>
      <c r="X1460" s="41" t="str">
        <f t="shared" si="140"/>
        <v/>
      </c>
    </row>
    <row r="1461" s="32" customFormat="1" hidden="1" customHeight="1" spans="1:24">
      <c r="A1461" s="34"/>
      <c r="B1461" s="51"/>
      <c r="C1461" s="51"/>
      <c r="D1461" s="52"/>
      <c r="E1461" s="53"/>
      <c r="F1461" s="54"/>
      <c r="G1461" s="54"/>
      <c r="H1461" s="54"/>
      <c r="I1461" s="66"/>
      <c r="J1461" s="54"/>
      <c r="K1461" s="54"/>
      <c r="L1461" s="54"/>
      <c r="M1461" s="97" t="str">
        <f t="shared" si="137"/>
        <v/>
      </c>
      <c r="N1461" s="70"/>
      <c r="O1461" s="71" t="str">
        <f t="shared" si="141"/>
        <v/>
      </c>
      <c r="P1461" s="66"/>
      <c r="Q1461" s="66"/>
      <c r="R1461" s="54"/>
      <c r="S1461" s="82"/>
      <c r="T1461" s="83" t="str">
        <f t="shared" si="138"/>
        <v/>
      </c>
      <c r="U1461" s="10"/>
      <c r="V1461" s="41">
        <f>IF(AND(Q1461&lt;&gt;"",RIGHT(Q1461,3)&lt;&gt;""),IF(COUNTIF($Q$6:Q1461,Q1461)=1,1,0),0)</f>
        <v>0</v>
      </c>
      <c r="W1461" s="41" t="str">
        <f t="shared" si="139"/>
        <v/>
      </c>
      <c r="X1461" s="41" t="str">
        <f t="shared" si="140"/>
        <v/>
      </c>
    </row>
    <row r="1462" s="32" customFormat="1" hidden="1" customHeight="1" spans="1:24">
      <c r="A1462" s="34"/>
      <c r="B1462" s="51"/>
      <c r="C1462" s="51"/>
      <c r="D1462" s="52"/>
      <c r="E1462" s="53"/>
      <c r="F1462" s="54"/>
      <c r="G1462" s="54"/>
      <c r="H1462" s="54"/>
      <c r="I1462" s="66"/>
      <c r="J1462" s="54"/>
      <c r="K1462" s="54"/>
      <c r="L1462" s="54"/>
      <c r="M1462" s="97" t="str">
        <f t="shared" si="137"/>
        <v/>
      </c>
      <c r="N1462" s="70"/>
      <c r="O1462" s="71" t="str">
        <f t="shared" si="141"/>
        <v/>
      </c>
      <c r="P1462" s="66"/>
      <c r="Q1462" s="66"/>
      <c r="R1462" s="54"/>
      <c r="S1462" s="82"/>
      <c r="T1462" s="83" t="str">
        <f t="shared" si="138"/>
        <v/>
      </c>
      <c r="U1462" s="10"/>
      <c r="V1462" s="41">
        <f>IF(AND(Q1462&lt;&gt;"",RIGHT(Q1462,3)&lt;&gt;""),IF(COUNTIF($Q$6:Q1462,Q1462)=1,1,0),0)</f>
        <v>0</v>
      </c>
      <c r="W1462" s="41" t="str">
        <f t="shared" si="139"/>
        <v/>
      </c>
      <c r="X1462" s="41" t="str">
        <f t="shared" si="140"/>
        <v/>
      </c>
    </row>
    <row r="1463" s="32" customFormat="1" hidden="1" customHeight="1" spans="1:24">
      <c r="A1463" s="34"/>
      <c r="B1463" s="51"/>
      <c r="C1463" s="51"/>
      <c r="D1463" s="52"/>
      <c r="E1463" s="53"/>
      <c r="F1463" s="54"/>
      <c r="G1463" s="54"/>
      <c r="H1463" s="54"/>
      <c r="I1463" s="66"/>
      <c r="J1463" s="54"/>
      <c r="K1463" s="54"/>
      <c r="L1463" s="54"/>
      <c r="M1463" s="97" t="str">
        <f t="shared" si="137"/>
        <v/>
      </c>
      <c r="N1463" s="70"/>
      <c r="O1463" s="71" t="str">
        <f t="shared" si="141"/>
        <v/>
      </c>
      <c r="P1463" s="66"/>
      <c r="Q1463" s="66"/>
      <c r="R1463" s="54"/>
      <c r="S1463" s="82"/>
      <c r="T1463" s="83" t="str">
        <f t="shared" si="138"/>
        <v/>
      </c>
      <c r="U1463" s="10"/>
      <c r="V1463" s="41">
        <f>IF(AND(Q1463&lt;&gt;"",RIGHT(Q1463,3)&lt;&gt;""),IF(COUNTIF($Q$6:Q1463,Q1463)=1,1,0),0)</f>
        <v>0</v>
      </c>
      <c r="W1463" s="41" t="str">
        <f t="shared" si="139"/>
        <v/>
      </c>
      <c r="X1463" s="41" t="str">
        <f t="shared" si="140"/>
        <v/>
      </c>
    </row>
    <row r="1464" s="32" customFormat="1" hidden="1" customHeight="1" spans="1:24">
      <c r="A1464" s="34"/>
      <c r="B1464" s="51"/>
      <c r="C1464" s="51"/>
      <c r="D1464" s="52"/>
      <c r="E1464" s="53"/>
      <c r="F1464" s="54"/>
      <c r="G1464" s="54"/>
      <c r="H1464" s="54"/>
      <c r="I1464" s="66"/>
      <c r="J1464" s="54"/>
      <c r="K1464" s="54"/>
      <c r="L1464" s="54"/>
      <c r="M1464" s="97" t="str">
        <f t="shared" si="137"/>
        <v/>
      </c>
      <c r="N1464" s="70"/>
      <c r="O1464" s="71" t="str">
        <f t="shared" si="141"/>
        <v/>
      </c>
      <c r="P1464" s="66"/>
      <c r="Q1464" s="66"/>
      <c r="R1464" s="54"/>
      <c r="S1464" s="82"/>
      <c r="T1464" s="83" t="str">
        <f t="shared" si="138"/>
        <v/>
      </c>
      <c r="U1464" s="10"/>
      <c r="V1464" s="41">
        <f>IF(AND(Q1464&lt;&gt;"",RIGHT(Q1464,3)&lt;&gt;""),IF(COUNTIF($Q$6:Q1464,Q1464)=1,1,0),0)</f>
        <v>0</v>
      </c>
      <c r="W1464" s="41" t="str">
        <f t="shared" si="139"/>
        <v/>
      </c>
      <c r="X1464" s="41" t="str">
        <f t="shared" si="140"/>
        <v/>
      </c>
    </row>
    <row r="1465" s="32" customFormat="1" hidden="1" customHeight="1" spans="1:24">
      <c r="A1465" s="34"/>
      <c r="B1465" s="51"/>
      <c r="C1465" s="51"/>
      <c r="D1465" s="52"/>
      <c r="E1465" s="53"/>
      <c r="F1465" s="54"/>
      <c r="G1465" s="54"/>
      <c r="H1465" s="54"/>
      <c r="I1465" s="66"/>
      <c r="J1465" s="54"/>
      <c r="K1465" s="54"/>
      <c r="L1465" s="54"/>
      <c r="M1465" s="97" t="str">
        <f t="shared" si="137"/>
        <v/>
      </c>
      <c r="N1465" s="70"/>
      <c r="O1465" s="71" t="str">
        <f t="shared" si="141"/>
        <v/>
      </c>
      <c r="P1465" s="66"/>
      <c r="Q1465" s="66"/>
      <c r="R1465" s="54"/>
      <c r="S1465" s="82"/>
      <c r="T1465" s="83" t="str">
        <f t="shared" si="138"/>
        <v/>
      </c>
      <c r="U1465" s="10"/>
      <c r="V1465" s="41">
        <f>IF(AND(Q1465&lt;&gt;"",RIGHT(Q1465,3)&lt;&gt;""),IF(COUNTIF($Q$6:Q1465,Q1465)=1,1,0),0)</f>
        <v>0</v>
      </c>
      <c r="W1465" s="41" t="str">
        <f t="shared" si="139"/>
        <v/>
      </c>
      <c r="X1465" s="41" t="str">
        <f t="shared" si="140"/>
        <v/>
      </c>
    </row>
    <row r="1466" s="32" customFormat="1" hidden="1" customHeight="1" spans="1:24">
      <c r="A1466" s="34"/>
      <c r="B1466" s="51"/>
      <c r="C1466" s="51"/>
      <c r="D1466" s="52"/>
      <c r="E1466" s="53"/>
      <c r="F1466" s="54"/>
      <c r="G1466" s="54"/>
      <c r="H1466" s="54"/>
      <c r="I1466" s="66"/>
      <c r="J1466" s="54"/>
      <c r="K1466" s="54"/>
      <c r="L1466" s="54"/>
      <c r="M1466" s="97" t="str">
        <f t="shared" si="137"/>
        <v/>
      </c>
      <c r="N1466" s="70"/>
      <c r="O1466" s="71" t="str">
        <f t="shared" si="141"/>
        <v/>
      </c>
      <c r="P1466" s="66"/>
      <c r="Q1466" s="66"/>
      <c r="R1466" s="54"/>
      <c r="S1466" s="82"/>
      <c r="T1466" s="83" t="str">
        <f t="shared" si="138"/>
        <v/>
      </c>
      <c r="U1466" s="10"/>
      <c r="V1466" s="41">
        <f>IF(AND(Q1466&lt;&gt;"",RIGHT(Q1466,3)&lt;&gt;""),IF(COUNTIF($Q$6:Q1466,Q1466)=1,1,0),0)</f>
        <v>0</v>
      </c>
      <c r="W1466" s="41" t="str">
        <f t="shared" si="139"/>
        <v/>
      </c>
      <c r="X1466" s="41" t="str">
        <f t="shared" si="140"/>
        <v/>
      </c>
    </row>
    <row r="1467" s="32" customFormat="1" hidden="1" customHeight="1" spans="1:24">
      <c r="A1467" s="34"/>
      <c r="B1467" s="51"/>
      <c r="C1467" s="51"/>
      <c r="D1467" s="52"/>
      <c r="E1467" s="53"/>
      <c r="F1467" s="54"/>
      <c r="G1467" s="54"/>
      <c r="H1467" s="54"/>
      <c r="I1467" s="66"/>
      <c r="J1467" s="54"/>
      <c r="K1467" s="54"/>
      <c r="L1467" s="54"/>
      <c r="M1467" s="97" t="str">
        <f t="shared" si="137"/>
        <v/>
      </c>
      <c r="N1467" s="70"/>
      <c r="O1467" s="71" t="str">
        <f t="shared" si="141"/>
        <v/>
      </c>
      <c r="P1467" s="66"/>
      <c r="Q1467" s="66"/>
      <c r="R1467" s="54"/>
      <c r="S1467" s="82"/>
      <c r="T1467" s="83" t="str">
        <f t="shared" si="138"/>
        <v/>
      </c>
      <c r="U1467" s="10"/>
      <c r="V1467" s="41">
        <f>IF(AND(Q1467&lt;&gt;"",RIGHT(Q1467,3)&lt;&gt;""),IF(COUNTIF($Q$6:Q1467,Q1467)=1,1,0),0)</f>
        <v>0</v>
      </c>
      <c r="W1467" s="41" t="str">
        <f t="shared" si="139"/>
        <v/>
      </c>
      <c r="X1467" s="41" t="str">
        <f t="shared" si="140"/>
        <v/>
      </c>
    </row>
    <row r="1468" s="32" customFormat="1" hidden="1" customHeight="1" spans="1:24">
      <c r="A1468" s="34"/>
      <c r="B1468" s="51"/>
      <c r="C1468" s="51"/>
      <c r="D1468" s="52"/>
      <c r="E1468" s="53"/>
      <c r="F1468" s="54"/>
      <c r="G1468" s="54"/>
      <c r="H1468" s="54"/>
      <c r="I1468" s="66"/>
      <c r="J1468" s="54"/>
      <c r="K1468" s="54"/>
      <c r="L1468" s="54"/>
      <c r="M1468" s="97" t="str">
        <f t="shared" si="137"/>
        <v/>
      </c>
      <c r="N1468" s="70"/>
      <c r="O1468" s="71" t="str">
        <f t="shared" si="141"/>
        <v/>
      </c>
      <c r="P1468" s="66"/>
      <c r="Q1468" s="66"/>
      <c r="R1468" s="54"/>
      <c r="S1468" s="82"/>
      <c r="T1468" s="83" t="str">
        <f t="shared" si="138"/>
        <v/>
      </c>
      <c r="U1468" s="10"/>
      <c r="V1468" s="41">
        <f>IF(AND(Q1468&lt;&gt;"",RIGHT(Q1468,3)&lt;&gt;""),IF(COUNTIF($Q$6:Q1468,Q1468)=1,1,0),0)</f>
        <v>0</v>
      </c>
      <c r="W1468" s="41" t="str">
        <f t="shared" si="139"/>
        <v/>
      </c>
      <c r="X1468" s="41" t="str">
        <f t="shared" si="140"/>
        <v/>
      </c>
    </row>
    <row r="1469" s="32" customFormat="1" hidden="1" customHeight="1" spans="1:24">
      <c r="A1469" s="34"/>
      <c r="B1469" s="51"/>
      <c r="C1469" s="51"/>
      <c r="D1469" s="52"/>
      <c r="E1469" s="53"/>
      <c r="F1469" s="54"/>
      <c r="G1469" s="54"/>
      <c r="H1469" s="54"/>
      <c r="I1469" s="66"/>
      <c r="J1469" s="54"/>
      <c r="K1469" s="54"/>
      <c r="L1469" s="54"/>
      <c r="M1469" s="97" t="str">
        <f t="shared" si="137"/>
        <v/>
      </c>
      <c r="N1469" s="70"/>
      <c r="O1469" s="71" t="str">
        <f t="shared" si="141"/>
        <v/>
      </c>
      <c r="P1469" s="66"/>
      <c r="Q1469" s="66"/>
      <c r="R1469" s="54"/>
      <c r="S1469" s="82"/>
      <c r="T1469" s="83" t="str">
        <f t="shared" si="138"/>
        <v/>
      </c>
      <c r="U1469" s="10"/>
      <c r="V1469" s="41">
        <f>IF(AND(Q1469&lt;&gt;"",RIGHT(Q1469,3)&lt;&gt;""),IF(COUNTIF($Q$6:Q1469,Q1469)=1,1,0),0)</f>
        <v>0</v>
      </c>
      <c r="W1469" s="41" t="str">
        <f t="shared" si="139"/>
        <v/>
      </c>
      <c r="X1469" s="41" t="str">
        <f t="shared" si="140"/>
        <v/>
      </c>
    </row>
    <row r="1470" s="32" customFormat="1" hidden="1" customHeight="1" spans="1:24">
      <c r="A1470" s="34"/>
      <c r="B1470" s="51"/>
      <c r="C1470" s="51"/>
      <c r="D1470" s="52"/>
      <c r="E1470" s="53"/>
      <c r="F1470" s="54"/>
      <c r="G1470" s="54"/>
      <c r="H1470" s="54"/>
      <c r="I1470" s="66"/>
      <c r="J1470" s="54"/>
      <c r="K1470" s="54"/>
      <c r="L1470" s="54"/>
      <c r="M1470" s="97" t="str">
        <f t="shared" si="137"/>
        <v/>
      </c>
      <c r="N1470" s="70"/>
      <c r="O1470" s="71" t="str">
        <f t="shared" si="141"/>
        <v/>
      </c>
      <c r="P1470" s="66"/>
      <c r="Q1470" s="66"/>
      <c r="R1470" s="54"/>
      <c r="S1470" s="82"/>
      <c r="T1470" s="83" t="str">
        <f t="shared" si="138"/>
        <v/>
      </c>
      <c r="U1470" s="10"/>
      <c r="V1470" s="41">
        <f>IF(AND(Q1470&lt;&gt;"",RIGHT(Q1470,3)&lt;&gt;""),IF(COUNTIF($Q$6:Q1470,Q1470)=1,1,0),0)</f>
        <v>0</v>
      </c>
      <c r="W1470" s="41" t="str">
        <f t="shared" si="139"/>
        <v/>
      </c>
      <c r="X1470" s="41" t="str">
        <f t="shared" si="140"/>
        <v/>
      </c>
    </row>
    <row r="1471" s="32" customFormat="1" hidden="1" customHeight="1" spans="1:24">
      <c r="A1471" s="34"/>
      <c r="B1471" s="51"/>
      <c r="C1471" s="51"/>
      <c r="D1471" s="52"/>
      <c r="E1471" s="53"/>
      <c r="F1471" s="54"/>
      <c r="G1471" s="54"/>
      <c r="H1471" s="54"/>
      <c r="I1471" s="66"/>
      <c r="J1471" s="54"/>
      <c r="K1471" s="54"/>
      <c r="L1471" s="54"/>
      <c r="M1471" s="97" t="str">
        <f t="shared" si="137"/>
        <v/>
      </c>
      <c r="N1471" s="70"/>
      <c r="O1471" s="71" t="str">
        <f t="shared" si="141"/>
        <v/>
      </c>
      <c r="P1471" s="66"/>
      <c r="Q1471" s="66"/>
      <c r="R1471" s="54"/>
      <c r="S1471" s="82"/>
      <c r="T1471" s="83" t="str">
        <f t="shared" si="138"/>
        <v/>
      </c>
      <c r="U1471" s="10"/>
      <c r="V1471" s="41">
        <f>IF(AND(Q1471&lt;&gt;"",RIGHT(Q1471,3)&lt;&gt;""),IF(COUNTIF($Q$6:Q1471,Q1471)=1,1,0),0)</f>
        <v>0</v>
      </c>
      <c r="W1471" s="41" t="str">
        <f t="shared" si="139"/>
        <v/>
      </c>
      <c r="X1471" s="41" t="str">
        <f t="shared" si="140"/>
        <v/>
      </c>
    </row>
    <row r="1472" s="32" customFormat="1" hidden="1" customHeight="1" spans="1:24">
      <c r="A1472" s="34"/>
      <c r="B1472" s="51"/>
      <c r="C1472" s="51"/>
      <c r="D1472" s="52"/>
      <c r="E1472" s="53"/>
      <c r="F1472" s="54"/>
      <c r="G1472" s="54"/>
      <c r="H1472" s="54"/>
      <c r="I1472" s="66"/>
      <c r="J1472" s="54"/>
      <c r="K1472" s="54"/>
      <c r="L1472" s="54"/>
      <c r="M1472" s="97" t="str">
        <f t="shared" si="137"/>
        <v/>
      </c>
      <c r="N1472" s="70"/>
      <c r="O1472" s="71" t="str">
        <f t="shared" si="141"/>
        <v/>
      </c>
      <c r="P1472" s="66"/>
      <c r="Q1472" s="66"/>
      <c r="R1472" s="54"/>
      <c r="S1472" s="82"/>
      <c r="T1472" s="83" t="str">
        <f t="shared" si="138"/>
        <v/>
      </c>
      <c r="U1472" s="10"/>
      <c r="V1472" s="41">
        <f>IF(AND(Q1472&lt;&gt;"",RIGHT(Q1472,3)&lt;&gt;""),IF(COUNTIF($Q$6:Q1472,Q1472)=1,1,0),0)</f>
        <v>0</v>
      </c>
      <c r="W1472" s="41" t="str">
        <f t="shared" si="139"/>
        <v/>
      </c>
      <c r="X1472" s="41" t="str">
        <f t="shared" si="140"/>
        <v/>
      </c>
    </row>
    <row r="1473" s="32" customFormat="1" hidden="1" customHeight="1" spans="1:24">
      <c r="A1473" s="34"/>
      <c r="B1473" s="51"/>
      <c r="C1473" s="51"/>
      <c r="D1473" s="52"/>
      <c r="E1473" s="53"/>
      <c r="F1473" s="54"/>
      <c r="G1473" s="54"/>
      <c r="H1473" s="54"/>
      <c r="I1473" s="66"/>
      <c r="J1473" s="54"/>
      <c r="K1473" s="54"/>
      <c r="L1473" s="54"/>
      <c r="M1473" s="97" t="str">
        <f t="shared" si="137"/>
        <v/>
      </c>
      <c r="N1473" s="70"/>
      <c r="O1473" s="71" t="str">
        <f t="shared" si="141"/>
        <v/>
      </c>
      <c r="P1473" s="66"/>
      <c r="Q1473" s="66"/>
      <c r="R1473" s="54"/>
      <c r="S1473" s="82"/>
      <c r="T1473" s="83" t="str">
        <f t="shared" si="138"/>
        <v/>
      </c>
      <c r="U1473" s="10"/>
      <c r="V1473" s="41">
        <f>IF(AND(Q1473&lt;&gt;"",RIGHT(Q1473,3)&lt;&gt;""),IF(COUNTIF($Q$6:Q1473,Q1473)=1,1,0),0)</f>
        <v>0</v>
      </c>
      <c r="W1473" s="41" t="str">
        <f t="shared" si="139"/>
        <v/>
      </c>
      <c r="X1473" s="41" t="str">
        <f t="shared" si="140"/>
        <v/>
      </c>
    </row>
    <row r="1474" s="32" customFormat="1" hidden="1" customHeight="1" spans="1:24">
      <c r="A1474" s="34"/>
      <c r="B1474" s="51"/>
      <c r="C1474" s="51"/>
      <c r="D1474" s="52"/>
      <c r="E1474" s="53"/>
      <c r="F1474" s="54"/>
      <c r="G1474" s="54"/>
      <c r="H1474" s="54"/>
      <c r="I1474" s="66"/>
      <c r="J1474" s="54"/>
      <c r="K1474" s="54"/>
      <c r="L1474" s="54"/>
      <c r="M1474" s="97" t="str">
        <f t="shared" si="137"/>
        <v/>
      </c>
      <c r="N1474" s="70"/>
      <c r="O1474" s="71" t="str">
        <f t="shared" si="141"/>
        <v/>
      </c>
      <c r="P1474" s="66"/>
      <c r="Q1474" s="66"/>
      <c r="R1474" s="54"/>
      <c r="S1474" s="82"/>
      <c r="T1474" s="83" t="str">
        <f t="shared" si="138"/>
        <v/>
      </c>
      <c r="U1474" s="10"/>
      <c r="V1474" s="41">
        <f>IF(AND(Q1474&lt;&gt;"",RIGHT(Q1474,3)&lt;&gt;""),IF(COUNTIF($Q$6:Q1474,Q1474)=1,1,0),0)</f>
        <v>0</v>
      </c>
      <c r="W1474" s="41" t="str">
        <f t="shared" si="139"/>
        <v/>
      </c>
      <c r="X1474" s="41" t="str">
        <f t="shared" si="140"/>
        <v/>
      </c>
    </row>
    <row r="1475" s="32" customFormat="1" hidden="1" customHeight="1" spans="1:24">
      <c r="A1475" s="34"/>
      <c r="B1475" s="51"/>
      <c r="C1475" s="51"/>
      <c r="D1475" s="52"/>
      <c r="E1475" s="53"/>
      <c r="F1475" s="54"/>
      <c r="G1475" s="54"/>
      <c r="H1475" s="54"/>
      <c r="I1475" s="66"/>
      <c r="J1475" s="54"/>
      <c r="K1475" s="54"/>
      <c r="L1475" s="54"/>
      <c r="M1475" s="97" t="str">
        <f t="shared" si="137"/>
        <v/>
      </c>
      <c r="N1475" s="70"/>
      <c r="O1475" s="71" t="str">
        <f t="shared" si="141"/>
        <v/>
      </c>
      <c r="P1475" s="66"/>
      <c r="Q1475" s="66"/>
      <c r="R1475" s="54"/>
      <c r="S1475" s="82"/>
      <c r="T1475" s="83" t="str">
        <f t="shared" si="138"/>
        <v/>
      </c>
      <c r="U1475" s="10"/>
      <c r="V1475" s="41">
        <f>IF(AND(Q1475&lt;&gt;"",RIGHT(Q1475,3)&lt;&gt;""),IF(COUNTIF($Q$6:Q1475,Q1475)=1,1,0),0)</f>
        <v>0</v>
      </c>
      <c r="W1475" s="41" t="str">
        <f t="shared" si="139"/>
        <v/>
      </c>
      <c r="X1475" s="41" t="str">
        <f t="shared" si="140"/>
        <v/>
      </c>
    </row>
    <row r="1476" s="32" customFormat="1" hidden="1" customHeight="1" spans="1:24">
      <c r="A1476" s="34"/>
      <c r="B1476" s="51"/>
      <c r="C1476" s="51"/>
      <c r="D1476" s="52"/>
      <c r="E1476" s="53"/>
      <c r="F1476" s="54"/>
      <c r="G1476" s="54"/>
      <c r="H1476" s="54"/>
      <c r="I1476" s="66"/>
      <c r="J1476" s="54"/>
      <c r="K1476" s="54"/>
      <c r="L1476" s="54"/>
      <c r="M1476" s="97" t="str">
        <f t="shared" si="137"/>
        <v/>
      </c>
      <c r="N1476" s="70"/>
      <c r="O1476" s="71" t="str">
        <f t="shared" si="141"/>
        <v/>
      </c>
      <c r="P1476" s="66"/>
      <c r="Q1476" s="66"/>
      <c r="R1476" s="54"/>
      <c r="S1476" s="82"/>
      <c r="T1476" s="83" t="str">
        <f t="shared" si="138"/>
        <v/>
      </c>
      <c r="U1476" s="10"/>
      <c r="V1476" s="41">
        <f>IF(AND(Q1476&lt;&gt;"",RIGHT(Q1476,3)&lt;&gt;""),IF(COUNTIF($Q$6:Q1476,Q1476)=1,1,0),0)</f>
        <v>0</v>
      </c>
      <c r="W1476" s="41" t="str">
        <f t="shared" si="139"/>
        <v/>
      </c>
      <c r="X1476" s="41" t="str">
        <f t="shared" si="140"/>
        <v/>
      </c>
    </row>
    <row r="1477" s="32" customFormat="1" hidden="1" customHeight="1" spans="1:24">
      <c r="A1477" s="34"/>
      <c r="B1477" s="51"/>
      <c r="C1477" s="51"/>
      <c r="D1477" s="52"/>
      <c r="E1477" s="53"/>
      <c r="F1477" s="54"/>
      <c r="G1477" s="54"/>
      <c r="H1477" s="54"/>
      <c r="I1477" s="66"/>
      <c r="J1477" s="54"/>
      <c r="K1477" s="54"/>
      <c r="L1477" s="54"/>
      <c r="M1477" s="97" t="str">
        <f t="shared" si="137"/>
        <v/>
      </c>
      <c r="N1477" s="70"/>
      <c r="O1477" s="71" t="str">
        <f t="shared" si="141"/>
        <v/>
      </c>
      <c r="P1477" s="66"/>
      <c r="Q1477" s="66"/>
      <c r="R1477" s="54"/>
      <c r="S1477" s="82"/>
      <c r="T1477" s="83" t="str">
        <f t="shared" si="138"/>
        <v/>
      </c>
      <c r="U1477" s="10"/>
      <c r="V1477" s="41">
        <f>IF(AND(Q1477&lt;&gt;"",RIGHT(Q1477,3)&lt;&gt;""),IF(COUNTIF($Q$6:Q1477,Q1477)=1,1,0),0)</f>
        <v>0</v>
      </c>
      <c r="W1477" s="41" t="str">
        <f t="shared" si="139"/>
        <v/>
      </c>
      <c r="X1477" s="41" t="str">
        <f t="shared" si="140"/>
        <v/>
      </c>
    </row>
    <row r="1478" s="32" customFormat="1" hidden="1" customHeight="1" spans="1:24">
      <c r="A1478" s="34"/>
      <c r="B1478" s="51"/>
      <c r="C1478" s="51"/>
      <c r="D1478" s="52"/>
      <c r="E1478" s="53"/>
      <c r="F1478" s="54"/>
      <c r="G1478" s="54"/>
      <c r="H1478" s="54"/>
      <c r="I1478" s="66"/>
      <c r="J1478" s="54"/>
      <c r="K1478" s="54"/>
      <c r="L1478" s="54"/>
      <c r="M1478" s="97" t="str">
        <f t="shared" si="137"/>
        <v/>
      </c>
      <c r="N1478" s="70"/>
      <c r="O1478" s="71" t="str">
        <f t="shared" si="141"/>
        <v/>
      </c>
      <c r="P1478" s="66"/>
      <c r="Q1478" s="66"/>
      <c r="R1478" s="54"/>
      <c r="S1478" s="82"/>
      <c r="T1478" s="83" t="str">
        <f t="shared" si="138"/>
        <v/>
      </c>
      <c r="U1478" s="10"/>
      <c r="V1478" s="41">
        <f>IF(AND(Q1478&lt;&gt;"",RIGHT(Q1478,3)&lt;&gt;""),IF(COUNTIF($Q$6:Q1478,Q1478)=1,1,0),0)</f>
        <v>0</v>
      </c>
      <c r="W1478" s="41" t="str">
        <f t="shared" si="139"/>
        <v/>
      </c>
      <c r="X1478" s="41" t="str">
        <f t="shared" si="140"/>
        <v/>
      </c>
    </row>
    <row r="1479" s="32" customFormat="1" hidden="1" customHeight="1" spans="1:24">
      <c r="A1479" s="34"/>
      <c r="B1479" s="51"/>
      <c r="C1479" s="51"/>
      <c r="D1479" s="52"/>
      <c r="E1479" s="53"/>
      <c r="F1479" s="54"/>
      <c r="G1479" s="54"/>
      <c r="H1479" s="54"/>
      <c r="I1479" s="66"/>
      <c r="J1479" s="54"/>
      <c r="K1479" s="54"/>
      <c r="L1479" s="54"/>
      <c r="M1479" s="97" t="str">
        <f t="shared" si="137"/>
        <v/>
      </c>
      <c r="N1479" s="70"/>
      <c r="O1479" s="71" t="str">
        <f t="shared" si="141"/>
        <v/>
      </c>
      <c r="P1479" s="66"/>
      <c r="Q1479" s="66"/>
      <c r="R1479" s="54"/>
      <c r="S1479" s="82"/>
      <c r="T1479" s="83" t="str">
        <f t="shared" si="138"/>
        <v/>
      </c>
      <c r="U1479" s="10"/>
      <c r="V1479" s="41">
        <f>IF(AND(Q1479&lt;&gt;"",RIGHT(Q1479,3)&lt;&gt;""),IF(COUNTIF($Q$6:Q1479,Q1479)=1,1,0),0)</f>
        <v>0</v>
      </c>
      <c r="W1479" s="41" t="str">
        <f t="shared" si="139"/>
        <v/>
      </c>
      <c r="X1479" s="41" t="str">
        <f t="shared" si="140"/>
        <v/>
      </c>
    </row>
    <row r="1480" s="32" customFormat="1" hidden="1" customHeight="1" spans="1:24">
      <c r="A1480" s="34"/>
      <c r="B1480" s="51"/>
      <c r="C1480" s="51"/>
      <c r="D1480" s="52"/>
      <c r="E1480" s="53"/>
      <c r="F1480" s="54"/>
      <c r="G1480" s="54"/>
      <c r="H1480" s="54"/>
      <c r="I1480" s="66"/>
      <c r="J1480" s="54"/>
      <c r="K1480" s="54"/>
      <c r="L1480" s="54"/>
      <c r="M1480" s="97" t="str">
        <f t="shared" si="137"/>
        <v/>
      </c>
      <c r="N1480" s="70"/>
      <c r="O1480" s="71" t="str">
        <f t="shared" si="141"/>
        <v/>
      </c>
      <c r="P1480" s="66"/>
      <c r="Q1480" s="66"/>
      <c r="R1480" s="54"/>
      <c r="S1480" s="82"/>
      <c r="T1480" s="83" t="str">
        <f t="shared" si="138"/>
        <v/>
      </c>
      <c r="U1480" s="10"/>
      <c r="V1480" s="41">
        <f>IF(AND(Q1480&lt;&gt;"",RIGHT(Q1480,3)&lt;&gt;""),IF(COUNTIF($Q$6:Q1480,Q1480)=1,1,0),0)</f>
        <v>0</v>
      </c>
      <c r="W1480" s="41" t="str">
        <f t="shared" si="139"/>
        <v/>
      </c>
      <c r="X1480" s="41" t="str">
        <f t="shared" si="140"/>
        <v/>
      </c>
    </row>
    <row r="1481" s="32" customFormat="1" hidden="1" customHeight="1" spans="1:24">
      <c r="A1481" s="34"/>
      <c r="B1481" s="51"/>
      <c r="C1481" s="51"/>
      <c r="D1481" s="52"/>
      <c r="E1481" s="53"/>
      <c r="F1481" s="54"/>
      <c r="G1481" s="54"/>
      <c r="H1481" s="54"/>
      <c r="I1481" s="66"/>
      <c r="J1481" s="54"/>
      <c r="K1481" s="54"/>
      <c r="L1481" s="54"/>
      <c r="M1481" s="97" t="str">
        <f t="shared" si="137"/>
        <v/>
      </c>
      <c r="N1481" s="70"/>
      <c r="O1481" s="71" t="str">
        <f t="shared" si="141"/>
        <v/>
      </c>
      <c r="P1481" s="66"/>
      <c r="Q1481" s="66"/>
      <c r="R1481" s="54"/>
      <c r="S1481" s="82"/>
      <c r="T1481" s="83" t="str">
        <f t="shared" si="138"/>
        <v/>
      </c>
      <c r="U1481" s="10"/>
      <c r="V1481" s="41">
        <f>IF(AND(Q1481&lt;&gt;"",RIGHT(Q1481,3)&lt;&gt;""),IF(COUNTIF($Q$6:Q1481,Q1481)=1,1,0),0)</f>
        <v>0</v>
      </c>
      <c r="W1481" s="41" t="str">
        <f t="shared" si="139"/>
        <v/>
      </c>
      <c r="X1481" s="41" t="str">
        <f t="shared" si="140"/>
        <v/>
      </c>
    </row>
    <row r="1482" s="32" customFormat="1" hidden="1" customHeight="1" spans="1:24">
      <c r="A1482" s="34"/>
      <c r="B1482" s="51"/>
      <c r="C1482" s="51"/>
      <c r="D1482" s="52"/>
      <c r="E1482" s="53"/>
      <c r="F1482" s="54"/>
      <c r="G1482" s="54"/>
      <c r="H1482" s="54"/>
      <c r="I1482" s="66"/>
      <c r="J1482" s="54"/>
      <c r="K1482" s="54"/>
      <c r="L1482" s="54"/>
      <c r="M1482" s="97" t="str">
        <f t="shared" si="137"/>
        <v/>
      </c>
      <c r="N1482" s="70"/>
      <c r="O1482" s="71" t="str">
        <f t="shared" si="141"/>
        <v/>
      </c>
      <c r="P1482" s="66"/>
      <c r="Q1482" s="66"/>
      <c r="R1482" s="54"/>
      <c r="S1482" s="82"/>
      <c r="T1482" s="83" t="str">
        <f t="shared" si="138"/>
        <v/>
      </c>
      <c r="U1482" s="10"/>
      <c r="V1482" s="41">
        <f>IF(AND(Q1482&lt;&gt;"",RIGHT(Q1482,3)&lt;&gt;""),IF(COUNTIF($Q$6:Q1482,Q1482)=1,1,0),0)</f>
        <v>0</v>
      </c>
      <c r="W1482" s="41" t="str">
        <f t="shared" si="139"/>
        <v/>
      </c>
      <c r="X1482" s="41" t="str">
        <f t="shared" si="140"/>
        <v/>
      </c>
    </row>
    <row r="1483" s="32" customFormat="1" hidden="1" customHeight="1" spans="1:24">
      <c r="A1483" s="34"/>
      <c r="B1483" s="51"/>
      <c r="C1483" s="51"/>
      <c r="D1483" s="52"/>
      <c r="E1483" s="53"/>
      <c r="F1483" s="54"/>
      <c r="G1483" s="54"/>
      <c r="H1483" s="54"/>
      <c r="I1483" s="66"/>
      <c r="J1483" s="54"/>
      <c r="K1483" s="54"/>
      <c r="L1483" s="54"/>
      <c r="M1483" s="97" t="str">
        <f t="shared" si="137"/>
        <v/>
      </c>
      <c r="N1483" s="70"/>
      <c r="O1483" s="71" t="str">
        <f t="shared" si="141"/>
        <v/>
      </c>
      <c r="P1483" s="66"/>
      <c r="Q1483" s="66"/>
      <c r="R1483" s="54"/>
      <c r="S1483" s="82"/>
      <c r="T1483" s="83" t="str">
        <f t="shared" si="138"/>
        <v/>
      </c>
      <c r="U1483" s="10"/>
      <c r="V1483" s="41">
        <f>IF(AND(Q1483&lt;&gt;"",RIGHT(Q1483,3)&lt;&gt;""),IF(COUNTIF($Q$6:Q1483,Q1483)=1,1,0),0)</f>
        <v>0</v>
      </c>
      <c r="W1483" s="41" t="str">
        <f t="shared" si="139"/>
        <v/>
      </c>
      <c r="X1483" s="41" t="str">
        <f t="shared" si="140"/>
        <v/>
      </c>
    </row>
    <row r="1484" s="32" customFormat="1" hidden="1" customHeight="1" spans="1:24">
      <c r="A1484" s="34"/>
      <c r="B1484" s="51"/>
      <c r="C1484" s="51"/>
      <c r="D1484" s="52"/>
      <c r="E1484" s="53"/>
      <c r="F1484" s="54"/>
      <c r="G1484" s="54"/>
      <c r="H1484" s="54"/>
      <c r="I1484" s="66"/>
      <c r="J1484" s="54"/>
      <c r="K1484" s="54"/>
      <c r="L1484" s="54"/>
      <c r="M1484" s="97" t="str">
        <f t="shared" si="137"/>
        <v/>
      </c>
      <c r="N1484" s="70"/>
      <c r="O1484" s="71" t="str">
        <f t="shared" si="141"/>
        <v/>
      </c>
      <c r="P1484" s="66"/>
      <c r="Q1484" s="66"/>
      <c r="R1484" s="54"/>
      <c r="S1484" s="82"/>
      <c r="T1484" s="83" t="str">
        <f t="shared" si="138"/>
        <v/>
      </c>
      <c r="U1484" s="10"/>
      <c r="V1484" s="41">
        <f>IF(AND(Q1484&lt;&gt;"",RIGHT(Q1484,3)&lt;&gt;""),IF(COUNTIF($Q$6:Q1484,Q1484)=1,1,0),0)</f>
        <v>0</v>
      </c>
      <c r="W1484" s="41" t="str">
        <f t="shared" si="139"/>
        <v/>
      </c>
      <c r="X1484" s="41" t="str">
        <f t="shared" si="140"/>
        <v/>
      </c>
    </row>
    <row r="1485" s="32" customFormat="1" hidden="1" customHeight="1" spans="1:24">
      <c r="A1485" s="34"/>
      <c r="B1485" s="51"/>
      <c r="C1485" s="51"/>
      <c r="D1485" s="52"/>
      <c r="E1485" s="53"/>
      <c r="F1485" s="54"/>
      <c r="G1485" s="54"/>
      <c r="H1485" s="54"/>
      <c r="I1485" s="66"/>
      <c r="J1485" s="54"/>
      <c r="K1485" s="54"/>
      <c r="L1485" s="54"/>
      <c r="M1485" s="97" t="str">
        <f t="shared" si="137"/>
        <v/>
      </c>
      <c r="N1485" s="70"/>
      <c r="O1485" s="71" t="str">
        <f t="shared" si="141"/>
        <v/>
      </c>
      <c r="P1485" s="66"/>
      <c r="Q1485" s="66"/>
      <c r="R1485" s="54"/>
      <c r="S1485" s="82"/>
      <c r="T1485" s="83" t="str">
        <f t="shared" si="138"/>
        <v/>
      </c>
      <c r="U1485" s="10"/>
      <c r="V1485" s="41">
        <f>IF(AND(Q1485&lt;&gt;"",RIGHT(Q1485,3)&lt;&gt;""),IF(COUNTIF($Q$6:Q1485,Q1485)=1,1,0),0)</f>
        <v>0</v>
      </c>
      <c r="W1485" s="41" t="str">
        <f t="shared" si="139"/>
        <v/>
      </c>
      <c r="X1485" s="41" t="str">
        <f t="shared" si="140"/>
        <v/>
      </c>
    </row>
    <row r="1486" s="32" customFormat="1" hidden="1" customHeight="1" spans="1:24">
      <c r="A1486" s="34"/>
      <c r="B1486" s="51"/>
      <c r="C1486" s="51"/>
      <c r="D1486" s="52"/>
      <c r="E1486" s="53"/>
      <c r="F1486" s="54"/>
      <c r="G1486" s="54"/>
      <c r="H1486" s="54"/>
      <c r="I1486" s="66"/>
      <c r="J1486" s="54"/>
      <c r="K1486" s="54"/>
      <c r="L1486" s="54"/>
      <c r="M1486" s="97" t="str">
        <f t="shared" si="137"/>
        <v/>
      </c>
      <c r="N1486" s="70"/>
      <c r="O1486" s="71" t="str">
        <f t="shared" si="141"/>
        <v/>
      </c>
      <c r="P1486" s="66"/>
      <c r="Q1486" s="66"/>
      <c r="R1486" s="54"/>
      <c r="S1486" s="82"/>
      <c r="T1486" s="83" t="str">
        <f t="shared" si="138"/>
        <v/>
      </c>
      <c r="U1486" s="10"/>
      <c r="V1486" s="41">
        <f>IF(AND(Q1486&lt;&gt;"",RIGHT(Q1486,3)&lt;&gt;""),IF(COUNTIF($Q$6:Q1486,Q1486)=1,1,0),0)</f>
        <v>0</v>
      </c>
      <c r="W1486" s="41" t="str">
        <f t="shared" si="139"/>
        <v/>
      </c>
      <c r="X1486" s="41" t="str">
        <f t="shared" si="140"/>
        <v/>
      </c>
    </row>
    <row r="1487" s="32" customFormat="1" hidden="1" customHeight="1" spans="1:24">
      <c r="A1487" s="34"/>
      <c r="B1487" s="51"/>
      <c r="C1487" s="51"/>
      <c r="D1487" s="52"/>
      <c r="E1487" s="53"/>
      <c r="F1487" s="54"/>
      <c r="G1487" s="54"/>
      <c r="H1487" s="54"/>
      <c r="I1487" s="66"/>
      <c r="J1487" s="54"/>
      <c r="K1487" s="54"/>
      <c r="L1487" s="54"/>
      <c r="M1487" s="97" t="str">
        <f t="shared" si="137"/>
        <v/>
      </c>
      <c r="N1487" s="70"/>
      <c r="O1487" s="71" t="str">
        <f t="shared" si="141"/>
        <v/>
      </c>
      <c r="P1487" s="66"/>
      <c r="Q1487" s="66"/>
      <c r="R1487" s="54"/>
      <c r="S1487" s="82"/>
      <c r="T1487" s="83" t="str">
        <f t="shared" si="138"/>
        <v/>
      </c>
      <c r="U1487" s="10"/>
      <c r="V1487" s="41">
        <f>IF(AND(Q1487&lt;&gt;"",RIGHT(Q1487,3)&lt;&gt;""),IF(COUNTIF($Q$6:Q1487,Q1487)=1,1,0),0)</f>
        <v>0</v>
      </c>
      <c r="W1487" s="41" t="str">
        <f t="shared" si="139"/>
        <v/>
      </c>
      <c r="X1487" s="41" t="str">
        <f t="shared" si="140"/>
        <v/>
      </c>
    </row>
    <row r="1488" s="32" customFormat="1" hidden="1" customHeight="1" spans="1:24">
      <c r="A1488" s="34"/>
      <c r="B1488" s="51"/>
      <c r="C1488" s="51"/>
      <c r="D1488" s="52"/>
      <c r="E1488" s="53"/>
      <c r="F1488" s="54"/>
      <c r="G1488" s="54"/>
      <c r="H1488" s="54"/>
      <c r="I1488" s="66"/>
      <c r="J1488" s="54"/>
      <c r="K1488" s="54"/>
      <c r="L1488" s="54"/>
      <c r="M1488" s="97" t="str">
        <f t="shared" si="137"/>
        <v/>
      </c>
      <c r="N1488" s="70"/>
      <c r="O1488" s="71" t="str">
        <f t="shared" si="141"/>
        <v/>
      </c>
      <c r="P1488" s="66"/>
      <c r="Q1488" s="66"/>
      <c r="R1488" s="54"/>
      <c r="S1488" s="82"/>
      <c r="T1488" s="83" t="str">
        <f t="shared" si="138"/>
        <v/>
      </c>
      <c r="U1488" s="10"/>
      <c r="V1488" s="41">
        <f>IF(AND(Q1488&lt;&gt;"",RIGHT(Q1488,3)&lt;&gt;""),IF(COUNTIF($Q$6:Q1488,Q1488)=1,1,0),0)</f>
        <v>0</v>
      </c>
      <c r="W1488" s="41" t="str">
        <f t="shared" si="139"/>
        <v/>
      </c>
      <c r="X1488" s="41" t="str">
        <f t="shared" si="140"/>
        <v/>
      </c>
    </row>
    <row r="1489" s="32" customFormat="1" hidden="1" customHeight="1" spans="1:24">
      <c r="A1489" s="34"/>
      <c r="B1489" s="51"/>
      <c r="C1489" s="51"/>
      <c r="D1489" s="52"/>
      <c r="E1489" s="53"/>
      <c r="F1489" s="54"/>
      <c r="G1489" s="54"/>
      <c r="H1489" s="54"/>
      <c r="I1489" s="66"/>
      <c r="J1489" s="54"/>
      <c r="K1489" s="54"/>
      <c r="L1489" s="54"/>
      <c r="M1489" s="97" t="str">
        <f t="shared" si="137"/>
        <v/>
      </c>
      <c r="N1489" s="70"/>
      <c r="O1489" s="71" t="str">
        <f t="shared" si="141"/>
        <v/>
      </c>
      <c r="P1489" s="66"/>
      <c r="Q1489" s="66"/>
      <c r="R1489" s="54"/>
      <c r="S1489" s="82"/>
      <c r="T1489" s="83" t="str">
        <f t="shared" si="138"/>
        <v/>
      </c>
      <c r="U1489" s="10"/>
      <c r="V1489" s="41">
        <f>IF(AND(Q1489&lt;&gt;"",RIGHT(Q1489,3)&lt;&gt;""),IF(COUNTIF($Q$6:Q1489,Q1489)=1,1,0),0)</f>
        <v>0</v>
      </c>
      <c r="W1489" s="41" t="str">
        <f t="shared" si="139"/>
        <v/>
      </c>
      <c r="X1489" s="41" t="str">
        <f t="shared" si="140"/>
        <v/>
      </c>
    </row>
    <row r="1490" s="32" customFormat="1" hidden="1" customHeight="1" spans="1:24">
      <c r="A1490" s="34"/>
      <c r="B1490" s="51"/>
      <c r="C1490" s="51"/>
      <c r="D1490" s="52"/>
      <c r="E1490" s="53"/>
      <c r="F1490" s="54"/>
      <c r="G1490" s="54"/>
      <c r="H1490" s="54"/>
      <c r="I1490" s="66"/>
      <c r="J1490" s="54"/>
      <c r="K1490" s="54"/>
      <c r="L1490" s="54"/>
      <c r="M1490" s="97" t="str">
        <f t="shared" si="137"/>
        <v/>
      </c>
      <c r="N1490" s="70"/>
      <c r="O1490" s="71" t="str">
        <f t="shared" si="141"/>
        <v/>
      </c>
      <c r="P1490" s="66"/>
      <c r="Q1490" s="66"/>
      <c r="R1490" s="54"/>
      <c r="S1490" s="82"/>
      <c r="T1490" s="83" t="str">
        <f t="shared" si="138"/>
        <v/>
      </c>
      <c r="U1490" s="10"/>
      <c r="V1490" s="41">
        <f>IF(AND(Q1490&lt;&gt;"",RIGHT(Q1490,3)&lt;&gt;""),IF(COUNTIF($Q$6:Q1490,Q1490)=1,1,0),0)</f>
        <v>0</v>
      </c>
      <c r="W1490" s="41" t="str">
        <f t="shared" si="139"/>
        <v/>
      </c>
      <c r="X1490" s="41" t="str">
        <f t="shared" si="140"/>
        <v/>
      </c>
    </row>
    <row r="1491" s="32" customFormat="1" hidden="1" customHeight="1" spans="1:24">
      <c r="A1491" s="34"/>
      <c r="B1491" s="51"/>
      <c r="C1491" s="51"/>
      <c r="D1491" s="52"/>
      <c r="E1491" s="53"/>
      <c r="F1491" s="54"/>
      <c r="G1491" s="54"/>
      <c r="H1491" s="54"/>
      <c r="I1491" s="66"/>
      <c r="J1491" s="54"/>
      <c r="K1491" s="54"/>
      <c r="L1491" s="54"/>
      <c r="M1491" s="97" t="str">
        <f t="shared" si="137"/>
        <v/>
      </c>
      <c r="N1491" s="70"/>
      <c r="O1491" s="71" t="str">
        <f t="shared" si="141"/>
        <v/>
      </c>
      <c r="P1491" s="66"/>
      <c r="Q1491" s="66"/>
      <c r="R1491" s="54"/>
      <c r="S1491" s="82"/>
      <c r="T1491" s="83" t="str">
        <f t="shared" si="138"/>
        <v/>
      </c>
      <c r="U1491" s="10"/>
      <c r="V1491" s="41">
        <f>IF(AND(Q1491&lt;&gt;"",RIGHT(Q1491,3)&lt;&gt;""),IF(COUNTIF($Q$6:Q1491,Q1491)=1,1,0),0)</f>
        <v>0</v>
      </c>
      <c r="W1491" s="41" t="str">
        <f t="shared" si="139"/>
        <v/>
      </c>
      <c r="X1491" s="41" t="str">
        <f t="shared" si="140"/>
        <v/>
      </c>
    </row>
    <row r="1492" s="32" customFormat="1" hidden="1" customHeight="1" spans="1:24">
      <c r="A1492" s="34"/>
      <c r="B1492" s="51"/>
      <c r="C1492" s="51"/>
      <c r="D1492" s="52"/>
      <c r="E1492" s="53"/>
      <c r="F1492" s="54"/>
      <c r="G1492" s="54"/>
      <c r="H1492" s="54"/>
      <c r="I1492" s="66"/>
      <c r="J1492" s="54"/>
      <c r="K1492" s="54"/>
      <c r="L1492" s="54"/>
      <c r="M1492" s="97" t="str">
        <f t="shared" si="137"/>
        <v/>
      </c>
      <c r="N1492" s="70"/>
      <c r="O1492" s="71" t="str">
        <f t="shared" si="141"/>
        <v/>
      </c>
      <c r="P1492" s="66"/>
      <c r="Q1492" s="66"/>
      <c r="R1492" s="54"/>
      <c r="S1492" s="82"/>
      <c r="T1492" s="83" t="str">
        <f t="shared" si="138"/>
        <v/>
      </c>
      <c r="U1492" s="10"/>
      <c r="V1492" s="41">
        <f>IF(AND(Q1492&lt;&gt;"",RIGHT(Q1492,3)&lt;&gt;""),IF(COUNTIF($Q$6:Q1492,Q1492)=1,1,0),0)</f>
        <v>0</v>
      </c>
      <c r="W1492" s="41" t="str">
        <f t="shared" si="139"/>
        <v/>
      </c>
      <c r="X1492" s="41" t="str">
        <f t="shared" si="140"/>
        <v/>
      </c>
    </row>
    <row r="1493" s="32" customFormat="1" hidden="1" customHeight="1" spans="1:24">
      <c r="A1493" s="34"/>
      <c r="B1493" s="51"/>
      <c r="C1493" s="51"/>
      <c r="D1493" s="52"/>
      <c r="E1493" s="53"/>
      <c r="F1493" s="54"/>
      <c r="G1493" s="54"/>
      <c r="H1493" s="54"/>
      <c r="I1493" s="66"/>
      <c r="J1493" s="54"/>
      <c r="K1493" s="54"/>
      <c r="L1493" s="54"/>
      <c r="M1493" s="97" t="str">
        <f t="shared" si="137"/>
        <v/>
      </c>
      <c r="N1493" s="70"/>
      <c r="O1493" s="71" t="str">
        <f t="shared" si="141"/>
        <v/>
      </c>
      <c r="P1493" s="66"/>
      <c r="Q1493" s="66"/>
      <c r="R1493" s="54"/>
      <c r="S1493" s="82"/>
      <c r="T1493" s="83" t="str">
        <f t="shared" si="138"/>
        <v/>
      </c>
      <c r="U1493" s="10"/>
      <c r="V1493" s="41">
        <f>IF(AND(Q1493&lt;&gt;"",RIGHT(Q1493,3)&lt;&gt;""),IF(COUNTIF($Q$6:Q1493,Q1493)=1,1,0),0)</f>
        <v>0</v>
      </c>
      <c r="W1493" s="41" t="str">
        <f t="shared" si="139"/>
        <v/>
      </c>
      <c r="X1493" s="41" t="str">
        <f t="shared" si="140"/>
        <v/>
      </c>
    </row>
    <row r="1494" s="32" customFormat="1" hidden="1" customHeight="1" spans="1:24">
      <c r="A1494" s="34"/>
      <c r="B1494" s="51"/>
      <c r="C1494" s="51"/>
      <c r="D1494" s="52"/>
      <c r="E1494" s="53"/>
      <c r="F1494" s="54"/>
      <c r="G1494" s="54"/>
      <c r="H1494" s="54"/>
      <c r="I1494" s="66"/>
      <c r="J1494" s="54"/>
      <c r="K1494" s="54"/>
      <c r="L1494" s="54"/>
      <c r="M1494" s="97" t="str">
        <f t="shared" si="137"/>
        <v/>
      </c>
      <c r="N1494" s="70"/>
      <c r="O1494" s="71" t="str">
        <f t="shared" si="141"/>
        <v/>
      </c>
      <c r="P1494" s="66"/>
      <c r="Q1494" s="66"/>
      <c r="R1494" s="54"/>
      <c r="S1494" s="82"/>
      <c r="T1494" s="83" t="str">
        <f t="shared" si="138"/>
        <v/>
      </c>
      <c r="U1494" s="10"/>
      <c r="V1494" s="41">
        <f>IF(AND(Q1494&lt;&gt;"",RIGHT(Q1494,3)&lt;&gt;""),IF(COUNTIF($Q$6:Q1494,Q1494)=1,1,0),0)</f>
        <v>0</v>
      </c>
      <c r="W1494" s="41" t="str">
        <f t="shared" si="139"/>
        <v/>
      </c>
      <c r="X1494" s="41" t="str">
        <f t="shared" si="140"/>
        <v/>
      </c>
    </row>
    <row r="1495" s="32" customFormat="1" hidden="1" customHeight="1" spans="1:24">
      <c r="A1495" s="34"/>
      <c r="B1495" s="51"/>
      <c r="C1495" s="51"/>
      <c r="D1495" s="52"/>
      <c r="E1495" s="53"/>
      <c r="F1495" s="54"/>
      <c r="G1495" s="54"/>
      <c r="H1495" s="54"/>
      <c r="I1495" s="66"/>
      <c r="J1495" s="54"/>
      <c r="K1495" s="54"/>
      <c r="L1495" s="54"/>
      <c r="M1495" s="97" t="str">
        <f t="shared" si="137"/>
        <v/>
      </c>
      <c r="N1495" s="70"/>
      <c r="O1495" s="71" t="str">
        <f t="shared" si="141"/>
        <v/>
      </c>
      <c r="P1495" s="66"/>
      <c r="Q1495" s="66"/>
      <c r="R1495" s="54"/>
      <c r="S1495" s="82"/>
      <c r="T1495" s="83" t="str">
        <f t="shared" si="138"/>
        <v/>
      </c>
      <c r="U1495" s="10"/>
      <c r="V1495" s="41">
        <f>IF(AND(Q1495&lt;&gt;"",RIGHT(Q1495,3)&lt;&gt;""),IF(COUNTIF($Q$6:Q1495,Q1495)=1,1,0),0)</f>
        <v>0</v>
      </c>
      <c r="W1495" s="41" t="str">
        <f t="shared" si="139"/>
        <v/>
      </c>
      <c r="X1495" s="41" t="str">
        <f t="shared" si="140"/>
        <v/>
      </c>
    </row>
    <row r="1496" s="32" customFormat="1" hidden="1" customHeight="1" spans="1:24">
      <c r="A1496" s="34"/>
      <c r="B1496" s="51"/>
      <c r="C1496" s="51"/>
      <c r="D1496" s="52"/>
      <c r="E1496" s="53"/>
      <c r="F1496" s="54"/>
      <c r="G1496" s="54"/>
      <c r="H1496" s="54"/>
      <c r="I1496" s="66"/>
      <c r="J1496" s="54"/>
      <c r="K1496" s="54"/>
      <c r="L1496" s="54"/>
      <c r="M1496" s="97" t="str">
        <f t="shared" si="137"/>
        <v/>
      </c>
      <c r="N1496" s="70"/>
      <c r="O1496" s="71" t="str">
        <f t="shared" si="141"/>
        <v/>
      </c>
      <c r="P1496" s="66"/>
      <c r="Q1496" s="66"/>
      <c r="R1496" s="54"/>
      <c r="S1496" s="82"/>
      <c r="T1496" s="83" t="str">
        <f t="shared" si="138"/>
        <v/>
      </c>
      <c r="U1496" s="10"/>
      <c r="V1496" s="41">
        <f>IF(AND(Q1496&lt;&gt;"",RIGHT(Q1496,3)&lt;&gt;""),IF(COUNTIF($Q$6:Q1496,Q1496)=1,1,0),0)</f>
        <v>0</v>
      </c>
      <c r="W1496" s="41" t="str">
        <f t="shared" si="139"/>
        <v/>
      </c>
      <c r="X1496" s="41" t="str">
        <f t="shared" si="140"/>
        <v/>
      </c>
    </row>
    <row r="1497" s="32" customFormat="1" hidden="1" customHeight="1" spans="1:24">
      <c r="A1497" s="34"/>
      <c r="B1497" s="51"/>
      <c r="C1497" s="51"/>
      <c r="D1497" s="52"/>
      <c r="E1497" s="53"/>
      <c r="F1497" s="54"/>
      <c r="G1497" s="54"/>
      <c r="H1497" s="54"/>
      <c r="I1497" s="66"/>
      <c r="J1497" s="54"/>
      <c r="K1497" s="54"/>
      <c r="L1497" s="54"/>
      <c r="M1497" s="97" t="str">
        <f t="shared" si="137"/>
        <v/>
      </c>
      <c r="N1497" s="70"/>
      <c r="O1497" s="71" t="str">
        <f t="shared" si="141"/>
        <v/>
      </c>
      <c r="P1497" s="66"/>
      <c r="Q1497" s="66"/>
      <c r="R1497" s="54"/>
      <c r="S1497" s="82"/>
      <c r="T1497" s="83" t="str">
        <f t="shared" si="138"/>
        <v/>
      </c>
      <c r="U1497" s="10"/>
      <c r="V1497" s="41">
        <f>IF(AND(Q1497&lt;&gt;"",RIGHT(Q1497,3)&lt;&gt;""),IF(COUNTIF($Q$6:Q1497,Q1497)=1,1,0),0)</f>
        <v>0</v>
      </c>
      <c r="W1497" s="41" t="str">
        <f t="shared" si="139"/>
        <v/>
      </c>
      <c r="X1497" s="41" t="str">
        <f t="shared" si="140"/>
        <v/>
      </c>
    </row>
    <row r="1498" s="32" customFormat="1" hidden="1" customHeight="1" spans="1:24">
      <c r="A1498" s="34"/>
      <c r="B1498" s="51"/>
      <c r="C1498" s="51"/>
      <c r="D1498" s="52"/>
      <c r="E1498" s="53"/>
      <c r="F1498" s="54"/>
      <c r="G1498" s="54"/>
      <c r="H1498" s="54"/>
      <c r="I1498" s="66"/>
      <c r="J1498" s="54"/>
      <c r="K1498" s="54"/>
      <c r="L1498" s="54"/>
      <c r="M1498" s="97" t="str">
        <f t="shared" si="137"/>
        <v/>
      </c>
      <c r="N1498" s="70"/>
      <c r="O1498" s="71" t="str">
        <f t="shared" si="141"/>
        <v/>
      </c>
      <c r="P1498" s="66"/>
      <c r="Q1498" s="66"/>
      <c r="R1498" s="54"/>
      <c r="S1498" s="82"/>
      <c r="T1498" s="83" t="str">
        <f t="shared" si="138"/>
        <v/>
      </c>
      <c r="U1498" s="10"/>
      <c r="V1498" s="41">
        <f>IF(AND(Q1498&lt;&gt;"",RIGHT(Q1498,3)&lt;&gt;""),IF(COUNTIF($Q$6:Q1498,Q1498)=1,1,0),0)</f>
        <v>0</v>
      </c>
      <c r="W1498" s="41" t="str">
        <f t="shared" si="139"/>
        <v/>
      </c>
      <c r="X1498" s="41" t="str">
        <f t="shared" si="140"/>
        <v/>
      </c>
    </row>
    <row r="1499" s="32" customFormat="1" hidden="1" customHeight="1" spans="1:24">
      <c r="A1499" s="34"/>
      <c r="B1499" s="51"/>
      <c r="C1499" s="51"/>
      <c r="D1499" s="52"/>
      <c r="E1499" s="53"/>
      <c r="F1499" s="54"/>
      <c r="G1499" s="54"/>
      <c r="H1499" s="54"/>
      <c r="I1499" s="66"/>
      <c r="J1499" s="54"/>
      <c r="K1499" s="54"/>
      <c r="L1499" s="54"/>
      <c r="M1499" s="97" t="str">
        <f t="shared" si="137"/>
        <v/>
      </c>
      <c r="N1499" s="70"/>
      <c r="O1499" s="71" t="str">
        <f t="shared" si="141"/>
        <v/>
      </c>
      <c r="P1499" s="66"/>
      <c r="Q1499" s="66"/>
      <c r="R1499" s="54"/>
      <c r="S1499" s="82"/>
      <c r="T1499" s="83" t="str">
        <f t="shared" si="138"/>
        <v/>
      </c>
      <c r="U1499" s="10"/>
      <c r="V1499" s="41">
        <f>IF(AND(Q1499&lt;&gt;"",RIGHT(Q1499,3)&lt;&gt;""),IF(COUNTIF($Q$6:Q1499,Q1499)=1,1,0),0)</f>
        <v>0</v>
      </c>
      <c r="W1499" s="41" t="str">
        <f t="shared" si="139"/>
        <v/>
      </c>
      <c r="X1499" s="41" t="str">
        <f t="shared" si="140"/>
        <v/>
      </c>
    </row>
    <row r="1500" s="32" customFormat="1" hidden="1" customHeight="1" spans="1:24">
      <c r="A1500" s="34"/>
      <c r="B1500" s="51"/>
      <c r="C1500" s="51"/>
      <c r="D1500" s="52"/>
      <c r="E1500" s="53"/>
      <c r="F1500" s="54"/>
      <c r="G1500" s="54"/>
      <c r="H1500" s="54"/>
      <c r="I1500" s="66"/>
      <c r="J1500" s="54"/>
      <c r="K1500" s="54"/>
      <c r="L1500" s="54"/>
      <c r="M1500" s="97" t="str">
        <f t="shared" si="137"/>
        <v/>
      </c>
      <c r="N1500" s="70"/>
      <c r="O1500" s="71" t="str">
        <f t="shared" si="141"/>
        <v/>
      </c>
      <c r="P1500" s="66"/>
      <c r="Q1500" s="66"/>
      <c r="R1500" s="54"/>
      <c r="S1500" s="82"/>
      <c r="T1500" s="83" t="str">
        <f t="shared" si="138"/>
        <v/>
      </c>
      <c r="U1500" s="10"/>
      <c r="V1500" s="41">
        <f>IF(AND(Q1500&lt;&gt;"",RIGHT(Q1500,3)&lt;&gt;""),IF(COUNTIF($Q$6:Q1500,Q1500)=1,1,0),0)</f>
        <v>0</v>
      </c>
      <c r="W1500" s="41" t="str">
        <f t="shared" si="139"/>
        <v/>
      </c>
      <c r="X1500" s="41" t="str">
        <f t="shared" si="140"/>
        <v/>
      </c>
    </row>
    <row r="1501" s="32" customFormat="1" hidden="1" customHeight="1" spans="1:24">
      <c r="A1501" s="34"/>
      <c r="B1501" s="51"/>
      <c r="C1501" s="51"/>
      <c r="D1501" s="52"/>
      <c r="E1501" s="53"/>
      <c r="F1501" s="54"/>
      <c r="G1501" s="54"/>
      <c r="H1501" s="54"/>
      <c r="I1501" s="66"/>
      <c r="J1501" s="54"/>
      <c r="K1501" s="54"/>
      <c r="L1501" s="54"/>
      <c r="M1501" s="97" t="str">
        <f t="shared" si="137"/>
        <v/>
      </c>
      <c r="N1501" s="70"/>
      <c r="O1501" s="71" t="str">
        <f t="shared" si="141"/>
        <v/>
      </c>
      <c r="P1501" s="66"/>
      <c r="Q1501" s="66"/>
      <c r="R1501" s="54"/>
      <c r="S1501" s="82"/>
      <c r="T1501" s="83" t="str">
        <f t="shared" si="138"/>
        <v/>
      </c>
      <c r="U1501" s="10"/>
      <c r="V1501" s="41">
        <f>IF(AND(Q1501&lt;&gt;"",RIGHT(Q1501,3)&lt;&gt;""),IF(COUNTIF($Q$6:Q1501,Q1501)=1,1,0),0)</f>
        <v>0</v>
      </c>
      <c r="W1501" s="41" t="str">
        <f t="shared" si="139"/>
        <v/>
      </c>
      <c r="X1501" s="41" t="str">
        <f t="shared" si="140"/>
        <v/>
      </c>
    </row>
    <row r="1502" s="32" customFormat="1" hidden="1" customHeight="1" spans="1:24">
      <c r="A1502" s="34"/>
      <c r="B1502" s="51"/>
      <c r="C1502" s="51"/>
      <c r="D1502" s="52"/>
      <c r="E1502" s="53"/>
      <c r="F1502" s="54"/>
      <c r="G1502" s="54"/>
      <c r="H1502" s="54"/>
      <c r="I1502" s="66"/>
      <c r="J1502" s="54"/>
      <c r="K1502" s="54"/>
      <c r="L1502" s="54"/>
      <c r="M1502" s="97" t="str">
        <f t="shared" si="137"/>
        <v/>
      </c>
      <c r="N1502" s="70"/>
      <c r="O1502" s="71" t="str">
        <f t="shared" si="141"/>
        <v/>
      </c>
      <c r="P1502" s="66"/>
      <c r="Q1502" s="66"/>
      <c r="R1502" s="54"/>
      <c r="S1502" s="82"/>
      <c r="T1502" s="83" t="str">
        <f t="shared" si="138"/>
        <v/>
      </c>
      <c r="U1502" s="10"/>
      <c r="V1502" s="41">
        <f>IF(AND(Q1502&lt;&gt;"",RIGHT(Q1502,3)&lt;&gt;""),IF(COUNTIF($Q$6:Q1502,Q1502)=1,1,0),0)</f>
        <v>0</v>
      </c>
      <c r="W1502" s="41" t="str">
        <f t="shared" si="139"/>
        <v/>
      </c>
      <c r="X1502" s="41" t="str">
        <f t="shared" si="140"/>
        <v/>
      </c>
    </row>
    <row r="1503" s="32" customFormat="1" hidden="1" customHeight="1" spans="1:24">
      <c r="A1503" s="34"/>
      <c r="B1503" s="51"/>
      <c r="C1503" s="51"/>
      <c r="D1503" s="52"/>
      <c r="E1503" s="53"/>
      <c r="F1503" s="54"/>
      <c r="G1503" s="54"/>
      <c r="H1503" s="54"/>
      <c r="I1503" s="66"/>
      <c r="J1503" s="54"/>
      <c r="K1503" s="54"/>
      <c r="L1503" s="54"/>
      <c r="M1503" s="97" t="str">
        <f t="shared" si="137"/>
        <v/>
      </c>
      <c r="N1503" s="70"/>
      <c r="O1503" s="71" t="str">
        <f t="shared" si="141"/>
        <v/>
      </c>
      <c r="P1503" s="66"/>
      <c r="Q1503" s="66"/>
      <c r="R1503" s="54"/>
      <c r="S1503" s="82"/>
      <c r="T1503" s="83" t="str">
        <f t="shared" si="138"/>
        <v/>
      </c>
      <c r="U1503" s="10"/>
      <c r="V1503" s="41">
        <f>IF(AND(Q1503&lt;&gt;"",RIGHT(Q1503,3)&lt;&gt;""),IF(COUNTIF($Q$6:Q1503,Q1503)=1,1,0),0)</f>
        <v>0</v>
      </c>
      <c r="W1503" s="41" t="str">
        <f t="shared" si="139"/>
        <v/>
      </c>
      <c r="X1503" s="41" t="str">
        <f t="shared" si="140"/>
        <v/>
      </c>
    </row>
    <row r="1504" s="32" customFormat="1" hidden="1" customHeight="1" spans="1:24">
      <c r="A1504" s="34"/>
      <c r="B1504" s="51"/>
      <c r="C1504" s="51"/>
      <c r="D1504" s="52"/>
      <c r="E1504" s="53"/>
      <c r="F1504" s="54"/>
      <c r="G1504" s="54"/>
      <c r="H1504" s="54"/>
      <c r="I1504" s="66"/>
      <c r="J1504" s="54"/>
      <c r="K1504" s="54"/>
      <c r="L1504" s="54"/>
      <c r="M1504" s="97" t="str">
        <f t="shared" si="137"/>
        <v/>
      </c>
      <c r="N1504" s="70"/>
      <c r="O1504" s="71" t="str">
        <f t="shared" si="141"/>
        <v/>
      </c>
      <c r="P1504" s="66"/>
      <c r="Q1504" s="66"/>
      <c r="R1504" s="54"/>
      <c r="S1504" s="82"/>
      <c r="T1504" s="83" t="str">
        <f t="shared" si="138"/>
        <v/>
      </c>
      <c r="U1504" s="10"/>
      <c r="V1504" s="41">
        <f>IF(AND(Q1504&lt;&gt;"",RIGHT(Q1504,3)&lt;&gt;""),IF(COUNTIF($Q$6:Q1504,Q1504)=1,1,0),0)</f>
        <v>0</v>
      </c>
      <c r="W1504" s="41" t="str">
        <f t="shared" si="139"/>
        <v/>
      </c>
      <c r="X1504" s="41" t="str">
        <f t="shared" si="140"/>
        <v/>
      </c>
    </row>
    <row r="1505" s="32" customFormat="1" hidden="1" customHeight="1" spans="1:24">
      <c r="A1505" s="34"/>
      <c r="B1505" s="51"/>
      <c r="C1505" s="51"/>
      <c r="D1505" s="52"/>
      <c r="E1505" s="53"/>
      <c r="F1505" s="54"/>
      <c r="G1505" s="54"/>
      <c r="H1505" s="54"/>
      <c r="I1505" s="66"/>
      <c r="J1505" s="54"/>
      <c r="K1505" s="54"/>
      <c r="L1505" s="54"/>
      <c r="M1505" s="97" t="str">
        <f t="shared" si="137"/>
        <v/>
      </c>
      <c r="N1505" s="70"/>
      <c r="O1505" s="71" t="str">
        <f t="shared" si="141"/>
        <v/>
      </c>
      <c r="P1505" s="66"/>
      <c r="Q1505" s="66"/>
      <c r="R1505" s="54"/>
      <c r="S1505" s="82"/>
      <c r="T1505" s="83" t="str">
        <f t="shared" si="138"/>
        <v/>
      </c>
      <c r="U1505" s="10"/>
      <c r="V1505" s="41">
        <f>IF(AND(Q1505&lt;&gt;"",RIGHT(Q1505,3)&lt;&gt;""),IF(COUNTIF($Q$6:Q1505,Q1505)=1,1,0),0)</f>
        <v>0</v>
      </c>
      <c r="W1505" s="41" t="str">
        <f t="shared" si="139"/>
        <v/>
      </c>
      <c r="X1505" s="41" t="str">
        <f t="shared" si="140"/>
        <v/>
      </c>
    </row>
    <row r="1506" s="32" customFormat="1" hidden="1" customHeight="1" spans="1:24">
      <c r="A1506" s="34"/>
      <c r="B1506" s="51"/>
      <c r="C1506" s="51"/>
      <c r="D1506" s="52"/>
      <c r="E1506" s="53"/>
      <c r="F1506" s="54"/>
      <c r="G1506" s="54"/>
      <c r="H1506" s="54"/>
      <c r="I1506" s="66"/>
      <c r="J1506" s="54"/>
      <c r="K1506" s="54"/>
      <c r="L1506" s="54"/>
      <c r="M1506" s="97" t="str">
        <f t="shared" si="137"/>
        <v/>
      </c>
      <c r="N1506" s="70"/>
      <c r="O1506" s="71" t="str">
        <f t="shared" si="141"/>
        <v/>
      </c>
      <c r="P1506" s="66"/>
      <c r="Q1506" s="66"/>
      <c r="R1506" s="54"/>
      <c r="S1506" s="82"/>
      <c r="T1506" s="83" t="str">
        <f t="shared" si="138"/>
        <v/>
      </c>
      <c r="U1506" s="10"/>
      <c r="V1506" s="41">
        <f>IF(AND(Q1506&lt;&gt;"",RIGHT(Q1506,3)&lt;&gt;""),IF(COUNTIF($Q$6:Q1506,Q1506)=1,1,0),0)</f>
        <v>0</v>
      </c>
      <c r="W1506" s="41" t="str">
        <f t="shared" si="139"/>
        <v/>
      </c>
      <c r="X1506" s="41" t="str">
        <f t="shared" si="140"/>
        <v/>
      </c>
    </row>
    <row r="1507" s="32" customFormat="1" hidden="1" customHeight="1" spans="1:24">
      <c r="A1507" s="34"/>
      <c r="B1507" s="51"/>
      <c r="C1507" s="51"/>
      <c r="D1507" s="52"/>
      <c r="E1507" s="53"/>
      <c r="F1507" s="54"/>
      <c r="G1507" s="54"/>
      <c r="H1507" s="54"/>
      <c r="I1507" s="66"/>
      <c r="J1507" s="54"/>
      <c r="K1507" s="54"/>
      <c r="L1507" s="54"/>
      <c r="M1507" s="97" t="str">
        <f t="shared" si="137"/>
        <v/>
      </c>
      <c r="N1507" s="70"/>
      <c r="O1507" s="71" t="str">
        <f t="shared" si="141"/>
        <v/>
      </c>
      <c r="P1507" s="66"/>
      <c r="Q1507" s="66"/>
      <c r="R1507" s="54"/>
      <c r="S1507" s="82"/>
      <c r="T1507" s="83" t="str">
        <f t="shared" si="138"/>
        <v/>
      </c>
      <c r="U1507" s="10"/>
      <c r="V1507" s="41">
        <f>IF(AND(Q1507&lt;&gt;"",RIGHT(Q1507,3)&lt;&gt;""),IF(COUNTIF($Q$6:Q1507,Q1507)=1,1,0),0)</f>
        <v>0</v>
      </c>
      <c r="W1507" s="41" t="str">
        <f t="shared" si="139"/>
        <v/>
      </c>
      <c r="X1507" s="41" t="str">
        <f t="shared" si="140"/>
        <v/>
      </c>
    </row>
    <row r="1508" s="32" customFormat="1" hidden="1" customHeight="1" spans="1:24">
      <c r="A1508" s="34"/>
      <c r="B1508" s="51"/>
      <c r="C1508" s="51"/>
      <c r="D1508" s="52"/>
      <c r="E1508" s="53"/>
      <c r="F1508" s="54"/>
      <c r="G1508" s="54"/>
      <c r="H1508" s="54"/>
      <c r="I1508" s="66"/>
      <c r="J1508" s="54"/>
      <c r="K1508" s="54"/>
      <c r="L1508" s="54"/>
      <c r="M1508" s="97" t="str">
        <f t="shared" ref="M1508:M1571" si="142">IF(L1508="","",HYPERLINK(_xlfn.CONCAT($L$4,L1508,".jpg"),"Open File"))</f>
        <v/>
      </c>
      <c r="N1508" s="70"/>
      <c r="O1508" s="71" t="str">
        <f t="shared" si="141"/>
        <v/>
      </c>
      <c r="P1508" s="66"/>
      <c r="Q1508" s="66"/>
      <c r="R1508" s="54"/>
      <c r="S1508" s="82"/>
      <c r="T1508" s="83" t="str">
        <f t="shared" ref="T1508:T1571" si="143">IF(S1508="","",HYPERLINK(_xlfn.CONCAT($S$4,S1508,".jpg"),"Open File"))</f>
        <v/>
      </c>
      <c r="U1508" s="10"/>
      <c r="V1508" s="41">
        <f>IF(AND(Q1508&lt;&gt;"",RIGHT(Q1508,3)&lt;&gt;""),IF(COUNTIF($Q$6:Q1508,Q1508)=1,1,0),0)</f>
        <v>0</v>
      </c>
      <c r="W1508" s="41" t="str">
        <f t="shared" ref="W1508:W1571" si="144">IF(AND(J1508&lt;&gt;"",K1508&lt;&gt;""),_xlfn.CONCAT(SUBSTITUTE(J1508,"/","."),"-",K1508),"")</f>
        <v/>
      </c>
      <c r="X1508" s="41" t="str">
        <f t="shared" ref="X1508:X1571" si="145">IF(AND(Q1508&lt;&gt;"",R1508&lt;&gt;""),_xlfn.CONCAT(SUBSTITUTE(Q1508,"/","."),"-",R1508),"")</f>
        <v/>
      </c>
    </row>
    <row r="1509" s="32" customFormat="1" hidden="1" customHeight="1" spans="1:24">
      <c r="A1509" s="34"/>
      <c r="B1509" s="51"/>
      <c r="C1509" s="51"/>
      <c r="D1509" s="52"/>
      <c r="E1509" s="53"/>
      <c r="F1509" s="54"/>
      <c r="G1509" s="54"/>
      <c r="H1509" s="54"/>
      <c r="I1509" s="66"/>
      <c r="J1509" s="54"/>
      <c r="K1509" s="54"/>
      <c r="L1509" s="54"/>
      <c r="M1509" s="97" t="str">
        <f t="shared" si="142"/>
        <v/>
      </c>
      <c r="N1509" s="70"/>
      <c r="O1509" s="71" t="str">
        <f t="shared" si="141"/>
        <v/>
      </c>
      <c r="P1509" s="66"/>
      <c r="Q1509" s="66"/>
      <c r="R1509" s="54"/>
      <c r="S1509" s="82"/>
      <c r="T1509" s="83" t="str">
        <f t="shared" si="143"/>
        <v/>
      </c>
      <c r="U1509" s="10"/>
      <c r="V1509" s="41">
        <f>IF(AND(Q1509&lt;&gt;"",RIGHT(Q1509,3)&lt;&gt;""),IF(COUNTIF($Q$6:Q1509,Q1509)=1,1,0),0)</f>
        <v>0</v>
      </c>
      <c r="W1509" s="41" t="str">
        <f t="shared" si="144"/>
        <v/>
      </c>
      <c r="X1509" s="41" t="str">
        <f t="shared" si="145"/>
        <v/>
      </c>
    </row>
    <row r="1510" s="32" customFormat="1" hidden="1" customHeight="1" spans="1:24">
      <c r="A1510" s="34"/>
      <c r="B1510" s="51"/>
      <c r="C1510" s="51"/>
      <c r="D1510" s="52"/>
      <c r="E1510" s="53"/>
      <c r="F1510" s="54"/>
      <c r="G1510" s="54"/>
      <c r="H1510" s="54"/>
      <c r="I1510" s="66"/>
      <c r="J1510" s="54"/>
      <c r="K1510" s="54"/>
      <c r="L1510" s="54"/>
      <c r="M1510" s="97" t="str">
        <f t="shared" si="142"/>
        <v/>
      </c>
      <c r="N1510" s="70"/>
      <c r="O1510" s="71" t="str">
        <f t="shared" si="141"/>
        <v/>
      </c>
      <c r="P1510" s="66"/>
      <c r="Q1510" s="66"/>
      <c r="R1510" s="54"/>
      <c r="S1510" s="82"/>
      <c r="T1510" s="83" t="str">
        <f t="shared" si="143"/>
        <v/>
      </c>
      <c r="U1510" s="10"/>
      <c r="V1510" s="41">
        <f>IF(AND(Q1510&lt;&gt;"",RIGHT(Q1510,3)&lt;&gt;""),IF(COUNTIF($Q$6:Q1510,Q1510)=1,1,0),0)</f>
        <v>0</v>
      </c>
      <c r="W1510" s="41" t="str">
        <f t="shared" si="144"/>
        <v/>
      </c>
      <c r="X1510" s="41" t="str">
        <f t="shared" si="145"/>
        <v/>
      </c>
    </row>
    <row r="1511" s="32" customFormat="1" hidden="1" customHeight="1" spans="1:24">
      <c r="A1511" s="34"/>
      <c r="B1511" s="51"/>
      <c r="C1511" s="51"/>
      <c r="D1511" s="52"/>
      <c r="E1511" s="53"/>
      <c r="F1511" s="54"/>
      <c r="G1511" s="54"/>
      <c r="H1511" s="54"/>
      <c r="I1511" s="66"/>
      <c r="J1511" s="54"/>
      <c r="K1511" s="54"/>
      <c r="L1511" s="54"/>
      <c r="M1511" s="97" t="str">
        <f t="shared" si="142"/>
        <v/>
      </c>
      <c r="N1511" s="70"/>
      <c r="O1511" s="71" t="str">
        <f t="shared" si="141"/>
        <v/>
      </c>
      <c r="P1511" s="66"/>
      <c r="Q1511" s="66"/>
      <c r="R1511" s="54"/>
      <c r="S1511" s="82"/>
      <c r="T1511" s="83" t="str">
        <f t="shared" si="143"/>
        <v/>
      </c>
      <c r="U1511" s="10"/>
      <c r="V1511" s="41">
        <f>IF(AND(Q1511&lt;&gt;"",RIGHT(Q1511,3)&lt;&gt;""),IF(COUNTIF($Q$6:Q1511,Q1511)=1,1,0),0)</f>
        <v>0</v>
      </c>
      <c r="W1511" s="41" t="str">
        <f t="shared" si="144"/>
        <v/>
      </c>
      <c r="X1511" s="41" t="str">
        <f t="shared" si="145"/>
        <v/>
      </c>
    </row>
    <row r="1512" s="32" customFormat="1" hidden="1" customHeight="1" spans="1:24">
      <c r="A1512" s="34"/>
      <c r="B1512" s="51"/>
      <c r="C1512" s="51"/>
      <c r="D1512" s="52"/>
      <c r="E1512" s="53"/>
      <c r="F1512" s="54"/>
      <c r="G1512" s="54"/>
      <c r="H1512" s="54"/>
      <c r="I1512" s="66"/>
      <c r="J1512" s="54"/>
      <c r="K1512" s="54"/>
      <c r="L1512" s="54"/>
      <c r="M1512" s="97" t="str">
        <f t="shared" si="142"/>
        <v/>
      </c>
      <c r="N1512" s="70"/>
      <c r="O1512" s="71" t="str">
        <f t="shared" si="141"/>
        <v/>
      </c>
      <c r="P1512" s="66"/>
      <c r="Q1512" s="66"/>
      <c r="R1512" s="54"/>
      <c r="S1512" s="82"/>
      <c r="T1512" s="83" t="str">
        <f t="shared" si="143"/>
        <v/>
      </c>
      <c r="U1512" s="10"/>
      <c r="V1512" s="41">
        <f>IF(AND(Q1512&lt;&gt;"",RIGHT(Q1512,3)&lt;&gt;""),IF(COUNTIF($Q$6:Q1512,Q1512)=1,1,0),0)</f>
        <v>0</v>
      </c>
      <c r="W1512" s="41" t="str">
        <f t="shared" si="144"/>
        <v/>
      </c>
      <c r="X1512" s="41" t="str">
        <f t="shared" si="145"/>
        <v/>
      </c>
    </row>
    <row r="1513" s="32" customFormat="1" hidden="1" customHeight="1" spans="1:24">
      <c r="A1513" s="34"/>
      <c r="B1513" s="51"/>
      <c r="C1513" s="51"/>
      <c r="D1513" s="52"/>
      <c r="E1513" s="53"/>
      <c r="F1513" s="54"/>
      <c r="G1513" s="54"/>
      <c r="H1513" s="54"/>
      <c r="I1513" s="66"/>
      <c r="J1513" s="54"/>
      <c r="K1513" s="54"/>
      <c r="L1513" s="54"/>
      <c r="M1513" s="97" t="str">
        <f t="shared" si="142"/>
        <v/>
      </c>
      <c r="N1513" s="70"/>
      <c r="O1513" s="71" t="str">
        <f t="shared" si="141"/>
        <v/>
      </c>
      <c r="P1513" s="66"/>
      <c r="Q1513" s="66"/>
      <c r="R1513" s="54"/>
      <c r="S1513" s="82"/>
      <c r="T1513" s="83" t="str">
        <f t="shared" si="143"/>
        <v/>
      </c>
      <c r="U1513" s="10"/>
      <c r="V1513" s="41">
        <f>IF(AND(Q1513&lt;&gt;"",RIGHT(Q1513,3)&lt;&gt;""),IF(COUNTIF($Q$6:Q1513,Q1513)=1,1,0),0)</f>
        <v>0</v>
      </c>
      <c r="W1513" s="41" t="str">
        <f t="shared" si="144"/>
        <v/>
      </c>
      <c r="X1513" s="41" t="str">
        <f t="shared" si="145"/>
        <v/>
      </c>
    </row>
    <row r="1514" s="32" customFormat="1" hidden="1" customHeight="1" spans="1:24">
      <c r="A1514" s="34"/>
      <c r="B1514" s="51"/>
      <c r="C1514" s="51"/>
      <c r="D1514" s="52"/>
      <c r="E1514" s="53"/>
      <c r="F1514" s="54"/>
      <c r="G1514" s="54"/>
      <c r="H1514" s="54"/>
      <c r="I1514" s="66"/>
      <c r="J1514" s="54"/>
      <c r="K1514" s="54"/>
      <c r="L1514" s="54"/>
      <c r="M1514" s="97" t="str">
        <f t="shared" si="142"/>
        <v/>
      </c>
      <c r="N1514" s="70"/>
      <c r="O1514" s="71" t="str">
        <f t="shared" si="141"/>
        <v/>
      </c>
      <c r="P1514" s="66"/>
      <c r="Q1514" s="66"/>
      <c r="R1514" s="54"/>
      <c r="S1514" s="82"/>
      <c r="T1514" s="83" t="str">
        <f t="shared" si="143"/>
        <v/>
      </c>
      <c r="U1514" s="10"/>
      <c r="V1514" s="41">
        <f>IF(AND(Q1514&lt;&gt;"",RIGHT(Q1514,3)&lt;&gt;""),IF(COUNTIF($Q$6:Q1514,Q1514)=1,1,0),0)</f>
        <v>0</v>
      </c>
      <c r="W1514" s="41" t="str">
        <f t="shared" si="144"/>
        <v/>
      </c>
      <c r="X1514" s="41" t="str">
        <f t="shared" si="145"/>
        <v/>
      </c>
    </row>
    <row r="1515" s="32" customFormat="1" hidden="1" customHeight="1" spans="1:24">
      <c r="A1515" s="34"/>
      <c r="B1515" s="51"/>
      <c r="C1515" s="51"/>
      <c r="D1515" s="52"/>
      <c r="E1515" s="53"/>
      <c r="F1515" s="54"/>
      <c r="G1515" s="54"/>
      <c r="H1515" s="54"/>
      <c r="I1515" s="66"/>
      <c r="J1515" s="54"/>
      <c r="K1515" s="54"/>
      <c r="L1515" s="54"/>
      <c r="M1515" s="97" t="str">
        <f t="shared" si="142"/>
        <v/>
      </c>
      <c r="N1515" s="70"/>
      <c r="O1515" s="71" t="str">
        <f t="shared" si="141"/>
        <v/>
      </c>
      <c r="P1515" s="66"/>
      <c r="Q1515" s="66"/>
      <c r="R1515" s="54"/>
      <c r="S1515" s="82"/>
      <c r="T1515" s="83" t="str">
        <f t="shared" si="143"/>
        <v/>
      </c>
      <c r="U1515" s="10"/>
      <c r="V1515" s="41">
        <f>IF(AND(Q1515&lt;&gt;"",RIGHT(Q1515,3)&lt;&gt;""),IF(COUNTIF($Q$6:Q1515,Q1515)=1,1,0),0)</f>
        <v>0</v>
      </c>
      <c r="W1515" s="41" t="str">
        <f t="shared" si="144"/>
        <v/>
      </c>
      <c r="X1515" s="41" t="str">
        <f t="shared" si="145"/>
        <v/>
      </c>
    </row>
    <row r="1516" s="32" customFormat="1" hidden="1" customHeight="1" spans="1:24">
      <c r="A1516" s="34"/>
      <c r="B1516" s="51"/>
      <c r="C1516" s="51"/>
      <c r="D1516" s="52"/>
      <c r="E1516" s="53"/>
      <c r="F1516" s="54"/>
      <c r="G1516" s="54"/>
      <c r="H1516" s="54"/>
      <c r="I1516" s="66"/>
      <c r="J1516" s="54"/>
      <c r="K1516" s="54"/>
      <c r="L1516" s="54"/>
      <c r="M1516" s="97" t="str">
        <f t="shared" si="142"/>
        <v/>
      </c>
      <c r="N1516" s="70"/>
      <c r="O1516" s="71" t="str">
        <f t="shared" si="141"/>
        <v/>
      </c>
      <c r="P1516" s="66"/>
      <c r="Q1516" s="66"/>
      <c r="R1516" s="54"/>
      <c r="S1516" s="82"/>
      <c r="T1516" s="83" t="str">
        <f t="shared" si="143"/>
        <v/>
      </c>
      <c r="U1516" s="10"/>
      <c r="V1516" s="41">
        <f>IF(AND(Q1516&lt;&gt;"",RIGHT(Q1516,3)&lt;&gt;""),IF(COUNTIF($Q$6:Q1516,Q1516)=1,1,0),0)</f>
        <v>0</v>
      </c>
      <c r="W1516" s="41" t="str">
        <f t="shared" si="144"/>
        <v/>
      </c>
      <c r="X1516" s="41" t="str">
        <f t="shared" si="145"/>
        <v/>
      </c>
    </row>
    <row r="1517" s="32" customFormat="1" hidden="1" customHeight="1" spans="1:24">
      <c r="A1517" s="34"/>
      <c r="B1517" s="51"/>
      <c r="C1517" s="51"/>
      <c r="D1517" s="52"/>
      <c r="E1517" s="53"/>
      <c r="F1517" s="54"/>
      <c r="G1517" s="54"/>
      <c r="H1517" s="54"/>
      <c r="I1517" s="66"/>
      <c r="J1517" s="54"/>
      <c r="K1517" s="54"/>
      <c r="L1517" s="54"/>
      <c r="M1517" s="97" t="str">
        <f t="shared" si="142"/>
        <v/>
      </c>
      <c r="N1517" s="70"/>
      <c r="O1517" s="71" t="str">
        <f t="shared" si="141"/>
        <v/>
      </c>
      <c r="P1517" s="66"/>
      <c r="Q1517" s="66"/>
      <c r="R1517" s="54"/>
      <c r="S1517" s="82"/>
      <c r="T1517" s="83" t="str">
        <f t="shared" si="143"/>
        <v/>
      </c>
      <c r="U1517" s="10"/>
      <c r="V1517" s="41">
        <f>IF(AND(Q1517&lt;&gt;"",RIGHT(Q1517,3)&lt;&gt;""),IF(COUNTIF($Q$6:Q1517,Q1517)=1,1,0),0)</f>
        <v>0</v>
      </c>
      <c r="W1517" s="41" t="str">
        <f t="shared" si="144"/>
        <v/>
      </c>
      <c r="X1517" s="41" t="str">
        <f t="shared" si="145"/>
        <v/>
      </c>
    </row>
    <row r="1518" s="32" customFormat="1" hidden="1" customHeight="1" spans="1:24">
      <c r="A1518" s="34"/>
      <c r="B1518" s="51"/>
      <c r="C1518" s="51"/>
      <c r="D1518" s="52"/>
      <c r="E1518" s="53"/>
      <c r="F1518" s="54"/>
      <c r="G1518" s="54"/>
      <c r="H1518" s="54"/>
      <c r="I1518" s="66"/>
      <c r="J1518" s="54"/>
      <c r="K1518" s="54"/>
      <c r="L1518" s="54"/>
      <c r="M1518" s="97" t="str">
        <f t="shared" si="142"/>
        <v/>
      </c>
      <c r="N1518" s="70"/>
      <c r="O1518" s="71" t="str">
        <f t="shared" si="141"/>
        <v/>
      </c>
      <c r="P1518" s="66"/>
      <c r="Q1518" s="66"/>
      <c r="R1518" s="54"/>
      <c r="S1518" s="82"/>
      <c r="T1518" s="83" t="str">
        <f t="shared" si="143"/>
        <v/>
      </c>
      <c r="U1518" s="10"/>
      <c r="V1518" s="41">
        <f>IF(AND(Q1518&lt;&gt;"",RIGHT(Q1518,3)&lt;&gt;""),IF(COUNTIF($Q$6:Q1518,Q1518)=1,1,0),0)</f>
        <v>0</v>
      </c>
      <c r="W1518" s="41" t="str">
        <f t="shared" si="144"/>
        <v/>
      </c>
      <c r="X1518" s="41" t="str">
        <f t="shared" si="145"/>
        <v/>
      </c>
    </row>
    <row r="1519" s="32" customFormat="1" hidden="1" customHeight="1" spans="1:24">
      <c r="A1519" s="34"/>
      <c r="B1519" s="51"/>
      <c r="C1519" s="51"/>
      <c r="D1519" s="52"/>
      <c r="E1519" s="53"/>
      <c r="F1519" s="54"/>
      <c r="G1519" s="54"/>
      <c r="H1519" s="54"/>
      <c r="I1519" s="66"/>
      <c r="J1519" s="54"/>
      <c r="K1519" s="54"/>
      <c r="L1519" s="54"/>
      <c r="M1519" s="97" t="str">
        <f t="shared" si="142"/>
        <v/>
      </c>
      <c r="N1519" s="70"/>
      <c r="O1519" s="71" t="str">
        <f t="shared" si="141"/>
        <v/>
      </c>
      <c r="P1519" s="66"/>
      <c r="Q1519" s="66"/>
      <c r="R1519" s="54"/>
      <c r="S1519" s="82"/>
      <c r="T1519" s="83" t="str">
        <f t="shared" si="143"/>
        <v/>
      </c>
      <c r="U1519" s="10"/>
      <c r="V1519" s="41">
        <f>IF(AND(Q1519&lt;&gt;"",RIGHT(Q1519,3)&lt;&gt;""),IF(COUNTIF($Q$6:Q1519,Q1519)=1,1,0),0)</f>
        <v>0</v>
      </c>
      <c r="W1519" s="41" t="str">
        <f t="shared" si="144"/>
        <v/>
      </c>
      <c r="X1519" s="41" t="str">
        <f t="shared" si="145"/>
        <v/>
      </c>
    </row>
    <row r="1520" s="32" customFormat="1" hidden="1" customHeight="1" spans="1:24">
      <c r="A1520" s="34"/>
      <c r="B1520" s="51"/>
      <c r="C1520" s="51"/>
      <c r="D1520" s="52"/>
      <c r="E1520" s="53"/>
      <c r="F1520" s="54"/>
      <c r="G1520" s="54"/>
      <c r="H1520" s="54"/>
      <c r="I1520" s="66"/>
      <c r="J1520" s="54"/>
      <c r="K1520" s="54"/>
      <c r="L1520" s="54"/>
      <c r="M1520" s="97" t="str">
        <f t="shared" si="142"/>
        <v/>
      </c>
      <c r="N1520" s="70"/>
      <c r="O1520" s="71" t="str">
        <f t="shared" si="141"/>
        <v/>
      </c>
      <c r="P1520" s="66"/>
      <c r="Q1520" s="66"/>
      <c r="R1520" s="54"/>
      <c r="S1520" s="82"/>
      <c r="T1520" s="83" t="str">
        <f t="shared" si="143"/>
        <v/>
      </c>
      <c r="U1520" s="10"/>
      <c r="V1520" s="41">
        <f>IF(AND(Q1520&lt;&gt;"",RIGHT(Q1520,3)&lt;&gt;""),IF(COUNTIF($Q$6:Q1520,Q1520)=1,1,0),0)</f>
        <v>0</v>
      </c>
      <c r="W1520" s="41" t="str">
        <f t="shared" si="144"/>
        <v/>
      </c>
      <c r="X1520" s="41" t="str">
        <f t="shared" si="145"/>
        <v/>
      </c>
    </row>
    <row r="1521" s="32" customFormat="1" hidden="1" customHeight="1" spans="1:24">
      <c r="A1521" s="34"/>
      <c r="B1521" s="51"/>
      <c r="C1521" s="51"/>
      <c r="D1521" s="52"/>
      <c r="E1521" s="53"/>
      <c r="F1521" s="54"/>
      <c r="G1521" s="54"/>
      <c r="H1521" s="54"/>
      <c r="I1521" s="66"/>
      <c r="J1521" s="54"/>
      <c r="K1521" s="54"/>
      <c r="L1521" s="54"/>
      <c r="M1521" s="97" t="str">
        <f t="shared" si="142"/>
        <v/>
      </c>
      <c r="N1521" s="70"/>
      <c r="O1521" s="71" t="str">
        <f t="shared" ref="O1521:O1584" si="146">IF(AND(Q1521&lt;&gt;"",T1521&lt;&gt;""),"PASSIVE",IF(AND(J1521&lt;&gt;"",M1521&lt;&gt;""),"ACTIVE",""))</f>
        <v/>
      </c>
      <c r="P1521" s="66"/>
      <c r="Q1521" s="66"/>
      <c r="R1521" s="54"/>
      <c r="S1521" s="82"/>
      <c r="T1521" s="83" t="str">
        <f t="shared" si="143"/>
        <v/>
      </c>
      <c r="U1521" s="10"/>
      <c r="V1521" s="41">
        <f>IF(AND(Q1521&lt;&gt;"",RIGHT(Q1521,3)&lt;&gt;""),IF(COUNTIF($Q$6:Q1521,Q1521)=1,1,0),0)</f>
        <v>0</v>
      </c>
      <c r="W1521" s="41" t="str">
        <f t="shared" si="144"/>
        <v/>
      </c>
      <c r="X1521" s="41" t="str">
        <f t="shared" si="145"/>
        <v/>
      </c>
    </row>
    <row r="1522" s="32" customFormat="1" hidden="1" customHeight="1" spans="1:24">
      <c r="A1522" s="34"/>
      <c r="B1522" s="51"/>
      <c r="C1522" s="51"/>
      <c r="D1522" s="52"/>
      <c r="E1522" s="53"/>
      <c r="F1522" s="54"/>
      <c r="G1522" s="54"/>
      <c r="H1522" s="54"/>
      <c r="I1522" s="66"/>
      <c r="J1522" s="54"/>
      <c r="K1522" s="54"/>
      <c r="L1522" s="54"/>
      <c r="M1522" s="97" t="str">
        <f t="shared" si="142"/>
        <v/>
      </c>
      <c r="N1522" s="70"/>
      <c r="O1522" s="71" t="str">
        <f t="shared" si="146"/>
        <v/>
      </c>
      <c r="P1522" s="66"/>
      <c r="Q1522" s="66"/>
      <c r="R1522" s="54"/>
      <c r="S1522" s="82"/>
      <c r="T1522" s="83" t="str">
        <f t="shared" si="143"/>
        <v/>
      </c>
      <c r="U1522" s="10"/>
      <c r="V1522" s="41">
        <f>IF(AND(Q1522&lt;&gt;"",RIGHT(Q1522,3)&lt;&gt;""),IF(COUNTIF($Q$6:Q1522,Q1522)=1,1,0),0)</f>
        <v>0</v>
      </c>
      <c r="W1522" s="41" t="str">
        <f t="shared" si="144"/>
        <v/>
      </c>
      <c r="X1522" s="41" t="str">
        <f t="shared" si="145"/>
        <v/>
      </c>
    </row>
    <row r="1523" s="32" customFormat="1" hidden="1" customHeight="1" spans="1:24">
      <c r="A1523" s="34"/>
      <c r="B1523" s="51"/>
      <c r="C1523" s="51"/>
      <c r="D1523" s="52"/>
      <c r="E1523" s="53"/>
      <c r="F1523" s="54"/>
      <c r="G1523" s="54"/>
      <c r="H1523" s="54"/>
      <c r="I1523" s="66"/>
      <c r="J1523" s="54"/>
      <c r="K1523" s="54"/>
      <c r="L1523" s="54"/>
      <c r="M1523" s="97" t="str">
        <f t="shared" si="142"/>
        <v/>
      </c>
      <c r="N1523" s="70"/>
      <c r="O1523" s="71" t="str">
        <f t="shared" si="146"/>
        <v/>
      </c>
      <c r="P1523" s="66"/>
      <c r="Q1523" s="66"/>
      <c r="R1523" s="54"/>
      <c r="S1523" s="82"/>
      <c r="T1523" s="83" t="str">
        <f t="shared" si="143"/>
        <v/>
      </c>
      <c r="U1523" s="10"/>
      <c r="V1523" s="41">
        <f>IF(AND(Q1523&lt;&gt;"",RIGHT(Q1523,3)&lt;&gt;""),IF(COUNTIF($Q$6:Q1523,Q1523)=1,1,0),0)</f>
        <v>0</v>
      </c>
      <c r="W1523" s="41" t="str">
        <f t="shared" si="144"/>
        <v/>
      </c>
      <c r="X1523" s="41" t="str">
        <f t="shared" si="145"/>
        <v/>
      </c>
    </row>
    <row r="1524" s="32" customFormat="1" hidden="1" customHeight="1" spans="1:24">
      <c r="A1524" s="34"/>
      <c r="B1524" s="51"/>
      <c r="C1524" s="51"/>
      <c r="D1524" s="52"/>
      <c r="E1524" s="53"/>
      <c r="F1524" s="54"/>
      <c r="G1524" s="54"/>
      <c r="H1524" s="54"/>
      <c r="I1524" s="66"/>
      <c r="J1524" s="54"/>
      <c r="K1524" s="54"/>
      <c r="L1524" s="54"/>
      <c r="M1524" s="97" t="str">
        <f t="shared" si="142"/>
        <v/>
      </c>
      <c r="N1524" s="70"/>
      <c r="O1524" s="71" t="str">
        <f t="shared" si="146"/>
        <v/>
      </c>
      <c r="P1524" s="66"/>
      <c r="Q1524" s="66"/>
      <c r="R1524" s="54"/>
      <c r="S1524" s="82"/>
      <c r="T1524" s="83" t="str">
        <f t="shared" si="143"/>
        <v/>
      </c>
      <c r="U1524" s="10"/>
      <c r="V1524" s="41">
        <f>IF(AND(Q1524&lt;&gt;"",RIGHT(Q1524,3)&lt;&gt;""),IF(COUNTIF($Q$6:Q1524,Q1524)=1,1,0),0)</f>
        <v>0</v>
      </c>
      <c r="W1524" s="41" t="str">
        <f t="shared" si="144"/>
        <v/>
      </c>
      <c r="X1524" s="41" t="str">
        <f t="shared" si="145"/>
        <v/>
      </c>
    </row>
    <row r="1525" s="32" customFormat="1" hidden="1" customHeight="1" spans="1:24">
      <c r="A1525" s="34"/>
      <c r="B1525" s="51"/>
      <c r="C1525" s="51"/>
      <c r="D1525" s="52"/>
      <c r="E1525" s="53"/>
      <c r="F1525" s="54"/>
      <c r="G1525" s="54"/>
      <c r="H1525" s="54"/>
      <c r="I1525" s="66"/>
      <c r="J1525" s="54"/>
      <c r="K1525" s="54"/>
      <c r="L1525" s="54"/>
      <c r="M1525" s="97" t="str">
        <f t="shared" si="142"/>
        <v/>
      </c>
      <c r="N1525" s="70"/>
      <c r="O1525" s="71" t="str">
        <f t="shared" si="146"/>
        <v/>
      </c>
      <c r="P1525" s="66"/>
      <c r="Q1525" s="66"/>
      <c r="R1525" s="54"/>
      <c r="S1525" s="82"/>
      <c r="T1525" s="83" t="str">
        <f t="shared" si="143"/>
        <v/>
      </c>
      <c r="U1525" s="10"/>
      <c r="V1525" s="41">
        <f>IF(AND(Q1525&lt;&gt;"",RIGHT(Q1525,3)&lt;&gt;""),IF(COUNTIF($Q$6:Q1525,Q1525)=1,1,0),0)</f>
        <v>0</v>
      </c>
      <c r="W1525" s="41" t="str">
        <f t="shared" si="144"/>
        <v/>
      </c>
      <c r="X1525" s="41" t="str">
        <f t="shared" si="145"/>
        <v/>
      </c>
    </row>
    <row r="1526" s="32" customFormat="1" hidden="1" customHeight="1" spans="1:24">
      <c r="A1526" s="34"/>
      <c r="B1526" s="51"/>
      <c r="C1526" s="51"/>
      <c r="D1526" s="52"/>
      <c r="E1526" s="53"/>
      <c r="F1526" s="54"/>
      <c r="G1526" s="54"/>
      <c r="H1526" s="54"/>
      <c r="I1526" s="66"/>
      <c r="J1526" s="54"/>
      <c r="K1526" s="54"/>
      <c r="L1526" s="54"/>
      <c r="M1526" s="97" t="str">
        <f t="shared" si="142"/>
        <v/>
      </c>
      <c r="N1526" s="70"/>
      <c r="O1526" s="71" t="str">
        <f t="shared" si="146"/>
        <v/>
      </c>
      <c r="P1526" s="66"/>
      <c r="Q1526" s="66"/>
      <c r="R1526" s="54"/>
      <c r="S1526" s="82"/>
      <c r="T1526" s="83" t="str">
        <f t="shared" si="143"/>
        <v/>
      </c>
      <c r="U1526" s="10"/>
      <c r="V1526" s="41">
        <f>IF(AND(Q1526&lt;&gt;"",RIGHT(Q1526,3)&lt;&gt;""),IF(COUNTIF($Q$6:Q1526,Q1526)=1,1,0),0)</f>
        <v>0</v>
      </c>
      <c r="W1526" s="41" t="str">
        <f t="shared" si="144"/>
        <v/>
      </c>
      <c r="X1526" s="41" t="str">
        <f t="shared" si="145"/>
        <v/>
      </c>
    </row>
    <row r="1527" s="32" customFormat="1" hidden="1" customHeight="1" spans="1:24">
      <c r="A1527" s="34"/>
      <c r="B1527" s="51"/>
      <c r="C1527" s="51"/>
      <c r="D1527" s="52"/>
      <c r="E1527" s="53"/>
      <c r="F1527" s="54"/>
      <c r="G1527" s="54"/>
      <c r="H1527" s="54"/>
      <c r="I1527" s="66"/>
      <c r="J1527" s="54"/>
      <c r="K1527" s="54"/>
      <c r="L1527" s="54"/>
      <c r="M1527" s="97" t="str">
        <f t="shared" si="142"/>
        <v/>
      </c>
      <c r="N1527" s="70"/>
      <c r="O1527" s="71" t="str">
        <f t="shared" si="146"/>
        <v/>
      </c>
      <c r="P1527" s="66"/>
      <c r="Q1527" s="66"/>
      <c r="R1527" s="54"/>
      <c r="S1527" s="82"/>
      <c r="T1527" s="83" t="str">
        <f t="shared" si="143"/>
        <v/>
      </c>
      <c r="U1527" s="10"/>
      <c r="V1527" s="41">
        <f>IF(AND(Q1527&lt;&gt;"",RIGHT(Q1527,3)&lt;&gt;""),IF(COUNTIF($Q$6:Q1527,Q1527)=1,1,0),0)</f>
        <v>0</v>
      </c>
      <c r="W1527" s="41" t="str">
        <f t="shared" si="144"/>
        <v/>
      </c>
      <c r="X1527" s="41" t="str">
        <f t="shared" si="145"/>
        <v/>
      </c>
    </row>
    <row r="1528" s="32" customFormat="1" hidden="1" customHeight="1" spans="1:24">
      <c r="A1528" s="34"/>
      <c r="B1528" s="51"/>
      <c r="C1528" s="51"/>
      <c r="D1528" s="52"/>
      <c r="E1528" s="53"/>
      <c r="F1528" s="54"/>
      <c r="G1528" s="54"/>
      <c r="H1528" s="54"/>
      <c r="I1528" s="66"/>
      <c r="J1528" s="54"/>
      <c r="K1528" s="54"/>
      <c r="L1528" s="54"/>
      <c r="M1528" s="97" t="str">
        <f t="shared" si="142"/>
        <v/>
      </c>
      <c r="N1528" s="70"/>
      <c r="O1528" s="71" t="str">
        <f t="shared" si="146"/>
        <v/>
      </c>
      <c r="P1528" s="66"/>
      <c r="Q1528" s="66"/>
      <c r="R1528" s="54"/>
      <c r="S1528" s="82"/>
      <c r="T1528" s="83" t="str">
        <f t="shared" si="143"/>
        <v/>
      </c>
      <c r="U1528" s="10"/>
      <c r="V1528" s="41">
        <f>IF(AND(Q1528&lt;&gt;"",RIGHT(Q1528,3)&lt;&gt;""),IF(COUNTIF($Q$6:Q1528,Q1528)=1,1,0),0)</f>
        <v>0</v>
      </c>
      <c r="W1528" s="41" t="str">
        <f t="shared" si="144"/>
        <v/>
      </c>
      <c r="X1528" s="41" t="str">
        <f t="shared" si="145"/>
        <v/>
      </c>
    </row>
    <row r="1529" s="32" customFormat="1" hidden="1" customHeight="1" spans="1:24">
      <c r="A1529" s="34"/>
      <c r="B1529" s="51"/>
      <c r="C1529" s="51"/>
      <c r="D1529" s="52"/>
      <c r="E1529" s="53"/>
      <c r="F1529" s="54"/>
      <c r="G1529" s="54"/>
      <c r="H1529" s="54"/>
      <c r="I1529" s="66"/>
      <c r="J1529" s="54"/>
      <c r="K1529" s="54"/>
      <c r="L1529" s="54"/>
      <c r="M1529" s="97" t="str">
        <f t="shared" si="142"/>
        <v/>
      </c>
      <c r="N1529" s="70"/>
      <c r="O1529" s="71" t="str">
        <f t="shared" si="146"/>
        <v/>
      </c>
      <c r="P1529" s="66"/>
      <c r="Q1529" s="66"/>
      <c r="R1529" s="54"/>
      <c r="S1529" s="82"/>
      <c r="T1529" s="83" t="str">
        <f t="shared" si="143"/>
        <v/>
      </c>
      <c r="U1529" s="10"/>
      <c r="V1529" s="41">
        <f>IF(AND(Q1529&lt;&gt;"",RIGHT(Q1529,3)&lt;&gt;""),IF(COUNTIF($Q$6:Q1529,Q1529)=1,1,0),0)</f>
        <v>0</v>
      </c>
      <c r="W1529" s="41" t="str">
        <f t="shared" si="144"/>
        <v/>
      </c>
      <c r="X1529" s="41" t="str">
        <f t="shared" si="145"/>
        <v/>
      </c>
    </row>
    <row r="1530" s="32" customFormat="1" hidden="1" customHeight="1" spans="1:24">
      <c r="A1530" s="34"/>
      <c r="B1530" s="51"/>
      <c r="C1530" s="51"/>
      <c r="D1530" s="52"/>
      <c r="E1530" s="53"/>
      <c r="F1530" s="54"/>
      <c r="G1530" s="54"/>
      <c r="H1530" s="54"/>
      <c r="I1530" s="66"/>
      <c r="J1530" s="54"/>
      <c r="K1530" s="54"/>
      <c r="L1530" s="54"/>
      <c r="M1530" s="97" t="str">
        <f t="shared" si="142"/>
        <v/>
      </c>
      <c r="N1530" s="70"/>
      <c r="O1530" s="71" t="str">
        <f t="shared" si="146"/>
        <v/>
      </c>
      <c r="P1530" s="66"/>
      <c r="Q1530" s="66"/>
      <c r="R1530" s="54"/>
      <c r="S1530" s="82"/>
      <c r="T1530" s="83" t="str">
        <f t="shared" si="143"/>
        <v/>
      </c>
      <c r="U1530" s="10"/>
      <c r="V1530" s="41">
        <f>IF(AND(Q1530&lt;&gt;"",RIGHT(Q1530,3)&lt;&gt;""),IF(COUNTIF($Q$6:Q1530,Q1530)=1,1,0),0)</f>
        <v>0</v>
      </c>
      <c r="W1530" s="41" t="str">
        <f t="shared" si="144"/>
        <v/>
      </c>
      <c r="X1530" s="41" t="str">
        <f t="shared" si="145"/>
        <v/>
      </c>
    </row>
    <row r="1531" s="32" customFormat="1" hidden="1" customHeight="1" spans="1:24">
      <c r="A1531" s="34"/>
      <c r="B1531" s="51"/>
      <c r="C1531" s="51"/>
      <c r="D1531" s="52"/>
      <c r="E1531" s="53"/>
      <c r="F1531" s="54"/>
      <c r="G1531" s="54"/>
      <c r="H1531" s="54"/>
      <c r="I1531" s="66"/>
      <c r="J1531" s="54"/>
      <c r="K1531" s="54"/>
      <c r="L1531" s="54"/>
      <c r="M1531" s="97" t="str">
        <f t="shared" si="142"/>
        <v/>
      </c>
      <c r="N1531" s="70"/>
      <c r="O1531" s="71" t="str">
        <f t="shared" si="146"/>
        <v/>
      </c>
      <c r="P1531" s="66"/>
      <c r="Q1531" s="66"/>
      <c r="R1531" s="54"/>
      <c r="S1531" s="82"/>
      <c r="T1531" s="83" t="str">
        <f t="shared" si="143"/>
        <v/>
      </c>
      <c r="U1531" s="10"/>
      <c r="V1531" s="41">
        <f>IF(AND(Q1531&lt;&gt;"",RIGHT(Q1531,3)&lt;&gt;""),IF(COUNTIF($Q$6:Q1531,Q1531)=1,1,0),0)</f>
        <v>0</v>
      </c>
      <c r="W1531" s="41" t="str">
        <f t="shared" si="144"/>
        <v/>
      </c>
      <c r="X1531" s="41" t="str">
        <f t="shared" si="145"/>
        <v/>
      </c>
    </row>
    <row r="1532" s="32" customFormat="1" hidden="1" customHeight="1" spans="1:24">
      <c r="A1532" s="34"/>
      <c r="B1532" s="51"/>
      <c r="C1532" s="51"/>
      <c r="D1532" s="52"/>
      <c r="E1532" s="53"/>
      <c r="F1532" s="54"/>
      <c r="G1532" s="54"/>
      <c r="H1532" s="54"/>
      <c r="I1532" s="66"/>
      <c r="J1532" s="54"/>
      <c r="K1532" s="54"/>
      <c r="L1532" s="54"/>
      <c r="M1532" s="97" t="str">
        <f t="shared" si="142"/>
        <v/>
      </c>
      <c r="N1532" s="70"/>
      <c r="O1532" s="71" t="str">
        <f t="shared" si="146"/>
        <v/>
      </c>
      <c r="P1532" s="66"/>
      <c r="Q1532" s="66"/>
      <c r="R1532" s="54"/>
      <c r="S1532" s="82"/>
      <c r="T1532" s="83" t="str">
        <f t="shared" si="143"/>
        <v/>
      </c>
      <c r="U1532" s="10"/>
      <c r="V1532" s="41">
        <f>IF(AND(Q1532&lt;&gt;"",RIGHT(Q1532,3)&lt;&gt;""),IF(COUNTIF($Q$6:Q1532,Q1532)=1,1,0),0)</f>
        <v>0</v>
      </c>
      <c r="W1532" s="41" t="str">
        <f t="shared" si="144"/>
        <v/>
      </c>
      <c r="X1532" s="41" t="str">
        <f t="shared" si="145"/>
        <v/>
      </c>
    </row>
    <row r="1533" s="32" customFormat="1" hidden="1" customHeight="1" spans="1:24">
      <c r="A1533" s="34"/>
      <c r="B1533" s="51"/>
      <c r="C1533" s="51"/>
      <c r="D1533" s="52"/>
      <c r="E1533" s="53"/>
      <c r="F1533" s="54"/>
      <c r="G1533" s="54"/>
      <c r="H1533" s="54"/>
      <c r="I1533" s="66"/>
      <c r="J1533" s="54"/>
      <c r="K1533" s="54"/>
      <c r="L1533" s="54"/>
      <c r="M1533" s="97" t="str">
        <f t="shared" si="142"/>
        <v/>
      </c>
      <c r="N1533" s="70"/>
      <c r="O1533" s="71" t="str">
        <f t="shared" si="146"/>
        <v/>
      </c>
      <c r="P1533" s="66"/>
      <c r="Q1533" s="66"/>
      <c r="R1533" s="54"/>
      <c r="S1533" s="82"/>
      <c r="T1533" s="83" t="str">
        <f t="shared" si="143"/>
        <v/>
      </c>
      <c r="U1533" s="10"/>
      <c r="V1533" s="41">
        <f>IF(AND(Q1533&lt;&gt;"",RIGHT(Q1533,3)&lt;&gt;""),IF(COUNTIF($Q$6:Q1533,Q1533)=1,1,0),0)</f>
        <v>0</v>
      </c>
      <c r="W1533" s="41" t="str">
        <f t="shared" si="144"/>
        <v/>
      </c>
      <c r="X1533" s="41" t="str">
        <f t="shared" si="145"/>
        <v/>
      </c>
    </row>
    <row r="1534" s="32" customFormat="1" hidden="1" customHeight="1" spans="1:24">
      <c r="A1534" s="34"/>
      <c r="B1534" s="51"/>
      <c r="C1534" s="51"/>
      <c r="D1534" s="52"/>
      <c r="E1534" s="53"/>
      <c r="F1534" s="54"/>
      <c r="G1534" s="54"/>
      <c r="H1534" s="54"/>
      <c r="I1534" s="66"/>
      <c r="J1534" s="54"/>
      <c r="K1534" s="54"/>
      <c r="L1534" s="54"/>
      <c r="M1534" s="97" t="str">
        <f t="shared" si="142"/>
        <v/>
      </c>
      <c r="N1534" s="70"/>
      <c r="O1534" s="71" t="str">
        <f t="shared" si="146"/>
        <v/>
      </c>
      <c r="P1534" s="66"/>
      <c r="Q1534" s="66"/>
      <c r="R1534" s="54"/>
      <c r="S1534" s="82"/>
      <c r="T1534" s="83" t="str">
        <f t="shared" si="143"/>
        <v/>
      </c>
      <c r="U1534" s="10"/>
      <c r="V1534" s="41">
        <f>IF(AND(Q1534&lt;&gt;"",RIGHT(Q1534,3)&lt;&gt;""),IF(COUNTIF($Q$6:Q1534,Q1534)=1,1,0),0)</f>
        <v>0</v>
      </c>
      <c r="W1534" s="41" t="str">
        <f t="shared" si="144"/>
        <v/>
      </c>
      <c r="X1534" s="41" t="str">
        <f t="shared" si="145"/>
        <v/>
      </c>
    </row>
    <row r="1535" s="32" customFormat="1" hidden="1" customHeight="1" spans="1:24">
      <c r="A1535" s="34"/>
      <c r="B1535" s="51"/>
      <c r="C1535" s="51"/>
      <c r="D1535" s="52"/>
      <c r="E1535" s="53"/>
      <c r="F1535" s="54"/>
      <c r="G1535" s="54"/>
      <c r="H1535" s="54"/>
      <c r="I1535" s="66"/>
      <c r="J1535" s="54"/>
      <c r="K1535" s="54"/>
      <c r="L1535" s="54"/>
      <c r="M1535" s="97" t="str">
        <f t="shared" si="142"/>
        <v/>
      </c>
      <c r="N1535" s="70"/>
      <c r="O1535" s="71" t="str">
        <f t="shared" si="146"/>
        <v/>
      </c>
      <c r="P1535" s="66"/>
      <c r="Q1535" s="66"/>
      <c r="R1535" s="54"/>
      <c r="S1535" s="82"/>
      <c r="T1535" s="83" t="str">
        <f t="shared" si="143"/>
        <v/>
      </c>
      <c r="U1535" s="10"/>
      <c r="V1535" s="41">
        <f>IF(AND(Q1535&lt;&gt;"",RIGHT(Q1535,3)&lt;&gt;""),IF(COUNTIF($Q$6:Q1535,Q1535)=1,1,0),0)</f>
        <v>0</v>
      </c>
      <c r="W1535" s="41" t="str">
        <f t="shared" si="144"/>
        <v/>
      </c>
      <c r="X1535" s="41" t="str">
        <f t="shared" si="145"/>
        <v/>
      </c>
    </row>
    <row r="1536" s="32" customFormat="1" hidden="1" customHeight="1" spans="1:24">
      <c r="A1536" s="34"/>
      <c r="B1536" s="51"/>
      <c r="C1536" s="51"/>
      <c r="D1536" s="52"/>
      <c r="E1536" s="53"/>
      <c r="F1536" s="54"/>
      <c r="G1536" s="54"/>
      <c r="H1536" s="54"/>
      <c r="I1536" s="66"/>
      <c r="J1536" s="54"/>
      <c r="K1536" s="54"/>
      <c r="L1536" s="54"/>
      <c r="M1536" s="97" t="str">
        <f t="shared" si="142"/>
        <v/>
      </c>
      <c r="N1536" s="70"/>
      <c r="O1536" s="71" t="str">
        <f t="shared" si="146"/>
        <v/>
      </c>
      <c r="P1536" s="66"/>
      <c r="Q1536" s="66"/>
      <c r="R1536" s="54"/>
      <c r="S1536" s="82"/>
      <c r="T1536" s="83" t="str">
        <f t="shared" si="143"/>
        <v/>
      </c>
      <c r="U1536" s="10"/>
      <c r="V1536" s="41">
        <f>IF(AND(Q1536&lt;&gt;"",RIGHT(Q1536,3)&lt;&gt;""),IF(COUNTIF($Q$6:Q1536,Q1536)=1,1,0),0)</f>
        <v>0</v>
      </c>
      <c r="W1536" s="41" t="str">
        <f t="shared" si="144"/>
        <v/>
      </c>
      <c r="X1536" s="41" t="str">
        <f t="shared" si="145"/>
        <v/>
      </c>
    </row>
    <row r="1537" s="32" customFormat="1" hidden="1" customHeight="1" spans="1:24">
      <c r="A1537" s="34"/>
      <c r="B1537" s="51"/>
      <c r="C1537" s="51"/>
      <c r="D1537" s="52"/>
      <c r="E1537" s="53"/>
      <c r="F1537" s="54"/>
      <c r="G1537" s="54"/>
      <c r="H1537" s="54"/>
      <c r="I1537" s="66"/>
      <c r="J1537" s="54"/>
      <c r="K1537" s="54"/>
      <c r="L1537" s="54"/>
      <c r="M1537" s="97" t="str">
        <f t="shared" si="142"/>
        <v/>
      </c>
      <c r="N1537" s="70"/>
      <c r="O1537" s="71" t="str">
        <f t="shared" si="146"/>
        <v/>
      </c>
      <c r="P1537" s="66"/>
      <c r="Q1537" s="66"/>
      <c r="R1537" s="54"/>
      <c r="S1537" s="82"/>
      <c r="T1537" s="83" t="str">
        <f t="shared" si="143"/>
        <v/>
      </c>
      <c r="U1537" s="10"/>
      <c r="V1537" s="41">
        <f>IF(AND(Q1537&lt;&gt;"",RIGHT(Q1537,3)&lt;&gt;""),IF(COUNTIF($Q$6:Q1537,Q1537)=1,1,0),0)</f>
        <v>0</v>
      </c>
      <c r="W1537" s="41" t="str">
        <f t="shared" si="144"/>
        <v/>
      </c>
      <c r="X1537" s="41" t="str">
        <f t="shared" si="145"/>
        <v/>
      </c>
    </row>
    <row r="1538" s="32" customFormat="1" hidden="1" customHeight="1" spans="1:24">
      <c r="A1538" s="34"/>
      <c r="B1538" s="51"/>
      <c r="C1538" s="51"/>
      <c r="D1538" s="52"/>
      <c r="E1538" s="53"/>
      <c r="F1538" s="54"/>
      <c r="G1538" s="54"/>
      <c r="H1538" s="54"/>
      <c r="I1538" s="66"/>
      <c r="J1538" s="54"/>
      <c r="K1538" s="54"/>
      <c r="L1538" s="54"/>
      <c r="M1538" s="97" t="str">
        <f t="shared" si="142"/>
        <v/>
      </c>
      <c r="N1538" s="70"/>
      <c r="O1538" s="71" t="str">
        <f t="shared" si="146"/>
        <v/>
      </c>
      <c r="P1538" s="66"/>
      <c r="Q1538" s="66"/>
      <c r="R1538" s="54"/>
      <c r="S1538" s="82"/>
      <c r="T1538" s="83" t="str">
        <f t="shared" si="143"/>
        <v/>
      </c>
      <c r="U1538" s="10"/>
      <c r="V1538" s="41">
        <f>IF(AND(Q1538&lt;&gt;"",RIGHT(Q1538,3)&lt;&gt;""),IF(COUNTIF($Q$6:Q1538,Q1538)=1,1,0),0)</f>
        <v>0</v>
      </c>
      <c r="W1538" s="41" t="str">
        <f t="shared" si="144"/>
        <v/>
      </c>
      <c r="X1538" s="41" t="str">
        <f t="shared" si="145"/>
        <v/>
      </c>
    </row>
    <row r="1539" s="32" customFormat="1" hidden="1" customHeight="1" spans="1:24">
      <c r="A1539" s="34"/>
      <c r="B1539" s="51"/>
      <c r="C1539" s="51"/>
      <c r="D1539" s="52"/>
      <c r="E1539" s="53"/>
      <c r="F1539" s="54"/>
      <c r="G1539" s="54"/>
      <c r="H1539" s="54"/>
      <c r="I1539" s="66"/>
      <c r="J1539" s="54"/>
      <c r="K1539" s="54"/>
      <c r="L1539" s="54"/>
      <c r="M1539" s="97" t="str">
        <f t="shared" si="142"/>
        <v/>
      </c>
      <c r="N1539" s="70"/>
      <c r="O1539" s="71" t="str">
        <f t="shared" si="146"/>
        <v/>
      </c>
      <c r="P1539" s="66"/>
      <c r="Q1539" s="66"/>
      <c r="R1539" s="54"/>
      <c r="S1539" s="82"/>
      <c r="T1539" s="83" t="str">
        <f t="shared" si="143"/>
        <v/>
      </c>
      <c r="U1539" s="10"/>
      <c r="V1539" s="41">
        <f>IF(AND(Q1539&lt;&gt;"",RIGHT(Q1539,3)&lt;&gt;""),IF(COUNTIF($Q$6:Q1539,Q1539)=1,1,0),0)</f>
        <v>0</v>
      </c>
      <c r="W1539" s="41" t="str">
        <f t="shared" si="144"/>
        <v/>
      </c>
      <c r="X1539" s="41" t="str">
        <f t="shared" si="145"/>
        <v/>
      </c>
    </row>
    <row r="1540" s="32" customFormat="1" hidden="1" customHeight="1" spans="1:24">
      <c r="A1540" s="34"/>
      <c r="B1540" s="51"/>
      <c r="C1540" s="51"/>
      <c r="D1540" s="52"/>
      <c r="E1540" s="53"/>
      <c r="F1540" s="54"/>
      <c r="G1540" s="54"/>
      <c r="H1540" s="54"/>
      <c r="I1540" s="66"/>
      <c r="J1540" s="54"/>
      <c r="K1540" s="54"/>
      <c r="L1540" s="54"/>
      <c r="M1540" s="97" t="str">
        <f t="shared" si="142"/>
        <v/>
      </c>
      <c r="N1540" s="70"/>
      <c r="O1540" s="71" t="str">
        <f t="shared" si="146"/>
        <v/>
      </c>
      <c r="P1540" s="66"/>
      <c r="Q1540" s="66"/>
      <c r="R1540" s="54"/>
      <c r="S1540" s="82"/>
      <c r="T1540" s="83" t="str">
        <f t="shared" si="143"/>
        <v/>
      </c>
      <c r="U1540" s="10"/>
      <c r="V1540" s="41">
        <f>IF(AND(Q1540&lt;&gt;"",RIGHT(Q1540,3)&lt;&gt;""),IF(COUNTIF($Q$6:Q1540,Q1540)=1,1,0),0)</f>
        <v>0</v>
      </c>
      <c r="W1540" s="41" t="str">
        <f t="shared" si="144"/>
        <v/>
      </c>
      <c r="X1540" s="41" t="str">
        <f t="shared" si="145"/>
        <v/>
      </c>
    </row>
    <row r="1541" s="32" customFormat="1" hidden="1" customHeight="1" spans="1:24">
      <c r="A1541" s="34"/>
      <c r="B1541" s="51"/>
      <c r="C1541" s="51"/>
      <c r="D1541" s="52"/>
      <c r="E1541" s="53"/>
      <c r="F1541" s="54"/>
      <c r="G1541" s="54"/>
      <c r="H1541" s="54"/>
      <c r="I1541" s="66"/>
      <c r="J1541" s="54"/>
      <c r="K1541" s="54"/>
      <c r="L1541" s="54"/>
      <c r="M1541" s="97" t="str">
        <f t="shared" si="142"/>
        <v/>
      </c>
      <c r="N1541" s="70"/>
      <c r="O1541" s="71" t="str">
        <f t="shared" si="146"/>
        <v/>
      </c>
      <c r="P1541" s="66"/>
      <c r="Q1541" s="66"/>
      <c r="R1541" s="54"/>
      <c r="S1541" s="82"/>
      <c r="T1541" s="83" t="str">
        <f t="shared" si="143"/>
        <v/>
      </c>
      <c r="U1541" s="10"/>
      <c r="V1541" s="41">
        <f>IF(AND(Q1541&lt;&gt;"",RIGHT(Q1541,3)&lt;&gt;""),IF(COUNTIF($Q$6:Q1541,Q1541)=1,1,0),0)</f>
        <v>0</v>
      </c>
      <c r="W1541" s="41" t="str">
        <f t="shared" si="144"/>
        <v/>
      </c>
      <c r="X1541" s="41" t="str">
        <f t="shared" si="145"/>
        <v/>
      </c>
    </row>
    <row r="1542" s="32" customFormat="1" hidden="1" customHeight="1" spans="1:24">
      <c r="A1542" s="34"/>
      <c r="B1542" s="51"/>
      <c r="C1542" s="51"/>
      <c r="D1542" s="52"/>
      <c r="E1542" s="53"/>
      <c r="F1542" s="54"/>
      <c r="G1542" s="54"/>
      <c r="H1542" s="54"/>
      <c r="I1542" s="66"/>
      <c r="J1542" s="54"/>
      <c r="K1542" s="54"/>
      <c r="L1542" s="54"/>
      <c r="M1542" s="97" t="str">
        <f t="shared" si="142"/>
        <v/>
      </c>
      <c r="N1542" s="70"/>
      <c r="O1542" s="71" t="str">
        <f t="shared" si="146"/>
        <v/>
      </c>
      <c r="P1542" s="66"/>
      <c r="Q1542" s="66"/>
      <c r="R1542" s="54"/>
      <c r="S1542" s="82"/>
      <c r="T1542" s="83" t="str">
        <f t="shared" si="143"/>
        <v/>
      </c>
      <c r="U1542" s="10"/>
      <c r="V1542" s="41">
        <f>IF(AND(Q1542&lt;&gt;"",RIGHT(Q1542,3)&lt;&gt;""),IF(COUNTIF($Q$6:Q1542,Q1542)=1,1,0),0)</f>
        <v>0</v>
      </c>
      <c r="W1542" s="41" t="str">
        <f t="shared" si="144"/>
        <v/>
      </c>
      <c r="X1542" s="41" t="str">
        <f t="shared" si="145"/>
        <v/>
      </c>
    </row>
    <row r="1543" s="32" customFormat="1" hidden="1" customHeight="1" spans="1:24">
      <c r="A1543" s="34"/>
      <c r="B1543" s="51"/>
      <c r="C1543" s="51"/>
      <c r="D1543" s="52"/>
      <c r="E1543" s="53"/>
      <c r="F1543" s="54"/>
      <c r="G1543" s="54"/>
      <c r="H1543" s="54"/>
      <c r="I1543" s="66"/>
      <c r="J1543" s="54"/>
      <c r="K1543" s="54"/>
      <c r="L1543" s="54"/>
      <c r="M1543" s="97" t="str">
        <f t="shared" si="142"/>
        <v/>
      </c>
      <c r="N1543" s="70"/>
      <c r="O1543" s="71" t="str">
        <f t="shared" si="146"/>
        <v/>
      </c>
      <c r="P1543" s="66"/>
      <c r="Q1543" s="66"/>
      <c r="R1543" s="54"/>
      <c r="S1543" s="82"/>
      <c r="T1543" s="83" t="str">
        <f t="shared" si="143"/>
        <v/>
      </c>
      <c r="U1543" s="10"/>
      <c r="V1543" s="41">
        <f>IF(AND(Q1543&lt;&gt;"",RIGHT(Q1543,3)&lt;&gt;""),IF(COUNTIF($Q$6:Q1543,Q1543)=1,1,0),0)</f>
        <v>0</v>
      </c>
      <c r="W1543" s="41" t="str">
        <f t="shared" si="144"/>
        <v/>
      </c>
      <c r="X1543" s="41" t="str">
        <f t="shared" si="145"/>
        <v/>
      </c>
    </row>
    <row r="1544" s="32" customFormat="1" hidden="1" customHeight="1" spans="1:24">
      <c r="A1544" s="34"/>
      <c r="B1544" s="51"/>
      <c r="C1544" s="51"/>
      <c r="D1544" s="52"/>
      <c r="E1544" s="53"/>
      <c r="F1544" s="54"/>
      <c r="G1544" s="54"/>
      <c r="H1544" s="54"/>
      <c r="I1544" s="66"/>
      <c r="J1544" s="54"/>
      <c r="K1544" s="54"/>
      <c r="L1544" s="54"/>
      <c r="M1544" s="97" t="str">
        <f t="shared" si="142"/>
        <v/>
      </c>
      <c r="N1544" s="70"/>
      <c r="O1544" s="71" t="str">
        <f t="shared" si="146"/>
        <v/>
      </c>
      <c r="P1544" s="66"/>
      <c r="Q1544" s="66"/>
      <c r="R1544" s="54"/>
      <c r="S1544" s="82"/>
      <c r="T1544" s="83" t="str">
        <f t="shared" si="143"/>
        <v/>
      </c>
      <c r="U1544" s="10"/>
      <c r="V1544" s="41">
        <f>IF(AND(Q1544&lt;&gt;"",RIGHT(Q1544,3)&lt;&gt;""),IF(COUNTIF($Q$6:Q1544,Q1544)=1,1,0),0)</f>
        <v>0</v>
      </c>
      <c r="W1544" s="41" t="str">
        <f t="shared" si="144"/>
        <v/>
      </c>
      <c r="X1544" s="41" t="str">
        <f t="shared" si="145"/>
        <v/>
      </c>
    </row>
    <row r="1545" s="32" customFormat="1" hidden="1" customHeight="1" spans="1:24">
      <c r="A1545" s="34"/>
      <c r="B1545" s="51"/>
      <c r="C1545" s="51"/>
      <c r="D1545" s="52"/>
      <c r="E1545" s="53"/>
      <c r="F1545" s="54"/>
      <c r="G1545" s="54"/>
      <c r="H1545" s="54"/>
      <c r="I1545" s="66"/>
      <c r="J1545" s="54"/>
      <c r="K1545" s="54"/>
      <c r="L1545" s="54"/>
      <c r="M1545" s="97" t="str">
        <f t="shared" si="142"/>
        <v/>
      </c>
      <c r="N1545" s="70"/>
      <c r="O1545" s="71" t="str">
        <f t="shared" si="146"/>
        <v/>
      </c>
      <c r="P1545" s="66"/>
      <c r="Q1545" s="66"/>
      <c r="R1545" s="54"/>
      <c r="S1545" s="82"/>
      <c r="T1545" s="83" t="str">
        <f t="shared" si="143"/>
        <v/>
      </c>
      <c r="U1545" s="10"/>
      <c r="V1545" s="41">
        <f>IF(AND(Q1545&lt;&gt;"",RIGHT(Q1545,3)&lt;&gt;""),IF(COUNTIF($Q$6:Q1545,Q1545)=1,1,0),0)</f>
        <v>0</v>
      </c>
      <c r="W1545" s="41" t="str">
        <f t="shared" si="144"/>
        <v/>
      </c>
      <c r="X1545" s="41" t="str">
        <f t="shared" si="145"/>
        <v/>
      </c>
    </row>
    <row r="1546" s="32" customFormat="1" hidden="1" customHeight="1" spans="1:24">
      <c r="A1546" s="34"/>
      <c r="B1546" s="51"/>
      <c r="C1546" s="51"/>
      <c r="D1546" s="52"/>
      <c r="E1546" s="53"/>
      <c r="F1546" s="54"/>
      <c r="G1546" s="54"/>
      <c r="H1546" s="54"/>
      <c r="I1546" s="66"/>
      <c r="J1546" s="54"/>
      <c r="K1546" s="54"/>
      <c r="L1546" s="54"/>
      <c r="M1546" s="97" t="str">
        <f t="shared" si="142"/>
        <v/>
      </c>
      <c r="N1546" s="70"/>
      <c r="O1546" s="71" t="str">
        <f t="shared" si="146"/>
        <v/>
      </c>
      <c r="P1546" s="66"/>
      <c r="Q1546" s="66"/>
      <c r="R1546" s="54"/>
      <c r="S1546" s="82"/>
      <c r="T1546" s="83" t="str">
        <f t="shared" si="143"/>
        <v/>
      </c>
      <c r="U1546" s="10"/>
      <c r="V1546" s="41">
        <f>IF(AND(Q1546&lt;&gt;"",RIGHT(Q1546,3)&lt;&gt;""),IF(COUNTIF($Q$6:Q1546,Q1546)=1,1,0),0)</f>
        <v>0</v>
      </c>
      <c r="W1546" s="41" t="str">
        <f t="shared" si="144"/>
        <v/>
      </c>
      <c r="X1546" s="41" t="str">
        <f t="shared" si="145"/>
        <v/>
      </c>
    </row>
    <row r="1547" s="32" customFormat="1" hidden="1" customHeight="1" spans="1:24">
      <c r="A1547" s="34"/>
      <c r="B1547" s="51"/>
      <c r="C1547" s="51"/>
      <c r="D1547" s="52"/>
      <c r="E1547" s="53"/>
      <c r="F1547" s="54"/>
      <c r="G1547" s="54"/>
      <c r="H1547" s="54"/>
      <c r="I1547" s="66"/>
      <c r="J1547" s="54"/>
      <c r="K1547" s="54"/>
      <c r="L1547" s="54"/>
      <c r="M1547" s="97" t="str">
        <f t="shared" si="142"/>
        <v/>
      </c>
      <c r="N1547" s="70"/>
      <c r="O1547" s="71" t="str">
        <f t="shared" si="146"/>
        <v/>
      </c>
      <c r="P1547" s="66"/>
      <c r="Q1547" s="66"/>
      <c r="R1547" s="54"/>
      <c r="S1547" s="82"/>
      <c r="T1547" s="83" t="str">
        <f t="shared" si="143"/>
        <v/>
      </c>
      <c r="U1547" s="10"/>
      <c r="V1547" s="41">
        <f>IF(AND(Q1547&lt;&gt;"",RIGHT(Q1547,3)&lt;&gt;""),IF(COUNTIF($Q$6:Q1547,Q1547)=1,1,0),0)</f>
        <v>0</v>
      </c>
      <c r="W1547" s="41" t="str">
        <f t="shared" si="144"/>
        <v/>
      </c>
      <c r="X1547" s="41" t="str">
        <f t="shared" si="145"/>
        <v/>
      </c>
    </row>
    <row r="1548" s="32" customFormat="1" hidden="1" customHeight="1" spans="1:24">
      <c r="A1548" s="34"/>
      <c r="B1548" s="51"/>
      <c r="C1548" s="51"/>
      <c r="D1548" s="52"/>
      <c r="E1548" s="53"/>
      <c r="F1548" s="54"/>
      <c r="G1548" s="54"/>
      <c r="H1548" s="54"/>
      <c r="I1548" s="66"/>
      <c r="J1548" s="54"/>
      <c r="K1548" s="54"/>
      <c r="L1548" s="54"/>
      <c r="M1548" s="97" t="str">
        <f t="shared" si="142"/>
        <v/>
      </c>
      <c r="N1548" s="70"/>
      <c r="O1548" s="71" t="str">
        <f t="shared" si="146"/>
        <v/>
      </c>
      <c r="P1548" s="66"/>
      <c r="Q1548" s="66"/>
      <c r="R1548" s="54"/>
      <c r="S1548" s="82"/>
      <c r="T1548" s="83" t="str">
        <f t="shared" si="143"/>
        <v/>
      </c>
      <c r="U1548" s="10"/>
      <c r="V1548" s="41">
        <f>IF(AND(Q1548&lt;&gt;"",RIGHT(Q1548,3)&lt;&gt;""),IF(COUNTIF($Q$6:Q1548,Q1548)=1,1,0),0)</f>
        <v>0</v>
      </c>
      <c r="W1548" s="41" t="str">
        <f t="shared" si="144"/>
        <v/>
      </c>
      <c r="X1548" s="41" t="str">
        <f t="shared" si="145"/>
        <v/>
      </c>
    </row>
    <row r="1549" s="32" customFormat="1" hidden="1" customHeight="1" spans="1:24">
      <c r="A1549" s="34"/>
      <c r="B1549" s="51"/>
      <c r="C1549" s="51"/>
      <c r="D1549" s="52"/>
      <c r="E1549" s="53"/>
      <c r="F1549" s="54"/>
      <c r="G1549" s="54"/>
      <c r="H1549" s="54"/>
      <c r="I1549" s="66"/>
      <c r="J1549" s="54"/>
      <c r="K1549" s="54"/>
      <c r="L1549" s="54"/>
      <c r="M1549" s="97" t="str">
        <f t="shared" si="142"/>
        <v/>
      </c>
      <c r="N1549" s="70"/>
      <c r="O1549" s="71" t="str">
        <f t="shared" si="146"/>
        <v/>
      </c>
      <c r="P1549" s="66"/>
      <c r="Q1549" s="66"/>
      <c r="R1549" s="54"/>
      <c r="S1549" s="82"/>
      <c r="T1549" s="83" t="str">
        <f t="shared" si="143"/>
        <v/>
      </c>
      <c r="U1549" s="10"/>
      <c r="V1549" s="41">
        <f>IF(AND(Q1549&lt;&gt;"",RIGHT(Q1549,3)&lt;&gt;""),IF(COUNTIF($Q$6:Q1549,Q1549)=1,1,0),0)</f>
        <v>0</v>
      </c>
      <c r="W1549" s="41" t="str">
        <f t="shared" si="144"/>
        <v/>
      </c>
      <c r="X1549" s="41" t="str">
        <f t="shared" si="145"/>
        <v/>
      </c>
    </row>
    <row r="1550" s="32" customFormat="1" hidden="1" customHeight="1" spans="1:24">
      <c r="A1550" s="34"/>
      <c r="B1550" s="51"/>
      <c r="C1550" s="51"/>
      <c r="D1550" s="52"/>
      <c r="E1550" s="53"/>
      <c r="F1550" s="54"/>
      <c r="G1550" s="54"/>
      <c r="H1550" s="54"/>
      <c r="I1550" s="66"/>
      <c r="J1550" s="54"/>
      <c r="K1550" s="54"/>
      <c r="L1550" s="54"/>
      <c r="M1550" s="97" t="str">
        <f t="shared" si="142"/>
        <v/>
      </c>
      <c r="N1550" s="70"/>
      <c r="O1550" s="71" t="str">
        <f t="shared" si="146"/>
        <v/>
      </c>
      <c r="P1550" s="66"/>
      <c r="Q1550" s="66"/>
      <c r="R1550" s="54"/>
      <c r="S1550" s="82"/>
      <c r="T1550" s="83" t="str">
        <f t="shared" si="143"/>
        <v/>
      </c>
      <c r="U1550" s="10"/>
      <c r="V1550" s="41">
        <f>IF(AND(Q1550&lt;&gt;"",RIGHT(Q1550,3)&lt;&gt;""),IF(COUNTIF($Q$6:Q1550,Q1550)=1,1,0),0)</f>
        <v>0</v>
      </c>
      <c r="W1550" s="41" t="str">
        <f t="shared" si="144"/>
        <v/>
      </c>
      <c r="X1550" s="41" t="str">
        <f t="shared" si="145"/>
        <v/>
      </c>
    </row>
    <row r="1551" s="32" customFormat="1" hidden="1" customHeight="1" spans="1:24">
      <c r="A1551" s="34"/>
      <c r="B1551" s="51"/>
      <c r="C1551" s="51"/>
      <c r="D1551" s="52"/>
      <c r="E1551" s="53"/>
      <c r="F1551" s="54"/>
      <c r="G1551" s="54"/>
      <c r="H1551" s="54"/>
      <c r="I1551" s="66"/>
      <c r="J1551" s="54"/>
      <c r="K1551" s="54"/>
      <c r="L1551" s="54"/>
      <c r="M1551" s="97" t="str">
        <f t="shared" si="142"/>
        <v/>
      </c>
      <c r="N1551" s="70"/>
      <c r="O1551" s="71" t="str">
        <f t="shared" si="146"/>
        <v/>
      </c>
      <c r="P1551" s="66"/>
      <c r="Q1551" s="66"/>
      <c r="R1551" s="54"/>
      <c r="S1551" s="82"/>
      <c r="T1551" s="83" t="str">
        <f t="shared" si="143"/>
        <v/>
      </c>
      <c r="U1551" s="10"/>
      <c r="V1551" s="41">
        <f>IF(AND(Q1551&lt;&gt;"",RIGHT(Q1551,3)&lt;&gt;""),IF(COUNTIF($Q$6:Q1551,Q1551)=1,1,0),0)</f>
        <v>0</v>
      </c>
      <c r="W1551" s="41" t="str">
        <f t="shared" si="144"/>
        <v/>
      </c>
      <c r="X1551" s="41" t="str">
        <f t="shared" si="145"/>
        <v/>
      </c>
    </row>
    <row r="1552" s="32" customFormat="1" hidden="1" customHeight="1" spans="1:24">
      <c r="A1552" s="34"/>
      <c r="B1552" s="51"/>
      <c r="C1552" s="51"/>
      <c r="D1552" s="52"/>
      <c r="E1552" s="53"/>
      <c r="F1552" s="54"/>
      <c r="G1552" s="54"/>
      <c r="H1552" s="54"/>
      <c r="I1552" s="66"/>
      <c r="J1552" s="54"/>
      <c r="K1552" s="54"/>
      <c r="L1552" s="54"/>
      <c r="M1552" s="97" t="str">
        <f t="shared" si="142"/>
        <v/>
      </c>
      <c r="N1552" s="70"/>
      <c r="O1552" s="71" t="str">
        <f t="shared" si="146"/>
        <v/>
      </c>
      <c r="P1552" s="66"/>
      <c r="Q1552" s="66"/>
      <c r="R1552" s="54"/>
      <c r="S1552" s="82"/>
      <c r="T1552" s="83" t="str">
        <f t="shared" si="143"/>
        <v/>
      </c>
      <c r="U1552" s="10"/>
      <c r="V1552" s="41">
        <f>IF(AND(Q1552&lt;&gt;"",RIGHT(Q1552,3)&lt;&gt;""),IF(COUNTIF($Q$6:Q1552,Q1552)=1,1,0),0)</f>
        <v>0</v>
      </c>
      <c r="W1552" s="41" t="str">
        <f t="shared" si="144"/>
        <v/>
      </c>
      <c r="X1552" s="41" t="str">
        <f t="shared" si="145"/>
        <v/>
      </c>
    </row>
    <row r="1553" s="32" customFormat="1" hidden="1" customHeight="1" spans="1:24">
      <c r="A1553" s="34"/>
      <c r="B1553" s="51"/>
      <c r="C1553" s="51"/>
      <c r="D1553" s="52"/>
      <c r="E1553" s="53"/>
      <c r="F1553" s="54"/>
      <c r="G1553" s="54"/>
      <c r="H1553" s="54"/>
      <c r="I1553" s="66"/>
      <c r="J1553" s="54"/>
      <c r="K1553" s="54"/>
      <c r="L1553" s="54"/>
      <c r="M1553" s="97" t="str">
        <f t="shared" si="142"/>
        <v/>
      </c>
      <c r="N1553" s="70"/>
      <c r="O1553" s="71" t="str">
        <f t="shared" si="146"/>
        <v/>
      </c>
      <c r="P1553" s="66"/>
      <c r="Q1553" s="66"/>
      <c r="R1553" s="54"/>
      <c r="S1553" s="82"/>
      <c r="T1553" s="83" t="str">
        <f t="shared" si="143"/>
        <v/>
      </c>
      <c r="U1553" s="10"/>
      <c r="V1553" s="41">
        <f>IF(AND(Q1553&lt;&gt;"",RIGHT(Q1553,3)&lt;&gt;""),IF(COUNTIF($Q$6:Q1553,Q1553)=1,1,0),0)</f>
        <v>0</v>
      </c>
      <c r="W1553" s="41" t="str">
        <f t="shared" si="144"/>
        <v/>
      </c>
      <c r="X1553" s="41" t="str">
        <f t="shared" si="145"/>
        <v/>
      </c>
    </row>
    <row r="1554" s="32" customFormat="1" hidden="1" customHeight="1" spans="1:24">
      <c r="A1554" s="34"/>
      <c r="B1554" s="51"/>
      <c r="C1554" s="51"/>
      <c r="D1554" s="52"/>
      <c r="E1554" s="53"/>
      <c r="F1554" s="54"/>
      <c r="G1554" s="54"/>
      <c r="H1554" s="54"/>
      <c r="I1554" s="66"/>
      <c r="J1554" s="54"/>
      <c r="K1554" s="54"/>
      <c r="L1554" s="54"/>
      <c r="M1554" s="97" t="str">
        <f t="shared" si="142"/>
        <v/>
      </c>
      <c r="N1554" s="70"/>
      <c r="O1554" s="71" t="str">
        <f t="shared" si="146"/>
        <v/>
      </c>
      <c r="P1554" s="66"/>
      <c r="Q1554" s="66"/>
      <c r="R1554" s="54"/>
      <c r="S1554" s="82"/>
      <c r="T1554" s="83" t="str">
        <f t="shared" si="143"/>
        <v/>
      </c>
      <c r="U1554" s="10"/>
      <c r="V1554" s="41">
        <f>IF(AND(Q1554&lt;&gt;"",RIGHT(Q1554,3)&lt;&gt;""),IF(COUNTIF($Q$6:Q1554,Q1554)=1,1,0),0)</f>
        <v>0</v>
      </c>
      <c r="W1554" s="41" t="str">
        <f t="shared" si="144"/>
        <v/>
      </c>
      <c r="X1554" s="41" t="str">
        <f t="shared" si="145"/>
        <v/>
      </c>
    </row>
    <row r="1555" s="32" customFormat="1" hidden="1" customHeight="1" spans="1:24">
      <c r="A1555" s="34"/>
      <c r="B1555" s="51"/>
      <c r="C1555" s="51"/>
      <c r="D1555" s="52"/>
      <c r="E1555" s="53"/>
      <c r="F1555" s="54"/>
      <c r="G1555" s="54"/>
      <c r="H1555" s="54"/>
      <c r="I1555" s="66"/>
      <c r="J1555" s="54"/>
      <c r="K1555" s="54"/>
      <c r="L1555" s="54"/>
      <c r="M1555" s="97" t="str">
        <f t="shared" si="142"/>
        <v/>
      </c>
      <c r="N1555" s="70"/>
      <c r="O1555" s="71" t="str">
        <f t="shared" si="146"/>
        <v/>
      </c>
      <c r="P1555" s="66"/>
      <c r="Q1555" s="66"/>
      <c r="R1555" s="54"/>
      <c r="S1555" s="82"/>
      <c r="T1555" s="83" t="str">
        <f t="shared" si="143"/>
        <v/>
      </c>
      <c r="U1555" s="10"/>
      <c r="V1555" s="41">
        <f>IF(AND(Q1555&lt;&gt;"",RIGHT(Q1555,3)&lt;&gt;""),IF(COUNTIF($Q$6:Q1555,Q1555)=1,1,0),0)</f>
        <v>0</v>
      </c>
      <c r="W1555" s="41" t="str">
        <f t="shared" si="144"/>
        <v/>
      </c>
      <c r="X1555" s="41" t="str">
        <f t="shared" si="145"/>
        <v/>
      </c>
    </row>
    <row r="1556" s="32" customFormat="1" hidden="1" customHeight="1" spans="1:24">
      <c r="A1556" s="34"/>
      <c r="B1556" s="51"/>
      <c r="C1556" s="51"/>
      <c r="D1556" s="52"/>
      <c r="E1556" s="53"/>
      <c r="F1556" s="54"/>
      <c r="G1556" s="54"/>
      <c r="H1556" s="54"/>
      <c r="I1556" s="66"/>
      <c r="J1556" s="54"/>
      <c r="K1556" s="54"/>
      <c r="L1556" s="54"/>
      <c r="M1556" s="97" t="str">
        <f t="shared" si="142"/>
        <v/>
      </c>
      <c r="N1556" s="70"/>
      <c r="O1556" s="71" t="str">
        <f t="shared" si="146"/>
        <v/>
      </c>
      <c r="P1556" s="66"/>
      <c r="Q1556" s="66"/>
      <c r="R1556" s="54"/>
      <c r="S1556" s="82"/>
      <c r="T1556" s="83" t="str">
        <f t="shared" si="143"/>
        <v/>
      </c>
      <c r="U1556" s="10"/>
      <c r="V1556" s="41">
        <f>IF(AND(Q1556&lt;&gt;"",RIGHT(Q1556,3)&lt;&gt;""),IF(COUNTIF($Q$6:Q1556,Q1556)=1,1,0),0)</f>
        <v>0</v>
      </c>
      <c r="W1556" s="41" t="str">
        <f t="shared" si="144"/>
        <v/>
      </c>
      <c r="X1556" s="41" t="str">
        <f t="shared" si="145"/>
        <v/>
      </c>
    </row>
    <row r="1557" s="32" customFormat="1" hidden="1" customHeight="1" spans="1:24">
      <c r="A1557" s="34"/>
      <c r="B1557" s="51"/>
      <c r="C1557" s="51"/>
      <c r="D1557" s="52"/>
      <c r="E1557" s="53"/>
      <c r="F1557" s="54"/>
      <c r="G1557" s="54"/>
      <c r="H1557" s="54"/>
      <c r="I1557" s="66"/>
      <c r="J1557" s="54"/>
      <c r="K1557" s="54"/>
      <c r="L1557" s="54"/>
      <c r="M1557" s="97" t="str">
        <f t="shared" si="142"/>
        <v/>
      </c>
      <c r="N1557" s="70"/>
      <c r="O1557" s="71" t="str">
        <f t="shared" si="146"/>
        <v/>
      </c>
      <c r="P1557" s="66"/>
      <c r="Q1557" s="66"/>
      <c r="R1557" s="54"/>
      <c r="S1557" s="82"/>
      <c r="T1557" s="83" t="str">
        <f t="shared" si="143"/>
        <v/>
      </c>
      <c r="U1557" s="10"/>
      <c r="V1557" s="41">
        <f>IF(AND(Q1557&lt;&gt;"",RIGHT(Q1557,3)&lt;&gt;""),IF(COUNTIF($Q$6:Q1557,Q1557)=1,1,0),0)</f>
        <v>0</v>
      </c>
      <c r="W1557" s="41" t="str">
        <f t="shared" si="144"/>
        <v/>
      </c>
      <c r="X1557" s="41" t="str">
        <f t="shared" si="145"/>
        <v/>
      </c>
    </row>
    <row r="1558" s="32" customFormat="1" hidden="1" customHeight="1" spans="1:24">
      <c r="A1558" s="34"/>
      <c r="B1558" s="51"/>
      <c r="C1558" s="51"/>
      <c r="D1558" s="52"/>
      <c r="E1558" s="53"/>
      <c r="F1558" s="54"/>
      <c r="G1558" s="54"/>
      <c r="H1558" s="54"/>
      <c r="I1558" s="66"/>
      <c r="J1558" s="54"/>
      <c r="K1558" s="54"/>
      <c r="L1558" s="54"/>
      <c r="M1558" s="97" t="str">
        <f t="shared" si="142"/>
        <v/>
      </c>
      <c r="N1558" s="70"/>
      <c r="O1558" s="71" t="str">
        <f t="shared" si="146"/>
        <v/>
      </c>
      <c r="P1558" s="66"/>
      <c r="Q1558" s="66"/>
      <c r="R1558" s="54"/>
      <c r="S1558" s="82"/>
      <c r="T1558" s="83" t="str">
        <f t="shared" si="143"/>
        <v/>
      </c>
      <c r="U1558" s="10"/>
      <c r="V1558" s="41">
        <f>IF(AND(Q1558&lt;&gt;"",RIGHT(Q1558,3)&lt;&gt;""),IF(COUNTIF($Q$6:Q1558,Q1558)=1,1,0),0)</f>
        <v>0</v>
      </c>
      <c r="W1558" s="41" t="str">
        <f t="shared" si="144"/>
        <v/>
      </c>
      <c r="X1558" s="41" t="str">
        <f t="shared" si="145"/>
        <v/>
      </c>
    </row>
    <row r="1559" s="32" customFormat="1" hidden="1" customHeight="1" spans="1:24">
      <c r="A1559" s="34"/>
      <c r="B1559" s="51"/>
      <c r="C1559" s="51"/>
      <c r="D1559" s="52"/>
      <c r="E1559" s="53"/>
      <c r="F1559" s="54"/>
      <c r="G1559" s="54"/>
      <c r="H1559" s="54"/>
      <c r="I1559" s="66"/>
      <c r="J1559" s="54"/>
      <c r="K1559" s="54"/>
      <c r="L1559" s="54"/>
      <c r="M1559" s="97" t="str">
        <f t="shared" si="142"/>
        <v/>
      </c>
      <c r="N1559" s="70"/>
      <c r="O1559" s="71" t="str">
        <f t="shared" si="146"/>
        <v/>
      </c>
      <c r="P1559" s="66"/>
      <c r="Q1559" s="66"/>
      <c r="R1559" s="54"/>
      <c r="S1559" s="82"/>
      <c r="T1559" s="83" t="str">
        <f t="shared" si="143"/>
        <v/>
      </c>
      <c r="U1559" s="10"/>
      <c r="V1559" s="41">
        <f>IF(AND(Q1559&lt;&gt;"",RIGHT(Q1559,3)&lt;&gt;""),IF(COUNTIF($Q$6:Q1559,Q1559)=1,1,0),0)</f>
        <v>0</v>
      </c>
      <c r="W1559" s="41" t="str">
        <f t="shared" si="144"/>
        <v/>
      </c>
      <c r="X1559" s="41" t="str">
        <f t="shared" si="145"/>
        <v/>
      </c>
    </row>
    <row r="1560" s="32" customFormat="1" hidden="1" customHeight="1" spans="1:24">
      <c r="A1560" s="34"/>
      <c r="B1560" s="51"/>
      <c r="C1560" s="51"/>
      <c r="D1560" s="52"/>
      <c r="E1560" s="53"/>
      <c r="F1560" s="54"/>
      <c r="G1560" s="54"/>
      <c r="H1560" s="54"/>
      <c r="I1560" s="66"/>
      <c r="J1560" s="54"/>
      <c r="K1560" s="54"/>
      <c r="L1560" s="54"/>
      <c r="M1560" s="97" t="str">
        <f t="shared" si="142"/>
        <v/>
      </c>
      <c r="N1560" s="70"/>
      <c r="O1560" s="71" t="str">
        <f t="shared" si="146"/>
        <v/>
      </c>
      <c r="P1560" s="66"/>
      <c r="Q1560" s="66"/>
      <c r="R1560" s="54"/>
      <c r="S1560" s="82"/>
      <c r="T1560" s="83" t="str">
        <f t="shared" si="143"/>
        <v/>
      </c>
      <c r="U1560" s="10"/>
      <c r="V1560" s="41">
        <f>IF(AND(Q1560&lt;&gt;"",RIGHT(Q1560,3)&lt;&gt;""),IF(COUNTIF($Q$6:Q1560,Q1560)=1,1,0),0)</f>
        <v>0</v>
      </c>
      <c r="W1560" s="41" t="str">
        <f t="shared" si="144"/>
        <v/>
      </c>
      <c r="X1560" s="41" t="str">
        <f t="shared" si="145"/>
        <v/>
      </c>
    </row>
    <row r="1561" s="32" customFormat="1" hidden="1" customHeight="1" spans="1:24">
      <c r="A1561" s="34"/>
      <c r="B1561" s="51"/>
      <c r="C1561" s="51"/>
      <c r="D1561" s="52"/>
      <c r="E1561" s="53"/>
      <c r="F1561" s="54"/>
      <c r="G1561" s="54"/>
      <c r="H1561" s="54"/>
      <c r="I1561" s="66"/>
      <c r="J1561" s="54"/>
      <c r="K1561" s="54"/>
      <c r="L1561" s="54"/>
      <c r="M1561" s="97" t="str">
        <f t="shared" si="142"/>
        <v/>
      </c>
      <c r="N1561" s="70"/>
      <c r="O1561" s="71" t="str">
        <f t="shared" si="146"/>
        <v/>
      </c>
      <c r="P1561" s="66"/>
      <c r="Q1561" s="66"/>
      <c r="R1561" s="54"/>
      <c r="S1561" s="82"/>
      <c r="T1561" s="83" t="str">
        <f t="shared" si="143"/>
        <v/>
      </c>
      <c r="U1561" s="10"/>
      <c r="V1561" s="41">
        <f>IF(AND(Q1561&lt;&gt;"",RIGHT(Q1561,3)&lt;&gt;""),IF(COUNTIF($Q$6:Q1561,Q1561)=1,1,0),0)</f>
        <v>0</v>
      </c>
      <c r="W1561" s="41" t="str">
        <f t="shared" si="144"/>
        <v/>
      </c>
      <c r="X1561" s="41" t="str">
        <f t="shared" si="145"/>
        <v/>
      </c>
    </row>
    <row r="1562" s="32" customFormat="1" hidden="1" customHeight="1" spans="1:24">
      <c r="A1562" s="34"/>
      <c r="B1562" s="51"/>
      <c r="C1562" s="51"/>
      <c r="D1562" s="52"/>
      <c r="E1562" s="53"/>
      <c r="F1562" s="54"/>
      <c r="G1562" s="54"/>
      <c r="H1562" s="54"/>
      <c r="I1562" s="66"/>
      <c r="J1562" s="54"/>
      <c r="K1562" s="54"/>
      <c r="L1562" s="54"/>
      <c r="M1562" s="97" t="str">
        <f t="shared" si="142"/>
        <v/>
      </c>
      <c r="N1562" s="70"/>
      <c r="O1562" s="71" t="str">
        <f t="shared" si="146"/>
        <v/>
      </c>
      <c r="P1562" s="66"/>
      <c r="Q1562" s="66"/>
      <c r="R1562" s="54"/>
      <c r="S1562" s="82"/>
      <c r="T1562" s="83" t="str">
        <f t="shared" si="143"/>
        <v/>
      </c>
      <c r="U1562" s="10"/>
      <c r="V1562" s="41">
        <f>IF(AND(Q1562&lt;&gt;"",RIGHT(Q1562,3)&lt;&gt;""),IF(COUNTIF($Q$6:Q1562,Q1562)=1,1,0),0)</f>
        <v>0</v>
      </c>
      <c r="W1562" s="41" t="str">
        <f t="shared" si="144"/>
        <v/>
      </c>
      <c r="X1562" s="41" t="str">
        <f t="shared" si="145"/>
        <v/>
      </c>
    </row>
    <row r="1563" s="32" customFormat="1" hidden="1" customHeight="1" spans="1:24">
      <c r="A1563" s="34"/>
      <c r="B1563" s="51"/>
      <c r="C1563" s="51"/>
      <c r="D1563" s="52"/>
      <c r="E1563" s="53"/>
      <c r="F1563" s="54"/>
      <c r="G1563" s="54"/>
      <c r="H1563" s="54"/>
      <c r="I1563" s="66"/>
      <c r="J1563" s="54"/>
      <c r="K1563" s="54"/>
      <c r="L1563" s="54"/>
      <c r="M1563" s="97" t="str">
        <f t="shared" si="142"/>
        <v/>
      </c>
      <c r="N1563" s="70"/>
      <c r="O1563" s="71" t="str">
        <f t="shared" si="146"/>
        <v/>
      </c>
      <c r="P1563" s="66"/>
      <c r="Q1563" s="66"/>
      <c r="R1563" s="54"/>
      <c r="S1563" s="82"/>
      <c r="T1563" s="83" t="str">
        <f t="shared" si="143"/>
        <v/>
      </c>
      <c r="U1563" s="10"/>
      <c r="V1563" s="41">
        <f>IF(AND(Q1563&lt;&gt;"",RIGHT(Q1563,3)&lt;&gt;""),IF(COUNTIF($Q$6:Q1563,Q1563)=1,1,0),0)</f>
        <v>0</v>
      </c>
      <c r="W1563" s="41" t="str">
        <f t="shared" si="144"/>
        <v/>
      </c>
      <c r="X1563" s="41" t="str">
        <f t="shared" si="145"/>
        <v/>
      </c>
    </row>
    <row r="1564" s="32" customFormat="1" hidden="1" customHeight="1" spans="1:24">
      <c r="A1564" s="34"/>
      <c r="B1564" s="51"/>
      <c r="C1564" s="51"/>
      <c r="D1564" s="52"/>
      <c r="E1564" s="53"/>
      <c r="F1564" s="54"/>
      <c r="G1564" s="54"/>
      <c r="H1564" s="54"/>
      <c r="I1564" s="66"/>
      <c r="J1564" s="54"/>
      <c r="K1564" s="54"/>
      <c r="L1564" s="54"/>
      <c r="M1564" s="97" t="str">
        <f t="shared" si="142"/>
        <v/>
      </c>
      <c r="N1564" s="70"/>
      <c r="O1564" s="71" t="str">
        <f t="shared" si="146"/>
        <v/>
      </c>
      <c r="P1564" s="66"/>
      <c r="Q1564" s="66"/>
      <c r="R1564" s="54"/>
      <c r="S1564" s="82"/>
      <c r="T1564" s="83" t="str">
        <f t="shared" si="143"/>
        <v/>
      </c>
      <c r="U1564" s="10"/>
      <c r="V1564" s="41">
        <f>IF(AND(Q1564&lt;&gt;"",RIGHT(Q1564,3)&lt;&gt;""),IF(COUNTIF($Q$6:Q1564,Q1564)=1,1,0),0)</f>
        <v>0</v>
      </c>
      <c r="W1564" s="41" t="str">
        <f t="shared" si="144"/>
        <v/>
      </c>
      <c r="X1564" s="41" t="str">
        <f t="shared" si="145"/>
        <v/>
      </c>
    </row>
    <row r="1565" s="32" customFormat="1" hidden="1" customHeight="1" spans="1:24">
      <c r="A1565" s="34"/>
      <c r="B1565" s="51"/>
      <c r="C1565" s="51"/>
      <c r="D1565" s="52"/>
      <c r="E1565" s="53"/>
      <c r="F1565" s="54"/>
      <c r="G1565" s="54"/>
      <c r="H1565" s="54"/>
      <c r="I1565" s="66"/>
      <c r="J1565" s="54"/>
      <c r="K1565" s="54"/>
      <c r="L1565" s="54"/>
      <c r="M1565" s="97" t="str">
        <f t="shared" si="142"/>
        <v/>
      </c>
      <c r="N1565" s="70"/>
      <c r="O1565" s="71" t="str">
        <f t="shared" si="146"/>
        <v/>
      </c>
      <c r="P1565" s="66"/>
      <c r="Q1565" s="66"/>
      <c r="R1565" s="54"/>
      <c r="S1565" s="82"/>
      <c r="T1565" s="83" t="str">
        <f t="shared" si="143"/>
        <v/>
      </c>
      <c r="U1565" s="10"/>
      <c r="V1565" s="41">
        <f>IF(AND(Q1565&lt;&gt;"",RIGHT(Q1565,3)&lt;&gt;""),IF(COUNTIF($Q$6:Q1565,Q1565)=1,1,0),0)</f>
        <v>0</v>
      </c>
      <c r="W1565" s="41" t="str">
        <f t="shared" si="144"/>
        <v/>
      </c>
      <c r="X1565" s="41" t="str">
        <f t="shared" si="145"/>
        <v/>
      </c>
    </row>
    <row r="1566" s="32" customFormat="1" hidden="1" customHeight="1" spans="1:24">
      <c r="A1566" s="34"/>
      <c r="B1566" s="51"/>
      <c r="C1566" s="51"/>
      <c r="D1566" s="52"/>
      <c r="E1566" s="53"/>
      <c r="F1566" s="54"/>
      <c r="G1566" s="54"/>
      <c r="H1566" s="54"/>
      <c r="I1566" s="66"/>
      <c r="J1566" s="54"/>
      <c r="K1566" s="54"/>
      <c r="L1566" s="54"/>
      <c r="M1566" s="97" t="str">
        <f t="shared" si="142"/>
        <v/>
      </c>
      <c r="N1566" s="70"/>
      <c r="O1566" s="71" t="str">
        <f t="shared" si="146"/>
        <v/>
      </c>
      <c r="P1566" s="66"/>
      <c r="Q1566" s="66"/>
      <c r="R1566" s="54"/>
      <c r="S1566" s="82"/>
      <c r="T1566" s="83" t="str">
        <f t="shared" si="143"/>
        <v/>
      </c>
      <c r="U1566" s="10"/>
      <c r="V1566" s="41">
        <f>IF(AND(Q1566&lt;&gt;"",RIGHT(Q1566,3)&lt;&gt;""),IF(COUNTIF($Q$6:Q1566,Q1566)=1,1,0),0)</f>
        <v>0</v>
      </c>
      <c r="W1566" s="41" t="str">
        <f t="shared" si="144"/>
        <v/>
      </c>
      <c r="X1566" s="41" t="str">
        <f t="shared" si="145"/>
        <v/>
      </c>
    </row>
    <row r="1567" s="32" customFormat="1" hidden="1" customHeight="1" spans="1:24">
      <c r="A1567" s="34"/>
      <c r="B1567" s="51"/>
      <c r="C1567" s="51"/>
      <c r="D1567" s="52"/>
      <c r="E1567" s="53"/>
      <c r="F1567" s="54"/>
      <c r="G1567" s="54"/>
      <c r="H1567" s="54"/>
      <c r="I1567" s="66"/>
      <c r="J1567" s="54"/>
      <c r="K1567" s="54"/>
      <c r="L1567" s="54"/>
      <c r="M1567" s="97" t="str">
        <f t="shared" si="142"/>
        <v/>
      </c>
      <c r="N1567" s="70"/>
      <c r="O1567" s="71" t="str">
        <f t="shared" si="146"/>
        <v/>
      </c>
      <c r="P1567" s="66"/>
      <c r="Q1567" s="66"/>
      <c r="R1567" s="54"/>
      <c r="S1567" s="82"/>
      <c r="T1567" s="83" t="str">
        <f t="shared" si="143"/>
        <v/>
      </c>
      <c r="U1567" s="10"/>
      <c r="V1567" s="41">
        <f>IF(AND(Q1567&lt;&gt;"",RIGHT(Q1567,3)&lt;&gt;""),IF(COUNTIF($Q$6:Q1567,Q1567)=1,1,0),0)</f>
        <v>0</v>
      </c>
      <c r="W1567" s="41" t="str">
        <f t="shared" si="144"/>
        <v/>
      </c>
      <c r="X1567" s="41" t="str">
        <f t="shared" si="145"/>
        <v/>
      </c>
    </row>
    <row r="1568" s="32" customFormat="1" hidden="1" customHeight="1" spans="1:24">
      <c r="A1568" s="34"/>
      <c r="B1568" s="51"/>
      <c r="C1568" s="51"/>
      <c r="D1568" s="52"/>
      <c r="E1568" s="53"/>
      <c r="F1568" s="54"/>
      <c r="G1568" s="54"/>
      <c r="H1568" s="54"/>
      <c r="I1568" s="66"/>
      <c r="J1568" s="54"/>
      <c r="K1568" s="54"/>
      <c r="L1568" s="54"/>
      <c r="M1568" s="97" t="str">
        <f t="shared" si="142"/>
        <v/>
      </c>
      <c r="N1568" s="70"/>
      <c r="O1568" s="71" t="str">
        <f t="shared" si="146"/>
        <v/>
      </c>
      <c r="P1568" s="66"/>
      <c r="Q1568" s="66"/>
      <c r="R1568" s="54"/>
      <c r="S1568" s="82"/>
      <c r="T1568" s="83" t="str">
        <f t="shared" si="143"/>
        <v/>
      </c>
      <c r="U1568" s="10"/>
      <c r="V1568" s="41">
        <f>IF(AND(Q1568&lt;&gt;"",RIGHT(Q1568,3)&lt;&gt;""),IF(COUNTIF($Q$6:Q1568,Q1568)=1,1,0),0)</f>
        <v>0</v>
      </c>
      <c r="W1568" s="41" t="str">
        <f t="shared" si="144"/>
        <v/>
      </c>
      <c r="X1568" s="41" t="str">
        <f t="shared" si="145"/>
        <v/>
      </c>
    </row>
    <row r="1569" s="32" customFormat="1" hidden="1" customHeight="1" spans="1:24">
      <c r="A1569" s="34"/>
      <c r="B1569" s="51"/>
      <c r="C1569" s="51"/>
      <c r="D1569" s="52"/>
      <c r="E1569" s="53"/>
      <c r="F1569" s="54"/>
      <c r="G1569" s="54"/>
      <c r="H1569" s="54"/>
      <c r="I1569" s="66"/>
      <c r="J1569" s="54"/>
      <c r="K1569" s="54"/>
      <c r="L1569" s="54"/>
      <c r="M1569" s="97" t="str">
        <f t="shared" si="142"/>
        <v/>
      </c>
      <c r="N1569" s="70"/>
      <c r="O1569" s="71" t="str">
        <f t="shared" si="146"/>
        <v/>
      </c>
      <c r="P1569" s="66"/>
      <c r="Q1569" s="66"/>
      <c r="R1569" s="54"/>
      <c r="S1569" s="82"/>
      <c r="T1569" s="83" t="str">
        <f t="shared" si="143"/>
        <v/>
      </c>
      <c r="U1569" s="10"/>
      <c r="V1569" s="41">
        <f>IF(AND(Q1569&lt;&gt;"",RIGHT(Q1569,3)&lt;&gt;""),IF(COUNTIF($Q$6:Q1569,Q1569)=1,1,0),0)</f>
        <v>0</v>
      </c>
      <c r="W1569" s="41" t="str">
        <f t="shared" si="144"/>
        <v/>
      </c>
      <c r="X1569" s="41" t="str">
        <f t="shared" si="145"/>
        <v/>
      </c>
    </row>
    <row r="1570" s="32" customFormat="1" hidden="1" customHeight="1" spans="1:24">
      <c r="A1570" s="34"/>
      <c r="B1570" s="51"/>
      <c r="C1570" s="51"/>
      <c r="D1570" s="52"/>
      <c r="E1570" s="53"/>
      <c r="F1570" s="54"/>
      <c r="G1570" s="54"/>
      <c r="H1570" s="54"/>
      <c r="I1570" s="66"/>
      <c r="J1570" s="54"/>
      <c r="K1570" s="54"/>
      <c r="L1570" s="54"/>
      <c r="M1570" s="97" t="str">
        <f t="shared" si="142"/>
        <v/>
      </c>
      <c r="N1570" s="70"/>
      <c r="O1570" s="71" t="str">
        <f t="shared" si="146"/>
        <v/>
      </c>
      <c r="P1570" s="66"/>
      <c r="Q1570" s="66"/>
      <c r="R1570" s="54"/>
      <c r="S1570" s="82"/>
      <c r="T1570" s="83" t="str">
        <f t="shared" si="143"/>
        <v/>
      </c>
      <c r="U1570" s="10"/>
      <c r="V1570" s="41">
        <f>IF(AND(Q1570&lt;&gt;"",RIGHT(Q1570,3)&lt;&gt;""),IF(COUNTIF($Q$6:Q1570,Q1570)=1,1,0),0)</f>
        <v>0</v>
      </c>
      <c r="W1570" s="41" t="str">
        <f t="shared" si="144"/>
        <v/>
      </c>
      <c r="X1570" s="41" t="str">
        <f t="shared" si="145"/>
        <v/>
      </c>
    </row>
    <row r="1571" s="32" customFormat="1" hidden="1" customHeight="1" spans="1:24">
      <c r="A1571" s="34"/>
      <c r="B1571" s="51"/>
      <c r="C1571" s="51"/>
      <c r="D1571" s="52"/>
      <c r="E1571" s="53"/>
      <c r="F1571" s="54"/>
      <c r="G1571" s="54"/>
      <c r="H1571" s="54"/>
      <c r="I1571" s="66"/>
      <c r="J1571" s="54"/>
      <c r="K1571" s="54"/>
      <c r="L1571" s="54"/>
      <c r="M1571" s="97" t="str">
        <f t="shared" si="142"/>
        <v/>
      </c>
      <c r="N1571" s="70"/>
      <c r="O1571" s="71" t="str">
        <f t="shared" si="146"/>
        <v/>
      </c>
      <c r="P1571" s="66"/>
      <c r="Q1571" s="66"/>
      <c r="R1571" s="54"/>
      <c r="S1571" s="82"/>
      <c r="T1571" s="83" t="str">
        <f t="shared" si="143"/>
        <v/>
      </c>
      <c r="U1571" s="10"/>
      <c r="V1571" s="41">
        <f>IF(AND(Q1571&lt;&gt;"",RIGHT(Q1571,3)&lt;&gt;""),IF(COUNTIF($Q$6:Q1571,Q1571)=1,1,0),0)</f>
        <v>0</v>
      </c>
      <c r="W1571" s="41" t="str">
        <f t="shared" si="144"/>
        <v/>
      </c>
      <c r="X1571" s="41" t="str">
        <f t="shared" si="145"/>
        <v/>
      </c>
    </row>
    <row r="1572" s="32" customFormat="1" hidden="1" customHeight="1" spans="1:24">
      <c r="A1572" s="34"/>
      <c r="B1572" s="51"/>
      <c r="C1572" s="51"/>
      <c r="D1572" s="52"/>
      <c r="E1572" s="53"/>
      <c r="F1572" s="54"/>
      <c r="G1572" s="54"/>
      <c r="H1572" s="54"/>
      <c r="I1572" s="66"/>
      <c r="J1572" s="54"/>
      <c r="K1572" s="54"/>
      <c r="L1572" s="54"/>
      <c r="M1572" s="97" t="str">
        <f t="shared" ref="M1572:M1635" si="147">IF(L1572="","",HYPERLINK(_xlfn.CONCAT($L$4,L1572,".jpg"),"Open File"))</f>
        <v/>
      </c>
      <c r="N1572" s="70"/>
      <c r="O1572" s="71" t="str">
        <f t="shared" si="146"/>
        <v/>
      </c>
      <c r="P1572" s="66"/>
      <c r="Q1572" s="66"/>
      <c r="R1572" s="54"/>
      <c r="S1572" s="82"/>
      <c r="T1572" s="83" t="str">
        <f t="shared" ref="T1572:T1635" si="148">IF(S1572="","",HYPERLINK(_xlfn.CONCAT($S$4,S1572,".jpg"),"Open File"))</f>
        <v/>
      </c>
      <c r="U1572" s="10"/>
      <c r="V1572" s="41">
        <f>IF(AND(Q1572&lt;&gt;"",RIGHT(Q1572,3)&lt;&gt;""),IF(COUNTIF($Q$6:Q1572,Q1572)=1,1,0),0)</f>
        <v>0</v>
      </c>
      <c r="W1572" s="41" t="str">
        <f t="shared" ref="W1572:W1635" si="149">IF(AND(J1572&lt;&gt;"",K1572&lt;&gt;""),_xlfn.CONCAT(SUBSTITUTE(J1572,"/","."),"-",K1572),"")</f>
        <v/>
      </c>
      <c r="X1572" s="41" t="str">
        <f t="shared" ref="X1572:X1635" si="150">IF(AND(Q1572&lt;&gt;"",R1572&lt;&gt;""),_xlfn.CONCAT(SUBSTITUTE(Q1572,"/","."),"-",R1572),"")</f>
        <v/>
      </c>
    </row>
    <row r="1573" s="32" customFormat="1" hidden="1" customHeight="1" spans="1:24">
      <c r="A1573" s="34"/>
      <c r="B1573" s="51"/>
      <c r="C1573" s="51"/>
      <c r="D1573" s="52"/>
      <c r="E1573" s="53"/>
      <c r="F1573" s="54"/>
      <c r="G1573" s="54"/>
      <c r="H1573" s="54"/>
      <c r="I1573" s="66"/>
      <c r="J1573" s="54"/>
      <c r="K1573" s="54"/>
      <c r="L1573" s="54"/>
      <c r="M1573" s="97" t="str">
        <f t="shared" si="147"/>
        <v/>
      </c>
      <c r="N1573" s="70"/>
      <c r="O1573" s="71" t="str">
        <f t="shared" si="146"/>
        <v/>
      </c>
      <c r="P1573" s="66"/>
      <c r="Q1573" s="66"/>
      <c r="R1573" s="54"/>
      <c r="S1573" s="82"/>
      <c r="T1573" s="83" t="str">
        <f t="shared" si="148"/>
        <v/>
      </c>
      <c r="U1573" s="10"/>
      <c r="V1573" s="41">
        <f>IF(AND(Q1573&lt;&gt;"",RIGHT(Q1573,3)&lt;&gt;""),IF(COUNTIF($Q$6:Q1573,Q1573)=1,1,0),0)</f>
        <v>0</v>
      </c>
      <c r="W1573" s="41" t="str">
        <f t="shared" si="149"/>
        <v/>
      </c>
      <c r="X1573" s="41" t="str">
        <f t="shared" si="150"/>
        <v/>
      </c>
    </row>
    <row r="1574" s="32" customFormat="1" hidden="1" customHeight="1" spans="1:24">
      <c r="A1574" s="34"/>
      <c r="B1574" s="51"/>
      <c r="C1574" s="51"/>
      <c r="D1574" s="52"/>
      <c r="E1574" s="53"/>
      <c r="F1574" s="54"/>
      <c r="G1574" s="54"/>
      <c r="H1574" s="54"/>
      <c r="I1574" s="66"/>
      <c r="J1574" s="54"/>
      <c r="K1574" s="54"/>
      <c r="L1574" s="54"/>
      <c r="M1574" s="97" t="str">
        <f t="shared" si="147"/>
        <v/>
      </c>
      <c r="N1574" s="70"/>
      <c r="O1574" s="71" t="str">
        <f t="shared" si="146"/>
        <v/>
      </c>
      <c r="P1574" s="66"/>
      <c r="Q1574" s="66"/>
      <c r="R1574" s="54"/>
      <c r="S1574" s="82"/>
      <c r="T1574" s="83" t="str">
        <f t="shared" si="148"/>
        <v/>
      </c>
      <c r="U1574" s="10"/>
      <c r="V1574" s="41">
        <f>IF(AND(Q1574&lt;&gt;"",RIGHT(Q1574,3)&lt;&gt;""),IF(COUNTIF($Q$6:Q1574,Q1574)=1,1,0),0)</f>
        <v>0</v>
      </c>
      <c r="W1574" s="41" t="str">
        <f t="shared" si="149"/>
        <v/>
      </c>
      <c r="X1574" s="41" t="str">
        <f t="shared" si="150"/>
        <v/>
      </c>
    </row>
    <row r="1575" s="32" customFormat="1" hidden="1" customHeight="1" spans="1:24">
      <c r="A1575" s="34"/>
      <c r="B1575" s="51"/>
      <c r="C1575" s="51"/>
      <c r="D1575" s="52"/>
      <c r="E1575" s="53"/>
      <c r="F1575" s="54"/>
      <c r="G1575" s="54"/>
      <c r="H1575" s="54"/>
      <c r="I1575" s="66"/>
      <c r="J1575" s="54"/>
      <c r="K1575" s="54"/>
      <c r="L1575" s="54"/>
      <c r="M1575" s="97" t="str">
        <f t="shared" si="147"/>
        <v/>
      </c>
      <c r="N1575" s="70"/>
      <c r="O1575" s="71" t="str">
        <f t="shared" si="146"/>
        <v/>
      </c>
      <c r="P1575" s="66"/>
      <c r="Q1575" s="66"/>
      <c r="R1575" s="54"/>
      <c r="S1575" s="82"/>
      <c r="T1575" s="83" t="str">
        <f t="shared" si="148"/>
        <v/>
      </c>
      <c r="U1575" s="10"/>
      <c r="V1575" s="41">
        <f>IF(AND(Q1575&lt;&gt;"",RIGHT(Q1575,3)&lt;&gt;""),IF(COUNTIF($Q$6:Q1575,Q1575)=1,1,0),0)</f>
        <v>0</v>
      </c>
      <c r="W1575" s="41" t="str">
        <f t="shared" si="149"/>
        <v/>
      </c>
      <c r="X1575" s="41" t="str">
        <f t="shared" si="150"/>
        <v/>
      </c>
    </row>
    <row r="1576" s="32" customFormat="1" hidden="1" customHeight="1" spans="1:24">
      <c r="A1576" s="34"/>
      <c r="B1576" s="51"/>
      <c r="C1576" s="51"/>
      <c r="D1576" s="52"/>
      <c r="E1576" s="53"/>
      <c r="F1576" s="54"/>
      <c r="G1576" s="54"/>
      <c r="H1576" s="54"/>
      <c r="I1576" s="66"/>
      <c r="J1576" s="54"/>
      <c r="K1576" s="54"/>
      <c r="L1576" s="54"/>
      <c r="M1576" s="97" t="str">
        <f t="shared" si="147"/>
        <v/>
      </c>
      <c r="N1576" s="70"/>
      <c r="O1576" s="71" t="str">
        <f t="shared" si="146"/>
        <v/>
      </c>
      <c r="P1576" s="66"/>
      <c r="Q1576" s="66"/>
      <c r="R1576" s="54"/>
      <c r="S1576" s="82"/>
      <c r="T1576" s="83" t="str">
        <f t="shared" si="148"/>
        <v/>
      </c>
      <c r="U1576" s="10"/>
      <c r="V1576" s="41">
        <f>IF(AND(Q1576&lt;&gt;"",RIGHT(Q1576,3)&lt;&gt;""),IF(COUNTIF($Q$6:Q1576,Q1576)=1,1,0),0)</f>
        <v>0</v>
      </c>
      <c r="W1576" s="41" t="str">
        <f t="shared" si="149"/>
        <v/>
      </c>
      <c r="X1576" s="41" t="str">
        <f t="shared" si="150"/>
        <v/>
      </c>
    </row>
    <row r="1577" s="32" customFormat="1" hidden="1" customHeight="1" spans="1:24">
      <c r="A1577" s="34"/>
      <c r="B1577" s="51"/>
      <c r="C1577" s="51"/>
      <c r="D1577" s="52"/>
      <c r="E1577" s="53"/>
      <c r="F1577" s="54"/>
      <c r="G1577" s="54"/>
      <c r="H1577" s="54"/>
      <c r="I1577" s="66"/>
      <c r="J1577" s="54"/>
      <c r="K1577" s="54"/>
      <c r="L1577" s="54"/>
      <c r="M1577" s="97" t="str">
        <f t="shared" si="147"/>
        <v/>
      </c>
      <c r="N1577" s="70"/>
      <c r="O1577" s="71" t="str">
        <f t="shared" si="146"/>
        <v/>
      </c>
      <c r="P1577" s="66"/>
      <c r="Q1577" s="66"/>
      <c r="R1577" s="54"/>
      <c r="S1577" s="82"/>
      <c r="T1577" s="83" t="str">
        <f t="shared" si="148"/>
        <v/>
      </c>
      <c r="U1577" s="10"/>
      <c r="V1577" s="41">
        <f>IF(AND(Q1577&lt;&gt;"",RIGHT(Q1577,3)&lt;&gt;""),IF(COUNTIF($Q$6:Q1577,Q1577)=1,1,0),0)</f>
        <v>0</v>
      </c>
      <c r="W1577" s="41" t="str">
        <f t="shared" si="149"/>
        <v/>
      </c>
      <c r="X1577" s="41" t="str">
        <f t="shared" si="150"/>
        <v/>
      </c>
    </row>
    <row r="1578" s="32" customFormat="1" hidden="1" customHeight="1" spans="1:24">
      <c r="A1578" s="34"/>
      <c r="B1578" s="51"/>
      <c r="C1578" s="51"/>
      <c r="D1578" s="52"/>
      <c r="E1578" s="53"/>
      <c r="F1578" s="54"/>
      <c r="G1578" s="54"/>
      <c r="H1578" s="54"/>
      <c r="I1578" s="66"/>
      <c r="J1578" s="54"/>
      <c r="K1578" s="54"/>
      <c r="L1578" s="54"/>
      <c r="M1578" s="97" t="str">
        <f t="shared" si="147"/>
        <v/>
      </c>
      <c r="N1578" s="70"/>
      <c r="O1578" s="71" t="str">
        <f t="shared" si="146"/>
        <v/>
      </c>
      <c r="P1578" s="66"/>
      <c r="Q1578" s="66"/>
      <c r="R1578" s="54"/>
      <c r="S1578" s="82"/>
      <c r="T1578" s="83" t="str">
        <f t="shared" si="148"/>
        <v/>
      </c>
      <c r="U1578" s="10"/>
      <c r="V1578" s="41">
        <f>IF(AND(Q1578&lt;&gt;"",RIGHT(Q1578,3)&lt;&gt;""),IF(COUNTIF($Q$6:Q1578,Q1578)=1,1,0),0)</f>
        <v>0</v>
      </c>
      <c r="W1578" s="41" t="str">
        <f t="shared" si="149"/>
        <v/>
      </c>
      <c r="X1578" s="41" t="str">
        <f t="shared" si="150"/>
        <v/>
      </c>
    </row>
    <row r="1579" s="32" customFormat="1" hidden="1" customHeight="1" spans="1:24">
      <c r="A1579" s="34"/>
      <c r="B1579" s="51"/>
      <c r="C1579" s="51"/>
      <c r="D1579" s="52"/>
      <c r="E1579" s="53"/>
      <c r="F1579" s="54"/>
      <c r="G1579" s="54"/>
      <c r="H1579" s="54"/>
      <c r="I1579" s="66"/>
      <c r="J1579" s="54"/>
      <c r="K1579" s="54"/>
      <c r="L1579" s="54"/>
      <c r="M1579" s="97" t="str">
        <f t="shared" si="147"/>
        <v/>
      </c>
      <c r="N1579" s="70"/>
      <c r="O1579" s="71" t="str">
        <f t="shared" si="146"/>
        <v/>
      </c>
      <c r="P1579" s="66"/>
      <c r="Q1579" s="66"/>
      <c r="R1579" s="54"/>
      <c r="S1579" s="82"/>
      <c r="T1579" s="83" t="str">
        <f t="shared" si="148"/>
        <v/>
      </c>
      <c r="U1579" s="10"/>
      <c r="V1579" s="41">
        <f>IF(AND(Q1579&lt;&gt;"",RIGHT(Q1579,3)&lt;&gt;""),IF(COUNTIF($Q$6:Q1579,Q1579)=1,1,0),0)</f>
        <v>0</v>
      </c>
      <c r="W1579" s="41" t="str">
        <f t="shared" si="149"/>
        <v/>
      </c>
      <c r="X1579" s="41" t="str">
        <f t="shared" si="150"/>
        <v/>
      </c>
    </row>
    <row r="1580" s="32" customFormat="1" hidden="1" customHeight="1" spans="1:24">
      <c r="A1580" s="34"/>
      <c r="B1580" s="51"/>
      <c r="C1580" s="51"/>
      <c r="D1580" s="52"/>
      <c r="E1580" s="53"/>
      <c r="F1580" s="54"/>
      <c r="G1580" s="54"/>
      <c r="H1580" s="54"/>
      <c r="I1580" s="66"/>
      <c r="J1580" s="54"/>
      <c r="K1580" s="54"/>
      <c r="L1580" s="54"/>
      <c r="M1580" s="97" t="str">
        <f t="shared" si="147"/>
        <v/>
      </c>
      <c r="N1580" s="70"/>
      <c r="O1580" s="71" t="str">
        <f t="shared" si="146"/>
        <v/>
      </c>
      <c r="P1580" s="66"/>
      <c r="Q1580" s="66"/>
      <c r="R1580" s="54"/>
      <c r="S1580" s="82"/>
      <c r="T1580" s="83" t="str">
        <f t="shared" si="148"/>
        <v/>
      </c>
      <c r="U1580" s="10"/>
      <c r="V1580" s="41">
        <f>IF(AND(Q1580&lt;&gt;"",RIGHT(Q1580,3)&lt;&gt;""),IF(COUNTIF($Q$6:Q1580,Q1580)=1,1,0),0)</f>
        <v>0</v>
      </c>
      <c r="W1580" s="41" t="str">
        <f t="shared" si="149"/>
        <v/>
      </c>
      <c r="X1580" s="41" t="str">
        <f t="shared" si="150"/>
        <v/>
      </c>
    </row>
    <row r="1581" s="32" customFormat="1" hidden="1" customHeight="1" spans="1:24">
      <c r="A1581" s="34"/>
      <c r="B1581" s="51"/>
      <c r="C1581" s="51"/>
      <c r="D1581" s="52"/>
      <c r="E1581" s="53"/>
      <c r="F1581" s="54"/>
      <c r="G1581" s="54"/>
      <c r="H1581" s="54"/>
      <c r="I1581" s="66"/>
      <c r="J1581" s="54"/>
      <c r="K1581" s="54"/>
      <c r="L1581" s="54"/>
      <c r="M1581" s="97" t="str">
        <f t="shared" si="147"/>
        <v/>
      </c>
      <c r="N1581" s="70"/>
      <c r="O1581" s="71" t="str">
        <f t="shared" si="146"/>
        <v/>
      </c>
      <c r="P1581" s="66"/>
      <c r="Q1581" s="66"/>
      <c r="R1581" s="54"/>
      <c r="S1581" s="82"/>
      <c r="T1581" s="83" t="str">
        <f t="shared" si="148"/>
        <v/>
      </c>
      <c r="U1581" s="10"/>
      <c r="V1581" s="41">
        <f>IF(AND(Q1581&lt;&gt;"",RIGHT(Q1581,3)&lt;&gt;""),IF(COUNTIF($Q$6:Q1581,Q1581)=1,1,0),0)</f>
        <v>0</v>
      </c>
      <c r="W1581" s="41" t="str">
        <f t="shared" si="149"/>
        <v/>
      </c>
      <c r="X1581" s="41" t="str">
        <f t="shared" si="150"/>
        <v/>
      </c>
    </row>
    <row r="1582" s="32" customFormat="1" hidden="1" customHeight="1" spans="1:24">
      <c r="A1582" s="34"/>
      <c r="B1582" s="51"/>
      <c r="C1582" s="51"/>
      <c r="D1582" s="52"/>
      <c r="E1582" s="53"/>
      <c r="F1582" s="54"/>
      <c r="G1582" s="54"/>
      <c r="H1582" s="54"/>
      <c r="I1582" s="66"/>
      <c r="J1582" s="54"/>
      <c r="K1582" s="54"/>
      <c r="L1582" s="54"/>
      <c r="M1582" s="97" t="str">
        <f t="shared" si="147"/>
        <v/>
      </c>
      <c r="N1582" s="70"/>
      <c r="O1582" s="71" t="str">
        <f t="shared" si="146"/>
        <v/>
      </c>
      <c r="P1582" s="66"/>
      <c r="Q1582" s="66"/>
      <c r="R1582" s="54"/>
      <c r="S1582" s="82"/>
      <c r="T1582" s="83" t="str">
        <f t="shared" si="148"/>
        <v/>
      </c>
      <c r="U1582" s="10"/>
      <c r="V1582" s="41">
        <f>IF(AND(Q1582&lt;&gt;"",RIGHT(Q1582,3)&lt;&gt;""),IF(COUNTIF($Q$6:Q1582,Q1582)=1,1,0),0)</f>
        <v>0</v>
      </c>
      <c r="W1582" s="41" t="str">
        <f t="shared" si="149"/>
        <v/>
      </c>
      <c r="X1582" s="41" t="str">
        <f t="shared" si="150"/>
        <v/>
      </c>
    </row>
    <row r="1583" s="32" customFormat="1" hidden="1" customHeight="1" spans="1:24">
      <c r="A1583" s="34"/>
      <c r="B1583" s="51"/>
      <c r="C1583" s="51"/>
      <c r="D1583" s="52"/>
      <c r="E1583" s="53"/>
      <c r="F1583" s="54"/>
      <c r="G1583" s="54"/>
      <c r="H1583" s="54"/>
      <c r="I1583" s="66"/>
      <c r="J1583" s="54"/>
      <c r="K1583" s="54"/>
      <c r="L1583" s="54"/>
      <c r="M1583" s="97" t="str">
        <f t="shared" si="147"/>
        <v/>
      </c>
      <c r="N1583" s="70"/>
      <c r="O1583" s="71" t="str">
        <f t="shared" si="146"/>
        <v/>
      </c>
      <c r="P1583" s="66"/>
      <c r="Q1583" s="66"/>
      <c r="R1583" s="54"/>
      <c r="S1583" s="82"/>
      <c r="T1583" s="83" t="str">
        <f t="shared" si="148"/>
        <v/>
      </c>
      <c r="U1583" s="10"/>
      <c r="V1583" s="41">
        <f>IF(AND(Q1583&lt;&gt;"",RIGHT(Q1583,3)&lt;&gt;""),IF(COUNTIF($Q$6:Q1583,Q1583)=1,1,0),0)</f>
        <v>0</v>
      </c>
      <c r="W1583" s="41" t="str">
        <f t="shared" si="149"/>
        <v/>
      </c>
      <c r="X1583" s="41" t="str">
        <f t="shared" si="150"/>
        <v/>
      </c>
    </row>
    <row r="1584" s="32" customFormat="1" hidden="1" customHeight="1" spans="1:24">
      <c r="A1584" s="34"/>
      <c r="B1584" s="51"/>
      <c r="C1584" s="51"/>
      <c r="D1584" s="52"/>
      <c r="E1584" s="53"/>
      <c r="F1584" s="54"/>
      <c r="G1584" s="54"/>
      <c r="H1584" s="54"/>
      <c r="I1584" s="66"/>
      <c r="J1584" s="54"/>
      <c r="K1584" s="54"/>
      <c r="L1584" s="54"/>
      <c r="M1584" s="97" t="str">
        <f t="shared" si="147"/>
        <v/>
      </c>
      <c r="N1584" s="70"/>
      <c r="O1584" s="71" t="str">
        <f t="shared" si="146"/>
        <v/>
      </c>
      <c r="P1584" s="66"/>
      <c r="Q1584" s="66"/>
      <c r="R1584" s="54"/>
      <c r="S1584" s="82"/>
      <c r="T1584" s="83" t="str">
        <f t="shared" si="148"/>
        <v/>
      </c>
      <c r="U1584" s="10"/>
      <c r="V1584" s="41">
        <f>IF(AND(Q1584&lt;&gt;"",RIGHT(Q1584,3)&lt;&gt;""),IF(COUNTIF($Q$6:Q1584,Q1584)=1,1,0),0)</f>
        <v>0</v>
      </c>
      <c r="W1584" s="41" t="str">
        <f t="shared" si="149"/>
        <v/>
      </c>
      <c r="X1584" s="41" t="str">
        <f t="shared" si="150"/>
        <v/>
      </c>
    </row>
    <row r="1585" s="32" customFormat="1" hidden="1" customHeight="1" spans="1:24">
      <c r="A1585" s="34"/>
      <c r="B1585" s="51"/>
      <c r="C1585" s="51"/>
      <c r="D1585" s="52"/>
      <c r="E1585" s="53"/>
      <c r="F1585" s="54"/>
      <c r="G1585" s="54"/>
      <c r="H1585" s="54"/>
      <c r="I1585" s="66"/>
      <c r="J1585" s="54"/>
      <c r="K1585" s="54"/>
      <c r="L1585" s="54"/>
      <c r="M1585" s="97" t="str">
        <f t="shared" si="147"/>
        <v/>
      </c>
      <c r="N1585" s="70"/>
      <c r="O1585" s="71" t="str">
        <f t="shared" ref="O1585:O1648" si="151">IF(AND(Q1585&lt;&gt;"",T1585&lt;&gt;""),"PASSIVE",IF(AND(J1585&lt;&gt;"",M1585&lt;&gt;""),"ACTIVE",""))</f>
        <v/>
      </c>
      <c r="P1585" s="66"/>
      <c r="Q1585" s="66"/>
      <c r="R1585" s="54"/>
      <c r="S1585" s="82"/>
      <c r="T1585" s="83" t="str">
        <f t="shared" si="148"/>
        <v/>
      </c>
      <c r="U1585" s="10"/>
      <c r="V1585" s="41">
        <f>IF(AND(Q1585&lt;&gt;"",RIGHT(Q1585,3)&lt;&gt;""),IF(COUNTIF($Q$6:Q1585,Q1585)=1,1,0),0)</f>
        <v>0</v>
      </c>
      <c r="W1585" s="41" t="str">
        <f t="shared" si="149"/>
        <v/>
      </c>
      <c r="X1585" s="41" t="str">
        <f t="shared" si="150"/>
        <v/>
      </c>
    </row>
    <row r="1586" s="32" customFormat="1" hidden="1" customHeight="1" spans="1:24">
      <c r="A1586" s="34"/>
      <c r="B1586" s="51"/>
      <c r="C1586" s="51"/>
      <c r="D1586" s="52"/>
      <c r="E1586" s="53"/>
      <c r="F1586" s="54"/>
      <c r="G1586" s="54"/>
      <c r="H1586" s="54"/>
      <c r="I1586" s="66"/>
      <c r="J1586" s="54"/>
      <c r="K1586" s="54"/>
      <c r="L1586" s="54"/>
      <c r="M1586" s="97" t="str">
        <f t="shared" si="147"/>
        <v/>
      </c>
      <c r="N1586" s="70"/>
      <c r="O1586" s="71" t="str">
        <f t="shared" si="151"/>
        <v/>
      </c>
      <c r="P1586" s="66"/>
      <c r="Q1586" s="66"/>
      <c r="R1586" s="54"/>
      <c r="S1586" s="82"/>
      <c r="T1586" s="83" t="str">
        <f t="shared" si="148"/>
        <v/>
      </c>
      <c r="U1586" s="10"/>
      <c r="V1586" s="41">
        <f>IF(AND(Q1586&lt;&gt;"",RIGHT(Q1586,3)&lt;&gt;""),IF(COUNTIF($Q$6:Q1586,Q1586)=1,1,0),0)</f>
        <v>0</v>
      </c>
      <c r="W1586" s="41" t="str">
        <f t="shared" si="149"/>
        <v/>
      </c>
      <c r="X1586" s="41" t="str">
        <f t="shared" si="150"/>
        <v/>
      </c>
    </row>
    <row r="1587" s="32" customFormat="1" hidden="1" customHeight="1" spans="1:24">
      <c r="A1587" s="34"/>
      <c r="B1587" s="51"/>
      <c r="C1587" s="51"/>
      <c r="D1587" s="52"/>
      <c r="E1587" s="53"/>
      <c r="F1587" s="54"/>
      <c r="G1587" s="54"/>
      <c r="H1587" s="54"/>
      <c r="I1587" s="66"/>
      <c r="J1587" s="54"/>
      <c r="K1587" s="54"/>
      <c r="L1587" s="54"/>
      <c r="M1587" s="97" t="str">
        <f t="shared" si="147"/>
        <v/>
      </c>
      <c r="N1587" s="70"/>
      <c r="O1587" s="71" t="str">
        <f t="shared" si="151"/>
        <v/>
      </c>
      <c r="P1587" s="66"/>
      <c r="Q1587" s="66"/>
      <c r="R1587" s="54"/>
      <c r="S1587" s="82"/>
      <c r="T1587" s="83" t="str">
        <f t="shared" si="148"/>
        <v/>
      </c>
      <c r="U1587" s="10"/>
      <c r="V1587" s="41">
        <f>IF(AND(Q1587&lt;&gt;"",RIGHT(Q1587,3)&lt;&gt;""),IF(COUNTIF($Q$6:Q1587,Q1587)=1,1,0),0)</f>
        <v>0</v>
      </c>
      <c r="W1587" s="41" t="str">
        <f t="shared" si="149"/>
        <v/>
      </c>
      <c r="X1587" s="41" t="str">
        <f t="shared" si="150"/>
        <v/>
      </c>
    </row>
    <row r="1588" s="32" customFormat="1" hidden="1" customHeight="1" spans="1:24">
      <c r="A1588" s="34"/>
      <c r="B1588" s="51"/>
      <c r="C1588" s="51"/>
      <c r="D1588" s="52"/>
      <c r="E1588" s="53"/>
      <c r="F1588" s="54"/>
      <c r="G1588" s="54"/>
      <c r="H1588" s="54"/>
      <c r="I1588" s="66"/>
      <c r="J1588" s="54"/>
      <c r="K1588" s="54"/>
      <c r="L1588" s="54"/>
      <c r="M1588" s="97" t="str">
        <f t="shared" si="147"/>
        <v/>
      </c>
      <c r="N1588" s="70"/>
      <c r="O1588" s="71" t="str">
        <f t="shared" si="151"/>
        <v/>
      </c>
      <c r="P1588" s="66"/>
      <c r="Q1588" s="66"/>
      <c r="R1588" s="54"/>
      <c r="S1588" s="82"/>
      <c r="T1588" s="83" t="str">
        <f t="shared" si="148"/>
        <v/>
      </c>
      <c r="U1588" s="10"/>
      <c r="V1588" s="41">
        <f>IF(AND(Q1588&lt;&gt;"",RIGHT(Q1588,3)&lt;&gt;""),IF(COUNTIF($Q$6:Q1588,Q1588)=1,1,0),0)</f>
        <v>0</v>
      </c>
      <c r="W1588" s="41" t="str">
        <f t="shared" si="149"/>
        <v/>
      </c>
      <c r="X1588" s="41" t="str">
        <f t="shared" si="150"/>
        <v/>
      </c>
    </row>
    <row r="1589" s="32" customFormat="1" hidden="1" customHeight="1" spans="1:24">
      <c r="A1589" s="34"/>
      <c r="B1589" s="51"/>
      <c r="C1589" s="51"/>
      <c r="D1589" s="52"/>
      <c r="E1589" s="53"/>
      <c r="F1589" s="54"/>
      <c r="G1589" s="54"/>
      <c r="H1589" s="54"/>
      <c r="I1589" s="66"/>
      <c r="J1589" s="54"/>
      <c r="K1589" s="54"/>
      <c r="L1589" s="54"/>
      <c r="M1589" s="97" t="str">
        <f t="shared" si="147"/>
        <v/>
      </c>
      <c r="N1589" s="70"/>
      <c r="O1589" s="71" t="str">
        <f t="shared" si="151"/>
        <v/>
      </c>
      <c r="P1589" s="66"/>
      <c r="Q1589" s="66"/>
      <c r="R1589" s="54"/>
      <c r="S1589" s="82"/>
      <c r="T1589" s="83" t="str">
        <f t="shared" si="148"/>
        <v/>
      </c>
      <c r="U1589" s="10"/>
      <c r="V1589" s="41">
        <f>IF(AND(Q1589&lt;&gt;"",RIGHT(Q1589,3)&lt;&gt;""),IF(COUNTIF($Q$6:Q1589,Q1589)=1,1,0),0)</f>
        <v>0</v>
      </c>
      <c r="W1589" s="41" t="str">
        <f t="shared" si="149"/>
        <v/>
      </c>
      <c r="X1589" s="41" t="str">
        <f t="shared" si="150"/>
        <v/>
      </c>
    </row>
    <row r="1590" s="32" customFormat="1" hidden="1" customHeight="1" spans="1:24">
      <c r="A1590" s="34"/>
      <c r="B1590" s="51"/>
      <c r="C1590" s="51"/>
      <c r="D1590" s="52"/>
      <c r="E1590" s="53"/>
      <c r="F1590" s="54"/>
      <c r="G1590" s="54"/>
      <c r="H1590" s="54"/>
      <c r="I1590" s="66"/>
      <c r="J1590" s="54"/>
      <c r="K1590" s="54"/>
      <c r="L1590" s="54"/>
      <c r="M1590" s="97" t="str">
        <f t="shared" si="147"/>
        <v/>
      </c>
      <c r="N1590" s="70"/>
      <c r="O1590" s="71" t="str">
        <f t="shared" si="151"/>
        <v/>
      </c>
      <c r="P1590" s="66"/>
      <c r="Q1590" s="66"/>
      <c r="R1590" s="54"/>
      <c r="S1590" s="82"/>
      <c r="T1590" s="83" t="str">
        <f t="shared" si="148"/>
        <v/>
      </c>
      <c r="U1590" s="10"/>
      <c r="V1590" s="41">
        <f>IF(AND(Q1590&lt;&gt;"",RIGHT(Q1590,3)&lt;&gt;""),IF(COUNTIF($Q$6:Q1590,Q1590)=1,1,0),0)</f>
        <v>0</v>
      </c>
      <c r="W1590" s="41" t="str">
        <f t="shared" si="149"/>
        <v/>
      </c>
      <c r="X1590" s="41" t="str">
        <f t="shared" si="150"/>
        <v/>
      </c>
    </row>
    <row r="1591" s="32" customFormat="1" hidden="1" customHeight="1" spans="1:24">
      <c r="A1591" s="34"/>
      <c r="B1591" s="51"/>
      <c r="C1591" s="51"/>
      <c r="D1591" s="52"/>
      <c r="E1591" s="53"/>
      <c r="F1591" s="54"/>
      <c r="G1591" s="54"/>
      <c r="H1591" s="54"/>
      <c r="I1591" s="66"/>
      <c r="J1591" s="54"/>
      <c r="K1591" s="54"/>
      <c r="L1591" s="54"/>
      <c r="M1591" s="97" t="str">
        <f t="shared" si="147"/>
        <v/>
      </c>
      <c r="N1591" s="70"/>
      <c r="O1591" s="71" t="str">
        <f t="shared" si="151"/>
        <v/>
      </c>
      <c r="P1591" s="66"/>
      <c r="Q1591" s="66"/>
      <c r="R1591" s="54"/>
      <c r="S1591" s="82"/>
      <c r="T1591" s="83" t="str">
        <f t="shared" si="148"/>
        <v/>
      </c>
      <c r="U1591" s="10"/>
      <c r="V1591" s="41">
        <f>IF(AND(Q1591&lt;&gt;"",RIGHT(Q1591,3)&lt;&gt;""),IF(COUNTIF($Q$6:Q1591,Q1591)=1,1,0),0)</f>
        <v>0</v>
      </c>
      <c r="W1591" s="41" t="str">
        <f t="shared" si="149"/>
        <v/>
      </c>
      <c r="X1591" s="41" t="str">
        <f t="shared" si="150"/>
        <v/>
      </c>
    </row>
    <row r="1592" s="32" customFormat="1" hidden="1" customHeight="1" spans="1:24">
      <c r="A1592" s="34"/>
      <c r="B1592" s="51"/>
      <c r="C1592" s="51"/>
      <c r="D1592" s="52"/>
      <c r="E1592" s="53"/>
      <c r="F1592" s="54"/>
      <c r="G1592" s="54"/>
      <c r="H1592" s="54"/>
      <c r="I1592" s="66"/>
      <c r="J1592" s="54"/>
      <c r="K1592" s="54"/>
      <c r="L1592" s="54"/>
      <c r="M1592" s="97" t="str">
        <f t="shared" si="147"/>
        <v/>
      </c>
      <c r="N1592" s="70"/>
      <c r="O1592" s="71" t="str">
        <f t="shared" si="151"/>
        <v/>
      </c>
      <c r="P1592" s="66"/>
      <c r="Q1592" s="66"/>
      <c r="R1592" s="54"/>
      <c r="S1592" s="82"/>
      <c r="T1592" s="83" t="str">
        <f t="shared" si="148"/>
        <v/>
      </c>
      <c r="U1592" s="10"/>
      <c r="V1592" s="41">
        <f>IF(AND(Q1592&lt;&gt;"",RIGHT(Q1592,3)&lt;&gt;""),IF(COUNTIF($Q$6:Q1592,Q1592)=1,1,0),0)</f>
        <v>0</v>
      </c>
      <c r="W1592" s="41" t="str">
        <f t="shared" si="149"/>
        <v/>
      </c>
      <c r="X1592" s="41" t="str">
        <f t="shared" si="150"/>
        <v/>
      </c>
    </row>
    <row r="1593" s="32" customFormat="1" hidden="1" customHeight="1" spans="1:24">
      <c r="A1593" s="34"/>
      <c r="B1593" s="51"/>
      <c r="C1593" s="51"/>
      <c r="D1593" s="52"/>
      <c r="E1593" s="53"/>
      <c r="F1593" s="54"/>
      <c r="G1593" s="54"/>
      <c r="H1593" s="54"/>
      <c r="I1593" s="66"/>
      <c r="J1593" s="54"/>
      <c r="K1593" s="54"/>
      <c r="L1593" s="54"/>
      <c r="M1593" s="97" t="str">
        <f t="shared" si="147"/>
        <v/>
      </c>
      <c r="N1593" s="70"/>
      <c r="O1593" s="71" t="str">
        <f t="shared" si="151"/>
        <v/>
      </c>
      <c r="P1593" s="66"/>
      <c r="Q1593" s="66"/>
      <c r="R1593" s="54"/>
      <c r="S1593" s="82"/>
      <c r="T1593" s="83" t="str">
        <f t="shared" si="148"/>
        <v/>
      </c>
      <c r="U1593" s="10"/>
      <c r="V1593" s="41">
        <f>IF(AND(Q1593&lt;&gt;"",RIGHT(Q1593,3)&lt;&gt;""),IF(COUNTIF($Q$6:Q1593,Q1593)=1,1,0),0)</f>
        <v>0</v>
      </c>
      <c r="W1593" s="41" t="str">
        <f t="shared" si="149"/>
        <v/>
      </c>
      <c r="X1593" s="41" t="str">
        <f t="shared" si="150"/>
        <v/>
      </c>
    </row>
    <row r="1594" s="32" customFormat="1" hidden="1" customHeight="1" spans="1:24">
      <c r="A1594" s="34"/>
      <c r="B1594" s="51"/>
      <c r="C1594" s="51"/>
      <c r="D1594" s="52"/>
      <c r="E1594" s="53"/>
      <c r="F1594" s="54"/>
      <c r="G1594" s="54"/>
      <c r="H1594" s="54"/>
      <c r="I1594" s="66"/>
      <c r="J1594" s="54"/>
      <c r="K1594" s="54"/>
      <c r="L1594" s="54"/>
      <c r="M1594" s="97" t="str">
        <f t="shared" si="147"/>
        <v/>
      </c>
      <c r="N1594" s="70"/>
      <c r="O1594" s="71" t="str">
        <f t="shared" si="151"/>
        <v/>
      </c>
      <c r="P1594" s="66"/>
      <c r="Q1594" s="66"/>
      <c r="R1594" s="54"/>
      <c r="S1594" s="82"/>
      <c r="T1594" s="83" t="str">
        <f t="shared" si="148"/>
        <v/>
      </c>
      <c r="U1594" s="10"/>
      <c r="V1594" s="41">
        <f>IF(AND(Q1594&lt;&gt;"",RIGHT(Q1594,3)&lt;&gt;""),IF(COUNTIF($Q$6:Q1594,Q1594)=1,1,0),0)</f>
        <v>0</v>
      </c>
      <c r="W1594" s="41" t="str">
        <f t="shared" si="149"/>
        <v/>
      </c>
      <c r="X1594" s="41" t="str">
        <f t="shared" si="150"/>
        <v/>
      </c>
    </row>
    <row r="1595" s="32" customFormat="1" hidden="1" customHeight="1" spans="1:24">
      <c r="A1595" s="34"/>
      <c r="B1595" s="51"/>
      <c r="C1595" s="51"/>
      <c r="D1595" s="52"/>
      <c r="E1595" s="53"/>
      <c r="F1595" s="54"/>
      <c r="G1595" s="54"/>
      <c r="H1595" s="54"/>
      <c r="I1595" s="66"/>
      <c r="J1595" s="54"/>
      <c r="K1595" s="54"/>
      <c r="L1595" s="54"/>
      <c r="M1595" s="97" t="str">
        <f t="shared" si="147"/>
        <v/>
      </c>
      <c r="N1595" s="70"/>
      <c r="O1595" s="71" t="str">
        <f t="shared" si="151"/>
        <v/>
      </c>
      <c r="P1595" s="66"/>
      <c r="Q1595" s="66"/>
      <c r="R1595" s="54"/>
      <c r="S1595" s="82"/>
      <c r="T1595" s="83" t="str">
        <f t="shared" si="148"/>
        <v/>
      </c>
      <c r="U1595" s="10"/>
      <c r="V1595" s="41">
        <f>IF(AND(Q1595&lt;&gt;"",RIGHT(Q1595,3)&lt;&gt;""),IF(COUNTIF($Q$6:Q1595,Q1595)=1,1,0),0)</f>
        <v>0</v>
      </c>
      <c r="W1595" s="41" t="str">
        <f t="shared" si="149"/>
        <v/>
      </c>
      <c r="X1595" s="41" t="str">
        <f t="shared" si="150"/>
        <v/>
      </c>
    </row>
    <row r="1596" s="32" customFormat="1" hidden="1" customHeight="1" spans="1:24">
      <c r="A1596" s="34"/>
      <c r="B1596" s="51"/>
      <c r="C1596" s="51"/>
      <c r="D1596" s="52"/>
      <c r="E1596" s="53"/>
      <c r="F1596" s="54"/>
      <c r="G1596" s="54"/>
      <c r="H1596" s="54"/>
      <c r="I1596" s="66"/>
      <c r="J1596" s="54"/>
      <c r="K1596" s="54"/>
      <c r="L1596" s="54"/>
      <c r="M1596" s="97" t="str">
        <f t="shared" si="147"/>
        <v/>
      </c>
      <c r="N1596" s="70"/>
      <c r="O1596" s="71" t="str">
        <f t="shared" si="151"/>
        <v/>
      </c>
      <c r="P1596" s="66"/>
      <c r="Q1596" s="66"/>
      <c r="R1596" s="54"/>
      <c r="S1596" s="82"/>
      <c r="T1596" s="83" t="str">
        <f t="shared" si="148"/>
        <v/>
      </c>
      <c r="U1596" s="10"/>
      <c r="V1596" s="41">
        <f>IF(AND(Q1596&lt;&gt;"",RIGHT(Q1596,3)&lt;&gt;""),IF(COUNTIF($Q$6:Q1596,Q1596)=1,1,0),0)</f>
        <v>0</v>
      </c>
      <c r="W1596" s="41" t="str">
        <f t="shared" si="149"/>
        <v/>
      </c>
      <c r="X1596" s="41" t="str">
        <f t="shared" si="150"/>
        <v/>
      </c>
    </row>
    <row r="1597" s="32" customFormat="1" hidden="1" customHeight="1" spans="1:24">
      <c r="A1597" s="34"/>
      <c r="B1597" s="51"/>
      <c r="C1597" s="51"/>
      <c r="D1597" s="52"/>
      <c r="E1597" s="53"/>
      <c r="F1597" s="54"/>
      <c r="G1597" s="54"/>
      <c r="H1597" s="54"/>
      <c r="I1597" s="66"/>
      <c r="J1597" s="54"/>
      <c r="K1597" s="54"/>
      <c r="L1597" s="54"/>
      <c r="M1597" s="97" t="str">
        <f t="shared" si="147"/>
        <v/>
      </c>
      <c r="N1597" s="70"/>
      <c r="O1597" s="71" t="str">
        <f t="shared" si="151"/>
        <v/>
      </c>
      <c r="P1597" s="66"/>
      <c r="Q1597" s="66"/>
      <c r="R1597" s="54"/>
      <c r="S1597" s="82"/>
      <c r="T1597" s="83" t="str">
        <f t="shared" si="148"/>
        <v/>
      </c>
      <c r="U1597" s="10"/>
      <c r="V1597" s="41">
        <f>IF(AND(Q1597&lt;&gt;"",RIGHT(Q1597,3)&lt;&gt;""),IF(COUNTIF($Q$6:Q1597,Q1597)=1,1,0),0)</f>
        <v>0</v>
      </c>
      <c r="W1597" s="41" t="str">
        <f t="shared" si="149"/>
        <v/>
      </c>
      <c r="X1597" s="41" t="str">
        <f t="shared" si="150"/>
        <v/>
      </c>
    </row>
    <row r="1598" s="32" customFormat="1" hidden="1" customHeight="1" spans="1:24">
      <c r="A1598" s="34"/>
      <c r="B1598" s="51"/>
      <c r="C1598" s="51"/>
      <c r="D1598" s="52"/>
      <c r="E1598" s="53"/>
      <c r="F1598" s="54"/>
      <c r="G1598" s="54"/>
      <c r="H1598" s="54"/>
      <c r="I1598" s="66"/>
      <c r="J1598" s="54"/>
      <c r="K1598" s="54"/>
      <c r="L1598" s="54"/>
      <c r="M1598" s="97" t="str">
        <f t="shared" si="147"/>
        <v/>
      </c>
      <c r="N1598" s="70"/>
      <c r="O1598" s="71" t="str">
        <f t="shared" si="151"/>
        <v/>
      </c>
      <c r="P1598" s="66"/>
      <c r="Q1598" s="66"/>
      <c r="R1598" s="54"/>
      <c r="S1598" s="82"/>
      <c r="T1598" s="83" t="str">
        <f t="shared" si="148"/>
        <v/>
      </c>
      <c r="U1598" s="10"/>
      <c r="V1598" s="41">
        <f>IF(AND(Q1598&lt;&gt;"",RIGHT(Q1598,3)&lt;&gt;""),IF(COUNTIF($Q$6:Q1598,Q1598)=1,1,0),0)</f>
        <v>0</v>
      </c>
      <c r="W1598" s="41" t="str">
        <f t="shared" si="149"/>
        <v/>
      </c>
      <c r="X1598" s="41" t="str">
        <f t="shared" si="150"/>
        <v/>
      </c>
    </row>
    <row r="1599" s="32" customFormat="1" hidden="1" customHeight="1" spans="1:24">
      <c r="A1599" s="34"/>
      <c r="B1599" s="51"/>
      <c r="C1599" s="51"/>
      <c r="D1599" s="52"/>
      <c r="E1599" s="53"/>
      <c r="F1599" s="54"/>
      <c r="G1599" s="54"/>
      <c r="H1599" s="54"/>
      <c r="I1599" s="66"/>
      <c r="J1599" s="54"/>
      <c r="K1599" s="54"/>
      <c r="L1599" s="54"/>
      <c r="M1599" s="97" t="str">
        <f t="shared" si="147"/>
        <v/>
      </c>
      <c r="N1599" s="70"/>
      <c r="O1599" s="71" t="str">
        <f t="shared" si="151"/>
        <v/>
      </c>
      <c r="P1599" s="66"/>
      <c r="Q1599" s="66"/>
      <c r="R1599" s="54"/>
      <c r="S1599" s="82"/>
      <c r="T1599" s="83" t="str">
        <f t="shared" si="148"/>
        <v/>
      </c>
      <c r="U1599" s="10"/>
      <c r="V1599" s="41">
        <f>IF(AND(Q1599&lt;&gt;"",RIGHT(Q1599,3)&lt;&gt;""),IF(COUNTIF($Q$6:Q1599,Q1599)=1,1,0),0)</f>
        <v>0</v>
      </c>
      <c r="W1599" s="41" t="str">
        <f t="shared" si="149"/>
        <v/>
      </c>
      <c r="X1599" s="41" t="str">
        <f t="shared" si="150"/>
        <v/>
      </c>
    </row>
    <row r="1600" s="32" customFormat="1" hidden="1" customHeight="1" spans="1:24">
      <c r="A1600" s="34"/>
      <c r="B1600" s="51"/>
      <c r="C1600" s="51"/>
      <c r="D1600" s="52"/>
      <c r="E1600" s="53"/>
      <c r="F1600" s="54"/>
      <c r="G1600" s="54"/>
      <c r="H1600" s="54"/>
      <c r="I1600" s="66"/>
      <c r="J1600" s="54"/>
      <c r="K1600" s="54"/>
      <c r="L1600" s="54"/>
      <c r="M1600" s="97" t="str">
        <f t="shared" si="147"/>
        <v/>
      </c>
      <c r="N1600" s="70"/>
      <c r="O1600" s="71" t="str">
        <f t="shared" si="151"/>
        <v/>
      </c>
      <c r="P1600" s="66"/>
      <c r="Q1600" s="66"/>
      <c r="R1600" s="54"/>
      <c r="S1600" s="82"/>
      <c r="T1600" s="83" t="str">
        <f t="shared" si="148"/>
        <v/>
      </c>
      <c r="U1600" s="10"/>
      <c r="V1600" s="41">
        <f>IF(AND(Q1600&lt;&gt;"",RIGHT(Q1600,3)&lt;&gt;""),IF(COUNTIF($Q$6:Q1600,Q1600)=1,1,0),0)</f>
        <v>0</v>
      </c>
      <c r="W1600" s="41" t="str">
        <f t="shared" si="149"/>
        <v/>
      </c>
      <c r="X1600" s="41" t="str">
        <f t="shared" si="150"/>
        <v/>
      </c>
    </row>
    <row r="1601" s="32" customFormat="1" hidden="1" customHeight="1" spans="1:24">
      <c r="A1601" s="34"/>
      <c r="B1601" s="51"/>
      <c r="C1601" s="51"/>
      <c r="D1601" s="52"/>
      <c r="E1601" s="53"/>
      <c r="F1601" s="54"/>
      <c r="G1601" s="54"/>
      <c r="H1601" s="54"/>
      <c r="I1601" s="66"/>
      <c r="J1601" s="54"/>
      <c r="K1601" s="54"/>
      <c r="L1601" s="54"/>
      <c r="M1601" s="97" t="str">
        <f t="shared" si="147"/>
        <v/>
      </c>
      <c r="N1601" s="70"/>
      <c r="O1601" s="71" t="str">
        <f t="shared" si="151"/>
        <v/>
      </c>
      <c r="P1601" s="66"/>
      <c r="Q1601" s="66"/>
      <c r="R1601" s="54"/>
      <c r="S1601" s="82"/>
      <c r="T1601" s="83" t="str">
        <f t="shared" si="148"/>
        <v/>
      </c>
      <c r="U1601" s="10"/>
      <c r="V1601" s="41">
        <f>IF(AND(Q1601&lt;&gt;"",RIGHT(Q1601,3)&lt;&gt;""),IF(COUNTIF($Q$6:Q1601,Q1601)=1,1,0),0)</f>
        <v>0</v>
      </c>
      <c r="W1601" s="41" t="str">
        <f t="shared" si="149"/>
        <v/>
      </c>
      <c r="X1601" s="41" t="str">
        <f t="shared" si="150"/>
        <v/>
      </c>
    </row>
    <row r="1602" s="32" customFormat="1" hidden="1" customHeight="1" spans="1:24">
      <c r="A1602" s="34"/>
      <c r="B1602" s="51"/>
      <c r="C1602" s="51"/>
      <c r="D1602" s="52"/>
      <c r="E1602" s="53"/>
      <c r="F1602" s="54"/>
      <c r="G1602" s="54"/>
      <c r="H1602" s="54"/>
      <c r="I1602" s="66"/>
      <c r="J1602" s="54"/>
      <c r="K1602" s="54"/>
      <c r="L1602" s="54"/>
      <c r="M1602" s="97" t="str">
        <f t="shared" si="147"/>
        <v/>
      </c>
      <c r="N1602" s="70"/>
      <c r="O1602" s="71" t="str">
        <f t="shared" si="151"/>
        <v/>
      </c>
      <c r="P1602" s="66"/>
      <c r="Q1602" s="66"/>
      <c r="R1602" s="54"/>
      <c r="S1602" s="82"/>
      <c r="T1602" s="83" t="str">
        <f t="shared" si="148"/>
        <v/>
      </c>
      <c r="U1602" s="10"/>
      <c r="V1602" s="41">
        <f>IF(AND(Q1602&lt;&gt;"",RIGHT(Q1602,3)&lt;&gt;""),IF(COUNTIF($Q$6:Q1602,Q1602)=1,1,0),0)</f>
        <v>0</v>
      </c>
      <c r="W1602" s="41" t="str">
        <f t="shared" si="149"/>
        <v/>
      </c>
      <c r="X1602" s="41" t="str">
        <f t="shared" si="150"/>
        <v/>
      </c>
    </row>
    <row r="1603" s="32" customFormat="1" hidden="1" customHeight="1" spans="1:24">
      <c r="A1603" s="34"/>
      <c r="B1603" s="51"/>
      <c r="C1603" s="51"/>
      <c r="D1603" s="52"/>
      <c r="E1603" s="53"/>
      <c r="F1603" s="54"/>
      <c r="G1603" s="54"/>
      <c r="H1603" s="54"/>
      <c r="I1603" s="66"/>
      <c r="J1603" s="54"/>
      <c r="K1603" s="54"/>
      <c r="L1603" s="54"/>
      <c r="M1603" s="97" t="str">
        <f t="shared" si="147"/>
        <v/>
      </c>
      <c r="N1603" s="70"/>
      <c r="O1603" s="71" t="str">
        <f t="shared" si="151"/>
        <v/>
      </c>
      <c r="P1603" s="66"/>
      <c r="Q1603" s="66"/>
      <c r="R1603" s="54"/>
      <c r="S1603" s="82"/>
      <c r="T1603" s="83" t="str">
        <f t="shared" si="148"/>
        <v/>
      </c>
      <c r="U1603" s="10"/>
      <c r="V1603" s="41">
        <f>IF(AND(Q1603&lt;&gt;"",RIGHT(Q1603,3)&lt;&gt;""),IF(COUNTIF($Q$6:Q1603,Q1603)=1,1,0),0)</f>
        <v>0</v>
      </c>
      <c r="W1603" s="41" t="str">
        <f t="shared" si="149"/>
        <v/>
      </c>
      <c r="X1603" s="41" t="str">
        <f t="shared" si="150"/>
        <v/>
      </c>
    </row>
    <row r="1604" s="32" customFormat="1" hidden="1" customHeight="1" spans="1:24">
      <c r="A1604" s="34"/>
      <c r="B1604" s="51"/>
      <c r="C1604" s="51"/>
      <c r="D1604" s="52"/>
      <c r="E1604" s="53"/>
      <c r="F1604" s="54"/>
      <c r="G1604" s="54"/>
      <c r="H1604" s="54"/>
      <c r="I1604" s="66"/>
      <c r="J1604" s="54"/>
      <c r="K1604" s="54"/>
      <c r="L1604" s="54"/>
      <c r="M1604" s="97" t="str">
        <f t="shared" si="147"/>
        <v/>
      </c>
      <c r="N1604" s="70"/>
      <c r="O1604" s="71" t="str">
        <f t="shared" si="151"/>
        <v/>
      </c>
      <c r="P1604" s="66"/>
      <c r="Q1604" s="66"/>
      <c r="R1604" s="54"/>
      <c r="S1604" s="82"/>
      <c r="T1604" s="83" t="str">
        <f t="shared" si="148"/>
        <v/>
      </c>
      <c r="U1604" s="10"/>
      <c r="V1604" s="41">
        <f>IF(AND(Q1604&lt;&gt;"",RIGHT(Q1604,3)&lt;&gt;""),IF(COUNTIF($Q$6:Q1604,Q1604)=1,1,0),0)</f>
        <v>0</v>
      </c>
      <c r="W1604" s="41" t="str">
        <f t="shared" si="149"/>
        <v/>
      </c>
      <c r="X1604" s="41" t="str">
        <f t="shared" si="150"/>
        <v/>
      </c>
    </row>
    <row r="1605" s="32" customFormat="1" hidden="1" customHeight="1" spans="1:24">
      <c r="A1605" s="34"/>
      <c r="B1605" s="51"/>
      <c r="C1605" s="51"/>
      <c r="D1605" s="52"/>
      <c r="E1605" s="53"/>
      <c r="F1605" s="54"/>
      <c r="G1605" s="54"/>
      <c r="H1605" s="54"/>
      <c r="I1605" s="66"/>
      <c r="J1605" s="54"/>
      <c r="K1605" s="54"/>
      <c r="L1605" s="54"/>
      <c r="M1605" s="97" t="str">
        <f t="shared" si="147"/>
        <v/>
      </c>
      <c r="N1605" s="70"/>
      <c r="O1605" s="71" t="str">
        <f t="shared" si="151"/>
        <v/>
      </c>
      <c r="P1605" s="66"/>
      <c r="Q1605" s="66"/>
      <c r="R1605" s="54"/>
      <c r="S1605" s="82"/>
      <c r="T1605" s="83" t="str">
        <f t="shared" si="148"/>
        <v/>
      </c>
      <c r="U1605" s="10"/>
      <c r="V1605" s="41">
        <f>IF(AND(Q1605&lt;&gt;"",RIGHT(Q1605,3)&lt;&gt;""),IF(COUNTIF($Q$6:Q1605,Q1605)=1,1,0),0)</f>
        <v>0</v>
      </c>
      <c r="W1605" s="41" t="str">
        <f t="shared" si="149"/>
        <v/>
      </c>
      <c r="X1605" s="41" t="str">
        <f t="shared" si="150"/>
        <v/>
      </c>
    </row>
    <row r="1606" s="32" customFormat="1" hidden="1" customHeight="1" spans="1:24">
      <c r="A1606" s="34"/>
      <c r="B1606" s="51"/>
      <c r="C1606" s="51"/>
      <c r="D1606" s="52"/>
      <c r="E1606" s="53"/>
      <c r="F1606" s="54"/>
      <c r="G1606" s="54"/>
      <c r="H1606" s="54"/>
      <c r="I1606" s="66"/>
      <c r="J1606" s="54"/>
      <c r="K1606" s="54"/>
      <c r="L1606" s="54"/>
      <c r="M1606" s="97" t="str">
        <f t="shared" si="147"/>
        <v/>
      </c>
      <c r="N1606" s="70"/>
      <c r="O1606" s="71" t="str">
        <f t="shared" si="151"/>
        <v/>
      </c>
      <c r="P1606" s="66"/>
      <c r="Q1606" s="66"/>
      <c r="R1606" s="54"/>
      <c r="S1606" s="82"/>
      <c r="T1606" s="83" t="str">
        <f t="shared" si="148"/>
        <v/>
      </c>
      <c r="U1606" s="10"/>
      <c r="V1606" s="41">
        <f>IF(AND(Q1606&lt;&gt;"",RIGHT(Q1606,3)&lt;&gt;""),IF(COUNTIF($Q$6:Q1606,Q1606)=1,1,0),0)</f>
        <v>0</v>
      </c>
      <c r="W1606" s="41" t="str">
        <f t="shared" si="149"/>
        <v/>
      </c>
      <c r="X1606" s="41" t="str">
        <f t="shared" si="150"/>
        <v/>
      </c>
    </row>
    <row r="1607" s="32" customFormat="1" hidden="1" customHeight="1" spans="1:24">
      <c r="A1607" s="34"/>
      <c r="B1607" s="51"/>
      <c r="C1607" s="51"/>
      <c r="D1607" s="52"/>
      <c r="E1607" s="53"/>
      <c r="F1607" s="54"/>
      <c r="G1607" s="54"/>
      <c r="H1607" s="54"/>
      <c r="I1607" s="66"/>
      <c r="J1607" s="54"/>
      <c r="K1607" s="54"/>
      <c r="L1607" s="54"/>
      <c r="M1607" s="97" t="str">
        <f t="shared" si="147"/>
        <v/>
      </c>
      <c r="N1607" s="70"/>
      <c r="O1607" s="71" t="str">
        <f t="shared" si="151"/>
        <v/>
      </c>
      <c r="P1607" s="66"/>
      <c r="Q1607" s="66"/>
      <c r="R1607" s="54"/>
      <c r="S1607" s="82"/>
      <c r="T1607" s="83" t="str">
        <f t="shared" si="148"/>
        <v/>
      </c>
      <c r="U1607" s="10"/>
      <c r="V1607" s="41">
        <f>IF(AND(Q1607&lt;&gt;"",RIGHT(Q1607,3)&lt;&gt;""),IF(COUNTIF($Q$6:Q1607,Q1607)=1,1,0),0)</f>
        <v>0</v>
      </c>
      <c r="W1607" s="41" t="str">
        <f t="shared" si="149"/>
        <v/>
      </c>
      <c r="X1607" s="41" t="str">
        <f t="shared" si="150"/>
        <v/>
      </c>
    </row>
    <row r="1608" s="32" customFormat="1" hidden="1" customHeight="1" spans="1:24">
      <c r="A1608" s="34"/>
      <c r="B1608" s="51"/>
      <c r="C1608" s="51"/>
      <c r="D1608" s="52"/>
      <c r="E1608" s="53"/>
      <c r="F1608" s="54"/>
      <c r="G1608" s="54"/>
      <c r="H1608" s="54"/>
      <c r="I1608" s="66"/>
      <c r="J1608" s="54"/>
      <c r="K1608" s="54"/>
      <c r="L1608" s="54"/>
      <c r="M1608" s="97" t="str">
        <f t="shared" si="147"/>
        <v/>
      </c>
      <c r="N1608" s="70"/>
      <c r="O1608" s="71" t="str">
        <f t="shared" si="151"/>
        <v/>
      </c>
      <c r="P1608" s="66"/>
      <c r="Q1608" s="66"/>
      <c r="R1608" s="54"/>
      <c r="S1608" s="82"/>
      <c r="T1608" s="83" t="str">
        <f t="shared" si="148"/>
        <v/>
      </c>
      <c r="U1608" s="10"/>
      <c r="V1608" s="41">
        <f>IF(AND(Q1608&lt;&gt;"",RIGHT(Q1608,3)&lt;&gt;""),IF(COUNTIF($Q$6:Q1608,Q1608)=1,1,0),0)</f>
        <v>0</v>
      </c>
      <c r="W1608" s="41" t="str">
        <f t="shared" si="149"/>
        <v/>
      </c>
      <c r="X1608" s="41" t="str">
        <f t="shared" si="150"/>
        <v/>
      </c>
    </row>
    <row r="1609" s="32" customFormat="1" hidden="1" customHeight="1" spans="1:24">
      <c r="A1609" s="34"/>
      <c r="B1609" s="51"/>
      <c r="C1609" s="51"/>
      <c r="D1609" s="52"/>
      <c r="E1609" s="53"/>
      <c r="F1609" s="54"/>
      <c r="G1609" s="54"/>
      <c r="H1609" s="54"/>
      <c r="I1609" s="66"/>
      <c r="J1609" s="54"/>
      <c r="K1609" s="54"/>
      <c r="L1609" s="54"/>
      <c r="M1609" s="97" t="str">
        <f t="shared" si="147"/>
        <v/>
      </c>
      <c r="N1609" s="70"/>
      <c r="O1609" s="71" t="str">
        <f t="shared" si="151"/>
        <v/>
      </c>
      <c r="P1609" s="66"/>
      <c r="Q1609" s="66"/>
      <c r="R1609" s="54"/>
      <c r="S1609" s="82"/>
      <c r="T1609" s="83" t="str">
        <f t="shared" si="148"/>
        <v/>
      </c>
      <c r="U1609" s="10"/>
      <c r="V1609" s="41">
        <f>IF(AND(Q1609&lt;&gt;"",RIGHT(Q1609,3)&lt;&gt;""),IF(COUNTIF($Q$6:Q1609,Q1609)=1,1,0),0)</f>
        <v>0</v>
      </c>
      <c r="W1609" s="41" t="str">
        <f t="shared" si="149"/>
        <v/>
      </c>
      <c r="X1609" s="41" t="str">
        <f t="shared" si="150"/>
        <v/>
      </c>
    </row>
    <row r="1610" s="32" customFormat="1" hidden="1" customHeight="1" spans="1:24">
      <c r="A1610" s="34"/>
      <c r="B1610" s="51"/>
      <c r="C1610" s="51"/>
      <c r="D1610" s="52"/>
      <c r="E1610" s="53"/>
      <c r="F1610" s="54"/>
      <c r="G1610" s="54"/>
      <c r="H1610" s="54"/>
      <c r="I1610" s="66"/>
      <c r="J1610" s="54"/>
      <c r="K1610" s="54"/>
      <c r="L1610" s="54"/>
      <c r="M1610" s="97" t="str">
        <f t="shared" si="147"/>
        <v/>
      </c>
      <c r="N1610" s="70"/>
      <c r="O1610" s="71" t="str">
        <f t="shared" si="151"/>
        <v/>
      </c>
      <c r="P1610" s="66"/>
      <c r="Q1610" s="66"/>
      <c r="R1610" s="54"/>
      <c r="S1610" s="82"/>
      <c r="T1610" s="83" t="str">
        <f t="shared" si="148"/>
        <v/>
      </c>
      <c r="U1610" s="10"/>
      <c r="V1610" s="41">
        <f>IF(AND(Q1610&lt;&gt;"",RIGHT(Q1610,3)&lt;&gt;""),IF(COUNTIF($Q$6:Q1610,Q1610)=1,1,0),0)</f>
        <v>0</v>
      </c>
      <c r="W1610" s="41" t="str">
        <f t="shared" si="149"/>
        <v/>
      </c>
      <c r="X1610" s="41" t="str">
        <f t="shared" si="150"/>
        <v/>
      </c>
    </row>
    <row r="1611" s="32" customFormat="1" hidden="1" customHeight="1" spans="1:24">
      <c r="A1611" s="34"/>
      <c r="B1611" s="51"/>
      <c r="C1611" s="51"/>
      <c r="D1611" s="52"/>
      <c r="E1611" s="53"/>
      <c r="F1611" s="54"/>
      <c r="G1611" s="54"/>
      <c r="H1611" s="54"/>
      <c r="I1611" s="66"/>
      <c r="J1611" s="54"/>
      <c r="K1611" s="54"/>
      <c r="L1611" s="54"/>
      <c r="M1611" s="97" t="str">
        <f t="shared" si="147"/>
        <v/>
      </c>
      <c r="N1611" s="70"/>
      <c r="O1611" s="71" t="str">
        <f t="shared" si="151"/>
        <v/>
      </c>
      <c r="P1611" s="66"/>
      <c r="Q1611" s="66"/>
      <c r="R1611" s="54"/>
      <c r="S1611" s="82"/>
      <c r="T1611" s="83" t="str">
        <f t="shared" si="148"/>
        <v/>
      </c>
      <c r="U1611" s="10"/>
      <c r="V1611" s="41">
        <f>IF(AND(Q1611&lt;&gt;"",RIGHT(Q1611,3)&lt;&gt;""),IF(COUNTIF($Q$6:Q1611,Q1611)=1,1,0),0)</f>
        <v>0</v>
      </c>
      <c r="W1611" s="41" t="str">
        <f t="shared" si="149"/>
        <v/>
      </c>
      <c r="X1611" s="41" t="str">
        <f t="shared" si="150"/>
        <v/>
      </c>
    </row>
    <row r="1612" s="32" customFormat="1" hidden="1" customHeight="1" spans="1:24">
      <c r="A1612" s="34"/>
      <c r="B1612" s="51"/>
      <c r="C1612" s="51"/>
      <c r="D1612" s="52"/>
      <c r="E1612" s="53"/>
      <c r="F1612" s="54"/>
      <c r="G1612" s="54"/>
      <c r="H1612" s="54"/>
      <c r="I1612" s="66"/>
      <c r="J1612" s="54"/>
      <c r="K1612" s="54"/>
      <c r="L1612" s="54"/>
      <c r="M1612" s="97" t="str">
        <f t="shared" si="147"/>
        <v/>
      </c>
      <c r="N1612" s="70"/>
      <c r="O1612" s="71" t="str">
        <f t="shared" si="151"/>
        <v/>
      </c>
      <c r="P1612" s="66"/>
      <c r="Q1612" s="66"/>
      <c r="R1612" s="54"/>
      <c r="S1612" s="82"/>
      <c r="T1612" s="83" t="str">
        <f t="shared" si="148"/>
        <v/>
      </c>
      <c r="U1612" s="10"/>
      <c r="V1612" s="41">
        <f>IF(AND(Q1612&lt;&gt;"",RIGHT(Q1612,3)&lt;&gt;""),IF(COUNTIF($Q$6:Q1612,Q1612)=1,1,0),0)</f>
        <v>0</v>
      </c>
      <c r="W1612" s="41" t="str">
        <f t="shared" si="149"/>
        <v/>
      </c>
      <c r="X1612" s="41" t="str">
        <f t="shared" si="150"/>
        <v/>
      </c>
    </row>
    <row r="1613" s="32" customFormat="1" hidden="1" customHeight="1" spans="1:24">
      <c r="A1613" s="34"/>
      <c r="B1613" s="51"/>
      <c r="C1613" s="51"/>
      <c r="D1613" s="52"/>
      <c r="E1613" s="53"/>
      <c r="F1613" s="54"/>
      <c r="G1613" s="54"/>
      <c r="H1613" s="54"/>
      <c r="I1613" s="66"/>
      <c r="J1613" s="54"/>
      <c r="K1613" s="54"/>
      <c r="L1613" s="54"/>
      <c r="M1613" s="97" t="str">
        <f t="shared" si="147"/>
        <v/>
      </c>
      <c r="N1613" s="70"/>
      <c r="O1613" s="71" t="str">
        <f t="shared" si="151"/>
        <v/>
      </c>
      <c r="P1613" s="66"/>
      <c r="Q1613" s="66"/>
      <c r="R1613" s="54"/>
      <c r="S1613" s="82"/>
      <c r="T1613" s="83" t="str">
        <f t="shared" si="148"/>
        <v/>
      </c>
      <c r="U1613" s="10"/>
      <c r="V1613" s="41">
        <f>IF(AND(Q1613&lt;&gt;"",RIGHT(Q1613,3)&lt;&gt;""),IF(COUNTIF($Q$6:Q1613,Q1613)=1,1,0),0)</f>
        <v>0</v>
      </c>
      <c r="W1613" s="41" t="str">
        <f t="shared" si="149"/>
        <v/>
      </c>
      <c r="X1613" s="41" t="str">
        <f t="shared" si="150"/>
        <v/>
      </c>
    </row>
    <row r="1614" s="32" customFormat="1" hidden="1" customHeight="1" spans="1:24">
      <c r="A1614" s="34"/>
      <c r="B1614" s="51"/>
      <c r="C1614" s="51"/>
      <c r="D1614" s="52"/>
      <c r="E1614" s="53"/>
      <c r="F1614" s="54"/>
      <c r="G1614" s="54"/>
      <c r="H1614" s="54"/>
      <c r="I1614" s="66"/>
      <c r="J1614" s="54"/>
      <c r="K1614" s="54"/>
      <c r="L1614" s="54"/>
      <c r="M1614" s="97" t="str">
        <f t="shared" si="147"/>
        <v/>
      </c>
      <c r="N1614" s="70"/>
      <c r="O1614" s="71" t="str">
        <f t="shared" si="151"/>
        <v/>
      </c>
      <c r="P1614" s="66"/>
      <c r="Q1614" s="66"/>
      <c r="R1614" s="54"/>
      <c r="S1614" s="82"/>
      <c r="T1614" s="83" t="str">
        <f t="shared" si="148"/>
        <v/>
      </c>
      <c r="U1614" s="10"/>
      <c r="V1614" s="41">
        <f>IF(AND(Q1614&lt;&gt;"",RIGHT(Q1614,3)&lt;&gt;""),IF(COUNTIF($Q$6:Q1614,Q1614)=1,1,0),0)</f>
        <v>0</v>
      </c>
      <c r="W1614" s="41" t="str">
        <f t="shared" si="149"/>
        <v/>
      </c>
      <c r="X1614" s="41" t="str">
        <f t="shared" si="150"/>
        <v/>
      </c>
    </row>
    <row r="1615" s="32" customFormat="1" hidden="1" customHeight="1" spans="1:24">
      <c r="A1615" s="34"/>
      <c r="B1615" s="51"/>
      <c r="C1615" s="51"/>
      <c r="D1615" s="52"/>
      <c r="E1615" s="53"/>
      <c r="F1615" s="54"/>
      <c r="G1615" s="54"/>
      <c r="H1615" s="54"/>
      <c r="I1615" s="66"/>
      <c r="J1615" s="54"/>
      <c r="K1615" s="54"/>
      <c r="L1615" s="54"/>
      <c r="M1615" s="97" t="str">
        <f t="shared" si="147"/>
        <v/>
      </c>
      <c r="N1615" s="70"/>
      <c r="O1615" s="71" t="str">
        <f t="shared" si="151"/>
        <v/>
      </c>
      <c r="P1615" s="66"/>
      <c r="Q1615" s="66"/>
      <c r="R1615" s="54"/>
      <c r="S1615" s="82"/>
      <c r="T1615" s="83" t="str">
        <f t="shared" si="148"/>
        <v/>
      </c>
      <c r="U1615" s="10"/>
      <c r="V1615" s="41">
        <f>IF(AND(Q1615&lt;&gt;"",RIGHT(Q1615,3)&lt;&gt;""),IF(COUNTIF($Q$6:Q1615,Q1615)=1,1,0),0)</f>
        <v>0</v>
      </c>
      <c r="W1615" s="41" t="str">
        <f t="shared" si="149"/>
        <v/>
      </c>
      <c r="X1615" s="41" t="str">
        <f t="shared" si="150"/>
        <v/>
      </c>
    </row>
    <row r="1616" s="32" customFormat="1" hidden="1" customHeight="1" spans="1:24">
      <c r="A1616" s="34"/>
      <c r="B1616" s="51"/>
      <c r="C1616" s="51"/>
      <c r="D1616" s="52"/>
      <c r="E1616" s="53"/>
      <c r="F1616" s="54"/>
      <c r="G1616" s="54"/>
      <c r="H1616" s="54"/>
      <c r="I1616" s="66"/>
      <c r="J1616" s="54"/>
      <c r="K1616" s="54"/>
      <c r="L1616" s="54"/>
      <c r="M1616" s="97" t="str">
        <f t="shared" si="147"/>
        <v/>
      </c>
      <c r="N1616" s="70"/>
      <c r="O1616" s="71" t="str">
        <f t="shared" si="151"/>
        <v/>
      </c>
      <c r="P1616" s="66"/>
      <c r="Q1616" s="66"/>
      <c r="R1616" s="54"/>
      <c r="S1616" s="82"/>
      <c r="T1616" s="83" t="str">
        <f t="shared" si="148"/>
        <v/>
      </c>
      <c r="U1616" s="10"/>
      <c r="V1616" s="41">
        <f>IF(AND(Q1616&lt;&gt;"",RIGHT(Q1616,3)&lt;&gt;""),IF(COUNTIF($Q$6:Q1616,Q1616)=1,1,0),0)</f>
        <v>0</v>
      </c>
      <c r="W1616" s="41" t="str">
        <f t="shared" si="149"/>
        <v/>
      </c>
      <c r="X1616" s="41" t="str">
        <f t="shared" si="150"/>
        <v/>
      </c>
    </row>
    <row r="1617" s="32" customFormat="1" hidden="1" customHeight="1" spans="1:24">
      <c r="A1617" s="34"/>
      <c r="B1617" s="51"/>
      <c r="C1617" s="51"/>
      <c r="D1617" s="52"/>
      <c r="E1617" s="53"/>
      <c r="F1617" s="54"/>
      <c r="G1617" s="54"/>
      <c r="H1617" s="54"/>
      <c r="I1617" s="66"/>
      <c r="J1617" s="54"/>
      <c r="K1617" s="54"/>
      <c r="L1617" s="54"/>
      <c r="M1617" s="97" t="str">
        <f t="shared" si="147"/>
        <v/>
      </c>
      <c r="N1617" s="70"/>
      <c r="O1617" s="71" t="str">
        <f t="shared" si="151"/>
        <v/>
      </c>
      <c r="P1617" s="66"/>
      <c r="Q1617" s="66"/>
      <c r="R1617" s="54"/>
      <c r="S1617" s="82"/>
      <c r="T1617" s="83" t="str">
        <f t="shared" si="148"/>
        <v/>
      </c>
      <c r="U1617" s="10"/>
      <c r="V1617" s="41">
        <f>IF(AND(Q1617&lt;&gt;"",RIGHT(Q1617,3)&lt;&gt;""),IF(COUNTIF($Q$6:Q1617,Q1617)=1,1,0),0)</f>
        <v>0</v>
      </c>
      <c r="W1617" s="41" t="str">
        <f t="shared" si="149"/>
        <v/>
      </c>
      <c r="X1617" s="41" t="str">
        <f t="shared" si="150"/>
        <v/>
      </c>
    </row>
    <row r="1618" s="32" customFormat="1" hidden="1" customHeight="1" spans="1:24">
      <c r="A1618" s="34"/>
      <c r="B1618" s="51"/>
      <c r="C1618" s="51"/>
      <c r="D1618" s="52"/>
      <c r="E1618" s="53"/>
      <c r="F1618" s="54"/>
      <c r="G1618" s="54"/>
      <c r="H1618" s="54"/>
      <c r="I1618" s="66"/>
      <c r="J1618" s="54"/>
      <c r="K1618" s="54"/>
      <c r="L1618" s="54"/>
      <c r="M1618" s="97" t="str">
        <f t="shared" si="147"/>
        <v/>
      </c>
      <c r="N1618" s="70"/>
      <c r="O1618" s="71" t="str">
        <f t="shared" si="151"/>
        <v/>
      </c>
      <c r="P1618" s="66"/>
      <c r="Q1618" s="66"/>
      <c r="R1618" s="54"/>
      <c r="S1618" s="82"/>
      <c r="T1618" s="83" t="str">
        <f t="shared" si="148"/>
        <v/>
      </c>
      <c r="U1618" s="10"/>
      <c r="V1618" s="41">
        <f>IF(AND(Q1618&lt;&gt;"",RIGHT(Q1618,3)&lt;&gt;""),IF(COUNTIF($Q$6:Q1618,Q1618)=1,1,0),0)</f>
        <v>0</v>
      </c>
      <c r="W1618" s="41" t="str">
        <f t="shared" si="149"/>
        <v/>
      </c>
      <c r="X1618" s="41" t="str">
        <f t="shared" si="150"/>
        <v/>
      </c>
    </row>
    <row r="1619" s="32" customFormat="1" hidden="1" customHeight="1" spans="1:24">
      <c r="A1619" s="34"/>
      <c r="B1619" s="51"/>
      <c r="C1619" s="51"/>
      <c r="D1619" s="52"/>
      <c r="E1619" s="53"/>
      <c r="F1619" s="54"/>
      <c r="G1619" s="54"/>
      <c r="H1619" s="54"/>
      <c r="I1619" s="66"/>
      <c r="J1619" s="54"/>
      <c r="K1619" s="54"/>
      <c r="L1619" s="54"/>
      <c r="M1619" s="97" t="str">
        <f t="shared" si="147"/>
        <v/>
      </c>
      <c r="N1619" s="70"/>
      <c r="O1619" s="71" t="str">
        <f t="shared" si="151"/>
        <v/>
      </c>
      <c r="P1619" s="66"/>
      <c r="Q1619" s="66"/>
      <c r="R1619" s="54"/>
      <c r="S1619" s="82"/>
      <c r="T1619" s="83" t="str">
        <f t="shared" si="148"/>
        <v/>
      </c>
      <c r="U1619" s="10"/>
      <c r="V1619" s="41">
        <f>IF(AND(Q1619&lt;&gt;"",RIGHT(Q1619,3)&lt;&gt;""),IF(COUNTIF($Q$6:Q1619,Q1619)=1,1,0),0)</f>
        <v>0</v>
      </c>
      <c r="W1619" s="41" t="str">
        <f t="shared" si="149"/>
        <v/>
      </c>
      <c r="X1619" s="41" t="str">
        <f t="shared" si="150"/>
        <v/>
      </c>
    </row>
    <row r="1620" s="32" customFormat="1" hidden="1" customHeight="1" spans="1:24">
      <c r="A1620" s="34"/>
      <c r="B1620" s="51"/>
      <c r="C1620" s="51"/>
      <c r="D1620" s="52"/>
      <c r="E1620" s="53"/>
      <c r="F1620" s="54"/>
      <c r="G1620" s="54"/>
      <c r="H1620" s="54"/>
      <c r="I1620" s="66"/>
      <c r="J1620" s="54"/>
      <c r="K1620" s="54"/>
      <c r="L1620" s="54"/>
      <c r="M1620" s="97" t="str">
        <f t="shared" si="147"/>
        <v/>
      </c>
      <c r="N1620" s="70"/>
      <c r="O1620" s="71" t="str">
        <f t="shared" si="151"/>
        <v/>
      </c>
      <c r="P1620" s="66"/>
      <c r="Q1620" s="66"/>
      <c r="R1620" s="54"/>
      <c r="S1620" s="82"/>
      <c r="T1620" s="83" t="str">
        <f t="shared" si="148"/>
        <v/>
      </c>
      <c r="U1620" s="10"/>
      <c r="V1620" s="41">
        <f>IF(AND(Q1620&lt;&gt;"",RIGHT(Q1620,3)&lt;&gt;""),IF(COUNTIF($Q$6:Q1620,Q1620)=1,1,0),0)</f>
        <v>0</v>
      </c>
      <c r="W1620" s="41" t="str">
        <f t="shared" si="149"/>
        <v/>
      </c>
      <c r="X1620" s="41" t="str">
        <f t="shared" si="150"/>
        <v/>
      </c>
    </row>
    <row r="1621" s="32" customFormat="1" hidden="1" customHeight="1" spans="1:24">
      <c r="A1621" s="34"/>
      <c r="B1621" s="51"/>
      <c r="C1621" s="51"/>
      <c r="D1621" s="52"/>
      <c r="E1621" s="53"/>
      <c r="F1621" s="54"/>
      <c r="G1621" s="54"/>
      <c r="H1621" s="54"/>
      <c r="I1621" s="66"/>
      <c r="J1621" s="54"/>
      <c r="K1621" s="54"/>
      <c r="L1621" s="54"/>
      <c r="M1621" s="97" t="str">
        <f t="shared" si="147"/>
        <v/>
      </c>
      <c r="N1621" s="70"/>
      <c r="O1621" s="71" t="str">
        <f t="shared" si="151"/>
        <v/>
      </c>
      <c r="P1621" s="66"/>
      <c r="Q1621" s="66"/>
      <c r="R1621" s="54"/>
      <c r="S1621" s="82"/>
      <c r="T1621" s="83" t="str">
        <f t="shared" si="148"/>
        <v/>
      </c>
      <c r="U1621" s="10"/>
      <c r="V1621" s="41">
        <f>IF(AND(Q1621&lt;&gt;"",RIGHT(Q1621,3)&lt;&gt;""),IF(COUNTIF($Q$6:Q1621,Q1621)=1,1,0),0)</f>
        <v>0</v>
      </c>
      <c r="W1621" s="41" t="str">
        <f t="shared" si="149"/>
        <v/>
      </c>
      <c r="X1621" s="41" t="str">
        <f t="shared" si="150"/>
        <v/>
      </c>
    </row>
    <row r="1622" s="32" customFormat="1" hidden="1" customHeight="1" spans="1:24">
      <c r="A1622" s="34"/>
      <c r="B1622" s="51"/>
      <c r="C1622" s="51"/>
      <c r="D1622" s="52"/>
      <c r="E1622" s="53"/>
      <c r="F1622" s="54"/>
      <c r="G1622" s="54"/>
      <c r="H1622" s="54"/>
      <c r="I1622" s="66"/>
      <c r="J1622" s="54"/>
      <c r="K1622" s="54"/>
      <c r="L1622" s="54"/>
      <c r="M1622" s="97" t="str">
        <f t="shared" si="147"/>
        <v/>
      </c>
      <c r="N1622" s="70"/>
      <c r="O1622" s="71" t="str">
        <f t="shared" si="151"/>
        <v/>
      </c>
      <c r="P1622" s="66"/>
      <c r="Q1622" s="66"/>
      <c r="R1622" s="54"/>
      <c r="S1622" s="82"/>
      <c r="T1622" s="83" t="str">
        <f t="shared" si="148"/>
        <v/>
      </c>
      <c r="U1622" s="10"/>
      <c r="V1622" s="41">
        <f>IF(AND(Q1622&lt;&gt;"",RIGHT(Q1622,3)&lt;&gt;""),IF(COUNTIF($Q$6:Q1622,Q1622)=1,1,0),0)</f>
        <v>0</v>
      </c>
      <c r="W1622" s="41" t="str">
        <f t="shared" si="149"/>
        <v/>
      </c>
      <c r="X1622" s="41" t="str">
        <f t="shared" si="150"/>
        <v/>
      </c>
    </row>
    <row r="1623" s="32" customFormat="1" hidden="1" customHeight="1" spans="1:24">
      <c r="A1623" s="34"/>
      <c r="B1623" s="51"/>
      <c r="C1623" s="51"/>
      <c r="D1623" s="52"/>
      <c r="E1623" s="53"/>
      <c r="F1623" s="54"/>
      <c r="G1623" s="54"/>
      <c r="H1623" s="54"/>
      <c r="I1623" s="66"/>
      <c r="J1623" s="54"/>
      <c r="K1623" s="54"/>
      <c r="L1623" s="54"/>
      <c r="M1623" s="97" t="str">
        <f t="shared" si="147"/>
        <v/>
      </c>
      <c r="N1623" s="70"/>
      <c r="O1623" s="71" t="str">
        <f t="shared" si="151"/>
        <v/>
      </c>
      <c r="P1623" s="66"/>
      <c r="Q1623" s="66"/>
      <c r="R1623" s="54"/>
      <c r="S1623" s="82"/>
      <c r="T1623" s="83" t="str">
        <f t="shared" si="148"/>
        <v/>
      </c>
      <c r="U1623" s="10"/>
      <c r="V1623" s="41">
        <f>IF(AND(Q1623&lt;&gt;"",RIGHT(Q1623,3)&lt;&gt;""),IF(COUNTIF($Q$6:Q1623,Q1623)=1,1,0),0)</f>
        <v>0</v>
      </c>
      <c r="W1623" s="41" t="str">
        <f t="shared" si="149"/>
        <v/>
      </c>
      <c r="X1623" s="41" t="str">
        <f t="shared" si="150"/>
        <v/>
      </c>
    </row>
    <row r="1624" s="32" customFormat="1" hidden="1" customHeight="1" spans="1:24">
      <c r="A1624" s="34"/>
      <c r="B1624" s="51"/>
      <c r="C1624" s="51"/>
      <c r="D1624" s="52"/>
      <c r="E1624" s="53"/>
      <c r="F1624" s="54"/>
      <c r="G1624" s="54"/>
      <c r="H1624" s="54"/>
      <c r="I1624" s="66"/>
      <c r="J1624" s="54"/>
      <c r="K1624" s="54"/>
      <c r="L1624" s="54"/>
      <c r="M1624" s="97" t="str">
        <f t="shared" si="147"/>
        <v/>
      </c>
      <c r="N1624" s="70"/>
      <c r="O1624" s="71" t="str">
        <f t="shared" si="151"/>
        <v/>
      </c>
      <c r="P1624" s="66"/>
      <c r="Q1624" s="66"/>
      <c r="R1624" s="54"/>
      <c r="S1624" s="82"/>
      <c r="T1624" s="83" t="str">
        <f t="shared" si="148"/>
        <v/>
      </c>
      <c r="U1624" s="10"/>
      <c r="V1624" s="41">
        <f>IF(AND(Q1624&lt;&gt;"",RIGHT(Q1624,3)&lt;&gt;""),IF(COUNTIF($Q$6:Q1624,Q1624)=1,1,0),0)</f>
        <v>0</v>
      </c>
      <c r="W1624" s="41" t="str">
        <f t="shared" si="149"/>
        <v/>
      </c>
      <c r="X1624" s="41" t="str">
        <f t="shared" si="150"/>
        <v/>
      </c>
    </row>
    <row r="1625" s="32" customFormat="1" hidden="1" customHeight="1" spans="1:24">
      <c r="A1625" s="34"/>
      <c r="B1625" s="51"/>
      <c r="C1625" s="51"/>
      <c r="D1625" s="52"/>
      <c r="E1625" s="53"/>
      <c r="F1625" s="54"/>
      <c r="G1625" s="54"/>
      <c r="H1625" s="54"/>
      <c r="I1625" s="66"/>
      <c r="J1625" s="54"/>
      <c r="K1625" s="54"/>
      <c r="L1625" s="54"/>
      <c r="M1625" s="97" t="str">
        <f t="shared" si="147"/>
        <v/>
      </c>
      <c r="N1625" s="70"/>
      <c r="O1625" s="71" t="str">
        <f t="shared" si="151"/>
        <v/>
      </c>
      <c r="P1625" s="66"/>
      <c r="Q1625" s="66"/>
      <c r="R1625" s="54"/>
      <c r="S1625" s="82"/>
      <c r="T1625" s="83" t="str">
        <f t="shared" si="148"/>
        <v/>
      </c>
      <c r="U1625" s="10"/>
      <c r="V1625" s="41">
        <f>IF(AND(Q1625&lt;&gt;"",RIGHT(Q1625,3)&lt;&gt;""),IF(COUNTIF($Q$6:Q1625,Q1625)=1,1,0),0)</f>
        <v>0</v>
      </c>
      <c r="W1625" s="41" t="str">
        <f t="shared" si="149"/>
        <v/>
      </c>
      <c r="X1625" s="41" t="str">
        <f t="shared" si="150"/>
        <v/>
      </c>
    </row>
    <row r="1626" s="32" customFormat="1" hidden="1" customHeight="1" spans="1:24">
      <c r="A1626" s="34"/>
      <c r="B1626" s="51"/>
      <c r="C1626" s="51"/>
      <c r="D1626" s="52"/>
      <c r="E1626" s="53"/>
      <c r="F1626" s="54"/>
      <c r="G1626" s="54"/>
      <c r="H1626" s="54"/>
      <c r="I1626" s="66"/>
      <c r="J1626" s="54"/>
      <c r="K1626" s="54"/>
      <c r="L1626" s="54"/>
      <c r="M1626" s="97" t="str">
        <f t="shared" si="147"/>
        <v/>
      </c>
      <c r="N1626" s="70"/>
      <c r="O1626" s="71" t="str">
        <f t="shared" si="151"/>
        <v/>
      </c>
      <c r="P1626" s="66"/>
      <c r="Q1626" s="66"/>
      <c r="R1626" s="54"/>
      <c r="S1626" s="82"/>
      <c r="T1626" s="83" t="str">
        <f t="shared" si="148"/>
        <v/>
      </c>
      <c r="U1626" s="10"/>
      <c r="V1626" s="41">
        <f>IF(AND(Q1626&lt;&gt;"",RIGHT(Q1626,3)&lt;&gt;""),IF(COUNTIF($Q$6:Q1626,Q1626)=1,1,0),0)</f>
        <v>0</v>
      </c>
      <c r="W1626" s="41" t="str">
        <f t="shared" si="149"/>
        <v/>
      </c>
      <c r="X1626" s="41" t="str">
        <f t="shared" si="150"/>
        <v/>
      </c>
    </row>
    <row r="1627" s="32" customFormat="1" hidden="1" customHeight="1" spans="1:24">
      <c r="A1627" s="34"/>
      <c r="B1627" s="51"/>
      <c r="C1627" s="51"/>
      <c r="D1627" s="52"/>
      <c r="E1627" s="53"/>
      <c r="F1627" s="54"/>
      <c r="G1627" s="54"/>
      <c r="H1627" s="54"/>
      <c r="I1627" s="66"/>
      <c r="J1627" s="54"/>
      <c r="K1627" s="54"/>
      <c r="L1627" s="54"/>
      <c r="M1627" s="97" t="str">
        <f t="shared" si="147"/>
        <v/>
      </c>
      <c r="N1627" s="70"/>
      <c r="O1627" s="71" t="str">
        <f t="shared" si="151"/>
        <v/>
      </c>
      <c r="P1627" s="66"/>
      <c r="Q1627" s="66"/>
      <c r="R1627" s="54"/>
      <c r="S1627" s="82"/>
      <c r="T1627" s="83" t="str">
        <f t="shared" si="148"/>
        <v/>
      </c>
      <c r="U1627" s="10"/>
      <c r="V1627" s="41">
        <f>IF(AND(Q1627&lt;&gt;"",RIGHT(Q1627,3)&lt;&gt;""),IF(COUNTIF($Q$6:Q1627,Q1627)=1,1,0),0)</f>
        <v>0</v>
      </c>
      <c r="W1627" s="41" t="str">
        <f t="shared" si="149"/>
        <v/>
      </c>
      <c r="X1627" s="41" t="str">
        <f t="shared" si="150"/>
        <v/>
      </c>
    </row>
    <row r="1628" s="32" customFormat="1" hidden="1" customHeight="1" spans="1:24">
      <c r="A1628" s="34"/>
      <c r="B1628" s="51"/>
      <c r="C1628" s="51"/>
      <c r="D1628" s="52"/>
      <c r="E1628" s="53"/>
      <c r="F1628" s="54"/>
      <c r="G1628" s="54"/>
      <c r="H1628" s="54"/>
      <c r="I1628" s="66"/>
      <c r="J1628" s="54"/>
      <c r="K1628" s="54"/>
      <c r="L1628" s="54"/>
      <c r="M1628" s="97" t="str">
        <f t="shared" si="147"/>
        <v/>
      </c>
      <c r="N1628" s="70"/>
      <c r="O1628" s="71" t="str">
        <f t="shared" si="151"/>
        <v/>
      </c>
      <c r="P1628" s="66"/>
      <c r="Q1628" s="66"/>
      <c r="R1628" s="54"/>
      <c r="S1628" s="82"/>
      <c r="T1628" s="83" t="str">
        <f t="shared" si="148"/>
        <v/>
      </c>
      <c r="U1628" s="10"/>
      <c r="V1628" s="41">
        <f>IF(AND(Q1628&lt;&gt;"",RIGHT(Q1628,3)&lt;&gt;""),IF(COUNTIF($Q$6:Q1628,Q1628)=1,1,0),0)</f>
        <v>0</v>
      </c>
      <c r="W1628" s="41" t="str">
        <f t="shared" si="149"/>
        <v/>
      </c>
      <c r="X1628" s="41" t="str">
        <f t="shared" si="150"/>
        <v/>
      </c>
    </row>
    <row r="1629" s="32" customFormat="1" hidden="1" customHeight="1" spans="1:24">
      <c r="A1629" s="34"/>
      <c r="B1629" s="51"/>
      <c r="C1629" s="51"/>
      <c r="D1629" s="52"/>
      <c r="E1629" s="53"/>
      <c r="F1629" s="54"/>
      <c r="G1629" s="54"/>
      <c r="H1629" s="54"/>
      <c r="I1629" s="66"/>
      <c r="J1629" s="54"/>
      <c r="K1629" s="54"/>
      <c r="L1629" s="54"/>
      <c r="M1629" s="97" t="str">
        <f t="shared" si="147"/>
        <v/>
      </c>
      <c r="N1629" s="70"/>
      <c r="O1629" s="71" t="str">
        <f t="shared" si="151"/>
        <v/>
      </c>
      <c r="P1629" s="66"/>
      <c r="Q1629" s="66"/>
      <c r="R1629" s="54"/>
      <c r="S1629" s="82"/>
      <c r="T1629" s="83" t="str">
        <f t="shared" si="148"/>
        <v/>
      </c>
      <c r="U1629" s="10"/>
      <c r="V1629" s="41">
        <f>IF(AND(Q1629&lt;&gt;"",RIGHT(Q1629,3)&lt;&gt;""),IF(COUNTIF($Q$6:Q1629,Q1629)=1,1,0),0)</f>
        <v>0</v>
      </c>
      <c r="W1629" s="41" t="str">
        <f t="shared" si="149"/>
        <v/>
      </c>
      <c r="X1629" s="41" t="str">
        <f t="shared" si="150"/>
        <v/>
      </c>
    </row>
    <row r="1630" s="32" customFormat="1" hidden="1" customHeight="1" spans="1:24">
      <c r="A1630" s="34"/>
      <c r="B1630" s="51"/>
      <c r="C1630" s="51"/>
      <c r="D1630" s="52"/>
      <c r="E1630" s="53"/>
      <c r="F1630" s="54"/>
      <c r="G1630" s="54"/>
      <c r="H1630" s="54"/>
      <c r="I1630" s="66"/>
      <c r="J1630" s="54"/>
      <c r="K1630" s="54"/>
      <c r="L1630" s="54"/>
      <c r="M1630" s="97" t="str">
        <f t="shared" si="147"/>
        <v/>
      </c>
      <c r="N1630" s="70"/>
      <c r="O1630" s="71" t="str">
        <f t="shared" si="151"/>
        <v/>
      </c>
      <c r="P1630" s="66"/>
      <c r="Q1630" s="66"/>
      <c r="R1630" s="54"/>
      <c r="S1630" s="82"/>
      <c r="T1630" s="83" t="str">
        <f t="shared" si="148"/>
        <v/>
      </c>
      <c r="U1630" s="10"/>
      <c r="V1630" s="41">
        <f>IF(AND(Q1630&lt;&gt;"",RIGHT(Q1630,3)&lt;&gt;""),IF(COUNTIF($Q$6:Q1630,Q1630)=1,1,0),0)</f>
        <v>0</v>
      </c>
      <c r="W1630" s="41" t="str">
        <f t="shared" si="149"/>
        <v/>
      </c>
      <c r="X1630" s="41" t="str">
        <f t="shared" si="150"/>
        <v/>
      </c>
    </row>
    <row r="1631" s="32" customFormat="1" hidden="1" customHeight="1" spans="1:24">
      <c r="A1631" s="34"/>
      <c r="B1631" s="51"/>
      <c r="C1631" s="51"/>
      <c r="D1631" s="52"/>
      <c r="E1631" s="53"/>
      <c r="F1631" s="54"/>
      <c r="G1631" s="54"/>
      <c r="H1631" s="54"/>
      <c r="I1631" s="66"/>
      <c r="J1631" s="54"/>
      <c r="K1631" s="54"/>
      <c r="L1631" s="54"/>
      <c r="M1631" s="97" t="str">
        <f t="shared" si="147"/>
        <v/>
      </c>
      <c r="N1631" s="70"/>
      <c r="O1631" s="71" t="str">
        <f t="shared" si="151"/>
        <v/>
      </c>
      <c r="P1631" s="66"/>
      <c r="Q1631" s="66"/>
      <c r="R1631" s="54"/>
      <c r="S1631" s="82"/>
      <c r="T1631" s="83" t="str">
        <f t="shared" si="148"/>
        <v/>
      </c>
      <c r="U1631" s="10"/>
      <c r="V1631" s="41">
        <f>IF(AND(Q1631&lt;&gt;"",RIGHT(Q1631,3)&lt;&gt;""),IF(COUNTIF($Q$6:Q1631,Q1631)=1,1,0),0)</f>
        <v>0</v>
      </c>
      <c r="W1631" s="41" t="str">
        <f t="shared" si="149"/>
        <v/>
      </c>
      <c r="X1631" s="41" t="str">
        <f t="shared" si="150"/>
        <v/>
      </c>
    </row>
    <row r="1632" s="32" customFormat="1" hidden="1" customHeight="1" spans="1:24">
      <c r="A1632" s="34"/>
      <c r="B1632" s="51"/>
      <c r="C1632" s="51"/>
      <c r="D1632" s="52"/>
      <c r="E1632" s="53"/>
      <c r="F1632" s="54"/>
      <c r="G1632" s="54"/>
      <c r="H1632" s="54"/>
      <c r="I1632" s="66"/>
      <c r="J1632" s="54"/>
      <c r="K1632" s="54"/>
      <c r="L1632" s="54"/>
      <c r="M1632" s="97" t="str">
        <f t="shared" si="147"/>
        <v/>
      </c>
      <c r="N1632" s="70"/>
      <c r="O1632" s="71" t="str">
        <f t="shared" si="151"/>
        <v/>
      </c>
      <c r="P1632" s="66"/>
      <c r="Q1632" s="66"/>
      <c r="R1632" s="54"/>
      <c r="S1632" s="82"/>
      <c r="T1632" s="83" t="str">
        <f t="shared" si="148"/>
        <v/>
      </c>
      <c r="U1632" s="10"/>
      <c r="V1632" s="41">
        <f>IF(AND(Q1632&lt;&gt;"",RIGHT(Q1632,3)&lt;&gt;""),IF(COUNTIF($Q$6:Q1632,Q1632)=1,1,0),0)</f>
        <v>0</v>
      </c>
      <c r="W1632" s="41" t="str">
        <f t="shared" si="149"/>
        <v/>
      </c>
      <c r="X1632" s="41" t="str">
        <f t="shared" si="150"/>
        <v/>
      </c>
    </row>
    <row r="1633" s="32" customFormat="1" hidden="1" customHeight="1" spans="1:24">
      <c r="A1633" s="34"/>
      <c r="B1633" s="51"/>
      <c r="C1633" s="51"/>
      <c r="D1633" s="52"/>
      <c r="E1633" s="53"/>
      <c r="F1633" s="54"/>
      <c r="G1633" s="54"/>
      <c r="H1633" s="54"/>
      <c r="I1633" s="66"/>
      <c r="J1633" s="54"/>
      <c r="K1633" s="54"/>
      <c r="L1633" s="54"/>
      <c r="M1633" s="97" t="str">
        <f t="shared" si="147"/>
        <v/>
      </c>
      <c r="N1633" s="70"/>
      <c r="O1633" s="71" t="str">
        <f t="shared" si="151"/>
        <v/>
      </c>
      <c r="P1633" s="66"/>
      <c r="Q1633" s="66"/>
      <c r="R1633" s="54"/>
      <c r="S1633" s="82"/>
      <c r="T1633" s="83" t="str">
        <f t="shared" si="148"/>
        <v/>
      </c>
      <c r="U1633" s="10"/>
      <c r="V1633" s="41">
        <f>IF(AND(Q1633&lt;&gt;"",RIGHT(Q1633,3)&lt;&gt;""),IF(COUNTIF($Q$6:Q1633,Q1633)=1,1,0),0)</f>
        <v>0</v>
      </c>
      <c r="W1633" s="41" t="str">
        <f t="shared" si="149"/>
        <v/>
      </c>
      <c r="X1633" s="41" t="str">
        <f t="shared" si="150"/>
        <v/>
      </c>
    </row>
    <row r="1634" s="32" customFormat="1" hidden="1" customHeight="1" spans="1:24">
      <c r="A1634" s="34"/>
      <c r="B1634" s="51"/>
      <c r="C1634" s="51"/>
      <c r="D1634" s="52"/>
      <c r="E1634" s="53"/>
      <c r="F1634" s="54"/>
      <c r="G1634" s="54"/>
      <c r="H1634" s="54"/>
      <c r="I1634" s="66"/>
      <c r="J1634" s="54"/>
      <c r="K1634" s="54"/>
      <c r="L1634" s="54"/>
      <c r="M1634" s="97" t="str">
        <f t="shared" si="147"/>
        <v/>
      </c>
      <c r="N1634" s="70"/>
      <c r="O1634" s="71" t="str">
        <f t="shared" si="151"/>
        <v/>
      </c>
      <c r="P1634" s="66"/>
      <c r="Q1634" s="66"/>
      <c r="R1634" s="54"/>
      <c r="S1634" s="82"/>
      <c r="T1634" s="83" t="str">
        <f t="shared" si="148"/>
        <v/>
      </c>
      <c r="U1634" s="10"/>
      <c r="V1634" s="41">
        <f>IF(AND(Q1634&lt;&gt;"",RIGHT(Q1634,3)&lt;&gt;""),IF(COUNTIF($Q$6:Q1634,Q1634)=1,1,0),0)</f>
        <v>0</v>
      </c>
      <c r="W1634" s="41" t="str">
        <f t="shared" si="149"/>
        <v/>
      </c>
      <c r="X1634" s="41" t="str">
        <f t="shared" si="150"/>
        <v/>
      </c>
    </row>
    <row r="1635" s="32" customFormat="1" hidden="1" customHeight="1" spans="1:24">
      <c r="A1635" s="34"/>
      <c r="B1635" s="51"/>
      <c r="C1635" s="51"/>
      <c r="D1635" s="52"/>
      <c r="E1635" s="53"/>
      <c r="F1635" s="54"/>
      <c r="G1635" s="54"/>
      <c r="H1635" s="54"/>
      <c r="I1635" s="66"/>
      <c r="J1635" s="54"/>
      <c r="K1635" s="54"/>
      <c r="L1635" s="54"/>
      <c r="M1635" s="97" t="str">
        <f t="shared" si="147"/>
        <v/>
      </c>
      <c r="N1635" s="70"/>
      <c r="O1635" s="71" t="str">
        <f t="shared" si="151"/>
        <v/>
      </c>
      <c r="P1635" s="66"/>
      <c r="Q1635" s="66"/>
      <c r="R1635" s="54"/>
      <c r="S1635" s="82"/>
      <c r="T1635" s="83" t="str">
        <f t="shared" si="148"/>
        <v/>
      </c>
      <c r="U1635" s="10"/>
      <c r="V1635" s="41">
        <f>IF(AND(Q1635&lt;&gt;"",RIGHT(Q1635,3)&lt;&gt;""),IF(COUNTIF($Q$6:Q1635,Q1635)=1,1,0),0)</f>
        <v>0</v>
      </c>
      <c r="W1635" s="41" t="str">
        <f t="shared" si="149"/>
        <v/>
      </c>
      <c r="X1635" s="41" t="str">
        <f t="shared" si="150"/>
        <v/>
      </c>
    </row>
    <row r="1636" s="32" customFormat="1" hidden="1" customHeight="1" spans="1:24">
      <c r="A1636" s="34"/>
      <c r="B1636" s="51"/>
      <c r="C1636" s="51"/>
      <c r="D1636" s="52"/>
      <c r="E1636" s="53"/>
      <c r="F1636" s="54"/>
      <c r="G1636" s="54"/>
      <c r="H1636" s="54"/>
      <c r="I1636" s="66"/>
      <c r="J1636" s="54"/>
      <c r="K1636" s="54"/>
      <c r="L1636" s="54"/>
      <c r="M1636" s="97" t="str">
        <f t="shared" ref="M1636:M1699" si="152">IF(L1636="","",HYPERLINK(_xlfn.CONCAT($L$4,L1636,".jpg"),"Open File"))</f>
        <v/>
      </c>
      <c r="N1636" s="70"/>
      <c r="O1636" s="71" t="str">
        <f t="shared" si="151"/>
        <v/>
      </c>
      <c r="P1636" s="66"/>
      <c r="Q1636" s="66"/>
      <c r="R1636" s="54"/>
      <c r="S1636" s="82"/>
      <c r="T1636" s="83" t="str">
        <f t="shared" ref="T1636:T1699" si="153">IF(S1636="","",HYPERLINK(_xlfn.CONCAT($S$4,S1636,".jpg"),"Open File"))</f>
        <v/>
      </c>
      <c r="U1636" s="10"/>
      <c r="V1636" s="41">
        <f>IF(AND(Q1636&lt;&gt;"",RIGHT(Q1636,3)&lt;&gt;""),IF(COUNTIF($Q$6:Q1636,Q1636)=1,1,0),0)</f>
        <v>0</v>
      </c>
      <c r="W1636" s="41" t="str">
        <f t="shared" ref="W1636:W1699" si="154">IF(AND(J1636&lt;&gt;"",K1636&lt;&gt;""),_xlfn.CONCAT(SUBSTITUTE(J1636,"/","."),"-",K1636),"")</f>
        <v/>
      </c>
      <c r="X1636" s="41" t="str">
        <f t="shared" ref="X1636:X1699" si="155">IF(AND(Q1636&lt;&gt;"",R1636&lt;&gt;""),_xlfn.CONCAT(SUBSTITUTE(Q1636,"/","."),"-",R1636),"")</f>
        <v/>
      </c>
    </row>
    <row r="1637" s="32" customFormat="1" hidden="1" customHeight="1" spans="1:24">
      <c r="A1637" s="34"/>
      <c r="B1637" s="51"/>
      <c r="C1637" s="51"/>
      <c r="D1637" s="52"/>
      <c r="E1637" s="53"/>
      <c r="F1637" s="54"/>
      <c r="G1637" s="54"/>
      <c r="H1637" s="54"/>
      <c r="I1637" s="66"/>
      <c r="J1637" s="54"/>
      <c r="K1637" s="54"/>
      <c r="L1637" s="54"/>
      <c r="M1637" s="97" t="str">
        <f t="shared" si="152"/>
        <v/>
      </c>
      <c r="N1637" s="70"/>
      <c r="O1637" s="71" t="str">
        <f t="shared" si="151"/>
        <v/>
      </c>
      <c r="P1637" s="66"/>
      <c r="Q1637" s="66"/>
      <c r="R1637" s="54"/>
      <c r="S1637" s="82"/>
      <c r="T1637" s="83" t="str">
        <f t="shared" si="153"/>
        <v/>
      </c>
      <c r="U1637" s="10"/>
      <c r="V1637" s="41">
        <f>IF(AND(Q1637&lt;&gt;"",RIGHT(Q1637,3)&lt;&gt;""),IF(COUNTIF($Q$6:Q1637,Q1637)=1,1,0),0)</f>
        <v>0</v>
      </c>
      <c r="W1637" s="41" t="str">
        <f t="shared" si="154"/>
        <v/>
      </c>
      <c r="X1637" s="41" t="str">
        <f t="shared" si="155"/>
        <v/>
      </c>
    </row>
    <row r="1638" s="32" customFormat="1" hidden="1" customHeight="1" spans="1:24">
      <c r="A1638" s="34"/>
      <c r="B1638" s="51"/>
      <c r="C1638" s="51"/>
      <c r="D1638" s="52"/>
      <c r="E1638" s="53"/>
      <c r="F1638" s="54"/>
      <c r="G1638" s="54"/>
      <c r="H1638" s="54"/>
      <c r="I1638" s="66"/>
      <c r="J1638" s="54"/>
      <c r="K1638" s="54"/>
      <c r="L1638" s="54"/>
      <c r="M1638" s="97" t="str">
        <f t="shared" si="152"/>
        <v/>
      </c>
      <c r="N1638" s="70"/>
      <c r="O1638" s="71" t="str">
        <f t="shared" si="151"/>
        <v/>
      </c>
      <c r="P1638" s="66"/>
      <c r="Q1638" s="66"/>
      <c r="R1638" s="54"/>
      <c r="S1638" s="82"/>
      <c r="T1638" s="83" t="str">
        <f t="shared" si="153"/>
        <v/>
      </c>
      <c r="U1638" s="10"/>
      <c r="V1638" s="41">
        <f>IF(AND(Q1638&lt;&gt;"",RIGHT(Q1638,3)&lt;&gt;""),IF(COUNTIF($Q$6:Q1638,Q1638)=1,1,0),0)</f>
        <v>0</v>
      </c>
      <c r="W1638" s="41" t="str">
        <f t="shared" si="154"/>
        <v/>
      </c>
      <c r="X1638" s="41" t="str">
        <f t="shared" si="155"/>
        <v/>
      </c>
    </row>
    <row r="1639" s="32" customFormat="1" hidden="1" customHeight="1" spans="1:24">
      <c r="A1639" s="34"/>
      <c r="B1639" s="51"/>
      <c r="C1639" s="51"/>
      <c r="D1639" s="52"/>
      <c r="E1639" s="53"/>
      <c r="F1639" s="54"/>
      <c r="G1639" s="54"/>
      <c r="H1639" s="54"/>
      <c r="I1639" s="66"/>
      <c r="J1639" s="54"/>
      <c r="K1639" s="54"/>
      <c r="L1639" s="54"/>
      <c r="M1639" s="97" t="str">
        <f t="shared" si="152"/>
        <v/>
      </c>
      <c r="N1639" s="70"/>
      <c r="O1639" s="71" t="str">
        <f t="shared" si="151"/>
        <v/>
      </c>
      <c r="P1639" s="66"/>
      <c r="Q1639" s="66"/>
      <c r="R1639" s="54"/>
      <c r="S1639" s="82"/>
      <c r="T1639" s="83" t="str">
        <f t="shared" si="153"/>
        <v/>
      </c>
      <c r="U1639" s="10"/>
      <c r="V1639" s="41">
        <f>IF(AND(Q1639&lt;&gt;"",RIGHT(Q1639,3)&lt;&gt;""),IF(COUNTIF($Q$6:Q1639,Q1639)=1,1,0),0)</f>
        <v>0</v>
      </c>
      <c r="W1639" s="41" t="str">
        <f t="shared" si="154"/>
        <v/>
      </c>
      <c r="X1639" s="41" t="str">
        <f t="shared" si="155"/>
        <v/>
      </c>
    </row>
    <row r="1640" s="32" customFormat="1" hidden="1" customHeight="1" spans="1:24">
      <c r="A1640" s="34"/>
      <c r="B1640" s="51"/>
      <c r="C1640" s="51"/>
      <c r="D1640" s="52"/>
      <c r="E1640" s="53"/>
      <c r="F1640" s="54"/>
      <c r="G1640" s="54"/>
      <c r="H1640" s="54"/>
      <c r="I1640" s="66"/>
      <c r="J1640" s="54"/>
      <c r="K1640" s="54"/>
      <c r="L1640" s="54"/>
      <c r="M1640" s="97" t="str">
        <f t="shared" si="152"/>
        <v/>
      </c>
      <c r="N1640" s="70"/>
      <c r="O1640" s="71" t="str">
        <f t="shared" si="151"/>
        <v/>
      </c>
      <c r="P1640" s="66"/>
      <c r="Q1640" s="66"/>
      <c r="R1640" s="54"/>
      <c r="S1640" s="82"/>
      <c r="T1640" s="83" t="str">
        <f t="shared" si="153"/>
        <v/>
      </c>
      <c r="U1640" s="10"/>
      <c r="V1640" s="41">
        <f>IF(AND(Q1640&lt;&gt;"",RIGHT(Q1640,3)&lt;&gt;""),IF(COUNTIF($Q$6:Q1640,Q1640)=1,1,0),0)</f>
        <v>0</v>
      </c>
      <c r="W1640" s="41" t="str">
        <f t="shared" si="154"/>
        <v/>
      </c>
      <c r="X1640" s="41" t="str">
        <f t="shared" si="155"/>
        <v/>
      </c>
    </row>
    <row r="1641" s="32" customFormat="1" hidden="1" customHeight="1" spans="1:24">
      <c r="A1641" s="34"/>
      <c r="B1641" s="51"/>
      <c r="C1641" s="51"/>
      <c r="D1641" s="52"/>
      <c r="E1641" s="53"/>
      <c r="F1641" s="54"/>
      <c r="G1641" s="54"/>
      <c r="H1641" s="54"/>
      <c r="I1641" s="66"/>
      <c r="J1641" s="54"/>
      <c r="K1641" s="54"/>
      <c r="L1641" s="54"/>
      <c r="M1641" s="97" t="str">
        <f t="shared" si="152"/>
        <v/>
      </c>
      <c r="N1641" s="70"/>
      <c r="O1641" s="71" t="str">
        <f t="shared" si="151"/>
        <v/>
      </c>
      <c r="P1641" s="66"/>
      <c r="Q1641" s="66"/>
      <c r="R1641" s="54"/>
      <c r="S1641" s="82"/>
      <c r="T1641" s="83" t="str">
        <f t="shared" si="153"/>
        <v/>
      </c>
      <c r="U1641" s="10"/>
      <c r="V1641" s="41">
        <f>IF(AND(Q1641&lt;&gt;"",RIGHT(Q1641,3)&lt;&gt;""),IF(COUNTIF($Q$6:Q1641,Q1641)=1,1,0),0)</f>
        <v>0</v>
      </c>
      <c r="W1641" s="41" t="str">
        <f t="shared" si="154"/>
        <v/>
      </c>
      <c r="X1641" s="41" t="str">
        <f t="shared" si="155"/>
        <v/>
      </c>
    </row>
    <row r="1642" s="32" customFormat="1" hidden="1" customHeight="1" spans="1:24">
      <c r="A1642" s="34"/>
      <c r="B1642" s="51"/>
      <c r="C1642" s="51"/>
      <c r="D1642" s="52"/>
      <c r="E1642" s="53"/>
      <c r="F1642" s="54"/>
      <c r="G1642" s="54"/>
      <c r="H1642" s="54"/>
      <c r="I1642" s="66"/>
      <c r="J1642" s="54"/>
      <c r="K1642" s="54"/>
      <c r="L1642" s="54"/>
      <c r="M1642" s="97" t="str">
        <f t="shared" si="152"/>
        <v/>
      </c>
      <c r="N1642" s="70"/>
      <c r="O1642" s="71" t="str">
        <f t="shared" si="151"/>
        <v/>
      </c>
      <c r="P1642" s="66"/>
      <c r="Q1642" s="66"/>
      <c r="R1642" s="54"/>
      <c r="S1642" s="82"/>
      <c r="T1642" s="83" t="str">
        <f t="shared" si="153"/>
        <v/>
      </c>
      <c r="U1642" s="10"/>
      <c r="V1642" s="41">
        <f>IF(AND(Q1642&lt;&gt;"",RIGHT(Q1642,3)&lt;&gt;""),IF(COUNTIF($Q$6:Q1642,Q1642)=1,1,0),0)</f>
        <v>0</v>
      </c>
      <c r="W1642" s="41" t="str">
        <f t="shared" si="154"/>
        <v/>
      </c>
      <c r="X1642" s="41" t="str">
        <f t="shared" si="155"/>
        <v/>
      </c>
    </row>
    <row r="1643" s="32" customFormat="1" hidden="1" customHeight="1" spans="1:24">
      <c r="A1643" s="34"/>
      <c r="B1643" s="51"/>
      <c r="C1643" s="51"/>
      <c r="D1643" s="52"/>
      <c r="E1643" s="53"/>
      <c r="F1643" s="54"/>
      <c r="G1643" s="54"/>
      <c r="H1643" s="54"/>
      <c r="I1643" s="66"/>
      <c r="J1643" s="54"/>
      <c r="K1643" s="54"/>
      <c r="L1643" s="54"/>
      <c r="M1643" s="97" t="str">
        <f t="shared" si="152"/>
        <v/>
      </c>
      <c r="N1643" s="70"/>
      <c r="O1643" s="71" t="str">
        <f t="shared" si="151"/>
        <v/>
      </c>
      <c r="P1643" s="66"/>
      <c r="Q1643" s="66"/>
      <c r="R1643" s="54"/>
      <c r="S1643" s="82"/>
      <c r="T1643" s="83" t="str">
        <f t="shared" si="153"/>
        <v/>
      </c>
      <c r="U1643" s="10"/>
      <c r="V1643" s="41">
        <f>IF(AND(Q1643&lt;&gt;"",RIGHT(Q1643,3)&lt;&gt;""),IF(COUNTIF($Q$6:Q1643,Q1643)=1,1,0),0)</f>
        <v>0</v>
      </c>
      <c r="W1643" s="41" t="str">
        <f t="shared" si="154"/>
        <v/>
      </c>
      <c r="X1643" s="41" t="str">
        <f t="shared" si="155"/>
        <v/>
      </c>
    </row>
    <row r="1644" s="32" customFormat="1" hidden="1" customHeight="1" spans="1:24">
      <c r="A1644" s="34"/>
      <c r="B1644" s="51"/>
      <c r="C1644" s="51"/>
      <c r="D1644" s="52"/>
      <c r="E1644" s="53"/>
      <c r="F1644" s="54"/>
      <c r="G1644" s="54"/>
      <c r="H1644" s="54"/>
      <c r="I1644" s="66"/>
      <c r="J1644" s="54"/>
      <c r="K1644" s="54"/>
      <c r="L1644" s="54"/>
      <c r="M1644" s="97" t="str">
        <f t="shared" si="152"/>
        <v/>
      </c>
      <c r="N1644" s="70"/>
      <c r="O1644" s="71" t="str">
        <f t="shared" si="151"/>
        <v/>
      </c>
      <c r="P1644" s="66"/>
      <c r="Q1644" s="66"/>
      <c r="R1644" s="54"/>
      <c r="S1644" s="82"/>
      <c r="T1644" s="83" t="str">
        <f t="shared" si="153"/>
        <v/>
      </c>
      <c r="U1644" s="10"/>
      <c r="V1644" s="41">
        <f>IF(AND(Q1644&lt;&gt;"",RIGHT(Q1644,3)&lt;&gt;""),IF(COUNTIF($Q$6:Q1644,Q1644)=1,1,0),0)</f>
        <v>0</v>
      </c>
      <c r="W1644" s="41" t="str">
        <f t="shared" si="154"/>
        <v/>
      </c>
      <c r="X1644" s="41" t="str">
        <f t="shared" si="155"/>
        <v/>
      </c>
    </row>
    <row r="1645" s="32" customFormat="1" hidden="1" customHeight="1" spans="1:24">
      <c r="A1645" s="34"/>
      <c r="B1645" s="51"/>
      <c r="C1645" s="51"/>
      <c r="D1645" s="52"/>
      <c r="E1645" s="53"/>
      <c r="F1645" s="54"/>
      <c r="G1645" s="54"/>
      <c r="H1645" s="54"/>
      <c r="I1645" s="66"/>
      <c r="J1645" s="54"/>
      <c r="K1645" s="54"/>
      <c r="L1645" s="54"/>
      <c r="M1645" s="97" t="str">
        <f t="shared" si="152"/>
        <v/>
      </c>
      <c r="N1645" s="70"/>
      <c r="O1645" s="71" t="str">
        <f t="shared" si="151"/>
        <v/>
      </c>
      <c r="P1645" s="66"/>
      <c r="Q1645" s="66"/>
      <c r="R1645" s="54"/>
      <c r="S1645" s="82"/>
      <c r="T1645" s="83" t="str">
        <f t="shared" si="153"/>
        <v/>
      </c>
      <c r="U1645" s="10"/>
      <c r="V1645" s="41">
        <f>IF(AND(Q1645&lt;&gt;"",RIGHT(Q1645,3)&lt;&gt;""),IF(COUNTIF($Q$6:Q1645,Q1645)=1,1,0),0)</f>
        <v>0</v>
      </c>
      <c r="W1645" s="41" t="str">
        <f t="shared" si="154"/>
        <v/>
      </c>
      <c r="X1645" s="41" t="str">
        <f t="shared" si="155"/>
        <v/>
      </c>
    </row>
    <row r="1646" s="32" customFormat="1" hidden="1" customHeight="1" spans="1:24">
      <c r="A1646" s="34"/>
      <c r="B1646" s="51"/>
      <c r="C1646" s="51"/>
      <c r="D1646" s="52"/>
      <c r="E1646" s="53"/>
      <c r="F1646" s="54"/>
      <c r="G1646" s="54"/>
      <c r="H1646" s="54"/>
      <c r="I1646" s="66"/>
      <c r="J1646" s="54"/>
      <c r="K1646" s="54"/>
      <c r="L1646" s="54"/>
      <c r="M1646" s="97" t="str">
        <f t="shared" si="152"/>
        <v/>
      </c>
      <c r="N1646" s="70"/>
      <c r="O1646" s="71" t="str">
        <f t="shared" si="151"/>
        <v/>
      </c>
      <c r="P1646" s="66"/>
      <c r="Q1646" s="66"/>
      <c r="R1646" s="54"/>
      <c r="S1646" s="82"/>
      <c r="T1646" s="83" t="str">
        <f t="shared" si="153"/>
        <v/>
      </c>
      <c r="U1646" s="10"/>
      <c r="V1646" s="41">
        <f>IF(AND(Q1646&lt;&gt;"",RIGHT(Q1646,3)&lt;&gt;""),IF(COUNTIF($Q$6:Q1646,Q1646)=1,1,0),0)</f>
        <v>0</v>
      </c>
      <c r="W1646" s="41" t="str">
        <f t="shared" si="154"/>
        <v/>
      </c>
      <c r="X1646" s="41" t="str">
        <f t="shared" si="155"/>
        <v/>
      </c>
    </row>
    <row r="1647" s="32" customFormat="1" hidden="1" customHeight="1" spans="1:24">
      <c r="A1647" s="34"/>
      <c r="B1647" s="51"/>
      <c r="C1647" s="51"/>
      <c r="D1647" s="52"/>
      <c r="E1647" s="53"/>
      <c r="F1647" s="54"/>
      <c r="G1647" s="54"/>
      <c r="H1647" s="54"/>
      <c r="I1647" s="66"/>
      <c r="J1647" s="54"/>
      <c r="K1647" s="54"/>
      <c r="L1647" s="54"/>
      <c r="M1647" s="97" t="str">
        <f t="shared" si="152"/>
        <v/>
      </c>
      <c r="N1647" s="70"/>
      <c r="O1647" s="71" t="str">
        <f t="shared" si="151"/>
        <v/>
      </c>
      <c r="P1647" s="66"/>
      <c r="Q1647" s="66"/>
      <c r="R1647" s="54"/>
      <c r="S1647" s="82"/>
      <c r="T1647" s="83" t="str">
        <f t="shared" si="153"/>
        <v/>
      </c>
      <c r="U1647" s="10"/>
      <c r="V1647" s="41">
        <f>IF(AND(Q1647&lt;&gt;"",RIGHT(Q1647,3)&lt;&gt;""),IF(COUNTIF($Q$6:Q1647,Q1647)=1,1,0),0)</f>
        <v>0</v>
      </c>
      <c r="W1647" s="41" t="str">
        <f t="shared" si="154"/>
        <v/>
      </c>
      <c r="X1647" s="41" t="str">
        <f t="shared" si="155"/>
        <v/>
      </c>
    </row>
    <row r="1648" s="32" customFormat="1" hidden="1" customHeight="1" spans="1:24">
      <c r="A1648" s="34"/>
      <c r="B1648" s="51"/>
      <c r="C1648" s="51"/>
      <c r="D1648" s="52"/>
      <c r="E1648" s="53"/>
      <c r="F1648" s="54"/>
      <c r="G1648" s="54"/>
      <c r="H1648" s="54"/>
      <c r="I1648" s="66"/>
      <c r="J1648" s="54"/>
      <c r="K1648" s="54"/>
      <c r="L1648" s="54"/>
      <c r="M1648" s="97" t="str">
        <f t="shared" si="152"/>
        <v/>
      </c>
      <c r="N1648" s="70"/>
      <c r="O1648" s="71" t="str">
        <f t="shared" si="151"/>
        <v/>
      </c>
      <c r="P1648" s="66"/>
      <c r="Q1648" s="66"/>
      <c r="R1648" s="54"/>
      <c r="S1648" s="82"/>
      <c r="T1648" s="83" t="str">
        <f t="shared" si="153"/>
        <v/>
      </c>
      <c r="U1648" s="10"/>
      <c r="V1648" s="41">
        <f>IF(AND(Q1648&lt;&gt;"",RIGHT(Q1648,3)&lt;&gt;""),IF(COUNTIF($Q$6:Q1648,Q1648)=1,1,0),0)</f>
        <v>0</v>
      </c>
      <c r="W1648" s="41" t="str">
        <f t="shared" si="154"/>
        <v/>
      </c>
      <c r="X1648" s="41" t="str">
        <f t="shared" si="155"/>
        <v/>
      </c>
    </row>
    <row r="1649" s="32" customFormat="1" hidden="1" customHeight="1" spans="1:24">
      <c r="A1649" s="34"/>
      <c r="B1649" s="51"/>
      <c r="C1649" s="51"/>
      <c r="D1649" s="52"/>
      <c r="E1649" s="53"/>
      <c r="F1649" s="54"/>
      <c r="G1649" s="54"/>
      <c r="H1649" s="54"/>
      <c r="I1649" s="66"/>
      <c r="J1649" s="54"/>
      <c r="K1649" s="54"/>
      <c r="L1649" s="54"/>
      <c r="M1649" s="97" t="str">
        <f t="shared" si="152"/>
        <v/>
      </c>
      <c r="N1649" s="70"/>
      <c r="O1649" s="71" t="str">
        <f t="shared" ref="O1649:O1712" si="156">IF(AND(Q1649&lt;&gt;"",T1649&lt;&gt;""),"PASSIVE",IF(AND(J1649&lt;&gt;"",M1649&lt;&gt;""),"ACTIVE",""))</f>
        <v/>
      </c>
      <c r="P1649" s="66"/>
      <c r="Q1649" s="66"/>
      <c r="R1649" s="54"/>
      <c r="S1649" s="82"/>
      <c r="T1649" s="83" t="str">
        <f t="shared" si="153"/>
        <v/>
      </c>
      <c r="U1649" s="10"/>
      <c r="V1649" s="41">
        <f>IF(AND(Q1649&lt;&gt;"",RIGHT(Q1649,3)&lt;&gt;""),IF(COUNTIF($Q$6:Q1649,Q1649)=1,1,0),0)</f>
        <v>0</v>
      </c>
      <c r="W1649" s="41" t="str">
        <f t="shared" si="154"/>
        <v/>
      </c>
      <c r="X1649" s="41" t="str">
        <f t="shared" si="155"/>
        <v/>
      </c>
    </row>
    <row r="1650" s="32" customFormat="1" hidden="1" customHeight="1" spans="1:24">
      <c r="A1650" s="34"/>
      <c r="B1650" s="51"/>
      <c r="C1650" s="51"/>
      <c r="D1650" s="52"/>
      <c r="E1650" s="53"/>
      <c r="F1650" s="54"/>
      <c r="G1650" s="54"/>
      <c r="H1650" s="54"/>
      <c r="I1650" s="66"/>
      <c r="J1650" s="54"/>
      <c r="K1650" s="54"/>
      <c r="L1650" s="54"/>
      <c r="M1650" s="97" t="str">
        <f t="shared" si="152"/>
        <v/>
      </c>
      <c r="N1650" s="70"/>
      <c r="O1650" s="71" t="str">
        <f t="shared" si="156"/>
        <v/>
      </c>
      <c r="P1650" s="66"/>
      <c r="Q1650" s="66"/>
      <c r="R1650" s="54"/>
      <c r="S1650" s="82"/>
      <c r="T1650" s="83" t="str">
        <f t="shared" si="153"/>
        <v/>
      </c>
      <c r="U1650" s="10"/>
      <c r="V1650" s="41">
        <f>IF(AND(Q1650&lt;&gt;"",RIGHT(Q1650,3)&lt;&gt;""),IF(COUNTIF($Q$6:Q1650,Q1650)=1,1,0),0)</f>
        <v>0</v>
      </c>
      <c r="W1650" s="41" t="str">
        <f t="shared" si="154"/>
        <v/>
      </c>
      <c r="X1650" s="41" t="str">
        <f t="shared" si="155"/>
        <v/>
      </c>
    </row>
    <row r="1651" s="32" customFormat="1" hidden="1" customHeight="1" spans="1:24">
      <c r="A1651" s="34"/>
      <c r="B1651" s="51"/>
      <c r="C1651" s="51"/>
      <c r="D1651" s="52"/>
      <c r="E1651" s="53"/>
      <c r="F1651" s="54"/>
      <c r="G1651" s="54"/>
      <c r="H1651" s="54"/>
      <c r="I1651" s="66"/>
      <c r="J1651" s="54"/>
      <c r="K1651" s="54"/>
      <c r="L1651" s="54"/>
      <c r="M1651" s="97" t="str">
        <f t="shared" si="152"/>
        <v/>
      </c>
      <c r="N1651" s="70"/>
      <c r="O1651" s="71" t="str">
        <f t="shared" si="156"/>
        <v/>
      </c>
      <c r="P1651" s="66"/>
      <c r="Q1651" s="66"/>
      <c r="R1651" s="54"/>
      <c r="S1651" s="82"/>
      <c r="T1651" s="83" t="str">
        <f t="shared" si="153"/>
        <v/>
      </c>
      <c r="U1651" s="10"/>
      <c r="V1651" s="41">
        <f>IF(AND(Q1651&lt;&gt;"",RIGHT(Q1651,3)&lt;&gt;""),IF(COUNTIF($Q$6:Q1651,Q1651)=1,1,0),0)</f>
        <v>0</v>
      </c>
      <c r="W1651" s="41" t="str">
        <f t="shared" si="154"/>
        <v/>
      </c>
      <c r="X1651" s="41" t="str">
        <f t="shared" si="155"/>
        <v/>
      </c>
    </row>
    <row r="1652" s="32" customFormat="1" hidden="1" customHeight="1" spans="1:24">
      <c r="A1652" s="34"/>
      <c r="B1652" s="51"/>
      <c r="C1652" s="51"/>
      <c r="D1652" s="52"/>
      <c r="E1652" s="53"/>
      <c r="F1652" s="54"/>
      <c r="G1652" s="54"/>
      <c r="H1652" s="54"/>
      <c r="I1652" s="66"/>
      <c r="J1652" s="54"/>
      <c r="K1652" s="54"/>
      <c r="L1652" s="54"/>
      <c r="M1652" s="97" t="str">
        <f t="shared" si="152"/>
        <v/>
      </c>
      <c r="N1652" s="70"/>
      <c r="O1652" s="71" t="str">
        <f t="shared" si="156"/>
        <v/>
      </c>
      <c r="P1652" s="66"/>
      <c r="Q1652" s="66"/>
      <c r="R1652" s="54"/>
      <c r="S1652" s="82"/>
      <c r="T1652" s="83" t="str">
        <f t="shared" si="153"/>
        <v/>
      </c>
      <c r="U1652" s="10"/>
      <c r="V1652" s="41">
        <f>IF(AND(Q1652&lt;&gt;"",RIGHT(Q1652,3)&lt;&gt;""),IF(COUNTIF($Q$6:Q1652,Q1652)=1,1,0),0)</f>
        <v>0</v>
      </c>
      <c r="W1652" s="41" t="str">
        <f t="shared" si="154"/>
        <v/>
      </c>
      <c r="X1652" s="41" t="str">
        <f t="shared" si="155"/>
        <v/>
      </c>
    </row>
    <row r="1653" s="32" customFormat="1" hidden="1" customHeight="1" spans="1:24">
      <c r="A1653" s="34"/>
      <c r="B1653" s="51"/>
      <c r="C1653" s="51"/>
      <c r="D1653" s="52"/>
      <c r="E1653" s="53"/>
      <c r="F1653" s="54"/>
      <c r="G1653" s="54"/>
      <c r="H1653" s="54"/>
      <c r="I1653" s="66"/>
      <c r="J1653" s="54"/>
      <c r="K1653" s="54"/>
      <c r="L1653" s="54"/>
      <c r="M1653" s="97" t="str">
        <f t="shared" si="152"/>
        <v/>
      </c>
      <c r="N1653" s="70"/>
      <c r="O1653" s="71" t="str">
        <f t="shared" si="156"/>
        <v/>
      </c>
      <c r="P1653" s="66"/>
      <c r="Q1653" s="66"/>
      <c r="R1653" s="54"/>
      <c r="S1653" s="82"/>
      <c r="T1653" s="83" t="str">
        <f t="shared" si="153"/>
        <v/>
      </c>
      <c r="U1653" s="10"/>
      <c r="V1653" s="41">
        <f>IF(AND(Q1653&lt;&gt;"",RIGHT(Q1653,3)&lt;&gt;""),IF(COUNTIF($Q$6:Q1653,Q1653)=1,1,0),0)</f>
        <v>0</v>
      </c>
      <c r="W1653" s="41" t="str">
        <f t="shared" si="154"/>
        <v/>
      </c>
      <c r="X1653" s="41" t="str">
        <f t="shared" si="155"/>
        <v/>
      </c>
    </row>
    <row r="1654" s="32" customFormat="1" hidden="1" customHeight="1" spans="1:24">
      <c r="A1654" s="34"/>
      <c r="B1654" s="51"/>
      <c r="C1654" s="51"/>
      <c r="D1654" s="52"/>
      <c r="E1654" s="53"/>
      <c r="F1654" s="54"/>
      <c r="G1654" s="54"/>
      <c r="H1654" s="54"/>
      <c r="I1654" s="66"/>
      <c r="J1654" s="54"/>
      <c r="K1654" s="54"/>
      <c r="L1654" s="54"/>
      <c r="M1654" s="97" t="str">
        <f t="shared" si="152"/>
        <v/>
      </c>
      <c r="N1654" s="70"/>
      <c r="O1654" s="71" t="str">
        <f t="shared" si="156"/>
        <v/>
      </c>
      <c r="P1654" s="66"/>
      <c r="Q1654" s="66"/>
      <c r="R1654" s="54"/>
      <c r="S1654" s="82"/>
      <c r="T1654" s="83" t="str">
        <f t="shared" si="153"/>
        <v/>
      </c>
      <c r="U1654" s="10"/>
      <c r="V1654" s="41">
        <f>IF(AND(Q1654&lt;&gt;"",RIGHT(Q1654,3)&lt;&gt;""),IF(COUNTIF($Q$6:Q1654,Q1654)=1,1,0),0)</f>
        <v>0</v>
      </c>
      <c r="W1654" s="41" t="str">
        <f t="shared" si="154"/>
        <v/>
      </c>
      <c r="X1654" s="41" t="str">
        <f t="shared" si="155"/>
        <v/>
      </c>
    </row>
    <row r="1655" s="32" customFormat="1" hidden="1" customHeight="1" spans="1:24">
      <c r="A1655" s="34"/>
      <c r="B1655" s="51"/>
      <c r="C1655" s="51"/>
      <c r="D1655" s="52"/>
      <c r="E1655" s="53"/>
      <c r="F1655" s="54"/>
      <c r="G1655" s="54"/>
      <c r="H1655" s="54"/>
      <c r="I1655" s="66"/>
      <c r="J1655" s="54"/>
      <c r="K1655" s="54"/>
      <c r="L1655" s="54"/>
      <c r="M1655" s="97" t="str">
        <f t="shared" si="152"/>
        <v/>
      </c>
      <c r="N1655" s="70"/>
      <c r="O1655" s="71" t="str">
        <f t="shared" si="156"/>
        <v/>
      </c>
      <c r="P1655" s="66"/>
      <c r="Q1655" s="66"/>
      <c r="R1655" s="54"/>
      <c r="S1655" s="82"/>
      <c r="T1655" s="83" t="str">
        <f t="shared" si="153"/>
        <v/>
      </c>
      <c r="U1655" s="10"/>
      <c r="V1655" s="41">
        <f>IF(AND(Q1655&lt;&gt;"",RIGHT(Q1655,3)&lt;&gt;""),IF(COUNTIF($Q$6:Q1655,Q1655)=1,1,0),0)</f>
        <v>0</v>
      </c>
      <c r="W1655" s="41" t="str">
        <f t="shared" si="154"/>
        <v/>
      </c>
      <c r="X1655" s="41" t="str">
        <f t="shared" si="155"/>
        <v/>
      </c>
    </row>
    <row r="1656" s="32" customFormat="1" hidden="1" customHeight="1" spans="1:24">
      <c r="A1656" s="34"/>
      <c r="B1656" s="51"/>
      <c r="C1656" s="51"/>
      <c r="D1656" s="52"/>
      <c r="E1656" s="53"/>
      <c r="F1656" s="54"/>
      <c r="G1656" s="54"/>
      <c r="H1656" s="54"/>
      <c r="I1656" s="66"/>
      <c r="J1656" s="54"/>
      <c r="K1656" s="54"/>
      <c r="L1656" s="54"/>
      <c r="M1656" s="97" t="str">
        <f t="shared" si="152"/>
        <v/>
      </c>
      <c r="N1656" s="70"/>
      <c r="O1656" s="71" t="str">
        <f t="shared" si="156"/>
        <v/>
      </c>
      <c r="P1656" s="66"/>
      <c r="Q1656" s="66"/>
      <c r="R1656" s="54"/>
      <c r="S1656" s="82"/>
      <c r="T1656" s="83" t="str">
        <f t="shared" si="153"/>
        <v/>
      </c>
      <c r="U1656" s="10"/>
      <c r="V1656" s="41">
        <f>IF(AND(Q1656&lt;&gt;"",RIGHT(Q1656,3)&lt;&gt;""),IF(COUNTIF($Q$6:Q1656,Q1656)=1,1,0),0)</f>
        <v>0</v>
      </c>
      <c r="W1656" s="41" t="str">
        <f t="shared" si="154"/>
        <v/>
      </c>
      <c r="X1656" s="41" t="str">
        <f t="shared" si="155"/>
        <v/>
      </c>
    </row>
    <row r="1657" s="32" customFormat="1" hidden="1" customHeight="1" spans="1:24">
      <c r="A1657" s="34"/>
      <c r="B1657" s="51"/>
      <c r="C1657" s="51"/>
      <c r="D1657" s="52"/>
      <c r="E1657" s="53"/>
      <c r="F1657" s="54"/>
      <c r="G1657" s="54"/>
      <c r="H1657" s="54"/>
      <c r="I1657" s="66"/>
      <c r="J1657" s="54"/>
      <c r="K1657" s="54"/>
      <c r="L1657" s="54"/>
      <c r="M1657" s="97" t="str">
        <f t="shared" si="152"/>
        <v/>
      </c>
      <c r="N1657" s="70"/>
      <c r="O1657" s="71" t="str">
        <f t="shared" si="156"/>
        <v/>
      </c>
      <c r="P1657" s="66"/>
      <c r="Q1657" s="66"/>
      <c r="R1657" s="54"/>
      <c r="S1657" s="82"/>
      <c r="T1657" s="83" t="str">
        <f t="shared" si="153"/>
        <v/>
      </c>
      <c r="U1657" s="10"/>
      <c r="V1657" s="41">
        <f>IF(AND(Q1657&lt;&gt;"",RIGHT(Q1657,3)&lt;&gt;""),IF(COUNTIF($Q$6:Q1657,Q1657)=1,1,0),0)</f>
        <v>0</v>
      </c>
      <c r="W1657" s="41" t="str">
        <f t="shared" si="154"/>
        <v/>
      </c>
      <c r="X1657" s="41" t="str">
        <f t="shared" si="155"/>
        <v/>
      </c>
    </row>
    <row r="1658" s="32" customFormat="1" hidden="1" customHeight="1" spans="1:24">
      <c r="A1658" s="34"/>
      <c r="B1658" s="51"/>
      <c r="C1658" s="51"/>
      <c r="D1658" s="52"/>
      <c r="E1658" s="53"/>
      <c r="F1658" s="54"/>
      <c r="G1658" s="54"/>
      <c r="H1658" s="54"/>
      <c r="I1658" s="66"/>
      <c r="J1658" s="54"/>
      <c r="K1658" s="54"/>
      <c r="L1658" s="54"/>
      <c r="M1658" s="97" t="str">
        <f t="shared" si="152"/>
        <v/>
      </c>
      <c r="N1658" s="70"/>
      <c r="O1658" s="71" t="str">
        <f t="shared" si="156"/>
        <v/>
      </c>
      <c r="P1658" s="66"/>
      <c r="Q1658" s="66"/>
      <c r="R1658" s="54"/>
      <c r="S1658" s="82"/>
      <c r="T1658" s="83" t="str">
        <f t="shared" si="153"/>
        <v/>
      </c>
      <c r="U1658" s="10"/>
      <c r="V1658" s="41">
        <f>IF(AND(Q1658&lt;&gt;"",RIGHT(Q1658,3)&lt;&gt;""),IF(COUNTIF($Q$6:Q1658,Q1658)=1,1,0),0)</f>
        <v>0</v>
      </c>
      <c r="W1658" s="41" t="str">
        <f t="shared" si="154"/>
        <v/>
      </c>
      <c r="X1658" s="41" t="str">
        <f t="shared" si="155"/>
        <v/>
      </c>
    </row>
    <row r="1659" s="32" customFormat="1" hidden="1" customHeight="1" spans="1:24">
      <c r="A1659" s="34"/>
      <c r="B1659" s="51"/>
      <c r="C1659" s="51"/>
      <c r="D1659" s="52"/>
      <c r="E1659" s="53"/>
      <c r="F1659" s="54"/>
      <c r="G1659" s="54"/>
      <c r="H1659" s="54"/>
      <c r="I1659" s="66"/>
      <c r="J1659" s="54"/>
      <c r="K1659" s="54"/>
      <c r="L1659" s="54"/>
      <c r="M1659" s="97" t="str">
        <f t="shared" si="152"/>
        <v/>
      </c>
      <c r="N1659" s="70"/>
      <c r="O1659" s="71" t="str">
        <f t="shared" si="156"/>
        <v/>
      </c>
      <c r="P1659" s="66"/>
      <c r="Q1659" s="66"/>
      <c r="R1659" s="54"/>
      <c r="S1659" s="82"/>
      <c r="T1659" s="83" t="str">
        <f t="shared" si="153"/>
        <v/>
      </c>
      <c r="U1659" s="10"/>
      <c r="V1659" s="41">
        <f>IF(AND(Q1659&lt;&gt;"",RIGHT(Q1659,3)&lt;&gt;""),IF(COUNTIF($Q$6:Q1659,Q1659)=1,1,0),0)</f>
        <v>0</v>
      </c>
      <c r="W1659" s="41" t="str">
        <f t="shared" si="154"/>
        <v/>
      </c>
      <c r="X1659" s="41" t="str">
        <f t="shared" si="155"/>
        <v/>
      </c>
    </row>
    <row r="1660" s="32" customFormat="1" hidden="1" customHeight="1" spans="1:24">
      <c r="A1660" s="34"/>
      <c r="B1660" s="51"/>
      <c r="C1660" s="51"/>
      <c r="D1660" s="52"/>
      <c r="E1660" s="53"/>
      <c r="F1660" s="54"/>
      <c r="G1660" s="54"/>
      <c r="H1660" s="54"/>
      <c r="I1660" s="66"/>
      <c r="J1660" s="54"/>
      <c r="K1660" s="54"/>
      <c r="L1660" s="54"/>
      <c r="M1660" s="97" t="str">
        <f t="shared" si="152"/>
        <v/>
      </c>
      <c r="N1660" s="70"/>
      <c r="O1660" s="71" t="str">
        <f t="shared" si="156"/>
        <v/>
      </c>
      <c r="P1660" s="66"/>
      <c r="Q1660" s="66"/>
      <c r="R1660" s="54"/>
      <c r="S1660" s="82"/>
      <c r="T1660" s="83" t="str">
        <f t="shared" si="153"/>
        <v/>
      </c>
      <c r="U1660" s="10"/>
      <c r="V1660" s="41">
        <f>IF(AND(Q1660&lt;&gt;"",RIGHT(Q1660,3)&lt;&gt;""),IF(COUNTIF($Q$6:Q1660,Q1660)=1,1,0),0)</f>
        <v>0</v>
      </c>
      <c r="W1660" s="41" t="str">
        <f t="shared" si="154"/>
        <v/>
      </c>
      <c r="X1660" s="41" t="str">
        <f t="shared" si="155"/>
        <v/>
      </c>
    </row>
    <row r="1661" s="32" customFormat="1" hidden="1" customHeight="1" spans="1:24">
      <c r="A1661" s="34"/>
      <c r="B1661" s="51"/>
      <c r="C1661" s="51"/>
      <c r="D1661" s="52"/>
      <c r="E1661" s="53"/>
      <c r="F1661" s="54"/>
      <c r="G1661" s="54"/>
      <c r="H1661" s="54"/>
      <c r="I1661" s="66"/>
      <c r="J1661" s="54"/>
      <c r="K1661" s="54"/>
      <c r="L1661" s="54"/>
      <c r="M1661" s="97" t="str">
        <f t="shared" si="152"/>
        <v/>
      </c>
      <c r="N1661" s="70"/>
      <c r="O1661" s="71" t="str">
        <f t="shared" si="156"/>
        <v/>
      </c>
      <c r="P1661" s="66"/>
      <c r="Q1661" s="66"/>
      <c r="R1661" s="54"/>
      <c r="S1661" s="82"/>
      <c r="T1661" s="83" t="str">
        <f t="shared" si="153"/>
        <v/>
      </c>
      <c r="U1661" s="10"/>
      <c r="V1661" s="41">
        <f>IF(AND(Q1661&lt;&gt;"",RIGHT(Q1661,3)&lt;&gt;""),IF(COUNTIF($Q$6:Q1661,Q1661)=1,1,0),0)</f>
        <v>0</v>
      </c>
      <c r="W1661" s="41" t="str">
        <f t="shared" si="154"/>
        <v/>
      </c>
      <c r="X1661" s="41" t="str">
        <f t="shared" si="155"/>
        <v/>
      </c>
    </row>
    <row r="1662" s="32" customFormat="1" hidden="1" customHeight="1" spans="1:24">
      <c r="A1662" s="34"/>
      <c r="B1662" s="51"/>
      <c r="C1662" s="51"/>
      <c r="D1662" s="52"/>
      <c r="E1662" s="53"/>
      <c r="F1662" s="54"/>
      <c r="G1662" s="54"/>
      <c r="H1662" s="54"/>
      <c r="I1662" s="66"/>
      <c r="J1662" s="54"/>
      <c r="K1662" s="54"/>
      <c r="L1662" s="54"/>
      <c r="M1662" s="97" t="str">
        <f t="shared" si="152"/>
        <v/>
      </c>
      <c r="N1662" s="70"/>
      <c r="O1662" s="71" t="str">
        <f t="shared" si="156"/>
        <v/>
      </c>
      <c r="P1662" s="66"/>
      <c r="Q1662" s="66"/>
      <c r="R1662" s="54"/>
      <c r="S1662" s="82"/>
      <c r="T1662" s="83" t="str">
        <f t="shared" si="153"/>
        <v/>
      </c>
      <c r="U1662" s="10"/>
      <c r="V1662" s="41">
        <f>IF(AND(Q1662&lt;&gt;"",RIGHT(Q1662,3)&lt;&gt;""),IF(COUNTIF($Q$6:Q1662,Q1662)=1,1,0),0)</f>
        <v>0</v>
      </c>
      <c r="W1662" s="41" t="str">
        <f t="shared" si="154"/>
        <v/>
      </c>
      <c r="X1662" s="41" t="str">
        <f t="shared" si="155"/>
        <v/>
      </c>
    </row>
    <row r="1663" s="32" customFormat="1" hidden="1" customHeight="1" spans="1:24">
      <c r="A1663" s="34"/>
      <c r="B1663" s="51"/>
      <c r="C1663" s="51"/>
      <c r="D1663" s="52"/>
      <c r="E1663" s="53"/>
      <c r="F1663" s="54"/>
      <c r="G1663" s="54"/>
      <c r="H1663" s="54"/>
      <c r="I1663" s="66"/>
      <c r="J1663" s="54"/>
      <c r="K1663" s="54"/>
      <c r="L1663" s="54"/>
      <c r="M1663" s="97" t="str">
        <f t="shared" si="152"/>
        <v/>
      </c>
      <c r="N1663" s="70"/>
      <c r="O1663" s="71" t="str">
        <f t="shared" si="156"/>
        <v/>
      </c>
      <c r="P1663" s="66"/>
      <c r="Q1663" s="66"/>
      <c r="R1663" s="54"/>
      <c r="S1663" s="82"/>
      <c r="T1663" s="83" t="str">
        <f t="shared" si="153"/>
        <v/>
      </c>
      <c r="U1663" s="10"/>
      <c r="V1663" s="41">
        <f>IF(AND(Q1663&lt;&gt;"",RIGHT(Q1663,3)&lt;&gt;""),IF(COUNTIF($Q$6:Q1663,Q1663)=1,1,0),0)</f>
        <v>0</v>
      </c>
      <c r="W1663" s="41" t="str">
        <f t="shared" si="154"/>
        <v/>
      </c>
      <c r="X1663" s="41" t="str">
        <f t="shared" si="155"/>
        <v/>
      </c>
    </row>
    <row r="1664" s="32" customFormat="1" hidden="1" customHeight="1" spans="1:24">
      <c r="A1664" s="34"/>
      <c r="B1664" s="51"/>
      <c r="C1664" s="51"/>
      <c r="D1664" s="52"/>
      <c r="E1664" s="53"/>
      <c r="F1664" s="54"/>
      <c r="G1664" s="54"/>
      <c r="H1664" s="54"/>
      <c r="I1664" s="66"/>
      <c r="J1664" s="54"/>
      <c r="K1664" s="54"/>
      <c r="L1664" s="54"/>
      <c r="M1664" s="97" t="str">
        <f t="shared" si="152"/>
        <v/>
      </c>
      <c r="N1664" s="70"/>
      <c r="O1664" s="71" t="str">
        <f t="shared" si="156"/>
        <v/>
      </c>
      <c r="P1664" s="66"/>
      <c r="Q1664" s="66"/>
      <c r="R1664" s="54"/>
      <c r="S1664" s="82"/>
      <c r="T1664" s="83" t="str">
        <f t="shared" si="153"/>
        <v/>
      </c>
      <c r="U1664" s="10"/>
      <c r="V1664" s="41">
        <f>IF(AND(Q1664&lt;&gt;"",RIGHT(Q1664,3)&lt;&gt;""),IF(COUNTIF($Q$6:Q1664,Q1664)=1,1,0),0)</f>
        <v>0</v>
      </c>
      <c r="W1664" s="41" t="str">
        <f t="shared" si="154"/>
        <v/>
      </c>
      <c r="X1664" s="41" t="str">
        <f t="shared" si="155"/>
        <v/>
      </c>
    </row>
    <row r="1665" s="32" customFormat="1" hidden="1" customHeight="1" spans="1:24">
      <c r="A1665" s="34"/>
      <c r="B1665" s="51"/>
      <c r="C1665" s="51"/>
      <c r="D1665" s="52"/>
      <c r="E1665" s="53"/>
      <c r="F1665" s="54"/>
      <c r="G1665" s="54"/>
      <c r="H1665" s="54"/>
      <c r="I1665" s="66"/>
      <c r="J1665" s="54"/>
      <c r="K1665" s="54"/>
      <c r="L1665" s="54"/>
      <c r="M1665" s="97" t="str">
        <f t="shared" si="152"/>
        <v/>
      </c>
      <c r="N1665" s="70"/>
      <c r="O1665" s="71" t="str">
        <f t="shared" si="156"/>
        <v/>
      </c>
      <c r="P1665" s="66"/>
      <c r="Q1665" s="66"/>
      <c r="R1665" s="54"/>
      <c r="S1665" s="82"/>
      <c r="T1665" s="83" t="str">
        <f t="shared" si="153"/>
        <v/>
      </c>
      <c r="U1665" s="10"/>
      <c r="V1665" s="41">
        <f>IF(AND(Q1665&lt;&gt;"",RIGHT(Q1665,3)&lt;&gt;""),IF(COUNTIF($Q$6:Q1665,Q1665)=1,1,0),0)</f>
        <v>0</v>
      </c>
      <c r="W1665" s="41" t="str">
        <f t="shared" si="154"/>
        <v/>
      </c>
      <c r="X1665" s="41" t="str">
        <f t="shared" si="155"/>
        <v/>
      </c>
    </row>
    <row r="1666" s="32" customFormat="1" hidden="1" customHeight="1" spans="1:24">
      <c r="A1666" s="34"/>
      <c r="B1666" s="51"/>
      <c r="C1666" s="51"/>
      <c r="D1666" s="52"/>
      <c r="E1666" s="53"/>
      <c r="F1666" s="54"/>
      <c r="G1666" s="54"/>
      <c r="H1666" s="54"/>
      <c r="I1666" s="66"/>
      <c r="J1666" s="54"/>
      <c r="K1666" s="54"/>
      <c r="L1666" s="54"/>
      <c r="M1666" s="97" t="str">
        <f t="shared" si="152"/>
        <v/>
      </c>
      <c r="N1666" s="70"/>
      <c r="O1666" s="71" t="str">
        <f t="shared" si="156"/>
        <v/>
      </c>
      <c r="P1666" s="66"/>
      <c r="Q1666" s="66"/>
      <c r="R1666" s="54"/>
      <c r="S1666" s="82"/>
      <c r="T1666" s="83" t="str">
        <f t="shared" si="153"/>
        <v/>
      </c>
      <c r="U1666" s="10"/>
      <c r="V1666" s="41">
        <f>IF(AND(Q1666&lt;&gt;"",RIGHT(Q1666,3)&lt;&gt;""),IF(COUNTIF($Q$6:Q1666,Q1666)=1,1,0),0)</f>
        <v>0</v>
      </c>
      <c r="W1666" s="41" t="str">
        <f t="shared" si="154"/>
        <v/>
      </c>
      <c r="X1666" s="41" t="str">
        <f t="shared" si="155"/>
        <v/>
      </c>
    </row>
    <row r="1667" s="32" customFormat="1" hidden="1" customHeight="1" spans="1:24">
      <c r="A1667" s="34"/>
      <c r="B1667" s="51"/>
      <c r="C1667" s="51"/>
      <c r="D1667" s="52"/>
      <c r="E1667" s="53"/>
      <c r="F1667" s="54"/>
      <c r="G1667" s="54"/>
      <c r="H1667" s="54"/>
      <c r="I1667" s="66"/>
      <c r="J1667" s="54"/>
      <c r="K1667" s="54"/>
      <c r="L1667" s="54"/>
      <c r="M1667" s="97" t="str">
        <f t="shared" si="152"/>
        <v/>
      </c>
      <c r="N1667" s="70"/>
      <c r="O1667" s="71" t="str">
        <f t="shared" si="156"/>
        <v/>
      </c>
      <c r="P1667" s="66"/>
      <c r="Q1667" s="66"/>
      <c r="R1667" s="54"/>
      <c r="S1667" s="82"/>
      <c r="T1667" s="83" t="str">
        <f t="shared" si="153"/>
        <v/>
      </c>
      <c r="U1667" s="10"/>
      <c r="V1667" s="41">
        <f>IF(AND(Q1667&lt;&gt;"",RIGHT(Q1667,3)&lt;&gt;""),IF(COUNTIF($Q$6:Q1667,Q1667)=1,1,0),0)</f>
        <v>0</v>
      </c>
      <c r="W1667" s="41" t="str">
        <f t="shared" si="154"/>
        <v/>
      </c>
      <c r="X1667" s="41" t="str">
        <f t="shared" si="155"/>
        <v/>
      </c>
    </row>
    <row r="1668" s="32" customFormat="1" hidden="1" customHeight="1" spans="1:24">
      <c r="A1668" s="34"/>
      <c r="B1668" s="51"/>
      <c r="C1668" s="51"/>
      <c r="D1668" s="52"/>
      <c r="E1668" s="53"/>
      <c r="F1668" s="54"/>
      <c r="G1668" s="54"/>
      <c r="H1668" s="54"/>
      <c r="I1668" s="66"/>
      <c r="J1668" s="54"/>
      <c r="K1668" s="54"/>
      <c r="L1668" s="54"/>
      <c r="M1668" s="97" t="str">
        <f t="shared" si="152"/>
        <v/>
      </c>
      <c r="N1668" s="70"/>
      <c r="O1668" s="71" t="str">
        <f t="shared" si="156"/>
        <v/>
      </c>
      <c r="P1668" s="66"/>
      <c r="Q1668" s="66"/>
      <c r="R1668" s="54"/>
      <c r="S1668" s="82"/>
      <c r="T1668" s="83" t="str">
        <f t="shared" si="153"/>
        <v/>
      </c>
      <c r="U1668" s="10"/>
      <c r="V1668" s="41">
        <f>IF(AND(Q1668&lt;&gt;"",RIGHT(Q1668,3)&lt;&gt;""),IF(COUNTIF($Q$6:Q1668,Q1668)=1,1,0),0)</f>
        <v>0</v>
      </c>
      <c r="W1668" s="41" t="str">
        <f t="shared" si="154"/>
        <v/>
      </c>
      <c r="X1668" s="41" t="str">
        <f t="shared" si="155"/>
        <v/>
      </c>
    </row>
    <row r="1669" s="32" customFormat="1" hidden="1" customHeight="1" spans="1:24">
      <c r="A1669" s="34"/>
      <c r="B1669" s="51"/>
      <c r="C1669" s="51"/>
      <c r="D1669" s="52"/>
      <c r="E1669" s="53"/>
      <c r="F1669" s="54"/>
      <c r="G1669" s="54"/>
      <c r="H1669" s="54"/>
      <c r="I1669" s="66"/>
      <c r="J1669" s="54"/>
      <c r="K1669" s="54"/>
      <c r="L1669" s="54"/>
      <c r="M1669" s="97" t="str">
        <f t="shared" si="152"/>
        <v/>
      </c>
      <c r="N1669" s="70"/>
      <c r="O1669" s="71" t="str">
        <f t="shared" si="156"/>
        <v/>
      </c>
      <c r="P1669" s="66"/>
      <c r="Q1669" s="66"/>
      <c r="R1669" s="54"/>
      <c r="S1669" s="82"/>
      <c r="T1669" s="83" t="str">
        <f t="shared" si="153"/>
        <v/>
      </c>
      <c r="U1669" s="10"/>
      <c r="V1669" s="41">
        <f>IF(AND(Q1669&lt;&gt;"",RIGHT(Q1669,3)&lt;&gt;""),IF(COUNTIF($Q$6:Q1669,Q1669)=1,1,0),0)</f>
        <v>0</v>
      </c>
      <c r="W1669" s="41" t="str">
        <f t="shared" si="154"/>
        <v/>
      </c>
      <c r="X1669" s="41" t="str">
        <f t="shared" si="155"/>
        <v/>
      </c>
    </row>
    <row r="1670" s="32" customFormat="1" hidden="1" customHeight="1" spans="1:24">
      <c r="A1670" s="34"/>
      <c r="B1670" s="51"/>
      <c r="C1670" s="51"/>
      <c r="D1670" s="52"/>
      <c r="E1670" s="53"/>
      <c r="F1670" s="54"/>
      <c r="G1670" s="54"/>
      <c r="H1670" s="54"/>
      <c r="I1670" s="66"/>
      <c r="J1670" s="54"/>
      <c r="K1670" s="54"/>
      <c r="L1670" s="54"/>
      <c r="M1670" s="97" t="str">
        <f t="shared" si="152"/>
        <v/>
      </c>
      <c r="N1670" s="70"/>
      <c r="O1670" s="71" t="str">
        <f t="shared" si="156"/>
        <v/>
      </c>
      <c r="P1670" s="66"/>
      <c r="Q1670" s="66"/>
      <c r="R1670" s="54"/>
      <c r="S1670" s="82"/>
      <c r="T1670" s="83" t="str">
        <f t="shared" si="153"/>
        <v/>
      </c>
      <c r="U1670" s="10"/>
      <c r="V1670" s="41">
        <f>IF(AND(Q1670&lt;&gt;"",RIGHT(Q1670,3)&lt;&gt;""),IF(COUNTIF($Q$6:Q1670,Q1670)=1,1,0),0)</f>
        <v>0</v>
      </c>
      <c r="W1670" s="41" t="str">
        <f t="shared" si="154"/>
        <v/>
      </c>
      <c r="X1670" s="41" t="str">
        <f t="shared" si="155"/>
        <v/>
      </c>
    </row>
    <row r="1671" s="32" customFormat="1" hidden="1" customHeight="1" spans="1:24">
      <c r="A1671" s="34"/>
      <c r="B1671" s="51"/>
      <c r="C1671" s="51"/>
      <c r="D1671" s="52"/>
      <c r="E1671" s="53"/>
      <c r="F1671" s="54"/>
      <c r="G1671" s="54"/>
      <c r="H1671" s="54"/>
      <c r="I1671" s="66"/>
      <c r="J1671" s="54"/>
      <c r="K1671" s="54"/>
      <c r="L1671" s="54"/>
      <c r="M1671" s="97" t="str">
        <f t="shared" si="152"/>
        <v/>
      </c>
      <c r="N1671" s="70"/>
      <c r="O1671" s="71" t="str">
        <f t="shared" si="156"/>
        <v/>
      </c>
      <c r="P1671" s="66"/>
      <c r="Q1671" s="66"/>
      <c r="R1671" s="54"/>
      <c r="S1671" s="82"/>
      <c r="T1671" s="83" t="str">
        <f t="shared" si="153"/>
        <v/>
      </c>
      <c r="U1671" s="10"/>
      <c r="V1671" s="41">
        <f>IF(AND(Q1671&lt;&gt;"",RIGHT(Q1671,3)&lt;&gt;""),IF(COUNTIF($Q$6:Q1671,Q1671)=1,1,0),0)</f>
        <v>0</v>
      </c>
      <c r="W1671" s="41" t="str">
        <f t="shared" si="154"/>
        <v/>
      </c>
      <c r="X1671" s="41" t="str">
        <f t="shared" si="155"/>
        <v/>
      </c>
    </row>
    <row r="1672" s="32" customFormat="1" hidden="1" customHeight="1" spans="1:24">
      <c r="A1672" s="34"/>
      <c r="B1672" s="51"/>
      <c r="C1672" s="51"/>
      <c r="D1672" s="52"/>
      <c r="E1672" s="53"/>
      <c r="F1672" s="54"/>
      <c r="G1672" s="54"/>
      <c r="H1672" s="54"/>
      <c r="I1672" s="66"/>
      <c r="J1672" s="54"/>
      <c r="K1672" s="54"/>
      <c r="L1672" s="54"/>
      <c r="M1672" s="97" t="str">
        <f t="shared" si="152"/>
        <v/>
      </c>
      <c r="N1672" s="70"/>
      <c r="O1672" s="71" t="str">
        <f t="shared" si="156"/>
        <v/>
      </c>
      <c r="P1672" s="66"/>
      <c r="Q1672" s="66"/>
      <c r="R1672" s="54"/>
      <c r="S1672" s="82"/>
      <c r="T1672" s="83" t="str">
        <f t="shared" si="153"/>
        <v/>
      </c>
      <c r="U1672" s="10"/>
      <c r="V1672" s="41">
        <f>IF(AND(Q1672&lt;&gt;"",RIGHT(Q1672,3)&lt;&gt;""),IF(COUNTIF($Q$6:Q1672,Q1672)=1,1,0),0)</f>
        <v>0</v>
      </c>
      <c r="W1672" s="41" t="str">
        <f t="shared" si="154"/>
        <v/>
      </c>
      <c r="X1672" s="41" t="str">
        <f t="shared" si="155"/>
        <v/>
      </c>
    </row>
    <row r="1673" s="32" customFormat="1" hidden="1" customHeight="1" spans="1:24">
      <c r="A1673" s="34"/>
      <c r="B1673" s="51"/>
      <c r="C1673" s="51"/>
      <c r="D1673" s="52"/>
      <c r="E1673" s="53"/>
      <c r="F1673" s="54"/>
      <c r="G1673" s="54"/>
      <c r="H1673" s="54"/>
      <c r="I1673" s="66"/>
      <c r="J1673" s="54"/>
      <c r="K1673" s="54"/>
      <c r="L1673" s="54"/>
      <c r="M1673" s="97" t="str">
        <f t="shared" si="152"/>
        <v/>
      </c>
      <c r="N1673" s="70"/>
      <c r="O1673" s="71" t="str">
        <f t="shared" si="156"/>
        <v/>
      </c>
      <c r="P1673" s="66"/>
      <c r="Q1673" s="66"/>
      <c r="R1673" s="54"/>
      <c r="S1673" s="82"/>
      <c r="T1673" s="83" t="str">
        <f t="shared" si="153"/>
        <v/>
      </c>
      <c r="U1673" s="10"/>
      <c r="V1673" s="41">
        <f>IF(AND(Q1673&lt;&gt;"",RIGHT(Q1673,3)&lt;&gt;""),IF(COUNTIF($Q$6:Q1673,Q1673)=1,1,0),0)</f>
        <v>0</v>
      </c>
      <c r="W1673" s="41" t="str">
        <f t="shared" si="154"/>
        <v/>
      </c>
      <c r="X1673" s="41" t="str">
        <f t="shared" si="155"/>
        <v/>
      </c>
    </row>
    <row r="1674" s="32" customFormat="1" hidden="1" customHeight="1" spans="1:24">
      <c r="A1674" s="34"/>
      <c r="B1674" s="51"/>
      <c r="C1674" s="51"/>
      <c r="D1674" s="52"/>
      <c r="E1674" s="53"/>
      <c r="F1674" s="54"/>
      <c r="G1674" s="54"/>
      <c r="H1674" s="54"/>
      <c r="I1674" s="66"/>
      <c r="J1674" s="54"/>
      <c r="K1674" s="54"/>
      <c r="L1674" s="54"/>
      <c r="M1674" s="97" t="str">
        <f t="shared" si="152"/>
        <v/>
      </c>
      <c r="N1674" s="70"/>
      <c r="O1674" s="71" t="str">
        <f t="shared" si="156"/>
        <v/>
      </c>
      <c r="P1674" s="66"/>
      <c r="Q1674" s="66"/>
      <c r="R1674" s="54"/>
      <c r="S1674" s="82"/>
      <c r="T1674" s="83" t="str">
        <f t="shared" si="153"/>
        <v/>
      </c>
      <c r="U1674" s="10"/>
      <c r="V1674" s="41">
        <f>IF(AND(Q1674&lt;&gt;"",RIGHT(Q1674,3)&lt;&gt;""),IF(COUNTIF($Q$6:Q1674,Q1674)=1,1,0),0)</f>
        <v>0</v>
      </c>
      <c r="W1674" s="41" t="str">
        <f t="shared" si="154"/>
        <v/>
      </c>
      <c r="X1674" s="41" t="str">
        <f t="shared" si="155"/>
        <v/>
      </c>
    </row>
    <row r="1675" s="32" customFormat="1" hidden="1" customHeight="1" spans="1:24">
      <c r="A1675" s="34"/>
      <c r="B1675" s="51"/>
      <c r="C1675" s="51"/>
      <c r="D1675" s="52"/>
      <c r="E1675" s="53"/>
      <c r="F1675" s="54"/>
      <c r="G1675" s="54"/>
      <c r="H1675" s="54"/>
      <c r="I1675" s="66"/>
      <c r="J1675" s="54"/>
      <c r="K1675" s="54"/>
      <c r="L1675" s="54"/>
      <c r="M1675" s="97" t="str">
        <f t="shared" si="152"/>
        <v/>
      </c>
      <c r="N1675" s="70"/>
      <c r="O1675" s="71" t="str">
        <f t="shared" si="156"/>
        <v/>
      </c>
      <c r="P1675" s="66"/>
      <c r="Q1675" s="66"/>
      <c r="R1675" s="54"/>
      <c r="S1675" s="82"/>
      <c r="T1675" s="83" t="str">
        <f t="shared" si="153"/>
        <v/>
      </c>
      <c r="U1675" s="10"/>
      <c r="V1675" s="41">
        <f>IF(AND(Q1675&lt;&gt;"",RIGHT(Q1675,3)&lt;&gt;""),IF(COUNTIF($Q$6:Q1675,Q1675)=1,1,0),0)</f>
        <v>0</v>
      </c>
      <c r="W1675" s="41" t="str">
        <f t="shared" si="154"/>
        <v/>
      </c>
      <c r="X1675" s="41" t="str">
        <f t="shared" si="155"/>
        <v/>
      </c>
    </row>
    <row r="1676" s="32" customFormat="1" hidden="1" customHeight="1" spans="1:24">
      <c r="A1676" s="34"/>
      <c r="B1676" s="51"/>
      <c r="C1676" s="51"/>
      <c r="D1676" s="52"/>
      <c r="E1676" s="53"/>
      <c r="F1676" s="54"/>
      <c r="G1676" s="54"/>
      <c r="H1676" s="54"/>
      <c r="I1676" s="66"/>
      <c r="J1676" s="54"/>
      <c r="K1676" s="54"/>
      <c r="L1676" s="54"/>
      <c r="M1676" s="97" t="str">
        <f t="shared" si="152"/>
        <v/>
      </c>
      <c r="N1676" s="70"/>
      <c r="O1676" s="71" t="str">
        <f t="shared" si="156"/>
        <v/>
      </c>
      <c r="P1676" s="66"/>
      <c r="Q1676" s="66"/>
      <c r="R1676" s="54"/>
      <c r="S1676" s="82"/>
      <c r="T1676" s="83" t="str">
        <f t="shared" si="153"/>
        <v/>
      </c>
      <c r="U1676" s="10"/>
      <c r="V1676" s="41">
        <f>IF(AND(Q1676&lt;&gt;"",RIGHT(Q1676,3)&lt;&gt;""),IF(COUNTIF($Q$6:Q1676,Q1676)=1,1,0),0)</f>
        <v>0</v>
      </c>
      <c r="W1676" s="41" t="str">
        <f t="shared" si="154"/>
        <v/>
      </c>
      <c r="X1676" s="41" t="str">
        <f t="shared" si="155"/>
        <v/>
      </c>
    </row>
    <row r="1677" s="32" customFormat="1" hidden="1" customHeight="1" spans="1:24">
      <c r="A1677" s="34"/>
      <c r="B1677" s="51"/>
      <c r="C1677" s="51"/>
      <c r="D1677" s="52"/>
      <c r="E1677" s="53"/>
      <c r="F1677" s="54"/>
      <c r="G1677" s="54"/>
      <c r="H1677" s="54"/>
      <c r="I1677" s="66"/>
      <c r="J1677" s="54"/>
      <c r="K1677" s="54"/>
      <c r="L1677" s="54"/>
      <c r="M1677" s="97" t="str">
        <f t="shared" si="152"/>
        <v/>
      </c>
      <c r="N1677" s="70"/>
      <c r="O1677" s="71" t="str">
        <f t="shared" si="156"/>
        <v/>
      </c>
      <c r="P1677" s="66"/>
      <c r="Q1677" s="66"/>
      <c r="R1677" s="54"/>
      <c r="S1677" s="82"/>
      <c r="T1677" s="83" t="str">
        <f t="shared" si="153"/>
        <v/>
      </c>
      <c r="U1677" s="10"/>
      <c r="V1677" s="41">
        <f>IF(AND(Q1677&lt;&gt;"",RIGHT(Q1677,3)&lt;&gt;""),IF(COUNTIF($Q$6:Q1677,Q1677)=1,1,0),0)</f>
        <v>0</v>
      </c>
      <c r="W1677" s="41" t="str">
        <f t="shared" si="154"/>
        <v/>
      </c>
      <c r="X1677" s="41" t="str">
        <f t="shared" si="155"/>
        <v/>
      </c>
    </row>
    <row r="1678" s="32" customFormat="1" hidden="1" customHeight="1" spans="1:24">
      <c r="A1678" s="34"/>
      <c r="B1678" s="51"/>
      <c r="C1678" s="51"/>
      <c r="D1678" s="52"/>
      <c r="E1678" s="53"/>
      <c r="F1678" s="54"/>
      <c r="G1678" s="54"/>
      <c r="H1678" s="54"/>
      <c r="I1678" s="66"/>
      <c r="J1678" s="54"/>
      <c r="K1678" s="54"/>
      <c r="L1678" s="54"/>
      <c r="M1678" s="97" t="str">
        <f t="shared" si="152"/>
        <v/>
      </c>
      <c r="N1678" s="70"/>
      <c r="O1678" s="71" t="str">
        <f t="shared" si="156"/>
        <v/>
      </c>
      <c r="P1678" s="66"/>
      <c r="Q1678" s="66"/>
      <c r="R1678" s="54"/>
      <c r="S1678" s="82"/>
      <c r="T1678" s="83" t="str">
        <f t="shared" si="153"/>
        <v/>
      </c>
      <c r="U1678" s="10"/>
      <c r="V1678" s="41">
        <f>IF(AND(Q1678&lt;&gt;"",RIGHT(Q1678,3)&lt;&gt;""),IF(COUNTIF($Q$6:Q1678,Q1678)=1,1,0),0)</f>
        <v>0</v>
      </c>
      <c r="W1678" s="41" t="str">
        <f t="shared" si="154"/>
        <v/>
      </c>
      <c r="X1678" s="41" t="str">
        <f t="shared" si="155"/>
        <v/>
      </c>
    </row>
    <row r="1679" s="32" customFormat="1" hidden="1" customHeight="1" spans="1:24">
      <c r="A1679" s="34"/>
      <c r="B1679" s="51"/>
      <c r="C1679" s="51"/>
      <c r="D1679" s="52"/>
      <c r="E1679" s="53"/>
      <c r="F1679" s="54"/>
      <c r="G1679" s="54"/>
      <c r="H1679" s="54"/>
      <c r="I1679" s="66"/>
      <c r="J1679" s="54"/>
      <c r="K1679" s="54"/>
      <c r="L1679" s="54"/>
      <c r="M1679" s="97" t="str">
        <f t="shared" si="152"/>
        <v/>
      </c>
      <c r="N1679" s="70"/>
      <c r="O1679" s="71" t="str">
        <f t="shared" si="156"/>
        <v/>
      </c>
      <c r="P1679" s="66"/>
      <c r="Q1679" s="66"/>
      <c r="R1679" s="54"/>
      <c r="S1679" s="82"/>
      <c r="T1679" s="83" t="str">
        <f t="shared" si="153"/>
        <v/>
      </c>
      <c r="U1679" s="10"/>
      <c r="V1679" s="41">
        <f>IF(AND(Q1679&lt;&gt;"",RIGHT(Q1679,3)&lt;&gt;""),IF(COUNTIF($Q$6:Q1679,Q1679)=1,1,0),0)</f>
        <v>0</v>
      </c>
      <c r="W1679" s="41" t="str">
        <f t="shared" si="154"/>
        <v/>
      </c>
      <c r="X1679" s="41" t="str">
        <f t="shared" si="155"/>
        <v/>
      </c>
    </row>
    <row r="1680" s="32" customFormat="1" hidden="1" customHeight="1" spans="1:24">
      <c r="A1680" s="34"/>
      <c r="B1680" s="51"/>
      <c r="C1680" s="51"/>
      <c r="D1680" s="52"/>
      <c r="E1680" s="53"/>
      <c r="F1680" s="54"/>
      <c r="G1680" s="54"/>
      <c r="H1680" s="54"/>
      <c r="I1680" s="66"/>
      <c r="J1680" s="54"/>
      <c r="K1680" s="54"/>
      <c r="L1680" s="54"/>
      <c r="M1680" s="97" t="str">
        <f t="shared" si="152"/>
        <v/>
      </c>
      <c r="N1680" s="70"/>
      <c r="O1680" s="71" t="str">
        <f t="shared" si="156"/>
        <v/>
      </c>
      <c r="P1680" s="66"/>
      <c r="Q1680" s="66"/>
      <c r="R1680" s="54"/>
      <c r="S1680" s="82"/>
      <c r="T1680" s="83" t="str">
        <f t="shared" si="153"/>
        <v/>
      </c>
      <c r="U1680" s="10"/>
      <c r="V1680" s="41">
        <f>IF(AND(Q1680&lt;&gt;"",RIGHT(Q1680,3)&lt;&gt;""),IF(COUNTIF($Q$6:Q1680,Q1680)=1,1,0),0)</f>
        <v>0</v>
      </c>
      <c r="W1680" s="41" t="str">
        <f t="shared" si="154"/>
        <v/>
      </c>
      <c r="X1680" s="41" t="str">
        <f t="shared" si="155"/>
        <v/>
      </c>
    </row>
    <row r="1681" s="32" customFormat="1" hidden="1" customHeight="1" spans="1:24">
      <c r="A1681" s="34"/>
      <c r="B1681" s="51"/>
      <c r="C1681" s="51"/>
      <c r="D1681" s="52"/>
      <c r="E1681" s="53"/>
      <c r="F1681" s="54"/>
      <c r="G1681" s="54"/>
      <c r="H1681" s="54"/>
      <c r="I1681" s="66"/>
      <c r="J1681" s="54"/>
      <c r="K1681" s="54"/>
      <c r="L1681" s="54"/>
      <c r="M1681" s="97" t="str">
        <f t="shared" si="152"/>
        <v/>
      </c>
      <c r="N1681" s="70"/>
      <c r="O1681" s="71" t="str">
        <f t="shared" si="156"/>
        <v/>
      </c>
      <c r="P1681" s="66"/>
      <c r="Q1681" s="66"/>
      <c r="R1681" s="54"/>
      <c r="S1681" s="82"/>
      <c r="T1681" s="83" t="str">
        <f t="shared" si="153"/>
        <v/>
      </c>
      <c r="U1681" s="10"/>
      <c r="V1681" s="41">
        <f>IF(AND(Q1681&lt;&gt;"",RIGHT(Q1681,3)&lt;&gt;""),IF(COUNTIF($Q$6:Q1681,Q1681)=1,1,0),0)</f>
        <v>0</v>
      </c>
      <c r="W1681" s="41" t="str">
        <f t="shared" si="154"/>
        <v/>
      </c>
      <c r="X1681" s="41" t="str">
        <f t="shared" si="155"/>
        <v/>
      </c>
    </row>
    <row r="1682" s="32" customFormat="1" hidden="1" customHeight="1" spans="1:24">
      <c r="A1682" s="34"/>
      <c r="B1682" s="51"/>
      <c r="C1682" s="51"/>
      <c r="D1682" s="52"/>
      <c r="E1682" s="53"/>
      <c r="F1682" s="54"/>
      <c r="G1682" s="54"/>
      <c r="H1682" s="54"/>
      <c r="I1682" s="66"/>
      <c r="J1682" s="54"/>
      <c r="K1682" s="54"/>
      <c r="L1682" s="54"/>
      <c r="M1682" s="97" t="str">
        <f t="shared" si="152"/>
        <v/>
      </c>
      <c r="N1682" s="70"/>
      <c r="O1682" s="71" t="str">
        <f t="shared" si="156"/>
        <v/>
      </c>
      <c r="P1682" s="66"/>
      <c r="Q1682" s="66"/>
      <c r="R1682" s="54"/>
      <c r="S1682" s="82"/>
      <c r="T1682" s="83" t="str">
        <f t="shared" si="153"/>
        <v/>
      </c>
      <c r="U1682" s="10"/>
      <c r="V1682" s="41">
        <f>IF(AND(Q1682&lt;&gt;"",RIGHT(Q1682,3)&lt;&gt;""),IF(COUNTIF($Q$6:Q1682,Q1682)=1,1,0),0)</f>
        <v>0</v>
      </c>
      <c r="W1682" s="41" t="str">
        <f t="shared" si="154"/>
        <v/>
      </c>
      <c r="X1682" s="41" t="str">
        <f t="shared" si="155"/>
        <v/>
      </c>
    </row>
    <row r="1683" s="32" customFormat="1" hidden="1" customHeight="1" spans="1:24">
      <c r="A1683" s="34"/>
      <c r="B1683" s="51"/>
      <c r="C1683" s="51"/>
      <c r="D1683" s="52"/>
      <c r="E1683" s="53"/>
      <c r="F1683" s="54"/>
      <c r="G1683" s="54"/>
      <c r="H1683" s="54"/>
      <c r="I1683" s="66"/>
      <c r="J1683" s="54"/>
      <c r="K1683" s="54"/>
      <c r="L1683" s="54"/>
      <c r="M1683" s="97" t="str">
        <f t="shared" si="152"/>
        <v/>
      </c>
      <c r="N1683" s="70"/>
      <c r="O1683" s="71" t="str">
        <f t="shared" si="156"/>
        <v/>
      </c>
      <c r="P1683" s="66"/>
      <c r="Q1683" s="66"/>
      <c r="R1683" s="54"/>
      <c r="S1683" s="82"/>
      <c r="T1683" s="83" t="str">
        <f t="shared" si="153"/>
        <v/>
      </c>
      <c r="U1683" s="10"/>
      <c r="V1683" s="41">
        <f>IF(AND(Q1683&lt;&gt;"",RIGHT(Q1683,3)&lt;&gt;""),IF(COUNTIF($Q$6:Q1683,Q1683)=1,1,0),0)</f>
        <v>0</v>
      </c>
      <c r="W1683" s="41" t="str">
        <f t="shared" si="154"/>
        <v/>
      </c>
      <c r="X1683" s="41" t="str">
        <f t="shared" si="155"/>
        <v/>
      </c>
    </row>
    <row r="1684" s="32" customFormat="1" hidden="1" customHeight="1" spans="1:24">
      <c r="A1684" s="34"/>
      <c r="B1684" s="51"/>
      <c r="C1684" s="51"/>
      <c r="D1684" s="52"/>
      <c r="E1684" s="53"/>
      <c r="F1684" s="54"/>
      <c r="G1684" s="54"/>
      <c r="H1684" s="54"/>
      <c r="I1684" s="66"/>
      <c r="J1684" s="54"/>
      <c r="K1684" s="54"/>
      <c r="L1684" s="54"/>
      <c r="M1684" s="97" t="str">
        <f t="shared" si="152"/>
        <v/>
      </c>
      <c r="N1684" s="70"/>
      <c r="O1684" s="71" t="str">
        <f t="shared" si="156"/>
        <v/>
      </c>
      <c r="P1684" s="66"/>
      <c r="Q1684" s="66"/>
      <c r="R1684" s="54"/>
      <c r="S1684" s="82"/>
      <c r="T1684" s="83" t="str">
        <f t="shared" si="153"/>
        <v/>
      </c>
      <c r="U1684" s="10"/>
      <c r="V1684" s="41">
        <f>IF(AND(Q1684&lt;&gt;"",RIGHT(Q1684,3)&lt;&gt;""),IF(COUNTIF($Q$6:Q1684,Q1684)=1,1,0),0)</f>
        <v>0</v>
      </c>
      <c r="W1684" s="41" t="str">
        <f t="shared" si="154"/>
        <v/>
      </c>
      <c r="X1684" s="41" t="str">
        <f t="shared" si="155"/>
        <v/>
      </c>
    </row>
    <row r="1685" s="32" customFormat="1" hidden="1" customHeight="1" spans="1:24">
      <c r="A1685" s="34"/>
      <c r="B1685" s="51"/>
      <c r="C1685" s="51"/>
      <c r="D1685" s="52"/>
      <c r="E1685" s="53"/>
      <c r="F1685" s="54"/>
      <c r="G1685" s="54"/>
      <c r="H1685" s="54"/>
      <c r="I1685" s="66"/>
      <c r="J1685" s="54"/>
      <c r="K1685" s="54"/>
      <c r="L1685" s="54"/>
      <c r="M1685" s="97" t="str">
        <f t="shared" si="152"/>
        <v/>
      </c>
      <c r="N1685" s="70"/>
      <c r="O1685" s="71" t="str">
        <f t="shared" si="156"/>
        <v/>
      </c>
      <c r="P1685" s="66"/>
      <c r="Q1685" s="66"/>
      <c r="R1685" s="54"/>
      <c r="S1685" s="82"/>
      <c r="T1685" s="83" t="str">
        <f t="shared" si="153"/>
        <v/>
      </c>
      <c r="U1685" s="10"/>
      <c r="V1685" s="41">
        <f>IF(AND(Q1685&lt;&gt;"",RIGHT(Q1685,3)&lt;&gt;""),IF(COUNTIF($Q$6:Q1685,Q1685)=1,1,0),0)</f>
        <v>0</v>
      </c>
      <c r="W1685" s="41" t="str">
        <f t="shared" si="154"/>
        <v/>
      </c>
      <c r="X1685" s="41" t="str">
        <f t="shared" si="155"/>
        <v/>
      </c>
    </row>
    <row r="1686" s="32" customFormat="1" hidden="1" customHeight="1" spans="1:24">
      <c r="A1686" s="34"/>
      <c r="B1686" s="51"/>
      <c r="C1686" s="51"/>
      <c r="D1686" s="52"/>
      <c r="E1686" s="53"/>
      <c r="F1686" s="54"/>
      <c r="G1686" s="54"/>
      <c r="H1686" s="54"/>
      <c r="I1686" s="66"/>
      <c r="J1686" s="54"/>
      <c r="K1686" s="54"/>
      <c r="L1686" s="54"/>
      <c r="M1686" s="97" t="str">
        <f t="shared" si="152"/>
        <v/>
      </c>
      <c r="N1686" s="70"/>
      <c r="O1686" s="71" t="str">
        <f t="shared" si="156"/>
        <v/>
      </c>
      <c r="P1686" s="66"/>
      <c r="Q1686" s="66"/>
      <c r="R1686" s="54"/>
      <c r="S1686" s="82"/>
      <c r="T1686" s="83" t="str">
        <f t="shared" si="153"/>
        <v/>
      </c>
      <c r="U1686" s="10"/>
      <c r="V1686" s="41">
        <f>IF(AND(Q1686&lt;&gt;"",RIGHT(Q1686,3)&lt;&gt;""),IF(COUNTIF($Q$6:Q1686,Q1686)=1,1,0),0)</f>
        <v>0</v>
      </c>
      <c r="W1686" s="41" t="str">
        <f t="shared" si="154"/>
        <v/>
      </c>
      <c r="X1686" s="41" t="str">
        <f t="shared" si="155"/>
        <v/>
      </c>
    </row>
    <row r="1687" s="32" customFormat="1" hidden="1" customHeight="1" spans="1:24">
      <c r="A1687" s="34"/>
      <c r="B1687" s="51"/>
      <c r="C1687" s="51"/>
      <c r="D1687" s="52"/>
      <c r="E1687" s="53"/>
      <c r="F1687" s="54"/>
      <c r="G1687" s="54"/>
      <c r="H1687" s="54"/>
      <c r="I1687" s="66"/>
      <c r="J1687" s="54"/>
      <c r="K1687" s="54"/>
      <c r="L1687" s="54"/>
      <c r="M1687" s="97" t="str">
        <f t="shared" si="152"/>
        <v/>
      </c>
      <c r="N1687" s="70"/>
      <c r="O1687" s="71" t="str">
        <f t="shared" si="156"/>
        <v/>
      </c>
      <c r="P1687" s="66"/>
      <c r="Q1687" s="66"/>
      <c r="R1687" s="54"/>
      <c r="S1687" s="82"/>
      <c r="T1687" s="83" t="str">
        <f t="shared" si="153"/>
        <v/>
      </c>
      <c r="U1687" s="10"/>
      <c r="V1687" s="41">
        <f>IF(AND(Q1687&lt;&gt;"",RIGHT(Q1687,3)&lt;&gt;""),IF(COUNTIF($Q$6:Q1687,Q1687)=1,1,0),0)</f>
        <v>0</v>
      </c>
      <c r="W1687" s="41" t="str">
        <f t="shared" si="154"/>
        <v/>
      </c>
      <c r="X1687" s="41" t="str">
        <f t="shared" si="155"/>
        <v/>
      </c>
    </row>
    <row r="1688" s="32" customFormat="1" hidden="1" customHeight="1" spans="1:24">
      <c r="A1688" s="34"/>
      <c r="B1688" s="51"/>
      <c r="C1688" s="51"/>
      <c r="D1688" s="52"/>
      <c r="E1688" s="53"/>
      <c r="F1688" s="54"/>
      <c r="G1688" s="54"/>
      <c r="H1688" s="54"/>
      <c r="I1688" s="66"/>
      <c r="J1688" s="54"/>
      <c r="K1688" s="54"/>
      <c r="L1688" s="54"/>
      <c r="M1688" s="97" t="str">
        <f t="shared" si="152"/>
        <v/>
      </c>
      <c r="N1688" s="70"/>
      <c r="O1688" s="71" t="str">
        <f t="shared" si="156"/>
        <v/>
      </c>
      <c r="P1688" s="66"/>
      <c r="Q1688" s="66"/>
      <c r="R1688" s="54"/>
      <c r="S1688" s="82"/>
      <c r="T1688" s="83" t="str">
        <f t="shared" si="153"/>
        <v/>
      </c>
      <c r="U1688" s="10"/>
      <c r="V1688" s="41">
        <f>IF(AND(Q1688&lt;&gt;"",RIGHT(Q1688,3)&lt;&gt;""),IF(COUNTIF($Q$6:Q1688,Q1688)=1,1,0),0)</f>
        <v>0</v>
      </c>
      <c r="W1688" s="41" t="str">
        <f t="shared" si="154"/>
        <v/>
      </c>
      <c r="X1688" s="41" t="str">
        <f t="shared" si="155"/>
        <v/>
      </c>
    </row>
    <row r="1689" s="32" customFormat="1" hidden="1" customHeight="1" spans="1:24">
      <c r="A1689" s="34"/>
      <c r="B1689" s="51"/>
      <c r="C1689" s="51"/>
      <c r="D1689" s="52"/>
      <c r="E1689" s="53"/>
      <c r="F1689" s="54"/>
      <c r="G1689" s="54"/>
      <c r="H1689" s="54"/>
      <c r="I1689" s="66"/>
      <c r="J1689" s="54"/>
      <c r="K1689" s="54"/>
      <c r="L1689" s="54"/>
      <c r="M1689" s="97" t="str">
        <f t="shared" si="152"/>
        <v/>
      </c>
      <c r="N1689" s="70"/>
      <c r="O1689" s="71" t="str">
        <f t="shared" si="156"/>
        <v/>
      </c>
      <c r="P1689" s="66"/>
      <c r="Q1689" s="66"/>
      <c r="R1689" s="54"/>
      <c r="S1689" s="82"/>
      <c r="T1689" s="83" t="str">
        <f t="shared" si="153"/>
        <v/>
      </c>
      <c r="U1689" s="10"/>
      <c r="V1689" s="41">
        <f>IF(AND(Q1689&lt;&gt;"",RIGHT(Q1689,3)&lt;&gt;""),IF(COUNTIF($Q$6:Q1689,Q1689)=1,1,0),0)</f>
        <v>0</v>
      </c>
      <c r="W1689" s="41" t="str">
        <f t="shared" si="154"/>
        <v/>
      </c>
      <c r="X1689" s="41" t="str">
        <f t="shared" si="155"/>
        <v/>
      </c>
    </row>
    <row r="1690" s="32" customFormat="1" hidden="1" customHeight="1" spans="1:24">
      <c r="A1690" s="34"/>
      <c r="B1690" s="51"/>
      <c r="C1690" s="51"/>
      <c r="D1690" s="52"/>
      <c r="E1690" s="53"/>
      <c r="F1690" s="54"/>
      <c r="G1690" s="54"/>
      <c r="H1690" s="54"/>
      <c r="I1690" s="66"/>
      <c r="J1690" s="54"/>
      <c r="K1690" s="54"/>
      <c r="L1690" s="54"/>
      <c r="M1690" s="97" t="str">
        <f t="shared" si="152"/>
        <v/>
      </c>
      <c r="N1690" s="70"/>
      <c r="O1690" s="71" t="str">
        <f t="shared" si="156"/>
        <v/>
      </c>
      <c r="P1690" s="66"/>
      <c r="Q1690" s="66"/>
      <c r="R1690" s="54"/>
      <c r="S1690" s="82"/>
      <c r="T1690" s="83" t="str">
        <f t="shared" si="153"/>
        <v/>
      </c>
      <c r="U1690" s="10"/>
      <c r="V1690" s="41">
        <f>IF(AND(Q1690&lt;&gt;"",RIGHT(Q1690,3)&lt;&gt;""),IF(COUNTIF($Q$6:Q1690,Q1690)=1,1,0),0)</f>
        <v>0</v>
      </c>
      <c r="W1690" s="41" t="str">
        <f t="shared" si="154"/>
        <v/>
      </c>
      <c r="X1690" s="41" t="str">
        <f t="shared" si="155"/>
        <v/>
      </c>
    </row>
    <row r="1691" s="32" customFormat="1" hidden="1" customHeight="1" spans="1:24">
      <c r="A1691" s="34"/>
      <c r="B1691" s="51"/>
      <c r="C1691" s="51"/>
      <c r="D1691" s="52"/>
      <c r="E1691" s="53"/>
      <c r="F1691" s="54"/>
      <c r="G1691" s="54"/>
      <c r="H1691" s="54"/>
      <c r="I1691" s="66"/>
      <c r="J1691" s="54"/>
      <c r="K1691" s="54"/>
      <c r="L1691" s="54"/>
      <c r="M1691" s="97" t="str">
        <f t="shared" si="152"/>
        <v/>
      </c>
      <c r="N1691" s="70"/>
      <c r="O1691" s="71" t="str">
        <f t="shared" si="156"/>
        <v/>
      </c>
      <c r="P1691" s="66"/>
      <c r="Q1691" s="66"/>
      <c r="R1691" s="54"/>
      <c r="S1691" s="82"/>
      <c r="T1691" s="83" t="str">
        <f t="shared" si="153"/>
        <v/>
      </c>
      <c r="U1691" s="10"/>
      <c r="V1691" s="41">
        <f>IF(AND(Q1691&lt;&gt;"",RIGHT(Q1691,3)&lt;&gt;""),IF(COUNTIF($Q$6:Q1691,Q1691)=1,1,0),0)</f>
        <v>0</v>
      </c>
      <c r="W1691" s="41" t="str">
        <f t="shared" si="154"/>
        <v/>
      </c>
      <c r="X1691" s="41" t="str">
        <f t="shared" si="155"/>
        <v/>
      </c>
    </row>
    <row r="1692" s="32" customFormat="1" hidden="1" customHeight="1" spans="1:24">
      <c r="A1692" s="34"/>
      <c r="B1692" s="51"/>
      <c r="C1692" s="51"/>
      <c r="D1692" s="52"/>
      <c r="E1692" s="53"/>
      <c r="F1692" s="54"/>
      <c r="G1692" s="54"/>
      <c r="H1692" s="54"/>
      <c r="I1692" s="66"/>
      <c r="J1692" s="54"/>
      <c r="K1692" s="54"/>
      <c r="L1692" s="54"/>
      <c r="M1692" s="97" t="str">
        <f t="shared" si="152"/>
        <v/>
      </c>
      <c r="N1692" s="70"/>
      <c r="O1692" s="71" t="str">
        <f t="shared" si="156"/>
        <v/>
      </c>
      <c r="P1692" s="66"/>
      <c r="Q1692" s="66"/>
      <c r="R1692" s="54"/>
      <c r="S1692" s="82"/>
      <c r="T1692" s="83" t="str">
        <f t="shared" si="153"/>
        <v/>
      </c>
      <c r="U1692" s="10"/>
      <c r="V1692" s="41">
        <f>IF(AND(Q1692&lt;&gt;"",RIGHT(Q1692,3)&lt;&gt;""),IF(COUNTIF($Q$6:Q1692,Q1692)=1,1,0),0)</f>
        <v>0</v>
      </c>
      <c r="W1692" s="41" t="str">
        <f t="shared" si="154"/>
        <v/>
      </c>
      <c r="X1692" s="41" t="str">
        <f t="shared" si="155"/>
        <v/>
      </c>
    </row>
    <row r="1693" s="32" customFormat="1" hidden="1" customHeight="1" spans="1:24">
      <c r="A1693" s="34"/>
      <c r="B1693" s="51"/>
      <c r="C1693" s="51"/>
      <c r="D1693" s="52"/>
      <c r="E1693" s="53"/>
      <c r="F1693" s="54"/>
      <c r="G1693" s="54"/>
      <c r="H1693" s="54"/>
      <c r="I1693" s="66"/>
      <c r="J1693" s="54"/>
      <c r="K1693" s="54"/>
      <c r="L1693" s="54"/>
      <c r="M1693" s="97" t="str">
        <f t="shared" si="152"/>
        <v/>
      </c>
      <c r="N1693" s="70"/>
      <c r="O1693" s="71" t="str">
        <f t="shared" si="156"/>
        <v/>
      </c>
      <c r="P1693" s="66"/>
      <c r="Q1693" s="66"/>
      <c r="R1693" s="54"/>
      <c r="S1693" s="82"/>
      <c r="T1693" s="83" t="str">
        <f t="shared" si="153"/>
        <v/>
      </c>
      <c r="U1693" s="10"/>
      <c r="V1693" s="41">
        <f>IF(AND(Q1693&lt;&gt;"",RIGHT(Q1693,3)&lt;&gt;""),IF(COUNTIF($Q$6:Q1693,Q1693)=1,1,0),0)</f>
        <v>0</v>
      </c>
      <c r="W1693" s="41" t="str">
        <f t="shared" si="154"/>
        <v/>
      </c>
      <c r="X1693" s="41" t="str">
        <f t="shared" si="155"/>
        <v/>
      </c>
    </row>
    <row r="1694" s="32" customFormat="1" hidden="1" customHeight="1" spans="1:24">
      <c r="A1694" s="34"/>
      <c r="B1694" s="51"/>
      <c r="C1694" s="51"/>
      <c r="D1694" s="52"/>
      <c r="E1694" s="53"/>
      <c r="F1694" s="54"/>
      <c r="G1694" s="54"/>
      <c r="H1694" s="54"/>
      <c r="I1694" s="66"/>
      <c r="J1694" s="54"/>
      <c r="K1694" s="54"/>
      <c r="L1694" s="54"/>
      <c r="M1694" s="97" t="str">
        <f t="shared" si="152"/>
        <v/>
      </c>
      <c r="N1694" s="70"/>
      <c r="O1694" s="71" t="str">
        <f t="shared" si="156"/>
        <v/>
      </c>
      <c r="P1694" s="66"/>
      <c r="Q1694" s="66"/>
      <c r="R1694" s="54"/>
      <c r="S1694" s="82"/>
      <c r="T1694" s="83" t="str">
        <f t="shared" si="153"/>
        <v/>
      </c>
      <c r="U1694" s="10"/>
      <c r="V1694" s="41">
        <f>IF(AND(Q1694&lt;&gt;"",RIGHT(Q1694,3)&lt;&gt;""),IF(COUNTIF($Q$6:Q1694,Q1694)=1,1,0),0)</f>
        <v>0</v>
      </c>
      <c r="W1694" s="41" t="str">
        <f t="shared" si="154"/>
        <v/>
      </c>
      <c r="X1694" s="41" t="str">
        <f t="shared" si="155"/>
        <v/>
      </c>
    </row>
    <row r="1695" s="32" customFormat="1" hidden="1" customHeight="1" spans="1:24">
      <c r="A1695" s="34"/>
      <c r="B1695" s="51"/>
      <c r="C1695" s="51"/>
      <c r="D1695" s="52"/>
      <c r="E1695" s="53"/>
      <c r="F1695" s="54"/>
      <c r="G1695" s="54"/>
      <c r="H1695" s="54"/>
      <c r="I1695" s="66"/>
      <c r="J1695" s="54"/>
      <c r="K1695" s="54"/>
      <c r="L1695" s="54"/>
      <c r="M1695" s="97" t="str">
        <f t="shared" si="152"/>
        <v/>
      </c>
      <c r="N1695" s="70"/>
      <c r="O1695" s="71" t="str">
        <f t="shared" si="156"/>
        <v/>
      </c>
      <c r="P1695" s="66"/>
      <c r="Q1695" s="66"/>
      <c r="R1695" s="54"/>
      <c r="S1695" s="82"/>
      <c r="T1695" s="83" t="str">
        <f t="shared" si="153"/>
        <v/>
      </c>
      <c r="U1695" s="10"/>
      <c r="V1695" s="41">
        <f>IF(AND(Q1695&lt;&gt;"",RIGHT(Q1695,3)&lt;&gt;""),IF(COUNTIF($Q$6:Q1695,Q1695)=1,1,0),0)</f>
        <v>0</v>
      </c>
      <c r="W1695" s="41" t="str">
        <f t="shared" si="154"/>
        <v/>
      </c>
      <c r="X1695" s="41" t="str">
        <f t="shared" si="155"/>
        <v/>
      </c>
    </row>
    <row r="1696" s="32" customFormat="1" hidden="1" customHeight="1" spans="1:24">
      <c r="A1696" s="34"/>
      <c r="B1696" s="51"/>
      <c r="C1696" s="51"/>
      <c r="D1696" s="52"/>
      <c r="E1696" s="53"/>
      <c r="F1696" s="54"/>
      <c r="G1696" s="54"/>
      <c r="H1696" s="54"/>
      <c r="I1696" s="66"/>
      <c r="J1696" s="54"/>
      <c r="K1696" s="54"/>
      <c r="L1696" s="54"/>
      <c r="M1696" s="97" t="str">
        <f t="shared" si="152"/>
        <v/>
      </c>
      <c r="N1696" s="70"/>
      <c r="O1696" s="71" t="str">
        <f t="shared" si="156"/>
        <v/>
      </c>
      <c r="P1696" s="66"/>
      <c r="Q1696" s="66"/>
      <c r="R1696" s="54"/>
      <c r="S1696" s="82"/>
      <c r="T1696" s="83" t="str">
        <f t="shared" si="153"/>
        <v/>
      </c>
      <c r="U1696" s="10"/>
      <c r="V1696" s="41">
        <f>IF(AND(Q1696&lt;&gt;"",RIGHT(Q1696,3)&lt;&gt;""),IF(COUNTIF($Q$6:Q1696,Q1696)=1,1,0),0)</f>
        <v>0</v>
      </c>
      <c r="W1696" s="41" t="str">
        <f t="shared" si="154"/>
        <v/>
      </c>
      <c r="X1696" s="41" t="str">
        <f t="shared" si="155"/>
        <v/>
      </c>
    </row>
    <row r="1697" s="32" customFormat="1" hidden="1" customHeight="1" spans="1:24">
      <c r="A1697" s="34"/>
      <c r="B1697" s="51"/>
      <c r="C1697" s="51"/>
      <c r="D1697" s="52"/>
      <c r="E1697" s="53"/>
      <c r="F1697" s="54"/>
      <c r="G1697" s="54"/>
      <c r="H1697" s="54"/>
      <c r="I1697" s="66"/>
      <c r="J1697" s="54"/>
      <c r="K1697" s="54"/>
      <c r="L1697" s="54"/>
      <c r="M1697" s="97" t="str">
        <f t="shared" si="152"/>
        <v/>
      </c>
      <c r="N1697" s="70"/>
      <c r="O1697" s="71" t="str">
        <f t="shared" si="156"/>
        <v/>
      </c>
      <c r="P1697" s="66"/>
      <c r="Q1697" s="66"/>
      <c r="R1697" s="54"/>
      <c r="S1697" s="82"/>
      <c r="T1697" s="83" t="str">
        <f t="shared" si="153"/>
        <v/>
      </c>
      <c r="U1697" s="10"/>
      <c r="V1697" s="41">
        <f>IF(AND(Q1697&lt;&gt;"",RIGHT(Q1697,3)&lt;&gt;""),IF(COUNTIF($Q$6:Q1697,Q1697)=1,1,0),0)</f>
        <v>0</v>
      </c>
      <c r="W1697" s="41" t="str">
        <f t="shared" si="154"/>
        <v/>
      </c>
      <c r="X1697" s="41" t="str">
        <f t="shared" si="155"/>
        <v/>
      </c>
    </row>
    <row r="1698" s="32" customFormat="1" hidden="1" customHeight="1" spans="1:24">
      <c r="A1698" s="34"/>
      <c r="B1698" s="51"/>
      <c r="C1698" s="51"/>
      <c r="D1698" s="52"/>
      <c r="E1698" s="53"/>
      <c r="F1698" s="54"/>
      <c r="G1698" s="54"/>
      <c r="H1698" s="54"/>
      <c r="I1698" s="66"/>
      <c r="J1698" s="54"/>
      <c r="K1698" s="54"/>
      <c r="L1698" s="54"/>
      <c r="M1698" s="97" t="str">
        <f t="shared" si="152"/>
        <v/>
      </c>
      <c r="N1698" s="70"/>
      <c r="O1698" s="71" t="str">
        <f t="shared" si="156"/>
        <v/>
      </c>
      <c r="P1698" s="66"/>
      <c r="Q1698" s="66"/>
      <c r="R1698" s="54"/>
      <c r="S1698" s="82"/>
      <c r="T1698" s="83" t="str">
        <f t="shared" si="153"/>
        <v/>
      </c>
      <c r="U1698" s="10"/>
      <c r="V1698" s="41">
        <f>IF(AND(Q1698&lt;&gt;"",RIGHT(Q1698,3)&lt;&gt;""),IF(COUNTIF($Q$6:Q1698,Q1698)=1,1,0),0)</f>
        <v>0</v>
      </c>
      <c r="W1698" s="41" t="str">
        <f t="shared" si="154"/>
        <v/>
      </c>
      <c r="X1698" s="41" t="str">
        <f t="shared" si="155"/>
        <v/>
      </c>
    </row>
    <row r="1699" s="32" customFormat="1" hidden="1" customHeight="1" spans="1:24">
      <c r="A1699" s="34"/>
      <c r="B1699" s="51"/>
      <c r="C1699" s="51"/>
      <c r="D1699" s="52"/>
      <c r="E1699" s="53"/>
      <c r="F1699" s="54"/>
      <c r="G1699" s="54"/>
      <c r="H1699" s="54"/>
      <c r="I1699" s="66"/>
      <c r="J1699" s="54"/>
      <c r="K1699" s="54"/>
      <c r="L1699" s="54"/>
      <c r="M1699" s="97" t="str">
        <f t="shared" si="152"/>
        <v/>
      </c>
      <c r="N1699" s="70"/>
      <c r="O1699" s="71" t="str">
        <f t="shared" si="156"/>
        <v/>
      </c>
      <c r="P1699" s="66"/>
      <c r="Q1699" s="66"/>
      <c r="R1699" s="54"/>
      <c r="S1699" s="82"/>
      <c r="T1699" s="83" t="str">
        <f t="shared" si="153"/>
        <v/>
      </c>
      <c r="U1699" s="10"/>
      <c r="V1699" s="41">
        <f>IF(AND(Q1699&lt;&gt;"",RIGHT(Q1699,3)&lt;&gt;""),IF(COUNTIF($Q$6:Q1699,Q1699)=1,1,0),0)</f>
        <v>0</v>
      </c>
      <c r="W1699" s="41" t="str">
        <f t="shared" si="154"/>
        <v/>
      </c>
      <c r="X1699" s="41" t="str">
        <f t="shared" si="155"/>
        <v/>
      </c>
    </row>
    <row r="1700" s="32" customFormat="1" hidden="1" customHeight="1" spans="1:24">
      <c r="A1700" s="34"/>
      <c r="B1700" s="51"/>
      <c r="C1700" s="51"/>
      <c r="D1700" s="52"/>
      <c r="E1700" s="53"/>
      <c r="F1700" s="54"/>
      <c r="G1700" s="54"/>
      <c r="H1700" s="54"/>
      <c r="I1700" s="66"/>
      <c r="J1700" s="54"/>
      <c r="K1700" s="54"/>
      <c r="L1700" s="54"/>
      <c r="M1700" s="97" t="str">
        <f t="shared" ref="M1700:M1763" si="157">IF(L1700="","",HYPERLINK(_xlfn.CONCAT($L$4,L1700,".jpg"),"Open File"))</f>
        <v/>
      </c>
      <c r="N1700" s="70"/>
      <c r="O1700" s="71" t="str">
        <f t="shared" si="156"/>
        <v/>
      </c>
      <c r="P1700" s="66"/>
      <c r="Q1700" s="66"/>
      <c r="R1700" s="54"/>
      <c r="S1700" s="82"/>
      <c r="T1700" s="83" t="str">
        <f t="shared" ref="T1700:T1763" si="158">IF(S1700="","",HYPERLINK(_xlfn.CONCAT($S$4,S1700,".jpg"),"Open File"))</f>
        <v/>
      </c>
      <c r="U1700" s="10"/>
      <c r="V1700" s="41">
        <f>IF(AND(Q1700&lt;&gt;"",RIGHT(Q1700,3)&lt;&gt;""),IF(COUNTIF($Q$6:Q1700,Q1700)=1,1,0),0)</f>
        <v>0</v>
      </c>
      <c r="W1700" s="41" t="str">
        <f t="shared" ref="W1700:W1763" si="159">IF(AND(J1700&lt;&gt;"",K1700&lt;&gt;""),_xlfn.CONCAT(SUBSTITUTE(J1700,"/","."),"-",K1700),"")</f>
        <v/>
      </c>
      <c r="X1700" s="41" t="str">
        <f t="shared" ref="X1700:X1763" si="160">IF(AND(Q1700&lt;&gt;"",R1700&lt;&gt;""),_xlfn.CONCAT(SUBSTITUTE(Q1700,"/","."),"-",R1700),"")</f>
        <v/>
      </c>
    </row>
    <row r="1701" s="32" customFormat="1" hidden="1" customHeight="1" spans="1:24">
      <c r="A1701" s="34"/>
      <c r="B1701" s="51"/>
      <c r="C1701" s="51"/>
      <c r="D1701" s="52"/>
      <c r="E1701" s="53"/>
      <c r="F1701" s="54"/>
      <c r="G1701" s="54"/>
      <c r="H1701" s="54"/>
      <c r="I1701" s="66"/>
      <c r="J1701" s="54"/>
      <c r="K1701" s="54"/>
      <c r="L1701" s="54"/>
      <c r="M1701" s="97" t="str">
        <f t="shared" si="157"/>
        <v/>
      </c>
      <c r="N1701" s="70"/>
      <c r="O1701" s="71" t="str">
        <f t="shared" si="156"/>
        <v/>
      </c>
      <c r="P1701" s="66"/>
      <c r="Q1701" s="66"/>
      <c r="R1701" s="54"/>
      <c r="S1701" s="82"/>
      <c r="T1701" s="83" t="str">
        <f t="shared" si="158"/>
        <v/>
      </c>
      <c r="U1701" s="10"/>
      <c r="V1701" s="41">
        <f>IF(AND(Q1701&lt;&gt;"",RIGHT(Q1701,3)&lt;&gt;""),IF(COUNTIF($Q$6:Q1701,Q1701)=1,1,0),0)</f>
        <v>0</v>
      </c>
      <c r="W1701" s="41" t="str">
        <f t="shared" si="159"/>
        <v/>
      </c>
      <c r="X1701" s="41" t="str">
        <f t="shared" si="160"/>
        <v/>
      </c>
    </row>
    <row r="1702" s="32" customFormat="1" hidden="1" customHeight="1" spans="1:24">
      <c r="A1702" s="34"/>
      <c r="B1702" s="51"/>
      <c r="C1702" s="51"/>
      <c r="D1702" s="52"/>
      <c r="E1702" s="53"/>
      <c r="F1702" s="54"/>
      <c r="G1702" s="54"/>
      <c r="H1702" s="54"/>
      <c r="I1702" s="66"/>
      <c r="J1702" s="54"/>
      <c r="K1702" s="54"/>
      <c r="L1702" s="54"/>
      <c r="M1702" s="97" t="str">
        <f t="shared" si="157"/>
        <v/>
      </c>
      <c r="N1702" s="70"/>
      <c r="O1702" s="71" t="str">
        <f t="shared" si="156"/>
        <v/>
      </c>
      <c r="P1702" s="66"/>
      <c r="Q1702" s="66"/>
      <c r="R1702" s="54"/>
      <c r="S1702" s="82"/>
      <c r="T1702" s="83" t="str">
        <f t="shared" si="158"/>
        <v/>
      </c>
      <c r="U1702" s="10"/>
      <c r="V1702" s="41">
        <f>IF(AND(Q1702&lt;&gt;"",RIGHT(Q1702,3)&lt;&gt;""),IF(COUNTIF($Q$6:Q1702,Q1702)=1,1,0),0)</f>
        <v>0</v>
      </c>
      <c r="W1702" s="41" t="str">
        <f t="shared" si="159"/>
        <v/>
      </c>
      <c r="X1702" s="41" t="str">
        <f t="shared" si="160"/>
        <v/>
      </c>
    </row>
    <row r="1703" s="32" customFormat="1" hidden="1" customHeight="1" spans="1:24">
      <c r="A1703" s="34"/>
      <c r="B1703" s="51"/>
      <c r="C1703" s="51"/>
      <c r="D1703" s="52"/>
      <c r="E1703" s="53"/>
      <c r="F1703" s="54"/>
      <c r="G1703" s="54"/>
      <c r="H1703" s="54"/>
      <c r="I1703" s="66"/>
      <c r="J1703" s="54"/>
      <c r="K1703" s="54"/>
      <c r="L1703" s="54"/>
      <c r="M1703" s="97" t="str">
        <f t="shared" si="157"/>
        <v/>
      </c>
      <c r="N1703" s="70"/>
      <c r="O1703" s="71" t="str">
        <f t="shared" si="156"/>
        <v/>
      </c>
      <c r="P1703" s="66"/>
      <c r="Q1703" s="66"/>
      <c r="R1703" s="54"/>
      <c r="S1703" s="82"/>
      <c r="T1703" s="83" t="str">
        <f t="shared" si="158"/>
        <v/>
      </c>
      <c r="U1703" s="10"/>
      <c r="V1703" s="41">
        <f>IF(AND(Q1703&lt;&gt;"",RIGHT(Q1703,3)&lt;&gt;""),IF(COUNTIF($Q$6:Q1703,Q1703)=1,1,0),0)</f>
        <v>0</v>
      </c>
      <c r="W1703" s="41" t="str">
        <f t="shared" si="159"/>
        <v/>
      </c>
      <c r="X1703" s="41" t="str">
        <f t="shared" si="160"/>
        <v/>
      </c>
    </row>
    <row r="1704" s="32" customFormat="1" hidden="1" customHeight="1" spans="1:24">
      <c r="A1704" s="34"/>
      <c r="B1704" s="51"/>
      <c r="C1704" s="51"/>
      <c r="D1704" s="52"/>
      <c r="E1704" s="53"/>
      <c r="F1704" s="54"/>
      <c r="G1704" s="54"/>
      <c r="H1704" s="54"/>
      <c r="I1704" s="66"/>
      <c r="J1704" s="54"/>
      <c r="K1704" s="54"/>
      <c r="L1704" s="54"/>
      <c r="M1704" s="97" t="str">
        <f t="shared" si="157"/>
        <v/>
      </c>
      <c r="N1704" s="70"/>
      <c r="O1704" s="71" t="str">
        <f t="shared" si="156"/>
        <v/>
      </c>
      <c r="P1704" s="66"/>
      <c r="Q1704" s="66"/>
      <c r="R1704" s="54"/>
      <c r="S1704" s="82"/>
      <c r="T1704" s="83" t="str">
        <f t="shared" si="158"/>
        <v/>
      </c>
      <c r="U1704" s="10"/>
      <c r="V1704" s="41">
        <f>IF(AND(Q1704&lt;&gt;"",RIGHT(Q1704,3)&lt;&gt;""),IF(COUNTIF($Q$6:Q1704,Q1704)=1,1,0),0)</f>
        <v>0</v>
      </c>
      <c r="W1704" s="41" t="str">
        <f t="shared" si="159"/>
        <v/>
      </c>
      <c r="X1704" s="41" t="str">
        <f t="shared" si="160"/>
        <v/>
      </c>
    </row>
    <row r="1705" s="32" customFormat="1" hidden="1" customHeight="1" spans="1:24">
      <c r="A1705" s="34"/>
      <c r="B1705" s="51"/>
      <c r="C1705" s="51"/>
      <c r="D1705" s="52"/>
      <c r="E1705" s="53"/>
      <c r="F1705" s="54"/>
      <c r="G1705" s="54"/>
      <c r="H1705" s="54"/>
      <c r="I1705" s="66"/>
      <c r="J1705" s="54"/>
      <c r="K1705" s="54"/>
      <c r="L1705" s="54"/>
      <c r="M1705" s="97" t="str">
        <f t="shared" si="157"/>
        <v/>
      </c>
      <c r="N1705" s="70"/>
      <c r="O1705" s="71" t="str">
        <f t="shared" si="156"/>
        <v/>
      </c>
      <c r="P1705" s="66"/>
      <c r="Q1705" s="66"/>
      <c r="R1705" s="54"/>
      <c r="S1705" s="82"/>
      <c r="T1705" s="83" t="str">
        <f t="shared" si="158"/>
        <v/>
      </c>
      <c r="U1705" s="10"/>
      <c r="V1705" s="41">
        <f>IF(AND(Q1705&lt;&gt;"",RIGHT(Q1705,3)&lt;&gt;""),IF(COUNTIF($Q$6:Q1705,Q1705)=1,1,0),0)</f>
        <v>0</v>
      </c>
      <c r="W1705" s="41" t="str">
        <f t="shared" si="159"/>
        <v/>
      </c>
      <c r="X1705" s="41" t="str">
        <f t="shared" si="160"/>
        <v/>
      </c>
    </row>
    <row r="1706" s="32" customFormat="1" hidden="1" customHeight="1" spans="1:24">
      <c r="A1706" s="34"/>
      <c r="B1706" s="51"/>
      <c r="C1706" s="51"/>
      <c r="D1706" s="52"/>
      <c r="E1706" s="53"/>
      <c r="F1706" s="54"/>
      <c r="G1706" s="54"/>
      <c r="H1706" s="54"/>
      <c r="I1706" s="66"/>
      <c r="J1706" s="54"/>
      <c r="K1706" s="54"/>
      <c r="L1706" s="54"/>
      <c r="M1706" s="97" t="str">
        <f t="shared" si="157"/>
        <v/>
      </c>
      <c r="N1706" s="70"/>
      <c r="O1706" s="71" t="str">
        <f t="shared" si="156"/>
        <v/>
      </c>
      <c r="P1706" s="66"/>
      <c r="Q1706" s="66"/>
      <c r="R1706" s="54"/>
      <c r="S1706" s="82"/>
      <c r="T1706" s="83" t="str">
        <f t="shared" si="158"/>
        <v/>
      </c>
      <c r="U1706" s="10"/>
      <c r="V1706" s="41">
        <f>IF(AND(Q1706&lt;&gt;"",RIGHT(Q1706,3)&lt;&gt;""),IF(COUNTIF($Q$6:Q1706,Q1706)=1,1,0),0)</f>
        <v>0</v>
      </c>
      <c r="W1706" s="41" t="str">
        <f t="shared" si="159"/>
        <v/>
      </c>
      <c r="X1706" s="41" t="str">
        <f t="shared" si="160"/>
        <v/>
      </c>
    </row>
    <row r="1707" s="32" customFormat="1" hidden="1" customHeight="1" spans="1:24">
      <c r="A1707" s="34"/>
      <c r="B1707" s="51"/>
      <c r="C1707" s="51"/>
      <c r="D1707" s="52"/>
      <c r="E1707" s="53"/>
      <c r="F1707" s="54"/>
      <c r="G1707" s="54"/>
      <c r="H1707" s="54"/>
      <c r="I1707" s="66"/>
      <c r="J1707" s="54"/>
      <c r="K1707" s="54"/>
      <c r="L1707" s="54"/>
      <c r="M1707" s="97" t="str">
        <f t="shared" si="157"/>
        <v/>
      </c>
      <c r="N1707" s="70"/>
      <c r="O1707" s="71" t="str">
        <f t="shared" si="156"/>
        <v/>
      </c>
      <c r="P1707" s="66"/>
      <c r="Q1707" s="66"/>
      <c r="R1707" s="54"/>
      <c r="S1707" s="82"/>
      <c r="T1707" s="83" t="str">
        <f t="shared" si="158"/>
        <v/>
      </c>
      <c r="U1707" s="10"/>
      <c r="V1707" s="41">
        <f>IF(AND(Q1707&lt;&gt;"",RIGHT(Q1707,3)&lt;&gt;""),IF(COUNTIF($Q$6:Q1707,Q1707)=1,1,0),0)</f>
        <v>0</v>
      </c>
      <c r="W1707" s="41" t="str">
        <f t="shared" si="159"/>
        <v/>
      </c>
      <c r="X1707" s="41" t="str">
        <f t="shared" si="160"/>
        <v/>
      </c>
    </row>
    <row r="1708" s="32" customFormat="1" hidden="1" customHeight="1" spans="1:24">
      <c r="A1708" s="34"/>
      <c r="B1708" s="51"/>
      <c r="C1708" s="51"/>
      <c r="D1708" s="52"/>
      <c r="E1708" s="53"/>
      <c r="F1708" s="54"/>
      <c r="G1708" s="54"/>
      <c r="H1708" s="54"/>
      <c r="I1708" s="66"/>
      <c r="J1708" s="54"/>
      <c r="K1708" s="54"/>
      <c r="L1708" s="54"/>
      <c r="M1708" s="97" t="str">
        <f t="shared" si="157"/>
        <v/>
      </c>
      <c r="N1708" s="70"/>
      <c r="O1708" s="71" t="str">
        <f t="shared" si="156"/>
        <v/>
      </c>
      <c r="P1708" s="66"/>
      <c r="Q1708" s="66"/>
      <c r="R1708" s="54"/>
      <c r="S1708" s="82"/>
      <c r="T1708" s="83" t="str">
        <f t="shared" si="158"/>
        <v/>
      </c>
      <c r="U1708" s="10"/>
      <c r="V1708" s="41">
        <f>IF(AND(Q1708&lt;&gt;"",RIGHT(Q1708,3)&lt;&gt;""),IF(COUNTIF($Q$6:Q1708,Q1708)=1,1,0),0)</f>
        <v>0</v>
      </c>
      <c r="W1708" s="41" t="str">
        <f t="shared" si="159"/>
        <v/>
      </c>
      <c r="X1708" s="41" t="str">
        <f t="shared" si="160"/>
        <v/>
      </c>
    </row>
    <row r="1709" s="32" customFormat="1" hidden="1" customHeight="1" spans="1:24">
      <c r="A1709" s="34"/>
      <c r="B1709" s="51"/>
      <c r="C1709" s="51"/>
      <c r="D1709" s="52"/>
      <c r="E1709" s="53"/>
      <c r="F1709" s="54"/>
      <c r="G1709" s="54"/>
      <c r="H1709" s="54"/>
      <c r="I1709" s="66"/>
      <c r="J1709" s="54"/>
      <c r="K1709" s="54"/>
      <c r="L1709" s="54"/>
      <c r="M1709" s="97" t="str">
        <f t="shared" si="157"/>
        <v/>
      </c>
      <c r="N1709" s="70"/>
      <c r="O1709" s="71" t="str">
        <f t="shared" si="156"/>
        <v/>
      </c>
      <c r="P1709" s="66"/>
      <c r="Q1709" s="66"/>
      <c r="R1709" s="54"/>
      <c r="S1709" s="82"/>
      <c r="T1709" s="83" t="str">
        <f t="shared" si="158"/>
        <v/>
      </c>
      <c r="U1709" s="10"/>
      <c r="V1709" s="41">
        <f>IF(AND(Q1709&lt;&gt;"",RIGHT(Q1709,3)&lt;&gt;""),IF(COUNTIF($Q$6:Q1709,Q1709)=1,1,0),0)</f>
        <v>0</v>
      </c>
      <c r="W1709" s="41" t="str">
        <f t="shared" si="159"/>
        <v/>
      </c>
      <c r="X1709" s="41" t="str">
        <f t="shared" si="160"/>
        <v/>
      </c>
    </row>
    <row r="1710" s="32" customFormat="1" hidden="1" customHeight="1" spans="1:24">
      <c r="A1710" s="34"/>
      <c r="B1710" s="51"/>
      <c r="C1710" s="51"/>
      <c r="D1710" s="52"/>
      <c r="E1710" s="53"/>
      <c r="F1710" s="54"/>
      <c r="G1710" s="54"/>
      <c r="H1710" s="54"/>
      <c r="I1710" s="66"/>
      <c r="J1710" s="54"/>
      <c r="K1710" s="54"/>
      <c r="L1710" s="54"/>
      <c r="M1710" s="97" t="str">
        <f t="shared" si="157"/>
        <v/>
      </c>
      <c r="N1710" s="70"/>
      <c r="O1710" s="71" t="str">
        <f t="shared" si="156"/>
        <v/>
      </c>
      <c r="P1710" s="66"/>
      <c r="Q1710" s="66"/>
      <c r="R1710" s="54"/>
      <c r="S1710" s="82"/>
      <c r="T1710" s="83" t="str">
        <f t="shared" si="158"/>
        <v/>
      </c>
      <c r="U1710" s="10"/>
      <c r="V1710" s="41">
        <f>IF(AND(Q1710&lt;&gt;"",RIGHT(Q1710,3)&lt;&gt;""),IF(COUNTIF($Q$6:Q1710,Q1710)=1,1,0),0)</f>
        <v>0</v>
      </c>
      <c r="W1710" s="41" t="str">
        <f t="shared" si="159"/>
        <v/>
      </c>
      <c r="X1710" s="41" t="str">
        <f t="shared" si="160"/>
        <v/>
      </c>
    </row>
    <row r="1711" s="32" customFormat="1" hidden="1" customHeight="1" spans="1:24">
      <c r="A1711" s="34"/>
      <c r="B1711" s="51"/>
      <c r="C1711" s="51"/>
      <c r="D1711" s="52"/>
      <c r="E1711" s="53"/>
      <c r="F1711" s="54"/>
      <c r="G1711" s="54"/>
      <c r="H1711" s="54"/>
      <c r="I1711" s="66"/>
      <c r="J1711" s="54"/>
      <c r="K1711" s="54"/>
      <c r="L1711" s="54"/>
      <c r="M1711" s="97" t="str">
        <f t="shared" si="157"/>
        <v/>
      </c>
      <c r="N1711" s="70"/>
      <c r="O1711" s="71" t="str">
        <f t="shared" si="156"/>
        <v/>
      </c>
      <c r="P1711" s="66"/>
      <c r="Q1711" s="66"/>
      <c r="R1711" s="54"/>
      <c r="S1711" s="82"/>
      <c r="T1711" s="83" t="str">
        <f t="shared" si="158"/>
        <v/>
      </c>
      <c r="U1711" s="10"/>
      <c r="V1711" s="41">
        <f>IF(AND(Q1711&lt;&gt;"",RIGHT(Q1711,3)&lt;&gt;""),IF(COUNTIF($Q$6:Q1711,Q1711)=1,1,0),0)</f>
        <v>0</v>
      </c>
      <c r="W1711" s="41" t="str">
        <f t="shared" si="159"/>
        <v/>
      </c>
      <c r="X1711" s="41" t="str">
        <f t="shared" si="160"/>
        <v/>
      </c>
    </row>
    <row r="1712" s="32" customFormat="1" hidden="1" customHeight="1" spans="1:24">
      <c r="A1712" s="34"/>
      <c r="B1712" s="51"/>
      <c r="C1712" s="51"/>
      <c r="D1712" s="52"/>
      <c r="E1712" s="53"/>
      <c r="F1712" s="54"/>
      <c r="G1712" s="54"/>
      <c r="H1712" s="54"/>
      <c r="I1712" s="66"/>
      <c r="J1712" s="54"/>
      <c r="K1712" s="54"/>
      <c r="L1712" s="54"/>
      <c r="M1712" s="97" t="str">
        <f t="shared" si="157"/>
        <v/>
      </c>
      <c r="N1712" s="70"/>
      <c r="O1712" s="71" t="str">
        <f t="shared" si="156"/>
        <v/>
      </c>
      <c r="P1712" s="66"/>
      <c r="Q1712" s="66"/>
      <c r="R1712" s="54"/>
      <c r="S1712" s="82"/>
      <c r="T1712" s="83" t="str">
        <f t="shared" si="158"/>
        <v/>
      </c>
      <c r="U1712" s="10"/>
      <c r="V1712" s="41">
        <f>IF(AND(Q1712&lt;&gt;"",RIGHT(Q1712,3)&lt;&gt;""),IF(COUNTIF($Q$6:Q1712,Q1712)=1,1,0),0)</f>
        <v>0</v>
      </c>
      <c r="W1712" s="41" t="str">
        <f t="shared" si="159"/>
        <v/>
      </c>
      <c r="X1712" s="41" t="str">
        <f t="shared" si="160"/>
        <v/>
      </c>
    </row>
    <row r="1713" s="32" customFormat="1" hidden="1" customHeight="1" spans="1:24">
      <c r="A1713" s="34"/>
      <c r="B1713" s="51"/>
      <c r="C1713" s="51"/>
      <c r="D1713" s="52"/>
      <c r="E1713" s="53"/>
      <c r="F1713" s="54"/>
      <c r="G1713" s="54"/>
      <c r="H1713" s="54"/>
      <c r="I1713" s="66"/>
      <c r="J1713" s="54"/>
      <c r="K1713" s="54"/>
      <c r="L1713" s="54"/>
      <c r="M1713" s="97" t="str">
        <f t="shared" si="157"/>
        <v/>
      </c>
      <c r="N1713" s="70"/>
      <c r="O1713" s="71" t="str">
        <f t="shared" ref="O1713:O1776" si="161">IF(AND(Q1713&lt;&gt;"",T1713&lt;&gt;""),"PASSIVE",IF(AND(J1713&lt;&gt;"",M1713&lt;&gt;""),"ACTIVE",""))</f>
        <v/>
      </c>
      <c r="P1713" s="66"/>
      <c r="Q1713" s="66"/>
      <c r="R1713" s="54"/>
      <c r="S1713" s="82"/>
      <c r="T1713" s="83" t="str">
        <f t="shared" si="158"/>
        <v/>
      </c>
      <c r="U1713" s="10"/>
      <c r="V1713" s="41">
        <f>IF(AND(Q1713&lt;&gt;"",RIGHT(Q1713,3)&lt;&gt;""),IF(COUNTIF($Q$6:Q1713,Q1713)=1,1,0),0)</f>
        <v>0</v>
      </c>
      <c r="W1713" s="41" t="str">
        <f t="shared" si="159"/>
        <v/>
      </c>
      <c r="X1713" s="41" t="str">
        <f t="shared" si="160"/>
        <v/>
      </c>
    </row>
    <row r="1714" s="32" customFormat="1" hidden="1" customHeight="1" spans="1:24">
      <c r="A1714" s="34"/>
      <c r="B1714" s="51"/>
      <c r="C1714" s="51"/>
      <c r="D1714" s="52"/>
      <c r="E1714" s="53"/>
      <c r="F1714" s="54"/>
      <c r="G1714" s="54"/>
      <c r="H1714" s="54"/>
      <c r="I1714" s="66"/>
      <c r="J1714" s="54"/>
      <c r="K1714" s="54"/>
      <c r="L1714" s="54"/>
      <c r="M1714" s="97" t="str">
        <f t="shared" si="157"/>
        <v/>
      </c>
      <c r="N1714" s="70"/>
      <c r="O1714" s="71" t="str">
        <f t="shared" si="161"/>
        <v/>
      </c>
      <c r="P1714" s="66"/>
      <c r="Q1714" s="66"/>
      <c r="R1714" s="54"/>
      <c r="S1714" s="82"/>
      <c r="T1714" s="83" t="str">
        <f t="shared" si="158"/>
        <v/>
      </c>
      <c r="U1714" s="10"/>
      <c r="V1714" s="41">
        <f>IF(AND(Q1714&lt;&gt;"",RIGHT(Q1714,3)&lt;&gt;""),IF(COUNTIF($Q$6:Q1714,Q1714)=1,1,0),0)</f>
        <v>0</v>
      </c>
      <c r="W1714" s="41" t="str">
        <f t="shared" si="159"/>
        <v/>
      </c>
      <c r="X1714" s="41" t="str">
        <f t="shared" si="160"/>
        <v/>
      </c>
    </row>
    <row r="1715" s="32" customFormat="1" hidden="1" customHeight="1" spans="1:24">
      <c r="A1715" s="34"/>
      <c r="B1715" s="51"/>
      <c r="C1715" s="51"/>
      <c r="D1715" s="52"/>
      <c r="E1715" s="53"/>
      <c r="F1715" s="54"/>
      <c r="G1715" s="54"/>
      <c r="H1715" s="54"/>
      <c r="I1715" s="66"/>
      <c r="J1715" s="54"/>
      <c r="K1715" s="54"/>
      <c r="L1715" s="54"/>
      <c r="M1715" s="97" t="str">
        <f t="shared" si="157"/>
        <v/>
      </c>
      <c r="N1715" s="70"/>
      <c r="O1715" s="71" t="str">
        <f t="shared" si="161"/>
        <v/>
      </c>
      <c r="P1715" s="66"/>
      <c r="Q1715" s="66"/>
      <c r="R1715" s="54"/>
      <c r="S1715" s="82"/>
      <c r="T1715" s="83" t="str">
        <f t="shared" si="158"/>
        <v/>
      </c>
      <c r="U1715" s="10"/>
      <c r="V1715" s="41">
        <f>IF(AND(Q1715&lt;&gt;"",RIGHT(Q1715,3)&lt;&gt;""),IF(COUNTIF($Q$6:Q1715,Q1715)=1,1,0),0)</f>
        <v>0</v>
      </c>
      <c r="W1715" s="41" t="str">
        <f t="shared" si="159"/>
        <v/>
      </c>
      <c r="X1715" s="41" t="str">
        <f t="shared" si="160"/>
        <v/>
      </c>
    </row>
    <row r="1716" s="32" customFormat="1" hidden="1" customHeight="1" spans="1:24">
      <c r="A1716" s="34"/>
      <c r="B1716" s="51"/>
      <c r="C1716" s="51"/>
      <c r="D1716" s="52"/>
      <c r="E1716" s="53"/>
      <c r="F1716" s="54"/>
      <c r="G1716" s="54"/>
      <c r="H1716" s="54"/>
      <c r="I1716" s="66"/>
      <c r="J1716" s="54"/>
      <c r="K1716" s="54"/>
      <c r="L1716" s="54"/>
      <c r="M1716" s="97" t="str">
        <f t="shared" si="157"/>
        <v/>
      </c>
      <c r="N1716" s="70"/>
      <c r="O1716" s="71" t="str">
        <f t="shared" si="161"/>
        <v/>
      </c>
      <c r="P1716" s="66"/>
      <c r="Q1716" s="66"/>
      <c r="R1716" s="54"/>
      <c r="S1716" s="82"/>
      <c r="T1716" s="83" t="str">
        <f t="shared" si="158"/>
        <v/>
      </c>
      <c r="U1716" s="10"/>
      <c r="V1716" s="41">
        <f>IF(AND(Q1716&lt;&gt;"",RIGHT(Q1716,3)&lt;&gt;""),IF(COUNTIF($Q$6:Q1716,Q1716)=1,1,0),0)</f>
        <v>0</v>
      </c>
      <c r="W1716" s="41" t="str">
        <f t="shared" si="159"/>
        <v/>
      </c>
      <c r="X1716" s="41" t="str">
        <f t="shared" si="160"/>
        <v/>
      </c>
    </row>
    <row r="1717" s="32" customFormat="1" hidden="1" customHeight="1" spans="1:24">
      <c r="A1717" s="34"/>
      <c r="B1717" s="51"/>
      <c r="C1717" s="51"/>
      <c r="D1717" s="52"/>
      <c r="E1717" s="53"/>
      <c r="F1717" s="54"/>
      <c r="G1717" s="54"/>
      <c r="H1717" s="54"/>
      <c r="I1717" s="66"/>
      <c r="J1717" s="54"/>
      <c r="K1717" s="54"/>
      <c r="L1717" s="54"/>
      <c r="M1717" s="97" t="str">
        <f t="shared" si="157"/>
        <v/>
      </c>
      <c r="N1717" s="70"/>
      <c r="O1717" s="71" t="str">
        <f t="shared" si="161"/>
        <v/>
      </c>
      <c r="P1717" s="66"/>
      <c r="Q1717" s="66"/>
      <c r="R1717" s="54"/>
      <c r="S1717" s="82"/>
      <c r="T1717" s="83" t="str">
        <f t="shared" si="158"/>
        <v/>
      </c>
      <c r="U1717" s="10"/>
      <c r="V1717" s="41">
        <f>IF(AND(Q1717&lt;&gt;"",RIGHT(Q1717,3)&lt;&gt;""),IF(COUNTIF($Q$6:Q1717,Q1717)=1,1,0),0)</f>
        <v>0</v>
      </c>
      <c r="W1717" s="41" t="str">
        <f t="shared" si="159"/>
        <v/>
      </c>
      <c r="X1717" s="41" t="str">
        <f t="shared" si="160"/>
        <v/>
      </c>
    </row>
    <row r="1718" s="32" customFormat="1" hidden="1" customHeight="1" spans="1:24">
      <c r="A1718" s="34"/>
      <c r="B1718" s="51"/>
      <c r="C1718" s="51"/>
      <c r="D1718" s="52"/>
      <c r="E1718" s="53"/>
      <c r="F1718" s="54"/>
      <c r="G1718" s="54"/>
      <c r="H1718" s="54"/>
      <c r="I1718" s="66"/>
      <c r="J1718" s="54"/>
      <c r="K1718" s="54"/>
      <c r="L1718" s="54"/>
      <c r="M1718" s="97" t="str">
        <f t="shared" si="157"/>
        <v/>
      </c>
      <c r="N1718" s="70"/>
      <c r="O1718" s="71" t="str">
        <f t="shared" si="161"/>
        <v/>
      </c>
      <c r="P1718" s="66"/>
      <c r="Q1718" s="66"/>
      <c r="R1718" s="54"/>
      <c r="S1718" s="82"/>
      <c r="T1718" s="83" t="str">
        <f t="shared" si="158"/>
        <v/>
      </c>
      <c r="U1718" s="10"/>
      <c r="V1718" s="41">
        <f>IF(AND(Q1718&lt;&gt;"",RIGHT(Q1718,3)&lt;&gt;""),IF(COUNTIF($Q$6:Q1718,Q1718)=1,1,0),0)</f>
        <v>0</v>
      </c>
      <c r="W1718" s="41" t="str">
        <f t="shared" si="159"/>
        <v/>
      </c>
      <c r="X1718" s="41" t="str">
        <f t="shared" si="160"/>
        <v/>
      </c>
    </row>
    <row r="1719" s="32" customFormat="1" hidden="1" customHeight="1" spans="1:24">
      <c r="A1719" s="34"/>
      <c r="B1719" s="51"/>
      <c r="C1719" s="51"/>
      <c r="D1719" s="52"/>
      <c r="E1719" s="53"/>
      <c r="F1719" s="54"/>
      <c r="G1719" s="54"/>
      <c r="H1719" s="54"/>
      <c r="I1719" s="66"/>
      <c r="J1719" s="54"/>
      <c r="K1719" s="54"/>
      <c r="L1719" s="54"/>
      <c r="M1719" s="97" t="str">
        <f t="shared" si="157"/>
        <v/>
      </c>
      <c r="N1719" s="70"/>
      <c r="O1719" s="71" t="str">
        <f t="shared" si="161"/>
        <v/>
      </c>
      <c r="P1719" s="66"/>
      <c r="Q1719" s="66"/>
      <c r="R1719" s="54"/>
      <c r="S1719" s="82"/>
      <c r="T1719" s="83" t="str">
        <f t="shared" si="158"/>
        <v/>
      </c>
      <c r="U1719" s="10"/>
      <c r="V1719" s="41">
        <f>IF(AND(Q1719&lt;&gt;"",RIGHT(Q1719,3)&lt;&gt;""),IF(COUNTIF($Q$6:Q1719,Q1719)=1,1,0),0)</f>
        <v>0</v>
      </c>
      <c r="W1719" s="41" t="str">
        <f t="shared" si="159"/>
        <v/>
      </c>
      <c r="X1719" s="41" t="str">
        <f t="shared" si="160"/>
        <v/>
      </c>
    </row>
    <row r="1720" s="32" customFormat="1" hidden="1" customHeight="1" spans="1:24">
      <c r="A1720" s="34"/>
      <c r="B1720" s="51"/>
      <c r="C1720" s="51"/>
      <c r="D1720" s="52"/>
      <c r="E1720" s="53"/>
      <c r="F1720" s="54"/>
      <c r="G1720" s="54"/>
      <c r="H1720" s="54"/>
      <c r="I1720" s="66"/>
      <c r="J1720" s="54"/>
      <c r="K1720" s="54"/>
      <c r="L1720" s="54"/>
      <c r="M1720" s="97" t="str">
        <f t="shared" si="157"/>
        <v/>
      </c>
      <c r="N1720" s="70"/>
      <c r="O1720" s="71" t="str">
        <f t="shared" si="161"/>
        <v/>
      </c>
      <c r="P1720" s="66"/>
      <c r="Q1720" s="66"/>
      <c r="R1720" s="54"/>
      <c r="S1720" s="82"/>
      <c r="T1720" s="83" t="str">
        <f t="shared" si="158"/>
        <v/>
      </c>
      <c r="U1720" s="10"/>
      <c r="V1720" s="41">
        <f>IF(AND(Q1720&lt;&gt;"",RIGHT(Q1720,3)&lt;&gt;""),IF(COUNTIF($Q$6:Q1720,Q1720)=1,1,0),0)</f>
        <v>0</v>
      </c>
      <c r="W1720" s="41" t="str">
        <f t="shared" si="159"/>
        <v/>
      </c>
      <c r="X1720" s="41" t="str">
        <f t="shared" si="160"/>
        <v/>
      </c>
    </row>
    <row r="1721" s="32" customFormat="1" hidden="1" customHeight="1" spans="1:24">
      <c r="A1721" s="34"/>
      <c r="B1721" s="51"/>
      <c r="C1721" s="51"/>
      <c r="D1721" s="52"/>
      <c r="E1721" s="53"/>
      <c r="F1721" s="54"/>
      <c r="G1721" s="54"/>
      <c r="H1721" s="54"/>
      <c r="I1721" s="66"/>
      <c r="J1721" s="54"/>
      <c r="K1721" s="54"/>
      <c r="L1721" s="54"/>
      <c r="M1721" s="97" t="str">
        <f t="shared" si="157"/>
        <v/>
      </c>
      <c r="N1721" s="70"/>
      <c r="O1721" s="71" t="str">
        <f t="shared" si="161"/>
        <v/>
      </c>
      <c r="P1721" s="66"/>
      <c r="Q1721" s="66"/>
      <c r="R1721" s="54"/>
      <c r="S1721" s="82"/>
      <c r="T1721" s="83" t="str">
        <f t="shared" si="158"/>
        <v/>
      </c>
      <c r="U1721" s="10"/>
      <c r="V1721" s="41">
        <f>IF(AND(Q1721&lt;&gt;"",RIGHT(Q1721,3)&lt;&gt;""),IF(COUNTIF($Q$6:Q1721,Q1721)=1,1,0),0)</f>
        <v>0</v>
      </c>
      <c r="W1721" s="41" t="str">
        <f t="shared" si="159"/>
        <v/>
      </c>
      <c r="X1721" s="41" t="str">
        <f t="shared" si="160"/>
        <v/>
      </c>
    </row>
    <row r="1722" s="32" customFormat="1" hidden="1" customHeight="1" spans="1:24">
      <c r="A1722" s="34"/>
      <c r="B1722" s="51"/>
      <c r="C1722" s="51"/>
      <c r="D1722" s="52"/>
      <c r="E1722" s="53"/>
      <c r="F1722" s="54"/>
      <c r="G1722" s="54"/>
      <c r="H1722" s="54"/>
      <c r="I1722" s="66"/>
      <c r="J1722" s="54"/>
      <c r="K1722" s="54"/>
      <c r="L1722" s="54"/>
      <c r="M1722" s="97" t="str">
        <f t="shared" si="157"/>
        <v/>
      </c>
      <c r="N1722" s="70"/>
      <c r="O1722" s="71" t="str">
        <f t="shared" si="161"/>
        <v/>
      </c>
      <c r="P1722" s="66"/>
      <c r="Q1722" s="66"/>
      <c r="R1722" s="54"/>
      <c r="S1722" s="82"/>
      <c r="T1722" s="83" t="str">
        <f t="shared" si="158"/>
        <v/>
      </c>
      <c r="U1722" s="10"/>
      <c r="V1722" s="41">
        <f>IF(AND(Q1722&lt;&gt;"",RIGHT(Q1722,3)&lt;&gt;""),IF(COUNTIF($Q$6:Q1722,Q1722)=1,1,0),0)</f>
        <v>0</v>
      </c>
      <c r="W1722" s="41" t="str">
        <f t="shared" si="159"/>
        <v/>
      </c>
      <c r="X1722" s="41" t="str">
        <f t="shared" si="160"/>
        <v/>
      </c>
    </row>
    <row r="1723" s="32" customFormat="1" hidden="1" customHeight="1" spans="1:24">
      <c r="A1723" s="34"/>
      <c r="B1723" s="51"/>
      <c r="C1723" s="51"/>
      <c r="D1723" s="52"/>
      <c r="E1723" s="53"/>
      <c r="F1723" s="54"/>
      <c r="G1723" s="54"/>
      <c r="H1723" s="54"/>
      <c r="I1723" s="66"/>
      <c r="J1723" s="54"/>
      <c r="K1723" s="54"/>
      <c r="L1723" s="54"/>
      <c r="M1723" s="97" t="str">
        <f t="shared" si="157"/>
        <v/>
      </c>
      <c r="N1723" s="70"/>
      <c r="O1723" s="71" t="str">
        <f t="shared" si="161"/>
        <v/>
      </c>
      <c r="P1723" s="66"/>
      <c r="Q1723" s="66"/>
      <c r="R1723" s="54"/>
      <c r="S1723" s="82"/>
      <c r="T1723" s="83" t="str">
        <f t="shared" si="158"/>
        <v/>
      </c>
      <c r="U1723" s="10"/>
      <c r="V1723" s="41">
        <f>IF(AND(Q1723&lt;&gt;"",RIGHT(Q1723,3)&lt;&gt;""),IF(COUNTIF($Q$6:Q1723,Q1723)=1,1,0),0)</f>
        <v>0</v>
      </c>
      <c r="W1723" s="41" t="str">
        <f t="shared" si="159"/>
        <v/>
      </c>
      <c r="X1723" s="41" t="str">
        <f t="shared" si="160"/>
        <v/>
      </c>
    </row>
    <row r="1724" s="32" customFormat="1" hidden="1" customHeight="1" spans="1:24">
      <c r="A1724" s="34"/>
      <c r="B1724" s="51"/>
      <c r="C1724" s="51"/>
      <c r="D1724" s="52"/>
      <c r="E1724" s="53"/>
      <c r="F1724" s="54"/>
      <c r="G1724" s="54"/>
      <c r="H1724" s="54"/>
      <c r="I1724" s="66"/>
      <c r="J1724" s="54"/>
      <c r="K1724" s="54"/>
      <c r="L1724" s="54"/>
      <c r="M1724" s="97" t="str">
        <f t="shared" si="157"/>
        <v/>
      </c>
      <c r="N1724" s="70"/>
      <c r="O1724" s="71" t="str">
        <f t="shared" si="161"/>
        <v/>
      </c>
      <c r="P1724" s="66"/>
      <c r="Q1724" s="66"/>
      <c r="R1724" s="54"/>
      <c r="S1724" s="82"/>
      <c r="T1724" s="83" t="str">
        <f t="shared" si="158"/>
        <v/>
      </c>
      <c r="U1724" s="10"/>
      <c r="V1724" s="41">
        <f>IF(AND(Q1724&lt;&gt;"",RIGHT(Q1724,3)&lt;&gt;""),IF(COUNTIF($Q$6:Q1724,Q1724)=1,1,0),0)</f>
        <v>0</v>
      </c>
      <c r="W1724" s="41" t="str">
        <f t="shared" si="159"/>
        <v/>
      </c>
      <c r="X1724" s="41" t="str">
        <f t="shared" si="160"/>
        <v/>
      </c>
    </row>
    <row r="1725" s="32" customFormat="1" hidden="1" customHeight="1" spans="1:24">
      <c r="A1725" s="34"/>
      <c r="B1725" s="51"/>
      <c r="C1725" s="51"/>
      <c r="D1725" s="52"/>
      <c r="E1725" s="53"/>
      <c r="F1725" s="54"/>
      <c r="G1725" s="54"/>
      <c r="H1725" s="54"/>
      <c r="I1725" s="66"/>
      <c r="J1725" s="54"/>
      <c r="K1725" s="54"/>
      <c r="L1725" s="54"/>
      <c r="M1725" s="97" t="str">
        <f t="shared" si="157"/>
        <v/>
      </c>
      <c r="N1725" s="70"/>
      <c r="O1725" s="71" t="str">
        <f t="shared" si="161"/>
        <v/>
      </c>
      <c r="P1725" s="66"/>
      <c r="Q1725" s="66"/>
      <c r="R1725" s="54"/>
      <c r="S1725" s="82"/>
      <c r="T1725" s="83" t="str">
        <f t="shared" si="158"/>
        <v/>
      </c>
      <c r="U1725" s="10"/>
      <c r="V1725" s="41">
        <f>IF(AND(Q1725&lt;&gt;"",RIGHT(Q1725,3)&lt;&gt;""),IF(COUNTIF($Q$6:Q1725,Q1725)=1,1,0),0)</f>
        <v>0</v>
      </c>
      <c r="W1725" s="41" t="str">
        <f t="shared" si="159"/>
        <v/>
      </c>
      <c r="X1725" s="41" t="str">
        <f t="shared" si="160"/>
        <v/>
      </c>
    </row>
    <row r="1726" s="32" customFormat="1" hidden="1" customHeight="1" spans="1:24">
      <c r="A1726" s="34"/>
      <c r="B1726" s="51"/>
      <c r="C1726" s="51"/>
      <c r="D1726" s="52"/>
      <c r="E1726" s="53"/>
      <c r="F1726" s="54"/>
      <c r="G1726" s="54"/>
      <c r="H1726" s="54"/>
      <c r="I1726" s="66"/>
      <c r="J1726" s="54"/>
      <c r="K1726" s="54"/>
      <c r="L1726" s="54"/>
      <c r="M1726" s="97" t="str">
        <f t="shared" si="157"/>
        <v/>
      </c>
      <c r="N1726" s="70"/>
      <c r="O1726" s="71" t="str">
        <f t="shared" si="161"/>
        <v/>
      </c>
      <c r="P1726" s="66"/>
      <c r="Q1726" s="66"/>
      <c r="R1726" s="54"/>
      <c r="S1726" s="82"/>
      <c r="T1726" s="83" t="str">
        <f t="shared" si="158"/>
        <v/>
      </c>
      <c r="U1726" s="10"/>
      <c r="V1726" s="41">
        <f>IF(AND(Q1726&lt;&gt;"",RIGHT(Q1726,3)&lt;&gt;""),IF(COUNTIF($Q$6:Q1726,Q1726)=1,1,0),0)</f>
        <v>0</v>
      </c>
      <c r="W1726" s="41" t="str">
        <f t="shared" si="159"/>
        <v/>
      </c>
      <c r="X1726" s="41" t="str">
        <f t="shared" si="160"/>
        <v/>
      </c>
    </row>
    <row r="1727" s="32" customFormat="1" hidden="1" customHeight="1" spans="1:24">
      <c r="A1727" s="34"/>
      <c r="B1727" s="51"/>
      <c r="C1727" s="51"/>
      <c r="D1727" s="52"/>
      <c r="E1727" s="53"/>
      <c r="F1727" s="54"/>
      <c r="G1727" s="54"/>
      <c r="H1727" s="54"/>
      <c r="I1727" s="66"/>
      <c r="J1727" s="54"/>
      <c r="K1727" s="54"/>
      <c r="L1727" s="54"/>
      <c r="M1727" s="97" t="str">
        <f t="shared" si="157"/>
        <v/>
      </c>
      <c r="N1727" s="70"/>
      <c r="O1727" s="71" t="str">
        <f t="shared" si="161"/>
        <v/>
      </c>
      <c r="P1727" s="66"/>
      <c r="Q1727" s="66"/>
      <c r="R1727" s="54"/>
      <c r="S1727" s="82"/>
      <c r="T1727" s="83" t="str">
        <f t="shared" si="158"/>
        <v/>
      </c>
      <c r="U1727" s="10"/>
      <c r="V1727" s="41">
        <f>IF(AND(Q1727&lt;&gt;"",RIGHT(Q1727,3)&lt;&gt;""),IF(COUNTIF($Q$6:Q1727,Q1727)=1,1,0),0)</f>
        <v>0</v>
      </c>
      <c r="W1727" s="41" t="str">
        <f t="shared" si="159"/>
        <v/>
      </c>
      <c r="X1727" s="41" t="str">
        <f t="shared" si="160"/>
        <v/>
      </c>
    </row>
    <row r="1728" s="32" customFormat="1" hidden="1" customHeight="1" spans="1:24">
      <c r="A1728" s="34"/>
      <c r="B1728" s="51"/>
      <c r="C1728" s="51"/>
      <c r="D1728" s="52"/>
      <c r="E1728" s="53"/>
      <c r="F1728" s="54"/>
      <c r="G1728" s="54"/>
      <c r="H1728" s="54"/>
      <c r="I1728" s="66"/>
      <c r="J1728" s="54"/>
      <c r="K1728" s="54"/>
      <c r="L1728" s="54"/>
      <c r="M1728" s="97" t="str">
        <f t="shared" si="157"/>
        <v/>
      </c>
      <c r="N1728" s="70"/>
      <c r="O1728" s="71" t="str">
        <f t="shared" si="161"/>
        <v/>
      </c>
      <c r="P1728" s="66"/>
      <c r="Q1728" s="66"/>
      <c r="R1728" s="54"/>
      <c r="S1728" s="82"/>
      <c r="T1728" s="83" t="str">
        <f t="shared" si="158"/>
        <v/>
      </c>
      <c r="U1728" s="10"/>
      <c r="V1728" s="41">
        <f>IF(AND(Q1728&lt;&gt;"",RIGHT(Q1728,3)&lt;&gt;""),IF(COUNTIF($Q$6:Q1728,Q1728)=1,1,0),0)</f>
        <v>0</v>
      </c>
      <c r="W1728" s="41" t="str">
        <f t="shared" si="159"/>
        <v/>
      </c>
      <c r="X1728" s="41" t="str">
        <f t="shared" si="160"/>
        <v/>
      </c>
    </row>
    <row r="1729" s="32" customFormat="1" hidden="1" customHeight="1" spans="1:24">
      <c r="A1729" s="34"/>
      <c r="B1729" s="51"/>
      <c r="C1729" s="51"/>
      <c r="D1729" s="52"/>
      <c r="E1729" s="53"/>
      <c r="F1729" s="54"/>
      <c r="G1729" s="54"/>
      <c r="H1729" s="54"/>
      <c r="I1729" s="66"/>
      <c r="J1729" s="54"/>
      <c r="K1729" s="54"/>
      <c r="L1729" s="54"/>
      <c r="M1729" s="97" t="str">
        <f t="shared" si="157"/>
        <v/>
      </c>
      <c r="N1729" s="70"/>
      <c r="O1729" s="71" t="str">
        <f t="shared" si="161"/>
        <v/>
      </c>
      <c r="P1729" s="66"/>
      <c r="Q1729" s="66"/>
      <c r="R1729" s="54"/>
      <c r="S1729" s="82"/>
      <c r="T1729" s="83" t="str">
        <f t="shared" si="158"/>
        <v/>
      </c>
      <c r="U1729" s="10"/>
      <c r="V1729" s="41">
        <f>IF(AND(Q1729&lt;&gt;"",RIGHT(Q1729,3)&lt;&gt;""),IF(COUNTIF($Q$6:Q1729,Q1729)=1,1,0),0)</f>
        <v>0</v>
      </c>
      <c r="W1729" s="41" t="str">
        <f t="shared" si="159"/>
        <v/>
      </c>
      <c r="X1729" s="41" t="str">
        <f t="shared" si="160"/>
        <v/>
      </c>
    </row>
    <row r="1730" s="32" customFormat="1" hidden="1" customHeight="1" spans="1:24">
      <c r="A1730" s="34"/>
      <c r="B1730" s="51"/>
      <c r="C1730" s="51"/>
      <c r="D1730" s="52"/>
      <c r="E1730" s="53"/>
      <c r="F1730" s="54"/>
      <c r="G1730" s="54"/>
      <c r="H1730" s="54"/>
      <c r="I1730" s="66"/>
      <c r="J1730" s="54"/>
      <c r="K1730" s="54"/>
      <c r="L1730" s="54"/>
      <c r="M1730" s="97" t="str">
        <f t="shared" si="157"/>
        <v/>
      </c>
      <c r="N1730" s="70"/>
      <c r="O1730" s="71" t="str">
        <f t="shared" si="161"/>
        <v/>
      </c>
      <c r="P1730" s="66"/>
      <c r="Q1730" s="66"/>
      <c r="R1730" s="54"/>
      <c r="S1730" s="82"/>
      <c r="T1730" s="83" t="str">
        <f t="shared" si="158"/>
        <v/>
      </c>
      <c r="U1730" s="10"/>
      <c r="V1730" s="41">
        <f>IF(AND(Q1730&lt;&gt;"",RIGHT(Q1730,3)&lt;&gt;""),IF(COUNTIF($Q$6:Q1730,Q1730)=1,1,0),0)</f>
        <v>0</v>
      </c>
      <c r="W1730" s="41" t="str">
        <f t="shared" si="159"/>
        <v/>
      </c>
      <c r="X1730" s="41" t="str">
        <f t="shared" si="160"/>
        <v/>
      </c>
    </row>
    <row r="1731" s="32" customFormat="1" hidden="1" customHeight="1" spans="1:24">
      <c r="A1731" s="34"/>
      <c r="B1731" s="51"/>
      <c r="C1731" s="51"/>
      <c r="D1731" s="52"/>
      <c r="E1731" s="53"/>
      <c r="F1731" s="54"/>
      <c r="G1731" s="54"/>
      <c r="H1731" s="54"/>
      <c r="I1731" s="66"/>
      <c r="J1731" s="54"/>
      <c r="K1731" s="54"/>
      <c r="L1731" s="54"/>
      <c r="M1731" s="97" t="str">
        <f t="shared" si="157"/>
        <v/>
      </c>
      <c r="N1731" s="70"/>
      <c r="O1731" s="71" t="str">
        <f t="shared" si="161"/>
        <v/>
      </c>
      <c r="P1731" s="66"/>
      <c r="Q1731" s="66"/>
      <c r="R1731" s="54"/>
      <c r="S1731" s="82"/>
      <c r="T1731" s="83" t="str">
        <f t="shared" si="158"/>
        <v/>
      </c>
      <c r="U1731" s="10"/>
      <c r="V1731" s="41">
        <f>IF(AND(Q1731&lt;&gt;"",RIGHT(Q1731,3)&lt;&gt;""),IF(COUNTIF($Q$6:Q1731,Q1731)=1,1,0),0)</f>
        <v>0</v>
      </c>
      <c r="W1731" s="41" t="str">
        <f t="shared" si="159"/>
        <v/>
      </c>
      <c r="X1731" s="41" t="str">
        <f t="shared" si="160"/>
        <v/>
      </c>
    </row>
    <row r="1732" s="32" customFormat="1" hidden="1" customHeight="1" spans="1:24">
      <c r="A1732" s="34"/>
      <c r="B1732" s="51"/>
      <c r="C1732" s="51"/>
      <c r="D1732" s="52"/>
      <c r="E1732" s="53"/>
      <c r="F1732" s="54"/>
      <c r="G1732" s="54"/>
      <c r="H1732" s="54"/>
      <c r="I1732" s="66"/>
      <c r="J1732" s="54"/>
      <c r="K1732" s="54"/>
      <c r="L1732" s="54"/>
      <c r="M1732" s="97" t="str">
        <f t="shared" si="157"/>
        <v/>
      </c>
      <c r="N1732" s="70"/>
      <c r="O1732" s="71" t="str">
        <f t="shared" si="161"/>
        <v/>
      </c>
      <c r="P1732" s="66"/>
      <c r="Q1732" s="66"/>
      <c r="R1732" s="54"/>
      <c r="S1732" s="82"/>
      <c r="T1732" s="83" t="str">
        <f t="shared" si="158"/>
        <v/>
      </c>
      <c r="U1732" s="10"/>
      <c r="V1732" s="41">
        <f>IF(AND(Q1732&lt;&gt;"",RIGHT(Q1732,3)&lt;&gt;""),IF(COUNTIF($Q$6:Q1732,Q1732)=1,1,0),0)</f>
        <v>0</v>
      </c>
      <c r="W1732" s="41" t="str">
        <f t="shared" si="159"/>
        <v/>
      </c>
      <c r="X1732" s="41" t="str">
        <f t="shared" si="160"/>
        <v/>
      </c>
    </row>
    <row r="1733" s="32" customFormat="1" hidden="1" customHeight="1" spans="1:24">
      <c r="A1733" s="34"/>
      <c r="B1733" s="51"/>
      <c r="C1733" s="51"/>
      <c r="D1733" s="52"/>
      <c r="E1733" s="53"/>
      <c r="F1733" s="54"/>
      <c r="G1733" s="54"/>
      <c r="H1733" s="54"/>
      <c r="I1733" s="66"/>
      <c r="J1733" s="54"/>
      <c r="K1733" s="54"/>
      <c r="L1733" s="54"/>
      <c r="M1733" s="97" t="str">
        <f t="shared" si="157"/>
        <v/>
      </c>
      <c r="N1733" s="70"/>
      <c r="O1733" s="71" t="str">
        <f t="shared" si="161"/>
        <v/>
      </c>
      <c r="P1733" s="66"/>
      <c r="Q1733" s="66"/>
      <c r="R1733" s="54"/>
      <c r="S1733" s="82"/>
      <c r="T1733" s="83" t="str">
        <f t="shared" si="158"/>
        <v/>
      </c>
      <c r="U1733" s="10"/>
      <c r="V1733" s="41">
        <f>IF(AND(Q1733&lt;&gt;"",RIGHT(Q1733,3)&lt;&gt;""),IF(COUNTIF($Q$6:Q1733,Q1733)=1,1,0),0)</f>
        <v>0</v>
      </c>
      <c r="W1733" s="41" t="str">
        <f t="shared" si="159"/>
        <v/>
      </c>
      <c r="X1733" s="41" t="str">
        <f t="shared" si="160"/>
        <v/>
      </c>
    </row>
    <row r="1734" s="32" customFormat="1" hidden="1" customHeight="1" spans="1:24">
      <c r="A1734" s="34"/>
      <c r="B1734" s="51"/>
      <c r="C1734" s="51"/>
      <c r="D1734" s="52"/>
      <c r="E1734" s="53"/>
      <c r="F1734" s="54"/>
      <c r="G1734" s="54"/>
      <c r="H1734" s="54"/>
      <c r="I1734" s="66"/>
      <c r="J1734" s="54"/>
      <c r="K1734" s="54"/>
      <c r="L1734" s="54"/>
      <c r="M1734" s="97" t="str">
        <f t="shared" si="157"/>
        <v/>
      </c>
      <c r="N1734" s="70"/>
      <c r="O1734" s="71" t="str">
        <f t="shared" si="161"/>
        <v/>
      </c>
      <c r="P1734" s="66"/>
      <c r="Q1734" s="66"/>
      <c r="R1734" s="54"/>
      <c r="S1734" s="82"/>
      <c r="T1734" s="83" t="str">
        <f t="shared" si="158"/>
        <v/>
      </c>
      <c r="U1734" s="10"/>
      <c r="V1734" s="41">
        <f>IF(AND(Q1734&lt;&gt;"",RIGHT(Q1734,3)&lt;&gt;""),IF(COUNTIF($Q$6:Q1734,Q1734)=1,1,0),0)</f>
        <v>0</v>
      </c>
      <c r="W1734" s="41" t="str">
        <f t="shared" si="159"/>
        <v/>
      </c>
      <c r="X1734" s="41" t="str">
        <f t="shared" si="160"/>
        <v/>
      </c>
    </row>
    <row r="1735" s="32" customFormat="1" hidden="1" customHeight="1" spans="1:24">
      <c r="A1735" s="34"/>
      <c r="B1735" s="51"/>
      <c r="C1735" s="51"/>
      <c r="D1735" s="52"/>
      <c r="E1735" s="53"/>
      <c r="F1735" s="54"/>
      <c r="G1735" s="54"/>
      <c r="H1735" s="54"/>
      <c r="I1735" s="66"/>
      <c r="J1735" s="54"/>
      <c r="K1735" s="54"/>
      <c r="L1735" s="54"/>
      <c r="M1735" s="97" t="str">
        <f t="shared" si="157"/>
        <v/>
      </c>
      <c r="N1735" s="70"/>
      <c r="O1735" s="71" t="str">
        <f t="shared" si="161"/>
        <v/>
      </c>
      <c r="P1735" s="66"/>
      <c r="Q1735" s="66"/>
      <c r="R1735" s="54"/>
      <c r="S1735" s="82"/>
      <c r="T1735" s="83" t="str">
        <f t="shared" si="158"/>
        <v/>
      </c>
      <c r="U1735" s="10"/>
      <c r="V1735" s="41">
        <f>IF(AND(Q1735&lt;&gt;"",RIGHT(Q1735,3)&lt;&gt;""),IF(COUNTIF($Q$6:Q1735,Q1735)=1,1,0),0)</f>
        <v>0</v>
      </c>
      <c r="W1735" s="41" t="str">
        <f t="shared" si="159"/>
        <v/>
      </c>
      <c r="X1735" s="41" t="str">
        <f t="shared" si="160"/>
        <v/>
      </c>
    </row>
    <row r="1736" s="32" customFormat="1" hidden="1" customHeight="1" spans="1:24">
      <c r="A1736" s="34"/>
      <c r="B1736" s="51"/>
      <c r="C1736" s="51"/>
      <c r="D1736" s="52"/>
      <c r="E1736" s="53"/>
      <c r="F1736" s="54"/>
      <c r="G1736" s="54"/>
      <c r="H1736" s="54"/>
      <c r="I1736" s="66"/>
      <c r="J1736" s="54"/>
      <c r="K1736" s="54"/>
      <c r="L1736" s="54"/>
      <c r="M1736" s="97" t="str">
        <f t="shared" si="157"/>
        <v/>
      </c>
      <c r="N1736" s="70"/>
      <c r="O1736" s="71" t="str">
        <f t="shared" si="161"/>
        <v/>
      </c>
      <c r="P1736" s="66"/>
      <c r="Q1736" s="66"/>
      <c r="R1736" s="54"/>
      <c r="S1736" s="82"/>
      <c r="T1736" s="83" t="str">
        <f t="shared" si="158"/>
        <v/>
      </c>
      <c r="U1736" s="10"/>
      <c r="V1736" s="41">
        <f>IF(AND(Q1736&lt;&gt;"",RIGHT(Q1736,3)&lt;&gt;""),IF(COUNTIF($Q$6:Q1736,Q1736)=1,1,0),0)</f>
        <v>0</v>
      </c>
      <c r="W1736" s="41" t="str">
        <f t="shared" si="159"/>
        <v/>
      </c>
      <c r="X1736" s="41" t="str">
        <f t="shared" si="160"/>
        <v/>
      </c>
    </row>
    <row r="1737" s="32" customFormat="1" hidden="1" customHeight="1" spans="1:24">
      <c r="A1737" s="34"/>
      <c r="B1737" s="51"/>
      <c r="C1737" s="51"/>
      <c r="D1737" s="52"/>
      <c r="E1737" s="53"/>
      <c r="F1737" s="54"/>
      <c r="G1737" s="54"/>
      <c r="H1737" s="54"/>
      <c r="I1737" s="66"/>
      <c r="J1737" s="54"/>
      <c r="K1737" s="54"/>
      <c r="L1737" s="54"/>
      <c r="M1737" s="97" t="str">
        <f t="shared" si="157"/>
        <v/>
      </c>
      <c r="N1737" s="70"/>
      <c r="O1737" s="71" t="str">
        <f t="shared" si="161"/>
        <v/>
      </c>
      <c r="P1737" s="66"/>
      <c r="Q1737" s="66"/>
      <c r="R1737" s="54"/>
      <c r="S1737" s="82"/>
      <c r="T1737" s="83" t="str">
        <f t="shared" si="158"/>
        <v/>
      </c>
      <c r="U1737" s="10"/>
      <c r="V1737" s="41">
        <f>IF(AND(Q1737&lt;&gt;"",RIGHT(Q1737,3)&lt;&gt;""),IF(COUNTIF($Q$6:Q1737,Q1737)=1,1,0),0)</f>
        <v>0</v>
      </c>
      <c r="W1737" s="41" t="str">
        <f t="shared" si="159"/>
        <v/>
      </c>
      <c r="X1737" s="41" t="str">
        <f t="shared" si="160"/>
        <v/>
      </c>
    </row>
    <row r="1738" s="32" customFormat="1" hidden="1" customHeight="1" spans="1:24">
      <c r="A1738" s="34"/>
      <c r="B1738" s="51"/>
      <c r="C1738" s="51"/>
      <c r="D1738" s="52"/>
      <c r="E1738" s="53"/>
      <c r="F1738" s="54"/>
      <c r="G1738" s="54"/>
      <c r="H1738" s="54"/>
      <c r="I1738" s="66"/>
      <c r="J1738" s="54"/>
      <c r="K1738" s="54"/>
      <c r="L1738" s="54"/>
      <c r="M1738" s="97" t="str">
        <f t="shared" si="157"/>
        <v/>
      </c>
      <c r="N1738" s="70"/>
      <c r="O1738" s="71" t="str">
        <f t="shared" si="161"/>
        <v/>
      </c>
      <c r="P1738" s="66"/>
      <c r="Q1738" s="66"/>
      <c r="R1738" s="54"/>
      <c r="S1738" s="82"/>
      <c r="T1738" s="83" t="str">
        <f t="shared" si="158"/>
        <v/>
      </c>
      <c r="U1738" s="10"/>
      <c r="V1738" s="41">
        <f>IF(AND(Q1738&lt;&gt;"",RIGHT(Q1738,3)&lt;&gt;""),IF(COUNTIF($Q$6:Q1738,Q1738)=1,1,0),0)</f>
        <v>0</v>
      </c>
      <c r="W1738" s="41" t="str">
        <f t="shared" si="159"/>
        <v/>
      </c>
      <c r="X1738" s="41" t="str">
        <f t="shared" si="160"/>
        <v/>
      </c>
    </row>
    <row r="1739" s="32" customFormat="1" hidden="1" customHeight="1" spans="1:24">
      <c r="A1739" s="34"/>
      <c r="B1739" s="51"/>
      <c r="C1739" s="51"/>
      <c r="D1739" s="52"/>
      <c r="E1739" s="53"/>
      <c r="F1739" s="54"/>
      <c r="G1739" s="54"/>
      <c r="H1739" s="54"/>
      <c r="I1739" s="66"/>
      <c r="J1739" s="54"/>
      <c r="K1739" s="54"/>
      <c r="L1739" s="54"/>
      <c r="M1739" s="97" t="str">
        <f t="shared" si="157"/>
        <v/>
      </c>
      <c r="N1739" s="70"/>
      <c r="O1739" s="71" t="str">
        <f t="shared" si="161"/>
        <v/>
      </c>
      <c r="P1739" s="66"/>
      <c r="Q1739" s="66"/>
      <c r="R1739" s="54"/>
      <c r="S1739" s="82"/>
      <c r="T1739" s="83" t="str">
        <f t="shared" si="158"/>
        <v/>
      </c>
      <c r="U1739" s="10"/>
      <c r="V1739" s="41">
        <f>IF(AND(Q1739&lt;&gt;"",RIGHT(Q1739,3)&lt;&gt;""),IF(COUNTIF($Q$6:Q1739,Q1739)=1,1,0),0)</f>
        <v>0</v>
      </c>
      <c r="W1739" s="41" t="str">
        <f t="shared" si="159"/>
        <v/>
      </c>
      <c r="X1739" s="41" t="str">
        <f t="shared" si="160"/>
        <v/>
      </c>
    </row>
    <row r="1740" s="32" customFormat="1" hidden="1" customHeight="1" spans="1:24">
      <c r="A1740" s="34"/>
      <c r="B1740" s="51"/>
      <c r="C1740" s="51"/>
      <c r="D1740" s="52"/>
      <c r="E1740" s="53"/>
      <c r="F1740" s="54"/>
      <c r="G1740" s="54"/>
      <c r="H1740" s="54"/>
      <c r="I1740" s="66"/>
      <c r="J1740" s="54"/>
      <c r="K1740" s="54"/>
      <c r="L1740" s="54"/>
      <c r="M1740" s="97" t="str">
        <f t="shared" si="157"/>
        <v/>
      </c>
      <c r="N1740" s="70"/>
      <c r="O1740" s="71" t="str">
        <f t="shared" si="161"/>
        <v/>
      </c>
      <c r="P1740" s="66"/>
      <c r="Q1740" s="66"/>
      <c r="R1740" s="54"/>
      <c r="S1740" s="82"/>
      <c r="T1740" s="83" t="str">
        <f t="shared" si="158"/>
        <v/>
      </c>
      <c r="U1740" s="10"/>
      <c r="V1740" s="41">
        <f>IF(AND(Q1740&lt;&gt;"",RIGHT(Q1740,3)&lt;&gt;""),IF(COUNTIF($Q$6:Q1740,Q1740)=1,1,0),0)</f>
        <v>0</v>
      </c>
      <c r="W1740" s="41" t="str">
        <f t="shared" si="159"/>
        <v/>
      </c>
      <c r="X1740" s="41" t="str">
        <f t="shared" si="160"/>
        <v/>
      </c>
    </row>
    <row r="1741" s="32" customFormat="1" hidden="1" customHeight="1" spans="1:24">
      <c r="A1741" s="34"/>
      <c r="B1741" s="51"/>
      <c r="C1741" s="51"/>
      <c r="D1741" s="52"/>
      <c r="E1741" s="53"/>
      <c r="F1741" s="54"/>
      <c r="G1741" s="54"/>
      <c r="H1741" s="54"/>
      <c r="I1741" s="66"/>
      <c r="J1741" s="54"/>
      <c r="K1741" s="54"/>
      <c r="L1741" s="54"/>
      <c r="M1741" s="97" t="str">
        <f t="shared" si="157"/>
        <v/>
      </c>
      <c r="N1741" s="70"/>
      <c r="O1741" s="71" t="str">
        <f t="shared" si="161"/>
        <v/>
      </c>
      <c r="P1741" s="66"/>
      <c r="Q1741" s="66"/>
      <c r="R1741" s="54"/>
      <c r="S1741" s="82"/>
      <c r="T1741" s="83" t="str">
        <f t="shared" si="158"/>
        <v/>
      </c>
      <c r="U1741" s="10"/>
      <c r="V1741" s="41">
        <f>IF(AND(Q1741&lt;&gt;"",RIGHT(Q1741,3)&lt;&gt;""),IF(COUNTIF($Q$6:Q1741,Q1741)=1,1,0),0)</f>
        <v>0</v>
      </c>
      <c r="W1741" s="41" t="str">
        <f t="shared" si="159"/>
        <v/>
      </c>
      <c r="X1741" s="41" t="str">
        <f t="shared" si="160"/>
        <v/>
      </c>
    </row>
    <row r="1742" s="32" customFormat="1" hidden="1" customHeight="1" spans="1:24">
      <c r="A1742" s="34"/>
      <c r="B1742" s="51"/>
      <c r="C1742" s="51"/>
      <c r="D1742" s="52"/>
      <c r="E1742" s="53"/>
      <c r="F1742" s="54"/>
      <c r="G1742" s="54"/>
      <c r="H1742" s="54"/>
      <c r="I1742" s="66"/>
      <c r="J1742" s="54"/>
      <c r="K1742" s="54"/>
      <c r="L1742" s="54"/>
      <c r="M1742" s="97" t="str">
        <f t="shared" si="157"/>
        <v/>
      </c>
      <c r="N1742" s="70"/>
      <c r="O1742" s="71" t="str">
        <f t="shared" si="161"/>
        <v/>
      </c>
      <c r="P1742" s="66"/>
      <c r="Q1742" s="66"/>
      <c r="R1742" s="54"/>
      <c r="S1742" s="82"/>
      <c r="T1742" s="83" t="str">
        <f t="shared" si="158"/>
        <v/>
      </c>
      <c r="U1742" s="10"/>
      <c r="V1742" s="41">
        <f>IF(AND(Q1742&lt;&gt;"",RIGHT(Q1742,3)&lt;&gt;""),IF(COUNTIF($Q$6:Q1742,Q1742)=1,1,0),0)</f>
        <v>0</v>
      </c>
      <c r="W1742" s="41" t="str">
        <f t="shared" si="159"/>
        <v/>
      </c>
      <c r="X1742" s="41" t="str">
        <f t="shared" si="160"/>
        <v/>
      </c>
    </row>
    <row r="1743" s="32" customFormat="1" hidden="1" customHeight="1" spans="1:24">
      <c r="A1743" s="34"/>
      <c r="B1743" s="51"/>
      <c r="C1743" s="51"/>
      <c r="D1743" s="52"/>
      <c r="E1743" s="53"/>
      <c r="F1743" s="54"/>
      <c r="G1743" s="54"/>
      <c r="H1743" s="54"/>
      <c r="I1743" s="66"/>
      <c r="J1743" s="54"/>
      <c r="K1743" s="54"/>
      <c r="L1743" s="54"/>
      <c r="M1743" s="97" t="str">
        <f t="shared" si="157"/>
        <v/>
      </c>
      <c r="N1743" s="70"/>
      <c r="O1743" s="71" t="str">
        <f t="shared" si="161"/>
        <v/>
      </c>
      <c r="P1743" s="66"/>
      <c r="Q1743" s="66"/>
      <c r="R1743" s="54"/>
      <c r="S1743" s="82"/>
      <c r="T1743" s="83" t="str">
        <f t="shared" si="158"/>
        <v/>
      </c>
      <c r="U1743" s="10"/>
      <c r="V1743" s="41">
        <f>IF(AND(Q1743&lt;&gt;"",RIGHT(Q1743,3)&lt;&gt;""),IF(COUNTIF($Q$6:Q1743,Q1743)=1,1,0),0)</f>
        <v>0</v>
      </c>
      <c r="W1743" s="41" t="str">
        <f t="shared" si="159"/>
        <v/>
      </c>
      <c r="X1743" s="41" t="str">
        <f t="shared" si="160"/>
        <v/>
      </c>
    </row>
    <row r="1744" s="32" customFormat="1" hidden="1" customHeight="1" spans="1:24">
      <c r="A1744" s="34"/>
      <c r="B1744" s="51"/>
      <c r="C1744" s="51"/>
      <c r="D1744" s="52"/>
      <c r="E1744" s="53"/>
      <c r="F1744" s="54"/>
      <c r="G1744" s="54"/>
      <c r="H1744" s="54"/>
      <c r="I1744" s="66"/>
      <c r="J1744" s="54"/>
      <c r="K1744" s="54"/>
      <c r="L1744" s="54"/>
      <c r="M1744" s="97" t="str">
        <f t="shared" si="157"/>
        <v/>
      </c>
      <c r="N1744" s="70"/>
      <c r="O1744" s="71" t="str">
        <f t="shared" si="161"/>
        <v/>
      </c>
      <c r="P1744" s="66"/>
      <c r="Q1744" s="66"/>
      <c r="R1744" s="54"/>
      <c r="S1744" s="82"/>
      <c r="T1744" s="83" t="str">
        <f t="shared" si="158"/>
        <v/>
      </c>
      <c r="U1744" s="10"/>
      <c r="V1744" s="41">
        <f>IF(AND(Q1744&lt;&gt;"",RIGHT(Q1744,3)&lt;&gt;""),IF(COUNTIF($Q$6:Q1744,Q1744)=1,1,0),0)</f>
        <v>0</v>
      </c>
      <c r="W1744" s="41" t="str">
        <f t="shared" si="159"/>
        <v/>
      </c>
      <c r="X1744" s="41" t="str">
        <f t="shared" si="160"/>
        <v/>
      </c>
    </row>
    <row r="1745" s="32" customFormat="1" hidden="1" customHeight="1" spans="1:24">
      <c r="A1745" s="34"/>
      <c r="B1745" s="51"/>
      <c r="C1745" s="51"/>
      <c r="D1745" s="52"/>
      <c r="E1745" s="53"/>
      <c r="F1745" s="54"/>
      <c r="G1745" s="54"/>
      <c r="H1745" s="54"/>
      <c r="I1745" s="66"/>
      <c r="J1745" s="54"/>
      <c r="K1745" s="54"/>
      <c r="L1745" s="54"/>
      <c r="M1745" s="97" t="str">
        <f t="shared" si="157"/>
        <v/>
      </c>
      <c r="N1745" s="70"/>
      <c r="O1745" s="71" t="str">
        <f t="shared" si="161"/>
        <v/>
      </c>
      <c r="P1745" s="66"/>
      <c r="Q1745" s="66"/>
      <c r="R1745" s="54"/>
      <c r="S1745" s="82"/>
      <c r="T1745" s="83" t="str">
        <f t="shared" si="158"/>
        <v/>
      </c>
      <c r="U1745" s="10"/>
      <c r="V1745" s="41">
        <f>IF(AND(Q1745&lt;&gt;"",RIGHT(Q1745,3)&lt;&gt;""),IF(COUNTIF($Q$6:Q1745,Q1745)=1,1,0),0)</f>
        <v>0</v>
      </c>
      <c r="W1745" s="41" t="str">
        <f t="shared" si="159"/>
        <v/>
      </c>
      <c r="X1745" s="41" t="str">
        <f t="shared" si="160"/>
        <v/>
      </c>
    </row>
    <row r="1746" s="32" customFormat="1" hidden="1" customHeight="1" spans="1:24">
      <c r="A1746" s="34"/>
      <c r="B1746" s="51"/>
      <c r="C1746" s="51"/>
      <c r="D1746" s="52"/>
      <c r="E1746" s="53"/>
      <c r="F1746" s="54"/>
      <c r="G1746" s="54"/>
      <c r="H1746" s="54"/>
      <c r="I1746" s="66"/>
      <c r="J1746" s="54"/>
      <c r="K1746" s="54"/>
      <c r="L1746" s="54"/>
      <c r="M1746" s="97" t="str">
        <f t="shared" si="157"/>
        <v/>
      </c>
      <c r="N1746" s="70"/>
      <c r="O1746" s="71" t="str">
        <f t="shared" si="161"/>
        <v/>
      </c>
      <c r="P1746" s="66"/>
      <c r="Q1746" s="66"/>
      <c r="R1746" s="54"/>
      <c r="S1746" s="82"/>
      <c r="T1746" s="83" t="str">
        <f t="shared" si="158"/>
        <v/>
      </c>
      <c r="U1746" s="10"/>
      <c r="V1746" s="41">
        <f>IF(AND(Q1746&lt;&gt;"",RIGHT(Q1746,3)&lt;&gt;""),IF(COUNTIF($Q$6:Q1746,Q1746)=1,1,0),0)</f>
        <v>0</v>
      </c>
      <c r="W1746" s="41" t="str">
        <f t="shared" si="159"/>
        <v/>
      </c>
      <c r="X1746" s="41" t="str">
        <f t="shared" si="160"/>
        <v/>
      </c>
    </row>
    <row r="1747" s="32" customFormat="1" hidden="1" customHeight="1" spans="1:24">
      <c r="A1747" s="34"/>
      <c r="B1747" s="51"/>
      <c r="C1747" s="51"/>
      <c r="D1747" s="52"/>
      <c r="E1747" s="53"/>
      <c r="F1747" s="54"/>
      <c r="G1747" s="54"/>
      <c r="H1747" s="54"/>
      <c r="I1747" s="66"/>
      <c r="J1747" s="54"/>
      <c r="K1747" s="54"/>
      <c r="L1747" s="54"/>
      <c r="M1747" s="97" t="str">
        <f t="shared" si="157"/>
        <v/>
      </c>
      <c r="N1747" s="70"/>
      <c r="O1747" s="71" t="str">
        <f t="shared" si="161"/>
        <v/>
      </c>
      <c r="P1747" s="66"/>
      <c r="Q1747" s="66"/>
      <c r="R1747" s="54"/>
      <c r="S1747" s="82"/>
      <c r="T1747" s="83" t="str">
        <f t="shared" si="158"/>
        <v/>
      </c>
      <c r="U1747" s="10"/>
      <c r="V1747" s="41">
        <f>IF(AND(Q1747&lt;&gt;"",RIGHT(Q1747,3)&lt;&gt;""),IF(COUNTIF($Q$6:Q1747,Q1747)=1,1,0),0)</f>
        <v>0</v>
      </c>
      <c r="W1747" s="41" t="str">
        <f t="shared" si="159"/>
        <v/>
      </c>
      <c r="X1747" s="41" t="str">
        <f t="shared" si="160"/>
        <v/>
      </c>
    </row>
    <row r="1748" s="32" customFormat="1" hidden="1" customHeight="1" spans="1:24">
      <c r="A1748" s="34"/>
      <c r="B1748" s="51"/>
      <c r="C1748" s="51"/>
      <c r="D1748" s="52"/>
      <c r="E1748" s="53"/>
      <c r="F1748" s="54"/>
      <c r="G1748" s="54"/>
      <c r="H1748" s="54"/>
      <c r="I1748" s="66"/>
      <c r="J1748" s="54"/>
      <c r="K1748" s="54"/>
      <c r="L1748" s="54"/>
      <c r="M1748" s="97" t="str">
        <f t="shared" si="157"/>
        <v/>
      </c>
      <c r="N1748" s="70"/>
      <c r="O1748" s="71" t="str">
        <f t="shared" si="161"/>
        <v/>
      </c>
      <c r="P1748" s="66"/>
      <c r="Q1748" s="66"/>
      <c r="R1748" s="54"/>
      <c r="S1748" s="82"/>
      <c r="T1748" s="83" t="str">
        <f t="shared" si="158"/>
        <v/>
      </c>
      <c r="U1748" s="10"/>
      <c r="V1748" s="41">
        <f>IF(AND(Q1748&lt;&gt;"",RIGHT(Q1748,3)&lt;&gt;""),IF(COUNTIF($Q$6:Q1748,Q1748)=1,1,0),0)</f>
        <v>0</v>
      </c>
      <c r="W1748" s="41" t="str">
        <f t="shared" si="159"/>
        <v/>
      </c>
      <c r="X1748" s="41" t="str">
        <f t="shared" si="160"/>
        <v/>
      </c>
    </row>
    <row r="1749" s="32" customFormat="1" hidden="1" customHeight="1" spans="1:24">
      <c r="A1749" s="34"/>
      <c r="B1749" s="51"/>
      <c r="C1749" s="51"/>
      <c r="D1749" s="52"/>
      <c r="E1749" s="53"/>
      <c r="F1749" s="54"/>
      <c r="G1749" s="54"/>
      <c r="H1749" s="54"/>
      <c r="I1749" s="66"/>
      <c r="J1749" s="54"/>
      <c r="K1749" s="54"/>
      <c r="L1749" s="54"/>
      <c r="M1749" s="97" t="str">
        <f t="shared" si="157"/>
        <v/>
      </c>
      <c r="N1749" s="70"/>
      <c r="O1749" s="71" t="str">
        <f t="shared" si="161"/>
        <v/>
      </c>
      <c r="P1749" s="66"/>
      <c r="Q1749" s="66"/>
      <c r="R1749" s="54"/>
      <c r="S1749" s="82"/>
      <c r="T1749" s="83" t="str">
        <f t="shared" si="158"/>
        <v/>
      </c>
      <c r="U1749" s="10"/>
      <c r="V1749" s="41">
        <f>IF(AND(Q1749&lt;&gt;"",RIGHT(Q1749,3)&lt;&gt;""),IF(COUNTIF($Q$6:Q1749,Q1749)=1,1,0),0)</f>
        <v>0</v>
      </c>
      <c r="W1749" s="41" t="str">
        <f t="shared" si="159"/>
        <v/>
      </c>
      <c r="X1749" s="41" t="str">
        <f t="shared" si="160"/>
        <v/>
      </c>
    </row>
    <row r="1750" s="32" customFormat="1" hidden="1" customHeight="1" spans="1:24">
      <c r="A1750" s="34"/>
      <c r="B1750" s="51"/>
      <c r="C1750" s="51"/>
      <c r="D1750" s="52"/>
      <c r="E1750" s="53"/>
      <c r="F1750" s="54"/>
      <c r="G1750" s="54"/>
      <c r="H1750" s="54"/>
      <c r="I1750" s="66"/>
      <c r="J1750" s="54"/>
      <c r="K1750" s="54"/>
      <c r="L1750" s="54"/>
      <c r="M1750" s="97" t="str">
        <f t="shared" si="157"/>
        <v/>
      </c>
      <c r="N1750" s="70"/>
      <c r="O1750" s="71" t="str">
        <f t="shared" si="161"/>
        <v/>
      </c>
      <c r="P1750" s="66"/>
      <c r="Q1750" s="66"/>
      <c r="R1750" s="54"/>
      <c r="S1750" s="82"/>
      <c r="T1750" s="83" t="str">
        <f t="shared" si="158"/>
        <v/>
      </c>
      <c r="U1750" s="10"/>
      <c r="V1750" s="41">
        <f>IF(AND(Q1750&lt;&gt;"",RIGHT(Q1750,3)&lt;&gt;""),IF(COUNTIF($Q$6:Q1750,Q1750)=1,1,0),0)</f>
        <v>0</v>
      </c>
      <c r="W1750" s="41" t="str">
        <f t="shared" si="159"/>
        <v/>
      </c>
      <c r="X1750" s="41" t="str">
        <f t="shared" si="160"/>
        <v/>
      </c>
    </row>
    <row r="1751" s="32" customFormat="1" hidden="1" customHeight="1" spans="1:24">
      <c r="A1751" s="34"/>
      <c r="B1751" s="51"/>
      <c r="C1751" s="51"/>
      <c r="D1751" s="52"/>
      <c r="E1751" s="53"/>
      <c r="F1751" s="54"/>
      <c r="G1751" s="54"/>
      <c r="H1751" s="54"/>
      <c r="I1751" s="66"/>
      <c r="J1751" s="54"/>
      <c r="K1751" s="54"/>
      <c r="L1751" s="54"/>
      <c r="M1751" s="97" t="str">
        <f t="shared" si="157"/>
        <v/>
      </c>
      <c r="N1751" s="70"/>
      <c r="O1751" s="71" t="str">
        <f t="shared" si="161"/>
        <v/>
      </c>
      <c r="P1751" s="66"/>
      <c r="Q1751" s="66"/>
      <c r="R1751" s="54"/>
      <c r="S1751" s="82"/>
      <c r="T1751" s="83" t="str">
        <f t="shared" si="158"/>
        <v/>
      </c>
      <c r="U1751" s="10"/>
      <c r="V1751" s="41">
        <f>IF(AND(Q1751&lt;&gt;"",RIGHT(Q1751,3)&lt;&gt;""),IF(COUNTIF($Q$6:Q1751,Q1751)=1,1,0),0)</f>
        <v>0</v>
      </c>
      <c r="W1751" s="41" t="str">
        <f t="shared" si="159"/>
        <v/>
      </c>
      <c r="X1751" s="41" t="str">
        <f t="shared" si="160"/>
        <v/>
      </c>
    </row>
    <row r="1752" s="32" customFormat="1" hidden="1" customHeight="1" spans="1:24">
      <c r="A1752" s="34"/>
      <c r="B1752" s="51"/>
      <c r="C1752" s="51"/>
      <c r="D1752" s="52"/>
      <c r="E1752" s="53"/>
      <c r="F1752" s="54"/>
      <c r="G1752" s="54"/>
      <c r="H1752" s="54"/>
      <c r="I1752" s="66"/>
      <c r="J1752" s="54"/>
      <c r="K1752" s="54"/>
      <c r="L1752" s="54"/>
      <c r="M1752" s="97" t="str">
        <f t="shared" si="157"/>
        <v/>
      </c>
      <c r="N1752" s="70"/>
      <c r="O1752" s="71" t="str">
        <f t="shared" si="161"/>
        <v/>
      </c>
      <c r="P1752" s="66"/>
      <c r="Q1752" s="66"/>
      <c r="R1752" s="54"/>
      <c r="S1752" s="82"/>
      <c r="T1752" s="83" t="str">
        <f t="shared" si="158"/>
        <v/>
      </c>
      <c r="U1752" s="10"/>
      <c r="V1752" s="41">
        <f>IF(AND(Q1752&lt;&gt;"",RIGHT(Q1752,3)&lt;&gt;""),IF(COUNTIF($Q$6:Q1752,Q1752)=1,1,0),0)</f>
        <v>0</v>
      </c>
      <c r="W1752" s="41" t="str">
        <f t="shared" si="159"/>
        <v/>
      </c>
      <c r="X1752" s="41" t="str">
        <f t="shared" si="160"/>
        <v/>
      </c>
    </row>
    <row r="1753" s="32" customFormat="1" hidden="1" customHeight="1" spans="1:24">
      <c r="A1753" s="34"/>
      <c r="B1753" s="51"/>
      <c r="C1753" s="51"/>
      <c r="D1753" s="52"/>
      <c r="E1753" s="53"/>
      <c r="F1753" s="54"/>
      <c r="G1753" s="54"/>
      <c r="H1753" s="54"/>
      <c r="I1753" s="66"/>
      <c r="J1753" s="54"/>
      <c r="K1753" s="54"/>
      <c r="L1753" s="54"/>
      <c r="M1753" s="97" t="str">
        <f t="shared" si="157"/>
        <v/>
      </c>
      <c r="N1753" s="70"/>
      <c r="O1753" s="71" t="str">
        <f t="shared" si="161"/>
        <v/>
      </c>
      <c r="P1753" s="66"/>
      <c r="Q1753" s="66"/>
      <c r="R1753" s="54"/>
      <c r="S1753" s="82"/>
      <c r="T1753" s="83" t="str">
        <f t="shared" si="158"/>
        <v/>
      </c>
      <c r="U1753" s="10"/>
      <c r="V1753" s="41">
        <f>IF(AND(Q1753&lt;&gt;"",RIGHT(Q1753,3)&lt;&gt;""),IF(COUNTIF($Q$6:Q1753,Q1753)=1,1,0),0)</f>
        <v>0</v>
      </c>
      <c r="W1753" s="41" t="str">
        <f t="shared" si="159"/>
        <v/>
      </c>
      <c r="X1753" s="41" t="str">
        <f t="shared" si="160"/>
        <v/>
      </c>
    </row>
    <row r="1754" s="32" customFormat="1" hidden="1" customHeight="1" spans="1:24">
      <c r="A1754" s="34"/>
      <c r="B1754" s="51"/>
      <c r="C1754" s="51"/>
      <c r="D1754" s="52"/>
      <c r="E1754" s="53"/>
      <c r="F1754" s="54"/>
      <c r="G1754" s="54"/>
      <c r="H1754" s="54"/>
      <c r="I1754" s="66"/>
      <c r="J1754" s="54"/>
      <c r="K1754" s="54"/>
      <c r="L1754" s="54"/>
      <c r="M1754" s="97" t="str">
        <f t="shared" si="157"/>
        <v/>
      </c>
      <c r="N1754" s="70"/>
      <c r="O1754" s="71" t="str">
        <f t="shared" si="161"/>
        <v/>
      </c>
      <c r="P1754" s="66"/>
      <c r="Q1754" s="66"/>
      <c r="R1754" s="54"/>
      <c r="S1754" s="82"/>
      <c r="T1754" s="83" t="str">
        <f t="shared" si="158"/>
        <v/>
      </c>
      <c r="U1754" s="10"/>
      <c r="V1754" s="41">
        <f>IF(AND(Q1754&lt;&gt;"",RIGHT(Q1754,3)&lt;&gt;""),IF(COUNTIF($Q$6:Q1754,Q1754)=1,1,0),0)</f>
        <v>0</v>
      </c>
      <c r="W1754" s="41" t="str">
        <f t="shared" si="159"/>
        <v/>
      </c>
      <c r="X1754" s="41" t="str">
        <f t="shared" si="160"/>
        <v/>
      </c>
    </row>
    <row r="1755" s="32" customFormat="1" hidden="1" customHeight="1" spans="1:24">
      <c r="A1755" s="34"/>
      <c r="B1755" s="51"/>
      <c r="C1755" s="51"/>
      <c r="D1755" s="52"/>
      <c r="E1755" s="53"/>
      <c r="F1755" s="54"/>
      <c r="G1755" s="54"/>
      <c r="H1755" s="54"/>
      <c r="I1755" s="66"/>
      <c r="J1755" s="54"/>
      <c r="K1755" s="54"/>
      <c r="L1755" s="54"/>
      <c r="M1755" s="97" t="str">
        <f t="shared" si="157"/>
        <v/>
      </c>
      <c r="N1755" s="70"/>
      <c r="O1755" s="71" t="str">
        <f t="shared" si="161"/>
        <v/>
      </c>
      <c r="P1755" s="66"/>
      <c r="Q1755" s="66"/>
      <c r="R1755" s="54"/>
      <c r="S1755" s="82"/>
      <c r="T1755" s="83" t="str">
        <f t="shared" si="158"/>
        <v/>
      </c>
      <c r="U1755" s="10"/>
      <c r="V1755" s="41">
        <f>IF(AND(Q1755&lt;&gt;"",RIGHT(Q1755,3)&lt;&gt;""),IF(COUNTIF($Q$6:Q1755,Q1755)=1,1,0),0)</f>
        <v>0</v>
      </c>
      <c r="W1755" s="41" t="str">
        <f t="shared" si="159"/>
        <v/>
      </c>
      <c r="X1755" s="41" t="str">
        <f t="shared" si="160"/>
        <v/>
      </c>
    </row>
    <row r="1756" s="32" customFormat="1" hidden="1" customHeight="1" spans="1:24">
      <c r="A1756" s="34"/>
      <c r="B1756" s="51"/>
      <c r="C1756" s="51"/>
      <c r="D1756" s="52"/>
      <c r="E1756" s="53"/>
      <c r="F1756" s="54"/>
      <c r="G1756" s="54"/>
      <c r="H1756" s="54"/>
      <c r="I1756" s="66"/>
      <c r="J1756" s="54"/>
      <c r="K1756" s="54"/>
      <c r="L1756" s="54"/>
      <c r="M1756" s="97" t="str">
        <f t="shared" si="157"/>
        <v/>
      </c>
      <c r="N1756" s="70"/>
      <c r="O1756" s="71" t="str">
        <f t="shared" si="161"/>
        <v/>
      </c>
      <c r="P1756" s="66"/>
      <c r="Q1756" s="66"/>
      <c r="R1756" s="54"/>
      <c r="S1756" s="82"/>
      <c r="T1756" s="83" t="str">
        <f t="shared" si="158"/>
        <v/>
      </c>
      <c r="U1756" s="10"/>
      <c r="V1756" s="41">
        <f>IF(AND(Q1756&lt;&gt;"",RIGHT(Q1756,3)&lt;&gt;""),IF(COUNTIF($Q$6:Q1756,Q1756)=1,1,0),0)</f>
        <v>0</v>
      </c>
      <c r="W1756" s="41" t="str">
        <f t="shared" si="159"/>
        <v/>
      </c>
      <c r="X1756" s="41" t="str">
        <f t="shared" si="160"/>
        <v/>
      </c>
    </row>
    <row r="1757" s="32" customFormat="1" hidden="1" customHeight="1" spans="1:24">
      <c r="A1757" s="34"/>
      <c r="B1757" s="51"/>
      <c r="C1757" s="51"/>
      <c r="D1757" s="52"/>
      <c r="E1757" s="53"/>
      <c r="F1757" s="54"/>
      <c r="G1757" s="54"/>
      <c r="H1757" s="54"/>
      <c r="I1757" s="66"/>
      <c r="J1757" s="54"/>
      <c r="K1757" s="54"/>
      <c r="L1757" s="54"/>
      <c r="M1757" s="97" t="str">
        <f t="shared" si="157"/>
        <v/>
      </c>
      <c r="N1757" s="70"/>
      <c r="O1757" s="71" t="str">
        <f t="shared" si="161"/>
        <v/>
      </c>
      <c r="P1757" s="66"/>
      <c r="Q1757" s="66"/>
      <c r="R1757" s="54"/>
      <c r="S1757" s="82"/>
      <c r="T1757" s="83" t="str">
        <f t="shared" si="158"/>
        <v/>
      </c>
      <c r="U1757" s="10"/>
      <c r="V1757" s="41">
        <f>IF(AND(Q1757&lt;&gt;"",RIGHT(Q1757,3)&lt;&gt;""),IF(COUNTIF($Q$6:Q1757,Q1757)=1,1,0),0)</f>
        <v>0</v>
      </c>
      <c r="W1757" s="41" t="str">
        <f t="shared" si="159"/>
        <v/>
      </c>
      <c r="X1757" s="41" t="str">
        <f t="shared" si="160"/>
        <v/>
      </c>
    </row>
    <row r="1758" s="32" customFormat="1" hidden="1" customHeight="1" spans="1:24">
      <c r="A1758" s="34"/>
      <c r="B1758" s="51"/>
      <c r="C1758" s="51"/>
      <c r="D1758" s="52"/>
      <c r="E1758" s="53"/>
      <c r="F1758" s="54"/>
      <c r="G1758" s="54"/>
      <c r="H1758" s="54"/>
      <c r="I1758" s="66"/>
      <c r="J1758" s="54"/>
      <c r="K1758" s="54"/>
      <c r="L1758" s="54"/>
      <c r="M1758" s="97" t="str">
        <f t="shared" si="157"/>
        <v/>
      </c>
      <c r="N1758" s="70"/>
      <c r="O1758" s="71" t="str">
        <f t="shared" si="161"/>
        <v/>
      </c>
      <c r="P1758" s="66"/>
      <c r="Q1758" s="66"/>
      <c r="R1758" s="54"/>
      <c r="S1758" s="82"/>
      <c r="T1758" s="83" t="str">
        <f t="shared" si="158"/>
        <v/>
      </c>
      <c r="U1758" s="10"/>
      <c r="V1758" s="41">
        <f>IF(AND(Q1758&lt;&gt;"",RIGHT(Q1758,3)&lt;&gt;""),IF(COUNTIF($Q$6:Q1758,Q1758)=1,1,0),0)</f>
        <v>0</v>
      </c>
      <c r="W1758" s="41" t="str">
        <f t="shared" si="159"/>
        <v/>
      </c>
      <c r="X1758" s="41" t="str">
        <f t="shared" si="160"/>
        <v/>
      </c>
    </row>
    <row r="1759" s="32" customFormat="1" hidden="1" customHeight="1" spans="1:24">
      <c r="A1759" s="34"/>
      <c r="B1759" s="51"/>
      <c r="C1759" s="51"/>
      <c r="D1759" s="52"/>
      <c r="E1759" s="53"/>
      <c r="F1759" s="54"/>
      <c r="G1759" s="54"/>
      <c r="H1759" s="54"/>
      <c r="I1759" s="66"/>
      <c r="J1759" s="54"/>
      <c r="K1759" s="54"/>
      <c r="L1759" s="54"/>
      <c r="M1759" s="97" t="str">
        <f t="shared" si="157"/>
        <v/>
      </c>
      <c r="N1759" s="70"/>
      <c r="O1759" s="71" t="str">
        <f t="shared" si="161"/>
        <v/>
      </c>
      <c r="P1759" s="66"/>
      <c r="Q1759" s="66"/>
      <c r="R1759" s="54"/>
      <c r="S1759" s="82"/>
      <c r="T1759" s="83" t="str">
        <f t="shared" si="158"/>
        <v/>
      </c>
      <c r="U1759" s="10"/>
      <c r="V1759" s="41">
        <f>IF(AND(Q1759&lt;&gt;"",RIGHT(Q1759,3)&lt;&gt;""),IF(COUNTIF($Q$6:Q1759,Q1759)=1,1,0),0)</f>
        <v>0</v>
      </c>
      <c r="W1759" s="41" t="str">
        <f t="shared" si="159"/>
        <v/>
      </c>
      <c r="X1759" s="41" t="str">
        <f t="shared" si="160"/>
        <v/>
      </c>
    </row>
    <row r="1760" s="32" customFormat="1" hidden="1" customHeight="1" spans="1:24">
      <c r="A1760" s="34"/>
      <c r="B1760" s="51"/>
      <c r="C1760" s="51"/>
      <c r="D1760" s="52"/>
      <c r="E1760" s="53"/>
      <c r="F1760" s="54"/>
      <c r="G1760" s="54"/>
      <c r="H1760" s="54"/>
      <c r="I1760" s="66"/>
      <c r="J1760" s="54"/>
      <c r="K1760" s="54"/>
      <c r="L1760" s="54"/>
      <c r="M1760" s="97" t="str">
        <f t="shared" si="157"/>
        <v/>
      </c>
      <c r="N1760" s="70"/>
      <c r="O1760" s="71" t="str">
        <f t="shared" si="161"/>
        <v/>
      </c>
      <c r="P1760" s="66"/>
      <c r="Q1760" s="66"/>
      <c r="R1760" s="54"/>
      <c r="S1760" s="82"/>
      <c r="T1760" s="83" t="str">
        <f t="shared" si="158"/>
        <v/>
      </c>
      <c r="U1760" s="10"/>
      <c r="V1760" s="41">
        <f>IF(AND(Q1760&lt;&gt;"",RIGHT(Q1760,3)&lt;&gt;""),IF(COUNTIF($Q$6:Q1760,Q1760)=1,1,0),0)</f>
        <v>0</v>
      </c>
      <c r="W1760" s="41" t="str">
        <f t="shared" si="159"/>
        <v/>
      </c>
      <c r="X1760" s="41" t="str">
        <f t="shared" si="160"/>
        <v/>
      </c>
    </row>
    <row r="1761" s="32" customFormat="1" hidden="1" customHeight="1" spans="1:24">
      <c r="A1761" s="34"/>
      <c r="B1761" s="51"/>
      <c r="C1761" s="51"/>
      <c r="D1761" s="52"/>
      <c r="E1761" s="53"/>
      <c r="F1761" s="54"/>
      <c r="G1761" s="54"/>
      <c r="H1761" s="54"/>
      <c r="I1761" s="66"/>
      <c r="J1761" s="54"/>
      <c r="K1761" s="54"/>
      <c r="L1761" s="54"/>
      <c r="M1761" s="97" t="str">
        <f t="shared" si="157"/>
        <v/>
      </c>
      <c r="N1761" s="70"/>
      <c r="O1761" s="71" t="str">
        <f t="shared" si="161"/>
        <v/>
      </c>
      <c r="P1761" s="66"/>
      <c r="Q1761" s="66"/>
      <c r="R1761" s="54"/>
      <c r="S1761" s="82"/>
      <c r="T1761" s="83" t="str">
        <f t="shared" si="158"/>
        <v/>
      </c>
      <c r="U1761" s="10"/>
      <c r="V1761" s="41">
        <f>IF(AND(Q1761&lt;&gt;"",RIGHT(Q1761,3)&lt;&gt;""),IF(COUNTIF($Q$6:Q1761,Q1761)=1,1,0),0)</f>
        <v>0</v>
      </c>
      <c r="W1761" s="41" t="str">
        <f t="shared" si="159"/>
        <v/>
      </c>
      <c r="X1761" s="41" t="str">
        <f t="shared" si="160"/>
        <v/>
      </c>
    </row>
    <row r="1762" s="32" customFormat="1" hidden="1" customHeight="1" spans="1:24">
      <c r="A1762" s="34"/>
      <c r="B1762" s="51"/>
      <c r="C1762" s="51"/>
      <c r="D1762" s="52"/>
      <c r="E1762" s="53"/>
      <c r="F1762" s="54"/>
      <c r="G1762" s="54"/>
      <c r="H1762" s="54"/>
      <c r="I1762" s="66"/>
      <c r="J1762" s="54"/>
      <c r="K1762" s="54"/>
      <c r="L1762" s="54"/>
      <c r="M1762" s="97" t="str">
        <f t="shared" si="157"/>
        <v/>
      </c>
      <c r="N1762" s="70"/>
      <c r="O1762" s="71" t="str">
        <f t="shared" si="161"/>
        <v/>
      </c>
      <c r="P1762" s="66"/>
      <c r="Q1762" s="66"/>
      <c r="R1762" s="54"/>
      <c r="S1762" s="82"/>
      <c r="T1762" s="83" t="str">
        <f t="shared" si="158"/>
        <v/>
      </c>
      <c r="U1762" s="10"/>
      <c r="V1762" s="41">
        <f>IF(AND(Q1762&lt;&gt;"",RIGHT(Q1762,3)&lt;&gt;""),IF(COUNTIF($Q$6:Q1762,Q1762)=1,1,0),0)</f>
        <v>0</v>
      </c>
      <c r="W1762" s="41" t="str">
        <f t="shared" si="159"/>
        <v/>
      </c>
      <c r="X1762" s="41" t="str">
        <f t="shared" si="160"/>
        <v/>
      </c>
    </row>
    <row r="1763" s="32" customFormat="1" hidden="1" customHeight="1" spans="1:24">
      <c r="A1763" s="34"/>
      <c r="B1763" s="51"/>
      <c r="C1763" s="51"/>
      <c r="D1763" s="52"/>
      <c r="E1763" s="53"/>
      <c r="F1763" s="54"/>
      <c r="G1763" s="54"/>
      <c r="H1763" s="54"/>
      <c r="I1763" s="66"/>
      <c r="J1763" s="54"/>
      <c r="K1763" s="54"/>
      <c r="L1763" s="54"/>
      <c r="M1763" s="97" t="str">
        <f t="shared" si="157"/>
        <v/>
      </c>
      <c r="N1763" s="70"/>
      <c r="O1763" s="71" t="str">
        <f t="shared" si="161"/>
        <v/>
      </c>
      <c r="P1763" s="66"/>
      <c r="Q1763" s="66"/>
      <c r="R1763" s="54"/>
      <c r="S1763" s="82"/>
      <c r="T1763" s="83" t="str">
        <f t="shared" si="158"/>
        <v/>
      </c>
      <c r="U1763" s="10"/>
      <c r="V1763" s="41">
        <f>IF(AND(Q1763&lt;&gt;"",RIGHT(Q1763,3)&lt;&gt;""),IF(COUNTIF($Q$6:Q1763,Q1763)=1,1,0),0)</f>
        <v>0</v>
      </c>
      <c r="W1763" s="41" t="str">
        <f t="shared" si="159"/>
        <v/>
      </c>
      <c r="X1763" s="41" t="str">
        <f t="shared" si="160"/>
        <v/>
      </c>
    </row>
    <row r="1764" s="32" customFormat="1" hidden="1" customHeight="1" spans="1:24">
      <c r="A1764" s="34"/>
      <c r="B1764" s="51"/>
      <c r="C1764" s="51"/>
      <c r="D1764" s="52"/>
      <c r="E1764" s="53"/>
      <c r="F1764" s="54"/>
      <c r="G1764" s="54"/>
      <c r="H1764" s="54"/>
      <c r="I1764" s="66"/>
      <c r="J1764" s="54"/>
      <c r="K1764" s="54"/>
      <c r="L1764" s="54"/>
      <c r="M1764" s="97" t="str">
        <f t="shared" ref="M1764:M1827" si="162">IF(L1764="","",HYPERLINK(_xlfn.CONCAT($L$4,L1764,".jpg"),"Open File"))</f>
        <v/>
      </c>
      <c r="N1764" s="70"/>
      <c r="O1764" s="71" t="str">
        <f t="shared" si="161"/>
        <v/>
      </c>
      <c r="P1764" s="66"/>
      <c r="Q1764" s="66"/>
      <c r="R1764" s="54"/>
      <c r="S1764" s="82"/>
      <c r="T1764" s="83" t="str">
        <f t="shared" ref="T1764:T1827" si="163">IF(S1764="","",HYPERLINK(_xlfn.CONCAT($S$4,S1764,".jpg"),"Open File"))</f>
        <v/>
      </c>
      <c r="U1764" s="10"/>
      <c r="V1764" s="41">
        <f>IF(AND(Q1764&lt;&gt;"",RIGHT(Q1764,3)&lt;&gt;""),IF(COUNTIF($Q$6:Q1764,Q1764)=1,1,0),0)</f>
        <v>0</v>
      </c>
      <c r="W1764" s="41" t="str">
        <f t="shared" ref="W1764:W1827" si="164">IF(AND(J1764&lt;&gt;"",K1764&lt;&gt;""),_xlfn.CONCAT(SUBSTITUTE(J1764,"/","."),"-",K1764),"")</f>
        <v/>
      </c>
      <c r="X1764" s="41" t="str">
        <f t="shared" ref="X1764:X1827" si="165">IF(AND(Q1764&lt;&gt;"",R1764&lt;&gt;""),_xlfn.CONCAT(SUBSTITUTE(Q1764,"/","."),"-",R1764),"")</f>
        <v/>
      </c>
    </row>
    <row r="1765" s="32" customFormat="1" hidden="1" customHeight="1" spans="1:24">
      <c r="A1765" s="34"/>
      <c r="B1765" s="51"/>
      <c r="C1765" s="51"/>
      <c r="D1765" s="52"/>
      <c r="E1765" s="53"/>
      <c r="F1765" s="54"/>
      <c r="G1765" s="54"/>
      <c r="H1765" s="54"/>
      <c r="I1765" s="66"/>
      <c r="J1765" s="54"/>
      <c r="K1765" s="54"/>
      <c r="L1765" s="54"/>
      <c r="M1765" s="97" t="str">
        <f t="shared" si="162"/>
        <v/>
      </c>
      <c r="N1765" s="70"/>
      <c r="O1765" s="71" t="str">
        <f t="shared" si="161"/>
        <v/>
      </c>
      <c r="P1765" s="66"/>
      <c r="Q1765" s="66"/>
      <c r="R1765" s="54"/>
      <c r="S1765" s="82"/>
      <c r="T1765" s="83" t="str">
        <f t="shared" si="163"/>
        <v/>
      </c>
      <c r="U1765" s="10"/>
      <c r="V1765" s="41">
        <f>IF(AND(Q1765&lt;&gt;"",RIGHT(Q1765,3)&lt;&gt;""),IF(COUNTIF($Q$6:Q1765,Q1765)=1,1,0),0)</f>
        <v>0</v>
      </c>
      <c r="W1765" s="41" t="str">
        <f t="shared" si="164"/>
        <v/>
      </c>
      <c r="X1765" s="41" t="str">
        <f t="shared" si="165"/>
        <v/>
      </c>
    </row>
    <row r="1766" s="32" customFormat="1" hidden="1" customHeight="1" spans="1:24">
      <c r="A1766" s="34"/>
      <c r="B1766" s="51"/>
      <c r="C1766" s="51"/>
      <c r="D1766" s="52"/>
      <c r="E1766" s="53"/>
      <c r="F1766" s="54"/>
      <c r="G1766" s="54"/>
      <c r="H1766" s="54"/>
      <c r="I1766" s="66"/>
      <c r="J1766" s="54"/>
      <c r="K1766" s="54"/>
      <c r="L1766" s="54"/>
      <c r="M1766" s="97" t="str">
        <f t="shared" si="162"/>
        <v/>
      </c>
      <c r="N1766" s="70"/>
      <c r="O1766" s="71" t="str">
        <f t="shared" si="161"/>
        <v/>
      </c>
      <c r="P1766" s="66"/>
      <c r="Q1766" s="66"/>
      <c r="R1766" s="54"/>
      <c r="S1766" s="82"/>
      <c r="T1766" s="83" t="str">
        <f t="shared" si="163"/>
        <v/>
      </c>
      <c r="U1766" s="10"/>
      <c r="V1766" s="41">
        <f>IF(AND(Q1766&lt;&gt;"",RIGHT(Q1766,3)&lt;&gt;""),IF(COUNTIF($Q$6:Q1766,Q1766)=1,1,0),0)</f>
        <v>0</v>
      </c>
      <c r="W1766" s="41" t="str">
        <f t="shared" si="164"/>
        <v/>
      </c>
      <c r="X1766" s="41" t="str">
        <f t="shared" si="165"/>
        <v/>
      </c>
    </row>
    <row r="1767" s="32" customFormat="1" hidden="1" customHeight="1" spans="1:24">
      <c r="A1767" s="34"/>
      <c r="B1767" s="51"/>
      <c r="C1767" s="51"/>
      <c r="D1767" s="52"/>
      <c r="E1767" s="53"/>
      <c r="F1767" s="54"/>
      <c r="G1767" s="54"/>
      <c r="H1767" s="54"/>
      <c r="I1767" s="66"/>
      <c r="J1767" s="54"/>
      <c r="K1767" s="54"/>
      <c r="L1767" s="54"/>
      <c r="M1767" s="97" t="str">
        <f t="shared" si="162"/>
        <v/>
      </c>
      <c r="N1767" s="70"/>
      <c r="O1767" s="71" t="str">
        <f t="shared" si="161"/>
        <v/>
      </c>
      <c r="P1767" s="66"/>
      <c r="Q1767" s="66"/>
      <c r="R1767" s="54"/>
      <c r="S1767" s="82"/>
      <c r="T1767" s="83" t="str">
        <f t="shared" si="163"/>
        <v/>
      </c>
      <c r="U1767" s="10"/>
      <c r="V1767" s="41">
        <f>IF(AND(Q1767&lt;&gt;"",RIGHT(Q1767,3)&lt;&gt;""),IF(COUNTIF($Q$6:Q1767,Q1767)=1,1,0),0)</f>
        <v>0</v>
      </c>
      <c r="W1767" s="41" t="str">
        <f t="shared" si="164"/>
        <v/>
      </c>
      <c r="X1767" s="41" t="str">
        <f t="shared" si="165"/>
        <v/>
      </c>
    </row>
    <row r="1768" s="32" customFormat="1" hidden="1" customHeight="1" spans="1:24">
      <c r="A1768" s="34"/>
      <c r="B1768" s="51"/>
      <c r="C1768" s="51"/>
      <c r="D1768" s="52"/>
      <c r="E1768" s="53"/>
      <c r="F1768" s="54"/>
      <c r="G1768" s="54"/>
      <c r="H1768" s="54"/>
      <c r="I1768" s="66"/>
      <c r="J1768" s="54"/>
      <c r="K1768" s="54"/>
      <c r="L1768" s="54"/>
      <c r="M1768" s="97" t="str">
        <f t="shared" si="162"/>
        <v/>
      </c>
      <c r="N1768" s="70"/>
      <c r="O1768" s="71" t="str">
        <f t="shared" si="161"/>
        <v/>
      </c>
      <c r="P1768" s="66"/>
      <c r="Q1768" s="66"/>
      <c r="R1768" s="54"/>
      <c r="S1768" s="82"/>
      <c r="T1768" s="83" t="str">
        <f t="shared" si="163"/>
        <v/>
      </c>
      <c r="U1768" s="10"/>
      <c r="V1768" s="41">
        <f>IF(AND(Q1768&lt;&gt;"",RIGHT(Q1768,3)&lt;&gt;""),IF(COUNTIF($Q$6:Q1768,Q1768)=1,1,0),0)</f>
        <v>0</v>
      </c>
      <c r="W1768" s="41" t="str">
        <f t="shared" si="164"/>
        <v/>
      </c>
      <c r="X1768" s="41" t="str">
        <f t="shared" si="165"/>
        <v/>
      </c>
    </row>
    <row r="1769" s="32" customFormat="1" hidden="1" customHeight="1" spans="1:24">
      <c r="A1769" s="34"/>
      <c r="B1769" s="51"/>
      <c r="C1769" s="51"/>
      <c r="D1769" s="52"/>
      <c r="E1769" s="53"/>
      <c r="F1769" s="54"/>
      <c r="G1769" s="54"/>
      <c r="H1769" s="54"/>
      <c r="I1769" s="66"/>
      <c r="J1769" s="54"/>
      <c r="K1769" s="54"/>
      <c r="L1769" s="54"/>
      <c r="M1769" s="97" t="str">
        <f t="shared" si="162"/>
        <v/>
      </c>
      <c r="N1769" s="70"/>
      <c r="O1769" s="71" t="str">
        <f t="shared" si="161"/>
        <v/>
      </c>
      <c r="P1769" s="66"/>
      <c r="Q1769" s="66"/>
      <c r="R1769" s="54"/>
      <c r="S1769" s="82"/>
      <c r="T1769" s="83" t="str">
        <f t="shared" si="163"/>
        <v/>
      </c>
      <c r="U1769" s="10"/>
      <c r="V1769" s="41">
        <f>IF(AND(Q1769&lt;&gt;"",RIGHT(Q1769,3)&lt;&gt;""),IF(COUNTIF($Q$6:Q1769,Q1769)=1,1,0),0)</f>
        <v>0</v>
      </c>
      <c r="W1769" s="41" t="str">
        <f t="shared" si="164"/>
        <v/>
      </c>
      <c r="X1769" s="41" t="str">
        <f t="shared" si="165"/>
        <v/>
      </c>
    </row>
    <row r="1770" s="32" customFormat="1" hidden="1" customHeight="1" spans="1:24">
      <c r="A1770" s="34"/>
      <c r="B1770" s="51"/>
      <c r="C1770" s="51"/>
      <c r="D1770" s="52"/>
      <c r="E1770" s="53"/>
      <c r="F1770" s="54"/>
      <c r="G1770" s="54"/>
      <c r="H1770" s="54"/>
      <c r="I1770" s="66"/>
      <c r="J1770" s="54"/>
      <c r="K1770" s="54"/>
      <c r="L1770" s="54"/>
      <c r="M1770" s="97" t="str">
        <f t="shared" si="162"/>
        <v/>
      </c>
      <c r="N1770" s="70"/>
      <c r="O1770" s="71" t="str">
        <f t="shared" si="161"/>
        <v/>
      </c>
      <c r="P1770" s="66"/>
      <c r="Q1770" s="66"/>
      <c r="R1770" s="54"/>
      <c r="S1770" s="82"/>
      <c r="T1770" s="83" t="str">
        <f t="shared" si="163"/>
        <v/>
      </c>
      <c r="U1770" s="10"/>
      <c r="V1770" s="41">
        <f>IF(AND(Q1770&lt;&gt;"",RIGHT(Q1770,3)&lt;&gt;""),IF(COUNTIF($Q$6:Q1770,Q1770)=1,1,0),0)</f>
        <v>0</v>
      </c>
      <c r="W1770" s="41" t="str">
        <f t="shared" si="164"/>
        <v/>
      </c>
      <c r="X1770" s="41" t="str">
        <f t="shared" si="165"/>
        <v/>
      </c>
    </row>
    <row r="1771" s="32" customFormat="1" hidden="1" customHeight="1" spans="1:24">
      <c r="A1771" s="34"/>
      <c r="B1771" s="51"/>
      <c r="C1771" s="51"/>
      <c r="D1771" s="52"/>
      <c r="E1771" s="53"/>
      <c r="F1771" s="54"/>
      <c r="G1771" s="54"/>
      <c r="H1771" s="54"/>
      <c r="I1771" s="66"/>
      <c r="J1771" s="54"/>
      <c r="K1771" s="54"/>
      <c r="L1771" s="54"/>
      <c r="M1771" s="97" t="str">
        <f t="shared" si="162"/>
        <v/>
      </c>
      <c r="N1771" s="70"/>
      <c r="O1771" s="71" t="str">
        <f t="shared" si="161"/>
        <v/>
      </c>
      <c r="P1771" s="66"/>
      <c r="Q1771" s="66"/>
      <c r="R1771" s="54"/>
      <c r="S1771" s="82"/>
      <c r="T1771" s="83" t="str">
        <f t="shared" si="163"/>
        <v/>
      </c>
      <c r="U1771" s="10"/>
      <c r="V1771" s="41">
        <f>IF(AND(Q1771&lt;&gt;"",RIGHT(Q1771,3)&lt;&gt;""),IF(COUNTIF($Q$6:Q1771,Q1771)=1,1,0),0)</f>
        <v>0</v>
      </c>
      <c r="W1771" s="41" t="str">
        <f t="shared" si="164"/>
        <v/>
      </c>
      <c r="X1771" s="41" t="str">
        <f t="shared" si="165"/>
        <v/>
      </c>
    </row>
    <row r="1772" s="32" customFormat="1" hidden="1" customHeight="1" spans="1:24">
      <c r="A1772" s="34"/>
      <c r="B1772" s="51"/>
      <c r="C1772" s="51"/>
      <c r="D1772" s="52"/>
      <c r="E1772" s="53"/>
      <c r="F1772" s="54"/>
      <c r="G1772" s="54"/>
      <c r="H1772" s="54"/>
      <c r="I1772" s="66"/>
      <c r="J1772" s="54"/>
      <c r="K1772" s="54"/>
      <c r="L1772" s="54"/>
      <c r="M1772" s="97" t="str">
        <f t="shared" si="162"/>
        <v/>
      </c>
      <c r="N1772" s="70"/>
      <c r="O1772" s="71" t="str">
        <f t="shared" si="161"/>
        <v/>
      </c>
      <c r="P1772" s="66"/>
      <c r="Q1772" s="66"/>
      <c r="R1772" s="54"/>
      <c r="S1772" s="82"/>
      <c r="T1772" s="83" t="str">
        <f t="shared" si="163"/>
        <v/>
      </c>
      <c r="U1772" s="10"/>
      <c r="V1772" s="41">
        <f>IF(AND(Q1772&lt;&gt;"",RIGHT(Q1772,3)&lt;&gt;""),IF(COUNTIF($Q$6:Q1772,Q1772)=1,1,0),0)</f>
        <v>0</v>
      </c>
      <c r="W1772" s="41" t="str">
        <f t="shared" si="164"/>
        <v/>
      </c>
      <c r="X1772" s="41" t="str">
        <f t="shared" si="165"/>
        <v/>
      </c>
    </row>
    <row r="1773" s="32" customFormat="1" hidden="1" customHeight="1" spans="1:24">
      <c r="A1773" s="34"/>
      <c r="B1773" s="51"/>
      <c r="C1773" s="51"/>
      <c r="D1773" s="52"/>
      <c r="E1773" s="53"/>
      <c r="F1773" s="54"/>
      <c r="G1773" s="54"/>
      <c r="H1773" s="54"/>
      <c r="I1773" s="66"/>
      <c r="J1773" s="54"/>
      <c r="K1773" s="54"/>
      <c r="L1773" s="54"/>
      <c r="M1773" s="97" t="str">
        <f t="shared" si="162"/>
        <v/>
      </c>
      <c r="N1773" s="70"/>
      <c r="O1773" s="71" t="str">
        <f t="shared" si="161"/>
        <v/>
      </c>
      <c r="P1773" s="66"/>
      <c r="Q1773" s="66"/>
      <c r="R1773" s="54"/>
      <c r="S1773" s="82"/>
      <c r="T1773" s="83" t="str">
        <f t="shared" si="163"/>
        <v/>
      </c>
      <c r="U1773" s="10"/>
      <c r="V1773" s="41">
        <f>IF(AND(Q1773&lt;&gt;"",RIGHT(Q1773,3)&lt;&gt;""),IF(COUNTIF($Q$6:Q1773,Q1773)=1,1,0),0)</f>
        <v>0</v>
      </c>
      <c r="W1773" s="41" t="str">
        <f t="shared" si="164"/>
        <v/>
      </c>
      <c r="X1773" s="41" t="str">
        <f t="shared" si="165"/>
        <v/>
      </c>
    </row>
    <row r="1774" s="32" customFormat="1" hidden="1" customHeight="1" spans="1:24">
      <c r="A1774" s="34"/>
      <c r="B1774" s="51"/>
      <c r="C1774" s="51"/>
      <c r="D1774" s="52"/>
      <c r="E1774" s="53"/>
      <c r="F1774" s="54"/>
      <c r="G1774" s="54"/>
      <c r="H1774" s="54"/>
      <c r="I1774" s="66"/>
      <c r="J1774" s="54"/>
      <c r="K1774" s="54"/>
      <c r="L1774" s="54"/>
      <c r="M1774" s="97" t="str">
        <f t="shared" si="162"/>
        <v/>
      </c>
      <c r="N1774" s="70"/>
      <c r="O1774" s="71" t="str">
        <f t="shared" si="161"/>
        <v/>
      </c>
      <c r="P1774" s="66"/>
      <c r="Q1774" s="66"/>
      <c r="R1774" s="54"/>
      <c r="S1774" s="82"/>
      <c r="T1774" s="83" t="str">
        <f t="shared" si="163"/>
        <v/>
      </c>
      <c r="U1774" s="10"/>
      <c r="V1774" s="41">
        <f>IF(AND(Q1774&lt;&gt;"",RIGHT(Q1774,3)&lt;&gt;""),IF(COUNTIF($Q$6:Q1774,Q1774)=1,1,0),0)</f>
        <v>0</v>
      </c>
      <c r="W1774" s="41" t="str">
        <f t="shared" si="164"/>
        <v/>
      </c>
      <c r="X1774" s="41" t="str">
        <f t="shared" si="165"/>
        <v/>
      </c>
    </row>
    <row r="1775" s="32" customFormat="1" hidden="1" customHeight="1" spans="1:24">
      <c r="A1775" s="34"/>
      <c r="B1775" s="51"/>
      <c r="C1775" s="51"/>
      <c r="D1775" s="52"/>
      <c r="E1775" s="53"/>
      <c r="F1775" s="54"/>
      <c r="G1775" s="54"/>
      <c r="H1775" s="54"/>
      <c r="I1775" s="66"/>
      <c r="J1775" s="54"/>
      <c r="K1775" s="54"/>
      <c r="L1775" s="54"/>
      <c r="M1775" s="97" t="str">
        <f t="shared" si="162"/>
        <v/>
      </c>
      <c r="N1775" s="70"/>
      <c r="O1775" s="71" t="str">
        <f t="shared" si="161"/>
        <v/>
      </c>
      <c r="P1775" s="66"/>
      <c r="Q1775" s="66"/>
      <c r="R1775" s="54"/>
      <c r="S1775" s="82"/>
      <c r="T1775" s="83" t="str">
        <f t="shared" si="163"/>
        <v/>
      </c>
      <c r="U1775" s="10"/>
      <c r="V1775" s="41">
        <f>IF(AND(Q1775&lt;&gt;"",RIGHT(Q1775,3)&lt;&gt;""),IF(COUNTIF($Q$6:Q1775,Q1775)=1,1,0),0)</f>
        <v>0</v>
      </c>
      <c r="W1775" s="41" t="str">
        <f t="shared" si="164"/>
        <v/>
      </c>
      <c r="X1775" s="41" t="str">
        <f t="shared" si="165"/>
        <v/>
      </c>
    </row>
    <row r="1776" s="32" customFormat="1" hidden="1" customHeight="1" spans="1:24">
      <c r="A1776" s="34"/>
      <c r="B1776" s="51"/>
      <c r="C1776" s="51"/>
      <c r="D1776" s="52"/>
      <c r="E1776" s="53"/>
      <c r="F1776" s="54"/>
      <c r="G1776" s="54"/>
      <c r="H1776" s="54"/>
      <c r="I1776" s="66"/>
      <c r="J1776" s="54"/>
      <c r="K1776" s="54"/>
      <c r="L1776" s="54"/>
      <c r="M1776" s="97" t="str">
        <f t="shared" si="162"/>
        <v/>
      </c>
      <c r="N1776" s="70"/>
      <c r="O1776" s="71" t="str">
        <f t="shared" si="161"/>
        <v/>
      </c>
      <c r="P1776" s="66"/>
      <c r="Q1776" s="66"/>
      <c r="R1776" s="54"/>
      <c r="S1776" s="82"/>
      <c r="T1776" s="83" t="str">
        <f t="shared" si="163"/>
        <v/>
      </c>
      <c r="U1776" s="10"/>
      <c r="V1776" s="41">
        <f>IF(AND(Q1776&lt;&gt;"",RIGHT(Q1776,3)&lt;&gt;""),IF(COUNTIF($Q$6:Q1776,Q1776)=1,1,0),0)</f>
        <v>0</v>
      </c>
      <c r="W1776" s="41" t="str">
        <f t="shared" si="164"/>
        <v/>
      </c>
      <c r="X1776" s="41" t="str">
        <f t="shared" si="165"/>
        <v/>
      </c>
    </row>
    <row r="1777" s="32" customFormat="1" hidden="1" customHeight="1" spans="1:24">
      <c r="A1777" s="34"/>
      <c r="B1777" s="51"/>
      <c r="C1777" s="51"/>
      <c r="D1777" s="52"/>
      <c r="E1777" s="53"/>
      <c r="F1777" s="54"/>
      <c r="G1777" s="54"/>
      <c r="H1777" s="54"/>
      <c r="I1777" s="66"/>
      <c r="J1777" s="54"/>
      <c r="K1777" s="54"/>
      <c r="L1777" s="54"/>
      <c r="M1777" s="97" t="str">
        <f t="shared" si="162"/>
        <v/>
      </c>
      <c r="N1777" s="70"/>
      <c r="O1777" s="71" t="str">
        <f t="shared" ref="O1777:O1840" si="166">IF(AND(Q1777&lt;&gt;"",T1777&lt;&gt;""),"PASSIVE",IF(AND(J1777&lt;&gt;"",M1777&lt;&gt;""),"ACTIVE",""))</f>
        <v/>
      </c>
      <c r="P1777" s="66"/>
      <c r="Q1777" s="66"/>
      <c r="R1777" s="54"/>
      <c r="S1777" s="82"/>
      <c r="T1777" s="83" t="str">
        <f t="shared" si="163"/>
        <v/>
      </c>
      <c r="U1777" s="10"/>
      <c r="V1777" s="41">
        <f>IF(AND(Q1777&lt;&gt;"",RIGHT(Q1777,3)&lt;&gt;""),IF(COUNTIF($Q$6:Q1777,Q1777)=1,1,0),0)</f>
        <v>0</v>
      </c>
      <c r="W1777" s="41" t="str">
        <f t="shared" si="164"/>
        <v/>
      </c>
      <c r="X1777" s="41" t="str">
        <f t="shared" si="165"/>
        <v/>
      </c>
    </row>
    <row r="1778" s="32" customFormat="1" hidden="1" customHeight="1" spans="1:24">
      <c r="A1778" s="34"/>
      <c r="B1778" s="51"/>
      <c r="C1778" s="51"/>
      <c r="D1778" s="52"/>
      <c r="E1778" s="53"/>
      <c r="F1778" s="54"/>
      <c r="G1778" s="54"/>
      <c r="H1778" s="54"/>
      <c r="I1778" s="66"/>
      <c r="J1778" s="54"/>
      <c r="K1778" s="54"/>
      <c r="L1778" s="54"/>
      <c r="M1778" s="97" t="str">
        <f t="shared" si="162"/>
        <v/>
      </c>
      <c r="N1778" s="70"/>
      <c r="O1778" s="71" t="str">
        <f t="shared" si="166"/>
        <v/>
      </c>
      <c r="P1778" s="66"/>
      <c r="Q1778" s="66"/>
      <c r="R1778" s="54"/>
      <c r="S1778" s="82"/>
      <c r="T1778" s="83" t="str">
        <f t="shared" si="163"/>
        <v/>
      </c>
      <c r="U1778" s="10"/>
      <c r="V1778" s="41">
        <f>IF(AND(Q1778&lt;&gt;"",RIGHT(Q1778,3)&lt;&gt;""),IF(COUNTIF($Q$6:Q1778,Q1778)=1,1,0),0)</f>
        <v>0</v>
      </c>
      <c r="W1778" s="41" t="str">
        <f t="shared" si="164"/>
        <v/>
      </c>
      <c r="X1778" s="41" t="str">
        <f t="shared" si="165"/>
        <v/>
      </c>
    </row>
    <row r="1779" s="32" customFormat="1" hidden="1" customHeight="1" spans="1:24">
      <c r="A1779" s="34"/>
      <c r="B1779" s="51"/>
      <c r="C1779" s="51"/>
      <c r="D1779" s="52"/>
      <c r="E1779" s="53"/>
      <c r="F1779" s="54"/>
      <c r="G1779" s="54"/>
      <c r="H1779" s="54"/>
      <c r="I1779" s="66"/>
      <c r="J1779" s="54"/>
      <c r="K1779" s="54"/>
      <c r="L1779" s="54"/>
      <c r="M1779" s="97" t="str">
        <f t="shared" si="162"/>
        <v/>
      </c>
      <c r="N1779" s="70"/>
      <c r="O1779" s="71" t="str">
        <f t="shared" si="166"/>
        <v/>
      </c>
      <c r="P1779" s="66"/>
      <c r="Q1779" s="66"/>
      <c r="R1779" s="54"/>
      <c r="S1779" s="82"/>
      <c r="T1779" s="83" t="str">
        <f t="shared" si="163"/>
        <v/>
      </c>
      <c r="U1779" s="10"/>
      <c r="V1779" s="41">
        <f>IF(AND(Q1779&lt;&gt;"",RIGHT(Q1779,3)&lt;&gt;""),IF(COUNTIF($Q$6:Q1779,Q1779)=1,1,0),0)</f>
        <v>0</v>
      </c>
      <c r="W1779" s="41" t="str">
        <f t="shared" si="164"/>
        <v/>
      </c>
      <c r="X1779" s="41" t="str">
        <f t="shared" si="165"/>
        <v/>
      </c>
    </row>
    <row r="1780" s="32" customFormat="1" hidden="1" customHeight="1" spans="1:24">
      <c r="A1780" s="34"/>
      <c r="B1780" s="51"/>
      <c r="C1780" s="51"/>
      <c r="D1780" s="52"/>
      <c r="E1780" s="53"/>
      <c r="F1780" s="54"/>
      <c r="G1780" s="54"/>
      <c r="H1780" s="54"/>
      <c r="I1780" s="66"/>
      <c r="J1780" s="54"/>
      <c r="K1780" s="54"/>
      <c r="L1780" s="54"/>
      <c r="M1780" s="97" t="str">
        <f t="shared" si="162"/>
        <v/>
      </c>
      <c r="N1780" s="70"/>
      <c r="O1780" s="71" t="str">
        <f t="shared" si="166"/>
        <v/>
      </c>
      <c r="P1780" s="66"/>
      <c r="Q1780" s="66"/>
      <c r="R1780" s="54"/>
      <c r="S1780" s="82"/>
      <c r="T1780" s="83" t="str">
        <f t="shared" si="163"/>
        <v/>
      </c>
      <c r="U1780" s="10"/>
      <c r="V1780" s="41">
        <f>IF(AND(Q1780&lt;&gt;"",RIGHT(Q1780,3)&lt;&gt;""),IF(COUNTIF($Q$6:Q1780,Q1780)=1,1,0),0)</f>
        <v>0</v>
      </c>
      <c r="W1780" s="41" t="str">
        <f t="shared" si="164"/>
        <v/>
      </c>
      <c r="X1780" s="41" t="str">
        <f t="shared" si="165"/>
        <v/>
      </c>
    </row>
    <row r="1781" s="32" customFormat="1" hidden="1" customHeight="1" spans="1:24">
      <c r="A1781" s="34"/>
      <c r="B1781" s="51"/>
      <c r="C1781" s="51"/>
      <c r="D1781" s="52"/>
      <c r="E1781" s="53"/>
      <c r="F1781" s="54"/>
      <c r="G1781" s="54"/>
      <c r="H1781" s="54"/>
      <c r="I1781" s="66"/>
      <c r="J1781" s="54"/>
      <c r="K1781" s="54"/>
      <c r="L1781" s="54"/>
      <c r="M1781" s="97" t="str">
        <f t="shared" si="162"/>
        <v/>
      </c>
      <c r="N1781" s="70"/>
      <c r="O1781" s="71" t="str">
        <f t="shared" si="166"/>
        <v/>
      </c>
      <c r="P1781" s="66"/>
      <c r="Q1781" s="66"/>
      <c r="R1781" s="54"/>
      <c r="S1781" s="82"/>
      <c r="T1781" s="83" t="str">
        <f t="shared" si="163"/>
        <v/>
      </c>
      <c r="U1781" s="10"/>
      <c r="V1781" s="41">
        <f>IF(AND(Q1781&lt;&gt;"",RIGHT(Q1781,3)&lt;&gt;""),IF(COUNTIF($Q$6:Q1781,Q1781)=1,1,0),0)</f>
        <v>0</v>
      </c>
      <c r="W1781" s="41" t="str">
        <f t="shared" si="164"/>
        <v/>
      </c>
      <c r="X1781" s="41" t="str">
        <f t="shared" si="165"/>
        <v/>
      </c>
    </row>
    <row r="1782" s="32" customFormat="1" hidden="1" customHeight="1" spans="1:24">
      <c r="A1782" s="34"/>
      <c r="B1782" s="51"/>
      <c r="C1782" s="51"/>
      <c r="D1782" s="52"/>
      <c r="E1782" s="53"/>
      <c r="F1782" s="54"/>
      <c r="G1782" s="54"/>
      <c r="H1782" s="54"/>
      <c r="I1782" s="66"/>
      <c r="J1782" s="54"/>
      <c r="K1782" s="54"/>
      <c r="L1782" s="54"/>
      <c r="M1782" s="97" t="str">
        <f t="shared" si="162"/>
        <v/>
      </c>
      <c r="N1782" s="70"/>
      <c r="O1782" s="71" t="str">
        <f t="shared" si="166"/>
        <v/>
      </c>
      <c r="P1782" s="66"/>
      <c r="Q1782" s="66"/>
      <c r="R1782" s="54"/>
      <c r="S1782" s="82"/>
      <c r="T1782" s="83" t="str">
        <f t="shared" si="163"/>
        <v/>
      </c>
      <c r="U1782" s="10"/>
      <c r="V1782" s="41">
        <f>IF(AND(Q1782&lt;&gt;"",RIGHT(Q1782,3)&lt;&gt;""),IF(COUNTIF($Q$6:Q1782,Q1782)=1,1,0),0)</f>
        <v>0</v>
      </c>
      <c r="W1782" s="41" t="str">
        <f t="shared" si="164"/>
        <v/>
      </c>
      <c r="X1782" s="41" t="str">
        <f t="shared" si="165"/>
        <v/>
      </c>
    </row>
    <row r="1783" s="32" customFormat="1" hidden="1" customHeight="1" spans="1:24">
      <c r="A1783" s="34"/>
      <c r="B1783" s="51"/>
      <c r="C1783" s="51"/>
      <c r="D1783" s="52"/>
      <c r="E1783" s="53"/>
      <c r="F1783" s="54"/>
      <c r="G1783" s="54"/>
      <c r="H1783" s="54"/>
      <c r="I1783" s="66"/>
      <c r="J1783" s="54"/>
      <c r="K1783" s="54"/>
      <c r="L1783" s="54"/>
      <c r="M1783" s="97" t="str">
        <f t="shared" si="162"/>
        <v/>
      </c>
      <c r="N1783" s="70"/>
      <c r="O1783" s="71" t="str">
        <f t="shared" si="166"/>
        <v/>
      </c>
      <c r="P1783" s="66"/>
      <c r="Q1783" s="66"/>
      <c r="R1783" s="54"/>
      <c r="S1783" s="82"/>
      <c r="T1783" s="83" t="str">
        <f t="shared" si="163"/>
        <v/>
      </c>
      <c r="U1783" s="10"/>
      <c r="V1783" s="41">
        <f>IF(AND(Q1783&lt;&gt;"",RIGHT(Q1783,3)&lt;&gt;""),IF(COUNTIF($Q$6:Q1783,Q1783)=1,1,0),0)</f>
        <v>0</v>
      </c>
      <c r="W1783" s="41" t="str">
        <f t="shared" si="164"/>
        <v/>
      </c>
      <c r="X1783" s="41" t="str">
        <f t="shared" si="165"/>
        <v/>
      </c>
    </row>
    <row r="1784" s="32" customFormat="1" hidden="1" customHeight="1" spans="1:24">
      <c r="A1784" s="34"/>
      <c r="B1784" s="51"/>
      <c r="C1784" s="51"/>
      <c r="D1784" s="52"/>
      <c r="E1784" s="53"/>
      <c r="F1784" s="54"/>
      <c r="G1784" s="54"/>
      <c r="H1784" s="54"/>
      <c r="I1784" s="66"/>
      <c r="J1784" s="54"/>
      <c r="K1784" s="54"/>
      <c r="L1784" s="54"/>
      <c r="M1784" s="97" t="str">
        <f t="shared" si="162"/>
        <v/>
      </c>
      <c r="N1784" s="70"/>
      <c r="O1784" s="71" t="str">
        <f t="shared" si="166"/>
        <v/>
      </c>
      <c r="P1784" s="66"/>
      <c r="Q1784" s="66"/>
      <c r="R1784" s="54"/>
      <c r="S1784" s="82"/>
      <c r="T1784" s="83" t="str">
        <f t="shared" si="163"/>
        <v/>
      </c>
      <c r="U1784" s="10"/>
      <c r="V1784" s="41">
        <f>IF(AND(Q1784&lt;&gt;"",RIGHT(Q1784,3)&lt;&gt;""),IF(COUNTIF($Q$6:Q1784,Q1784)=1,1,0),0)</f>
        <v>0</v>
      </c>
      <c r="W1784" s="41" t="str">
        <f t="shared" si="164"/>
        <v/>
      </c>
      <c r="X1784" s="41" t="str">
        <f t="shared" si="165"/>
        <v/>
      </c>
    </row>
    <row r="1785" s="32" customFormat="1" hidden="1" customHeight="1" spans="1:24">
      <c r="A1785" s="34"/>
      <c r="B1785" s="51"/>
      <c r="C1785" s="51"/>
      <c r="D1785" s="52"/>
      <c r="E1785" s="53"/>
      <c r="F1785" s="54"/>
      <c r="G1785" s="54"/>
      <c r="H1785" s="54"/>
      <c r="I1785" s="66"/>
      <c r="J1785" s="54"/>
      <c r="K1785" s="54"/>
      <c r="L1785" s="54"/>
      <c r="M1785" s="97" t="str">
        <f t="shared" si="162"/>
        <v/>
      </c>
      <c r="N1785" s="70"/>
      <c r="O1785" s="71" t="str">
        <f t="shared" si="166"/>
        <v/>
      </c>
      <c r="P1785" s="66"/>
      <c r="Q1785" s="66"/>
      <c r="R1785" s="54"/>
      <c r="S1785" s="82"/>
      <c r="T1785" s="83" t="str">
        <f t="shared" si="163"/>
        <v/>
      </c>
      <c r="U1785" s="10"/>
      <c r="V1785" s="41">
        <f>IF(AND(Q1785&lt;&gt;"",RIGHT(Q1785,3)&lt;&gt;""),IF(COUNTIF($Q$6:Q1785,Q1785)=1,1,0),0)</f>
        <v>0</v>
      </c>
      <c r="W1785" s="41" t="str">
        <f t="shared" si="164"/>
        <v/>
      </c>
      <c r="X1785" s="41" t="str">
        <f t="shared" si="165"/>
        <v/>
      </c>
    </row>
    <row r="1786" s="32" customFormat="1" hidden="1" customHeight="1" spans="1:24">
      <c r="A1786" s="34"/>
      <c r="B1786" s="51"/>
      <c r="C1786" s="51"/>
      <c r="D1786" s="52"/>
      <c r="E1786" s="53"/>
      <c r="F1786" s="54"/>
      <c r="G1786" s="54"/>
      <c r="H1786" s="54"/>
      <c r="I1786" s="66"/>
      <c r="J1786" s="54"/>
      <c r="K1786" s="54"/>
      <c r="L1786" s="54"/>
      <c r="M1786" s="97" t="str">
        <f t="shared" si="162"/>
        <v/>
      </c>
      <c r="N1786" s="70"/>
      <c r="O1786" s="71" t="str">
        <f t="shared" si="166"/>
        <v/>
      </c>
      <c r="P1786" s="66"/>
      <c r="Q1786" s="66"/>
      <c r="R1786" s="54"/>
      <c r="S1786" s="82"/>
      <c r="T1786" s="83" t="str">
        <f t="shared" si="163"/>
        <v/>
      </c>
      <c r="U1786" s="10"/>
      <c r="V1786" s="41">
        <f>IF(AND(Q1786&lt;&gt;"",RIGHT(Q1786,3)&lt;&gt;""),IF(COUNTIF($Q$6:Q1786,Q1786)=1,1,0),0)</f>
        <v>0</v>
      </c>
      <c r="W1786" s="41" t="str">
        <f t="shared" si="164"/>
        <v/>
      </c>
      <c r="X1786" s="41" t="str">
        <f t="shared" si="165"/>
        <v/>
      </c>
    </row>
    <row r="1787" s="32" customFormat="1" hidden="1" customHeight="1" spans="1:24">
      <c r="A1787" s="34"/>
      <c r="B1787" s="51"/>
      <c r="C1787" s="51"/>
      <c r="D1787" s="52"/>
      <c r="E1787" s="53"/>
      <c r="F1787" s="54"/>
      <c r="G1787" s="54"/>
      <c r="H1787" s="54"/>
      <c r="I1787" s="66"/>
      <c r="J1787" s="54"/>
      <c r="K1787" s="54"/>
      <c r="L1787" s="54"/>
      <c r="M1787" s="97" t="str">
        <f t="shared" si="162"/>
        <v/>
      </c>
      <c r="N1787" s="70"/>
      <c r="O1787" s="71" t="str">
        <f t="shared" si="166"/>
        <v/>
      </c>
      <c r="P1787" s="66"/>
      <c r="Q1787" s="66"/>
      <c r="R1787" s="54"/>
      <c r="S1787" s="82"/>
      <c r="T1787" s="83" t="str">
        <f t="shared" si="163"/>
        <v/>
      </c>
      <c r="U1787" s="10"/>
      <c r="V1787" s="41">
        <f>IF(AND(Q1787&lt;&gt;"",RIGHT(Q1787,3)&lt;&gt;""),IF(COUNTIF($Q$6:Q1787,Q1787)=1,1,0),0)</f>
        <v>0</v>
      </c>
      <c r="W1787" s="41" t="str">
        <f t="shared" si="164"/>
        <v/>
      </c>
      <c r="X1787" s="41" t="str">
        <f t="shared" si="165"/>
        <v/>
      </c>
    </row>
    <row r="1788" s="32" customFormat="1" hidden="1" customHeight="1" spans="1:24">
      <c r="A1788" s="34"/>
      <c r="B1788" s="51"/>
      <c r="C1788" s="51"/>
      <c r="D1788" s="52"/>
      <c r="E1788" s="53"/>
      <c r="F1788" s="54"/>
      <c r="G1788" s="54"/>
      <c r="H1788" s="54"/>
      <c r="I1788" s="66"/>
      <c r="J1788" s="54"/>
      <c r="K1788" s="54"/>
      <c r="L1788" s="54"/>
      <c r="M1788" s="97" t="str">
        <f t="shared" si="162"/>
        <v/>
      </c>
      <c r="N1788" s="70"/>
      <c r="O1788" s="71" t="str">
        <f t="shared" si="166"/>
        <v/>
      </c>
      <c r="P1788" s="66"/>
      <c r="Q1788" s="66"/>
      <c r="R1788" s="54"/>
      <c r="S1788" s="82"/>
      <c r="T1788" s="83" t="str">
        <f t="shared" si="163"/>
        <v/>
      </c>
      <c r="U1788" s="10"/>
      <c r="V1788" s="41">
        <f>IF(AND(Q1788&lt;&gt;"",RIGHT(Q1788,3)&lt;&gt;""),IF(COUNTIF($Q$6:Q1788,Q1788)=1,1,0),0)</f>
        <v>0</v>
      </c>
      <c r="W1788" s="41" t="str">
        <f t="shared" si="164"/>
        <v/>
      </c>
      <c r="X1788" s="41" t="str">
        <f t="shared" si="165"/>
        <v/>
      </c>
    </row>
    <row r="1789" s="32" customFormat="1" hidden="1" customHeight="1" spans="1:24">
      <c r="A1789" s="34"/>
      <c r="B1789" s="51"/>
      <c r="C1789" s="51"/>
      <c r="D1789" s="52"/>
      <c r="E1789" s="53"/>
      <c r="F1789" s="54"/>
      <c r="G1789" s="54"/>
      <c r="H1789" s="54"/>
      <c r="I1789" s="66"/>
      <c r="J1789" s="54"/>
      <c r="K1789" s="54"/>
      <c r="L1789" s="54"/>
      <c r="M1789" s="97" t="str">
        <f t="shared" si="162"/>
        <v/>
      </c>
      <c r="N1789" s="70"/>
      <c r="O1789" s="71" t="str">
        <f t="shared" si="166"/>
        <v/>
      </c>
      <c r="P1789" s="66"/>
      <c r="Q1789" s="66"/>
      <c r="R1789" s="54"/>
      <c r="S1789" s="82"/>
      <c r="T1789" s="83" t="str">
        <f t="shared" si="163"/>
        <v/>
      </c>
      <c r="U1789" s="10"/>
      <c r="V1789" s="41">
        <f>IF(AND(Q1789&lt;&gt;"",RIGHT(Q1789,3)&lt;&gt;""),IF(COUNTIF($Q$6:Q1789,Q1789)=1,1,0),0)</f>
        <v>0</v>
      </c>
      <c r="W1789" s="41" t="str">
        <f t="shared" si="164"/>
        <v/>
      </c>
      <c r="X1789" s="41" t="str">
        <f t="shared" si="165"/>
        <v/>
      </c>
    </row>
    <row r="1790" s="32" customFormat="1" hidden="1" customHeight="1" spans="1:24">
      <c r="A1790" s="34"/>
      <c r="B1790" s="51"/>
      <c r="C1790" s="51"/>
      <c r="D1790" s="52"/>
      <c r="E1790" s="53"/>
      <c r="F1790" s="54"/>
      <c r="G1790" s="54"/>
      <c r="H1790" s="54"/>
      <c r="I1790" s="66"/>
      <c r="J1790" s="54"/>
      <c r="K1790" s="54"/>
      <c r="L1790" s="54"/>
      <c r="M1790" s="97" t="str">
        <f t="shared" si="162"/>
        <v/>
      </c>
      <c r="N1790" s="70"/>
      <c r="O1790" s="71" t="str">
        <f t="shared" si="166"/>
        <v/>
      </c>
      <c r="P1790" s="66"/>
      <c r="Q1790" s="66"/>
      <c r="R1790" s="54"/>
      <c r="S1790" s="82"/>
      <c r="T1790" s="83" t="str">
        <f t="shared" si="163"/>
        <v/>
      </c>
      <c r="U1790" s="10"/>
      <c r="V1790" s="41">
        <f>IF(AND(Q1790&lt;&gt;"",RIGHT(Q1790,3)&lt;&gt;""),IF(COUNTIF($Q$6:Q1790,Q1790)=1,1,0),0)</f>
        <v>0</v>
      </c>
      <c r="W1790" s="41" t="str">
        <f t="shared" si="164"/>
        <v/>
      </c>
      <c r="X1790" s="41" t="str">
        <f t="shared" si="165"/>
        <v/>
      </c>
    </row>
    <row r="1791" s="32" customFormat="1" hidden="1" customHeight="1" spans="1:24">
      <c r="A1791" s="34"/>
      <c r="B1791" s="51"/>
      <c r="C1791" s="51"/>
      <c r="D1791" s="52"/>
      <c r="E1791" s="53"/>
      <c r="F1791" s="54"/>
      <c r="G1791" s="54"/>
      <c r="H1791" s="54"/>
      <c r="I1791" s="66"/>
      <c r="J1791" s="54"/>
      <c r="K1791" s="54"/>
      <c r="L1791" s="54"/>
      <c r="M1791" s="97" t="str">
        <f t="shared" si="162"/>
        <v/>
      </c>
      <c r="N1791" s="70"/>
      <c r="O1791" s="71" t="str">
        <f t="shared" si="166"/>
        <v/>
      </c>
      <c r="P1791" s="66"/>
      <c r="Q1791" s="66"/>
      <c r="R1791" s="54"/>
      <c r="S1791" s="82"/>
      <c r="T1791" s="83" t="str">
        <f t="shared" si="163"/>
        <v/>
      </c>
      <c r="U1791" s="10"/>
      <c r="V1791" s="41">
        <f>IF(AND(Q1791&lt;&gt;"",RIGHT(Q1791,3)&lt;&gt;""),IF(COUNTIF($Q$6:Q1791,Q1791)=1,1,0),0)</f>
        <v>0</v>
      </c>
      <c r="W1791" s="41" t="str">
        <f t="shared" si="164"/>
        <v/>
      </c>
      <c r="X1791" s="41" t="str">
        <f t="shared" si="165"/>
        <v/>
      </c>
    </row>
    <row r="1792" s="32" customFormat="1" hidden="1" customHeight="1" spans="1:24">
      <c r="A1792" s="34"/>
      <c r="B1792" s="51"/>
      <c r="C1792" s="51"/>
      <c r="D1792" s="52"/>
      <c r="E1792" s="53"/>
      <c r="F1792" s="54"/>
      <c r="G1792" s="54"/>
      <c r="H1792" s="54"/>
      <c r="I1792" s="66"/>
      <c r="J1792" s="54"/>
      <c r="K1792" s="54"/>
      <c r="L1792" s="54"/>
      <c r="M1792" s="97" t="str">
        <f t="shared" si="162"/>
        <v/>
      </c>
      <c r="N1792" s="70"/>
      <c r="O1792" s="71" t="str">
        <f t="shared" si="166"/>
        <v/>
      </c>
      <c r="P1792" s="66"/>
      <c r="Q1792" s="66"/>
      <c r="R1792" s="54"/>
      <c r="S1792" s="82"/>
      <c r="T1792" s="83" t="str">
        <f t="shared" si="163"/>
        <v/>
      </c>
      <c r="U1792" s="10"/>
      <c r="V1792" s="41">
        <f>IF(AND(Q1792&lt;&gt;"",RIGHT(Q1792,3)&lt;&gt;""),IF(COUNTIF($Q$6:Q1792,Q1792)=1,1,0),0)</f>
        <v>0</v>
      </c>
      <c r="W1792" s="41" t="str">
        <f t="shared" si="164"/>
        <v/>
      </c>
      <c r="X1792" s="41" t="str">
        <f t="shared" si="165"/>
        <v/>
      </c>
    </row>
    <row r="1793" s="32" customFormat="1" hidden="1" customHeight="1" spans="1:24">
      <c r="A1793" s="34"/>
      <c r="B1793" s="51"/>
      <c r="C1793" s="51"/>
      <c r="D1793" s="52"/>
      <c r="E1793" s="53"/>
      <c r="F1793" s="54"/>
      <c r="G1793" s="54"/>
      <c r="H1793" s="54"/>
      <c r="I1793" s="66"/>
      <c r="J1793" s="54"/>
      <c r="K1793" s="54"/>
      <c r="L1793" s="54"/>
      <c r="M1793" s="97" t="str">
        <f t="shared" si="162"/>
        <v/>
      </c>
      <c r="N1793" s="70"/>
      <c r="O1793" s="71" t="str">
        <f t="shared" si="166"/>
        <v/>
      </c>
      <c r="P1793" s="66"/>
      <c r="Q1793" s="66"/>
      <c r="R1793" s="54"/>
      <c r="S1793" s="82"/>
      <c r="T1793" s="83" t="str">
        <f t="shared" si="163"/>
        <v/>
      </c>
      <c r="U1793" s="10"/>
      <c r="V1793" s="41">
        <f>IF(AND(Q1793&lt;&gt;"",RIGHT(Q1793,3)&lt;&gt;""),IF(COUNTIF($Q$6:Q1793,Q1793)=1,1,0),0)</f>
        <v>0</v>
      </c>
      <c r="W1793" s="41" t="str">
        <f t="shared" si="164"/>
        <v/>
      </c>
      <c r="X1793" s="41" t="str">
        <f t="shared" si="165"/>
        <v/>
      </c>
    </row>
    <row r="1794" s="32" customFormat="1" hidden="1" customHeight="1" spans="1:24">
      <c r="A1794" s="34"/>
      <c r="B1794" s="51"/>
      <c r="C1794" s="51"/>
      <c r="D1794" s="52"/>
      <c r="E1794" s="53"/>
      <c r="F1794" s="54"/>
      <c r="G1794" s="54"/>
      <c r="H1794" s="54"/>
      <c r="I1794" s="66"/>
      <c r="J1794" s="54"/>
      <c r="K1794" s="54"/>
      <c r="L1794" s="54"/>
      <c r="M1794" s="97" t="str">
        <f t="shared" si="162"/>
        <v/>
      </c>
      <c r="N1794" s="70"/>
      <c r="O1794" s="71" t="str">
        <f t="shared" si="166"/>
        <v/>
      </c>
      <c r="P1794" s="66"/>
      <c r="Q1794" s="66"/>
      <c r="R1794" s="54"/>
      <c r="S1794" s="82"/>
      <c r="T1794" s="83" t="str">
        <f t="shared" si="163"/>
        <v/>
      </c>
      <c r="U1794" s="10"/>
      <c r="V1794" s="41">
        <f>IF(AND(Q1794&lt;&gt;"",RIGHT(Q1794,3)&lt;&gt;""),IF(COUNTIF($Q$6:Q1794,Q1794)=1,1,0),0)</f>
        <v>0</v>
      </c>
      <c r="W1794" s="41" t="str">
        <f t="shared" si="164"/>
        <v/>
      </c>
      <c r="X1794" s="41" t="str">
        <f t="shared" si="165"/>
        <v/>
      </c>
    </row>
    <row r="1795" s="32" customFormat="1" hidden="1" customHeight="1" spans="1:24">
      <c r="A1795" s="34"/>
      <c r="B1795" s="51"/>
      <c r="C1795" s="51"/>
      <c r="D1795" s="52"/>
      <c r="E1795" s="53"/>
      <c r="F1795" s="54"/>
      <c r="G1795" s="54"/>
      <c r="H1795" s="54"/>
      <c r="I1795" s="66"/>
      <c r="J1795" s="54"/>
      <c r="K1795" s="54"/>
      <c r="L1795" s="54"/>
      <c r="M1795" s="97" t="str">
        <f t="shared" si="162"/>
        <v/>
      </c>
      <c r="N1795" s="70"/>
      <c r="O1795" s="71" t="str">
        <f t="shared" si="166"/>
        <v/>
      </c>
      <c r="P1795" s="66"/>
      <c r="Q1795" s="66"/>
      <c r="R1795" s="54"/>
      <c r="S1795" s="82"/>
      <c r="T1795" s="83" t="str">
        <f t="shared" si="163"/>
        <v/>
      </c>
      <c r="U1795" s="10"/>
      <c r="V1795" s="41">
        <f>IF(AND(Q1795&lt;&gt;"",RIGHT(Q1795,3)&lt;&gt;""),IF(COUNTIF($Q$6:Q1795,Q1795)=1,1,0),0)</f>
        <v>0</v>
      </c>
      <c r="W1795" s="41" t="str">
        <f t="shared" si="164"/>
        <v/>
      </c>
      <c r="X1795" s="41" t="str">
        <f t="shared" si="165"/>
        <v/>
      </c>
    </row>
    <row r="1796" s="32" customFormat="1" hidden="1" customHeight="1" spans="1:24">
      <c r="A1796" s="34"/>
      <c r="B1796" s="51"/>
      <c r="C1796" s="51"/>
      <c r="D1796" s="52"/>
      <c r="E1796" s="53"/>
      <c r="F1796" s="54"/>
      <c r="G1796" s="54"/>
      <c r="H1796" s="54"/>
      <c r="I1796" s="66"/>
      <c r="J1796" s="54"/>
      <c r="K1796" s="54"/>
      <c r="L1796" s="54"/>
      <c r="M1796" s="97" t="str">
        <f t="shared" si="162"/>
        <v/>
      </c>
      <c r="N1796" s="70"/>
      <c r="O1796" s="71" t="str">
        <f t="shared" si="166"/>
        <v/>
      </c>
      <c r="P1796" s="66"/>
      <c r="Q1796" s="66"/>
      <c r="R1796" s="54"/>
      <c r="S1796" s="82"/>
      <c r="T1796" s="83" t="str">
        <f t="shared" si="163"/>
        <v/>
      </c>
      <c r="U1796" s="10"/>
      <c r="V1796" s="41">
        <f>IF(AND(Q1796&lt;&gt;"",RIGHT(Q1796,3)&lt;&gt;""),IF(COUNTIF($Q$6:Q1796,Q1796)=1,1,0),0)</f>
        <v>0</v>
      </c>
      <c r="W1796" s="41" t="str">
        <f t="shared" si="164"/>
        <v/>
      </c>
      <c r="X1796" s="41" t="str">
        <f t="shared" si="165"/>
        <v/>
      </c>
    </row>
    <row r="1797" s="32" customFormat="1" hidden="1" customHeight="1" spans="1:24">
      <c r="A1797" s="34"/>
      <c r="B1797" s="51"/>
      <c r="C1797" s="51"/>
      <c r="D1797" s="52"/>
      <c r="E1797" s="53"/>
      <c r="F1797" s="54"/>
      <c r="G1797" s="54"/>
      <c r="H1797" s="54"/>
      <c r="I1797" s="66"/>
      <c r="J1797" s="54"/>
      <c r="K1797" s="54"/>
      <c r="L1797" s="54"/>
      <c r="M1797" s="97" t="str">
        <f t="shared" si="162"/>
        <v/>
      </c>
      <c r="N1797" s="70"/>
      <c r="O1797" s="71" t="str">
        <f t="shared" si="166"/>
        <v/>
      </c>
      <c r="P1797" s="66"/>
      <c r="Q1797" s="66"/>
      <c r="R1797" s="54"/>
      <c r="S1797" s="82"/>
      <c r="T1797" s="83" t="str">
        <f t="shared" si="163"/>
        <v/>
      </c>
      <c r="U1797" s="10"/>
      <c r="V1797" s="41">
        <f>IF(AND(Q1797&lt;&gt;"",RIGHT(Q1797,3)&lt;&gt;""),IF(COUNTIF($Q$6:Q1797,Q1797)=1,1,0),0)</f>
        <v>0</v>
      </c>
      <c r="W1797" s="41" t="str">
        <f t="shared" si="164"/>
        <v/>
      </c>
      <c r="X1797" s="41" t="str">
        <f t="shared" si="165"/>
        <v/>
      </c>
    </row>
    <row r="1798" s="32" customFormat="1" hidden="1" customHeight="1" spans="1:24">
      <c r="A1798" s="34"/>
      <c r="B1798" s="51"/>
      <c r="C1798" s="51"/>
      <c r="D1798" s="52"/>
      <c r="E1798" s="53"/>
      <c r="F1798" s="54"/>
      <c r="G1798" s="54"/>
      <c r="H1798" s="54"/>
      <c r="I1798" s="66"/>
      <c r="J1798" s="54"/>
      <c r="K1798" s="54"/>
      <c r="L1798" s="54"/>
      <c r="M1798" s="97" t="str">
        <f t="shared" si="162"/>
        <v/>
      </c>
      <c r="N1798" s="70"/>
      <c r="O1798" s="71" t="str">
        <f t="shared" si="166"/>
        <v/>
      </c>
      <c r="P1798" s="66"/>
      <c r="Q1798" s="66"/>
      <c r="R1798" s="54"/>
      <c r="S1798" s="82"/>
      <c r="T1798" s="83" t="str">
        <f t="shared" si="163"/>
        <v/>
      </c>
      <c r="U1798" s="10"/>
      <c r="V1798" s="41">
        <f>IF(AND(Q1798&lt;&gt;"",RIGHT(Q1798,3)&lt;&gt;""),IF(COUNTIF($Q$6:Q1798,Q1798)=1,1,0),0)</f>
        <v>0</v>
      </c>
      <c r="W1798" s="41" t="str">
        <f t="shared" si="164"/>
        <v/>
      </c>
      <c r="X1798" s="41" t="str">
        <f t="shared" si="165"/>
        <v/>
      </c>
    </row>
    <row r="1799" s="32" customFormat="1" hidden="1" customHeight="1" spans="1:24">
      <c r="A1799" s="34"/>
      <c r="B1799" s="51"/>
      <c r="C1799" s="51"/>
      <c r="D1799" s="52"/>
      <c r="E1799" s="53"/>
      <c r="F1799" s="54"/>
      <c r="G1799" s="54"/>
      <c r="H1799" s="54"/>
      <c r="I1799" s="66"/>
      <c r="J1799" s="54"/>
      <c r="K1799" s="54"/>
      <c r="L1799" s="54"/>
      <c r="M1799" s="97" t="str">
        <f t="shared" si="162"/>
        <v/>
      </c>
      <c r="N1799" s="70"/>
      <c r="O1799" s="71" t="str">
        <f t="shared" si="166"/>
        <v/>
      </c>
      <c r="P1799" s="66"/>
      <c r="Q1799" s="66"/>
      <c r="R1799" s="54"/>
      <c r="S1799" s="82"/>
      <c r="T1799" s="83" t="str">
        <f t="shared" si="163"/>
        <v/>
      </c>
      <c r="U1799" s="10"/>
      <c r="V1799" s="41">
        <f>IF(AND(Q1799&lt;&gt;"",RIGHT(Q1799,3)&lt;&gt;""),IF(COUNTIF($Q$6:Q1799,Q1799)=1,1,0),0)</f>
        <v>0</v>
      </c>
      <c r="W1799" s="41" t="str">
        <f t="shared" si="164"/>
        <v/>
      </c>
      <c r="X1799" s="41" t="str">
        <f t="shared" si="165"/>
        <v/>
      </c>
    </row>
    <row r="1800" s="32" customFormat="1" hidden="1" customHeight="1" spans="1:24">
      <c r="A1800" s="34"/>
      <c r="B1800" s="51"/>
      <c r="C1800" s="51"/>
      <c r="D1800" s="52"/>
      <c r="E1800" s="53"/>
      <c r="F1800" s="54"/>
      <c r="G1800" s="54"/>
      <c r="H1800" s="54"/>
      <c r="I1800" s="66"/>
      <c r="J1800" s="54"/>
      <c r="K1800" s="54"/>
      <c r="L1800" s="54"/>
      <c r="M1800" s="97" t="str">
        <f t="shared" si="162"/>
        <v/>
      </c>
      <c r="N1800" s="70"/>
      <c r="O1800" s="71" t="str">
        <f t="shared" si="166"/>
        <v/>
      </c>
      <c r="P1800" s="66"/>
      <c r="Q1800" s="66"/>
      <c r="R1800" s="54"/>
      <c r="S1800" s="82"/>
      <c r="T1800" s="83" t="str">
        <f t="shared" si="163"/>
        <v/>
      </c>
      <c r="U1800" s="10"/>
      <c r="V1800" s="41">
        <f>IF(AND(Q1800&lt;&gt;"",RIGHT(Q1800,3)&lt;&gt;""),IF(COUNTIF($Q$6:Q1800,Q1800)=1,1,0),0)</f>
        <v>0</v>
      </c>
      <c r="W1800" s="41" t="str">
        <f t="shared" si="164"/>
        <v/>
      </c>
      <c r="X1800" s="41" t="str">
        <f t="shared" si="165"/>
        <v/>
      </c>
    </row>
    <row r="1801" s="32" customFormat="1" hidden="1" customHeight="1" spans="1:24">
      <c r="A1801" s="34"/>
      <c r="B1801" s="51"/>
      <c r="C1801" s="51"/>
      <c r="D1801" s="52"/>
      <c r="E1801" s="53"/>
      <c r="F1801" s="54"/>
      <c r="G1801" s="54"/>
      <c r="H1801" s="54"/>
      <c r="I1801" s="66"/>
      <c r="J1801" s="54"/>
      <c r="K1801" s="54"/>
      <c r="L1801" s="54"/>
      <c r="M1801" s="97" t="str">
        <f t="shared" si="162"/>
        <v/>
      </c>
      <c r="N1801" s="70"/>
      <c r="O1801" s="71" t="str">
        <f t="shared" si="166"/>
        <v/>
      </c>
      <c r="P1801" s="66"/>
      <c r="Q1801" s="66"/>
      <c r="R1801" s="54"/>
      <c r="S1801" s="82"/>
      <c r="T1801" s="83" t="str">
        <f t="shared" si="163"/>
        <v/>
      </c>
      <c r="U1801" s="10"/>
      <c r="V1801" s="41">
        <f>IF(AND(Q1801&lt;&gt;"",RIGHT(Q1801,3)&lt;&gt;""),IF(COUNTIF($Q$6:Q1801,Q1801)=1,1,0),0)</f>
        <v>0</v>
      </c>
      <c r="W1801" s="41" t="str">
        <f t="shared" si="164"/>
        <v/>
      </c>
      <c r="X1801" s="41" t="str">
        <f t="shared" si="165"/>
        <v/>
      </c>
    </row>
    <row r="1802" s="32" customFormat="1" hidden="1" customHeight="1" spans="1:24">
      <c r="A1802" s="34"/>
      <c r="B1802" s="51"/>
      <c r="C1802" s="51"/>
      <c r="D1802" s="52"/>
      <c r="E1802" s="53"/>
      <c r="F1802" s="54"/>
      <c r="G1802" s="54"/>
      <c r="H1802" s="54"/>
      <c r="I1802" s="66"/>
      <c r="J1802" s="54"/>
      <c r="K1802" s="54"/>
      <c r="L1802" s="54"/>
      <c r="M1802" s="97" t="str">
        <f t="shared" si="162"/>
        <v/>
      </c>
      <c r="N1802" s="70"/>
      <c r="O1802" s="71" t="str">
        <f t="shared" si="166"/>
        <v/>
      </c>
      <c r="P1802" s="66"/>
      <c r="Q1802" s="66"/>
      <c r="R1802" s="54"/>
      <c r="S1802" s="82"/>
      <c r="T1802" s="83" t="str">
        <f t="shared" si="163"/>
        <v/>
      </c>
      <c r="U1802" s="10"/>
      <c r="V1802" s="41">
        <f>IF(AND(Q1802&lt;&gt;"",RIGHT(Q1802,3)&lt;&gt;""),IF(COUNTIF($Q$6:Q1802,Q1802)=1,1,0),0)</f>
        <v>0</v>
      </c>
      <c r="W1802" s="41" t="str">
        <f t="shared" si="164"/>
        <v/>
      </c>
      <c r="X1802" s="41" t="str">
        <f t="shared" si="165"/>
        <v/>
      </c>
    </row>
    <row r="1803" s="32" customFormat="1" hidden="1" customHeight="1" spans="1:24">
      <c r="A1803" s="34"/>
      <c r="B1803" s="51"/>
      <c r="C1803" s="51"/>
      <c r="D1803" s="52"/>
      <c r="E1803" s="53"/>
      <c r="F1803" s="54"/>
      <c r="G1803" s="54"/>
      <c r="H1803" s="54"/>
      <c r="I1803" s="66"/>
      <c r="J1803" s="54"/>
      <c r="K1803" s="54"/>
      <c r="L1803" s="54"/>
      <c r="M1803" s="97" t="str">
        <f t="shared" si="162"/>
        <v/>
      </c>
      <c r="N1803" s="70"/>
      <c r="O1803" s="71" t="str">
        <f t="shared" si="166"/>
        <v/>
      </c>
      <c r="P1803" s="66"/>
      <c r="Q1803" s="66"/>
      <c r="R1803" s="54"/>
      <c r="S1803" s="82"/>
      <c r="T1803" s="83" t="str">
        <f t="shared" si="163"/>
        <v/>
      </c>
      <c r="U1803" s="10"/>
      <c r="V1803" s="41">
        <f>IF(AND(Q1803&lt;&gt;"",RIGHT(Q1803,3)&lt;&gt;""),IF(COUNTIF($Q$6:Q1803,Q1803)=1,1,0),0)</f>
        <v>0</v>
      </c>
      <c r="W1803" s="41" t="str">
        <f t="shared" si="164"/>
        <v/>
      </c>
      <c r="X1803" s="41" t="str">
        <f t="shared" si="165"/>
        <v/>
      </c>
    </row>
    <row r="1804" s="32" customFormat="1" hidden="1" customHeight="1" spans="1:24">
      <c r="A1804" s="34"/>
      <c r="B1804" s="51"/>
      <c r="C1804" s="51"/>
      <c r="D1804" s="52"/>
      <c r="E1804" s="53"/>
      <c r="F1804" s="54"/>
      <c r="G1804" s="54"/>
      <c r="H1804" s="54"/>
      <c r="I1804" s="66"/>
      <c r="J1804" s="54"/>
      <c r="K1804" s="54"/>
      <c r="L1804" s="54"/>
      <c r="M1804" s="97" t="str">
        <f t="shared" si="162"/>
        <v/>
      </c>
      <c r="N1804" s="70"/>
      <c r="O1804" s="71" t="str">
        <f t="shared" si="166"/>
        <v/>
      </c>
      <c r="P1804" s="66"/>
      <c r="Q1804" s="66"/>
      <c r="R1804" s="54"/>
      <c r="S1804" s="82"/>
      <c r="T1804" s="83" t="str">
        <f t="shared" si="163"/>
        <v/>
      </c>
      <c r="U1804" s="10"/>
      <c r="V1804" s="41">
        <f>IF(AND(Q1804&lt;&gt;"",RIGHT(Q1804,3)&lt;&gt;""),IF(COUNTIF($Q$6:Q1804,Q1804)=1,1,0),0)</f>
        <v>0</v>
      </c>
      <c r="W1804" s="41" t="str">
        <f t="shared" si="164"/>
        <v/>
      </c>
      <c r="X1804" s="41" t="str">
        <f t="shared" si="165"/>
        <v/>
      </c>
    </row>
    <row r="1805" s="32" customFormat="1" hidden="1" customHeight="1" spans="1:24">
      <c r="A1805" s="34"/>
      <c r="B1805" s="51"/>
      <c r="C1805" s="51"/>
      <c r="D1805" s="52"/>
      <c r="E1805" s="53"/>
      <c r="F1805" s="54"/>
      <c r="G1805" s="54"/>
      <c r="H1805" s="54"/>
      <c r="I1805" s="66"/>
      <c r="J1805" s="54"/>
      <c r="K1805" s="54"/>
      <c r="L1805" s="54"/>
      <c r="M1805" s="97" t="str">
        <f t="shared" si="162"/>
        <v/>
      </c>
      <c r="N1805" s="70"/>
      <c r="O1805" s="71" t="str">
        <f t="shared" si="166"/>
        <v/>
      </c>
      <c r="P1805" s="66"/>
      <c r="Q1805" s="66"/>
      <c r="R1805" s="54"/>
      <c r="S1805" s="82"/>
      <c r="T1805" s="83" t="str">
        <f t="shared" si="163"/>
        <v/>
      </c>
      <c r="U1805" s="10"/>
      <c r="V1805" s="41">
        <f>IF(AND(Q1805&lt;&gt;"",RIGHT(Q1805,3)&lt;&gt;""),IF(COUNTIF($Q$6:Q1805,Q1805)=1,1,0),0)</f>
        <v>0</v>
      </c>
      <c r="W1805" s="41" t="str">
        <f t="shared" si="164"/>
        <v/>
      </c>
      <c r="X1805" s="41" t="str">
        <f t="shared" si="165"/>
        <v/>
      </c>
    </row>
    <row r="1806" s="32" customFormat="1" hidden="1" customHeight="1" spans="1:24">
      <c r="A1806" s="34"/>
      <c r="B1806" s="51"/>
      <c r="C1806" s="51"/>
      <c r="D1806" s="52"/>
      <c r="E1806" s="53"/>
      <c r="F1806" s="54"/>
      <c r="G1806" s="54"/>
      <c r="H1806" s="54"/>
      <c r="I1806" s="66"/>
      <c r="J1806" s="54"/>
      <c r="K1806" s="54"/>
      <c r="L1806" s="54"/>
      <c r="M1806" s="97" t="str">
        <f t="shared" si="162"/>
        <v/>
      </c>
      <c r="N1806" s="70"/>
      <c r="O1806" s="71" t="str">
        <f t="shared" si="166"/>
        <v/>
      </c>
      <c r="P1806" s="66"/>
      <c r="Q1806" s="66"/>
      <c r="R1806" s="54"/>
      <c r="S1806" s="82"/>
      <c r="T1806" s="83" t="str">
        <f t="shared" si="163"/>
        <v/>
      </c>
      <c r="U1806" s="10"/>
      <c r="V1806" s="41">
        <f>IF(AND(Q1806&lt;&gt;"",RIGHT(Q1806,3)&lt;&gt;""),IF(COUNTIF($Q$6:Q1806,Q1806)=1,1,0),0)</f>
        <v>0</v>
      </c>
      <c r="W1806" s="41" t="str">
        <f t="shared" si="164"/>
        <v/>
      </c>
      <c r="X1806" s="41" t="str">
        <f t="shared" si="165"/>
        <v/>
      </c>
    </row>
    <row r="1807" s="32" customFormat="1" hidden="1" customHeight="1" spans="1:24">
      <c r="A1807" s="34"/>
      <c r="B1807" s="51"/>
      <c r="C1807" s="51"/>
      <c r="D1807" s="52"/>
      <c r="E1807" s="53"/>
      <c r="F1807" s="54"/>
      <c r="G1807" s="54"/>
      <c r="H1807" s="54"/>
      <c r="I1807" s="66"/>
      <c r="J1807" s="54"/>
      <c r="K1807" s="54"/>
      <c r="L1807" s="54"/>
      <c r="M1807" s="97" t="str">
        <f t="shared" si="162"/>
        <v/>
      </c>
      <c r="N1807" s="70"/>
      <c r="O1807" s="71" t="str">
        <f t="shared" si="166"/>
        <v/>
      </c>
      <c r="P1807" s="66"/>
      <c r="Q1807" s="66"/>
      <c r="R1807" s="54"/>
      <c r="S1807" s="82"/>
      <c r="T1807" s="83" t="str">
        <f t="shared" si="163"/>
        <v/>
      </c>
      <c r="U1807" s="10"/>
      <c r="V1807" s="41">
        <f>IF(AND(Q1807&lt;&gt;"",RIGHT(Q1807,3)&lt;&gt;""),IF(COUNTIF($Q$6:Q1807,Q1807)=1,1,0),0)</f>
        <v>0</v>
      </c>
      <c r="W1807" s="41" t="str">
        <f t="shared" si="164"/>
        <v/>
      </c>
      <c r="X1807" s="41" t="str">
        <f t="shared" si="165"/>
        <v/>
      </c>
    </row>
    <row r="1808" s="32" customFormat="1" hidden="1" customHeight="1" spans="1:24">
      <c r="A1808" s="34"/>
      <c r="B1808" s="51"/>
      <c r="C1808" s="51"/>
      <c r="D1808" s="52"/>
      <c r="E1808" s="53"/>
      <c r="F1808" s="54"/>
      <c r="G1808" s="54"/>
      <c r="H1808" s="54"/>
      <c r="I1808" s="66"/>
      <c r="J1808" s="54"/>
      <c r="K1808" s="54"/>
      <c r="L1808" s="54"/>
      <c r="M1808" s="97" t="str">
        <f t="shared" si="162"/>
        <v/>
      </c>
      <c r="N1808" s="70"/>
      <c r="O1808" s="71" t="str">
        <f t="shared" si="166"/>
        <v/>
      </c>
      <c r="P1808" s="66"/>
      <c r="Q1808" s="66"/>
      <c r="R1808" s="54"/>
      <c r="S1808" s="82"/>
      <c r="T1808" s="83" t="str">
        <f t="shared" si="163"/>
        <v/>
      </c>
      <c r="U1808" s="10"/>
      <c r="V1808" s="41">
        <f>IF(AND(Q1808&lt;&gt;"",RIGHT(Q1808,3)&lt;&gt;""),IF(COUNTIF($Q$6:Q1808,Q1808)=1,1,0),0)</f>
        <v>0</v>
      </c>
      <c r="W1808" s="41" t="str">
        <f t="shared" si="164"/>
        <v/>
      </c>
      <c r="X1808" s="41" t="str">
        <f t="shared" si="165"/>
        <v/>
      </c>
    </row>
    <row r="1809" s="32" customFormat="1" hidden="1" customHeight="1" spans="1:24">
      <c r="A1809" s="34"/>
      <c r="B1809" s="51"/>
      <c r="C1809" s="51"/>
      <c r="D1809" s="52"/>
      <c r="E1809" s="53"/>
      <c r="F1809" s="54"/>
      <c r="G1809" s="54"/>
      <c r="H1809" s="54"/>
      <c r="I1809" s="66"/>
      <c r="J1809" s="54"/>
      <c r="K1809" s="54"/>
      <c r="L1809" s="54"/>
      <c r="M1809" s="97" t="str">
        <f t="shared" si="162"/>
        <v/>
      </c>
      <c r="N1809" s="70"/>
      <c r="O1809" s="71" t="str">
        <f t="shared" si="166"/>
        <v/>
      </c>
      <c r="P1809" s="66"/>
      <c r="Q1809" s="66"/>
      <c r="R1809" s="54"/>
      <c r="S1809" s="82"/>
      <c r="T1809" s="83" t="str">
        <f t="shared" si="163"/>
        <v/>
      </c>
      <c r="U1809" s="10"/>
      <c r="V1809" s="41">
        <f>IF(AND(Q1809&lt;&gt;"",RIGHT(Q1809,3)&lt;&gt;""),IF(COUNTIF($Q$6:Q1809,Q1809)=1,1,0),0)</f>
        <v>0</v>
      </c>
      <c r="W1809" s="41" t="str">
        <f t="shared" si="164"/>
        <v/>
      </c>
      <c r="X1809" s="41" t="str">
        <f t="shared" si="165"/>
        <v/>
      </c>
    </row>
    <row r="1810" s="32" customFormat="1" hidden="1" customHeight="1" spans="1:24">
      <c r="A1810" s="34"/>
      <c r="B1810" s="51"/>
      <c r="C1810" s="51"/>
      <c r="D1810" s="52"/>
      <c r="E1810" s="53"/>
      <c r="F1810" s="54"/>
      <c r="G1810" s="54"/>
      <c r="H1810" s="54"/>
      <c r="I1810" s="66"/>
      <c r="J1810" s="54"/>
      <c r="K1810" s="54"/>
      <c r="L1810" s="54"/>
      <c r="M1810" s="97" t="str">
        <f t="shared" si="162"/>
        <v/>
      </c>
      <c r="N1810" s="70"/>
      <c r="O1810" s="71" t="str">
        <f t="shared" si="166"/>
        <v/>
      </c>
      <c r="P1810" s="66"/>
      <c r="Q1810" s="66"/>
      <c r="R1810" s="54"/>
      <c r="S1810" s="82"/>
      <c r="T1810" s="83" t="str">
        <f t="shared" si="163"/>
        <v/>
      </c>
      <c r="U1810" s="10"/>
      <c r="V1810" s="41">
        <f>IF(AND(Q1810&lt;&gt;"",RIGHT(Q1810,3)&lt;&gt;""),IF(COUNTIF($Q$6:Q1810,Q1810)=1,1,0),0)</f>
        <v>0</v>
      </c>
      <c r="W1810" s="41" t="str">
        <f t="shared" si="164"/>
        <v/>
      </c>
      <c r="X1810" s="41" t="str">
        <f t="shared" si="165"/>
        <v/>
      </c>
    </row>
    <row r="1811" s="32" customFormat="1" hidden="1" customHeight="1" spans="1:24">
      <c r="A1811" s="34"/>
      <c r="B1811" s="51"/>
      <c r="C1811" s="51"/>
      <c r="D1811" s="52"/>
      <c r="E1811" s="53"/>
      <c r="F1811" s="54"/>
      <c r="G1811" s="54"/>
      <c r="H1811" s="54"/>
      <c r="I1811" s="66"/>
      <c r="J1811" s="54"/>
      <c r="K1811" s="54"/>
      <c r="L1811" s="54"/>
      <c r="M1811" s="97" t="str">
        <f t="shared" si="162"/>
        <v/>
      </c>
      <c r="N1811" s="70"/>
      <c r="O1811" s="71" t="str">
        <f t="shared" si="166"/>
        <v/>
      </c>
      <c r="P1811" s="66"/>
      <c r="Q1811" s="66"/>
      <c r="R1811" s="54"/>
      <c r="S1811" s="82"/>
      <c r="T1811" s="83" t="str">
        <f t="shared" si="163"/>
        <v/>
      </c>
      <c r="U1811" s="10"/>
      <c r="V1811" s="41">
        <f>IF(AND(Q1811&lt;&gt;"",RIGHT(Q1811,3)&lt;&gt;""),IF(COUNTIF($Q$6:Q1811,Q1811)=1,1,0),0)</f>
        <v>0</v>
      </c>
      <c r="W1811" s="41" t="str">
        <f t="shared" si="164"/>
        <v/>
      </c>
      <c r="X1811" s="41" t="str">
        <f t="shared" si="165"/>
        <v/>
      </c>
    </row>
    <row r="1812" s="32" customFormat="1" hidden="1" customHeight="1" spans="1:24">
      <c r="A1812" s="34"/>
      <c r="B1812" s="51"/>
      <c r="C1812" s="51"/>
      <c r="D1812" s="52"/>
      <c r="E1812" s="53"/>
      <c r="F1812" s="54"/>
      <c r="G1812" s="54"/>
      <c r="H1812" s="54"/>
      <c r="I1812" s="66"/>
      <c r="J1812" s="54"/>
      <c r="K1812" s="54"/>
      <c r="L1812" s="54"/>
      <c r="M1812" s="97" t="str">
        <f t="shared" si="162"/>
        <v/>
      </c>
      <c r="N1812" s="70"/>
      <c r="O1812" s="71" t="str">
        <f t="shared" si="166"/>
        <v/>
      </c>
      <c r="P1812" s="66"/>
      <c r="Q1812" s="66"/>
      <c r="R1812" s="54"/>
      <c r="S1812" s="82"/>
      <c r="T1812" s="83" t="str">
        <f t="shared" si="163"/>
        <v/>
      </c>
      <c r="U1812" s="10"/>
      <c r="V1812" s="41">
        <f>IF(AND(Q1812&lt;&gt;"",RIGHT(Q1812,3)&lt;&gt;""),IF(COUNTIF($Q$6:Q1812,Q1812)=1,1,0),0)</f>
        <v>0</v>
      </c>
      <c r="W1812" s="41" t="str">
        <f t="shared" si="164"/>
        <v/>
      </c>
      <c r="X1812" s="41" t="str">
        <f t="shared" si="165"/>
        <v/>
      </c>
    </row>
    <row r="1813" s="32" customFormat="1" hidden="1" customHeight="1" spans="1:24">
      <c r="A1813" s="34"/>
      <c r="B1813" s="51"/>
      <c r="C1813" s="51"/>
      <c r="D1813" s="52"/>
      <c r="E1813" s="53"/>
      <c r="F1813" s="54"/>
      <c r="G1813" s="54"/>
      <c r="H1813" s="54"/>
      <c r="I1813" s="66"/>
      <c r="J1813" s="54"/>
      <c r="K1813" s="54"/>
      <c r="L1813" s="54"/>
      <c r="M1813" s="97" t="str">
        <f t="shared" si="162"/>
        <v/>
      </c>
      <c r="N1813" s="70"/>
      <c r="O1813" s="71" t="str">
        <f t="shared" si="166"/>
        <v/>
      </c>
      <c r="P1813" s="66"/>
      <c r="Q1813" s="66"/>
      <c r="R1813" s="54"/>
      <c r="S1813" s="82"/>
      <c r="T1813" s="83" t="str">
        <f t="shared" si="163"/>
        <v/>
      </c>
      <c r="U1813" s="10"/>
      <c r="V1813" s="41">
        <f>IF(AND(Q1813&lt;&gt;"",RIGHT(Q1813,3)&lt;&gt;""),IF(COUNTIF($Q$6:Q1813,Q1813)=1,1,0),0)</f>
        <v>0</v>
      </c>
      <c r="W1813" s="41" t="str">
        <f t="shared" si="164"/>
        <v/>
      </c>
      <c r="X1813" s="41" t="str">
        <f t="shared" si="165"/>
        <v/>
      </c>
    </row>
    <row r="1814" s="32" customFormat="1" hidden="1" customHeight="1" spans="1:24">
      <c r="A1814" s="34"/>
      <c r="B1814" s="51"/>
      <c r="C1814" s="51"/>
      <c r="D1814" s="52"/>
      <c r="E1814" s="53"/>
      <c r="F1814" s="54"/>
      <c r="G1814" s="54"/>
      <c r="H1814" s="54"/>
      <c r="I1814" s="66"/>
      <c r="J1814" s="54"/>
      <c r="K1814" s="54"/>
      <c r="L1814" s="54"/>
      <c r="M1814" s="97" t="str">
        <f t="shared" si="162"/>
        <v/>
      </c>
      <c r="N1814" s="70"/>
      <c r="O1814" s="71" t="str">
        <f t="shared" si="166"/>
        <v/>
      </c>
      <c r="P1814" s="66"/>
      <c r="Q1814" s="66"/>
      <c r="R1814" s="54"/>
      <c r="S1814" s="82"/>
      <c r="T1814" s="83" t="str">
        <f t="shared" si="163"/>
        <v/>
      </c>
      <c r="U1814" s="10"/>
      <c r="V1814" s="41">
        <f>IF(AND(Q1814&lt;&gt;"",RIGHT(Q1814,3)&lt;&gt;""),IF(COUNTIF($Q$6:Q1814,Q1814)=1,1,0),0)</f>
        <v>0</v>
      </c>
      <c r="W1814" s="41" t="str">
        <f t="shared" si="164"/>
        <v/>
      </c>
      <c r="X1814" s="41" t="str">
        <f t="shared" si="165"/>
        <v/>
      </c>
    </row>
    <row r="1815" s="32" customFormat="1" hidden="1" customHeight="1" spans="1:24">
      <c r="A1815" s="34"/>
      <c r="B1815" s="51"/>
      <c r="C1815" s="51"/>
      <c r="D1815" s="52"/>
      <c r="E1815" s="53"/>
      <c r="F1815" s="54"/>
      <c r="G1815" s="54"/>
      <c r="H1815" s="54"/>
      <c r="I1815" s="66"/>
      <c r="J1815" s="54"/>
      <c r="K1815" s="54"/>
      <c r="L1815" s="54"/>
      <c r="M1815" s="97" t="str">
        <f t="shared" si="162"/>
        <v/>
      </c>
      <c r="N1815" s="70"/>
      <c r="O1815" s="71" t="str">
        <f t="shared" si="166"/>
        <v/>
      </c>
      <c r="P1815" s="66"/>
      <c r="Q1815" s="66"/>
      <c r="R1815" s="54"/>
      <c r="S1815" s="82"/>
      <c r="T1815" s="83" t="str">
        <f t="shared" si="163"/>
        <v/>
      </c>
      <c r="U1815" s="10"/>
      <c r="V1815" s="41">
        <f>IF(AND(Q1815&lt;&gt;"",RIGHT(Q1815,3)&lt;&gt;""),IF(COUNTIF($Q$6:Q1815,Q1815)=1,1,0),0)</f>
        <v>0</v>
      </c>
      <c r="W1815" s="41" t="str">
        <f t="shared" si="164"/>
        <v/>
      </c>
      <c r="X1815" s="41" t="str">
        <f t="shared" si="165"/>
        <v/>
      </c>
    </row>
    <row r="1816" s="32" customFormat="1" hidden="1" customHeight="1" spans="1:24">
      <c r="A1816" s="34"/>
      <c r="B1816" s="51"/>
      <c r="C1816" s="51"/>
      <c r="D1816" s="52"/>
      <c r="E1816" s="53"/>
      <c r="F1816" s="54"/>
      <c r="G1816" s="54"/>
      <c r="H1816" s="54"/>
      <c r="I1816" s="66"/>
      <c r="J1816" s="54"/>
      <c r="K1816" s="54"/>
      <c r="L1816" s="54"/>
      <c r="M1816" s="97" t="str">
        <f t="shared" si="162"/>
        <v/>
      </c>
      <c r="N1816" s="70"/>
      <c r="O1816" s="71" t="str">
        <f t="shared" si="166"/>
        <v/>
      </c>
      <c r="P1816" s="66"/>
      <c r="Q1816" s="66"/>
      <c r="R1816" s="54"/>
      <c r="S1816" s="82"/>
      <c r="T1816" s="83" t="str">
        <f t="shared" si="163"/>
        <v/>
      </c>
      <c r="U1816" s="10"/>
      <c r="V1816" s="41">
        <f>IF(AND(Q1816&lt;&gt;"",RIGHT(Q1816,3)&lt;&gt;""),IF(COUNTIF($Q$6:Q1816,Q1816)=1,1,0),0)</f>
        <v>0</v>
      </c>
      <c r="W1816" s="41" t="str">
        <f t="shared" si="164"/>
        <v/>
      </c>
      <c r="X1816" s="41" t="str">
        <f t="shared" si="165"/>
        <v/>
      </c>
    </row>
    <row r="1817" s="32" customFormat="1" hidden="1" customHeight="1" spans="1:24">
      <c r="A1817" s="34"/>
      <c r="B1817" s="51"/>
      <c r="C1817" s="51"/>
      <c r="D1817" s="52"/>
      <c r="E1817" s="53"/>
      <c r="F1817" s="54"/>
      <c r="G1817" s="54"/>
      <c r="H1817" s="54"/>
      <c r="I1817" s="66"/>
      <c r="J1817" s="54"/>
      <c r="K1817" s="54"/>
      <c r="L1817" s="54"/>
      <c r="M1817" s="97" t="str">
        <f t="shared" si="162"/>
        <v/>
      </c>
      <c r="N1817" s="70"/>
      <c r="O1817" s="71" t="str">
        <f t="shared" si="166"/>
        <v/>
      </c>
      <c r="P1817" s="66"/>
      <c r="Q1817" s="66"/>
      <c r="R1817" s="54"/>
      <c r="S1817" s="82"/>
      <c r="T1817" s="83" t="str">
        <f t="shared" si="163"/>
        <v/>
      </c>
      <c r="U1817" s="10"/>
      <c r="V1817" s="41">
        <f>IF(AND(Q1817&lt;&gt;"",RIGHT(Q1817,3)&lt;&gt;""),IF(COUNTIF($Q$6:Q1817,Q1817)=1,1,0),0)</f>
        <v>0</v>
      </c>
      <c r="W1817" s="41" t="str">
        <f t="shared" si="164"/>
        <v/>
      </c>
      <c r="X1817" s="41" t="str">
        <f t="shared" si="165"/>
        <v/>
      </c>
    </row>
    <row r="1818" s="32" customFormat="1" hidden="1" customHeight="1" spans="1:24">
      <c r="A1818" s="34"/>
      <c r="B1818" s="51"/>
      <c r="C1818" s="51"/>
      <c r="D1818" s="52"/>
      <c r="E1818" s="53"/>
      <c r="F1818" s="54"/>
      <c r="G1818" s="54"/>
      <c r="H1818" s="54"/>
      <c r="I1818" s="66"/>
      <c r="J1818" s="54"/>
      <c r="K1818" s="54"/>
      <c r="L1818" s="54"/>
      <c r="M1818" s="97" t="str">
        <f t="shared" si="162"/>
        <v/>
      </c>
      <c r="N1818" s="70"/>
      <c r="O1818" s="71" t="str">
        <f t="shared" si="166"/>
        <v/>
      </c>
      <c r="P1818" s="66"/>
      <c r="Q1818" s="66"/>
      <c r="R1818" s="54"/>
      <c r="S1818" s="82"/>
      <c r="T1818" s="83" t="str">
        <f t="shared" si="163"/>
        <v/>
      </c>
      <c r="U1818" s="10"/>
      <c r="V1818" s="41">
        <f>IF(AND(Q1818&lt;&gt;"",RIGHT(Q1818,3)&lt;&gt;""),IF(COUNTIF($Q$6:Q1818,Q1818)=1,1,0),0)</f>
        <v>0</v>
      </c>
      <c r="W1818" s="41" t="str">
        <f t="shared" si="164"/>
        <v/>
      </c>
      <c r="X1818" s="41" t="str">
        <f t="shared" si="165"/>
        <v/>
      </c>
    </row>
    <row r="1819" s="32" customFormat="1" hidden="1" customHeight="1" spans="1:24">
      <c r="A1819" s="34"/>
      <c r="B1819" s="51"/>
      <c r="C1819" s="51"/>
      <c r="D1819" s="52"/>
      <c r="E1819" s="53"/>
      <c r="F1819" s="54"/>
      <c r="G1819" s="54"/>
      <c r="H1819" s="54"/>
      <c r="I1819" s="66"/>
      <c r="J1819" s="54"/>
      <c r="K1819" s="54"/>
      <c r="L1819" s="54"/>
      <c r="M1819" s="97" t="str">
        <f t="shared" si="162"/>
        <v/>
      </c>
      <c r="N1819" s="70"/>
      <c r="O1819" s="71" t="str">
        <f t="shared" si="166"/>
        <v/>
      </c>
      <c r="P1819" s="66"/>
      <c r="Q1819" s="66"/>
      <c r="R1819" s="54"/>
      <c r="S1819" s="82"/>
      <c r="T1819" s="83" t="str">
        <f t="shared" si="163"/>
        <v/>
      </c>
      <c r="U1819" s="10"/>
      <c r="V1819" s="41">
        <f>IF(AND(Q1819&lt;&gt;"",RIGHT(Q1819,3)&lt;&gt;""),IF(COUNTIF($Q$6:Q1819,Q1819)=1,1,0),0)</f>
        <v>0</v>
      </c>
      <c r="W1819" s="41" t="str">
        <f t="shared" si="164"/>
        <v/>
      </c>
      <c r="X1819" s="41" t="str">
        <f t="shared" si="165"/>
        <v/>
      </c>
    </row>
    <row r="1820" s="32" customFormat="1" hidden="1" customHeight="1" spans="1:24">
      <c r="A1820" s="34"/>
      <c r="B1820" s="51"/>
      <c r="C1820" s="51"/>
      <c r="D1820" s="52"/>
      <c r="E1820" s="53"/>
      <c r="F1820" s="54"/>
      <c r="G1820" s="54"/>
      <c r="H1820" s="54"/>
      <c r="I1820" s="66"/>
      <c r="J1820" s="54"/>
      <c r="K1820" s="54"/>
      <c r="L1820" s="54"/>
      <c r="M1820" s="97" t="str">
        <f t="shared" si="162"/>
        <v/>
      </c>
      <c r="N1820" s="70"/>
      <c r="O1820" s="71" t="str">
        <f t="shared" si="166"/>
        <v/>
      </c>
      <c r="P1820" s="66"/>
      <c r="Q1820" s="66"/>
      <c r="R1820" s="54"/>
      <c r="S1820" s="82"/>
      <c r="T1820" s="83" t="str">
        <f t="shared" si="163"/>
        <v/>
      </c>
      <c r="U1820" s="10"/>
      <c r="V1820" s="41">
        <f>IF(AND(Q1820&lt;&gt;"",RIGHT(Q1820,3)&lt;&gt;""),IF(COUNTIF($Q$6:Q1820,Q1820)=1,1,0),0)</f>
        <v>0</v>
      </c>
      <c r="W1820" s="41" t="str">
        <f t="shared" si="164"/>
        <v/>
      </c>
      <c r="X1820" s="41" t="str">
        <f t="shared" si="165"/>
        <v/>
      </c>
    </row>
    <row r="1821" s="32" customFormat="1" hidden="1" customHeight="1" spans="1:24">
      <c r="A1821" s="34"/>
      <c r="B1821" s="51"/>
      <c r="C1821" s="51"/>
      <c r="D1821" s="52"/>
      <c r="E1821" s="53"/>
      <c r="F1821" s="54"/>
      <c r="G1821" s="54"/>
      <c r="H1821" s="54"/>
      <c r="I1821" s="66"/>
      <c r="J1821" s="54"/>
      <c r="K1821" s="54"/>
      <c r="L1821" s="54"/>
      <c r="M1821" s="97" t="str">
        <f t="shared" si="162"/>
        <v/>
      </c>
      <c r="N1821" s="70"/>
      <c r="O1821" s="71" t="str">
        <f t="shared" si="166"/>
        <v/>
      </c>
      <c r="P1821" s="66"/>
      <c r="Q1821" s="66"/>
      <c r="R1821" s="54"/>
      <c r="S1821" s="82"/>
      <c r="T1821" s="83" t="str">
        <f t="shared" si="163"/>
        <v/>
      </c>
      <c r="U1821" s="10"/>
      <c r="V1821" s="41">
        <f>IF(AND(Q1821&lt;&gt;"",RIGHT(Q1821,3)&lt;&gt;""),IF(COUNTIF($Q$6:Q1821,Q1821)=1,1,0),0)</f>
        <v>0</v>
      </c>
      <c r="W1821" s="41" t="str">
        <f t="shared" si="164"/>
        <v/>
      </c>
      <c r="X1821" s="41" t="str">
        <f t="shared" si="165"/>
        <v/>
      </c>
    </row>
    <row r="1822" s="32" customFormat="1" hidden="1" customHeight="1" spans="1:24">
      <c r="A1822" s="34"/>
      <c r="B1822" s="51"/>
      <c r="C1822" s="51"/>
      <c r="D1822" s="52"/>
      <c r="E1822" s="53"/>
      <c r="F1822" s="54"/>
      <c r="G1822" s="54"/>
      <c r="H1822" s="54"/>
      <c r="I1822" s="66"/>
      <c r="J1822" s="54"/>
      <c r="K1822" s="54"/>
      <c r="L1822" s="54"/>
      <c r="M1822" s="97" t="str">
        <f t="shared" si="162"/>
        <v/>
      </c>
      <c r="N1822" s="70"/>
      <c r="O1822" s="71" t="str">
        <f t="shared" si="166"/>
        <v/>
      </c>
      <c r="P1822" s="66"/>
      <c r="Q1822" s="66"/>
      <c r="R1822" s="54"/>
      <c r="S1822" s="82"/>
      <c r="T1822" s="83" t="str">
        <f t="shared" si="163"/>
        <v/>
      </c>
      <c r="U1822" s="10"/>
      <c r="V1822" s="41">
        <f>IF(AND(Q1822&lt;&gt;"",RIGHT(Q1822,3)&lt;&gt;""),IF(COUNTIF($Q$6:Q1822,Q1822)=1,1,0),0)</f>
        <v>0</v>
      </c>
      <c r="W1822" s="41" t="str">
        <f t="shared" si="164"/>
        <v/>
      </c>
      <c r="X1822" s="41" t="str">
        <f t="shared" si="165"/>
        <v/>
      </c>
    </row>
    <row r="1823" s="32" customFormat="1" hidden="1" customHeight="1" spans="1:24">
      <c r="A1823" s="34"/>
      <c r="B1823" s="51"/>
      <c r="C1823" s="51"/>
      <c r="D1823" s="52"/>
      <c r="E1823" s="53"/>
      <c r="F1823" s="54"/>
      <c r="G1823" s="54"/>
      <c r="H1823" s="54"/>
      <c r="I1823" s="66"/>
      <c r="J1823" s="54"/>
      <c r="K1823" s="54"/>
      <c r="L1823" s="54"/>
      <c r="M1823" s="97" t="str">
        <f t="shared" si="162"/>
        <v/>
      </c>
      <c r="N1823" s="70"/>
      <c r="O1823" s="71" t="str">
        <f t="shared" si="166"/>
        <v/>
      </c>
      <c r="P1823" s="66"/>
      <c r="Q1823" s="66"/>
      <c r="R1823" s="54"/>
      <c r="S1823" s="82"/>
      <c r="T1823" s="83" t="str">
        <f t="shared" si="163"/>
        <v/>
      </c>
      <c r="U1823" s="10"/>
      <c r="V1823" s="41">
        <f>IF(AND(Q1823&lt;&gt;"",RIGHT(Q1823,3)&lt;&gt;""),IF(COUNTIF($Q$6:Q1823,Q1823)=1,1,0),0)</f>
        <v>0</v>
      </c>
      <c r="W1823" s="41" t="str">
        <f t="shared" si="164"/>
        <v/>
      </c>
      <c r="X1823" s="41" t="str">
        <f t="shared" si="165"/>
        <v/>
      </c>
    </row>
    <row r="1824" s="32" customFormat="1" hidden="1" customHeight="1" spans="1:24">
      <c r="A1824" s="34"/>
      <c r="B1824" s="51"/>
      <c r="C1824" s="51"/>
      <c r="D1824" s="52"/>
      <c r="E1824" s="53"/>
      <c r="F1824" s="54"/>
      <c r="G1824" s="54"/>
      <c r="H1824" s="54"/>
      <c r="I1824" s="66"/>
      <c r="J1824" s="54"/>
      <c r="K1824" s="54"/>
      <c r="L1824" s="54"/>
      <c r="M1824" s="97" t="str">
        <f t="shared" si="162"/>
        <v/>
      </c>
      <c r="N1824" s="70"/>
      <c r="O1824" s="71" t="str">
        <f t="shared" si="166"/>
        <v/>
      </c>
      <c r="P1824" s="66"/>
      <c r="Q1824" s="66"/>
      <c r="R1824" s="54"/>
      <c r="S1824" s="82"/>
      <c r="T1824" s="83" t="str">
        <f t="shared" si="163"/>
        <v/>
      </c>
      <c r="U1824" s="10"/>
      <c r="V1824" s="41">
        <f>IF(AND(Q1824&lt;&gt;"",RIGHT(Q1824,3)&lt;&gt;""),IF(COUNTIF($Q$6:Q1824,Q1824)=1,1,0),0)</f>
        <v>0</v>
      </c>
      <c r="W1824" s="41" t="str">
        <f t="shared" si="164"/>
        <v/>
      </c>
      <c r="X1824" s="41" t="str">
        <f t="shared" si="165"/>
        <v/>
      </c>
    </row>
    <row r="1825" s="32" customFormat="1" hidden="1" customHeight="1" spans="1:24">
      <c r="A1825" s="34"/>
      <c r="B1825" s="51"/>
      <c r="C1825" s="51"/>
      <c r="D1825" s="52"/>
      <c r="E1825" s="53"/>
      <c r="F1825" s="54"/>
      <c r="G1825" s="54"/>
      <c r="H1825" s="54"/>
      <c r="I1825" s="66"/>
      <c r="J1825" s="54"/>
      <c r="K1825" s="54"/>
      <c r="L1825" s="54"/>
      <c r="M1825" s="97" t="str">
        <f t="shared" si="162"/>
        <v/>
      </c>
      <c r="N1825" s="70"/>
      <c r="O1825" s="71" t="str">
        <f t="shared" si="166"/>
        <v/>
      </c>
      <c r="P1825" s="66"/>
      <c r="Q1825" s="66"/>
      <c r="R1825" s="54"/>
      <c r="S1825" s="82"/>
      <c r="T1825" s="83" t="str">
        <f t="shared" si="163"/>
        <v/>
      </c>
      <c r="U1825" s="10"/>
      <c r="V1825" s="41">
        <f>IF(AND(Q1825&lt;&gt;"",RIGHT(Q1825,3)&lt;&gt;""),IF(COUNTIF($Q$6:Q1825,Q1825)=1,1,0),0)</f>
        <v>0</v>
      </c>
      <c r="W1825" s="41" t="str">
        <f t="shared" si="164"/>
        <v/>
      </c>
      <c r="X1825" s="41" t="str">
        <f t="shared" si="165"/>
        <v/>
      </c>
    </row>
    <row r="1826" s="32" customFormat="1" hidden="1" customHeight="1" spans="1:24">
      <c r="A1826" s="34"/>
      <c r="B1826" s="51"/>
      <c r="C1826" s="51"/>
      <c r="D1826" s="52"/>
      <c r="E1826" s="53"/>
      <c r="F1826" s="54"/>
      <c r="G1826" s="54"/>
      <c r="H1826" s="54"/>
      <c r="I1826" s="66"/>
      <c r="J1826" s="54"/>
      <c r="K1826" s="54"/>
      <c r="L1826" s="54"/>
      <c r="M1826" s="97" t="str">
        <f t="shared" si="162"/>
        <v/>
      </c>
      <c r="N1826" s="70"/>
      <c r="O1826" s="71" t="str">
        <f t="shared" si="166"/>
        <v/>
      </c>
      <c r="P1826" s="66"/>
      <c r="Q1826" s="66"/>
      <c r="R1826" s="54"/>
      <c r="S1826" s="82"/>
      <c r="T1826" s="83" t="str">
        <f t="shared" si="163"/>
        <v/>
      </c>
      <c r="U1826" s="10"/>
      <c r="V1826" s="41">
        <f>IF(AND(Q1826&lt;&gt;"",RIGHT(Q1826,3)&lt;&gt;""),IF(COUNTIF($Q$6:Q1826,Q1826)=1,1,0),0)</f>
        <v>0</v>
      </c>
      <c r="W1826" s="41" t="str">
        <f t="shared" si="164"/>
        <v/>
      </c>
      <c r="X1826" s="41" t="str">
        <f t="shared" si="165"/>
        <v/>
      </c>
    </row>
    <row r="1827" s="32" customFormat="1" hidden="1" customHeight="1" spans="1:24">
      <c r="A1827" s="34"/>
      <c r="B1827" s="51"/>
      <c r="C1827" s="51"/>
      <c r="D1827" s="52"/>
      <c r="E1827" s="53"/>
      <c r="F1827" s="54"/>
      <c r="G1827" s="54"/>
      <c r="H1827" s="54"/>
      <c r="I1827" s="66"/>
      <c r="J1827" s="54"/>
      <c r="K1827" s="54"/>
      <c r="L1827" s="54"/>
      <c r="M1827" s="97" t="str">
        <f t="shared" si="162"/>
        <v/>
      </c>
      <c r="N1827" s="70"/>
      <c r="O1827" s="71" t="str">
        <f t="shared" si="166"/>
        <v/>
      </c>
      <c r="P1827" s="66"/>
      <c r="Q1827" s="66"/>
      <c r="R1827" s="54"/>
      <c r="S1827" s="82"/>
      <c r="T1827" s="83" t="str">
        <f t="shared" si="163"/>
        <v/>
      </c>
      <c r="U1827" s="10"/>
      <c r="V1827" s="41">
        <f>IF(AND(Q1827&lt;&gt;"",RIGHT(Q1827,3)&lt;&gt;""),IF(COUNTIF($Q$6:Q1827,Q1827)=1,1,0),0)</f>
        <v>0</v>
      </c>
      <c r="W1827" s="41" t="str">
        <f t="shared" si="164"/>
        <v/>
      </c>
      <c r="X1827" s="41" t="str">
        <f t="shared" si="165"/>
        <v/>
      </c>
    </row>
    <row r="1828" s="32" customFormat="1" hidden="1" customHeight="1" spans="1:24">
      <c r="A1828" s="34"/>
      <c r="B1828" s="51"/>
      <c r="C1828" s="51"/>
      <c r="D1828" s="52"/>
      <c r="E1828" s="53"/>
      <c r="F1828" s="54"/>
      <c r="G1828" s="54"/>
      <c r="H1828" s="54"/>
      <c r="I1828" s="66"/>
      <c r="J1828" s="54"/>
      <c r="K1828" s="54"/>
      <c r="L1828" s="54"/>
      <c r="M1828" s="97" t="str">
        <f t="shared" ref="M1828:M1891" si="167">IF(L1828="","",HYPERLINK(_xlfn.CONCAT($L$4,L1828,".jpg"),"Open File"))</f>
        <v/>
      </c>
      <c r="N1828" s="70"/>
      <c r="O1828" s="71" t="str">
        <f t="shared" si="166"/>
        <v/>
      </c>
      <c r="P1828" s="66"/>
      <c r="Q1828" s="66"/>
      <c r="R1828" s="54"/>
      <c r="S1828" s="82"/>
      <c r="T1828" s="83" t="str">
        <f t="shared" ref="T1828:T1891" si="168">IF(S1828="","",HYPERLINK(_xlfn.CONCAT($S$4,S1828,".jpg"),"Open File"))</f>
        <v/>
      </c>
      <c r="U1828" s="10"/>
      <c r="V1828" s="41">
        <f>IF(AND(Q1828&lt;&gt;"",RIGHT(Q1828,3)&lt;&gt;""),IF(COUNTIF($Q$6:Q1828,Q1828)=1,1,0),0)</f>
        <v>0</v>
      </c>
      <c r="W1828" s="41" t="str">
        <f t="shared" ref="W1828:W1891" si="169">IF(AND(J1828&lt;&gt;"",K1828&lt;&gt;""),_xlfn.CONCAT(SUBSTITUTE(J1828,"/","."),"-",K1828),"")</f>
        <v/>
      </c>
      <c r="X1828" s="41" t="str">
        <f t="shared" ref="X1828:X1891" si="170">IF(AND(Q1828&lt;&gt;"",R1828&lt;&gt;""),_xlfn.CONCAT(SUBSTITUTE(Q1828,"/","."),"-",R1828),"")</f>
        <v/>
      </c>
    </row>
    <row r="1829" s="32" customFormat="1" hidden="1" customHeight="1" spans="1:24">
      <c r="A1829" s="34"/>
      <c r="B1829" s="51"/>
      <c r="C1829" s="51"/>
      <c r="D1829" s="52"/>
      <c r="E1829" s="53"/>
      <c r="F1829" s="54"/>
      <c r="G1829" s="54"/>
      <c r="H1829" s="54"/>
      <c r="I1829" s="66"/>
      <c r="J1829" s="54"/>
      <c r="K1829" s="54"/>
      <c r="L1829" s="54"/>
      <c r="M1829" s="97" t="str">
        <f t="shared" si="167"/>
        <v/>
      </c>
      <c r="N1829" s="70"/>
      <c r="O1829" s="71" t="str">
        <f t="shared" si="166"/>
        <v/>
      </c>
      <c r="P1829" s="66"/>
      <c r="Q1829" s="66"/>
      <c r="R1829" s="54"/>
      <c r="S1829" s="82"/>
      <c r="T1829" s="83" t="str">
        <f t="shared" si="168"/>
        <v/>
      </c>
      <c r="U1829" s="10"/>
      <c r="V1829" s="41">
        <f>IF(AND(Q1829&lt;&gt;"",RIGHT(Q1829,3)&lt;&gt;""),IF(COUNTIF($Q$6:Q1829,Q1829)=1,1,0),0)</f>
        <v>0</v>
      </c>
      <c r="W1829" s="41" t="str">
        <f t="shared" si="169"/>
        <v/>
      </c>
      <c r="X1829" s="41" t="str">
        <f t="shared" si="170"/>
        <v/>
      </c>
    </row>
    <row r="1830" s="32" customFormat="1" hidden="1" customHeight="1" spans="1:24">
      <c r="A1830" s="34"/>
      <c r="B1830" s="51"/>
      <c r="C1830" s="51"/>
      <c r="D1830" s="52"/>
      <c r="E1830" s="53"/>
      <c r="F1830" s="54"/>
      <c r="G1830" s="54"/>
      <c r="H1830" s="54"/>
      <c r="I1830" s="66"/>
      <c r="J1830" s="54"/>
      <c r="K1830" s="54"/>
      <c r="L1830" s="54"/>
      <c r="M1830" s="97" t="str">
        <f t="shared" si="167"/>
        <v/>
      </c>
      <c r="N1830" s="70"/>
      <c r="O1830" s="71" t="str">
        <f t="shared" si="166"/>
        <v/>
      </c>
      <c r="P1830" s="66"/>
      <c r="Q1830" s="66"/>
      <c r="R1830" s="54"/>
      <c r="S1830" s="82"/>
      <c r="T1830" s="83" t="str">
        <f t="shared" si="168"/>
        <v/>
      </c>
      <c r="U1830" s="10"/>
      <c r="V1830" s="41">
        <f>IF(AND(Q1830&lt;&gt;"",RIGHT(Q1830,3)&lt;&gt;""),IF(COUNTIF($Q$6:Q1830,Q1830)=1,1,0),0)</f>
        <v>0</v>
      </c>
      <c r="W1830" s="41" t="str">
        <f t="shared" si="169"/>
        <v/>
      </c>
      <c r="X1830" s="41" t="str">
        <f t="shared" si="170"/>
        <v/>
      </c>
    </row>
    <row r="1831" s="32" customFormat="1" hidden="1" customHeight="1" spans="1:24">
      <c r="A1831" s="34"/>
      <c r="B1831" s="51"/>
      <c r="C1831" s="51"/>
      <c r="D1831" s="52"/>
      <c r="E1831" s="53"/>
      <c r="F1831" s="54"/>
      <c r="G1831" s="54"/>
      <c r="H1831" s="54"/>
      <c r="I1831" s="66"/>
      <c r="J1831" s="54"/>
      <c r="K1831" s="54"/>
      <c r="L1831" s="54"/>
      <c r="M1831" s="97" t="str">
        <f t="shared" si="167"/>
        <v/>
      </c>
      <c r="N1831" s="70"/>
      <c r="O1831" s="71" t="str">
        <f t="shared" si="166"/>
        <v/>
      </c>
      <c r="P1831" s="66"/>
      <c r="Q1831" s="66"/>
      <c r="R1831" s="54"/>
      <c r="S1831" s="82"/>
      <c r="T1831" s="83" t="str">
        <f t="shared" si="168"/>
        <v/>
      </c>
      <c r="U1831" s="10"/>
      <c r="V1831" s="41">
        <f>IF(AND(Q1831&lt;&gt;"",RIGHT(Q1831,3)&lt;&gt;""),IF(COUNTIF($Q$6:Q1831,Q1831)=1,1,0),0)</f>
        <v>0</v>
      </c>
      <c r="W1831" s="41" t="str">
        <f t="shared" si="169"/>
        <v/>
      </c>
      <c r="X1831" s="41" t="str">
        <f t="shared" si="170"/>
        <v/>
      </c>
    </row>
    <row r="1832" s="32" customFormat="1" hidden="1" customHeight="1" spans="1:24">
      <c r="A1832" s="34"/>
      <c r="B1832" s="51"/>
      <c r="C1832" s="51"/>
      <c r="D1832" s="52"/>
      <c r="E1832" s="53"/>
      <c r="F1832" s="54"/>
      <c r="G1832" s="54"/>
      <c r="H1832" s="54"/>
      <c r="I1832" s="66"/>
      <c r="J1832" s="54"/>
      <c r="K1832" s="54"/>
      <c r="L1832" s="54"/>
      <c r="M1832" s="97" t="str">
        <f t="shared" si="167"/>
        <v/>
      </c>
      <c r="N1832" s="70"/>
      <c r="O1832" s="71" t="str">
        <f t="shared" si="166"/>
        <v/>
      </c>
      <c r="P1832" s="66"/>
      <c r="Q1832" s="66"/>
      <c r="R1832" s="54"/>
      <c r="S1832" s="82"/>
      <c r="T1832" s="83" t="str">
        <f t="shared" si="168"/>
        <v/>
      </c>
      <c r="U1832" s="10"/>
      <c r="V1832" s="41">
        <f>IF(AND(Q1832&lt;&gt;"",RIGHT(Q1832,3)&lt;&gt;""),IF(COUNTIF($Q$6:Q1832,Q1832)=1,1,0),0)</f>
        <v>0</v>
      </c>
      <c r="W1832" s="41" t="str">
        <f t="shared" si="169"/>
        <v/>
      </c>
      <c r="X1832" s="41" t="str">
        <f t="shared" si="170"/>
        <v/>
      </c>
    </row>
    <row r="1833" s="32" customFormat="1" hidden="1" customHeight="1" spans="1:24">
      <c r="A1833" s="34"/>
      <c r="B1833" s="51"/>
      <c r="C1833" s="51"/>
      <c r="D1833" s="52"/>
      <c r="E1833" s="53"/>
      <c r="F1833" s="54"/>
      <c r="G1833" s="54"/>
      <c r="H1833" s="54"/>
      <c r="I1833" s="66"/>
      <c r="J1833" s="54"/>
      <c r="K1833" s="54"/>
      <c r="L1833" s="54"/>
      <c r="M1833" s="97" t="str">
        <f t="shared" si="167"/>
        <v/>
      </c>
      <c r="N1833" s="70"/>
      <c r="O1833" s="71" t="str">
        <f t="shared" si="166"/>
        <v/>
      </c>
      <c r="P1833" s="66"/>
      <c r="Q1833" s="66"/>
      <c r="R1833" s="54"/>
      <c r="S1833" s="82"/>
      <c r="T1833" s="83" t="str">
        <f t="shared" si="168"/>
        <v/>
      </c>
      <c r="U1833" s="10"/>
      <c r="V1833" s="41">
        <f>IF(AND(Q1833&lt;&gt;"",RIGHT(Q1833,3)&lt;&gt;""),IF(COUNTIF($Q$6:Q1833,Q1833)=1,1,0),0)</f>
        <v>0</v>
      </c>
      <c r="W1833" s="41" t="str">
        <f t="shared" si="169"/>
        <v/>
      </c>
      <c r="X1833" s="41" t="str">
        <f t="shared" si="170"/>
        <v/>
      </c>
    </row>
    <row r="1834" s="32" customFormat="1" hidden="1" customHeight="1" spans="1:24">
      <c r="A1834" s="34"/>
      <c r="B1834" s="51"/>
      <c r="C1834" s="51"/>
      <c r="D1834" s="52"/>
      <c r="E1834" s="53"/>
      <c r="F1834" s="54"/>
      <c r="G1834" s="54"/>
      <c r="H1834" s="54"/>
      <c r="I1834" s="66"/>
      <c r="J1834" s="54"/>
      <c r="K1834" s="54"/>
      <c r="L1834" s="54"/>
      <c r="M1834" s="97" t="str">
        <f t="shared" si="167"/>
        <v/>
      </c>
      <c r="N1834" s="70"/>
      <c r="O1834" s="71" t="str">
        <f t="shared" si="166"/>
        <v/>
      </c>
      <c r="P1834" s="66"/>
      <c r="Q1834" s="66"/>
      <c r="R1834" s="54"/>
      <c r="S1834" s="82"/>
      <c r="T1834" s="83" t="str">
        <f t="shared" si="168"/>
        <v/>
      </c>
      <c r="U1834" s="10"/>
      <c r="V1834" s="41">
        <f>IF(AND(Q1834&lt;&gt;"",RIGHT(Q1834,3)&lt;&gt;""),IF(COUNTIF($Q$6:Q1834,Q1834)=1,1,0),0)</f>
        <v>0</v>
      </c>
      <c r="W1834" s="41" t="str">
        <f t="shared" si="169"/>
        <v/>
      </c>
      <c r="X1834" s="41" t="str">
        <f t="shared" si="170"/>
        <v/>
      </c>
    </row>
    <row r="1835" s="32" customFormat="1" hidden="1" customHeight="1" spans="1:24">
      <c r="A1835" s="34"/>
      <c r="B1835" s="51"/>
      <c r="C1835" s="51"/>
      <c r="D1835" s="52"/>
      <c r="E1835" s="53"/>
      <c r="F1835" s="54"/>
      <c r="G1835" s="54"/>
      <c r="H1835" s="54"/>
      <c r="I1835" s="66"/>
      <c r="J1835" s="54"/>
      <c r="K1835" s="54"/>
      <c r="L1835" s="54"/>
      <c r="M1835" s="97" t="str">
        <f t="shared" si="167"/>
        <v/>
      </c>
      <c r="N1835" s="70"/>
      <c r="O1835" s="71" t="str">
        <f t="shared" si="166"/>
        <v/>
      </c>
      <c r="P1835" s="66"/>
      <c r="Q1835" s="66"/>
      <c r="R1835" s="54"/>
      <c r="S1835" s="82"/>
      <c r="T1835" s="83" t="str">
        <f t="shared" si="168"/>
        <v/>
      </c>
      <c r="U1835" s="10"/>
      <c r="V1835" s="41">
        <f>IF(AND(Q1835&lt;&gt;"",RIGHT(Q1835,3)&lt;&gt;""),IF(COUNTIF($Q$6:Q1835,Q1835)=1,1,0),0)</f>
        <v>0</v>
      </c>
      <c r="W1835" s="41" t="str">
        <f t="shared" si="169"/>
        <v/>
      </c>
      <c r="X1835" s="41" t="str">
        <f t="shared" si="170"/>
        <v/>
      </c>
    </row>
    <row r="1836" s="32" customFormat="1" hidden="1" customHeight="1" spans="1:24">
      <c r="A1836" s="34"/>
      <c r="B1836" s="51"/>
      <c r="C1836" s="51"/>
      <c r="D1836" s="52"/>
      <c r="E1836" s="53"/>
      <c r="F1836" s="54"/>
      <c r="G1836" s="54"/>
      <c r="H1836" s="54"/>
      <c r="I1836" s="66"/>
      <c r="J1836" s="54"/>
      <c r="K1836" s="54"/>
      <c r="L1836" s="54"/>
      <c r="M1836" s="97" t="str">
        <f t="shared" si="167"/>
        <v/>
      </c>
      <c r="N1836" s="70"/>
      <c r="O1836" s="71" t="str">
        <f t="shared" si="166"/>
        <v/>
      </c>
      <c r="P1836" s="66"/>
      <c r="Q1836" s="66"/>
      <c r="R1836" s="54"/>
      <c r="S1836" s="82"/>
      <c r="T1836" s="83" t="str">
        <f t="shared" si="168"/>
        <v/>
      </c>
      <c r="U1836" s="10"/>
      <c r="V1836" s="41">
        <f>IF(AND(Q1836&lt;&gt;"",RIGHT(Q1836,3)&lt;&gt;""),IF(COUNTIF($Q$6:Q1836,Q1836)=1,1,0),0)</f>
        <v>0</v>
      </c>
      <c r="W1836" s="41" t="str">
        <f t="shared" si="169"/>
        <v/>
      </c>
      <c r="X1836" s="41" t="str">
        <f t="shared" si="170"/>
        <v/>
      </c>
    </row>
    <row r="1837" s="32" customFormat="1" hidden="1" customHeight="1" spans="1:24">
      <c r="A1837" s="34"/>
      <c r="B1837" s="51"/>
      <c r="C1837" s="51"/>
      <c r="D1837" s="52"/>
      <c r="E1837" s="53"/>
      <c r="F1837" s="54"/>
      <c r="G1837" s="54"/>
      <c r="H1837" s="54"/>
      <c r="I1837" s="66"/>
      <c r="J1837" s="54"/>
      <c r="K1837" s="54"/>
      <c r="L1837" s="54"/>
      <c r="M1837" s="97" t="str">
        <f t="shared" si="167"/>
        <v/>
      </c>
      <c r="N1837" s="70"/>
      <c r="O1837" s="71" t="str">
        <f t="shared" si="166"/>
        <v/>
      </c>
      <c r="P1837" s="66"/>
      <c r="Q1837" s="66"/>
      <c r="R1837" s="54"/>
      <c r="S1837" s="82"/>
      <c r="T1837" s="83" t="str">
        <f t="shared" si="168"/>
        <v/>
      </c>
      <c r="U1837" s="10"/>
      <c r="V1837" s="41">
        <f>IF(AND(Q1837&lt;&gt;"",RIGHT(Q1837,3)&lt;&gt;""),IF(COUNTIF($Q$6:Q1837,Q1837)=1,1,0),0)</f>
        <v>0</v>
      </c>
      <c r="W1837" s="41" t="str">
        <f t="shared" si="169"/>
        <v/>
      </c>
      <c r="X1837" s="41" t="str">
        <f t="shared" si="170"/>
        <v/>
      </c>
    </row>
    <row r="1838" s="32" customFormat="1" hidden="1" customHeight="1" spans="1:24">
      <c r="A1838" s="34"/>
      <c r="B1838" s="51"/>
      <c r="C1838" s="51"/>
      <c r="D1838" s="52"/>
      <c r="E1838" s="53"/>
      <c r="F1838" s="54"/>
      <c r="G1838" s="54"/>
      <c r="H1838" s="54"/>
      <c r="I1838" s="66"/>
      <c r="J1838" s="54"/>
      <c r="K1838" s="54"/>
      <c r="L1838" s="54"/>
      <c r="M1838" s="97" t="str">
        <f t="shared" si="167"/>
        <v/>
      </c>
      <c r="N1838" s="70"/>
      <c r="O1838" s="71" t="str">
        <f t="shared" si="166"/>
        <v/>
      </c>
      <c r="P1838" s="66"/>
      <c r="Q1838" s="66"/>
      <c r="R1838" s="54"/>
      <c r="S1838" s="82"/>
      <c r="T1838" s="83" t="str">
        <f t="shared" si="168"/>
        <v/>
      </c>
      <c r="U1838" s="10"/>
      <c r="V1838" s="41">
        <f>IF(AND(Q1838&lt;&gt;"",RIGHT(Q1838,3)&lt;&gt;""),IF(COUNTIF($Q$6:Q1838,Q1838)=1,1,0),0)</f>
        <v>0</v>
      </c>
      <c r="W1838" s="41" t="str">
        <f t="shared" si="169"/>
        <v/>
      </c>
      <c r="X1838" s="41" t="str">
        <f t="shared" si="170"/>
        <v/>
      </c>
    </row>
    <row r="1839" s="32" customFormat="1" hidden="1" customHeight="1" spans="1:24">
      <c r="A1839" s="34"/>
      <c r="B1839" s="51"/>
      <c r="C1839" s="51"/>
      <c r="D1839" s="52"/>
      <c r="E1839" s="53"/>
      <c r="F1839" s="54"/>
      <c r="G1839" s="54"/>
      <c r="H1839" s="54"/>
      <c r="I1839" s="66"/>
      <c r="J1839" s="54"/>
      <c r="K1839" s="54"/>
      <c r="L1839" s="54"/>
      <c r="M1839" s="97" t="str">
        <f t="shared" si="167"/>
        <v/>
      </c>
      <c r="N1839" s="70"/>
      <c r="O1839" s="71" t="str">
        <f t="shared" si="166"/>
        <v/>
      </c>
      <c r="P1839" s="66"/>
      <c r="Q1839" s="66"/>
      <c r="R1839" s="54"/>
      <c r="S1839" s="82"/>
      <c r="T1839" s="83" t="str">
        <f t="shared" si="168"/>
        <v/>
      </c>
      <c r="U1839" s="10"/>
      <c r="V1839" s="41">
        <f>IF(AND(Q1839&lt;&gt;"",RIGHT(Q1839,3)&lt;&gt;""),IF(COUNTIF($Q$6:Q1839,Q1839)=1,1,0),0)</f>
        <v>0</v>
      </c>
      <c r="W1839" s="41" t="str">
        <f t="shared" si="169"/>
        <v/>
      </c>
      <c r="X1839" s="41" t="str">
        <f t="shared" si="170"/>
        <v/>
      </c>
    </row>
    <row r="1840" s="32" customFormat="1" hidden="1" customHeight="1" spans="1:24">
      <c r="A1840" s="34"/>
      <c r="B1840" s="51"/>
      <c r="C1840" s="51"/>
      <c r="D1840" s="52"/>
      <c r="E1840" s="53"/>
      <c r="F1840" s="54"/>
      <c r="G1840" s="54"/>
      <c r="H1840" s="54"/>
      <c r="I1840" s="66"/>
      <c r="J1840" s="54"/>
      <c r="K1840" s="54"/>
      <c r="L1840" s="54"/>
      <c r="M1840" s="97" t="str">
        <f t="shared" si="167"/>
        <v/>
      </c>
      <c r="N1840" s="70"/>
      <c r="O1840" s="71" t="str">
        <f t="shared" si="166"/>
        <v/>
      </c>
      <c r="P1840" s="66"/>
      <c r="Q1840" s="66"/>
      <c r="R1840" s="54"/>
      <c r="S1840" s="82"/>
      <c r="T1840" s="83" t="str">
        <f t="shared" si="168"/>
        <v/>
      </c>
      <c r="U1840" s="10"/>
      <c r="V1840" s="41">
        <f>IF(AND(Q1840&lt;&gt;"",RIGHT(Q1840,3)&lt;&gt;""),IF(COUNTIF($Q$6:Q1840,Q1840)=1,1,0),0)</f>
        <v>0</v>
      </c>
      <c r="W1840" s="41" t="str">
        <f t="shared" si="169"/>
        <v/>
      </c>
      <c r="X1840" s="41" t="str">
        <f t="shared" si="170"/>
        <v/>
      </c>
    </row>
    <row r="1841" s="32" customFormat="1" hidden="1" customHeight="1" spans="1:24">
      <c r="A1841" s="34"/>
      <c r="B1841" s="51"/>
      <c r="C1841" s="51"/>
      <c r="D1841" s="52"/>
      <c r="E1841" s="53"/>
      <c r="F1841" s="54"/>
      <c r="G1841" s="54"/>
      <c r="H1841" s="54"/>
      <c r="I1841" s="66"/>
      <c r="J1841" s="54"/>
      <c r="K1841" s="54"/>
      <c r="L1841" s="54"/>
      <c r="M1841" s="97" t="str">
        <f t="shared" si="167"/>
        <v/>
      </c>
      <c r="N1841" s="70"/>
      <c r="O1841" s="71" t="str">
        <f t="shared" ref="O1841:O1904" si="171">IF(AND(Q1841&lt;&gt;"",T1841&lt;&gt;""),"PASSIVE",IF(AND(J1841&lt;&gt;"",M1841&lt;&gt;""),"ACTIVE",""))</f>
        <v/>
      </c>
      <c r="P1841" s="66"/>
      <c r="Q1841" s="66"/>
      <c r="R1841" s="54"/>
      <c r="S1841" s="82"/>
      <c r="T1841" s="83" t="str">
        <f t="shared" si="168"/>
        <v/>
      </c>
      <c r="U1841" s="10"/>
      <c r="V1841" s="41">
        <f>IF(AND(Q1841&lt;&gt;"",RIGHT(Q1841,3)&lt;&gt;""),IF(COUNTIF($Q$6:Q1841,Q1841)=1,1,0),0)</f>
        <v>0</v>
      </c>
      <c r="W1841" s="41" t="str">
        <f t="shared" si="169"/>
        <v/>
      </c>
      <c r="X1841" s="41" t="str">
        <f t="shared" si="170"/>
        <v/>
      </c>
    </row>
    <row r="1842" s="32" customFormat="1" hidden="1" customHeight="1" spans="1:24">
      <c r="A1842" s="34"/>
      <c r="B1842" s="51"/>
      <c r="C1842" s="51"/>
      <c r="D1842" s="52"/>
      <c r="E1842" s="53"/>
      <c r="F1842" s="54"/>
      <c r="G1842" s="54"/>
      <c r="H1842" s="54"/>
      <c r="I1842" s="66"/>
      <c r="J1842" s="54"/>
      <c r="K1842" s="54"/>
      <c r="L1842" s="54"/>
      <c r="M1842" s="97" t="str">
        <f t="shared" si="167"/>
        <v/>
      </c>
      <c r="N1842" s="70"/>
      <c r="O1842" s="71" t="str">
        <f t="shared" si="171"/>
        <v/>
      </c>
      <c r="P1842" s="66"/>
      <c r="Q1842" s="66"/>
      <c r="R1842" s="54"/>
      <c r="S1842" s="82"/>
      <c r="T1842" s="83" t="str">
        <f t="shared" si="168"/>
        <v/>
      </c>
      <c r="U1842" s="10"/>
      <c r="V1842" s="41">
        <f>IF(AND(Q1842&lt;&gt;"",RIGHT(Q1842,3)&lt;&gt;""),IF(COUNTIF($Q$6:Q1842,Q1842)=1,1,0),0)</f>
        <v>0</v>
      </c>
      <c r="W1842" s="41" t="str">
        <f t="shared" si="169"/>
        <v/>
      </c>
      <c r="X1842" s="41" t="str">
        <f t="shared" si="170"/>
        <v/>
      </c>
    </row>
    <row r="1843" s="32" customFormat="1" hidden="1" customHeight="1" spans="1:24">
      <c r="A1843" s="34"/>
      <c r="B1843" s="51"/>
      <c r="C1843" s="51"/>
      <c r="D1843" s="52"/>
      <c r="E1843" s="53"/>
      <c r="F1843" s="54"/>
      <c r="G1843" s="54"/>
      <c r="H1843" s="54"/>
      <c r="I1843" s="66"/>
      <c r="J1843" s="54"/>
      <c r="K1843" s="54"/>
      <c r="L1843" s="54"/>
      <c r="M1843" s="97" t="str">
        <f t="shared" si="167"/>
        <v/>
      </c>
      <c r="N1843" s="70"/>
      <c r="O1843" s="71" t="str">
        <f t="shared" si="171"/>
        <v/>
      </c>
      <c r="P1843" s="66"/>
      <c r="Q1843" s="66"/>
      <c r="R1843" s="54"/>
      <c r="S1843" s="82"/>
      <c r="T1843" s="83" t="str">
        <f t="shared" si="168"/>
        <v/>
      </c>
      <c r="U1843" s="10"/>
      <c r="V1843" s="41">
        <f>IF(AND(Q1843&lt;&gt;"",RIGHT(Q1843,3)&lt;&gt;""),IF(COUNTIF($Q$6:Q1843,Q1843)=1,1,0),0)</f>
        <v>0</v>
      </c>
      <c r="W1843" s="41" t="str">
        <f t="shared" si="169"/>
        <v/>
      </c>
      <c r="X1843" s="41" t="str">
        <f t="shared" si="170"/>
        <v/>
      </c>
    </row>
    <row r="1844" s="32" customFormat="1" hidden="1" customHeight="1" spans="1:24">
      <c r="A1844" s="34"/>
      <c r="B1844" s="51"/>
      <c r="C1844" s="51"/>
      <c r="D1844" s="52"/>
      <c r="E1844" s="53"/>
      <c r="F1844" s="54"/>
      <c r="G1844" s="54"/>
      <c r="H1844" s="54"/>
      <c r="I1844" s="66"/>
      <c r="J1844" s="54"/>
      <c r="K1844" s="54"/>
      <c r="L1844" s="54"/>
      <c r="M1844" s="97" t="str">
        <f t="shared" si="167"/>
        <v/>
      </c>
      <c r="N1844" s="70"/>
      <c r="O1844" s="71" t="str">
        <f t="shared" si="171"/>
        <v/>
      </c>
      <c r="P1844" s="66"/>
      <c r="Q1844" s="66"/>
      <c r="R1844" s="54"/>
      <c r="S1844" s="82"/>
      <c r="T1844" s="83" t="str">
        <f t="shared" si="168"/>
        <v/>
      </c>
      <c r="U1844" s="10"/>
      <c r="V1844" s="41">
        <f>IF(AND(Q1844&lt;&gt;"",RIGHT(Q1844,3)&lt;&gt;""),IF(COUNTIF($Q$6:Q1844,Q1844)=1,1,0),0)</f>
        <v>0</v>
      </c>
      <c r="W1844" s="41" t="str">
        <f t="shared" si="169"/>
        <v/>
      </c>
      <c r="X1844" s="41" t="str">
        <f t="shared" si="170"/>
        <v/>
      </c>
    </row>
    <row r="1845" s="32" customFormat="1" hidden="1" customHeight="1" spans="1:24">
      <c r="A1845" s="34"/>
      <c r="B1845" s="51"/>
      <c r="C1845" s="51"/>
      <c r="D1845" s="52"/>
      <c r="E1845" s="53"/>
      <c r="F1845" s="54"/>
      <c r="G1845" s="54"/>
      <c r="H1845" s="54"/>
      <c r="I1845" s="66"/>
      <c r="J1845" s="54"/>
      <c r="K1845" s="54"/>
      <c r="L1845" s="54"/>
      <c r="M1845" s="97" t="str">
        <f t="shared" si="167"/>
        <v/>
      </c>
      <c r="N1845" s="70"/>
      <c r="O1845" s="71" t="str">
        <f t="shared" si="171"/>
        <v/>
      </c>
      <c r="P1845" s="66"/>
      <c r="Q1845" s="66"/>
      <c r="R1845" s="54"/>
      <c r="S1845" s="82"/>
      <c r="T1845" s="83" t="str">
        <f t="shared" si="168"/>
        <v/>
      </c>
      <c r="U1845" s="10"/>
      <c r="V1845" s="41">
        <f>IF(AND(Q1845&lt;&gt;"",RIGHT(Q1845,3)&lt;&gt;""),IF(COUNTIF($Q$6:Q1845,Q1845)=1,1,0),0)</f>
        <v>0</v>
      </c>
      <c r="W1845" s="41" t="str">
        <f t="shared" si="169"/>
        <v/>
      </c>
      <c r="X1845" s="41" t="str">
        <f t="shared" si="170"/>
        <v/>
      </c>
    </row>
    <row r="1846" s="32" customFormat="1" hidden="1" customHeight="1" spans="1:24">
      <c r="A1846" s="34"/>
      <c r="B1846" s="51"/>
      <c r="C1846" s="51"/>
      <c r="D1846" s="52"/>
      <c r="E1846" s="53"/>
      <c r="F1846" s="54"/>
      <c r="G1846" s="54"/>
      <c r="H1846" s="54"/>
      <c r="I1846" s="66"/>
      <c r="J1846" s="54"/>
      <c r="K1846" s="54"/>
      <c r="L1846" s="54"/>
      <c r="M1846" s="97" t="str">
        <f t="shared" si="167"/>
        <v/>
      </c>
      <c r="N1846" s="70"/>
      <c r="O1846" s="71" t="str">
        <f t="shared" si="171"/>
        <v/>
      </c>
      <c r="P1846" s="66"/>
      <c r="Q1846" s="66"/>
      <c r="R1846" s="54"/>
      <c r="S1846" s="82"/>
      <c r="T1846" s="83" t="str">
        <f t="shared" si="168"/>
        <v/>
      </c>
      <c r="U1846" s="10"/>
      <c r="V1846" s="41">
        <f>IF(AND(Q1846&lt;&gt;"",RIGHT(Q1846,3)&lt;&gt;""),IF(COUNTIF($Q$6:Q1846,Q1846)=1,1,0),0)</f>
        <v>0</v>
      </c>
      <c r="W1846" s="41" t="str">
        <f t="shared" si="169"/>
        <v/>
      </c>
      <c r="X1846" s="41" t="str">
        <f t="shared" si="170"/>
        <v/>
      </c>
    </row>
    <row r="1847" s="32" customFormat="1" hidden="1" customHeight="1" spans="1:24">
      <c r="A1847" s="34"/>
      <c r="B1847" s="51"/>
      <c r="C1847" s="51"/>
      <c r="D1847" s="52"/>
      <c r="E1847" s="53"/>
      <c r="F1847" s="54"/>
      <c r="G1847" s="54"/>
      <c r="H1847" s="54"/>
      <c r="I1847" s="66"/>
      <c r="J1847" s="54"/>
      <c r="K1847" s="54"/>
      <c r="L1847" s="54"/>
      <c r="M1847" s="97" t="str">
        <f t="shared" si="167"/>
        <v/>
      </c>
      <c r="N1847" s="70"/>
      <c r="O1847" s="71" t="str">
        <f t="shared" si="171"/>
        <v/>
      </c>
      <c r="P1847" s="66"/>
      <c r="Q1847" s="66"/>
      <c r="R1847" s="54"/>
      <c r="S1847" s="82"/>
      <c r="T1847" s="83" t="str">
        <f t="shared" si="168"/>
        <v/>
      </c>
      <c r="U1847" s="10"/>
      <c r="V1847" s="41">
        <f>IF(AND(Q1847&lt;&gt;"",RIGHT(Q1847,3)&lt;&gt;""),IF(COUNTIF($Q$6:Q1847,Q1847)=1,1,0),0)</f>
        <v>0</v>
      </c>
      <c r="W1847" s="41" t="str">
        <f t="shared" si="169"/>
        <v/>
      </c>
      <c r="X1847" s="41" t="str">
        <f t="shared" si="170"/>
        <v/>
      </c>
    </row>
    <row r="1848" s="32" customFormat="1" hidden="1" customHeight="1" spans="1:24">
      <c r="A1848" s="34"/>
      <c r="B1848" s="51"/>
      <c r="C1848" s="51"/>
      <c r="D1848" s="52"/>
      <c r="E1848" s="53"/>
      <c r="F1848" s="54"/>
      <c r="G1848" s="54"/>
      <c r="H1848" s="54"/>
      <c r="I1848" s="66"/>
      <c r="J1848" s="54"/>
      <c r="K1848" s="54"/>
      <c r="L1848" s="54"/>
      <c r="M1848" s="97" t="str">
        <f t="shared" si="167"/>
        <v/>
      </c>
      <c r="N1848" s="70"/>
      <c r="O1848" s="71" t="str">
        <f t="shared" si="171"/>
        <v/>
      </c>
      <c r="P1848" s="66"/>
      <c r="Q1848" s="66"/>
      <c r="R1848" s="54"/>
      <c r="S1848" s="82"/>
      <c r="T1848" s="83" t="str">
        <f t="shared" si="168"/>
        <v/>
      </c>
      <c r="U1848" s="10"/>
      <c r="V1848" s="41">
        <f>IF(AND(Q1848&lt;&gt;"",RIGHT(Q1848,3)&lt;&gt;""),IF(COUNTIF($Q$6:Q1848,Q1848)=1,1,0),0)</f>
        <v>0</v>
      </c>
      <c r="W1848" s="41" t="str">
        <f t="shared" si="169"/>
        <v/>
      </c>
      <c r="X1848" s="41" t="str">
        <f t="shared" si="170"/>
        <v/>
      </c>
    </row>
    <row r="1849" s="32" customFormat="1" hidden="1" customHeight="1" spans="1:24">
      <c r="A1849" s="34"/>
      <c r="B1849" s="51"/>
      <c r="C1849" s="51"/>
      <c r="D1849" s="52"/>
      <c r="E1849" s="53"/>
      <c r="F1849" s="54"/>
      <c r="G1849" s="54"/>
      <c r="H1849" s="54"/>
      <c r="I1849" s="66"/>
      <c r="J1849" s="54"/>
      <c r="K1849" s="54"/>
      <c r="L1849" s="54"/>
      <c r="M1849" s="97" t="str">
        <f t="shared" si="167"/>
        <v/>
      </c>
      <c r="N1849" s="70"/>
      <c r="O1849" s="71" t="str">
        <f t="shared" si="171"/>
        <v/>
      </c>
      <c r="P1849" s="66"/>
      <c r="Q1849" s="66"/>
      <c r="R1849" s="54"/>
      <c r="S1849" s="82"/>
      <c r="T1849" s="83" t="str">
        <f t="shared" si="168"/>
        <v/>
      </c>
      <c r="U1849" s="10"/>
      <c r="V1849" s="41">
        <f>IF(AND(Q1849&lt;&gt;"",RIGHT(Q1849,3)&lt;&gt;""),IF(COUNTIF($Q$6:Q1849,Q1849)=1,1,0),0)</f>
        <v>0</v>
      </c>
      <c r="W1849" s="41" t="str">
        <f t="shared" si="169"/>
        <v/>
      </c>
      <c r="X1849" s="41" t="str">
        <f t="shared" si="170"/>
        <v/>
      </c>
    </row>
    <row r="1850" s="32" customFormat="1" hidden="1" customHeight="1" spans="1:24">
      <c r="A1850" s="34"/>
      <c r="B1850" s="51"/>
      <c r="C1850" s="51"/>
      <c r="D1850" s="52"/>
      <c r="E1850" s="53"/>
      <c r="F1850" s="54"/>
      <c r="G1850" s="54"/>
      <c r="H1850" s="54"/>
      <c r="I1850" s="66"/>
      <c r="J1850" s="54"/>
      <c r="K1850" s="54"/>
      <c r="L1850" s="54"/>
      <c r="M1850" s="97" t="str">
        <f t="shared" si="167"/>
        <v/>
      </c>
      <c r="N1850" s="70"/>
      <c r="O1850" s="71" t="str">
        <f t="shared" si="171"/>
        <v/>
      </c>
      <c r="P1850" s="66"/>
      <c r="Q1850" s="66"/>
      <c r="R1850" s="54"/>
      <c r="S1850" s="82"/>
      <c r="T1850" s="83" t="str">
        <f t="shared" si="168"/>
        <v/>
      </c>
      <c r="U1850" s="10"/>
      <c r="V1850" s="41">
        <f>IF(AND(Q1850&lt;&gt;"",RIGHT(Q1850,3)&lt;&gt;""),IF(COUNTIF($Q$6:Q1850,Q1850)=1,1,0),0)</f>
        <v>0</v>
      </c>
      <c r="W1850" s="41" t="str">
        <f t="shared" si="169"/>
        <v/>
      </c>
      <c r="X1850" s="41" t="str">
        <f t="shared" si="170"/>
        <v/>
      </c>
    </row>
    <row r="1851" s="32" customFormat="1" hidden="1" customHeight="1" spans="1:24">
      <c r="A1851" s="34"/>
      <c r="B1851" s="51"/>
      <c r="C1851" s="51"/>
      <c r="D1851" s="52"/>
      <c r="E1851" s="53"/>
      <c r="F1851" s="54"/>
      <c r="G1851" s="54"/>
      <c r="H1851" s="54"/>
      <c r="I1851" s="66"/>
      <c r="J1851" s="54"/>
      <c r="K1851" s="54"/>
      <c r="L1851" s="54"/>
      <c r="M1851" s="97" t="str">
        <f t="shared" si="167"/>
        <v/>
      </c>
      <c r="N1851" s="70"/>
      <c r="O1851" s="71" t="str">
        <f t="shared" si="171"/>
        <v/>
      </c>
      <c r="P1851" s="66"/>
      <c r="Q1851" s="66"/>
      <c r="R1851" s="54"/>
      <c r="S1851" s="82"/>
      <c r="T1851" s="83" t="str">
        <f t="shared" si="168"/>
        <v/>
      </c>
      <c r="U1851" s="10"/>
      <c r="V1851" s="41">
        <f>IF(AND(Q1851&lt;&gt;"",RIGHT(Q1851,3)&lt;&gt;""),IF(COUNTIF($Q$6:Q1851,Q1851)=1,1,0),0)</f>
        <v>0</v>
      </c>
      <c r="W1851" s="41" t="str">
        <f t="shared" si="169"/>
        <v/>
      </c>
      <c r="X1851" s="41" t="str">
        <f t="shared" si="170"/>
        <v/>
      </c>
    </row>
    <row r="1852" s="32" customFormat="1" hidden="1" customHeight="1" spans="1:24">
      <c r="A1852" s="34"/>
      <c r="B1852" s="51"/>
      <c r="C1852" s="51"/>
      <c r="D1852" s="52"/>
      <c r="E1852" s="53"/>
      <c r="F1852" s="54"/>
      <c r="G1852" s="54"/>
      <c r="H1852" s="54"/>
      <c r="I1852" s="66"/>
      <c r="J1852" s="54"/>
      <c r="K1852" s="54"/>
      <c r="L1852" s="54"/>
      <c r="M1852" s="97" t="str">
        <f t="shared" si="167"/>
        <v/>
      </c>
      <c r="N1852" s="70"/>
      <c r="O1852" s="71" t="str">
        <f t="shared" si="171"/>
        <v/>
      </c>
      <c r="P1852" s="66"/>
      <c r="Q1852" s="66"/>
      <c r="R1852" s="54"/>
      <c r="S1852" s="82"/>
      <c r="T1852" s="83" t="str">
        <f t="shared" si="168"/>
        <v/>
      </c>
      <c r="U1852" s="10"/>
      <c r="V1852" s="41">
        <f>IF(AND(Q1852&lt;&gt;"",RIGHT(Q1852,3)&lt;&gt;""),IF(COUNTIF($Q$6:Q1852,Q1852)=1,1,0),0)</f>
        <v>0</v>
      </c>
      <c r="W1852" s="41" t="str">
        <f t="shared" si="169"/>
        <v/>
      </c>
      <c r="X1852" s="41" t="str">
        <f t="shared" si="170"/>
        <v/>
      </c>
    </row>
    <row r="1853" s="32" customFormat="1" hidden="1" customHeight="1" spans="1:24">
      <c r="A1853" s="34"/>
      <c r="B1853" s="51"/>
      <c r="C1853" s="51"/>
      <c r="D1853" s="52"/>
      <c r="E1853" s="53"/>
      <c r="F1853" s="54"/>
      <c r="G1853" s="54"/>
      <c r="H1853" s="54"/>
      <c r="I1853" s="66"/>
      <c r="J1853" s="54"/>
      <c r="K1853" s="54"/>
      <c r="L1853" s="54"/>
      <c r="M1853" s="97" t="str">
        <f t="shared" si="167"/>
        <v/>
      </c>
      <c r="N1853" s="70"/>
      <c r="O1853" s="71" t="str">
        <f t="shared" si="171"/>
        <v/>
      </c>
      <c r="P1853" s="66"/>
      <c r="Q1853" s="66"/>
      <c r="R1853" s="54"/>
      <c r="S1853" s="82"/>
      <c r="T1853" s="83" t="str">
        <f t="shared" si="168"/>
        <v/>
      </c>
      <c r="U1853" s="10"/>
      <c r="V1853" s="41">
        <f>IF(AND(Q1853&lt;&gt;"",RIGHT(Q1853,3)&lt;&gt;""),IF(COUNTIF($Q$6:Q1853,Q1853)=1,1,0),0)</f>
        <v>0</v>
      </c>
      <c r="W1853" s="41" t="str">
        <f t="shared" si="169"/>
        <v/>
      </c>
      <c r="X1853" s="41" t="str">
        <f t="shared" si="170"/>
        <v/>
      </c>
    </row>
    <row r="1854" s="32" customFormat="1" hidden="1" customHeight="1" spans="1:24">
      <c r="A1854" s="34"/>
      <c r="B1854" s="51"/>
      <c r="C1854" s="51"/>
      <c r="D1854" s="52"/>
      <c r="E1854" s="53"/>
      <c r="F1854" s="54"/>
      <c r="G1854" s="54"/>
      <c r="H1854" s="54"/>
      <c r="I1854" s="66"/>
      <c r="J1854" s="54"/>
      <c r="K1854" s="54"/>
      <c r="L1854" s="54"/>
      <c r="M1854" s="97" t="str">
        <f t="shared" si="167"/>
        <v/>
      </c>
      <c r="N1854" s="70"/>
      <c r="O1854" s="71" t="str">
        <f t="shared" si="171"/>
        <v/>
      </c>
      <c r="P1854" s="66"/>
      <c r="Q1854" s="66"/>
      <c r="R1854" s="54"/>
      <c r="S1854" s="82"/>
      <c r="T1854" s="83" t="str">
        <f t="shared" si="168"/>
        <v/>
      </c>
      <c r="U1854" s="10"/>
      <c r="V1854" s="41">
        <f>IF(AND(Q1854&lt;&gt;"",RIGHT(Q1854,3)&lt;&gt;""),IF(COUNTIF($Q$6:Q1854,Q1854)=1,1,0),0)</f>
        <v>0</v>
      </c>
      <c r="W1854" s="41" t="str">
        <f t="shared" si="169"/>
        <v/>
      </c>
      <c r="X1854" s="41" t="str">
        <f t="shared" si="170"/>
        <v/>
      </c>
    </row>
    <row r="1855" s="32" customFormat="1" hidden="1" customHeight="1" spans="1:24">
      <c r="A1855" s="34"/>
      <c r="B1855" s="51"/>
      <c r="C1855" s="51"/>
      <c r="D1855" s="52"/>
      <c r="E1855" s="53"/>
      <c r="F1855" s="54"/>
      <c r="G1855" s="54"/>
      <c r="H1855" s="54"/>
      <c r="I1855" s="66"/>
      <c r="J1855" s="54"/>
      <c r="K1855" s="54"/>
      <c r="L1855" s="54"/>
      <c r="M1855" s="97" t="str">
        <f t="shared" si="167"/>
        <v/>
      </c>
      <c r="N1855" s="70"/>
      <c r="O1855" s="71" t="str">
        <f t="shared" si="171"/>
        <v/>
      </c>
      <c r="P1855" s="66"/>
      <c r="Q1855" s="66"/>
      <c r="R1855" s="54"/>
      <c r="S1855" s="82"/>
      <c r="T1855" s="83" t="str">
        <f t="shared" si="168"/>
        <v/>
      </c>
      <c r="U1855" s="10"/>
      <c r="V1855" s="41">
        <f>IF(AND(Q1855&lt;&gt;"",RIGHT(Q1855,3)&lt;&gt;""),IF(COUNTIF($Q$6:Q1855,Q1855)=1,1,0),0)</f>
        <v>0</v>
      </c>
      <c r="W1855" s="41" t="str">
        <f t="shared" si="169"/>
        <v/>
      </c>
      <c r="X1855" s="41" t="str">
        <f t="shared" si="170"/>
        <v/>
      </c>
    </row>
    <row r="1856" s="32" customFormat="1" hidden="1" customHeight="1" spans="1:24">
      <c r="A1856" s="34"/>
      <c r="B1856" s="51"/>
      <c r="C1856" s="51"/>
      <c r="D1856" s="52"/>
      <c r="E1856" s="53"/>
      <c r="F1856" s="54"/>
      <c r="G1856" s="54"/>
      <c r="H1856" s="54"/>
      <c r="I1856" s="66"/>
      <c r="J1856" s="54"/>
      <c r="K1856" s="54"/>
      <c r="L1856" s="54"/>
      <c r="M1856" s="97" t="str">
        <f t="shared" si="167"/>
        <v/>
      </c>
      <c r="N1856" s="70"/>
      <c r="O1856" s="71" t="str">
        <f t="shared" si="171"/>
        <v/>
      </c>
      <c r="P1856" s="66"/>
      <c r="Q1856" s="66"/>
      <c r="R1856" s="54"/>
      <c r="S1856" s="82"/>
      <c r="T1856" s="83" t="str">
        <f t="shared" si="168"/>
        <v/>
      </c>
      <c r="U1856" s="10"/>
      <c r="V1856" s="41">
        <f>IF(AND(Q1856&lt;&gt;"",RIGHT(Q1856,3)&lt;&gt;""),IF(COUNTIF($Q$6:Q1856,Q1856)=1,1,0),0)</f>
        <v>0</v>
      </c>
      <c r="W1856" s="41" t="str">
        <f t="shared" si="169"/>
        <v/>
      </c>
      <c r="X1856" s="41" t="str">
        <f t="shared" si="170"/>
        <v/>
      </c>
    </row>
    <row r="1857" s="32" customFormat="1" hidden="1" customHeight="1" spans="1:24">
      <c r="A1857" s="34"/>
      <c r="B1857" s="51"/>
      <c r="C1857" s="51"/>
      <c r="D1857" s="52"/>
      <c r="E1857" s="53"/>
      <c r="F1857" s="54"/>
      <c r="G1857" s="54"/>
      <c r="H1857" s="54"/>
      <c r="I1857" s="66"/>
      <c r="J1857" s="54"/>
      <c r="K1857" s="54"/>
      <c r="L1857" s="54"/>
      <c r="M1857" s="97" t="str">
        <f t="shared" si="167"/>
        <v/>
      </c>
      <c r="N1857" s="70"/>
      <c r="O1857" s="71" t="str">
        <f t="shared" si="171"/>
        <v/>
      </c>
      <c r="P1857" s="66"/>
      <c r="Q1857" s="66"/>
      <c r="R1857" s="54"/>
      <c r="S1857" s="82"/>
      <c r="T1857" s="83" t="str">
        <f t="shared" si="168"/>
        <v/>
      </c>
      <c r="U1857" s="10"/>
      <c r="V1857" s="41">
        <f>IF(AND(Q1857&lt;&gt;"",RIGHT(Q1857,3)&lt;&gt;""),IF(COUNTIF($Q$6:Q1857,Q1857)=1,1,0),0)</f>
        <v>0</v>
      </c>
      <c r="W1857" s="41" t="str">
        <f t="shared" si="169"/>
        <v/>
      </c>
      <c r="X1857" s="41" t="str">
        <f t="shared" si="170"/>
        <v/>
      </c>
    </row>
    <row r="1858" s="32" customFormat="1" hidden="1" customHeight="1" spans="1:24">
      <c r="A1858" s="34"/>
      <c r="B1858" s="51"/>
      <c r="C1858" s="51"/>
      <c r="D1858" s="52"/>
      <c r="E1858" s="53"/>
      <c r="F1858" s="54"/>
      <c r="G1858" s="54"/>
      <c r="H1858" s="54"/>
      <c r="I1858" s="66"/>
      <c r="J1858" s="54"/>
      <c r="K1858" s="54"/>
      <c r="L1858" s="54"/>
      <c r="M1858" s="97" t="str">
        <f t="shared" si="167"/>
        <v/>
      </c>
      <c r="N1858" s="70"/>
      <c r="O1858" s="71" t="str">
        <f t="shared" si="171"/>
        <v/>
      </c>
      <c r="P1858" s="66"/>
      <c r="Q1858" s="66"/>
      <c r="R1858" s="54"/>
      <c r="S1858" s="82"/>
      <c r="T1858" s="83" t="str">
        <f t="shared" si="168"/>
        <v/>
      </c>
      <c r="U1858" s="10"/>
      <c r="V1858" s="41">
        <f>IF(AND(Q1858&lt;&gt;"",RIGHT(Q1858,3)&lt;&gt;""),IF(COUNTIF($Q$6:Q1858,Q1858)=1,1,0),0)</f>
        <v>0</v>
      </c>
      <c r="W1858" s="41" t="str">
        <f t="shared" si="169"/>
        <v/>
      </c>
      <c r="X1858" s="41" t="str">
        <f t="shared" si="170"/>
        <v/>
      </c>
    </row>
    <row r="1859" s="32" customFormat="1" hidden="1" customHeight="1" spans="1:24">
      <c r="A1859" s="34"/>
      <c r="B1859" s="51"/>
      <c r="C1859" s="51"/>
      <c r="D1859" s="52"/>
      <c r="E1859" s="53"/>
      <c r="F1859" s="54"/>
      <c r="G1859" s="54"/>
      <c r="H1859" s="54"/>
      <c r="I1859" s="66"/>
      <c r="J1859" s="54"/>
      <c r="K1859" s="54"/>
      <c r="L1859" s="54"/>
      <c r="M1859" s="97" t="str">
        <f t="shared" si="167"/>
        <v/>
      </c>
      <c r="N1859" s="70"/>
      <c r="O1859" s="71" t="str">
        <f t="shared" si="171"/>
        <v/>
      </c>
      <c r="P1859" s="66"/>
      <c r="Q1859" s="66"/>
      <c r="R1859" s="54"/>
      <c r="S1859" s="82"/>
      <c r="T1859" s="83" t="str">
        <f t="shared" si="168"/>
        <v/>
      </c>
      <c r="U1859" s="10"/>
      <c r="V1859" s="41">
        <f>IF(AND(Q1859&lt;&gt;"",RIGHT(Q1859,3)&lt;&gt;""),IF(COUNTIF($Q$6:Q1859,Q1859)=1,1,0),0)</f>
        <v>0</v>
      </c>
      <c r="W1859" s="41" t="str">
        <f t="shared" si="169"/>
        <v/>
      </c>
      <c r="X1859" s="41" t="str">
        <f t="shared" si="170"/>
        <v/>
      </c>
    </row>
    <row r="1860" s="32" customFormat="1" hidden="1" customHeight="1" spans="1:24">
      <c r="A1860" s="34"/>
      <c r="B1860" s="51"/>
      <c r="C1860" s="51"/>
      <c r="D1860" s="52"/>
      <c r="E1860" s="53"/>
      <c r="F1860" s="54"/>
      <c r="G1860" s="54"/>
      <c r="H1860" s="54"/>
      <c r="I1860" s="66"/>
      <c r="J1860" s="54"/>
      <c r="K1860" s="54"/>
      <c r="L1860" s="54"/>
      <c r="M1860" s="97" t="str">
        <f t="shared" si="167"/>
        <v/>
      </c>
      <c r="N1860" s="70"/>
      <c r="O1860" s="71" t="str">
        <f t="shared" si="171"/>
        <v/>
      </c>
      <c r="P1860" s="66"/>
      <c r="Q1860" s="66"/>
      <c r="R1860" s="54"/>
      <c r="S1860" s="82"/>
      <c r="T1860" s="83" t="str">
        <f t="shared" si="168"/>
        <v/>
      </c>
      <c r="U1860" s="10"/>
      <c r="V1860" s="41">
        <f>IF(AND(Q1860&lt;&gt;"",RIGHT(Q1860,3)&lt;&gt;""),IF(COUNTIF($Q$6:Q1860,Q1860)=1,1,0),0)</f>
        <v>0</v>
      </c>
      <c r="W1860" s="41" t="str">
        <f t="shared" si="169"/>
        <v/>
      </c>
      <c r="X1860" s="41" t="str">
        <f t="shared" si="170"/>
        <v/>
      </c>
    </row>
    <row r="1861" s="32" customFormat="1" hidden="1" customHeight="1" spans="1:24">
      <c r="A1861" s="34"/>
      <c r="B1861" s="51"/>
      <c r="C1861" s="51"/>
      <c r="D1861" s="52"/>
      <c r="E1861" s="53"/>
      <c r="F1861" s="54"/>
      <c r="G1861" s="54"/>
      <c r="H1861" s="54"/>
      <c r="I1861" s="66"/>
      <c r="J1861" s="54"/>
      <c r="K1861" s="54"/>
      <c r="L1861" s="54"/>
      <c r="M1861" s="97" t="str">
        <f t="shared" si="167"/>
        <v/>
      </c>
      <c r="N1861" s="70"/>
      <c r="O1861" s="71" t="str">
        <f t="shared" si="171"/>
        <v/>
      </c>
      <c r="P1861" s="66"/>
      <c r="Q1861" s="66"/>
      <c r="R1861" s="54"/>
      <c r="S1861" s="82"/>
      <c r="T1861" s="83" t="str">
        <f t="shared" si="168"/>
        <v/>
      </c>
      <c r="U1861" s="10"/>
      <c r="V1861" s="41">
        <f>IF(AND(Q1861&lt;&gt;"",RIGHT(Q1861,3)&lt;&gt;""),IF(COUNTIF($Q$6:Q1861,Q1861)=1,1,0),0)</f>
        <v>0</v>
      </c>
      <c r="W1861" s="41" t="str">
        <f t="shared" si="169"/>
        <v/>
      </c>
      <c r="X1861" s="41" t="str">
        <f t="shared" si="170"/>
        <v/>
      </c>
    </row>
    <row r="1862" s="32" customFormat="1" hidden="1" customHeight="1" spans="1:24">
      <c r="A1862" s="34"/>
      <c r="B1862" s="51"/>
      <c r="C1862" s="51"/>
      <c r="D1862" s="52"/>
      <c r="E1862" s="53"/>
      <c r="F1862" s="54"/>
      <c r="G1862" s="54"/>
      <c r="H1862" s="54"/>
      <c r="I1862" s="66"/>
      <c r="J1862" s="54"/>
      <c r="K1862" s="54"/>
      <c r="L1862" s="54"/>
      <c r="M1862" s="97" t="str">
        <f t="shared" si="167"/>
        <v/>
      </c>
      <c r="N1862" s="70"/>
      <c r="O1862" s="71" t="str">
        <f t="shared" si="171"/>
        <v/>
      </c>
      <c r="P1862" s="66"/>
      <c r="Q1862" s="66"/>
      <c r="R1862" s="54"/>
      <c r="S1862" s="82"/>
      <c r="T1862" s="83" t="str">
        <f t="shared" si="168"/>
        <v/>
      </c>
      <c r="U1862" s="10"/>
      <c r="V1862" s="41">
        <f>IF(AND(Q1862&lt;&gt;"",RIGHT(Q1862,3)&lt;&gt;""),IF(COUNTIF($Q$6:Q1862,Q1862)=1,1,0),0)</f>
        <v>0</v>
      </c>
      <c r="W1862" s="41" t="str">
        <f t="shared" si="169"/>
        <v/>
      </c>
      <c r="X1862" s="41" t="str">
        <f t="shared" si="170"/>
        <v/>
      </c>
    </row>
    <row r="1863" s="32" customFormat="1" hidden="1" customHeight="1" spans="1:24">
      <c r="A1863" s="34"/>
      <c r="B1863" s="51"/>
      <c r="C1863" s="51"/>
      <c r="D1863" s="52"/>
      <c r="E1863" s="53"/>
      <c r="F1863" s="54"/>
      <c r="G1863" s="54"/>
      <c r="H1863" s="54"/>
      <c r="I1863" s="66"/>
      <c r="J1863" s="54"/>
      <c r="K1863" s="54"/>
      <c r="L1863" s="54"/>
      <c r="M1863" s="97" t="str">
        <f t="shared" si="167"/>
        <v/>
      </c>
      <c r="N1863" s="70"/>
      <c r="O1863" s="71" t="str">
        <f t="shared" si="171"/>
        <v/>
      </c>
      <c r="P1863" s="66"/>
      <c r="Q1863" s="66"/>
      <c r="R1863" s="54"/>
      <c r="S1863" s="82"/>
      <c r="T1863" s="83" t="str">
        <f t="shared" si="168"/>
        <v/>
      </c>
      <c r="U1863" s="10"/>
      <c r="V1863" s="41">
        <f>IF(AND(Q1863&lt;&gt;"",RIGHT(Q1863,3)&lt;&gt;""),IF(COUNTIF($Q$6:Q1863,Q1863)=1,1,0),0)</f>
        <v>0</v>
      </c>
      <c r="W1863" s="41" t="str">
        <f t="shared" si="169"/>
        <v/>
      </c>
      <c r="X1863" s="41" t="str">
        <f t="shared" si="170"/>
        <v/>
      </c>
    </row>
    <row r="1864" s="32" customFormat="1" hidden="1" customHeight="1" spans="1:24">
      <c r="A1864" s="34"/>
      <c r="B1864" s="51"/>
      <c r="C1864" s="51"/>
      <c r="D1864" s="52"/>
      <c r="E1864" s="53"/>
      <c r="F1864" s="54"/>
      <c r="G1864" s="54"/>
      <c r="H1864" s="54"/>
      <c r="I1864" s="66"/>
      <c r="J1864" s="54"/>
      <c r="K1864" s="54"/>
      <c r="L1864" s="54"/>
      <c r="M1864" s="97" t="str">
        <f t="shared" si="167"/>
        <v/>
      </c>
      <c r="N1864" s="70"/>
      <c r="O1864" s="71" t="str">
        <f t="shared" si="171"/>
        <v/>
      </c>
      <c r="P1864" s="66"/>
      <c r="Q1864" s="66"/>
      <c r="R1864" s="54"/>
      <c r="S1864" s="82"/>
      <c r="T1864" s="83" t="str">
        <f t="shared" si="168"/>
        <v/>
      </c>
      <c r="U1864" s="10"/>
      <c r="V1864" s="41">
        <f>IF(AND(Q1864&lt;&gt;"",RIGHT(Q1864,3)&lt;&gt;""),IF(COUNTIF($Q$6:Q1864,Q1864)=1,1,0),0)</f>
        <v>0</v>
      </c>
      <c r="W1864" s="41" t="str">
        <f t="shared" si="169"/>
        <v/>
      </c>
      <c r="X1864" s="41" t="str">
        <f t="shared" si="170"/>
        <v/>
      </c>
    </row>
    <row r="1865" s="32" customFormat="1" hidden="1" customHeight="1" spans="1:24">
      <c r="A1865" s="34"/>
      <c r="B1865" s="51"/>
      <c r="C1865" s="51"/>
      <c r="D1865" s="52"/>
      <c r="E1865" s="53"/>
      <c r="F1865" s="54"/>
      <c r="G1865" s="54"/>
      <c r="H1865" s="54"/>
      <c r="I1865" s="66"/>
      <c r="J1865" s="54"/>
      <c r="K1865" s="54"/>
      <c r="L1865" s="54"/>
      <c r="M1865" s="97" t="str">
        <f t="shared" si="167"/>
        <v/>
      </c>
      <c r="N1865" s="70"/>
      <c r="O1865" s="71" t="str">
        <f t="shared" si="171"/>
        <v/>
      </c>
      <c r="P1865" s="66"/>
      <c r="Q1865" s="66"/>
      <c r="R1865" s="54"/>
      <c r="S1865" s="82"/>
      <c r="T1865" s="83" t="str">
        <f t="shared" si="168"/>
        <v/>
      </c>
      <c r="U1865" s="10"/>
      <c r="V1865" s="41">
        <f>IF(AND(Q1865&lt;&gt;"",RIGHT(Q1865,3)&lt;&gt;""),IF(COUNTIF($Q$6:Q1865,Q1865)=1,1,0),0)</f>
        <v>0</v>
      </c>
      <c r="W1865" s="41" t="str">
        <f t="shared" si="169"/>
        <v/>
      </c>
      <c r="X1865" s="41" t="str">
        <f t="shared" si="170"/>
        <v/>
      </c>
    </row>
    <row r="1866" s="32" customFormat="1" hidden="1" customHeight="1" spans="1:24">
      <c r="A1866" s="34"/>
      <c r="B1866" s="51"/>
      <c r="C1866" s="51"/>
      <c r="D1866" s="52"/>
      <c r="E1866" s="53"/>
      <c r="F1866" s="54"/>
      <c r="G1866" s="54"/>
      <c r="H1866" s="54"/>
      <c r="I1866" s="66"/>
      <c r="J1866" s="54"/>
      <c r="K1866" s="54"/>
      <c r="L1866" s="54"/>
      <c r="M1866" s="97" t="str">
        <f t="shared" si="167"/>
        <v/>
      </c>
      <c r="N1866" s="70"/>
      <c r="O1866" s="71" t="str">
        <f t="shared" si="171"/>
        <v/>
      </c>
      <c r="P1866" s="66"/>
      <c r="Q1866" s="66"/>
      <c r="R1866" s="54"/>
      <c r="S1866" s="82"/>
      <c r="T1866" s="83" t="str">
        <f t="shared" si="168"/>
        <v/>
      </c>
      <c r="U1866" s="10"/>
      <c r="V1866" s="41">
        <f>IF(AND(Q1866&lt;&gt;"",RIGHT(Q1866,3)&lt;&gt;""),IF(COUNTIF($Q$6:Q1866,Q1866)=1,1,0),0)</f>
        <v>0</v>
      </c>
      <c r="W1866" s="41" t="str">
        <f t="shared" si="169"/>
        <v/>
      </c>
      <c r="X1866" s="41" t="str">
        <f t="shared" si="170"/>
        <v/>
      </c>
    </row>
    <row r="1867" s="32" customFormat="1" hidden="1" customHeight="1" spans="1:24">
      <c r="A1867" s="34"/>
      <c r="B1867" s="51"/>
      <c r="C1867" s="51"/>
      <c r="D1867" s="52"/>
      <c r="E1867" s="53"/>
      <c r="F1867" s="54"/>
      <c r="G1867" s="54"/>
      <c r="H1867" s="54"/>
      <c r="I1867" s="66"/>
      <c r="J1867" s="54"/>
      <c r="K1867" s="54"/>
      <c r="L1867" s="54"/>
      <c r="M1867" s="97" t="str">
        <f t="shared" si="167"/>
        <v/>
      </c>
      <c r="N1867" s="70"/>
      <c r="O1867" s="71" t="str">
        <f t="shared" si="171"/>
        <v/>
      </c>
      <c r="P1867" s="66"/>
      <c r="Q1867" s="66"/>
      <c r="R1867" s="54"/>
      <c r="S1867" s="82"/>
      <c r="T1867" s="83" t="str">
        <f t="shared" si="168"/>
        <v/>
      </c>
      <c r="U1867" s="10"/>
      <c r="V1867" s="41">
        <f>IF(AND(Q1867&lt;&gt;"",RIGHT(Q1867,3)&lt;&gt;""),IF(COUNTIF($Q$6:Q1867,Q1867)=1,1,0),0)</f>
        <v>0</v>
      </c>
      <c r="W1867" s="41" t="str">
        <f t="shared" si="169"/>
        <v/>
      </c>
      <c r="X1867" s="41" t="str">
        <f t="shared" si="170"/>
        <v/>
      </c>
    </row>
    <row r="1868" s="32" customFormat="1" hidden="1" customHeight="1" spans="1:24">
      <c r="A1868" s="34"/>
      <c r="B1868" s="51"/>
      <c r="C1868" s="51"/>
      <c r="D1868" s="52"/>
      <c r="E1868" s="53"/>
      <c r="F1868" s="54"/>
      <c r="G1868" s="54"/>
      <c r="H1868" s="54"/>
      <c r="I1868" s="66"/>
      <c r="J1868" s="54"/>
      <c r="K1868" s="54"/>
      <c r="L1868" s="54"/>
      <c r="M1868" s="97" t="str">
        <f t="shared" si="167"/>
        <v/>
      </c>
      <c r="N1868" s="70"/>
      <c r="O1868" s="71" t="str">
        <f t="shared" si="171"/>
        <v/>
      </c>
      <c r="P1868" s="66"/>
      <c r="Q1868" s="66"/>
      <c r="R1868" s="54"/>
      <c r="S1868" s="82"/>
      <c r="T1868" s="83" t="str">
        <f t="shared" si="168"/>
        <v/>
      </c>
      <c r="U1868" s="10"/>
      <c r="V1868" s="41">
        <f>IF(AND(Q1868&lt;&gt;"",RIGHT(Q1868,3)&lt;&gt;""),IF(COUNTIF($Q$6:Q1868,Q1868)=1,1,0),0)</f>
        <v>0</v>
      </c>
      <c r="W1868" s="41" t="str">
        <f t="shared" si="169"/>
        <v/>
      </c>
      <c r="X1868" s="41" t="str">
        <f t="shared" si="170"/>
        <v/>
      </c>
    </row>
    <row r="1869" s="32" customFormat="1" hidden="1" customHeight="1" spans="1:24">
      <c r="A1869" s="34"/>
      <c r="B1869" s="51"/>
      <c r="C1869" s="51"/>
      <c r="D1869" s="52"/>
      <c r="E1869" s="53"/>
      <c r="F1869" s="54"/>
      <c r="G1869" s="54"/>
      <c r="H1869" s="54"/>
      <c r="I1869" s="66"/>
      <c r="J1869" s="54"/>
      <c r="K1869" s="54"/>
      <c r="L1869" s="54"/>
      <c r="M1869" s="97" t="str">
        <f t="shared" si="167"/>
        <v/>
      </c>
      <c r="N1869" s="70"/>
      <c r="O1869" s="71" t="str">
        <f t="shared" si="171"/>
        <v/>
      </c>
      <c r="P1869" s="66"/>
      <c r="Q1869" s="66"/>
      <c r="R1869" s="54"/>
      <c r="S1869" s="82"/>
      <c r="T1869" s="83" t="str">
        <f t="shared" si="168"/>
        <v/>
      </c>
      <c r="U1869" s="10"/>
      <c r="V1869" s="41">
        <f>IF(AND(Q1869&lt;&gt;"",RIGHT(Q1869,3)&lt;&gt;""),IF(COUNTIF($Q$6:Q1869,Q1869)=1,1,0),0)</f>
        <v>0</v>
      </c>
      <c r="W1869" s="41" t="str">
        <f t="shared" si="169"/>
        <v/>
      </c>
      <c r="X1869" s="41" t="str">
        <f t="shared" si="170"/>
        <v/>
      </c>
    </row>
    <row r="1870" s="32" customFormat="1" hidden="1" customHeight="1" spans="1:24">
      <c r="A1870" s="34"/>
      <c r="B1870" s="51"/>
      <c r="C1870" s="51"/>
      <c r="D1870" s="52"/>
      <c r="E1870" s="53"/>
      <c r="F1870" s="54"/>
      <c r="G1870" s="54"/>
      <c r="H1870" s="54"/>
      <c r="I1870" s="66"/>
      <c r="J1870" s="54"/>
      <c r="K1870" s="54"/>
      <c r="L1870" s="54"/>
      <c r="M1870" s="97" t="str">
        <f t="shared" si="167"/>
        <v/>
      </c>
      <c r="N1870" s="70"/>
      <c r="O1870" s="71" t="str">
        <f t="shared" si="171"/>
        <v/>
      </c>
      <c r="P1870" s="66"/>
      <c r="Q1870" s="66"/>
      <c r="R1870" s="54"/>
      <c r="S1870" s="82"/>
      <c r="T1870" s="83" t="str">
        <f t="shared" si="168"/>
        <v/>
      </c>
      <c r="U1870" s="10"/>
      <c r="V1870" s="41">
        <f>IF(AND(Q1870&lt;&gt;"",RIGHT(Q1870,3)&lt;&gt;""),IF(COUNTIF($Q$6:Q1870,Q1870)=1,1,0),0)</f>
        <v>0</v>
      </c>
      <c r="W1870" s="41" t="str">
        <f t="shared" si="169"/>
        <v/>
      </c>
      <c r="X1870" s="41" t="str">
        <f t="shared" si="170"/>
        <v/>
      </c>
    </row>
    <row r="1871" s="32" customFormat="1" hidden="1" customHeight="1" spans="1:24">
      <c r="A1871" s="34"/>
      <c r="B1871" s="51"/>
      <c r="C1871" s="51"/>
      <c r="D1871" s="52"/>
      <c r="E1871" s="53"/>
      <c r="F1871" s="54"/>
      <c r="G1871" s="54"/>
      <c r="H1871" s="54"/>
      <c r="I1871" s="66"/>
      <c r="J1871" s="54"/>
      <c r="K1871" s="54"/>
      <c r="L1871" s="54"/>
      <c r="M1871" s="97" t="str">
        <f t="shared" si="167"/>
        <v/>
      </c>
      <c r="N1871" s="70"/>
      <c r="O1871" s="71" t="str">
        <f t="shared" si="171"/>
        <v/>
      </c>
      <c r="P1871" s="66"/>
      <c r="Q1871" s="66"/>
      <c r="R1871" s="54"/>
      <c r="S1871" s="82"/>
      <c r="T1871" s="83" t="str">
        <f t="shared" si="168"/>
        <v/>
      </c>
      <c r="U1871" s="10"/>
      <c r="V1871" s="41">
        <f>IF(AND(Q1871&lt;&gt;"",RIGHT(Q1871,3)&lt;&gt;""),IF(COUNTIF($Q$6:Q1871,Q1871)=1,1,0),0)</f>
        <v>0</v>
      </c>
      <c r="W1871" s="41" t="str">
        <f t="shared" si="169"/>
        <v/>
      </c>
      <c r="X1871" s="41" t="str">
        <f t="shared" si="170"/>
        <v/>
      </c>
    </row>
    <row r="1872" s="32" customFormat="1" hidden="1" customHeight="1" spans="1:24">
      <c r="A1872" s="34"/>
      <c r="B1872" s="51"/>
      <c r="C1872" s="51"/>
      <c r="D1872" s="52"/>
      <c r="E1872" s="53"/>
      <c r="F1872" s="54"/>
      <c r="G1872" s="54"/>
      <c r="H1872" s="54"/>
      <c r="I1872" s="66"/>
      <c r="J1872" s="54"/>
      <c r="K1872" s="54"/>
      <c r="L1872" s="54"/>
      <c r="M1872" s="97" t="str">
        <f t="shared" si="167"/>
        <v/>
      </c>
      <c r="N1872" s="70"/>
      <c r="O1872" s="71" t="str">
        <f t="shared" si="171"/>
        <v/>
      </c>
      <c r="P1872" s="66"/>
      <c r="Q1872" s="66"/>
      <c r="R1872" s="54"/>
      <c r="S1872" s="82"/>
      <c r="T1872" s="83" t="str">
        <f t="shared" si="168"/>
        <v/>
      </c>
      <c r="U1872" s="10"/>
      <c r="V1872" s="41">
        <f>IF(AND(Q1872&lt;&gt;"",RIGHT(Q1872,3)&lt;&gt;""),IF(COUNTIF($Q$6:Q1872,Q1872)=1,1,0),0)</f>
        <v>0</v>
      </c>
      <c r="W1872" s="41" t="str">
        <f t="shared" si="169"/>
        <v/>
      </c>
      <c r="X1872" s="41" t="str">
        <f t="shared" si="170"/>
        <v/>
      </c>
    </row>
    <row r="1873" s="32" customFormat="1" hidden="1" customHeight="1" spans="1:24">
      <c r="A1873" s="34"/>
      <c r="B1873" s="51"/>
      <c r="C1873" s="51"/>
      <c r="D1873" s="52"/>
      <c r="E1873" s="53"/>
      <c r="F1873" s="54"/>
      <c r="G1873" s="54"/>
      <c r="H1873" s="54"/>
      <c r="I1873" s="66"/>
      <c r="J1873" s="54"/>
      <c r="K1873" s="54"/>
      <c r="L1873" s="54"/>
      <c r="M1873" s="97" t="str">
        <f t="shared" si="167"/>
        <v/>
      </c>
      <c r="N1873" s="70"/>
      <c r="O1873" s="71" t="str">
        <f t="shared" si="171"/>
        <v/>
      </c>
      <c r="P1873" s="66"/>
      <c r="Q1873" s="66"/>
      <c r="R1873" s="54"/>
      <c r="S1873" s="82"/>
      <c r="T1873" s="83" t="str">
        <f t="shared" si="168"/>
        <v/>
      </c>
      <c r="U1873" s="10"/>
      <c r="V1873" s="41">
        <f>IF(AND(Q1873&lt;&gt;"",RIGHT(Q1873,3)&lt;&gt;""),IF(COUNTIF($Q$6:Q1873,Q1873)=1,1,0),0)</f>
        <v>0</v>
      </c>
      <c r="W1873" s="41" t="str">
        <f t="shared" si="169"/>
        <v/>
      </c>
      <c r="X1873" s="41" t="str">
        <f t="shared" si="170"/>
        <v/>
      </c>
    </row>
    <row r="1874" s="32" customFormat="1" hidden="1" customHeight="1" spans="1:24">
      <c r="A1874" s="34"/>
      <c r="B1874" s="51"/>
      <c r="C1874" s="51"/>
      <c r="D1874" s="52"/>
      <c r="E1874" s="53"/>
      <c r="F1874" s="54"/>
      <c r="G1874" s="54"/>
      <c r="H1874" s="54"/>
      <c r="I1874" s="66"/>
      <c r="J1874" s="54"/>
      <c r="K1874" s="54"/>
      <c r="L1874" s="54"/>
      <c r="M1874" s="97" t="str">
        <f t="shared" si="167"/>
        <v/>
      </c>
      <c r="N1874" s="70"/>
      <c r="O1874" s="71" t="str">
        <f t="shared" si="171"/>
        <v/>
      </c>
      <c r="P1874" s="66"/>
      <c r="Q1874" s="66"/>
      <c r="R1874" s="54"/>
      <c r="S1874" s="82"/>
      <c r="T1874" s="83" t="str">
        <f t="shared" si="168"/>
        <v/>
      </c>
      <c r="U1874" s="10"/>
      <c r="V1874" s="41">
        <f>IF(AND(Q1874&lt;&gt;"",RIGHT(Q1874,3)&lt;&gt;""),IF(COUNTIF($Q$6:Q1874,Q1874)=1,1,0),0)</f>
        <v>0</v>
      </c>
      <c r="W1874" s="41" t="str">
        <f t="shared" si="169"/>
        <v/>
      </c>
      <c r="X1874" s="41" t="str">
        <f t="shared" si="170"/>
        <v/>
      </c>
    </row>
    <row r="1875" s="32" customFormat="1" hidden="1" customHeight="1" spans="1:24">
      <c r="A1875" s="34"/>
      <c r="B1875" s="51"/>
      <c r="C1875" s="51"/>
      <c r="D1875" s="52"/>
      <c r="E1875" s="53"/>
      <c r="F1875" s="54"/>
      <c r="G1875" s="54"/>
      <c r="H1875" s="54"/>
      <c r="I1875" s="66"/>
      <c r="J1875" s="54"/>
      <c r="K1875" s="54"/>
      <c r="L1875" s="54"/>
      <c r="M1875" s="97" t="str">
        <f t="shared" si="167"/>
        <v/>
      </c>
      <c r="N1875" s="70"/>
      <c r="O1875" s="71" t="str">
        <f t="shared" si="171"/>
        <v/>
      </c>
      <c r="P1875" s="66"/>
      <c r="Q1875" s="66"/>
      <c r="R1875" s="54"/>
      <c r="S1875" s="82"/>
      <c r="T1875" s="83" t="str">
        <f t="shared" si="168"/>
        <v/>
      </c>
      <c r="U1875" s="10"/>
      <c r="V1875" s="41">
        <f>IF(AND(Q1875&lt;&gt;"",RIGHT(Q1875,3)&lt;&gt;""),IF(COUNTIF($Q$6:Q1875,Q1875)=1,1,0),0)</f>
        <v>0</v>
      </c>
      <c r="W1875" s="41" t="str">
        <f t="shared" si="169"/>
        <v/>
      </c>
      <c r="X1875" s="41" t="str">
        <f t="shared" si="170"/>
        <v/>
      </c>
    </row>
    <row r="1876" s="32" customFormat="1" hidden="1" customHeight="1" spans="1:24">
      <c r="A1876" s="34"/>
      <c r="B1876" s="51"/>
      <c r="C1876" s="51"/>
      <c r="D1876" s="52"/>
      <c r="E1876" s="53"/>
      <c r="F1876" s="54"/>
      <c r="G1876" s="54"/>
      <c r="H1876" s="54"/>
      <c r="I1876" s="66"/>
      <c r="J1876" s="54"/>
      <c r="K1876" s="54"/>
      <c r="L1876" s="54"/>
      <c r="M1876" s="97" t="str">
        <f t="shared" si="167"/>
        <v/>
      </c>
      <c r="N1876" s="70"/>
      <c r="O1876" s="71" t="str">
        <f t="shared" si="171"/>
        <v/>
      </c>
      <c r="P1876" s="66"/>
      <c r="Q1876" s="66"/>
      <c r="R1876" s="54"/>
      <c r="S1876" s="82"/>
      <c r="T1876" s="83" t="str">
        <f t="shared" si="168"/>
        <v/>
      </c>
      <c r="U1876" s="10"/>
      <c r="V1876" s="41">
        <f>IF(AND(Q1876&lt;&gt;"",RIGHT(Q1876,3)&lt;&gt;""),IF(COUNTIF($Q$6:Q1876,Q1876)=1,1,0),0)</f>
        <v>0</v>
      </c>
      <c r="W1876" s="41" t="str">
        <f t="shared" si="169"/>
        <v/>
      </c>
      <c r="X1876" s="41" t="str">
        <f t="shared" si="170"/>
        <v/>
      </c>
    </row>
    <row r="1877" s="32" customFormat="1" hidden="1" customHeight="1" spans="1:24">
      <c r="A1877" s="34"/>
      <c r="B1877" s="51"/>
      <c r="C1877" s="51"/>
      <c r="D1877" s="52"/>
      <c r="E1877" s="53"/>
      <c r="F1877" s="54"/>
      <c r="G1877" s="54"/>
      <c r="H1877" s="54"/>
      <c r="I1877" s="66"/>
      <c r="J1877" s="54"/>
      <c r="K1877" s="54"/>
      <c r="L1877" s="54"/>
      <c r="M1877" s="97" t="str">
        <f t="shared" si="167"/>
        <v/>
      </c>
      <c r="N1877" s="70"/>
      <c r="O1877" s="71" t="str">
        <f t="shared" si="171"/>
        <v/>
      </c>
      <c r="P1877" s="66"/>
      <c r="Q1877" s="66"/>
      <c r="R1877" s="54"/>
      <c r="S1877" s="82"/>
      <c r="T1877" s="83" t="str">
        <f t="shared" si="168"/>
        <v/>
      </c>
      <c r="U1877" s="10"/>
      <c r="V1877" s="41">
        <f>IF(AND(Q1877&lt;&gt;"",RIGHT(Q1877,3)&lt;&gt;""),IF(COUNTIF($Q$6:Q1877,Q1877)=1,1,0),0)</f>
        <v>0</v>
      </c>
      <c r="W1877" s="41" t="str">
        <f t="shared" si="169"/>
        <v/>
      </c>
      <c r="X1877" s="41" t="str">
        <f t="shared" si="170"/>
        <v/>
      </c>
    </row>
    <row r="1878" s="32" customFormat="1" hidden="1" customHeight="1" spans="1:24">
      <c r="A1878" s="34"/>
      <c r="B1878" s="51"/>
      <c r="C1878" s="51"/>
      <c r="D1878" s="52"/>
      <c r="E1878" s="53"/>
      <c r="F1878" s="54"/>
      <c r="G1878" s="54"/>
      <c r="H1878" s="54"/>
      <c r="I1878" s="66"/>
      <c r="J1878" s="54"/>
      <c r="K1878" s="54"/>
      <c r="L1878" s="54"/>
      <c r="M1878" s="97" t="str">
        <f t="shared" si="167"/>
        <v/>
      </c>
      <c r="N1878" s="70"/>
      <c r="O1878" s="71" t="str">
        <f t="shared" si="171"/>
        <v/>
      </c>
      <c r="P1878" s="66"/>
      <c r="Q1878" s="66"/>
      <c r="R1878" s="54"/>
      <c r="S1878" s="82"/>
      <c r="T1878" s="83" t="str">
        <f t="shared" si="168"/>
        <v/>
      </c>
      <c r="U1878" s="10"/>
      <c r="V1878" s="41">
        <f>IF(AND(Q1878&lt;&gt;"",RIGHT(Q1878,3)&lt;&gt;""),IF(COUNTIF($Q$6:Q1878,Q1878)=1,1,0),0)</f>
        <v>0</v>
      </c>
      <c r="W1878" s="41" t="str">
        <f t="shared" si="169"/>
        <v/>
      </c>
      <c r="X1878" s="41" t="str">
        <f t="shared" si="170"/>
        <v/>
      </c>
    </row>
    <row r="1879" s="32" customFormat="1" hidden="1" customHeight="1" spans="1:24">
      <c r="A1879" s="34"/>
      <c r="B1879" s="51"/>
      <c r="C1879" s="51"/>
      <c r="D1879" s="52"/>
      <c r="E1879" s="53"/>
      <c r="F1879" s="54"/>
      <c r="G1879" s="54"/>
      <c r="H1879" s="54"/>
      <c r="I1879" s="66"/>
      <c r="J1879" s="54"/>
      <c r="K1879" s="54"/>
      <c r="L1879" s="54"/>
      <c r="M1879" s="97" t="str">
        <f t="shared" si="167"/>
        <v/>
      </c>
      <c r="N1879" s="70"/>
      <c r="O1879" s="71" t="str">
        <f t="shared" si="171"/>
        <v/>
      </c>
      <c r="P1879" s="66"/>
      <c r="Q1879" s="66"/>
      <c r="R1879" s="54"/>
      <c r="S1879" s="82"/>
      <c r="T1879" s="83" t="str">
        <f t="shared" si="168"/>
        <v/>
      </c>
      <c r="U1879" s="10"/>
      <c r="V1879" s="41">
        <f>IF(AND(Q1879&lt;&gt;"",RIGHT(Q1879,3)&lt;&gt;""),IF(COUNTIF($Q$6:Q1879,Q1879)=1,1,0),0)</f>
        <v>0</v>
      </c>
      <c r="W1879" s="41" t="str">
        <f t="shared" si="169"/>
        <v/>
      </c>
      <c r="X1879" s="41" t="str">
        <f t="shared" si="170"/>
        <v/>
      </c>
    </row>
    <row r="1880" s="32" customFormat="1" hidden="1" customHeight="1" spans="1:24">
      <c r="A1880" s="34"/>
      <c r="B1880" s="51"/>
      <c r="C1880" s="51"/>
      <c r="D1880" s="52"/>
      <c r="E1880" s="53"/>
      <c r="F1880" s="54"/>
      <c r="G1880" s="54"/>
      <c r="H1880" s="54"/>
      <c r="I1880" s="66"/>
      <c r="J1880" s="54"/>
      <c r="K1880" s="54"/>
      <c r="L1880" s="54"/>
      <c r="M1880" s="97" t="str">
        <f t="shared" si="167"/>
        <v/>
      </c>
      <c r="N1880" s="70"/>
      <c r="O1880" s="71" t="str">
        <f t="shared" si="171"/>
        <v/>
      </c>
      <c r="P1880" s="66"/>
      <c r="Q1880" s="66"/>
      <c r="R1880" s="54"/>
      <c r="S1880" s="82"/>
      <c r="T1880" s="83" t="str">
        <f t="shared" si="168"/>
        <v/>
      </c>
      <c r="U1880" s="10"/>
      <c r="V1880" s="41">
        <f>IF(AND(Q1880&lt;&gt;"",RIGHT(Q1880,3)&lt;&gt;""),IF(COUNTIF($Q$6:Q1880,Q1880)=1,1,0),0)</f>
        <v>0</v>
      </c>
      <c r="W1880" s="41" t="str">
        <f t="shared" si="169"/>
        <v/>
      </c>
      <c r="X1880" s="41" t="str">
        <f t="shared" si="170"/>
        <v/>
      </c>
    </row>
    <row r="1881" s="32" customFormat="1" hidden="1" customHeight="1" spans="1:24">
      <c r="A1881" s="34"/>
      <c r="B1881" s="51"/>
      <c r="C1881" s="51"/>
      <c r="D1881" s="52"/>
      <c r="E1881" s="53"/>
      <c r="F1881" s="54"/>
      <c r="G1881" s="54"/>
      <c r="H1881" s="54"/>
      <c r="I1881" s="66"/>
      <c r="J1881" s="54"/>
      <c r="K1881" s="54"/>
      <c r="L1881" s="54"/>
      <c r="M1881" s="97" t="str">
        <f t="shared" si="167"/>
        <v/>
      </c>
      <c r="N1881" s="70"/>
      <c r="O1881" s="71" t="str">
        <f t="shared" si="171"/>
        <v/>
      </c>
      <c r="P1881" s="66"/>
      <c r="Q1881" s="66"/>
      <c r="R1881" s="54"/>
      <c r="S1881" s="82"/>
      <c r="T1881" s="83" t="str">
        <f t="shared" si="168"/>
        <v/>
      </c>
      <c r="U1881" s="10"/>
      <c r="V1881" s="41">
        <f>IF(AND(Q1881&lt;&gt;"",RIGHT(Q1881,3)&lt;&gt;""),IF(COUNTIF($Q$6:Q1881,Q1881)=1,1,0),0)</f>
        <v>0</v>
      </c>
      <c r="W1881" s="41" t="str">
        <f t="shared" si="169"/>
        <v/>
      </c>
      <c r="X1881" s="41" t="str">
        <f t="shared" si="170"/>
        <v/>
      </c>
    </row>
    <row r="1882" s="32" customFormat="1" hidden="1" customHeight="1" spans="1:24">
      <c r="A1882" s="34"/>
      <c r="B1882" s="51"/>
      <c r="C1882" s="51"/>
      <c r="D1882" s="52"/>
      <c r="E1882" s="53"/>
      <c r="F1882" s="54"/>
      <c r="G1882" s="54"/>
      <c r="H1882" s="54"/>
      <c r="I1882" s="66"/>
      <c r="J1882" s="54"/>
      <c r="K1882" s="54"/>
      <c r="L1882" s="54"/>
      <c r="M1882" s="97" t="str">
        <f t="shared" si="167"/>
        <v/>
      </c>
      <c r="N1882" s="70"/>
      <c r="O1882" s="71" t="str">
        <f t="shared" si="171"/>
        <v/>
      </c>
      <c r="P1882" s="66"/>
      <c r="Q1882" s="66"/>
      <c r="R1882" s="54"/>
      <c r="S1882" s="82"/>
      <c r="T1882" s="83" t="str">
        <f t="shared" si="168"/>
        <v/>
      </c>
      <c r="U1882" s="10"/>
      <c r="V1882" s="41">
        <f>IF(AND(Q1882&lt;&gt;"",RIGHT(Q1882,3)&lt;&gt;""),IF(COUNTIF($Q$6:Q1882,Q1882)=1,1,0),0)</f>
        <v>0</v>
      </c>
      <c r="W1882" s="41" t="str">
        <f t="shared" si="169"/>
        <v/>
      </c>
      <c r="X1882" s="41" t="str">
        <f t="shared" si="170"/>
        <v/>
      </c>
    </row>
    <row r="1883" s="32" customFormat="1" hidden="1" customHeight="1" spans="1:24">
      <c r="A1883" s="34"/>
      <c r="B1883" s="51"/>
      <c r="C1883" s="51"/>
      <c r="D1883" s="52"/>
      <c r="E1883" s="53"/>
      <c r="F1883" s="54"/>
      <c r="G1883" s="54"/>
      <c r="H1883" s="54"/>
      <c r="I1883" s="66"/>
      <c r="J1883" s="54"/>
      <c r="K1883" s="54"/>
      <c r="L1883" s="54"/>
      <c r="M1883" s="97" t="str">
        <f t="shared" si="167"/>
        <v/>
      </c>
      <c r="N1883" s="70"/>
      <c r="O1883" s="71" t="str">
        <f t="shared" si="171"/>
        <v/>
      </c>
      <c r="P1883" s="66"/>
      <c r="Q1883" s="66"/>
      <c r="R1883" s="54"/>
      <c r="S1883" s="82"/>
      <c r="T1883" s="83" t="str">
        <f t="shared" si="168"/>
        <v/>
      </c>
      <c r="U1883" s="10"/>
      <c r="V1883" s="41">
        <f>IF(AND(Q1883&lt;&gt;"",RIGHT(Q1883,3)&lt;&gt;""),IF(COUNTIF($Q$6:Q1883,Q1883)=1,1,0),0)</f>
        <v>0</v>
      </c>
      <c r="W1883" s="41" t="str">
        <f t="shared" si="169"/>
        <v/>
      </c>
      <c r="X1883" s="41" t="str">
        <f t="shared" si="170"/>
        <v/>
      </c>
    </row>
    <row r="1884" s="32" customFormat="1" hidden="1" customHeight="1" spans="1:24">
      <c r="A1884" s="34"/>
      <c r="B1884" s="51"/>
      <c r="C1884" s="51"/>
      <c r="D1884" s="52"/>
      <c r="E1884" s="53"/>
      <c r="F1884" s="54"/>
      <c r="G1884" s="54"/>
      <c r="H1884" s="54"/>
      <c r="I1884" s="66"/>
      <c r="J1884" s="54"/>
      <c r="K1884" s="54"/>
      <c r="L1884" s="54"/>
      <c r="M1884" s="97" t="str">
        <f t="shared" si="167"/>
        <v/>
      </c>
      <c r="N1884" s="70"/>
      <c r="O1884" s="71" t="str">
        <f t="shared" si="171"/>
        <v/>
      </c>
      <c r="P1884" s="66"/>
      <c r="Q1884" s="66"/>
      <c r="R1884" s="54"/>
      <c r="S1884" s="82"/>
      <c r="T1884" s="83" t="str">
        <f t="shared" si="168"/>
        <v/>
      </c>
      <c r="U1884" s="10"/>
      <c r="V1884" s="41">
        <f>IF(AND(Q1884&lt;&gt;"",RIGHT(Q1884,3)&lt;&gt;""),IF(COUNTIF($Q$6:Q1884,Q1884)=1,1,0),0)</f>
        <v>0</v>
      </c>
      <c r="W1884" s="41" t="str">
        <f t="shared" si="169"/>
        <v/>
      </c>
      <c r="X1884" s="41" t="str">
        <f t="shared" si="170"/>
        <v/>
      </c>
    </row>
    <row r="1885" s="32" customFormat="1" hidden="1" customHeight="1" spans="1:24">
      <c r="A1885" s="34"/>
      <c r="B1885" s="51"/>
      <c r="C1885" s="51"/>
      <c r="D1885" s="52"/>
      <c r="E1885" s="53"/>
      <c r="F1885" s="54"/>
      <c r="G1885" s="54"/>
      <c r="H1885" s="54"/>
      <c r="I1885" s="66"/>
      <c r="J1885" s="54"/>
      <c r="K1885" s="54"/>
      <c r="L1885" s="54"/>
      <c r="M1885" s="97" t="str">
        <f t="shared" si="167"/>
        <v/>
      </c>
      <c r="N1885" s="70"/>
      <c r="O1885" s="71" t="str">
        <f t="shared" si="171"/>
        <v/>
      </c>
      <c r="P1885" s="66"/>
      <c r="Q1885" s="66"/>
      <c r="R1885" s="54"/>
      <c r="S1885" s="82"/>
      <c r="T1885" s="83" t="str">
        <f t="shared" si="168"/>
        <v/>
      </c>
      <c r="U1885" s="10"/>
      <c r="V1885" s="41">
        <f>IF(AND(Q1885&lt;&gt;"",RIGHT(Q1885,3)&lt;&gt;""),IF(COUNTIF($Q$6:Q1885,Q1885)=1,1,0),0)</f>
        <v>0</v>
      </c>
      <c r="W1885" s="41" t="str">
        <f t="shared" si="169"/>
        <v/>
      </c>
      <c r="X1885" s="41" t="str">
        <f t="shared" si="170"/>
        <v/>
      </c>
    </row>
    <row r="1886" s="32" customFormat="1" hidden="1" customHeight="1" spans="1:24">
      <c r="A1886" s="34"/>
      <c r="B1886" s="51"/>
      <c r="C1886" s="51"/>
      <c r="D1886" s="52"/>
      <c r="E1886" s="53"/>
      <c r="F1886" s="54"/>
      <c r="G1886" s="54"/>
      <c r="H1886" s="54"/>
      <c r="I1886" s="66"/>
      <c r="J1886" s="54"/>
      <c r="K1886" s="54"/>
      <c r="L1886" s="54"/>
      <c r="M1886" s="97" t="str">
        <f t="shared" si="167"/>
        <v/>
      </c>
      <c r="N1886" s="70"/>
      <c r="O1886" s="71" t="str">
        <f t="shared" si="171"/>
        <v/>
      </c>
      <c r="P1886" s="66"/>
      <c r="Q1886" s="66"/>
      <c r="R1886" s="54"/>
      <c r="S1886" s="82"/>
      <c r="T1886" s="83" t="str">
        <f t="shared" si="168"/>
        <v/>
      </c>
      <c r="U1886" s="10"/>
      <c r="V1886" s="41">
        <f>IF(AND(Q1886&lt;&gt;"",RIGHT(Q1886,3)&lt;&gt;""),IF(COUNTIF($Q$6:Q1886,Q1886)=1,1,0),0)</f>
        <v>0</v>
      </c>
      <c r="W1886" s="41" t="str">
        <f t="shared" si="169"/>
        <v/>
      </c>
      <c r="X1886" s="41" t="str">
        <f t="shared" si="170"/>
        <v/>
      </c>
    </row>
    <row r="1887" s="32" customFormat="1" hidden="1" customHeight="1" spans="1:24">
      <c r="A1887" s="34"/>
      <c r="B1887" s="51"/>
      <c r="C1887" s="51"/>
      <c r="D1887" s="52"/>
      <c r="E1887" s="53"/>
      <c r="F1887" s="54"/>
      <c r="G1887" s="54"/>
      <c r="H1887" s="54"/>
      <c r="I1887" s="66"/>
      <c r="J1887" s="54"/>
      <c r="K1887" s="54"/>
      <c r="L1887" s="54"/>
      <c r="M1887" s="97" t="str">
        <f t="shared" si="167"/>
        <v/>
      </c>
      <c r="N1887" s="70"/>
      <c r="O1887" s="71" t="str">
        <f t="shared" si="171"/>
        <v/>
      </c>
      <c r="P1887" s="66"/>
      <c r="Q1887" s="66"/>
      <c r="R1887" s="54"/>
      <c r="S1887" s="82"/>
      <c r="T1887" s="83" t="str">
        <f t="shared" si="168"/>
        <v/>
      </c>
      <c r="U1887" s="10"/>
      <c r="V1887" s="41">
        <f>IF(AND(Q1887&lt;&gt;"",RIGHT(Q1887,3)&lt;&gt;""),IF(COUNTIF($Q$6:Q1887,Q1887)=1,1,0),0)</f>
        <v>0</v>
      </c>
      <c r="W1887" s="41" t="str">
        <f t="shared" si="169"/>
        <v/>
      </c>
      <c r="X1887" s="41" t="str">
        <f t="shared" si="170"/>
        <v/>
      </c>
    </row>
    <row r="1888" s="32" customFormat="1" hidden="1" customHeight="1" spans="1:24">
      <c r="A1888" s="34"/>
      <c r="B1888" s="51"/>
      <c r="C1888" s="51"/>
      <c r="D1888" s="52"/>
      <c r="E1888" s="53"/>
      <c r="F1888" s="54"/>
      <c r="G1888" s="54"/>
      <c r="H1888" s="54"/>
      <c r="I1888" s="66"/>
      <c r="J1888" s="54"/>
      <c r="K1888" s="54"/>
      <c r="L1888" s="54"/>
      <c r="M1888" s="97" t="str">
        <f t="shared" si="167"/>
        <v/>
      </c>
      <c r="N1888" s="70"/>
      <c r="O1888" s="71" t="str">
        <f t="shared" si="171"/>
        <v/>
      </c>
      <c r="P1888" s="66"/>
      <c r="Q1888" s="66"/>
      <c r="R1888" s="54"/>
      <c r="S1888" s="82"/>
      <c r="T1888" s="83" t="str">
        <f t="shared" si="168"/>
        <v/>
      </c>
      <c r="U1888" s="10"/>
      <c r="V1888" s="41">
        <f>IF(AND(Q1888&lt;&gt;"",RIGHT(Q1888,3)&lt;&gt;""),IF(COUNTIF($Q$6:Q1888,Q1888)=1,1,0),0)</f>
        <v>0</v>
      </c>
      <c r="W1888" s="41" t="str">
        <f t="shared" si="169"/>
        <v/>
      </c>
      <c r="X1888" s="41" t="str">
        <f t="shared" si="170"/>
        <v/>
      </c>
    </row>
    <row r="1889" s="32" customFormat="1" hidden="1" customHeight="1" spans="1:24">
      <c r="A1889" s="34"/>
      <c r="B1889" s="51"/>
      <c r="C1889" s="51"/>
      <c r="D1889" s="52"/>
      <c r="E1889" s="53"/>
      <c r="F1889" s="54"/>
      <c r="G1889" s="54"/>
      <c r="H1889" s="54"/>
      <c r="I1889" s="66"/>
      <c r="J1889" s="54"/>
      <c r="K1889" s="54"/>
      <c r="L1889" s="54"/>
      <c r="M1889" s="97" t="str">
        <f t="shared" si="167"/>
        <v/>
      </c>
      <c r="N1889" s="70"/>
      <c r="O1889" s="71" t="str">
        <f t="shared" si="171"/>
        <v/>
      </c>
      <c r="P1889" s="66"/>
      <c r="Q1889" s="66"/>
      <c r="R1889" s="54"/>
      <c r="S1889" s="82"/>
      <c r="T1889" s="83" t="str">
        <f t="shared" si="168"/>
        <v/>
      </c>
      <c r="U1889" s="10"/>
      <c r="V1889" s="41">
        <f>IF(AND(Q1889&lt;&gt;"",RIGHT(Q1889,3)&lt;&gt;""),IF(COUNTIF($Q$6:Q1889,Q1889)=1,1,0),0)</f>
        <v>0</v>
      </c>
      <c r="W1889" s="41" t="str">
        <f t="shared" si="169"/>
        <v/>
      </c>
      <c r="X1889" s="41" t="str">
        <f t="shared" si="170"/>
        <v/>
      </c>
    </row>
    <row r="1890" s="32" customFormat="1" hidden="1" customHeight="1" spans="1:24">
      <c r="A1890" s="34"/>
      <c r="B1890" s="51"/>
      <c r="C1890" s="51"/>
      <c r="D1890" s="52"/>
      <c r="E1890" s="53"/>
      <c r="F1890" s="54"/>
      <c r="G1890" s="54"/>
      <c r="H1890" s="54"/>
      <c r="I1890" s="66"/>
      <c r="J1890" s="54"/>
      <c r="K1890" s="54"/>
      <c r="L1890" s="54"/>
      <c r="M1890" s="97" t="str">
        <f t="shared" si="167"/>
        <v/>
      </c>
      <c r="N1890" s="70"/>
      <c r="O1890" s="71" t="str">
        <f t="shared" si="171"/>
        <v/>
      </c>
      <c r="P1890" s="66"/>
      <c r="Q1890" s="66"/>
      <c r="R1890" s="54"/>
      <c r="S1890" s="82"/>
      <c r="T1890" s="83" t="str">
        <f t="shared" si="168"/>
        <v/>
      </c>
      <c r="U1890" s="10"/>
      <c r="V1890" s="41">
        <f>IF(AND(Q1890&lt;&gt;"",RIGHT(Q1890,3)&lt;&gt;""),IF(COUNTIF($Q$6:Q1890,Q1890)=1,1,0),0)</f>
        <v>0</v>
      </c>
      <c r="W1890" s="41" t="str">
        <f t="shared" si="169"/>
        <v/>
      </c>
      <c r="X1890" s="41" t="str">
        <f t="shared" si="170"/>
        <v/>
      </c>
    </row>
    <row r="1891" s="32" customFormat="1" hidden="1" customHeight="1" spans="1:24">
      <c r="A1891" s="34"/>
      <c r="B1891" s="51"/>
      <c r="C1891" s="51"/>
      <c r="D1891" s="52"/>
      <c r="E1891" s="53"/>
      <c r="F1891" s="54"/>
      <c r="G1891" s="54"/>
      <c r="H1891" s="54"/>
      <c r="I1891" s="66"/>
      <c r="J1891" s="54"/>
      <c r="K1891" s="54"/>
      <c r="L1891" s="54"/>
      <c r="M1891" s="97" t="str">
        <f t="shared" si="167"/>
        <v/>
      </c>
      <c r="N1891" s="70"/>
      <c r="O1891" s="71" t="str">
        <f t="shared" si="171"/>
        <v/>
      </c>
      <c r="P1891" s="66"/>
      <c r="Q1891" s="66"/>
      <c r="R1891" s="54"/>
      <c r="S1891" s="82"/>
      <c r="T1891" s="83" t="str">
        <f t="shared" si="168"/>
        <v/>
      </c>
      <c r="U1891" s="10"/>
      <c r="V1891" s="41">
        <f>IF(AND(Q1891&lt;&gt;"",RIGHT(Q1891,3)&lt;&gt;""),IF(COUNTIF($Q$6:Q1891,Q1891)=1,1,0),0)</f>
        <v>0</v>
      </c>
      <c r="W1891" s="41" t="str">
        <f t="shared" si="169"/>
        <v/>
      </c>
      <c r="X1891" s="41" t="str">
        <f t="shared" si="170"/>
        <v/>
      </c>
    </row>
    <row r="1892" s="32" customFormat="1" hidden="1" customHeight="1" spans="1:24">
      <c r="A1892" s="34"/>
      <c r="B1892" s="51"/>
      <c r="C1892" s="51"/>
      <c r="D1892" s="52"/>
      <c r="E1892" s="53"/>
      <c r="F1892" s="54"/>
      <c r="G1892" s="54"/>
      <c r="H1892" s="54"/>
      <c r="I1892" s="66"/>
      <c r="J1892" s="54"/>
      <c r="K1892" s="54"/>
      <c r="L1892" s="54"/>
      <c r="M1892" s="97" t="str">
        <f t="shared" ref="M1892:M1955" si="172">IF(L1892="","",HYPERLINK(_xlfn.CONCAT($L$4,L1892,".jpg"),"Open File"))</f>
        <v/>
      </c>
      <c r="N1892" s="70"/>
      <c r="O1892" s="71" t="str">
        <f t="shared" si="171"/>
        <v/>
      </c>
      <c r="P1892" s="66"/>
      <c r="Q1892" s="66"/>
      <c r="R1892" s="54"/>
      <c r="S1892" s="82"/>
      <c r="T1892" s="83" t="str">
        <f t="shared" ref="T1892:T1955" si="173">IF(S1892="","",HYPERLINK(_xlfn.CONCAT($S$4,S1892,".jpg"),"Open File"))</f>
        <v/>
      </c>
      <c r="U1892" s="10"/>
      <c r="V1892" s="41">
        <f>IF(AND(Q1892&lt;&gt;"",RIGHT(Q1892,3)&lt;&gt;""),IF(COUNTIF($Q$6:Q1892,Q1892)=1,1,0),0)</f>
        <v>0</v>
      </c>
      <c r="W1892" s="41" t="str">
        <f t="shared" ref="W1892:W1955" si="174">IF(AND(J1892&lt;&gt;"",K1892&lt;&gt;""),_xlfn.CONCAT(SUBSTITUTE(J1892,"/","."),"-",K1892),"")</f>
        <v/>
      </c>
      <c r="X1892" s="41" t="str">
        <f t="shared" ref="X1892:X1955" si="175">IF(AND(Q1892&lt;&gt;"",R1892&lt;&gt;""),_xlfn.CONCAT(SUBSTITUTE(Q1892,"/","."),"-",R1892),"")</f>
        <v/>
      </c>
    </row>
    <row r="1893" s="32" customFormat="1" hidden="1" customHeight="1" spans="1:24">
      <c r="A1893" s="34"/>
      <c r="B1893" s="51"/>
      <c r="C1893" s="51"/>
      <c r="D1893" s="52"/>
      <c r="E1893" s="53"/>
      <c r="F1893" s="54"/>
      <c r="G1893" s="54"/>
      <c r="H1893" s="54"/>
      <c r="I1893" s="66"/>
      <c r="J1893" s="54"/>
      <c r="K1893" s="54"/>
      <c r="L1893" s="54"/>
      <c r="M1893" s="97" t="str">
        <f t="shared" si="172"/>
        <v/>
      </c>
      <c r="N1893" s="70"/>
      <c r="O1893" s="71" t="str">
        <f t="shared" si="171"/>
        <v/>
      </c>
      <c r="P1893" s="66"/>
      <c r="Q1893" s="66"/>
      <c r="R1893" s="54"/>
      <c r="S1893" s="82"/>
      <c r="T1893" s="83" t="str">
        <f t="shared" si="173"/>
        <v/>
      </c>
      <c r="U1893" s="10"/>
      <c r="V1893" s="41">
        <f>IF(AND(Q1893&lt;&gt;"",RIGHT(Q1893,3)&lt;&gt;""),IF(COUNTIF($Q$6:Q1893,Q1893)=1,1,0),0)</f>
        <v>0</v>
      </c>
      <c r="W1893" s="41" t="str">
        <f t="shared" si="174"/>
        <v/>
      </c>
      <c r="X1893" s="41" t="str">
        <f t="shared" si="175"/>
        <v/>
      </c>
    </row>
    <row r="1894" s="32" customFormat="1" hidden="1" customHeight="1" spans="1:24">
      <c r="A1894" s="34"/>
      <c r="B1894" s="51"/>
      <c r="C1894" s="51"/>
      <c r="D1894" s="52"/>
      <c r="E1894" s="53"/>
      <c r="F1894" s="54"/>
      <c r="G1894" s="54"/>
      <c r="H1894" s="54"/>
      <c r="I1894" s="66"/>
      <c r="J1894" s="54"/>
      <c r="K1894" s="54"/>
      <c r="L1894" s="54"/>
      <c r="M1894" s="97" t="str">
        <f t="shared" si="172"/>
        <v/>
      </c>
      <c r="N1894" s="70"/>
      <c r="O1894" s="71" t="str">
        <f t="shared" si="171"/>
        <v/>
      </c>
      <c r="P1894" s="66"/>
      <c r="Q1894" s="66"/>
      <c r="R1894" s="54"/>
      <c r="S1894" s="82"/>
      <c r="T1894" s="83" t="str">
        <f t="shared" si="173"/>
        <v/>
      </c>
      <c r="U1894" s="10"/>
      <c r="V1894" s="41">
        <f>IF(AND(Q1894&lt;&gt;"",RIGHT(Q1894,3)&lt;&gt;""),IF(COUNTIF($Q$6:Q1894,Q1894)=1,1,0),0)</f>
        <v>0</v>
      </c>
      <c r="W1894" s="41" t="str">
        <f t="shared" si="174"/>
        <v/>
      </c>
      <c r="X1894" s="41" t="str">
        <f t="shared" si="175"/>
        <v/>
      </c>
    </row>
    <row r="1895" s="32" customFormat="1" hidden="1" customHeight="1" spans="1:24">
      <c r="A1895" s="34"/>
      <c r="B1895" s="51"/>
      <c r="C1895" s="51"/>
      <c r="D1895" s="52"/>
      <c r="E1895" s="53"/>
      <c r="F1895" s="54"/>
      <c r="G1895" s="54"/>
      <c r="H1895" s="54"/>
      <c r="I1895" s="66"/>
      <c r="J1895" s="54"/>
      <c r="K1895" s="54"/>
      <c r="L1895" s="54"/>
      <c r="M1895" s="97" t="str">
        <f t="shared" si="172"/>
        <v/>
      </c>
      <c r="N1895" s="70"/>
      <c r="O1895" s="71" t="str">
        <f t="shared" si="171"/>
        <v/>
      </c>
      <c r="P1895" s="66"/>
      <c r="Q1895" s="66"/>
      <c r="R1895" s="54"/>
      <c r="S1895" s="82"/>
      <c r="T1895" s="83" t="str">
        <f t="shared" si="173"/>
        <v/>
      </c>
      <c r="U1895" s="10"/>
      <c r="V1895" s="41">
        <f>IF(AND(Q1895&lt;&gt;"",RIGHT(Q1895,3)&lt;&gt;""),IF(COUNTIF($Q$6:Q1895,Q1895)=1,1,0),0)</f>
        <v>0</v>
      </c>
      <c r="W1895" s="41" t="str">
        <f t="shared" si="174"/>
        <v/>
      </c>
      <c r="X1895" s="41" t="str">
        <f t="shared" si="175"/>
        <v/>
      </c>
    </row>
    <row r="1896" s="32" customFormat="1" hidden="1" customHeight="1" spans="1:24">
      <c r="A1896" s="34"/>
      <c r="B1896" s="51"/>
      <c r="C1896" s="51"/>
      <c r="D1896" s="52"/>
      <c r="E1896" s="53"/>
      <c r="F1896" s="54"/>
      <c r="G1896" s="54"/>
      <c r="H1896" s="54"/>
      <c r="I1896" s="66"/>
      <c r="J1896" s="54"/>
      <c r="K1896" s="54"/>
      <c r="L1896" s="54"/>
      <c r="M1896" s="97" t="str">
        <f t="shared" si="172"/>
        <v/>
      </c>
      <c r="N1896" s="70"/>
      <c r="O1896" s="71" t="str">
        <f t="shared" si="171"/>
        <v/>
      </c>
      <c r="P1896" s="66"/>
      <c r="Q1896" s="66"/>
      <c r="R1896" s="54"/>
      <c r="S1896" s="82"/>
      <c r="T1896" s="83" t="str">
        <f t="shared" si="173"/>
        <v/>
      </c>
      <c r="U1896" s="10"/>
      <c r="V1896" s="41">
        <f>IF(AND(Q1896&lt;&gt;"",RIGHT(Q1896,3)&lt;&gt;""),IF(COUNTIF($Q$6:Q1896,Q1896)=1,1,0),0)</f>
        <v>0</v>
      </c>
      <c r="W1896" s="41" t="str">
        <f t="shared" si="174"/>
        <v/>
      </c>
      <c r="X1896" s="41" t="str">
        <f t="shared" si="175"/>
        <v/>
      </c>
    </row>
    <row r="1897" s="32" customFormat="1" hidden="1" customHeight="1" spans="1:24">
      <c r="A1897" s="34"/>
      <c r="B1897" s="51"/>
      <c r="C1897" s="51"/>
      <c r="D1897" s="52"/>
      <c r="E1897" s="53"/>
      <c r="F1897" s="54"/>
      <c r="G1897" s="54"/>
      <c r="H1897" s="54"/>
      <c r="I1897" s="66"/>
      <c r="J1897" s="54"/>
      <c r="K1897" s="54"/>
      <c r="L1897" s="54"/>
      <c r="M1897" s="97" t="str">
        <f t="shared" si="172"/>
        <v/>
      </c>
      <c r="N1897" s="70"/>
      <c r="O1897" s="71" t="str">
        <f t="shared" si="171"/>
        <v/>
      </c>
      <c r="P1897" s="66"/>
      <c r="Q1897" s="66"/>
      <c r="R1897" s="54"/>
      <c r="S1897" s="82"/>
      <c r="T1897" s="83" t="str">
        <f t="shared" si="173"/>
        <v/>
      </c>
      <c r="U1897" s="10"/>
      <c r="V1897" s="41">
        <f>IF(AND(Q1897&lt;&gt;"",RIGHT(Q1897,3)&lt;&gt;""),IF(COUNTIF($Q$6:Q1897,Q1897)=1,1,0),0)</f>
        <v>0</v>
      </c>
      <c r="W1897" s="41" t="str">
        <f t="shared" si="174"/>
        <v/>
      </c>
      <c r="X1897" s="41" t="str">
        <f t="shared" si="175"/>
        <v/>
      </c>
    </row>
    <row r="1898" s="32" customFormat="1" hidden="1" customHeight="1" spans="1:24">
      <c r="A1898" s="34"/>
      <c r="B1898" s="51"/>
      <c r="C1898" s="51"/>
      <c r="D1898" s="52"/>
      <c r="E1898" s="53"/>
      <c r="F1898" s="54"/>
      <c r="G1898" s="54"/>
      <c r="H1898" s="54"/>
      <c r="I1898" s="66"/>
      <c r="J1898" s="54"/>
      <c r="K1898" s="54"/>
      <c r="L1898" s="54"/>
      <c r="M1898" s="97" t="str">
        <f t="shared" si="172"/>
        <v/>
      </c>
      <c r="N1898" s="70"/>
      <c r="O1898" s="71" t="str">
        <f t="shared" si="171"/>
        <v/>
      </c>
      <c r="P1898" s="66"/>
      <c r="Q1898" s="66"/>
      <c r="R1898" s="54"/>
      <c r="S1898" s="82"/>
      <c r="T1898" s="83" t="str">
        <f t="shared" si="173"/>
        <v/>
      </c>
      <c r="U1898" s="10"/>
      <c r="V1898" s="41">
        <f>IF(AND(Q1898&lt;&gt;"",RIGHT(Q1898,3)&lt;&gt;""),IF(COUNTIF($Q$6:Q1898,Q1898)=1,1,0),0)</f>
        <v>0</v>
      </c>
      <c r="W1898" s="41" t="str">
        <f t="shared" si="174"/>
        <v/>
      </c>
      <c r="X1898" s="41" t="str">
        <f t="shared" si="175"/>
        <v/>
      </c>
    </row>
    <row r="1899" s="32" customFormat="1" hidden="1" customHeight="1" spans="1:24">
      <c r="A1899" s="34"/>
      <c r="B1899" s="51"/>
      <c r="C1899" s="51"/>
      <c r="D1899" s="52"/>
      <c r="E1899" s="53"/>
      <c r="F1899" s="54"/>
      <c r="G1899" s="54"/>
      <c r="H1899" s="54"/>
      <c r="I1899" s="66"/>
      <c r="J1899" s="54"/>
      <c r="K1899" s="54"/>
      <c r="L1899" s="54"/>
      <c r="M1899" s="97" t="str">
        <f t="shared" si="172"/>
        <v/>
      </c>
      <c r="N1899" s="70"/>
      <c r="O1899" s="71" t="str">
        <f t="shared" si="171"/>
        <v/>
      </c>
      <c r="P1899" s="66"/>
      <c r="Q1899" s="66"/>
      <c r="R1899" s="54"/>
      <c r="S1899" s="82"/>
      <c r="T1899" s="83" t="str">
        <f t="shared" si="173"/>
        <v/>
      </c>
      <c r="U1899" s="10"/>
      <c r="V1899" s="41">
        <f>IF(AND(Q1899&lt;&gt;"",RIGHT(Q1899,3)&lt;&gt;""),IF(COUNTIF($Q$6:Q1899,Q1899)=1,1,0),0)</f>
        <v>0</v>
      </c>
      <c r="W1899" s="41" t="str">
        <f t="shared" si="174"/>
        <v/>
      </c>
      <c r="X1899" s="41" t="str">
        <f t="shared" si="175"/>
        <v/>
      </c>
    </row>
    <row r="1900" s="32" customFormat="1" hidden="1" customHeight="1" spans="1:24">
      <c r="A1900" s="34"/>
      <c r="B1900" s="51"/>
      <c r="C1900" s="51"/>
      <c r="D1900" s="52"/>
      <c r="E1900" s="53"/>
      <c r="F1900" s="54"/>
      <c r="G1900" s="54"/>
      <c r="H1900" s="54"/>
      <c r="I1900" s="66"/>
      <c r="J1900" s="54"/>
      <c r="K1900" s="54"/>
      <c r="L1900" s="54"/>
      <c r="M1900" s="97" t="str">
        <f t="shared" si="172"/>
        <v/>
      </c>
      <c r="N1900" s="70"/>
      <c r="O1900" s="71" t="str">
        <f t="shared" si="171"/>
        <v/>
      </c>
      <c r="P1900" s="66"/>
      <c r="Q1900" s="66"/>
      <c r="R1900" s="54"/>
      <c r="S1900" s="82"/>
      <c r="T1900" s="83" t="str">
        <f t="shared" si="173"/>
        <v/>
      </c>
      <c r="U1900" s="10"/>
      <c r="V1900" s="41">
        <f>IF(AND(Q1900&lt;&gt;"",RIGHT(Q1900,3)&lt;&gt;""),IF(COUNTIF($Q$6:Q1900,Q1900)=1,1,0),0)</f>
        <v>0</v>
      </c>
      <c r="W1900" s="41" t="str">
        <f t="shared" si="174"/>
        <v/>
      </c>
      <c r="X1900" s="41" t="str">
        <f t="shared" si="175"/>
        <v/>
      </c>
    </row>
    <row r="1901" s="32" customFormat="1" hidden="1" customHeight="1" spans="1:24">
      <c r="A1901" s="34"/>
      <c r="B1901" s="51"/>
      <c r="C1901" s="51"/>
      <c r="D1901" s="52"/>
      <c r="E1901" s="53"/>
      <c r="F1901" s="54"/>
      <c r="G1901" s="54"/>
      <c r="H1901" s="54"/>
      <c r="I1901" s="66"/>
      <c r="J1901" s="54"/>
      <c r="K1901" s="54"/>
      <c r="L1901" s="54"/>
      <c r="M1901" s="97" t="str">
        <f t="shared" si="172"/>
        <v/>
      </c>
      <c r="N1901" s="70"/>
      <c r="O1901" s="71" t="str">
        <f t="shared" si="171"/>
        <v/>
      </c>
      <c r="P1901" s="66"/>
      <c r="Q1901" s="66"/>
      <c r="R1901" s="54"/>
      <c r="S1901" s="82"/>
      <c r="T1901" s="83" t="str">
        <f t="shared" si="173"/>
        <v/>
      </c>
      <c r="U1901" s="10"/>
      <c r="V1901" s="41">
        <f>IF(AND(Q1901&lt;&gt;"",RIGHT(Q1901,3)&lt;&gt;""),IF(COUNTIF($Q$6:Q1901,Q1901)=1,1,0),0)</f>
        <v>0</v>
      </c>
      <c r="W1901" s="41" t="str">
        <f t="shared" si="174"/>
        <v/>
      </c>
      <c r="X1901" s="41" t="str">
        <f t="shared" si="175"/>
        <v/>
      </c>
    </row>
    <row r="1902" s="32" customFormat="1" hidden="1" customHeight="1" spans="1:24">
      <c r="A1902" s="34"/>
      <c r="B1902" s="51"/>
      <c r="C1902" s="51"/>
      <c r="D1902" s="52"/>
      <c r="E1902" s="53"/>
      <c r="F1902" s="54"/>
      <c r="G1902" s="54"/>
      <c r="H1902" s="54"/>
      <c r="I1902" s="66"/>
      <c r="J1902" s="54"/>
      <c r="K1902" s="54"/>
      <c r="L1902" s="54"/>
      <c r="M1902" s="97" t="str">
        <f t="shared" si="172"/>
        <v/>
      </c>
      <c r="N1902" s="70"/>
      <c r="O1902" s="71" t="str">
        <f t="shared" si="171"/>
        <v/>
      </c>
      <c r="P1902" s="66"/>
      <c r="Q1902" s="66"/>
      <c r="R1902" s="54"/>
      <c r="S1902" s="82"/>
      <c r="T1902" s="83" t="str">
        <f t="shared" si="173"/>
        <v/>
      </c>
      <c r="U1902" s="10"/>
      <c r="V1902" s="41">
        <f>IF(AND(Q1902&lt;&gt;"",RIGHT(Q1902,3)&lt;&gt;""),IF(COUNTIF($Q$6:Q1902,Q1902)=1,1,0),0)</f>
        <v>0</v>
      </c>
      <c r="W1902" s="41" t="str">
        <f t="shared" si="174"/>
        <v/>
      </c>
      <c r="X1902" s="41" t="str">
        <f t="shared" si="175"/>
        <v/>
      </c>
    </row>
    <row r="1903" s="32" customFormat="1" hidden="1" customHeight="1" spans="1:24">
      <c r="A1903" s="34"/>
      <c r="B1903" s="51"/>
      <c r="C1903" s="51"/>
      <c r="D1903" s="52"/>
      <c r="E1903" s="53"/>
      <c r="F1903" s="54"/>
      <c r="G1903" s="54"/>
      <c r="H1903" s="54"/>
      <c r="I1903" s="66"/>
      <c r="J1903" s="54"/>
      <c r="K1903" s="54"/>
      <c r="L1903" s="54"/>
      <c r="M1903" s="97" t="str">
        <f t="shared" si="172"/>
        <v/>
      </c>
      <c r="N1903" s="70"/>
      <c r="O1903" s="71" t="str">
        <f t="shared" si="171"/>
        <v/>
      </c>
      <c r="P1903" s="66"/>
      <c r="Q1903" s="66"/>
      <c r="R1903" s="54"/>
      <c r="S1903" s="82"/>
      <c r="T1903" s="83" t="str">
        <f t="shared" si="173"/>
        <v/>
      </c>
      <c r="U1903" s="10"/>
      <c r="V1903" s="41">
        <f>IF(AND(Q1903&lt;&gt;"",RIGHT(Q1903,3)&lt;&gt;""),IF(COUNTIF($Q$6:Q1903,Q1903)=1,1,0),0)</f>
        <v>0</v>
      </c>
      <c r="W1903" s="41" t="str">
        <f t="shared" si="174"/>
        <v/>
      </c>
      <c r="X1903" s="41" t="str">
        <f t="shared" si="175"/>
        <v/>
      </c>
    </row>
    <row r="1904" s="32" customFormat="1" hidden="1" customHeight="1" spans="1:24">
      <c r="A1904" s="34"/>
      <c r="B1904" s="51"/>
      <c r="C1904" s="51"/>
      <c r="D1904" s="52"/>
      <c r="E1904" s="53"/>
      <c r="F1904" s="54"/>
      <c r="G1904" s="54"/>
      <c r="H1904" s="54"/>
      <c r="I1904" s="66"/>
      <c r="J1904" s="54"/>
      <c r="K1904" s="54"/>
      <c r="L1904" s="54"/>
      <c r="M1904" s="97" t="str">
        <f t="shared" si="172"/>
        <v/>
      </c>
      <c r="N1904" s="70"/>
      <c r="O1904" s="71" t="str">
        <f t="shared" si="171"/>
        <v/>
      </c>
      <c r="P1904" s="66"/>
      <c r="Q1904" s="66"/>
      <c r="R1904" s="54"/>
      <c r="S1904" s="82"/>
      <c r="T1904" s="83" t="str">
        <f t="shared" si="173"/>
        <v/>
      </c>
      <c r="U1904" s="10"/>
      <c r="V1904" s="41">
        <f>IF(AND(Q1904&lt;&gt;"",RIGHT(Q1904,3)&lt;&gt;""),IF(COUNTIF($Q$6:Q1904,Q1904)=1,1,0),0)</f>
        <v>0</v>
      </c>
      <c r="W1904" s="41" t="str">
        <f t="shared" si="174"/>
        <v/>
      </c>
      <c r="X1904" s="41" t="str">
        <f t="shared" si="175"/>
        <v/>
      </c>
    </row>
    <row r="1905" s="32" customFormat="1" hidden="1" customHeight="1" spans="1:24">
      <c r="A1905" s="34"/>
      <c r="B1905" s="51"/>
      <c r="C1905" s="51"/>
      <c r="D1905" s="52"/>
      <c r="E1905" s="53"/>
      <c r="F1905" s="54"/>
      <c r="G1905" s="54"/>
      <c r="H1905" s="54"/>
      <c r="I1905" s="66"/>
      <c r="J1905" s="54"/>
      <c r="K1905" s="54"/>
      <c r="L1905" s="54"/>
      <c r="M1905" s="97" t="str">
        <f t="shared" si="172"/>
        <v/>
      </c>
      <c r="N1905" s="70"/>
      <c r="O1905" s="71" t="str">
        <f t="shared" ref="O1905:O1968" si="176">IF(AND(Q1905&lt;&gt;"",T1905&lt;&gt;""),"PASSIVE",IF(AND(J1905&lt;&gt;"",M1905&lt;&gt;""),"ACTIVE",""))</f>
        <v/>
      </c>
      <c r="P1905" s="66"/>
      <c r="Q1905" s="66"/>
      <c r="R1905" s="54"/>
      <c r="S1905" s="82"/>
      <c r="T1905" s="83" t="str">
        <f t="shared" si="173"/>
        <v/>
      </c>
      <c r="U1905" s="10"/>
      <c r="V1905" s="41">
        <f>IF(AND(Q1905&lt;&gt;"",RIGHT(Q1905,3)&lt;&gt;""),IF(COUNTIF($Q$6:Q1905,Q1905)=1,1,0),0)</f>
        <v>0</v>
      </c>
      <c r="W1905" s="41" t="str">
        <f t="shared" si="174"/>
        <v/>
      </c>
      <c r="X1905" s="41" t="str">
        <f t="shared" si="175"/>
        <v/>
      </c>
    </row>
    <row r="1906" s="32" customFormat="1" hidden="1" customHeight="1" spans="1:24">
      <c r="A1906" s="34"/>
      <c r="B1906" s="51"/>
      <c r="C1906" s="51"/>
      <c r="D1906" s="52"/>
      <c r="E1906" s="53"/>
      <c r="F1906" s="54"/>
      <c r="G1906" s="54"/>
      <c r="H1906" s="54"/>
      <c r="I1906" s="66"/>
      <c r="J1906" s="54"/>
      <c r="K1906" s="54"/>
      <c r="L1906" s="54"/>
      <c r="M1906" s="97" t="str">
        <f t="shared" si="172"/>
        <v/>
      </c>
      <c r="N1906" s="70"/>
      <c r="O1906" s="71" t="str">
        <f t="shared" si="176"/>
        <v/>
      </c>
      <c r="P1906" s="66"/>
      <c r="Q1906" s="66"/>
      <c r="R1906" s="54"/>
      <c r="S1906" s="82"/>
      <c r="T1906" s="83" t="str">
        <f t="shared" si="173"/>
        <v/>
      </c>
      <c r="U1906" s="10"/>
      <c r="V1906" s="41">
        <f>IF(AND(Q1906&lt;&gt;"",RIGHT(Q1906,3)&lt;&gt;""),IF(COUNTIF($Q$6:Q1906,Q1906)=1,1,0),0)</f>
        <v>0</v>
      </c>
      <c r="W1906" s="41" t="str">
        <f t="shared" si="174"/>
        <v/>
      </c>
      <c r="X1906" s="41" t="str">
        <f t="shared" si="175"/>
        <v/>
      </c>
    </row>
    <row r="1907" s="32" customFormat="1" hidden="1" customHeight="1" spans="1:24">
      <c r="A1907" s="34"/>
      <c r="B1907" s="51"/>
      <c r="C1907" s="51"/>
      <c r="D1907" s="52"/>
      <c r="E1907" s="53"/>
      <c r="F1907" s="54"/>
      <c r="G1907" s="54"/>
      <c r="H1907" s="54"/>
      <c r="I1907" s="66"/>
      <c r="J1907" s="54"/>
      <c r="K1907" s="54"/>
      <c r="L1907" s="54"/>
      <c r="M1907" s="97" t="str">
        <f t="shared" si="172"/>
        <v/>
      </c>
      <c r="N1907" s="70"/>
      <c r="O1907" s="71" t="str">
        <f t="shared" si="176"/>
        <v/>
      </c>
      <c r="P1907" s="66"/>
      <c r="Q1907" s="66"/>
      <c r="R1907" s="54"/>
      <c r="S1907" s="82"/>
      <c r="T1907" s="83" t="str">
        <f t="shared" si="173"/>
        <v/>
      </c>
      <c r="U1907" s="10"/>
      <c r="V1907" s="41">
        <f>IF(AND(Q1907&lt;&gt;"",RIGHT(Q1907,3)&lt;&gt;""),IF(COUNTIF($Q$6:Q1907,Q1907)=1,1,0),0)</f>
        <v>0</v>
      </c>
      <c r="W1907" s="41" t="str">
        <f t="shared" si="174"/>
        <v/>
      </c>
      <c r="X1907" s="41" t="str">
        <f t="shared" si="175"/>
        <v/>
      </c>
    </row>
    <row r="1908" s="32" customFormat="1" hidden="1" customHeight="1" spans="1:24">
      <c r="A1908" s="34"/>
      <c r="B1908" s="51"/>
      <c r="C1908" s="51"/>
      <c r="D1908" s="52"/>
      <c r="E1908" s="53"/>
      <c r="F1908" s="54"/>
      <c r="G1908" s="54"/>
      <c r="H1908" s="54"/>
      <c r="I1908" s="66"/>
      <c r="J1908" s="54"/>
      <c r="K1908" s="54"/>
      <c r="L1908" s="54"/>
      <c r="M1908" s="97" t="str">
        <f t="shared" si="172"/>
        <v/>
      </c>
      <c r="N1908" s="70"/>
      <c r="O1908" s="71" t="str">
        <f t="shared" si="176"/>
        <v/>
      </c>
      <c r="P1908" s="66"/>
      <c r="Q1908" s="66"/>
      <c r="R1908" s="54"/>
      <c r="S1908" s="82"/>
      <c r="T1908" s="83" t="str">
        <f t="shared" si="173"/>
        <v/>
      </c>
      <c r="U1908" s="10"/>
      <c r="V1908" s="41">
        <f>IF(AND(Q1908&lt;&gt;"",RIGHT(Q1908,3)&lt;&gt;""),IF(COUNTIF($Q$6:Q1908,Q1908)=1,1,0),0)</f>
        <v>0</v>
      </c>
      <c r="W1908" s="41" t="str">
        <f t="shared" si="174"/>
        <v/>
      </c>
      <c r="X1908" s="41" t="str">
        <f t="shared" si="175"/>
        <v/>
      </c>
    </row>
    <row r="1909" s="32" customFormat="1" hidden="1" customHeight="1" spans="1:24">
      <c r="A1909" s="34"/>
      <c r="B1909" s="51"/>
      <c r="C1909" s="51"/>
      <c r="D1909" s="52"/>
      <c r="E1909" s="53"/>
      <c r="F1909" s="54"/>
      <c r="G1909" s="54"/>
      <c r="H1909" s="54"/>
      <c r="I1909" s="66"/>
      <c r="J1909" s="54"/>
      <c r="K1909" s="54"/>
      <c r="L1909" s="54"/>
      <c r="M1909" s="97" t="str">
        <f t="shared" si="172"/>
        <v/>
      </c>
      <c r="N1909" s="70"/>
      <c r="O1909" s="71" t="str">
        <f t="shared" si="176"/>
        <v/>
      </c>
      <c r="P1909" s="66"/>
      <c r="Q1909" s="66"/>
      <c r="R1909" s="54"/>
      <c r="S1909" s="82"/>
      <c r="T1909" s="83" t="str">
        <f t="shared" si="173"/>
        <v/>
      </c>
      <c r="U1909" s="10"/>
      <c r="V1909" s="41">
        <f>IF(AND(Q1909&lt;&gt;"",RIGHT(Q1909,3)&lt;&gt;""),IF(COUNTIF($Q$6:Q1909,Q1909)=1,1,0),0)</f>
        <v>0</v>
      </c>
      <c r="W1909" s="41" t="str">
        <f t="shared" si="174"/>
        <v/>
      </c>
      <c r="X1909" s="41" t="str">
        <f t="shared" si="175"/>
        <v/>
      </c>
    </row>
    <row r="1910" s="32" customFormat="1" hidden="1" customHeight="1" spans="1:24">
      <c r="A1910" s="34"/>
      <c r="B1910" s="51"/>
      <c r="C1910" s="51"/>
      <c r="D1910" s="52"/>
      <c r="E1910" s="53"/>
      <c r="F1910" s="54"/>
      <c r="G1910" s="54"/>
      <c r="H1910" s="54"/>
      <c r="I1910" s="66"/>
      <c r="J1910" s="54"/>
      <c r="K1910" s="54"/>
      <c r="L1910" s="54"/>
      <c r="M1910" s="97" t="str">
        <f t="shared" si="172"/>
        <v/>
      </c>
      <c r="N1910" s="70"/>
      <c r="O1910" s="71" t="str">
        <f t="shared" si="176"/>
        <v/>
      </c>
      <c r="P1910" s="66"/>
      <c r="Q1910" s="66"/>
      <c r="R1910" s="54"/>
      <c r="S1910" s="82"/>
      <c r="T1910" s="83" t="str">
        <f t="shared" si="173"/>
        <v/>
      </c>
      <c r="U1910" s="10"/>
      <c r="V1910" s="41">
        <f>IF(AND(Q1910&lt;&gt;"",RIGHT(Q1910,3)&lt;&gt;""),IF(COUNTIF($Q$6:Q1910,Q1910)=1,1,0),0)</f>
        <v>0</v>
      </c>
      <c r="W1910" s="41" t="str">
        <f t="shared" si="174"/>
        <v/>
      </c>
      <c r="X1910" s="41" t="str">
        <f t="shared" si="175"/>
        <v/>
      </c>
    </row>
    <row r="1911" s="32" customFormat="1" hidden="1" customHeight="1" spans="1:24">
      <c r="A1911" s="34"/>
      <c r="B1911" s="51"/>
      <c r="C1911" s="51"/>
      <c r="D1911" s="52"/>
      <c r="E1911" s="53"/>
      <c r="F1911" s="54"/>
      <c r="G1911" s="54"/>
      <c r="H1911" s="54"/>
      <c r="I1911" s="66"/>
      <c r="J1911" s="54"/>
      <c r="K1911" s="54"/>
      <c r="L1911" s="54"/>
      <c r="M1911" s="97" t="str">
        <f t="shared" si="172"/>
        <v/>
      </c>
      <c r="N1911" s="70"/>
      <c r="O1911" s="71" t="str">
        <f t="shared" si="176"/>
        <v/>
      </c>
      <c r="P1911" s="66"/>
      <c r="Q1911" s="66"/>
      <c r="R1911" s="54"/>
      <c r="S1911" s="82"/>
      <c r="T1911" s="83" t="str">
        <f t="shared" si="173"/>
        <v/>
      </c>
      <c r="U1911" s="10"/>
      <c r="V1911" s="41">
        <f>IF(AND(Q1911&lt;&gt;"",RIGHT(Q1911,3)&lt;&gt;""),IF(COUNTIF($Q$6:Q1911,Q1911)=1,1,0),0)</f>
        <v>0</v>
      </c>
      <c r="W1911" s="41" t="str">
        <f t="shared" si="174"/>
        <v/>
      </c>
      <c r="X1911" s="41" t="str">
        <f t="shared" si="175"/>
        <v/>
      </c>
    </row>
    <row r="1912" s="32" customFormat="1" hidden="1" customHeight="1" spans="1:24">
      <c r="A1912" s="34"/>
      <c r="B1912" s="51"/>
      <c r="C1912" s="51"/>
      <c r="D1912" s="52"/>
      <c r="E1912" s="53"/>
      <c r="F1912" s="54"/>
      <c r="G1912" s="54"/>
      <c r="H1912" s="54"/>
      <c r="I1912" s="66"/>
      <c r="J1912" s="54"/>
      <c r="K1912" s="54"/>
      <c r="L1912" s="54"/>
      <c r="M1912" s="97" t="str">
        <f t="shared" si="172"/>
        <v/>
      </c>
      <c r="N1912" s="70"/>
      <c r="O1912" s="71" t="str">
        <f t="shared" si="176"/>
        <v/>
      </c>
      <c r="P1912" s="66"/>
      <c r="Q1912" s="66"/>
      <c r="R1912" s="54"/>
      <c r="S1912" s="82"/>
      <c r="T1912" s="83" t="str">
        <f t="shared" si="173"/>
        <v/>
      </c>
      <c r="U1912" s="10"/>
      <c r="V1912" s="41">
        <f>IF(AND(Q1912&lt;&gt;"",RIGHT(Q1912,3)&lt;&gt;""),IF(COUNTIF($Q$6:Q1912,Q1912)=1,1,0),0)</f>
        <v>0</v>
      </c>
      <c r="W1912" s="41" t="str">
        <f t="shared" si="174"/>
        <v/>
      </c>
      <c r="X1912" s="41" t="str">
        <f t="shared" si="175"/>
        <v/>
      </c>
    </row>
    <row r="1913" s="32" customFormat="1" hidden="1" customHeight="1" spans="1:24">
      <c r="A1913" s="34"/>
      <c r="B1913" s="51"/>
      <c r="C1913" s="51"/>
      <c r="D1913" s="52"/>
      <c r="E1913" s="53"/>
      <c r="F1913" s="54"/>
      <c r="G1913" s="54"/>
      <c r="H1913" s="54"/>
      <c r="I1913" s="66"/>
      <c r="J1913" s="54"/>
      <c r="K1913" s="54"/>
      <c r="L1913" s="54"/>
      <c r="M1913" s="97" t="str">
        <f t="shared" si="172"/>
        <v/>
      </c>
      <c r="N1913" s="70"/>
      <c r="O1913" s="71" t="str">
        <f t="shared" si="176"/>
        <v/>
      </c>
      <c r="P1913" s="66"/>
      <c r="Q1913" s="66"/>
      <c r="R1913" s="54"/>
      <c r="S1913" s="82"/>
      <c r="T1913" s="83" t="str">
        <f t="shared" si="173"/>
        <v/>
      </c>
      <c r="U1913" s="10"/>
      <c r="V1913" s="41">
        <f>IF(AND(Q1913&lt;&gt;"",RIGHT(Q1913,3)&lt;&gt;""),IF(COUNTIF($Q$6:Q1913,Q1913)=1,1,0),0)</f>
        <v>0</v>
      </c>
      <c r="W1913" s="41" t="str">
        <f t="shared" si="174"/>
        <v/>
      </c>
      <c r="X1913" s="41" t="str">
        <f t="shared" si="175"/>
        <v/>
      </c>
    </row>
    <row r="1914" s="32" customFormat="1" hidden="1" customHeight="1" spans="1:24">
      <c r="A1914" s="34"/>
      <c r="B1914" s="51"/>
      <c r="C1914" s="51"/>
      <c r="D1914" s="52"/>
      <c r="E1914" s="53"/>
      <c r="F1914" s="54"/>
      <c r="G1914" s="54"/>
      <c r="H1914" s="54"/>
      <c r="I1914" s="66"/>
      <c r="J1914" s="54"/>
      <c r="K1914" s="54"/>
      <c r="L1914" s="54"/>
      <c r="M1914" s="97" t="str">
        <f t="shared" si="172"/>
        <v/>
      </c>
      <c r="N1914" s="70"/>
      <c r="O1914" s="71" t="str">
        <f t="shared" si="176"/>
        <v/>
      </c>
      <c r="P1914" s="66"/>
      <c r="Q1914" s="66"/>
      <c r="R1914" s="54"/>
      <c r="S1914" s="82"/>
      <c r="T1914" s="83" t="str">
        <f t="shared" si="173"/>
        <v/>
      </c>
      <c r="U1914" s="10"/>
      <c r="V1914" s="41">
        <f>IF(AND(Q1914&lt;&gt;"",RIGHT(Q1914,3)&lt;&gt;""),IF(COUNTIF($Q$6:Q1914,Q1914)=1,1,0),0)</f>
        <v>0</v>
      </c>
      <c r="W1914" s="41" t="str">
        <f t="shared" si="174"/>
        <v/>
      </c>
      <c r="X1914" s="41" t="str">
        <f t="shared" si="175"/>
        <v/>
      </c>
    </row>
    <row r="1915" s="32" customFormat="1" hidden="1" customHeight="1" spans="1:24">
      <c r="A1915" s="34"/>
      <c r="B1915" s="51"/>
      <c r="C1915" s="51"/>
      <c r="D1915" s="52"/>
      <c r="E1915" s="53"/>
      <c r="F1915" s="54"/>
      <c r="G1915" s="54"/>
      <c r="H1915" s="54"/>
      <c r="I1915" s="66"/>
      <c r="J1915" s="54"/>
      <c r="K1915" s="54"/>
      <c r="L1915" s="54"/>
      <c r="M1915" s="97" t="str">
        <f t="shared" si="172"/>
        <v/>
      </c>
      <c r="N1915" s="70"/>
      <c r="O1915" s="71" t="str">
        <f t="shared" si="176"/>
        <v/>
      </c>
      <c r="P1915" s="66"/>
      <c r="Q1915" s="66"/>
      <c r="R1915" s="54"/>
      <c r="S1915" s="82"/>
      <c r="T1915" s="83" t="str">
        <f t="shared" si="173"/>
        <v/>
      </c>
      <c r="U1915" s="10"/>
      <c r="V1915" s="41">
        <f>IF(AND(Q1915&lt;&gt;"",RIGHT(Q1915,3)&lt;&gt;""),IF(COUNTIF($Q$6:Q1915,Q1915)=1,1,0),0)</f>
        <v>0</v>
      </c>
      <c r="W1915" s="41" t="str">
        <f t="shared" si="174"/>
        <v/>
      </c>
      <c r="X1915" s="41" t="str">
        <f t="shared" si="175"/>
        <v/>
      </c>
    </row>
    <row r="1916" s="32" customFormat="1" hidden="1" customHeight="1" spans="1:24">
      <c r="A1916" s="34"/>
      <c r="B1916" s="51"/>
      <c r="C1916" s="51"/>
      <c r="D1916" s="52"/>
      <c r="E1916" s="53"/>
      <c r="F1916" s="54"/>
      <c r="G1916" s="54"/>
      <c r="H1916" s="54"/>
      <c r="I1916" s="66"/>
      <c r="J1916" s="54"/>
      <c r="K1916" s="54"/>
      <c r="L1916" s="54"/>
      <c r="M1916" s="97" t="str">
        <f t="shared" si="172"/>
        <v/>
      </c>
      <c r="N1916" s="70"/>
      <c r="O1916" s="71" t="str">
        <f t="shared" si="176"/>
        <v/>
      </c>
      <c r="P1916" s="66"/>
      <c r="Q1916" s="66"/>
      <c r="R1916" s="54"/>
      <c r="S1916" s="82"/>
      <c r="T1916" s="83" t="str">
        <f t="shared" si="173"/>
        <v/>
      </c>
      <c r="U1916" s="10"/>
      <c r="V1916" s="41">
        <f>IF(AND(Q1916&lt;&gt;"",RIGHT(Q1916,3)&lt;&gt;""),IF(COUNTIF($Q$6:Q1916,Q1916)=1,1,0),0)</f>
        <v>0</v>
      </c>
      <c r="W1916" s="41" t="str">
        <f t="shared" si="174"/>
        <v/>
      </c>
      <c r="X1916" s="41" t="str">
        <f t="shared" si="175"/>
        <v/>
      </c>
    </row>
    <row r="1917" s="32" customFormat="1" hidden="1" customHeight="1" spans="1:24">
      <c r="A1917" s="34"/>
      <c r="B1917" s="51"/>
      <c r="C1917" s="51"/>
      <c r="D1917" s="52"/>
      <c r="E1917" s="53"/>
      <c r="F1917" s="54"/>
      <c r="G1917" s="54"/>
      <c r="H1917" s="54"/>
      <c r="I1917" s="66"/>
      <c r="J1917" s="54"/>
      <c r="K1917" s="54"/>
      <c r="L1917" s="54"/>
      <c r="M1917" s="97" t="str">
        <f t="shared" si="172"/>
        <v/>
      </c>
      <c r="N1917" s="70"/>
      <c r="O1917" s="71" t="str">
        <f t="shared" si="176"/>
        <v/>
      </c>
      <c r="P1917" s="66"/>
      <c r="Q1917" s="66"/>
      <c r="R1917" s="54"/>
      <c r="S1917" s="82"/>
      <c r="T1917" s="83" t="str">
        <f t="shared" si="173"/>
        <v/>
      </c>
      <c r="U1917" s="10"/>
      <c r="V1917" s="41">
        <f>IF(AND(Q1917&lt;&gt;"",RIGHT(Q1917,3)&lt;&gt;""),IF(COUNTIF($Q$6:Q1917,Q1917)=1,1,0),0)</f>
        <v>0</v>
      </c>
      <c r="W1917" s="41" t="str">
        <f t="shared" si="174"/>
        <v/>
      </c>
      <c r="X1917" s="41" t="str">
        <f t="shared" si="175"/>
        <v/>
      </c>
    </row>
    <row r="1918" s="32" customFormat="1" hidden="1" customHeight="1" spans="1:24">
      <c r="A1918" s="34"/>
      <c r="B1918" s="51"/>
      <c r="C1918" s="51"/>
      <c r="D1918" s="52"/>
      <c r="E1918" s="53"/>
      <c r="F1918" s="54"/>
      <c r="G1918" s="54"/>
      <c r="H1918" s="54"/>
      <c r="I1918" s="66"/>
      <c r="J1918" s="54"/>
      <c r="K1918" s="54"/>
      <c r="L1918" s="54"/>
      <c r="M1918" s="97" t="str">
        <f t="shared" si="172"/>
        <v/>
      </c>
      <c r="N1918" s="70"/>
      <c r="O1918" s="71" t="str">
        <f t="shared" si="176"/>
        <v/>
      </c>
      <c r="P1918" s="66"/>
      <c r="Q1918" s="66"/>
      <c r="R1918" s="54"/>
      <c r="S1918" s="82"/>
      <c r="T1918" s="83" t="str">
        <f t="shared" si="173"/>
        <v/>
      </c>
      <c r="U1918" s="10"/>
      <c r="V1918" s="41">
        <f>IF(AND(Q1918&lt;&gt;"",RIGHT(Q1918,3)&lt;&gt;""),IF(COUNTIF($Q$6:Q1918,Q1918)=1,1,0),0)</f>
        <v>0</v>
      </c>
      <c r="W1918" s="41" t="str">
        <f t="shared" si="174"/>
        <v/>
      </c>
      <c r="X1918" s="41" t="str">
        <f t="shared" si="175"/>
        <v/>
      </c>
    </row>
    <row r="1919" s="32" customFormat="1" hidden="1" customHeight="1" spans="1:24">
      <c r="A1919" s="34"/>
      <c r="B1919" s="51"/>
      <c r="C1919" s="51"/>
      <c r="D1919" s="52"/>
      <c r="E1919" s="53"/>
      <c r="F1919" s="54"/>
      <c r="G1919" s="54"/>
      <c r="H1919" s="54"/>
      <c r="I1919" s="66"/>
      <c r="J1919" s="54"/>
      <c r="K1919" s="54"/>
      <c r="L1919" s="54"/>
      <c r="M1919" s="97" t="str">
        <f t="shared" si="172"/>
        <v/>
      </c>
      <c r="N1919" s="70"/>
      <c r="O1919" s="71" t="str">
        <f t="shared" si="176"/>
        <v/>
      </c>
      <c r="P1919" s="66"/>
      <c r="Q1919" s="66"/>
      <c r="R1919" s="54"/>
      <c r="S1919" s="82"/>
      <c r="T1919" s="83" t="str">
        <f t="shared" si="173"/>
        <v/>
      </c>
      <c r="U1919" s="10"/>
      <c r="V1919" s="41">
        <f>IF(AND(Q1919&lt;&gt;"",RIGHT(Q1919,3)&lt;&gt;""),IF(COUNTIF($Q$6:Q1919,Q1919)=1,1,0),0)</f>
        <v>0</v>
      </c>
      <c r="W1919" s="41" t="str">
        <f t="shared" si="174"/>
        <v/>
      </c>
      <c r="X1919" s="41" t="str">
        <f t="shared" si="175"/>
        <v/>
      </c>
    </row>
    <row r="1920" s="32" customFormat="1" hidden="1" customHeight="1" spans="1:24">
      <c r="A1920" s="34"/>
      <c r="B1920" s="51"/>
      <c r="C1920" s="51"/>
      <c r="D1920" s="52"/>
      <c r="E1920" s="53"/>
      <c r="F1920" s="54"/>
      <c r="G1920" s="54"/>
      <c r="H1920" s="54"/>
      <c r="I1920" s="66"/>
      <c r="J1920" s="54"/>
      <c r="K1920" s="54"/>
      <c r="L1920" s="54"/>
      <c r="M1920" s="97" t="str">
        <f t="shared" si="172"/>
        <v/>
      </c>
      <c r="N1920" s="70"/>
      <c r="O1920" s="71" t="str">
        <f t="shared" si="176"/>
        <v/>
      </c>
      <c r="P1920" s="66"/>
      <c r="Q1920" s="66"/>
      <c r="R1920" s="54"/>
      <c r="S1920" s="82"/>
      <c r="T1920" s="83" t="str">
        <f t="shared" si="173"/>
        <v/>
      </c>
      <c r="U1920" s="10"/>
      <c r="V1920" s="41">
        <f>IF(AND(Q1920&lt;&gt;"",RIGHT(Q1920,3)&lt;&gt;""),IF(COUNTIF($Q$6:Q1920,Q1920)=1,1,0),0)</f>
        <v>0</v>
      </c>
      <c r="W1920" s="41" t="str">
        <f t="shared" si="174"/>
        <v/>
      </c>
      <c r="X1920" s="41" t="str">
        <f t="shared" si="175"/>
        <v/>
      </c>
    </row>
    <row r="1921" s="32" customFormat="1" hidden="1" customHeight="1" spans="1:24">
      <c r="A1921" s="34"/>
      <c r="B1921" s="51"/>
      <c r="C1921" s="51"/>
      <c r="D1921" s="52"/>
      <c r="E1921" s="53"/>
      <c r="F1921" s="54"/>
      <c r="G1921" s="54"/>
      <c r="H1921" s="54"/>
      <c r="I1921" s="66"/>
      <c r="J1921" s="54"/>
      <c r="K1921" s="54"/>
      <c r="L1921" s="54"/>
      <c r="M1921" s="97" t="str">
        <f t="shared" si="172"/>
        <v/>
      </c>
      <c r="N1921" s="70"/>
      <c r="O1921" s="71" t="str">
        <f t="shared" si="176"/>
        <v/>
      </c>
      <c r="P1921" s="66"/>
      <c r="Q1921" s="66"/>
      <c r="R1921" s="54"/>
      <c r="S1921" s="82"/>
      <c r="T1921" s="83" t="str">
        <f t="shared" si="173"/>
        <v/>
      </c>
      <c r="U1921" s="10"/>
      <c r="V1921" s="41">
        <f>IF(AND(Q1921&lt;&gt;"",RIGHT(Q1921,3)&lt;&gt;""),IF(COUNTIF($Q$6:Q1921,Q1921)=1,1,0),0)</f>
        <v>0</v>
      </c>
      <c r="W1921" s="41" t="str">
        <f t="shared" si="174"/>
        <v/>
      </c>
      <c r="X1921" s="41" t="str">
        <f t="shared" si="175"/>
        <v/>
      </c>
    </row>
    <row r="1922" s="32" customFormat="1" hidden="1" customHeight="1" spans="1:24">
      <c r="A1922" s="34"/>
      <c r="B1922" s="51"/>
      <c r="C1922" s="51"/>
      <c r="D1922" s="52"/>
      <c r="E1922" s="53"/>
      <c r="F1922" s="54"/>
      <c r="G1922" s="54"/>
      <c r="H1922" s="54"/>
      <c r="I1922" s="66"/>
      <c r="J1922" s="54"/>
      <c r="K1922" s="54"/>
      <c r="L1922" s="54"/>
      <c r="M1922" s="97" t="str">
        <f t="shared" si="172"/>
        <v/>
      </c>
      <c r="N1922" s="70"/>
      <c r="O1922" s="71" t="str">
        <f t="shared" si="176"/>
        <v/>
      </c>
      <c r="P1922" s="66"/>
      <c r="Q1922" s="66"/>
      <c r="R1922" s="54"/>
      <c r="S1922" s="82"/>
      <c r="T1922" s="83" t="str">
        <f t="shared" si="173"/>
        <v/>
      </c>
      <c r="U1922" s="10"/>
      <c r="V1922" s="41">
        <f>IF(AND(Q1922&lt;&gt;"",RIGHT(Q1922,3)&lt;&gt;""),IF(COUNTIF($Q$6:Q1922,Q1922)=1,1,0),0)</f>
        <v>0</v>
      </c>
      <c r="W1922" s="41" t="str">
        <f t="shared" si="174"/>
        <v/>
      </c>
      <c r="X1922" s="41" t="str">
        <f t="shared" si="175"/>
        <v/>
      </c>
    </row>
    <row r="1923" s="32" customFormat="1" hidden="1" customHeight="1" spans="1:24">
      <c r="A1923" s="34"/>
      <c r="B1923" s="51"/>
      <c r="C1923" s="51"/>
      <c r="D1923" s="52"/>
      <c r="E1923" s="53"/>
      <c r="F1923" s="54"/>
      <c r="G1923" s="54"/>
      <c r="H1923" s="54"/>
      <c r="I1923" s="66"/>
      <c r="J1923" s="54"/>
      <c r="K1923" s="54"/>
      <c r="L1923" s="54"/>
      <c r="M1923" s="97" t="str">
        <f t="shared" si="172"/>
        <v/>
      </c>
      <c r="N1923" s="70"/>
      <c r="O1923" s="71" t="str">
        <f t="shared" si="176"/>
        <v/>
      </c>
      <c r="P1923" s="66"/>
      <c r="Q1923" s="66"/>
      <c r="R1923" s="54"/>
      <c r="S1923" s="82"/>
      <c r="T1923" s="83" t="str">
        <f t="shared" si="173"/>
        <v/>
      </c>
      <c r="U1923" s="10"/>
      <c r="V1923" s="41">
        <f>IF(AND(Q1923&lt;&gt;"",RIGHT(Q1923,3)&lt;&gt;""),IF(COUNTIF($Q$6:Q1923,Q1923)=1,1,0),0)</f>
        <v>0</v>
      </c>
      <c r="W1923" s="41" t="str">
        <f t="shared" si="174"/>
        <v/>
      </c>
      <c r="X1923" s="41" t="str">
        <f t="shared" si="175"/>
        <v/>
      </c>
    </row>
    <row r="1924" s="32" customFormat="1" hidden="1" customHeight="1" spans="1:24">
      <c r="A1924" s="34"/>
      <c r="B1924" s="51"/>
      <c r="C1924" s="51"/>
      <c r="D1924" s="52"/>
      <c r="E1924" s="53"/>
      <c r="F1924" s="54"/>
      <c r="G1924" s="54"/>
      <c r="H1924" s="54"/>
      <c r="I1924" s="66"/>
      <c r="J1924" s="54"/>
      <c r="K1924" s="54"/>
      <c r="L1924" s="54"/>
      <c r="M1924" s="97" t="str">
        <f t="shared" si="172"/>
        <v/>
      </c>
      <c r="N1924" s="70"/>
      <c r="O1924" s="71" t="str">
        <f t="shared" si="176"/>
        <v/>
      </c>
      <c r="P1924" s="66"/>
      <c r="Q1924" s="66"/>
      <c r="R1924" s="54"/>
      <c r="S1924" s="82"/>
      <c r="T1924" s="83" t="str">
        <f t="shared" si="173"/>
        <v/>
      </c>
      <c r="U1924" s="10"/>
      <c r="V1924" s="41">
        <f>IF(AND(Q1924&lt;&gt;"",RIGHT(Q1924,3)&lt;&gt;""),IF(COUNTIF($Q$6:Q1924,Q1924)=1,1,0),0)</f>
        <v>0</v>
      </c>
      <c r="W1924" s="41" t="str">
        <f t="shared" si="174"/>
        <v/>
      </c>
      <c r="X1924" s="41" t="str">
        <f t="shared" si="175"/>
        <v/>
      </c>
    </row>
    <row r="1925" s="32" customFormat="1" hidden="1" customHeight="1" spans="1:24">
      <c r="A1925" s="34"/>
      <c r="B1925" s="51"/>
      <c r="C1925" s="51"/>
      <c r="D1925" s="52"/>
      <c r="E1925" s="53"/>
      <c r="F1925" s="54"/>
      <c r="G1925" s="54"/>
      <c r="H1925" s="54"/>
      <c r="I1925" s="66"/>
      <c r="J1925" s="54"/>
      <c r="K1925" s="54"/>
      <c r="L1925" s="54"/>
      <c r="M1925" s="97" t="str">
        <f t="shared" si="172"/>
        <v/>
      </c>
      <c r="N1925" s="70"/>
      <c r="O1925" s="71" t="str">
        <f t="shared" si="176"/>
        <v/>
      </c>
      <c r="P1925" s="66"/>
      <c r="Q1925" s="66"/>
      <c r="R1925" s="54"/>
      <c r="S1925" s="82"/>
      <c r="T1925" s="83" t="str">
        <f t="shared" si="173"/>
        <v/>
      </c>
      <c r="U1925" s="10"/>
      <c r="V1925" s="41">
        <f>IF(AND(Q1925&lt;&gt;"",RIGHT(Q1925,3)&lt;&gt;""),IF(COUNTIF($Q$6:Q1925,Q1925)=1,1,0),0)</f>
        <v>0</v>
      </c>
      <c r="W1925" s="41" t="str">
        <f t="shared" si="174"/>
        <v/>
      </c>
      <c r="X1925" s="41" t="str">
        <f t="shared" si="175"/>
        <v/>
      </c>
    </row>
    <row r="1926" s="32" customFormat="1" hidden="1" customHeight="1" spans="1:24">
      <c r="A1926" s="34"/>
      <c r="B1926" s="51"/>
      <c r="C1926" s="51"/>
      <c r="D1926" s="52"/>
      <c r="E1926" s="53"/>
      <c r="F1926" s="54"/>
      <c r="G1926" s="54"/>
      <c r="H1926" s="54"/>
      <c r="I1926" s="66"/>
      <c r="J1926" s="54"/>
      <c r="K1926" s="54"/>
      <c r="L1926" s="54"/>
      <c r="M1926" s="97" t="str">
        <f t="shared" si="172"/>
        <v/>
      </c>
      <c r="N1926" s="70"/>
      <c r="O1926" s="71" t="str">
        <f t="shared" si="176"/>
        <v/>
      </c>
      <c r="P1926" s="66"/>
      <c r="Q1926" s="66"/>
      <c r="R1926" s="54"/>
      <c r="S1926" s="82"/>
      <c r="T1926" s="83" t="str">
        <f t="shared" si="173"/>
        <v/>
      </c>
      <c r="U1926" s="10"/>
      <c r="V1926" s="41">
        <f>IF(AND(Q1926&lt;&gt;"",RIGHT(Q1926,3)&lt;&gt;""),IF(COUNTIF($Q$6:Q1926,Q1926)=1,1,0),0)</f>
        <v>0</v>
      </c>
      <c r="W1926" s="41" t="str">
        <f t="shared" si="174"/>
        <v/>
      </c>
      <c r="X1926" s="41" t="str">
        <f t="shared" si="175"/>
        <v/>
      </c>
    </row>
    <row r="1927" s="32" customFormat="1" hidden="1" customHeight="1" spans="1:24">
      <c r="A1927" s="34"/>
      <c r="B1927" s="51"/>
      <c r="C1927" s="51"/>
      <c r="D1927" s="52"/>
      <c r="E1927" s="53"/>
      <c r="F1927" s="54"/>
      <c r="G1927" s="54"/>
      <c r="H1927" s="54"/>
      <c r="I1927" s="66"/>
      <c r="J1927" s="54"/>
      <c r="K1927" s="54"/>
      <c r="L1927" s="54"/>
      <c r="M1927" s="97" t="str">
        <f t="shared" si="172"/>
        <v/>
      </c>
      <c r="N1927" s="70"/>
      <c r="O1927" s="71" t="str">
        <f t="shared" si="176"/>
        <v/>
      </c>
      <c r="P1927" s="66"/>
      <c r="Q1927" s="66"/>
      <c r="R1927" s="54"/>
      <c r="S1927" s="82"/>
      <c r="T1927" s="83" t="str">
        <f t="shared" si="173"/>
        <v/>
      </c>
      <c r="U1927" s="10"/>
      <c r="V1927" s="41">
        <f>IF(AND(Q1927&lt;&gt;"",RIGHT(Q1927,3)&lt;&gt;""),IF(COUNTIF($Q$6:Q1927,Q1927)=1,1,0),0)</f>
        <v>0</v>
      </c>
      <c r="W1927" s="41" t="str">
        <f t="shared" si="174"/>
        <v/>
      </c>
      <c r="X1927" s="41" t="str">
        <f t="shared" si="175"/>
        <v/>
      </c>
    </row>
    <row r="1928" s="32" customFormat="1" hidden="1" customHeight="1" spans="1:24">
      <c r="A1928" s="34"/>
      <c r="B1928" s="51"/>
      <c r="C1928" s="51"/>
      <c r="D1928" s="52"/>
      <c r="E1928" s="53"/>
      <c r="F1928" s="54"/>
      <c r="G1928" s="54"/>
      <c r="H1928" s="54"/>
      <c r="I1928" s="66"/>
      <c r="J1928" s="54"/>
      <c r="K1928" s="54"/>
      <c r="L1928" s="54"/>
      <c r="M1928" s="97" t="str">
        <f t="shared" si="172"/>
        <v/>
      </c>
      <c r="N1928" s="70"/>
      <c r="O1928" s="71" t="str">
        <f t="shared" si="176"/>
        <v/>
      </c>
      <c r="P1928" s="66"/>
      <c r="Q1928" s="66"/>
      <c r="R1928" s="54"/>
      <c r="S1928" s="82"/>
      <c r="T1928" s="83" t="str">
        <f t="shared" si="173"/>
        <v/>
      </c>
      <c r="U1928" s="10"/>
      <c r="V1928" s="41">
        <f>IF(AND(Q1928&lt;&gt;"",RIGHT(Q1928,3)&lt;&gt;""),IF(COUNTIF($Q$6:Q1928,Q1928)=1,1,0),0)</f>
        <v>0</v>
      </c>
      <c r="W1928" s="41" t="str">
        <f t="shared" si="174"/>
        <v/>
      </c>
      <c r="X1928" s="41" t="str">
        <f t="shared" si="175"/>
        <v/>
      </c>
    </row>
    <row r="1929" s="32" customFormat="1" hidden="1" customHeight="1" spans="1:24">
      <c r="A1929" s="34"/>
      <c r="B1929" s="51"/>
      <c r="C1929" s="51"/>
      <c r="D1929" s="52"/>
      <c r="E1929" s="53"/>
      <c r="F1929" s="54"/>
      <c r="G1929" s="54"/>
      <c r="H1929" s="54"/>
      <c r="I1929" s="66"/>
      <c r="J1929" s="54"/>
      <c r="K1929" s="54"/>
      <c r="L1929" s="54"/>
      <c r="M1929" s="97" t="str">
        <f t="shared" si="172"/>
        <v/>
      </c>
      <c r="N1929" s="70"/>
      <c r="O1929" s="71" t="str">
        <f t="shared" si="176"/>
        <v/>
      </c>
      <c r="P1929" s="66"/>
      <c r="Q1929" s="66"/>
      <c r="R1929" s="54"/>
      <c r="S1929" s="82"/>
      <c r="T1929" s="83" t="str">
        <f t="shared" si="173"/>
        <v/>
      </c>
      <c r="U1929" s="10"/>
      <c r="V1929" s="41">
        <f>IF(AND(Q1929&lt;&gt;"",RIGHT(Q1929,3)&lt;&gt;""),IF(COUNTIF($Q$6:Q1929,Q1929)=1,1,0),0)</f>
        <v>0</v>
      </c>
      <c r="W1929" s="41" t="str">
        <f t="shared" si="174"/>
        <v/>
      </c>
      <c r="X1929" s="41" t="str">
        <f t="shared" si="175"/>
        <v/>
      </c>
    </row>
    <row r="1930" s="32" customFormat="1" hidden="1" customHeight="1" spans="1:24">
      <c r="A1930" s="34"/>
      <c r="B1930" s="51"/>
      <c r="C1930" s="51"/>
      <c r="D1930" s="52"/>
      <c r="E1930" s="53"/>
      <c r="F1930" s="54"/>
      <c r="G1930" s="54"/>
      <c r="H1930" s="54"/>
      <c r="I1930" s="66"/>
      <c r="J1930" s="54"/>
      <c r="K1930" s="54"/>
      <c r="L1930" s="54"/>
      <c r="M1930" s="97" t="str">
        <f t="shared" si="172"/>
        <v/>
      </c>
      <c r="N1930" s="70"/>
      <c r="O1930" s="71" t="str">
        <f t="shared" si="176"/>
        <v/>
      </c>
      <c r="P1930" s="66"/>
      <c r="Q1930" s="66"/>
      <c r="R1930" s="54"/>
      <c r="S1930" s="82"/>
      <c r="T1930" s="83" t="str">
        <f t="shared" si="173"/>
        <v/>
      </c>
      <c r="U1930" s="10"/>
      <c r="V1930" s="41">
        <f>IF(AND(Q1930&lt;&gt;"",RIGHT(Q1930,3)&lt;&gt;""),IF(COUNTIF($Q$6:Q1930,Q1930)=1,1,0),0)</f>
        <v>0</v>
      </c>
      <c r="W1930" s="41" t="str">
        <f t="shared" si="174"/>
        <v/>
      </c>
      <c r="X1930" s="41" t="str">
        <f t="shared" si="175"/>
        <v/>
      </c>
    </row>
    <row r="1931" s="32" customFormat="1" hidden="1" customHeight="1" spans="1:24">
      <c r="A1931" s="34"/>
      <c r="B1931" s="51"/>
      <c r="C1931" s="51"/>
      <c r="D1931" s="52"/>
      <c r="E1931" s="53"/>
      <c r="F1931" s="54"/>
      <c r="G1931" s="54"/>
      <c r="H1931" s="54"/>
      <c r="I1931" s="66"/>
      <c r="J1931" s="54"/>
      <c r="K1931" s="54"/>
      <c r="L1931" s="54"/>
      <c r="M1931" s="97" t="str">
        <f t="shared" si="172"/>
        <v/>
      </c>
      <c r="N1931" s="70"/>
      <c r="O1931" s="71" t="str">
        <f t="shared" si="176"/>
        <v/>
      </c>
      <c r="P1931" s="66"/>
      <c r="Q1931" s="66"/>
      <c r="R1931" s="54"/>
      <c r="S1931" s="82"/>
      <c r="T1931" s="83" t="str">
        <f t="shared" si="173"/>
        <v/>
      </c>
      <c r="U1931" s="10"/>
      <c r="V1931" s="41">
        <f>IF(AND(Q1931&lt;&gt;"",RIGHT(Q1931,3)&lt;&gt;""),IF(COUNTIF($Q$6:Q1931,Q1931)=1,1,0),0)</f>
        <v>0</v>
      </c>
      <c r="W1931" s="41" t="str">
        <f t="shared" si="174"/>
        <v/>
      </c>
      <c r="X1931" s="41" t="str">
        <f t="shared" si="175"/>
        <v/>
      </c>
    </row>
    <row r="1932" s="32" customFormat="1" hidden="1" customHeight="1" spans="1:24">
      <c r="A1932" s="34"/>
      <c r="B1932" s="51"/>
      <c r="C1932" s="51"/>
      <c r="D1932" s="52"/>
      <c r="E1932" s="53"/>
      <c r="F1932" s="54"/>
      <c r="G1932" s="54"/>
      <c r="H1932" s="54"/>
      <c r="I1932" s="66"/>
      <c r="J1932" s="54"/>
      <c r="K1932" s="54"/>
      <c r="L1932" s="54"/>
      <c r="M1932" s="97" t="str">
        <f t="shared" si="172"/>
        <v/>
      </c>
      <c r="N1932" s="70"/>
      <c r="O1932" s="71" t="str">
        <f t="shared" si="176"/>
        <v/>
      </c>
      <c r="P1932" s="66"/>
      <c r="Q1932" s="66"/>
      <c r="R1932" s="54"/>
      <c r="S1932" s="82"/>
      <c r="T1932" s="83" t="str">
        <f t="shared" si="173"/>
        <v/>
      </c>
      <c r="U1932" s="10"/>
      <c r="V1932" s="41">
        <f>IF(AND(Q1932&lt;&gt;"",RIGHT(Q1932,3)&lt;&gt;""),IF(COUNTIF($Q$6:Q1932,Q1932)=1,1,0),0)</f>
        <v>0</v>
      </c>
      <c r="W1932" s="41" t="str">
        <f t="shared" si="174"/>
        <v/>
      </c>
      <c r="X1932" s="41" t="str">
        <f t="shared" si="175"/>
        <v/>
      </c>
    </row>
    <row r="1933" s="32" customFormat="1" hidden="1" customHeight="1" spans="1:24">
      <c r="A1933" s="34"/>
      <c r="B1933" s="51"/>
      <c r="C1933" s="51"/>
      <c r="D1933" s="52"/>
      <c r="E1933" s="53"/>
      <c r="F1933" s="54"/>
      <c r="G1933" s="54"/>
      <c r="H1933" s="54"/>
      <c r="I1933" s="66"/>
      <c r="J1933" s="54"/>
      <c r="K1933" s="54"/>
      <c r="L1933" s="54"/>
      <c r="M1933" s="97" t="str">
        <f t="shared" si="172"/>
        <v/>
      </c>
      <c r="N1933" s="70"/>
      <c r="O1933" s="71" t="str">
        <f t="shared" si="176"/>
        <v/>
      </c>
      <c r="P1933" s="66"/>
      <c r="Q1933" s="66"/>
      <c r="R1933" s="54"/>
      <c r="S1933" s="82"/>
      <c r="T1933" s="83" t="str">
        <f t="shared" si="173"/>
        <v/>
      </c>
      <c r="U1933" s="10"/>
      <c r="V1933" s="41">
        <f>IF(AND(Q1933&lt;&gt;"",RIGHT(Q1933,3)&lt;&gt;""),IF(COUNTIF($Q$6:Q1933,Q1933)=1,1,0),0)</f>
        <v>0</v>
      </c>
      <c r="W1933" s="41" t="str">
        <f t="shared" si="174"/>
        <v/>
      </c>
      <c r="X1933" s="41" t="str">
        <f t="shared" si="175"/>
        <v/>
      </c>
    </row>
    <row r="1934" s="32" customFormat="1" hidden="1" customHeight="1" spans="1:24">
      <c r="A1934" s="34"/>
      <c r="B1934" s="51"/>
      <c r="C1934" s="51"/>
      <c r="D1934" s="52"/>
      <c r="E1934" s="53"/>
      <c r="F1934" s="54"/>
      <c r="G1934" s="54"/>
      <c r="H1934" s="54"/>
      <c r="I1934" s="66"/>
      <c r="J1934" s="54"/>
      <c r="K1934" s="54"/>
      <c r="L1934" s="54"/>
      <c r="M1934" s="97" t="str">
        <f t="shared" si="172"/>
        <v/>
      </c>
      <c r="N1934" s="70"/>
      <c r="O1934" s="71" t="str">
        <f t="shared" si="176"/>
        <v/>
      </c>
      <c r="P1934" s="66"/>
      <c r="Q1934" s="66"/>
      <c r="R1934" s="54"/>
      <c r="S1934" s="82"/>
      <c r="T1934" s="83" t="str">
        <f t="shared" si="173"/>
        <v/>
      </c>
      <c r="U1934" s="10"/>
      <c r="V1934" s="41">
        <f>IF(AND(Q1934&lt;&gt;"",RIGHT(Q1934,3)&lt;&gt;""),IF(COUNTIF($Q$6:Q1934,Q1934)=1,1,0),0)</f>
        <v>0</v>
      </c>
      <c r="W1934" s="41" t="str">
        <f t="shared" si="174"/>
        <v/>
      </c>
      <c r="X1934" s="41" t="str">
        <f t="shared" si="175"/>
        <v/>
      </c>
    </row>
    <row r="1935" s="32" customFormat="1" hidden="1" customHeight="1" spans="1:24">
      <c r="A1935" s="34"/>
      <c r="B1935" s="51"/>
      <c r="C1935" s="51"/>
      <c r="D1935" s="52"/>
      <c r="E1935" s="53"/>
      <c r="F1935" s="54"/>
      <c r="G1935" s="54"/>
      <c r="H1935" s="54"/>
      <c r="I1935" s="66"/>
      <c r="J1935" s="54"/>
      <c r="K1935" s="54"/>
      <c r="L1935" s="54"/>
      <c r="M1935" s="97" t="str">
        <f t="shared" si="172"/>
        <v/>
      </c>
      <c r="N1935" s="70"/>
      <c r="O1935" s="71" t="str">
        <f t="shared" si="176"/>
        <v/>
      </c>
      <c r="P1935" s="66"/>
      <c r="Q1935" s="66"/>
      <c r="R1935" s="54"/>
      <c r="S1935" s="82"/>
      <c r="T1935" s="83" t="str">
        <f t="shared" si="173"/>
        <v/>
      </c>
      <c r="U1935" s="10"/>
      <c r="V1935" s="41">
        <f>IF(AND(Q1935&lt;&gt;"",RIGHT(Q1935,3)&lt;&gt;""),IF(COUNTIF($Q$6:Q1935,Q1935)=1,1,0),0)</f>
        <v>0</v>
      </c>
      <c r="W1935" s="41" t="str">
        <f t="shared" si="174"/>
        <v/>
      </c>
      <c r="X1935" s="41" t="str">
        <f t="shared" si="175"/>
        <v/>
      </c>
    </row>
    <row r="1936" s="32" customFormat="1" hidden="1" customHeight="1" spans="1:24">
      <c r="A1936" s="34"/>
      <c r="B1936" s="51"/>
      <c r="C1936" s="51"/>
      <c r="D1936" s="52"/>
      <c r="E1936" s="53"/>
      <c r="F1936" s="54"/>
      <c r="G1936" s="54"/>
      <c r="H1936" s="54"/>
      <c r="I1936" s="66"/>
      <c r="J1936" s="54"/>
      <c r="K1936" s="54"/>
      <c r="L1936" s="54"/>
      <c r="M1936" s="97" t="str">
        <f t="shared" si="172"/>
        <v/>
      </c>
      <c r="N1936" s="70"/>
      <c r="O1936" s="71" t="str">
        <f t="shared" si="176"/>
        <v/>
      </c>
      <c r="P1936" s="66"/>
      <c r="Q1936" s="66"/>
      <c r="R1936" s="54"/>
      <c r="S1936" s="82"/>
      <c r="T1936" s="83" t="str">
        <f t="shared" si="173"/>
        <v/>
      </c>
      <c r="U1936" s="10"/>
      <c r="V1936" s="41">
        <f>IF(AND(Q1936&lt;&gt;"",RIGHT(Q1936,3)&lt;&gt;""),IF(COUNTIF($Q$6:Q1936,Q1936)=1,1,0),0)</f>
        <v>0</v>
      </c>
      <c r="W1936" s="41" t="str">
        <f t="shared" si="174"/>
        <v/>
      </c>
      <c r="X1936" s="41" t="str">
        <f t="shared" si="175"/>
        <v/>
      </c>
    </row>
    <row r="1937" s="32" customFormat="1" hidden="1" customHeight="1" spans="1:24">
      <c r="A1937" s="34"/>
      <c r="B1937" s="51"/>
      <c r="C1937" s="51"/>
      <c r="D1937" s="52"/>
      <c r="E1937" s="53"/>
      <c r="F1937" s="54"/>
      <c r="G1937" s="54"/>
      <c r="H1937" s="54"/>
      <c r="I1937" s="66"/>
      <c r="J1937" s="54"/>
      <c r="K1937" s="54"/>
      <c r="L1937" s="54"/>
      <c r="M1937" s="97" t="str">
        <f t="shared" si="172"/>
        <v/>
      </c>
      <c r="N1937" s="70"/>
      <c r="O1937" s="71" t="str">
        <f t="shared" si="176"/>
        <v/>
      </c>
      <c r="P1937" s="66"/>
      <c r="Q1937" s="66"/>
      <c r="R1937" s="54"/>
      <c r="S1937" s="82"/>
      <c r="T1937" s="83" t="str">
        <f t="shared" si="173"/>
        <v/>
      </c>
      <c r="U1937" s="10"/>
      <c r="V1937" s="41">
        <f>IF(AND(Q1937&lt;&gt;"",RIGHT(Q1937,3)&lt;&gt;""),IF(COUNTIF($Q$6:Q1937,Q1937)=1,1,0),0)</f>
        <v>0</v>
      </c>
      <c r="W1937" s="41" t="str">
        <f t="shared" si="174"/>
        <v/>
      </c>
      <c r="X1937" s="41" t="str">
        <f t="shared" si="175"/>
        <v/>
      </c>
    </row>
    <row r="1938" s="32" customFormat="1" hidden="1" customHeight="1" spans="1:24">
      <c r="A1938" s="34"/>
      <c r="B1938" s="51"/>
      <c r="C1938" s="51"/>
      <c r="D1938" s="52"/>
      <c r="E1938" s="53"/>
      <c r="F1938" s="54"/>
      <c r="G1938" s="54"/>
      <c r="H1938" s="54"/>
      <c r="I1938" s="66"/>
      <c r="J1938" s="54"/>
      <c r="K1938" s="54"/>
      <c r="L1938" s="54"/>
      <c r="M1938" s="97" t="str">
        <f t="shared" si="172"/>
        <v/>
      </c>
      <c r="N1938" s="70"/>
      <c r="O1938" s="71" t="str">
        <f t="shared" si="176"/>
        <v/>
      </c>
      <c r="P1938" s="66"/>
      <c r="Q1938" s="66"/>
      <c r="R1938" s="54"/>
      <c r="S1938" s="82"/>
      <c r="T1938" s="83" t="str">
        <f t="shared" si="173"/>
        <v/>
      </c>
      <c r="U1938" s="10"/>
      <c r="V1938" s="41">
        <f>IF(AND(Q1938&lt;&gt;"",RIGHT(Q1938,3)&lt;&gt;""),IF(COUNTIF($Q$6:Q1938,Q1938)=1,1,0),0)</f>
        <v>0</v>
      </c>
      <c r="W1938" s="41" t="str">
        <f t="shared" si="174"/>
        <v/>
      </c>
      <c r="X1938" s="41" t="str">
        <f t="shared" si="175"/>
        <v/>
      </c>
    </row>
    <row r="1939" s="32" customFormat="1" hidden="1" customHeight="1" spans="1:24">
      <c r="A1939" s="34"/>
      <c r="B1939" s="51"/>
      <c r="C1939" s="51"/>
      <c r="D1939" s="52"/>
      <c r="E1939" s="53"/>
      <c r="F1939" s="54"/>
      <c r="G1939" s="54"/>
      <c r="H1939" s="54"/>
      <c r="I1939" s="66"/>
      <c r="J1939" s="54"/>
      <c r="K1939" s="54"/>
      <c r="L1939" s="54"/>
      <c r="M1939" s="97" t="str">
        <f t="shared" si="172"/>
        <v/>
      </c>
      <c r="N1939" s="70"/>
      <c r="O1939" s="71" t="str">
        <f t="shared" si="176"/>
        <v/>
      </c>
      <c r="P1939" s="66"/>
      <c r="Q1939" s="66"/>
      <c r="R1939" s="54"/>
      <c r="S1939" s="82"/>
      <c r="T1939" s="83" t="str">
        <f t="shared" si="173"/>
        <v/>
      </c>
      <c r="U1939" s="10"/>
      <c r="V1939" s="41">
        <f>IF(AND(Q1939&lt;&gt;"",RIGHT(Q1939,3)&lt;&gt;""),IF(COUNTIF($Q$6:Q1939,Q1939)=1,1,0),0)</f>
        <v>0</v>
      </c>
      <c r="W1939" s="41" t="str">
        <f t="shared" si="174"/>
        <v/>
      </c>
      <c r="X1939" s="41" t="str">
        <f t="shared" si="175"/>
        <v/>
      </c>
    </row>
    <row r="1940" s="32" customFormat="1" hidden="1" customHeight="1" spans="1:24">
      <c r="A1940" s="34"/>
      <c r="B1940" s="51"/>
      <c r="C1940" s="51"/>
      <c r="D1940" s="52"/>
      <c r="E1940" s="53"/>
      <c r="F1940" s="54"/>
      <c r="G1940" s="54"/>
      <c r="H1940" s="54"/>
      <c r="I1940" s="66"/>
      <c r="J1940" s="54"/>
      <c r="K1940" s="54"/>
      <c r="L1940" s="54"/>
      <c r="M1940" s="97" t="str">
        <f t="shared" si="172"/>
        <v/>
      </c>
      <c r="N1940" s="70"/>
      <c r="O1940" s="71" t="str">
        <f t="shared" si="176"/>
        <v/>
      </c>
      <c r="P1940" s="66"/>
      <c r="Q1940" s="66"/>
      <c r="R1940" s="54"/>
      <c r="S1940" s="82"/>
      <c r="T1940" s="83" t="str">
        <f t="shared" si="173"/>
        <v/>
      </c>
      <c r="U1940" s="10"/>
      <c r="V1940" s="41">
        <f>IF(AND(Q1940&lt;&gt;"",RIGHT(Q1940,3)&lt;&gt;""),IF(COUNTIF($Q$6:Q1940,Q1940)=1,1,0),0)</f>
        <v>0</v>
      </c>
      <c r="W1940" s="41" t="str">
        <f t="shared" si="174"/>
        <v/>
      </c>
      <c r="X1940" s="41" t="str">
        <f t="shared" si="175"/>
        <v/>
      </c>
    </row>
    <row r="1941" s="32" customFormat="1" hidden="1" customHeight="1" spans="1:24">
      <c r="A1941" s="34"/>
      <c r="B1941" s="51"/>
      <c r="C1941" s="51"/>
      <c r="D1941" s="52"/>
      <c r="E1941" s="53"/>
      <c r="F1941" s="54"/>
      <c r="G1941" s="54"/>
      <c r="H1941" s="54"/>
      <c r="I1941" s="66"/>
      <c r="J1941" s="54"/>
      <c r="K1941" s="54"/>
      <c r="L1941" s="54"/>
      <c r="M1941" s="97" t="str">
        <f t="shared" si="172"/>
        <v/>
      </c>
      <c r="N1941" s="70"/>
      <c r="O1941" s="71" t="str">
        <f t="shared" si="176"/>
        <v/>
      </c>
      <c r="P1941" s="66"/>
      <c r="Q1941" s="66"/>
      <c r="R1941" s="54"/>
      <c r="S1941" s="82"/>
      <c r="T1941" s="83" t="str">
        <f t="shared" si="173"/>
        <v/>
      </c>
      <c r="U1941" s="10"/>
      <c r="V1941" s="41">
        <f>IF(AND(Q1941&lt;&gt;"",RIGHT(Q1941,3)&lt;&gt;""),IF(COUNTIF($Q$6:Q1941,Q1941)=1,1,0),0)</f>
        <v>0</v>
      </c>
      <c r="W1941" s="41" t="str">
        <f t="shared" si="174"/>
        <v/>
      </c>
      <c r="X1941" s="41" t="str">
        <f t="shared" si="175"/>
        <v/>
      </c>
    </row>
    <row r="1942" s="32" customFormat="1" hidden="1" customHeight="1" spans="1:24">
      <c r="A1942" s="34"/>
      <c r="B1942" s="51"/>
      <c r="C1942" s="51"/>
      <c r="D1942" s="52"/>
      <c r="E1942" s="53"/>
      <c r="F1942" s="54"/>
      <c r="G1942" s="54"/>
      <c r="H1942" s="54"/>
      <c r="I1942" s="66"/>
      <c r="J1942" s="54"/>
      <c r="K1942" s="54"/>
      <c r="L1942" s="54"/>
      <c r="M1942" s="97" t="str">
        <f t="shared" si="172"/>
        <v/>
      </c>
      <c r="N1942" s="70"/>
      <c r="O1942" s="71" t="str">
        <f t="shared" si="176"/>
        <v/>
      </c>
      <c r="P1942" s="66"/>
      <c r="Q1942" s="66"/>
      <c r="R1942" s="54"/>
      <c r="S1942" s="82"/>
      <c r="T1942" s="83" t="str">
        <f t="shared" si="173"/>
        <v/>
      </c>
      <c r="U1942" s="10"/>
      <c r="V1942" s="41">
        <f>IF(AND(Q1942&lt;&gt;"",RIGHT(Q1942,3)&lt;&gt;""),IF(COUNTIF($Q$6:Q1942,Q1942)=1,1,0),0)</f>
        <v>0</v>
      </c>
      <c r="W1942" s="41" t="str">
        <f t="shared" si="174"/>
        <v/>
      </c>
      <c r="X1942" s="41" t="str">
        <f t="shared" si="175"/>
        <v/>
      </c>
    </row>
    <row r="1943" s="32" customFormat="1" hidden="1" customHeight="1" spans="1:24">
      <c r="A1943" s="34"/>
      <c r="B1943" s="51"/>
      <c r="C1943" s="51"/>
      <c r="D1943" s="52"/>
      <c r="E1943" s="53"/>
      <c r="F1943" s="54"/>
      <c r="G1943" s="54"/>
      <c r="H1943" s="54"/>
      <c r="I1943" s="66"/>
      <c r="J1943" s="54"/>
      <c r="K1943" s="54"/>
      <c r="L1943" s="54"/>
      <c r="M1943" s="97" t="str">
        <f t="shared" si="172"/>
        <v/>
      </c>
      <c r="N1943" s="70"/>
      <c r="O1943" s="71" t="str">
        <f t="shared" si="176"/>
        <v/>
      </c>
      <c r="P1943" s="66"/>
      <c r="Q1943" s="66"/>
      <c r="R1943" s="54"/>
      <c r="S1943" s="82"/>
      <c r="T1943" s="83" t="str">
        <f t="shared" si="173"/>
        <v/>
      </c>
      <c r="U1943" s="10"/>
      <c r="V1943" s="41">
        <f>IF(AND(Q1943&lt;&gt;"",RIGHT(Q1943,3)&lt;&gt;""),IF(COUNTIF($Q$6:Q1943,Q1943)=1,1,0),0)</f>
        <v>0</v>
      </c>
      <c r="W1943" s="41" t="str">
        <f t="shared" si="174"/>
        <v/>
      </c>
      <c r="X1943" s="41" t="str">
        <f t="shared" si="175"/>
        <v/>
      </c>
    </row>
    <row r="1944" s="32" customFormat="1" hidden="1" customHeight="1" spans="1:24">
      <c r="A1944" s="34"/>
      <c r="B1944" s="51"/>
      <c r="C1944" s="51"/>
      <c r="D1944" s="52"/>
      <c r="E1944" s="53"/>
      <c r="F1944" s="54"/>
      <c r="G1944" s="54"/>
      <c r="H1944" s="54"/>
      <c r="I1944" s="66"/>
      <c r="J1944" s="54"/>
      <c r="K1944" s="54"/>
      <c r="L1944" s="54"/>
      <c r="M1944" s="97" t="str">
        <f t="shared" si="172"/>
        <v/>
      </c>
      <c r="N1944" s="70"/>
      <c r="O1944" s="71" t="str">
        <f t="shared" si="176"/>
        <v/>
      </c>
      <c r="P1944" s="66"/>
      <c r="Q1944" s="66"/>
      <c r="R1944" s="54"/>
      <c r="S1944" s="82"/>
      <c r="T1944" s="83" t="str">
        <f t="shared" si="173"/>
        <v/>
      </c>
      <c r="U1944" s="10"/>
      <c r="V1944" s="41">
        <f>IF(AND(Q1944&lt;&gt;"",RIGHT(Q1944,3)&lt;&gt;""),IF(COUNTIF($Q$6:Q1944,Q1944)=1,1,0),0)</f>
        <v>0</v>
      </c>
      <c r="W1944" s="41" t="str">
        <f t="shared" si="174"/>
        <v/>
      </c>
      <c r="X1944" s="41" t="str">
        <f t="shared" si="175"/>
        <v/>
      </c>
    </row>
    <row r="1945" s="32" customFormat="1" hidden="1" customHeight="1" spans="1:24">
      <c r="A1945" s="34"/>
      <c r="B1945" s="51"/>
      <c r="C1945" s="51"/>
      <c r="D1945" s="52"/>
      <c r="E1945" s="53"/>
      <c r="F1945" s="54"/>
      <c r="G1945" s="54"/>
      <c r="H1945" s="54"/>
      <c r="I1945" s="66"/>
      <c r="J1945" s="54"/>
      <c r="K1945" s="54"/>
      <c r="L1945" s="54"/>
      <c r="M1945" s="97" t="str">
        <f t="shared" si="172"/>
        <v/>
      </c>
      <c r="N1945" s="70"/>
      <c r="O1945" s="71" t="str">
        <f t="shared" si="176"/>
        <v/>
      </c>
      <c r="P1945" s="66"/>
      <c r="Q1945" s="66"/>
      <c r="R1945" s="54"/>
      <c r="S1945" s="82"/>
      <c r="T1945" s="83" t="str">
        <f t="shared" si="173"/>
        <v/>
      </c>
      <c r="U1945" s="10"/>
      <c r="V1945" s="41">
        <f>IF(AND(Q1945&lt;&gt;"",RIGHT(Q1945,3)&lt;&gt;""),IF(COUNTIF($Q$6:Q1945,Q1945)=1,1,0),0)</f>
        <v>0</v>
      </c>
      <c r="W1945" s="41" t="str">
        <f t="shared" si="174"/>
        <v/>
      </c>
      <c r="X1945" s="41" t="str">
        <f t="shared" si="175"/>
        <v/>
      </c>
    </row>
    <row r="1946" s="32" customFormat="1" hidden="1" customHeight="1" spans="1:24">
      <c r="A1946" s="34"/>
      <c r="B1946" s="51"/>
      <c r="C1946" s="51"/>
      <c r="D1946" s="52"/>
      <c r="E1946" s="53"/>
      <c r="F1946" s="54"/>
      <c r="G1946" s="54"/>
      <c r="H1946" s="54"/>
      <c r="I1946" s="66"/>
      <c r="J1946" s="54"/>
      <c r="K1946" s="54"/>
      <c r="L1946" s="54"/>
      <c r="M1946" s="97" t="str">
        <f t="shared" si="172"/>
        <v/>
      </c>
      <c r="N1946" s="70"/>
      <c r="O1946" s="71" t="str">
        <f t="shared" si="176"/>
        <v/>
      </c>
      <c r="P1946" s="66"/>
      <c r="Q1946" s="66"/>
      <c r="R1946" s="54"/>
      <c r="S1946" s="82"/>
      <c r="T1946" s="83" t="str">
        <f t="shared" si="173"/>
        <v/>
      </c>
      <c r="U1946" s="10"/>
      <c r="V1946" s="41">
        <f>IF(AND(Q1946&lt;&gt;"",RIGHT(Q1946,3)&lt;&gt;""),IF(COUNTIF($Q$6:Q1946,Q1946)=1,1,0),0)</f>
        <v>0</v>
      </c>
      <c r="W1946" s="41" t="str">
        <f t="shared" si="174"/>
        <v/>
      </c>
      <c r="X1946" s="41" t="str">
        <f t="shared" si="175"/>
        <v/>
      </c>
    </row>
    <row r="1947" s="32" customFormat="1" hidden="1" customHeight="1" spans="1:24">
      <c r="A1947" s="34"/>
      <c r="B1947" s="51"/>
      <c r="C1947" s="51"/>
      <c r="D1947" s="52"/>
      <c r="E1947" s="53"/>
      <c r="F1947" s="54"/>
      <c r="G1947" s="54"/>
      <c r="H1947" s="54"/>
      <c r="I1947" s="66"/>
      <c r="J1947" s="54"/>
      <c r="K1947" s="54"/>
      <c r="L1947" s="54"/>
      <c r="M1947" s="97" t="str">
        <f t="shared" si="172"/>
        <v/>
      </c>
      <c r="N1947" s="70"/>
      <c r="O1947" s="71" t="str">
        <f t="shared" si="176"/>
        <v/>
      </c>
      <c r="P1947" s="66"/>
      <c r="Q1947" s="66"/>
      <c r="R1947" s="54"/>
      <c r="S1947" s="82"/>
      <c r="T1947" s="83" t="str">
        <f t="shared" si="173"/>
        <v/>
      </c>
      <c r="U1947" s="10"/>
      <c r="V1947" s="41">
        <f>IF(AND(Q1947&lt;&gt;"",RIGHT(Q1947,3)&lt;&gt;""),IF(COUNTIF($Q$6:Q1947,Q1947)=1,1,0),0)</f>
        <v>0</v>
      </c>
      <c r="W1947" s="41" t="str">
        <f t="shared" si="174"/>
        <v/>
      </c>
      <c r="X1947" s="41" t="str">
        <f t="shared" si="175"/>
        <v/>
      </c>
    </row>
    <row r="1948" s="32" customFormat="1" hidden="1" customHeight="1" spans="1:24">
      <c r="A1948" s="34"/>
      <c r="B1948" s="51"/>
      <c r="C1948" s="51"/>
      <c r="D1948" s="52"/>
      <c r="E1948" s="53"/>
      <c r="F1948" s="54"/>
      <c r="G1948" s="54"/>
      <c r="H1948" s="54"/>
      <c r="I1948" s="66"/>
      <c r="J1948" s="54"/>
      <c r="K1948" s="54"/>
      <c r="L1948" s="54"/>
      <c r="M1948" s="97" t="str">
        <f t="shared" si="172"/>
        <v/>
      </c>
      <c r="N1948" s="70"/>
      <c r="O1948" s="71" t="str">
        <f t="shared" si="176"/>
        <v/>
      </c>
      <c r="P1948" s="66"/>
      <c r="Q1948" s="66"/>
      <c r="R1948" s="54"/>
      <c r="S1948" s="82"/>
      <c r="T1948" s="83" t="str">
        <f t="shared" si="173"/>
        <v/>
      </c>
      <c r="U1948" s="10"/>
      <c r="V1948" s="41">
        <f>IF(AND(Q1948&lt;&gt;"",RIGHT(Q1948,3)&lt;&gt;""),IF(COUNTIF($Q$6:Q1948,Q1948)=1,1,0),0)</f>
        <v>0</v>
      </c>
      <c r="W1948" s="41" t="str">
        <f t="shared" si="174"/>
        <v/>
      </c>
      <c r="X1948" s="41" t="str">
        <f t="shared" si="175"/>
        <v/>
      </c>
    </row>
    <row r="1949" s="32" customFormat="1" hidden="1" customHeight="1" spans="1:24">
      <c r="A1949" s="34"/>
      <c r="B1949" s="51"/>
      <c r="C1949" s="51"/>
      <c r="D1949" s="52"/>
      <c r="E1949" s="53"/>
      <c r="F1949" s="54"/>
      <c r="G1949" s="54"/>
      <c r="H1949" s="54"/>
      <c r="I1949" s="66"/>
      <c r="J1949" s="54"/>
      <c r="K1949" s="54"/>
      <c r="L1949" s="54"/>
      <c r="M1949" s="97" t="str">
        <f t="shared" si="172"/>
        <v/>
      </c>
      <c r="N1949" s="70"/>
      <c r="O1949" s="71" t="str">
        <f t="shared" si="176"/>
        <v/>
      </c>
      <c r="P1949" s="66"/>
      <c r="Q1949" s="66"/>
      <c r="R1949" s="54"/>
      <c r="S1949" s="82"/>
      <c r="T1949" s="83" t="str">
        <f t="shared" si="173"/>
        <v/>
      </c>
      <c r="U1949" s="10"/>
      <c r="V1949" s="41">
        <f>IF(AND(Q1949&lt;&gt;"",RIGHT(Q1949,3)&lt;&gt;""),IF(COUNTIF($Q$6:Q1949,Q1949)=1,1,0),0)</f>
        <v>0</v>
      </c>
      <c r="W1949" s="41" t="str">
        <f t="shared" si="174"/>
        <v/>
      </c>
      <c r="X1949" s="41" t="str">
        <f t="shared" si="175"/>
        <v/>
      </c>
    </row>
    <row r="1950" s="32" customFormat="1" hidden="1" customHeight="1" spans="1:24">
      <c r="A1950" s="34"/>
      <c r="B1950" s="51"/>
      <c r="C1950" s="51"/>
      <c r="D1950" s="52"/>
      <c r="E1950" s="53"/>
      <c r="F1950" s="54"/>
      <c r="G1950" s="54"/>
      <c r="H1950" s="54"/>
      <c r="I1950" s="66"/>
      <c r="J1950" s="54"/>
      <c r="K1950" s="54"/>
      <c r="L1950" s="54"/>
      <c r="M1950" s="97" t="str">
        <f t="shared" si="172"/>
        <v/>
      </c>
      <c r="N1950" s="70"/>
      <c r="O1950" s="71" t="str">
        <f t="shared" si="176"/>
        <v/>
      </c>
      <c r="P1950" s="66"/>
      <c r="Q1950" s="66"/>
      <c r="R1950" s="54"/>
      <c r="S1950" s="82"/>
      <c r="T1950" s="83" t="str">
        <f t="shared" si="173"/>
        <v/>
      </c>
      <c r="U1950" s="10"/>
      <c r="V1950" s="41">
        <f>IF(AND(Q1950&lt;&gt;"",RIGHT(Q1950,3)&lt;&gt;""),IF(COUNTIF($Q$6:Q1950,Q1950)=1,1,0),0)</f>
        <v>0</v>
      </c>
      <c r="W1950" s="41" t="str">
        <f t="shared" si="174"/>
        <v/>
      </c>
      <c r="X1950" s="41" t="str">
        <f t="shared" si="175"/>
        <v/>
      </c>
    </row>
    <row r="1951" s="32" customFormat="1" hidden="1" customHeight="1" spans="1:24">
      <c r="A1951" s="34"/>
      <c r="B1951" s="51"/>
      <c r="C1951" s="51"/>
      <c r="D1951" s="52"/>
      <c r="E1951" s="53"/>
      <c r="F1951" s="54"/>
      <c r="G1951" s="54"/>
      <c r="H1951" s="54"/>
      <c r="I1951" s="66"/>
      <c r="J1951" s="54"/>
      <c r="K1951" s="54"/>
      <c r="L1951" s="54"/>
      <c r="M1951" s="97" t="str">
        <f t="shared" si="172"/>
        <v/>
      </c>
      <c r="N1951" s="70"/>
      <c r="O1951" s="71" t="str">
        <f t="shared" si="176"/>
        <v/>
      </c>
      <c r="P1951" s="66"/>
      <c r="Q1951" s="66"/>
      <c r="R1951" s="54"/>
      <c r="S1951" s="82"/>
      <c r="T1951" s="83" t="str">
        <f t="shared" si="173"/>
        <v/>
      </c>
      <c r="U1951" s="10"/>
      <c r="V1951" s="41">
        <f>IF(AND(Q1951&lt;&gt;"",RIGHT(Q1951,3)&lt;&gt;""),IF(COUNTIF($Q$6:Q1951,Q1951)=1,1,0),0)</f>
        <v>0</v>
      </c>
      <c r="W1951" s="41" t="str">
        <f t="shared" si="174"/>
        <v/>
      </c>
      <c r="X1951" s="41" t="str">
        <f t="shared" si="175"/>
        <v/>
      </c>
    </row>
    <row r="1952" s="32" customFormat="1" hidden="1" customHeight="1" spans="1:24">
      <c r="A1952" s="34"/>
      <c r="B1952" s="51"/>
      <c r="C1952" s="51"/>
      <c r="D1952" s="52"/>
      <c r="E1952" s="53"/>
      <c r="F1952" s="54"/>
      <c r="G1952" s="54"/>
      <c r="H1952" s="54"/>
      <c r="I1952" s="66"/>
      <c r="J1952" s="54"/>
      <c r="K1952" s="54"/>
      <c r="L1952" s="54"/>
      <c r="M1952" s="97" t="str">
        <f t="shared" si="172"/>
        <v/>
      </c>
      <c r="N1952" s="70"/>
      <c r="O1952" s="71" t="str">
        <f t="shared" si="176"/>
        <v/>
      </c>
      <c r="P1952" s="66"/>
      <c r="Q1952" s="66"/>
      <c r="R1952" s="54"/>
      <c r="S1952" s="82"/>
      <c r="T1952" s="83" t="str">
        <f t="shared" si="173"/>
        <v/>
      </c>
      <c r="U1952" s="10"/>
      <c r="V1952" s="41">
        <f>IF(AND(Q1952&lt;&gt;"",RIGHT(Q1952,3)&lt;&gt;""),IF(COUNTIF($Q$6:Q1952,Q1952)=1,1,0),0)</f>
        <v>0</v>
      </c>
      <c r="W1952" s="41" t="str">
        <f t="shared" si="174"/>
        <v/>
      </c>
      <c r="X1952" s="41" t="str">
        <f t="shared" si="175"/>
        <v/>
      </c>
    </row>
    <row r="1953" s="32" customFormat="1" hidden="1" customHeight="1" spans="1:24">
      <c r="A1953" s="34"/>
      <c r="B1953" s="51"/>
      <c r="C1953" s="51"/>
      <c r="D1953" s="52"/>
      <c r="E1953" s="53"/>
      <c r="F1953" s="54"/>
      <c r="G1953" s="54"/>
      <c r="H1953" s="54"/>
      <c r="I1953" s="66"/>
      <c r="J1953" s="54"/>
      <c r="K1953" s="54"/>
      <c r="L1953" s="54"/>
      <c r="M1953" s="97" t="str">
        <f t="shared" si="172"/>
        <v/>
      </c>
      <c r="N1953" s="70"/>
      <c r="O1953" s="71" t="str">
        <f t="shared" si="176"/>
        <v/>
      </c>
      <c r="P1953" s="66"/>
      <c r="Q1953" s="66"/>
      <c r="R1953" s="54"/>
      <c r="S1953" s="82"/>
      <c r="T1953" s="83" t="str">
        <f t="shared" si="173"/>
        <v/>
      </c>
      <c r="U1953" s="10"/>
      <c r="V1953" s="41">
        <f>IF(AND(Q1953&lt;&gt;"",RIGHT(Q1953,3)&lt;&gt;""),IF(COUNTIF($Q$6:Q1953,Q1953)=1,1,0),0)</f>
        <v>0</v>
      </c>
      <c r="W1953" s="41" t="str">
        <f t="shared" si="174"/>
        <v/>
      </c>
      <c r="X1953" s="41" t="str">
        <f t="shared" si="175"/>
        <v/>
      </c>
    </row>
    <row r="1954" s="32" customFormat="1" hidden="1" customHeight="1" spans="1:24">
      <c r="A1954" s="34"/>
      <c r="B1954" s="51"/>
      <c r="C1954" s="51"/>
      <c r="D1954" s="52"/>
      <c r="E1954" s="53"/>
      <c r="F1954" s="54"/>
      <c r="G1954" s="54"/>
      <c r="H1954" s="54"/>
      <c r="I1954" s="66"/>
      <c r="J1954" s="54"/>
      <c r="K1954" s="54"/>
      <c r="L1954" s="54"/>
      <c r="M1954" s="97" t="str">
        <f t="shared" si="172"/>
        <v/>
      </c>
      <c r="N1954" s="70"/>
      <c r="O1954" s="71" t="str">
        <f t="shared" si="176"/>
        <v/>
      </c>
      <c r="P1954" s="66"/>
      <c r="Q1954" s="66"/>
      <c r="R1954" s="54"/>
      <c r="S1954" s="82"/>
      <c r="T1954" s="83" t="str">
        <f t="shared" si="173"/>
        <v/>
      </c>
      <c r="U1954" s="10"/>
      <c r="V1954" s="41">
        <f>IF(AND(Q1954&lt;&gt;"",RIGHT(Q1954,3)&lt;&gt;""),IF(COUNTIF($Q$6:Q1954,Q1954)=1,1,0),0)</f>
        <v>0</v>
      </c>
      <c r="W1954" s="41" t="str">
        <f t="shared" si="174"/>
        <v/>
      </c>
      <c r="X1954" s="41" t="str">
        <f t="shared" si="175"/>
        <v/>
      </c>
    </row>
    <row r="1955" s="32" customFormat="1" hidden="1" customHeight="1" spans="1:24">
      <c r="A1955" s="34"/>
      <c r="B1955" s="51"/>
      <c r="C1955" s="51"/>
      <c r="D1955" s="52"/>
      <c r="E1955" s="53"/>
      <c r="F1955" s="54"/>
      <c r="G1955" s="54"/>
      <c r="H1955" s="54"/>
      <c r="I1955" s="66"/>
      <c r="J1955" s="54"/>
      <c r="K1955" s="54"/>
      <c r="L1955" s="54"/>
      <c r="M1955" s="97" t="str">
        <f t="shared" si="172"/>
        <v/>
      </c>
      <c r="N1955" s="70"/>
      <c r="O1955" s="71" t="str">
        <f t="shared" si="176"/>
        <v/>
      </c>
      <c r="P1955" s="66"/>
      <c r="Q1955" s="66"/>
      <c r="R1955" s="54"/>
      <c r="S1955" s="82"/>
      <c r="T1955" s="83" t="str">
        <f t="shared" si="173"/>
        <v/>
      </c>
      <c r="U1955" s="10"/>
      <c r="V1955" s="41">
        <f>IF(AND(Q1955&lt;&gt;"",RIGHT(Q1955,3)&lt;&gt;""),IF(COUNTIF($Q$6:Q1955,Q1955)=1,1,0),0)</f>
        <v>0</v>
      </c>
      <c r="W1955" s="41" t="str">
        <f t="shared" si="174"/>
        <v/>
      </c>
      <c r="X1955" s="41" t="str">
        <f t="shared" si="175"/>
        <v/>
      </c>
    </row>
    <row r="1956" s="32" customFormat="1" hidden="1" customHeight="1" spans="1:24">
      <c r="A1956" s="34"/>
      <c r="B1956" s="51"/>
      <c r="C1956" s="51"/>
      <c r="D1956" s="52"/>
      <c r="E1956" s="53"/>
      <c r="F1956" s="54"/>
      <c r="G1956" s="54"/>
      <c r="H1956" s="54"/>
      <c r="I1956" s="66"/>
      <c r="J1956" s="54"/>
      <c r="K1956" s="54"/>
      <c r="L1956" s="54"/>
      <c r="M1956" s="97" t="str">
        <f t="shared" ref="M1956:M2019" si="177">IF(L1956="","",HYPERLINK(_xlfn.CONCAT($L$4,L1956,".jpg"),"Open File"))</f>
        <v/>
      </c>
      <c r="N1956" s="70"/>
      <c r="O1956" s="71" t="str">
        <f t="shared" si="176"/>
        <v/>
      </c>
      <c r="P1956" s="66"/>
      <c r="Q1956" s="66"/>
      <c r="R1956" s="54"/>
      <c r="S1956" s="82"/>
      <c r="T1956" s="83" t="str">
        <f t="shared" ref="T1956:T2019" si="178">IF(S1956="","",HYPERLINK(_xlfn.CONCAT($S$4,S1956,".jpg"),"Open File"))</f>
        <v/>
      </c>
      <c r="U1956" s="10"/>
      <c r="V1956" s="41">
        <f>IF(AND(Q1956&lt;&gt;"",RIGHT(Q1956,3)&lt;&gt;""),IF(COUNTIF($Q$6:Q1956,Q1956)=1,1,0),0)</f>
        <v>0</v>
      </c>
      <c r="W1956" s="41" t="str">
        <f t="shared" ref="W1956:W2019" si="179">IF(AND(J1956&lt;&gt;"",K1956&lt;&gt;""),_xlfn.CONCAT(SUBSTITUTE(J1956,"/","."),"-",K1956),"")</f>
        <v/>
      </c>
      <c r="X1956" s="41" t="str">
        <f t="shared" ref="X1956:X2019" si="180">IF(AND(Q1956&lt;&gt;"",R1956&lt;&gt;""),_xlfn.CONCAT(SUBSTITUTE(Q1956,"/","."),"-",R1956),"")</f>
        <v/>
      </c>
    </row>
    <row r="1957" s="32" customFormat="1" hidden="1" customHeight="1" spans="1:24">
      <c r="A1957" s="34"/>
      <c r="B1957" s="51"/>
      <c r="C1957" s="51"/>
      <c r="D1957" s="52"/>
      <c r="E1957" s="53"/>
      <c r="F1957" s="54"/>
      <c r="G1957" s="54"/>
      <c r="H1957" s="54"/>
      <c r="I1957" s="66"/>
      <c r="J1957" s="54"/>
      <c r="K1957" s="54"/>
      <c r="L1957" s="54"/>
      <c r="M1957" s="97" t="str">
        <f t="shared" si="177"/>
        <v/>
      </c>
      <c r="N1957" s="70"/>
      <c r="O1957" s="71" t="str">
        <f t="shared" si="176"/>
        <v/>
      </c>
      <c r="P1957" s="66"/>
      <c r="Q1957" s="66"/>
      <c r="R1957" s="54"/>
      <c r="S1957" s="82"/>
      <c r="T1957" s="83" t="str">
        <f t="shared" si="178"/>
        <v/>
      </c>
      <c r="U1957" s="10"/>
      <c r="V1957" s="41">
        <f>IF(AND(Q1957&lt;&gt;"",RIGHT(Q1957,3)&lt;&gt;""),IF(COUNTIF($Q$6:Q1957,Q1957)=1,1,0),0)</f>
        <v>0</v>
      </c>
      <c r="W1957" s="41" t="str">
        <f t="shared" si="179"/>
        <v/>
      </c>
      <c r="X1957" s="41" t="str">
        <f t="shared" si="180"/>
        <v/>
      </c>
    </row>
    <row r="1958" s="32" customFormat="1" hidden="1" customHeight="1" spans="1:24">
      <c r="A1958" s="34"/>
      <c r="B1958" s="51"/>
      <c r="C1958" s="51"/>
      <c r="D1958" s="52"/>
      <c r="E1958" s="53"/>
      <c r="F1958" s="54"/>
      <c r="G1958" s="54"/>
      <c r="H1958" s="54"/>
      <c r="I1958" s="66"/>
      <c r="J1958" s="54"/>
      <c r="K1958" s="54"/>
      <c r="L1958" s="54"/>
      <c r="M1958" s="97" t="str">
        <f t="shared" si="177"/>
        <v/>
      </c>
      <c r="N1958" s="70"/>
      <c r="O1958" s="71" t="str">
        <f t="shared" si="176"/>
        <v/>
      </c>
      <c r="P1958" s="66"/>
      <c r="Q1958" s="66"/>
      <c r="R1958" s="54"/>
      <c r="S1958" s="82"/>
      <c r="T1958" s="83" t="str">
        <f t="shared" si="178"/>
        <v/>
      </c>
      <c r="U1958" s="10"/>
      <c r="V1958" s="41">
        <f>IF(AND(Q1958&lt;&gt;"",RIGHT(Q1958,3)&lt;&gt;""),IF(COUNTIF($Q$6:Q1958,Q1958)=1,1,0),0)</f>
        <v>0</v>
      </c>
      <c r="W1958" s="41" t="str">
        <f t="shared" si="179"/>
        <v/>
      </c>
      <c r="X1958" s="41" t="str">
        <f t="shared" si="180"/>
        <v/>
      </c>
    </row>
    <row r="1959" s="32" customFormat="1" hidden="1" customHeight="1" spans="1:24">
      <c r="A1959" s="34"/>
      <c r="B1959" s="51"/>
      <c r="C1959" s="51"/>
      <c r="D1959" s="52"/>
      <c r="E1959" s="53"/>
      <c r="F1959" s="54"/>
      <c r="G1959" s="54"/>
      <c r="H1959" s="54"/>
      <c r="I1959" s="66"/>
      <c r="J1959" s="54"/>
      <c r="K1959" s="54"/>
      <c r="L1959" s="54"/>
      <c r="M1959" s="97" t="str">
        <f t="shared" si="177"/>
        <v/>
      </c>
      <c r="N1959" s="70"/>
      <c r="O1959" s="71" t="str">
        <f t="shared" si="176"/>
        <v/>
      </c>
      <c r="P1959" s="66"/>
      <c r="Q1959" s="66"/>
      <c r="R1959" s="54"/>
      <c r="S1959" s="82"/>
      <c r="T1959" s="83" t="str">
        <f t="shared" si="178"/>
        <v/>
      </c>
      <c r="U1959" s="10"/>
      <c r="V1959" s="41">
        <f>IF(AND(Q1959&lt;&gt;"",RIGHT(Q1959,3)&lt;&gt;""),IF(COUNTIF($Q$6:Q1959,Q1959)=1,1,0),0)</f>
        <v>0</v>
      </c>
      <c r="W1959" s="41" t="str">
        <f t="shared" si="179"/>
        <v/>
      </c>
      <c r="X1959" s="41" t="str">
        <f t="shared" si="180"/>
        <v/>
      </c>
    </row>
    <row r="1960" s="32" customFormat="1" hidden="1" customHeight="1" spans="1:24">
      <c r="A1960" s="34"/>
      <c r="B1960" s="51"/>
      <c r="C1960" s="51"/>
      <c r="D1960" s="52"/>
      <c r="E1960" s="53"/>
      <c r="F1960" s="54"/>
      <c r="G1960" s="54"/>
      <c r="H1960" s="54"/>
      <c r="I1960" s="66"/>
      <c r="J1960" s="54"/>
      <c r="K1960" s="54"/>
      <c r="L1960" s="54"/>
      <c r="M1960" s="97" t="str">
        <f t="shared" si="177"/>
        <v/>
      </c>
      <c r="N1960" s="70"/>
      <c r="O1960" s="71" t="str">
        <f t="shared" si="176"/>
        <v/>
      </c>
      <c r="P1960" s="66"/>
      <c r="Q1960" s="66"/>
      <c r="R1960" s="54"/>
      <c r="S1960" s="82"/>
      <c r="T1960" s="83" t="str">
        <f t="shared" si="178"/>
        <v/>
      </c>
      <c r="U1960" s="10"/>
      <c r="V1960" s="41">
        <f>IF(AND(Q1960&lt;&gt;"",RIGHT(Q1960,3)&lt;&gt;""),IF(COUNTIF($Q$6:Q1960,Q1960)=1,1,0),0)</f>
        <v>0</v>
      </c>
      <c r="W1960" s="41" t="str">
        <f t="shared" si="179"/>
        <v/>
      </c>
      <c r="X1960" s="41" t="str">
        <f t="shared" si="180"/>
        <v/>
      </c>
    </row>
    <row r="1961" s="32" customFormat="1" hidden="1" customHeight="1" spans="1:24">
      <c r="A1961" s="34"/>
      <c r="B1961" s="51"/>
      <c r="C1961" s="51"/>
      <c r="D1961" s="52"/>
      <c r="E1961" s="53"/>
      <c r="F1961" s="54"/>
      <c r="G1961" s="54"/>
      <c r="H1961" s="54"/>
      <c r="I1961" s="66"/>
      <c r="J1961" s="54"/>
      <c r="K1961" s="54"/>
      <c r="L1961" s="54"/>
      <c r="M1961" s="97" t="str">
        <f t="shared" si="177"/>
        <v/>
      </c>
      <c r="N1961" s="70"/>
      <c r="O1961" s="71" t="str">
        <f t="shared" si="176"/>
        <v/>
      </c>
      <c r="P1961" s="66"/>
      <c r="Q1961" s="66"/>
      <c r="R1961" s="54"/>
      <c r="S1961" s="82"/>
      <c r="T1961" s="83" t="str">
        <f t="shared" si="178"/>
        <v/>
      </c>
      <c r="U1961" s="10"/>
      <c r="V1961" s="41">
        <f>IF(AND(Q1961&lt;&gt;"",RIGHT(Q1961,3)&lt;&gt;""),IF(COUNTIF($Q$6:Q1961,Q1961)=1,1,0),0)</f>
        <v>0</v>
      </c>
      <c r="W1961" s="41" t="str">
        <f t="shared" si="179"/>
        <v/>
      </c>
      <c r="X1961" s="41" t="str">
        <f t="shared" si="180"/>
        <v/>
      </c>
    </row>
    <row r="1962" s="32" customFormat="1" hidden="1" customHeight="1" spans="1:24">
      <c r="A1962" s="34"/>
      <c r="B1962" s="51"/>
      <c r="C1962" s="51"/>
      <c r="D1962" s="52"/>
      <c r="E1962" s="53"/>
      <c r="F1962" s="54"/>
      <c r="G1962" s="54"/>
      <c r="H1962" s="54"/>
      <c r="I1962" s="66"/>
      <c r="J1962" s="54"/>
      <c r="K1962" s="54"/>
      <c r="L1962" s="54"/>
      <c r="M1962" s="97" t="str">
        <f t="shared" si="177"/>
        <v/>
      </c>
      <c r="N1962" s="70"/>
      <c r="O1962" s="71" t="str">
        <f t="shared" si="176"/>
        <v/>
      </c>
      <c r="P1962" s="66"/>
      <c r="Q1962" s="66"/>
      <c r="R1962" s="54"/>
      <c r="S1962" s="82"/>
      <c r="T1962" s="83" t="str">
        <f t="shared" si="178"/>
        <v/>
      </c>
      <c r="U1962" s="10"/>
      <c r="V1962" s="41">
        <f>IF(AND(Q1962&lt;&gt;"",RIGHT(Q1962,3)&lt;&gt;""),IF(COUNTIF($Q$6:Q1962,Q1962)=1,1,0),0)</f>
        <v>0</v>
      </c>
      <c r="W1962" s="41" t="str">
        <f t="shared" si="179"/>
        <v/>
      </c>
      <c r="X1962" s="41" t="str">
        <f t="shared" si="180"/>
        <v/>
      </c>
    </row>
    <row r="1963" s="32" customFormat="1" hidden="1" customHeight="1" spans="1:24">
      <c r="A1963" s="34"/>
      <c r="B1963" s="51"/>
      <c r="C1963" s="51"/>
      <c r="D1963" s="52"/>
      <c r="E1963" s="53"/>
      <c r="F1963" s="54"/>
      <c r="G1963" s="54"/>
      <c r="H1963" s="54"/>
      <c r="I1963" s="66"/>
      <c r="J1963" s="54"/>
      <c r="K1963" s="54"/>
      <c r="L1963" s="54"/>
      <c r="M1963" s="97" t="str">
        <f t="shared" si="177"/>
        <v/>
      </c>
      <c r="N1963" s="70"/>
      <c r="O1963" s="71" t="str">
        <f t="shared" si="176"/>
        <v/>
      </c>
      <c r="P1963" s="66"/>
      <c r="Q1963" s="66"/>
      <c r="R1963" s="54"/>
      <c r="S1963" s="82"/>
      <c r="T1963" s="83" t="str">
        <f t="shared" si="178"/>
        <v/>
      </c>
      <c r="U1963" s="10"/>
      <c r="V1963" s="41">
        <f>IF(AND(Q1963&lt;&gt;"",RIGHT(Q1963,3)&lt;&gt;""),IF(COUNTIF($Q$6:Q1963,Q1963)=1,1,0),0)</f>
        <v>0</v>
      </c>
      <c r="W1963" s="41" t="str">
        <f t="shared" si="179"/>
        <v/>
      </c>
      <c r="X1963" s="41" t="str">
        <f t="shared" si="180"/>
        <v/>
      </c>
    </row>
    <row r="1964" s="32" customFormat="1" hidden="1" customHeight="1" spans="1:24">
      <c r="A1964" s="34"/>
      <c r="B1964" s="51"/>
      <c r="C1964" s="51"/>
      <c r="D1964" s="52"/>
      <c r="E1964" s="53"/>
      <c r="F1964" s="54"/>
      <c r="G1964" s="54"/>
      <c r="H1964" s="54"/>
      <c r="I1964" s="66"/>
      <c r="J1964" s="54"/>
      <c r="K1964" s="54"/>
      <c r="L1964" s="54"/>
      <c r="M1964" s="97" t="str">
        <f t="shared" si="177"/>
        <v/>
      </c>
      <c r="N1964" s="70"/>
      <c r="O1964" s="71" t="str">
        <f t="shared" si="176"/>
        <v/>
      </c>
      <c r="P1964" s="66"/>
      <c r="Q1964" s="66"/>
      <c r="R1964" s="54"/>
      <c r="S1964" s="82"/>
      <c r="T1964" s="83" t="str">
        <f t="shared" si="178"/>
        <v/>
      </c>
      <c r="U1964" s="10"/>
      <c r="V1964" s="41">
        <f>IF(AND(Q1964&lt;&gt;"",RIGHT(Q1964,3)&lt;&gt;""),IF(COUNTIF($Q$6:Q1964,Q1964)=1,1,0),0)</f>
        <v>0</v>
      </c>
      <c r="W1964" s="41" t="str">
        <f t="shared" si="179"/>
        <v/>
      </c>
      <c r="X1964" s="41" t="str">
        <f t="shared" si="180"/>
        <v/>
      </c>
    </row>
    <row r="1965" s="32" customFormat="1" hidden="1" customHeight="1" spans="1:24">
      <c r="A1965" s="34"/>
      <c r="B1965" s="51"/>
      <c r="C1965" s="51"/>
      <c r="D1965" s="52"/>
      <c r="E1965" s="53"/>
      <c r="F1965" s="54"/>
      <c r="G1965" s="54"/>
      <c r="H1965" s="54"/>
      <c r="I1965" s="66"/>
      <c r="J1965" s="54"/>
      <c r="K1965" s="54"/>
      <c r="L1965" s="54"/>
      <c r="M1965" s="97" t="str">
        <f t="shared" si="177"/>
        <v/>
      </c>
      <c r="N1965" s="70"/>
      <c r="O1965" s="71" t="str">
        <f t="shared" si="176"/>
        <v/>
      </c>
      <c r="P1965" s="66"/>
      <c r="Q1965" s="66"/>
      <c r="R1965" s="54"/>
      <c r="S1965" s="82"/>
      <c r="T1965" s="83" t="str">
        <f t="shared" si="178"/>
        <v/>
      </c>
      <c r="U1965" s="10"/>
      <c r="V1965" s="41">
        <f>IF(AND(Q1965&lt;&gt;"",RIGHT(Q1965,3)&lt;&gt;""),IF(COUNTIF($Q$6:Q1965,Q1965)=1,1,0),0)</f>
        <v>0</v>
      </c>
      <c r="W1965" s="41" t="str">
        <f t="shared" si="179"/>
        <v/>
      </c>
      <c r="X1965" s="41" t="str">
        <f t="shared" si="180"/>
        <v/>
      </c>
    </row>
    <row r="1966" s="32" customFormat="1" hidden="1" customHeight="1" spans="1:24">
      <c r="A1966" s="34"/>
      <c r="B1966" s="51"/>
      <c r="C1966" s="51"/>
      <c r="D1966" s="52"/>
      <c r="E1966" s="53"/>
      <c r="F1966" s="54"/>
      <c r="G1966" s="54"/>
      <c r="H1966" s="54"/>
      <c r="I1966" s="66"/>
      <c r="J1966" s="54"/>
      <c r="K1966" s="54"/>
      <c r="L1966" s="54"/>
      <c r="M1966" s="97" t="str">
        <f t="shared" si="177"/>
        <v/>
      </c>
      <c r="N1966" s="70"/>
      <c r="O1966" s="71" t="str">
        <f t="shared" si="176"/>
        <v/>
      </c>
      <c r="P1966" s="66"/>
      <c r="Q1966" s="66"/>
      <c r="R1966" s="54"/>
      <c r="S1966" s="82"/>
      <c r="T1966" s="83" t="str">
        <f t="shared" si="178"/>
        <v/>
      </c>
      <c r="U1966" s="10"/>
      <c r="V1966" s="41">
        <f>IF(AND(Q1966&lt;&gt;"",RIGHT(Q1966,3)&lt;&gt;""),IF(COUNTIF($Q$6:Q1966,Q1966)=1,1,0),0)</f>
        <v>0</v>
      </c>
      <c r="W1966" s="41" t="str">
        <f t="shared" si="179"/>
        <v/>
      </c>
      <c r="X1966" s="41" t="str">
        <f t="shared" si="180"/>
        <v/>
      </c>
    </row>
    <row r="1967" s="32" customFormat="1" hidden="1" customHeight="1" spans="1:24">
      <c r="A1967" s="34"/>
      <c r="B1967" s="51"/>
      <c r="C1967" s="51"/>
      <c r="D1967" s="52"/>
      <c r="E1967" s="53"/>
      <c r="F1967" s="54"/>
      <c r="G1967" s="54"/>
      <c r="H1967" s="54"/>
      <c r="I1967" s="66"/>
      <c r="J1967" s="54"/>
      <c r="K1967" s="54"/>
      <c r="L1967" s="54"/>
      <c r="M1967" s="97" t="str">
        <f t="shared" si="177"/>
        <v/>
      </c>
      <c r="N1967" s="70"/>
      <c r="O1967" s="71" t="str">
        <f t="shared" si="176"/>
        <v/>
      </c>
      <c r="P1967" s="66"/>
      <c r="Q1967" s="66"/>
      <c r="R1967" s="54"/>
      <c r="S1967" s="82"/>
      <c r="T1967" s="83" t="str">
        <f t="shared" si="178"/>
        <v/>
      </c>
      <c r="U1967" s="10"/>
      <c r="V1967" s="41">
        <f>IF(AND(Q1967&lt;&gt;"",RIGHT(Q1967,3)&lt;&gt;""),IF(COUNTIF($Q$6:Q1967,Q1967)=1,1,0),0)</f>
        <v>0</v>
      </c>
      <c r="W1967" s="41" t="str">
        <f t="shared" si="179"/>
        <v/>
      </c>
      <c r="X1967" s="41" t="str">
        <f t="shared" si="180"/>
        <v/>
      </c>
    </row>
    <row r="1968" s="32" customFormat="1" hidden="1" customHeight="1" spans="1:24">
      <c r="A1968" s="34"/>
      <c r="B1968" s="51"/>
      <c r="C1968" s="51"/>
      <c r="D1968" s="52"/>
      <c r="E1968" s="53"/>
      <c r="F1968" s="54"/>
      <c r="G1968" s="54"/>
      <c r="H1968" s="54"/>
      <c r="I1968" s="66"/>
      <c r="J1968" s="54"/>
      <c r="K1968" s="54"/>
      <c r="L1968" s="54"/>
      <c r="M1968" s="97" t="str">
        <f t="shared" si="177"/>
        <v/>
      </c>
      <c r="N1968" s="70"/>
      <c r="O1968" s="71" t="str">
        <f t="shared" si="176"/>
        <v/>
      </c>
      <c r="P1968" s="66"/>
      <c r="Q1968" s="66"/>
      <c r="R1968" s="54"/>
      <c r="S1968" s="82"/>
      <c r="T1968" s="83" t="str">
        <f t="shared" si="178"/>
        <v/>
      </c>
      <c r="U1968" s="10"/>
      <c r="V1968" s="41">
        <f>IF(AND(Q1968&lt;&gt;"",RIGHT(Q1968,3)&lt;&gt;""),IF(COUNTIF($Q$6:Q1968,Q1968)=1,1,0),0)</f>
        <v>0</v>
      </c>
      <c r="W1968" s="41" t="str">
        <f t="shared" si="179"/>
        <v/>
      </c>
      <c r="X1968" s="41" t="str">
        <f t="shared" si="180"/>
        <v/>
      </c>
    </row>
    <row r="1969" s="32" customFormat="1" hidden="1" customHeight="1" spans="1:24">
      <c r="A1969" s="34"/>
      <c r="B1969" s="51"/>
      <c r="C1969" s="51"/>
      <c r="D1969" s="52"/>
      <c r="E1969" s="53"/>
      <c r="F1969" s="54"/>
      <c r="G1969" s="54"/>
      <c r="H1969" s="54"/>
      <c r="I1969" s="66"/>
      <c r="J1969" s="54"/>
      <c r="K1969" s="54"/>
      <c r="L1969" s="54"/>
      <c r="M1969" s="97" t="str">
        <f t="shared" si="177"/>
        <v/>
      </c>
      <c r="N1969" s="70"/>
      <c r="O1969" s="71" t="str">
        <f t="shared" ref="O1969:O2032" si="181">IF(AND(Q1969&lt;&gt;"",T1969&lt;&gt;""),"PASSIVE",IF(AND(J1969&lt;&gt;"",M1969&lt;&gt;""),"ACTIVE",""))</f>
        <v/>
      </c>
      <c r="P1969" s="66"/>
      <c r="Q1969" s="66"/>
      <c r="R1969" s="54"/>
      <c r="S1969" s="82"/>
      <c r="T1969" s="83" t="str">
        <f t="shared" si="178"/>
        <v/>
      </c>
      <c r="U1969" s="10"/>
      <c r="V1969" s="41">
        <f>IF(AND(Q1969&lt;&gt;"",RIGHT(Q1969,3)&lt;&gt;""),IF(COUNTIF($Q$6:Q1969,Q1969)=1,1,0),0)</f>
        <v>0</v>
      </c>
      <c r="W1969" s="41" t="str">
        <f t="shared" si="179"/>
        <v/>
      </c>
      <c r="X1969" s="41" t="str">
        <f t="shared" si="180"/>
        <v/>
      </c>
    </row>
    <row r="1970" s="32" customFormat="1" hidden="1" customHeight="1" spans="1:24">
      <c r="A1970" s="34"/>
      <c r="B1970" s="51"/>
      <c r="C1970" s="51"/>
      <c r="D1970" s="52"/>
      <c r="E1970" s="53"/>
      <c r="F1970" s="54"/>
      <c r="G1970" s="54"/>
      <c r="H1970" s="54"/>
      <c r="I1970" s="66"/>
      <c r="J1970" s="54"/>
      <c r="K1970" s="54"/>
      <c r="L1970" s="54"/>
      <c r="M1970" s="97" t="str">
        <f t="shared" si="177"/>
        <v/>
      </c>
      <c r="N1970" s="70"/>
      <c r="O1970" s="71" t="str">
        <f t="shared" si="181"/>
        <v/>
      </c>
      <c r="P1970" s="66"/>
      <c r="Q1970" s="66"/>
      <c r="R1970" s="54"/>
      <c r="S1970" s="82"/>
      <c r="T1970" s="83" t="str">
        <f t="shared" si="178"/>
        <v/>
      </c>
      <c r="U1970" s="10"/>
      <c r="V1970" s="41">
        <f>IF(AND(Q1970&lt;&gt;"",RIGHT(Q1970,3)&lt;&gt;""),IF(COUNTIF($Q$6:Q1970,Q1970)=1,1,0),0)</f>
        <v>0</v>
      </c>
      <c r="W1970" s="41" t="str">
        <f t="shared" si="179"/>
        <v/>
      </c>
      <c r="X1970" s="41" t="str">
        <f t="shared" si="180"/>
        <v/>
      </c>
    </row>
    <row r="1971" s="32" customFormat="1" hidden="1" customHeight="1" spans="1:24">
      <c r="A1971" s="34"/>
      <c r="B1971" s="51"/>
      <c r="C1971" s="51"/>
      <c r="D1971" s="52"/>
      <c r="E1971" s="53"/>
      <c r="F1971" s="54"/>
      <c r="G1971" s="54"/>
      <c r="H1971" s="54"/>
      <c r="I1971" s="66"/>
      <c r="J1971" s="54"/>
      <c r="K1971" s="54"/>
      <c r="L1971" s="54"/>
      <c r="M1971" s="97" t="str">
        <f t="shared" si="177"/>
        <v/>
      </c>
      <c r="N1971" s="70"/>
      <c r="O1971" s="71" t="str">
        <f t="shared" si="181"/>
        <v/>
      </c>
      <c r="P1971" s="66"/>
      <c r="Q1971" s="66"/>
      <c r="R1971" s="54"/>
      <c r="S1971" s="82"/>
      <c r="T1971" s="83" t="str">
        <f t="shared" si="178"/>
        <v/>
      </c>
      <c r="U1971" s="10"/>
      <c r="V1971" s="41">
        <f>IF(AND(Q1971&lt;&gt;"",RIGHT(Q1971,3)&lt;&gt;""),IF(COUNTIF($Q$6:Q1971,Q1971)=1,1,0),0)</f>
        <v>0</v>
      </c>
      <c r="W1971" s="41" t="str">
        <f t="shared" si="179"/>
        <v/>
      </c>
      <c r="X1971" s="41" t="str">
        <f t="shared" si="180"/>
        <v/>
      </c>
    </row>
    <row r="1972" s="32" customFormat="1" hidden="1" customHeight="1" spans="1:24">
      <c r="A1972" s="34"/>
      <c r="B1972" s="51"/>
      <c r="C1972" s="51"/>
      <c r="D1972" s="52"/>
      <c r="E1972" s="53"/>
      <c r="F1972" s="54"/>
      <c r="G1972" s="54"/>
      <c r="H1972" s="54"/>
      <c r="I1972" s="66"/>
      <c r="J1972" s="54"/>
      <c r="K1972" s="54"/>
      <c r="L1972" s="54"/>
      <c r="M1972" s="97" t="str">
        <f t="shared" si="177"/>
        <v/>
      </c>
      <c r="N1972" s="70"/>
      <c r="O1972" s="71" t="str">
        <f t="shared" si="181"/>
        <v/>
      </c>
      <c r="P1972" s="66"/>
      <c r="Q1972" s="66"/>
      <c r="R1972" s="54"/>
      <c r="S1972" s="82"/>
      <c r="T1972" s="83" t="str">
        <f t="shared" si="178"/>
        <v/>
      </c>
      <c r="U1972" s="10"/>
      <c r="V1972" s="41">
        <f>IF(AND(Q1972&lt;&gt;"",RIGHT(Q1972,3)&lt;&gt;""),IF(COUNTIF($Q$6:Q1972,Q1972)=1,1,0),0)</f>
        <v>0</v>
      </c>
      <c r="W1972" s="41" t="str">
        <f t="shared" si="179"/>
        <v/>
      </c>
      <c r="X1972" s="41" t="str">
        <f t="shared" si="180"/>
        <v/>
      </c>
    </row>
    <row r="1973" s="32" customFormat="1" hidden="1" customHeight="1" spans="1:24">
      <c r="A1973" s="34"/>
      <c r="B1973" s="51"/>
      <c r="C1973" s="51"/>
      <c r="D1973" s="52"/>
      <c r="E1973" s="53"/>
      <c r="F1973" s="54"/>
      <c r="G1973" s="54"/>
      <c r="H1973" s="54"/>
      <c r="I1973" s="66"/>
      <c r="J1973" s="54"/>
      <c r="K1973" s="54"/>
      <c r="L1973" s="54"/>
      <c r="M1973" s="97" t="str">
        <f t="shared" si="177"/>
        <v/>
      </c>
      <c r="N1973" s="70"/>
      <c r="O1973" s="71" t="str">
        <f t="shared" si="181"/>
        <v/>
      </c>
      <c r="P1973" s="66"/>
      <c r="Q1973" s="66"/>
      <c r="R1973" s="54"/>
      <c r="S1973" s="82"/>
      <c r="T1973" s="83" t="str">
        <f t="shared" si="178"/>
        <v/>
      </c>
      <c r="U1973" s="10"/>
      <c r="V1973" s="41">
        <f>IF(AND(Q1973&lt;&gt;"",RIGHT(Q1973,3)&lt;&gt;""),IF(COUNTIF($Q$6:Q1973,Q1973)=1,1,0),0)</f>
        <v>0</v>
      </c>
      <c r="W1973" s="41" t="str">
        <f t="shared" si="179"/>
        <v/>
      </c>
      <c r="X1973" s="41" t="str">
        <f t="shared" si="180"/>
        <v/>
      </c>
    </row>
    <row r="1974" s="32" customFormat="1" hidden="1" customHeight="1" spans="1:24">
      <c r="A1974" s="34"/>
      <c r="B1974" s="51"/>
      <c r="C1974" s="51"/>
      <c r="D1974" s="52"/>
      <c r="E1974" s="53"/>
      <c r="F1974" s="54"/>
      <c r="G1974" s="54"/>
      <c r="H1974" s="54"/>
      <c r="I1974" s="66"/>
      <c r="J1974" s="54"/>
      <c r="K1974" s="54"/>
      <c r="L1974" s="54"/>
      <c r="M1974" s="97" t="str">
        <f t="shared" si="177"/>
        <v/>
      </c>
      <c r="N1974" s="70"/>
      <c r="O1974" s="71" t="str">
        <f t="shared" si="181"/>
        <v/>
      </c>
      <c r="P1974" s="66"/>
      <c r="Q1974" s="66"/>
      <c r="R1974" s="54"/>
      <c r="S1974" s="82"/>
      <c r="T1974" s="83" t="str">
        <f t="shared" si="178"/>
        <v/>
      </c>
      <c r="U1974" s="10"/>
      <c r="V1974" s="41">
        <f>IF(AND(Q1974&lt;&gt;"",RIGHT(Q1974,3)&lt;&gt;""),IF(COUNTIF($Q$6:Q1974,Q1974)=1,1,0),0)</f>
        <v>0</v>
      </c>
      <c r="W1974" s="41" t="str">
        <f t="shared" si="179"/>
        <v/>
      </c>
      <c r="X1974" s="41" t="str">
        <f t="shared" si="180"/>
        <v/>
      </c>
    </row>
    <row r="1975" s="32" customFormat="1" hidden="1" customHeight="1" spans="1:24">
      <c r="A1975" s="34"/>
      <c r="B1975" s="51"/>
      <c r="C1975" s="51"/>
      <c r="D1975" s="52"/>
      <c r="E1975" s="53"/>
      <c r="F1975" s="54"/>
      <c r="G1975" s="54"/>
      <c r="H1975" s="54"/>
      <c r="I1975" s="66"/>
      <c r="J1975" s="54"/>
      <c r="K1975" s="54"/>
      <c r="L1975" s="54"/>
      <c r="M1975" s="97" t="str">
        <f t="shared" si="177"/>
        <v/>
      </c>
      <c r="N1975" s="70"/>
      <c r="O1975" s="71" t="str">
        <f t="shared" si="181"/>
        <v/>
      </c>
      <c r="P1975" s="66"/>
      <c r="Q1975" s="66"/>
      <c r="R1975" s="54"/>
      <c r="S1975" s="82"/>
      <c r="T1975" s="83" t="str">
        <f t="shared" si="178"/>
        <v/>
      </c>
      <c r="U1975" s="10"/>
      <c r="V1975" s="41">
        <f>IF(AND(Q1975&lt;&gt;"",RIGHT(Q1975,3)&lt;&gt;""),IF(COUNTIF($Q$6:Q1975,Q1975)=1,1,0),0)</f>
        <v>0</v>
      </c>
      <c r="W1975" s="41" t="str">
        <f t="shared" si="179"/>
        <v/>
      </c>
      <c r="X1975" s="41" t="str">
        <f t="shared" si="180"/>
        <v/>
      </c>
    </row>
    <row r="1976" s="32" customFormat="1" hidden="1" customHeight="1" spans="1:24">
      <c r="A1976" s="34"/>
      <c r="B1976" s="51"/>
      <c r="C1976" s="51"/>
      <c r="D1976" s="52"/>
      <c r="E1976" s="53"/>
      <c r="F1976" s="54"/>
      <c r="G1976" s="54"/>
      <c r="H1976" s="54"/>
      <c r="I1976" s="66"/>
      <c r="J1976" s="54"/>
      <c r="K1976" s="54"/>
      <c r="L1976" s="54"/>
      <c r="M1976" s="97" t="str">
        <f t="shared" si="177"/>
        <v/>
      </c>
      <c r="N1976" s="70"/>
      <c r="O1976" s="71" t="str">
        <f t="shared" si="181"/>
        <v/>
      </c>
      <c r="P1976" s="66"/>
      <c r="Q1976" s="66"/>
      <c r="R1976" s="54"/>
      <c r="S1976" s="82"/>
      <c r="T1976" s="83" t="str">
        <f t="shared" si="178"/>
        <v/>
      </c>
      <c r="U1976" s="10"/>
      <c r="V1976" s="41">
        <f>IF(AND(Q1976&lt;&gt;"",RIGHT(Q1976,3)&lt;&gt;""),IF(COUNTIF($Q$6:Q1976,Q1976)=1,1,0),0)</f>
        <v>0</v>
      </c>
      <c r="W1976" s="41" t="str">
        <f t="shared" si="179"/>
        <v/>
      </c>
      <c r="X1976" s="41" t="str">
        <f t="shared" si="180"/>
        <v/>
      </c>
    </row>
    <row r="1977" s="32" customFormat="1" hidden="1" customHeight="1" spans="1:24">
      <c r="A1977" s="34"/>
      <c r="B1977" s="51"/>
      <c r="C1977" s="51"/>
      <c r="D1977" s="52"/>
      <c r="E1977" s="53"/>
      <c r="F1977" s="54"/>
      <c r="G1977" s="54"/>
      <c r="H1977" s="54"/>
      <c r="I1977" s="66"/>
      <c r="J1977" s="54"/>
      <c r="K1977" s="54"/>
      <c r="L1977" s="54"/>
      <c r="M1977" s="97" t="str">
        <f t="shared" si="177"/>
        <v/>
      </c>
      <c r="N1977" s="70"/>
      <c r="O1977" s="71" t="str">
        <f t="shared" si="181"/>
        <v/>
      </c>
      <c r="P1977" s="66"/>
      <c r="Q1977" s="66"/>
      <c r="R1977" s="54"/>
      <c r="S1977" s="82"/>
      <c r="T1977" s="83" t="str">
        <f t="shared" si="178"/>
        <v/>
      </c>
      <c r="U1977" s="10"/>
      <c r="V1977" s="41">
        <f>IF(AND(Q1977&lt;&gt;"",RIGHT(Q1977,3)&lt;&gt;""),IF(COUNTIF($Q$6:Q1977,Q1977)=1,1,0),0)</f>
        <v>0</v>
      </c>
      <c r="W1977" s="41" t="str">
        <f t="shared" si="179"/>
        <v/>
      </c>
      <c r="X1977" s="41" t="str">
        <f t="shared" si="180"/>
        <v/>
      </c>
    </row>
    <row r="1978" s="32" customFormat="1" hidden="1" customHeight="1" spans="1:24">
      <c r="A1978" s="34"/>
      <c r="B1978" s="51"/>
      <c r="C1978" s="51"/>
      <c r="D1978" s="52"/>
      <c r="E1978" s="53"/>
      <c r="F1978" s="54"/>
      <c r="G1978" s="54"/>
      <c r="H1978" s="54"/>
      <c r="I1978" s="66"/>
      <c r="J1978" s="54"/>
      <c r="K1978" s="54"/>
      <c r="L1978" s="54"/>
      <c r="M1978" s="97" t="str">
        <f t="shared" si="177"/>
        <v/>
      </c>
      <c r="N1978" s="70"/>
      <c r="O1978" s="71" t="str">
        <f t="shared" si="181"/>
        <v/>
      </c>
      <c r="P1978" s="66"/>
      <c r="Q1978" s="66"/>
      <c r="R1978" s="54"/>
      <c r="S1978" s="82"/>
      <c r="T1978" s="83" t="str">
        <f t="shared" si="178"/>
        <v/>
      </c>
      <c r="U1978" s="10"/>
      <c r="V1978" s="41">
        <f>IF(AND(Q1978&lt;&gt;"",RIGHT(Q1978,3)&lt;&gt;""),IF(COUNTIF($Q$6:Q1978,Q1978)=1,1,0),0)</f>
        <v>0</v>
      </c>
      <c r="W1978" s="41" t="str">
        <f t="shared" si="179"/>
        <v/>
      </c>
      <c r="X1978" s="41" t="str">
        <f t="shared" si="180"/>
        <v/>
      </c>
    </row>
    <row r="1979" s="32" customFormat="1" hidden="1" customHeight="1" spans="1:24">
      <c r="A1979" s="34"/>
      <c r="B1979" s="51"/>
      <c r="C1979" s="51"/>
      <c r="D1979" s="52"/>
      <c r="E1979" s="53"/>
      <c r="F1979" s="54"/>
      <c r="G1979" s="54"/>
      <c r="H1979" s="54"/>
      <c r="I1979" s="66"/>
      <c r="J1979" s="54"/>
      <c r="K1979" s="54"/>
      <c r="L1979" s="54"/>
      <c r="M1979" s="97" t="str">
        <f t="shared" si="177"/>
        <v/>
      </c>
      <c r="N1979" s="70"/>
      <c r="O1979" s="71" t="str">
        <f t="shared" si="181"/>
        <v/>
      </c>
      <c r="P1979" s="66"/>
      <c r="Q1979" s="66"/>
      <c r="R1979" s="54"/>
      <c r="S1979" s="82"/>
      <c r="T1979" s="83" t="str">
        <f t="shared" si="178"/>
        <v/>
      </c>
      <c r="U1979" s="10"/>
      <c r="V1979" s="41">
        <f>IF(AND(Q1979&lt;&gt;"",RIGHT(Q1979,3)&lt;&gt;""),IF(COUNTIF($Q$6:Q1979,Q1979)=1,1,0),0)</f>
        <v>0</v>
      </c>
      <c r="W1979" s="41" t="str">
        <f t="shared" si="179"/>
        <v/>
      </c>
      <c r="X1979" s="41" t="str">
        <f t="shared" si="180"/>
        <v/>
      </c>
    </row>
    <row r="1980" s="32" customFormat="1" hidden="1" customHeight="1" spans="1:24">
      <c r="A1980" s="34"/>
      <c r="B1980" s="51"/>
      <c r="C1980" s="51"/>
      <c r="D1980" s="52"/>
      <c r="E1980" s="53"/>
      <c r="F1980" s="54"/>
      <c r="G1980" s="54"/>
      <c r="H1980" s="54"/>
      <c r="I1980" s="66"/>
      <c r="J1980" s="54"/>
      <c r="K1980" s="54"/>
      <c r="L1980" s="54"/>
      <c r="M1980" s="97" t="str">
        <f t="shared" si="177"/>
        <v/>
      </c>
      <c r="N1980" s="70"/>
      <c r="O1980" s="71" t="str">
        <f t="shared" si="181"/>
        <v/>
      </c>
      <c r="P1980" s="66"/>
      <c r="Q1980" s="66"/>
      <c r="R1980" s="54"/>
      <c r="S1980" s="82"/>
      <c r="T1980" s="83" t="str">
        <f t="shared" si="178"/>
        <v/>
      </c>
      <c r="U1980" s="10"/>
      <c r="V1980" s="41">
        <f>IF(AND(Q1980&lt;&gt;"",RIGHT(Q1980,3)&lt;&gt;""),IF(COUNTIF($Q$6:Q1980,Q1980)=1,1,0),0)</f>
        <v>0</v>
      </c>
      <c r="W1980" s="41" t="str">
        <f t="shared" si="179"/>
        <v/>
      </c>
      <c r="X1980" s="41" t="str">
        <f t="shared" si="180"/>
        <v/>
      </c>
    </row>
    <row r="1981" s="32" customFormat="1" hidden="1" customHeight="1" spans="1:24">
      <c r="A1981" s="34"/>
      <c r="B1981" s="51"/>
      <c r="C1981" s="51"/>
      <c r="D1981" s="52"/>
      <c r="E1981" s="53"/>
      <c r="F1981" s="54"/>
      <c r="G1981" s="54"/>
      <c r="H1981" s="54"/>
      <c r="I1981" s="66"/>
      <c r="J1981" s="54"/>
      <c r="K1981" s="54"/>
      <c r="L1981" s="54"/>
      <c r="M1981" s="97" t="str">
        <f t="shared" si="177"/>
        <v/>
      </c>
      <c r="N1981" s="70"/>
      <c r="O1981" s="71" t="str">
        <f t="shared" si="181"/>
        <v/>
      </c>
      <c r="P1981" s="66"/>
      <c r="Q1981" s="66"/>
      <c r="R1981" s="54"/>
      <c r="S1981" s="82"/>
      <c r="T1981" s="83" t="str">
        <f t="shared" si="178"/>
        <v/>
      </c>
      <c r="U1981" s="10"/>
      <c r="V1981" s="41">
        <f>IF(AND(Q1981&lt;&gt;"",RIGHT(Q1981,3)&lt;&gt;""),IF(COUNTIF($Q$6:Q1981,Q1981)=1,1,0),0)</f>
        <v>0</v>
      </c>
      <c r="W1981" s="41" t="str">
        <f t="shared" si="179"/>
        <v/>
      </c>
      <c r="X1981" s="41" t="str">
        <f t="shared" si="180"/>
        <v/>
      </c>
    </row>
    <row r="1982" s="32" customFormat="1" hidden="1" customHeight="1" spans="1:24">
      <c r="A1982" s="34"/>
      <c r="B1982" s="51"/>
      <c r="C1982" s="51"/>
      <c r="D1982" s="52"/>
      <c r="E1982" s="53"/>
      <c r="F1982" s="54"/>
      <c r="G1982" s="54"/>
      <c r="H1982" s="54"/>
      <c r="I1982" s="66"/>
      <c r="J1982" s="54"/>
      <c r="K1982" s="54"/>
      <c r="L1982" s="54"/>
      <c r="M1982" s="97" t="str">
        <f t="shared" si="177"/>
        <v/>
      </c>
      <c r="N1982" s="70"/>
      <c r="O1982" s="71" t="str">
        <f t="shared" si="181"/>
        <v/>
      </c>
      <c r="P1982" s="66"/>
      <c r="Q1982" s="66"/>
      <c r="R1982" s="54"/>
      <c r="S1982" s="82"/>
      <c r="T1982" s="83" t="str">
        <f t="shared" si="178"/>
        <v/>
      </c>
      <c r="U1982" s="10"/>
      <c r="V1982" s="41">
        <f>IF(AND(Q1982&lt;&gt;"",RIGHT(Q1982,3)&lt;&gt;""),IF(COUNTIF($Q$6:Q1982,Q1982)=1,1,0),0)</f>
        <v>0</v>
      </c>
      <c r="W1982" s="41" t="str">
        <f t="shared" si="179"/>
        <v/>
      </c>
      <c r="X1982" s="41" t="str">
        <f t="shared" si="180"/>
        <v/>
      </c>
    </row>
    <row r="1983" s="32" customFormat="1" hidden="1" customHeight="1" spans="1:24">
      <c r="A1983" s="34"/>
      <c r="B1983" s="51"/>
      <c r="C1983" s="51"/>
      <c r="D1983" s="52"/>
      <c r="E1983" s="53"/>
      <c r="F1983" s="54"/>
      <c r="G1983" s="54"/>
      <c r="H1983" s="54"/>
      <c r="I1983" s="66"/>
      <c r="J1983" s="54"/>
      <c r="K1983" s="54"/>
      <c r="L1983" s="54"/>
      <c r="M1983" s="97" t="str">
        <f t="shared" si="177"/>
        <v/>
      </c>
      <c r="N1983" s="70"/>
      <c r="O1983" s="71" t="str">
        <f t="shared" si="181"/>
        <v/>
      </c>
      <c r="P1983" s="66"/>
      <c r="Q1983" s="66"/>
      <c r="R1983" s="54"/>
      <c r="S1983" s="82"/>
      <c r="T1983" s="83" t="str">
        <f t="shared" si="178"/>
        <v/>
      </c>
      <c r="U1983" s="10"/>
      <c r="V1983" s="41">
        <f>IF(AND(Q1983&lt;&gt;"",RIGHT(Q1983,3)&lt;&gt;""),IF(COUNTIF($Q$6:Q1983,Q1983)=1,1,0),0)</f>
        <v>0</v>
      </c>
      <c r="W1983" s="41" t="str">
        <f t="shared" si="179"/>
        <v/>
      </c>
      <c r="X1983" s="41" t="str">
        <f t="shared" si="180"/>
        <v/>
      </c>
    </row>
    <row r="1984" s="32" customFormat="1" hidden="1" customHeight="1" spans="1:24">
      <c r="A1984" s="34"/>
      <c r="B1984" s="51"/>
      <c r="C1984" s="51"/>
      <c r="D1984" s="52"/>
      <c r="E1984" s="53"/>
      <c r="F1984" s="54"/>
      <c r="G1984" s="54"/>
      <c r="H1984" s="54"/>
      <c r="I1984" s="66"/>
      <c r="J1984" s="54"/>
      <c r="K1984" s="54"/>
      <c r="L1984" s="54"/>
      <c r="M1984" s="97" t="str">
        <f t="shared" si="177"/>
        <v/>
      </c>
      <c r="N1984" s="70"/>
      <c r="O1984" s="71" t="str">
        <f t="shared" si="181"/>
        <v/>
      </c>
      <c r="P1984" s="66"/>
      <c r="Q1984" s="66"/>
      <c r="R1984" s="54"/>
      <c r="S1984" s="82"/>
      <c r="T1984" s="83" t="str">
        <f t="shared" si="178"/>
        <v/>
      </c>
      <c r="U1984" s="10"/>
      <c r="V1984" s="41">
        <f>IF(AND(Q1984&lt;&gt;"",RIGHT(Q1984,3)&lt;&gt;""),IF(COUNTIF($Q$6:Q1984,Q1984)=1,1,0),0)</f>
        <v>0</v>
      </c>
      <c r="W1984" s="41" t="str">
        <f t="shared" si="179"/>
        <v/>
      </c>
      <c r="X1984" s="41" t="str">
        <f t="shared" si="180"/>
        <v/>
      </c>
    </row>
    <row r="1985" s="32" customFormat="1" hidden="1" customHeight="1" spans="1:24">
      <c r="A1985" s="34"/>
      <c r="B1985" s="51"/>
      <c r="C1985" s="51"/>
      <c r="D1985" s="52"/>
      <c r="E1985" s="53"/>
      <c r="F1985" s="54"/>
      <c r="G1985" s="54"/>
      <c r="H1985" s="54"/>
      <c r="I1985" s="66"/>
      <c r="J1985" s="54"/>
      <c r="K1985" s="54"/>
      <c r="L1985" s="54"/>
      <c r="M1985" s="97" t="str">
        <f t="shared" si="177"/>
        <v/>
      </c>
      <c r="N1985" s="70"/>
      <c r="O1985" s="71" t="str">
        <f t="shared" si="181"/>
        <v/>
      </c>
      <c r="P1985" s="66"/>
      <c r="Q1985" s="66"/>
      <c r="R1985" s="54"/>
      <c r="S1985" s="82"/>
      <c r="T1985" s="83" t="str">
        <f t="shared" si="178"/>
        <v/>
      </c>
      <c r="U1985" s="10"/>
      <c r="V1985" s="41">
        <f>IF(AND(Q1985&lt;&gt;"",RIGHT(Q1985,3)&lt;&gt;""),IF(COUNTIF($Q$6:Q1985,Q1985)=1,1,0),0)</f>
        <v>0</v>
      </c>
      <c r="W1985" s="41" t="str">
        <f t="shared" si="179"/>
        <v/>
      </c>
      <c r="X1985" s="41" t="str">
        <f t="shared" si="180"/>
        <v/>
      </c>
    </row>
    <row r="1986" s="32" customFormat="1" hidden="1" customHeight="1" spans="1:24">
      <c r="A1986" s="34"/>
      <c r="B1986" s="51"/>
      <c r="C1986" s="51"/>
      <c r="D1986" s="52"/>
      <c r="E1986" s="53"/>
      <c r="F1986" s="54"/>
      <c r="G1986" s="54"/>
      <c r="H1986" s="54"/>
      <c r="I1986" s="66"/>
      <c r="J1986" s="54"/>
      <c r="K1986" s="54"/>
      <c r="L1986" s="54"/>
      <c r="M1986" s="97" t="str">
        <f t="shared" si="177"/>
        <v/>
      </c>
      <c r="N1986" s="70"/>
      <c r="O1986" s="71" t="str">
        <f t="shared" si="181"/>
        <v/>
      </c>
      <c r="P1986" s="66"/>
      <c r="Q1986" s="66"/>
      <c r="R1986" s="54"/>
      <c r="S1986" s="82"/>
      <c r="T1986" s="83" t="str">
        <f t="shared" si="178"/>
        <v/>
      </c>
      <c r="U1986" s="10"/>
      <c r="V1986" s="41">
        <f>IF(AND(Q1986&lt;&gt;"",RIGHT(Q1986,3)&lt;&gt;""),IF(COUNTIF($Q$6:Q1986,Q1986)=1,1,0),0)</f>
        <v>0</v>
      </c>
      <c r="W1986" s="41" t="str">
        <f t="shared" si="179"/>
        <v/>
      </c>
      <c r="X1986" s="41" t="str">
        <f t="shared" si="180"/>
        <v/>
      </c>
    </row>
    <row r="1987" s="32" customFormat="1" hidden="1" customHeight="1" spans="1:24">
      <c r="A1987" s="34"/>
      <c r="B1987" s="51"/>
      <c r="C1987" s="51"/>
      <c r="D1987" s="52"/>
      <c r="E1987" s="53"/>
      <c r="F1987" s="54"/>
      <c r="G1987" s="54"/>
      <c r="H1987" s="54"/>
      <c r="I1987" s="66"/>
      <c r="J1987" s="54"/>
      <c r="K1987" s="54"/>
      <c r="L1987" s="54"/>
      <c r="M1987" s="97" t="str">
        <f t="shared" si="177"/>
        <v/>
      </c>
      <c r="N1987" s="70"/>
      <c r="O1987" s="71" t="str">
        <f t="shared" si="181"/>
        <v/>
      </c>
      <c r="P1987" s="66"/>
      <c r="Q1987" s="66"/>
      <c r="R1987" s="54"/>
      <c r="S1987" s="82"/>
      <c r="T1987" s="83" t="str">
        <f t="shared" si="178"/>
        <v/>
      </c>
      <c r="U1987" s="10"/>
      <c r="V1987" s="41">
        <f>IF(AND(Q1987&lt;&gt;"",RIGHT(Q1987,3)&lt;&gt;""),IF(COUNTIF($Q$6:Q1987,Q1987)=1,1,0),0)</f>
        <v>0</v>
      </c>
      <c r="W1987" s="41" t="str">
        <f t="shared" si="179"/>
        <v/>
      </c>
      <c r="X1987" s="41" t="str">
        <f t="shared" si="180"/>
        <v/>
      </c>
    </row>
    <row r="1988" s="32" customFormat="1" hidden="1" customHeight="1" spans="1:24">
      <c r="A1988" s="34"/>
      <c r="B1988" s="51"/>
      <c r="C1988" s="51"/>
      <c r="D1988" s="52"/>
      <c r="E1988" s="53"/>
      <c r="F1988" s="54"/>
      <c r="G1988" s="54"/>
      <c r="H1988" s="54"/>
      <c r="I1988" s="66"/>
      <c r="J1988" s="54"/>
      <c r="K1988" s="54"/>
      <c r="L1988" s="54"/>
      <c r="M1988" s="97" t="str">
        <f t="shared" si="177"/>
        <v/>
      </c>
      <c r="N1988" s="70"/>
      <c r="O1988" s="71" t="str">
        <f t="shared" si="181"/>
        <v/>
      </c>
      <c r="P1988" s="66"/>
      <c r="Q1988" s="66"/>
      <c r="R1988" s="54"/>
      <c r="S1988" s="82"/>
      <c r="T1988" s="83" t="str">
        <f t="shared" si="178"/>
        <v/>
      </c>
      <c r="U1988" s="10"/>
      <c r="V1988" s="41">
        <f>IF(AND(Q1988&lt;&gt;"",RIGHT(Q1988,3)&lt;&gt;""),IF(COUNTIF($Q$6:Q1988,Q1988)=1,1,0),0)</f>
        <v>0</v>
      </c>
      <c r="W1988" s="41" t="str">
        <f t="shared" si="179"/>
        <v/>
      </c>
      <c r="X1988" s="41" t="str">
        <f t="shared" si="180"/>
        <v/>
      </c>
    </row>
    <row r="1989" s="32" customFormat="1" hidden="1" customHeight="1" spans="1:24">
      <c r="A1989" s="34"/>
      <c r="B1989" s="51"/>
      <c r="C1989" s="51"/>
      <c r="D1989" s="52"/>
      <c r="E1989" s="53"/>
      <c r="F1989" s="54"/>
      <c r="G1989" s="54"/>
      <c r="H1989" s="54"/>
      <c r="I1989" s="66"/>
      <c r="J1989" s="54"/>
      <c r="K1989" s="54"/>
      <c r="L1989" s="54"/>
      <c r="M1989" s="97" t="str">
        <f t="shared" si="177"/>
        <v/>
      </c>
      <c r="N1989" s="70"/>
      <c r="O1989" s="71" t="str">
        <f t="shared" si="181"/>
        <v/>
      </c>
      <c r="P1989" s="66"/>
      <c r="Q1989" s="66"/>
      <c r="R1989" s="54"/>
      <c r="S1989" s="82"/>
      <c r="T1989" s="83" t="str">
        <f t="shared" si="178"/>
        <v/>
      </c>
      <c r="U1989" s="10"/>
      <c r="V1989" s="41">
        <f>IF(AND(Q1989&lt;&gt;"",RIGHT(Q1989,3)&lt;&gt;""),IF(COUNTIF($Q$6:Q1989,Q1989)=1,1,0),0)</f>
        <v>0</v>
      </c>
      <c r="W1989" s="41" t="str">
        <f t="shared" si="179"/>
        <v/>
      </c>
      <c r="X1989" s="41" t="str">
        <f t="shared" si="180"/>
        <v/>
      </c>
    </row>
    <row r="1990" s="32" customFormat="1" hidden="1" customHeight="1" spans="1:24">
      <c r="A1990" s="34"/>
      <c r="B1990" s="51"/>
      <c r="C1990" s="51"/>
      <c r="D1990" s="52"/>
      <c r="E1990" s="53"/>
      <c r="F1990" s="54"/>
      <c r="G1990" s="54"/>
      <c r="H1990" s="54"/>
      <c r="I1990" s="66"/>
      <c r="J1990" s="54"/>
      <c r="K1990" s="54"/>
      <c r="L1990" s="54"/>
      <c r="M1990" s="97" t="str">
        <f t="shared" si="177"/>
        <v/>
      </c>
      <c r="N1990" s="70"/>
      <c r="O1990" s="71" t="str">
        <f t="shared" si="181"/>
        <v/>
      </c>
      <c r="P1990" s="66"/>
      <c r="Q1990" s="66"/>
      <c r="R1990" s="54"/>
      <c r="S1990" s="82"/>
      <c r="T1990" s="83" t="str">
        <f t="shared" si="178"/>
        <v/>
      </c>
      <c r="U1990" s="10"/>
      <c r="V1990" s="41">
        <f>IF(AND(Q1990&lt;&gt;"",RIGHT(Q1990,3)&lt;&gt;""),IF(COUNTIF($Q$6:Q1990,Q1990)=1,1,0),0)</f>
        <v>0</v>
      </c>
      <c r="W1990" s="41" t="str">
        <f t="shared" si="179"/>
        <v/>
      </c>
      <c r="X1990" s="41" t="str">
        <f t="shared" si="180"/>
        <v/>
      </c>
    </row>
    <row r="1991" s="32" customFormat="1" hidden="1" customHeight="1" spans="1:24">
      <c r="A1991" s="34"/>
      <c r="B1991" s="51"/>
      <c r="C1991" s="51"/>
      <c r="D1991" s="52"/>
      <c r="E1991" s="53"/>
      <c r="F1991" s="54"/>
      <c r="G1991" s="54"/>
      <c r="H1991" s="54"/>
      <c r="I1991" s="66"/>
      <c r="J1991" s="54"/>
      <c r="K1991" s="54"/>
      <c r="L1991" s="54"/>
      <c r="M1991" s="97" t="str">
        <f t="shared" si="177"/>
        <v/>
      </c>
      <c r="N1991" s="70"/>
      <c r="O1991" s="71" t="str">
        <f t="shared" si="181"/>
        <v/>
      </c>
      <c r="P1991" s="66"/>
      <c r="Q1991" s="66"/>
      <c r="R1991" s="54"/>
      <c r="S1991" s="82"/>
      <c r="T1991" s="83" t="str">
        <f t="shared" si="178"/>
        <v/>
      </c>
      <c r="U1991" s="10"/>
      <c r="V1991" s="41">
        <f>IF(AND(Q1991&lt;&gt;"",RIGHT(Q1991,3)&lt;&gt;""),IF(COUNTIF($Q$6:Q1991,Q1991)=1,1,0),0)</f>
        <v>0</v>
      </c>
      <c r="W1991" s="41" t="str">
        <f t="shared" si="179"/>
        <v/>
      </c>
      <c r="X1991" s="41" t="str">
        <f t="shared" si="180"/>
        <v/>
      </c>
    </row>
    <row r="1992" s="32" customFormat="1" hidden="1" customHeight="1" spans="1:24">
      <c r="A1992" s="34"/>
      <c r="B1992" s="51"/>
      <c r="C1992" s="51"/>
      <c r="D1992" s="52"/>
      <c r="E1992" s="53"/>
      <c r="F1992" s="54"/>
      <c r="G1992" s="54"/>
      <c r="H1992" s="54"/>
      <c r="I1992" s="66"/>
      <c r="J1992" s="54"/>
      <c r="K1992" s="54"/>
      <c r="L1992" s="54"/>
      <c r="M1992" s="97" t="str">
        <f t="shared" si="177"/>
        <v/>
      </c>
      <c r="N1992" s="70"/>
      <c r="O1992" s="71" t="str">
        <f t="shared" si="181"/>
        <v/>
      </c>
      <c r="P1992" s="66"/>
      <c r="Q1992" s="66"/>
      <c r="R1992" s="54"/>
      <c r="S1992" s="82"/>
      <c r="T1992" s="83" t="str">
        <f t="shared" si="178"/>
        <v/>
      </c>
      <c r="U1992" s="10"/>
      <c r="V1992" s="41">
        <f>IF(AND(Q1992&lt;&gt;"",RIGHT(Q1992,3)&lt;&gt;""),IF(COUNTIF($Q$6:Q1992,Q1992)=1,1,0),0)</f>
        <v>0</v>
      </c>
      <c r="W1992" s="41" t="str">
        <f t="shared" si="179"/>
        <v/>
      </c>
      <c r="X1992" s="41" t="str">
        <f t="shared" si="180"/>
        <v/>
      </c>
    </row>
    <row r="1993" s="32" customFormat="1" hidden="1" customHeight="1" spans="1:24">
      <c r="A1993" s="34"/>
      <c r="B1993" s="51"/>
      <c r="C1993" s="51"/>
      <c r="D1993" s="52"/>
      <c r="E1993" s="53"/>
      <c r="F1993" s="54"/>
      <c r="G1993" s="54"/>
      <c r="H1993" s="54"/>
      <c r="I1993" s="66"/>
      <c r="J1993" s="54"/>
      <c r="K1993" s="54"/>
      <c r="L1993" s="54"/>
      <c r="M1993" s="97" t="str">
        <f t="shared" si="177"/>
        <v/>
      </c>
      <c r="N1993" s="70"/>
      <c r="O1993" s="71" t="str">
        <f t="shared" si="181"/>
        <v/>
      </c>
      <c r="P1993" s="66"/>
      <c r="Q1993" s="66"/>
      <c r="R1993" s="54"/>
      <c r="S1993" s="82"/>
      <c r="T1993" s="83" t="str">
        <f t="shared" si="178"/>
        <v/>
      </c>
      <c r="U1993" s="10"/>
      <c r="V1993" s="41">
        <f>IF(AND(Q1993&lt;&gt;"",RIGHT(Q1993,3)&lt;&gt;""),IF(COUNTIF($Q$6:Q1993,Q1993)=1,1,0),0)</f>
        <v>0</v>
      </c>
      <c r="W1993" s="41" t="str">
        <f t="shared" si="179"/>
        <v/>
      </c>
      <c r="X1993" s="41" t="str">
        <f t="shared" si="180"/>
        <v/>
      </c>
    </row>
    <row r="1994" s="32" customFormat="1" hidden="1" customHeight="1" spans="1:24">
      <c r="A1994" s="34"/>
      <c r="B1994" s="51"/>
      <c r="C1994" s="51"/>
      <c r="D1994" s="52"/>
      <c r="E1994" s="53"/>
      <c r="F1994" s="54"/>
      <c r="G1994" s="54"/>
      <c r="H1994" s="54"/>
      <c r="I1994" s="66"/>
      <c r="J1994" s="54"/>
      <c r="K1994" s="54"/>
      <c r="L1994" s="54"/>
      <c r="M1994" s="97" t="str">
        <f t="shared" si="177"/>
        <v/>
      </c>
      <c r="N1994" s="70"/>
      <c r="O1994" s="71" t="str">
        <f t="shared" si="181"/>
        <v/>
      </c>
      <c r="P1994" s="66"/>
      <c r="Q1994" s="66"/>
      <c r="R1994" s="54"/>
      <c r="S1994" s="82"/>
      <c r="T1994" s="83" t="str">
        <f t="shared" si="178"/>
        <v/>
      </c>
      <c r="U1994" s="10"/>
      <c r="V1994" s="41">
        <f>IF(AND(Q1994&lt;&gt;"",RIGHT(Q1994,3)&lt;&gt;""),IF(COUNTIF($Q$6:Q1994,Q1994)=1,1,0),0)</f>
        <v>0</v>
      </c>
      <c r="W1994" s="41" t="str">
        <f t="shared" si="179"/>
        <v/>
      </c>
      <c r="X1994" s="41" t="str">
        <f t="shared" si="180"/>
        <v/>
      </c>
    </row>
    <row r="1995" s="32" customFormat="1" hidden="1" customHeight="1" spans="1:24">
      <c r="A1995" s="34"/>
      <c r="B1995" s="51"/>
      <c r="C1995" s="51"/>
      <c r="D1995" s="52"/>
      <c r="E1995" s="53"/>
      <c r="F1995" s="54"/>
      <c r="G1995" s="54"/>
      <c r="H1995" s="54"/>
      <c r="I1995" s="66"/>
      <c r="J1995" s="54"/>
      <c r="K1995" s="54"/>
      <c r="L1995" s="54"/>
      <c r="M1995" s="97" t="str">
        <f t="shared" si="177"/>
        <v/>
      </c>
      <c r="N1995" s="70"/>
      <c r="O1995" s="71" t="str">
        <f t="shared" si="181"/>
        <v/>
      </c>
      <c r="P1995" s="66"/>
      <c r="Q1995" s="66"/>
      <c r="R1995" s="54"/>
      <c r="S1995" s="82"/>
      <c r="T1995" s="83" t="str">
        <f t="shared" si="178"/>
        <v/>
      </c>
      <c r="U1995" s="10"/>
      <c r="V1995" s="41">
        <f>IF(AND(Q1995&lt;&gt;"",RIGHT(Q1995,3)&lt;&gt;""),IF(COUNTIF($Q$6:Q1995,Q1995)=1,1,0),0)</f>
        <v>0</v>
      </c>
      <c r="W1995" s="41" t="str">
        <f t="shared" si="179"/>
        <v/>
      </c>
      <c r="X1995" s="41" t="str">
        <f t="shared" si="180"/>
        <v/>
      </c>
    </row>
    <row r="1996" s="32" customFormat="1" hidden="1" customHeight="1" spans="1:24">
      <c r="A1996" s="34"/>
      <c r="B1996" s="51"/>
      <c r="C1996" s="51"/>
      <c r="D1996" s="52"/>
      <c r="E1996" s="53"/>
      <c r="F1996" s="54"/>
      <c r="G1996" s="54"/>
      <c r="H1996" s="54"/>
      <c r="I1996" s="66"/>
      <c r="J1996" s="54"/>
      <c r="K1996" s="54"/>
      <c r="L1996" s="54"/>
      <c r="M1996" s="97" t="str">
        <f t="shared" si="177"/>
        <v/>
      </c>
      <c r="N1996" s="70"/>
      <c r="O1996" s="71" t="str">
        <f t="shared" si="181"/>
        <v/>
      </c>
      <c r="P1996" s="66"/>
      <c r="Q1996" s="66"/>
      <c r="R1996" s="54"/>
      <c r="S1996" s="82"/>
      <c r="T1996" s="83" t="str">
        <f t="shared" si="178"/>
        <v/>
      </c>
      <c r="U1996" s="10"/>
      <c r="V1996" s="41">
        <f>IF(AND(Q1996&lt;&gt;"",RIGHT(Q1996,3)&lt;&gt;""),IF(COUNTIF($Q$6:Q1996,Q1996)=1,1,0),0)</f>
        <v>0</v>
      </c>
      <c r="W1996" s="41" t="str">
        <f t="shared" si="179"/>
        <v/>
      </c>
      <c r="X1996" s="41" t="str">
        <f t="shared" si="180"/>
        <v/>
      </c>
    </row>
    <row r="1997" s="32" customFormat="1" hidden="1" customHeight="1" spans="1:24">
      <c r="A1997" s="34"/>
      <c r="B1997" s="51"/>
      <c r="C1997" s="51"/>
      <c r="D1997" s="52"/>
      <c r="E1997" s="53"/>
      <c r="F1997" s="54"/>
      <c r="G1997" s="54"/>
      <c r="H1997" s="54"/>
      <c r="I1997" s="66"/>
      <c r="J1997" s="54"/>
      <c r="K1997" s="54"/>
      <c r="L1997" s="54"/>
      <c r="M1997" s="97" t="str">
        <f t="shared" si="177"/>
        <v/>
      </c>
      <c r="N1997" s="70"/>
      <c r="O1997" s="71" t="str">
        <f t="shared" si="181"/>
        <v/>
      </c>
      <c r="P1997" s="66"/>
      <c r="Q1997" s="66"/>
      <c r="R1997" s="54"/>
      <c r="S1997" s="82"/>
      <c r="T1997" s="83" t="str">
        <f t="shared" si="178"/>
        <v/>
      </c>
      <c r="U1997" s="10"/>
      <c r="V1997" s="41">
        <f>IF(AND(Q1997&lt;&gt;"",RIGHT(Q1997,3)&lt;&gt;""),IF(COUNTIF($Q$6:Q1997,Q1997)=1,1,0),0)</f>
        <v>0</v>
      </c>
      <c r="W1997" s="41" t="str">
        <f t="shared" si="179"/>
        <v/>
      </c>
      <c r="X1997" s="41" t="str">
        <f t="shared" si="180"/>
        <v/>
      </c>
    </row>
    <row r="1998" s="32" customFormat="1" hidden="1" customHeight="1" spans="1:24">
      <c r="A1998" s="34"/>
      <c r="B1998" s="51"/>
      <c r="C1998" s="51"/>
      <c r="D1998" s="52"/>
      <c r="E1998" s="53"/>
      <c r="F1998" s="54"/>
      <c r="G1998" s="54"/>
      <c r="H1998" s="54"/>
      <c r="I1998" s="66"/>
      <c r="J1998" s="54"/>
      <c r="K1998" s="54"/>
      <c r="L1998" s="54"/>
      <c r="M1998" s="97" t="str">
        <f t="shared" si="177"/>
        <v/>
      </c>
      <c r="N1998" s="70"/>
      <c r="O1998" s="71" t="str">
        <f t="shared" si="181"/>
        <v/>
      </c>
      <c r="P1998" s="66"/>
      <c r="Q1998" s="66"/>
      <c r="R1998" s="54"/>
      <c r="S1998" s="82"/>
      <c r="T1998" s="83" t="str">
        <f t="shared" si="178"/>
        <v/>
      </c>
      <c r="U1998" s="10"/>
      <c r="V1998" s="41">
        <f>IF(AND(Q1998&lt;&gt;"",RIGHT(Q1998,3)&lt;&gt;""),IF(COUNTIF($Q$6:Q1998,Q1998)=1,1,0),0)</f>
        <v>0</v>
      </c>
      <c r="W1998" s="41" t="str">
        <f t="shared" si="179"/>
        <v/>
      </c>
      <c r="X1998" s="41" t="str">
        <f t="shared" si="180"/>
        <v/>
      </c>
    </row>
    <row r="1999" s="32" customFormat="1" hidden="1" customHeight="1" spans="1:24">
      <c r="A1999" s="34"/>
      <c r="B1999" s="51"/>
      <c r="C1999" s="51"/>
      <c r="D1999" s="52"/>
      <c r="E1999" s="53"/>
      <c r="F1999" s="54"/>
      <c r="G1999" s="54"/>
      <c r="H1999" s="54"/>
      <c r="I1999" s="66"/>
      <c r="J1999" s="54"/>
      <c r="K1999" s="54"/>
      <c r="L1999" s="54"/>
      <c r="M1999" s="97" t="str">
        <f t="shared" si="177"/>
        <v/>
      </c>
      <c r="N1999" s="70"/>
      <c r="O1999" s="71" t="str">
        <f t="shared" si="181"/>
        <v/>
      </c>
      <c r="P1999" s="66"/>
      <c r="Q1999" s="66"/>
      <c r="R1999" s="54"/>
      <c r="S1999" s="82"/>
      <c r="T1999" s="83" t="str">
        <f t="shared" si="178"/>
        <v/>
      </c>
      <c r="U1999" s="10"/>
      <c r="V1999" s="41">
        <f>IF(AND(Q1999&lt;&gt;"",RIGHT(Q1999,3)&lt;&gt;""),IF(COUNTIF($Q$6:Q1999,Q1999)=1,1,0),0)</f>
        <v>0</v>
      </c>
      <c r="W1999" s="41" t="str">
        <f t="shared" si="179"/>
        <v/>
      </c>
      <c r="X1999" s="41" t="str">
        <f t="shared" si="180"/>
        <v/>
      </c>
    </row>
    <row r="2000" s="32" customFormat="1" hidden="1" customHeight="1" spans="1:24">
      <c r="A2000" s="34"/>
      <c r="B2000" s="51"/>
      <c r="C2000" s="51"/>
      <c r="D2000" s="52"/>
      <c r="E2000" s="53"/>
      <c r="F2000" s="54"/>
      <c r="G2000" s="54"/>
      <c r="H2000" s="54"/>
      <c r="I2000" s="66"/>
      <c r="J2000" s="54"/>
      <c r="K2000" s="54"/>
      <c r="L2000" s="54"/>
      <c r="M2000" s="97" t="str">
        <f t="shared" si="177"/>
        <v/>
      </c>
      <c r="N2000" s="70"/>
      <c r="O2000" s="71" t="str">
        <f t="shared" si="181"/>
        <v/>
      </c>
      <c r="P2000" s="66"/>
      <c r="Q2000" s="66"/>
      <c r="R2000" s="54"/>
      <c r="S2000" s="82"/>
      <c r="T2000" s="83" t="str">
        <f t="shared" si="178"/>
        <v/>
      </c>
      <c r="U2000" s="10"/>
      <c r="V2000" s="41">
        <f>IF(AND(Q2000&lt;&gt;"",RIGHT(Q2000,3)&lt;&gt;""),IF(COUNTIF($Q$6:Q2000,Q2000)=1,1,0),0)</f>
        <v>0</v>
      </c>
      <c r="W2000" s="41" t="str">
        <f t="shared" si="179"/>
        <v/>
      </c>
      <c r="X2000" s="41" t="str">
        <f t="shared" si="180"/>
        <v/>
      </c>
    </row>
    <row r="2001" s="32" customFormat="1" hidden="1" customHeight="1" spans="1:24">
      <c r="A2001" s="34"/>
      <c r="B2001" s="51"/>
      <c r="C2001" s="51"/>
      <c r="D2001" s="52"/>
      <c r="E2001" s="53"/>
      <c r="F2001" s="54"/>
      <c r="G2001" s="54"/>
      <c r="H2001" s="54"/>
      <c r="I2001" s="66"/>
      <c r="J2001" s="54"/>
      <c r="K2001" s="54"/>
      <c r="L2001" s="54"/>
      <c r="M2001" s="97" t="str">
        <f t="shared" si="177"/>
        <v/>
      </c>
      <c r="N2001" s="70"/>
      <c r="O2001" s="71" t="str">
        <f t="shared" si="181"/>
        <v/>
      </c>
      <c r="P2001" s="66"/>
      <c r="Q2001" s="66"/>
      <c r="R2001" s="54"/>
      <c r="S2001" s="82"/>
      <c r="T2001" s="83" t="str">
        <f t="shared" si="178"/>
        <v/>
      </c>
      <c r="U2001" s="10"/>
      <c r="V2001" s="41">
        <f>IF(AND(Q2001&lt;&gt;"",RIGHT(Q2001,3)&lt;&gt;""),IF(COUNTIF($Q$6:Q2001,Q2001)=1,1,0),0)</f>
        <v>0</v>
      </c>
      <c r="W2001" s="41" t="str">
        <f t="shared" si="179"/>
        <v/>
      </c>
      <c r="X2001" s="41" t="str">
        <f t="shared" si="180"/>
        <v/>
      </c>
    </row>
    <row r="2002" s="32" customFormat="1" hidden="1" customHeight="1" spans="1:24">
      <c r="A2002" s="34"/>
      <c r="B2002" s="51"/>
      <c r="C2002" s="51"/>
      <c r="D2002" s="52"/>
      <c r="E2002" s="53"/>
      <c r="F2002" s="54"/>
      <c r="G2002" s="54"/>
      <c r="H2002" s="54"/>
      <c r="I2002" s="66"/>
      <c r="J2002" s="54"/>
      <c r="K2002" s="54"/>
      <c r="L2002" s="54"/>
      <c r="M2002" s="97" t="str">
        <f t="shared" si="177"/>
        <v/>
      </c>
      <c r="N2002" s="70"/>
      <c r="O2002" s="71" t="str">
        <f t="shared" si="181"/>
        <v/>
      </c>
      <c r="P2002" s="66"/>
      <c r="Q2002" s="66"/>
      <c r="R2002" s="54"/>
      <c r="S2002" s="82"/>
      <c r="T2002" s="83" t="str">
        <f t="shared" si="178"/>
        <v/>
      </c>
      <c r="U2002" s="10"/>
      <c r="V2002" s="41">
        <f>IF(AND(Q2002&lt;&gt;"",RIGHT(Q2002,3)&lt;&gt;""),IF(COUNTIF($Q$6:Q2002,Q2002)=1,1,0),0)</f>
        <v>0</v>
      </c>
      <c r="W2002" s="41" t="str">
        <f t="shared" si="179"/>
        <v/>
      </c>
      <c r="X2002" s="41" t="str">
        <f t="shared" si="180"/>
        <v/>
      </c>
    </row>
    <row r="2003" s="32" customFormat="1" hidden="1" customHeight="1" spans="1:24">
      <c r="A2003" s="34"/>
      <c r="B2003" s="51"/>
      <c r="C2003" s="51"/>
      <c r="D2003" s="52"/>
      <c r="E2003" s="53"/>
      <c r="F2003" s="54"/>
      <c r="G2003" s="54"/>
      <c r="H2003" s="54"/>
      <c r="I2003" s="66"/>
      <c r="J2003" s="54"/>
      <c r="K2003" s="54"/>
      <c r="L2003" s="54"/>
      <c r="M2003" s="97" t="str">
        <f t="shared" si="177"/>
        <v/>
      </c>
      <c r="N2003" s="70"/>
      <c r="O2003" s="71" t="str">
        <f t="shared" si="181"/>
        <v/>
      </c>
      <c r="P2003" s="66"/>
      <c r="Q2003" s="66"/>
      <c r="R2003" s="54"/>
      <c r="S2003" s="82"/>
      <c r="T2003" s="83" t="str">
        <f t="shared" si="178"/>
        <v/>
      </c>
      <c r="U2003" s="10"/>
      <c r="V2003" s="41">
        <f>IF(AND(Q2003&lt;&gt;"",RIGHT(Q2003,3)&lt;&gt;""),IF(COUNTIF($Q$6:Q2003,Q2003)=1,1,0),0)</f>
        <v>0</v>
      </c>
      <c r="W2003" s="41" t="str">
        <f t="shared" si="179"/>
        <v/>
      </c>
      <c r="X2003" s="41" t="str">
        <f t="shared" si="180"/>
        <v/>
      </c>
    </row>
    <row r="2004" s="32" customFormat="1" hidden="1" customHeight="1" spans="1:24">
      <c r="A2004" s="34"/>
      <c r="B2004" s="51"/>
      <c r="C2004" s="51"/>
      <c r="D2004" s="52"/>
      <c r="E2004" s="53"/>
      <c r="F2004" s="54"/>
      <c r="G2004" s="54"/>
      <c r="H2004" s="54"/>
      <c r="I2004" s="66"/>
      <c r="J2004" s="54"/>
      <c r="K2004" s="54"/>
      <c r="L2004" s="54"/>
      <c r="M2004" s="97" t="str">
        <f t="shared" si="177"/>
        <v/>
      </c>
      <c r="N2004" s="70"/>
      <c r="O2004" s="71" t="str">
        <f t="shared" si="181"/>
        <v/>
      </c>
      <c r="P2004" s="66"/>
      <c r="Q2004" s="66"/>
      <c r="R2004" s="54"/>
      <c r="S2004" s="82"/>
      <c r="T2004" s="83" t="str">
        <f t="shared" si="178"/>
        <v/>
      </c>
      <c r="U2004" s="10"/>
      <c r="V2004" s="41">
        <f>IF(AND(Q2004&lt;&gt;"",RIGHT(Q2004,3)&lt;&gt;""),IF(COUNTIF($Q$6:Q2004,Q2004)=1,1,0),0)</f>
        <v>0</v>
      </c>
      <c r="W2004" s="41" t="str">
        <f t="shared" si="179"/>
        <v/>
      </c>
      <c r="X2004" s="41" t="str">
        <f t="shared" si="180"/>
        <v/>
      </c>
    </row>
    <row r="2005" s="32" customFormat="1" hidden="1" customHeight="1" spans="1:24">
      <c r="A2005" s="34"/>
      <c r="B2005" s="51"/>
      <c r="C2005" s="51"/>
      <c r="D2005" s="52"/>
      <c r="E2005" s="53"/>
      <c r="F2005" s="54"/>
      <c r="G2005" s="54"/>
      <c r="H2005" s="54"/>
      <c r="I2005" s="66"/>
      <c r="J2005" s="54"/>
      <c r="K2005" s="54"/>
      <c r="L2005" s="54"/>
      <c r="M2005" s="97" t="str">
        <f t="shared" si="177"/>
        <v/>
      </c>
      <c r="N2005" s="70"/>
      <c r="O2005" s="71" t="str">
        <f t="shared" si="181"/>
        <v/>
      </c>
      <c r="P2005" s="66"/>
      <c r="Q2005" s="66"/>
      <c r="R2005" s="54"/>
      <c r="S2005" s="82"/>
      <c r="T2005" s="83" t="str">
        <f t="shared" si="178"/>
        <v/>
      </c>
      <c r="U2005" s="10"/>
      <c r="V2005" s="41">
        <f>IF(AND(Q2005&lt;&gt;"",RIGHT(Q2005,3)&lt;&gt;""),IF(COUNTIF($Q$6:Q2005,Q2005)=1,1,0),0)</f>
        <v>0</v>
      </c>
      <c r="W2005" s="41" t="str">
        <f t="shared" si="179"/>
        <v/>
      </c>
      <c r="X2005" s="41" t="str">
        <f t="shared" si="180"/>
        <v/>
      </c>
    </row>
    <row r="2006" s="32" customFormat="1" hidden="1" customHeight="1" spans="1:24">
      <c r="A2006" s="34"/>
      <c r="B2006" s="51"/>
      <c r="C2006" s="51"/>
      <c r="D2006" s="52"/>
      <c r="E2006" s="53"/>
      <c r="F2006" s="54"/>
      <c r="G2006" s="54"/>
      <c r="H2006" s="54"/>
      <c r="I2006" s="66"/>
      <c r="J2006" s="54"/>
      <c r="K2006" s="54"/>
      <c r="L2006" s="54"/>
      <c r="M2006" s="97" t="str">
        <f t="shared" si="177"/>
        <v/>
      </c>
      <c r="N2006" s="70"/>
      <c r="O2006" s="71" t="str">
        <f t="shared" si="181"/>
        <v/>
      </c>
      <c r="P2006" s="66"/>
      <c r="Q2006" s="66"/>
      <c r="R2006" s="54"/>
      <c r="S2006" s="82"/>
      <c r="T2006" s="83" t="str">
        <f t="shared" si="178"/>
        <v/>
      </c>
      <c r="U2006" s="10"/>
      <c r="V2006" s="41">
        <f>IF(AND(Q2006&lt;&gt;"",RIGHT(Q2006,3)&lt;&gt;""),IF(COUNTIF($Q$6:Q2006,Q2006)=1,1,0),0)</f>
        <v>0</v>
      </c>
      <c r="W2006" s="41" t="str">
        <f t="shared" si="179"/>
        <v/>
      </c>
      <c r="X2006" s="41" t="str">
        <f t="shared" si="180"/>
        <v/>
      </c>
    </row>
    <row r="2007" s="32" customFormat="1" hidden="1" customHeight="1" spans="1:24">
      <c r="A2007" s="34"/>
      <c r="B2007" s="51"/>
      <c r="C2007" s="51"/>
      <c r="D2007" s="52"/>
      <c r="E2007" s="53"/>
      <c r="F2007" s="54"/>
      <c r="G2007" s="54"/>
      <c r="H2007" s="54"/>
      <c r="I2007" s="66"/>
      <c r="J2007" s="54"/>
      <c r="K2007" s="54"/>
      <c r="L2007" s="54"/>
      <c r="M2007" s="97" t="str">
        <f t="shared" si="177"/>
        <v/>
      </c>
      <c r="N2007" s="70"/>
      <c r="O2007" s="71" t="str">
        <f t="shared" si="181"/>
        <v/>
      </c>
      <c r="P2007" s="66"/>
      <c r="Q2007" s="66"/>
      <c r="R2007" s="54"/>
      <c r="S2007" s="82"/>
      <c r="T2007" s="83" t="str">
        <f t="shared" si="178"/>
        <v/>
      </c>
      <c r="U2007" s="10"/>
      <c r="V2007" s="41">
        <f>IF(AND(Q2007&lt;&gt;"",RIGHT(Q2007,3)&lt;&gt;""),IF(COUNTIF($Q$6:Q2007,Q2007)=1,1,0),0)</f>
        <v>0</v>
      </c>
      <c r="W2007" s="41" t="str">
        <f t="shared" si="179"/>
        <v/>
      </c>
      <c r="X2007" s="41" t="str">
        <f t="shared" si="180"/>
        <v/>
      </c>
    </row>
    <row r="2008" s="32" customFormat="1" hidden="1" customHeight="1" spans="1:24">
      <c r="A2008" s="34"/>
      <c r="B2008" s="51"/>
      <c r="C2008" s="51"/>
      <c r="D2008" s="52"/>
      <c r="E2008" s="53"/>
      <c r="F2008" s="54"/>
      <c r="G2008" s="54"/>
      <c r="H2008" s="54"/>
      <c r="I2008" s="66"/>
      <c r="J2008" s="54"/>
      <c r="K2008" s="54"/>
      <c r="L2008" s="54"/>
      <c r="M2008" s="97" t="str">
        <f t="shared" si="177"/>
        <v/>
      </c>
      <c r="N2008" s="70"/>
      <c r="O2008" s="71" t="str">
        <f t="shared" si="181"/>
        <v/>
      </c>
      <c r="P2008" s="66"/>
      <c r="Q2008" s="66"/>
      <c r="R2008" s="54"/>
      <c r="S2008" s="82"/>
      <c r="T2008" s="83" t="str">
        <f t="shared" si="178"/>
        <v/>
      </c>
      <c r="U2008" s="10"/>
      <c r="V2008" s="41">
        <f>IF(AND(Q2008&lt;&gt;"",RIGHT(Q2008,3)&lt;&gt;""),IF(COUNTIF($Q$6:Q2008,Q2008)=1,1,0),0)</f>
        <v>0</v>
      </c>
      <c r="W2008" s="41" t="str">
        <f t="shared" si="179"/>
        <v/>
      </c>
      <c r="X2008" s="41" t="str">
        <f t="shared" si="180"/>
        <v/>
      </c>
    </row>
    <row r="2009" s="32" customFormat="1" hidden="1" customHeight="1" spans="1:24">
      <c r="A2009" s="34"/>
      <c r="B2009" s="51"/>
      <c r="C2009" s="51"/>
      <c r="D2009" s="52"/>
      <c r="E2009" s="53"/>
      <c r="F2009" s="54"/>
      <c r="G2009" s="54"/>
      <c r="H2009" s="54"/>
      <c r="I2009" s="66"/>
      <c r="J2009" s="54"/>
      <c r="K2009" s="54"/>
      <c r="L2009" s="54"/>
      <c r="M2009" s="97" t="str">
        <f t="shared" si="177"/>
        <v/>
      </c>
      <c r="N2009" s="70"/>
      <c r="O2009" s="71" t="str">
        <f t="shared" si="181"/>
        <v/>
      </c>
      <c r="P2009" s="66"/>
      <c r="Q2009" s="66"/>
      <c r="R2009" s="54"/>
      <c r="S2009" s="82"/>
      <c r="T2009" s="83" t="str">
        <f t="shared" si="178"/>
        <v/>
      </c>
      <c r="U2009" s="10"/>
      <c r="V2009" s="41">
        <f>IF(AND(Q2009&lt;&gt;"",RIGHT(Q2009,3)&lt;&gt;""),IF(COUNTIF($Q$6:Q2009,Q2009)=1,1,0),0)</f>
        <v>0</v>
      </c>
      <c r="W2009" s="41" t="str">
        <f t="shared" si="179"/>
        <v/>
      </c>
      <c r="X2009" s="41" t="str">
        <f t="shared" si="180"/>
        <v/>
      </c>
    </row>
    <row r="2010" s="32" customFormat="1" hidden="1" customHeight="1" spans="1:24">
      <c r="A2010" s="34"/>
      <c r="B2010" s="51"/>
      <c r="C2010" s="51"/>
      <c r="D2010" s="52"/>
      <c r="E2010" s="53"/>
      <c r="F2010" s="54"/>
      <c r="G2010" s="54"/>
      <c r="H2010" s="54"/>
      <c r="I2010" s="66"/>
      <c r="J2010" s="54"/>
      <c r="K2010" s="54"/>
      <c r="L2010" s="54"/>
      <c r="M2010" s="97" t="str">
        <f t="shared" si="177"/>
        <v/>
      </c>
      <c r="N2010" s="70"/>
      <c r="O2010" s="71" t="str">
        <f t="shared" si="181"/>
        <v/>
      </c>
      <c r="P2010" s="66"/>
      <c r="Q2010" s="66"/>
      <c r="R2010" s="54"/>
      <c r="S2010" s="82"/>
      <c r="T2010" s="83" t="str">
        <f t="shared" si="178"/>
        <v/>
      </c>
      <c r="U2010" s="10"/>
      <c r="V2010" s="41">
        <f>IF(AND(Q2010&lt;&gt;"",RIGHT(Q2010,3)&lt;&gt;""),IF(COUNTIF($Q$6:Q2010,Q2010)=1,1,0),0)</f>
        <v>0</v>
      </c>
      <c r="W2010" s="41" t="str">
        <f t="shared" si="179"/>
        <v/>
      </c>
      <c r="X2010" s="41" t="str">
        <f t="shared" si="180"/>
        <v/>
      </c>
    </row>
    <row r="2011" s="32" customFormat="1" hidden="1" customHeight="1" spans="1:24">
      <c r="A2011" s="34"/>
      <c r="B2011" s="51"/>
      <c r="C2011" s="51"/>
      <c r="D2011" s="52"/>
      <c r="E2011" s="53"/>
      <c r="F2011" s="54"/>
      <c r="G2011" s="54"/>
      <c r="H2011" s="54"/>
      <c r="I2011" s="66"/>
      <c r="J2011" s="54"/>
      <c r="K2011" s="54"/>
      <c r="L2011" s="54"/>
      <c r="M2011" s="97" t="str">
        <f t="shared" si="177"/>
        <v/>
      </c>
      <c r="N2011" s="70"/>
      <c r="O2011" s="71" t="str">
        <f t="shared" si="181"/>
        <v/>
      </c>
      <c r="P2011" s="66"/>
      <c r="Q2011" s="66"/>
      <c r="R2011" s="54"/>
      <c r="S2011" s="82"/>
      <c r="T2011" s="83" t="str">
        <f t="shared" si="178"/>
        <v/>
      </c>
      <c r="U2011" s="10"/>
      <c r="V2011" s="41">
        <f>IF(AND(Q2011&lt;&gt;"",RIGHT(Q2011,3)&lt;&gt;""),IF(COUNTIF($Q$6:Q2011,Q2011)=1,1,0),0)</f>
        <v>0</v>
      </c>
      <c r="W2011" s="41" t="str">
        <f t="shared" si="179"/>
        <v/>
      </c>
      <c r="X2011" s="41" t="str">
        <f t="shared" si="180"/>
        <v/>
      </c>
    </row>
    <row r="2012" s="32" customFormat="1" hidden="1" customHeight="1" spans="1:24">
      <c r="A2012" s="34"/>
      <c r="B2012" s="51"/>
      <c r="C2012" s="51"/>
      <c r="D2012" s="52"/>
      <c r="E2012" s="53"/>
      <c r="F2012" s="54"/>
      <c r="G2012" s="54"/>
      <c r="H2012" s="54"/>
      <c r="I2012" s="66"/>
      <c r="J2012" s="54"/>
      <c r="K2012" s="54"/>
      <c r="L2012" s="54"/>
      <c r="M2012" s="97" t="str">
        <f t="shared" si="177"/>
        <v/>
      </c>
      <c r="N2012" s="70"/>
      <c r="O2012" s="71" t="str">
        <f t="shared" si="181"/>
        <v/>
      </c>
      <c r="P2012" s="66"/>
      <c r="Q2012" s="66"/>
      <c r="R2012" s="54"/>
      <c r="S2012" s="82"/>
      <c r="T2012" s="83" t="str">
        <f t="shared" si="178"/>
        <v/>
      </c>
      <c r="U2012" s="10"/>
      <c r="V2012" s="41">
        <f>IF(AND(Q2012&lt;&gt;"",RIGHT(Q2012,3)&lt;&gt;""),IF(COUNTIF($Q$6:Q2012,Q2012)=1,1,0),0)</f>
        <v>0</v>
      </c>
      <c r="W2012" s="41" t="str">
        <f t="shared" si="179"/>
        <v/>
      </c>
      <c r="X2012" s="41" t="str">
        <f t="shared" si="180"/>
        <v/>
      </c>
    </row>
    <row r="2013" s="32" customFormat="1" hidden="1" customHeight="1" spans="1:24">
      <c r="A2013" s="34"/>
      <c r="B2013" s="51"/>
      <c r="C2013" s="51"/>
      <c r="D2013" s="52"/>
      <c r="E2013" s="53"/>
      <c r="F2013" s="54"/>
      <c r="G2013" s="54"/>
      <c r="H2013" s="54"/>
      <c r="I2013" s="66"/>
      <c r="J2013" s="54"/>
      <c r="K2013" s="54"/>
      <c r="L2013" s="54"/>
      <c r="M2013" s="97" t="str">
        <f t="shared" si="177"/>
        <v/>
      </c>
      <c r="N2013" s="70"/>
      <c r="O2013" s="71" t="str">
        <f t="shared" si="181"/>
        <v/>
      </c>
      <c r="P2013" s="66"/>
      <c r="Q2013" s="66"/>
      <c r="R2013" s="54"/>
      <c r="S2013" s="82"/>
      <c r="T2013" s="83" t="str">
        <f t="shared" si="178"/>
        <v/>
      </c>
      <c r="U2013" s="10"/>
      <c r="V2013" s="41">
        <f>IF(AND(Q2013&lt;&gt;"",RIGHT(Q2013,3)&lt;&gt;""),IF(COUNTIF($Q$6:Q2013,Q2013)=1,1,0),0)</f>
        <v>0</v>
      </c>
      <c r="W2013" s="41" t="str">
        <f t="shared" si="179"/>
        <v/>
      </c>
      <c r="X2013" s="41" t="str">
        <f t="shared" si="180"/>
        <v/>
      </c>
    </row>
    <row r="2014" s="32" customFormat="1" hidden="1" customHeight="1" spans="1:24">
      <c r="A2014" s="34"/>
      <c r="B2014" s="51"/>
      <c r="C2014" s="51"/>
      <c r="D2014" s="52"/>
      <c r="E2014" s="53"/>
      <c r="F2014" s="54"/>
      <c r="G2014" s="54"/>
      <c r="H2014" s="54"/>
      <c r="I2014" s="66"/>
      <c r="J2014" s="54"/>
      <c r="K2014" s="54"/>
      <c r="L2014" s="54"/>
      <c r="M2014" s="97" t="str">
        <f t="shared" si="177"/>
        <v/>
      </c>
      <c r="N2014" s="70"/>
      <c r="O2014" s="71" t="str">
        <f t="shared" si="181"/>
        <v/>
      </c>
      <c r="P2014" s="66"/>
      <c r="Q2014" s="66"/>
      <c r="R2014" s="54"/>
      <c r="S2014" s="82"/>
      <c r="T2014" s="83" t="str">
        <f t="shared" si="178"/>
        <v/>
      </c>
      <c r="U2014" s="10"/>
      <c r="V2014" s="41">
        <f>IF(AND(Q2014&lt;&gt;"",RIGHT(Q2014,3)&lt;&gt;""),IF(COUNTIF($Q$6:Q2014,Q2014)=1,1,0),0)</f>
        <v>0</v>
      </c>
      <c r="W2014" s="41" t="str">
        <f t="shared" si="179"/>
        <v/>
      </c>
      <c r="X2014" s="41" t="str">
        <f t="shared" si="180"/>
        <v/>
      </c>
    </row>
    <row r="2015" s="32" customFormat="1" hidden="1" customHeight="1" spans="1:24">
      <c r="A2015" s="34"/>
      <c r="B2015" s="51"/>
      <c r="C2015" s="51"/>
      <c r="D2015" s="52"/>
      <c r="E2015" s="53"/>
      <c r="F2015" s="54"/>
      <c r="G2015" s="54"/>
      <c r="H2015" s="54"/>
      <c r="I2015" s="66"/>
      <c r="J2015" s="54"/>
      <c r="K2015" s="54"/>
      <c r="L2015" s="54"/>
      <c r="M2015" s="97" t="str">
        <f t="shared" si="177"/>
        <v/>
      </c>
      <c r="N2015" s="70"/>
      <c r="O2015" s="71" t="str">
        <f t="shared" si="181"/>
        <v/>
      </c>
      <c r="P2015" s="66"/>
      <c r="Q2015" s="66"/>
      <c r="R2015" s="54"/>
      <c r="S2015" s="82"/>
      <c r="T2015" s="83" t="str">
        <f t="shared" si="178"/>
        <v/>
      </c>
      <c r="U2015" s="10"/>
      <c r="V2015" s="41">
        <f>IF(AND(Q2015&lt;&gt;"",RIGHT(Q2015,3)&lt;&gt;""),IF(COUNTIF($Q$6:Q2015,Q2015)=1,1,0),0)</f>
        <v>0</v>
      </c>
      <c r="W2015" s="41" t="str">
        <f t="shared" si="179"/>
        <v/>
      </c>
      <c r="X2015" s="41" t="str">
        <f t="shared" si="180"/>
        <v/>
      </c>
    </row>
    <row r="2016" s="32" customFormat="1" hidden="1" customHeight="1" spans="1:24">
      <c r="A2016" s="34"/>
      <c r="B2016" s="51"/>
      <c r="C2016" s="51"/>
      <c r="D2016" s="52"/>
      <c r="E2016" s="53"/>
      <c r="F2016" s="54"/>
      <c r="G2016" s="54"/>
      <c r="H2016" s="54"/>
      <c r="I2016" s="66"/>
      <c r="J2016" s="54"/>
      <c r="K2016" s="54"/>
      <c r="L2016" s="54"/>
      <c r="M2016" s="97" t="str">
        <f t="shared" si="177"/>
        <v/>
      </c>
      <c r="N2016" s="70"/>
      <c r="O2016" s="71" t="str">
        <f t="shared" si="181"/>
        <v/>
      </c>
      <c r="P2016" s="66"/>
      <c r="Q2016" s="66"/>
      <c r="R2016" s="54"/>
      <c r="S2016" s="82"/>
      <c r="T2016" s="83" t="str">
        <f t="shared" si="178"/>
        <v/>
      </c>
      <c r="U2016" s="10"/>
      <c r="V2016" s="41">
        <f>IF(AND(Q2016&lt;&gt;"",RIGHT(Q2016,3)&lt;&gt;""),IF(COUNTIF($Q$6:Q2016,Q2016)=1,1,0),0)</f>
        <v>0</v>
      </c>
      <c r="W2016" s="41" t="str">
        <f t="shared" si="179"/>
        <v/>
      </c>
      <c r="X2016" s="41" t="str">
        <f t="shared" si="180"/>
        <v/>
      </c>
    </row>
    <row r="2017" s="32" customFormat="1" hidden="1" customHeight="1" spans="1:24">
      <c r="A2017" s="34"/>
      <c r="B2017" s="51"/>
      <c r="C2017" s="51"/>
      <c r="D2017" s="52"/>
      <c r="E2017" s="53"/>
      <c r="F2017" s="54"/>
      <c r="G2017" s="54"/>
      <c r="H2017" s="54"/>
      <c r="I2017" s="66"/>
      <c r="J2017" s="54"/>
      <c r="K2017" s="54"/>
      <c r="L2017" s="54"/>
      <c r="M2017" s="97" t="str">
        <f t="shared" si="177"/>
        <v/>
      </c>
      <c r="N2017" s="70"/>
      <c r="O2017" s="71" t="str">
        <f t="shared" si="181"/>
        <v/>
      </c>
      <c r="P2017" s="66"/>
      <c r="Q2017" s="66"/>
      <c r="R2017" s="54"/>
      <c r="S2017" s="82"/>
      <c r="T2017" s="83" t="str">
        <f t="shared" si="178"/>
        <v/>
      </c>
      <c r="U2017" s="10"/>
      <c r="V2017" s="41">
        <f>IF(AND(Q2017&lt;&gt;"",RIGHT(Q2017,3)&lt;&gt;""),IF(COUNTIF($Q$6:Q2017,Q2017)=1,1,0),0)</f>
        <v>0</v>
      </c>
      <c r="W2017" s="41" t="str">
        <f t="shared" si="179"/>
        <v/>
      </c>
      <c r="X2017" s="41" t="str">
        <f t="shared" si="180"/>
        <v/>
      </c>
    </row>
    <row r="2018" s="32" customFormat="1" hidden="1" customHeight="1" spans="1:24">
      <c r="A2018" s="34"/>
      <c r="B2018" s="51"/>
      <c r="C2018" s="51"/>
      <c r="D2018" s="52"/>
      <c r="E2018" s="53"/>
      <c r="F2018" s="54"/>
      <c r="G2018" s="54"/>
      <c r="H2018" s="54"/>
      <c r="I2018" s="66"/>
      <c r="J2018" s="54"/>
      <c r="K2018" s="54"/>
      <c r="L2018" s="54"/>
      <c r="M2018" s="97" t="str">
        <f t="shared" si="177"/>
        <v/>
      </c>
      <c r="N2018" s="70"/>
      <c r="O2018" s="71" t="str">
        <f t="shared" si="181"/>
        <v/>
      </c>
      <c r="P2018" s="66"/>
      <c r="Q2018" s="66"/>
      <c r="R2018" s="54"/>
      <c r="S2018" s="82"/>
      <c r="T2018" s="83" t="str">
        <f t="shared" si="178"/>
        <v/>
      </c>
      <c r="U2018" s="10"/>
      <c r="V2018" s="41">
        <f>IF(AND(Q2018&lt;&gt;"",RIGHT(Q2018,3)&lt;&gt;""),IF(COUNTIF($Q$6:Q2018,Q2018)=1,1,0),0)</f>
        <v>0</v>
      </c>
      <c r="W2018" s="41" t="str">
        <f t="shared" si="179"/>
        <v/>
      </c>
      <c r="X2018" s="41" t="str">
        <f t="shared" si="180"/>
        <v/>
      </c>
    </row>
    <row r="2019" s="32" customFormat="1" hidden="1" customHeight="1" spans="1:24">
      <c r="A2019" s="34"/>
      <c r="B2019" s="51"/>
      <c r="C2019" s="51"/>
      <c r="D2019" s="52"/>
      <c r="E2019" s="53"/>
      <c r="F2019" s="54"/>
      <c r="G2019" s="54"/>
      <c r="H2019" s="54"/>
      <c r="I2019" s="66"/>
      <c r="J2019" s="54"/>
      <c r="K2019" s="54"/>
      <c r="L2019" s="54"/>
      <c r="M2019" s="97" t="str">
        <f t="shared" si="177"/>
        <v/>
      </c>
      <c r="N2019" s="70"/>
      <c r="O2019" s="71" t="str">
        <f t="shared" si="181"/>
        <v/>
      </c>
      <c r="P2019" s="66"/>
      <c r="Q2019" s="66"/>
      <c r="R2019" s="54"/>
      <c r="S2019" s="82"/>
      <c r="T2019" s="83" t="str">
        <f t="shared" si="178"/>
        <v/>
      </c>
      <c r="U2019" s="10"/>
      <c r="V2019" s="41">
        <f>IF(AND(Q2019&lt;&gt;"",RIGHT(Q2019,3)&lt;&gt;""),IF(COUNTIF($Q$6:Q2019,Q2019)=1,1,0),0)</f>
        <v>0</v>
      </c>
      <c r="W2019" s="41" t="str">
        <f t="shared" si="179"/>
        <v/>
      </c>
      <c r="X2019" s="41" t="str">
        <f t="shared" si="180"/>
        <v/>
      </c>
    </row>
    <row r="2020" s="32" customFormat="1" hidden="1" customHeight="1" spans="1:24">
      <c r="A2020" s="34"/>
      <c r="B2020" s="51"/>
      <c r="C2020" s="51"/>
      <c r="D2020" s="52"/>
      <c r="E2020" s="53"/>
      <c r="F2020" s="54"/>
      <c r="G2020" s="54"/>
      <c r="H2020" s="54"/>
      <c r="I2020" s="66"/>
      <c r="J2020" s="54"/>
      <c r="K2020" s="54"/>
      <c r="L2020" s="54"/>
      <c r="M2020" s="97" t="str">
        <f t="shared" ref="M2020:M2083" si="182">IF(L2020="","",HYPERLINK(_xlfn.CONCAT($L$4,L2020,".jpg"),"Open File"))</f>
        <v/>
      </c>
      <c r="N2020" s="70"/>
      <c r="O2020" s="71" t="str">
        <f t="shared" si="181"/>
        <v/>
      </c>
      <c r="P2020" s="66"/>
      <c r="Q2020" s="66"/>
      <c r="R2020" s="54"/>
      <c r="S2020" s="82"/>
      <c r="T2020" s="83" t="str">
        <f t="shared" ref="T2020:T2083" si="183">IF(S2020="","",HYPERLINK(_xlfn.CONCAT($S$4,S2020,".jpg"),"Open File"))</f>
        <v/>
      </c>
      <c r="U2020" s="10"/>
      <c r="V2020" s="41">
        <f>IF(AND(Q2020&lt;&gt;"",RIGHT(Q2020,3)&lt;&gt;""),IF(COUNTIF($Q$6:Q2020,Q2020)=1,1,0),0)</f>
        <v>0</v>
      </c>
      <c r="W2020" s="41" t="str">
        <f t="shared" ref="W2020:W2083" si="184">IF(AND(J2020&lt;&gt;"",K2020&lt;&gt;""),_xlfn.CONCAT(SUBSTITUTE(J2020,"/","."),"-",K2020),"")</f>
        <v/>
      </c>
      <c r="X2020" s="41" t="str">
        <f t="shared" ref="X2020:X2083" si="185">IF(AND(Q2020&lt;&gt;"",R2020&lt;&gt;""),_xlfn.CONCAT(SUBSTITUTE(Q2020,"/","."),"-",R2020),"")</f>
        <v/>
      </c>
    </row>
    <row r="2021" s="32" customFormat="1" hidden="1" customHeight="1" spans="1:24">
      <c r="A2021" s="34"/>
      <c r="B2021" s="51"/>
      <c r="C2021" s="51"/>
      <c r="D2021" s="52"/>
      <c r="E2021" s="53"/>
      <c r="F2021" s="54"/>
      <c r="G2021" s="54"/>
      <c r="H2021" s="54"/>
      <c r="I2021" s="66"/>
      <c r="J2021" s="54"/>
      <c r="K2021" s="54"/>
      <c r="L2021" s="54"/>
      <c r="M2021" s="97" t="str">
        <f t="shared" si="182"/>
        <v/>
      </c>
      <c r="N2021" s="70"/>
      <c r="O2021" s="71" t="str">
        <f t="shared" si="181"/>
        <v/>
      </c>
      <c r="P2021" s="66"/>
      <c r="Q2021" s="66"/>
      <c r="R2021" s="54"/>
      <c r="S2021" s="82"/>
      <c r="T2021" s="83" t="str">
        <f t="shared" si="183"/>
        <v/>
      </c>
      <c r="U2021" s="10"/>
      <c r="V2021" s="41">
        <f>IF(AND(Q2021&lt;&gt;"",RIGHT(Q2021,3)&lt;&gt;""),IF(COUNTIF($Q$6:Q2021,Q2021)=1,1,0),0)</f>
        <v>0</v>
      </c>
      <c r="W2021" s="41" t="str">
        <f t="shared" si="184"/>
        <v/>
      </c>
      <c r="X2021" s="41" t="str">
        <f t="shared" si="185"/>
        <v/>
      </c>
    </row>
    <row r="2022" s="32" customFormat="1" hidden="1" customHeight="1" spans="1:24">
      <c r="A2022" s="34"/>
      <c r="B2022" s="51"/>
      <c r="C2022" s="51"/>
      <c r="D2022" s="52"/>
      <c r="E2022" s="53"/>
      <c r="F2022" s="54"/>
      <c r="G2022" s="54"/>
      <c r="H2022" s="54"/>
      <c r="I2022" s="66"/>
      <c r="J2022" s="54"/>
      <c r="K2022" s="54"/>
      <c r="L2022" s="54"/>
      <c r="M2022" s="97" t="str">
        <f t="shared" si="182"/>
        <v/>
      </c>
      <c r="N2022" s="70"/>
      <c r="O2022" s="71" t="str">
        <f t="shared" si="181"/>
        <v/>
      </c>
      <c r="P2022" s="66"/>
      <c r="Q2022" s="66"/>
      <c r="R2022" s="54"/>
      <c r="S2022" s="82"/>
      <c r="T2022" s="83" t="str">
        <f t="shared" si="183"/>
        <v/>
      </c>
      <c r="U2022" s="10"/>
      <c r="V2022" s="41">
        <f>IF(AND(Q2022&lt;&gt;"",RIGHT(Q2022,3)&lt;&gt;""),IF(COUNTIF($Q$6:Q2022,Q2022)=1,1,0),0)</f>
        <v>0</v>
      </c>
      <c r="W2022" s="41" t="str">
        <f t="shared" si="184"/>
        <v/>
      </c>
      <c r="X2022" s="41" t="str">
        <f t="shared" si="185"/>
        <v/>
      </c>
    </row>
    <row r="2023" s="32" customFormat="1" hidden="1" customHeight="1" spans="1:24">
      <c r="A2023" s="34"/>
      <c r="B2023" s="51"/>
      <c r="C2023" s="51"/>
      <c r="D2023" s="52"/>
      <c r="E2023" s="53"/>
      <c r="F2023" s="54"/>
      <c r="G2023" s="54"/>
      <c r="H2023" s="54"/>
      <c r="I2023" s="66"/>
      <c r="J2023" s="54"/>
      <c r="K2023" s="54"/>
      <c r="L2023" s="54"/>
      <c r="M2023" s="97" t="str">
        <f t="shared" si="182"/>
        <v/>
      </c>
      <c r="N2023" s="70"/>
      <c r="O2023" s="71" t="str">
        <f t="shared" si="181"/>
        <v/>
      </c>
      <c r="P2023" s="66"/>
      <c r="Q2023" s="66"/>
      <c r="R2023" s="54"/>
      <c r="S2023" s="82"/>
      <c r="T2023" s="83" t="str">
        <f t="shared" si="183"/>
        <v/>
      </c>
      <c r="U2023" s="10"/>
      <c r="V2023" s="41">
        <f>IF(AND(Q2023&lt;&gt;"",RIGHT(Q2023,3)&lt;&gt;""),IF(COUNTIF($Q$6:Q2023,Q2023)=1,1,0),0)</f>
        <v>0</v>
      </c>
      <c r="W2023" s="41" t="str">
        <f t="shared" si="184"/>
        <v/>
      </c>
      <c r="X2023" s="41" t="str">
        <f t="shared" si="185"/>
        <v/>
      </c>
    </row>
    <row r="2024" s="32" customFormat="1" hidden="1" customHeight="1" spans="1:24">
      <c r="A2024" s="34"/>
      <c r="B2024" s="51"/>
      <c r="C2024" s="51"/>
      <c r="D2024" s="52"/>
      <c r="E2024" s="53"/>
      <c r="F2024" s="54"/>
      <c r="G2024" s="54"/>
      <c r="H2024" s="54"/>
      <c r="I2024" s="66"/>
      <c r="J2024" s="54"/>
      <c r="K2024" s="54"/>
      <c r="L2024" s="54"/>
      <c r="M2024" s="97" t="str">
        <f t="shared" si="182"/>
        <v/>
      </c>
      <c r="N2024" s="70"/>
      <c r="O2024" s="71" t="str">
        <f t="shared" si="181"/>
        <v/>
      </c>
      <c r="P2024" s="66"/>
      <c r="Q2024" s="66"/>
      <c r="R2024" s="54"/>
      <c r="S2024" s="82"/>
      <c r="T2024" s="83" t="str">
        <f t="shared" si="183"/>
        <v/>
      </c>
      <c r="U2024" s="10"/>
      <c r="V2024" s="41">
        <f>IF(AND(Q2024&lt;&gt;"",RIGHT(Q2024,3)&lt;&gt;""),IF(COUNTIF($Q$6:Q2024,Q2024)=1,1,0),0)</f>
        <v>0</v>
      </c>
      <c r="W2024" s="41" t="str">
        <f t="shared" si="184"/>
        <v/>
      </c>
      <c r="X2024" s="41" t="str">
        <f t="shared" si="185"/>
        <v/>
      </c>
    </row>
    <row r="2025" s="32" customFormat="1" hidden="1" customHeight="1" spans="1:24">
      <c r="A2025" s="34"/>
      <c r="B2025" s="51"/>
      <c r="C2025" s="51"/>
      <c r="D2025" s="52"/>
      <c r="E2025" s="53"/>
      <c r="F2025" s="54"/>
      <c r="G2025" s="54"/>
      <c r="H2025" s="54"/>
      <c r="I2025" s="66"/>
      <c r="J2025" s="54"/>
      <c r="K2025" s="54"/>
      <c r="L2025" s="54"/>
      <c r="M2025" s="97" t="str">
        <f t="shared" si="182"/>
        <v/>
      </c>
      <c r="N2025" s="70"/>
      <c r="O2025" s="71" t="str">
        <f t="shared" si="181"/>
        <v/>
      </c>
      <c r="P2025" s="66"/>
      <c r="Q2025" s="66"/>
      <c r="R2025" s="54"/>
      <c r="S2025" s="82"/>
      <c r="T2025" s="83" t="str">
        <f t="shared" si="183"/>
        <v/>
      </c>
      <c r="U2025" s="10"/>
      <c r="V2025" s="41">
        <f>IF(AND(Q2025&lt;&gt;"",RIGHT(Q2025,3)&lt;&gt;""),IF(COUNTIF($Q$6:Q2025,Q2025)=1,1,0),0)</f>
        <v>0</v>
      </c>
      <c r="W2025" s="41" t="str">
        <f t="shared" si="184"/>
        <v/>
      </c>
      <c r="X2025" s="41" t="str">
        <f t="shared" si="185"/>
        <v/>
      </c>
    </row>
    <row r="2026" s="32" customFormat="1" hidden="1" customHeight="1" spans="1:24">
      <c r="A2026" s="34"/>
      <c r="B2026" s="51"/>
      <c r="C2026" s="51"/>
      <c r="D2026" s="52"/>
      <c r="E2026" s="53"/>
      <c r="F2026" s="54"/>
      <c r="G2026" s="54"/>
      <c r="H2026" s="54"/>
      <c r="I2026" s="66"/>
      <c r="J2026" s="54"/>
      <c r="K2026" s="54"/>
      <c r="L2026" s="54"/>
      <c r="M2026" s="97" t="str">
        <f t="shared" si="182"/>
        <v/>
      </c>
      <c r="N2026" s="70"/>
      <c r="O2026" s="71" t="str">
        <f t="shared" si="181"/>
        <v/>
      </c>
      <c r="P2026" s="66"/>
      <c r="Q2026" s="66"/>
      <c r="R2026" s="54"/>
      <c r="S2026" s="82"/>
      <c r="T2026" s="83" t="str">
        <f t="shared" si="183"/>
        <v/>
      </c>
      <c r="U2026" s="10"/>
      <c r="V2026" s="41">
        <f>IF(AND(Q2026&lt;&gt;"",RIGHT(Q2026,3)&lt;&gt;""),IF(COUNTIF($Q$6:Q2026,Q2026)=1,1,0),0)</f>
        <v>0</v>
      </c>
      <c r="W2026" s="41" t="str">
        <f t="shared" si="184"/>
        <v/>
      </c>
      <c r="X2026" s="41" t="str">
        <f t="shared" si="185"/>
        <v/>
      </c>
    </row>
    <row r="2027" s="32" customFormat="1" hidden="1" customHeight="1" spans="1:24">
      <c r="A2027" s="34"/>
      <c r="B2027" s="51"/>
      <c r="C2027" s="51"/>
      <c r="D2027" s="52"/>
      <c r="E2027" s="53"/>
      <c r="F2027" s="54"/>
      <c r="G2027" s="54"/>
      <c r="H2027" s="54"/>
      <c r="I2027" s="66"/>
      <c r="J2027" s="54"/>
      <c r="K2027" s="54"/>
      <c r="L2027" s="54"/>
      <c r="M2027" s="97" t="str">
        <f t="shared" si="182"/>
        <v/>
      </c>
      <c r="N2027" s="70"/>
      <c r="O2027" s="71" t="str">
        <f t="shared" si="181"/>
        <v/>
      </c>
      <c r="P2027" s="66"/>
      <c r="Q2027" s="66"/>
      <c r="R2027" s="54"/>
      <c r="S2027" s="82"/>
      <c r="T2027" s="83" t="str">
        <f t="shared" si="183"/>
        <v/>
      </c>
      <c r="U2027" s="10"/>
      <c r="V2027" s="41">
        <f>IF(AND(Q2027&lt;&gt;"",RIGHT(Q2027,3)&lt;&gt;""),IF(COUNTIF($Q$6:Q2027,Q2027)=1,1,0),0)</f>
        <v>0</v>
      </c>
      <c r="W2027" s="41" t="str">
        <f t="shared" si="184"/>
        <v/>
      </c>
      <c r="X2027" s="41" t="str">
        <f t="shared" si="185"/>
        <v/>
      </c>
    </row>
    <row r="2028" s="32" customFormat="1" hidden="1" customHeight="1" spans="1:24">
      <c r="A2028" s="34"/>
      <c r="B2028" s="51"/>
      <c r="C2028" s="51"/>
      <c r="D2028" s="52"/>
      <c r="E2028" s="53"/>
      <c r="F2028" s="54"/>
      <c r="G2028" s="54"/>
      <c r="H2028" s="54"/>
      <c r="I2028" s="66"/>
      <c r="J2028" s="54"/>
      <c r="K2028" s="54"/>
      <c r="L2028" s="54"/>
      <c r="M2028" s="97" t="str">
        <f t="shared" si="182"/>
        <v/>
      </c>
      <c r="N2028" s="70"/>
      <c r="O2028" s="71" t="str">
        <f t="shared" si="181"/>
        <v/>
      </c>
      <c r="P2028" s="66"/>
      <c r="Q2028" s="66"/>
      <c r="R2028" s="54"/>
      <c r="S2028" s="82"/>
      <c r="T2028" s="83" t="str">
        <f t="shared" si="183"/>
        <v/>
      </c>
      <c r="U2028" s="10"/>
      <c r="V2028" s="41">
        <f>IF(AND(Q2028&lt;&gt;"",RIGHT(Q2028,3)&lt;&gt;""),IF(COUNTIF($Q$6:Q2028,Q2028)=1,1,0),0)</f>
        <v>0</v>
      </c>
      <c r="W2028" s="41" t="str">
        <f t="shared" si="184"/>
        <v/>
      </c>
      <c r="X2028" s="41" t="str">
        <f t="shared" si="185"/>
        <v/>
      </c>
    </row>
    <row r="2029" s="32" customFormat="1" hidden="1" customHeight="1" spans="1:24">
      <c r="A2029" s="34"/>
      <c r="B2029" s="51"/>
      <c r="C2029" s="51"/>
      <c r="D2029" s="52"/>
      <c r="E2029" s="53"/>
      <c r="F2029" s="54"/>
      <c r="G2029" s="54"/>
      <c r="H2029" s="54"/>
      <c r="I2029" s="66"/>
      <c r="J2029" s="54"/>
      <c r="K2029" s="54"/>
      <c r="L2029" s="54"/>
      <c r="M2029" s="97" t="str">
        <f t="shared" si="182"/>
        <v/>
      </c>
      <c r="N2029" s="70"/>
      <c r="O2029" s="71" t="str">
        <f t="shared" si="181"/>
        <v/>
      </c>
      <c r="P2029" s="66"/>
      <c r="Q2029" s="66"/>
      <c r="R2029" s="54"/>
      <c r="S2029" s="82"/>
      <c r="T2029" s="83" t="str">
        <f t="shared" si="183"/>
        <v/>
      </c>
      <c r="U2029" s="10"/>
      <c r="V2029" s="41">
        <f>IF(AND(Q2029&lt;&gt;"",RIGHT(Q2029,3)&lt;&gt;""),IF(COUNTIF($Q$6:Q2029,Q2029)=1,1,0),0)</f>
        <v>0</v>
      </c>
      <c r="W2029" s="41" t="str">
        <f t="shared" si="184"/>
        <v/>
      </c>
      <c r="X2029" s="41" t="str">
        <f t="shared" si="185"/>
        <v/>
      </c>
    </row>
    <row r="2030" s="32" customFormat="1" hidden="1" customHeight="1" spans="1:24">
      <c r="A2030" s="34"/>
      <c r="B2030" s="51"/>
      <c r="C2030" s="51"/>
      <c r="D2030" s="52"/>
      <c r="E2030" s="53"/>
      <c r="F2030" s="54"/>
      <c r="G2030" s="54"/>
      <c r="H2030" s="54"/>
      <c r="I2030" s="66"/>
      <c r="J2030" s="54"/>
      <c r="K2030" s="54"/>
      <c r="L2030" s="54"/>
      <c r="M2030" s="97" t="str">
        <f t="shared" si="182"/>
        <v/>
      </c>
      <c r="N2030" s="70"/>
      <c r="O2030" s="71" t="str">
        <f t="shared" si="181"/>
        <v/>
      </c>
      <c r="P2030" s="66"/>
      <c r="Q2030" s="66"/>
      <c r="R2030" s="54"/>
      <c r="S2030" s="82"/>
      <c r="T2030" s="83" t="str">
        <f t="shared" si="183"/>
        <v/>
      </c>
      <c r="U2030" s="10"/>
      <c r="V2030" s="41">
        <f>IF(AND(Q2030&lt;&gt;"",RIGHT(Q2030,3)&lt;&gt;""),IF(COUNTIF($Q$6:Q2030,Q2030)=1,1,0),0)</f>
        <v>0</v>
      </c>
      <c r="W2030" s="41" t="str">
        <f t="shared" si="184"/>
        <v/>
      </c>
      <c r="X2030" s="41" t="str">
        <f t="shared" si="185"/>
        <v/>
      </c>
    </row>
    <row r="2031" s="32" customFormat="1" hidden="1" customHeight="1" spans="1:24">
      <c r="A2031" s="34"/>
      <c r="B2031" s="51"/>
      <c r="C2031" s="51"/>
      <c r="D2031" s="52"/>
      <c r="E2031" s="53"/>
      <c r="F2031" s="54"/>
      <c r="G2031" s="54"/>
      <c r="H2031" s="54"/>
      <c r="I2031" s="66"/>
      <c r="J2031" s="54"/>
      <c r="K2031" s="54"/>
      <c r="L2031" s="54"/>
      <c r="M2031" s="97" t="str">
        <f t="shared" si="182"/>
        <v/>
      </c>
      <c r="N2031" s="70"/>
      <c r="O2031" s="71" t="str">
        <f t="shared" si="181"/>
        <v/>
      </c>
      <c r="P2031" s="66"/>
      <c r="Q2031" s="66"/>
      <c r="R2031" s="54"/>
      <c r="S2031" s="82"/>
      <c r="T2031" s="83" t="str">
        <f t="shared" si="183"/>
        <v/>
      </c>
      <c r="U2031" s="10"/>
      <c r="V2031" s="41">
        <f>IF(AND(Q2031&lt;&gt;"",RIGHT(Q2031,3)&lt;&gt;""),IF(COUNTIF($Q$6:Q2031,Q2031)=1,1,0),0)</f>
        <v>0</v>
      </c>
      <c r="W2031" s="41" t="str">
        <f t="shared" si="184"/>
        <v/>
      </c>
      <c r="X2031" s="41" t="str">
        <f t="shared" si="185"/>
        <v/>
      </c>
    </row>
    <row r="2032" s="32" customFormat="1" hidden="1" customHeight="1" spans="1:24">
      <c r="A2032" s="34"/>
      <c r="B2032" s="51"/>
      <c r="C2032" s="51"/>
      <c r="D2032" s="52"/>
      <c r="E2032" s="53"/>
      <c r="F2032" s="54"/>
      <c r="G2032" s="54"/>
      <c r="H2032" s="54"/>
      <c r="I2032" s="66"/>
      <c r="J2032" s="54"/>
      <c r="K2032" s="54"/>
      <c r="L2032" s="54"/>
      <c r="M2032" s="97" t="str">
        <f t="shared" si="182"/>
        <v/>
      </c>
      <c r="N2032" s="70"/>
      <c r="O2032" s="71" t="str">
        <f t="shared" si="181"/>
        <v/>
      </c>
      <c r="P2032" s="66"/>
      <c r="Q2032" s="66"/>
      <c r="R2032" s="54"/>
      <c r="S2032" s="82"/>
      <c r="T2032" s="83" t="str">
        <f t="shared" si="183"/>
        <v/>
      </c>
      <c r="U2032" s="10"/>
      <c r="V2032" s="41">
        <f>IF(AND(Q2032&lt;&gt;"",RIGHT(Q2032,3)&lt;&gt;""),IF(COUNTIF($Q$6:Q2032,Q2032)=1,1,0),0)</f>
        <v>0</v>
      </c>
      <c r="W2032" s="41" t="str">
        <f t="shared" si="184"/>
        <v/>
      </c>
      <c r="X2032" s="41" t="str">
        <f t="shared" si="185"/>
        <v/>
      </c>
    </row>
    <row r="2033" s="32" customFormat="1" hidden="1" customHeight="1" spans="1:24">
      <c r="A2033" s="34"/>
      <c r="B2033" s="51"/>
      <c r="C2033" s="51"/>
      <c r="D2033" s="52"/>
      <c r="E2033" s="53"/>
      <c r="F2033" s="54"/>
      <c r="G2033" s="54"/>
      <c r="H2033" s="54"/>
      <c r="I2033" s="66"/>
      <c r="J2033" s="54"/>
      <c r="K2033" s="54"/>
      <c r="L2033" s="54"/>
      <c r="M2033" s="97" t="str">
        <f t="shared" si="182"/>
        <v/>
      </c>
      <c r="N2033" s="70"/>
      <c r="O2033" s="71" t="str">
        <f t="shared" ref="O2033:O2096" si="186">IF(AND(Q2033&lt;&gt;"",T2033&lt;&gt;""),"PASSIVE",IF(AND(J2033&lt;&gt;"",M2033&lt;&gt;""),"ACTIVE",""))</f>
        <v/>
      </c>
      <c r="P2033" s="66"/>
      <c r="Q2033" s="66"/>
      <c r="R2033" s="54"/>
      <c r="S2033" s="82"/>
      <c r="T2033" s="83" t="str">
        <f t="shared" si="183"/>
        <v/>
      </c>
      <c r="U2033" s="10"/>
      <c r="V2033" s="41">
        <f>IF(AND(Q2033&lt;&gt;"",RIGHT(Q2033,3)&lt;&gt;""),IF(COUNTIF($Q$6:Q2033,Q2033)=1,1,0),0)</f>
        <v>0</v>
      </c>
      <c r="W2033" s="41" t="str">
        <f t="shared" si="184"/>
        <v/>
      </c>
      <c r="X2033" s="41" t="str">
        <f t="shared" si="185"/>
        <v/>
      </c>
    </row>
    <row r="2034" s="32" customFormat="1" hidden="1" customHeight="1" spans="1:24">
      <c r="A2034" s="34"/>
      <c r="B2034" s="51"/>
      <c r="C2034" s="51"/>
      <c r="D2034" s="52"/>
      <c r="E2034" s="53"/>
      <c r="F2034" s="54"/>
      <c r="G2034" s="54"/>
      <c r="H2034" s="54"/>
      <c r="I2034" s="66"/>
      <c r="J2034" s="54"/>
      <c r="K2034" s="54"/>
      <c r="L2034" s="54"/>
      <c r="M2034" s="97" t="str">
        <f t="shared" si="182"/>
        <v/>
      </c>
      <c r="N2034" s="70"/>
      <c r="O2034" s="71" t="str">
        <f t="shared" si="186"/>
        <v/>
      </c>
      <c r="P2034" s="66"/>
      <c r="Q2034" s="66"/>
      <c r="R2034" s="54"/>
      <c r="S2034" s="82"/>
      <c r="T2034" s="83" t="str">
        <f t="shared" si="183"/>
        <v/>
      </c>
      <c r="U2034" s="10"/>
      <c r="V2034" s="41">
        <f>IF(AND(Q2034&lt;&gt;"",RIGHT(Q2034,3)&lt;&gt;""),IF(COUNTIF($Q$6:Q2034,Q2034)=1,1,0),0)</f>
        <v>0</v>
      </c>
      <c r="W2034" s="41" t="str">
        <f t="shared" si="184"/>
        <v/>
      </c>
      <c r="X2034" s="41" t="str">
        <f t="shared" si="185"/>
        <v/>
      </c>
    </row>
    <row r="2035" s="32" customFormat="1" hidden="1" customHeight="1" spans="1:24">
      <c r="A2035" s="34"/>
      <c r="B2035" s="51"/>
      <c r="C2035" s="51"/>
      <c r="D2035" s="52"/>
      <c r="E2035" s="53"/>
      <c r="F2035" s="54"/>
      <c r="G2035" s="54"/>
      <c r="H2035" s="54"/>
      <c r="I2035" s="66"/>
      <c r="J2035" s="54"/>
      <c r="K2035" s="54"/>
      <c r="L2035" s="54"/>
      <c r="M2035" s="97" t="str">
        <f t="shared" si="182"/>
        <v/>
      </c>
      <c r="N2035" s="70"/>
      <c r="O2035" s="71" t="str">
        <f t="shared" si="186"/>
        <v/>
      </c>
      <c r="P2035" s="66"/>
      <c r="Q2035" s="66"/>
      <c r="R2035" s="54"/>
      <c r="S2035" s="82"/>
      <c r="T2035" s="83" t="str">
        <f t="shared" si="183"/>
        <v/>
      </c>
      <c r="U2035" s="10"/>
      <c r="V2035" s="41">
        <f>IF(AND(Q2035&lt;&gt;"",RIGHT(Q2035,3)&lt;&gt;""),IF(COUNTIF($Q$6:Q2035,Q2035)=1,1,0),0)</f>
        <v>0</v>
      </c>
      <c r="W2035" s="41" t="str">
        <f t="shared" si="184"/>
        <v/>
      </c>
      <c r="X2035" s="41" t="str">
        <f t="shared" si="185"/>
        <v/>
      </c>
    </row>
    <row r="2036" s="32" customFormat="1" hidden="1" customHeight="1" spans="1:24">
      <c r="A2036" s="34"/>
      <c r="B2036" s="51"/>
      <c r="C2036" s="51"/>
      <c r="D2036" s="52"/>
      <c r="E2036" s="53"/>
      <c r="F2036" s="54"/>
      <c r="G2036" s="54"/>
      <c r="H2036" s="54"/>
      <c r="I2036" s="66"/>
      <c r="J2036" s="54"/>
      <c r="K2036" s="54"/>
      <c r="L2036" s="54"/>
      <c r="M2036" s="97" t="str">
        <f t="shared" si="182"/>
        <v/>
      </c>
      <c r="N2036" s="70"/>
      <c r="O2036" s="71" t="str">
        <f t="shared" si="186"/>
        <v/>
      </c>
      <c r="P2036" s="66"/>
      <c r="Q2036" s="66"/>
      <c r="R2036" s="54"/>
      <c r="S2036" s="82"/>
      <c r="T2036" s="83" t="str">
        <f t="shared" si="183"/>
        <v/>
      </c>
      <c r="U2036" s="10"/>
      <c r="V2036" s="41">
        <f>IF(AND(Q2036&lt;&gt;"",RIGHT(Q2036,3)&lt;&gt;""),IF(COUNTIF($Q$6:Q2036,Q2036)=1,1,0),0)</f>
        <v>0</v>
      </c>
      <c r="W2036" s="41" t="str">
        <f t="shared" si="184"/>
        <v/>
      </c>
      <c r="X2036" s="41" t="str">
        <f t="shared" si="185"/>
        <v/>
      </c>
    </row>
    <row r="2037" s="32" customFormat="1" hidden="1" customHeight="1" spans="1:24">
      <c r="A2037" s="34"/>
      <c r="B2037" s="51"/>
      <c r="C2037" s="51"/>
      <c r="D2037" s="52"/>
      <c r="E2037" s="53"/>
      <c r="F2037" s="54"/>
      <c r="G2037" s="54"/>
      <c r="H2037" s="54"/>
      <c r="I2037" s="66"/>
      <c r="J2037" s="54"/>
      <c r="K2037" s="54"/>
      <c r="L2037" s="54"/>
      <c r="M2037" s="97" t="str">
        <f t="shared" si="182"/>
        <v/>
      </c>
      <c r="N2037" s="70"/>
      <c r="O2037" s="71" t="str">
        <f t="shared" si="186"/>
        <v/>
      </c>
      <c r="P2037" s="66"/>
      <c r="Q2037" s="66"/>
      <c r="R2037" s="54"/>
      <c r="S2037" s="82"/>
      <c r="T2037" s="83" t="str">
        <f t="shared" si="183"/>
        <v/>
      </c>
      <c r="U2037" s="10"/>
      <c r="V2037" s="41">
        <f>IF(AND(Q2037&lt;&gt;"",RIGHT(Q2037,3)&lt;&gt;""),IF(COUNTIF($Q$6:Q2037,Q2037)=1,1,0),0)</f>
        <v>0</v>
      </c>
      <c r="W2037" s="41" t="str">
        <f t="shared" si="184"/>
        <v/>
      </c>
      <c r="X2037" s="41" t="str">
        <f t="shared" si="185"/>
        <v/>
      </c>
    </row>
    <row r="2038" s="32" customFormat="1" hidden="1" customHeight="1" spans="1:24">
      <c r="A2038" s="34"/>
      <c r="B2038" s="51"/>
      <c r="C2038" s="51"/>
      <c r="D2038" s="52"/>
      <c r="E2038" s="53"/>
      <c r="F2038" s="54"/>
      <c r="G2038" s="54"/>
      <c r="H2038" s="54"/>
      <c r="I2038" s="66"/>
      <c r="J2038" s="54"/>
      <c r="K2038" s="54"/>
      <c r="L2038" s="54"/>
      <c r="M2038" s="97" t="str">
        <f t="shared" si="182"/>
        <v/>
      </c>
      <c r="N2038" s="70"/>
      <c r="O2038" s="71" t="str">
        <f t="shared" si="186"/>
        <v/>
      </c>
      <c r="P2038" s="66"/>
      <c r="Q2038" s="66"/>
      <c r="R2038" s="54"/>
      <c r="S2038" s="82"/>
      <c r="T2038" s="83" t="str">
        <f t="shared" si="183"/>
        <v/>
      </c>
      <c r="U2038" s="10"/>
      <c r="V2038" s="41">
        <f>IF(AND(Q2038&lt;&gt;"",RIGHT(Q2038,3)&lt;&gt;""),IF(COUNTIF($Q$6:Q2038,Q2038)=1,1,0),0)</f>
        <v>0</v>
      </c>
      <c r="W2038" s="41" t="str">
        <f t="shared" si="184"/>
        <v/>
      </c>
      <c r="X2038" s="41" t="str">
        <f t="shared" si="185"/>
        <v/>
      </c>
    </row>
    <row r="2039" s="32" customFormat="1" hidden="1" customHeight="1" spans="1:24">
      <c r="A2039" s="34"/>
      <c r="B2039" s="51"/>
      <c r="C2039" s="51"/>
      <c r="D2039" s="52"/>
      <c r="E2039" s="53"/>
      <c r="F2039" s="54"/>
      <c r="G2039" s="54"/>
      <c r="H2039" s="54"/>
      <c r="I2039" s="66"/>
      <c r="J2039" s="54"/>
      <c r="K2039" s="54"/>
      <c r="L2039" s="54"/>
      <c r="M2039" s="97" t="str">
        <f t="shared" si="182"/>
        <v/>
      </c>
      <c r="N2039" s="70"/>
      <c r="O2039" s="71" t="str">
        <f t="shared" si="186"/>
        <v/>
      </c>
      <c r="P2039" s="66"/>
      <c r="Q2039" s="66"/>
      <c r="R2039" s="54"/>
      <c r="S2039" s="82"/>
      <c r="T2039" s="83" t="str">
        <f t="shared" si="183"/>
        <v/>
      </c>
      <c r="U2039" s="10"/>
      <c r="V2039" s="41">
        <f>IF(AND(Q2039&lt;&gt;"",RIGHT(Q2039,3)&lt;&gt;""),IF(COUNTIF($Q$6:Q2039,Q2039)=1,1,0),0)</f>
        <v>0</v>
      </c>
      <c r="W2039" s="41" t="str">
        <f t="shared" si="184"/>
        <v/>
      </c>
      <c r="X2039" s="41" t="str">
        <f t="shared" si="185"/>
        <v/>
      </c>
    </row>
    <row r="2040" s="32" customFormat="1" hidden="1" customHeight="1" spans="1:24">
      <c r="A2040" s="34"/>
      <c r="B2040" s="51"/>
      <c r="C2040" s="51"/>
      <c r="D2040" s="52"/>
      <c r="E2040" s="53"/>
      <c r="F2040" s="54"/>
      <c r="G2040" s="54"/>
      <c r="H2040" s="54"/>
      <c r="I2040" s="66"/>
      <c r="J2040" s="54"/>
      <c r="K2040" s="54"/>
      <c r="L2040" s="54"/>
      <c r="M2040" s="97" t="str">
        <f t="shared" si="182"/>
        <v/>
      </c>
      <c r="N2040" s="70"/>
      <c r="O2040" s="71" t="str">
        <f t="shared" si="186"/>
        <v/>
      </c>
      <c r="P2040" s="66"/>
      <c r="Q2040" s="66"/>
      <c r="R2040" s="54"/>
      <c r="S2040" s="82"/>
      <c r="T2040" s="83" t="str">
        <f t="shared" si="183"/>
        <v/>
      </c>
      <c r="U2040" s="10"/>
      <c r="V2040" s="41">
        <f>IF(AND(Q2040&lt;&gt;"",RIGHT(Q2040,3)&lt;&gt;""),IF(COUNTIF($Q$6:Q2040,Q2040)=1,1,0),0)</f>
        <v>0</v>
      </c>
      <c r="W2040" s="41" t="str">
        <f t="shared" si="184"/>
        <v/>
      </c>
      <c r="X2040" s="41" t="str">
        <f t="shared" si="185"/>
        <v/>
      </c>
    </row>
    <row r="2041" s="32" customFormat="1" hidden="1" customHeight="1" spans="1:24">
      <c r="A2041" s="34"/>
      <c r="B2041" s="51"/>
      <c r="C2041" s="51"/>
      <c r="D2041" s="52"/>
      <c r="E2041" s="53"/>
      <c r="F2041" s="54"/>
      <c r="G2041" s="54"/>
      <c r="H2041" s="54"/>
      <c r="I2041" s="66"/>
      <c r="J2041" s="54"/>
      <c r="K2041" s="54"/>
      <c r="L2041" s="54"/>
      <c r="M2041" s="97" t="str">
        <f t="shared" si="182"/>
        <v/>
      </c>
      <c r="N2041" s="70"/>
      <c r="O2041" s="71" t="str">
        <f t="shared" si="186"/>
        <v/>
      </c>
      <c r="P2041" s="66"/>
      <c r="Q2041" s="66"/>
      <c r="R2041" s="54"/>
      <c r="S2041" s="82"/>
      <c r="T2041" s="83" t="str">
        <f t="shared" si="183"/>
        <v/>
      </c>
      <c r="U2041" s="10"/>
      <c r="V2041" s="41">
        <f>IF(AND(Q2041&lt;&gt;"",RIGHT(Q2041,3)&lt;&gt;""),IF(COUNTIF($Q$6:Q2041,Q2041)=1,1,0),0)</f>
        <v>0</v>
      </c>
      <c r="W2041" s="41" t="str">
        <f t="shared" si="184"/>
        <v/>
      </c>
      <c r="X2041" s="41" t="str">
        <f t="shared" si="185"/>
        <v/>
      </c>
    </row>
    <row r="2042" s="32" customFormat="1" hidden="1" customHeight="1" spans="1:24">
      <c r="A2042" s="34"/>
      <c r="B2042" s="51"/>
      <c r="C2042" s="51"/>
      <c r="D2042" s="52"/>
      <c r="E2042" s="53"/>
      <c r="F2042" s="54"/>
      <c r="G2042" s="54"/>
      <c r="H2042" s="54"/>
      <c r="I2042" s="66"/>
      <c r="J2042" s="54"/>
      <c r="K2042" s="54"/>
      <c r="L2042" s="54"/>
      <c r="M2042" s="97" t="str">
        <f t="shared" si="182"/>
        <v/>
      </c>
      <c r="N2042" s="70"/>
      <c r="O2042" s="71" t="str">
        <f t="shared" si="186"/>
        <v/>
      </c>
      <c r="P2042" s="66"/>
      <c r="Q2042" s="66"/>
      <c r="R2042" s="54"/>
      <c r="S2042" s="82"/>
      <c r="T2042" s="83" t="str">
        <f t="shared" si="183"/>
        <v/>
      </c>
      <c r="U2042" s="10"/>
      <c r="V2042" s="41">
        <f>IF(AND(Q2042&lt;&gt;"",RIGHT(Q2042,3)&lt;&gt;""),IF(COUNTIF($Q$6:Q2042,Q2042)=1,1,0),0)</f>
        <v>0</v>
      </c>
      <c r="W2042" s="41" t="str">
        <f t="shared" si="184"/>
        <v/>
      </c>
      <c r="X2042" s="41" t="str">
        <f t="shared" si="185"/>
        <v/>
      </c>
    </row>
    <row r="2043" s="32" customFormat="1" hidden="1" customHeight="1" spans="1:24">
      <c r="A2043" s="34"/>
      <c r="B2043" s="51"/>
      <c r="C2043" s="51"/>
      <c r="D2043" s="52"/>
      <c r="E2043" s="53"/>
      <c r="F2043" s="54"/>
      <c r="G2043" s="54"/>
      <c r="H2043" s="54"/>
      <c r="I2043" s="66"/>
      <c r="J2043" s="54"/>
      <c r="K2043" s="54"/>
      <c r="L2043" s="54"/>
      <c r="M2043" s="97" t="str">
        <f t="shared" si="182"/>
        <v/>
      </c>
      <c r="N2043" s="70"/>
      <c r="O2043" s="71" t="str">
        <f t="shared" si="186"/>
        <v/>
      </c>
      <c r="P2043" s="66"/>
      <c r="Q2043" s="66"/>
      <c r="R2043" s="54"/>
      <c r="S2043" s="82"/>
      <c r="T2043" s="83" t="str">
        <f t="shared" si="183"/>
        <v/>
      </c>
      <c r="U2043" s="10"/>
      <c r="V2043" s="41">
        <f>IF(AND(Q2043&lt;&gt;"",RIGHT(Q2043,3)&lt;&gt;""),IF(COUNTIF($Q$6:Q2043,Q2043)=1,1,0),0)</f>
        <v>0</v>
      </c>
      <c r="W2043" s="41" t="str">
        <f t="shared" si="184"/>
        <v/>
      </c>
      <c r="X2043" s="41" t="str">
        <f t="shared" si="185"/>
        <v/>
      </c>
    </row>
    <row r="2044" s="32" customFormat="1" hidden="1" customHeight="1" spans="1:24">
      <c r="A2044" s="34"/>
      <c r="B2044" s="51"/>
      <c r="C2044" s="51"/>
      <c r="D2044" s="52"/>
      <c r="E2044" s="53"/>
      <c r="F2044" s="54"/>
      <c r="G2044" s="54"/>
      <c r="H2044" s="54"/>
      <c r="I2044" s="66"/>
      <c r="J2044" s="54"/>
      <c r="K2044" s="54"/>
      <c r="L2044" s="54"/>
      <c r="M2044" s="97" t="str">
        <f t="shared" si="182"/>
        <v/>
      </c>
      <c r="N2044" s="70"/>
      <c r="O2044" s="71" t="str">
        <f t="shared" si="186"/>
        <v/>
      </c>
      <c r="P2044" s="66"/>
      <c r="Q2044" s="66"/>
      <c r="R2044" s="54"/>
      <c r="S2044" s="82"/>
      <c r="T2044" s="83" t="str">
        <f t="shared" si="183"/>
        <v/>
      </c>
      <c r="U2044" s="10"/>
      <c r="V2044" s="41">
        <f>IF(AND(Q2044&lt;&gt;"",RIGHT(Q2044,3)&lt;&gt;""),IF(COUNTIF($Q$6:Q2044,Q2044)=1,1,0),0)</f>
        <v>0</v>
      </c>
      <c r="W2044" s="41" t="str">
        <f t="shared" si="184"/>
        <v/>
      </c>
      <c r="X2044" s="41" t="str">
        <f t="shared" si="185"/>
        <v/>
      </c>
    </row>
    <row r="2045" s="32" customFormat="1" hidden="1" customHeight="1" spans="1:24">
      <c r="A2045" s="34"/>
      <c r="B2045" s="51"/>
      <c r="C2045" s="51"/>
      <c r="D2045" s="52"/>
      <c r="E2045" s="53"/>
      <c r="F2045" s="54"/>
      <c r="G2045" s="54"/>
      <c r="H2045" s="54"/>
      <c r="I2045" s="66"/>
      <c r="J2045" s="54"/>
      <c r="K2045" s="54"/>
      <c r="L2045" s="54"/>
      <c r="M2045" s="97" t="str">
        <f t="shared" si="182"/>
        <v/>
      </c>
      <c r="N2045" s="70"/>
      <c r="O2045" s="71" t="str">
        <f t="shared" si="186"/>
        <v/>
      </c>
      <c r="P2045" s="66"/>
      <c r="Q2045" s="66"/>
      <c r="R2045" s="54"/>
      <c r="S2045" s="82"/>
      <c r="T2045" s="83" t="str">
        <f t="shared" si="183"/>
        <v/>
      </c>
      <c r="U2045" s="10"/>
      <c r="V2045" s="41">
        <f>IF(AND(Q2045&lt;&gt;"",RIGHT(Q2045,3)&lt;&gt;""),IF(COUNTIF($Q$6:Q2045,Q2045)=1,1,0),0)</f>
        <v>0</v>
      </c>
      <c r="W2045" s="41" t="str">
        <f t="shared" si="184"/>
        <v/>
      </c>
      <c r="X2045" s="41" t="str">
        <f t="shared" si="185"/>
        <v/>
      </c>
    </row>
    <row r="2046" s="32" customFormat="1" hidden="1" customHeight="1" spans="1:24">
      <c r="A2046" s="34"/>
      <c r="B2046" s="51"/>
      <c r="C2046" s="51"/>
      <c r="D2046" s="52"/>
      <c r="E2046" s="53"/>
      <c r="F2046" s="54"/>
      <c r="G2046" s="54"/>
      <c r="H2046" s="54"/>
      <c r="I2046" s="66"/>
      <c r="J2046" s="54"/>
      <c r="K2046" s="54"/>
      <c r="L2046" s="54"/>
      <c r="M2046" s="97" t="str">
        <f t="shared" si="182"/>
        <v/>
      </c>
      <c r="N2046" s="70"/>
      <c r="O2046" s="71" t="str">
        <f t="shared" si="186"/>
        <v/>
      </c>
      <c r="P2046" s="66"/>
      <c r="Q2046" s="66"/>
      <c r="R2046" s="54"/>
      <c r="S2046" s="82"/>
      <c r="T2046" s="83" t="str">
        <f t="shared" si="183"/>
        <v/>
      </c>
      <c r="U2046" s="10"/>
      <c r="V2046" s="41">
        <f>IF(AND(Q2046&lt;&gt;"",RIGHT(Q2046,3)&lt;&gt;""),IF(COUNTIF($Q$6:Q2046,Q2046)=1,1,0),0)</f>
        <v>0</v>
      </c>
      <c r="W2046" s="41" t="str">
        <f t="shared" si="184"/>
        <v/>
      </c>
      <c r="X2046" s="41" t="str">
        <f t="shared" si="185"/>
        <v/>
      </c>
    </row>
    <row r="2047" s="32" customFormat="1" hidden="1" customHeight="1" spans="1:24">
      <c r="A2047" s="34"/>
      <c r="B2047" s="51"/>
      <c r="C2047" s="51"/>
      <c r="D2047" s="52"/>
      <c r="E2047" s="53"/>
      <c r="F2047" s="54"/>
      <c r="G2047" s="54"/>
      <c r="H2047" s="54"/>
      <c r="I2047" s="66"/>
      <c r="J2047" s="54"/>
      <c r="K2047" s="54"/>
      <c r="L2047" s="54"/>
      <c r="M2047" s="97" t="str">
        <f t="shared" si="182"/>
        <v/>
      </c>
      <c r="N2047" s="70"/>
      <c r="O2047" s="71" t="str">
        <f t="shared" si="186"/>
        <v/>
      </c>
      <c r="P2047" s="66"/>
      <c r="Q2047" s="66"/>
      <c r="R2047" s="54"/>
      <c r="S2047" s="82"/>
      <c r="T2047" s="83" t="str">
        <f t="shared" si="183"/>
        <v/>
      </c>
      <c r="U2047" s="10"/>
      <c r="V2047" s="41">
        <f>IF(AND(Q2047&lt;&gt;"",RIGHT(Q2047,3)&lt;&gt;""),IF(COUNTIF($Q$6:Q2047,Q2047)=1,1,0),0)</f>
        <v>0</v>
      </c>
      <c r="W2047" s="41" t="str">
        <f t="shared" si="184"/>
        <v/>
      </c>
      <c r="X2047" s="41" t="str">
        <f t="shared" si="185"/>
        <v/>
      </c>
    </row>
    <row r="2048" s="32" customFormat="1" hidden="1" customHeight="1" spans="1:24">
      <c r="A2048" s="34"/>
      <c r="B2048" s="51"/>
      <c r="C2048" s="51"/>
      <c r="D2048" s="52"/>
      <c r="E2048" s="53"/>
      <c r="F2048" s="54"/>
      <c r="G2048" s="54"/>
      <c r="H2048" s="54"/>
      <c r="I2048" s="66"/>
      <c r="J2048" s="54"/>
      <c r="K2048" s="54"/>
      <c r="L2048" s="54"/>
      <c r="M2048" s="97" t="str">
        <f t="shared" si="182"/>
        <v/>
      </c>
      <c r="N2048" s="70"/>
      <c r="O2048" s="71" t="str">
        <f t="shared" si="186"/>
        <v/>
      </c>
      <c r="P2048" s="66"/>
      <c r="Q2048" s="66"/>
      <c r="R2048" s="54"/>
      <c r="S2048" s="82"/>
      <c r="T2048" s="83" t="str">
        <f t="shared" si="183"/>
        <v/>
      </c>
      <c r="U2048" s="10"/>
      <c r="V2048" s="41">
        <f>IF(AND(Q2048&lt;&gt;"",RIGHT(Q2048,3)&lt;&gt;""),IF(COUNTIF($Q$6:Q2048,Q2048)=1,1,0),0)</f>
        <v>0</v>
      </c>
      <c r="W2048" s="41" t="str">
        <f t="shared" si="184"/>
        <v/>
      </c>
      <c r="X2048" s="41" t="str">
        <f t="shared" si="185"/>
        <v/>
      </c>
    </row>
    <row r="2049" s="32" customFormat="1" hidden="1" customHeight="1" spans="1:24">
      <c r="A2049" s="34"/>
      <c r="B2049" s="51"/>
      <c r="C2049" s="51"/>
      <c r="D2049" s="52"/>
      <c r="E2049" s="53"/>
      <c r="F2049" s="54"/>
      <c r="G2049" s="54"/>
      <c r="H2049" s="54"/>
      <c r="I2049" s="66"/>
      <c r="J2049" s="54"/>
      <c r="K2049" s="54"/>
      <c r="L2049" s="54"/>
      <c r="M2049" s="97" t="str">
        <f t="shared" si="182"/>
        <v/>
      </c>
      <c r="N2049" s="70"/>
      <c r="O2049" s="71" t="str">
        <f t="shared" si="186"/>
        <v/>
      </c>
      <c r="P2049" s="66"/>
      <c r="Q2049" s="66"/>
      <c r="R2049" s="54"/>
      <c r="S2049" s="82"/>
      <c r="T2049" s="83" t="str">
        <f t="shared" si="183"/>
        <v/>
      </c>
      <c r="U2049" s="10"/>
      <c r="V2049" s="41">
        <f>IF(AND(Q2049&lt;&gt;"",RIGHT(Q2049,3)&lt;&gt;""),IF(COUNTIF($Q$6:Q2049,Q2049)=1,1,0),0)</f>
        <v>0</v>
      </c>
      <c r="W2049" s="41" t="str">
        <f t="shared" si="184"/>
        <v/>
      </c>
      <c r="X2049" s="41" t="str">
        <f t="shared" si="185"/>
        <v/>
      </c>
    </row>
    <row r="2050" s="32" customFormat="1" hidden="1" customHeight="1" spans="1:24">
      <c r="A2050" s="34"/>
      <c r="B2050" s="51"/>
      <c r="C2050" s="51"/>
      <c r="D2050" s="52"/>
      <c r="E2050" s="53"/>
      <c r="F2050" s="54"/>
      <c r="G2050" s="54"/>
      <c r="H2050" s="54"/>
      <c r="I2050" s="66"/>
      <c r="J2050" s="54"/>
      <c r="K2050" s="54"/>
      <c r="L2050" s="54"/>
      <c r="M2050" s="97" t="str">
        <f t="shared" si="182"/>
        <v/>
      </c>
      <c r="N2050" s="70"/>
      <c r="O2050" s="71" t="str">
        <f t="shared" si="186"/>
        <v/>
      </c>
      <c r="P2050" s="66"/>
      <c r="Q2050" s="66"/>
      <c r="R2050" s="54"/>
      <c r="S2050" s="82"/>
      <c r="T2050" s="83" t="str">
        <f t="shared" si="183"/>
        <v/>
      </c>
      <c r="U2050" s="10"/>
      <c r="V2050" s="41">
        <f>IF(AND(Q2050&lt;&gt;"",RIGHT(Q2050,3)&lt;&gt;""),IF(COUNTIF($Q$6:Q2050,Q2050)=1,1,0),0)</f>
        <v>0</v>
      </c>
      <c r="W2050" s="41" t="str">
        <f t="shared" si="184"/>
        <v/>
      </c>
      <c r="X2050" s="41" t="str">
        <f t="shared" si="185"/>
        <v/>
      </c>
    </row>
    <row r="2051" s="32" customFormat="1" hidden="1" customHeight="1" spans="1:24">
      <c r="A2051" s="34"/>
      <c r="B2051" s="51"/>
      <c r="C2051" s="51"/>
      <c r="D2051" s="52"/>
      <c r="E2051" s="53"/>
      <c r="F2051" s="54"/>
      <c r="G2051" s="54"/>
      <c r="H2051" s="54"/>
      <c r="I2051" s="66"/>
      <c r="J2051" s="54"/>
      <c r="K2051" s="54"/>
      <c r="L2051" s="54"/>
      <c r="M2051" s="97" t="str">
        <f t="shared" si="182"/>
        <v/>
      </c>
      <c r="N2051" s="70"/>
      <c r="O2051" s="71" t="str">
        <f t="shared" si="186"/>
        <v/>
      </c>
      <c r="P2051" s="66"/>
      <c r="Q2051" s="66"/>
      <c r="R2051" s="54"/>
      <c r="S2051" s="82"/>
      <c r="T2051" s="83" t="str">
        <f t="shared" si="183"/>
        <v/>
      </c>
      <c r="U2051" s="10"/>
      <c r="V2051" s="41">
        <f>IF(AND(Q2051&lt;&gt;"",RIGHT(Q2051,3)&lt;&gt;""),IF(COUNTIF($Q$6:Q2051,Q2051)=1,1,0),0)</f>
        <v>0</v>
      </c>
      <c r="W2051" s="41" t="str">
        <f t="shared" si="184"/>
        <v/>
      </c>
      <c r="X2051" s="41" t="str">
        <f t="shared" si="185"/>
        <v/>
      </c>
    </row>
    <row r="2052" s="32" customFormat="1" hidden="1" customHeight="1" spans="1:24">
      <c r="A2052" s="34"/>
      <c r="B2052" s="51"/>
      <c r="C2052" s="51"/>
      <c r="D2052" s="52"/>
      <c r="E2052" s="53"/>
      <c r="F2052" s="54"/>
      <c r="G2052" s="54"/>
      <c r="H2052" s="54"/>
      <c r="I2052" s="66"/>
      <c r="J2052" s="54"/>
      <c r="K2052" s="54"/>
      <c r="L2052" s="54"/>
      <c r="M2052" s="97" t="str">
        <f t="shared" si="182"/>
        <v/>
      </c>
      <c r="N2052" s="70"/>
      <c r="O2052" s="71" t="str">
        <f t="shared" si="186"/>
        <v/>
      </c>
      <c r="P2052" s="66"/>
      <c r="Q2052" s="66"/>
      <c r="R2052" s="54"/>
      <c r="S2052" s="82"/>
      <c r="T2052" s="83" t="str">
        <f t="shared" si="183"/>
        <v/>
      </c>
      <c r="U2052" s="10"/>
      <c r="V2052" s="41">
        <f>IF(AND(Q2052&lt;&gt;"",RIGHT(Q2052,3)&lt;&gt;""),IF(COUNTIF($Q$6:Q2052,Q2052)=1,1,0),0)</f>
        <v>0</v>
      </c>
      <c r="W2052" s="41" t="str">
        <f t="shared" si="184"/>
        <v/>
      </c>
      <c r="X2052" s="41" t="str">
        <f t="shared" si="185"/>
        <v/>
      </c>
    </row>
    <row r="2053" s="32" customFormat="1" hidden="1" customHeight="1" spans="1:24">
      <c r="A2053" s="34"/>
      <c r="B2053" s="51"/>
      <c r="C2053" s="51"/>
      <c r="D2053" s="52"/>
      <c r="E2053" s="53"/>
      <c r="F2053" s="54"/>
      <c r="G2053" s="54"/>
      <c r="H2053" s="54"/>
      <c r="I2053" s="66"/>
      <c r="J2053" s="54"/>
      <c r="K2053" s="54"/>
      <c r="L2053" s="54"/>
      <c r="M2053" s="97" t="str">
        <f t="shared" si="182"/>
        <v/>
      </c>
      <c r="N2053" s="70"/>
      <c r="O2053" s="71" t="str">
        <f t="shared" si="186"/>
        <v/>
      </c>
      <c r="P2053" s="66"/>
      <c r="Q2053" s="66"/>
      <c r="R2053" s="54"/>
      <c r="S2053" s="82"/>
      <c r="T2053" s="83" t="str">
        <f t="shared" si="183"/>
        <v/>
      </c>
      <c r="U2053" s="10"/>
      <c r="V2053" s="41">
        <f>IF(AND(Q2053&lt;&gt;"",RIGHT(Q2053,3)&lt;&gt;""),IF(COUNTIF($Q$6:Q2053,Q2053)=1,1,0),0)</f>
        <v>0</v>
      </c>
      <c r="W2053" s="41" t="str">
        <f t="shared" si="184"/>
        <v/>
      </c>
      <c r="X2053" s="41" t="str">
        <f t="shared" si="185"/>
        <v/>
      </c>
    </row>
    <row r="2054" s="32" customFormat="1" hidden="1" customHeight="1" spans="1:24">
      <c r="A2054" s="34"/>
      <c r="B2054" s="51"/>
      <c r="C2054" s="51"/>
      <c r="D2054" s="52"/>
      <c r="E2054" s="53"/>
      <c r="F2054" s="54"/>
      <c r="G2054" s="54"/>
      <c r="H2054" s="54"/>
      <c r="I2054" s="66"/>
      <c r="J2054" s="54"/>
      <c r="K2054" s="54"/>
      <c r="L2054" s="54"/>
      <c r="M2054" s="97" t="str">
        <f t="shared" si="182"/>
        <v/>
      </c>
      <c r="N2054" s="70"/>
      <c r="O2054" s="71" t="str">
        <f t="shared" si="186"/>
        <v/>
      </c>
      <c r="P2054" s="66"/>
      <c r="Q2054" s="66"/>
      <c r="R2054" s="54"/>
      <c r="S2054" s="82"/>
      <c r="T2054" s="83" t="str">
        <f t="shared" si="183"/>
        <v/>
      </c>
      <c r="U2054" s="10"/>
      <c r="V2054" s="41">
        <f>IF(AND(Q2054&lt;&gt;"",RIGHT(Q2054,3)&lt;&gt;""),IF(COUNTIF($Q$6:Q2054,Q2054)=1,1,0),0)</f>
        <v>0</v>
      </c>
      <c r="W2054" s="41" t="str">
        <f t="shared" si="184"/>
        <v/>
      </c>
      <c r="X2054" s="41" t="str">
        <f t="shared" si="185"/>
        <v/>
      </c>
    </row>
    <row r="2055" s="32" customFormat="1" hidden="1" customHeight="1" spans="1:24">
      <c r="A2055" s="34"/>
      <c r="B2055" s="51"/>
      <c r="C2055" s="51"/>
      <c r="D2055" s="52"/>
      <c r="E2055" s="53"/>
      <c r="F2055" s="54"/>
      <c r="G2055" s="54"/>
      <c r="H2055" s="54"/>
      <c r="I2055" s="66"/>
      <c r="J2055" s="54"/>
      <c r="K2055" s="54"/>
      <c r="L2055" s="54"/>
      <c r="M2055" s="97" t="str">
        <f t="shared" si="182"/>
        <v/>
      </c>
      <c r="N2055" s="70"/>
      <c r="O2055" s="71" t="str">
        <f t="shared" si="186"/>
        <v/>
      </c>
      <c r="P2055" s="66"/>
      <c r="Q2055" s="66"/>
      <c r="R2055" s="54"/>
      <c r="S2055" s="82"/>
      <c r="T2055" s="83" t="str">
        <f t="shared" si="183"/>
        <v/>
      </c>
      <c r="U2055" s="10"/>
      <c r="V2055" s="41">
        <f>IF(AND(Q2055&lt;&gt;"",RIGHT(Q2055,3)&lt;&gt;""),IF(COUNTIF($Q$6:Q2055,Q2055)=1,1,0),0)</f>
        <v>0</v>
      </c>
      <c r="W2055" s="41" t="str">
        <f t="shared" si="184"/>
        <v/>
      </c>
      <c r="X2055" s="41" t="str">
        <f t="shared" si="185"/>
        <v/>
      </c>
    </row>
    <row r="2056" s="32" customFormat="1" hidden="1" customHeight="1" spans="1:24">
      <c r="A2056" s="34"/>
      <c r="B2056" s="51"/>
      <c r="C2056" s="51"/>
      <c r="D2056" s="52"/>
      <c r="E2056" s="53"/>
      <c r="F2056" s="54"/>
      <c r="G2056" s="54"/>
      <c r="H2056" s="54"/>
      <c r="I2056" s="66"/>
      <c r="J2056" s="54"/>
      <c r="K2056" s="54"/>
      <c r="L2056" s="54"/>
      <c r="M2056" s="97" t="str">
        <f t="shared" si="182"/>
        <v/>
      </c>
      <c r="N2056" s="70"/>
      <c r="O2056" s="71" t="str">
        <f t="shared" si="186"/>
        <v/>
      </c>
      <c r="P2056" s="66"/>
      <c r="Q2056" s="66"/>
      <c r="R2056" s="54"/>
      <c r="S2056" s="82"/>
      <c r="T2056" s="83" t="str">
        <f t="shared" si="183"/>
        <v/>
      </c>
      <c r="U2056" s="10"/>
      <c r="V2056" s="41">
        <f>IF(AND(Q2056&lt;&gt;"",RIGHT(Q2056,3)&lt;&gt;""),IF(COUNTIF($Q$6:Q2056,Q2056)=1,1,0),0)</f>
        <v>0</v>
      </c>
      <c r="W2056" s="41" t="str">
        <f t="shared" si="184"/>
        <v/>
      </c>
      <c r="X2056" s="41" t="str">
        <f t="shared" si="185"/>
        <v/>
      </c>
    </row>
    <row r="2057" s="32" customFormat="1" hidden="1" customHeight="1" spans="1:24">
      <c r="A2057" s="34"/>
      <c r="B2057" s="51"/>
      <c r="C2057" s="51"/>
      <c r="D2057" s="52"/>
      <c r="E2057" s="53"/>
      <c r="F2057" s="54"/>
      <c r="G2057" s="54"/>
      <c r="H2057" s="54"/>
      <c r="I2057" s="66"/>
      <c r="J2057" s="54"/>
      <c r="K2057" s="54"/>
      <c r="L2057" s="54"/>
      <c r="M2057" s="97" t="str">
        <f t="shared" si="182"/>
        <v/>
      </c>
      <c r="N2057" s="70"/>
      <c r="O2057" s="71" t="str">
        <f t="shared" si="186"/>
        <v/>
      </c>
      <c r="P2057" s="66"/>
      <c r="Q2057" s="66"/>
      <c r="R2057" s="54"/>
      <c r="S2057" s="82"/>
      <c r="T2057" s="83" t="str">
        <f t="shared" si="183"/>
        <v/>
      </c>
      <c r="U2057" s="10"/>
      <c r="V2057" s="41">
        <f>IF(AND(Q2057&lt;&gt;"",RIGHT(Q2057,3)&lt;&gt;""),IF(COUNTIF($Q$6:Q2057,Q2057)=1,1,0),0)</f>
        <v>0</v>
      </c>
      <c r="W2057" s="41" t="str">
        <f t="shared" si="184"/>
        <v/>
      </c>
      <c r="X2057" s="41" t="str">
        <f t="shared" si="185"/>
        <v/>
      </c>
    </row>
    <row r="2058" s="32" customFormat="1" hidden="1" customHeight="1" spans="1:24">
      <c r="A2058" s="34"/>
      <c r="B2058" s="51"/>
      <c r="C2058" s="51"/>
      <c r="D2058" s="52"/>
      <c r="E2058" s="53"/>
      <c r="F2058" s="54"/>
      <c r="G2058" s="54"/>
      <c r="H2058" s="54"/>
      <c r="I2058" s="66"/>
      <c r="J2058" s="54"/>
      <c r="K2058" s="54"/>
      <c r="L2058" s="54"/>
      <c r="M2058" s="97" t="str">
        <f t="shared" si="182"/>
        <v/>
      </c>
      <c r="N2058" s="70"/>
      <c r="O2058" s="71" t="str">
        <f t="shared" si="186"/>
        <v/>
      </c>
      <c r="P2058" s="66"/>
      <c r="Q2058" s="66"/>
      <c r="R2058" s="54"/>
      <c r="S2058" s="82"/>
      <c r="T2058" s="83" t="str">
        <f t="shared" si="183"/>
        <v/>
      </c>
      <c r="U2058" s="10"/>
      <c r="V2058" s="41">
        <f>IF(AND(Q2058&lt;&gt;"",RIGHT(Q2058,3)&lt;&gt;""),IF(COUNTIF($Q$6:Q2058,Q2058)=1,1,0),0)</f>
        <v>0</v>
      </c>
      <c r="W2058" s="41" t="str">
        <f t="shared" si="184"/>
        <v/>
      </c>
      <c r="X2058" s="41" t="str">
        <f t="shared" si="185"/>
        <v/>
      </c>
    </row>
    <row r="2059" s="32" customFormat="1" hidden="1" customHeight="1" spans="1:24">
      <c r="A2059" s="34"/>
      <c r="B2059" s="51"/>
      <c r="C2059" s="51"/>
      <c r="D2059" s="52"/>
      <c r="E2059" s="53"/>
      <c r="F2059" s="54"/>
      <c r="G2059" s="54"/>
      <c r="H2059" s="54"/>
      <c r="I2059" s="66"/>
      <c r="J2059" s="54"/>
      <c r="K2059" s="54"/>
      <c r="L2059" s="54"/>
      <c r="M2059" s="97" t="str">
        <f t="shared" si="182"/>
        <v/>
      </c>
      <c r="N2059" s="70"/>
      <c r="O2059" s="71" t="str">
        <f t="shared" si="186"/>
        <v/>
      </c>
      <c r="P2059" s="66"/>
      <c r="Q2059" s="66"/>
      <c r="R2059" s="54"/>
      <c r="S2059" s="82"/>
      <c r="T2059" s="83" t="str">
        <f t="shared" si="183"/>
        <v/>
      </c>
      <c r="U2059" s="10"/>
      <c r="V2059" s="41">
        <f>IF(AND(Q2059&lt;&gt;"",RIGHT(Q2059,3)&lt;&gt;""),IF(COUNTIF($Q$6:Q2059,Q2059)=1,1,0),0)</f>
        <v>0</v>
      </c>
      <c r="W2059" s="41" t="str">
        <f t="shared" si="184"/>
        <v/>
      </c>
      <c r="X2059" s="41" t="str">
        <f t="shared" si="185"/>
        <v/>
      </c>
    </row>
    <row r="2060" s="32" customFormat="1" hidden="1" customHeight="1" spans="1:24">
      <c r="A2060" s="34"/>
      <c r="B2060" s="51"/>
      <c r="C2060" s="51"/>
      <c r="D2060" s="52"/>
      <c r="E2060" s="53"/>
      <c r="F2060" s="54"/>
      <c r="G2060" s="54"/>
      <c r="H2060" s="54"/>
      <c r="I2060" s="66"/>
      <c r="J2060" s="54"/>
      <c r="K2060" s="54"/>
      <c r="L2060" s="54"/>
      <c r="M2060" s="97" t="str">
        <f t="shared" si="182"/>
        <v/>
      </c>
      <c r="N2060" s="70"/>
      <c r="O2060" s="71" t="str">
        <f t="shared" si="186"/>
        <v/>
      </c>
      <c r="P2060" s="66"/>
      <c r="Q2060" s="66"/>
      <c r="R2060" s="54"/>
      <c r="S2060" s="82"/>
      <c r="T2060" s="83" t="str">
        <f t="shared" si="183"/>
        <v/>
      </c>
      <c r="U2060" s="10"/>
      <c r="V2060" s="41">
        <f>IF(AND(Q2060&lt;&gt;"",RIGHT(Q2060,3)&lt;&gt;""),IF(COUNTIF($Q$6:Q2060,Q2060)=1,1,0),0)</f>
        <v>0</v>
      </c>
      <c r="W2060" s="41" t="str">
        <f t="shared" si="184"/>
        <v/>
      </c>
      <c r="X2060" s="41" t="str">
        <f t="shared" si="185"/>
        <v/>
      </c>
    </row>
    <row r="2061" s="32" customFormat="1" hidden="1" customHeight="1" spans="1:24">
      <c r="A2061" s="34"/>
      <c r="B2061" s="51"/>
      <c r="C2061" s="51"/>
      <c r="D2061" s="52"/>
      <c r="E2061" s="53"/>
      <c r="F2061" s="54"/>
      <c r="G2061" s="54"/>
      <c r="H2061" s="54"/>
      <c r="I2061" s="66"/>
      <c r="J2061" s="54"/>
      <c r="K2061" s="54"/>
      <c r="L2061" s="54"/>
      <c r="M2061" s="97" t="str">
        <f t="shared" si="182"/>
        <v/>
      </c>
      <c r="N2061" s="70"/>
      <c r="O2061" s="71" t="str">
        <f t="shared" si="186"/>
        <v/>
      </c>
      <c r="P2061" s="66"/>
      <c r="Q2061" s="66"/>
      <c r="R2061" s="54"/>
      <c r="S2061" s="82"/>
      <c r="T2061" s="83" t="str">
        <f t="shared" si="183"/>
        <v/>
      </c>
      <c r="U2061" s="10"/>
      <c r="V2061" s="41">
        <f>IF(AND(Q2061&lt;&gt;"",RIGHT(Q2061,3)&lt;&gt;""),IF(COUNTIF($Q$6:Q2061,Q2061)=1,1,0),0)</f>
        <v>0</v>
      </c>
      <c r="W2061" s="41" t="str">
        <f t="shared" si="184"/>
        <v/>
      </c>
      <c r="X2061" s="41" t="str">
        <f t="shared" si="185"/>
        <v/>
      </c>
    </row>
    <row r="2062" s="32" customFormat="1" hidden="1" customHeight="1" spans="1:24">
      <c r="A2062" s="34"/>
      <c r="B2062" s="51"/>
      <c r="C2062" s="51"/>
      <c r="D2062" s="52"/>
      <c r="E2062" s="53"/>
      <c r="F2062" s="54"/>
      <c r="G2062" s="54"/>
      <c r="H2062" s="54"/>
      <c r="I2062" s="66"/>
      <c r="J2062" s="54"/>
      <c r="K2062" s="54"/>
      <c r="L2062" s="54"/>
      <c r="M2062" s="97" t="str">
        <f t="shared" si="182"/>
        <v/>
      </c>
      <c r="N2062" s="70"/>
      <c r="O2062" s="71" t="str">
        <f t="shared" si="186"/>
        <v/>
      </c>
      <c r="P2062" s="66"/>
      <c r="Q2062" s="66"/>
      <c r="R2062" s="54"/>
      <c r="S2062" s="82"/>
      <c r="T2062" s="83" t="str">
        <f t="shared" si="183"/>
        <v/>
      </c>
      <c r="U2062" s="10"/>
      <c r="V2062" s="41">
        <f>IF(AND(Q2062&lt;&gt;"",RIGHT(Q2062,3)&lt;&gt;""),IF(COUNTIF($Q$6:Q2062,Q2062)=1,1,0),0)</f>
        <v>0</v>
      </c>
      <c r="W2062" s="41" t="str">
        <f t="shared" si="184"/>
        <v/>
      </c>
      <c r="X2062" s="41" t="str">
        <f t="shared" si="185"/>
        <v/>
      </c>
    </row>
    <row r="2063" s="32" customFormat="1" hidden="1" customHeight="1" spans="1:24">
      <c r="A2063" s="34"/>
      <c r="B2063" s="51"/>
      <c r="C2063" s="51"/>
      <c r="D2063" s="52"/>
      <c r="E2063" s="53"/>
      <c r="F2063" s="54"/>
      <c r="G2063" s="54"/>
      <c r="H2063" s="54"/>
      <c r="I2063" s="66"/>
      <c r="J2063" s="54"/>
      <c r="K2063" s="54"/>
      <c r="L2063" s="54"/>
      <c r="M2063" s="97" t="str">
        <f t="shared" si="182"/>
        <v/>
      </c>
      <c r="N2063" s="70"/>
      <c r="O2063" s="71" t="str">
        <f t="shared" si="186"/>
        <v/>
      </c>
      <c r="P2063" s="66"/>
      <c r="Q2063" s="66"/>
      <c r="R2063" s="54"/>
      <c r="S2063" s="82"/>
      <c r="T2063" s="83" t="str">
        <f t="shared" si="183"/>
        <v/>
      </c>
      <c r="U2063" s="10"/>
      <c r="V2063" s="41">
        <f>IF(AND(Q2063&lt;&gt;"",RIGHT(Q2063,3)&lt;&gt;""),IF(COUNTIF($Q$6:Q2063,Q2063)=1,1,0),0)</f>
        <v>0</v>
      </c>
      <c r="W2063" s="41" t="str">
        <f t="shared" si="184"/>
        <v/>
      </c>
      <c r="X2063" s="41" t="str">
        <f t="shared" si="185"/>
        <v/>
      </c>
    </row>
    <row r="2064" s="32" customFormat="1" hidden="1" customHeight="1" spans="1:24">
      <c r="A2064" s="34"/>
      <c r="B2064" s="51"/>
      <c r="C2064" s="51"/>
      <c r="D2064" s="52"/>
      <c r="E2064" s="53"/>
      <c r="F2064" s="54"/>
      <c r="G2064" s="54"/>
      <c r="H2064" s="54"/>
      <c r="I2064" s="66"/>
      <c r="J2064" s="54"/>
      <c r="K2064" s="54"/>
      <c r="L2064" s="54"/>
      <c r="M2064" s="97" t="str">
        <f t="shared" si="182"/>
        <v/>
      </c>
      <c r="N2064" s="70"/>
      <c r="O2064" s="71" t="str">
        <f t="shared" si="186"/>
        <v/>
      </c>
      <c r="P2064" s="66"/>
      <c r="Q2064" s="66"/>
      <c r="R2064" s="54"/>
      <c r="S2064" s="82"/>
      <c r="T2064" s="83" t="str">
        <f t="shared" si="183"/>
        <v/>
      </c>
      <c r="U2064" s="10"/>
      <c r="V2064" s="41">
        <f>IF(AND(Q2064&lt;&gt;"",RIGHT(Q2064,3)&lt;&gt;""),IF(COUNTIF($Q$6:Q2064,Q2064)=1,1,0),0)</f>
        <v>0</v>
      </c>
      <c r="W2064" s="41" t="str">
        <f t="shared" si="184"/>
        <v/>
      </c>
      <c r="X2064" s="41" t="str">
        <f t="shared" si="185"/>
        <v/>
      </c>
    </row>
    <row r="2065" s="32" customFormat="1" hidden="1" customHeight="1" spans="1:24">
      <c r="A2065" s="34"/>
      <c r="B2065" s="51"/>
      <c r="C2065" s="51"/>
      <c r="D2065" s="52"/>
      <c r="E2065" s="53"/>
      <c r="F2065" s="54"/>
      <c r="G2065" s="54"/>
      <c r="H2065" s="54"/>
      <c r="I2065" s="66"/>
      <c r="J2065" s="54"/>
      <c r="K2065" s="54"/>
      <c r="L2065" s="54"/>
      <c r="M2065" s="97" t="str">
        <f t="shared" si="182"/>
        <v/>
      </c>
      <c r="N2065" s="70"/>
      <c r="O2065" s="71" t="str">
        <f t="shared" si="186"/>
        <v/>
      </c>
      <c r="P2065" s="66"/>
      <c r="Q2065" s="66"/>
      <c r="R2065" s="54"/>
      <c r="S2065" s="82"/>
      <c r="T2065" s="83" t="str">
        <f t="shared" si="183"/>
        <v/>
      </c>
      <c r="U2065" s="10"/>
      <c r="V2065" s="41">
        <f>IF(AND(Q2065&lt;&gt;"",RIGHT(Q2065,3)&lt;&gt;""),IF(COUNTIF($Q$6:Q2065,Q2065)=1,1,0),0)</f>
        <v>0</v>
      </c>
      <c r="W2065" s="41" t="str">
        <f t="shared" si="184"/>
        <v/>
      </c>
      <c r="X2065" s="41" t="str">
        <f t="shared" si="185"/>
        <v/>
      </c>
    </row>
    <row r="2066" s="32" customFormat="1" hidden="1" customHeight="1" spans="1:24">
      <c r="A2066" s="34"/>
      <c r="B2066" s="51"/>
      <c r="C2066" s="51"/>
      <c r="D2066" s="52"/>
      <c r="E2066" s="53"/>
      <c r="F2066" s="54"/>
      <c r="G2066" s="54"/>
      <c r="H2066" s="54"/>
      <c r="I2066" s="66"/>
      <c r="J2066" s="54"/>
      <c r="K2066" s="54"/>
      <c r="L2066" s="54"/>
      <c r="M2066" s="97" t="str">
        <f t="shared" si="182"/>
        <v/>
      </c>
      <c r="N2066" s="70"/>
      <c r="O2066" s="71" t="str">
        <f t="shared" si="186"/>
        <v/>
      </c>
      <c r="P2066" s="66"/>
      <c r="Q2066" s="66"/>
      <c r="R2066" s="54"/>
      <c r="S2066" s="82"/>
      <c r="T2066" s="83" t="str">
        <f t="shared" si="183"/>
        <v/>
      </c>
      <c r="U2066" s="10"/>
      <c r="V2066" s="41">
        <f>IF(AND(Q2066&lt;&gt;"",RIGHT(Q2066,3)&lt;&gt;""),IF(COUNTIF($Q$6:Q2066,Q2066)=1,1,0),0)</f>
        <v>0</v>
      </c>
      <c r="W2066" s="41" t="str">
        <f t="shared" si="184"/>
        <v/>
      </c>
      <c r="X2066" s="41" t="str">
        <f t="shared" si="185"/>
        <v/>
      </c>
    </row>
    <row r="2067" s="32" customFormat="1" hidden="1" customHeight="1" spans="1:24">
      <c r="A2067" s="34"/>
      <c r="B2067" s="51"/>
      <c r="C2067" s="51"/>
      <c r="D2067" s="52"/>
      <c r="E2067" s="53"/>
      <c r="F2067" s="54"/>
      <c r="G2067" s="54"/>
      <c r="H2067" s="54"/>
      <c r="I2067" s="66"/>
      <c r="J2067" s="54"/>
      <c r="K2067" s="54"/>
      <c r="L2067" s="54"/>
      <c r="M2067" s="97" t="str">
        <f t="shared" si="182"/>
        <v/>
      </c>
      <c r="N2067" s="70"/>
      <c r="O2067" s="71" t="str">
        <f t="shared" si="186"/>
        <v/>
      </c>
      <c r="P2067" s="66"/>
      <c r="Q2067" s="66"/>
      <c r="R2067" s="54"/>
      <c r="S2067" s="82"/>
      <c r="T2067" s="83" t="str">
        <f t="shared" si="183"/>
        <v/>
      </c>
      <c r="U2067" s="10"/>
      <c r="V2067" s="41">
        <f>IF(AND(Q2067&lt;&gt;"",RIGHT(Q2067,3)&lt;&gt;""),IF(COUNTIF($Q$6:Q2067,Q2067)=1,1,0),0)</f>
        <v>0</v>
      </c>
      <c r="W2067" s="41" t="str">
        <f t="shared" si="184"/>
        <v/>
      </c>
      <c r="X2067" s="41" t="str">
        <f t="shared" si="185"/>
        <v/>
      </c>
    </row>
    <row r="2068" s="32" customFormat="1" hidden="1" customHeight="1" spans="1:24">
      <c r="A2068" s="34"/>
      <c r="B2068" s="51"/>
      <c r="C2068" s="51"/>
      <c r="D2068" s="52"/>
      <c r="E2068" s="53"/>
      <c r="F2068" s="54"/>
      <c r="G2068" s="54"/>
      <c r="H2068" s="54"/>
      <c r="I2068" s="66"/>
      <c r="J2068" s="54"/>
      <c r="K2068" s="54"/>
      <c r="L2068" s="54"/>
      <c r="M2068" s="97" t="str">
        <f t="shared" si="182"/>
        <v/>
      </c>
      <c r="N2068" s="70"/>
      <c r="O2068" s="71" t="str">
        <f t="shared" si="186"/>
        <v/>
      </c>
      <c r="P2068" s="66"/>
      <c r="Q2068" s="66"/>
      <c r="R2068" s="54"/>
      <c r="S2068" s="82"/>
      <c r="T2068" s="83" t="str">
        <f t="shared" si="183"/>
        <v/>
      </c>
      <c r="U2068" s="10"/>
      <c r="V2068" s="41">
        <f>IF(AND(Q2068&lt;&gt;"",RIGHT(Q2068,3)&lt;&gt;""),IF(COUNTIF($Q$6:Q2068,Q2068)=1,1,0),0)</f>
        <v>0</v>
      </c>
      <c r="W2068" s="41" t="str">
        <f t="shared" si="184"/>
        <v/>
      </c>
      <c r="X2068" s="41" t="str">
        <f t="shared" si="185"/>
        <v/>
      </c>
    </row>
    <row r="2069" s="32" customFormat="1" hidden="1" customHeight="1" spans="1:24">
      <c r="A2069" s="34"/>
      <c r="B2069" s="51"/>
      <c r="C2069" s="51"/>
      <c r="D2069" s="52"/>
      <c r="E2069" s="53"/>
      <c r="F2069" s="54"/>
      <c r="G2069" s="54"/>
      <c r="H2069" s="54"/>
      <c r="I2069" s="66"/>
      <c r="J2069" s="54"/>
      <c r="K2069" s="54"/>
      <c r="L2069" s="54"/>
      <c r="M2069" s="97" t="str">
        <f t="shared" si="182"/>
        <v/>
      </c>
      <c r="N2069" s="70"/>
      <c r="O2069" s="71" t="str">
        <f t="shared" si="186"/>
        <v/>
      </c>
      <c r="P2069" s="66"/>
      <c r="Q2069" s="66"/>
      <c r="R2069" s="54"/>
      <c r="S2069" s="82"/>
      <c r="T2069" s="83" t="str">
        <f t="shared" si="183"/>
        <v/>
      </c>
      <c r="U2069" s="10"/>
      <c r="V2069" s="41">
        <f>IF(AND(Q2069&lt;&gt;"",RIGHT(Q2069,3)&lt;&gt;""),IF(COUNTIF($Q$6:Q2069,Q2069)=1,1,0),0)</f>
        <v>0</v>
      </c>
      <c r="W2069" s="41" t="str">
        <f t="shared" si="184"/>
        <v/>
      </c>
      <c r="X2069" s="41" t="str">
        <f t="shared" si="185"/>
        <v/>
      </c>
    </row>
    <row r="2070" s="32" customFormat="1" hidden="1" customHeight="1" spans="1:24">
      <c r="A2070" s="34"/>
      <c r="B2070" s="51"/>
      <c r="C2070" s="51"/>
      <c r="D2070" s="52"/>
      <c r="E2070" s="53"/>
      <c r="F2070" s="54"/>
      <c r="G2070" s="54"/>
      <c r="H2070" s="54"/>
      <c r="I2070" s="66"/>
      <c r="J2070" s="54"/>
      <c r="K2070" s="54"/>
      <c r="L2070" s="54"/>
      <c r="M2070" s="97" t="str">
        <f t="shared" si="182"/>
        <v/>
      </c>
      <c r="N2070" s="70"/>
      <c r="O2070" s="71" t="str">
        <f t="shared" si="186"/>
        <v/>
      </c>
      <c r="P2070" s="66"/>
      <c r="Q2070" s="66"/>
      <c r="R2070" s="54"/>
      <c r="S2070" s="82"/>
      <c r="T2070" s="83" t="str">
        <f t="shared" si="183"/>
        <v/>
      </c>
      <c r="U2070" s="10"/>
      <c r="V2070" s="41">
        <f>IF(AND(Q2070&lt;&gt;"",RIGHT(Q2070,3)&lt;&gt;""),IF(COUNTIF($Q$6:Q2070,Q2070)=1,1,0),0)</f>
        <v>0</v>
      </c>
      <c r="W2070" s="41" t="str">
        <f t="shared" si="184"/>
        <v/>
      </c>
      <c r="X2070" s="41" t="str">
        <f t="shared" si="185"/>
        <v/>
      </c>
    </row>
    <row r="2071" s="32" customFormat="1" hidden="1" customHeight="1" spans="1:24">
      <c r="A2071" s="34"/>
      <c r="B2071" s="51"/>
      <c r="C2071" s="51"/>
      <c r="D2071" s="52"/>
      <c r="E2071" s="53"/>
      <c r="F2071" s="54"/>
      <c r="G2071" s="54"/>
      <c r="H2071" s="54"/>
      <c r="I2071" s="66"/>
      <c r="J2071" s="54"/>
      <c r="K2071" s="54"/>
      <c r="L2071" s="54"/>
      <c r="M2071" s="97" t="str">
        <f t="shared" si="182"/>
        <v/>
      </c>
      <c r="N2071" s="70"/>
      <c r="O2071" s="71" t="str">
        <f t="shared" si="186"/>
        <v/>
      </c>
      <c r="P2071" s="66"/>
      <c r="Q2071" s="66"/>
      <c r="R2071" s="54"/>
      <c r="S2071" s="82"/>
      <c r="T2071" s="83" t="str">
        <f t="shared" si="183"/>
        <v/>
      </c>
      <c r="U2071" s="10"/>
      <c r="V2071" s="41">
        <f>IF(AND(Q2071&lt;&gt;"",RIGHT(Q2071,3)&lt;&gt;""),IF(COUNTIF($Q$6:Q2071,Q2071)=1,1,0),0)</f>
        <v>0</v>
      </c>
      <c r="W2071" s="41" t="str">
        <f t="shared" si="184"/>
        <v/>
      </c>
      <c r="X2071" s="41" t="str">
        <f t="shared" si="185"/>
        <v/>
      </c>
    </row>
    <row r="2072" s="32" customFormat="1" hidden="1" customHeight="1" spans="1:24">
      <c r="A2072" s="34"/>
      <c r="B2072" s="51"/>
      <c r="C2072" s="51"/>
      <c r="D2072" s="52"/>
      <c r="E2072" s="53"/>
      <c r="F2072" s="54"/>
      <c r="G2072" s="54"/>
      <c r="H2072" s="54"/>
      <c r="I2072" s="66"/>
      <c r="J2072" s="54"/>
      <c r="K2072" s="54"/>
      <c r="L2072" s="54"/>
      <c r="M2072" s="97" t="str">
        <f t="shared" si="182"/>
        <v/>
      </c>
      <c r="N2072" s="70"/>
      <c r="O2072" s="71" t="str">
        <f t="shared" si="186"/>
        <v/>
      </c>
      <c r="P2072" s="66"/>
      <c r="Q2072" s="66"/>
      <c r="R2072" s="54"/>
      <c r="S2072" s="82"/>
      <c r="T2072" s="83" t="str">
        <f t="shared" si="183"/>
        <v/>
      </c>
      <c r="U2072" s="10"/>
      <c r="V2072" s="41">
        <f>IF(AND(Q2072&lt;&gt;"",RIGHT(Q2072,3)&lt;&gt;""),IF(COUNTIF($Q$6:Q2072,Q2072)=1,1,0),0)</f>
        <v>0</v>
      </c>
      <c r="W2072" s="41" t="str">
        <f t="shared" si="184"/>
        <v/>
      </c>
      <c r="X2072" s="41" t="str">
        <f t="shared" si="185"/>
        <v/>
      </c>
    </row>
    <row r="2073" s="32" customFormat="1" hidden="1" customHeight="1" spans="1:24">
      <c r="A2073" s="34"/>
      <c r="B2073" s="51"/>
      <c r="C2073" s="51"/>
      <c r="D2073" s="52"/>
      <c r="E2073" s="53"/>
      <c r="F2073" s="54"/>
      <c r="G2073" s="54"/>
      <c r="H2073" s="54"/>
      <c r="I2073" s="66"/>
      <c r="J2073" s="54"/>
      <c r="K2073" s="54"/>
      <c r="L2073" s="54"/>
      <c r="M2073" s="97" t="str">
        <f t="shared" si="182"/>
        <v/>
      </c>
      <c r="N2073" s="70"/>
      <c r="O2073" s="71" t="str">
        <f t="shared" si="186"/>
        <v/>
      </c>
      <c r="P2073" s="66"/>
      <c r="Q2073" s="66"/>
      <c r="R2073" s="54"/>
      <c r="S2073" s="82"/>
      <c r="T2073" s="83" t="str">
        <f t="shared" si="183"/>
        <v/>
      </c>
      <c r="U2073" s="10"/>
      <c r="V2073" s="41">
        <f>IF(AND(Q2073&lt;&gt;"",RIGHT(Q2073,3)&lt;&gt;""),IF(COUNTIF($Q$6:Q2073,Q2073)=1,1,0),0)</f>
        <v>0</v>
      </c>
      <c r="W2073" s="41" t="str">
        <f t="shared" si="184"/>
        <v/>
      </c>
      <c r="X2073" s="41" t="str">
        <f t="shared" si="185"/>
        <v/>
      </c>
    </row>
    <row r="2074" s="32" customFormat="1" hidden="1" customHeight="1" spans="1:24">
      <c r="A2074" s="34"/>
      <c r="B2074" s="51"/>
      <c r="C2074" s="51"/>
      <c r="D2074" s="52"/>
      <c r="E2074" s="53"/>
      <c r="F2074" s="54"/>
      <c r="G2074" s="54"/>
      <c r="H2074" s="54"/>
      <c r="I2074" s="66"/>
      <c r="J2074" s="54"/>
      <c r="K2074" s="54"/>
      <c r="L2074" s="54"/>
      <c r="M2074" s="97" t="str">
        <f t="shared" si="182"/>
        <v/>
      </c>
      <c r="N2074" s="70"/>
      <c r="O2074" s="71" t="str">
        <f t="shared" si="186"/>
        <v/>
      </c>
      <c r="P2074" s="66"/>
      <c r="Q2074" s="66"/>
      <c r="R2074" s="54"/>
      <c r="S2074" s="82"/>
      <c r="T2074" s="83" t="str">
        <f t="shared" si="183"/>
        <v/>
      </c>
      <c r="U2074" s="10"/>
      <c r="V2074" s="41">
        <f>IF(AND(Q2074&lt;&gt;"",RIGHT(Q2074,3)&lt;&gt;""),IF(COUNTIF($Q$6:Q2074,Q2074)=1,1,0),0)</f>
        <v>0</v>
      </c>
      <c r="W2074" s="41" t="str">
        <f t="shared" si="184"/>
        <v/>
      </c>
      <c r="X2074" s="41" t="str">
        <f t="shared" si="185"/>
        <v/>
      </c>
    </row>
    <row r="2075" s="32" customFormat="1" hidden="1" customHeight="1" spans="1:24">
      <c r="A2075" s="34"/>
      <c r="B2075" s="51"/>
      <c r="C2075" s="51"/>
      <c r="D2075" s="52"/>
      <c r="E2075" s="53"/>
      <c r="F2075" s="54"/>
      <c r="G2075" s="54"/>
      <c r="H2075" s="54"/>
      <c r="I2075" s="66"/>
      <c r="J2075" s="54"/>
      <c r="K2075" s="54"/>
      <c r="L2075" s="54"/>
      <c r="M2075" s="97" t="str">
        <f t="shared" si="182"/>
        <v/>
      </c>
      <c r="N2075" s="70"/>
      <c r="O2075" s="71" t="str">
        <f t="shared" si="186"/>
        <v/>
      </c>
      <c r="P2075" s="66"/>
      <c r="Q2075" s="66"/>
      <c r="R2075" s="54"/>
      <c r="S2075" s="82"/>
      <c r="T2075" s="83" t="str">
        <f t="shared" si="183"/>
        <v/>
      </c>
      <c r="U2075" s="10"/>
      <c r="V2075" s="41">
        <f>IF(AND(Q2075&lt;&gt;"",RIGHT(Q2075,3)&lt;&gt;""),IF(COUNTIF($Q$6:Q2075,Q2075)=1,1,0),0)</f>
        <v>0</v>
      </c>
      <c r="W2075" s="41" t="str">
        <f t="shared" si="184"/>
        <v/>
      </c>
      <c r="X2075" s="41" t="str">
        <f t="shared" si="185"/>
        <v/>
      </c>
    </row>
    <row r="2076" s="32" customFormat="1" hidden="1" customHeight="1" spans="1:24">
      <c r="A2076" s="34"/>
      <c r="B2076" s="51"/>
      <c r="C2076" s="51"/>
      <c r="D2076" s="52"/>
      <c r="E2076" s="53"/>
      <c r="F2076" s="54"/>
      <c r="G2076" s="54"/>
      <c r="H2076" s="54"/>
      <c r="I2076" s="66"/>
      <c r="J2076" s="54"/>
      <c r="K2076" s="54"/>
      <c r="L2076" s="54"/>
      <c r="M2076" s="97" t="str">
        <f t="shared" si="182"/>
        <v/>
      </c>
      <c r="N2076" s="70"/>
      <c r="O2076" s="71" t="str">
        <f t="shared" si="186"/>
        <v/>
      </c>
      <c r="P2076" s="66"/>
      <c r="Q2076" s="66"/>
      <c r="R2076" s="54"/>
      <c r="S2076" s="82"/>
      <c r="T2076" s="83" t="str">
        <f t="shared" si="183"/>
        <v/>
      </c>
      <c r="U2076" s="10"/>
      <c r="V2076" s="41">
        <f>IF(AND(Q2076&lt;&gt;"",RIGHT(Q2076,3)&lt;&gt;""),IF(COUNTIF($Q$6:Q2076,Q2076)=1,1,0),0)</f>
        <v>0</v>
      </c>
      <c r="W2076" s="41" t="str">
        <f t="shared" si="184"/>
        <v/>
      </c>
      <c r="X2076" s="41" t="str">
        <f t="shared" si="185"/>
        <v/>
      </c>
    </row>
    <row r="2077" s="32" customFormat="1" hidden="1" customHeight="1" spans="1:24">
      <c r="A2077" s="34"/>
      <c r="B2077" s="51"/>
      <c r="C2077" s="51"/>
      <c r="D2077" s="52"/>
      <c r="E2077" s="53"/>
      <c r="F2077" s="54"/>
      <c r="G2077" s="54"/>
      <c r="H2077" s="54"/>
      <c r="I2077" s="66"/>
      <c r="J2077" s="54"/>
      <c r="K2077" s="54"/>
      <c r="L2077" s="54"/>
      <c r="M2077" s="97" t="str">
        <f t="shared" si="182"/>
        <v/>
      </c>
      <c r="N2077" s="70"/>
      <c r="O2077" s="71" t="str">
        <f t="shared" si="186"/>
        <v/>
      </c>
      <c r="P2077" s="66"/>
      <c r="Q2077" s="66"/>
      <c r="R2077" s="54"/>
      <c r="S2077" s="82"/>
      <c r="T2077" s="83" t="str">
        <f t="shared" si="183"/>
        <v/>
      </c>
      <c r="U2077" s="10"/>
      <c r="V2077" s="41">
        <f>IF(AND(Q2077&lt;&gt;"",RIGHT(Q2077,3)&lt;&gt;""),IF(COUNTIF($Q$6:Q2077,Q2077)=1,1,0),0)</f>
        <v>0</v>
      </c>
      <c r="W2077" s="41" t="str">
        <f t="shared" si="184"/>
        <v/>
      </c>
      <c r="X2077" s="41" t="str">
        <f t="shared" si="185"/>
        <v/>
      </c>
    </row>
    <row r="2078" s="32" customFormat="1" hidden="1" customHeight="1" spans="1:24">
      <c r="A2078" s="34"/>
      <c r="B2078" s="51"/>
      <c r="C2078" s="51"/>
      <c r="D2078" s="52"/>
      <c r="E2078" s="53"/>
      <c r="F2078" s="54"/>
      <c r="G2078" s="54"/>
      <c r="H2078" s="54"/>
      <c r="I2078" s="66"/>
      <c r="J2078" s="54"/>
      <c r="K2078" s="54"/>
      <c r="L2078" s="54"/>
      <c r="M2078" s="97" t="str">
        <f t="shared" si="182"/>
        <v/>
      </c>
      <c r="N2078" s="70"/>
      <c r="O2078" s="71" t="str">
        <f t="shared" si="186"/>
        <v/>
      </c>
      <c r="P2078" s="66"/>
      <c r="Q2078" s="66"/>
      <c r="R2078" s="54"/>
      <c r="S2078" s="82"/>
      <c r="T2078" s="83" t="str">
        <f t="shared" si="183"/>
        <v/>
      </c>
      <c r="U2078" s="10"/>
      <c r="V2078" s="41">
        <f>IF(AND(Q2078&lt;&gt;"",RIGHT(Q2078,3)&lt;&gt;""),IF(COUNTIF($Q$6:Q2078,Q2078)=1,1,0),0)</f>
        <v>0</v>
      </c>
      <c r="W2078" s="41" t="str">
        <f t="shared" si="184"/>
        <v/>
      </c>
      <c r="X2078" s="41" t="str">
        <f t="shared" si="185"/>
        <v/>
      </c>
    </row>
    <row r="2079" s="32" customFormat="1" hidden="1" customHeight="1" spans="1:24">
      <c r="A2079" s="34"/>
      <c r="B2079" s="51"/>
      <c r="C2079" s="51"/>
      <c r="D2079" s="52"/>
      <c r="E2079" s="53"/>
      <c r="F2079" s="54"/>
      <c r="G2079" s="54"/>
      <c r="H2079" s="54"/>
      <c r="I2079" s="66"/>
      <c r="J2079" s="54"/>
      <c r="K2079" s="54"/>
      <c r="L2079" s="54"/>
      <c r="M2079" s="97" t="str">
        <f t="shared" si="182"/>
        <v/>
      </c>
      <c r="N2079" s="70"/>
      <c r="O2079" s="71" t="str">
        <f t="shared" si="186"/>
        <v/>
      </c>
      <c r="P2079" s="66"/>
      <c r="Q2079" s="66"/>
      <c r="R2079" s="54"/>
      <c r="S2079" s="82"/>
      <c r="T2079" s="83" t="str">
        <f t="shared" si="183"/>
        <v/>
      </c>
      <c r="U2079" s="10"/>
      <c r="V2079" s="41">
        <f>IF(AND(Q2079&lt;&gt;"",RIGHT(Q2079,3)&lt;&gt;""),IF(COUNTIF($Q$6:Q2079,Q2079)=1,1,0),0)</f>
        <v>0</v>
      </c>
      <c r="W2079" s="41" t="str">
        <f t="shared" si="184"/>
        <v/>
      </c>
      <c r="X2079" s="41" t="str">
        <f t="shared" si="185"/>
        <v/>
      </c>
    </row>
    <row r="2080" s="32" customFormat="1" hidden="1" customHeight="1" spans="1:24">
      <c r="A2080" s="34"/>
      <c r="B2080" s="51"/>
      <c r="C2080" s="51"/>
      <c r="D2080" s="52"/>
      <c r="E2080" s="53"/>
      <c r="F2080" s="54"/>
      <c r="G2080" s="54"/>
      <c r="H2080" s="54"/>
      <c r="I2080" s="66"/>
      <c r="J2080" s="54"/>
      <c r="K2080" s="54"/>
      <c r="L2080" s="54"/>
      <c r="M2080" s="97" t="str">
        <f t="shared" si="182"/>
        <v/>
      </c>
      <c r="N2080" s="70"/>
      <c r="O2080" s="71" t="str">
        <f t="shared" si="186"/>
        <v/>
      </c>
      <c r="P2080" s="66"/>
      <c r="Q2080" s="66"/>
      <c r="R2080" s="54"/>
      <c r="S2080" s="82"/>
      <c r="T2080" s="83" t="str">
        <f t="shared" si="183"/>
        <v/>
      </c>
      <c r="U2080" s="10"/>
      <c r="V2080" s="41">
        <f>IF(AND(Q2080&lt;&gt;"",RIGHT(Q2080,3)&lt;&gt;""),IF(COUNTIF($Q$6:Q2080,Q2080)=1,1,0),0)</f>
        <v>0</v>
      </c>
      <c r="W2080" s="41" t="str">
        <f t="shared" si="184"/>
        <v/>
      </c>
      <c r="X2080" s="41" t="str">
        <f t="shared" si="185"/>
        <v/>
      </c>
    </row>
    <row r="2081" s="32" customFormat="1" hidden="1" customHeight="1" spans="1:24">
      <c r="A2081" s="34"/>
      <c r="B2081" s="51"/>
      <c r="C2081" s="51"/>
      <c r="D2081" s="52"/>
      <c r="E2081" s="53"/>
      <c r="F2081" s="54"/>
      <c r="G2081" s="54"/>
      <c r="H2081" s="54"/>
      <c r="I2081" s="66"/>
      <c r="J2081" s="54"/>
      <c r="K2081" s="54"/>
      <c r="L2081" s="54"/>
      <c r="M2081" s="97" t="str">
        <f t="shared" si="182"/>
        <v/>
      </c>
      <c r="N2081" s="70"/>
      <c r="O2081" s="71" t="str">
        <f t="shared" si="186"/>
        <v/>
      </c>
      <c r="P2081" s="66"/>
      <c r="Q2081" s="66"/>
      <c r="R2081" s="54"/>
      <c r="S2081" s="82"/>
      <c r="T2081" s="83" t="str">
        <f t="shared" si="183"/>
        <v/>
      </c>
      <c r="U2081" s="10"/>
      <c r="V2081" s="41">
        <f>IF(AND(Q2081&lt;&gt;"",RIGHT(Q2081,3)&lt;&gt;""),IF(COUNTIF($Q$6:Q2081,Q2081)=1,1,0),0)</f>
        <v>0</v>
      </c>
      <c r="W2081" s="41" t="str">
        <f t="shared" si="184"/>
        <v/>
      </c>
      <c r="X2081" s="41" t="str">
        <f t="shared" si="185"/>
        <v/>
      </c>
    </row>
    <row r="2082" s="32" customFormat="1" hidden="1" customHeight="1" spans="1:24">
      <c r="A2082" s="34"/>
      <c r="B2082" s="51"/>
      <c r="C2082" s="51"/>
      <c r="D2082" s="52"/>
      <c r="E2082" s="53"/>
      <c r="F2082" s="54"/>
      <c r="G2082" s="54"/>
      <c r="H2082" s="54"/>
      <c r="I2082" s="66"/>
      <c r="J2082" s="54"/>
      <c r="K2082" s="54"/>
      <c r="L2082" s="54"/>
      <c r="M2082" s="97" t="str">
        <f t="shared" si="182"/>
        <v/>
      </c>
      <c r="N2082" s="70"/>
      <c r="O2082" s="71" t="str">
        <f t="shared" si="186"/>
        <v/>
      </c>
      <c r="P2082" s="66"/>
      <c r="Q2082" s="66"/>
      <c r="R2082" s="54"/>
      <c r="S2082" s="82"/>
      <c r="T2082" s="83" t="str">
        <f t="shared" si="183"/>
        <v/>
      </c>
      <c r="U2082" s="10"/>
      <c r="V2082" s="41">
        <f>IF(AND(Q2082&lt;&gt;"",RIGHT(Q2082,3)&lt;&gt;""),IF(COUNTIF($Q$6:Q2082,Q2082)=1,1,0),0)</f>
        <v>0</v>
      </c>
      <c r="W2082" s="41" t="str">
        <f t="shared" si="184"/>
        <v/>
      </c>
      <c r="X2082" s="41" t="str">
        <f t="shared" si="185"/>
        <v/>
      </c>
    </row>
    <row r="2083" s="32" customFormat="1" hidden="1" customHeight="1" spans="1:24">
      <c r="A2083" s="34"/>
      <c r="B2083" s="51"/>
      <c r="C2083" s="51"/>
      <c r="D2083" s="52"/>
      <c r="E2083" s="53"/>
      <c r="F2083" s="54"/>
      <c r="G2083" s="54"/>
      <c r="H2083" s="54"/>
      <c r="I2083" s="66"/>
      <c r="J2083" s="54"/>
      <c r="K2083" s="54"/>
      <c r="L2083" s="54"/>
      <c r="M2083" s="97" t="str">
        <f t="shared" si="182"/>
        <v/>
      </c>
      <c r="N2083" s="70"/>
      <c r="O2083" s="71" t="str">
        <f t="shared" si="186"/>
        <v/>
      </c>
      <c r="P2083" s="66"/>
      <c r="Q2083" s="66"/>
      <c r="R2083" s="54"/>
      <c r="S2083" s="82"/>
      <c r="T2083" s="83" t="str">
        <f t="shared" si="183"/>
        <v/>
      </c>
      <c r="U2083" s="10"/>
      <c r="V2083" s="41">
        <f>IF(AND(Q2083&lt;&gt;"",RIGHT(Q2083,3)&lt;&gt;""),IF(COUNTIF($Q$6:Q2083,Q2083)=1,1,0),0)</f>
        <v>0</v>
      </c>
      <c r="W2083" s="41" t="str">
        <f t="shared" si="184"/>
        <v/>
      </c>
      <c r="X2083" s="41" t="str">
        <f t="shared" si="185"/>
        <v/>
      </c>
    </row>
    <row r="2084" s="32" customFormat="1" hidden="1" customHeight="1" spans="1:24">
      <c r="A2084" s="34"/>
      <c r="B2084" s="51"/>
      <c r="C2084" s="51"/>
      <c r="D2084" s="52"/>
      <c r="E2084" s="53"/>
      <c r="F2084" s="54"/>
      <c r="G2084" s="54"/>
      <c r="H2084" s="54"/>
      <c r="I2084" s="66"/>
      <c r="J2084" s="54"/>
      <c r="K2084" s="54"/>
      <c r="L2084" s="54"/>
      <c r="M2084" s="97" t="str">
        <f t="shared" ref="M2084:M2147" si="187">IF(L2084="","",HYPERLINK(_xlfn.CONCAT($L$4,L2084,".jpg"),"Open File"))</f>
        <v/>
      </c>
      <c r="N2084" s="70"/>
      <c r="O2084" s="71" t="str">
        <f t="shared" si="186"/>
        <v/>
      </c>
      <c r="P2084" s="66"/>
      <c r="Q2084" s="66"/>
      <c r="R2084" s="54"/>
      <c r="S2084" s="82"/>
      <c r="T2084" s="83" t="str">
        <f t="shared" ref="T2084:T2147" si="188">IF(S2084="","",HYPERLINK(_xlfn.CONCAT($S$4,S2084,".jpg"),"Open File"))</f>
        <v/>
      </c>
      <c r="U2084" s="10"/>
      <c r="V2084" s="41">
        <f>IF(AND(Q2084&lt;&gt;"",RIGHT(Q2084,3)&lt;&gt;""),IF(COUNTIF($Q$6:Q2084,Q2084)=1,1,0),0)</f>
        <v>0</v>
      </c>
      <c r="W2084" s="41" t="str">
        <f t="shared" ref="W2084:W2147" si="189">IF(AND(J2084&lt;&gt;"",K2084&lt;&gt;""),_xlfn.CONCAT(SUBSTITUTE(J2084,"/","."),"-",K2084),"")</f>
        <v/>
      </c>
      <c r="X2084" s="41" t="str">
        <f t="shared" ref="X2084:X2147" si="190">IF(AND(Q2084&lt;&gt;"",R2084&lt;&gt;""),_xlfn.CONCAT(SUBSTITUTE(Q2084,"/","."),"-",R2084),"")</f>
        <v/>
      </c>
    </row>
    <row r="2085" s="32" customFormat="1" hidden="1" customHeight="1" spans="1:24">
      <c r="A2085" s="34"/>
      <c r="B2085" s="51"/>
      <c r="C2085" s="51"/>
      <c r="D2085" s="52"/>
      <c r="E2085" s="53"/>
      <c r="F2085" s="54"/>
      <c r="G2085" s="54"/>
      <c r="H2085" s="54"/>
      <c r="I2085" s="66"/>
      <c r="J2085" s="54"/>
      <c r="K2085" s="54"/>
      <c r="L2085" s="54"/>
      <c r="M2085" s="97" t="str">
        <f t="shared" si="187"/>
        <v/>
      </c>
      <c r="N2085" s="70"/>
      <c r="O2085" s="71" t="str">
        <f t="shared" si="186"/>
        <v/>
      </c>
      <c r="P2085" s="66"/>
      <c r="Q2085" s="66"/>
      <c r="R2085" s="54"/>
      <c r="S2085" s="82"/>
      <c r="T2085" s="83" t="str">
        <f t="shared" si="188"/>
        <v/>
      </c>
      <c r="U2085" s="10"/>
      <c r="V2085" s="41">
        <f>IF(AND(Q2085&lt;&gt;"",RIGHT(Q2085,3)&lt;&gt;""),IF(COUNTIF($Q$6:Q2085,Q2085)=1,1,0),0)</f>
        <v>0</v>
      </c>
      <c r="W2085" s="41" t="str">
        <f t="shared" si="189"/>
        <v/>
      </c>
      <c r="X2085" s="41" t="str">
        <f t="shared" si="190"/>
        <v/>
      </c>
    </row>
    <row r="2086" s="32" customFormat="1" hidden="1" customHeight="1" spans="1:24">
      <c r="A2086" s="34"/>
      <c r="B2086" s="51"/>
      <c r="C2086" s="51"/>
      <c r="D2086" s="52"/>
      <c r="E2086" s="53"/>
      <c r="F2086" s="54"/>
      <c r="G2086" s="54"/>
      <c r="H2086" s="54"/>
      <c r="I2086" s="66"/>
      <c r="J2086" s="54"/>
      <c r="K2086" s="54"/>
      <c r="L2086" s="54"/>
      <c r="M2086" s="97" t="str">
        <f t="shared" si="187"/>
        <v/>
      </c>
      <c r="N2086" s="70"/>
      <c r="O2086" s="71" t="str">
        <f t="shared" si="186"/>
        <v/>
      </c>
      <c r="P2086" s="66"/>
      <c r="Q2086" s="66"/>
      <c r="R2086" s="54"/>
      <c r="S2086" s="82"/>
      <c r="T2086" s="83" t="str">
        <f t="shared" si="188"/>
        <v/>
      </c>
      <c r="U2086" s="10"/>
      <c r="V2086" s="41">
        <f>IF(AND(Q2086&lt;&gt;"",RIGHT(Q2086,3)&lt;&gt;""),IF(COUNTIF($Q$6:Q2086,Q2086)=1,1,0),0)</f>
        <v>0</v>
      </c>
      <c r="W2086" s="41" t="str">
        <f t="shared" si="189"/>
        <v/>
      </c>
      <c r="X2086" s="41" t="str">
        <f t="shared" si="190"/>
        <v/>
      </c>
    </row>
    <row r="2087" s="32" customFormat="1" hidden="1" customHeight="1" spans="1:24">
      <c r="A2087" s="34"/>
      <c r="B2087" s="51"/>
      <c r="C2087" s="51"/>
      <c r="D2087" s="52"/>
      <c r="E2087" s="53"/>
      <c r="F2087" s="54"/>
      <c r="G2087" s="54"/>
      <c r="H2087" s="54"/>
      <c r="I2087" s="66"/>
      <c r="J2087" s="54"/>
      <c r="K2087" s="54"/>
      <c r="L2087" s="54"/>
      <c r="M2087" s="97" t="str">
        <f t="shared" si="187"/>
        <v/>
      </c>
      <c r="N2087" s="70"/>
      <c r="O2087" s="71" t="str">
        <f t="shared" si="186"/>
        <v/>
      </c>
      <c r="P2087" s="66"/>
      <c r="Q2087" s="66"/>
      <c r="R2087" s="54"/>
      <c r="S2087" s="82"/>
      <c r="T2087" s="83" t="str">
        <f t="shared" si="188"/>
        <v/>
      </c>
      <c r="U2087" s="10"/>
      <c r="V2087" s="41">
        <f>IF(AND(Q2087&lt;&gt;"",RIGHT(Q2087,3)&lt;&gt;""),IF(COUNTIF($Q$6:Q2087,Q2087)=1,1,0),0)</f>
        <v>0</v>
      </c>
      <c r="W2087" s="41" t="str">
        <f t="shared" si="189"/>
        <v/>
      </c>
      <c r="X2087" s="41" t="str">
        <f t="shared" si="190"/>
        <v/>
      </c>
    </row>
    <row r="2088" s="32" customFormat="1" hidden="1" customHeight="1" spans="1:24">
      <c r="A2088" s="34"/>
      <c r="B2088" s="51"/>
      <c r="C2088" s="51"/>
      <c r="D2088" s="52"/>
      <c r="E2088" s="53"/>
      <c r="F2088" s="54"/>
      <c r="G2088" s="54"/>
      <c r="H2088" s="54"/>
      <c r="I2088" s="66"/>
      <c r="J2088" s="54"/>
      <c r="K2088" s="54"/>
      <c r="L2088" s="54"/>
      <c r="M2088" s="97" t="str">
        <f t="shared" si="187"/>
        <v/>
      </c>
      <c r="N2088" s="70"/>
      <c r="O2088" s="71" t="str">
        <f t="shared" si="186"/>
        <v/>
      </c>
      <c r="P2088" s="66"/>
      <c r="Q2088" s="66"/>
      <c r="R2088" s="54"/>
      <c r="S2088" s="82"/>
      <c r="T2088" s="83" t="str">
        <f t="shared" si="188"/>
        <v/>
      </c>
      <c r="U2088" s="10"/>
      <c r="V2088" s="41">
        <f>IF(AND(Q2088&lt;&gt;"",RIGHT(Q2088,3)&lt;&gt;""),IF(COUNTIF($Q$6:Q2088,Q2088)=1,1,0),0)</f>
        <v>0</v>
      </c>
      <c r="W2088" s="41" t="str">
        <f t="shared" si="189"/>
        <v/>
      </c>
      <c r="X2088" s="41" t="str">
        <f t="shared" si="190"/>
        <v/>
      </c>
    </row>
    <row r="2089" s="32" customFormat="1" hidden="1" customHeight="1" spans="1:24">
      <c r="A2089" s="34"/>
      <c r="B2089" s="51"/>
      <c r="C2089" s="51"/>
      <c r="D2089" s="52"/>
      <c r="E2089" s="53"/>
      <c r="F2089" s="54"/>
      <c r="G2089" s="54"/>
      <c r="H2089" s="54"/>
      <c r="I2089" s="66"/>
      <c r="J2089" s="54"/>
      <c r="K2089" s="54"/>
      <c r="L2089" s="54"/>
      <c r="M2089" s="97" t="str">
        <f t="shared" si="187"/>
        <v/>
      </c>
      <c r="N2089" s="70"/>
      <c r="O2089" s="71" t="str">
        <f t="shared" si="186"/>
        <v/>
      </c>
      <c r="P2089" s="66"/>
      <c r="Q2089" s="66"/>
      <c r="R2089" s="54"/>
      <c r="S2089" s="82"/>
      <c r="T2089" s="83" t="str">
        <f t="shared" si="188"/>
        <v/>
      </c>
      <c r="U2089" s="10"/>
      <c r="V2089" s="41">
        <f>IF(AND(Q2089&lt;&gt;"",RIGHT(Q2089,3)&lt;&gt;""),IF(COUNTIF($Q$6:Q2089,Q2089)=1,1,0),0)</f>
        <v>0</v>
      </c>
      <c r="W2089" s="41" t="str">
        <f t="shared" si="189"/>
        <v/>
      </c>
      <c r="X2089" s="41" t="str">
        <f t="shared" si="190"/>
        <v/>
      </c>
    </row>
    <row r="2090" s="32" customFormat="1" hidden="1" customHeight="1" spans="1:24">
      <c r="A2090" s="34"/>
      <c r="B2090" s="51"/>
      <c r="C2090" s="51"/>
      <c r="D2090" s="52"/>
      <c r="E2090" s="53"/>
      <c r="F2090" s="54"/>
      <c r="G2090" s="54"/>
      <c r="H2090" s="54"/>
      <c r="I2090" s="66"/>
      <c r="J2090" s="54"/>
      <c r="K2090" s="54"/>
      <c r="L2090" s="54"/>
      <c r="M2090" s="97" t="str">
        <f t="shared" si="187"/>
        <v/>
      </c>
      <c r="N2090" s="70"/>
      <c r="O2090" s="71" t="str">
        <f t="shared" si="186"/>
        <v/>
      </c>
      <c r="P2090" s="66"/>
      <c r="Q2090" s="66"/>
      <c r="R2090" s="54"/>
      <c r="S2090" s="82"/>
      <c r="T2090" s="83" t="str">
        <f t="shared" si="188"/>
        <v/>
      </c>
      <c r="U2090" s="10"/>
      <c r="V2090" s="41">
        <f>IF(AND(Q2090&lt;&gt;"",RIGHT(Q2090,3)&lt;&gt;""),IF(COUNTIF($Q$6:Q2090,Q2090)=1,1,0),0)</f>
        <v>0</v>
      </c>
      <c r="W2090" s="41" t="str">
        <f t="shared" si="189"/>
        <v/>
      </c>
      <c r="X2090" s="41" t="str">
        <f t="shared" si="190"/>
        <v/>
      </c>
    </row>
    <row r="2091" s="32" customFormat="1" hidden="1" customHeight="1" spans="1:24">
      <c r="A2091" s="34"/>
      <c r="B2091" s="51"/>
      <c r="C2091" s="51"/>
      <c r="D2091" s="52"/>
      <c r="E2091" s="53"/>
      <c r="F2091" s="54"/>
      <c r="G2091" s="54"/>
      <c r="H2091" s="54"/>
      <c r="I2091" s="66"/>
      <c r="J2091" s="54"/>
      <c r="K2091" s="54"/>
      <c r="L2091" s="54"/>
      <c r="M2091" s="97" t="str">
        <f t="shared" si="187"/>
        <v/>
      </c>
      <c r="N2091" s="70"/>
      <c r="O2091" s="71" t="str">
        <f t="shared" si="186"/>
        <v/>
      </c>
      <c r="P2091" s="66"/>
      <c r="Q2091" s="66"/>
      <c r="R2091" s="54"/>
      <c r="S2091" s="82"/>
      <c r="T2091" s="83" t="str">
        <f t="shared" si="188"/>
        <v/>
      </c>
      <c r="U2091" s="10"/>
      <c r="V2091" s="41">
        <f>IF(AND(Q2091&lt;&gt;"",RIGHT(Q2091,3)&lt;&gt;""),IF(COUNTIF($Q$6:Q2091,Q2091)=1,1,0),0)</f>
        <v>0</v>
      </c>
      <c r="W2091" s="41" t="str">
        <f t="shared" si="189"/>
        <v/>
      </c>
      <c r="X2091" s="41" t="str">
        <f t="shared" si="190"/>
        <v/>
      </c>
    </row>
    <row r="2092" s="32" customFormat="1" hidden="1" customHeight="1" spans="1:24">
      <c r="A2092" s="34"/>
      <c r="B2092" s="51"/>
      <c r="C2092" s="51"/>
      <c r="D2092" s="52"/>
      <c r="E2092" s="53"/>
      <c r="F2092" s="54"/>
      <c r="G2092" s="54"/>
      <c r="H2092" s="54"/>
      <c r="I2092" s="66"/>
      <c r="J2092" s="54"/>
      <c r="K2092" s="54"/>
      <c r="L2092" s="54"/>
      <c r="M2092" s="97" t="str">
        <f t="shared" si="187"/>
        <v/>
      </c>
      <c r="N2092" s="70"/>
      <c r="O2092" s="71" t="str">
        <f t="shared" si="186"/>
        <v/>
      </c>
      <c r="P2092" s="66"/>
      <c r="Q2092" s="66"/>
      <c r="R2092" s="54"/>
      <c r="S2092" s="82"/>
      <c r="T2092" s="83" t="str">
        <f t="shared" si="188"/>
        <v/>
      </c>
      <c r="U2092" s="10"/>
      <c r="V2092" s="41">
        <f>IF(AND(Q2092&lt;&gt;"",RIGHT(Q2092,3)&lt;&gt;""),IF(COUNTIF($Q$6:Q2092,Q2092)=1,1,0),0)</f>
        <v>0</v>
      </c>
      <c r="W2092" s="41" t="str">
        <f t="shared" si="189"/>
        <v/>
      </c>
      <c r="X2092" s="41" t="str">
        <f t="shared" si="190"/>
        <v/>
      </c>
    </row>
    <row r="2093" s="32" customFormat="1" hidden="1" customHeight="1" spans="1:24">
      <c r="A2093" s="34"/>
      <c r="B2093" s="51"/>
      <c r="C2093" s="51"/>
      <c r="D2093" s="52"/>
      <c r="E2093" s="53"/>
      <c r="F2093" s="54"/>
      <c r="G2093" s="54"/>
      <c r="H2093" s="54"/>
      <c r="I2093" s="66"/>
      <c r="J2093" s="54"/>
      <c r="K2093" s="54"/>
      <c r="L2093" s="54"/>
      <c r="M2093" s="97" t="str">
        <f t="shared" si="187"/>
        <v/>
      </c>
      <c r="N2093" s="70"/>
      <c r="O2093" s="71" t="str">
        <f t="shared" si="186"/>
        <v/>
      </c>
      <c r="P2093" s="66"/>
      <c r="Q2093" s="66"/>
      <c r="R2093" s="54"/>
      <c r="S2093" s="82"/>
      <c r="T2093" s="83" t="str">
        <f t="shared" si="188"/>
        <v/>
      </c>
      <c r="U2093" s="10"/>
      <c r="V2093" s="41">
        <f>IF(AND(Q2093&lt;&gt;"",RIGHT(Q2093,3)&lt;&gt;""),IF(COUNTIF($Q$6:Q2093,Q2093)=1,1,0),0)</f>
        <v>0</v>
      </c>
      <c r="W2093" s="41" t="str">
        <f t="shared" si="189"/>
        <v/>
      </c>
      <c r="X2093" s="41" t="str">
        <f t="shared" si="190"/>
        <v/>
      </c>
    </row>
    <row r="2094" s="32" customFormat="1" hidden="1" customHeight="1" spans="1:24">
      <c r="A2094" s="34"/>
      <c r="B2094" s="51"/>
      <c r="C2094" s="51"/>
      <c r="D2094" s="52"/>
      <c r="E2094" s="53"/>
      <c r="F2094" s="54"/>
      <c r="G2094" s="54"/>
      <c r="H2094" s="54"/>
      <c r="I2094" s="66"/>
      <c r="J2094" s="54"/>
      <c r="K2094" s="54"/>
      <c r="L2094" s="54"/>
      <c r="M2094" s="97" t="str">
        <f t="shared" si="187"/>
        <v/>
      </c>
      <c r="N2094" s="70"/>
      <c r="O2094" s="71" t="str">
        <f t="shared" si="186"/>
        <v/>
      </c>
      <c r="P2094" s="66"/>
      <c r="Q2094" s="66"/>
      <c r="R2094" s="54"/>
      <c r="S2094" s="82"/>
      <c r="T2094" s="83" t="str">
        <f t="shared" si="188"/>
        <v/>
      </c>
      <c r="U2094" s="10"/>
      <c r="V2094" s="41">
        <f>IF(AND(Q2094&lt;&gt;"",RIGHT(Q2094,3)&lt;&gt;""),IF(COUNTIF($Q$6:Q2094,Q2094)=1,1,0),0)</f>
        <v>0</v>
      </c>
      <c r="W2094" s="41" t="str">
        <f t="shared" si="189"/>
        <v/>
      </c>
      <c r="X2094" s="41" t="str">
        <f t="shared" si="190"/>
        <v/>
      </c>
    </row>
    <row r="2095" s="32" customFormat="1" hidden="1" customHeight="1" spans="1:24">
      <c r="A2095" s="34"/>
      <c r="B2095" s="51"/>
      <c r="C2095" s="51"/>
      <c r="D2095" s="52"/>
      <c r="E2095" s="53"/>
      <c r="F2095" s="54"/>
      <c r="G2095" s="54"/>
      <c r="H2095" s="54"/>
      <c r="I2095" s="66"/>
      <c r="J2095" s="54"/>
      <c r="K2095" s="54"/>
      <c r="L2095" s="54"/>
      <c r="M2095" s="97" t="str">
        <f t="shared" si="187"/>
        <v/>
      </c>
      <c r="N2095" s="70"/>
      <c r="O2095" s="71" t="str">
        <f t="shared" si="186"/>
        <v/>
      </c>
      <c r="P2095" s="66"/>
      <c r="Q2095" s="66"/>
      <c r="R2095" s="54"/>
      <c r="S2095" s="82"/>
      <c r="T2095" s="83" t="str">
        <f t="shared" si="188"/>
        <v/>
      </c>
      <c r="U2095" s="10"/>
      <c r="V2095" s="41">
        <f>IF(AND(Q2095&lt;&gt;"",RIGHT(Q2095,3)&lt;&gt;""),IF(COUNTIF($Q$6:Q2095,Q2095)=1,1,0),0)</f>
        <v>0</v>
      </c>
      <c r="W2095" s="41" t="str">
        <f t="shared" si="189"/>
        <v/>
      </c>
      <c r="X2095" s="41" t="str">
        <f t="shared" si="190"/>
        <v/>
      </c>
    </row>
    <row r="2096" s="32" customFormat="1" hidden="1" customHeight="1" spans="1:24">
      <c r="A2096" s="34"/>
      <c r="B2096" s="51"/>
      <c r="C2096" s="51"/>
      <c r="D2096" s="52"/>
      <c r="E2096" s="53"/>
      <c r="F2096" s="54"/>
      <c r="G2096" s="54"/>
      <c r="H2096" s="54"/>
      <c r="I2096" s="66"/>
      <c r="J2096" s="54"/>
      <c r="K2096" s="54"/>
      <c r="L2096" s="54"/>
      <c r="M2096" s="97" t="str">
        <f t="shared" si="187"/>
        <v/>
      </c>
      <c r="N2096" s="70"/>
      <c r="O2096" s="71" t="str">
        <f t="shared" si="186"/>
        <v/>
      </c>
      <c r="P2096" s="66"/>
      <c r="Q2096" s="66"/>
      <c r="R2096" s="54"/>
      <c r="S2096" s="82"/>
      <c r="T2096" s="83" t="str">
        <f t="shared" si="188"/>
        <v/>
      </c>
      <c r="U2096" s="10"/>
      <c r="V2096" s="41">
        <f>IF(AND(Q2096&lt;&gt;"",RIGHT(Q2096,3)&lt;&gt;""),IF(COUNTIF($Q$6:Q2096,Q2096)=1,1,0),0)</f>
        <v>0</v>
      </c>
      <c r="W2096" s="41" t="str">
        <f t="shared" si="189"/>
        <v/>
      </c>
      <c r="X2096" s="41" t="str">
        <f t="shared" si="190"/>
        <v/>
      </c>
    </row>
    <row r="2097" s="32" customFormat="1" hidden="1" customHeight="1" spans="1:24">
      <c r="A2097" s="34"/>
      <c r="B2097" s="51"/>
      <c r="C2097" s="51"/>
      <c r="D2097" s="52"/>
      <c r="E2097" s="53"/>
      <c r="F2097" s="54"/>
      <c r="G2097" s="54"/>
      <c r="H2097" s="54"/>
      <c r="I2097" s="66"/>
      <c r="J2097" s="54"/>
      <c r="K2097" s="54"/>
      <c r="L2097" s="54"/>
      <c r="M2097" s="97" t="str">
        <f t="shared" si="187"/>
        <v/>
      </c>
      <c r="N2097" s="70"/>
      <c r="O2097" s="71" t="str">
        <f t="shared" ref="O2097:O2160" si="191">IF(AND(Q2097&lt;&gt;"",T2097&lt;&gt;""),"PASSIVE",IF(AND(J2097&lt;&gt;"",M2097&lt;&gt;""),"ACTIVE",""))</f>
        <v/>
      </c>
      <c r="P2097" s="66"/>
      <c r="Q2097" s="66"/>
      <c r="R2097" s="54"/>
      <c r="S2097" s="82"/>
      <c r="T2097" s="83" t="str">
        <f t="shared" si="188"/>
        <v/>
      </c>
      <c r="U2097" s="10"/>
      <c r="V2097" s="41">
        <f>IF(AND(Q2097&lt;&gt;"",RIGHT(Q2097,3)&lt;&gt;""),IF(COUNTIF($Q$6:Q2097,Q2097)=1,1,0),0)</f>
        <v>0</v>
      </c>
      <c r="W2097" s="41" t="str">
        <f t="shared" si="189"/>
        <v/>
      </c>
      <c r="X2097" s="41" t="str">
        <f t="shared" si="190"/>
        <v/>
      </c>
    </row>
    <row r="2098" s="32" customFormat="1" hidden="1" customHeight="1" spans="1:24">
      <c r="A2098" s="34"/>
      <c r="B2098" s="51"/>
      <c r="C2098" s="51"/>
      <c r="D2098" s="52"/>
      <c r="E2098" s="53"/>
      <c r="F2098" s="54"/>
      <c r="G2098" s="54"/>
      <c r="H2098" s="54"/>
      <c r="I2098" s="66"/>
      <c r="J2098" s="54"/>
      <c r="K2098" s="54"/>
      <c r="L2098" s="54"/>
      <c r="M2098" s="97" t="str">
        <f t="shared" si="187"/>
        <v/>
      </c>
      <c r="N2098" s="70"/>
      <c r="O2098" s="71" t="str">
        <f t="shared" si="191"/>
        <v/>
      </c>
      <c r="P2098" s="66"/>
      <c r="Q2098" s="66"/>
      <c r="R2098" s="54"/>
      <c r="S2098" s="82"/>
      <c r="T2098" s="83" t="str">
        <f t="shared" si="188"/>
        <v/>
      </c>
      <c r="U2098" s="10"/>
      <c r="V2098" s="41">
        <f>IF(AND(Q2098&lt;&gt;"",RIGHT(Q2098,3)&lt;&gt;""),IF(COUNTIF($Q$6:Q2098,Q2098)=1,1,0),0)</f>
        <v>0</v>
      </c>
      <c r="W2098" s="41" t="str">
        <f t="shared" si="189"/>
        <v/>
      </c>
      <c r="X2098" s="41" t="str">
        <f t="shared" si="190"/>
        <v/>
      </c>
    </row>
    <row r="2099" s="32" customFormat="1" hidden="1" customHeight="1" spans="1:24">
      <c r="A2099" s="34"/>
      <c r="B2099" s="51"/>
      <c r="C2099" s="51"/>
      <c r="D2099" s="52"/>
      <c r="E2099" s="53"/>
      <c r="F2099" s="54"/>
      <c r="G2099" s="54"/>
      <c r="H2099" s="54"/>
      <c r="I2099" s="66"/>
      <c r="J2099" s="54"/>
      <c r="K2099" s="54"/>
      <c r="L2099" s="54"/>
      <c r="M2099" s="97" t="str">
        <f t="shared" si="187"/>
        <v/>
      </c>
      <c r="N2099" s="70"/>
      <c r="O2099" s="71" t="str">
        <f t="shared" si="191"/>
        <v/>
      </c>
      <c r="P2099" s="66"/>
      <c r="Q2099" s="66"/>
      <c r="R2099" s="54"/>
      <c r="S2099" s="82"/>
      <c r="T2099" s="83" t="str">
        <f t="shared" si="188"/>
        <v/>
      </c>
      <c r="U2099" s="10"/>
      <c r="V2099" s="41">
        <f>IF(AND(Q2099&lt;&gt;"",RIGHT(Q2099,3)&lt;&gt;""),IF(COUNTIF($Q$6:Q2099,Q2099)=1,1,0),0)</f>
        <v>0</v>
      </c>
      <c r="W2099" s="41" t="str">
        <f t="shared" si="189"/>
        <v/>
      </c>
      <c r="X2099" s="41" t="str">
        <f t="shared" si="190"/>
        <v/>
      </c>
    </row>
    <row r="2100" s="32" customFormat="1" hidden="1" customHeight="1" spans="1:24">
      <c r="A2100" s="34"/>
      <c r="B2100" s="51"/>
      <c r="C2100" s="51"/>
      <c r="D2100" s="52"/>
      <c r="E2100" s="53"/>
      <c r="F2100" s="54"/>
      <c r="G2100" s="54"/>
      <c r="H2100" s="54"/>
      <c r="I2100" s="66"/>
      <c r="J2100" s="54"/>
      <c r="K2100" s="54"/>
      <c r="L2100" s="54"/>
      <c r="M2100" s="97" t="str">
        <f t="shared" si="187"/>
        <v/>
      </c>
      <c r="N2100" s="70"/>
      <c r="O2100" s="71" t="str">
        <f t="shared" si="191"/>
        <v/>
      </c>
      <c r="P2100" s="66"/>
      <c r="Q2100" s="66"/>
      <c r="R2100" s="54"/>
      <c r="S2100" s="82"/>
      <c r="T2100" s="83" t="str">
        <f t="shared" si="188"/>
        <v/>
      </c>
      <c r="U2100" s="10"/>
      <c r="V2100" s="41">
        <f>IF(AND(Q2100&lt;&gt;"",RIGHT(Q2100,3)&lt;&gt;""),IF(COUNTIF($Q$6:Q2100,Q2100)=1,1,0),0)</f>
        <v>0</v>
      </c>
      <c r="W2100" s="41" t="str">
        <f t="shared" si="189"/>
        <v/>
      </c>
      <c r="X2100" s="41" t="str">
        <f t="shared" si="190"/>
        <v/>
      </c>
    </row>
    <row r="2101" s="32" customFormat="1" hidden="1" customHeight="1" spans="1:24">
      <c r="A2101" s="34"/>
      <c r="B2101" s="51"/>
      <c r="C2101" s="51"/>
      <c r="D2101" s="52"/>
      <c r="E2101" s="53"/>
      <c r="F2101" s="54"/>
      <c r="G2101" s="54"/>
      <c r="H2101" s="54"/>
      <c r="I2101" s="66"/>
      <c r="J2101" s="54"/>
      <c r="K2101" s="54"/>
      <c r="L2101" s="54"/>
      <c r="M2101" s="97" t="str">
        <f t="shared" si="187"/>
        <v/>
      </c>
      <c r="N2101" s="70"/>
      <c r="O2101" s="71" t="str">
        <f t="shared" si="191"/>
        <v/>
      </c>
      <c r="P2101" s="66"/>
      <c r="Q2101" s="66"/>
      <c r="R2101" s="54"/>
      <c r="S2101" s="82"/>
      <c r="T2101" s="83" t="str">
        <f t="shared" si="188"/>
        <v/>
      </c>
      <c r="U2101" s="10"/>
      <c r="V2101" s="41">
        <f>IF(AND(Q2101&lt;&gt;"",RIGHT(Q2101,3)&lt;&gt;""),IF(COUNTIF($Q$6:Q2101,Q2101)=1,1,0),0)</f>
        <v>0</v>
      </c>
      <c r="W2101" s="41" t="str">
        <f t="shared" si="189"/>
        <v/>
      </c>
      <c r="X2101" s="41" t="str">
        <f t="shared" si="190"/>
        <v/>
      </c>
    </row>
    <row r="2102" s="32" customFormat="1" hidden="1" customHeight="1" spans="1:24">
      <c r="A2102" s="34"/>
      <c r="B2102" s="51"/>
      <c r="C2102" s="51"/>
      <c r="D2102" s="52"/>
      <c r="E2102" s="53"/>
      <c r="F2102" s="54"/>
      <c r="G2102" s="54"/>
      <c r="H2102" s="54"/>
      <c r="I2102" s="66"/>
      <c r="J2102" s="54"/>
      <c r="K2102" s="54"/>
      <c r="L2102" s="54"/>
      <c r="M2102" s="97" t="str">
        <f t="shared" si="187"/>
        <v/>
      </c>
      <c r="N2102" s="70"/>
      <c r="O2102" s="71" t="str">
        <f t="shared" si="191"/>
        <v/>
      </c>
      <c r="P2102" s="66"/>
      <c r="Q2102" s="66"/>
      <c r="R2102" s="54"/>
      <c r="S2102" s="82"/>
      <c r="T2102" s="83" t="str">
        <f t="shared" si="188"/>
        <v/>
      </c>
      <c r="U2102" s="10"/>
      <c r="V2102" s="41">
        <f>IF(AND(Q2102&lt;&gt;"",RIGHT(Q2102,3)&lt;&gt;""),IF(COUNTIF($Q$6:Q2102,Q2102)=1,1,0),0)</f>
        <v>0</v>
      </c>
      <c r="W2102" s="41" t="str">
        <f t="shared" si="189"/>
        <v/>
      </c>
      <c r="X2102" s="41" t="str">
        <f t="shared" si="190"/>
        <v/>
      </c>
    </row>
    <row r="2103" s="32" customFormat="1" hidden="1" customHeight="1" spans="1:24">
      <c r="A2103" s="34"/>
      <c r="B2103" s="51"/>
      <c r="C2103" s="51"/>
      <c r="D2103" s="52"/>
      <c r="E2103" s="53"/>
      <c r="F2103" s="54"/>
      <c r="G2103" s="54"/>
      <c r="H2103" s="54"/>
      <c r="I2103" s="66"/>
      <c r="J2103" s="54"/>
      <c r="K2103" s="54"/>
      <c r="L2103" s="54"/>
      <c r="M2103" s="97" t="str">
        <f t="shared" si="187"/>
        <v/>
      </c>
      <c r="N2103" s="70"/>
      <c r="O2103" s="71" t="str">
        <f t="shared" si="191"/>
        <v/>
      </c>
      <c r="P2103" s="66"/>
      <c r="Q2103" s="66"/>
      <c r="R2103" s="54"/>
      <c r="S2103" s="82"/>
      <c r="T2103" s="83" t="str">
        <f t="shared" si="188"/>
        <v/>
      </c>
      <c r="U2103" s="10"/>
      <c r="V2103" s="41">
        <f>IF(AND(Q2103&lt;&gt;"",RIGHT(Q2103,3)&lt;&gt;""),IF(COUNTIF($Q$6:Q2103,Q2103)=1,1,0),0)</f>
        <v>0</v>
      </c>
      <c r="W2103" s="41" t="str">
        <f t="shared" si="189"/>
        <v/>
      </c>
      <c r="X2103" s="41" t="str">
        <f t="shared" si="190"/>
        <v/>
      </c>
    </row>
    <row r="2104" s="32" customFormat="1" hidden="1" customHeight="1" spans="1:24">
      <c r="A2104" s="34"/>
      <c r="B2104" s="51"/>
      <c r="C2104" s="51"/>
      <c r="D2104" s="52"/>
      <c r="E2104" s="53"/>
      <c r="F2104" s="54"/>
      <c r="G2104" s="54"/>
      <c r="H2104" s="54"/>
      <c r="I2104" s="66"/>
      <c r="J2104" s="54"/>
      <c r="K2104" s="54"/>
      <c r="L2104" s="54"/>
      <c r="M2104" s="97" t="str">
        <f t="shared" si="187"/>
        <v/>
      </c>
      <c r="N2104" s="70"/>
      <c r="O2104" s="71" t="str">
        <f t="shared" si="191"/>
        <v/>
      </c>
      <c r="P2104" s="66"/>
      <c r="Q2104" s="66"/>
      <c r="R2104" s="54"/>
      <c r="S2104" s="82"/>
      <c r="T2104" s="83" t="str">
        <f t="shared" si="188"/>
        <v/>
      </c>
      <c r="U2104" s="10"/>
      <c r="V2104" s="41">
        <f>IF(AND(Q2104&lt;&gt;"",RIGHT(Q2104,3)&lt;&gt;""),IF(COUNTIF($Q$6:Q2104,Q2104)=1,1,0),0)</f>
        <v>0</v>
      </c>
      <c r="W2104" s="41" t="str">
        <f t="shared" si="189"/>
        <v/>
      </c>
      <c r="X2104" s="41" t="str">
        <f t="shared" si="190"/>
        <v/>
      </c>
    </row>
    <row r="2105" s="32" customFormat="1" hidden="1" customHeight="1" spans="1:24">
      <c r="A2105" s="34"/>
      <c r="B2105" s="51"/>
      <c r="C2105" s="51"/>
      <c r="D2105" s="52"/>
      <c r="E2105" s="53"/>
      <c r="F2105" s="54"/>
      <c r="G2105" s="54"/>
      <c r="H2105" s="54"/>
      <c r="I2105" s="66"/>
      <c r="J2105" s="54"/>
      <c r="K2105" s="54"/>
      <c r="L2105" s="54"/>
      <c r="M2105" s="97" t="str">
        <f t="shared" si="187"/>
        <v/>
      </c>
      <c r="N2105" s="70"/>
      <c r="O2105" s="71" t="str">
        <f t="shared" si="191"/>
        <v/>
      </c>
      <c r="P2105" s="66"/>
      <c r="Q2105" s="66"/>
      <c r="R2105" s="54"/>
      <c r="S2105" s="82"/>
      <c r="T2105" s="83" t="str">
        <f t="shared" si="188"/>
        <v/>
      </c>
      <c r="U2105" s="10"/>
      <c r="V2105" s="41">
        <f>IF(AND(Q2105&lt;&gt;"",RIGHT(Q2105,3)&lt;&gt;""),IF(COUNTIF($Q$6:Q2105,Q2105)=1,1,0),0)</f>
        <v>0</v>
      </c>
      <c r="W2105" s="41" t="str">
        <f t="shared" si="189"/>
        <v/>
      </c>
      <c r="X2105" s="41" t="str">
        <f t="shared" si="190"/>
        <v/>
      </c>
    </row>
    <row r="2106" s="32" customFormat="1" hidden="1" customHeight="1" spans="1:24">
      <c r="A2106" s="34"/>
      <c r="B2106" s="51"/>
      <c r="C2106" s="51"/>
      <c r="D2106" s="52"/>
      <c r="E2106" s="53"/>
      <c r="F2106" s="54"/>
      <c r="G2106" s="54"/>
      <c r="H2106" s="54"/>
      <c r="I2106" s="66"/>
      <c r="J2106" s="54"/>
      <c r="K2106" s="54"/>
      <c r="L2106" s="54"/>
      <c r="M2106" s="97" t="str">
        <f t="shared" si="187"/>
        <v/>
      </c>
      <c r="N2106" s="70"/>
      <c r="O2106" s="71" t="str">
        <f t="shared" si="191"/>
        <v/>
      </c>
      <c r="P2106" s="66"/>
      <c r="Q2106" s="66"/>
      <c r="R2106" s="54"/>
      <c r="S2106" s="82"/>
      <c r="T2106" s="83" t="str">
        <f t="shared" si="188"/>
        <v/>
      </c>
      <c r="U2106" s="10"/>
      <c r="V2106" s="41">
        <f>IF(AND(Q2106&lt;&gt;"",RIGHT(Q2106,3)&lt;&gt;""),IF(COUNTIF($Q$6:Q2106,Q2106)=1,1,0),0)</f>
        <v>0</v>
      </c>
      <c r="W2106" s="41" t="str">
        <f t="shared" si="189"/>
        <v/>
      </c>
      <c r="X2106" s="41" t="str">
        <f t="shared" si="190"/>
        <v/>
      </c>
    </row>
    <row r="2107" s="32" customFormat="1" hidden="1" customHeight="1" spans="1:24">
      <c r="A2107" s="34"/>
      <c r="B2107" s="51"/>
      <c r="C2107" s="51"/>
      <c r="D2107" s="52"/>
      <c r="E2107" s="53"/>
      <c r="F2107" s="54"/>
      <c r="G2107" s="54"/>
      <c r="H2107" s="54"/>
      <c r="I2107" s="66"/>
      <c r="J2107" s="54"/>
      <c r="K2107" s="54"/>
      <c r="L2107" s="54"/>
      <c r="M2107" s="97" t="str">
        <f t="shared" si="187"/>
        <v/>
      </c>
      <c r="N2107" s="70"/>
      <c r="O2107" s="71" t="str">
        <f t="shared" si="191"/>
        <v/>
      </c>
      <c r="P2107" s="66"/>
      <c r="Q2107" s="66"/>
      <c r="R2107" s="54"/>
      <c r="S2107" s="82"/>
      <c r="T2107" s="83" t="str">
        <f t="shared" si="188"/>
        <v/>
      </c>
      <c r="U2107" s="10"/>
      <c r="V2107" s="41">
        <f>IF(AND(Q2107&lt;&gt;"",RIGHT(Q2107,3)&lt;&gt;""),IF(COUNTIF($Q$6:Q2107,Q2107)=1,1,0),0)</f>
        <v>0</v>
      </c>
      <c r="W2107" s="41" t="str">
        <f t="shared" si="189"/>
        <v/>
      </c>
      <c r="X2107" s="41" t="str">
        <f t="shared" si="190"/>
        <v/>
      </c>
    </row>
    <row r="2108" s="32" customFormat="1" hidden="1" customHeight="1" spans="1:24">
      <c r="A2108" s="34"/>
      <c r="B2108" s="51"/>
      <c r="C2108" s="51"/>
      <c r="D2108" s="52"/>
      <c r="E2108" s="53"/>
      <c r="F2108" s="54"/>
      <c r="G2108" s="54"/>
      <c r="H2108" s="54"/>
      <c r="I2108" s="66"/>
      <c r="J2108" s="54"/>
      <c r="K2108" s="54"/>
      <c r="L2108" s="54"/>
      <c r="M2108" s="97" t="str">
        <f t="shared" si="187"/>
        <v/>
      </c>
      <c r="N2108" s="70"/>
      <c r="O2108" s="71" t="str">
        <f t="shared" si="191"/>
        <v/>
      </c>
      <c r="P2108" s="66"/>
      <c r="Q2108" s="66"/>
      <c r="R2108" s="54"/>
      <c r="S2108" s="82"/>
      <c r="T2108" s="83" t="str">
        <f t="shared" si="188"/>
        <v/>
      </c>
      <c r="U2108" s="10"/>
      <c r="V2108" s="41">
        <f>IF(AND(Q2108&lt;&gt;"",RIGHT(Q2108,3)&lt;&gt;""),IF(COUNTIF($Q$6:Q2108,Q2108)=1,1,0),0)</f>
        <v>0</v>
      </c>
      <c r="W2108" s="41" t="str">
        <f t="shared" si="189"/>
        <v/>
      </c>
      <c r="X2108" s="41" t="str">
        <f t="shared" si="190"/>
        <v/>
      </c>
    </row>
    <row r="2109" s="32" customFormat="1" hidden="1" customHeight="1" spans="1:24">
      <c r="A2109" s="34"/>
      <c r="B2109" s="51"/>
      <c r="C2109" s="51"/>
      <c r="D2109" s="52"/>
      <c r="E2109" s="53"/>
      <c r="F2109" s="54"/>
      <c r="G2109" s="54"/>
      <c r="H2109" s="54"/>
      <c r="I2109" s="66"/>
      <c r="J2109" s="54"/>
      <c r="K2109" s="54"/>
      <c r="L2109" s="54"/>
      <c r="M2109" s="97" t="str">
        <f t="shared" si="187"/>
        <v/>
      </c>
      <c r="N2109" s="70"/>
      <c r="O2109" s="71" t="str">
        <f t="shared" si="191"/>
        <v/>
      </c>
      <c r="P2109" s="66"/>
      <c r="Q2109" s="66"/>
      <c r="R2109" s="54"/>
      <c r="S2109" s="82"/>
      <c r="T2109" s="83" t="str">
        <f t="shared" si="188"/>
        <v/>
      </c>
      <c r="U2109" s="10"/>
      <c r="V2109" s="41">
        <f>IF(AND(Q2109&lt;&gt;"",RIGHT(Q2109,3)&lt;&gt;""),IF(COUNTIF($Q$6:Q2109,Q2109)=1,1,0),0)</f>
        <v>0</v>
      </c>
      <c r="W2109" s="41" t="str">
        <f t="shared" si="189"/>
        <v/>
      </c>
      <c r="X2109" s="41" t="str">
        <f t="shared" si="190"/>
        <v/>
      </c>
    </row>
    <row r="2110" s="32" customFormat="1" hidden="1" customHeight="1" spans="1:24">
      <c r="A2110" s="34"/>
      <c r="B2110" s="51"/>
      <c r="C2110" s="51"/>
      <c r="D2110" s="52"/>
      <c r="E2110" s="53"/>
      <c r="F2110" s="54"/>
      <c r="G2110" s="54"/>
      <c r="H2110" s="54"/>
      <c r="I2110" s="66"/>
      <c r="J2110" s="54"/>
      <c r="K2110" s="54"/>
      <c r="L2110" s="54"/>
      <c r="M2110" s="97" t="str">
        <f t="shared" si="187"/>
        <v/>
      </c>
      <c r="N2110" s="70"/>
      <c r="O2110" s="71" t="str">
        <f t="shared" si="191"/>
        <v/>
      </c>
      <c r="P2110" s="66"/>
      <c r="Q2110" s="66"/>
      <c r="R2110" s="54"/>
      <c r="S2110" s="82"/>
      <c r="T2110" s="83" t="str">
        <f t="shared" si="188"/>
        <v/>
      </c>
      <c r="U2110" s="10"/>
      <c r="V2110" s="41">
        <f>IF(AND(Q2110&lt;&gt;"",RIGHT(Q2110,3)&lt;&gt;""),IF(COUNTIF($Q$6:Q2110,Q2110)=1,1,0),0)</f>
        <v>0</v>
      </c>
      <c r="W2110" s="41" t="str">
        <f t="shared" si="189"/>
        <v/>
      </c>
      <c r="X2110" s="41" t="str">
        <f t="shared" si="190"/>
        <v/>
      </c>
    </row>
    <row r="2111" s="32" customFormat="1" hidden="1" customHeight="1" spans="1:24">
      <c r="A2111" s="34"/>
      <c r="B2111" s="51"/>
      <c r="C2111" s="51"/>
      <c r="D2111" s="52"/>
      <c r="E2111" s="53"/>
      <c r="F2111" s="54"/>
      <c r="G2111" s="54"/>
      <c r="H2111" s="54"/>
      <c r="I2111" s="66"/>
      <c r="J2111" s="54"/>
      <c r="K2111" s="54"/>
      <c r="L2111" s="54"/>
      <c r="M2111" s="97" t="str">
        <f t="shared" si="187"/>
        <v/>
      </c>
      <c r="N2111" s="70"/>
      <c r="O2111" s="71" t="str">
        <f t="shared" si="191"/>
        <v/>
      </c>
      <c r="P2111" s="66"/>
      <c r="Q2111" s="66"/>
      <c r="R2111" s="54"/>
      <c r="S2111" s="82"/>
      <c r="T2111" s="83" t="str">
        <f t="shared" si="188"/>
        <v/>
      </c>
      <c r="U2111" s="10"/>
      <c r="V2111" s="41">
        <f>IF(AND(Q2111&lt;&gt;"",RIGHT(Q2111,3)&lt;&gt;""),IF(COUNTIF($Q$6:Q2111,Q2111)=1,1,0),0)</f>
        <v>0</v>
      </c>
      <c r="W2111" s="41" t="str">
        <f t="shared" si="189"/>
        <v/>
      </c>
      <c r="X2111" s="41" t="str">
        <f t="shared" si="190"/>
        <v/>
      </c>
    </row>
    <row r="2112" s="32" customFormat="1" hidden="1" customHeight="1" spans="1:24">
      <c r="A2112" s="34"/>
      <c r="B2112" s="51"/>
      <c r="C2112" s="51"/>
      <c r="D2112" s="52"/>
      <c r="E2112" s="53"/>
      <c r="F2112" s="54"/>
      <c r="G2112" s="54"/>
      <c r="H2112" s="54"/>
      <c r="I2112" s="66"/>
      <c r="J2112" s="54"/>
      <c r="K2112" s="54"/>
      <c r="L2112" s="54"/>
      <c r="M2112" s="97" t="str">
        <f t="shared" si="187"/>
        <v/>
      </c>
      <c r="N2112" s="70"/>
      <c r="O2112" s="71" t="str">
        <f t="shared" si="191"/>
        <v/>
      </c>
      <c r="P2112" s="66"/>
      <c r="Q2112" s="66"/>
      <c r="R2112" s="54"/>
      <c r="S2112" s="82"/>
      <c r="T2112" s="83" t="str">
        <f t="shared" si="188"/>
        <v/>
      </c>
      <c r="U2112" s="10"/>
      <c r="V2112" s="41">
        <f>IF(AND(Q2112&lt;&gt;"",RIGHT(Q2112,3)&lt;&gt;""),IF(COUNTIF($Q$6:Q2112,Q2112)=1,1,0),0)</f>
        <v>0</v>
      </c>
      <c r="W2112" s="41" t="str">
        <f t="shared" si="189"/>
        <v/>
      </c>
      <c r="X2112" s="41" t="str">
        <f t="shared" si="190"/>
        <v/>
      </c>
    </row>
    <row r="2113" s="32" customFormat="1" hidden="1" customHeight="1" spans="1:24">
      <c r="A2113" s="34"/>
      <c r="B2113" s="51"/>
      <c r="C2113" s="51"/>
      <c r="D2113" s="52"/>
      <c r="E2113" s="53"/>
      <c r="F2113" s="54"/>
      <c r="G2113" s="54"/>
      <c r="H2113" s="54"/>
      <c r="I2113" s="66"/>
      <c r="J2113" s="54"/>
      <c r="K2113" s="54"/>
      <c r="L2113" s="54"/>
      <c r="M2113" s="97" t="str">
        <f t="shared" si="187"/>
        <v/>
      </c>
      <c r="N2113" s="70"/>
      <c r="O2113" s="71" t="str">
        <f t="shared" si="191"/>
        <v/>
      </c>
      <c r="P2113" s="66"/>
      <c r="Q2113" s="66"/>
      <c r="R2113" s="54"/>
      <c r="S2113" s="82"/>
      <c r="T2113" s="83" t="str">
        <f t="shared" si="188"/>
        <v/>
      </c>
      <c r="U2113" s="10"/>
      <c r="V2113" s="41">
        <f>IF(AND(Q2113&lt;&gt;"",RIGHT(Q2113,3)&lt;&gt;""),IF(COUNTIF($Q$6:Q2113,Q2113)=1,1,0),0)</f>
        <v>0</v>
      </c>
      <c r="W2113" s="41" t="str">
        <f t="shared" si="189"/>
        <v/>
      </c>
      <c r="X2113" s="41" t="str">
        <f t="shared" si="190"/>
        <v/>
      </c>
    </row>
    <row r="2114" s="32" customFormat="1" hidden="1" customHeight="1" spans="1:24">
      <c r="A2114" s="34"/>
      <c r="B2114" s="51"/>
      <c r="C2114" s="51"/>
      <c r="D2114" s="52"/>
      <c r="E2114" s="53"/>
      <c r="F2114" s="54"/>
      <c r="G2114" s="54"/>
      <c r="H2114" s="54"/>
      <c r="I2114" s="66"/>
      <c r="J2114" s="54"/>
      <c r="K2114" s="54"/>
      <c r="L2114" s="54"/>
      <c r="M2114" s="97" t="str">
        <f t="shared" si="187"/>
        <v/>
      </c>
      <c r="N2114" s="70"/>
      <c r="O2114" s="71" t="str">
        <f t="shared" si="191"/>
        <v/>
      </c>
      <c r="P2114" s="66"/>
      <c r="Q2114" s="66"/>
      <c r="R2114" s="54"/>
      <c r="S2114" s="82"/>
      <c r="T2114" s="83" t="str">
        <f t="shared" si="188"/>
        <v/>
      </c>
      <c r="U2114" s="10"/>
      <c r="V2114" s="41">
        <f>IF(AND(Q2114&lt;&gt;"",RIGHT(Q2114,3)&lt;&gt;""),IF(COUNTIF($Q$6:Q2114,Q2114)=1,1,0),0)</f>
        <v>0</v>
      </c>
      <c r="W2114" s="41" t="str">
        <f t="shared" si="189"/>
        <v/>
      </c>
      <c r="X2114" s="41" t="str">
        <f t="shared" si="190"/>
        <v/>
      </c>
    </row>
    <row r="2115" s="32" customFormat="1" hidden="1" customHeight="1" spans="1:24">
      <c r="A2115" s="34"/>
      <c r="B2115" s="51"/>
      <c r="C2115" s="51"/>
      <c r="D2115" s="52"/>
      <c r="E2115" s="53"/>
      <c r="F2115" s="54"/>
      <c r="G2115" s="54"/>
      <c r="H2115" s="54"/>
      <c r="I2115" s="66"/>
      <c r="J2115" s="54"/>
      <c r="K2115" s="54"/>
      <c r="L2115" s="54"/>
      <c r="M2115" s="97" t="str">
        <f t="shared" si="187"/>
        <v/>
      </c>
      <c r="N2115" s="70"/>
      <c r="O2115" s="71" t="str">
        <f t="shared" si="191"/>
        <v/>
      </c>
      <c r="P2115" s="66"/>
      <c r="Q2115" s="66"/>
      <c r="R2115" s="54"/>
      <c r="S2115" s="82"/>
      <c r="T2115" s="83" t="str">
        <f t="shared" si="188"/>
        <v/>
      </c>
      <c r="U2115" s="10"/>
      <c r="V2115" s="41">
        <f>IF(AND(Q2115&lt;&gt;"",RIGHT(Q2115,3)&lt;&gt;""),IF(COUNTIF($Q$6:Q2115,Q2115)=1,1,0),0)</f>
        <v>0</v>
      </c>
      <c r="W2115" s="41" t="str">
        <f t="shared" si="189"/>
        <v/>
      </c>
      <c r="X2115" s="41" t="str">
        <f t="shared" si="190"/>
        <v/>
      </c>
    </row>
    <row r="2116" s="32" customFormat="1" hidden="1" customHeight="1" spans="1:24">
      <c r="A2116" s="34"/>
      <c r="B2116" s="51"/>
      <c r="C2116" s="51"/>
      <c r="D2116" s="52"/>
      <c r="E2116" s="53"/>
      <c r="F2116" s="54"/>
      <c r="G2116" s="54"/>
      <c r="H2116" s="54"/>
      <c r="I2116" s="66"/>
      <c r="J2116" s="54"/>
      <c r="K2116" s="54"/>
      <c r="L2116" s="54"/>
      <c r="M2116" s="97" t="str">
        <f t="shared" si="187"/>
        <v/>
      </c>
      <c r="N2116" s="70"/>
      <c r="O2116" s="71" t="str">
        <f t="shared" si="191"/>
        <v/>
      </c>
      <c r="P2116" s="66"/>
      <c r="Q2116" s="66"/>
      <c r="R2116" s="54"/>
      <c r="S2116" s="82"/>
      <c r="T2116" s="83" t="str">
        <f t="shared" si="188"/>
        <v/>
      </c>
      <c r="U2116" s="10"/>
      <c r="V2116" s="41">
        <f>IF(AND(Q2116&lt;&gt;"",RIGHT(Q2116,3)&lt;&gt;""),IF(COUNTIF($Q$6:Q2116,Q2116)=1,1,0),0)</f>
        <v>0</v>
      </c>
      <c r="W2116" s="41" t="str">
        <f t="shared" si="189"/>
        <v/>
      </c>
      <c r="X2116" s="41" t="str">
        <f t="shared" si="190"/>
        <v/>
      </c>
    </row>
    <row r="2117" s="32" customFormat="1" hidden="1" customHeight="1" spans="1:24">
      <c r="A2117" s="34"/>
      <c r="B2117" s="51"/>
      <c r="C2117" s="51"/>
      <c r="D2117" s="52"/>
      <c r="E2117" s="53"/>
      <c r="F2117" s="54"/>
      <c r="G2117" s="54"/>
      <c r="H2117" s="54"/>
      <c r="I2117" s="66"/>
      <c r="J2117" s="54"/>
      <c r="K2117" s="54"/>
      <c r="L2117" s="54"/>
      <c r="M2117" s="97" t="str">
        <f t="shared" si="187"/>
        <v/>
      </c>
      <c r="N2117" s="70"/>
      <c r="O2117" s="71" t="str">
        <f t="shared" si="191"/>
        <v/>
      </c>
      <c r="P2117" s="66"/>
      <c r="Q2117" s="66"/>
      <c r="R2117" s="54"/>
      <c r="S2117" s="82"/>
      <c r="T2117" s="83" t="str">
        <f t="shared" si="188"/>
        <v/>
      </c>
      <c r="U2117" s="10"/>
      <c r="V2117" s="41">
        <f>IF(AND(Q2117&lt;&gt;"",RIGHT(Q2117,3)&lt;&gt;""),IF(COUNTIF($Q$6:Q2117,Q2117)=1,1,0),0)</f>
        <v>0</v>
      </c>
      <c r="W2117" s="41" t="str">
        <f t="shared" si="189"/>
        <v/>
      </c>
      <c r="X2117" s="41" t="str">
        <f t="shared" si="190"/>
        <v/>
      </c>
    </row>
    <row r="2118" s="32" customFormat="1" hidden="1" customHeight="1" spans="1:24">
      <c r="A2118" s="34"/>
      <c r="B2118" s="51"/>
      <c r="C2118" s="51"/>
      <c r="D2118" s="52"/>
      <c r="E2118" s="53"/>
      <c r="F2118" s="54"/>
      <c r="G2118" s="54"/>
      <c r="H2118" s="54"/>
      <c r="I2118" s="66"/>
      <c r="J2118" s="54"/>
      <c r="K2118" s="54"/>
      <c r="L2118" s="54"/>
      <c r="M2118" s="97" t="str">
        <f t="shared" si="187"/>
        <v/>
      </c>
      <c r="N2118" s="70"/>
      <c r="O2118" s="71" t="str">
        <f t="shared" si="191"/>
        <v/>
      </c>
      <c r="P2118" s="66"/>
      <c r="Q2118" s="66"/>
      <c r="R2118" s="54"/>
      <c r="S2118" s="82"/>
      <c r="T2118" s="83" t="str">
        <f t="shared" si="188"/>
        <v/>
      </c>
      <c r="U2118" s="10"/>
      <c r="V2118" s="41">
        <f>IF(AND(Q2118&lt;&gt;"",RIGHT(Q2118,3)&lt;&gt;""),IF(COUNTIF($Q$6:Q2118,Q2118)=1,1,0),0)</f>
        <v>0</v>
      </c>
      <c r="W2118" s="41" t="str">
        <f t="shared" si="189"/>
        <v/>
      </c>
      <c r="X2118" s="41" t="str">
        <f t="shared" si="190"/>
        <v/>
      </c>
    </row>
    <row r="2119" s="32" customFormat="1" hidden="1" customHeight="1" spans="1:24">
      <c r="A2119" s="34"/>
      <c r="B2119" s="51"/>
      <c r="C2119" s="51"/>
      <c r="D2119" s="52"/>
      <c r="E2119" s="53"/>
      <c r="F2119" s="54"/>
      <c r="G2119" s="54"/>
      <c r="H2119" s="54"/>
      <c r="I2119" s="66"/>
      <c r="J2119" s="54"/>
      <c r="K2119" s="54"/>
      <c r="L2119" s="54"/>
      <c r="M2119" s="97" t="str">
        <f t="shared" si="187"/>
        <v/>
      </c>
      <c r="N2119" s="70"/>
      <c r="O2119" s="71" t="str">
        <f t="shared" si="191"/>
        <v/>
      </c>
      <c r="P2119" s="66"/>
      <c r="Q2119" s="66"/>
      <c r="R2119" s="54"/>
      <c r="S2119" s="82"/>
      <c r="T2119" s="83" t="str">
        <f t="shared" si="188"/>
        <v/>
      </c>
      <c r="U2119" s="10"/>
      <c r="V2119" s="41">
        <f>IF(AND(Q2119&lt;&gt;"",RIGHT(Q2119,3)&lt;&gt;""),IF(COUNTIF($Q$6:Q2119,Q2119)=1,1,0),0)</f>
        <v>0</v>
      </c>
      <c r="W2119" s="41" t="str">
        <f t="shared" si="189"/>
        <v/>
      </c>
      <c r="X2119" s="41" t="str">
        <f t="shared" si="190"/>
        <v/>
      </c>
    </row>
    <row r="2120" s="32" customFormat="1" hidden="1" customHeight="1" spans="1:24">
      <c r="A2120" s="34"/>
      <c r="B2120" s="51"/>
      <c r="C2120" s="51"/>
      <c r="D2120" s="52"/>
      <c r="E2120" s="53"/>
      <c r="F2120" s="54"/>
      <c r="G2120" s="54"/>
      <c r="H2120" s="54"/>
      <c r="I2120" s="66"/>
      <c r="J2120" s="54"/>
      <c r="K2120" s="54"/>
      <c r="L2120" s="54"/>
      <c r="M2120" s="97" t="str">
        <f t="shared" si="187"/>
        <v/>
      </c>
      <c r="N2120" s="70"/>
      <c r="O2120" s="71" t="str">
        <f t="shared" si="191"/>
        <v/>
      </c>
      <c r="P2120" s="66"/>
      <c r="Q2120" s="66"/>
      <c r="R2120" s="54"/>
      <c r="S2120" s="82"/>
      <c r="T2120" s="83" t="str">
        <f t="shared" si="188"/>
        <v/>
      </c>
      <c r="U2120" s="10"/>
      <c r="V2120" s="41">
        <f>IF(AND(Q2120&lt;&gt;"",RIGHT(Q2120,3)&lt;&gt;""),IF(COUNTIF($Q$6:Q2120,Q2120)=1,1,0),0)</f>
        <v>0</v>
      </c>
      <c r="W2120" s="41" t="str">
        <f t="shared" si="189"/>
        <v/>
      </c>
      <c r="X2120" s="41" t="str">
        <f t="shared" si="190"/>
        <v/>
      </c>
    </row>
    <row r="2121" s="32" customFormat="1" hidden="1" customHeight="1" spans="1:24">
      <c r="A2121" s="34"/>
      <c r="B2121" s="51"/>
      <c r="C2121" s="51"/>
      <c r="D2121" s="52"/>
      <c r="E2121" s="53"/>
      <c r="F2121" s="54"/>
      <c r="G2121" s="54"/>
      <c r="H2121" s="54"/>
      <c r="I2121" s="66"/>
      <c r="J2121" s="54"/>
      <c r="K2121" s="54"/>
      <c r="L2121" s="54"/>
      <c r="M2121" s="97" t="str">
        <f t="shared" si="187"/>
        <v/>
      </c>
      <c r="N2121" s="70"/>
      <c r="O2121" s="71" t="str">
        <f t="shared" si="191"/>
        <v/>
      </c>
      <c r="P2121" s="66"/>
      <c r="Q2121" s="66"/>
      <c r="R2121" s="54"/>
      <c r="S2121" s="82"/>
      <c r="T2121" s="83" t="str">
        <f t="shared" si="188"/>
        <v/>
      </c>
      <c r="U2121" s="10"/>
      <c r="V2121" s="41">
        <f>IF(AND(Q2121&lt;&gt;"",RIGHT(Q2121,3)&lt;&gt;""),IF(COUNTIF($Q$6:Q2121,Q2121)=1,1,0),0)</f>
        <v>0</v>
      </c>
      <c r="W2121" s="41" t="str">
        <f t="shared" si="189"/>
        <v/>
      </c>
      <c r="X2121" s="41" t="str">
        <f t="shared" si="190"/>
        <v/>
      </c>
    </row>
    <row r="2122" s="32" customFormat="1" hidden="1" customHeight="1" spans="1:24">
      <c r="A2122" s="34"/>
      <c r="B2122" s="51"/>
      <c r="C2122" s="51"/>
      <c r="D2122" s="52"/>
      <c r="E2122" s="53"/>
      <c r="F2122" s="54"/>
      <c r="G2122" s="54"/>
      <c r="H2122" s="54"/>
      <c r="I2122" s="66"/>
      <c r="J2122" s="54"/>
      <c r="K2122" s="54"/>
      <c r="L2122" s="54"/>
      <c r="M2122" s="97" t="str">
        <f t="shared" si="187"/>
        <v/>
      </c>
      <c r="N2122" s="70"/>
      <c r="O2122" s="71" t="str">
        <f t="shared" si="191"/>
        <v/>
      </c>
      <c r="P2122" s="66"/>
      <c r="Q2122" s="66"/>
      <c r="R2122" s="54"/>
      <c r="S2122" s="82"/>
      <c r="T2122" s="83" t="str">
        <f t="shared" si="188"/>
        <v/>
      </c>
      <c r="U2122" s="10"/>
      <c r="V2122" s="41">
        <f>IF(AND(Q2122&lt;&gt;"",RIGHT(Q2122,3)&lt;&gt;""),IF(COUNTIF($Q$6:Q2122,Q2122)=1,1,0),0)</f>
        <v>0</v>
      </c>
      <c r="W2122" s="41" t="str">
        <f t="shared" si="189"/>
        <v/>
      </c>
      <c r="X2122" s="41" t="str">
        <f t="shared" si="190"/>
        <v/>
      </c>
    </row>
    <row r="2123" s="32" customFormat="1" hidden="1" customHeight="1" spans="1:24">
      <c r="A2123" s="34"/>
      <c r="B2123" s="51"/>
      <c r="C2123" s="51"/>
      <c r="D2123" s="52"/>
      <c r="E2123" s="53"/>
      <c r="F2123" s="54"/>
      <c r="G2123" s="54"/>
      <c r="H2123" s="54"/>
      <c r="I2123" s="66"/>
      <c r="J2123" s="54"/>
      <c r="K2123" s="54"/>
      <c r="L2123" s="54"/>
      <c r="M2123" s="97" t="str">
        <f t="shared" si="187"/>
        <v/>
      </c>
      <c r="N2123" s="70"/>
      <c r="O2123" s="71" t="str">
        <f t="shared" si="191"/>
        <v/>
      </c>
      <c r="P2123" s="66"/>
      <c r="Q2123" s="66"/>
      <c r="R2123" s="54"/>
      <c r="S2123" s="82"/>
      <c r="T2123" s="83" t="str">
        <f t="shared" si="188"/>
        <v/>
      </c>
      <c r="U2123" s="10"/>
      <c r="V2123" s="41">
        <f>IF(AND(Q2123&lt;&gt;"",RIGHT(Q2123,3)&lt;&gt;""),IF(COUNTIF($Q$6:Q2123,Q2123)=1,1,0),0)</f>
        <v>0</v>
      </c>
      <c r="W2123" s="41" t="str">
        <f t="shared" si="189"/>
        <v/>
      </c>
      <c r="X2123" s="41" t="str">
        <f t="shared" si="190"/>
        <v/>
      </c>
    </row>
    <row r="2124" s="32" customFormat="1" hidden="1" customHeight="1" spans="1:24">
      <c r="A2124" s="34"/>
      <c r="B2124" s="51"/>
      <c r="C2124" s="51"/>
      <c r="D2124" s="52"/>
      <c r="E2124" s="53"/>
      <c r="F2124" s="54"/>
      <c r="G2124" s="54"/>
      <c r="H2124" s="54"/>
      <c r="I2124" s="66"/>
      <c r="J2124" s="54"/>
      <c r="K2124" s="54"/>
      <c r="L2124" s="54"/>
      <c r="M2124" s="97" t="str">
        <f t="shared" si="187"/>
        <v/>
      </c>
      <c r="N2124" s="70"/>
      <c r="O2124" s="71" t="str">
        <f t="shared" si="191"/>
        <v/>
      </c>
      <c r="P2124" s="66"/>
      <c r="Q2124" s="66"/>
      <c r="R2124" s="54"/>
      <c r="S2124" s="82"/>
      <c r="T2124" s="83" t="str">
        <f t="shared" si="188"/>
        <v/>
      </c>
      <c r="U2124" s="10"/>
      <c r="V2124" s="41">
        <f>IF(AND(Q2124&lt;&gt;"",RIGHT(Q2124,3)&lt;&gt;""),IF(COUNTIF($Q$6:Q2124,Q2124)=1,1,0),0)</f>
        <v>0</v>
      </c>
      <c r="W2124" s="41" t="str">
        <f t="shared" si="189"/>
        <v/>
      </c>
      <c r="X2124" s="41" t="str">
        <f t="shared" si="190"/>
        <v/>
      </c>
    </row>
    <row r="2125" s="32" customFormat="1" hidden="1" customHeight="1" spans="1:24">
      <c r="A2125" s="34"/>
      <c r="B2125" s="51"/>
      <c r="C2125" s="51"/>
      <c r="D2125" s="52"/>
      <c r="E2125" s="53"/>
      <c r="F2125" s="54"/>
      <c r="G2125" s="54"/>
      <c r="H2125" s="54"/>
      <c r="I2125" s="66"/>
      <c r="J2125" s="54"/>
      <c r="K2125" s="54"/>
      <c r="L2125" s="54"/>
      <c r="M2125" s="97" t="str">
        <f t="shared" si="187"/>
        <v/>
      </c>
      <c r="N2125" s="70"/>
      <c r="O2125" s="71" t="str">
        <f t="shared" si="191"/>
        <v/>
      </c>
      <c r="P2125" s="66"/>
      <c r="Q2125" s="66"/>
      <c r="R2125" s="54"/>
      <c r="S2125" s="82"/>
      <c r="T2125" s="83" t="str">
        <f t="shared" si="188"/>
        <v/>
      </c>
      <c r="U2125" s="10"/>
      <c r="V2125" s="41">
        <f>IF(AND(Q2125&lt;&gt;"",RIGHT(Q2125,3)&lt;&gt;""),IF(COUNTIF($Q$6:Q2125,Q2125)=1,1,0),0)</f>
        <v>0</v>
      </c>
      <c r="W2125" s="41" t="str">
        <f t="shared" si="189"/>
        <v/>
      </c>
      <c r="X2125" s="41" t="str">
        <f t="shared" si="190"/>
        <v/>
      </c>
    </row>
    <row r="2126" s="32" customFormat="1" hidden="1" customHeight="1" spans="1:24">
      <c r="A2126" s="34"/>
      <c r="B2126" s="51"/>
      <c r="C2126" s="51"/>
      <c r="D2126" s="52"/>
      <c r="E2126" s="53"/>
      <c r="F2126" s="54"/>
      <c r="G2126" s="54"/>
      <c r="H2126" s="54"/>
      <c r="I2126" s="66"/>
      <c r="J2126" s="54"/>
      <c r="K2126" s="54"/>
      <c r="L2126" s="54"/>
      <c r="M2126" s="97" t="str">
        <f t="shared" si="187"/>
        <v/>
      </c>
      <c r="N2126" s="70"/>
      <c r="O2126" s="71" t="str">
        <f t="shared" si="191"/>
        <v/>
      </c>
      <c r="P2126" s="66"/>
      <c r="Q2126" s="66"/>
      <c r="R2126" s="54"/>
      <c r="S2126" s="82"/>
      <c r="T2126" s="83" t="str">
        <f t="shared" si="188"/>
        <v/>
      </c>
      <c r="U2126" s="10"/>
      <c r="V2126" s="41">
        <f>IF(AND(Q2126&lt;&gt;"",RIGHT(Q2126,3)&lt;&gt;""),IF(COUNTIF($Q$6:Q2126,Q2126)=1,1,0),0)</f>
        <v>0</v>
      </c>
      <c r="W2126" s="41" t="str">
        <f t="shared" si="189"/>
        <v/>
      </c>
      <c r="X2126" s="41" t="str">
        <f t="shared" si="190"/>
        <v/>
      </c>
    </row>
    <row r="2127" s="32" customFormat="1" hidden="1" customHeight="1" spans="1:24">
      <c r="A2127" s="34"/>
      <c r="B2127" s="51"/>
      <c r="C2127" s="51"/>
      <c r="D2127" s="52"/>
      <c r="E2127" s="53"/>
      <c r="F2127" s="54"/>
      <c r="G2127" s="54"/>
      <c r="H2127" s="54"/>
      <c r="I2127" s="66"/>
      <c r="J2127" s="54"/>
      <c r="K2127" s="54"/>
      <c r="L2127" s="54"/>
      <c r="M2127" s="97" t="str">
        <f t="shared" si="187"/>
        <v/>
      </c>
      <c r="N2127" s="70"/>
      <c r="O2127" s="71" t="str">
        <f t="shared" si="191"/>
        <v/>
      </c>
      <c r="P2127" s="66"/>
      <c r="Q2127" s="66"/>
      <c r="R2127" s="54"/>
      <c r="S2127" s="82"/>
      <c r="T2127" s="83" t="str">
        <f t="shared" si="188"/>
        <v/>
      </c>
      <c r="U2127" s="10"/>
      <c r="V2127" s="41">
        <f>IF(AND(Q2127&lt;&gt;"",RIGHT(Q2127,3)&lt;&gt;""),IF(COUNTIF($Q$6:Q2127,Q2127)=1,1,0),0)</f>
        <v>0</v>
      </c>
      <c r="W2127" s="41" t="str">
        <f t="shared" si="189"/>
        <v/>
      </c>
      <c r="X2127" s="41" t="str">
        <f t="shared" si="190"/>
        <v/>
      </c>
    </row>
    <row r="2128" s="32" customFormat="1" hidden="1" customHeight="1" spans="1:24">
      <c r="A2128" s="34"/>
      <c r="B2128" s="51"/>
      <c r="C2128" s="51"/>
      <c r="D2128" s="52"/>
      <c r="E2128" s="53"/>
      <c r="F2128" s="54"/>
      <c r="G2128" s="54"/>
      <c r="H2128" s="54"/>
      <c r="I2128" s="66"/>
      <c r="J2128" s="54"/>
      <c r="K2128" s="54"/>
      <c r="L2128" s="54"/>
      <c r="M2128" s="97" t="str">
        <f t="shared" si="187"/>
        <v/>
      </c>
      <c r="N2128" s="70"/>
      <c r="O2128" s="71" t="str">
        <f t="shared" si="191"/>
        <v/>
      </c>
      <c r="P2128" s="66"/>
      <c r="Q2128" s="66"/>
      <c r="R2128" s="54"/>
      <c r="S2128" s="82"/>
      <c r="T2128" s="83" t="str">
        <f t="shared" si="188"/>
        <v/>
      </c>
      <c r="U2128" s="10"/>
      <c r="V2128" s="41">
        <f>IF(AND(Q2128&lt;&gt;"",RIGHT(Q2128,3)&lt;&gt;""),IF(COUNTIF($Q$6:Q2128,Q2128)=1,1,0),0)</f>
        <v>0</v>
      </c>
      <c r="W2128" s="41" t="str">
        <f t="shared" si="189"/>
        <v/>
      </c>
      <c r="X2128" s="41" t="str">
        <f t="shared" si="190"/>
        <v/>
      </c>
    </row>
    <row r="2129" s="32" customFormat="1" hidden="1" customHeight="1" spans="1:24">
      <c r="A2129" s="34"/>
      <c r="B2129" s="51"/>
      <c r="C2129" s="51"/>
      <c r="D2129" s="52"/>
      <c r="E2129" s="53"/>
      <c r="F2129" s="54"/>
      <c r="G2129" s="54"/>
      <c r="H2129" s="54"/>
      <c r="I2129" s="66"/>
      <c r="J2129" s="54"/>
      <c r="K2129" s="54"/>
      <c r="L2129" s="54"/>
      <c r="M2129" s="97" t="str">
        <f t="shared" si="187"/>
        <v/>
      </c>
      <c r="N2129" s="70"/>
      <c r="O2129" s="71" t="str">
        <f t="shared" si="191"/>
        <v/>
      </c>
      <c r="P2129" s="66"/>
      <c r="Q2129" s="66"/>
      <c r="R2129" s="54"/>
      <c r="S2129" s="82"/>
      <c r="T2129" s="83" t="str">
        <f t="shared" si="188"/>
        <v/>
      </c>
      <c r="U2129" s="10"/>
      <c r="V2129" s="41">
        <f>IF(AND(Q2129&lt;&gt;"",RIGHT(Q2129,3)&lt;&gt;""),IF(COUNTIF($Q$6:Q2129,Q2129)=1,1,0),0)</f>
        <v>0</v>
      </c>
      <c r="W2129" s="41" t="str">
        <f t="shared" si="189"/>
        <v/>
      </c>
      <c r="X2129" s="41" t="str">
        <f t="shared" si="190"/>
        <v/>
      </c>
    </row>
    <row r="2130" s="32" customFormat="1" hidden="1" customHeight="1" spans="1:24">
      <c r="A2130" s="34"/>
      <c r="B2130" s="51"/>
      <c r="C2130" s="51"/>
      <c r="D2130" s="52"/>
      <c r="E2130" s="53"/>
      <c r="F2130" s="54"/>
      <c r="G2130" s="54"/>
      <c r="H2130" s="54"/>
      <c r="I2130" s="66"/>
      <c r="J2130" s="54"/>
      <c r="K2130" s="54"/>
      <c r="L2130" s="54"/>
      <c r="M2130" s="97" t="str">
        <f t="shared" si="187"/>
        <v/>
      </c>
      <c r="N2130" s="70"/>
      <c r="O2130" s="71" t="str">
        <f t="shared" si="191"/>
        <v/>
      </c>
      <c r="P2130" s="66"/>
      <c r="Q2130" s="66"/>
      <c r="R2130" s="54"/>
      <c r="S2130" s="82"/>
      <c r="T2130" s="83" t="str">
        <f t="shared" si="188"/>
        <v/>
      </c>
      <c r="U2130" s="10"/>
      <c r="V2130" s="41">
        <f>IF(AND(Q2130&lt;&gt;"",RIGHT(Q2130,3)&lt;&gt;""),IF(COUNTIF($Q$6:Q2130,Q2130)=1,1,0),0)</f>
        <v>0</v>
      </c>
      <c r="W2130" s="41" t="str">
        <f t="shared" si="189"/>
        <v/>
      </c>
      <c r="X2130" s="41" t="str">
        <f t="shared" si="190"/>
        <v/>
      </c>
    </row>
    <row r="2131" s="32" customFormat="1" hidden="1" customHeight="1" spans="1:24">
      <c r="A2131" s="34"/>
      <c r="B2131" s="51"/>
      <c r="C2131" s="51"/>
      <c r="D2131" s="52"/>
      <c r="E2131" s="53"/>
      <c r="F2131" s="54"/>
      <c r="G2131" s="54"/>
      <c r="H2131" s="54"/>
      <c r="I2131" s="66"/>
      <c r="J2131" s="54"/>
      <c r="K2131" s="54"/>
      <c r="L2131" s="54"/>
      <c r="M2131" s="97" t="str">
        <f t="shared" si="187"/>
        <v/>
      </c>
      <c r="N2131" s="70"/>
      <c r="O2131" s="71" t="str">
        <f t="shared" si="191"/>
        <v/>
      </c>
      <c r="P2131" s="66"/>
      <c r="Q2131" s="66"/>
      <c r="R2131" s="54"/>
      <c r="S2131" s="82"/>
      <c r="T2131" s="83" t="str">
        <f t="shared" si="188"/>
        <v/>
      </c>
      <c r="U2131" s="10"/>
      <c r="V2131" s="41">
        <f>IF(AND(Q2131&lt;&gt;"",RIGHT(Q2131,3)&lt;&gt;""),IF(COUNTIF($Q$6:Q2131,Q2131)=1,1,0),0)</f>
        <v>0</v>
      </c>
      <c r="W2131" s="41" t="str">
        <f t="shared" si="189"/>
        <v/>
      </c>
      <c r="X2131" s="41" t="str">
        <f t="shared" si="190"/>
        <v/>
      </c>
    </row>
    <row r="2132" s="32" customFormat="1" hidden="1" customHeight="1" spans="1:24">
      <c r="A2132" s="34"/>
      <c r="B2132" s="51"/>
      <c r="C2132" s="51"/>
      <c r="D2132" s="52"/>
      <c r="E2132" s="53"/>
      <c r="F2132" s="54"/>
      <c r="G2132" s="54"/>
      <c r="H2132" s="54"/>
      <c r="I2132" s="66"/>
      <c r="J2132" s="54"/>
      <c r="K2132" s="54"/>
      <c r="L2132" s="54"/>
      <c r="M2132" s="97" t="str">
        <f t="shared" si="187"/>
        <v/>
      </c>
      <c r="N2132" s="70"/>
      <c r="O2132" s="71" t="str">
        <f t="shared" si="191"/>
        <v/>
      </c>
      <c r="P2132" s="66"/>
      <c r="Q2132" s="66"/>
      <c r="R2132" s="54"/>
      <c r="S2132" s="82"/>
      <c r="T2132" s="83" t="str">
        <f t="shared" si="188"/>
        <v/>
      </c>
      <c r="U2132" s="10"/>
      <c r="V2132" s="41">
        <f>IF(AND(Q2132&lt;&gt;"",RIGHT(Q2132,3)&lt;&gt;""),IF(COUNTIF($Q$6:Q2132,Q2132)=1,1,0),0)</f>
        <v>0</v>
      </c>
      <c r="W2132" s="41" t="str">
        <f t="shared" si="189"/>
        <v/>
      </c>
      <c r="X2132" s="41" t="str">
        <f t="shared" si="190"/>
        <v/>
      </c>
    </row>
    <row r="2133" s="32" customFormat="1" hidden="1" customHeight="1" spans="1:24">
      <c r="A2133" s="34"/>
      <c r="B2133" s="51"/>
      <c r="C2133" s="51"/>
      <c r="D2133" s="52"/>
      <c r="E2133" s="53"/>
      <c r="F2133" s="54"/>
      <c r="G2133" s="54"/>
      <c r="H2133" s="54"/>
      <c r="I2133" s="66"/>
      <c r="J2133" s="54"/>
      <c r="K2133" s="54"/>
      <c r="L2133" s="54"/>
      <c r="M2133" s="97" t="str">
        <f t="shared" si="187"/>
        <v/>
      </c>
      <c r="N2133" s="70"/>
      <c r="O2133" s="71" t="str">
        <f t="shared" si="191"/>
        <v/>
      </c>
      <c r="P2133" s="66"/>
      <c r="Q2133" s="66"/>
      <c r="R2133" s="54"/>
      <c r="S2133" s="82"/>
      <c r="T2133" s="83" t="str">
        <f t="shared" si="188"/>
        <v/>
      </c>
      <c r="U2133" s="10"/>
      <c r="V2133" s="41">
        <f>IF(AND(Q2133&lt;&gt;"",RIGHT(Q2133,3)&lt;&gt;""),IF(COUNTIF($Q$6:Q2133,Q2133)=1,1,0),0)</f>
        <v>0</v>
      </c>
      <c r="W2133" s="41" t="str">
        <f t="shared" si="189"/>
        <v/>
      </c>
      <c r="X2133" s="41" t="str">
        <f t="shared" si="190"/>
        <v/>
      </c>
    </row>
    <row r="2134" s="32" customFormat="1" hidden="1" customHeight="1" spans="1:24">
      <c r="A2134" s="34"/>
      <c r="B2134" s="51"/>
      <c r="C2134" s="51"/>
      <c r="D2134" s="52"/>
      <c r="E2134" s="53"/>
      <c r="F2134" s="54"/>
      <c r="G2134" s="54"/>
      <c r="H2134" s="54"/>
      <c r="I2134" s="66"/>
      <c r="J2134" s="54"/>
      <c r="K2134" s="54"/>
      <c r="L2134" s="54"/>
      <c r="M2134" s="97" t="str">
        <f t="shared" si="187"/>
        <v/>
      </c>
      <c r="N2134" s="70"/>
      <c r="O2134" s="71" t="str">
        <f t="shared" si="191"/>
        <v/>
      </c>
      <c r="P2134" s="66"/>
      <c r="Q2134" s="66"/>
      <c r="R2134" s="54"/>
      <c r="S2134" s="82"/>
      <c r="T2134" s="83" t="str">
        <f t="shared" si="188"/>
        <v/>
      </c>
      <c r="U2134" s="10"/>
      <c r="V2134" s="41">
        <f>IF(AND(Q2134&lt;&gt;"",RIGHT(Q2134,3)&lt;&gt;""),IF(COUNTIF($Q$6:Q2134,Q2134)=1,1,0),0)</f>
        <v>0</v>
      </c>
      <c r="W2134" s="41" t="str">
        <f t="shared" si="189"/>
        <v/>
      </c>
      <c r="X2134" s="41" t="str">
        <f t="shared" si="190"/>
        <v/>
      </c>
    </row>
    <row r="2135" s="32" customFormat="1" hidden="1" customHeight="1" spans="1:24">
      <c r="A2135" s="34"/>
      <c r="B2135" s="51"/>
      <c r="C2135" s="51"/>
      <c r="D2135" s="52"/>
      <c r="E2135" s="53"/>
      <c r="F2135" s="54"/>
      <c r="G2135" s="54"/>
      <c r="H2135" s="54"/>
      <c r="I2135" s="66"/>
      <c r="J2135" s="54"/>
      <c r="K2135" s="54"/>
      <c r="L2135" s="54"/>
      <c r="M2135" s="97" t="str">
        <f t="shared" si="187"/>
        <v/>
      </c>
      <c r="N2135" s="70"/>
      <c r="O2135" s="71" t="str">
        <f t="shared" si="191"/>
        <v/>
      </c>
      <c r="P2135" s="66"/>
      <c r="Q2135" s="66"/>
      <c r="R2135" s="54"/>
      <c r="S2135" s="82"/>
      <c r="T2135" s="83" t="str">
        <f t="shared" si="188"/>
        <v/>
      </c>
      <c r="U2135" s="10"/>
      <c r="V2135" s="41">
        <f>IF(AND(Q2135&lt;&gt;"",RIGHT(Q2135,3)&lt;&gt;""),IF(COUNTIF($Q$6:Q2135,Q2135)=1,1,0),0)</f>
        <v>0</v>
      </c>
      <c r="W2135" s="41" t="str">
        <f t="shared" si="189"/>
        <v/>
      </c>
      <c r="X2135" s="41" t="str">
        <f t="shared" si="190"/>
        <v/>
      </c>
    </row>
    <row r="2136" s="32" customFormat="1" hidden="1" customHeight="1" spans="1:24">
      <c r="A2136" s="34"/>
      <c r="B2136" s="51"/>
      <c r="C2136" s="51"/>
      <c r="D2136" s="52"/>
      <c r="E2136" s="53"/>
      <c r="F2136" s="54"/>
      <c r="G2136" s="54"/>
      <c r="H2136" s="54"/>
      <c r="I2136" s="66"/>
      <c r="J2136" s="54"/>
      <c r="K2136" s="54"/>
      <c r="L2136" s="54"/>
      <c r="M2136" s="97" t="str">
        <f t="shared" si="187"/>
        <v/>
      </c>
      <c r="N2136" s="70"/>
      <c r="O2136" s="71" t="str">
        <f t="shared" si="191"/>
        <v/>
      </c>
      <c r="P2136" s="66"/>
      <c r="Q2136" s="66"/>
      <c r="R2136" s="54"/>
      <c r="S2136" s="82"/>
      <c r="T2136" s="83" t="str">
        <f t="shared" si="188"/>
        <v/>
      </c>
      <c r="U2136" s="10"/>
      <c r="V2136" s="41">
        <f>IF(AND(Q2136&lt;&gt;"",RIGHT(Q2136,3)&lt;&gt;""),IF(COUNTIF($Q$6:Q2136,Q2136)=1,1,0),0)</f>
        <v>0</v>
      </c>
      <c r="W2136" s="41" t="str">
        <f t="shared" si="189"/>
        <v/>
      </c>
      <c r="X2136" s="41" t="str">
        <f t="shared" si="190"/>
        <v/>
      </c>
    </row>
    <row r="2137" s="32" customFormat="1" hidden="1" customHeight="1" spans="1:24">
      <c r="A2137" s="34"/>
      <c r="B2137" s="51"/>
      <c r="C2137" s="51"/>
      <c r="D2137" s="52"/>
      <c r="E2137" s="53"/>
      <c r="F2137" s="54"/>
      <c r="G2137" s="54"/>
      <c r="H2137" s="54"/>
      <c r="I2137" s="66"/>
      <c r="J2137" s="54"/>
      <c r="K2137" s="54"/>
      <c r="L2137" s="54"/>
      <c r="M2137" s="97" t="str">
        <f t="shared" si="187"/>
        <v/>
      </c>
      <c r="N2137" s="70"/>
      <c r="O2137" s="71" t="str">
        <f t="shared" si="191"/>
        <v/>
      </c>
      <c r="P2137" s="66"/>
      <c r="Q2137" s="66"/>
      <c r="R2137" s="54"/>
      <c r="S2137" s="82"/>
      <c r="T2137" s="83" t="str">
        <f t="shared" si="188"/>
        <v/>
      </c>
      <c r="U2137" s="10"/>
      <c r="V2137" s="41">
        <f>IF(AND(Q2137&lt;&gt;"",RIGHT(Q2137,3)&lt;&gt;""),IF(COUNTIF($Q$6:Q2137,Q2137)=1,1,0),0)</f>
        <v>0</v>
      </c>
      <c r="W2137" s="41" t="str">
        <f t="shared" si="189"/>
        <v/>
      </c>
      <c r="X2137" s="41" t="str">
        <f t="shared" si="190"/>
        <v/>
      </c>
    </row>
    <row r="2138" s="32" customFormat="1" hidden="1" customHeight="1" spans="1:24">
      <c r="A2138" s="34"/>
      <c r="B2138" s="51"/>
      <c r="C2138" s="51"/>
      <c r="D2138" s="52"/>
      <c r="E2138" s="53"/>
      <c r="F2138" s="54"/>
      <c r="G2138" s="54"/>
      <c r="H2138" s="54"/>
      <c r="I2138" s="66"/>
      <c r="J2138" s="54"/>
      <c r="K2138" s="54"/>
      <c r="L2138" s="54"/>
      <c r="M2138" s="97" t="str">
        <f t="shared" si="187"/>
        <v/>
      </c>
      <c r="N2138" s="70"/>
      <c r="O2138" s="71" t="str">
        <f t="shared" si="191"/>
        <v/>
      </c>
      <c r="P2138" s="66"/>
      <c r="Q2138" s="66"/>
      <c r="R2138" s="54"/>
      <c r="S2138" s="82"/>
      <c r="T2138" s="83" t="str">
        <f t="shared" si="188"/>
        <v/>
      </c>
      <c r="U2138" s="10"/>
      <c r="V2138" s="41">
        <f>IF(AND(Q2138&lt;&gt;"",RIGHT(Q2138,3)&lt;&gt;""),IF(COUNTIF($Q$6:Q2138,Q2138)=1,1,0),0)</f>
        <v>0</v>
      </c>
      <c r="W2138" s="41" t="str">
        <f t="shared" si="189"/>
        <v/>
      </c>
      <c r="X2138" s="41" t="str">
        <f t="shared" si="190"/>
        <v/>
      </c>
    </row>
    <row r="2139" s="32" customFormat="1" hidden="1" customHeight="1" spans="1:24">
      <c r="A2139" s="34"/>
      <c r="B2139" s="51"/>
      <c r="C2139" s="51"/>
      <c r="D2139" s="52"/>
      <c r="E2139" s="53"/>
      <c r="F2139" s="54"/>
      <c r="G2139" s="54"/>
      <c r="H2139" s="54"/>
      <c r="I2139" s="66"/>
      <c r="J2139" s="54"/>
      <c r="K2139" s="54"/>
      <c r="L2139" s="54"/>
      <c r="M2139" s="97" t="str">
        <f t="shared" si="187"/>
        <v/>
      </c>
      <c r="N2139" s="70"/>
      <c r="O2139" s="71" t="str">
        <f t="shared" si="191"/>
        <v/>
      </c>
      <c r="P2139" s="66"/>
      <c r="Q2139" s="66"/>
      <c r="R2139" s="54"/>
      <c r="S2139" s="82"/>
      <c r="T2139" s="83" t="str">
        <f t="shared" si="188"/>
        <v/>
      </c>
      <c r="U2139" s="10"/>
      <c r="V2139" s="41">
        <f>IF(AND(Q2139&lt;&gt;"",RIGHT(Q2139,3)&lt;&gt;""),IF(COUNTIF($Q$6:Q2139,Q2139)=1,1,0),0)</f>
        <v>0</v>
      </c>
      <c r="W2139" s="41" t="str">
        <f t="shared" si="189"/>
        <v/>
      </c>
      <c r="X2139" s="41" t="str">
        <f t="shared" si="190"/>
        <v/>
      </c>
    </row>
    <row r="2140" s="32" customFormat="1" hidden="1" customHeight="1" spans="1:24">
      <c r="A2140" s="34"/>
      <c r="B2140" s="51"/>
      <c r="C2140" s="51"/>
      <c r="D2140" s="52"/>
      <c r="E2140" s="53"/>
      <c r="F2140" s="54"/>
      <c r="G2140" s="54"/>
      <c r="H2140" s="54"/>
      <c r="I2140" s="66"/>
      <c r="J2140" s="54"/>
      <c r="K2140" s="54"/>
      <c r="L2140" s="54"/>
      <c r="M2140" s="97" t="str">
        <f t="shared" si="187"/>
        <v/>
      </c>
      <c r="N2140" s="70"/>
      <c r="O2140" s="71" t="str">
        <f t="shared" si="191"/>
        <v/>
      </c>
      <c r="P2140" s="66"/>
      <c r="Q2140" s="66"/>
      <c r="R2140" s="54"/>
      <c r="S2140" s="82"/>
      <c r="T2140" s="83" t="str">
        <f t="shared" si="188"/>
        <v/>
      </c>
      <c r="U2140" s="10"/>
      <c r="V2140" s="41">
        <f>IF(AND(Q2140&lt;&gt;"",RIGHT(Q2140,3)&lt;&gt;""),IF(COUNTIF($Q$6:Q2140,Q2140)=1,1,0),0)</f>
        <v>0</v>
      </c>
      <c r="W2140" s="41" t="str">
        <f t="shared" si="189"/>
        <v/>
      </c>
      <c r="X2140" s="41" t="str">
        <f t="shared" si="190"/>
        <v/>
      </c>
    </row>
    <row r="2141" s="32" customFormat="1" hidden="1" customHeight="1" spans="1:24">
      <c r="A2141" s="34"/>
      <c r="B2141" s="51"/>
      <c r="C2141" s="51"/>
      <c r="D2141" s="52"/>
      <c r="E2141" s="53"/>
      <c r="F2141" s="54"/>
      <c r="G2141" s="54"/>
      <c r="H2141" s="54"/>
      <c r="I2141" s="66"/>
      <c r="J2141" s="54"/>
      <c r="K2141" s="54"/>
      <c r="L2141" s="54"/>
      <c r="M2141" s="97" t="str">
        <f t="shared" si="187"/>
        <v/>
      </c>
      <c r="N2141" s="70"/>
      <c r="O2141" s="71" t="str">
        <f t="shared" si="191"/>
        <v/>
      </c>
      <c r="P2141" s="66"/>
      <c r="Q2141" s="66"/>
      <c r="R2141" s="54"/>
      <c r="S2141" s="82"/>
      <c r="T2141" s="83" t="str">
        <f t="shared" si="188"/>
        <v/>
      </c>
      <c r="U2141" s="10"/>
      <c r="V2141" s="41">
        <f>IF(AND(Q2141&lt;&gt;"",RIGHT(Q2141,3)&lt;&gt;""),IF(COUNTIF($Q$6:Q2141,Q2141)=1,1,0),0)</f>
        <v>0</v>
      </c>
      <c r="W2141" s="41" t="str">
        <f t="shared" si="189"/>
        <v/>
      </c>
      <c r="X2141" s="41" t="str">
        <f t="shared" si="190"/>
        <v/>
      </c>
    </row>
    <row r="2142" s="32" customFormat="1" hidden="1" customHeight="1" spans="1:24">
      <c r="A2142" s="34"/>
      <c r="B2142" s="51"/>
      <c r="C2142" s="51"/>
      <c r="D2142" s="52"/>
      <c r="E2142" s="53"/>
      <c r="F2142" s="54"/>
      <c r="G2142" s="54"/>
      <c r="H2142" s="54"/>
      <c r="I2142" s="66"/>
      <c r="J2142" s="54"/>
      <c r="K2142" s="54"/>
      <c r="L2142" s="54"/>
      <c r="M2142" s="97" t="str">
        <f t="shared" si="187"/>
        <v/>
      </c>
      <c r="N2142" s="70"/>
      <c r="O2142" s="71" t="str">
        <f t="shared" si="191"/>
        <v/>
      </c>
      <c r="P2142" s="66"/>
      <c r="Q2142" s="66"/>
      <c r="R2142" s="54"/>
      <c r="S2142" s="82"/>
      <c r="T2142" s="83" t="str">
        <f t="shared" si="188"/>
        <v/>
      </c>
      <c r="U2142" s="10"/>
      <c r="V2142" s="41">
        <f>IF(AND(Q2142&lt;&gt;"",RIGHT(Q2142,3)&lt;&gt;""),IF(COUNTIF($Q$6:Q2142,Q2142)=1,1,0),0)</f>
        <v>0</v>
      </c>
      <c r="W2142" s="41" t="str">
        <f t="shared" si="189"/>
        <v/>
      </c>
      <c r="X2142" s="41" t="str">
        <f t="shared" si="190"/>
        <v/>
      </c>
    </row>
    <row r="2143" s="32" customFormat="1" hidden="1" customHeight="1" spans="1:24">
      <c r="A2143" s="34"/>
      <c r="B2143" s="51"/>
      <c r="C2143" s="51"/>
      <c r="D2143" s="52"/>
      <c r="E2143" s="53"/>
      <c r="F2143" s="54"/>
      <c r="G2143" s="54"/>
      <c r="H2143" s="54"/>
      <c r="I2143" s="66"/>
      <c r="J2143" s="54"/>
      <c r="K2143" s="54"/>
      <c r="L2143" s="54"/>
      <c r="M2143" s="97" t="str">
        <f t="shared" si="187"/>
        <v/>
      </c>
      <c r="N2143" s="70"/>
      <c r="O2143" s="71" t="str">
        <f t="shared" si="191"/>
        <v/>
      </c>
      <c r="P2143" s="66"/>
      <c r="Q2143" s="66"/>
      <c r="R2143" s="54"/>
      <c r="S2143" s="82"/>
      <c r="T2143" s="83" t="str">
        <f t="shared" si="188"/>
        <v/>
      </c>
      <c r="U2143" s="10"/>
      <c r="V2143" s="41">
        <f>IF(AND(Q2143&lt;&gt;"",RIGHT(Q2143,3)&lt;&gt;""),IF(COUNTIF($Q$6:Q2143,Q2143)=1,1,0),0)</f>
        <v>0</v>
      </c>
      <c r="W2143" s="41" t="str">
        <f t="shared" si="189"/>
        <v/>
      </c>
      <c r="X2143" s="41" t="str">
        <f t="shared" si="190"/>
        <v/>
      </c>
    </row>
    <row r="2144" s="32" customFormat="1" hidden="1" customHeight="1" spans="1:24">
      <c r="A2144" s="34"/>
      <c r="B2144" s="51"/>
      <c r="C2144" s="51"/>
      <c r="D2144" s="52"/>
      <c r="E2144" s="53"/>
      <c r="F2144" s="54"/>
      <c r="G2144" s="54"/>
      <c r="H2144" s="54"/>
      <c r="I2144" s="66"/>
      <c r="J2144" s="54"/>
      <c r="K2144" s="54"/>
      <c r="L2144" s="54"/>
      <c r="M2144" s="97" t="str">
        <f t="shared" si="187"/>
        <v/>
      </c>
      <c r="N2144" s="70"/>
      <c r="O2144" s="71" t="str">
        <f t="shared" si="191"/>
        <v/>
      </c>
      <c r="P2144" s="66"/>
      <c r="Q2144" s="66"/>
      <c r="R2144" s="54"/>
      <c r="S2144" s="82"/>
      <c r="T2144" s="83" t="str">
        <f t="shared" si="188"/>
        <v/>
      </c>
      <c r="U2144" s="10"/>
      <c r="V2144" s="41">
        <f>IF(AND(Q2144&lt;&gt;"",RIGHT(Q2144,3)&lt;&gt;""),IF(COUNTIF($Q$6:Q2144,Q2144)=1,1,0),0)</f>
        <v>0</v>
      </c>
      <c r="W2144" s="41" t="str">
        <f t="shared" si="189"/>
        <v/>
      </c>
      <c r="X2144" s="41" t="str">
        <f t="shared" si="190"/>
        <v/>
      </c>
    </row>
    <row r="2145" s="32" customFormat="1" hidden="1" customHeight="1" spans="1:24">
      <c r="A2145" s="34"/>
      <c r="B2145" s="51"/>
      <c r="C2145" s="51"/>
      <c r="D2145" s="52"/>
      <c r="E2145" s="53"/>
      <c r="F2145" s="54"/>
      <c r="G2145" s="54"/>
      <c r="H2145" s="54"/>
      <c r="I2145" s="66"/>
      <c r="J2145" s="54"/>
      <c r="K2145" s="54"/>
      <c r="L2145" s="54"/>
      <c r="M2145" s="97" t="str">
        <f t="shared" si="187"/>
        <v/>
      </c>
      <c r="N2145" s="70"/>
      <c r="O2145" s="71" t="str">
        <f t="shared" si="191"/>
        <v/>
      </c>
      <c r="P2145" s="66"/>
      <c r="Q2145" s="66"/>
      <c r="R2145" s="54"/>
      <c r="S2145" s="82"/>
      <c r="T2145" s="83" t="str">
        <f t="shared" si="188"/>
        <v/>
      </c>
      <c r="U2145" s="10"/>
      <c r="V2145" s="41">
        <f>IF(AND(Q2145&lt;&gt;"",RIGHT(Q2145,3)&lt;&gt;""),IF(COUNTIF($Q$6:Q2145,Q2145)=1,1,0),0)</f>
        <v>0</v>
      </c>
      <c r="W2145" s="41" t="str">
        <f t="shared" si="189"/>
        <v/>
      </c>
      <c r="X2145" s="41" t="str">
        <f t="shared" si="190"/>
        <v/>
      </c>
    </row>
    <row r="2146" s="32" customFormat="1" hidden="1" customHeight="1" spans="1:24">
      <c r="A2146" s="34"/>
      <c r="B2146" s="51"/>
      <c r="C2146" s="51"/>
      <c r="D2146" s="52"/>
      <c r="E2146" s="53"/>
      <c r="F2146" s="54"/>
      <c r="G2146" s="54"/>
      <c r="H2146" s="54"/>
      <c r="I2146" s="66"/>
      <c r="J2146" s="54"/>
      <c r="K2146" s="54"/>
      <c r="L2146" s="54"/>
      <c r="M2146" s="97" t="str">
        <f t="shared" si="187"/>
        <v/>
      </c>
      <c r="N2146" s="70"/>
      <c r="O2146" s="71" t="str">
        <f t="shared" si="191"/>
        <v/>
      </c>
      <c r="P2146" s="66"/>
      <c r="Q2146" s="66"/>
      <c r="R2146" s="54"/>
      <c r="S2146" s="82"/>
      <c r="T2146" s="83" t="str">
        <f t="shared" si="188"/>
        <v/>
      </c>
      <c r="U2146" s="10"/>
      <c r="V2146" s="41">
        <f>IF(AND(Q2146&lt;&gt;"",RIGHT(Q2146,3)&lt;&gt;""),IF(COUNTIF($Q$6:Q2146,Q2146)=1,1,0),0)</f>
        <v>0</v>
      </c>
      <c r="W2146" s="41" t="str">
        <f t="shared" si="189"/>
        <v/>
      </c>
      <c r="X2146" s="41" t="str">
        <f t="shared" si="190"/>
        <v/>
      </c>
    </row>
    <row r="2147" s="32" customFormat="1" hidden="1" customHeight="1" spans="1:24">
      <c r="A2147" s="34"/>
      <c r="B2147" s="51"/>
      <c r="C2147" s="51"/>
      <c r="D2147" s="52"/>
      <c r="E2147" s="53"/>
      <c r="F2147" s="54"/>
      <c r="G2147" s="54"/>
      <c r="H2147" s="54"/>
      <c r="I2147" s="66"/>
      <c r="J2147" s="54"/>
      <c r="K2147" s="54"/>
      <c r="L2147" s="54"/>
      <c r="M2147" s="97" t="str">
        <f t="shared" si="187"/>
        <v/>
      </c>
      <c r="N2147" s="70"/>
      <c r="O2147" s="71" t="str">
        <f t="shared" si="191"/>
        <v/>
      </c>
      <c r="P2147" s="66"/>
      <c r="Q2147" s="66"/>
      <c r="R2147" s="54"/>
      <c r="S2147" s="82"/>
      <c r="T2147" s="83" t="str">
        <f t="shared" si="188"/>
        <v/>
      </c>
      <c r="U2147" s="10"/>
      <c r="V2147" s="41">
        <f>IF(AND(Q2147&lt;&gt;"",RIGHT(Q2147,3)&lt;&gt;""),IF(COUNTIF($Q$6:Q2147,Q2147)=1,1,0),0)</f>
        <v>0</v>
      </c>
      <c r="W2147" s="41" t="str">
        <f t="shared" si="189"/>
        <v/>
      </c>
      <c r="X2147" s="41" t="str">
        <f t="shared" si="190"/>
        <v/>
      </c>
    </row>
    <row r="2148" s="32" customFormat="1" hidden="1" customHeight="1" spans="1:24">
      <c r="A2148" s="34"/>
      <c r="B2148" s="51"/>
      <c r="C2148" s="51"/>
      <c r="D2148" s="52"/>
      <c r="E2148" s="53"/>
      <c r="F2148" s="54"/>
      <c r="G2148" s="54"/>
      <c r="H2148" s="54"/>
      <c r="I2148" s="66"/>
      <c r="J2148" s="54"/>
      <c r="K2148" s="54"/>
      <c r="L2148" s="54"/>
      <c r="M2148" s="97" t="str">
        <f t="shared" ref="M2148:M2211" si="192">IF(L2148="","",HYPERLINK(_xlfn.CONCAT($L$4,L2148,".jpg"),"Open File"))</f>
        <v/>
      </c>
      <c r="N2148" s="70"/>
      <c r="O2148" s="71" t="str">
        <f t="shared" si="191"/>
        <v/>
      </c>
      <c r="P2148" s="66"/>
      <c r="Q2148" s="66"/>
      <c r="R2148" s="54"/>
      <c r="S2148" s="82"/>
      <c r="T2148" s="83" t="str">
        <f t="shared" ref="T2148:T2211" si="193">IF(S2148="","",HYPERLINK(_xlfn.CONCAT($S$4,S2148,".jpg"),"Open File"))</f>
        <v/>
      </c>
      <c r="U2148" s="10"/>
      <c r="V2148" s="41">
        <f>IF(AND(Q2148&lt;&gt;"",RIGHT(Q2148,3)&lt;&gt;""),IF(COUNTIF($Q$6:Q2148,Q2148)=1,1,0),0)</f>
        <v>0</v>
      </c>
      <c r="W2148" s="41" t="str">
        <f t="shared" ref="W2148:W2211" si="194">IF(AND(J2148&lt;&gt;"",K2148&lt;&gt;""),_xlfn.CONCAT(SUBSTITUTE(J2148,"/","."),"-",K2148),"")</f>
        <v/>
      </c>
      <c r="X2148" s="41" t="str">
        <f t="shared" ref="X2148:X2211" si="195">IF(AND(Q2148&lt;&gt;"",R2148&lt;&gt;""),_xlfn.CONCAT(SUBSTITUTE(Q2148,"/","."),"-",R2148),"")</f>
        <v/>
      </c>
    </row>
    <row r="2149" s="32" customFormat="1" hidden="1" customHeight="1" spans="1:24">
      <c r="A2149" s="34"/>
      <c r="B2149" s="51"/>
      <c r="C2149" s="51"/>
      <c r="D2149" s="52"/>
      <c r="E2149" s="53"/>
      <c r="F2149" s="54"/>
      <c r="G2149" s="54"/>
      <c r="H2149" s="54"/>
      <c r="I2149" s="66"/>
      <c r="J2149" s="54"/>
      <c r="K2149" s="54"/>
      <c r="L2149" s="54"/>
      <c r="M2149" s="97" t="str">
        <f t="shared" si="192"/>
        <v/>
      </c>
      <c r="N2149" s="70"/>
      <c r="O2149" s="71" t="str">
        <f t="shared" si="191"/>
        <v/>
      </c>
      <c r="P2149" s="66"/>
      <c r="Q2149" s="66"/>
      <c r="R2149" s="54"/>
      <c r="S2149" s="82"/>
      <c r="T2149" s="83" t="str">
        <f t="shared" si="193"/>
        <v/>
      </c>
      <c r="U2149" s="10"/>
      <c r="V2149" s="41">
        <f>IF(AND(Q2149&lt;&gt;"",RIGHT(Q2149,3)&lt;&gt;""),IF(COUNTIF($Q$6:Q2149,Q2149)=1,1,0),0)</f>
        <v>0</v>
      </c>
      <c r="W2149" s="41" t="str">
        <f t="shared" si="194"/>
        <v/>
      </c>
      <c r="X2149" s="41" t="str">
        <f t="shared" si="195"/>
        <v/>
      </c>
    </row>
    <row r="2150" s="32" customFormat="1" hidden="1" customHeight="1" spans="1:24">
      <c r="A2150" s="34"/>
      <c r="B2150" s="51"/>
      <c r="C2150" s="51"/>
      <c r="D2150" s="52"/>
      <c r="E2150" s="53"/>
      <c r="F2150" s="54"/>
      <c r="G2150" s="54"/>
      <c r="H2150" s="54"/>
      <c r="I2150" s="66"/>
      <c r="J2150" s="54"/>
      <c r="K2150" s="54"/>
      <c r="L2150" s="54"/>
      <c r="M2150" s="97" t="str">
        <f t="shared" si="192"/>
        <v/>
      </c>
      <c r="N2150" s="70"/>
      <c r="O2150" s="71" t="str">
        <f t="shared" si="191"/>
        <v/>
      </c>
      <c r="P2150" s="66"/>
      <c r="Q2150" s="66"/>
      <c r="R2150" s="54"/>
      <c r="S2150" s="82"/>
      <c r="T2150" s="83" t="str">
        <f t="shared" si="193"/>
        <v/>
      </c>
      <c r="U2150" s="10"/>
      <c r="V2150" s="41">
        <f>IF(AND(Q2150&lt;&gt;"",RIGHT(Q2150,3)&lt;&gt;""),IF(COUNTIF($Q$6:Q2150,Q2150)=1,1,0),0)</f>
        <v>0</v>
      </c>
      <c r="W2150" s="41" t="str">
        <f t="shared" si="194"/>
        <v/>
      </c>
      <c r="X2150" s="41" t="str">
        <f t="shared" si="195"/>
        <v/>
      </c>
    </row>
    <row r="2151" s="32" customFormat="1" hidden="1" customHeight="1" spans="1:24">
      <c r="A2151" s="34"/>
      <c r="B2151" s="51"/>
      <c r="C2151" s="51"/>
      <c r="D2151" s="52"/>
      <c r="E2151" s="53"/>
      <c r="F2151" s="54"/>
      <c r="G2151" s="54"/>
      <c r="H2151" s="54"/>
      <c r="I2151" s="66"/>
      <c r="J2151" s="54"/>
      <c r="K2151" s="54"/>
      <c r="L2151" s="54"/>
      <c r="M2151" s="97" t="str">
        <f t="shared" si="192"/>
        <v/>
      </c>
      <c r="N2151" s="70"/>
      <c r="O2151" s="71" t="str">
        <f t="shared" si="191"/>
        <v/>
      </c>
      <c r="P2151" s="66"/>
      <c r="Q2151" s="66"/>
      <c r="R2151" s="54"/>
      <c r="S2151" s="82"/>
      <c r="T2151" s="83" t="str">
        <f t="shared" si="193"/>
        <v/>
      </c>
      <c r="U2151" s="10"/>
      <c r="V2151" s="41">
        <f>IF(AND(Q2151&lt;&gt;"",RIGHT(Q2151,3)&lt;&gt;""),IF(COUNTIF($Q$6:Q2151,Q2151)=1,1,0),0)</f>
        <v>0</v>
      </c>
      <c r="W2151" s="41" t="str">
        <f t="shared" si="194"/>
        <v/>
      </c>
      <c r="X2151" s="41" t="str">
        <f t="shared" si="195"/>
        <v/>
      </c>
    </row>
    <row r="2152" s="32" customFormat="1" hidden="1" customHeight="1" spans="1:24">
      <c r="A2152" s="34"/>
      <c r="B2152" s="51"/>
      <c r="C2152" s="51"/>
      <c r="D2152" s="52"/>
      <c r="E2152" s="53"/>
      <c r="F2152" s="54"/>
      <c r="G2152" s="54"/>
      <c r="H2152" s="54"/>
      <c r="I2152" s="66"/>
      <c r="J2152" s="54"/>
      <c r="K2152" s="54"/>
      <c r="L2152" s="54"/>
      <c r="M2152" s="97" t="str">
        <f t="shared" si="192"/>
        <v/>
      </c>
      <c r="N2152" s="70"/>
      <c r="O2152" s="71" t="str">
        <f t="shared" si="191"/>
        <v/>
      </c>
      <c r="P2152" s="66"/>
      <c r="Q2152" s="66"/>
      <c r="R2152" s="54"/>
      <c r="S2152" s="82"/>
      <c r="T2152" s="83" t="str">
        <f t="shared" si="193"/>
        <v/>
      </c>
      <c r="U2152" s="10"/>
      <c r="V2152" s="41">
        <f>IF(AND(Q2152&lt;&gt;"",RIGHT(Q2152,3)&lt;&gt;""),IF(COUNTIF($Q$6:Q2152,Q2152)=1,1,0),0)</f>
        <v>0</v>
      </c>
      <c r="W2152" s="41" t="str">
        <f t="shared" si="194"/>
        <v/>
      </c>
      <c r="X2152" s="41" t="str">
        <f t="shared" si="195"/>
        <v/>
      </c>
    </row>
    <row r="2153" s="32" customFormat="1" hidden="1" customHeight="1" spans="1:24">
      <c r="A2153" s="34"/>
      <c r="B2153" s="51"/>
      <c r="C2153" s="51"/>
      <c r="D2153" s="52"/>
      <c r="E2153" s="53"/>
      <c r="F2153" s="54"/>
      <c r="G2153" s="54"/>
      <c r="H2153" s="54"/>
      <c r="I2153" s="66"/>
      <c r="J2153" s="54"/>
      <c r="K2153" s="54"/>
      <c r="L2153" s="54"/>
      <c r="M2153" s="97" t="str">
        <f t="shared" si="192"/>
        <v/>
      </c>
      <c r="N2153" s="70"/>
      <c r="O2153" s="71" t="str">
        <f t="shared" si="191"/>
        <v/>
      </c>
      <c r="P2153" s="66"/>
      <c r="Q2153" s="66"/>
      <c r="R2153" s="54"/>
      <c r="S2153" s="82"/>
      <c r="T2153" s="83" t="str">
        <f t="shared" si="193"/>
        <v/>
      </c>
      <c r="U2153" s="10"/>
      <c r="V2153" s="41">
        <f>IF(AND(Q2153&lt;&gt;"",RIGHT(Q2153,3)&lt;&gt;""),IF(COUNTIF($Q$6:Q2153,Q2153)=1,1,0),0)</f>
        <v>0</v>
      </c>
      <c r="W2153" s="41" t="str">
        <f t="shared" si="194"/>
        <v/>
      </c>
      <c r="X2153" s="41" t="str">
        <f t="shared" si="195"/>
        <v/>
      </c>
    </row>
    <row r="2154" s="32" customFormat="1" hidden="1" customHeight="1" spans="1:24">
      <c r="A2154" s="34"/>
      <c r="B2154" s="51"/>
      <c r="C2154" s="51"/>
      <c r="D2154" s="52"/>
      <c r="E2154" s="53"/>
      <c r="F2154" s="54"/>
      <c r="G2154" s="54"/>
      <c r="H2154" s="54"/>
      <c r="I2154" s="66"/>
      <c r="J2154" s="54"/>
      <c r="K2154" s="54"/>
      <c r="L2154" s="54"/>
      <c r="M2154" s="97" t="str">
        <f t="shared" si="192"/>
        <v/>
      </c>
      <c r="N2154" s="70"/>
      <c r="O2154" s="71" t="str">
        <f t="shared" si="191"/>
        <v/>
      </c>
      <c r="P2154" s="66"/>
      <c r="Q2154" s="66"/>
      <c r="R2154" s="54"/>
      <c r="S2154" s="82"/>
      <c r="T2154" s="83" t="str">
        <f t="shared" si="193"/>
        <v/>
      </c>
      <c r="U2154" s="10"/>
      <c r="V2154" s="41">
        <f>IF(AND(Q2154&lt;&gt;"",RIGHT(Q2154,3)&lt;&gt;""),IF(COUNTIF($Q$6:Q2154,Q2154)=1,1,0),0)</f>
        <v>0</v>
      </c>
      <c r="W2154" s="41" t="str">
        <f t="shared" si="194"/>
        <v/>
      </c>
      <c r="X2154" s="41" t="str">
        <f t="shared" si="195"/>
        <v/>
      </c>
    </row>
    <row r="2155" s="32" customFormat="1" hidden="1" customHeight="1" spans="1:24">
      <c r="A2155" s="34"/>
      <c r="B2155" s="51"/>
      <c r="C2155" s="51"/>
      <c r="D2155" s="52"/>
      <c r="E2155" s="53"/>
      <c r="F2155" s="54"/>
      <c r="G2155" s="54"/>
      <c r="H2155" s="54"/>
      <c r="I2155" s="66"/>
      <c r="J2155" s="54"/>
      <c r="K2155" s="54"/>
      <c r="L2155" s="54"/>
      <c r="M2155" s="97" t="str">
        <f t="shared" si="192"/>
        <v/>
      </c>
      <c r="N2155" s="70"/>
      <c r="O2155" s="71" t="str">
        <f t="shared" si="191"/>
        <v/>
      </c>
      <c r="P2155" s="66"/>
      <c r="Q2155" s="66"/>
      <c r="R2155" s="54"/>
      <c r="S2155" s="82"/>
      <c r="T2155" s="83" t="str">
        <f t="shared" si="193"/>
        <v/>
      </c>
      <c r="U2155" s="10"/>
      <c r="V2155" s="41">
        <f>IF(AND(Q2155&lt;&gt;"",RIGHT(Q2155,3)&lt;&gt;""),IF(COUNTIF($Q$6:Q2155,Q2155)=1,1,0),0)</f>
        <v>0</v>
      </c>
      <c r="W2155" s="41" t="str">
        <f t="shared" si="194"/>
        <v/>
      </c>
      <c r="X2155" s="41" t="str">
        <f t="shared" si="195"/>
        <v/>
      </c>
    </row>
    <row r="2156" s="32" customFormat="1" hidden="1" customHeight="1" spans="1:24">
      <c r="A2156" s="34"/>
      <c r="B2156" s="51"/>
      <c r="C2156" s="51"/>
      <c r="D2156" s="52"/>
      <c r="E2156" s="53"/>
      <c r="F2156" s="54"/>
      <c r="G2156" s="54"/>
      <c r="H2156" s="54"/>
      <c r="I2156" s="66"/>
      <c r="J2156" s="54"/>
      <c r="K2156" s="54"/>
      <c r="L2156" s="54"/>
      <c r="M2156" s="97" t="str">
        <f t="shared" si="192"/>
        <v/>
      </c>
      <c r="N2156" s="70"/>
      <c r="O2156" s="71" t="str">
        <f t="shared" si="191"/>
        <v/>
      </c>
      <c r="P2156" s="66"/>
      <c r="Q2156" s="66"/>
      <c r="R2156" s="54"/>
      <c r="S2156" s="82"/>
      <c r="T2156" s="83" t="str">
        <f t="shared" si="193"/>
        <v/>
      </c>
      <c r="U2156" s="10"/>
      <c r="V2156" s="41">
        <f>IF(AND(Q2156&lt;&gt;"",RIGHT(Q2156,3)&lt;&gt;""),IF(COUNTIF($Q$6:Q2156,Q2156)=1,1,0),0)</f>
        <v>0</v>
      </c>
      <c r="W2156" s="41" t="str">
        <f t="shared" si="194"/>
        <v/>
      </c>
      <c r="X2156" s="41" t="str">
        <f t="shared" si="195"/>
        <v/>
      </c>
    </row>
    <row r="2157" s="32" customFormat="1" hidden="1" customHeight="1" spans="1:24">
      <c r="A2157" s="34"/>
      <c r="B2157" s="51"/>
      <c r="C2157" s="51"/>
      <c r="D2157" s="52"/>
      <c r="E2157" s="53"/>
      <c r="F2157" s="54"/>
      <c r="G2157" s="54"/>
      <c r="H2157" s="54"/>
      <c r="I2157" s="66"/>
      <c r="J2157" s="54"/>
      <c r="K2157" s="54"/>
      <c r="L2157" s="54"/>
      <c r="M2157" s="97" t="str">
        <f t="shared" si="192"/>
        <v/>
      </c>
      <c r="N2157" s="70"/>
      <c r="O2157" s="71" t="str">
        <f t="shared" si="191"/>
        <v/>
      </c>
      <c r="P2157" s="66"/>
      <c r="Q2157" s="66"/>
      <c r="R2157" s="54"/>
      <c r="S2157" s="82"/>
      <c r="T2157" s="83" t="str">
        <f t="shared" si="193"/>
        <v/>
      </c>
      <c r="U2157" s="10"/>
      <c r="V2157" s="41">
        <f>IF(AND(Q2157&lt;&gt;"",RIGHT(Q2157,3)&lt;&gt;""),IF(COUNTIF($Q$6:Q2157,Q2157)=1,1,0),0)</f>
        <v>0</v>
      </c>
      <c r="W2157" s="41" t="str">
        <f t="shared" si="194"/>
        <v/>
      </c>
      <c r="X2157" s="41" t="str">
        <f t="shared" si="195"/>
        <v/>
      </c>
    </row>
    <row r="2158" s="32" customFormat="1" hidden="1" customHeight="1" spans="1:24">
      <c r="A2158" s="34"/>
      <c r="B2158" s="51"/>
      <c r="C2158" s="51"/>
      <c r="D2158" s="52"/>
      <c r="E2158" s="53"/>
      <c r="F2158" s="54"/>
      <c r="G2158" s="54"/>
      <c r="H2158" s="54"/>
      <c r="I2158" s="66"/>
      <c r="J2158" s="54"/>
      <c r="K2158" s="54"/>
      <c r="L2158" s="54"/>
      <c r="M2158" s="97" t="str">
        <f t="shared" si="192"/>
        <v/>
      </c>
      <c r="N2158" s="70"/>
      <c r="O2158" s="71" t="str">
        <f t="shared" si="191"/>
        <v/>
      </c>
      <c r="P2158" s="66"/>
      <c r="Q2158" s="66"/>
      <c r="R2158" s="54"/>
      <c r="S2158" s="82"/>
      <c r="T2158" s="83" t="str">
        <f t="shared" si="193"/>
        <v/>
      </c>
      <c r="U2158" s="10"/>
      <c r="V2158" s="41">
        <f>IF(AND(Q2158&lt;&gt;"",RIGHT(Q2158,3)&lt;&gt;""),IF(COUNTIF($Q$6:Q2158,Q2158)=1,1,0),0)</f>
        <v>0</v>
      </c>
      <c r="W2158" s="41" t="str">
        <f t="shared" si="194"/>
        <v/>
      </c>
      <c r="X2158" s="41" t="str">
        <f t="shared" si="195"/>
        <v/>
      </c>
    </row>
    <row r="2159" s="32" customFormat="1" hidden="1" customHeight="1" spans="1:24">
      <c r="A2159" s="34"/>
      <c r="B2159" s="51"/>
      <c r="C2159" s="51"/>
      <c r="D2159" s="52"/>
      <c r="E2159" s="53"/>
      <c r="F2159" s="54"/>
      <c r="G2159" s="54"/>
      <c r="H2159" s="54"/>
      <c r="I2159" s="66"/>
      <c r="J2159" s="54"/>
      <c r="K2159" s="54"/>
      <c r="L2159" s="54"/>
      <c r="M2159" s="97" t="str">
        <f t="shared" si="192"/>
        <v/>
      </c>
      <c r="N2159" s="70"/>
      <c r="O2159" s="71" t="str">
        <f t="shared" si="191"/>
        <v/>
      </c>
      <c r="P2159" s="66"/>
      <c r="Q2159" s="66"/>
      <c r="R2159" s="54"/>
      <c r="S2159" s="82"/>
      <c r="T2159" s="83" t="str">
        <f t="shared" si="193"/>
        <v/>
      </c>
      <c r="U2159" s="10"/>
      <c r="V2159" s="41">
        <f>IF(AND(Q2159&lt;&gt;"",RIGHT(Q2159,3)&lt;&gt;""),IF(COUNTIF($Q$6:Q2159,Q2159)=1,1,0),0)</f>
        <v>0</v>
      </c>
      <c r="W2159" s="41" t="str">
        <f t="shared" si="194"/>
        <v/>
      </c>
      <c r="X2159" s="41" t="str">
        <f t="shared" si="195"/>
        <v/>
      </c>
    </row>
    <row r="2160" s="32" customFormat="1" hidden="1" customHeight="1" spans="1:24">
      <c r="A2160" s="34"/>
      <c r="B2160" s="51"/>
      <c r="C2160" s="51"/>
      <c r="D2160" s="52"/>
      <c r="E2160" s="53"/>
      <c r="F2160" s="54"/>
      <c r="G2160" s="54"/>
      <c r="H2160" s="54"/>
      <c r="I2160" s="66"/>
      <c r="J2160" s="54"/>
      <c r="K2160" s="54"/>
      <c r="L2160" s="54"/>
      <c r="M2160" s="97" t="str">
        <f t="shared" si="192"/>
        <v/>
      </c>
      <c r="N2160" s="70"/>
      <c r="O2160" s="71" t="str">
        <f t="shared" si="191"/>
        <v/>
      </c>
      <c r="P2160" s="66"/>
      <c r="Q2160" s="66"/>
      <c r="R2160" s="54"/>
      <c r="S2160" s="82"/>
      <c r="T2160" s="83" t="str">
        <f t="shared" si="193"/>
        <v/>
      </c>
      <c r="U2160" s="10"/>
      <c r="V2160" s="41">
        <f>IF(AND(Q2160&lt;&gt;"",RIGHT(Q2160,3)&lt;&gt;""),IF(COUNTIF($Q$6:Q2160,Q2160)=1,1,0),0)</f>
        <v>0</v>
      </c>
      <c r="W2160" s="41" t="str">
        <f t="shared" si="194"/>
        <v/>
      </c>
      <c r="X2160" s="41" t="str">
        <f t="shared" si="195"/>
        <v/>
      </c>
    </row>
    <row r="2161" s="32" customFormat="1" hidden="1" customHeight="1" spans="1:24">
      <c r="A2161" s="34"/>
      <c r="B2161" s="51"/>
      <c r="C2161" s="51"/>
      <c r="D2161" s="52"/>
      <c r="E2161" s="53"/>
      <c r="F2161" s="54"/>
      <c r="G2161" s="54"/>
      <c r="H2161" s="54"/>
      <c r="I2161" s="66"/>
      <c r="J2161" s="54"/>
      <c r="K2161" s="54"/>
      <c r="L2161" s="54"/>
      <c r="M2161" s="97" t="str">
        <f t="shared" si="192"/>
        <v/>
      </c>
      <c r="N2161" s="70"/>
      <c r="O2161" s="71" t="str">
        <f t="shared" ref="O2161:O2224" si="196">IF(AND(Q2161&lt;&gt;"",T2161&lt;&gt;""),"PASSIVE",IF(AND(J2161&lt;&gt;"",M2161&lt;&gt;""),"ACTIVE",""))</f>
        <v/>
      </c>
      <c r="P2161" s="66"/>
      <c r="Q2161" s="66"/>
      <c r="R2161" s="54"/>
      <c r="S2161" s="82"/>
      <c r="T2161" s="83" t="str">
        <f t="shared" si="193"/>
        <v/>
      </c>
      <c r="U2161" s="10"/>
      <c r="V2161" s="41">
        <f>IF(AND(Q2161&lt;&gt;"",RIGHT(Q2161,3)&lt;&gt;""),IF(COUNTIF($Q$6:Q2161,Q2161)=1,1,0),0)</f>
        <v>0</v>
      </c>
      <c r="W2161" s="41" t="str">
        <f t="shared" si="194"/>
        <v/>
      </c>
      <c r="X2161" s="41" t="str">
        <f t="shared" si="195"/>
        <v/>
      </c>
    </row>
    <row r="2162" s="32" customFormat="1" hidden="1" customHeight="1" spans="1:24">
      <c r="A2162" s="34"/>
      <c r="B2162" s="51"/>
      <c r="C2162" s="51"/>
      <c r="D2162" s="52"/>
      <c r="E2162" s="53"/>
      <c r="F2162" s="54"/>
      <c r="G2162" s="54"/>
      <c r="H2162" s="54"/>
      <c r="I2162" s="66"/>
      <c r="J2162" s="54"/>
      <c r="K2162" s="54"/>
      <c r="L2162" s="54"/>
      <c r="M2162" s="97" t="str">
        <f t="shared" si="192"/>
        <v/>
      </c>
      <c r="N2162" s="70"/>
      <c r="O2162" s="71" t="str">
        <f t="shared" si="196"/>
        <v/>
      </c>
      <c r="P2162" s="66"/>
      <c r="Q2162" s="66"/>
      <c r="R2162" s="54"/>
      <c r="S2162" s="82"/>
      <c r="T2162" s="83" t="str">
        <f t="shared" si="193"/>
        <v/>
      </c>
      <c r="U2162" s="10"/>
      <c r="V2162" s="41">
        <f>IF(AND(Q2162&lt;&gt;"",RIGHT(Q2162,3)&lt;&gt;""),IF(COUNTIF($Q$6:Q2162,Q2162)=1,1,0),0)</f>
        <v>0</v>
      </c>
      <c r="W2162" s="41" t="str">
        <f t="shared" si="194"/>
        <v/>
      </c>
      <c r="X2162" s="41" t="str">
        <f t="shared" si="195"/>
        <v/>
      </c>
    </row>
    <row r="2163" s="32" customFormat="1" hidden="1" customHeight="1" spans="1:24">
      <c r="A2163" s="34"/>
      <c r="B2163" s="51"/>
      <c r="C2163" s="51"/>
      <c r="D2163" s="52"/>
      <c r="E2163" s="53"/>
      <c r="F2163" s="54"/>
      <c r="G2163" s="54"/>
      <c r="H2163" s="54"/>
      <c r="I2163" s="66"/>
      <c r="J2163" s="54"/>
      <c r="K2163" s="54"/>
      <c r="L2163" s="54"/>
      <c r="M2163" s="97" t="str">
        <f t="shared" si="192"/>
        <v/>
      </c>
      <c r="N2163" s="70"/>
      <c r="O2163" s="71" t="str">
        <f t="shared" si="196"/>
        <v/>
      </c>
      <c r="P2163" s="66"/>
      <c r="Q2163" s="66"/>
      <c r="R2163" s="54"/>
      <c r="S2163" s="82"/>
      <c r="T2163" s="83" t="str">
        <f t="shared" si="193"/>
        <v/>
      </c>
      <c r="U2163" s="10"/>
      <c r="V2163" s="41">
        <f>IF(AND(Q2163&lt;&gt;"",RIGHT(Q2163,3)&lt;&gt;""),IF(COUNTIF($Q$6:Q2163,Q2163)=1,1,0),0)</f>
        <v>0</v>
      </c>
      <c r="W2163" s="41" t="str">
        <f t="shared" si="194"/>
        <v/>
      </c>
      <c r="X2163" s="41" t="str">
        <f t="shared" si="195"/>
        <v/>
      </c>
    </row>
    <row r="2164" s="32" customFormat="1" hidden="1" customHeight="1" spans="1:24">
      <c r="A2164" s="34"/>
      <c r="B2164" s="51"/>
      <c r="C2164" s="51"/>
      <c r="D2164" s="52"/>
      <c r="E2164" s="53"/>
      <c r="F2164" s="54"/>
      <c r="G2164" s="54"/>
      <c r="H2164" s="54"/>
      <c r="I2164" s="66"/>
      <c r="J2164" s="54"/>
      <c r="K2164" s="54"/>
      <c r="L2164" s="54"/>
      <c r="M2164" s="97" t="str">
        <f t="shared" si="192"/>
        <v/>
      </c>
      <c r="N2164" s="70"/>
      <c r="O2164" s="71" t="str">
        <f t="shared" si="196"/>
        <v/>
      </c>
      <c r="P2164" s="66"/>
      <c r="Q2164" s="66"/>
      <c r="R2164" s="54"/>
      <c r="S2164" s="82"/>
      <c r="T2164" s="83" t="str">
        <f t="shared" si="193"/>
        <v/>
      </c>
      <c r="U2164" s="10"/>
      <c r="V2164" s="41">
        <f>IF(AND(Q2164&lt;&gt;"",RIGHT(Q2164,3)&lt;&gt;""),IF(COUNTIF($Q$6:Q2164,Q2164)=1,1,0),0)</f>
        <v>0</v>
      </c>
      <c r="W2164" s="41" t="str">
        <f t="shared" si="194"/>
        <v/>
      </c>
      <c r="X2164" s="41" t="str">
        <f t="shared" si="195"/>
        <v/>
      </c>
    </row>
    <row r="2165" s="32" customFormat="1" hidden="1" customHeight="1" spans="1:24">
      <c r="A2165" s="34"/>
      <c r="B2165" s="51"/>
      <c r="C2165" s="51"/>
      <c r="D2165" s="52"/>
      <c r="E2165" s="53"/>
      <c r="F2165" s="54"/>
      <c r="G2165" s="54"/>
      <c r="H2165" s="54"/>
      <c r="I2165" s="66"/>
      <c r="J2165" s="54"/>
      <c r="K2165" s="54"/>
      <c r="L2165" s="54"/>
      <c r="M2165" s="97" t="str">
        <f t="shared" si="192"/>
        <v/>
      </c>
      <c r="N2165" s="70"/>
      <c r="O2165" s="71" t="str">
        <f t="shared" si="196"/>
        <v/>
      </c>
      <c r="P2165" s="66"/>
      <c r="Q2165" s="66"/>
      <c r="R2165" s="54"/>
      <c r="S2165" s="82"/>
      <c r="T2165" s="83" t="str">
        <f t="shared" si="193"/>
        <v/>
      </c>
      <c r="U2165" s="10"/>
      <c r="V2165" s="41">
        <f>IF(AND(Q2165&lt;&gt;"",RIGHT(Q2165,3)&lt;&gt;""),IF(COUNTIF($Q$6:Q2165,Q2165)=1,1,0),0)</f>
        <v>0</v>
      </c>
      <c r="W2165" s="41" t="str">
        <f t="shared" si="194"/>
        <v/>
      </c>
      <c r="X2165" s="41" t="str">
        <f t="shared" si="195"/>
        <v/>
      </c>
    </row>
    <row r="2166" s="32" customFormat="1" hidden="1" customHeight="1" spans="1:24">
      <c r="A2166" s="34"/>
      <c r="B2166" s="51"/>
      <c r="C2166" s="51"/>
      <c r="D2166" s="52"/>
      <c r="E2166" s="53"/>
      <c r="F2166" s="54"/>
      <c r="G2166" s="54"/>
      <c r="H2166" s="54"/>
      <c r="I2166" s="66"/>
      <c r="J2166" s="54"/>
      <c r="K2166" s="54"/>
      <c r="L2166" s="54"/>
      <c r="M2166" s="97" t="str">
        <f t="shared" si="192"/>
        <v/>
      </c>
      <c r="N2166" s="70"/>
      <c r="O2166" s="71" t="str">
        <f t="shared" si="196"/>
        <v/>
      </c>
      <c r="P2166" s="66"/>
      <c r="Q2166" s="66"/>
      <c r="R2166" s="54"/>
      <c r="S2166" s="82"/>
      <c r="T2166" s="83" t="str">
        <f t="shared" si="193"/>
        <v/>
      </c>
      <c r="U2166" s="10"/>
      <c r="V2166" s="41">
        <f>IF(AND(Q2166&lt;&gt;"",RIGHT(Q2166,3)&lt;&gt;""),IF(COUNTIF($Q$6:Q2166,Q2166)=1,1,0),0)</f>
        <v>0</v>
      </c>
      <c r="W2166" s="41" t="str">
        <f t="shared" si="194"/>
        <v/>
      </c>
      <c r="X2166" s="41" t="str">
        <f t="shared" si="195"/>
        <v/>
      </c>
    </row>
    <row r="2167" s="32" customFormat="1" hidden="1" customHeight="1" spans="1:24">
      <c r="A2167" s="34"/>
      <c r="B2167" s="51"/>
      <c r="C2167" s="51"/>
      <c r="D2167" s="52"/>
      <c r="E2167" s="53"/>
      <c r="F2167" s="54"/>
      <c r="G2167" s="54"/>
      <c r="H2167" s="54"/>
      <c r="I2167" s="66"/>
      <c r="J2167" s="54"/>
      <c r="K2167" s="54"/>
      <c r="L2167" s="54"/>
      <c r="M2167" s="97" t="str">
        <f t="shared" si="192"/>
        <v/>
      </c>
      <c r="N2167" s="70"/>
      <c r="O2167" s="71" t="str">
        <f t="shared" si="196"/>
        <v/>
      </c>
      <c r="P2167" s="66"/>
      <c r="Q2167" s="66"/>
      <c r="R2167" s="54"/>
      <c r="S2167" s="82"/>
      <c r="T2167" s="83" t="str">
        <f t="shared" si="193"/>
        <v/>
      </c>
      <c r="U2167" s="10"/>
      <c r="V2167" s="41">
        <f>IF(AND(Q2167&lt;&gt;"",RIGHT(Q2167,3)&lt;&gt;""),IF(COUNTIF($Q$6:Q2167,Q2167)=1,1,0),0)</f>
        <v>0</v>
      </c>
      <c r="W2167" s="41" t="str">
        <f t="shared" si="194"/>
        <v/>
      </c>
      <c r="X2167" s="41" t="str">
        <f t="shared" si="195"/>
        <v/>
      </c>
    </row>
    <row r="2168" s="32" customFormat="1" hidden="1" customHeight="1" spans="1:24">
      <c r="A2168" s="34"/>
      <c r="B2168" s="51"/>
      <c r="C2168" s="51"/>
      <c r="D2168" s="52"/>
      <c r="E2168" s="53"/>
      <c r="F2168" s="54"/>
      <c r="G2168" s="54"/>
      <c r="H2168" s="54"/>
      <c r="I2168" s="66"/>
      <c r="J2168" s="54"/>
      <c r="K2168" s="54"/>
      <c r="L2168" s="54"/>
      <c r="M2168" s="97" t="str">
        <f t="shared" si="192"/>
        <v/>
      </c>
      <c r="N2168" s="70"/>
      <c r="O2168" s="71" t="str">
        <f t="shared" si="196"/>
        <v/>
      </c>
      <c r="P2168" s="66"/>
      <c r="Q2168" s="66"/>
      <c r="R2168" s="54"/>
      <c r="S2168" s="82"/>
      <c r="T2168" s="83" t="str">
        <f t="shared" si="193"/>
        <v/>
      </c>
      <c r="U2168" s="10"/>
      <c r="V2168" s="41">
        <f>IF(AND(Q2168&lt;&gt;"",RIGHT(Q2168,3)&lt;&gt;""),IF(COUNTIF($Q$6:Q2168,Q2168)=1,1,0),0)</f>
        <v>0</v>
      </c>
      <c r="W2168" s="41" t="str">
        <f t="shared" si="194"/>
        <v/>
      </c>
      <c r="X2168" s="41" t="str">
        <f t="shared" si="195"/>
        <v/>
      </c>
    </row>
    <row r="2169" s="32" customFormat="1" hidden="1" customHeight="1" spans="1:24">
      <c r="A2169" s="34"/>
      <c r="B2169" s="51"/>
      <c r="C2169" s="51"/>
      <c r="D2169" s="52"/>
      <c r="E2169" s="53"/>
      <c r="F2169" s="54"/>
      <c r="G2169" s="54"/>
      <c r="H2169" s="54"/>
      <c r="I2169" s="66"/>
      <c r="J2169" s="54"/>
      <c r="K2169" s="54"/>
      <c r="L2169" s="54"/>
      <c r="M2169" s="97" t="str">
        <f t="shared" si="192"/>
        <v/>
      </c>
      <c r="N2169" s="70"/>
      <c r="O2169" s="71" t="str">
        <f t="shared" si="196"/>
        <v/>
      </c>
      <c r="P2169" s="66"/>
      <c r="Q2169" s="66"/>
      <c r="R2169" s="54"/>
      <c r="S2169" s="82"/>
      <c r="T2169" s="83" t="str">
        <f t="shared" si="193"/>
        <v/>
      </c>
      <c r="U2169" s="10"/>
      <c r="V2169" s="41">
        <f>IF(AND(Q2169&lt;&gt;"",RIGHT(Q2169,3)&lt;&gt;""),IF(COUNTIF($Q$6:Q2169,Q2169)=1,1,0),0)</f>
        <v>0</v>
      </c>
      <c r="W2169" s="41" t="str">
        <f t="shared" si="194"/>
        <v/>
      </c>
      <c r="X2169" s="41" t="str">
        <f t="shared" si="195"/>
        <v/>
      </c>
    </row>
    <row r="2170" s="32" customFormat="1" hidden="1" customHeight="1" spans="1:24">
      <c r="A2170" s="34"/>
      <c r="B2170" s="51"/>
      <c r="C2170" s="51"/>
      <c r="D2170" s="52"/>
      <c r="E2170" s="53"/>
      <c r="F2170" s="54"/>
      <c r="G2170" s="54"/>
      <c r="H2170" s="54"/>
      <c r="I2170" s="66"/>
      <c r="J2170" s="54"/>
      <c r="K2170" s="54"/>
      <c r="L2170" s="54"/>
      <c r="M2170" s="97" t="str">
        <f t="shared" si="192"/>
        <v/>
      </c>
      <c r="N2170" s="70"/>
      <c r="O2170" s="71" t="str">
        <f t="shared" si="196"/>
        <v/>
      </c>
      <c r="P2170" s="66"/>
      <c r="Q2170" s="66"/>
      <c r="R2170" s="54"/>
      <c r="S2170" s="82"/>
      <c r="T2170" s="83" t="str">
        <f t="shared" si="193"/>
        <v/>
      </c>
      <c r="U2170" s="10"/>
      <c r="V2170" s="41">
        <f>IF(AND(Q2170&lt;&gt;"",RIGHT(Q2170,3)&lt;&gt;""),IF(COUNTIF($Q$6:Q2170,Q2170)=1,1,0),0)</f>
        <v>0</v>
      </c>
      <c r="W2170" s="41" t="str">
        <f t="shared" si="194"/>
        <v/>
      </c>
      <c r="X2170" s="41" t="str">
        <f t="shared" si="195"/>
        <v/>
      </c>
    </row>
    <row r="2171" s="32" customFormat="1" hidden="1" customHeight="1" spans="1:24">
      <c r="A2171" s="34"/>
      <c r="B2171" s="51"/>
      <c r="C2171" s="51"/>
      <c r="D2171" s="52"/>
      <c r="E2171" s="53"/>
      <c r="F2171" s="54"/>
      <c r="G2171" s="54"/>
      <c r="H2171" s="54"/>
      <c r="I2171" s="66"/>
      <c r="J2171" s="54"/>
      <c r="K2171" s="54"/>
      <c r="L2171" s="54"/>
      <c r="M2171" s="97" t="str">
        <f t="shared" si="192"/>
        <v/>
      </c>
      <c r="N2171" s="70"/>
      <c r="O2171" s="71" t="str">
        <f t="shared" si="196"/>
        <v/>
      </c>
      <c r="P2171" s="66"/>
      <c r="Q2171" s="66"/>
      <c r="R2171" s="54"/>
      <c r="S2171" s="82"/>
      <c r="T2171" s="83" t="str">
        <f t="shared" si="193"/>
        <v/>
      </c>
      <c r="U2171" s="10"/>
      <c r="V2171" s="41">
        <f>IF(AND(Q2171&lt;&gt;"",RIGHT(Q2171,3)&lt;&gt;""),IF(COUNTIF($Q$6:Q2171,Q2171)=1,1,0),0)</f>
        <v>0</v>
      </c>
      <c r="W2171" s="41" t="str">
        <f t="shared" si="194"/>
        <v/>
      </c>
      <c r="X2171" s="41" t="str">
        <f t="shared" si="195"/>
        <v/>
      </c>
    </row>
    <row r="2172" s="32" customFormat="1" hidden="1" customHeight="1" spans="1:24">
      <c r="A2172" s="34"/>
      <c r="B2172" s="51"/>
      <c r="C2172" s="51"/>
      <c r="D2172" s="52"/>
      <c r="E2172" s="53"/>
      <c r="F2172" s="54"/>
      <c r="G2172" s="54"/>
      <c r="H2172" s="54"/>
      <c r="I2172" s="66"/>
      <c r="J2172" s="54"/>
      <c r="K2172" s="54"/>
      <c r="L2172" s="54"/>
      <c r="M2172" s="97" t="str">
        <f t="shared" si="192"/>
        <v/>
      </c>
      <c r="N2172" s="70"/>
      <c r="O2172" s="71" t="str">
        <f t="shared" si="196"/>
        <v/>
      </c>
      <c r="P2172" s="66"/>
      <c r="Q2172" s="66"/>
      <c r="R2172" s="54"/>
      <c r="S2172" s="82"/>
      <c r="T2172" s="83" t="str">
        <f t="shared" si="193"/>
        <v/>
      </c>
      <c r="U2172" s="10"/>
      <c r="V2172" s="41">
        <f>IF(AND(Q2172&lt;&gt;"",RIGHT(Q2172,3)&lt;&gt;""),IF(COUNTIF($Q$6:Q2172,Q2172)=1,1,0),0)</f>
        <v>0</v>
      </c>
      <c r="W2172" s="41" t="str">
        <f t="shared" si="194"/>
        <v/>
      </c>
      <c r="X2172" s="41" t="str">
        <f t="shared" si="195"/>
        <v/>
      </c>
    </row>
    <row r="2173" s="32" customFormat="1" hidden="1" customHeight="1" spans="1:24">
      <c r="A2173" s="34"/>
      <c r="B2173" s="51"/>
      <c r="C2173" s="51"/>
      <c r="D2173" s="52"/>
      <c r="E2173" s="53"/>
      <c r="F2173" s="54"/>
      <c r="G2173" s="54"/>
      <c r="H2173" s="54"/>
      <c r="I2173" s="66"/>
      <c r="J2173" s="54"/>
      <c r="K2173" s="54"/>
      <c r="L2173" s="54"/>
      <c r="M2173" s="97" t="str">
        <f t="shared" si="192"/>
        <v/>
      </c>
      <c r="N2173" s="70"/>
      <c r="O2173" s="71" t="str">
        <f t="shared" si="196"/>
        <v/>
      </c>
      <c r="P2173" s="66"/>
      <c r="Q2173" s="66"/>
      <c r="R2173" s="54"/>
      <c r="S2173" s="82"/>
      <c r="T2173" s="83" t="str">
        <f t="shared" si="193"/>
        <v/>
      </c>
      <c r="U2173" s="10"/>
      <c r="V2173" s="41">
        <f>IF(AND(Q2173&lt;&gt;"",RIGHT(Q2173,3)&lt;&gt;""),IF(COUNTIF($Q$6:Q2173,Q2173)=1,1,0),0)</f>
        <v>0</v>
      </c>
      <c r="W2173" s="41" t="str">
        <f t="shared" si="194"/>
        <v/>
      </c>
      <c r="X2173" s="41" t="str">
        <f t="shared" si="195"/>
        <v/>
      </c>
    </row>
    <row r="2174" s="32" customFormat="1" hidden="1" customHeight="1" spans="1:24">
      <c r="A2174" s="34"/>
      <c r="B2174" s="51"/>
      <c r="C2174" s="51"/>
      <c r="D2174" s="52"/>
      <c r="E2174" s="53"/>
      <c r="F2174" s="54"/>
      <c r="G2174" s="54"/>
      <c r="H2174" s="54"/>
      <c r="I2174" s="66"/>
      <c r="J2174" s="54"/>
      <c r="K2174" s="54"/>
      <c r="L2174" s="54"/>
      <c r="M2174" s="97" t="str">
        <f t="shared" si="192"/>
        <v/>
      </c>
      <c r="N2174" s="70"/>
      <c r="O2174" s="71" t="str">
        <f t="shared" si="196"/>
        <v/>
      </c>
      <c r="P2174" s="66"/>
      <c r="Q2174" s="66"/>
      <c r="R2174" s="54"/>
      <c r="S2174" s="82"/>
      <c r="T2174" s="83" t="str">
        <f t="shared" si="193"/>
        <v/>
      </c>
      <c r="U2174" s="10"/>
      <c r="V2174" s="41">
        <f>IF(AND(Q2174&lt;&gt;"",RIGHT(Q2174,3)&lt;&gt;""),IF(COUNTIF($Q$6:Q2174,Q2174)=1,1,0),0)</f>
        <v>0</v>
      </c>
      <c r="W2174" s="41" t="str">
        <f t="shared" si="194"/>
        <v/>
      </c>
      <c r="X2174" s="41" t="str">
        <f t="shared" si="195"/>
        <v/>
      </c>
    </row>
    <row r="2175" s="32" customFormat="1" hidden="1" customHeight="1" spans="1:24">
      <c r="A2175" s="34"/>
      <c r="B2175" s="51"/>
      <c r="C2175" s="51"/>
      <c r="D2175" s="52"/>
      <c r="E2175" s="53"/>
      <c r="F2175" s="54"/>
      <c r="G2175" s="54"/>
      <c r="H2175" s="54"/>
      <c r="I2175" s="66"/>
      <c r="J2175" s="54"/>
      <c r="K2175" s="54"/>
      <c r="L2175" s="54"/>
      <c r="M2175" s="97" t="str">
        <f t="shared" si="192"/>
        <v/>
      </c>
      <c r="N2175" s="70"/>
      <c r="O2175" s="71" t="str">
        <f t="shared" si="196"/>
        <v/>
      </c>
      <c r="P2175" s="66"/>
      <c r="Q2175" s="66"/>
      <c r="R2175" s="54"/>
      <c r="S2175" s="82"/>
      <c r="T2175" s="83" t="str">
        <f t="shared" si="193"/>
        <v/>
      </c>
      <c r="U2175" s="10"/>
      <c r="V2175" s="41">
        <f>IF(AND(Q2175&lt;&gt;"",RIGHT(Q2175,3)&lt;&gt;""),IF(COUNTIF($Q$6:Q2175,Q2175)=1,1,0),0)</f>
        <v>0</v>
      </c>
      <c r="W2175" s="41" t="str">
        <f t="shared" si="194"/>
        <v/>
      </c>
      <c r="X2175" s="41" t="str">
        <f t="shared" si="195"/>
        <v/>
      </c>
    </row>
    <row r="2176" s="32" customFormat="1" hidden="1" customHeight="1" spans="1:24">
      <c r="A2176" s="34"/>
      <c r="B2176" s="51"/>
      <c r="C2176" s="51"/>
      <c r="D2176" s="52"/>
      <c r="E2176" s="53"/>
      <c r="F2176" s="54"/>
      <c r="G2176" s="54"/>
      <c r="H2176" s="54"/>
      <c r="I2176" s="66"/>
      <c r="J2176" s="54"/>
      <c r="K2176" s="54"/>
      <c r="L2176" s="54"/>
      <c r="M2176" s="97" t="str">
        <f t="shared" si="192"/>
        <v/>
      </c>
      <c r="N2176" s="70"/>
      <c r="O2176" s="71" t="str">
        <f t="shared" si="196"/>
        <v/>
      </c>
      <c r="P2176" s="66"/>
      <c r="Q2176" s="66"/>
      <c r="R2176" s="54"/>
      <c r="S2176" s="82"/>
      <c r="T2176" s="83" t="str">
        <f t="shared" si="193"/>
        <v/>
      </c>
      <c r="U2176" s="10"/>
      <c r="V2176" s="41">
        <f>IF(AND(Q2176&lt;&gt;"",RIGHT(Q2176,3)&lt;&gt;""),IF(COUNTIF($Q$6:Q2176,Q2176)=1,1,0),0)</f>
        <v>0</v>
      </c>
      <c r="W2176" s="41" t="str">
        <f t="shared" si="194"/>
        <v/>
      </c>
      <c r="X2176" s="41" t="str">
        <f t="shared" si="195"/>
        <v/>
      </c>
    </row>
    <row r="2177" s="32" customFormat="1" hidden="1" customHeight="1" spans="1:24">
      <c r="A2177" s="34"/>
      <c r="B2177" s="51"/>
      <c r="C2177" s="51"/>
      <c r="D2177" s="52"/>
      <c r="E2177" s="53"/>
      <c r="F2177" s="54"/>
      <c r="G2177" s="54"/>
      <c r="H2177" s="54"/>
      <c r="I2177" s="66"/>
      <c r="J2177" s="54"/>
      <c r="K2177" s="54"/>
      <c r="L2177" s="54"/>
      <c r="M2177" s="97" t="str">
        <f t="shared" si="192"/>
        <v/>
      </c>
      <c r="N2177" s="70"/>
      <c r="O2177" s="71" t="str">
        <f t="shared" si="196"/>
        <v/>
      </c>
      <c r="P2177" s="66"/>
      <c r="Q2177" s="66"/>
      <c r="R2177" s="54"/>
      <c r="S2177" s="82"/>
      <c r="T2177" s="83" t="str">
        <f t="shared" si="193"/>
        <v/>
      </c>
      <c r="U2177" s="10"/>
      <c r="V2177" s="41">
        <f>IF(AND(Q2177&lt;&gt;"",RIGHT(Q2177,3)&lt;&gt;""),IF(COUNTIF($Q$6:Q2177,Q2177)=1,1,0),0)</f>
        <v>0</v>
      </c>
      <c r="W2177" s="41" t="str">
        <f t="shared" si="194"/>
        <v/>
      </c>
      <c r="X2177" s="41" t="str">
        <f t="shared" si="195"/>
        <v/>
      </c>
    </row>
    <row r="2178" s="32" customFormat="1" hidden="1" customHeight="1" spans="1:24">
      <c r="A2178" s="34"/>
      <c r="B2178" s="51"/>
      <c r="C2178" s="51"/>
      <c r="D2178" s="52"/>
      <c r="E2178" s="53"/>
      <c r="F2178" s="54"/>
      <c r="G2178" s="54"/>
      <c r="H2178" s="54"/>
      <c r="I2178" s="66"/>
      <c r="J2178" s="54"/>
      <c r="K2178" s="54"/>
      <c r="L2178" s="54"/>
      <c r="M2178" s="97" t="str">
        <f t="shared" si="192"/>
        <v/>
      </c>
      <c r="N2178" s="70"/>
      <c r="O2178" s="71" t="str">
        <f t="shared" si="196"/>
        <v/>
      </c>
      <c r="P2178" s="66"/>
      <c r="Q2178" s="66"/>
      <c r="R2178" s="54"/>
      <c r="S2178" s="82"/>
      <c r="T2178" s="83" t="str">
        <f t="shared" si="193"/>
        <v/>
      </c>
      <c r="U2178" s="10"/>
      <c r="V2178" s="41">
        <f>IF(AND(Q2178&lt;&gt;"",RIGHT(Q2178,3)&lt;&gt;""),IF(COUNTIF($Q$6:Q2178,Q2178)=1,1,0),0)</f>
        <v>0</v>
      </c>
      <c r="W2178" s="41" t="str">
        <f t="shared" si="194"/>
        <v/>
      </c>
      <c r="X2178" s="41" t="str">
        <f t="shared" si="195"/>
        <v/>
      </c>
    </row>
    <row r="2179" s="32" customFormat="1" hidden="1" customHeight="1" spans="1:24">
      <c r="A2179" s="34"/>
      <c r="B2179" s="51"/>
      <c r="C2179" s="51"/>
      <c r="D2179" s="52"/>
      <c r="E2179" s="53"/>
      <c r="F2179" s="54"/>
      <c r="G2179" s="54"/>
      <c r="H2179" s="54"/>
      <c r="I2179" s="66"/>
      <c r="J2179" s="54"/>
      <c r="K2179" s="54"/>
      <c r="L2179" s="54"/>
      <c r="M2179" s="97" t="str">
        <f t="shared" si="192"/>
        <v/>
      </c>
      <c r="N2179" s="70"/>
      <c r="O2179" s="71" t="str">
        <f t="shared" si="196"/>
        <v/>
      </c>
      <c r="P2179" s="66"/>
      <c r="Q2179" s="66"/>
      <c r="R2179" s="54"/>
      <c r="S2179" s="82"/>
      <c r="T2179" s="83" t="str">
        <f t="shared" si="193"/>
        <v/>
      </c>
      <c r="U2179" s="10"/>
      <c r="V2179" s="41">
        <f>IF(AND(Q2179&lt;&gt;"",RIGHT(Q2179,3)&lt;&gt;""),IF(COUNTIF($Q$6:Q2179,Q2179)=1,1,0),0)</f>
        <v>0</v>
      </c>
      <c r="W2179" s="41" t="str">
        <f t="shared" si="194"/>
        <v/>
      </c>
      <c r="X2179" s="41" t="str">
        <f t="shared" si="195"/>
        <v/>
      </c>
    </row>
    <row r="2180" s="32" customFormat="1" hidden="1" customHeight="1" spans="1:24">
      <c r="A2180" s="34"/>
      <c r="B2180" s="51"/>
      <c r="C2180" s="51"/>
      <c r="D2180" s="52"/>
      <c r="E2180" s="53"/>
      <c r="F2180" s="54"/>
      <c r="G2180" s="54"/>
      <c r="H2180" s="54"/>
      <c r="I2180" s="66"/>
      <c r="J2180" s="54"/>
      <c r="K2180" s="54"/>
      <c r="L2180" s="54"/>
      <c r="M2180" s="97" t="str">
        <f t="shared" si="192"/>
        <v/>
      </c>
      <c r="N2180" s="70"/>
      <c r="O2180" s="71" t="str">
        <f t="shared" si="196"/>
        <v/>
      </c>
      <c r="P2180" s="66"/>
      <c r="Q2180" s="66"/>
      <c r="R2180" s="54"/>
      <c r="S2180" s="82"/>
      <c r="T2180" s="83" t="str">
        <f t="shared" si="193"/>
        <v/>
      </c>
      <c r="U2180" s="10"/>
      <c r="V2180" s="41">
        <f>IF(AND(Q2180&lt;&gt;"",RIGHT(Q2180,3)&lt;&gt;""),IF(COUNTIF($Q$6:Q2180,Q2180)=1,1,0),0)</f>
        <v>0</v>
      </c>
      <c r="W2180" s="41" t="str">
        <f t="shared" si="194"/>
        <v/>
      </c>
      <c r="X2180" s="41" t="str">
        <f t="shared" si="195"/>
        <v/>
      </c>
    </row>
    <row r="2181" s="32" customFormat="1" hidden="1" customHeight="1" spans="1:24">
      <c r="A2181" s="34"/>
      <c r="B2181" s="51"/>
      <c r="C2181" s="51"/>
      <c r="D2181" s="52"/>
      <c r="E2181" s="53"/>
      <c r="F2181" s="54"/>
      <c r="G2181" s="54"/>
      <c r="H2181" s="54"/>
      <c r="I2181" s="66"/>
      <c r="J2181" s="54"/>
      <c r="K2181" s="54"/>
      <c r="L2181" s="54"/>
      <c r="M2181" s="97" t="str">
        <f t="shared" si="192"/>
        <v/>
      </c>
      <c r="N2181" s="70"/>
      <c r="O2181" s="71" t="str">
        <f t="shared" si="196"/>
        <v/>
      </c>
      <c r="P2181" s="66"/>
      <c r="Q2181" s="66"/>
      <c r="R2181" s="54"/>
      <c r="S2181" s="82"/>
      <c r="T2181" s="83" t="str">
        <f t="shared" si="193"/>
        <v/>
      </c>
      <c r="U2181" s="10"/>
      <c r="V2181" s="41">
        <f>IF(AND(Q2181&lt;&gt;"",RIGHT(Q2181,3)&lt;&gt;""),IF(COUNTIF($Q$6:Q2181,Q2181)=1,1,0),0)</f>
        <v>0</v>
      </c>
      <c r="W2181" s="41" t="str">
        <f t="shared" si="194"/>
        <v/>
      </c>
      <c r="X2181" s="41" t="str">
        <f t="shared" si="195"/>
        <v/>
      </c>
    </row>
    <row r="2182" s="32" customFormat="1" hidden="1" customHeight="1" spans="1:24">
      <c r="A2182" s="34"/>
      <c r="B2182" s="51"/>
      <c r="C2182" s="51"/>
      <c r="D2182" s="52"/>
      <c r="E2182" s="53"/>
      <c r="F2182" s="54"/>
      <c r="G2182" s="54"/>
      <c r="H2182" s="54"/>
      <c r="I2182" s="66"/>
      <c r="J2182" s="54"/>
      <c r="K2182" s="54"/>
      <c r="L2182" s="54"/>
      <c r="M2182" s="97" t="str">
        <f t="shared" si="192"/>
        <v/>
      </c>
      <c r="N2182" s="70"/>
      <c r="O2182" s="71" t="str">
        <f t="shared" si="196"/>
        <v/>
      </c>
      <c r="P2182" s="66"/>
      <c r="Q2182" s="66"/>
      <c r="R2182" s="54"/>
      <c r="S2182" s="82"/>
      <c r="T2182" s="83" t="str">
        <f t="shared" si="193"/>
        <v/>
      </c>
      <c r="U2182" s="10"/>
      <c r="V2182" s="41">
        <f>IF(AND(Q2182&lt;&gt;"",RIGHT(Q2182,3)&lt;&gt;""),IF(COUNTIF($Q$6:Q2182,Q2182)=1,1,0),0)</f>
        <v>0</v>
      </c>
      <c r="W2182" s="41" t="str">
        <f t="shared" si="194"/>
        <v/>
      </c>
      <c r="X2182" s="41" t="str">
        <f t="shared" si="195"/>
        <v/>
      </c>
    </row>
    <row r="2183" s="32" customFormat="1" hidden="1" customHeight="1" spans="1:24">
      <c r="A2183" s="34"/>
      <c r="B2183" s="51"/>
      <c r="C2183" s="51"/>
      <c r="D2183" s="52"/>
      <c r="E2183" s="53"/>
      <c r="F2183" s="54"/>
      <c r="G2183" s="54"/>
      <c r="H2183" s="54"/>
      <c r="I2183" s="66"/>
      <c r="J2183" s="54"/>
      <c r="K2183" s="54"/>
      <c r="L2183" s="54"/>
      <c r="M2183" s="97" t="str">
        <f t="shared" si="192"/>
        <v/>
      </c>
      <c r="N2183" s="70"/>
      <c r="O2183" s="71" t="str">
        <f t="shared" si="196"/>
        <v/>
      </c>
      <c r="P2183" s="66"/>
      <c r="Q2183" s="66"/>
      <c r="R2183" s="54"/>
      <c r="S2183" s="82"/>
      <c r="T2183" s="83" t="str">
        <f t="shared" si="193"/>
        <v/>
      </c>
      <c r="U2183" s="10"/>
      <c r="V2183" s="41">
        <f>IF(AND(Q2183&lt;&gt;"",RIGHT(Q2183,3)&lt;&gt;""),IF(COUNTIF($Q$6:Q2183,Q2183)=1,1,0),0)</f>
        <v>0</v>
      </c>
      <c r="W2183" s="41" t="str">
        <f t="shared" si="194"/>
        <v/>
      </c>
      <c r="X2183" s="41" t="str">
        <f t="shared" si="195"/>
        <v/>
      </c>
    </row>
    <row r="2184" s="32" customFormat="1" hidden="1" customHeight="1" spans="1:24">
      <c r="A2184" s="34"/>
      <c r="B2184" s="51"/>
      <c r="C2184" s="51"/>
      <c r="D2184" s="52"/>
      <c r="E2184" s="53"/>
      <c r="F2184" s="54"/>
      <c r="G2184" s="54"/>
      <c r="H2184" s="54"/>
      <c r="I2184" s="66"/>
      <c r="J2184" s="54"/>
      <c r="K2184" s="54"/>
      <c r="L2184" s="54"/>
      <c r="M2184" s="97" t="str">
        <f t="shared" si="192"/>
        <v/>
      </c>
      <c r="N2184" s="70"/>
      <c r="O2184" s="71" t="str">
        <f t="shared" si="196"/>
        <v/>
      </c>
      <c r="P2184" s="66"/>
      <c r="Q2184" s="66"/>
      <c r="R2184" s="54"/>
      <c r="S2184" s="82"/>
      <c r="T2184" s="83" t="str">
        <f t="shared" si="193"/>
        <v/>
      </c>
      <c r="U2184" s="10"/>
      <c r="V2184" s="41">
        <f>IF(AND(Q2184&lt;&gt;"",RIGHT(Q2184,3)&lt;&gt;""),IF(COUNTIF($Q$6:Q2184,Q2184)=1,1,0),0)</f>
        <v>0</v>
      </c>
      <c r="W2184" s="41" t="str">
        <f t="shared" si="194"/>
        <v/>
      </c>
      <c r="X2184" s="41" t="str">
        <f t="shared" si="195"/>
        <v/>
      </c>
    </row>
    <row r="2185" s="32" customFormat="1" hidden="1" customHeight="1" spans="1:24">
      <c r="A2185" s="34"/>
      <c r="B2185" s="51"/>
      <c r="C2185" s="51"/>
      <c r="D2185" s="52"/>
      <c r="E2185" s="53"/>
      <c r="F2185" s="54"/>
      <c r="G2185" s="54"/>
      <c r="H2185" s="54"/>
      <c r="I2185" s="66"/>
      <c r="J2185" s="54"/>
      <c r="K2185" s="54"/>
      <c r="L2185" s="54"/>
      <c r="M2185" s="97" t="str">
        <f t="shared" si="192"/>
        <v/>
      </c>
      <c r="N2185" s="70"/>
      <c r="O2185" s="71" t="str">
        <f t="shared" si="196"/>
        <v/>
      </c>
      <c r="P2185" s="66"/>
      <c r="Q2185" s="66"/>
      <c r="R2185" s="54"/>
      <c r="S2185" s="82"/>
      <c r="T2185" s="83" t="str">
        <f t="shared" si="193"/>
        <v/>
      </c>
      <c r="U2185" s="10"/>
      <c r="V2185" s="41">
        <f>IF(AND(Q2185&lt;&gt;"",RIGHT(Q2185,3)&lt;&gt;""),IF(COUNTIF($Q$6:Q2185,Q2185)=1,1,0),0)</f>
        <v>0</v>
      </c>
      <c r="W2185" s="41" t="str">
        <f t="shared" si="194"/>
        <v/>
      </c>
      <c r="X2185" s="41" t="str">
        <f t="shared" si="195"/>
        <v/>
      </c>
    </row>
    <row r="2186" s="32" customFormat="1" hidden="1" customHeight="1" spans="1:24">
      <c r="A2186" s="34"/>
      <c r="B2186" s="51"/>
      <c r="C2186" s="51"/>
      <c r="D2186" s="52"/>
      <c r="E2186" s="53"/>
      <c r="F2186" s="54"/>
      <c r="G2186" s="54"/>
      <c r="H2186" s="54"/>
      <c r="I2186" s="66"/>
      <c r="J2186" s="54"/>
      <c r="K2186" s="54"/>
      <c r="L2186" s="54"/>
      <c r="M2186" s="97" t="str">
        <f t="shared" si="192"/>
        <v/>
      </c>
      <c r="N2186" s="70"/>
      <c r="O2186" s="71" t="str">
        <f t="shared" si="196"/>
        <v/>
      </c>
      <c r="P2186" s="66"/>
      <c r="Q2186" s="66"/>
      <c r="R2186" s="54"/>
      <c r="S2186" s="82"/>
      <c r="T2186" s="83" t="str">
        <f t="shared" si="193"/>
        <v/>
      </c>
      <c r="U2186" s="10"/>
      <c r="V2186" s="41">
        <f>IF(AND(Q2186&lt;&gt;"",RIGHT(Q2186,3)&lt;&gt;""),IF(COUNTIF($Q$6:Q2186,Q2186)=1,1,0),0)</f>
        <v>0</v>
      </c>
      <c r="W2186" s="41" t="str">
        <f t="shared" si="194"/>
        <v/>
      </c>
      <c r="X2186" s="41" t="str">
        <f t="shared" si="195"/>
        <v/>
      </c>
    </row>
    <row r="2187" s="32" customFormat="1" hidden="1" customHeight="1" spans="1:24">
      <c r="A2187" s="34"/>
      <c r="B2187" s="51"/>
      <c r="C2187" s="51"/>
      <c r="D2187" s="52"/>
      <c r="E2187" s="53"/>
      <c r="F2187" s="54"/>
      <c r="G2187" s="54"/>
      <c r="H2187" s="54"/>
      <c r="I2187" s="66"/>
      <c r="J2187" s="54"/>
      <c r="K2187" s="54"/>
      <c r="L2187" s="54"/>
      <c r="M2187" s="97" t="str">
        <f t="shared" si="192"/>
        <v/>
      </c>
      <c r="N2187" s="70"/>
      <c r="O2187" s="71" t="str">
        <f t="shared" si="196"/>
        <v/>
      </c>
      <c r="P2187" s="66"/>
      <c r="Q2187" s="66"/>
      <c r="R2187" s="54"/>
      <c r="S2187" s="82"/>
      <c r="T2187" s="83" t="str">
        <f t="shared" si="193"/>
        <v/>
      </c>
      <c r="U2187" s="10"/>
      <c r="V2187" s="41">
        <f>IF(AND(Q2187&lt;&gt;"",RIGHT(Q2187,3)&lt;&gt;""),IF(COUNTIF($Q$6:Q2187,Q2187)=1,1,0),0)</f>
        <v>0</v>
      </c>
      <c r="W2187" s="41" t="str">
        <f t="shared" si="194"/>
        <v/>
      </c>
      <c r="X2187" s="41" t="str">
        <f t="shared" si="195"/>
        <v/>
      </c>
    </row>
    <row r="2188" s="32" customFormat="1" hidden="1" customHeight="1" spans="1:24">
      <c r="A2188" s="34"/>
      <c r="B2188" s="51"/>
      <c r="C2188" s="51"/>
      <c r="D2188" s="52"/>
      <c r="E2188" s="53"/>
      <c r="F2188" s="54"/>
      <c r="G2188" s="54"/>
      <c r="H2188" s="54"/>
      <c r="I2188" s="66"/>
      <c r="J2188" s="54"/>
      <c r="K2188" s="54"/>
      <c r="L2188" s="54"/>
      <c r="M2188" s="97" t="str">
        <f t="shared" si="192"/>
        <v/>
      </c>
      <c r="N2188" s="70"/>
      <c r="O2188" s="71" t="str">
        <f t="shared" si="196"/>
        <v/>
      </c>
      <c r="P2188" s="66"/>
      <c r="Q2188" s="66"/>
      <c r="R2188" s="54"/>
      <c r="S2188" s="82"/>
      <c r="T2188" s="83" t="str">
        <f t="shared" si="193"/>
        <v/>
      </c>
      <c r="U2188" s="10"/>
      <c r="V2188" s="41">
        <f>IF(AND(Q2188&lt;&gt;"",RIGHT(Q2188,3)&lt;&gt;""),IF(COUNTIF($Q$6:Q2188,Q2188)=1,1,0),0)</f>
        <v>0</v>
      </c>
      <c r="W2188" s="41" t="str">
        <f t="shared" si="194"/>
        <v/>
      </c>
      <c r="X2188" s="41" t="str">
        <f t="shared" si="195"/>
        <v/>
      </c>
    </row>
    <row r="2189" s="32" customFormat="1" hidden="1" customHeight="1" spans="1:24">
      <c r="A2189" s="34"/>
      <c r="B2189" s="51"/>
      <c r="C2189" s="51"/>
      <c r="D2189" s="52"/>
      <c r="E2189" s="53"/>
      <c r="F2189" s="54"/>
      <c r="G2189" s="54"/>
      <c r="H2189" s="54"/>
      <c r="I2189" s="66"/>
      <c r="J2189" s="54"/>
      <c r="K2189" s="54"/>
      <c r="L2189" s="54"/>
      <c r="M2189" s="97" t="str">
        <f t="shared" si="192"/>
        <v/>
      </c>
      <c r="N2189" s="70"/>
      <c r="O2189" s="71" t="str">
        <f t="shared" si="196"/>
        <v/>
      </c>
      <c r="P2189" s="66"/>
      <c r="Q2189" s="66"/>
      <c r="R2189" s="54"/>
      <c r="S2189" s="82"/>
      <c r="T2189" s="83" t="str">
        <f t="shared" si="193"/>
        <v/>
      </c>
      <c r="U2189" s="10"/>
      <c r="V2189" s="41">
        <f>IF(AND(Q2189&lt;&gt;"",RIGHT(Q2189,3)&lt;&gt;""),IF(COUNTIF($Q$6:Q2189,Q2189)=1,1,0),0)</f>
        <v>0</v>
      </c>
      <c r="W2189" s="41" t="str">
        <f t="shared" si="194"/>
        <v/>
      </c>
      <c r="X2189" s="41" t="str">
        <f t="shared" si="195"/>
        <v/>
      </c>
    </row>
    <row r="2190" s="32" customFormat="1" hidden="1" customHeight="1" spans="1:24">
      <c r="A2190" s="34"/>
      <c r="B2190" s="51"/>
      <c r="C2190" s="51"/>
      <c r="D2190" s="52"/>
      <c r="E2190" s="53"/>
      <c r="F2190" s="54"/>
      <c r="G2190" s="54"/>
      <c r="H2190" s="54"/>
      <c r="I2190" s="66"/>
      <c r="J2190" s="54"/>
      <c r="K2190" s="54"/>
      <c r="L2190" s="54"/>
      <c r="M2190" s="97" t="str">
        <f t="shared" si="192"/>
        <v/>
      </c>
      <c r="N2190" s="70"/>
      <c r="O2190" s="71" t="str">
        <f t="shared" si="196"/>
        <v/>
      </c>
      <c r="P2190" s="66"/>
      <c r="Q2190" s="66"/>
      <c r="R2190" s="54"/>
      <c r="S2190" s="82"/>
      <c r="T2190" s="83" t="str">
        <f t="shared" si="193"/>
        <v/>
      </c>
      <c r="U2190" s="10"/>
      <c r="V2190" s="41">
        <f>IF(AND(Q2190&lt;&gt;"",RIGHT(Q2190,3)&lt;&gt;""),IF(COUNTIF($Q$6:Q2190,Q2190)=1,1,0),0)</f>
        <v>0</v>
      </c>
      <c r="W2190" s="41" t="str">
        <f t="shared" si="194"/>
        <v/>
      </c>
      <c r="X2190" s="41" t="str">
        <f t="shared" si="195"/>
        <v/>
      </c>
    </row>
    <row r="2191" s="32" customFormat="1" hidden="1" customHeight="1" spans="1:24">
      <c r="A2191" s="34"/>
      <c r="B2191" s="51"/>
      <c r="C2191" s="51"/>
      <c r="D2191" s="52"/>
      <c r="E2191" s="53"/>
      <c r="F2191" s="54"/>
      <c r="G2191" s="54"/>
      <c r="H2191" s="54"/>
      <c r="I2191" s="66"/>
      <c r="J2191" s="54"/>
      <c r="K2191" s="54"/>
      <c r="L2191" s="54"/>
      <c r="M2191" s="97" t="str">
        <f t="shared" si="192"/>
        <v/>
      </c>
      <c r="N2191" s="70"/>
      <c r="O2191" s="71" t="str">
        <f t="shared" si="196"/>
        <v/>
      </c>
      <c r="P2191" s="66"/>
      <c r="Q2191" s="66"/>
      <c r="R2191" s="54"/>
      <c r="S2191" s="82"/>
      <c r="T2191" s="83" t="str">
        <f t="shared" si="193"/>
        <v/>
      </c>
      <c r="U2191" s="10"/>
      <c r="V2191" s="41">
        <f>IF(AND(Q2191&lt;&gt;"",RIGHT(Q2191,3)&lt;&gt;""),IF(COUNTIF($Q$6:Q2191,Q2191)=1,1,0),0)</f>
        <v>0</v>
      </c>
      <c r="W2191" s="41" t="str">
        <f t="shared" si="194"/>
        <v/>
      </c>
      <c r="X2191" s="41" t="str">
        <f t="shared" si="195"/>
        <v/>
      </c>
    </row>
    <row r="2192" s="32" customFormat="1" hidden="1" customHeight="1" spans="1:24">
      <c r="A2192" s="34"/>
      <c r="B2192" s="51"/>
      <c r="C2192" s="51"/>
      <c r="D2192" s="52"/>
      <c r="E2192" s="53"/>
      <c r="F2192" s="54"/>
      <c r="G2192" s="54"/>
      <c r="H2192" s="54"/>
      <c r="I2192" s="66"/>
      <c r="J2192" s="54"/>
      <c r="K2192" s="54"/>
      <c r="L2192" s="54"/>
      <c r="M2192" s="97" t="str">
        <f t="shared" si="192"/>
        <v/>
      </c>
      <c r="N2192" s="70"/>
      <c r="O2192" s="71" t="str">
        <f t="shared" si="196"/>
        <v/>
      </c>
      <c r="P2192" s="66"/>
      <c r="Q2192" s="66"/>
      <c r="R2192" s="54"/>
      <c r="S2192" s="82"/>
      <c r="T2192" s="83" t="str">
        <f t="shared" si="193"/>
        <v/>
      </c>
      <c r="U2192" s="10"/>
      <c r="V2192" s="41">
        <f>IF(AND(Q2192&lt;&gt;"",RIGHT(Q2192,3)&lt;&gt;""),IF(COUNTIF($Q$6:Q2192,Q2192)=1,1,0),0)</f>
        <v>0</v>
      </c>
      <c r="W2192" s="41" t="str">
        <f t="shared" si="194"/>
        <v/>
      </c>
      <c r="X2192" s="41" t="str">
        <f t="shared" si="195"/>
        <v/>
      </c>
    </row>
    <row r="2193" s="32" customFormat="1" hidden="1" customHeight="1" spans="1:24">
      <c r="A2193" s="34"/>
      <c r="B2193" s="51"/>
      <c r="C2193" s="51"/>
      <c r="D2193" s="52"/>
      <c r="E2193" s="53"/>
      <c r="F2193" s="54"/>
      <c r="G2193" s="54"/>
      <c r="H2193" s="54"/>
      <c r="I2193" s="66"/>
      <c r="J2193" s="54"/>
      <c r="K2193" s="54"/>
      <c r="L2193" s="54"/>
      <c r="M2193" s="97" t="str">
        <f t="shared" si="192"/>
        <v/>
      </c>
      <c r="N2193" s="70"/>
      <c r="O2193" s="71" t="str">
        <f t="shared" si="196"/>
        <v/>
      </c>
      <c r="P2193" s="66"/>
      <c r="Q2193" s="66"/>
      <c r="R2193" s="54"/>
      <c r="S2193" s="82"/>
      <c r="T2193" s="83" t="str">
        <f t="shared" si="193"/>
        <v/>
      </c>
      <c r="U2193" s="10"/>
      <c r="V2193" s="41">
        <f>IF(AND(Q2193&lt;&gt;"",RIGHT(Q2193,3)&lt;&gt;""),IF(COUNTIF($Q$6:Q2193,Q2193)=1,1,0),0)</f>
        <v>0</v>
      </c>
      <c r="W2193" s="41" t="str">
        <f t="shared" si="194"/>
        <v/>
      </c>
      <c r="X2193" s="41" t="str">
        <f t="shared" si="195"/>
        <v/>
      </c>
    </row>
    <row r="2194" s="32" customFormat="1" hidden="1" customHeight="1" spans="1:24">
      <c r="A2194" s="34"/>
      <c r="B2194" s="51"/>
      <c r="C2194" s="51"/>
      <c r="D2194" s="52"/>
      <c r="E2194" s="53"/>
      <c r="F2194" s="54"/>
      <c r="G2194" s="54"/>
      <c r="H2194" s="54"/>
      <c r="I2194" s="66"/>
      <c r="J2194" s="54"/>
      <c r="K2194" s="54"/>
      <c r="L2194" s="54"/>
      <c r="M2194" s="97" t="str">
        <f t="shared" si="192"/>
        <v/>
      </c>
      <c r="N2194" s="70"/>
      <c r="O2194" s="71" t="str">
        <f t="shared" si="196"/>
        <v/>
      </c>
      <c r="P2194" s="66"/>
      <c r="Q2194" s="66"/>
      <c r="R2194" s="54"/>
      <c r="S2194" s="82"/>
      <c r="T2194" s="83" t="str">
        <f t="shared" si="193"/>
        <v/>
      </c>
      <c r="U2194" s="10"/>
      <c r="V2194" s="41">
        <f>IF(AND(Q2194&lt;&gt;"",RIGHT(Q2194,3)&lt;&gt;""),IF(COUNTIF($Q$6:Q2194,Q2194)=1,1,0),0)</f>
        <v>0</v>
      </c>
      <c r="W2194" s="41" t="str">
        <f t="shared" si="194"/>
        <v/>
      </c>
      <c r="X2194" s="41" t="str">
        <f t="shared" si="195"/>
        <v/>
      </c>
    </row>
    <row r="2195" s="32" customFormat="1" hidden="1" customHeight="1" spans="1:24">
      <c r="A2195" s="34"/>
      <c r="B2195" s="51"/>
      <c r="C2195" s="51"/>
      <c r="D2195" s="52"/>
      <c r="E2195" s="53"/>
      <c r="F2195" s="54"/>
      <c r="G2195" s="54"/>
      <c r="H2195" s="54"/>
      <c r="I2195" s="66"/>
      <c r="J2195" s="54"/>
      <c r="K2195" s="54"/>
      <c r="L2195" s="54"/>
      <c r="M2195" s="97" t="str">
        <f t="shared" si="192"/>
        <v/>
      </c>
      <c r="N2195" s="70"/>
      <c r="O2195" s="71" t="str">
        <f t="shared" si="196"/>
        <v/>
      </c>
      <c r="P2195" s="66"/>
      <c r="Q2195" s="66"/>
      <c r="R2195" s="54"/>
      <c r="S2195" s="82"/>
      <c r="T2195" s="83" t="str">
        <f t="shared" si="193"/>
        <v/>
      </c>
      <c r="U2195" s="10"/>
      <c r="V2195" s="41">
        <f>IF(AND(Q2195&lt;&gt;"",RIGHT(Q2195,3)&lt;&gt;""),IF(COUNTIF($Q$6:Q2195,Q2195)=1,1,0),0)</f>
        <v>0</v>
      </c>
      <c r="W2195" s="41" t="str">
        <f t="shared" si="194"/>
        <v/>
      </c>
      <c r="X2195" s="41" t="str">
        <f t="shared" si="195"/>
        <v/>
      </c>
    </row>
    <row r="2196" s="32" customFormat="1" hidden="1" customHeight="1" spans="1:24">
      <c r="A2196" s="34"/>
      <c r="B2196" s="51"/>
      <c r="C2196" s="51"/>
      <c r="D2196" s="52"/>
      <c r="E2196" s="53"/>
      <c r="F2196" s="54"/>
      <c r="G2196" s="54"/>
      <c r="H2196" s="54"/>
      <c r="I2196" s="66"/>
      <c r="J2196" s="54"/>
      <c r="K2196" s="54"/>
      <c r="L2196" s="54"/>
      <c r="M2196" s="97" t="str">
        <f t="shared" si="192"/>
        <v/>
      </c>
      <c r="N2196" s="70"/>
      <c r="O2196" s="71" t="str">
        <f t="shared" si="196"/>
        <v/>
      </c>
      <c r="P2196" s="66"/>
      <c r="Q2196" s="66"/>
      <c r="R2196" s="54"/>
      <c r="S2196" s="82"/>
      <c r="T2196" s="83" t="str">
        <f t="shared" si="193"/>
        <v/>
      </c>
      <c r="U2196" s="10"/>
      <c r="V2196" s="41">
        <f>IF(AND(Q2196&lt;&gt;"",RIGHT(Q2196,3)&lt;&gt;""),IF(COUNTIF($Q$6:Q2196,Q2196)=1,1,0),0)</f>
        <v>0</v>
      </c>
      <c r="W2196" s="41" t="str">
        <f t="shared" si="194"/>
        <v/>
      </c>
      <c r="X2196" s="41" t="str">
        <f t="shared" si="195"/>
        <v/>
      </c>
    </row>
    <row r="2197" s="32" customFormat="1" hidden="1" customHeight="1" spans="1:24">
      <c r="A2197" s="34"/>
      <c r="B2197" s="51"/>
      <c r="C2197" s="51"/>
      <c r="D2197" s="52"/>
      <c r="E2197" s="53"/>
      <c r="F2197" s="54"/>
      <c r="G2197" s="54"/>
      <c r="H2197" s="54"/>
      <c r="I2197" s="66"/>
      <c r="J2197" s="54"/>
      <c r="K2197" s="54"/>
      <c r="L2197" s="54"/>
      <c r="M2197" s="97" t="str">
        <f t="shared" si="192"/>
        <v/>
      </c>
      <c r="N2197" s="70"/>
      <c r="O2197" s="71" t="str">
        <f t="shared" si="196"/>
        <v/>
      </c>
      <c r="P2197" s="66"/>
      <c r="Q2197" s="66"/>
      <c r="R2197" s="54"/>
      <c r="S2197" s="82"/>
      <c r="T2197" s="83" t="str">
        <f t="shared" si="193"/>
        <v/>
      </c>
      <c r="U2197" s="10"/>
      <c r="V2197" s="41">
        <f>IF(AND(Q2197&lt;&gt;"",RIGHT(Q2197,3)&lt;&gt;""),IF(COUNTIF($Q$6:Q2197,Q2197)=1,1,0),0)</f>
        <v>0</v>
      </c>
      <c r="W2197" s="41" t="str">
        <f t="shared" si="194"/>
        <v/>
      </c>
      <c r="X2197" s="41" t="str">
        <f t="shared" si="195"/>
        <v/>
      </c>
    </row>
    <row r="2198" s="32" customFormat="1" hidden="1" customHeight="1" spans="1:24">
      <c r="A2198" s="34"/>
      <c r="B2198" s="51"/>
      <c r="C2198" s="51"/>
      <c r="D2198" s="52"/>
      <c r="E2198" s="53"/>
      <c r="F2198" s="54"/>
      <c r="G2198" s="54"/>
      <c r="H2198" s="54"/>
      <c r="I2198" s="66"/>
      <c r="J2198" s="54"/>
      <c r="K2198" s="54"/>
      <c r="L2198" s="54"/>
      <c r="M2198" s="97" t="str">
        <f t="shared" si="192"/>
        <v/>
      </c>
      <c r="N2198" s="70"/>
      <c r="O2198" s="71" t="str">
        <f t="shared" si="196"/>
        <v/>
      </c>
      <c r="P2198" s="66"/>
      <c r="Q2198" s="66"/>
      <c r="R2198" s="54"/>
      <c r="S2198" s="82"/>
      <c r="T2198" s="83" t="str">
        <f t="shared" si="193"/>
        <v/>
      </c>
      <c r="U2198" s="10"/>
      <c r="V2198" s="41">
        <f>IF(AND(Q2198&lt;&gt;"",RIGHT(Q2198,3)&lt;&gt;""),IF(COUNTIF($Q$6:Q2198,Q2198)=1,1,0),0)</f>
        <v>0</v>
      </c>
      <c r="W2198" s="41" t="str">
        <f t="shared" si="194"/>
        <v/>
      </c>
      <c r="X2198" s="41" t="str">
        <f t="shared" si="195"/>
        <v/>
      </c>
    </row>
    <row r="2199" s="32" customFormat="1" hidden="1" customHeight="1" spans="1:24">
      <c r="A2199" s="34"/>
      <c r="B2199" s="51"/>
      <c r="C2199" s="51"/>
      <c r="D2199" s="52"/>
      <c r="E2199" s="53"/>
      <c r="F2199" s="54"/>
      <c r="G2199" s="54"/>
      <c r="H2199" s="54"/>
      <c r="I2199" s="66"/>
      <c r="J2199" s="54"/>
      <c r="K2199" s="54"/>
      <c r="L2199" s="54"/>
      <c r="M2199" s="97" t="str">
        <f t="shared" si="192"/>
        <v/>
      </c>
      <c r="N2199" s="70"/>
      <c r="O2199" s="71" t="str">
        <f t="shared" si="196"/>
        <v/>
      </c>
      <c r="P2199" s="66"/>
      <c r="Q2199" s="66"/>
      <c r="R2199" s="54"/>
      <c r="S2199" s="82"/>
      <c r="T2199" s="83" t="str">
        <f t="shared" si="193"/>
        <v/>
      </c>
      <c r="U2199" s="10"/>
      <c r="V2199" s="41">
        <f>IF(AND(Q2199&lt;&gt;"",RIGHT(Q2199,3)&lt;&gt;""),IF(COUNTIF($Q$6:Q2199,Q2199)=1,1,0),0)</f>
        <v>0</v>
      </c>
      <c r="W2199" s="41" t="str">
        <f t="shared" si="194"/>
        <v/>
      </c>
      <c r="X2199" s="41" t="str">
        <f t="shared" si="195"/>
        <v/>
      </c>
    </row>
    <row r="2200" s="32" customFormat="1" hidden="1" customHeight="1" spans="1:24">
      <c r="A2200" s="34"/>
      <c r="B2200" s="51"/>
      <c r="C2200" s="51"/>
      <c r="D2200" s="52"/>
      <c r="E2200" s="53"/>
      <c r="F2200" s="54"/>
      <c r="G2200" s="54"/>
      <c r="H2200" s="54"/>
      <c r="I2200" s="66"/>
      <c r="J2200" s="54"/>
      <c r="K2200" s="54"/>
      <c r="L2200" s="54"/>
      <c r="M2200" s="97" t="str">
        <f t="shared" si="192"/>
        <v/>
      </c>
      <c r="N2200" s="70"/>
      <c r="O2200" s="71" t="str">
        <f t="shared" si="196"/>
        <v/>
      </c>
      <c r="P2200" s="66"/>
      <c r="Q2200" s="66"/>
      <c r="R2200" s="54"/>
      <c r="S2200" s="82"/>
      <c r="T2200" s="83" t="str">
        <f t="shared" si="193"/>
        <v/>
      </c>
      <c r="U2200" s="10"/>
      <c r="V2200" s="41">
        <f>IF(AND(Q2200&lt;&gt;"",RIGHT(Q2200,3)&lt;&gt;""),IF(COUNTIF($Q$6:Q2200,Q2200)=1,1,0),0)</f>
        <v>0</v>
      </c>
      <c r="W2200" s="41" t="str">
        <f t="shared" si="194"/>
        <v/>
      </c>
      <c r="X2200" s="41" t="str">
        <f t="shared" si="195"/>
        <v/>
      </c>
    </row>
    <row r="2201" s="32" customFormat="1" hidden="1" customHeight="1" spans="1:24">
      <c r="A2201" s="34"/>
      <c r="B2201" s="51"/>
      <c r="C2201" s="51"/>
      <c r="D2201" s="52"/>
      <c r="E2201" s="53"/>
      <c r="F2201" s="54"/>
      <c r="G2201" s="54"/>
      <c r="H2201" s="54"/>
      <c r="I2201" s="66"/>
      <c r="J2201" s="54"/>
      <c r="K2201" s="54"/>
      <c r="L2201" s="54"/>
      <c r="M2201" s="97" t="str">
        <f t="shared" si="192"/>
        <v/>
      </c>
      <c r="N2201" s="70"/>
      <c r="O2201" s="71" t="str">
        <f t="shared" si="196"/>
        <v/>
      </c>
      <c r="P2201" s="66"/>
      <c r="Q2201" s="66"/>
      <c r="R2201" s="54"/>
      <c r="S2201" s="82"/>
      <c r="T2201" s="83" t="str">
        <f t="shared" si="193"/>
        <v/>
      </c>
      <c r="U2201" s="10"/>
      <c r="V2201" s="41">
        <f>IF(AND(Q2201&lt;&gt;"",RIGHT(Q2201,3)&lt;&gt;""),IF(COUNTIF($Q$6:Q2201,Q2201)=1,1,0),0)</f>
        <v>0</v>
      </c>
      <c r="W2201" s="41" t="str">
        <f t="shared" si="194"/>
        <v/>
      </c>
      <c r="X2201" s="41" t="str">
        <f t="shared" si="195"/>
        <v/>
      </c>
    </row>
    <row r="2202" s="32" customFormat="1" hidden="1" customHeight="1" spans="1:24">
      <c r="A2202" s="34"/>
      <c r="B2202" s="51"/>
      <c r="C2202" s="51"/>
      <c r="D2202" s="52"/>
      <c r="E2202" s="53"/>
      <c r="F2202" s="54"/>
      <c r="G2202" s="54"/>
      <c r="H2202" s="54"/>
      <c r="I2202" s="66"/>
      <c r="J2202" s="54"/>
      <c r="K2202" s="54"/>
      <c r="L2202" s="54"/>
      <c r="M2202" s="97" t="str">
        <f t="shared" si="192"/>
        <v/>
      </c>
      <c r="N2202" s="70"/>
      <c r="O2202" s="71" t="str">
        <f t="shared" si="196"/>
        <v/>
      </c>
      <c r="P2202" s="66"/>
      <c r="Q2202" s="66"/>
      <c r="R2202" s="54"/>
      <c r="S2202" s="82"/>
      <c r="T2202" s="83" t="str">
        <f t="shared" si="193"/>
        <v/>
      </c>
      <c r="U2202" s="10"/>
      <c r="V2202" s="41">
        <f>IF(AND(Q2202&lt;&gt;"",RIGHT(Q2202,3)&lt;&gt;""),IF(COUNTIF($Q$6:Q2202,Q2202)=1,1,0),0)</f>
        <v>0</v>
      </c>
      <c r="W2202" s="41" t="str">
        <f t="shared" si="194"/>
        <v/>
      </c>
      <c r="X2202" s="41" t="str">
        <f t="shared" si="195"/>
        <v/>
      </c>
    </row>
    <row r="2203" s="32" customFormat="1" hidden="1" customHeight="1" spans="1:24">
      <c r="A2203" s="34"/>
      <c r="B2203" s="51"/>
      <c r="C2203" s="51"/>
      <c r="D2203" s="52"/>
      <c r="E2203" s="53"/>
      <c r="F2203" s="54"/>
      <c r="G2203" s="54"/>
      <c r="H2203" s="54"/>
      <c r="I2203" s="66"/>
      <c r="J2203" s="54"/>
      <c r="K2203" s="54"/>
      <c r="L2203" s="54"/>
      <c r="M2203" s="97" t="str">
        <f t="shared" si="192"/>
        <v/>
      </c>
      <c r="N2203" s="70"/>
      <c r="O2203" s="71" t="str">
        <f t="shared" si="196"/>
        <v/>
      </c>
      <c r="P2203" s="66"/>
      <c r="Q2203" s="66"/>
      <c r="R2203" s="54"/>
      <c r="S2203" s="82"/>
      <c r="T2203" s="83" t="str">
        <f t="shared" si="193"/>
        <v/>
      </c>
      <c r="U2203" s="10"/>
      <c r="V2203" s="41">
        <f>IF(AND(Q2203&lt;&gt;"",RIGHT(Q2203,3)&lt;&gt;""),IF(COUNTIF($Q$6:Q2203,Q2203)=1,1,0),0)</f>
        <v>0</v>
      </c>
      <c r="W2203" s="41" t="str">
        <f t="shared" si="194"/>
        <v/>
      </c>
      <c r="X2203" s="41" t="str">
        <f t="shared" si="195"/>
        <v/>
      </c>
    </row>
    <row r="2204" s="32" customFormat="1" hidden="1" customHeight="1" spans="1:24">
      <c r="A2204" s="34"/>
      <c r="B2204" s="51"/>
      <c r="C2204" s="51"/>
      <c r="D2204" s="52"/>
      <c r="E2204" s="53"/>
      <c r="F2204" s="54"/>
      <c r="G2204" s="54"/>
      <c r="H2204" s="54"/>
      <c r="I2204" s="66"/>
      <c r="J2204" s="54"/>
      <c r="K2204" s="54"/>
      <c r="L2204" s="54"/>
      <c r="M2204" s="97" t="str">
        <f t="shared" si="192"/>
        <v/>
      </c>
      <c r="N2204" s="70"/>
      <c r="O2204" s="71" t="str">
        <f t="shared" si="196"/>
        <v/>
      </c>
      <c r="P2204" s="66"/>
      <c r="Q2204" s="66"/>
      <c r="R2204" s="54"/>
      <c r="S2204" s="82"/>
      <c r="T2204" s="83" t="str">
        <f t="shared" si="193"/>
        <v/>
      </c>
      <c r="U2204" s="10"/>
      <c r="V2204" s="41">
        <f>IF(AND(Q2204&lt;&gt;"",RIGHT(Q2204,3)&lt;&gt;""),IF(COUNTIF($Q$6:Q2204,Q2204)=1,1,0),0)</f>
        <v>0</v>
      </c>
      <c r="W2204" s="41" t="str">
        <f t="shared" si="194"/>
        <v/>
      </c>
      <c r="X2204" s="41" t="str">
        <f t="shared" si="195"/>
        <v/>
      </c>
    </row>
    <row r="2205" s="32" customFormat="1" hidden="1" customHeight="1" spans="1:24">
      <c r="A2205" s="34"/>
      <c r="B2205" s="51"/>
      <c r="C2205" s="51"/>
      <c r="D2205" s="52"/>
      <c r="E2205" s="53"/>
      <c r="F2205" s="54"/>
      <c r="G2205" s="54"/>
      <c r="H2205" s="54"/>
      <c r="I2205" s="66"/>
      <c r="J2205" s="54"/>
      <c r="K2205" s="54"/>
      <c r="L2205" s="54"/>
      <c r="M2205" s="97" t="str">
        <f t="shared" si="192"/>
        <v/>
      </c>
      <c r="N2205" s="70"/>
      <c r="O2205" s="71" t="str">
        <f t="shared" si="196"/>
        <v/>
      </c>
      <c r="P2205" s="66"/>
      <c r="Q2205" s="66"/>
      <c r="R2205" s="54"/>
      <c r="S2205" s="82"/>
      <c r="T2205" s="83" t="str">
        <f t="shared" si="193"/>
        <v/>
      </c>
      <c r="U2205" s="10"/>
      <c r="V2205" s="41">
        <f>IF(AND(Q2205&lt;&gt;"",RIGHT(Q2205,3)&lt;&gt;""),IF(COUNTIF($Q$6:Q2205,Q2205)=1,1,0),0)</f>
        <v>0</v>
      </c>
      <c r="W2205" s="41" t="str">
        <f t="shared" si="194"/>
        <v/>
      </c>
      <c r="X2205" s="41" t="str">
        <f t="shared" si="195"/>
        <v/>
      </c>
    </row>
    <row r="2206" s="32" customFormat="1" hidden="1" customHeight="1" spans="1:24">
      <c r="A2206" s="34"/>
      <c r="B2206" s="51"/>
      <c r="C2206" s="51"/>
      <c r="D2206" s="52"/>
      <c r="E2206" s="53"/>
      <c r="F2206" s="54"/>
      <c r="G2206" s="54"/>
      <c r="H2206" s="54"/>
      <c r="I2206" s="66"/>
      <c r="J2206" s="54"/>
      <c r="K2206" s="54"/>
      <c r="L2206" s="54"/>
      <c r="M2206" s="97" t="str">
        <f t="shared" si="192"/>
        <v/>
      </c>
      <c r="N2206" s="70"/>
      <c r="O2206" s="71" t="str">
        <f t="shared" si="196"/>
        <v/>
      </c>
      <c r="P2206" s="66"/>
      <c r="Q2206" s="66"/>
      <c r="R2206" s="54"/>
      <c r="S2206" s="82"/>
      <c r="T2206" s="83" t="str">
        <f t="shared" si="193"/>
        <v/>
      </c>
      <c r="U2206" s="10"/>
      <c r="V2206" s="41">
        <f>IF(AND(Q2206&lt;&gt;"",RIGHT(Q2206,3)&lt;&gt;""),IF(COUNTIF($Q$6:Q2206,Q2206)=1,1,0),0)</f>
        <v>0</v>
      </c>
      <c r="W2206" s="41" t="str">
        <f t="shared" si="194"/>
        <v/>
      </c>
      <c r="X2206" s="41" t="str">
        <f t="shared" si="195"/>
        <v/>
      </c>
    </row>
    <row r="2207" s="32" customFormat="1" hidden="1" customHeight="1" spans="1:24">
      <c r="A2207" s="34"/>
      <c r="B2207" s="51"/>
      <c r="C2207" s="51"/>
      <c r="D2207" s="52"/>
      <c r="E2207" s="53"/>
      <c r="F2207" s="54"/>
      <c r="G2207" s="54"/>
      <c r="H2207" s="54"/>
      <c r="I2207" s="66"/>
      <c r="J2207" s="54"/>
      <c r="K2207" s="54"/>
      <c r="L2207" s="54"/>
      <c r="M2207" s="97" t="str">
        <f t="shared" si="192"/>
        <v/>
      </c>
      <c r="N2207" s="70"/>
      <c r="O2207" s="71" t="str">
        <f t="shared" si="196"/>
        <v/>
      </c>
      <c r="P2207" s="66"/>
      <c r="Q2207" s="66"/>
      <c r="R2207" s="54"/>
      <c r="S2207" s="82"/>
      <c r="T2207" s="83" t="str">
        <f t="shared" si="193"/>
        <v/>
      </c>
      <c r="U2207" s="10"/>
      <c r="V2207" s="41">
        <f>IF(AND(Q2207&lt;&gt;"",RIGHT(Q2207,3)&lt;&gt;""),IF(COUNTIF($Q$6:Q2207,Q2207)=1,1,0),0)</f>
        <v>0</v>
      </c>
      <c r="W2207" s="41" t="str">
        <f t="shared" si="194"/>
        <v/>
      </c>
      <c r="X2207" s="41" t="str">
        <f t="shared" si="195"/>
        <v/>
      </c>
    </row>
    <row r="2208" s="32" customFormat="1" hidden="1" customHeight="1" spans="1:24">
      <c r="A2208" s="34"/>
      <c r="B2208" s="51"/>
      <c r="C2208" s="51"/>
      <c r="D2208" s="52"/>
      <c r="E2208" s="53"/>
      <c r="F2208" s="54"/>
      <c r="G2208" s="54"/>
      <c r="H2208" s="54"/>
      <c r="I2208" s="66"/>
      <c r="J2208" s="54"/>
      <c r="K2208" s="54"/>
      <c r="L2208" s="54"/>
      <c r="M2208" s="97" t="str">
        <f t="shared" si="192"/>
        <v/>
      </c>
      <c r="N2208" s="70"/>
      <c r="O2208" s="71" t="str">
        <f t="shared" si="196"/>
        <v/>
      </c>
      <c r="P2208" s="66"/>
      <c r="Q2208" s="66"/>
      <c r="R2208" s="54"/>
      <c r="S2208" s="82"/>
      <c r="T2208" s="83" t="str">
        <f t="shared" si="193"/>
        <v/>
      </c>
      <c r="U2208" s="10"/>
      <c r="V2208" s="41">
        <f>IF(AND(Q2208&lt;&gt;"",RIGHT(Q2208,3)&lt;&gt;""),IF(COUNTIF($Q$6:Q2208,Q2208)=1,1,0),0)</f>
        <v>0</v>
      </c>
      <c r="W2208" s="41" t="str">
        <f t="shared" si="194"/>
        <v/>
      </c>
      <c r="X2208" s="41" t="str">
        <f t="shared" si="195"/>
        <v/>
      </c>
    </row>
    <row r="2209" s="32" customFormat="1" hidden="1" customHeight="1" spans="1:24">
      <c r="A2209" s="34"/>
      <c r="B2209" s="51"/>
      <c r="C2209" s="51"/>
      <c r="D2209" s="52"/>
      <c r="E2209" s="53"/>
      <c r="F2209" s="54"/>
      <c r="G2209" s="54"/>
      <c r="H2209" s="54"/>
      <c r="I2209" s="66"/>
      <c r="J2209" s="54"/>
      <c r="K2209" s="54"/>
      <c r="L2209" s="54"/>
      <c r="M2209" s="97" t="str">
        <f t="shared" si="192"/>
        <v/>
      </c>
      <c r="N2209" s="70"/>
      <c r="O2209" s="71" t="str">
        <f t="shared" si="196"/>
        <v/>
      </c>
      <c r="P2209" s="66"/>
      <c r="Q2209" s="66"/>
      <c r="R2209" s="54"/>
      <c r="S2209" s="82"/>
      <c r="T2209" s="83" t="str">
        <f t="shared" si="193"/>
        <v/>
      </c>
      <c r="U2209" s="10"/>
      <c r="V2209" s="41">
        <f>IF(AND(Q2209&lt;&gt;"",RIGHT(Q2209,3)&lt;&gt;""),IF(COUNTIF($Q$6:Q2209,Q2209)=1,1,0),0)</f>
        <v>0</v>
      </c>
      <c r="W2209" s="41" t="str">
        <f t="shared" si="194"/>
        <v/>
      </c>
      <c r="X2209" s="41" t="str">
        <f t="shared" si="195"/>
        <v/>
      </c>
    </row>
    <row r="2210" s="32" customFormat="1" hidden="1" customHeight="1" spans="1:24">
      <c r="A2210" s="34"/>
      <c r="B2210" s="51"/>
      <c r="C2210" s="51"/>
      <c r="D2210" s="52"/>
      <c r="E2210" s="53"/>
      <c r="F2210" s="54"/>
      <c r="G2210" s="54"/>
      <c r="H2210" s="54"/>
      <c r="I2210" s="66"/>
      <c r="J2210" s="54"/>
      <c r="K2210" s="54"/>
      <c r="L2210" s="54"/>
      <c r="M2210" s="97" t="str">
        <f t="shared" si="192"/>
        <v/>
      </c>
      <c r="N2210" s="70"/>
      <c r="O2210" s="71" t="str">
        <f t="shared" si="196"/>
        <v/>
      </c>
      <c r="P2210" s="66"/>
      <c r="Q2210" s="66"/>
      <c r="R2210" s="54"/>
      <c r="S2210" s="82"/>
      <c r="T2210" s="83" t="str">
        <f t="shared" si="193"/>
        <v/>
      </c>
      <c r="U2210" s="10"/>
      <c r="V2210" s="41">
        <f>IF(AND(Q2210&lt;&gt;"",RIGHT(Q2210,3)&lt;&gt;""),IF(COUNTIF($Q$6:Q2210,Q2210)=1,1,0),0)</f>
        <v>0</v>
      </c>
      <c r="W2210" s="41" t="str">
        <f t="shared" si="194"/>
        <v/>
      </c>
      <c r="X2210" s="41" t="str">
        <f t="shared" si="195"/>
        <v/>
      </c>
    </row>
    <row r="2211" s="32" customFormat="1" hidden="1" customHeight="1" spans="1:24">
      <c r="A2211" s="34"/>
      <c r="B2211" s="51"/>
      <c r="C2211" s="51"/>
      <c r="D2211" s="52"/>
      <c r="E2211" s="53"/>
      <c r="F2211" s="54"/>
      <c r="G2211" s="54"/>
      <c r="H2211" s="54"/>
      <c r="I2211" s="66"/>
      <c r="J2211" s="54"/>
      <c r="K2211" s="54"/>
      <c r="L2211" s="54"/>
      <c r="M2211" s="97" t="str">
        <f t="shared" si="192"/>
        <v/>
      </c>
      <c r="N2211" s="70"/>
      <c r="O2211" s="71" t="str">
        <f t="shared" si="196"/>
        <v/>
      </c>
      <c r="P2211" s="66"/>
      <c r="Q2211" s="66"/>
      <c r="R2211" s="54"/>
      <c r="S2211" s="82"/>
      <c r="T2211" s="83" t="str">
        <f t="shared" si="193"/>
        <v/>
      </c>
      <c r="U2211" s="10"/>
      <c r="V2211" s="41">
        <f>IF(AND(Q2211&lt;&gt;"",RIGHT(Q2211,3)&lt;&gt;""),IF(COUNTIF($Q$6:Q2211,Q2211)=1,1,0),0)</f>
        <v>0</v>
      </c>
      <c r="W2211" s="41" t="str">
        <f t="shared" si="194"/>
        <v/>
      </c>
      <c r="X2211" s="41" t="str">
        <f t="shared" si="195"/>
        <v/>
      </c>
    </row>
    <row r="2212" s="32" customFormat="1" hidden="1" customHeight="1" spans="1:24">
      <c r="A2212" s="34"/>
      <c r="B2212" s="51"/>
      <c r="C2212" s="51"/>
      <c r="D2212" s="52"/>
      <c r="E2212" s="53"/>
      <c r="F2212" s="54"/>
      <c r="G2212" s="54"/>
      <c r="H2212" s="54"/>
      <c r="I2212" s="66"/>
      <c r="J2212" s="54"/>
      <c r="K2212" s="54"/>
      <c r="L2212" s="54"/>
      <c r="M2212" s="97" t="str">
        <f t="shared" ref="M2212:M2275" si="197">IF(L2212="","",HYPERLINK(_xlfn.CONCAT($L$4,L2212,".jpg"),"Open File"))</f>
        <v/>
      </c>
      <c r="N2212" s="70"/>
      <c r="O2212" s="71" t="str">
        <f t="shared" si="196"/>
        <v/>
      </c>
      <c r="P2212" s="66"/>
      <c r="Q2212" s="66"/>
      <c r="R2212" s="54"/>
      <c r="S2212" s="82"/>
      <c r="T2212" s="83" t="str">
        <f t="shared" ref="T2212:T2275" si="198">IF(S2212="","",HYPERLINK(_xlfn.CONCAT($S$4,S2212,".jpg"),"Open File"))</f>
        <v/>
      </c>
      <c r="U2212" s="10"/>
      <c r="V2212" s="41">
        <f>IF(AND(Q2212&lt;&gt;"",RIGHT(Q2212,3)&lt;&gt;""),IF(COUNTIF($Q$6:Q2212,Q2212)=1,1,0),0)</f>
        <v>0</v>
      </c>
      <c r="W2212" s="41" t="str">
        <f t="shared" ref="W2212:W2275" si="199">IF(AND(J2212&lt;&gt;"",K2212&lt;&gt;""),_xlfn.CONCAT(SUBSTITUTE(J2212,"/","."),"-",K2212),"")</f>
        <v/>
      </c>
      <c r="X2212" s="41" t="str">
        <f t="shared" ref="X2212:X2275" si="200">IF(AND(Q2212&lt;&gt;"",R2212&lt;&gt;""),_xlfn.CONCAT(SUBSTITUTE(Q2212,"/","."),"-",R2212),"")</f>
        <v/>
      </c>
    </row>
    <row r="2213" s="32" customFormat="1" hidden="1" customHeight="1" spans="1:24">
      <c r="A2213" s="34"/>
      <c r="B2213" s="51"/>
      <c r="C2213" s="51"/>
      <c r="D2213" s="52"/>
      <c r="E2213" s="53"/>
      <c r="F2213" s="54"/>
      <c r="G2213" s="54"/>
      <c r="H2213" s="54"/>
      <c r="I2213" s="66"/>
      <c r="J2213" s="54"/>
      <c r="K2213" s="54"/>
      <c r="L2213" s="54"/>
      <c r="M2213" s="97" t="str">
        <f t="shared" si="197"/>
        <v/>
      </c>
      <c r="N2213" s="70"/>
      <c r="O2213" s="71" t="str">
        <f t="shared" si="196"/>
        <v/>
      </c>
      <c r="P2213" s="66"/>
      <c r="Q2213" s="66"/>
      <c r="R2213" s="54"/>
      <c r="S2213" s="82"/>
      <c r="T2213" s="83" t="str">
        <f t="shared" si="198"/>
        <v/>
      </c>
      <c r="U2213" s="10"/>
      <c r="V2213" s="41">
        <f>IF(AND(Q2213&lt;&gt;"",RIGHT(Q2213,3)&lt;&gt;""),IF(COUNTIF($Q$6:Q2213,Q2213)=1,1,0),0)</f>
        <v>0</v>
      </c>
      <c r="W2213" s="41" t="str">
        <f t="shared" si="199"/>
        <v/>
      </c>
      <c r="X2213" s="41" t="str">
        <f t="shared" si="200"/>
        <v/>
      </c>
    </row>
    <row r="2214" s="32" customFormat="1" hidden="1" customHeight="1" spans="1:24">
      <c r="A2214" s="34"/>
      <c r="B2214" s="51"/>
      <c r="C2214" s="51"/>
      <c r="D2214" s="52"/>
      <c r="E2214" s="53"/>
      <c r="F2214" s="54"/>
      <c r="G2214" s="54"/>
      <c r="H2214" s="54"/>
      <c r="I2214" s="66"/>
      <c r="J2214" s="54"/>
      <c r="K2214" s="54"/>
      <c r="L2214" s="54"/>
      <c r="M2214" s="97" t="str">
        <f t="shared" si="197"/>
        <v/>
      </c>
      <c r="N2214" s="70"/>
      <c r="O2214" s="71" t="str">
        <f t="shared" si="196"/>
        <v/>
      </c>
      <c r="P2214" s="66"/>
      <c r="Q2214" s="66"/>
      <c r="R2214" s="54"/>
      <c r="S2214" s="82"/>
      <c r="T2214" s="83" t="str">
        <f t="shared" si="198"/>
        <v/>
      </c>
      <c r="U2214" s="10"/>
      <c r="V2214" s="41">
        <f>IF(AND(Q2214&lt;&gt;"",RIGHT(Q2214,3)&lt;&gt;""),IF(COUNTIF($Q$6:Q2214,Q2214)=1,1,0),0)</f>
        <v>0</v>
      </c>
      <c r="W2214" s="41" t="str">
        <f t="shared" si="199"/>
        <v/>
      </c>
      <c r="X2214" s="41" t="str">
        <f t="shared" si="200"/>
        <v/>
      </c>
    </row>
    <row r="2215" s="32" customFormat="1" hidden="1" customHeight="1" spans="1:24">
      <c r="A2215" s="34"/>
      <c r="B2215" s="51"/>
      <c r="C2215" s="51"/>
      <c r="D2215" s="52"/>
      <c r="E2215" s="53"/>
      <c r="F2215" s="54"/>
      <c r="G2215" s="54"/>
      <c r="H2215" s="54"/>
      <c r="I2215" s="66"/>
      <c r="J2215" s="54"/>
      <c r="K2215" s="54"/>
      <c r="L2215" s="54"/>
      <c r="M2215" s="97" t="str">
        <f t="shared" si="197"/>
        <v/>
      </c>
      <c r="N2215" s="70"/>
      <c r="O2215" s="71" t="str">
        <f t="shared" si="196"/>
        <v/>
      </c>
      <c r="P2215" s="66"/>
      <c r="Q2215" s="66"/>
      <c r="R2215" s="54"/>
      <c r="S2215" s="82"/>
      <c r="T2215" s="83" t="str">
        <f t="shared" si="198"/>
        <v/>
      </c>
      <c r="U2215" s="10"/>
      <c r="V2215" s="41">
        <f>IF(AND(Q2215&lt;&gt;"",RIGHT(Q2215,3)&lt;&gt;""),IF(COUNTIF($Q$6:Q2215,Q2215)=1,1,0),0)</f>
        <v>0</v>
      </c>
      <c r="W2215" s="41" t="str">
        <f t="shared" si="199"/>
        <v/>
      </c>
      <c r="X2215" s="41" t="str">
        <f t="shared" si="200"/>
        <v/>
      </c>
    </row>
    <row r="2216" s="32" customFormat="1" hidden="1" customHeight="1" spans="1:24">
      <c r="A2216" s="34"/>
      <c r="B2216" s="51"/>
      <c r="C2216" s="51"/>
      <c r="D2216" s="52"/>
      <c r="E2216" s="53"/>
      <c r="F2216" s="54"/>
      <c r="G2216" s="54"/>
      <c r="H2216" s="54"/>
      <c r="I2216" s="66"/>
      <c r="J2216" s="54"/>
      <c r="K2216" s="54"/>
      <c r="L2216" s="54"/>
      <c r="M2216" s="97" t="str">
        <f t="shared" si="197"/>
        <v/>
      </c>
      <c r="N2216" s="70"/>
      <c r="O2216" s="71" t="str">
        <f t="shared" si="196"/>
        <v/>
      </c>
      <c r="P2216" s="66"/>
      <c r="Q2216" s="66"/>
      <c r="R2216" s="54"/>
      <c r="S2216" s="82"/>
      <c r="T2216" s="83" t="str">
        <f t="shared" si="198"/>
        <v/>
      </c>
      <c r="U2216" s="10"/>
      <c r="V2216" s="41">
        <f>IF(AND(Q2216&lt;&gt;"",RIGHT(Q2216,3)&lt;&gt;""),IF(COUNTIF($Q$6:Q2216,Q2216)=1,1,0),0)</f>
        <v>0</v>
      </c>
      <c r="W2216" s="41" t="str">
        <f t="shared" si="199"/>
        <v/>
      </c>
      <c r="X2216" s="41" t="str">
        <f t="shared" si="200"/>
        <v/>
      </c>
    </row>
    <row r="2217" s="32" customFormat="1" hidden="1" customHeight="1" spans="1:24">
      <c r="A2217" s="34"/>
      <c r="B2217" s="51"/>
      <c r="C2217" s="51"/>
      <c r="D2217" s="52"/>
      <c r="E2217" s="53"/>
      <c r="F2217" s="54"/>
      <c r="G2217" s="54"/>
      <c r="H2217" s="54"/>
      <c r="I2217" s="66"/>
      <c r="J2217" s="54"/>
      <c r="K2217" s="54"/>
      <c r="L2217" s="54"/>
      <c r="M2217" s="97" t="str">
        <f t="shared" si="197"/>
        <v/>
      </c>
      <c r="N2217" s="70"/>
      <c r="O2217" s="71" t="str">
        <f t="shared" si="196"/>
        <v/>
      </c>
      <c r="P2217" s="66"/>
      <c r="Q2217" s="66"/>
      <c r="R2217" s="54"/>
      <c r="S2217" s="82"/>
      <c r="T2217" s="83" t="str">
        <f t="shared" si="198"/>
        <v/>
      </c>
      <c r="U2217" s="10"/>
      <c r="V2217" s="41">
        <f>IF(AND(Q2217&lt;&gt;"",RIGHT(Q2217,3)&lt;&gt;""),IF(COUNTIF($Q$6:Q2217,Q2217)=1,1,0),0)</f>
        <v>0</v>
      </c>
      <c r="W2217" s="41" t="str">
        <f t="shared" si="199"/>
        <v/>
      </c>
      <c r="X2217" s="41" t="str">
        <f t="shared" si="200"/>
        <v/>
      </c>
    </row>
    <row r="2218" s="32" customFormat="1" hidden="1" customHeight="1" spans="1:24">
      <c r="A2218" s="34"/>
      <c r="B2218" s="51"/>
      <c r="C2218" s="51"/>
      <c r="D2218" s="52"/>
      <c r="E2218" s="53"/>
      <c r="F2218" s="54"/>
      <c r="G2218" s="54"/>
      <c r="H2218" s="54"/>
      <c r="I2218" s="66"/>
      <c r="J2218" s="54"/>
      <c r="K2218" s="54"/>
      <c r="L2218" s="54"/>
      <c r="M2218" s="97" t="str">
        <f t="shared" si="197"/>
        <v/>
      </c>
      <c r="N2218" s="70"/>
      <c r="O2218" s="71" t="str">
        <f t="shared" si="196"/>
        <v/>
      </c>
      <c r="P2218" s="66"/>
      <c r="Q2218" s="66"/>
      <c r="R2218" s="54"/>
      <c r="S2218" s="82"/>
      <c r="T2218" s="83" t="str">
        <f t="shared" si="198"/>
        <v/>
      </c>
      <c r="U2218" s="10"/>
      <c r="V2218" s="41">
        <f>IF(AND(Q2218&lt;&gt;"",RIGHT(Q2218,3)&lt;&gt;""),IF(COUNTIF($Q$6:Q2218,Q2218)=1,1,0),0)</f>
        <v>0</v>
      </c>
      <c r="W2218" s="41" t="str">
        <f t="shared" si="199"/>
        <v/>
      </c>
      <c r="X2218" s="41" t="str">
        <f t="shared" si="200"/>
        <v/>
      </c>
    </row>
    <row r="2219" s="32" customFormat="1" hidden="1" customHeight="1" spans="1:24">
      <c r="A2219" s="34"/>
      <c r="B2219" s="51"/>
      <c r="C2219" s="51"/>
      <c r="D2219" s="52"/>
      <c r="E2219" s="53"/>
      <c r="F2219" s="54"/>
      <c r="G2219" s="54"/>
      <c r="H2219" s="54"/>
      <c r="I2219" s="66"/>
      <c r="J2219" s="54"/>
      <c r="K2219" s="54"/>
      <c r="L2219" s="54"/>
      <c r="M2219" s="97" t="str">
        <f t="shared" si="197"/>
        <v/>
      </c>
      <c r="N2219" s="70"/>
      <c r="O2219" s="71" t="str">
        <f t="shared" si="196"/>
        <v/>
      </c>
      <c r="P2219" s="66"/>
      <c r="Q2219" s="66"/>
      <c r="R2219" s="54"/>
      <c r="S2219" s="82"/>
      <c r="T2219" s="83" t="str">
        <f t="shared" si="198"/>
        <v/>
      </c>
      <c r="U2219" s="10"/>
      <c r="V2219" s="41">
        <f>IF(AND(Q2219&lt;&gt;"",RIGHT(Q2219,3)&lt;&gt;""),IF(COUNTIF($Q$6:Q2219,Q2219)=1,1,0),0)</f>
        <v>0</v>
      </c>
      <c r="W2219" s="41" t="str">
        <f t="shared" si="199"/>
        <v/>
      </c>
      <c r="X2219" s="41" t="str">
        <f t="shared" si="200"/>
        <v/>
      </c>
    </row>
    <row r="2220" s="32" customFormat="1" hidden="1" customHeight="1" spans="1:24">
      <c r="A2220" s="34"/>
      <c r="B2220" s="51"/>
      <c r="C2220" s="51"/>
      <c r="D2220" s="52"/>
      <c r="E2220" s="53"/>
      <c r="F2220" s="54"/>
      <c r="G2220" s="54"/>
      <c r="H2220" s="54"/>
      <c r="I2220" s="66"/>
      <c r="J2220" s="54"/>
      <c r="K2220" s="54"/>
      <c r="L2220" s="54"/>
      <c r="M2220" s="97" t="str">
        <f t="shared" si="197"/>
        <v/>
      </c>
      <c r="N2220" s="70"/>
      <c r="O2220" s="71" t="str">
        <f t="shared" si="196"/>
        <v/>
      </c>
      <c r="P2220" s="66"/>
      <c r="Q2220" s="66"/>
      <c r="R2220" s="54"/>
      <c r="S2220" s="82"/>
      <c r="T2220" s="83" t="str">
        <f t="shared" si="198"/>
        <v/>
      </c>
      <c r="U2220" s="10"/>
      <c r="V2220" s="41">
        <f>IF(AND(Q2220&lt;&gt;"",RIGHT(Q2220,3)&lt;&gt;""),IF(COUNTIF($Q$6:Q2220,Q2220)=1,1,0),0)</f>
        <v>0</v>
      </c>
      <c r="W2220" s="41" t="str">
        <f t="shared" si="199"/>
        <v/>
      </c>
      <c r="X2220" s="41" t="str">
        <f t="shared" si="200"/>
        <v/>
      </c>
    </row>
    <row r="2221" s="32" customFormat="1" hidden="1" customHeight="1" spans="1:24">
      <c r="A2221" s="34"/>
      <c r="B2221" s="51"/>
      <c r="C2221" s="51"/>
      <c r="D2221" s="52"/>
      <c r="E2221" s="53"/>
      <c r="F2221" s="54"/>
      <c r="G2221" s="54"/>
      <c r="H2221" s="54"/>
      <c r="I2221" s="66"/>
      <c r="J2221" s="54"/>
      <c r="K2221" s="54"/>
      <c r="L2221" s="54"/>
      <c r="M2221" s="97" t="str">
        <f t="shared" si="197"/>
        <v/>
      </c>
      <c r="N2221" s="70"/>
      <c r="O2221" s="71" t="str">
        <f t="shared" si="196"/>
        <v/>
      </c>
      <c r="P2221" s="66"/>
      <c r="Q2221" s="66"/>
      <c r="R2221" s="54"/>
      <c r="S2221" s="82"/>
      <c r="T2221" s="83" t="str">
        <f t="shared" si="198"/>
        <v/>
      </c>
      <c r="U2221" s="10"/>
      <c r="V2221" s="41">
        <f>IF(AND(Q2221&lt;&gt;"",RIGHT(Q2221,3)&lt;&gt;""),IF(COUNTIF($Q$6:Q2221,Q2221)=1,1,0),0)</f>
        <v>0</v>
      </c>
      <c r="W2221" s="41" t="str">
        <f t="shared" si="199"/>
        <v/>
      </c>
      <c r="X2221" s="41" t="str">
        <f t="shared" si="200"/>
        <v/>
      </c>
    </row>
    <row r="2222" s="32" customFormat="1" hidden="1" customHeight="1" spans="1:24">
      <c r="A2222" s="34"/>
      <c r="B2222" s="51"/>
      <c r="C2222" s="51"/>
      <c r="D2222" s="52"/>
      <c r="E2222" s="53"/>
      <c r="F2222" s="54"/>
      <c r="G2222" s="54"/>
      <c r="H2222" s="54"/>
      <c r="I2222" s="66"/>
      <c r="J2222" s="54"/>
      <c r="K2222" s="54"/>
      <c r="L2222" s="54"/>
      <c r="M2222" s="97" t="str">
        <f t="shared" si="197"/>
        <v/>
      </c>
      <c r="N2222" s="70"/>
      <c r="O2222" s="71" t="str">
        <f t="shared" si="196"/>
        <v/>
      </c>
      <c r="P2222" s="66"/>
      <c r="Q2222" s="66"/>
      <c r="R2222" s="54"/>
      <c r="S2222" s="82"/>
      <c r="T2222" s="83" t="str">
        <f t="shared" si="198"/>
        <v/>
      </c>
      <c r="U2222" s="10"/>
      <c r="V2222" s="41">
        <f>IF(AND(Q2222&lt;&gt;"",RIGHT(Q2222,3)&lt;&gt;""),IF(COUNTIF($Q$6:Q2222,Q2222)=1,1,0),0)</f>
        <v>0</v>
      </c>
      <c r="W2222" s="41" t="str">
        <f t="shared" si="199"/>
        <v/>
      </c>
      <c r="X2222" s="41" t="str">
        <f t="shared" si="200"/>
        <v/>
      </c>
    </row>
    <row r="2223" s="32" customFormat="1" hidden="1" customHeight="1" spans="1:24">
      <c r="A2223" s="34"/>
      <c r="B2223" s="51"/>
      <c r="C2223" s="51"/>
      <c r="D2223" s="52"/>
      <c r="E2223" s="53"/>
      <c r="F2223" s="54"/>
      <c r="G2223" s="54"/>
      <c r="H2223" s="54"/>
      <c r="I2223" s="66"/>
      <c r="J2223" s="54"/>
      <c r="K2223" s="54"/>
      <c r="L2223" s="54"/>
      <c r="M2223" s="97" t="str">
        <f t="shared" si="197"/>
        <v/>
      </c>
      <c r="N2223" s="70"/>
      <c r="O2223" s="71" t="str">
        <f t="shared" si="196"/>
        <v/>
      </c>
      <c r="P2223" s="66"/>
      <c r="Q2223" s="66"/>
      <c r="R2223" s="54"/>
      <c r="S2223" s="82"/>
      <c r="T2223" s="83" t="str">
        <f t="shared" si="198"/>
        <v/>
      </c>
      <c r="U2223" s="10"/>
      <c r="V2223" s="41">
        <f>IF(AND(Q2223&lt;&gt;"",RIGHT(Q2223,3)&lt;&gt;""),IF(COUNTIF($Q$6:Q2223,Q2223)=1,1,0),0)</f>
        <v>0</v>
      </c>
      <c r="W2223" s="41" t="str">
        <f t="shared" si="199"/>
        <v/>
      </c>
      <c r="X2223" s="41" t="str">
        <f t="shared" si="200"/>
        <v/>
      </c>
    </row>
    <row r="2224" s="32" customFormat="1" hidden="1" customHeight="1" spans="1:24">
      <c r="A2224" s="34"/>
      <c r="B2224" s="51"/>
      <c r="C2224" s="51"/>
      <c r="D2224" s="52"/>
      <c r="E2224" s="53"/>
      <c r="F2224" s="54"/>
      <c r="G2224" s="54"/>
      <c r="H2224" s="54"/>
      <c r="I2224" s="66"/>
      <c r="J2224" s="54"/>
      <c r="K2224" s="54"/>
      <c r="L2224" s="54"/>
      <c r="M2224" s="97" t="str">
        <f t="shared" si="197"/>
        <v/>
      </c>
      <c r="N2224" s="70"/>
      <c r="O2224" s="71" t="str">
        <f t="shared" si="196"/>
        <v/>
      </c>
      <c r="P2224" s="66"/>
      <c r="Q2224" s="66"/>
      <c r="R2224" s="54"/>
      <c r="S2224" s="82"/>
      <c r="T2224" s="83" t="str">
        <f t="shared" si="198"/>
        <v/>
      </c>
      <c r="U2224" s="10"/>
      <c r="V2224" s="41">
        <f>IF(AND(Q2224&lt;&gt;"",RIGHT(Q2224,3)&lt;&gt;""),IF(COUNTIF($Q$6:Q2224,Q2224)=1,1,0),0)</f>
        <v>0</v>
      </c>
      <c r="W2224" s="41" t="str">
        <f t="shared" si="199"/>
        <v/>
      </c>
      <c r="X2224" s="41" t="str">
        <f t="shared" si="200"/>
        <v/>
      </c>
    </row>
    <row r="2225" s="32" customFormat="1" hidden="1" customHeight="1" spans="1:24">
      <c r="A2225" s="34"/>
      <c r="B2225" s="51"/>
      <c r="C2225" s="51"/>
      <c r="D2225" s="52"/>
      <c r="E2225" s="53"/>
      <c r="F2225" s="54"/>
      <c r="G2225" s="54"/>
      <c r="H2225" s="54"/>
      <c r="I2225" s="66"/>
      <c r="J2225" s="54"/>
      <c r="K2225" s="54"/>
      <c r="L2225" s="54"/>
      <c r="M2225" s="97" t="str">
        <f t="shared" si="197"/>
        <v/>
      </c>
      <c r="N2225" s="70"/>
      <c r="O2225" s="71" t="str">
        <f t="shared" ref="O2225:O2288" si="201">IF(AND(Q2225&lt;&gt;"",T2225&lt;&gt;""),"PASSIVE",IF(AND(J2225&lt;&gt;"",M2225&lt;&gt;""),"ACTIVE",""))</f>
        <v/>
      </c>
      <c r="P2225" s="66"/>
      <c r="Q2225" s="66"/>
      <c r="R2225" s="54"/>
      <c r="S2225" s="82"/>
      <c r="T2225" s="83" t="str">
        <f t="shared" si="198"/>
        <v/>
      </c>
      <c r="U2225" s="10"/>
      <c r="V2225" s="41">
        <f>IF(AND(Q2225&lt;&gt;"",RIGHT(Q2225,3)&lt;&gt;""),IF(COUNTIF($Q$6:Q2225,Q2225)=1,1,0),0)</f>
        <v>0</v>
      </c>
      <c r="W2225" s="41" t="str">
        <f t="shared" si="199"/>
        <v/>
      </c>
      <c r="X2225" s="41" t="str">
        <f t="shared" si="200"/>
        <v/>
      </c>
    </row>
    <row r="2226" s="32" customFormat="1" hidden="1" customHeight="1" spans="1:24">
      <c r="A2226" s="34"/>
      <c r="B2226" s="51"/>
      <c r="C2226" s="51"/>
      <c r="D2226" s="52"/>
      <c r="E2226" s="53"/>
      <c r="F2226" s="54"/>
      <c r="G2226" s="54"/>
      <c r="H2226" s="54"/>
      <c r="I2226" s="66"/>
      <c r="J2226" s="54"/>
      <c r="K2226" s="54"/>
      <c r="L2226" s="54"/>
      <c r="M2226" s="97" t="str">
        <f t="shared" si="197"/>
        <v/>
      </c>
      <c r="N2226" s="70"/>
      <c r="O2226" s="71" t="str">
        <f t="shared" si="201"/>
        <v/>
      </c>
      <c r="P2226" s="66"/>
      <c r="Q2226" s="66"/>
      <c r="R2226" s="54"/>
      <c r="S2226" s="82"/>
      <c r="T2226" s="83" t="str">
        <f t="shared" si="198"/>
        <v/>
      </c>
      <c r="U2226" s="10"/>
      <c r="V2226" s="41">
        <f>IF(AND(Q2226&lt;&gt;"",RIGHT(Q2226,3)&lt;&gt;""),IF(COUNTIF($Q$6:Q2226,Q2226)=1,1,0),0)</f>
        <v>0</v>
      </c>
      <c r="W2226" s="41" t="str">
        <f t="shared" si="199"/>
        <v/>
      </c>
      <c r="X2226" s="41" t="str">
        <f t="shared" si="200"/>
        <v/>
      </c>
    </row>
    <row r="2227" s="32" customFormat="1" hidden="1" customHeight="1" spans="1:24">
      <c r="A2227" s="34"/>
      <c r="B2227" s="51"/>
      <c r="C2227" s="51"/>
      <c r="D2227" s="52"/>
      <c r="E2227" s="53"/>
      <c r="F2227" s="54"/>
      <c r="G2227" s="54"/>
      <c r="H2227" s="54"/>
      <c r="I2227" s="66"/>
      <c r="J2227" s="54"/>
      <c r="K2227" s="54"/>
      <c r="L2227" s="54"/>
      <c r="M2227" s="97" t="str">
        <f t="shared" si="197"/>
        <v/>
      </c>
      <c r="N2227" s="70"/>
      <c r="O2227" s="71" t="str">
        <f t="shared" si="201"/>
        <v/>
      </c>
      <c r="P2227" s="66"/>
      <c r="Q2227" s="66"/>
      <c r="R2227" s="54"/>
      <c r="S2227" s="82"/>
      <c r="T2227" s="83" t="str">
        <f t="shared" si="198"/>
        <v/>
      </c>
      <c r="U2227" s="10"/>
      <c r="V2227" s="41">
        <f>IF(AND(Q2227&lt;&gt;"",RIGHT(Q2227,3)&lt;&gt;""),IF(COUNTIF($Q$6:Q2227,Q2227)=1,1,0),0)</f>
        <v>0</v>
      </c>
      <c r="W2227" s="41" t="str">
        <f t="shared" si="199"/>
        <v/>
      </c>
      <c r="X2227" s="41" t="str">
        <f t="shared" si="200"/>
        <v/>
      </c>
    </row>
    <row r="2228" s="32" customFormat="1" hidden="1" customHeight="1" spans="1:24">
      <c r="A2228" s="34"/>
      <c r="B2228" s="51"/>
      <c r="C2228" s="51"/>
      <c r="D2228" s="52"/>
      <c r="E2228" s="53"/>
      <c r="F2228" s="54"/>
      <c r="G2228" s="54"/>
      <c r="H2228" s="54"/>
      <c r="I2228" s="66"/>
      <c r="J2228" s="54"/>
      <c r="K2228" s="54"/>
      <c r="L2228" s="54"/>
      <c r="M2228" s="97" t="str">
        <f t="shared" si="197"/>
        <v/>
      </c>
      <c r="N2228" s="70"/>
      <c r="O2228" s="71" t="str">
        <f t="shared" si="201"/>
        <v/>
      </c>
      <c r="P2228" s="66"/>
      <c r="Q2228" s="66"/>
      <c r="R2228" s="54"/>
      <c r="S2228" s="82"/>
      <c r="T2228" s="83" t="str">
        <f t="shared" si="198"/>
        <v/>
      </c>
      <c r="U2228" s="10"/>
      <c r="V2228" s="41">
        <f>IF(AND(Q2228&lt;&gt;"",RIGHT(Q2228,3)&lt;&gt;""),IF(COUNTIF($Q$6:Q2228,Q2228)=1,1,0),0)</f>
        <v>0</v>
      </c>
      <c r="W2228" s="41" t="str">
        <f t="shared" si="199"/>
        <v/>
      </c>
      <c r="X2228" s="41" t="str">
        <f t="shared" si="200"/>
        <v/>
      </c>
    </row>
    <row r="2229" s="32" customFormat="1" hidden="1" customHeight="1" spans="1:24">
      <c r="A2229" s="34"/>
      <c r="B2229" s="51"/>
      <c r="C2229" s="51"/>
      <c r="D2229" s="52"/>
      <c r="E2229" s="53"/>
      <c r="F2229" s="54"/>
      <c r="G2229" s="54"/>
      <c r="H2229" s="54"/>
      <c r="I2229" s="66"/>
      <c r="J2229" s="54"/>
      <c r="K2229" s="54"/>
      <c r="L2229" s="54"/>
      <c r="M2229" s="97" t="str">
        <f t="shared" si="197"/>
        <v/>
      </c>
      <c r="N2229" s="70"/>
      <c r="O2229" s="71" t="str">
        <f t="shared" si="201"/>
        <v/>
      </c>
      <c r="P2229" s="66"/>
      <c r="Q2229" s="66"/>
      <c r="R2229" s="54"/>
      <c r="S2229" s="82"/>
      <c r="T2229" s="83" t="str">
        <f t="shared" si="198"/>
        <v/>
      </c>
      <c r="U2229" s="10"/>
      <c r="V2229" s="41">
        <f>IF(AND(Q2229&lt;&gt;"",RIGHT(Q2229,3)&lt;&gt;""),IF(COUNTIF($Q$6:Q2229,Q2229)=1,1,0),0)</f>
        <v>0</v>
      </c>
      <c r="W2229" s="41" t="str">
        <f t="shared" si="199"/>
        <v/>
      </c>
      <c r="X2229" s="41" t="str">
        <f t="shared" si="200"/>
        <v/>
      </c>
    </row>
    <row r="2230" s="32" customFormat="1" hidden="1" customHeight="1" spans="1:24">
      <c r="A2230" s="34"/>
      <c r="B2230" s="51"/>
      <c r="C2230" s="51"/>
      <c r="D2230" s="52"/>
      <c r="E2230" s="53"/>
      <c r="F2230" s="54"/>
      <c r="G2230" s="54"/>
      <c r="H2230" s="54"/>
      <c r="I2230" s="66"/>
      <c r="J2230" s="54"/>
      <c r="K2230" s="54"/>
      <c r="L2230" s="54"/>
      <c r="M2230" s="97" t="str">
        <f t="shared" si="197"/>
        <v/>
      </c>
      <c r="N2230" s="70"/>
      <c r="O2230" s="71" t="str">
        <f t="shared" si="201"/>
        <v/>
      </c>
      <c r="P2230" s="66"/>
      <c r="Q2230" s="66"/>
      <c r="R2230" s="54"/>
      <c r="S2230" s="82"/>
      <c r="T2230" s="83" t="str">
        <f t="shared" si="198"/>
        <v/>
      </c>
      <c r="U2230" s="10"/>
      <c r="V2230" s="41">
        <f>IF(AND(Q2230&lt;&gt;"",RIGHT(Q2230,3)&lt;&gt;""),IF(COUNTIF($Q$6:Q2230,Q2230)=1,1,0),0)</f>
        <v>0</v>
      </c>
      <c r="W2230" s="41" t="str">
        <f t="shared" si="199"/>
        <v/>
      </c>
      <c r="X2230" s="41" t="str">
        <f t="shared" si="200"/>
        <v/>
      </c>
    </row>
    <row r="2231" s="32" customFormat="1" hidden="1" customHeight="1" spans="1:24">
      <c r="A2231" s="34"/>
      <c r="B2231" s="51"/>
      <c r="C2231" s="51"/>
      <c r="D2231" s="52"/>
      <c r="E2231" s="53"/>
      <c r="F2231" s="54"/>
      <c r="G2231" s="54"/>
      <c r="H2231" s="54"/>
      <c r="I2231" s="66"/>
      <c r="J2231" s="54"/>
      <c r="K2231" s="54"/>
      <c r="L2231" s="54"/>
      <c r="M2231" s="97" t="str">
        <f t="shared" si="197"/>
        <v/>
      </c>
      <c r="N2231" s="70"/>
      <c r="O2231" s="71" t="str">
        <f t="shared" si="201"/>
        <v/>
      </c>
      <c r="P2231" s="66"/>
      <c r="Q2231" s="66"/>
      <c r="R2231" s="54"/>
      <c r="S2231" s="82"/>
      <c r="T2231" s="83" t="str">
        <f t="shared" si="198"/>
        <v/>
      </c>
      <c r="U2231" s="10"/>
      <c r="V2231" s="41">
        <f>IF(AND(Q2231&lt;&gt;"",RIGHT(Q2231,3)&lt;&gt;""),IF(COUNTIF($Q$6:Q2231,Q2231)=1,1,0),0)</f>
        <v>0</v>
      </c>
      <c r="W2231" s="41" t="str">
        <f t="shared" si="199"/>
        <v/>
      </c>
      <c r="X2231" s="41" t="str">
        <f t="shared" si="200"/>
        <v/>
      </c>
    </row>
    <row r="2232" s="32" customFormat="1" hidden="1" customHeight="1" spans="1:24">
      <c r="A2232" s="34"/>
      <c r="B2232" s="51"/>
      <c r="C2232" s="51"/>
      <c r="D2232" s="52"/>
      <c r="E2232" s="53"/>
      <c r="F2232" s="54"/>
      <c r="G2232" s="54"/>
      <c r="H2232" s="54"/>
      <c r="I2232" s="66"/>
      <c r="J2232" s="54"/>
      <c r="K2232" s="54"/>
      <c r="L2232" s="54"/>
      <c r="M2232" s="97" t="str">
        <f t="shared" si="197"/>
        <v/>
      </c>
      <c r="N2232" s="70"/>
      <c r="O2232" s="71" t="str">
        <f t="shared" si="201"/>
        <v/>
      </c>
      <c r="P2232" s="66"/>
      <c r="Q2232" s="66"/>
      <c r="R2232" s="54"/>
      <c r="S2232" s="82"/>
      <c r="T2232" s="83" t="str">
        <f t="shared" si="198"/>
        <v/>
      </c>
      <c r="U2232" s="10"/>
      <c r="V2232" s="41">
        <f>IF(AND(Q2232&lt;&gt;"",RIGHT(Q2232,3)&lt;&gt;""),IF(COUNTIF($Q$6:Q2232,Q2232)=1,1,0),0)</f>
        <v>0</v>
      </c>
      <c r="W2232" s="41" t="str">
        <f t="shared" si="199"/>
        <v/>
      </c>
      <c r="X2232" s="41" t="str">
        <f t="shared" si="200"/>
        <v/>
      </c>
    </row>
    <row r="2233" s="32" customFormat="1" hidden="1" customHeight="1" spans="1:24">
      <c r="A2233" s="34"/>
      <c r="B2233" s="51"/>
      <c r="C2233" s="51"/>
      <c r="D2233" s="52"/>
      <c r="E2233" s="53"/>
      <c r="F2233" s="54"/>
      <c r="G2233" s="54"/>
      <c r="H2233" s="54"/>
      <c r="I2233" s="66"/>
      <c r="J2233" s="54"/>
      <c r="K2233" s="54"/>
      <c r="L2233" s="54"/>
      <c r="M2233" s="97" t="str">
        <f t="shared" si="197"/>
        <v/>
      </c>
      <c r="N2233" s="70"/>
      <c r="O2233" s="71" t="str">
        <f t="shared" si="201"/>
        <v/>
      </c>
      <c r="P2233" s="66"/>
      <c r="Q2233" s="66"/>
      <c r="R2233" s="54"/>
      <c r="S2233" s="82"/>
      <c r="T2233" s="83" t="str">
        <f t="shared" si="198"/>
        <v/>
      </c>
      <c r="U2233" s="10"/>
      <c r="V2233" s="41">
        <f>IF(AND(Q2233&lt;&gt;"",RIGHT(Q2233,3)&lt;&gt;""),IF(COUNTIF($Q$6:Q2233,Q2233)=1,1,0),0)</f>
        <v>0</v>
      </c>
      <c r="W2233" s="41" t="str">
        <f t="shared" si="199"/>
        <v/>
      </c>
      <c r="X2233" s="41" t="str">
        <f t="shared" si="200"/>
        <v/>
      </c>
    </row>
    <row r="2234" s="32" customFormat="1" hidden="1" customHeight="1" spans="1:24">
      <c r="A2234" s="34"/>
      <c r="B2234" s="51"/>
      <c r="C2234" s="51"/>
      <c r="D2234" s="52"/>
      <c r="E2234" s="53"/>
      <c r="F2234" s="54"/>
      <c r="G2234" s="54"/>
      <c r="H2234" s="54"/>
      <c r="I2234" s="66"/>
      <c r="J2234" s="54"/>
      <c r="K2234" s="54"/>
      <c r="L2234" s="54"/>
      <c r="M2234" s="97" t="str">
        <f t="shared" si="197"/>
        <v/>
      </c>
      <c r="N2234" s="70"/>
      <c r="O2234" s="71" t="str">
        <f t="shared" si="201"/>
        <v/>
      </c>
      <c r="P2234" s="66"/>
      <c r="Q2234" s="66"/>
      <c r="R2234" s="54"/>
      <c r="S2234" s="82"/>
      <c r="T2234" s="83" t="str">
        <f t="shared" si="198"/>
        <v/>
      </c>
      <c r="U2234" s="10"/>
      <c r="V2234" s="41">
        <f>IF(AND(Q2234&lt;&gt;"",RIGHT(Q2234,3)&lt;&gt;""),IF(COUNTIF($Q$6:Q2234,Q2234)=1,1,0),0)</f>
        <v>0</v>
      </c>
      <c r="W2234" s="41" t="str">
        <f t="shared" si="199"/>
        <v/>
      </c>
      <c r="X2234" s="41" t="str">
        <f t="shared" si="200"/>
        <v/>
      </c>
    </row>
    <row r="2235" s="32" customFormat="1" hidden="1" customHeight="1" spans="1:24">
      <c r="A2235" s="34"/>
      <c r="B2235" s="51"/>
      <c r="C2235" s="51"/>
      <c r="D2235" s="52"/>
      <c r="E2235" s="53"/>
      <c r="F2235" s="54"/>
      <c r="G2235" s="54"/>
      <c r="H2235" s="54"/>
      <c r="I2235" s="66"/>
      <c r="J2235" s="54"/>
      <c r="K2235" s="54"/>
      <c r="L2235" s="54"/>
      <c r="M2235" s="97" t="str">
        <f t="shared" si="197"/>
        <v/>
      </c>
      <c r="N2235" s="70"/>
      <c r="O2235" s="71" t="str">
        <f t="shared" si="201"/>
        <v/>
      </c>
      <c r="P2235" s="66"/>
      <c r="Q2235" s="66"/>
      <c r="R2235" s="54"/>
      <c r="S2235" s="82"/>
      <c r="T2235" s="83" t="str">
        <f t="shared" si="198"/>
        <v/>
      </c>
      <c r="U2235" s="10"/>
      <c r="V2235" s="41">
        <f>IF(AND(Q2235&lt;&gt;"",RIGHT(Q2235,3)&lt;&gt;""),IF(COUNTIF($Q$6:Q2235,Q2235)=1,1,0),0)</f>
        <v>0</v>
      </c>
      <c r="W2235" s="41" t="str">
        <f t="shared" si="199"/>
        <v/>
      </c>
      <c r="X2235" s="41" t="str">
        <f t="shared" si="200"/>
        <v/>
      </c>
    </row>
    <row r="2236" s="32" customFormat="1" hidden="1" customHeight="1" spans="1:24">
      <c r="A2236" s="34"/>
      <c r="B2236" s="51"/>
      <c r="C2236" s="51"/>
      <c r="D2236" s="52"/>
      <c r="E2236" s="53"/>
      <c r="F2236" s="54"/>
      <c r="G2236" s="54"/>
      <c r="H2236" s="54"/>
      <c r="I2236" s="66"/>
      <c r="J2236" s="54"/>
      <c r="K2236" s="54"/>
      <c r="L2236" s="54"/>
      <c r="M2236" s="97" t="str">
        <f t="shared" si="197"/>
        <v/>
      </c>
      <c r="N2236" s="70"/>
      <c r="O2236" s="71" t="str">
        <f t="shared" si="201"/>
        <v/>
      </c>
      <c r="P2236" s="66"/>
      <c r="Q2236" s="66"/>
      <c r="R2236" s="54"/>
      <c r="S2236" s="82"/>
      <c r="T2236" s="83" t="str">
        <f t="shared" si="198"/>
        <v/>
      </c>
      <c r="U2236" s="10"/>
      <c r="V2236" s="41">
        <f>IF(AND(Q2236&lt;&gt;"",RIGHT(Q2236,3)&lt;&gt;""),IF(COUNTIF($Q$6:Q2236,Q2236)=1,1,0),0)</f>
        <v>0</v>
      </c>
      <c r="W2236" s="41" t="str">
        <f t="shared" si="199"/>
        <v/>
      </c>
      <c r="X2236" s="41" t="str">
        <f t="shared" si="200"/>
        <v/>
      </c>
    </row>
    <row r="2237" s="32" customFormat="1" hidden="1" customHeight="1" spans="1:24">
      <c r="A2237" s="34"/>
      <c r="B2237" s="51"/>
      <c r="C2237" s="51"/>
      <c r="D2237" s="52"/>
      <c r="E2237" s="53"/>
      <c r="F2237" s="54"/>
      <c r="G2237" s="54"/>
      <c r="H2237" s="54"/>
      <c r="I2237" s="66"/>
      <c r="J2237" s="54"/>
      <c r="K2237" s="54"/>
      <c r="L2237" s="54"/>
      <c r="M2237" s="97" t="str">
        <f t="shared" si="197"/>
        <v/>
      </c>
      <c r="N2237" s="70"/>
      <c r="O2237" s="71" t="str">
        <f t="shared" si="201"/>
        <v/>
      </c>
      <c r="P2237" s="66"/>
      <c r="Q2237" s="66"/>
      <c r="R2237" s="54"/>
      <c r="S2237" s="82"/>
      <c r="T2237" s="83" t="str">
        <f t="shared" si="198"/>
        <v/>
      </c>
      <c r="U2237" s="10"/>
      <c r="V2237" s="41">
        <f>IF(AND(Q2237&lt;&gt;"",RIGHT(Q2237,3)&lt;&gt;""),IF(COUNTIF($Q$6:Q2237,Q2237)=1,1,0),0)</f>
        <v>0</v>
      </c>
      <c r="W2237" s="41" t="str">
        <f t="shared" si="199"/>
        <v/>
      </c>
      <c r="X2237" s="41" t="str">
        <f t="shared" si="200"/>
        <v/>
      </c>
    </row>
    <row r="2238" s="32" customFormat="1" hidden="1" customHeight="1" spans="1:24">
      <c r="A2238" s="34"/>
      <c r="B2238" s="51"/>
      <c r="C2238" s="51"/>
      <c r="D2238" s="52"/>
      <c r="E2238" s="53"/>
      <c r="F2238" s="54"/>
      <c r="G2238" s="54"/>
      <c r="H2238" s="54"/>
      <c r="I2238" s="66"/>
      <c r="J2238" s="54"/>
      <c r="K2238" s="54"/>
      <c r="L2238" s="54"/>
      <c r="M2238" s="97" t="str">
        <f t="shared" si="197"/>
        <v/>
      </c>
      <c r="N2238" s="70"/>
      <c r="O2238" s="71" t="str">
        <f t="shared" si="201"/>
        <v/>
      </c>
      <c r="P2238" s="66"/>
      <c r="Q2238" s="66"/>
      <c r="R2238" s="54"/>
      <c r="S2238" s="82"/>
      <c r="T2238" s="83" t="str">
        <f t="shared" si="198"/>
        <v/>
      </c>
      <c r="U2238" s="10"/>
      <c r="V2238" s="41">
        <f>IF(AND(Q2238&lt;&gt;"",RIGHT(Q2238,3)&lt;&gt;""),IF(COUNTIF($Q$6:Q2238,Q2238)=1,1,0),0)</f>
        <v>0</v>
      </c>
      <c r="W2238" s="41" t="str">
        <f t="shared" si="199"/>
        <v/>
      </c>
      <c r="X2238" s="41" t="str">
        <f t="shared" si="200"/>
        <v/>
      </c>
    </row>
    <row r="2239" s="32" customFormat="1" hidden="1" customHeight="1" spans="1:24">
      <c r="A2239" s="34"/>
      <c r="B2239" s="51"/>
      <c r="C2239" s="51"/>
      <c r="D2239" s="52"/>
      <c r="E2239" s="53"/>
      <c r="F2239" s="54"/>
      <c r="G2239" s="54"/>
      <c r="H2239" s="54"/>
      <c r="I2239" s="66"/>
      <c r="J2239" s="54"/>
      <c r="K2239" s="54"/>
      <c r="L2239" s="54"/>
      <c r="M2239" s="97" t="str">
        <f t="shared" si="197"/>
        <v/>
      </c>
      <c r="N2239" s="70"/>
      <c r="O2239" s="71" t="str">
        <f t="shared" si="201"/>
        <v/>
      </c>
      <c r="P2239" s="66"/>
      <c r="Q2239" s="66"/>
      <c r="R2239" s="54"/>
      <c r="S2239" s="82"/>
      <c r="T2239" s="83" t="str">
        <f t="shared" si="198"/>
        <v/>
      </c>
      <c r="U2239" s="10"/>
      <c r="V2239" s="41">
        <f>IF(AND(Q2239&lt;&gt;"",RIGHT(Q2239,3)&lt;&gt;""),IF(COUNTIF($Q$6:Q2239,Q2239)=1,1,0),0)</f>
        <v>0</v>
      </c>
      <c r="W2239" s="41" t="str">
        <f t="shared" si="199"/>
        <v/>
      </c>
      <c r="X2239" s="41" t="str">
        <f t="shared" si="200"/>
        <v/>
      </c>
    </row>
    <row r="2240" s="32" customFormat="1" hidden="1" customHeight="1" spans="1:24">
      <c r="A2240" s="34"/>
      <c r="B2240" s="51"/>
      <c r="C2240" s="51"/>
      <c r="D2240" s="52"/>
      <c r="E2240" s="53"/>
      <c r="F2240" s="54"/>
      <c r="G2240" s="54"/>
      <c r="H2240" s="54"/>
      <c r="I2240" s="66"/>
      <c r="J2240" s="54"/>
      <c r="K2240" s="54"/>
      <c r="L2240" s="54"/>
      <c r="M2240" s="97" t="str">
        <f t="shared" si="197"/>
        <v/>
      </c>
      <c r="N2240" s="70"/>
      <c r="O2240" s="71" t="str">
        <f t="shared" si="201"/>
        <v/>
      </c>
      <c r="P2240" s="66"/>
      <c r="Q2240" s="66"/>
      <c r="R2240" s="54"/>
      <c r="S2240" s="82"/>
      <c r="T2240" s="83" t="str">
        <f t="shared" si="198"/>
        <v/>
      </c>
      <c r="U2240" s="10"/>
      <c r="V2240" s="41">
        <f>IF(AND(Q2240&lt;&gt;"",RIGHT(Q2240,3)&lt;&gt;""),IF(COUNTIF($Q$6:Q2240,Q2240)=1,1,0),0)</f>
        <v>0</v>
      </c>
      <c r="W2240" s="41" t="str">
        <f t="shared" si="199"/>
        <v/>
      </c>
      <c r="X2240" s="41" t="str">
        <f t="shared" si="200"/>
        <v/>
      </c>
    </row>
    <row r="2241" s="32" customFormat="1" hidden="1" customHeight="1" spans="1:24">
      <c r="A2241" s="34"/>
      <c r="B2241" s="51"/>
      <c r="C2241" s="51"/>
      <c r="D2241" s="52"/>
      <c r="E2241" s="53"/>
      <c r="F2241" s="54"/>
      <c r="G2241" s="54"/>
      <c r="H2241" s="54"/>
      <c r="I2241" s="66"/>
      <c r="J2241" s="54"/>
      <c r="K2241" s="54"/>
      <c r="L2241" s="54"/>
      <c r="M2241" s="97" t="str">
        <f t="shared" si="197"/>
        <v/>
      </c>
      <c r="N2241" s="70"/>
      <c r="O2241" s="71" t="str">
        <f t="shared" si="201"/>
        <v/>
      </c>
      <c r="P2241" s="66"/>
      <c r="Q2241" s="66"/>
      <c r="R2241" s="54"/>
      <c r="S2241" s="82"/>
      <c r="T2241" s="83" t="str">
        <f t="shared" si="198"/>
        <v/>
      </c>
      <c r="U2241" s="10"/>
      <c r="V2241" s="41">
        <f>IF(AND(Q2241&lt;&gt;"",RIGHT(Q2241,3)&lt;&gt;""),IF(COUNTIF($Q$6:Q2241,Q2241)=1,1,0),0)</f>
        <v>0</v>
      </c>
      <c r="W2241" s="41" t="str">
        <f t="shared" si="199"/>
        <v/>
      </c>
      <c r="X2241" s="41" t="str">
        <f t="shared" si="200"/>
        <v/>
      </c>
    </row>
    <row r="2242" s="32" customFormat="1" hidden="1" customHeight="1" spans="1:24">
      <c r="A2242" s="34"/>
      <c r="B2242" s="51"/>
      <c r="C2242" s="51"/>
      <c r="D2242" s="52"/>
      <c r="E2242" s="53"/>
      <c r="F2242" s="54"/>
      <c r="G2242" s="54"/>
      <c r="H2242" s="54"/>
      <c r="I2242" s="66"/>
      <c r="J2242" s="54"/>
      <c r="K2242" s="54"/>
      <c r="L2242" s="54"/>
      <c r="M2242" s="97" t="str">
        <f t="shared" si="197"/>
        <v/>
      </c>
      <c r="N2242" s="70"/>
      <c r="O2242" s="71" t="str">
        <f t="shared" si="201"/>
        <v/>
      </c>
      <c r="P2242" s="66"/>
      <c r="Q2242" s="66"/>
      <c r="R2242" s="54"/>
      <c r="S2242" s="82"/>
      <c r="T2242" s="83" t="str">
        <f t="shared" si="198"/>
        <v/>
      </c>
      <c r="U2242" s="10"/>
      <c r="V2242" s="41">
        <f>IF(AND(Q2242&lt;&gt;"",RIGHT(Q2242,3)&lt;&gt;""),IF(COUNTIF($Q$6:Q2242,Q2242)=1,1,0),0)</f>
        <v>0</v>
      </c>
      <c r="W2242" s="41" t="str">
        <f t="shared" si="199"/>
        <v/>
      </c>
      <c r="X2242" s="41" t="str">
        <f t="shared" si="200"/>
        <v/>
      </c>
    </row>
    <row r="2243" s="32" customFormat="1" hidden="1" customHeight="1" spans="1:24">
      <c r="A2243" s="34"/>
      <c r="B2243" s="51"/>
      <c r="C2243" s="51"/>
      <c r="D2243" s="52"/>
      <c r="E2243" s="53"/>
      <c r="F2243" s="54"/>
      <c r="G2243" s="54"/>
      <c r="H2243" s="54"/>
      <c r="I2243" s="66"/>
      <c r="J2243" s="54"/>
      <c r="K2243" s="54"/>
      <c r="L2243" s="54"/>
      <c r="M2243" s="97" t="str">
        <f t="shared" si="197"/>
        <v/>
      </c>
      <c r="N2243" s="70"/>
      <c r="O2243" s="71" t="str">
        <f t="shared" si="201"/>
        <v/>
      </c>
      <c r="P2243" s="66"/>
      <c r="Q2243" s="66"/>
      <c r="R2243" s="54"/>
      <c r="S2243" s="82"/>
      <c r="T2243" s="83" t="str">
        <f t="shared" si="198"/>
        <v/>
      </c>
      <c r="U2243" s="10"/>
      <c r="V2243" s="41">
        <f>IF(AND(Q2243&lt;&gt;"",RIGHT(Q2243,3)&lt;&gt;""),IF(COUNTIF($Q$6:Q2243,Q2243)=1,1,0),0)</f>
        <v>0</v>
      </c>
      <c r="W2243" s="41" t="str">
        <f t="shared" si="199"/>
        <v/>
      </c>
      <c r="X2243" s="41" t="str">
        <f t="shared" si="200"/>
        <v/>
      </c>
    </row>
    <row r="2244" s="32" customFormat="1" hidden="1" customHeight="1" spans="1:24">
      <c r="A2244" s="34"/>
      <c r="B2244" s="51"/>
      <c r="C2244" s="51"/>
      <c r="D2244" s="52"/>
      <c r="E2244" s="53"/>
      <c r="F2244" s="54"/>
      <c r="G2244" s="54"/>
      <c r="H2244" s="54"/>
      <c r="I2244" s="66"/>
      <c r="J2244" s="54"/>
      <c r="K2244" s="54"/>
      <c r="L2244" s="54"/>
      <c r="M2244" s="97" t="str">
        <f t="shared" si="197"/>
        <v/>
      </c>
      <c r="N2244" s="70"/>
      <c r="O2244" s="71" t="str">
        <f t="shared" si="201"/>
        <v/>
      </c>
      <c r="P2244" s="66"/>
      <c r="Q2244" s="66"/>
      <c r="R2244" s="54"/>
      <c r="S2244" s="82"/>
      <c r="T2244" s="83" t="str">
        <f t="shared" si="198"/>
        <v/>
      </c>
      <c r="U2244" s="10"/>
      <c r="V2244" s="41">
        <f>IF(AND(Q2244&lt;&gt;"",RIGHT(Q2244,3)&lt;&gt;""),IF(COUNTIF($Q$6:Q2244,Q2244)=1,1,0),0)</f>
        <v>0</v>
      </c>
      <c r="W2244" s="41" t="str">
        <f t="shared" si="199"/>
        <v/>
      </c>
      <c r="X2244" s="41" t="str">
        <f t="shared" si="200"/>
        <v/>
      </c>
    </row>
    <row r="2245" s="32" customFormat="1" hidden="1" customHeight="1" spans="1:24">
      <c r="A2245" s="34"/>
      <c r="B2245" s="51"/>
      <c r="C2245" s="51"/>
      <c r="D2245" s="52"/>
      <c r="E2245" s="53"/>
      <c r="F2245" s="54"/>
      <c r="G2245" s="54"/>
      <c r="H2245" s="54"/>
      <c r="I2245" s="66"/>
      <c r="J2245" s="54"/>
      <c r="K2245" s="54"/>
      <c r="L2245" s="54"/>
      <c r="M2245" s="97" t="str">
        <f t="shared" si="197"/>
        <v/>
      </c>
      <c r="N2245" s="70"/>
      <c r="O2245" s="71" t="str">
        <f t="shared" si="201"/>
        <v/>
      </c>
      <c r="P2245" s="66"/>
      <c r="Q2245" s="66"/>
      <c r="R2245" s="54"/>
      <c r="S2245" s="82"/>
      <c r="T2245" s="83" t="str">
        <f t="shared" si="198"/>
        <v/>
      </c>
      <c r="U2245" s="10"/>
      <c r="V2245" s="41">
        <f>IF(AND(Q2245&lt;&gt;"",RIGHT(Q2245,3)&lt;&gt;""),IF(COUNTIF($Q$6:Q2245,Q2245)=1,1,0),0)</f>
        <v>0</v>
      </c>
      <c r="W2245" s="41" t="str">
        <f t="shared" si="199"/>
        <v/>
      </c>
      <c r="X2245" s="41" t="str">
        <f t="shared" si="200"/>
        <v/>
      </c>
    </row>
    <row r="2246" s="32" customFormat="1" hidden="1" customHeight="1" spans="1:24">
      <c r="A2246" s="34"/>
      <c r="B2246" s="51"/>
      <c r="C2246" s="51"/>
      <c r="D2246" s="52"/>
      <c r="E2246" s="53"/>
      <c r="F2246" s="54"/>
      <c r="G2246" s="54"/>
      <c r="H2246" s="54"/>
      <c r="I2246" s="66"/>
      <c r="J2246" s="54"/>
      <c r="K2246" s="54"/>
      <c r="L2246" s="54"/>
      <c r="M2246" s="97" t="str">
        <f t="shared" si="197"/>
        <v/>
      </c>
      <c r="N2246" s="70"/>
      <c r="O2246" s="71" t="str">
        <f t="shared" si="201"/>
        <v/>
      </c>
      <c r="P2246" s="66"/>
      <c r="Q2246" s="66"/>
      <c r="R2246" s="54"/>
      <c r="S2246" s="82"/>
      <c r="T2246" s="83" t="str">
        <f t="shared" si="198"/>
        <v/>
      </c>
      <c r="U2246" s="10"/>
      <c r="V2246" s="41">
        <f>IF(AND(Q2246&lt;&gt;"",RIGHT(Q2246,3)&lt;&gt;""),IF(COUNTIF($Q$6:Q2246,Q2246)=1,1,0),0)</f>
        <v>0</v>
      </c>
      <c r="W2246" s="41" t="str">
        <f t="shared" si="199"/>
        <v/>
      </c>
      <c r="X2246" s="41" t="str">
        <f t="shared" si="200"/>
        <v/>
      </c>
    </row>
    <row r="2247" s="32" customFormat="1" hidden="1" customHeight="1" spans="1:24">
      <c r="A2247" s="34"/>
      <c r="B2247" s="51"/>
      <c r="C2247" s="51"/>
      <c r="D2247" s="52"/>
      <c r="E2247" s="53"/>
      <c r="F2247" s="54"/>
      <c r="G2247" s="54"/>
      <c r="H2247" s="54"/>
      <c r="I2247" s="66"/>
      <c r="J2247" s="54"/>
      <c r="K2247" s="54"/>
      <c r="L2247" s="54"/>
      <c r="M2247" s="97" t="str">
        <f t="shared" si="197"/>
        <v/>
      </c>
      <c r="N2247" s="70"/>
      <c r="O2247" s="71" t="str">
        <f t="shared" si="201"/>
        <v/>
      </c>
      <c r="P2247" s="66"/>
      <c r="Q2247" s="66"/>
      <c r="R2247" s="54"/>
      <c r="S2247" s="82"/>
      <c r="T2247" s="83" t="str">
        <f t="shared" si="198"/>
        <v/>
      </c>
      <c r="U2247" s="10"/>
      <c r="V2247" s="41">
        <f>IF(AND(Q2247&lt;&gt;"",RIGHT(Q2247,3)&lt;&gt;""),IF(COUNTIF($Q$6:Q2247,Q2247)=1,1,0),0)</f>
        <v>0</v>
      </c>
      <c r="W2247" s="41" t="str">
        <f t="shared" si="199"/>
        <v/>
      </c>
      <c r="X2247" s="41" t="str">
        <f t="shared" si="200"/>
        <v/>
      </c>
    </row>
    <row r="2248" s="32" customFormat="1" hidden="1" customHeight="1" spans="1:24">
      <c r="A2248" s="34"/>
      <c r="B2248" s="51"/>
      <c r="C2248" s="51"/>
      <c r="D2248" s="52"/>
      <c r="E2248" s="53"/>
      <c r="F2248" s="54"/>
      <c r="G2248" s="54"/>
      <c r="H2248" s="54"/>
      <c r="I2248" s="66"/>
      <c r="J2248" s="54"/>
      <c r="K2248" s="54"/>
      <c r="L2248" s="54"/>
      <c r="M2248" s="97" t="str">
        <f t="shared" si="197"/>
        <v/>
      </c>
      <c r="N2248" s="70"/>
      <c r="O2248" s="71" t="str">
        <f t="shared" si="201"/>
        <v/>
      </c>
      <c r="P2248" s="66"/>
      <c r="Q2248" s="66"/>
      <c r="R2248" s="54"/>
      <c r="S2248" s="82"/>
      <c r="T2248" s="83" t="str">
        <f t="shared" si="198"/>
        <v/>
      </c>
      <c r="U2248" s="10"/>
      <c r="V2248" s="41">
        <f>IF(AND(Q2248&lt;&gt;"",RIGHT(Q2248,3)&lt;&gt;""),IF(COUNTIF($Q$6:Q2248,Q2248)=1,1,0),0)</f>
        <v>0</v>
      </c>
      <c r="W2248" s="41" t="str">
        <f t="shared" si="199"/>
        <v/>
      </c>
      <c r="X2248" s="41" t="str">
        <f t="shared" si="200"/>
        <v/>
      </c>
    </row>
    <row r="2249" s="32" customFormat="1" hidden="1" customHeight="1" spans="1:24">
      <c r="A2249" s="34"/>
      <c r="B2249" s="51"/>
      <c r="C2249" s="51"/>
      <c r="D2249" s="52"/>
      <c r="E2249" s="53"/>
      <c r="F2249" s="54"/>
      <c r="G2249" s="54"/>
      <c r="H2249" s="54"/>
      <c r="I2249" s="66"/>
      <c r="J2249" s="54"/>
      <c r="K2249" s="54"/>
      <c r="L2249" s="54"/>
      <c r="M2249" s="97" t="str">
        <f t="shared" si="197"/>
        <v/>
      </c>
      <c r="N2249" s="70"/>
      <c r="O2249" s="71" t="str">
        <f t="shared" si="201"/>
        <v/>
      </c>
      <c r="P2249" s="66"/>
      <c r="Q2249" s="66"/>
      <c r="R2249" s="54"/>
      <c r="S2249" s="82"/>
      <c r="T2249" s="83" t="str">
        <f t="shared" si="198"/>
        <v/>
      </c>
      <c r="U2249" s="10"/>
      <c r="V2249" s="41">
        <f>IF(AND(Q2249&lt;&gt;"",RIGHT(Q2249,3)&lt;&gt;""),IF(COUNTIF($Q$6:Q2249,Q2249)=1,1,0),0)</f>
        <v>0</v>
      </c>
      <c r="W2249" s="41" t="str">
        <f t="shared" si="199"/>
        <v/>
      </c>
      <c r="X2249" s="41" t="str">
        <f t="shared" si="200"/>
        <v/>
      </c>
    </row>
    <row r="2250" s="32" customFormat="1" hidden="1" customHeight="1" spans="1:24">
      <c r="A2250" s="34"/>
      <c r="B2250" s="51"/>
      <c r="C2250" s="51"/>
      <c r="D2250" s="52"/>
      <c r="E2250" s="53"/>
      <c r="F2250" s="54"/>
      <c r="G2250" s="54"/>
      <c r="H2250" s="54"/>
      <c r="I2250" s="66"/>
      <c r="J2250" s="54"/>
      <c r="K2250" s="54"/>
      <c r="L2250" s="54"/>
      <c r="M2250" s="97" t="str">
        <f t="shared" si="197"/>
        <v/>
      </c>
      <c r="N2250" s="70"/>
      <c r="O2250" s="71" t="str">
        <f t="shared" si="201"/>
        <v/>
      </c>
      <c r="P2250" s="66"/>
      <c r="Q2250" s="66"/>
      <c r="R2250" s="54"/>
      <c r="S2250" s="82"/>
      <c r="T2250" s="83" t="str">
        <f t="shared" si="198"/>
        <v/>
      </c>
      <c r="U2250" s="10"/>
      <c r="V2250" s="41">
        <f>IF(AND(Q2250&lt;&gt;"",RIGHT(Q2250,3)&lt;&gt;""),IF(COUNTIF($Q$6:Q2250,Q2250)=1,1,0),0)</f>
        <v>0</v>
      </c>
      <c r="W2250" s="41" t="str">
        <f t="shared" si="199"/>
        <v/>
      </c>
      <c r="X2250" s="41" t="str">
        <f t="shared" si="200"/>
        <v/>
      </c>
    </row>
    <row r="2251" s="32" customFormat="1" hidden="1" customHeight="1" spans="1:24">
      <c r="A2251" s="34"/>
      <c r="B2251" s="51"/>
      <c r="C2251" s="51"/>
      <c r="D2251" s="52"/>
      <c r="E2251" s="53"/>
      <c r="F2251" s="54"/>
      <c r="G2251" s="54"/>
      <c r="H2251" s="54"/>
      <c r="I2251" s="66"/>
      <c r="J2251" s="54"/>
      <c r="K2251" s="54"/>
      <c r="L2251" s="54"/>
      <c r="M2251" s="97" t="str">
        <f t="shared" si="197"/>
        <v/>
      </c>
      <c r="N2251" s="70"/>
      <c r="O2251" s="71" t="str">
        <f t="shared" si="201"/>
        <v/>
      </c>
      <c r="P2251" s="66"/>
      <c r="Q2251" s="66"/>
      <c r="R2251" s="54"/>
      <c r="S2251" s="82"/>
      <c r="T2251" s="83" t="str">
        <f t="shared" si="198"/>
        <v/>
      </c>
      <c r="U2251" s="10"/>
      <c r="V2251" s="41">
        <f>IF(AND(Q2251&lt;&gt;"",RIGHT(Q2251,3)&lt;&gt;""),IF(COUNTIF($Q$6:Q2251,Q2251)=1,1,0),0)</f>
        <v>0</v>
      </c>
      <c r="W2251" s="41" t="str">
        <f t="shared" si="199"/>
        <v/>
      </c>
      <c r="X2251" s="41" t="str">
        <f t="shared" si="200"/>
        <v/>
      </c>
    </row>
    <row r="2252" s="32" customFormat="1" hidden="1" customHeight="1" spans="1:24">
      <c r="A2252" s="34"/>
      <c r="B2252" s="51"/>
      <c r="C2252" s="51"/>
      <c r="D2252" s="52"/>
      <c r="E2252" s="53"/>
      <c r="F2252" s="54"/>
      <c r="G2252" s="54"/>
      <c r="H2252" s="54"/>
      <c r="I2252" s="66"/>
      <c r="J2252" s="54"/>
      <c r="K2252" s="54"/>
      <c r="L2252" s="54"/>
      <c r="M2252" s="97" t="str">
        <f t="shared" si="197"/>
        <v/>
      </c>
      <c r="N2252" s="70"/>
      <c r="O2252" s="71" t="str">
        <f t="shared" si="201"/>
        <v/>
      </c>
      <c r="P2252" s="66"/>
      <c r="Q2252" s="66"/>
      <c r="R2252" s="54"/>
      <c r="S2252" s="82"/>
      <c r="T2252" s="83" t="str">
        <f t="shared" si="198"/>
        <v/>
      </c>
      <c r="U2252" s="10"/>
      <c r="V2252" s="41">
        <f>IF(AND(Q2252&lt;&gt;"",RIGHT(Q2252,3)&lt;&gt;""),IF(COUNTIF($Q$6:Q2252,Q2252)=1,1,0),0)</f>
        <v>0</v>
      </c>
      <c r="W2252" s="41" t="str">
        <f t="shared" si="199"/>
        <v/>
      </c>
      <c r="X2252" s="41" t="str">
        <f t="shared" si="200"/>
        <v/>
      </c>
    </row>
    <row r="2253" s="32" customFormat="1" hidden="1" customHeight="1" spans="1:24">
      <c r="A2253" s="34"/>
      <c r="B2253" s="51"/>
      <c r="C2253" s="51"/>
      <c r="D2253" s="52"/>
      <c r="E2253" s="53"/>
      <c r="F2253" s="54"/>
      <c r="G2253" s="54"/>
      <c r="H2253" s="54"/>
      <c r="I2253" s="66"/>
      <c r="J2253" s="54"/>
      <c r="K2253" s="54"/>
      <c r="L2253" s="54"/>
      <c r="M2253" s="97" t="str">
        <f t="shared" si="197"/>
        <v/>
      </c>
      <c r="N2253" s="70"/>
      <c r="O2253" s="71" t="str">
        <f t="shared" si="201"/>
        <v/>
      </c>
      <c r="P2253" s="66"/>
      <c r="Q2253" s="66"/>
      <c r="R2253" s="54"/>
      <c r="S2253" s="82"/>
      <c r="T2253" s="83" t="str">
        <f t="shared" si="198"/>
        <v/>
      </c>
      <c r="U2253" s="10"/>
      <c r="V2253" s="41">
        <f>IF(AND(Q2253&lt;&gt;"",RIGHT(Q2253,3)&lt;&gt;""),IF(COUNTIF($Q$6:Q2253,Q2253)=1,1,0),0)</f>
        <v>0</v>
      </c>
      <c r="W2253" s="41" t="str">
        <f t="shared" si="199"/>
        <v/>
      </c>
      <c r="X2253" s="41" t="str">
        <f t="shared" si="200"/>
        <v/>
      </c>
    </row>
    <row r="2254" s="32" customFormat="1" hidden="1" customHeight="1" spans="1:24">
      <c r="A2254" s="34"/>
      <c r="B2254" s="51"/>
      <c r="C2254" s="51"/>
      <c r="D2254" s="52"/>
      <c r="E2254" s="53"/>
      <c r="F2254" s="54"/>
      <c r="G2254" s="54"/>
      <c r="H2254" s="54"/>
      <c r="I2254" s="66"/>
      <c r="J2254" s="54"/>
      <c r="K2254" s="54"/>
      <c r="L2254" s="54"/>
      <c r="M2254" s="97" t="str">
        <f t="shared" si="197"/>
        <v/>
      </c>
      <c r="N2254" s="70"/>
      <c r="O2254" s="71" t="str">
        <f t="shared" si="201"/>
        <v/>
      </c>
      <c r="P2254" s="66"/>
      <c r="Q2254" s="66"/>
      <c r="R2254" s="54"/>
      <c r="S2254" s="82"/>
      <c r="T2254" s="83" t="str">
        <f t="shared" si="198"/>
        <v/>
      </c>
      <c r="U2254" s="10"/>
      <c r="V2254" s="41">
        <f>IF(AND(Q2254&lt;&gt;"",RIGHT(Q2254,3)&lt;&gt;""),IF(COUNTIF($Q$6:Q2254,Q2254)=1,1,0),0)</f>
        <v>0</v>
      </c>
      <c r="W2254" s="41" t="str">
        <f t="shared" si="199"/>
        <v/>
      </c>
      <c r="X2254" s="41" t="str">
        <f t="shared" si="200"/>
        <v/>
      </c>
    </row>
    <row r="2255" s="32" customFormat="1" hidden="1" customHeight="1" spans="1:24">
      <c r="A2255" s="34"/>
      <c r="B2255" s="51"/>
      <c r="C2255" s="51"/>
      <c r="D2255" s="52"/>
      <c r="E2255" s="53"/>
      <c r="F2255" s="54"/>
      <c r="G2255" s="54"/>
      <c r="H2255" s="54"/>
      <c r="I2255" s="66"/>
      <c r="J2255" s="54"/>
      <c r="K2255" s="54"/>
      <c r="L2255" s="54"/>
      <c r="M2255" s="97" t="str">
        <f t="shared" si="197"/>
        <v/>
      </c>
      <c r="N2255" s="70"/>
      <c r="O2255" s="71" t="str">
        <f t="shared" si="201"/>
        <v/>
      </c>
      <c r="P2255" s="66"/>
      <c r="Q2255" s="66"/>
      <c r="R2255" s="54"/>
      <c r="S2255" s="82"/>
      <c r="T2255" s="83" t="str">
        <f t="shared" si="198"/>
        <v/>
      </c>
      <c r="U2255" s="10"/>
      <c r="V2255" s="41">
        <f>IF(AND(Q2255&lt;&gt;"",RIGHT(Q2255,3)&lt;&gt;""),IF(COUNTIF($Q$6:Q2255,Q2255)=1,1,0),0)</f>
        <v>0</v>
      </c>
      <c r="W2255" s="41" t="str">
        <f t="shared" si="199"/>
        <v/>
      </c>
      <c r="X2255" s="41" t="str">
        <f t="shared" si="200"/>
        <v/>
      </c>
    </row>
    <row r="2256" s="32" customFormat="1" hidden="1" customHeight="1" spans="1:24">
      <c r="A2256" s="34"/>
      <c r="B2256" s="51"/>
      <c r="C2256" s="51"/>
      <c r="D2256" s="52"/>
      <c r="E2256" s="53"/>
      <c r="F2256" s="54"/>
      <c r="G2256" s="54"/>
      <c r="H2256" s="54"/>
      <c r="I2256" s="66"/>
      <c r="J2256" s="54"/>
      <c r="K2256" s="54"/>
      <c r="L2256" s="54"/>
      <c r="M2256" s="97" t="str">
        <f t="shared" si="197"/>
        <v/>
      </c>
      <c r="N2256" s="70"/>
      <c r="O2256" s="71" t="str">
        <f t="shared" si="201"/>
        <v/>
      </c>
      <c r="P2256" s="66"/>
      <c r="Q2256" s="66"/>
      <c r="R2256" s="54"/>
      <c r="S2256" s="82"/>
      <c r="T2256" s="83" t="str">
        <f t="shared" si="198"/>
        <v/>
      </c>
      <c r="U2256" s="10"/>
      <c r="V2256" s="41">
        <f>IF(AND(Q2256&lt;&gt;"",RIGHT(Q2256,3)&lt;&gt;""),IF(COUNTIF($Q$6:Q2256,Q2256)=1,1,0),0)</f>
        <v>0</v>
      </c>
      <c r="W2256" s="41" t="str">
        <f t="shared" si="199"/>
        <v/>
      </c>
      <c r="X2256" s="41" t="str">
        <f t="shared" si="200"/>
        <v/>
      </c>
    </row>
    <row r="2257" s="32" customFormat="1" hidden="1" customHeight="1" spans="1:24">
      <c r="A2257" s="34"/>
      <c r="B2257" s="51"/>
      <c r="C2257" s="51"/>
      <c r="D2257" s="52"/>
      <c r="E2257" s="53"/>
      <c r="F2257" s="54"/>
      <c r="G2257" s="54"/>
      <c r="H2257" s="54"/>
      <c r="I2257" s="66"/>
      <c r="J2257" s="54"/>
      <c r="K2257" s="54"/>
      <c r="L2257" s="54"/>
      <c r="M2257" s="97" t="str">
        <f t="shared" si="197"/>
        <v/>
      </c>
      <c r="N2257" s="70"/>
      <c r="O2257" s="71" t="str">
        <f t="shared" si="201"/>
        <v/>
      </c>
      <c r="P2257" s="66"/>
      <c r="Q2257" s="66"/>
      <c r="R2257" s="54"/>
      <c r="S2257" s="82"/>
      <c r="T2257" s="83" t="str">
        <f t="shared" si="198"/>
        <v/>
      </c>
      <c r="U2257" s="10"/>
      <c r="V2257" s="41">
        <f>IF(AND(Q2257&lt;&gt;"",RIGHT(Q2257,3)&lt;&gt;""),IF(COUNTIF($Q$6:Q2257,Q2257)=1,1,0),0)</f>
        <v>0</v>
      </c>
      <c r="W2257" s="41" t="str">
        <f t="shared" si="199"/>
        <v/>
      </c>
      <c r="X2257" s="41" t="str">
        <f t="shared" si="200"/>
        <v/>
      </c>
    </row>
    <row r="2258" s="32" customFormat="1" hidden="1" customHeight="1" spans="1:24">
      <c r="A2258" s="34"/>
      <c r="B2258" s="51"/>
      <c r="C2258" s="51"/>
      <c r="D2258" s="52"/>
      <c r="E2258" s="53"/>
      <c r="F2258" s="54"/>
      <c r="G2258" s="54"/>
      <c r="H2258" s="54"/>
      <c r="I2258" s="66"/>
      <c r="J2258" s="54"/>
      <c r="K2258" s="54"/>
      <c r="L2258" s="54"/>
      <c r="M2258" s="97" t="str">
        <f t="shared" si="197"/>
        <v/>
      </c>
      <c r="N2258" s="70"/>
      <c r="O2258" s="71" t="str">
        <f t="shared" si="201"/>
        <v/>
      </c>
      <c r="P2258" s="66"/>
      <c r="Q2258" s="66"/>
      <c r="R2258" s="54"/>
      <c r="S2258" s="82"/>
      <c r="T2258" s="83" t="str">
        <f t="shared" si="198"/>
        <v/>
      </c>
      <c r="U2258" s="10"/>
      <c r="V2258" s="41">
        <f>IF(AND(Q2258&lt;&gt;"",RIGHT(Q2258,3)&lt;&gt;""),IF(COUNTIF($Q$6:Q2258,Q2258)=1,1,0),0)</f>
        <v>0</v>
      </c>
      <c r="W2258" s="41" t="str">
        <f t="shared" si="199"/>
        <v/>
      </c>
      <c r="X2258" s="41" t="str">
        <f t="shared" si="200"/>
        <v/>
      </c>
    </row>
    <row r="2259" s="32" customFormat="1" hidden="1" customHeight="1" spans="1:24">
      <c r="A2259" s="34"/>
      <c r="B2259" s="51"/>
      <c r="C2259" s="51"/>
      <c r="D2259" s="52"/>
      <c r="E2259" s="53"/>
      <c r="F2259" s="54"/>
      <c r="G2259" s="54"/>
      <c r="H2259" s="54"/>
      <c r="I2259" s="66"/>
      <c r="J2259" s="54"/>
      <c r="K2259" s="54"/>
      <c r="L2259" s="54"/>
      <c r="M2259" s="97" t="str">
        <f t="shared" si="197"/>
        <v/>
      </c>
      <c r="N2259" s="70"/>
      <c r="O2259" s="71" t="str">
        <f t="shared" si="201"/>
        <v/>
      </c>
      <c r="P2259" s="66"/>
      <c r="Q2259" s="66"/>
      <c r="R2259" s="54"/>
      <c r="S2259" s="82"/>
      <c r="T2259" s="83" t="str">
        <f t="shared" si="198"/>
        <v/>
      </c>
      <c r="U2259" s="10"/>
      <c r="V2259" s="41">
        <f>IF(AND(Q2259&lt;&gt;"",RIGHT(Q2259,3)&lt;&gt;""),IF(COUNTIF($Q$6:Q2259,Q2259)=1,1,0),0)</f>
        <v>0</v>
      </c>
      <c r="W2259" s="41" t="str">
        <f t="shared" si="199"/>
        <v/>
      </c>
      <c r="X2259" s="41" t="str">
        <f t="shared" si="200"/>
        <v/>
      </c>
    </row>
    <row r="2260" s="32" customFormat="1" hidden="1" customHeight="1" spans="1:24">
      <c r="A2260" s="34"/>
      <c r="B2260" s="51"/>
      <c r="C2260" s="51"/>
      <c r="D2260" s="52"/>
      <c r="E2260" s="53"/>
      <c r="F2260" s="54"/>
      <c r="G2260" s="54"/>
      <c r="H2260" s="54"/>
      <c r="I2260" s="66"/>
      <c r="J2260" s="54"/>
      <c r="K2260" s="54"/>
      <c r="L2260" s="54"/>
      <c r="M2260" s="97" t="str">
        <f t="shared" si="197"/>
        <v/>
      </c>
      <c r="N2260" s="70"/>
      <c r="O2260" s="71" t="str">
        <f t="shared" si="201"/>
        <v/>
      </c>
      <c r="P2260" s="66"/>
      <c r="Q2260" s="66"/>
      <c r="R2260" s="54"/>
      <c r="S2260" s="82"/>
      <c r="T2260" s="83" t="str">
        <f t="shared" si="198"/>
        <v/>
      </c>
      <c r="U2260" s="10"/>
      <c r="V2260" s="41">
        <f>IF(AND(Q2260&lt;&gt;"",RIGHT(Q2260,3)&lt;&gt;""),IF(COUNTIF($Q$6:Q2260,Q2260)=1,1,0),0)</f>
        <v>0</v>
      </c>
      <c r="W2260" s="41" t="str">
        <f t="shared" si="199"/>
        <v/>
      </c>
      <c r="X2260" s="41" t="str">
        <f t="shared" si="200"/>
        <v/>
      </c>
    </row>
    <row r="2261" s="32" customFormat="1" hidden="1" customHeight="1" spans="1:24">
      <c r="A2261" s="34"/>
      <c r="B2261" s="51"/>
      <c r="C2261" s="51"/>
      <c r="D2261" s="52"/>
      <c r="E2261" s="53"/>
      <c r="F2261" s="54"/>
      <c r="G2261" s="54"/>
      <c r="H2261" s="54"/>
      <c r="I2261" s="66"/>
      <c r="J2261" s="54"/>
      <c r="K2261" s="54"/>
      <c r="L2261" s="54"/>
      <c r="M2261" s="97" t="str">
        <f t="shared" si="197"/>
        <v/>
      </c>
      <c r="N2261" s="70"/>
      <c r="O2261" s="71" t="str">
        <f t="shared" si="201"/>
        <v/>
      </c>
      <c r="P2261" s="66"/>
      <c r="Q2261" s="66"/>
      <c r="R2261" s="54"/>
      <c r="S2261" s="82"/>
      <c r="T2261" s="83" t="str">
        <f t="shared" si="198"/>
        <v/>
      </c>
      <c r="U2261" s="10"/>
      <c r="V2261" s="41">
        <f>IF(AND(Q2261&lt;&gt;"",RIGHT(Q2261,3)&lt;&gt;""),IF(COUNTIF($Q$6:Q2261,Q2261)=1,1,0),0)</f>
        <v>0</v>
      </c>
      <c r="W2261" s="41" t="str">
        <f t="shared" si="199"/>
        <v/>
      </c>
      <c r="X2261" s="41" t="str">
        <f t="shared" si="200"/>
        <v/>
      </c>
    </row>
    <row r="2262" s="32" customFormat="1" hidden="1" customHeight="1" spans="1:24">
      <c r="A2262" s="34"/>
      <c r="B2262" s="51"/>
      <c r="C2262" s="51"/>
      <c r="D2262" s="52"/>
      <c r="E2262" s="53"/>
      <c r="F2262" s="54"/>
      <c r="G2262" s="54"/>
      <c r="H2262" s="54"/>
      <c r="I2262" s="66"/>
      <c r="J2262" s="54"/>
      <c r="K2262" s="54"/>
      <c r="L2262" s="54"/>
      <c r="M2262" s="97" t="str">
        <f t="shared" si="197"/>
        <v/>
      </c>
      <c r="N2262" s="70"/>
      <c r="O2262" s="71" t="str">
        <f t="shared" si="201"/>
        <v/>
      </c>
      <c r="P2262" s="66"/>
      <c r="Q2262" s="66"/>
      <c r="R2262" s="54"/>
      <c r="S2262" s="82"/>
      <c r="T2262" s="83" t="str">
        <f t="shared" si="198"/>
        <v/>
      </c>
      <c r="U2262" s="10"/>
      <c r="V2262" s="41">
        <f>IF(AND(Q2262&lt;&gt;"",RIGHT(Q2262,3)&lt;&gt;""),IF(COUNTIF($Q$6:Q2262,Q2262)=1,1,0),0)</f>
        <v>0</v>
      </c>
      <c r="W2262" s="41" t="str">
        <f t="shared" si="199"/>
        <v/>
      </c>
      <c r="X2262" s="41" t="str">
        <f t="shared" si="200"/>
        <v/>
      </c>
    </row>
    <row r="2263" s="32" customFormat="1" hidden="1" customHeight="1" spans="1:24">
      <c r="A2263" s="34"/>
      <c r="B2263" s="51"/>
      <c r="C2263" s="51"/>
      <c r="D2263" s="52"/>
      <c r="E2263" s="53"/>
      <c r="F2263" s="54"/>
      <c r="G2263" s="54"/>
      <c r="H2263" s="54"/>
      <c r="I2263" s="66"/>
      <c r="J2263" s="54"/>
      <c r="K2263" s="54"/>
      <c r="L2263" s="54"/>
      <c r="M2263" s="97" t="str">
        <f t="shared" si="197"/>
        <v/>
      </c>
      <c r="N2263" s="70"/>
      <c r="O2263" s="71" t="str">
        <f t="shared" si="201"/>
        <v/>
      </c>
      <c r="P2263" s="66"/>
      <c r="Q2263" s="66"/>
      <c r="R2263" s="54"/>
      <c r="S2263" s="82"/>
      <c r="T2263" s="83" t="str">
        <f t="shared" si="198"/>
        <v/>
      </c>
      <c r="U2263" s="10"/>
      <c r="V2263" s="41">
        <f>IF(AND(Q2263&lt;&gt;"",RIGHT(Q2263,3)&lt;&gt;""),IF(COUNTIF($Q$6:Q2263,Q2263)=1,1,0),0)</f>
        <v>0</v>
      </c>
      <c r="W2263" s="41" t="str">
        <f t="shared" si="199"/>
        <v/>
      </c>
      <c r="X2263" s="41" t="str">
        <f t="shared" si="200"/>
        <v/>
      </c>
    </row>
    <row r="2264" s="32" customFormat="1" hidden="1" customHeight="1" spans="1:24">
      <c r="A2264" s="34"/>
      <c r="B2264" s="51"/>
      <c r="C2264" s="51"/>
      <c r="D2264" s="52"/>
      <c r="E2264" s="53"/>
      <c r="F2264" s="54"/>
      <c r="G2264" s="54"/>
      <c r="H2264" s="54"/>
      <c r="I2264" s="66"/>
      <c r="J2264" s="54"/>
      <c r="K2264" s="54"/>
      <c r="L2264" s="54"/>
      <c r="M2264" s="97" t="str">
        <f t="shared" si="197"/>
        <v/>
      </c>
      <c r="N2264" s="70"/>
      <c r="O2264" s="71" t="str">
        <f t="shared" si="201"/>
        <v/>
      </c>
      <c r="P2264" s="66"/>
      <c r="Q2264" s="66"/>
      <c r="R2264" s="54"/>
      <c r="S2264" s="82"/>
      <c r="T2264" s="83" t="str">
        <f t="shared" si="198"/>
        <v/>
      </c>
      <c r="U2264" s="10"/>
      <c r="V2264" s="41">
        <f>IF(AND(Q2264&lt;&gt;"",RIGHT(Q2264,3)&lt;&gt;""),IF(COUNTIF($Q$6:Q2264,Q2264)=1,1,0),0)</f>
        <v>0</v>
      </c>
      <c r="W2264" s="41" t="str">
        <f t="shared" si="199"/>
        <v/>
      </c>
      <c r="X2264" s="41" t="str">
        <f t="shared" si="200"/>
        <v/>
      </c>
    </row>
    <row r="2265" s="32" customFormat="1" hidden="1" customHeight="1" spans="1:24">
      <c r="A2265" s="34"/>
      <c r="B2265" s="51"/>
      <c r="C2265" s="51"/>
      <c r="D2265" s="52"/>
      <c r="E2265" s="53"/>
      <c r="F2265" s="54"/>
      <c r="G2265" s="54"/>
      <c r="H2265" s="54"/>
      <c r="I2265" s="66"/>
      <c r="J2265" s="54"/>
      <c r="K2265" s="54"/>
      <c r="L2265" s="54"/>
      <c r="M2265" s="97" t="str">
        <f t="shared" si="197"/>
        <v/>
      </c>
      <c r="N2265" s="70"/>
      <c r="O2265" s="71" t="str">
        <f t="shared" si="201"/>
        <v/>
      </c>
      <c r="P2265" s="66"/>
      <c r="Q2265" s="66"/>
      <c r="R2265" s="54"/>
      <c r="S2265" s="82"/>
      <c r="T2265" s="83" t="str">
        <f t="shared" si="198"/>
        <v/>
      </c>
      <c r="U2265" s="10"/>
      <c r="V2265" s="41">
        <f>IF(AND(Q2265&lt;&gt;"",RIGHT(Q2265,3)&lt;&gt;""),IF(COUNTIF($Q$6:Q2265,Q2265)=1,1,0),0)</f>
        <v>0</v>
      </c>
      <c r="W2265" s="41" t="str">
        <f t="shared" si="199"/>
        <v/>
      </c>
      <c r="X2265" s="41" t="str">
        <f t="shared" si="200"/>
        <v/>
      </c>
    </row>
    <row r="2266" s="32" customFormat="1" hidden="1" customHeight="1" spans="1:24">
      <c r="A2266" s="34"/>
      <c r="B2266" s="51"/>
      <c r="C2266" s="51"/>
      <c r="D2266" s="52"/>
      <c r="E2266" s="53"/>
      <c r="F2266" s="54"/>
      <c r="G2266" s="54"/>
      <c r="H2266" s="54"/>
      <c r="I2266" s="66"/>
      <c r="J2266" s="54"/>
      <c r="K2266" s="54"/>
      <c r="L2266" s="54"/>
      <c r="M2266" s="97" t="str">
        <f t="shared" si="197"/>
        <v/>
      </c>
      <c r="N2266" s="70"/>
      <c r="O2266" s="71" t="str">
        <f t="shared" si="201"/>
        <v/>
      </c>
      <c r="P2266" s="66"/>
      <c r="Q2266" s="66"/>
      <c r="R2266" s="54"/>
      <c r="S2266" s="82"/>
      <c r="T2266" s="83" t="str">
        <f t="shared" si="198"/>
        <v/>
      </c>
      <c r="U2266" s="10"/>
      <c r="V2266" s="41">
        <f>IF(AND(Q2266&lt;&gt;"",RIGHT(Q2266,3)&lt;&gt;""),IF(COUNTIF($Q$6:Q2266,Q2266)=1,1,0),0)</f>
        <v>0</v>
      </c>
      <c r="W2266" s="41" t="str">
        <f t="shared" si="199"/>
        <v/>
      </c>
      <c r="X2266" s="41" t="str">
        <f t="shared" si="200"/>
        <v/>
      </c>
    </row>
    <row r="2267" s="32" customFormat="1" hidden="1" customHeight="1" spans="1:24">
      <c r="A2267" s="34"/>
      <c r="B2267" s="51"/>
      <c r="C2267" s="51"/>
      <c r="D2267" s="52"/>
      <c r="E2267" s="53"/>
      <c r="F2267" s="54"/>
      <c r="G2267" s="54"/>
      <c r="H2267" s="54"/>
      <c r="I2267" s="66"/>
      <c r="J2267" s="54"/>
      <c r="K2267" s="54"/>
      <c r="L2267" s="54"/>
      <c r="M2267" s="97" t="str">
        <f t="shared" si="197"/>
        <v/>
      </c>
      <c r="N2267" s="70"/>
      <c r="O2267" s="71" t="str">
        <f t="shared" si="201"/>
        <v/>
      </c>
      <c r="P2267" s="66"/>
      <c r="Q2267" s="66"/>
      <c r="R2267" s="54"/>
      <c r="S2267" s="82"/>
      <c r="T2267" s="83" t="str">
        <f t="shared" si="198"/>
        <v/>
      </c>
      <c r="U2267" s="10"/>
      <c r="V2267" s="41">
        <f>IF(AND(Q2267&lt;&gt;"",RIGHT(Q2267,3)&lt;&gt;""),IF(COUNTIF($Q$6:Q2267,Q2267)=1,1,0),0)</f>
        <v>0</v>
      </c>
      <c r="W2267" s="41" t="str">
        <f t="shared" si="199"/>
        <v/>
      </c>
      <c r="X2267" s="41" t="str">
        <f t="shared" si="200"/>
        <v/>
      </c>
    </row>
    <row r="2268" s="32" customFormat="1" hidden="1" customHeight="1" spans="1:24">
      <c r="A2268" s="34"/>
      <c r="B2268" s="51"/>
      <c r="C2268" s="51"/>
      <c r="D2268" s="52"/>
      <c r="E2268" s="53"/>
      <c r="F2268" s="54"/>
      <c r="G2268" s="54"/>
      <c r="H2268" s="54"/>
      <c r="I2268" s="66"/>
      <c r="J2268" s="54"/>
      <c r="K2268" s="54"/>
      <c r="L2268" s="54"/>
      <c r="M2268" s="97" t="str">
        <f t="shared" si="197"/>
        <v/>
      </c>
      <c r="N2268" s="70"/>
      <c r="O2268" s="71" t="str">
        <f t="shared" si="201"/>
        <v/>
      </c>
      <c r="P2268" s="66"/>
      <c r="Q2268" s="66"/>
      <c r="R2268" s="54"/>
      <c r="S2268" s="82"/>
      <c r="T2268" s="83" t="str">
        <f t="shared" si="198"/>
        <v/>
      </c>
      <c r="U2268" s="10"/>
      <c r="V2268" s="41">
        <f>IF(AND(Q2268&lt;&gt;"",RIGHT(Q2268,3)&lt;&gt;""),IF(COUNTIF($Q$6:Q2268,Q2268)=1,1,0),0)</f>
        <v>0</v>
      </c>
      <c r="W2268" s="41" t="str">
        <f t="shared" si="199"/>
        <v/>
      </c>
      <c r="X2268" s="41" t="str">
        <f t="shared" si="200"/>
        <v/>
      </c>
    </row>
    <row r="2269" s="32" customFormat="1" hidden="1" customHeight="1" spans="1:24">
      <c r="A2269" s="34"/>
      <c r="B2269" s="51"/>
      <c r="C2269" s="51"/>
      <c r="D2269" s="52"/>
      <c r="E2269" s="53"/>
      <c r="F2269" s="54"/>
      <c r="G2269" s="54"/>
      <c r="H2269" s="54"/>
      <c r="I2269" s="66"/>
      <c r="J2269" s="54"/>
      <c r="K2269" s="54"/>
      <c r="L2269" s="54"/>
      <c r="M2269" s="97" t="str">
        <f t="shared" si="197"/>
        <v/>
      </c>
      <c r="N2269" s="70"/>
      <c r="O2269" s="71" t="str">
        <f t="shared" si="201"/>
        <v/>
      </c>
      <c r="P2269" s="66"/>
      <c r="Q2269" s="66"/>
      <c r="R2269" s="54"/>
      <c r="S2269" s="82"/>
      <c r="T2269" s="83" t="str">
        <f t="shared" si="198"/>
        <v/>
      </c>
      <c r="U2269" s="10"/>
      <c r="V2269" s="41">
        <f>IF(AND(Q2269&lt;&gt;"",RIGHT(Q2269,3)&lt;&gt;""),IF(COUNTIF($Q$6:Q2269,Q2269)=1,1,0),0)</f>
        <v>0</v>
      </c>
      <c r="W2269" s="41" t="str">
        <f t="shared" si="199"/>
        <v/>
      </c>
      <c r="X2269" s="41" t="str">
        <f t="shared" si="200"/>
        <v/>
      </c>
    </row>
    <row r="2270" s="32" customFormat="1" hidden="1" customHeight="1" spans="1:24">
      <c r="A2270" s="34"/>
      <c r="B2270" s="51"/>
      <c r="C2270" s="51"/>
      <c r="D2270" s="52"/>
      <c r="E2270" s="53"/>
      <c r="F2270" s="54"/>
      <c r="G2270" s="54"/>
      <c r="H2270" s="54"/>
      <c r="I2270" s="66"/>
      <c r="J2270" s="54"/>
      <c r="K2270" s="54"/>
      <c r="L2270" s="54"/>
      <c r="M2270" s="97" t="str">
        <f t="shared" si="197"/>
        <v/>
      </c>
      <c r="N2270" s="70"/>
      <c r="O2270" s="71" t="str">
        <f t="shared" si="201"/>
        <v/>
      </c>
      <c r="P2270" s="66"/>
      <c r="Q2270" s="66"/>
      <c r="R2270" s="54"/>
      <c r="S2270" s="82"/>
      <c r="T2270" s="83" t="str">
        <f t="shared" si="198"/>
        <v/>
      </c>
      <c r="U2270" s="10"/>
      <c r="V2270" s="41">
        <f>IF(AND(Q2270&lt;&gt;"",RIGHT(Q2270,3)&lt;&gt;""),IF(COUNTIF($Q$6:Q2270,Q2270)=1,1,0),0)</f>
        <v>0</v>
      </c>
      <c r="W2270" s="41" t="str">
        <f t="shared" si="199"/>
        <v/>
      </c>
      <c r="X2270" s="41" t="str">
        <f t="shared" si="200"/>
        <v/>
      </c>
    </row>
    <row r="2271" s="32" customFormat="1" hidden="1" customHeight="1" spans="1:24">
      <c r="A2271" s="34"/>
      <c r="B2271" s="51"/>
      <c r="C2271" s="51"/>
      <c r="D2271" s="52"/>
      <c r="E2271" s="53"/>
      <c r="F2271" s="54"/>
      <c r="G2271" s="54"/>
      <c r="H2271" s="54"/>
      <c r="I2271" s="66"/>
      <c r="J2271" s="54"/>
      <c r="K2271" s="54"/>
      <c r="L2271" s="54"/>
      <c r="M2271" s="97" t="str">
        <f t="shared" si="197"/>
        <v/>
      </c>
      <c r="N2271" s="70"/>
      <c r="O2271" s="71" t="str">
        <f t="shared" si="201"/>
        <v/>
      </c>
      <c r="P2271" s="66"/>
      <c r="Q2271" s="66"/>
      <c r="R2271" s="54"/>
      <c r="S2271" s="82"/>
      <c r="T2271" s="83" t="str">
        <f t="shared" si="198"/>
        <v/>
      </c>
      <c r="U2271" s="10"/>
      <c r="V2271" s="41">
        <f>IF(AND(Q2271&lt;&gt;"",RIGHT(Q2271,3)&lt;&gt;""),IF(COUNTIF($Q$6:Q2271,Q2271)=1,1,0),0)</f>
        <v>0</v>
      </c>
      <c r="W2271" s="41" t="str">
        <f t="shared" si="199"/>
        <v/>
      </c>
      <c r="X2271" s="41" t="str">
        <f t="shared" si="200"/>
        <v/>
      </c>
    </row>
    <row r="2272" s="32" customFormat="1" hidden="1" customHeight="1" spans="1:24">
      <c r="A2272" s="34"/>
      <c r="B2272" s="51"/>
      <c r="C2272" s="51"/>
      <c r="D2272" s="52"/>
      <c r="E2272" s="53"/>
      <c r="F2272" s="54"/>
      <c r="G2272" s="54"/>
      <c r="H2272" s="54"/>
      <c r="I2272" s="66"/>
      <c r="J2272" s="54"/>
      <c r="K2272" s="54"/>
      <c r="L2272" s="54"/>
      <c r="M2272" s="97" t="str">
        <f t="shared" si="197"/>
        <v/>
      </c>
      <c r="N2272" s="70"/>
      <c r="O2272" s="71" t="str">
        <f t="shared" si="201"/>
        <v/>
      </c>
      <c r="P2272" s="66"/>
      <c r="Q2272" s="66"/>
      <c r="R2272" s="54"/>
      <c r="S2272" s="82"/>
      <c r="T2272" s="83" t="str">
        <f t="shared" si="198"/>
        <v/>
      </c>
      <c r="U2272" s="10"/>
      <c r="V2272" s="41">
        <f>IF(AND(Q2272&lt;&gt;"",RIGHT(Q2272,3)&lt;&gt;""),IF(COUNTIF($Q$6:Q2272,Q2272)=1,1,0),0)</f>
        <v>0</v>
      </c>
      <c r="W2272" s="41" t="str">
        <f t="shared" si="199"/>
        <v/>
      </c>
      <c r="X2272" s="41" t="str">
        <f t="shared" si="200"/>
        <v/>
      </c>
    </row>
    <row r="2273" s="32" customFormat="1" hidden="1" customHeight="1" spans="1:24">
      <c r="A2273" s="34"/>
      <c r="B2273" s="51"/>
      <c r="C2273" s="51"/>
      <c r="D2273" s="52"/>
      <c r="E2273" s="53"/>
      <c r="F2273" s="54"/>
      <c r="G2273" s="54"/>
      <c r="H2273" s="54"/>
      <c r="I2273" s="66"/>
      <c r="J2273" s="54"/>
      <c r="K2273" s="54"/>
      <c r="L2273" s="54"/>
      <c r="M2273" s="97" t="str">
        <f t="shared" si="197"/>
        <v/>
      </c>
      <c r="N2273" s="70"/>
      <c r="O2273" s="71" t="str">
        <f t="shared" si="201"/>
        <v/>
      </c>
      <c r="P2273" s="66"/>
      <c r="Q2273" s="66"/>
      <c r="R2273" s="54"/>
      <c r="S2273" s="82"/>
      <c r="T2273" s="83" t="str">
        <f t="shared" si="198"/>
        <v/>
      </c>
      <c r="U2273" s="10"/>
      <c r="V2273" s="41">
        <f>IF(AND(Q2273&lt;&gt;"",RIGHT(Q2273,3)&lt;&gt;""),IF(COUNTIF($Q$6:Q2273,Q2273)=1,1,0),0)</f>
        <v>0</v>
      </c>
      <c r="W2273" s="41" t="str">
        <f t="shared" si="199"/>
        <v/>
      </c>
      <c r="X2273" s="41" t="str">
        <f t="shared" si="200"/>
        <v/>
      </c>
    </row>
    <row r="2274" s="32" customFormat="1" hidden="1" customHeight="1" spans="1:24">
      <c r="A2274" s="34"/>
      <c r="B2274" s="51"/>
      <c r="C2274" s="51"/>
      <c r="D2274" s="52"/>
      <c r="E2274" s="53"/>
      <c r="F2274" s="54"/>
      <c r="G2274" s="54"/>
      <c r="H2274" s="54"/>
      <c r="I2274" s="66"/>
      <c r="J2274" s="54"/>
      <c r="K2274" s="54"/>
      <c r="L2274" s="54"/>
      <c r="M2274" s="97" t="str">
        <f t="shared" si="197"/>
        <v/>
      </c>
      <c r="N2274" s="70"/>
      <c r="O2274" s="71" t="str">
        <f t="shared" si="201"/>
        <v/>
      </c>
      <c r="P2274" s="66"/>
      <c r="Q2274" s="66"/>
      <c r="R2274" s="54"/>
      <c r="S2274" s="82"/>
      <c r="T2274" s="83" t="str">
        <f t="shared" si="198"/>
        <v/>
      </c>
      <c r="U2274" s="10"/>
      <c r="V2274" s="41">
        <f>IF(AND(Q2274&lt;&gt;"",RIGHT(Q2274,3)&lt;&gt;""),IF(COUNTIF($Q$6:Q2274,Q2274)=1,1,0),0)</f>
        <v>0</v>
      </c>
      <c r="W2274" s="41" t="str">
        <f t="shared" si="199"/>
        <v/>
      </c>
      <c r="X2274" s="41" t="str">
        <f t="shared" si="200"/>
        <v/>
      </c>
    </row>
    <row r="2275" s="32" customFormat="1" hidden="1" customHeight="1" spans="1:24">
      <c r="A2275" s="34"/>
      <c r="B2275" s="51"/>
      <c r="C2275" s="51"/>
      <c r="D2275" s="52"/>
      <c r="E2275" s="53"/>
      <c r="F2275" s="54"/>
      <c r="G2275" s="54"/>
      <c r="H2275" s="54"/>
      <c r="I2275" s="66"/>
      <c r="J2275" s="54"/>
      <c r="K2275" s="54"/>
      <c r="L2275" s="54"/>
      <c r="M2275" s="97" t="str">
        <f t="shared" si="197"/>
        <v/>
      </c>
      <c r="N2275" s="70"/>
      <c r="O2275" s="71" t="str">
        <f t="shared" si="201"/>
        <v/>
      </c>
      <c r="P2275" s="66"/>
      <c r="Q2275" s="66"/>
      <c r="R2275" s="54"/>
      <c r="S2275" s="82"/>
      <c r="T2275" s="83" t="str">
        <f t="shared" si="198"/>
        <v/>
      </c>
      <c r="U2275" s="10"/>
      <c r="V2275" s="41">
        <f>IF(AND(Q2275&lt;&gt;"",RIGHT(Q2275,3)&lt;&gt;""),IF(COUNTIF($Q$6:Q2275,Q2275)=1,1,0),0)</f>
        <v>0</v>
      </c>
      <c r="W2275" s="41" t="str">
        <f t="shared" si="199"/>
        <v/>
      </c>
      <c r="X2275" s="41" t="str">
        <f t="shared" si="200"/>
        <v/>
      </c>
    </row>
    <row r="2276" s="32" customFormat="1" hidden="1" customHeight="1" spans="1:24">
      <c r="A2276" s="34"/>
      <c r="B2276" s="51"/>
      <c r="C2276" s="51"/>
      <c r="D2276" s="52"/>
      <c r="E2276" s="53"/>
      <c r="F2276" s="54"/>
      <c r="G2276" s="54"/>
      <c r="H2276" s="54"/>
      <c r="I2276" s="66"/>
      <c r="J2276" s="54"/>
      <c r="K2276" s="54"/>
      <c r="L2276" s="54"/>
      <c r="M2276" s="97" t="str">
        <f t="shared" ref="M2276:M2339" si="202">IF(L2276="","",HYPERLINK(_xlfn.CONCAT($L$4,L2276,".jpg"),"Open File"))</f>
        <v/>
      </c>
      <c r="N2276" s="70"/>
      <c r="O2276" s="71" t="str">
        <f t="shared" si="201"/>
        <v/>
      </c>
      <c r="P2276" s="66"/>
      <c r="Q2276" s="66"/>
      <c r="R2276" s="54"/>
      <c r="S2276" s="82"/>
      <c r="T2276" s="83" t="str">
        <f t="shared" ref="T2276:T2339" si="203">IF(S2276="","",HYPERLINK(_xlfn.CONCAT($S$4,S2276,".jpg"),"Open File"))</f>
        <v/>
      </c>
      <c r="U2276" s="10"/>
      <c r="V2276" s="41">
        <f>IF(AND(Q2276&lt;&gt;"",RIGHT(Q2276,3)&lt;&gt;""),IF(COUNTIF($Q$6:Q2276,Q2276)=1,1,0),0)</f>
        <v>0</v>
      </c>
      <c r="W2276" s="41" t="str">
        <f t="shared" ref="W2276:W2339" si="204">IF(AND(J2276&lt;&gt;"",K2276&lt;&gt;""),_xlfn.CONCAT(SUBSTITUTE(J2276,"/","."),"-",K2276),"")</f>
        <v/>
      </c>
      <c r="X2276" s="41" t="str">
        <f t="shared" ref="X2276:X2339" si="205">IF(AND(Q2276&lt;&gt;"",R2276&lt;&gt;""),_xlfn.CONCAT(SUBSTITUTE(Q2276,"/","."),"-",R2276),"")</f>
        <v/>
      </c>
    </row>
    <row r="2277" s="32" customFormat="1" hidden="1" customHeight="1" spans="1:24">
      <c r="A2277" s="34"/>
      <c r="B2277" s="51"/>
      <c r="C2277" s="51"/>
      <c r="D2277" s="52"/>
      <c r="E2277" s="53"/>
      <c r="F2277" s="54"/>
      <c r="G2277" s="54"/>
      <c r="H2277" s="54"/>
      <c r="I2277" s="66"/>
      <c r="J2277" s="54"/>
      <c r="K2277" s="54"/>
      <c r="L2277" s="54"/>
      <c r="M2277" s="97" t="str">
        <f t="shared" si="202"/>
        <v/>
      </c>
      <c r="N2277" s="70"/>
      <c r="O2277" s="71" t="str">
        <f t="shared" si="201"/>
        <v/>
      </c>
      <c r="P2277" s="66"/>
      <c r="Q2277" s="66"/>
      <c r="R2277" s="54"/>
      <c r="S2277" s="82"/>
      <c r="T2277" s="83" t="str">
        <f t="shared" si="203"/>
        <v/>
      </c>
      <c r="U2277" s="10"/>
      <c r="V2277" s="41">
        <f>IF(AND(Q2277&lt;&gt;"",RIGHT(Q2277,3)&lt;&gt;""),IF(COUNTIF($Q$6:Q2277,Q2277)=1,1,0),0)</f>
        <v>0</v>
      </c>
      <c r="W2277" s="41" t="str">
        <f t="shared" si="204"/>
        <v/>
      </c>
      <c r="X2277" s="41" t="str">
        <f t="shared" si="205"/>
        <v/>
      </c>
    </row>
    <row r="2278" s="32" customFormat="1" hidden="1" customHeight="1" spans="1:24">
      <c r="A2278" s="34"/>
      <c r="B2278" s="51"/>
      <c r="C2278" s="51"/>
      <c r="D2278" s="52"/>
      <c r="E2278" s="53"/>
      <c r="F2278" s="54"/>
      <c r="G2278" s="54"/>
      <c r="H2278" s="54"/>
      <c r="I2278" s="66"/>
      <c r="J2278" s="54"/>
      <c r="K2278" s="54"/>
      <c r="L2278" s="54"/>
      <c r="M2278" s="97" t="str">
        <f t="shared" si="202"/>
        <v/>
      </c>
      <c r="N2278" s="70"/>
      <c r="O2278" s="71" t="str">
        <f t="shared" si="201"/>
        <v/>
      </c>
      <c r="P2278" s="66"/>
      <c r="Q2278" s="66"/>
      <c r="R2278" s="54"/>
      <c r="S2278" s="82"/>
      <c r="T2278" s="83" t="str">
        <f t="shared" si="203"/>
        <v/>
      </c>
      <c r="U2278" s="10"/>
      <c r="V2278" s="41">
        <f>IF(AND(Q2278&lt;&gt;"",RIGHT(Q2278,3)&lt;&gt;""),IF(COUNTIF($Q$6:Q2278,Q2278)=1,1,0),0)</f>
        <v>0</v>
      </c>
      <c r="W2278" s="41" t="str">
        <f t="shared" si="204"/>
        <v/>
      </c>
      <c r="X2278" s="41" t="str">
        <f t="shared" si="205"/>
        <v/>
      </c>
    </row>
    <row r="2279" s="32" customFormat="1" hidden="1" customHeight="1" spans="1:24">
      <c r="A2279" s="34"/>
      <c r="B2279" s="51"/>
      <c r="C2279" s="51"/>
      <c r="D2279" s="52"/>
      <c r="E2279" s="53"/>
      <c r="F2279" s="54"/>
      <c r="G2279" s="54"/>
      <c r="H2279" s="54"/>
      <c r="I2279" s="66"/>
      <c r="J2279" s="54"/>
      <c r="K2279" s="54"/>
      <c r="L2279" s="54"/>
      <c r="M2279" s="97" t="str">
        <f t="shared" si="202"/>
        <v/>
      </c>
      <c r="N2279" s="70"/>
      <c r="O2279" s="71" t="str">
        <f t="shared" si="201"/>
        <v/>
      </c>
      <c r="P2279" s="66"/>
      <c r="Q2279" s="66"/>
      <c r="R2279" s="54"/>
      <c r="S2279" s="82"/>
      <c r="T2279" s="83" t="str">
        <f t="shared" si="203"/>
        <v/>
      </c>
      <c r="U2279" s="10"/>
      <c r="V2279" s="41">
        <f>IF(AND(Q2279&lt;&gt;"",RIGHT(Q2279,3)&lt;&gt;""),IF(COUNTIF($Q$6:Q2279,Q2279)=1,1,0),0)</f>
        <v>0</v>
      </c>
      <c r="W2279" s="41" t="str">
        <f t="shared" si="204"/>
        <v/>
      </c>
      <c r="X2279" s="41" t="str">
        <f t="shared" si="205"/>
        <v/>
      </c>
    </row>
    <row r="2280" s="32" customFormat="1" hidden="1" customHeight="1" spans="1:24">
      <c r="A2280" s="34"/>
      <c r="B2280" s="51"/>
      <c r="C2280" s="51"/>
      <c r="D2280" s="52"/>
      <c r="E2280" s="53"/>
      <c r="F2280" s="54"/>
      <c r="G2280" s="54"/>
      <c r="H2280" s="54"/>
      <c r="I2280" s="66"/>
      <c r="J2280" s="54"/>
      <c r="K2280" s="54"/>
      <c r="L2280" s="54"/>
      <c r="M2280" s="97" t="str">
        <f t="shared" si="202"/>
        <v/>
      </c>
      <c r="N2280" s="70"/>
      <c r="O2280" s="71" t="str">
        <f t="shared" si="201"/>
        <v/>
      </c>
      <c r="P2280" s="66"/>
      <c r="Q2280" s="66"/>
      <c r="R2280" s="54"/>
      <c r="S2280" s="82"/>
      <c r="T2280" s="83" t="str">
        <f t="shared" si="203"/>
        <v/>
      </c>
      <c r="U2280" s="10"/>
      <c r="V2280" s="41">
        <f>IF(AND(Q2280&lt;&gt;"",RIGHT(Q2280,3)&lt;&gt;""),IF(COUNTIF($Q$6:Q2280,Q2280)=1,1,0),0)</f>
        <v>0</v>
      </c>
      <c r="W2280" s="41" t="str">
        <f t="shared" si="204"/>
        <v/>
      </c>
      <c r="X2280" s="41" t="str">
        <f t="shared" si="205"/>
        <v/>
      </c>
    </row>
    <row r="2281" s="32" customFormat="1" hidden="1" customHeight="1" spans="1:24">
      <c r="A2281" s="34"/>
      <c r="B2281" s="51"/>
      <c r="C2281" s="51"/>
      <c r="D2281" s="52"/>
      <c r="E2281" s="53"/>
      <c r="F2281" s="54"/>
      <c r="G2281" s="54"/>
      <c r="H2281" s="54"/>
      <c r="I2281" s="66"/>
      <c r="J2281" s="54"/>
      <c r="K2281" s="54"/>
      <c r="L2281" s="54"/>
      <c r="M2281" s="97" t="str">
        <f t="shared" si="202"/>
        <v/>
      </c>
      <c r="N2281" s="70"/>
      <c r="O2281" s="71" t="str">
        <f t="shared" si="201"/>
        <v/>
      </c>
      <c r="P2281" s="66"/>
      <c r="Q2281" s="66"/>
      <c r="R2281" s="54"/>
      <c r="S2281" s="82"/>
      <c r="T2281" s="83" t="str">
        <f t="shared" si="203"/>
        <v/>
      </c>
      <c r="U2281" s="10"/>
      <c r="V2281" s="41">
        <f>IF(AND(Q2281&lt;&gt;"",RIGHT(Q2281,3)&lt;&gt;""),IF(COUNTIF($Q$6:Q2281,Q2281)=1,1,0),0)</f>
        <v>0</v>
      </c>
      <c r="W2281" s="41" t="str">
        <f t="shared" si="204"/>
        <v/>
      </c>
      <c r="X2281" s="41" t="str">
        <f t="shared" si="205"/>
        <v/>
      </c>
    </row>
    <row r="2282" s="32" customFormat="1" hidden="1" customHeight="1" spans="1:24">
      <c r="A2282" s="34"/>
      <c r="B2282" s="51"/>
      <c r="C2282" s="51"/>
      <c r="D2282" s="52"/>
      <c r="E2282" s="53"/>
      <c r="F2282" s="54"/>
      <c r="G2282" s="54"/>
      <c r="H2282" s="54"/>
      <c r="I2282" s="66"/>
      <c r="J2282" s="54"/>
      <c r="K2282" s="54"/>
      <c r="L2282" s="54"/>
      <c r="M2282" s="97" t="str">
        <f t="shared" si="202"/>
        <v/>
      </c>
      <c r="N2282" s="70"/>
      <c r="O2282" s="71" t="str">
        <f t="shared" si="201"/>
        <v/>
      </c>
      <c r="P2282" s="66"/>
      <c r="Q2282" s="66"/>
      <c r="R2282" s="54"/>
      <c r="S2282" s="82"/>
      <c r="T2282" s="83" t="str">
        <f t="shared" si="203"/>
        <v/>
      </c>
      <c r="U2282" s="10"/>
      <c r="V2282" s="41">
        <f>IF(AND(Q2282&lt;&gt;"",RIGHT(Q2282,3)&lt;&gt;""),IF(COUNTIF($Q$6:Q2282,Q2282)=1,1,0),0)</f>
        <v>0</v>
      </c>
      <c r="W2282" s="41" t="str">
        <f t="shared" si="204"/>
        <v/>
      </c>
      <c r="X2282" s="41" t="str">
        <f t="shared" si="205"/>
        <v/>
      </c>
    </row>
    <row r="2283" s="32" customFormat="1" hidden="1" customHeight="1" spans="1:24">
      <c r="A2283" s="34"/>
      <c r="B2283" s="51"/>
      <c r="C2283" s="51"/>
      <c r="D2283" s="52"/>
      <c r="E2283" s="53"/>
      <c r="F2283" s="54"/>
      <c r="G2283" s="54"/>
      <c r="H2283" s="54"/>
      <c r="I2283" s="66"/>
      <c r="J2283" s="54"/>
      <c r="K2283" s="54"/>
      <c r="L2283" s="54"/>
      <c r="M2283" s="97" t="str">
        <f t="shared" si="202"/>
        <v/>
      </c>
      <c r="N2283" s="70"/>
      <c r="O2283" s="71" t="str">
        <f t="shared" si="201"/>
        <v/>
      </c>
      <c r="P2283" s="66"/>
      <c r="Q2283" s="66"/>
      <c r="R2283" s="54"/>
      <c r="S2283" s="82"/>
      <c r="T2283" s="83" t="str">
        <f t="shared" si="203"/>
        <v/>
      </c>
      <c r="U2283" s="10"/>
      <c r="V2283" s="41">
        <f>IF(AND(Q2283&lt;&gt;"",RIGHT(Q2283,3)&lt;&gt;""),IF(COUNTIF($Q$6:Q2283,Q2283)=1,1,0),0)</f>
        <v>0</v>
      </c>
      <c r="W2283" s="41" t="str">
        <f t="shared" si="204"/>
        <v/>
      </c>
      <c r="X2283" s="41" t="str">
        <f t="shared" si="205"/>
        <v/>
      </c>
    </row>
    <row r="2284" s="32" customFormat="1" hidden="1" customHeight="1" spans="1:24">
      <c r="A2284" s="34"/>
      <c r="B2284" s="51"/>
      <c r="C2284" s="51"/>
      <c r="D2284" s="52"/>
      <c r="E2284" s="53"/>
      <c r="F2284" s="54"/>
      <c r="G2284" s="54"/>
      <c r="H2284" s="54"/>
      <c r="I2284" s="66"/>
      <c r="J2284" s="54"/>
      <c r="K2284" s="54"/>
      <c r="L2284" s="54"/>
      <c r="M2284" s="97" t="str">
        <f t="shared" si="202"/>
        <v/>
      </c>
      <c r="N2284" s="70"/>
      <c r="O2284" s="71" t="str">
        <f t="shared" si="201"/>
        <v/>
      </c>
      <c r="P2284" s="66"/>
      <c r="Q2284" s="66"/>
      <c r="R2284" s="54"/>
      <c r="S2284" s="82"/>
      <c r="T2284" s="83" t="str">
        <f t="shared" si="203"/>
        <v/>
      </c>
      <c r="U2284" s="10"/>
      <c r="V2284" s="41">
        <f>IF(AND(Q2284&lt;&gt;"",RIGHT(Q2284,3)&lt;&gt;""),IF(COUNTIF($Q$6:Q2284,Q2284)=1,1,0),0)</f>
        <v>0</v>
      </c>
      <c r="W2284" s="41" t="str">
        <f t="shared" si="204"/>
        <v/>
      </c>
      <c r="X2284" s="41" t="str">
        <f t="shared" si="205"/>
        <v/>
      </c>
    </row>
    <row r="2285" s="32" customFormat="1" hidden="1" customHeight="1" spans="1:24">
      <c r="A2285" s="34"/>
      <c r="B2285" s="51"/>
      <c r="C2285" s="51"/>
      <c r="D2285" s="52"/>
      <c r="E2285" s="53"/>
      <c r="F2285" s="54"/>
      <c r="G2285" s="54"/>
      <c r="H2285" s="54"/>
      <c r="I2285" s="66"/>
      <c r="J2285" s="54"/>
      <c r="K2285" s="54"/>
      <c r="L2285" s="54"/>
      <c r="M2285" s="97" t="str">
        <f t="shared" si="202"/>
        <v/>
      </c>
      <c r="N2285" s="70"/>
      <c r="O2285" s="71" t="str">
        <f t="shared" si="201"/>
        <v/>
      </c>
      <c r="P2285" s="66"/>
      <c r="Q2285" s="66"/>
      <c r="R2285" s="54"/>
      <c r="S2285" s="82"/>
      <c r="T2285" s="83" t="str">
        <f t="shared" si="203"/>
        <v/>
      </c>
      <c r="U2285" s="10"/>
      <c r="V2285" s="41">
        <f>IF(AND(Q2285&lt;&gt;"",RIGHT(Q2285,3)&lt;&gt;""),IF(COUNTIF($Q$6:Q2285,Q2285)=1,1,0),0)</f>
        <v>0</v>
      </c>
      <c r="W2285" s="41" t="str">
        <f t="shared" si="204"/>
        <v/>
      </c>
      <c r="X2285" s="41" t="str">
        <f t="shared" si="205"/>
        <v/>
      </c>
    </row>
    <row r="2286" s="32" customFormat="1" hidden="1" customHeight="1" spans="1:24">
      <c r="A2286" s="34"/>
      <c r="B2286" s="51"/>
      <c r="C2286" s="51"/>
      <c r="D2286" s="52"/>
      <c r="E2286" s="53"/>
      <c r="F2286" s="54"/>
      <c r="G2286" s="54"/>
      <c r="H2286" s="54"/>
      <c r="I2286" s="66"/>
      <c r="J2286" s="54"/>
      <c r="K2286" s="54"/>
      <c r="L2286" s="54"/>
      <c r="M2286" s="97" t="str">
        <f t="shared" si="202"/>
        <v/>
      </c>
      <c r="N2286" s="70"/>
      <c r="O2286" s="71" t="str">
        <f t="shared" si="201"/>
        <v/>
      </c>
      <c r="P2286" s="66"/>
      <c r="Q2286" s="66"/>
      <c r="R2286" s="54"/>
      <c r="S2286" s="82"/>
      <c r="T2286" s="83" t="str">
        <f t="shared" si="203"/>
        <v/>
      </c>
      <c r="U2286" s="10"/>
      <c r="V2286" s="41">
        <f>IF(AND(Q2286&lt;&gt;"",RIGHT(Q2286,3)&lt;&gt;""),IF(COUNTIF($Q$6:Q2286,Q2286)=1,1,0),0)</f>
        <v>0</v>
      </c>
      <c r="W2286" s="41" t="str">
        <f t="shared" si="204"/>
        <v/>
      </c>
      <c r="X2286" s="41" t="str">
        <f t="shared" si="205"/>
        <v/>
      </c>
    </row>
    <row r="2287" s="32" customFormat="1" hidden="1" customHeight="1" spans="1:24">
      <c r="A2287" s="34"/>
      <c r="B2287" s="51"/>
      <c r="C2287" s="51"/>
      <c r="D2287" s="52"/>
      <c r="E2287" s="53"/>
      <c r="F2287" s="54"/>
      <c r="G2287" s="54"/>
      <c r="H2287" s="54"/>
      <c r="I2287" s="66"/>
      <c r="J2287" s="54"/>
      <c r="K2287" s="54"/>
      <c r="L2287" s="54"/>
      <c r="M2287" s="97" t="str">
        <f t="shared" si="202"/>
        <v/>
      </c>
      <c r="N2287" s="70"/>
      <c r="O2287" s="71" t="str">
        <f t="shared" si="201"/>
        <v/>
      </c>
      <c r="P2287" s="66"/>
      <c r="Q2287" s="66"/>
      <c r="R2287" s="54"/>
      <c r="S2287" s="82"/>
      <c r="T2287" s="83" t="str">
        <f t="shared" si="203"/>
        <v/>
      </c>
      <c r="U2287" s="10"/>
      <c r="V2287" s="41">
        <f>IF(AND(Q2287&lt;&gt;"",RIGHT(Q2287,3)&lt;&gt;""),IF(COUNTIF($Q$6:Q2287,Q2287)=1,1,0),0)</f>
        <v>0</v>
      </c>
      <c r="W2287" s="41" t="str">
        <f t="shared" si="204"/>
        <v/>
      </c>
      <c r="X2287" s="41" t="str">
        <f t="shared" si="205"/>
        <v/>
      </c>
    </row>
    <row r="2288" s="32" customFormat="1" hidden="1" customHeight="1" spans="1:24">
      <c r="A2288" s="34"/>
      <c r="B2288" s="51"/>
      <c r="C2288" s="51"/>
      <c r="D2288" s="52"/>
      <c r="E2288" s="53"/>
      <c r="F2288" s="54"/>
      <c r="G2288" s="54"/>
      <c r="H2288" s="54"/>
      <c r="I2288" s="66"/>
      <c r="J2288" s="54"/>
      <c r="K2288" s="54"/>
      <c r="L2288" s="54"/>
      <c r="M2288" s="97" t="str">
        <f t="shared" si="202"/>
        <v/>
      </c>
      <c r="N2288" s="70"/>
      <c r="O2288" s="71" t="str">
        <f t="shared" si="201"/>
        <v/>
      </c>
      <c r="P2288" s="66"/>
      <c r="Q2288" s="66"/>
      <c r="R2288" s="54"/>
      <c r="S2288" s="82"/>
      <c r="T2288" s="83" t="str">
        <f t="shared" si="203"/>
        <v/>
      </c>
      <c r="U2288" s="10"/>
      <c r="V2288" s="41">
        <f>IF(AND(Q2288&lt;&gt;"",RIGHT(Q2288,3)&lt;&gt;""),IF(COUNTIF($Q$6:Q2288,Q2288)=1,1,0),0)</f>
        <v>0</v>
      </c>
      <c r="W2288" s="41" t="str">
        <f t="shared" si="204"/>
        <v/>
      </c>
      <c r="X2288" s="41" t="str">
        <f t="shared" si="205"/>
        <v/>
      </c>
    </row>
    <row r="2289" s="32" customFormat="1" hidden="1" customHeight="1" spans="1:24">
      <c r="A2289" s="34"/>
      <c r="B2289" s="51"/>
      <c r="C2289" s="51"/>
      <c r="D2289" s="52"/>
      <c r="E2289" s="53"/>
      <c r="F2289" s="54"/>
      <c r="G2289" s="54"/>
      <c r="H2289" s="54"/>
      <c r="I2289" s="66"/>
      <c r="J2289" s="54"/>
      <c r="K2289" s="54"/>
      <c r="L2289" s="54"/>
      <c r="M2289" s="97" t="str">
        <f t="shared" si="202"/>
        <v/>
      </c>
      <c r="N2289" s="70"/>
      <c r="O2289" s="71" t="str">
        <f t="shared" ref="O2289:O2352" si="206">IF(AND(Q2289&lt;&gt;"",T2289&lt;&gt;""),"PASSIVE",IF(AND(J2289&lt;&gt;"",M2289&lt;&gt;""),"ACTIVE",""))</f>
        <v/>
      </c>
      <c r="P2289" s="66"/>
      <c r="Q2289" s="66"/>
      <c r="R2289" s="54"/>
      <c r="S2289" s="82"/>
      <c r="T2289" s="83" t="str">
        <f t="shared" si="203"/>
        <v/>
      </c>
      <c r="U2289" s="10"/>
      <c r="V2289" s="41">
        <f>IF(AND(Q2289&lt;&gt;"",RIGHT(Q2289,3)&lt;&gt;""),IF(COUNTIF($Q$6:Q2289,Q2289)=1,1,0),0)</f>
        <v>0</v>
      </c>
      <c r="W2289" s="41" t="str">
        <f t="shared" si="204"/>
        <v/>
      </c>
      <c r="X2289" s="41" t="str">
        <f t="shared" si="205"/>
        <v/>
      </c>
    </row>
    <row r="2290" s="32" customFormat="1" hidden="1" customHeight="1" spans="1:24">
      <c r="A2290" s="34"/>
      <c r="B2290" s="51"/>
      <c r="C2290" s="51"/>
      <c r="D2290" s="52"/>
      <c r="E2290" s="53"/>
      <c r="F2290" s="54"/>
      <c r="G2290" s="54"/>
      <c r="H2290" s="54"/>
      <c r="I2290" s="66"/>
      <c r="J2290" s="54"/>
      <c r="K2290" s="54"/>
      <c r="L2290" s="54"/>
      <c r="M2290" s="97" t="str">
        <f t="shared" si="202"/>
        <v/>
      </c>
      <c r="N2290" s="70"/>
      <c r="O2290" s="71" t="str">
        <f t="shared" si="206"/>
        <v/>
      </c>
      <c r="P2290" s="66"/>
      <c r="Q2290" s="66"/>
      <c r="R2290" s="54"/>
      <c r="S2290" s="82"/>
      <c r="T2290" s="83" t="str">
        <f t="shared" si="203"/>
        <v/>
      </c>
      <c r="U2290" s="10"/>
      <c r="V2290" s="41">
        <f>IF(AND(Q2290&lt;&gt;"",RIGHT(Q2290,3)&lt;&gt;""),IF(COUNTIF($Q$6:Q2290,Q2290)=1,1,0),0)</f>
        <v>0</v>
      </c>
      <c r="W2290" s="41" t="str">
        <f t="shared" si="204"/>
        <v/>
      </c>
      <c r="X2290" s="41" t="str">
        <f t="shared" si="205"/>
        <v/>
      </c>
    </row>
    <row r="2291" s="32" customFormat="1" hidden="1" customHeight="1" spans="1:24">
      <c r="A2291" s="34"/>
      <c r="B2291" s="51"/>
      <c r="C2291" s="51"/>
      <c r="D2291" s="52"/>
      <c r="E2291" s="53"/>
      <c r="F2291" s="54"/>
      <c r="G2291" s="54"/>
      <c r="H2291" s="54"/>
      <c r="I2291" s="66"/>
      <c r="J2291" s="54"/>
      <c r="K2291" s="54"/>
      <c r="L2291" s="54"/>
      <c r="M2291" s="97" t="str">
        <f t="shared" si="202"/>
        <v/>
      </c>
      <c r="N2291" s="70"/>
      <c r="O2291" s="71" t="str">
        <f t="shared" si="206"/>
        <v/>
      </c>
      <c r="P2291" s="66"/>
      <c r="Q2291" s="66"/>
      <c r="R2291" s="54"/>
      <c r="S2291" s="82"/>
      <c r="T2291" s="83" t="str">
        <f t="shared" si="203"/>
        <v/>
      </c>
      <c r="U2291" s="10"/>
      <c r="V2291" s="41">
        <f>IF(AND(Q2291&lt;&gt;"",RIGHT(Q2291,3)&lt;&gt;""),IF(COUNTIF($Q$6:Q2291,Q2291)=1,1,0),0)</f>
        <v>0</v>
      </c>
      <c r="W2291" s="41" t="str">
        <f t="shared" si="204"/>
        <v/>
      </c>
      <c r="X2291" s="41" t="str">
        <f t="shared" si="205"/>
        <v/>
      </c>
    </row>
    <row r="2292" s="32" customFormat="1" hidden="1" customHeight="1" spans="1:24">
      <c r="A2292" s="34"/>
      <c r="B2292" s="51"/>
      <c r="C2292" s="51"/>
      <c r="D2292" s="52"/>
      <c r="E2292" s="53"/>
      <c r="F2292" s="54"/>
      <c r="G2292" s="54"/>
      <c r="H2292" s="54"/>
      <c r="I2292" s="66"/>
      <c r="J2292" s="54"/>
      <c r="K2292" s="54"/>
      <c r="L2292" s="54"/>
      <c r="M2292" s="97" t="str">
        <f t="shared" si="202"/>
        <v/>
      </c>
      <c r="N2292" s="70"/>
      <c r="O2292" s="71" t="str">
        <f t="shared" si="206"/>
        <v/>
      </c>
      <c r="P2292" s="66"/>
      <c r="Q2292" s="66"/>
      <c r="R2292" s="54"/>
      <c r="S2292" s="82"/>
      <c r="T2292" s="83" t="str">
        <f t="shared" si="203"/>
        <v/>
      </c>
      <c r="U2292" s="10"/>
      <c r="V2292" s="41">
        <f>IF(AND(Q2292&lt;&gt;"",RIGHT(Q2292,3)&lt;&gt;""),IF(COUNTIF($Q$6:Q2292,Q2292)=1,1,0),0)</f>
        <v>0</v>
      </c>
      <c r="W2292" s="41" t="str">
        <f t="shared" si="204"/>
        <v/>
      </c>
      <c r="X2292" s="41" t="str">
        <f t="shared" si="205"/>
        <v/>
      </c>
    </row>
    <row r="2293" s="32" customFormat="1" hidden="1" customHeight="1" spans="1:24">
      <c r="A2293" s="34"/>
      <c r="B2293" s="51"/>
      <c r="C2293" s="51"/>
      <c r="D2293" s="52"/>
      <c r="E2293" s="53"/>
      <c r="F2293" s="54"/>
      <c r="G2293" s="54"/>
      <c r="H2293" s="54"/>
      <c r="I2293" s="66"/>
      <c r="J2293" s="54"/>
      <c r="K2293" s="54"/>
      <c r="L2293" s="54"/>
      <c r="M2293" s="97" t="str">
        <f t="shared" si="202"/>
        <v/>
      </c>
      <c r="N2293" s="70"/>
      <c r="O2293" s="71" t="str">
        <f t="shared" si="206"/>
        <v/>
      </c>
      <c r="P2293" s="66"/>
      <c r="Q2293" s="66"/>
      <c r="R2293" s="54"/>
      <c r="S2293" s="82"/>
      <c r="T2293" s="83" t="str">
        <f t="shared" si="203"/>
        <v/>
      </c>
      <c r="U2293" s="10"/>
      <c r="V2293" s="41">
        <f>IF(AND(Q2293&lt;&gt;"",RIGHT(Q2293,3)&lt;&gt;""),IF(COUNTIF($Q$6:Q2293,Q2293)=1,1,0),0)</f>
        <v>0</v>
      </c>
      <c r="W2293" s="41" t="str">
        <f t="shared" si="204"/>
        <v/>
      </c>
      <c r="X2293" s="41" t="str">
        <f t="shared" si="205"/>
        <v/>
      </c>
    </row>
    <row r="2294" s="32" customFormat="1" hidden="1" customHeight="1" spans="1:24">
      <c r="A2294" s="34"/>
      <c r="B2294" s="51"/>
      <c r="C2294" s="51"/>
      <c r="D2294" s="52"/>
      <c r="E2294" s="53"/>
      <c r="F2294" s="54"/>
      <c r="G2294" s="54"/>
      <c r="H2294" s="54"/>
      <c r="I2294" s="66"/>
      <c r="J2294" s="54"/>
      <c r="K2294" s="54"/>
      <c r="L2294" s="54"/>
      <c r="M2294" s="97" t="str">
        <f t="shared" si="202"/>
        <v/>
      </c>
      <c r="N2294" s="70"/>
      <c r="O2294" s="71" t="str">
        <f t="shared" si="206"/>
        <v/>
      </c>
      <c r="P2294" s="66"/>
      <c r="Q2294" s="66"/>
      <c r="R2294" s="54"/>
      <c r="S2294" s="82"/>
      <c r="T2294" s="83" t="str">
        <f t="shared" si="203"/>
        <v/>
      </c>
      <c r="U2294" s="10"/>
      <c r="V2294" s="41">
        <f>IF(AND(Q2294&lt;&gt;"",RIGHT(Q2294,3)&lt;&gt;""),IF(COUNTIF($Q$6:Q2294,Q2294)=1,1,0),0)</f>
        <v>0</v>
      </c>
      <c r="W2294" s="41" t="str">
        <f t="shared" si="204"/>
        <v/>
      </c>
      <c r="X2294" s="41" t="str">
        <f t="shared" si="205"/>
        <v/>
      </c>
    </row>
    <row r="2295" s="32" customFormat="1" hidden="1" customHeight="1" spans="1:24">
      <c r="A2295" s="34"/>
      <c r="B2295" s="51"/>
      <c r="C2295" s="51"/>
      <c r="D2295" s="52"/>
      <c r="E2295" s="53"/>
      <c r="F2295" s="54"/>
      <c r="G2295" s="54"/>
      <c r="H2295" s="54"/>
      <c r="I2295" s="66"/>
      <c r="J2295" s="54"/>
      <c r="K2295" s="54"/>
      <c r="L2295" s="54"/>
      <c r="M2295" s="97" t="str">
        <f t="shared" si="202"/>
        <v/>
      </c>
      <c r="N2295" s="70"/>
      <c r="O2295" s="71" t="str">
        <f t="shared" si="206"/>
        <v/>
      </c>
      <c r="P2295" s="66"/>
      <c r="Q2295" s="66"/>
      <c r="R2295" s="54"/>
      <c r="S2295" s="82"/>
      <c r="T2295" s="83" t="str">
        <f t="shared" si="203"/>
        <v/>
      </c>
      <c r="U2295" s="10"/>
      <c r="V2295" s="41">
        <f>IF(AND(Q2295&lt;&gt;"",RIGHT(Q2295,3)&lt;&gt;""),IF(COUNTIF($Q$6:Q2295,Q2295)=1,1,0),0)</f>
        <v>0</v>
      </c>
      <c r="W2295" s="41" t="str">
        <f t="shared" si="204"/>
        <v/>
      </c>
      <c r="X2295" s="41" t="str">
        <f t="shared" si="205"/>
        <v/>
      </c>
    </row>
    <row r="2296" s="32" customFormat="1" hidden="1" customHeight="1" spans="1:24">
      <c r="A2296" s="34"/>
      <c r="B2296" s="51"/>
      <c r="C2296" s="51"/>
      <c r="D2296" s="52"/>
      <c r="E2296" s="53"/>
      <c r="F2296" s="54"/>
      <c r="G2296" s="54"/>
      <c r="H2296" s="54"/>
      <c r="I2296" s="66"/>
      <c r="J2296" s="54"/>
      <c r="K2296" s="54"/>
      <c r="L2296" s="54"/>
      <c r="M2296" s="97" t="str">
        <f t="shared" si="202"/>
        <v/>
      </c>
      <c r="N2296" s="70"/>
      <c r="O2296" s="71" t="str">
        <f t="shared" si="206"/>
        <v/>
      </c>
      <c r="P2296" s="66"/>
      <c r="Q2296" s="66"/>
      <c r="R2296" s="54"/>
      <c r="S2296" s="82"/>
      <c r="T2296" s="83" t="str">
        <f t="shared" si="203"/>
        <v/>
      </c>
      <c r="U2296" s="10"/>
      <c r="V2296" s="41">
        <f>IF(AND(Q2296&lt;&gt;"",RIGHT(Q2296,3)&lt;&gt;""),IF(COUNTIF($Q$6:Q2296,Q2296)=1,1,0),0)</f>
        <v>0</v>
      </c>
      <c r="W2296" s="41" t="str">
        <f t="shared" si="204"/>
        <v/>
      </c>
      <c r="X2296" s="41" t="str">
        <f t="shared" si="205"/>
        <v/>
      </c>
    </row>
    <row r="2297" s="32" customFormat="1" hidden="1" customHeight="1" spans="1:24">
      <c r="A2297" s="34"/>
      <c r="B2297" s="51"/>
      <c r="C2297" s="51"/>
      <c r="D2297" s="52"/>
      <c r="E2297" s="53"/>
      <c r="F2297" s="54"/>
      <c r="G2297" s="54"/>
      <c r="H2297" s="54"/>
      <c r="I2297" s="66"/>
      <c r="J2297" s="54"/>
      <c r="K2297" s="54"/>
      <c r="L2297" s="54"/>
      <c r="M2297" s="97" t="str">
        <f t="shared" si="202"/>
        <v/>
      </c>
      <c r="N2297" s="70"/>
      <c r="O2297" s="71" t="str">
        <f t="shared" si="206"/>
        <v/>
      </c>
      <c r="P2297" s="66"/>
      <c r="Q2297" s="66"/>
      <c r="R2297" s="54"/>
      <c r="S2297" s="82"/>
      <c r="T2297" s="83" t="str">
        <f t="shared" si="203"/>
        <v/>
      </c>
      <c r="U2297" s="10"/>
      <c r="V2297" s="41">
        <f>IF(AND(Q2297&lt;&gt;"",RIGHT(Q2297,3)&lt;&gt;""),IF(COUNTIF($Q$6:Q2297,Q2297)=1,1,0),0)</f>
        <v>0</v>
      </c>
      <c r="W2297" s="41" t="str">
        <f t="shared" si="204"/>
        <v/>
      </c>
      <c r="X2297" s="41" t="str">
        <f t="shared" si="205"/>
        <v/>
      </c>
    </row>
    <row r="2298" s="32" customFormat="1" hidden="1" customHeight="1" spans="1:24">
      <c r="A2298" s="34"/>
      <c r="B2298" s="51"/>
      <c r="C2298" s="51"/>
      <c r="D2298" s="52"/>
      <c r="E2298" s="53"/>
      <c r="F2298" s="54"/>
      <c r="G2298" s="54"/>
      <c r="H2298" s="54"/>
      <c r="I2298" s="66"/>
      <c r="J2298" s="54"/>
      <c r="K2298" s="54"/>
      <c r="L2298" s="54"/>
      <c r="M2298" s="97" t="str">
        <f t="shared" si="202"/>
        <v/>
      </c>
      <c r="N2298" s="70"/>
      <c r="O2298" s="71" t="str">
        <f t="shared" si="206"/>
        <v/>
      </c>
      <c r="P2298" s="66"/>
      <c r="Q2298" s="66"/>
      <c r="R2298" s="54"/>
      <c r="S2298" s="82"/>
      <c r="T2298" s="83" t="str">
        <f t="shared" si="203"/>
        <v/>
      </c>
      <c r="U2298" s="10"/>
      <c r="V2298" s="41">
        <f>IF(AND(Q2298&lt;&gt;"",RIGHT(Q2298,3)&lt;&gt;""),IF(COUNTIF($Q$6:Q2298,Q2298)=1,1,0),0)</f>
        <v>0</v>
      </c>
      <c r="W2298" s="41" t="str">
        <f t="shared" si="204"/>
        <v/>
      </c>
      <c r="X2298" s="41" t="str">
        <f t="shared" si="205"/>
        <v/>
      </c>
    </row>
    <row r="2299" s="32" customFormat="1" hidden="1" customHeight="1" spans="1:24">
      <c r="A2299" s="34"/>
      <c r="B2299" s="51"/>
      <c r="C2299" s="51"/>
      <c r="D2299" s="52"/>
      <c r="E2299" s="53"/>
      <c r="F2299" s="54"/>
      <c r="G2299" s="54"/>
      <c r="H2299" s="54"/>
      <c r="I2299" s="66"/>
      <c r="J2299" s="54"/>
      <c r="K2299" s="54"/>
      <c r="L2299" s="54"/>
      <c r="M2299" s="97" t="str">
        <f t="shared" si="202"/>
        <v/>
      </c>
      <c r="N2299" s="70"/>
      <c r="O2299" s="71" t="str">
        <f t="shared" si="206"/>
        <v/>
      </c>
      <c r="P2299" s="66"/>
      <c r="Q2299" s="66"/>
      <c r="R2299" s="54"/>
      <c r="S2299" s="82"/>
      <c r="T2299" s="83" t="str">
        <f t="shared" si="203"/>
        <v/>
      </c>
      <c r="U2299" s="10"/>
      <c r="V2299" s="41">
        <f>IF(AND(Q2299&lt;&gt;"",RIGHT(Q2299,3)&lt;&gt;""),IF(COUNTIF($Q$6:Q2299,Q2299)=1,1,0),0)</f>
        <v>0</v>
      </c>
      <c r="W2299" s="41" t="str">
        <f t="shared" si="204"/>
        <v/>
      </c>
      <c r="X2299" s="41" t="str">
        <f t="shared" si="205"/>
        <v/>
      </c>
    </row>
    <row r="2300" s="32" customFormat="1" hidden="1" customHeight="1" spans="1:24">
      <c r="A2300" s="34"/>
      <c r="B2300" s="51"/>
      <c r="C2300" s="51"/>
      <c r="D2300" s="52"/>
      <c r="E2300" s="53"/>
      <c r="F2300" s="54"/>
      <c r="G2300" s="54"/>
      <c r="H2300" s="54"/>
      <c r="I2300" s="66"/>
      <c r="J2300" s="54"/>
      <c r="K2300" s="54"/>
      <c r="L2300" s="54"/>
      <c r="M2300" s="97" t="str">
        <f t="shared" si="202"/>
        <v/>
      </c>
      <c r="N2300" s="70"/>
      <c r="O2300" s="71" t="str">
        <f t="shared" si="206"/>
        <v/>
      </c>
      <c r="P2300" s="66"/>
      <c r="Q2300" s="66"/>
      <c r="R2300" s="54"/>
      <c r="S2300" s="82"/>
      <c r="T2300" s="83" t="str">
        <f t="shared" si="203"/>
        <v/>
      </c>
      <c r="U2300" s="10"/>
      <c r="V2300" s="41">
        <f>IF(AND(Q2300&lt;&gt;"",RIGHT(Q2300,3)&lt;&gt;""),IF(COUNTIF($Q$6:Q2300,Q2300)=1,1,0),0)</f>
        <v>0</v>
      </c>
      <c r="W2300" s="41" t="str">
        <f t="shared" si="204"/>
        <v/>
      </c>
      <c r="X2300" s="41" t="str">
        <f t="shared" si="205"/>
        <v/>
      </c>
    </row>
    <row r="2301" s="32" customFormat="1" hidden="1" customHeight="1" spans="1:24">
      <c r="A2301" s="34"/>
      <c r="B2301" s="51"/>
      <c r="C2301" s="51"/>
      <c r="D2301" s="52"/>
      <c r="E2301" s="53"/>
      <c r="F2301" s="54"/>
      <c r="G2301" s="54"/>
      <c r="H2301" s="54"/>
      <c r="I2301" s="66"/>
      <c r="J2301" s="54"/>
      <c r="K2301" s="54"/>
      <c r="L2301" s="54"/>
      <c r="M2301" s="97" t="str">
        <f t="shared" si="202"/>
        <v/>
      </c>
      <c r="N2301" s="70"/>
      <c r="O2301" s="71" t="str">
        <f t="shared" si="206"/>
        <v/>
      </c>
      <c r="P2301" s="66"/>
      <c r="Q2301" s="66"/>
      <c r="R2301" s="54"/>
      <c r="S2301" s="82"/>
      <c r="T2301" s="83" t="str">
        <f t="shared" si="203"/>
        <v/>
      </c>
      <c r="U2301" s="10"/>
      <c r="V2301" s="41">
        <f>IF(AND(Q2301&lt;&gt;"",RIGHT(Q2301,3)&lt;&gt;""),IF(COUNTIF($Q$6:Q2301,Q2301)=1,1,0),0)</f>
        <v>0</v>
      </c>
      <c r="W2301" s="41" t="str">
        <f t="shared" si="204"/>
        <v/>
      </c>
      <c r="X2301" s="41" t="str">
        <f t="shared" si="205"/>
        <v/>
      </c>
    </row>
    <row r="2302" s="32" customFormat="1" hidden="1" customHeight="1" spans="1:24">
      <c r="A2302" s="34"/>
      <c r="B2302" s="51"/>
      <c r="C2302" s="51"/>
      <c r="D2302" s="52"/>
      <c r="E2302" s="53"/>
      <c r="F2302" s="54"/>
      <c r="G2302" s="54"/>
      <c r="H2302" s="54"/>
      <c r="I2302" s="66"/>
      <c r="J2302" s="54"/>
      <c r="K2302" s="54"/>
      <c r="L2302" s="54"/>
      <c r="M2302" s="97" t="str">
        <f t="shared" si="202"/>
        <v/>
      </c>
      <c r="N2302" s="70"/>
      <c r="O2302" s="71" t="str">
        <f t="shared" si="206"/>
        <v/>
      </c>
      <c r="P2302" s="66"/>
      <c r="Q2302" s="66"/>
      <c r="R2302" s="54"/>
      <c r="S2302" s="82"/>
      <c r="T2302" s="83" t="str">
        <f t="shared" si="203"/>
        <v/>
      </c>
      <c r="U2302" s="10"/>
      <c r="V2302" s="41">
        <f>IF(AND(Q2302&lt;&gt;"",RIGHT(Q2302,3)&lt;&gt;""),IF(COUNTIF($Q$6:Q2302,Q2302)=1,1,0),0)</f>
        <v>0</v>
      </c>
      <c r="W2302" s="41" t="str">
        <f t="shared" si="204"/>
        <v/>
      </c>
      <c r="X2302" s="41" t="str">
        <f t="shared" si="205"/>
        <v/>
      </c>
    </row>
    <row r="2303" s="32" customFormat="1" hidden="1" customHeight="1" spans="1:24">
      <c r="A2303" s="34"/>
      <c r="B2303" s="51"/>
      <c r="C2303" s="51"/>
      <c r="D2303" s="52"/>
      <c r="E2303" s="53"/>
      <c r="F2303" s="54"/>
      <c r="G2303" s="54"/>
      <c r="H2303" s="54"/>
      <c r="I2303" s="66"/>
      <c r="J2303" s="54"/>
      <c r="K2303" s="54"/>
      <c r="L2303" s="54"/>
      <c r="M2303" s="97" t="str">
        <f t="shared" si="202"/>
        <v/>
      </c>
      <c r="N2303" s="70"/>
      <c r="O2303" s="71" t="str">
        <f t="shared" si="206"/>
        <v/>
      </c>
      <c r="P2303" s="66"/>
      <c r="Q2303" s="66"/>
      <c r="R2303" s="54"/>
      <c r="S2303" s="82"/>
      <c r="T2303" s="83" t="str">
        <f t="shared" si="203"/>
        <v/>
      </c>
      <c r="U2303" s="10"/>
      <c r="V2303" s="41">
        <f>IF(AND(Q2303&lt;&gt;"",RIGHT(Q2303,3)&lt;&gt;""),IF(COUNTIF($Q$6:Q2303,Q2303)=1,1,0),0)</f>
        <v>0</v>
      </c>
      <c r="W2303" s="41" t="str">
        <f t="shared" si="204"/>
        <v/>
      </c>
      <c r="X2303" s="41" t="str">
        <f t="shared" si="205"/>
        <v/>
      </c>
    </row>
    <row r="2304" s="32" customFormat="1" hidden="1" customHeight="1" spans="1:24">
      <c r="A2304" s="34"/>
      <c r="B2304" s="51"/>
      <c r="C2304" s="51"/>
      <c r="D2304" s="52"/>
      <c r="E2304" s="53"/>
      <c r="F2304" s="54"/>
      <c r="G2304" s="54"/>
      <c r="H2304" s="54"/>
      <c r="I2304" s="66"/>
      <c r="J2304" s="54"/>
      <c r="K2304" s="54"/>
      <c r="L2304" s="54"/>
      <c r="M2304" s="97" t="str">
        <f t="shared" si="202"/>
        <v/>
      </c>
      <c r="N2304" s="70"/>
      <c r="O2304" s="71" t="str">
        <f t="shared" si="206"/>
        <v/>
      </c>
      <c r="P2304" s="66"/>
      <c r="Q2304" s="66"/>
      <c r="R2304" s="54"/>
      <c r="S2304" s="82"/>
      <c r="T2304" s="83" t="str">
        <f t="shared" si="203"/>
        <v/>
      </c>
      <c r="U2304" s="10"/>
      <c r="V2304" s="41">
        <f>IF(AND(Q2304&lt;&gt;"",RIGHT(Q2304,3)&lt;&gt;""),IF(COUNTIF($Q$6:Q2304,Q2304)=1,1,0),0)</f>
        <v>0</v>
      </c>
      <c r="W2304" s="41" t="str">
        <f t="shared" si="204"/>
        <v/>
      </c>
      <c r="X2304" s="41" t="str">
        <f t="shared" si="205"/>
        <v/>
      </c>
    </row>
    <row r="2305" s="32" customFormat="1" hidden="1" customHeight="1" spans="1:24">
      <c r="A2305" s="34"/>
      <c r="B2305" s="51"/>
      <c r="C2305" s="51"/>
      <c r="D2305" s="52"/>
      <c r="E2305" s="53"/>
      <c r="F2305" s="54"/>
      <c r="G2305" s="54"/>
      <c r="H2305" s="54"/>
      <c r="I2305" s="66"/>
      <c r="J2305" s="54"/>
      <c r="K2305" s="54"/>
      <c r="L2305" s="54"/>
      <c r="M2305" s="97" t="str">
        <f t="shared" si="202"/>
        <v/>
      </c>
      <c r="N2305" s="70"/>
      <c r="O2305" s="71" t="str">
        <f t="shared" si="206"/>
        <v/>
      </c>
      <c r="P2305" s="66"/>
      <c r="Q2305" s="66"/>
      <c r="R2305" s="54"/>
      <c r="S2305" s="82"/>
      <c r="T2305" s="83" t="str">
        <f t="shared" si="203"/>
        <v/>
      </c>
      <c r="U2305" s="10"/>
      <c r="V2305" s="41">
        <f>IF(AND(Q2305&lt;&gt;"",RIGHT(Q2305,3)&lt;&gt;""),IF(COUNTIF($Q$6:Q2305,Q2305)=1,1,0),0)</f>
        <v>0</v>
      </c>
      <c r="W2305" s="41" t="str">
        <f t="shared" si="204"/>
        <v/>
      </c>
      <c r="X2305" s="41" t="str">
        <f t="shared" si="205"/>
        <v/>
      </c>
    </row>
    <row r="2306" s="32" customFormat="1" hidden="1" customHeight="1" spans="1:24">
      <c r="A2306" s="34"/>
      <c r="B2306" s="51"/>
      <c r="C2306" s="51"/>
      <c r="D2306" s="52"/>
      <c r="E2306" s="53"/>
      <c r="F2306" s="54"/>
      <c r="G2306" s="54"/>
      <c r="H2306" s="54"/>
      <c r="I2306" s="66"/>
      <c r="J2306" s="54"/>
      <c r="K2306" s="54"/>
      <c r="L2306" s="54"/>
      <c r="M2306" s="97" t="str">
        <f t="shared" si="202"/>
        <v/>
      </c>
      <c r="N2306" s="70"/>
      <c r="O2306" s="71" t="str">
        <f t="shared" si="206"/>
        <v/>
      </c>
      <c r="P2306" s="66"/>
      <c r="Q2306" s="66"/>
      <c r="R2306" s="54"/>
      <c r="S2306" s="82"/>
      <c r="T2306" s="83" t="str">
        <f t="shared" si="203"/>
        <v/>
      </c>
      <c r="U2306" s="10"/>
      <c r="V2306" s="41">
        <f>IF(AND(Q2306&lt;&gt;"",RIGHT(Q2306,3)&lt;&gt;""),IF(COUNTIF($Q$6:Q2306,Q2306)=1,1,0),0)</f>
        <v>0</v>
      </c>
      <c r="W2306" s="41" t="str">
        <f t="shared" si="204"/>
        <v/>
      </c>
      <c r="X2306" s="41" t="str">
        <f t="shared" si="205"/>
        <v/>
      </c>
    </row>
    <row r="2307" s="32" customFormat="1" hidden="1" customHeight="1" spans="1:24">
      <c r="A2307" s="34"/>
      <c r="B2307" s="51"/>
      <c r="C2307" s="51"/>
      <c r="D2307" s="52"/>
      <c r="E2307" s="53"/>
      <c r="F2307" s="54"/>
      <c r="G2307" s="54"/>
      <c r="H2307" s="54"/>
      <c r="I2307" s="66"/>
      <c r="J2307" s="54"/>
      <c r="K2307" s="54"/>
      <c r="L2307" s="54"/>
      <c r="M2307" s="97" t="str">
        <f t="shared" si="202"/>
        <v/>
      </c>
      <c r="N2307" s="70"/>
      <c r="O2307" s="71" t="str">
        <f t="shared" si="206"/>
        <v/>
      </c>
      <c r="P2307" s="66"/>
      <c r="Q2307" s="66"/>
      <c r="R2307" s="54"/>
      <c r="S2307" s="82"/>
      <c r="T2307" s="83" t="str">
        <f t="shared" si="203"/>
        <v/>
      </c>
      <c r="U2307" s="10"/>
      <c r="V2307" s="41">
        <f>IF(AND(Q2307&lt;&gt;"",RIGHT(Q2307,3)&lt;&gt;""),IF(COUNTIF($Q$6:Q2307,Q2307)=1,1,0),0)</f>
        <v>0</v>
      </c>
      <c r="W2307" s="41" t="str">
        <f t="shared" si="204"/>
        <v/>
      </c>
      <c r="X2307" s="41" t="str">
        <f t="shared" si="205"/>
        <v/>
      </c>
    </row>
    <row r="2308" s="32" customFormat="1" hidden="1" customHeight="1" spans="1:24">
      <c r="A2308" s="34"/>
      <c r="B2308" s="51"/>
      <c r="C2308" s="51"/>
      <c r="D2308" s="52"/>
      <c r="E2308" s="53"/>
      <c r="F2308" s="54"/>
      <c r="G2308" s="54"/>
      <c r="H2308" s="54"/>
      <c r="I2308" s="66"/>
      <c r="J2308" s="54"/>
      <c r="K2308" s="54"/>
      <c r="L2308" s="54"/>
      <c r="M2308" s="97" t="str">
        <f t="shared" si="202"/>
        <v/>
      </c>
      <c r="N2308" s="70"/>
      <c r="O2308" s="71" t="str">
        <f t="shared" si="206"/>
        <v/>
      </c>
      <c r="P2308" s="66"/>
      <c r="Q2308" s="66"/>
      <c r="R2308" s="54"/>
      <c r="S2308" s="82"/>
      <c r="T2308" s="83" t="str">
        <f t="shared" si="203"/>
        <v/>
      </c>
      <c r="U2308" s="10"/>
      <c r="V2308" s="41">
        <f>IF(AND(Q2308&lt;&gt;"",RIGHT(Q2308,3)&lt;&gt;""),IF(COUNTIF($Q$6:Q2308,Q2308)=1,1,0),0)</f>
        <v>0</v>
      </c>
      <c r="W2308" s="41" t="str">
        <f t="shared" si="204"/>
        <v/>
      </c>
      <c r="X2308" s="41" t="str">
        <f t="shared" si="205"/>
        <v/>
      </c>
    </row>
    <row r="2309" s="32" customFormat="1" hidden="1" customHeight="1" spans="1:24">
      <c r="A2309" s="34"/>
      <c r="B2309" s="51"/>
      <c r="C2309" s="51"/>
      <c r="D2309" s="52"/>
      <c r="E2309" s="53"/>
      <c r="F2309" s="54"/>
      <c r="G2309" s="54"/>
      <c r="H2309" s="54"/>
      <c r="I2309" s="66"/>
      <c r="J2309" s="54"/>
      <c r="K2309" s="54"/>
      <c r="L2309" s="54"/>
      <c r="M2309" s="97" t="str">
        <f t="shared" si="202"/>
        <v/>
      </c>
      <c r="N2309" s="70"/>
      <c r="O2309" s="71" t="str">
        <f t="shared" si="206"/>
        <v/>
      </c>
      <c r="P2309" s="66"/>
      <c r="Q2309" s="66"/>
      <c r="R2309" s="54"/>
      <c r="S2309" s="82"/>
      <c r="T2309" s="83" t="str">
        <f t="shared" si="203"/>
        <v/>
      </c>
      <c r="U2309" s="10"/>
      <c r="V2309" s="41">
        <f>IF(AND(Q2309&lt;&gt;"",RIGHT(Q2309,3)&lt;&gt;""),IF(COUNTIF($Q$6:Q2309,Q2309)=1,1,0),0)</f>
        <v>0</v>
      </c>
      <c r="W2309" s="41" t="str">
        <f t="shared" si="204"/>
        <v/>
      </c>
      <c r="X2309" s="41" t="str">
        <f t="shared" si="205"/>
        <v/>
      </c>
    </row>
    <row r="2310" s="32" customFormat="1" hidden="1" customHeight="1" spans="1:24">
      <c r="A2310" s="34"/>
      <c r="B2310" s="51"/>
      <c r="C2310" s="51"/>
      <c r="D2310" s="52"/>
      <c r="E2310" s="53"/>
      <c r="F2310" s="54"/>
      <c r="G2310" s="54"/>
      <c r="H2310" s="54"/>
      <c r="I2310" s="66"/>
      <c r="J2310" s="54"/>
      <c r="K2310" s="54"/>
      <c r="L2310" s="54"/>
      <c r="M2310" s="97" t="str">
        <f t="shared" si="202"/>
        <v/>
      </c>
      <c r="N2310" s="70"/>
      <c r="O2310" s="71" t="str">
        <f t="shared" si="206"/>
        <v/>
      </c>
      <c r="P2310" s="66"/>
      <c r="Q2310" s="66"/>
      <c r="R2310" s="54"/>
      <c r="S2310" s="82"/>
      <c r="T2310" s="83" t="str">
        <f t="shared" si="203"/>
        <v/>
      </c>
      <c r="U2310" s="10"/>
      <c r="V2310" s="41">
        <f>IF(AND(Q2310&lt;&gt;"",RIGHT(Q2310,3)&lt;&gt;""),IF(COUNTIF($Q$6:Q2310,Q2310)=1,1,0),0)</f>
        <v>0</v>
      </c>
      <c r="W2310" s="41" t="str">
        <f t="shared" si="204"/>
        <v/>
      </c>
      <c r="X2310" s="41" t="str">
        <f t="shared" si="205"/>
        <v/>
      </c>
    </row>
    <row r="2311" s="32" customFormat="1" hidden="1" customHeight="1" spans="1:24">
      <c r="A2311" s="34"/>
      <c r="B2311" s="51"/>
      <c r="C2311" s="51"/>
      <c r="D2311" s="52"/>
      <c r="E2311" s="53"/>
      <c r="F2311" s="54"/>
      <c r="G2311" s="54"/>
      <c r="H2311" s="54"/>
      <c r="I2311" s="66"/>
      <c r="J2311" s="54"/>
      <c r="K2311" s="54"/>
      <c r="L2311" s="54"/>
      <c r="M2311" s="97" t="str">
        <f t="shared" si="202"/>
        <v/>
      </c>
      <c r="N2311" s="70"/>
      <c r="O2311" s="71" t="str">
        <f t="shared" si="206"/>
        <v/>
      </c>
      <c r="P2311" s="66"/>
      <c r="Q2311" s="66"/>
      <c r="R2311" s="54"/>
      <c r="S2311" s="82"/>
      <c r="T2311" s="83" t="str">
        <f t="shared" si="203"/>
        <v/>
      </c>
      <c r="U2311" s="10"/>
      <c r="V2311" s="41">
        <f>IF(AND(Q2311&lt;&gt;"",RIGHT(Q2311,3)&lt;&gt;""),IF(COUNTIF($Q$6:Q2311,Q2311)=1,1,0),0)</f>
        <v>0</v>
      </c>
      <c r="W2311" s="41" t="str">
        <f t="shared" si="204"/>
        <v/>
      </c>
      <c r="X2311" s="41" t="str">
        <f t="shared" si="205"/>
        <v/>
      </c>
    </row>
    <row r="2312" s="32" customFormat="1" hidden="1" customHeight="1" spans="1:24">
      <c r="A2312" s="34"/>
      <c r="B2312" s="51"/>
      <c r="C2312" s="51"/>
      <c r="D2312" s="52"/>
      <c r="E2312" s="53"/>
      <c r="F2312" s="54"/>
      <c r="G2312" s="54"/>
      <c r="H2312" s="54"/>
      <c r="I2312" s="66"/>
      <c r="J2312" s="54"/>
      <c r="K2312" s="54"/>
      <c r="L2312" s="54"/>
      <c r="M2312" s="97" t="str">
        <f t="shared" si="202"/>
        <v/>
      </c>
      <c r="N2312" s="70"/>
      <c r="O2312" s="71" t="str">
        <f t="shared" si="206"/>
        <v/>
      </c>
      <c r="P2312" s="66"/>
      <c r="Q2312" s="66"/>
      <c r="R2312" s="54"/>
      <c r="S2312" s="82"/>
      <c r="T2312" s="83" t="str">
        <f t="shared" si="203"/>
        <v/>
      </c>
      <c r="U2312" s="10"/>
      <c r="V2312" s="41">
        <f>IF(AND(Q2312&lt;&gt;"",RIGHT(Q2312,3)&lt;&gt;""),IF(COUNTIF($Q$6:Q2312,Q2312)=1,1,0),0)</f>
        <v>0</v>
      </c>
      <c r="W2312" s="41" t="str">
        <f t="shared" si="204"/>
        <v/>
      </c>
      <c r="X2312" s="41" t="str">
        <f t="shared" si="205"/>
        <v/>
      </c>
    </row>
    <row r="2313" s="32" customFormat="1" hidden="1" customHeight="1" spans="1:24">
      <c r="A2313" s="34"/>
      <c r="B2313" s="51"/>
      <c r="C2313" s="51"/>
      <c r="D2313" s="52"/>
      <c r="E2313" s="53"/>
      <c r="F2313" s="54"/>
      <c r="G2313" s="54"/>
      <c r="H2313" s="54"/>
      <c r="I2313" s="66"/>
      <c r="J2313" s="54"/>
      <c r="K2313" s="54"/>
      <c r="L2313" s="54"/>
      <c r="M2313" s="97" t="str">
        <f t="shared" si="202"/>
        <v/>
      </c>
      <c r="N2313" s="70"/>
      <c r="O2313" s="71" t="str">
        <f t="shared" si="206"/>
        <v/>
      </c>
      <c r="P2313" s="66"/>
      <c r="Q2313" s="66"/>
      <c r="R2313" s="54"/>
      <c r="S2313" s="82"/>
      <c r="T2313" s="83" t="str">
        <f t="shared" si="203"/>
        <v/>
      </c>
      <c r="U2313" s="10"/>
      <c r="V2313" s="41">
        <f>IF(AND(Q2313&lt;&gt;"",RIGHT(Q2313,3)&lt;&gt;""),IF(COUNTIF($Q$6:Q2313,Q2313)=1,1,0),0)</f>
        <v>0</v>
      </c>
      <c r="W2313" s="41" t="str">
        <f t="shared" si="204"/>
        <v/>
      </c>
      <c r="X2313" s="41" t="str">
        <f t="shared" si="205"/>
        <v/>
      </c>
    </row>
    <row r="2314" s="32" customFormat="1" hidden="1" customHeight="1" spans="1:24">
      <c r="A2314" s="34"/>
      <c r="B2314" s="51"/>
      <c r="C2314" s="51"/>
      <c r="D2314" s="52"/>
      <c r="E2314" s="53"/>
      <c r="F2314" s="54"/>
      <c r="G2314" s="54"/>
      <c r="H2314" s="54"/>
      <c r="I2314" s="66"/>
      <c r="J2314" s="54"/>
      <c r="K2314" s="54"/>
      <c r="L2314" s="54"/>
      <c r="M2314" s="97" t="str">
        <f t="shared" si="202"/>
        <v/>
      </c>
      <c r="N2314" s="70"/>
      <c r="O2314" s="71" t="str">
        <f t="shared" si="206"/>
        <v/>
      </c>
      <c r="P2314" s="66"/>
      <c r="Q2314" s="66"/>
      <c r="R2314" s="54"/>
      <c r="S2314" s="82"/>
      <c r="T2314" s="83" t="str">
        <f t="shared" si="203"/>
        <v/>
      </c>
      <c r="U2314" s="10"/>
      <c r="V2314" s="41">
        <f>IF(AND(Q2314&lt;&gt;"",RIGHT(Q2314,3)&lt;&gt;""),IF(COUNTIF($Q$6:Q2314,Q2314)=1,1,0),0)</f>
        <v>0</v>
      </c>
      <c r="W2314" s="41" t="str">
        <f t="shared" si="204"/>
        <v/>
      </c>
      <c r="X2314" s="41" t="str">
        <f t="shared" si="205"/>
        <v/>
      </c>
    </row>
    <row r="2315" s="32" customFormat="1" hidden="1" customHeight="1" spans="1:24">
      <c r="A2315" s="34"/>
      <c r="B2315" s="51"/>
      <c r="C2315" s="51"/>
      <c r="D2315" s="52"/>
      <c r="E2315" s="53"/>
      <c r="F2315" s="54"/>
      <c r="G2315" s="54"/>
      <c r="H2315" s="54"/>
      <c r="I2315" s="66"/>
      <c r="J2315" s="54"/>
      <c r="K2315" s="54"/>
      <c r="L2315" s="54"/>
      <c r="M2315" s="97" t="str">
        <f t="shared" si="202"/>
        <v/>
      </c>
      <c r="N2315" s="70"/>
      <c r="O2315" s="71" t="str">
        <f t="shared" si="206"/>
        <v/>
      </c>
      <c r="P2315" s="66"/>
      <c r="Q2315" s="66"/>
      <c r="R2315" s="54"/>
      <c r="S2315" s="82"/>
      <c r="T2315" s="83" t="str">
        <f t="shared" si="203"/>
        <v/>
      </c>
      <c r="U2315" s="10"/>
      <c r="V2315" s="41">
        <f>IF(AND(Q2315&lt;&gt;"",RIGHT(Q2315,3)&lt;&gt;""),IF(COUNTIF($Q$6:Q2315,Q2315)=1,1,0),0)</f>
        <v>0</v>
      </c>
      <c r="W2315" s="41" t="str">
        <f t="shared" si="204"/>
        <v/>
      </c>
      <c r="X2315" s="41" t="str">
        <f t="shared" si="205"/>
        <v/>
      </c>
    </row>
    <row r="2316" s="32" customFormat="1" hidden="1" customHeight="1" spans="1:24">
      <c r="A2316" s="34"/>
      <c r="B2316" s="51"/>
      <c r="C2316" s="51"/>
      <c r="D2316" s="52"/>
      <c r="E2316" s="53"/>
      <c r="F2316" s="54"/>
      <c r="G2316" s="54"/>
      <c r="H2316" s="54"/>
      <c r="I2316" s="66"/>
      <c r="J2316" s="54"/>
      <c r="K2316" s="54"/>
      <c r="L2316" s="54"/>
      <c r="M2316" s="97" t="str">
        <f t="shared" si="202"/>
        <v/>
      </c>
      <c r="N2316" s="70"/>
      <c r="O2316" s="71" t="str">
        <f t="shared" si="206"/>
        <v/>
      </c>
      <c r="P2316" s="66"/>
      <c r="Q2316" s="66"/>
      <c r="R2316" s="54"/>
      <c r="S2316" s="82"/>
      <c r="T2316" s="83" t="str">
        <f t="shared" si="203"/>
        <v/>
      </c>
      <c r="U2316" s="10"/>
      <c r="V2316" s="41">
        <f>IF(AND(Q2316&lt;&gt;"",RIGHT(Q2316,3)&lt;&gt;""),IF(COUNTIF($Q$6:Q2316,Q2316)=1,1,0),0)</f>
        <v>0</v>
      </c>
      <c r="W2316" s="41" t="str">
        <f t="shared" si="204"/>
        <v/>
      </c>
      <c r="X2316" s="41" t="str">
        <f t="shared" si="205"/>
        <v/>
      </c>
    </row>
    <row r="2317" s="32" customFormat="1" hidden="1" customHeight="1" spans="1:24">
      <c r="A2317" s="34"/>
      <c r="B2317" s="51"/>
      <c r="C2317" s="51"/>
      <c r="D2317" s="52"/>
      <c r="E2317" s="53"/>
      <c r="F2317" s="54"/>
      <c r="G2317" s="54"/>
      <c r="H2317" s="54"/>
      <c r="I2317" s="66"/>
      <c r="J2317" s="54"/>
      <c r="K2317" s="54"/>
      <c r="L2317" s="54"/>
      <c r="M2317" s="97" t="str">
        <f t="shared" si="202"/>
        <v/>
      </c>
      <c r="N2317" s="70"/>
      <c r="O2317" s="71" t="str">
        <f t="shared" si="206"/>
        <v/>
      </c>
      <c r="P2317" s="66"/>
      <c r="Q2317" s="66"/>
      <c r="R2317" s="54"/>
      <c r="S2317" s="82"/>
      <c r="T2317" s="83" t="str">
        <f t="shared" si="203"/>
        <v/>
      </c>
      <c r="U2317" s="10"/>
      <c r="V2317" s="41">
        <f>IF(AND(Q2317&lt;&gt;"",RIGHT(Q2317,3)&lt;&gt;""),IF(COUNTIF($Q$6:Q2317,Q2317)=1,1,0),0)</f>
        <v>0</v>
      </c>
      <c r="W2317" s="41" t="str">
        <f t="shared" si="204"/>
        <v/>
      </c>
      <c r="X2317" s="41" t="str">
        <f t="shared" si="205"/>
        <v/>
      </c>
    </row>
    <row r="2318" s="32" customFormat="1" hidden="1" customHeight="1" spans="1:24">
      <c r="A2318" s="34"/>
      <c r="B2318" s="51"/>
      <c r="C2318" s="51"/>
      <c r="D2318" s="52"/>
      <c r="E2318" s="53"/>
      <c r="F2318" s="54"/>
      <c r="G2318" s="54"/>
      <c r="H2318" s="54"/>
      <c r="I2318" s="66"/>
      <c r="J2318" s="54"/>
      <c r="K2318" s="54"/>
      <c r="L2318" s="54"/>
      <c r="M2318" s="97" t="str">
        <f t="shared" si="202"/>
        <v/>
      </c>
      <c r="N2318" s="70"/>
      <c r="O2318" s="71" t="str">
        <f t="shared" si="206"/>
        <v/>
      </c>
      <c r="P2318" s="66"/>
      <c r="Q2318" s="66"/>
      <c r="R2318" s="54"/>
      <c r="S2318" s="82"/>
      <c r="T2318" s="83" t="str">
        <f t="shared" si="203"/>
        <v/>
      </c>
      <c r="U2318" s="10"/>
      <c r="V2318" s="41">
        <f>IF(AND(Q2318&lt;&gt;"",RIGHT(Q2318,3)&lt;&gt;""),IF(COUNTIF($Q$6:Q2318,Q2318)=1,1,0),0)</f>
        <v>0</v>
      </c>
      <c r="W2318" s="41" t="str">
        <f t="shared" si="204"/>
        <v/>
      </c>
      <c r="X2318" s="41" t="str">
        <f t="shared" si="205"/>
        <v/>
      </c>
    </row>
    <row r="2319" s="32" customFormat="1" hidden="1" customHeight="1" spans="1:24">
      <c r="A2319" s="34"/>
      <c r="B2319" s="51"/>
      <c r="C2319" s="51"/>
      <c r="D2319" s="52"/>
      <c r="E2319" s="53"/>
      <c r="F2319" s="54"/>
      <c r="G2319" s="54"/>
      <c r="H2319" s="54"/>
      <c r="I2319" s="66"/>
      <c r="J2319" s="54"/>
      <c r="K2319" s="54"/>
      <c r="L2319" s="54"/>
      <c r="M2319" s="97" t="str">
        <f t="shared" si="202"/>
        <v/>
      </c>
      <c r="N2319" s="70"/>
      <c r="O2319" s="71" t="str">
        <f t="shared" si="206"/>
        <v/>
      </c>
      <c r="P2319" s="66"/>
      <c r="Q2319" s="66"/>
      <c r="R2319" s="54"/>
      <c r="S2319" s="82"/>
      <c r="T2319" s="83" t="str">
        <f t="shared" si="203"/>
        <v/>
      </c>
      <c r="U2319" s="10"/>
      <c r="V2319" s="41">
        <f>IF(AND(Q2319&lt;&gt;"",RIGHT(Q2319,3)&lt;&gt;""),IF(COUNTIF($Q$6:Q2319,Q2319)=1,1,0),0)</f>
        <v>0</v>
      </c>
      <c r="W2319" s="41" t="str">
        <f t="shared" si="204"/>
        <v/>
      </c>
      <c r="X2319" s="41" t="str">
        <f t="shared" si="205"/>
        <v/>
      </c>
    </row>
    <row r="2320" s="32" customFormat="1" hidden="1" customHeight="1" spans="1:24">
      <c r="A2320" s="34"/>
      <c r="B2320" s="51"/>
      <c r="C2320" s="51"/>
      <c r="D2320" s="52"/>
      <c r="E2320" s="53"/>
      <c r="F2320" s="54"/>
      <c r="G2320" s="54"/>
      <c r="H2320" s="54"/>
      <c r="I2320" s="66"/>
      <c r="J2320" s="54"/>
      <c r="K2320" s="54"/>
      <c r="L2320" s="54"/>
      <c r="M2320" s="97" t="str">
        <f t="shared" si="202"/>
        <v/>
      </c>
      <c r="N2320" s="70"/>
      <c r="O2320" s="71" t="str">
        <f t="shared" si="206"/>
        <v/>
      </c>
      <c r="P2320" s="66"/>
      <c r="Q2320" s="66"/>
      <c r="R2320" s="54"/>
      <c r="S2320" s="82"/>
      <c r="T2320" s="83" t="str">
        <f t="shared" si="203"/>
        <v/>
      </c>
      <c r="U2320" s="10"/>
      <c r="V2320" s="41">
        <f>IF(AND(Q2320&lt;&gt;"",RIGHT(Q2320,3)&lt;&gt;""),IF(COUNTIF($Q$6:Q2320,Q2320)=1,1,0),0)</f>
        <v>0</v>
      </c>
      <c r="W2320" s="41" t="str">
        <f t="shared" si="204"/>
        <v/>
      </c>
      <c r="X2320" s="41" t="str">
        <f t="shared" si="205"/>
        <v/>
      </c>
    </row>
    <row r="2321" s="32" customFormat="1" hidden="1" customHeight="1" spans="1:24">
      <c r="A2321" s="34"/>
      <c r="B2321" s="51"/>
      <c r="C2321" s="51"/>
      <c r="D2321" s="52"/>
      <c r="E2321" s="53"/>
      <c r="F2321" s="54"/>
      <c r="G2321" s="54"/>
      <c r="H2321" s="54"/>
      <c r="I2321" s="66"/>
      <c r="J2321" s="54"/>
      <c r="K2321" s="54"/>
      <c r="L2321" s="54"/>
      <c r="M2321" s="97" t="str">
        <f t="shared" si="202"/>
        <v/>
      </c>
      <c r="N2321" s="70"/>
      <c r="O2321" s="71" t="str">
        <f t="shared" si="206"/>
        <v/>
      </c>
      <c r="P2321" s="66"/>
      <c r="Q2321" s="66"/>
      <c r="R2321" s="54"/>
      <c r="S2321" s="82"/>
      <c r="T2321" s="83" t="str">
        <f t="shared" si="203"/>
        <v/>
      </c>
      <c r="U2321" s="10"/>
      <c r="V2321" s="41">
        <f>IF(AND(Q2321&lt;&gt;"",RIGHT(Q2321,3)&lt;&gt;""),IF(COUNTIF($Q$6:Q2321,Q2321)=1,1,0),0)</f>
        <v>0</v>
      </c>
      <c r="W2321" s="41" t="str">
        <f t="shared" si="204"/>
        <v/>
      </c>
      <c r="X2321" s="41" t="str">
        <f t="shared" si="205"/>
        <v/>
      </c>
    </row>
    <row r="2322" s="32" customFormat="1" hidden="1" customHeight="1" spans="1:24">
      <c r="A2322" s="34"/>
      <c r="B2322" s="51"/>
      <c r="C2322" s="51"/>
      <c r="D2322" s="52"/>
      <c r="E2322" s="53"/>
      <c r="F2322" s="54"/>
      <c r="G2322" s="54"/>
      <c r="H2322" s="54"/>
      <c r="I2322" s="66"/>
      <c r="J2322" s="54"/>
      <c r="K2322" s="54"/>
      <c r="L2322" s="54"/>
      <c r="M2322" s="97" t="str">
        <f t="shared" si="202"/>
        <v/>
      </c>
      <c r="N2322" s="70"/>
      <c r="O2322" s="71" t="str">
        <f t="shared" si="206"/>
        <v/>
      </c>
      <c r="P2322" s="66"/>
      <c r="Q2322" s="66"/>
      <c r="R2322" s="54"/>
      <c r="S2322" s="82"/>
      <c r="T2322" s="83" t="str">
        <f t="shared" si="203"/>
        <v/>
      </c>
      <c r="U2322" s="10"/>
      <c r="V2322" s="41">
        <f>IF(AND(Q2322&lt;&gt;"",RIGHT(Q2322,3)&lt;&gt;""),IF(COUNTIF($Q$6:Q2322,Q2322)=1,1,0),0)</f>
        <v>0</v>
      </c>
      <c r="W2322" s="41" t="str">
        <f t="shared" si="204"/>
        <v/>
      </c>
      <c r="X2322" s="41" t="str">
        <f t="shared" si="205"/>
        <v/>
      </c>
    </row>
    <row r="2323" s="32" customFormat="1" hidden="1" customHeight="1" spans="1:24">
      <c r="A2323" s="34"/>
      <c r="B2323" s="51"/>
      <c r="C2323" s="51"/>
      <c r="D2323" s="52"/>
      <c r="E2323" s="53"/>
      <c r="F2323" s="54"/>
      <c r="G2323" s="54"/>
      <c r="H2323" s="54"/>
      <c r="I2323" s="66"/>
      <c r="J2323" s="54"/>
      <c r="K2323" s="54"/>
      <c r="L2323" s="54"/>
      <c r="M2323" s="97" t="str">
        <f t="shared" si="202"/>
        <v/>
      </c>
      <c r="N2323" s="70"/>
      <c r="O2323" s="71" t="str">
        <f t="shared" si="206"/>
        <v/>
      </c>
      <c r="P2323" s="66"/>
      <c r="Q2323" s="66"/>
      <c r="R2323" s="54"/>
      <c r="S2323" s="82"/>
      <c r="T2323" s="83" t="str">
        <f t="shared" si="203"/>
        <v/>
      </c>
      <c r="U2323" s="10"/>
      <c r="V2323" s="41">
        <f>IF(AND(Q2323&lt;&gt;"",RIGHT(Q2323,3)&lt;&gt;""),IF(COUNTIF($Q$6:Q2323,Q2323)=1,1,0),0)</f>
        <v>0</v>
      </c>
      <c r="W2323" s="41" t="str">
        <f t="shared" si="204"/>
        <v/>
      </c>
      <c r="X2323" s="41" t="str">
        <f t="shared" si="205"/>
        <v/>
      </c>
    </row>
    <row r="2324" s="32" customFormat="1" hidden="1" customHeight="1" spans="1:24">
      <c r="A2324" s="34"/>
      <c r="B2324" s="51"/>
      <c r="C2324" s="51"/>
      <c r="D2324" s="52"/>
      <c r="E2324" s="53"/>
      <c r="F2324" s="54"/>
      <c r="G2324" s="54"/>
      <c r="H2324" s="54"/>
      <c r="I2324" s="66"/>
      <c r="J2324" s="54"/>
      <c r="K2324" s="54"/>
      <c r="L2324" s="54"/>
      <c r="M2324" s="97" t="str">
        <f t="shared" si="202"/>
        <v/>
      </c>
      <c r="N2324" s="70"/>
      <c r="O2324" s="71" t="str">
        <f t="shared" si="206"/>
        <v/>
      </c>
      <c r="P2324" s="66"/>
      <c r="Q2324" s="66"/>
      <c r="R2324" s="54"/>
      <c r="S2324" s="82"/>
      <c r="T2324" s="83" t="str">
        <f t="shared" si="203"/>
        <v/>
      </c>
      <c r="U2324" s="10"/>
      <c r="V2324" s="41">
        <f>IF(AND(Q2324&lt;&gt;"",RIGHT(Q2324,3)&lt;&gt;""),IF(COUNTIF($Q$6:Q2324,Q2324)=1,1,0),0)</f>
        <v>0</v>
      </c>
      <c r="W2324" s="41" t="str">
        <f t="shared" si="204"/>
        <v/>
      </c>
      <c r="X2324" s="41" t="str">
        <f t="shared" si="205"/>
        <v/>
      </c>
    </row>
    <row r="2325" s="32" customFormat="1" hidden="1" customHeight="1" spans="1:24">
      <c r="A2325" s="34"/>
      <c r="B2325" s="51"/>
      <c r="C2325" s="51"/>
      <c r="D2325" s="52"/>
      <c r="E2325" s="53"/>
      <c r="F2325" s="54"/>
      <c r="G2325" s="54"/>
      <c r="H2325" s="54"/>
      <c r="I2325" s="66"/>
      <c r="J2325" s="54"/>
      <c r="K2325" s="54"/>
      <c r="L2325" s="54"/>
      <c r="M2325" s="97" t="str">
        <f t="shared" si="202"/>
        <v/>
      </c>
      <c r="N2325" s="70"/>
      <c r="O2325" s="71" t="str">
        <f t="shared" si="206"/>
        <v/>
      </c>
      <c r="P2325" s="66"/>
      <c r="Q2325" s="66"/>
      <c r="R2325" s="54"/>
      <c r="S2325" s="82"/>
      <c r="T2325" s="83" t="str">
        <f t="shared" si="203"/>
        <v/>
      </c>
      <c r="U2325" s="10"/>
      <c r="V2325" s="41">
        <f>IF(AND(Q2325&lt;&gt;"",RIGHT(Q2325,3)&lt;&gt;""),IF(COUNTIF($Q$6:Q2325,Q2325)=1,1,0),0)</f>
        <v>0</v>
      </c>
      <c r="W2325" s="41" t="str">
        <f t="shared" si="204"/>
        <v/>
      </c>
      <c r="X2325" s="41" t="str">
        <f t="shared" si="205"/>
        <v/>
      </c>
    </row>
    <row r="2326" s="32" customFormat="1" hidden="1" customHeight="1" spans="1:24">
      <c r="A2326" s="34"/>
      <c r="B2326" s="51"/>
      <c r="C2326" s="51"/>
      <c r="D2326" s="52"/>
      <c r="E2326" s="53"/>
      <c r="F2326" s="54"/>
      <c r="G2326" s="54"/>
      <c r="H2326" s="54"/>
      <c r="I2326" s="66"/>
      <c r="J2326" s="54"/>
      <c r="K2326" s="54"/>
      <c r="L2326" s="54"/>
      <c r="M2326" s="97" t="str">
        <f t="shared" si="202"/>
        <v/>
      </c>
      <c r="N2326" s="70"/>
      <c r="O2326" s="71" t="str">
        <f t="shared" si="206"/>
        <v/>
      </c>
      <c r="P2326" s="66"/>
      <c r="Q2326" s="66"/>
      <c r="R2326" s="54"/>
      <c r="S2326" s="82"/>
      <c r="T2326" s="83" t="str">
        <f t="shared" si="203"/>
        <v/>
      </c>
      <c r="U2326" s="10"/>
      <c r="V2326" s="41">
        <f>IF(AND(Q2326&lt;&gt;"",RIGHT(Q2326,3)&lt;&gt;""),IF(COUNTIF($Q$6:Q2326,Q2326)=1,1,0),0)</f>
        <v>0</v>
      </c>
      <c r="W2326" s="41" t="str">
        <f t="shared" si="204"/>
        <v/>
      </c>
      <c r="X2326" s="41" t="str">
        <f t="shared" si="205"/>
        <v/>
      </c>
    </row>
    <row r="2327" s="32" customFormat="1" hidden="1" customHeight="1" spans="1:24">
      <c r="A2327" s="34"/>
      <c r="B2327" s="51"/>
      <c r="C2327" s="51"/>
      <c r="D2327" s="52"/>
      <c r="E2327" s="53"/>
      <c r="F2327" s="54"/>
      <c r="G2327" s="54"/>
      <c r="H2327" s="54"/>
      <c r="I2327" s="66"/>
      <c r="J2327" s="54"/>
      <c r="K2327" s="54"/>
      <c r="L2327" s="54"/>
      <c r="M2327" s="97" t="str">
        <f t="shared" si="202"/>
        <v/>
      </c>
      <c r="N2327" s="70"/>
      <c r="O2327" s="71" t="str">
        <f t="shared" si="206"/>
        <v/>
      </c>
      <c r="P2327" s="66"/>
      <c r="Q2327" s="66"/>
      <c r="R2327" s="54"/>
      <c r="S2327" s="82"/>
      <c r="T2327" s="83" t="str">
        <f t="shared" si="203"/>
        <v/>
      </c>
      <c r="U2327" s="10"/>
      <c r="V2327" s="41">
        <f>IF(AND(Q2327&lt;&gt;"",RIGHT(Q2327,3)&lt;&gt;""),IF(COUNTIF($Q$6:Q2327,Q2327)=1,1,0),0)</f>
        <v>0</v>
      </c>
      <c r="W2327" s="41" t="str">
        <f t="shared" si="204"/>
        <v/>
      </c>
      <c r="X2327" s="41" t="str">
        <f t="shared" si="205"/>
        <v/>
      </c>
    </row>
    <row r="2328" s="32" customFormat="1" hidden="1" customHeight="1" spans="1:24">
      <c r="A2328" s="34"/>
      <c r="B2328" s="51"/>
      <c r="C2328" s="51"/>
      <c r="D2328" s="52"/>
      <c r="E2328" s="53"/>
      <c r="F2328" s="54"/>
      <c r="G2328" s="54"/>
      <c r="H2328" s="54"/>
      <c r="I2328" s="66"/>
      <c r="J2328" s="54"/>
      <c r="K2328" s="54"/>
      <c r="L2328" s="54"/>
      <c r="M2328" s="97" t="str">
        <f t="shared" si="202"/>
        <v/>
      </c>
      <c r="N2328" s="70"/>
      <c r="O2328" s="71" t="str">
        <f t="shared" si="206"/>
        <v/>
      </c>
      <c r="P2328" s="66"/>
      <c r="Q2328" s="66"/>
      <c r="R2328" s="54"/>
      <c r="S2328" s="82"/>
      <c r="T2328" s="83" t="str">
        <f t="shared" si="203"/>
        <v/>
      </c>
      <c r="U2328" s="10"/>
      <c r="V2328" s="41">
        <f>IF(AND(Q2328&lt;&gt;"",RIGHT(Q2328,3)&lt;&gt;""),IF(COUNTIF($Q$6:Q2328,Q2328)=1,1,0),0)</f>
        <v>0</v>
      </c>
      <c r="W2328" s="41" t="str">
        <f t="shared" si="204"/>
        <v/>
      </c>
      <c r="X2328" s="41" t="str">
        <f t="shared" si="205"/>
        <v/>
      </c>
    </row>
    <row r="2329" s="32" customFormat="1" hidden="1" customHeight="1" spans="1:24">
      <c r="A2329" s="34"/>
      <c r="B2329" s="51"/>
      <c r="C2329" s="51"/>
      <c r="D2329" s="52"/>
      <c r="E2329" s="53"/>
      <c r="F2329" s="54"/>
      <c r="G2329" s="54"/>
      <c r="H2329" s="54"/>
      <c r="I2329" s="66"/>
      <c r="J2329" s="54"/>
      <c r="K2329" s="54"/>
      <c r="L2329" s="54"/>
      <c r="M2329" s="97" t="str">
        <f t="shared" si="202"/>
        <v/>
      </c>
      <c r="N2329" s="70"/>
      <c r="O2329" s="71" t="str">
        <f t="shared" si="206"/>
        <v/>
      </c>
      <c r="P2329" s="66"/>
      <c r="Q2329" s="66"/>
      <c r="R2329" s="54"/>
      <c r="S2329" s="82"/>
      <c r="T2329" s="83" t="str">
        <f t="shared" si="203"/>
        <v/>
      </c>
      <c r="U2329" s="10"/>
      <c r="V2329" s="41">
        <f>IF(AND(Q2329&lt;&gt;"",RIGHT(Q2329,3)&lt;&gt;""),IF(COUNTIF($Q$6:Q2329,Q2329)=1,1,0),0)</f>
        <v>0</v>
      </c>
      <c r="W2329" s="41" t="str">
        <f t="shared" si="204"/>
        <v/>
      </c>
      <c r="X2329" s="41" t="str">
        <f t="shared" si="205"/>
        <v/>
      </c>
    </row>
    <row r="2330" s="32" customFormat="1" hidden="1" customHeight="1" spans="1:24">
      <c r="A2330" s="34"/>
      <c r="B2330" s="51"/>
      <c r="C2330" s="51"/>
      <c r="D2330" s="52"/>
      <c r="E2330" s="53"/>
      <c r="F2330" s="54"/>
      <c r="G2330" s="54"/>
      <c r="H2330" s="54"/>
      <c r="I2330" s="66"/>
      <c r="J2330" s="54"/>
      <c r="K2330" s="54"/>
      <c r="L2330" s="54"/>
      <c r="M2330" s="97" t="str">
        <f t="shared" si="202"/>
        <v/>
      </c>
      <c r="N2330" s="70"/>
      <c r="O2330" s="71" t="str">
        <f t="shared" si="206"/>
        <v/>
      </c>
      <c r="P2330" s="66"/>
      <c r="Q2330" s="66"/>
      <c r="R2330" s="54"/>
      <c r="S2330" s="82"/>
      <c r="T2330" s="83" t="str">
        <f t="shared" si="203"/>
        <v/>
      </c>
      <c r="U2330" s="10"/>
      <c r="V2330" s="41">
        <f>IF(AND(Q2330&lt;&gt;"",RIGHT(Q2330,3)&lt;&gt;""),IF(COUNTIF($Q$6:Q2330,Q2330)=1,1,0),0)</f>
        <v>0</v>
      </c>
      <c r="W2330" s="41" t="str">
        <f t="shared" si="204"/>
        <v/>
      </c>
      <c r="X2330" s="41" t="str">
        <f t="shared" si="205"/>
        <v/>
      </c>
    </row>
    <row r="2331" s="32" customFormat="1" hidden="1" customHeight="1" spans="1:24">
      <c r="A2331" s="34"/>
      <c r="B2331" s="51"/>
      <c r="C2331" s="51"/>
      <c r="D2331" s="52"/>
      <c r="E2331" s="53"/>
      <c r="F2331" s="54"/>
      <c r="G2331" s="54"/>
      <c r="H2331" s="54"/>
      <c r="I2331" s="66"/>
      <c r="J2331" s="54"/>
      <c r="K2331" s="54"/>
      <c r="L2331" s="54"/>
      <c r="M2331" s="97" t="str">
        <f t="shared" si="202"/>
        <v/>
      </c>
      <c r="N2331" s="70"/>
      <c r="O2331" s="71" t="str">
        <f t="shared" si="206"/>
        <v/>
      </c>
      <c r="P2331" s="66"/>
      <c r="Q2331" s="66"/>
      <c r="R2331" s="54"/>
      <c r="S2331" s="82"/>
      <c r="T2331" s="83" t="str">
        <f t="shared" si="203"/>
        <v/>
      </c>
      <c r="U2331" s="10"/>
      <c r="V2331" s="41">
        <f>IF(AND(Q2331&lt;&gt;"",RIGHT(Q2331,3)&lt;&gt;""),IF(COUNTIF($Q$6:Q2331,Q2331)=1,1,0),0)</f>
        <v>0</v>
      </c>
      <c r="W2331" s="41" t="str">
        <f t="shared" si="204"/>
        <v/>
      </c>
      <c r="X2331" s="41" t="str">
        <f t="shared" si="205"/>
        <v/>
      </c>
    </row>
    <row r="2332" s="32" customFormat="1" hidden="1" customHeight="1" spans="1:24">
      <c r="A2332" s="34"/>
      <c r="B2332" s="51"/>
      <c r="C2332" s="51"/>
      <c r="D2332" s="52"/>
      <c r="E2332" s="53"/>
      <c r="F2332" s="54"/>
      <c r="G2332" s="54"/>
      <c r="H2332" s="54"/>
      <c r="I2332" s="66"/>
      <c r="J2332" s="54"/>
      <c r="K2332" s="54"/>
      <c r="L2332" s="54"/>
      <c r="M2332" s="97" t="str">
        <f t="shared" si="202"/>
        <v/>
      </c>
      <c r="N2332" s="70"/>
      <c r="O2332" s="71" t="str">
        <f t="shared" si="206"/>
        <v/>
      </c>
      <c r="P2332" s="66"/>
      <c r="Q2332" s="66"/>
      <c r="R2332" s="54"/>
      <c r="S2332" s="82"/>
      <c r="T2332" s="83" t="str">
        <f t="shared" si="203"/>
        <v/>
      </c>
      <c r="U2332" s="10"/>
      <c r="V2332" s="41">
        <f>IF(AND(Q2332&lt;&gt;"",RIGHT(Q2332,3)&lt;&gt;""),IF(COUNTIF($Q$6:Q2332,Q2332)=1,1,0),0)</f>
        <v>0</v>
      </c>
      <c r="W2332" s="41" t="str">
        <f t="shared" si="204"/>
        <v/>
      </c>
      <c r="X2332" s="41" t="str">
        <f t="shared" si="205"/>
        <v/>
      </c>
    </row>
    <row r="2333" s="32" customFormat="1" hidden="1" customHeight="1" spans="1:24">
      <c r="A2333" s="34"/>
      <c r="B2333" s="51"/>
      <c r="C2333" s="51"/>
      <c r="D2333" s="52"/>
      <c r="E2333" s="53"/>
      <c r="F2333" s="54"/>
      <c r="G2333" s="54"/>
      <c r="H2333" s="54"/>
      <c r="I2333" s="66"/>
      <c r="J2333" s="54"/>
      <c r="K2333" s="54"/>
      <c r="L2333" s="54"/>
      <c r="M2333" s="97" t="str">
        <f t="shared" si="202"/>
        <v/>
      </c>
      <c r="N2333" s="70"/>
      <c r="O2333" s="71" t="str">
        <f t="shared" si="206"/>
        <v/>
      </c>
      <c r="P2333" s="66"/>
      <c r="Q2333" s="66"/>
      <c r="R2333" s="54"/>
      <c r="S2333" s="82"/>
      <c r="T2333" s="83" t="str">
        <f t="shared" si="203"/>
        <v/>
      </c>
      <c r="U2333" s="10"/>
      <c r="V2333" s="41">
        <f>IF(AND(Q2333&lt;&gt;"",RIGHT(Q2333,3)&lt;&gt;""),IF(COUNTIF($Q$6:Q2333,Q2333)=1,1,0),0)</f>
        <v>0</v>
      </c>
      <c r="W2333" s="41" t="str">
        <f t="shared" si="204"/>
        <v/>
      </c>
      <c r="X2333" s="41" t="str">
        <f t="shared" si="205"/>
        <v/>
      </c>
    </row>
    <row r="2334" s="32" customFormat="1" hidden="1" customHeight="1" spans="1:24">
      <c r="A2334" s="34"/>
      <c r="B2334" s="51"/>
      <c r="C2334" s="51"/>
      <c r="D2334" s="52"/>
      <c r="E2334" s="53"/>
      <c r="F2334" s="54"/>
      <c r="G2334" s="54"/>
      <c r="H2334" s="54"/>
      <c r="I2334" s="66"/>
      <c r="J2334" s="54"/>
      <c r="K2334" s="54"/>
      <c r="L2334" s="54"/>
      <c r="M2334" s="97" t="str">
        <f t="shared" si="202"/>
        <v/>
      </c>
      <c r="N2334" s="70"/>
      <c r="O2334" s="71" t="str">
        <f t="shared" si="206"/>
        <v/>
      </c>
      <c r="P2334" s="66"/>
      <c r="Q2334" s="66"/>
      <c r="R2334" s="54"/>
      <c r="S2334" s="82"/>
      <c r="T2334" s="83" t="str">
        <f t="shared" si="203"/>
        <v/>
      </c>
      <c r="U2334" s="10"/>
      <c r="V2334" s="41">
        <f>IF(AND(Q2334&lt;&gt;"",RIGHT(Q2334,3)&lt;&gt;""),IF(COUNTIF($Q$6:Q2334,Q2334)=1,1,0),0)</f>
        <v>0</v>
      </c>
      <c r="W2334" s="41" t="str">
        <f t="shared" si="204"/>
        <v/>
      </c>
      <c r="X2334" s="41" t="str">
        <f t="shared" si="205"/>
        <v/>
      </c>
    </row>
    <row r="2335" s="32" customFormat="1" hidden="1" customHeight="1" spans="1:24">
      <c r="A2335" s="34"/>
      <c r="B2335" s="51"/>
      <c r="C2335" s="51"/>
      <c r="D2335" s="52"/>
      <c r="E2335" s="53"/>
      <c r="F2335" s="54"/>
      <c r="G2335" s="54"/>
      <c r="H2335" s="54"/>
      <c r="I2335" s="66"/>
      <c r="J2335" s="54"/>
      <c r="K2335" s="54"/>
      <c r="L2335" s="54"/>
      <c r="M2335" s="97" t="str">
        <f t="shared" si="202"/>
        <v/>
      </c>
      <c r="N2335" s="70"/>
      <c r="O2335" s="71" t="str">
        <f t="shared" si="206"/>
        <v/>
      </c>
      <c r="P2335" s="66"/>
      <c r="Q2335" s="66"/>
      <c r="R2335" s="54"/>
      <c r="S2335" s="82"/>
      <c r="T2335" s="83" t="str">
        <f t="shared" si="203"/>
        <v/>
      </c>
      <c r="U2335" s="10"/>
      <c r="V2335" s="41">
        <f>IF(AND(Q2335&lt;&gt;"",RIGHT(Q2335,3)&lt;&gt;""),IF(COUNTIF($Q$6:Q2335,Q2335)=1,1,0),0)</f>
        <v>0</v>
      </c>
      <c r="W2335" s="41" t="str">
        <f t="shared" si="204"/>
        <v/>
      </c>
      <c r="X2335" s="41" t="str">
        <f t="shared" si="205"/>
        <v/>
      </c>
    </row>
    <row r="2336" s="32" customFormat="1" hidden="1" customHeight="1" spans="1:24">
      <c r="A2336" s="34"/>
      <c r="B2336" s="51"/>
      <c r="C2336" s="51"/>
      <c r="D2336" s="52"/>
      <c r="E2336" s="53"/>
      <c r="F2336" s="54"/>
      <c r="G2336" s="54"/>
      <c r="H2336" s="54"/>
      <c r="I2336" s="66"/>
      <c r="J2336" s="54"/>
      <c r="K2336" s="54"/>
      <c r="L2336" s="54"/>
      <c r="M2336" s="97" t="str">
        <f t="shared" si="202"/>
        <v/>
      </c>
      <c r="N2336" s="70"/>
      <c r="O2336" s="71" t="str">
        <f t="shared" si="206"/>
        <v/>
      </c>
      <c r="P2336" s="66"/>
      <c r="Q2336" s="66"/>
      <c r="R2336" s="54"/>
      <c r="S2336" s="82"/>
      <c r="T2336" s="83" t="str">
        <f t="shared" si="203"/>
        <v/>
      </c>
      <c r="U2336" s="10"/>
      <c r="V2336" s="41">
        <f>IF(AND(Q2336&lt;&gt;"",RIGHT(Q2336,3)&lt;&gt;""),IF(COUNTIF($Q$6:Q2336,Q2336)=1,1,0),0)</f>
        <v>0</v>
      </c>
      <c r="W2336" s="41" t="str">
        <f t="shared" si="204"/>
        <v/>
      </c>
      <c r="X2336" s="41" t="str">
        <f t="shared" si="205"/>
        <v/>
      </c>
    </row>
    <row r="2337" s="32" customFormat="1" hidden="1" customHeight="1" spans="1:24">
      <c r="A2337" s="34"/>
      <c r="B2337" s="51"/>
      <c r="C2337" s="51"/>
      <c r="D2337" s="52"/>
      <c r="E2337" s="53"/>
      <c r="F2337" s="54"/>
      <c r="G2337" s="54"/>
      <c r="H2337" s="54"/>
      <c r="I2337" s="66"/>
      <c r="J2337" s="54"/>
      <c r="K2337" s="54"/>
      <c r="L2337" s="54"/>
      <c r="M2337" s="97" t="str">
        <f t="shared" si="202"/>
        <v/>
      </c>
      <c r="N2337" s="70"/>
      <c r="O2337" s="71" t="str">
        <f t="shared" si="206"/>
        <v/>
      </c>
      <c r="P2337" s="66"/>
      <c r="Q2337" s="66"/>
      <c r="R2337" s="54"/>
      <c r="S2337" s="82"/>
      <c r="T2337" s="83" t="str">
        <f t="shared" si="203"/>
        <v/>
      </c>
      <c r="U2337" s="10"/>
      <c r="V2337" s="41">
        <f>IF(AND(Q2337&lt;&gt;"",RIGHT(Q2337,3)&lt;&gt;""),IF(COUNTIF($Q$6:Q2337,Q2337)=1,1,0),0)</f>
        <v>0</v>
      </c>
      <c r="W2337" s="41" t="str">
        <f t="shared" si="204"/>
        <v/>
      </c>
      <c r="X2337" s="41" t="str">
        <f t="shared" si="205"/>
        <v/>
      </c>
    </row>
    <row r="2338" s="32" customFormat="1" hidden="1" customHeight="1" spans="1:24">
      <c r="A2338" s="34"/>
      <c r="B2338" s="51"/>
      <c r="C2338" s="51"/>
      <c r="D2338" s="52"/>
      <c r="E2338" s="53"/>
      <c r="F2338" s="54"/>
      <c r="G2338" s="54"/>
      <c r="H2338" s="54"/>
      <c r="I2338" s="66"/>
      <c r="J2338" s="54"/>
      <c r="K2338" s="54"/>
      <c r="L2338" s="54"/>
      <c r="M2338" s="97" t="str">
        <f t="shared" si="202"/>
        <v/>
      </c>
      <c r="N2338" s="70"/>
      <c r="O2338" s="71" t="str">
        <f t="shared" si="206"/>
        <v/>
      </c>
      <c r="P2338" s="66"/>
      <c r="Q2338" s="66"/>
      <c r="R2338" s="54"/>
      <c r="S2338" s="82"/>
      <c r="T2338" s="83" t="str">
        <f t="shared" si="203"/>
        <v/>
      </c>
      <c r="U2338" s="10"/>
      <c r="V2338" s="41">
        <f>IF(AND(Q2338&lt;&gt;"",RIGHT(Q2338,3)&lt;&gt;""),IF(COUNTIF($Q$6:Q2338,Q2338)=1,1,0),0)</f>
        <v>0</v>
      </c>
      <c r="W2338" s="41" t="str">
        <f t="shared" si="204"/>
        <v/>
      </c>
      <c r="X2338" s="41" t="str">
        <f t="shared" si="205"/>
        <v/>
      </c>
    </row>
    <row r="2339" s="32" customFormat="1" hidden="1" customHeight="1" spans="1:24">
      <c r="A2339" s="34"/>
      <c r="B2339" s="51"/>
      <c r="C2339" s="51"/>
      <c r="D2339" s="52"/>
      <c r="E2339" s="53"/>
      <c r="F2339" s="54"/>
      <c r="G2339" s="54"/>
      <c r="H2339" s="54"/>
      <c r="I2339" s="66"/>
      <c r="J2339" s="54"/>
      <c r="K2339" s="54"/>
      <c r="L2339" s="54"/>
      <c r="M2339" s="97" t="str">
        <f t="shared" si="202"/>
        <v/>
      </c>
      <c r="N2339" s="70"/>
      <c r="O2339" s="71" t="str">
        <f t="shared" si="206"/>
        <v/>
      </c>
      <c r="P2339" s="66"/>
      <c r="Q2339" s="66"/>
      <c r="R2339" s="54"/>
      <c r="S2339" s="82"/>
      <c r="T2339" s="83" t="str">
        <f t="shared" si="203"/>
        <v/>
      </c>
      <c r="U2339" s="10"/>
      <c r="V2339" s="41">
        <f>IF(AND(Q2339&lt;&gt;"",RIGHT(Q2339,3)&lt;&gt;""),IF(COUNTIF($Q$6:Q2339,Q2339)=1,1,0),0)</f>
        <v>0</v>
      </c>
      <c r="W2339" s="41" t="str">
        <f t="shared" si="204"/>
        <v/>
      </c>
      <c r="X2339" s="41" t="str">
        <f t="shared" si="205"/>
        <v/>
      </c>
    </row>
    <row r="2340" s="32" customFormat="1" hidden="1" customHeight="1" spans="1:24">
      <c r="A2340" s="34"/>
      <c r="B2340" s="51"/>
      <c r="C2340" s="51"/>
      <c r="D2340" s="52"/>
      <c r="E2340" s="53"/>
      <c r="F2340" s="54"/>
      <c r="G2340" s="54"/>
      <c r="H2340" s="54"/>
      <c r="I2340" s="66"/>
      <c r="J2340" s="54"/>
      <c r="K2340" s="54"/>
      <c r="L2340" s="54"/>
      <c r="M2340" s="97" t="str">
        <f t="shared" ref="M2340:M2403" si="207">IF(L2340="","",HYPERLINK(_xlfn.CONCAT($L$4,L2340,".jpg"),"Open File"))</f>
        <v/>
      </c>
      <c r="N2340" s="70"/>
      <c r="O2340" s="71" t="str">
        <f t="shared" si="206"/>
        <v/>
      </c>
      <c r="P2340" s="66"/>
      <c r="Q2340" s="66"/>
      <c r="R2340" s="54"/>
      <c r="S2340" s="82"/>
      <c r="T2340" s="83" t="str">
        <f t="shared" ref="T2340:T2403" si="208">IF(S2340="","",HYPERLINK(_xlfn.CONCAT($S$4,S2340,".jpg"),"Open File"))</f>
        <v/>
      </c>
      <c r="U2340" s="10"/>
      <c r="V2340" s="41">
        <f>IF(AND(Q2340&lt;&gt;"",RIGHT(Q2340,3)&lt;&gt;""),IF(COUNTIF($Q$6:Q2340,Q2340)=1,1,0),0)</f>
        <v>0</v>
      </c>
      <c r="W2340" s="41" t="str">
        <f t="shared" ref="W2340:W2403" si="209">IF(AND(J2340&lt;&gt;"",K2340&lt;&gt;""),_xlfn.CONCAT(SUBSTITUTE(J2340,"/","."),"-",K2340),"")</f>
        <v/>
      </c>
      <c r="X2340" s="41" t="str">
        <f t="shared" ref="X2340:X2403" si="210">IF(AND(Q2340&lt;&gt;"",R2340&lt;&gt;""),_xlfn.CONCAT(SUBSTITUTE(Q2340,"/","."),"-",R2340),"")</f>
        <v/>
      </c>
    </row>
    <row r="2341" s="32" customFormat="1" hidden="1" customHeight="1" spans="1:24">
      <c r="A2341" s="34"/>
      <c r="B2341" s="51"/>
      <c r="C2341" s="51"/>
      <c r="D2341" s="52"/>
      <c r="E2341" s="53"/>
      <c r="F2341" s="54"/>
      <c r="G2341" s="54"/>
      <c r="H2341" s="54"/>
      <c r="I2341" s="66"/>
      <c r="J2341" s="54"/>
      <c r="K2341" s="54"/>
      <c r="L2341" s="54"/>
      <c r="M2341" s="97" t="str">
        <f t="shared" si="207"/>
        <v/>
      </c>
      <c r="N2341" s="70"/>
      <c r="O2341" s="71" t="str">
        <f t="shared" si="206"/>
        <v/>
      </c>
      <c r="P2341" s="66"/>
      <c r="Q2341" s="66"/>
      <c r="R2341" s="54"/>
      <c r="S2341" s="82"/>
      <c r="T2341" s="83" t="str">
        <f t="shared" si="208"/>
        <v/>
      </c>
      <c r="U2341" s="10"/>
      <c r="V2341" s="41">
        <f>IF(AND(Q2341&lt;&gt;"",RIGHT(Q2341,3)&lt;&gt;""),IF(COUNTIF($Q$6:Q2341,Q2341)=1,1,0),0)</f>
        <v>0</v>
      </c>
      <c r="W2341" s="41" t="str">
        <f t="shared" si="209"/>
        <v/>
      </c>
      <c r="X2341" s="41" t="str">
        <f t="shared" si="210"/>
        <v/>
      </c>
    </row>
    <row r="2342" s="32" customFormat="1" hidden="1" customHeight="1" spans="1:24">
      <c r="A2342" s="34"/>
      <c r="B2342" s="51"/>
      <c r="C2342" s="51"/>
      <c r="D2342" s="52"/>
      <c r="E2342" s="53"/>
      <c r="F2342" s="54"/>
      <c r="G2342" s="54"/>
      <c r="H2342" s="54"/>
      <c r="I2342" s="66"/>
      <c r="J2342" s="54"/>
      <c r="K2342" s="54"/>
      <c r="L2342" s="54"/>
      <c r="M2342" s="97" t="str">
        <f t="shared" si="207"/>
        <v/>
      </c>
      <c r="N2342" s="70"/>
      <c r="O2342" s="71" t="str">
        <f t="shared" si="206"/>
        <v/>
      </c>
      <c r="P2342" s="66"/>
      <c r="Q2342" s="66"/>
      <c r="R2342" s="54"/>
      <c r="S2342" s="82"/>
      <c r="T2342" s="83" t="str">
        <f t="shared" si="208"/>
        <v/>
      </c>
      <c r="U2342" s="10"/>
      <c r="V2342" s="41">
        <f>IF(AND(Q2342&lt;&gt;"",RIGHT(Q2342,3)&lt;&gt;""),IF(COUNTIF($Q$6:Q2342,Q2342)=1,1,0),0)</f>
        <v>0</v>
      </c>
      <c r="W2342" s="41" t="str">
        <f t="shared" si="209"/>
        <v/>
      </c>
      <c r="X2342" s="41" t="str">
        <f t="shared" si="210"/>
        <v/>
      </c>
    </row>
    <row r="2343" s="32" customFormat="1" hidden="1" customHeight="1" spans="1:24">
      <c r="A2343" s="34"/>
      <c r="B2343" s="51"/>
      <c r="C2343" s="51"/>
      <c r="D2343" s="52"/>
      <c r="E2343" s="53"/>
      <c r="F2343" s="54"/>
      <c r="G2343" s="54"/>
      <c r="H2343" s="54"/>
      <c r="I2343" s="66"/>
      <c r="J2343" s="54"/>
      <c r="K2343" s="54"/>
      <c r="L2343" s="54"/>
      <c r="M2343" s="97" t="str">
        <f t="shared" si="207"/>
        <v/>
      </c>
      <c r="N2343" s="70"/>
      <c r="O2343" s="71" t="str">
        <f t="shared" si="206"/>
        <v/>
      </c>
      <c r="P2343" s="66"/>
      <c r="Q2343" s="66"/>
      <c r="R2343" s="54"/>
      <c r="S2343" s="82"/>
      <c r="T2343" s="83" t="str">
        <f t="shared" si="208"/>
        <v/>
      </c>
      <c r="U2343" s="10"/>
      <c r="V2343" s="41">
        <f>IF(AND(Q2343&lt;&gt;"",RIGHT(Q2343,3)&lt;&gt;""),IF(COUNTIF($Q$6:Q2343,Q2343)=1,1,0),0)</f>
        <v>0</v>
      </c>
      <c r="W2343" s="41" t="str">
        <f t="shared" si="209"/>
        <v/>
      </c>
      <c r="X2343" s="41" t="str">
        <f t="shared" si="210"/>
        <v/>
      </c>
    </row>
    <row r="2344" s="32" customFormat="1" hidden="1" customHeight="1" spans="1:24">
      <c r="A2344" s="34"/>
      <c r="B2344" s="51"/>
      <c r="C2344" s="51"/>
      <c r="D2344" s="52"/>
      <c r="E2344" s="53"/>
      <c r="F2344" s="54"/>
      <c r="G2344" s="54"/>
      <c r="H2344" s="54"/>
      <c r="I2344" s="66"/>
      <c r="J2344" s="54"/>
      <c r="K2344" s="54"/>
      <c r="L2344" s="54"/>
      <c r="M2344" s="97" t="str">
        <f t="shared" si="207"/>
        <v/>
      </c>
      <c r="N2344" s="70"/>
      <c r="O2344" s="71" t="str">
        <f t="shared" si="206"/>
        <v/>
      </c>
      <c r="P2344" s="66"/>
      <c r="Q2344" s="66"/>
      <c r="R2344" s="54"/>
      <c r="S2344" s="82"/>
      <c r="T2344" s="83" t="str">
        <f t="shared" si="208"/>
        <v/>
      </c>
      <c r="U2344" s="10"/>
      <c r="V2344" s="41">
        <f>IF(AND(Q2344&lt;&gt;"",RIGHT(Q2344,3)&lt;&gt;""),IF(COUNTIF($Q$6:Q2344,Q2344)=1,1,0),0)</f>
        <v>0</v>
      </c>
      <c r="W2344" s="41" t="str">
        <f t="shared" si="209"/>
        <v/>
      </c>
      <c r="X2344" s="41" t="str">
        <f t="shared" si="210"/>
        <v/>
      </c>
    </row>
    <row r="2345" s="32" customFormat="1" hidden="1" customHeight="1" spans="1:24">
      <c r="A2345" s="34"/>
      <c r="B2345" s="51"/>
      <c r="C2345" s="51"/>
      <c r="D2345" s="52"/>
      <c r="E2345" s="53"/>
      <c r="F2345" s="54"/>
      <c r="G2345" s="54"/>
      <c r="H2345" s="54"/>
      <c r="I2345" s="66"/>
      <c r="J2345" s="54"/>
      <c r="K2345" s="54"/>
      <c r="L2345" s="54"/>
      <c r="M2345" s="97" t="str">
        <f t="shared" si="207"/>
        <v/>
      </c>
      <c r="N2345" s="70"/>
      <c r="O2345" s="71" t="str">
        <f t="shared" si="206"/>
        <v/>
      </c>
      <c r="P2345" s="66"/>
      <c r="Q2345" s="66"/>
      <c r="R2345" s="54"/>
      <c r="S2345" s="82"/>
      <c r="T2345" s="83" t="str">
        <f t="shared" si="208"/>
        <v/>
      </c>
      <c r="U2345" s="10"/>
      <c r="V2345" s="41">
        <f>IF(AND(Q2345&lt;&gt;"",RIGHT(Q2345,3)&lt;&gt;""),IF(COUNTIF($Q$6:Q2345,Q2345)=1,1,0),0)</f>
        <v>0</v>
      </c>
      <c r="W2345" s="41" t="str">
        <f t="shared" si="209"/>
        <v/>
      </c>
      <c r="X2345" s="41" t="str">
        <f t="shared" si="210"/>
        <v/>
      </c>
    </row>
    <row r="2346" s="32" customFormat="1" hidden="1" customHeight="1" spans="1:24">
      <c r="A2346" s="34"/>
      <c r="B2346" s="51"/>
      <c r="C2346" s="51"/>
      <c r="D2346" s="52"/>
      <c r="E2346" s="53"/>
      <c r="F2346" s="54"/>
      <c r="G2346" s="54"/>
      <c r="H2346" s="54"/>
      <c r="I2346" s="66"/>
      <c r="J2346" s="54"/>
      <c r="K2346" s="54"/>
      <c r="L2346" s="54"/>
      <c r="M2346" s="97" t="str">
        <f t="shared" si="207"/>
        <v/>
      </c>
      <c r="N2346" s="70"/>
      <c r="O2346" s="71" t="str">
        <f t="shared" si="206"/>
        <v/>
      </c>
      <c r="P2346" s="66"/>
      <c r="Q2346" s="66"/>
      <c r="R2346" s="54"/>
      <c r="S2346" s="82"/>
      <c r="T2346" s="83" t="str">
        <f t="shared" si="208"/>
        <v/>
      </c>
      <c r="U2346" s="10"/>
      <c r="V2346" s="41">
        <f>IF(AND(Q2346&lt;&gt;"",RIGHT(Q2346,3)&lt;&gt;""),IF(COUNTIF($Q$6:Q2346,Q2346)=1,1,0),0)</f>
        <v>0</v>
      </c>
      <c r="W2346" s="41" t="str">
        <f t="shared" si="209"/>
        <v/>
      </c>
      <c r="X2346" s="41" t="str">
        <f t="shared" si="210"/>
        <v/>
      </c>
    </row>
    <row r="2347" s="32" customFormat="1" hidden="1" customHeight="1" spans="1:24">
      <c r="A2347" s="34"/>
      <c r="B2347" s="51"/>
      <c r="C2347" s="51"/>
      <c r="D2347" s="52"/>
      <c r="E2347" s="53"/>
      <c r="F2347" s="54"/>
      <c r="G2347" s="54"/>
      <c r="H2347" s="54"/>
      <c r="I2347" s="66"/>
      <c r="J2347" s="54"/>
      <c r="K2347" s="54"/>
      <c r="L2347" s="54"/>
      <c r="M2347" s="97" t="str">
        <f t="shared" si="207"/>
        <v/>
      </c>
      <c r="N2347" s="70"/>
      <c r="O2347" s="71" t="str">
        <f t="shared" si="206"/>
        <v/>
      </c>
      <c r="P2347" s="66"/>
      <c r="Q2347" s="66"/>
      <c r="R2347" s="54"/>
      <c r="S2347" s="82"/>
      <c r="T2347" s="83" t="str">
        <f t="shared" si="208"/>
        <v/>
      </c>
      <c r="U2347" s="10"/>
      <c r="V2347" s="41">
        <f>IF(AND(Q2347&lt;&gt;"",RIGHT(Q2347,3)&lt;&gt;""),IF(COUNTIF($Q$6:Q2347,Q2347)=1,1,0),0)</f>
        <v>0</v>
      </c>
      <c r="W2347" s="41" t="str">
        <f t="shared" si="209"/>
        <v/>
      </c>
      <c r="X2347" s="41" t="str">
        <f t="shared" si="210"/>
        <v/>
      </c>
    </row>
    <row r="2348" s="32" customFormat="1" hidden="1" customHeight="1" spans="1:24">
      <c r="A2348" s="34"/>
      <c r="B2348" s="51"/>
      <c r="C2348" s="51"/>
      <c r="D2348" s="52"/>
      <c r="E2348" s="53"/>
      <c r="F2348" s="54"/>
      <c r="G2348" s="54"/>
      <c r="H2348" s="54"/>
      <c r="I2348" s="66"/>
      <c r="J2348" s="54"/>
      <c r="K2348" s="54"/>
      <c r="L2348" s="54"/>
      <c r="M2348" s="97" t="str">
        <f t="shared" si="207"/>
        <v/>
      </c>
      <c r="N2348" s="70"/>
      <c r="O2348" s="71" t="str">
        <f t="shared" si="206"/>
        <v/>
      </c>
      <c r="P2348" s="66"/>
      <c r="Q2348" s="66"/>
      <c r="R2348" s="54"/>
      <c r="S2348" s="82"/>
      <c r="T2348" s="83" t="str">
        <f t="shared" si="208"/>
        <v/>
      </c>
      <c r="U2348" s="10"/>
      <c r="V2348" s="41">
        <f>IF(AND(Q2348&lt;&gt;"",RIGHT(Q2348,3)&lt;&gt;""),IF(COUNTIF($Q$6:Q2348,Q2348)=1,1,0),0)</f>
        <v>0</v>
      </c>
      <c r="W2348" s="41" t="str">
        <f t="shared" si="209"/>
        <v/>
      </c>
      <c r="X2348" s="41" t="str">
        <f t="shared" si="210"/>
        <v/>
      </c>
    </row>
    <row r="2349" s="32" customFormat="1" hidden="1" customHeight="1" spans="1:24">
      <c r="A2349" s="34"/>
      <c r="B2349" s="51"/>
      <c r="C2349" s="51"/>
      <c r="D2349" s="52"/>
      <c r="E2349" s="53"/>
      <c r="F2349" s="54"/>
      <c r="G2349" s="54"/>
      <c r="H2349" s="54"/>
      <c r="I2349" s="66"/>
      <c r="J2349" s="54"/>
      <c r="K2349" s="54"/>
      <c r="L2349" s="54"/>
      <c r="M2349" s="97" t="str">
        <f t="shared" si="207"/>
        <v/>
      </c>
      <c r="N2349" s="70"/>
      <c r="O2349" s="71" t="str">
        <f t="shared" si="206"/>
        <v/>
      </c>
      <c r="P2349" s="66"/>
      <c r="Q2349" s="66"/>
      <c r="R2349" s="54"/>
      <c r="S2349" s="82"/>
      <c r="T2349" s="83" t="str">
        <f t="shared" si="208"/>
        <v/>
      </c>
      <c r="U2349" s="10"/>
      <c r="V2349" s="41">
        <f>IF(AND(Q2349&lt;&gt;"",RIGHT(Q2349,3)&lt;&gt;""),IF(COUNTIF($Q$6:Q2349,Q2349)=1,1,0),0)</f>
        <v>0</v>
      </c>
      <c r="W2349" s="41" t="str">
        <f t="shared" si="209"/>
        <v/>
      </c>
      <c r="X2349" s="41" t="str">
        <f t="shared" si="210"/>
        <v/>
      </c>
    </row>
    <row r="2350" s="32" customFormat="1" hidden="1" customHeight="1" spans="1:24">
      <c r="A2350" s="34"/>
      <c r="B2350" s="51"/>
      <c r="C2350" s="51"/>
      <c r="D2350" s="52"/>
      <c r="E2350" s="53"/>
      <c r="F2350" s="54"/>
      <c r="G2350" s="54"/>
      <c r="H2350" s="54"/>
      <c r="I2350" s="66"/>
      <c r="J2350" s="54"/>
      <c r="K2350" s="54"/>
      <c r="L2350" s="54"/>
      <c r="M2350" s="97" t="str">
        <f t="shared" si="207"/>
        <v/>
      </c>
      <c r="N2350" s="70"/>
      <c r="O2350" s="71" t="str">
        <f t="shared" si="206"/>
        <v/>
      </c>
      <c r="P2350" s="66"/>
      <c r="Q2350" s="66"/>
      <c r="R2350" s="54"/>
      <c r="S2350" s="82"/>
      <c r="T2350" s="83" t="str">
        <f t="shared" si="208"/>
        <v/>
      </c>
      <c r="U2350" s="10"/>
      <c r="V2350" s="41">
        <f>IF(AND(Q2350&lt;&gt;"",RIGHT(Q2350,3)&lt;&gt;""),IF(COUNTIF($Q$6:Q2350,Q2350)=1,1,0),0)</f>
        <v>0</v>
      </c>
      <c r="W2350" s="41" t="str">
        <f t="shared" si="209"/>
        <v/>
      </c>
      <c r="X2350" s="41" t="str">
        <f t="shared" si="210"/>
        <v/>
      </c>
    </row>
    <row r="2351" s="32" customFormat="1" hidden="1" customHeight="1" spans="1:24">
      <c r="A2351" s="34"/>
      <c r="B2351" s="51"/>
      <c r="C2351" s="51"/>
      <c r="D2351" s="52"/>
      <c r="E2351" s="53"/>
      <c r="F2351" s="54"/>
      <c r="G2351" s="54"/>
      <c r="H2351" s="54"/>
      <c r="I2351" s="66"/>
      <c r="J2351" s="54"/>
      <c r="K2351" s="54"/>
      <c r="L2351" s="54"/>
      <c r="M2351" s="97" t="str">
        <f t="shared" si="207"/>
        <v/>
      </c>
      <c r="N2351" s="70"/>
      <c r="O2351" s="71" t="str">
        <f t="shared" si="206"/>
        <v/>
      </c>
      <c r="P2351" s="66"/>
      <c r="Q2351" s="66"/>
      <c r="R2351" s="54"/>
      <c r="S2351" s="82"/>
      <c r="T2351" s="83" t="str">
        <f t="shared" si="208"/>
        <v/>
      </c>
      <c r="U2351" s="10"/>
      <c r="V2351" s="41">
        <f>IF(AND(Q2351&lt;&gt;"",RIGHT(Q2351,3)&lt;&gt;""),IF(COUNTIF($Q$6:Q2351,Q2351)=1,1,0),0)</f>
        <v>0</v>
      </c>
      <c r="W2351" s="41" t="str">
        <f t="shared" si="209"/>
        <v/>
      </c>
      <c r="X2351" s="41" t="str">
        <f t="shared" si="210"/>
        <v/>
      </c>
    </row>
    <row r="2352" s="32" customFormat="1" hidden="1" customHeight="1" spans="1:24">
      <c r="A2352" s="34"/>
      <c r="B2352" s="51"/>
      <c r="C2352" s="51"/>
      <c r="D2352" s="52"/>
      <c r="E2352" s="53"/>
      <c r="F2352" s="54"/>
      <c r="G2352" s="54"/>
      <c r="H2352" s="54"/>
      <c r="I2352" s="66"/>
      <c r="J2352" s="54"/>
      <c r="K2352" s="54"/>
      <c r="L2352" s="54"/>
      <c r="M2352" s="97" t="str">
        <f t="shared" si="207"/>
        <v/>
      </c>
      <c r="N2352" s="70"/>
      <c r="O2352" s="71" t="str">
        <f t="shared" si="206"/>
        <v/>
      </c>
      <c r="P2352" s="66"/>
      <c r="Q2352" s="66"/>
      <c r="R2352" s="54"/>
      <c r="S2352" s="82"/>
      <c r="T2352" s="83" t="str">
        <f t="shared" si="208"/>
        <v/>
      </c>
      <c r="U2352" s="10"/>
      <c r="V2352" s="41">
        <f>IF(AND(Q2352&lt;&gt;"",RIGHT(Q2352,3)&lt;&gt;""),IF(COUNTIF($Q$6:Q2352,Q2352)=1,1,0),0)</f>
        <v>0</v>
      </c>
      <c r="W2352" s="41" t="str">
        <f t="shared" si="209"/>
        <v/>
      </c>
      <c r="X2352" s="41" t="str">
        <f t="shared" si="210"/>
        <v/>
      </c>
    </row>
    <row r="2353" s="32" customFormat="1" hidden="1" customHeight="1" spans="1:24">
      <c r="A2353" s="34"/>
      <c r="B2353" s="51"/>
      <c r="C2353" s="51"/>
      <c r="D2353" s="52"/>
      <c r="E2353" s="53"/>
      <c r="F2353" s="54"/>
      <c r="G2353" s="54"/>
      <c r="H2353" s="54"/>
      <c r="I2353" s="66"/>
      <c r="J2353" s="54"/>
      <c r="K2353" s="54"/>
      <c r="L2353" s="54"/>
      <c r="M2353" s="97" t="str">
        <f t="shared" si="207"/>
        <v/>
      </c>
      <c r="N2353" s="70"/>
      <c r="O2353" s="71" t="str">
        <f t="shared" ref="O2353:O2416" si="211">IF(AND(Q2353&lt;&gt;"",T2353&lt;&gt;""),"PASSIVE",IF(AND(J2353&lt;&gt;"",M2353&lt;&gt;""),"ACTIVE",""))</f>
        <v/>
      </c>
      <c r="P2353" s="66"/>
      <c r="Q2353" s="66"/>
      <c r="R2353" s="54"/>
      <c r="S2353" s="82"/>
      <c r="T2353" s="83" t="str">
        <f t="shared" si="208"/>
        <v/>
      </c>
      <c r="U2353" s="10"/>
      <c r="V2353" s="41">
        <f>IF(AND(Q2353&lt;&gt;"",RIGHT(Q2353,3)&lt;&gt;""),IF(COUNTIF($Q$6:Q2353,Q2353)=1,1,0),0)</f>
        <v>0</v>
      </c>
      <c r="W2353" s="41" t="str">
        <f t="shared" si="209"/>
        <v/>
      </c>
      <c r="X2353" s="41" t="str">
        <f t="shared" si="210"/>
        <v/>
      </c>
    </row>
    <row r="2354" s="32" customFormat="1" hidden="1" customHeight="1" spans="1:24">
      <c r="A2354" s="34"/>
      <c r="B2354" s="51"/>
      <c r="C2354" s="51"/>
      <c r="D2354" s="52"/>
      <c r="E2354" s="53"/>
      <c r="F2354" s="54"/>
      <c r="G2354" s="54"/>
      <c r="H2354" s="54"/>
      <c r="I2354" s="66"/>
      <c r="J2354" s="54"/>
      <c r="K2354" s="54"/>
      <c r="L2354" s="54"/>
      <c r="M2354" s="97" t="str">
        <f t="shared" si="207"/>
        <v/>
      </c>
      <c r="N2354" s="70"/>
      <c r="O2354" s="71" t="str">
        <f t="shared" si="211"/>
        <v/>
      </c>
      <c r="P2354" s="66"/>
      <c r="Q2354" s="66"/>
      <c r="R2354" s="54"/>
      <c r="S2354" s="82"/>
      <c r="T2354" s="83" t="str">
        <f t="shared" si="208"/>
        <v/>
      </c>
      <c r="U2354" s="10"/>
      <c r="V2354" s="41">
        <f>IF(AND(Q2354&lt;&gt;"",RIGHT(Q2354,3)&lt;&gt;""),IF(COUNTIF($Q$6:Q2354,Q2354)=1,1,0),0)</f>
        <v>0</v>
      </c>
      <c r="W2354" s="41" t="str">
        <f t="shared" si="209"/>
        <v/>
      </c>
      <c r="X2354" s="41" t="str">
        <f t="shared" si="210"/>
        <v/>
      </c>
    </row>
    <row r="2355" s="32" customFormat="1" hidden="1" customHeight="1" spans="1:24">
      <c r="A2355" s="34"/>
      <c r="B2355" s="51"/>
      <c r="C2355" s="51"/>
      <c r="D2355" s="52"/>
      <c r="E2355" s="53"/>
      <c r="F2355" s="54"/>
      <c r="G2355" s="54"/>
      <c r="H2355" s="54"/>
      <c r="I2355" s="66"/>
      <c r="J2355" s="54"/>
      <c r="K2355" s="54"/>
      <c r="L2355" s="54"/>
      <c r="M2355" s="97" t="str">
        <f t="shared" si="207"/>
        <v/>
      </c>
      <c r="N2355" s="70"/>
      <c r="O2355" s="71" t="str">
        <f t="shared" si="211"/>
        <v/>
      </c>
      <c r="P2355" s="66"/>
      <c r="Q2355" s="66"/>
      <c r="R2355" s="54"/>
      <c r="S2355" s="82"/>
      <c r="T2355" s="83" t="str">
        <f t="shared" si="208"/>
        <v/>
      </c>
      <c r="U2355" s="10"/>
      <c r="V2355" s="41">
        <f>IF(AND(Q2355&lt;&gt;"",RIGHT(Q2355,3)&lt;&gt;""),IF(COUNTIF($Q$6:Q2355,Q2355)=1,1,0),0)</f>
        <v>0</v>
      </c>
      <c r="W2355" s="41" t="str">
        <f t="shared" si="209"/>
        <v/>
      </c>
      <c r="X2355" s="41" t="str">
        <f t="shared" si="210"/>
        <v/>
      </c>
    </row>
    <row r="2356" s="32" customFormat="1" hidden="1" customHeight="1" spans="1:24">
      <c r="A2356" s="34"/>
      <c r="B2356" s="51"/>
      <c r="C2356" s="51"/>
      <c r="D2356" s="52"/>
      <c r="E2356" s="53"/>
      <c r="F2356" s="54"/>
      <c r="G2356" s="54"/>
      <c r="H2356" s="54"/>
      <c r="I2356" s="66"/>
      <c r="J2356" s="54"/>
      <c r="K2356" s="54"/>
      <c r="L2356" s="54"/>
      <c r="M2356" s="97" t="str">
        <f t="shared" si="207"/>
        <v/>
      </c>
      <c r="N2356" s="70"/>
      <c r="O2356" s="71" t="str">
        <f t="shared" si="211"/>
        <v/>
      </c>
      <c r="P2356" s="66"/>
      <c r="Q2356" s="66"/>
      <c r="R2356" s="54"/>
      <c r="S2356" s="82"/>
      <c r="T2356" s="83" t="str">
        <f t="shared" si="208"/>
        <v/>
      </c>
      <c r="U2356" s="10"/>
      <c r="V2356" s="41">
        <f>IF(AND(Q2356&lt;&gt;"",RIGHT(Q2356,3)&lt;&gt;""),IF(COUNTIF($Q$6:Q2356,Q2356)=1,1,0),0)</f>
        <v>0</v>
      </c>
      <c r="W2356" s="41" t="str">
        <f t="shared" si="209"/>
        <v/>
      </c>
      <c r="X2356" s="41" t="str">
        <f t="shared" si="210"/>
        <v/>
      </c>
    </row>
    <row r="2357" s="32" customFormat="1" hidden="1" customHeight="1" spans="1:24">
      <c r="A2357" s="34"/>
      <c r="B2357" s="51"/>
      <c r="C2357" s="51"/>
      <c r="D2357" s="52"/>
      <c r="E2357" s="53"/>
      <c r="F2357" s="54"/>
      <c r="G2357" s="54"/>
      <c r="H2357" s="54"/>
      <c r="I2357" s="66"/>
      <c r="J2357" s="54"/>
      <c r="K2357" s="54"/>
      <c r="L2357" s="54"/>
      <c r="M2357" s="97" t="str">
        <f t="shared" si="207"/>
        <v/>
      </c>
      <c r="N2357" s="70"/>
      <c r="O2357" s="71" t="str">
        <f t="shared" si="211"/>
        <v/>
      </c>
      <c r="P2357" s="66"/>
      <c r="Q2357" s="66"/>
      <c r="R2357" s="54"/>
      <c r="S2357" s="82"/>
      <c r="T2357" s="83" t="str">
        <f t="shared" si="208"/>
        <v/>
      </c>
      <c r="U2357" s="10"/>
      <c r="V2357" s="41">
        <f>IF(AND(Q2357&lt;&gt;"",RIGHT(Q2357,3)&lt;&gt;""),IF(COUNTIF($Q$6:Q2357,Q2357)=1,1,0),0)</f>
        <v>0</v>
      </c>
      <c r="W2357" s="41" t="str">
        <f t="shared" si="209"/>
        <v/>
      </c>
      <c r="X2357" s="41" t="str">
        <f t="shared" si="210"/>
        <v/>
      </c>
    </row>
    <row r="2358" s="32" customFormat="1" hidden="1" customHeight="1" spans="1:24">
      <c r="A2358" s="34"/>
      <c r="B2358" s="51"/>
      <c r="C2358" s="51"/>
      <c r="D2358" s="52"/>
      <c r="E2358" s="53"/>
      <c r="F2358" s="54"/>
      <c r="G2358" s="54"/>
      <c r="H2358" s="54"/>
      <c r="I2358" s="66"/>
      <c r="J2358" s="54"/>
      <c r="K2358" s="54"/>
      <c r="L2358" s="54"/>
      <c r="M2358" s="97" t="str">
        <f t="shared" si="207"/>
        <v/>
      </c>
      <c r="N2358" s="70"/>
      <c r="O2358" s="71" t="str">
        <f t="shared" si="211"/>
        <v/>
      </c>
      <c r="P2358" s="66"/>
      <c r="Q2358" s="66"/>
      <c r="R2358" s="54"/>
      <c r="S2358" s="82"/>
      <c r="T2358" s="83" t="str">
        <f t="shared" si="208"/>
        <v/>
      </c>
      <c r="U2358" s="10"/>
      <c r="V2358" s="41">
        <f>IF(AND(Q2358&lt;&gt;"",RIGHT(Q2358,3)&lt;&gt;""),IF(COUNTIF($Q$6:Q2358,Q2358)=1,1,0),0)</f>
        <v>0</v>
      </c>
      <c r="W2358" s="41" t="str">
        <f t="shared" si="209"/>
        <v/>
      </c>
      <c r="X2358" s="41" t="str">
        <f t="shared" si="210"/>
        <v/>
      </c>
    </row>
    <row r="2359" s="32" customFormat="1" hidden="1" customHeight="1" spans="1:24">
      <c r="A2359" s="34"/>
      <c r="B2359" s="51"/>
      <c r="C2359" s="51"/>
      <c r="D2359" s="52"/>
      <c r="E2359" s="53"/>
      <c r="F2359" s="54"/>
      <c r="G2359" s="54"/>
      <c r="H2359" s="54"/>
      <c r="I2359" s="66"/>
      <c r="J2359" s="54"/>
      <c r="K2359" s="54"/>
      <c r="L2359" s="54"/>
      <c r="M2359" s="97" t="str">
        <f t="shared" si="207"/>
        <v/>
      </c>
      <c r="N2359" s="70"/>
      <c r="O2359" s="71" t="str">
        <f t="shared" si="211"/>
        <v/>
      </c>
      <c r="P2359" s="66"/>
      <c r="Q2359" s="66"/>
      <c r="R2359" s="54"/>
      <c r="S2359" s="82"/>
      <c r="T2359" s="83" t="str">
        <f t="shared" si="208"/>
        <v/>
      </c>
      <c r="U2359" s="10"/>
      <c r="V2359" s="41">
        <f>IF(AND(Q2359&lt;&gt;"",RIGHT(Q2359,3)&lt;&gt;""),IF(COUNTIF($Q$6:Q2359,Q2359)=1,1,0),0)</f>
        <v>0</v>
      </c>
      <c r="W2359" s="41" t="str">
        <f t="shared" si="209"/>
        <v/>
      </c>
      <c r="X2359" s="41" t="str">
        <f t="shared" si="210"/>
        <v/>
      </c>
    </row>
    <row r="2360" s="32" customFormat="1" hidden="1" customHeight="1" spans="1:24">
      <c r="A2360" s="34"/>
      <c r="B2360" s="51"/>
      <c r="C2360" s="51"/>
      <c r="D2360" s="52"/>
      <c r="E2360" s="53"/>
      <c r="F2360" s="54"/>
      <c r="G2360" s="54"/>
      <c r="H2360" s="54"/>
      <c r="I2360" s="66"/>
      <c r="J2360" s="54"/>
      <c r="K2360" s="54"/>
      <c r="L2360" s="54"/>
      <c r="M2360" s="97" t="str">
        <f t="shared" si="207"/>
        <v/>
      </c>
      <c r="N2360" s="70"/>
      <c r="O2360" s="71" t="str">
        <f t="shared" si="211"/>
        <v/>
      </c>
      <c r="P2360" s="66"/>
      <c r="Q2360" s="66"/>
      <c r="R2360" s="54"/>
      <c r="S2360" s="82"/>
      <c r="T2360" s="83" t="str">
        <f t="shared" si="208"/>
        <v/>
      </c>
      <c r="U2360" s="10"/>
      <c r="V2360" s="41">
        <f>IF(AND(Q2360&lt;&gt;"",RIGHT(Q2360,3)&lt;&gt;""),IF(COUNTIF($Q$6:Q2360,Q2360)=1,1,0),0)</f>
        <v>0</v>
      </c>
      <c r="W2360" s="41" t="str">
        <f t="shared" si="209"/>
        <v/>
      </c>
      <c r="X2360" s="41" t="str">
        <f t="shared" si="210"/>
        <v/>
      </c>
    </row>
    <row r="2361" s="32" customFormat="1" hidden="1" customHeight="1" spans="1:24">
      <c r="A2361" s="34"/>
      <c r="B2361" s="51"/>
      <c r="C2361" s="51"/>
      <c r="D2361" s="52"/>
      <c r="E2361" s="53"/>
      <c r="F2361" s="54"/>
      <c r="G2361" s="54"/>
      <c r="H2361" s="54"/>
      <c r="I2361" s="66"/>
      <c r="J2361" s="54"/>
      <c r="K2361" s="54"/>
      <c r="L2361" s="54"/>
      <c r="M2361" s="97" t="str">
        <f t="shared" si="207"/>
        <v/>
      </c>
      <c r="N2361" s="70"/>
      <c r="O2361" s="71" t="str">
        <f t="shared" si="211"/>
        <v/>
      </c>
      <c r="P2361" s="66"/>
      <c r="Q2361" s="66"/>
      <c r="R2361" s="54"/>
      <c r="S2361" s="82"/>
      <c r="T2361" s="83" t="str">
        <f t="shared" si="208"/>
        <v/>
      </c>
      <c r="U2361" s="10"/>
      <c r="V2361" s="41">
        <f>IF(AND(Q2361&lt;&gt;"",RIGHT(Q2361,3)&lt;&gt;""),IF(COUNTIF($Q$6:Q2361,Q2361)=1,1,0),0)</f>
        <v>0</v>
      </c>
      <c r="W2361" s="41" t="str">
        <f t="shared" si="209"/>
        <v/>
      </c>
      <c r="X2361" s="41" t="str">
        <f t="shared" si="210"/>
        <v/>
      </c>
    </row>
    <row r="2362" s="32" customFormat="1" hidden="1" customHeight="1" spans="1:24">
      <c r="A2362" s="34"/>
      <c r="B2362" s="51"/>
      <c r="C2362" s="51"/>
      <c r="D2362" s="52"/>
      <c r="E2362" s="53"/>
      <c r="F2362" s="54"/>
      <c r="G2362" s="54"/>
      <c r="H2362" s="54"/>
      <c r="I2362" s="66"/>
      <c r="J2362" s="54"/>
      <c r="K2362" s="54"/>
      <c r="L2362" s="54"/>
      <c r="M2362" s="97" t="str">
        <f t="shared" si="207"/>
        <v/>
      </c>
      <c r="N2362" s="70"/>
      <c r="O2362" s="71" t="str">
        <f t="shared" si="211"/>
        <v/>
      </c>
      <c r="P2362" s="66"/>
      <c r="Q2362" s="66"/>
      <c r="R2362" s="54"/>
      <c r="S2362" s="82"/>
      <c r="T2362" s="83" t="str">
        <f t="shared" si="208"/>
        <v/>
      </c>
      <c r="U2362" s="10"/>
      <c r="V2362" s="41">
        <f>IF(AND(Q2362&lt;&gt;"",RIGHT(Q2362,3)&lt;&gt;""),IF(COUNTIF($Q$6:Q2362,Q2362)=1,1,0),0)</f>
        <v>0</v>
      </c>
      <c r="W2362" s="41" t="str">
        <f t="shared" si="209"/>
        <v/>
      </c>
      <c r="X2362" s="41" t="str">
        <f t="shared" si="210"/>
        <v/>
      </c>
    </row>
    <row r="2363" s="32" customFormat="1" hidden="1" customHeight="1" spans="1:24">
      <c r="A2363" s="34"/>
      <c r="B2363" s="51"/>
      <c r="C2363" s="51"/>
      <c r="D2363" s="52"/>
      <c r="E2363" s="53"/>
      <c r="F2363" s="54"/>
      <c r="G2363" s="54"/>
      <c r="H2363" s="54"/>
      <c r="I2363" s="66"/>
      <c r="J2363" s="54"/>
      <c r="K2363" s="54"/>
      <c r="L2363" s="54"/>
      <c r="M2363" s="97" t="str">
        <f t="shared" si="207"/>
        <v/>
      </c>
      <c r="N2363" s="70"/>
      <c r="O2363" s="71" t="str">
        <f t="shared" si="211"/>
        <v/>
      </c>
      <c r="P2363" s="66"/>
      <c r="Q2363" s="66"/>
      <c r="R2363" s="54"/>
      <c r="S2363" s="82"/>
      <c r="T2363" s="83" t="str">
        <f t="shared" si="208"/>
        <v/>
      </c>
      <c r="U2363" s="10"/>
      <c r="V2363" s="41">
        <f>IF(AND(Q2363&lt;&gt;"",RIGHT(Q2363,3)&lt;&gt;""),IF(COUNTIF($Q$6:Q2363,Q2363)=1,1,0),0)</f>
        <v>0</v>
      </c>
      <c r="W2363" s="41" t="str">
        <f t="shared" si="209"/>
        <v/>
      </c>
      <c r="X2363" s="41" t="str">
        <f t="shared" si="210"/>
        <v/>
      </c>
    </row>
    <row r="2364" s="32" customFormat="1" hidden="1" customHeight="1" spans="1:24">
      <c r="A2364" s="34"/>
      <c r="B2364" s="51"/>
      <c r="C2364" s="51"/>
      <c r="D2364" s="52"/>
      <c r="E2364" s="53"/>
      <c r="F2364" s="54"/>
      <c r="G2364" s="54"/>
      <c r="H2364" s="54"/>
      <c r="I2364" s="66"/>
      <c r="J2364" s="54"/>
      <c r="K2364" s="54"/>
      <c r="L2364" s="54"/>
      <c r="M2364" s="97" t="str">
        <f t="shared" si="207"/>
        <v/>
      </c>
      <c r="N2364" s="70"/>
      <c r="O2364" s="71" t="str">
        <f t="shared" si="211"/>
        <v/>
      </c>
      <c r="P2364" s="66"/>
      <c r="Q2364" s="66"/>
      <c r="R2364" s="54"/>
      <c r="S2364" s="82"/>
      <c r="T2364" s="83" t="str">
        <f t="shared" si="208"/>
        <v/>
      </c>
      <c r="U2364" s="10"/>
      <c r="V2364" s="41">
        <f>IF(AND(Q2364&lt;&gt;"",RIGHT(Q2364,3)&lt;&gt;""),IF(COUNTIF($Q$6:Q2364,Q2364)=1,1,0),0)</f>
        <v>0</v>
      </c>
      <c r="W2364" s="41" t="str">
        <f t="shared" si="209"/>
        <v/>
      </c>
      <c r="X2364" s="41" t="str">
        <f t="shared" si="210"/>
        <v/>
      </c>
    </row>
    <row r="2365" s="32" customFormat="1" hidden="1" customHeight="1" spans="1:24">
      <c r="A2365" s="34"/>
      <c r="B2365" s="51"/>
      <c r="C2365" s="51"/>
      <c r="D2365" s="52"/>
      <c r="E2365" s="53"/>
      <c r="F2365" s="54"/>
      <c r="G2365" s="54"/>
      <c r="H2365" s="54"/>
      <c r="I2365" s="66"/>
      <c r="J2365" s="54"/>
      <c r="K2365" s="54"/>
      <c r="L2365" s="54"/>
      <c r="M2365" s="97" t="str">
        <f t="shared" si="207"/>
        <v/>
      </c>
      <c r="N2365" s="70"/>
      <c r="O2365" s="71" t="str">
        <f t="shared" si="211"/>
        <v/>
      </c>
      <c r="P2365" s="66"/>
      <c r="Q2365" s="66"/>
      <c r="R2365" s="54"/>
      <c r="S2365" s="82"/>
      <c r="T2365" s="83" t="str">
        <f t="shared" si="208"/>
        <v/>
      </c>
      <c r="U2365" s="10"/>
      <c r="V2365" s="41">
        <f>IF(AND(Q2365&lt;&gt;"",RIGHT(Q2365,3)&lt;&gt;""),IF(COUNTIF($Q$6:Q2365,Q2365)=1,1,0),0)</f>
        <v>0</v>
      </c>
      <c r="W2365" s="41" t="str">
        <f t="shared" si="209"/>
        <v/>
      </c>
      <c r="X2365" s="41" t="str">
        <f t="shared" si="210"/>
        <v/>
      </c>
    </row>
    <row r="2366" s="32" customFormat="1" hidden="1" customHeight="1" spans="1:24">
      <c r="A2366" s="34"/>
      <c r="B2366" s="51"/>
      <c r="C2366" s="51"/>
      <c r="D2366" s="52"/>
      <c r="E2366" s="53"/>
      <c r="F2366" s="54"/>
      <c r="G2366" s="54"/>
      <c r="H2366" s="54"/>
      <c r="I2366" s="66"/>
      <c r="J2366" s="54"/>
      <c r="K2366" s="54"/>
      <c r="L2366" s="54"/>
      <c r="M2366" s="97" t="str">
        <f t="shared" si="207"/>
        <v/>
      </c>
      <c r="N2366" s="70"/>
      <c r="O2366" s="71" t="str">
        <f t="shared" si="211"/>
        <v/>
      </c>
      <c r="P2366" s="66"/>
      <c r="Q2366" s="66"/>
      <c r="R2366" s="54"/>
      <c r="S2366" s="82"/>
      <c r="T2366" s="83" t="str">
        <f t="shared" si="208"/>
        <v/>
      </c>
      <c r="U2366" s="10"/>
      <c r="V2366" s="41">
        <f>IF(AND(Q2366&lt;&gt;"",RIGHT(Q2366,3)&lt;&gt;""),IF(COUNTIF($Q$6:Q2366,Q2366)=1,1,0),0)</f>
        <v>0</v>
      </c>
      <c r="W2366" s="41" t="str">
        <f t="shared" si="209"/>
        <v/>
      </c>
      <c r="X2366" s="41" t="str">
        <f t="shared" si="210"/>
        <v/>
      </c>
    </row>
    <row r="2367" s="32" customFormat="1" hidden="1" customHeight="1" spans="1:24">
      <c r="A2367" s="34"/>
      <c r="B2367" s="51"/>
      <c r="C2367" s="51"/>
      <c r="D2367" s="52"/>
      <c r="E2367" s="53"/>
      <c r="F2367" s="54"/>
      <c r="G2367" s="54"/>
      <c r="H2367" s="54"/>
      <c r="I2367" s="66"/>
      <c r="J2367" s="54"/>
      <c r="K2367" s="54"/>
      <c r="L2367" s="54"/>
      <c r="M2367" s="97" t="str">
        <f t="shared" si="207"/>
        <v/>
      </c>
      <c r="N2367" s="70"/>
      <c r="O2367" s="71" t="str">
        <f t="shared" si="211"/>
        <v/>
      </c>
      <c r="P2367" s="66"/>
      <c r="Q2367" s="66"/>
      <c r="R2367" s="54"/>
      <c r="S2367" s="82"/>
      <c r="T2367" s="83" t="str">
        <f t="shared" si="208"/>
        <v/>
      </c>
      <c r="U2367" s="10"/>
      <c r="V2367" s="41">
        <f>IF(AND(Q2367&lt;&gt;"",RIGHT(Q2367,3)&lt;&gt;""),IF(COUNTIF($Q$6:Q2367,Q2367)=1,1,0),0)</f>
        <v>0</v>
      </c>
      <c r="W2367" s="41" t="str">
        <f t="shared" si="209"/>
        <v/>
      </c>
      <c r="X2367" s="41" t="str">
        <f t="shared" si="210"/>
        <v/>
      </c>
    </row>
    <row r="2368" s="32" customFormat="1" hidden="1" customHeight="1" spans="1:24">
      <c r="A2368" s="34"/>
      <c r="B2368" s="51"/>
      <c r="C2368" s="51"/>
      <c r="D2368" s="52"/>
      <c r="E2368" s="53"/>
      <c r="F2368" s="54"/>
      <c r="G2368" s="54"/>
      <c r="H2368" s="54"/>
      <c r="I2368" s="66"/>
      <c r="J2368" s="54"/>
      <c r="K2368" s="54"/>
      <c r="L2368" s="54"/>
      <c r="M2368" s="97" t="str">
        <f t="shared" si="207"/>
        <v/>
      </c>
      <c r="N2368" s="70"/>
      <c r="O2368" s="71" t="str">
        <f t="shared" si="211"/>
        <v/>
      </c>
      <c r="P2368" s="66"/>
      <c r="Q2368" s="66"/>
      <c r="R2368" s="54"/>
      <c r="S2368" s="82"/>
      <c r="T2368" s="83" t="str">
        <f t="shared" si="208"/>
        <v/>
      </c>
      <c r="U2368" s="10"/>
      <c r="V2368" s="41">
        <f>IF(AND(Q2368&lt;&gt;"",RIGHT(Q2368,3)&lt;&gt;""),IF(COUNTIF($Q$6:Q2368,Q2368)=1,1,0),0)</f>
        <v>0</v>
      </c>
      <c r="W2368" s="41" t="str">
        <f t="shared" si="209"/>
        <v/>
      </c>
      <c r="X2368" s="41" t="str">
        <f t="shared" si="210"/>
        <v/>
      </c>
    </row>
    <row r="2369" s="32" customFormat="1" hidden="1" customHeight="1" spans="1:24">
      <c r="A2369" s="34"/>
      <c r="B2369" s="51"/>
      <c r="C2369" s="51"/>
      <c r="D2369" s="52"/>
      <c r="E2369" s="53"/>
      <c r="F2369" s="54"/>
      <c r="G2369" s="54"/>
      <c r="H2369" s="54"/>
      <c r="I2369" s="66"/>
      <c r="J2369" s="54"/>
      <c r="K2369" s="54"/>
      <c r="L2369" s="54"/>
      <c r="M2369" s="97" t="str">
        <f t="shared" si="207"/>
        <v/>
      </c>
      <c r="N2369" s="70"/>
      <c r="O2369" s="71" t="str">
        <f t="shared" si="211"/>
        <v/>
      </c>
      <c r="P2369" s="66"/>
      <c r="Q2369" s="66"/>
      <c r="R2369" s="54"/>
      <c r="S2369" s="82"/>
      <c r="T2369" s="83" t="str">
        <f t="shared" si="208"/>
        <v/>
      </c>
      <c r="U2369" s="10"/>
      <c r="V2369" s="41">
        <f>IF(AND(Q2369&lt;&gt;"",RIGHT(Q2369,3)&lt;&gt;""),IF(COUNTIF($Q$6:Q2369,Q2369)=1,1,0),0)</f>
        <v>0</v>
      </c>
      <c r="W2369" s="41" t="str">
        <f t="shared" si="209"/>
        <v/>
      </c>
      <c r="X2369" s="41" t="str">
        <f t="shared" si="210"/>
        <v/>
      </c>
    </row>
    <row r="2370" s="32" customFormat="1" hidden="1" customHeight="1" spans="1:24">
      <c r="A2370" s="34"/>
      <c r="B2370" s="51"/>
      <c r="C2370" s="51"/>
      <c r="D2370" s="52"/>
      <c r="E2370" s="53"/>
      <c r="F2370" s="54"/>
      <c r="G2370" s="54"/>
      <c r="H2370" s="54"/>
      <c r="I2370" s="66"/>
      <c r="J2370" s="54"/>
      <c r="K2370" s="54"/>
      <c r="L2370" s="54"/>
      <c r="M2370" s="97" t="str">
        <f t="shared" si="207"/>
        <v/>
      </c>
      <c r="N2370" s="70"/>
      <c r="O2370" s="71" t="str">
        <f t="shared" si="211"/>
        <v/>
      </c>
      <c r="P2370" s="66"/>
      <c r="Q2370" s="66"/>
      <c r="R2370" s="54"/>
      <c r="S2370" s="82"/>
      <c r="T2370" s="83" t="str">
        <f t="shared" si="208"/>
        <v/>
      </c>
      <c r="U2370" s="10"/>
      <c r="V2370" s="41">
        <f>IF(AND(Q2370&lt;&gt;"",RIGHT(Q2370,3)&lt;&gt;""),IF(COUNTIF($Q$6:Q2370,Q2370)=1,1,0),0)</f>
        <v>0</v>
      </c>
      <c r="W2370" s="41" t="str">
        <f t="shared" si="209"/>
        <v/>
      </c>
      <c r="X2370" s="41" t="str">
        <f t="shared" si="210"/>
        <v/>
      </c>
    </row>
    <row r="2371" s="32" customFormat="1" hidden="1" customHeight="1" spans="1:24">
      <c r="A2371" s="34"/>
      <c r="B2371" s="51"/>
      <c r="C2371" s="51"/>
      <c r="D2371" s="52"/>
      <c r="E2371" s="53"/>
      <c r="F2371" s="54"/>
      <c r="G2371" s="54"/>
      <c r="H2371" s="54"/>
      <c r="I2371" s="66"/>
      <c r="J2371" s="54"/>
      <c r="K2371" s="54"/>
      <c r="L2371" s="54"/>
      <c r="M2371" s="97" t="str">
        <f t="shared" si="207"/>
        <v/>
      </c>
      <c r="N2371" s="70"/>
      <c r="O2371" s="71" t="str">
        <f t="shared" si="211"/>
        <v/>
      </c>
      <c r="P2371" s="66"/>
      <c r="Q2371" s="66"/>
      <c r="R2371" s="54"/>
      <c r="S2371" s="82"/>
      <c r="T2371" s="83" t="str">
        <f t="shared" si="208"/>
        <v/>
      </c>
      <c r="U2371" s="10"/>
      <c r="V2371" s="41">
        <f>IF(AND(Q2371&lt;&gt;"",RIGHT(Q2371,3)&lt;&gt;""),IF(COUNTIF($Q$6:Q2371,Q2371)=1,1,0),0)</f>
        <v>0</v>
      </c>
      <c r="W2371" s="41" t="str">
        <f t="shared" si="209"/>
        <v/>
      </c>
      <c r="X2371" s="41" t="str">
        <f t="shared" si="210"/>
        <v/>
      </c>
    </row>
    <row r="2372" s="32" customFormat="1" hidden="1" customHeight="1" spans="1:24">
      <c r="A2372" s="34"/>
      <c r="B2372" s="51"/>
      <c r="C2372" s="51"/>
      <c r="D2372" s="52"/>
      <c r="E2372" s="53"/>
      <c r="F2372" s="54"/>
      <c r="G2372" s="54"/>
      <c r="H2372" s="54"/>
      <c r="I2372" s="66"/>
      <c r="J2372" s="54"/>
      <c r="K2372" s="54"/>
      <c r="L2372" s="54"/>
      <c r="M2372" s="97" t="str">
        <f t="shared" si="207"/>
        <v/>
      </c>
      <c r="N2372" s="70"/>
      <c r="O2372" s="71" t="str">
        <f t="shared" si="211"/>
        <v/>
      </c>
      <c r="P2372" s="66"/>
      <c r="Q2372" s="66"/>
      <c r="R2372" s="54"/>
      <c r="S2372" s="82"/>
      <c r="T2372" s="83" t="str">
        <f t="shared" si="208"/>
        <v/>
      </c>
      <c r="U2372" s="10"/>
      <c r="V2372" s="41">
        <f>IF(AND(Q2372&lt;&gt;"",RIGHT(Q2372,3)&lt;&gt;""),IF(COUNTIF($Q$6:Q2372,Q2372)=1,1,0),0)</f>
        <v>0</v>
      </c>
      <c r="W2372" s="41" t="str">
        <f t="shared" si="209"/>
        <v/>
      </c>
      <c r="X2372" s="41" t="str">
        <f t="shared" si="210"/>
        <v/>
      </c>
    </row>
    <row r="2373" s="32" customFormat="1" hidden="1" customHeight="1" spans="1:24">
      <c r="A2373" s="34"/>
      <c r="B2373" s="51"/>
      <c r="C2373" s="51"/>
      <c r="D2373" s="52"/>
      <c r="E2373" s="53"/>
      <c r="F2373" s="54"/>
      <c r="G2373" s="54"/>
      <c r="H2373" s="54"/>
      <c r="I2373" s="66"/>
      <c r="J2373" s="54"/>
      <c r="K2373" s="54"/>
      <c r="L2373" s="54"/>
      <c r="M2373" s="97" t="str">
        <f t="shared" si="207"/>
        <v/>
      </c>
      <c r="N2373" s="70"/>
      <c r="O2373" s="71" t="str">
        <f t="shared" si="211"/>
        <v/>
      </c>
      <c r="P2373" s="66"/>
      <c r="Q2373" s="66"/>
      <c r="R2373" s="54"/>
      <c r="S2373" s="82"/>
      <c r="T2373" s="83" t="str">
        <f t="shared" si="208"/>
        <v/>
      </c>
      <c r="U2373" s="10"/>
      <c r="V2373" s="41">
        <f>IF(AND(Q2373&lt;&gt;"",RIGHT(Q2373,3)&lt;&gt;""),IF(COUNTIF($Q$6:Q2373,Q2373)=1,1,0),0)</f>
        <v>0</v>
      </c>
      <c r="W2373" s="41" t="str">
        <f t="shared" si="209"/>
        <v/>
      </c>
      <c r="X2373" s="41" t="str">
        <f t="shared" si="210"/>
        <v/>
      </c>
    </row>
    <row r="2374" s="32" customFormat="1" hidden="1" customHeight="1" spans="1:24">
      <c r="A2374" s="34"/>
      <c r="B2374" s="51"/>
      <c r="C2374" s="51"/>
      <c r="D2374" s="52"/>
      <c r="E2374" s="53"/>
      <c r="F2374" s="54"/>
      <c r="G2374" s="54"/>
      <c r="H2374" s="54"/>
      <c r="I2374" s="66"/>
      <c r="J2374" s="54"/>
      <c r="K2374" s="54"/>
      <c r="L2374" s="54"/>
      <c r="M2374" s="97" t="str">
        <f t="shared" si="207"/>
        <v/>
      </c>
      <c r="N2374" s="70"/>
      <c r="O2374" s="71" t="str">
        <f t="shared" si="211"/>
        <v/>
      </c>
      <c r="P2374" s="66"/>
      <c r="Q2374" s="66"/>
      <c r="R2374" s="54"/>
      <c r="S2374" s="82"/>
      <c r="T2374" s="83" t="str">
        <f t="shared" si="208"/>
        <v/>
      </c>
      <c r="U2374" s="10"/>
      <c r="V2374" s="41">
        <f>IF(AND(Q2374&lt;&gt;"",RIGHT(Q2374,3)&lt;&gt;""),IF(COUNTIF($Q$6:Q2374,Q2374)=1,1,0),0)</f>
        <v>0</v>
      </c>
      <c r="W2374" s="41" t="str">
        <f t="shared" si="209"/>
        <v/>
      </c>
      <c r="X2374" s="41" t="str">
        <f t="shared" si="210"/>
        <v/>
      </c>
    </row>
    <row r="2375" s="32" customFormat="1" hidden="1" customHeight="1" spans="1:24">
      <c r="A2375" s="34"/>
      <c r="B2375" s="51"/>
      <c r="C2375" s="51"/>
      <c r="D2375" s="52"/>
      <c r="E2375" s="53"/>
      <c r="F2375" s="54"/>
      <c r="G2375" s="54"/>
      <c r="H2375" s="54"/>
      <c r="I2375" s="66"/>
      <c r="J2375" s="54"/>
      <c r="K2375" s="54"/>
      <c r="L2375" s="54"/>
      <c r="M2375" s="97" t="str">
        <f t="shared" si="207"/>
        <v/>
      </c>
      <c r="N2375" s="70"/>
      <c r="O2375" s="71" t="str">
        <f t="shared" si="211"/>
        <v/>
      </c>
      <c r="P2375" s="66"/>
      <c r="Q2375" s="66"/>
      <c r="R2375" s="54"/>
      <c r="S2375" s="82"/>
      <c r="T2375" s="83" t="str">
        <f t="shared" si="208"/>
        <v/>
      </c>
      <c r="U2375" s="10"/>
      <c r="V2375" s="41">
        <f>IF(AND(Q2375&lt;&gt;"",RIGHT(Q2375,3)&lt;&gt;""),IF(COUNTIF($Q$6:Q2375,Q2375)=1,1,0),0)</f>
        <v>0</v>
      </c>
      <c r="W2375" s="41" t="str">
        <f t="shared" si="209"/>
        <v/>
      </c>
      <c r="X2375" s="41" t="str">
        <f t="shared" si="210"/>
        <v/>
      </c>
    </row>
    <row r="2376" s="32" customFormat="1" hidden="1" customHeight="1" spans="1:24">
      <c r="A2376" s="34"/>
      <c r="B2376" s="51"/>
      <c r="C2376" s="51"/>
      <c r="D2376" s="52"/>
      <c r="E2376" s="53"/>
      <c r="F2376" s="54"/>
      <c r="G2376" s="54"/>
      <c r="H2376" s="54"/>
      <c r="I2376" s="66"/>
      <c r="J2376" s="54"/>
      <c r="K2376" s="54"/>
      <c r="L2376" s="54"/>
      <c r="M2376" s="97" t="str">
        <f t="shared" si="207"/>
        <v/>
      </c>
      <c r="N2376" s="70"/>
      <c r="O2376" s="71" t="str">
        <f t="shared" si="211"/>
        <v/>
      </c>
      <c r="P2376" s="66"/>
      <c r="Q2376" s="66"/>
      <c r="R2376" s="54"/>
      <c r="S2376" s="82"/>
      <c r="T2376" s="83" t="str">
        <f t="shared" si="208"/>
        <v/>
      </c>
      <c r="U2376" s="10"/>
      <c r="V2376" s="41">
        <f>IF(AND(Q2376&lt;&gt;"",RIGHT(Q2376,3)&lt;&gt;""),IF(COUNTIF($Q$6:Q2376,Q2376)=1,1,0),0)</f>
        <v>0</v>
      </c>
      <c r="W2376" s="41" t="str">
        <f t="shared" si="209"/>
        <v/>
      </c>
      <c r="X2376" s="41" t="str">
        <f t="shared" si="210"/>
        <v/>
      </c>
    </row>
    <row r="2377" s="32" customFormat="1" hidden="1" customHeight="1" spans="1:24">
      <c r="A2377" s="34"/>
      <c r="B2377" s="51"/>
      <c r="C2377" s="51"/>
      <c r="D2377" s="52"/>
      <c r="E2377" s="53"/>
      <c r="F2377" s="54"/>
      <c r="G2377" s="54"/>
      <c r="H2377" s="54"/>
      <c r="I2377" s="66"/>
      <c r="J2377" s="54"/>
      <c r="K2377" s="54"/>
      <c r="L2377" s="54"/>
      <c r="M2377" s="97" t="str">
        <f t="shared" si="207"/>
        <v/>
      </c>
      <c r="N2377" s="70"/>
      <c r="O2377" s="71" t="str">
        <f t="shared" si="211"/>
        <v/>
      </c>
      <c r="P2377" s="66"/>
      <c r="Q2377" s="66"/>
      <c r="R2377" s="54"/>
      <c r="S2377" s="82"/>
      <c r="T2377" s="83" t="str">
        <f t="shared" si="208"/>
        <v/>
      </c>
      <c r="U2377" s="10"/>
      <c r="V2377" s="41">
        <f>IF(AND(Q2377&lt;&gt;"",RIGHT(Q2377,3)&lt;&gt;""),IF(COUNTIF($Q$6:Q2377,Q2377)=1,1,0),0)</f>
        <v>0</v>
      </c>
      <c r="W2377" s="41" t="str">
        <f t="shared" si="209"/>
        <v/>
      </c>
      <c r="X2377" s="41" t="str">
        <f t="shared" si="210"/>
        <v/>
      </c>
    </row>
    <row r="2378" s="32" customFormat="1" hidden="1" customHeight="1" spans="1:24">
      <c r="A2378" s="34"/>
      <c r="B2378" s="51"/>
      <c r="C2378" s="51"/>
      <c r="D2378" s="52"/>
      <c r="E2378" s="53"/>
      <c r="F2378" s="54"/>
      <c r="G2378" s="54"/>
      <c r="H2378" s="54"/>
      <c r="I2378" s="66"/>
      <c r="J2378" s="54"/>
      <c r="K2378" s="54"/>
      <c r="L2378" s="54"/>
      <c r="M2378" s="97" t="str">
        <f t="shared" si="207"/>
        <v/>
      </c>
      <c r="N2378" s="70"/>
      <c r="O2378" s="71" t="str">
        <f t="shared" si="211"/>
        <v/>
      </c>
      <c r="P2378" s="66"/>
      <c r="Q2378" s="66"/>
      <c r="R2378" s="54"/>
      <c r="S2378" s="82"/>
      <c r="T2378" s="83" t="str">
        <f t="shared" si="208"/>
        <v/>
      </c>
      <c r="U2378" s="10"/>
      <c r="V2378" s="41">
        <f>IF(AND(Q2378&lt;&gt;"",RIGHT(Q2378,3)&lt;&gt;""),IF(COUNTIF($Q$6:Q2378,Q2378)=1,1,0),0)</f>
        <v>0</v>
      </c>
      <c r="W2378" s="41" t="str">
        <f t="shared" si="209"/>
        <v/>
      </c>
      <c r="X2378" s="41" t="str">
        <f t="shared" si="210"/>
        <v/>
      </c>
    </row>
    <row r="2379" s="32" customFormat="1" hidden="1" customHeight="1" spans="1:24">
      <c r="A2379" s="34"/>
      <c r="B2379" s="51"/>
      <c r="C2379" s="51"/>
      <c r="D2379" s="52"/>
      <c r="E2379" s="53"/>
      <c r="F2379" s="54"/>
      <c r="G2379" s="54"/>
      <c r="H2379" s="54"/>
      <c r="I2379" s="66"/>
      <c r="J2379" s="54"/>
      <c r="K2379" s="54"/>
      <c r="L2379" s="54"/>
      <c r="M2379" s="97" t="str">
        <f t="shared" si="207"/>
        <v/>
      </c>
      <c r="N2379" s="70"/>
      <c r="O2379" s="71" t="str">
        <f t="shared" si="211"/>
        <v/>
      </c>
      <c r="P2379" s="66"/>
      <c r="Q2379" s="66"/>
      <c r="R2379" s="54"/>
      <c r="S2379" s="82"/>
      <c r="T2379" s="83" t="str">
        <f t="shared" si="208"/>
        <v/>
      </c>
      <c r="U2379" s="10"/>
      <c r="V2379" s="41">
        <f>IF(AND(Q2379&lt;&gt;"",RIGHT(Q2379,3)&lt;&gt;""),IF(COUNTIF($Q$6:Q2379,Q2379)=1,1,0),0)</f>
        <v>0</v>
      </c>
      <c r="W2379" s="41" t="str">
        <f t="shared" si="209"/>
        <v/>
      </c>
      <c r="X2379" s="41" t="str">
        <f t="shared" si="210"/>
        <v/>
      </c>
    </row>
    <row r="2380" s="32" customFormat="1" hidden="1" customHeight="1" spans="1:24">
      <c r="A2380" s="34"/>
      <c r="B2380" s="51"/>
      <c r="C2380" s="51"/>
      <c r="D2380" s="52"/>
      <c r="E2380" s="53"/>
      <c r="F2380" s="54"/>
      <c r="G2380" s="54"/>
      <c r="H2380" s="54"/>
      <c r="I2380" s="66"/>
      <c r="J2380" s="54"/>
      <c r="K2380" s="54"/>
      <c r="L2380" s="54"/>
      <c r="M2380" s="97" t="str">
        <f t="shared" si="207"/>
        <v/>
      </c>
      <c r="N2380" s="70"/>
      <c r="O2380" s="71" t="str">
        <f t="shared" si="211"/>
        <v/>
      </c>
      <c r="P2380" s="66"/>
      <c r="Q2380" s="66"/>
      <c r="R2380" s="54"/>
      <c r="S2380" s="82"/>
      <c r="T2380" s="83" t="str">
        <f t="shared" si="208"/>
        <v/>
      </c>
      <c r="U2380" s="10"/>
      <c r="V2380" s="41">
        <f>IF(AND(Q2380&lt;&gt;"",RIGHT(Q2380,3)&lt;&gt;""),IF(COUNTIF($Q$6:Q2380,Q2380)=1,1,0),0)</f>
        <v>0</v>
      </c>
      <c r="W2380" s="41" t="str">
        <f t="shared" si="209"/>
        <v/>
      </c>
      <c r="X2380" s="41" t="str">
        <f t="shared" si="210"/>
        <v/>
      </c>
    </row>
    <row r="2381" s="32" customFormat="1" hidden="1" customHeight="1" spans="1:24">
      <c r="A2381" s="34"/>
      <c r="B2381" s="51"/>
      <c r="C2381" s="51"/>
      <c r="D2381" s="52"/>
      <c r="E2381" s="53"/>
      <c r="F2381" s="54"/>
      <c r="G2381" s="54"/>
      <c r="H2381" s="54"/>
      <c r="I2381" s="66"/>
      <c r="J2381" s="54"/>
      <c r="K2381" s="54"/>
      <c r="L2381" s="54"/>
      <c r="M2381" s="97" t="str">
        <f t="shared" si="207"/>
        <v/>
      </c>
      <c r="N2381" s="70"/>
      <c r="O2381" s="71" t="str">
        <f t="shared" si="211"/>
        <v/>
      </c>
      <c r="P2381" s="66"/>
      <c r="Q2381" s="66"/>
      <c r="R2381" s="54"/>
      <c r="S2381" s="82"/>
      <c r="T2381" s="83" t="str">
        <f t="shared" si="208"/>
        <v/>
      </c>
      <c r="U2381" s="10"/>
      <c r="V2381" s="41">
        <f>IF(AND(Q2381&lt;&gt;"",RIGHT(Q2381,3)&lt;&gt;""),IF(COUNTIF($Q$6:Q2381,Q2381)=1,1,0),0)</f>
        <v>0</v>
      </c>
      <c r="W2381" s="41" t="str">
        <f t="shared" si="209"/>
        <v/>
      </c>
      <c r="X2381" s="41" t="str">
        <f t="shared" si="210"/>
        <v/>
      </c>
    </row>
    <row r="2382" s="32" customFormat="1" hidden="1" customHeight="1" spans="1:24">
      <c r="A2382" s="34"/>
      <c r="B2382" s="51"/>
      <c r="C2382" s="51"/>
      <c r="D2382" s="52"/>
      <c r="E2382" s="53"/>
      <c r="F2382" s="54"/>
      <c r="G2382" s="54"/>
      <c r="H2382" s="54"/>
      <c r="I2382" s="66"/>
      <c r="J2382" s="54"/>
      <c r="K2382" s="54"/>
      <c r="L2382" s="54"/>
      <c r="M2382" s="97" t="str">
        <f t="shared" si="207"/>
        <v/>
      </c>
      <c r="N2382" s="70"/>
      <c r="O2382" s="71" t="str">
        <f t="shared" si="211"/>
        <v/>
      </c>
      <c r="P2382" s="66"/>
      <c r="Q2382" s="66"/>
      <c r="R2382" s="54"/>
      <c r="S2382" s="82"/>
      <c r="T2382" s="83" t="str">
        <f t="shared" si="208"/>
        <v/>
      </c>
      <c r="U2382" s="10"/>
      <c r="V2382" s="41">
        <f>IF(AND(Q2382&lt;&gt;"",RIGHT(Q2382,3)&lt;&gt;""),IF(COUNTIF($Q$6:Q2382,Q2382)=1,1,0),0)</f>
        <v>0</v>
      </c>
      <c r="W2382" s="41" t="str">
        <f t="shared" si="209"/>
        <v/>
      </c>
      <c r="X2382" s="41" t="str">
        <f t="shared" si="210"/>
        <v/>
      </c>
    </row>
    <row r="2383" s="32" customFormat="1" hidden="1" customHeight="1" spans="1:24">
      <c r="A2383" s="34"/>
      <c r="B2383" s="51"/>
      <c r="C2383" s="51"/>
      <c r="D2383" s="52"/>
      <c r="E2383" s="53"/>
      <c r="F2383" s="54"/>
      <c r="G2383" s="54"/>
      <c r="H2383" s="54"/>
      <c r="I2383" s="66"/>
      <c r="J2383" s="54"/>
      <c r="K2383" s="54"/>
      <c r="L2383" s="54"/>
      <c r="M2383" s="97" t="str">
        <f t="shared" si="207"/>
        <v/>
      </c>
      <c r="N2383" s="70"/>
      <c r="O2383" s="71" t="str">
        <f t="shared" si="211"/>
        <v/>
      </c>
      <c r="P2383" s="66"/>
      <c r="Q2383" s="66"/>
      <c r="R2383" s="54"/>
      <c r="S2383" s="82"/>
      <c r="T2383" s="83" t="str">
        <f t="shared" si="208"/>
        <v/>
      </c>
      <c r="U2383" s="10"/>
      <c r="V2383" s="41">
        <f>IF(AND(Q2383&lt;&gt;"",RIGHT(Q2383,3)&lt;&gt;""),IF(COUNTIF($Q$6:Q2383,Q2383)=1,1,0),0)</f>
        <v>0</v>
      </c>
      <c r="W2383" s="41" t="str">
        <f t="shared" si="209"/>
        <v/>
      </c>
      <c r="X2383" s="41" t="str">
        <f t="shared" si="210"/>
        <v/>
      </c>
    </row>
    <row r="2384" s="32" customFormat="1" hidden="1" customHeight="1" spans="1:24">
      <c r="A2384" s="34"/>
      <c r="B2384" s="51"/>
      <c r="C2384" s="51"/>
      <c r="D2384" s="52"/>
      <c r="E2384" s="53"/>
      <c r="F2384" s="54"/>
      <c r="G2384" s="54"/>
      <c r="H2384" s="54"/>
      <c r="I2384" s="66"/>
      <c r="J2384" s="54"/>
      <c r="K2384" s="54"/>
      <c r="L2384" s="54"/>
      <c r="M2384" s="97" t="str">
        <f t="shared" si="207"/>
        <v/>
      </c>
      <c r="N2384" s="70"/>
      <c r="O2384" s="71" t="str">
        <f t="shared" si="211"/>
        <v/>
      </c>
      <c r="P2384" s="66"/>
      <c r="Q2384" s="66"/>
      <c r="R2384" s="54"/>
      <c r="S2384" s="82"/>
      <c r="T2384" s="83" t="str">
        <f t="shared" si="208"/>
        <v/>
      </c>
      <c r="U2384" s="10"/>
      <c r="V2384" s="41">
        <f>IF(AND(Q2384&lt;&gt;"",RIGHT(Q2384,3)&lt;&gt;""),IF(COUNTIF($Q$6:Q2384,Q2384)=1,1,0),0)</f>
        <v>0</v>
      </c>
      <c r="W2384" s="41" t="str">
        <f t="shared" si="209"/>
        <v/>
      </c>
      <c r="X2384" s="41" t="str">
        <f t="shared" si="210"/>
        <v/>
      </c>
    </row>
    <row r="2385" s="32" customFormat="1" hidden="1" customHeight="1" spans="1:24">
      <c r="A2385" s="34"/>
      <c r="B2385" s="51"/>
      <c r="C2385" s="51"/>
      <c r="D2385" s="52"/>
      <c r="E2385" s="53"/>
      <c r="F2385" s="54"/>
      <c r="G2385" s="54"/>
      <c r="H2385" s="54"/>
      <c r="I2385" s="66"/>
      <c r="J2385" s="54"/>
      <c r="K2385" s="54"/>
      <c r="L2385" s="54"/>
      <c r="M2385" s="97" t="str">
        <f t="shared" si="207"/>
        <v/>
      </c>
      <c r="N2385" s="70"/>
      <c r="O2385" s="71" t="str">
        <f t="shared" si="211"/>
        <v/>
      </c>
      <c r="P2385" s="66"/>
      <c r="Q2385" s="66"/>
      <c r="R2385" s="54"/>
      <c r="S2385" s="82"/>
      <c r="T2385" s="83" t="str">
        <f t="shared" si="208"/>
        <v/>
      </c>
      <c r="U2385" s="10"/>
      <c r="V2385" s="41">
        <f>IF(AND(Q2385&lt;&gt;"",RIGHT(Q2385,3)&lt;&gt;""),IF(COUNTIF($Q$6:Q2385,Q2385)=1,1,0),0)</f>
        <v>0</v>
      </c>
      <c r="W2385" s="41" t="str">
        <f t="shared" si="209"/>
        <v/>
      </c>
      <c r="X2385" s="41" t="str">
        <f t="shared" si="210"/>
        <v/>
      </c>
    </row>
    <row r="2386" s="32" customFormat="1" hidden="1" customHeight="1" spans="1:24">
      <c r="A2386" s="34"/>
      <c r="B2386" s="51"/>
      <c r="C2386" s="51"/>
      <c r="D2386" s="52"/>
      <c r="E2386" s="53"/>
      <c r="F2386" s="54"/>
      <c r="G2386" s="54"/>
      <c r="H2386" s="54"/>
      <c r="I2386" s="66"/>
      <c r="J2386" s="54"/>
      <c r="K2386" s="54"/>
      <c r="L2386" s="54"/>
      <c r="M2386" s="97" t="str">
        <f t="shared" si="207"/>
        <v/>
      </c>
      <c r="N2386" s="70"/>
      <c r="O2386" s="71" t="str">
        <f t="shared" si="211"/>
        <v/>
      </c>
      <c r="P2386" s="66"/>
      <c r="Q2386" s="66"/>
      <c r="R2386" s="54"/>
      <c r="S2386" s="82"/>
      <c r="T2386" s="83" t="str">
        <f t="shared" si="208"/>
        <v/>
      </c>
      <c r="U2386" s="10"/>
      <c r="V2386" s="41">
        <f>IF(AND(Q2386&lt;&gt;"",RIGHT(Q2386,3)&lt;&gt;""),IF(COUNTIF($Q$6:Q2386,Q2386)=1,1,0),0)</f>
        <v>0</v>
      </c>
      <c r="W2386" s="41" t="str">
        <f t="shared" si="209"/>
        <v/>
      </c>
      <c r="X2386" s="41" t="str">
        <f t="shared" si="210"/>
        <v/>
      </c>
    </row>
    <row r="2387" s="32" customFormat="1" hidden="1" customHeight="1" spans="1:24">
      <c r="A2387" s="34"/>
      <c r="B2387" s="51"/>
      <c r="C2387" s="51"/>
      <c r="D2387" s="52"/>
      <c r="E2387" s="53"/>
      <c r="F2387" s="54"/>
      <c r="G2387" s="54"/>
      <c r="H2387" s="54"/>
      <c r="I2387" s="66"/>
      <c r="J2387" s="54"/>
      <c r="K2387" s="54"/>
      <c r="L2387" s="54"/>
      <c r="M2387" s="97" t="str">
        <f t="shared" si="207"/>
        <v/>
      </c>
      <c r="N2387" s="70"/>
      <c r="O2387" s="71" t="str">
        <f t="shared" si="211"/>
        <v/>
      </c>
      <c r="P2387" s="66"/>
      <c r="Q2387" s="66"/>
      <c r="R2387" s="54"/>
      <c r="S2387" s="82"/>
      <c r="T2387" s="83" t="str">
        <f t="shared" si="208"/>
        <v/>
      </c>
      <c r="U2387" s="10"/>
      <c r="V2387" s="41">
        <f>IF(AND(Q2387&lt;&gt;"",RIGHT(Q2387,3)&lt;&gt;""),IF(COUNTIF($Q$6:Q2387,Q2387)=1,1,0),0)</f>
        <v>0</v>
      </c>
      <c r="W2387" s="41" t="str">
        <f t="shared" si="209"/>
        <v/>
      </c>
      <c r="X2387" s="41" t="str">
        <f t="shared" si="210"/>
        <v/>
      </c>
    </row>
    <row r="2388" s="32" customFormat="1" hidden="1" customHeight="1" spans="1:24">
      <c r="A2388" s="34"/>
      <c r="B2388" s="51"/>
      <c r="C2388" s="51"/>
      <c r="D2388" s="52"/>
      <c r="E2388" s="53"/>
      <c r="F2388" s="54"/>
      <c r="G2388" s="54"/>
      <c r="H2388" s="54"/>
      <c r="I2388" s="66"/>
      <c r="J2388" s="54"/>
      <c r="K2388" s="54"/>
      <c r="L2388" s="54"/>
      <c r="M2388" s="97" t="str">
        <f t="shared" si="207"/>
        <v/>
      </c>
      <c r="N2388" s="70"/>
      <c r="O2388" s="71" t="str">
        <f t="shared" si="211"/>
        <v/>
      </c>
      <c r="P2388" s="66"/>
      <c r="Q2388" s="66"/>
      <c r="R2388" s="54"/>
      <c r="S2388" s="82"/>
      <c r="T2388" s="83" t="str">
        <f t="shared" si="208"/>
        <v/>
      </c>
      <c r="U2388" s="10"/>
      <c r="V2388" s="41">
        <f>IF(AND(Q2388&lt;&gt;"",RIGHT(Q2388,3)&lt;&gt;""),IF(COUNTIF($Q$6:Q2388,Q2388)=1,1,0),0)</f>
        <v>0</v>
      </c>
      <c r="W2388" s="41" t="str">
        <f t="shared" si="209"/>
        <v/>
      </c>
      <c r="X2388" s="41" t="str">
        <f t="shared" si="210"/>
        <v/>
      </c>
    </row>
    <row r="2389" s="32" customFormat="1" hidden="1" customHeight="1" spans="1:24">
      <c r="A2389" s="34"/>
      <c r="B2389" s="51"/>
      <c r="C2389" s="51"/>
      <c r="D2389" s="52"/>
      <c r="E2389" s="53"/>
      <c r="F2389" s="54"/>
      <c r="G2389" s="54"/>
      <c r="H2389" s="54"/>
      <c r="I2389" s="66"/>
      <c r="J2389" s="54"/>
      <c r="K2389" s="54"/>
      <c r="L2389" s="54"/>
      <c r="M2389" s="97" t="str">
        <f t="shared" si="207"/>
        <v/>
      </c>
      <c r="N2389" s="70"/>
      <c r="O2389" s="71" t="str">
        <f t="shared" si="211"/>
        <v/>
      </c>
      <c r="P2389" s="66"/>
      <c r="Q2389" s="66"/>
      <c r="R2389" s="54"/>
      <c r="S2389" s="82"/>
      <c r="T2389" s="83" t="str">
        <f t="shared" si="208"/>
        <v/>
      </c>
      <c r="U2389" s="10"/>
      <c r="V2389" s="41">
        <f>IF(AND(Q2389&lt;&gt;"",RIGHT(Q2389,3)&lt;&gt;""),IF(COUNTIF($Q$6:Q2389,Q2389)=1,1,0),0)</f>
        <v>0</v>
      </c>
      <c r="W2389" s="41" t="str">
        <f t="shared" si="209"/>
        <v/>
      </c>
      <c r="X2389" s="41" t="str">
        <f t="shared" si="210"/>
        <v/>
      </c>
    </row>
    <row r="2390" s="32" customFormat="1" hidden="1" customHeight="1" spans="1:24">
      <c r="A2390" s="34"/>
      <c r="B2390" s="51"/>
      <c r="C2390" s="51"/>
      <c r="D2390" s="52"/>
      <c r="E2390" s="53"/>
      <c r="F2390" s="54"/>
      <c r="G2390" s="54"/>
      <c r="H2390" s="54"/>
      <c r="I2390" s="66"/>
      <c r="J2390" s="54"/>
      <c r="K2390" s="54"/>
      <c r="L2390" s="54"/>
      <c r="M2390" s="97" t="str">
        <f t="shared" si="207"/>
        <v/>
      </c>
      <c r="N2390" s="70"/>
      <c r="O2390" s="71" t="str">
        <f t="shared" si="211"/>
        <v/>
      </c>
      <c r="P2390" s="66"/>
      <c r="Q2390" s="66"/>
      <c r="R2390" s="54"/>
      <c r="S2390" s="82"/>
      <c r="T2390" s="83" t="str">
        <f t="shared" si="208"/>
        <v/>
      </c>
      <c r="U2390" s="10"/>
      <c r="V2390" s="41">
        <f>IF(AND(Q2390&lt;&gt;"",RIGHT(Q2390,3)&lt;&gt;""),IF(COUNTIF($Q$6:Q2390,Q2390)=1,1,0),0)</f>
        <v>0</v>
      </c>
      <c r="W2390" s="41" t="str">
        <f t="shared" si="209"/>
        <v/>
      </c>
      <c r="X2390" s="41" t="str">
        <f t="shared" si="210"/>
        <v/>
      </c>
    </row>
    <row r="2391" s="32" customFormat="1" hidden="1" customHeight="1" spans="1:24">
      <c r="A2391" s="34"/>
      <c r="B2391" s="51"/>
      <c r="C2391" s="51"/>
      <c r="D2391" s="52"/>
      <c r="E2391" s="53"/>
      <c r="F2391" s="54"/>
      <c r="G2391" s="54"/>
      <c r="H2391" s="54"/>
      <c r="I2391" s="66"/>
      <c r="J2391" s="54"/>
      <c r="K2391" s="54"/>
      <c r="L2391" s="54"/>
      <c r="M2391" s="97" t="str">
        <f t="shared" si="207"/>
        <v/>
      </c>
      <c r="N2391" s="70"/>
      <c r="O2391" s="71" t="str">
        <f t="shared" si="211"/>
        <v/>
      </c>
      <c r="P2391" s="66"/>
      <c r="Q2391" s="66"/>
      <c r="R2391" s="54"/>
      <c r="S2391" s="82"/>
      <c r="T2391" s="83" t="str">
        <f t="shared" si="208"/>
        <v/>
      </c>
      <c r="U2391" s="10"/>
      <c r="V2391" s="41">
        <f>IF(AND(Q2391&lt;&gt;"",RIGHT(Q2391,3)&lt;&gt;""),IF(COUNTIF($Q$6:Q2391,Q2391)=1,1,0),0)</f>
        <v>0</v>
      </c>
      <c r="W2391" s="41" t="str">
        <f t="shared" si="209"/>
        <v/>
      </c>
      <c r="X2391" s="41" t="str">
        <f t="shared" si="210"/>
        <v/>
      </c>
    </row>
    <row r="2392" s="32" customFormat="1" hidden="1" customHeight="1" spans="1:24">
      <c r="A2392" s="34"/>
      <c r="B2392" s="51"/>
      <c r="C2392" s="51"/>
      <c r="D2392" s="52"/>
      <c r="E2392" s="53"/>
      <c r="F2392" s="54"/>
      <c r="G2392" s="54"/>
      <c r="H2392" s="54"/>
      <c r="I2392" s="66"/>
      <c r="J2392" s="54"/>
      <c r="K2392" s="54"/>
      <c r="L2392" s="54"/>
      <c r="M2392" s="97" t="str">
        <f t="shared" si="207"/>
        <v/>
      </c>
      <c r="N2392" s="70"/>
      <c r="O2392" s="71" t="str">
        <f t="shared" si="211"/>
        <v/>
      </c>
      <c r="P2392" s="66"/>
      <c r="Q2392" s="66"/>
      <c r="R2392" s="54"/>
      <c r="S2392" s="82"/>
      <c r="T2392" s="83" t="str">
        <f t="shared" si="208"/>
        <v/>
      </c>
      <c r="U2392" s="10"/>
      <c r="V2392" s="41">
        <f>IF(AND(Q2392&lt;&gt;"",RIGHT(Q2392,3)&lt;&gt;""),IF(COUNTIF($Q$6:Q2392,Q2392)=1,1,0),0)</f>
        <v>0</v>
      </c>
      <c r="W2392" s="41" t="str">
        <f t="shared" si="209"/>
        <v/>
      </c>
      <c r="X2392" s="41" t="str">
        <f t="shared" si="210"/>
        <v/>
      </c>
    </row>
    <row r="2393" s="32" customFormat="1" hidden="1" customHeight="1" spans="1:24">
      <c r="A2393" s="34"/>
      <c r="B2393" s="51"/>
      <c r="C2393" s="51"/>
      <c r="D2393" s="52"/>
      <c r="E2393" s="53"/>
      <c r="F2393" s="54"/>
      <c r="G2393" s="54"/>
      <c r="H2393" s="54"/>
      <c r="I2393" s="66"/>
      <c r="J2393" s="54"/>
      <c r="K2393" s="54"/>
      <c r="L2393" s="54"/>
      <c r="M2393" s="97" t="str">
        <f t="shared" si="207"/>
        <v/>
      </c>
      <c r="N2393" s="70"/>
      <c r="O2393" s="71" t="str">
        <f t="shared" si="211"/>
        <v/>
      </c>
      <c r="P2393" s="66"/>
      <c r="Q2393" s="66"/>
      <c r="R2393" s="54"/>
      <c r="S2393" s="82"/>
      <c r="T2393" s="83" t="str">
        <f t="shared" si="208"/>
        <v/>
      </c>
      <c r="U2393" s="10"/>
      <c r="V2393" s="41">
        <f>IF(AND(Q2393&lt;&gt;"",RIGHT(Q2393,3)&lt;&gt;""),IF(COUNTIF($Q$6:Q2393,Q2393)=1,1,0),0)</f>
        <v>0</v>
      </c>
      <c r="W2393" s="41" t="str">
        <f t="shared" si="209"/>
        <v/>
      </c>
      <c r="X2393" s="41" t="str">
        <f t="shared" si="210"/>
        <v/>
      </c>
    </row>
    <row r="2394" s="32" customFormat="1" hidden="1" customHeight="1" spans="1:24">
      <c r="A2394" s="34"/>
      <c r="B2394" s="51"/>
      <c r="C2394" s="51"/>
      <c r="D2394" s="52"/>
      <c r="E2394" s="53"/>
      <c r="F2394" s="54"/>
      <c r="G2394" s="54"/>
      <c r="H2394" s="54"/>
      <c r="I2394" s="66"/>
      <c r="J2394" s="54"/>
      <c r="K2394" s="54"/>
      <c r="L2394" s="54"/>
      <c r="M2394" s="97" t="str">
        <f t="shared" si="207"/>
        <v/>
      </c>
      <c r="N2394" s="70"/>
      <c r="O2394" s="71" t="str">
        <f t="shared" si="211"/>
        <v/>
      </c>
      <c r="P2394" s="66"/>
      <c r="Q2394" s="66"/>
      <c r="R2394" s="54"/>
      <c r="S2394" s="82"/>
      <c r="T2394" s="83" t="str">
        <f t="shared" si="208"/>
        <v/>
      </c>
      <c r="U2394" s="10"/>
      <c r="V2394" s="41">
        <f>IF(AND(Q2394&lt;&gt;"",RIGHT(Q2394,3)&lt;&gt;""),IF(COUNTIF($Q$6:Q2394,Q2394)=1,1,0),0)</f>
        <v>0</v>
      </c>
      <c r="W2394" s="41" t="str">
        <f t="shared" si="209"/>
        <v/>
      </c>
      <c r="X2394" s="41" t="str">
        <f t="shared" si="210"/>
        <v/>
      </c>
    </row>
    <row r="2395" s="32" customFormat="1" hidden="1" customHeight="1" spans="1:24">
      <c r="A2395" s="34"/>
      <c r="B2395" s="51"/>
      <c r="C2395" s="51"/>
      <c r="D2395" s="52"/>
      <c r="E2395" s="53"/>
      <c r="F2395" s="54"/>
      <c r="G2395" s="54"/>
      <c r="H2395" s="54"/>
      <c r="I2395" s="66"/>
      <c r="J2395" s="54"/>
      <c r="K2395" s="54"/>
      <c r="L2395" s="54"/>
      <c r="M2395" s="97" t="str">
        <f t="shared" si="207"/>
        <v/>
      </c>
      <c r="N2395" s="70"/>
      <c r="O2395" s="71" t="str">
        <f t="shared" si="211"/>
        <v/>
      </c>
      <c r="P2395" s="66"/>
      <c r="Q2395" s="66"/>
      <c r="R2395" s="54"/>
      <c r="S2395" s="82"/>
      <c r="T2395" s="83" t="str">
        <f t="shared" si="208"/>
        <v/>
      </c>
      <c r="U2395" s="10"/>
      <c r="V2395" s="41">
        <f>IF(AND(Q2395&lt;&gt;"",RIGHT(Q2395,3)&lt;&gt;""),IF(COUNTIF($Q$6:Q2395,Q2395)=1,1,0),0)</f>
        <v>0</v>
      </c>
      <c r="W2395" s="41" t="str">
        <f t="shared" si="209"/>
        <v/>
      </c>
      <c r="X2395" s="41" t="str">
        <f t="shared" si="210"/>
        <v/>
      </c>
    </row>
    <row r="2396" s="32" customFormat="1" hidden="1" customHeight="1" spans="1:24">
      <c r="A2396" s="34"/>
      <c r="B2396" s="51"/>
      <c r="C2396" s="51"/>
      <c r="D2396" s="52"/>
      <c r="E2396" s="53"/>
      <c r="F2396" s="54"/>
      <c r="G2396" s="54"/>
      <c r="H2396" s="54"/>
      <c r="I2396" s="66"/>
      <c r="J2396" s="54"/>
      <c r="K2396" s="54"/>
      <c r="L2396" s="54"/>
      <c r="M2396" s="97" t="str">
        <f t="shared" si="207"/>
        <v/>
      </c>
      <c r="N2396" s="70"/>
      <c r="O2396" s="71" t="str">
        <f t="shared" si="211"/>
        <v/>
      </c>
      <c r="P2396" s="66"/>
      <c r="Q2396" s="66"/>
      <c r="R2396" s="54"/>
      <c r="S2396" s="82"/>
      <c r="T2396" s="83" t="str">
        <f t="shared" si="208"/>
        <v/>
      </c>
      <c r="U2396" s="10"/>
      <c r="V2396" s="41">
        <f>IF(AND(Q2396&lt;&gt;"",RIGHT(Q2396,3)&lt;&gt;""),IF(COUNTIF($Q$6:Q2396,Q2396)=1,1,0),0)</f>
        <v>0</v>
      </c>
      <c r="W2396" s="41" t="str">
        <f t="shared" si="209"/>
        <v/>
      </c>
      <c r="X2396" s="41" t="str">
        <f t="shared" si="210"/>
        <v/>
      </c>
    </row>
    <row r="2397" s="32" customFormat="1" hidden="1" customHeight="1" spans="1:24">
      <c r="A2397" s="34"/>
      <c r="B2397" s="51"/>
      <c r="C2397" s="51"/>
      <c r="D2397" s="52"/>
      <c r="E2397" s="53"/>
      <c r="F2397" s="54"/>
      <c r="G2397" s="54"/>
      <c r="H2397" s="54"/>
      <c r="I2397" s="66"/>
      <c r="J2397" s="54"/>
      <c r="K2397" s="54"/>
      <c r="L2397" s="54"/>
      <c r="M2397" s="97" t="str">
        <f t="shared" si="207"/>
        <v/>
      </c>
      <c r="N2397" s="70"/>
      <c r="O2397" s="71" t="str">
        <f t="shared" si="211"/>
        <v/>
      </c>
      <c r="P2397" s="66"/>
      <c r="Q2397" s="66"/>
      <c r="R2397" s="54"/>
      <c r="S2397" s="82"/>
      <c r="T2397" s="83" t="str">
        <f t="shared" si="208"/>
        <v/>
      </c>
      <c r="U2397" s="10"/>
      <c r="V2397" s="41">
        <f>IF(AND(Q2397&lt;&gt;"",RIGHT(Q2397,3)&lt;&gt;""),IF(COUNTIF($Q$6:Q2397,Q2397)=1,1,0),0)</f>
        <v>0</v>
      </c>
      <c r="W2397" s="41" t="str">
        <f t="shared" si="209"/>
        <v/>
      </c>
      <c r="X2397" s="41" t="str">
        <f t="shared" si="210"/>
        <v/>
      </c>
    </row>
    <row r="2398" s="32" customFormat="1" hidden="1" customHeight="1" spans="1:24">
      <c r="A2398" s="34"/>
      <c r="B2398" s="51"/>
      <c r="C2398" s="51"/>
      <c r="D2398" s="52"/>
      <c r="E2398" s="53"/>
      <c r="F2398" s="54"/>
      <c r="G2398" s="54"/>
      <c r="H2398" s="54"/>
      <c r="I2398" s="66"/>
      <c r="J2398" s="54"/>
      <c r="K2398" s="54"/>
      <c r="L2398" s="54"/>
      <c r="M2398" s="97" t="str">
        <f t="shared" si="207"/>
        <v/>
      </c>
      <c r="N2398" s="70"/>
      <c r="O2398" s="71" t="str">
        <f t="shared" si="211"/>
        <v/>
      </c>
      <c r="P2398" s="66"/>
      <c r="Q2398" s="66"/>
      <c r="R2398" s="54"/>
      <c r="S2398" s="82"/>
      <c r="T2398" s="83" t="str">
        <f t="shared" si="208"/>
        <v/>
      </c>
      <c r="U2398" s="10"/>
      <c r="V2398" s="41">
        <f>IF(AND(Q2398&lt;&gt;"",RIGHT(Q2398,3)&lt;&gt;""),IF(COUNTIF($Q$6:Q2398,Q2398)=1,1,0),0)</f>
        <v>0</v>
      </c>
      <c r="W2398" s="41" t="str">
        <f t="shared" si="209"/>
        <v/>
      </c>
      <c r="X2398" s="41" t="str">
        <f t="shared" si="210"/>
        <v/>
      </c>
    </row>
    <row r="2399" s="32" customFormat="1" hidden="1" customHeight="1" spans="1:24">
      <c r="A2399" s="34"/>
      <c r="B2399" s="51"/>
      <c r="C2399" s="51"/>
      <c r="D2399" s="52"/>
      <c r="E2399" s="53"/>
      <c r="F2399" s="54"/>
      <c r="G2399" s="54"/>
      <c r="H2399" s="54"/>
      <c r="I2399" s="66"/>
      <c r="J2399" s="54"/>
      <c r="K2399" s="54"/>
      <c r="L2399" s="54"/>
      <c r="M2399" s="97" t="str">
        <f t="shared" si="207"/>
        <v/>
      </c>
      <c r="N2399" s="70"/>
      <c r="O2399" s="71" t="str">
        <f t="shared" si="211"/>
        <v/>
      </c>
      <c r="P2399" s="66"/>
      <c r="Q2399" s="66"/>
      <c r="R2399" s="54"/>
      <c r="S2399" s="82"/>
      <c r="T2399" s="83" t="str">
        <f t="shared" si="208"/>
        <v/>
      </c>
      <c r="U2399" s="10"/>
      <c r="V2399" s="41">
        <f>IF(AND(Q2399&lt;&gt;"",RIGHT(Q2399,3)&lt;&gt;""),IF(COUNTIF($Q$6:Q2399,Q2399)=1,1,0),0)</f>
        <v>0</v>
      </c>
      <c r="W2399" s="41" t="str">
        <f t="shared" si="209"/>
        <v/>
      </c>
      <c r="X2399" s="41" t="str">
        <f t="shared" si="210"/>
        <v/>
      </c>
    </row>
    <row r="2400" s="32" customFormat="1" hidden="1" customHeight="1" spans="1:24">
      <c r="A2400" s="34"/>
      <c r="B2400" s="51"/>
      <c r="C2400" s="51"/>
      <c r="D2400" s="52"/>
      <c r="E2400" s="53"/>
      <c r="F2400" s="54"/>
      <c r="G2400" s="54"/>
      <c r="H2400" s="54"/>
      <c r="I2400" s="66"/>
      <c r="J2400" s="54"/>
      <c r="K2400" s="54"/>
      <c r="L2400" s="54"/>
      <c r="M2400" s="97" t="str">
        <f t="shared" si="207"/>
        <v/>
      </c>
      <c r="N2400" s="70"/>
      <c r="O2400" s="71" t="str">
        <f t="shared" si="211"/>
        <v/>
      </c>
      <c r="P2400" s="66"/>
      <c r="Q2400" s="66"/>
      <c r="R2400" s="54"/>
      <c r="S2400" s="82"/>
      <c r="T2400" s="83" t="str">
        <f t="shared" si="208"/>
        <v/>
      </c>
      <c r="U2400" s="10"/>
      <c r="V2400" s="41">
        <f>IF(AND(Q2400&lt;&gt;"",RIGHT(Q2400,3)&lt;&gt;""),IF(COUNTIF($Q$6:Q2400,Q2400)=1,1,0),0)</f>
        <v>0</v>
      </c>
      <c r="W2400" s="41" t="str">
        <f t="shared" si="209"/>
        <v/>
      </c>
      <c r="X2400" s="41" t="str">
        <f t="shared" si="210"/>
        <v/>
      </c>
    </row>
    <row r="2401" s="32" customFormat="1" hidden="1" customHeight="1" spans="1:24">
      <c r="A2401" s="34"/>
      <c r="B2401" s="51"/>
      <c r="C2401" s="51"/>
      <c r="D2401" s="52"/>
      <c r="E2401" s="53"/>
      <c r="F2401" s="54"/>
      <c r="G2401" s="54"/>
      <c r="H2401" s="54"/>
      <c r="I2401" s="66"/>
      <c r="J2401" s="54"/>
      <c r="K2401" s="54"/>
      <c r="L2401" s="54"/>
      <c r="M2401" s="97" t="str">
        <f t="shared" si="207"/>
        <v/>
      </c>
      <c r="N2401" s="70"/>
      <c r="O2401" s="71" t="str">
        <f t="shared" si="211"/>
        <v/>
      </c>
      <c r="P2401" s="66"/>
      <c r="Q2401" s="66"/>
      <c r="R2401" s="54"/>
      <c r="S2401" s="82"/>
      <c r="T2401" s="83" t="str">
        <f t="shared" si="208"/>
        <v/>
      </c>
      <c r="U2401" s="10"/>
      <c r="V2401" s="41">
        <f>IF(AND(Q2401&lt;&gt;"",RIGHT(Q2401,3)&lt;&gt;""),IF(COUNTIF($Q$6:Q2401,Q2401)=1,1,0),0)</f>
        <v>0</v>
      </c>
      <c r="W2401" s="41" t="str">
        <f t="shared" si="209"/>
        <v/>
      </c>
      <c r="X2401" s="41" t="str">
        <f t="shared" si="210"/>
        <v/>
      </c>
    </row>
    <row r="2402" s="32" customFormat="1" hidden="1" customHeight="1" spans="1:24">
      <c r="A2402" s="34"/>
      <c r="B2402" s="51"/>
      <c r="C2402" s="51"/>
      <c r="D2402" s="52"/>
      <c r="E2402" s="53"/>
      <c r="F2402" s="54"/>
      <c r="G2402" s="54"/>
      <c r="H2402" s="54"/>
      <c r="I2402" s="66"/>
      <c r="J2402" s="54"/>
      <c r="K2402" s="54"/>
      <c r="L2402" s="54"/>
      <c r="M2402" s="97" t="str">
        <f t="shared" si="207"/>
        <v/>
      </c>
      <c r="N2402" s="70"/>
      <c r="O2402" s="71" t="str">
        <f t="shared" si="211"/>
        <v/>
      </c>
      <c r="P2402" s="66"/>
      <c r="Q2402" s="66"/>
      <c r="R2402" s="54"/>
      <c r="S2402" s="82"/>
      <c r="T2402" s="83" t="str">
        <f t="shared" si="208"/>
        <v/>
      </c>
      <c r="U2402" s="10"/>
      <c r="V2402" s="41">
        <f>IF(AND(Q2402&lt;&gt;"",RIGHT(Q2402,3)&lt;&gt;""),IF(COUNTIF($Q$6:Q2402,Q2402)=1,1,0),0)</f>
        <v>0</v>
      </c>
      <c r="W2402" s="41" t="str">
        <f t="shared" si="209"/>
        <v/>
      </c>
      <c r="X2402" s="41" t="str">
        <f t="shared" si="210"/>
        <v/>
      </c>
    </row>
    <row r="2403" s="32" customFormat="1" hidden="1" customHeight="1" spans="1:24">
      <c r="A2403" s="34"/>
      <c r="B2403" s="51"/>
      <c r="C2403" s="51"/>
      <c r="D2403" s="52"/>
      <c r="E2403" s="53"/>
      <c r="F2403" s="54"/>
      <c r="G2403" s="54"/>
      <c r="H2403" s="54"/>
      <c r="I2403" s="66"/>
      <c r="J2403" s="54"/>
      <c r="K2403" s="54"/>
      <c r="L2403" s="54"/>
      <c r="M2403" s="97" t="str">
        <f t="shared" si="207"/>
        <v/>
      </c>
      <c r="N2403" s="70"/>
      <c r="O2403" s="71" t="str">
        <f t="shared" si="211"/>
        <v/>
      </c>
      <c r="P2403" s="66"/>
      <c r="Q2403" s="66"/>
      <c r="R2403" s="54"/>
      <c r="S2403" s="82"/>
      <c r="T2403" s="83" t="str">
        <f t="shared" si="208"/>
        <v/>
      </c>
      <c r="U2403" s="10"/>
      <c r="V2403" s="41">
        <f>IF(AND(Q2403&lt;&gt;"",RIGHT(Q2403,3)&lt;&gt;""),IF(COUNTIF($Q$6:Q2403,Q2403)=1,1,0),0)</f>
        <v>0</v>
      </c>
      <c r="W2403" s="41" t="str">
        <f t="shared" si="209"/>
        <v/>
      </c>
      <c r="X2403" s="41" t="str">
        <f t="shared" si="210"/>
        <v/>
      </c>
    </row>
    <row r="2404" s="32" customFormat="1" hidden="1" customHeight="1" spans="1:24">
      <c r="A2404" s="34"/>
      <c r="B2404" s="51"/>
      <c r="C2404" s="51"/>
      <c r="D2404" s="52"/>
      <c r="E2404" s="53"/>
      <c r="F2404" s="54"/>
      <c r="G2404" s="54"/>
      <c r="H2404" s="54"/>
      <c r="I2404" s="66"/>
      <c r="J2404" s="54"/>
      <c r="K2404" s="54"/>
      <c r="L2404" s="54"/>
      <c r="M2404" s="97" t="str">
        <f t="shared" ref="M2404:M2467" si="212">IF(L2404="","",HYPERLINK(_xlfn.CONCAT($L$4,L2404,".jpg"),"Open File"))</f>
        <v/>
      </c>
      <c r="N2404" s="70"/>
      <c r="O2404" s="71" t="str">
        <f t="shared" si="211"/>
        <v/>
      </c>
      <c r="P2404" s="66"/>
      <c r="Q2404" s="66"/>
      <c r="R2404" s="54"/>
      <c r="S2404" s="82"/>
      <c r="T2404" s="83" t="str">
        <f t="shared" ref="T2404:T2467" si="213">IF(S2404="","",HYPERLINK(_xlfn.CONCAT($S$4,S2404,".jpg"),"Open File"))</f>
        <v/>
      </c>
      <c r="U2404" s="10"/>
      <c r="V2404" s="41">
        <f>IF(AND(Q2404&lt;&gt;"",RIGHT(Q2404,3)&lt;&gt;""),IF(COUNTIF($Q$6:Q2404,Q2404)=1,1,0),0)</f>
        <v>0</v>
      </c>
      <c r="W2404" s="41" t="str">
        <f t="shared" ref="W2404:W2467" si="214">IF(AND(J2404&lt;&gt;"",K2404&lt;&gt;""),_xlfn.CONCAT(SUBSTITUTE(J2404,"/","."),"-",K2404),"")</f>
        <v/>
      </c>
      <c r="X2404" s="41" t="str">
        <f t="shared" ref="X2404:X2467" si="215">IF(AND(Q2404&lt;&gt;"",R2404&lt;&gt;""),_xlfn.CONCAT(SUBSTITUTE(Q2404,"/","."),"-",R2404),"")</f>
        <v/>
      </c>
    </row>
    <row r="2405" s="32" customFormat="1" hidden="1" customHeight="1" spans="1:24">
      <c r="A2405" s="34"/>
      <c r="B2405" s="51"/>
      <c r="C2405" s="51"/>
      <c r="D2405" s="52"/>
      <c r="E2405" s="53"/>
      <c r="F2405" s="54"/>
      <c r="G2405" s="54"/>
      <c r="H2405" s="54"/>
      <c r="I2405" s="66"/>
      <c r="J2405" s="54"/>
      <c r="K2405" s="54"/>
      <c r="L2405" s="54"/>
      <c r="M2405" s="97" t="str">
        <f t="shared" si="212"/>
        <v/>
      </c>
      <c r="N2405" s="70"/>
      <c r="O2405" s="71" t="str">
        <f t="shared" si="211"/>
        <v/>
      </c>
      <c r="P2405" s="66"/>
      <c r="Q2405" s="66"/>
      <c r="R2405" s="54"/>
      <c r="S2405" s="82"/>
      <c r="T2405" s="83" t="str">
        <f t="shared" si="213"/>
        <v/>
      </c>
      <c r="U2405" s="10"/>
      <c r="V2405" s="41">
        <f>IF(AND(Q2405&lt;&gt;"",RIGHT(Q2405,3)&lt;&gt;""),IF(COUNTIF($Q$6:Q2405,Q2405)=1,1,0),0)</f>
        <v>0</v>
      </c>
      <c r="W2405" s="41" t="str">
        <f t="shared" si="214"/>
        <v/>
      </c>
      <c r="X2405" s="41" t="str">
        <f t="shared" si="215"/>
        <v/>
      </c>
    </row>
    <row r="2406" s="32" customFormat="1" hidden="1" customHeight="1" spans="1:24">
      <c r="A2406" s="34"/>
      <c r="B2406" s="51"/>
      <c r="C2406" s="51"/>
      <c r="D2406" s="52"/>
      <c r="E2406" s="53"/>
      <c r="F2406" s="54"/>
      <c r="G2406" s="54"/>
      <c r="H2406" s="54"/>
      <c r="I2406" s="66"/>
      <c r="J2406" s="54"/>
      <c r="K2406" s="54"/>
      <c r="L2406" s="54"/>
      <c r="M2406" s="97" t="str">
        <f t="shared" si="212"/>
        <v/>
      </c>
      <c r="N2406" s="70"/>
      <c r="O2406" s="71" t="str">
        <f t="shared" si="211"/>
        <v/>
      </c>
      <c r="P2406" s="66"/>
      <c r="Q2406" s="66"/>
      <c r="R2406" s="54"/>
      <c r="S2406" s="82"/>
      <c r="T2406" s="83" t="str">
        <f t="shared" si="213"/>
        <v/>
      </c>
      <c r="U2406" s="10"/>
      <c r="V2406" s="41">
        <f>IF(AND(Q2406&lt;&gt;"",RIGHT(Q2406,3)&lt;&gt;""),IF(COUNTIF($Q$6:Q2406,Q2406)=1,1,0),0)</f>
        <v>0</v>
      </c>
      <c r="W2406" s="41" t="str">
        <f t="shared" si="214"/>
        <v/>
      </c>
      <c r="X2406" s="41" t="str">
        <f t="shared" si="215"/>
        <v/>
      </c>
    </row>
    <row r="2407" s="32" customFormat="1" hidden="1" customHeight="1" spans="1:24">
      <c r="A2407" s="34"/>
      <c r="B2407" s="51"/>
      <c r="C2407" s="51"/>
      <c r="D2407" s="52"/>
      <c r="E2407" s="53"/>
      <c r="F2407" s="54"/>
      <c r="G2407" s="54"/>
      <c r="H2407" s="54"/>
      <c r="I2407" s="66"/>
      <c r="J2407" s="54"/>
      <c r="K2407" s="54"/>
      <c r="L2407" s="54"/>
      <c r="M2407" s="97" t="str">
        <f t="shared" si="212"/>
        <v/>
      </c>
      <c r="N2407" s="70"/>
      <c r="O2407" s="71" t="str">
        <f t="shared" si="211"/>
        <v/>
      </c>
      <c r="P2407" s="66"/>
      <c r="Q2407" s="66"/>
      <c r="R2407" s="54"/>
      <c r="S2407" s="82"/>
      <c r="T2407" s="83" t="str">
        <f t="shared" si="213"/>
        <v/>
      </c>
      <c r="U2407" s="10"/>
      <c r="V2407" s="41">
        <f>IF(AND(Q2407&lt;&gt;"",RIGHT(Q2407,3)&lt;&gt;""),IF(COUNTIF($Q$6:Q2407,Q2407)=1,1,0),0)</f>
        <v>0</v>
      </c>
      <c r="W2407" s="41" t="str">
        <f t="shared" si="214"/>
        <v/>
      </c>
      <c r="X2407" s="41" t="str">
        <f t="shared" si="215"/>
        <v/>
      </c>
    </row>
    <row r="2408" s="32" customFormat="1" hidden="1" customHeight="1" spans="1:24">
      <c r="A2408" s="34"/>
      <c r="B2408" s="51"/>
      <c r="C2408" s="51"/>
      <c r="D2408" s="52"/>
      <c r="E2408" s="53"/>
      <c r="F2408" s="54"/>
      <c r="G2408" s="54"/>
      <c r="H2408" s="54"/>
      <c r="I2408" s="66"/>
      <c r="J2408" s="54"/>
      <c r="K2408" s="54"/>
      <c r="L2408" s="54"/>
      <c r="M2408" s="97" t="str">
        <f t="shared" si="212"/>
        <v/>
      </c>
      <c r="N2408" s="70"/>
      <c r="O2408" s="71" t="str">
        <f t="shared" si="211"/>
        <v/>
      </c>
      <c r="P2408" s="66"/>
      <c r="Q2408" s="66"/>
      <c r="R2408" s="54"/>
      <c r="S2408" s="82"/>
      <c r="T2408" s="83" t="str">
        <f t="shared" si="213"/>
        <v/>
      </c>
      <c r="U2408" s="10"/>
      <c r="V2408" s="41">
        <f>IF(AND(Q2408&lt;&gt;"",RIGHT(Q2408,3)&lt;&gt;""),IF(COUNTIF($Q$6:Q2408,Q2408)=1,1,0),0)</f>
        <v>0</v>
      </c>
      <c r="W2408" s="41" t="str">
        <f t="shared" si="214"/>
        <v/>
      </c>
      <c r="X2408" s="41" t="str">
        <f t="shared" si="215"/>
        <v/>
      </c>
    </row>
    <row r="2409" s="32" customFormat="1" hidden="1" customHeight="1" spans="1:24">
      <c r="A2409" s="34"/>
      <c r="B2409" s="51"/>
      <c r="C2409" s="51"/>
      <c r="D2409" s="52"/>
      <c r="E2409" s="53"/>
      <c r="F2409" s="54"/>
      <c r="G2409" s="54"/>
      <c r="H2409" s="54"/>
      <c r="I2409" s="66"/>
      <c r="J2409" s="54"/>
      <c r="K2409" s="54"/>
      <c r="L2409" s="54"/>
      <c r="M2409" s="97" t="str">
        <f t="shared" si="212"/>
        <v/>
      </c>
      <c r="N2409" s="70"/>
      <c r="O2409" s="71" t="str">
        <f t="shared" si="211"/>
        <v/>
      </c>
      <c r="P2409" s="66"/>
      <c r="Q2409" s="66"/>
      <c r="R2409" s="54"/>
      <c r="S2409" s="82"/>
      <c r="T2409" s="83" t="str">
        <f t="shared" si="213"/>
        <v/>
      </c>
      <c r="U2409" s="10"/>
      <c r="V2409" s="41">
        <f>IF(AND(Q2409&lt;&gt;"",RIGHT(Q2409,3)&lt;&gt;""),IF(COUNTIF($Q$6:Q2409,Q2409)=1,1,0),0)</f>
        <v>0</v>
      </c>
      <c r="W2409" s="41" t="str">
        <f t="shared" si="214"/>
        <v/>
      </c>
      <c r="X2409" s="41" t="str">
        <f t="shared" si="215"/>
        <v/>
      </c>
    </row>
    <row r="2410" s="32" customFormat="1" hidden="1" customHeight="1" spans="1:24">
      <c r="A2410" s="34"/>
      <c r="B2410" s="51"/>
      <c r="C2410" s="51"/>
      <c r="D2410" s="52"/>
      <c r="E2410" s="53"/>
      <c r="F2410" s="54"/>
      <c r="G2410" s="54"/>
      <c r="H2410" s="54"/>
      <c r="I2410" s="66"/>
      <c r="J2410" s="54"/>
      <c r="K2410" s="54"/>
      <c r="L2410" s="54"/>
      <c r="M2410" s="97" t="str">
        <f t="shared" si="212"/>
        <v/>
      </c>
      <c r="N2410" s="70"/>
      <c r="O2410" s="71" t="str">
        <f t="shared" si="211"/>
        <v/>
      </c>
      <c r="P2410" s="66"/>
      <c r="Q2410" s="66"/>
      <c r="R2410" s="54"/>
      <c r="S2410" s="82"/>
      <c r="T2410" s="83" t="str">
        <f t="shared" si="213"/>
        <v/>
      </c>
      <c r="U2410" s="10"/>
      <c r="V2410" s="41">
        <f>IF(AND(Q2410&lt;&gt;"",RIGHT(Q2410,3)&lt;&gt;""),IF(COUNTIF($Q$6:Q2410,Q2410)=1,1,0),0)</f>
        <v>0</v>
      </c>
      <c r="W2410" s="41" t="str">
        <f t="shared" si="214"/>
        <v/>
      </c>
      <c r="X2410" s="41" t="str">
        <f t="shared" si="215"/>
        <v/>
      </c>
    </row>
    <row r="2411" s="32" customFormat="1" hidden="1" customHeight="1" spans="1:24">
      <c r="A2411" s="34"/>
      <c r="B2411" s="51"/>
      <c r="C2411" s="51"/>
      <c r="D2411" s="52"/>
      <c r="E2411" s="53"/>
      <c r="F2411" s="54"/>
      <c r="G2411" s="54"/>
      <c r="H2411" s="54"/>
      <c r="I2411" s="66"/>
      <c r="J2411" s="54"/>
      <c r="K2411" s="54"/>
      <c r="L2411" s="54"/>
      <c r="M2411" s="97" t="str">
        <f t="shared" si="212"/>
        <v/>
      </c>
      <c r="N2411" s="70"/>
      <c r="O2411" s="71" t="str">
        <f t="shared" si="211"/>
        <v/>
      </c>
      <c r="P2411" s="66"/>
      <c r="Q2411" s="66"/>
      <c r="R2411" s="54"/>
      <c r="S2411" s="82"/>
      <c r="T2411" s="83" t="str">
        <f t="shared" si="213"/>
        <v/>
      </c>
      <c r="U2411" s="10"/>
      <c r="V2411" s="41">
        <f>IF(AND(Q2411&lt;&gt;"",RIGHT(Q2411,3)&lt;&gt;""),IF(COUNTIF($Q$6:Q2411,Q2411)=1,1,0),0)</f>
        <v>0</v>
      </c>
      <c r="W2411" s="41" t="str">
        <f t="shared" si="214"/>
        <v/>
      </c>
      <c r="X2411" s="41" t="str">
        <f t="shared" si="215"/>
        <v/>
      </c>
    </row>
    <row r="2412" s="32" customFormat="1" hidden="1" customHeight="1" spans="1:24">
      <c r="A2412" s="34"/>
      <c r="B2412" s="51"/>
      <c r="C2412" s="51"/>
      <c r="D2412" s="52"/>
      <c r="E2412" s="53"/>
      <c r="F2412" s="54"/>
      <c r="G2412" s="54"/>
      <c r="H2412" s="54"/>
      <c r="I2412" s="66"/>
      <c r="J2412" s="54"/>
      <c r="K2412" s="54"/>
      <c r="L2412" s="54"/>
      <c r="M2412" s="97" t="str">
        <f t="shared" si="212"/>
        <v/>
      </c>
      <c r="N2412" s="70"/>
      <c r="O2412" s="71" t="str">
        <f t="shared" si="211"/>
        <v/>
      </c>
      <c r="P2412" s="66"/>
      <c r="Q2412" s="66"/>
      <c r="R2412" s="54"/>
      <c r="S2412" s="82"/>
      <c r="T2412" s="83" t="str">
        <f t="shared" si="213"/>
        <v/>
      </c>
      <c r="U2412" s="10"/>
      <c r="V2412" s="41">
        <f>IF(AND(Q2412&lt;&gt;"",RIGHT(Q2412,3)&lt;&gt;""),IF(COUNTIF($Q$6:Q2412,Q2412)=1,1,0),0)</f>
        <v>0</v>
      </c>
      <c r="W2412" s="41" t="str">
        <f t="shared" si="214"/>
        <v/>
      </c>
      <c r="X2412" s="41" t="str">
        <f t="shared" si="215"/>
        <v/>
      </c>
    </row>
    <row r="2413" s="32" customFormat="1" hidden="1" customHeight="1" spans="1:24">
      <c r="A2413" s="34"/>
      <c r="B2413" s="51"/>
      <c r="C2413" s="51"/>
      <c r="D2413" s="52"/>
      <c r="E2413" s="53"/>
      <c r="F2413" s="54"/>
      <c r="G2413" s="54"/>
      <c r="H2413" s="54"/>
      <c r="I2413" s="66"/>
      <c r="J2413" s="54"/>
      <c r="K2413" s="54"/>
      <c r="L2413" s="54"/>
      <c r="M2413" s="97" t="str">
        <f t="shared" si="212"/>
        <v/>
      </c>
      <c r="N2413" s="70"/>
      <c r="O2413" s="71" t="str">
        <f t="shared" si="211"/>
        <v/>
      </c>
      <c r="P2413" s="66"/>
      <c r="Q2413" s="66"/>
      <c r="R2413" s="54"/>
      <c r="S2413" s="82"/>
      <c r="T2413" s="83" t="str">
        <f t="shared" si="213"/>
        <v/>
      </c>
      <c r="U2413" s="10"/>
      <c r="V2413" s="41">
        <f>IF(AND(Q2413&lt;&gt;"",RIGHT(Q2413,3)&lt;&gt;""),IF(COUNTIF($Q$6:Q2413,Q2413)=1,1,0),0)</f>
        <v>0</v>
      </c>
      <c r="W2413" s="41" t="str">
        <f t="shared" si="214"/>
        <v/>
      </c>
      <c r="X2413" s="41" t="str">
        <f t="shared" si="215"/>
        <v/>
      </c>
    </row>
    <row r="2414" s="32" customFormat="1" hidden="1" customHeight="1" spans="1:24">
      <c r="A2414" s="34"/>
      <c r="B2414" s="51"/>
      <c r="C2414" s="51"/>
      <c r="D2414" s="52"/>
      <c r="E2414" s="53"/>
      <c r="F2414" s="54"/>
      <c r="G2414" s="54"/>
      <c r="H2414" s="54"/>
      <c r="I2414" s="66"/>
      <c r="J2414" s="54"/>
      <c r="K2414" s="54"/>
      <c r="L2414" s="54"/>
      <c r="M2414" s="97" t="str">
        <f t="shared" si="212"/>
        <v/>
      </c>
      <c r="N2414" s="70"/>
      <c r="O2414" s="71" t="str">
        <f t="shared" si="211"/>
        <v/>
      </c>
      <c r="P2414" s="66"/>
      <c r="Q2414" s="66"/>
      <c r="R2414" s="54"/>
      <c r="S2414" s="82"/>
      <c r="T2414" s="83" t="str">
        <f t="shared" si="213"/>
        <v/>
      </c>
      <c r="U2414" s="10"/>
      <c r="V2414" s="41">
        <f>IF(AND(Q2414&lt;&gt;"",RIGHT(Q2414,3)&lt;&gt;""),IF(COUNTIF($Q$6:Q2414,Q2414)=1,1,0),0)</f>
        <v>0</v>
      </c>
      <c r="W2414" s="41" t="str">
        <f t="shared" si="214"/>
        <v/>
      </c>
      <c r="X2414" s="41" t="str">
        <f t="shared" si="215"/>
        <v/>
      </c>
    </row>
    <row r="2415" s="32" customFormat="1" hidden="1" customHeight="1" spans="1:24">
      <c r="A2415" s="34"/>
      <c r="B2415" s="51"/>
      <c r="C2415" s="51"/>
      <c r="D2415" s="52"/>
      <c r="E2415" s="53"/>
      <c r="F2415" s="54"/>
      <c r="G2415" s="54"/>
      <c r="H2415" s="54"/>
      <c r="I2415" s="66"/>
      <c r="J2415" s="54"/>
      <c r="K2415" s="54"/>
      <c r="L2415" s="54"/>
      <c r="M2415" s="97" t="str">
        <f t="shared" si="212"/>
        <v/>
      </c>
      <c r="N2415" s="70"/>
      <c r="O2415" s="71" t="str">
        <f t="shared" si="211"/>
        <v/>
      </c>
      <c r="P2415" s="66"/>
      <c r="Q2415" s="66"/>
      <c r="R2415" s="54"/>
      <c r="S2415" s="82"/>
      <c r="T2415" s="83" t="str">
        <f t="shared" si="213"/>
        <v/>
      </c>
      <c r="U2415" s="10"/>
      <c r="V2415" s="41">
        <f>IF(AND(Q2415&lt;&gt;"",RIGHT(Q2415,3)&lt;&gt;""),IF(COUNTIF($Q$6:Q2415,Q2415)=1,1,0),0)</f>
        <v>0</v>
      </c>
      <c r="W2415" s="41" t="str">
        <f t="shared" si="214"/>
        <v/>
      </c>
      <c r="X2415" s="41" t="str">
        <f t="shared" si="215"/>
        <v/>
      </c>
    </row>
    <row r="2416" s="32" customFormat="1" hidden="1" customHeight="1" spans="1:24">
      <c r="A2416" s="34"/>
      <c r="B2416" s="51"/>
      <c r="C2416" s="51"/>
      <c r="D2416" s="52"/>
      <c r="E2416" s="53"/>
      <c r="F2416" s="54"/>
      <c r="G2416" s="54"/>
      <c r="H2416" s="54"/>
      <c r="I2416" s="66"/>
      <c r="J2416" s="54"/>
      <c r="K2416" s="54"/>
      <c r="L2416" s="54"/>
      <c r="M2416" s="97" t="str">
        <f t="shared" si="212"/>
        <v/>
      </c>
      <c r="N2416" s="70"/>
      <c r="O2416" s="71" t="str">
        <f t="shared" si="211"/>
        <v/>
      </c>
      <c r="P2416" s="66"/>
      <c r="Q2416" s="66"/>
      <c r="R2416" s="54"/>
      <c r="S2416" s="82"/>
      <c r="T2416" s="83" t="str">
        <f t="shared" si="213"/>
        <v/>
      </c>
      <c r="U2416" s="10"/>
      <c r="V2416" s="41">
        <f>IF(AND(Q2416&lt;&gt;"",RIGHT(Q2416,3)&lt;&gt;""),IF(COUNTIF($Q$6:Q2416,Q2416)=1,1,0),0)</f>
        <v>0</v>
      </c>
      <c r="W2416" s="41" t="str">
        <f t="shared" si="214"/>
        <v/>
      </c>
      <c r="X2416" s="41" t="str">
        <f t="shared" si="215"/>
        <v/>
      </c>
    </row>
    <row r="2417" s="32" customFormat="1" hidden="1" customHeight="1" spans="1:24">
      <c r="A2417" s="34"/>
      <c r="B2417" s="51"/>
      <c r="C2417" s="51"/>
      <c r="D2417" s="52"/>
      <c r="E2417" s="53"/>
      <c r="F2417" s="54"/>
      <c r="G2417" s="54"/>
      <c r="H2417" s="54"/>
      <c r="I2417" s="66"/>
      <c r="J2417" s="54"/>
      <c r="K2417" s="54"/>
      <c r="L2417" s="54"/>
      <c r="M2417" s="97" t="str">
        <f t="shared" si="212"/>
        <v/>
      </c>
      <c r="N2417" s="70"/>
      <c r="O2417" s="71" t="str">
        <f t="shared" ref="O2417:O2480" si="216">IF(AND(Q2417&lt;&gt;"",T2417&lt;&gt;""),"PASSIVE",IF(AND(J2417&lt;&gt;"",M2417&lt;&gt;""),"ACTIVE",""))</f>
        <v/>
      </c>
      <c r="P2417" s="66"/>
      <c r="Q2417" s="66"/>
      <c r="R2417" s="54"/>
      <c r="S2417" s="82"/>
      <c r="T2417" s="83" t="str">
        <f t="shared" si="213"/>
        <v/>
      </c>
      <c r="U2417" s="10"/>
      <c r="V2417" s="41">
        <f>IF(AND(Q2417&lt;&gt;"",RIGHT(Q2417,3)&lt;&gt;""),IF(COUNTIF($Q$6:Q2417,Q2417)=1,1,0),0)</f>
        <v>0</v>
      </c>
      <c r="W2417" s="41" t="str">
        <f t="shared" si="214"/>
        <v/>
      </c>
      <c r="X2417" s="41" t="str">
        <f t="shared" si="215"/>
        <v/>
      </c>
    </row>
    <row r="2418" s="32" customFormat="1" hidden="1" customHeight="1" spans="1:24">
      <c r="A2418" s="34"/>
      <c r="B2418" s="51"/>
      <c r="C2418" s="51"/>
      <c r="D2418" s="52"/>
      <c r="E2418" s="53"/>
      <c r="F2418" s="54"/>
      <c r="G2418" s="54"/>
      <c r="H2418" s="54"/>
      <c r="I2418" s="66"/>
      <c r="J2418" s="54"/>
      <c r="K2418" s="54"/>
      <c r="L2418" s="54"/>
      <c r="M2418" s="97" t="str">
        <f t="shared" si="212"/>
        <v/>
      </c>
      <c r="N2418" s="70"/>
      <c r="O2418" s="71" t="str">
        <f t="shared" si="216"/>
        <v/>
      </c>
      <c r="P2418" s="66"/>
      <c r="Q2418" s="66"/>
      <c r="R2418" s="54"/>
      <c r="S2418" s="82"/>
      <c r="T2418" s="83" t="str">
        <f t="shared" si="213"/>
        <v/>
      </c>
      <c r="U2418" s="10"/>
      <c r="V2418" s="41">
        <f>IF(AND(Q2418&lt;&gt;"",RIGHT(Q2418,3)&lt;&gt;""),IF(COUNTIF($Q$6:Q2418,Q2418)=1,1,0),0)</f>
        <v>0</v>
      </c>
      <c r="W2418" s="41" t="str">
        <f t="shared" si="214"/>
        <v/>
      </c>
      <c r="X2418" s="41" t="str">
        <f t="shared" si="215"/>
        <v/>
      </c>
    </row>
    <row r="2419" s="32" customFormat="1" hidden="1" customHeight="1" spans="1:24">
      <c r="A2419" s="34"/>
      <c r="B2419" s="51"/>
      <c r="C2419" s="51"/>
      <c r="D2419" s="52"/>
      <c r="E2419" s="53"/>
      <c r="F2419" s="54"/>
      <c r="G2419" s="54"/>
      <c r="H2419" s="54"/>
      <c r="I2419" s="66"/>
      <c r="J2419" s="54"/>
      <c r="K2419" s="54"/>
      <c r="L2419" s="54"/>
      <c r="M2419" s="97" t="str">
        <f t="shared" si="212"/>
        <v/>
      </c>
      <c r="N2419" s="70"/>
      <c r="O2419" s="71" t="str">
        <f t="shared" si="216"/>
        <v/>
      </c>
      <c r="P2419" s="66"/>
      <c r="Q2419" s="66"/>
      <c r="R2419" s="54"/>
      <c r="S2419" s="82"/>
      <c r="T2419" s="83" t="str">
        <f t="shared" si="213"/>
        <v/>
      </c>
      <c r="U2419" s="10"/>
      <c r="V2419" s="41">
        <f>IF(AND(Q2419&lt;&gt;"",RIGHT(Q2419,3)&lt;&gt;""),IF(COUNTIF($Q$6:Q2419,Q2419)=1,1,0),0)</f>
        <v>0</v>
      </c>
      <c r="W2419" s="41" t="str">
        <f t="shared" si="214"/>
        <v/>
      </c>
      <c r="X2419" s="41" t="str">
        <f t="shared" si="215"/>
        <v/>
      </c>
    </row>
    <row r="2420" s="32" customFormat="1" hidden="1" customHeight="1" spans="1:24">
      <c r="A2420" s="34"/>
      <c r="B2420" s="51"/>
      <c r="C2420" s="51"/>
      <c r="D2420" s="52"/>
      <c r="E2420" s="53"/>
      <c r="F2420" s="54"/>
      <c r="G2420" s="54"/>
      <c r="H2420" s="54"/>
      <c r="I2420" s="66"/>
      <c r="J2420" s="54"/>
      <c r="K2420" s="54"/>
      <c r="L2420" s="54"/>
      <c r="M2420" s="97" t="str">
        <f t="shared" si="212"/>
        <v/>
      </c>
      <c r="N2420" s="70"/>
      <c r="O2420" s="71" t="str">
        <f t="shared" si="216"/>
        <v/>
      </c>
      <c r="P2420" s="66"/>
      <c r="Q2420" s="66"/>
      <c r="R2420" s="54"/>
      <c r="S2420" s="82"/>
      <c r="T2420" s="83" t="str">
        <f t="shared" si="213"/>
        <v/>
      </c>
      <c r="U2420" s="10"/>
      <c r="V2420" s="41">
        <f>IF(AND(Q2420&lt;&gt;"",RIGHT(Q2420,3)&lt;&gt;""),IF(COUNTIF($Q$6:Q2420,Q2420)=1,1,0),0)</f>
        <v>0</v>
      </c>
      <c r="W2420" s="41" t="str">
        <f t="shared" si="214"/>
        <v/>
      </c>
      <c r="X2420" s="41" t="str">
        <f t="shared" si="215"/>
        <v/>
      </c>
    </row>
    <row r="2421" s="32" customFormat="1" hidden="1" customHeight="1" spans="1:24">
      <c r="A2421" s="34"/>
      <c r="B2421" s="51"/>
      <c r="C2421" s="51"/>
      <c r="D2421" s="52"/>
      <c r="E2421" s="53"/>
      <c r="F2421" s="54"/>
      <c r="G2421" s="54"/>
      <c r="H2421" s="54"/>
      <c r="I2421" s="66"/>
      <c r="J2421" s="54"/>
      <c r="K2421" s="54"/>
      <c r="L2421" s="54"/>
      <c r="M2421" s="97" t="str">
        <f t="shared" si="212"/>
        <v/>
      </c>
      <c r="N2421" s="70"/>
      <c r="O2421" s="71" t="str">
        <f t="shared" si="216"/>
        <v/>
      </c>
      <c r="P2421" s="66"/>
      <c r="Q2421" s="66"/>
      <c r="R2421" s="54"/>
      <c r="S2421" s="82"/>
      <c r="T2421" s="83" t="str">
        <f t="shared" si="213"/>
        <v/>
      </c>
      <c r="U2421" s="10"/>
      <c r="V2421" s="41">
        <f>IF(AND(Q2421&lt;&gt;"",RIGHT(Q2421,3)&lt;&gt;""),IF(COUNTIF($Q$6:Q2421,Q2421)=1,1,0),0)</f>
        <v>0</v>
      </c>
      <c r="W2421" s="41" t="str">
        <f t="shared" si="214"/>
        <v/>
      </c>
      <c r="X2421" s="41" t="str">
        <f t="shared" si="215"/>
        <v/>
      </c>
    </row>
    <row r="2422" s="32" customFormat="1" hidden="1" customHeight="1" spans="1:24">
      <c r="A2422" s="34"/>
      <c r="B2422" s="51"/>
      <c r="C2422" s="51"/>
      <c r="D2422" s="52"/>
      <c r="E2422" s="53"/>
      <c r="F2422" s="54"/>
      <c r="G2422" s="54"/>
      <c r="H2422" s="54"/>
      <c r="I2422" s="66"/>
      <c r="J2422" s="54"/>
      <c r="K2422" s="54"/>
      <c r="L2422" s="54"/>
      <c r="M2422" s="97" t="str">
        <f t="shared" si="212"/>
        <v/>
      </c>
      <c r="N2422" s="70"/>
      <c r="O2422" s="71" t="str">
        <f t="shared" si="216"/>
        <v/>
      </c>
      <c r="P2422" s="66"/>
      <c r="Q2422" s="66"/>
      <c r="R2422" s="54"/>
      <c r="S2422" s="82"/>
      <c r="T2422" s="83" t="str">
        <f t="shared" si="213"/>
        <v/>
      </c>
      <c r="U2422" s="10"/>
      <c r="V2422" s="41">
        <f>IF(AND(Q2422&lt;&gt;"",RIGHT(Q2422,3)&lt;&gt;""),IF(COUNTIF($Q$6:Q2422,Q2422)=1,1,0),0)</f>
        <v>0</v>
      </c>
      <c r="W2422" s="41" t="str">
        <f t="shared" si="214"/>
        <v/>
      </c>
      <c r="X2422" s="41" t="str">
        <f t="shared" si="215"/>
        <v/>
      </c>
    </row>
    <row r="2423" s="32" customFormat="1" hidden="1" customHeight="1" spans="1:24">
      <c r="A2423" s="34"/>
      <c r="B2423" s="51"/>
      <c r="C2423" s="51"/>
      <c r="D2423" s="52"/>
      <c r="E2423" s="53"/>
      <c r="F2423" s="54"/>
      <c r="G2423" s="54"/>
      <c r="H2423" s="54"/>
      <c r="I2423" s="66"/>
      <c r="J2423" s="54"/>
      <c r="K2423" s="54"/>
      <c r="L2423" s="54"/>
      <c r="M2423" s="97" t="str">
        <f t="shared" si="212"/>
        <v/>
      </c>
      <c r="N2423" s="70"/>
      <c r="O2423" s="71" t="str">
        <f t="shared" si="216"/>
        <v/>
      </c>
      <c r="P2423" s="66"/>
      <c r="Q2423" s="66"/>
      <c r="R2423" s="54"/>
      <c r="S2423" s="82"/>
      <c r="T2423" s="83" t="str">
        <f t="shared" si="213"/>
        <v/>
      </c>
      <c r="U2423" s="10"/>
      <c r="V2423" s="41">
        <f>IF(AND(Q2423&lt;&gt;"",RIGHT(Q2423,3)&lt;&gt;""),IF(COUNTIF($Q$6:Q2423,Q2423)=1,1,0),0)</f>
        <v>0</v>
      </c>
      <c r="W2423" s="41" t="str">
        <f t="shared" si="214"/>
        <v/>
      </c>
      <c r="X2423" s="41" t="str">
        <f t="shared" si="215"/>
        <v/>
      </c>
    </row>
    <row r="2424" s="32" customFormat="1" hidden="1" customHeight="1" spans="1:24">
      <c r="A2424" s="34"/>
      <c r="B2424" s="51"/>
      <c r="C2424" s="51"/>
      <c r="D2424" s="52"/>
      <c r="E2424" s="53"/>
      <c r="F2424" s="54"/>
      <c r="G2424" s="54"/>
      <c r="H2424" s="54"/>
      <c r="I2424" s="66"/>
      <c r="J2424" s="54"/>
      <c r="K2424" s="54"/>
      <c r="L2424" s="54"/>
      <c r="M2424" s="97" t="str">
        <f t="shared" si="212"/>
        <v/>
      </c>
      <c r="N2424" s="70"/>
      <c r="O2424" s="71" t="str">
        <f t="shared" si="216"/>
        <v/>
      </c>
      <c r="P2424" s="66"/>
      <c r="Q2424" s="66"/>
      <c r="R2424" s="54"/>
      <c r="S2424" s="82"/>
      <c r="T2424" s="83" t="str">
        <f t="shared" si="213"/>
        <v/>
      </c>
      <c r="U2424" s="10"/>
      <c r="V2424" s="41">
        <f>IF(AND(Q2424&lt;&gt;"",RIGHT(Q2424,3)&lt;&gt;""),IF(COUNTIF($Q$6:Q2424,Q2424)=1,1,0),0)</f>
        <v>0</v>
      </c>
      <c r="W2424" s="41" t="str">
        <f t="shared" si="214"/>
        <v/>
      </c>
      <c r="X2424" s="41" t="str">
        <f t="shared" si="215"/>
        <v/>
      </c>
    </row>
    <row r="2425" s="32" customFormat="1" hidden="1" customHeight="1" spans="1:24">
      <c r="A2425" s="34"/>
      <c r="B2425" s="51"/>
      <c r="C2425" s="51"/>
      <c r="D2425" s="52"/>
      <c r="E2425" s="53"/>
      <c r="F2425" s="54"/>
      <c r="G2425" s="54"/>
      <c r="H2425" s="54"/>
      <c r="I2425" s="66"/>
      <c r="J2425" s="54"/>
      <c r="K2425" s="54"/>
      <c r="L2425" s="54"/>
      <c r="M2425" s="97" t="str">
        <f t="shared" si="212"/>
        <v/>
      </c>
      <c r="N2425" s="70"/>
      <c r="O2425" s="71" t="str">
        <f t="shared" si="216"/>
        <v/>
      </c>
      <c r="P2425" s="66"/>
      <c r="Q2425" s="66"/>
      <c r="R2425" s="54"/>
      <c r="S2425" s="82"/>
      <c r="T2425" s="83" t="str">
        <f t="shared" si="213"/>
        <v/>
      </c>
      <c r="U2425" s="10"/>
      <c r="V2425" s="41">
        <f>IF(AND(Q2425&lt;&gt;"",RIGHT(Q2425,3)&lt;&gt;""),IF(COUNTIF($Q$6:Q2425,Q2425)=1,1,0),0)</f>
        <v>0</v>
      </c>
      <c r="W2425" s="41" t="str">
        <f t="shared" si="214"/>
        <v/>
      </c>
      <c r="X2425" s="41" t="str">
        <f t="shared" si="215"/>
        <v/>
      </c>
    </row>
    <row r="2426" s="32" customFormat="1" hidden="1" customHeight="1" spans="1:24">
      <c r="A2426" s="34"/>
      <c r="B2426" s="51"/>
      <c r="C2426" s="51"/>
      <c r="D2426" s="52"/>
      <c r="E2426" s="53"/>
      <c r="F2426" s="54"/>
      <c r="G2426" s="54"/>
      <c r="H2426" s="54"/>
      <c r="I2426" s="66"/>
      <c r="J2426" s="54"/>
      <c r="K2426" s="54"/>
      <c r="L2426" s="54"/>
      <c r="M2426" s="97" t="str">
        <f t="shared" si="212"/>
        <v/>
      </c>
      <c r="N2426" s="70"/>
      <c r="O2426" s="71" t="str">
        <f t="shared" si="216"/>
        <v/>
      </c>
      <c r="P2426" s="66"/>
      <c r="Q2426" s="66"/>
      <c r="R2426" s="54"/>
      <c r="S2426" s="82"/>
      <c r="T2426" s="83" t="str">
        <f t="shared" si="213"/>
        <v/>
      </c>
      <c r="U2426" s="10"/>
      <c r="V2426" s="41">
        <f>IF(AND(Q2426&lt;&gt;"",RIGHT(Q2426,3)&lt;&gt;""),IF(COUNTIF($Q$6:Q2426,Q2426)=1,1,0),0)</f>
        <v>0</v>
      </c>
      <c r="W2426" s="41" t="str">
        <f t="shared" si="214"/>
        <v/>
      </c>
      <c r="X2426" s="41" t="str">
        <f t="shared" si="215"/>
        <v/>
      </c>
    </row>
    <row r="2427" s="32" customFormat="1" hidden="1" customHeight="1" spans="1:24">
      <c r="A2427" s="34"/>
      <c r="B2427" s="51"/>
      <c r="C2427" s="51"/>
      <c r="D2427" s="52"/>
      <c r="E2427" s="53"/>
      <c r="F2427" s="54"/>
      <c r="G2427" s="54"/>
      <c r="H2427" s="54"/>
      <c r="I2427" s="66"/>
      <c r="J2427" s="54"/>
      <c r="K2427" s="54"/>
      <c r="L2427" s="54"/>
      <c r="M2427" s="97" t="str">
        <f t="shared" si="212"/>
        <v/>
      </c>
      <c r="N2427" s="70"/>
      <c r="O2427" s="71" t="str">
        <f t="shared" si="216"/>
        <v/>
      </c>
      <c r="P2427" s="66"/>
      <c r="Q2427" s="66"/>
      <c r="R2427" s="54"/>
      <c r="S2427" s="82"/>
      <c r="T2427" s="83" t="str">
        <f t="shared" si="213"/>
        <v/>
      </c>
      <c r="U2427" s="10"/>
      <c r="V2427" s="41">
        <f>IF(AND(Q2427&lt;&gt;"",RIGHT(Q2427,3)&lt;&gt;""),IF(COUNTIF($Q$6:Q2427,Q2427)=1,1,0),0)</f>
        <v>0</v>
      </c>
      <c r="W2427" s="41" t="str">
        <f t="shared" si="214"/>
        <v/>
      </c>
      <c r="X2427" s="41" t="str">
        <f t="shared" si="215"/>
        <v/>
      </c>
    </row>
    <row r="2428" s="32" customFormat="1" hidden="1" customHeight="1" spans="1:24">
      <c r="A2428" s="34"/>
      <c r="B2428" s="51"/>
      <c r="C2428" s="51"/>
      <c r="D2428" s="52"/>
      <c r="E2428" s="53"/>
      <c r="F2428" s="54"/>
      <c r="G2428" s="54"/>
      <c r="H2428" s="54"/>
      <c r="I2428" s="66"/>
      <c r="J2428" s="54"/>
      <c r="K2428" s="54"/>
      <c r="L2428" s="54"/>
      <c r="M2428" s="97" t="str">
        <f t="shared" si="212"/>
        <v/>
      </c>
      <c r="N2428" s="70"/>
      <c r="O2428" s="71" t="str">
        <f t="shared" si="216"/>
        <v/>
      </c>
      <c r="P2428" s="66"/>
      <c r="Q2428" s="66"/>
      <c r="R2428" s="54"/>
      <c r="S2428" s="82"/>
      <c r="T2428" s="83" t="str">
        <f t="shared" si="213"/>
        <v/>
      </c>
      <c r="U2428" s="10"/>
      <c r="V2428" s="41">
        <f>IF(AND(Q2428&lt;&gt;"",RIGHT(Q2428,3)&lt;&gt;""),IF(COUNTIF($Q$6:Q2428,Q2428)=1,1,0),0)</f>
        <v>0</v>
      </c>
      <c r="W2428" s="41" t="str">
        <f t="shared" si="214"/>
        <v/>
      </c>
      <c r="X2428" s="41" t="str">
        <f t="shared" si="215"/>
        <v/>
      </c>
    </row>
    <row r="2429" s="32" customFormat="1" hidden="1" customHeight="1" spans="1:24">
      <c r="A2429" s="34"/>
      <c r="B2429" s="51"/>
      <c r="C2429" s="51"/>
      <c r="D2429" s="52"/>
      <c r="E2429" s="53"/>
      <c r="F2429" s="54"/>
      <c r="G2429" s="54"/>
      <c r="H2429" s="54"/>
      <c r="I2429" s="66"/>
      <c r="J2429" s="54"/>
      <c r="K2429" s="54"/>
      <c r="L2429" s="54"/>
      <c r="M2429" s="97" t="str">
        <f t="shared" si="212"/>
        <v/>
      </c>
      <c r="N2429" s="70"/>
      <c r="O2429" s="71" t="str">
        <f t="shared" si="216"/>
        <v/>
      </c>
      <c r="P2429" s="66"/>
      <c r="Q2429" s="66"/>
      <c r="R2429" s="54"/>
      <c r="S2429" s="82"/>
      <c r="T2429" s="83" t="str">
        <f t="shared" si="213"/>
        <v/>
      </c>
      <c r="U2429" s="10"/>
      <c r="V2429" s="41">
        <f>IF(AND(Q2429&lt;&gt;"",RIGHT(Q2429,3)&lt;&gt;""),IF(COUNTIF($Q$6:Q2429,Q2429)=1,1,0),0)</f>
        <v>0</v>
      </c>
      <c r="W2429" s="41" t="str">
        <f t="shared" si="214"/>
        <v/>
      </c>
      <c r="X2429" s="41" t="str">
        <f t="shared" si="215"/>
        <v/>
      </c>
    </row>
    <row r="2430" s="32" customFormat="1" hidden="1" customHeight="1" spans="1:24">
      <c r="A2430" s="34"/>
      <c r="B2430" s="51"/>
      <c r="C2430" s="51"/>
      <c r="D2430" s="52"/>
      <c r="E2430" s="53"/>
      <c r="F2430" s="54"/>
      <c r="G2430" s="54"/>
      <c r="H2430" s="54"/>
      <c r="I2430" s="66"/>
      <c r="J2430" s="54"/>
      <c r="K2430" s="54"/>
      <c r="L2430" s="54"/>
      <c r="M2430" s="97" t="str">
        <f t="shared" si="212"/>
        <v/>
      </c>
      <c r="N2430" s="70"/>
      <c r="O2430" s="71" t="str">
        <f t="shared" si="216"/>
        <v/>
      </c>
      <c r="P2430" s="66"/>
      <c r="Q2430" s="66"/>
      <c r="R2430" s="54"/>
      <c r="S2430" s="82"/>
      <c r="T2430" s="83" t="str">
        <f t="shared" si="213"/>
        <v/>
      </c>
      <c r="U2430" s="10"/>
      <c r="V2430" s="41">
        <f>IF(AND(Q2430&lt;&gt;"",RIGHT(Q2430,3)&lt;&gt;""),IF(COUNTIF($Q$6:Q2430,Q2430)=1,1,0),0)</f>
        <v>0</v>
      </c>
      <c r="W2430" s="41" t="str">
        <f t="shared" si="214"/>
        <v/>
      </c>
      <c r="X2430" s="41" t="str">
        <f t="shared" si="215"/>
        <v/>
      </c>
    </row>
    <row r="2431" s="32" customFormat="1" hidden="1" customHeight="1" spans="1:24">
      <c r="A2431" s="34"/>
      <c r="B2431" s="51"/>
      <c r="C2431" s="51"/>
      <c r="D2431" s="52"/>
      <c r="E2431" s="53"/>
      <c r="F2431" s="54"/>
      <c r="G2431" s="54"/>
      <c r="H2431" s="54"/>
      <c r="I2431" s="66"/>
      <c r="J2431" s="54"/>
      <c r="K2431" s="54"/>
      <c r="L2431" s="54"/>
      <c r="M2431" s="97" t="str">
        <f t="shared" si="212"/>
        <v/>
      </c>
      <c r="N2431" s="70"/>
      <c r="O2431" s="71" t="str">
        <f t="shared" si="216"/>
        <v/>
      </c>
      <c r="P2431" s="66"/>
      <c r="Q2431" s="66"/>
      <c r="R2431" s="54"/>
      <c r="S2431" s="82"/>
      <c r="T2431" s="83" t="str">
        <f t="shared" si="213"/>
        <v/>
      </c>
      <c r="U2431" s="10"/>
      <c r="V2431" s="41">
        <f>IF(AND(Q2431&lt;&gt;"",RIGHT(Q2431,3)&lt;&gt;""),IF(COUNTIF($Q$6:Q2431,Q2431)=1,1,0),0)</f>
        <v>0</v>
      </c>
      <c r="W2431" s="41" t="str">
        <f t="shared" si="214"/>
        <v/>
      </c>
      <c r="X2431" s="41" t="str">
        <f t="shared" si="215"/>
        <v/>
      </c>
    </row>
    <row r="2432" s="32" customFormat="1" hidden="1" customHeight="1" spans="1:24">
      <c r="A2432" s="34"/>
      <c r="B2432" s="51"/>
      <c r="C2432" s="51"/>
      <c r="D2432" s="52"/>
      <c r="E2432" s="53"/>
      <c r="F2432" s="54"/>
      <c r="G2432" s="54"/>
      <c r="H2432" s="54"/>
      <c r="I2432" s="66"/>
      <c r="J2432" s="54"/>
      <c r="K2432" s="54"/>
      <c r="L2432" s="54"/>
      <c r="M2432" s="97" t="str">
        <f t="shared" si="212"/>
        <v/>
      </c>
      <c r="N2432" s="70"/>
      <c r="O2432" s="71" t="str">
        <f t="shared" si="216"/>
        <v/>
      </c>
      <c r="P2432" s="66"/>
      <c r="Q2432" s="66"/>
      <c r="R2432" s="54"/>
      <c r="S2432" s="82"/>
      <c r="T2432" s="83" t="str">
        <f t="shared" si="213"/>
        <v/>
      </c>
      <c r="U2432" s="10"/>
      <c r="V2432" s="41">
        <f>IF(AND(Q2432&lt;&gt;"",RIGHT(Q2432,3)&lt;&gt;""),IF(COUNTIF($Q$6:Q2432,Q2432)=1,1,0),0)</f>
        <v>0</v>
      </c>
      <c r="W2432" s="41" t="str">
        <f t="shared" si="214"/>
        <v/>
      </c>
      <c r="X2432" s="41" t="str">
        <f t="shared" si="215"/>
        <v/>
      </c>
    </row>
    <row r="2433" s="32" customFormat="1" hidden="1" customHeight="1" spans="1:24">
      <c r="A2433" s="34"/>
      <c r="B2433" s="51"/>
      <c r="C2433" s="51"/>
      <c r="D2433" s="52"/>
      <c r="E2433" s="53"/>
      <c r="F2433" s="54"/>
      <c r="G2433" s="54"/>
      <c r="H2433" s="54"/>
      <c r="I2433" s="66"/>
      <c r="J2433" s="54"/>
      <c r="K2433" s="54"/>
      <c r="L2433" s="54"/>
      <c r="M2433" s="97" t="str">
        <f t="shared" si="212"/>
        <v/>
      </c>
      <c r="N2433" s="70"/>
      <c r="O2433" s="71" t="str">
        <f t="shared" si="216"/>
        <v/>
      </c>
      <c r="P2433" s="66"/>
      <c r="Q2433" s="66"/>
      <c r="R2433" s="54"/>
      <c r="S2433" s="82"/>
      <c r="T2433" s="83" t="str">
        <f t="shared" si="213"/>
        <v/>
      </c>
      <c r="U2433" s="10"/>
      <c r="V2433" s="41">
        <f>IF(AND(Q2433&lt;&gt;"",RIGHT(Q2433,3)&lt;&gt;""),IF(COUNTIF($Q$6:Q2433,Q2433)=1,1,0),0)</f>
        <v>0</v>
      </c>
      <c r="W2433" s="41" t="str">
        <f t="shared" si="214"/>
        <v/>
      </c>
      <c r="X2433" s="41" t="str">
        <f t="shared" si="215"/>
        <v/>
      </c>
    </row>
    <row r="2434" s="32" customFormat="1" hidden="1" customHeight="1" spans="1:24">
      <c r="A2434" s="34"/>
      <c r="B2434" s="51"/>
      <c r="C2434" s="51"/>
      <c r="D2434" s="52"/>
      <c r="E2434" s="53"/>
      <c r="F2434" s="54"/>
      <c r="G2434" s="54"/>
      <c r="H2434" s="54"/>
      <c r="I2434" s="66"/>
      <c r="J2434" s="54"/>
      <c r="K2434" s="54"/>
      <c r="L2434" s="54"/>
      <c r="M2434" s="97" t="str">
        <f t="shared" si="212"/>
        <v/>
      </c>
      <c r="N2434" s="70"/>
      <c r="O2434" s="71" t="str">
        <f t="shared" si="216"/>
        <v/>
      </c>
      <c r="P2434" s="66"/>
      <c r="Q2434" s="66"/>
      <c r="R2434" s="54"/>
      <c r="S2434" s="82"/>
      <c r="T2434" s="83" t="str">
        <f t="shared" si="213"/>
        <v/>
      </c>
      <c r="U2434" s="10"/>
      <c r="V2434" s="41">
        <f>IF(AND(Q2434&lt;&gt;"",RIGHT(Q2434,3)&lt;&gt;""),IF(COUNTIF($Q$6:Q2434,Q2434)=1,1,0),0)</f>
        <v>0</v>
      </c>
      <c r="W2434" s="41" t="str">
        <f t="shared" si="214"/>
        <v/>
      </c>
      <c r="X2434" s="41" t="str">
        <f t="shared" si="215"/>
        <v/>
      </c>
    </row>
    <row r="2435" s="32" customFormat="1" hidden="1" customHeight="1" spans="1:24">
      <c r="A2435" s="34"/>
      <c r="B2435" s="51"/>
      <c r="C2435" s="51"/>
      <c r="D2435" s="52"/>
      <c r="E2435" s="53"/>
      <c r="F2435" s="54"/>
      <c r="G2435" s="54"/>
      <c r="H2435" s="54"/>
      <c r="I2435" s="66"/>
      <c r="J2435" s="54"/>
      <c r="K2435" s="54"/>
      <c r="L2435" s="54"/>
      <c r="M2435" s="97" t="str">
        <f t="shared" si="212"/>
        <v/>
      </c>
      <c r="N2435" s="70"/>
      <c r="O2435" s="71" t="str">
        <f t="shared" si="216"/>
        <v/>
      </c>
      <c r="P2435" s="66"/>
      <c r="Q2435" s="66"/>
      <c r="R2435" s="54"/>
      <c r="S2435" s="82"/>
      <c r="T2435" s="83" t="str">
        <f t="shared" si="213"/>
        <v/>
      </c>
      <c r="U2435" s="10"/>
      <c r="V2435" s="41">
        <f>IF(AND(Q2435&lt;&gt;"",RIGHT(Q2435,3)&lt;&gt;""),IF(COUNTIF($Q$6:Q2435,Q2435)=1,1,0),0)</f>
        <v>0</v>
      </c>
      <c r="W2435" s="41" t="str">
        <f t="shared" si="214"/>
        <v/>
      </c>
      <c r="X2435" s="41" t="str">
        <f t="shared" si="215"/>
        <v/>
      </c>
    </row>
    <row r="2436" s="32" customFormat="1" hidden="1" customHeight="1" spans="1:24">
      <c r="A2436" s="34"/>
      <c r="B2436" s="51"/>
      <c r="C2436" s="51"/>
      <c r="D2436" s="52"/>
      <c r="E2436" s="53"/>
      <c r="F2436" s="54"/>
      <c r="G2436" s="54"/>
      <c r="H2436" s="54"/>
      <c r="I2436" s="66"/>
      <c r="J2436" s="54"/>
      <c r="K2436" s="54"/>
      <c r="L2436" s="54"/>
      <c r="M2436" s="97" t="str">
        <f t="shared" si="212"/>
        <v/>
      </c>
      <c r="N2436" s="70"/>
      <c r="O2436" s="71" t="str">
        <f t="shared" si="216"/>
        <v/>
      </c>
      <c r="P2436" s="66"/>
      <c r="Q2436" s="66"/>
      <c r="R2436" s="54"/>
      <c r="S2436" s="82"/>
      <c r="T2436" s="83" t="str">
        <f t="shared" si="213"/>
        <v/>
      </c>
      <c r="U2436" s="10"/>
      <c r="V2436" s="41">
        <f>IF(AND(Q2436&lt;&gt;"",RIGHT(Q2436,3)&lt;&gt;""),IF(COUNTIF($Q$6:Q2436,Q2436)=1,1,0),0)</f>
        <v>0</v>
      </c>
      <c r="W2436" s="41" t="str">
        <f t="shared" si="214"/>
        <v/>
      </c>
      <c r="X2436" s="41" t="str">
        <f t="shared" si="215"/>
        <v/>
      </c>
    </row>
    <row r="2437" s="32" customFormat="1" hidden="1" customHeight="1" spans="1:24">
      <c r="A2437" s="34"/>
      <c r="B2437" s="51"/>
      <c r="C2437" s="51"/>
      <c r="D2437" s="52"/>
      <c r="E2437" s="53"/>
      <c r="F2437" s="54"/>
      <c r="G2437" s="54"/>
      <c r="H2437" s="54"/>
      <c r="I2437" s="66"/>
      <c r="J2437" s="54"/>
      <c r="K2437" s="54"/>
      <c r="L2437" s="54"/>
      <c r="M2437" s="97" t="str">
        <f t="shared" si="212"/>
        <v/>
      </c>
      <c r="N2437" s="70"/>
      <c r="O2437" s="71" t="str">
        <f t="shared" si="216"/>
        <v/>
      </c>
      <c r="P2437" s="66"/>
      <c r="Q2437" s="66"/>
      <c r="R2437" s="54"/>
      <c r="S2437" s="82"/>
      <c r="T2437" s="83" t="str">
        <f t="shared" si="213"/>
        <v/>
      </c>
      <c r="U2437" s="10"/>
      <c r="V2437" s="41">
        <f>IF(AND(Q2437&lt;&gt;"",RIGHT(Q2437,3)&lt;&gt;""),IF(COUNTIF($Q$6:Q2437,Q2437)=1,1,0),0)</f>
        <v>0</v>
      </c>
      <c r="W2437" s="41" t="str">
        <f t="shared" si="214"/>
        <v/>
      </c>
      <c r="X2437" s="41" t="str">
        <f t="shared" si="215"/>
        <v/>
      </c>
    </row>
    <row r="2438" s="32" customFormat="1" hidden="1" customHeight="1" spans="1:24">
      <c r="A2438" s="34"/>
      <c r="B2438" s="51"/>
      <c r="C2438" s="51"/>
      <c r="D2438" s="52"/>
      <c r="E2438" s="53"/>
      <c r="F2438" s="54"/>
      <c r="G2438" s="54"/>
      <c r="H2438" s="54"/>
      <c r="I2438" s="66"/>
      <c r="J2438" s="54"/>
      <c r="K2438" s="54"/>
      <c r="L2438" s="54"/>
      <c r="M2438" s="97" t="str">
        <f t="shared" si="212"/>
        <v/>
      </c>
      <c r="N2438" s="70"/>
      <c r="O2438" s="71" t="str">
        <f t="shared" si="216"/>
        <v/>
      </c>
      <c r="P2438" s="66"/>
      <c r="Q2438" s="66"/>
      <c r="R2438" s="54"/>
      <c r="S2438" s="82"/>
      <c r="T2438" s="83" t="str">
        <f t="shared" si="213"/>
        <v/>
      </c>
      <c r="U2438" s="10"/>
      <c r="V2438" s="41">
        <f>IF(AND(Q2438&lt;&gt;"",RIGHT(Q2438,3)&lt;&gt;""),IF(COUNTIF($Q$6:Q2438,Q2438)=1,1,0),0)</f>
        <v>0</v>
      </c>
      <c r="W2438" s="41" t="str">
        <f t="shared" si="214"/>
        <v/>
      </c>
      <c r="X2438" s="41" t="str">
        <f t="shared" si="215"/>
        <v/>
      </c>
    </row>
    <row r="2439" s="32" customFormat="1" hidden="1" customHeight="1" spans="1:24">
      <c r="A2439" s="34"/>
      <c r="B2439" s="51"/>
      <c r="C2439" s="51"/>
      <c r="D2439" s="52"/>
      <c r="E2439" s="53"/>
      <c r="F2439" s="54"/>
      <c r="G2439" s="54"/>
      <c r="H2439" s="54"/>
      <c r="I2439" s="66"/>
      <c r="J2439" s="54"/>
      <c r="K2439" s="54"/>
      <c r="L2439" s="54"/>
      <c r="M2439" s="97" t="str">
        <f t="shared" si="212"/>
        <v/>
      </c>
      <c r="N2439" s="70"/>
      <c r="O2439" s="71" t="str">
        <f t="shared" si="216"/>
        <v/>
      </c>
      <c r="P2439" s="66"/>
      <c r="Q2439" s="66"/>
      <c r="R2439" s="54"/>
      <c r="S2439" s="82"/>
      <c r="T2439" s="83" t="str">
        <f t="shared" si="213"/>
        <v/>
      </c>
      <c r="U2439" s="10"/>
      <c r="V2439" s="41">
        <f>IF(AND(Q2439&lt;&gt;"",RIGHT(Q2439,3)&lt;&gt;""),IF(COUNTIF($Q$6:Q2439,Q2439)=1,1,0),0)</f>
        <v>0</v>
      </c>
      <c r="W2439" s="41" t="str">
        <f t="shared" si="214"/>
        <v/>
      </c>
      <c r="X2439" s="41" t="str">
        <f t="shared" si="215"/>
        <v/>
      </c>
    </row>
    <row r="2440" s="32" customFormat="1" hidden="1" customHeight="1" spans="1:24">
      <c r="A2440" s="34"/>
      <c r="B2440" s="51"/>
      <c r="C2440" s="51"/>
      <c r="D2440" s="52"/>
      <c r="E2440" s="53"/>
      <c r="F2440" s="54"/>
      <c r="G2440" s="54"/>
      <c r="H2440" s="54"/>
      <c r="I2440" s="66"/>
      <c r="J2440" s="54"/>
      <c r="K2440" s="54"/>
      <c r="L2440" s="54"/>
      <c r="M2440" s="97" t="str">
        <f t="shared" si="212"/>
        <v/>
      </c>
      <c r="N2440" s="70"/>
      <c r="O2440" s="71" t="str">
        <f t="shared" si="216"/>
        <v/>
      </c>
      <c r="P2440" s="66"/>
      <c r="Q2440" s="66"/>
      <c r="R2440" s="54"/>
      <c r="S2440" s="82"/>
      <c r="T2440" s="83" t="str">
        <f t="shared" si="213"/>
        <v/>
      </c>
      <c r="U2440" s="10"/>
      <c r="V2440" s="41">
        <f>IF(AND(Q2440&lt;&gt;"",RIGHT(Q2440,3)&lt;&gt;""),IF(COUNTIF($Q$6:Q2440,Q2440)=1,1,0),0)</f>
        <v>0</v>
      </c>
      <c r="W2440" s="41" t="str">
        <f t="shared" si="214"/>
        <v/>
      </c>
      <c r="X2440" s="41" t="str">
        <f t="shared" si="215"/>
        <v/>
      </c>
    </row>
    <row r="2441" s="32" customFormat="1" hidden="1" customHeight="1" spans="1:24">
      <c r="A2441" s="34"/>
      <c r="B2441" s="51"/>
      <c r="C2441" s="51"/>
      <c r="D2441" s="52"/>
      <c r="E2441" s="53"/>
      <c r="F2441" s="54"/>
      <c r="G2441" s="54"/>
      <c r="H2441" s="54"/>
      <c r="I2441" s="66"/>
      <c r="J2441" s="54"/>
      <c r="K2441" s="54"/>
      <c r="L2441" s="54"/>
      <c r="M2441" s="97" t="str">
        <f t="shared" si="212"/>
        <v/>
      </c>
      <c r="N2441" s="70"/>
      <c r="O2441" s="71" t="str">
        <f t="shared" si="216"/>
        <v/>
      </c>
      <c r="P2441" s="66"/>
      <c r="Q2441" s="66"/>
      <c r="R2441" s="54"/>
      <c r="S2441" s="82"/>
      <c r="T2441" s="83" t="str">
        <f t="shared" si="213"/>
        <v/>
      </c>
      <c r="U2441" s="10"/>
      <c r="V2441" s="41">
        <f>IF(AND(Q2441&lt;&gt;"",RIGHT(Q2441,3)&lt;&gt;""),IF(COUNTIF($Q$6:Q2441,Q2441)=1,1,0),0)</f>
        <v>0</v>
      </c>
      <c r="W2441" s="41" t="str">
        <f t="shared" si="214"/>
        <v/>
      </c>
      <c r="X2441" s="41" t="str">
        <f t="shared" si="215"/>
        <v/>
      </c>
    </row>
    <row r="2442" s="32" customFormat="1" hidden="1" customHeight="1" spans="1:24">
      <c r="A2442" s="34"/>
      <c r="B2442" s="51"/>
      <c r="C2442" s="51"/>
      <c r="D2442" s="52"/>
      <c r="E2442" s="53"/>
      <c r="F2442" s="54"/>
      <c r="G2442" s="54"/>
      <c r="H2442" s="54"/>
      <c r="I2442" s="66"/>
      <c r="J2442" s="54"/>
      <c r="K2442" s="54"/>
      <c r="L2442" s="54"/>
      <c r="M2442" s="97" t="str">
        <f t="shared" si="212"/>
        <v/>
      </c>
      <c r="N2442" s="70"/>
      <c r="O2442" s="71" t="str">
        <f t="shared" si="216"/>
        <v/>
      </c>
      <c r="P2442" s="66"/>
      <c r="Q2442" s="66"/>
      <c r="R2442" s="54"/>
      <c r="S2442" s="82"/>
      <c r="T2442" s="83" t="str">
        <f t="shared" si="213"/>
        <v/>
      </c>
      <c r="U2442" s="10"/>
      <c r="V2442" s="41">
        <f>IF(AND(Q2442&lt;&gt;"",RIGHT(Q2442,3)&lt;&gt;""),IF(COUNTIF($Q$6:Q2442,Q2442)=1,1,0),0)</f>
        <v>0</v>
      </c>
      <c r="W2442" s="41" t="str">
        <f t="shared" si="214"/>
        <v/>
      </c>
      <c r="X2442" s="41" t="str">
        <f t="shared" si="215"/>
        <v/>
      </c>
    </row>
    <row r="2443" s="32" customFormat="1" hidden="1" customHeight="1" spans="1:24">
      <c r="A2443" s="34"/>
      <c r="B2443" s="51"/>
      <c r="C2443" s="51"/>
      <c r="D2443" s="52"/>
      <c r="E2443" s="53"/>
      <c r="F2443" s="54"/>
      <c r="G2443" s="54"/>
      <c r="H2443" s="54"/>
      <c r="I2443" s="66"/>
      <c r="J2443" s="54"/>
      <c r="K2443" s="54"/>
      <c r="L2443" s="54"/>
      <c r="M2443" s="97" t="str">
        <f t="shared" si="212"/>
        <v/>
      </c>
      <c r="N2443" s="70"/>
      <c r="O2443" s="71" t="str">
        <f t="shared" si="216"/>
        <v/>
      </c>
      <c r="P2443" s="66"/>
      <c r="Q2443" s="66"/>
      <c r="R2443" s="54"/>
      <c r="S2443" s="82"/>
      <c r="T2443" s="83" t="str">
        <f t="shared" si="213"/>
        <v/>
      </c>
      <c r="U2443" s="10"/>
      <c r="V2443" s="41">
        <f>IF(AND(Q2443&lt;&gt;"",RIGHT(Q2443,3)&lt;&gt;""),IF(COUNTIF($Q$6:Q2443,Q2443)=1,1,0),0)</f>
        <v>0</v>
      </c>
      <c r="W2443" s="41" t="str">
        <f t="shared" si="214"/>
        <v/>
      </c>
      <c r="X2443" s="41" t="str">
        <f t="shared" si="215"/>
        <v/>
      </c>
    </row>
    <row r="2444" s="32" customFormat="1" hidden="1" customHeight="1" spans="1:24">
      <c r="A2444" s="34"/>
      <c r="B2444" s="51"/>
      <c r="C2444" s="51"/>
      <c r="D2444" s="52"/>
      <c r="E2444" s="53"/>
      <c r="F2444" s="54"/>
      <c r="G2444" s="54"/>
      <c r="H2444" s="54"/>
      <c r="I2444" s="66"/>
      <c r="J2444" s="54"/>
      <c r="K2444" s="54"/>
      <c r="L2444" s="54"/>
      <c r="M2444" s="97" t="str">
        <f t="shared" si="212"/>
        <v/>
      </c>
      <c r="N2444" s="70"/>
      <c r="O2444" s="71" t="str">
        <f t="shared" si="216"/>
        <v/>
      </c>
      <c r="P2444" s="66"/>
      <c r="Q2444" s="66"/>
      <c r="R2444" s="54"/>
      <c r="S2444" s="82"/>
      <c r="T2444" s="83" t="str">
        <f t="shared" si="213"/>
        <v/>
      </c>
      <c r="U2444" s="10"/>
      <c r="V2444" s="41">
        <f>IF(AND(Q2444&lt;&gt;"",RIGHT(Q2444,3)&lt;&gt;""),IF(COUNTIF($Q$6:Q2444,Q2444)=1,1,0),0)</f>
        <v>0</v>
      </c>
      <c r="W2444" s="41" t="str">
        <f t="shared" si="214"/>
        <v/>
      </c>
      <c r="X2444" s="41" t="str">
        <f t="shared" si="215"/>
        <v/>
      </c>
    </row>
    <row r="2445" s="32" customFormat="1" hidden="1" customHeight="1" spans="1:24">
      <c r="A2445" s="34"/>
      <c r="B2445" s="51"/>
      <c r="C2445" s="51"/>
      <c r="D2445" s="52"/>
      <c r="E2445" s="53"/>
      <c r="F2445" s="54"/>
      <c r="G2445" s="54"/>
      <c r="H2445" s="54"/>
      <c r="I2445" s="66"/>
      <c r="J2445" s="54"/>
      <c r="K2445" s="54"/>
      <c r="L2445" s="54"/>
      <c r="M2445" s="97" t="str">
        <f t="shared" si="212"/>
        <v/>
      </c>
      <c r="N2445" s="70"/>
      <c r="O2445" s="71" t="str">
        <f t="shared" si="216"/>
        <v/>
      </c>
      <c r="P2445" s="66"/>
      <c r="Q2445" s="66"/>
      <c r="R2445" s="54"/>
      <c r="S2445" s="82"/>
      <c r="T2445" s="83" t="str">
        <f t="shared" si="213"/>
        <v/>
      </c>
      <c r="U2445" s="10"/>
      <c r="V2445" s="41">
        <f>IF(AND(Q2445&lt;&gt;"",RIGHT(Q2445,3)&lt;&gt;""),IF(COUNTIF($Q$6:Q2445,Q2445)=1,1,0),0)</f>
        <v>0</v>
      </c>
      <c r="W2445" s="41" t="str">
        <f t="shared" si="214"/>
        <v/>
      </c>
      <c r="X2445" s="41" t="str">
        <f t="shared" si="215"/>
        <v/>
      </c>
    </row>
    <row r="2446" s="32" customFormat="1" hidden="1" customHeight="1" spans="1:24">
      <c r="A2446" s="34"/>
      <c r="B2446" s="51"/>
      <c r="C2446" s="51"/>
      <c r="D2446" s="52"/>
      <c r="E2446" s="53"/>
      <c r="F2446" s="54"/>
      <c r="G2446" s="54"/>
      <c r="H2446" s="54"/>
      <c r="I2446" s="66"/>
      <c r="J2446" s="54"/>
      <c r="K2446" s="54"/>
      <c r="L2446" s="54"/>
      <c r="M2446" s="97" t="str">
        <f t="shared" si="212"/>
        <v/>
      </c>
      <c r="N2446" s="70"/>
      <c r="O2446" s="71" t="str">
        <f t="shared" si="216"/>
        <v/>
      </c>
      <c r="P2446" s="66"/>
      <c r="Q2446" s="66"/>
      <c r="R2446" s="54"/>
      <c r="S2446" s="82"/>
      <c r="T2446" s="83" t="str">
        <f t="shared" si="213"/>
        <v/>
      </c>
      <c r="U2446" s="10"/>
      <c r="V2446" s="41">
        <f>IF(AND(Q2446&lt;&gt;"",RIGHT(Q2446,3)&lt;&gt;""),IF(COUNTIF($Q$6:Q2446,Q2446)=1,1,0),0)</f>
        <v>0</v>
      </c>
      <c r="W2446" s="41" t="str">
        <f t="shared" si="214"/>
        <v/>
      </c>
      <c r="X2446" s="41" t="str">
        <f t="shared" si="215"/>
        <v/>
      </c>
    </row>
    <row r="2447" s="32" customFormat="1" hidden="1" customHeight="1" spans="1:24">
      <c r="A2447" s="34"/>
      <c r="B2447" s="51"/>
      <c r="C2447" s="51"/>
      <c r="D2447" s="52"/>
      <c r="E2447" s="53"/>
      <c r="F2447" s="54"/>
      <c r="G2447" s="54"/>
      <c r="H2447" s="54"/>
      <c r="I2447" s="66"/>
      <c r="J2447" s="54"/>
      <c r="K2447" s="54"/>
      <c r="L2447" s="54"/>
      <c r="M2447" s="97" t="str">
        <f t="shared" si="212"/>
        <v/>
      </c>
      <c r="N2447" s="70"/>
      <c r="O2447" s="71" t="str">
        <f t="shared" si="216"/>
        <v/>
      </c>
      <c r="P2447" s="66"/>
      <c r="Q2447" s="66"/>
      <c r="R2447" s="54"/>
      <c r="S2447" s="82"/>
      <c r="T2447" s="83" t="str">
        <f t="shared" si="213"/>
        <v/>
      </c>
      <c r="U2447" s="10"/>
      <c r="V2447" s="41">
        <f>IF(AND(Q2447&lt;&gt;"",RIGHT(Q2447,3)&lt;&gt;""),IF(COUNTIF($Q$6:Q2447,Q2447)=1,1,0),0)</f>
        <v>0</v>
      </c>
      <c r="W2447" s="41" t="str">
        <f t="shared" si="214"/>
        <v/>
      </c>
      <c r="X2447" s="41" t="str">
        <f t="shared" si="215"/>
        <v/>
      </c>
    </row>
    <row r="2448" s="32" customFormat="1" hidden="1" customHeight="1" spans="1:24">
      <c r="A2448" s="34"/>
      <c r="B2448" s="51"/>
      <c r="C2448" s="51"/>
      <c r="D2448" s="52"/>
      <c r="E2448" s="53"/>
      <c r="F2448" s="54"/>
      <c r="G2448" s="54"/>
      <c r="H2448" s="54"/>
      <c r="I2448" s="66"/>
      <c r="J2448" s="54"/>
      <c r="K2448" s="54"/>
      <c r="L2448" s="54"/>
      <c r="M2448" s="97" t="str">
        <f t="shared" si="212"/>
        <v/>
      </c>
      <c r="N2448" s="70"/>
      <c r="O2448" s="71" t="str">
        <f t="shared" si="216"/>
        <v/>
      </c>
      <c r="P2448" s="66"/>
      <c r="Q2448" s="66"/>
      <c r="R2448" s="54"/>
      <c r="S2448" s="82"/>
      <c r="T2448" s="83" t="str">
        <f t="shared" si="213"/>
        <v/>
      </c>
      <c r="U2448" s="10"/>
      <c r="V2448" s="41">
        <f>IF(AND(Q2448&lt;&gt;"",RIGHT(Q2448,3)&lt;&gt;""),IF(COUNTIF($Q$6:Q2448,Q2448)=1,1,0),0)</f>
        <v>0</v>
      </c>
      <c r="W2448" s="41" t="str">
        <f t="shared" si="214"/>
        <v/>
      </c>
      <c r="X2448" s="41" t="str">
        <f t="shared" si="215"/>
        <v/>
      </c>
    </row>
    <row r="2449" s="32" customFormat="1" hidden="1" customHeight="1" spans="1:24">
      <c r="A2449" s="34"/>
      <c r="B2449" s="51"/>
      <c r="C2449" s="51"/>
      <c r="D2449" s="52"/>
      <c r="E2449" s="53"/>
      <c r="F2449" s="54"/>
      <c r="G2449" s="54"/>
      <c r="H2449" s="54"/>
      <c r="I2449" s="66"/>
      <c r="J2449" s="54"/>
      <c r="K2449" s="54"/>
      <c r="L2449" s="54"/>
      <c r="M2449" s="97" t="str">
        <f t="shared" si="212"/>
        <v/>
      </c>
      <c r="N2449" s="70"/>
      <c r="O2449" s="71" t="str">
        <f t="shared" si="216"/>
        <v/>
      </c>
      <c r="P2449" s="66"/>
      <c r="Q2449" s="66"/>
      <c r="R2449" s="54"/>
      <c r="S2449" s="82"/>
      <c r="T2449" s="83" t="str">
        <f t="shared" si="213"/>
        <v/>
      </c>
      <c r="U2449" s="10"/>
      <c r="V2449" s="41">
        <f>IF(AND(Q2449&lt;&gt;"",RIGHT(Q2449,3)&lt;&gt;""),IF(COUNTIF($Q$6:Q2449,Q2449)=1,1,0),0)</f>
        <v>0</v>
      </c>
      <c r="W2449" s="41" t="str">
        <f t="shared" si="214"/>
        <v/>
      </c>
      <c r="X2449" s="41" t="str">
        <f t="shared" si="215"/>
        <v/>
      </c>
    </row>
    <row r="2450" s="32" customFormat="1" hidden="1" customHeight="1" spans="1:24">
      <c r="A2450" s="34"/>
      <c r="B2450" s="51"/>
      <c r="C2450" s="51"/>
      <c r="D2450" s="52"/>
      <c r="E2450" s="53"/>
      <c r="F2450" s="54"/>
      <c r="G2450" s="54"/>
      <c r="H2450" s="54"/>
      <c r="I2450" s="66"/>
      <c r="J2450" s="54"/>
      <c r="K2450" s="54"/>
      <c r="L2450" s="54"/>
      <c r="M2450" s="97" t="str">
        <f t="shared" si="212"/>
        <v/>
      </c>
      <c r="N2450" s="70"/>
      <c r="O2450" s="71" t="str">
        <f t="shared" si="216"/>
        <v/>
      </c>
      <c r="P2450" s="66"/>
      <c r="Q2450" s="66"/>
      <c r="R2450" s="54"/>
      <c r="S2450" s="82"/>
      <c r="T2450" s="83" t="str">
        <f t="shared" si="213"/>
        <v/>
      </c>
      <c r="U2450" s="10"/>
      <c r="V2450" s="41">
        <f>IF(AND(Q2450&lt;&gt;"",RIGHT(Q2450,3)&lt;&gt;""),IF(COUNTIF($Q$6:Q2450,Q2450)=1,1,0),0)</f>
        <v>0</v>
      </c>
      <c r="W2450" s="41" t="str">
        <f t="shared" si="214"/>
        <v/>
      </c>
      <c r="X2450" s="41" t="str">
        <f t="shared" si="215"/>
        <v/>
      </c>
    </row>
    <row r="2451" s="32" customFormat="1" hidden="1" customHeight="1" spans="1:24">
      <c r="A2451" s="34"/>
      <c r="B2451" s="51"/>
      <c r="C2451" s="51"/>
      <c r="D2451" s="52"/>
      <c r="E2451" s="53"/>
      <c r="F2451" s="54"/>
      <c r="G2451" s="54"/>
      <c r="H2451" s="54"/>
      <c r="I2451" s="66"/>
      <c r="J2451" s="54"/>
      <c r="K2451" s="54"/>
      <c r="L2451" s="54"/>
      <c r="M2451" s="97" t="str">
        <f t="shared" si="212"/>
        <v/>
      </c>
      <c r="N2451" s="70"/>
      <c r="O2451" s="71" t="str">
        <f t="shared" si="216"/>
        <v/>
      </c>
      <c r="P2451" s="66"/>
      <c r="Q2451" s="66"/>
      <c r="R2451" s="54"/>
      <c r="S2451" s="82"/>
      <c r="T2451" s="83" t="str">
        <f t="shared" si="213"/>
        <v/>
      </c>
      <c r="U2451" s="10"/>
      <c r="V2451" s="41">
        <f>IF(AND(Q2451&lt;&gt;"",RIGHT(Q2451,3)&lt;&gt;""),IF(COUNTIF($Q$6:Q2451,Q2451)=1,1,0),0)</f>
        <v>0</v>
      </c>
      <c r="W2451" s="41" t="str">
        <f t="shared" si="214"/>
        <v/>
      </c>
      <c r="X2451" s="41" t="str">
        <f t="shared" si="215"/>
        <v/>
      </c>
    </row>
    <row r="2452" s="32" customFormat="1" hidden="1" customHeight="1" spans="1:24">
      <c r="A2452" s="34"/>
      <c r="B2452" s="51"/>
      <c r="C2452" s="51"/>
      <c r="D2452" s="52"/>
      <c r="E2452" s="53"/>
      <c r="F2452" s="54"/>
      <c r="G2452" s="54"/>
      <c r="H2452" s="54"/>
      <c r="I2452" s="66"/>
      <c r="J2452" s="54"/>
      <c r="K2452" s="54"/>
      <c r="L2452" s="54"/>
      <c r="M2452" s="97" t="str">
        <f t="shared" si="212"/>
        <v/>
      </c>
      <c r="N2452" s="70"/>
      <c r="O2452" s="71" t="str">
        <f t="shared" si="216"/>
        <v/>
      </c>
      <c r="P2452" s="66"/>
      <c r="Q2452" s="66"/>
      <c r="R2452" s="54"/>
      <c r="S2452" s="82"/>
      <c r="T2452" s="83" t="str">
        <f t="shared" si="213"/>
        <v/>
      </c>
      <c r="U2452" s="10"/>
      <c r="V2452" s="41">
        <f>IF(AND(Q2452&lt;&gt;"",RIGHT(Q2452,3)&lt;&gt;""),IF(COUNTIF($Q$6:Q2452,Q2452)=1,1,0),0)</f>
        <v>0</v>
      </c>
      <c r="W2452" s="41" t="str">
        <f t="shared" si="214"/>
        <v/>
      </c>
      <c r="X2452" s="41" t="str">
        <f t="shared" si="215"/>
        <v/>
      </c>
    </row>
    <row r="2453" s="32" customFormat="1" hidden="1" customHeight="1" spans="1:24">
      <c r="A2453" s="34"/>
      <c r="B2453" s="51"/>
      <c r="C2453" s="51"/>
      <c r="D2453" s="52"/>
      <c r="E2453" s="53"/>
      <c r="F2453" s="54"/>
      <c r="G2453" s="54"/>
      <c r="H2453" s="54"/>
      <c r="I2453" s="66"/>
      <c r="J2453" s="54"/>
      <c r="K2453" s="54"/>
      <c r="L2453" s="54"/>
      <c r="M2453" s="97" t="str">
        <f t="shared" si="212"/>
        <v/>
      </c>
      <c r="N2453" s="70"/>
      <c r="O2453" s="71" t="str">
        <f t="shared" si="216"/>
        <v/>
      </c>
      <c r="P2453" s="66"/>
      <c r="Q2453" s="66"/>
      <c r="R2453" s="54"/>
      <c r="S2453" s="82"/>
      <c r="T2453" s="83" t="str">
        <f t="shared" si="213"/>
        <v/>
      </c>
      <c r="U2453" s="10"/>
      <c r="V2453" s="41">
        <f>IF(AND(Q2453&lt;&gt;"",RIGHT(Q2453,3)&lt;&gt;""),IF(COUNTIF($Q$6:Q2453,Q2453)=1,1,0),0)</f>
        <v>0</v>
      </c>
      <c r="W2453" s="41" t="str">
        <f t="shared" si="214"/>
        <v/>
      </c>
      <c r="X2453" s="41" t="str">
        <f t="shared" si="215"/>
        <v/>
      </c>
    </row>
    <row r="2454" s="32" customFormat="1" hidden="1" customHeight="1" spans="1:24">
      <c r="A2454" s="34"/>
      <c r="B2454" s="51"/>
      <c r="C2454" s="51"/>
      <c r="D2454" s="52"/>
      <c r="E2454" s="53"/>
      <c r="F2454" s="54"/>
      <c r="G2454" s="54"/>
      <c r="H2454" s="54"/>
      <c r="I2454" s="66"/>
      <c r="J2454" s="54"/>
      <c r="K2454" s="54"/>
      <c r="L2454" s="54"/>
      <c r="M2454" s="97" t="str">
        <f t="shared" si="212"/>
        <v/>
      </c>
      <c r="N2454" s="70"/>
      <c r="O2454" s="71" t="str">
        <f t="shared" si="216"/>
        <v/>
      </c>
      <c r="P2454" s="66"/>
      <c r="Q2454" s="66"/>
      <c r="R2454" s="54"/>
      <c r="S2454" s="82"/>
      <c r="T2454" s="83" t="str">
        <f t="shared" si="213"/>
        <v/>
      </c>
      <c r="U2454" s="10"/>
      <c r="V2454" s="41">
        <f>IF(AND(Q2454&lt;&gt;"",RIGHT(Q2454,3)&lt;&gt;""),IF(COUNTIF($Q$6:Q2454,Q2454)=1,1,0),0)</f>
        <v>0</v>
      </c>
      <c r="W2454" s="41" t="str">
        <f t="shared" si="214"/>
        <v/>
      </c>
      <c r="X2454" s="41" t="str">
        <f t="shared" si="215"/>
        <v/>
      </c>
    </row>
    <row r="2455" s="32" customFormat="1" hidden="1" customHeight="1" spans="1:24">
      <c r="A2455" s="34"/>
      <c r="B2455" s="51"/>
      <c r="C2455" s="51"/>
      <c r="D2455" s="52"/>
      <c r="E2455" s="53"/>
      <c r="F2455" s="54"/>
      <c r="G2455" s="54"/>
      <c r="H2455" s="54"/>
      <c r="I2455" s="66"/>
      <c r="J2455" s="54"/>
      <c r="K2455" s="54"/>
      <c r="L2455" s="54"/>
      <c r="M2455" s="97" t="str">
        <f t="shared" si="212"/>
        <v/>
      </c>
      <c r="N2455" s="70"/>
      <c r="O2455" s="71" t="str">
        <f t="shared" si="216"/>
        <v/>
      </c>
      <c r="P2455" s="66"/>
      <c r="Q2455" s="66"/>
      <c r="R2455" s="54"/>
      <c r="S2455" s="82"/>
      <c r="T2455" s="83" t="str">
        <f t="shared" si="213"/>
        <v/>
      </c>
      <c r="U2455" s="10"/>
      <c r="V2455" s="41">
        <f>IF(AND(Q2455&lt;&gt;"",RIGHT(Q2455,3)&lt;&gt;""),IF(COUNTIF($Q$6:Q2455,Q2455)=1,1,0),0)</f>
        <v>0</v>
      </c>
      <c r="W2455" s="41" t="str">
        <f t="shared" si="214"/>
        <v/>
      </c>
      <c r="X2455" s="41" t="str">
        <f t="shared" si="215"/>
        <v/>
      </c>
    </row>
    <row r="2456" s="32" customFormat="1" hidden="1" customHeight="1" spans="1:24">
      <c r="A2456" s="34"/>
      <c r="B2456" s="51"/>
      <c r="C2456" s="51"/>
      <c r="D2456" s="52"/>
      <c r="E2456" s="53"/>
      <c r="F2456" s="54"/>
      <c r="G2456" s="54"/>
      <c r="H2456" s="54"/>
      <c r="I2456" s="66"/>
      <c r="J2456" s="54"/>
      <c r="K2456" s="54"/>
      <c r="L2456" s="54"/>
      <c r="M2456" s="97" t="str">
        <f t="shared" si="212"/>
        <v/>
      </c>
      <c r="N2456" s="70"/>
      <c r="O2456" s="71" t="str">
        <f t="shared" si="216"/>
        <v/>
      </c>
      <c r="P2456" s="66"/>
      <c r="Q2456" s="66"/>
      <c r="R2456" s="54"/>
      <c r="S2456" s="82"/>
      <c r="T2456" s="83" t="str">
        <f t="shared" si="213"/>
        <v/>
      </c>
      <c r="U2456" s="10"/>
      <c r="V2456" s="41">
        <f>IF(AND(Q2456&lt;&gt;"",RIGHT(Q2456,3)&lt;&gt;""),IF(COUNTIF($Q$6:Q2456,Q2456)=1,1,0),0)</f>
        <v>0</v>
      </c>
      <c r="W2456" s="41" t="str">
        <f t="shared" si="214"/>
        <v/>
      </c>
      <c r="X2456" s="41" t="str">
        <f t="shared" si="215"/>
        <v/>
      </c>
    </row>
    <row r="2457" s="32" customFormat="1" hidden="1" customHeight="1" spans="1:24">
      <c r="A2457" s="34"/>
      <c r="B2457" s="51"/>
      <c r="C2457" s="51"/>
      <c r="D2457" s="52"/>
      <c r="E2457" s="53"/>
      <c r="F2457" s="54"/>
      <c r="G2457" s="54"/>
      <c r="H2457" s="54"/>
      <c r="I2457" s="66"/>
      <c r="J2457" s="54"/>
      <c r="K2457" s="54"/>
      <c r="L2457" s="54"/>
      <c r="M2457" s="97" t="str">
        <f t="shared" si="212"/>
        <v/>
      </c>
      <c r="N2457" s="70"/>
      <c r="O2457" s="71" t="str">
        <f t="shared" si="216"/>
        <v/>
      </c>
      <c r="P2457" s="66"/>
      <c r="Q2457" s="66"/>
      <c r="R2457" s="54"/>
      <c r="S2457" s="82"/>
      <c r="T2457" s="83" t="str">
        <f t="shared" si="213"/>
        <v/>
      </c>
      <c r="U2457" s="10"/>
      <c r="V2457" s="41">
        <f>IF(AND(Q2457&lt;&gt;"",RIGHT(Q2457,3)&lt;&gt;""),IF(COUNTIF($Q$6:Q2457,Q2457)=1,1,0),0)</f>
        <v>0</v>
      </c>
      <c r="W2457" s="41" t="str">
        <f t="shared" si="214"/>
        <v/>
      </c>
      <c r="X2457" s="41" t="str">
        <f t="shared" si="215"/>
        <v/>
      </c>
    </row>
    <row r="2458" s="32" customFormat="1" hidden="1" customHeight="1" spans="1:24">
      <c r="A2458" s="34"/>
      <c r="B2458" s="51"/>
      <c r="C2458" s="51"/>
      <c r="D2458" s="52"/>
      <c r="E2458" s="53"/>
      <c r="F2458" s="54"/>
      <c r="G2458" s="54"/>
      <c r="H2458" s="54"/>
      <c r="I2458" s="66"/>
      <c r="J2458" s="54"/>
      <c r="K2458" s="54"/>
      <c r="L2458" s="54"/>
      <c r="M2458" s="97" t="str">
        <f t="shared" si="212"/>
        <v/>
      </c>
      <c r="N2458" s="70"/>
      <c r="O2458" s="71" t="str">
        <f t="shared" si="216"/>
        <v/>
      </c>
      <c r="P2458" s="66"/>
      <c r="Q2458" s="66"/>
      <c r="R2458" s="54"/>
      <c r="S2458" s="82"/>
      <c r="T2458" s="83" t="str">
        <f t="shared" si="213"/>
        <v/>
      </c>
      <c r="U2458" s="10"/>
      <c r="V2458" s="41">
        <f>IF(AND(Q2458&lt;&gt;"",RIGHT(Q2458,3)&lt;&gt;""),IF(COUNTIF($Q$6:Q2458,Q2458)=1,1,0),0)</f>
        <v>0</v>
      </c>
      <c r="W2458" s="41" t="str">
        <f t="shared" si="214"/>
        <v/>
      </c>
      <c r="X2458" s="41" t="str">
        <f t="shared" si="215"/>
        <v/>
      </c>
    </row>
    <row r="2459" s="32" customFormat="1" hidden="1" customHeight="1" spans="1:24">
      <c r="A2459" s="34"/>
      <c r="B2459" s="51"/>
      <c r="C2459" s="51"/>
      <c r="D2459" s="52"/>
      <c r="E2459" s="53"/>
      <c r="F2459" s="54"/>
      <c r="G2459" s="54"/>
      <c r="H2459" s="54"/>
      <c r="I2459" s="66"/>
      <c r="J2459" s="54"/>
      <c r="K2459" s="54"/>
      <c r="L2459" s="54"/>
      <c r="M2459" s="97" t="str">
        <f t="shared" si="212"/>
        <v/>
      </c>
      <c r="N2459" s="70"/>
      <c r="O2459" s="71" t="str">
        <f t="shared" si="216"/>
        <v/>
      </c>
      <c r="P2459" s="66"/>
      <c r="Q2459" s="66"/>
      <c r="R2459" s="54"/>
      <c r="S2459" s="82"/>
      <c r="T2459" s="83" t="str">
        <f t="shared" si="213"/>
        <v/>
      </c>
      <c r="U2459" s="10"/>
      <c r="V2459" s="41">
        <f>IF(AND(Q2459&lt;&gt;"",RIGHT(Q2459,3)&lt;&gt;""),IF(COUNTIF($Q$6:Q2459,Q2459)=1,1,0),0)</f>
        <v>0</v>
      </c>
      <c r="W2459" s="41" t="str">
        <f t="shared" si="214"/>
        <v/>
      </c>
      <c r="X2459" s="41" t="str">
        <f t="shared" si="215"/>
        <v/>
      </c>
    </row>
    <row r="2460" s="32" customFormat="1" hidden="1" customHeight="1" spans="1:24">
      <c r="A2460" s="34"/>
      <c r="B2460" s="51"/>
      <c r="C2460" s="51"/>
      <c r="D2460" s="52"/>
      <c r="E2460" s="53"/>
      <c r="F2460" s="54"/>
      <c r="G2460" s="54"/>
      <c r="H2460" s="54"/>
      <c r="I2460" s="66"/>
      <c r="J2460" s="54"/>
      <c r="K2460" s="54"/>
      <c r="L2460" s="54"/>
      <c r="M2460" s="97" t="str">
        <f t="shared" si="212"/>
        <v/>
      </c>
      <c r="N2460" s="70"/>
      <c r="O2460" s="71" t="str">
        <f t="shared" si="216"/>
        <v/>
      </c>
      <c r="P2460" s="66"/>
      <c r="Q2460" s="66"/>
      <c r="R2460" s="54"/>
      <c r="S2460" s="82"/>
      <c r="T2460" s="83" t="str">
        <f t="shared" si="213"/>
        <v/>
      </c>
      <c r="U2460" s="10"/>
      <c r="V2460" s="41">
        <f>IF(AND(Q2460&lt;&gt;"",RIGHT(Q2460,3)&lt;&gt;""),IF(COUNTIF($Q$6:Q2460,Q2460)=1,1,0),0)</f>
        <v>0</v>
      </c>
      <c r="W2460" s="41" t="str">
        <f t="shared" si="214"/>
        <v/>
      </c>
      <c r="X2460" s="41" t="str">
        <f t="shared" si="215"/>
        <v/>
      </c>
    </row>
    <row r="2461" s="32" customFormat="1" hidden="1" customHeight="1" spans="1:24">
      <c r="A2461" s="34"/>
      <c r="B2461" s="51"/>
      <c r="C2461" s="51"/>
      <c r="D2461" s="52"/>
      <c r="E2461" s="53"/>
      <c r="F2461" s="54"/>
      <c r="G2461" s="54"/>
      <c r="H2461" s="54"/>
      <c r="I2461" s="66"/>
      <c r="J2461" s="54"/>
      <c r="K2461" s="54"/>
      <c r="L2461" s="54"/>
      <c r="M2461" s="97" t="str">
        <f t="shared" si="212"/>
        <v/>
      </c>
      <c r="N2461" s="70"/>
      <c r="O2461" s="71" t="str">
        <f t="shared" si="216"/>
        <v/>
      </c>
      <c r="P2461" s="66"/>
      <c r="Q2461" s="66"/>
      <c r="R2461" s="54"/>
      <c r="S2461" s="82"/>
      <c r="T2461" s="83" t="str">
        <f t="shared" si="213"/>
        <v/>
      </c>
      <c r="U2461" s="10"/>
      <c r="V2461" s="41">
        <f>IF(AND(Q2461&lt;&gt;"",RIGHT(Q2461,3)&lt;&gt;""),IF(COUNTIF($Q$6:Q2461,Q2461)=1,1,0),0)</f>
        <v>0</v>
      </c>
      <c r="W2461" s="41" t="str">
        <f t="shared" si="214"/>
        <v/>
      </c>
      <c r="X2461" s="41" t="str">
        <f t="shared" si="215"/>
        <v/>
      </c>
    </row>
    <row r="2462" s="32" customFormat="1" hidden="1" customHeight="1" spans="1:24">
      <c r="A2462" s="34"/>
      <c r="B2462" s="51"/>
      <c r="C2462" s="51"/>
      <c r="D2462" s="52"/>
      <c r="E2462" s="53"/>
      <c r="F2462" s="54"/>
      <c r="G2462" s="54"/>
      <c r="H2462" s="54"/>
      <c r="I2462" s="66"/>
      <c r="J2462" s="54"/>
      <c r="K2462" s="54"/>
      <c r="L2462" s="54"/>
      <c r="M2462" s="97" t="str">
        <f t="shared" si="212"/>
        <v/>
      </c>
      <c r="N2462" s="70"/>
      <c r="O2462" s="71" t="str">
        <f t="shared" si="216"/>
        <v/>
      </c>
      <c r="P2462" s="66"/>
      <c r="Q2462" s="66"/>
      <c r="R2462" s="54"/>
      <c r="S2462" s="82"/>
      <c r="T2462" s="83" t="str">
        <f t="shared" si="213"/>
        <v/>
      </c>
      <c r="U2462" s="10"/>
      <c r="V2462" s="41">
        <f>IF(AND(Q2462&lt;&gt;"",RIGHT(Q2462,3)&lt;&gt;""),IF(COUNTIF($Q$6:Q2462,Q2462)=1,1,0),0)</f>
        <v>0</v>
      </c>
      <c r="W2462" s="41" t="str">
        <f t="shared" si="214"/>
        <v/>
      </c>
      <c r="X2462" s="41" t="str">
        <f t="shared" si="215"/>
        <v/>
      </c>
    </row>
    <row r="2463" s="32" customFormat="1" hidden="1" customHeight="1" spans="1:24">
      <c r="A2463" s="34"/>
      <c r="B2463" s="51"/>
      <c r="C2463" s="51"/>
      <c r="D2463" s="52"/>
      <c r="E2463" s="53"/>
      <c r="F2463" s="54"/>
      <c r="G2463" s="54"/>
      <c r="H2463" s="54"/>
      <c r="I2463" s="66"/>
      <c r="J2463" s="54"/>
      <c r="K2463" s="54"/>
      <c r="L2463" s="54"/>
      <c r="M2463" s="97" t="str">
        <f t="shared" si="212"/>
        <v/>
      </c>
      <c r="N2463" s="70"/>
      <c r="O2463" s="71" t="str">
        <f t="shared" si="216"/>
        <v/>
      </c>
      <c r="P2463" s="66"/>
      <c r="Q2463" s="66"/>
      <c r="R2463" s="54"/>
      <c r="S2463" s="82"/>
      <c r="T2463" s="83" t="str">
        <f t="shared" si="213"/>
        <v/>
      </c>
      <c r="U2463" s="10"/>
      <c r="V2463" s="41">
        <f>IF(AND(Q2463&lt;&gt;"",RIGHT(Q2463,3)&lt;&gt;""),IF(COUNTIF($Q$6:Q2463,Q2463)=1,1,0),0)</f>
        <v>0</v>
      </c>
      <c r="W2463" s="41" t="str">
        <f t="shared" si="214"/>
        <v/>
      </c>
      <c r="X2463" s="41" t="str">
        <f t="shared" si="215"/>
        <v/>
      </c>
    </row>
    <row r="2464" s="32" customFormat="1" hidden="1" customHeight="1" spans="1:24">
      <c r="A2464" s="34"/>
      <c r="B2464" s="51"/>
      <c r="C2464" s="51"/>
      <c r="D2464" s="52"/>
      <c r="E2464" s="53"/>
      <c r="F2464" s="54"/>
      <c r="G2464" s="54"/>
      <c r="H2464" s="54"/>
      <c r="I2464" s="66"/>
      <c r="J2464" s="54"/>
      <c r="K2464" s="54"/>
      <c r="L2464" s="54"/>
      <c r="M2464" s="97" t="str">
        <f t="shared" si="212"/>
        <v/>
      </c>
      <c r="N2464" s="70"/>
      <c r="O2464" s="71" t="str">
        <f t="shared" si="216"/>
        <v/>
      </c>
      <c r="P2464" s="66"/>
      <c r="Q2464" s="66"/>
      <c r="R2464" s="54"/>
      <c r="S2464" s="82"/>
      <c r="T2464" s="83" t="str">
        <f t="shared" si="213"/>
        <v/>
      </c>
      <c r="U2464" s="10"/>
      <c r="V2464" s="41">
        <f>IF(AND(Q2464&lt;&gt;"",RIGHT(Q2464,3)&lt;&gt;""),IF(COUNTIF($Q$6:Q2464,Q2464)=1,1,0),0)</f>
        <v>0</v>
      </c>
      <c r="W2464" s="41" t="str">
        <f t="shared" si="214"/>
        <v/>
      </c>
      <c r="X2464" s="41" t="str">
        <f t="shared" si="215"/>
        <v/>
      </c>
    </row>
    <row r="2465" s="32" customFormat="1" hidden="1" customHeight="1" spans="1:24">
      <c r="A2465" s="34"/>
      <c r="B2465" s="51"/>
      <c r="C2465" s="51"/>
      <c r="D2465" s="52"/>
      <c r="E2465" s="53"/>
      <c r="F2465" s="54"/>
      <c r="G2465" s="54"/>
      <c r="H2465" s="54"/>
      <c r="I2465" s="66"/>
      <c r="J2465" s="54"/>
      <c r="K2465" s="54"/>
      <c r="L2465" s="54"/>
      <c r="M2465" s="97" t="str">
        <f t="shared" si="212"/>
        <v/>
      </c>
      <c r="N2465" s="70"/>
      <c r="O2465" s="71" t="str">
        <f t="shared" si="216"/>
        <v/>
      </c>
      <c r="P2465" s="66"/>
      <c r="Q2465" s="66"/>
      <c r="R2465" s="54"/>
      <c r="S2465" s="82"/>
      <c r="T2465" s="83" t="str">
        <f t="shared" si="213"/>
        <v/>
      </c>
      <c r="U2465" s="10"/>
      <c r="V2465" s="41">
        <f>IF(AND(Q2465&lt;&gt;"",RIGHT(Q2465,3)&lt;&gt;""),IF(COUNTIF($Q$6:Q2465,Q2465)=1,1,0),0)</f>
        <v>0</v>
      </c>
      <c r="W2465" s="41" t="str">
        <f t="shared" si="214"/>
        <v/>
      </c>
      <c r="X2465" s="41" t="str">
        <f t="shared" si="215"/>
        <v/>
      </c>
    </row>
    <row r="2466" s="32" customFormat="1" hidden="1" customHeight="1" spans="1:24">
      <c r="A2466" s="34"/>
      <c r="B2466" s="51"/>
      <c r="C2466" s="51"/>
      <c r="D2466" s="52"/>
      <c r="E2466" s="53"/>
      <c r="F2466" s="54"/>
      <c r="G2466" s="54"/>
      <c r="H2466" s="54"/>
      <c r="I2466" s="66"/>
      <c r="J2466" s="54"/>
      <c r="K2466" s="54"/>
      <c r="L2466" s="54"/>
      <c r="M2466" s="97" t="str">
        <f t="shared" si="212"/>
        <v/>
      </c>
      <c r="N2466" s="70"/>
      <c r="O2466" s="71" t="str">
        <f t="shared" si="216"/>
        <v/>
      </c>
      <c r="P2466" s="66"/>
      <c r="Q2466" s="66"/>
      <c r="R2466" s="54"/>
      <c r="S2466" s="82"/>
      <c r="T2466" s="83" t="str">
        <f t="shared" si="213"/>
        <v/>
      </c>
      <c r="U2466" s="10"/>
      <c r="V2466" s="41">
        <f>IF(AND(Q2466&lt;&gt;"",RIGHT(Q2466,3)&lt;&gt;""),IF(COUNTIF($Q$6:Q2466,Q2466)=1,1,0),0)</f>
        <v>0</v>
      </c>
      <c r="W2466" s="41" t="str">
        <f t="shared" si="214"/>
        <v/>
      </c>
      <c r="X2466" s="41" t="str">
        <f t="shared" si="215"/>
        <v/>
      </c>
    </row>
    <row r="2467" s="32" customFormat="1" hidden="1" customHeight="1" spans="1:24">
      <c r="A2467" s="34"/>
      <c r="B2467" s="51"/>
      <c r="C2467" s="51"/>
      <c r="D2467" s="52"/>
      <c r="E2467" s="53"/>
      <c r="F2467" s="54"/>
      <c r="G2467" s="54"/>
      <c r="H2467" s="54"/>
      <c r="I2467" s="66"/>
      <c r="J2467" s="54"/>
      <c r="K2467" s="54"/>
      <c r="L2467" s="54"/>
      <c r="M2467" s="97" t="str">
        <f t="shared" si="212"/>
        <v/>
      </c>
      <c r="N2467" s="70"/>
      <c r="O2467" s="71" t="str">
        <f t="shared" si="216"/>
        <v/>
      </c>
      <c r="P2467" s="66"/>
      <c r="Q2467" s="66"/>
      <c r="R2467" s="54"/>
      <c r="S2467" s="82"/>
      <c r="T2467" s="83" t="str">
        <f t="shared" si="213"/>
        <v/>
      </c>
      <c r="U2467" s="10"/>
      <c r="V2467" s="41">
        <f>IF(AND(Q2467&lt;&gt;"",RIGHT(Q2467,3)&lt;&gt;""),IF(COUNTIF($Q$6:Q2467,Q2467)=1,1,0),0)</f>
        <v>0</v>
      </c>
      <c r="W2467" s="41" t="str">
        <f t="shared" si="214"/>
        <v/>
      </c>
      <c r="X2467" s="41" t="str">
        <f t="shared" si="215"/>
        <v/>
      </c>
    </row>
    <row r="2468" s="32" customFormat="1" hidden="1" customHeight="1" spans="1:24">
      <c r="A2468" s="34"/>
      <c r="B2468" s="51"/>
      <c r="C2468" s="51"/>
      <c r="D2468" s="52"/>
      <c r="E2468" s="53"/>
      <c r="F2468" s="54"/>
      <c r="G2468" s="54"/>
      <c r="H2468" s="54"/>
      <c r="I2468" s="66"/>
      <c r="J2468" s="54"/>
      <c r="K2468" s="54"/>
      <c r="L2468" s="54"/>
      <c r="M2468" s="97" t="str">
        <f t="shared" ref="M2468:M2531" si="217">IF(L2468="","",HYPERLINK(_xlfn.CONCAT($L$4,L2468,".jpg"),"Open File"))</f>
        <v/>
      </c>
      <c r="N2468" s="70"/>
      <c r="O2468" s="71" t="str">
        <f t="shared" si="216"/>
        <v/>
      </c>
      <c r="P2468" s="66"/>
      <c r="Q2468" s="66"/>
      <c r="R2468" s="54"/>
      <c r="S2468" s="82"/>
      <c r="T2468" s="83" t="str">
        <f t="shared" ref="T2468:T2531" si="218">IF(S2468="","",HYPERLINK(_xlfn.CONCAT($S$4,S2468,".jpg"),"Open File"))</f>
        <v/>
      </c>
      <c r="U2468" s="10"/>
      <c r="V2468" s="41">
        <f>IF(AND(Q2468&lt;&gt;"",RIGHT(Q2468,3)&lt;&gt;""),IF(COUNTIF($Q$6:Q2468,Q2468)=1,1,0),0)</f>
        <v>0</v>
      </c>
      <c r="W2468" s="41" t="str">
        <f t="shared" ref="W2468:W2531" si="219">IF(AND(J2468&lt;&gt;"",K2468&lt;&gt;""),_xlfn.CONCAT(SUBSTITUTE(J2468,"/","."),"-",K2468),"")</f>
        <v/>
      </c>
      <c r="X2468" s="41" t="str">
        <f t="shared" ref="X2468:X2531" si="220">IF(AND(Q2468&lt;&gt;"",R2468&lt;&gt;""),_xlfn.CONCAT(SUBSTITUTE(Q2468,"/","."),"-",R2468),"")</f>
        <v/>
      </c>
    </row>
    <row r="2469" s="32" customFormat="1" hidden="1" customHeight="1" spans="1:24">
      <c r="A2469" s="34"/>
      <c r="B2469" s="51"/>
      <c r="C2469" s="51"/>
      <c r="D2469" s="52"/>
      <c r="E2469" s="53"/>
      <c r="F2469" s="54"/>
      <c r="G2469" s="54"/>
      <c r="H2469" s="54"/>
      <c r="I2469" s="66"/>
      <c r="J2469" s="54"/>
      <c r="K2469" s="54"/>
      <c r="L2469" s="54"/>
      <c r="M2469" s="97" t="str">
        <f t="shared" si="217"/>
        <v/>
      </c>
      <c r="N2469" s="70"/>
      <c r="O2469" s="71" t="str">
        <f t="shared" si="216"/>
        <v/>
      </c>
      <c r="P2469" s="66"/>
      <c r="Q2469" s="66"/>
      <c r="R2469" s="54"/>
      <c r="S2469" s="82"/>
      <c r="T2469" s="83" t="str">
        <f t="shared" si="218"/>
        <v/>
      </c>
      <c r="U2469" s="10"/>
      <c r="V2469" s="41">
        <f>IF(AND(Q2469&lt;&gt;"",RIGHT(Q2469,3)&lt;&gt;""),IF(COUNTIF($Q$6:Q2469,Q2469)=1,1,0),0)</f>
        <v>0</v>
      </c>
      <c r="W2469" s="41" t="str">
        <f t="shared" si="219"/>
        <v/>
      </c>
      <c r="X2469" s="41" t="str">
        <f t="shared" si="220"/>
        <v/>
      </c>
    </row>
    <row r="2470" s="32" customFormat="1" hidden="1" customHeight="1" spans="1:24">
      <c r="A2470" s="34"/>
      <c r="B2470" s="51"/>
      <c r="C2470" s="51"/>
      <c r="D2470" s="52"/>
      <c r="E2470" s="53"/>
      <c r="F2470" s="54"/>
      <c r="G2470" s="54"/>
      <c r="H2470" s="54"/>
      <c r="I2470" s="66"/>
      <c r="J2470" s="54"/>
      <c r="K2470" s="54"/>
      <c r="L2470" s="54"/>
      <c r="M2470" s="97" t="str">
        <f t="shared" si="217"/>
        <v/>
      </c>
      <c r="N2470" s="70"/>
      <c r="O2470" s="71" t="str">
        <f t="shared" si="216"/>
        <v/>
      </c>
      <c r="P2470" s="66"/>
      <c r="Q2470" s="66"/>
      <c r="R2470" s="54"/>
      <c r="S2470" s="82"/>
      <c r="T2470" s="83" t="str">
        <f t="shared" si="218"/>
        <v/>
      </c>
      <c r="U2470" s="10"/>
      <c r="V2470" s="41">
        <f>IF(AND(Q2470&lt;&gt;"",RIGHT(Q2470,3)&lt;&gt;""),IF(COUNTIF($Q$6:Q2470,Q2470)=1,1,0),0)</f>
        <v>0</v>
      </c>
      <c r="W2470" s="41" t="str">
        <f t="shared" si="219"/>
        <v/>
      </c>
      <c r="X2470" s="41" t="str">
        <f t="shared" si="220"/>
        <v/>
      </c>
    </row>
    <row r="2471" s="32" customFormat="1" hidden="1" customHeight="1" spans="1:24">
      <c r="A2471" s="34"/>
      <c r="B2471" s="51"/>
      <c r="C2471" s="51"/>
      <c r="D2471" s="52"/>
      <c r="E2471" s="53"/>
      <c r="F2471" s="54"/>
      <c r="G2471" s="54"/>
      <c r="H2471" s="54"/>
      <c r="I2471" s="66"/>
      <c r="J2471" s="54"/>
      <c r="K2471" s="54"/>
      <c r="L2471" s="54"/>
      <c r="M2471" s="97" t="str">
        <f t="shared" si="217"/>
        <v/>
      </c>
      <c r="N2471" s="70"/>
      <c r="O2471" s="71" t="str">
        <f t="shared" si="216"/>
        <v/>
      </c>
      <c r="P2471" s="66"/>
      <c r="Q2471" s="66"/>
      <c r="R2471" s="54"/>
      <c r="S2471" s="82"/>
      <c r="T2471" s="83" t="str">
        <f t="shared" si="218"/>
        <v/>
      </c>
      <c r="U2471" s="10"/>
      <c r="V2471" s="41">
        <f>IF(AND(Q2471&lt;&gt;"",RIGHT(Q2471,3)&lt;&gt;""),IF(COUNTIF($Q$6:Q2471,Q2471)=1,1,0),0)</f>
        <v>0</v>
      </c>
      <c r="W2471" s="41" t="str">
        <f t="shared" si="219"/>
        <v/>
      </c>
      <c r="X2471" s="41" t="str">
        <f t="shared" si="220"/>
        <v/>
      </c>
    </row>
    <row r="2472" s="32" customFormat="1" hidden="1" customHeight="1" spans="1:24">
      <c r="A2472" s="34"/>
      <c r="B2472" s="51"/>
      <c r="C2472" s="51"/>
      <c r="D2472" s="52"/>
      <c r="E2472" s="53"/>
      <c r="F2472" s="54"/>
      <c r="G2472" s="54"/>
      <c r="H2472" s="54"/>
      <c r="I2472" s="66"/>
      <c r="J2472" s="54"/>
      <c r="K2472" s="54"/>
      <c r="L2472" s="54"/>
      <c r="M2472" s="97" t="str">
        <f t="shared" si="217"/>
        <v/>
      </c>
      <c r="N2472" s="70"/>
      <c r="O2472" s="71" t="str">
        <f t="shared" si="216"/>
        <v/>
      </c>
      <c r="P2472" s="66"/>
      <c r="Q2472" s="66"/>
      <c r="R2472" s="54"/>
      <c r="S2472" s="82"/>
      <c r="T2472" s="83" t="str">
        <f t="shared" si="218"/>
        <v/>
      </c>
      <c r="U2472" s="10"/>
      <c r="V2472" s="41">
        <f>IF(AND(Q2472&lt;&gt;"",RIGHT(Q2472,3)&lt;&gt;""),IF(COUNTIF($Q$6:Q2472,Q2472)=1,1,0),0)</f>
        <v>0</v>
      </c>
      <c r="W2472" s="41" t="str">
        <f t="shared" si="219"/>
        <v/>
      </c>
      <c r="X2472" s="41" t="str">
        <f t="shared" si="220"/>
        <v/>
      </c>
    </row>
    <row r="2473" s="32" customFormat="1" hidden="1" customHeight="1" spans="1:24">
      <c r="A2473" s="34"/>
      <c r="B2473" s="51"/>
      <c r="C2473" s="51"/>
      <c r="D2473" s="52"/>
      <c r="E2473" s="53"/>
      <c r="F2473" s="54"/>
      <c r="G2473" s="54"/>
      <c r="H2473" s="54"/>
      <c r="I2473" s="66"/>
      <c r="J2473" s="54"/>
      <c r="K2473" s="54"/>
      <c r="L2473" s="54"/>
      <c r="M2473" s="97" t="str">
        <f t="shared" si="217"/>
        <v/>
      </c>
      <c r="N2473" s="70"/>
      <c r="O2473" s="71" t="str">
        <f t="shared" si="216"/>
        <v/>
      </c>
      <c r="P2473" s="66"/>
      <c r="Q2473" s="66"/>
      <c r="R2473" s="54"/>
      <c r="S2473" s="82"/>
      <c r="T2473" s="83" t="str">
        <f t="shared" si="218"/>
        <v/>
      </c>
      <c r="U2473" s="10"/>
      <c r="V2473" s="41">
        <f>IF(AND(Q2473&lt;&gt;"",RIGHT(Q2473,3)&lt;&gt;""),IF(COUNTIF($Q$6:Q2473,Q2473)=1,1,0),0)</f>
        <v>0</v>
      </c>
      <c r="W2473" s="41" t="str">
        <f t="shared" si="219"/>
        <v/>
      </c>
      <c r="X2473" s="41" t="str">
        <f t="shared" si="220"/>
        <v/>
      </c>
    </row>
    <row r="2474" s="32" customFormat="1" hidden="1" customHeight="1" spans="1:24">
      <c r="A2474" s="34"/>
      <c r="B2474" s="51"/>
      <c r="C2474" s="51"/>
      <c r="D2474" s="52"/>
      <c r="E2474" s="53"/>
      <c r="F2474" s="54"/>
      <c r="G2474" s="54"/>
      <c r="H2474" s="54"/>
      <c r="I2474" s="66"/>
      <c r="J2474" s="54"/>
      <c r="K2474" s="54"/>
      <c r="L2474" s="54"/>
      <c r="M2474" s="97" t="str">
        <f t="shared" si="217"/>
        <v/>
      </c>
      <c r="N2474" s="70"/>
      <c r="O2474" s="71" t="str">
        <f t="shared" si="216"/>
        <v/>
      </c>
      <c r="P2474" s="66"/>
      <c r="Q2474" s="66"/>
      <c r="R2474" s="54"/>
      <c r="S2474" s="82"/>
      <c r="T2474" s="83" t="str">
        <f t="shared" si="218"/>
        <v/>
      </c>
      <c r="U2474" s="10"/>
      <c r="V2474" s="41">
        <f>IF(AND(Q2474&lt;&gt;"",RIGHT(Q2474,3)&lt;&gt;""),IF(COUNTIF($Q$6:Q2474,Q2474)=1,1,0),0)</f>
        <v>0</v>
      </c>
      <c r="W2474" s="41" t="str">
        <f t="shared" si="219"/>
        <v/>
      </c>
      <c r="X2474" s="41" t="str">
        <f t="shared" si="220"/>
        <v/>
      </c>
    </row>
    <row r="2475" s="32" customFormat="1" hidden="1" customHeight="1" spans="1:24">
      <c r="A2475" s="34"/>
      <c r="B2475" s="51"/>
      <c r="C2475" s="51"/>
      <c r="D2475" s="52"/>
      <c r="E2475" s="53"/>
      <c r="F2475" s="54"/>
      <c r="G2475" s="54"/>
      <c r="H2475" s="54"/>
      <c r="I2475" s="66"/>
      <c r="J2475" s="54"/>
      <c r="K2475" s="54"/>
      <c r="L2475" s="54"/>
      <c r="M2475" s="97" t="str">
        <f t="shared" si="217"/>
        <v/>
      </c>
      <c r="N2475" s="70"/>
      <c r="O2475" s="71" t="str">
        <f t="shared" si="216"/>
        <v/>
      </c>
      <c r="P2475" s="66"/>
      <c r="Q2475" s="66"/>
      <c r="R2475" s="54"/>
      <c r="S2475" s="82"/>
      <c r="T2475" s="83" t="str">
        <f t="shared" si="218"/>
        <v/>
      </c>
      <c r="U2475" s="10"/>
      <c r="V2475" s="41">
        <f>IF(AND(Q2475&lt;&gt;"",RIGHT(Q2475,3)&lt;&gt;""),IF(COUNTIF($Q$6:Q2475,Q2475)=1,1,0),0)</f>
        <v>0</v>
      </c>
      <c r="W2475" s="41" t="str">
        <f t="shared" si="219"/>
        <v/>
      </c>
      <c r="X2475" s="41" t="str">
        <f t="shared" si="220"/>
        <v/>
      </c>
    </row>
    <row r="2476" s="32" customFormat="1" hidden="1" customHeight="1" spans="1:24">
      <c r="A2476" s="34"/>
      <c r="B2476" s="51"/>
      <c r="C2476" s="51"/>
      <c r="D2476" s="52"/>
      <c r="E2476" s="53"/>
      <c r="F2476" s="54"/>
      <c r="G2476" s="54"/>
      <c r="H2476" s="54"/>
      <c r="I2476" s="66"/>
      <c r="J2476" s="54"/>
      <c r="K2476" s="54"/>
      <c r="L2476" s="54"/>
      <c r="M2476" s="97" t="str">
        <f t="shared" si="217"/>
        <v/>
      </c>
      <c r="N2476" s="70"/>
      <c r="O2476" s="71" t="str">
        <f t="shared" si="216"/>
        <v/>
      </c>
      <c r="P2476" s="66"/>
      <c r="Q2476" s="66"/>
      <c r="R2476" s="54"/>
      <c r="S2476" s="82"/>
      <c r="T2476" s="83" t="str">
        <f t="shared" si="218"/>
        <v/>
      </c>
      <c r="U2476" s="10"/>
      <c r="V2476" s="41">
        <f>IF(AND(Q2476&lt;&gt;"",RIGHT(Q2476,3)&lt;&gt;""),IF(COUNTIF($Q$6:Q2476,Q2476)=1,1,0),0)</f>
        <v>0</v>
      </c>
      <c r="W2476" s="41" t="str">
        <f t="shared" si="219"/>
        <v/>
      </c>
      <c r="X2476" s="41" t="str">
        <f t="shared" si="220"/>
        <v/>
      </c>
    </row>
    <row r="2477" s="32" customFormat="1" hidden="1" customHeight="1" spans="1:24">
      <c r="A2477" s="34"/>
      <c r="B2477" s="51"/>
      <c r="C2477" s="51"/>
      <c r="D2477" s="52"/>
      <c r="E2477" s="53"/>
      <c r="F2477" s="54"/>
      <c r="G2477" s="54"/>
      <c r="H2477" s="54"/>
      <c r="I2477" s="66"/>
      <c r="J2477" s="54"/>
      <c r="K2477" s="54"/>
      <c r="L2477" s="54"/>
      <c r="M2477" s="97" t="str">
        <f t="shared" si="217"/>
        <v/>
      </c>
      <c r="N2477" s="70"/>
      <c r="O2477" s="71" t="str">
        <f t="shared" si="216"/>
        <v/>
      </c>
      <c r="P2477" s="66"/>
      <c r="Q2477" s="66"/>
      <c r="R2477" s="54"/>
      <c r="S2477" s="82"/>
      <c r="T2477" s="83" t="str">
        <f t="shared" si="218"/>
        <v/>
      </c>
      <c r="U2477" s="10"/>
      <c r="V2477" s="41">
        <f>IF(AND(Q2477&lt;&gt;"",RIGHT(Q2477,3)&lt;&gt;""),IF(COUNTIF($Q$6:Q2477,Q2477)=1,1,0),0)</f>
        <v>0</v>
      </c>
      <c r="W2477" s="41" t="str">
        <f t="shared" si="219"/>
        <v/>
      </c>
      <c r="X2477" s="41" t="str">
        <f t="shared" si="220"/>
        <v/>
      </c>
    </row>
    <row r="2478" s="32" customFormat="1" hidden="1" customHeight="1" spans="1:24">
      <c r="A2478" s="34"/>
      <c r="B2478" s="51"/>
      <c r="C2478" s="51"/>
      <c r="D2478" s="52"/>
      <c r="E2478" s="53"/>
      <c r="F2478" s="54"/>
      <c r="G2478" s="54"/>
      <c r="H2478" s="54"/>
      <c r="I2478" s="66"/>
      <c r="J2478" s="54"/>
      <c r="K2478" s="54"/>
      <c r="L2478" s="54"/>
      <c r="M2478" s="97" t="str">
        <f t="shared" si="217"/>
        <v/>
      </c>
      <c r="N2478" s="70"/>
      <c r="O2478" s="71" t="str">
        <f t="shared" si="216"/>
        <v/>
      </c>
      <c r="P2478" s="66"/>
      <c r="Q2478" s="66"/>
      <c r="R2478" s="54"/>
      <c r="S2478" s="82"/>
      <c r="T2478" s="83" t="str">
        <f t="shared" si="218"/>
        <v/>
      </c>
      <c r="U2478" s="10"/>
      <c r="V2478" s="41">
        <f>IF(AND(Q2478&lt;&gt;"",RIGHT(Q2478,3)&lt;&gt;""),IF(COUNTIF($Q$6:Q2478,Q2478)=1,1,0),0)</f>
        <v>0</v>
      </c>
      <c r="W2478" s="41" t="str">
        <f t="shared" si="219"/>
        <v/>
      </c>
      <c r="X2478" s="41" t="str">
        <f t="shared" si="220"/>
        <v/>
      </c>
    </row>
    <row r="2479" s="32" customFormat="1" hidden="1" customHeight="1" spans="1:24">
      <c r="A2479" s="34"/>
      <c r="B2479" s="51"/>
      <c r="C2479" s="51"/>
      <c r="D2479" s="52"/>
      <c r="E2479" s="53"/>
      <c r="F2479" s="54"/>
      <c r="G2479" s="54"/>
      <c r="H2479" s="54"/>
      <c r="I2479" s="66"/>
      <c r="J2479" s="54"/>
      <c r="K2479" s="54"/>
      <c r="L2479" s="54"/>
      <c r="M2479" s="97" t="str">
        <f t="shared" si="217"/>
        <v/>
      </c>
      <c r="N2479" s="70"/>
      <c r="O2479" s="71" t="str">
        <f t="shared" si="216"/>
        <v/>
      </c>
      <c r="P2479" s="66"/>
      <c r="Q2479" s="66"/>
      <c r="R2479" s="54"/>
      <c r="S2479" s="82"/>
      <c r="T2479" s="83" t="str">
        <f t="shared" si="218"/>
        <v/>
      </c>
      <c r="U2479" s="10"/>
      <c r="V2479" s="41">
        <f>IF(AND(Q2479&lt;&gt;"",RIGHT(Q2479,3)&lt;&gt;""),IF(COUNTIF($Q$6:Q2479,Q2479)=1,1,0),0)</f>
        <v>0</v>
      </c>
      <c r="W2479" s="41" t="str">
        <f t="shared" si="219"/>
        <v/>
      </c>
      <c r="X2479" s="41" t="str">
        <f t="shared" si="220"/>
        <v/>
      </c>
    </row>
    <row r="2480" s="32" customFormat="1" hidden="1" customHeight="1" spans="1:24">
      <c r="A2480" s="34"/>
      <c r="B2480" s="51"/>
      <c r="C2480" s="51"/>
      <c r="D2480" s="52"/>
      <c r="E2480" s="53"/>
      <c r="F2480" s="54"/>
      <c r="G2480" s="54"/>
      <c r="H2480" s="54"/>
      <c r="I2480" s="66"/>
      <c r="J2480" s="54"/>
      <c r="K2480" s="54"/>
      <c r="L2480" s="54"/>
      <c r="M2480" s="97" t="str">
        <f t="shared" si="217"/>
        <v/>
      </c>
      <c r="N2480" s="70"/>
      <c r="O2480" s="71" t="str">
        <f t="shared" si="216"/>
        <v/>
      </c>
      <c r="P2480" s="66"/>
      <c r="Q2480" s="66"/>
      <c r="R2480" s="54"/>
      <c r="S2480" s="82"/>
      <c r="T2480" s="83" t="str">
        <f t="shared" si="218"/>
        <v/>
      </c>
      <c r="U2480" s="10"/>
      <c r="V2480" s="41">
        <f>IF(AND(Q2480&lt;&gt;"",RIGHT(Q2480,3)&lt;&gt;""),IF(COUNTIF($Q$6:Q2480,Q2480)=1,1,0),0)</f>
        <v>0</v>
      </c>
      <c r="W2480" s="41" t="str">
        <f t="shared" si="219"/>
        <v/>
      </c>
      <c r="X2480" s="41" t="str">
        <f t="shared" si="220"/>
        <v/>
      </c>
    </row>
    <row r="2481" s="32" customFormat="1" hidden="1" customHeight="1" spans="1:24">
      <c r="A2481" s="34"/>
      <c r="B2481" s="51"/>
      <c r="C2481" s="51"/>
      <c r="D2481" s="52"/>
      <c r="E2481" s="53"/>
      <c r="F2481" s="54"/>
      <c r="G2481" s="54"/>
      <c r="H2481" s="54"/>
      <c r="I2481" s="66"/>
      <c r="J2481" s="54"/>
      <c r="K2481" s="54"/>
      <c r="L2481" s="54"/>
      <c r="M2481" s="97" t="str">
        <f t="shared" si="217"/>
        <v/>
      </c>
      <c r="N2481" s="70"/>
      <c r="O2481" s="71" t="str">
        <f t="shared" ref="O2481:O2544" si="221">IF(AND(Q2481&lt;&gt;"",T2481&lt;&gt;""),"PASSIVE",IF(AND(J2481&lt;&gt;"",M2481&lt;&gt;""),"ACTIVE",""))</f>
        <v/>
      </c>
      <c r="P2481" s="66"/>
      <c r="Q2481" s="66"/>
      <c r="R2481" s="54"/>
      <c r="S2481" s="82"/>
      <c r="T2481" s="83" t="str">
        <f t="shared" si="218"/>
        <v/>
      </c>
      <c r="U2481" s="10"/>
      <c r="V2481" s="41">
        <f>IF(AND(Q2481&lt;&gt;"",RIGHT(Q2481,3)&lt;&gt;""),IF(COUNTIF($Q$6:Q2481,Q2481)=1,1,0),0)</f>
        <v>0</v>
      </c>
      <c r="W2481" s="41" t="str">
        <f t="shared" si="219"/>
        <v/>
      </c>
      <c r="X2481" s="41" t="str">
        <f t="shared" si="220"/>
        <v/>
      </c>
    </row>
    <row r="2482" s="32" customFormat="1" hidden="1" customHeight="1" spans="1:24">
      <c r="A2482" s="34"/>
      <c r="B2482" s="51"/>
      <c r="C2482" s="51"/>
      <c r="D2482" s="52"/>
      <c r="E2482" s="53"/>
      <c r="F2482" s="54"/>
      <c r="G2482" s="54"/>
      <c r="H2482" s="54"/>
      <c r="I2482" s="66"/>
      <c r="J2482" s="54"/>
      <c r="K2482" s="54"/>
      <c r="L2482" s="54"/>
      <c r="M2482" s="97" t="str">
        <f t="shared" si="217"/>
        <v/>
      </c>
      <c r="N2482" s="70"/>
      <c r="O2482" s="71" t="str">
        <f t="shared" si="221"/>
        <v/>
      </c>
      <c r="P2482" s="66"/>
      <c r="Q2482" s="66"/>
      <c r="R2482" s="54"/>
      <c r="S2482" s="82"/>
      <c r="T2482" s="83" t="str">
        <f t="shared" si="218"/>
        <v/>
      </c>
      <c r="U2482" s="10"/>
      <c r="V2482" s="41">
        <f>IF(AND(Q2482&lt;&gt;"",RIGHT(Q2482,3)&lt;&gt;""),IF(COUNTIF($Q$6:Q2482,Q2482)=1,1,0),0)</f>
        <v>0</v>
      </c>
      <c r="W2482" s="41" t="str">
        <f t="shared" si="219"/>
        <v/>
      </c>
      <c r="X2482" s="41" t="str">
        <f t="shared" si="220"/>
        <v/>
      </c>
    </row>
    <row r="2483" s="32" customFormat="1" hidden="1" customHeight="1" spans="1:24">
      <c r="A2483" s="34"/>
      <c r="B2483" s="51"/>
      <c r="C2483" s="51"/>
      <c r="D2483" s="52"/>
      <c r="E2483" s="53"/>
      <c r="F2483" s="54"/>
      <c r="G2483" s="54"/>
      <c r="H2483" s="54"/>
      <c r="I2483" s="66"/>
      <c r="J2483" s="54"/>
      <c r="K2483" s="54"/>
      <c r="L2483" s="54"/>
      <c r="M2483" s="97" t="str">
        <f t="shared" si="217"/>
        <v/>
      </c>
      <c r="N2483" s="70"/>
      <c r="O2483" s="71" t="str">
        <f t="shared" si="221"/>
        <v/>
      </c>
      <c r="P2483" s="66"/>
      <c r="Q2483" s="66"/>
      <c r="R2483" s="54"/>
      <c r="S2483" s="82"/>
      <c r="T2483" s="83" t="str">
        <f t="shared" si="218"/>
        <v/>
      </c>
      <c r="U2483" s="10"/>
      <c r="V2483" s="41">
        <f>IF(AND(Q2483&lt;&gt;"",RIGHT(Q2483,3)&lt;&gt;""),IF(COUNTIF($Q$6:Q2483,Q2483)=1,1,0),0)</f>
        <v>0</v>
      </c>
      <c r="W2483" s="41" t="str">
        <f t="shared" si="219"/>
        <v/>
      </c>
      <c r="X2483" s="41" t="str">
        <f t="shared" si="220"/>
        <v/>
      </c>
    </row>
    <row r="2484" s="32" customFormat="1" hidden="1" customHeight="1" spans="1:24">
      <c r="A2484" s="34"/>
      <c r="B2484" s="51"/>
      <c r="C2484" s="51"/>
      <c r="D2484" s="52"/>
      <c r="E2484" s="53"/>
      <c r="F2484" s="54"/>
      <c r="G2484" s="54"/>
      <c r="H2484" s="54"/>
      <c r="I2484" s="66"/>
      <c r="J2484" s="54"/>
      <c r="K2484" s="54"/>
      <c r="L2484" s="54"/>
      <c r="M2484" s="97" t="str">
        <f t="shared" si="217"/>
        <v/>
      </c>
      <c r="N2484" s="70"/>
      <c r="O2484" s="71" t="str">
        <f t="shared" si="221"/>
        <v/>
      </c>
      <c r="P2484" s="66"/>
      <c r="Q2484" s="66"/>
      <c r="R2484" s="54"/>
      <c r="S2484" s="82"/>
      <c r="T2484" s="83" t="str">
        <f t="shared" si="218"/>
        <v/>
      </c>
      <c r="U2484" s="10"/>
      <c r="V2484" s="41">
        <f>IF(AND(Q2484&lt;&gt;"",RIGHT(Q2484,3)&lt;&gt;""),IF(COUNTIF($Q$6:Q2484,Q2484)=1,1,0),0)</f>
        <v>0</v>
      </c>
      <c r="W2484" s="41" t="str">
        <f t="shared" si="219"/>
        <v/>
      </c>
      <c r="X2484" s="41" t="str">
        <f t="shared" si="220"/>
        <v/>
      </c>
    </row>
    <row r="2485" s="32" customFormat="1" hidden="1" customHeight="1" spans="1:24">
      <c r="A2485" s="34"/>
      <c r="B2485" s="51"/>
      <c r="C2485" s="51"/>
      <c r="D2485" s="52"/>
      <c r="E2485" s="53"/>
      <c r="F2485" s="54"/>
      <c r="G2485" s="54"/>
      <c r="H2485" s="54"/>
      <c r="I2485" s="66"/>
      <c r="J2485" s="54"/>
      <c r="K2485" s="54"/>
      <c r="L2485" s="54"/>
      <c r="M2485" s="97" t="str">
        <f t="shared" si="217"/>
        <v/>
      </c>
      <c r="N2485" s="70"/>
      <c r="O2485" s="71" t="str">
        <f t="shared" si="221"/>
        <v/>
      </c>
      <c r="P2485" s="66"/>
      <c r="Q2485" s="66"/>
      <c r="R2485" s="54"/>
      <c r="S2485" s="82"/>
      <c r="T2485" s="83" t="str">
        <f t="shared" si="218"/>
        <v/>
      </c>
      <c r="U2485" s="10"/>
      <c r="V2485" s="41">
        <f>IF(AND(Q2485&lt;&gt;"",RIGHT(Q2485,3)&lt;&gt;""),IF(COUNTIF($Q$6:Q2485,Q2485)=1,1,0),0)</f>
        <v>0</v>
      </c>
      <c r="W2485" s="41" t="str">
        <f t="shared" si="219"/>
        <v/>
      </c>
      <c r="X2485" s="41" t="str">
        <f t="shared" si="220"/>
        <v/>
      </c>
    </row>
    <row r="2486" s="32" customFormat="1" hidden="1" customHeight="1" spans="1:24">
      <c r="A2486" s="34"/>
      <c r="B2486" s="51"/>
      <c r="C2486" s="51"/>
      <c r="D2486" s="52"/>
      <c r="E2486" s="53"/>
      <c r="F2486" s="54"/>
      <c r="G2486" s="54"/>
      <c r="H2486" s="54"/>
      <c r="I2486" s="66"/>
      <c r="J2486" s="54"/>
      <c r="K2486" s="54"/>
      <c r="L2486" s="54"/>
      <c r="M2486" s="97" t="str">
        <f t="shared" si="217"/>
        <v/>
      </c>
      <c r="N2486" s="70"/>
      <c r="O2486" s="71" t="str">
        <f t="shared" si="221"/>
        <v/>
      </c>
      <c r="P2486" s="66"/>
      <c r="Q2486" s="66"/>
      <c r="R2486" s="54"/>
      <c r="S2486" s="82"/>
      <c r="T2486" s="83" t="str">
        <f t="shared" si="218"/>
        <v/>
      </c>
      <c r="U2486" s="10"/>
      <c r="V2486" s="41">
        <f>IF(AND(Q2486&lt;&gt;"",RIGHT(Q2486,3)&lt;&gt;""),IF(COUNTIF($Q$6:Q2486,Q2486)=1,1,0),0)</f>
        <v>0</v>
      </c>
      <c r="W2486" s="41" t="str">
        <f t="shared" si="219"/>
        <v/>
      </c>
      <c r="X2486" s="41" t="str">
        <f t="shared" si="220"/>
        <v/>
      </c>
    </row>
    <row r="2487" s="32" customFormat="1" hidden="1" customHeight="1" spans="1:24">
      <c r="A2487" s="34"/>
      <c r="B2487" s="51"/>
      <c r="C2487" s="51"/>
      <c r="D2487" s="52"/>
      <c r="E2487" s="53"/>
      <c r="F2487" s="54"/>
      <c r="G2487" s="54"/>
      <c r="H2487" s="54"/>
      <c r="I2487" s="66"/>
      <c r="J2487" s="54"/>
      <c r="K2487" s="54"/>
      <c r="L2487" s="54"/>
      <c r="M2487" s="97" t="str">
        <f t="shared" si="217"/>
        <v/>
      </c>
      <c r="N2487" s="70"/>
      <c r="O2487" s="71" t="str">
        <f t="shared" si="221"/>
        <v/>
      </c>
      <c r="P2487" s="66"/>
      <c r="Q2487" s="66"/>
      <c r="R2487" s="54"/>
      <c r="S2487" s="82"/>
      <c r="T2487" s="83" t="str">
        <f t="shared" si="218"/>
        <v/>
      </c>
      <c r="U2487" s="10"/>
      <c r="V2487" s="41">
        <f>IF(AND(Q2487&lt;&gt;"",RIGHT(Q2487,3)&lt;&gt;""),IF(COUNTIF($Q$6:Q2487,Q2487)=1,1,0),0)</f>
        <v>0</v>
      </c>
      <c r="W2487" s="41" t="str">
        <f t="shared" si="219"/>
        <v/>
      </c>
      <c r="X2487" s="41" t="str">
        <f t="shared" si="220"/>
        <v/>
      </c>
    </row>
    <row r="2488" s="32" customFormat="1" hidden="1" customHeight="1" spans="1:24">
      <c r="A2488" s="34"/>
      <c r="B2488" s="51"/>
      <c r="C2488" s="51"/>
      <c r="D2488" s="52"/>
      <c r="E2488" s="53"/>
      <c r="F2488" s="54"/>
      <c r="G2488" s="54"/>
      <c r="H2488" s="54"/>
      <c r="I2488" s="66"/>
      <c r="J2488" s="54"/>
      <c r="K2488" s="54"/>
      <c r="L2488" s="54"/>
      <c r="M2488" s="97" t="str">
        <f t="shared" si="217"/>
        <v/>
      </c>
      <c r="N2488" s="70"/>
      <c r="O2488" s="71" t="str">
        <f t="shared" si="221"/>
        <v/>
      </c>
      <c r="P2488" s="66"/>
      <c r="Q2488" s="66"/>
      <c r="R2488" s="54"/>
      <c r="S2488" s="82"/>
      <c r="T2488" s="83" t="str">
        <f t="shared" si="218"/>
        <v/>
      </c>
      <c r="U2488" s="10"/>
      <c r="V2488" s="41">
        <f>IF(AND(Q2488&lt;&gt;"",RIGHT(Q2488,3)&lt;&gt;""),IF(COUNTIF($Q$6:Q2488,Q2488)=1,1,0),0)</f>
        <v>0</v>
      </c>
      <c r="W2488" s="41" t="str">
        <f t="shared" si="219"/>
        <v/>
      </c>
      <c r="X2488" s="41" t="str">
        <f t="shared" si="220"/>
        <v/>
      </c>
    </row>
    <row r="2489" s="32" customFormat="1" hidden="1" customHeight="1" spans="1:24">
      <c r="A2489" s="34"/>
      <c r="B2489" s="51"/>
      <c r="C2489" s="51"/>
      <c r="D2489" s="52"/>
      <c r="E2489" s="53"/>
      <c r="F2489" s="54"/>
      <c r="G2489" s="54"/>
      <c r="H2489" s="54"/>
      <c r="I2489" s="66"/>
      <c r="J2489" s="54"/>
      <c r="K2489" s="54"/>
      <c r="L2489" s="54"/>
      <c r="M2489" s="97" t="str">
        <f t="shared" si="217"/>
        <v/>
      </c>
      <c r="N2489" s="70"/>
      <c r="O2489" s="71" t="str">
        <f t="shared" si="221"/>
        <v/>
      </c>
      <c r="P2489" s="66"/>
      <c r="Q2489" s="66"/>
      <c r="R2489" s="54"/>
      <c r="S2489" s="82"/>
      <c r="T2489" s="83" t="str">
        <f t="shared" si="218"/>
        <v/>
      </c>
      <c r="U2489" s="10"/>
      <c r="V2489" s="41">
        <f>IF(AND(Q2489&lt;&gt;"",RIGHT(Q2489,3)&lt;&gt;""),IF(COUNTIF($Q$6:Q2489,Q2489)=1,1,0),0)</f>
        <v>0</v>
      </c>
      <c r="W2489" s="41" t="str">
        <f t="shared" si="219"/>
        <v/>
      </c>
      <c r="X2489" s="41" t="str">
        <f t="shared" si="220"/>
        <v/>
      </c>
    </row>
    <row r="2490" s="32" customFormat="1" hidden="1" customHeight="1" spans="1:24">
      <c r="A2490" s="34"/>
      <c r="B2490" s="51"/>
      <c r="C2490" s="51"/>
      <c r="D2490" s="52"/>
      <c r="E2490" s="53"/>
      <c r="F2490" s="54"/>
      <c r="G2490" s="54"/>
      <c r="H2490" s="54"/>
      <c r="I2490" s="66"/>
      <c r="J2490" s="54"/>
      <c r="K2490" s="54"/>
      <c r="L2490" s="54"/>
      <c r="M2490" s="97" t="str">
        <f t="shared" si="217"/>
        <v/>
      </c>
      <c r="N2490" s="70"/>
      <c r="O2490" s="71" t="str">
        <f t="shared" si="221"/>
        <v/>
      </c>
      <c r="P2490" s="66"/>
      <c r="Q2490" s="66"/>
      <c r="R2490" s="54"/>
      <c r="S2490" s="82"/>
      <c r="T2490" s="83" t="str">
        <f t="shared" si="218"/>
        <v/>
      </c>
      <c r="U2490" s="10"/>
      <c r="V2490" s="41">
        <f>IF(AND(Q2490&lt;&gt;"",RIGHT(Q2490,3)&lt;&gt;""),IF(COUNTIF($Q$6:Q2490,Q2490)=1,1,0),0)</f>
        <v>0</v>
      </c>
      <c r="W2490" s="41" t="str">
        <f t="shared" si="219"/>
        <v/>
      </c>
      <c r="X2490" s="41" t="str">
        <f t="shared" si="220"/>
        <v/>
      </c>
    </row>
    <row r="2491" s="32" customFormat="1" hidden="1" customHeight="1" spans="1:24">
      <c r="A2491" s="34"/>
      <c r="B2491" s="51"/>
      <c r="C2491" s="51"/>
      <c r="D2491" s="52"/>
      <c r="E2491" s="53"/>
      <c r="F2491" s="54"/>
      <c r="G2491" s="54"/>
      <c r="H2491" s="54"/>
      <c r="I2491" s="66"/>
      <c r="J2491" s="54"/>
      <c r="K2491" s="54"/>
      <c r="L2491" s="54"/>
      <c r="M2491" s="97" t="str">
        <f t="shared" si="217"/>
        <v/>
      </c>
      <c r="N2491" s="70"/>
      <c r="O2491" s="71" t="str">
        <f t="shared" si="221"/>
        <v/>
      </c>
      <c r="P2491" s="66"/>
      <c r="Q2491" s="66"/>
      <c r="R2491" s="54"/>
      <c r="S2491" s="82"/>
      <c r="T2491" s="83" t="str">
        <f t="shared" si="218"/>
        <v/>
      </c>
      <c r="U2491" s="10"/>
      <c r="V2491" s="41">
        <f>IF(AND(Q2491&lt;&gt;"",RIGHT(Q2491,3)&lt;&gt;""),IF(COUNTIF($Q$6:Q2491,Q2491)=1,1,0),0)</f>
        <v>0</v>
      </c>
      <c r="W2491" s="41" t="str">
        <f t="shared" si="219"/>
        <v/>
      </c>
      <c r="X2491" s="41" t="str">
        <f t="shared" si="220"/>
        <v/>
      </c>
    </row>
    <row r="2492" s="32" customFormat="1" hidden="1" customHeight="1" spans="1:24">
      <c r="A2492" s="34"/>
      <c r="B2492" s="51"/>
      <c r="C2492" s="51"/>
      <c r="D2492" s="52"/>
      <c r="E2492" s="53"/>
      <c r="F2492" s="54"/>
      <c r="G2492" s="54"/>
      <c r="H2492" s="54"/>
      <c r="I2492" s="66"/>
      <c r="J2492" s="54"/>
      <c r="K2492" s="54"/>
      <c r="L2492" s="54"/>
      <c r="M2492" s="97" t="str">
        <f t="shared" si="217"/>
        <v/>
      </c>
      <c r="N2492" s="70"/>
      <c r="O2492" s="71" t="str">
        <f t="shared" si="221"/>
        <v/>
      </c>
      <c r="P2492" s="66"/>
      <c r="Q2492" s="66"/>
      <c r="R2492" s="54"/>
      <c r="S2492" s="82"/>
      <c r="T2492" s="83" t="str">
        <f t="shared" si="218"/>
        <v/>
      </c>
      <c r="U2492" s="10"/>
      <c r="V2492" s="41">
        <f>IF(AND(Q2492&lt;&gt;"",RIGHT(Q2492,3)&lt;&gt;""),IF(COUNTIF($Q$6:Q2492,Q2492)=1,1,0),0)</f>
        <v>0</v>
      </c>
      <c r="W2492" s="41" t="str">
        <f t="shared" si="219"/>
        <v/>
      </c>
      <c r="X2492" s="41" t="str">
        <f t="shared" si="220"/>
        <v/>
      </c>
    </row>
    <row r="2493" s="32" customFormat="1" hidden="1" customHeight="1" spans="1:24">
      <c r="A2493" s="34"/>
      <c r="B2493" s="51"/>
      <c r="C2493" s="51"/>
      <c r="D2493" s="52"/>
      <c r="E2493" s="53"/>
      <c r="F2493" s="54"/>
      <c r="G2493" s="54"/>
      <c r="H2493" s="54"/>
      <c r="I2493" s="66"/>
      <c r="J2493" s="54"/>
      <c r="K2493" s="54"/>
      <c r="L2493" s="54"/>
      <c r="M2493" s="97" t="str">
        <f t="shared" si="217"/>
        <v/>
      </c>
      <c r="N2493" s="70"/>
      <c r="O2493" s="71" t="str">
        <f t="shared" si="221"/>
        <v/>
      </c>
      <c r="P2493" s="66"/>
      <c r="Q2493" s="66"/>
      <c r="R2493" s="54"/>
      <c r="S2493" s="82"/>
      <c r="T2493" s="83" t="str">
        <f t="shared" si="218"/>
        <v/>
      </c>
      <c r="U2493" s="10"/>
      <c r="V2493" s="41">
        <f>IF(AND(Q2493&lt;&gt;"",RIGHT(Q2493,3)&lt;&gt;""),IF(COUNTIF($Q$6:Q2493,Q2493)=1,1,0),0)</f>
        <v>0</v>
      </c>
      <c r="W2493" s="41" t="str">
        <f t="shared" si="219"/>
        <v/>
      </c>
      <c r="X2493" s="41" t="str">
        <f t="shared" si="220"/>
        <v/>
      </c>
    </row>
    <row r="2494" s="32" customFormat="1" hidden="1" customHeight="1" spans="1:24">
      <c r="A2494" s="34"/>
      <c r="B2494" s="51"/>
      <c r="C2494" s="51"/>
      <c r="D2494" s="52"/>
      <c r="E2494" s="53"/>
      <c r="F2494" s="54"/>
      <c r="G2494" s="54"/>
      <c r="H2494" s="54"/>
      <c r="I2494" s="66"/>
      <c r="J2494" s="54"/>
      <c r="K2494" s="54"/>
      <c r="L2494" s="54"/>
      <c r="M2494" s="97" t="str">
        <f t="shared" si="217"/>
        <v/>
      </c>
      <c r="N2494" s="70"/>
      <c r="O2494" s="71" t="str">
        <f t="shared" si="221"/>
        <v/>
      </c>
      <c r="P2494" s="66"/>
      <c r="Q2494" s="66"/>
      <c r="R2494" s="54"/>
      <c r="S2494" s="82"/>
      <c r="T2494" s="83" t="str">
        <f t="shared" si="218"/>
        <v/>
      </c>
      <c r="U2494" s="10"/>
      <c r="V2494" s="41">
        <f>IF(AND(Q2494&lt;&gt;"",RIGHT(Q2494,3)&lt;&gt;""),IF(COUNTIF($Q$6:Q2494,Q2494)=1,1,0),0)</f>
        <v>0</v>
      </c>
      <c r="W2494" s="41" t="str">
        <f t="shared" si="219"/>
        <v/>
      </c>
      <c r="X2494" s="41" t="str">
        <f t="shared" si="220"/>
        <v/>
      </c>
    </row>
    <row r="2495" s="32" customFormat="1" hidden="1" customHeight="1" spans="1:24">
      <c r="A2495" s="34"/>
      <c r="B2495" s="51"/>
      <c r="C2495" s="51"/>
      <c r="D2495" s="52"/>
      <c r="E2495" s="53"/>
      <c r="F2495" s="54"/>
      <c r="G2495" s="54"/>
      <c r="H2495" s="54"/>
      <c r="I2495" s="66"/>
      <c r="J2495" s="54"/>
      <c r="K2495" s="54"/>
      <c r="L2495" s="54"/>
      <c r="M2495" s="97" t="str">
        <f t="shared" si="217"/>
        <v/>
      </c>
      <c r="N2495" s="70"/>
      <c r="O2495" s="71" t="str">
        <f t="shared" si="221"/>
        <v/>
      </c>
      <c r="P2495" s="66"/>
      <c r="Q2495" s="66"/>
      <c r="R2495" s="54"/>
      <c r="S2495" s="82"/>
      <c r="T2495" s="83" t="str">
        <f t="shared" si="218"/>
        <v/>
      </c>
      <c r="U2495" s="10"/>
      <c r="V2495" s="41">
        <f>IF(AND(Q2495&lt;&gt;"",RIGHT(Q2495,3)&lt;&gt;""),IF(COUNTIF($Q$6:Q2495,Q2495)=1,1,0),0)</f>
        <v>0</v>
      </c>
      <c r="W2495" s="41" t="str">
        <f t="shared" si="219"/>
        <v/>
      </c>
      <c r="X2495" s="41" t="str">
        <f t="shared" si="220"/>
        <v/>
      </c>
    </row>
    <row r="2496" s="32" customFormat="1" hidden="1" customHeight="1" spans="1:24">
      <c r="A2496" s="34"/>
      <c r="B2496" s="51"/>
      <c r="C2496" s="51"/>
      <c r="D2496" s="52"/>
      <c r="E2496" s="53"/>
      <c r="F2496" s="54"/>
      <c r="G2496" s="54"/>
      <c r="H2496" s="54"/>
      <c r="I2496" s="66"/>
      <c r="J2496" s="54"/>
      <c r="K2496" s="54"/>
      <c r="L2496" s="54"/>
      <c r="M2496" s="97" t="str">
        <f t="shared" si="217"/>
        <v/>
      </c>
      <c r="N2496" s="70"/>
      <c r="O2496" s="71" t="str">
        <f t="shared" si="221"/>
        <v/>
      </c>
      <c r="P2496" s="66"/>
      <c r="Q2496" s="66"/>
      <c r="R2496" s="54"/>
      <c r="S2496" s="82"/>
      <c r="T2496" s="83" t="str">
        <f t="shared" si="218"/>
        <v/>
      </c>
      <c r="U2496" s="10"/>
      <c r="V2496" s="41">
        <f>IF(AND(Q2496&lt;&gt;"",RIGHT(Q2496,3)&lt;&gt;""),IF(COUNTIF($Q$6:Q2496,Q2496)=1,1,0),0)</f>
        <v>0</v>
      </c>
      <c r="W2496" s="41" t="str">
        <f t="shared" si="219"/>
        <v/>
      </c>
      <c r="X2496" s="41" t="str">
        <f t="shared" si="220"/>
        <v/>
      </c>
    </row>
    <row r="2497" s="32" customFormat="1" hidden="1" customHeight="1" spans="1:24">
      <c r="A2497" s="34"/>
      <c r="B2497" s="51"/>
      <c r="C2497" s="51"/>
      <c r="D2497" s="52"/>
      <c r="E2497" s="53"/>
      <c r="F2497" s="54"/>
      <c r="G2497" s="54"/>
      <c r="H2497" s="54"/>
      <c r="I2497" s="66"/>
      <c r="J2497" s="54"/>
      <c r="K2497" s="54"/>
      <c r="L2497" s="54"/>
      <c r="M2497" s="97" t="str">
        <f t="shared" si="217"/>
        <v/>
      </c>
      <c r="N2497" s="70"/>
      <c r="O2497" s="71" t="str">
        <f t="shared" si="221"/>
        <v/>
      </c>
      <c r="P2497" s="66"/>
      <c r="Q2497" s="66"/>
      <c r="R2497" s="54"/>
      <c r="S2497" s="82"/>
      <c r="T2497" s="83" t="str">
        <f t="shared" si="218"/>
        <v/>
      </c>
      <c r="U2497" s="10"/>
      <c r="V2497" s="41">
        <f>IF(AND(Q2497&lt;&gt;"",RIGHT(Q2497,3)&lt;&gt;""),IF(COUNTIF($Q$6:Q2497,Q2497)=1,1,0),0)</f>
        <v>0</v>
      </c>
      <c r="W2497" s="41" t="str">
        <f t="shared" si="219"/>
        <v/>
      </c>
      <c r="X2497" s="41" t="str">
        <f t="shared" si="220"/>
        <v/>
      </c>
    </row>
    <row r="2498" s="32" customFormat="1" hidden="1" customHeight="1" spans="1:24">
      <c r="A2498" s="34"/>
      <c r="B2498" s="51"/>
      <c r="C2498" s="51"/>
      <c r="D2498" s="52"/>
      <c r="E2498" s="53"/>
      <c r="F2498" s="54"/>
      <c r="G2498" s="54"/>
      <c r="H2498" s="54"/>
      <c r="I2498" s="66"/>
      <c r="J2498" s="54"/>
      <c r="K2498" s="54"/>
      <c r="L2498" s="54"/>
      <c r="M2498" s="97" t="str">
        <f t="shared" si="217"/>
        <v/>
      </c>
      <c r="N2498" s="70"/>
      <c r="O2498" s="71" t="str">
        <f t="shared" si="221"/>
        <v/>
      </c>
      <c r="P2498" s="66"/>
      <c r="Q2498" s="66"/>
      <c r="R2498" s="54"/>
      <c r="S2498" s="82"/>
      <c r="T2498" s="83" t="str">
        <f t="shared" si="218"/>
        <v/>
      </c>
      <c r="U2498" s="10"/>
      <c r="V2498" s="41">
        <f>IF(AND(Q2498&lt;&gt;"",RIGHT(Q2498,3)&lt;&gt;""),IF(COUNTIF($Q$6:Q2498,Q2498)=1,1,0),0)</f>
        <v>0</v>
      </c>
      <c r="W2498" s="41" t="str">
        <f t="shared" si="219"/>
        <v/>
      </c>
      <c r="X2498" s="41" t="str">
        <f t="shared" si="220"/>
        <v/>
      </c>
    </row>
    <row r="2499" s="32" customFormat="1" hidden="1" customHeight="1" spans="1:24">
      <c r="A2499" s="34"/>
      <c r="B2499" s="51"/>
      <c r="C2499" s="51"/>
      <c r="D2499" s="52"/>
      <c r="E2499" s="53"/>
      <c r="F2499" s="54"/>
      <c r="G2499" s="54"/>
      <c r="H2499" s="54"/>
      <c r="I2499" s="66"/>
      <c r="J2499" s="54"/>
      <c r="K2499" s="54"/>
      <c r="L2499" s="54"/>
      <c r="M2499" s="97" t="str">
        <f t="shared" si="217"/>
        <v/>
      </c>
      <c r="N2499" s="70"/>
      <c r="O2499" s="71" t="str">
        <f t="shared" si="221"/>
        <v/>
      </c>
      <c r="P2499" s="66"/>
      <c r="Q2499" s="66"/>
      <c r="R2499" s="54"/>
      <c r="S2499" s="82"/>
      <c r="T2499" s="83" t="str">
        <f t="shared" si="218"/>
        <v/>
      </c>
      <c r="U2499" s="10"/>
      <c r="V2499" s="41">
        <f>IF(AND(Q2499&lt;&gt;"",RIGHT(Q2499,3)&lt;&gt;""),IF(COUNTIF($Q$6:Q2499,Q2499)=1,1,0),0)</f>
        <v>0</v>
      </c>
      <c r="W2499" s="41" t="str">
        <f t="shared" si="219"/>
        <v/>
      </c>
      <c r="X2499" s="41" t="str">
        <f t="shared" si="220"/>
        <v/>
      </c>
    </row>
    <row r="2500" s="32" customFormat="1" hidden="1" customHeight="1" spans="1:24">
      <c r="A2500" s="34"/>
      <c r="B2500" s="51"/>
      <c r="C2500" s="51"/>
      <c r="D2500" s="52"/>
      <c r="E2500" s="53"/>
      <c r="F2500" s="54"/>
      <c r="G2500" s="54"/>
      <c r="H2500" s="54"/>
      <c r="I2500" s="66"/>
      <c r="J2500" s="54"/>
      <c r="K2500" s="54"/>
      <c r="L2500" s="54"/>
      <c r="M2500" s="97" t="str">
        <f t="shared" si="217"/>
        <v/>
      </c>
      <c r="N2500" s="70"/>
      <c r="O2500" s="71" t="str">
        <f t="shared" si="221"/>
        <v/>
      </c>
      <c r="P2500" s="66"/>
      <c r="Q2500" s="66"/>
      <c r="R2500" s="54"/>
      <c r="S2500" s="82"/>
      <c r="T2500" s="83" t="str">
        <f t="shared" si="218"/>
        <v/>
      </c>
      <c r="U2500" s="10"/>
      <c r="V2500" s="41">
        <f>IF(AND(Q2500&lt;&gt;"",RIGHT(Q2500,3)&lt;&gt;""),IF(COUNTIF($Q$6:Q2500,Q2500)=1,1,0),0)</f>
        <v>0</v>
      </c>
      <c r="W2500" s="41" t="str">
        <f t="shared" si="219"/>
        <v/>
      </c>
      <c r="X2500" s="41" t="str">
        <f t="shared" si="220"/>
        <v/>
      </c>
    </row>
    <row r="2501" s="32" customFormat="1" hidden="1" customHeight="1" spans="1:24">
      <c r="A2501" s="34"/>
      <c r="B2501" s="51"/>
      <c r="C2501" s="51"/>
      <c r="D2501" s="52"/>
      <c r="E2501" s="53"/>
      <c r="F2501" s="54"/>
      <c r="G2501" s="54"/>
      <c r="H2501" s="54"/>
      <c r="I2501" s="66"/>
      <c r="J2501" s="54"/>
      <c r="K2501" s="54"/>
      <c r="L2501" s="54"/>
      <c r="M2501" s="97" t="str">
        <f t="shared" si="217"/>
        <v/>
      </c>
      <c r="N2501" s="70"/>
      <c r="O2501" s="71" t="str">
        <f t="shared" si="221"/>
        <v/>
      </c>
      <c r="P2501" s="66"/>
      <c r="Q2501" s="66"/>
      <c r="R2501" s="54"/>
      <c r="S2501" s="82"/>
      <c r="T2501" s="83" t="str">
        <f t="shared" si="218"/>
        <v/>
      </c>
      <c r="U2501" s="10"/>
      <c r="V2501" s="41">
        <f>IF(AND(Q2501&lt;&gt;"",RIGHT(Q2501,3)&lt;&gt;""),IF(COUNTIF($Q$6:Q2501,Q2501)=1,1,0),0)</f>
        <v>0</v>
      </c>
      <c r="W2501" s="41" t="str">
        <f t="shared" si="219"/>
        <v/>
      </c>
      <c r="X2501" s="41" t="str">
        <f t="shared" si="220"/>
        <v/>
      </c>
    </row>
    <row r="2502" s="32" customFormat="1" hidden="1" customHeight="1" spans="1:24">
      <c r="A2502" s="34"/>
      <c r="B2502" s="51"/>
      <c r="C2502" s="51"/>
      <c r="D2502" s="52"/>
      <c r="E2502" s="53"/>
      <c r="F2502" s="54"/>
      <c r="G2502" s="54"/>
      <c r="H2502" s="54"/>
      <c r="I2502" s="66"/>
      <c r="J2502" s="54"/>
      <c r="K2502" s="54"/>
      <c r="L2502" s="54"/>
      <c r="M2502" s="97" t="str">
        <f t="shared" si="217"/>
        <v/>
      </c>
      <c r="N2502" s="70"/>
      <c r="O2502" s="71" t="str">
        <f t="shared" si="221"/>
        <v/>
      </c>
      <c r="P2502" s="66"/>
      <c r="Q2502" s="66"/>
      <c r="R2502" s="54"/>
      <c r="S2502" s="82"/>
      <c r="T2502" s="83" t="str">
        <f t="shared" si="218"/>
        <v/>
      </c>
      <c r="U2502" s="10"/>
      <c r="V2502" s="41">
        <f>IF(AND(Q2502&lt;&gt;"",RIGHT(Q2502,3)&lt;&gt;""),IF(COUNTIF($Q$6:Q2502,Q2502)=1,1,0),0)</f>
        <v>0</v>
      </c>
      <c r="W2502" s="41" t="str">
        <f t="shared" si="219"/>
        <v/>
      </c>
      <c r="X2502" s="41" t="str">
        <f t="shared" si="220"/>
        <v/>
      </c>
    </row>
    <row r="2503" s="32" customFormat="1" hidden="1" customHeight="1" spans="1:24">
      <c r="A2503" s="34"/>
      <c r="B2503" s="51"/>
      <c r="C2503" s="51"/>
      <c r="D2503" s="52"/>
      <c r="E2503" s="53"/>
      <c r="F2503" s="54"/>
      <c r="G2503" s="54"/>
      <c r="H2503" s="54"/>
      <c r="I2503" s="66"/>
      <c r="J2503" s="54"/>
      <c r="K2503" s="54"/>
      <c r="L2503" s="54"/>
      <c r="M2503" s="97" t="str">
        <f t="shared" si="217"/>
        <v/>
      </c>
      <c r="N2503" s="70"/>
      <c r="O2503" s="71" t="str">
        <f t="shared" si="221"/>
        <v/>
      </c>
      <c r="P2503" s="66"/>
      <c r="Q2503" s="66"/>
      <c r="R2503" s="54"/>
      <c r="S2503" s="82"/>
      <c r="T2503" s="83" t="str">
        <f t="shared" si="218"/>
        <v/>
      </c>
      <c r="U2503" s="10"/>
      <c r="V2503" s="41">
        <f>IF(AND(Q2503&lt;&gt;"",RIGHT(Q2503,3)&lt;&gt;""),IF(COUNTIF($Q$6:Q2503,Q2503)=1,1,0),0)</f>
        <v>0</v>
      </c>
      <c r="W2503" s="41" t="str">
        <f t="shared" si="219"/>
        <v/>
      </c>
      <c r="X2503" s="41" t="str">
        <f t="shared" si="220"/>
        <v/>
      </c>
    </row>
    <row r="2504" s="32" customFormat="1" hidden="1" customHeight="1" spans="1:24">
      <c r="A2504" s="34"/>
      <c r="B2504" s="51"/>
      <c r="C2504" s="51"/>
      <c r="D2504" s="52"/>
      <c r="E2504" s="53"/>
      <c r="F2504" s="54"/>
      <c r="G2504" s="54"/>
      <c r="H2504" s="54"/>
      <c r="I2504" s="66"/>
      <c r="J2504" s="54"/>
      <c r="K2504" s="54"/>
      <c r="L2504" s="54"/>
      <c r="M2504" s="97" t="str">
        <f t="shared" si="217"/>
        <v/>
      </c>
      <c r="N2504" s="70"/>
      <c r="O2504" s="71" t="str">
        <f t="shared" si="221"/>
        <v/>
      </c>
      <c r="P2504" s="66"/>
      <c r="Q2504" s="66"/>
      <c r="R2504" s="54"/>
      <c r="S2504" s="82"/>
      <c r="T2504" s="83" t="str">
        <f t="shared" si="218"/>
        <v/>
      </c>
      <c r="U2504" s="10"/>
      <c r="V2504" s="41">
        <f>IF(AND(Q2504&lt;&gt;"",RIGHT(Q2504,3)&lt;&gt;""),IF(COUNTIF($Q$6:Q2504,Q2504)=1,1,0),0)</f>
        <v>0</v>
      </c>
      <c r="W2504" s="41" t="str">
        <f t="shared" si="219"/>
        <v/>
      </c>
      <c r="X2504" s="41" t="str">
        <f t="shared" si="220"/>
        <v/>
      </c>
    </row>
    <row r="2505" s="32" customFormat="1" hidden="1" customHeight="1" spans="1:24">
      <c r="A2505" s="34"/>
      <c r="B2505" s="51"/>
      <c r="C2505" s="51"/>
      <c r="D2505" s="52"/>
      <c r="E2505" s="53"/>
      <c r="F2505" s="54"/>
      <c r="G2505" s="54"/>
      <c r="H2505" s="54"/>
      <c r="I2505" s="66"/>
      <c r="J2505" s="54"/>
      <c r="K2505" s="54"/>
      <c r="L2505" s="54"/>
      <c r="M2505" s="97" t="str">
        <f t="shared" si="217"/>
        <v/>
      </c>
      <c r="N2505" s="70"/>
      <c r="O2505" s="71" t="str">
        <f t="shared" si="221"/>
        <v/>
      </c>
      <c r="P2505" s="66"/>
      <c r="Q2505" s="66"/>
      <c r="R2505" s="54"/>
      <c r="S2505" s="82"/>
      <c r="T2505" s="83" t="str">
        <f t="shared" si="218"/>
        <v/>
      </c>
      <c r="U2505" s="10"/>
      <c r="V2505" s="41">
        <f>IF(AND(Q2505&lt;&gt;"",RIGHT(Q2505,3)&lt;&gt;""),IF(COUNTIF($Q$6:Q2505,Q2505)=1,1,0),0)</f>
        <v>0</v>
      </c>
      <c r="W2505" s="41" t="str">
        <f t="shared" si="219"/>
        <v/>
      </c>
      <c r="X2505" s="41" t="str">
        <f t="shared" si="220"/>
        <v/>
      </c>
    </row>
    <row r="2506" s="32" customFormat="1" hidden="1" customHeight="1" spans="1:24">
      <c r="A2506" s="34"/>
      <c r="B2506" s="51"/>
      <c r="C2506" s="51"/>
      <c r="D2506" s="52"/>
      <c r="E2506" s="53"/>
      <c r="F2506" s="54"/>
      <c r="G2506" s="54"/>
      <c r="H2506" s="54"/>
      <c r="I2506" s="66"/>
      <c r="J2506" s="54"/>
      <c r="K2506" s="54"/>
      <c r="L2506" s="54"/>
      <c r="M2506" s="97" t="str">
        <f t="shared" si="217"/>
        <v/>
      </c>
      <c r="N2506" s="70"/>
      <c r="O2506" s="71" t="str">
        <f t="shared" si="221"/>
        <v/>
      </c>
      <c r="P2506" s="66"/>
      <c r="Q2506" s="66"/>
      <c r="R2506" s="54"/>
      <c r="S2506" s="82"/>
      <c r="T2506" s="83" t="str">
        <f t="shared" si="218"/>
        <v/>
      </c>
      <c r="U2506" s="10"/>
      <c r="V2506" s="41">
        <f>IF(AND(Q2506&lt;&gt;"",RIGHT(Q2506,3)&lt;&gt;""),IF(COUNTIF($Q$6:Q2506,Q2506)=1,1,0),0)</f>
        <v>0</v>
      </c>
      <c r="W2506" s="41" t="str">
        <f t="shared" si="219"/>
        <v/>
      </c>
      <c r="X2506" s="41" t="str">
        <f t="shared" si="220"/>
        <v/>
      </c>
    </row>
    <row r="2507" s="32" customFormat="1" hidden="1" customHeight="1" spans="1:24">
      <c r="A2507" s="34"/>
      <c r="B2507" s="51"/>
      <c r="C2507" s="51"/>
      <c r="D2507" s="52"/>
      <c r="E2507" s="53"/>
      <c r="F2507" s="54"/>
      <c r="G2507" s="54"/>
      <c r="H2507" s="54"/>
      <c r="I2507" s="66"/>
      <c r="J2507" s="54"/>
      <c r="K2507" s="54"/>
      <c r="L2507" s="54"/>
      <c r="M2507" s="97" t="str">
        <f t="shared" si="217"/>
        <v/>
      </c>
      <c r="N2507" s="70"/>
      <c r="O2507" s="71" t="str">
        <f t="shared" si="221"/>
        <v/>
      </c>
      <c r="P2507" s="66"/>
      <c r="Q2507" s="66"/>
      <c r="R2507" s="54"/>
      <c r="S2507" s="82"/>
      <c r="T2507" s="83" t="str">
        <f t="shared" si="218"/>
        <v/>
      </c>
      <c r="U2507" s="10"/>
      <c r="V2507" s="41">
        <f>IF(AND(Q2507&lt;&gt;"",RIGHT(Q2507,3)&lt;&gt;""),IF(COUNTIF($Q$6:Q2507,Q2507)=1,1,0),0)</f>
        <v>0</v>
      </c>
      <c r="W2507" s="41" t="str">
        <f t="shared" si="219"/>
        <v/>
      </c>
      <c r="X2507" s="41" t="str">
        <f t="shared" si="220"/>
        <v/>
      </c>
    </row>
    <row r="2508" s="32" customFormat="1" hidden="1" customHeight="1" spans="1:24">
      <c r="A2508" s="34"/>
      <c r="B2508" s="51"/>
      <c r="C2508" s="51"/>
      <c r="D2508" s="52"/>
      <c r="E2508" s="53"/>
      <c r="F2508" s="54"/>
      <c r="G2508" s="54"/>
      <c r="H2508" s="54"/>
      <c r="I2508" s="66"/>
      <c r="J2508" s="54"/>
      <c r="K2508" s="54"/>
      <c r="L2508" s="54"/>
      <c r="M2508" s="97" t="str">
        <f t="shared" si="217"/>
        <v/>
      </c>
      <c r="N2508" s="70"/>
      <c r="O2508" s="71" t="str">
        <f t="shared" si="221"/>
        <v/>
      </c>
      <c r="P2508" s="66"/>
      <c r="Q2508" s="66"/>
      <c r="R2508" s="54"/>
      <c r="S2508" s="82"/>
      <c r="T2508" s="83" t="str">
        <f t="shared" si="218"/>
        <v/>
      </c>
      <c r="U2508" s="10"/>
      <c r="V2508" s="41">
        <f>IF(AND(Q2508&lt;&gt;"",RIGHT(Q2508,3)&lt;&gt;""),IF(COUNTIF($Q$6:Q2508,Q2508)=1,1,0),0)</f>
        <v>0</v>
      </c>
      <c r="W2508" s="41" t="str">
        <f t="shared" si="219"/>
        <v/>
      </c>
      <c r="X2508" s="41" t="str">
        <f t="shared" si="220"/>
        <v/>
      </c>
    </row>
    <row r="2509" s="32" customFormat="1" hidden="1" customHeight="1" spans="1:24">
      <c r="A2509" s="34"/>
      <c r="B2509" s="51"/>
      <c r="C2509" s="51"/>
      <c r="D2509" s="52"/>
      <c r="E2509" s="53"/>
      <c r="F2509" s="54"/>
      <c r="G2509" s="54"/>
      <c r="H2509" s="54"/>
      <c r="I2509" s="66"/>
      <c r="J2509" s="54"/>
      <c r="K2509" s="54"/>
      <c r="L2509" s="54"/>
      <c r="M2509" s="97" t="str">
        <f t="shared" si="217"/>
        <v/>
      </c>
      <c r="N2509" s="70"/>
      <c r="O2509" s="71" t="str">
        <f t="shared" si="221"/>
        <v/>
      </c>
      <c r="P2509" s="66"/>
      <c r="Q2509" s="66"/>
      <c r="R2509" s="54"/>
      <c r="S2509" s="82"/>
      <c r="T2509" s="83" t="str">
        <f t="shared" si="218"/>
        <v/>
      </c>
      <c r="U2509" s="10"/>
      <c r="V2509" s="41">
        <f>IF(AND(Q2509&lt;&gt;"",RIGHT(Q2509,3)&lt;&gt;""),IF(COUNTIF($Q$6:Q2509,Q2509)=1,1,0),0)</f>
        <v>0</v>
      </c>
      <c r="W2509" s="41" t="str">
        <f t="shared" si="219"/>
        <v/>
      </c>
      <c r="X2509" s="41" t="str">
        <f t="shared" si="220"/>
        <v/>
      </c>
    </row>
    <row r="2510" s="32" customFormat="1" hidden="1" customHeight="1" spans="1:24">
      <c r="A2510" s="34"/>
      <c r="B2510" s="51"/>
      <c r="C2510" s="51"/>
      <c r="D2510" s="52"/>
      <c r="E2510" s="53"/>
      <c r="F2510" s="54"/>
      <c r="G2510" s="54"/>
      <c r="H2510" s="54"/>
      <c r="I2510" s="66"/>
      <c r="J2510" s="54"/>
      <c r="K2510" s="54"/>
      <c r="L2510" s="54"/>
      <c r="M2510" s="97" t="str">
        <f t="shared" si="217"/>
        <v/>
      </c>
      <c r="N2510" s="70"/>
      <c r="O2510" s="71" t="str">
        <f t="shared" si="221"/>
        <v/>
      </c>
      <c r="P2510" s="66"/>
      <c r="Q2510" s="66"/>
      <c r="R2510" s="54"/>
      <c r="S2510" s="82"/>
      <c r="T2510" s="83" t="str">
        <f t="shared" si="218"/>
        <v/>
      </c>
      <c r="U2510" s="10"/>
      <c r="V2510" s="41">
        <f>IF(AND(Q2510&lt;&gt;"",RIGHT(Q2510,3)&lt;&gt;""),IF(COUNTIF($Q$6:Q2510,Q2510)=1,1,0),0)</f>
        <v>0</v>
      </c>
      <c r="W2510" s="41" t="str">
        <f t="shared" si="219"/>
        <v/>
      </c>
      <c r="X2510" s="41" t="str">
        <f t="shared" si="220"/>
        <v/>
      </c>
    </row>
    <row r="2511" s="32" customFormat="1" hidden="1" customHeight="1" spans="1:24">
      <c r="A2511" s="34"/>
      <c r="B2511" s="51"/>
      <c r="C2511" s="51"/>
      <c r="D2511" s="52"/>
      <c r="E2511" s="53"/>
      <c r="F2511" s="54"/>
      <c r="G2511" s="54"/>
      <c r="H2511" s="54"/>
      <c r="I2511" s="66"/>
      <c r="J2511" s="54"/>
      <c r="K2511" s="54"/>
      <c r="L2511" s="54"/>
      <c r="M2511" s="97" t="str">
        <f t="shared" si="217"/>
        <v/>
      </c>
      <c r="N2511" s="70"/>
      <c r="O2511" s="71" t="str">
        <f t="shared" si="221"/>
        <v/>
      </c>
      <c r="P2511" s="66"/>
      <c r="Q2511" s="66"/>
      <c r="R2511" s="54"/>
      <c r="S2511" s="82"/>
      <c r="T2511" s="83" t="str">
        <f t="shared" si="218"/>
        <v/>
      </c>
      <c r="U2511" s="10"/>
      <c r="V2511" s="41">
        <f>IF(AND(Q2511&lt;&gt;"",RIGHT(Q2511,3)&lt;&gt;""),IF(COUNTIF($Q$6:Q2511,Q2511)=1,1,0),0)</f>
        <v>0</v>
      </c>
      <c r="W2511" s="41" t="str">
        <f t="shared" si="219"/>
        <v/>
      </c>
      <c r="X2511" s="41" t="str">
        <f t="shared" si="220"/>
        <v/>
      </c>
    </row>
    <row r="2512" s="32" customFormat="1" hidden="1" customHeight="1" spans="1:24">
      <c r="A2512" s="34"/>
      <c r="B2512" s="51"/>
      <c r="C2512" s="51"/>
      <c r="D2512" s="52"/>
      <c r="E2512" s="53"/>
      <c r="F2512" s="54"/>
      <c r="G2512" s="54"/>
      <c r="H2512" s="54"/>
      <c r="I2512" s="66"/>
      <c r="J2512" s="54"/>
      <c r="K2512" s="54"/>
      <c r="L2512" s="54"/>
      <c r="M2512" s="97" t="str">
        <f t="shared" si="217"/>
        <v/>
      </c>
      <c r="N2512" s="70"/>
      <c r="O2512" s="71" t="str">
        <f t="shared" si="221"/>
        <v/>
      </c>
      <c r="P2512" s="66"/>
      <c r="Q2512" s="66"/>
      <c r="R2512" s="54"/>
      <c r="S2512" s="82"/>
      <c r="T2512" s="83" t="str">
        <f t="shared" si="218"/>
        <v/>
      </c>
      <c r="U2512" s="10"/>
      <c r="V2512" s="41">
        <f>IF(AND(Q2512&lt;&gt;"",RIGHT(Q2512,3)&lt;&gt;""),IF(COUNTIF($Q$6:Q2512,Q2512)=1,1,0),0)</f>
        <v>0</v>
      </c>
      <c r="W2512" s="41" t="str">
        <f t="shared" si="219"/>
        <v/>
      </c>
      <c r="X2512" s="41" t="str">
        <f t="shared" si="220"/>
        <v/>
      </c>
    </row>
    <row r="2513" s="32" customFormat="1" hidden="1" customHeight="1" spans="1:24">
      <c r="A2513" s="34"/>
      <c r="B2513" s="51"/>
      <c r="C2513" s="51"/>
      <c r="D2513" s="52"/>
      <c r="E2513" s="53"/>
      <c r="F2513" s="54"/>
      <c r="G2513" s="54"/>
      <c r="H2513" s="54"/>
      <c r="I2513" s="66"/>
      <c r="J2513" s="54"/>
      <c r="K2513" s="54"/>
      <c r="L2513" s="54"/>
      <c r="M2513" s="97" t="str">
        <f t="shared" si="217"/>
        <v/>
      </c>
      <c r="N2513" s="70"/>
      <c r="O2513" s="71" t="str">
        <f t="shared" si="221"/>
        <v/>
      </c>
      <c r="P2513" s="66"/>
      <c r="Q2513" s="66"/>
      <c r="R2513" s="54"/>
      <c r="S2513" s="82"/>
      <c r="T2513" s="83" t="str">
        <f t="shared" si="218"/>
        <v/>
      </c>
      <c r="U2513" s="10"/>
      <c r="V2513" s="41">
        <f>IF(AND(Q2513&lt;&gt;"",RIGHT(Q2513,3)&lt;&gt;""),IF(COUNTIF($Q$6:Q2513,Q2513)=1,1,0),0)</f>
        <v>0</v>
      </c>
      <c r="W2513" s="41" t="str">
        <f t="shared" si="219"/>
        <v/>
      </c>
      <c r="X2513" s="41" t="str">
        <f t="shared" si="220"/>
        <v/>
      </c>
    </row>
    <row r="2514" s="32" customFormat="1" hidden="1" customHeight="1" spans="1:24">
      <c r="A2514" s="34"/>
      <c r="B2514" s="51"/>
      <c r="C2514" s="51"/>
      <c r="D2514" s="52"/>
      <c r="E2514" s="53"/>
      <c r="F2514" s="54"/>
      <c r="G2514" s="54"/>
      <c r="H2514" s="54"/>
      <c r="I2514" s="66"/>
      <c r="J2514" s="54"/>
      <c r="K2514" s="54"/>
      <c r="L2514" s="54"/>
      <c r="M2514" s="97" t="str">
        <f t="shared" si="217"/>
        <v/>
      </c>
      <c r="N2514" s="70"/>
      <c r="O2514" s="71" t="str">
        <f t="shared" si="221"/>
        <v/>
      </c>
      <c r="P2514" s="66"/>
      <c r="Q2514" s="66"/>
      <c r="R2514" s="54"/>
      <c r="S2514" s="82"/>
      <c r="T2514" s="83" t="str">
        <f t="shared" si="218"/>
        <v/>
      </c>
      <c r="U2514" s="10"/>
      <c r="V2514" s="41">
        <f>IF(AND(Q2514&lt;&gt;"",RIGHT(Q2514,3)&lt;&gt;""),IF(COUNTIF($Q$6:Q2514,Q2514)=1,1,0),0)</f>
        <v>0</v>
      </c>
      <c r="W2514" s="41" t="str">
        <f t="shared" si="219"/>
        <v/>
      </c>
      <c r="X2514" s="41" t="str">
        <f t="shared" si="220"/>
        <v/>
      </c>
    </row>
    <row r="2515" s="32" customFormat="1" hidden="1" customHeight="1" spans="1:24">
      <c r="A2515" s="34"/>
      <c r="B2515" s="51"/>
      <c r="C2515" s="51"/>
      <c r="D2515" s="52"/>
      <c r="E2515" s="53"/>
      <c r="F2515" s="54"/>
      <c r="G2515" s="54"/>
      <c r="H2515" s="54"/>
      <c r="I2515" s="66"/>
      <c r="J2515" s="54"/>
      <c r="K2515" s="54"/>
      <c r="L2515" s="54"/>
      <c r="M2515" s="97" t="str">
        <f t="shared" si="217"/>
        <v/>
      </c>
      <c r="N2515" s="70"/>
      <c r="O2515" s="71" t="str">
        <f t="shared" si="221"/>
        <v/>
      </c>
      <c r="P2515" s="66"/>
      <c r="Q2515" s="66"/>
      <c r="R2515" s="54"/>
      <c r="S2515" s="82"/>
      <c r="T2515" s="83" t="str">
        <f t="shared" si="218"/>
        <v/>
      </c>
      <c r="U2515" s="10"/>
      <c r="V2515" s="41">
        <f>IF(AND(Q2515&lt;&gt;"",RIGHT(Q2515,3)&lt;&gt;""),IF(COUNTIF($Q$6:Q2515,Q2515)=1,1,0),0)</f>
        <v>0</v>
      </c>
      <c r="W2515" s="41" t="str">
        <f t="shared" si="219"/>
        <v/>
      </c>
      <c r="X2515" s="41" t="str">
        <f t="shared" si="220"/>
        <v/>
      </c>
    </row>
    <row r="2516" s="32" customFormat="1" hidden="1" customHeight="1" spans="1:24">
      <c r="A2516" s="34"/>
      <c r="B2516" s="51"/>
      <c r="C2516" s="51"/>
      <c r="D2516" s="52"/>
      <c r="E2516" s="53"/>
      <c r="F2516" s="54"/>
      <c r="G2516" s="54"/>
      <c r="H2516" s="54"/>
      <c r="I2516" s="66"/>
      <c r="J2516" s="54"/>
      <c r="K2516" s="54"/>
      <c r="L2516" s="54"/>
      <c r="M2516" s="97" t="str">
        <f t="shared" si="217"/>
        <v/>
      </c>
      <c r="N2516" s="70"/>
      <c r="O2516" s="71" t="str">
        <f t="shared" si="221"/>
        <v/>
      </c>
      <c r="P2516" s="66"/>
      <c r="Q2516" s="66"/>
      <c r="R2516" s="54"/>
      <c r="S2516" s="82"/>
      <c r="T2516" s="83" t="str">
        <f t="shared" si="218"/>
        <v/>
      </c>
      <c r="U2516" s="10"/>
      <c r="V2516" s="41">
        <f>IF(AND(Q2516&lt;&gt;"",RIGHT(Q2516,3)&lt;&gt;""),IF(COUNTIF($Q$6:Q2516,Q2516)=1,1,0),0)</f>
        <v>0</v>
      </c>
      <c r="W2516" s="41" t="str">
        <f t="shared" si="219"/>
        <v/>
      </c>
      <c r="X2516" s="41" t="str">
        <f t="shared" si="220"/>
        <v/>
      </c>
    </row>
    <row r="2517" s="32" customFormat="1" hidden="1" customHeight="1" spans="1:24">
      <c r="A2517" s="34"/>
      <c r="B2517" s="51"/>
      <c r="C2517" s="51"/>
      <c r="D2517" s="52"/>
      <c r="E2517" s="53"/>
      <c r="F2517" s="54"/>
      <c r="G2517" s="54"/>
      <c r="H2517" s="54"/>
      <c r="I2517" s="66"/>
      <c r="J2517" s="54"/>
      <c r="K2517" s="54"/>
      <c r="L2517" s="54"/>
      <c r="M2517" s="97" t="str">
        <f t="shared" si="217"/>
        <v/>
      </c>
      <c r="N2517" s="70"/>
      <c r="O2517" s="71" t="str">
        <f t="shared" si="221"/>
        <v/>
      </c>
      <c r="P2517" s="66"/>
      <c r="Q2517" s="66"/>
      <c r="R2517" s="54"/>
      <c r="S2517" s="82"/>
      <c r="T2517" s="83" t="str">
        <f t="shared" si="218"/>
        <v/>
      </c>
      <c r="U2517" s="10"/>
      <c r="V2517" s="41">
        <f>IF(AND(Q2517&lt;&gt;"",RIGHT(Q2517,3)&lt;&gt;""),IF(COUNTIF($Q$6:Q2517,Q2517)=1,1,0),0)</f>
        <v>0</v>
      </c>
      <c r="W2517" s="41" t="str">
        <f t="shared" si="219"/>
        <v/>
      </c>
      <c r="X2517" s="41" t="str">
        <f t="shared" si="220"/>
        <v/>
      </c>
    </row>
    <row r="2518" s="32" customFormat="1" hidden="1" customHeight="1" spans="1:24">
      <c r="A2518" s="34"/>
      <c r="B2518" s="51"/>
      <c r="C2518" s="51"/>
      <c r="D2518" s="52"/>
      <c r="E2518" s="53"/>
      <c r="F2518" s="54"/>
      <c r="G2518" s="54"/>
      <c r="H2518" s="54"/>
      <c r="I2518" s="66"/>
      <c r="J2518" s="54"/>
      <c r="K2518" s="54"/>
      <c r="L2518" s="54"/>
      <c r="M2518" s="97" t="str">
        <f t="shared" si="217"/>
        <v/>
      </c>
      <c r="N2518" s="70"/>
      <c r="O2518" s="71" t="str">
        <f t="shared" si="221"/>
        <v/>
      </c>
      <c r="P2518" s="66"/>
      <c r="Q2518" s="66"/>
      <c r="R2518" s="54"/>
      <c r="S2518" s="82"/>
      <c r="T2518" s="83" t="str">
        <f t="shared" si="218"/>
        <v/>
      </c>
      <c r="U2518" s="10"/>
      <c r="V2518" s="41">
        <f>IF(AND(Q2518&lt;&gt;"",RIGHT(Q2518,3)&lt;&gt;""),IF(COUNTIF($Q$6:Q2518,Q2518)=1,1,0),0)</f>
        <v>0</v>
      </c>
      <c r="W2518" s="41" t="str">
        <f t="shared" si="219"/>
        <v/>
      </c>
      <c r="X2518" s="41" t="str">
        <f t="shared" si="220"/>
        <v/>
      </c>
    </row>
    <row r="2519" s="32" customFormat="1" hidden="1" customHeight="1" spans="1:24">
      <c r="A2519" s="34"/>
      <c r="B2519" s="51"/>
      <c r="C2519" s="51"/>
      <c r="D2519" s="52"/>
      <c r="E2519" s="53"/>
      <c r="F2519" s="54"/>
      <c r="G2519" s="54"/>
      <c r="H2519" s="54"/>
      <c r="I2519" s="66"/>
      <c r="J2519" s="54"/>
      <c r="K2519" s="54"/>
      <c r="L2519" s="54"/>
      <c r="M2519" s="97" t="str">
        <f t="shared" si="217"/>
        <v/>
      </c>
      <c r="N2519" s="70"/>
      <c r="O2519" s="71" t="str">
        <f t="shared" si="221"/>
        <v/>
      </c>
      <c r="P2519" s="66"/>
      <c r="Q2519" s="66"/>
      <c r="R2519" s="54"/>
      <c r="S2519" s="82"/>
      <c r="T2519" s="83" t="str">
        <f t="shared" si="218"/>
        <v/>
      </c>
      <c r="U2519" s="10"/>
      <c r="V2519" s="41">
        <f>IF(AND(Q2519&lt;&gt;"",RIGHT(Q2519,3)&lt;&gt;""),IF(COUNTIF($Q$6:Q2519,Q2519)=1,1,0),0)</f>
        <v>0</v>
      </c>
      <c r="W2519" s="41" t="str">
        <f t="shared" si="219"/>
        <v/>
      </c>
      <c r="X2519" s="41" t="str">
        <f t="shared" si="220"/>
        <v/>
      </c>
    </row>
    <row r="2520" s="32" customFormat="1" hidden="1" customHeight="1" spans="1:24">
      <c r="A2520" s="34"/>
      <c r="B2520" s="51"/>
      <c r="C2520" s="51"/>
      <c r="D2520" s="52"/>
      <c r="E2520" s="53"/>
      <c r="F2520" s="54"/>
      <c r="G2520" s="54"/>
      <c r="H2520" s="54"/>
      <c r="I2520" s="66"/>
      <c r="J2520" s="54"/>
      <c r="K2520" s="54"/>
      <c r="L2520" s="54"/>
      <c r="M2520" s="97" t="str">
        <f t="shared" si="217"/>
        <v/>
      </c>
      <c r="N2520" s="70"/>
      <c r="O2520" s="71" t="str">
        <f t="shared" si="221"/>
        <v/>
      </c>
      <c r="P2520" s="66"/>
      <c r="Q2520" s="66"/>
      <c r="R2520" s="54"/>
      <c r="S2520" s="82"/>
      <c r="T2520" s="83" t="str">
        <f t="shared" si="218"/>
        <v/>
      </c>
      <c r="U2520" s="10"/>
      <c r="V2520" s="41">
        <f>IF(AND(Q2520&lt;&gt;"",RIGHT(Q2520,3)&lt;&gt;""),IF(COUNTIF($Q$6:Q2520,Q2520)=1,1,0),0)</f>
        <v>0</v>
      </c>
      <c r="W2520" s="41" t="str">
        <f t="shared" si="219"/>
        <v/>
      </c>
      <c r="X2520" s="41" t="str">
        <f t="shared" si="220"/>
        <v/>
      </c>
    </row>
    <row r="2521" s="32" customFormat="1" hidden="1" customHeight="1" spans="1:24">
      <c r="A2521" s="34"/>
      <c r="B2521" s="51"/>
      <c r="C2521" s="51"/>
      <c r="D2521" s="52"/>
      <c r="E2521" s="53"/>
      <c r="F2521" s="54"/>
      <c r="G2521" s="54"/>
      <c r="H2521" s="54"/>
      <c r="I2521" s="66"/>
      <c r="J2521" s="54"/>
      <c r="K2521" s="54"/>
      <c r="L2521" s="54"/>
      <c r="M2521" s="97" t="str">
        <f t="shared" si="217"/>
        <v/>
      </c>
      <c r="N2521" s="70"/>
      <c r="O2521" s="71" t="str">
        <f t="shared" si="221"/>
        <v/>
      </c>
      <c r="P2521" s="66"/>
      <c r="Q2521" s="66"/>
      <c r="R2521" s="54"/>
      <c r="S2521" s="82"/>
      <c r="T2521" s="83" t="str">
        <f t="shared" si="218"/>
        <v/>
      </c>
      <c r="U2521" s="10"/>
      <c r="V2521" s="41">
        <f>IF(AND(Q2521&lt;&gt;"",RIGHT(Q2521,3)&lt;&gt;""),IF(COUNTIF($Q$6:Q2521,Q2521)=1,1,0),0)</f>
        <v>0</v>
      </c>
      <c r="W2521" s="41" t="str">
        <f t="shared" si="219"/>
        <v/>
      </c>
      <c r="X2521" s="41" t="str">
        <f t="shared" si="220"/>
        <v/>
      </c>
    </row>
    <row r="2522" s="32" customFormat="1" hidden="1" customHeight="1" spans="1:24">
      <c r="A2522" s="34"/>
      <c r="B2522" s="51"/>
      <c r="C2522" s="51"/>
      <c r="D2522" s="52"/>
      <c r="E2522" s="53"/>
      <c r="F2522" s="54"/>
      <c r="G2522" s="54"/>
      <c r="H2522" s="54"/>
      <c r="I2522" s="66"/>
      <c r="J2522" s="54"/>
      <c r="K2522" s="54"/>
      <c r="L2522" s="54"/>
      <c r="M2522" s="97" t="str">
        <f t="shared" si="217"/>
        <v/>
      </c>
      <c r="N2522" s="70"/>
      <c r="O2522" s="71" t="str">
        <f t="shared" si="221"/>
        <v/>
      </c>
      <c r="P2522" s="66"/>
      <c r="Q2522" s="66"/>
      <c r="R2522" s="54"/>
      <c r="S2522" s="82"/>
      <c r="T2522" s="83" t="str">
        <f t="shared" si="218"/>
        <v/>
      </c>
      <c r="U2522" s="10"/>
      <c r="V2522" s="41">
        <f>IF(AND(Q2522&lt;&gt;"",RIGHT(Q2522,3)&lt;&gt;""),IF(COUNTIF($Q$6:Q2522,Q2522)=1,1,0),0)</f>
        <v>0</v>
      </c>
      <c r="W2522" s="41" t="str">
        <f t="shared" si="219"/>
        <v/>
      </c>
      <c r="X2522" s="41" t="str">
        <f t="shared" si="220"/>
        <v/>
      </c>
    </row>
    <row r="2523" s="32" customFormat="1" hidden="1" customHeight="1" spans="1:24">
      <c r="A2523" s="34"/>
      <c r="B2523" s="51"/>
      <c r="C2523" s="51"/>
      <c r="D2523" s="52"/>
      <c r="E2523" s="53"/>
      <c r="F2523" s="54"/>
      <c r="G2523" s="54"/>
      <c r="H2523" s="54"/>
      <c r="I2523" s="66"/>
      <c r="J2523" s="54"/>
      <c r="K2523" s="54"/>
      <c r="L2523" s="54"/>
      <c r="M2523" s="97" t="str">
        <f t="shared" si="217"/>
        <v/>
      </c>
      <c r="N2523" s="70"/>
      <c r="O2523" s="71" t="str">
        <f t="shared" si="221"/>
        <v/>
      </c>
      <c r="P2523" s="66"/>
      <c r="Q2523" s="66"/>
      <c r="R2523" s="54"/>
      <c r="S2523" s="82"/>
      <c r="T2523" s="83" t="str">
        <f t="shared" si="218"/>
        <v/>
      </c>
      <c r="U2523" s="10"/>
      <c r="V2523" s="41">
        <f>IF(AND(Q2523&lt;&gt;"",RIGHT(Q2523,3)&lt;&gt;""),IF(COUNTIF($Q$6:Q2523,Q2523)=1,1,0),0)</f>
        <v>0</v>
      </c>
      <c r="W2523" s="41" t="str">
        <f t="shared" si="219"/>
        <v/>
      </c>
      <c r="X2523" s="41" t="str">
        <f t="shared" si="220"/>
        <v/>
      </c>
    </row>
    <row r="2524" s="32" customFormat="1" hidden="1" customHeight="1" spans="1:24">
      <c r="A2524" s="34"/>
      <c r="B2524" s="51"/>
      <c r="C2524" s="51"/>
      <c r="D2524" s="52"/>
      <c r="E2524" s="53"/>
      <c r="F2524" s="54"/>
      <c r="G2524" s="54"/>
      <c r="H2524" s="54"/>
      <c r="I2524" s="66"/>
      <c r="J2524" s="54"/>
      <c r="K2524" s="54"/>
      <c r="L2524" s="54"/>
      <c r="M2524" s="97" t="str">
        <f t="shared" si="217"/>
        <v/>
      </c>
      <c r="N2524" s="70"/>
      <c r="O2524" s="71" t="str">
        <f t="shared" si="221"/>
        <v/>
      </c>
      <c r="P2524" s="66"/>
      <c r="Q2524" s="66"/>
      <c r="R2524" s="54"/>
      <c r="S2524" s="82"/>
      <c r="T2524" s="83" t="str">
        <f t="shared" si="218"/>
        <v/>
      </c>
      <c r="U2524" s="10"/>
      <c r="V2524" s="41">
        <f>IF(AND(Q2524&lt;&gt;"",RIGHT(Q2524,3)&lt;&gt;""),IF(COUNTIF($Q$6:Q2524,Q2524)=1,1,0),0)</f>
        <v>0</v>
      </c>
      <c r="W2524" s="41" t="str">
        <f t="shared" si="219"/>
        <v/>
      </c>
      <c r="X2524" s="41" t="str">
        <f t="shared" si="220"/>
        <v/>
      </c>
    </row>
    <row r="2525" s="32" customFormat="1" hidden="1" customHeight="1" spans="1:24">
      <c r="A2525" s="34"/>
      <c r="B2525" s="51"/>
      <c r="C2525" s="51"/>
      <c r="D2525" s="52"/>
      <c r="E2525" s="53"/>
      <c r="F2525" s="54"/>
      <c r="G2525" s="54"/>
      <c r="H2525" s="54"/>
      <c r="I2525" s="66"/>
      <c r="J2525" s="54"/>
      <c r="K2525" s="54"/>
      <c r="L2525" s="54"/>
      <c r="M2525" s="97" t="str">
        <f t="shared" si="217"/>
        <v/>
      </c>
      <c r="N2525" s="70"/>
      <c r="O2525" s="71" t="str">
        <f t="shared" si="221"/>
        <v/>
      </c>
      <c r="P2525" s="66"/>
      <c r="Q2525" s="66"/>
      <c r="R2525" s="54"/>
      <c r="S2525" s="82"/>
      <c r="T2525" s="83" t="str">
        <f t="shared" si="218"/>
        <v/>
      </c>
      <c r="U2525" s="10"/>
      <c r="V2525" s="41">
        <f>IF(AND(Q2525&lt;&gt;"",RIGHT(Q2525,3)&lt;&gt;""),IF(COUNTIF($Q$6:Q2525,Q2525)=1,1,0),0)</f>
        <v>0</v>
      </c>
      <c r="W2525" s="41" t="str">
        <f t="shared" si="219"/>
        <v/>
      </c>
      <c r="X2525" s="41" t="str">
        <f t="shared" si="220"/>
        <v/>
      </c>
    </row>
    <row r="2526" s="32" customFormat="1" hidden="1" customHeight="1" spans="1:24">
      <c r="A2526" s="34"/>
      <c r="B2526" s="51"/>
      <c r="C2526" s="51"/>
      <c r="D2526" s="52"/>
      <c r="E2526" s="53"/>
      <c r="F2526" s="54"/>
      <c r="G2526" s="54"/>
      <c r="H2526" s="54"/>
      <c r="I2526" s="66"/>
      <c r="J2526" s="54"/>
      <c r="K2526" s="54"/>
      <c r="L2526" s="54"/>
      <c r="M2526" s="97" t="str">
        <f t="shared" si="217"/>
        <v/>
      </c>
      <c r="N2526" s="70"/>
      <c r="O2526" s="71" t="str">
        <f t="shared" si="221"/>
        <v/>
      </c>
      <c r="P2526" s="66"/>
      <c r="Q2526" s="66"/>
      <c r="R2526" s="54"/>
      <c r="S2526" s="82"/>
      <c r="T2526" s="83" t="str">
        <f t="shared" si="218"/>
        <v/>
      </c>
      <c r="U2526" s="10"/>
      <c r="V2526" s="41">
        <f>IF(AND(Q2526&lt;&gt;"",RIGHT(Q2526,3)&lt;&gt;""),IF(COUNTIF($Q$6:Q2526,Q2526)=1,1,0),0)</f>
        <v>0</v>
      </c>
      <c r="W2526" s="41" t="str">
        <f t="shared" si="219"/>
        <v/>
      </c>
      <c r="X2526" s="41" t="str">
        <f t="shared" si="220"/>
        <v/>
      </c>
    </row>
    <row r="2527" s="32" customFormat="1" hidden="1" customHeight="1" spans="1:24">
      <c r="A2527" s="34"/>
      <c r="B2527" s="51"/>
      <c r="C2527" s="51"/>
      <c r="D2527" s="52"/>
      <c r="E2527" s="53"/>
      <c r="F2527" s="54"/>
      <c r="G2527" s="54"/>
      <c r="H2527" s="54"/>
      <c r="I2527" s="66"/>
      <c r="J2527" s="54"/>
      <c r="K2527" s="54"/>
      <c r="L2527" s="54"/>
      <c r="M2527" s="97" t="str">
        <f t="shared" si="217"/>
        <v/>
      </c>
      <c r="N2527" s="70"/>
      <c r="O2527" s="71" t="str">
        <f t="shared" si="221"/>
        <v/>
      </c>
      <c r="P2527" s="66"/>
      <c r="Q2527" s="66"/>
      <c r="R2527" s="54"/>
      <c r="S2527" s="82"/>
      <c r="T2527" s="83" t="str">
        <f t="shared" si="218"/>
        <v/>
      </c>
      <c r="U2527" s="10"/>
      <c r="V2527" s="41">
        <f>IF(AND(Q2527&lt;&gt;"",RIGHT(Q2527,3)&lt;&gt;""),IF(COUNTIF($Q$6:Q2527,Q2527)=1,1,0),0)</f>
        <v>0</v>
      </c>
      <c r="W2527" s="41" t="str">
        <f t="shared" si="219"/>
        <v/>
      </c>
      <c r="X2527" s="41" t="str">
        <f t="shared" si="220"/>
        <v/>
      </c>
    </row>
    <row r="2528" s="32" customFormat="1" hidden="1" customHeight="1" spans="1:24">
      <c r="A2528" s="34"/>
      <c r="B2528" s="51"/>
      <c r="C2528" s="51"/>
      <c r="D2528" s="52"/>
      <c r="E2528" s="53"/>
      <c r="F2528" s="54"/>
      <c r="G2528" s="54"/>
      <c r="H2528" s="54"/>
      <c r="I2528" s="66"/>
      <c r="J2528" s="54"/>
      <c r="K2528" s="54"/>
      <c r="L2528" s="54"/>
      <c r="M2528" s="97" t="str">
        <f t="shared" si="217"/>
        <v/>
      </c>
      <c r="N2528" s="70"/>
      <c r="O2528" s="71" t="str">
        <f t="shared" si="221"/>
        <v/>
      </c>
      <c r="P2528" s="66"/>
      <c r="Q2528" s="66"/>
      <c r="R2528" s="54"/>
      <c r="S2528" s="82"/>
      <c r="T2528" s="83" t="str">
        <f t="shared" si="218"/>
        <v/>
      </c>
      <c r="U2528" s="10"/>
      <c r="V2528" s="41">
        <f>IF(AND(Q2528&lt;&gt;"",RIGHT(Q2528,3)&lt;&gt;""),IF(COUNTIF($Q$6:Q2528,Q2528)=1,1,0),0)</f>
        <v>0</v>
      </c>
      <c r="W2528" s="41" t="str">
        <f t="shared" si="219"/>
        <v/>
      </c>
      <c r="X2528" s="41" t="str">
        <f t="shared" si="220"/>
        <v/>
      </c>
    </row>
    <row r="2529" s="32" customFormat="1" hidden="1" customHeight="1" spans="1:24">
      <c r="A2529" s="34"/>
      <c r="B2529" s="51"/>
      <c r="C2529" s="51"/>
      <c r="D2529" s="52"/>
      <c r="E2529" s="53"/>
      <c r="F2529" s="54"/>
      <c r="G2529" s="54"/>
      <c r="H2529" s="54"/>
      <c r="I2529" s="66"/>
      <c r="J2529" s="54"/>
      <c r="K2529" s="54"/>
      <c r="L2529" s="54"/>
      <c r="M2529" s="97" t="str">
        <f t="shared" si="217"/>
        <v/>
      </c>
      <c r="N2529" s="70"/>
      <c r="O2529" s="71" t="str">
        <f t="shared" si="221"/>
        <v/>
      </c>
      <c r="P2529" s="66"/>
      <c r="Q2529" s="66"/>
      <c r="R2529" s="54"/>
      <c r="S2529" s="82"/>
      <c r="T2529" s="83" t="str">
        <f t="shared" si="218"/>
        <v/>
      </c>
      <c r="U2529" s="10"/>
      <c r="V2529" s="41">
        <f>IF(AND(Q2529&lt;&gt;"",RIGHT(Q2529,3)&lt;&gt;""),IF(COUNTIF($Q$6:Q2529,Q2529)=1,1,0),0)</f>
        <v>0</v>
      </c>
      <c r="W2529" s="41" t="str">
        <f t="shared" si="219"/>
        <v/>
      </c>
      <c r="X2529" s="41" t="str">
        <f t="shared" si="220"/>
        <v/>
      </c>
    </row>
    <row r="2530" s="32" customFormat="1" hidden="1" customHeight="1" spans="1:24">
      <c r="A2530" s="34"/>
      <c r="B2530" s="51"/>
      <c r="C2530" s="51"/>
      <c r="D2530" s="52"/>
      <c r="E2530" s="53"/>
      <c r="F2530" s="54"/>
      <c r="G2530" s="54"/>
      <c r="H2530" s="54"/>
      <c r="I2530" s="66"/>
      <c r="J2530" s="54"/>
      <c r="K2530" s="54"/>
      <c r="L2530" s="54"/>
      <c r="M2530" s="97" t="str">
        <f t="shared" si="217"/>
        <v/>
      </c>
      <c r="N2530" s="70"/>
      <c r="O2530" s="71" t="str">
        <f t="shared" si="221"/>
        <v/>
      </c>
      <c r="P2530" s="66"/>
      <c r="Q2530" s="66"/>
      <c r="R2530" s="54"/>
      <c r="S2530" s="82"/>
      <c r="T2530" s="83" t="str">
        <f t="shared" si="218"/>
        <v/>
      </c>
      <c r="U2530" s="10"/>
      <c r="V2530" s="41">
        <f>IF(AND(Q2530&lt;&gt;"",RIGHT(Q2530,3)&lt;&gt;""),IF(COUNTIF($Q$6:Q2530,Q2530)=1,1,0),0)</f>
        <v>0</v>
      </c>
      <c r="W2530" s="41" t="str">
        <f t="shared" si="219"/>
        <v/>
      </c>
      <c r="X2530" s="41" t="str">
        <f t="shared" si="220"/>
        <v/>
      </c>
    </row>
    <row r="2531" s="32" customFormat="1" hidden="1" customHeight="1" spans="1:24">
      <c r="A2531" s="34"/>
      <c r="B2531" s="51"/>
      <c r="C2531" s="51"/>
      <c r="D2531" s="52"/>
      <c r="E2531" s="53"/>
      <c r="F2531" s="54"/>
      <c r="G2531" s="54"/>
      <c r="H2531" s="54"/>
      <c r="I2531" s="66"/>
      <c r="J2531" s="54"/>
      <c r="K2531" s="54"/>
      <c r="L2531" s="54"/>
      <c r="M2531" s="97" t="str">
        <f t="shared" si="217"/>
        <v/>
      </c>
      <c r="N2531" s="70"/>
      <c r="O2531" s="71" t="str">
        <f t="shared" si="221"/>
        <v/>
      </c>
      <c r="P2531" s="66"/>
      <c r="Q2531" s="66"/>
      <c r="R2531" s="54"/>
      <c r="S2531" s="82"/>
      <c r="T2531" s="83" t="str">
        <f t="shared" si="218"/>
        <v/>
      </c>
      <c r="U2531" s="10"/>
      <c r="V2531" s="41">
        <f>IF(AND(Q2531&lt;&gt;"",RIGHT(Q2531,3)&lt;&gt;""),IF(COUNTIF($Q$6:Q2531,Q2531)=1,1,0),0)</f>
        <v>0</v>
      </c>
      <c r="W2531" s="41" t="str">
        <f t="shared" si="219"/>
        <v/>
      </c>
      <c r="X2531" s="41" t="str">
        <f t="shared" si="220"/>
        <v/>
      </c>
    </row>
    <row r="2532" s="32" customFormat="1" hidden="1" customHeight="1" spans="1:24">
      <c r="A2532" s="34"/>
      <c r="B2532" s="51"/>
      <c r="C2532" s="51"/>
      <c r="D2532" s="52"/>
      <c r="E2532" s="53"/>
      <c r="F2532" s="54"/>
      <c r="G2532" s="54"/>
      <c r="H2532" s="54"/>
      <c r="I2532" s="66"/>
      <c r="J2532" s="54"/>
      <c r="K2532" s="54"/>
      <c r="L2532" s="54"/>
      <c r="M2532" s="97" t="str">
        <f t="shared" ref="M2532:M2595" si="222">IF(L2532="","",HYPERLINK(_xlfn.CONCAT($L$4,L2532,".jpg"),"Open File"))</f>
        <v/>
      </c>
      <c r="N2532" s="70"/>
      <c r="O2532" s="71" t="str">
        <f t="shared" si="221"/>
        <v/>
      </c>
      <c r="P2532" s="66"/>
      <c r="Q2532" s="66"/>
      <c r="R2532" s="54"/>
      <c r="S2532" s="82"/>
      <c r="T2532" s="83" t="str">
        <f t="shared" ref="T2532:T2595" si="223">IF(S2532="","",HYPERLINK(_xlfn.CONCAT($S$4,S2532,".jpg"),"Open File"))</f>
        <v/>
      </c>
      <c r="U2532" s="10"/>
      <c r="V2532" s="41">
        <f>IF(AND(Q2532&lt;&gt;"",RIGHT(Q2532,3)&lt;&gt;""),IF(COUNTIF($Q$6:Q2532,Q2532)=1,1,0),0)</f>
        <v>0</v>
      </c>
      <c r="W2532" s="41" t="str">
        <f t="shared" ref="W2532:W2595" si="224">IF(AND(J2532&lt;&gt;"",K2532&lt;&gt;""),_xlfn.CONCAT(SUBSTITUTE(J2532,"/","."),"-",K2532),"")</f>
        <v/>
      </c>
      <c r="X2532" s="41" t="str">
        <f t="shared" ref="X2532:X2595" si="225">IF(AND(Q2532&lt;&gt;"",R2532&lt;&gt;""),_xlfn.CONCAT(SUBSTITUTE(Q2532,"/","."),"-",R2532),"")</f>
        <v/>
      </c>
    </row>
    <row r="2533" s="32" customFormat="1" hidden="1" customHeight="1" spans="1:24">
      <c r="A2533" s="34"/>
      <c r="B2533" s="51"/>
      <c r="C2533" s="51"/>
      <c r="D2533" s="52"/>
      <c r="E2533" s="53"/>
      <c r="F2533" s="54"/>
      <c r="G2533" s="54"/>
      <c r="H2533" s="54"/>
      <c r="I2533" s="66"/>
      <c r="J2533" s="54"/>
      <c r="K2533" s="54"/>
      <c r="L2533" s="54"/>
      <c r="M2533" s="97" t="str">
        <f t="shared" si="222"/>
        <v/>
      </c>
      <c r="N2533" s="70"/>
      <c r="O2533" s="71" t="str">
        <f t="shared" si="221"/>
        <v/>
      </c>
      <c r="P2533" s="66"/>
      <c r="Q2533" s="66"/>
      <c r="R2533" s="54"/>
      <c r="S2533" s="82"/>
      <c r="T2533" s="83" t="str">
        <f t="shared" si="223"/>
        <v/>
      </c>
      <c r="U2533" s="10"/>
      <c r="V2533" s="41">
        <f>IF(AND(Q2533&lt;&gt;"",RIGHT(Q2533,3)&lt;&gt;""),IF(COUNTIF($Q$6:Q2533,Q2533)=1,1,0),0)</f>
        <v>0</v>
      </c>
      <c r="W2533" s="41" t="str">
        <f t="shared" si="224"/>
        <v/>
      </c>
      <c r="X2533" s="41" t="str">
        <f t="shared" si="225"/>
        <v/>
      </c>
    </row>
    <row r="2534" s="32" customFormat="1" hidden="1" customHeight="1" spans="1:24">
      <c r="A2534" s="34"/>
      <c r="B2534" s="51"/>
      <c r="C2534" s="51"/>
      <c r="D2534" s="52"/>
      <c r="E2534" s="53"/>
      <c r="F2534" s="54"/>
      <c r="G2534" s="54"/>
      <c r="H2534" s="54"/>
      <c r="I2534" s="66"/>
      <c r="J2534" s="54"/>
      <c r="K2534" s="54"/>
      <c r="L2534" s="54"/>
      <c r="M2534" s="97" t="str">
        <f t="shared" si="222"/>
        <v/>
      </c>
      <c r="N2534" s="70"/>
      <c r="O2534" s="71" t="str">
        <f t="shared" si="221"/>
        <v/>
      </c>
      <c r="P2534" s="66"/>
      <c r="Q2534" s="66"/>
      <c r="R2534" s="54"/>
      <c r="S2534" s="82"/>
      <c r="T2534" s="83" t="str">
        <f t="shared" si="223"/>
        <v/>
      </c>
      <c r="U2534" s="10"/>
      <c r="V2534" s="41">
        <f>IF(AND(Q2534&lt;&gt;"",RIGHT(Q2534,3)&lt;&gt;""),IF(COUNTIF($Q$6:Q2534,Q2534)=1,1,0),0)</f>
        <v>0</v>
      </c>
      <c r="W2534" s="41" t="str">
        <f t="shared" si="224"/>
        <v/>
      </c>
      <c r="X2534" s="41" t="str">
        <f t="shared" si="225"/>
        <v/>
      </c>
    </row>
    <row r="2535" s="32" customFormat="1" hidden="1" customHeight="1" spans="1:24">
      <c r="A2535" s="34"/>
      <c r="B2535" s="51"/>
      <c r="C2535" s="51"/>
      <c r="D2535" s="52"/>
      <c r="E2535" s="53"/>
      <c r="F2535" s="54"/>
      <c r="G2535" s="54"/>
      <c r="H2535" s="54"/>
      <c r="I2535" s="66"/>
      <c r="J2535" s="54"/>
      <c r="K2535" s="54"/>
      <c r="L2535" s="54"/>
      <c r="M2535" s="97" t="str">
        <f t="shared" si="222"/>
        <v/>
      </c>
      <c r="N2535" s="70"/>
      <c r="O2535" s="71" t="str">
        <f t="shared" si="221"/>
        <v/>
      </c>
      <c r="P2535" s="66"/>
      <c r="Q2535" s="66"/>
      <c r="R2535" s="54"/>
      <c r="S2535" s="82"/>
      <c r="T2535" s="83" t="str">
        <f t="shared" si="223"/>
        <v/>
      </c>
      <c r="U2535" s="10"/>
      <c r="V2535" s="41">
        <f>IF(AND(Q2535&lt;&gt;"",RIGHT(Q2535,3)&lt;&gt;""),IF(COUNTIF($Q$6:Q2535,Q2535)=1,1,0),0)</f>
        <v>0</v>
      </c>
      <c r="W2535" s="41" t="str">
        <f t="shared" si="224"/>
        <v/>
      </c>
      <c r="X2535" s="41" t="str">
        <f t="shared" si="225"/>
        <v/>
      </c>
    </row>
    <row r="2536" s="32" customFormat="1" hidden="1" customHeight="1" spans="1:24">
      <c r="A2536" s="34"/>
      <c r="B2536" s="51"/>
      <c r="C2536" s="51"/>
      <c r="D2536" s="52"/>
      <c r="E2536" s="53"/>
      <c r="F2536" s="54"/>
      <c r="G2536" s="54"/>
      <c r="H2536" s="54"/>
      <c r="I2536" s="66"/>
      <c r="J2536" s="54"/>
      <c r="K2536" s="54"/>
      <c r="L2536" s="54"/>
      <c r="M2536" s="97" t="str">
        <f t="shared" si="222"/>
        <v/>
      </c>
      <c r="N2536" s="70"/>
      <c r="O2536" s="71" t="str">
        <f t="shared" si="221"/>
        <v/>
      </c>
      <c r="P2536" s="66"/>
      <c r="Q2536" s="66"/>
      <c r="R2536" s="54"/>
      <c r="S2536" s="82"/>
      <c r="T2536" s="83" t="str">
        <f t="shared" si="223"/>
        <v/>
      </c>
      <c r="U2536" s="10"/>
      <c r="V2536" s="41">
        <f>IF(AND(Q2536&lt;&gt;"",RIGHT(Q2536,3)&lt;&gt;""),IF(COUNTIF($Q$6:Q2536,Q2536)=1,1,0),0)</f>
        <v>0</v>
      </c>
      <c r="W2536" s="41" t="str">
        <f t="shared" si="224"/>
        <v/>
      </c>
      <c r="X2536" s="41" t="str">
        <f t="shared" si="225"/>
        <v/>
      </c>
    </row>
    <row r="2537" s="32" customFormat="1" hidden="1" customHeight="1" spans="1:24">
      <c r="A2537" s="34"/>
      <c r="B2537" s="51"/>
      <c r="C2537" s="51"/>
      <c r="D2537" s="52"/>
      <c r="E2537" s="53"/>
      <c r="F2537" s="54"/>
      <c r="G2537" s="54"/>
      <c r="H2537" s="54"/>
      <c r="I2537" s="66"/>
      <c r="J2537" s="54"/>
      <c r="K2537" s="54"/>
      <c r="L2537" s="54"/>
      <c r="M2537" s="97" t="str">
        <f t="shared" si="222"/>
        <v/>
      </c>
      <c r="N2537" s="70"/>
      <c r="O2537" s="71" t="str">
        <f t="shared" si="221"/>
        <v/>
      </c>
      <c r="P2537" s="66"/>
      <c r="Q2537" s="66"/>
      <c r="R2537" s="54"/>
      <c r="S2537" s="82"/>
      <c r="T2537" s="83" t="str">
        <f t="shared" si="223"/>
        <v/>
      </c>
      <c r="U2537" s="10"/>
      <c r="V2537" s="41">
        <f>IF(AND(Q2537&lt;&gt;"",RIGHT(Q2537,3)&lt;&gt;""),IF(COUNTIF($Q$6:Q2537,Q2537)=1,1,0),0)</f>
        <v>0</v>
      </c>
      <c r="W2537" s="41" t="str">
        <f t="shared" si="224"/>
        <v/>
      </c>
      <c r="X2537" s="41" t="str">
        <f t="shared" si="225"/>
        <v/>
      </c>
    </row>
    <row r="2538" s="32" customFormat="1" hidden="1" customHeight="1" spans="1:24">
      <c r="A2538" s="34"/>
      <c r="B2538" s="51"/>
      <c r="C2538" s="51"/>
      <c r="D2538" s="52"/>
      <c r="E2538" s="53"/>
      <c r="F2538" s="54"/>
      <c r="G2538" s="54"/>
      <c r="H2538" s="54"/>
      <c r="I2538" s="66"/>
      <c r="J2538" s="54"/>
      <c r="K2538" s="54"/>
      <c r="L2538" s="54"/>
      <c r="M2538" s="97" t="str">
        <f t="shared" si="222"/>
        <v/>
      </c>
      <c r="N2538" s="70"/>
      <c r="O2538" s="71" t="str">
        <f t="shared" si="221"/>
        <v/>
      </c>
      <c r="P2538" s="66"/>
      <c r="Q2538" s="66"/>
      <c r="R2538" s="54"/>
      <c r="S2538" s="82"/>
      <c r="T2538" s="83" t="str">
        <f t="shared" si="223"/>
        <v/>
      </c>
      <c r="U2538" s="10"/>
      <c r="V2538" s="41">
        <f>IF(AND(Q2538&lt;&gt;"",RIGHT(Q2538,3)&lt;&gt;""),IF(COUNTIF($Q$6:Q2538,Q2538)=1,1,0),0)</f>
        <v>0</v>
      </c>
      <c r="W2538" s="41" t="str">
        <f t="shared" si="224"/>
        <v/>
      </c>
      <c r="X2538" s="41" t="str">
        <f t="shared" si="225"/>
        <v/>
      </c>
    </row>
    <row r="2539" s="32" customFormat="1" hidden="1" customHeight="1" spans="1:24">
      <c r="A2539" s="34"/>
      <c r="B2539" s="51"/>
      <c r="C2539" s="51"/>
      <c r="D2539" s="52"/>
      <c r="E2539" s="53"/>
      <c r="F2539" s="54"/>
      <c r="G2539" s="54"/>
      <c r="H2539" s="54"/>
      <c r="I2539" s="66"/>
      <c r="J2539" s="54"/>
      <c r="K2539" s="54"/>
      <c r="L2539" s="54"/>
      <c r="M2539" s="97" t="str">
        <f t="shared" si="222"/>
        <v/>
      </c>
      <c r="N2539" s="70"/>
      <c r="O2539" s="71" t="str">
        <f t="shared" si="221"/>
        <v/>
      </c>
      <c r="P2539" s="66"/>
      <c r="Q2539" s="66"/>
      <c r="R2539" s="54"/>
      <c r="S2539" s="82"/>
      <c r="T2539" s="83" t="str">
        <f t="shared" si="223"/>
        <v/>
      </c>
      <c r="U2539" s="10"/>
      <c r="V2539" s="41">
        <f>IF(AND(Q2539&lt;&gt;"",RIGHT(Q2539,3)&lt;&gt;""),IF(COUNTIF($Q$6:Q2539,Q2539)=1,1,0),0)</f>
        <v>0</v>
      </c>
      <c r="W2539" s="41" t="str">
        <f t="shared" si="224"/>
        <v/>
      </c>
      <c r="X2539" s="41" t="str">
        <f t="shared" si="225"/>
        <v/>
      </c>
    </row>
    <row r="2540" s="32" customFormat="1" hidden="1" customHeight="1" spans="1:24">
      <c r="A2540" s="34"/>
      <c r="B2540" s="51"/>
      <c r="C2540" s="51"/>
      <c r="D2540" s="52"/>
      <c r="E2540" s="53"/>
      <c r="F2540" s="54"/>
      <c r="G2540" s="54"/>
      <c r="H2540" s="54"/>
      <c r="I2540" s="66"/>
      <c r="J2540" s="54"/>
      <c r="K2540" s="54"/>
      <c r="L2540" s="54"/>
      <c r="M2540" s="97" t="str">
        <f t="shared" si="222"/>
        <v/>
      </c>
      <c r="N2540" s="70"/>
      <c r="O2540" s="71" t="str">
        <f t="shared" si="221"/>
        <v/>
      </c>
      <c r="P2540" s="66"/>
      <c r="Q2540" s="66"/>
      <c r="R2540" s="54"/>
      <c r="S2540" s="82"/>
      <c r="T2540" s="83" t="str">
        <f t="shared" si="223"/>
        <v/>
      </c>
      <c r="U2540" s="10"/>
      <c r="V2540" s="41">
        <f>IF(AND(Q2540&lt;&gt;"",RIGHT(Q2540,3)&lt;&gt;""),IF(COUNTIF($Q$6:Q2540,Q2540)=1,1,0),0)</f>
        <v>0</v>
      </c>
      <c r="W2540" s="41" t="str">
        <f t="shared" si="224"/>
        <v/>
      </c>
      <c r="X2540" s="41" t="str">
        <f t="shared" si="225"/>
        <v/>
      </c>
    </row>
    <row r="2541" s="32" customFormat="1" hidden="1" customHeight="1" spans="1:24">
      <c r="A2541" s="34"/>
      <c r="B2541" s="51"/>
      <c r="C2541" s="51"/>
      <c r="D2541" s="52"/>
      <c r="E2541" s="53"/>
      <c r="F2541" s="54"/>
      <c r="G2541" s="54"/>
      <c r="H2541" s="54"/>
      <c r="I2541" s="66"/>
      <c r="J2541" s="54"/>
      <c r="K2541" s="54"/>
      <c r="L2541" s="54"/>
      <c r="M2541" s="97" t="str">
        <f t="shared" si="222"/>
        <v/>
      </c>
      <c r="N2541" s="70"/>
      <c r="O2541" s="71" t="str">
        <f t="shared" si="221"/>
        <v/>
      </c>
      <c r="P2541" s="66"/>
      <c r="Q2541" s="66"/>
      <c r="R2541" s="54"/>
      <c r="S2541" s="82"/>
      <c r="T2541" s="83" t="str">
        <f t="shared" si="223"/>
        <v/>
      </c>
      <c r="U2541" s="10"/>
      <c r="V2541" s="41">
        <f>IF(AND(Q2541&lt;&gt;"",RIGHT(Q2541,3)&lt;&gt;""),IF(COUNTIF($Q$6:Q2541,Q2541)=1,1,0),0)</f>
        <v>0</v>
      </c>
      <c r="W2541" s="41" t="str">
        <f t="shared" si="224"/>
        <v/>
      </c>
      <c r="X2541" s="41" t="str">
        <f t="shared" si="225"/>
        <v/>
      </c>
    </row>
    <row r="2542" s="32" customFormat="1" hidden="1" customHeight="1" spans="1:24">
      <c r="A2542" s="34"/>
      <c r="B2542" s="51"/>
      <c r="C2542" s="51"/>
      <c r="D2542" s="52"/>
      <c r="E2542" s="53"/>
      <c r="F2542" s="54"/>
      <c r="G2542" s="54"/>
      <c r="H2542" s="54"/>
      <c r="I2542" s="66"/>
      <c r="J2542" s="54"/>
      <c r="K2542" s="54"/>
      <c r="L2542" s="54"/>
      <c r="M2542" s="97" t="str">
        <f t="shared" si="222"/>
        <v/>
      </c>
      <c r="N2542" s="70"/>
      <c r="O2542" s="71" t="str">
        <f t="shared" si="221"/>
        <v/>
      </c>
      <c r="P2542" s="66"/>
      <c r="Q2542" s="66"/>
      <c r="R2542" s="54"/>
      <c r="S2542" s="82"/>
      <c r="T2542" s="83" t="str">
        <f t="shared" si="223"/>
        <v/>
      </c>
      <c r="U2542" s="10"/>
      <c r="V2542" s="41">
        <f>IF(AND(Q2542&lt;&gt;"",RIGHT(Q2542,3)&lt;&gt;""),IF(COUNTIF($Q$6:Q2542,Q2542)=1,1,0),0)</f>
        <v>0</v>
      </c>
      <c r="W2542" s="41" t="str">
        <f t="shared" si="224"/>
        <v/>
      </c>
      <c r="X2542" s="41" t="str">
        <f t="shared" si="225"/>
        <v/>
      </c>
    </row>
    <row r="2543" s="32" customFormat="1" hidden="1" customHeight="1" spans="1:24">
      <c r="A2543" s="34"/>
      <c r="B2543" s="51"/>
      <c r="C2543" s="51"/>
      <c r="D2543" s="52"/>
      <c r="E2543" s="53"/>
      <c r="F2543" s="54"/>
      <c r="G2543" s="54"/>
      <c r="H2543" s="54"/>
      <c r="I2543" s="66"/>
      <c r="J2543" s="54"/>
      <c r="K2543" s="54"/>
      <c r="L2543" s="54"/>
      <c r="M2543" s="97" t="str">
        <f t="shared" si="222"/>
        <v/>
      </c>
      <c r="N2543" s="70"/>
      <c r="O2543" s="71" t="str">
        <f t="shared" si="221"/>
        <v/>
      </c>
      <c r="P2543" s="66"/>
      <c r="Q2543" s="66"/>
      <c r="R2543" s="54"/>
      <c r="S2543" s="82"/>
      <c r="T2543" s="83" t="str">
        <f t="shared" si="223"/>
        <v/>
      </c>
      <c r="U2543" s="10"/>
      <c r="V2543" s="41">
        <f>IF(AND(Q2543&lt;&gt;"",RIGHT(Q2543,3)&lt;&gt;""),IF(COUNTIF($Q$6:Q2543,Q2543)=1,1,0),0)</f>
        <v>0</v>
      </c>
      <c r="W2543" s="41" t="str">
        <f t="shared" si="224"/>
        <v/>
      </c>
      <c r="X2543" s="41" t="str">
        <f t="shared" si="225"/>
        <v/>
      </c>
    </row>
    <row r="2544" s="32" customFormat="1" hidden="1" customHeight="1" spans="1:24">
      <c r="A2544" s="34"/>
      <c r="B2544" s="51"/>
      <c r="C2544" s="51"/>
      <c r="D2544" s="52"/>
      <c r="E2544" s="53"/>
      <c r="F2544" s="54"/>
      <c r="G2544" s="54"/>
      <c r="H2544" s="54"/>
      <c r="I2544" s="66"/>
      <c r="J2544" s="54"/>
      <c r="K2544" s="54"/>
      <c r="L2544" s="54"/>
      <c r="M2544" s="97" t="str">
        <f t="shared" si="222"/>
        <v/>
      </c>
      <c r="N2544" s="70"/>
      <c r="O2544" s="71" t="str">
        <f t="shared" si="221"/>
        <v/>
      </c>
      <c r="P2544" s="66"/>
      <c r="Q2544" s="66"/>
      <c r="R2544" s="54"/>
      <c r="S2544" s="82"/>
      <c r="T2544" s="83" t="str">
        <f t="shared" si="223"/>
        <v/>
      </c>
      <c r="U2544" s="10"/>
      <c r="V2544" s="41">
        <f>IF(AND(Q2544&lt;&gt;"",RIGHT(Q2544,3)&lt;&gt;""),IF(COUNTIF($Q$6:Q2544,Q2544)=1,1,0),0)</f>
        <v>0</v>
      </c>
      <c r="W2544" s="41" t="str">
        <f t="shared" si="224"/>
        <v/>
      </c>
      <c r="X2544" s="41" t="str">
        <f t="shared" si="225"/>
        <v/>
      </c>
    </row>
    <row r="2545" s="32" customFormat="1" hidden="1" customHeight="1" spans="1:24">
      <c r="A2545" s="34"/>
      <c r="B2545" s="51"/>
      <c r="C2545" s="51"/>
      <c r="D2545" s="52"/>
      <c r="E2545" s="53"/>
      <c r="F2545" s="54"/>
      <c r="G2545" s="54"/>
      <c r="H2545" s="54"/>
      <c r="I2545" s="66"/>
      <c r="J2545" s="54"/>
      <c r="K2545" s="54"/>
      <c r="L2545" s="54"/>
      <c r="M2545" s="97" t="str">
        <f t="shared" si="222"/>
        <v/>
      </c>
      <c r="N2545" s="70"/>
      <c r="O2545" s="71" t="str">
        <f t="shared" ref="O2545:O2608" si="226">IF(AND(Q2545&lt;&gt;"",T2545&lt;&gt;""),"PASSIVE",IF(AND(J2545&lt;&gt;"",M2545&lt;&gt;""),"ACTIVE",""))</f>
        <v/>
      </c>
      <c r="P2545" s="66"/>
      <c r="Q2545" s="66"/>
      <c r="R2545" s="54"/>
      <c r="S2545" s="82"/>
      <c r="T2545" s="83" t="str">
        <f t="shared" si="223"/>
        <v/>
      </c>
      <c r="U2545" s="10"/>
      <c r="V2545" s="41">
        <f>IF(AND(Q2545&lt;&gt;"",RIGHT(Q2545,3)&lt;&gt;""),IF(COUNTIF($Q$6:Q2545,Q2545)=1,1,0),0)</f>
        <v>0</v>
      </c>
      <c r="W2545" s="41" t="str">
        <f t="shared" si="224"/>
        <v/>
      </c>
      <c r="X2545" s="41" t="str">
        <f t="shared" si="225"/>
        <v/>
      </c>
    </row>
    <row r="2546" s="32" customFormat="1" hidden="1" customHeight="1" spans="1:24">
      <c r="A2546" s="34"/>
      <c r="B2546" s="51"/>
      <c r="C2546" s="51"/>
      <c r="D2546" s="52"/>
      <c r="E2546" s="53"/>
      <c r="F2546" s="54"/>
      <c r="G2546" s="54"/>
      <c r="H2546" s="54"/>
      <c r="I2546" s="66"/>
      <c r="J2546" s="54"/>
      <c r="K2546" s="54"/>
      <c r="L2546" s="54"/>
      <c r="M2546" s="97" t="str">
        <f t="shared" si="222"/>
        <v/>
      </c>
      <c r="N2546" s="70"/>
      <c r="O2546" s="71" t="str">
        <f t="shared" si="226"/>
        <v/>
      </c>
      <c r="P2546" s="66"/>
      <c r="Q2546" s="66"/>
      <c r="R2546" s="54"/>
      <c r="S2546" s="82"/>
      <c r="T2546" s="83" t="str">
        <f t="shared" si="223"/>
        <v/>
      </c>
      <c r="U2546" s="10"/>
      <c r="V2546" s="41">
        <f>IF(AND(Q2546&lt;&gt;"",RIGHT(Q2546,3)&lt;&gt;""),IF(COUNTIF($Q$6:Q2546,Q2546)=1,1,0),0)</f>
        <v>0</v>
      </c>
      <c r="W2546" s="41" t="str">
        <f t="shared" si="224"/>
        <v/>
      </c>
      <c r="X2546" s="41" t="str">
        <f t="shared" si="225"/>
        <v/>
      </c>
    </row>
    <row r="2547" s="32" customFormat="1" hidden="1" customHeight="1" spans="1:24">
      <c r="A2547" s="34"/>
      <c r="B2547" s="51"/>
      <c r="C2547" s="51"/>
      <c r="D2547" s="52"/>
      <c r="E2547" s="53"/>
      <c r="F2547" s="54"/>
      <c r="G2547" s="54"/>
      <c r="H2547" s="54"/>
      <c r="I2547" s="66"/>
      <c r="J2547" s="54"/>
      <c r="K2547" s="54"/>
      <c r="L2547" s="54"/>
      <c r="M2547" s="97" t="str">
        <f t="shared" si="222"/>
        <v/>
      </c>
      <c r="N2547" s="70"/>
      <c r="O2547" s="71" t="str">
        <f t="shared" si="226"/>
        <v/>
      </c>
      <c r="P2547" s="66"/>
      <c r="Q2547" s="66"/>
      <c r="R2547" s="54"/>
      <c r="S2547" s="82"/>
      <c r="T2547" s="83" t="str">
        <f t="shared" si="223"/>
        <v/>
      </c>
      <c r="U2547" s="10"/>
      <c r="V2547" s="41">
        <f>IF(AND(Q2547&lt;&gt;"",RIGHT(Q2547,3)&lt;&gt;""),IF(COUNTIF($Q$6:Q2547,Q2547)=1,1,0),0)</f>
        <v>0</v>
      </c>
      <c r="W2547" s="41" t="str">
        <f t="shared" si="224"/>
        <v/>
      </c>
      <c r="X2547" s="41" t="str">
        <f t="shared" si="225"/>
        <v/>
      </c>
    </row>
    <row r="2548" s="32" customFormat="1" hidden="1" customHeight="1" spans="1:24">
      <c r="A2548" s="34"/>
      <c r="B2548" s="51"/>
      <c r="C2548" s="51"/>
      <c r="D2548" s="52"/>
      <c r="E2548" s="53"/>
      <c r="F2548" s="54"/>
      <c r="G2548" s="54"/>
      <c r="H2548" s="54"/>
      <c r="I2548" s="66"/>
      <c r="J2548" s="54"/>
      <c r="K2548" s="54"/>
      <c r="L2548" s="54"/>
      <c r="M2548" s="97" t="str">
        <f t="shared" si="222"/>
        <v/>
      </c>
      <c r="N2548" s="70"/>
      <c r="O2548" s="71" t="str">
        <f t="shared" si="226"/>
        <v/>
      </c>
      <c r="P2548" s="66"/>
      <c r="Q2548" s="66"/>
      <c r="R2548" s="54"/>
      <c r="S2548" s="82"/>
      <c r="T2548" s="83" t="str">
        <f t="shared" si="223"/>
        <v/>
      </c>
      <c r="U2548" s="10"/>
      <c r="V2548" s="41">
        <f>IF(AND(Q2548&lt;&gt;"",RIGHT(Q2548,3)&lt;&gt;""),IF(COUNTIF($Q$6:Q2548,Q2548)=1,1,0),0)</f>
        <v>0</v>
      </c>
      <c r="W2548" s="41" t="str">
        <f t="shared" si="224"/>
        <v/>
      </c>
      <c r="X2548" s="41" t="str">
        <f t="shared" si="225"/>
        <v/>
      </c>
    </row>
    <row r="2549" s="32" customFormat="1" hidden="1" customHeight="1" spans="1:24">
      <c r="A2549" s="34"/>
      <c r="B2549" s="51"/>
      <c r="C2549" s="51"/>
      <c r="D2549" s="52"/>
      <c r="E2549" s="53"/>
      <c r="F2549" s="54"/>
      <c r="G2549" s="54"/>
      <c r="H2549" s="54"/>
      <c r="I2549" s="66"/>
      <c r="J2549" s="54"/>
      <c r="K2549" s="54"/>
      <c r="L2549" s="54"/>
      <c r="M2549" s="97" t="str">
        <f t="shared" si="222"/>
        <v/>
      </c>
      <c r="N2549" s="70"/>
      <c r="O2549" s="71" t="str">
        <f t="shared" si="226"/>
        <v/>
      </c>
      <c r="P2549" s="66"/>
      <c r="Q2549" s="66"/>
      <c r="R2549" s="54"/>
      <c r="S2549" s="82"/>
      <c r="T2549" s="83" t="str">
        <f t="shared" si="223"/>
        <v/>
      </c>
      <c r="U2549" s="10"/>
      <c r="V2549" s="41">
        <f>IF(AND(Q2549&lt;&gt;"",RIGHT(Q2549,3)&lt;&gt;""),IF(COUNTIF($Q$6:Q2549,Q2549)=1,1,0),0)</f>
        <v>0</v>
      </c>
      <c r="W2549" s="41" t="str">
        <f t="shared" si="224"/>
        <v/>
      </c>
      <c r="X2549" s="41" t="str">
        <f t="shared" si="225"/>
        <v/>
      </c>
    </row>
    <row r="2550" s="32" customFormat="1" hidden="1" customHeight="1" spans="1:24">
      <c r="A2550" s="34"/>
      <c r="B2550" s="51"/>
      <c r="C2550" s="51"/>
      <c r="D2550" s="52"/>
      <c r="E2550" s="53"/>
      <c r="F2550" s="54"/>
      <c r="G2550" s="54"/>
      <c r="H2550" s="54"/>
      <c r="I2550" s="66"/>
      <c r="J2550" s="54"/>
      <c r="K2550" s="54"/>
      <c r="L2550" s="54"/>
      <c r="M2550" s="97" t="str">
        <f t="shared" si="222"/>
        <v/>
      </c>
      <c r="N2550" s="70"/>
      <c r="O2550" s="71" t="str">
        <f t="shared" si="226"/>
        <v/>
      </c>
      <c r="P2550" s="66"/>
      <c r="Q2550" s="66"/>
      <c r="R2550" s="54"/>
      <c r="S2550" s="82"/>
      <c r="T2550" s="83" t="str">
        <f t="shared" si="223"/>
        <v/>
      </c>
      <c r="U2550" s="10"/>
      <c r="V2550" s="41">
        <f>IF(AND(Q2550&lt;&gt;"",RIGHT(Q2550,3)&lt;&gt;""),IF(COUNTIF($Q$6:Q2550,Q2550)=1,1,0),0)</f>
        <v>0</v>
      </c>
      <c r="W2550" s="41" t="str">
        <f t="shared" si="224"/>
        <v/>
      </c>
      <c r="X2550" s="41" t="str">
        <f t="shared" si="225"/>
        <v/>
      </c>
    </row>
    <row r="2551" s="32" customFormat="1" hidden="1" customHeight="1" spans="1:24">
      <c r="A2551" s="34"/>
      <c r="B2551" s="51"/>
      <c r="C2551" s="51"/>
      <c r="D2551" s="52"/>
      <c r="E2551" s="53"/>
      <c r="F2551" s="54"/>
      <c r="G2551" s="54"/>
      <c r="H2551" s="54"/>
      <c r="I2551" s="66"/>
      <c r="J2551" s="54"/>
      <c r="K2551" s="54"/>
      <c r="L2551" s="54"/>
      <c r="M2551" s="97" t="str">
        <f t="shared" si="222"/>
        <v/>
      </c>
      <c r="N2551" s="70"/>
      <c r="O2551" s="71" t="str">
        <f t="shared" si="226"/>
        <v/>
      </c>
      <c r="P2551" s="66"/>
      <c r="Q2551" s="66"/>
      <c r="R2551" s="54"/>
      <c r="S2551" s="82"/>
      <c r="T2551" s="83" t="str">
        <f t="shared" si="223"/>
        <v/>
      </c>
      <c r="U2551" s="10"/>
      <c r="V2551" s="41">
        <f>IF(AND(Q2551&lt;&gt;"",RIGHT(Q2551,3)&lt;&gt;""),IF(COUNTIF($Q$6:Q2551,Q2551)=1,1,0),0)</f>
        <v>0</v>
      </c>
      <c r="W2551" s="41" t="str">
        <f t="shared" si="224"/>
        <v/>
      </c>
      <c r="X2551" s="41" t="str">
        <f t="shared" si="225"/>
        <v/>
      </c>
    </row>
    <row r="2552" s="32" customFormat="1" hidden="1" customHeight="1" spans="1:24">
      <c r="A2552" s="34"/>
      <c r="B2552" s="51"/>
      <c r="C2552" s="51"/>
      <c r="D2552" s="52"/>
      <c r="E2552" s="53"/>
      <c r="F2552" s="54"/>
      <c r="G2552" s="54"/>
      <c r="H2552" s="54"/>
      <c r="I2552" s="66"/>
      <c r="J2552" s="54"/>
      <c r="K2552" s="54"/>
      <c r="L2552" s="54"/>
      <c r="M2552" s="97" t="str">
        <f t="shared" si="222"/>
        <v/>
      </c>
      <c r="N2552" s="70"/>
      <c r="O2552" s="71" t="str">
        <f t="shared" si="226"/>
        <v/>
      </c>
      <c r="P2552" s="66"/>
      <c r="Q2552" s="66"/>
      <c r="R2552" s="54"/>
      <c r="S2552" s="82"/>
      <c r="T2552" s="83" t="str">
        <f t="shared" si="223"/>
        <v/>
      </c>
      <c r="U2552" s="10"/>
      <c r="V2552" s="41">
        <f>IF(AND(Q2552&lt;&gt;"",RIGHT(Q2552,3)&lt;&gt;""),IF(COUNTIF($Q$6:Q2552,Q2552)=1,1,0),0)</f>
        <v>0</v>
      </c>
      <c r="W2552" s="41" t="str">
        <f t="shared" si="224"/>
        <v/>
      </c>
      <c r="X2552" s="41" t="str">
        <f t="shared" si="225"/>
        <v/>
      </c>
    </row>
    <row r="2553" s="32" customFormat="1" hidden="1" customHeight="1" spans="1:24">
      <c r="A2553" s="34"/>
      <c r="B2553" s="51"/>
      <c r="C2553" s="51"/>
      <c r="D2553" s="52"/>
      <c r="E2553" s="53"/>
      <c r="F2553" s="54"/>
      <c r="G2553" s="54"/>
      <c r="H2553" s="54"/>
      <c r="I2553" s="66"/>
      <c r="J2553" s="54"/>
      <c r="K2553" s="54"/>
      <c r="L2553" s="54"/>
      <c r="M2553" s="97" t="str">
        <f t="shared" si="222"/>
        <v/>
      </c>
      <c r="N2553" s="70"/>
      <c r="O2553" s="71" t="str">
        <f t="shared" si="226"/>
        <v/>
      </c>
      <c r="P2553" s="66"/>
      <c r="Q2553" s="66"/>
      <c r="R2553" s="54"/>
      <c r="S2553" s="82"/>
      <c r="T2553" s="83" t="str">
        <f t="shared" si="223"/>
        <v/>
      </c>
      <c r="U2553" s="10"/>
      <c r="V2553" s="41">
        <f>IF(AND(Q2553&lt;&gt;"",RIGHT(Q2553,3)&lt;&gt;""),IF(COUNTIF($Q$6:Q2553,Q2553)=1,1,0),0)</f>
        <v>0</v>
      </c>
      <c r="W2553" s="41" t="str">
        <f t="shared" si="224"/>
        <v/>
      </c>
      <c r="X2553" s="41" t="str">
        <f t="shared" si="225"/>
        <v/>
      </c>
    </row>
    <row r="2554" s="32" customFormat="1" hidden="1" customHeight="1" spans="1:24">
      <c r="A2554" s="34"/>
      <c r="B2554" s="51"/>
      <c r="C2554" s="51"/>
      <c r="D2554" s="52"/>
      <c r="E2554" s="53"/>
      <c r="F2554" s="54"/>
      <c r="G2554" s="54"/>
      <c r="H2554" s="54"/>
      <c r="I2554" s="66"/>
      <c r="J2554" s="54"/>
      <c r="K2554" s="54"/>
      <c r="L2554" s="54"/>
      <c r="M2554" s="97" t="str">
        <f t="shared" si="222"/>
        <v/>
      </c>
      <c r="N2554" s="70"/>
      <c r="O2554" s="71" t="str">
        <f t="shared" si="226"/>
        <v/>
      </c>
      <c r="P2554" s="66"/>
      <c r="Q2554" s="66"/>
      <c r="R2554" s="54"/>
      <c r="S2554" s="82"/>
      <c r="T2554" s="83" t="str">
        <f t="shared" si="223"/>
        <v/>
      </c>
      <c r="U2554" s="10"/>
      <c r="V2554" s="41">
        <f>IF(AND(Q2554&lt;&gt;"",RIGHT(Q2554,3)&lt;&gt;""),IF(COUNTIF($Q$6:Q2554,Q2554)=1,1,0),0)</f>
        <v>0</v>
      </c>
      <c r="W2554" s="41" t="str">
        <f t="shared" si="224"/>
        <v/>
      </c>
      <c r="X2554" s="41" t="str">
        <f t="shared" si="225"/>
        <v/>
      </c>
    </row>
    <row r="2555" s="32" customFormat="1" hidden="1" customHeight="1" spans="1:24">
      <c r="A2555" s="34"/>
      <c r="B2555" s="51"/>
      <c r="C2555" s="51"/>
      <c r="D2555" s="52"/>
      <c r="E2555" s="53"/>
      <c r="F2555" s="54"/>
      <c r="G2555" s="54"/>
      <c r="H2555" s="54"/>
      <c r="I2555" s="66"/>
      <c r="J2555" s="54"/>
      <c r="K2555" s="54"/>
      <c r="L2555" s="54"/>
      <c r="M2555" s="97" t="str">
        <f t="shared" si="222"/>
        <v/>
      </c>
      <c r="N2555" s="70"/>
      <c r="O2555" s="71" t="str">
        <f t="shared" si="226"/>
        <v/>
      </c>
      <c r="P2555" s="66"/>
      <c r="Q2555" s="66"/>
      <c r="R2555" s="54"/>
      <c r="S2555" s="82"/>
      <c r="T2555" s="83" t="str">
        <f t="shared" si="223"/>
        <v/>
      </c>
      <c r="U2555" s="10"/>
      <c r="V2555" s="41">
        <f>IF(AND(Q2555&lt;&gt;"",RIGHT(Q2555,3)&lt;&gt;""),IF(COUNTIF($Q$6:Q2555,Q2555)=1,1,0),0)</f>
        <v>0</v>
      </c>
      <c r="W2555" s="41" t="str">
        <f t="shared" si="224"/>
        <v/>
      </c>
      <c r="X2555" s="41" t="str">
        <f t="shared" si="225"/>
        <v/>
      </c>
    </row>
    <row r="2556" s="32" customFormat="1" hidden="1" customHeight="1" spans="1:24">
      <c r="A2556" s="34"/>
      <c r="B2556" s="51"/>
      <c r="C2556" s="51"/>
      <c r="D2556" s="52"/>
      <c r="E2556" s="53"/>
      <c r="F2556" s="54"/>
      <c r="G2556" s="54"/>
      <c r="H2556" s="54"/>
      <c r="I2556" s="66"/>
      <c r="J2556" s="54"/>
      <c r="K2556" s="54"/>
      <c r="L2556" s="54"/>
      <c r="M2556" s="97" t="str">
        <f t="shared" si="222"/>
        <v/>
      </c>
      <c r="N2556" s="70"/>
      <c r="O2556" s="71" t="str">
        <f t="shared" si="226"/>
        <v/>
      </c>
      <c r="P2556" s="66"/>
      <c r="Q2556" s="66"/>
      <c r="R2556" s="54"/>
      <c r="S2556" s="82"/>
      <c r="T2556" s="83" t="str">
        <f t="shared" si="223"/>
        <v/>
      </c>
      <c r="U2556" s="10"/>
      <c r="V2556" s="41">
        <f>IF(AND(Q2556&lt;&gt;"",RIGHT(Q2556,3)&lt;&gt;""),IF(COUNTIF($Q$6:Q2556,Q2556)=1,1,0),0)</f>
        <v>0</v>
      </c>
      <c r="W2556" s="41" t="str">
        <f t="shared" si="224"/>
        <v/>
      </c>
      <c r="X2556" s="41" t="str">
        <f t="shared" si="225"/>
        <v/>
      </c>
    </row>
    <row r="2557" s="32" customFormat="1" hidden="1" customHeight="1" spans="1:24">
      <c r="A2557" s="34"/>
      <c r="B2557" s="51"/>
      <c r="C2557" s="51"/>
      <c r="D2557" s="52"/>
      <c r="E2557" s="53"/>
      <c r="F2557" s="54"/>
      <c r="G2557" s="54"/>
      <c r="H2557" s="54"/>
      <c r="I2557" s="66"/>
      <c r="J2557" s="54"/>
      <c r="K2557" s="54"/>
      <c r="L2557" s="54"/>
      <c r="M2557" s="97" t="str">
        <f t="shared" si="222"/>
        <v/>
      </c>
      <c r="N2557" s="70"/>
      <c r="O2557" s="71" t="str">
        <f t="shared" si="226"/>
        <v/>
      </c>
      <c r="P2557" s="66"/>
      <c r="Q2557" s="66"/>
      <c r="R2557" s="54"/>
      <c r="S2557" s="82"/>
      <c r="T2557" s="83" t="str">
        <f t="shared" si="223"/>
        <v/>
      </c>
      <c r="U2557" s="10"/>
      <c r="V2557" s="41">
        <f>IF(AND(Q2557&lt;&gt;"",RIGHT(Q2557,3)&lt;&gt;""),IF(COUNTIF($Q$6:Q2557,Q2557)=1,1,0),0)</f>
        <v>0</v>
      </c>
      <c r="W2557" s="41" t="str">
        <f t="shared" si="224"/>
        <v/>
      </c>
      <c r="X2557" s="41" t="str">
        <f t="shared" si="225"/>
        <v/>
      </c>
    </row>
    <row r="2558" s="32" customFormat="1" hidden="1" customHeight="1" spans="1:24">
      <c r="A2558" s="34"/>
      <c r="B2558" s="51"/>
      <c r="C2558" s="51"/>
      <c r="D2558" s="52"/>
      <c r="E2558" s="53"/>
      <c r="F2558" s="54"/>
      <c r="G2558" s="54"/>
      <c r="H2558" s="54"/>
      <c r="I2558" s="66"/>
      <c r="J2558" s="54"/>
      <c r="K2558" s="54"/>
      <c r="L2558" s="54"/>
      <c r="M2558" s="97" t="str">
        <f t="shared" si="222"/>
        <v/>
      </c>
      <c r="N2558" s="70"/>
      <c r="O2558" s="71" t="str">
        <f t="shared" si="226"/>
        <v/>
      </c>
      <c r="P2558" s="66"/>
      <c r="Q2558" s="66"/>
      <c r="R2558" s="54"/>
      <c r="S2558" s="82"/>
      <c r="T2558" s="83" t="str">
        <f t="shared" si="223"/>
        <v/>
      </c>
      <c r="U2558" s="10"/>
      <c r="V2558" s="41">
        <f>IF(AND(Q2558&lt;&gt;"",RIGHT(Q2558,3)&lt;&gt;""),IF(COUNTIF($Q$6:Q2558,Q2558)=1,1,0),0)</f>
        <v>0</v>
      </c>
      <c r="W2558" s="41" t="str">
        <f t="shared" si="224"/>
        <v/>
      </c>
      <c r="X2558" s="41" t="str">
        <f t="shared" si="225"/>
        <v/>
      </c>
    </row>
    <row r="2559" s="32" customFormat="1" hidden="1" customHeight="1" spans="1:24">
      <c r="A2559" s="34"/>
      <c r="B2559" s="51"/>
      <c r="C2559" s="51"/>
      <c r="D2559" s="52"/>
      <c r="E2559" s="53"/>
      <c r="F2559" s="54"/>
      <c r="G2559" s="54"/>
      <c r="H2559" s="54"/>
      <c r="I2559" s="66"/>
      <c r="J2559" s="54"/>
      <c r="K2559" s="54"/>
      <c r="L2559" s="54"/>
      <c r="M2559" s="97" t="str">
        <f t="shared" si="222"/>
        <v/>
      </c>
      <c r="N2559" s="70"/>
      <c r="O2559" s="71" t="str">
        <f t="shared" si="226"/>
        <v/>
      </c>
      <c r="P2559" s="66"/>
      <c r="Q2559" s="66"/>
      <c r="R2559" s="54"/>
      <c r="S2559" s="82"/>
      <c r="T2559" s="83" t="str">
        <f t="shared" si="223"/>
        <v/>
      </c>
      <c r="U2559" s="10"/>
      <c r="V2559" s="41">
        <f>IF(AND(Q2559&lt;&gt;"",RIGHT(Q2559,3)&lt;&gt;""),IF(COUNTIF($Q$6:Q2559,Q2559)=1,1,0),0)</f>
        <v>0</v>
      </c>
      <c r="W2559" s="41" t="str">
        <f t="shared" si="224"/>
        <v/>
      </c>
      <c r="X2559" s="41" t="str">
        <f t="shared" si="225"/>
        <v/>
      </c>
    </row>
    <row r="2560" s="32" customFormat="1" hidden="1" customHeight="1" spans="1:24">
      <c r="A2560" s="34"/>
      <c r="B2560" s="51"/>
      <c r="C2560" s="51"/>
      <c r="D2560" s="52"/>
      <c r="E2560" s="53"/>
      <c r="F2560" s="54"/>
      <c r="G2560" s="54"/>
      <c r="H2560" s="54"/>
      <c r="I2560" s="66"/>
      <c r="J2560" s="54"/>
      <c r="K2560" s="54"/>
      <c r="L2560" s="54"/>
      <c r="M2560" s="97" t="str">
        <f t="shared" si="222"/>
        <v/>
      </c>
      <c r="N2560" s="70"/>
      <c r="O2560" s="71" t="str">
        <f t="shared" si="226"/>
        <v/>
      </c>
      <c r="P2560" s="66"/>
      <c r="Q2560" s="66"/>
      <c r="R2560" s="54"/>
      <c r="S2560" s="82"/>
      <c r="T2560" s="83" t="str">
        <f t="shared" si="223"/>
        <v/>
      </c>
      <c r="U2560" s="10"/>
      <c r="V2560" s="41">
        <f>IF(AND(Q2560&lt;&gt;"",RIGHT(Q2560,3)&lt;&gt;""),IF(COUNTIF($Q$6:Q2560,Q2560)=1,1,0),0)</f>
        <v>0</v>
      </c>
      <c r="W2560" s="41" t="str">
        <f t="shared" si="224"/>
        <v/>
      </c>
      <c r="X2560" s="41" t="str">
        <f t="shared" si="225"/>
        <v/>
      </c>
    </row>
    <row r="2561" s="32" customFormat="1" hidden="1" customHeight="1" spans="1:24">
      <c r="A2561" s="34"/>
      <c r="B2561" s="51"/>
      <c r="C2561" s="51"/>
      <c r="D2561" s="52"/>
      <c r="E2561" s="53"/>
      <c r="F2561" s="54"/>
      <c r="G2561" s="54"/>
      <c r="H2561" s="54"/>
      <c r="I2561" s="66"/>
      <c r="J2561" s="54"/>
      <c r="K2561" s="54"/>
      <c r="L2561" s="54"/>
      <c r="M2561" s="97" t="str">
        <f t="shared" si="222"/>
        <v/>
      </c>
      <c r="N2561" s="70"/>
      <c r="O2561" s="71" t="str">
        <f t="shared" si="226"/>
        <v/>
      </c>
      <c r="P2561" s="66"/>
      <c r="Q2561" s="66"/>
      <c r="R2561" s="54"/>
      <c r="S2561" s="82"/>
      <c r="T2561" s="83" t="str">
        <f t="shared" si="223"/>
        <v/>
      </c>
      <c r="U2561" s="10"/>
      <c r="V2561" s="41">
        <f>IF(AND(Q2561&lt;&gt;"",RIGHT(Q2561,3)&lt;&gt;""),IF(COUNTIF($Q$6:Q2561,Q2561)=1,1,0),0)</f>
        <v>0</v>
      </c>
      <c r="W2561" s="41" t="str">
        <f t="shared" si="224"/>
        <v/>
      </c>
      <c r="X2561" s="41" t="str">
        <f t="shared" si="225"/>
        <v/>
      </c>
    </row>
    <row r="2562" s="32" customFormat="1" hidden="1" customHeight="1" spans="1:24">
      <c r="A2562" s="34"/>
      <c r="B2562" s="51"/>
      <c r="C2562" s="51"/>
      <c r="D2562" s="52"/>
      <c r="E2562" s="53"/>
      <c r="F2562" s="54"/>
      <c r="G2562" s="54"/>
      <c r="H2562" s="54"/>
      <c r="I2562" s="66"/>
      <c r="J2562" s="54"/>
      <c r="K2562" s="54"/>
      <c r="L2562" s="54"/>
      <c r="M2562" s="97" t="str">
        <f t="shared" si="222"/>
        <v/>
      </c>
      <c r="N2562" s="70"/>
      <c r="O2562" s="71" t="str">
        <f t="shared" si="226"/>
        <v/>
      </c>
      <c r="P2562" s="66"/>
      <c r="Q2562" s="66"/>
      <c r="R2562" s="54"/>
      <c r="S2562" s="82"/>
      <c r="T2562" s="83" t="str">
        <f t="shared" si="223"/>
        <v/>
      </c>
      <c r="U2562" s="10"/>
      <c r="V2562" s="41">
        <f>IF(AND(Q2562&lt;&gt;"",RIGHT(Q2562,3)&lt;&gt;""),IF(COUNTIF($Q$6:Q2562,Q2562)=1,1,0),0)</f>
        <v>0</v>
      </c>
      <c r="W2562" s="41" t="str">
        <f t="shared" si="224"/>
        <v/>
      </c>
      <c r="X2562" s="41" t="str">
        <f t="shared" si="225"/>
        <v/>
      </c>
    </row>
    <row r="2563" s="32" customFormat="1" hidden="1" customHeight="1" spans="1:24">
      <c r="A2563" s="34"/>
      <c r="B2563" s="51"/>
      <c r="C2563" s="51"/>
      <c r="D2563" s="52"/>
      <c r="E2563" s="53"/>
      <c r="F2563" s="54"/>
      <c r="G2563" s="54"/>
      <c r="H2563" s="54"/>
      <c r="I2563" s="66"/>
      <c r="J2563" s="54"/>
      <c r="K2563" s="54"/>
      <c r="L2563" s="54"/>
      <c r="M2563" s="97" t="str">
        <f t="shared" si="222"/>
        <v/>
      </c>
      <c r="N2563" s="70"/>
      <c r="O2563" s="71" t="str">
        <f t="shared" si="226"/>
        <v/>
      </c>
      <c r="P2563" s="66"/>
      <c r="Q2563" s="66"/>
      <c r="R2563" s="54"/>
      <c r="S2563" s="82"/>
      <c r="T2563" s="83" t="str">
        <f t="shared" si="223"/>
        <v/>
      </c>
      <c r="U2563" s="10"/>
      <c r="V2563" s="41">
        <f>IF(AND(Q2563&lt;&gt;"",RIGHT(Q2563,3)&lt;&gt;""),IF(COUNTIF($Q$6:Q2563,Q2563)=1,1,0),0)</f>
        <v>0</v>
      </c>
      <c r="W2563" s="41" t="str">
        <f t="shared" si="224"/>
        <v/>
      </c>
      <c r="X2563" s="41" t="str">
        <f t="shared" si="225"/>
        <v/>
      </c>
    </row>
    <row r="2564" s="32" customFormat="1" hidden="1" customHeight="1" spans="1:24">
      <c r="A2564" s="34"/>
      <c r="B2564" s="51"/>
      <c r="C2564" s="51"/>
      <c r="D2564" s="52"/>
      <c r="E2564" s="53"/>
      <c r="F2564" s="54"/>
      <c r="G2564" s="54"/>
      <c r="H2564" s="54"/>
      <c r="I2564" s="66"/>
      <c r="J2564" s="54"/>
      <c r="K2564" s="54"/>
      <c r="L2564" s="54"/>
      <c r="M2564" s="97" t="str">
        <f t="shared" si="222"/>
        <v/>
      </c>
      <c r="N2564" s="70"/>
      <c r="O2564" s="71" t="str">
        <f t="shared" si="226"/>
        <v/>
      </c>
      <c r="P2564" s="66"/>
      <c r="Q2564" s="66"/>
      <c r="R2564" s="54"/>
      <c r="S2564" s="82"/>
      <c r="T2564" s="83" t="str">
        <f t="shared" si="223"/>
        <v/>
      </c>
      <c r="U2564" s="10"/>
      <c r="V2564" s="41">
        <f>IF(AND(Q2564&lt;&gt;"",RIGHT(Q2564,3)&lt;&gt;""),IF(COUNTIF($Q$6:Q2564,Q2564)=1,1,0),0)</f>
        <v>0</v>
      </c>
      <c r="W2564" s="41" t="str">
        <f t="shared" si="224"/>
        <v/>
      </c>
      <c r="X2564" s="41" t="str">
        <f t="shared" si="225"/>
        <v/>
      </c>
    </row>
    <row r="2565" s="32" customFormat="1" hidden="1" customHeight="1" spans="1:24">
      <c r="A2565" s="34"/>
      <c r="B2565" s="51"/>
      <c r="C2565" s="51"/>
      <c r="D2565" s="52"/>
      <c r="E2565" s="53"/>
      <c r="F2565" s="54"/>
      <c r="G2565" s="54"/>
      <c r="H2565" s="54"/>
      <c r="I2565" s="66"/>
      <c r="J2565" s="54"/>
      <c r="K2565" s="54"/>
      <c r="L2565" s="54"/>
      <c r="M2565" s="97" t="str">
        <f t="shared" si="222"/>
        <v/>
      </c>
      <c r="N2565" s="70"/>
      <c r="O2565" s="71" t="str">
        <f t="shared" si="226"/>
        <v/>
      </c>
      <c r="P2565" s="66"/>
      <c r="Q2565" s="66"/>
      <c r="R2565" s="54"/>
      <c r="S2565" s="82"/>
      <c r="T2565" s="83" t="str">
        <f t="shared" si="223"/>
        <v/>
      </c>
      <c r="U2565" s="10"/>
      <c r="V2565" s="41">
        <f>IF(AND(Q2565&lt;&gt;"",RIGHT(Q2565,3)&lt;&gt;""),IF(COUNTIF($Q$6:Q2565,Q2565)=1,1,0),0)</f>
        <v>0</v>
      </c>
      <c r="W2565" s="41" t="str">
        <f t="shared" si="224"/>
        <v/>
      </c>
      <c r="X2565" s="41" t="str">
        <f t="shared" si="225"/>
        <v/>
      </c>
    </row>
    <row r="2566" s="32" customFormat="1" hidden="1" customHeight="1" spans="1:24">
      <c r="A2566" s="34"/>
      <c r="B2566" s="51"/>
      <c r="C2566" s="51"/>
      <c r="D2566" s="52"/>
      <c r="E2566" s="53"/>
      <c r="F2566" s="54"/>
      <c r="G2566" s="54"/>
      <c r="H2566" s="54"/>
      <c r="I2566" s="66"/>
      <c r="J2566" s="54"/>
      <c r="K2566" s="54"/>
      <c r="L2566" s="54"/>
      <c r="M2566" s="97" t="str">
        <f t="shared" si="222"/>
        <v/>
      </c>
      <c r="N2566" s="70"/>
      <c r="O2566" s="71" t="str">
        <f t="shared" si="226"/>
        <v/>
      </c>
      <c r="P2566" s="66"/>
      <c r="Q2566" s="66"/>
      <c r="R2566" s="54"/>
      <c r="S2566" s="82"/>
      <c r="T2566" s="83" t="str">
        <f t="shared" si="223"/>
        <v/>
      </c>
      <c r="U2566" s="10"/>
      <c r="V2566" s="41">
        <f>IF(AND(Q2566&lt;&gt;"",RIGHT(Q2566,3)&lt;&gt;""),IF(COUNTIF($Q$6:Q2566,Q2566)=1,1,0),0)</f>
        <v>0</v>
      </c>
      <c r="W2566" s="41" t="str">
        <f t="shared" si="224"/>
        <v/>
      </c>
      <c r="X2566" s="41" t="str">
        <f t="shared" si="225"/>
        <v/>
      </c>
    </row>
    <row r="2567" s="32" customFormat="1" hidden="1" customHeight="1" spans="1:24">
      <c r="A2567" s="34"/>
      <c r="B2567" s="51"/>
      <c r="C2567" s="51"/>
      <c r="D2567" s="52"/>
      <c r="E2567" s="53"/>
      <c r="F2567" s="54"/>
      <c r="G2567" s="54"/>
      <c r="H2567" s="54"/>
      <c r="I2567" s="66"/>
      <c r="J2567" s="54"/>
      <c r="K2567" s="54"/>
      <c r="L2567" s="54"/>
      <c r="M2567" s="97" t="str">
        <f t="shared" si="222"/>
        <v/>
      </c>
      <c r="N2567" s="70"/>
      <c r="O2567" s="71" t="str">
        <f t="shared" si="226"/>
        <v/>
      </c>
      <c r="P2567" s="66"/>
      <c r="Q2567" s="66"/>
      <c r="R2567" s="54"/>
      <c r="S2567" s="82"/>
      <c r="T2567" s="83" t="str">
        <f t="shared" si="223"/>
        <v/>
      </c>
      <c r="U2567" s="10"/>
      <c r="V2567" s="41">
        <f>IF(AND(Q2567&lt;&gt;"",RIGHT(Q2567,3)&lt;&gt;""),IF(COUNTIF($Q$6:Q2567,Q2567)=1,1,0),0)</f>
        <v>0</v>
      </c>
      <c r="W2567" s="41" t="str">
        <f t="shared" si="224"/>
        <v/>
      </c>
      <c r="X2567" s="41" t="str">
        <f t="shared" si="225"/>
        <v/>
      </c>
    </row>
    <row r="2568" s="32" customFormat="1" hidden="1" customHeight="1" spans="1:24">
      <c r="A2568" s="34"/>
      <c r="B2568" s="51"/>
      <c r="C2568" s="51"/>
      <c r="D2568" s="52"/>
      <c r="E2568" s="53"/>
      <c r="F2568" s="54"/>
      <c r="G2568" s="54"/>
      <c r="H2568" s="54"/>
      <c r="I2568" s="66"/>
      <c r="J2568" s="54"/>
      <c r="K2568" s="54"/>
      <c r="L2568" s="54"/>
      <c r="M2568" s="97" t="str">
        <f t="shared" si="222"/>
        <v/>
      </c>
      <c r="N2568" s="70"/>
      <c r="O2568" s="71" t="str">
        <f t="shared" si="226"/>
        <v/>
      </c>
      <c r="P2568" s="66"/>
      <c r="Q2568" s="66"/>
      <c r="R2568" s="54"/>
      <c r="S2568" s="82"/>
      <c r="T2568" s="83" t="str">
        <f t="shared" si="223"/>
        <v/>
      </c>
      <c r="U2568" s="10"/>
      <c r="V2568" s="41">
        <f>IF(AND(Q2568&lt;&gt;"",RIGHT(Q2568,3)&lt;&gt;""),IF(COUNTIF($Q$6:Q2568,Q2568)=1,1,0),0)</f>
        <v>0</v>
      </c>
      <c r="W2568" s="41" t="str">
        <f t="shared" si="224"/>
        <v/>
      </c>
      <c r="X2568" s="41" t="str">
        <f t="shared" si="225"/>
        <v/>
      </c>
    </row>
    <row r="2569" s="32" customFormat="1" hidden="1" customHeight="1" spans="1:24">
      <c r="A2569" s="34"/>
      <c r="B2569" s="51"/>
      <c r="C2569" s="51"/>
      <c r="D2569" s="52"/>
      <c r="E2569" s="53"/>
      <c r="F2569" s="54"/>
      <c r="G2569" s="54"/>
      <c r="H2569" s="54"/>
      <c r="I2569" s="66"/>
      <c r="J2569" s="54"/>
      <c r="K2569" s="54"/>
      <c r="L2569" s="54"/>
      <c r="M2569" s="97" t="str">
        <f t="shared" si="222"/>
        <v/>
      </c>
      <c r="N2569" s="70"/>
      <c r="O2569" s="71" t="str">
        <f t="shared" si="226"/>
        <v/>
      </c>
      <c r="P2569" s="66"/>
      <c r="Q2569" s="66"/>
      <c r="R2569" s="54"/>
      <c r="S2569" s="82"/>
      <c r="T2569" s="83" t="str">
        <f t="shared" si="223"/>
        <v/>
      </c>
      <c r="U2569" s="10"/>
      <c r="V2569" s="41">
        <f>IF(AND(Q2569&lt;&gt;"",RIGHT(Q2569,3)&lt;&gt;""),IF(COUNTIF($Q$6:Q2569,Q2569)=1,1,0),0)</f>
        <v>0</v>
      </c>
      <c r="W2569" s="41" t="str">
        <f t="shared" si="224"/>
        <v/>
      </c>
      <c r="X2569" s="41" t="str">
        <f t="shared" si="225"/>
        <v/>
      </c>
    </row>
    <row r="2570" s="32" customFormat="1" hidden="1" customHeight="1" spans="1:24">
      <c r="A2570" s="34"/>
      <c r="B2570" s="51"/>
      <c r="C2570" s="51"/>
      <c r="D2570" s="52"/>
      <c r="E2570" s="53"/>
      <c r="F2570" s="54"/>
      <c r="G2570" s="54"/>
      <c r="H2570" s="54"/>
      <c r="I2570" s="66"/>
      <c r="J2570" s="54"/>
      <c r="K2570" s="54"/>
      <c r="L2570" s="54"/>
      <c r="M2570" s="97" t="str">
        <f t="shared" si="222"/>
        <v/>
      </c>
      <c r="N2570" s="70"/>
      <c r="O2570" s="71" t="str">
        <f t="shared" si="226"/>
        <v/>
      </c>
      <c r="P2570" s="66"/>
      <c r="Q2570" s="66"/>
      <c r="R2570" s="54"/>
      <c r="S2570" s="82"/>
      <c r="T2570" s="83" t="str">
        <f t="shared" si="223"/>
        <v/>
      </c>
      <c r="U2570" s="10"/>
      <c r="V2570" s="41">
        <f>IF(AND(Q2570&lt;&gt;"",RIGHT(Q2570,3)&lt;&gt;""),IF(COUNTIF($Q$6:Q2570,Q2570)=1,1,0),0)</f>
        <v>0</v>
      </c>
      <c r="W2570" s="41" t="str">
        <f t="shared" si="224"/>
        <v/>
      </c>
      <c r="X2570" s="41" t="str">
        <f t="shared" si="225"/>
        <v/>
      </c>
    </row>
    <row r="2571" s="32" customFormat="1" hidden="1" customHeight="1" spans="1:24">
      <c r="A2571" s="34"/>
      <c r="B2571" s="51"/>
      <c r="C2571" s="51"/>
      <c r="D2571" s="52"/>
      <c r="E2571" s="53"/>
      <c r="F2571" s="54"/>
      <c r="G2571" s="54"/>
      <c r="H2571" s="54"/>
      <c r="I2571" s="66"/>
      <c r="J2571" s="54"/>
      <c r="K2571" s="54"/>
      <c r="L2571" s="54"/>
      <c r="M2571" s="97" t="str">
        <f t="shared" si="222"/>
        <v/>
      </c>
      <c r="N2571" s="70"/>
      <c r="O2571" s="71" t="str">
        <f t="shared" si="226"/>
        <v/>
      </c>
      <c r="P2571" s="66"/>
      <c r="Q2571" s="66"/>
      <c r="R2571" s="54"/>
      <c r="S2571" s="82"/>
      <c r="T2571" s="83" t="str">
        <f t="shared" si="223"/>
        <v/>
      </c>
      <c r="U2571" s="10"/>
      <c r="V2571" s="41">
        <f>IF(AND(Q2571&lt;&gt;"",RIGHT(Q2571,3)&lt;&gt;""),IF(COUNTIF($Q$6:Q2571,Q2571)=1,1,0),0)</f>
        <v>0</v>
      </c>
      <c r="W2571" s="41" t="str">
        <f t="shared" si="224"/>
        <v/>
      </c>
      <c r="X2571" s="41" t="str">
        <f t="shared" si="225"/>
        <v/>
      </c>
    </row>
    <row r="2572" s="32" customFormat="1" hidden="1" customHeight="1" spans="1:24">
      <c r="A2572" s="34"/>
      <c r="B2572" s="51"/>
      <c r="C2572" s="51"/>
      <c r="D2572" s="52"/>
      <c r="E2572" s="53"/>
      <c r="F2572" s="54"/>
      <c r="G2572" s="54"/>
      <c r="H2572" s="54"/>
      <c r="I2572" s="66"/>
      <c r="J2572" s="54"/>
      <c r="K2572" s="54"/>
      <c r="L2572" s="54"/>
      <c r="M2572" s="97" t="str">
        <f t="shared" si="222"/>
        <v/>
      </c>
      <c r="N2572" s="70"/>
      <c r="O2572" s="71" t="str">
        <f t="shared" si="226"/>
        <v/>
      </c>
      <c r="P2572" s="66"/>
      <c r="Q2572" s="66"/>
      <c r="R2572" s="54"/>
      <c r="S2572" s="82"/>
      <c r="T2572" s="83" t="str">
        <f t="shared" si="223"/>
        <v/>
      </c>
      <c r="U2572" s="10"/>
      <c r="V2572" s="41">
        <f>IF(AND(Q2572&lt;&gt;"",RIGHT(Q2572,3)&lt;&gt;""),IF(COUNTIF($Q$6:Q2572,Q2572)=1,1,0),0)</f>
        <v>0</v>
      </c>
      <c r="W2572" s="41" t="str">
        <f t="shared" si="224"/>
        <v/>
      </c>
      <c r="X2572" s="41" t="str">
        <f t="shared" si="225"/>
        <v/>
      </c>
    </row>
    <row r="2573" s="32" customFormat="1" hidden="1" customHeight="1" spans="1:24">
      <c r="A2573" s="34"/>
      <c r="B2573" s="51"/>
      <c r="C2573" s="51"/>
      <c r="D2573" s="52"/>
      <c r="E2573" s="53"/>
      <c r="F2573" s="54"/>
      <c r="G2573" s="54"/>
      <c r="H2573" s="54"/>
      <c r="I2573" s="66"/>
      <c r="J2573" s="54"/>
      <c r="K2573" s="54"/>
      <c r="L2573" s="54"/>
      <c r="M2573" s="97" t="str">
        <f t="shared" si="222"/>
        <v/>
      </c>
      <c r="N2573" s="70"/>
      <c r="O2573" s="71" t="str">
        <f t="shared" si="226"/>
        <v/>
      </c>
      <c r="P2573" s="66"/>
      <c r="Q2573" s="66"/>
      <c r="R2573" s="54"/>
      <c r="S2573" s="82"/>
      <c r="T2573" s="83" t="str">
        <f t="shared" si="223"/>
        <v/>
      </c>
      <c r="U2573" s="10"/>
      <c r="V2573" s="41">
        <f>IF(AND(Q2573&lt;&gt;"",RIGHT(Q2573,3)&lt;&gt;""),IF(COUNTIF($Q$6:Q2573,Q2573)=1,1,0),0)</f>
        <v>0</v>
      </c>
      <c r="W2573" s="41" t="str">
        <f t="shared" si="224"/>
        <v/>
      </c>
      <c r="X2573" s="41" t="str">
        <f t="shared" si="225"/>
        <v/>
      </c>
    </row>
    <row r="2574" s="32" customFormat="1" hidden="1" customHeight="1" spans="1:24">
      <c r="A2574" s="34"/>
      <c r="B2574" s="51"/>
      <c r="C2574" s="51"/>
      <c r="D2574" s="52"/>
      <c r="E2574" s="53"/>
      <c r="F2574" s="54"/>
      <c r="G2574" s="54"/>
      <c r="H2574" s="54"/>
      <c r="I2574" s="66"/>
      <c r="J2574" s="54"/>
      <c r="K2574" s="54"/>
      <c r="L2574" s="54"/>
      <c r="M2574" s="97" t="str">
        <f t="shared" si="222"/>
        <v/>
      </c>
      <c r="N2574" s="70"/>
      <c r="O2574" s="71" t="str">
        <f t="shared" si="226"/>
        <v/>
      </c>
      <c r="P2574" s="66"/>
      <c r="Q2574" s="66"/>
      <c r="R2574" s="54"/>
      <c r="S2574" s="82"/>
      <c r="T2574" s="83" t="str">
        <f t="shared" si="223"/>
        <v/>
      </c>
      <c r="U2574" s="10"/>
      <c r="V2574" s="41">
        <f>IF(AND(Q2574&lt;&gt;"",RIGHT(Q2574,3)&lt;&gt;""),IF(COUNTIF($Q$6:Q2574,Q2574)=1,1,0),0)</f>
        <v>0</v>
      </c>
      <c r="W2574" s="41" t="str">
        <f t="shared" si="224"/>
        <v/>
      </c>
      <c r="X2574" s="41" t="str">
        <f t="shared" si="225"/>
        <v/>
      </c>
    </row>
    <row r="2575" s="32" customFormat="1" hidden="1" customHeight="1" spans="1:24">
      <c r="A2575" s="34"/>
      <c r="B2575" s="51"/>
      <c r="C2575" s="51"/>
      <c r="D2575" s="52"/>
      <c r="E2575" s="53"/>
      <c r="F2575" s="54"/>
      <c r="G2575" s="54"/>
      <c r="H2575" s="54"/>
      <c r="I2575" s="66"/>
      <c r="J2575" s="54"/>
      <c r="K2575" s="54"/>
      <c r="L2575" s="54"/>
      <c r="M2575" s="97" t="str">
        <f t="shared" si="222"/>
        <v/>
      </c>
      <c r="N2575" s="70"/>
      <c r="O2575" s="71" t="str">
        <f t="shared" si="226"/>
        <v/>
      </c>
      <c r="P2575" s="66"/>
      <c r="Q2575" s="66"/>
      <c r="R2575" s="54"/>
      <c r="S2575" s="82"/>
      <c r="T2575" s="83" t="str">
        <f t="shared" si="223"/>
        <v/>
      </c>
      <c r="U2575" s="10"/>
      <c r="V2575" s="41">
        <f>IF(AND(Q2575&lt;&gt;"",RIGHT(Q2575,3)&lt;&gt;""),IF(COUNTIF($Q$6:Q2575,Q2575)=1,1,0),0)</f>
        <v>0</v>
      </c>
      <c r="W2575" s="41" t="str">
        <f t="shared" si="224"/>
        <v/>
      </c>
      <c r="X2575" s="41" t="str">
        <f t="shared" si="225"/>
        <v/>
      </c>
    </row>
    <row r="2576" s="32" customFormat="1" hidden="1" customHeight="1" spans="1:24">
      <c r="A2576" s="34"/>
      <c r="B2576" s="51"/>
      <c r="C2576" s="51"/>
      <c r="D2576" s="52"/>
      <c r="E2576" s="53"/>
      <c r="F2576" s="54"/>
      <c r="G2576" s="54"/>
      <c r="H2576" s="54"/>
      <c r="I2576" s="66"/>
      <c r="J2576" s="54"/>
      <c r="K2576" s="54"/>
      <c r="L2576" s="54"/>
      <c r="M2576" s="97" t="str">
        <f t="shared" si="222"/>
        <v/>
      </c>
      <c r="N2576" s="70"/>
      <c r="O2576" s="71" t="str">
        <f t="shared" si="226"/>
        <v/>
      </c>
      <c r="P2576" s="66"/>
      <c r="Q2576" s="66"/>
      <c r="R2576" s="54"/>
      <c r="S2576" s="82"/>
      <c r="T2576" s="83" t="str">
        <f t="shared" si="223"/>
        <v/>
      </c>
      <c r="U2576" s="10"/>
      <c r="V2576" s="41">
        <f>IF(AND(Q2576&lt;&gt;"",RIGHT(Q2576,3)&lt;&gt;""),IF(COUNTIF($Q$6:Q2576,Q2576)=1,1,0),0)</f>
        <v>0</v>
      </c>
      <c r="W2576" s="41" t="str">
        <f t="shared" si="224"/>
        <v/>
      </c>
      <c r="X2576" s="41" t="str">
        <f t="shared" si="225"/>
        <v/>
      </c>
    </row>
    <row r="2577" s="32" customFormat="1" hidden="1" customHeight="1" spans="1:24">
      <c r="A2577" s="34"/>
      <c r="B2577" s="51"/>
      <c r="C2577" s="51"/>
      <c r="D2577" s="52"/>
      <c r="E2577" s="53"/>
      <c r="F2577" s="54"/>
      <c r="G2577" s="54"/>
      <c r="H2577" s="54"/>
      <c r="I2577" s="66"/>
      <c r="J2577" s="54"/>
      <c r="K2577" s="54"/>
      <c r="L2577" s="54"/>
      <c r="M2577" s="97" t="str">
        <f t="shared" si="222"/>
        <v/>
      </c>
      <c r="N2577" s="70"/>
      <c r="O2577" s="71" t="str">
        <f t="shared" si="226"/>
        <v/>
      </c>
      <c r="P2577" s="66"/>
      <c r="Q2577" s="66"/>
      <c r="R2577" s="54"/>
      <c r="S2577" s="82"/>
      <c r="T2577" s="83" t="str">
        <f t="shared" si="223"/>
        <v/>
      </c>
      <c r="U2577" s="10"/>
      <c r="V2577" s="41">
        <f>IF(AND(Q2577&lt;&gt;"",RIGHT(Q2577,3)&lt;&gt;""),IF(COUNTIF($Q$6:Q2577,Q2577)=1,1,0),0)</f>
        <v>0</v>
      </c>
      <c r="W2577" s="41" t="str">
        <f t="shared" si="224"/>
        <v/>
      </c>
      <c r="X2577" s="41" t="str">
        <f t="shared" si="225"/>
        <v/>
      </c>
    </row>
    <row r="2578" s="32" customFormat="1" hidden="1" customHeight="1" spans="1:24">
      <c r="A2578" s="34"/>
      <c r="B2578" s="51"/>
      <c r="C2578" s="51"/>
      <c r="D2578" s="52"/>
      <c r="E2578" s="53"/>
      <c r="F2578" s="54"/>
      <c r="G2578" s="54"/>
      <c r="H2578" s="54"/>
      <c r="I2578" s="66"/>
      <c r="J2578" s="54"/>
      <c r="K2578" s="54"/>
      <c r="L2578" s="54"/>
      <c r="M2578" s="97" t="str">
        <f t="shared" si="222"/>
        <v/>
      </c>
      <c r="N2578" s="70"/>
      <c r="O2578" s="71" t="str">
        <f t="shared" si="226"/>
        <v/>
      </c>
      <c r="P2578" s="66"/>
      <c r="Q2578" s="66"/>
      <c r="R2578" s="54"/>
      <c r="S2578" s="82"/>
      <c r="T2578" s="83" t="str">
        <f t="shared" si="223"/>
        <v/>
      </c>
      <c r="U2578" s="10"/>
      <c r="V2578" s="41">
        <f>IF(AND(Q2578&lt;&gt;"",RIGHT(Q2578,3)&lt;&gt;""),IF(COUNTIF($Q$6:Q2578,Q2578)=1,1,0),0)</f>
        <v>0</v>
      </c>
      <c r="W2578" s="41" t="str">
        <f t="shared" si="224"/>
        <v/>
      </c>
      <c r="X2578" s="41" t="str">
        <f t="shared" si="225"/>
        <v/>
      </c>
    </row>
    <row r="2579" s="32" customFormat="1" hidden="1" customHeight="1" spans="1:24">
      <c r="A2579" s="34"/>
      <c r="B2579" s="51"/>
      <c r="C2579" s="51"/>
      <c r="D2579" s="52"/>
      <c r="E2579" s="53"/>
      <c r="F2579" s="54"/>
      <c r="G2579" s="54"/>
      <c r="H2579" s="54"/>
      <c r="I2579" s="66"/>
      <c r="J2579" s="54"/>
      <c r="K2579" s="54"/>
      <c r="L2579" s="54"/>
      <c r="M2579" s="97" t="str">
        <f t="shared" si="222"/>
        <v/>
      </c>
      <c r="N2579" s="70"/>
      <c r="O2579" s="71" t="str">
        <f t="shared" si="226"/>
        <v/>
      </c>
      <c r="P2579" s="66"/>
      <c r="Q2579" s="66"/>
      <c r="R2579" s="54"/>
      <c r="S2579" s="82"/>
      <c r="T2579" s="83" t="str">
        <f t="shared" si="223"/>
        <v/>
      </c>
      <c r="U2579" s="10"/>
      <c r="V2579" s="41">
        <f>IF(AND(Q2579&lt;&gt;"",RIGHT(Q2579,3)&lt;&gt;""),IF(COUNTIF($Q$6:Q2579,Q2579)=1,1,0),0)</f>
        <v>0</v>
      </c>
      <c r="W2579" s="41" t="str">
        <f t="shared" si="224"/>
        <v/>
      </c>
      <c r="X2579" s="41" t="str">
        <f t="shared" si="225"/>
        <v/>
      </c>
    </row>
    <row r="2580" s="32" customFormat="1" hidden="1" customHeight="1" spans="1:24">
      <c r="A2580" s="34"/>
      <c r="B2580" s="51"/>
      <c r="C2580" s="51"/>
      <c r="D2580" s="52"/>
      <c r="E2580" s="53"/>
      <c r="F2580" s="54"/>
      <c r="G2580" s="54"/>
      <c r="H2580" s="54"/>
      <c r="I2580" s="66"/>
      <c r="J2580" s="54"/>
      <c r="K2580" s="54"/>
      <c r="L2580" s="54"/>
      <c r="M2580" s="97" t="str">
        <f t="shared" si="222"/>
        <v/>
      </c>
      <c r="N2580" s="70"/>
      <c r="O2580" s="71" t="str">
        <f t="shared" si="226"/>
        <v/>
      </c>
      <c r="P2580" s="66"/>
      <c r="Q2580" s="66"/>
      <c r="R2580" s="54"/>
      <c r="S2580" s="82"/>
      <c r="T2580" s="83" t="str">
        <f t="shared" si="223"/>
        <v/>
      </c>
      <c r="U2580" s="10"/>
      <c r="V2580" s="41">
        <f>IF(AND(Q2580&lt;&gt;"",RIGHT(Q2580,3)&lt;&gt;""),IF(COUNTIF($Q$6:Q2580,Q2580)=1,1,0),0)</f>
        <v>0</v>
      </c>
      <c r="W2580" s="41" t="str">
        <f t="shared" si="224"/>
        <v/>
      </c>
      <c r="X2580" s="41" t="str">
        <f t="shared" si="225"/>
        <v/>
      </c>
    </row>
    <row r="2581" s="32" customFormat="1" hidden="1" customHeight="1" spans="1:24">
      <c r="A2581" s="34"/>
      <c r="B2581" s="51"/>
      <c r="C2581" s="51"/>
      <c r="D2581" s="52"/>
      <c r="E2581" s="53"/>
      <c r="F2581" s="54"/>
      <c r="G2581" s="54"/>
      <c r="H2581" s="54"/>
      <c r="I2581" s="66"/>
      <c r="J2581" s="54"/>
      <c r="K2581" s="54"/>
      <c r="L2581" s="54"/>
      <c r="M2581" s="97" t="str">
        <f t="shared" si="222"/>
        <v/>
      </c>
      <c r="N2581" s="70"/>
      <c r="O2581" s="71" t="str">
        <f t="shared" si="226"/>
        <v/>
      </c>
      <c r="P2581" s="66"/>
      <c r="Q2581" s="66"/>
      <c r="R2581" s="54"/>
      <c r="S2581" s="82"/>
      <c r="T2581" s="83" t="str">
        <f t="shared" si="223"/>
        <v/>
      </c>
      <c r="U2581" s="10"/>
      <c r="V2581" s="41">
        <f>IF(AND(Q2581&lt;&gt;"",RIGHT(Q2581,3)&lt;&gt;""),IF(COUNTIF($Q$6:Q2581,Q2581)=1,1,0),0)</f>
        <v>0</v>
      </c>
      <c r="W2581" s="41" t="str">
        <f t="shared" si="224"/>
        <v/>
      </c>
      <c r="X2581" s="41" t="str">
        <f t="shared" si="225"/>
        <v/>
      </c>
    </row>
    <row r="2582" s="32" customFormat="1" hidden="1" customHeight="1" spans="1:24">
      <c r="A2582" s="34"/>
      <c r="B2582" s="51"/>
      <c r="C2582" s="51"/>
      <c r="D2582" s="52"/>
      <c r="E2582" s="53"/>
      <c r="F2582" s="54"/>
      <c r="G2582" s="54"/>
      <c r="H2582" s="54"/>
      <c r="I2582" s="66"/>
      <c r="J2582" s="54"/>
      <c r="K2582" s="54"/>
      <c r="L2582" s="54"/>
      <c r="M2582" s="97" t="str">
        <f t="shared" si="222"/>
        <v/>
      </c>
      <c r="N2582" s="70"/>
      <c r="O2582" s="71" t="str">
        <f t="shared" si="226"/>
        <v/>
      </c>
      <c r="P2582" s="66"/>
      <c r="Q2582" s="66"/>
      <c r="R2582" s="54"/>
      <c r="S2582" s="82"/>
      <c r="T2582" s="83" t="str">
        <f t="shared" si="223"/>
        <v/>
      </c>
      <c r="U2582" s="10"/>
      <c r="V2582" s="41">
        <f>IF(AND(Q2582&lt;&gt;"",RIGHT(Q2582,3)&lt;&gt;""),IF(COUNTIF($Q$6:Q2582,Q2582)=1,1,0),0)</f>
        <v>0</v>
      </c>
      <c r="W2582" s="41" t="str">
        <f t="shared" si="224"/>
        <v/>
      </c>
      <c r="X2582" s="41" t="str">
        <f t="shared" si="225"/>
        <v/>
      </c>
    </row>
    <row r="2583" s="32" customFormat="1" hidden="1" customHeight="1" spans="1:24">
      <c r="A2583" s="34"/>
      <c r="B2583" s="51"/>
      <c r="C2583" s="51"/>
      <c r="D2583" s="52"/>
      <c r="E2583" s="53"/>
      <c r="F2583" s="54"/>
      <c r="G2583" s="54"/>
      <c r="H2583" s="54"/>
      <c r="I2583" s="66"/>
      <c r="J2583" s="54"/>
      <c r="K2583" s="54"/>
      <c r="L2583" s="54"/>
      <c r="M2583" s="97" t="str">
        <f t="shared" si="222"/>
        <v/>
      </c>
      <c r="N2583" s="70"/>
      <c r="O2583" s="71" t="str">
        <f t="shared" si="226"/>
        <v/>
      </c>
      <c r="P2583" s="66"/>
      <c r="Q2583" s="66"/>
      <c r="R2583" s="54"/>
      <c r="S2583" s="82"/>
      <c r="T2583" s="83" t="str">
        <f t="shared" si="223"/>
        <v/>
      </c>
      <c r="U2583" s="10"/>
      <c r="V2583" s="41">
        <f>IF(AND(Q2583&lt;&gt;"",RIGHT(Q2583,3)&lt;&gt;""),IF(COUNTIF($Q$6:Q2583,Q2583)=1,1,0),0)</f>
        <v>0</v>
      </c>
      <c r="W2583" s="41" t="str">
        <f t="shared" si="224"/>
        <v/>
      </c>
      <c r="X2583" s="41" t="str">
        <f t="shared" si="225"/>
        <v/>
      </c>
    </row>
    <row r="2584" s="32" customFormat="1" hidden="1" customHeight="1" spans="1:24">
      <c r="A2584" s="34"/>
      <c r="B2584" s="51"/>
      <c r="C2584" s="51"/>
      <c r="D2584" s="52"/>
      <c r="E2584" s="53"/>
      <c r="F2584" s="54"/>
      <c r="G2584" s="54"/>
      <c r="H2584" s="54"/>
      <c r="I2584" s="66"/>
      <c r="J2584" s="54"/>
      <c r="K2584" s="54"/>
      <c r="L2584" s="54"/>
      <c r="M2584" s="97" t="str">
        <f t="shared" si="222"/>
        <v/>
      </c>
      <c r="N2584" s="70"/>
      <c r="O2584" s="71" t="str">
        <f t="shared" si="226"/>
        <v/>
      </c>
      <c r="P2584" s="66"/>
      <c r="Q2584" s="66"/>
      <c r="R2584" s="54"/>
      <c r="S2584" s="82"/>
      <c r="T2584" s="83" t="str">
        <f t="shared" si="223"/>
        <v/>
      </c>
      <c r="U2584" s="10"/>
      <c r="V2584" s="41">
        <f>IF(AND(Q2584&lt;&gt;"",RIGHT(Q2584,3)&lt;&gt;""),IF(COUNTIF($Q$6:Q2584,Q2584)=1,1,0),0)</f>
        <v>0</v>
      </c>
      <c r="W2584" s="41" t="str">
        <f t="shared" si="224"/>
        <v/>
      </c>
      <c r="X2584" s="41" t="str">
        <f t="shared" si="225"/>
        <v/>
      </c>
    </row>
    <row r="2585" s="32" customFormat="1" hidden="1" customHeight="1" spans="1:24">
      <c r="A2585" s="34"/>
      <c r="B2585" s="51"/>
      <c r="C2585" s="51"/>
      <c r="D2585" s="52"/>
      <c r="E2585" s="53"/>
      <c r="F2585" s="54"/>
      <c r="G2585" s="54"/>
      <c r="H2585" s="54"/>
      <c r="I2585" s="66"/>
      <c r="J2585" s="54"/>
      <c r="K2585" s="54"/>
      <c r="L2585" s="54"/>
      <c r="M2585" s="97" t="str">
        <f t="shared" si="222"/>
        <v/>
      </c>
      <c r="N2585" s="70"/>
      <c r="O2585" s="71" t="str">
        <f t="shared" si="226"/>
        <v/>
      </c>
      <c r="P2585" s="66"/>
      <c r="Q2585" s="66"/>
      <c r="R2585" s="54"/>
      <c r="S2585" s="82"/>
      <c r="T2585" s="83" t="str">
        <f t="shared" si="223"/>
        <v/>
      </c>
      <c r="U2585" s="10"/>
      <c r="V2585" s="41">
        <f>IF(AND(Q2585&lt;&gt;"",RIGHT(Q2585,3)&lt;&gt;""),IF(COUNTIF($Q$6:Q2585,Q2585)=1,1,0),0)</f>
        <v>0</v>
      </c>
      <c r="W2585" s="41" t="str">
        <f t="shared" si="224"/>
        <v/>
      </c>
      <c r="X2585" s="41" t="str">
        <f t="shared" si="225"/>
        <v/>
      </c>
    </row>
    <row r="2586" s="32" customFormat="1" hidden="1" customHeight="1" spans="1:24">
      <c r="A2586" s="34"/>
      <c r="B2586" s="51"/>
      <c r="C2586" s="51"/>
      <c r="D2586" s="52"/>
      <c r="E2586" s="53"/>
      <c r="F2586" s="54"/>
      <c r="G2586" s="54"/>
      <c r="H2586" s="54"/>
      <c r="I2586" s="66"/>
      <c r="J2586" s="54"/>
      <c r="K2586" s="54"/>
      <c r="L2586" s="54"/>
      <c r="M2586" s="97" t="str">
        <f t="shared" si="222"/>
        <v/>
      </c>
      <c r="N2586" s="70"/>
      <c r="O2586" s="71" t="str">
        <f t="shared" si="226"/>
        <v/>
      </c>
      <c r="P2586" s="66"/>
      <c r="Q2586" s="66"/>
      <c r="R2586" s="54"/>
      <c r="S2586" s="82"/>
      <c r="T2586" s="83" t="str">
        <f t="shared" si="223"/>
        <v/>
      </c>
      <c r="U2586" s="10"/>
      <c r="V2586" s="41">
        <f>IF(AND(Q2586&lt;&gt;"",RIGHT(Q2586,3)&lt;&gt;""),IF(COUNTIF($Q$6:Q2586,Q2586)=1,1,0),0)</f>
        <v>0</v>
      </c>
      <c r="W2586" s="41" t="str">
        <f t="shared" si="224"/>
        <v/>
      </c>
      <c r="X2586" s="41" t="str">
        <f t="shared" si="225"/>
        <v/>
      </c>
    </row>
    <row r="2587" s="32" customFormat="1" hidden="1" customHeight="1" spans="1:24">
      <c r="A2587" s="34"/>
      <c r="B2587" s="51"/>
      <c r="C2587" s="51"/>
      <c r="D2587" s="52"/>
      <c r="E2587" s="53"/>
      <c r="F2587" s="54"/>
      <c r="G2587" s="54"/>
      <c r="H2587" s="54"/>
      <c r="I2587" s="66"/>
      <c r="J2587" s="54"/>
      <c r="K2587" s="54"/>
      <c r="L2587" s="54"/>
      <c r="M2587" s="97" t="str">
        <f t="shared" si="222"/>
        <v/>
      </c>
      <c r="N2587" s="70"/>
      <c r="O2587" s="71" t="str">
        <f t="shared" si="226"/>
        <v/>
      </c>
      <c r="P2587" s="66"/>
      <c r="Q2587" s="66"/>
      <c r="R2587" s="54"/>
      <c r="S2587" s="82"/>
      <c r="T2587" s="83" t="str">
        <f t="shared" si="223"/>
        <v/>
      </c>
      <c r="U2587" s="10"/>
      <c r="V2587" s="41">
        <f>IF(AND(Q2587&lt;&gt;"",RIGHT(Q2587,3)&lt;&gt;""),IF(COUNTIF($Q$6:Q2587,Q2587)=1,1,0),0)</f>
        <v>0</v>
      </c>
      <c r="W2587" s="41" t="str">
        <f t="shared" si="224"/>
        <v/>
      </c>
      <c r="X2587" s="41" t="str">
        <f t="shared" si="225"/>
        <v/>
      </c>
    </row>
    <row r="2588" s="32" customFormat="1" hidden="1" customHeight="1" spans="1:24">
      <c r="A2588" s="34"/>
      <c r="B2588" s="51"/>
      <c r="C2588" s="51"/>
      <c r="D2588" s="52"/>
      <c r="E2588" s="53"/>
      <c r="F2588" s="54"/>
      <c r="G2588" s="54"/>
      <c r="H2588" s="54"/>
      <c r="I2588" s="66"/>
      <c r="J2588" s="54"/>
      <c r="K2588" s="54"/>
      <c r="L2588" s="54"/>
      <c r="M2588" s="97" t="str">
        <f t="shared" si="222"/>
        <v/>
      </c>
      <c r="N2588" s="70"/>
      <c r="O2588" s="71" t="str">
        <f t="shared" si="226"/>
        <v/>
      </c>
      <c r="P2588" s="66"/>
      <c r="Q2588" s="66"/>
      <c r="R2588" s="54"/>
      <c r="S2588" s="82"/>
      <c r="T2588" s="83" t="str">
        <f t="shared" si="223"/>
        <v/>
      </c>
      <c r="U2588" s="10"/>
      <c r="V2588" s="41">
        <f>IF(AND(Q2588&lt;&gt;"",RIGHT(Q2588,3)&lt;&gt;""),IF(COUNTIF($Q$6:Q2588,Q2588)=1,1,0),0)</f>
        <v>0</v>
      </c>
      <c r="W2588" s="41" t="str">
        <f t="shared" si="224"/>
        <v/>
      </c>
      <c r="X2588" s="41" t="str">
        <f t="shared" si="225"/>
        <v/>
      </c>
    </row>
    <row r="2589" s="32" customFormat="1" hidden="1" customHeight="1" spans="1:24">
      <c r="A2589" s="34"/>
      <c r="B2589" s="51"/>
      <c r="C2589" s="51"/>
      <c r="D2589" s="52"/>
      <c r="E2589" s="53"/>
      <c r="F2589" s="54"/>
      <c r="G2589" s="54"/>
      <c r="H2589" s="54"/>
      <c r="I2589" s="66"/>
      <c r="J2589" s="54"/>
      <c r="K2589" s="54"/>
      <c r="L2589" s="54"/>
      <c r="M2589" s="97" t="str">
        <f t="shared" si="222"/>
        <v/>
      </c>
      <c r="N2589" s="70"/>
      <c r="O2589" s="71" t="str">
        <f t="shared" si="226"/>
        <v/>
      </c>
      <c r="P2589" s="66"/>
      <c r="Q2589" s="66"/>
      <c r="R2589" s="54"/>
      <c r="S2589" s="82"/>
      <c r="T2589" s="83" t="str">
        <f t="shared" si="223"/>
        <v/>
      </c>
      <c r="U2589" s="10"/>
      <c r="V2589" s="41">
        <f>IF(AND(Q2589&lt;&gt;"",RIGHT(Q2589,3)&lt;&gt;""),IF(COUNTIF($Q$6:Q2589,Q2589)=1,1,0),0)</f>
        <v>0</v>
      </c>
      <c r="W2589" s="41" t="str">
        <f t="shared" si="224"/>
        <v/>
      </c>
      <c r="X2589" s="41" t="str">
        <f t="shared" si="225"/>
        <v/>
      </c>
    </row>
    <row r="2590" s="32" customFormat="1" hidden="1" customHeight="1" spans="1:24">
      <c r="A2590" s="34"/>
      <c r="B2590" s="51"/>
      <c r="C2590" s="51"/>
      <c r="D2590" s="52"/>
      <c r="E2590" s="53"/>
      <c r="F2590" s="54"/>
      <c r="G2590" s="54"/>
      <c r="H2590" s="54"/>
      <c r="I2590" s="66"/>
      <c r="J2590" s="54"/>
      <c r="K2590" s="54"/>
      <c r="L2590" s="54"/>
      <c r="M2590" s="97" t="str">
        <f t="shared" si="222"/>
        <v/>
      </c>
      <c r="N2590" s="70"/>
      <c r="O2590" s="71" t="str">
        <f t="shared" si="226"/>
        <v/>
      </c>
      <c r="P2590" s="66"/>
      <c r="Q2590" s="66"/>
      <c r="R2590" s="54"/>
      <c r="S2590" s="82"/>
      <c r="T2590" s="83" t="str">
        <f t="shared" si="223"/>
        <v/>
      </c>
      <c r="U2590" s="10"/>
      <c r="V2590" s="41">
        <f>IF(AND(Q2590&lt;&gt;"",RIGHT(Q2590,3)&lt;&gt;""),IF(COUNTIF($Q$6:Q2590,Q2590)=1,1,0),0)</f>
        <v>0</v>
      </c>
      <c r="W2590" s="41" t="str">
        <f t="shared" si="224"/>
        <v/>
      </c>
      <c r="X2590" s="41" t="str">
        <f t="shared" si="225"/>
        <v/>
      </c>
    </row>
    <row r="2591" s="32" customFormat="1" hidden="1" customHeight="1" spans="1:24">
      <c r="A2591" s="34"/>
      <c r="B2591" s="51"/>
      <c r="C2591" s="51"/>
      <c r="D2591" s="52"/>
      <c r="E2591" s="53"/>
      <c r="F2591" s="54"/>
      <c r="G2591" s="54"/>
      <c r="H2591" s="54"/>
      <c r="I2591" s="66"/>
      <c r="J2591" s="54"/>
      <c r="K2591" s="54"/>
      <c r="L2591" s="54"/>
      <c r="M2591" s="97" t="str">
        <f t="shared" si="222"/>
        <v/>
      </c>
      <c r="N2591" s="70"/>
      <c r="O2591" s="71" t="str">
        <f t="shared" si="226"/>
        <v/>
      </c>
      <c r="P2591" s="66"/>
      <c r="Q2591" s="66"/>
      <c r="R2591" s="54"/>
      <c r="S2591" s="82"/>
      <c r="T2591" s="83" t="str">
        <f t="shared" si="223"/>
        <v/>
      </c>
      <c r="U2591" s="10"/>
      <c r="V2591" s="41">
        <f>IF(AND(Q2591&lt;&gt;"",RIGHT(Q2591,3)&lt;&gt;""),IF(COUNTIF($Q$6:Q2591,Q2591)=1,1,0),0)</f>
        <v>0</v>
      </c>
      <c r="W2591" s="41" t="str">
        <f t="shared" si="224"/>
        <v/>
      </c>
      <c r="X2591" s="41" t="str">
        <f t="shared" si="225"/>
        <v/>
      </c>
    </row>
    <row r="2592" s="32" customFormat="1" hidden="1" customHeight="1" spans="1:24">
      <c r="A2592" s="34"/>
      <c r="B2592" s="51"/>
      <c r="C2592" s="51"/>
      <c r="D2592" s="52"/>
      <c r="E2592" s="53"/>
      <c r="F2592" s="54"/>
      <c r="G2592" s="54"/>
      <c r="H2592" s="54"/>
      <c r="I2592" s="66"/>
      <c r="J2592" s="54"/>
      <c r="K2592" s="54"/>
      <c r="L2592" s="54"/>
      <c r="M2592" s="97" t="str">
        <f t="shared" si="222"/>
        <v/>
      </c>
      <c r="N2592" s="70"/>
      <c r="O2592" s="71" t="str">
        <f t="shared" si="226"/>
        <v/>
      </c>
      <c r="P2592" s="66"/>
      <c r="Q2592" s="66"/>
      <c r="R2592" s="54"/>
      <c r="S2592" s="82"/>
      <c r="T2592" s="83" t="str">
        <f t="shared" si="223"/>
        <v/>
      </c>
      <c r="U2592" s="10"/>
      <c r="V2592" s="41">
        <f>IF(AND(Q2592&lt;&gt;"",RIGHT(Q2592,3)&lt;&gt;""),IF(COUNTIF($Q$6:Q2592,Q2592)=1,1,0),0)</f>
        <v>0</v>
      </c>
      <c r="W2592" s="41" t="str">
        <f t="shared" si="224"/>
        <v/>
      </c>
      <c r="X2592" s="41" t="str">
        <f t="shared" si="225"/>
        <v/>
      </c>
    </row>
    <row r="2593" s="32" customFormat="1" hidden="1" customHeight="1" spans="1:24">
      <c r="A2593" s="34"/>
      <c r="B2593" s="51"/>
      <c r="C2593" s="51"/>
      <c r="D2593" s="52"/>
      <c r="E2593" s="53"/>
      <c r="F2593" s="54"/>
      <c r="G2593" s="54"/>
      <c r="H2593" s="54"/>
      <c r="I2593" s="66"/>
      <c r="J2593" s="54"/>
      <c r="K2593" s="54"/>
      <c r="L2593" s="54"/>
      <c r="M2593" s="97" t="str">
        <f t="shared" si="222"/>
        <v/>
      </c>
      <c r="N2593" s="70"/>
      <c r="O2593" s="71" t="str">
        <f t="shared" si="226"/>
        <v/>
      </c>
      <c r="P2593" s="66"/>
      <c r="Q2593" s="66"/>
      <c r="R2593" s="54"/>
      <c r="S2593" s="82"/>
      <c r="T2593" s="83" t="str">
        <f t="shared" si="223"/>
        <v/>
      </c>
      <c r="U2593" s="10"/>
      <c r="V2593" s="41">
        <f>IF(AND(Q2593&lt;&gt;"",RIGHT(Q2593,3)&lt;&gt;""),IF(COUNTIF($Q$6:Q2593,Q2593)=1,1,0),0)</f>
        <v>0</v>
      </c>
      <c r="W2593" s="41" t="str">
        <f t="shared" si="224"/>
        <v/>
      </c>
      <c r="X2593" s="41" t="str">
        <f t="shared" si="225"/>
        <v/>
      </c>
    </row>
    <row r="2594" s="32" customFormat="1" hidden="1" customHeight="1" spans="1:24">
      <c r="A2594" s="34"/>
      <c r="B2594" s="51"/>
      <c r="C2594" s="51"/>
      <c r="D2594" s="52"/>
      <c r="E2594" s="53"/>
      <c r="F2594" s="54"/>
      <c r="G2594" s="54"/>
      <c r="H2594" s="54"/>
      <c r="I2594" s="66"/>
      <c r="J2594" s="54"/>
      <c r="K2594" s="54"/>
      <c r="L2594" s="54"/>
      <c r="M2594" s="97" t="str">
        <f t="shared" si="222"/>
        <v/>
      </c>
      <c r="N2594" s="70"/>
      <c r="O2594" s="71" t="str">
        <f t="shared" si="226"/>
        <v/>
      </c>
      <c r="P2594" s="66"/>
      <c r="Q2594" s="66"/>
      <c r="R2594" s="54"/>
      <c r="S2594" s="82"/>
      <c r="T2594" s="83" t="str">
        <f t="shared" si="223"/>
        <v/>
      </c>
      <c r="U2594" s="10"/>
      <c r="V2594" s="41">
        <f>IF(AND(Q2594&lt;&gt;"",RIGHT(Q2594,3)&lt;&gt;""),IF(COUNTIF($Q$6:Q2594,Q2594)=1,1,0),0)</f>
        <v>0</v>
      </c>
      <c r="W2594" s="41" t="str">
        <f t="shared" si="224"/>
        <v/>
      </c>
      <c r="X2594" s="41" t="str">
        <f t="shared" si="225"/>
        <v/>
      </c>
    </row>
    <row r="2595" s="32" customFormat="1" hidden="1" customHeight="1" spans="1:24">
      <c r="A2595" s="34"/>
      <c r="B2595" s="51"/>
      <c r="C2595" s="51"/>
      <c r="D2595" s="52"/>
      <c r="E2595" s="53"/>
      <c r="F2595" s="54"/>
      <c r="G2595" s="54"/>
      <c r="H2595" s="54"/>
      <c r="I2595" s="66"/>
      <c r="J2595" s="54"/>
      <c r="K2595" s="54"/>
      <c r="L2595" s="54"/>
      <c r="M2595" s="97" t="str">
        <f t="shared" si="222"/>
        <v/>
      </c>
      <c r="N2595" s="70"/>
      <c r="O2595" s="71" t="str">
        <f t="shared" si="226"/>
        <v/>
      </c>
      <c r="P2595" s="66"/>
      <c r="Q2595" s="66"/>
      <c r="R2595" s="54"/>
      <c r="S2595" s="82"/>
      <c r="T2595" s="83" t="str">
        <f t="shared" si="223"/>
        <v/>
      </c>
      <c r="U2595" s="10"/>
      <c r="V2595" s="41">
        <f>IF(AND(Q2595&lt;&gt;"",RIGHT(Q2595,3)&lt;&gt;""),IF(COUNTIF($Q$6:Q2595,Q2595)=1,1,0),0)</f>
        <v>0</v>
      </c>
      <c r="W2595" s="41" t="str">
        <f t="shared" si="224"/>
        <v/>
      </c>
      <c r="X2595" s="41" t="str">
        <f t="shared" si="225"/>
        <v/>
      </c>
    </row>
    <row r="2596" s="32" customFormat="1" hidden="1" customHeight="1" spans="1:24">
      <c r="A2596" s="34"/>
      <c r="B2596" s="51"/>
      <c r="C2596" s="51"/>
      <c r="D2596" s="52"/>
      <c r="E2596" s="53"/>
      <c r="F2596" s="54"/>
      <c r="G2596" s="54"/>
      <c r="H2596" s="54"/>
      <c r="I2596" s="66"/>
      <c r="J2596" s="54"/>
      <c r="K2596" s="54"/>
      <c r="L2596" s="54"/>
      <c r="M2596" s="97" t="str">
        <f t="shared" ref="M2596:M2659" si="227">IF(L2596="","",HYPERLINK(_xlfn.CONCAT($L$4,L2596,".jpg"),"Open File"))</f>
        <v/>
      </c>
      <c r="N2596" s="70"/>
      <c r="O2596" s="71" t="str">
        <f t="shared" si="226"/>
        <v/>
      </c>
      <c r="P2596" s="66"/>
      <c r="Q2596" s="66"/>
      <c r="R2596" s="54"/>
      <c r="S2596" s="82"/>
      <c r="T2596" s="83" t="str">
        <f t="shared" ref="T2596:T2659" si="228">IF(S2596="","",HYPERLINK(_xlfn.CONCAT($S$4,S2596,".jpg"),"Open File"))</f>
        <v/>
      </c>
      <c r="U2596" s="10"/>
      <c r="V2596" s="41">
        <f>IF(AND(Q2596&lt;&gt;"",RIGHT(Q2596,3)&lt;&gt;""),IF(COUNTIF($Q$6:Q2596,Q2596)=1,1,0),0)</f>
        <v>0</v>
      </c>
      <c r="W2596" s="41" t="str">
        <f t="shared" ref="W2596:W2659" si="229">IF(AND(J2596&lt;&gt;"",K2596&lt;&gt;""),_xlfn.CONCAT(SUBSTITUTE(J2596,"/","."),"-",K2596),"")</f>
        <v/>
      </c>
      <c r="X2596" s="41" t="str">
        <f t="shared" ref="X2596:X2659" si="230">IF(AND(Q2596&lt;&gt;"",R2596&lt;&gt;""),_xlfn.CONCAT(SUBSTITUTE(Q2596,"/","."),"-",R2596),"")</f>
        <v/>
      </c>
    </row>
    <row r="2597" s="32" customFormat="1" hidden="1" customHeight="1" spans="1:24">
      <c r="A2597" s="34"/>
      <c r="B2597" s="51"/>
      <c r="C2597" s="51"/>
      <c r="D2597" s="52"/>
      <c r="E2597" s="53"/>
      <c r="F2597" s="54"/>
      <c r="G2597" s="54"/>
      <c r="H2597" s="54"/>
      <c r="I2597" s="66"/>
      <c r="J2597" s="54"/>
      <c r="K2597" s="54"/>
      <c r="L2597" s="54"/>
      <c r="M2597" s="97" t="str">
        <f t="shared" si="227"/>
        <v/>
      </c>
      <c r="N2597" s="70"/>
      <c r="O2597" s="71" t="str">
        <f t="shared" si="226"/>
        <v/>
      </c>
      <c r="P2597" s="66"/>
      <c r="Q2597" s="66"/>
      <c r="R2597" s="54"/>
      <c r="S2597" s="82"/>
      <c r="T2597" s="83" t="str">
        <f t="shared" si="228"/>
        <v/>
      </c>
      <c r="U2597" s="10"/>
      <c r="V2597" s="41">
        <f>IF(AND(Q2597&lt;&gt;"",RIGHT(Q2597,3)&lt;&gt;""),IF(COUNTIF($Q$6:Q2597,Q2597)=1,1,0),0)</f>
        <v>0</v>
      </c>
      <c r="W2597" s="41" t="str">
        <f t="shared" si="229"/>
        <v/>
      </c>
      <c r="X2597" s="41" t="str">
        <f t="shared" si="230"/>
        <v/>
      </c>
    </row>
    <row r="2598" s="32" customFormat="1" hidden="1" customHeight="1" spans="1:24">
      <c r="A2598" s="34"/>
      <c r="B2598" s="51"/>
      <c r="C2598" s="51"/>
      <c r="D2598" s="52"/>
      <c r="E2598" s="53"/>
      <c r="F2598" s="54"/>
      <c r="G2598" s="54"/>
      <c r="H2598" s="54"/>
      <c r="I2598" s="66"/>
      <c r="J2598" s="54"/>
      <c r="K2598" s="54"/>
      <c r="L2598" s="54"/>
      <c r="M2598" s="97" t="str">
        <f t="shared" si="227"/>
        <v/>
      </c>
      <c r="N2598" s="70"/>
      <c r="O2598" s="71" t="str">
        <f t="shared" si="226"/>
        <v/>
      </c>
      <c r="P2598" s="66"/>
      <c r="Q2598" s="66"/>
      <c r="R2598" s="54"/>
      <c r="S2598" s="82"/>
      <c r="T2598" s="83" t="str">
        <f t="shared" si="228"/>
        <v/>
      </c>
      <c r="U2598" s="10"/>
      <c r="V2598" s="41">
        <f>IF(AND(Q2598&lt;&gt;"",RIGHT(Q2598,3)&lt;&gt;""),IF(COUNTIF($Q$6:Q2598,Q2598)=1,1,0),0)</f>
        <v>0</v>
      </c>
      <c r="W2598" s="41" t="str">
        <f t="shared" si="229"/>
        <v/>
      </c>
      <c r="X2598" s="41" t="str">
        <f t="shared" si="230"/>
        <v/>
      </c>
    </row>
    <row r="2599" s="32" customFormat="1" hidden="1" customHeight="1" spans="1:24">
      <c r="A2599" s="34"/>
      <c r="B2599" s="51"/>
      <c r="C2599" s="51"/>
      <c r="D2599" s="52"/>
      <c r="E2599" s="53"/>
      <c r="F2599" s="54"/>
      <c r="G2599" s="54"/>
      <c r="H2599" s="54"/>
      <c r="I2599" s="66"/>
      <c r="J2599" s="54"/>
      <c r="K2599" s="54"/>
      <c r="L2599" s="54"/>
      <c r="M2599" s="97" t="str">
        <f t="shared" si="227"/>
        <v/>
      </c>
      <c r="N2599" s="70"/>
      <c r="O2599" s="71" t="str">
        <f t="shared" si="226"/>
        <v/>
      </c>
      <c r="P2599" s="66"/>
      <c r="Q2599" s="66"/>
      <c r="R2599" s="54"/>
      <c r="S2599" s="82"/>
      <c r="T2599" s="83" t="str">
        <f t="shared" si="228"/>
        <v/>
      </c>
      <c r="U2599" s="10"/>
      <c r="V2599" s="41">
        <f>IF(AND(Q2599&lt;&gt;"",RIGHT(Q2599,3)&lt;&gt;""),IF(COUNTIF($Q$6:Q2599,Q2599)=1,1,0),0)</f>
        <v>0</v>
      </c>
      <c r="W2599" s="41" t="str">
        <f t="shared" si="229"/>
        <v/>
      </c>
      <c r="X2599" s="41" t="str">
        <f t="shared" si="230"/>
        <v/>
      </c>
    </row>
    <row r="2600" s="32" customFormat="1" hidden="1" customHeight="1" spans="1:24">
      <c r="A2600" s="34"/>
      <c r="B2600" s="51"/>
      <c r="C2600" s="51"/>
      <c r="D2600" s="52"/>
      <c r="E2600" s="53"/>
      <c r="F2600" s="54"/>
      <c r="G2600" s="54"/>
      <c r="H2600" s="54"/>
      <c r="I2600" s="66"/>
      <c r="J2600" s="54"/>
      <c r="K2600" s="54"/>
      <c r="L2600" s="54"/>
      <c r="M2600" s="97" t="str">
        <f t="shared" si="227"/>
        <v/>
      </c>
      <c r="N2600" s="70"/>
      <c r="O2600" s="71" t="str">
        <f t="shared" si="226"/>
        <v/>
      </c>
      <c r="P2600" s="66"/>
      <c r="Q2600" s="66"/>
      <c r="R2600" s="54"/>
      <c r="S2600" s="82"/>
      <c r="T2600" s="83" t="str">
        <f t="shared" si="228"/>
        <v/>
      </c>
      <c r="U2600" s="10"/>
      <c r="V2600" s="41">
        <f>IF(AND(Q2600&lt;&gt;"",RIGHT(Q2600,3)&lt;&gt;""),IF(COUNTIF($Q$6:Q2600,Q2600)=1,1,0),0)</f>
        <v>0</v>
      </c>
      <c r="W2600" s="41" t="str">
        <f t="shared" si="229"/>
        <v/>
      </c>
      <c r="X2600" s="41" t="str">
        <f t="shared" si="230"/>
        <v/>
      </c>
    </row>
    <row r="2601" s="32" customFormat="1" hidden="1" customHeight="1" spans="1:24">
      <c r="A2601" s="34"/>
      <c r="B2601" s="51"/>
      <c r="C2601" s="51"/>
      <c r="D2601" s="52"/>
      <c r="E2601" s="53"/>
      <c r="F2601" s="54"/>
      <c r="G2601" s="54"/>
      <c r="H2601" s="54"/>
      <c r="I2601" s="66"/>
      <c r="J2601" s="54"/>
      <c r="K2601" s="54"/>
      <c r="L2601" s="54"/>
      <c r="M2601" s="97" t="str">
        <f t="shared" si="227"/>
        <v/>
      </c>
      <c r="N2601" s="70"/>
      <c r="O2601" s="71" t="str">
        <f t="shared" si="226"/>
        <v/>
      </c>
      <c r="P2601" s="66"/>
      <c r="Q2601" s="66"/>
      <c r="R2601" s="54"/>
      <c r="S2601" s="82"/>
      <c r="T2601" s="83" t="str">
        <f t="shared" si="228"/>
        <v/>
      </c>
      <c r="U2601" s="10"/>
      <c r="V2601" s="41">
        <f>IF(AND(Q2601&lt;&gt;"",RIGHT(Q2601,3)&lt;&gt;""),IF(COUNTIF($Q$6:Q2601,Q2601)=1,1,0),0)</f>
        <v>0</v>
      </c>
      <c r="W2601" s="41" t="str">
        <f t="shared" si="229"/>
        <v/>
      </c>
      <c r="X2601" s="41" t="str">
        <f t="shared" si="230"/>
        <v/>
      </c>
    </row>
    <row r="2602" s="32" customFormat="1" hidden="1" customHeight="1" spans="1:24">
      <c r="A2602" s="34"/>
      <c r="B2602" s="51"/>
      <c r="C2602" s="51"/>
      <c r="D2602" s="52"/>
      <c r="E2602" s="53"/>
      <c r="F2602" s="54"/>
      <c r="G2602" s="54"/>
      <c r="H2602" s="54"/>
      <c r="I2602" s="66"/>
      <c r="J2602" s="54"/>
      <c r="K2602" s="54"/>
      <c r="L2602" s="54"/>
      <c r="M2602" s="97" t="str">
        <f t="shared" si="227"/>
        <v/>
      </c>
      <c r="N2602" s="70"/>
      <c r="O2602" s="71" t="str">
        <f t="shared" si="226"/>
        <v/>
      </c>
      <c r="P2602" s="66"/>
      <c r="Q2602" s="66"/>
      <c r="R2602" s="54"/>
      <c r="S2602" s="82"/>
      <c r="T2602" s="83" t="str">
        <f t="shared" si="228"/>
        <v/>
      </c>
      <c r="U2602" s="10"/>
      <c r="V2602" s="41">
        <f>IF(AND(Q2602&lt;&gt;"",RIGHT(Q2602,3)&lt;&gt;""),IF(COUNTIF($Q$6:Q2602,Q2602)=1,1,0),0)</f>
        <v>0</v>
      </c>
      <c r="W2602" s="41" t="str">
        <f t="shared" si="229"/>
        <v/>
      </c>
      <c r="X2602" s="41" t="str">
        <f t="shared" si="230"/>
        <v/>
      </c>
    </row>
    <row r="2603" s="32" customFormat="1" hidden="1" customHeight="1" spans="1:24">
      <c r="A2603" s="34"/>
      <c r="B2603" s="51"/>
      <c r="C2603" s="51"/>
      <c r="D2603" s="52"/>
      <c r="E2603" s="53"/>
      <c r="F2603" s="54"/>
      <c r="G2603" s="54"/>
      <c r="H2603" s="54"/>
      <c r="I2603" s="66"/>
      <c r="J2603" s="54"/>
      <c r="K2603" s="54"/>
      <c r="L2603" s="54"/>
      <c r="M2603" s="97" t="str">
        <f t="shared" si="227"/>
        <v/>
      </c>
      <c r="N2603" s="70"/>
      <c r="O2603" s="71" t="str">
        <f t="shared" si="226"/>
        <v/>
      </c>
      <c r="P2603" s="66"/>
      <c r="Q2603" s="66"/>
      <c r="R2603" s="54"/>
      <c r="S2603" s="82"/>
      <c r="T2603" s="83" t="str">
        <f t="shared" si="228"/>
        <v/>
      </c>
      <c r="U2603" s="10"/>
      <c r="V2603" s="41">
        <f>IF(AND(Q2603&lt;&gt;"",RIGHT(Q2603,3)&lt;&gt;""),IF(COUNTIF($Q$6:Q2603,Q2603)=1,1,0),0)</f>
        <v>0</v>
      </c>
      <c r="W2603" s="41" t="str">
        <f t="shared" si="229"/>
        <v/>
      </c>
      <c r="X2603" s="41" t="str">
        <f t="shared" si="230"/>
        <v/>
      </c>
    </row>
    <row r="2604" s="32" customFormat="1" hidden="1" customHeight="1" spans="1:24">
      <c r="A2604" s="34"/>
      <c r="B2604" s="51"/>
      <c r="C2604" s="51"/>
      <c r="D2604" s="52"/>
      <c r="E2604" s="53"/>
      <c r="F2604" s="54"/>
      <c r="G2604" s="54"/>
      <c r="H2604" s="54"/>
      <c r="I2604" s="66"/>
      <c r="J2604" s="54"/>
      <c r="K2604" s="54"/>
      <c r="L2604" s="54"/>
      <c r="M2604" s="97" t="str">
        <f t="shared" si="227"/>
        <v/>
      </c>
      <c r="N2604" s="70"/>
      <c r="O2604" s="71" t="str">
        <f t="shared" si="226"/>
        <v/>
      </c>
      <c r="P2604" s="66"/>
      <c r="Q2604" s="66"/>
      <c r="R2604" s="54"/>
      <c r="S2604" s="82"/>
      <c r="T2604" s="83" t="str">
        <f t="shared" si="228"/>
        <v/>
      </c>
      <c r="U2604" s="10"/>
      <c r="V2604" s="41">
        <f>IF(AND(Q2604&lt;&gt;"",RIGHT(Q2604,3)&lt;&gt;""),IF(COUNTIF($Q$6:Q2604,Q2604)=1,1,0),0)</f>
        <v>0</v>
      </c>
      <c r="W2604" s="41" t="str">
        <f t="shared" si="229"/>
        <v/>
      </c>
      <c r="X2604" s="41" t="str">
        <f t="shared" si="230"/>
        <v/>
      </c>
    </row>
    <row r="2605" s="32" customFormat="1" hidden="1" customHeight="1" spans="1:24">
      <c r="A2605" s="34"/>
      <c r="B2605" s="51"/>
      <c r="C2605" s="51"/>
      <c r="D2605" s="52"/>
      <c r="E2605" s="53"/>
      <c r="F2605" s="54"/>
      <c r="G2605" s="54"/>
      <c r="H2605" s="54"/>
      <c r="I2605" s="66"/>
      <c r="J2605" s="54"/>
      <c r="K2605" s="54"/>
      <c r="L2605" s="54"/>
      <c r="M2605" s="97" t="str">
        <f t="shared" si="227"/>
        <v/>
      </c>
      <c r="N2605" s="70"/>
      <c r="O2605" s="71" t="str">
        <f t="shared" si="226"/>
        <v/>
      </c>
      <c r="P2605" s="66"/>
      <c r="Q2605" s="66"/>
      <c r="R2605" s="54"/>
      <c r="S2605" s="82"/>
      <c r="T2605" s="83" t="str">
        <f t="shared" si="228"/>
        <v/>
      </c>
      <c r="U2605" s="10"/>
      <c r="V2605" s="41">
        <f>IF(AND(Q2605&lt;&gt;"",RIGHT(Q2605,3)&lt;&gt;""),IF(COUNTIF($Q$6:Q2605,Q2605)=1,1,0),0)</f>
        <v>0</v>
      </c>
      <c r="W2605" s="41" t="str">
        <f t="shared" si="229"/>
        <v/>
      </c>
      <c r="X2605" s="41" t="str">
        <f t="shared" si="230"/>
        <v/>
      </c>
    </row>
    <row r="2606" s="32" customFormat="1" hidden="1" customHeight="1" spans="1:24">
      <c r="A2606" s="34"/>
      <c r="B2606" s="51"/>
      <c r="C2606" s="51"/>
      <c r="D2606" s="52"/>
      <c r="E2606" s="53"/>
      <c r="F2606" s="54"/>
      <c r="G2606" s="54"/>
      <c r="H2606" s="54"/>
      <c r="I2606" s="66"/>
      <c r="J2606" s="54"/>
      <c r="K2606" s="54"/>
      <c r="L2606" s="54"/>
      <c r="M2606" s="97" t="str">
        <f t="shared" si="227"/>
        <v/>
      </c>
      <c r="N2606" s="70"/>
      <c r="O2606" s="71" t="str">
        <f t="shared" si="226"/>
        <v/>
      </c>
      <c r="P2606" s="66"/>
      <c r="Q2606" s="66"/>
      <c r="R2606" s="54"/>
      <c r="S2606" s="82"/>
      <c r="T2606" s="83" t="str">
        <f t="shared" si="228"/>
        <v/>
      </c>
      <c r="U2606" s="10"/>
      <c r="V2606" s="41">
        <f>IF(AND(Q2606&lt;&gt;"",RIGHT(Q2606,3)&lt;&gt;""),IF(COUNTIF($Q$6:Q2606,Q2606)=1,1,0),0)</f>
        <v>0</v>
      </c>
      <c r="W2606" s="41" t="str">
        <f t="shared" si="229"/>
        <v/>
      </c>
      <c r="X2606" s="41" t="str">
        <f t="shared" si="230"/>
        <v/>
      </c>
    </row>
    <row r="2607" s="32" customFormat="1" hidden="1" customHeight="1" spans="1:24">
      <c r="A2607" s="34"/>
      <c r="B2607" s="51"/>
      <c r="C2607" s="51"/>
      <c r="D2607" s="52"/>
      <c r="E2607" s="53"/>
      <c r="F2607" s="54"/>
      <c r="G2607" s="54"/>
      <c r="H2607" s="54"/>
      <c r="I2607" s="66"/>
      <c r="J2607" s="54"/>
      <c r="K2607" s="54"/>
      <c r="L2607" s="54"/>
      <c r="M2607" s="97" t="str">
        <f t="shared" si="227"/>
        <v/>
      </c>
      <c r="N2607" s="70"/>
      <c r="O2607" s="71" t="str">
        <f t="shared" si="226"/>
        <v/>
      </c>
      <c r="P2607" s="66"/>
      <c r="Q2607" s="66"/>
      <c r="R2607" s="54"/>
      <c r="S2607" s="82"/>
      <c r="T2607" s="83" t="str">
        <f t="shared" si="228"/>
        <v/>
      </c>
      <c r="U2607" s="10"/>
      <c r="V2607" s="41">
        <f>IF(AND(Q2607&lt;&gt;"",RIGHT(Q2607,3)&lt;&gt;""),IF(COUNTIF($Q$6:Q2607,Q2607)=1,1,0),0)</f>
        <v>0</v>
      </c>
      <c r="W2607" s="41" t="str">
        <f t="shared" si="229"/>
        <v/>
      </c>
      <c r="X2607" s="41" t="str">
        <f t="shared" si="230"/>
        <v/>
      </c>
    </row>
    <row r="2608" s="32" customFormat="1" hidden="1" customHeight="1" spans="1:24">
      <c r="A2608" s="34"/>
      <c r="B2608" s="51"/>
      <c r="C2608" s="51"/>
      <c r="D2608" s="52"/>
      <c r="E2608" s="53"/>
      <c r="F2608" s="54"/>
      <c r="G2608" s="54"/>
      <c r="H2608" s="54"/>
      <c r="I2608" s="66"/>
      <c r="J2608" s="54"/>
      <c r="K2608" s="54"/>
      <c r="L2608" s="54"/>
      <c r="M2608" s="97" t="str">
        <f t="shared" si="227"/>
        <v/>
      </c>
      <c r="N2608" s="70"/>
      <c r="O2608" s="71" t="str">
        <f t="shared" si="226"/>
        <v/>
      </c>
      <c r="P2608" s="66"/>
      <c r="Q2608" s="66"/>
      <c r="R2608" s="54"/>
      <c r="S2608" s="82"/>
      <c r="T2608" s="83" t="str">
        <f t="shared" si="228"/>
        <v/>
      </c>
      <c r="U2608" s="10"/>
      <c r="V2608" s="41">
        <f>IF(AND(Q2608&lt;&gt;"",RIGHT(Q2608,3)&lt;&gt;""),IF(COUNTIF($Q$6:Q2608,Q2608)=1,1,0),0)</f>
        <v>0</v>
      </c>
      <c r="W2608" s="41" t="str">
        <f t="shared" si="229"/>
        <v/>
      </c>
      <c r="X2608" s="41" t="str">
        <f t="shared" si="230"/>
        <v/>
      </c>
    </row>
    <row r="2609" s="32" customFormat="1" hidden="1" customHeight="1" spans="1:24">
      <c r="A2609" s="34"/>
      <c r="B2609" s="51"/>
      <c r="C2609" s="51"/>
      <c r="D2609" s="52"/>
      <c r="E2609" s="53"/>
      <c r="F2609" s="54"/>
      <c r="G2609" s="54"/>
      <c r="H2609" s="54"/>
      <c r="I2609" s="66"/>
      <c r="J2609" s="54"/>
      <c r="K2609" s="54"/>
      <c r="L2609" s="54"/>
      <c r="M2609" s="97" t="str">
        <f t="shared" si="227"/>
        <v/>
      </c>
      <c r="N2609" s="70"/>
      <c r="O2609" s="71" t="str">
        <f t="shared" ref="O2609:O2672" si="231">IF(AND(Q2609&lt;&gt;"",T2609&lt;&gt;""),"PASSIVE",IF(AND(J2609&lt;&gt;"",M2609&lt;&gt;""),"ACTIVE",""))</f>
        <v/>
      </c>
      <c r="P2609" s="66"/>
      <c r="Q2609" s="66"/>
      <c r="R2609" s="54"/>
      <c r="S2609" s="82"/>
      <c r="T2609" s="83" t="str">
        <f t="shared" si="228"/>
        <v/>
      </c>
      <c r="U2609" s="10"/>
      <c r="V2609" s="41">
        <f>IF(AND(Q2609&lt;&gt;"",RIGHT(Q2609,3)&lt;&gt;""),IF(COUNTIF($Q$6:Q2609,Q2609)=1,1,0),0)</f>
        <v>0</v>
      </c>
      <c r="W2609" s="41" t="str">
        <f t="shared" si="229"/>
        <v/>
      </c>
      <c r="X2609" s="41" t="str">
        <f t="shared" si="230"/>
        <v/>
      </c>
    </row>
    <row r="2610" s="32" customFormat="1" hidden="1" customHeight="1" spans="1:24">
      <c r="A2610" s="34"/>
      <c r="B2610" s="51"/>
      <c r="C2610" s="51"/>
      <c r="D2610" s="52"/>
      <c r="E2610" s="53"/>
      <c r="F2610" s="54"/>
      <c r="G2610" s="54"/>
      <c r="H2610" s="54"/>
      <c r="I2610" s="66"/>
      <c r="J2610" s="54"/>
      <c r="K2610" s="54"/>
      <c r="L2610" s="54"/>
      <c r="M2610" s="97" t="str">
        <f t="shared" si="227"/>
        <v/>
      </c>
      <c r="N2610" s="70"/>
      <c r="O2610" s="71" t="str">
        <f t="shared" si="231"/>
        <v/>
      </c>
      <c r="P2610" s="66"/>
      <c r="Q2610" s="66"/>
      <c r="R2610" s="54"/>
      <c r="S2610" s="82"/>
      <c r="T2610" s="83" t="str">
        <f t="shared" si="228"/>
        <v/>
      </c>
      <c r="U2610" s="10"/>
      <c r="V2610" s="41">
        <f>IF(AND(Q2610&lt;&gt;"",RIGHT(Q2610,3)&lt;&gt;""),IF(COUNTIF($Q$6:Q2610,Q2610)=1,1,0),0)</f>
        <v>0</v>
      </c>
      <c r="W2610" s="41" t="str">
        <f t="shared" si="229"/>
        <v/>
      </c>
      <c r="X2610" s="41" t="str">
        <f t="shared" si="230"/>
        <v/>
      </c>
    </row>
    <row r="2611" s="32" customFormat="1" hidden="1" customHeight="1" spans="1:24">
      <c r="A2611" s="34"/>
      <c r="B2611" s="51"/>
      <c r="C2611" s="51"/>
      <c r="D2611" s="52"/>
      <c r="E2611" s="53"/>
      <c r="F2611" s="54"/>
      <c r="G2611" s="54"/>
      <c r="H2611" s="54"/>
      <c r="I2611" s="66"/>
      <c r="J2611" s="54"/>
      <c r="K2611" s="54"/>
      <c r="L2611" s="54"/>
      <c r="M2611" s="97" t="str">
        <f t="shared" si="227"/>
        <v/>
      </c>
      <c r="N2611" s="70"/>
      <c r="O2611" s="71" t="str">
        <f t="shared" si="231"/>
        <v/>
      </c>
      <c r="P2611" s="66"/>
      <c r="Q2611" s="66"/>
      <c r="R2611" s="54"/>
      <c r="S2611" s="82"/>
      <c r="T2611" s="83" t="str">
        <f t="shared" si="228"/>
        <v/>
      </c>
      <c r="U2611" s="10"/>
      <c r="V2611" s="41">
        <f>IF(AND(Q2611&lt;&gt;"",RIGHT(Q2611,3)&lt;&gt;""),IF(COUNTIF($Q$6:Q2611,Q2611)=1,1,0),0)</f>
        <v>0</v>
      </c>
      <c r="W2611" s="41" t="str">
        <f t="shared" si="229"/>
        <v/>
      </c>
      <c r="X2611" s="41" t="str">
        <f t="shared" si="230"/>
        <v/>
      </c>
    </row>
    <row r="2612" s="32" customFormat="1" hidden="1" customHeight="1" spans="1:24">
      <c r="A2612" s="34"/>
      <c r="B2612" s="51"/>
      <c r="C2612" s="51"/>
      <c r="D2612" s="52"/>
      <c r="E2612" s="53"/>
      <c r="F2612" s="54"/>
      <c r="G2612" s="54"/>
      <c r="H2612" s="54"/>
      <c r="I2612" s="66"/>
      <c r="J2612" s="54"/>
      <c r="K2612" s="54"/>
      <c r="L2612" s="54"/>
      <c r="M2612" s="97" t="str">
        <f t="shared" si="227"/>
        <v/>
      </c>
      <c r="N2612" s="70"/>
      <c r="O2612" s="71" t="str">
        <f t="shared" si="231"/>
        <v/>
      </c>
      <c r="P2612" s="66"/>
      <c r="Q2612" s="66"/>
      <c r="R2612" s="54"/>
      <c r="S2612" s="82"/>
      <c r="T2612" s="83" t="str">
        <f t="shared" si="228"/>
        <v/>
      </c>
      <c r="U2612" s="10"/>
      <c r="V2612" s="41">
        <f>IF(AND(Q2612&lt;&gt;"",RIGHT(Q2612,3)&lt;&gt;""),IF(COUNTIF($Q$6:Q2612,Q2612)=1,1,0),0)</f>
        <v>0</v>
      </c>
      <c r="W2612" s="41" t="str">
        <f t="shared" si="229"/>
        <v/>
      </c>
      <c r="X2612" s="41" t="str">
        <f t="shared" si="230"/>
        <v/>
      </c>
    </row>
    <row r="2613" s="32" customFormat="1" hidden="1" customHeight="1" spans="1:24">
      <c r="A2613" s="34"/>
      <c r="B2613" s="51"/>
      <c r="C2613" s="51"/>
      <c r="D2613" s="52"/>
      <c r="E2613" s="53"/>
      <c r="F2613" s="54"/>
      <c r="G2613" s="54"/>
      <c r="H2613" s="54"/>
      <c r="I2613" s="66"/>
      <c r="J2613" s="54"/>
      <c r="K2613" s="54"/>
      <c r="L2613" s="54"/>
      <c r="M2613" s="97" t="str">
        <f t="shared" si="227"/>
        <v/>
      </c>
      <c r="N2613" s="70"/>
      <c r="O2613" s="71" t="str">
        <f t="shared" si="231"/>
        <v/>
      </c>
      <c r="P2613" s="66"/>
      <c r="Q2613" s="66"/>
      <c r="R2613" s="54"/>
      <c r="S2613" s="82"/>
      <c r="T2613" s="83" t="str">
        <f t="shared" si="228"/>
        <v/>
      </c>
      <c r="U2613" s="10"/>
      <c r="V2613" s="41">
        <f>IF(AND(Q2613&lt;&gt;"",RIGHT(Q2613,3)&lt;&gt;""),IF(COUNTIF($Q$6:Q2613,Q2613)=1,1,0),0)</f>
        <v>0</v>
      </c>
      <c r="W2613" s="41" t="str">
        <f t="shared" si="229"/>
        <v/>
      </c>
      <c r="X2613" s="41" t="str">
        <f t="shared" si="230"/>
        <v/>
      </c>
    </row>
    <row r="2614" s="32" customFormat="1" hidden="1" customHeight="1" spans="1:24">
      <c r="A2614" s="34"/>
      <c r="B2614" s="51"/>
      <c r="C2614" s="51"/>
      <c r="D2614" s="52"/>
      <c r="E2614" s="53"/>
      <c r="F2614" s="54"/>
      <c r="G2614" s="54"/>
      <c r="H2614" s="54"/>
      <c r="I2614" s="66"/>
      <c r="J2614" s="54"/>
      <c r="K2614" s="54"/>
      <c r="L2614" s="54"/>
      <c r="M2614" s="97" t="str">
        <f t="shared" si="227"/>
        <v/>
      </c>
      <c r="N2614" s="70"/>
      <c r="O2614" s="71" t="str">
        <f t="shared" si="231"/>
        <v/>
      </c>
      <c r="P2614" s="66"/>
      <c r="Q2614" s="66"/>
      <c r="R2614" s="54"/>
      <c r="S2614" s="82"/>
      <c r="T2614" s="83" t="str">
        <f t="shared" si="228"/>
        <v/>
      </c>
      <c r="U2614" s="10"/>
      <c r="V2614" s="41">
        <f>IF(AND(Q2614&lt;&gt;"",RIGHT(Q2614,3)&lt;&gt;""),IF(COUNTIF($Q$6:Q2614,Q2614)=1,1,0),0)</f>
        <v>0</v>
      </c>
      <c r="W2614" s="41" t="str">
        <f t="shared" si="229"/>
        <v/>
      </c>
      <c r="X2614" s="41" t="str">
        <f t="shared" si="230"/>
        <v/>
      </c>
    </row>
    <row r="2615" s="32" customFormat="1" hidden="1" customHeight="1" spans="1:24">
      <c r="A2615" s="34"/>
      <c r="B2615" s="51"/>
      <c r="C2615" s="51"/>
      <c r="D2615" s="52"/>
      <c r="E2615" s="53"/>
      <c r="F2615" s="54"/>
      <c r="G2615" s="54"/>
      <c r="H2615" s="54"/>
      <c r="I2615" s="66"/>
      <c r="J2615" s="54"/>
      <c r="K2615" s="54"/>
      <c r="L2615" s="54"/>
      <c r="M2615" s="97" t="str">
        <f t="shared" si="227"/>
        <v/>
      </c>
      <c r="N2615" s="70"/>
      <c r="O2615" s="71" t="str">
        <f t="shared" si="231"/>
        <v/>
      </c>
      <c r="P2615" s="66"/>
      <c r="Q2615" s="66"/>
      <c r="R2615" s="54"/>
      <c r="S2615" s="82"/>
      <c r="T2615" s="83" t="str">
        <f t="shared" si="228"/>
        <v/>
      </c>
      <c r="U2615" s="10"/>
      <c r="V2615" s="41">
        <f>IF(AND(Q2615&lt;&gt;"",RIGHT(Q2615,3)&lt;&gt;""),IF(COUNTIF($Q$6:Q2615,Q2615)=1,1,0),0)</f>
        <v>0</v>
      </c>
      <c r="W2615" s="41" t="str">
        <f t="shared" si="229"/>
        <v/>
      </c>
      <c r="X2615" s="41" t="str">
        <f t="shared" si="230"/>
        <v/>
      </c>
    </row>
    <row r="2616" s="32" customFormat="1" hidden="1" customHeight="1" spans="1:24">
      <c r="A2616" s="34"/>
      <c r="B2616" s="51"/>
      <c r="C2616" s="51"/>
      <c r="D2616" s="52"/>
      <c r="E2616" s="53"/>
      <c r="F2616" s="54"/>
      <c r="G2616" s="54"/>
      <c r="H2616" s="54"/>
      <c r="I2616" s="66"/>
      <c r="J2616" s="54"/>
      <c r="K2616" s="54"/>
      <c r="L2616" s="54"/>
      <c r="M2616" s="97" t="str">
        <f t="shared" si="227"/>
        <v/>
      </c>
      <c r="N2616" s="70"/>
      <c r="O2616" s="71" t="str">
        <f t="shared" si="231"/>
        <v/>
      </c>
      <c r="P2616" s="66"/>
      <c r="Q2616" s="66"/>
      <c r="R2616" s="54"/>
      <c r="S2616" s="82"/>
      <c r="T2616" s="83" t="str">
        <f t="shared" si="228"/>
        <v/>
      </c>
      <c r="U2616" s="10"/>
      <c r="V2616" s="41">
        <f>IF(AND(Q2616&lt;&gt;"",RIGHT(Q2616,3)&lt;&gt;""),IF(COUNTIF($Q$6:Q2616,Q2616)=1,1,0),0)</f>
        <v>0</v>
      </c>
      <c r="W2616" s="41" t="str">
        <f t="shared" si="229"/>
        <v/>
      </c>
      <c r="X2616" s="41" t="str">
        <f t="shared" si="230"/>
        <v/>
      </c>
    </row>
    <row r="2617" s="32" customFormat="1" hidden="1" customHeight="1" spans="1:24">
      <c r="A2617" s="34"/>
      <c r="B2617" s="51"/>
      <c r="C2617" s="51"/>
      <c r="D2617" s="52"/>
      <c r="E2617" s="53"/>
      <c r="F2617" s="54"/>
      <c r="G2617" s="54"/>
      <c r="H2617" s="54"/>
      <c r="I2617" s="66"/>
      <c r="J2617" s="54"/>
      <c r="K2617" s="54"/>
      <c r="L2617" s="54"/>
      <c r="M2617" s="97" t="str">
        <f t="shared" si="227"/>
        <v/>
      </c>
      <c r="N2617" s="70"/>
      <c r="O2617" s="71" t="str">
        <f t="shared" si="231"/>
        <v/>
      </c>
      <c r="P2617" s="66"/>
      <c r="Q2617" s="66"/>
      <c r="R2617" s="54"/>
      <c r="S2617" s="82"/>
      <c r="T2617" s="83" t="str">
        <f t="shared" si="228"/>
        <v/>
      </c>
      <c r="U2617" s="10"/>
      <c r="V2617" s="41">
        <f>IF(AND(Q2617&lt;&gt;"",RIGHT(Q2617,3)&lt;&gt;""),IF(COUNTIF($Q$6:Q2617,Q2617)=1,1,0),0)</f>
        <v>0</v>
      </c>
      <c r="W2617" s="41" t="str">
        <f t="shared" si="229"/>
        <v/>
      </c>
      <c r="X2617" s="41" t="str">
        <f t="shared" si="230"/>
        <v/>
      </c>
    </row>
    <row r="2618" s="32" customFormat="1" hidden="1" customHeight="1" spans="1:24">
      <c r="A2618" s="34"/>
      <c r="B2618" s="51"/>
      <c r="C2618" s="51"/>
      <c r="D2618" s="52"/>
      <c r="E2618" s="53"/>
      <c r="F2618" s="54"/>
      <c r="G2618" s="54"/>
      <c r="H2618" s="54"/>
      <c r="I2618" s="66"/>
      <c r="J2618" s="54"/>
      <c r="K2618" s="54"/>
      <c r="L2618" s="54"/>
      <c r="M2618" s="97" t="str">
        <f t="shared" si="227"/>
        <v/>
      </c>
      <c r="N2618" s="70"/>
      <c r="O2618" s="71" t="str">
        <f t="shared" si="231"/>
        <v/>
      </c>
      <c r="P2618" s="66"/>
      <c r="Q2618" s="66"/>
      <c r="R2618" s="54"/>
      <c r="S2618" s="82"/>
      <c r="T2618" s="83" t="str">
        <f t="shared" si="228"/>
        <v/>
      </c>
      <c r="U2618" s="10"/>
      <c r="V2618" s="41">
        <f>IF(AND(Q2618&lt;&gt;"",RIGHT(Q2618,3)&lt;&gt;""),IF(COUNTIF($Q$6:Q2618,Q2618)=1,1,0),0)</f>
        <v>0</v>
      </c>
      <c r="W2618" s="41" t="str">
        <f t="shared" si="229"/>
        <v/>
      </c>
      <c r="X2618" s="41" t="str">
        <f t="shared" si="230"/>
        <v/>
      </c>
    </row>
    <row r="2619" s="32" customFormat="1" hidden="1" customHeight="1" spans="1:24">
      <c r="A2619" s="34"/>
      <c r="B2619" s="51"/>
      <c r="C2619" s="51"/>
      <c r="D2619" s="52"/>
      <c r="E2619" s="53"/>
      <c r="F2619" s="54"/>
      <c r="G2619" s="54"/>
      <c r="H2619" s="54"/>
      <c r="I2619" s="66"/>
      <c r="J2619" s="54"/>
      <c r="K2619" s="54"/>
      <c r="L2619" s="54"/>
      <c r="M2619" s="97" t="str">
        <f t="shared" si="227"/>
        <v/>
      </c>
      <c r="N2619" s="70"/>
      <c r="O2619" s="71" t="str">
        <f t="shared" si="231"/>
        <v/>
      </c>
      <c r="P2619" s="66"/>
      <c r="Q2619" s="66"/>
      <c r="R2619" s="54"/>
      <c r="S2619" s="82"/>
      <c r="T2619" s="83" t="str">
        <f t="shared" si="228"/>
        <v/>
      </c>
      <c r="U2619" s="10"/>
      <c r="V2619" s="41">
        <f>IF(AND(Q2619&lt;&gt;"",RIGHT(Q2619,3)&lt;&gt;""),IF(COUNTIF($Q$6:Q2619,Q2619)=1,1,0),0)</f>
        <v>0</v>
      </c>
      <c r="W2619" s="41" t="str">
        <f t="shared" si="229"/>
        <v/>
      </c>
      <c r="X2619" s="41" t="str">
        <f t="shared" si="230"/>
        <v/>
      </c>
    </row>
    <row r="2620" s="32" customFormat="1" hidden="1" customHeight="1" spans="1:24">
      <c r="A2620" s="34"/>
      <c r="B2620" s="51"/>
      <c r="C2620" s="51"/>
      <c r="D2620" s="52"/>
      <c r="E2620" s="53"/>
      <c r="F2620" s="54"/>
      <c r="G2620" s="54"/>
      <c r="H2620" s="54"/>
      <c r="I2620" s="66"/>
      <c r="J2620" s="54"/>
      <c r="K2620" s="54"/>
      <c r="L2620" s="54"/>
      <c r="M2620" s="97" t="str">
        <f t="shared" si="227"/>
        <v/>
      </c>
      <c r="N2620" s="70"/>
      <c r="O2620" s="71" t="str">
        <f t="shared" si="231"/>
        <v/>
      </c>
      <c r="P2620" s="66"/>
      <c r="Q2620" s="66"/>
      <c r="R2620" s="54"/>
      <c r="S2620" s="82"/>
      <c r="T2620" s="83" t="str">
        <f t="shared" si="228"/>
        <v/>
      </c>
      <c r="U2620" s="10"/>
      <c r="V2620" s="41">
        <f>IF(AND(Q2620&lt;&gt;"",RIGHT(Q2620,3)&lt;&gt;""),IF(COUNTIF($Q$6:Q2620,Q2620)=1,1,0),0)</f>
        <v>0</v>
      </c>
      <c r="W2620" s="41" t="str">
        <f t="shared" si="229"/>
        <v/>
      </c>
      <c r="X2620" s="41" t="str">
        <f t="shared" si="230"/>
        <v/>
      </c>
    </row>
    <row r="2621" s="32" customFormat="1" hidden="1" customHeight="1" spans="1:24">
      <c r="A2621" s="34"/>
      <c r="B2621" s="51"/>
      <c r="C2621" s="51"/>
      <c r="D2621" s="52"/>
      <c r="E2621" s="53"/>
      <c r="F2621" s="54"/>
      <c r="G2621" s="54"/>
      <c r="H2621" s="54"/>
      <c r="I2621" s="66"/>
      <c r="J2621" s="54"/>
      <c r="K2621" s="54"/>
      <c r="L2621" s="54"/>
      <c r="M2621" s="97" t="str">
        <f t="shared" si="227"/>
        <v/>
      </c>
      <c r="N2621" s="70"/>
      <c r="O2621" s="71" t="str">
        <f t="shared" si="231"/>
        <v/>
      </c>
      <c r="P2621" s="66"/>
      <c r="Q2621" s="66"/>
      <c r="R2621" s="54"/>
      <c r="S2621" s="82"/>
      <c r="T2621" s="83" t="str">
        <f t="shared" si="228"/>
        <v/>
      </c>
      <c r="U2621" s="10"/>
      <c r="V2621" s="41">
        <f>IF(AND(Q2621&lt;&gt;"",RIGHT(Q2621,3)&lt;&gt;""),IF(COUNTIF($Q$6:Q2621,Q2621)=1,1,0),0)</f>
        <v>0</v>
      </c>
      <c r="W2621" s="41" t="str">
        <f t="shared" si="229"/>
        <v/>
      </c>
      <c r="X2621" s="41" t="str">
        <f t="shared" si="230"/>
        <v/>
      </c>
    </row>
    <row r="2622" s="32" customFormat="1" hidden="1" customHeight="1" spans="1:24">
      <c r="A2622" s="34"/>
      <c r="B2622" s="51"/>
      <c r="C2622" s="51"/>
      <c r="D2622" s="52"/>
      <c r="E2622" s="53"/>
      <c r="F2622" s="54"/>
      <c r="G2622" s="54"/>
      <c r="H2622" s="54"/>
      <c r="I2622" s="66"/>
      <c r="J2622" s="54"/>
      <c r="K2622" s="54"/>
      <c r="L2622" s="54"/>
      <c r="M2622" s="97" t="str">
        <f t="shared" si="227"/>
        <v/>
      </c>
      <c r="N2622" s="70"/>
      <c r="O2622" s="71" t="str">
        <f t="shared" si="231"/>
        <v/>
      </c>
      <c r="P2622" s="66"/>
      <c r="Q2622" s="66"/>
      <c r="R2622" s="54"/>
      <c r="S2622" s="82"/>
      <c r="T2622" s="83" t="str">
        <f t="shared" si="228"/>
        <v/>
      </c>
      <c r="U2622" s="10"/>
      <c r="V2622" s="41">
        <f>IF(AND(Q2622&lt;&gt;"",RIGHT(Q2622,3)&lt;&gt;""),IF(COUNTIF($Q$6:Q2622,Q2622)=1,1,0),0)</f>
        <v>0</v>
      </c>
      <c r="W2622" s="41" t="str">
        <f t="shared" si="229"/>
        <v/>
      </c>
      <c r="X2622" s="41" t="str">
        <f t="shared" si="230"/>
        <v/>
      </c>
    </row>
    <row r="2623" s="32" customFormat="1" hidden="1" customHeight="1" spans="1:24">
      <c r="A2623" s="34"/>
      <c r="B2623" s="51"/>
      <c r="C2623" s="51"/>
      <c r="D2623" s="52"/>
      <c r="E2623" s="53"/>
      <c r="F2623" s="54"/>
      <c r="G2623" s="54"/>
      <c r="H2623" s="54"/>
      <c r="I2623" s="66"/>
      <c r="J2623" s="54"/>
      <c r="K2623" s="54"/>
      <c r="L2623" s="54"/>
      <c r="M2623" s="97" t="str">
        <f t="shared" si="227"/>
        <v/>
      </c>
      <c r="N2623" s="70"/>
      <c r="O2623" s="71" t="str">
        <f t="shared" si="231"/>
        <v/>
      </c>
      <c r="P2623" s="66"/>
      <c r="Q2623" s="66"/>
      <c r="R2623" s="54"/>
      <c r="S2623" s="82"/>
      <c r="T2623" s="83" t="str">
        <f t="shared" si="228"/>
        <v/>
      </c>
      <c r="U2623" s="10"/>
      <c r="V2623" s="41">
        <f>IF(AND(Q2623&lt;&gt;"",RIGHT(Q2623,3)&lt;&gt;""),IF(COUNTIF($Q$6:Q2623,Q2623)=1,1,0),0)</f>
        <v>0</v>
      </c>
      <c r="W2623" s="41" t="str">
        <f t="shared" si="229"/>
        <v/>
      </c>
      <c r="X2623" s="41" t="str">
        <f t="shared" si="230"/>
        <v/>
      </c>
    </row>
    <row r="2624" s="32" customFormat="1" hidden="1" customHeight="1" spans="1:24">
      <c r="A2624" s="34"/>
      <c r="B2624" s="51"/>
      <c r="C2624" s="51"/>
      <c r="D2624" s="52"/>
      <c r="E2624" s="53"/>
      <c r="F2624" s="54"/>
      <c r="G2624" s="54"/>
      <c r="H2624" s="54"/>
      <c r="I2624" s="66"/>
      <c r="J2624" s="54"/>
      <c r="K2624" s="54"/>
      <c r="L2624" s="54"/>
      <c r="M2624" s="97" t="str">
        <f t="shared" si="227"/>
        <v/>
      </c>
      <c r="N2624" s="70"/>
      <c r="O2624" s="71" t="str">
        <f t="shared" si="231"/>
        <v/>
      </c>
      <c r="P2624" s="66"/>
      <c r="Q2624" s="66"/>
      <c r="R2624" s="54"/>
      <c r="S2624" s="82"/>
      <c r="T2624" s="83" t="str">
        <f t="shared" si="228"/>
        <v/>
      </c>
      <c r="U2624" s="10"/>
      <c r="V2624" s="41">
        <f>IF(AND(Q2624&lt;&gt;"",RIGHT(Q2624,3)&lt;&gt;""),IF(COUNTIF($Q$6:Q2624,Q2624)=1,1,0),0)</f>
        <v>0</v>
      </c>
      <c r="W2624" s="41" t="str">
        <f t="shared" si="229"/>
        <v/>
      </c>
      <c r="X2624" s="41" t="str">
        <f t="shared" si="230"/>
        <v/>
      </c>
    </row>
    <row r="2625" s="32" customFormat="1" hidden="1" customHeight="1" spans="1:24">
      <c r="A2625" s="34"/>
      <c r="B2625" s="51"/>
      <c r="C2625" s="51"/>
      <c r="D2625" s="52"/>
      <c r="E2625" s="53"/>
      <c r="F2625" s="54"/>
      <c r="G2625" s="54"/>
      <c r="H2625" s="54"/>
      <c r="I2625" s="66"/>
      <c r="J2625" s="54"/>
      <c r="K2625" s="54"/>
      <c r="L2625" s="54"/>
      <c r="M2625" s="97" t="str">
        <f t="shared" si="227"/>
        <v/>
      </c>
      <c r="N2625" s="70"/>
      <c r="O2625" s="71" t="str">
        <f t="shared" si="231"/>
        <v/>
      </c>
      <c r="P2625" s="66"/>
      <c r="Q2625" s="66"/>
      <c r="R2625" s="54"/>
      <c r="S2625" s="82"/>
      <c r="T2625" s="83" t="str">
        <f t="shared" si="228"/>
        <v/>
      </c>
      <c r="U2625" s="10"/>
      <c r="V2625" s="41">
        <f>IF(AND(Q2625&lt;&gt;"",RIGHT(Q2625,3)&lt;&gt;""),IF(COUNTIF($Q$6:Q2625,Q2625)=1,1,0),0)</f>
        <v>0</v>
      </c>
      <c r="W2625" s="41" t="str">
        <f t="shared" si="229"/>
        <v/>
      </c>
      <c r="X2625" s="41" t="str">
        <f t="shared" si="230"/>
        <v/>
      </c>
    </row>
    <row r="2626" s="32" customFormat="1" hidden="1" customHeight="1" spans="1:24">
      <c r="A2626" s="34"/>
      <c r="B2626" s="51"/>
      <c r="C2626" s="51"/>
      <c r="D2626" s="52"/>
      <c r="E2626" s="53"/>
      <c r="F2626" s="54"/>
      <c r="G2626" s="54"/>
      <c r="H2626" s="54"/>
      <c r="I2626" s="66"/>
      <c r="J2626" s="54"/>
      <c r="K2626" s="54"/>
      <c r="L2626" s="54"/>
      <c r="M2626" s="97" t="str">
        <f t="shared" si="227"/>
        <v/>
      </c>
      <c r="N2626" s="70"/>
      <c r="O2626" s="71" t="str">
        <f t="shared" si="231"/>
        <v/>
      </c>
      <c r="P2626" s="66"/>
      <c r="Q2626" s="66"/>
      <c r="R2626" s="54"/>
      <c r="S2626" s="82"/>
      <c r="T2626" s="83" t="str">
        <f t="shared" si="228"/>
        <v/>
      </c>
      <c r="U2626" s="10"/>
      <c r="V2626" s="41">
        <f>IF(AND(Q2626&lt;&gt;"",RIGHT(Q2626,3)&lt;&gt;""),IF(COUNTIF($Q$6:Q2626,Q2626)=1,1,0),0)</f>
        <v>0</v>
      </c>
      <c r="W2626" s="41" t="str">
        <f t="shared" si="229"/>
        <v/>
      </c>
      <c r="X2626" s="41" t="str">
        <f t="shared" si="230"/>
        <v/>
      </c>
    </row>
    <row r="2627" s="32" customFormat="1" hidden="1" customHeight="1" spans="1:24">
      <c r="A2627" s="34"/>
      <c r="B2627" s="51"/>
      <c r="C2627" s="51"/>
      <c r="D2627" s="52"/>
      <c r="E2627" s="53"/>
      <c r="F2627" s="54"/>
      <c r="G2627" s="54"/>
      <c r="H2627" s="54"/>
      <c r="I2627" s="66"/>
      <c r="J2627" s="54"/>
      <c r="K2627" s="54"/>
      <c r="L2627" s="54"/>
      <c r="M2627" s="97" t="str">
        <f t="shared" si="227"/>
        <v/>
      </c>
      <c r="N2627" s="70"/>
      <c r="O2627" s="71" t="str">
        <f t="shared" si="231"/>
        <v/>
      </c>
      <c r="P2627" s="66"/>
      <c r="Q2627" s="66"/>
      <c r="R2627" s="54"/>
      <c r="S2627" s="82"/>
      <c r="T2627" s="83" t="str">
        <f t="shared" si="228"/>
        <v/>
      </c>
      <c r="U2627" s="10"/>
      <c r="V2627" s="41">
        <f>IF(AND(Q2627&lt;&gt;"",RIGHT(Q2627,3)&lt;&gt;""),IF(COUNTIF($Q$6:Q2627,Q2627)=1,1,0),0)</f>
        <v>0</v>
      </c>
      <c r="W2627" s="41" t="str">
        <f t="shared" si="229"/>
        <v/>
      </c>
      <c r="X2627" s="41" t="str">
        <f t="shared" si="230"/>
        <v/>
      </c>
    </row>
    <row r="2628" s="32" customFormat="1" hidden="1" customHeight="1" spans="1:24">
      <c r="A2628" s="34"/>
      <c r="B2628" s="51"/>
      <c r="C2628" s="51"/>
      <c r="D2628" s="52"/>
      <c r="E2628" s="53"/>
      <c r="F2628" s="54"/>
      <c r="G2628" s="54"/>
      <c r="H2628" s="54"/>
      <c r="I2628" s="66"/>
      <c r="J2628" s="54"/>
      <c r="K2628" s="54"/>
      <c r="L2628" s="54"/>
      <c r="M2628" s="97" t="str">
        <f t="shared" si="227"/>
        <v/>
      </c>
      <c r="N2628" s="70"/>
      <c r="O2628" s="71" t="str">
        <f t="shared" si="231"/>
        <v/>
      </c>
      <c r="P2628" s="66"/>
      <c r="Q2628" s="66"/>
      <c r="R2628" s="54"/>
      <c r="S2628" s="82"/>
      <c r="T2628" s="83" t="str">
        <f t="shared" si="228"/>
        <v/>
      </c>
      <c r="U2628" s="10"/>
      <c r="V2628" s="41">
        <f>IF(AND(Q2628&lt;&gt;"",RIGHT(Q2628,3)&lt;&gt;""),IF(COUNTIF($Q$6:Q2628,Q2628)=1,1,0),0)</f>
        <v>0</v>
      </c>
      <c r="W2628" s="41" t="str">
        <f t="shared" si="229"/>
        <v/>
      </c>
      <c r="X2628" s="41" t="str">
        <f t="shared" si="230"/>
        <v/>
      </c>
    </row>
    <row r="2629" s="32" customFormat="1" hidden="1" customHeight="1" spans="1:24">
      <c r="A2629" s="34"/>
      <c r="B2629" s="51"/>
      <c r="C2629" s="51"/>
      <c r="D2629" s="52"/>
      <c r="E2629" s="53"/>
      <c r="F2629" s="54"/>
      <c r="G2629" s="54"/>
      <c r="H2629" s="54"/>
      <c r="I2629" s="66"/>
      <c r="J2629" s="54"/>
      <c r="K2629" s="54"/>
      <c r="L2629" s="54"/>
      <c r="M2629" s="97" t="str">
        <f t="shared" si="227"/>
        <v/>
      </c>
      <c r="N2629" s="70"/>
      <c r="O2629" s="71" t="str">
        <f t="shared" si="231"/>
        <v/>
      </c>
      <c r="P2629" s="66"/>
      <c r="Q2629" s="66"/>
      <c r="R2629" s="54"/>
      <c r="S2629" s="82"/>
      <c r="T2629" s="83" t="str">
        <f t="shared" si="228"/>
        <v/>
      </c>
      <c r="U2629" s="10"/>
      <c r="V2629" s="41">
        <f>IF(AND(Q2629&lt;&gt;"",RIGHT(Q2629,3)&lt;&gt;""),IF(COUNTIF($Q$6:Q2629,Q2629)=1,1,0),0)</f>
        <v>0</v>
      </c>
      <c r="W2629" s="41" t="str">
        <f t="shared" si="229"/>
        <v/>
      </c>
      <c r="X2629" s="41" t="str">
        <f t="shared" si="230"/>
        <v/>
      </c>
    </row>
    <row r="2630" s="32" customFormat="1" hidden="1" customHeight="1" spans="1:24">
      <c r="A2630" s="34"/>
      <c r="B2630" s="51"/>
      <c r="C2630" s="51"/>
      <c r="D2630" s="52"/>
      <c r="E2630" s="53"/>
      <c r="F2630" s="54"/>
      <c r="G2630" s="54"/>
      <c r="H2630" s="54"/>
      <c r="I2630" s="66"/>
      <c r="J2630" s="54"/>
      <c r="K2630" s="54"/>
      <c r="L2630" s="54"/>
      <c r="M2630" s="97" t="str">
        <f t="shared" si="227"/>
        <v/>
      </c>
      <c r="N2630" s="70"/>
      <c r="O2630" s="71" t="str">
        <f t="shared" si="231"/>
        <v/>
      </c>
      <c r="P2630" s="66"/>
      <c r="Q2630" s="66"/>
      <c r="R2630" s="54"/>
      <c r="S2630" s="82"/>
      <c r="T2630" s="83" t="str">
        <f t="shared" si="228"/>
        <v/>
      </c>
      <c r="U2630" s="10"/>
      <c r="V2630" s="41">
        <f>IF(AND(Q2630&lt;&gt;"",RIGHT(Q2630,3)&lt;&gt;""),IF(COUNTIF($Q$6:Q2630,Q2630)=1,1,0),0)</f>
        <v>0</v>
      </c>
      <c r="W2630" s="41" t="str">
        <f t="shared" si="229"/>
        <v/>
      </c>
      <c r="X2630" s="41" t="str">
        <f t="shared" si="230"/>
        <v/>
      </c>
    </row>
    <row r="2631" s="32" customFormat="1" hidden="1" customHeight="1" spans="1:24">
      <c r="A2631" s="34"/>
      <c r="B2631" s="51"/>
      <c r="C2631" s="51"/>
      <c r="D2631" s="52"/>
      <c r="E2631" s="53"/>
      <c r="F2631" s="54"/>
      <c r="G2631" s="54"/>
      <c r="H2631" s="54"/>
      <c r="I2631" s="66"/>
      <c r="J2631" s="54"/>
      <c r="K2631" s="54"/>
      <c r="L2631" s="54"/>
      <c r="M2631" s="97" t="str">
        <f t="shared" si="227"/>
        <v/>
      </c>
      <c r="N2631" s="70"/>
      <c r="O2631" s="71" t="str">
        <f t="shared" si="231"/>
        <v/>
      </c>
      <c r="P2631" s="66"/>
      <c r="Q2631" s="66"/>
      <c r="R2631" s="54"/>
      <c r="S2631" s="82"/>
      <c r="T2631" s="83" t="str">
        <f t="shared" si="228"/>
        <v/>
      </c>
      <c r="U2631" s="10"/>
      <c r="V2631" s="41">
        <f>IF(AND(Q2631&lt;&gt;"",RIGHT(Q2631,3)&lt;&gt;""),IF(COUNTIF($Q$6:Q2631,Q2631)=1,1,0),0)</f>
        <v>0</v>
      </c>
      <c r="W2631" s="41" t="str">
        <f t="shared" si="229"/>
        <v/>
      </c>
      <c r="X2631" s="41" t="str">
        <f t="shared" si="230"/>
        <v/>
      </c>
    </row>
    <row r="2632" s="32" customFormat="1" hidden="1" customHeight="1" spans="1:24">
      <c r="A2632" s="34"/>
      <c r="B2632" s="51"/>
      <c r="C2632" s="51"/>
      <c r="D2632" s="52"/>
      <c r="E2632" s="53"/>
      <c r="F2632" s="54"/>
      <c r="G2632" s="54"/>
      <c r="H2632" s="54"/>
      <c r="I2632" s="66"/>
      <c r="J2632" s="54"/>
      <c r="K2632" s="54"/>
      <c r="L2632" s="54"/>
      <c r="M2632" s="97" t="str">
        <f t="shared" si="227"/>
        <v/>
      </c>
      <c r="N2632" s="70"/>
      <c r="O2632" s="71" t="str">
        <f t="shared" si="231"/>
        <v/>
      </c>
      <c r="P2632" s="66"/>
      <c r="Q2632" s="66"/>
      <c r="R2632" s="54"/>
      <c r="S2632" s="82"/>
      <c r="T2632" s="83" t="str">
        <f t="shared" si="228"/>
        <v/>
      </c>
      <c r="U2632" s="10"/>
      <c r="V2632" s="41">
        <f>IF(AND(Q2632&lt;&gt;"",RIGHT(Q2632,3)&lt;&gt;""),IF(COUNTIF($Q$6:Q2632,Q2632)=1,1,0),0)</f>
        <v>0</v>
      </c>
      <c r="W2632" s="41" t="str">
        <f t="shared" si="229"/>
        <v/>
      </c>
      <c r="X2632" s="41" t="str">
        <f t="shared" si="230"/>
        <v/>
      </c>
    </row>
    <row r="2633" s="32" customFormat="1" hidden="1" customHeight="1" spans="1:24">
      <c r="A2633" s="34"/>
      <c r="B2633" s="51"/>
      <c r="C2633" s="51"/>
      <c r="D2633" s="52"/>
      <c r="E2633" s="53"/>
      <c r="F2633" s="54"/>
      <c r="G2633" s="54"/>
      <c r="H2633" s="54"/>
      <c r="I2633" s="66"/>
      <c r="J2633" s="54"/>
      <c r="K2633" s="54"/>
      <c r="L2633" s="54"/>
      <c r="M2633" s="97" t="str">
        <f t="shared" si="227"/>
        <v/>
      </c>
      <c r="N2633" s="70"/>
      <c r="O2633" s="71" t="str">
        <f t="shared" si="231"/>
        <v/>
      </c>
      <c r="P2633" s="66"/>
      <c r="Q2633" s="66"/>
      <c r="R2633" s="54"/>
      <c r="S2633" s="82"/>
      <c r="T2633" s="83" t="str">
        <f t="shared" si="228"/>
        <v/>
      </c>
      <c r="U2633" s="10"/>
      <c r="V2633" s="41">
        <f>IF(AND(Q2633&lt;&gt;"",RIGHT(Q2633,3)&lt;&gt;""),IF(COUNTIF($Q$6:Q2633,Q2633)=1,1,0),0)</f>
        <v>0</v>
      </c>
      <c r="W2633" s="41" t="str">
        <f t="shared" si="229"/>
        <v/>
      </c>
      <c r="X2633" s="41" t="str">
        <f t="shared" si="230"/>
        <v/>
      </c>
    </row>
    <row r="2634" s="32" customFormat="1" hidden="1" customHeight="1" spans="1:24">
      <c r="A2634" s="34"/>
      <c r="B2634" s="51"/>
      <c r="C2634" s="51"/>
      <c r="D2634" s="52"/>
      <c r="E2634" s="53"/>
      <c r="F2634" s="54"/>
      <c r="G2634" s="54"/>
      <c r="H2634" s="54"/>
      <c r="I2634" s="66"/>
      <c r="J2634" s="54"/>
      <c r="K2634" s="54"/>
      <c r="L2634" s="54"/>
      <c r="M2634" s="97" t="str">
        <f t="shared" si="227"/>
        <v/>
      </c>
      <c r="N2634" s="70"/>
      <c r="O2634" s="71" t="str">
        <f t="shared" si="231"/>
        <v/>
      </c>
      <c r="P2634" s="66"/>
      <c r="Q2634" s="66"/>
      <c r="R2634" s="54"/>
      <c r="S2634" s="82"/>
      <c r="T2634" s="83" t="str">
        <f t="shared" si="228"/>
        <v/>
      </c>
      <c r="U2634" s="10"/>
      <c r="V2634" s="41">
        <f>IF(AND(Q2634&lt;&gt;"",RIGHT(Q2634,3)&lt;&gt;""),IF(COUNTIF($Q$6:Q2634,Q2634)=1,1,0),0)</f>
        <v>0</v>
      </c>
      <c r="W2634" s="41" t="str">
        <f t="shared" si="229"/>
        <v/>
      </c>
      <c r="X2634" s="41" t="str">
        <f t="shared" si="230"/>
        <v/>
      </c>
    </row>
    <row r="2635" s="32" customFormat="1" hidden="1" customHeight="1" spans="1:24">
      <c r="A2635" s="34"/>
      <c r="B2635" s="51"/>
      <c r="C2635" s="51"/>
      <c r="D2635" s="52"/>
      <c r="E2635" s="53"/>
      <c r="F2635" s="54"/>
      <c r="G2635" s="54"/>
      <c r="H2635" s="54"/>
      <c r="I2635" s="66"/>
      <c r="J2635" s="54"/>
      <c r="K2635" s="54"/>
      <c r="L2635" s="54"/>
      <c r="M2635" s="97" t="str">
        <f t="shared" si="227"/>
        <v/>
      </c>
      <c r="N2635" s="70"/>
      <c r="O2635" s="71" t="str">
        <f t="shared" si="231"/>
        <v/>
      </c>
      <c r="P2635" s="66"/>
      <c r="Q2635" s="66"/>
      <c r="R2635" s="54"/>
      <c r="S2635" s="82"/>
      <c r="T2635" s="83" t="str">
        <f t="shared" si="228"/>
        <v/>
      </c>
      <c r="U2635" s="10"/>
      <c r="V2635" s="41">
        <f>IF(AND(Q2635&lt;&gt;"",RIGHT(Q2635,3)&lt;&gt;""),IF(COUNTIF($Q$6:Q2635,Q2635)=1,1,0),0)</f>
        <v>0</v>
      </c>
      <c r="W2635" s="41" t="str">
        <f t="shared" si="229"/>
        <v/>
      </c>
      <c r="X2635" s="41" t="str">
        <f t="shared" si="230"/>
        <v/>
      </c>
    </row>
    <row r="2636" s="32" customFormat="1" hidden="1" customHeight="1" spans="1:24">
      <c r="A2636" s="34"/>
      <c r="B2636" s="51"/>
      <c r="C2636" s="51"/>
      <c r="D2636" s="52"/>
      <c r="E2636" s="53"/>
      <c r="F2636" s="54"/>
      <c r="G2636" s="54"/>
      <c r="H2636" s="54"/>
      <c r="I2636" s="66"/>
      <c r="J2636" s="54"/>
      <c r="K2636" s="54"/>
      <c r="L2636" s="54"/>
      <c r="M2636" s="97" t="str">
        <f t="shared" si="227"/>
        <v/>
      </c>
      <c r="N2636" s="70"/>
      <c r="O2636" s="71" t="str">
        <f t="shared" si="231"/>
        <v/>
      </c>
      <c r="P2636" s="66"/>
      <c r="Q2636" s="66"/>
      <c r="R2636" s="54"/>
      <c r="S2636" s="82"/>
      <c r="T2636" s="83" t="str">
        <f t="shared" si="228"/>
        <v/>
      </c>
      <c r="U2636" s="10"/>
      <c r="V2636" s="41">
        <f>IF(AND(Q2636&lt;&gt;"",RIGHT(Q2636,3)&lt;&gt;""),IF(COUNTIF($Q$6:Q2636,Q2636)=1,1,0),0)</f>
        <v>0</v>
      </c>
      <c r="W2636" s="41" t="str">
        <f t="shared" si="229"/>
        <v/>
      </c>
      <c r="X2636" s="41" t="str">
        <f t="shared" si="230"/>
        <v/>
      </c>
    </row>
    <row r="2637" s="32" customFormat="1" hidden="1" customHeight="1" spans="1:24">
      <c r="A2637" s="34"/>
      <c r="B2637" s="51"/>
      <c r="C2637" s="51"/>
      <c r="D2637" s="52"/>
      <c r="E2637" s="53"/>
      <c r="F2637" s="54"/>
      <c r="G2637" s="54"/>
      <c r="H2637" s="54"/>
      <c r="I2637" s="66"/>
      <c r="J2637" s="54"/>
      <c r="K2637" s="54"/>
      <c r="L2637" s="54"/>
      <c r="M2637" s="97" t="str">
        <f t="shared" si="227"/>
        <v/>
      </c>
      <c r="N2637" s="70"/>
      <c r="O2637" s="71" t="str">
        <f t="shared" si="231"/>
        <v/>
      </c>
      <c r="P2637" s="66"/>
      <c r="Q2637" s="66"/>
      <c r="R2637" s="54"/>
      <c r="S2637" s="82"/>
      <c r="T2637" s="83" t="str">
        <f t="shared" si="228"/>
        <v/>
      </c>
      <c r="U2637" s="10"/>
      <c r="V2637" s="41">
        <f>IF(AND(Q2637&lt;&gt;"",RIGHT(Q2637,3)&lt;&gt;""),IF(COUNTIF($Q$6:Q2637,Q2637)=1,1,0),0)</f>
        <v>0</v>
      </c>
      <c r="W2637" s="41" t="str">
        <f t="shared" si="229"/>
        <v/>
      </c>
      <c r="X2637" s="41" t="str">
        <f t="shared" si="230"/>
        <v/>
      </c>
    </row>
    <row r="2638" s="32" customFormat="1" hidden="1" customHeight="1" spans="1:24">
      <c r="A2638" s="34"/>
      <c r="B2638" s="51"/>
      <c r="C2638" s="51"/>
      <c r="D2638" s="52"/>
      <c r="E2638" s="53"/>
      <c r="F2638" s="54"/>
      <c r="G2638" s="54"/>
      <c r="H2638" s="54"/>
      <c r="I2638" s="66"/>
      <c r="J2638" s="54"/>
      <c r="K2638" s="54"/>
      <c r="L2638" s="54"/>
      <c r="M2638" s="97" t="str">
        <f t="shared" si="227"/>
        <v/>
      </c>
      <c r="N2638" s="70"/>
      <c r="O2638" s="71" t="str">
        <f t="shared" si="231"/>
        <v/>
      </c>
      <c r="P2638" s="66"/>
      <c r="Q2638" s="66"/>
      <c r="R2638" s="54"/>
      <c r="S2638" s="82"/>
      <c r="T2638" s="83" t="str">
        <f t="shared" si="228"/>
        <v/>
      </c>
      <c r="U2638" s="10"/>
      <c r="V2638" s="41">
        <f>IF(AND(Q2638&lt;&gt;"",RIGHT(Q2638,3)&lt;&gt;""),IF(COUNTIF($Q$6:Q2638,Q2638)=1,1,0),0)</f>
        <v>0</v>
      </c>
      <c r="W2638" s="41" t="str">
        <f t="shared" si="229"/>
        <v/>
      </c>
      <c r="X2638" s="41" t="str">
        <f t="shared" si="230"/>
        <v/>
      </c>
    </row>
    <row r="2639" s="32" customFormat="1" hidden="1" customHeight="1" spans="1:24">
      <c r="A2639" s="34"/>
      <c r="B2639" s="51"/>
      <c r="C2639" s="51"/>
      <c r="D2639" s="52"/>
      <c r="E2639" s="53"/>
      <c r="F2639" s="54"/>
      <c r="G2639" s="54"/>
      <c r="H2639" s="54"/>
      <c r="I2639" s="66"/>
      <c r="J2639" s="54"/>
      <c r="K2639" s="54"/>
      <c r="L2639" s="54"/>
      <c r="M2639" s="97" t="str">
        <f t="shared" si="227"/>
        <v/>
      </c>
      <c r="N2639" s="70"/>
      <c r="O2639" s="71" t="str">
        <f t="shared" si="231"/>
        <v/>
      </c>
      <c r="P2639" s="66"/>
      <c r="Q2639" s="66"/>
      <c r="R2639" s="54"/>
      <c r="S2639" s="82"/>
      <c r="T2639" s="83" t="str">
        <f t="shared" si="228"/>
        <v/>
      </c>
      <c r="U2639" s="10"/>
      <c r="V2639" s="41">
        <f>IF(AND(Q2639&lt;&gt;"",RIGHT(Q2639,3)&lt;&gt;""),IF(COUNTIF($Q$6:Q2639,Q2639)=1,1,0),0)</f>
        <v>0</v>
      </c>
      <c r="W2639" s="41" t="str">
        <f t="shared" si="229"/>
        <v/>
      </c>
      <c r="X2639" s="41" t="str">
        <f t="shared" si="230"/>
        <v/>
      </c>
    </row>
    <row r="2640" s="32" customFormat="1" hidden="1" customHeight="1" spans="1:24">
      <c r="A2640" s="34"/>
      <c r="B2640" s="51"/>
      <c r="C2640" s="51"/>
      <c r="D2640" s="52"/>
      <c r="E2640" s="53"/>
      <c r="F2640" s="54"/>
      <c r="G2640" s="54"/>
      <c r="H2640" s="54"/>
      <c r="I2640" s="66"/>
      <c r="J2640" s="54"/>
      <c r="K2640" s="54"/>
      <c r="L2640" s="54"/>
      <c r="M2640" s="97" t="str">
        <f t="shared" si="227"/>
        <v/>
      </c>
      <c r="N2640" s="70"/>
      <c r="O2640" s="71" t="str">
        <f t="shared" si="231"/>
        <v/>
      </c>
      <c r="P2640" s="66"/>
      <c r="Q2640" s="66"/>
      <c r="R2640" s="54"/>
      <c r="S2640" s="82"/>
      <c r="T2640" s="83" t="str">
        <f t="shared" si="228"/>
        <v/>
      </c>
      <c r="U2640" s="10"/>
      <c r="V2640" s="41">
        <f>IF(AND(Q2640&lt;&gt;"",RIGHT(Q2640,3)&lt;&gt;""),IF(COUNTIF($Q$6:Q2640,Q2640)=1,1,0),0)</f>
        <v>0</v>
      </c>
      <c r="W2640" s="41" t="str">
        <f t="shared" si="229"/>
        <v/>
      </c>
      <c r="X2640" s="41" t="str">
        <f t="shared" si="230"/>
        <v/>
      </c>
    </row>
    <row r="2641" s="32" customFormat="1" hidden="1" customHeight="1" spans="1:24">
      <c r="A2641" s="34"/>
      <c r="B2641" s="51"/>
      <c r="C2641" s="51"/>
      <c r="D2641" s="52"/>
      <c r="E2641" s="53"/>
      <c r="F2641" s="54"/>
      <c r="G2641" s="54"/>
      <c r="H2641" s="54"/>
      <c r="I2641" s="66"/>
      <c r="J2641" s="54"/>
      <c r="K2641" s="54"/>
      <c r="L2641" s="54"/>
      <c r="M2641" s="97" t="str">
        <f t="shared" si="227"/>
        <v/>
      </c>
      <c r="N2641" s="70"/>
      <c r="O2641" s="71" t="str">
        <f t="shared" si="231"/>
        <v/>
      </c>
      <c r="P2641" s="66"/>
      <c r="Q2641" s="66"/>
      <c r="R2641" s="54"/>
      <c r="S2641" s="82"/>
      <c r="T2641" s="83" t="str">
        <f t="shared" si="228"/>
        <v/>
      </c>
      <c r="U2641" s="10"/>
      <c r="V2641" s="41">
        <f>IF(AND(Q2641&lt;&gt;"",RIGHT(Q2641,3)&lt;&gt;""),IF(COUNTIF($Q$6:Q2641,Q2641)=1,1,0),0)</f>
        <v>0</v>
      </c>
      <c r="W2641" s="41" t="str">
        <f t="shared" si="229"/>
        <v/>
      </c>
      <c r="X2641" s="41" t="str">
        <f t="shared" si="230"/>
        <v/>
      </c>
    </row>
    <row r="2642" s="32" customFormat="1" hidden="1" customHeight="1" spans="1:24">
      <c r="A2642" s="34"/>
      <c r="B2642" s="51"/>
      <c r="C2642" s="51"/>
      <c r="D2642" s="52"/>
      <c r="E2642" s="53"/>
      <c r="F2642" s="54"/>
      <c r="G2642" s="54"/>
      <c r="H2642" s="54"/>
      <c r="I2642" s="66"/>
      <c r="J2642" s="54"/>
      <c r="K2642" s="54"/>
      <c r="L2642" s="54"/>
      <c r="M2642" s="97" t="str">
        <f t="shared" si="227"/>
        <v/>
      </c>
      <c r="N2642" s="70"/>
      <c r="O2642" s="71" t="str">
        <f t="shared" si="231"/>
        <v/>
      </c>
      <c r="P2642" s="66"/>
      <c r="Q2642" s="66"/>
      <c r="R2642" s="54"/>
      <c r="S2642" s="82"/>
      <c r="T2642" s="83" t="str">
        <f t="shared" si="228"/>
        <v/>
      </c>
      <c r="U2642" s="10"/>
      <c r="V2642" s="41">
        <f>IF(AND(Q2642&lt;&gt;"",RIGHT(Q2642,3)&lt;&gt;""),IF(COUNTIF($Q$6:Q2642,Q2642)=1,1,0),0)</f>
        <v>0</v>
      </c>
      <c r="W2642" s="41" t="str">
        <f t="shared" si="229"/>
        <v/>
      </c>
      <c r="X2642" s="41" t="str">
        <f t="shared" si="230"/>
        <v/>
      </c>
    </row>
    <row r="2643" s="32" customFormat="1" hidden="1" customHeight="1" spans="1:24">
      <c r="A2643" s="34"/>
      <c r="B2643" s="51"/>
      <c r="C2643" s="51"/>
      <c r="D2643" s="52"/>
      <c r="E2643" s="53"/>
      <c r="F2643" s="54"/>
      <c r="G2643" s="54"/>
      <c r="H2643" s="54"/>
      <c r="I2643" s="66"/>
      <c r="J2643" s="54"/>
      <c r="K2643" s="54"/>
      <c r="L2643" s="54"/>
      <c r="M2643" s="97" t="str">
        <f t="shared" si="227"/>
        <v/>
      </c>
      <c r="N2643" s="70"/>
      <c r="O2643" s="71" t="str">
        <f t="shared" si="231"/>
        <v/>
      </c>
      <c r="P2643" s="66"/>
      <c r="Q2643" s="66"/>
      <c r="R2643" s="54"/>
      <c r="S2643" s="82"/>
      <c r="T2643" s="83" t="str">
        <f t="shared" si="228"/>
        <v/>
      </c>
      <c r="U2643" s="10"/>
      <c r="V2643" s="41">
        <f>IF(AND(Q2643&lt;&gt;"",RIGHT(Q2643,3)&lt;&gt;""),IF(COUNTIF($Q$6:Q2643,Q2643)=1,1,0),0)</f>
        <v>0</v>
      </c>
      <c r="W2643" s="41" t="str">
        <f t="shared" si="229"/>
        <v/>
      </c>
      <c r="X2643" s="41" t="str">
        <f t="shared" si="230"/>
        <v/>
      </c>
    </row>
    <row r="2644" s="32" customFormat="1" hidden="1" customHeight="1" spans="1:24">
      <c r="A2644" s="34"/>
      <c r="B2644" s="51"/>
      <c r="C2644" s="51"/>
      <c r="D2644" s="52"/>
      <c r="E2644" s="53"/>
      <c r="F2644" s="54"/>
      <c r="G2644" s="54"/>
      <c r="H2644" s="54"/>
      <c r="I2644" s="66"/>
      <c r="J2644" s="54"/>
      <c r="K2644" s="54"/>
      <c r="L2644" s="54"/>
      <c r="M2644" s="97" t="str">
        <f t="shared" si="227"/>
        <v/>
      </c>
      <c r="N2644" s="70"/>
      <c r="O2644" s="71" t="str">
        <f t="shared" si="231"/>
        <v/>
      </c>
      <c r="P2644" s="66"/>
      <c r="Q2644" s="66"/>
      <c r="R2644" s="54"/>
      <c r="S2644" s="82"/>
      <c r="T2644" s="83" t="str">
        <f t="shared" si="228"/>
        <v/>
      </c>
      <c r="U2644" s="10"/>
      <c r="V2644" s="41">
        <f>IF(AND(Q2644&lt;&gt;"",RIGHT(Q2644,3)&lt;&gt;""),IF(COUNTIF($Q$6:Q2644,Q2644)=1,1,0),0)</f>
        <v>0</v>
      </c>
      <c r="W2644" s="41" t="str">
        <f t="shared" si="229"/>
        <v/>
      </c>
      <c r="X2644" s="41" t="str">
        <f t="shared" si="230"/>
        <v/>
      </c>
    </row>
    <row r="2645" s="32" customFormat="1" hidden="1" customHeight="1" spans="1:24">
      <c r="A2645" s="34"/>
      <c r="B2645" s="51"/>
      <c r="C2645" s="51"/>
      <c r="D2645" s="52"/>
      <c r="E2645" s="53"/>
      <c r="F2645" s="54"/>
      <c r="G2645" s="54"/>
      <c r="H2645" s="54"/>
      <c r="I2645" s="66"/>
      <c r="J2645" s="54"/>
      <c r="K2645" s="54"/>
      <c r="L2645" s="54"/>
      <c r="M2645" s="97" t="str">
        <f t="shared" si="227"/>
        <v/>
      </c>
      <c r="N2645" s="70"/>
      <c r="O2645" s="71" t="str">
        <f t="shared" si="231"/>
        <v/>
      </c>
      <c r="P2645" s="66"/>
      <c r="Q2645" s="66"/>
      <c r="R2645" s="54"/>
      <c r="S2645" s="82"/>
      <c r="T2645" s="83" t="str">
        <f t="shared" si="228"/>
        <v/>
      </c>
      <c r="U2645" s="10"/>
      <c r="V2645" s="41">
        <f>IF(AND(Q2645&lt;&gt;"",RIGHT(Q2645,3)&lt;&gt;""),IF(COUNTIF($Q$6:Q2645,Q2645)=1,1,0),0)</f>
        <v>0</v>
      </c>
      <c r="W2645" s="41" t="str">
        <f t="shared" si="229"/>
        <v/>
      </c>
      <c r="X2645" s="41" t="str">
        <f t="shared" si="230"/>
        <v/>
      </c>
    </row>
    <row r="2646" s="32" customFormat="1" hidden="1" customHeight="1" spans="1:24">
      <c r="A2646" s="34"/>
      <c r="B2646" s="51"/>
      <c r="C2646" s="51"/>
      <c r="D2646" s="52"/>
      <c r="E2646" s="53"/>
      <c r="F2646" s="54"/>
      <c r="G2646" s="54"/>
      <c r="H2646" s="54"/>
      <c r="I2646" s="66"/>
      <c r="J2646" s="54"/>
      <c r="K2646" s="54"/>
      <c r="L2646" s="54"/>
      <c r="M2646" s="97" t="str">
        <f t="shared" si="227"/>
        <v/>
      </c>
      <c r="N2646" s="70"/>
      <c r="O2646" s="71" t="str">
        <f t="shared" si="231"/>
        <v/>
      </c>
      <c r="P2646" s="66"/>
      <c r="Q2646" s="66"/>
      <c r="R2646" s="54"/>
      <c r="S2646" s="82"/>
      <c r="T2646" s="83" t="str">
        <f t="shared" si="228"/>
        <v/>
      </c>
      <c r="U2646" s="10"/>
      <c r="V2646" s="41">
        <f>IF(AND(Q2646&lt;&gt;"",RIGHT(Q2646,3)&lt;&gt;""),IF(COUNTIF($Q$6:Q2646,Q2646)=1,1,0),0)</f>
        <v>0</v>
      </c>
      <c r="W2646" s="41" t="str">
        <f t="shared" si="229"/>
        <v/>
      </c>
      <c r="X2646" s="41" t="str">
        <f t="shared" si="230"/>
        <v/>
      </c>
    </row>
    <row r="2647" s="32" customFormat="1" hidden="1" customHeight="1" spans="1:24">
      <c r="A2647" s="34"/>
      <c r="B2647" s="51"/>
      <c r="C2647" s="51"/>
      <c r="D2647" s="52"/>
      <c r="E2647" s="53"/>
      <c r="F2647" s="54"/>
      <c r="G2647" s="54"/>
      <c r="H2647" s="54"/>
      <c r="I2647" s="66"/>
      <c r="J2647" s="54"/>
      <c r="K2647" s="54"/>
      <c r="L2647" s="54"/>
      <c r="M2647" s="97" t="str">
        <f t="shared" si="227"/>
        <v/>
      </c>
      <c r="N2647" s="70"/>
      <c r="O2647" s="71" t="str">
        <f t="shared" si="231"/>
        <v/>
      </c>
      <c r="P2647" s="66"/>
      <c r="Q2647" s="66"/>
      <c r="R2647" s="54"/>
      <c r="S2647" s="82"/>
      <c r="T2647" s="83" t="str">
        <f t="shared" si="228"/>
        <v/>
      </c>
      <c r="U2647" s="10"/>
      <c r="V2647" s="41">
        <f>IF(AND(Q2647&lt;&gt;"",RIGHT(Q2647,3)&lt;&gt;""),IF(COUNTIF($Q$6:Q2647,Q2647)=1,1,0),0)</f>
        <v>0</v>
      </c>
      <c r="W2647" s="41" t="str">
        <f t="shared" si="229"/>
        <v/>
      </c>
      <c r="X2647" s="41" t="str">
        <f t="shared" si="230"/>
        <v/>
      </c>
    </row>
    <row r="2648" s="32" customFormat="1" hidden="1" customHeight="1" spans="1:24">
      <c r="A2648" s="34"/>
      <c r="B2648" s="51"/>
      <c r="C2648" s="51"/>
      <c r="D2648" s="52"/>
      <c r="E2648" s="53"/>
      <c r="F2648" s="54"/>
      <c r="G2648" s="54"/>
      <c r="H2648" s="54"/>
      <c r="I2648" s="66"/>
      <c r="J2648" s="54"/>
      <c r="K2648" s="54"/>
      <c r="L2648" s="54"/>
      <c r="M2648" s="97" t="str">
        <f t="shared" si="227"/>
        <v/>
      </c>
      <c r="N2648" s="70"/>
      <c r="O2648" s="71" t="str">
        <f t="shared" si="231"/>
        <v/>
      </c>
      <c r="P2648" s="66"/>
      <c r="Q2648" s="66"/>
      <c r="R2648" s="54"/>
      <c r="S2648" s="82"/>
      <c r="T2648" s="83" t="str">
        <f t="shared" si="228"/>
        <v/>
      </c>
      <c r="U2648" s="10"/>
      <c r="V2648" s="41">
        <f>IF(AND(Q2648&lt;&gt;"",RIGHT(Q2648,3)&lt;&gt;""),IF(COUNTIF($Q$6:Q2648,Q2648)=1,1,0),0)</f>
        <v>0</v>
      </c>
      <c r="W2648" s="41" t="str">
        <f t="shared" si="229"/>
        <v/>
      </c>
      <c r="X2648" s="41" t="str">
        <f t="shared" si="230"/>
        <v/>
      </c>
    </row>
    <row r="2649" s="32" customFormat="1" hidden="1" customHeight="1" spans="1:24">
      <c r="A2649" s="34"/>
      <c r="B2649" s="51"/>
      <c r="C2649" s="51"/>
      <c r="D2649" s="52"/>
      <c r="E2649" s="53"/>
      <c r="F2649" s="54"/>
      <c r="G2649" s="54"/>
      <c r="H2649" s="54"/>
      <c r="I2649" s="66"/>
      <c r="J2649" s="54"/>
      <c r="K2649" s="54"/>
      <c r="L2649" s="54"/>
      <c r="M2649" s="97" t="str">
        <f t="shared" si="227"/>
        <v/>
      </c>
      <c r="N2649" s="70"/>
      <c r="O2649" s="71" t="str">
        <f t="shared" si="231"/>
        <v/>
      </c>
      <c r="P2649" s="66"/>
      <c r="Q2649" s="66"/>
      <c r="R2649" s="54"/>
      <c r="S2649" s="82"/>
      <c r="T2649" s="83" t="str">
        <f t="shared" si="228"/>
        <v/>
      </c>
      <c r="U2649" s="10"/>
      <c r="V2649" s="41">
        <f>IF(AND(Q2649&lt;&gt;"",RIGHT(Q2649,3)&lt;&gt;""),IF(COUNTIF($Q$6:Q2649,Q2649)=1,1,0),0)</f>
        <v>0</v>
      </c>
      <c r="W2649" s="41" t="str">
        <f t="shared" si="229"/>
        <v/>
      </c>
      <c r="X2649" s="41" t="str">
        <f t="shared" si="230"/>
        <v/>
      </c>
    </row>
    <row r="2650" s="32" customFormat="1" hidden="1" customHeight="1" spans="1:24">
      <c r="A2650" s="34"/>
      <c r="B2650" s="51"/>
      <c r="C2650" s="51"/>
      <c r="D2650" s="52"/>
      <c r="E2650" s="53"/>
      <c r="F2650" s="54"/>
      <c r="G2650" s="54"/>
      <c r="H2650" s="54"/>
      <c r="I2650" s="66"/>
      <c r="J2650" s="54"/>
      <c r="K2650" s="54"/>
      <c r="L2650" s="54"/>
      <c r="M2650" s="97" t="str">
        <f t="shared" si="227"/>
        <v/>
      </c>
      <c r="N2650" s="70"/>
      <c r="O2650" s="71" t="str">
        <f t="shared" si="231"/>
        <v/>
      </c>
      <c r="P2650" s="66"/>
      <c r="Q2650" s="66"/>
      <c r="R2650" s="54"/>
      <c r="S2650" s="82"/>
      <c r="T2650" s="83" t="str">
        <f t="shared" si="228"/>
        <v/>
      </c>
      <c r="U2650" s="10"/>
      <c r="V2650" s="41">
        <f>IF(AND(Q2650&lt;&gt;"",RIGHT(Q2650,3)&lt;&gt;""),IF(COUNTIF($Q$6:Q2650,Q2650)=1,1,0),0)</f>
        <v>0</v>
      </c>
      <c r="W2650" s="41" t="str">
        <f t="shared" si="229"/>
        <v/>
      </c>
      <c r="X2650" s="41" t="str">
        <f t="shared" si="230"/>
        <v/>
      </c>
    </row>
    <row r="2651" s="32" customFormat="1" hidden="1" customHeight="1" spans="1:24">
      <c r="A2651" s="34"/>
      <c r="B2651" s="51"/>
      <c r="C2651" s="51"/>
      <c r="D2651" s="52"/>
      <c r="E2651" s="53"/>
      <c r="F2651" s="54"/>
      <c r="G2651" s="54"/>
      <c r="H2651" s="54"/>
      <c r="I2651" s="66"/>
      <c r="J2651" s="54"/>
      <c r="K2651" s="54"/>
      <c r="L2651" s="54"/>
      <c r="M2651" s="97" t="str">
        <f t="shared" si="227"/>
        <v/>
      </c>
      <c r="N2651" s="70"/>
      <c r="O2651" s="71" t="str">
        <f t="shared" si="231"/>
        <v/>
      </c>
      <c r="P2651" s="66"/>
      <c r="Q2651" s="66"/>
      <c r="R2651" s="54"/>
      <c r="S2651" s="82"/>
      <c r="T2651" s="83" t="str">
        <f t="shared" si="228"/>
        <v/>
      </c>
      <c r="U2651" s="10"/>
      <c r="V2651" s="41">
        <f>IF(AND(Q2651&lt;&gt;"",RIGHT(Q2651,3)&lt;&gt;""),IF(COUNTIF($Q$6:Q2651,Q2651)=1,1,0),0)</f>
        <v>0</v>
      </c>
      <c r="W2651" s="41" t="str">
        <f t="shared" si="229"/>
        <v/>
      </c>
      <c r="X2651" s="41" t="str">
        <f t="shared" si="230"/>
        <v/>
      </c>
    </row>
    <row r="2652" s="32" customFormat="1" hidden="1" customHeight="1" spans="1:24">
      <c r="A2652" s="34"/>
      <c r="B2652" s="51"/>
      <c r="C2652" s="51"/>
      <c r="D2652" s="52"/>
      <c r="E2652" s="53"/>
      <c r="F2652" s="54"/>
      <c r="G2652" s="54"/>
      <c r="H2652" s="54"/>
      <c r="I2652" s="66"/>
      <c r="J2652" s="54"/>
      <c r="K2652" s="54"/>
      <c r="L2652" s="54"/>
      <c r="M2652" s="97" t="str">
        <f t="shared" si="227"/>
        <v/>
      </c>
      <c r="N2652" s="70"/>
      <c r="O2652" s="71" t="str">
        <f t="shared" si="231"/>
        <v/>
      </c>
      <c r="P2652" s="66"/>
      <c r="Q2652" s="66"/>
      <c r="R2652" s="54"/>
      <c r="S2652" s="82"/>
      <c r="T2652" s="83" t="str">
        <f t="shared" si="228"/>
        <v/>
      </c>
      <c r="U2652" s="10"/>
      <c r="V2652" s="41">
        <f>IF(AND(Q2652&lt;&gt;"",RIGHT(Q2652,3)&lt;&gt;""),IF(COUNTIF($Q$6:Q2652,Q2652)=1,1,0),0)</f>
        <v>0</v>
      </c>
      <c r="W2652" s="41" t="str">
        <f t="shared" si="229"/>
        <v/>
      </c>
      <c r="X2652" s="41" t="str">
        <f t="shared" si="230"/>
        <v/>
      </c>
    </row>
    <row r="2653" s="32" customFormat="1" hidden="1" customHeight="1" spans="1:24">
      <c r="A2653" s="34"/>
      <c r="B2653" s="51"/>
      <c r="C2653" s="51"/>
      <c r="D2653" s="52"/>
      <c r="E2653" s="53"/>
      <c r="F2653" s="54"/>
      <c r="G2653" s="54"/>
      <c r="H2653" s="54"/>
      <c r="I2653" s="66"/>
      <c r="J2653" s="54"/>
      <c r="K2653" s="54"/>
      <c r="L2653" s="54"/>
      <c r="M2653" s="97" t="str">
        <f t="shared" si="227"/>
        <v/>
      </c>
      <c r="N2653" s="70"/>
      <c r="O2653" s="71" t="str">
        <f t="shared" si="231"/>
        <v/>
      </c>
      <c r="P2653" s="66"/>
      <c r="Q2653" s="66"/>
      <c r="R2653" s="54"/>
      <c r="S2653" s="82"/>
      <c r="T2653" s="83" t="str">
        <f t="shared" si="228"/>
        <v/>
      </c>
      <c r="U2653" s="10"/>
      <c r="V2653" s="41">
        <f>IF(AND(Q2653&lt;&gt;"",RIGHT(Q2653,3)&lt;&gt;""),IF(COUNTIF($Q$6:Q2653,Q2653)=1,1,0),0)</f>
        <v>0</v>
      </c>
      <c r="W2653" s="41" t="str">
        <f t="shared" si="229"/>
        <v/>
      </c>
      <c r="X2653" s="41" t="str">
        <f t="shared" si="230"/>
        <v/>
      </c>
    </row>
    <row r="2654" s="32" customFormat="1" hidden="1" customHeight="1" spans="1:24">
      <c r="A2654" s="34"/>
      <c r="B2654" s="51"/>
      <c r="C2654" s="51"/>
      <c r="D2654" s="52"/>
      <c r="E2654" s="53"/>
      <c r="F2654" s="54"/>
      <c r="G2654" s="54"/>
      <c r="H2654" s="54"/>
      <c r="I2654" s="66"/>
      <c r="J2654" s="54"/>
      <c r="K2654" s="54"/>
      <c r="L2654" s="54"/>
      <c r="M2654" s="97" t="str">
        <f t="shared" si="227"/>
        <v/>
      </c>
      <c r="N2654" s="70"/>
      <c r="O2654" s="71" t="str">
        <f t="shared" si="231"/>
        <v/>
      </c>
      <c r="P2654" s="66"/>
      <c r="Q2654" s="66"/>
      <c r="R2654" s="54"/>
      <c r="S2654" s="82"/>
      <c r="T2654" s="83" t="str">
        <f t="shared" si="228"/>
        <v/>
      </c>
      <c r="U2654" s="10"/>
      <c r="V2654" s="41">
        <f>IF(AND(Q2654&lt;&gt;"",RIGHT(Q2654,3)&lt;&gt;""),IF(COUNTIF($Q$6:Q2654,Q2654)=1,1,0),0)</f>
        <v>0</v>
      </c>
      <c r="W2654" s="41" t="str">
        <f t="shared" si="229"/>
        <v/>
      </c>
      <c r="X2654" s="41" t="str">
        <f t="shared" si="230"/>
        <v/>
      </c>
    </row>
    <row r="2655" s="32" customFormat="1" hidden="1" customHeight="1" spans="1:24">
      <c r="A2655" s="34"/>
      <c r="B2655" s="51"/>
      <c r="C2655" s="51"/>
      <c r="D2655" s="52"/>
      <c r="E2655" s="53"/>
      <c r="F2655" s="54"/>
      <c r="G2655" s="54"/>
      <c r="H2655" s="54"/>
      <c r="I2655" s="66"/>
      <c r="J2655" s="54"/>
      <c r="K2655" s="54"/>
      <c r="L2655" s="54"/>
      <c r="M2655" s="97" t="str">
        <f t="shared" si="227"/>
        <v/>
      </c>
      <c r="N2655" s="70"/>
      <c r="O2655" s="71" t="str">
        <f t="shared" si="231"/>
        <v/>
      </c>
      <c r="P2655" s="66"/>
      <c r="Q2655" s="66"/>
      <c r="R2655" s="54"/>
      <c r="S2655" s="82"/>
      <c r="T2655" s="83" t="str">
        <f t="shared" si="228"/>
        <v/>
      </c>
      <c r="U2655" s="10"/>
      <c r="V2655" s="41">
        <f>IF(AND(Q2655&lt;&gt;"",RIGHT(Q2655,3)&lt;&gt;""),IF(COUNTIF($Q$6:Q2655,Q2655)=1,1,0),0)</f>
        <v>0</v>
      </c>
      <c r="W2655" s="41" t="str">
        <f t="shared" si="229"/>
        <v/>
      </c>
      <c r="X2655" s="41" t="str">
        <f t="shared" si="230"/>
        <v/>
      </c>
    </row>
    <row r="2656" s="32" customFormat="1" hidden="1" customHeight="1" spans="1:24">
      <c r="A2656" s="34"/>
      <c r="B2656" s="51"/>
      <c r="C2656" s="51"/>
      <c r="D2656" s="52"/>
      <c r="E2656" s="53"/>
      <c r="F2656" s="54"/>
      <c r="G2656" s="54"/>
      <c r="H2656" s="54"/>
      <c r="I2656" s="66"/>
      <c r="J2656" s="54"/>
      <c r="K2656" s="54"/>
      <c r="L2656" s="54"/>
      <c r="M2656" s="97" t="str">
        <f t="shared" si="227"/>
        <v/>
      </c>
      <c r="N2656" s="70"/>
      <c r="O2656" s="71" t="str">
        <f t="shared" si="231"/>
        <v/>
      </c>
      <c r="P2656" s="66"/>
      <c r="Q2656" s="66"/>
      <c r="R2656" s="54"/>
      <c r="S2656" s="82"/>
      <c r="T2656" s="83" t="str">
        <f t="shared" si="228"/>
        <v/>
      </c>
      <c r="U2656" s="10"/>
      <c r="V2656" s="41">
        <f>IF(AND(Q2656&lt;&gt;"",RIGHT(Q2656,3)&lt;&gt;""),IF(COUNTIF($Q$6:Q2656,Q2656)=1,1,0),0)</f>
        <v>0</v>
      </c>
      <c r="W2656" s="41" t="str">
        <f t="shared" si="229"/>
        <v/>
      </c>
      <c r="X2656" s="41" t="str">
        <f t="shared" si="230"/>
        <v/>
      </c>
    </row>
    <row r="2657" s="32" customFormat="1" hidden="1" customHeight="1" spans="1:24">
      <c r="A2657" s="34"/>
      <c r="B2657" s="51"/>
      <c r="C2657" s="51"/>
      <c r="D2657" s="52"/>
      <c r="E2657" s="53"/>
      <c r="F2657" s="54"/>
      <c r="G2657" s="54"/>
      <c r="H2657" s="54"/>
      <c r="I2657" s="66"/>
      <c r="J2657" s="54"/>
      <c r="K2657" s="54"/>
      <c r="L2657" s="54"/>
      <c r="M2657" s="97" t="str">
        <f t="shared" si="227"/>
        <v/>
      </c>
      <c r="N2657" s="70"/>
      <c r="O2657" s="71" t="str">
        <f t="shared" si="231"/>
        <v/>
      </c>
      <c r="P2657" s="66"/>
      <c r="Q2657" s="66"/>
      <c r="R2657" s="54"/>
      <c r="S2657" s="82"/>
      <c r="T2657" s="83" t="str">
        <f t="shared" si="228"/>
        <v/>
      </c>
      <c r="U2657" s="10"/>
      <c r="V2657" s="41">
        <f>IF(AND(Q2657&lt;&gt;"",RIGHT(Q2657,3)&lt;&gt;""),IF(COUNTIF($Q$6:Q2657,Q2657)=1,1,0),0)</f>
        <v>0</v>
      </c>
      <c r="W2657" s="41" t="str">
        <f t="shared" si="229"/>
        <v/>
      </c>
      <c r="X2657" s="41" t="str">
        <f t="shared" si="230"/>
        <v/>
      </c>
    </row>
    <row r="2658" s="32" customFormat="1" hidden="1" customHeight="1" spans="1:24">
      <c r="A2658" s="34"/>
      <c r="B2658" s="51"/>
      <c r="C2658" s="51"/>
      <c r="D2658" s="52"/>
      <c r="E2658" s="53"/>
      <c r="F2658" s="54"/>
      <c r="G2658" s="54"/>
      <c r="H2658" s="54"/>
      <c r="I2658" s="66"/>
      <c r="J2658" s="54"/>
      <c r="K2658" s="54"/>
      <c r="L2658" s="54"/>
      <c r="M2658" s="97" t="str">
        <f t="shared" si="227"/>
        <v/>
      </c>
      <c r="N2658" s="70"/>
      <c r="O2658" s="71" t="str">
        <f t="shared" si="231"/>
        <v/>
      </c>
      <c r="P2658" s="66"/>
      <c r="Q2658" s="66"/>
      <c r="R2658" s="54"/>
      <c r="S2658" s="82"/>
      <c r="T2658" s="83" t="str">
        <f t="shared" si="228"/>
        <v/>
      </c>
      <c r="U2658" s="10"/>
      <c r="V2658" s="41">
        <f>IF(AND(Q2658&lt;&gt;"",RIGHT(Q2658,3)&lt;&gt;""),IF(COUNTIF($Q$6:Q2658,Q2658)=1,1,0),0)</f>
        <v>0</v>
      </c>
      <c r="W2658" s="41" t="str">
        <f t="shared" si="229"/>
        <v/>
      </c>
      <c r="X2658" s="41" t="str">
        <f t="shared" si="230"/>
        <v/>
      </c>
    </row>
    <row r="2659" s="32" customFormat="1" hidden="1" customHeight="1" spans="1:24">
      <c r="A2659" s="34"/>
      <c r="B2659" s="51"/>
      <c r="C2659" s="51"/>
      <c r="D2659" s="52"/>
      <c r="E2659" s="53"/>
      <c r="F2659" s="54"/>
      <c r="G2659" s="54"/>
      <c r="H2659" s="54"/>
      <c r="I2659" s="66"/>
      <c r="J2659" s="54"/>
      <c r="K2659" s="54"/>
      <c r="L2659" s="54"/>
      <c r="M2659" s="97" t="str">
        <f t="shared" si="227"/>
        <v/>
      </c>
      <c r="N2659" s="70"/>
      <c r="O2659" s="71" t="str">
        <f t="shared" si="231"/>
        <v/>
      </c>
      <c r="P2659" s="66"/>
      <c r="Q2659" s="66"/>
      <c r="R2659" s="54"/>
      <c r="S2659" s="82"/>
      <c r="T2659" s="83" t="str">
        <f t="shared" si="228"/>
        <v/>
      </c>
      <c r="U2659" s="10"/>
      <c r="V2659" s="41">
        <f>IF(AND(Q2659&lt;&gt;"",RIGHT(Q2659,3)&lt;&gt;""),IF(COUNTIF($Q$6:Q2659,Q2659)=1,1,0),0)</f>
        <v>0</v>
      </c>
      <c r="W2659" s="41" t="str">
        <f t="shared" si="229"/>
        <v/>
      </c>
      <c r="X2659" s="41" t="str">
        <f t="shared" si="230"/>
        <v/>
      </c>
    </row>
    <row r="2660" s="32" customFormat="1" hidden="1" customHeight="1" spans="1:24">
      <c r="A2660" s="34"/>
      <c r="B2660" s="51"/>
      <c r="C2660" s="51"/>
      <c r="D2660" s="52"/>
      <c r="E2660" s="53"/>
      <c r="F2660" s="54"/>
      <c r="G2660" s="54"/>
      <c r="H2660" s="54"/>
      <c r="I2660" s="66"/>
      <c r="J2660" s="54"/>
      <c r="K2660" s="54"/>
      <c r="L2660" s="54"/>
      <c r="M2660" s="97" t="str">
        <f t="shared" ref="M2660:M2723" si="232">IF(L2660="","",HYPERLINK(_xlfn.CONCAT($L$4,L2660,".jpg"),"Open File"))</f>
        <v/>
      </c>
      <c r="N2660" s="70"/>
      <c r="O2660" s="71" t="str">
        <f t="shared" si="231"/>
        <v/>
      </c>
      <c r="P2660" s="66"/>
      <c r="Q2660" s="66"/>
      <c r="R2660" s="54"/>
      <c r="S2660" s="82"/>
      <c r="T2660" s="83" t="str">
        <f t="shared" ref="T2660:T2723" si="233">IF(S2660="","",HYPERLINK(_xlfn.CONCAT($S$4,S2660,".jpg"),"Open File"))</f>
        <v/>
      </c>
      <c r="U2660" s="10"/>
      <c r="V2660" s="41">
        <f>IF(AND(Q2660&lt;&gt;"",RIGHT(Q2660,3)&lt;&gt;""),IF(COUNTIF($Q$6:Q2660,Q2660)=1,1,0),0)</f>
        <v>0</v>
      </c>
      <c r="W2660" s="41" t="str">
        <f t="shared" ref="W2660:W2723" si="234">IF(AND(J2660&lt;&gt;"",K2660&lt;&gt;""),_xlfn.CONCAT(SUBSTITUTE(J2660,"/","."),"-",K2660),"")</f>
        <v/>
      </c>
      <c r="X2660" s="41" t="str">
        <f t="shared" ref="X2660:X2723" si="235">IF(AND(Q2660&lt;&gt;"",R2660&lt;&gt;""),_xlfn.CONCAT(SUBSTITUTE(Q2660,"/","."),"-",R2660),"")</f>
        <v/>
      </c>
    </row>
    <row r="2661" s="32" customFormat="1" hidden="1" customHeight="1" spans="1:24">
      <c r="A2661" s="34"/>
      <c r="B2661" s="51"/>
      <c r="C2661" s="51"/>
      <c r="D2661" s="52"/>
      <c r="E2661" s="53"/>
      <c r="F2661" s="54"/>
      <c r="G2661" s="54"/>
      <c r="H2661" s="54"/>
      <c r="I2661" s="66"/>
      <c r="J2661" s="54"/>
      <c r="K2661" s="54"/>
      <c r="L2661" s="54"/>
      <c r="M2661" s="97" t="str">
        <f t="shared" si="232"/>
        <v/>
      </c>
      <c r="N2661" s="70"/>
      <c r="O2661" s="71" t="str">
        <f t="shared" si="231"/>
        <v/>
      </c>
      <c r="P2661" s="66"/>
      <c r="Q2661" s="66"/>
      <c r="R2661" s="54"/>
      <c r="S2661" s="82"/>
      <c r="T2661" s="83" t="str">
        <f t="shared" si="233"/>
        <v/>
      </c>
      <c r="U2661" s="10"/>
      <c r="V2661" s="41">
        <f>IF(AND(Q2661&lt;&gt;"",RIGHT(Q2661,3)&lt;&gt;""),IF(COUNTIF($Q$6:Q2661,Q2661)=1,1,0),0)</f>
        <v>0</v>
      </c>
      <c r="W2661" s="41" t="str">
        <f t="shared" si="234"/>
        <v/>
      </c>
      <c r="X2661" s="41" t="str">
        <f t="shared" si="235"/>
        <v/>
      </c>
    </row>
    <row r="2662" s="32" customFormat="1" hidden="1" customHeight="1" spans="1:24">
      <c r="A2662" s="34"/>
      <c r="B2662" s="51"/>
      <c r="C2662" s="51"/>
      <c r="D2662" s="52"/>
      <c r="E2662" s="53"/>
      <c r="F2662" s="54"/>
      <c r="G2662" s="54"/>
      <c r="H2662" s="54"/>
      <c r="I2662" s="66"/>
      <c r="J2662" s="54"/>
      <c r="K2662" s="54"/>
      <c r="L2662" s="54"/>
      <c r="M2662" s="97" t="str">
        <f t="shared" si="232"/>
        <v/>
      </c>
      <c r="N2662" s="70"/>
      <c r="O2662" s="71" t="str">
        <f t="shared" si="231"/>
        <v/>
      </c>
      <c r="P2662" s="66"/>
      <c r="Q2662" s="66"/>
      <c r="R2662" s="54"/>
      <c r="S2662" s="82"/>
      <c r="T2662" s="83" t="str">
        <f t="shared" si="233"/>
        <v/>
      </c>
      <c r="U2662" s="10"/>
      <c r="V2662" s="41">
        <f>IF(AND(Q2662&lt;&gt;"",RIGHT(Q2662,3)&lt;&gt;""),IF(COUNTIF($Q$6:Q2662,Q2662)=1,1,0),0)</f>
        <v>0</v>
      </c>
      <c r="W2662" s="41" t="str">
        <f t="shared" si="234"/>
        <v/>
      </c>
      <c r="X2662" s="41" t="str">
        <f t="shared" si="235"/>
        <v/>
      </c>
    </row>
    <row r="2663" s="32" customFormat="1" hidden="1" customHeight="1" spans="1:24">
      <c r="A2663" s="34"/>
      <c r="B2663" s="51"/>
      <c r="C2663" s="51"/>
      <c r="D2663" s="52"/>
      <c r="E2663" s="53"/>
      <c r="F2663" s="54"/>
      <c r="G2663" s="54"/>
      <c r="H2663" s="54"/>
      <c r="I2663" s="66"/>
      <c r="J2663" s="54"/>
      <c r="K2663" s="54"/>
      <c r="L2663" s="54"/>
      <c r="M2663" s="97" t="str">
        <f t="shared" si="232"/>
        <v/>
      </c>
      <c r="N2663" s="70"/>
      <c r="O2663" s="71" t="str">
        <f t="shared" si="231"/>
        <v/>
      </c>
      <c r="P2663" s="66"/>
      <c r="Q2663" s="66"/>
      <c r="R2663" s="54"/>
      <c r="S2663" s="82"/>
      <c r="T2663" s="83" t="str">
        <f t="shared" si="233"/>
        <v/>
      </c>
      <c r="U2663" s="10"/>
      <c r="V2663" s="41">
        <f>IF(AND(Q2663&lt;&gt;"",RIGHT(Q2663,3)&lt;&gt;""),IF(COUNTIF($Q$6:Q2663,Q2663)=1,1,0),0)</f>
        <v>0</v>
      </c>
      <c r="W2663" s="41" t="str">
        <f t="shared" si="234"/>
        <v/>
      </c>
      <c r="X2663" s="41" t="str">
        <f t="shared" si="235"/>
        <v/>
      </c>
    </row>
    <row r="2664" s="32" customFormat="1" hidden="1" customHeight="1" spans="1:24">
      <c r="A2664" s="34"/>
      <c r="B2664" s="51"/>
      <c r="C2664" s="51"/>
      <c r="D2664" s="52"/>
      <c r="E2664" s="53"/>
      <c r="F2664" s="54"/>
      <c r="G2664" s="54"/>
      <c r="H2664" s="54"/>
      <c r="I2664" s="66"/>
      <c r="J2664" s="54"/>
      <c r="K2664" s="54"/>
      <c r="L2664" s="54"/>
      <c r="M2664" s="97" t="str">
        <f t="shared" si="232"/>
        <v/>
      </c>
      <c r="N2664" s="70"/>
      <c r="O2664" s="71" t="str">
        <f t="shared" si="231"/>
        <v/>
      </c>
      <c r="P2664" s="66"/>
      <c r="Q2664" s="66"/>
      <c r="R2664" s="54"/>
      <c r="S2664" s="82"/>
      <c r="T2664" s="83" t="str">
        <f t="shared" si="233"/>
        <v/>
      </c>
      <c r="U2664" s="10"/>
      <c r="V2664" s="41">
        <f>IF(AND(Q2664&lt;&gt;"",RIGHT(Q2664,3)&lt;&gt;""),IF(COUNTIF($Q$6:Q2664,Q2664)=1,1,0),0)</f>
        <v>0</v>
      </c>
      <c r="W2664" s="41" t="str">
        <f t="shared" si="234"/>
        <v/>
      </c>
      <c r="X2664" s="41" t="str">
        <f t="shared" si="235"/>
        <v/>
      </c>
    </row>
    <row r="2665" s="32" customFormat="1" hidden="1" customHeight="1" spans="1:24">
      <c r="A2665" s="34"/>
      <c r="B2665" s="51"/>
      <c r="C2665" s="51"/>
      <c r="D2665" s="52"/>
      <c r="E2665" s="53"/>
      <c r="F2665" s="54"/>
      <c r="G2665" s="54"/>
      <c r="H2665" s="54"/>
      <c r="I2665" s="66"/>
      <c r="J2665" s="54"/>
      <c r="K2665" s="54"/>
      <c r="L2665" s="54"/>
      <c r="M2665" s="97" t="str">
        <f t="shared" si="232"/>
        <v/>
      </c>
      <c r="N2665" s="70"/>
      <c r="O2665" s="71" t="str">
        <f t="shared" si="231"/>
        <v/>
      </c>
      <c r="P2665" s="66"/>
      <c r="Q2665" s="66"/>
      <c r="R2665" s="54"/>
      <c r="S2665" s="82"/>
      <c r="T2665" s="83" t="str">
        <f t="shared" si="233"/>
        <v/>
      </c>
      <c r="U2665" s="10"/>
      <c r="V2665" s="41">
        <f>IF(AND(Q2665&lt;&gt;"",RIGHT(Q2665,3)&lt;&gt;""),IF(COUNTIF($Q$6:Q2665,Q2665)=1,1,0),0)</f>
        <v>0</v>
      </c>
      <c r="W2665" s="41" t="str">
        <f t="shared" si="234"/>
        <v/>
      </c>
      <c r="X2665" s="41" t="str">
        <f t="shared" si="235"/>
        <v/>
      </c>
    </row>
    <row r="2666" s="32" customFormat="1" hidden="1" customHeight="1" spans="1:24">
      <c r="A2666" s="34"/>
      <c r="B2666" s="51"/>
      <c r="C2666" s="51"/>
      <c r="D2666" s="52"/>
      <c r="E2666" s="53"/>
      <c r="F2666" s="54"/>
      <c r="G2666" s="54"/>
      <c r="H2666" s="54"/>
      <c r="I2666" s="66"/>
      <c r="J2666" s="54"/>
      <c r="K2666" s="54"/>
      <c r="L2666" s="54"/>
      <c r="M2666" s="97" t="str">
        <f t="shared" si="232"/>
        <v/>
      </c>
      <c r="N2666" s="70"/>
      <c r="O2666" s="71" t="str">
        <f t="shared" si="231"/>
        <v/>
      </c>
      <c r="P2666" s="66"/>
      <c r="Q2666" s="66"/>
      <c r="R2666" s="54"/>
      <c r="S2666" s="82"/>
      <c r="T2666" s="83" t="str">
        <f t="shared" si="233"/>
        <v/>
      </c>
      <c r="U2666" s="10"/>
      <c r="V2666" s="41">
        <f>IF(AND(Q2666&lt;&gt;"",RIGHT(Q2666,3)&lt;&gt;""),IF(COUNTIF($Q$6:Q2666,Q2666)=1,1,0),0)</f>
        <v>0</v>
      </c>
      <c r="W2666" s="41" t="str">
        <f t="shared" si="234"/>
        <v/>
      </c>
      <c r="X2666" s="41" t="str">
        <f t="shared" si="235"/>
        <v/>
      </c>
    </row>
    <row r="2667" s="32" customFormat="1" hidden="1" customHeight="1" spans="1:24">
      <c r="A2667" s="34"/>
      <c r="B2667" s="51"/>
      <c r="C2667" s="51"/>
      <c r="D2667" s="52"/>
      <c r="E2667" s="53"/>
      <c r="F2667" s="54"/>
      <c r="G2667" s="54"/>
      <c r="H2667" s="54"/>
      <c r="I2667" s="66"/>
      <c r="J2667" s="54"/>
      <c r="K2667" s="54"/>
      <c r="L2667" s="54"/>
      <c r="M2667" s="97" t="str">
        <f t="shared" si="232"/>
        <v/>
      </c>
      <c r="N2667" s="70"/>
      <c r="O2667" s="71" t="str">
        <f t="shared" si="231"/>
        <v/>
      </c>
      <c r="P2667" s="66"/>
      <c r="Q2667" s="66"/>
      <c r="R2667" s="54"/>
      <c r="S2667" s="82"/>
      <c r="T2667" s="83" t="str">
        <f t="shared" si="233"/>
        <v/>
      </c>
      <c r="U2667" s="10"/>
      <c r="V2667" s="41">
        <f>IF(AND(Q2667&lt;&gt;"",RIGHT(Q2667,3)&lt;&gt;""),IF(COUNTIF($Q$6:Q2667,Q2667)=1,1,0),0)</f>
        <v>0</v>
      </c>
      <c r="W2667" s="41" t="str">
        <f t="shared" si="234"/>
        <v/>
      </c>
      <c r="X2667" s="41" t="str">
        <f t="shared" si="235"/>
        <v/>
      </c>
    </row>
    <row r="2668" s="32" customFormat="1" hidden="1" customHeight="1" spans="1:24">
      <c r="A2668" s="34"/>
      <c r="B2668" s="51"/>
      <c r="C2668" s="51"/>
      <c r="D2668" s="52"/>
      <c r="E2668" s="53"/>
      <c r="F2668" s="54"/>
      <c r="G2668" s="54"/>
      <c r="H2668" s="54"/>
      <c r="I2668" s="66"/>
      <c r="J2668" s="54"/>
      <c r="K2668" s="54"/>
      <c r="L2668" s="54"/>
      <c r="M2668" s="97" t="str">
        <f t="shared" si="232"/>
        <v/>
      </c>
      <c r="N2668" s="70"/>
      <c r="O2668" s="71" t="str">
        <f t="shared" si="231"/>
        <v/>
      </c>
      <c r="P2668" s="66"/>
      <c r="Q2668" s="66"/>
      <c r="R2668" s="54"/>
      <c r="S2668" s="82"/>
      <c r="T2668" s="83" t="str">
        <f t="shared" si="233"/>
        <v/>
      </c>
      <c r="U2668" s="10"/>
      <c r="V2668" s="41">
        <f>IF(AND(Q2668&lt;&gt;"",RIGHT(Q2668,3)&lt;&gt;""),IF(COUNTIF($Q$6:Q2668,Q2668)=1,1,0),0)</f>
        <v>0</v>
      </c>
      <c r="W2668" s="41" t="str">
        <f t="shared" si="234"/>
        <v/>
      </c>
      <c r="X2668" s="41" t="str">
        <f t="shared" si="235"/>
        <v/>
      </c>
    </row>
    <row r="2669" s="32" customFormat="1" hidden="1" customHeight="1" spans="1:24">
      <c r="A2669" s="34"/>
      <c r="B2669" s="51"/>
      <c r="C2669" s="51"/>
      <c r="D2669" s="52"/>
      <c r="E2669" s="53"/>
      <c r="F2669" s="54"/>
      <c r="G2669" s="54"/>
      <c r="H2669" s="54"/>
      <c r="I2669" s="66"/>
      <c r="J2669" s="54"/>
      <c r="K2669" s="54"/>
      <c r="L2669" s="54"/>
      <c r="M2669" s="97" t="str">
        <f t="shared" si="232"/>
        <v/>
      </c>
      <c r="N2669" s="70"/>
      <c r="O2669" s="71" t="str">
        <f t="shared" si="231"/>
        <v/>
      </c>
      <c r="P2669" s="66"/>
      <c r="Q2669" s="66"/>
      <c r="R2669" s="54"/>
      <c r="S2669" s="82"/>
      <c r="T2669" s="83" t="str">
        <f t="shared" si="233"/>
        <v/>
      </c>
      <c r="U2669" s="10"/>
      <c r="V2669" s="41">
        <f>IF(AND(Q2669&lt;&gt;"",RIGHT(Q2669,3)&lt;&gt;""),IF(COUNTIF($Q$6:Q2669,Q2669)=1,1,0),0)</f>
        <v>0</v>
      </c>
      <c r="W2669" s="41" t="str">
        <f t="shared" si="234"/>
        <v/>
      </c>
      <c r="X2669" s="41" t="str">
        <f t="shared" si="235"/>
        <v/>
      </c>
    </row>
    <row r="2670" s="32" customFormat="1" hidden="1" customHeight="1" spans="1:24">
      <c r="A2670" s="34"/>
      <c r="B2670" s="51"/>
      <c r="C2670" s="51"/>
      <c r="D2670" s="52"/>
      <c r="E2670" s="53"/>
      <c r="F2670" s="54"/>
      <c r="G2670" s="54"/>
      <c r="H2670" s="54"/>
      <c r="I2670" s="66"/>
      <c r="J2670" s="54"/>
      <c r="K2670" s="54"/>
      <c r="L2670" s="54"/>
      <c r="M2670" s="97" t="str">
        <f t="shared" si="232"/>
        <v/>
      </c>
      <c r="N2670" s="70"/>
      <c r="O2670" s="71" t="str">
        <f t="shared" si="231"/>
        <v/>
      </c>
      <c r="P2670" s="66"/>
      <c r="Q2670" s="66"/>
      <c r="R2670" s="54"/>
      <c r="S2670" s="82"/>
      <c r="T2670" s="83" t="str">
        <f t="shared" si="233"/>
        <v/>
      </c>
      <c r="U2670" s="10"/>
      <c r="V2670" s="41">
        <f>IF(AND(Q2670&lt;&gt;"",RIGHT(Q2670,3)&lt;&gt;""),IF(COUNTIF($Q$6:Q2670,Q2670)=1,1,0),0)</f>
        <v>0</v>
      </c>
      <c r="W2670" s="41" t="str">
        <f t="shared" si="234"/>
        <v/>
      </c>
      <c r="X2670" s="41" t="str">
        <f t="shared" si="235"/>
        <v/>
      </c>
    </row>
    <row r="2671" s="32" customFormat="1" hidden="1" customHeight="1" spans="1:24">
      <c r="A2671" s="34"/>
      <c r="B2671" s="51"/>
      <c r="C2671" s="51"/>
      <c r="D2671" s="52"/>
      <c r="E2671" s="53"/>
      <c r="F2671" s="54"/>
      <c r="G2671" s="54"/>
      <c r="H2671" s="54"/>
      <c r="I2671" s="66"/>
      <c r="J2671" s="54"/>
      <c r="K2671" s="54"/>
      <c r="L2671" s="54"/>
      <c r="M2671" s="97" t="str">
        <f t="shared" si="232"/>
        <v/>
      </c>
      <c r="N2671" s="70"/>
      <c r="O2671" s="71" t="str">
        <f t="shared" si="231"/>
        <v/>
      </c>
      <c r="P2671" s="66"/>
      <c r="Q2671" s="66"/>
      <c r="R2671" s="54"/>
      <c r="S2671" s="82"/>
      <c r="T2671" s="83" t="str">
        <f t="shared" si="233"/>
        <v/>
      </c>
      <c r="U2671" s="10"/>
      <c r="V2671" s="41">
        <f>IF(AND(Q2671&lt;&gt;"",RIGHT(Q2671,3)&lt;&gt;""),IF(COUNTIF($Q$6:Q2671,Q2671)=1,1,0),0)</f>
        <v>0</v>
      </c>
      <c r="W2671" s="41" t="str">
        <f t="shared" si="234"/>
        <v/>
      </c>
      <c r="X2671" s="41" t="str">
        <f t="shared" si="235"/>
        <v/>
      </c>
    </row>
    <row r="2672" s="32" customFormat="1" hidden="1" customHeight="1" spans="1:24">
      <c r="A2672" s="34"/>
      <c r="B2672" s="51"/>
      <c r="C2672" s="51"/>
      <c r="D2672" s="52"/>
      <c r="E2672" s="53"/>
      <c r="F2672" s="54"/>
      <c r="G2672" s="54"/>
      <c r="H2672" s="54"/>
      <c r="I2672" s="66"/>
      <c r="J2672" s="54"/>
      <c r="K2672" s="54"/>
      <c r="L2672" s="54"/>
      <c r="M2672" s="97" t="str">
        <f t="shared" si="232"/>
        <v/>
      </c>
      <c r="N2672" s="70"/>
      <c r="O2672" s="71" t="str">
        <f t="shared" si="231"/>
        <v/>
      </c>
      <c r="P2672" s="66"/>
      <c r="Q2672" s="66"/>
      <c r="R2672" s="54"/>
      <c r="S2672" s="82"/>
      <c r="T2672" s="83" t="str">
        <f t="shared" si="233"/>
        <v/>
      </c>
      <c r="U2672" s="10"/>
      <c r="V2672" s="41">
        <f>IF(AND(Q2672&lt;&gt;"",RIGHT(Q2672,3)&lt;&gt;""),IF(COUNTIF($Q$6:Q2672,Q2672)=1,1,0),0)</f>
        <v>0</v>
      </c>
      <c r="W2672" s="41" t="str">
        <f t="shared" si="234"/>
        <v/>
      </c>
      <c r="X2672" s="41" t="str">
        <f t="shared" si="235"/>
        <v/>
      </c>
    </row>
    <row r="2673" s="32" customFormat="1" hidden="1" customHeight="1" spans="1:24">
      <c r="A2673" s="34"/>
      <c r="B2673" s="51"/>
      <c r="C2673" s="51"/>
      <c r="D2673" s="52"/>
      <c r="E2673" s="53"/>
      <c r="F2673" s="54"/>
      <c r="G2673" s="54"/>
      <c r="H2673" s="54"/>
      <c r="I2673" s="66"/>
      <c r="J2673" s="54"/>
      <c r="K2673" s="54"/>
      <c r="L2673" s="54"/>
      <c r="M2673" s="97" t="str">
        <f t="shared" si="232"/>
        <v/>
      </c>
      <c r="N2673" s="70"/>
      <c r="O2673" s="71" t="str">
        <f t="shared" ref="O2673:O2736" si="236">IF(AND(Q2673&lt;&gt;"",T2673&lt;&gt;""),"PASSIVE",IF(AND(J2673&lt;&gt;"",M2673&lt;&gt;""),"ACTIVE",""))</f>
        <v/>
      </c>
      <c r="P2673" s="66"/>
      <c r="Q2673" s="66"/>
      <c r="R2673" s="54"/>
      <c r="S2673" s="82"/>
      <c r="T2673" s="83" t="str">
        <f t="shared" si="233"/>
        <v/>
      </c>
      <c r="U2673" s="10"/>
      <c r="V2673" s="41">
        <f>IF(AND(Q2673&lt;&gt;"",RIGHT(Q2673,3)&lt;&gt;""),IF(COUNTIF($Q$6:Q2673,Q2673)=1,1,0),0)</f>
        <v>0</v>
      </c>
      <c r="W2673" s="41" t="str">
        <f t="shared" si="234"/>
        <v/>
      </c>
      <c r="X2673" s="41" t="str">
        <f t="shared" si="235"/>
        <v/>
      </c>
    </row>
    <row r="2674" s="32" customFormat="1" hidden="1" customHeight="1" spans="1:24">
      <c r="A2674" s="34"/>
      <c r="B2674" s="51"/>
      <c r="C2674" s="51"/>
      <c r="D2674" s="52"/>
      <c r="E2674" s="53"/>
      <c r="F2674" s="54"/>
      <c r="G2674" s="54"/>
      <c r="H2674" s="54"/>
      <c r="I2674" s="66"/>
      <c r="J2674" s="54"/>
      <c r="K2674" s="54"/>
      <c r="L2674" s="54"/>
      <c r="M2674" s="97" t="str">
        <f t="shared" si="232"/>
        <v/>
      </c>
      <c r="N2674" s="70"/>
      <c r="O2674" s="71" t="str">
        <f t="shared" si="236"/>
        <v/>
      </c>
      <c r="P2674" s="66"/>
      <c r="Q2674" s="66"/>
      <c r="R2674" s="54"/>
      <c r="S2674" s="82"/>
      <c r="T2674" s="83" t="str">
        <f t="shared" si="233"/>
        <v/>
      </c>
      <c r="U2674" s="10"/>
      <c r="V2674" s="41">
        <f>IF(AND(Q2674&lt;&gt;"",RIGHT(Q2674,3)&lt;&gt;""),IF(COUNTIF($Q$6:Q2674,Q2674)=1,1,0),0)</f>
        <v>0</v>
      </c>
      <c r="W2674" s="41" t="str">
        <f t="shared" si="234"/>
        <v/>
      </c>
      <c r="X2674" s="41" t="str">
        <f t="shared" si="235"/>
        <v/>
      </c>
    </row>
    <row r="2675" s="32" customFormat="1" hidden="1" customHeight="1" spans="1:24">
      <c r="A2675" s="34"/>
      <c r="B2675" s="51"/>
      <c r="C2675" s="51"/>
      <c r="D2675" s="52"/>
      <c r="E2675" s="53"/>
      <c r="F2675" s="54"/>
      <c r="G2675" s="54"/>
      <c r="H2675" s="54"/>
      <c r="I2675" s="66"/>
      <c r="J2675" s="54"/>
      <c r="K2675" s="54"/>
      <c r="L2675" s="54"/>
      <c r="M2675" s="97" t="str">
        <f t="shared" si="232"/>
        <v/>
      </c>
      <c r="N2675" s="70"/>
      <c r="O2675" s="71" t="str">
        <f t="shared" si="236"/>
        <v/>
      </c>
      <c r="P2675" s="66"/>
      <c r="Q2675" s="66"/>
      <c r="R2675" s="54"/>
      <c r="S2675" s="82"/>
      <c r="T2675" s="83" t="str">
        <f t="shared" si="233"/>
        <v/>
      </c>
      <c r="U2675" s="10"/>
      <c r="V2675" s="41">
        <f>IF(AND(Q2675&lt;&gt;"",RIGHT(Q2675,3)&lt;&gt;""),IF(COUNTIF($Q$6:Q2675,Q2675)=1,1,0),0)</f>
        <v>0</v>
      </c>
      <c r="W2675" s="41" t="str">
        <f t="shared" si="234"/>
        <v/>
      </c>
      <c r="X2675" s="41" t="str">
        <f t="shared" si="235"/>
        <v/>
      </c>
    </row>
    <row r="2676" s="32" customFormat="1" hidden="1" customHeight="1" spans="1:24">
      <c r="A2676" s="34"/>
      <c r="B2676" s="51"/>
      <c r="C2676" s="51"/>
      <c r="D2676" s="52"/>
      <c r="E2676" s="53"/>
      <c r="F2676" s="54"/>
      <c r="G2676" s="54"/>
      <c r="H2676" s="54"/>
      <c r="I2676" s="66"/>
      <c r="J2676" s="54"/>
      <c r="K2676" s="54"/>
      <c r="L2676" s="54"/>
      <c r="M2676" s="97" t="str">
        <f t="shared" si="232"/>
        <v/>
      </c>
      <c r="N2676" s="70"/>
      <c r="O2676" s="71" t="str">
        <f t="shared" si="236"/>
        <v/>
      </c>
      <c r="P2676" s="66"/>
      <c r="Q2676" s="66"/>
      <c r="R2676" s="54"/>
      <c r="S2676" s="82"/>
      <c r="T2676" s="83" t="str">
        <f t="shared" si="233"/>
        <v/>
      </c>
      <c r="U2676" s="10"/>
      <c r="V2676" s="41">
        <f>IF(AND(Q2676&lt;&gt;"",RIGHT(Q2676,3)&lt;&gt;""),IF(COUNTIF($Q$6:Q2676,Q2676)=1,1,0),0)</f>
        <v>0</v>
      </c>
      <c r="W2676" s="41" t="str">
        <f t="shared" si="234"/>
        <v/>
      </c>
      <c r="X2676" s="41" t="str">
        <f t="shared" si="235"/>
        <v/>
      </c>
    </row>
    <row r="2677" s="32" customFormat="1" hidden="1" customHeight="1" spans="1:24">
      <c r="A2677" s="34"/>
      <c r="B2677" s="51"/>
      <c r="C2677" s="51"/>
      <c r="D2677" s="52"/>
      <c r="E2677" s="53"/>
      <c r="F2677" s="54"/>
      <c r="G2677" s="54"/>
      <c r="H2677" s="54"/>
      <c r="I2677" s="66"/>
      <c r="J2677" s="54"/>
      <c r="K2677" s="54"/>
      <c r="L2677" s="54"/>
      <c r="M2677" s="97" t="str">
        <f t="shared" si="232"/>
        <v/>
      </c>
      <c r="N2677" s="70"/>
      <c r="O2677" s="71" t="str">
        <f t="shared" si="236"/>
        <v/>
      </c>
      <c r="P2677" s="66"/>
      <c r="Q2677" s="66"/>
      <c r="R2677" s="54"/>
      <c r="S2677" s="82"/>
      <c r="T2677" s="83" t="str">
        <f t="shared" si="233"/>
        <v/>
      </c>
      <c r="U2677" s="10"/>
      <c r="V2677" s="41">
        <f>IF(AND(Q2677&lt;&gt;"",RIGHT(Q2677,3)&lt;&gt;""),IF(COUNTIF($Q$6:Q2677,Q2677)=1,1,0),0)</f>
        <v>0</v>
      </c>
      <c r="W2677" s="41" t="str">
        <f t="shared" si="234"/>
        <v/>
      </c>
      <c r="X2677" s="41" t="str">
        <f t="shared" si="235"/>
        <v/>
      </c>
    </row>
    <row r="2678" s="32" customFormat="1" hidden="1" customHeight="1" spans="1:24">
      <c r="A2678" s="34"/>
      <c r="B2678" s="51"/>
      <c r="C2678" s="51"/>
      <c r="D2678" s="52"/>
      <c r="E2678" s="53"/>
      <c r="F2678" s="54"/>
      <c r="G2678" s="54"/>
      <c r="H2678" s="54"/>
      <c r="I2678" s="66"/>
      <c r="J2678" s="54"/>
      <c r="K2678" s="54"/>
      <c r="L2678" s="54"/>
      <c r="M2678" s="97" t="str">
        <f t="shared" si="232"/>
        <v/>
      </c>
      <c r="N2678" s="70"/>
      <c r="O2678" s="71" t="str">
        <f t="shared" si="236"/>
        <v/>
      </c>
      <c r="P2678" s="66"/>
      <c r="Q2678" s="66"/>
      <c r="R2678" s="54"/>
      <c r="S2678" s="82"/>
      <c r="T2678" s="83" t="str">
        <f t="shared" si="233"/>
        <v/>
      </c>
      <c r="U2678" s="10"/>
      <c r="V2678" s="41">
        <f>IF(AND(Q2678&lt;&gt;"",RIGHT(Q2678,3)&lt;&gt;""),IF(COUNTIF($Q$6:Q2678,Q2678)=1,1,0),0)</f>
        <v>0</v>
      </c>
      <c r="W2678" s="41" t="str">
        <f t="shared" si="234"/>
        <v/>
      </c>
      <c r="X2678" s="41" t="str">
        <f t="shared" si="235"/>
        <v/>
      </c>
    </row>
    <row r="2679" s="32" customFormat="1" hidden="1" customHeight="1" spans="1:24">
      <c r="A2679" s="34"/>
      <c r="B2679" s="51"/>
      <c r="C2679" s="51"/>
      <c r="D2679" s="52"/>
      <c r="E2679" s="53"/>
      <c r="F2679" s="54"/>
      <c r="G2679" s="54"/>
      <c r="H2679" s="54"/>
      <c r="I2679" s="66"/>
      <c r="J2679" s="54"/>
      <c r="K2679" s="54"/>
      <c r="L2679" s="54"/>
      <c r="M2679" s="97" t="str">
        <f t="shared" si="232"/>
        <v/>
      </c>
      <c r="N2679" s="70"/>
      <c r="O2679" s="71" t="str">
        <f t="shared" si="236"/>
        <v/>
      </c>
      <c r="P2679" s="66"/>
      <c r="Q2679" s="66"/>
      <c r="R2679" s="54"/>
      <c r="S2679" s="82"/>
      <c r="T2679" s="83" t="str">
        <f t="shared" si="233"/>
        <v/>
      </c>
      <c r="U2679" s="10"/>
      <c r="V2679" s="41">
        <f>IF(AND(Q2679&lt;&gt;"",RIGHT(Q2679,3)&lt;&gt;""),IF(COUNTIF($Q$6:Q2679,Q2679)=1,1,0),0)</f>
        <v>0</v>
      </c>
      <c r="W2679" s="41" t="str">
        <f t="shared" si="234"/>
        <v/>
      </c>
      <c r="X2679" s="41" t="str">
        <f t="shared" si="235"/>
        <v/>
      </c>
    </row>
    <row r="2680" s="32" customFormat="1" hidden="1" customHeight="1" spans="1:24">
      <c r="A2680" s="34"/>
      <c r="B2680" s="51"/>
      <c r="C2680" s="51"/>
      <c r="D2680" s="52"/>
      <c r="E2680" s="53"/>
      <c r="F2680" s="54"/>
      <c r="G2680" s="54"/>
      <c r="H2680" s="54"/>
      <c r="I2680" s="66"/>
      <c r="J2680" s="54"/>
      <c r="K2680" s="54"/>
      <c r="L2680" s="54"/>
      <c r="M2680" s="97" t="str">
        <f t="shared" si="232"/>
        <v/>
      </c>
      <c r="N2680" s="70"/>
      <c r="O2680" s="71" t="str">
        <f t="shared" si="236"/>
        <v/>
      </c>
      <c r="P2680" s="66"/>
      <c r="Q2680" s="66"/>
      <c r="R2680" s="54"/>
      <c r="S2680" s="82"/>
      <c r="T2680" s="83" t="str">
        <f t="shared" si="233"/>
        <v/>
      </c>
      <c r="U2680" s="10"/>
      <c r="V2680" s="41">
        <f>IF(AND(Q2680&lt;&gt;"",RIGHT(Q2680,3)&lt;&gt;""),IF(COUNTIF($Q$6:Q2680,Q2680)=1,1,0),0)</f>
        <v>0</v>
      </c>
      <c r="W2680" s="41" t="str">
        <f t="shared" si="234"/>
        <v/>
      </c>
      <c r="X2680" s="41" t="str">
        <f t="shared" si="235"/>
        <v/>
      </c>
    </row>
    <row r="2681" s="32" customFormat="1" hidden="1" customHeight="1" spans="1:24">
      <c r="A2681" s="34"/>
      <c r="B2681" s="51"/>
      <c r="C2681" s="51"/>
      <c r="D2681" s="52"/>
      <c r="E2681" s="53"/>
      <c r="F2681" s="54"/>
      <c r="G2681" s="54"/>
      <c r="H2681" s="54"/>
      <c r="I2681" s="66"/>
      <c r="J2681" s="54"/>
      <c r="K2681" s="54"/>
      <c r="L2681" s="54"/>
      <c r="M2681" s="97" t="str">
        <f t="shared" si="232"/>
        <v/>
      </c>
      <c r="N2681" s="70"/>
      <c r="O2681" s="71" t="str">
        <f t="shared" si="236"/>
        <v/>
      </c>
      <c r="P2681" s="66"/>
      <c r="Q2681" s="66"/>
      <c r="R2681" s="54"/>
      <c r="S2681" s="82"/>
      <c r="T2681" s="83" t="str">
        <f t="shared" si="233"/>
        <v/>
      </c>
      <c r="U2681" s="10"/>
      <c r="V2681" s="41">
        <f>IF(AND(Q2681&lt;&gt;"",RIGHT(Q2681,3)&lt;&gt;""),IF(COUNTIF($Q$6:Q2681,Q2681)=1,1,0),0)</f>
        <v>0</v>
      </c>
      <c r="W2681" s="41" t="str">
        <f t="shared" si="234"/>
        <v/>
      </c>
      <c r="X2681" s="41" t="str">
        <f t="shared" si="235"/>
        <v/>
      </c>
    </row>
    <row r="2682" s="32" customFormat="1" hidden="1" customHeight="1" spans="1:24">
      <c r="A2682" s="34"/>
      <c r="B2682" s="51"/>
      <c r="C2682" s="51"/>
      <c r="D2682" s="52"/>
      <c r="E2682" s="53"/>
      <c r="F2682" s="54"/>
      <c r="G2682" s="54"/>
      <c r="H2682" s="54"/>
      <c r="I2682" s="66"/>
      <c r="J2682" s="54"/>
      <c r="K2682" s="54"/>
      <c r="L2682" s="54"/>
      <c r="M2682" s="97" t="str">
        <f t="shared" si="232"/>
        <v/>
      </c>
      <c r="N2682" s="70"/>
      <c r="O2682" s="71" t="str">
        <f t="shared" si="236"/>
        <v/>
      </c>
      <c r="P2682" s="66"/>
      <c r="Q2682" s="66"/>
      <c r="R2682" s="54"/>
      <c r="S2682" s="82"/>
      <c r="T2682" s="83" t="str">
        <f t="shared" si="233"/>
        <v/>
      </c>
      <c r="U2682" s="10"/>
      <c r="V2682" s="41">
        <f>IF(AND(Q2682&lt;&gt;"",RIGHT(Q2682,3)&lt;&gt;""),IF(COUNTIF($Q$6:Q2682,Q2682)=1,1,0),0)</f>
        <v>0</v>
      </c>
      <c r="W2682" s="41" t="str">
        <f t="shared" si="234"/>
        <v/>
      </c>
      <c r="X2682" s="41" t="str">
        <f t="shared" si="235"/>
        <v/>
      </c>
    </row>
    <row r="2683" s="32" customFormat="1" hidden="1" customHeight="1" spans="1:24">
      <c r="A2683" s="34"/>
      <c r="B2683" s="51"/>
      <c r="C2683" s="51"/>
      <c r="D2683" s="52"/>
      <c r="E2683" s="53"/>
      <c r="F2683" s="54"/>
      <c r="G2683" s="54"/>
      <c r="H2683" s="54"/>
      <c r="I2683" s="66"/>
      <c r="J2683" s="54"/>
      <c r="K2683" s="54"/>
      <c r="L2683" s="54"/>
      <c r="M2683" s="97" t="str">
        <f t="shared" si="232"/>
        <v/>
      </c>
      <c r="N2683" s="70"/>
      <c r="O2683" s="71" t="str">
        <f t="shared" si="236"/>
        <v/>
      </c>
      <c r="P2683" s="66"/>
      <c r="Q2683" s="66"/>
      <c r="R2683" s="54"/>
      <c r="S2683" s="82"/>
      <c r="T2683" s="83" t="str">
        <f t="shared" si="233"/>
        <v/>
      </c>
      <c r="U2683" s="10"/>
      <c r="V2683" s="41">
        <f>IF(AND(Q2683&lt;&gt;"",RIGHT(Q2683,3)&lt;&gt;""),IF(COUNTIF($Q$6:Q2683,Q2683)=1,1,0),0)</f>
        <v>0</v>
      </c>
      <c r="W2683" s="41" t="str">
        <f t="shared" si="234"/>
        <v/>
      </c>
      <c r="X2683" s="41" t="str">
        <f t="shared" si="235"/>
        <v/>
      </c>
    </row>
    <row r="2684" s="32" customFormat="1" hidden="1" customHeight="1" spans="1:24">
      <c r="A2684" s="34"/>
      <c r="B2684" s="51"/>
      <c r="C2684" s="51"/>
      <c r="D2684" s="52"/>
      <c r="E2684" s="53"/>
      <c r="F2684" s="54"/>
      <c r="G2684" s="54"/>
      <c r="H2684" s="54"/>
      <c r="I2684" s="66"/>
      <c r="J2684" s="54"/>
      <c r="K2684" s="54"/>
      <c r="L2684" s="54"/>
      <c r="M2684" s="97" t="str">
        <f t="shared" si="232"/>
        <v/>
      </c>
      <c r="N2684" s="70"/>
      <c r="O2684" s="71" t="str">
        <f t="shared" si="236"/>
        <v/>
      </c>
      <c r="P2684" s="66"/>
      <c r="Q2684" s="66"/>
      <c r="R2684" s="54"/>
      <c r="S2684" s="82"/>
      <c r="T2684" s="83" t="str">
        <f t="shared" si="233"/>
        <v/>
      </c>
      <c r="U2684" s="10"/>
      <c r="V2684" s="41">
        <f>IF(AND(Q2684&lt;&gt;"",RIGHT(Q2684,3)&lt;&gt;""),IF(COUNTIF($Q$6:Q2684,Q2684)=1,1,0),0)</f>
        <v>0</v>
      </c>
      <c r="W2684" s="41" t="str">
        <f t="shared" si="234"/>
        <v/>
      </c>
      <c r="X2684" s="41" t="str">
        <f t="shared" si="235"/>
        <v/>
      </c>
    </row>
    <row r="2685" s="32" customFormat="1" hidden="1" customHeight="1" spans="1:24">
      <c r="A2685" s="34"/>
      <c r="B2685" s="51"/>
      <c r="C2685" s="51"/>
      <c r="D2685" s="52"/>
      <c r="E2685" s="53"/>
      <c r="F2685" s="54"/>
      <c r="G2685" s="54"/>
      <c r="H2685" s="54"/>
      <c r="I2685" s="66"/>
      <c r="J2685" s="54"/>
      <c r="K2685" s="54"/>
      <c r="L2685" s="54"/>
      <c r="M2685" s="97" t="str">
        <f t="shared" si="232"/>
        <v/>
      </c>
      <c r="N2685" s="70"/>
      <c r="O2685" s="71" t="str">
        <f t="shared" si="236"/>
        <v/>
      </c>
      <c r="P2685" s="66"/>
      <c r="Q2685" s="66"/>
      <c r="R2685" s="54"/>
      <c r="S2685" s="82"/>
      <c r="T2685" s="83" t="str">
        <f t="shared" si="233"/>
        <v/>
      </c>
      <c r="U2685" s="10"/>
      <c r="V2685" s="41">
        <f>IF(AND(Q2685&lt;&gt;"",RIGHT(Q2685,3)&lt;&gt;""),IF(COUNTIF($Q$6:Q2685,Q2685)=1,1,0),0)</f>
        <v>0</v>
      </c>
      <c r="W2685" s="41" t="str">
        <f t="shared" si="234"/>
        <v/>
      </c>
      <c r="X2685" s="41" t="str">
        <f t="shared" si="235"/>
        <v/>
      </c>
    </row>
    <row r="2686" s="32" customFormat="1" hidden="1" customHeight="1" spans="1:24">
      <c r="A2686" s="34"/>
      <c r="B2686" s="51"/>
      <c r="C2686" s="51"/>
      <c r="D2686" s="52"/>
      <c r="E2686" s="53"/>
      <c r="F2686" s="54"/>
      <c r="G2686" s="54"/>
      <c r="H2686" s="54"/>
      <c r="I2686" s="66"/>
      <c r="J2686" s="54"/>
      <c r="K2686" s="54"/>
      <c r="L2686" s="54"/>
      <c r="M2686" s="97" t="str">
        <f t="shared" si="232"/>
        <v/>
      </c>
      <c r="N2686" s="70"/>
      <c r="O2686" s="71" t="str">
        <f t="shared" si="236"/>
        <v/>
      </c>
      <c r="P2686" s="66"/>
      <c r="Q2686" s="66"/>
      <c r="R2686" s="54"/>
      <c r="S2686" s="82"/>
      <c r="T2686" s="83" t="str">
        <f t="shared" si="233"/>
        <v/>
      </c>
      <c r="U2686" s="10"/>
      <c r="V2686" s="41">
        <f>IF(AND(Q2686&lt;&gt;"",RIGHT(Q2686,3)&lt;&gt;""),IF(COUNTIF($Q$6:Q2686,Q2686)=1,1,0),0)</f>
        <v>0</v>
      </c>
      <c r="W2686" s="41" t="str">
        <f t="shared" si="234"/>
        <v/>
      </c>
      <c r="X2686" s="41" t="str">
        <f t="shared" si="235"/>
        <v/>
      </c>
    </row>
    <row r="2687" s="32" customFormat="1" hidden="1" customHeight="1" spans="1:24">
      <c r="A2687" s="34"/>
      <c r="B2687" s="51"/>
      <c r="C2687" s="51"/>
      <c r="D2687" s="52"/>
      <c r="E2687" s="53"/>
      <c r="F2687" s="54"/>
      <c r="G2687" s="54"/>
      <c r="H2687" s="54"/>
      <c r="I2687" s="66"/>
      <c r="J2687" s="54"/>
      <c r="K2687" s="54"/>
      <c r="L2687" s="54"/>
      <c r="M2687" s="97" t="str">
        <f t="shared" si="232"/>
        <v/>
      </c>
      <c r="N2687" s="70"/>
      <c r="O2687" s="71" t="str">
        <f t="shared" si="236"/>
        <v/>
      </c>
      <c r="P2687" s="66"/>
      <c r="Q2687" s="66"/>
      <c r="R2687" s="54"/>
      <c r="S2687" s="82"/>
      <c r="T2687" s="83" t="str">
        <f t="shared" si="233"/>
        <v/>
      </c>
      <c r="U2687" s="10"/>
      <c r="V2687" s="41">
        <f>IF(AND(Q2687&lt;&gt;"",RIGHT(Q2687,3)&lt;&gt;""),IF(COUNTIF($Q$6:Q2687,Q2687)=1,1,0),0)</f>
        <v>0</v>
      </c>
      <c r="W2687" s="41" t="str">
        <f t="shared" si="234"/>
        <v/>
      </c>
      <c r="X2687" s="41" t="str">
        <f t="shared" si="235"/>
        <v/>
      </c>
    </row>
    <row r="2688" s="32" customFormat="1" hidden="1" customHeight="1" spans="1:24">
      <c r="A2688" s="34"/>
      <c r="B2688" s="51"/>
      <c r="C2688" s="51"/>
      <c r="D2688" s="52"/>
      <c r="E2688" s="53"/>
      <c r="F2688" s="54"/>
      <c r="G2688" s="54"/>
      <c r="H2688" s="54"/>
      <c r="I2688" s="66"/>
      <c r="J2688" s="54"/>
      <c r="K2688" s="54"/>
      <c r="L2688" s="54"/>
      <c r="M2688" s="97" t="str">
        <f t="shared" si="232"/>
        <v/>
      </c>
      <c r="N2688" s="70"/>
      <c r="O2688" s="71" t="str">
        <f t="shared" si="236"/>
        <v/>
      </c>
      <c r="P2688" s="66"/>
      <c r="Q2688" s="66"/>
      <c r="R2688" s="54"/>
      <c r="S2688" s="82"/>
      <c r="T2688" s="83" t="str">
        <f t="shared" si="233"/>
        <v/>
      </c>
      <c r="U2688" s="10"/>
      <c r="V2688" s="41">
        <f>IF(AND(Q2688&lt;&gt;"",RIGHT(Q2688,3)&lt;&gt;""),IF(COUNTIF($Q$6:Q2688,Q2688)=1,1,0),0)</f>
        <v>0</v>
      </c>
      <c r="W2688" s="41" t="str">
        <f t="shared" si="234"/>
        <v/>
      </c>
      <c r="X2688" s="41" t="str">
        <f t="shared" si="235"/>
        <v/>
      </c>
    </row>
    <row r="2689" s="32" customFormat="1" hidden="1" customHeight="1" spans="1:24">
      <c r="A2689" s="34"/>
      <c r="B2689" s="51"/>
      <c r="C2689" s="51"/>
      <c r="D2689" s="52"/>
      <c r="E2689" s="53"/>
      <c r="F2689" s="54"/>
      <c r="G2689" s="54"/>
      <c r="H2689" s="54"/>
      <c r="I2689" s="66"/>
      <c r="J2689" s="54"/>
      <c r="K2689" s="54"/>
      <c r="L2689" s="54"/>
      <c r="M2689" s="97" t="str">
        <f t="shared" si="232"/>
        <v/>
      </c>
      <c r="N2689" s="70"/>
      <c r="O2689" s="71" t="str">
        <f t="shared" si="236"/>
        <v/>
      </c>
      <c r="P2689" s="66"/>
      <c r="Q2689" s="66"/>
      <c r="R2689" s="54"/>
      <c r="S2689" s="82"/>
      <c r="T2689" s="83" t="str">
        <f t="shared" si="233"/>
        <v/>
      </c>
      <c r="U2689" s="10"/>
      <c r="V2689" s="41">
        <f>IF(AND(Q2689&lt;&gt;"",RIGHT(Q2689,3)&lt;&gt;""),IF(COUNTIF($Q$6:Q2689,Q2689)=1,1,0),0)</f>
        <v>0</v>
      </c>
      <c r="W2689" s="41" t="str">
        <f t="shared" si="234"/>
        <v/>
      </c>
      <c r="X2689" s="41" t="str">
        <f t="shared" si="235"/>
        <v/>
      </c>
    </row>
    <row r="2690" s="32" customFormat="1" hidden="1" customHeight="1" spans="1:24">
      <c r="A2690" s="34"/>
      <c r="B2690" s="51"/>
      <c r="C2690" s="51"/>
      <c r="D2690" s="52"/>
      <c r="E2690" s="53"/>
      <c r="F2690" s="54"/>
      <c r="G2690" s="54"/>
      <c r="H2690" s="54"/>
      <c r="I2690" s="66"/>
      <c r="J2690" s="54"/>
      <c r="K2690" s="54"/>
      <c r="L2690" s="54"/>
      <c r="M2690" s="97" t="str">
        <f t="shared" si="232"/>
        <v/>
      </c>
      <c r="N2690" s="70"/>
      <c r="O2690" s="71" t="str">
        <f t="shared" si="236"/>
        <v/>
      </c>
      <c r="P2690" s="66"/>
      <c r="Q2690" s="66"/>
      <c r="R2690" s="54"/>
      <c r="S2690" s="82"/>
      <c r="T2690" s="83" t="str">
        <f t="shared" si="233"/>
        <v/>
      </c>
      <c r="U2690" s="10"/>
      <c r="V2690" s="41">
        <f>IF(AND(Q2690&lt;&gt;"",RIGHT(Q2690,3)&lt;&gt;""),IF(COUNTIF($Q$6:Q2690,Q2690)=1,1,0),0)</f>
        <v>0</v>
      </c>
      <c r="W2690" s="41" t="str">
        <f t="shared" si="234"/>
        <v/>
      </c>
      <c r="X2690" s="41" t="str">
        <f t="shared" si="235"/>
        <v/>
      </c>
    </row>
    <row r="2691" s="32" customFormat="1" hidden="1" customHeight="1" spans="1:24">
      <c r="A2691" s="34"/>
      <c r="B2691" s="51"/>
      <c r="C2691" s="51"/>
      <c r="D2691" s="52"/>
      <c r="E2691" s="53"/>
      <c r="F2691" s="54"/>
      <c r="G2691" s="54"/>
      <c r="H2691" s="54"/>
      <c r="I2691" s="66"/>
      <c r="J2691" s="54"/>
      <c r="K2691" s="54"/>
      <c r="L2691" s="54"/>
      <c r="M2691" s="97" t="str">
        <f t="shared" si="232"/>
        <v/>
      </c>
      <c r="N2691" s="70"/>
      <c r="O2691" s="71" t="str">
        <f t="shared" si="236"/>
        <v/>
      </c>
      <c r="P2691" s="66"/>
      <c r="Q2691" s="66"/>
      <c r="R2691" s="54"/>
      <c r="S2691" s="82"/>
      <c r="T2691" s="83" t="str">
        <f t="shared" si="233"/>
        <v/>
      </c>
      <c r="U2691" s="10"/>
      <c r="V2691" s="41">
        <f>IF(AND(Q2691&lt;&gt;"",RIGHT(Q2691,3)&lt;&gt;""),IF(COUNTIF($Q$6:Q2691,Q2691)=1,1,0),0)</f>
        <v>0</v>
      </c>
      <c r="W2691" s="41" t="str">
        <f t="shared" si="234"/>
        <v/>
      </c>
      <c r="X2691" s="41" t="str">
        <f t="shared" si="235"/>
        <v/>
      </c>
    </row>
    <row r="2692" s="32" customFormat="1" hidden="1" customHeight="1" spans="1:24">
      <c r="A2692" s="34"/>
      <c r="B2692" s="51"/>
      <c r="C2692" s="51"/>
      <c r="D2692" s="52"/>
      <c r="E2692" s="53"/>
      <c r="F2692" s="54"/>
      <c r="G2692" s="54"/>
      <c r="H2692" s="54"/>
      <c r="I2692" s="66"/>
      <c r="J2692" s="54"/>
      <c r="K2692" s="54"/>
      <c r="L2692" s="54"/>
      <c r="M2692" s="97" t="str">
        <f t="shared" si="232"/>
        <v/>
      </c>
      <c r="N2692" s="70"/>
      <c r="O2692" s="71" t="str">
        <f t="shared" si="236"/>
        <v/>
      </c>
      <c r="P2692" s="66"/>
      <c r="Q2692" s="66"/>
      <c r="R2692" s="54"/>
      <c r="S2692" s="82"/>
      <c r="T2692" s="83" t="str">
        <f t="shared" si="233"/>
        <v/>
      </c>
      <c r="U2692" s="10"/>
      <c r="V2692" s="41">
        <f>IF(AND(Q2692&lt;&gt;"",RIGHT(Q2692,3)&lt;&gt;""),IF(COUNTIF($Q$6:Q2692,Q2692)=1,1,0),0)</f>
        <v>0</v>
      </c>
      <c r="W2692" s="41" t="str">
        <f t="shared" si="234"/>
        <v/>
      </c>
      <c r="X2692" s="41" t="str">
        <f t="shared" si="235"/>
        <v/>
      </c>
    </row>
    <row r="2693" s="32" customFormat="1" hidden="1" customHeight="1" spans="1:24">
      <c r="A2693" s="34"/>
      <c r="B2693" s="51"/>
      <c r="C2693" s="51"/>
      <c r="D2693" s="52"/>
      <c r="E2693" s="53"/>
      <c r="F2693" s="54"/>
      <c r="G2693" s="54"/>
      <c r="H2693" s="54"/>
      <c r="I2693" s="66"/>
      <c r="J2693" s="54"/>
      <c r="K2693" s="54"/>
      <c r="L2693" s="54"/>
      <c r="M2693" s="97" t="str">
        <f t="shared" si="232"/>
        <v/>
      </c>
      <c r="N2693" s="70"/>
      <c r="O2693" s="71" t="str">
        <f t="shared" si="236"/>
        <v/>
      </c>
      <c r="P2693" s="66"/>
      <c r="Q2693" s="66"/>
      <c r="R2693" s="54"/>
      <c r="S2693" s="82"/>
      <c r="T2693" s="83" t="str">
        <f t="shared" si="233"/>
        <v/>
      </c>
      <c r="U2693" s="10"/>
      <c r="V2693" s="41">
        <f>IF(AND(Q2693&lt;&gt;"",RIGHT(Q2693,3)&lt;&gt;""),IF(COUNTIF($Q$6:Q2693,Q2693)=1,1,0),0)</f>
        <v>0</v>
      </c>
      <c r="W2693" s="41" t="str">
        <f t="shared" si="234"/>
        <v/>
      </c>
      <c r="X2693" s="41" t="str">
        <f t="shared" si="235"/>
        <v/>
      </c>
    </row>
    <row r="2694" s="32" customFormat="1" hidden="1" customHeight="1" spans="1:24">
      <c r="A2694" s="34"/>
      <c r="B2694" s="51"/>
      <c r="C2694" s="51"/>
      <c r="D2694" s="52"/>
      <c r="E2694" s="53"/>
      <c r="F2694" s="54"/>
      <c r="G2694" s="54"/>
      <c r="H2694" s="54"/>
      <c r="I2694" s="66"/>
      <c r="J2694" s="54"/>
      <c r="K2694" s="54"/>
      <c r="L2694" s="54"/>
      <c r="M2694" s="97" t="str">
        <f t="shared" si="232"/>
        <v/>
      </c>
      <c r="N2694" s="70"/>
      <c r="O2694" s="71" t="str">
        <f t="shared" si="236"/>
        <v/>
      </c>
      <c r="P2694" s="66"/>
      <c r="Q2694" s="66"/>
      <c r="R2694" s="54"/>
      <c r="S2694" s="82"/>
      <c r="T2694" s="83" t="str">
        <f t="shared" si="233"/>
        <v/>
      </c>
      <c r="U2694" s="10"/>
      <c r="V2694" s="41">
        <f>IF(AND(Q2694&lt;&gt;"",RIGHT(Q2694,3)&lt;&gt;""),IF(COUNTIF($Q$6:Q2694,Q2694)=1,1,0),0)</f>
        <v>0</v>
      </c>
      <c r="W2694" s="41" t="str">
        <f t="shared" si="234"/>
        <v/>
      </c>
      <c r="X2694" s="41" t="str">
        <f t="shared" si="235"/>
        <v/>
      </c>
    </row>
    <row r="2695" s="32" customFormat="1" hidden="1" customHeight="1" spans="1:24">
      <c r="A2695" s="34"/>
      <c r="B2695" s="51"/>
      <c r="C2695" s="51"/>
      <c r="D2695" s="52"/>
      <c r="E2695" s="53"/>
      <c r="F2695" s="54"/>
      <c r="G2695" s="54"/>
      <c r="H2695" s="54"/>
      <c r="I2695" s="66"/>
      <c r="J2695" s="54"/>
      <c r="K2695" s="54"/>
      <c r="L2695" s="54"/>
      <c r="M2695" s="97" t="str">
        <f t="shared" si="232"/>
        <v/>
      </c>
      <c r="N2695" s="70"/>
      <c r="O2695" s="71" t="str">
        <f t="shared" si="236"/>
        <v/>
      </c>
      <c r="P2695" s="66"/>
      <c r="Q2695" s="66"/>
      <c r="R2695" s="54"/>
      <c r="S2695" s="82"/>
      <c r="T2695" s="83" t="str">
        <f t="shared" si="233"/>
        <v/>
      </c>
      <c r="U2695" s="10"/>
      <c r="V2695" s="41">
        <f>IF(AND(Q2695&lt;&gt;"",RIGHT(Q2695,3)&lt;&gt;""),IF(COUNTIF($Q$6:Q2695,Q2695)=1,1,0),0)</f>
        <v>0</v>
      </c>
      <c r="W2695" s="41" t="str">
        <f t="shared" si="234"/>
        <v/>
      </c>
      <c r="X2695" s="41" t="str">
        <f t="shared" si="235"/>
        <v/>
      </c>
    </row>
    <row r="2696" s="32" customFormat="1" hidden="1" customHeight="1" spans="1:24">
      <c r="A2696" s="34"/>
      <c r="B2696" s="51"/>
      <c r="C2696" s="51"/>
      <c r="D2696" s="52"/>
      <c r="E2696" s="53"/>
      <c r="F2696" s="54"/>
      <c r="G2696" s="54"/>
      <c r="H2696" s="54"/>
      <c r="I2696" s="66"/>
      <c r="J2696" s="54"/>
      <c r="K2696" s="54"/>
      <c r="L2696" s="54"/>
      <c r="M2696" s="97" t="str">
        <f t="shared" si="232"/>
        <v/>
      </c>
      <c r="N2696" s="70"/>
      <c r="O2696" s="71" t="str">
        <f t="shared" si="236"/>
        <v/>
      </c>
      <c r="P2696" s="66"/>
      <c r="Q2696" s="66"/>
      <c r="R2696" s="54"/>
      <c r="S2696" s="82"/>
      <c r="T2696" s="83" t="str">
        <f t="shared" si="233"/>
        <v/>
      </c>
      <c r="U2696" s="10"/>
      <c r="V2696" s="41">
        <f>IF(AND(Q2696&lt;&gt;"",RIGHT(Q2696,3)&lt;&gt;""),IF(COUNTIF($Q$6:Q2696,Q2696)=1,1,0),0)</f>
        <v>0</v>
      </c>
      <c r="W2696" s="41" t="str">
        <f t="shared" si="234"/>
        <v/>
      </c>
      <c r="X2696" s="41" t="str">
        <f t="shared" si="235"/>
        <v/>
      </c>
    </row>
    <row r="2697" s="32" customFormat="1" hidden="1" customHeight="1" spans="1:24">
      <c r="A2697" s="34"/>
      <c r="B2697" s="51"/>
      <c r="C2697" s="51"/>
      <c r="D2697" s="52"/>
      <c r="E2697" s="53"/>
      <c r="F2697" s="54"/>
      <c r="G2697" s="54"/>
      <c r="H2697" s="54"/>
      <c r="I2697" s="66"/>
      <c r="J2697" s="54"/>
      <c r="K2697" s="54"/>
      <c r="L2697" s="54"/>
      <c r="M2697" s="97" t="str">
        <f t="shared" si="232"/>
        <v/>
      </c>
      <c r="N2697" s="70"/>
      <c r="O2697" s="71" t="str">
        <f t="shared" si="236"/>
        <v/>
      </c>
      <c r="P2697" s="66"/>
      <c r="Q2697" s="66"/>
      <c r="R2697" s="54"/>
      <c r="S2697" s="82"/>
      <c r="T2697" s="83" t="str">
        <f t="shared" si="233"/>
        <v/>
      </c>
      <c r="U2697" s="10"/>
      <c r="V2697" s="41">
        <f>IF(AND(Q2697&lt;&gt;"",RIGHT(Q2697,3)&lt;&gt;""),IF(COUNTIF($Q$6:Q2697,Q2697)=1,1,0),0)</f>
        <v>0</v>
      </c>
      <c r="W2697" s="41" t="str">
        <f t="shared" si="234"/>
        <v/>
      </c>
      <c r="X2697" s="41" t="str">
        <f t="shared" si="235"/>
        <v/>
      </c>
    </row>
    <row r="2698" s="32" customFormat="1" hidden="1" customHeight="1" spans="1:24">
      <c r="A2698" s="34"/>
      <c r="B2698" s="51"/>
      <c r="C2698" s="51"/>
      <c r="D2698" s="52"/>
      <c r="E2698" s="53"/>
      <c r="F2698" s="54"/>
      <c r="G2698" s="54"/>
      <c r="H2698" s="54"/>
      <c r="I2698" s="66"/>
      <c r="J2698" s="54"/>
      <c r="K2698" s="54"/>
      <c r="L2698" s="54"/>
      <c r="M2698" s="97" t="str">
        <f t="shared" si="232"/>
        <v/>
      </c>
      <c r="N2698" s="70"/>
      <c r="O2698" s="71" t="str">
        <f t="shared" si="236"/>
        <v/>
      </c>
      <c r="P2698" s="66"/>
      <c r="Q2698" s="66"/>
      <c r="R2698" s="54"/>
      <c r="S2698" s="82"/>
      <c r="T2698" s="83" t="str">
        <f t="shared" si="233"/>
        <v/>
      </c>
      <c r="U2698" s="10"/>
      <c r="V2698" s="41">
        <f>IF(AND(Q2698&lt;&gt;"",RIGHT(Q2698,3)&lt;&gt;""),IF(COUNTIF($Q$6:Q2698,Q2698)=1,1,0),0)</f>
        <v>0</v>
      </c>
      <c r="W2698" s="41" t="str">
        <f t="shared" si="234"/>
        <v/>
      </c>
      <c r="X2698" s="41" t="str">
        <f t="shared" si="235"/>
        <v/>
      </c>
    </row>
    <row r="2699" s="32" customFormat="1" hidden="1" customHeight="1" spans="1:24">
      <c r="A2699" s="34"/>
      <c r="B2699" s="51"/>
      <c r="C2699" s="51"/>
      <c r="D2699" s="52"/>
      <c r="E2699" s="53"/>
      <c r="F2699" s="54"/>
      <c r="G2699" s="54"/>
      <c r="H2699" s="54"/>
      <c r="I2699" s="66"/>
      <c r="J2699" s="54"/>
      <c r="K2699" s="54"/>
      <c r="L2699" s="54"/>
      <c r="M2699" s="97" t="str">
        <f t="shared" si="232"/>
        <v/>
      </c>
      <c r="N2699" s="70"/>
      <c r="O2699" s="71" t="str">
        <f t="shared" si="236"/>
        <v/>
      </c>
      <c r="P2699" s="66"/>
      <c r="Q2699" s="66"/>
      <c r="R2699" s="54"/>
      <c r="S2699" s="82"/>
      <c r="T2699" s="83" t="str">
        <f t="shared" si="233"/>
        <v/>
      </c>
      <c r="U2699" s="10"/>
      <c r="V2699" s="41">
        <f>IF(AND(Q2699&lt;&gt;"",RIGHT(Q2699,3)&lt;&gt;""),IF(COUNTIF($Q$6:Q2699,Q2699)=1,1,0),0)</f>
        <v>0</v>
      </c>
      <c r="W2699" s="41" t="str">
        <f t="shared" si="234"/>
        <v/>
      </c>
      <c r="X2699" s="41" t="str">
        <f t="shared" si="235"/>
        <v/>
      </c>
    </row>
    <row r="2700" s="32" customFormat="1" hidden="1" customHeight="1" spans="1:24">
      <c r="A2700" s="34"/>
      <c r="B2700" s="51"/>
      <c r="C2700" s="51"/>
      <c r="D2700" s="52"/>
      <c r="E2700" s="53"/>
      <c r="F2700" s="54"/>
      <c r="G2700" s="54"/>
      <c r="H2700" s="54"/>
      <c r="I2700" s="66"/>
      <c r="J2700" s="54"/>
      <c r="K2700" s="54"/>
      <c r="L2700" s="54"/>
      <c r="M2700" s="97" t="str">
        <f t="shared" si="232"/>
        <v/>
      </c>
      <c r="N2700" s="70"/>
      <c r="O2700" s="71" t="str">
        <f t="shared" si="236"/>
        <v/>
      </c>
      <c r="P2700" s="66"/>
      <c r="Q2700" s="66"/>
      <c r="R2700" s="54"/>
      <c r="S2700" s="82"/>
      <c r="T2700" s="83" t="str">
        <f t="shared" si="233"/>
        <v/>
      </c>
      <c r="U2700" s="10"/>
      <c r="V2700" s="41">
        <f>IF(AND(Q2700&lt;&gt;"",RIGHT(Q2700,3)&lt;&gt;""),IF(COUNTIF($Q$6:Q2700,Q2700)=1,1,0),0)</f>
        <v>0</v>
      </c>
      <c r="W2700" s="41" t="str">
        <f t="shared" si="234"/>
        <v/>
      </c>
      <c r="X2700" s="41" t="str">
        <f t="shared" si="235"/>
        <v/>
      </c>
    </row>
    <row r="2701" s="32" customFormat="1" hidden="1" customHeight="1" spans="1:24">
      <c r="A2701" s="34"/>
      <c r="B2701" s="51"/>
      <c r="C2701" s="51"/>
      <c r="D2701" s="52"/>
      <c r="E2701" s="53"/>
      <c r="F2701" s="54"/>
      <c r="G2701" s="54"/>
      <c r="H2701" s="54"/>
      <c r="I2701" s="66"/>
      <c r="J2701" s="54"/>
      <c r="K2701" s="54"/>
      <c r="L2701" s="54"/>
      <c r="M2701" s="97" t="str">
        <f t="shared" si="232"/>
        <v/>
      </c>
      <c r="N2701" s="70"/>
      <c r="O2701" s="71" t="str">
        <f t="shared" si="236"/>
        <v/>
      </c>
      <c r="P2701" s="66"/>
      <c r="Q2701" s="66"/>
      <c r="R2701" s="54"/>
      <c r="S2701" s="82"/>
      <c r="T2701" s="83" t="str">
        <f t="shared" si="233"/>
        <v/>
      </c>
      <c r="U2701" s="10"/>
      <c r="V2701" s="41">
        <f>IF(AND(Q2701&lt;&gt;"",RIGHT(Q2701,3)&lt;&gt;""),IF(COUNTIF($Q$6:Q2701,Q2701)=1,1,0),0)</f>
        <v>0</v>
      </c>
      <c r="W2701" s="41" t="str">
        <f t="shared" si="234"/>
        <v/>
      </c>
      <c r="X2701" s="41" t="str">
        <f t="shared" si="235"/>
        <v/>
      </c>
    </row>
    <row r="2702" s="32" customFormat="1" hidden="1" customHeight="1" spans="1:24">
      <c r="A2702" s="34"/>
      <c r="B2702" s="51"/>
      <c r="C2702" s="51"/>
      <c r="D2702" s="52"/>
      <c r="E2702" s="53"/>
      <c r="F2702" s="54"/>
      <c r="G2702" s="54"/>
      <c r="H2702" s="54"/>
      <c r="I2702" s="66"/>
      <c r="J2702" s="54"/>
      <c r="K2702" s="54"/>
      <c r="L2702" s="54"/>
      <c r="M2702" s="97" t="str">
        <f t="shared" si="232"/>
        <v/>
      </c>
      <c r="N2702" s="70"/>
      <c r="O2702" s="71" t="str">
        <f t="shared" si="236"/>
        <v/>
      </c>
      <c r="P2702" s="66"/>
      <c r="Q2702" s="66"/>
      <c r="R2702" s="54"/>
      <c r="S2702" s="82"/>
      <c r="T2702" s="83" t="str">
        <f t="shared" si="233"/>
        <v/>
      </c>
      <c r="U2702" s="10"/>
      <c r="V2702" s="41">
        <f>IF(AND(Q2702&lt;&gt;"",RIGHT(Q2702,3)&lt;&gt;""),IF(COUNTIF($Q$6:Q2702,Q2702)=1,1,0),0)</f>
        <v>0</v>
      </c>
      <c r="W2702" s="41" t="str">
        <f t="shared" si="234"/>
        <v/>
      </c>
      <c r="X2702" s="41" t="str">
        <f t="shared" si="235"/>
        <v/>
      </c>
    </row>
    <row r="2703" s="32" customFormat="1" hidden="1" customHeight="1" spans="1:24">
      <c r="A2703" s="34"/>
      <c r="B2703" s="51"/>
      <c r="C2703" s="51"/>
      <c r="D2703" s="52"/>
      <c r="E2703" s="53"/>
      <c r="F2703" s="54"/>
      <c r="G2703" s="54"/>
      <c r="H2703" s="54"/>
      <c r="I2703" s="66"/>
      <c r="J2703" s="54"/>
      <c r="K2703" s="54"/>
      <c r="L2703" s="54"/>
      <c r="M2703" s="97" t="str">
        <f t="shared" si="232"/>
        <v/>
      </c>
      <c r="N2703" s="70"/>
      <c r="O2703" s="71" t="str">
        <f t="shared" si="236"/>
        <v/>
      </c>
      <c r="P2703" s="66"/>
      <c r="Q2703" s="66"/>
      <c r="R2703" s="54"/>
      <c r="S2703" s="82"/>
      <c r="T2703" s="83" t="str">
        <f t="shared" si="233"/>
        <v/>
      </c>
      <c r="U2703" s="10"/>
      <c r="V2703" s="41">
        <f>IF(AND(Q2703&lt;&gt;"",RIGHT(Q2703,3)&lt;&gt;""),IF(COUNTIF($Q$6:Q2703,Q2703)=1,1,0),0)</f>
        <v>0</v>
      </c>
      <c r="W2703" s="41" t="str">
        <f t="shared" si="234"/>
        <v/>
      </c>
      <c r="X2703" s="41" t="str">
        <f t="shared" si="235"/>
        <v/>
      </c>
    </row>
    <row r="2704" s="32" customFormat="1" hidden="1" customHeight="1" spans="1:24">
      <c r="A2704" s="34"/>
      <c r="B2704" s="51"/>
      <c r="C2704" s="51"/>
      <c r="D2704" s="52"/>
      <c r="E2704" s="53"/>
      <c r="F2704" s="54"/>
      <c r="G2704" s="54"/>
      <c r="H2704" s="54"/>
      <c r="I2704" s="66"/>
      <c r="J2704" s="54"/>
      <c r="K2704" s="54"/>
      <c r="L2704" s="54"/>
      <c r="M2704" s="97" t="str">
        <f t="shared" si="232"/>
        <v/>
      </c>
      <c r="N2704" s="70"/>
      <c r="O2704" s="71" t="str">
        <f t="shared" si="236"/>
        <v/>
      </c>
      <c r="P2704" s="66"/>
      <c r="Q2704" s="66"/>
      <c r="R2704" s="54"/>
      <c r="S2704" s="82"/>
      <c r="T2704" s="83" t="str">
        <f t="shared" si="233"/>
        <v/>
      </c>
      <c r="U2704" s="10"/>
      <c r="V2704" s="41">
        <f>IF(AND(Q2704&lt;&gt;"",RIGHT(Q2704,3)&lt;&gt;""),IF(COUNTIF($Q$6:Q2704,Q2704)=1,1,0),0)</f>
        <v>0</v>
      </c>
      <c r="W2704" s="41" t="str">
        <f t="shared" si="234"/>
        <v/>
      </c>
      <c r="X2704" s="41" t="str">
        <f t="shared" si="235"/>
        <v/>
      </c>
    </row>
    <row r="2705" s="32" customFormat="1" hidden="1" customHeight="1" spans="1:24">
      <c r="A2705" s="34"/>
      <c r="B2705" s="51"/>
      <c r="C2705" s="51"/>
      <c r="D2705" s="52"/>
      <c r="E2705" s="53"/>
      <c r="F2705" s="54"/>
      <c r="G2705" s="54"/>
      <c r="H2705" s="54"/>
      <c r="I2705" s="66"/>
      <c r="J2705" s="54"/>
      <c r="K2705" s="54"/>
      <c r="L2705" s="54"/>
      <c r="M2705" s="97" t="str">
        <f t="shared" si="232"/>
        <v/>
      </c>
      <c r="N2705" s="70"/>
      <c r="O2705" s="71" t="str">
        <f t="shared" si="236"/>
        <v/>
      </c>
      <c r="P2705" s="66"/>
      <c r="Q2705" s="66"/>
      <c r="R2705" s="54"/>
      <c r="S2705" s="82"/>
      <c r="T2705" s="83" t="str">
        <f t="shared" si="233"/>
        <v/>
      </c>
      <c r="U2705" s="10"/>
      <c r="V2705" s="41">
        <f>IF(AND(Q2705&lt;&gt;"",RIGHT(Q2705,3)&lt;&gt;""),IF(COUNTIF($Q$6:Q2705,Q2705)=1,1,0),0)</f>
        <v>0</v>
      </c>
      <c r="W2705" s="41" t="str">
        <f t="shared" si="234"/>
        <v/>
      </c>
      <c r="X2705" s="41" t="str">
        <f t="shared" si="235"/>
        <v/>
      </c>
    </row>
    <row r="2706" s="32" customFormat="1" hidden="1" customHeight="1" spans="1:24">
      <c r="A2706" s="34"/>
      <c r="B2706" s="51"/>
      <c r="C2706" s="51"/>
      <c r="D2706" s="52"/>
      <c r="E2706" s="53"/>
      <c r="F2706" s="54"/>
      <c r="G2706" s="54"/>
      <c r="H2706" s="54"/>
      <c r="I2706" s="66"/>
      <c r="J2706" s="54"/>
      <c r="K2706" s="54"/>
      <c r="L2706" s="54"/>
      <c r="M2706" s="97" t="str">
        <f t="shared" si="232"/>
        <v/>
      </c>
      <c r="N2706" s="70"/>
      <c r="O2706" s="71" t="str">
        <f t="shared" si="236"/>
        <v/>
      </c>
      <c r="P2706" s="66"/>
      <c r="Q2706" s="66"/>
      <c r="R2706" s="54"/>
      <c r="S2706" s="82"/>
      <c r="T2706" s="83" t="str">
        <f t="shared" si="233"/>
        <v/>
      </c>
      <c r="U2706" s="10"/>
      <c r="V2706" s="41">
        <f>IF(AND(Q2706&lt;&gt;"",RIGHT(Q2706,3)&lt;&gt;""),IF(COUNTIF($Q$6:Q2706,Q2706)=1,1,0),0)</f>
        <v>0</v>
      </c>
      <c r="W2706" s="41" t="str">
        <f t="shared" si="234"/>
        <v/>
      </c>
      <c r="X2706" s="41" t="str">
        <f t="shared" si="235"/>
        <v/>
      </c>
    </row>
    <row r="2707" s="32" customFormat="1" hidden="1" customHeight="1" spans="1:24">
      <c r="A2707" s="34"/>
      <c r="B2707" s="51"/>
      <c r="C2707" s="51"/>
      <c r="D2707" s="52"/>
      <c r="E2707" s="53"/>
      <c r="F2707" s="54"/>
      <c r="G2707" s="54"/>
      <c r="H2707" s="54"/>
      <c r="I2707" s="66"/>
      <c r="J2707" s="54"/>
      <c r="K2707" s="54"/>
      <c r="L2707" s="54"/>
      <c r="M2707" s="97" t="str">
        <f t="shared" si="232"/>
        <v/>
      </c>
      <c r="N2707" s="70"/>
      <c r="O2707" s="71" t="str">
        <f t="shared" si="236"/>
        <v/>
      </c>
      <c r="P2707" s="66"/>
      <c r="Q2707" s="66"/>
      <c r="R2707" s="54"/>
      <c r="S2707" s="82"/>
      <c r="T2707" s="83" t="str">
        <f t="shared" si="233"/>
        <v/>
      </c>
      <c r="U2707" s="10"/>
      <c r="V2707" s="41">
        <f>IF(AND(Q2707&lt;&gt;"",RIGHT(Q2707,3)&lt;&gt;""),IF(COUNTIF($Q$6:Q2707,Q2707)=1,1,0),0)</f>
        <v>0</v>
      </c>
      <c r="W2707" s="41" t="str">
        <f t="shared" si="234"/>
        <v/>
      </c>
      <c r="X2707" s="41" t="str">
        <f t="shared" si="235"/>
        <v/>
      </c>
    </row>
    <row r="2708" s="32" customFormat="1" hidden="1" customHeight="1" spans="1:24">
      <c r="A2708" s="34"/>
      <c r="B2708" s="51"/>
      <c r="C2708" s="51"/>
      <c r="D2708" s="52"/>
      <c r="E2708" s="53"/>
      <c r="F2708" s="54"/>
      <c r="G2708" s="54"/>
      <c r="H2708" s="54"/>
      <c r="I2708" s="66"/>
      <c r="J2708" s="54"/>
      <c r="K2708" s="54"/>
      <c r="L2708" s="54"/>
      <c r="M2708" s="97" t="str">
        <f t="shared" si="232"/>
        <v/>
      </c>
      <c r="N2708" s="70"/>
      <c r="O2708" s="71" t="str">
        <f t="shared" si="236"/>
        <v/>
      </c>
      <c r="P2708" s="66"/>
      <c r="Q2708" s="66"/>
      <c r="R2708" s="54"/>
      <c r="S2708" s="82"/>
      <c r="T2708" s="83" t="str">
        <f t="shared" si="233"/>
        <v/>
      </c>
      <c r="U2708" s="10"/>
      <c r="V2708" s="41">
        <f>IF(AND(Q2708&lt;&gt;"",RIGHT(Q2708,3)&lt;&gt;""),IF(COUNTIF($Q$6:Q2708,Q2708)=1,1,0),0)</f>
        <v>0</v>
      </c>
      <c r="W2708" s="41" t="str">
        <f t="shared" si="234"/>
        <v/>
      </c>
      <c r="X2708" s="41" t="str">
        <f t="shared" si="235"/>
        <v/>
      </c>
    </row>
    <row r="2709" s="32" customFormat="1" hidden="1" customHeight="1" spans="1:24">
      <c r="A2709" s="34"/>
      <c r="B2709" s="51"/>
      <c r="C2709" s="51"/>
      <c r="D2709" s="52"/>
      <c r="E2709" s="53"/>
      <c r="F2709" s="54"/>
      <c r="G2709" s="54"/>
      <c r="H2709" s="54"/>
      <c r="I2709" s="66"/>
      <c r="J2709" s="54"/>
      <c r="K2709" s="54"/>
      <c r="L2709" s="54"/>
      <c r="M2709" s="97" t="str">
        <f t="shared" si="232"/>
        <v/>
      </c>
      <c r="N2709" s="70"/>
      <c r="O2709" s="71" t="str">
        <f t="shared" si="236"/>
        <v/>
      </c>
      <c r="P2709" s="66"/>
      <c r="Q2709" s="66"/>
      <c r="R2709" s="54"/>
      <c r="S2709" s="82"/>
      <c r="T2709" s="83" t="str">
        <f t="shared" si="233"/>
        <v/>
      </c>
      <c r="U2709" s="10"/>
      <c r="V2709" s="41">
        <f>IF(AND(Q2709&lt;&gt;"",RIGHT(Q2709,3)&lt;&gt;""),IF(COUNTIF($Q$6:Q2709,Q2709)=1,1,0),0)</f>
        <v>0</v>
      </c>
      <c r="W2709" s="41" t="str">
        <f t="shared" si="234"/>
        <v/>
      </c>
      <c r="X2709" s="41" t="str">
        <f t="shared" si="235"/>
        <v/>
      </c>
    </row>
    <row r="2710" s="32" customFormat="1" hidden="1" customHeight="1" spans="1:24">
      <c r="A2710" s="34"/>
      <c r="B2710" s="51"/>
      <c r="C2710" s="51"/>
      <c r="D2710" s="52"/>
      <c r="E2710" s="53"/>
      <c r="F2710" s="54"/>
      <c r="G2710" s="54"/>
      <c r="H2710" s="54"/>
      <c r="I2710" s="66"/>
      <c r="J2710" s="54"/>
      <c r="K2710" s="54"/>
      <c r="L2710" s="54"/>
      <c r="M2710" s="97" t="str">
        <f t="shared" si="232"/>
        <v/>
      </c>
      <c r="N2710" s="70"/>
      <c r="O2710" s="71" t="str">
        <f t="shared" si="236"/>
        <v/>
      </c>
      <c r="P2710" s="66"/>
      <c r="Q2710" s="66"/>
      <c r="R2710" s="54"/>
      <c r="S2710" s="82"/>
      <c r="T2710" s="83" t="str">
        <f t="shared" si="233"/>
        <v/>
      </c>
      <c r="U2710" s="10"/>
      <c r="V2710" s="41">
        <f>IF(AND(Q2710&lt;&gt;"",RIGHT(Q2710,3)&lt;&gt;""),IF(COUNTIF($Q$6:Q2710,Q2710)=1,1,0),0)</f>
        <v>0</v>
      </c>
      <c r="W2710" s="41" t="str">
        <f t="shared" si="234"/>
        <v/>
      </c>
      <c r="X2710" s="41" t="str">
        <f t="shared" si="235"/>
        <v/>
      </c>
    </row>
    <row r="2711" s="32" customFormat="1" hidden="1" customHeight="1" spans="1:24">
      <c r="A2711" s="34"/>
      <c r="B2711" s="51"/>
      <c r="C2711" s="51"/>
      <c r="D2711" s="52"/>
      <c r="E2711" s="53"/>
      <c r="F2711" s="54"/>
      <c r="G2711" s="54"/>
      <c r="H2711" s="54"/>
      <c r="I2711" s="66"/>
      <c r="J2711" s="54"/>
      <c r="K2711" s="54"/>
      <c r="L2711" s="54"/>
      <c r="M2711" s="97" t="str">
        <f t="shared" si="232"/>
        <v/>
      </c>
      <c r="N2711" s="70"/>
      <c r="O2711" s="71" t="str">
        <f t="shared" si="236"/>
        <v/>
      </c>
      <c r="P2711" s="66"/>
      <c r="Q2711" s="66"/>
      <c r="R2711" s="54"/>
      <c r="S2711" s="82"/>
      <c r="T2711" s="83" t="str">
        <f t="shared" si="233"/>
        <v/>
      </c>
      <c r="U2711" s="10"/>
      <c r="V2711" s="41">
        <f>IF(AND(Q2711&lt;&gt;"",RIGHT(Q2711,3)&lt;&gt;""),IF(COUNTIF($Q$6:Q2711,Q2711)=1,1,0),0)</f>
        <v>0</v>
      </c>
      <c r="W2711" s="41" t="str">
        <f t="shared" si="234"/>
        <v/>
      </c>
      <c r="X2711" s="41" t="str">
        <f t="shared" si="235"/>
        <v/>
      </c>
    </row>
    <row r="2712" s="32" customFormat="1" hidden="1" customHeight="1" spans="1:24">
      <c r="A2712" s="34"/>
      <c r="B2712" s="51"/>
      <c r="C2712" s="51"/>
      <c r="D2712" s="52"/>
      <c r="E2712" s="53"/>
      <c r="F2712" s="54"/>
      <c r="G2712" s="54"/>
      <c r="H2712" s="54"/>
      <c r="I2712" s="66"/>
      <c r="J2712" s="54"/>
      <c r="K2712" s="54"/>
      <c r="L2712" s="54"/>
      <c r="M2712" s="97" t="str">
        <f t="shared" si="232"/>
        <v/>
      </c>
      <c r="N2712" s="70"/>
      <c r="O2712" s="71" t="str">
        <f t="shared" si="236"/>
        <v/>
      </c>
      <c r="P2712" s="66"/>
      <c r="Q2712" s="66"/>
      <c r="R2712" s="54"/>
      <c r="S2712" s="82"/>
      <c r="T2712" s="83" t="str">
        <f t="shared" si="233"/>
        <v/>
      </c>
      <c r="U2712" s="10"/>
      <c r="V2712" s="41">
        <f>IF(AND(Q2712&lt;&gt;"",RIGHT(Q2712,3)&lt;&gt;""),IF(COUNTIF($Q$6:Q2712,Q2712)=1,1,0),0)</f>
        <v>0</v>
      </c>
      <c r="W2712" s="41" t="str">
        <f t="shared" si="234"/>
        <v/>
      </c>
      <c r="X2712" s="41" t="str">
        <f t="shared" si="235"/>
        <v/>
      </c>
    </row>
    <row r="2713" s="32" customFormat="1" hidden="1" customHeight="1" spans="1:24">
      <c r="A2713" s="34"/>
      <c r="B2713" s="51"/>
      <c r="C2713" s="51"/>
      <c r="D2713" s="52"/>
      <c r="E2713" s="53"/>
      <c r="F2713" s="54"/>
      <c r="G2713" s="54"/>
      <c r="H2713" s="54"/>
      <c r="I2713" s="66"/>
      <c r="J2713" s="54"/>
      <c r="K2713" s="54"/>
      <c r="L2713" s="54"/>
      <c r="M2713" s="97" t="str">
        <f t="shared" si="232"/>
        <v/>
      </c>
      <c r="N2713" s="70"/>
      <c r="O2713" s="71" t="str">
        <f t="shared" si="236"/>
        <v/>
      </c>
      <c r="P2713" s="66"/>
      <c r="Q2713" s="66"/>
      <c r="R2713" s="54"/>
      <c r="S2713" s="82"/>
      <c r="T2713" s="83" t="str">
        <f t="shared" si="233"/>
        <v/>
      </c>
      <c r="U2713" s="10"/>
      <c r="V2713" s="41">
        <f>IF(AND(Q2713&lt;&gt;"",RIGHT(Q2713,3)&lt;&gt;""),IF(COUNTIF($Q$6:Q2713,Q2713)=1,1,0),0)</f>
        <v>0</v>
      </c>
      <c r="W2713" s="41" t="str">
        <f t="shared" si="234"/>
        <v/>
      </c>
      <c r="X2713" s="41" t="str">
        <f t="shared" si="235"/>
        <v/>
      </c>
    </row>
    <row r="2714" s="32" customFormat="1" hidden="1" customHeight="1" spans="1:24">
      <c r="A2714" s="34"/>
      <c r="B2714" s="51"/>
      <c r="C2714" s="51"/>
      <c r="D2714" s="52"/>
      <c r="E2714" s="53"/>
      <c r="F2714" s="54"/>
      <c r="G2714" s="54"/>
      <c r="H2714" s="54"/>
      <c r="I2714" s="66"/>
      <c r="J2714" s="54"/>
      <c r="K2714" s="54"/>
      <c r="L2714" s="54"/>
      <c r="M2714" s="97" t="str">
        <f t="shared" si="232"/>
        <v/>
      </c>
      <c r="N2714" s="70"/>
      <c r="O2714" s="71" t="str">
        <f t="shared" si="236"/>
        <v/>
      </c>
      <c r="P2714" s="66"/>
      <c r="Q2714" s="66"/>
      <c r="R2714" s="54"/>
      <c r="S2714" s="82"/>
      <c r="T2714" s="83" t="str">
        <f t="shared" si="233"/>
        <v/>
      </c>
      <c r="U2714" s="10"/>
      <c r="V2714" s="41">
        <f>IF(AND(Q2714&lt;&gt;"",RIGHT(Q2714,3)&lt;&gt;""),IF(COUNTIF($Q$6:Q2714,Q2714)=1,1,0),0)</f>
        <v>0</v>
      </c>
      <c r="W2714" s="41" t="str">
        <f t="shared" si="234"/>
        <v/>
      </c>
      <c r="X2714" s="41" t="str">
        <f t="shared" si="235"/>
        <v/>
      </c>
    </row>
    <row r="2715" s="32" customFormat="1" hidden="1" customHeight="1" spans="1:24">
      <c r="A2715" s="34"/>
      <c r="B2715" s="51"/>
      <c r="C2715" s="51"/>
      <c r="D2715" s="52"/>
      <c r="E2715" s="53"/>
      <c r="F2715" s="54"/>
      <c r="G2715" s="54"/>
      <c r="H2715" s="54"/>
      <c r="I2715" s="66"/>
      <c r="J2715" s="54"/>
      <c r="K2715" s="54"/>
      <c r="L2715" s="54"/>
      <c r="M2715" s="97" t="str">
        <f t="shared" si="232"/>
        <v/>
      </c>
      <c r="N2715" s="70"/>
      <c r="O2715" s="71" t="str">
        <f t="shared" si="236"/>
        <v/>
      </c>
      <c r="P2715" s="66"/>
      <c r="Q2715" s="66"/>
      <c r="R2715" s="54"/>
      <c r="S2715" s="82"/>
      <c r="T2715" s="83" t="str">
        <f t="shared" si="233"/>
        <v/>
      </c>
      <c r="U2715" s="10"/>
      <c r="V2715" s="41">
        <f>IF(AND(Q2715&lt;&gt;"",RIGHT(Q2715,3)&lt;&gt;""),IF(COUNTIF($Q$6:Q2715,Q2715)=1,1,0),0)</f>
        <v>0</v>
      </c>
      <c r="W2715" s="41" t="str">
        <f t="shared" si="234"/>
        <v/>
      </c>
      <c r="X2715" s="41" t="str">
        <f t="shared" si="235"/>
        <v/>
      </c>
    </row>
    <row r="2716" s="32" customFormat="1" hidden="1" customHeight="1" spans="1:24">
      <c r="A2716" s="34"/>
      <c r="B2716" s="51"/>
      <c r="C2716" s="51"/>
      <c r="D2716" s="52"/>
      <c r="E2716" s="53"/>
      <c r="F2716" s="54"/>
      <c r="G2716" s="54"/>
      <c r="H2716" s="54"/>
      <c r="I2716" s="66"/>
      <c r="J2716" s="54"/>
      <c r="K2716" s="54"/>
      <c r="L2716" s="54"/>
      <c r="M2716" s="97" t="str">
        <f t="shared" si="232"/>
        <v/>
      </c>
      <c r="N2716" s="70"/>
      <c r="O2716" s="71" t="str">
        <f t="shared" si="236"/>
        <v/>
      </c>
      <c r="P2716" s="66"/>
      <c r="Q2716" s="66"/>
      <c r="R2716" s="54"/>
      <c r="S2716" s="82"/>
      <c r="T2716" s="83" t="str">
        <f t="shared" si="233"/>
        <v/>
      </c>
      <c r="U2716" s="10"/>
      <c r="V2716" s="41">
        <f>IF(AND(Q2716&lt;&gt;"",RIGHT(Q2716,3)&lt;&gt;""),IF(COUNTIF($Q$6:Q2716,Q2716)=1,1,0),0)</f>
        <v>0</v>
      </c>
      <c r="W2716" s="41" t="str">
        <f t="shared" si="234"/>
        <v/>
      </c>
      <c r="X2716" s="41" t="str">
        <f t="shared" si="235"/>
        <v/>
      </c>
    </row>
    <row r="2717" s="32" customFormat="1" hidden="1" customHeight="1" spans="1:24">
      <c r="A2717" s="34"/>
      <c r="B2717" s="51"/>
      <c r="C2717" s="51"/>
      <c r="D2717" s="52"/>
      <c r="E2717" s="53"/>
      <c r="F2717" s="54"/>
      <c r="G2717" s="54"/>
      <c r="H2717" s="54"/>
      <c r="I2717" s="66"/>
      <c r="J2717" s="54"/>
      <c r="K2717" s="54"/>
      <c r="L2717" s="54"/>
      <c r="M2717" s="97" t="str">
        <f t="shared" si="232"/>
        <v/>
      </c>
      <c r="N2717" s="70"/>
      <c r="O2717" s="71" t="str">
        <f t="shared" si="236"/>
        <v/>
      </c>
      <c r="P2717" s="66"/>
      <c r="Q2717" s="66"/>
      <c r="R2717" s="54"/>
      <c r="S2717" s="82"/>
      <c r="T2717" s="83" t="str">
        <f t="shared" si="233"/>
        <v/>
      </c>
      <c r="U2717" s="10"/>
      <c r="V2717" s="41">
        <f>IF(AND(Q2717&lt;&gt;"",RIGHT(Q2717,3)&lt;&gt;""),IF(COUNTIF($Q$6:Q2717,Q2717)=1,1,0),0)</f>
        <v>0</v>
      </c>
      <c r="W2717" s="41" t="str">
        <f t="shared" si="234"/>
        <v/>
      </c>
      <c r="X2717" s="41" t="str">
        <f t="shared" si="235"/>
        <v/>
      </c>
    </row>
    <row r="2718" s="32" customFormat="1" hidden="1" customHeight="1" spans="1:24">
      <c r="A2718" s="34"/>
      <c r="B2718" s="51"/>
      <c r="C2718" s="51"/>
      <c r="D2718" s="52"/>
      <c r="E2718" s="53"/>
      <c r="F2718" s="54"/>
      <c r="G2718" s="54"/>
      <c r="H2718" s="54"/>
      <c r="I2718" s="66"/>
      <c r="J2718" s="54"/>
      <c r="K2718" s="54"/>
      <c r="L2718" s="54"/>
      <c r="M2718" s="97" t="str">
        <f t="shared" si="232"/>
        <v/>
      </c>
      <c r="N2718" s="70"/>
      <c r="O2718" s="71" t="str">
        <f t="shared" si="236"/>
        <v/>
      </c>
      <c r="P2718" s="66"/>
      <c r="Q2718" s="66"/>
      <c r="R2718" s="54"/>
      <c r="S2718" s="82"/>
      <c r="T2718" s="83" t="str">
        <f t="shared" si="233"/>
        <v/>
      </c>
      <c r="U2718" s="10"/>
      <c r="V2718" s="41">
        <f>IF(AND(Q2718&lt;&gt;"",RIGHT(Q2718,3)&lt;&gt;""),IF(COUNTIF($Q$6:Q2718,Q2718)=1,1,0),0)</f>
        <v>0</v>
      </c>
      <c r="W2718" s="41" t="str">
        <f t="shared" si="234"/>
        <v/>
      </c>
      <c r="X2718" s="41" t="str">
        <f t="shared" si="235"/>
        <v/>
      </c>
    </row>
    <row r="2719" s="32" customFormat="1" hidden="1" customHeight="1" spans="1:24">
      <c r="A2719" s="34"/>
      <c r="B2719" s="51"/>
      <c r="C2719" s="51"/>
      <c r="D2719" s="52"/>
      <c r="E2719" s="53"/>
      <c r="F2719" s="54"/>
      <c r="G2719" s="54"/>
      <c r="H2719" s="54"/>
      <c r="I2719" s="66"/>
      <c r="J2719" s="54"/>
      <c r="K2719" s="54"/>
      <c r="L2719" s="54"/>
      <c r="M2719" s="97" t="str">
        <f t="shared" si="232"/>
        <v/>
      </c>
      <c r="N2719" s="70"/>
      <c r="O2719" s="71" t="str">
        <f t="shared" si="236"/>
        <v/>
      </c>
      <c r="P2719" s="66"/>
      <c r="Q2719" s="66"/>
      <c r="R2719" s="54"/>
      <c r="S2719" s="82"/>
      <c r="T2719" s="83" t="str">
        <f t="shared" si="233"/>
        <v/>
      </c>
      <c r="U2719" s="10"/>
      <c r="V2719" s="41">
        <f>IF(AND(Q2719&lt;&gt;"",RIGHT(Q2719,3)&lt;&gt;""),IF(COUNTIF($Q$6:Q2719,Q2719)=1,1,0),0)</f>
        <v>0</v>
      </c>
      <c r="W2719" s="41" t="str">
        <f t="shared" si="234"/>
        <v/>
      </c>
      <c r="X2719" s="41" t="str">
        <f t="shared" si="235"/>
        <v/>
      </c>
    </row>
    <row r="2720" s="32" customFormat="1" hidden="1" customHeight="1" spans="1:24">
      <c r="A2720" s="34"/>
      <c r="B2720" s="51"/>
      <c r="C2720" s="51"/>
      <c r="D2720" s="52"/>
      <c r="E2720" s="53"/>
      <c r="F2720" s="54"/>
      <c r="G2720" s="54"/>
      <c r="H2720" s="54"/>
      <c r="I2720" s="66"/>
      <c r="J2720" s="54"/>
      <c r="K2720" s="54"/>
      <c r="L2720" s="54"/>
      <c r="M2720" s="97" t="str">
        <f t="shared" si="232"/>
        <v/>
      </c>
      <c r="N2720" s="70"/>
      <c r="O2720" s="71" t="str">
        <f t="shared" si="236"/>
        <v/>
      </c>
      <c r="P2720" s="66"/>
      <c r="Q2720" s="66"/>
      <c r="R2720" s="54"/>
      <c r="S2720" s="82"/>
      <c r="T2720" s="83" t="str">
        <f t="shared" si="233"/>
        <v/>
      </c>
      <c r="U2720" s="10"/>
      <c r="V2720" s="41">
        <f>IF(AND(Q2720&lt;&gt;"",RIGHT(Q2720,3)&lt;&gt;""),IF(COUNTIF($Q$6:Q2720,Q2720)=1,1,0),0)</f>
        <v>0</v>
      </c>
      <c r="W2720" s="41" t="str">
        <f t="shared" si="234"/>
        <v/>
      </c>
      <c r="X2720" s="41" t="str">
        <f t="shared" si="235"/>
        <v/>
      </c>
    </row>
    <row r="2721" s="32" customFormat="1" hidden="1" customHeight="1" spans="1:24">
      <c r="A2721" s="34"/>
      <c r="B2721" s="51"/>
      <c r="C2721" s="51"/>
      <c r="D2721" s="52"/>
      <c r="E2721" s="53"/>
      <c r="F2721" s="54"/>
      <c r="G2721" s="54"/>
      <c r="H2721" s="54"/>
      <c r="I2721" s="66"/>
      <c r="J2721" s="54"/>
      <c r="K2721" s="54"/>
      <c r="L2721" s="54"/>
      <c r="M2721" s="97" t="str">
        <f t="shared" si="232"/>
        <v/>
      </c>
      <c r="N2721" s="70"/>
      <c r="O2721" s="71" t="str">
        <f t="shared" si="236"/>
        <v/>
      </c>
      <c r="P2721" s="66"/>
      <c r="Q2721" s="66"/>
      <c r="R2721" s="54"/>
      <c r="S2721" s="82"/>
      <c r="T2721" s="83" t="str">
        <f t="shared" si="233"/>
        <v/>
      </c>
      <c r="U2721" s="10"/>
      <c r="V2721" s="41">
        <f>IF(AND(Q2721&lt;&gt;"",RIGHT(Q2721,3)&lt;&gt;""),IF(COUNTIF($Q$6:Q2721,Q2721)=1,1,0),0)</f>
        <v>0</v>
      </c>
      <c r="W2721" s="41" t="str">
        <f t="shared" si="234"/>
        <v/>
      </c>
      <c r="X2721" s="41" t="str">
        <f t="shared" si="235"/>
        <v/>
      </c>
    </row>
    <row r="2722" s="32" customFormat="1" hidden="1" customHeight="1" spans="1:24">
      <c r="A2722" s="34"/>
      <c r="B2722" s="51"/>
      <c r="C2722" s="51"/>
      <c r="D2722" s="52"/>
      <c r="E2722" s="53"/>
      <c r="F2722" s="54"/>
      <c r="G2722" s="54"/>
      <c r="H2722" s="54"/>
      <c r="I2722" s="66"/>
      <c r="J2722" s="54"/>
      <c r="K2722" s="54"/>
      <c r="L2722" s="54"/>
      <c r="M2722" s="97" t="str">
        <f t="shared" si="232"/>
        <v/>
      </c>
      <c r="N2722" s="70"/>
      <c r="O2722" s="71" t="str">
        <f t="shared" si="236"/>
        <v/>
      </c>
      <c r="P2722" s="66"/>
      <c r="Q2722" s="66"/>
      <c r="R2722" s="54"/>
      <c r="S2722" s="82"/>
      <c r="T2722" s="83" t="str">
        <f t="shared" si="233"/>
        <v/>
      </c>
      <c r="U2722" s="10"/>
      <c r="V2722" s="41">
        <f>IF(AND(Q2722&lt;&gt;"",RIGHT(Q2722,3)&lt;&gt;""),IF(COUNTIF($Q$6:Q2722,Q2722)=1,1,0),0)</f>
        <v>0</v>
      </c>
      <c r="W2722" s="41" t="str">
        <f t="shared" si="234"/>
        <v/>
      </c>
      <c r="X2722" s="41" t="str">
        <f t="shared" si="235"/>
        <v/>
      </c>
    </row>
    <row r="2723" s="32" customFormat="1" hidden="1" customHeight="1" spans="1:24">
      <c r="A2723" s="34"/>
      <c r="B2723" s="51"/>
      <c r="C2723" s="51"/>
      <c r="D2723" s="52"/>
      <c r="E2723" s="53"/>
      <c r="F2723" s="54"/>
      <c r="G2723" s="54"/>
      <c r="H2723" s="54"/>
      <c r="I2723" s="66"/>
      <c r="J2723" s="54"/>
      <c r="K2723" s="54"/>
      <c r="L2723" s="54"/>
      <c r="M2723" s="97" t="str">
        <f t="shared" si="232"/>
        <v/>
      </c>
      <c r="N2723" s="70"/>
      <c r="O2723" s="71" t="str">
        <f t="shared" si="236"/>
        <v/>
      </c>
      <c r="P2723" s="66"/>
      <c r="Q2723" s="66"/>
      <c r="R2723" s="54"/>
      <c r="S2723" s="82"/>
      <c r="T2723" s="83" t="str">
        <f t="shared" si="233"/>
        <v/>
      </c>
      <c r="U2723" s="10"/>
      <c r="V2723" s="41">
        <f>IF(AND(Q2723&lt;&gt;"",RIGHT(Q2723,3)&lt;&gt;""),IF(COUNTIF($Q$6:Q2723,Q2723)=1,1,0),0)</f>
        <v>0</v>
      </c>
      <c r="W2723" s="41" t="str">
        <f t="shared" si="234"/>
        <v/>
      </c>
      <c r="X2723" s="41" t="str">
        <f t="shared" si="235"/>
        <v/>
      </c>
    </row>
    <row r="2724" s="32" customFormat="1" hidden="1" customHeight="1" spans="1:24">
      <c r="A2724" s="34"/>
      <c r="B2724" s="51"/>
      <c r="C2724" s="51"/>
      <c r="D2724" s="52"/>
      <c r="E2724" s="53"/>
      <c r="F2724" s="54"/>
      <c r="G2724" s="54"/>
      <c r="H2724" s="54"/>
      <c r="I2724" s="66"/>
      <c r="J2724" s="54"/>
      <c r="K2724" s="54"/>
      <c r="L2724" s="54"/>
      <c r="M2724" s="97" t="str">
        <f t="shared" ref="M2724:M2787" si="237">IF(L2724="","",HYPERLINK(_xlfn.CONCAT($L$4,L2724,".jpg"),"Open File"))</f>
        <v/>
      </c>
      <c r="N2724" s="70"/>
      <c r="O2724" s="71" t="str">
        <f t="shared" si="236"/>
        <v/>
      </c>
      <c r="P2724" s="66"/>
      <c r="Q2724" s="66"/>
      <c r="R2724" s="54"/>
      <c r="S2724" s="82"/>
      <c r="T2724" s="83" t="str">
        <f t="shared" ref="T2724:T2787" si="238">IF(S2724="","",HYPERLINK(_xlfn.CONCAT($S$4,S2724,".jpg"),"Open File"))</f>
        <v/>
      </c>
      <c r="U2724" s="10"/>
      <c r="V2724" s="41">
        <f>IF(AND(Q2724&lt;&gt;"",RIGHT(Q2724,3)&lt;&gt;""),IF(COUNTIF($Q$6:Q2724,Q2724)=1,1,0),0)</f>
        <v>0</v>
      </c>
      <c r="W2724" s="41" t="str">
        <f t="shared" ref="W2724:W2787" si="239">IF(AND(J2724&lt;&gt;"",K2724&lt;&gt;""),_xlfn.CONCAT(SUBSTITUTE(J2724,"/","."),"-",K2724),"")</f>
        <v/>
      </c>
      <c r="X2724" s="41" t="str">
        <f t="shared" ref="X2724:X2787" si="240">IF(AND(Q2724&lt;&gt;"",R2724&lt;&gt;""),_xlfn.CONCAT(SUBSTITUTE(Q2724,"/","."),"-",R2724),"")</f>
        <v/>
      </c>
    </row>
    <row r="2725" s="32" customFormat="1" hidden="1" customHeight="1" spans="1:24">
      <c r="A2725" s="34"/>
      <c r="B2725" s="51"/>
      <c r="C2725" s="51"/>
      <c r="D2725" s="52"/>
      <c r="E2725" s="53"/>
      <c r="F2725" s="54"/>
      <c r="G2725" s="54"/>
      <c r="H2725" s="54"/>
      <c r="I2725" s="66"/>
      <c r="J2725" s="54"/>
      <c r="K2725" s="54"/>
      <c r="L2725" s="54"/>
      <c r="M2725" s="97" t="str">
        <f t="shared" si="237"/>
        <v/>
      </c>
      <c r="N2725" s="70"/>
      <c r="O2725" s="71" t="str">
        <f t="shared" si="236"/>
        <v/>
      </c>
      <c r="P2725" s="66"/>
      <c r="Q2725" s="66"/>
      <c r="R2725" s="54"/>
      <c r="S2725" s="82"/>
      <c r="T2725" s="83" t="str">
        <f t="shared" si="238"/>
        <v/>
      </c>
      <c r="U2725" s="10"/>
      <c r="V2725" s="41">
        <f>IF(AND(Q2725&lt;&gt;"",RIGHT(Q2725,3)&lt;&gt;""),IF(COUNTIF($Q$6:Q2725,Q2725)=1,1,0),0)</f>
        <v>0</v>
      </c>
      <c r="W2725" s="41" t="str">
        <f t="shared" si="239"/>
        <v/>
      </c>
      <c r="X2725" s="41" t="str">
        <f t="shared" si="240"/>
        <v/>
      </c>
    </row>
    <row r="2726" s="32" customFormat="1" hidden="1" customHeight="1" spans="1:24">
      <c r="A2726" s="34"/>
      <c r="B2726" s="51"/>
      <c r="C2726" s="51"/>
      <c r="D2726" s="52"/>
      <c r="E2726" s="53"/>
      <c r="F2726" s="54"/>
      <c r="G2726" s="54"/>
      <c r="H2726" s="54"/>
      <c r="I2726" s="66"/>
      <c r="J2726" s="54"/>
      <c r="K2726" s="54"/>
      <c r="L2726" s="54"/>
      <c r="M2726" s="97" t="str">
        <f t="shared" si="237"/>
        <v/>
      </c>
      <c r="N2726" s="70"/>
      <c r="O2726" s="71" t="str">
        <f t="shared" si="236"/>
        <v/>
      </c>
      <c r="P2726" s="66"/>
      <c r="Q2726" s="66"/>
      <c r="R2726" s="54"/>
      <c r="S2726" s="82"/>
      <c r="T2726" s="83" t="str">
        <f t="shared" si="238"/>
        <v/>
      </c>
      <c r="U2726" s="10"/>
      <c r="V2726" s="41">
        <f>IF(AND(Q2726&lt;&gt;"",RIGHT(Q2726,3)&lt;&gt;""),IF(COUNTIF($Q$6:Q2726,Q2726)=1,1,0),0)</f>
        <v>0</v>
      </c>
      <c r="W2726" s="41" t="str">
        <f t="shared" si="239"/>
        <v/>
      </c>
      <c r="X2726" s="41" t="str">
        <f t="shared" si="240"/>
        <v/>
      </c>
    </row>
    <row r="2727" s="32" customFormat="1" hidden="1" customHeight="1" spans="1:24">
      <c r="A2727" s="34"/>
      <c r="B2727" s="51"/>
      <c r="C2727" s="51"/>
      <c r="D2727" s="52"/>
      <c r="E2727" s="53"/>
      <c r="F2727" s="54"/>
      <c r="G2727" s="54"/>
      <c r="H2727" s="54"/>
      <c r="I2727" s="66"/>
      <c r="J2727" s="54"/>
      <c r="K2727" s="54"/>
      <c r="L2727" s="54"/>
      <c r="M2727" s="97" t="str">
        <f t="shared" si="237"/>
        <v/>
      </c>
      <c r="N2727" s="70"/>
      <c r="O2727" s="71" t="str">
        <f t="shared" si="236"/>
        <v/>
      </c>
      <c r="P2727" s="66"/>
      <c r="Q2727" s="66"/>
      <c r="R2727" s="54"/>
      <c r="S2727" s="82"/>
      <c r="T2727" s="83" t="str">
        <f t="shared" si="238"/>
        <v/>
      </c>
      <c r="U2727" s="10"/>
      <c r="V2727" s="41">
        <f>IF(AND(Q2727&lt;&gt;"",RIGHT(Q2727,3)&lt;&gt;""),IF(COUNTIF($Q$6:Q2727,Q2727)=1,1,0),0)</f>
        <v>0</v>
      </c>
      <c r="W2727" s="41" t="str">
        <f t="shared" si="239"/>
        <v/>
      </c>
      <c r="X2727" s="41" t="str">
        <f t="shared" si="240"/>
        <v/>
      </c>
    </row>
    <row r="2728" s="32" customFormat="1" hidden="1" customHeight="1" spans="1:24">
      <c r="A2728" s="34"/>
      <c r="B2728" s="51"/>
      <c r="C2728" s="51"/>
      <c r="D2728" s="52"/>
      <c r="E2728" s="53"/>
      <c r="F2728" s="54"/>
      <c r="G2728" s="54"/>
      <c r="H2728" s="54"/>
      <c r="I2728" s="66"/>
      <c r="J2728" s="54"/>
      <c r="K2728" s="54"/>
      <c r="L2728" s="54"/>
      <c r="M2728" s="97" t="str">
        <f t="shared" si="237"/>
        <v/>
      </c>
      <c r="N2728" s="70"/>
      <c r="O2728" s="71" t="str">
        <f t="shared" si="236"/>
        <v/>
      </c>
      <c r="P2728" s="66"/>
      <c r="Q2728" s="66"/>
      <c r="R2728" s="54"/>
      <c r="S2728" s="82"/>
      <c r="T2728" s="83" t="str">
        <f t="shared" si="238"/>
        <v/>
      </c>
      <c r="U2728" s="10"/>
      <c r="V2728" s="41">
        <f>IF(AND(Q2728&lt;&gt;"",RIGHT(Q2728,3)&lt;&gt;""),IF(COUNTIF($Q$6:Q2728,Q2728)=1,1,0),0)</f>
        <v>0</v>
      </c>
      <c r="W2728" s="41" t="str">
        <f t="shared" si="239"/>
        <v/>
      </c>
      <c r="X2728" s="41" t="str">
        <f t="shared" si="240"/>
        <v/>
      </c>
    </row>
    <row r="2729" s="32" customFormat="1" hidden="1" customHeight="1" spans="1:24">
      <c r="A2729" s="34"/>
      <c r="B2729" s="51"/>
      <c r="C2729" s="51"/>
      <c r="D2729" s="52"/>
      <c r="E2729" s="53"/>
      <c r="F2729" s="54"/>
      <c r="G2729" s="54"/>
      <c r="H2729" s="54"/>
      <c r="I2729" s="66"/>
      <c r="J2729" s="54"/>
      <c r="K2729" s="54"/>
      <c r="L2729" s="54"/>
      <c r="M2729" s="97" t="str">
        <f t="shared" si="237"/>
        <v/>
      </c>
      <c r="N2729" s="70"/>
      <c r="O2729" s="71" t="str">
        <f t="shared" si="236"/>
        <v/>
      </c>
      <c r="P2729" s="66"/>
      <c r="Q2729" s="66"/>
      <c r="R2729" s="54"/>
      <c r="S2729" s="82"/>
      <c r="T2729" s="83" t="str">
        <f t="shared" si="238"/>
        <v/>
      </c>
      <c r="U2729" s="10"/>
      <c r="V2729" s="41">
        <f>IF(AND(Q2729&lt;&gt;"",RIGHT(Q2729,3)&lt;&gt;""),IF(COUNTIF($Q$6:Q2729,Q2729)=1,1,0),0)</f>
        <v>0</v>
      </c>
      <c r="W2729" s="41" t="str">
        <f t="shared" si="239"/>
        <v/>
      </c>
      <c r="X2729" s="41" t="str">
        <f t="shared" si="240"/>
        <v/>
      </c>
    </row>
    <row r="2730" s="32" customFormat="1" hidden="1" customHeight="1" spans="1:24">
      <c r="A2730" s="34"/>
      <c r="B2730" s="51"/>
      <c r="C2730" s="51"/>
      <c r="D2730" s="52"/>
      <c r="E2730" s="53"/>
      <c r="F2730" s="54"/>
      <c r="G2730" s="54"/>
      <c r="H2730" s="54"/>
      <c r="I2730" s="66"/>
      <c r="J2730" s="54"/>
      <c r="K2730" s="54"/>
      <c r="L2730" s="54"/>
      <c r="M2730" s="97" t="str">
        <f t="shared" si="237"/>
        <v/>
      </c>
      <c r="N2730" s="70"/>
      <c r="O2730" s="71" t="str">
        <f t="shared" si="236"/>
        <v/>
      </c>
      <c r="P2730" s="66"/>
      <c r="Q2730" s="66"/>
      <c r="R2730" s="54"/>
      <c r="S2730" s="82"/>
      <c r="T2730" s="83" t="str">
        <f t="shared" si="238"/>
        <v/>
      </c>
      <c r="U2730" s="10"/>
      <c r="V2730" s="41">
        <f>IF(AND(Q2730&lt;&gt;"",RIGHT(Q2730,3)&lt;&gt;""),IF(COUNTIF($Q$6:Q2730,Q2730)=1,1,0),0)</f>
        <v>0</v>
      </c>
      <c r="W2730" s="41" t="str">
        <f t="shared" si="239"/>
        <v/>
      </c>
      <c r="X2730" s="41" t="str">
        <f t="shared" si="240"/>
        <v/>
      </c>
    </row>
    <row r="2731" s="32" customFormat="1" hidden="1" customHeight="1" spans="1:24">
      <c r="A2731" s="34"/>
      <c r="B2731" s="51"/>
      <c r="C2731" s="51"/>
      <c r="D2731" s="52"/>
      <c r="E2731" s="53"/>
      <c r="F2731" s="54"/>
      <c r="G2731" s="54"/>
      <c r="H2731" s="54"/>
      <c r="I2731" s="66"/>
      <c r="J2731" s="54"/>
      <c r="K2731" s="54"/>
      <c r="L2731" s="54"/>
      <c r="M2731" s="97" t="str">
        <f t="shared" si="237"/>
        <v/>
      </c>
      <c r="N2731" s="70"/>
      <c r="O2731" s="71" t="str">
        <f t="shared" si="236"/>
        <v/>
      </c>
      <c r="P2731" s="66"/>
      <c r="Q2731" s="66"/>
      <c r="R2731" s="54"/>
      <c r="S2731" s="82"/>
      <c r="T2731" s="83" t="str">
        <f t="shared" si="238"/>
        <v/>
      </c>
      <c r="U2731" s="10"/>
      <c r="V2731" s="41">
        <f>IF(AND(Q2731&lt;&gt;"",RIGHT(Q2731,3)&lt;&gt;""),IF(COUNTIF($Q$6:Q2731,Q2731)=1,1,0),0)</f>
        <v>0</v>
      </c>
      <c r="W2731" s="41" t="str">
        <f t="shared" si="239"/>
        <v/>
      </c>
      <c r="X2731" s="41" t="str">
        <f t="shared" si="240"/>
        <v/>
      </c>
    </row>
    <row r="2732" s="32" customFormat="1" hidden="1" customHeight="1" spans="1:24">
      <c r="A2732" s="34"/>
      <c r="B2732" s="51"/>
      <c r="C2732" s="51"/>
      <c r="D2732" s="52"/>
      <c r="E2732" s="53"/>
      <c r="F2732" s="54"/>
      <c r="G2732" s="54"/>
      <c r="H2732" s="54"/>
      <c r="I2732" s="66"/>
      <c r="J2732" s="54"/>
      <c r="K2732" s="54"/>
      <c r="L2732" s="54"/>
      <c r="M2732" s="97" t="str">
        <f t="shared" si="237"/>
        <v/>
      </c>
      <c r="N2732" s="70"/>
      <c r="O2732" s="71" t="str">
        <f t="shared" si="236"/>
        <v/>
      </c>
      <c r="P2732" s="66"/>
      <c r="Q2732" s="66"/>
      <c r="R2732" s="54"/>
      <c r="S2732" s="82"/>
      <c r="T2732" s="83" t="str">
        <f t="shared" si="238"/>
        <v/>
      </c>
      <c r="U2732" s="10"/>
      <c r="V2732" s="41">
        <f>IF(AND(Q2732&lt;&gt;"",RIGHT(Q2732,3)&lt;&gt;""),IF(COUNTIF($Q$6:Q2732,Q2732)=1,1,0),0)</f>
        <v>0</v>
      </c>
      <c r="W2732" s="41" t="str">
        <f t="shared" si="239"/>
        <v/>
      </c>
      <c r="X2732" s="41" t="str">
        <f t="shared" si="240"/>
        <v/>
      </c>
    </row>
    <row r="2733" s="32" customFormat="1" hidden="1" customHeight="1" spans="1:24">
      <c r="A2733" s="34"/>
      <c r="B2733" s="51"/>
      <c r="C2733" s="51"/>
      <c r="D2733" s="52"/>
      <c r="E2733" s="53"/>
      <c r="F2733" s="54"/>
      <c r="G2733" s="54"/>
      <c r="H2733" s="54"/>
      <c r="I2733" s="66"/>
      <c r="J2733" s="54"/>
      <c r="K2733" s="54"/>
      <c r="L2733" s="54"/>
      <c r="M2733" s="97" t="str">
        <f t="shared" si="237"/>
        <v/>
      </c>
      <c r="N2733" s="70"/>
      <c r="O2733" s="71" t="str">
        <f t="shared" si="236"/>
        <v/>
      </c>
      <c r="P2733" s="66"/>
      <c r="Q2733" s="66"/>
      <c r="R2733" s="54"/>
      <c r="S2733" s="82"/>
      <c r="T2733" s="83" t="str">
        <f t="shared" si="238"/>
        <v/>
      </c>
      <c r="U2733" s="10"/>
      <c r="V2733" s="41">
        <f>IF(AND(Q2733&lt;&gt;"",RIGHT(Q2733,3)&lt;&gt;""),IF(COUNTIF($Q$6:Q2733,Q2733)=1,1,0),0)</f>
        <v>0</v>
      </c>
      <c r="W2733" s="41" t="str">
        <f t="shared" si="239"/>
        <v/>
      </c>
      <c r="X2733" s="41" t="str">
        <f t="shared" si="240"/>
        <v/>
      </c>
    </row>
    <row r="2734" s="32" customFormat="1" hidden="1" customHeight="1" spans="1:24">
      <c r="A2734" s="34"/>
      <c r="B2734" s="51"/>
      <c r="C2734" s="51"/>
      <c r="D2734" s="52"/>
      <c r="E2734" s="53"/>
      <c r="F2734" s="54"/>
      <c r="G2734" s="54"/>
      <c r="H2734" s="54"/>
      <c r="I2734" s="66"/>
      <c r="J2734" s="54"/>
      <c r="K2734" s="54"/>
      <c r="L2734" s="54"/>
      <c r="M2734" s="97" t="str">
        <f t="shared" si="237"/>
        <v/>
      </c>
      <c r="N2734" s="70"/>
      <c r="O2734" s="71" t="str">
        <f t="shared" si="236"/>
        <v/>
      </c>
      <c r="P2734" s="66"/>
      <c r="Q2734" s="66"/>
      <c r="R2734" s="54"/>
      <c r="S2734" s="82"/>
      <c r="T2734" s="83" t="str">
        <f t="shared" si="238"/>
        <v/>
      </c>
      <c r="U2734" s="10"/>
      <c r="V2734" s="41">
        <f>IF(AND(Q2734&lt;&gt;"",RIGHT(Q2734,3)&lt;&gt;""),IF(COUNTIF($Q$6:Q2734,Q2734)=1,1,0),0)</f>
        <v>0</v>
      </c>
      <c r="W2734" s="41" t="str">
        <f t="shared" si="239"/>
        <v/>
      </c>
      <c r="X2734" s="41" t="str">
        <f t="shared" si="240"/>
        <v/>
      </c>
    </row>
    <row r="2735" s="32" customFormat="1" hidden="1" customHeight="1" spans="1:24">
      <c r="A2735" s="34"/>
      <c r="B2735" s="51"/>
      <c r="C2735" s="51"/>
      <c r="D2735" s="52"/>
      <c r="E2735" s="53"/>
      <c r="F2735" s="54"/>
      <c r="G2735" s="54"/>
      <c r="H2735" s="54"/>
      <c r="I2735" s="66"/>
      <c r="J2735" s="54"/>
      <c r="K2735" s="54"/>
      <c r="L2735" s="54"/>
      <c r="M2735" s="97" t="str">
        <f t="shared" si="237"/>
        <v/>
      </c>
      <c r="N2735" s="70"/>
      <c r="O2735" s="71" t="str">
        <f t="shared" si="236"/>
        <v/>
      </c>
      <c r="P2735" s="66"/>
      <c r="Q2735" s="66"/>
      <c r="R2735" s="54"/>
      <c r="S2735" s="82"/>
      <c r="T2735" s="83" t="str">
        <f t="shared" si="238"/>
        <v/>
      </c>
      <c r="U2735" s="10"/>
      <c r="V2735" s="41">
        <f>IF(AND(Q2735&lt;&gt;"",RIGHT(Q2735,3)&lt;&gt;""),IF(COUNTIF($Q$6:Q2735,Q2735)=1,1,0),0)</f>
        <v>0</v>
      </c>
      <c r="W2735" s="41" t="str">
        <f t="shared" si="239"/>
        <v/>
      </c>
      <c r="X2735" s="41" t="str">
        <f t="shared" si="240"/>
        <v/>
      </c>
    </row>
    <row r="2736" s="32" customFormat="1" hidden="1" customHeight="1" spans="1:24">
      <c r="A2736" s="34"/>
      <c r="B2736" s="51"/>
      <c r="C2736" s="51"/>
      <c r="D2736" s="52"/>
      <c r="E2736" s="53"/>
      <c r="F2736" s="54"/>
      <c r="G2736" s="54"/>
      <c r="H2736" s="54"/>
      <c r="I2736" s="66"/>
      <c r="J2736" s="54"/>
      <c r="K2736" s="54"/>
      <c r="L2736" s="54"/>
      <c r="M2736" s="97" t="str">
        <f t="shared" si="237"/>
        <v/>
      </c>
      <c r="N2736" s="70"/>
      <c r="O2736" s="71" t="str">
        <f t="shared" si="236"/>
        <v/>
      </c>
      <c r="P2736" s="66"/>
      <c r="Q2736" s="66"/>
      <c r="R2736" s="54"/>
      <c r="S2736" s="82"/>
      <c r="T2736" s="83" t="str">
        <f t="shared" si="238"/>
        <v/>
      </c>
      <c r="U2736" s="10"/>
      <c r="V2736" s="41">
        <f>IF(AND(Q2736&lt;&gt;"",RIGHT(Q2736,3)&lt;&gt;""),IF(COUNTIF($Q$6:Q2736,Q2736)=1,1,0),0)</f>
        <v>0</v>
      </c>
      <c r="W2736" s="41" t="str">
        <f t="shared" si="239"/>
        <v/>
      </c>
      <c r="X2736" s="41" t="str">
        <f t="shared" si="240"/>
        <v/>
      </c>
    </row>
    <row r="2737" s="32" customFormat="1" hidden="1" customHeight="1" spans="1:24">
      <c r="A2737" s="34"/>
      <c r="B2737" s="51"/>
      <c r="C2737" s="51"/>
      <c r="D2737" s="52"/>
      <c r="E2737" s="53"/>
      <c r="F2737" s="54"/>
      <c r="G2737" s="54"/>
      <c r="H2737" s="54"/>
      <c r="I2737" s="66"/>
      <c r="J2737" s="54"/>
      <c r="K2737" s="54"/>
      <c r="L2737" s="54"/>
      <c r="M2737" s="97" t="str">
        <f t="shared" si="237"/>
        <v/>
      </c>
      <c r="N2737" s="70"/>
      <c r="O2737" s="71" t="str">
        <f t="shared" ref="O2737:O2800" si="241">IF(AND(Q2737&lt;&gt;"",T2737&lt;&gt;""),"PASSIVE",IF(AND(J2737&lt;&gt;"",M2737&lt;&gt;""),"ACTIVE",""))</f>
        <v/>
      </c>
      <c r="P2737" s="66"/>
      <c r="Q2737" s="66"/>
      <c r="R2737" s="54"/>
      <c r="S2737" s="82"/>
      <c r="T2737" s="83" t="str">
        <f t="shared" si="238"/>
        <v/>
      </c>
      <c r="U2737" s="10"/>
      <c r="V2737" s="41">
        <f>IF(AND(Q2737&lt;&gt;"",RIGHT(Q2737,3)&lt;&gt;""),IF(COUNTIF($Q$6:Q2737,Q2737)=1,1,0),0)</f>
        <v>0</v>
      </c>
      <c r="W2737" s="41" t="str">
        <f t="shared" si="239"/>
        <v/>
      </c>
      <c r="X2737" s="41" t="str">
        <f t="shared" si="240"/>
        <v/>
      </c>
    </row>
    <row r="2738" s="32" customFormat="1" hidden="1" customHeight="1" spans="1:24">
      <c r="A2738" s="34"/>
      <c r="B2738" s="51"/>
      <c r="C2738" s="51"/>
      <c r="D2738" s="52"/>
      <c r="E2738" s="53"/>
      <c r="F2738" s="54"/>
      <c r="G2738" s="54"/>
      <c r="H2738" s="54"/>
      <c r="I2738" s="66"/>
      <c r="J2738" s="54"/>
      <c r="K2738" s="54"/>
      <c r="L2738" s="54"/>
      <c r="M2738" s="97" t="str">
        <f t="shared" si="237"/>
        <v/>
      </c>
      <c r="N2738" s="70"/>
      <c r="O2738" s="71" t="str">
        <f t="shared" si="241"/>
        <v/>
      </c>
      <c r="P2738" s="66"/>
      <c r="Q2738" s="66"/>
      <c r="R2738" s="54"/>
      <c r="S2738" s="82"/>
      <c r="T2738" s="83" t="str">
        <f t="shared" si="238"/>
        <v/>
      </c>
      <c r="U2738" s="10"/>
      <c r="V2738" s="41">
        <f>IF(AND(Q2738&lt;&gt;"",RIGHT(Q2738,3)&lt;&gt;""),IF(COUNTIF($Q$6:Q2738,Q2738)=1,1,0),0)</f>
        <v>0</v>
      </c>
      <c r="W2738" s="41" t="str">
        <f t="shared" si="239"/>
        <v/>
      </c>
      <c r="X2738" s="41" t="str">
        <f t="shared" si="240"/>
        <v/>
      </c>
    </row>
    <row r="2739" s="32" customFormat="1" hidden="1" customHeight="1" spans="1:24">
      <c r="A2739" s="34"/>
      <c r="B2739" s="51"/>
      <c r="C2739" s="51"/>
      <c r="D2739" s="52"/>
      <c r="E2739" s="53"/>
      <c r="F2739" s="54"/>
      <c r="G2739" s="54"/>
      <c r="H2739" s="54"/>
      <c r="I2739" s="66"/>
      <c r="J2739" s="54"/>
      <c r="K2739" s="54"/>
      <c r="L2739" s="54"/>
      <c r="M2739" s="97" t="str">
        <f t="shared" si="237"/>
        <v/>
      </c>
      <c r="N2739" s="70"/>
      <c r="O2739" s="71" t="str">
        <f t="shared" si="241"/>
        <v/>
      </c>
      <c r="P2739" s="66"/>
      <c r="Q2739" s="66"/>
      <c r="R2739" s="54"/>
      <c r="S2739" s="82"/>
      <c r="T2739" s="83" t="str">
        <f t="shared" si="238"/>
        <v/>
      </c>
      <c r="U2739" s="10"/>
      <c r="V2739" s="41">
        <f>IF(AND(Q2739&lt;&gt;"",RIGHT(Q2739,3)&lt;&gt;""),IF(COUNTIF($Q$6:Q2739,Q2739)=1,1,0),0)</f>
        <v>0</v>
      </c>
      <c r="W2739" s="41" t="str">
        <f t="shared" si="239"/>
        <v/>
      </c>
      <c r="X2739" s="41" t="str">
        <f t="shared" si="240"/>
        <v/>
      </c>
    </row>
    <row r="2740" s="32" customFormat="1" hidden="1" customHeight="1" spans="1:24">
      <c r="A2740" s="34"/>
      <c r="B2740" s="51"/>
      <c r="C2740" s="51"/>
      <c r="D2740" s="52"/>
      <c r="E2740" s="53"/>
      <c r="F2740" s="54"/>
      <c r="G2740" s="54"/>
      <c r="H2740" s="54"/>
      <c r="I2740" s="66"/>
      <c r="J2740" s="54"/>
      <c r="K2740" s="54"/>
      <c r="L2740" s="54"/>
      <c r="M2740" s="97" t="str">
        <f t="shared" si="237"/>
        <v/>
      </c>
      <c r="N2740" s="70"/>
      <c r="O2740" s="71" t="str">
        <f t="shared" si="241"/>
        <v/>
      </c>
      <c r="P2740" s="66"/>
      <c r="Q2740" s="66"/>
      <c r="R2740" s="54"/>
      <c r="S2740" s="82"/>
      <c r="T2740" s="83" t="str">
        <f t="shared" si="238"/>
        <v/>
      </c>
      <c r="U2740" s="10"/>
      <c r="V2740" s="41">
        <f>IF(AND(Q2740&lt;&gt;"",RIGHT(Q2740,3)&lt;&gt;""),IF(COUNTIF($Q$6:Q2740,Q2740)=1,1,0),0)</f>
        <v>0</v>
      </c>
      <c r="W2740" s="41" t="str">
        <f t="shared" si="239"/>
        <v/>
      </c>
      <c r="X2740" s="41" t="str">
        <f t="shared" si="240"/>
        <v/>
      </c>
    </row>
    <row r="2741" s="32" customFormat="1" hidden="1" customHeight="1" spans="1:24">
      <c r="A2741" s="34"/>
      <c r="B2741" s="51"/>
      <c r="C2741" s="51"/>
      <c r="D2741" s="52"/>
      <c r="E2741" s="53"/>
      <c r="F2741" s="54"/>
      <c r="G2741" s="54"/>
      <c r="H2741" s="54"/>
      <c r="I2741" s="66"/>
      <c r="J2741" s="54"/>
      <c r="K2741" s="54"/>
      <c r="L2741" s="54"/>
      <c r="M2741" s="97" t="str">
        <f t="shared" si="237"/>
        <v/>
      </c>
      <c r="N2741" s="70"/>
      <c r="O2741" s="71" t="str">
        <f t="shared" si="241"/>
        <v/>
      </c>
      <c r="P2741" s="66"/>
      <c r="Q2741" s="66"/>
      <c r="R2741" s="54"/>
      <c r="S2741" s="82"/>
      <c r="T2741" s="83" t="str">
        <f t="shared" si="238"/>
        <v/>
      </c>
      <c r="U2741" s="10"/>
      <c r="V2741" s="41">
        <f>IF(AND(Q2741&lt;&gt;"",RIGHT(Q2741,3)&lt;&gt;""),IF(COUNTIF($Q$6:Q2741,Q2741)=1,1,0),0)</f>
        <v>0</v>
      </c>
      <c r="W2741" s="41" t="str">
        <f t="shared" si="239"/>
        <v/>
      </c>
      <c r="X2741" s="41" t="str">
        <f t="shared" si="240"/>
        <v/>
      </c>
    </row>
    <row r="2742" s="32" customFormat="1" hidden="1" customHeight="1" spans="1:24">
      <c r="A2742" s="34"/>
      <c r="B2742" s="51"/>
      <c r="C2742" s="51"/>
      <c r="D2742" s="52"/>
      <c r="E2742" s="53"/>
      <c r="F2742" s="54"/>
      <c r="G2742" s="54"/>
      <c r="H2742" s="54"/>
      <c r="I2742" s="66"/>
      <c r="J2742" s="54"/>
      <c r="K2742" s="54"/>
      <c r="L2742" s="54"/>
      <c r="M2742" s="97" t="str">
        <f t="shared" si="237"/>
        <v/>
      </c>
      <c r="N2742" s="70"/>
      <c r="O2742" s="71" t="str">
        <f t="shared" si="241"/>
        <v/>
      </c>
      <c r="P2742" s="66"/>
      <c r="Q2742" s="66"/>
      <c r="R2742" s="54"/>
      <c r="S2742" s="82"/>
      <c r="T2742" s="83" t="str">
        <f t="shared" si="238"/>
        <v/>
      </c>
      <c r="U2742" s="10"/>
      <c r="V2742" s="41">
        <f>IF(AND(Q2742&lt;&gt;"",RIGHT(Q2742,3)&lt;&gt;""),IF(COUNTIF($Q$6:Q2742,Q2742)=1,1,0),0)</f>
        <v>0</v>
      </c>
      <c r="W2742" s="41" t="str">
        <f t="shared" si="239"/>
        <v/>
      </c>
      <c r="X2742" s="41" t="str">
        <f t="shared" si="240"/>
        <v/>
      </c>
    </row>
    <row r="2743" s="32" customFormat="1" hidden="1" customHeight="1" spans="1:24">
      <c r="A2743" s="34"/>
      <c r="B2743" s="51"/>
      <c r="C2743" s="51"/>
      <c r="D2743" s="52"/>
      <c r="E2743" s="53"/>
      <c r="F2743" s="54"/>
      <c r="G2743" s="54"/>
      <c r="H2743" s="54"/>
      <c r="I2743" s="66"/>
      <c r="J2743" s="54"/>
      <c r="K2743" s="54"/>
      <c r="L2743" s="54"/>
      <c r="M2743" s="97" t="str">
        <f t="shared" si="237"/>
        <v/>
      </c>
      <c r="N2743" s="70"/>
      <c r="O2743" s="71" t="str">
        <f t="shared" si="241"/>
        <v/>
      </c>
      <c r="P2743" s="66"/>
      <c r="Q2743" s="66"/>
      <c r="R2743" s="54"/>
      <c r="S2743" s="82"/>
      <c r="T2743" s="83" t="str">
        <f t="shared" si="238"/>
        <v/>
      </c>
      <c r="U2743" s="10"/>
      <c r="V2743" s="41">
        <f>IF(AND(Q2743&lt;&gt;"",RIGHT(Q2743,3)&lt;&gt;""),IF(COUNTIF($Q$6:Q2743,Q2743)=1,1,0),0)</f>
        <v>0</v>
      </c>
      <c r="W2743" s="41" t="str">
        <f t="shared" si="239"/>
        <v/>
      </c>
      <c r="X2743" s="41" t="str">
        <f t="shared" si="240"/>
        <v/>
      </c>
    </row>
    <row r="2744" s="32" customFormat="1" hidden="1" customHeight="1" spans="1:24">
      <c r="A2744" s="34"/>
      <c r="B2744" s="51"/>
      <c r="C2744" s="51"/>
      <c r="D2744" s="52"/>
      <c r="E2744" s="53"/>
      <c r="F2744" s="54"/>
      <c r="G2744" s="54"/>
      <c r="H2744" s="54"/>
      <c r="I2744" s="66"/>
      <c r="J2744" s="54"/>
      <c r="K2744" s="54"/>
      <c r="L2744" s="54"/>
      <c r="M2744" s="97" t="str">
        <f t="shared" si="237"/>
        <v/>
      </c>
      <c r="N2744" s="70"/>
      <c r="O2744" s="71" t="str">
        <f t="shared" si="241"/>
        <v/>
      </c>
      <c r="P2744" s="66"/>
      <c r="Q2744" s="66"/>
      <c r="R2744" s="54"/>
      <c r="S2744" s="82"/>
      <c r="T2744" s="83" t="str">
        <f t="shared" si="238"/>
        <v/>
      </c>
      <c r="U2744" s="10"/>
      <c r="V2744" s="41">
        <f>IF(AND(Q2744&lt;&gt;"",RIGHT(Q2744,3)&lt;&gt;""),IF(COUNTIF($Q$6:Q2744,Q2744)=1,1,0),0)</f>
        <v>0</v>
      </c>
      <c r="W2744" s="41" t="str">
        <f t="shared" si="239"/>
        <v/>
      </c>
      <c r="X2744" s="41" t="str">
        <f t="shared" si="240"/>
        <v/>
      </c>
    </row>
    <row r="2745" s="32" customFormat="1" hidden="1" customHeight="1" spans="1:24">
      <c r="A2745" s="34"/>
      <c r="B2745" s="51"/>
      <c r="C2745" s="51"/>
      <c r="D2745" s="52"/>
      <c r="E2745" s="53"/>
      <c r="F2745" s="54"/>
      <c r="G2745" s="54"/>
      <c r="H2745" s="54"/>
      <c r="I2745" s="66"/>
      <c r="J2745" s="54"/>
      <c r="K2745" s="54"/>
      <c r="L2745" s="54"/>
      <c r="M2745" s="97" t="str">
        <f t="shared" si="237"/>
        <v/>
      </c>
      <c r="N2745" s="70"/>
      <c r="O2745" s="71" t="str">
        <f t="shared" si="241"/>
        <v/>
      </c>
      <c r="P2745" s="66"/>
      <c r="Q2745" s="66"/>
      <c r="R2745" s="54"/>
      <c r="S2745" s="82"/>
      <c r="T2745" s="83" t="str">
        <f t="shared" si="238"/>
        <v/>
      </c>
      <c r="U2745" s="10"/>
      <c r="V2745" s="41">
        <f>IF(AND(Q2745&lt;&gt;"",RIGHT(Q2745,3)&lt;&gt;""),IF(COUNTIF($Q$6:Q2745,Q2745)=1,1,0),0)</f>
        <v>0</v>
      </c>
      <c r="W2745" s="41" t="str">
        <f t="shared" si="239"/>
        <v/>
      </c>
      <c r="X2745" s="41" t="str">
        <f t="shared" si="240"/>
        <v/>
      </c>
    </row>
    <row r="2746" s="32" customFormat="1" hidden="1" customHeight="1" spans="1:24">
      <c r="A2746" s="34"/>
      <c r="B2746" s="51"/>
      <c r="C2746" s="51"/>
      <c r="D2746" s="52"/>
      <c r="E2746" s="53"/>
      <c r="F2746" s="54"/>
      <c r="G2746" s="54"/>
      <c r="H2746" s="54"/>
      <c r="I2746" s="66"/>
      <c r="J2746" s="54"/>
      <c r="K2746" s="54"/>
      <c r="L2746" s="54"/>
      <c r="M2746" s="97" t="str">
        <f t="shared" si="237"/>
        <v/>
      </c>
      <c r="N2746" s="70"/>
      <c r="O2746" s="71" t="str">
        <f t="shared" si="241"/>
        <v/>
      </c>
      <c r="P2746" s="66"/>
      <c r="Q2746" s="66"/>
      <c r="R2746" s="54"/>
      <c r="S2746" s="82"/>
      <c r="T2746" s="83" t="str">
        <f t="shared" si="238"/>
        <v/>
      </c>
      <c r="U2746" s="10"/>
      <c r="V2746" s="41">
        <f>IF(AND(Q2746&lt;&gt;"",RIGHT(Q2746,3)&lt;&gt;""),IF(COUNTIF($Q$6:Q2746,Q2746)=1,1,0),0)</f>
        <v>0</v>
      </c>
      <c r="W2746" s="41" t="str">
        <f t="shared" si="239"/>
        <v/>
      </c>
      <c r="X2746" s="41" t="str">
        <f t="shared" si="240"/>
        <v/>
      </c>
    </row>
    <row r="2747" s="32" customFormat="1" hidden="1" customHeight="1" spans="1:24">
      <c r="A2747" s="34"/>
      <c r="B2747" s="51"/>
      <c r="C2747" s="51"/>
      <c r="D2747" s="52"/>
      <c r="E2747" s="53"/>
      <c r="F2747" s="54"/>
      <c r="G2747" s="54"/>
      <c r="H2747" s="54"/>
      <c r="I2747" s="66"/>
      <c r="J2747" s="54"/>
      <c r="K2747" s="54"/>
      <c r="L2747" s="54"/>
      <c r="M2747" s="97" t="str">
        <f t="shared" si="237"/>
        <v/>
      </c>
      <c r="N2747" s="70"/>
      <c r="O2747" s="71" t="str">
        <f t="shared" si="241"/>
        <v/>
      </c>
      <c r="P2747" s="66"/>
      <c r="Q2747" s="66"/>
      <c r="R2747" s="54"/>
      <c r="S2747" s="82"/>
      <c r="T2747" s="83" t="str">
        <f t="shared" si="238"/>
        <v/>
      </c>
      <c r="U2747" s="10"/>
      <c r="V2747" s="41">
        <f>IF(AND(Q2747&lt;&gt;"",RIGHT(Q2747,3)&lt;&gt;""),IF(COUNTIF($Q$6:Q2747,Q2747)=1,1,0),0)</f>
        <v>0</v>
      </c>
      <c r="W2747" s="41" t="str">
        <f t="shared" si="239"/>
        <v/>
      </c>
      <c r="X2747" s="41" t="str">
        <f t="shared" si="240"/>
        <v/>
      </c>
    </row>
    <row r="2748" s="32" customFormat="1" hidden="1" customHeight="1" spans="1:24">
      <c r="A2748" s="34"/>
      <c r="B2748" s="51"/>
      <c r="C2748" s="51"/>
      <c r="D2748" s="52"/>
      <c r="E2748" s="53"/>
      <c r="F2748" s="54"/>
      <c r="G2748" s="54"/>
      <c r="H2748" s="54"/>
      <c r="I2748" s="66"/>
      <c r="J2748" s="54"/>
      <c r="K2748" s="54"/>
      <c r="L2748" s="54"/>
      <c r="M2748" s="97" t="str">
        <f t="shared" si="237"/>
        <v/>
      </c>
      <c r="N2748" s="70"/>
      <c r="O2748" s="71" t="str">
        <f t="shared" si="241"/>
        <v/>
      </c>
      <c r="P2748" s="66"/>
      <c r="Q2748" s="66"/>
      <c r="R2748" s="54"/>
      <c r="S2748" s="82"/>
      <c r="T2748" s="83" t="str">
        <f t="shared" si="238"/>
        <v/>
      </c>
      <c r="U2748" s="10"/>
      <c r="V2748" s="41">
        <f>IF(AND(Q2748&lt;&gt;"",RIGHT(Q2748,3)&lt;&gt;""),IF(COUNTIF($Q$6:Q2748,Q2748)=1,1,0),0)</f>
        <v>0</v>
      </c>
      <c r="W2748" s="41" t="str">
        <f t="shared" si="239"/>
        <v/>
      </c>
      <c r="X2748" s="41" t="str">
        <f t="shared" si="240"/>
        <v/>
      </c>
    </row>
    <row r="2749" s="32" customFormat="1" hidden="1" customHeight="1" spans="1:24">
      <c r="A2749" s="34"/>
      <c r="B2749" s="51"/>
      <c r="C2749" s="51"/>
      <c r="D2749" s="52"/>
      <c r="E2749" s="53"/>
      <c r="F2749" s="54"/>
      <c r="G2749" s="54"/>
      <c r="H2749" s="54"/>
      <c r="I2749" s="66"/>
      <c r="J2749" s="54"/>
      <c r="K2749" s="54"/>
      <c r="L2749" s="54"/>
      <c r="M2749" s="97" t="str">
        <f t="shared" si="237"/>
        <v/>
      </c>
      <c r="N2749" s="70"/>
      <c r="O2749" s="71" t="str">
        <f t="shared" si="241"/>
        <v/>
      </c>
      <c r="P2749" s="66"/>
      <c r="Q2749" s="66"/>
      <c r="R2749" s="54"/>
      <c r="S2749" s="82"/>
      <c r="T2749" s="83" t="str">
        <f t="shared" si="238"/>
        <v/>
      </c>
      <c r="U2749" s="10"/>
      <c r="V2749" s="41">
        <f>IF(AND(Q2749&lt;&gt;"",RIGHT(Q2749,3)&lt;&gt;""),IF(COUNTIF($Q$6:Q2749,Q2749)=1,1,0),0)</f>
        <v>0</v>
      </c>
      <c r="W2749" s="41" t="str">
        <f t="shared" si="239"/>
        <v/>
      </c>
      <c r="X2749" s="41" t="str">
        <f t="shared" si="240"/>
        <v/>
      </c>
    </row>
    <row r="2750" s="32" customFormat="1" hidden="1" customHeight="1" spans="1:24">
      <c r="A2750" s="34"/>
      <c r="B2750" s="51"/>
      <c r="C2750" s="51"/>
      <c r="D2750" s="52"/>
      <c r="E2750" s="53"/>
      <c r="F2750" s="54"/>
      <c r="G2750" s="54"/>
      <c r="H2750" s="54"/>
      <c r="I2750" s="66"/>
      <c r="J2750" s="54"/>
      <c r="K2750" s="54"/>
      <c r="L2750" s="54"/>
      <c r="M2750" s="97" t="str">
        <f t="shared" si="237"/>
        <v/>
      </c>
      <c r="N2750" s="70"/>
      <c r="O2750" s="71" t="str">
        <f t="shared" si="241"/>
        <v/>
      </c>
      <c r="P2750" s="66"/>
      <c r="Q2750" s="66"/>
      <c r="R2750" s="54"/>
      <c r="S2750" s="82"/>
      <c r="T2750" s="83" t="str">
        <f t="shared" si="238"/>
        <v/>
      </c>
      <c r="U2750" s="10"/>
      <c r="V2750" s="41">
        <f>IF(AND(Q2750&lt;&gt;"",RIGHT(Q2750,3)&lt;&gt;""),IF(COUNTIF($Q$6:Q2750,Q2750)=1,1,0),0)</f>
        <v>0</v>
      </c>
      <c r="W2750" s="41" t="str">
        <f t="shared" si="239"/>
        <v/>
      </c>
      <c r="X2750" s="41" t="str">
        <f t="shared" si="240"/>
        <v/>
      </c>
    </row>
    <row r="2751" s="32" customFormat="1" hidden="1" customHeight="1" spans="1:24">
      <c r="A2751" s="34"/>
      <c r="B2751" s="51"/>
      <c r="C2751" s="51"/>
      <c r="D2751" s="52"/>
      <c r="E2751" s="53"/>
      <c r="F2751" s="54"/>
      <c r="G2751" s="54"/>
      <c r="H2751" s="54"/>
      <c r="I2751" s="66"/>
      <c r="J2751" s="54"/>
      <c r="K2751" s="54"/>
      <c r="L2751" s="54"/>
      <c r="M2751" s="97" t="str">
        <f t="shared" si="237"/>
        <v/>
      </c>
      <c r="N2751" s="70"/>
      <c r="O2751" s="71" t="str">
        <f t="shared" si="241"/>
        <v/>
      </c>
      <c r="P2751" s="66"/>
      <c r="Q2751" s="66"/>
      <c r="R2751" s="54"/>
      <c r="S2751" s="82"/>
      <c r="T2751" s="83" t="str">
        <f t="shared" si="238"/>
        <v/>
      </c>
      <c r="U2751" s="10"/>
      <c r="V2751" s="41">
        <f>IF(AND(Q2751&lt;&gt;"",RIGHT(Q2751,3)&lt;&gt;""),IF(COUNTIF($Q$6:Q2751,Q2751)=1,1,0),0)</f>
        <v>0</v>
      </c>
      <c r="W2751" s="41" t="str">
        <f t="shared" si="239"/>
        <v/>
      </c>
      <c r="X2751" s="41" t="str">
        <f t="shared" si="240"/>
        <v/>
      </c>
    </row>
    <row r="2752" s="32" customFormat="1" hidden="1" customHeight="1" spans="1:24">
      <c r="A2752" s="34"/>
      <c r="B2752" s="51"/>
      <c r="C2752" s="51"/>
      <c r="D2752" s="52"/>
      <c r="E2752" s="53"/>
      <c r="F2752" s="54"/>
      <c r="G2752" s="54"/>
      <c r="H2752" s="54"/>
      <c r="I2752" s="66"/>
      <c r="J2752" s="54"/>
      <c r="K2752" s="54"/>
      <c r="L2752" s="54"/>
      <c r="M2752" s="97" t="str">
        <f t="shared" si="237"/>
        <v/>
      </c>
      <c r="N2752" s="70"/>
      <c r="O2752" s="71" t="str">
        <f t="shared" si="241"/>
        <v/>
      </c>
      <c r="P2752" s="66"/>
      <c r="Q2752" s="66"/>
      <c r="R2752" s="54"/>
      <c r="S2752" s="82"/>
      <c r="T2752" s="83" t="str">
        <f t="shared" si="238"/>
        <v/>
      </c>
      <c r="U2752" s="10"/>
      <c r="V2752" s="41">
        <f>IF(AND(Q2752&lt;&gt;"",RIGHT(Q2752,3)&lt;&gt;""),IF(COUNTIF($Q$6:Q2752,Q2752)=1,1,0),0)</f>
        <v>0</v>
      </c>
      <c r="W2752" s="41" t="str">
        <f t="shared" si="239"/>
        <v/>
      </c>
      <c r="X2752" s="41" t="str">
        <f t="shared" si="240"/>
        <v/>
      </c>
    </row>
    <row r="2753" s="32" customFormat="1" hidden="1" customHeight="1" spans="1:24">
      <c r="A2753" s="34"/>
      <c r="B2753" s="51"/>
      <c r="C2753" s="51"/>
      <c r="D2753" s="52"/>
      <c r="E2753" s="53"/>
      <c r="F2753" s="54"/>
      <c r="G2753" s="54"/>
      <c r="H2753" s="54"/>
      <c r="I2753" s="66"/>
      <c r="J2753" s="54"/>
      <c r="K2753" s="54"/>
      <c r="L2753" s="54"/>
      <c r="M2753" s="97" t="str">
        <f t="shared" si="237"/>
        <v/>
      </c>
      <c r="N2753" s="70"/>
      <c r="O2753" s="71" t="str">
        <f t="shared" si="241"/>
        <v/>
      </c>
      <c r="P2753" s="66"/>
      <c r="Q2753" s="66"/>
      <c r="R2753" s="54"/>
      <c r="S2753" s="82"/>
      <c r="T2753" s="83" t="str">
        <f t="shared" si="238"/>
        <v/>
      </c>
      <c r="U2753" s="10"/>
      <c r="V2753" s="41">
        <f>IF(AND(Q2753&lt;&gt;"",RIGHT(Q2753,3)&lt;&gt;""),IF(COUNTIF($Q$6:Q2753,Q2753)=1,1,0),0)</f>
        <v>0</v>
      </c>
      <c r="W2753" s="41" t="str">
        <f t="shared" si="239"/>
        <v/>
      </c>
      <c r="X2753" s="41" t="str">
        <f t="shared" si="240"/>
        <v/>
      </c>
    </row>
    <row r="2754" s="32" customFormat="1" hidden="1" customHeight="1" spans="1:24">
      <c r="A2754" s="34"/>
      <c r="B2754" s="51"/>
      <c r="C2754" s="51"/>
      <c r="D2754" s="52"/>
      <c r="E2754" s="53"/>
      <c r="F2754" s="54"/>
      <c r="G2754" s="54"/>
      <c r="H2754" s="54"/>
      <c r="I2754" s="66"/>
      <c r="J2754" s="54"/>
      <c r="K2754" s="54"/>
      <c r="L2754" s="54"/>
      <c r="M2754" s="97" t="str">
        <f t="shared" si="237"/>
        <v/>
      </c>
      <c r="N2754" s="70"/>
      <c r="O2754" s="71" t="str">
        <f t="shared" si="241"/>
        <v/>
      </c>
      <c r="P2754" s="66"/>
      <c r="Q2754" s="66"/>
      <c r="R2754" s="54"/>
      <c r="S2754" s="82"/>
      <c r="T2754" s="83" t="str">
        <f t="shared" si="238"/>
        <v/>
      </c>
      <c r="U2754" s="10"/>
      <c r="V2754" s="41">
        <f>IF(AND(Q2754&lt;&gt;"",RIGHT(Q2754,3)&lt;&gt;""),IF(COUNTIF($Q$6:Q2754,Q2754)=1,1,0),0)</f>
        <v>0</v>
      </c>
      <c r="W2754" s="41" t="str">
        <f t="shared" si="239"/>
        <v/>
      </c>
      <c r="X2754" s="41" t="str">
        <f t="shared" si="240"/>
        <v/>
      </c>
    </row>
    <row r="2755" s="32" customFormat="1" hidden="1" customHeight="1" spans="1:24">
      <c r="A2755" s="34"/>
      <c r="B2755" s="51"/>
      <c r="C2755" s="51"/>
      <c r="D2755" s="52"/>
      <c r="E2755" s="53"/>
      <c r="F2755" s="54"/>
      <c r="G2755" s="54"/>
      <c r="H2755" s="54"/>
      <c r="I2755" s="66"/>
      <c r="J2755" s="54"/>
      <c r="K2755" s="54"/>
      <c r="L2755" s="54"/>
      <c r="M2755" s="97" t="str">
        <f t="shared" si="237"/>
        <v/>
      </c>
      <c r="N2755" s="70"/>
      <c r="O2755" s="71" t="str">
        <f t="shared" si="241"/>
        <v/>
      </c>
      <c r="P2755" s="66"/>
      <c r="Q2755" s="66"/>
      <c r="R2755" s="54"/>
      <c r="S2755" s="82"/>
      <c r="T2755" s="83" t="str">
        <f t="shared" si="238"/>
        <v/>
      </c>
      <c r="U2755" s="10"/>
      <c r="V2755" s="41">
        <f>IF(AND(Q2755&lt;&gt;"",RIGHT(Q2755,3)&lt;&gt;""),IF(COUNTIF($Q$6:Q2755,Q2755)=1,1,0),0)</f>
        <v>0</v>
      </c>
      <c r="W2755" s="41" t="str">
        <f t="shared" si="239"/>
        <v/>
      </c>
      <c r="X2755" s="41" t="str">
        <f t="shared" si="240"/>
        <v/>
      </c>
    </row>
    <row r="2756" s="32" customFormat="1" hidden="1" customHeight="1" spans="1:24">
      <c r="A2756" s="34"/>
      <c r="B2756" s="51"/>
      <c r="C2756" s="51"/>
      <c r="D2756" s="52"/>
      <c r="E2756" s="53"/>
      <c r="F2756" s="54"/>
      <c r="G2756" s="54"/>
      <c r="H2756" s="54"/>
      <c r="I2756" s="66"/>
      <c r="J2756" s="54"/>
      <c r="K2756" s="54"/>
      <c r="L2756" s="54"/>
      <c r="M2756" s="97" t="str">
        <f t="shared" si="237"/>
        <v/>
      </c>
      <c r="N2756" s="70"/>
      <c r="O2756" s="71" t="str">
        <f t="shared" si="241"/>
        <v/>
      </c>
      <c r="P2756" s="66"/>
      <c r="Q2756" s="66"/>
      <c r="R2756" s="54"/>
      <c r="S2756" s="82"/>
      <c r="T2756" s="83" t="str">
        <f t="shared" si="238"/>
        <v/>
      </c>
      <c r="U2756" s="10"/>
      <c r="V2756" s="41">
        <f>IF(AND(Q2756&lt;&gt;"",RIGHT(Q2756,3)&lt;&gt;""),IF(COUNTIF($Q$6:Q2756,Q2756)=1,1,0),0)</f>
        <v>0</v>
      </c>
      <c r="W2756" s="41" t="str">
        <f t="shared" si="239"/>
        <v/>
      </c>
      <c r="X2756" s="41" t="str">
        <f t="shared" si="240"/>
        <v/>
      </c>
    </row>
    <row r="2757" s="32" customFormat="1" hidden="1" customHeight="1" spans="1:24">
      <c r="A2757" s="34"/>
      <c r="B2757" s="51"/>
      <c r="C2757" s="51"/>
      <c r="D2757" s="52"/>
      <c r="E2757" s="53"/>
      <c r="F2757" s="54"/>
      <c r="G2757" s="54"/>
      <c r="H2757" s="54"/>
      <c r="I2757" s="66"/>
      <c r="J2757" s="54"/>
      <c r="K2757" s="54"/>
      <c r="L2757" s="54"/>
      <c r="M2757" s="97" t="str">
        <f t="shared" si="237"/>
        <v/>
      </c>
      <c r="N2757" s="70"/>
      <c r="O2757" s="71" t="str">
        <f t="shared" si="241"/>
        <v/>
      </c>
      <c r="P2757" s="66"/>
      <c r="Q2757" s="66"/>
      <c r="R2757" s="54"/>
      <c r="S2757" s="82"/>
      <c r="T2757" s="83" t="str">
        <f t="shared" si="238"/>
        <v/>
      </c>
      <c r="U2757" s="10"/>
      <c r="V2757" s="41">
        <f>IF(AND(Q2757&lt;&gt;"",RIGHT(Q2757,3)&lt;&gt;""),IF(COUNTIF($Q$6:Q2757,Q2757)=1,1,0),0)</f>
        <v>0</v>
      </c>
      <c r="W2757" s="41" t="str">
        <f t="shared" si="239"/>
        <v/>
      </c>
      <c r="X2757" s="41" t="str">
        <f t="shared" si="240"/>
        <v/>
      </c>
    </row>
    <row r="2758" s="32" customFormat="1" hidden="1" customHeight="1" spans="1:24">
      <c r="A2758" s="34"/>
      <c r="B2758" s="51"/>
      <c r="C2758" s="51"/>
      <c r="D2758" s="52"/>
      <c r="E2758" s="53"/>
      <c r="F2758" s="54"/>
      <c r="G2758" s="54"/>
      <c r="H2758" s="54"/>
      <c r="I2758" s="66"/>
      <c r="J2758" s="54"/>
      <c r="K2758" s="54"/>
      <c r="L2758" s="54"/>
      <c r="M2758" s="97" t="str">
        <f t="shared" si="237"/>
        <v/>
      </c>
      <c r="N2758" s="70"/>
      <c r="O2758" s="71" t="str">
        <f t="shared" si="241"/>
        <v/>
      </c>
      <c r="P2758" s="66"/>
      <c r="Q2758" s="66"/>
      <c r="R2758" s="54"/>
      <c r="S2758" s="82"/>
      <c r="T2758" s="83" t="str">
        <f t="shared" si="238"/>
        <v/>
      </c>
      <c r="U2758" s="10"/>
      <c r="V2758" s="41">
        <f>IF(AND(Q2758&lt;&gt;"",RIGHT(Q2758,3)&lt;&gt;""),IF(COUNTIF($Q$6:Q2758,Q2758)=1,1,0),0)</f>
        <v>0</v>
      </c>
      <c r="W2758" s="41" t="str">
        <f t="shared" si="239"/>
        <v/>
      </c>
      <c r="X2758" s="41" t="str">
        <f t="shared" si="240"/>
        <v/>
      </c>
    </row>
    <row r="2759" s="32" customFormat="1" hidden="1" customHeight="1" spans="1:24">
      <c r="A2759" s="34"/>
      <c r="B2759" s="51"/>
      <c r="C2759" s="51"/>
      <c r="D2759" s="52"/>
      <c r="E2759" s="53"/>
      <c r="F2759" s="54"/>
      <c r="G2759" s="54"/>
      <c r="H2759" s="54"/>
      <c r="I2759" s="66"/>
      <c r="J2759" s="54"/>
      <c r="K2759" s="54"/>
      <c r="L2759" s="54"/>
      <c r="M2759" s="97" t="str">
        <f t="shared" si="237"/>
        <v/>
      </c>
      <c r="N2759" s="70"/>
      <c r="O2759" s="71" t="str">
        <f t="shared" si="241"/>
        <v/>
      </c>
      <c r="P2759" s="66"/>
      <c r="Q2759" s="66"/>
      <c r="R2759" s="54"/>
      <c r="S2759" s="82"/>
      <c r="T2759" s="83" t="str">
        <f t="shared" si="238"/>
        <v/>
      </c>
      <c r="U2759" s="10"/>
      <c r="V2759" s="41">
        <f>IF(AND(Q2759&lt;&gt;"",RIGHT(Q2759,3)&lt;&gt;""),IF(COUNTIF($Q$6:Q2759,Q2759)=1,1,0),0)</f>
        <v>0</v>
      </c>
      <c r="W2759" s="41" t="str">
        <f t="shared" si="239"/>
        <v/>
      </c>
      <c r="X2759" s="41" t="str">
        <f t="shared" si="240"/>
        <v/>
      </c>
    </row>
    <row r="2760" s="32" customFormat="1" hidden="1" customHeight="1" spans="1:24">
      <c r="A2760" s="34"/>
      <c r="B2760" s="51"/>
      <c r="C2760" s="51"/>
      <c r="D2760" s="52"/>
      <c r="E2760" s="53"/>
      <c r="F2760" s="54"/>
      <c r="G2760" s="54"/>
      <c r="H2760" s="54"/>
      <c r="I2760" s="66"/>
      <c r="J2760" s="54"/>
      <c r="K2760" s="54"/>
      <c r="L2760" s="54"/>
      <c r="M2760" s="97" t="str">
        <f t="shared" si="237"/>
        <v/>
      </c>
      <c r="N2760" s="70"/>
      <c r="O2760" s="71" t="str">
        <f t="shared" si="241"/>
        <v/>
      </c>
      <c r="P2760" s="66"/>
      <c r="Q2760" s="66"/>
      <c r="R2760" s="54"/>
      <c r="S2760" s="82"/>
      <c r="T2760" s="83" t="str">
        <f t="shared" si="238"/>
        <v/>
      </c>
      <c r="U2760" s="10"/>
      <c r="V2760" s="41">
        <f>IF(AND(Q2760&lt;&gt;"",RIGHT(Q2760,3)&lt;&gt;""),IF(COUNTIF($Q$6:Q2760,Q2760)=1,1,0),0)</f>
        <v>0</v>
      </c>
      <c r="W2760" s="41" t="str">
        <f t="shared" si="239"/>
        <v/>
      </c>
      <c r="X2760" s="41" t="str">
        <f t="shared" si="240"/>
        <v/>
      </c>
    </row>
    <row r="2761" s="32" customFormat="1" hidden="1" customHeight="1" spans="1:24">
      <c r="A2761" s="34"/>
      <c r="B2761" s="51"/>
      <c r="C2761" s="51"/>
      <c r="D2761" s="52"/>
      <c r="E2761" s="53"/>
      <c r="F2761" s="54"/>
      <c r="G2761" s="54"/>
      <c r="H2761" s="54"/>
      <c r="I2761" s="66"/>
      <c r="J2761" s="54"/>
      <c r="K2761" s="54"/>
      <c r="L2761" s="54"/>
      <c r="M2761" s="97" t="str">
        <f t="shared" si="237"/>
        <v/>
      </c>
      <c r="N2761" s="70"/>
      <c r="O2761" s="71" t="str">
        <f t="shared" si="241"/>
        <v/>
      </c>
      <c r="P2761" s="66"/>
      <c r="Q2761" s="66"/>
      <c r="R2761" s="54"/>
      <c r="S2761" s="82"/>
      <c r="T2761" s="83" t="str">
        <f t="shared" si="238"/>
        <v/>
      </c>
      <c r="U2761" s="10"/>
      <c r="V2761" s="41">
        <f>IF(AND(Q2761&lt;&gt;"",RIGHT(Q2761,3)&lt;&gt;""),IF(COUNTIF($Q$6:Q2761,Q2761)=1,1,0),0)</f>
        <v>0</v>
      </c>
      <c r="W2761" s="41" t="str">
        <f t="shared" si="239"/>
        <v/>
      </c>
      <c r="X2761" s="41" t="str">
        <f t="shared" si="240"/>
        <v/>
      </c>
    </row>
    <row r="2762" s="32" customFormat="1" hidden="1" customHeight="1" spans="1:24">
      <c r="A2762" s="34"/>
      <c r="B2762" s="51"/>
      <c r="C2762" s="51"/>
      <c r="D2762" s="52"/>
      <c r="E2762" s="53"/>
      <c r="F2762" s="54"/>
      <c r="G2762" s="54"/>
      <c r="H2762" s="54"/>
      <c r="I2762" s="66"/>
      <c r="J2762" s="54"/>
      <c r="K2762" s="54"/>
      <c r="L2762" s="54"/>
      <c r="M2762" s="97" t="str">
        <f t="shared" si="237"/>
        <v/>
      </c>
      <c r="N2762" s="70"/>
      <c r="O2762" s="71" t="str">
        <f t="shared" si="241"/>
        <v/>
      </c>
      <c r="P2762" s="66"/>
      <c r="Q2762" s="66"/>
      <c r="R2762" s="54"/>
      <c r="S2762" s="82"/>
      <c r="T2762" s="83" t="str">
        <f t="shared" si="238"/>
        <v/>
      </c>
      <c r="U2762" s="10"/>
      <c r="V2762" s="41">
        <f>IF(AND(Q2762&lt;&gt;"",RIGHT(Q2762,3)&lt;&gt;""),IF(COUNTIF($Q$6:Q2762,Q2762)=1,1,0),0)</f>
        <v>0</v>
      </c>
      <c r="W2762" s="41" t="str">
        <f t="shared" si="239"/>
        <v/>
      </c>
      <c r="X2762" s="41" t="str">
        <f t="shared" si="240"/>
        <v/>
      </c>
    </row>
    <row r="2763" s="32" customFormat="1" hidden="1" customHeight="1" spans="1:24">
      <c r="A2763" s="34"/>
      <c r="B2763" s="51"/>
      <c r="C2763" s="51"/>
      <c r="D2763" s="52"/>
      <c r="E2763" s="53"/>
      <c r="F2763" s="54"/>
      <c r="G2763" s="54"/>
      <c r="H2763" s="54"/>
      <c r="I2763" s="66"/>
      <c r="J2763" s="54"/>
      <c r="K2763" s="54"/>
      <c r="L2763" s="54"/>
      <c r="M2763" s="97" t="str">
        <f t="shared" si="237"/>
        <v/>
      </c>
      <c r="N2763" s="70"/>
      <c r="O2763" s="71" t="str">
        <f t="shared" si="241"/>
        <v/>
      </c>
      <c r="P2763" s="66"/>
      <c r="Q2763" s="66"/>
      <c r="R2763" s="54"/>
      <c r="S2763" s="82"/>
      <c r="T2763" s="83" t="str">
        <f t="shared" si="238"/>
        <v/>
      </c>
      <c r="U2763" s="10"/>
      <c r="V2763" s="41">
        <f>IF(AND(Q2763&lt;&gt;"",RIGHT(Q2763,3)&lt;&gt;""),IF(COUNTIF($Q$6:Q2763,Q2763)=1,1,0),0)</f>
        <v>0</v>
      </c>
      <c r="W2763" s="41" t="str">
        <f t="shared" si="239"/>
        <v/>
      </c>
      <c r="X2763" s="41" t="str">
        <f t="shared" si="240"/>
        <v/>
      </c>
    </row>
    <row r="2764" s="32" customFormat="1" hidden="1" customHeight="1" spans="1:24">
      <c r="A2764" s="34"/>
      <c r="B2764" s="51"/>
      <c r="C2764" s="51"/>
      <c r="D2764" s="52"/>
      <c r="E2764" s="53"/>
      <c r="F2764" s="54"/>
      <c r="G2764" s="54"/>
      <c r="H2764" s="54"/>
      <c r="I2764" s="66"/>
      <c r="J2764" s="54"/>
      <c r="K2764" s="54"/>
      <c r="L2764" s="54"/>
      <c r="M2764" s="97" t="str">
        <f t="shared" si="237"/>
        <v/>
      </c>
      <c r="N2764" s="70"/>
      <c r="O2764" s="71" t="str">
        <f t="shared" si="241"/>
        <v/>
      </c>
      <c r="P2764" s="66"/>
      <c r="Q2764" s="66"/>
      <c r="R2764" s="54"/>
      <c r="S2764" s="82"/>
      <c r="T2764" s="83" t="str">
        <f t="shared" si="238"/>
        <v/>
      </c>
      <c r="U2764" s="10"/>
      <c r="V2764" s="41">
        <f>IF(AND(Q2764&lt;&gt;"",RIGHT(Q2764,3)&lt;&gt;""),IF(COUNTIF($Q$6:Q2764,Q2764)=1,1,0),0)</f>
        <v>0</v>
      </c>
      <c r="W2764" s="41" t="str">
        <f t="shared" si="239"/>
        <v/>
      </c>
      <c r="X2764" s="41" t="str">
        <f t="shared" si="240"/>
        <v/>
      </c>
    </row>
    <row r="2765" s="32" customFormat="1" hidden="1" customHeight="1" spans="1:24">
      <c r="A2765" s="34"/>
      <c r="B2765" s="51"/>
      <c r="C2765" s="51"/>
      <c r="D2765" s="52"/>
      <c r="E2765" s="53"/>
      <c r="F2765" s="54"/>
      <c r="G2765" s="54"/>
      <c r="H2765" s="54"/>
      <c r="I2765" s="66"/>
      <c r="J2765" s="54"/>
      <c r="K2765" s="54"/>
      <c r="L2765" s="54"/>
      <c r="M2765" s="97" t="str">
        <f t="shared" si="237"/>
        <v/>
      </c>
      <c r="N2765" s="70"/>
      <c r="O2765" s="71" t="str">
        <f t="shared" si="241"/>
        <v/>
      </c>
      <c r="P2765" s="66"/>
      <c r="Q2765" s="66"/>
      <c r="R2765" s="54"/>
      <c r="S2765" s="82"/>
      <c r="T2765" s="83" t="str">
        <f t="shared" si="238"/>
        <v/>
      </c>
      <c r="U2765" s="10"/>
      <c r="V2765" s="41">
        <f>IF(AND(Q2765&lt;&gt;"",RIGHT(Q2765,3)&lt;&gt;""),IF(COUNTIF($Q$6:Q2765,Q2765)=1,1,0),0)</f>
        <v>0</v>
      </c>
      <c r="W2765" s="41" t="str">
        <f t="shared" si="239"/>
        <v/>
      </c>
      <c r="X2765" s="41" t="str">
        <f t="shared" si="240"/>
        <v/>
      </c>
    </row>
    <row r="2766" s="32" customFormat="1" hidden="1" customHeight="1" spans="1:24">
      <c r="A2766" s="34"/>
      <c r="B2766" s="51"/>
      <c r="C2766" s="51"/>
      <c r="D2766" s="52"/>
      <c r="E2766" s="53"/>
      <c r="F2766" s="54"/>
      <c r="G2766" s="54"/>
      <c r="H2766" s="54"/>
      <c r="I2766" s="66"/>
      <c r="J2766" s="54"/>
      <c r="K2766" s="54"/>
      <c r="L2766" s="54"/>
      <c r="M2766" s="97" t="str">
        <f t="shared" si="237"/>
        <v/>
      </c>
      <c r="N2766" s="70"/>
      <c r="O2766" s="71" t="str">
        <f t="shared" si="241"/>
        <v/>
      </c>
      <c r="P2766" s="66"/>
      <c r="Q2766" s="66"/>
      <c r="R2766" s="54"/>
      <c r="S2766" s="82"/>
      <c r="T2766" s="83" t="str">
        <f t="shared" si="238"/>
        <v/>
      </c>
      <c r="U2766" s="10"/>
      <c r="V2766" s="41">
        <f>IF(AND(Q2766&lt;&gt;"",RIGHT(Q2766,3)&lt;&gt;""),IF(COUNTIF($Q$6:Q2766,Q2766)=1,1,0),0)</f>
        <v>0</v>
      </c>
      <c r="W2766" s="41" t="str">
        <f t="shared" si="239"/>
        <v/>
      </c>
      <c r="X2766" s="41" t="str">
        <f t="shared" si="240"/>
        <v/>
      </c>
    </row>
    <row r="2767" s="32" customFormat="1" hidden="1" customHeight="1" spans="1:24">
      <c r="A2767" s="34"/>
      <c r="B2767" s="51"/>
      <c r="C2767" s="51"/>
      <c r="D2767" s="52"/>
      <c r="E2767" s="53"/>
      <c r="F2767" s="54"/>
      <c r="G2767" s="54"/>
      <c r="H2767" s="54"/>
      <c r="I2767" s="66"/>
      <c r="J2767" s="54"/>
      <c r="K2767" s="54"/>
      <c r="L2767" s="54"/>
      <c r="M2767" s="97" t="str">
        <f t="shared" si="237"/>
        <v/>
      </c>
      <c r="N2767" s="70"/>
      <c r="O2767" s="71" t="str">
        <f t="shared" si="241"/>
        <v/>
      </c>
      <c r="P2767" s="66"/>
      <c r="Q2767" s="66"/>
      <c r="R2767" s="54"/>
      <c r="S2767" s="82"/>
      <c r="T2767" s="83" t="str">
        <f t="shared" si="238"/>
        <v/>
      </c>
      <c r="U2767" s="10"/>
      <c r="V2767" s="41">
        <f>IF(AND(Q2767&lt;&gt;"",RIGHT(Q2767,3)&lt;&gt;""),IF(COUNTIF($Q$6:Q2767,Q2767)=1,1,0),0)</f>
        <v>0</v>
      </c>
      <c r="W2767" s="41" t="str">
        <f t="shared" si="239"/>
        <v/>
      </c>
      <c r="X2767" s="41" t="str">
        <f t="shared" si="240"/>
        <v/>
      </c>
    </row>
    <row r="2768" s="32" customFormat="1" hidden="1" customHeight="1" spans="1:24">
      <c r="A2768" s="34"/>
      <c r="B2768" s="51"/>
      <c r="C2768" s="51"/>
      <c r="D2768" s="52"/>
      <c r="E2768" s="53"/>
      <c r="F2768" s="54"/>
      <c r="G2768" s="54"/>
      <c r="H2768" s="54"/>
      <c r="I2768" s="66"/>
      <c r="J2768" s="54"/>
      <c r="K2768" s="54"/>
      <c r="L2768" s="54"/>
      <c r="M2768" s="97" t="str">
        <f t="shared" si="237"/>
        <v/>
      </c>
      <c r="N2768" s="70"/>
      <c r="O2768" s="71" t="str">
        <f t="shared" si="241"/>
        <v/>
      </c>
      <c r="P2768" s="66"/>
      <c r="Q2768" s="66"/>
      <c r="R2768" s="54"/>
      <c r="S2768" s="82"/>
      <c r="T2768" s="83" t="str">
        <f t="shared" si="238"/>
        <v/>
      </c>
      <c r="U2768" s="10"/>
      <c r="V2768" s="41">
        <f>IF(AND(Q2768&lt;&gt;"",RIGHT(Q2768,3)&lt;&gt;""),IF(COUNTIF($Q$6:Q2768,Q2768)=1,1,0),0)</f>
        <v>0</v>
      </c>
      <c r="W2768" s="41" t="str">
        <f t="shared" si="239"/>
        <v/>
      </c>
      <c r="X2768" s="41" t="str">
        <f t="shared" si="240"/>
        <v/>
      </c>
    </row>
    <row r="2769" s="32" customFormat="1" hidden="1" customHeight="1" spans="1:24">
      <c r="A2769" s="34"/>
      <c r="B2769" s="51"/>
      <c r="C2769" s="51"/>
      <c r="D2769" s="52"/>
      <c r="E2769" s="53"/>
      <c r="F2769" s="54"/>
      <c r="G2769" s="54"/>
      <c r="H2769" s="54"/>
      <c r="I2769" s="66"/>
      <c r="J2769" s="54"/>
      <c r="K2769" s="54"/>
      <c r="L2769" s="54"/>
      <c r="M2769" s="97" t="str">
        <f t="shared" si="237"/>
        <v/>
      </c>
      <c r="N2769" s="70"/>
      <c r="O2769" s="71" t="str">
        <f t="shared" si="241"/>
        <v/>
      </c>
      <c r="P2769" s="66"/>
      <c r="Q2769" s="66"/>
      <c r="R2769" s="54"/>
      <c r="S2769" s="82"/>
      <c r="T2769" s="83" t="str">
        <f t="shared" si="238"/>
        <v/>
      </c>
      <c r="U2769" s="10"/>
      <c r="V2769" s="41">
        <f>IF(AND(Q2769&lt;&gt;"",RIGHT(Q2769,3)&lt;&gt;""),IF(COUNTIF($Q$6:Q2769,Q2769)=1,1,0),0)</f>
        <v>0</v>
      </c>
      <c r="W2769" s="41" t="str">
        <f t="shared" si="239"/>
        <v/>
      </c>
      <c r="X2769" s="41" t="str">
        <f t="shared" si="240"/>
        <v/>
      </c>
    </row>
    <row r="2770" s="32" customFormat="1" hidden="1" customHeight="1" spans="1:24">
      <c r="A2770" s="34"/>
      <c r="B2770" s="51"/>
      <c r="C2770" s="51"/>
      <c r="D2770" s="52"/>
      <c r="E2770" s="53"/>
      <c r="F2770" s="54"/>
      <c r="G2770" s="54"/>
      <c r="H2770" s="54"/>
      <c r="I2770" s="66"/>
      <c r="J2770" s="54"/>
      <c r="K2770" s="54"/>
      <c r="L2770" s="54"/>
      <c r="M2770" s="97" t="str">
        <f t="shared" si="237"/>
        <v/>
      </c>
      <c r="N2770" s="70"/>
      <c r="O2770" s="71" t="str">
        <f t="shared" si="241"/>
        <v/>
      </c>
      <c r="P2770" s="66"/>
      <c r="Q2770" s="66"/>
      <c r="R2770" s="54"/>
      <c r="S2770" s="82"/>
      <c r="T2770" s="83" t="str">
        <f t="shared" si="238"/>
        <v/>
      </c>
      <c r="U2770" s="10"/>
      <c r="V2770" s="41">
        <f>IF(AND(Q2770&lt;&gt;"",RIGHT(Q2770,3)&lt;&gt;""),IF(COUNTIF($Q$6:Q2770,Q2770)=1,1,0),0)</f>
        <v>0</v>
      </c>
      <c r="W2770" s="41" t="str">
        <f t="shared" si="239"/>
        <v/>
      </c>
      <c r="X2770" s="41" t="str">
        <f t="shared" si="240"/>
        <v/>
      </c>
    </row>
    <row r="2771" s="32" customFormat="1" hidden="1" customHeight="1" spans="1:24">
      <c r="A2771" s="34"/>
      <c r="B2771" s="51"/>
      <c r="C2771" s="51"/>
      <c r="D2771" s="52"/>
      <c r="E2771" s="53"/>
      <c r="F2771" s="54"/>
      <c r="G2771" s="54"/>
      <c r="H2771" s="54"/>
      <c r="I2771" s="66"/>
      <c r="J2771" s="54"/>
      <c r="K2771" s="54"/>
      <c r="L2771" s="54"/>
      <c r="M2771" s="97" t="str">
        <f t="shared" si="237"/>
        <v/>
      </c>
      <c r="N2771" s="70"/>
      <c r="O2771" s="71" t="str">
        <f t="shared" si="241"/>
        <v/>
      </c>
      <c r="P2771" s="66"/>
      <c r="Q2771" s="66"/>
      <c r="R2771" s="54"/>
      <c r="S2771" s="82"/>
      <c r="T2771" s="83" t="str">
        <f t="shared" si="238"/>
        <v/>
      </c>
      <c r="U2771" s="10"/>
      <c r="V2771" s="41">
        <f>IF(AND(Q2771&lt;&gt;"",RIGHT(Q2771,3)&lt;&gt;""),IF(COUNTIF($Q$6:Q2771,Q2771)=1,1,0),0)</f>
        <v>0</v>
      </c>
      <c r="W2771" s="41" t="str">
        <f t="shared" si="239"/>
        <v/>
      </c>
      <c r="X2771" s="41" t="str">
        <f t="shared" si="240"/>
        <v/>
      </c>
    </row>
    <row r="2772" s="32" customFormat="1" hidden="1" customHeight="1" spans="1:24">
      <c r="A2772" s="34"/>
      <c r="B2772" s="51"/>
      <c r="C2772" s="51"/>
      <c r="D2772" s="52"/>
      <c r="E2772" s="53"/>
      <c r="F2772" s="54"/>
      <c r="G2772" s="54"/>
      <c r="H2772" s="54"/>
      <c r="I2772" s="66"/>
      <c r="J2772" s="54"/>
      <c r="K2772" s="54"/>
      <c r="L2772" s="54"/>
      <c r="M2772" s="97" t="str">
        <f t="shared" si="237"/>
        <v/>
      </c>
      <c r="N2772" s="70"/>
      <c r="O2772" s="71" t="str">
        <f t="shared" si="241"/>
        <v/>
      </c>
      <c r="P2772" s="66"/>
      <c r="Q2772" s="66"/>
      <c r="R2772" s="54"/>
      <c r="S2772" s="82"/>
      <c r="T2772" s="83" t="str">
        <f t="shared" si="238"/>
        <v/>
      </c>
      <c r="U2772" s="10"/>
      <c r="V2772" s="41">
        <f>IF(AND(Q2772&lt;&gt;"",RIGHT(Q2772,3)&lt;&gt;""),IF(COUNTIF($Q$6:Q2772,Q2772)=1,1,0),0)</f>
        <v>0</v>
      </c>
      <c r="W2772" s="41" t="str">
        <f t="shared" si="239"/>
        <v/>
      </c>
      <c r="X2772" s="41" t="str">
        <f t="shared" si="240"/>
        <v/>
      </c>
    </row>
    <row r="2773" s="32" customFormat="1" hidden="1" customHeight="1" spans="1:24">
      <c r="A2773" s="34"/>
      <c r="B2773" s="51"/>
      <c r="C2773" s="51"/>
      <c r="D2773" s="52"/>
      <c r="E2773" s="53"/>
      <c r="F2773" s="54"/>
      <c r="G2773" s="54"/>
      <c r="H2773" s="54"/>
      <c r="I2773" s="66"/>
      <c r="J2773" s="54"/>
      <c r="K2773" s="54"/>
      <c r="L2773" s="54"/>
      <c r="M2773" s="97" t="str">
        <f t="shared" si="237"/>
        <v/>
      </c>
      <c r="N2773" s="70"/>
      <c r="O2773" s="71" t="str">
        <f t="shared" si="241"/>
        <v/>
      </c>
      <c r="P2773" s="66"/>
      <c r="Q2773" s="66"/>
      <c r="R2773" s="54"/>
      <c r="S2773" s="82"/>
      <c r="T2773" s="83" t="str">
        <f t="shared" si="238"/>
        <v/>
      </c>
      <c r="U2773" s="10"/>
      <c r="V2773" s="41">
        <f>IF(AND(Q2773&lt;&gt;"",RIGHT(Q2773,3)&lt;&gt;""),IF(COUNTIF($Q$6:Q2773,Q2773)=1,1,0),0)</f>
        <v>0</v>
      </c>
      <c r="W2773" s="41" t="str">
        <f t="shared" si="239"/>
        <v/>
      </c>
      <c r="X2773" s="41" t="str">
        <f t="shared" si="240"/>
        <v/>
      </c>
    </row>
    <row r="2774" s="32" customFormat="1" hidden="1" customHeight="1" spans="1:24">
      <c r="A2774" s="34"/>
      <c r="B2774" s="51"/>
      <c r="C2774" s="51"/>
      <c r="D2774" s="52"/>
      <c r="E2774" s="53"/>
      <c r="F2774" s="54"/>
      <c r="G2774" s="54"/>
      <c r="H2774" s="54"/>
      <c r="I2774" s="66"/>
      <c r="J2774" s="54"/>
      <c r="K2774" s="54"/>
      <c r="L2774" s="54"/>
      <c r="M2774" s="97" t="str">
        <f t="shared" si="237"/>
        <v/>
      </c>
      <c r="N2774" s="70"/>
      <c r="O2774" s="71" t="str">
        <f t="shared" si="241"/>
        <v/>
      </c>
      <c r="P2774" s="66"/>
      <c r="Q2774" s="66"/>
      <c r="R2774" s="54"/>
      <c r="S2774" s="82"/>
      <c r="T2774" s="83" t="str">
        <f t="shared" si="238"/>
        <v/>
      </c>
      <c r="U2774" s="10"/>
      <c r="V2774" s="41">
        <f>IF(AND(Q2774&lt;&gt;"",RIGHT(Q2774,3)&lt;&gt;""),IF(COUNTIF($Q$6:Q2774,Q2774)=1,1,0),0)</f>
        <v>0</v>
      </c>
      <c r="W2774" s="41" t="str">
        <f t="shared" si="239"/>
        <v/>
      </c>
      <c r="X2774" s="41" t="str">
        <f t="shared" si="240"/>
        <v/>
      </c>
    </row>
    <row r="2775" s="32" customFormat="1" hidden="1" customHeight="1" spans="1:24">
      <c r="A2775" s="34"/>
      <c r="B2775" s="51"/>
      <c r="C2775" s="51"/>
      <c r="D2775" s="52"/>
      <c r="E2775" s="53"/>
      <c r="F2775" s="54"/>
      <c r="G2775" s="54"/>
      <c r="H2775" s="54"/>
      <c r="I2775" s="66"/>
      <c r="J2775" s="54"/>
      <c r="K2775" s="54"/>
      <c r="L2775" s="54"/>
      <c r="M2775" s="97" t="str">
        <f t="shared" si="237"/>
        <v/>
      </c>
      <c r="N2775" s="70"/>
      <c r="O2775" s="71" t="str">
        <f t="shared" si="241"/>
        <v/>
      </c>
      <c r="P2775" s="66"/>
      <c r="Q2775" s="66"/>
      <c r="R2775" s="54"/>
      <c r="S2775" s="82"/>
      <c r="T2775" s="83" t="str">
        <f t="shared" si="238"/>
        <v/>
      </c>
      <c r="U2775" s="10"/>
      <c r="V2775" s="41">
        <f>IF(AND(Q2775&lt;&gt;"",RIGHT(Q2775,3)&lt;&gt;""),IF(COUNTIF($Q$6:Q2775,Q2775)=1,1,0),0)</f>
        <v>0</v>
      </c>
      <c r="W2775" s="41" t="str">
        <f t="shared" si="239"/>
        <v/>
      </c>
      <c r="X2775" s="41" t="str">
        <f t="shared" si="240"/>
        <v/>
      </c>
    </row>
    <row r="2776" s="32" customFormat="1" hidden="1" customHeight="1" spans="1:24">
      <c r="A2776" s="34"/>
      <c r="B2776" s="51"/>
      <c r="C2776" s="51"/>
      <c r="D2776" s="52"/>
      <c r="E2776" s="53"/>
      <c r="F2776" s="54"/>
      <c r="G2776" s="54"/>
      <c r="H2776" s="54"/>
      <c r="I2776" s="66"/>
      <c r="J2776" s="54"/>
      <c r="K2776" s="54"/>
      <c r="L2776" s="54"/>
      <c r="M2776" s="97" t="str">
        <f t="shared" si="237"/>
        <v/>
      </c>
      <c r="N2776" s="70"/>
      <c r="O2776" s="71" t="str">
        <f t="shared" si="241"/>
        <v/>
      </c>
      <c r="P2776" s="66"/>
      <c r="Q2776" s="66"/>
      <c r="R2776" s="54"/>
      <c r="S2776" s="82"/>
      <c r="T2776" s="83" t="str">
        <f t="shared" si="238"/>
        <v/>
      </c>
      <c r="U2776" s="10"/>
      <c r="V2776" s="41">
        <f>IF(AND(Q2776&lt;&gt;"",RIGHT(Q2776,3)&lt;&gt;""),IF(COUNTIF($Q$6:Q2776,Q2776)=1,1,0),0)</f>
        <v>0</v>
      </c>
      <c r="W2776" s="41" t="str">
        <f t="shared" si="239"/>
        <v/>
      </c>
      <c r="X2776" s="41" t="str">
        <f t="shared" si="240"/>
        <v/>
      </c>
    </row>
    <row r="2777" s="32" customFormat="1" hidden="1" customHeight="1" spans="1:24">
      <c r="A2777" s="34"/>
      <c r="B2777" s="51"/>
      <c r="C2777" s="51"/>
      <c r="D2777" s="52"/>
      <c r="E2777" s="53"/>
      <c r="F2777" s="54"/>
      <c r="G2777" s="54"/>
      <c r="H2777" s="54"/>
      <c r="I2777" s="66"/>
      <c r="J2777" s="54"/>
      <c r="K2777" s="54"/>
      <c r="L2777" s="54"/>
      <c r="M2777" s="97" t="str">
        <f t="shared" si="237"/>
        <v/>
      </c>
      <c r="N2777" s="70"/>
      <c r="O2777" s="71" t="str">
        <f t="shared" si="241"/>
        <v/>
      </c>
      <c r="P2777" s="66"/>
      <c r="Q2777" s="66"/>
      <c r="R2777" s="54"/>
      <c r="S2777" s="82"/>
      <c r="T2777" s="83" t="str">
        <f t="shared" si="238"/>
        <v/>
      </c>
      <c r="U2777" s="10"/>
      <c r="V2777" s="41">
        <f>IF(AND(Q2777&lt;&gt;"",RIGHT(Q2777,3)&lt;&gt;""),IF(COUNTIF($Q$6:Q2777,Q2777)=1,1,0),0)</f>
        <v>0</v>
      </c>
      <c r="W2777" s="41" t="str">
        <f t="shared" si="239"/>
        <v/>
      </c>
      <c r="X2777" s="41" t="str">
        <f t="shared" si="240"/>
        <v/>
      </c>
    </row>
    <row r="2778" s="32" customFormat="1" hidden="1" customHeight="1" spans="1:24">
      <c r="A2778" s="34"/>
      <c r="B2778" s="51"/>
      <c r="C2778" s="51"/>
      <c r="D2778" s="52"/>
      <c r="E2778" s="53"/>
      <c r="F2778" s="54"/>
      <c r="G2778" s="54"/>
      <c r="H2778" s="54"/>
      <c r="I2778" s="66"/>
      <c r="J2778" s="54"/>
      <c r="K2778" s="54"/>
      <c r="L2778" s="54"/>
      <c r="M2778" s="97" t="str">
        <f t="shared" si="237"/>
        <v/>
      </c>
      <c r="N2778" s="70"/>
      <c r="O2778" s="71" t="str">
        <f t="shared" si="241"/>
        <v/>
      </c>
      <c r="P2778" s="66"/>
      <c r="Q2778" s="66"/>
      <c r="R2778" s="54"/>
      <c r="S2778" s="82"/>
      <c r="T2778" s="83" t="str">
        <f t="shared" si="238"/>
        <v/>
      </c>
      <c r="U2778" s="10"/>
      <c r="V2778" s="41">
        <f>IF(AND(Q2778&lt;&gt;"",RIGHT(Q2778,3)&lt;&gt;""),IF(COUNTIF($Q$6:Q2778,Q2778)=1,1,0),0)</f>
        <v>0</v>
      </c>
      <c r="W2778" s="41" t="str">
        <f t="shared" si="239"/>
        <v/>
      </c>
      <c r="X2778" s="41" t="str">
        <f t="shared" si="240"/>
        <v/>
      </c>
    </row>
    <row r="2779" s="32" customFormat="1" hidden="1" customHeight="1" spans="1:24">
      <c r="A2779" s="34"/>
      <c r="B2779" s="51"/>
      <c r="C2779" s="51"/>
      <c r="D2779" s="52"/>
      <c r="E2779" s="53"/>
      <c r="F2779" s="54"/>
      <c r="G2779" s="54"/>
      <c r="H2779" s="54"/>
      <c r="I2779" s="66"/>
      <c r="J2779" s="54"/>
      <c r="K2779" s="54"/>
      <c r="L2779" s="54"/>
      <c r="M2779" s="97" t="str">
        <f t="shared" si="237"/>
        <v/>
      </c>
      <c r="N2779" s="70"/>
      <c r="O2779" s="71" t="str">
        <f t="shared" si="241"/>
        <v/>
      </c>
      <c r="P2779" s="66"/>
      <c r="Q2779" s="66"/>
      <c r="R2779" s="54"/>
      <c r="S2779" s="82"/>
      <c r="T2779" s="83" t="str">
        <f t="shared" si="238"/>
        <v/>
      </c>
      <c r="U2779" s="10"/>
      <c r="V2779" s="41">
        <f>IF(AND(Q2779&lt;&gt;"",RIGHT(Q2779,3)&lt;&gt;""),IF(COUNTIF($Q$6:Q2779,Q2779)=1,1,0),0)</f>
        <v>0</v>
      </c>
      <c r="W2779" s="41" t="str">
        <f t="shared" si="239"/>
        <v/>
      </c>
      <c r="X2779" s="41" t="str">
        <f t="shared" si="240"/>
        <v/>
      </c>
    </row>
    <row r="2780" s="32" customFormat="1" hidden="1" customHeight="1" spans="1:24">
      <c r="A2780" s="34"/>
      <c r="B2780" s="51"/>
      <c r="C2780" s="51"/>
      <c r="D2780" s="52"/>
      <c r="E2780" s="53"/>
      <c r="F2780" s="54"/>
      <c r="G2780" s="54"/>
      <c r="H2780" s="54"/>
      <c r="I2780" s="66"/>
      <c r="J2780" s="54"/>
      <c r="K2780" s="54"/>
      <c r="L2780" s="54"/>
      <c r="M2780" s="97" t="str">
        <f t="shared" si="237"/>
        <v/>
      </c>
      <c r="N2780" s="70"/>
      <c r="O2780" s="71" t="str">
        <f t="shared" si="241"/>
        <v/>
      </c>
      <c r="P2780" s="66"/>
      <c r="Q2780" s="66"/>
      <c r="R2780" s="54"/>
      <c r="S2780" s="82"/>
      <c r="T2780" s="83" t="str">
        <f t="shared" si="238"/>
        <v/>
      </c>
      <c r="U2780" s="10"/>
      <c r="V2780" s="41">
        <f>IF(AND(Q2780&lt;&gt;"",RIGHT(Q2780,3)&lt;&gt;""),IF(COUNTIF($Q$6:Q2780,Q2780)=1,1,0),0)</f>
        <v>0</v>
      </c>
      <c r="W2780" s="41" t="str">
        <f t="shared" si="239"/>
        <v/>
      </c>
      <c r="X2780" s="41" t="str">
        <f t="shared" si="240"/>
        <v/>
      </c>
    </row>
    <row r="2781" s="32" customFormat="1" hidden="1" customHeight="1" spans="1:24">
      <c r="A2781" s="34"/>
      <c r="B2781" s="51"/>
      <c r="C2781" s="51"/>
      <c r="D2781" s="52"/>
      <c r="E2781" s="53"/>
      <c r="F2781" s="54"/>
      <c r="G2781" s="54"/>
      <c r="H2781" s="54"/>
      <c r="I2781" s="66"/>
      <c r="J2781" s="54"/>
      <c r="K2781" s="54"/>
      <c r="L2781" s="54"/>
      <c r="M2781" s="97" t="str">
        <f t="shared" si="237"/>
        <v/>
      </c>
      <c r="N2781" s="70"/>
      <c r="O2781" s="71" t="str">
        <f t="shared" si="241"/>
        <v/>
      </c>
      <c r="P2781" s="66"/>
      <c r="Q2781" s="66"/>
      <c r="R2781" s="54"/>
      <c r="S2781" s="82"/>
      <c r="T2781" s="83" t="str">
        <f t="shared" si="238"/>
        <v/>
      </c>
      <c r="U2781" s="10"/>
      <c r="V2781" s="41">
        <f>IF(AND(Q2781&lt;&gt;"",RIGHT(Q2781,3)&lt;&gt;""),IF(COUNTIF($Q$6:Q2781,Q2781)=1,1,0),0)</f>
        <v>0</v>
      </c>
      <c r="W2781" s="41" t="str">
        <f t="shared" si="239"/>
        <v/>
      </c>
      <c r="X2781" s="41" t="str">
        <f t="shared" si="240"/>
        <v/>
      </c>
    </row>
    <row r="2782" s="32" customFormat="1" hidden="1" customHeight="1" spans="1:24">
      <c r="A2782" s="34"/>
      <c r="B2782" s="51"/>
      <c r="C2782" s="51"/>
      <c r="D2782" s="52"/>
      <c r="E2782" s="53"/>
      <c r="F2782" s="54"/>
      <c r="G2782" s="54"/>
      <c r="H2782" s="54"/>
      <c r="I2782" s="66"/>
      <c r="J2782" s="54"/>
      <c r="K2782" s="54"/>
      <c r="L2782" s="54"/>
      <c r="M2782" s="97" t="str">
        <f t="shared" si="237"/>
        <v/>
      </c>
      <c r="N2782" s="70"/>
      <c r="O2782" s="71" t="str">
        <f t="shared" si="241"/>
        <v/>
      </c>
      <c r="P2782" s="66"/>
      <c r="Q2782" s="66"/>
      <c r="R2782" s="54"/>
      <c r="S2782" s="82"/>
      <c r="T2782" s="83" t="str">
        <f t="shared" si="238"/>
        <v/>
      </c>
      <c r="U2782" s="10"/>
      <c r="V2782" s="41">
        <f>IF(AND(Q2782&lt;&gt;"",RIGHT(Q2782,3)&lt;&gt;""),IF(COUNTIF($Q$6:Q2782,Q2782)=1,1,0),0)</f>
        <v>0</v>
      </c>
      <c r="W2782" s="41" t="str">
        <f t="shared" si="239"/>
        <v/>
      </c>
      <c r="X2782" s="41" t="str">
        <f t="shared" si="240"/>
        <v/>
      </c>
    </row>
    <row r="2783" s="32" customFormat="1" hidden="1" customHeight="1" spans="1:24">
      <c r="A2783" s="34"/>
      <c r="B2783" s="51"/>
      <c r="C2783" s="51"/>
      <c r="D2783" s="52"/>
      <c r="E2783" s="53"/>
      <c r="F2783" s="54"/>
      <c r="G2783" s="54"/>
      <c r="H2783" s="54"/>
      <c r="I2783" s="66"/>
      <c r="J2783" s="54"/>
      <c r="K2783" s="54"/>
      <c r="L2783" s="54"/>
      <c r="M2783" s="97" t="str">
        <f t="shared" si="237"/>
        <v/>
      </c>
      <c r="N2783" s="70"/>
      <c r="O2783" s="71" t="str">
        <f t="shared" si="241"/>
        <v/>
      </c>
      <c r="P2783" s="66"/>
      <c r="Q2783" s="66"/>
      <c r="R2783" s="54"/>
      <c r="S2783" s="82"/>
      <c r="T2783" s="83" t="str">
        <f t="shared" si="238"/>
        <v/>
      </c>
      <c r="U2783" s="10"/>
      <c r="V2783" s="41">
        <f>IF(AND(Q2783&lt;&gt;"",RIGHT(Q2783,3)&lt;&gt;""),IF(COUNTIF($Q$6:Q2783,Q2783)=1,1,0),0)</f>
        <v>0</v>
      </c>
      <c r="W2783" s="41" t="str">
        <f t="shared" si="239"/>
        <v/>
      </c>
      <c r="X2783" s="41" t="str">
        <f t="shared" si="240"/>
        <v/>
      </c>
    </row>
    <row r="2784" s="32" customFormat="1" hidden="1" customHeight="1" spans="1:24">
      <c r="A2784" s="34"/>
      <c r="B2784" s="51"/>
      <c r="C2784" s="51"/>
      <c r="D2784" s="52"/>
      <c r="E2784" s="53"/>
      <c r="F2784" s="54"/>
      <c r="G2784" s="54"/>
      <c r="H2784" s="54"/>
      <c r="I2784" s="66"/>
      <c r="J2784" s="54"/>
      <c r="K2784" s="54"/>
      <c r="L2784" s="54"/>
      <c r="M2784" s="97" t="str">
        <f t="shared" si="237"/>
        <v/>
      </c>
      <c r="N2784" s="70"/>
      <c r="O2784" s="71" t="str">
        <f t="shared" si="241"/>
        <v/>
      </c>
      <c r="P2784" s="66"/>
      <c r="Q2784" s="66"/>
      <c r="R2784" s="54"/>
      <c r="S2784" s="82"/>
      <c r="T2784" s="83" t="str">
        <f t="shared" si="238"/>
        <v/>
      </c>
      <c r="U2784" s="10"/>
      <c r="V2784" s="41">
        <f>IF(AND(Q2784&lt;&gt;"",RIGHT(Q2784,3)&lt;&gt;""),IF(COUNTIF($Q$6:Q2784,Q2784)=1,1,0),0)</f>
        <v>0</v>
      </c>
      <c r="W2784" s="41" t="str">
        <f t="shared" si="239"/>
        <v/>
      </c>
      <c r="X2784" s="41" t="str">
        <f t="shared" si="240"/>
        <v/>
      </c>
    </row>
    <row r="2785" s="32" customFormat="1" hidden="1" customHeight="1" spans="1:24">
      <c r="A2785" s="34"/>
      <c r="B2785" s="51"/>
      <c r="C2785" s="51"/>
      <c r="D2785" s="52"/>
      <c r="E2785" s="53"/>
      <c r="F2785" s="54"/>
      <c r="G2785" s="54"/>
      <c r="H2785" s="54"/>
      <c r="I2785" s="66"/>
      <c r="J2785" s="54"/>
      <c r="K2785" s="54"/>
      <c r="L2785" s="54"/>
      <c r="M2785" s="97" t="str">
        <f t="shared" si="237"/>
        <v/>
      </c>
      <c r="N2785" s="70"/>
      <c r="O2785" s="71" t="str">
        <f t="shared" si="241"/>
        <v/>
      </c>
      <c r="P2785" s="66"/>
      <c r="Q2785" s="66"/>
      <c r="R2785" s="54"/>
      <c r="S2785" s="82"/>
      <c r="T2785" s="83" t="str">
        <f t="shared" si="238"/>
        <v/>
      </c>
      <c r="U2785" s="10"/>
      <c r="V2785" s="41">
        <f>IF(AND(Q2785&lt;&gt;"",RIGHT(Q2785,3)&lt;&gt;""),IF(COUNTIF($Q$6:Q2785,Q2785)=1,1,0),0)</f>
        <v>0</v>
      </c>
      <c r="W2785" s="41" t="str">
        <f t="shared" si="239"/>
        <v/>
      </c>
      <c r="X2785" s="41" t="str">
        <f t="shared" si="240"/>
        <v/>
      </c>
    </row>
    <row r="2786" s="32" customFormat="1" hidden="1" customHeight="1" spans="1:24">
      <c r="A2786" s="34"/>
      <c r="B2786" s="51"/>
      <c r="C2786" s="51"/>
      <c r="D2786" s="52"/>
      <c r="E2786" s="53"/>
      <c r="F2786" s="54"/>
      <c r="G2786" s="54"/>
      <c r="H2786" s="54"/>
      <c r="I2786" s="66"/>
      <c r="J2786" s="54"/>
      <c r="K2786" s="54"/>
      <c r="L2786" s="54"/>
      <c r="M2786" s="97" t="str">
        <f t="shared" si="237"/>
        <v/>
      </c>
      <c r="N2786" s="70"/>
      <c r="O2786" s="71" t="str">
        <f t="shared" si="241"/>
        <v/>
      </c>
      <c r="P2786" s="66"/>
      <c r="Q2786" s="66"/>
      <c r="R2786" s="54"/>
      <c r="S2786" s="82"/>
      <c r="T2786" s="83" t="str">
        <f t="shared" si="238"/>
        <v/>
      </c>
      <c r="U2786" s="10"/>
      <c r="V2786" s="41">
        <f>IF(AND(Q2786&lt;&gt;"",RIGHT(Q2786,3)&lt;&gt;""),IF(COUNTIF($Q$6:Q2786,Q2786)=1,1,0),0)</f>
        <v>0</v>
      </c>
      <c r="W2786" s="41" t="str">
        <f t="shared" si="239"/>
        <v/>
      </c>
      <c r="X2786" s="41" t="str">
        <f t="shared" si="240"/>
        <v/>
      </c>
    </row>
    <row r="2787" s="32" customFormat="1" hidden="1" customHeight="1" spans="1:24">
      <c r="A2787" s="34"/>
      <c r="B2787" s="51"/>
      <c r="C2787" s="51"/>
      <c r="D2787" s="52"/>
      <c r="E2787" s="53"/>
      <c r="F2787" s="54"/>
      <c r="G2787" s="54"/>
      <c r="H2787" s="54"/>
      <c r="I2787" s="66"/>
      <c r="J2787" s="54"/>
      <c r="K2787" s="54"/>
      <c r="L2787" s="54"/>
      <c r="M2787" s="97" t="str">
        <f t="shared" si="237"/>
        <v/>
      </c>
      <c r="N2787" s="70"/>
      <c r="O2787" s="71" t="str">
        <f t="shared" si="241"/>
        <v/>
      </c>
      <c r="P2787" s="66"/>
      <c r="Q2787" s="66"/>
      <c r="R2787" s="54"/>
      <c r="S2787" s="82"/>
      <c r="T2787" s="83" t="str">
        <f t="shared" si="238"/>
        <v/>
      </c>
      <c r="U2787" s="10"/>
      <c r="V2787" s="41">
        <f>IF(AND(Q2787&lt;&gt;"",RIGHT(Q2787,3)&lt;&gt;""),IF(COUNTIF($Q$6:Q2787,Q2787)=1,1,0),0)</f>
        <v>0</v>
      </c>
      <c r="W2787" s="41" t="str">
        <f t="shared" si="239"/>
        <v/>
      </c>
      <c r="X2787" s="41" t="str">
        <f t="shared" si="240"/>
        <v/>
      </c>
    </row>
    <row r="2788" s="32" customFormat="1" hidden="1" customHeight="1" spans="1:24">
      <c r="A2788" s="34"/>
      <c r="B2788" s="51"/>
      <c r="C2788" s="51"/>
      <c r="D2788" s="52"/>
      <c r="E2788" s="53"/>
      <c r="F2788" s="54"/>
      <c r="G2788" s="54"/>
      <c r="H2788" s="54"/>
      <c r="I2788" s="66"/>
      <c r="J2788" s="54"/>
      <c r="K2788" s="54"/>
      <c r="L2788" s="54"/>
      <c r="M2788" s="97" t="str">
        <f t="shared" ref="M2788:M2851" si="242">IF(L2788="","",HYPERLINK(_xlfn.CONCAT($L$4,L2788,".jpg"),"Open File"))</f>
        <v/>
      </c>
      <c r="N2788" s="70"/>
      <c r="O2788" s="71" t="str">
        <f t="shared" si="241"/>
        <v/>
      </c>
      <c r="P2788" s="66"/>
      <c r="Q2788" s="66"/>
      <c r="R2788" s="54"/>
      <c r="S2788" s="82"/>
      <c r="T2788" s="83" t="str">
        <f t="shared" ref="T2788:T2851" si="243">IF(S2788="","",HYPERLINK(_xlfn.CONCAT($S$4,S2788,".jpg"),"Open File"))</f>
        <v/>
      </c>
      <c r="U2788" s="10"/>
      <c r="V2788" s="41">
        <f>IF(AND(Q2788&lt;&gt;"",RIGHT(Q2788,3)&lt;&gt;""),IF(COUNTIF($Q$6:Q2788,Q2788)=1,1,0),0)</f>
        <v>0</v>
      </c>
      <c r="W2788" s="41" t="str">
        <f t="shared" ref="W2788:W2851" si="244">IF(AND(J2788&lt;&gt;"",K2788&lt;&gt;""),_xlfn.CONCAT(SUBSTITUTE(J2788,"/","."),"-",K2788),"")</f>
        <v/>
      </c>
      <c r="X2788" s="41" t="str">
        <f t="shared" ref="X2788:X2851" si="245">IF(AND(Q2788&lt;&gt;"",R2788&lt;&gt;""),_xlfn.CONCAT(SUBSTITUTE(Q2788,"/","."),"-",R2788),"")</f>
        <v/>
      </c>
    </row>
    <row r="2789" s="32" customFormat="1" hidden="1" customHeight="1" spans="1:24">
      <c r="A2789" s="34"/>
      <c r="B2789" s="51"/>
      <c r="C2789" s="51"/>
      <c r="D2789" s="52"/>
      <c r="E2789" s="53"/>
      <c r="F2789" s="54"/>
      <c r="G2789" s="54"/>
      <c r="H2789" s="54"/>
      <c r="I2789" s="66"/>
      <c r="J2789" s="54"/>
      <c r="K2789" s="54"/>
      <c r="L2789" s="54"/>
      <c r="M2789" s="97" t="str">
        <f t="shared" si="242"/>
        <v/>
      </c>
      <c r="N2789" s="70"/>
      <c r="O2789" s="71" t="str">
        <f t="shared" si="241"/>
        <v/>
      </c>
      <c r="P2789" s="66"/>
      <c r="Q2789" s="66"/>
      <c r="R2789" s="54"/>
      <c r="S2789" s="82"/>
      <c r="T2789" s="83" t="str">
        <f t="shared" si="243"/>
        <v/>
      </c>
      <c r="U2789" s="10"/>
      <c r="V2789" s="41">
        <f>IF(AND(Q2789&lt;&gt;"",RIGHT(Q2789,3)&lt;&gt;""),IF(COUNTIF($Q$6:Q2789,Q2789)=1,1,0),0)</f>
        <v>0</v>
      </c>
      <c r="W2789" s="41" t="str">
        <f t="shared" si="244"/>
        <v/>
      </c>
      <c r="X2789" s="41" t="str">
        <f t="shared" si="245"/>
        <v/>
      </c>
    </row>
    <row r="2790" s="32" customFormat="1" hidden="1" customHeight="1" spans="1:24">
      <c r="A2790" s="34"/>
      <c r="B2790" s="51"/>
      <c r="C2790" s="51"/>
      <c r="D2790" s="52"/>
      <c r="E2790" s="53"/>
      <c r="F2790" s="54"/>
      <c r="G2790" s="54"/>
      <c r="H2790" s="54"/>
      <c r="I2790" s="66"/>
      <c r="J2790" s="54"/>
      <c r="K2790" s="54"/>
      <c r="L2790" s="54"/>
      <c r="M2790" s="97" t="str">
        <f t="shared" si="242"/>
        <v/>
      </c>
      <c r="N2790" s="70"/>
      <c r="O2790" s="71" t="str">
        <f t="shared" si="241"/>
        <v/>
      </c>
      <c r="P2790" s="66"/>
      <c r="Q2790" s="66"/>
      <c r="R2790" s="54"/>
      <c r="S2790" s="82"/>
      <c r="T2790" s="83" t="str">
        <f t="shared" si="243"/>
        <v/>
      </c>
      <c r="U2790" s="10"/>
      <c r="V2790" s="41">
        <f>IF(AND(Q2790&lt;&gt;"",RIGHT(Q2790,3)&lt;&gt;""),IF(COUNTIF($Q$6:Q2790,Q2790)=1,1,0),0)</f>
        <v>0</v>
      </c>
      <c r="W2790" s="41" t="str">
        <f t="shared" si="244"/>
        <v/>
      </c>
      <c r="X2790" s="41" t="str">
        <f t="shared" si="245"/>
        <v/>
      </c>
    </row>
    <row r="2791" s="32" customFormat="1" hidden="1" customHeight="1" spans="1:24">
      <c r="A2791" s="34"/>
      <c r="B2791" s="51"/>
      <c r="C2791" s="51"/>
      <c r="D2791" s="52"/>
      <c r="E2791" s="53"/>
      <c r="F2791" s="54"/>
      <c r="G2791" s="54"/>
      <c r="H2791" s="54"/>
      <c r="I2791" s="66"/>
      <c r="J2791" s="54"/>
      <c r="K2791" s="54"/>
      <c r="L2791" s="54"/>
      <c r="M2791" s="97" t="str">
        <f t="shared" si="242"/>
        <v/>
      </c>
      <c r="N2791" s="70"/>
      <c r="O2791" s="71" t="str">
        <f t="shared" si="241"/>
        <v/>
      </c>
      <c r="P2791" s="66"/>
      <c r="Q2791" s="66"/>
      <c r="R2791" s="54"/>
      <c r="S2791" s="82"/>
      <c r="T2791" s="83" t="str">
        <f t="shared" si="243"/>
        <v/>
      </c>
      <c r="U2791" s="10"/>
      <c r="V2791" s="41">
        <f>IF(AND(Q2791&lt;&gt;"",RIGHT(Q2791,3)&lt;&gt;""),IF(COUNTIF($Q$6:Q2791,Q2791)=1,1,0),0)</f>
        <v>0</v>
      </c>
      <c r="W2791" s="41" t="str">
        <f t="shared" si="244"/>
        <v/>
      </c>
      <c r="X2791" s="41" t="str">
        <f t="shared" si="245"/>
        <v/>
      </c>
    </row>
    <row r="2792" s="32" customFormat="1" hidden="1" customHeight="1" spans="1:24">
      <c r="A2792" s="34"/>
      <c r="B2792" s="51"/>
      <c r="C2792" s="51"/>
      <c r="D2792" s="52"/>
      <c r="E2792" s="53"/>
      <c r="F2792" s="54"/>
      <c r="G2792" s="54"/>
      <c r="H2792" s="54"/>
      <c r="I2792" s="66"/>
      <c r="J2792" s="54"/>
      <c r="K2792" s="54"/>
      <c r="L2792" s="54"/>
      <c r="M2792" s="97" t="str">
        <f t="shared" si="242"/>
        <v/>
      </c>
      <c r="N2792" s="70"/>
      <c r="O2792" s="71" t="str">
        <f t="shared" si="241"/>
        <v/>
      </c>
      <c r="P2792" s="66"/>
      <c r="Q2792" s="66"/>
      <c r="R2792" s="54"/>
      <c r="S2792" s="82"/>
      <c r="T2792" s="83" t="str">
        <f t="shared" si="243"/>
        <v/>
      </c>
      <c r="U2792" s="10"/>
      <c r="V2792" s="41">
        <f>IF(AND(Q2792&lt;&gt;"",RIGHT(Q2792,3)&lt;&gt;""),IF(COUNTIF($Q$6:Q2792,Q2792)=1,1,0),0)</f>
        <v>0</v>
      </c>
      <c r="W2792" s="41" t="str">
        <f t="shared" si="244"/>
        <v/>
      </c>
      <c r="X2792" s="41" t="str">
        <f t="shared" si="245"/>
        <v/>
      </c>
    </row>
    <row r="2793" s="32" customFormat="1" hidden="1" customHeight="1" spans="1:24">
      <c r="A2793" s="34"/>
      <c r="B2793" s="51"/>
      <c r="C2793" s="51"/>
      <c r="D2793" s="52"/>
      <c r="E2793" s="53"/>
      <c r="F2793" s="54"/>
      <c r="G2793" s="54"/>
      <c r="H2793" s="54"/>
      <c r="I2793" s="66"/>
      <c r="J2793" s="54"/>
      <c r="K2793" s="54"/>
      <c r="L2793" s="54"/>
      <c r="M2793" s="97" t="str">
        <f t="shared" si="242"/>
        <v/>
      </c>
      <c r="N2793" s="70"/>
      <c r="O2793" s="71" t="str">
        <f t="shared" si="241"/>
        <v/>
      </c>
      <c r="P2793" s="66"/>
      <c r="Q2793" s="66"/>
      <c r="R2793" s="54"/>
      <c r="S2793" s="82"/>
      <c r="T2793" s="83" t="str">
        <f t="shared" si="243"/>
        <v/>
      </c>
      <c r="U2793" s="10"/>
      <c r="V2793" s="41">
        <f>IF(AND(Q2793&lt;&gt;"",RIGHT(Q2793,3)&lt;&gt;""),IF(COUNTIF($Q$6:Q2793,Q2793)=1,1,0),0)</f>
        <v>0</v>
      </c>
      <c r="W2793" s="41" t="str">
        <f t="shared" si="244"/>
        <v/>
      </c>
      <c r="X2793" s="41" t="str">
        <f t="shared" si="245"/>
        <v/>
      </c>
    </row>
    <row r="2794" s="32" customFormat="1" hidden="1" customHeight="1" spans="1:24">
      <c r="A2794" s="34"/>
      <c r="B2794" s="51"/>
      <c r="C2794" s="51"/>
      <c r="D2794" s="52"/>
      <c r="E2794" s="53"/>
      <c r="F2794" s="54"/>
      <c r="G2794" s="54"/>
      <c r="H2794" s="54"/>
      <c r="I2794" s="66"/>
      <c r="J2794" s="54"/>
      <c r="K2794" s="54"/>
      <c r="L2794" s="54"/>
      <c r="M2794" s="97" t="str">
        <f t="shared" si="242"/>
        <v/>
      </c>
      <c r="N2794" s="70"/>
      <c r="O2794" s="71" t="str">
        <f t="shared" si="241"/>
        <v/>
      </c>
      <c r="P2794" s="66"/>
      <c r="Q2794" s="66"/>
      <c r="R2794" s="54"/>
      <c r="S2794" s="82"/>
      <c r="T2794" s="83" t="str">
        <f t="shared" si="243"/>
        <v/>
      </c>
      <c r="U2794" s="10"/>
      <c r="V2794" s="41">
        <f>IF(AND(Q2794&lt;&gt;"",RIGHT(Q2794,3)&lt;&gt;""),IF(COUNTIF($Q$6:Q2794,Q2794)=1,1,0),0)</f>
        <v>0</v>
      </c>
      <c r="W2794" s="41" t="str">
        <f t="shared" si="244"/>
        <v/>
      </c>
      <c r="X2794" s="41" t="str">
        <f t="shared" si="245"/>
        <v/>
      </c>
    </row>
    <row r="2795" s="32" customFormat="1" hidden="1" customHeight="1" spans="1:24">
      <c r="A2795" s="34"/>
      <c r="B2795" s="51"/>
      <c r="C2795" s="51"/>
      <c r="D2795" s="52"/>
      <c r="E2795" s="53"/>
      <c r="F2795" s="54"/>
      <c r="G2795" s="54"/>
      <c r="H2795" s="54"/>
      <c r="I2795" s="66"/>
      <c r="J2795" s="54"/>
      <c r="K2795" s="54"/>
      <c r="L2795" s="54"/>
      <c r="M2795" s="97" t="str">
        <f t="shared" si="242"/>
        <v/>
      </c>
      <c r="N2795" s="70"/>
      <c r="O2795" s="71" t="str">
        <f t="shared" si="241"/>
        <v/>
      </c>
      <c r="P2795" s="66"/>
      <c r="Q2795" s="66"/>
      <c r="R2795" s="54"/>
      <c r="S2795" s="82"/>
      <c r="T2795" s="83" t="str">
        <f t="shared" si="243"/>
        <v/>
      </c>
      <c r="U2795" s="10"/>
      <c r="V2795" s="41">
        <f>IF(AND(Q2795&lt;&gt;"",RIGHT(Q2795,3)&lt;&gt;""),IF(COUNTIF($Q$6:Q2795,Q2795)=1,1,0),0)</f>
        <v>0</v>
      </c>
      <c r="W2795" s="41" t="str">
        <f t="shared" si="244"/>
        <v/>
      </c>
      <c r="X2795" s="41" t="str">
        <f t="shared" si="245"/>
        <v/>
      </c>
    </row>
    <row r="2796" s="32" customFormat="1" hidden="1" customHeight="1" spans="1:24">
      <c r="A2796" s="34"/>
      <c r="B2796" s="51"/>
      <c r="C2796" s="51"/>
      <c r="D2796" s="52"/>
      <c r="E2796" s="53"/>
      <c r="F2796" s="54"/>
      <c r="G2796" s="54"/>
      <c r="H2796" s="54"/>
      <c r="I2796" s="66"/>
      <c r="J2796" s="54"/>
      <c r="K2796" s="54"/>
      <c r="L2796" s="54"/>
      <c r="M2796" s="97" t="str">
        <f t="shared" si="242"/>
        <v/>
      </c>
      <c r="N2796" s="70"/>
      <c r="O2796" s="71" t="str">
        <f t="shared" si="241"/>
        <v/>
      </c>
      <c r="P2796" s="66"/>
      <c r="Q2796" s="66"/>
      <c r="R2796" s="54"/>
      <c r="S2796" s="82"/>
      <c r="T2796" s="83" t="str">
        <f t="shared" si="243"/>
        <v/>
      </c>
      <c r="U2796" s="10"/>
      <c r="V2796" s="41">
        <f>IF(AND(Q2796&lt;&gt;"",RIGHT(Q2796,3)&lt;&gt;""),IF(COUNTIF($Q$6:Q2796,Q2796)=1,1,0),0)</f>
        <v>0</v>
      </c>
      <c r="W2796" s="41" t="str">
        <f t="shared" si="244"/>
        <v/>
      </c>
      <c r="X2796" s="41" t="str">
        <f t="shared" si="245"/>
        <v/>
      </c>
    </row>
    <row r="2797" s="32" customFormat="1" hidden="1" customHeight="1" spans="1:24">
      <c r="A2797" s="34"/>
      <c r="B2797" s="51"/>
      <c r="C2797" s="51"/>
      <c r="D2797" s="52"/>
      <c r="E2797" s="53"/>
      <c r="F2797" s="54"/>
      <c r="G2797" s="54"/>
      <c r="H2797" s="54"/>
      <c r="I2797" s="66"/>
      <c r="J2797" s="54"/>
      <c r="K2797" s="54"/>
      <c r="L2797" s="54"/>
      <c r="M2797" s="97" t="str">
        <f t="shared" si="242"/>
        <v/>
      </c>
      <c r="N2797" s="70"/>
      <c r="O2797" s="71" t="str">
        <f t="shared" si="241"/>
        <v/>
      </c>
      <c r="P2797" s="66"/>
      <c r="Q2797" s="66"/>
      <c r="R2797" s="54"/>
      <c r="S2797" s="82"/>
      <c r="T2797" s="83" t="str">
        <f t="shared" si="243"/>
        <v/>
      </c>
      <c r="U2797" s="10"/>
      <c r="V2797" s="41">
        <f>IF(AND(Q2797&lt;&gt;"",RIGHT(Q2797,3)&lt;&gt;""),IF(COUNTIF($Q$6:Q2797,Q2797)=1,1,0),0)</f>
        <v>0</v>
      </c>
      <c r="W2797" s="41" t="str">
        <f t="shared" si="244"/>
        <v/>
      </c>
      <c r="X2797" s="41" t="str">
        <f t="shared" si="245"/>
        <v/>
      </c>
    </row>
    <row r="2798" s="32" customFormat="1" hidden="1" customHeight="1" spans="1:24">
      <c r="A2798" s="34"/>
      <c r="B2798" s="51"/>
      <c r="C2798" s="51"/>
      <c r="D2798" s="52"/>
      <c r="E2798" s="53"/>
      <c r="F2798" s="54"/>
      <c r="G2798" s="54"/>
      <c r="H2798" s="54"/>
      <c r="I2798" s="66"/>
      <c r="J2798" s="54"/>
      <c r="K2798" s="54"/>
      <c r="L2798" s="54"/>
      <c r="M2798" s="97" t="str">
        <f t="shared" si="242"/>
        <v/>
      </c>
      <c r="N2798" s="70"/>
      <c r="O2798" s="71" t="str">
        <f t="shared" si="241"/>
        <v/>
      </c>
      <c r="P2798" s="66"/>
      <c r="Q2798" s="66"/>
      <c r="R2798" s="54"/>
      <c r="S2798" s="82"/>
      <c r="T2798" s="83" t="str">
        <f t="shared" si="243"/>
        <v/>
      </c>
      <c r="U2798" s="10"/>
      <c r="V2798" s="41">
        <f>IF(AND(Q2798&lt;&gt;"",RIGHT(Q2798,3)&lt;&gt;""),IF(COUNTIF($Q$6:Q2798,Q2798)=1,1,0),0)</f>
        <v>0</v>
      </c>
      <c r="W2798" s="41" t="str">
        <f t="shared" si="244"/>
        <v/>
      </c>
      <c r="X2798" s="41" t="str">
        <f t="shared" si="245"/>
        <v/>
      </c>
    </row>
    <row r="2799" s="32" customFormat="1" hidden="1" customHeight="1" spans="1:24">
      <c r="A2799" s="34"/>
      <c r="B2799" s="51"/>
      <c r="C2799" s="51"/>
      <c r="D2799" s="52"/>
      <c r="E2799" s="53"/>
      <c r="F2799" s="54"/>
      <c r="G2799" s="54"/>
      <c r="H2799" s="54"/>
      <c r="I2799" s="66"/>
      <c r="J2799" s="54"/>
      <c r="K2799" s="54"/>
      <c r="L2799" s="54"/>
      <c r="M2799" s="97" t="str">
        <f t="shared" si="242"/>
        <v/>
      </c>
      <c r="N2799" s="70"/>
      <c r="O2799" s="71" t="str">
        <f t="shared" si="241"/>
        <v/>
      </c>
      <c r="P2799" s="66"/>
      <c r="Q2799" s="66"/>
      <c r="R2799" s="54"/>
      <c r="S2799" s="82"/>
      <c r="T2799" s="83" t="str">
        <f t="shared" si="243"/>
        <v/>
      </c>
      <c r="U2799" s="10"/>
      <c r="V2799" s="41">
        <f>IF(AND(Q2799&lt;&gt;"",RIGHT(Q2799,3)&lt;&gt;""),IF(COUNTIF($Q$6:Q2799,Q2799)=1,1,0),0)</f>
        <v>0</v>
      </c>
      <c r="W2799" s="41" t="str">
        <f t="shared" si="244"/>
        <v/>
      </c>
      <c r="X2799" s="41" t="str">
        <f t="shared" si="245"/>
        <v/>
      </c>
    </row>
    <row r="2800" s="32" customFormat="1" hidden="1" customHeight="1" spans="1:24">
      <c r="A2800" s="34"/>
      <c r="B2800" s="51"/>
      <c r="C2800" s="51"/>
      <c r="D2800" s="52"/>
      <c r="E2800" s="53"/>
      <c r="F2800" s="54"/>
      <c r="G2800" s="54"/>
      <c r="H2800" s="54"/>
      <c r="I2800" s="66"/>
      <c r="J2800" s="54"/>
      <c r="K2800" s="54"/>
      <c r="L2800" s="54"/>
      <c r="M2800" s="97" t="str">
        <f t="shared" si="242"/>
        <v/>
      </c>
      <c r="N2800" s="70"/>
      <c r="O2800" s="71" t="str">
        <f t="shared" si="241"/>
        <v/>
      </c>
      <c r="P2800" s="66"/>
      <c r="Q2800" s="66"/>
      <c r="R2800" s="54"/>
      <c r="S2800" s="82"/>
      <c r="T2800" s="83" t="str">
        <f t="shared" si="243"/>
        <v/>
      </c>
      <c r="U2800" s="10"/>
      <c r="V2800" s="41">
        <f>IF(AND(Q2800&lt;&gt;"",RIGHT(Q2800,3)&lt;&gt;""),IF(COUNTIF($Q$6:Q2800,Q2800)=1,1,0),0)</f>
        <v>0</v>
      </c>
      <c r="W2800" s="41" t="str">
        <f t="shared" si="244"/>
        <v/>
      </c>
      <c r="X2800" s="41" t="str">
        <f t="shared" si="245"/>
        <v/>
      </c>
    </row>
    <row r="2801" s="32" customFormat="1" hidden="1" customHeight="1" spans="1:24">
      <c r="A2801" s="34"/>
      <c r="B2801" s="51"/>
      <c r="C2801" s="51"/>
      <c r="D2801" s="52"/>
      <c r="E2801" s="53"/>
      <c r="F2801" s="54"/>
      <c r="G2801" s="54"/>
      <c r="H2801" s="54"/>
      <c r="I2801" s="66"/>
      <c r="J2801" s="54"/>
      <c r="K2801" s="54"/>
      <c r="L2801" s="54"/>
      <c r="M2801" s="97" t="str">
        <f t="shared" si="242"/>
        <v/>
      </c>
      <c r="N2801" s="70"/>
      <c r="O2801" s="71" t="str">
        <f t="shared" ref="O2801:O2864" si="246">IF(AND(Q2801&lt;&gt;"",T2801&lt;&gt;""),"PASSIVE",IF(AND(J2801&lt;&gt;"",M2801&lt;&gt;""),"ACTIVE",""))</f>
        <v/>
      </c>
      <c r="P2801" s="66"/>
      <c r="Q2801" s="66"/>
      <c r="R2801" s="54"/>
      <c r="S2801" s="82"/>
      <c r="T2801" s="83" t="str">
        <f t="shared" si="243"/>
        <v/>
      </c>
      <c r="U2801" s="10"/>
      <c r="V2801" s="41">
        <f>IF(AND(Q2801&lt;&gt;"",RIGHT(Q2801,3)&lt;&gt;""),IF(COUNTIF($Q$6:Q2801,Q2801)=1,1,0),0)</f>
        <v>0</v>
      </c>
      <c r="W2801" s="41" t="str">
        <f t="shared" si="244"/>
        <v/>
      </c>
      <c r="X2801" s="41" t="str">
        <f t="shared" si="245"/>
        <v/>
      </c>
    </row>
    <row r="2802" s="32" customFormat="1" hidden="1" customHeight="1" spans="1:24">
      <c r="A2802" s="34"/>
      <c r="B2802" s="51"/>
      <c r="C2802" s="51"/>
      <c r="D2802" s="52"/>
      <c r="E2802" s="53"/>
      <c r="F2802" s="54"/>
      <c r="G2802" s="54"/>
      <c r="H2802" s="54"/>
      <c r="I2802" s="66"/>
      <c r="J2802" s="54"/>
      <c r="K2802" s="54"/>
      <c r="L2802" s="54"/>
      <c r="M2802" s="97" t="str">
        <f t="shared" si="242"/>
        <v/>
      </c>
      <c r="N2802" s="70"/>
      <c r="O2802" s="71" t="str">
        <f t="shared" si="246"/>
        <v/>
      </c>
      <c r="P2802" s="66"/>
      <c r="Q2802" s="66"/>
      <c r="R2802" s="54"/>
      <c r="S2802" s="82"/>
      <c r="T2802" s="83" t="str">
        <f t="shared" si="243"/>
        <v/>
      </c>
      <c r="U2802" s="10"/>
      <c r="V2802" s="41">
        <f>IF(AND(Q2802&lt;&gt;"",RIGHT(Q2802,3)&lt;&gt;""),IF(COUNTIF($Q$6:Q2802,Q2802)=1,1,0),0)</f>
        <v>0</v>
      </c>
      <c r="W2802" s="41" t="str">
        <f t="shared" si="244"/>
        <v/>
      </c>
      <c r="X2802" s="41" t="str">
        <f t="shared" si="245"/>
        <v/>
      </c>
    </row>
    <row r="2803" s="32" customFormat="1" hidden="1" customHeight="1" spans="1:24">
      <c r="A2803" s="34"/>
      <c r="B2803" s="51"/>
      <c r="C2803" s="51"/>
      <c r="D2803" s="52"/>
      <c r="E2803" s="53"/>
      <c r="F2803" s="54"/>
      <c r="G2803" s="54"/>
      <c r="H2803" s="54"/>
      <c r="I2803" s="66"/>
      <c r="J2803" s="54"/>
      <c r="K2803" s="54"/>
      <c r="L2803" s="54"/>
      <c r="M2803" s="97" t="str">
        <f t="shared" si="242"/>
        <v/>
      </c>
      <c r="N2803" s="70"/>
      <c r="O2803" s="71" t="str">
        <f t="shared" si="246"/>
        <v/>
      </c>
      <c r="P2803" s="66"/>
      <c r="Q2803" s="66"/>
      <c r="R2803" s="54"/>
      <c r="S2803" s="82"/>
      <c r="T2803" s="83" t="str">
        <f t="shared" si="243"/>
        <v/>
      </c>
      <c r="U2803" s="10"/>
      <c r="V2803" s="41">
        <f>IF(AND(Q2803&lt;&gt;"",RIGHT(Q2803,3)&lt;&gt;""),IF(COUNTIF($Q$6:Q2803,Q2803)=1,1,0),0)</f>
        <v>0</v>
      </c>
      <c r="W2803" s="41" t="str">
        <f t="shared" si="244"/>
        <v/>
      </c>
      <c r="X2803" s="41" t="str">
        <f t="shared" si="245"/>
        <v/>
      </c>
    </row>
    <row r="2804" s="32" customFormat="1" hidden="1" customHeight="1" spans="1:24">
      <c r="A2804" s="34"/>
      <c r="B2804" s="51"/>
      <c r="C2804" s="51"/>
      <c r="D2804" s="52"/>
      <c r="E2804" s="53"/>
      <c r="F2804" s="54"/>
      <c r="G2804" s="54"/>
      <c r="H2804" s="54"/>
      <c r="I2804" s="66"/>
      <c r="J2804" s="54"/>
      <c r="K2804" s="54"/>
      <c r="L2804" s="54"/>
      <c r="M2804" s="97" t="str">
        <f t="shared" si="242"/>
        <v/>
      </c>
      <c r="N2804" s="70"/>
      <c r="O2804" s="71" t="str">
        <f t="shared" si="246"/>
        <v/>
      </c>
      <c r="P2804" s="66"/>
      <c r="Q2804" s="66"/>
      <c r="R2804" s="54"/>
      <c r="S2804" s="82"/>
      <c r="T2804" s="83" t="str">
        <f t="shared" si="243"/>
        <v/>
      </c>
      <c r="U2804" s="10"/>
      <c r="V2804" s="41">
        <f>IF(AND(Q2804&lt;&gt;"",RIGHT(Q2804,3)&lt;&gt;""),IF(COUNTIF($Q$6:Q2804,Q2804)=1,1,0),0)</f>
        <v>0</v>
      </c>
      <c r="W2804" s="41" t="str">
        <f t="shared" si="244"/>
        <v/>
      </c>
      <c r="X2804" s="41" t="str">
        <f t="shared" si="245"/>
        <v/>
      </c>
    </row>
    <row r="2805" s="32" customFormat="1" hidden="1" customHeight="1" spans="1:24">
      <c r="A2805" s="34"/>
      <c r="B2805" s="51"/>
      <c r="C2805" s="51"/>
      <c r="D2805" s="52"/>
      <c r="E2805" s="53"/>
      <c r="F2805" s="54"/>
      <c r="G2805" s="54"/>
      <c r="H2805" s="54"/>
      <c r="I2805" s="66"/>
      <c r="J2805" s="54"/>
      <c r="K2805" s="54"/>
      <c r="L2805" s="54"/>
      <c r="M2805" s="97" t="str">
        <f t="shared" si="242"/>
        <v/>
      </c>
      <c r="N2805" s="70"/>
      <c r="O2805" s="71" t="str">
        <f t="shared" si="246"/>
        <v/>
      </c>
      <c r="P2805" s="66"/>
      <c r="Q2805" s="66"/>
      <c r="R2805" s="54"/>
      <c r="S2805" s="82"/>
      <c r="T2805" s="83" t="str">
        <f t="shared" si="243"/>
        <v/>
      </c>
      <c r="U2805" s="10"/>
      <c r="V2805" s="41">
        <f>IF(AND(Q2805&lt;&gt;"",RIGHT(Q2805,3)&lt;&gt;""),IF(COUNTIF($Q$6:Q2805,Q2805)=1,1,0),0)</f>
        <v>0</v>
      </c>
      <c r="W2805" s="41" t="str">
        <f t="shared" si="244"/>
        <v/>
      </c>
      <c r="X2805" s="41" t="str">
        <f t="shared" si="245"/>
        <v/>
      </c>
    </row>
    <row r="2806" s="32" customFormat="1" hidden="1" customHeight="1" spans="1:24">
      <c r="A2806" s="34"/>
      <c r="B2806" s="51"/>
      <c r="C2806" s="51"/>
      <c r="D2806" s="52"/>
      <c r="E2806" s="53"/>
      <c r="F2806" s="54"/>
      <c r="G2806" s="54"/>
      <c r="H2806" s="54"/>
      <c r="I2806" s="66"/>
      <c r="J2806" s="54"/>
      <c r="K2806" s="54"/>
      <c r="L2806" s="54"/>
      <c r="M2806" s="97" t="str">
        <f t="shared" si="242"/>
        <v/>
      </c>
      <c r="N2806" s="70"/>
      <c r="O2806" s="71" t="str">
        <f t="shared" si="246"/>
        <v/>
      </c>
      <c r="P2806" s="66"/>
      <c r="Q2806" s="66"/>
      <c r="R2806" s="54"/>
      <c r="S2806" s="82"/>
      <c r="T2806" s="83" t="str">
        <f t="shared" si="243"/>
        <v/>
      </c>
      <c r="U2806" s="10"/>
      <c r="V2806" s="41">
        <f>IF(AND(Q2806&lt;&gt;"",RIGHT(Q2806,3)&lt;&gt;""),IF(COUNTIF($Q$6:Q2806,Q2806)=1,1,0),0)</f>
        <v>0</v>
      </c>
      <c r="W2806" s="41" t="str">
        <f t="shared" si="244"/>
        <v/>
      </c>
      <c r="X2806" s="41" t="str">
        <f t="shared" si="245"/>
        <v/>
      </c>
    </row>
    <row r="2807" s="32" customFormat="1" hidden="1" customHeight="1" spans="1:24">
      <c r="A2807" s="34"/>
      <c r="B2807" s="51"/>
      <c r="C2807" s="51"/>
      <c r="D2807" s="52"/>
      <c r="E2807" s="53"/>
      <c r="F2807" s="54"/>
      <c r="G2807" s="54"/>
      <c r="H2807" s="54"/>
      <c r="I2807" s="66"/>
      <c r="J2807" s="54"/>
      <c r="K2807" s="54"/>
      <c r="L2807" s="54"/>
      <c r="M2807" s="97" t="str">
        <f t="shared" si="242"/>
        <v/>
      </c>
      <c r="N2807" s="70"/>
      <c r="O2807" s="71" t="str">
        <f t="shared" si="246"/>
        <v/>
      </c>
      <c r="P2807" s="66"/>
      <c r="Q2807" s="66"/>
      <c r="R2807" s="54"/>
      <c r="S2807" s="82"/>
      <c r="T2807" s="83" t="str">
        <f t="shared" si="243"/>
        <v/>
      </c>
      <c r="U2807" s="10"/>
      <c r="V2807" s="41">
        <f>IF(AND(Q2807&lt;&gt;"",RIGHT(Q2807,3)&lt;&gt;""),IF(COUNTIF($Q$6:Q2807,Q2807)=1,1,0),0)</f>
        <v>0</v>
      </c>
      <c r="W2807" s="41" t="str">
        <f t="shared" si="244"/>
        <v/>
      </c>
      <c r="X2807" s="41" t="str">
        <f t="shared" si="245"/>
        <v/>
      </c>
    </row>
    <row r="2808" s="32" customFormat="1" hidden="1" customHeight="1" spans="1:24">
      <c r="A2808" s="34"/>
      <c r="B2808" s="51"/>
      <c r="C2808" s="51"/>
      <c r="D2808" s="52"/>
      <c r="E2808" s="53"/>
      <c r="F2808" s="54"/>
      <c r="G2808" s="54"/>
      <c r="H2808" s="54"/>
      <c r="I2808" s="66"/>
      <c r="J2808" s="54"/>
      <c r="K2808" s="54"/>
      <c r="L2808" s="54"/>
      <c r="M2808" s="97" t="str">
        <f t="shared" si="242"/>
        <v/>
      </c>
      <c r="N2808" s="70"/>
      <c r="O2808" s="71" t="str">
        <f t="shared" si="246"/>
        <v/>
      </c>
      <c r="P2808" s="66"/>
      <c r="Q2808" s="66"/>
      <c r="R2808" s="54"/>
      <c r="S2808" s="82"/>
      <c r="T2808" s="83" t="str">
        <f t="shared" si="243"/>
        <v/>
      </c>
      <c r="U2808" s="10"/>
      <c r="V2808" s="41">
        <f>IF(AND(Q2808&lt;&gt;"",RIGHT(Q2808,3)&lt;&gt;""),IF(COUNTIF($Q$6:Q2808,Q2808)=1,1,0),0)</f>
        <v>0</v>
      </c>
      <c r="W2808" s="41" t="str">
        <f t="shared" si="244"/>
        <v/>
      </c>
      <c r="X2808" s="41" t="str">
        <f t="shared" si="245"/>
        <v/>
      </c>
    </row>
    <row r="2809" s="32" customFormat="1" hidden="1" customHeight="1" spans="1:24">
      <c r="A2809" s="34"/>
      <c r="B2809" s="51"/>
      <c r="C2809" s="51"/>
      <c r="D2809" s="52"/>
      <c r="E2809" s="53"/>
      <c r="F2809" s="54"/>
      <c r="G2809" s="54"/>
      <c r="H2809" s="54"/>
      <c r="I2809" s="66"/>
      <c r="J2809" s="54"/>
      <c r="K2809" s="54"/>
      <c r="L2809" s="54"/>
      <c r="M2809" s="97" t="str">
        <f t="shared" si="242"/>
        <v/>
      </c>
      <c r="N2809" s="70"/>
      <c r="O2809" s="71" t="str">
        <f t="shared" si="246"/>
        <v/>
      </c>
      <c r="P2809" s="66"/>
      <c r="Q2809" s="66"/>
      <c r="R2809" s="54"/>
      <c r="S2809" s="82"/>
      <c r="T2809" s="83" t="str">
        <f t="shared" si="243"/>
        <v/>
      </c>
      <c r="U2809" s="10"/>
      <c r="V2809" s="41">
        <f>IF(AND(Q2809&lt;&gt;"",RIGHT(Q2809,3)&lt;&gt;""),IF(COUNTIF($Q$6:Q2809,Q2809)=1,1,0),0)</f>
        <v>0</v>
      </c>
      <c r="W2809" s="41" t="str">
        <f t="shared" si="244"/>
        <v/>
      </c>
      <c r="X2809" s="41" t="str">
        <f t="shared" si="245"/>
        <v/>
      </c>
    </row>
    <row r="2810" s="32" customFormat="1" hidden="1" customHeight="1" spans="1:24">
      <c r="A2810" s="34"/>
      <c r="B2810" s="51"/>
      <c r="C2810" s="51"/>
      <c r="D2810" s="52"/>
      <c r="E2810" s="53"/>
      <c r="F2810" s="54"/>
      <c r="G2810" s="54"/>
      <c r="H2810" s="54"/>
      <c r="I2810" s="66"/>
      <c r="J2810" s="54"/>
      <c r="K2810" s="54"/>
      <c r="L2810" s="54"/>
      <c r="M2810" s="97" t="str">
        <f t="shared" si="242"/>
        <v/>
      </c>
      <c r="N2810" s="70"/>
      <c r="O2810" s="71" t="str">
        <f t="shared" si="246"/>
        <v/>
      </c>
      <c r="P2810" s="66"/>
      <c r="Q2810" s="66"/>
      <c r="R2810" s="54"/>
      <c r="S2810" s="82"/>
      <c r="T2810" s="83" t="str">
        <f t="shared" si="243"/>
        <v/>
      </c>
      <c r="U2810" s="10"/>
      <c r="V2810" s="41">
        <f>IF(AND(Q2810&lt;&gt;"",RIGHT(Q2810,3)&lt;&gt;""),IF(COUNTIF($Q$6:Q2810,Q2810)=1,1,0),0)</f>
        <v>0</v>
      </c>
      <c r="W2810" s="41" t="str">
        <f t="shared" si="244"/>
        <v/>
      </c>
      <c r="X2810" s="41" t="str">
        <f t="shared" si="245"/>
        <v/>
      </c>
    </row>
    <row r="2811" s="32" customFormat="1" hidden="1" customHeight="1" spans="1:24">
      <c r="A2811" s="34"/>
      <c r="B2811" s="51"/>
      <c r="C2811" s="51"/>
      <c r="D2811" s="52"/>
      <c r="E2811" s="53"/>
      <c r="F2811" s="54"/>
      <c r="G2811" s="54"/>
      <c r="H2811" s="54"/>
      <c r="I2811" s="66"/>
      <c r="J2811" s="54"/>
      <c r="K2811" s="54"/>
      <c r="L2811" s="54"/>
      <c r="M2811" s="97" t="str">
        <f t="shared" si="242"/>
        <v/>
      </c>
      <c r="N2811" s="70"/>
      <c r="O2811" s="71" t="str">
        <f t="shared" si="246"/>
        <v/>
      </c>
      <c r="P2811" s="66"/>
      <c r="Q2811" s="66"/>
      <c r="R2811" s="54"/>
      <c r="S2811" s="82"/>
      <c r="T2811" s="83" t="str">
        <f t="shared" si="243"/>
        <v/>
      </c>
      <c r="U2811" s="10"/>
      <c r="V2811" s="41">
        <f>IF(AND(Q2811&lt;&gt;"",RIGHT(Q2811,3)&lt;&gt;""),IF(COUNTIF($Q$6:Q2811,Q2811)=1,1,0),0)</f>
        <v>0</v>
      </c>
      <c r="W2811" s="41" t="str">
        <f t="shared" si="244"/>
        <v/>
      </c>
      <c r="X2811" s="41" t="str">
        <f t="shared" si="245"/>
        <v/>
      </c>
    </row>
    <row r="2812" s="32" customFormat="1" hidden="1" customHeight="1" spans="1:24">
      <c r="A2812" s="34"/>
      <c r="B2812" s="51"/>
      <c r="C2812" s="51"/>
      <c r="D2812" s="52"/>
      <c r="E2812" s="53"/>
      <c r="F2812" s="54"/>
      <c r="G2812" s="54"/>
      <c r="H2812" s="54"/>
      <c r="I2812" s="66"/>
      <c r="J2812" s="54"/>
      <c r="K2812" s="54"/>
      <c r="L2812" s="54"/>
      <c r="M2812" s="97" t="str">
        <f t="shared" si="242"/>
        <v/>
      </c>
      <c r="N2812" s="70"/>
      <c r="O2812" s="71" t="str">
        <f t="shared" si="246"/>
        <v/>
      </c>
      <c r="P2812" s="66"/>
      <c r="Q2812" s="66"/>
      <c r="R2812" s="54"/>
      <c r="S2812" s="82"/>
      <c r="T2812" s="83" t="str">
        <f t="shared" si="243"/>
        <v/>
      </c>
      <c r="U2812" s="10"/>
      <c r="V2812" s="41">
        <f>IF(AND(Q2812&lt;&gt;"",RIGHT(Q2812,3)&lt;&gt;""),IF(COUNTIF($Q$6:Q2812,Q2812)=1,1,0),0)</f>
        <v>0</v>
      </c>
      <c r="W2812" s="41" t="str">
        <f t="shared" si="244"/>
        <v/>
      </c>
      <c r="X2812" s="41" t="str">
        <f t="shared" si="245"/>
        <v/>
      </c>
    </row>
    <row r="2813" s="32" customFormat="1" hidden="1" customHeight="1" spans="1:24">
      <c r="A2813" s="34"/>
      <c r="B2813" s="51"/>
      <c r="C2813" s="51"/>
      <c r="D2813" s="52"/>
      <c r="E2813" s="53"/>
      <c r="F2813" s="54"/>
      <c r="G2813" s="54"/>
      <c r="H2813" s="54"/>
      <c r="I2813" s="66"/>
      <c r="J2813" s="54"/>
      <c r="K2813" s="54"/>
      <c r="L2813" s="54"/>
      <c r="M2813" s="97" t="str">
        <f t="shared" si="242"/>
        <v/>
      </c>
      <c r="N2813" s="70"/>
      <c r="O2813" s="71" t="str">
        <f t="shared" si="246"/>
        <v/>
      </c>
      <c r="P2813" s="66"/>
      <c r="Q2813" s="66"/>
      <c r="R2813" s="54"/>
      <c r="S2813" s="82"/>
      <c r="T2813" s="83" t="str">
        <f t="shared" si="243"/>
        <v/>
      </c>
      <c r="U2813" s="10"/>
      <c r="V2813" s="41">
        <f>IF(AND(Q2813&lt;&gt;"",RIGHT(Q2813,3)&lt;&gt;""),IF(COUNTIF($Q$6:Q2813,Q2813)=1,1,0),0)</f>
        <v>0</v>
      </c>
      <c r="W2813" s="41" t="str">
        <f t="shared" si="244"/>
        <v/>
      </c>
      <c r="X2813" s="41" t="str">
        <f t="shared" si="245"/>
        <v/>
      </c>
    </row>
    <row r="2814" s="32" customFormat="1" hidden="1" customHeight="1" spans="1:24">
      <c r="A2814" s="34"/>
      <c r="B2814" s="51"/>
      <c r="C2814" s="51"/>
      <c r="D2814" s="52"/>
      <c r="E2814" s="53"/>
      <c r="F2814" s="54"/>
      <c r="G2814" s="54"/>
      <c r="H2814" s="54"/>
      <c r="I2814" s="66"/>
      <c r="J2814" s="54"/>
      <c r="K2814" s="54"/>
      <c r="L2814" s="54"/>
      <c r="M2814" s="97" t="str">
        <f t="shared" si="242"/>
        <v/>
      </c>
      <c r="N2814" s="70"/>
      <c r="O2814" s="71" t="str">
        <f t="shared" si="246"/>
        <v/>
      </c>
      <c r="P2814" s="66"/>
      <c r="Q2814" s="66"/>
      <c r="R2814" s="54"/>
      <c r="S2814" s="82"/>
      <c r="T2814" s="83" t="str">
        <f t="shared" si="243"/>
        <v/>
      </c>
      <c r="U2814" s="10"/>
      <c r="V2814" s="41">
        <f>IF(AND(Q2814&lt;&gt;"",RIGHT(Q2814,3)&lt;&gt;""),IF(COUNTIF($Q$6:Q2814,Q2814)=1,1,0),0)</f>
        <v>0</v>
      </c>
      <c r="W2814" s="41" t="str">
        <f t="shared" si="244"/>
        <v/>
      </c>
      <c r="X2814" s="41" t="str">
        <f t="shared" si="245"/>
        <v/>
      </c>
    </row>
    <row r="2815" s="32" customFormat="1" hidden="1" customHeight="1" spans="1:24">
      <c r="A2815" s="34"/>
      <c r="B2815" s="51"/>
      <c r="C2815" s="51"/>
      <c r="D2815" s="52"/>
      <c r="E2815" s="53"/>
      <c r="F2815" s="54"/>
      <c r="G2815" s="54"/>
      <c r="H2815" s="54"/>
      <c r="I2815" s="66"/>
      <c r="J2815" s="54"/>
      <c r="K2815" s="54"/>
      <c r="L2815" s="54"/>
      <c r="M2815" s="97" t="str">
        <f t="shared" si="242"/>
        <v/>
      </c>
      <c r="N2815" s="70"/>
      <c r="O2815" s="71" t="str">
        <f t="shared" si="246"/>
        <v/>
      </c>
      <c r="P2815" s="66"/>
      <c r="Q2815" s="66"/>
      <c r="R2815" s="54"/>
      <c r="S2815" s="82"/>
      <c r="T2815" s="83" t="str">
        <f t="shared" si="243"/>
        <v/>
      </c>
      <c r="U2815" s="10"/>
      <c r="V2815" s="41">
        <f>IF(AND(Q2815&lt;&gt;"",RIGHT(Q2815,3)&lt;&gt;""),IF(COUNTIF($Q$6:Q2815,Q2815)=1,1,0),0)</f>
        <v>0</v>
      </c>
      <c r="W2815" s="41" t="str">
        <f t="shared" si="244"/>
        <v/>
      </c>
      <c r="X2815" s="41" t="str">
        <f t="shared" si="245"/>
        <v/>
      </c>
    </row>
    <row r="2816" s="32" customFormat="1" hidden="1" customHeight="1" spans="1:24">
      <c r="A2816" s="34"/>
      <c r="B2816" s="51"/>
      <c r="C2816" s="51"/>
      <c r="D2816" s="52"/>
      <c r="E2816" s="53"/>
      <c r="F2816" s="54"/>
      <c r="G2816" s="54"/>
      <c r="H2816" s="54"/>
      <c r="I2816" s="66"/>
      <c r="J2816" s="54"/>
      <c r="K2816" s="54"/>
      <c r="L2816" s="54"/>
      <c r="M2816" s="97" t="str">
        <f t="shared" si="242"/>
        <v/>
      </c>
      <c r="N2816" s="70"/>
      <c r="O2816" s="71" t="str">
        <f t="shared" si="246"/>
        <v/>
      </c>
      <c r="P2816" s="66"/>
      <c r="Q2816" s="66"/>
      <c r="R2816" s="54"/>
      <c r="S2816" s="82"/>
      <c r="T2816" s="83" t="str">
        <f t="shared" si="243"/>
        <v/>
      </c>
      <c r="U2816" s="10"/>
      <c r="V2816" s="41">
        <f>IF(AND(Q2816&lt;&gt;"",RIGHT(Q2816,3)&lt;&gt;""),IF(COUNTIF($Q$6:Q2816,Q2816)=1,1,0),0)</f>
        <v>0</v>
      </c>
      <c r="W2816" s="41" t="str">
        <f t="shared" si="244"/>
        <v/>
      </c>
      <c r="X2816" s="41" t="str">
        <f t="shared" si="245"/>
        <v/>
      </c>
    </row>
    <row r="2817" s="32" customFormat="1" hidden="1" customHeight="1" spans="1:24">
      <c r="A2817" s="34"/>
      <c r="B2817" s="51"/>
      <c r="C2817" s="51"/>
      <c r="D2817" s="52"/>
      <c r="E2817" s="53"/>
      <c r="F2817" s="54"/>
      <c r="G2817" s="54"/>
      <c r="H2817" s="54"/>
      <c r="I2817" s="66"/>
      <c r="J2817" s="54"/>
      <c r="K2817" s="54"/>
      <c r="L2817" s="54"/>
      <c r="M2817" s="97" t="str">
        <f t="shared" si="242"/>
        <v/>
      </c>
      <c r="N2817" s="70"/>
      <c r="O2817" s="71" t="str">
        <f t="shared" si="246"/>
        <v/>
      </c>
      <c r="P2817" s="66"/>
      <c r="Q2817" s="66"/>
      <c r="R2817" s="54"/>
      <c r="S2817" s="82"/>
      <c r="T2817" s="83" t="str">
        <f t="shared" si="243"/>
        <v/>
      </c>
      <c r="U2817" s="10"/>
      <c r="V2817" s="41">
        <f>IF(AND(Q2817&lt;&gt;"",RIGHT(Q2817,3)&lt;&gt;""),IF(COUNTIF($Q$6:Q2817,Q2817)=1,1,0),0)</f>
        <v>0</v>
      </c>
      <c r="W2817" s="41" t="str">
        <f t="shared" si="244"/>
        <v/>
      </c>
      <c r="X2817" s="41" t="str">
        <f t="shared" si="245"/>
        <v/>
      </c>
    </row>
    <row r="2818" s="32" customFormat="1" hidden="1" customHeight="1" spans="1:24">
      <c r="A2818" s="34"/>
      <c r="B2818" s="51"/>
      <c r="C2818" s="51"/>
      <c r="D2818" s="52"/>
      <c r="E2818" s="53"/>
      <c r="F2818" s="54"/>
      <c r="G2818" s="54"/>
      <c r="H2818" s="54"/>
      <c r="I2818" s="66"/>
      <c r="J2818" s="54"/>
      <c r="K2818" s="54"/>
      <c r="L2818" s="54"/>
      <c r="M2818" s="97" t="str">
        <f t="shared" si="242"/>
        <v/>
      </c>
      <c r="N2818" s="70"/>
      <c r="O2818" s="71" t="str">
        <f t="shared" si="246"/>
        <v/>
      </c>
      <c r="P2818" s="66"/>
      <c r="Q2818" s="66"/>
      <c r="R2818" s="54"/>
      <c r="S2818" s="82"/>
      <c r="T2818" s="83" t="str">
        <f t="shared" si="243"/>
        <v/>
      </c>
      <c r="U2818" s="10"/>
      <c r="V2818" s="41">
        <f>IF(AND(Q2818&lt;&gt;"",RIGHT(Q2818,3)&lt;&gt;""),IF(COUNTIF($Q$6:Q2818,Q2818)=1,1,0),0)</f>
        <v>0</v>
      </c>
      <c r="W2818" s="41" t="str">
        <f t="shared" si="244"/>
        <v/>
      </c>
      <c r="X2818" s="41" t="str">
        <f t="shared" si="245"/>
        <v/>
      </c>
    </row>
    <row r="2819" s="32" customFormat="1" hidden="1" customHeight="1" spans="1:24">
      <c r="A2819" s="34"/>
      <c r="B2819" s="51"/>
      <c r="C2819" s="51"/>
      <c r="D2819" s="52"/>
      <c r="E2819" s="53"/>
      <c r="F2819" s="54"/>
      <c r="G2819" s="54"/>
      <c r="H2819" s="54"/>
      <c r="I2819" s="66"/>
      <c r="J2819" s="54"/>
      <c r="K2819" s="54"/>
      <c r="L2819" s="54"/>
      <c r="M2819" s="97" t="str">
        <f t="shared" si="242"/>
        <v/>
      </c>
      <c r="N2819" s="70"/>
      <c r="O2819" s="71" t="str">
        <f t="shared" si="246"/>
        <v/>
      </c>
      <c r="P2819" s="66"/>
      <c r="Q2819" s="66"/>
      <c r="R2819" s="54"/>
      <c r="S2819" s="82"/>
      <c r="T2819" s="83" t="str">
        <f t="shared" si="243"/>
        <v/>
      </c>
      <c r="U2819" s="10"/>
      <c r="V2819" s="41">
        <f>IF(AND(Q2819&lt;&gt;"",RIGHT(Q2819,3)&lt;&gt;""),IF(COUNTIF($Q$6:Q2819,Q2819)=1,1,0),0)</f>
        <v>0</v>
      </c>
      <c r="W2819" s="41" t="str">
        <f t="shared" si="244"/>
        <v/>
      </c>
      <c r="X2819" s="41" t="str">
        <f t="shared" si="245"/>
        <v/>
      </c>
    </row>
    <row r="2820" s="32" customFormat="1" hidden="1" customHeight="1" spans="1:24">
      <c r="A2820" s="34"/>
      <c r="B2820" s="51"/>
      <c r="C2820" s="51"/>
      <c r="D2820" s="52"/>
      <c r="E2820" s="53"/>
      <c r="F2820" s="54"/>
      <c r="G2820" s="54"/>
      <c r="H2820" s="54"/>
      <c r="I2820" s="66"/>
      <c r="J2820" s="54"/>
      <c r="K2820" s="54"/>
      <c r="L2820" s="54"/>
      <c r="M2820" s="97" t="str">
        <f t="shared" si="242"/>
        <v/>
      </c>
      <c r="N2820" s="70"/>
      <c r="O2820" s="71" t="str">
        <f t="shared" si="246"/>
        <v/>
      </c>
      <c r="P2820" s="66"/>
      <c r="Q2820" s="66"/>
      <c r="R2820" s="54"/>
      <c r="S2820" s="82"/>
      <c r="T2820" s="83" t="str">
        <f t="shared" si="243"/>
        <v/>
      </c>
      <c r="U2820" s="10"/>
      <c r="V2820" s="41">
        <f>IF(AND(Q2820&lt;&gt;"",RIGHT(Q2820,3)&lt;&gt;""),IF(COUNTIF($Q$6:Q2820,Q2820)=1,1,0),0)</f>
        <v>0</v>
      </c>
      <c r="W2820" s="41" t="str">
        <f t="shared" si="244"/>
        <v/>
      </c>
      <c r="X2820" s="41" t="str">
        <f t="shared" si="245"/>
        <v/>
      </c>
    </row>
    <row r="2821" s="32" customFormat="1" hidden="1" customHeight="1" spans="1:24">
      <c r="A2821" s="34"/>
      <c r="B2821" s="51"/>
      <c r="C2821" s="51"/>
      <c r="D2821" s="52"/>
      <c r="E2821" s="53"/>
      <c r="F2821" s="54"/>
      <c r="G2821" s="54"/>
      <c r="H2821" s="54"/>
      <c r="I2821" s="66"/>
      <c r="J2821" s="54"/>
      <c r="K2821" s="54"/>
      <c r="L2821" s="54"/>
      <c r="M2821" s="97" t="str">
        <f t="shared" si="242"/>
        <v/>
      </c>
      <c r="N2821" s="70"/>
      <c r="O2821" s="71" t="str">
        <f t="shared" si="246"/>
        <v/>
      </c>
      <c r="P2821" s="66"/>
      <c r="Q2821" s="66"/>
      <c r="R2821" s="54"/>
      <c r="S2821" s="82"/>
      <c r="T2821" s="83" t="str">
        <f t="shared" si="243"/>
        <v/>
      </c>
      <c r="U2821" s="10"/>
      <c r="V2821" s="41">
        <f>IF(AND(Q2821&lt;&gt;"",RIGHT(Q2821,3)&lt;&gt;""),IF(COUNTIF($Q$6:Q2821,Q2821)=1,1,0),0)</f>
        <v>0</v>
      </c>
      <c r="W2821" s="41" t="str">
        <f t="shared" si="244"/>
        <v/>
      </c>
      <c r="X2821" s="41" t="str">
        <f t="shared" si="245"/>
        <v/>
      </c>
    </row>
    <row r="2822" s="32" customFormat="1" hidden="1" customHeight="1" spans="1:24">
      <c r="A2822" s="34"/>
      <c r="B2822" s="51"/>
      <c r="C2822" s="51"/>
      <c r="D2822" s="52"/>
      <c r="E2822" s="53"/>
      <c r="F2822" s="54"/>
      <c r="G2822" s="54"/>
      <c r="H2822" s="54"/>
      <c r="I2822" s="66"/>
      <c r="J2822" s="54"/>
      <c r="K2822" s="54"/>
      <c r="L2822" s="54"/>
      <c r="M2822" s="97" t="str">
        <f t="shared" si="242"/>
        <v/>
      </c>
      <c r="N2822" s="70"/>
      <c r="O2822" s="71" t="str">
        <f t="shared" si="246"/>
        <v/>
      </c>
      <c r="P2822" s="66"/>
      <c r="Q2822" s="66"/>
      <c r="R2822" s="54"/>
      <c r="S2822" s="82"/>
      <c r="T2822" s="83" t="str">
        <f t="shared" si="243"/>
        <v/>
      </c>
      <c r="U2822" s="10"/>
      <c r="V2822" s="41">
        <f>IF(AND(Q2822&lt;&gt;"",RIGHT(Q2822,3)&lt;&gt;""),IF(COUNTIF($Q$6:Q2822,Q2822)=1,1,0),0)</f>
        <v>0</v>
      </c>
      <c r="W2822" s="41" t="str">
        <f t="shared" si="244"/>
        <v/>
      </c>
      <c r="X2822" s="41" t="str">
        <f t="shared" si="245"/>
        <v/>
      </c>
    </row>
    <row r="2823" s="32" customFormat="1" hidden="1" customHeight="1" spans="1:24">
      <c r="A2823" s="34"/>
      <c r="B2823" s="51"/>
      <c r="C2823" s="51"/>
      <c r="D2823" s="52"/>
      <c r="E2823" s="53"/>
      <c r="F2823" s="54"/>
      <c r="G2823" s="54"/>
      <c r="H2823" s="54"/>
      <c r="I2823" s="66"/>
      <c r="J2823" s="54"/>
      <c r="K2823" s="54"/>
      <c r="L2823" s="54"/>
      <c r="M2823" s="97" t="str">
        <f t="shared" si="242"/>
        <v/>
      </c>
      <c r="N2823" s="70"/>
      <c r="O2823" s="71" t="str">
        <f t="shared" si="246"/>
        <v/>
      </c>
      <c r="P2823" s="66"/>
      <c r="Q2823" s="66"/>
      <c r="R2823" s="54"/>
      <c r="S2823" s="82"/>
      <c r="T2823" s="83" t="str">
        <f t="shared" si="243"/>
        <v/>
      </c>
      <c r="U2823" s="10"/>
      <c r="V2823" s="41">
        <f>IF(AND(Q2823&lt;&gt;"",RIGHT(Q2823,3)&lt;&gt;""),IF(COUNTIF($Q$6:Q2823,Q2823)=1,1,0),0)</f>
        <v>0</v>
      </c>
      <c r="W2823" s="41" t="str">
        <f t="shared" si="244"/>
        <v/>
      </c>
      <c r="X2823" s="41" t="str">
        <f t="shared" si="245"/>
        <v/>
      </c>
    </row>
    <row r="2824" s="32" customFormat="1" hidden="1" customHeight="1" spans="1:24">
      <c r="A2824" s="34"/>
      <c r="B2824" s="51"/>
      <c r="C2824" s="51"/>
      <c r="D2824" s="52"/>
      <c r="E2824" s="53"/>
      <c r="F2824" s="54"/>
      <c r="G2824" s="54"/>
      <c r="H2824" s="54"/>
      <c r="I2824" s="66"/>
      <c r="J2824" s="54"/>
      <c r="K2824" s="54"/>
      <c r="L2824" s="54"/>
      <c r="M2824" s="97" t="str">
        <f t="shared" si="242"/>
        <v/>
      </c>
      <c r="N2824" s="70"/>
      <c r="O2824" s="71" t="str">
        <f t="shared" si="246"/>
        <v/>
      </c>
      <c r="P2824" s="66"/>
      <c r="Q2824" s="66"/>
      <c r="R2824" s="54"/>
      <c r="S2824" s="82"/>
      <c r="T2824" s="83" t="str">
        <f t="shared" si="243"/>
        <v/>
      </c>
      <c r="U2824" s="10"/>
      <c r="V2824" s="41">
        <f>IF(AND(Q2824&lt;&gt;"",RIGHT(Q2824,3)&lt;&gt;""),IF(COUNTIF($Q$6:Q2824,Q2824)=1,1,0),0)</f>
        <v>0</v>
      </c>
      <c r="W2824" s="41" t="str">
        <f t="shared" si="244"/>
        <v/>
      </c>
      <c r="X2824" s="41" t="str">
        <f t="shared" si="245"/>
        <v/>
      </c>
    </row>
    <row r="2825" s="32" customFormat="1" hidden="1" customHeight="1" spans="1:24">
      <c r="A2825" s="34"/>
      <c r="B2825" s="51"/>
      <c r="C2825" s="51"/>
      <c r="D2825" s="52"/>
      <c r="E2825" s="53"/>
      <c r="F2825" s="54"/>
      <c r="G2825" s="54"/>
      <c r="H2825" s="54"/>
      <c r="I2825" s="66"/>
      <c r="J2825" s="54"/>
      <c r="K2825" s="54"/>
      <c r="L2825" s="54"/>
      <c r="M2825" s="97" t="str">
        <f t="shared" si="242"/>
        <v/>
      </c>
      <c r="N2825" s="70"/>
      <c r="O2825" s="71" t="str">
        <f t="shared" si="246"/>
        <v/>
      </c>
      <c r="P2825" s="66"/>
      <c r="Q2825" s="66"/>
      <c r="R2825" s="54"/>
      <c r="S2825" s="82"/>
      <c r="T2825" s="83" t="str">
        <f t="shared" si="243"/>
        <v/>
      </c>
      <c r="U2825" s="10"/>
      <c r="V2825" s="41">
        <f>IF(AND(Q2825&lt;&gt;"",RIGHT(Q2825,3)&lt;&gt;""),IF(COUNTIF($Q$6:Q2825,Q2825)=1,1,0),0)</f>
        <v>0</v>
      </c>
      <c r="W2825" s="41" t="str">
        <f t="shared" si="244"/>
        <v/>
      </c>
      <c r="X2825" s="41" t="str">
        <f t="shared" si="245"/>
        <v/>
      </c>
    </row>
    <row r="2826" s="32" customFormat="1" hidden="1" customHeight="1" spans="1:24">
      <c r="A2826" s="34"/>
      <c r="B2826" s="51"/>
      <c r="C2826" s="51"/>
      <c r="D2826" s="52"/>
      <c r="E2826" s="53"/>
      <c r="F2826" s="54"/>
      <c r="G2826" s="54"/>
      <c r="H2826" s="54"/>
      <c r="I2826" s="66"/>
      <c r="J2826" s="54"/>
      <c r="K2826" s="54"/>
      <c r="L2826" s="54"/>
      <c r="M2826" s="97" t="str">
        <f t="shared" si="242"/>
        <v/>
      </c>
      <c r="N2826" s="70"/>
      <c r="O2826" s="71" t="str">
        <f t="shared" si="246"/>
        <v/>
      </c>
      <c r="P2826" s="66"/>
      <c r="Q2826" s="66"/>
      <c r="R2826" s="54"/>
      <c r="S2826" s="82"/>
      <c r="T2826" s="83" t="str">
        <f t="shared" si="243"/>
        <v/>
      </c>
      <c r="U2826" s="10"/>
      <c r="V2826" s="41">
        <f>IF(AND(Q2826&lt;&gt;"",RIGHT(Q2826,3)&lt;&gt;""),IF(COUNTIF($Q$6:Q2826,Q2826)=1,1,0),0)</f>
        <v>0</v>
      </c>
      <c r="W2826" s="41" t="str">
        <f t="shared" si="244"/>
        <v/>
      </c>
      <c r="X2826" s="41" t="str">
        <f t="shared" si="245"/>
        <v/>
      </c>
    </row>
    <row r="2827" s="32" customFormat="1" hidden="1" customHeight="1" spans="1:24">
      <c r="A2827" s="34"/>
      <c r="B2827" s="51"/>
      <c r="C2827" s="51"/>
      <c r="D2827" s="52"/>
      <c r="E2827" s="53"/>
      <c r="F2827" s="54"/>
      <c r="G2827" s="54"/>
      <c r="H2827" s="54"/>
      <c r="I2827" s="66"/>
      <c r="J2827" s="54"/>
      <c r="K2827" s="54"/>
      <c r="L2827" s="54"/>
      <c r="M2827" s="97" t="str">
        <f t="shared" si="242"/>
        <v/>
      </c>
      <c r="N2827" s="70"/>
      <c r="O2827" s="71" t="str">
        <f t="shared" si="246"/>
        <v/>
      </c>
      <c r="P2827" s="66"/>
      <c r="Q2827" s="66"/>
      <c r="R2827" s="54"/>
      <c r="S2827" s="82"/>
      <c r="T2827" s="83" t="str">
        <f t="shared" si="243"/>
        <v/>
      </c>
      <c r="U2827" s="10"/>
      <c r="V2827" s="41">
        <f>IF(AND(Q2827&lt;&gt;"",RIGHT(Q2827,3)&lt;&gt;""),IF(COUNTIF($Q$6:Q2827,Q2827)=1,1,0),0)</f>
        <v>0</v>
      </c>
      <c r="W2827" s="41" t="str">
        <f t="shared" si="244"/>
        <v/>
      </c>
      <c r="X2827" s="41" t="str">
        <f t="shared" si="245"/>
        <v/>
      </c>
    </row>
    <row r="2828" s="32" customFormat="1" hidden="1" customHeight="1" spans="1:24">
      <c r="A2828" s="34"/>
      <c r="B2828" s="51"/>
      <c r="C2828" s="51"/>
      <c r="D2828" s="52"/>
      <c r="E2828" s="53"/>
      <c r="F2828" s="54"/>
      <c r="G2828" s="54"/>
      <c r="H2828" s="54"/>
      <c r="I2828" s="66"/>
      <c r="J2828" s="54"/>
      <c r="K2828" s="54"/>
      <c r="L2828" s="54"/>
      <c r="M2828" s="97" t="str">
        <f t="shared" si="242"/>
        <v/>
      </c>
      <c r="N2828" s="70"/>
      <c r="O2828" s="71" t="str">
        <f t="shared" si="246"/>
        <v/>
      </c>
      <c r="P2828" s="66"/>
      <c r="Q2828" s="66"/>
      <c r="R2828" s="54"/>
      <c r="S2828" s="82"/>
      <c r="T2828" s="83" t="str">
        <f t="shared" si="243"/>
        <v/>
      </c>
      <c r="U2828" s="10"/>
      <c r="V2828" s="41">
        <f>IF(AND(Q2828&lt;&gt;"",RIGHT(Q2828,3)&lt;&gt;""),IF(COUNTIF($Q$6:Q2828,Q2828)=1,1,0),0)</f>
        <v>0</v>
      </c>
      <c r="W2828" s="41" t="str">
        <f t="shared" si="244"/>
        <v/>
      </c>
      <c r="X2828" s="41" t="str">
        <f t="shared" si="245"/>
        <v/>
      </c>
    </row>
    <row r="2829" s="32" customFormat="1" hidden="1" customHeight="1" spans="1:24">
      <c r="A2829" s="34"/>
      <c r="B2829" s="51"/>
      <c r="C2829" s="51"/>
      <c r="D2829" s="52"/>
      <c r="E2829" s="53"/>
      <c r="F2829" s="54"/>
      <c r="G2829" s="54"/>
      <c r="H2829" s="54"/>
      <c r="I2829" s="66"/>
      <c r="J2829" s="54"/>
      <c r="K2829" s="54"/>
      <c r="L2829" s="54"/>
      <c r="M2829" s="97" t="str">
        <f t="shared" si="242"/>
        <v/>
      </c>
      <c r="N2829" s="70"/>
      <c r="O2829" s="71" t="str">
        <f t="shared" si="246"/>
        <v/>
      </c>
      <c r="P2829" s="66"/>
      <c r="Q2829" s="66"/>
      <c r="R2829" s="54"/>
      <c r="S2829" s="82"/>
      <c r="T2829" s="83" t="str">
        <f t="shared" si="243"/>
        <v/>
      </c>
      <c r="U2829" s="10"/>
      <c r="V2829" s="41">
        <f>IF(AND(Q2829&lt;&gt;"",RIGHT(Q2829,3)&lt;&gt;""),IF(COUNTIF($Q$6:Q2829,Q2829)=1,1,0),0)</f>
        <v>0</v>
      </c>
      <c r="W2829" s="41" t="str">
        <f t="shared" si="244"/>
        <v/>
      </c>
      <c r="X2829" s="41" t="str">
        <f t="shared" si="245"/>
        <v/>
      </c>
    </row>
    <row r="2830" s="32" customFormat="1" hidden="1" customHeight="1" spans="1:24">
      <c r="A2830" s="34"/>
      <c r="B2830" s="51"/>
      <c r="C2830" s="51"/>
      <c r="D2830" s="52"/>
      <c r="E2830" s="53"/>
      <c r="F2830" s="54"/>
      <c r="G2830" s="54"/>
      <c r="H2830" s="54"/>
      <c r="I2830" s="66"/>
      <c r="J2830" s="54"/>
      <c r="K2830" s="54"/>
      <c r="L2830" s="54"/>
      <c r="M2830" s="97" t="str">
        <f t="shared" si="242"/>
        <v/>
      </c>
      <c r="N2830" s="70"/>
      <c r="O2830" s="71" t="str">
        <f t="shared" si="246"/>
        <v/>
      </c>
      <c r="P2830" s="66"/>
      <c r="Q2830" s="66"/>
      <c r="R2830" s="54"/>
      <c r="S2830" s="82"/>
      <c r="T2830" s="83" t="str">
        <f t="shared" si="243"/>
        <v/>
      </c>
      <c r="U2830" s="10"/>
      <c r="V2830" s="41">
        <f>IF(AND(Q2830&lt;&gt;"",RIGHT(Q2830,3)&lt;&gt;""),IF(COUNTIF($Q$6:Q2830,Q2830)=1,1,0),0)</f>
        <v>0</v>
      </c>
      <c r="W2830" s="41" t="str">
        <f t="shared" si="244"/>
        <v/>
      </c>
      <c r="X2830" s="41" t="str">
        <f t="shared" si="245"/>
        <v/>
      </c>
    </row>
    <row r="2831" s="32" customFormat="1" hidden="1" customHeight="1" spans="1:24">
      <c r="A2831" s="34"/>
      <c r="B2831" s="51"/>
      <c r="C2831" s="51"/>
      <c r="D2831" s="52"/>
      <c r="E2831" s="53"/>
      <c r="F2831" s="54"/>
      <c r="G2831" s="54"/>
      <c r="H2831" s="54"/>
      <c r="I2831" s="66"/>
      <c r="J2831" s="54"/>
      <c r="K2831" s="54"/>
      <c r="L2831" s="54"/>
      <c r="M2831" s="97" t="str">
        <f t="shared" si="242"/>
        <v/>
      </c>
      <c r="N2831" s="70"/>
      <c r="O2831" s="71" t="str">
        <f t="shared" si="246"/>
        <v/>
      </c>
      <c r="P2831" s="66"/>
      <c r="Q2831" s="66"/>
      <c r="R2831" s="54"/>
      <c r="S2831" s="82"/>
      <c r="T2831" s="83" t="str">
        <f t="shared" si="243"/>
        <v/>
      </c>
      <c r="U2831" s="10"/>
      <c r="V2831" s="41">
        <f>IF(AND(Q2831&lt;&gt;"",RIGHT(Q2831,3)&lt;&gt;""),IF(COUNTIF($Q$6:Q2831,Q2831)=1,1,0),0)</f>
        <v>0</v>
      </c>
      <c r="W2831" s="41" t="str">
        <f t="shared" si="244"/>
        <v/>
      </c>
      <c r="X2831" s="41" t="str">
        <f t="shared" si="245"/>
        <v/>
      </c>
    </row>
    <row r="2832" s="32" customFormat="1" hidden="1" customHeight="1" spans="1:24">
      <c r="A2832" s="34"/>
      <c r="B2832" s="51"/>
      <c r="C2832" s="51"/>
      <c r="D2832" s="52"/>
      <c r="E2832" s="53"/>
      <c r="F2832" s="54"/>
      <c r="G2832" s="54"/>
      <c r="H2832" s="54"/>
      <c r="I2832" s="66"/>
      <c r="J2832" s="54"/>
      <c r="K2832" s="54"/>
      <c r="L2832" s="54"/>
      <c r="M2832" s="97" t="str">
        <f t="shared" si="242"/>
        <v/>
      </c>
      <c r="N2832" s="70"/>
      <c r="O2832" s="71" t="str">
        <f t="shared" si="246"/>
        <v/>
      </c>
      <c r="P2832" s="66"/>
      <c r="Q2832" s="66"/>
      <c r="R2832" s="54"/>
      <c r="S2832" s="82"/>
      <c r="T2832" s="83" t="str">
        <f t="shared" si="243"/>
        <v/>
      </c>
      <c r="U2832" s="10"/>
      <c r="V2832" s="41">
        <f>IF(AND(Q2832&lt;&gt;"",RIGHT(Q2832,3)&lt;&gt;""),IF(COUNTIF($Q$6:Q2832,Q2832)=1,1,0),0)</f>
        <v>0</v>
      </c>
      <c r="W2832" s="41" t="str">
        <f t="shared" si="244"/>
        <v/>
      </c>
      <c r="X2832" s="41" t="str">
        <f t="shared" si="245"/>
        <v/>
      </c>
    </row>
    <row r="2833" s="32" customFormat="1" hidden="1" customHeight="1" spans="1:24">
      <c r="A2833" s="34"/>
      <c r="B2833" s="51"/>
      <c r="C2833" s="51"/>
      <c r="D2833" s="52"/>
      <c r="E2833" s="53"/>
      <c r="F2833" s="54"/>
      <c r="G2833" s="54"/>
      <c r="H2833" s="54"/>
      <c r="I2833" s="66"/>
      <c r="J2833" s="54"/>
      <c r="K2833" s="54"/>
      <c r="L2833" s="54"/>
      <c r="M2833" s="97" t="str">
        <f t="shared" si="242"/>
        <v/>
      </c>
      <c r="N2833" s="70"/>
      <c r="O2833" s="71" t="str">
        <f t="shared" si="246"/>
        <v/>
      </c>
      <c r="P2833" s="66"/>
      <c r="Q2833" s="66"/>
      <c r="R2833" s="54"/>
      <c r="S2833" s="82"/>
      <c r="T2833" s="83" t="str">
        <f t="shared" si="243"/>
        <v/>
      </c>
      <c r="U2833" s="10"/>
      <c r="V2833" s="41">
        <f>IF(AND(Q2833&lt;&gt;"",RIGHT(Q2833,3)&lt;&gt;""),IF(COUNTIF($Q$6:Q2833,Q2833)=1,1,0),0)</f>
        <v>0</v>
      </c>
      <c r="W2833" s="41" t="str">
        <f t="shared" si="244"/>
        <v/>
      </c>
      <c r="X2833" s="41" t="str">
        <f t="shared" si="245"/>
        <v/>
      </c>
    </row>
    <row r="2834" s="32" customFormat="1" hidden="1" customHeight="1" spans="1:24">
      <c r="A2834" s="34"/>
      <c r="B2834" s="51"/>
      <c r="C2834" s="51"/>
      <c r="D2834" s="52"/>
      <c r="E2834" s="53"/>
      <c r="F2834" s="54"/>
      <c r="G2834" s="54"/>
      <c r="H2834" s="54"/>
      <c r="I2834" s="66"/>
      <c r="J2834" s="54"/>
      <c r="K2834" s="54"/>
      <c r="L2834" s="54"/>
      <c r="M2834" s="97" t="str">
        <f t="shared" si="242"/>
        <v/>
      </c>
      <c r="N2834" s="70"/>
      <c r="O2834" s="71" t="str">
        <f t="shared" si="246"/>
        <v/>
      </c>
      <c r="P2834" s="66"/>
      <c r="Q2834" s="66"/>
      <c r="R2834" s="54"/>
      <c r="S2834" s="82"/>
      <c r="T2834" s="83" t="str">
        <f t="shared" si="243"/>
        <v/>
      </c>
      <c r="U2834" s="10"/>
      <c r="V2834" s="41">
        <f>IF(AND(Q2834&lt;&gt;"",RIGHT(Q2834,3)&lt;&gt;""),IF(COUNTIF($Q$6:Q2834,Q2834)=1,1,0),0)</f>
        <v>0</v>
      </c>
      <c r="W2834" s="41" t="str">
        <f t="shared" si="244"/>
        <v/>
      </c>
      <c r="X2834" s="41" t="str">
        <f t="shared" si="245"/>
        <v/>
      </c>
    </row>
    <row r="2835" s="32" customFormat="1" hidden="1" customHeight="1" spans="1:24">
      <c r="A2835" s="34"/>
      <c r="B2835" s="51"/>
      <c r="C2835" s="51"/>
      <c r="D2835" s="52"/>
      <c r="E2835" s="53"/>
      <c r="F2835" s="54"/>
      <c r="G2835" s="54"/>
      <c r="H2835" s="54"/>
      <c r="I2835" s="66"/>
      <c r="J2835" s="54"/>
      <c r="K2835" s="54"/>
      <c r="L2835" s="54"/>
      <c r="M2835" s="97" t="str">
        <f t="shared" si="242"/>
        <v/>
      </c>
      <c r="N2835" s="70"/>
      <c r="O2835" s="71" t="str">
        <f t="shared" si="246"/>
        <v/>
      </c>
      <c r="P2835" s="66"/>
      <c r="Q2835" s="66"/>
      <c r="R2835" s="54"/>
      <c r="S2835" s="82"/>
      <c r="T2835" s="83" t="str">
        <f t="shared" si="243"/>
        <v/>
      </c>
      <c r="U2835" s="10"/>
      <c r="V2835" s="41">
        <f>IF(AND(Q2835&lt;&gt;"",RIGHT(Q2835,3)&lt;&gt;""),IF(COUNTIF($Q$6:Q2835,Q2835)=1,1,0),0)</f>
        <v>0</v>
      </c>
      <c r="W2835" s="41" t="str">
        <f t="shared" si="244"/>
        <v/>
      </c>
      <c r="X2835" s="41" t="str">
        <f t="shared" si="245"/>
        <v/>
      </c>
    </row>
    <row r="2836" s="32" customFormat="1" hidden="1" customHeight="1" spans="1:24">
      <c r="A2836" s="34"/>
      <c r="B2836" s="51"/>
      <c r="C2836" s="51"/>
      <c r="D2836" s="52"/>
      <c r="E2836" s="53"/>
      <c r="F2836" s="54"/>
      <c r="G2836" s="54"/>
      <c r="H2836" s="54"/>
      <c r="I2836" s="66"/>
      <c r="J2836" s="54"/>
      <c r="K2836" s="54"/>
      <c r="L2836" s="54"/>
      <c r="M2836" s="97" t="str">
        <f t="shared" si="242"/>
        <v/>
      </c>
      <c r="N2836" s="70"/>
      <c r="O2836" s="71" t="str">
        <f t="shared" si="246"/>
        <v/>
      </c>
      <c r="P2836" s="66"/>
      <c r="Q2836" s="66"/>
      <c r="R2836" s="54"/>
      <c r="S2836" s="82"/>
      <c r="T2836" s="83" t="str">
        <f t="shared" si="243"/>
        <v/>
      </c>
      <c r="U2836" s="10"/>
      <c r="V2836" s="41">
        <f>IF(AND(Q2836&lt;&gt;"",RIGHT(Q2836,3)&lt;&gt;""),IF(COUNTIF($Q$6:Q2836,Q2836)=1,1,0),0)</f>
        <v>0</v>
      </c>
      <c r="W2836" s="41" t="str">
        <f t="shared" si="244"/>
        <v/>
      </c>
      <c r="X2836" s="41" t="str">
        <f t="shared" si="245"/>
        <v/>
      </c>
    </row>
    <row r="2837" s="32" customFormat="1" hidden="1" customHeight="1" spans="1:24">
      <c r="A2837" s="34"/>
      <c r="B2837" s="51"/>
      <c r="C2837" s="51"/>
      <c r="D2837" s="52"/>
      <c r="E2837" s="53"/>
      <c r="F2837" s="54"/>
      <c r="G2837" s="54"/>
      <c r="H2837" s="54"/>
      <c r="I2837" s="66"/>
      <c r="J2837" s="54"/>
      <c r="K2837" s="54"/>
      <c r="L2837" s="54"/>
      <c r="M2837" s="97" t="str">
        <f t="shared" si="242"/>
        <v/>
      </c>
      <c r="N2837" s="70"/>
      <c r="O2837" s="71" t="str">
        <f t="shared" si="246"/>
        <v/>
      </c>
      <c r="P2837" s="66"/>
      <c r="Q2837" s="66"/>
      <c r="R2837" s="54"/>
      <c r="S2837" s="82"/>
      <c r="T2837" s="83" t="str">
        <f t="shared" si="243"/>
        <v/>
      </c>
      <c r="U2837" s="10"/>
      <c r="V2837" s="41">
        <f>IF(AND(Q2837&lt;&gt;"",RIGHT(Q2837,3)&lt;&gt;""),IF(COUNTIF($Q$6:Q2837,Q2837)=1,1,0),0)</f>
        <v>0</v>
      </c>
      <c r="W2837" s="41" t="str">
        <f t="shared" si="244"/>
        <v/>
      </c>
      <c r="X2837" s="41" t="str">
        <f t="shared" si="245"/>
        <v/>
      </c>
    </row>
    <row r="2838" s="32" customFormat="1" hidden="1" customHeight="1" spans="1:24">
      <c r="A2838" s="34"/>
      <c r="B2838" s="51"/>
      <c r="C2838" s="51"/>
      <c r="D2838" s="52"/>
      <c r="E2838" s="53"/>
      <c r="F2838" s="54"/>
      <c r="G2838" s="54"/>
      <c r="H2838" s="54"/>
      <c r="I2838" s="66"/>
      <c r="J2838" s="54"/>
      <c r="K2838" s="54"/>
      <c r="L2838" s="54"/>
      <c r="M2838" s="97" t="str">
        <f t="shared" si="242"/>
        <v/>
      </c>
      <c r="N2838" s="70"/>
      <c r="O2838" s="71" t="str">
        <f t="shared" si="246"/>
        <v/>
      </c>
      <c r="P2838" s="66"/>
      <c r="Q2838" s="66"/>
      <c r="R2838" s="54"/>
      <c r="S2838" s="82"/>
      <c r="T2838" s="83" t="str">
        <f t="shared" si="243"/>
        <v/>
      </c>
      <c r="U2838" s="10"/>
      <c r="V2838" s="41">
        <f>IF(AND(Q2838&lt;&gt;"",RIGHT(Q2838,3)&lt;&gt;""),IF(COUNTIF($Q$6:Q2838,Q2838)=1,1,0),0)</f>
        <v>0</v>
      </c>
      <c r="W2838" s="41" t="str">
        <f t="shared" si="244"/>
        <v/>
      </c>
      <c r="X2838" s="41" t="str">
        <f t="shared" si="245"/>
        <v/>
      </c>
    </row>
    <row r="2839" s="32" customFormat="1" hidden="1" customHeight="1" spans="1:24">
      <c r="A2839" s="34"/>
      <c r="B2839" s="51"/>
      <c r="C2839" s="51"/>
      <c r="D2839" s="52"/>
      <c r="E2839" s="53"/>
      <c r="F2839" s="54"/>
      <c r="G2839" s="54"/>
      <c r="H2839" s="54"/>
      <c r="I2839" s="66"/>
      <c r="J2839" s="54"/>
      <c r="K2839" s="54"/>
      <c r="L2839" s="54"/>
      <c r="M2839" s="97" t="str">
        <f t="shared" si="242"/>
        <v/>
      </c>
      <c r="N2839" s="70"/>
      <c r="O2839" s="71" t="str">
        <f t="shared" si="246"/>
        <v/>
      </c>
      <c r="P2839" s="66"/>
      <c r="Q2839" s="66"/>
      <c r="R2839" s="54"/>
      <c r="S2839" s="82"/>
      <c r="T2839" s="83" t="str">
        <f t="shared" si="243"/>
        <v/>
      </c>
      <c r="U2839" s="10"/>
      <c r="V2839" s="41">
        <f>IF(AND(Q2839&lt;&gt;"",RIGHT(Q2839,3)&lt;&gt;""),IF(COUNTIF($Q$6:Q2839,Q2839)=1,1,0),0)</f>
        <v>0</v>
      </c>
      <c r="W2839" s="41" t="str">
        <f t="shared" si="244"/>
        <v/>
      </c>
      <c r="X2839" s="41" t="str">
        <f t="shared" si="245"/>
        <v/>
      </c>
    </row>
    <row r="2840" s="32" customFormat="1" hidden="1" customHeight="1" spans="1:24">
      <c r="A2840" s="34"/>
      <c r="B2840" s="51"/>
      <c r="C2840" s="51"/>
      <c r="D2840" s="52"/>
      <c r="E2840" s="53"/>
      <c r="F2840" s="54"/>
      <c r="G2840" s="54"/>
      <c r="H2840" s="54"/>
      <c r="I2840" s="66"/>
      <c r="J2840" s="54"/>
      <c r="K2840" s="54"/>
      <c r="L2840" s="54"/>
      <c r="M2840" s="97" t="str">
        <f t="shared" si="242"/>
        <v/>
      </c>
      <c r="N2840" s="70"/>
      <c r="O2840" s="71" t="str">
        <f t="shared" si="246"/>
        <v/>
      </c>
      <c r="P2840" s="66"/>
      <c r="Q2840" s="66"/>
      <c r="R2840" s="54"/>
      <c r="S2840" s="82"/>
      <c r="T2840" s="83" t="str">
        <f t="shared" si="243"/>
        <v/>
      </c>
      <c r="U2840" s="10"/>
      <c r="V2840" s="41">
        <f>IF(AND(Q2840&lt;&gt;"",RIGHT(Q2840,3)&lt;&gt;""),IF(COUNTIF($Q$6:Q2840,Q2840)=1,1,0),0)</f>
        <v>0</v>
      </c>
      <c r="W2840" s="41" t="str">
        <f t="shared" si="244"/>
        <v/>
      </c>
      <c r="X2840" s="41" t="str">
        <f t="shared" si="245"/>
        <v/>
      </c>
    </row>
    <row r="2841" s="32" customFormat="1" hidden="1" customHeight="1" spans="1:24">
      <c r="A2841" s="34"/>
      <c r="B2841" s="51"/>
      <c r="C2841" s="51"/>
      <c r="D2841" s="52"/>
      <c r="E2841" s="53"/>
      <c r="F2841" s="54"/>
      <c r="G2841" s="54"/>
      <c r="H2841" s="54"/>
      <c r="I2841" s="66"/>
      <c r="J2841" s="54"/>
      <c r="K2841" s="54"/>
      <c r="L2841" s="54"/>
      <c r="M2841" s="97" t="str">
        <f t="shared" si="242"/>
        <v/>
      </c>
      <c r="N2841" s="70"/>
      <c r="O2841" s="71" t="str">
        <f t="shared" si="246"/>
        <v/>
      </c>
      <c r="P2841" s="66"/>
      <c r="Q2841" s="66"/>
      <c r="R2841" s="54"/>
      <c r="S2841" s="82"/>
      <c r="T2841" s="83" t="str">
        <f t="shared" si="243"/>
        <v/>
      </c>
      <c r="U2841" s="10"/>
      <c r="V2841" s="41">
        <f>IF(AND(Q2841&lt;&gt;"",RIGHT(Q2841,3)&lt;&gt;""),IF(COUNTIF($Q$6:Q2841,Q2841)=1,1,0),0)</f>
        <v>0</v>
      </c>
      <c r="W2841" s="41" t="str">
        <f t="shared" si="244"/>
        <v/>
      </c>
      <c r="X2841" s="41" t="str">
        <f t="shared" si="245"/>
        <v/>
      </c>
    </row>
    <row r="2842" s="32" customFormat="1" hidden="1" customHeight="1" spans="1:24">
      <c r="A2842" s="34"/>
      <c r="B2842" s="51"/>
      <c r="C2842" s="51"/>
      <c r="D2842" s="52"/>
      <c r="E2842" s="53"/>
      <c r="F2842" s="54"/>
      <c r="G2842" s="54"/>
      <c r="H2842" s="54"/>
      <c r="I2842" s="66"/>
      <c r="J2842" s="54"/>
      <c r="K2842" s="54"/>
      <c r="L2842" s="54"/>
      <c r="M2842" s="97" t="str">
        <f t="shared" si="242"/>
        <v/>
      </c>
      <c r="N2842" s="70"/>
      <c r="O2842" s="71" t="str">
        <f t="shared" si="246"/>
        <v/>
      </c>
      <c r="P2842" s="66"/>
      <c r="Q2842" s="66"/>
      <c r="R2842" s="54"/>
      <c r="S2842" s="82"/>
      <c r="T2842" s="83" t="str">
        <f t="shared" si="243"/>
        <v/>
      </c>
      <c r="U2842" s="10"/>
      <c r="V2842" s="41">
        <f>IF(AND(Q2842&lt;&gt;"",RIGHT(Q2842,3)&lt;&gt;""),IF(COUNTIF($Q$6:Q2842,Q2842)=1,1,0),0)</f>
        <v>0</v>
      </c>
      <c r="W2842" s="41" t="str">
        <f t="shared" si="244"/>
        <v/>
      </c>
      <c r="X2842" s="41" t="str">
        <f t="shared" si="245"/>
        <v/>
      </c>
    </row>
    <row r="2843" s="32" customFormat="1" hidden="1" customHeight="1" spans="1:24">
      <c r="A2843" s="34"/>
      <c r="B2843" s="51"/>
      <c r="C2843" s="51"/>
      <c r="D2843" s="52"/>
      <c r="E2843" s="53"/>
      <c r="F2843" s="54"/>
      <c r="G2843" s="54"/>
      <c r="H2843" s="54"/>
      <c r="I2843" s="66"/>
      <c r="J2843" s="54"/>
      <c r="K2843" s="54"/>
      <c r="L2843" s="54"/>
      <c r="M2843" s="97" t="str">
        <f t="shared" si="242"/>
        <v/>
      </c>
      <c r="N2843" s="70"/>
      <c r="O2843" s="71" t="str">
        <f t="shared" si="246"/>
        <v/>
      </c>
      <c r="P2843" s="66"/>
      <c r="Q2843" s="66"/>
      <c r="R2843" s="54"/>
      <c r="S2843" s="82"/>
      <c r="T2843" s="83" t="str">
        <f t="shared" si="243"/>
        <v/>
      </c>
      <c r="U2843" s="10"/>
      <c r="V2843" s="41">
        <f>IF(AND(Q2843&lt;&gt;"",RIGHT(Q2843,3)&lt;&gt;""),IF(COUNTIF($Q$6:Q2843,Q2843)=1,1,0),0)</f>
        <v>0</v>
      </c>
      <c r="W2843" s="41" t="str">
        <f t="shared" si="244"/>
        <v/>
      </c>
      <c r="X2843" s="41" t="str">
        <f t="shared" si="245"/>
        <v/>
      </c>
    </row>
    <row r="2844" s="32" customFormat="1" hidden="1" customHeight="1" spans="1:24">
      <c r="A2844" s="34"/>
      <c r="B2844" s="51"/>
      <c r="C2844" s="51"/>
      <c r="D2844" s="52"/>
      <c r="E2844" s="53"/>
      <c r="F2844" s="54"/>
      <c r="G2844" s="54"/>
      <c r="H2844" s="54"/>
      <c r="I2844" s="66"/>
      <c r="J2844" s="54"/>
      <c r="K2844" s="54"/>
      <c r="L2844" s="54"/>
      <c r="M2844" s="97" t="str">
        <f t="shared" si="242"/>
        <v/>
      </c>
      <c r="N2844" s="70"/>
      <c r="O2844" s="71" t="str">
        <f t="shared" si="246"/>
        <v/>
      </c>
      <c r="P2844" s="66"/>
      <c r="Q2844" s="66"/>
      <c r="R2844" s="54"/>
      <c r="S2844" s="82"/>
      <c r="T2844" s="83" t="str">
        <f t="shared" si="243"/>
        <v/>
      </c>
      <c r="U2844" s="10"/>
      <c r="V2844" s="41">
        <f>IF(AND(Q2844&lt;&gt;"",RIGHT(Q2844,3)&lt;&gt;""),IF(COUNTIF($Q$6:Q2844,Q2844)=1,1,0),0)</f>
        <v>0</v>
      </c>
      <c r="W2844" s="41" t="str">
        <f t="shared" si="244"/>
        <v/>
      </c>
      <c r="X2844" s="41" t="str">
        <f t="shared" si="245"/>
        <v/>
      </c>
    </row>
    <row r="2845" s="32" customFormat="1" hidden="1" customHeight="1" spans="1:24">
      <c r="A2845" s="34"/>
      <c r="B2845" s="51"/>
      <c r="C2845" s="51"/>
      <c r="D2845" s="52"/>
      <c r="E2845" s="53"/>
      <c r="F2845" s="54"/>
      <c r="G2845" s="54"/>
      <c r="H2845" s="54"/>
      <c r="I2845" s="66"/>
      <c r="J2845" s="54"/>
      <c r="K2845" s="54"/>
      <c r="L2845" s="54"/>
      <c r="M2845" s="97" t="str">
        <f t="shared" si="242"/>
        <v/>
      </c>
      <c r="N2845" s="70"/>
      <c r="O2845" s="71" t="str">
        <f t="shared" si="246"/>
        <v/>
      </c>
      <c r="P2845" s="66"/>
      <c r="Q2845" s="66"/>
      <c r="R2845" s="54"/>
      <c r="S2845" s="82"/>
      <c r="T2845" s="83" t="str">
        <f t="shared" si="243"/>
        <v/>
      </c>
      <c r="U2845" s="10"/>
      <c r="V2845" s="41">
        <f>IF(AND(Q2845&lt;&gt;"",RIGHT(Q2845,3)&lt;&gt;""),IF(COUNTIF($Q$6:Q2845,Q2845)=1,1,0),0)</f>
        <v>0</v>
      </c>
      <c r="W2845" s="41" t="str">
        <f t="shared" si="244"/>
        <v/>
      </c>
      <c r="X2845" s="41" t="str">
        <f t="shared" si="245"/>
        <v/>
      </c>
    </row>
    <row r="2846" s="32" customFormat="1" hidden="1" customHeight="1" spans="1:24">
      <c r="A2846" s="34"/>
      <c r="B2846" s="51"/>
      <c r="C2846" s="51"/>
      <c r="D2846" s="52"/>
      <c r="E2846" s="53"/>
      <c r="F2846" s="54"/>
      <c r="G2846" s="54"/>
      <c r="H2846" s="54"/>
      <c r="I2846" s="66"/>
      <c r="J2846" s="54"/>
      <c r="K2846" s="54"/>
      <c r="L2846" s="54"/>
      <c r="M2846" s="97" t="str">
        <f t="shared" si="242"/>
        <v/>
      </c>
      <c r="N2846" s="70"/>
      <c r="O2846" s="71" t="str">
        <f t="shared" si="246"/>
        <v/>
      </c>
      <c r="P2846" s="66"/>
      <c r="Q2846" s="66"/>
      <c r="R2846" s="54"/>
      <c r="S2846" s="82"/>
      <c r="T2846" s="83" t="str">
        <f t="shared" si="243"/>
        <v/>
      </c>
      <c r="U2846" s="10"/>
      <c r="V2846" s="41">
        <f>IF(AND(Q2846&lt;&gt;"",RIGHT(Q2846,3)&lt;&gt;""),IF(COUNTIF($Q$6:Q2846,Q2846)=1,1,0),0)</f>
        <v>0</v>
      </c>
      <c r="W2846" s="41" t="str">
        <f t="shared" si="244"/>
        <v/>
      </c>
      <c r="X2846" s="41" t="str">
        <f t="shared" si="245"/>
        <v/>
      </c>
    </row>
    <row r="2847" s="32" customFormat="1" hidden="1" customHeight="1" spans="1:24">
      <c r="A2847" s="34"/>
      <c r="B2847" s="51"/>
      <c r="C2847" s="51"/>
      <c r="D2847" s="52"/>
      <c r="E2847" s="53"/>
      <c r="F2847" s="54"/>
      <c r="G2847" s="54"/>
      <c r="H2847" s="54"/>
      <c r="I2847" s="66"/>
      <c r="J2847" s="54"/>
      <c r="K2847" s="54"/>
      <c r="L2847" s="54"/>
      <c r="M2847" s="97" t="str">
        <f t="shared" si="242"/>
        <v/>
      </c>
      <c r="N2847" s="70"/>
      <c r="O2847" s="71" t="str">
        <f t="shared" si="246"/>
        <v/>
      </c>
      <c r="P2847" s="66"/>
      <c r="Q2847" s="66"/>
      <c r="R2847" s="54"/>
      <c r="S2847" s="82"/>
      <c r="T2847" s="83" t="str">
        <f t="shared" si="243"/>
        <v/>
      </c>
      <c r="U2847" s="10"/>
      <c r="V2847" s="41">
        <f>IF(AND(Q2847&lt;&gt;"",RIGHT(Q2847,3)&lt;&gt;""),IF(COUNTIF($Q$6:Q2847,Q2847)=1,1,0),0)</f>
        <v>0</v>
      </c>
      <c r="W2847" s="41" t="str">
        <f t="shared" si="244"/>
        <v/>
      </c>
      <c r="X2847" s="41" t="str">
        <f t="shared" si="245"/>
        <v/>
      </c>
    </row>
    <row r="2848" s="32" customFormat="1" hidden="1" customHeight="1" spans="1:24">
      <c r="A2848" s="34"/>
      <c r="B2848" s="51"/>
      <c r="C2848" s="51"/>
      <c r="D2848" s="52"/>
      <c r="E2848" s="53"/>
      <c r="F2848" s="54"/>
      <c r="G2848" s="54"/>
      <c r="H2848" s="54"/>
      <c r="I2848" s="66"/>
      <c r="J2848" s="54"/>
      <c r="K2848" s="54"/>
      <c r="L2848" s="54"/>
      <c r="M2848" s="97" t="str">
        <f t="shared" si="242"/>
        <v/>
      </c>
      <c r="N2848" s="70"/>
      <c r="O2848" s="71" t="str">
        <f t="shared" si="246"/>
        <v/>
      </c>
      <c r="P2848" s="66"/>
      <c r="Q2848" s="66"/>
      <c r="R2848" s="54"/>
      <c r="S2848" s="82"/>
      <c r="T2848" s="83" t="str">
        <f t="shared" si="243"/>
        <v/>
      </c>
      <c r="U2848" s="10"/>
      <c r="V2848" s="41">
        <f>IF(AND(Q2848&lt;&gt;"",RIGHT(Q2848,3)&lt;&gt;""),IF(COUNTIF($Q$6:Q2848,Q2848)=1,1,0),0)</f>
        <v>0</v>
      </c>
      <c r="W2848" s="41" t="str">
        <f t="shared" si="244"/>
        <v/>
      </c>
      <c r="X2848" s="41" t="str">
        <f t="shared" si="245"/>
        <v/>
      </c>
    </row>
    <row r="2849" s="32" customFormat="1" hidden="1" customHeight="1" spans="1:24">
      <c r="A2849" s="34"/>
      <c r="B2849" s="51"/>
      <c r="C2849" s="51"/>
      <c r="D2849" s="52"/>
      <c r="E2849" s="53"/>
      <c r="F2849" s="54"/>
      <c r="G2849" s="54"/>
      <c r="H2849" s="54"/>
      <c r="I2849" s="66"/>
      <c r="J2849" s="54"/>
      <c r="K2849" s="54"/>
      <c r="L2849" s="54"/>
      <c r="M2849" s="97" t="str">
        <f t="shared" si="242"/>
        <v/>
      </c>
      <c r="N2849" s="70"/>
      <c r="O2849" s="71" t="str">
        <f t="shared" si="246"/>
        <v/>
      </c>
      <c r="P2849" s="66"/>
      <c r="Q2849" s="66"/>
      <c r="R2849" s="54"/>
      <c r="S2849" s="82"/>
      <c r="T2849" s="83" t="str">
        <f t="shared" si="243"/>
        <v/>
      </c>
      <c r="U2849" s="10"/>
      <c r="V2849" s="41">
        <f>IF(AND(Q2849&lt;&gt;"",RIGHT(Q2849,3)&lt;&gt;""),IF(COUNTIF($Q$6:Q2849,Q2849)=1,1,0),0)</f>
        <v>0</v>
      </c>
      <c r="W2849" s="41" t="str">
        <f t="shared" si="244"/>
        <v/>
      </c>
      <c r="X2849" s="41" t="str">
        <f t="shared" si="245"/>
        <v/>
      </c>
    </row>
    <row r="2850" s="32" customFormat="1" hidden="1" customHeight="1" spans="1:24">
      <c r="A2850" s="34"/>
      <c r="B2850" s="51"/>
      <c r="C2850" s="51"/>
      <c r="D2850" s="52"/>
      <c r="E2850" s="53"/>
      <c r="F2850" s="54"/>
      <c r="G2850" s="54"/>
      <c r="H2850" s="54"/>
      <c r="I2850" s="66"/>
      <c r="J2850" s="54"/>
      <c r="K2850" s="54"/>
      <c r="L2850" s="54"/>
      <c r="M2850" s="97" t="str">
        <f t="shared" si="242"/>
        <v/>
      </c>
      <c r="N2850" s="70"/>
      <c r="O2850" s="71" t="str">
        <f t="shared" si="246"/>
        <v/>
      </c>
      <c r="P2850" s="66"/>
      <c r="Q2850" s="66"/>
      <c r="R2850" s="54"/>
      <c r="S2850" s="82"/>
      <c r="T2850" s="83" t="str">
        <f t="shared" si="243"/>
        <v/>
      </c>
      <c r="U2850" s="10"/>
      <c r="V2850" s="41">
        <f>IF(AND(Q2850&lt;&gt;"",RIGHT(Q2850,3)&lt;&gt;""),IF(COUNTIF($Q$6:Q2850,Q2850)=1,1,0),0)</f>
        <v>0</v>
      </c>
      <c r="W2850" s="41" t="str">
        <f t="shared" si="244"/>
        <v/>
      </c>
      <c r="X2850" s="41" t="str">
        <f t="shared" si="245"/>
        <v/>
      </c>
    </row>
    <row r="2851" s="32" customFormat="1" hidden="1" customHeight="1" spans="1:24">
      <c r="A2851" s="34"/>
      <c r="B2851" s="51"/>
      <c r="C2851" s="51"/>
      <c r="D2851" s="52"/>
      <c r="E2851" s="53"/>
      <c r="F2851" s="54"/>
      <c r="G2851" s="54"/>
      <c r="H2851" s="54"/>
      <c r="I2851" s="66"/>
      <c r="J2851" s="54"/>
      <c r="K2851" s="54"/>
      <c r="L2851" s="54"/>
      <c r="M2851" s="97" t="str">
        <f t="shared" si="242"/>
        <v/>
      </c>
      <c r="N2851" s="70"/>
      <c r="O2851" s="71" t="str">
        <f t="shared" si="246"/>
        <v/>
      </c>
      <c r="P2851" s="66"/>
      <c r="Q2851" s="66"/>
      <c r="R2851" s="54"/>
      <c r="S2851" s="82"/>
      <c r="T2851" s="83" t="str">
        <f t="shared" si="243"/>
        <v/>
      </c>
      <c r="U2851" s="10"/>
      <c r="V2851" s="41">
        <f>IF(AND(Q2851&lt;&gt;"",RIGHT(Q2851,3)&lt;&gt;""),IF(COUNTIF($Q$6:Q2851,Q2851)=1,1,0),0)</f>
        <v>0</v>
      </c>
      <c r="W2851" s="41" t="str">
        <f t="shared" si="244"/>
        <v/>
      </c>
      <c r="X2851" s="41" t="str">
        <f t="shared" si="245"/>
        <v/>
      </c>
    </row>
    <row r="2852" s="32" customFormat="1" hidden="1" customHeight="1" spans="1:24">
      <c r="A2852" s="34"/>
      <c r="B2852" s="51"/>
      <c r="C2852" s="51"/>
      <c r="D2852" s="52"/>
      <c r="E2852" s="53"/>
      <c r="F2852" s="54"/>
      <c r="G2852" s="54"/>
      <c r="H2852" s="54"/>
      <c r="I2852" s="66"/>
      <c r="J2852" s="54"/>
      <c r="K2852" s="54"/>
      <c r="L2852" s="54"/>
      <c r="M2852" s="97" t="str">
        <f t="shared" ref="M2852:M2915" si="247">IF(L2852="","",HYPERLINK(_xlfn.CONCAT($L$4,L2852,".jpg"),"Open File"))</f>
        <v/>
      </c>
      <c r="N2852" s="70"/>
      <c r="O2852" s="71" t="str">
        <f t="shared" si="246"/>
        <v/>
      </c>
      <c r="P2852" s="66"/>
      <c r="Q2852" s="66"/>
      <c r="R2852" s="54"/>
      <c r="S2852" s="82"/>
      <c r="T2852" s="83" t="str">
        <f t="shared" ref="T2852:T2915" si="248">IF(S2852="","",HYPERLINK(_xlfn.CONCAT($S$4,S2852,".jpg"),"Open File"))</f>
        <v/>
      </c>
      <c r="U2852" s="10"/>
      <c r="V2852" s="41">
        <f>IF(AND(Q2852&lt;&gt;"",RIGHT(Q2852,3)&lt;&gt;""),IF(COUNTIF($Q$6:Q2852,Q2852)=1,1,0),0)</f>
        <v>0</v>
      </c>
      <c r="W2852" s="41" t="str">
        <f t="shared" ref="W2852:W2915" si="249">IF(AND(J2852&lt;&gt;"",K2852&lt;&gt;""),_xlfn.CONCAT(SUBSTITUTE(J2852,"/","."),"-",K2852),"")</f>
        <v/>
      </c>
      <c r="X2852" s="41" t="str">
        <f t="shared" ref="X2852:X2915" si="250">IF(AND(Q2852&lt;&gt;"",R2852&lt;&gt;""),_xlfn.CONCAT(SUBSTITUTE(Q2852,"/","."),"-",R2852),"")</f>
        <v/>
      </c>
    </row>
    <row r="2853" s="32" customFormat="1" hidden="1" customHeight="1" spans="1:24">
      <c r="A2853" s="34"/>
      <c r="B2853" s="51"/>
      <c r="C2853" s="51"/>
      <c r="D2853" s="52"/>
      <c r="E2853" s="53"/>
      <c r="F2853" s="54"/>
      <c r="G2853" s="54"/>
      <c r="H2853" s="54"/>
      <c r="I2853" s="66"/>
      <c r="J2853" s="54"/>
      <c r="K2853" s="54"/>
      <c r="L2853" s="54"/>
      <c r="M2853" s="97" t="str">
        <f t="shared" si="247"/>
        <v/>
      </c>
      <c r="N2853" s="70"/>
      <c r="O2853" s="71" t="str">
        <f t="shared" si="246"/>
        <v/>
      </c>
      <c r="P2853" s="66"/>
      <c r="Q2853" s="66"/>
      <c r="R2853" s="54"/>
      <c r="S2853" s="82"/>
      <c r="T2853" s="83" t="str">
        <f t="shared" si="248"/>
        <v/>
      </c>
      <c r="U2853" s="10"/>
      <c r="V2853" s="41">
        <f>IF(AND(Q2853&lt;&gt;"",RIGHT(Q2853,3)&lt;&gt;""),IF(COUNTIF($Q$6:Q2853,Q2853)=1,1,0),0)</f>
        <v>0</v>
      </c>
      <c r="W2853" s="41" t="str">
        <f t="shared" si="249"/>
        <v/>
      </c>
      <c r="X2853" s="41" t="str">
        <f t="shared" si="250"/>
        <v/>
      </c>
    </row>
    <row r="2854" s="32" customFormat="1" hidden="1" customHeight="1" spans="1:24">
      <c r="A2854" s="34"/>
      <c r="B2854" s="51"/>
      <c r="C2854" s="51"/>
      <c r="D2854" s="52"/>
      <c r="E2854" s="53"/>
      <c r="F2854" s="54"/>
      <c r="G2854" s="54"/>
      <c r="H2854" s="54"/>
      <c r="I2854" s="66"/>
      <c r="J2854" s="54"/>
      <c r="K2854" s="54"/>
      <c r="L2854" s="54"/>
      <c r="M2854" s="97" t="str">
        <f t="shared" si="247"/>
        <v/>
      </c>
      <c r="N2854" s="70"/>
      <c r="O2854" s="71" t="str">
        <f t="shared" si="246"/>
        <v/>
      </c>
      <c r="P2854" s="66"/>
      <c r="Q2854" s="66"/>
      <c r="R2854" s="54"/>
      <c r="S2854" s="82"/>
      <c r="T2854" s="83" t="str">
        <f t="shared" si="248"/>
        <v/>
      </c>
      <c r="U2854" s="10"/>
      <c r="V2854" s="41">
        <f>IF(AND(Q2854&lt;&gt;"",RIGHT(Q2854,3)&lt;&gt;""),IF(COUNTIF($Q$6:Q2854,Q2854)=1,1,0),0)</f>
        <v>0</v>
      </c>
      <c r="W2854" s="41" t="str">
        <f t="shared" si="249"/>
        <v/>
      </c>
      <c r="X2854" s="41" t="str">
        <f t="shared" si="250"/>
        <v/>
      </c>
    </row>
    <row r="2855" s="32" customFormat="1" hidden="1" customHeight="1" spans="1:24">
      <c r="A2855" s="34"/>
      <c r="B2855" s="51"/>
      <c r="C2855" s="51"/>
      <c r="D2855" s="52"/>
      <c r="E2855" s="53"/>
      <c r="F2855" s="54"/>
      <c r="G2855" s="54"/>
      <c r="H2855" s="54"/>
      <c r="I2855" s="66"/>
      <c r="J2855" s="54"/>
      <c r="K2855" s="54"/>
      <c r="L2855" s="54"/>
      <c r="M2855" s="97" t="str">
        <f t="shared" si="247"/>
        <v/>
      </c>
      <c r="N2855" s="70"/>
      <c r="O2855" s="71" t="str">
        <f t="shared" si="246"/>
        <v/>
      </c>
      <c r="P2855" s="66"/>
      <c r="Q2855" s="66"/>
      <c r="R2855" s="54"/>
      <c r="S2855" s="82"/>
      <c r="T2855" s="83" t="str">
        <f t="shared" si="248"/>
        <v/>
      </c>
      <c r="U2855" s="10"/>
      <c r="V2855" s="41">
        <f>IF(AND(Q2855&lt;&gt;"",RIGHT(Q2855,3)&lt;&gt;""),IF(COUNTIF($Q$6:Q2855,Q2855)=1,1,0),0)</f>
        <v>0</v>
      </c>
      <c r="W2855" s="41" t="str">
        <f t="shared" si="249"/>
        <v/>
      </c>
      <c r="X2855" s="41" t="str">
        <f t="shared" si="250"/>
        <v/>
      </c>
    </row>
    <row r="2856" s="32" customFormat="1" hidden="1" customHeight="1" spans="1:24">
      <c r="A2856" s="34"/>
      <c r="B2856" s="51"/>
      <c r="C2856" s="51"/>
      <c r="D2856" s="52"/>
      <c r="E2856" s="53"/>
      <c r="F2856" s="54"/>
      <c r="G2856" s="54"/>
      <c r="H2856" s="54"/>
      <c r="I2856" s="66"/>
      <c r="J2856" s="54"/>
      <c r="K2856" s="54"/>
      <c r="L2856" s="54"/>
      <c r="M2856" s="97" t="str">
        <f t="shared" si="247"/>
        <v/>
      </c>
      <c r="N2856" s="70"/>
      <c r="O2856" s="71" t="str">
        <f t="shared" si="246"/>
        <v/>
      </c>
      <c r="P2856" s="66"/>
      <c r="Q2856" s="66"/>
      <c r="R2856" s="54"/>
      <c r="S2856" s="82"/>
      <c r="T2856" s="83" t="str">
        <f t="shared" si="248"/>
        <v/>
      </c>
      <c r="U2856" s="10"/>
      <c r="V2856" s="41">
        <f>IF(AND(Q2856&lt;&gt;"",RIGHT(Q2856,3)&lt;&gt;""),IF(COUNTIF($Q$6:Q2856,Q2856)=1,1,0),0)</f>
        <v>0</v>
      </c>
      <c r="W2856" s="41" t="str">
        <f t="shared" si="249"/>
        <v/>
      </c>
      <c r="X2856" s="41" t="str">
        <f t="shared" si="250"/>
        <v/>
      </c>
    </row>
    <row r="2857" s="32" customFormat="1" hidden="1" customHeight="1" spans="1:24">
      <c r="A2857" s="34"/>
      <c r="B2857" s="51"/>
      <c r="C2857" s="51"/>
      <c r="D2857" s="52"/>
      <c r="E2857" s="53"/>
      <c r="F2857" s="54"/>
      <c r="G2857" s="54"/>
      <c r="H2857" s="54"/>
      <c r="I2857" s="66"/>
      <c r="J2857" s="54"/>
      <c r="K2857" s="54"/>
      <c r="L2857" s="54"/>
      <c r="M2857" s="97" t="str">
        <f t="shared" si="247"/>
        <v/>
      </c>
      <c r="N2857" s="70"/>
      <c r="O2857" s="71" t="str">
        <f t="shared" si="246"/>
        <v/>
      </c>
      <c r="P2857" s="66"/>
      <c r="Q2857" s="66"/>
      <c r="R2857" s="54"/>
      <c r="S2857" s="82"/>
      <c r="T2857" s="83" t="str">
        <f t="shared" si="248"/>
        <v/>
      </c>
      <c r="U2857" s="10"/>
      <c r="V2857" s="41">
        <f>IF(AND(Q2857&lt;&gt;"",RIGHT(Q2857,3)&lt;&gt;""),IF(COUNTIF($Q$6:Q2857,Q2857)=1,1,0),0)</f>
        <v>0</v>
      </c>
      <c r="W2857" s="41" t="str">
        <f t="shared" si="249"/>
        <v/>
      </c>
      <c r="X2857" s="41" t="str">
        <f t="shared" si="250"/>
        <v/>
      </c>
    </row>
    <row r="2858" s="32" customFormat="1" hidden="1" customHeight="1" spans="1:24">
      <c r="A2858" s="34"/>
      <c r="B2858" s="51"/>
      <c r="C2858" s="51"/>
      <c r="D2858" s="52"/>
      <c r="E2858" s="53"/>
      <c r="F2858" s="54"/>
      <c r="G2858" s="54"/>
      <c r="H2858" s="54"/>
      <c r="I2858" s="66"/>
      <c r="J2858" s="54"/>
      <c r="K2858" s="54"/>
      <c r="L2858" s="54"/>
      <c r="M2858" s="97" t="str">
        <f t="shared" si="247"/>
        <v/>
      </c>
      <c r="N2858" s="70"/>
      <c r="O2858" s="71" t="str">
        <f t="shared" si="246"/>
        <v/>
      </c>
      <c r="P2858" s="66"/>
      <c r="Q2858" s="66"/>
      <c r="R2858" s="54"/>
      <c r="S2858" s="82"/>
      <c r="T2858" s="83" t="str">
        <f t="shared" si="248"/>
        <v/>
      </c>
      <c r="U2858" s="10"/>
      <c r="V2858" s="41">
        <f>IF(AND(Q2858&lt;&gt;"",RIGHT(Q2858,3)&lt;&gt;""),IF(COUNTIF($Q$6:Q2858,Q2858)=1,1,0),0)</f>
        <v>0</v>
      </c>
      <c r="W2858" s="41" t="str">
        <f t="shared" si="249"/>
        <v/>
      </c>
      <c r="X2858" s="41" t="str">
        <f t="shared" si="250"/>
        <v/>
      </c>
    </row>
    <row r="2859" s="32" customFormat="1" hidden="1" customHeight="1" spans="1:24">
      <c r="A2859" s="34"/>
      <c r="B2859" s="51"/>
      <c r="C2859" s="51"/>
      <c r="D2859" s="52"/>
      <c r="E2859" s="53"/>
      <c r="F2859" s="54"/>
      <c r="G2859" s="54"/>
      <c r="H2859" s="54"/>
      <c r="I2859" s="66"/>
      <c r="J2859" s="54"/>
      <c r="K2859" s="54"/>
      <c r="L2859" s="54"/>
      <c r="M2859" s="97" t="str">
        <f t="shared" si="247"/>
        <v/>
      </c>
      <c r="N2859" s="70"/>
      <c r="O2859" s="71" t="str">
        <f t="shared" si="246"/>
        <v/>
      </c>
      <c r="P2859" s="66"/>
      <c r="Q2859" s="66"/>
      <c r="R2859" s="54"/>
      <c r="S2859" s="82"/>
      <c r="T2859" s="83" t="str">
        <f t="shared" si="248"/>
        <v/>
      </c>
      <c r="U2859" s="10"/>
      <c r="V2859" s="41">
        <f>IF(AND(Q2859&lt;&gt;"",RIGHT(Q2859,3)&lt;&gt;""),IF(COUNTIF($Q$6:Q2859,Q2859)=1,1,0),0)</f>
        <v>0</v>
      </c>
      <c r="W2859" s="41" t="str">
        <f t="shared" si="249"/>
        <v/>
      </c>
      <c r="X2859" s="41" t="str">
        <f t="shared" si="250"/>
        <v/>
      </c>
    </row>
    <row r="2860" s="32" customFormat="1" hidden="1" customHeight="1" spans="1:24">
      <c r="A2860" s="34"/>
      <c r="B2860" s="51"/>
      <c r="C2860" s="51"/>
      <c r="D2860" s="52"/>
      <c r="E2860" s="53"/>
      <c r="F2860" s="54"/>
      <c r="G2860" s="54"/>
      <c r="H2860" s="54"/>
      <c r="I2860" s="66"/>
      <c r="J2860" s="54"/>
      <c r="K2860" s="54"/>
      <c r="L2860" s="54"/>
      <c r="M2860" s="97" t="str">
        <f t="shared" si="247"/>
        <v/>
      </c>
      <c r="N2860" s="70"/>
      <c r="O2860" s="71" t="str">
        <f t="shared" si="246"/>
        <v/>
      </c>
      <c r="P2860" s="66"/>
      <c r="Q2860" s="66"/>
      <c r="R2860" s="54"/>
      <c r="S2860" s="82"/>
      <c r="T2860" s="83" t="str">
        <f t="shared" si="248"/>
        <v/>
      </c>
      <c r="U2860" s="10"/>
      <c r="V2860" s="41">
        <f>IF(AND(Q2860&lt;&gt;"",RIGHT(Q2860,3)&lt;&gt;""),IF(COUNTIF($Q$6:Q2860,Q2860)=1,1,0),0)</f>
        <v>0</v>
      </c>
      <c r="W2860" s="41" t="str">
        <f t="shared" si="249"/>
        <v/>
      </c>
      <c r="X2860" s="41" t="str">
        <f t="shared" si="250"/>
        <v/>
      </c>
    </row>
    <row r="2861" s="32" customFormat="1" hidden="1" customHeight="1" spans="1:24">
      <c r="A2861" s="34"/>
      <c r="B2861" s="51"/>
      <c r="C2861" s="51"/>
      <c r="D2861" s="52"/>
      <c r="E2861" s="53"/>
      <c r="F2861" s="54"/>
      <c r="G2861" s="54"/>
      <c r="H2861" s="54"/>
      <c r="I2861" s="66"/>
      <c r="J2861" s="54"/>
      <c r="K2861" s="54"/>
      <c r="L2861" s="54"/>
      <c r="M2861" s="97" t="str">
        <f t="shared" si="247"/>
        <v/>
      </c>
      <c r="N2861" s="70"/>
      <c r="O2861" s="71" t="str">
        <f t="shared" si="246"/>
        <v/>
      </c>
      <c r="P2861" s="66"/>
      <c r="Q2861" s="66"/>
      <c r="R2861" s="54"/>
      <c r="S2861" s="82"/>
      <c r="T2861" s="83" t="str">
        <f t="shared" si="248"/>
        <v/>
      </c>
      <c r="U2861" s="10"/>
      <c r="V2861" s="41">
        <f>IF(AND(Q2861&lt;&gt;"",RIGHT(Q2861,3)&lt;&gt;""),IF(COUNTIF($Q$6:Q2861,Q2861)=1,1,0),0)</f>
        <v>0</v>
      </c>
      <c r="W2861" s="41" t="str">
        <f t="shared" si="249"/>
        <v/>
      </c>
      <c r="X2861" s="41" t="str">
        <f t="shared" si="250"/>
        <v/>
      </c>
    </row>
    <row r="2862" s="32" customFormat="1" hidden="1" customHeight="1" spans="1:24">
      <c r="A2862" s="34"/>
      <c r="B2862" s="51"/>
      <c r="C2862" s="51"/>
      <c r="D2862" s="52"/>
      <c r="E2862" s="53"/>
      <c r="F2862" s="54"/>
      <c r="G2862" s="54"/>
      <c r="H2862" s="54"/>
      <c r="I2862" s="66"/>
      <c r="J2862" s="54"/>
      <c r="K2862" s="54"/>
      <c r="L2862" s="54"/>
      <c r="M2862" s="97" t="str">
        <f t="shared" si="247"/>
        <v/>
      </c>
      <c r="N2862" s="70"/>
      <c r="O2862" s="71" t="str">
        <f t="shared" si="246"/>
        <v/>
      </c>
      <c r="P2862" s="66"/>
      <c r="Q2862" s="66"/>
      <c r="R2862" s="54"/>
      <c r="S2862" s="82"/>
      <c r="T2862" s="83" t="str">
        <f t="shared" si="248"/>
        <v/>
      </c>
      <c r="U2862" s="10"/>
      <c r="V2862" s="41">
        <f>IF(AND(Q2862&lt;&gt;"",RIGHT(Q2862,3)&lt;&gt;""),IF(COUNTIF($Q$6:Q2862,Q2862)=1,1,0),0)</f>
        <v>0</v>
      </c>
      <c r="W2862" s="41" t="str">
        <f t="shared" si="249"/>
        <v/>
      </c>
      <c r="X2862" s="41" t="str">
        <f t="shared" si="250"/>
        <v/>
      </c>
    </row>
    <row r="2863" s="32" customFormat="1" hidden="1" customHeight="1" spans="1:24">
      <c r="A2863" s="34"/>
      <c r="B2863" s="51"/>
      <c r="C2863" s="51"/>
      <c r="D2863" s="52"/>
      <c r="E2863" s="53"/>
      <c r="F2863" s="54"/>
      <c r="G2863" s="54"/>
      <c r="H2863" s="54"/>
      <c r="I2863" s="66"/>
      <c r="J2863" s="54"/>
      <c r="K2863" s="54"/>
      <c r="L2863" s="54"/>
      <c r="M2863" s="97" t="str">
        <f t="shared" si="247"/>
        <v/>
      </c>
      <c r="N2863" s="70"/>
      <c r="O2863" s="71" t="str">
        <f t="shared" si="246"/>
        <v/>
      </c>
      <c r="P2863" s="66"/>
      <c r="Q2863" s="66"/>
      <c r="R2863" s="54"/>
      <c r="S2863" s="82"/>
      <c r="T2863" s="83" t="str">
        <f t="shared" si="248"/>
        <v/>
      </c>
      <c r="U2863" s="10"/>
      <c r="V2863" s="41">
        <f>IF(AND(Q2863&lt;&gt;"",RIGHT(Q2863,3)&lt;&gt;""),IF(COUNTIF($Q$6:Q2863,Q2863)=1,1,0),0)</f>
        <v>0</v>
      </c>
      <c r="W2863" s="41" t="str">
        <f t="shared" si="249"/>
        <v/>
      </c>
      <c r="X2863" s="41" t="str">
        <f t="shared" si="250"/>
        <v/>
      </c>
    </row>
    <row r="2864" s="32" customFormat="1" hidden="1" customHeight="1" spans="1:24">
      <c r="A2864" s="34"/>
      <c r="B2864" s="51"/>
      <c r="C2864" s="51"/>
      <c r="D2864" s="52"/>
      <c r="E2864" s="53"/>
      <c r="F2864" s="54"/>
      <c r="G2864" s="54"/>
      <c r="H2864" s="54"/>
      <c r="I2864" s="66"/>
      <c r="J2864" s="54"/>
      <c r="K2864" s="54"/>
      <c r="L2864" s="54"/>
      <c r="M2864" s="97" t="str">
        <f t="shared" si="247"/>
        <v/>
      </c>
      <c r="N2864" s="70"/>
      <c r="O2864" s="71" t="str">
        <f t="shared" si="246"/>
        <v/>
      </c>
      <c r="P2864" s="66"/>
      <c r="Q2864" s="66"/>
      <c r="R2864" s="54"/>
      <c r="S2864" s="82"/>
      <c r="T2864" s="83" t="str">
        <f t="shared" si="248"/>
        <v/>
      </c>
      <c r="U2864" s="10"/>
      <c r="V2864" s="41">
        <f>IF(AND(Q2864&lt;&gt;"",RIGHT(Q2864,3)&lt;&gt;""),IF(COUNTIF($Q$6:Q2864,Q2864)=1,1,0),0)</f>
        <v>0</v>
      </c>
      <c r="W2864" s="41" t="str">
        <f t="shared" si="249"/>
        <v/>
      </c>
      <c r="X2864" s="41" t="str">
        <f t="shared" si="250"/>
        <v/>
      </c>
    </row>
    <row r="2865" s="32" customFormat="1" hidden="1" customHeight="1" spans="1:24">
      <c r="A2865" s="34"/>
      <c r="B2865" s="51"/>
      <c r="C2865" s="51"/>
      <c r="D2865" s="52"/>
      <c r="E2865" s="53"/>
      <c r="F2865" s="54"/>
      <c r="G2865" s="54"/>
      <c r="H2865" s="54"/>
      <c r="I2865" s="66"/>
      <c r="J2865" s="54"/>
      <c r="K2865" s="54"/>
      <c r="L2865" s="54"/>
      <c r="M2865" s="97" t="str">
        <f t="shared" si="247"/>
        <v/>
      </c>
      <c r="N2865" s="70"/>
      <c r="O2865" s="71" t="str">
        <f t="shared" ref="O2865:O2928" si="251">IF(AND(Q2865&lt;&gt;"",T2865&lt;&gt;""),"PASSIVE",IF(AND(J2865&lt;&gt;"",M2865&lt;&gt;""),"ACTIVE",""))</f>
        <v/>
      </c>
      <c r="P2865" s="66"/>
      <c r="Q2865" s="66"/>
      <c r="R2865" s="54"/>
      <c r="S2865" s="82"/>
      <c r="T2865" s="83" t="str">
        <f t="shared" si="248"/>
        <v/>
      </c>
      <c r="U2865" s="10"/>
      <c r="V2865" s="41">
        <f>IF(AND(Q2865&lt;&gt;"",RIGHT(Q2865,3)&lt;&gt;""),IF(COUNTIF($Q$6:Q2865,Q2865)=1,1,0),0)</f>
        <v>0</v>
      </c>
      <c r="W2865" s="41" t="str">
        <f t="shared" si="249"/>
        <v/>
      </c>
      <c r="X2865" s="41" t="str">
        <f t="shared" si="250"/>
        <v/>
      </c>
    </row>
    <row r="2866" s="32" customFormat="1" hidden="1" customHeight="1" spans="1:24">
      <c r="A2866" s="34"/>
      <c r="B2866" s="51"/>
      <c r="C2866" s="51"/>
      <c r="D2866" s="52"/>
      <c r="E2866" s="53"/>
      <c r="F2866" s="54"/>
      <c r="G2866" s="54"/>
      <c r="H2866" s="54"/>
      <c r="I2866" s="66"/>
      <c r="J2866" s="54"/>
      <c r="K2866" s="54"/>
      <c r="L2866" s="54"/>
      <c r="M2866" s="97" t="str">
        <f t="shared" si="247"/>
        <v/>
      </c>
      <c r="N2866" s="70"/>
      <c r="O2866" s="71" t="str">
        <f t="shared" si="251"/>
        <v/>
      </c>
      <c r="P2866" s="66"/>
      <c r="Q2866" s="66"/>
      <c r="R2866" s="54"/>
      <c r="S2866" s="82"/>
      <c r="T2866" s="83" t="str">
        <f t="shared" si="248"/>
        <v/>
      </c>
      <c r="U2866" s="10"/>
      <c r="V2866" s="41">
        <f>IF(AND(Q2866&lt;&gt;"",RIGHT(Q2866,3)&lt;&gt;""),IF(COUNTIF($Q$6:Q2866,Q2866)=1,1,0),0)</f>
        <v>0</v>
      </c>
      <c r="W2866" s="41" t="str">
        <f t="shared" si="249"/>
        <v/>
      </c>
      <c r="X2866" s="41" t="str">
        <f t="shared" si="250"/>
        <v/>
      </c>
    </row>
    <row r="2867" s="32" customFormat="1" hidden="1" customHeight="1" spans="1:24">
      <c r="A2867" s="34"/>
      <c r="B2867" s="51"/>
      <c r="C2867" s="51"/>
      <c r="D2867" s="52"/>
      <c r="E2867" s="53"/>
      <c r="F2867" s="54"/>
      <c r="G2867" s="54"/>
      <c r="H2867" s="54"/>
      <c r="I2867" s="66"/>
      <c r="J2867" s="54"/>
      <c r="K2867" s="54"/>
      <c r="L2867" s="54"/>
      <c r="M2867" s="97" t="str">
        <f t="shared" si="247"/>
        <v/>
      </c>
      <c r="N2867" s="70"/>
      <c r="O2867" s="71" t="str">
        <f t="shared" si="251"/>
        <v/>
      </c>
      <c r="P2867" s="66"/>
      <c r="Q2867" s="66"/>
      <c r="R2867" s="54"/>
      <c r="S2867" s="82"/>
      <c r="T2867" s="83" t="str">
        <f t="shared" si="248"/>
        <v/>
      </c>
      <c r="U2867" s="10"/>
      <c r="V2867" s="41">
        <f>IF(AND(Q2867&lt;&gt;"",RIGHT(Q2867,3)&lt;&gt;""),IF(COUNTIF($Q$6:Q2867,Q2867)=1,1,0),0)</f>
        <v>0</v>
      </c>
      <c r="W2867" s="41" t="str">
        <f t="shared" si="249"/>
        <v/>
      </c>
      <c r="X2867" s="41" t="str">
        <f t="shared" si="250"/>
        <v/>
      </c>
    </row>
    <row r="2868" s="32" customFormat="1" hidden="1" customHeight="1" spans="1:24">
      <c r="A2868" s="34"/>
      <c r="B2868" s="51"/>
      <c r="C2868" s="51"/>
      <c r="D2868" s="52"/>
      <c r="E2868" s="53"/>
      <c r="F2868" s="54"/>
      <c r="G2868" s="54"/>
      <c r="H2868" s="54"/>
      <c r="I2868" s="66"/>
      <c r="J2868" s="54"/>
      <c r="K2868" s="54"/>
      <c r="L2868" s="54"/>
      <c r="M2868" s="97" t="str">
        <f t="shared" si="247"/>
        <v/>
      </c>
      <c r="N2868" s="70"/>
      <c r="O2868" s="71" t="str">
        <f t="shared" si="251"/>
        <v/>
      </c>
      <c r="P2868" s="66"/>
      <c r="Q2868" s="66"/>
      <c r="R2868" s="54"/>
      <c r="S2868" s="82"/>
      <c r="T2868" s="83" t="str">
        <f t="shared" si="248"/>
        <v/>
      </c>
      <c r="U2868" s="10"/>
      <c r="V2868" s="41">
        <f>IF(AND(Q2868&lt;&gt;"",RIGHT(Q2868,3)&lt;&gt;""),IF(COUNTIF($Q$6:Q2868,Q2868)=1,1,0),0)</f>
        <v>0</v>
      </c>
      <c r="W2868" s="41" t="str">
        <f t="shared" si="249"/>
        <v/>
      </c>
      <c r="X2868" s="41" t="str">
        <f t="shared" si="250"/>
        <v/>
      </c>
    </row>
    <row r="2869" s="32" customFormat="1" hidden="1" customHeight="1" spans="1:24">
      <c r="A2869" s="34"/>
      <c r="B2869" s="51"/>
      <c r="C2869" s="51"/>
      <c r="D2869" s="52"/>
      <c r="E2869" s="53"/>
      <c r="F2869" s="54"/>
      <c r="G2869" s="54"/>
      <c r="H2869" s="54"/>
      <c r="I2869" s="66"/>
      <c r="J2869" s="54"/>
      <c r="K2869" s="54"/>
      <c r="L2869" s="54"/>
      <c r="M2869" s="97" t="str">
        <f t="shared" si="247"/>
        <v/>
      </c>
      <c r="N2869" s="70"/>
      <c r="O2869" s="71" t="str">
        <f t="shared" si="251"/>
        <v/>
      </c>
      <c r="P2869" s="66"/>
      <c r="Q2869" s="66"/>
      <c r="R2869" s="54"/>
      <c r="S2869" s="82"/>
      <c r="T2869" s="83" t="str">
        <f t="shared" si="248"/>
        <v/>
      </c>
      <c r="U2869" s="10"/>
      <c r="V2869" s="41">
        <f>IF(AND(Q2869&lt;&gt;"",RIGHT(Q2869,3)&lt;&gt;""),IF(COUNTIF($Q$6:Q2869,Q2869)=1,1,0),0)</f>
        <v>0</v>
      </c>
      <c r="W2869" s="41" t="str">
        <f t="shared" si="249"/>
        <v/>
      </c>
      <c r="X2869" s="41" t="str">
        <f t="shared" si="250"/>
        <v/>
      </c>
    </row>
    <row r="2870" s="32" customFormat="1" hidden="1" customHeight="1" spans="1:24">
      <c r="A2870" s="34"/>
      <c r="B2870" s="51"/>
      <c r="C2870" s="51"/>
      <c r="D2870" s="52"/>
      <c r="E2870" s="53"/>
      <c r="F2870" s="54"/>
      <c r="G2870" s="54"/>
      <c r="H2870" s="54"/>
      <c r="I2870" s="66"/>
      <c r="J2870" s="54"/>
      <c r="K2870" s="54"/>
      <c r="L2870" s="54"/>
      <c r="M2870" s="97" t="str">
        <f t="shared" si="247"/>
        <v/>
      </c>
      <c r="N2870" s="70"/>
      <c r="O2870" s="71" t="str">
        <f t="shared" si="251"/>
        <v/>
      </c>
      <c r="P2870" s="66"/>
      <c r="Q2870" s="66"/>
      <c r="R2870" s="54"/>
      <c r="S2870" s="82"/>
      <c r="T2870" s="83" t="str">
        <f t="shared" si="248"/>
        <v/>
      </c>
      <c r="U2870" s="10"/>
      <c r="V2870" s="41">
        <f>IF(AND(Q2870&lt;&gt;"",RIGHT(Q2870,3)&lt;&gt;""),IF(COUNTIF($Q$6:Q2870,Q2870)=1,1,0),0)</f>
        <v>0</v>
      </c>
      <c r="W2870" s="41" t="str">
        <f t="shared" si="249"/>
        <v/>
      </c>
      <c r="X2870" s="41" t="str">
        <f t="shared" si="250"/>
        <v/>
      </c>
    </row>
    <row r="2871" s="32" customFormat="1" hidden="1" customHeight="1" spans="1:24">
      <c r="A2871" s="34"/>
      <c r="B2871" s="51"/>
      <c r="C2871" s="51"/>
      <c r="D2871" s="52"/>
      <c r="E2871" s="53"/>
      <c r="F2871" s="54"/>
      <c r="G2871" s="54"/>
      <c r="H2871" s="54"/>
      <c r="I2871" s="66"/>
      <c r="J2871" s="54"/>
      <c r="K2871" s="54"/>
      <c r="L2871" s="54"/>
      <c r="M2871" s="97" t="str">
        <f t="shared" si="247"/>
        <v/>
      </c>
      <c r="N2871" s="70"/>
      <c r="O2871" s="71" t="str">
        <f t="shared" si="251"/>
        <v/>
      </c>
      <c r="P2871" s="66"/>
      <c r="Q2871" s="66"/>
      <c r="R2871" s="54"/>
      <c r="S2871" s="82"/>
      <c r="T2871" s="83" t="str">
        <f t="shared" si="248"/>
        <v/>
      </c>
      <c r="U2871" s="10"/>
      <c r="V2871" s="41">
        <f>IF(AND(Q2871&lt;&gt;"",RIGHT(Q2871,3)&lt;&gt;""),IF(COUNTIF($Q$6:Q2871,Q2871)=1,1,0),0)</f>
        <v>0</v>
      </c>
      <c r="W2871" s="41" t="str">
        <f t="shared" si="249"/>
        <v/>
      </c>
      <c r="X2871" s="41" t="str">
        <f t="shared" si="250"/>
        <v/>
      </c>
    </row>
    <row r="2872" s="32" customFormat="1" hidden="1" customHeight="1" spans="1:24">
      <c r="A2872" s="34"/>
      <c r="B2872" s="51"/>
      <c r="C2872" s="51"/>
      <c r="D2872" s="52"/>
      <c r="E2872" s="53"/>
      <c r="F2872" s="54"/>
      <c r="G2872" s="54"/>
      <c r="H2872" s="54"/>
      <c r="I2872" s="66"/>
      <c r="J2872" s="54"/>
      <c r="K2872" s="54"/>
      <c r="L2872" s="54"/>
      <c r="M2872" s="97" t="str">
        <f t="shared" si="247"/>
        <v/>
      </c>
      <c r="N2872" s="70"/>
      <c r="O2872" s="71" t="str">
        <f t="shared" si="251"/>
        <v/>
      </c>
      <c r="P2872" s="66"/>
      <c r="Q2872" s="66"/>
      <c r="R2872" s="54"/>
      <c r="S2872" s="82"/>
      <c r="T2872" s="83" t="str">
        <f t="shared" si="248"/>
        <v/>
      </c>
      <c r="U2872" s="10"/>
      <c r="V2872" s="41">
        <f>IF(AND(Q2872&lt;&gt;"",RIGHT(Q2872,3)&lt;&gt;""),IF(COUNTIF($Q$6:Q2872,Q2872)=1,1,0),0)</f>
        <v>0</v>
      </c>
      <c r="W2872" s="41" t="str">
        <f t="shared" si="249"/>
        <v/>
      </c>
      <c r="X2872" s="41" t="str">
        <f t="shared" si="250"/>
        <v/>
      </c>
    </row>
    <row r="2873" s="32" customFormat="1" hidden="1" customHeight="1" spans="1:24">
      <c r="A2873" s="34"/>
      <c r="B2873" s="51"/>
      <c r="C2873" s="51"/>
      <c r="D2873" s="52"/>
      <c r="E2873" s="53"/>
      <c r="F2873" s="54"/>
      <c r="G2873" s="54"/>
      <c r="H2873" s="54"/>
      <c r="I2873" s="66"/>
      <c r="J2873" s="54"/>
      <c r="K2873" s="54"/>
      <c r="L2873" s="54"/>
      <c r="M2873" s="97" t="str">
        <f t="shared" si="247"/>
        <v/>
      </c>
      <c r="N2873" s="70"/>
      <c r="O2873" s="71" t="str">
        <f t="shared" si="251"/>
        <v/>
      </c>
      <c r="P2873" s="66"/>
      <c r="Q2873" s="66"/>
      <c r="R2873" s="54"/>
      <c r="S2873" s="82"/>
      <c r="T2873" s="83" t="str">
        <f t="shared" si="248"/>
        <v/>
      </c>
      <c r="U2873" s="10"/>
      <c r="V2873" s="41">
        <f>IF(AND(Q2873&lt;&gt;"",RIGHT(Q2873,3)&lt;&gt;""),IF(COUNTIF($Q$6:Q2873,Q2873)=1,1,0),0)</f>
        <v>0</v>
      </c>
      <c r="W2873" s="41" t="str">
        <f t="shared" si="249"/>
        <v/>
      </c>
      <c r="X2873" s="41" t="str">
        <f t="shared" si="250"/>
        <v/>
      </c>
    </row>
    <row r="2874" s="32" customFormat="1" hidden="1" customHeight="1" spans="1:24">
      <c r="A2874" s="34"/>
      <c r="B2874" s="51"/>
      <c r="C2874" s="51"/>
      <c r="D2874" s="52"/>
      <c r="E2874" s="53"/>
      <c r="F2874" s="54"/>
      <c r="G2874" s="54"/>
      <c r="H2874" s="54"/>
      <c r="I2874" s="66"/>
      <c r="J2874" s="54"/>
      <c r="K2874" s="54"/>
      <c r="L2874" s="54"/>
      <c r="M2874" s="97" t="str">
        <f t="shared" si="247"/>
        <v/>
      </c>
      <c r="N2874" s="70"/>
      <c r="O2874" s="71" t="str">
        <f t="shared" si="251"/>
        <v/>
      </c>
      <c r="P2874" s="66"/>
      <c r="Q2874" s="66"/>
      <c r="R2874" s="54"/>
      <c r="S2874" s="82"/>
      <c r="T2874" s="83" t="str">
        <f t="shared" si="248"/>
        <v/>
      </c>
      <c r="U2874" s="10"/>
      <c r="V2874" s="41">
        <f>IF(AND(Q2874&lt;&gt;"",RIGHT(Q2874,3)&lt;&gt;""),IF(COUNTIF($Q$6:Q2874,Q2874)=1,1,0),0)</f>
        <v>0</v>
      </c>
      <c r="W2874" s="41" t="str">
        <f t="shared" si="249"/>
        <v/>
      </c>
      <c r="X2874" s="41" t="str">
        <f t="shared" si="250"/>
        <v/>
      </c>
    </row>
    <row r="2875" s="32" customFormat="1" hidden="1" customHeight="1" spans="1:24">
      <c r="A2875" s="34"/>
      <c r="B2875" s="51"/>
      <c r="C2875" s="51"/>
      <c r="D2875" s="52"/>
      <c r="E2875" s="53"/>
      <c r="F2875" s="54"/>
      <c r="G2875" s="54"/>
      <c r="H2875" s="54"/>
      <c r="I2875" s="66"/>
      <c r="J2875" s="54"/>
      <c r="K2875" s="54"/>
      <c r="L2875" s="54"/>
      <c r="M2875" s="97" t="str">
        <f t="shared" si="247"/>
        <v/>
      </c>
      <c r="N2875" s="70"/>
      <c r="O2875" s="71" t="str">
        <f t="shared" si="251"/>
        <v/>
      </c>
      <c r="P2875" s="66"/>
      <c r="Q2875" s="66"/>
      <c r="R2875" s="54"/>
      <c r="S2875" s="82"/>
      <c r="T2875" s="83" t="str">
        <f t="shared" si="248"/>
        <v/>
      </c>
      <c r="U2875" s="10"/>
      <c r="V2875" s="41">
        <f>IF(AND(Q2875&lt;&gt;"",RIGHT(Q2875,3)&lt;&gt;""),IF(COUNTIF($Q$6:Q2875,Q2875)=1,1,0),0)</f>
        <v>0</v>
      </c>
      <c r="W2875" s="41" t="str">
        <f t="shared" si="249"/>
        <v/>
      </c>
      <c r="X2875" s="41" t="str">
        <f t="shared" si="250"/>
        <v/>
      </c>
    </row>
    <row r="2876" s="32" customFormat="1" hidden="1" customHeight="1" spans="1:24">
      <c r="A2876" s="34"/>
      <c r="B2876" s="51"/>
      <c r="C2876" s="51"/>
      <c r="D2876" s="52"/>
      <c r="E2876" s="53"/>
      <c r="F2876" s="54"/>
      <c r="G2876" s="54"/>
      <c r="H2876" s="54"/>
      <c r="I2876" s="66"/>
      <c r="J2876" s="54"/>
      <c r="K2876" s="54"/>
      <c r="L2876" s="54"/>
      <c r="M2876" s="97" t="str">
        <f t="shared" si="247"/>
        <v/>
      </c>
      <c r="N2876" s="70"/>
      <c r="O2876" s="71" t="str">
        <f t="shared" si="251"/>
        <v/>
      </c>
      <c r="P2876" s="66"/>
      <c r="Q2876" s="66"/>
      <c r="R2876" s="54"/>
      <c r="S2876" s="82"/>
      <c r="T2876" s="83" t="str">
        <f t="shared" si="248"/>
        <v/>
      </c>
      <c r="U2876" s="10"/>
      <c r="V2876" s="41">
        <f>IF(AND(Q2876&lt;&gt;"",RIGHT(Q2876,3)&lt;&gt;""),IF(COUNTIF($Q$6:Q2876,Q2876)=1,1,0),0)</f>
        <v>0</v>
      </c>
      <c r="W2876" s="41" t="str">
        <f t="shared" si="249"/>
        <v/>
      </c>
      <c r="X2876" s="41" t="str">
        <f t="shared" si="250"/>
        <v/>
      </c>
    </row>
    <row r="2877" s="32" customFormat="1" hidden="1" customHeight="1" spans="1:24">
      <c r="A2877" s="34"/>
      <c r="B2877" s="51"/>
      <c r="C2877" s="51"/>
      <c r="D2877" s="52"/>
      <c r="E2877" s="53"/>
      <c r="F2877" s="54"/>
      <c r="G2877" s="54"/>
      <c r="H2877" s="54"/>
      <c r="I2877" s="66"/>
      <c r="J2877" s="54"/>
      <c r="K2877" s="54"/>
      <c r="L2877" s="54"/>
      <c r="M2877" s="97" t="str">
        <f t="shared" si="247"/>
        <v/>
      </c>
      <c r="N2877" s="70"/>
      <c r="O2877" s="71" t="str">
        <f t="shared" si="251"/>
        <v/>
      </c>
      <c r="P2877" s="66"/>
      <c r="Q2877" s="66"/>
      <c r="R2877" s="54"/>
      <c r="S2877" s="82"/>
      <c r="T2877" s="83" t="str">
        <f t="shared" si="248"/>
        <v/>
      </c>
      <c r="U2877" s="10"/>
      <c r="V2877" s="41">
        <f>IF(AND(Q2877&lt;&gt;"",RIGHT(Q2877,3)&lt;&gt;""),IF(COUNTIF($Q$6:Q2877,Q2877)=1,1,0),0)</f>
        <v>0</v>
      </c>
      <c r="W2877" s="41" t="str">
        <f t="shared" si="249"/>
        <v/>
      </c>
      <c r="X2877" s="41" t="str">
        <f t="shared" si="250"/>
        <v/>
      </c>
    </row>
    <row r="2878" s="32" customFormat="1" hidden="1" customHeight="1" spans="1:24">
      <c r="A2878" s="34"/>
      <c r="B2878" s="51"/>
      <c r="C2878" s="51"/>
      <c r="D2878" s="52"/>
      <c r="E2878" s="53"/>
      <c r="F2878" s="54"/>
      <c r="G2878" s="54"/>
      <c r="H2878" s="54"/>
      <c r="I2878" s="66"/>
      <c r="J2878" s="54"/>
      <c r="K2878" s="54"/>
      <c r="L2878" s="54"/>
      <c r="M2878" s="97" t="str">
        <f t="shared" si="247"/>
        <v/>
      </c>
      <c r="N2878" s="70"/>
      <c r="O2878" s="71" t="str">
        <f t="shared" si="251"/>
        <v/>
      </c>
      <c r="P2878" s="66"/>
      <c r="Q2878" s="66"/>
      <c r="R2878" s="54"/>
      <c r="S2878" s="82"/>
      <c r="T2878" s="83" t="str">
        <f t="shared" si="248"/>
        <v/>
      </c>
      <c r="U2878" s="10"/>
      <c r="V2878" s="41">
        <f>IF(AND(Q2878&lt;&gt;"",RIGHT(Q2878,3)&lt;&gt;""),IF(COUNTIF($Q$6:Q2878,Q2878)=1,1,0),0)</f>
        <v>0</v>
      </c>
      <c r="W2878" s="41" t="str">
        <f t="shared" si="249"/>
        <v/>
      </c>
      <c r="X2878" s="41" t="str">
        <f t="shared" si="250"/>
        <v/>
      </c>
    </row>
    <row r="2879" s="32" customFormat="1" hidden="1" customHeight="1" spans="1:24">
      <c r="A2879" s="34"/>
      <c r="B2879" s="51"/>
      <c r="C2879" s="51"/>
      <c r="D2879" s="52"/>
      <c r="E2879" s="53"/>
      <c r="F2879" s="54"/>
      <c r="G2879" s="54"/>
      <c r="H2879" s="54"/>
      <c r="I2879" s="66"/>
      <c r="J2879" s="54"/>
      <c r="K2879" s="54"/>
      <c r="L2879" s="54"/>
      <c r="M2879" s="97" t="str">
        <f t="shared" si="247"/>
        <v/>
      </c>
      <c r="N2879" s="70"/>
      <c r="O2879" s="71" t="str">
        <f t="shared" si="251"/>
        <v/>
      </c>
      <c r="P2879" s="66"/>
      <c r="Q2879" s="66"/>
      <c r="R2879" s="54"/>
      <c r="S2879" s="82"/>
      <c r="T2879" s="83" t="str">
        <f t="shared" si="248"/>
        <v/>
      </c>
      <c r="U2879" s="10"/>
      <c r="V2879" s="41">
        <f>IF(AND(Q2879&lt;&gt;"",RIGHT(Q2879,3)&lt;&gt;""),IF(COUNTIF($Q$6:Q2879,Q2879)=1,1,0),0)</f>
        <v>0</v>
      </c>
      <c r="W2879" s="41" t="str">
        <f t="shared" si="249"/>
        <v/>
      </c>
      <c r="X2879" s="41" t="str">
        <f t="shared" si="250"/>
        <v/>
      </c>
    </row>
    <row r="2880" s="32" customFormat="1" hidden="1" customHeight="1" spans="1:24">
      <c r="A2880" s="34"/>
      <c r="B2880" s="51"/>
      <c r="C2880" s="51"/>
      <c r="D2880" s="52"/>
      <c r="E2880" s="53"/>
      <c r="F2880" s="54"/>
      <c r="G2880" s="54"/>
      <c r="H2880" s="54"/>
      <c r="I2880" s="66"/>
      <c r="J2880" s="54"/>
      <c r="K2880" s="54"/>
      <c r="L2880" s="54"/>
      <c r="M2880" s="97" t="str">
        <f t="shared" si="247"/>
        <v/>
      </c>
      <c r="N2880" s="70"/>
      <c r="O2880" s="71" t="str">
        <f t="shared" si="251"/>
        <v/>
      </c>
      <c r="P2880" s="66"/>
      <c r="Q2880" s="66"/>
      <c r="R2880" s="54"/>
      <c r="S2880" s="82"/>
      <c r="T2880" s="83" t="str">
        <f t="shared" si="248"/>
        <v/>
      </c>
      <c r="U2880" s="10"/>
      <c r="V2880" s="41">
        <f>IF(AND(Q2880&lt;&gt;"",RIGHT(Q2880,3)&lt;&gt;""),IF(COUNTIF($Q$6:Q2880,Q2880)=1,1,0),0)</f>
        <v>0</v>
      </c>
      <c r="W2880" s="41" t="str">
        <f t="shared" si="249"/>
        <v/>
      </c>
      <c r="X2880" s="41" t="str">
        <f t="shared" si="250"/>
        <v/>
      </c>
    </row>
    <row r="2881" s="32" customFormat="1" hidden="1" customHeight="1" spans="1:24">
      <c r="A2881" s="34"/>
      <c r="B2881" s="51"/>
      <c r="C2881" s="51"/>
      <c r="D2881" s="52"/>
      <c r="E2881" s="53"/>
      <c r="F2881" s="54"/>
      <c r="G2881" s="54"/>
      <c r="H2881" s="54"/>
      <c r="I2881" s="66"/>
      <c r="J2881" s="54"/>
      <c r="K2881" s="54"/>
      <c r="L2881" s="54"/>
      <c r="M2881" s="97" t="str">
        <f t="shared" si="247"/>
        <v/>
      </c>
      <c r="N2881" s="70"/>
      <c r="O2881" s="71" t="str">
        <f t="shared" si="251"/>
        <v/>
      </c>
      <c r="P2881" s="66"/>
      <c r="Q2881" s="66"/>
      <c r="R2881" s="54"/>
      <c r="S2881" s="82"/>
      <c r="T2881" s="83" t="str">
        <f t="shared" si="248"/>
        <v/>
      </c>
      <c r="U2881" s="10"/>
      <c r="V2881" s="41">
        <f>IF(AND(Q2881&lt;&gt;"",RIGHT(Q2881,3)&lt;&gt;""),IF(COUNTIF($Q$6:Q2881,Q2881)=1,1,0),0)</f>
        <v>0</v>
      </c>
      <c r="W2881" s="41" t="str">
        <f t="shared" si="249"/>
        <v/>
      </c>
      <c r="X2881" s="41" t="str">
        <f t="shared" si="250"/>
        <v/>
      </c>
    </row>
    <row r="2882" s="32" customFormat="1" hidden="1" customHeight="1" spans="1:24">
      <c r="A2882" s="34"/>
      <c r="B2882" s="51"/>
      <c r="C2882" s="51"/>
      <c r="D2882" s="52"/>
      <c r="E2882" s="53"/>
      <c r="F2882" s="54"/>
      <c r="G2882" s="54"/>
      <c r="H2882" s="54"/>
      <c r="I2882" s="66"/>
      <c r="J2882" s="54"/>
      <c r="K2882" s="54"/>
      <c r="L2882" s="54"/>
      <c r="M2882" s="97" t="str">
        <f t="shared" si="247"/>
        <v/>
      </c>
      <c r="N2882" s="70"/>
      <c r="O2882" s="71" t="str">
        <f t="shared" si="251"/>
        <v/>
      </c>
      <c r="P2882" s="66"/>
      <c r="Q2882" s="66"/>
      <c r="R2882" s="54"/>
      <c r="S2882" s="82"/>
      <c r="T2882" s="83" t="str">
        <f t="shared" si="248"/>
        <v/>
      </c>
      <c r="U2882" s="10"/>
      <c r="V2882" s="41">
        <f>IF(AND(Q2882&lt;&gt;"",RIGHT(Q2882,3)&lt;&gt;""),IF(COUNTIF($Q$6:Q2882,Q2882)=1,1,0),0)</f>
        <v>0</v>
      </c>
      <c r="W2882" s="41" t="str">
        <f t="shared" si="249"/>
        <v/>
      </c>
      <c r="X2882" s="41" t="str">
        <f t="shared" si="250"/>
        <v/>
      </c>
    </row>
    <row r="2883" s="32" customFormat="1" hidden="1" customHeight="1" spans="1:24">
      <c r="A2883" s="34"/>
      <c r="B2883" s="51"/>
      <c r="C2883" s="51"/>
      <c r="D2883" s="52"/>
      <c r="E2883" s="53"/>
      <c r="F2883" s="54"/>
      <c r="G2883" s="54"/>
      <c r="H2883" s="54"/>
      <c r="I2883" s="66"/>
      <c r="J2883" s="54"/>
      <c r="K2883" s="54"/>
      <c r="L2883" s="54"/>
      <c r="M2883" s="97" t="str">
        <f t="shared" si="247"/>
        <v/>
      </c>
      <c r="N2883" s="70"/>
      <c r="O2883" s="71" t="str">
        <f t="shared" si="251"/>
        <v/>
      </c>
      <c r="P2883" s="66"/>
      <c r="Q2883" s="66"/>
      <c r="R2883" s="54"/>
      <c r="S2883" s="82"/>
      <c r="T2883" s="83" t="str">
        <f t="shared" si="248"/>
        <v/>
      </c>
      <c r="U2883" s="10"/>
      <c r="V2883" s="41">
        <f>IF(AND(Q2883&lt;&gt;"",RIGHT(Q2883,3)&lt;&gt;""),IF(COUNTIF($Q$6:Q2883,Q2883)=1,1,0),0)</f>
        <v>0</v>
      </c>
      <c r="W2883" s="41" t="str">
        <f t="shared" si="249"/>
        <v/>
      </c>
      <c r="X2883" s="41" t="str">
        <f t="shared" si="250"/>
        <v/>
      </c>
    </row>
    <row r="2884" s="32" customFormat="1" hidden="1" customHeight="1" spans="1:24">
      <c r="A2884" s="34"/>
      <c r="B2884" s="51"/>
      <c r="C2884" s="51"/>
      <c r="D2884" s="52"/>
      <c r="E2884" s="53"/>
      <c r="F2884" s="54"/>
      <c r="G2884" s="54"/>
      <c r="H2884" s="54"/>
      <c r="I2884" s="66"/>
      <c r="J2884" s="54"/>
      <c r="K2884" s="54"/>
      <c r="L2884" s="54"/>
      <c r="M2884" s="97" t="str">
        <f t="shared" si="247"/>
        <v/>
      </c>
      <c r="N2884" s="70"/>
      <c r="O2884" s="71" t="str">
        <f t="shared" si="251"/>
        <v/>
      </c>
      <c r="P2884" s="66"/>
      <c r="Q2884" s="66"/>
      <c r="R2884" s="54"/>
      <c r="S2884" s="82"/>
      <c r="T2884" s="83" t="str">
        <f t="shared" si="248"/>
        <v/>
      </c>
      <c r="U2884" s="10"/>
      <c r="V2884" s="41">
        <f>IF(AND(Q2884&lt;&gt;"",RIGHT(Q2884,3)&lt;&gt;""),IF(COUNTIF($Q$6:Q2884,Q2884)=1,1,0),0)</f>
        <v>0</v>
      </c>
      <c r="W2884" s="41" t="str">
        <f t="shared" si="249"/>
        <v/>
      </c>
      <c r="X2884" s="41" t="str">
        <f t="shared" si="250"/>
        <v/>
      </c>
    </row>
    <row r="2885" s="32" customFormat="1" hidden="1" customHeight="1" spans="1:24">
      <c r="A2885" s="34"/>
      <c r="B2885" s="51"/>
      <c r="C2885" s="51"/>
      <c r="D2885" s="52"/>
      <c r="E2885" s="53"/>
      <c r="F2885" s="54"/>
      <c r="G2885" s="54"/>
      <c r="H2885" s="54"/>
      <c r="I2885" s="66"/>
      <c r="J2885" s="54"/>
      <c r="K2885" s="54"/>
      <c r="L2885" s="54"/>
      <c r="M2885" s="97" t="str">
        <f t="shared" si="247"/>
        <v/>
      </c>
      <c r="N2885" s="70"/>
      <c r="O2885" s="71" t="str">
        <f t="shared" si="251"/>
        <v/>
      </c>
      <c r="P2885" s="66"/>
      <c r="Q2885" s="66"/>
      <c r="R2885" s="54"/>
      <c r="S2885" s="82"/>
      <c r="T2885" s="83" t="str">
        <f t="shared" si="248"/>
        <v/>
      </c>
      <c r="U2885" s="10"/>
      <c r="V2885" s="41">
        <f>IF(AND(Q2885&lt;&gt;"",RIGHT(Q2885,3)&lt;&gt;""),IF(COUNTIF($Q$6:Q2885,Q2885)=1,1,0),0)</f>
        <v>0</v>
      </c>
      <c r="W2885" s="41" t="str">
        <f t="shared" si="249"/>
        <v/>
      </c>
      <c r="X2885" s="41" t="str">
        <f t="shared" si="250"/>
        <v/>
      </c>
    </row>
    <row r="2886" s="32" customFormat="1" hidden="1" customHeight="1" spans="1:24">
      <c r="A2886" s="34"/>
      <c r="B2886" s="51"/>
      <c r="C2886" s="51"/>
      <c r="D2886" s="52"/>
      <c r="E2886" s="53"/>
      <c r="F2886" s="54"/>
      <c r="G2886" s="54"/>
      <c r="H2886" s="54"/>
      <c r="I2886" s="66"/>
      <c r="J2886" s="54"/>
      <c r="K2886" s="54"/>
      <c r="L2886" s="54"/>
      <c r="M2886" s="97" t="str">
        <f t="shared" si="247"/>
        <v/>
      </c>
      <c r="N2886" s="70"/>
      <c r="O2886" s="71" t="str">
        <f t="shared" si="251"/>
        <v/>
      </c>
      <c r="P2886" s="66"/>
      <c r="Q2886" s="66"/>
      <c r="R2886" s="54"/>
      <c r="S2886" s="82"/>
      <c r="T2886" s="83" t="str">
        <f t="shared" si="248"/>
        <v/>
      </c>
      <c r="U2886" s="10"/>
      <c r="V2886" s="41">
        <f>IF(AND(Q2886&lt;&gt;"",RIGHT(Q2886,3)&lt;&gt;""),IF(COUNTIF($Q$6:Q2886,Q2886)=1,1,0),0)</f>
        <v>0</v>
      </c>
      <c r="W2886" s="41" t="str">
        <f t="shared" si="249"/>
        <v/>
      </c>
      <c r="X2886" s="41" t="str">
        <f t="shared" si="250"/>
        <v/>
      </c>
    </row>
    <row r="2887" s="32" customFormat="1" hidden="1" customHeight="1" spans="1:24">
      <c r="A2887" s="34"/>
      <c r="B2887" s="51"/>
      <c r="C2887" s="51"/>
      <c r="D2887" s="52"/>
      <c r="E2887" s="53"/>
      <c r="F2887" s="54"/>
      <c r="G2887" s="54"/>
      <c r="H2887" s="54"/>
      <c r="I2887" s="66"/>
      <c r="J2887" s="54"/>
      <c r="K2887" s="54"/>
      <c r="L2887" s="54"/>
      <c r="M2887" s="97" t="str">
        <f t="shared" si="247"/>
        <v/>
      </c>
      <c r="N2887" s="70"/>
      <c r="O2887" s="71" t="str">
        <f t="shared" si="251"/>
        <v/>
      </c>
      <c r="P2887" s="66"/>
      <c r="Q2887" s="66"/>
      <c r="R2887" s="54"/>
      <c r="S2887" s="82"/>
      <c r="T2887" s="83" t="str">
        <f t="shared" si="248"/>
        <v/>
      </c>
      <c r="U2887" s="10"/>
      <c r="V2887" s="41">
        <f>IF(AND(Q2887&lt;&gt;"",RIGHT(Q2887,3)&lt;&gt;""),IF(COUNTIF($Q$6:Q2887,Q2887)=1,1,0),0)</f>
        <v>0</v>
      </c>
      <c r="W2887" s="41" t="str">
        <f t="shared" si="249"/>
        <v/>
      </c>
      <c r="X2887" s="41" t="str">
        <f t="shared" si="250"/>
        <v/>
      </c>
    </row>
    <row r="2888" s="32" customFormat="1" hidden="1" customHeight="1" spans="1:24">
      <c r="A2888" s="34"/>
      <c r="B2888" s="51"/>
      <c r="C2888" s="51"/>
      <c r="D2888" s="52"/>
      <c r="E2888" s="53"/>
      <c r="F2888" s="54"/>
      <c r="G2888" s="54"/>
      <c r="H2888" s="54"/>
      <c r="I2888" s="66"/>
      <c r="J2888" s="54"/>
      <c r="K2888" s="54"/>
      <c r="L2888" s="54"/>
      <c r="M2888" s="97" t="str">
        <f t="shared" si="247"/>
        <v/>
      </c>
      <c r="N2888" s="70"/>
      <c r="O2888" s="71" t="str">
        <f t="shared" si="251"/>
        <v/>
      </c>
      <c r="P2888" s="66"/>
      <c r="Q2888" s="66"/>
      <c r="R2888" s="54"/>
      <c r="S2888" s="82"/>
      <c r="T2888" s="83" t="str">
        <f t="shared" si="248"/>
        <v/>
      </c>
      <c r="U2888" s="10"/>
      <c r="V2888" s="41">
        <f>IF(AND(Q2888&lt;&gt;"",RIGHT(Q2888,3)&lt;&gt;""),IF(COUNTIF($Q$6:Q2888,Q2888)=1,1,0),0)</f>
        <v>0</v>
      </c>
      <c r="W2888" s="41" t="str">
        <f t="shared" si="249"/>
        <v/>
      </c>
      <c r="X2888" s="41" t="str">
        <f t="shared" si="250"/>
        <v/>
      </c>
    </row>
    <row r="2889" s="32" customFormat="1" hidden="1" customHeight="1" spans="1:24">
      <c r="A2889" s="34"/>
      <c r="B2889" s="51"/>
      <c r="C2889" s="51"/>
      <c r="D2889" s="52"/>
      <c r="E2889" s="53"/>
      <c r="F2889" s="54"/>
      <c r="G2889" s="54"/>
      <c r="H2889" s="54"/>
      <c r="I2889" s="66"/>
      <c r="J2889" s="54"/>
      <c r="K2889" s="54"/>
      <c r="L2889" s="54"/>
      <c r="M2889" s="97" t="str">
        <f t="shared" si="247"/>
        <v/>
      </c>
      <c r="N2889" s="70"/>
      <c r="O2889" s="71" t="str">
        <f t="shared" si="251"/>
        <v/>
      </c>
      <c r="P2889" s="66"/>
      <c r="Q2889" s="66"/>
      <c r="R2889" s="54"/>
      <c r="S2889" s="82"/>
      <c r="T2889" s="83" t="str">
        <f t="shared" si="248"/>
        <v/>
      </c>
      <c r="U2889" s="10"/>
      <c r="V2889" s="41">
        <f>IF(AND(Q2889&lt;&gt;"",RIGHT(Q2889,3)&lt;&gt;""),IF(COUNTIF($Q$6:Q2889,Q2889)=1,1,0),0)</f>
        <v>0</v>
      </c>
      <c r="W2889" s="41" t="str">
        <f t="shared" si="249"/>
        <v/>
      </c>
      <c r="X2889" s="41" t="str">
        <f t="shared" si="250"/>
        <v/>
      </c>
    </row>
    <row r="2890" s="32" customFormat="1" hidden="1" customHeight="1" spans="1:24">
      <c r="A2890" s="34"/>
      <c r="B2890" s="51"/>
      <c r="C2890" s="51"/>
      <c r="D2890" s="52"/>
      <c r="E2890" s="53"/>
      <c r="F2890" s="54"/>
      <c r="G2890" s="54"/>
      <c r="H2890" s="54"/>
      <c r="I2890" s="66"/>
      <c r="J2890" s="54"/>
      <c r="K2890" s="54"/>
      <c r="L2890" s="54"/>
      <c r="M2890" s="97" t="str">
        <f t="shared" si="247"/>
        <v/>
      </c>
      <c r="N2890" s="70"/>
      <c r="O2890" s="71" t="str">
        <f t="shared" si="251"/>
        <v/>
      </c>
      <c r="P2890" s="66"/>
      <c r="Q2890" s="66"/>
      <c r="R2890" s="54"/>
      <c r="S2890" s="82"/>
      <c r="T2890" s="83" t="str">
        <f t="shared" si="248"/>
        <v/>
      </c>
      <c r="U2890" s="10"/>
      <c r="V2890" s="41">
        <f>IF(AND(Q2890&lt;&gt;"",RIGHT(Q2890,3)&lt;&gt;""),IF(COUNTIF($Q$6:Q2890,Q2890)=1,1,0),0)</f>
        <v>0</v>
      </c>
      <c r="W2890" s="41" t="str">
        <f t="shared" si="249"/>
        <v/>
      </c>
      <c r="X2890" s="41" t="str">
        <f t="shared" si="250"/>
        <v/>
      </c>
    </row>
    <row r="2891" s="32" customFormat="1" hidden="1" customHeight="1" spans="1:24">
      <c r="A2891" s="34"/>
      <c r="B2891" s="51"/>
      <c r="C2891" s="51"/>
      <c r="D2891" s="52"/>
      <c r="E2891" s="53"/>
      <c r="F2891" s="54"/>
      <c r="G2891" s="54"/>
      <c r="H2891" s="54"/>
      <c r="I2891" s="66"/>
      <c r="J2891" s="54"/>
      <c r="K2891" s="54"/>
      <c r="L2891" s="54"/>
      <c r="M2891" s="97" t="str">
        <f t="shared" si="247"/>
        <v/>
      </c>
      <c r="N2891" s="70"/>
      <c r="O2891" s="71" t="str">
        <f t="shared" si="251"/>
        <v/>
      </c>
      <c r="P2891" s="66"/>
      <c r="Q2891" s="66"/>
      <c r="R2891" s="54"/>
      <c r="S2891" s="82"/>
      <c r="T2891" s="83" t="str">
        <f t="shared" si="248"/>
        <v/>
      </c>
      <c r="U2891" s="10"/>
      <c r="V2891" s="41">
        <f>IF(AND(Q2891&lt;&gt;"",RIGHT(Q2891,3)&lt;&gt;""),IF(COUNTIF($Q$6:Q2891,Q2891)=1,1,0),0)</f>
        <v>0</v>
      </c>
      <c r="W2891" s="41" t="str">
        <f t="shared" si="249"/>
        <v/>
      </c>
      <c r="X2891" s="41" t="str">
        <f t="shared" si="250"/>
        <v/>
      </c>
    </row>
    <row r="2892" s="32" customFormat="1" hidden="1" customHeight="1" spans="1:24">
      <c r="A2892" s="34"/>
      <c r="B2892" s="51"/>
      <c r="C2892" s="51"/>
      <c r="D2892" s="52"/>
      <c r="E2892" s="53"/>
      <c r="F2892" s="54"/>
      <c r="G2892" s="54"/>
      <c r="H2892" s="54"/>
      <c r="I2892" s="66"/>
      <c r="J2892" s="54"/>
      <c r="K2892" s="54"/>
      <c r="L2892" s="54"/>
      <c r="M2892" s="97" t="str">
        <f t="shared" si="247"/>
        <v/>
      </c>
      <c r="N2892" s="70"/>
      <c r="O2892" s="71" t="str">
        <f t="shared" si="251"/>
        <v/>
      </c>
      <c r="P2892" s="66"/>
      <c r="Q2892" s="66"/>
      <c r="R2892" s="54"/>
      <c r="S2892" s="82"/>
      <c r="T2892" s="83" t="str">
        <f t="shared" si="248"/>
        <v/>
      </c>
      <c r="U2892" s="10"/>
      <c r="V2892" s="41">
        <f>IF(AND(Q2892&lt;&gt;"",RIGHT(Q2892,3)&lt;&gt;""),IF(COUNTIF($Q$6:Q2892,Q2892)=1,1,0),0)</f>
        <v>0</v>
      </c>
      <c r="W2892" s="41" t="str">
        <f t="shared" si="249"/>
        <v/>
      </c>
      <c r="X2892" s="41" t="str">
        <f t="shared" si="250"/>
        <v/>
      </c>
    </row>
    <row r="2893" s="32" customFormat="1" hidden="1" customHeight="1" spans="1:24">
      <c r="A2893" s="34"/>
      <c r="B2893" s="51"/>
      <c r="C2893" s="51"/>
      <c r="D2893" s="52"/>
      <c r="E2893" s="53"/>
      <c r="F2893" s="54"/>
      <c r="G2893" s="54"/>
      <c r="H2893" s="54"/>
      <c r="I2893" s="66"/>
      <c r="J2893" s="54"/>
      <c r="K2893" s="54"/>
      <c r="L2893" s="54"/>
      <c r="M2893" s="97" t="str">
        <f t="shared" si="247"/>
        <v/>
      </c>
      <c r="N2893" s="70"/>
      <c r="O2893" s="71" t="str">
        <f t="shared" si="251"/>
        <v/>
      </c>
      <c r="P2893" s="66"/>
      <c r="Q2893" s="66"/>
      <c r="R2893" s="54"/>
      <c r="S2893" s="82"/>
      <c r="T2893" s="83" t="str">
        <f t="shared" si="248"/>
        <v/>
      </c>
      <c r="U2893" s="10"/>
      <c r="V2893" s="41">
        <f>IF(AND(Q2893&lt;&gt;"",RIGHT(Q2893,3)&lt;&gt;""),IF(COUNTIF($Q$6:Q2893,Q2893)=1,1,0),0)</f>
        <v>0</v>
      </c>
      <c r="W2893" s="41" t="str">
        <f t="shared" si="249"/>
        <v/>
      </c>
      <c r="X2893" s="41" t="str">
        <f t="shared" si="250"/>
        <v/>
      </c>
    </row>
    <row r="2894" s="32" customFormat="1" hidden="1" customHeight="1" spans="1:24">
      <c r="A2894" s="34"/>
      <c r="B2894" s="51"/>
      <c r="C2894" s="51"/>
      <c r="D2894" s="52"/>
      <c r="E2894" s="53"/>
      <c r="F2894" s="54"/>
      <c r="G2894" s="54"/>
      <c r="H2894" s="54"/>
      <c r="I2894" s="66"/>
      <c r="J2894" s="54"/>
      <c r="K2894" s="54"/>
      <c r="L2894" s="54"/>
      <c r="M2894" s="97" t="str">
        <f t="shared" si="247"/>
        <v/>
      </c>
      <c r="N2894" s="70"/>
      <c r="O2894" s="71" t="str">
        <f t="shared" si="251"/>
        <v/>
      </c>
      <c r="P2894" s="66"/>
      <c r="Q2894" s="66"/>
      <c r="R2894" s="54"/>
      <c r="S2894" s="82"/>
      <c r="T2894" s="83" t="str">
        <f t="shared" si="248"/>
        <v/>
      </c>
      <c r="U2894" s="10"/>
      <c r="V2894" s="41">
        <f>IF(AND(Q2894&lt;&gt;"",RIGHT(Q2894,3)&lt;&gt;""),IF(COUNTIF($Q$6:Q2894,Q2894)=1,1,0),0)</f>
        <v>0</v>
      </c>
      <c r="W2894" s="41" t="str">
        <f t="shared" si="249"/>
        <v/>
      </c>
      <c r="X2894" s="41" t="str">
        <f t="shared" si="250"/>
        <v/>
      </c>
    </row>
    <row r="2895" s="32" customFormat="1" hidden="1" customHeight="1" spans="1:24">
      <c r="A2895" s="34"/>
      <c r="B2895" s="51"/>
      <c r="C2895" s="51"/>
      <c r="D2895" s="52"/>
      <c r="E2895" s="53"/>
      <c r="F2895" s="54"/>
      <c r="G2895" s="54"/>
      <c r="H2895" s="54"/>
      <c r="I2895" s="66"/>
      <c r="J2895" s="54"/>
      <c r="K2895" s="54"/>
      <c r="L2895" s="54"/>
      <c r="M2895" s="97" t="str">
        <f t="shared" si="247"/>
        <v/>
      </c>
      <c r="N2895" s="70"/>
      <c r="O2895" s="71" t="str">
        <f t="shared" si="251"/>
        <v/>
      </c>
      <c r="P2895" s="66"/>
      <c r="Q2895" s="66"/>
      <c r="R2895" s="54"/>
      <c r="S2895" s="82"/>
      <c r="T2895" s="83" t="str">
        <f t="shared" si="248"/>
        <v/>
      </c>
      <c r="U2895" s="10"/>
      <c r="V2895" s="41">
        <f>IF(AND(Q2895&lt;&gt;"",RIGHT(Q2895,3)&lt;&gt;""),IF(COUNTIF($Q$6:Q2895,Q2895)=1,1,0),0)</f>
        <v>0</v>
      </c>
      <c r="W2895" s="41" t="str">
        <f t="shared" si="249"/>
        <v/>
      </c>
      <c r="X2895" s="41" t="str">
        <f t="shared" si="250"/>
        <v/>
      </c>
    </row>
    <row r="2896" s="32" customFormat="1" hidden="1" customHeight="1" spans="1:24">
      <c r="A2896" s="34"/>
      <c r="B2896" s="51"/>
      <c r="C2896" s="51"/>
      <c r="D2896" s="52"/>
      <c r="E2896" s="53"/>
      <c r="F2896" s="54"/>
      <c r="G2896" s="54"/>
      <c r="H2896" s="54"/>
      <c r="I2896" s="66"/>
      <c r="J2896" s="54"/>
      <c r="K2896" s="54"/>
      <c r="L2896" s="54"/>
      <c r="M2896" s="97" t="str">
        <f t="shared" si="247"/>
        <v/>
      </c>
      <c r="N2896" s="70"/>
      <c r="O2896" s="71" t="str">
        <f t="shared" si="251"/>
        <v/>
      </c>
      <c r="P2896" s="66"/>
      <c r="Q2896" s="66"/>
      <c r="R2896" s="54"/>
      <c r="S2896" s="82"/>
      <c r="T2896" s="83" t="str">
        <f t="shared" si="248"/>
        <v/>
      </c>
      <c r="U2896" s="10"/>
      <c r="V2896" s="41">
        <f>IF(AND(Q2896&lt;&gt;"",RIGHT(Q2896,3)&lt;&gt;""),IF(COUNTIF($Q$6:Q2896,Q2896)=1,1,0),0)</f>
        <v>0</v>
      </c>
      <c r="W2896" s="41" t="str">
        <f t="shared" si="249"/>
        <v/>
      </c>
      <c r="X2896" s="41" t="str">
        <f t="shared" si="250"/>
        <v/>
      </c>
    </row>
    <row r="2897" s="32" customFormat="1" hidden="1" customHeight="1" spans="1:24">
      <c r="A2897" s="34"/>
      <c r="B2897" s="51"/>
      <c r="C2897" s="51"/>
      <c r="D2897" s="52"/>
      <c r="E2897" s="53"/>
      <c r="F2897" s="54"/>
      <c r="G2897" s="54"/>
      <c r="H2897" s="54"/>
      <c r="I2897" s="66"/>
      <c r="J2897" s="54"/>
      <c r="K2897" s="54"/>
      <c r="L2897" s="54"/>
      <c r="M2897" s="97" t="str">
        <f t="shared" si="247"/>
        <v/>
      </c>
      <c r="N2897" s="70"/>
      <c r="O2897" s="71" t="str">
        <f t="shared" si="251"/>
        <v/>
      </c>
      <c r="P2897" s="66"/>
      <c r="Q2897" s="66"/>
      <c r="R2897" s="54"/>
      <c r="S2897" s="82"/>
      <c r="T2897" s="83" t="str">
        <f t="shared" si="248"/>
        <v/>
      </c>
      <c r="U2897" s="10"/>
      <c r="V2897" s="41">
        <f>IF(AND(Q2897&lt;&gt;"",RIGHT(Q2897,3)&lt;&gt;""),IF(COUNTIF($Q$6:Q2897,Q2897)=1,1,0),0)</f>
        <v>0</v>
      </c>
      <c r="W2897" s="41" t="str">
        <f t="shared" si="249"/>
        <v/>
      </c>
      <c r="X2897" s="41" t="str">
        <f t="shared" si="250"/>
        <v/>
      </c>
    </row>
    <row r="2898" s="32" customFormat="1" hidden="1" customHeight="1" spans="1:24">
      <c r="A2898" s="34"/>
      <c r="B2898" s="51"/>
      <c r="C2898" s="51"/>
      <c r="D2898" s="52"/>
      <c r="E2898" s="53"/>
      <c r="F2898" s="54"/>
      <c r="G2898" s="54"/>
      <c r="H2898" s="54"/>
      <c r="I2898" s="66"/>
      <c r="J2898" s="54"/>
      <c r="K2898" s="54"/>
      <c r="L2898" s="54"/>
      <c r="M2898" s="97" t="str">
        <f t="shared" si="247"/>
        <v/>
      </c>
      <c r="N2898" s="70"/>
      <c r="O2898" s="71" t="str">
        <f t="shared" si="251"/>
        <v/>
      </c>
      <c r="P2898" s="66"/>
      <c r="Q2898" s="66"/>
      <c r="R2898" s="54"/>
      <c r="S2898" s="82"/>
      <c r="T2898" s="83" t="str">
        <f t="shared" si="248"/>
        <v/>
      </c>
      <c r="U2898" s="10"/>
      <c r="V2898" s="41">
        <f>IF(AND(Q2898&lt;&gt;"",RIGHT(Q2898,3)&lt;&gt;""),IF(COUNTIF($Q$6:Q2898,Q2898)=1,1,0),0)</f>
        <v>0</v>
      </c>
      <c r="W2898" s="41" t="str">
        <f t="shared" si="249"/>
        <v/>
      </c>
      <c r="X2898" s="41" t="str">
        <f t="shared" si="250"/>
        <v/>
      </c>
    </row>
    <row r="2899" s="32" customFormat="1" hidden="1" customHeight="1" spans="1:24">
      <c r="A2899" s="34"/>
      <c r="B2899" s="51"/>
      <c r="C2899" s="51"/>
      <c r="D2899" s="52"/>
      <c r="E2899" s="53"/>
      <c r="F2899" s="54"/>
      <c r="G2899" s="54"/>
      <c r="H2899" s="54"/>
      <c r="I2899" s="66"/>
      <c r="J2899" s="54"/>
      <c r="K2899" s="54"/>
      <c r="L2899" s="54"/>
      <c r="M2899" s="97" t="str">
        <f t="shared" si="247"/>
        <v/>
      </c>
      <c r="N2899" s="70"/>
      <c r="O2899" s="71" t="str">
        <f t="shared" si="251"/>
        <v/>
      </c>
      <c r="P2899" s="66"/>
      <c r="Q2899" s="66"/>
      <c r="R2899" s="54"/>
      <c r="S2899" s="82"/>
      <c r="T2899" s="83" t="str">
        <f t="shared" si="248"/>
        <v/>
      </c>
      <c r="U2899" s="10"/>
      <c r="V2899" s="41">
        <f>IF(AND(Q2899&lt;&gt;"",RIGHT(Q2899,3)&lt;&gt;""),IF(COUNTIF($Q$6:Q2899,Q2899)=1,1,0),0)</f>
        <v>0</v>
      </c>
      <c r="W2899" s="41" t="str">
        <f t="shared" si="249"/>
        <v/>
      </c>
      <c r="X2899" s="41" t="str">
        <f t="shared" si="250"/>
        <v/>
      </c>
    </row>
    <row r="2900" s="32" customFormat="1" hidden="1" customHeight="1" spans="1:24">
      <c r="A2900" s="34"/>
      <c r="B2900" s="51"/>
      <c r="C2900" s="51"/>
      <c r="D2900" s="52"/>
      <c r="E2900" s="53"/>
      <c r="F2900" s="54"/>
      <c r="G2900" s="54"/>
      <c r="H2900" s="54"/>
      <c r="I2900" s="66"/>
      <c r="J2900" s="54"/>
      <c r="K2900" s="54"/>
      <c r="L2900" s="54"/>
      <c r="M2900" s="97" t="str">
        <f t="shared" si="247"/>
        <v/>
      </c>
      <c r="N2900" s="70"/>
      <c r="O2900" s="71" t="str">
        <f t="shared" si="251"/>
        <v/>
      </c>
      <c r="P2900" s="66"/>
      <c r="Q2900" s="66"/>
      <c r="R2900" s="54"/>
      <c r="S2900" s="82"/>
      <c r="T2900" s="83" t="str">
        <f t="shared" si="248"/>
        <v/>
      </c>
      <c r="U2900" s="10"/>
      <c r="V2900" s="41">
        <f>IF(AND(Q2900&lt;&gt;"",RIGHT(Q2900,3)&lt;&gt;""),IF(COUNTIF($Q$6:Q2900,Q2900)=1,1,0),0)</f>
        <v>0</v>
      </c>
      <c r="W2900" s="41" t="str">
        <f t="shared" si="249"/>
        <v/>
      </c>
      <c r="X2900" s="41" t="str">
        <f t="shared" si="250"/>
        <v/>
      </c>
    </row>
    <row r="2901" s="32" customFormat="1" hidden="1" customHeight="1" spans="1:24">
      <c r="A2901" s="34"/>
      <c r="B2901" s="51"/>
      <c r="C2901" s="51"/>
      <c r="D2901" s="52"/>
      <c r="E2901" s="53"/>
      <c r="F2901" s="54"/>
      <c r="G2901" s="54"/>
      <c r="H2901" s="54"/>
      <c r="I2901" s="66"/>
      <c r="J2901" s="54"/>
      <c r="K2901" s="54"/>
      <c r="L2901" s="54"/>
      <c r="M2901" s="97" t="str">
        <f t="shared" si="247"/>
        <v/>
      </c>
      <c r="N2901" s="70"/>
      <c r="O2901" s="71" t="str">
        <f t="shared" si="251"/>
        <v/>
      </c>
      <c r="P2901" s="66"/>
      <c r="Q2901" s="66"/>
      <c r="R2901" s="54"/>
      <c r="S2901" s="82"/>
      <c r="T2901" s="83" t="str">
        <f t="shared" si="248"/>
        <v/>
      </c>
      <c r="U2901" s="10"/>
      <c r="V2901" s="41">
        <f>IF(AND(Q2901&lt;&gt;"",RIGHT(Q2901,3)&lt;&gt;""),IF(COUNTIF($Q$6:Q2901,Q2901)=1,1,0),0)</f>
        <v>0</v>
      </c>
      <c r="W2901" s="41" t="str">
        <f t="shared" si="249"/>
        <v/>
      </c>
      <c r="X2901" s="41" t="str">
        <f t="shared" si="250"/>
        <v/>
      </c>
    </row>
    <row r="2902" s="32" customFormat="1" hidden="1" customHeight="1" spans="1:24">
      <c r="A2902" s="34"/>
      <c r="B2902" s="51"/>
      <c r="C2902" s="51"/>
      <c r="D2902" s="52"/>
      <c r="E2902" s="53"/>
      <c r="F2902" s="54"/>
      <c r="G2902" s="54"/>
      <c r="H2902" s="54"/>
      <c r="I2902" s="66"/>
      <c r="J2902" s="54"/>
      <c r="K2902" s="54"/>
      <c r="L2902" s="54"/>
      <c r="M2902" s="97" t="str">
        <f t="shared" si="247"/>
        <v/>
      </c>
      <c r="N2902" s="70"/>
      <c r="O2902" s="71" t="str">
        <f t="shared" si="251"/>
        <v/>
      </c>
      <c r="P2902" s="66"/>
      <c r="Q2902" s="66"/>
      <c r="R2902" s="54"/>
      <c r="S2902" s="82"/>
      <c r="T2902" s="83" t="str">
        <f t="shared" si="248"/>
        <v/>
      </c>
      <c r="U2902" s="10"/>
      <c r="V2902" s="41">
        <f>IF(AND(Q2902&lt;&gt;"",RIGHT(Q2902,3)&lt;&gt;""),IF(COUNTIF($Q$6:Q2902,Q2902)=1,1,0),0)</f>
        <v>0</v>
      </c>
      <c r="W2902" s="41" t="str">
        <f t="shared" si="249"/>
        <v/>
      </c>
      <c r="X2902" s="41" t="str">
        <f t="shared" si="250"/>
        <v/>
      </c>
    </row>
    <row r="2903" s="32" customFormat="1" hidden="1" customHeight="1" spans="1:24">
      <c r="A2903" s="34"/>
      <c r="B2903" s="51"/>
      <c r="C2903" s="51"/>
      <c r="D2903" s="52"/>
      <c r="E2903" s="53"/>
      <c r="F2903" s="54"/>
      <c r="G2903" s="54"/>
      <c r="H2903" s="54"/>
      <c r="I2903" s="66"/>
      <c r="J2903" s="54"/>
      <c r="K2903" s="54"/>
      <c r="L2903" s="54"/>
      <c r="M2903" s="97" t="str">
        <f t="shared" si="247"/>
        <v/>
      </c>
      <c r="N2903" s="70"/>
      <c r="O2903" s="71" t="str">
        <f t="shared" si="251"/>
        <v/>
      </c>
      <c r="P2903" s="66"/>
      <c r="Q2903" s="66"/>
      <c r="R2903" s="54"/>
      <c r="S2903" s="82"/>
      <c r="T2903" s="83" t="str">
        <f t="shared" si="248"/>
        <v/>
      </c>
      <c r="U2903" s="10"/>
      <c r="V2903" s="41">
        <f>IF(AND(Q2903&lt;&gt;"",RIGHT(Q2903,3)&lt;&gt;""),IF(COUNTIF($Q$6:Q2903,Q2903)=1,1,0),0)</f>
        <v>0</v>
      </c>
      <c r="W2903" s="41" t="str">
        <f t="shared" si="249"/>
        <v/>
      </c>
      <c r="X2903" s="41" t="str">
        <f t="shared" si="250"/>
        <v/>
      </c>
    </row>
    <row r="2904" s="32" customFormat="1" hidden="1" customHeight="1" spans="1:24">
      <c r="A2904" s="34"/>
      <c r="B2904" s="51"/>
      <c r="C2904" s="51"/>
      <c r="D2904" s="52"/>
      <c r="E2904" s="53"/>
      <c r="F2904" s="54"/>
      <c r="G2904" s="54"/>
      <c r="H2904" s="54"/>
      <c r="I2904" s="66"/>
      <c r="J2904" s="54"/>
      <c r="K2904" s="54"/>
      <c r="L2904" s="54"/>
      <c r="M2904" s="97" t="str">
        <f t="shared" si="247"/>
        <v/>
      </c>
      <c r="N2904" s="70"/>
      <c r="O2904" s="71" t="str">
        <f t="shared" si="251"/>
        <v/>
      </c>
      <c r="P2904" s="66"/>
      <c r="Q2904" s="66"/>
      <c r="R2904" s="54"/>
      <c r="S2904" s="82"/>
      <c r="T2904" s="83" t="str">
        <f t="shared" si="248"/>
        <v/>
      </c>
      <c r="U2904" s="10"/>
      <c r="V2904" s="41">
        <f>IF(AND(Q2904&lt;&gt;"",RIGHT(Q2904,3)&lt;&gt;""),IF(COUNTIF($Q$6:Q2904,Q2904)=1,1,0),0)</f>
        <v>0</v>
      </c>
      <c r="W2904" s="41" t="str">
        <f t="shared" si="249"/>
        <v/>
      </c>
      <c r="X2904" s="41" t="str">
        <f t="shared" si="250"/>
        <v/>
      </c>
    </row>
    <row r="2905" s="32" customFormat="1" hidden="1" customHeight="1" spans="1:24">
      <c r="A2905" s="34"/>
      <c r="B2905" s="51"/>
      <c r="C2905" s="51"/>
      <c r="D2905" s="52"/>
      <c r="E2905" s="53"/>
      <c r="F2905" s="54"/>
      <c r="G2905" s="54"/>
      <c r="H2905" s="54"/>
      <c r="I2905" s="66"/>
      <c r="J2905" s="54"/>
      <c r="K2905" s="54"/>
      <c r="L2905" s="54"/>
      <c r="M2905" s="97" t="str">
        <f t="shared" si="247"/>
        <v/>
      </c>
      <c r="N2905" s="70"/>
      <c r="O2905" s="71" t="str">
        <f t="shared" si="251"/>
        <v/>
      </c>
      <c r="P2905" s="66"/>
      <c r="Q2905" s="66"/>
      <c r="R2905" s="54"/>
      <c r="S2905" s="82"/>
      <c r="T2905" s="83" t="str">
        <f t="shared" si="248"/>
        <v/>
      </c>
      <c r="U2905" s="10"/>
      <c r="V2905" s="41">
        <f>IF(AND(Q2905&lt;&gt;"",RIGHT(Q2905,3)&lt;&gt;""),IF(COUNTIF($Q$6:Q2905,Q2905)=1,1,0),0)</f>
        <v>0</v>
      </c>
      <c r="W2905" s="41" t="str">
        <f t="shared" si="249"/>
        <v/>
      </c>
      <c r="X2905" s="41" t="str">
        <f t="shared" si="250"/>
        <v/>
      </c>
    </row>
    <row r="2906" s="32" customFormat="1" hidden="1" customHeight="1" spans="1:24">
      <c r="A2906" s="34"/>
      <c r="B2906" s="51"/>
      <c r="C2906" s="51"/>
      <c r="D2906" s="52"/>
      <c r="E2906" s="53"/>
      <c r="F2906" s="54"/>
      <c r="G2906" s="54"/>
      <c r="H2906" s="54"/>
      <c r="I2906" s="66"/>
      <c r="J2906" s="54"/>
      <c r="K2906" s="54"/>
      <c r="L2906" s="54"/>
      <c r="M2906" s="97" t="str">
        <f t="shared" si="247"/>
        <v/>
      </c>
      <c r="N2906" s="70"/>
      <c r="O2906" s="71" t="str">
        <f t="shared" si="251"/>
        <v/>
      </c>
      <c r="P2906" s="66"/>
      <c r="Q2906" s="66"/>
      <c r="R2906" s="54"/>
      <c r="S2906" s="82"/>
      <c r="T2906" s="83" t="str">
        <f t="shared" si="248"/>
        <v/>
      </c>
      <c r="U2906" s="10"/>
      <c r="V2906" s="41">
        <f>IF(AND(Q2906&lt;&gt;"",RIGHT(Q2906,3)&lt;&gt;""),IF(COUNTIF($Q$6:Q2906,Q2906)=1,1,0),0)</f>
        <v>0</v>
      </c>
      <c r="W2906" s="41" t="str">
        <f t="shared" si="249"/>
        <v/>
      </c>
      <c r="X2906" s="41" t="str">
        <f t="shared" si="250"/>
        <v/>
      </c>
    </row>
    <row r="2907" s="32" customFormat="1" hidden="1" customHeight="1" spans="1:24">
      <c r="A2907" s="34"/>
      <c r="B2907" s="51"/>
      <c r="C2907" s="51"/>
      <c r="D2907" s="52"/>
      <c r="E2907" s="53"/>
      <c r="F2907" s="54"/>
      <c r="G2907" s="54"/>
      <c r="H2907" s="54"/>
      <c r="I2907" s="66"/>
      <c r="J2907" s="54"/>
      <c r="K2907" s="54"/>
      <c r="L2907" s="54"/>
      <c r="M2907" s="97" t="str">
        <f t="shared" si="247"/>
        <v/>
      </c>
      <c r="N2907" s="70"/>
      <c r="O2907" s="71" t="str">
        <f t="shared" si="251"/>
        <v/>
      </c>
      <c r="P2907" s="66"/>
      <c r="Q2907" s="66"/>
      <c r="R2907" s="54"/>
      <c r="S2907" s="82"/>
      <c r="T2907" s="83" t="str">
        <f t="shared" si="248"/>
        <v/>
      </c>
      <c r="U2907" s="10"/>
      <c r="V2907" s="41">
        <f>IF(AND(Q2907&lt;&gt;"",RIGHT(Q2907,3)&lt;&gt;""),IF(COUNTIF($Q$6:Q2907,Q2907)=1,1,0),0)</f>
        <v>0</v>
      </c>
      <c r="W2907" s="41" t="str">
        <f t="shared" si="249"/>
        <v/>
      </c>
      <c r="X2907" s="41" t="str">
        <f t="shared" si="250"/>
        <v/>
      </c>
    </row>
    <row r="2908" s="32" customFormat="1" hidden="1" customHeight="1" spans="1:24">
      <c r="A2908" s="34"/>
      <c r="B2908" s="51"/>
      <c r="C2908" s="51"/>
      <c r="D2908" s="52"/>
      <c r="E2908" s="53"/>
      <c r="F2908" s="54"/>
      <c r="G2908" s="54"/>
      <c r="H2908" s="54"/>
      <c r="I2908" s="66"/>
      <c r="J2908" s="54"/>
      <c r="K2908" s="54"/>
      <c r="L2908" s="54"/>
      <c r="M2908" s="97" t="str">
        <f t="shared" si="247"/>
        <v/>
      </c>
      <c r="N2908" s="70"/>
      <c r="O2908" s="71" t="str">
        <f t="shared" si="251"/>
        <v/>
      </c>
      <c r="P2908" s="66"/>
      <c r="Q2908" s="66"/>
      <c r="R2908" s="54"/>
      <c r="S2908" s="82"/>
      <c r="T2908" s="83" t="str">
        <f t="shared" si="248"/>
        <v/>
      </c>
      <c r="U2908" s="10"/>
      <c r="V2908" s="41">
        <f>IF(AND(Q2908&lt;&gt;"",RIGHT(Q2908,3)&lt;&gt;""),IF(COUNTIF($Q$6:Q2908,Q2908)=1,1,0),0)</f>
        <v>0</v>
      </c>
      <c r="W2908" s="41" t="str">
        <f t="shared" si="249"/>
        <v/>
      </c>
      <c r="X2908" s="41" t="str">
        <f t="shared" si="250"/>
        <v/>
      </c>
    </row>
    <row r="2909" s="32" customFormat="1" hidden="1" customHeight="1" spans="1:24">
      <c r="A2909" s="34"/>
      <c r="B2909" s="51"/>
      <c r="C2909" s="51"/>
      <c r="D2909" s="52"/>
      <c r="E2909" s="53"/>
      <c r="F2909" s="54"/>
      <c r="G2909" s="54"/>
      <c r="H2909" s="54"/>
      <c r="I2909" s="66"/>
      <c r="J2909" s="54"/>
      <c r="K2909" s="54"/>
      <c r="L2909" s="54"/>
      <c r="M2909" s="97" t="str">
        <f t="shared" si="247"/>
        <v/>
      </c>
      <c r="N2909" s="70"/>
      <c r="O2909" s="71" t="str">
        <f t="shared" si="251"/>
        <v/>
      </c>
      <c r="P2909" s="66"/>
      <c r="Q2909" s="66"/>
      <c r="R2909" s="54"/>
      <c r="S2909" s="82"/>
      <c r="T2909" s="83" t="str">
        <f t="shared" si="248"/>
        <v/>
      </c>
      <c r="U2909" s="10"/>
      <c r="V2909" s="41">
        <f>IF(AND(Q2909&lt;&gt;"",RIGHT(Q2909,3)&lt;&gt;""),IF(COUNTIF($Q$6:Q2909,Q2909)=1,1,0),0)</f>
        <v>0</v>
      </c>
      <c r="W2909" s="41" t="str">
        <f t="shared" si="249"/>
        <v/>
      </c>
      <c r="X2909" s="41" t="str">
        <f t="shared" si="250"/>
        <v/>
      </c>
    </row>
    <row r="2910" s="32" customFormat="1" hidden="1" customHeight="1" spans="1:24">
      <c r="A2910" s="34"/>
      <c r="B2910" s="51"/>
      <c r="C2910" s="51"/>
      <c r="D2910" s="52"/>
      <c r="E2910" s="53"/>
      <c r="F2910" s="54"/>
      <c r="G2910" s="54"/>
      <c r="H2910" s="54"/>
      <c r="I2910" s="66"/>
      <c r="J2910" s="54"/>
      <c r="K2910" s="54"/>
      <c r="L2910" s="54"/>
      <c r="M2910" s="97" t="str">
        <f t="shared" si="247"/>
        <v/>
      </c>
      <c r="N2910" s="70"/>
      <c r="O2910" s="71" t="str">
        <f t="shared" si="251"/>
        <v/>
      </c>
      <c r="P2910" s="66"/>
      <c r="Q2910" s="66"/>
      <c r="R2910" s="54"/>
      <c r="S2910" s="82"/>
      <c r="T2910" s="83" t="str">
        <f t="shared" si="248"/>
        <v/>
      </c>
      <c r="U2910" s="10"/>
      <c r="V2910" s="41">
        <f>IF(AND(Q2910&lt;&gt;"",RIGHT(Q2910,3)&lt;&gt;""),IF(COUNTIF($Q$6:Q2910,Q2910)=1,1,0),0)</f>
        <v>0</v>
      </c>
      <c r="W2910" s="41" t="str">
        <f t="shared" si="249"/>
        <v/>
      </c>
      <c r="X2910" s="41" t="str">
        <f t="shared" si="250"/>
        <v/>
      </c>
    </row>
    <row r="2911" s="32" customFormat="1" hidden="1" customHeight="1" spans="1:24">
      <c r="A2911" s="34"/>
      <c r="B2911" s="51"/>
      <c r="C2911" s="51"/>
      <c r="D2911" s="52"/>
      <c r="E2911" s="53"/>
      <c r="F2911" s="54"/>
      <c r="G2911" s="54"/>
      <c r="H2911" s="54"/>
      <c r="I2911" s="66"/>
      <c r="J2911" s="54"/>
      <c r="K2911" s="54"/>
      <c r="L2911" s="54"/>
      <c r="M2911" s="97" t="str">
        <f t="shared" si="247"/>
        <v/>
      </c>
      <c r="N2911" s="70"/>
      <c r="O2911" s="71" t="str">
        <f t="shared" si="251"/>
        <v/>
      </c>
      <c r="P2911" s="66"/>
      <c r="Q2911" s="66"/>
      <c r="R2911" s="54"/>
      <c r="S2911" s="82"/>
      <c r="T2911" s="83" t="str">
        <f t="shared" si="248"/>
        <v/>
      </c>
      <c r="U2911" s="10"/>
      <c r="V2911" s="41">
        <f>IF(AND(Q2911&lt;&gt;"",RIGHT(Q2911,3)&lt;&gt;""),IF(COUNTIF($Q$6:Q2911,Q2911)=1,1,0),0)</f>
        <v>0</v>
      </c>
      <c r="W2911" s="41" t="str">
        <f t="shared" si="249"/>
        <v/>
      </c>
      <c r="X2911" s="41" t="str">
        <f t="shared" si="250"/>
        <v/>
      </c>
    </row>
    <row r="2912" s="32" customFormat="1" hidden="1" customHeight="1" spans="1:24">
      <c r="A2912" s="34"/>
      <c r="B2912" s="51"/>
      <c r="C2912" s="51"/>
      <c r="D2912" s="52"/>
      <c r="E2912" s="53"/>
      <c r="F2912" s="54"/>
      <c r="G2912" s="54"/>
      <c r="H2912" s="54"/>
      <c r="I2912" s="66"/>
      <c r="J2912" s="54"/>
      <c r="K2912" s="54"/>
      <c r="L2912" s="54"/>
      <c r="M2912" s="97" t="str">
        <f t="shared" si="247"/>
        <v/>
      </c>
      <c r="N2912" s="70"/>
      <c r="O2912" s="71" t="str">
        <f t="shared" si="251"/>
        <v/>
      </c>
      <c r="P2912" s="66"/>
      <c r="Q2912" s="66"/>
      <c r="R2912" s="54"/>
      <c r="S2912" s="82"/>
      <c r="T2912" s="83" t="str">
        <f t="shared" si="248"/>
        <v/>
      </c>
      <c r="U2912" s="10"/>
      <c r="V2912" s="41">
        <f>IF(AND(Q2912&lt;&gt;"",RIGHT(Q2912,3)&lt;&gt;""),IF(COUNTIF($Q$6:Q2912,Q2912)=1,1,0),0)</f>
        <v>0</v>
      </c>
      <c r="W2912" s="41" t="str">
        <f t="shared" si="249"/>
        <v/>
      </c>
      <c r="X2912" s="41" t="str">
        <f t="shared" si="250"/>
        <v/>
      </c>
    </row>
    <row r="2913" s="32" customFormat="1" hidden="1" customHeight="1" spans="1:24">
      <c r="A2913" s="34"/>
      <c r="B2913" s="51"/>
      <c r="C2913" s="51"/>
      <c r="D2913" s="52"/>
      <c r="E2913" s="53"/>
      <c r="F2913" s="54"/>
      <c r="G2913" s="54"/>
      <c r="H2913" s="54"/>
      <c r="I2913" s="66"/>
      <c r="J2913" s="54"/>
      <c r="K2913" s="54"/>
      <c r="L2913" s="54"/>
      <c r="M2913" s="97" t="str">
        <f t="shared" si="247"/>
        <v/>
      </c>
      <c r="N2913" s="70"/>
      <c r="O2913" s="71" t="str">
        <f t="shared" si="251"/>
        <v/>
      </c>
      <c r="P2913" s="66"/>
      <c r="Q2913" s="66"/>
      <c r="R2913" s="54"/>
      <c r="S2913" s="82"/>
      <c r="T2913" s="83" t="str">
        <f t="shared" si="248"/>
        <v/>
      </c>
      <c r="U2913" s="10"/>
      <c r="V2913" s="41">
        <f>IF(AND(Q2913&lt;&gt;"",RIGHT(Q2913,3)&lt;&gt;""),IF(COUNTIF($Q$6:Q2913,Q2913)=1,1,0),0)</f>
        <v>0</v>
      </c>
      <c r="W2913" s="41" t="str">
        <f t="shared" si="249"/>
        <v/>
      </c>
      <c r="X2913" s="41" t="str">
        <f t="shared" si="250"/>
        <v/>
      </c>
    </row>
    <row r="2914" s="32" customFormat="1" hidden="1" customHeight="1" spans="1:24">
      <c r="A2914" s="34"/>
      <c r="B2914" s="51"/>
      <c r="C2914" s="51"/>
      <c r="D2914" s="52"/>
      <c r="E2914" s="53"/>
      <c r="F2914" s="54"/>
      <c r="G2914" s="54"/>
      <c r="H2914" s="54"/>
      <c r="I2914" s="66"/>
      <c r="J2914" s="54"/>
      <c r="K2914" s="54"/>
      <c r="L2914" s="54"/>
      <c r="M2914" s="97" t="str">
        <f t="shared" si="247"/>
        <v/>
      </c>
      <c r="N2914" s="70"/>
      <c r="O2914" s="71" t="str">
        <f t="shared" si="251"/>
        <v/>
      </c>
      <c r="P2914" s="66"/>
      <c r="Q2914" s="66"/>
      <c r="R2914" s="54"/>
      <c r="S2914" s="82"/>
      <c r="T2914" s="83" t="str">
        <f t="shared" si="248"/>
        <v/>
      </c>
      <c r="U2914" s="10"/>
      <c r="V2914" s="41">
        <f>IF(AND(Q2914&lt;&gt;"",RIGHT(Q2914,3)&lt;&gt;""),IF(COUNTIF($Q$6:Q2914,Q2914)=1,1,0),0)</f>
        <v>0</v>
      </c>
      <c r="W2914" s="41" t="str">
        <f t="shared" si="249"/>
        <v/>
      </c>
      <c r="X2914" s="41" t="str">
        <f t="shared" si="250"/>
        <v/>
      </c>
    </row>
    <row r="2915" s="32" customFormat="1" hidden="1" customHeight="1" spans="1:24">
      <c r="A2915" s="34"/>
      <c r="B2915" s="51"/>
      <c r="C2915" s="51"/>
      <c r="D2915" s="52"/>
      <c r="E2915" s="53"/>
      <c r="F2915" s="54"/>
      <c r="G2915" s="54"/>
      <c r="H2915" s="54"/>
      <c r="I2915" s="66"/>
      <c r="J2915" s="54"/>
      <c r="K2915" s="54"/>
      <c r="L2915" s="54"/>
      <c r="M2915" s="97" t="str">
        <f t="shared" si="247"/>
        <v/>
      </c>
      <c r="N2915" s="70"/>
      <c r="O2915" s="71" t="str">
        <f t="shared" si="251"/>
        <v/>
      </c>
      <c r="P2915" s="66"/>
      <c r="Q2915" s="66"/>
      <c r="R2915" s="54"/>
      <c r="S2915" s="82"/>
      <c r="T2915" s="83" t="str">
        <f t="shared" si="248"/>
        <v/>
      </c>
      <c r="U2915" s="10"/>
      <c r="V2915" s="41">
        <f>IF(AND(Q2915&lt;&gt;"",RIGHT(Q2915,3)&lt;&gt;""),IF(COUNTIF($Q$6:Q2915,Q2915)=1,1,0),0)</f>
        <v>0</v>
      </c>
      <c r="W2915" s="41" t="str">
        <f t="shared" si="249"/>
        <v/>
      </c>
      <c r="X2915" s="41" t="str">
        <f t="shared" si="250"/>
        <v/>
      </c>
    </row>
    <row r="2916" s="32" customFormat="1" hidden="1" customHeight="1" spans="1:24">
      <c r="A2916" s="34"/>
      <c r="B2916" s="51"/>
      <c r="C2916" s="51"/>
      <c r="D2916" s="52"/>
      <c r="E2916" s="53"/>
      <c r="F2916" s="54"/>
      <c r="G2916" s="54"/>
      <c r="H2916" s="54"/>
      <c r="I2916" s="66"/>
      <c r="J2916" s="54"/>
      <c r="K2916" s="54"/>
      <c r="L2916" s="54"/>
      <c r="M2916" s="97" t="str">
        <f t="shared" ref="M2916:M2979" si="252">IF(L2916="","",HYPERLINK(_xlfn.CONCAT($L$4,L2916,".jpg"),"Open File"))</f>
        <v/>
      </c>
      <c r="N2916" s="70"/>
      <c r="O2916" s="71" t="str">
        <f t="shared" si="251"/>
        <v/>
      </c>
      <c r="P2916" s="66"/>
      <c r="Q2916" s="66"/>
      <c r="R2916" s="54"/>
      <c r="S2916" s="82"/>
      <c r="T2916" s="83" t="str">
        <f t="shared" ref="T2916:T2979" si="253">IF(S2916="","",HYPERLINK(_xlfn.CONCAT($S$4,S2916,".jpg"),"Open File"))</f>
        <v/>
      </c>
      <c r="U2916" s="10"/>
      <c r="V2916" s="41">
        <f>IF(AND(Q2916&lt;&gt;"",RIGHT(Q2916,3)&lt;&gt;""),IF(COUNTIF($Q$6:Q2916,Q2916)=1,1,0),0)</f>
        <v>0</v>
      </c>
      <c r="W2916" s="41" t="str">
        <f t="shared" ref="W2916:W2979" si="254">IF(AND(J2916&lt;&gt;"",K2916&lt;&gt;""),_xlfn.CONCAT(SUBSTITUTE(J2916,"/","."),"-",K2916),"")</f>
        <v/>
      </c>
      <c r="X2916" s="41" t="str">
        <f t="shared" ref="X2916:X2979" si="255">IF(AND(Q2916&lt;&gt;"",R2916&lt;&gt;""),_xlfn.CONCAT(SUBSTITUTE(Q2916,"/","."),"-",R2916),"")</f>
        <v/>
      </c>
    </row>
    <row r="2917" s="32" customFormat="1" hidden="1" customHeight="1" spans="1:24">
      <c r="A2917" s="34"/>
      <c r="B2917" s="51"/>
      <c r="C2917" s="51"/>
      <c r="D2917" s="52"/>
      <c r="E2917" s="53"/>
      <c r="F2917" s="54"/>
      <c r="G2917" s="54"/>
      <c r="H2917" s="54"/>
      <c r="I2917" s="66"/>
      <c r="J2917" s="54"/>
      <c r="K2917" s="54"/>
      <c r="L2917" s="54"/>
      <c r="M2917" s="97" t="str">
        <f t="shared" si="252"/>
        <v/>
      </c>
      <c r="N2917" s="70"/>
      <c r="O2917" s="71" t="str">
        <f t="shared" si="251"/>
        <v/>
      </c>
      <c r="P2917" s="66"/>
      <c r="Q2917" s="66"/>
      <c r="R2917" s="54"/>
      <c r="S2917" s="82"/>
      <c r="T2917" s="83" t="str">
        <f t="shared" si="253"/>
        <v/>
      </c>
      <c r="U2917" s="10"/>
      <c r="V2917" s="41">
        <f>IF(AND(Q2917&lt;&gt;"",RIGHT(Q2917,3)&lt;&gt;""),IF(COUNTIF($Q$6:Q2917,Q2917)=1,1,0),0)</f>
        <v>0</v>
      </c>
      <c r="W2917" s="41" t="str">
        <f t="shared" si="254"/>
        <v/>
      </c>
      <c r="X2917" s="41" t="str">
        <f t="shared" si="255"/>
        <v/>
      </c>
    </row>
    <row r="2918" s="32" customFormat="1" hidden="1" customHeight="1" spans="1:24">
      <c r="A2918" s="34"/>
      <c r="B2918" s="51"/>
      <c r="C2918" s="51"/>
      <c r="D2918" s="52"/>
      <c r="E2918" s="53"/>
      <c r="F2918" s="54"/>
      <c r="G2918" s="54"/>
      <c r="H2918" s="54"/>
      <c r="I2918" s="66"/>
      <c r="J2918" s="54"/>
      <c r="K2918" s="54"/>
      <c r="L2918" s="54"/>
      <c r="M2918" s="97" t="str">
        <f t="shared" si="252"/>
        <v/>
      </c>
      <c r="N2918" s="70"/>
      <c r="O2918" s="71" t="str">
        <f t="shared" si="251"/>
        <v/>
      </c>
      <c r="P2918" s="66"/>
      <c r="Q2918" s="66"/>
      <c r="R2918" s="54"/>
      <c r="S2918" s="82"/>
      <c r="T2918" s="83" t="str">
        <f t="shared" si="253"/>
        <v/>
      </c>
      <c r="U2918" s="10"/>
      <c r="V2918" s="41">
        <f>IF(AND(Q2918&lt;&gt;"",RIGHT(Q2918,3)&lt;&gt;""),IF(COUNTIF($Q$6:Q2918,Q2918)=1,1,0),0)</f>
        <v>0</v>
      </c>
      <c r="W2918" s="41" t="str">
        <f t="shared" si="254"/>
        <v/>
      </c>
      <c r="X2918" s="41" t="str">
        <f t="shared" si="255"/>
        <v/>
      </c>
    </row>
    <row r="2919" s="32" customFormat="1" hidden="1" customHeight="1" spans="1:24">
      <c r="A2919" s="34"/>
      <c r="B2919" s="51"/>
      <c r="C2919" s="51"/>
      <c r="D2919" s="52"/>
      <c r="E2919" s="53"/>
      <c r="F2919" s="54"/>
      <c r="G2919" s="54"/>
      <c r="H2919" s="54"/>
      <c r="I2919" s="66"/>
      <c r="J2919" s="54"/>
      <c r="K2919" s="54"/>
      <c r="L2919" s="54"/>
      <c r="M2919" s="97" t="str">
        <f t="shared" si="252"/>
        <v/>
      </c>
      <c r="N2919" s="70"/>
      <c r="O2919" s="71" t="str">
        <f t="shared" si="251"/>
        <v/>
      </c>
      <c r="P2919" s="66"/>
      <c r="Q2919" s="66"/>
      <c r="R2919" s="54"/>
      <c r="S2919" s="82"/>
      <c r="T2919" s="83" t="str">
        <f t="shared" si="253"/>
        <v/>
      </c>
      <c r="U2919" s="10"/>
      <c r="V2919" s="41">
        <f>IF(AND(Q2919&lt;&gt;"",RIGHT(Q2919,3)&lt;&gt;""),IF(COUNTIF($Q$6:Q2919,Q2919)=1,1,0),0)</f>
        <v>0</v>
      </c>
      <c r="W2919" s="41" t="str">
        <f t="shared" si="254"/>
        <v/>
      </c>
      <c r="X2919" s="41" t="str">
        <f t="shared" si="255"/>
        <v/>
      </c>
    </row>
    <row r="2920" s="32" customFormat="1" hidden="1" customHeight="1" spans="1:24">
      <c r="A2920" s="34"/>
      <c r="B2920" s="51"/>
      <c r="C2920" s="51"/>
      <c r="D2920" s="52"/>
      <c r="E2920" s="53"/>
      <c r="F2920" s="54"/>
      <c r="G2920" s="54"/>
      <c r="H2920" s="54"/>
      <c r="I2920" s="66"/>
      <c r="J2920" s="54"/>
      <c r="K2920" s="54"/>
      <c r="L2920" s="54"/>
      <c r="M2920" s="97" t="str">
        <f t="shared" si="252"/>
        <v/>
      </c>
      <c r="N2920" s="70"/>
      <c r="O2920" s="71" t="str">
        <f t="shared" si="251"/>
        <v/>
      </c>
      <c r="P2920" s="66"/>
      <c r="Q2920" s="66"/>
      <c r="R2920" s="54"/>
      <c r="S2920" s="82"/>
      <c r="T2920" s="83" t="str">
        <f t="shared" si="253"/>
        <v/>
      </c>
      <c r="U2920" s="10"/>
      <c r="V2920" s="41">
        <f>IF(AND(Q2920&lt;&gt;"",RIGHT(Q2920,3)&lt;&gt;""),IF(COUNTIF($Q$6:Q2920,Q2920)=1,1,0),0)</f>
        <v>0</v>
      </c>
      <c r="W2920" s="41" t="str">
        <f t="shared" si="254"/>
        <v/>
      </c>
      <c r="X2920" s="41" t="str">
        <f t="shared" si="255"/>
        <v/>
      </c>
    </row>
    <row r="2921" s="32" customFormat="1" hidden="1" customHeight="1" spans="1:24">
      <c r="A2921" s="34"/>
      <c r="B2921" s="51"/>
      <c r="C2921" s="51"/>
      <c r="D2921" s="52"/>
      <c r="E2921" s="53"/>
      <c r="F2921" s="54"/>
      <c r="G2921" s="54"/>
      <c r="H2921" s="54"/>
      <c r="I2921" s="66"/>
      <c r="J2921" s="54"/>
      <c r="K2921" s="54"/>
      <c r="L2921" s="54"/>
      <c r="M2921" s="97" t="str">
        <f t="shared" si="252"/>
        <v/>
      </c>
      <c r="N2921" s="70"/>
      <c r="O2921" s="71" t="str">
        <f t="shared" si="251"/>
        <v/>
      </c>
      <c r="P2921" s="66"/>
      <c r="Q2921" s="66"/>
      <c r="R2921" s="54"/>
      <c r="S2921" s="82"/>
      <c r="T2921" s="83" t="str">
        <f t="shared" si="253"/>
        <v/>
      </c>
      <c r="U2921" s="10"/>
      <c r="V2921" s="41">
        <f>IF(AND(Q2921&lt;&gt;"",RIGHT(Q2921,3)&lt;&gt;""),IF(COUNTIF($Q$6:Q2921,Q2921)=1,1,0),0)</f>
        <v>0</v>
      </c>
      <c r="W2921" s="41" t="str">
        <f t="shared" si="254"/>
        <v/>
      </c>
      <c r="X2921" s="41" t="str">
        <f t="shared" si="255"/>
        <v/>
      </c>
    </row>
    <row r="2922" s="32" customFormat="1" hidden="1" customHeight="1" spans="1:24">
      <c r="A2922" s="34"/>
      <c r="B2922" s="51"/>
      <c r="C2922" s="51"/>
      <c r="D2922" s="52"/>
      <c r="E2922" s="53"/>
      <c r="F2922" s="54"/>
      <c r="G2922" s="54"/>
      <c r="H2922" s="54"/>
      <c r="I2922" s="66"/>
      <c r="J2922" s="54"/>
      <c r="K2922" s="54"/>
      <c r="L2922" s="54"/>
      <c r="M2922" s="97" t="str">
        <f t="shared" si="252"/>
        <v/>
      </c>
      <c r="N2922" s="70"/>
      <c r="O2922" s="71" t="str">
        <f t="shared" si="251"/>
        <v/>
      </c>
      <c r="P2922" s="66"/>
      <c r="Q2922" s="66"/>
      <c r="R2922" s="54"/>
      <c r="S2922" s="82"/>
      <c r="T2922" s="83" t="str">
        <f t="shared" si="253"/>
        <v/>
      </c>
      <c r="U2922" s="10"/>
      <c r="V2922" s="41">
        <f>IF(AND(Q2922&lt;&gt;"",RIGHT(Q2922,3)&lt;&gt;""),IF(COUNTIF($Q$6:Q2922,Q2922)=1,1,0),0)</f>
        <v>0</v>
      </c>
      <c r="W2922" s="41" t="str">
        <f t="shared" si="254"/>
        <v/>
      </c>
      <c r="X2922" s="41" t="str">
        <f t="shared" si="255"/>
        <v/>
      </c>
    </row>
    <row r="2923" s="32" customFormat="1" hidden="1" customHeight="1" spans="1:24">
      <c r="A2923" s="34"/>
      <c r="B2923" s="51"/>
      <c r="C2923" s="51"/>
      <c r="D2923" s="52"/>
      <c r="E2923" s="53"/>
      <c r="F2923" s="54"/>
      <c r="G2923" s="54"/>
      <c r="H2923" s="54"/>
      <c r="I2923" s="66"/>
      <c r="J2923" s="54"/>
      <c r="K2923" s="54"/>
      <c r="L2923" s="54"/>
      <c r="M2923" s="97" t="str">
        <f t="shared" si="252"/>
        <v/>
      </c>
      <c r="N2923" s="70"/>
      <c r="O2923" s="71" t="str">
        <f t="shared" si="251"/>
        <v/>
      </c>
      <c r="P2923" s="66"/>
      <c r="Q2923" s="66"/>
      <c r="R2923" s="54"/>
      <c r="S2923" s="82"/>
      <c r="T2923" s="83" t="str">
        <f t="shared" si="253"/>
        <v/>
      </c>
      <c r="U2923" s="10"/>
      <c r="V2923" s="41">
        <f>IF(AND(Q2923&lt;&gt;"",RIGHT(Q2923,3)&lt;&gt;""),IF(COUNTIF($Q$6:Q2923,Q2923)=1,1,0),0)</f>
        <v>0</v>
      </c>
      <c r="W2923" s="41" t="str">
        <f t="shared" si="254"/>
        <v/>
      </c>
      <c r="X2923" s="41" t="str">
        <f t="shared" si="255"/>
        <v/>
      </c>
    </row>
    <row r="2924" s="32" customFormat="1" hidden="1" customHeight="1" spans="1:24">
      <c r="A2924" s="34"/>
      <c r="B2924" s="51"/>
      <c r="C2924" s="51"/>
      <c r="D2924" s="52"/>
      <c r="E2924" s="53"/>
      <c r="F2924" s="54"/>
      <c r="G2924" s="54"/>
      <c r="H2924" s="54"/>
      <c r="I2924" s="66"/>
      <c r="J2924" s="54"/>
      <c r="K2924" s="54"/>
      <c r="L2924" s="54"/>
      <c r="M2924" s="97" t="str">
        <f t="shared" si="252"/>
        <v/>
      </c>
      <c r="N2924" s="70"/>
      <c r="O2924" s="71" t="str">
        <f t="shared" si="251"/>
        <v/>
      </c>
      <c r="P2924" s="66"/>
      <c r="Q2924" s="66"/>
      <c r="R2924" s="54"/>
      <c r="S2924" s="82"/>
      <c r="T2924" s="83" t="str">
        <f t="shared" si="253"/>
        <v/>
      </c>
      <c r="U2924" s="10"/>
      <c r="V2924" s="41">
        <f>IF(AND(Q2924&lt;&gt;"",RIGHT(Q2924,3)&lt;&gt;""),IF(COUNTIF($Q$6:Q2924,Q2924)=1,1,0),0)</f>
        <v>0</v>
      </c>
      <c r="W2924" s="41" t="str">
        <f t="shared" si="254"/>
        <v/>
      </c>
      <c r="X2924" s="41" t="str">
        <f t="shared" si="255"/>
        <v/>
      </c>
    </row>
    <row r="2925" s="32" customFormat="1" hidden="1" customHeight="1" spans="1:24">
      <c r="A2925" s="34"/>
      <c r="B2925" s="51"/>
      <c r="C2925" s="51"/>
      <c r="D2925" s="52"/>
      <c r="E2925" s="53"/>
      <c r="F2925" s="54"/>
      <c r="G2925" s="54"/>
      <c r="H2925" s="54"/>
      <c r="I2925" s="66"/>
      <c r="J2925" s="54"/>
      <c r="K2925" s="54"/>
      <c r="L2925" s="54"/>
      <c r="M2925" s="97" t="str">
        <f t="shared" si="252"/>
        <v/>
      </c>
      <c r="N2925" s="70"/>
      <c r="O2925" s="71" t="str">
        <f t="shared" si="251"/>
        <v/>
      </c>
      <c r="P2925" s="66"/>
      <c r="Q2925" s="66"/>
      <c r="R2925" s="54"/>
      <c r="S2925" s="82"/>
      <c r="T2925" s="83" t="str">
        <f t="shared" si="253"/>
        <v/>
      </c>
      <c r="U2925" s="10"/>
      <c r="V2925" s="41">
        <f>IF(AND(Q2925&lt;&gt;"",RIGHT(Q2925,3)&lt;&gt;""),IF(COUNTIF($Q$6:Q2925,Q2925)=1,1,0),0)</f>
        <v>0</v>
      </c>
      <c r="W2925" s="41" t="str">
        <f t="shared" si="254"/>
        <v/>
      </c>
      <c r="X2925" s="41" t="str">
        <f t="shared" si="255"/>
        <v/>
      </c>
    </row>
    <row r="2926" s="32" customFormat="1" hidden="1" customHeight="1" spans="1:24">
      <c r="A2926" s="34"/>
      <c r="B2926" s="51"/>
      <c r="C2926" s="51"/>
      <c r="D2926" s="52"/>
      <c r="E2926" s="53"/>
      <c r="F2926" s="54"/>
      <c r="G2926" s="54"/>
      <c r="H2926" s="54"/>
      <c r="I2926" s="66"/>
      <c r="J2926" s="54"/>
      <c r="K2926" s="54"/>
      <c r="L2926" s="54"/>
      <c r="M2926" s="97" t="str">
        <f t="shared" si="252"/>
        <v/>
      </c>
      <c r="N2926" s="70"/>
      <c r="O2926" s="71" t="str">
        <f t="shared" si="251"/>
        <v/>
      </c>
      <c r="P2926" s="66"/>
      <c r="Q2926" s="66"/>
      <c r="R2926" s="54"/>
      <c r="S2926" s="82"/>
      <c r="T2926" s="83" t="str">
        <f t="shared" si="253"/>
        <v/>
      </c>
      <c r="U2926" s="10"/>
      <c r="V2926" s="41">
        <f>IF(AND(Q2926&lt;&gt;"",RIGHT(Q2926,3)&lt;&gt;""),IF(COUNTIF($Q$6:Q2926,Q2926)=1,1,0),0)</f>
        <v>0</v>
      </c>
      <c r="W2926" s="41" t="str">
        <f t="shared" si="254"/>
        <v/>
      </c>
      <c r="X2926" s="41" t="str">
        <f t="shared" si="255"/>
        <v/>
      </c>
    </row>
    <row r="2927" s="32" customFormat="1" hidden="1" customHeight="1" spans="1:24">
      <c r="A2927" s="34"/>
      <c r="B2927" s="51"/>
      <c r="C2927" s="51"/>
      <c r="D2927" s="52"/>
      <c r="E2927" s="53"/>
      <c r="F2927" s="54"/>
      <c r="G2927" s="54"/>
      <c r="H2927" s="54"/>
      <c r="I2927" s="66"/>
      <c r="J2927" s="54"/>
      <c r="K2927" s="54"/>
      <c r="L2927" s="54"/>
      <c r="M2927" s="97" t="str">
        <f t="shared" si="252"/>
        <v/>
      </c>
      <c r="N2927" s="70"/>
      <c r="O2927" s="71" t="str">
        <f t="shared" si="251"/>
        <v/>
      </c>
      <c r="P2927" s="66"/>
      <c r="Q2927" s="66"/>
      <c r="R2927" s="54"/>
      <c r="S2927" s="82"/>
      <c r="T2927" s="83" t="str">
        <f t="shared" si="253"/>
        <v/>
      </c>
      <c r="U2927" s="10"/>
      <c r="V2927" s="41">
        <f>IF(AND(Q2927&lt;&gt;"",RIGHT(Q2927,3)&lt;&gt;""),IF(COUNTIF($Q$6:Q2927,Q2927)=1,1,0),0)</f>
        <v>0</v>
      </c>
      <c r="W2927" s="41" t="str">
        <f t="shared" si="254"/>
        <v/>
      </c>
      <c r="X2927" s="41" t="str">
        <f t="shared" si="255"/>
        <v/>
      </c>
    </row>
    <row r="2928" s="32" customFormat="1" hidden="1" customHeight="1" spans="1:24">
      <c r="A2928" s="34"/>
      <c r="B2928" s="51"/>
      <c r="C2928" s="51"/>
      <c r="D2928" s="52"/>
      <c r="E2928" s="53"/>
      <c r="F2928" s="54"/>
      <c r="G2928" s="54"/>
      <c r="H2928" s="54"/>
      <c r="I2928" s="66"/>
      <c r="J2928" s="54"/>
      <c r="K2928" s="54"/>
      <c r="L2928" s="54"/>
      <c r="M2928" s="97" t="str">
        <f t="shared" si="252"/>
        <v/>
      </c>
      <c r="N2928" s="70"/>
      <c r="O2928" s="71" t="str">
        <f t="shared" si="251"/>
        <v/>
      </c>
      <c r="P2928" s="66"/>
      <c r="Q2928" s="66"/>
      <c r="R2928" s="54"/>
      <c r="S2928" s="82"/>
      <c r="T2928" s="83" t="str">
        <f t="shared" si="253"/>
        <v/>
      </c>
      <c r="U2928" s="10"/>
      <c r="V2928" s="41">
        <f>IF(AND(Q2928&lt;&gt;"",RIGHT(Q2928,3)&lt;&gt;""),IF(COUNTIF($Q$6:Q2928,Q2928)=1,1,0),0)</f>
        <v>0</v>
      </c>
      <c r="W2928" s="41" t="str">
        <f t="shared" si="254"/>
        <v/>
      </c>
      <c r="X2928" s="41" t="str">
        <f t="shared" si="255"/>
        <v/>
      </c>
    </row>
    <row r="2929" s="32" customFormat="1" hidden="1" customHeight="1" spans="1:24">
      <c r="A2929" s="34"/>
      <c r="B2929" s="51"/>
      <c r="C2929" s="51"/>
      <c r="D2929" s="52"/>
      <c r="E2929" s="53"/>
      <c r="F2929" s="54"/>
      <c r="G2929" s="54"/>
      <c r="H2929" s="54"/>
      <c r="I2929" s="66"/>
      <c r="J2929" s="54"/>
      <c r="K2929" s="54"/>
      <c r="L2929" s="54"/>
      <c r="M2929" s="97" t="str">
        <f t="shared" si="252"/>
        <v/>
      </c>
      <c r="N2929" s="70"/>
      <c r="O2929" s="71" t="str">
        <f t="shared" ref="O2929:O2992" si="256">IF(AND(Q2929&lt;&gt;"",T2929&lt;&gt;""),"PASSIVE",IF(AND(J2929&lt;&gt;"",M2929&lt;&gt;""),"ACTIVE",""))</f>
        <v/>
      </c>
      <c r="P2929" s="66"/>
      <c r="Q2929" s="66"/>
      <c r="R2929" s="54"/>
      <c r="S2929" s="82"/>
      <c r="T2929" s="83" t="str">
        <f t="shared" si="253"/>
        <v/>
      </c>
      <c r="U2929" s="10"/>
      <c r="V2929" s="41">
        <f>IF(AND(Q2929&lt;&gt;"",RIGHT(Q2929,3)&lt;&gt;""),IF(COUNTIF($Q$6:Q2929,Q2929)=1,1,0),0)</f>
        <v>0</v>
      </c>
      <c r="W2929" s="41" t="str">
        <f t="shared" si="254"/>
        <v/>
      </c>
      <c r="X2929" s="41" t="str">
        <f t="shared" si="255"/>
        <v/>
      </c>
    </row>
    <row r="2930" s="32" customFormat="1" hidden="1" customHeight="1" spans="1:24">
      <c r="A2930" s="34"/>
      <c r="B2930" s="51"/>
      <c r="C2930" s="51"/>
      <c r="D2930" s="52"/>
      <c r="E2930" s="53"/>
      <c r="F2930" s="54"/>
      <c r="G2930" s="54"/>
      <c r="H2930" s="54"/>
      <c r="I2930" s="66"/>
      <c r="J2930" s="54"/>
      <c r="K2930" s="54"/>
      <c r="L2930" s="54"/>
      <c r="M2930" s="97" t="str">
        <f t="shared" si="252"/>
        <v/>
      </c>
      <c r="N2930" s="70"/>
      <c r="O2930" s="71" t="str">
        <f t="shared" si="256"/>
        <v/>
      </c>
      <c r="P2930" s="66"/>
      <c r="Q2930" s="66"/>
      <c r="R2930" s="54"/>
      <c r="S2930" s="82"/>
      <c r="T2930" s="83" t="str">
        <f t="shared" si="253"/>
        <v/>
      </c>
      <c r="U2930" s="10"/>
      <c r="V2930" s="41">
        <f>IF(AND(Q2930&lt;&gt;"",RIGHT(Q2930,3)&lt;&gt;""),IF(COUNTIF($Q$6:Q2930,Q2930)=1,1,0),0)</f>
        <v>0</v>
      </c>
      <c r="W2930" s="41" t="str">
        <f t="shared" si="254"/>
        <v/>
      </c>
      <c r="X2930" s="41" t="str">
        <f t="shared" si="255"/>
        <v/>
      </c>
    </row>
    <row r="2931" s="32" customFormat="1" hidden="1" customHeight="1" spans="1:24">
      <c r="A2931" s="34"/>
      <c r="B2931" s="51"/>
      <c r="C2931" s="51"/>
      <c r="D2931" s="52"/>
      <c r="E2931" s="53"/>
      <c r="F2931" s="54"/>
      <c r="G2931" s="54"/>
      <c r="H2931" s="54"/>
      <c r="I2931" s="66"/>
      <c r="J2931" s="54"/>
      <c r="K2931" s="54"/>
      <c r="L2931" s="54"/>
      <c r="M2931" s="97" t="str">
        <f t="shared" si="252"/>
        <v/>
      </c>
      <c r="N2931" s="70"/>
      <c r="O2931" s="71" t="str">
        <f t="shared" si="256"/>
        <v/>
      </c>
      <c r="P2931" s="66"/>
      <c r="Q2931" s="66"/>
      <c r="R2931" s="54"/>
      <c r="S2931" s="82"/>
      <c r="T2931" s="83" t="str">
        <f t="shared" si="253"/>
        <v/>
      </c>
      <c r="U2931" s="10"/>
      <c r="V2931" s="41">
        <f>IF(AND(Q2931&lt;&gt;"",RIGHT(Q2931,3)&lt;&gt;""),IF(COUNTIF($Q$6:Q2931,Q2931)=1,1,0),0)</f>
        <v>0</v>
      </c>
      <c r="W2931" s="41" t="str">
        <f t="shared" si="254"/>
        <v/>
      </c>
      <c r="X2931" s="41" t="str">
        <f t="shared" si="255"/>
        <v/>
      </c>
    </row>
    <row r="2932" s="32" customFormat="1" hidden="1" customHeight="1" spans="1:24">
      <c r="A2932" s="34"/>
      <c r="B2932" s="51"/>
      <c r="C2932" s="51"/>
      <c r="D2932" s="52"/>
      <c r="E2932" s="53"/>
      <c r="F2932" s="54"/>
      <c r="G2932" s="54"/>
      <c r="H2932" s="54"/>
      <c r="I2932" s="66"/>
      <c r="J2932" s="54"/>
      <c r="K2932" s="54"/>
      <c r="L2932" s="54"/>
      <c r="M2932" s="97" t="str">
        <f t="shared" si="252"/>
        <v/>
      </c>
      <c r="N2932" s="70"/>
      <c r="O2932" s="71" t="str">
        <f t="shared" si="256"/>
        <v/>
      </c>
      <c r="P2932" s="66"/>
      <c r="Q2932" s="66"/>
      <c r="R2932" s="54"/>
      <c r="S2932" s="82"/>
      <c r="T2932" s="83" t="str">
        <f t="shared" si="253"/>
        <v/>
      </c>
      <c r="U2932" s="10"/>
      <c r="V2932" s="41">
        <f>IF(AND(Q2932&lt;&gt;"",RIGHT(Q2932,3)&lt;&gt;""),IF(COUNTIF($Q$6:Q2932,Q2932)=1,1,0),0)</f>
        <v>0</v>
      </c>
      <c r="W2932" s="41" t="str">
        <f t="shared" si="254"/>
        <v/>
      </c>
      <c r="X2932" s="41" t="str">
        <f t="shared" si="255"/>
        <v/>
      </c>
    </row>
    <row r="2933" s="32" customFormat="1" hidden="1" customHeight="1" spans="1:24">
      <c r="A2933" s="34"/>
      <c r="B2933" s="51"/>
      <c r="C2933" s="51"/>
      <c r="D2933" s="52"/>
      <c r="E2933" s="53"/>
      <c r="F2933" s="54"/>
      <c r="G2933" s="54"/>
      <c r="H2933" s="54"/>
      <c r="I2933" s="66"/>
      <c r="J2933" s="54"/>
      <c r="K2933" s="54"/>
      <c r="L2933" s="54"/>
      <c r="M2933" s="97" t="str">
        <f t="shared" si="252"/>
        <v/>
      </c>
      <c r="N2933" s="70"/>
      <c r="O2933" s="71" t="str">
        <f t="shared" si="256"/>
        <v/>
      </c>
      <c r="P2933" s="66"/>
      <c r="Q2933" s="66"/>
      <c r="R2933" s="54"/>
      <c r="S2933" s="82"/>
      <c r="T2933" s="83" t="str">
        <f t="shared" si="253"/>
        <v/>
      </c>
      <c r="U2933" s="10"/>
      <c r="V2933" s="41">
        <f>IF(AND(Q2933&lt;&gt;"",RIGHT(Q2933,3)&lt;&gt;""),IF(COUNTIF($Q$6:Q2933,Q2933)=1,1,0),0)</f>
        <v>0</v>
      </c>
      <c r="W2933" s="41" t="str">
        <f t="shared" si="254"/>
        <v/>
      </c>
      <c r="X2933" s="41" t="str">
        <f t="shared" si="255"/>
        <v/>
      </c>
    </row>
    <row r="2934" s="32" customFormat="1" hidden="1" customHeight="1" spans="1:24">
      <c r="A2934" s="34"/>
      <c r="B2934" s="51"/>
      <c r="C2934" s="51"/>
      <c r="D2934" s="52"/>
      <c r="E2934" s="53"/>
      <c r="F2934" s="54"/>
      <c r="G2934" s="54"/>
      <c r="H2934" s="54"/>
      <c r="I2934" s="66"/>
      <c r="J2934" s="54"/>
      <c r="K2934" s="54"/>
      <c r="L2934" s="54"/>
      <c r="M2934" s="97" t="str">
        <f t="shared" si="252"/>
        <v/>
      </c>
      <c r="N2934" s="70"/>
      <c r="O2934" s="71" t="str">
        <f t="shared" si="256"/>
        <v/>
      </c>
      <c r="P2934" s="66"/>
      <c r="Q2934" s="66"/>
      <c r="R2934" s="54"/>
      <c r="S2934" s="82"/>
      <c r="T2934" s="83" t="str">
        <f t="shared" si="253"/>
        <v/>
      </c>
      <c r="U2934" s="10"/>
      <c r="V2934" s="41">
        <f>IF(AND(Q2934&lt;&gt;"",RIGHT(Q2934,3)&lt;&gt;""),IF(COUNTIF($Q$6:Q2934,Q2934)=1,1,0),0)</f>
        <v>0</v>
      </c>
      <c r="W2934" s="41" t="str">
        <f t="shared" si="254"/>
        <v/>
      </c>
      <c r="X2934" s="41" t="str">
        <f t="shared" si="255"/>
        <v/>
      </c>
    </row>
    <row r="2935" s="32" customFormat="1" hidden="1" customHeight="1" spans="1:24">
      <c r="A2935" s="34"/>
      <c r="B2935" s="51"/>
      <c r="C2935" s="51"/>
      <c r="D2935" s="52"/>
      <c r="E2935" s="53"/>
      <c r="F2935" s="54"/>
      <c r="G2935" s="54"/>
      <c r="H2935" s="54"/>
      <c r="I2935" s="66"/>
      <c r="J2935" s="54"/>
      <c r="K2935" s="54"/>
      <c r="L2935" s="54"/>
      <c r="M2935" s="97" t="str">
        <f t="shared" si="252"/>
        <v/>
      </c>
      <c r="N2935" s="70"/>
      <c r="O2935" s="71" t="str">
        <f t="shared" si="256"/>
        <v/>
      </c>
      <c r="P2935" s="66"/>
      <c r="Q2935" s="66"/>
      <c r="R2935" s="54"/>
      <c r="S2935" s="82"/>
      <c r="T2935" s="83" t="str">
        <f t="shared" si="253"/>
        <v/>
      </c>
      <c r="U2935" s="10"/>
      <c r="V2935" s="41">
        <f>IF(AND(Q2935&lt;&gt;"",RIGHT(Q2935,3)&lt;&gt;""),IF(COUNTIF($Q$6:Q2935,Q2935)=1,1,0),0)</f>
        <v>0</v>
      </c>
      <c r="W2935" s="41" t="str">
        <f t="shared" si="254"/>
        <v/>
      </c>
      <c r="X2935" s="41" t="str">
        <f t="shared" si="255"/>
        <v/>
      </c>
    </row>
    <row r="2936" s="32" customFormat="1" hidden="1" customHeight="1" spans="1:24">
      <c r="A2936" s="34"/>
      <c r="B2936" s="51"/>
      <c r="C2936" s="51"/>
      <c r="D2936" s="52"/>
      <c r="E2936" s="53"/>
      <c r="F2936" s="54"/>
      <c r="G2936" s="54"/>
      <c r="H2936" s="54"/>
      <c r="I2936" s="66"/>
      <c r="J2936" s="54"/>
      <c r="K2936" s="54"/>
      <c r="L2936" s="54"/>
      <c r="M2936" s="97" t="str">
        <f t="shared" si="252"/>
        <v/>
      </c>
      <c r="N2936" s="70"/>
      <c r="O2936" s="71" t="str">
        <f t="shared" si="256"/>
        <v/>
      </c>
      <c r="P2936" s="66"/>
      <c r="Q2936" s="66"/>
      <c r="R2936" s="54"/>
      <c r="S2936" s="82"/>
      <c r="T2936" s="83" t="str">
        <f t="shared" si="253"/>
        <v/>
      </c>
      <c r="U2936" s="10"/>
      <c r="V2936" s="41">
        <f>IF(AND(Q2936&lt;&gt;"",RIGHT(Q2936,3)&lt;&gt;""),IF(COUNTIF($Q$6:Q2936,Q2936)=1,1,0),0)</f>
        <v>0</v>
      </c>
      <c r="W2936" s="41" t="str">
        <f t="shared" si="254"/>
        <v/>
      </c>
      <c r="X2936" s="41" t="str">
        <f t="shared" si="255"/>
        <v/>
      </c>
    </row>
    <row r="2937" s="32" customFormat="1" hidden="1" customHeight="1" spans="1:24">
      <c r="A2937" s="34"/>
      <c r="B2937" s="51"/>
      <c r="C2937" s="51"/>
      <c r="D2937" s="52"/>
      <c r="E2937" s="53"/>
      <c r="F2937" s="54"/>
      <c r="G2937" s="54"/>
      <c r="H2937" s="54"/>
      <c r="I2937" s="66"/>
      <c r="J2937" s="54"/>
      <c r="K2937" s="54"/>
      <c r="L2937" s="54"/>
      <c r="M2937" s="97" t="str">
        <f t="shared" si="252"/>
        <v/>
      </c>
      <c r="N2937" s="70"/>
      <c r="O2937" s="71" t="str">
        <f t="shared" si="256"/>
        <v/>
      </c>
      <c r="P2937" s="66"/>
      <c r="Q2937" s="66"/>
      <c r="R2937" s="54"/>
      <c r="S2937" s="82"/>
      <c r="T2937" s="83" t="str">
        <f t="shared" si="253"/>
        <v/>
      </c>
      <c r="U2937" s="10"/>
      <c r="V2937" s="41">
        <f>IF(AND(Q2937&lt;&gt;"",RIGHT(Q2937,3)&lt;&gt;""),IF(COUNTIF($Q$6:Q2937,Q2937)=1,1,0),0)</f>
        <v>0</v>
      </c>
      <c r="W2937" s="41" t="str">
        <f t="shared" si="254"/>
        <v/>
      </c>
      <c r="X2937" s="41" t="str">
        <f t="shared" si="255"/>
        <v/>
      </c>
    </row>
    <row r="2938" s="32" customFormat="1" hidden="1" customHeight="1" spans="1:24">
      <c r="A2938" s="34"/>
      <c r="B2938" s="51"/>
      <c r="C2938" s="51"/>
      <c r="D2938" s="52"/>
      <c r="E2938" s="53"/>
      <c r="F2938" s="54"/>
      <c r="G2938" s="54"/>
      <c r="H2938" s="54"/>
      <c r="I2938" s="66"/>
      <c r="J2938" s="54"/>
      <c r="K2938" s="54"/>
      <c r="L2938" s="54"/>
      <c r="M2938" s="97" t="str">
        <f t="shared" si="252"/>
        <v/>
      </c>
      <c r="N2938" s="70"/>
      <c r="O2938" s="71" t="str">
        <f t="shared" si="256"/>
        <v/>
      </c>
      <c r="P2938" s="66"/>
      <c r="Q2938" s="66"/>
      <c r="R2938" s="54"/>
      <c r="S2938" s="82"/>
      <c r="T2938" s="83" t="str">
        <f t="shared" si="253"/>
        <v/>
      </c>
      <c r="U2938" s="10"/>
      <c r="V2938" s="41">
        <f>IF(AND(Q2938&lt;&gt;"",RIGHT(Q2938,3)&lt;&gt;""),IF(COUNTIF($Q$6:Q2938,Q2938)=1,1,0),0)</f>
        <v>0</v>
      </c>
      <c r="W2938" s="41" t="str">
        <f t="shared" si="254"/>
        <v/>
      </c>
      <c r="X2938" s="41" t="str">
        <f t="shared" si="255"/>
        <v/>
      </c>
    </row>
    <row r="2939" s="32" customFormat="1" hidden="1" customHeight="1" spans="1:24">
      <c r="A2939" s="34"/>
      <c r="B2939" s="51"/>
      <c r="C2939" s="51"/>
      <c r="D2939" s="52"/>
      <c r="E2939" s="53"/>
      <c r="F2939" s="54"/>
      <c r="G2939" s="54"/>
      <c r="H2939" s="54"/>
      <c r="I2939" s="66"/>
      <c r="J2939" s="54"/>
      <c r="K2939" s="54"/>
      <c r="L2939" s="54"/>
      <c r="M2939" s="97" t="str">
        <f t="shared" si="252"/>
        <v/>
      </c>
      <c r="N2939" s="70"/>
      <c r="O2939" s="71" t="str">
        <f t="shared" si="256"/>
        <v/>
      </c>
      <c r="P2939" s="66"/>
      <c r="Q2939" s="66"/>
      <c r="R2939" s="54"/>
      <c r="S2939" s="82"/>
      <c r="T2939" s="83" t="str">
        <f t="shared" si="253"/>
        <v/>
      </c>
      <c r="U2939" s="10"/>
      <c r="V2939" s="41">
        <f>IF(AND(Q2939&lt;&gt;"",RIGHT(Q2939,3)&lt;&gt;""),IF(COUNTIF($Q$6:Q2939,Q2939)=1,1,0),0)</f>
        <v>0</v>
      </c>
      <c r="W2939" s="41" t="str">
        <f t="shared" si="254"/>
        <v/>
      </c>
      <c r="X2939" s="41" t="str">
        <f t="shared" si="255"/>
        <v/>
      </c>
    </row>
    <row r="2940" s="32" customFormat="1" hidden="1" customHeight="1" spans="1:24">
      <c r="A2940" s="34"/>
      <c r="B2940" s="51"/>
      <c r="C2940" s="51"/>
      <c r="D2940" s="52"/>
      <c r="E2940" s="53"/>
      <c r="F2940" s="54"/>
      <c r="G2940" s="54"/>
      <c r="H2940" s="54"/>
      <c r="I2940" s="66"/>
      <c r="J2940" s="54"/>
      <c r="K2940" s="54"/>
      <c r="L2940" s="54"/>
      <c r="M2940" s="97" t="str">
        <f t="shared" si="252"/>
        <v/>
      </c>
      <c r="N2940" s="70"/>
      <c r="O2940" s="71" t="str">
        <f t="shared" si="256"/>
        <v/>
      </c>
      <c r="P2940" s="66"/>
      <c r="Q2940" s="66"/>
      <c r="R2940" s="54"/>
      <c r="S2940" s="82"/>
      <c r="T2940" s="83" t="str">
        <f t="shared" si="253"/>
        <v/>
      </c>
      <c r="U2940" s="10"/>
      <c r="V2940" s="41">
        <f>IF(AND(Q2940&lt;&gt;"",RIGHT(Q2940,3)&lt;&gt;""),IF(COUNTIF($Q$6:Q2940,Q2940)=1,1,0),0)</f>
        <v>0</v>
      </c>
      <c r="W2940" s="41" t="str">
        <f t="shared" si="254"/>
        <v/>
      </c>
      <c r="X2940" s="41" t="str">
        <f t="shared" si="255"/>
        <v/>
      </c>
    </row>
    <row r="2941" s="32" customFormat="1" hidden="1" customHeight="1" spans="1:24">
      <c r="A2941" s="34"/>
      <c r="B2941" s="51"/>
      <c r="C2941" s="51"/>
      <c r="D2941" s="52"/>
      <c r="E2941" s="53"/>
      <c r="F2941" s="54"/>
      <c r="G2941" s="54"/>
      <c r="H2941" s="54"/>
      <c r="I2941" s="66"/>
      <c r="J2941" s="54"/>
      <c r="K2941" s="54"/>
      <c r="L2941" s="54"/>
      <c r="M2941" s="97" t="str">
        <f t="shared" si="252"/>
        <v/>
      </c>
      <c r="N2941" s="70"/>
      <c r="O2941" s="71" t="str">
        <f t="shared" si="256"/>
        <v/>
      </c>
      <c r="P2941" s="66"/>
      <c r="Q2941" s="66"/>
      <c r="R2941" s="54"/>
      <c r="S2941" s="82"/>
      <c r="T2941" s="83" t="str">
        <f t="shared" si="253"/>
        <v/>
      </c>
      <c r="U2941" s="10"/>
      <c r="V2941" s="41">
        <f>IF(AND(Q2941&lt;&gt;"",RIGHT(Q2941,3)&lt;&gt;""),IF(COUNTIF($Q$6:Q2941,Q2941)=1,1,0),0)</f>
        <v>0</v>
      </c>
      <c r="W2941" s="41" t="str">
        <f t="shared" si="254"/>
        <v/>
      </c>
      <c r="X2941" s="41" t="str">
        <f t="shared" si="255"/>
        <v/>
      </c>
    </row>
    <row r="2942" s="32" customFormat="1" hidden="1" customHeight="1" spans="1:24">
      <c r="A2942" s="34"/>
      <c r="B2942" s="51"/>
      <c r="C2942" s="51"/>
      <c r="D2942" s="52"/>
      <c r="E2942" s="53"/>
      <c r="F2942" s="54"/>
      <c r="G2942" s="54"/>
      <c r="H2942" s="54"/>
      <c r="I2942" s="66"/>
      <c r="J2942" s="54"/>
      <c r="K2942" s="54"/>
      <c r="L2942" s="54"/>
      <c r="M2942" s="97" t="str">
        <f t="shared" si="252"/>
        <v/>
      </c>
      <c r="N2942" s="70"/>
      <c r="O2942" s="71" t="str">
        <f t="shared" si="256"/>
        <v/>
      </c>
      <c r="P2942" s="66"/>
      <c r="Q2942" s="66"/>
      <c r="R2942" s="54"/>
      <c r="S2942" s="82"/>
      <c r="T2942" s="83" t="str">
        <f t="shared" si="253"/>
        <v/>
      </c>
      <c r="U2942" s="10"/>
      <c r="V2942" s="41">
        <f>IF(AND(Q2942&lt;&gt;"",RIGHT(Q2942,3)&lt;&gt;""),IF(COUNTIF($Q$6:Q2942,Q2942)=1,1,0),0)</f>
        <v>0</v>
      </c>
      <c r="W2942" s="41" t="str">
        <f t="shared" si="254"/>
        <v/>
      </c>
      <c r="X2942" s="41" t="str">
        <f t="shared" si="255"/>
        <v/>
      </c>
    </row>
    <row r="2943" s="32" customFormat="1" hidden="1" customHeight="1" spans="1:24">
      <c r="A2943" s="34"/>
      <c r="B2943" s="51"/>
      <c r="C2943" s="51"/>
      <c r="D2943" s="52"/>
      <c r="E2943" s="53"/>
      <c r="F2943" s="54"/>
      <c r="G2943" s="54"/>
      <c r="H2943" s="54"/>
      <c r="I2943" s="66"/>
      <c r="J2943" s="54"/>
      <c r="K2943" s="54"/>
      <c r="L2943" s="54"/>
      <c r="M2943" s="97" t="str">
        <f t="shared" si="252"/>
        <v/>
      </c>
      <c r="N2943" s="70"/>
      <c r="O2943" s="71" t="str">
        <f t="shared" si="256"/>
        <v/>
      </c>
      <c r="P2943" s="66"/>
      <c r="Q2943" s="66"/>
      <c r="R2943" s="54"/>
      <c r="S2943" s="82"/>
      <c r="T2943" s="83" t="str">
        <f t="shared" si="253"/>
        <v/>
      </c>
      <c r="U2943" s="10"/>
      <c r="V2943" s="41">
        <f>IF(AND(Q2943&lt;&gt;"",RIGHT(Q2943,3)&lt;&gt;""),IF(COUNTIF($Q$6:Q2943,Q2943)=1,1,0),0)</f>
        <v>0</v>
      </c>
      <c r="W2943" s="41" t="str">
        <f t="shared" si="254"/>
        <v/>
      </c>
      <c r="X2943" s="41" t="str">
        <f t="shared" si="255"/>
        <v/>
      </c>
    </row>
    <row r="2944" s="32" customFormat="1" hidden="1" customHeight="1" spans="1:24">
      <c r="A2944" s="34"/>
      <c r="B2944" s="51"/>
      <c r="C2944" s="51"/>
      <c r="D2944" s="52"/>
      <c r="E2944" s="53"/>
      <c r="F2944" s="54"/>
      <c r="G2944" s="54"/>
      <c r="H2944" s="54"/>
      <c r="I2944" s="66"/>
      <c r="J2944" s="54"/>
      <c r="K2944" s="54"/>
      <c r="L2944" s="54"/>
      <c r="M2944" s="97" t="str">
        <f t="shared" si="252"/>
        <v/>
      </c>
      <c r="N2944" s="70"/>
      <c r="O2944" s="71" t="str">
        <f t="shared" si="256"/>
        <v/>
      </c>
      <c r="P2944" s="66"/>
      <c r="Q2944" s="66"/>
      <c r="R2944" s="54"/>
      <c r="S2944" s="82"/>
      <c r="T2944" s="83" t="str">
        <f t="shared" si="253"/>
        <v/>
      </c>
      <c r="U2944" s="10"/>
      <c r="V2944" s="41">
        <f>IF(AND(Q2944&lt;&gt;"",RIGHT(Q2944,3)&lt;&gt;""),IF(COUNTIF($Q$6:Q2944,Q2944)=1,1,0),0)</f>
        <v>0</v>
      </c>
      <c r="W2944" s="41" t="str">
        <f t="shared" si="254"/>
        <v/>
      </c>
      <c r="X2944" s="41" t="str">
        <f t="shared" si="255"/>
        <v/>
      </c>
    </row>
    <row r="2945" s="32" customFormat="1" hidden="1" customHeight="1" spans="1:24">
      <c r="A2945" s="34"/>
      <c r="B2945" s="51"/>
      <c r="C2945" s="51"/>
      <c r="D2945" s="52"/>
      <c r="E2945" s="53"/>
      <c r="F2945" s="54"/>
      <c r="G2945" s="54"/>
      <c r="H2945" s="54"/>
      <c r="I2945" s="66"/>
      <c r="J2945" s="54"/>
      <c r="K2945" s="54"/>
      <c r="L2945" s="54"/>
      <c r="M2945" s="97" t="str">
        <f t="shared" si="252"/>
        <v/>
      </c>
      <c r="N2945" s="70"/>
      <c r="O2945" s="71" t="str">
        <f t="shared" si="256"/>
        <v/>
      </c>
      <c r="P2945" s="66"/>
      <c r="Q2945" s="66"/>
      <c r="R2945" s="54"/>
      <c r="S2945" s="82"/>
      <c r="T2945" s="83" t="str">
        <f t="shared" si="253"/>
        <v/>
      </c>
      <c r="U2945" s="10"/>
      <c r="V2945" s="41">
        <f>IF(AND(Q2945&lt;&gt;"",RIGHT(Q2945,3)&lt;&gt;""),IF(COUNTIF($Q$6:Q2945,Q2945)=1,1,0),0)</f>
        <v>0</v>
      </c>
      <c r="W2945" s="41" t="str">
        <f t="shared" si="254"/>
        <v/>
      </c>
      <c r="X2945" s="41" t="str">
        <f t="shared" si="255"/>
        <v/>
      </c>
    </row>
    <row r="2946" s="32" customFormat="1" hidden="1" customHeight="1" spans="1:24">
      <c r="A2946" s="34"/>
      <c r="B2946" s="51"/>
      <c r="C2946" s="51"/>
      <c r="D2946" s="52"/>
      <c r="E2946" s="53"/>
      <c r="F2946" s="54"/>
      <c r="G2946" s="54"/>
      <c r="H2946" s="54"/>
      <c r="I2946" s="66"/>
      <c r="J2946" s="54"/>
      <c r="K2946" s="54"/>
      <c r="L2946" s="54"/>
      <c r="M2946" s="97" t="str">
        <f t="shared" si="252"/>
        <v/>
      </c>
      <c r="N2946" s="70"/>
      <c r="O2946" s="71" t="str">
        <f t="shared" si="256"/>
        <v/>
      </c>
      <c r="P2946" s="66"/>
      <c r="Q2946" s="66"/>
      <c r="R2946" s="54"/>
      <c r="S2946" s="82"/>
      <c r="T2946" s="83" t="str">
        <f t="shared" si="253"/>
        <v/>
      </c>
      <c r="U2946" s="10"/>
      <c r="V2946" s="41">
        <f>IF(AND(Q2946&lt;&gt;"",RIGHT(Q2946,3)&lt;&gt;""),IF(COUNTIF($Q$6:Q2946,Q2946)=1,1,0),0)</f>
        <v>0</v>
      </c>
      <c r="W2946" s="41" t="str">
        <f t="shared" si="254"/>
        <v/>
      </c>
      <c r="X2946" s="41" t="str">
        <f t="shared" si="255"/>
        <v/>
      </c>
    </row>
    <row r="2947" s="32" customFormat="1" hidden="1" customHeight="1" spans="1:24">
      <c r="A2947" s="34"/>
      <c r="B2947" s="51"/>
      <c r="C2947" s="51"/>
      <c r="D2947" s="52"/>
      <c r="E2947" s="53"/>
      <c r="F2947" s="54"/>
      <c r="G2947" s="54"/>
      <c r="H2947" s="54"/>
      <c r="I2947" s="66"/>
      <c r="J2947" s="54"/>
      <c r="K2947" s="54"/>
      <c r="L2947" s="54"/>
      <c r="M2947" s="97" t="str">
        <f t="shared" si="252"/>
        <v/>
      </c>
      <c r="N2947" s="70"/>
      <c r="O2947" s="71" t="str">
        <f t="shared" si="256"/>
        <v/>
      </c>
      <c r="P2947" s="66"/>
      <c r="Q2947" s="66"/>
      <c r="R2947" s="54"/>
      <c r="S2947" s="82"/>
      <c r="T2947" s="83" t="str">
        <f t="shared" si="253"/>
        <v/>
      </c>
      <c r="U2947" s="10"/>
      <c r="V2947" s="41">
        <f>IF(AND(Q2947&lt;&gt;"",RIGHT(Q2947,3)&lt;&gt;""),IF(COUNTIF($Q$6:Q2947,Q2947)=1,1,0),0)</f>
        <v>0</v>
      </c>
      <c r="W2947" s="41" t="str">
        <f t="shared" si="254"/>
        <v/>
      </c>
      <c r="X2947" s="41" t="str">
        <f t="shared" si="255"/>
        <v/>
      </c>
    </row>
    <row r="2948" s="32" customFormat="1" hidden="1" customHeight="1" spans="1:24">
      <c r="A2948" s="34"/>
      <c r="B2948" s="51"/>
      <c r="C2948" s="51"/>
      <c r="D2948" s="52"/>
      <c r="E2948" s="53"/>
      <c r="F2948" s="54"/>
      <c r="G2948" s="54"/>
      <c r="H2948" s="54"/>
      <c r="I2948" s="66"/>
      <c r="J2948" s="54"/>
      <c r="K2948" s="54"/>
      <c r="L2948" s="54"/>
      <c r="M2948" s="97" t="str">
        <f t="shared" si="252"/>
        <v/>
      </c>
      <c r="N2948" s="70"/>
      <c r="O2948" s="71" t="str">
        <f t="shared" si="256"/>
        <v/>
      </c>
      <c r="P2948" s="66"/>
      <c r="Q2948" s="66"/>
      <c r="R2948" s="54"/>
      <c r="S2948" s="82"/>
      <c r="T2948" s="83" t="str">
        <f t="shared" si="253"/>
        <v/>
      </c>
      <c r="U2948" s="10"/>
      <c r="V2948" s="41">
        <f>IF(AND(Q2948&lt;&gt;"",RIGHT(Q2948,3)&lt;&gt;""),IF(COUNTIF($Q$6:Q2948,Q2948)=1,1,0),0)</f>
        <v>0</v>
      </c>
      <c r="W2948" s="41" t="str">
        <f t="shared" si="254"/>
        <v/>
      </c>
      <c r="X2948" s="41" t="str">
        <f t="shared" si="255"/>
        <v/>
      </c>
    </row>
    <row r="2949" s="32" customFormat="1" hidden="1" customHeight="1" spans="1:24">
      <c r="A2949" s="34"/>
      <c r="B2949" s="51"/>
      <c r="C2949" s="51"/>
      <c r="D2949" s="52"/>
      <c r="E2949" s="53"/>
      <c r="F2949" s="54"/>
      <c r="G2949" s="54"/>
      <c r="H2949" s="54"/>
      <c r="I2949" s="66"/>
      <c r="J2949" s="54"/>
      <c r="K2949" s="54"/>
      <c r="L2949" s="54"/>
      <c r="M2949" s="97" t="str">
        <f t="shared" si="252"/>
        <v/>
      </c>
      <c r="N2949" s="70"/>
      <c r="O2949" s="71" t="str">
        <f t="shared" si="256"/>
        <v/>
      </c>
      <c r="P2949" s="66"/>
      <c r="Q2949" s="66"/>
      <c r="R2949" s="54"/>
      <c r="S2949" s="82"/>
      <c r="T2949" s="83" t="str">
        <f t="shared" si="253"/>
        <v/>
      </c>
      <c r="U2949" s="10"/>
      <c r="V2949" s="41">
        <f>IF(AND(Q2949&lt;&gt;"",RIGHT(Q2949,3)&lt;&gt;""),IF(COUNTIF($Q$6:Q2949,Q2949)=1,1,0),0)</f>
        <v>0</v>
      </c>
      <c r="W2949" s="41" t="str">
        <f t="shared" si="254"/>
        <v/>
      </c>
      <c r="X2949" s="41" t="str">
        <f t="shared" si="255"/>
        <v/>
      </c>
    </row>
    <row r="2950" s="32" customFormat="1" hidden="1" customHeight="1" spans="1:24">
      <c r="A2950" s="34"/>
      <c r="B2950" s="51"/>
      <c r="C2950" s="51"/>
      <c r="D2950" s="52"/>
      <c r="E2950" s="53"/>
      <c r="F2950" s="54"/>
      <c r="G2950" s="54"/>
      <c r="H2950" s="54"/>
      <c r="I2950" s="66"/>
      <c r="J2950" s="54"/>
      <c r="K2950" s="54"/>
      <c r="L2950" s="54"/>
      <c r="M2950" s="97" t="str">
        <f t="shared" si="252"/>
        <v/>
      </c>
      <c r="N2950" s="70"/>
      <c r="O2950" s="71" t="str">
        <f t="shared" si="256"/>
        <v/>
      </c>
      <c r="P2950" s="66"/>
      <c r="Q2950" s="66"/>
      <c r="R2950" s="54"/>
      <c r="S2950" s="82"/>
      <c r="T2950" s="83" t="str">
        <f t="shared" si="253"/>
        <v/>
      </c>
      <c r="U2950" s="10"/>
      <c r="V2950" s="41">
        <f>IF(AND(Q2950&lt;&gt;"",RIGHT(Q2950,3)&lt;&gt;""),IF(COUNTIF($Q$6:Q2950,Q2950)=1,1,0),0)</f>
        <v>0</v>
      </c>
      <c r="W2950" s="41" t="str">
        <f t="shared" si="254"/>
        <v/>
      </c>
      <c r="X2950" s="41" t="str">
        <f t="shared" si="255"/>
        <v/>
      </c>
    </row>
    <row r="2951" s="32" customFormat="1" hidden="1" customHeight="1" spans="1:24">
      <c r="A2951" s="34"/>
      <c r="B2951" s="51"/>
      <c r="C2951" s="51"/>
      <c r="D2951" s="52"/>
      <c r="E2951" s="53"/>
      <c r="F2951" s="54"/>
      <c r="G2951" s="54"/>
      <c r="H2951" s="54"/>
      <c r="I2951" s="66"/>
      <c r="J2951" s="54"/>
      <c r="K2951" s="54"/>
      <c r="L2951" s="54"/>
      <c r="M2951" s="97" t="str">
        <f t="shared" si="252"/>
        <v/>
      </c>
      <c r="N2951" s="70"/>
      <c r="O2951" s="71" t="str">
        <f t="shared" si="256"/>
        <v/>
      </c>
      <c r="P2951" s="66"/>
      <c r="Q2951" s="66"/>
      <c r="R2951" s="54"/>
      <c r="S2951" s="82"/>
      <c r="T2951" s="83" t="str">
        <f t="shared" si="253"/>
        <v/>
      </c>
      <c r="U2951" s="10"/>
      <c r="V2951" s="41">
        <f>IF(AND(Q2951&lt;&gt;"",RIGHT(Q2951,3)&lt;&gt;""),IF(COUNTIF($Q$6:Q2951,Q2951)=1,1,0),0)</f>
        <v>0</v>
      </c>
      <c r="W2951" s="41" t="str">
        <f t="shared" si="254"/>
        <v/>
      </c>
      <c r="X2951" s="41" t="str">
        <f t="shared" si="255"/>
        <v/>
      </c>
    </row>
    <row r="2952" s="32" customFormat="1" hidden="1" customHeight="1" spans="1:24">
      <c r="A2952" s="34"/>
      <c r="B2952" s="51"/>
      <c r="C2952" s="51"/>
      <c r="D2952" s="52"/>
      <c r="E2952" s="53"/>
      <c r="F2952" s="54"/>
      <c r="G2952" s="54"/>
      <c r="H2952" s="54"/>
      <c r="I2952" s="66"/>
      <c r="J2952" s="54"/>
      <c r="K2952" s="54"/>
      <c r="L2952" s="54"/>
      <c r="M2952" s="97" t="str">
        <f t="shared" si="252"/>
        <v/>
      </c>
      <c r="N2952" s="70"/>
      <c r="O2952" s="71" t="str">
        <f t="shared" si="256"/>
        <v/>
      </c>
      <c r="P2952" s="66"/>
      <c r="Q2952" s="66"/>
      <c r="R2952" s="54"/>
      <c r="S2952" s="82"/>
      <c r="T2952" s="83" t="str">
        <f t="shared" si="253"/>
        <v/>
      </c>
      <c r="U2952" s="10"/>
      <c r="V2952" s="41">
        <f>IF(AND(Q2952&lt;&gt;"",RIGHT(Q2952,3)&lt;&gt;""),IF(COUNTIF($Q$6:Q2952,Q2952)=1,1,0),0)</f>
        <v>0</v>
      </c>
      <c r="W2952" s="41" t="str">
        <f t="shared" si="254"/>
        <v/>
      </c>
      <c r="X2952" s="41" t="str">
        <f t="shared" si="255"/>
        <v/>
      </c>
    </row>
    <row r="2953" s="32" customFormat="1" hidden="1" customHeight="1" spans="1:24">
      <c r="A2953" s="34"/>
      <c r="B2953" s="51"/>
      <c r="C2953" s="51"/>
      <c r="D2953" s="52"/>
      <c r="E2953" s="53"/>
      <c r="F2953" s="54"/>
      <c r="G2953" s="54"/>
      <c r="H2953" s="54"/>
      <c r="I2953" s="66"/>
      <c r="J2953" s="54"/>
      <c r="K2953" s="54"/>
      <c r="L2953" s="54"/>
      <c r="M2953" s="97" t="str">
        <f t="shared" si="252"/>
        <v/>
      </c>
      <c r="N2953" s="70"/>
      <c r="O2953" s="71" t="str">
        <f t="shared" si="256"/>
        <v/>
      </c>
      <c r="P2953" s="66"/>
      <c r="Q2953" s="66"/>
      <c r="R2953" s="54"/>
      <c r="S2953" s="82"/>
      <c r="T2953" s="83" t="str">
        <f t="shared" si="253"/>
        <v/>
      </c>
      <c r="U2953" s="10"/>
      <c r="V2953" s="41">
        <f>IF(AND(Q2953&lt;&gt;"",RIGHT(Q2953,3)&lt;&gt;""),IF(COUNTIF($Q$6:Q2953,Q2953)=1,1,0),0)</f>
        <v>0</v>
      </c>
      <c r="W2953" s="41" t="str">
        <f t="shared" si="254"/>
        <v/>
      </c>
      <c r="X2953" s="41" t="str">
        <f t="shared" si="255"/>
        <v/>
      </c>
    </row>
    <row r="2954" s="32" customFormat="1" hidden="1" customHeight="1" spans="1:24">
      <c r="A2954" s="34"/>
      <c r="B2954" s="51"/>
      <c r="C2954" s="51"/>
      <c r="D2954" s="52"/>
      <c r="E2954" s="53"/>
      <c r="F2954" s="54"/>
      <c r="G2954" s="54"/>
      <c r="H2954" s="54"/>
      <c r="I2954" s="66"/>
      <c r="J2954" s="54"/>
      <c r="K2954" s="54"/>
      <c r="L2954" s="54"/>
      <c r="M2954" s="97" t="str">
        <f t="shared" si="252"/>
        <v/>
      </c>
      <c r="N2954" s="70"/>
      <c r="O2954" s="71" t="str">
        <f t="shared" si="256"/>
        <v/>
      </c>
      <c r="P2954" s="66"/>
      <c r="Q2954" s="66"/>
      <c r="R2954" s="54"/>
      <c r="S2954" s="82"/>
      <c r="T2954" s="83" t="str">
        <f t="shared" si="253"/>
        <v/>
      </c>
      <c r="U2954" s="10"/>
      <c r="V2954" s="41">
        <f>IF(AND(Q2954&lt;&gt;"",RIGHT(Q2954,3)&lt;&gt;""),IF(COUNTIF($Q$6:Q2954,Q2954)=1,1,0),0)</f>
        <v>0</v>
      </c>
      <c r="W2954" s="41" t="str">
        <f t="shared" si="254"/>
        <v/>
      </c>
      <c r="X2954" s="41" t="str">
        <f t="shared" si="255"/>
        <v/>
      </c>
    </row>
    <row r="2955" s="32" customFormat="1" hidden="1" customHeight="1" spans="1:24">
      <c r="A2955" s="34"/>
      <c r="B2955" s="51"/>
      <c r="C2955" s="51"/>
      <c r="D2955" s="52"/>
      <c r="E2955" s="53"/>
      <c r="F2955" s="54"/>
      <c r="G2955" s="54"/>
      <c r="H2955" s="54"/>
      <c r="I2955" s="66"/>
      <c r="J2955" s="54"/>
      <c r="K2955" s="54"/>
      <c r="L2955" s="54"/>
      <c r="M2955" s="97" t="str">
        <f t="shared" si="252"/>
        <v/>
      </c>
      <c r="N2955" s="70"/>
      <c r="O2955" s="71" t="str">
        <f t="shared" si="256"/>
        <v/>
      </c>
      <c r="P2955" s="66"/>
      <c r="Q2955" s="66"/>
      <c r="R2955" s="54"/>
      <c r="S2955" s="82"/>
      <c r="T2955" s="83" t="str">
        <f t="shared" si="253"/>
        <v/>
      </c>
      <c r="U2955" s="10"/>
      <c r="V2955" s="41">
        <f>IF(AND(Q2955&lt;&gt;"",RIGHT(Q2955,3)&lt;&gt;""),IF(COUNTIF($Q$6:Q2955,Q2955)=1,1,0),0)</f>
        <v>0</v>
      </c>
      <c r="W2955" s="41" t="str">
        <f t="shared" si="254"/>
        <v/>
      </c>
      <c r="X2955" s="41" t="str">
        <f t="shared" si="255"/>
        <v/>
      </c>
    </row>
    <row r="2956" s="32" customFormat="1" hidden="1" customHeight="1" spans="1:24">
      <c r="A2956" s="34"/>
      <c r="B2956" s="51"/>
      <c r="C2956" s="51"/>
      <c r="D2956" s="52"/>
      <c r="E2956" s="53"/>
      <c r="F2956" s="54"/>
      <c r="G2956" s="54"/>
      <c r="H2956" s="54"/>
      <c r="I2956" s="66"/>
      <c r="J2956" s="54"/>
      <c r="K2956" s="54"/>
      <c r="L2956" s="54"/>
      <c r="M2956" s="97" t="str">
        <f t="shared" si="252"/>
        <v/>
      </c>
      <c r="N2956" s="70"/>
      <c r="O2956" s="71" t="str">
        <f t="shared" si="256"/>
        <v/>
      </c>
      <c r="P2956" s="66"/>
      <c r="Q2956" s="66"/>
      <c r="R2956" s="54"/>
      <c r="S2956" s="82"/>
      <c r="T2956" s="83" t="str">
        <f t="shared" si="253"/>
        <v/>
      </c>
      <c r="U2956" s="10"/>
      <c r="V2956" s="41">
        <f>IF(AND(Q2956&lt;&gt;"",RIGHT(Q2956,3)&lt;&gt;""),IF(COUNTIF($Q$6:Q2956,Q2956)=1,1,0),0)</f>
        <v>0</v>
      </c>
      <c r="W2956" s="41" t="str">
        <f t="shared" si="254"/>
        <v/>
      </c>
      <c r="X2956" s="41" t="str">
        <f t="shared" si="255"/>
        <v/>
      </c>
    </row>
    <row r="2957" s="32" customFormat="1" hidden="1" customHeight="1" spans="1:24">
      <c r="A2957" s="34"/>
      <c r="B2957" s="51"/>
      <c r="C2957" s="51"/>
      <c r="D2957" s="52"/>
      <c r="E2957" s="53"/>
      <c r="F2957" s="54"/>
      <c r="G2957" s="54"/>
      <c r="H2957" s="54"/>
      <c r="I2957" s="66"/>
      <c r="J2957" s="54"/>
      <c r="K2957" s="54"/>
      <c r="L2957" s="54"/>
      <c r="M2957" s="97" t="str">
        <f t="shared" si="252"/>
        <v/>
      </c>
      <c r="N2957" s="70"/>
      <c r="O2957" s="71" t="str">
        <f t="shared" si="256"/>
        <v/>
      </c>
      <c r="P2957" s="66"/>
      <c r="Q2957" s="66"/>
      <c r="R2957" s="54"/>
      <c r="S2957" s="82"/>
      <c r="T2957" s="83" t="str">
        <f t="shared" si="253"/>
        <v/>
      </c>
      <c r="U2957" s="10"/>
      <c r="V2957" s="41">
        <f>IF(AND(Q2957&lt;&gt;"",RIGHT(Q2957,3)&lt;&gt;""),IF(COUNTIF($Q$6:Q2957,Q2957)=1,1,0),0)</f>
        <v>0</v>
      </c>
      <c r="W2957" s="41" t="str">
        <f t="shared" si="254"/>
        <v/>
      </c>
      <c r="X2957" s="41" t="str">
        <f t="shared" si="255"/>
        <v/>
      </c>
    </row>
    <row r="2958" s="32" customFormat="1" hidden="1" customHeight="1" spans="1:24">
      <c r="A2958" s="34"/>
      <c r="B2958" s="51"/>
      <c r="C2958" s="51"/>
      <c r="D2958" s="52"/>
      <c r="E2958" s="53"/>
      <c r="F2958" s="54"/>
      <c r="G2958" s="54"/>
      <c r="H2958" s="54"/>
      <c r="I2958" s="66"/>
      <c r="J2958" s="54"/>
      <c r="K2958" s="54"/>
      <c r="L2958" s="54"/>
      <c r="M2958" s="97" t="str">
        <f t="shared" si="252"/>
        <v/>
      </c>
      <c r="N2958" s="70"/>
      <c r="O2958" s="71" t="str">
        <f t="shared" si="256"/>
        <v/>
      </c>
      <c r="P2958" s="66"/>
      <c r="Q2958" s="66"/>
      <c r="R2958" s="54"/>
      <c r="S2958" s="82"/>
      <c r="T2958" s="83" t="str">
        <f t="shared" si="253"/>
        <v/>
      </c>
      <c r="U2958" s="10"/>
      <c r="V2958" s="41">
        <f>IF(AND(Q2958&lt;&gt;"",RIGHT(Q2958,3)&lt;&gt;""),IF(COUNTIF($Q$6:Q2958,Q2958)=1,1,0),0)</f>
        <v>0</v>
      </c>
      <c r="W2958" s="41" t="str">
        <f t="shared" si="254"/>
        <v/>
      </c>
      <c r="X2958" s="41" t="str">
        <f t="shared" si="255"/>
        <v/>
      </c>
    </row>
    <row r="2959" s="32" customFormat="1" hidden="1" customHeight="1" spans="1:24">
      <c r="A2959" s="34"/>
      <c r="B2959" s="51"/>
      <c r="C2959" s="51"/>
      <c r="D2959" s="52"/>
      <c r="E2959" s="53"/>
      <c r="F2959" s="54"/>
      <c r="G2959" s="54"/>
      <c r="H2959" s="54"/>
      <c r="I2959" s="66"/>
      <c r="J2959" s="54"/>
      <c r="K2959" s="54"/>
      <c r="L2959" s="54"/>
      <c r="M2959" s="97" t="str">
        <f t="shared" si="252"/>
        <v/>
      </c>
      <c r="N2959" s="70"/>
      <c r="O2959" s="71" t="str">
        <f t="shared" si="256"/>
        <v/>
      </c>
      <c r="P2959" s="66"/>
      <c r="Q2959" s="66"/>
      <c r="R2959" s="54"/>
      <c r="S2959" s="82"/>
      <c r="T2959" s="83" t="str">
        <f t="shared" si="253"/>
        <v/>
      </c>
      <c r="U2959" s="10"/>
      <c r="V2959" s="41">
        <f>IF(AND(Q2959&lt;&gt;"",RIGHT(Q2959,3)&lt;&gt;""),IF(COUNTIF($Q$6:Q2959,Q2959)=1,1,0),0)</f>
        <v>0</v>
      </c>
      <c r="W2959" s="41" t="str">
        <f t="shared" si="254"/>
        <v/>
      </c>
      <c r="X2959" s="41" t="str">
        <f t="shared" si="255"/>
        <v/>
      </c>
    </row>
    <row r="2960" s="32" customFormat="1" hidden="1" customHeight="1" spans="1:24">
      <c r="A2960" s="34"/>
      <c r="B2960" s="51"/>
      <c r="C2960" s="51"/>
      <c r="D2960" s="52"/>
      <c r="E2960" s="53"/>
      <c r="F2960" s="54"/>
      <c r="G2960" s="54"/>
      <c r="H2960" s="54"/>
      <c r="I2960" s="66"/>
      <c r="J2960" s="54"/>
      <c r="K2960" s="54"/>
      <c r="L2960" s="54"/>
      <c r="M2960" s="97" t="str">
        <f t="shared" si="252"/>
        <v/>
      </c>
      <c r="N2960" s="70"/>
      <c r="O2960" s="71" t="str">
        <f t="shared" si="256"/>
        <v/>
      </c>
      <c r="P2960" s="66"/>
      <c r="Q2960" s="66"/>
      <c r="R2960" s="54"/>
      <c r="S2960" s="82"/>
      <c r="T2960" s="83" t="str">
        <f t="shared" si="253"/>
        <v/>
      </c>
      <c r="U2960" s="10"/>
      <c r="V2960" s="41">
        <f>IF(AND(Q2960&lt;&gt;"",RIGHT(Q2960,3)&lt;&gt;""),IF(COUNTIF($Q$6:Q2960,Q2960)=1,1,0),0)</f>
        <v>0</v>
      </c>
      <c r="W2960" s="41" t="str">
        <f t="shared" si="254"/>
        <v/>
      </c>
      <c r="X2960" s="41" t="str">
        <f t="shared" si="255"/>
        <v/>
      </c>
    </row>
    <row r="2961" s="32" customFormat="1" hidden="1" customHeight="1" spans="1:24">
      <c r="A2961" s="34"/>
      <c r="B2961" s="51"/>
      <c r="C2961" s="51"/>
      <c r="D2961" s="52"/>
      <c r="E2961" s="53"/>
      <c r="F2961" s="54"/>
      <c r="G2961" s="54"/>
      <c r="H2961" s="54"/>
      <c r="I2961" s="66"/>
      <c r="J2961" s="54"/>
      <c r="K2961" s="54"/>
      <c r="L2961" s="54"/>
      <c r="M2961" s="97" t="str">
        <f t="shared" si="252"/>
        <v/>
      </c>
      <c r="N2961" s="70"/>
      <c r="O2961" s="71" t="str">
        <f t="shared" si="256"/>
        <v/>
      </c>
      <c r="P2961" s="66"/>
      <c r="Q2961" s="66"/>
      <c r="R2961" s="54"/>
      <c r="S2961" s="82"/>
      <c r="T2961" s="83" t="str">
        <f t="shared" si="253"/>
        <v/>
      </c>
      <c r="U2961" s="10"/>
      <c r="V2961" s="41">
        <f>IF(AND(Q2961&lt;&gt;"",RIGHT(Q2961,3)&lt;&gt;""),IF(COUNTIF($Q$6:Q2961,Q2961)=1,1,0),0)</f>
        <v>0</v>
      </c>
      <c r="W2961" s="41" t="str">
        <f t="shared" si="254"/>
        <v/>
      </c>
      <c r="X2961" s="41" t="str">
        <f t="shared" si="255"/>
        <v/>
      </c>
    </row>
    <row r="2962" s="32" customFormat="1" hidden="1" customHeight="1" spans="1:24">
      <c r="A2962" s="34"/>
      <c r="B2962" s="51"/>
      <c r="C2962" s="51"/>
      <c r="D2962" s="52"/>
      <c r="E2962" s="53"/>
      <c r="F2962" s="54"/>
      <c r="G2962" s="54"/>
      <c r="H2962" s="54"/>
      <c r="I2962" s="66"/>
      <c r="J2962" s="54"/>
      <c r="K2962" s="54"/>
      <c r="L2962" s="54"/>
      <c r="M2962" s="97" t="str">
        <f t="shared" si="252"/>
        <v/>
      </c>
      <c r="N2962" s="70"/>
      <c r="O2962" s="71" t="str">
        <f t="shared" si="256"/>
        <v/>
      </c>
      <c r="P2962" s="66"/>
      <c r="Q2962" s="66"/>
      <c r="R2962" s="54"/>
      <c r="S2962" s="82"/>
      <c r="T2962" s="83" t="str">
        <f t="shared" si="253"/>
        <v/>
      </c>
      <c r="U2962" s="10"/>
      <c r="V2962" s="41">
        <f>IF(AND(Q2962&lt;&gt;"",RIGHT(Q2962,3)&lt;&gt;""),IF(COUNTIF($Q$6:Q2962,Q2962)=1,1,0),0)</f>
        <v>0</v>
      </c>
      <c r="W2962" s="41" t="str">
        <f t="shared" si="254"/>
        <v/>
      </c>
      <c r="X2962" s="41" t="str">
        <f t="shared" si="255"/>
        <v/>
      </c>
    </row>
    <row r="2963" s="32" customFormat="1" hidden="1" customHeight="1" spans="1:24">
      <c r="A2963" s="34"/>
      <c r="B2963" s="51"/>
      <c r="C2963" s="51"/>
      <c r="D2963" s="52"/>
      <c r="E2963" s="53"/>
      <c r="F2963" s="54"/>
      <c r="G2963" s="54"/>
      <c r="H2963" s="54"/>
      <c r="I2963" s="66"/>
      <c r="J2963" s="54"/>
      <c r="K2963" s="54"/>
      <c r="L2963" s="54"/>
      <c r="M2963" s="97" t="str">
        <f t="shared" si="252"/>
        <v/>
      </c>
      <c r="N2963" s="70"/>
      <c r="O2963" s="71" t="str">
        <f t="shared" si="256"/>
        <v/>
      </c>
      <c r="P2963" s="66"/>
      <c r="Q2963" s="66"/>
      <c r="R2963" s="54"/>
      <c r="S2963" s="82"/>
      <c r="T2963" s="83" t="str">
        <f t="shared" si="253"/>
        <v/>
      </c>
      <c r="U2963" s="10"/>
      <c r="V2963" s="41">
        <f>IF(AND(Q2963&lt;&gt;"",RIGHT(Q2963,3)&lt;&gt;""),IF(COUNTIF($Q$6:Q2963,Q2963)=1,1,0),0)</f>
        <v>0</v>
      </c>
      <c r="W2963" s="41" t="str">
        <f t="shared" si="254"/>
        <v/>
      </c>
      <c r="X2963" s="41" t="str">
        <f t="shared" si="255"/>
        <v/>
      </c>
    </row>
    <row r="2964" s="32" customFormat="1" hidden="1" customHeight="1" spans="1:24">
      <c r="A2964" s="34"/>
      <c r="B2964" s="51"/>
      <c r="C2964" s="51"/>
      <c r="D2964" s="52"/>
      <c r="E2964" s="53"/>
      <c r="F2964" s="54"/>
      <c r="G2964" s="54"/>
      <c r="H2964" s="54"/>
      <c r="I2964" s="66"/>
      <c r="J2964" s="54"/>
      <c r="K2964" s="54"/>
      <c r="L2964" s="54"/>
      <c r="M2964" s="97" t="str">
        <f t="shared" si="252"/>
        <v/>
      </c>
      <c r="N2964" s="70"/>
      <c r="O2964" s="71" t="str">
        <f t="shared" si="256"/>
        <v/>
      </c>
      <c r="P2964" s="66"/>
      <c r="Q2964" s="66"/>
      <c r="R2964" s="54"/>
      <c r="S2964" s="82"/>
      <c r="T2964" s="83" t="str">
        <f t="shared" si="253"/>
        <v/>
      </c>
      <c r="U2964" s="10"/>
      <c r="V2964" s="41">
        <f>IF(AND(Q2964&lt;&gt;"",RIGHT(Q2964,3)&lt;&gt;""),IF(COUNTIF($Q$6:Q2964,Q2964)=1,1,0),0)</f>
        <v>0</v>
      </c>
      <c r="W2964" s="41" t="str">
        <f t="shared" si="254"/>
        <v/>
      </c>
      <c r="X2964" s="41" t="str">
        <f t="shared" si="255"/>
        <v/>
      </c>
    </row>
    <row r="2965" s="32" customFormat="1" hidden="1" customHeight="1" spans="1:24">
      <c r="A2965" s="34"/>
      <c r="B2965" s="51"/>
      <c r="C2965" s="51"/>
      <c r="D2965" s="52"/>
      <c r="E2965" s="53"/>
      <c r="F2965" s="54"/>
      <c r="G2965" s="54"/>
      <c r="H2965" s="54"/>
      <c r="I2965" s="66"/>
      <c r="J2965" s="54"/>
      <c r="K2965" s="54"/>
      <c r="L2965" s="54"/>
      <c r="M2965" s="97" t="str">
        <f t="shared" si="252"/>
        <v/>
      </c>
      <c r="N2965" s="70"/>
      <c r="O2965" s="71" t="str">
        <f t="shared" si="256"/>
        <v/>
      </c>
      <c r="P2965" s="66"/>
      <c r="Q2965" s="66"/>
      <c r="R2965" s="54"/>
      <c r="S2965" s="82"/>
      <c r="T2965" s="83" t="str">
        <f t="shared" si="253"/>
        <v/>
      </c>
      <c r="U2965" s="10"/>
      <c r="V2965" s="41">
        <f>IF(AND(Q2965&lt;&gt;"",RIGHT(Q2965,3)&lt;&gt;""),IF(COUNTIF($Q$6:Q2965,Q2965)=1,1,0),0)</f>
        <v>0</v>
      </c>
      <c r="W2965" s="41" t="str">
        <f t="shared" si="254"/>
        <v/>
      </c>
      <c r="X2965" s="41" t="str">
        <f t="shared" si="255"/>
        <v/>
      </c>
    </row>
    <row r="2966" s="32" customFormat="1" hidden="1" customHeight="1" spans="1:24">
      <c r="A2966" s="34"/>
      <c r="B2966" s="51"/>
      <c r="C2966" s="51"/>
      <c r="D2966" s="52"/>
      <c r="E2966" s="53"/>
      <c r="F2966" s="54"/>
      <c r="G2966" s="54"/>
      <c r="H2966" s="54"/>
      <c r="I2966" s="66"/>
      <c r="J2966" s="54"/>
      <c r="K2966" s="54"/>
      <c r="L2966" s="54"/>
      <c r="M2966" s="97" t="str">
        <f t="shared" si="252"/>
        <v/>
      </c>
      <c r="N2966" s="70"/>
      <c r="O2966" s="71" t="str">
        <f t="shared" si="256"/>
        <v/>
      </c>
      <c r="P2966" s="66"/>
      <c r="Q2966" s="66"/>
      <c r="R2966" s="54"/>
      <c r="S2966" s="82"/>
      <c r="T2966" s="83" t="str">
        <f t="shared" si="253"/>
        <v/>
      </c>
      <c r="U2966" s="10"/>
      <c r="V2966" s="41">
        <f>IF(AND(Q2966&lt;&gt;"",RIGHT(Q2966,3)&lt;&gt;""),IF(COUNTIF($Q$6:Q2966,Q2966)=1,1,0),0)</f>
        <v>0</v>
      </c>
      <c r="W2966" s="41" t="str">
        <f t="shared" si="254"/>
        <v/>
      </c>
      <c r="X2966" s="41" t="str">
        <f t="shared" si="255"/>
        <v/>
      </c>
    </row>
    <row r="2967" s="32" customFormat="1" hidden="1" customHeight="1" spans="1:24">
      <c r="A2967" s="34"/>
      <c r="B2967" s="51"/>
      <c r="C2967" s="51"/>
      <c r="D2967" s="52"/>
      <c r="E2967" s="53"/>
      <c r="F2967" s="54"/>
      <c r="G2967" s="54"/>
      <c r="H2967" s="54"/>
      <c r="I2967" s="66"/>
      <c r="J2967" s="54"/>
      <c r="K2967" s="54"/>
      <c r="L2967" s="54"/>
      <c r="M2967" s="97" t="str">
        <f t="shared" si="252"/>
        <v/>
      </c>
      <c r="N2967" s="70"/>
      <c r="O2967" s="71" t="str">
        <f t="shared" si="256"/>
        <v/>
      </c>
      <c r="P2967" s="66"/>
      <c r="Q2967" s="66"/>
      <c r="R2967" s="54"/>
      <c r="S2967" s="82"/>
      <c r="T2967" s="83" t="str">
        <f t="shared" si="253"/>
        <v/>
      </c>
      <c r="U2967" s="10"/>
      <c r="V2967" s="41">
        <f>IF(AND(Q2967&lt;&gt;"",RIGHT(Q2967,3)&lt;&gt;""),IF(COUNTIF($Q$6:Q2967,Q2967)=1,1,0),0)</f>
        <v>0</v>
      </c>
      <c r="W2967" s="41" t="str">
        <f t="shared" si="254"/>
        <v/>
      </c>
      <c r="X2967" s="41" t="str">
        <f t="shared" si="255"/>
        <v/>
      </c>
    </row>
    <row r="2968" s="32" customFormat="1" hidden="1" customHeight="1" spans="1:24">
      <c r="A2968" s="34"/>
      <c r="B2968" s="51"/>
      <c r="C2968" s="51"/>
      <c r="D2968" s="52"/>
      <c r="E2968" s="53"/>
      <c r="F2968" s="54"/>
      <c r="G2968" s="54"/>
      <c r="H2968" s="54"/>
      <c r="I2968" s="66"/>
      <c r="J2968" s="54"/>
      <c r="K2968" s="54"/>
      <c r="L2968" s="54"/>
      <c r="M2968" s="97" t="str">
        <f t="shared" si="252"/>
        <v/>
      </c>
      <c r="N2968" s="70"/>
      <c r="O2968" s="71" t="str">
        <f t="shared" si="256"/>
        <v/>
      </c>
      <c r="P2968" s="66"/>
      <c r="Q2968" s="66"/>
      <c r="R2968" s="54"/>
      <c r="S2968" s="82"/>
      <c r="T2968" s="83" t="str">
        <f t="shared" si="253"/>
        <v/>
      </c>
      <c r="U2968" s="10"/>
      <c r="V2968" s="41">
        <f>IF(AND(Q2968&lt;&gt;"",RIGHT(Q2968,3)&lt;&gt;""),IF(COUNTIF($Q$6:Q2968,Q2968)=1,1,0),0)</f>
        <v>0</v>
      </c>
      <c r="W2968" s="41" t="str">
        <f t="shared" si="254"/>
        <v/>
      </c>
      <c r="X2968" s="41" t="str">
        <f t="shared" si="255"/>
        <v/>
      </c>
    </row>
    <row r="2969" s="32" customFormat="1" hidden="1" customHeight="1" spans="1:24">
      <c r="A2969" s="34"/>
      <c r="B2969" s="51"/>
      <c r="C2969" s="51"/>
      <c r="D2969" s="52"/>
      <c r="E2969" s="53"/>
      <c r="F2969" s="54"/>
      <c r="G2969" s="54"/>
      <c r="H2969" s="54"/>
      <c r="I2969" s="66"/>
      <c r="J2969" s="54"/>
      <c r="K2969" s="54"/>
      <c r="L2969" s="54"/>
      <c r="M2969" s="97" t="str">
        <f t="shared" si="252"/>
        <v/>
      </c>
      <c r="N2969" s="70"/>
      <c r="O2969" s="71" t="str">
        <f t="shared" si="256"/>
        <v/>
      </c>
      <c r="P2969" s="66"/>
      <c r="Q2969" s="66"/>
      <c r="R2969" s="54"/>
      <c r="S2969" s="82"/>
      <c r="T2969" s="83" t="str">
        <f t="shared" si="253"/>
        <v/>
      </c>
      <c r="U2969" s="10"/>
      <c r="V2969" s="41">
        <f>IF(AND(Q2969&lt;&gt;"",RIGHT(Q2969,3)&lt;&gt;""),IF(COUNTIF($Q$6:Q2969,Q2969)=1,1,0),0)</f>
        <v>0</v>
      </c>
      <c r="W2969" s="41" t="str">
        <f t="shared" si="254"/>
        <v/>
      </c>
      <c r="X2969" s="41" t="str">
        <f t="shared" si="255"/>
        <v/>
      </c>
    </row>
    <row r="2970" s="32" customFormat="1" hidden="1" customHeight="1" spans="1:24">
      <c r="A2970" s="34"/>
      <c r="B2970" s="51"/>
      <c r="C2970" s="51"/>
      <c r="D2970" s="52"/>
      <c r="E2970" s="53"/>
      <c r="F2970" s="54"/>
      <c r="G2970" s="54"/>
      <c r="H2970" s="54"/>
      <c r="I2970" s="66"/>
      <c r="J2970" s="54"/>
      <c r="K2970" s="54"/>
      <c r="L2970" s="54"/>
      <c r="M2970" s="97" t="str">
        <f t="shared" si="252"/>
        <v/>
      </c>
      <c r="N2970" s="70"/>
      <c r="O2970" s="71" t="str">
        <f t="shared" si="256"/>
        <v/>
      </c>
      <c r="P2970" s="66"/>
      <c r="Q2970" s="66"/>
      <c r="R2970" s="54"/>
      <c r="S2970" s="82"/>
      <c r="T2970" s="83" t="str">
        <f t="shared" si="253"/>
        <v/>
      </c>
      <c r="U2970" s="10"/>
      <c r="V2970" s="41">
        <f>IF(AND(Q2970&lt;&gt;"",RIGHT(Q2970,3)&lt;&gt;""),IF(COUNTIF($Q$6:Q2970,Q2970)=1,1,0),0)</f>
        <v>0</v>
      </c>
      <c r="W2970" s="41" t="str">
        <f t="shared" si="254"/>
        <v/>
      </c>
      <c r="X2970" s="41" t="str">
        <f t="shared" si="255"/>
        <v/>
      </c>
    </row>
    <row r="2971" s="32" customFormat="1" hidden="1" customHeight="1" spans="1:24">
      <c r="A2971" s="34"/>
      <c r="B2971" s="51"/>
      <c r="C2971" s="51"/>
      <c r="D2971" s="52"/>
      <c r="E2971" s="53"/>
      <c r="F2971" s="54"/>
      <c r="G2971" s="54"/>
      <c r="H2971" s="54"/>
      <c r="I2971" s="66"/>
      <c r="J2971" s="54"/>
      <c r="K2971" s="54"/>
      <c r="L2971" s="54"/>
      <c r="M2971" s="97" t="str">
        <f t="shared" si="252"/>
        <v/>
      </c>
      <c r="N2971" s="70"/>
      <c r="O2971" s="71" t="str">
        <f t="shared" si="256"/>
        <v/>
      </c>
      <c r="P2971" s="66"/>
      <c r="Q2971" s="66"/>
      <c r="R2971" s="54"/>
      <c r="S2971" s="82"/>
      <c r="T2971" s="83" t="str">
        <f t="shared" si="253"/>
        <v/>
      </c>
      <c r="U2971" s="10"/>
      <c r="V2971" s="41">
        <f>IF(AND(Q2971&lt;&gt;"",RIGHT(Q2971,3)&lt;&gt;""),IF(COUNTIF($Q$6:Q2971,Q2971)=1,1,0),0)</f>
        <v>0</v>
      </c>
      <c r="W2971" s="41" t="str">
        <f t="shared" si="254"/>
        <v/>
      </c>
      <c r="X2971" s="41" t="str">
        <f t="shared" si="255"/>
        <v/>
      </c>
    </row>
    <row r="2972" s="32" customFormat="1" hidden="1" customHeight="1" spans="1:24">
      <c r="A2972" s="34"/>
      <c r="B2972" s="51"/>
      <c r="C2972" s="51"/>
      <c r="D2972" s="52"/>
      <c r="E2972" s="53"/>
      <c r="F2972" s="54"/>
      <c r="G2972" s="54"/>
      <c r="H2972" s="54"/>
      <c r="I2972" s="66"/>
      <c r="J2972" s="54"/>
      <c r="K2972" s="54"/>
      <c r="L2972" s="54"/>
      <c r="M2972" s="97" t="str">
        <f t="shared" si="252"/>
        <v/>
      </c>
      <c r="N2972" s="70"/>
      <c r="O2972" s="71" t="str">
        <f t="shared" si="256"/>
        <v/>
      </c>
      <c r="P2972" s="66"/>
      <c r="Q2972" s="66"/>
      <c r="R2972" s="54"/>
      <c r="S2972" s="82"/>
      <c r="T2972" s="83" t="str">
        <f t="shared" si="253"/>
        <v/>
      </c>
      <c r="U2972" s="10"/>
      <c r="V2972" s="41">
        <f>IF(AND(Q2972&lt;&gt;"",RIGHT(Q2972,3)&lt;&gt;""),IF(COUNTIF($Q$6:Q2972,Q2972)=1,1,0),0)</f>
        <v>0</v>
      </c>
      <c r="W2972" s="41" t="str">
        <f t="shared" si="254"/>
        <v/>
      </c>
      <c r="X2972" s="41" t="str">
        <f t="shared" si="255"/>
        <v/>
      </c>
    </row>
    <row r="2973" s="32" customFormat="1" hidden="1" customHeight="1" spans="1:24">
      <c r="A2973" s="34"/>
      <c r="B2973" s="51"/>
      <c r="C2973" s="51"/>
      <c r="D2973" s="52"/>
      <c r="E2973" s="53"/>
      <c r="F2973" s="54"/>
      <c r="G2973" s="54"/>
      <c r="H2973" s="54"/>
      <c r="I2973" s="66"/>
      <c r="J2973" s="54"/>
      <c r="K2973" s="54"/>
      <c r="L2973" s="54"/>
      <c r="M2973" s="97" t="str">
        <f t="shared" si="252"/>
        <v/>
      </c>
      <c r="N2973" s="70"/>
      <c r="O2973" s="71" t="str">
        <f t="shared" si="256"/>
        <v/>
      </c>
      <c r="P2973" s="66"/>
      <c r="Q2973" s="66"/>
      <c r="R2973" s="54"/>
      <c r="S2973" s="82"/>
      <c r="T2973" s="83" t="str">
        <f t="shared" si="253"/>
        <v/>
      </c>
      <c r="U2973" s="10"/>
      <c r="V2973" s="41">
        <f>IF(AND(Q2973&lt;&gt;"",RIGHT(Q2973,3)&lt;&gt;""),IF(COUNTIF($Q$6:Q2973,Q2973)=1,1,0),0)</f>
        <v>0</v>
      </c>
      <c r="W2973" s="41" t="str">
        <f t="shared" si="254"/>
        <v/>
      </c>
      <c r="X2973" s="41" t="str">
        <f t="shared" si="255"/>
        <v/>
      </c>
    </row>
    <row r="2974" s="32" customFormat="1" hidden="1" customHeight="1" spans="1:24">
      <c r="A2974" s="34"/>
      <c r="B2974" s="51"/>
      <c r="C2974" s="51"/>
      <c r="D2974" s="52"/>
      <c r="E2974" s="53"/>
      <c r="F2974" s="54"/>
      <c r="G2974" s="54"/>
      <c r="H2974" s="54"/>
      <c r="I2974" s="66"/>
      <c r="J2974" s="54"/>
      <c r="K2974" s="54"/>
      <c r="L2974" s="54"/>
      <c r="M2974" s="97" t="str">
        <f t="shared" si="252"/>
        <v/>
      </c>
      <c r="N2974" s="70"/>
      <c r="O2974" s="71" t="str">
        <f t="shared" si="256"/>
        <v/>
      </c>
      <c r="P2974" s="66"/>
      <c r="Q2974" s="66"/>
      <c r="R2974" s="54"/>
      <c r="S2974" s="82"/>
      <c r="T2974" s="83" t="str">
        <f t="shared" si="253"/>
        <v/>
      </c>
      <c r="U2974" s="10"/>
      <c r="V2974" s="41">
        <f>IF(AND(Q2974&lt;&gt;"",RIGHT(Q2974,3)&lt;&gt;""),IF(COUNTIF($Q$6:Q2974,Q2974)=1,1,0),0)</f>
        <v>0</v>
      </c>
      <c r="W2974" s="41" t="str">
        <f t="shared" si="254"/>
        <v/>
      </c>
      <c r="X2974" s="41" t="str">
        <f t="shared" si="255"/>
        <v/>
      </c>
    </row>
    <row r="2975" s="32" customFormat="1" hidden="1" customHeight="1" spans="1:24">
      <c r="A2975" s="34"/>
      <c r="B2975" s="51"/>
      <c r="C2975" s="51"/>
      <c r="D2975" s="52"/>
      <c r="E2975" s="53"/>
      <c r="F2975" s="54"/>
      <c r="G2975" s="54"/>
      <c r="H2975" s="54"/>
      <c r="I2975" s="66"/>
      <c r="J2975" s="54"/>
      <c r="K2975" s="54"/>
      <c r="L2975" s="54"/>
      <c r="M2975" s="97" t="str">
        <f t="shared" si="252"/>
        <v/>
      </c>
      <c r="N2975" s="70"/>
      <c r="O2975" s="71" t="str">
        <f t="shared" si="256"/>
        <v/>
      </c>
      <c r="P2975" s="66"/>
      <c r="Q2975" s="66"/>
      <c r="R2975" s="54"/>
      <c r="S2975" s="82"/>
      <c r="T2975" s="83" t="str">
        <f t="shared" si="253"/>
        <v/>
      </c>
      <c r="U2975" s="10"/>
      <c r="V2975" s="41">
        <f>IF(AND(Q2975&lt;&gt;"",RIGHT(Q2975,3)&lt;&gt;""),IF(COUNTIF($Q$6:Q2975,Q2975)=1,1,0),0)</f>
        <v>0</v>
      </c>
      <c r="W2975" s="41" t="str">
        <f t="shared" si="254"/>
        <v/>
      </c>
      <c r="X2975" s="41" t="str">
        <f t="shared" si="255"/>
        <v/>
      </c>
    </row>
    <row r="2976" s="32" customFormat="1" hidden="1" customHeight="1" spans="1:24">
      <c r="A2976" s="34"/>
      <c r="B2976" s="51"/>
      <c r="C2976" s="51"/>
      <c r="D2976" s="52"/>
      <c r="E2976" s="53"/>
      <c r="F2976" s="54"/>
      <c r="G2976" s="54"/>
      <c r="H2976" s="54"/>
      <c r="I2976" s="66"/>
      <c r="J2976" s="54"/>
      <c r="K2976" s="54"/>
      <c r="L2976" s="54"/>
      <c r="M2976" s="97" t="str">
        <f t="shared" si="252"/>
        <v/>
      </c>
      <c r="N2976" s="70"/>
      <c r="O2976" s="71" t="str">
        <f t="shared" si="256"/>
        <v/>
      </c>
      <c r="P2976" s="66"/>
      <c r="Q2976" s="66"/>
      <c r="R2976" s="54"/>
      <c r="S2976" s="82"/>
      <c r="T2976" s="83" t="str">
        <f t="shared" si="253"/>
        <v/>
      </c>
      <c r="U2976" s="10"/>
      <c r="V2976" s="41">
        <f>IF(AND(Q2976&lt;&gt;"",RIGHT(Q2976,3)&lt;&gt;""),IF(COUNTIF($Q$6:Q2976,Q2976)=1,1,0),0)</f>
        <v>0</v>
      </c>
      <c r="W2976" s="41" t="str">
        <f t="shared" si="254"/>
        <v/>
      </c>
      <c r="X2976" s="41" t="str">
        <f t="shared" si="255"/>
        <v/>
      </c>
    </row>
    <row r="2977" s="32" customFormat="1" hidden="1" customHeight="1" spans="1:24">
      <c r="A2977" s="34"/>
      <c r="B2977" s="51"/>
      <c r="C2977" s="51"/>
      <c r="D2977" s="52"/>
      <c r="E2977" s="53"/>
      <c r="F2977" s="54"/>
      <c r="G2977" s="54"/>
      <c r="H2977" s="54"/>
      <c r="I2977" s="66"/>
      <c r="J2977" s="54"/>
      <c r="K2977" s="54"/>
      <c r="L2977" s="54"/>
      <c r="M2977" s="97" t="str">
        <f t="shared" si="252"/>
        <v/>
      </c>
      <c r="N2977" s="70"/>
      <c r="O2977" s="71" t="str">
        <f t="shared" si="256"/>
        <v/>
      </c>
      <c r="P2977" s="66"/>
      <c r="Q2977" s="66"/>
      <c r="R2977" s="54"/>
      <c r="S2977" s="82"/>
      <c r="T2977" s="83" t="str">
        <f t="shared" si="253"/>
        <v/>
      </c>
      <c r="U2977" s="10"/>
      <c r="V2977" s="41">
        <f>IF(AND(Q2977&lt;&gt;"",RIGHT(Q2977,3)&lt;&gt;""),IF(COUNTIF($Q$6:Q2977,Q2977)=1,1,0),0)</f>
        <v>0</v>
      </c>
      <c r="W2977" s="41" t="str">
        <f t="shared" si="254"/>
        <v/>
      </c>
      <c r="X2977" s="41" t="str">
        <f t="shared" si="255"/>
        <v/>
      </c>
    </row>
    <row r="2978" s="32" customFormat="1" hidden="1" customHeight="1" spans="1:24">
      <c r="A2978" s="34"/>
      <c r="B2978" s="51"/>
      <c r="C2978" s="51"/>
      <c r="D2978" s="52"/>
      <c r="E2978" s="53"/>
      <c r="F2978" s="54"/>
      <c r="G2978" s="54"/>
      <c r="H2978" s="54"/>
      <c r="I2978" s="66"/>
      <c r="J2978" s="54"/>
      <c r="K2978" s="54"/>
      <c r="L2978" s="54"/>
      <c r="M2978" s="97" t="str">
        <f t="shared" si="252"/>
        <v/>
      </c>
      <c r="N2978" s="70"/>
      <c r="O2978" s="71" t="str">
        <f t="shared" si="256"/>
        <v/>
      </c>
      <c r="P2978" s="66"/>
      <c r="Q2978" s="66"/>
      <c r="R2978" s="54"/>
      <c r="S2978" s="82"/>
      <c r="T2978" s="83" t="str">
        <f t="shared" si="253"/>
        <v/>
      </c>
      <c r="U2978" s="10"/>
      <c r="V2978" s="41">
        <f>IF(AND(Q2978&lt;&gt;"",RIGHT(Q2978,3)&lt;&gt;""),IF(COUNTIF($Q$6:Q2978,Q2978)=1,1,0),0)</f>
        <v>0</v>
      </c>
      <c r="W2978" s="41" t="str">
        <f t="shared" si="254"/>
        <v/>
      </c>
      <c r="X2978" s="41" t="str">
        <f t="shared" si="255"/>
        <v/>
      </c>
    </row>
    <row r="2979" s="32" customFormat="1" hidden="1" customHeight="1" spans="1:24">
      <c r="A2979" s="34"/>
      <c r="B2979" s="51"/>
      <c r="C2979" s="51"/>
      <c r="D2979" s="52"/>
      <c r="E2979" s="53"/>
      <c r="F2979" s="54"/>
      <c r="G2979" s="54"/>
      <c r="H2979" s="54"/>
      <c r="I2979" s="66"/>
      <c r="J2979" s="54"/>
      <c r="K2979" s="54"/>
      <c r="L2979" s="54"/>
      <c r="M2979" s="97" t="str">
        <f t="shared" si="252"/>
        <v/>
      </c>
      <c r="N2979" s="70"/>
      <c r="O2979" s="71" t="str">
        <f t="shared" si="256"/>
        <v/>
      </c>
      <c r="P2979" s="66"/>
      <c r="Q2979" s="66"/>
      <c r="R2979" s="54"/>
      <c r="S2979" s="82"/>
      <c r="T2979" s="83" t="str">
        <f t="shared" si="253"/>
        <v/>
      </c>
      <c r="U2979" s="10"/>
      <c r="V2979" s="41">
        <f>IF(AND(Q2979&lt;&gt;"",RIGHT(Q2979,3)&lt;&gt;""),IF(COUNTIF($Q$6:Q2979,Q2979)=1,1,0),0)</f>
        <v>0</v>
      </c>
      <c r="W2979" s="41" t="str">
        <f t="shared" si="254"/>
        <v/>
      </c>
      <c r="X2979" s="41" t="str">
        <f t="shared" si="255"/>
        <v/>
      </c>
    </row>
    <row r="2980" s="32" customFormat="1" hidden="1" customHeight="1" spans="1:24">
      <c r="A2980" s="34"/>
      <c r="B2980" s="51"/>
      <c r="C2980" s="51"/>
      <c r="D2980" s="52"/>
      <c r="E2980" s="53"/>
      <c r="F2980" s="54"/>
      <c r="G2980" s="54"/>
      <c r="H2980" s="54"/>
      <c r="I2980" s="66"/>
      <c r="J2980" s="54"/>
      <c r="K2980" s="54"/>
      <c r="L2980" s="54"/>
      <c r="M2980" s="97" t="str">
        <f t="shared" ref="M2980:M3043" si="257">IF(L2980="","",HYPERLINK(_xlfn.CONCAT($L$4,L2980,".jpg"),"Open File"))</f>
        <v/>
      </c>
      <c r="N2980" s="70"/>
      <c r="O2980" s="71" t="str">
        <f t="shared" si="256"/>
        <v/>
      </c>
      <c r="P2980" s="66"/>
      <c r="Q2980" s="66"/>
      <c r="R2980" s="54"/>
      <c r="S2980" s="82"/>
      <c r="T2980" s="83" t="str">
        <f t="shared" ref="T2980:T3043" si="258">IF(S2980="","",HYPERLINK(_xlfn.CONCAT($S$4,S2980,".jpg"),"Open File"))</f>
        <v/>
      </c>
      <c r="U2980" s="10"/>
      <c r="V2980" s="41">
        <f>IF(AND(Q2980&lt;&gt;"",RIGHT(Q2980,3)&lt;&gt;""),IF(COUNTIF($Q$6:Q2980,Q2980)=1,1,0),0)</f>
        <v>0</v>
      </c>
      <c r="W2980" s="41" t="str">
        <f t="shared" ref="W2980:W3043" si="259">IF(AND(J2980&lt;&gt;"",K2980&lt;&gt;""),_xlfn.CONCAT(SUBSTITUTE(J2980,"/","."),"-",K2980),"")</f>
        <v/>
      </c>
      <c r="X2980" s="41" t="str">
        <f t="shared" ref="X2980:X3043" si="260">IF(AND(Q2980&lt;&gt;"",R2980&lt;&gt;""),_xlfn.CONCAT(SUBSTITUTE(Q2980,"/","."),"-",R2980),"")</f>
        <v/>
      </c>
    </row>
    <row r="2981" s="32" customFormat="1" hidden="1" customHeight="1" spans="1:24">
      <c r="A2981" s="34"/>
      <c r="B2981" s="51"/>
      <c r="C2981" s="51"/>
      <c r="D2981" s="52"/>
      <c r="E2981" s="53"/>
      <c r="F2981" s="54"/>
      <c r="G2981" s="54"/>
      <c r="H2981" s="54"/>
      <c r="I2981" s="66"/>
      <c r="J2981" s="54"/>
      <c r="K2981" s="54"/>
      <c r="L2981" s="54"/>
      <c r="M2981" s="97" t="str">
        <f t="shared" si="257"/>
        <v/>
      </c>
      <c r="N2981" s="70"/>
      <c r="O2981" s="71" t="str">
        <f t="shared" si="256"/>
        <v/>
      </c>
      <c r="P2981" s="66"/>
      <c r="Q2981" s="66"/>
      <c r="R2981" s="54"/>
      <c r="S2981" s="82"/>
      <c r="T2981" s="83" t="str">
        <f t="shared" si="258"/>
        <v/>
      </c>
      <c r="U2981" s="10"/>
      <c r="V2981" s="41">
        <f>IF(AND(Q2981&lt;&gt;"",RIGHT(Q2981,3)&lt;&gt;""),IF(COUNTIF($Q$6:Q2981,Q2981)=1,1,0),0)</f>
        <v>0</v>
      </c>
      <c r="W2981" s="41" t="str">
        <f t="shared" si="259"/>
        <v/>
      </c>
      <c r="X2981" s="41" t="str">
        <f t="shared" si="260"/>
        <v/>
      </c>
    </row>
    <row r="2982" s="32" customFormat="1" hidden="1" customHeight="1" spans="1:24">
      <c r="A2982" s="34"/>
      <c r="B2982" s="51"/>
      <c r="C2982" s="51"/>
      <c r="D2982" s="52"/>
      <c r="E2982" s="53"/>
      <c r="F2982" s="54"/>
      <c r="G2982" s="54"/>
      <c r="H2982" s="54"/>
      <c r="I2982" s="66"/>
      <c r="J2982" s="54"/>
      <c r="K2982" s="54"/>
      <c r="L2982" s="54"/>
      <c r="M2982" s="97" t="str">
        <f t="shared" si="257"/>
        <v/>
      </c>
      <c r="N2982" s="70"/>
      <c r="O2982" s="71" t="str">
        <f t="shared" si="256"/>
        <v/>
      </c>
      <c r="P2982" s="66"/>
      <c r="Q2982" s="66"/>
      <c r="R2982" s="54"/>
      <c r="S2982" s="82"/>
      <c r="T2982" s="83" t="str">
        <f t="shared" si="258"/>
        <v/>
      </c>
      <c r="U2982" s="10"/>
      <c r="V2982" s="41">
        <f>IF(AND(Q2982&lt;&gt;"",RIGHT(Q2982,3)&lt;&gt;""),IF(COUNTIF($Q$6:Q2982,Q2982)=1,1,0),0)</f>
        <v>0</v>
      </c>
      <c r="W2982" s="41" t="str">
        <f t="shared" si="259"/>
        <v/>
      </c>
      <c r="X2982" s="41" t="str">
        <f t="shared" si="260"/>
        <v/>
      </c>
    </row>
    <row r="2983" s="32" customFormat="1" hidden="1" customHeight="1" spans="1:24">
      <c r="A2983" s="34"/>
      <c r="B2983" s="51"/>
      <c r="C2983" s="51"/>
      <c r="D2983" s="52"/>
      <c r="E2983" s="53"/>
      <c r="F2983" s="54"/>
      <c r="G2983" s="54"/>
      <c r="H2983" s="54"/>
      <c r="I2983" s="66"/>
      <c r="J2983" s="54"/>
      <c r="K2983" s="54"/>
      <c r="L2983" s="54"/>
      <c r="M2983" s="97" t="str">
        <f t="shared" si="257"/>
        <v/>
      </c>
      <c r="N2983" s="70"/>
      <c r="O2983" s="71" t="str">
        <f t="shared" si="256"/>
        <v/>
      </c>
      <c r="P2983" s="66"/>
      <c r="Q2983" s="66"/>
      <c r="R2983" s="54"/>
      <c r="S2983" s="82"/>
      <c r="T2983" s="83" t="str">
        <f t="shared" si="258"/>
        <v/>
      </c>
      <c r="U2983" s="10"/>
      <c r="V2983" s="41">
        <f>IF(AND(Q2983&lt;&gt;"",RIGHT(Q2983,3)&lt;&gt;""),IF(COUNTIF($Q$6:Q2983,Q2983)=1,1,0),0)</f>
        <v>0</v>
      </c>
      <c r="W2983" s="41" t="str">
        <f t="shared" si="259"/>
        <v/>
      </c>
      <c r="X2983" s="41" t="str">
        <f t="shared" si="260"/>
        <v/>
      </c>
    </row>
    <row r="2984" s="32" customFormat="1" hidden="1" customHeight="1" spans="1:24">
      <c r="A2984" s="34"/>
      <c r="B2984" s="51"/>
      <c r="C2984" s="51"/>
      <c r="D2984" s="52"/>
      <c r="E2984" s="53"/>
      <c r="F2984" s="54"/>
      <c r="G2984" s="54"/>
      <c r="H2984" s="54"/>
      <c r="I2984" s="66"/>
      <c r="J2984" s="54"/>
      <c r="K2984" s="54"/>
      <c r="L2984" s="54"/>
      <c r="M2984" s="97" t="str">
        <f t="shared" si="257"/>
        <v/>
      </c>
      <c r="N2984" s="70"/>
      <c r="O2984" s="71" t="str">
        <f t="shared" si="256"/>
        <v/>
      </c>
      <c r="P2984" s="66"/>
      <c r="Q2984" s="66"/>
      <c r="R2984" s="54"/>
      <c r="S2984" s="82"/>
      <c r="T2984" s="83" t="str">
        <f t="shared" si="258"/>
        <v/>
      </c>
      <c r="U2984" s="10"/>
      <c r="V2984" s="41">
        <f>IF(AND(Q2984&lt;&gt;"",RIGHT(Q2984,3)&lt;&gt;""),IF(COUNTIF($Q$6:Q2984,Q2984)=1,1,0),0)</f>
        <v>0</v>
      </c>
      <c r="W2984" s="41" t="str">
        <f t="shared" si="259"/>
        <v/>
      </c>
      <c r="X2984" s="41" t="str">
        <f t="shared" si="260"/>
        <v/>
      </c>
    </row>
    <row r="2985" s="32" customFormat="1" hidden="1" customHeight="1" spans="1:24">
      <c r="A2985" s="34"/>
      <c r="B2985" s="51"/>
      <c r="C2985" s="51"/>
      <c r="D2985" s="52"/>
      <c r="E2985" s="53"/>
      <c r="F2985" s="54"/>
      <c r="G2985" s="54"/>
      <c r="H2985" s="54"/>
      <c r="I2985" s="66"/>
      <c r="J2985" s="54"/>
      <c r="K2985" s="54"/>
      <c r="L2985" s="54"/>
      <c r="M2985" s="97" t="str">
        <f t="shared" si="257"/>
        <v/>
      </c>
      <c r="N2985" s="70"/>
      <c r="O2985" s="71" t="str">
        <f t="shared" si="256"/>
        <v/>
      </c>
      <c r="P2985" s="66"/>
      <c r="Q2985" s="66"/>
      <c r="R2985" s="54"/>
      <c r="S2985" s="82"/>
      <c r="T2985" s="83" t="str">
        <f t="shared" si="258"/>
        <v/>
      </c>
      <c r="U2985" s="10"/>
      <c r="V2985" s="41">
        <f>IF(AND(Q2985&lt;&gt;"",RIGHT(Q2985,3)&lt;&gt;""),IF(COUNTIF($Q$6:Q2985,Q2985)=1,1,0),0)</f>
        <v>0</v>
      </c>
      <c r="W2985" s="41" t="str">
        <f t="shared" si="259"/>
        <v/>
      </c>
      <c r="X2985" s="41" t="str">
        <f t="shared" si="260"/>
        <v/>
      </c>
    </row>
    <row r="2986" s="32" customFormat="1" hidden="1" customHeight="1" spans="1:24">
      <c r="A2986" s="34"/>
      <c r="B2986" s="51"/>
      <c r="C2986" s="51"/>
      <c r="D2986" s="52"/>
      <c r="E2986" s="53"/>
      <c r="F2986" s="54"/>
      <c r="G2986" s="54"/>
      <c r="H2986" s="54"/>
      <c r="I2986" s="66"/>
      <c r="J2986" s="54"/>
      <c r="K2986" s="54"/>
      <c r="L2986" s="54"/>
      <c r="M2986" s="97" t="str">
        <f t="shared" si="257"/>
        <v/>
      </c>
      <c r="N2986" s="70"/>
      <c r="O2986" s="71" t="str">
        <f t="shared" si="256"/>
        <v/>
      </c>
      <c r="P2986" s="66"/>
      <c r="Q2986" s="66"/>
      <c r="R2986" s="54"/>
      <c r="S2986" s="82"/>
      <c r="T2986" s="83" t="str">
        <f t="shared" si="258"/>
        <v/>
      </c>
      <c r="U2986" s="10"/>
      <c r="V2986" s="41">
        <f>IF(AND(Q2986&lt;&gt;"",RIGHT(Q2986,3)&lt;&gt;""),IF(COUNTIF($Q$6:Q2986,Q2986)=1,1,0),0)</f>
        <v>0</v>
      </c>
      <c r="W2986" s="41" t="str">
        <f t="shared" si="259"/>
        <v/>
      </c>
      <c r="X2986" s="41" t="str">
        <f t="shared" si="260"/>
        <v/>
      </c>
    </row>
    <row r="2987" s="32" customFormat="1" hidden="1" customHeight="1" spans="1:24">
      <c r="A2987" s="34"/>
      <c r="B2987" s="51"/>
      <c r="C2987" s="51"/>
      <c r="D2987" s="52"/>
      <c r="E2987" s="53"/>
      <c r="F2987" s="54"/>
      <c r="G2987" s="54"/>
      <c r="H2987" s="54"/>
      <c r="I2987" s="66"/>
      <c r="J2987" s="54"/>
      <c r="K2987" s="54"/>
      <c r="L2987" s="54"/>
      <c r="M2987" s="97" t="str">
        <f t="shared" si="257"/>
        <v/>
      </c>
      <c r="N2987" s="70"/>
      <c r="O2987" s="71" t="str">
        <f t="shared" si="256"/>
        <v/>
      </c>
      <c r="P2987" s="66"/>
      <c r="Q2987" s="66"/>
      <c r="R2987" s="54"/>
      <c r="S2987" s="82"/>
      <c r="T2987" s="83" t="str">
        <f t="shared" si="258"/>
        <v/>
      </c>
      <c r="U2987" s="10"/>
      <c r="V2987" s="41">
        <f>IF(AND(Q2987&lt;&gt;"",RIGHT(Q2987,3)&lt;&gt;""),IF(COUNTIF($Q$6:Q2987,Q2987)=1,1,0),0)</f>
        <v>0</v>
      </c>
      <c r="W2987" s="41" t="str">
        <f t="shared" si="259"/>
        <v/>
      </c>
      <c r="X2987" s="41" t="str">
        <f t="shared" si="260"/>
        <v/>
      </c>
    </row>
    <row r="2988" s="32" customFormat="1" hidden="1" customHeight="1" spans="1:24">
      <c r="A2988" s="34"/>
      <c r="B2988" s="51"/>
      <c r="C2988" s="51"/>
      <c r="D2988" s="52"/>
      <c r="E2988" s="53"/>
      <c r="F2988" s="54"/>
      <c r="G2988" s="54"/>
      <c r="H2988" s="54"/>
      <c r="I2988" s="66"/>
      <c r="J2988" s="54"/>
      <c r="K2988" s="54"/>
      <c r="L2988" s="54"/>
      <c r="M2988" s="97" t="str">
        <f t="shared" si="257"/>
        <v/>
      </c>
      <c r="N2988" s="70"/>
      <c r="O2988" s="71" t="str">
        <f t="shared" si="256"/>
        <v/>
      </c>
      <c r="P2988" s="66"/>
      <c r="Q2988" s="66"/>
      <c r="R2988" s="54"/>
      <c r="S2988" s="82"/>
      <c r="T2988" s="83" t="str">
        <f t="shared" si="258"/>
        <v/>
      </c>
      <c r="U2988" s="10"/>
      <c r="V2988" s="41">
        <f>IF(AND(Q2988&lt;&gt;"",RIGHT(Q2988,3)&lt;&gt;""),IF(COUNTIF($Q$6:Q2988,Q2988)=1,1,0),0)</f>
        <v>0</v>
      </c>
      <c r="W2988" s="41" t="str">
        <f t="shared" si="259"/>
        <v/>
      </c>
      <c r="X2988" s="41" t="str">
        <f t="shared" si="260"/>
        <v/>
      </c>
    </row>
    <row r="2989" s="32" customFormat="1" hidden="1" customHeight="1" spans="1:24">
      <c r="A2989" s="34"/>
      <c r="B2989" s="51"/>
      <c r="C2989" s="51"/>
      <c r="D2989" s="52"/>
      <c r="E2989" s="53"/>
      <c r="F2989" s="54"/>
      <c r="G2989" s="54"/>
      <c r="H2989" s="54"/>
      <c r="I2989" s="66"/>
      <c r="J2989" s="54"/>
      <c r="K2989" s="54"/>
      <c r="L2989" s="54"/>
      <c r="M2989" s="97" t="str">
        <f t="shared" si="257"/>
        <v/>
      </c>
      <c r="N2989" s="70"/>
      <c r="O2989" s="71" t="str">
        <f t="shared" si="256"/>
        <v/>
      </c>
      <c r="P2989" s="66"/>
      <c r="Q2989" s="66"/>
      <c r="R2989" s="54"/>
      <c r="S2989" s="82"/>
      <c r="T2989" s="83" t="str">
        <f t="shared" si="258"/>
        <v/>
      </c>
      <c r="U2989" s="10"/>
      <c r="V2989" s="41">
        <f>IF(AND(Q2989&lt;&gt;"",RIGHT(Q2989,3)&lt;&gt;""),IF(COUNTIF($Q$6:Q2989,Q2989)=1,1,0),0)</f>
        <v>0</v>
      </c>
      <c r="W2989" s="41" t="str">
        <f t="shared" si="259"/>
        <v/>
      </c>
      <c r="X2989" s="41" t="str">
        <f t="shared" si="260"/>
        <v/>
      </c>
    </row>
    <row r="2990" s="32" customFormat="1" hidden="1" customHeight="1" spans="1:24">
      <c r="A2990" s="34"/>
      <c r="B2990" s="51"/>
      <c r="C2990" s="51"/>
      <c r="D2990" s="52"/>
      <c r="E2990" s="53"/>
      <c r="F2990" s="54"/>
      <c r="G2990" s="54"/>
      <c r="H2990" s="54"/>
      <c r="I2990" s="66"/>
      <c r="J2990" s="54"/>
      <c r="K2990" s="54"/>
      <c r="L2990" s="54"/>
      <c r="M2990" s="97" t="str">
        <f t="shared" si="257"/>
        <v/>
      </c>
      <c r="N2990" s="70"/>
      <c r="O2990" s="71" t="str">
        <f t="shared" si="256"/>
        <v/>
      </c>
      <c r="P2990" s="66"/>
      <c r="Q2990" s="66"/>
      <c r="R2990" s="54"/>
      <c r="S2990" s="82"/>
      <c r="T2990" s="83" t="str">
        <f t="shared" si="258"/>
        <v/>
      </c>
      <c r="U2990" s="10"/>
      <c r="V2990" s="41">
        <f>IF(AND(Q2990&lt;&gt;"",RIGHT(Q2990,3)&lt;&gt;""),IF(COUNTIF($Q$6:Q2990,Q2990)=1,1,0),0)</f>
        <v>0</v>
      </c>
      <c r="W2990" s="41" t="str">
        <f t="shared" si="259"/>
        <v/>
      </c>
      <c r="X2990" s="41" t="str">
        <f t="shared" si="260"/>
        <v/>
      </c>
    </row>
    <row r="2991" s="32" customFormat="1" hidden="1" customHeight="1" spans="1:24">
      <c r="A2991" s="34"/>
      <c r="B2991" s="51"/>
      <c r="C2991" s="51"/>
      <c r="D2991" s="52"/>
      <c r="E2991" s="53"/>
      <c r="F2991" s="54"/>
      <c r="G2991" s="54"/>
      <c r="H2991" s="54"/>
      <c r="I2991" s="66"/>
      <c r="J2991" s="54"/>
      <c r="K2991" s="54"/>
      <c r="L2991" s="54"/>
      <c r="M2991" s="97" t="str">
        <f t="shared" si="257"/>
        <v/>
      </c>
      <c r="N2991" s="70"/>
      <c r="O2991" s="71" t="str">
        <f t="shared" si="256"/>
        <v/>
      </c>
      <c r="P2991" s="66"/>
      <c r="Q2991" s="66"/>
      <c r="R2991" s="54"/>
      <c r="S2991" s="82"/>
      <c r="T2991" s="83" t="str">
        <f t="shared" si="258"/>
        <v/>
      </c>
      <c r="U2991" s="10"/>
      <c r="V2991" s="41">
        <f>IF(AND(Q2991&lt;&gt;"",RIGHT(Q2991,3)&lt;&gt;""),IF(COUNTIF($Q$6:Q2991,Q2991)=1,1,0),0)</f>
        <v>0</v>
      </c>
      <c r="W2991" s="41" t="str">
        <f t="shared" si="259"/>
        <v/>
      </c>
      <c r="X2991" s="41" t="str">
        <f t="shared" si="260"/>
        <v/>
      </c>
    </row>
    <row r="2992" s="32" customFormat="1" hidden="1" customHeight="1" spans="1:24">
      <c r="A2992" s="34"/>
      <c r="B2992" s="51"/>
      <c r="C2992" s="51"/>
      <c r="D2992" s="52"/>
      <c r="E2992" s="53"/>
      <c r="F2992" s="54"/>
      <c r="G2992" s="54"/>
      <c r="H2992" s="54"/>
      <c r="I2992" s="66"/>
      <c r="J2992" s="54"/>
      <c r="K2992" s="54"/>
      <c r="L2992" s="54"/>
      <c r="M2992" s="97" t="str">
        <f t="shared" si="257"/>
        <v/>
      </c>
      <c r="N2992" s="70"/>
      <c r="O2992" s="71" t="str">
        <f t="shared" si="256"/>
        <v/>
      </c>
      <c r="P2992" s="66"/>
      <c r="Q2992" s="66"/>
      <c r="R2992" s="54"/>
      <c r="S2992" s="82"/>
      <c r="T2992" s="83" t="str">
        <f t="shared" si="258"/>
        <v/>
      </c>
      <c r="U2992" s="10"/>
      <c r="V2992" s="41">
        <f>IF(AND(Q2992&lt;&gt;"",RIGHT(Q2992,3)&lt;&gt;""),IF(COUNTIF($Q$6:Q2992,Q2992)=1,1,0),0)</f>
        <v>0</v>
      </c>
      <c r="W2992" s="41" t="str">
        <f t="shared" si="259"/>
        <v/>
      </c>
      <c r="X2992" s="41" t="str">
        <f t="shared" si="260"/>
        <v/>
      </c>
    </row>
    <row r="2993" s="32" customFormat="1" hidden="1" customHeight="1" spans="1:24">
      <c r="A2993" s="34"/>
      <c r="B2993" s="51"/>
      <c r="C2993" s="51"/>
      <c r="D2993" s="52"/>
      <c r="E2993" s="53"/>
      <c r="F2993" s="54"/>
      <c r="G2993" s="54"/>
      <c r="H2993" s="54"/>
      <c r="I2993" s="66"/>
      <c r="J2993" s="54"/>
      <c r="K2993" s="54"/>
      <c r="L2993" s="54"/>
      <c r="M2993" s="97" t="str">
        <f t="shared" si="257"/>
        <v/>
      </c>
      <c r="N2993" s="70"/>
      <c r="O2993" s="71" t="str">
        <f t="shared" ref="O2993:O3056" si="261">IF(AND(Q2993&lt;&gt;"",T2993&lt;&gt;""),"PASSIVE",IF(AND(J2993&lt;&gt;"",M2993&lt;&gt;""),"ACTIVE",""))</f>
        <v/>
      </c>
      <c r="P2993" s="66"/>
      <c r="Q2993" s="66"/>
      <c r="R2993" s="54"/>
      <c r="S2993" s="82"/>
      <c r="T2993" s="83" t="str">
        <f t="shared" si="258"/>
        <v/>
      </c>
      <c r="U2993" s="10"/>
      <c r="V2993" s="41">
        <f>IF(AND(Q2993&lt;&gt;"",RIGHT(Q2993,3)&lt;&gt;""),IF(COUNTIF($Q$6:Q2993,Q2993)=1,1,0),0)</f>
        <v>0</v>
      </c>
      <c r="W2993" s="41" t="str">
        <f t="shared" si="259"/>
        <v/>
      </c>
      <c r="X2993" s="41" t="str">
        <f t="shared" si="260"/>
        <v/>
      </c>
    </row>
    <row r="2994" s="32" customFormat="1" hidden="1" customHeight="1" spans="1:24">
      <c r="A2994" s="34"/>
      <c r="B2994" s="51"/>
      <c r="C2994" s="51"/>
      <c r="D2994" s="52"/>
      <c r="E2994" s="53"/>
      <c r="F2994" s="54"/>
      <c r="G2994" s="54"/>
      <c r="H2994" s="54"/>
      <c r="I2994" s="66"/>
      <c r="J2994" s="54"/>
      <c r="K2994" s="54"/>
      <c r="L2994" s="54"/>
      <c r="M2994" s="97" t="str">
        <f t="shared" si="257"/>
        <v/>
      </c>
      <c r="N2994" s="70"/>
      <c r="O2994" s="71" t="str">
        <f t="shared" si="261"/>
        <v/>
      </c>
      <c r="P2994" s="66"/>
      <c r="Q2994" s="66"/>
      <c r="R2994" s="54"/>
      <c r="S2994" s="82"/>
      <c r="T2994" s="83" t="str">
        <f t="shared" si="258"/>
        <v/>
      </c>
      <c r="U2994" s="10"/>
      <c r="V2994" s="41">
        <f>IF(AND(Q2994&lt;&gt;"",RIGHT(Q2994,3)&lt;&gt;""),IF(COUNTIF($Q$6:Q2994,Q2994)=1,1,0),0)</f>
        <v>0</v>
      </c>
      <c r="W2994" s="41" t="str">
        <f t="shared" si="259"/>
        <v/>
      </c>
      <c r="X2994" s="41" t="str">
        <f t="shared" si="260"/>
        <v/>
      </c>
    </row>
    <row r="2995" s="32" customFormat="1" hidden="1" customHeight="1" spans="1:24">
      <c r="A2995" s="34"/>
      <c r="B2995" s="51"/>
      <c r="C2995" s="51"/>
      <c r="D2995" s="52"/>
      <c r="E2995" s="53"/>
      <c r="F2995" s="54"/>
      <c r="G2995" s="54"/>
      <c r="H2995" s="54"/>
      <c r="I2995" s="66"/>
      <c r="J2995" s="54"/>
      <c r="K2995" s="54"/>
      <c r="L2995" s="54"/>
      <c r="M2995" s="97" t="str">
        <f t="shared" si="257"/>
        <v/>
      </c>
      <c r="N2995" s="70"/>
      <c r="O2995" s="71" t="str">
        <f t="shared" si="261"/>
        <v/>
      </c>
      <c r="P2995" s="66"/>
      <c r="Q2995" s="66"/>
      <c r="R2995" s="54"/>
      <c r="S2995" s="82"/>
      <c r="T2995" s="83" t="str">
        <f t="shared" si="258"/>
        <v/>
      </c>
      <c r="U2995" s="10"/>
      <c r="V2995" s="41">
        <f>IF(AND(Q2995&lt;&gt;"",RIGHT(Q2995,3)&lt;&gt;""),IF(COUNTIF($Q$6:Q2995,Q2995)=1,1,0),0)</f>
        <v>0</v>
      </c>
      <c r="W2995" s="41" t="str">
        <f t="shared" si="259"/>
        <v/>
      </c>
      <c r="X2995" s="41" t="str">
        <f t="shared" si="260"/>
        <v/>
      </c>
    </row>
    <row r="2996" s="32" customFormat="1" hidden="1" customHeight="1" spans="1:24">
      <c r="A2996" s="34"/>
      <c r="B2996" s="51"/>
      <c r="C2996" s="51"/>
      <c r="D2996" s="52"/>
      <c r="E2996" s="53"/>
      <c r="F2996" s="54"/>
      <c r="G2996" s="54"/>
      <c r="H2996" s="54"/>
      <c r="I2996" s="66"/>
      <c r="J2996" s="54"/>
      <c r="K2996" s="54"/>
      <c r="L2996" s="54"/>
      <c r="M2996" s="97" t="str">
        <f t="shared" si="257"/>
        <v/>
      </c>
      <c r="N2996" s="70"/>
      <c r="O2996" s="71" t="str">
        <f t="shared" si="261"/>
        <v/>
      </c>
      <c r="P2996" s="66"/>
      <c r="Q2996" s="66"/>
      <c r="R2996" s="54"/>
      <c r="S2996" s="82"/>
      <c r="T2996" s="83" t="str">
        <f t="shared" si="258"/>
        <v/>
      </c>
      <c r="U2996" s="10"/>
      <c r="V2996" s="41">
        <f>IF(AND(Q2996&lt;&gt;"",RIGHT(Q2996,3)&lt;&gt;""),IF(COUNTIF($Q$6:Q2996,Q2996)=1,1,0),0)</f>
        <v>0</v>
      </c>
      <c r="W2996" s="41" t="str">
        <f t="shared" si="259"/>
        <v/>
      </c>
      <c r="X2996" s="41" t="str">
        <f t="shared" si="260"/>
        <v/>
      </c>
    </row>
    <row r="2997" s="32" customFormat="1" hidden="1" customHeight="1" spans="1:24">
      <c r="A2997" s="34"/>
      <c r="B2997" s="51"/>
      <c r="C2997" s="51"/>
      <c r="D2997" s="52"/>
      <c r="E2997" s="53"/>
      <c r="F2997" s="54"/>
      <c r="G2997" s="54"/>
      <c r="H2997" s="54"/>
      <c r="I2997" s="66"/>
      <c r="J2997" s="54"/>
      <c r="K2997" s="54"/>
      <c r="L2997" s="54"/>
      <c r="M2997" s="97" t="str">
        <f t="shared" si="257"/>
        <v/>
      </c>
      <c r="N2997" s="70"/>
      <c r="O2997" s="71" t="str">
        <f t="shared" si="261"/>
        <v/>
      </c>
      <c r="P2997" s="66"/>
      <c r="Q2997" s="66"/>
      <c r="R2997" s="54"/>
      <c r="S2997" s="82"/>
      <c r="T2997" s="83" t="str">
        <f t="shared" si="258"/>
        <v/>
      </c>
      <c r="U2997" s="10"/>
      <c r="V2997" s="41">
        <f>IF(AND(Q2997&lt;&gt;"",RIGHT(Q2997,3)&lt;&gt;""),IF(COUNTIF($Q$6:Q2997,Q2997)=1,1,0),0)</f>
        <v>0</v>
      </c>
      <c r="W2997" s="41" t="str">
        <f t="shared" si="259"/>
        <v/>
      </c>
      <c r="X2997" s="41" t="str">
        <f t="shared" si="260"/>
        <v/>
      </c>
    </row>
    <row r="2998" s="32" customFormat="1" hidden="1" customHeight="1" spans="1:24">
      <c r="A2998" s="34"/>
      <c r="B2998" s="51"/>
      <c r="C2998" s="51"/>
      <c r="D2998" s="52"/>
      <c r="E2998" s="53"/>
      <c r="F2998" s="54"/>
      <c r="G2998" s="54"/>
      <c r="H2998" s="54"/>
      <c r="I2998" s="66"/>
      <c r="J2998" s="54"/>
      <c r="K2998" s="54"/>
      <c r="L2998" s="54"/>
      <c r="M2998" s="97" t="str">
        <f t="shared" si="257"/>
        <v/>
      </c>
      <c r="N2998" s="70"/>
      <c r="O2998" s="71" t="str">
        <f t="shared" si="261"/>
        <v/>
      </c>
      <c r="P2998" s="66"/>
      <c r="Q2998" s="66"/>
      <c r="R2998" s="54"/>
      <c r="S2998" s="82"/>
      <c r="T2998" s="83" t="str">
        <f t="shared" si="258"/>
        <v/>
      </c>
      <c r="U2998" s="10"/>
      <c r="V2998" s="41">
        <f>IF(AND(Q2998&lt;&gt;"",RIGHT(Q2998,3)&lt;&gt;""),IF(COUNTIF($Q$6:Q2998,Q2998)=1,1,0),0)</f>
        <v>0</v>
      </c>
      <c r="W2998" s="41" t="str">
        <f t="shared" si="259"/>
        <v/>
      </c>
      <c r="X2998" s="41" t="str">
        <f t="shared" si="260"/>
        <v/>
      </c>
    </row>
    <row r="2999" s="32" customFormat="1" hidden="1" customHeight="1" spans="1:24">
      <c r="A2999" s="34"/>
      <c r="B2999" s="51"/>
      <c r="C2999" s="51"/>
      <c r="D2999" s="52"/>
      <c r="E2999" s="53"/>
      <c r="F2999" s="54"/>
      <c r="G2999" s="54"/>
      <c r="H2999" s="54"/>
      <c r="I2999" s="66"/>
      <c r="J2999" s="54"/>
      <c r="K2999" s="54"/>
      <c r="L2999" s="54"/>
      <c r="M2999" s="97" t="str">
        <f t="shared" si="257"/>
        <v/>
      </c>
      <c r="N2999" s="70"/>
      <c r="O2999" s="71" t="str">
        <f t="shared" si="261"/>
        <v/>
      </c>
      <c r="P2999" s="66"/>
      <c r="Q2999" s="66"/>
      <c r="R2999" s="54"/>
      <c r="S2999" s="82"/>
      <c r="T2999" s="83" t="str">
        <f t="shared" si="258"/>
        <v/>
      </c>
      <c r="U2999" s="10"/>
      <c r="V2999" s="41">
        <f>IF(AND(Q2999&lt;&gt;"",RIGHT(Q2999,3)&lt;&gt;""),IF(COUNTIF($Q$6:Q2999,Q2999)=1,1,0),0)</f>
        <v>0</v>
      </c>
      <c r="W2999" s="41" t="str">
        <f t="shared" si="259"/>
        <v/>
      </c>
      <c r="X2999" s="41" t="str">
        <f t="shared" si="260"/>
        <v/>
      </c>
    </row>
    <row r="3000" s="32" customFormat="1" hidden="1" customHeight="1" spans="1:24">
      <c r="A3000" s="34"/>
      <c r="B3000" s="51"/>
      <c r="C3000" s="51"/>
      <c r="D3000" s="52"/>
      <c r="E3000" s="53"/>
      <c r="F3000" s="54"/>
      <c r="G3000" s="54"/>
      <c r="H3000" s="54"/>
      <c r="I3000" s="66"/>
      <c r="J3000" s="54"/>
      <c r="K3000" s="54"/>
      <c r="L3000" s="54"/>
      <c r="M3000" s="97" t="str">
        <f t="shared" si="257"/>
        <v/>
      </c>
      <c r="N3000" s="70"/>
      <c r="O3000" s="71" t="str">
        <f t="shared" si="261"/>
        <v/>
      </c>
      <c r="P3000" s="66"/>
      <c r="Q3000" s="66"/>
      <c r="R3000" s="54"/>
      <c r="S3000" s="82"/>
      <c r="T3000" s="83" t="str">
        <f t="shared" si="258"/>
        <v/>
      </c>
      <c r="U3000" s="10"/>
      <c r="V3000" s="41">
        <f>IF(AND(Q3000&lt;&gt;"",RIGHT(Q3000,3)&lt;&gt;""),IF(COUNTIF($Q$6:Q3000,Q3000)=1,1,0),0)</f>
        <v>0</v>
      </c>
      <c r="W3000" s="41" t="str">
        <f t="shared" si="259"/>
        <v/>
      </c>
      <c r="X3000" s="41" t="str">
        <f t="shared" si="260"/>
        <v/>
      </c>
    </row>
    <row r="3001" s="32" customFormat="1" hidden="1" customHeight="1" spans="1:24">
      <c r="A3001" s="34"/>
      <c r="B3001" s="51"/>
      <c r="C3001" s="51"/>
      <c r="D3001" s="52"/>
      <c r="E3001" s="53"/>
      <c r="F3001" s="54"/>
      <c r="G3001" s="54"/>
      <c r="H3001" s="54"/>
      <c r="I3001" s="66"/>
      <c r="J3001" s="54"/>
      <c r="K3001" s="54"/>
      <c r="L3001" s="54"/>
      <c r="M3001" s="97" t="str">
        <f t="shared" si="257"/>
        <v/>
      </c>
      <c r="N3001" s="70"/>
      <c r="O3001" s="71" t="str">
        <f t="shared" si="261"/>
        <v/>
      </c>
      <c r="P3001" s="66"/>
      <c r="Q3001" s="66"/>
      <c r="R3001" s="54"/>
      <c r="S3001" s="82"/>
      <c r="T3001" s="83" t="str">
        <f t="shared" si="258"/>
        <v/>
      </c>
      <c r="U3001" s="10"/>
      <c r="V3001" s="41">
        <f>IF(AND(Q3001&lt;&gt;"",RIGHT(Q3001,3)&lt;&gt;""),IF(COUNTIF($Q$6:Q3001,Q3001)=1,1,0),0)</f>
        <v>0</v>
      </c>
      <c r="W3001" s="41" t="str">
        <f t="shared" si="259"/>
        <v/>
      </c>
      <c r="X3001" s="41" t="str">
        <f t="shared" si="260"/>
        <v/>
      </c>
    </row>
    <row r="3002" s="32" customFormat="1" hidden="1" customHeight="1" spans="1:24">
      <c r="A3002" s="34"/>
      <c r="B3002" s="51"/>
      <c r="C3002" s="51"/>
      <c r="D3002" s="52"/>
      <c r="E3002" s="53"/>
      <c r="F3002" s="54"/>
      <c r="G3002" s="54"/>
      <c r="H3002" s="54"/>
      <c r="I3002" s="66"/>
      <c r="J3002" s="54"/>
      <c r="K3002" s="54"/>
      <c r="L3002" s="54"/>
      <c r="M3002" s="97" t="str">
        <f t="shared" si="257"/>
        <v/>
      </c>
      <c r="N3002" s="70"/>
      <c r="O3002" s="71" t="str">
        <f t="shared" si="261"/>
        <v/>
      </c>
      <c r="P3002" s="66"/>
      <c r="Q3002" s="66"/>
      <c r="R3002" s="54"/>
      <c r="S3002" s="82"/>
      <c r="T3002" s="83" t="str">
        <f t="shared" si="258"/>
        <v/>
      </c>
      <c r="U3002" s="10"/>
      <c r="V3002" s="41">
        <f>IF(AND(Q3002&lt;&gt;"",RIGHT(Q3002,3)&lt;&gt;""),IF(COUNTIF($Q$6:Q3002,Q3002)=1,1,0),0)</f>
        <v>0</v>
      </c>
      <c r="W3002" s="41" t="str">
        <f t="shared" si="259"/>
        <v/>
      </c>
      <c r="X3002" s="41" t="str">
        <f t="shared" si="260"/>
        <v/>
      </c>
    </row>
    <row r="3003" s="32" customFormat="1" hidden="1" customHeight="1" spans="1:24">
      <c r="A3003" s="34"/>
      <c r="B3003" s="51"/>
      <c r="C3003" s="51"/>
      <c r="D3003" s="52"/>
      <c r="E3003" s="53"/>
      <c r="F3003" s="54"/>
      <c r="G3003" s="54"/>
      <c r="H3003" s="54"/>
      <c r="I3003" s="66"/>
      <c r="J3003" s="54"/>
      <c r="K3003" s="54"/>
      <c r="L3003" s="54"/>
      <c r="M3003" s="97" t="str">
        <f t="shared" si="257"/>
        <v/>
      </c>
      <c r="N3003" s="70"/>
      <c r="O3003" s="71" t="str">
        <f t="shared" si="261"/>
        <v/>
      </c>
      <c r="P3003" s="66"/>
      <c r="Q3003" s="66"/>
      <c r="R3003" s="54"/>
      <c r="S3003" s="82"/>
      <c r="T3003" s="83" t="str">
        <f t="shared" si="258"/>
        <v/>
      </c>
      <c r="U3003" s="10"/>
      <c r="V3003" s="41">
        <f>IF(AND(Q3003&lt;&gt;"",RIGHT(Q3003,3)&lt;&gt;""),IF(COUNTIF($Q$6:Q3003,Q3003)=1,1,0),0)</f>
        <v>0</v>
      </c>
      <c r="W3003" s="41" t="str">
        <f t="shared" si="259"/>
        <v/>
      </c>
      <c r="X3003" s="41" t="str">
        <f t="shared" si="260"/>
        <v/>
      </c>
    </row>
    <row r="3004" s="32" customFormat="1" hidden="1" customHeight="1" spans="1:24">
      <c r="A3004" s="34"/>
      <c r="B3004" s="51"/>
      <c r="C3004" s="51"/>
      <c r="D3004" s="52"/>
      <c r="E3004" s="53"/>
      <c r="F3004" s="54"/>
      <c r="G3004" s="54"/>
      <c r="H3004" s="54"/>
      <c r="I3004" s="66"/>
      <c r="J3004" s="54"/>
      <c r="K3004" s="54"/>
      <c r="L3004" s="54"/>
      <c r="M3004" s="97" t="str">
        <f t="shared" si="257"/>
        <v/>
      </c>
      <c r="N3004" s="70"/>
      <c r="O3004" s="71" t="str">
        <f t="shared" si="261"/>
        <v/>
      </c>
      <c r="P3004" s="66"/>
      <c r="Q3004" s="66"/>
      <c r="R3004" s="54"/>
      <c r="S3004" s="82"/>
      <c r="T3004" s="83" t="str">
        <f t="shared" si="258"/>
        <v/>
      </c>
      <c r="U3004" s="10"/>
      <c r="V3004" s="41">
        <f>IF(AND(Q3004&lt;&gt;"",RIGHT(Q3004,3)&lt;&gt;""),IF(COUNTIF($Q$6:Q3004,Q3004)=1,1,0),0)</f>
        <v>0</v>
      </c>
      <c r="W3004" s="41" t="str">
        <f t="shared" si="259"/>
        <v/>
      </c>
      <c r="X3004" s="41" t="str">
        <f t="shared" si="260"/>
        <v/>
      </c>
    </row>
    <row r="3005" s="32" customFormat="1" hidden="1" customHeight="1" spans="1:24">
      <c r="A3005" s="34"/>
      <c r="B3005" s="51"/>
      <c r="C3005" s="51"/>
      <c r="D3005" s="52"/>
      <c r="E3005" s="53"/>
      <c r="F3005" s="54"/>
      <c r="G3005" s="54"/>
      <c r="H3005" s="54"/>
      <c r="I3005" s="66"/>
      <c r="J3005" s="54"/>
      <c r="K3005" s="54"/>
      <c r="L3005" s="54"/>
      <c r="M3005" s="97" t="str">
        <f t="shared" si="257"/>
        <v/>
      </c>
      <c r="N3005" s="70"/>
      <c r="O3005" s="71" t="str">
        <f t="shared" si="261"/>
        <v/>
      </c>
      <c r="P3005" s="66"/>
      <c r="Q3005" s="66"/>
      <c r="R3005" s="54"/>
      <c r="S3005" s="82"/>
      <c r="T3005" s="83" t="str">
        <f t="shared" si="258"/>
        <v/>
      </c>
      <c r="U3005" s="10"/>
      <c r="V3005" s="41">
        <f>IF(AND(Q3005&lt;&gt;"",RIGHT(Q3005,3)&lt;&gt;""),IF(COUNTIF($Q$6:Q3005,Q3005)=1,1,0),0)</f>
        <v>0</v>
      </c>
      <c r="W3005" s="41" t="str">
        <f t="shared" si="259"/>
        <v/>
      </c>
      <c r="X3005" s="41" t="str">
        <f t="shared" si="260"/>
        <v/>
      </c>
    </row>
    <row r="3006" s="32" customFormat="1" hidden="1" customHeight="1" spans="1:24">
      <c r="A3006" s="34"/>
      <c r="B3006" s="51"/>
      <c r="C3006" s="51"/>
      <c r="D3006" s="52"/>
      <c r="E3006" s="53"/>
      <c r="F3006" s="54"/>
      <c r="G3006" s="54"/>
      <c r="H3006" s="54"/>
      <c r="I3006" s="66"/>
      <c r="J3006" s="54"/>
      <c r="K3006" s="54"/>
      <c r="L3006" s="54"/>
      <c r="M3006" s="97" t="str">
        <f t="shared" si="257"/>
        <v/>
      </c>
      <c r="N3006" s="70"/>
      <c r="O3006" s="71" t="str">
        <f t="shared" si="261"/>
        <v/>
      </c>
      <c r="P3006" s="66"/>
      <c r="Q3006" s="66"/>
      <c r="R3006" s="54"/>
      <c r="S3006" s="82"/>
      <c r="T3006" s="83" t="str">
        <f t="shared" si="258"/>
        <v/>
      </c>
      <c r="U3006" s="10"/>
      <c r="V3006" s="41">
        <f>IF(AND(Q3006&lt;&gt;"",RIGHT(Q3006,3)&lt;&gt;""),IF(COUNTIF($Q$6:Q3006,Q3006)=1,1,0),0)</f>
        <v>0</v>
      </c>
      <c r="W3006" s="41" t="str">
        <f t="shared" si="259"/>
        <v/>
      </c>
      <c r="X3006" s="41" t="str">
        <f t="shared" si="260"/>
        <v/>
      </c>
    </row>
    <row r="3007" s="32" customFormat="1" hidden="1" customHeight="1" spans="1:24">
      <c r="A3007" s="34"/>
      <c r="B3007" s="51"/>
      <c r="C3007" s="51"/>
      <c r="D3007" s="52"/>
      <c r="E3007" s="53"/>
      <c r="F3007" s="54"/>
      <c r="G3007" s="54"/>
      <c r="H3007" s="54"/>
      <c r="I3007" s="66"/>
      <c r="J3007" s="54"/>
      <c r="K3007" s="54"/>
      <c r="L3007" s="54"/>
      <c r="M3007" s="97" t="str">
        <f t="shared" si="257"/>
        <v/>
      </c>
      <c r="N3007" s="70"/>
      <c r="O3007" s="71" t="str">
        <f t="shared" si="261"/>
        <v/>
      </c>
      <c r="P3007" s="66"/>
      <c r="Q3007" s="66"/>
      <c r="R3007" s="54"/>
      <c r="S3007" s="82"/>
      <c r="T3007" s="83" t="str">
        <f t="shared" si="258"/>
        <v/>
      </c>
      <c r="U3007" s="10"/>
      <c r="V3007" s="41">
        <f>IF(AND(Q3007&lt;&gt;"",RIGHT(Q3007,3)&lt;&gt;""),IF(COUNTIF($Q$6:Q3007,Q3007)=1,1,0),0)</f>
        <v>0</v>
      </c>
      <c r="W3007" s="41" t="str">
        <f t="shared" si="259"/>
        <v/>
      </c>
      <c r="X3007" s="41" t="str">
        <f t="shared" si="260"/>
        <v/>
      </c>
    </row>
    <row r="3008" s="32" customFormat="1" hidden="1" customHeight="1" spans="1:24">
      <c r="A3008" s="34"/>
      <c r="B3008" s="51"/>
      <c r="C3008" s="51"/>
      <c r="D3008" s="52"/>
      <c r="E3008" s="53"/>
      <c r="F3008" s="54"/>
      <c r="G3008" s="54"/>
      <c r="H3008" s="54"/>
      <c r="I3008" s="66"/>
      <c r="J3008" s="54"/>
      <c r="K3008" s="54"/>
      <c r="L3008" s="54"/>
      <c r="M3008" s="97" t="str">
        <f t="shared" si="257"/>
        <v/>
      </c>
      <c r="N3008" s="70"/>
      <c r="O3008" s="71" t="str">
        <f t="shared" si="261"/>
        <v/>
      </c>
      <c r="P3008" s="66"/>
      <c r="Q3008" s="66"/>
      <c r="R3008" s="54"/>
      <c r="S3008" s="82"/>
      <c r="T3008" s="83" t="str">
        <f t="shared" si="258"/>
        <v/>
      </c>
      <c r="U3008" s="10"/>
      <c r="V3008" s="41">
        <f>IF(AND(Q3008&lt;&gt;"",RIGHT(Q3008,3)&lt;&gt;""),IF(COUNTIF($Q$6:Q3008,Q3008)=1,1,0),0)</f>
        <v>0</v>
      </c>
      <c r="W3008" s="41" t="str">
        <f t="shared" si="259"/>
        <v/>
      </c>
      <c r="X3008" s="41" t="str">
        <f t="shared" si="260"/>
        <v/>
      </c>
    </row>
    <row r="3009" s="32" customFormat="1" hidden="1" customHeight="1" spans="1:24">
      <c r="A3009" s="34"/>
      <c r="B3009" s="51"/>
      <c r="C3009" s="51"/>
      <c r="D3009" s="52"/>
      <c r="E3009" s="53"/>
      <c r="F3009" s="54"/>
      <c r="G3009" s="54"/>
      <c r="H3009" s="54"/>
      <c r="I3009" s="66"/>
      <c r="J3009" s="54"/>
      <c r="K3009" s="54"/>
      <c r="L3009" s="54"/>
      <c r="M3009" s="97" t="str">
        <f t="shared" si="257"/>
        <v/>
      </c>
      <c r="N3009" s="70"/>
      <c r="O3009" s="71" t="str">
        <f t="shared" si="261"/>
        <v/>
      </c>
      <c r="P3009" s="66"/>
      <c r="Q3009" s="66"/>
      <c r="R3009" s="54"/>
      <c r="S3009" s="82"/>
      <c r="T3009" s="83" t="str">
        <f t="shared" si="258"/>
        <v/>
      </c>
      <c r="U3009" s="10"/>
      <c r="V3009" s="41">
        <f>IF(AND(Q3009&lt;&gt;"",RIGHT(Q3009,3)&lt;&gt;""),IF(COUNTIF($Q$6:Q3009,Q3009)=1,1,0),0)</f>
        <v>0</v>
      </c>
      <c r="W3009" s="41" t="str">
        <f t="shared" si="259"/>
        <v/>
      </c>
      <c r="X3009" s="41" t="str">
        <f t="shared" si="260"/>
        <v/>
      </c>
    </row>
    <row r="3010" s="32" customFormat="1" hidden="1" customHeight="1" spans="1:24">
      <c r="A3010" s="34"/>
      <c r="B3010" s="51"/>
      <c r="C3010" s="51"/>
      <c r="D3010" s="52"/>
      <c r="E3010" s="53"/>
      <c r="F3010" s="54"/>
      <c r="G3010" s="54"/>
      <c r="H3010" s="54"/>
      <c r="I3010" s="66"/>
      <c r="J3010" s="54"/>
      <c r="K3010" s="54"/>
      <c r="L3010" s="54"/>
      <c r="M3010" s="97" t="str">
        <f t="shared" si="257"/>
        <v/>
      </c>
      <c r="N3010" s="70"/>
      <c r="O3010" s="71" t="str">
        <f t="shared" si="261"/>
        <v/>
      </c>
      <c r="P3010" s="66"/>
      <c r="Q3010" s="66"/>
      <c r="R3010" s="54"/>
      <c r="S3010" s="82"/>
      <c r="T3010" s="83" t="str">
        <f t="shared" si="258"/>
        <v/>
      </c>
      <c r="U3010" s="10"/>
      <c r="V3010" s="41">
        <f>IF(AND(Q3010&lt;&gt;"",RIGHT(Q3010,3)&lt;&gt;""),IF(COUNTIF($Q$6:Q3010,Q3010)=1,1,0),0)</f>
        <v>0</v>
      </c>
      <c r="W3010" s="41" t="str">
        <f t="shared" si="259"/>
        <v/>
      </c>
      <c r="X3010" s="41" t="str">
        <f t="shared" si="260"/>
        <v/>
      </c>
    </row>
    <row r="3011" s="32" customFormat="1" hidden="1" customHeight="1" spans="1:24">
      <c r="A3011" s="34"/>
      <c r="B3011" s="51"/>
      <c r="C3011" s="51"/>
      <c r="D3011" s="52"/>
      <c r="E3011" s="53"/>
      <c r="F3011" s="54"/>
      <c r="G3011" s="54"/>
      <c r="H3011" s="54"/>
      <c r="I3011" s="66"/>
      <c r="J3011" s="54"/>
      <c r="K3011" s="54"/>
      <c r="L3011" s="54"/>
      <c r="M3011" s="97" t="str">
        <f t="shared" si="257"/>
        <v/>
      </c>
      <c r="N3011" s="70"/>
      <c r="O3011" s="71" t="str">
        <f t="shared" si="261"/>
        <v/>
      </c>
      <c r="P3011" s="66"/>
      <c r="Q3011" s="66"/>
      <c r="R3011" s="54"/>
      <c r="S3011" s="82"/>
      <c r="T3011" s="83" t="str">
        <f t="shared" si="258"/>
        <v/>
      </c>
      <c r="U3011" s="10"/>
      <c r="V3011" s="41">
        <f>IF(AND(Q3011&lt;&gt;"",RIGHT(Q3011,3)&lt;&gt;""),IF(COUNTIF($Q$6:Q3011,Q3011)=1,1,0),0)</f>
        <v>0</v>
      </c>
      <c r="W3011" s="41" t="str">
        <f t="shared" si="259"/>
        <v/>
      </c>
      <c r="X3011" s="41" t="str">
        <f t="shared" si="260"/>
        <v/>
      </c>
    </row>
    <row r="3012" s="32" customFormat="1" hidden="1" customHeight="1" spans="1:24">
      <c r="A3012" s="34"/>
      <c r="B3012" s="51"/>
      <c r="C3012" s="51"/>
      <c r="D3012" s="52"/>
      <c r="E3012" s="53"/>
      <c r="F3012" s="54"/>
      <c r="G3012" s="54"/>
      <c r="H3012" s="54"/>
      <c r="I3012" s="66"/>
      <c r="J3012" s="54"/>
      <c r="K3012" s="54"/>
      <c r="L3012" s="54"/>
      <c r="M3012" s="97" t="str">
        <f t="shared" si="257"/>
        <v/>
      </c>
      <c r="N3012" s="70"/>
      <c r="O3012" s="71" t="str">
        <f t="shared" si="261"/>
        <v/>
      </c>
      <c r="P3012" s="66"/>
      <c r="Q3012" s="66"/>
      <c r="R3012" s="54"/>
      <c r="S3012" s="82"/>
      <c r="T3012" s="83" t="str">
        <f t="shared" si="258"/>
        <v/>
      </c>
      <c r="U3012" s="10"/>
      <c r="V3012" s="41">
        <f>IF(AND(Q3012&lt;&gt;"",RIGHT(Q3012,3)&lt;&gt;""),IF(COUNTIF($Q$6:Q3012,Q3012)=1,1,0),0)</f>
        <v>0</v>
      </c>
      <c r="W3012" s="41" t="str">
        <f t="shared" si="259"/>
        <v/>
      </c>
      <c r="X3012" s="41" t="str">
        <f t="shared" si="260"/>
        <v/>
      </c>
    </row>
    <row r="3013" s="32" customFormat="1" hidden="1" customHeight="1" spans="1:24">
      <c r="A3013" s="34"/>
      <c r="B3013" s="51"/>
      <c r="C3013" s="51"/>
      <c r="D3013" s="52"/>
      <c r="E3013" s="53"/>
      <c r="F3013" s="54"/>
      <c r="G3013" s="54"/>
      <c r="H3013" s="54"/>
      <c r="I3013" s="66"/>
      <c r="J3013" s="54"/>
      <c r="K3013" s="54"/>
      <c r="L3013" s="54"/>
      <c r="M3013" s="97" t="str">
        <f t="shared" si="257"/>
        <v/>
      </c>
      <c r="N3013" s="70"/>
      <c r="O3013" s="71" t="str">
        <f t="shared" si="261"/>
        <v/>
      </c>
      <c r="P3013" s="66"/>
      <c r="Q3013" s="66"/>
      <c r="R3013" s="54"/>
      <c r="S3013" s="82"/>
      <c r="T3013" s="83" t="str">
        <f t="shared" si="258"/>
        <v/>
      </c>
      <c r="U3013" s="10"/>
      <c r="V3013" s="41">
        <f>IF(AND(Q3013&lt;&gt;"",RIGHT(Q3013,3)&lt;&gt;""),IF(COUNTIF($Q$6:Q3013,Q3013)=1,1,0),0)</f>
        <v>0</v>
      </c>
      <c r="W3013" s="41" t="str">
        <f t="shared" si="259"/>
        <v/>
      </c>
      <c r="X3013" s="41" t="str">
        <f t="shared" si="260"/>
        <v/>
      </c>
    </row>
    <row r="3014" s="32" customFormat="1" hidden="1" customHeight="1" spans="1:24">
      <c r="A3014" s="34"/>
      <c r="B3014" s="51"/>
      <c r="C3014" s="51"/>
      <c r="D3014" s="52"/>
      <c r="E3014" s="53"/>
      <c r="F3014" s="54"/>
      <c r="G3014" s="54"/>
      <c r="H3014" s="54"/>
      <c r="I3014" s="66"/>
      <c r="J3014" s="54"/>
      <c r="K3014" s="54"/>
      <c r="L3014" s="54"/>
      <c r="M3014" s="97" t="str">
        <f t="shared" si="257"/>
        <v/>
      </c>
      <c r="N3014" s="70"/>
      <c r="O3014" s="71" t="str">
        <f t="shared" si="261"/>
        <v/>
      </c>
      <c r="P3014" s="66"/>
      <c r="Q3014" s="66"/>
      <c r="R3014" s="54"/>
      <c r="S3014" s="82"/>
      <c r="T3014" s="83" t="str">
        <f t="shared" si="258"/>
        <v/>
      </c>
      <c r="U3014" s="10"/>
      <c r="V3014" s="41">
        <f>IF(AND(Q3014&lt;&gt;"",RIGHT(Q3014,3)&lt;&gt;""),IF(COUNTIF($Q$6:Q3014,Q3014)=1,1,0),0)</f>
        <v>0</v>
      </c>
      <c r="W3014" s="41" t="str">
        <f t="shared" si="259"/>
        <v/>
      </c>
      <c r="X3014" s="41" t="str">
        <f t="shared" si="260"/>
        <v/>
      </c>
    </row>
    <row r="3015" s="32" customFormat="1" hidden="1" customHeight="1" spans="1:24">
      <c r="A3015" s="34"/>
      <c r="B3015" s="51"/>
      <c r="C3015" s="51"/>
      <c r="D3015" s="52"/>
      <c r="E3015" s="53"/>
      <c r="F3015" s="54"/>
      <c r="G3015" s="54"/>
      <c r="H3015" s="54"/>
      <c r="I3015" s="66"/>
      <c r="J3015" s="54"/>
      <c r="K3015" s="54"/>
      <c r="L3015" s="54"/>
      <c r="M3015" s="97" t="str">
        <f t="shared" si="257"/>
        <v/>
      </c>
      <c r="N3015" s="70"/>
      <c r="O3015" s="71" t="str">
        <f t="shared" si="261"/>
        <v/>
      </c>
      <c r="P3015" s="66"/>
      <c r="Q3015" s="66"/>
      <c r="R3015" s="54"/>
      <c r="S3015" s="82"/>
      <c r="T3015" s="83" t="str">
        <f t="shared" si="258"/>
        <v/>
      </c>
      <c r="U3015" s="10"/>
      <c r="V3015" s="41">
        <f>IF(AND(Q3015&lt;&gt;"",RIGHT(Q3015,3)&lt;&gt;""),IF(COUNTIF($Q$6:Q3015,Q3015)=1,1,0),0)</f>
        <v>0</v>
      </c>
      <c r="W3015" s="41" t="str">
        <f t="shared" si="259"/>
        <v/>
      </c>
      <c r="X3015" s="41" t="str">
        <f t="shared" si="260"/>
        <v/>
      </c>
    </row>
    <row r="3016" s="32" customFormat="1" hidden="1" customHeight="1" spans="1:24">
      <c r="A3016" s="34"/>
      <c r="B3016" s="51"/>
      <c r="C3016" s="51"/>
      <c r="D3016" s="52"/>
      <c r="E3016" s="53"/>
      <c r="F3016" s="54"/>
      <c r="G3016" s="54"/>
      <c r="H3016" s="54"/>
      <c r="I3016" s="66"/>
      <c r="J3016" s="54"/>
      <c r="K3016" s="54"/>
      <c r="L3016" s="54"/>
      <c r="M3016" s="97" t="str">
        <f t="shared" si="257"/>
        <v/>
      </c>
      <c r="N3016" s="70"/>
      <c r="O3016" s="71" t="str">
        <f t="shared" si="261"/>
        <v/>
      </c>
      <c r="P3016" s="66"/>
      <c r="Q3016" s="66"/>
      <c r="R3016" s="54"/>
      <c r="S3016" s="82"/>
      <c r="T3016" s="83" t="str">
        <f t="shared" si="258"/>
        <v/>
      </c>
      <c r="U3016" s="10"/>
      <c r="V3016" s="41">
        <f>IF(AND(Q3016&lt;&gt;"",RIGHT(Q3016,3)&lt;&gt;""),IF(COUNTIF($Q$6:Q3016,Q3016)=1,1,0),0)</f>
        <v>0</v>
      </c>
      <c r="W3016" s="41" t="str">
        <f t="shared" si="259"/>
        <v/>
      </c>
      <c r="X3016" s="41" t="str">
        <f t="shared" si="260"/>
        <v/>
      </c>
    </row>
    <row r="3017" s="32" customFormat="1" hidden="1" customHeight="1" spans="1:24">
      <c r="A3017" s="34"/>
      <c r="B3017" s="51"/>
      <c r="C3017" s="51"/>
      <c r="D3017" s="52"/>
      <c r="E3017" s="53"/>
      <c r="F3017" s="54"/>
      <c r="G3017" s="54"/>
      <c r="H3017" s="54"/>
      <c r="I3017" s="66"/>
      <c r="J3017" s="54"/>
      <c r="K3017" s="54"/>
      <c r="L3017" s="54"/>
      <c r="M3017" s="97" t="str">
        <f t="shared" si="257"/>
        <v/>
      </c>
      <c r="N3017" s="70"/>
      <c r="O3017" s="71" t="str">
        <f t="shared" si="261"/>
        <v/>
      </c>
      <c r="P3017" s="66"/>
      <c r="Q3017" s="66"/>
      <c r="R3017" s="54"/>
      <c r="S3017" s="82"/>
      <c r="T3017" s="83" t="str">
        <f t="shared" si="258"/>
        <v/>
      </c>
      <c r="U3017" s="10"/>
      <c r="V3017" s="41">
        <f>IF(AND(Q3017&lt;&gt;"",RIGHT(Q3017,3)&lt;&gt;""),IF(COUNTIF($Q$6:Q3017,Q3017)=1,1,0),0)</f>
        <v>0</v>
      </c>
      <c r="W3017" s="41" t="str">
        <f t="shared" si="259"/>
        <v/>
      </c>
      <c r="X3017" s="41" t="str">
        <f t="shared" si="260"/>
        <v/>
      </c>
    </row>
    <row r="3018" s="32" customFormat="1" hidden="1" customHeight="1" spans="1:24">
      <c r="A3018" s="34"/>
      <c r="B3018" s="51"/>
      <c r="C3018" s="51"/>
      <c r="D3018" s="52"/>
      <c r="E3018" s="53"/>
      <c r="F3018" s="54"/>
      <c r="G3018" s="54"/>
      <c r="H3018" s="54"/>
      <c r="I3018" s="66"/>
      <c r="J3018" s="54"/>
      <c r="K3018" s="54"/>
      <c r="L3018" s="54"/>
      <c r="M3018" s="97" t="str">
        <f t="shared" si="257"/>
        <v/>
      </c>
      <c r="N3018" s="70"/>
      <c r="O3018" s="71" t="str">
        <f t="shared" si="261"/>
        <v/>
      </c>
      <c r="P3018" s="66"/>
      <c r="Q3018" s="66"/>
      <c r="R3018" s="54"/>
      <c r="S3018" s="82"/>
      <c r="T3018" s="83" t="str">
        <f t="shared" si="258"/>
        <v/>
      </c>
      <c r="U3018" s="10"/>
      <c r="V3018" s="41">
        <f>IF(AND(Q3018&lt;&gt;"",RIGHT(Q3018,3)&lt;&gt;""),IF(COUNTIF($Q$6:Q3018,Q3018)=1,1,0),0)</f>
        <v>0</v>
      </c>
      <c r="W3018" s="41" t="str">
        <f t="shared" si="259"/>
        <v/>
      </c>
      <c r="X3018" s="41" t="str">
        <f t="shared" si="260"/>
        <v/>
      </c>
    </row>
    <row r="3019" s="32" customFormat="1" hidden="1" customHeight="1" spans="1:24">
      <c r="A3019" s="34"/>
      <c r="B3019" s="51"/>
      <c r="C3019" s="51"/>
      <c r="D3019" s="52"/>
      <c r="E3019" s="53"/>
      <c r="F3019" s="54"/>
      <c r="G3019" s="54"/>
      <c r="H3019" s="54"/>
      <c r="I3019" s="66"/>
      <c r="J3019" s="54"/>
      <c r="K3019" s="54"/>
      <c r="L3019" s="54"/>
      <c r="M3019" s="97" t="str">
        <f t="shared" si="257"/>
        <v/>
      </c>
      <c r="N3019" s="70"/>
      <c r="O3019" s="71" t="str">
        <f t="shared" si="261"/>
        <v/>
      </c>
      <c r="P3019" s="66"/>
      <c r="Q3019" s="66"/>
      <c r="R3019" s="54"/>
      <c r="S3019" s="82"/>
      <c r="T3019" s="83" t="str">
        <f t="shared" si="258"/>
        <v/>
      </c>
      <c r="U3019" s="10"/>
      <c r="V3019" s="41">
        <f>IF(AND(Q3019&lt;&gt;"",RIGHT(Q3019,3)&lt;&gt;""),IF(COUNTIF($Q$6:Q3019,Q3019)=1,1,0),0)</f>
        <v>0</v>
      </c>
      <c r="W3019" s="41" t="str">
        <f t="shared" si="259"/>
        <v/>
      </c>
      <c r="X3019" s="41" t="str">
        <f t="shared" si="260"/>
        <v/>
      </c>
    </row>
    <row r="3020" s="32" customFormat="1" hidden="1" customHeight="1" spans="1:24">
      <c r="A3020" s="34"/>
      <c r="B3020" s="51"/>
      <c r="C3020" s="51"/>
      <c r="D3020" s="52"/>
      <c r="E3020" s="53"/>
      <c r="F3020" s="54"/>
      <c r="G3020" s="54"/>
      <c r="H3020" s="54"/>
      <c r="I3020" s="66"/>
      <c r="J3020" s="54"/>
      <c r="K3020" s="54"/>
      <c r="L3020" s="54"/>
      <c r="M3020" s="97" t="str">
        <f t="shared" si="257"/>
        <v/>
      </c>
      <c r="N3020" s="70"/>
      <c r="O3020" s="71" t="str">
        <f t="shared" si="261"/>
        <v/>
      </c>
      <c r="P3020" s="66"/>
      <c r="Q3020" s="66"/>
      <c r="R3020" s="54"/>
      <c r="S3020" s="82"/>
      <c r="T3020" s="83" t="str">
        <f t="shared" si="258"/>
        <v/>
      </c>
      <c r="U3020" s="10"/>
      <c r="V3020" s="41">
        <f>IF(AND(Q3020&lt;&gt;"",RIGHT(Q3020,3)&lt;&gt;""),IF(COUNTIF($Q$6:Q3020,Q3020)=1,1,0),0)</f>
        <v>0</v>
      </c>
      <c r="W3020" s="41" t="str">
        <f t="shared" si="259"/>
        <v/>
      </c>
      <c r="X3020" s="41" t="str">
        <f t="shared" si="260"/>
        <v/>
      </c>
    </row>
    <row r="3021" s="32" customFormat="1" hidden="1" customHeight="1" spans="1:24">
      <c r="A3021" s="34"/>
      <c r="B3021" s="51"/>
      <c r="C3021" s="51"/>
      <c r="D3021" s="52"/>
      <c r="E3021" s="53"/>
      <c r="F3021" s="54"/>
      <c r="G3021" s="54"/>
      <c r="H3021" s="54"/>
      <c r="I3021" s="66"/>
      <c r="J3021" s="54"/>
      <c r="K3021" s="54"/>
      <c r="L3021" s="54"/>
      <c r="M3021" s="97" t="str">
        <f t="shared" si="257"/>
        <v/>
      </c>
      <c r="N3021" s="70"/>
      <c r="O3021" s="71" t="str">
        <f t="shared" si="261"/>
        <v/>
      </c>
      <c r="P3021" s="66"/>
      <c r="Q3021" s="66"/>
      <c r="R3021" s="54"/>
      <c r="S3021" s="82"/>
      <c r="T3021" s="83" t="str">
        <f t="shared" si="258"/>
        <v/>
      </c>
      <c r="U3021" s="10"/>
      <c r="V3021" s="41">
        <f>IF(AND(Q3021&lt;&gt;"",RIGHT(Q3021,3)&lt;&gt;""),IF(COUNTIF($Q$6:Q3021,Q3021)=1,1,0),0)</f>
        <v>0</v>
      </c>
      <c r="W3021" s="41" t="str">
        <f t="shared" si="259"/>
        <v/>
      </c>
      <c r="X3021" s="41" t="str">
        <f t="shared" si="260"/>
        <v/>
      </c>
    </row>
    <row r="3022" s="32" customFormat="1" hidden="1" customHeight="1" spans="1:24">
      <c r="A3022" s="34"/>
      <c r="B3022" s="51"/>
      <c r="C3022" s="51"/>
      <c r="D3022" s="52"/>
      <c r="E3022" s="53"/>
      <c r="F3022" s="54"/>
      <c r="G3022" s="54"/>
      <c r="H3022" s="54"/>
      <c r="I3022" s="66"/>
      <c r="J3022" s="54"/>
      <c r="K3022" s="54"/>
      <c r="L3022" s="54"/>
      <c r="M3022" s="97" t="str">
        <f t="shared" si="257"/>
        <v/>
      </c>
      <c r="N3022" s="70"/>
      <c r="O3022" s="71" t="str">
        <f t="shared" si="261"/>
        <v/>
      </c>
      <c r="P3022" s="66"/>
      <c r="Q3022" s="66"/>
      <c r="R3022" s="54"/>
      <c r="S3022" s="82"/>
      <c r="T3022" s="83" t="str">
        <f t="shared" si="258"/>
        <v/>
      </c>
      <c r="U3022" s="10"/>
      <c r="V3022" s="41">
        <f>IF(AND(Q3022&lt;&gt;"",RIGHT(Q3022,3)&lt;&gt;""),IF(COUNTIF($Q$6:Q3022,Q3022)=1,1,0),0)</f>
        <v>0</v>
      </c>
      <c r="W3022" s="41" t="str">
        <f t="shared" si="259"/>
        <v/>
      </c>
      <c r="X3022" s="41" t="str">
        <f t="shared" si="260"/>
        <v/>
      </c>
    </row>
    <row r="3023" s="32" customFormat="1" hidden="1" customHeight="1" spans="1:24">
      <c r="A3023" s="34"/>
      <c r="B3023" s="51"/>
      <c r="C3023" s="51"/>
      <c r="D3023" s="52"/>
      <c r="E3023" s="53"/>
      <c r="F3023" s="54"/>
      <c r="G3023" s="54"/>
      <c r="H3023" s="54"/>
      <c r="I3023" s="66"/>
      <c r="J3023" s="54"/>
      <c r="K3023" s="54"/>
      <c r="L3023" s="54"/>
      <c r="M3023" s="97" t="str">
        <f t="shared" si="257"/>
        <v/>
      </c>
      <c r="N3023" s="70"/>
      <c r="O3023" s="71" t="str">
        <f t="shared" si="261"/>
        <v/>
      </c>
      <c r="P3023" s="66"/>
      <c r="Q3023" s="66"/>
      <c r="R3023" s="54"/>
      <c r="S3023" s="82"/>
      <c r="T3023" s="83" t="str">
        <f t="shared" si="258"/>
        <v/>
      </c>
      <c r="U3023" s="10"/>
      <c r="V3023" s="41">
        <f>IF(AND(Q3023&lt;&gt;"",RIGHT(Q3023,3)&lt;&gt;""),IF(COUNTIF($Q$6:Q3023,Q3023)=1,1,0),0)</f>
        <v>0</v>
      </c>
      <c r="W3023" s="41" t="str">
        <f t="shared" si="259"/>
        <v/>
      </c>
      <c r="X3023" s="41" t="str">
        <f t="shared" si="260"/>
        <v/>
      </c>
    </row>
    <row r="3024" s="32" customFormat="1" hidden="1" customHeight="1" spans="1:24">
      <c r="A3024" s="34"/>
      <c r="B3024" s="51"/>
      <c r="C3024" s="51"/>
      <c r="D3024" s="52"/>
      <c r="E3024" s="53"/>
      <c r="F3024" s="54"/>
      <c r="G3024" s="54"/>
      <c r="H3024" s="54"/>
      <c r="I3024" s="66"/>
      <c r="J3024" s="54"/>
      <c r="K3024" s="54"/>
      <c r="L3024" s="54"/>
      <c r="M3024" s="97" t="str">
        <f t="shared" si="257"/>
        <v/>
      </c>
      <c r="N3024" s="70"/>
      <c r="O3024" s="71" t="str">
        <f t="shared" si="261"/>
        <v/>
      </c>
      <c r="P3024" s="66"/>
      <c r="Q3024" s="66"/>
      <c r="R3024" s="54"/>
      <c r="S3024" s="82"/>
      <c r="T3024" s="83" t="str">
        <f t="shared" si="258"/>
        <v/>
      </c>
      <c r="U3024" s="10"/>
      <c r="V3024" s="41">
        <f>IF(AND(Q3024&lt;&gt;"",RIGHT(Q3024,3)&lt;&gt;""),IF(COUNTIF($Q$6:Q3024,Q3024)=1,1,0),0)</f>
        <v>0</v>
      </c>
      <c r="W3024" s="41" t="str">
        <f t="shared" si="259"/>
        <v/>
      </c>
      <c r="X3024" s="41" t="str">
        <f t="shared" si="260"/>
        <v/>
      </c>
    </row>
    <row r="3025" s="32" customFormat="1" hidden="1" customHeight="1" spans="1:24">
      <c r="A3025" s="34"/>
      <c r="B3025" s="51"/>
      <c r="C3025" s="51"/>
      <c r="D3025" s="52"/>
      <c r="E3025" s="53"/>
      <c r="F3025" s="54"/>
      <c r="G3025" s="54"/>
      <c r="H3025" s="54"/>
      <c r="I3025" s="66"/>
      <c r="J3025" s="54"/>
      <c r="K3025" s="54"/>
      <c r="L3025" s="54"/>
      <c r="M3025" s="97" t="str">
        <f t="shared" si="257"/>
        <v/>
      </c>
      <c r="N3025" s="70"/>
      <c r="O3025" s="71" t="str">
        <f t="shared" si="261"/>
        <v/>
      </c>
      <c r="P3025" s="66"/>
      <c r="Q3025" s="66"/>
      <c r="R3025" s="54"/>
      <c r="S3025" s="82"/>
      <c r="T3025" s="83" t="str">
        <f t="shared" si="258"/>
        <v/>
      </c>
      <c r="U3025" s="10"/>
      <c r="V3025" s="41">
        <f>IF(AND(Q3025&lt;&gt;"",RIGHT(Q3025,3)&lt;&gt;""),IF(COUNTIF($Q$6:Q3025,Q3025)=1,1,0),0)</f>
        <v>0</v>
      </c>
      <c r="W3025" s="41" t="str">
        <f t="shared" si="259"/>
        <v/>
      </c>
      <c r="X3025" s="41" t="str">
        <f t="shared" si="260"/>
        <v/>
      </c>
    </row>
    <row r="3026" s="32" customFormat="1" hidden="1" customHeight="1" spans="1:24">
      <c r="A3026" s="34"/>
      <c r="B3026" s="51"/>
      <c r="C3026" s="51"/>
      <c r="D3026" s="52"/>
      <c r="E3026" s="53"/>
      <c r="F3026" s="54"/>
      <c r="G3026" s="54"/>
      <c r="H3026" s="54"/>
      <c r="I3026" s="66"/>
      <c r="J3026" s="54"/>
      <c r="K3026" s="54"/>
      <c r="L3026" s="54"/>
      <c r="M3026" s="97" t="str">
        <f t="shared" si="257"/>
        <v/>
      </c>
      <c r="N3026" s="70"/>
      <c r="O3026" s="71" t="str">
        <f t="shared" si="261"/>
        <v/>
      </c>
      <c r="P3026" s="66"/>
      <c r="Q3026" s="66"/>
      <c r="R3026" s="54"/>
      <c r="S3026" s="82"/>
      <c r="T3026" s="83" t="str">
        <f t="shared" si="258"/>
        <v/>
      </c>
      <c r="U3026" s="10"/>
      <c r="V3026" s="41">
        <f>IF(AND(Q3026&lt;&gt;"",RIGHT(Q3026,3)&lt;&gt;""),IF(COUNTIF($Q$6:Q3026,Q3026)=1,1,0),0)</f>
        <v>0</v>
      </c>
      <c r="W3026" s="41" t="str">
        <f t="shared" si="259"/>
        <v/>
      </c>
      <c r="X3026" s="41" t="str">
        <f t="shared" si="260"/>
        <v/>
      </c>
    </row>
    <row r="3027" s="32" customFormat="1" hidden="1" customHeight="1" spans="1:24">
      <c r="A3027" s="34"/>
      <c r="B3027" s="51"/>
      <c r="C3027" s="51"/>
      <c r="D3027" s="52"/>
      <c r="E3027" s="53"/>
      <c r="F3027" s="54"/>
      <c r="G3027" s="54"/>
      <c r="H3027" s="54"/>
      <c r="I3027" s="66"/>
      <c r="J3027" s="54"/>
      <c r="K3027" s="54"/>
      <c r="L3027" s="54"/>
      <c r="M3027" s="97" t="str">
        <f t="shared" si="257"/>
        <v/>
      </c>
      <c r="N3027" s="70"/>
      <c r="O3027" s="71" t="str">
        <f t="shared" si="261"/>
        <v/>
      </c>
      <c r="P3027" s="66"/>
      <c r="Q3027" s="66"/>
      <c r="R3027" s="54"/>
      <c r="S3027" s="82"/>
      <c r="T3027" s="83" t="str">
        <f t="shared" si="258"/>
        <v/>
      </c>
      <c r="U3027" s="10"/>
      <c r="V3027" s="41">
        <f>IF(AND(Q3027&lt;&gt;"",RIGHT(Q3027,3)&lt;&gt;""),IF(COUNTIF($Q$6:Q3027,Q3027)=1,1,0),0)</f>
        <v>0</v>
      </c>
      <c r="W3027" s="41" t="str">
        <f t="shared" si="259"/>
        <v/>
      </c>
      <c r="X3027" s="41" t="str">
        <f t="shared" si="260"/>
        <v/>
      </c>
    </row>
    <row r="3028" s="32" customFormat="1" hidden="1" customHeight="1" spans="1:24">
      <c r="A3028" s="34"/>
      <c r="B3028" s="51"/>
      <c r="C3028" s="51"/>
      <c r="D3028" s="52"/>
      <c r="E3028" s="53"/>
      <c r="F3028" s="54"/>
      <c r="G3028" s="54"/>
      <c r="H3028" s="54"/>
      <c r="I3028" s="66"/>
      <c r="J3028" s="54"/>
      <c r="K3028" s="54"/>
      <c r="L3028" s="54"/>
      <c r="M3028" s="97" t="str">
        <f t="shared" si="257"/>
        <v/>
      </c>
      <c r="N3028" s="70"/>
      <c r="O3028" s="71" t="str">
        <f t="shared" si="261"/>
        <v/>
      </c>
      <c r="P3028" s="66"/>
      <c r="Q3028" s="66"/>
      <c r="R3028" s="54"/>
      <c r="S3028" s="82"/>
      <c r="T3028" s="83" t="str">
        <f t="shared" si="258"/>
        <v/>
      </c>
      <c r="U3028" s="10"/>
      <c r="V3028" s="41">
        <f>IF(AND(Q3028&lt;&gt;"",RIGHT(Q3028,3)&lt;&gt;""),IF(COUNTIF($Q$6:Q3028,Q3028)=1,1,0),0)</f>
        <v>0</v>
      </c>
      <c r="W3028" s="41" t="str">
        <f t="shared" si="259"/>
        <v/>
      </c>
      <c r="X3028" s="41" t="str">
        <f t="shared" si="260"/>
        <v/>
      </c>
    </row>
    <row r="3029" s="32" customFormat="1" hidden="1" customHeight="1" spans="1:24">
      <c r="A3029" s="34"/>
      <c r="B3029" s="51"/>
      <c r="C3029" s="51"/>
      <c r="D3029" s="52"/>
      <c r="E3029" s="53"/>
      <c r="F3029" s="54"/>
      <c r="G3029" s="54"/>
      <c r="H3029" s="54"/>
      <c r="I3029" s="66"/>
      <c r="J3029" s="54"/>
      <c r="K3029" s="54"/>
      <c r="L3029" s="54"/>
      <c r="M3029" s="97" t="str">
        <f t="shared" si="257"/>
        <v/>
      </c>
      <c r="N3029" s="70"/>
      <c r="O3029" s="71" t="str">
        <f t="shared" si="261"/>
        <v/>
      </c>
      <c r="P3029" s="66"/>
      <c r="Q3029" s="66"/>
      <c r="R3029" s="54"/>
      <c r="S3029" s="82"/>
      <c r="T3029" s="83" t="str">
        <f t="shared" si="258"/>
        <v/>
      </c>
      <c r="U3029" s="10"/>
      <c r="V3029" s="41">
        <f>IF(AND(Q3029&lt;&gt;"",RIGHT(Q3029,3)&lt;&gt;""),IF(COUNTIF($Q$6:Q3029,Q3029)=1,1,0),0)</f>
        <v>0</v>
      </c>
      <c r="W3029" s="41" t="str">
        <f t="shared" si="259"/>
        <v/>
      </c>
      <c r="X3029" s="41" t="str">
        <f t="shared" si="260"/>
        <v/>
      </c>
    </row>
    <row r="3030" s="32" customFormat="1" hidden="1" customHeight="1" spans="1:24">
      <c r="A3030" s="34"/>
      <c r="B3030" s="51"/>
      <c r="C3030" s="51"/>
      <c r="D3030" s="52"/>
      <c r="E3030" s="53"/>
      <c r="F3030" s="54"/>
      <c r="G3030" s="54"/>
      <c r="H3030" s="54"/>
      <c r="I3030" s="66"/>
      <c r="J3030" s="54"/>
      <c r="K3030" s="54"/>
      <c r="L3030" s="54"/>
      <c r="M3030" s="97" t="str">
        <f t="shared" si="257"/>
        <v/>
      </c>
      <c r="N3030" s="70"/>
      <c r="O3030" s="71" t="str">
        <f t="shared" si="261"/>
        <v/>
      </c>
      <c r="P3030" s="66"/>
      <c r="Q3030" s="66"/>
      <c r="R3030" s="54"/>
      <c r="S3030" s="82"/>
      <c r="T3030" s="83" t="str">
        <f t="shared" si="258"/>
        <v/>
      </c>
      <c r="U3030" s="10"/>
      <c r="V3030" s="41">
        <f>IF(AND(Q3030&lt;&gt;"",RIGHT(Q3030,3)&lt;&gt;""),IF(COUNTIF($Q$6:Q3030,Q3030)=1,1,0),0)</f>
        <v>0</v>
      </c>
      <c r="W3030" s="41" t="str">
        <f t="shared" si="259"/>
        <v/>
      </c>
      <c r="X3030" s="41" t="str">
        <f t="shared" si="260"/>
        <v/>
      </c>
    </row>
    <row r="3031" s="32" customFormat="1" hidden="1" customHeight="1" spans="1:24">
      <c r="A3031" s="34"/>
      <c r="B3031" s="51"/>
      <c r="C3031" s="51"/>
      <c r="D3031" s="52"/>
      <c r="E3031" s="53"/>
      <c r="F3031" s="54"/>
      <c r="G3031" s="54"/>
      <c r="H3031" s="54"/>
      <c r="I3031" s="66"/>
      <c r="J3031" s="54"/>
      <c r="K3031" s="54"/>
      <c r="L3031" s="54"/>
      <c r="M3031" s="97" t="str">
        <f t="shared" si="257"/>
        <v/>
      </c>
      <c r="N3031" s="70"/>
      <c r="O3031" s="71" t="str">
        <f t="shared" si="261"/>
        <v/>
      </c>
      <c r="P3031" s="66"/>
      <c r="Q3031" s="66"/>
      <c r="R3031" s="54"/>
      <c r="S3031" s="82"/>
      <c r="T3031" s="83" t="str">
        <f t="shared" si="258"/>
        <v/>
      </c>
      <c r="U3031" s="10"/>
      <c r="V3031" s="41">
        <f>IF(AND(Q3031&lt;&gt;"",RIGHT(Q3031,3)&lt;&gt;""),IF(COUNTIF($Q$6:Q3031,Q3031)=1,1,0),0)</f>
        <v>0</v>
      </c>
      <c r="W3031" s="41" t="str">
        <f t="shared" si="259"/>
        <v/>
      </c>
      <c r="X3031" s="41" t="str">
        <f t="shared" si="260"/>
        <v/>
      </c>
    </row>
    <row r="3032" s="32" customFormat="1" hidden="1" customHeight="1" spans="1:24">
      <c r="A3032" s="34"/>
      <c r="B3032" s="51"/>
      <c r="C3032" s="51"/>
      <c r="D3032" s="52"/>
      <c r="E3032" s="53"/>
      <c r="F3032" s="54"/>
      <c r="G3032" s="54"/>
      <c r="H3032" s="54"/>
      <c r="I3032" s="66"/>
      <c r="J3032" s="54"/>
      <c r="K3032" s="54"/>
      <c r="L3032" s="54"/>
      <c r="M3032" s="97" t="str">
        <f t="shared" si="257"/>
        <v/>
      </c>
      <c r="N3032" s="70"/>
      <c r="O3032" s="71" t="str">
        <f t="shared" si="261"/>
        <v/>
      </c>
      <c r="P3032" s="66"/>
      <c r="Q3032" s="66"/>
      <c r="R3032" s="54"/>
      <c r="S3032" s="82"/>
      <c r="T3032" s="83" t="str">
        <f t="shared" si="258"/>
        <v/>
      </c>
      <c r="U3032" s="10"/>
      <c r="V3032" s="41">
        <f>IF(AND(Q3032&lt;&gt;"",RIGHT(Q3032,3)&lt;&gt;""),IF(COUNTIF($Q$6:Q3032,Q3032)=1,1,0),0)</f>
        <v>0</v>
      </c>
      <c r="W3032" s="41" t="str">
        <f t="shared" si="259"/>
        <v/>
      </c>
      <c r="X3032" s="41" t="str">
        <f t="shared" si="260"/>
        <v/>
      </c>
    </row>
    <row r="3033" s="32" customFormat="1" hidden="1" customHeight="1" spans="1:24">
      <c r="A3033" s="34"/>
      <c r="B3033" s="51"/>
      <c r="C3033" s="51"/>
      <c r="D3033" s="52"/>
      <c r="E3033" s="53"/>
      <c r="F3033" s="54"/>
      <c r="G3033" s="54"/>
      <c r="H3033" s="54"/>
      <c r="I3033" s="66"/>
      <c r="J3033" s="54"/>
      <c r="K3033" s="54"/>
      <c r="L3033" s="54"/>
      <c r="M3033" s="97" t="str">
        <f t="shared" si="257"/>
        <v/>
      </c>
      <c r="N3033" s="70"/>
      <c r="O3033" s="71" t="str">
        <f t="shared" si="261"/>
        <v/>
      </c>
      <c r="P3033" s="66"/>
      <c r="Q3033" s="66"/>
      <c r="R3033" s="54"/>
      <c r="S3033" s="82"/>
      <c r="T3033" s="83" t="str">
        <f t="shared" si="258"/>
        <v/>
      </c>
      <c r="U3033" s="10"/>
      <c r="V3033" s="41">
        <f>IF(AND(Q3033&lt;&gt;"",RIGHT(Q3033,3)&lt;&gt;""),IF(COUNTIF($Q$6:Q3033,Q3033)=1,1,0),0)</f>
        <v>0</v>
      </c>
      <c r="W3033" s="41" t="str">
        <f t="shared" si="259"/>
        <v/>
      </c>
      <c r="X3033" s="41" t="str">
        <f t="shared" si="260"/>
        <v/>
      </c>
    </row>
    <row r="3034" s="32" customFormat="1" hidden="1" customHeight="1" spans="1:24">
      <c r="A3034" s="34"/>
      <c r="B3034" s="51"/>
      <c r="C3034" s="51"/>
      <c r="D3034" s="52"/>
      <c r="E3034" s="53"/>
      <c r="F3034" s="54"/>
      <c r="G3034" s="54"/>
      <c r="H3034" s="54"/>
      <c r="I3034" s="66"/>
      <c r="J3034" s="54"/>
      <c r="K3034" s="54"/>
      <c r="L3034" s="54"/>
      <c r="M3034" s="97" t="str">
        <f t="shared" si="257"/>
        <v/>
      </c>
      <c r="N3034" s="70"/>
      <c r="O3034" s="71" t="str">
        <f t="shared" si="261"/>
        <v/>
      </c>
      <c r="P3034" s="66"/>
      <c r="Q3034" s="66"/>
      <c r="R3034" s="54"/>
      <c r="S3034" s="82"/>
      <c r="T3034" s="83" t="str">
        <f t="shared" si="258"/>
        <v/>
      </c>
      <c r="U3034" s="10"/>
      <c r="V3034" s="41">
        <f>IF(AND(Q3034&lt;&gt;"",RIGHT(Q3034,3)&lt;&gt;""),IF(COUNTIF($Q$6:Q3034,Q3034)=1,1,0),0)</f>
        <v>0</v>
      </c>
      <c r="W3034" s="41" t="str">
        <f t="shared" si="259"/>
        <v/>
      </c>
      <c r="X3034" s="41" t="str">
        <f t="shared" si="260"/>
        <v/>
      </c>
    </row>
    <row r="3035" s="32" customFormat="1" hidden="1" customHeight="1" spans="1:24">
      <c r="A3035" s="34"/>
      <c r="B3035" s="51"/>
      <c r="C3035" s="51"/>
      <c r="D3035" s="52"/>
      <c r="E3035" s="53"/>
      <c r="F3035" s="54"/>
      <c r="G3035" s="54"/>
      <c r="H3035" s="54"/>
      <c r="I3035" s="66"/>
      <c r="J3035" s="54"/>
      <c r="K3035" s="54"/>
      <c r="L3035" s="54"/>
      <c r="M3035" s="97" t="str">
        <f t="shared" si="257"/>
        <v/>
      </c>
      <c r="N3035" s="70"/>
      <c r="O3035" s="71" t="str">
        <f t="shared" si="261"/>
        <v/>
      </c>
      <c r="P3035" s="66"/>
      <c r="Q3035" s="66"/>
      <c r="R3035" s="54"/>
      <c r="S3035" s="82"/>
      <c r="T3035" s="83" t="str">
        <f t="shared" si="258"/>
        <v/>
      </c>
      <c r="U3035" s="10"/>
      <c r="V3035" s="41">
        <f>IF(AND(Q3035&lt;&gt;"",RIGHT(Q3035,3)&lt;&gt;""),IF(COUNTIF($Q$6:Q3035,Q3035)=1,1,0),0)</f>
        <v>0</v>
      </c>
      <c r="W3035" s="41" t="str">
        <f t="shared" si="259"/>
        <v/>
      </c>
      <c r="X3035" s="41" t="str">
        <f t="shared" si="260"/>
        <v/>
      </c>
    </row>
    <row r="3036" s="32" customFormat="1" hidden="1" customHeight="1" spans="1:24">
      <c r="A3036" s="34"/>
      <c r="B3036" s="51"/>
      <c r="C3036" s="51"/>
      <c r="D3036" s="52"/>
      <c r="E3036" s="53"/>
      <c r="F3036" s="54"/>
      <c r="G3036" s="54"/>
      <c r="H3036" s="54"/>
      <c r="I3036" s="66"/>
      <c r="J3036" s="54"/>
      <c r="K3036" s="54"/>
      <c r="L3036" s="54"/>
      <c r="M3036" s="97" t="str">
        <f t="shared" si="257"/>
        <v/>
      </c>
      <c r="N3036" s="70"/>
      <c r="O3036" s="71" t="str">
        <f t="shared" si="261"/>
        <v/>
      </c>
      <c r="P3036" s="66"/>
      <c r="Q3036" s="66"/>
      <c r="R3036" s="54"/>
      <c r="S3036" s="82"/>
      <c r="T3036" s="83" t="str">
        <f t="shared" si="258"/>
        <v/>
      </c>
      <c r="U3036" s="10"/>
      <c r="V3036" s="41">
        <f>IF(AND(Q3036&lt;&gt;"",RIGHT(Q3036,3)&lt;&gt;""),IF(COUNTIF($Q$6:Q3036,Q3036)=1,1,0),0)</f>
        <v>0</v>
      </c>
      <c r="W3036" s="41" t="str">
        <f t="shared" si="259"/>
        <v/>
      </c>
      <c r="X3036" s="41" t="str">
        <f t="shared" si="260"/>
        <v/>
      </c>
    </row>
    <row r="3037" s="32" customFormat="1" hidden="1" customHeight="1" spans="1:24">
      <c r="A3037" s="34"/>
      <c r="B3037" s="51"/>
      <c r="C3037" s="51"/>
      <c r="D3037" s="52"/>
      <c r="E3037" s="53"/>
      <c r="F3037" s="54"/>
      <c r="G3037" s="54"/>
      <c r="H3037" s="54"/>
      <c r="I3037" s="66"/>
      <c r="J3037" s="54"/>
      <c r="K3037" s="54"/>
      <c r="L3037" s="54"/>
      <c r="M3037" s="97" t="str">
        <f t="shared" si="257"/>
        <v/>
      </c>
      <c r="N3037" s="70"/>
      <c r="O3037" s="71" t="str">
        <f t="shared" si="261"/>
        <v/>
      </c>
      <c r="P3037" s="66"/>
      <c r="Q3037" s="66"/>
      <c r="R3037" s="54"/>
      <c r="S3037" s="82"/>
      <c r="T3037" s="83" t="str">
        <f t="shared" si="258"/>
        <v/>
      </c>
      <c r="U3037" s="10"/>
      <c r="V3037" s="41">
        <f>IF(AND(Q3037&lt;&gt;"",RIGHT(Q3037,3)&lt;&gt;""),IF(COUNTIF($Q$6:Q3037,Q3037)=1,1,0),0)</f>
        <v>0</v>
      </c>
      <c r="W3037" s="41" t="str">
        <f t="shared" si="259"/>
        <v/>
      </c>
      <c r="X3037" s="41" t="str">
        <f t="shared" si="260"/>
        <v/>
      </c>
    </row>
    <row r="3038" s="32" customFormat="1" hidden="1" customHeight="1" spans="1:24">
      <c r="A3038" s="34"/>
      <c r="B3038" s="51"/>
      <c r="C3038" s="51"/>
      <c r="D3038" s="52"/>
      <c r="E3038" s="53"/>
      <c r="F3038" s="54"/>
      <c r="G3038" s="54"/>
      <c r="H3038" s="54"/>
      <c r="I3038" s="66"/>
      <c r="J3038" s="54"/>
      <c r="K3038" s="54"/>
      <c r="L3038" s="54"/>
      <c r="M3038" s="97" t="str">
        <f t="shared" si="257"/>
        <v/>
      </c>
      <c r="N3038" s="70"/>
      <c r="O3038" s="71" t="str">
        <f t="shared" si="261"/>
        <v/>
      </c>
      <c r="P3038" s="66"/>
      <c r="Q3038" s="66"/>
      <c r="R3038" s="54"/>
      <c r="S3038" s="82"/>
      <c r="T3038" s="83" t="str">
        <f t="shared" si="258"/>
        <v/>
      </c>
      <c r="U3038" s="10"/>
      <c r="V3038" s="41">
        <f>IF(AND(Q3038&lt;&gt;"",RIGHT(Q3038,3)&lt;&gt;""),IF(COUNTIF($Q$6:Q3038,Q3038)=1,1,0),0)</f>
        <v>0</v>
      </c>
      <c r="W3038" s="41" t="str">
        <f t="shared" si="259"/>
        <v/>
      </c>
      <c r="X3038" s="41" t="str">
        <f t="shared" si="260"/>
        <v/>
      </c>
    </row>
    <row r="3039" s="32" customFormat="1" hidden="1" customHeight="1" spans="1:24">
      <c r="A3039" s="34"/>
      <c r="B3039" s="51"/>
      <c r="C3039" s="51"/>
      <c r="D3039" s="52"/>
      <c r="E3039" s="53"/>
      <c r="F3039" s="54"/>
      <c r="G3039" s="54"/>
      <c r="H3039" s="54"/>
      <c r="I3039" s="66"/>
      <c r="J3039" s="54"/>
      <c r="K3039" s="54"/>
      <c r="L3039" s="54"/>
      <c r="M3039" s="97" t="str">
        <f t="shared" si="257"/>
        <v/>
      </c>
      <c r="N3039" s="70"/>
      <c r="O3039" s="71" t="str">
        <f t="shared" si="261"/>
        <v/>
      </c>
      <c r="P3039" s="66"/>
      <c r="Q3039" s="66"/>
      <c r="R3039" s="54"/>
      <c r="S3039" s="82"/>
      <c r="T3039" s="83" t="str">
        <f t="shared" si="258"/>
        <v/>
      </c>
      <c r="U3039" s="10"/>
      <c r="V3039" s="41">
        <f>IF(AND(Q3039&lt;&gt;"",RIGHT(Q3039,3)&lt;&gt;""),IF(COUNTIF($Q$6:Q3039,Q3039)=1,1,0),0)</f>
        <v>0</v>
      </c>
      <c r="W3039" s="41" t="str">
        <f t="shared" si="259"/>
        <v/>
      </c>
      <c r="X3039" s="41" t="str">
        <f t="shared" si="260"/>
        <v/>
      </c>
    </row>
    <row r="3040" s="32" customFormat="1" hidden="1" customHeight="1" spans="1:24">
      <c r="A3040" s="34"/>
      <c r="B3040" s="51"/>
      <c r="C3040" s="51"/>
      <c r="D3040" s="52"/>
      <c r="E3040" s="53"/>
      <c r="F3040" s="54"/>
      <c r="G3040" s="54"/>
      <c r="H3040" s="54"/>
      <c r="I3040" s="66"/>
      <c r="J3040" s="54"/>
      <c r="K3040" s="54"/>
      <c r="L3040" s="54"/>
      <c r="M3040" s="97" t="str">
        <f t="shared" si="257"/>
        <v/>
      </c>
      <c r="N3040" s="70"/>
      <c r="O3040" s="71" t="str">
        <f t="shared" si="261"/>
        <v/>
      </c>
      <c r="P3040" s="66"/>
      <c r="Q3040" s="66"/>
      <c r="R3040" s="54"/>
      <c r="S3040" s="82"/>
      <c r="T3040" s="83" t="str">
        <f t="shared" si="258"/>
        <v/>
      </c>
      <c r="U3040" s="10"/>
      <c r="V3040" s="41">
        <f>IF(AND(Q3040&lt;&gt;"",RIGHT(Q3040,3)&lt;&gt;""),IF(COUNTIF($Q$6:Q3040,Q3040)=1,1,0),0)</f>
        <v>0</v>
      </c>
      <c r="W3040" s="41" t="str">
        <f t="shared" si="259"/>
        <v/>
      </c>
      <c r="X3040" s="41" t="str">
        <f t="shared" si="260"/>
        <v/>
      </c>
    </row>
    <row r="3041" s="32" customFormat="1" hidden="1" customHeight="1" spans="1:24">
      <c r="A3041" s="34"/>
      <c r="B3041" s="51"/>
      <c r="C3041" s="51"/>
      <c r="D3041" s="52"/>
      <c r="E3041" s="53"/>
      <c r="F3041" s="54"/>
      <c r="G3041" s="54"/>
      <c r="H3041" s="54"/>
      <c r="I3041" s="66"/>
      <c r="J3041" s="54"/>
      <c r="K3041" s="54"/>
      <c r="L3041" s="54"/>
      <c r="M3041" s="97" t="str">
        <f t="shared" si="257"/>
        <v/>
      </c>
      <c r="N3041" s="70"/>
      <c r="O3041" s="71" t="str">
        <f t="shared" si="261"/>
        <v/>
      </c>
      <c r="P3041" s="66"/>
      <c r="Q3041" s="66"/>
      <c r="R3041" s="54"/>
      <c r="S3041" s="82"/>
      <c r="T3041" s="83" t="str">
        <f t="shared" si="258"/>
        <v/>
      </c>
      <c r="U3041" s="10"/>
      <c r="V3041" s="41">
        <f>IF(AND(Q3041&lt;&gt;"",RIGHT(Q3041,3)&lt;&gt;""),IF(COUNTIF($Q$6:Q3041,Q3041)=1,1,0),0)</f>
        <v>0</v>
      </c>
      <c r="W3041" s="41" t="str">
        <f t="shared" si="259"/>
        <v/>
      </c>
      <c r="X3041" s="41" t="str">
        <f t="shared" si="260"/>
        <v/>
      </c>
    </row>
    <row r="3042" s="32" customFormat="1" hidden="1" customHeight="1" spans="1:24">
      <c r="A3042" s="34"/>
      <c r="B3042" s="51"/>
      <c r="C3042" s="51"/>
      <c r="D3042" s="52"/>
      <c r="E3042" s="53"/>
      <c r="F3042" s="54"/>
      <c r="G3042" s="54"/>
      <c r="H3042" s="54"/>
      <c r="I3042" s="66"/>
      <c r="J3042" s="54"/>
      <c r="K3042" s="54"/>
      <c r="L3042" s="54"/>
      <c r="M3042" s="97" t="str">
        <f t="shared" si="257"/>
        <v/>
      </c>
      <c r="N3042" s="70"/>
      <c r="O3042" s="71" t="str">
        <f t="shared" si="261"/>
        <v/>
      </c>
      <c r="P3042" s="66"/>
      <c r="Q3042" s="66"/>
      <c r="R3042" s="54"/>
      <c r="S3042" s="82"/>
      <c r="T3042" s="83" t="str">
        <f t="shared" si="258"/>
        <v/>
      </c>
      <c r="U3042" s="10"/>
      <c r="V3042" s="41">
        <f>IF(AND(Q3042&lt;&gt;"",RIGHT(Q3042,3)&lt;&gt;""),IF(COUNTIF($Q$6:Q3042,Q3042)=1,1,0),0)</f>
        <v>0</v>
      </c>
      <c r="W3042" s="41" t="str">
        <f t="shared" si="259"/>
        <v/>
      </c>
      <c r="X3042" s="41" t="str">
        <f t="shared" si="260"/>
        <v/>
      </c>
    </row>
    <row r="3043" s="32" customFormat="1" hidden="1" customHeight="1" spans="1:24">
      <c r="A3043" s="34"/>
      <c r="B3043" s="51"/>
      <c r="C3043" s="51"/>
      <c r="D3043" s="52"/>
      <c r="E3043" s="53"/>
      <c r="F3043" s="54"/>
      <c r="G3043" s="54"/>
      <c r="H3043" s="54"/>
      <c r="I3043" s="66"/>
      <c r="J3043" s="54"/>
      <c r="K3043" s="54"/>
      <c r="L3043" s="54"/>
      <c r="M3043" s="97" t="str">
        <f t="shared" si="257"/>
        <v/>
      </c>
      <c r="N3043" s="70"/>
      <c r="O3043" s="71" t="str">
        <f t="shared" si="261"/>
        <v/>
      </c>
      <c r="P3043" s="66"/>
      <c r="Q3043" s="66"/>
      <c r="R3043" s="54"/>
      <c r="S3043" s="82"/>
      <c r="T3043" s="83" t="str">
        <f t="shared" si="258"/>
        <v/>
      </c>
      <c r="U3043" s="10"/>
      <c r="V3043" s="41">
        <f>IF(AND(Q3043&lt;&gt;"",RIGHT(Q3043,3)&lt;&gt;""),IF(COUNTIF($Q$6:Q3043,Q3043)=1,1,0),0)</f>
        <v>0</v>
      </c>
      <c r="W3043" s="41" t="str">
        <f t="shared" si="259"/>
        <v/>
      </c>
      <c r="X3043" s="41" t="str">
        <f t="shared" si="260"/>
        <v/>
      </c>
    </row>
    <row r="3044" s="32" customFormat="1" hidden="1" customHeight="1" spans="1:24">
      <c r="A3044" s="34"/>
      <c r="B3044" s="51"/>
      <c r="C3044" s="51"/>
      <c r="D3044" s="52"/>
      <c r="E3044" s="53"/>
      <c r="F3044" s="54"/>
      <c r="G3044" s="54"/>
      <c r="H3044" s="54"/>
      <c r="I3044" s="66"/>
      <c r="J3044" s="54"/>
      <c r="K3044" s="54"/>
      <c r="L3044" s="54"/>
      <c r="M3044" s="97" t="str">
        <f t="shared" ref="M3044:M3107" si="262">IF(L3044="","",HYPERLINK(_xlfn.CONCAT($L$4,L3044,".jpg"),"Open File"))</f>
        <v/>
      </c>
      <c r="N3044" s="70"/>
      <c r="O3044" s="71" t="str">
        <f t="shared" si="261"/>
        <v/>
      </c>
      <c r="P3044" s="66"/>
      <c r="Q3044" s="66"/>
      <c r="R3044" s="54"/>
      <c r="S3044" s="82"/>
      <c r="T3044" s="83" t="str">
        <f t="shared" ref="T3044:T3107" si="263">IF(S3044="","",HYPERLINK(_xlfn.CONCAT($S$4,S3044,".jpg"),"Open File"))</f>
        <v/>
      </c>
      <c r="U3044" s="10"/>
      <c r="V3044" s="41">
        <f>IF(AND(Q3044&lt;&gt;"",RIGHT(Q3044,3)&lt;&gt;""),IF(COUNTIF($Q$6:Q3044,Q3044)=1,1,0),0)</f>
        <v>0</v>
      </c>
      <c r="W3044" s="41" t="str">
        <f t="shared" ref="W3044:W3107" si="264">IF(AND(J3044&lt;&gt;"",K3044&lt;&gt;""),_xlfn.CONCAT(SUBSTITUTE(J3044,"/","."),"-",K3044),"")</f>
        <v/>
      </c>
      <c r="X3044" s="41" t="str">
        <f t="shared" ref="X3044:X3107" si="265">IF(AND(Q3044&lt;&gt;"",R3044&lt;&gt;""),_xlfn.CONCAT(SUBSTITUTE(Q3044,"/","."),"-",R3044),"")</f>
        <v/>
      </c>
    </row>
    <row r="3045" s="32" customFormat="1" hidden="1" customHeight="1" spans="1:24">
      <c r="A3045" s="34"/>
      <c r="B3045" s="51"/>
      <c r="C3045" s="51"/>
      <c r="D3045" s="52"/>
      <c r="E3045" s="53"/>
      <c r="F3045" s="54"/>
      <c r="G3045" s="54"/>
      <c r="H3045" s="54"/>
      <c r="I3045" s="66"/>
      <c r="J3045" s="54"/>
      <c r="K3045" s="54"/>
      <c r="L3045" s="54"/>
      <c r="M3045" s="97" t="str">
        <f t="shared" si="262"/>
        <v/>
      </c>
      <c r="N3045" s="70"/>
      <c r="O3045" s="71" t="str">
        <f t="shared" si="261"/>
        <v/>
      </c>
      <c r="P3045" s="66"/>
      <c r="Q3045" s="66"/>
      <c r="R3045" s="54"/>
      <c r="S3045" s="82"/>
      <c r="T3045" s="83" t="str">
        <f t="shared" si="263"/>
        <v/>
      </c>
      <c r="U3045" s="10"/>
      <c r="V3045" s="41">
        <f>IF(AND(Q3045&lt;&gt;"",RIGHT(Q3045,3)&lt;&gt;""),IF(COUNTIF($Q$6:Q3045,Q3045)=1,1,0),0)</f>
        <v>0</v>
      </c>
      <c r="W3045" s="41" t="str">
        <f t="shared" si="264"/>
        <v/>
      </c>
      <c r="X3045" s="41" t="str">
        <f t="shared" si="265"/>
        <v/>
      </c>
    </row>
    <row r="3046" s="32" customFormat="1" hidden="1" customHeight="1" spans="1:24">
      <c r="A3046" s="34"/>
      <c r="B3046" s="51"/>
      <c r="C3046" s="51"/>
      <c r="D3046" s="52"/>
      <c r="E3046" s="53"/>
      <c r="F3046" s="54"/>
      <c r="G3046" s="54"/>
      <c r="H3046" s="54"/>
      <c r="I3046" s="66"/>
      <c r="J3046" s="54"/>
      <c r="K3046" s="54"/>
      <c r="L3046" s="54"/>
      <c r="M3046" s="97" t="str">
        <f t="shared" si="262"/>
        <v/>
      </c>
      <c r="N3046" s="70"/>
      <c r="O3046" s="71" t="str">
        <f t="shared" si="261"/>
        <v/>
      </c>
      <c r="P3046" s="66"/>
      <c r="Q3046" s="66"/>
      <c r="R3046" s="54"/>
      <c r="S3046" s="82"/>
      <c r="T3046" s="83" t="str">
        <f t="shared" si="263"/>
        <v/>
      </c>
      <c r="U3046" s="10"/>
      <c r="V3046" s="41">
        <f>IF(AND(Q3046&lt;&gt;"",RIGHT(Q3046,3)&lt;&gt;""),IF(COUNTIF($Q$6:Q3046,Q3046)=1,1,0),0)</f>
        <v>0</v>
      </c>
      <c r="W3046" s="41" t="str">
        <f t="shared" si="264"/>
        <v/>
      </c>
      <c r="X3046" s="41" t="str">
        <f t="shared" si="265"/>
        <v/>
      </c>
    </row>
    <row r="3047" s="32" customFormat="1" hidden="1" customHeight="1" spans="1:24">
      <c r="A3047" s="34"/>
      <c r="B3047" s="51"/>
      <c r="C3047" s="51"/>
      <c r="D3047" s="52"/>
      <c r="E3047" s="53"/>
      <c r="F3047" s="54"/>
      <c r="G3047" s="54"/>
      <c r="H3047" s="54"/>
      <c r="I3047" s="66"/>
      <c r="J3047" s="54"/>
      <c r="K3047" s="54"/>
      <c r="L3047" s="54"/>
      <c r="M3047" s="97" t="str">
        <f t="shared" si="262"/>
        <v/>
      </c>
      <c r="N3047" s="70"/>
      <c r="O3047" s="71" t="str">
        <f t="shared" si="261"/>
        <v/>
      </c>
      <c r="P3047" s="66"/>
      <c r="Q3047" s="66"/>
      <c r="R3047" s="54"/>
      <c r="S3047" s="82"/>
      <c r="T3047" s="83" t="str">
        <f t="shared" si="263"/>
        <v/>
      </c>
      <c r="U3047" s="10"/>
      <c r="V3047" s="41">
        <f>IF(AND(Q3047&lt;&gt;"",RIGHT(Q3047,3)&lt;&gt;""),IF(COUNTIF($Q$6:Q3047,Q3047)=1,1,0),0)</f>
        <v>0</v>
      </c>
      <c r="W3047" s="41" t="str">
        <f t="shared" si="264"/>
        <v/>
      </c>
      <c r="X3047" s="41" t="str">
        <f t="shared" si="265"/>
        <v/>
      </c>
    </row>
    <row r="3048" s="32" customFormat="1" hidden="1" customHeight="1" spans="1:24">
      <c r="A3048" s="34"/>
      <c r="B3048" s="51"/>
      <c r="C3048" s="51"/>
      <c r="D3048" s="52"/>
      <c r="E3048" s="53"/>
      <c r="F3048" s="54"/>
      <c r="G3048" s="54"/>
      <c r="H3048" s="54"/>
      <c r="I3048" s="66"/>
      <c r="J3048" s="54"/>
      <c r="K3048" s="54"/>
      <c r="L3048" s="54"/>
      <c r="M3048" s="97" t="str">
        <f t="shared" si="262"/>
        <v/>
      </c>
      <c r="N3048" s="70"/>
      <c r="O3048" s="71" t="str">
        <f t="shared" si="261"/>
        <v/>
      </c>
      <c r="P3048" s="66"/>
      <c r="Q3048" s="66"/>
      <c r="R3048" s="54"/>
      <c r="S3048" s="82"/>
      <c r="T3048" s="83" t="str">
        <f t="shared" si="263"/>
        <v/>
      </c>
      <c r="U3048" s="10"/>
      <c r="V3048" s="41">
        <f>IF(AND(Q3048&lt;&gt;"",RIGHT(Q3048,3)&lt;&gt;""),IF(COUNTIF($Q$6:Q3048,Q3048)=1,1,0),0)</f>
        <v>0</v>
      </c>
      <c r="W3048" s="41" t="str">
        <f t="shared" si="264"/>
        <v/>
      </c>
      <c r="X3048" s="41" t="str">
        <f t="shared" si="265"/>
        <v/>
      </c>
    </row>
    <row r="3049" s="32" customFormat="1" hidden="1" customHeight="1" spans="1:24">
      <c r="A3049" s="34"/>
      <c r="B3049" s="51"/>
      <c r="C3049" s="51"/>
      <c r="D3049" s="52"/>
      <c r="E3049" s="53"/>
      <c r="F3049" s="54"/>
      <c r="G3049" s="54"/>
      <c r="H3049" s="54"/>
      <c r="I3049" s="66"/>
      <c r="J3049" s="54"/>
      <c r="K3049" s="54"/>
      <c r="L3049" s="54"/>
      <c r="M3049" s="97" t="str">
        <f t="shared" si="262"/>
        <v/>
      </c>
      <c r="N3049" s="70"/>
      <c r="O3049" s="71" t="str">
        <f t="shared" si="261"/>
        <v/>
      </c>
      <c r="P3049" s="66"/>
      <c r="Q3049" s="66"/>
      <c r="R3049" s="54"/>
      <c r="S3049" s="82"/>
      <c r="T3049" s="83" t="str">
        <f t="shared" si="263"/>
        <v/>
      </c>
      <c r="U3049" s="10"/>
      <c r="V3049" s="41">
        <f>IF(AND(Q3049&lt;&gt;"",RIGHT(Q3049,3)&lt;&gt;""),IF(COUNTIF($Q$6:Q3049,Q3049)=1,1,0),0)</f>
        <v>0</v>
      </c>
      <c r="W3049" s="41" t="str">
        <f t="shared" si="264"/>
        <v/>
      </c>
      <c r="X3049" s="41" t="str">
        <f t="shared" si="265"/>
        <v/>
      </c>
    </row>
    <row r="3050" s="32" customFormat="1" hidden="1" customHeight="1" spans="1:24">
      <c r="A3050" s="34"/>
      <c r="B3050" s="51"/>
      <c r="C3050" s="51"/>
      <c r="D3050" s="52"/>
      <c r="E3050" s="53"/>
      <c r="F3050" s="54"/>
      <c r="G3050" s="54"/>
      <c r="H3050" s="54"/>
      <c r="I3050" s="66"/>
      <c r="J3050" s="54"/>
      <c r="K3050" s="54"/>
      <c r="L3050" s="54"/>
      <c r="M3050" s="97" t="str">
        <f t="shared" si="262"/>
        <v/>
      </c>
      <c r="N3050" s="70"/>
      <c r="O3050" s="71" t="str">
        <f t="shared" si="261"/>
        <v/>
      </c>
      <c r="P3050" s="66"/>
      <c r="Q3050" s="66"/>
      <c r="R3050" s="54"/>
      <c r="S3050" s="82"/>
      <c r="T3050" s="83" t="str">
        <f t="shared" si="263"/>
        <v/>
      </c>
      <c r="U3050" s="10"/>
      <c r="V3050" s="41">
        <f>IF(AND(Q3050&lt;&gt;"",RIGHT(Q3050,3)&lt;&gt;""),IF(COUNTIF($Q$6:Q3050,Q3050)=1,1,0),0)</f>
        <v>0</v>
      </c>
      <c r="W3050" s="41" t="str">
        <f t="shared" si="264"/>
        <v/>
      </c>
      <c r="X3050" s="41" t="str">
        <f t="shared" si="265"/>
        <v/>
      </c>
    </row>
    <row r="3051" s="32" customFormat="1" hidden="1" customHeight="1" spans="1:24">
      <c r="A3051" s="34"/>
      <c r="B3051" s="51"/>
      <c r="C3051" s="51"/>
      <c r="D3051" s="52"/>
      <c r="E3051" s="53"/>
      <c r="F3051" s="54"/>
      <c r="G3051" s="54"/>
      <c r="H3051" s="54"/>
      <c r="I3051" s="66"/>
      <c r="J3051" s="54"/>
      <c r="K3051" s="54"/>
      <c r="L3051" s="54"/>
      <c r="M3051" s="97" t="str">
        <f t="shared" si="262"/>
        <v/>
      </c>
      <c r="N3051" s="70"/>
      <c r="O3051" s="71" t="str">
        <f t="shared" si="261"/>
        <v/>
      </c>
      <c r="P3051" s="66"/>
      <c r="Q3051" s="66"/>
      <c r="R3051" s="54"/>
      <c r="S3051" s="82"/>
      <c r="T3051" s="83" t="str">
        <f t="shared" si="263"/>
        <v/>
      </c>
      <c r="U3051" s="10"/>
      <c r="V3051" s="41">
        <f>IF(AND(Q3051&lt;&gt;"",RIGHT(Q3051,3)&lt;&gt;""),IF(COUNTIF($Q$6:Q3051,Q3051)=1,1,0),0)</f>
        <v>0</v>
      </c>
      <c r="W3051" s="41" t="str">
        <f t="shared" si="264"/>
        <v/>
      </c>
      <c r="X3051" s="41" t="str">
        <f t="shared" si="265"/>
        <v/>
      </c>
    </row>
    <row r="3052" s="32" customFormat="1" hidden="1" customHeight="1" spans="1:24">
      <c r="A3052" s="34"/>
      <c r="B3052" s="51"/>
      <c r="C3052" s="51"/>
      <c r="D3052" s="52"/>
      <c r="E3052" s="53"/>
      <c r="F3052" s="54"/>
      <c r="G3052" s="54"/>
      <c r="H3052" s="54"/>
      <c r="I3052" s="66"/>
      <c r="J3052" s="54"/>
      <c r="K3052" s="54"/>
      <c r="L3052" s="54"/>
      <c r="M3052" s="97" t="str">
        <f t="shared" si="262"/>
        <v/>
      </c>
      <c r="N3052" s="70"/>
      <c r="O3052" s="71" t="str">
        <f t="shared" si="261"/>
        <v/>
      </c>
      <c r="P3052" s="66"/>
      <c r="Q3052" s="66"/>
      <c r="R3052" s="54"/>
      <c r="S3052" s="82"/>
      <c r="T3052" s="83" t="str">
        <f t="shared" si="263"/>
        <v/>
      </c>
      <c r="U3052" s="10"/>
      <c r="V3052" s="41">
        <f>IF(AND(Q3052&lt;&gt;"",RIGHT(Q3052,3)&lt;&gt;""),IF(COUNTIF($Q$6:Q3052,Q3052)=1,1,0),0)</f>
        <v>0</v>
      </c>
      <c r="W3052" s="41" t="str">
        <f t="shared" si="264"/>
        <v/>
      </c>
      <c r="X3052" s="41" t="str">
        <f t="shared" si="265"/>
        <v/>
      </c>
    </row>
    <row r="3053" s="32" customFormat="1" hidden="1" customHeight="1" spans="1:24">
      <c r="A3053" s="34"/>
      <c r="B3053" s="51"/>
      <c r="C3053" s="51"/>
      <c r="D3053" s="52"/>
      <c r="E3053" s="53"/>
      <c r="F3053" s="54"/>
      <c r="G3053" s="54"/>
      <c r="H3053" s="54"/>
      <c r="I3053" s="66"/>
      <c r="J3053" s="54"/>
      <c r="K3053" s="54"/>
      <c r="L3053" s="54"/>
      <c r="M3053" s="97" t="str">
        <f t="shared" si="262"/>
        <v/>
      </c>
      <c r="N3053" s="70"/>
      <c r="O3053" s="71" t="str">
        <f t="shared" si="261"/>
        <v/>
      </c>
      <c r="P3053" s="66"/>
      <c r="Q3053" s="66"/>
      <c r="R3053" s="54"/>
      <c r="S3053" s="82"/>
      <c r="T3053" s="83" t="str">
        <f t="shared" si="263"/>
        <v/>
      </c>
      <c r="U3053" s="10"/>
      <c r="V3053" s="41">
        <f>IF(AND(Q3053&lt;&gt;"",RIGHT(Q3053,3)&lt;&gt;""),IF(COUNTIF($Q$6:Q3053,Q3053)=1,1,0),0)</f>
        <v>0</v>
      </c>
      <c r="W3053" s="41" t="str">
        <f t="shared" si="264"/>
        <v/>
      </c>
      <c r="X3053" s="41" t="str">
        <f t="shared" si="265"/>
        <v/>
      </c>
    </row>
    <row r="3054" s="32" customFormat="1" hidden="1" customHeight="1" spans="1:24">
      <c r="A3054" s="34"/>
      <c r="B3054" s="51"/>
      <c r="C3054" s="51"/>
      <c r="D3054" s="52"/>
      <c r="E3054" s="53"/>
      <c r="F3054" s="54"/>
      <c r="G3054" s="54"/>
      <c r="H3054" s="54"/>
      <c r="I3054" s="66"/>
      <c r="J3054" s="54"/>
      <c r="K3054" s="54"/>
      <c r="L3054" s="54"/>
      <c r="M3054" s="97" t="str">
        <f t="shared" si="262"/>
        <v/>
      </c>
      <c r="N3054" s="70"/>
      <c r="O3054" s="71" t="str">
        <f t="shared" si="261"/>
        <v/>
      </c>
      <c r="P3054" s="66"/>
      <c r="Q3054" s="66"/>
      <c r="R3054" s="54"/>
      <c r="S3054" s="82"/>
      <c r="T3054" s="83" t="str">
        <f t="shared" si="263"/>
        <v/>
      </c>
      <c r="U3054" s="10"/>
      <c r="V3054" s="41">
        <f>IF(AND(Q3054&lt;&gt;"",RIGHT(Q3054,3)&lt;&gt;""),IF(COUNTIF($Q$6:Q3054,Q3054)=1,1,0),0)</f>
        <v>0</v>
      </c>
      <c r="W3054" s="41" t="str">
        <f t="shared" si="264"/>
        <v/>
      </c>
      <c r="X3054" s="41" t="str">
        <f t="shared" si="265"/>
        <v/>
      </c>
    </row>
    <row r="3055" s="32" customFormat="1" hidden="1" customHeight="1" spans="1:24">
      <c r="A3055" s="34"/>
      <c r="B3055" s="51"/>
      <c r="C3055" s="51"/>
      <c r="D3055" s="52"/>
      <c r="E3055" s="53"/>
      <c r="F3055" s="54"/>
      <c r="G3055" s="54"/>
      <c r="H3055" s="54"/>
      <c r="I3055" s="66"/>
      <c r="J3055" s="54"/>
      <c r="K3055" s="54"/>
      <c r="L3055" s="54"/>
      <c r="M3055" s="97" t="str">
        <f t="shared" si="262"/>
        <v/>
      </c>
      <c r="N3055" s="70"/>
      <c r="O3055" s="71" t="str">
        <f t="shared" si="261"/>
        <v/>
      </c>
      <c r="P3055" s="66"/>
      <c r="Q3055" s="66"/>
      <c r="R3055" s="54"/>
      <c r="S3055" s="82"/>
      <c r="T3055" s="83" t="str">
        <f t="shared" si="263"/>
        <v/>
      </c>
      <c r="U3055" s="10"/>
      <c r="V3055" s="41">
        <f>IF(AND(Q3055&lt;&gt;"",RIGHT(Q3055,3)&lt;&gt;""),IF(COUNTIF($Q$6:Q3055,Q3055)=1,1,0),0)</f>
        <v>0</v>
      </c>
      <c r="W3055" s="41" t="str">
        <f t="shared" si="264"/>
        <v/>
      </c>
      <c r="X3055" s="41" t="str">
        <f t="shared" si="265"/>
        <v/>
      </c>
    </row>
    <row r="3056" s="32" customFormat="1" hidden="1" customHeight="1" spans="1:24">
      <c r="A3056" s="34"/>
      <c r="B3056" s="51"/>
      <c r="C3056" s="51"/>
      <c r="D3056" s="52"/>
      <c r="E3056" s="53"/>
      <c r="F3056" s="54"/>
      <c r="G3056" s="54"/>
      <c r="H3056" s="54"/>
      <c r="I3056" s="66"/>
      <c r="J3056" s="54"/>
      <c r="K3056" s="54"/>
      <c r="L3056" s="54"/>
      <c r="M3056" s="97" t="str">
        <f t="shared" si="262"/>
        <v/>
      </c>
      <c r="N3056" s="70"/>
      <c r="O3056" s="71" t="str">
        <f t="shared" si="261"/>
        <v/>
      </c>
      <c r="P3056" s="66"/>
      <c r="Q3056" s="66"/>
      <c r="R3056" s="54"/>
      <c r="S3056" s="82"/>
      <c r="T3056" s="83" t="str">
        <f t="shared" si="263"/>
        <v/>
      </c>
      <c r="U3056" s="10"/>
      <c r="V3056" s="41">
        <f>IF(AND(Q3056&lt;&gt;"",RIGHT(Q3056,3)&lt;&gt;""),IF(COUNTIF($Q$6:Q3056,Q3056)=1,1,0),0)</f>
        <v>0</v>
      </c>
      <c r="W3056" s="41" t="str">
        <f t="shared" si="264"/>
        <v/>
      </c>
      <c r="X3056" s="41" t="str">
        <f t="shared" si="265"/>
        <v/>
      </c>
    </row>
    <row r="3057" s="32" customFormat="1" hidden="1" customHeight="1" spans="1:24">
      <c r="A3057" s="34"/>
      <c r="B3057" s="51"/>
      <c r="C3057" s="51"/>
      <c r="D3057" s="52"/>
      <c r="E3057" s="53"/>
      <c r="F3057" s="54"/>
      <c r="G3057" s="54"/>
      <c r="H3057" s="54"/>
      <c r="I3057" s="66"/>
      <c r="J3057" s="54"/>
      <c r="K3057" s="54"/>
      <c r="L3057" s="54"/>
      <c r="M3057" s="97" t="str">
        <f t="shared" si="262"/>
        <v/>
      </c>
      <c r="N3057" s="70"/>
      <c r="O3057" s="71" t="str">
        <f t="shared" ref="O3057:O3120" si="266">IF(AND(Q3057&lt;&gt;"",T3057&lt;&gt;""),"PASSIVE",IF(AND(J3057&lt;&gt;"",M3057&lt;&gt;""),"ACTIVE",""))</f>
        <v/>
      </c>
      <c r="P3057" s="66"/>
      <c r="Q3057" s="66"/>
      <c r="R3057" s="54"/>
      <c r="S3057" s="82"/>
      <c r="T3057" s="83" t="str">
        <f t="shared" si="263"/>
        <v/>
      </c>
      <c r="U3057" s="10"/>
      <c r="V3057" s="41">
        <f>IF(AND(Q3057&lt;&gt;"",RIGHT(Q3057,3)&lt;&gt;""),IF(COUNTIF($Q$6:Q3057,Q3057)=1,1,0),0)</f>
        <v>0</v>
      </c>
      <c r="W3057" s="41" t="str">
        <f t="shared" si="264"/>
        <v/>
      </c>
      <c r="X3057" s="41" t="str">
        <f t="shared" si="265"/>
        <v/>
      </c>
    </row>
    <row r="3058" s="32" customFormat="1" hidden="1" customHeight="1" spans="1:24">
      <c r="A3058" s="34"/>
      <c r="B3058" s="51"/>
      <c r="C3058" s="51"/>
      <c r="D3058" s="52"/>
      <c r="E3058" s="53"/>
      <c r="F3058" s="54"/>
      <c r="G3058" s="54"/>
      <c r="H3058" s="54"/>
      <c r="I3058" s="66"/>
      <c r="J3058" s="54"/>
      <c r="K3058" s="54"/>
      <c r="L3058" s="54"/>
      <c r="M3058" s="97" t="str">
        <f t="shared" si="262"/>
        <v/>
      </c>
      <c r="N3058" s="70"/>
      <c r="O3058" s="71" t="str">
        <f t="shared" si="266"/>
        <v/>
      </c>
      <c r="P3058" s="66"/>
      <c r="Q3058" s="66"/>
      <c r="R3058" s="54"/>
      <c r="S3058" s="82"/>
      <c r="T3058" s="83" t="str">
        <f t="shared" si="263"/>
        <v/>
      </c>
      <c r="U3058" s="10"/>
      <c r="V3058" s="41">
        <f>IF(AND(Q3058&lt;&gt;"",RIGHT(Q3058,3)&lt;&gt;""),IF(COUNTIF($Q$6:Q3058,Q3058)=1,1,0),0)</f>
        <v>0</v>
      </c>
      <c r="W3058" s="41" t="str">
        <f t="shared" si="264"/>
        <v/>
      </c>
      <c r="X3058" s="41" t="str">
        <f t="shared" si="265"/>
        <v/>
      </c>
    </row>
    <row r="3059" s="32" customFormat="1" hidden="1" customHeight="1" spans="1:24">
      <c r="A3059" s="34"/>
      <c r="B3059" s="51"/>
      <c r="C3059" s="51"/>
      <c r="D3059" s="52"/>
      <c r="E3059" s="53"/>
      <c r="F3059" s="54"/>
      <c r="G3059" s="54"/>
      <c r="H3059" s="54"/>
      <c r="I3059" s="66"/>
      <c r="J3059" s="54"/>
      <c r="K3059" s="54"/>
      <c r="L3059" s="54"/>
      <c r="M3059" s="97" t="str">
        <f t="shared" si="262"/>
        <v/>
      </c>
      <c r="N3059" s="70"/>
      <c r="O3059" s="71" t="str">
        <f t="shared" si="266"/>
        <v/>
      </c>
      <c r="P3059" s="66"/>
      <c r="Q3059" s="66"/>
      <c r="R3059" s="54"/>
      <c r="S3059" s="82"/>
      <c r="T3059" s="83" t="str">
        <f t="shared" si="263"/>
        <v/>
      </c>
      <c r="U3059" s="10"/>
      <c r="V3059" s="41">
        <f>IF(AND(Q3059&lt;&gt;"",RIGHT(Q3059,3)&lt;&gt;""),IF(COUNTIF($Q$6:Q3059,Q3059)=1,1,0),0)</f>
        <v>0</v>
      </c>
      <c r="W3059" s="41" t="str">
        <f t="shared" si="264"/>
        <v/>
      </c>
      <c r="X3059" s="41" t="str">
        <f t="shared" si="265"/>
        <v/>
      </c>
    </row>
    <row r="3060" s="32" customFormat="1" hidden="1" customHeight="1" spans="1:24">
      <c r="A3060" s="34"/>
      <c r="B3060" s="51"/>
      <c r="C3060" s="51"/>
      <c r="D3060" s="52"/>
      <c r="E3060" s="53"/>
      <c r="F3060" s="54"/>
      <c r="G3060" s="54"/>
      <c r="H3060" s="54"/>
      <c r="I3060" s="66"/>
      <c r="J3060" s="54"/>
      <c r="K3060" s="54"/>
      <c r="L3060" s="54"/>
      <c r="M3060" s="97" t="str">
        <f t="shared" si="262"/>
        <v/>
      </c>
      <c r="N3060" s="70"/>
      <c r="O3060" s="71" t="str">
        <f t="shared" si="266"/>
        <v/>
      </c>
      <c r="P3060" s="66"/>
      <c r="Q3060" s="66"/>
      <c r="R3060" s="54"/>
      <c r="S3060" s="82"/>
      <c r="T3060" s="83" t="str">
        <f t="shared" si="263"/>
        <v/>
      </c>
      <c r="U3060" s="10"/>
      <c r="V3060" s="41">
        <f>IF(AND(Q3060&lt;&gt;"",RIGHT(Q3060,3)&lt;&gt;""),IF(COUNTIF($Q$6:Q3060,Q3060)=1,1,0),0)</f>
        <v>0</v>
      </c>
      <c r="W3060" s="41" t="str">
        <f t="shared" si="264"/>
        <v/>
      </c>
      <c r="X3060" s="41" t="str">
        <f t="shared" si="265"/>
        <v/>
      </c>
    </row>
    <row r="3061" s="32" customFormat="1" hidden="1" customHeight="1" spans="1:24">
      <c r="A3061" s="34"/>
      <c r="B3061" s="51"/>
      <c r="C3061" s="51"/>
      <c r="D3061" s="52"/>
      <c r="E3061" s="53"/>
      <c r="F3061" s="54"/>
      <c r="G3061" s="54"/>
      <c r="H3061" s="54"/>
      <c r="I3061" s="66"/>
      <c r="J3061" s="54"/>
      <c r="K3061" s="54"/>
      <c r="L3061" s="54"/>
      <c r="M3061" s="97" t="str">
        <f t="shared" si="262"/>
        <v/>
      </c>
      <c r="N3061" s="70"/>
      <c r="O3061" s="71" t="str">
        <f t="shared" si="266"/>
        <v/>
      </c>
      <c r="P3061" s="66"/>
      <c r="Q3061" s="66"/>
      <c r="R3061" s="54"/>
      <c r="S3061" s="82"/>
      <c r="T3061" s="83" t="str">
        <f t="shared" si="263"/>
        <v/>
      </c>
      <c r="U3061" s="10"/>
      <c r="V3061" s="41">
        <f>IF(AND(Q3061&lt;&gt;"",RIGHT(Q3061,3)&lt;&gt;""),IF(COUNTIF($Q$6:Q3061,Q3061)=1,1,0),0)</f>
        <v>0</v>
      </c>
      <c r="W3061" s="41" t="str">
        <f t="shared" si="264"/>
        <v/>
      </c>
      <c r="X3061" s="41" t="str">
        <f t="shared" si="265"/>
        <v/>
      </c>
    </row>
    <row r="3062" s="32" customFormat="1" hidden="1" customHeight="1" spans="1:24">
      <c r="A3062" s="34"/>
      <c r="B3062" s="51"/>
      <c r="C3062" s="51"/>
      <c r="D3062" s="52"/>
      <c r="E3062" s="53"/>
      <c r="F3062" s="54"/>
      <c r="G3062" s="54"/>
      <c r="H3062" s="54"/>
      <c r="I3062" s="66"/>
      <c r="J3062" s="54"/>
      <c r="K3062" s="54"/>
      <c r="L3062" s="54"/>
      <c r="M3062" s="97" t="str">
        <f t="shared" si="262"/>
        <v/>
      </c>
      <c r="N3062" s="70"/>
      <c r="O3062" s="71" t="str">
        <f t="shared" si="266"/>
        <v/>
      </c>
      <c r="P3062" s="66"/>
      <c r="Q3062" s="66"/>
      <c r="R3062" s="54"/>
      <c r="S3062" s="82"/>
      <c r="T3062" s="83" t="str">
        <f t="shared" si="263"/>
        <v/>
      </c>
      <c r="U3062" s="10"/>
      <c r="V3062" s="41">
        <f>IF(AND(Q3062&lt;&gt;"",RIGHT(Q3062,3)&lt;&gt;""),IF(COUNTIF($Q$6:Q3062,Q3062)=1,1,0),0)</f>
        <v>0</v>
      </c>
      <c r="W3062" s="41" t="str">
        <f t="shared" si="264"/>
        <v/>
      </c>
      <c r="X3062" s="41" t="str">
        <f t="shared" si="265"/>
        <v/>
      </c>
    </row>
    <row r="3063" s="32" customFormat="1" hidden="1" customHeight="1" spans="1:24">
      <c r="A3063" s="34"/>
      <c r="B3063" s="51"/>
      <c r="C3063" s="51"/>
      <c r="D3063" s="52"/>
      <c r="E3063" s="53"/>
      <c r="F3063" s="54"/>
      <c r="G3063" s="54"/>
      <c r="H3063" s="54"/>
      <c r="I3063" s="66"/>
      <c r="J3063" s="54"/>
      <c r="K3063" s="54"/>
      <c r="L3063" s="54"/>
      <c r="M3063" s="97" t="str">
        <f t="shared" si="262"/>
        <v/>
      </c>
      <c r="N3063" s="70"/>
      <c r="O3063" s="71" t="str">
        <f t="shared" si="266"/>
        <v/>
      </c>
      <c r="P3063" s="66"/>
      <c r="Q3063" s="66"/>
      <c r="R3063" s="54"/>
      <c r="S3063" s="82"/>
      <c r="T3063" s="83" t="str">
        <f t="shared" si="263"/>
        <v/>
      </c>
      <c r="U3063" s="10"/>
      <c r="V3063" s="41">
        <f>IF(AND(Q3063&lt;&gt;"",RIGHT(Q3063,3)&lt;&gt;""),IF(COUNTIF($Q$6:Q3063,Q3063)=1,1,0),0)</f>
        <v>0</v>
      </c>
      <c r="W3063" s="41" t="str">
        <f t="shared" si="264"/>
        <v/>
      </c>
      <c r="X3063" s="41" t="str">
        <f t="shared" si="265"/>
        <v/>
      </c>
    </row>
    <row r="3064" s="32" customFormat="1" hidden="1" customHeight="1" spans="1:24">
      <c r="A3064" s="34"/>
      <c r="B3064" s="51"/>
      <c r="C3064" s="51"/>
      <c r="D3064" s="52"/>
      <c r="E3064" s="53"/>
      <c r="F3064" s="54"/>
      <c r="G3064" s="54"/>
      <c r="H3064" s="54"/>
      <c r="I3064" s="66"/>
      <c r="J3064" s="54"/>
      <c r="K3064" s="54"/>
      <c r="L3064" s="54"/>
      <c r="M3064" s="97" t="str">
        <f t="shared" si="262"/>
        <v/>
      </c>
      <c r="N3064" s="70"/>
      <c r="O3064" s="71" t="str">
        <f t="shared" si="266"/>
        <v/>
      </c>
      <c r="P3064" s="66"/>
      <c r="Q3064" s="66"/>
      <c r="R3064" s="54"/>
      <c r="S3064" s="82"/>
      <c r="T3064" s="83" t="str">
        <f t="shared" si="263"/>
        <v/>
      </c>
      <c r="U3064" s="10"/>
      <c r="V3064" s="41">
        <f>IF(AND(Q3064&lt;&gt;"",RIGHT(Q3064,3)&lt;&gt;""),IF(COUNTIF($Q$6:Q3064,Q3064)=1,1,0),0)</f>
        <v>0</v>
      </c>
      <c r="W3064" s="41" t="str">
        <f t="shared" si="264"/>
        <v/>
      </c>
      <c r="X3064" s="41" t="str">
        <f t="shared" si="265"/>
        <v/>
      </c>
    </row>
    <row r="3065" s="32" customFormat="1" hidden="1" customHeight="1" spans="1:24">
      <c r="A3065" s="34"/>
      <c r="B3065" s="51"/>
      <c r="C3065" s="51"/>
      <c r="D3065" s="52"/>
      <c r="E3065" s="53"/>
      <c r="F3065" s="54"/>
      <c r="G3065" s="54"/>
      <c r="H3065" s="54"/>
      <c r="I3065" s="66"/>
      <c r="J3065" s="54"/>
      <c r="K3065" s="54"/>
      <c r="L3065" s="54"/>
      <c r="M3065" s="97" t="str">
        <f t="shared" si="262"/>
        <v/>
      </c>
      <c r="N3065" s="70"/>
      <c r="O3065" s="71" t="str">
        <f t="shared" si="266"/>
        <v/>
      </c>
      <c r="P3065" s="66"/>
      <c r="Q3065" s="66"/>
      <c r="R3065" s="54"/>
      <c r="S3065" s="82"/>
      <c r="T3065" s="83" t="str">
        <f t="shared" si="263"/>
        <v/>
      </c>
      <c r="U3065" s="10"/>
      <c r="V3065" s="41">
        <f>IF(AND(Q3065&lt;&gt;"",RIGHT(Q3065,3)&lt;&gt;""),IF(COUNTIF($Q$6:Q3065,Q3065)=1,1,0),0)</f>
        <v>0</v>
      </c>
      <c r="W3065" s="41" t="str">
        <f t="shared" si="264"/>
        <v/>
      </c>
      <c r="X3065" s="41" t="str">
        <f t="shared" si="265"/>
        <v/>
      </c>
    </row>
    <row r="3066" s="32" customFormat="1" hidden="1" customHeight="1" spans="1:24">
      <c r="A3066" s="34"/>
      <c r="B3066" s="51"/>
      <c r="C3066" s="51"/>
      <c r="D3066" s="52"/>
      <c r="E3066" s="53"/>
      <c r="F3066" s="54"/>
      <c r="G3066" s="54"/>
      <c r="H3066" s="54"/>
      <c r="I3066" s="66"/>
      <c r="J3066" s="54"/>
      <c r="K3066" s="54"/>
      <c r="L3066" s="54"/>
      <c r="M3066" s="97" t="str">
        <f t="shared" si="262"/>
        <v/>
      </c>
      <c r="N3066" s="70"/>
      <c r="O3066" s="71" t="str">
        <f t="shared" si="266"/>
        <v/>
      </c>
      <c r="P3066" s="66"/>
      <c r="Q3066" s="66"/>
      <c r="R3066" s="54"/>
      <c r="S3066" s="82"/>
      <c r="T3066" s="83" t="str">
        <f t="shared" si="263"/>
        <v/>
      </c>
      <c r="U3066" s="10"/>
      <c r="V3066" s="41">
        <f>IF(AND(Q3066&lt;&gt;"",RIGHT(Q3066,3)&lt;&gt;""),IF(COUNTIF($Q$6:Q3066,Q3066)=1,1,0),0)</f>
        <v>0</v>
      </c>
      <c r="W3066" s="41" t="str">
        <f t="shared" si="264"/>
        <v/>
      </c>
      <c r="X3066" s="41" t="str">
        <f t="shared" si="265"/>
        <v/>
      </c>
    </row>
    <row r="3067" s="32" customFormat="1" hidden="1" customHeight="1" spans="1:24">
      <c r="A3067" s="34"/>
      <c r="B3067" s="51"/>
      <c r="C3067" s="51"/>
      <c r="D3067" s="52"/>
      <c r="E3067" s="53"/>
      <c r="F3067" s="54"/>
      <c r="G3067" s="54"/>
      <c r="H3067" s="54"/>
      <c r="I3067" s="66"/>
      <c r="J3067" s="54"/>
      <c r="K3067" s="54"/>
      <c r="L3067" s="54"/>
      <c r="M3067" s="97" t="str">
        <f t="shared" si="262"/>
        <v/>
      </c>
      <c r="N3067" s="70"/>
      <c r="O3067" s="71" t="str">
        <f t="shared" si="266"/>
        <v/>
      </c>
      <c r="P3067" s="66"/>
      <c r="Q3067" s="66"/>
      <c r="R3067" s="54"/>
      <c r="S3067" s="82"/>
      <c r="T3067" s="83" t="str">
        <f t="shared" si="263"/>
        <v/>
      </c>
      <c r="U3067" s="10"/>
      <c r="V3067" s="41">
        <f>IF(AND(Q3067&lt;&gt;"",RIGHT(Q3067,3)&lt;&gt;""),IF(COUNTIF($Q$6:Q3067,Q3067)=1,1,0),0)</f>
        <v>0</v>
      </c>
      <c r="W3067" s="41" t="str">
        <f t="shared" si="264"/>
        <v/>
      </c>
      <c r="X3067" s="41" t="str">
        <f t="shared" si="265"/>
        <v/>
      </c>
    </row>
    <row r="3068" s="32" customFormat="1" hidden="1" customHeight="1" spans="1:24">
      <c r="A3068" s="34"/>
      <c r="B3068" s="51"/>
      <c r="C3068" s="51"/>
      <c r="D3068" s="52"/>
      <c r="E3068" s="53"/>
      <c r="F3068" s="54"/>
      <c r="G3068" s="54"/>
      <c r="H3068" s="54"/>
      <c r="I3068" s="66"/>
      <c r="J3068" s="54"/>
      <c r="K3068" s="54"/>
      <c r="L3068" s="54"/>
      <c r="M3068" s="97" t="str">
        <f t="shared" si="262"/>
        <v/>
      </c>
      <c r="N3068" s="70"/>
      <c r="O3068" s="71" t="str">
        <f t="shared" si="266"/>
        <v/>
      </c>
      <c r="P3068" s="66"/>
      <c r="Q3068" s="66"/>
      <c r="R3068" s="54"/>
      <c r="S3068" s="82"/>
      <c r="T3068" s="83" t="str">
        <f t="shared" si="263"/>
        <v/>
      </c>
      <c r="U3068" s="10"/>
      <c r="V3068" s="41">
        <f>IF(AND(Q3068&lt;&gt;"",RIGHT(Q3068,3)&lt;&gt;""),IF(COUNTIF($Q$6:Q3068,Q3068)=1,1,0),0)</f>
        <v>0</v>
      </c>
      <c r="W3068" s="41" t="str">
        <f t="shared" si="264"/>
        <v/>
      </c>
      <c r="X3068" s="41" t="str">
        <f t="shared" si="265"/>
        <v/>
      </c>
    </row>
    <row r="3069" s="32" customFormat="1" hidden="1" customHeight="1" spans="1:24">
      <c r="A3069" s="34"/>
      <c r="B3069" s="51"/>
      <c r="C3069" s="51"/>
      <c r="D3069" s="52"/>
      <c r="E3069" s="53"/>
      <c r="F3069" s="54"/>
      <c r="G3069" s="54"/>
      <c r="H3069" s="54"/>
      <c r="I3069" s="66"/>
      <c r="J3069" s="54"/>
      <c r="K3069" s="54"/>
      <c r="L3069" s="54"/>
      <c r="M3069" s="97" t="str">
        <f t="shared" si="262"/>
        <v/>
      </c>
      <c r="N3069" s="70"/>
      <c r="O3069" s="71" t="str">
        <f t="shared" si="266"/>
        <v/>
      </c>
      <c r="P3069" s="66"/>
      <c r="Q3069" s="66"/>
      <c r="R3069" s="54"/>
      <c r="S3069" s="82"/>
      <c r="T3069" s="83" t="str">
        <f t="shared" si="263"/>
        <v/>
      </c>
      <c r="U3069" s="10"/>
      <c r="V3069" s="41">
        <f>IF(AND(Q3069&lt;&gt;"",RIGHT(Q3069,3)&lt;&gt;""),IF(COUNTIF($Q$6:Q3069,Q3069)=1,1,0),0)</f>
        <v>0</v>
      </c>
      <c r="W3069" s="41" t="str">
        <f t="shared" si="264"/>
        <v/>
      </c>
      <c r="X3069" s="41" t="str">
        <f t="shared" si="265"/>
        <v/>
      </c>
    </row>
    <row r="3070" s="32" customFormat="1" hidden="1" customHeight="1" spans="1:24">
      <c r="A3070" s="34"/>
      <c r="B3070" s="51"/>
      <c r="C3070" s="51"/>
      <c r="D3070" s="52"/>
      <c r="E3070" s="53"/>
      <c r="F3070" s="54"/>
      <c r="G3070" s="54"/>
      <c r="H3070" s="54"/>
      <c r="I3070" s="66"/>
      <c r="J3070" s="54"/>
      <c r="K3070" s="54"/>
      <c r="L3070" s="54"/>
      <c r="M3070" s="97" t="str">
        <f t="shared" si="262"/>
        <v/>
      </c>
      <c r="N3070" s="70"/>
      <c r="O3070" s="71" t="str">
        <f t="shared" si="266"/>
        <v/>
      </c>
      <c r="P3070" s="66"/>
      <c r="Q3070" s="66"/>
      <c r="R3070" s="54"/>
      <c r="S3070" s="82"/>
      <c r="T3070" s="83" t="str">
        <f t="shared" si="263"/>
        <v/>
      </c>
      <c r="U3070" s="10"/>
      <c r="V3070" s="41">
        <f>IF(AND(Q3070&lt;&gt;"",RIGHT(Q3070,3)&lt;&gt;""),IF(COUNTIF($Q$6:Q3070,Q3070)=1,1,0),0)</f>
        <v>0</v>
      </c>
      <c r="W3070" s="41" t="str">
        <f t="shared" si="264"/>
        <v/>
      </c>
      <c r="X3070" s="41" t="str">
        <f t="shared" si="265"/>
        <v/>
      </c>
    </row>
    <row r="3071" s="32" customFormat="1" hidden="1" customHeight="1" spans="1:24">
      <c r="A3071" s="34"/>
      <c r="B3071" s="51"/>
      <c r="C3071" s="51"/>
      <c r="D3071" s="52"/>
      <c r="E3071" s="53"/>
      <c r="F3071" s="54"/>
      <c r="G3071" s="54"/>
      <c r="H3071" s="54"/>
      <c r="I3071" s="66"/>
      <c r="J3071" s="54"/>
      <c r="K3071" s="54"/>
      <c r="L3071" s="54"/>
      <c r="M3071" s="97" t="str">
        <f t="shared" si="262"/>
        <v/>
      </c>
      <c r="N3071" s="70"/>
      <c r="O3071" s="71" t="str">
        <f t="shared" si="266"/>
        <v/>
      </c>
      <c r="P3071" s="66"/>
      <c r="Q3071" s="66"/>
      <c r="R3071" s="54"/>
      <c r="S3071" s="82"/>
      <c r="T3071" s="83" t="str">
        <f t="shared" si="263"/>
        <v/>
      </c>
      <c r="U3071" s="10"/>
      <c r="V3071" s="41">
        <f>IF(AND(Q3071&lt;&gt;"",RIGHT(Q3071,3)&lt;&gt;""),IF(COUNTIF($Q$6:Q3071,Q3071)=1,1,0),0)</f>
        <v>0</v>
      </c>
      <c r="W3071" s="41" t="str">
        <f t="shared" si="264"/>
        <v/>
      </c>
      <c r="X3071" s="41" t="str">
        <f t="shared" si="265"/>
        <v/>
      </c>
    </row>
    <row r="3072" s="32" customFormat="1" hidden="1" customHeight="1" spans="1:24">
      <c r="A3072" s="34"/>
      <c r="B3072" s="51"/>
      <c r="C3072" s="51"/>
      <c r="D3072" s="52"/>
      <c r="E3072" s="53"/>
      <c r="F3072" s="54"/>
      <c r="G3072" s="54"/>
      <c r="H3072" s="54"/>
      <c r="I3072" s="66"/>
      <c r="J3072" s="54"/>
      <c r="K3072" s="54"/>
      <c r="L3072" s="54"/>
      <c r="M3072" s="97" t="str">
        <f t="shared" si="262"/>
        <v/>
      </c>
      <c r="N3072" s="70"/>
      <c r="O3072" s="71" t="str">
        <f t="shared" si="266"/>
        <v/>
      </c>
      <c r="P3072" s="66"/>
      <c r="Q3072" s="66"/>
      <c r="R3072" s="54"/>
      <c r="S3072" s="82"/>
      <c r="T3072" s="83" t="str">
        <f t="shared" si="263"/>
        <v/>
      </c>
      <c r="U3072" s="10"/>
      <c r="V3072" s="41">
        <f>IF(AND(Q3072&lt;&gt;"",RIGHT(Q3072,3)&lt;&gt;""),IF(COUNTIF($Q$6:Q3072,Q3072)=1,1,0),0)</f>
        <v>0</v>
      </c>
      <c r="W3072" s="41" t="str">
        <f t="shared" si="264"/>
        <v/>
      </c>
      <c r="X3072" s="41" t="str">
        <f t="shared" si="265"/>
        <v/>
      </c>
    </row>
    <row r="3073" s="32" customFormat="1" hidden="1" customHeight="1" spans="1:24">
      <c r="A3073" s="34"/>
      <c r="B3073" s="51"/>
      <c r="C3073" s="51"/>
      <c r="D3073" s="52"/>
      <c r="E3073" s="53"/>
      <c r="F3073" s="54"/>
      <c r="G3073" s="54"/>
      <c r="H3073" s="54"/>
      <c r="I3073" s="66"/>
      <c r="J3073" s="54"/>
      <c r="K3073" s="54"/>
      <c r="L3073" s="54"/>
      <c r="M3073" s="97" t="str">
        <f t="shared" si="262"/>
        <v/>
      </c>
      <c r="N3073" s="70"/>
      <c r="O3073" s="71" t="str">
        <f t="shared" si="266"/>
        <v/>
      </c>
      <c r="P3073" s="66"/>
      <c r="Q3073" s="66"/>
      <c r="R3073" s="54"/>
      <c r="S3073" s="82"/>
      <c r="T3073" s="83" t="str">
        <f t="shared" si="263"/>
        <v/>
      </c>
      <c r="U3073" s="10"/>
      <c r="V3073" s="41">
        <f>IF(AND(Q3073&lt;&gt;"",RIGHT(Q3073,3)&lt;&gt;""),IF(COUNTIF($Q$6:Q3073,Q3073)=1,1,0),0)</f>
        <v>0</v>
      </c>
      <c r="W3073" s="41" t="str">
        <f t="shared" si="264"/>
        <v/>
      </c>
      <c r="X3073" s="41" t="str">
        <f t="shared" si="265"/>
        <v/>
      </c>
    </row>
    <row r="3074" s="32" customFormat="1" hidden="1" customHeight="1" spans="1:24">
      <c r="A3074" s="34"/>
      <c r="B3074" s="51"/>
      <c r="C3074" s="51"/>
      <c r="D3074" s="52"/>
      <c r="E3074" s="53"/>
      <c r="F3074" s="54"/>
      <c r="G3074" s="54"/>
      <c r="H3074" s="54"/>
      <c r="I3074" s="66"/>
      <c r="J3074" s="54"/>
      <c r="K3074" s="54"/>
      <c r="L3074" s="54"/>
      <c r="M3074" s="97" t="str">
        <f t="shared" si="262"/>
        <v/>
      </c>
      <c r="N3074" s="70"/>
      <c r="O3074" s="71" t="str">
        <f t="shared" si="266"/>
        <v/>
      </c>
      <c r="P3074" s="66"/>
      <c r="Q3074" s="66"/>
      <c r="R3074" s="54"/>
      <c r="S3074" s="82"/>
      <c r="T3074" s="83" t="str">
        <f t="shared" si="263"/>
        <v/>
      </c>
      <c r="U3074" s="10"/>
      <c r="V3074" s="41">
        <f>IF(AND(Q3074&lt;&gt;"",RIGHT(Q3074,3)&lt;&gt;""),IF(COUNTIF($Q$6:Q3074,Q3074)=1,1,0),0)</f>
        <v>0</v>
      </c>
      <c r="W3074" s="41" t="str">
        <f t="shared" si="264"/>
        <v/>
      </c>
      <c r="X3074" s="41" t="str">
        <f t="shared" si="265"/>
        <v/>
      </c>
    </row>
    <row r="3075" s="32" customFormat="1" hidden="1" customHeight="1" spans="1:24">
      <c r="A3075" s="34"/>
      <c r="B3075" s="51"/>
      <c r="C3075" s="51"/>
      <c r="D3075" s="52"/>
      <c r="E3075" s="53"/>
      <c r="F3075" s="54"/>
      <c r="G3075" s="54"/>
      <c r="H3075" s="54"/>
      <c r="I3075" s="66"/>
      <c r="J3075" s="54"/>
      <c r="K3075" s="54"/>
      <c r="L3075" s="54"/>
      <c r="M3075" s="97" t="str">
        <f t="shared" si="262"/>
        <v/>
      </c>
      <c r="N3075" s="70"/>
      <c r="O3075" s="71" t="str">
        <f t="shared" si="266"/>
        <v/>
      </c>
      <c r="P3075" s="66"/>
      <c r="Q3075" s="66"/>
      <c r="R3075" s="54"/>
      <c r="S3075" s="82"/>
      <c r="T3075" s="83" t="str">
        <f t="shared" si="263"/>
        <v/>
      </c>
      <c r="U3075" s="10"/>
      <c r="V3075" s="41">
        <f>IF(AND(Q3075&lt;&gt;"",RIGHT(Q3075,3)&lt;&gt;""),IF(COUNTIF($Q$6:Q3075,Q3075)=1,1,0),0)</f>
        <v>0</v>
      </c>
      <c r="W3075" s="41" t="str">
        <f t="shared" si="264"/>
        <v/>
      </c>
      <c r="X3075" s="41" t="str">
        <f t="shared" si="265"/>
        <v/>
      </c>
    </row>
    <row r="3076" s="32" customFormat="1" hidden="1" customHeight="1" spans="1:24">
      <c r="A3076" s="34"/>
      <c r="B3076" s="51"/>
      <c r="C3076" s="51"/>
      <c r="D3076" s="52"/>
      <c r="E3076" s="53"/>
      <c r="F3076" s="54"/>
      <c r="G3076" s="54"/>
      <c r="H3076" s="54"/>
      <c r="I3076" s="66"/>
      <c r="J3076" s="54"/>
      <c r="K3076" s="54"/>
      <c r="L3076" s="54"/>
      <c r="M3076" s="97" t="str">
        <f t="shared" si="262"/>
        <v/>
      </c>
      <c r="N3076" s="70"/>
      <c r="O3076" s="71" t="str">
        <f t="shared" si="266"/>
        <v/>
      </c>
      <c r="P3076" s="66"/>
      <c r="Q3076" s="66"/>
      <c r="R3076" s="54"/>
      <c r="S3076" s="82"/>
      <c r="T3076" s="83" t="str">
        <f t="shared" si="263"/>
        <v/>
      </c>
      <c r="U3076" s="10"/>
      <c r="V3076" s="41">
        <f>IF(AND(Q3076&lt;&gt;"",RIGHT(Q3076,3)&lt;&gt;""),IF(COUNTIF($Q$6:Q3076,Q3076)=1,1,0),0)</f>
        <v>0</v>
      </c>
      <c r="W3076" s="41" t="str">
        <f t="shared" si="264"/>
        <v/>
      </c>
      <c r="X3076" s="41" t="str">
        <f t="shared" si="265"/>
        <v/>
      </c>
    </row>
    <row r="3077" s="32" customFormat="1" hidden="1" customHeight="1" spans="1:24">
      <c r="A3077" s="34"/>
      <c r="B3077" s="51"/>
      <c r="C3077" s="51"/>
      <c r="D3077" s="52"/>
      <c r="E3077" s="53"/>
      <c r="F3077" s="54"/>
      <c r="G3077" s="54"/>
      <c r="H3077" s="54"/>
      <c r="I3077" s="66"/>
      <c r="J3077" s="54"/>
      <c r="K3077" s="54"/>
      <c r="L3077" s="54"/>
      <c r="M3077" s="97" t="str">
        <f t="shared" si="262"/>
        <v/>
      </c>
      <c r="N3077" s="70"/>
      <c r="O3077" s="71" t="str">
        <f t="shared" si="266"/>
        <v/>
      </c>
      <c r="P3077" s="66"/>
      <c r="Q3077" s="66"/>
      <c r="R3077" s="54"/>
      <c r="S3077" s="82"/>
      <c r="T3077" s="83" t="str">
        <f t="shared" si="263"/>
        <v/>
      </c>
      <c r="U3077" s="10"/>
      <c r="V3077" s="41">
        <f>IF(AND(Q3077&lt;&gt;"",RIGHT(Q3077,3)&lt;&gt;""),IF(COUNTIF($Q$6:Q3077,Q3077)=1,1,0),0)</f>
        <v>0</v>
      </c>
      <c r="W3077" s="41" t="str">
        <f t="shared" si="264"/>
        <v/>
      </c>
      <c r="X3077" s="41" t="str">
        <f t="shared" si="265"/>
        <v/>
      </c>
    </row>
    <row r="3078" s="32" customFormat="1" hidden="1" customHeight="1" spans="1:24">
      <c r="A3078" s="34"/>
      <c r="B3078" s="51"/>
      <c r="C3078" s="51"/>
      <c r="D3078" s="52"/>
      <c r="E3078" s="53"/>
      <c r="F3078" s="54"/>
      <c r="G3078" s="54"/>
      <c r="H3078" s="54"/>
      <c r="I3078" s="66"/>
      <c r="J3078" s="54"/>
      <c r="K3078" s="54"/>
      <c r="L3078" s="54"/>
      <c r="M3078" s="97" t="str">
        <f t="shared" si="262"/>
        <v/>
      </c>
      <c r="N3078" s="70"/>
      <c r="O3078" s="71" t="str">
        <f t="shared" si="266"/>
        <v/>
      </c>
      <c r="P3078" s="66"/>
      <c r="Q3078" s="66"/>
      <c r="R3078" s="54"/>
      <c r="S3078" s="82"/>
      <c r="T3078" s="83" t="str">
        <f t="shared" si="263"/>
        <v/>
      </c>
      <c r="U3078" s="10"/>
      <c r="V3078" s="41">
        <f>IF(AND(Q3078&lt;&gt;"",RIGHT(Q3078,3)&lt;&gt;""),IF(COUNTIF($Q$6:Q3078,Q3078)=1,1,0),0)</f>
        <v>0</v>
      </c>
      <c r="W3078" s="41" t="str">
        <f t="shared" si="264"/>
        <v/>
      </c>
      <c r="X3078" s="41" t="str">
        <f t="shared" si="265"/>
        <v/>
      </c>
    </row>
    <row r="3079" s="32" customFormat="1" hidden="1" customHeight="1" spans="1:24">
      <c r="A3079" s="34"/>
      <c r="B3079" s="51"/>
      <c r="C3079" s="51"/>
      <c r="D3079" s="52"/>
      <c r="E3079" s="53"/>
      <c r="F3079" s="54"/>
      <c r="G3079" s="54"/>
      <c r="H3079" s="54"/>
      <c r="I3079" s="66"/>
      <c r="J3079" s="54"/>
      <c r="K3079" s="54"/>
      <c r="L3079" s="54"/>
      <c r="M3079" s="97" t="str">
        <f t="shared" si="262"/>
        <v/>
      </c>
      <c r="N3079" s="70"/>
      <c r="O3079" s="71" t="str">
        <f t="shared" si="266"/>
        <v/>
      </c>
      <c r="P3079" s="66"/>
      <c r="Q3079" s="66"/>
      <c r="R3079" s="54"/>
      <c r="S3079" s="82"/>
      <c r="T3079" s="83" t="str">
        <f t="shared" si="263"/>
        <v/>
      </c>
      <c r="U3079" s="10"/>
      <c r="V3079" s="41">
        <f>IF(AND(Q3079&lt;&gt;"",RIGHT(Q3079,3)&lt;&gt;""),IF(COUNTIF($Q$6:Q3079,Q3079)=1,1,0),0)</f>
        <v>0</v>
      </c>
      <c r="W3079" s="41" t="str">
        <f t="shared" si="264"/>
        <v/>
      </c>
      <c r="X3079" s="41" t="str">
        <f t="shared" si="265"/>
        <v/>
      </c>
    </row>
    <row r="3080" s="32" customFormat="1" hidden="1" customHeight="1" spans="1:24">
      <c r="A3080" s="34"/>
      <c r="B3080" s="51"/>
      <c r="C3080" s="51"/>
      <c r="D3080" s="52"/>
      <c r="E3080" s="53"/>
      <c r="F3080" s="54"/>
      <c r="G3080" s="54"/>
      <c r="H3080" s="54"/>
      <c r="I3080" s="66"/>
      <c r="J3080" s="54"/>
      <c r="K3080" s="54"/>
      <c r="L3080" s="54"/>
      <c r="M3080" s="97" t="str">
        <f t="shared" si="262"/>
        <v/>
      </c>
      <c r="N3080" s="70"/>
      <c r="O3080" s="71" t="str">
        <f t="shared" si="266"/>
        <v/>
      </c>
      <c r="P3080" s="66"/>
      <c r="Q3080" s="66"/>
      <c r="R3080" s="54"/>
      <c r="S3080" s="82"/>
      <c r="T3080" s="83" t="str">
        <f t="shared" si="263"/>
        <v/>
      </c>
      <c r="U3080" s="10"/>
      <c r="V3080" s="41">
        <f>IF(AND(Q3080&lt;&gt;"",RIGHT(Q3080,3)&lt;&gt;""),IF(COUNTIF($Q$6:Q3080,Q3080)=1,1,0),0)</f>
        <v>0</v>
      </c>
      <c r="W3080" s="41" t="str">
        <f t="shared" si="264"/>
        <v/>
      </c>
      <c r="X3080" s="41" t="str">
        <f t="shared" si="265"/>
        <v/>
      </c>
    </row>
    <row r="3081" s="32" customFormat="1" hidden="1" customHeight="1" spans="1:24">
      <c r="A3081" s="34"/>
      <c r="B3081" s="51"/>
      <c r="C3081" s="51"/>
      <c r="D3081" s="52"/>
      <c r="E3081" s="53"/>
      <c r="F3081" s="54"/>
      <c r="G3081" s="54"/>
      <c r="H3081" s="54"/>
      <c r="I3081" s="66"/>
      <c r="J3081" s="54"/>
      <c r="K3081" s="54"/>
      <c r="L3081" s="54"/>
      <c r="M3081" s="97" t="str">
        <f t="shared" si="262"/>
        <v/>
      </c>
      <c r="N3081" s="70"/>
      <c r="O3081" s="71" t="str">
        <f t="shared" si="266"/>
        <v/>
      </c>
      <c r="P3081" s="66"/>
      <c r="Q3081" s="66"/>
      <c r="R3081" s="54"/>
      <c r="S3081" s="82"/>
      <c r="T3081" s="83" t="str">
        <f t="shared" si="263"/>
        <v/>
      </c>
      <c r="U3081" s="10"/>
      <c r="V3081" s="41">
        <f>IF(AND(Q3081&lt;&gt;"",RIGHT(Q3081,3)&lt;&gt;""),IF(COUNTIF($Q$6:Q3081,Q3081)=1,1,0),0)</f>
        <v>0</v>
      </c>
      <c r="W3081" s="41" t="str">
        <f t="shared" si="264"/>
        <v/>
      </c>
      <c r="X3081" s="41" t="str">
        <f t="shared" si="265"/>
        <v/>
      </c>
    </row>
    <row r="3082" s="32" customFormat="1" hidden="1" customHeight="1" spans="1:24">
      <c r="A3082" s="34"/>
      <c r="B3082" s="51"/>
      <c r="C3082" s="51"/>
      <c r="D3082" s="52"/>
      <c r="E3082" s="53"/>
      <c r="F3082" s="54"/>
      <c r="G3082" s="54"/>
      <c r="H3082" s="54"/>
      <c r="I3082" s="66"/>
      <c r="J3082" s="54"/>
      <c r="K3082" s="54"/>
      <c r="L3082" s="54"/>
      <c r="M3082" s="97" t="str">
        <f t="shared" si="262"/>
        <v/>
      </c>
      <c r="N3082" s="70"/>
      <c r="O3082" s="71" t="str">
        <f t="shared" si="266"/>
        <v/>
      </c>
      <c r="P3082" s="66"/>
      <c r="Q3082" s="66"/>
      <c r="R3082" s="54"/>
      <c r="S3082" s="82"/>
      <c r="T3082" s="83" t="str">
        <f t="shared" si="263"/>
        <v/>
      </c>
      <c r="U3082" s="10"/>
      <c r="V3082" s="41">
        <f>IF(AND(Q3082&lt;&gt;"",RIGHT(Q3082,3)&lt;&gt;""),IF(COUNTIF($Q$6:Q3082,Q3082)=1,1,0),0)</f>
        <v>0</v>
      </c>
      <c r="W3082" s="41" t="str">
        <f t="shared" si="264"/>
        <v/>
      </c>
      <c r="X3082" s="41" t="str">
        <f t="shared" si="265"/>
        <v/>
      </c>
    </row>
    <row r="3083" s="32" customFormat="1" hidden="1" customHeight="1" spans="1:24">
      <c r="A3083" s="34"/>
      <c r="B3083" s="51"/>
      <c r="C3083" s="51"/>
      <c r="D3083" s="52"/>
      <c r="E3083" s="53"/>
      <c r="F3083" s="54"/>
      <c r="G3083" s="54"/>
      <c r="H3083" s="54"/>
      <c r="I3083" s="66"/>
      <c r="J3083" s="54"/>
      <c r="K3083" s="54"/>
      <c r="L3083" s="54"/>
      <c r="M3083" s="97" t="str">
        <f t="shared" si="262"/>
        <v/>
      </c>
      <c r="N3083" s="70"/>
      <c r="O3083" s="71" t="str">
        <f t="shared" si="266"/>
        <v/>
      </c>
      <c r="P3083" s="66"/>
      <c r="Q3083" s="66"/>
      <c r="R3083" s="54"/>
      <c r="S3083" s="82"/>
      <c r="T3083" s="83" t="str">
        <f t="shared" si="263"/>
        <v/>
      </c>
      <c r="U3083" s="10"/>
      <c r="V3083" s="41">
        <f>IF(AND(Q3083&lt;&gt;"",RIGHT(Q3083,3)&lt;&gt;""),IF(COUNTIF($Q$6:Q3083,Q3083)=1,1,0),0)</f>
        <v>0</v>
      </c>
      <c r="W3083" s="41" t="str">
        <f t="shared" si="264"/>
        <v/>
      </c>
      <c r="X3083" s="41" t="str">
        <f t="shared" si="265"/>
        <v/>
      </c>
    </row>
    <row r="3084" s="32" customFormat="1" hidden="1" customHeight="1" spans="1:24">
      <c r="A3084" s="34"/>
      <c r="B3084" s="51"/>
      <c r="C3084" s="51"/>
      <c r="D3084" s="52"/>
      <c r="E3084" s="53"/>
      <c r="F3084" s="54"/>
      <c r="G3084" s="54"/>
      <c r="H3084" s="54"/>
      <c r="I3084" s="66"/>
      <c r="J3084" s="54"/>
      <c r="K3084" s="54"/>
      <c r="L3084" s="54"/>
      <c r="M3084" s="97" t="str">
        <f t="shared" si="262"/>
        <v/>
      </c>
      <c r="N3084" s="70"/>
      <c r="O3084" s="71" t="str">
        <f t="shared" si="266"/>
        <v/>
      </c>
      <c r="P3084" s="66"/>
      <c r="Q3084" s="66"/>
      <c r="R3084" s="54"/>
      <c r="S3084" s="82"/>
      <c r="T3084" s="83" t="str">
        <f t="shared" si="263"/>
        <v/>
      </c>
      <c r="U3084" s="10"/>
      <c r="V3084" s="41">
        <f>IF(AND(Q3084&lt;&gt;"",RIGHT(Q3084,3)&lt;&gt;""),IF(COUNTIF($Q$6:Q3084,Q3084)=1,1,0),0)</f>
        <v>0</v>
      </c>
      <c r="W3084" s="41" t="str">
        <f t="shared" si="264"/>
        <v/>
      </c>
      <c r="X3084" s="41" t="str">
        <f t="shared" si="265"/>
        <v/>
      </c>
    </row>
    <row r="3085" s="32" customFormat="1" hidden="1" customHeight="1" spans="1:24">
      <c r="A3085" s="34"/>
      <c r="B3085" s="51"/>
      <c r="C3085" s="51"/>
      <c r="D3085" s="52"/>
      <c r="E3085" s="53"/>
      <c r="F3085" s="54"/>
      <c r="G3085" s="54"/>
      <c r="H3085" s="54"/>
      <c r="I3085" s="66"/>
      <c r="J3085" s="54"/>
      <c r="K3085" s="54"/>
      <c r="L3085" s="54"/>
      <c r="M3085" s="97" t="str">
        <f t="shared" si="262"/>
        <v/>
      </c>
      <c r="N3085" s="70"/>
      <c r="O3085" s="71" t="str">
        <f t="shared" si="266"/>
        <v/>
      </c>
      <c r="P3085" s="66"/>
      <c r="Q3085" s="66"/>
      <c r="R3085" s="54"/>
      <c r="S3085" s="82"/>
      <c r="T3085" s="83" t="str">
        <f t="shared" si="263"/>
        <v/>
      </c>
      <c r="U3085" s="10"/>
      <c r="V3085" s="41">
        <f>IF(AND(Q3085&lt;&gt;"",RIGHT(Q3085,3)&lt;&gt;""),IF(COUNTIF($Q$6:Q3085,Q3085)=1,1,0),0)</f>
        <v>0</v>
      </c>
      <c r="W3085" s="41" t="str">
        <f t="shared" si="264"/>
        <v/>
      </c>
      <c r="X3085" s="41" t="str">
        <f t="shared" si="265"/>
        <v/>
      </c>
    </row>
    <row r="3086" s="32" customFormat="1" hidden="1" customHeight="1" spans="1:24">
      <c r="A3086" s="34"/>
      <c r="B3086" s="51"/>
      <c r="C3086" s="51"/>
      <c r="D3086" s="52"/>
      <c r="E3086" s="53"/>
      <c r="F3086" s="54"/>
      <c r="G3086" s="54"/>
      <c r="H3086" s="54"/>
      <c r="I3086" s="66"/>
      <c r="J3086" s="54"/>
      <c r="K3086" s="54"/>
      <c r="L3086" s="54"/>
      <c r="M3086" s="97" t="str">
        <f t="shared" si="262"/>
        <v/>
      </c>
      <c r="N3086" s="70"/>
      <c r="O3086" s="71" t="str">
        <f t="shared" si="266"/>
        <v/>
      </c>
      <c r="P3086" s="66"/>
      <c r="Q3086" s="66"/>
      <c r="R3086" s="54"/>
      <c r="S3086" s="82"/>
      <c r="T3086" s="83" t="str">
        <f t="shared" si="263"/>
        <v/>
      </c>
      <c r="U3086" s="10"/>
      <c r="V3086" s="41">
        <f>IF(AND(Q3086&lt;&gt;"",RIGHT(Q3086,3)&lt;&gt;""),IF(COUNTIF($Q$6:Q3086,Q3086)=1,1,0),0)</f>
        <v>0</v>
      </c>
      <c r="W3086" s="41" t="str">
        <f t="shared" si="264"/>
        <v/>
      </c>
      <c r="X3086" s="41" t="str">
        <f t="shared" si="265"/>
        <v/>
      </c>
    </row>
    <row r="3087" s="32" customFormat="1" hidden="1" customHeight="1" spans="1:24">
      <c r="A3087" s="34"/>
      <c r="B3087" s="51"/>
      <c r="C3087" s="51"/>
      <c r="D3087" s="52"/>
      <c r="E3087" s="53"/>
      <c r="F3087" s="54"/>
      <c r="G3087" s="54"/>
      <c r="H3087" s="54"/>
      <c r="I3087" s="66"/>
      <c r="J3087" s="54"/>
      <c r="K3087" s="54"/>
      <c r="L3087" s="54"/>
      <c r="M3087" s="97" t="str">
        <f t="shared" si="262"/>
        <v/>
      </c>
      <c r="N3087" s="70"/>
      <c r="O3087" s="71" t="str">
        <f t="shared" si="266"/>
        <v/>
      </c>
      <c r="P3087" s="66"/>
      <c r="Q3087" s="66"/>
      <c r="R3087" s="54"/>
      <c r="S3087" s="82"/>
      <c r="T3087" s="83" t="str">
        <f t="shared" si="263"/>
        <v/>
      </c>
      <c r="U3087" s="10"/>
      <c r="V3087" s="41">
        <f>IF(AND(Q3087&lt;&gt;"",RIGHT(Q3087,3)&lt;&gt;""),IF(COUNTIF($Q$6:Q3087,Q3087)=1,1,0),0)</f>
        <v>0</v>
      </c>
      <c r="W3087" s="41" t="str">
        <f t="shared" si="264"/>
        <v/>
      </c>
      <c r="X3087" s="41" t="str">
        <f t="shared" si="265"/>
        <v/>
      </c>
    </row>
    <row r="3088" s="32" customFormat="1" hidden="1" customHeight="1" spans="1:24">
      <c r="A3088" s="34"/>
      <c r="B3088" s="51"/>
      <c r="C3088" s="51"/>
      <c r="D3088" s="52"/>
      <c r="E3088" s="53"/>
      <c r="F3088" s="54"/>
      <c r="G3088" s="54"/>
      <c r="H3088" s="54"/>
      <c r="I3088" s="66"/>
      <c r="J3088" s="54"/>
      <c r="K3088" s="54"/>
      <c r="L3088" s="54"/>
      <c r="M3088" s="97" t="str">
        <f t="shared" si="262"/>
        <v/>
      </c>
      <c r="N3088" s="70"/>
      <c r="O3088" s="71" t="str">
        <f t="shared" si="266"/>
        <v/>
      </c>
      <c r="P3088" s="66"/>
      <c r="Q3088" s="66"/>
      <c r="R3088" s="54"/>
      <c r="S3088" s="82"/>
      <c r="T3088" s="83" t="str">
        <f t="shared" si="263"/>
        <v/>
      </c>
      <c r="U3088" s="10"/>
      <c r="V3088" s="41">
        <f>IF(AND(Q3088&lt;&gt;"",RIGHT(Q3088,3)&lt;&gt;""),IF(COUNTIF($Q$6:Q3088,Q3088)=1,1,0),0)</f>
        <v>0</v>
      </c>
      <c r="W3088" s="41" t="str">
        <f t="shared" si="264"/>
        <v/>
      </c>
      <c r="X3088" s="41" t="str">
        <f t="shared" si="265"/>
        <v/>
      </c>
    </row>
    <row r="3089" s="32" customFormat="1" hidden="1" customHeight="1" spans="1:24">
      <c r="A3089" s="34"/>
      <c r="B3089" s="51"/>
      <c r="C3089" s="51"/>
      <c r="D3089" s="52"/>
      <c r="E3089" s="53"/>
      <c r="F3089" s="54"/>
      <c r="G3089" s="54"/>
      <c r="H3089" s="54"/>
      <c r="I3089" s="66"/>
      <c r="J3089" s="54"/>
      <c r="K3089" s="54"/>
      <c r="L3089" s="54"/>
      <c r="M3089" s="97" t="str">
        <f t="shared" si="262"/>
        <v/>
      </c>
      <c r="N3089" s="70"/>
      <c r="O3089" s="71" t="str">
        <f t="shared" si="266"/>
        <v/>
      </c>
      <c r="P3089" s="66"/>
      <c r="Q3089" s="66"/>
      <c r="R3089" s="54"/>
      <c r="S3089" s="82"/>
      <c r="T3089" s="83" t="str">
        <f t="shared" si="263"/>
        <v/>
      </c>
      <c r="U3089" s="10"/>
      <c r="V3089" s="41">
        <f>IF(AND(Q3089&lt;&gt;"",RIGHT(Q3089,3)&lt;&gt;""),IF(COUNTIF($Q$6:Q3089,Q3089)=1,1,0),0)</f>
        <v>0</v>
      </c>
      <c r="W3089" s="41" t="str">
        <f t="shared" si="264"/>
        <v/>
      </c>
      <c r="X3089" s="41" t="str">
        <f t="shared" si="265"/>
        <v/>
      </c>
    </row>
    <row r="3090" s="32" customFormat="1" hidden="1" customHeight="1" spans="1:24">
      <c r="A3090" s="34"/>
      <c r="B3090" s="51"/>
      <c r="C3090" s="51"/>
      <c r="D3090" s="52"/>
      <c r="E3090" s="53"/>
      <c r="F3090" s="54"/>
      <c r="G3090" s="54"/>
      <c r="H3090" s="54"/>
      <c r="I3090" s="66"/>
      <c r="J3090" s="54"/>
      <c r="K3090" s="54"/>
      <c r="L3090" s="54"/>
      <c r="M3090" s="97" t="str">
        <f t="shared" si="262"/>
        <v/>
      </c>
      <c r="N3090" s="70"/>
      <c r="O3090" s="71" t="str">
        <f t="shared" si="266"/>
        <v/>
      </c>
      <c r="P3090" s="66"/>
      <c r="Q3090" s="66"/>
      <c r="R3090" s="54"/>
      <c r="S3090" s="82"/>
      <c r="T3090" s="83" t="str">
        <f t="shared" si="263"/>
        <v/>
      </c>
      <c r="U3090" s="10"/>
      <c r="V3090" s="41">
        <f>IF(AND(Q3090&lt;&gt;"",RIGHT(Q3090,3)&lt;&gt;""),IF(COUNTIF($Q$6:Q3090,Q3090)=1,1,0),0)</f>
        <v>0</v>
      </c>
      <c r="W3090" s="41" t="str">
        <f t="shared" si="264"/>
        <v/>
      </c>
      <c r="X3090" s="41" t="str">
        <f t="shared" si="265"/>
        <v/>
      </c>
    </row>
    <row r="3091" s="32" customFormat="1" hidden="1" customHeight="1" spans="1:24">
      <c r="A3091" s="34"/>
      <c r="B3091" s="51"/>
      <c r="C3091" s="51"/>
      <c r="D3091" s="52"/>
      <c r="E3091" s="53"/>
      <c r="F3091" s="54"/>
      <c r="G3091" s="54"/>
      <c r="H3091" s="54"/>
      <c r="I3091" s="66"/>
      <c r="J3091" s="54"/>
      <c r="K3091" s="54"/>
      <c r="L3091" s="54"/>
      <c r="M3091" s="97" t="str">
        <f t="shared" si="262"/>
        <v/>
      </c>
      <c r="N3091" s="70"/>
      <c r="O3091" s="71" t="str">
        <f t="shared" si="266"/>
        <v/>
      </c>
      <c r="P3091" s="66"/>
      <c r="Q3091" s="66"/>
      <c r="R3091" s="54"/>
      <c r="S3091" s="82"/>
      <c r="T3091" s="83" t="str">
        <f t="shared" si="263"/>
        <v/>
      </c>
      <c r="U3091" s="10"/>
      <c r="V3091" s="41">
        <f>IF(AND(Q3091&lt;&gt;"",RIGHT(Q3091,3)&lt;&gt;""),IF(COUNTIF($Q$6:Q3091,Q3091)=1,1,0),0)</f>
        <v>0</v>
      </c>
      <c r="W3091" s="41" t="str">
        <f t="shared" si="264"/>
        <v/>
      </c>
      <c r="X3091" s="41" t="str">
        <f t="shared" si="265"/>
        <v/>
      </c>
    </row>
    <row r="3092" s="32" customFormat="1" hidden="1" customHeight="1" spans="1:24">
      <c r="A3092" s="34"/>
      <c r="B3092" s="51"/>
      <c r="C3092" s="51"/>
      <c r="D3092" s="52"/>
      <c r="E3092" s="53"/>
      <c r="F3092" s="54"/>
      <c r="G3092" s="54"/>
      <c r="H3092" s="54"/>
      <c r="I3092" s="66"/>
      <c r="J3092" s="54"/>
      <c r="K3092" s="54"/>
      <c r="L3092" s="54"/>
      <c r="M3092" s="97" t="str">
        <f t="shared" si="262"/>
        <v/>
      </c>
      <c r="N3092" s="70"/>
      <c r="O3092" s="71" t="str">
        <f t="shared" si="266"/>
        <v/>
      </c>
      <c r="P3092" s="66"/>
      <c r="Q3092" s="66"/>
      <c r="R3092" s="54"/>
      <c r="S3092" s="82"/>
      <c r="T3092" s="83" t="str">
        <f t="shared" si="263"/>
        <v/>
      </c>
      <c r="U3092" s="10"/>
      <c r="V3092" s="41">
        <f>IF(AND(Q3092&lt;&gt;"",RIGHT(Q3092,3)&lt;&gt;""),IF(COUNTIF($Q$6:Q3092,Q3092)=1,1,0),0)</f>
        <v>0</v>
      </c>
      <c r="W3092" s="41" t="str">
        <f t="shared" si="264"/>
        <v/>
      </c>
      <c r="X3092" s="41" t="str">
        <f t="shared" si="265"/>
        <v/>
      </c>
    </row>
    <row r="3093" s="32" customFormat="1" hidden="1" customHeight="1" spans="1:24">
      <c r="A3093" s="34"/>
      <c r="B3093" s="51"/>
      <c r="C3093" s="51"/>
      <c r="D3093" s="52"/>
      <c r="E3093" s="53"/>
      <c r="F3093" s="54"/>
      <c r="G3093" s="54"/>
      <c r="H3093" s="54"/>
      <c r="I3093" s="66"/>
      <c r="J3093" s="54"/>
      <c r="K3093" s="54"/>
      <c r="L3093" s="54"/>
      <c r="M3093" s="97" t="str">
        <f t="shared" si="262"/>
        <v/>
      </c>
      <c r="N3093" s="70"/>
      <c r="O3093" s="71" t="str">
        <f t="shared" si="266"/>
        <v/>
      </c>
      <c r="P3093" s="66"/>
      <c r="Q3093" s="66"/>
      <c r="R3093" s="54"/>
      <c r="S3093" s="82"/>
      <c r="T3093" s="83" t="str">
        <f t="shared" si="263"/>
        <v/>
      </c>
      <c r="U3093" s="10"/>
      <c r="V3093" s="41">
        <f>IF(AND(Q3093&lt;&gt;"",RIGHT(Q3093,3)&lt;&gt;""),IF(COUNTIF($Q$6:Q3093,Q3093)=1,1,0),0)</f>
        <v>0</v>
      </c>
      <c r="W3093" s="41" t="str">
        <f t="shared" si="264"/>
        <v/>
      </c>
      <c r="X3093" s="41" t="str">
        <f t="shared" si="265"/>
        <v/>
      </c>
    </row>
    <row r="3094" s="32" customFormat="1" hidden="1" customHeight="1" spans="1:24">
      <c r="A3094" s="34"/>
      <c r="B3094" s="51"/>
      <c r="C3094" s="51"/>
      <c r="D3094" s="52"/>
      <c r="E3094" s="53"/>
      <c r="F3094" s="54"/>
      <c r="G3094" s="54"/>
      <c r="H3094" s="54"/>
      <c r="I3094" s="66"/>
      <c r="J3094" s="54"/>
      <c r="K3094" s="54"/>
      <c r="L3094" s="54"/>
      <c r="M3094" s="97" t="str">
        <f t="shared" si="262"/>
        <v/>
      </c>
      <c r="N3094" s="70"/>
      <c r="O3094" s="71" t="str">
        <f t="shared" si="266"/>
        <v/>
      </c>
      <c r="P3094" s="66"/>
      <c r="Q3094" s="66"/>
      <c r="R3094" s="54"/>
      <c r="S3094" s="82"/>
      <c r="T3094" s="83" t="str">
        <f t="shared" si="263"/>
        <v/>
      </c>
      <c r="U3094" s="10"/>
      <c r="V3094" s="41">
        <f>IF(AND(Q3094&lt;&gt;"",RIGHT(Q3094,3)&lt;&gt;""),IF(COUNTIF($Q$6:Q3094,Q3094)=1,1,0),0)</f>
        <v>0</v>
      </c>
      <c r="W3094" s="41" t="str">
        <f t="shared" si="264"/>
        <v/>
      </c>
      <c r="X3094" s="41" t="str">
        <f t="shared" si="265"/>
        <v/>
      </c>
    </row>
    <row r="3095" s="32" customFormat="1" hidden="1" customHeight="1" spans="1:24">
      <c r="A3095" s="34"/>
      <c r="B3095" s="51"/>
      <c r="C3095" s="51"/>
      <c r="D3095" s="52"/>
      <c r="E3095" s="53"/>
      <c r="F3095" s="54"/>
      <c r="G3095" s="54"/>
      <c r="H3095" s="54"/>
      <c r="I3095" s="66"/>
      <c r="J3095" s="54"/>
      <c r="K3095" s="54"/>
      <c r="L3095" s="54"/>
      <c r="M3095" s="97" t="str">
        <f t="shared" si="262"/>
        <v/>
      </c>
      <c r="N3095" s="70"/>
      <c r="O3095" s="71" t="str">
        <f t="shared" si="266"/>
        <v/>
      </c>
      <c r="P3095" s="66"/>
      <c r="Q3095" s="66"/>
      <c r="R3095" s="54"/>
      <c r="S3095" s="82"/>
      <c r="T3095" s="83" t="str">
        <f t="shared" si="263"/>
        <v/>
      </c>
      <c r="U3095" s="10"/>
      <c r="V3095" s="41">
        <f>IF(AND(Q3095&lt;&gt;"",RIGHT(Q3095,3)&lt;&gt;""),IF(COUNTIF($Q$6:Q3095,Q3095)=1,1,0),0)</f>
        <v>0</v>
      </c>
      <c r="W3095" s="41" t="str">
        <f t="shared" si="264"/>
        <v/>
      </c>
      <c r="X3095" s="41" t="str">
        <f t="shared" si="265"/>
        <v/>
      </c>
    </row>
    <row r="3096" s="32" customFormat="1" hidden="1" customHeight="1" spans="1:24">
      <c r="A3096" s="34"/>
      <c r="B3096" s="51"/>
      <c r="C3096" s="51"/>
      <c r="D3096" s="52"/>
      <c r="E3096" s="53"/>
      <c r="F3096" s="54"/>
      <c r="G3096" s="54"/>
      <c r="H3096" s="54"/>
      <c r="I3096" s="66"/>
      <c r="J3096" s="54"/>
      <c r="K3096" s="54"/>
      <c r="L3096" s="54"/>
      <c r="M3096" s="97" t="str">
        <f t="shared" si="262"/>
        <v/>
      </c>
      <c r="N3096" s="70"/>
      <c r="O3096" s="71" t="str">
        <f t="shared" si="266"/>
        <v/>
      </c>
      <c r="P3096" s="66"/>
      <c r="Q3096" s="66"/>
      <c r="R3096" s="54"/>
      <c r="S3096" s="82"/>
      <c r="T3096" s="83" t="str">
        <f t="shared" si="263"/>
        <v/>
      </c>
      <c r="U3096" s="10"/>
      <c r="V3096" s="41">
        <f>IF(AND(Q3096&lt;&gt;"",RIGHT(Q3096,3)&lt;&gt;""),IF(COUNTIF($Q$6:Q3096,Q3096)=1,1,0),0)</f>
        <v>0</v>
      </c>
      <c r="W3096" s="41" t="str">
        <f t="shared" si="264"/>
        <v/>
      </c>
      <c r="X3096" s="41" t="str">
        <f t="shared" si="265"/>
        <v/>
      </c>
    </row>
    <row r="3097" s="32" customFormat="1" hidden="1" customHeight="1" spans="1:24">
      <c r="A3097" s="34"/>
      <c r="B3097" s="51"/>
      <c r="C3097" s="51"/>
      <c r="D3097" s="52"/>
      <c r="E3097" s="53"/>
      <c r="F3097" s="54"/>
      <c r="G3097" s="54"/>
      <c r="H3097" s="54"/>
      <c r="I3097" s="66"/>
      <c r="J3097" s="54"/>
      <c r="K3097" s="54"/>
      <c r="L3097" s="54"/>
      <c r="M3097" s="97" t="str">
        <f t="shared" si="262"/>
        <v/>
      </c>
      <c r="N3097" s="70"/>
      <c r="O3097" s="71" t="str">
        <f t="shared" si="266"/>
        <v/>
      </c>
      <c r="P3097" s="66"/>
      <c r="Q3097" s="66"/>
      <c r="R3097" s="54"/>
      <c r="S3097" s="82"/>
      <c r="T3097" s="83" t="str">
        <f t="shared" si="263"/>
        <v/>
      </c>
      <c r="U3097" s="10"/>
      <c r="V3097" s="41">
        <f>IF(AND(Q3097&lt;&gt;"",RIGHT(Q3097,3)&lt;&gt;""),IF(COUNTIF($Q$6:Q3097,Q3097)=1,1,0),0)</f>
        <v>0</v>
      </c>
      <c r="W3097" s="41" t="str">
        <f t="shared" si="264"/>
        <v/>
      </c>
      <c r="X3097" s="41" t="str">
        <f t="shared" si="265"/>
        <v/>
      </c>
    </row>
    <row r="3098" s="32" customFormat="1" hidden="1" customHeight="1" spans="1:24">
      <c r="A3098" s="34"/>
      <c r="B3098" s="51"/>
      <c r="C3098" s="51"/>
      <c r="D3098" s="52"/>
      <c r="E3098" s="53"/>
      <c r="F3098" s="54"/>
      <c r="G3098" s="54"/>
      <c r="H3098" s="54"/>
      <c r="I3098" s="66"/>
      <c r="J3098" s="54"/>
      <c r="K3098" s="54"/>
      <c r="L3098" s="54"/>
      <c r="M3098" s="97" t="str">
        <f t="shared" si="262"/>
        <v/>
      </c>
      <c r="N3098" s="70"/>
      <c r="O3098" s="71" t="str">
        <f t="shared" si="266"/>
        <v/>
      </c>
      <c r="P3098" s="66"/>
      <c r="Q3098" s="66"/>
      <c r="R3098" s="54"/>
      <c r="S3098" s="82"/>
      <c r="T3098" s="83" t="str">
        <f t="shared" si="263"/>
        <v/>
      </c>
      <c r="U3098" s="10"/>
      <c r="V3098" s="41">
        <f>IF(AND(Q3098&lt;&gt;"",RIGHT(Q3098,3)&lt;&gt;""),IF(COUNTIF($Q$6:Q3098,Q3098)=1,1,0),0)</f>
        <v>0</v>
      </c>
      <c r="W3098" s="41" t="str">
        <f t="shared" si="264"/>
        <v/>
      </c>
      <c r="X3098" s="41" t="str">
        <f t="shared" si="265"/>
        <v/>
      </c>
    </row>
    <row r="3099" s="32" customFormat="1" hidden="1" customHeight="1" spans="1:24">
      <c r="A3099" s="34"/>
      <c r="B3099" s="51"/>
      <c r="C3099" s="51"/>
      <c r="D3099" s="52"/>
      <c r="E3099" s="53"/>
      <c r="F3099" s="54"/>
      <c r="G3099" s="54"/>
      <c r="H3099" s="54"/>
      <c r="I3099" s="66"/>
      <c r="J3099" s="54"/>
      <c r="K3099" s="54"/>
      <c r="L3099" s="54"/>
      <c r="M3099" s="97" t="str">
        <f t="shared" si="262"/>
        <v/>
      </c>
      <c r="N3099" s="70"/>
      <c r="O3099" s="71" t="str">
        <f t="shared" si="266"/>
        <v/>
      </c>
      <c r="P3099" s="66"/>
      <c r="Q3099" s="66"/>
      <c r="R3099" s="54"/>
      <c r="S3099" s="82"/>
      <c r="T3099" s="83" t="str">
        <f t="shared" si="263"/>
        <v/>
      </c>
      <c r="U3099" s="10"/>
      <c r="V3099" s="41">
        <f>IF(AND(Q3099&lt;&gt;"",RIGHT(Q3099,3)&lt;&gt;""),IF(COUNTIF($Q$6:Q3099,Q3099)=1,1,0),0)</f>
        <v>0</v>
      </c>
      <c r="W3099" s="41" t="str">
        <f t="shared" si="264"/>
        <v/>
      </c>
      <c r="X3099" s="41" t="str">
        <f t="shared" si="265"/>
        <v/>
      </c>
    </row>
    <row r="3100" s="32" customFormat="1" hidden="1" customHeight="1" spans="1:24">
      <c r="A3100" s="34"/>
      <c r="B3100" s="51"/>
      <c r="C3100" s="51"/>
      <c r="D3100" s="52"/>
      <c r="E3100" s="53"/>
      <c r="F3100" s="54"/>
      <c r="G3100" s="54"/>
      <c r="H3100" s="54"/>
      <c r="I3100" s="66"/>
      <c r="J3100" s="54"/>
      <c r="K3100" s="54"/>
      <c r="L3100" s="54"/>
      <c r="M3100" s="97" t="str">
        <f t="shared" si="262"/>
        <v/>
      </c>
      <c r="N3100" s="70"/>
      <c r="O3100" s="71" t="str">
        <f t="shared" si="266"/>
        <v/>
      </c>
      <c r="P3100" s="66"/>
      <c r="Q3100" s="66"/>
      <c r="R3100" s="54"/>
      <c r="S3100" s="82"/>
      <c r="T3100" s="83" t="str">
        <f t="shared" si="263"/>
        <v/>
      </c>
      <c r="U3100" s="10"/>
      <c r="V3100" s="41">
        <f>IF(AND(Q3100&lt;&gt;"",RIGHT(Q3100,3)&lt;&gt;""),IF(COUNTIF($Q$6:Q3100,Q3100)=1,1,0),0)</f>
        <v>0</v>
      </c>
      <c r="W3100" s="41" t="str">
        <f t="shared" si="264"/>
        <v/>
      </c>
      <c r="X3100" s="41" t="str">
        <f t="shared" si="265"/>
        <v/>
      </c>
    </row>
    <row r="3101" s="32" customFormat="1" hidden="1" customHeight="1" spans="1:24">
      <c r="A3101" s="34"/>
      <c r="B3101" s="51"/>
      <c r="C3101" s="51"/>
      <c r="D3101" s="52"/>
      <c r="E3101" s="53"/>
      <c r="F3101" s="54"/>
      <c r="G3101" s="54"/>
      <c r="H3101" s="54"/>
      <c r="I3101" s="66"/>
      <c r="J3101" s="54"/>
      <c r="K3101" s="54"/>
      <c r="L3101" s="54"/>
      <c r="M3101" s="97" t="str">
        <f t="shared" si="262"/>
        <v/>
      </c>
      <c r="N3101" s="70"/>
      <c r="O3101" s="71" t="str">
        <f t="shared" si="266"/>
        <v/>
      </c>
      <c r="P3101" s="66"/>
      <c r="Q3101" s="66"/>
      <c r="R3101" s="54"/>
      <c r="S3101" s="82"/>
      <c r="T3101" s="83" t="str">
        <f t="shared" si="263"/>
        <v/>
      </c>
      <c r="U3101" s="10"/>
      <c r="V3101" s="41">
        <f>IF(AND(Q3101&lt;&gt;"",RIGHT(Q3101,3)&lt;&gt;""),IF(COUNTIF($Q$6:Q3101,Q3101)=1,1,0),0)</f>
        <v>0</v>
      </c>
      <c r="W3101" s="41" t="str">
        <f t="shared" si="264"/>
        <v/>
      </c>
      <c r="X3101" s="41" t="str">
        <f t="shared" si="265"/>
        <v/>
      </c>
    </row>
    <row r="3102" s="32" customFormat="1" hidden="1" customHeight="1" spans="1:24">
      <c r="A3102" s="34"/>
      <c r="B3102" s="51"/>
      <c r="C3102" s="51"/>
      <c r="D3102" s="52"/>
      <c r="E3102" s="53"/>
      <c r="F3102" s="54"/>
      <c r="G3102" s="54"/>
      <c r="H3102" s="54"/>
      <c r="I3102" s="66"/>
      <c r="J3102" s="54"/>
      <c r="K3102" s="54"/>
      <c r="L3102" s="54"/>
      <c r="M3102" s="97" t="str">
        <f t="shared" si="262"/>
        <v/>
      </c>
      <c r="N3102" s="70"/>
      <c r="O3102" s="71" t="str">
        <f t="shared" si="266"/>
        <v/>
      </c>
      <c r="P3102" s="66"/>
      <c r="Q3102" s="66"/>
      <c r="R3102" s="54"/>
      <c r="S3102" s="82"/>
      <c r="T3102" s="83" t="str">
        <f t="shared" si="263"/>
        <v/>
      </c>
      <c r="U3102" s="10"/>
      <c r="V3102" s="41">
        <f>IF(AND(Q3102&lt;&gt;"",RIGHT(Q3102,3)&lt;&gt;""),IF(COUNTIF($Q$6:Q3102,Q3102)=1,1,0),0)</f>
        <v>0</v>
      </c>
      <c r="W3102" s="41" t="str">
        <f t="shared" si="264"/>
        <v/>
      </c>
      <c r="X3102" s="41" t="str">
        <f t="shared" si="265"/>
        <v/>
      </c>
    </row>
    <row r="3103" s="32" customFormat="1" hidden="1" customHeight="1" spans="1:24">
      <c r="A3103" s="34"/>
      <c r="B3103" s="51"/>
      <c r="C3103" s="51"/>
      <c r="D3103" s="52"/>
      <c r="E3103" s="53"/>
      <c r="F3103" s="54"/>
      <c r="G3103" s="54"/>
      <c r="H3103" s="54"/>
      <c r="I3103" s="66"/>
      <c r="J3103" s="54"/>
      <c r="K3103" s="54"/>
      <c r="L3103" s="54"/>
      <c r="M3103" s="97" t="str">
        <f t="shared" si="262"/>
        <v/>
      </c>
      <c r="N3103" s="70"/>
      <c r="O3103" s="71" t="str">
        <f t="shared" si="266"/>
        <v/>
      </c>
      <c r="P3103" s="66"/>
      <c r="Q3103" s="66"/>
      <c r="R3103" s="54"/>
      <c r="S3103" s="82"/>
      <c r="T3103" s="83" t="str">
        <f t="shared" si="263"/>
        <v/>
      </c>
      <c r="U3103" s="10"/>
      <c r="V3103" s="41">
        <f>IF(AND(Q3103&lt;&gt;"",RIGHT(Q3103,3)&lt;&gt;""),IF(COUNTIF($Q$6:Q3103,Q3103)=1,1,0),0)</f>
        <v>0</v>
      </c>
      <c r="W3103" s="41" t="str">
        <f t="shared" si="264"/>
        <v/>
      </c>
      <c r="X3103" s="41" t="str">
        <f t="shared" si="265"/>
        <v/>
      </c>
    </row>
    <row r="3104" s="32" customFormat="1" hidden="1" customHeight="1" spans="1:24">
      <c r="A3104" s="34"/>
      <c r="B3104" s="51"/>
      <c r="C3104" s="51"/>
      <c r="D3104" s="52"/>
      <c r="E3104" s="53"/>
      <c r="F3104" s="54"/>
      <c r="G3104" s="54"/>
      <c r="H3104" s="54"/>
      <c r="I3104" s="66"/>
      <c r="J3104" s="54"/>
      <c r="K3104" s="54"/>
      <c r="L3104" s="54"/>
      <c r="M3104" s="97" t="str">
        <f t="shared" si="262"/>
        <v/>
      </c>
      <c r="N3104" s="70"/>
      <c r="O3104" s="71" t="str">
        <f t="shared" si="266"/>
        <v/>
      </c>
      <c r="P3104" s="66"/>
      <c r="Q3104" s="66"/>
      <c r="R3104" s="54"/>
      <c r="S3104" s="82"/>
      <c r="T3104" s="83" t="str">
        <f t="shared" si="263"/>
        <v/>
      </c>
      <c r="U3104" s="10"/>
      <c r="V3104" s="41">
        <f>IF(AND(Q3104&lt;&gt;"",RIGHT(Q3104,3)&lt;&gt;""),IF(COUNTIF($Q$6:Q3104,Q3104)=1,1,0),0)</f>
        <v>0</v>
      </c>
      <c r="W3104" s="41" t="str">
        <f t="shared" si="264"/>
        <v/>
      </c>
      <c r="X3104" s="41" t="str">
        <f t="shared" si="265"/>
        <v/>
      </c>
    </row>
    <row r="3105" s="32" customFormat="1" hidden="1" customHeight="1" spans="1:24">
      <c r="A3105" s="34"/>
      <c r="B3105" s="51"/>
      <c r="C3105" s="51"/>
      <c r="D3105" s="52"/>
      <c r="E3105" s="53"/>
      <c r="F3105" s="54"/>
      <c r="G3105" s="54"/>
      <c r="H3105" s="54"/>
      <c r="I3105" s="66"/>
      <c r="J3105" s="54"/>
      <c r="K3105" s="54"/>
      <c r="L3105" s="54"/>
      <c r="M3105" s="97" t="str">
        <f t="shared" si="262"/>
        <v/>
      </c>
      <c r="N3105" s="70"/>
      <c r="O3105" s="71" t="str">
        <f t="shared" si="266"/>
        <v/>
      </c>
      <c r="P3105" s="66"/>
      <c r="Q3105" s="66"/>
      <c r="R3105" s="54"/>
      <c r="S3105" s="82"/>
      <c r="T3105" s="83" t="str">
        <f t="shared" si="263"/>
        <v/>
      </c>
      <c r="U3105" s="10"/>
      <c r="V3105" s="41">
        <f>IF(AND(Q3105&lt;&gt;"",RIGHT(Q3105,3)&lt;&gt;""),IF(COUNTIF($Q$6:Q3105,Q3105)=1,1,0),0)</f>
        <v>0</v>
      </c>
      <c r="W3105" s="41" t="str">
        <f t="shared" si="264"/>
        <v/>
      </c>
      <c r="X3105" s="41" t="str">
        <f t="shared" si="265"/>
        <v/>
      </c>
    </row>
    <row r="3106" s="32" customFormat="1" hidden="1" customHeight="1" spans="1:24">
      <c r="A3106" s="34"/>
      <c r="B3106" s="51"/>
      <c r="C3106" s="51"/>
      <c r="D3106" s="52"/>
      <c r="E3106" s="53"/>
      <c r="F3106" s="54"/>
      <c r="G3106" s="54"/>
      <c r="H3106" s="54"/>
      <c r="I3106" s="66"/>
      <c r="J3106" s="54"/>
      <c r="K3106" s="54"/>
      <c r="L3106" s="54"/>
      <c r="M3106" s="97" t="str">
        <f t="shared" si="262"/>
        <v/>
      </c>
      <c r="N3106" s="70"/>
      <c r="O3106" s="71" t="str">
        <f t="shared" si="266"/>
        <v/>
      </c>
      <c r="P3106" s="66"/>
      <c r="Q3106" s="66"/>
      <c r="R3106" s="54"/>
      <c r="S3106" s="82"/>
      <c r="T3106" s="83" t="str">
        <f t="shared" si="263"/>
        <v/>
      </c>
      <c r="U3106" s="10"/>
      <c r="V3106" s="41">
        <f>IF(AND(Q3106&lt;&gt;"",RIGHT(Q3106,3)&lt;&gt;""),IF(COUNTIF($Q$6:Q3106,Q3106)=1,1,0),0)</f>
        <v>0</v>
      </c>
      <c r="W3106" s="41" t="str">
        <f t="shared" si="264"/>
        <v/>
      </c>
      <c r="X3106" s="41" t="str">
        <f t="shared" si="265"/>
        <v/>
      </c>
    </row>
    <row r="3107" s="32" customFormat="1" hidden="1" customHeight="1" spans="1:24">
      <c r="A3107" s="34"/>
      <c r="B3107" s="51"/>
      <c r="C3107" s="51"/>
      <c r="D3107" s="52"/>
      <c r="E3107" s="53"/>
      <c r="F3107" s="54"/>
      <c r="G3107" s="54"/>
      <c r="H3107" s="54"/>
      <c r="I3107" s="66"/>
      <c r="J3107" s="54"/>
      <c r="K3107" s="54"/>
      <c r="L3107" s="54"/>
      <c r="M3107" s="97" t="str">
        <f t="shared" si="262"/>
        <v/>
      </c>
      <c r="N3107" s="70"/>
      <c r="O3107" s="71" t="str">
        <f t="shared" si="266"/>
        <v/>
      </c>
      <c r="P3107" s="66"/>
      <c r="Q3107" s="66"/>
      <c r="R3107" s="54"/>
      <c r="S3107" s="82"/>
      <c r="T3107" s="83" t="str">
        <f t="shared" si="263"/>
        <v/>
      </c>
      <c r="U3107" s="10"/>
      <c r="V3107" s="41">
        <f>IF(AND(Q3107&lt;&gt;"",RIGHT(Q3107,3)&lt;&gt;""),IF(COUNTIF($Q$6:Q3107,Q3107)=1,1,0),0)</f>
        <v>0</v>
      </c>
      <c r="W3107" s="41" t="str">
        <f t="shared" si="264"/>
        <v/>
      </c>
      <c r="X3107" s="41" t="str">
        <f t="shared" si="265"/>
        <v/>
      </c>
    </row>
    <row r="3108" s="32" customFormat="1" hidden="1" customHeight="1" spans="1:24">
      <c r="A3108" s="34"/>
      <c r="B3108" s="51"/>
      <c r="C3108" s="51"/>
      <c r="D3108" s="52"/>
      <c r="E3108" s="53"/>
      <c r="F3108" s="54"/>
      <c r="G3108" s="54"/>
      <c r="H3108" s="54"/>
      <c r="I3108" s="66"/>
      <c r="J3108" s="54"/>
      <c r="K3108" s="54"/>
      <c r="L3108" s="54"/>
      <c r="M3108" s="97" t="str">
        <f t="shared" ref="M3108:M3171" si="267">IF(L3108="","",HYPERLINK(_xlfn.CONCAT($L$4,L3108,".jpg"),"Open File"))</f>
        <v/>
      </c>
      <c r="N3108" s="70"/>
      <c r="O3108" s="71" t="str">
        <f t="shared" si="266"/>
        <v/>
      </c>
      <c r="P3108" s="66"/>
      <c r="Q3108" s="66"/>
      <c r="R3108" s="54"/>
      <c r="S3108" s="82"/>
      <c r="T3108" s="83" t="str">
        <f t="shared" ref="T3108:T3171" si="268">IF(S3108="","",HYPERLINK(_xlfn.CONCAT($S$4,S3108,".jpg"),"Open File"))</f>
        <v/>
      </c>
      <c r="U3108" s="10"/>
      <c r="V3108" s="41">
        <f>IF(AND(Q3108&lt;&gt;"",RIGHT(Q3108,3)&lt;&gt;""),IF(COUNTIF($Q$6:Q3108,Q3108)=1,1,0),0)</f>
        <v>0</v>
      </c>
      <c r="W3108" s="41" t="str">
        <f t="shared" ref="W3108:W3171" si="269">IF(AND(J3108&lt;&gt;"",K3108&lt;&gt;""),_xlfn.CONCAT(SUBSTITUTE(J3108,"/","."),"-",K3108),"")</f>
        <v/>
      </c>
      <c r="X3108" s="41" t="str">
        <f t="shared" ref="X3108:X3171" si="270">IF(AND(Q3108&lt;&gt;"",R3108&lt;&gt;""),_xlfn.CONCAT(SUBSTITUTE(Q3108,"/","."),"-",R3108),"")</f>
        <v/>
      </c>
    </row>
    <row r="3109" s="32" customFormat="1" hidden="1" customHeight="1" spans="1:24">
      <c r="A3109" s="34"/>
      <c r="B3109" s="51"/>
      <c r="C3109" s="51"/>
      <c r="D3109" s="52"/>
      <c r="E3109" s="53"/>
      <c r="F3109" s="54"/>
      <c r="G3109" s="54"/>
      <c r="H3109" s="54"/>
      <c r="I3109" s="66"/>
      <c r="J3109" s="54"/>
      <c r="K3109" s="54"/>
      <c r="L3109" s="54"/>
      <c r="M3109" s="97" t="str">
        <f t="shared" si="267"/>
        <v/>
      </c>
      <c r="N3109" s="70"/>
      <c r="O3109" s="71" t="str">
        <f t="shared" si="266"/>
        <v/>
      </c>
      <c r="P3109" s="66"/>
      <c r="Q3109" s="66"/>
      <c r="R3109" s="54"/>
      <c r="S3109" s="82"/>
      <c r="T3109" s="83" t="str">
        <f t="shared" si="268"/>
        <v/>
      </c>
      <c r="U3109" s="10"/>
      <c r="V3109" s="41">
        <f>IF(AND(Q3109&lt;&gt;"",RIGHT(Q3109,3)&lt;&gt;""),IF(COUNTIF($Q$6:Q3109,Q3109)=1,1,0),0)</f>
        <v>0</v>
      </c>
      <c r="W3109" s="41" t="str">
        <f t="shared" si="269"/>
        <v/>
      </c>
      <c r="X3109" s="41" t="str">
        <f t="shared" si="270"/>
        <v/>
      </c>
    </row>
    <row r="3110" s="32" customFormat="1" hidden="1" customHeight="1" spans="1:24">
      <c r="A3110" s="34"/>
      <c r="B3110" s="51"/>
      <c r="C3110" s="51"/>
      <c r="D3110" s="52"/>
      <c r="E3110" s="53"/>
      <c r="F3110" s="54"/>
      <c r="G3110" s="54"/>
      <c r="H3110" s="54"/>
      <c r="I3110" s="66"/>
      <c r="J3110" s="54"/>
      <c r="K3110" s="54"/>
      <c r="L3110" s="54"/>
      <c r="M3110" s="97" t="str">
        <f t="shared" si="267"/>
        <v/>
      </c>
      <c r="N3110" s="70"/>
      <c r="O3110" s="71" t="str">
        <f t="shared" si="266"/>
        <v/>
      </c>
      <c r="P3110" s="66"/>
      <c r="Q3110" s="66"/>
      <c r="R3110" s="54"/>
      <c r="S3110" s="82"/>
      <c r="T3110" s="83" t="str">
        <f t="shared" si="268"/>
        <v/>
      </c>
      <c r="U3110" s="10"/>
      <c r="V3110" s="41">
        <f>IF(AND(Q3110&lt;&gt;"",RIGHT(Q3110,3)&lt;&gt;""),IF(COUNTIF($Q$6:Q3110,Q3110)=1,1,0),0)</f>
        <v>0</v>
      </c>
      <c r="W3110" s="41" t="str">
        <f t="shared" si="269"/>
        <v/>
      </c>
      <c r="X3110" s="41" t="str">
        <f t="shared" si="270"/>
        <v/>
      </c>
    </row>
    <row r="3111" s="32" customFormat="1" hidden="1" customHeight="1" spans="1:24">
      <c r="A3111" s="34"/>
      <c r="B3111" s="51"/>
      <c r="C3111" s="51"/>
      <c r="D3111" s="52"/>
      <c r="E3111" s="53"/>
      <c r="F3111" s="54"/>
      <c r="G3111" s="54"/>
      <c r="H3111" s="54"/>
      <c r="I3111" s="66"/>
      <c r="J3111" s="54"/>
      <c r="K3111" s="54"/>
      <c r="L3111" s="54"/>
      <c r="M3111" s="97" t="str">
        <f t="shared" si="267"/>
        <v/>
      </c>
      <c r="N3111" s="70"/>
      <c r="O3111" s="71" t="str">
        <f t="shared" si="266"/>
        <v/>
      </c>
      <c r="P3111" s="66"/>
      <c r="Q3111" s="66"/>
      <c r="R3111" s="54"/>
      <c r="S3111" s="82"/>
      <c r="T3111" s="83" t="str">
        <f t="shared" si="268"/>
        <v/>
      </c>
      <c r="U3111" s="10"/>
      <c r="V3111" s="41">
        <f>IF(AND(Q3111&lt;&gt;"",RIGHT(Q3111,3)&lt;&gt;""),IF(COUNTIF($Q$6:Q3111,Q3111)=1,1,0),0)</f>
        <v>0</v>
      </c>
      <c r="W3111" s="41" t="str">
        <f t="shared" si="269"/>
        <v/>
      </c>
      <c r="X3111" s="41" t="str">
        <f t="shared" si="270"/>
        <v/>
      </c>
    </row>
    <row r="3112" s="32" customFormat="1" hidden="1" customHeight="1" spans="1:24">
      <c r="A3112" s="34"/>
      <c r="B3112" s="51"/>
      <c r="C3112" s="51"/>
      <c r="D3112" s="52"/>
      <c r="E3112" s="53"/>
      <c r="F3112" s="54"/>
      <c r="G3112" s="54"/>
      <c r="H3112" s="54"/>
      <c r="I3112" s="66"/>
      <c r="J3112" s="54"/>
      <c r="K3112" s="54"/>
      <c r="L3112" s="54"/>
      <c r="M3112" s="97" t="str">
        <f t="shared" si="267"/>
        <v/>
      </c>
      <c r="N3112" s="70"/>
      <c r="O3112" s="71" t="str">
        <f t="shared" si="266"/>
        <v/>
      </c>
      <c r="P3112" s="66"/>
      <c r="Q3112" s="66"/>
      <c r="R3112" s="54"/>
      <c r="S3112" s="82"/>
      <c r="T3112" s="83" t="str">
        <f t="shared" si="268"/>
        <v/>
      </c>
      <c r="U3112" s="10"/>
      <c r="V3112" s="41">
        <f>IF(AND(Q3112&lt;&gt;"",RIGHT(Q3112,3)&lt;&gt;""),IF(COUNTIF($Q$6:Q3112,Q3112)=1,1,0),0)</f>
        <v>0</v>
      </c>
      <c r="W3112" s="41" t="str">
        <f t="shared" si="269"/>
        <v/>
      </c>
      <c r="X3112" s="41" t="str">
        <f t="shared" si="270"/>
        <v/>
      </c>
    </row>
    <row r="3113" s="32" customFormat="1" hidden="1" customHeight="1" spans="1:24">
      <c r="A3113" s="34"/>
      <c r="B3113" s="51"/>
      <c r="C3113" s="51"/>
      <c r="D3113" s="52"/>
      <c r="E3113" s="53"/>
      <c r="F3113" s="54"/>
      <c r="G3113" s="54"/>
      <c r="H3113" s="54"/>
      <c r="I3113" s="66"/>
      <c r="J3113" s="54"/>
      <c r="K3113" s="54"/>
      <c r="L3113" s="54"/>
      <c r="M3113" s="97" t="str">
        <f t="shared" si="267"/>
        <v/>
      </c>
      <c r="N3113" s="70"/>
      <c r="O3113" s="71" t="str">
        <f t="shared" si="266"/>
        <v/>
      </c>
      <c r="P3113" s="66"/>
      <c r="Q3113" s="66"/>
      <c r="R3113" s="54"/>
      <c r="S3113" s="82"/>
      <c r="T3113" s="83" t="str">
        <f t="shared" si="268"/>
        <v/>
      </c>
      <c r="U3113" s="10"/>
      <c r="V3113" s="41">
        <f>IF(AND(Q3113&lt;&gt;"",RIGHT(Q3113,3)&lt;&gt;""),IF(COUNTIF($Q$6:Q3113,Q3113)=1,1,0),0)</f>
        <v>0</v>
      </c>
      <c r="W3113" s="41" t="str">
        <f t="shared" si="269"/>
        <v/>
      </c>
      <c r="X3113" s="41" t="str">
        <f t="shared" si="270"/>
        <v/>
      </c>
    </row>
    <row r="3114" s="32" customFormat="1" hidden="1" customHeight="1" spans="1:24">
      <c r="A3114" s="34"/>
      <c r="B3114" s="51"/>
      <c r="C3114" s="51"/>
      <c r="D3114" s="52"/>
      <c r="E3114" s="53"/>
      <c r="F3114" s="54"/>
      <c r="G3114" s="54"/>
      <c r="H3114" s="54"/>
      <c r="I3114" s="66"/>
      <c r="J3114" s="54"/>
      <c r="K3114" s="54"/>
      <c r="L3114" s="54"/>
      <c r="M3114" s="97" t="str">
        <f t="shared" si="267"/>
        <v/>
      </c>
      <c r="N3114" s="70"/>
      <c r="O3114" s="71" t="str">
        <f t="shared" si="266"/>
        <v/>
      </c>
      <c r="P3114" s="66"/>
      <c r="Q3114" s="66"/>
      <c r="R3114" s="54"/>
      <c r="S3114" s="82"/>
      <c r="T3114" s="83" t="str">
        <f t="shared" si="268"/>
        <v/>
      </c>
      <c r="U3114" s="10"/>
      <c r="V3114" s="41">
        <f>IF(AND(Q3114&lt;&gt;"",RIGHT(Q3114,3)&lt;&gt;""),IF(COUNTIF($Q$6:Q3114,Q3114)=1,1,0),0)</f>
        <v>0</v>
      </c>
      <c r="W3114" s="41" t="str">
        <f t="shared" si="269"/>
        <v/>
      </c>
      <c r="X3114" s="41" t="str">
        <f t="shared" si="270"/>
        <v/>
      </c>
    </row>
    <row r="3115" s="32" customFormat="1" hidden="1" customHeight="1" spans="1:24">
      <c r="A3115" s="34"/>
      <c r="B3115" s="51"/>
      <c r="C3115" s="51"/>
      <c r="D3115" s="52"/>
      <c r="E3115" s="53"/>
      <c r="F3115" s="54"/>
      <c r="G3115" s="54"/>
      <c r="H3115" s="54"/>
      <c r="I3115" s="66"/>
      <c r="J3115" s="54"/>
      <c r="K3115" s="54"/>
      <c r="L3115" s="54"/>
      <c r="M3115" s="97" t="str">
        <f t="shared" si="267"/>
        <v/>
      </c>
      <c r="N3115" s="70"/>
      <c r="O3115" s="71" t="str">
        <f t="shared" si="266"/>
        <v/>
      </c>
      <c r="P3115" s="66"/>
      <c r="Q3115" s="66"/>
      <c r="R3115" s="54"/>
      <c r="S3115" s="82"/>
      <c r="T3115" s="83" t="str">
        <f t="shared" si="268"/>
        <v/>
      </c>
      <c r="U3115" s="10"/>
      <c r="V3115" s="41">
        <f>IF(AND(Q3115&lt;&gt;"",RIGHT(Q3115,3)&lt;&gt;""),IF(COUNTIF($Q$6:Q3115,Q3115)=1,1,0),0)</f>
        <v>0</v>
      </c>
      <c r="W3115" s="41" t="str">
        <f t="shared" si="269"/>
        <v/>
      </c>
      <c r="X3115" s="41" t="str">
        <f t="shared" si="270"/>
        <v/>
      </c>
    </row>
    <row r="3116" s="32" customFormat="1" hidden="1" customHeight="1" spans="1:24">
      <c r="A3116" s="34"/>
      <c r="B3116" s="51"/>
      <c r="C3116" s="51"/>
      <c r="D3116" s="52"/>
      <c r="E3116" s="53"/>
      <c r="F3116" s="54"/>
      <c r="G3116" s="54"/>
      <c r="H3116" s="54"/>
      <c r="I3116" s="66"/>
      <c r="J3116" s="54"/>
      <c r="K3116" s="54"/>
      <c r="L3116" s="54"/>
      <c r="M3116" s="97" t="str">
        <f t="shared" si="267"/>
        <v/>
      </c>
      <c r="N3116" s="70"/>
      <c r="O3116" s="71" t="str">
        <f t="shared" si="266"/>
        <v/>
      </c>
      <c r="P3116" s="66"/>
      <c r="Q3116" s="66"/>
      <c r="R3116" s="54"/>
      <c r="S3116" s="82"/>
      <c r="T3116" s="83" t="str">
        <f t="shared" si="268"/>
        <v/>
      </c>
      <c r="U3116" s="10"/>
      <c r="V3116" s="41">
        <f>IF(AND(Q3116&lt;&gt;"",RIGHT(Q3116,3)&lt;&gt;""),IF(COUNTIF($Q$6:Q3116,Q3116)=1,1,0),0)</f>
        <v>0</v>
      </c>
      <c r="W3116" s="41" t="str">
        <f t="shared" si="269"/>
        <v/>
      </c>
      <c r="X3116" s="41" t="str">
        <f t="shared" si="270"/>
        <v/>
      </c>
    </row>
    <row r="3117" s="32" customFormat="1" hidden="1" customHeight="1" spans="1:24">
      <c r="A3117" s="34"/>
      <c r="B3117" s="51"/>
      <c r="C3117" s="51"/>
      <c r="D3117" s="52"/>
      <c r="E3117" s="53"/>
      <c r="F3117" s="54"/>
      <c r="G3117" s="54"/>
      <c r="H3117" s="54"/>
      <c r="I3117" s="66"/>
      <c r="J3117" s="54"/>
      <c r="K3117" s="54"/>
      <c r="L3117" s="54"/>
      <c r="M3117" s="97" t="str">
        <f t="shared" si="267"/>
        <v/>
      </c>
      <c r="N3117" s="70"/>
      <c r="O3117" s="71" t="str">
        <f t="shared" si="266"/>
        <v/>
      </c>
      <c r="P3117" s="66"/>
      <c r="Q3117" s="66"/>
      <c r="R3117" s="54"/>
      <c r="S3117" s="82"/>
      <c r="T3117" s="83" t="str">
        <f t="shared" si="268"/>
        <v/>
      </c>
      <c r="U3117" s="10"/>
      <c r="V3117" s="41">
        <f>IF(AND(Q3117&lt;&gt;"",RIGHT(Q3117,3)&lt;&gt;""),IF(COUNTIF($Q$6:Q3117,Q3117)=1,1,0),0)</f>
        <v>0</v>
      </c>
      <c r="W3117" s="41" t="str">
        <f t="shared" si="269"/>
        <v/>
      </c>
      <c r="X3117" s="41" t="str">
        <f t="shared" si="270"/>
        <v/>
      </c>
    </row>
    <row r="3118" s="32" customFormat="1" hidden="1" customHeight="1" spans="1:24">
      <c r="A3118" s="34"/>
      <c r="B3118" s="51"/>
      <c r="C3118" s="51"/>
      <c r="D3118" s="52"/>
      <c r="E3118" s="53"/>
      <c r="F3118" s="54"/>
      <c r="G3118" s="54"/>
      <c r="H3118" s="54"/>
      <c r="I3118" s="66"/>
      <c r="J3118" s="54"/>
      <c r="K3118" s="54"/>
      <c r="L3118" s="54"/>
      <c r="M3118" s="97" t="str">
        <f t="shared" si="267"/>
        <v/>
      </c>
      <c r="N3118" s="70"/>
      <c r="O3118" s="71" t="str">
        <f t="shared" si="266"/>
        <v/>
      </c>
      <c r="P3118" s="66"/>
      <c r="Q3118" s="66"/>
      <c r="R3118" s="54"/>
      <c r="S3118" s="82"/>
      <c r="T3118" s="83" t="str">
        <f t="shared" si="268"/>
        <v/>
      </c>
      <c r="U3118" s="10"/>
      <c r="V3118" s="41">
        <f>IF(AND(Q3118&lt;&gt;"",RIGHT(Q3118,3)&lt;&gt;""),IF(COUNTIF($Q$6:Q3118,Q3118)=1,1,0),0)</f>
        <v>0</v>
      </c>
      <c r="W3118" s="41" t="str">
        <f t="shared" si="269"/>
        <v/>
      </c>
      <c r="X3118" s="41" t="str">
        <f t="shared" si="270"/>
        <v/>
      </c>
    </row>
    <row r="3119" s="32" customFormat="1" hidden="1" customHeight="1" spans="1:24">
      <c r="A3119" s="34"/>
      <c r="B3119" s="51"/>
      <c r="C3119" s="51"/>
      <c r="D3119" s="52"/>
      <c r="E3119" s="53"/>
      <c r="F3119" s="54"/>
      <c r="G3119" s="54"/>
      <c r="H3119" s="54"/>
      <c r="I3119" s="66"/>
      <c r="J3119" s="54"/>
      <c r="K3119" s="54"/>
      <c r="L3119" s="54"/>
      <c r="M3119" s="97" t="str">
        <f t="shared" si="267"/>
        <v/>
      </c>
      <c r="N3119" s="70"/>
      <c r="O3119" s="71" t="str">
        <f t="shared" si="266"/>
        <v/>
      </c>
      <c r="P3119" s="66"/>
      <c r="Q3119" s="66"/>
      <c r="R3119" s="54"/>
      <c r="S3119" s="82"/>
      <c r="T3119" s="83" t="str">
        <f t="shared" si="268"/>
        <v/>
      </c>
      <c r="U3119" s="10"/>
      <c r="V3119" s="41">
        <f>IF(AND(Q3119&lt;&gt;"",RIGHT(Q3119,3)&lt;&gt;""),IF(COUNTIF($Q$6:Q3119,Q3119)=1,1,0),0)</f>
        <v>0</v>
      </c>
      <c r="W3119" s="41" t="str">
        <f t="shared" si="269"/>
        <v/>
      </c>
      <c r="X3119" s="41" t="str">
        <f t="shared" si="270"/>
        <v/>
      </c>
    </row>
    <row r="3120" s="32" customFormat="1" hidden="1" customHeight="1" spans="1:24">
      <c r="A3120" s="34"/>
      <c r="B3120" s="51"/>
      <c r="C3120" s="51"/>
      <c r="D3120" s="52"/>
      <c r="E3120" s="53"/>
      <c r="F3120" s="54"/>
      <c r="G3120" s="54"/>
      <c r="H3120" s="54"/>
      <c r="I3120" s="66"/>
      <c r="J3120" s="54"/>
      <c r="K3120" s="54"/>
      <c r="L3120" s="54"/>
      <c r="M3120" s="97" t="str">
        <f t="shared" si="267"/>
        <v/>
      </c>
      <c r="N3120" s="70"/>
      <c r="O3120" s="71" t="str">
        <f t="shared" si="266"/>
        <v/>
      </c>
      <c r="P3120" s="66"/>
      <c r="Q3120" s="66"/>
      <c r="R3120" s="54"/>
      <c r="S3120" s="82"/>
      <c r="T3120" s="83" t="str">
        <f t="shared" si="268"/>
        <v/>
      </c>
      <c r="U3120" s="10"/>
      <c r="V3120" s="41">
        <f>IF(AND(Q3120&lt;&gt;"",RIGHT(Q3120,3)&lt;&gt;""),IF(COUNTIF($Q$6:Q3120,Q3120)=1,1,0),0)</f>
        <v>0</v>
      </c>
      <c r="W3120" s="41" t="str">
        <f t="shared" si="269"/>
        <v/>
      </c>
      <c r="X3120" s="41" t="str">
        <f t="shared" si="270"/>
        <v/>
      </c>
    </row>
    <row r="3121" s="32" customFormat="1" hidden="1" customHeight="1" spans="1:24">
      <c r="A3121" s="34"/>
      <c r="B3121" s="51"/>
      <c r="C3121" s="51"/>
      <c r="D3121" s="52"/>
      <c r="E3121" s="53"/>
      <c r="F3121" s="54"/>
      <c r="G3121" s="54"/>
      <c r="H3121" s="54"/>
      <c r="I3121" s="66"/>
      <c r="J3121" s="54"/>
      <c r="K3121" s="54"/>
      <c r="L3121" s="54"/>
      <c r="M3121" s="97" t="str">
        <f t="shared" si="267"/>
        <v/>
      </c>
      <c r="N3121" s="70"/>
      <c r="O3121" s="71" t="str">
        <f t="shared" ref="O3121:O3184" si="271">IF(AND(Q3121&lt;&gt;"",T3121&lt;&gt;""),"PASSIVE",IF(AND(J3121&lt;&gt;"",M3121&lt;&gt;""),"ACTIVE",""))</f>
        <v/>
      </c>
      <c r="P3121" s="66"/>
      <c r="Q3121" s="66"/>
      <c r="R3121" s="54"/>
      <c r="S3121" s="82"/>
      <c r="T3121" s="83" t="str">
        <f t="shared" si="268"/>
        <v/>
      </c>
      <c r="U3121" s="10"/>
      <c r="V3121" s="41">
        <f>IF(AND(Q3121&lt;&gt;"",RIGHT(Q3121,3)&lt;&gt;""),IF(COUNTIF($Q$6:Q3121,Q3121)=1,1,0),0)</f>
        <v>0</v>
      </c>
      <c r="W3121" s="41" t="str">
        <f t="shared" si="269"/>
        <v/>
      </c>
      <c r="X3121" s="41" t="str">
        <f t="shared" si="270"/>
        <v/>
      </c>
    </row>
    <row r="3122" s="32" customFormat="1" hidden="1" customHeight="1" spans="1:24">
      <c r="A3122" s="34"/>
      <c r="B3122" s="51"/>
      <c r="C3122" s="51"/>
      <c r="D3122" s="52"/>
      <c r="E3122" s="53"/>
      <c r="F3122" s="54"/>
      <c r="G3122" s="54"/>
      <c r="H3122" s="54"/>
      <c r="I3122" s="66"/>
      <c r="J3122" s="54"/>
      <c r="K3122" s="54"/>
      <c r="L3122" s="54"/>
      <c r="M3122" s="97" t="str">
        <f t="shared" si="267"/>
        <v/>
      </c>
      <c r="N3122" s="70"/>
      <c r="O3122" s="71" t="str">
        <f t="shared" si="271"/>
        <v/>
      </c>
      <c r="P3122" s="66"/>
      <c r="Q3122" s="66"/>
      <c r="R3122" s="54"/>
      <c r="S3122" s="82"/>
      <c r="T3122" s="83" t="str">
        <f t="shared" si="268"/>
        <v/>
      </c>
      <c r="U3122" s="10"/>
      <c r="V3122" s="41">
        <f>IF(AND(Q3122&lt;&gt;"",RIGHT(Q3122,3)&lt;&gt;""),IF(COUNTIF($Q$6:Q3122,Q3122)=1,1,0),0)</f>
        <v>0</v>
      </c>
      <c r="W3122" s="41" t="str">
        <f t="shared" si="269"/>
        <v/>
      </c>
      <c r="X3122" s="41" t="str">
        <f t="shared" si="270"/>
        <v/>
      </c>
    </row>
    <row r="3123" s="32" customFormat="1" hidden="1" customHeight="1" spans="1:24">
      <c r="A3123" s="34"/>
      <c r="B3123" s="51"/>
      <c r="C3123" s="51"/>
      <c r="D3123" s="52"/>
      <c r="E3123" s="53"/>
      <c r="F3123" s="54"/>
      <c r="G3123" s="54"/>
      <c r="H3123" s="54"/>
      <c r="I3123" s="66"/>
      <c r="J3123" s="54"/>
      <c r="K3123" s="54"/>
      <c r="L3123" s="54"/>
      <c r="M3123" s="97" t="str">
        <f t="shared" si="267"/>
        <v/>
      </c>
      <c r="N3123" s="70"/>
      <c r="O3123" s="71" t="str">
        <f t="shared" si="271"/>
        <v/>
      </c>
      <c r="P3123" s="66"/>
      <c r="Q3123" s="66"/>
      <c r="R3123" s="54"/>
      <c r="S3123" s="82"/>
      <c r="T3123" s="83" t="str">
        <f t="shared" si="268"/>
        <v/>
      </c>
      <c r="U3123" s="10"/>
      <c r="V3123" s="41">
        <f>IF(AND(Q3123&lt;&gt;"",RIGHT(Q3123,3)&lt;&gt;""),IF(COUNTIF($Q$6:Q3123,Q3123)=1,1,0),0)</f>
        <v>0</v>
      </c>
      <c r="W3123" s="41" t="str">
        <f t="shared" si="269"/>
        <v/>
      </c>
      <c r="X3123" s="41" t="str">
        <f t="shared" si="270"/>
        <v/>
      </c>
    </row>
    <row r="3124" s="32" customFormat="1" hidden="1" customHeight="1" spans="1:24">
      <c r="A3124" s="34"/>
      <c r="B3124" s="51"/>
      <c r="C3124" s="51"/>
      <c r="D3124" s="52"/>
      <c r="E3124" s="53"/>
      <c r="F3124" s="54"/>
      <c r="G3124" s="54"/>
      <c r="H3124" s="54"/>
      <c r="I3124" s="66"/>
      <c r="J3124" s="54"/>
      <c r="K3124" s="54"/>
      <c r="L3124" s="54"/>
      <c r="M3124" s="97" t="str">
        <f t="shared" si="267"/>
        <v/>
      </c>
      <c r="N3124" s="70"/>
      <c r="O3124" s="71" t="str">
        <f t="shared" si="271"/>
        <v/>
      </c>
      <c r="P3124" s="66"/>
      <c r="Q3124" s="66"/>
      <c r="R3124" s="54"/>
      <c r="S3124" s="82"/>
      <c r="T3124" s="83" t="str">
        <f t="shared" si="268"/>
        <v/>
      </c>
      <c r="U3124" s="10"/>
      <c r="V3124" s="41">
        <f>IF(AND(Q3124&lt;&gt;"",RIGHT(Q3124,3)&lt;&gt;""),IF(COUNTIF($Q$6:Q3124,Q3124)=1,1,0),0)</f>
        <v>0</v>
      </c>
      <c r="W3124" s="41" t="str">
        <f t="shared" si="269"/>
        <v/>
      </c>
      <c r="X3124" s="41" t="str">
        <f t="shared" si="270"/>
        <v/>
      </c>
    </row>
    <row r="3125" s="32" customFormat="1" hidden="1" customHeight="1" spans="1:24">
      <c r="A3125" s="34"/>
      <c r="B3125" s="51"/>
      <c r="C3125" s="51"/>
      <c r="D3125" s="52"/>
      <c r="E3125" s="53"/>
      <c r="F3125" s="54"/>
      <c r="G3125" s="54"/>
      <c r="H3125" s="54"/>
      <c r="I3125" s="66"/>
      <c r="J3125" s="54"/>
      <c r="K3125" s="54"/>
      <c r="L3125" s="54"/>
      <c r="M3125" s="97" t="str">
        <f t="shared" si="267"/>
        <v/>
      </c>
      <c r="N3125" s="70"/>
      <c r="O3125" s="71" t="str">
        <f t="shared" si="271"/>
        <v/>
      </c>
      <c r="P3125" s="66"/>
      <c r="Q3125" s="66"/>
      <c r="R3125" s="54"/>
      <c r="S3125" s="82"/>
      <c r="T3125" s="83" t="str">
        <f t="shared" si="268"/>
        <v/>
      </c>
      <c r="U3125" s="10"/>
      <c r="V3125" s="41">
        <f>IF(AND(Q3125&lt;&gt;"",RIGHT(Q3125,3)&lt;&gt;""),IF(COUNTIF($Q$6:Q3125,Q3125)=1,1,0),0)</f>
        <v>0</v>
      </c>
      <c r="W3125" s="41" t="str">
        <f t="shared" si="269"/>
        <v/>
      </c>
      <c r="X3125" s="41" t="str">
        <f t="shared" si="270"/>
        <v/>
      </c>
    </row>
    <row r="3126" s="32" customFormat="1" hidden="1" customHeight="1" spans="1:24">
      <c r="A3126" s="34"/>
      <c r="B3126" s="51"/>
      <c r="C3126" s="51"/>
      <c r="D3126" s="52"/>
      <c r="E3126" s="53"/>
      <c r="F3126" s="54"/>
      <c r="G3126" s="54"/>
      <c r="H3126" s="54"/>
      <c r="I3126" s="66"/>
      <c r="J3126" s="54"/>
      <c r="K3126" s="54"/>
      <c r="L3126" s="54"/>
      <c r="M3126" s="97" t="str">
        <f t="shared" si="267"/>
        <v/>
      </c>
      <c r="N3126" s="70"/>
      <c r="O3126" s="71" t="str">
        <f t="shared" si="271"/>
        <v/>
      </c>
      <c r="P3126" s="66"/>
      <c r="Q3126" s="66"/>
      <c r="R3126" s="54"/>
      <c r="S3126" s="82"/>
      <c r="T3126" s="83" t="str">
        <f t="shared" si="268"/>
        <v/>
      </c>
      <c r="U3126" s="10"/>
      <c r="V3126" s="41">
        <f>IF(AND(Q3126&lt;&gt;"",RIGHT(Q3126,3)&lt;&gt;""),IF(COUNTIF($Q$6:Q3126,Q3126)=1,1,0),0)</f>
        <v>0</v>
      </c>
      <c r="W3126" s="41" t="str">
        <f t="shared" si="269"/>
        <v/>
      </c>
      <c r="X3126" s="41" t="str">
        <f t="shared" si="270"/>
        <v/>
      </c>
    </row>
    <row r="3127" s="32" customFormat="1" hidden="1" customHeight="1" spans="1:24">
      <c r="A3127" s="34"/>
      <c r="B3127" s="51"/>
      <c r="C3127" s="51"/>
      <c r="D3127" s="52"/>
      <c r="E3127" s="53"/>
      <c r="F3127" s="54"/>
      <c r="G3127" s="54"/>
      <c r="H3127" s="54"/>
      <c r="I3127" s="66"/>
      <c r="J3127" s="54"/>
      <c r="K3127" s="54"/>
      <c r="L3127" s="54"/>
      <c r="M3127" s="97" t="str">
        <f t="shared" si="267"/>
        <v/>
      </c>
      <c r="N3127" s="70"/>
      <c r="O3127" s="71" t="str">
        <f t="shared" si="271"/>
        <v/>
      </c>
      <c r="P3127" s="66"/>
      <c r="Q3127" s="66"/>
      <c r="R3127" s="54"/>
      <c r="S3127" s="82"/>
      <c r="T3127" s="83" t="str">
        <f t="shared" si="268"/>
        <v/>
      </c>
      <c r="U3127" s="10"/>
      <c r="V3127" s="41">
        <f>IF(AND(Q3127&lt;&gt;"",RIGHT(Q3127,3)&lt;&gt;""),IF(COUNTIF($Q$6:Q3127,Q3127)=1,1,0),0)</f>
        <v>0</v>
      </c>
      <c r="W3127" s="41" t="str">
        <f t="shared" si="269"/>
        <v/>
      </c>
      <c r="X3127" s="41" t="str">
        <f t="shared" si="270"/>
        <v/>
      </c>
    </row>
    <row r="3128" s="32" customFormat="1" hidden="1" customHeight="1" spans="1:24">
      <c r="A3128" s="34"/>
      <c r="B3128" s="51"/>
      <c r="C3128" s="51"/>
      <c r="D3128" s="52"/>
      <c r="E3128" s="53"/>
      <c r="F3128" s="54"/>
      <c r="G3128" s="54"/>
      <c r="H3128" s="54"/>
      <c r="I3128" s="66"/>
      <c r="J3128" s="54"/>
      <c r="K3128" s="54"/>
      <c r="L3128" s="54"/>
      <c r="M3128" s="97" t="str">
        <f t="shared" si="267"/>
        <v/>
      </c>
      <c r="N3128" s="70"/>
      <c r="O3128" s="71" t="str">
        <f t="shared" si="271"/>
        <v/>
      </c>
      <c r="P3128" s="66"/>
      <c r="Q3128" s="66"/>
      <c r="R3128" s="54"/>
      <c r="S3128" s="82"/>
      <c r="T3128" s="83" t="str">
        <f t="shared" si="268"/>
        <v/>
      </c>
      <c r="U3128" s="10"/>
      <c r="V3128" s="41">
        <f>IF(AND(Q3128&lt;&gt;"",RIGHT(Q3128,3)&lt;&gt;""),IF(COUNTIF($Q$6:Q3128,Q3128)=1,1,0),0)</f>
        <v>0</v>
      </c>
      <c r="W3128" s="41" t="str">
        <f t="shared" si="269"/>
        <v/>
      </c>
      <c r="X3128" s="41" t="str">
        <f t="shared" si="270"/>
        <v/>
      </c>
    </row>
    <row r="3129" s="32" customFormat="1" hidden="1" customHeight="1" spans="1:24">
      <c r="A3129" s="34"/>
      <c r="B3129" s="51"/>
      <c r="C3129" s="51"/>
      <c r="D3129" s="52"/>
      <c r="E3129" s="53"/>
      <c r="F3129" s="54"/>
      <c r="G3129" s="54"/>
      <c r="H3129" s="54"/>
      <c r="I3129" s="66"/>
      <c r="J3129" s="54"/>
      <c r="K3129" s="54"/>
      <c r="L3129" s="54"/>
      <c r="M3129" s="97" t="str">
        <f t="shared" si="267"/>
        <v/>
      </c>
      <c r="N3129" s="70"/>
      <c r="O3129" s="71" t="str">
        <f t="shared" si="271"/>
        <v/>
      </c>
      <c r="P3129" s="66"/>
      <c r="Q3129" s="66"/>
      <c r="R3129" s="54"/>
      <c r="S3129" s="82"/>
      <c r="T3129" s="83" t="str">
        <f t="shared" si="268"/>
        <v/>
      </c>
      <c r="U3129" s="10"/>
      <c r="V3129" s="41">
        <f>IF(AND(Q3129&lt;&gt;"",RIGHT(Q3129,3)&lt;&gt;""),IF(COUNTIF($Q$6:Q3129,Q3129)=1,1,0),0)</f>
        <v>0</v>
      </c>
      <c r="W3129" s="41" t="str">
        <f t="shared" si="269"/>
        <v/>
      </c>
      <c r="X3129" s="41" t="str">
        <f t="shared" si="270"/>
        <v/>
      </c>
    </row>
    <row r="3130" s="32" customFormat="1" hidden="1" customHeight="1" spans="1:24">
      <c r="A3130" s="34"/>
      <c r="B3130" s="51"/>
      <c r="C3130" s="51"/>
      <c r="D3130" s="52"/>
      <c r="E3130" s="53"/>
      <c r="F3130" s="54"/>
      <c r="G3130" s="54"/>
      <c r="H3130" s="54"/>
      <c r="I3130" s="66"/>
      <c r="J3130" s="54"/>
      <c r="K3130" s="54"/>
      <c r="L3130" s="54"/>
      <c r="M3130" s="97" t="str">
        <f t="shared" si="267"/>
        <v/>
      </c>
      <c r="N3130" s="70"/>
      <c r="O3130" s="71" t="str">
        <f t="shared" si="271"/>
        <v/>
      </c>
      <c r="P3130" s="66"/>
      <c r="Q3130" s="66"/>
      <c r="R3130" s="54"/>
      <c r="S3130" s="82"/>
      <c r="T3130" s="83" t="str">
        <f t="shared" si="268"/>
        <v/>
      </c>
      <c r="U3130" s="10"/>
      <c r="V3130" s="41">
        <f>IF(AND(Q3130&lt;&gt;"",RIGHT(Q3130,3)&lt;&gt;""),IF(COUNTIF($Q$6:Q3130,Q3130)=1,1,0),0)</f>
        <v>0</v>
      </c>
      <c r="W3130" s="41" t="str">
        <f t="shared" si="269"/>
        <v/>
      </c>
      <c r="X3130" s="41" t="str">
        <f t="shared" si="270"/>
        <v/>
      </c>
    </row>
    <row r="3131" s="32" customFormat="1" hidden="1" customHeight="1" spans="1:24">
      <c r="A3131" s="34"/>
      <c r="B3131" s="51"/>
      <c r="C3131" s="51"/>
      <c r="D3131" s="52"/>
      <c r="E3131" s="53"/>
      <c r="F3131" s="54"/>
      <c r="G3131" s="54"/>
      <c r="H3131" s="54"/>
      <c r="I3131" s="66"/>
      <c r="J3131" s="54"/>
      <c r="K3131" s="54"/>
      <c r="L3131" s="54"/>
      <c r="M3131" s="97" t="str">
        <f t="shared" si="267"/>
        <v/>
      </c>
      <c r="N3131" s="70"/>
      <c r="O3131" s="71" t="str">
        <f t="shared" si="271"/>
        <v/>
      </c>
      <c r="P3131" s="66"/>
      <c r="Q3131" s="66"/>
      <c r="R3131" s="54"/>
      <c r="S3131" s="82"/>
      <c r="T3131" s="83" t="str">
        <f t="shared" si="268"/>
        <v/>
      </c>
      <c r="U3131" s="10"/>
      <c r="V3131" s="41">
        <f>IF(AND(Q3131&lt;&gt;"",RIGHT(Q3131,3)&lt;&gt;""),IF(COUNTIF($Q$6:Q3131,Q3131)=1,1,0),0)</f>
        <v>0</v>
      </c>
      <c r="W3131" s="41" t="str">
        <f t="shared" si="269"/>
        <v/>
      </c>
      <c r="X3131" s="41" t="str">
        <f t="shared" si="270"/>
        <v/>
      </c>
    </row>
    <row r="3132" s="32" customFormat="1" hidden="1" customHeight="1" spans="1:24">
      <c r="A3132" s="34"/>
      <c r="B3132" s="51"/>
      <c r="C3132" s="51"/>
      <c r="D3132" s="52"/>
      <c r="E3132" s="53"/>
      <c r="F3132" s="54"/>
      <c r="G3132" s="54"/>
      <c r="H3132" s="54"/>
      <c r="I3132" s="66"/>
      <c r="J3132" s="54"/>
      <c r="K3132" s="54"/>
      <c r="L3132" s="54"/>
      <c r="M3132" s="97" t="str">
        <f t="shared" si="267"/>
        <v/>
      </c>
      <c r="N3132" s="70"/>
      <c r="O3132" s="71" t="str">
        <f t="shared" si="271"/>
        <v/>
      </c>
      <c r="P3132" s="66"/>
      <c r="Q3132" s="66"/>
      <c r="R3132" s="54"/>
      <c r="S3132" s="82"/>
      <c r="T3132" s="83" t="str">
        <f t="shared" si="268"/>
        <v/>
      </c>
      <c r="U3132" s="10"/>
      <c r="V3132" s="41">
        <f>IF(AND(Q3132&lt;&gt;"",RIGHT(Q3132,3)&lt;&gt;""),IF(COUNTIF($Q$6:Q3132,Q3132)=1,1,0),0)</f>
        <v>0</v>
      </c>
      <c r="W3132" s="41" t="str">
        <f t="shared" si="269"/>
        <v/>
      </c>
      <c r="X3132" s="41" t="str">
        <f t="shared" si="270"/>
        <v/>
      </c>
    </row>
    <row r="3133" s="32" customFormat="1" hidden="1" customHeight="1" spans="1:24">
      <c r="A3133" s="34"/>
      <c r="B3133" s="51"/>
      <c r="C3133" s="51"/>
      <c r="D3133" s="52"/>
      <c r="E3133" s="53"/>
      <c r="F3133" s="54"/>
      <c r="G3133" s="54"/>
      <c r="H3133" s="54"/>
      <c r="I3133" s="66"/>
      <c r="J3133" s="54"/>
      <c r="K3133" s="54"/>
      <c r="L3133" s="54"/>
      <c r="M3133" s="97" t="str">
        <f t="shared" si="267"/>
        <v/>
      </c>
      <c r="N3133" s="70"/>
      <c r="O3133" s="71" t="str">
        <f t="shared" si="271"/>
        <v/>
      </c>
      <c r="P3133" s="66"/>
      <c r="Q3133" s="66"/>
      <c r="R3133" s="54"/>
      <c r="S3133" s="82"/>
      <c r="T3133" s="83" t="str">
        <f t="shared" si="268"/>
        <v/>
      </c>
      <c r="U3133" s="10"/>
      <c r="V3133" s="41">
        <f>IF(AND(Q3133&lt;&gt;"",RIGHT(Q3133,3)&lt;&gt;""),IF(COUNTIF($Q$6:Q3133,Q3133)=1,1,0),0)</f>
        <v>0</v>
      </c>
      <c r="W3133" s="41" t="str">
        <f t="shared" si="269"/>
        <v/>
      </c>
      <c r="X3133" s="41" t="str">
        <f t="shared" si="270"/>
        <v/>
      </c>
    </row>
    <row r="3134" s="32" customFormat="1" hidden="1" customHeight="1" spans="1:24">
      <c r="A3134" s="34"/>
      <c r="B3134" s="51"/>
      <c r="C3134" s="51"/>
      <c r="D3134" s="52"/>
      <c r="E3134" s="53"/>
      <c r="F3134" s="54"/>
      <c r="G3134" s="54"/>
      <c r="H3134" s="54"/>
      <c r="I3134" s="66"/>
      <c r="J3134" s="54"/>
      <c r="K3134" s="54"/>
      <c r="L3134" s="54"/>
      <c r="M3134" s="97" t="str">
        <f t="shared" si="267"/>
        <v/>
      </c>
      <c r="N3134" s="70"/>
      <c r="O3134" s="71" t="str">
        <f t="shared" si="271"/>
        <v/>
      </c>
      <c r="P3134" s="66"/>
      <c r="Q3134" s="66"/>
      <c r="R3134" s="54"/>
      <c r="S3134" s="82"/>
      <c r="T3134" s="83" t="str">
        <f t="shared" si="268"/>
        <v/>
      </c>
      <c r="U3134" s="10"/>
      <c r="V3134" s="41">
        <f>IF(AND(Q3134&lt;&gt;"",RIGHT(Q3134,3)&lt;&gt;""),IF(COUNTIF($Q$6:Q3134,Q3134)=1,1,0),0)</f>
        <v>0</v>
      </c>
      <c r="W3134" s="41" t="str">
        <f t="shared" si="269"/>
        <v/>
      </c>
      <c r="X3134" s="41" t="str">
        <f t="shared" si="270"/>
        <v/>
      </c>
    </row>
    <row r="3135" s="32" customFormat="1" hidden="1" customHeight="1" spans="1:24">
      <c r="A3135" s="34"/>
      <c r="B3135" s="51"/>
      <c r="C3135" s="51"/>
      <c r="D3135" s="52"/>
      <c r="E3135" s="53"/>
      <c r="F3135" s="54"/>
      <c r="G3135" s="54"/>
      <c r="H3135" s="54"/>
      <c r="I3135" s="66"/>
      <c r="J3135" s="54"/>
      <c r="K3135" s="54"/>
      <c r="L3135" s="54"/>
      <c r="M3135" s="97" t="str">
        <f t="shared" si="267"/>
        <v/>
      </c>
      <c r="N3135" s="70"/>
      <c r="O3135" s="71" t="str">
        <f t="shared" si="271"/>
        <v/>
      </c>
      <c r="P3135" s="66"/>
      <c r="Q3135" s="66"/>
      <c r="R3135" s="54"/>
      <c r="S3135" s="82"/>
      <c r="T3135" s="83" t="str">
        <f t="shared" si="268"/>
        <v/>
      </c>
      <c r="U3135" s="10"/>
      <c r="V3135" s="41">
        <f>IF(AND(Q3135&lt;&gt;"",RIGHT(Q3135,3)&lt;&gt;""),IF(COUNTIF($Q$6:Q3135,Q3135)=1,1,0),0)</f>
        <v>0</v>
      </c>
      <c r="W3135" s="41" t="str">
        <f t="shared" si="269"/>
        <v/>
      </c>
      <c r="X3135" s="41" t="str">
        <f t="shared" si="270"/>
        <v/>
      </c>
    </row>
    <row r="3136" s="32" customFormat="1" hidden="1" customHeight="1" spans="1:24">
      <c r="A3136" s="34"/>
      <c r="B3136" s="51"/>
      <c r="C3136" s="51"/>
      <c r="D3136" s="52"/>
      <c r="E3136" s="53"/>
      <c r="F3136" s="54"/>
      <c r="G3136" s="54"/>
      <c r="H3136" s="54"/>
      <c r="I3136" s="66"/>
      <c r="J3136" s="54"/>
      <c r="K3136" s="54"/>
      <c r="L3136" s="54"/>
      <c r="M3136" s="97" t="str">
        <f t="shared" si="267"/>
        <v/>
      </c>
      <c r="N3136" s="70"/>
      <c r="O3136" s="71" t="str">
        <f t="shared" si="271"/>
        <v/>
      </c>
      <c r="P3136" s="66"/>
      <c r="Q3136" s="66"/>
      <c r="R3136" s="54"/>
      <c r="S3136" s="82"/>
      <c r="T3136" s="83" t="str">
        <f t="shared" si="268"/>
        <v/>
      </c>
      <c r="U3136" s="10"/>
      <c r="V3136" s="41">
        <f>IF(AND(Q3136&lt;&gt;"",RIGHT(Q3136,3)&lt;&gt;""),IF(COUNTIF($Q$6:Q3136,Q3136)=1,1,0),0)</f>
        <v>0</v>
      </c>
      <c r="W3136" s="41" t="str">
        <f t="shared" si="269"/>
        <v/>
      </c>
      <c r="X3136" s="41" t="str">
        <f t="shared" si="270"/>
        <v/>
      </c>
    </row>
    <row r="3137" s="32" customFormat="1" hidden="1" customHeight="1" spans="1:24">
      <c r="A3137" s="34"/>
      <c r="B3137" s="51"/>
      <c r="C3137" s="51"/>
      <c r="D3137" s="52"/>
      <c r="E3137" s="53"/>
      <c r="F3137" s="54"/>
      <c r="G3137" s="54"/>
      <c r="H3137" s="54"/>
      <c r="I3137" s="66"/>
      <c r="J3137" s="54"/>
      <c r="K3137" s="54"/>
      <c r="L3137" s="54"/>
      <c r="M3137" s="97" t="str">
        <f t="shared" si="267"/>
        <v/>
      </c>
      <c r="N3137" s="70"/>
      <c r="O3137" s="71" t="str">
        <f t="shared" si="271"/>
        <v/>
      </c>
      <c r="P3137" s="66"/>
      <c r="Q3137" s="66"/>
      <c r="R3137" s="54"/>
      <c r="S3137" s="82"/>
      <c r="T3137" s="83" t="str">
        <f t="shared" si="268"/>
        <v/>
      </c>
      <c r="U3137" s="10"/>
      <c r="V3137" s="41">
        <f>IF(AND(Q3137&lt;&gt;"",RIGHT(Q3137,3)&lt;&gt;""),IF(COUNTIF($Q$6:Q3137,Q3137)=1,1,0),0)</f>
        <v>0</v>
      </c>
      <c r="W3137" s="41" t="str">
        <f t="shared" si="269"/>
        <v/>
      </c>
      <c r="X3137" s="41" t="str">
        <f t="shared" si="270"/>
        <v/>
      </c>
    </row>
    <row r="3138" s="32" customFormat="1" hidden="1" customHeight="1" spans="1:24">
      <c r="A3138" s="34"/>
      <c r="B3138" s="51"/>
      <c r="C3138" s="51"/>
      <c r="D3138" s="52"/>
      <c r="E3138" s="53"/>
      <c r="F3138" s="54"/>
      <c r="G3138" s="54"/>
      <c r="H3138" s="54"/>
      <c r="I3138" s="66"/>
      <c r="J3138" s="54"/>
      <c r="K3138" s="54"/>
      <c r="L3138" s="54"/>
      <c r="M3138" s="97" t="str">
        <f t="shared" si="267"/>
        <v/>
      </c>
      <c r="N3138" s="70"/>
      <c r="O3138" s="71" t="str">
        <f t="shared" si="271"/>
        <v/>
      </c>
      <c r="P3138" s="66"/>
      <c r="Q3138" s="66"/>
      <c r="R3138" s="54"/>
      <c r="S3138" s="82"/>
      <c r="T3138" s="83" t="str">
        <f t="shared" si="268"/>
        <v/>
      </c>
      <c r="U3138" s="10"/>
      <c r="V3138" s="41">
        <f>IF(AND(Q3138&lt;&gt;"",RIGHT(Q3138,3)&lt;&gt;""),IF(COUNTIF($Q$6:Q3138,Q3138)=1,1,0),0)</f>
        <v>0</v>
      </c>
      <c r="W3138" s="41" t="str">
        <f t="shared" si="269"/>
        <v/>
      </c>
      <c r="X3138" s="41" t="str">
        <f t="shared" si="270"/>
        <v/>
      </c>
    </row>
    <row r="3139" s="32" customFormat="1" hidden="1" customHeight="1" spans="1:24">
      <c r="A3139" s="34"/>
      <c r="B3139" s="51"/>
      <c r="C3139" s="51"/>
      <c r="D3139" s="52"/>
      <c r="E3139" s="53"/>
      <c r="F3139" s="54"/>
      <c r="G3139" s="54"/>
      <c r="H3139" s="54"/>
      <c r="I3139" s="66"/>
      <c r="J3139" s="54"/>
      <c r="K3139" s="54"/>
      <c r="L3139" s="54"/>
      <c r="M3139" s="97" t="str">
        <f t="shared" si="267"/>
        <v/>
      </c>
      <c r="N3139" s="70"/>
      <c r="O3139" s="71" t="str">
        <f t="shared" si="271"/>
        <v/>
      </c>
      <c r="P3139" s="66"/>
      <c r="Q3139" s="66"/>
      <c r="R3139" s="54"/>
      <c r="S3139" s="82"/>
      <c r="T3139" s="83" t="str">
        <f t="shared" si="268"/>
        <v/>
      </c>
      <c r="U3139" s="10"/>
      <c r="V3139" s="41">
        <f>IF(AND(Q3139&lt;&gt;"",RIGHT(Q3139,3)&lt;&gt;""),IF(COUNTIF($Q$6:Q3139,Q3139)=1,1,0),0)</f>
        <v>0</v>
      </c>
      <c r="W3139" s="41" t="str">
        <f t="shared" si="269"/>
        <v/>
      </c>
      <c r="X3139" s="41" t="str">
        <f t="shared" si="270"/>
        <v/>
      </c>
    </row>
    <row r="3140" s="32" customFormat="1" hidden="1" customHeight="1" spans="1:24">
      <c r="A3140" s="34"/>
      <c r="B3140" s="51"/>
      <c r="C3140" s="51"/>
      <c r="D3140" s="52"/>
      <c r="E3140" s="53"/>
      <c r="F3140" s="54"/>
      <c r="G3140" s="54"/>
      <c r="H3140" s="54"/>
      <c r="I3140" s="66"/>
      <c r="J3140" s="54"/>
      <c r="K3140" s="54"/>
      <c r="L3140" s="54"/>
      <c r="M3140" s="97" t="str">
        <f t="shared" si="267"/>
        <v/>
      </c>
      <c r="N3140" s="70"/>
      <c r="O3140" s="71" t="str">
        <f t="shared" si="271"/>
        <v/>
      </c>
      <c r="P3140" s="66"/>
      <c r="Q3140" s="66"/>
      <c r="R3140" s="54"/>
      <c r="S3140" s="82"/>
      <c r="T3140" s="83" t="str">
        <f t="shared" si="268"/>
        <v/>
      </c>
      <c r="U3140" s="10"/>
      <c r="V3140" s="41">
        <f>IF(AND(Q3140&lt;&gt;"",RIGHT(Q3140,3)&lt;&gt;""),IF(COUNTIF($Q$6:Q3140,Q3140)=1,1,0),0)</f>
        <v>0</v>
      </c>
      <c r="W3140" s="41" t="str">
        <f t="shared" si="269"/>
        <v/>
      </c>
      <c r="X3140" s="41" t="str">
        <f t="shared" si="270"/>
        <v/>
      </c>
    </row>
    <row r="3141" s="32" customFormat="1" hidden="1" customHeight="1" spans="1:24">
      <c r="A3141" s="34"/>
      <c r="B3141" s="51"/>
      <c r="C3141" s="51"/>
      <c r="D3141" s="52"/>
      <c r="E3141" s="53"/>
      <c r="F3141" s="54"/>
      <c r="G3141" s="54"/>
      <c r="H3141" s="54"/>
      <c r="I3141" s="66"/>
      <c r="J3141" s="54"/>
      <c r="K3141" s="54"/>
      <c r="L3141" s="54"/>
      <c r="M3141" s="97" t="str">
        <f t="shared" si="267"/>
        <v/>
      </c>
      <c r="N3141" s="70"/>
      <c r="O3141" s="71" t="str">
        <f t="shared" si="271"/>
        <v/>
      </c>
      <c r="P3141" s="66"/>
      <c r="Q3141" s="66"/>
      <c r="R3141" s="54"/>
      <c r="S3141" s="82"/>
      <c r="T3141" s="83" t="str">
        <f t="shared" si="268"/>
        <v/>
      </c>
      <c r="U3141" s="10"/>
      <c r="V3141" s="41">
        <f>IF(AND(Q3141&lt;&gt;"",RIGHT(Q3141,3)&lt;&gt;""),IF(COUNTIF($Q$6:Q3141,Q3141)=1,1,0),0)</f>
        <v>0</v>
      </c>
      <c r="W3141" s="41" t="str">
        <f t="shared" si="269"/>
        <v/>
      </c>
      <c r="X3141" s="41" t="str">
        <f t="shared" si="270"/>
        <v/>
      </c>
    </row>
    <row r="3142" s="32" customFormat="1" hidden="1" customHeight="1" spans="1:24">
      <c r="A3142" s="34"/>
      <c r="B3142" s="51"/>
      <c r="C3142" s="51"/>
      <c r="D3142" s="52"/>
      <c r="E3142" s="53"/>
      <c r="F3142" s="54"/>
      <c r="G3142" s="54"/>
      <c r="H3142" s="54"/>
      <c r="I3142" s="66"/>
      <c r="J3142" s="54"/>
      <c r="K3142" s="54"/>
      <c r="L3142" s="54"/>
      <c r="M3142" s="97" t="str">
        <f t="shared" si="267"/>
        <v/>
      </c>
      <c r="N3142" s="70"/>
      <c r="O3142" s="71" t="str">
        <f t="shared" si="271"/>
        <v/>
      </c>
      <c r="P3142" s="66"/>
      <c r="Q3142" s="66"/>
      <c r="R3142" s="54"/>
      <c r="S3142" s="82"/>
      <c r="T3142" s="83" t="str">
        <f t="shared" si="268"/>
        <v/>
      </c>
      <c r="U3142" s="10"/>
      <c r="V3142" s="41">
        <f>IF(AND(Q3142&lt;&gt;"",RIGHT(Q3142,3)&lt;&gt;""),IF(COUNTIF($Q$6:Q3142,Q3142)=1,1,0),0)</f>
        <v>0</v>
      </c>
      <c r="W3142" s="41" t="str">
        <f t="shared" si="269"/>
        <v/>
      </c>
      <c r="X3142" s="41" t="str">
        <f t="shared" si="270"/>
        <v/>
      </c>
    </row>
    <row r="3143" s="32" customFormat="1" hidden="1" customHeight="1" spans="1:24">
      <c r="A3143" s="34"/>
      <c r="B3143" s="51"/>
      <c r="C3143" s="51"/>
      <c r="D3143" s="52"/>
      <c r="E3143" s="53"/>
      <c r="F3143" s="54"/>
      <c r="G3143" s="54"/>
      <c r="H3143" s="54"/>
      <c r="I3143" s="66"/>
      <c r="J3143" s="54"/>
      <c r="K3143" s="54"/>
      <c r="L3143" s="54"/>
      <c r="M3143" s="97" t="str">
        <f t="shared" si="267"/>
        <v/>
      </c>
      <c r="N3143" s="70"/>
      <c r="O3143" s="71" t="str">
        <f t="shared" si="271"/>
        <v/>
      </c>
      <c r="P3143" s="66"/>
      <c r="Q3143" s="66"/>
      <c r="R3143" s="54"/>
      <c r="S3143" s="82"/>
      <c r="T3143" s="83" t="str">
        <f t="shared" si="268"/>
        <v/>
      </c>
      <c r="U3143" s="10"/>
      <c r="V3143" s="41">
        <f>IF(AND(Q3143&lt;&gt;"",RIGHT(Q3143,3)&lt;&gt;""),IF(COUNTIF($Q$6:Q3143,Q3143)=1,1,0),0)</f>
        <v>0</v>
      </c>
      <c r="W3143" s="41" t="str">
        <f t="shared" si="269"/>
        <v/>
      </c>
      <c r="X3143" s="41" t="str">
        <f t="shared" si="270"/>
        <v/>
      </c>
    </row>
    <row r="3144" s="32" customFormat="1" hidden="1" customHeight="1" spans="1:24">
      <c r="A3144" s="34"/>
      <c r="B3144" s="51"/>
      <c r="C3144" s="51"/>
      <c r="D3144" s="52"/>
      <c r="E3144" s="53"/>
      <c r="F3144" s="54"/>
      <c r="G3144" s="54"/>
      <c r="H3144" s="54"/>
      <c r="I3144" s="66"/>
      <c r="J3144" s="54"/>
      <c r="K3144" s="54"/>
      <c r="L3144" s="54"/>
      <c r="M3144" s="97" t="str">
        <f t="shared" si="267"/>
        <v/>
      </c>
      <c r="N3144" s="70"/>
      <c r="O3144" s="71" t="str">
        <f t="shared" si="271"/>
        <v/>
      </c>
      <c r="P3144" s="66"/>
      <c r="Q3144" s="66"/>
      <c r="R3144" s="54"/>
      <c r="S3144" s="82"/>
      <c r="T3144" s="83" t="str">
        <f t="shared" si="268"/>
        <v/>
      </c>
      <c r="U3144" s="10"/>
      <c r="V3144" s="41">
        <f>IF(AND(Q3144&lt;&gt;"",RIGHT(Q3144,3)&lt;&gt;""),IF(COUNTIF($Q$6:Q3144,Q3144)=1,1,0),0)</f>
        <v>0</v>
      </c>
      <c r="W3144" s="41" t="str">
        <f t="shared" si="269"/>
        <v/>
      </c>
      <c r="X3144" s="41" t="str">
        <f t="shared" si="270"/>
        <v/>
      </c>
    </row>
    <row r="3145" s="32" customFormat="1" hidden="1" customHeight="1" spans="1:24">
      <c r="A3145" s="34"/>
      <c r="B3145" s="51"/>
      <c r="C3145" s="51"/>
      <c r="D3145" s="52"/>
      <c r="E3145" s="53"/>
      <c r="F3145" s="54"/>
      <c r="G3145" s="54"/>
      <c r="H3145" s="54"/>
      <c r="I3145" s="66"/>
      <c r="J3145" s="54"/>
      <c r="K3145" s="54"/>
      <c r="L3145" s="54"/>
      <c r="M3145" s="97" t="str">
        <f t="shared" si="267"/>
        <v/>
      </c>
      <c r="N3145" s="70"/>
      <c r="O3145" s="71" t="str">
        <f t="shared" si="271"/>
        <v/>
      </c>
      <c r="P3145" s="66"/>
      <c r="Q3145" s="66"/>
      <c r="R3145" s="54"/>
      <c r="S3145" s="82"/>
      <c r="T3145" s="83" t="str">
        <f t="shared" si="268"/>
        <v/>
      </c>
      <c r="U3145" s="10"/>
      <c r="V3145" s="41">
        <f>IF(AND(Q3145&lt;&gt;"",RIGHT(Q3145,3)&lt;&gt;""),IF(COUNTIF($Q$6:Q3145,Q3145)=1,1,0),0)</f>
        <v>0</v>
      </c>
      <c r="W3145" s="41" t="str">
        <f t="shared" si="269"/>
        <v/>
      </c>
      <c r="X3145" s="41" t="str">
        <f t="shared" si="270"/>
        <v/>
      </c>
    </row>
    <row r="3146" s="32" customFormat="1" hidden="1" customHeight="1" spans="1:24">
      <c r="A3146" s="34"/>
      <c r="B3146" s="51"/>
      <c r="C3146" s="51"/>
      <c r="D3146" s="52"/>
      <c r="E3146" s="53"/>
      <c r="F3146" s="54"/>
      <c r="G3146" s="54"/>
      <c r="H3146" s="54"/>
      <c r="I3146" s="66"/>
      <c r="J3146" s="54"/>
      <c r="K3146" s="54"/>
      <c r="L3146" s="54"/>
      <c r="M3146" s="97" t="str">
        <f t="shared" si="267"/>
        <v/>
      </c>
      <c r="N3146" s="70"/>
      <c r="O3146" s="71" t="str">
        <f t="shared" si="271"/>
        <v/>
      </c>
      <c r="P3146" s="66"/>
      <c r="Q3146" s="66"/>
      <c r="R3146" s="54"/>
      <c r="S3146" s="82"/>
      <c r="T3146" s="83" t="str">
        <f t="shared" si="268"/>
        <v/>
      </c>
      <c r="U3146" s="10"/>
      <c r="V3146" s="41">
        <f>IF(AND(Q3146&lt;&gt;"",RIGHT(Q3146,3)&lt;&gt;""),IF(COUNTIF($Q$6:Q3146,Q3146)=1,1,0),0)</f>
        <v>0</v>
      </c>
      <c r="W3146" s="41" t="str">
        <f t="shared" si="269"/>
        <v/>
      </c>
      <c r="X3146" s="41" t="str">
        <f t="shared" si="270"/>
        <v/>
      </c>
    </row>
    <row r="3147" s="32" customFormat="1" hidden="1" customHeight="1" spans="1:24">
      <c r="A3147" s="34"/>
      <c r="B3147" s="51"/>
      <c r="C3147" s="51"/>
      <c r="D3147" s="52"/>
      <c r="E3147" s="53"/>
      <c r="F3147" s="54"/>
      <c r="G3147" s="54"/>
      <c r="H3147" s="54"/>
      <c r="I3147" s="66"/>
      <c r="J3147" s="54"/>
      <c r="K3147" s="54"/>
      <c r="L3147" s="54"/>
      <c r="M3147" s="97" t="str">
        <f t="shared" si="267"/>
        <v/>
      </c>
      <c r="N3147" s="70"/>
      <c r="O3147" s="71" t="str">
        <f t="shared" si="271"/>
        <v/>
      </c>
      <c r="P3147" s="66"/>
      <c r="Q3147" s="66"/>
      <c r="R3147" s="54"/>
      <c r="S3147" s="82"/>
      <c r="T3147" s="83" t="str">
        <f t="shared" si="268"/>
        <v/>
      </c>
      <c r="U3147" s="10"/>
      <c r="V3147" s="41">
        <f>IF(AND(Q3147&lt;&gt;"",RIGHT(Q3147,3)&lt;&gt;""),IF(COUNTIF($Q$6:Q3147,Q3147)=1,1,0),0)</f>
        <v>0</v>
      </c>
      <c r="W3147" s="41" t="str">
        <f t="shared" si="269"/>
        <v/>
      </c>
      <c r="X3147" s="41" t="str">
        <f t="shared" si="270"/>
        <v/>
      </c>
    </row>
    <row r="3148" s="32" customFormat="1" hidden="1" customHeight="1" spans="1:24">
      <c r="A3148" s="34"/>
      <c r="B3148" s="51"/>
      <c r="C3148" s="51"/>
      <c r="D3148" s="52"/>
      <c r="E3148" s="53"/>
      <c r="F3148" s="54"/>
      <c r="G3148" s="54"/>
      <c r="H3148" s="54"/>
      <c r="I3148" s="66"/>
      <c r="J3148" s="54"/>
      <c r="K3148" s="54"/>
      <c r="L3148" s="54"/>
      <c r="M3148" s="97" t="str">
        <f t="shared" si="267"/>
        <v/>
      </c>
      <c r="N3148" s="70"/>
      <c r="O3148" s="71" t="str">
        <f t="shared" si="271"/>
        <v/>
      </c>
      <c r="P3148" s="66"/>
      <c r="Q3148" s="66"/>
      <c r="R3148" s="54"/>
      <c r="S3148" s="82"/>
      <c r="T3148" s="83" t="str">
        <f t="shared" si="268"/>
        <v/>
      </c>
      <c r="U3148" s="10"/>
      <c r="V3148" s="41">
        <f>IF(AND(Q3148&lt;&gt;"",RIGHT(Q3148,3)&lt;&gt;""),IF(COUNTIF($Q$6:Q3148,Q3148)=1,1,0),0)</f>
        <v>0</v>
      </c>
      <c r="W3148" s="41" t="str">
        <f t="shared" si="269"/>
        <v/>
      </c>
      <c r="X3148" s="41" t="str">
        <f t="shared" si="270"/>
        <v/>
      </c>
    </row>
    <row r="3149" s="32" customFormat="1" hidden="1" customHeight="1" spans="1:24">
      <c r="A3149" s="34"/>
      <c r="B3149" s="51"/>
      <c r="C3149" s="51"/>
      <c r="D3149" s="52"/>
      <c r="E3149" s="53"/>
      <c r="F3149" s="54"/>
      <c r="G3149" s="54"/>
      <c r="H3149" s="54"/>
      <c r="I3149" s="66"/>
      <c r="J3149" s="54"/>
      <c r="K3149" s="54"/>
      <c r="L3149" s="54"/>
      <c r="M3149" s="97" t="str">
        <f t="shared" si="267"/>
        <v/>
      </c>
      <c r="N3149" s="70"/>
      <c r="O3149" s="71" t="str">
        <f t="shared" si="271"/>
        <v/>
      </c>
      <c r="P3149" s="66"/>
      <c r="Q3149" s="66"/>
      <c r="R3149" s="54"/>
      <c r="S3149" s="82"/>
      <c r="T3149" s="83" t="str">
        <f t="shared" si="268"/>
        <v/>
      </c>
      <c r="U3149" s="10"/>
      <c r="V3149" s="41">
        <f>IF(AND(Q3149&lt;&gt;"",RIGHT(Q3149,3)&lt;&gt;""),IF(COUNTIF($Q$6:Q3149,Q3149)=1,1,0),0)</f>
        <v>0</v>
      </c>
      <c r="W3149" s="41" t="str">
        <f t="shared" si="269"/>
        <v/>
      </c>
      <c r="X3149" s="41" t="str">
        <f t="shared" si="270"/>
        <v/>
      </c>
    </row>
    <row r="3150" s="32" customFormat="1" hidden="1" customHeight="1" spans="1:24">
      <c r="A3150" s="34"/>
      <c r="B3150" s="51"/>
      <c r="C3150" s="51"/>
      <c r="D3150" s="52"/>
      <c r="E3150" s="53"/>
      <c r="F3150" s="54"/>
      <c r="G3150" s="54"/>
      <c r="H3150" s="54"/>
      <c r="I3150" s="66"/>
      <c r="J3150" s="54"/>
      <c r="K3150" s="54"/>
      <c r="L3150" s="54"/>
      <c r="M3150" s="97" t="str">
        <f t="shared" si="267"/>
        <v/>
      </c>
      <c r="N3150" s="70"/>
      <c r="O3150" s="71" t="str">
        <f t="shared" si="271"/>
        <v/>
      </c>
      <c r="P3150" s="66"/>
      <c r="Q3150" s="66"/>
      <c r="R3150" s="54"/>
      <c r="S3150" s="82"/>
      <c r="T3150" s="83" t="str">
        <f t="shared" si="268"/>
        <v/>
      </c>
      <c r="U3150" s="10"/>
      <c r="V3150" s="41">
        <f>IF(AND(Q3150&lt;&gt;"",RIGHT(Q3150,3)&lt;&gt;""),IF(COUNTIF($Q$6:Q3150,Q3150)=1,1,0),0)</f>
        <v>0</v>
      </c>
      <c r="W3150" s="41" t="str">
        <f t="shared" si="269"/>
        <v/>
      </c>
      <c r="X3150" s="41" t="str">
        <f t="shared" si="270"/>
        <v/>
      </c>
    </row>
    <row r="3151" s="32" customFormat="1" hidden="1" customHeight="1" spans="1:24">
      <c r="A3151" s="34"/>
      <c r="B3151" s="51"/>
      <c r="C3151" s="51"/>
      <c r="D3151" s="52"/>
      <c r="E3151" s="53"/>
      <c r="F3151" s="54"/>
      <c r="G3151" s="54"/>
      <c r="H3151" s="54"/>
      <c r="I3151" s="66"/>
      <c r="J3151" s="54"/>
      <c r="K3151" s="54"/>
      <c r="L3151" s="54"/>
      <c r="M3151" s="97" t="str">
        <f t="shared" si="267"/>
        <v/>
      </c>
      <c r="N3151" s="70"/>
      <c r="O3151" s="71" t="str">
        <f t="shared" si="271"/>
        <v/>
      </c>
      <c r="P3151" s="66"/>
      <c r="Q3151" s="66"/>
      <c r="R3151" s="54"/>
      <c r="S3151" s="82"/>
      <c r="T3151" s="83" t="str">
        <f t="shared" si="268"/>
        <v/>
      </c>
      <c r="U3151" s="10"/>
      <c r="V3151" s="41">
        <f>IF(AND(Q3151&lt;&gt;"",RIGHT(Q3151,3)&lt;&gt;""),IF(COUNTIF($Q$6:Q3151,Q3151)=1,1,0),0)</f>
        <v>0</v>
      </c>
      <c r="W3151" s="41" t="str">
        <f t="shared" si="269"/>
        <v/>
      </c>
      <c r="X3151" s="41" t="str">
        <f t="shared" si="270"/>
        <v/>
      </c>
    </row>
    <row r="3152" s="32" customFormat="1" hidden="1" customHeight="1" spans="1:24">
      <c r="A3152" s="34"/>
      <c r="B3152" s="51"/>
      <c r="C3152" s="51"/>
      <c r="D3152" s="52"/>
      <c r="E3152" s="53"/>
      <c r="F3152" s="54"/>
      <c r="G3152" s="54"/>
      <c r="H3152" s="54"/>
      <c r="I3152" s="66"/>
      <c r="J3152" s="54"/>
      <c r="K3152" s="54"/>
      <c r="L3152" s="54"/>
      <c r="M3152" s="97" t="str">
        <f t="shared" si="267"/>
        <v/>
      </c>
      <c r="N3152" s="70"/>
      <c r="O3152" s="71" t="str">
        <f t="shared" si="271"/>
        <v/>
      </c>
      <c r="P3152" s="66"/>
      <c r="Q3152" s="66"/>
      <c r="R3152" s="54"/>
      <c r="S3152" s="82"/>
      <c r="T3152" s="83" t="str">
        <f t="shared" si="268"/>
        <v/>
      </c>
      <c r="U3152" s="10"/>
      <c r="V3152" s="41">
        <f>IF(AND(Q3152&lt;&gt;"",RIGHT(Q3152,3)&lt;&gt;""),IF(COUNTIF($Q$6:Q3152,Q3152)=1,1,0),0)</f>
        <v>0</v>
      </c>
      <c r="W3152" s="41" t="str">
        <f t="shared" si="269"/>
        <v/>
      </c>
      <c r="X3152" s="41" t="str">
        <f t="shared" si="270"/>
        <v/>
      </c>
    </row>
    <row r="3153" s="32" customFormat="1" hidden="1" customHeight="1" spans="1:24">
      <c r="A3153" s="34"/>
      <c r="B3153" s="51"/>
      <c r="C3153" s="51"/>
      <c r="D3153" s="52"/>
      <c r="E3153" s="53"/>
      <c r="F3153" s="54"/>
      <c r="G3153" s="54"/>
      <c r="H3153" s="54"/>
      <c r="I3153" s="66"/>
      <c r="J3153" s="54"/>
      <c r="K3153" s="54"/>
      <c r="L3153" s="54"/>
      <c r="M3153" s="97" t="str">
        <f t="shared" si="267"/>
        <v/>
      </c>
      <c r="N3153" s="70"/>
      <c r="O3153" s="71" t="str">
        <f t="shared" si="271"/>
        <v/>
      </c>
      <c r="P3153" s="66"/>
      <c r="Q3153" s="66"/>
      <c r="R3153" s="54"/>
      <c r="S3153" s="82"/>
      <c r="T3153" s="83" t="str">
        <f t="shared" si="268"/>
        <v/>
      </c>
      <c r="U3153" s="10"/>
      <c r="V3153" s="41">
        <f>IF(AND(Q3153&lt;&gt;"",RIGHT(Q3153,3)&lt;&gt;""),IF(COUNTIF($Q$6:Q3153,Q3153)=1,1,0),0)</f>
        <v>0</v>
      </c>
      <c r="W3153" s="41" t="str">
        <f t="shared" si="269"/>
        <v/>
      </c>
      <c r="X3153" s="41" t="str">
        <f t="shared" si="270"/>
        <v/>
      </c>
    </row>
    <row r="3154" s="32" customFormat="1" hidden="1" customHeight="1" spans="1:24">
      <c r="A3154" s="34"/>
      <c r="B3154" s="51"/>
      <c r="C3154" s="51"/>
      <c r="D3154" s="52"/>
      <c r="E3154" s="53"/>
      <c r="F3154" s="54"/>
      <c r="G3154" s="54"/>
      <c r="H3154" s="54"/>
      <c r="I3154" s="66"/>
      <c r="J3154" s="54"/>
      <c r="K3154" s="54"/>
      <c r="L3154" s="54"/>
      <c r="M3154" s="97" t="str">
        <f t="shared" si="267"/>
        <v/>
      </c>
      <c r="N3154" s="70"/>
      <c r="O3154" s="71" t="str">
        <f t="shared" si="271"/>
        <v/>
      </c>
      <c r="P3154" s="66"/>
      <c r="Q3154" s="66"/>
      <c r="R3154" s="54"/>
      <c r="S3154" s="82"/>
      <c r="T3154" s="83" t="str">
        <f t="shared" si="268"/>
        <v/>
      </c>
      <c r="U3154" s="10"/>
      <c r="V3154" s="41">
        <f>IF(AND(Q3154&lt;&gt;"",RIGHT(Q3154,3)&lt;&gt;""),IF(COUNTIF($Q$6:Q3154,Q3154)=1,1,0),0)</f>
        <v>0</v>
      </c>
      <c r="W3154" s="41" t="str">
        <f t="shared" si="269"/>
        <v/>
      </c>
      <c r="X3154" s="41" t="str">
        <f t="shared" si="270"/>
        <v/>
      </c>
    </row>
    <row r="3155" s="32" customFormat="1" hidden="1" customHeight="1" spans="1:24">
      <c r="A3155" s="34"/>
      <c r="B3155" s="51"/>
      <c r="C3155" s="51"/>
      <c r="D3155" s="52"/>
      <c r="E3155" s="53"/>
      <c r="F3155" s="54"/>
      <c r="G3155" s="54"/>
      <c r="H3155" s="54"/>
      <c r="I3155" s="66"/>
      <c r="J3155" s="54"/>
      <c r="K3155" s="54"/>
      <c r="L3155" s="54"/>
      <c r="M3155" s="97" t="str">
        <f t="shared" si="267"/>
        <v/>
      </c>
      <c r="N3155" s="70"/>
      <c r="O3155" s="71" t="str">
        <f t="shared" si="271"/>
        <v/>
      </c>
      <c r="P3155" s="66"/>
      <c r="Q3155" s="66"/>
      <c r="R3155" s="54"/>
      <c r="S3155" s="82"/>
      <c r="T3155" s="83" t="str">
        <f t="shared" si="268"/>
        <v/>
      </c>
      <c r="U3155" s="10"/>
      <c r="V3155" s="41">
        <f>IF(AND(Q3155&lt;&gt;"",RIGHT(Q3155,3)&lt;&gt;""),IF(COUNTIF($Q$6:Q3155,Q3155)=1,1,0),0)</f>
        <v>0</v>
      </c>
      <c r="W3155" s="41" t="str">
        <f t="shared" si="269"/>
        <v/>
      </c>
      <c r="X3155" s="41" t="str">
        <f t="shared" si="270"/>
        <v/>
      </c>
    </row>
    <row r="3156" s="32" customFormat="1" hidden="1" customHeight="1" spans="1:24">
      <c r="A3156" s="34"/>
      <c r="B3156" s="51"/>
      <c r="C3156" s="51"/>
      <c r="D3156" s="52"/>
      <c r="E3156" s="53"/>
      <c r="F3156" s="54"/>
      <c r="G3156" s="54"/>
      <c r="H3156" s="54"/>
      <c r="I3156" s="66"/>
      <c r="J3156" s="54"/>
      <c r="K3156" s="54"/>
      <c r="L3156" s="54"/>
      <c r="M3156" s="97" t="str">
        <f t="shared" si="267"/>
        <v/>
      </c>
      <c r="N3156" s="70"/>
      <c r="O3156" s="71" t="str">
        <f t="shared" si="271"/>
        <v/>
      </c>
      <c r="P3156" s="66"/>
      <c r="Q3156" s="66"/>
      <c r="R3156" s="54"/>
      <c r="S3156" s="82"/>
      <c r="T3156" s="83" t="str">
        <f t="shared" si="268"/>
        <v/>
      </c>
      <c r="U3156" s="10"/>
      <c r="V3156" s="41">
        <f>IF(AND(Q3156&lt;&gt;"",RIGHT(Q3156,3)&lt;&gt;""),IF(COUNTIF($Q$6:Q3156,Q3156)=1,1,0),0)</f>
        <v>0</v>
      </c>
      <c r="W3156" s="41" t="str">
        <f t="shared" si="269"/>
        <v/>
      </c>
      <c r="X3156" s="41" t="str">
        <f t="shared" si="270"/>
        <v/>
      </c>
    </row>
    <row r="3157" s="32" customFormat="1" hidden="1" customHeight="1" spans="1:24">
      <c r="A3157" s="34"/>
      <c r="B3157" s="51"/>
      <c r="C3157" s="51"/>
      <c r="D3157" s="52"/>
      <c r="E3157" s="53"/>
      <c r="F3157" s="54"/>
      <c r="G3157" s="54"/>
      <c r="H3157" s="54"/>
      <c r="I3157" s="66"/>
      <c r="J3157" s="54"/>
      <c r="K3157" s="54"/>
      <c r="L3157" s="54"/>
      <c r="M3157" s="97" t="str">
        <f t="shared" si="267"/>
        <v/>
      </c>
      <c r="N3157" s="70"/>
      <c r="O3157" s="71" t="str">
        <f t="shared" si="271"/>
        <v/>
      </c>
      <c r="P3157" s="66"/>
      <c r="Q3157" s="66"/>
      <c r="R3157" s="54"/>
      <c r="S3157" s="82"/>
      <c r="T3157" s="83" t="str">
        <f t="shared" si="268"/>
        <v/>
      </c>
      <c r="U3157" s="10"/>
      <c r="V3157" s="41">
        <f>IF(AND(Q3157&lt;&gt;"",RIGHT(Q3157,3)&lt;&gt;""),IF(COUNTIF($Q$6:Q3157,Q3157)=1,1,0),0)</f>
        <v>0</v>
      </c>
      <c r="W3157" s="41" t="str">
        <f t="shared" si="269"/>
        <v/>
      </c>
      <c r="X3157" s="41" t="str">
        <f t="shared" si="270"/>
        <v/>
      </c>
    </row>
    <row r="3158" s="32" customFormat="1" hidden="1" customHeight="1" spans="1:24">
      <c r="A3158" s="34"/>
      <c r="B3158" s="51"/>
      <c r="C3158" s="51"/>
      <c r="D3158" s="52"/>
      <c r="E3158" s="53"/>
      <c r="F3158" s="54"/>
      <c r="G3158" s="54"/>
      <c r="H3158" s="54"/>
      <c r="I3158" s="66"/>
      <c r="J3158" s="54"/>
      <c r="K3158" s="54"/>
      <c r="L3158" s="54"/>
      <c r="M3158" s="97" t="str">
        <f t="shared" si="267"/>
        <v/>
      </c>
      <c r="N3158" s="70"/>
      <c r="O3158" s="71" t="str">
        <f t="shared" si="271"/>
        <v/>
      </c>
      <c r="P3158" s="66"/>
      <c r="Q3158" s="66"/>
      <c r="R3158" s="54"/>
      <c r="S3158" s="82"/>
      <c r="T3158" s="83" t="str">
        <f t="shared" si="268"/>
        <v/>
      </c>
      <c r="U3158" s="10"/>
      <c r="V3158" s="41">
        <f>IF(AND(Q3158&lt;&gt;"",RIGHT(Q3158,3)&lt;&gt;""),IF(COUNTIF($Q$6:Q3158,Q3158)=1,1,0),0)</f>
        <v>0</v>
      </c>
      <c r="W3158" s="41" t="str">
        <f t="shared" si="269"/>
        <v/>
      </c>
      <c r="X3158" s="41" t="str">
        <f t="shared" si="270"/>
        <v/>
      </c>
    </row>
    <row r="3159" s="32" customFormat="1" hidden="1" customHeight="1" spans="1:24">
      <c r="A3159" s="34"/>
      <c r="B3159" s="51"/>
      <c r="C3159" s="51"/>
      <c r="D3159" s="52"/>
      <c r="E3159" s="53"/>
      <c r="F3159" s="54"/>
      <c r="G3159" s="54"/>
      <c r="H3159" s="54"/>
      <c r="I3159" s="66"/>
      <c r="J3159" s="54"/>
      <c r="K3159" s="54"/>
      <c r="L3159" s="54"/>
      <c r="M3159" s="97" t="str">
        <f t="shared" si="267"/>
        <v/>
      </c>
      <c r="N3159" s="70"/>
      <c r="O3159" s="71" t="str">
        <f t="shared" si="271"/>
        <v/>
      </c>
      <c r="P3159" s="66"/>
      <c r="Q3159" s="66"/>
      <c r="R3159" s="54"/>
      <c r="S3159" s="82"/>
      <c r="T3159" s="83" t="str">
        <f t="shared" si="268"/>
        <v/>
      </c>
      <c r="U3159" s="10"/>
      <c r="V3159" s="41">
        <f>IF(AND(Q3159&lt;&gt;"",RIGHT(Q3159,3)&lt;&gt;""),IF(COUNTIF($Q$6:Q3159,Q3159)=1,1,0),0)</f>
        <v>0</v>
      </c>
      <c r="W3159" s="41" t="str">
        <f t="shared" si="269"/>
        <v/>
      </c>
      <c r="X3159" s="41" t="str">
        <f t="shared" si="270"/>
        <v/>
      </c>
    </row>
    <row r="3160" s="32" customFormat="1" hidden="1" customHeight="1" spans="1:24">
      <c r="A3160" s="34"/>
      <c r="B3160" s="51"/>
      <c r="C3160" s="51"/>
      <c r="D3160" s="52"/>
      <c r="E3160" s="53"/>
      <c r="F3160" s="54"/>
      <c r="G3160" s="54"/>
      <c r="H3160" s="54"/>
      <c r="I3160" s="66"/>
      <c r="J3160" s="54"/>
      <c r="K3160" s="54"/>
      <c r="L3160" s="54"/>
      <c r="M3160" s="97" t="str">
        <f t="shared" si="267"/>
        <v/>
      </c>
      <c r="N3160" s="70"/>
      <c r="O3160" s="71" t="str">
        <f t="shared" si="271"/>
        <v/>
      </c>
      <c r="P3160" s="66"/>
      <c r="Q3160" s="66"/>
      <c r="R3160" s="54"/>
      <c r="S3160" s="82"/>
      <c r="T3160" s="83" t="str">
        <f t="shared" si="268"/>
        <v/>
      </c>
      <c r="U3160" s="10"/>
      <c r="V3160" s="41">
        <f>IF(AND(Q3160&lt;&gt;"",RIGHT(Q3160,3)&lt;&gt;""),IF(COUNTIF($Q$6:Q3160,Q3160)=1,1,0),0)</f>
        <v>0</v>
      </c>
      <c r="W3160" s="41" t="str">
        <f t="shared" si="269"/>
        <v/>
      </c>
      <c r="X3160" s="41" t="str">
        <f t="shared" si="270"/>
        <v/>
      </c>
    </row>
    <row r="3161" s="32" customFormat="1" hidden="1" customHeight="1" spans="1:24">
      <c r="A3161" s="34"/>
      <c r="B3161" s="51"/>
      <c r="C3161" s="51"/>
      <c r="D3161" s="52"/>
      <c r="E3161" s="53"/>
      <c r="F3161" s="54"/>
      <c r="G3161" s="54"/>
      <c r="H3161" s="54"/>
      <c r="I3161" s="66"/>
      <c r="J3161" s="54"/>
      <c r="K3161" s="54"/>
      <c r="L3161" s="54"/>
      <c r="M3161" s="97" t="str">
        <f t="shared" si="267"/>
        <v/>
      </c>
      <c r="N3161" s="70"/>
      <c r="O3161" s="71" t="str">
        <f t="shared" si="271"/>
        <v/>
      </c>
      <c r="P3161" s="66"/>
      <c r="Q3161" s="66"/>
      <c r="R3161" s="54"/>
      <c r="S3161" s="82"/>
      <c r="T3161" s="83" t="str">
        <f t="shared" si="268"/>
        <v/>
      </c>
      <c r="U3161" s="10"/>
      <c r="V3161" s="41">
        <f>IF(AND(Q3161&lt;&gt;"",RIGHT(Q3161,3)&lt;&gt;""),IF(COUNTIF($Q$6:Q3161,Q3161)=1,1,0),0)</f>
        <v>0</v>
      </c>
      <c r="W3161" s="41" t="str">
        <f t="shared" si="269"/>
        <v/>
      </c>
      <c r="X3161" s="41" t="str">
        <f t="shared" si="270"/>
        <v/>
      </c>
    </row>
    <row r="3162" s="32" customFormat="1" hidden="1" customHeight="1" spans="1:24">
      <c r="A3162" s="34"/>
      <c r="B3162" s="51"/>
      <c r="C3162" s="51"/>
      <c r="D3162" s="52"/>
      <c r="E3162" s="53"/>
      <c r="F3162" s="54"/>
      <c r="G3162" s="54"/>
      <c r="H3162" s="54"/>
      <c r="I3162" s="66"/>
      <c r="J3162" s="54"/>
      <c r="K3162" s="54"/>
      <c r="L3162" s="54"/>
      <c r="M3162" s="97" t="str">
        <f t="shared" si="267"/>
        <v/>
      </c>
      <c r="N3162" s="70"/>
      <c r="O3162" s="71" t="str">
        <f t="shared" si="271"/>
        <v/>
      </c>
      <c r="P3162" s="66"/>
      <c r="Q3162" s="66"/>
      <c r="R3162" s="54"/>
      <c r="S3162" s="82"/>
      <c r="T3162" s="83" t="str">
        <f t="shared" si="268"/>
        <v/>
      </c>
      <c r="U3162" s="10"/>
      <c r="V3162" s="41">
        <f>IF(AND(Q3162&lt;&gt;"",RIGHT(Q3162,3)&lt;&gt;""),IF(COUNTIF($Q$6:Q3162,Q3162)=1,1,0),0)</f>
        <v>0</v>
      </c>
      <c r="W3162" s="41" t="str">
        <f t="shared" si="269"/>
        <v/>
      </c>
      <c r="X3162" s="41" t="str">
        <f t="shared" si="270"/>
        <v/>
      </c>
    </row>
    <row r="3163" s="32" customFormat="1" hidden="1" customHeight="1" spans="1:24">
      <c r="A3163" s="34"/>
      <c r="B3163" s="51"/>
      <c r="C3163" s="51"/>
      <c r="D3163" s="52"/>
      <c r="E3163" s="53"/>
      <c r="F3163" s="54"/>
      <c r="G3163" s="54"/>
      <c r="H3163" s="54"/>
      <c r="I3163" s="66"/>
      <c r="J3163" s="54"/>
      <c r="K3163" s="54"/>
      <c r="L3163" s="54"/>
      <c r="M3163" s="97" t="str">
        <f t="shared" si="267"/>
        <v/>
      </c>
      <c r="N3163" s="70"/>
      <c r="O3163" s="71" t="str">
        <f t="shared" si="271"/>
        <v/>
      </c>
      <c r="P3163" s="66"/>
      <c r="Q3163" s="66"/>
      <c r="R3163" s="54"/>
      <c r="S3163" s="82"/>
      <c r="T3163" s="83" t="str">
        <f t="shared" si="268"/>
        <v/>
      </c>
      <c r="U3163" s="10"/>
      <c r="V3163" s="41">
        <f>IF(AND(Q3163&lt;&gt;"",RIGHT(Q3163,3)&lt;&gt;""),IF(COUNTIF($Q$6:Q3163,Q3163)=1,1,0),0)</f>
        <v>0</v>
      </c>
      <c r="W3163" s="41" t="str">
        <f t="shared" si="269"/>
        <v/>
      </c>
      <c r="X3163" s="41" t="str">
        <f t="shared" si="270"/>
        <v/>
      </c>
    </row>
    <row r="3164" s="32" customFormat="1" hidden="1" customHeight="1" spans="1:24">
      <c r="A3164" s="34"/>
      <c r="B3164" s="51"/>
      <c r="C3164" s="51"/>
      <c r="D3164" s="52"/>
      <c r="E3164" s="53"/>
      <c r="F3164" s="54"/>
      <c r="G3164" s="54"/>
      <c r="H3164" s="54"/>
      <c r="I3164" s="66"/>
      <c r="J3164" s="54"/>
      <c r="K3164" s="54"/>
      <c r="L3164" s="54"/>
      <c r="M3164" s="97" t="str">
        <f t="shared" si="267"/>
        <v/>
      </c>
      <c r="N3164" s="70"/>
      <c r="O3164" s="71" t="str">
        <f t="shared" si="271"/>
        <v/>
      </c>
      <c r="P3164" s="66"/>
      <c r="Q3164" s="66"/>
      <c r="R3164" s="54"/>
      <c r="S3164" s="82"/>
      <c r="T3164" s="83" t="str">
        <f t="shared" si="268"/>
        <v/>
      </c>
      <c r="U3164" s="10"/>
      <c r="V3164" s="41">
        <f>IF(AND(Q3164&lt;&gt;"",RIGHT(Q3164,3)&lt;&gt;""),IF(COUNTIF($Q$6:Q3164,Q3164)=1,1,0),0)</f>
        <v>0</v>
      </c>
      <c r="W3164" s="41" t="str">
        <f t="shared" si="269"/>
        <v/>
      </c>
      <c r="X3164" s="41" t="str">
        <f t="shared" si="270"/>
        <v/>
      </c>
    </row>
    <row r="3165" s="32" customFormat="1" hidden="1" customHeight="1" spans="1:24">
      <c r="A3165" s="34"/>
      <c r="B3165" s="51"/>
      <c r="C3165" s="51"/>
      <c r="D3165" s="52"/>
      <c r="E3165" s="53"/>
      <c r="F3165" s="54"/>
      <c r="G3165" s="54"/>
      <c r="H3165" s="54"/>
      <c r="I3165" s="66"/>
      <c r="J3165" s="54"/>
      <c r="K3165" s="54"/>
      <c r="L3165" s="54"/>
      <c r="M3165" s="97" t="str">
        <f t="shared" si="267"/>
        <v/>
      </c>
      <c r="N3165" s="70"/>
      <c r="O3165" s="71" t="str">
        <f t="shared" si="271"/>
        <v/>
      </c>
      <c r="P3165" s="66"/>
      <c r="Q3165" s="66"/>
      <c r="R3165" s="54"/>
      <c r="S3165" s="82"/>
      <c r="T3165" s="83" t="str">
        <f t="shared" si="268"/>
        <v/>
      </c>
      <c r="U3165" s="10"/>
      <c r="V3165" s="41">
        <f>IF(AND(Q3165&lt;&gt;"",RIGHT(Q3165,3)&lt;&gt;""),IF(COUNTIF($Q$6:Q3165,Q3165)=1,1,0),0)</f>
        <v>0</v>
      </c>
      <c r="W3165" s="41" t="str">
        <f t="shared" si="269"/>
        <v/>
      </c>
      <c r="X3165" s="41" t="str">
        <f t="shared" si="270"/>
        <v/>
      </c>
    </row>
    <row r="3166" s="32" customFormat="1" hidden="1" customHeight="1" spans="1:24">
      <c r="A3166" s="34"/>
      <c r="B3166" s="51"/>
      <c r="C3166" s="51"/>
      <c r="D3166" s="52"/>
      <c r="E3166" s="53"/>
      <c r="F3166" s="54"/>
      <c r="G3166" s="54"/>
      <c r="H3166" s="54"/>
      <c r="I3166" s="66"/>
      <c r="J3166" s="54"/>
      <c r="K3166" s="54"/>
      <c r="L3166" s="54"/>
      <c r="M3166" s="97" t="str">
        <f t="shared" si="267"/>
        <v/>
      </c>
      <c r="N3166" s="70"/>
      <c r="O3166" s="71" t="str">
        <f t="shared" si="271"/>
        <v/>
      </c>
      <c r="P3166" s="66"/>
      <c r="Q3166" s="66"/>
      <c r="R3166" s="54"/>
      <c r="S3166" s="82"/>
      <c r="T3166" s="83" t="str">
        <f t="shared" si="268"/>
        <v/>
      </c>
      <c r="U3166" s="10"/>
      <c r="V3166" s="41">
        <f>IF(AND(Q3166&lt;&gt;"",RIGHT(Q3166,3)&lt;&gt;""),IF(COUNTIF($Q$6:Q3166,Q3166)=1,1,0),0)</f>
        <v>0</v>
      </c>
      <c r="W3166" s="41" t="str">
        <f t="shared" si="269"/>
        <v/>
      </c>
      <c r="X3166" s="41" t="str">
        <f t="shared" si="270"/>
        <v/>
      </c>
    </row>
    <row r="3167" s="32" customFormat="1" hidden="1" customHeight="1" spans="1:24">
      <c r="A3167" s="34"/>
      <c r="B3167" s="51"/>
      <c r="C3167" s="51"/>
      <c r="D3167" s="52"/>
      <c r="E3167" s="53"/>
      <c r="F3167" s="54"/>
      <c r="G3167" s="54"/>
      <c r="H3167" s="54"/>
      <c r="I3167" s="66"/>
      <c r="J3167" s="54"/>
      <c r="K3167" s="54"/>
      <c r="L3167" s="54"/>
      <c r="M3167" s="97" t="str">
        <f t="shared" si="267"/>
        <v/>
      </c>
      <c r="N3167" s="70"/>
      <c r="O3167" s="71" t="str">
        <f t="shared" si="271"/>
        <v/>
      </c>
      <c r="P3167" s="66"/>
      <c r="Q3167" s="66"/>
      <c r="R3167" s="54"/>
      <c r="S3167" s="82"/>
      <c r="T3167" s="83" t="str">
        <f t="shared" si="268"/>
        <v/>
      </c>
      <c r="U3167" s="10"/>
      <c r="V3167" s="41">
        <f>IF(AND(Q3167&lt;&gt;"",RIGHT(Q3167,3)&lt;&gt;""),IF(COUNTIF($Q$6:Q3167,Q3167)=1,1,0),0)</f>
        <v>0</v>
      </c>
      <c r="W3167" s="41" t="str">
        <f t="shared" si="269"/>
        <v/>
      </c>
      <c r="X3167" s="41" t="str">
        <f t="shared" si="270"/>
        <v/>
      </c>
    </row>
    <row r="3168" s="32" customFormat="1" hidden="1" customHeight="1" spans="1:24">
      <c r="A3168" s="34"/>
      <c r="B3168" s="51"/>
      <c r="C3168" s="51"/>
      <c r="D3168" s="52"/>
      <c r="E3168" s="53"/>
      <c r="F3168" s="54"/>
      <c r="G3168" s="54"/>
      <c r="H3168" s="54"/>
      <c r="I3168" s="66"/>
      <c r="J3168" s="54"/>
      <c r="K3168" s="54"/>
      <c r="L3168" s="54"/>
      <c r="M3168" s="97" t="str">
        <f t="shared" si="267"/>
        <v/>
      </c>
      <c r="N3168" s="70"/>
      <c r="O3168" s="71" t="str">
        <f t="shared" si="271"/>
        <v/>
      </c>
      <c r="P3168" s="66"/>
      <c r="Q3168" s="66"/>
      <c r="R3168" s="54"/>
      <c r="S3168" s="82"/>
      <c r="T3168" s="83" t="str">
        <f t="shared" si="268"/>
        <v/>
      </c>
      <c r="U3168" s="10"/>
      <c r="V3168" s="41">
        <f>IF(AND(Q3168&lt;&gt;"",RIGHT(Q3168,3)&lt;&gt;""),IF(COUNTIF($Q$6:Q3168,Q3168)=1,1,0),0)</f>
        <v>0</v>
      </c>
      <c r="W3168" s="41" t="str">
        <f t="shared" si="269"/>
        <v/>
      </c>
      <c r="X3168" s="41" t="str">
        <f t="shared" si="270"/>
        <v/>
      </c>
    </row>
    <row r="3169" s="32" customFormat="1" hidden="1" customHeight="1" spans="1:24">
      <c r="A3169" s="34"/>
      <c r="B3169" s="51"/>
      <c r="C3169" s="51"/>
      <c r="D3169" s="52"/>
      <c r="E3169" s="53"/>
      <c r="F3169" s="54"/>
      <c r="G3169" s="54"/>
      <c r="H3169" s="54"/>
      <c r="I3169" s="66"/>
      <c r="J3169" s="54"/>
      <c r="K3169" s="54"/>
      <c r="L3169" s="54"/>
      <c r="M3169" s="97" t="str">
        <f t="shared" si="267"/>
        <v/>
      </c>
      <c r="N3169" s="70"/>
      <c r="O3169" s="71" t="str">
        <f t="shared" si="271"/>
        <v/>
      </c>
      <c r="P3169" s="66"/>
      <c r="Q3169" s="66"/>
      <c r="R3169" s="54"/>
      <c r="S3169" s="82"/>
      <c r="T3169" s="83" t="str">
        <f t="shared" si="268"/>
        <v/>
      </c>
      <c r="U3169" s="10"/>
      <c r="V3169" s="41">
        <f>IF(AND(Q3169&lt;&gt;"",RIGHT(Q3169,3)&lt;&gt;""),IF(COUNTIF($Q$6:Q3169,Q3169)=1,1,0),0)</f>
        <v>0</v>
      </c>
      <c r="W3169" s="41" t="str">
        <f t="shared" si="269"/>
        <v/>
      </c>
      <c r="X3169" s="41" t="str">
        <f t="shared" si="270"/>
        <v/>
      </c>
    </row>
    <row r="3170" s="32" customFormat="1" hidden="1" customHeight="1" spans="1:24">
      <c r="A3170" s="34"/>
      <c r="B3170" s="51"/>
      <c r="C3170" s="51"/>
      <c r="D3170" s="52"/>
      <c r="E3170" s="53"/>
      <c r="F3170" s="54"/>
      <c r="G3170" s="54"/>
      <c r="H3170" s="54"/>
      <c r="I3170" s="66"/>
      <c r="J3170" s="54"/>
      <c r="K3170" s="54"/>
      <c r="L3170" s="54"/>
      <c r="M3170" s="97" t="str">
        <f t="shared" si="267"/>
        <v/>
      </c>
      <c r="N3170" s="70"/>
      <c r="O3170" s="71" t="str">
        <f t="shared" si="271"/>
        <v/>
      </c>
      <c r="P3170" s="66"/>
      <c r="Q3170" s="66"/>
      <c r="R3170" s="54"/>
      <c r="S3170" s="82"/>
      <c r="T3170" s="83" t="str">
        <f t="shared" si="268"/>
        <v/>
      </c>
      <c r="U3170" s="10"/>
      <c r="V3170" s="41">
        <f>IF(AND(Q3170&lt;&gt;"",RIGHT(Q3170,3)&lt;&gt;""),IF(COUNTIF($Q$6:Q3170,Q3170)=1,1,0),0)</f>
        <v>0</v>
      </c>
      <c r="W3170" s="41" t="str">
        <f t="shared" si="269"/>
        <v/>
      </c>
      <c r="X3170" s="41" t="str">
        <f t="shared" si="270"/>
        <v/>
      </c>
    </row>
    <row r="3171" s="32" customFormat="1" hidden="1" customHeight="1" spans="1:24">
      <c r="A3171" s="34"/>
      <c r="B3171" s="51"/>
      <c r="C3171" s="51"/>
      <c r="D3171" s="52"/>
      <c r="E3171" s="53"/>
      <c r="F3171" s="54"/>
      <c r="G3171" s="54"/>
      <c r="H3171" s="54"/>
      <c r="I3171" s="66"/>
      <c r="J3171" s="54"/>
      <c r="K3171" s="54"/>
      <c r="L3171" s="54"/>
      <c r="M3171" s="97" t="str">
        <f t="shared" si="267"/>
        <v/>
      </c>
      <c r="N3171" s="70"/>
      <c r="O3171" s="71" t="str">
        <f t="shared" si="271"/>
        <v/>
      </c>
      <c r="P3171" s="66"/>
      <c r="Q3171" s="66"/>
      <c r="R3171" s="54"/>
      <c r="S3171" s="82"/>
      <c r="T3171" s="83" t="str">
        <f t="shared" si="268"/>
        <v/>
      </c>
      <c r="U3171" s="10"/>
      <c r="V3171" s="41">
        <f>IF(AND(Q3171&lt;&gt;"",RIGHT(Q3171,3)&lt;&gt;""),IF(COUNTIF($Q$6:Q3171,Q3171)=1,1,0),0)</f>
        <v>0</v>
      </c>
      <c r="W3171" s="41" t="str">
        <f t="shared" si="269"/>
        <v/>
      </c>
      <c r="X3171" s="41" t="str">
        <f t="shared" si="270"/>
        <v/>
      </c>
    </row>
    <row r="3172" s="32" customFormat="1" hidden="1" customHeight="1" spans="1:24">
      <c r="A3172" s="34"/>
      <c r="B3172" s="51"/>
      <c r="C3172" s="51"/>
      <c r="D3172" s="52"/>
      <c r="E3172" s="53"/>
      <c r="F3172" s="54"/>
      <c r="G3172" s="54"/>
      <c r="H3172" s="54"/>
      <c r="I3172" s="66"/>
      <c r="J3172" s="54"/>
      <c r="K3172" s="54"/>
      <c r="L3172" s="54"/>
      <c r="M3172" s="97" t="str">
        <f t="shared" ref="M3172:M3235" si="272">IF(L3172="","",HYPERLINK(_xlfn.CONCAT($L$4,L3172,".jpg"),"Open File"))</f>
        <v/>
      </c>
      <c r="N3172" s="70"/>
      <c r="O3172" s="71" t="str">
        <f t="shared" si="271"/>
        <v/>
      </c>
      <c r="P3172" s="66"/>
      <c r="Q3172" s="66"/>
      <c r="R3172" s="54"/>
      <c r="S3172" s="82"/>
      <c r="T3172" s="83" t="str">
        <f t="shared" ref="T3172:T3235" si="273">IF(S3172="","",HYPERLINK(_xlfn.CONCAT($S$4,S3172,".jpg"),"Open File"))</f>
        <v/>
      </c>
      <c r="U3172" s="10"/>
      <c r="V3172" s="41">
        <f>IF(AND(Q3172&lt;&gt;"",RIGHT(Q3172,3)&lt;&gt;""),IF(COUNTIF($Q$6:Q3172,Q3172)=1,1,0),0)</f>
        <v>0</v>
      </c>
      <c r="W3172" s="41" t="str">
        <f t="shared" ref="W3172:W3235" si="274">IF(AND(J3172&lt;&gt;"",K3172&lt;&gt;""),_xlfn.CONCAT(SUBSTITUTE(J3172,"/","."),"-",K3172),"")</f>
        <v/>
      </c>
      <c r="X3172" s="41" t="str">
        <f t="shared" ref="X3172:X3235" si="275">IF(AND(Q3172&lt;&gt;"",R3172&lt;&gt;""),_xlfn.CONCAT(SUBSTITUTE(Q3172,"/","."),"-",R3172),"")</f>
        <v/>
      </c>
    </row>
    <row r="3173" s="32" customFormat="1" hidden="1" customHeight="1" spans="1:24">
      <c r="A3173" s="34"/>
      <c r="B3173" s="51"/>
      <c r="C3173" s="51"/>
      <c r="D3173" s="52"/>
      <c r="E3173" s="53"/>
      <c r="F3173" s="54"/>
      <c r="G3173" s="54"/>
      <c r="H3173" s="54"/>
      <c r="I3173" s="66"/>
      <c r="J3173" s="54"/>
      <c r="K3173" s="54"/>
      <c r="L3173" s="54"/>
      <c r="M3173" s="97" t="str">
        <f t="shared" si="272"/>
        <v/>
      </c>
      <c r="N3173" s="70"/>
      <c r="O3173" s="71" t="str">
        <f t="shared" si="271"/>
        <v/>
      </c>
      <c r="P3173" s="66"/>
      <c r="Q3173" s="66"/>
      <c r="R3173" s="54"/>
      <c r="S3173" s="82"/>
      <c r="T3173" s="83" t="str">
        <f t="shared" si="273"/>
        <v/>
      </c>
      <c r="U3173" s="10"/>
      <c r="V3173" s="41">
        <f>IF(AND(Q3173&lt;&gt;"",RIGHT(Q3173,3)&lt;&gt;""),IF(COUNTIF($Q$6:Q3173,Q3173)=1,1,0),0)</f>
        <v>0</v>
      </c>
      <c r="W3173" s="41" t="str">
        <f t="shared" si="274"/>
        <v/>
      </c>
      <c r="X3173" s="41" t="str">
        <f t="shared" si="275"/>
        <v/>
      </c>
    </row>
    <row r="3174" s="32" customFormat="1" hidden="1" customHeight="1" spans="1:24">
      <c r="A3174" s="34"/>
      <c r="B3174" s="51"/>
      <c r="C3174" s="51"/>
      <c r="D3174" s="52"/>
      <c r="E3174" s="53"/>
      <c r="F3174" s="54"/>
      <c r="G3174" s="54"/>
      <c r="H3174" s="54"/>
      <c r="I3174" s="66"/>
      <c r="J3174" s="54"/>
      <c r="K3174" s="54"/>
      <c r="L3174" s="54"/>
      <c r="M3174" s="97" t="str">
        <f t="shared" si="272"/>
        <v/>
      </c>
      <c r="N3174" s="70"/>
      <c r="O3174" s="71" t="str">
        <f t="shared" si="271"/>
        <v/>
      </c>
      <c r="P3174" s="66"/>
      <c r="Q3174" s="66"/>
      <c r="R3174" s="54"/>
      <c r="S3174" s="82"/>
      <c r="T3174" s="83" t="str">
        <f t="shared" si="273"/>
        <v/>
      </c>
      <c r="U3174" s="10"/>
      <c r="V3174" s="41">
        <f>IF(AND(Q3174&lt;&gt;"",RIGHT(Q3174,3)&lt;&gt;""),IF(COUNTIF($Q$6:Q3174,Q3174)=1,1,0),0)</f>
        <v>0</v>
      </c>
      <c r="W3174" s="41" t="str">
        <f t="shared" si="274"/>
        <v/>
      </c>
      <c r="X3174" s="41" t="str">
        <f t="shared" si="275"/>
        <v/>
      </c>
    </row>
    <row r="3175" s="32" customFormat="1" hidden="1" customHeight="1" spans="1:24">
      <c r="A3175" s="34"/>
      <c r="B3175" s="51"/>
      <c r="C3175" s="51"/>
      <c r="D3175" s="52"/>
      <c r="E3175" s="53"/>
      <c r="F3175" s="54"/>
      <c r="G3175" s="54"/>
      <c r="H3175" s="54"/>
      <c r="I3175" s="66"/>
      <c r="J3175" s="54"/>
      <c r="K3175" s="54"/>
      <c r="L3175" s="54"/>
      <c r="M3175" s="97" t="str">
        <f t="shared" si="272"/>
        <v/>
      </c>
      <c r="N3175" s="70"/>
      <c r="O3175" s="71" t="str">
        <f t="shared" si="271"/>
        <v/>
      </c>
      <c r="P3175" s="66"/>
      <c r="Q3175" s="66"/>
      <c r="R3175" s="54"/>
      <c r="S3175" s="82"/>
      <c r="T3175" s="83" t="str">
        <f t="shared" si="273"/>
        <v/>
      </c>
      <c r="U3175" s="10"/>
      <c r="V3175" s="41">
        <f>IF(AND(Q3175&lt;&gt;"",RIGHT(Q3175,3)&lt;&gt;""),IF(COUNTIF($Q$6:Q3175,Q3175)=1,1,0),0)</f>
        <v>0</v>
      </c>
      <c r="W3175" s="41" t="str">
        <f t="shared" si="274"/>
        <v/>
      </c>
      <c r="X3175" s="41" t="str">
        <f t="shared" si="275"/>
        <v/>
      </c>
    </row>
    <row r="3176" s="32" customFormat="1" hidden="1" customHeight="1" spans="1:24">
      <c r="A3176" s="34"/>
      <c r="B3176" s="51"/>
      <c r="C3176" s="51"/>
      <c r="D3176" s="52"/>
      <c r="E3176" s="53"/>
      <c r="F3176" s="54"/>
      <c r="G3176" s="54"/>
      <c r="H3176" s="54"/>
      <c r="I3176" s="66"/>
      <c r="J3176" s="54"/>
      <c r="K3176" s="54"/>
      <c r="L3176" s="54"/>
      <c r="M3176" s="97" t="str">
        <f t="shared" si="272"/>
        <v/>
      </c>
      <c r="N3176" s="70"/>
      <c r="O3176" s="71" t="str">
        <f t="shared" si="271"/>
        <v/>
      </c>
      <c r="P3176" s="66"/>
      <c r="Q3176" s="66"/>
      <c r="R3176" s="54"/>
      <c r="S3176" s="82"/>
      <c r="T3176" s="83" t="str">
        <f t="shared" si="273"/>
        <v/>
      </c>
      <c r="U3176" s="10"/>
      <c r="V3176" s="41">
        <f>IF(AND(Q3176&lt;&gt;"",RIGHT(Q3176,3)&lt;&gt;""),IF(COUNTIF($Q$6:Q3176,Q3176)=1,1,0),0)</f>
        <v>0</v>
      </c>
      <c r="W3176" s="41" t="str">
        <f t="shared" si="274"/>
        <v/>
      </c>
      <c r="X3176" s="41" t="str">
        <f t="shared" si="275"/>
        <v/>
      </c>
    </row>
    <row r="3177" s="32" customFormat="1" hidden="1" customHeight="1" spans="1:24">
      <c r="A3177" s="34"/>
      <c r="B3177" s="51"/>
      <c r="C3177" s="51"/>
      <c r="D3177" s="52"/>
      <c r="E3177" s="53"/>
      <c r="F3177" s="54"/>
      <c r="G3177" s="54"/>
      <c r="H3177" s="54"/>
      <c r="I3177" s="66"/>
      <c r="J3177" s="54"/>
      <c r="K3177" s="54"/>
      <c r="L3177" s="54"/>
      <c r="M3177" s="97" t="str">
        <f t="shared" si="272"/>
        <v/>
      </c>
      <c r="N3177" s="70"/>
      <c r="O3177" s="71" t="str">
        <f t="shared" si="271"/>
        <v/>
      </c>
      <c r="P3177" s="66"/>
      <c r="Q3177" s="66"/>
      <c r="R3177" s="54"/>
      <c r="S3177" s="82"/>
      <c r="T3177" s="83" t="str">
        <f t="shared" si="273"/>
        <v/>
      </c>
      <c r="U3177" s="10"/>
      <c r="V3177" s="41">
        <f>IF(AND(Q3177&lt;&gt;"",RIGHT(Q3177,3)&lt;&gt;""),IF(COUNTIF($Q$6:Q3177,Q3177)=1,1,0),0)</f>
        <v>0</v>
      </c>
      <c r="W3177" s="41" t="str">
        <f t="shared" si="274"/>
        <v/>
      </c>
      <c r="X3177" s="41" t="str">
        <f t="shared" si="275"/>
        <v/>
      </c>
    </row>
    <row r="3178" s="32" customFormat="1" hidden="1" customHeight="1" spans="1:24">
      <c r="A3178" s="34"/>
      <c r="B3178" s="51"/>
      <c r="C3178" s="51"/>
      <c r="D3178" s="52"/>
      <c r="E3178" s="53"/>
      <c r="F3178" s="54"/>
      <c r="G3178" s="54"/>
      <c r="H3178" s="54"/>
      <c r="I3178" s="66"/>
      <c r="J3178" s="54"/>
      <c r="K3178" s="54"/>
      <c r="L3178" s="54"/>
      <c r="M3178" s="97" t="str">
        <f t="shared" si="272"/>
        <v/>
      </c>
      <c r="N3178" s="70"/>
      <c r="O3178" s="71" t="str">
        <f t="shared" si="271"/>
        <v/>
      </c>
      <c r="P3178" s="66"/>
      <c r="Q3178" s="66"/>
      <c r="R3178" s="54"/>
      <c r="S3178" s="82"/>
      <c r="T3178" s="83" t="str">
        <f t="shared" si="273"/>
        <v/>
      </c>
      <c r="U3178" s="10"/>
      <c r="V3178" s="41">
        <f>IF(AND(Q3178&lt;&gt;"",RIGHT(Q3178,3)&lt;&gt;""),IF(COUNTIF($Q$6:Q3178,Q3178)=1,1,0),0)</f>
        <v>0</v>
      </c>
      <c r="W3178" s="41" t="str">
        <f t="shared" si="274"/>
        <v/>
      </c>
      <c r="X3178" s="41" t="str">
        <f t="shared" si="275"/>
        <v/>
      </c>
    </row>
    <row r="3179" s="32" customFormat="1" hidden="1" customHeight="1" spans="1:24">
      <c r="A3179" s="34"/>
      <c r="B3179" s="51"/>
      <c r="C3179" s="51"/>
      <c r="D3179" s="52"/>
      <c r="E3179" s="53"/>
      <c r="F3179" s="54"/>
      <c r="G3179" s="54"/>
      <c r="H3179" s="54"/>
      <c r="I3179" s="66"/>
      <c r="J3179" s="54"/>
      <c r="K3179" s="54"/>
      <c r="L3179" s="54"/>
      <c r="M3179" s="97" t="str">
        <f t="shared" si="272"/>
        <v/>
      </c>
      <c r="N3179" s="70"/>
      <c r="O3179" s="71" t="str">
        <f t="shared" si="271"/>
        <v/>
      </c>
      <c r="P3179" s="66"/>
      <c r="Q3179" s="66"/>
      <c r="R3179" s="54"/>
      <c r="S3179" s="82"/>
      <c r="T3179" s="83" t="str">
        <f t="shared" si="273"/>
        <v/>
      </c>
      <c r="U3179" s="10"/>
      <c r="V3179" s="41">
        <f>IF(AND(Q3179&lt;&gt;"",RIGHT(Q3179,3)&lt;&gt;""),IF(COUNTIF($Q$6:Q3179,Q3179)=1,1,0),0)</f>
        <v>0</v>
      </c>
      <c r="W3179" s="41" t="str">
        <f t="shared" si="274"/>
        <v/>
      </c>
      <c r="X3179" s="41" t="str">
        <f t="shared" si="275"/>
        <v/>
      </c>
    </row>
    <row r="3180" s="32" customFormat="1" hidden="1" customHeight="1" spans="1:24">
      <c r="A3180" s="34"/>
      <c r="B3180" s="51"/>
      <c r="C3180" s="51"/>
      <c r="D3180" s="52"/>
      <c r="E3180" s="53"/>
      <c r="F3180" s="54"/>
      <c r="G3180" s="54"/>
      <c r="H3180" s="54"/>
      <c r="I3180" s="66"/>
      <c r="J3180" s="54"/>
      <c r="K3180" s="54"/>
      <c r="L3180" s="54"/>
      <c r="M3180" s="97" t="str">
        <f t="shared" si="272"/>
        <v/>
      </c>
      <c r="N3180" s="70"/>
      <c r="O3180" s="71" t="str">
        <f t="shared" si="271"/>
        <v/>
      </c>
      <c r="P3180" s="66"/>
      <c r="Q3180" s="66"/>
      <c r="R3180" s="54"/>
      <c r="S3180" s="82"/>
      <c r="T3180" s="83" t="str">
        <f t="shared" si="273"/>
        <v/>
      </c>
      <c r="U3180" s="10"/>
      <c r="V3180" s="41">
        <f>IF(AND(Q3180&lt;&gt;"",RIGHT(Q3180,3)&lt;&gt;""),IF(COUNTIF($Q$6:Q3180,Q3180)=1,1,0),0)</f>
        <v>0</v>
      </c>
      <c r="W3180" s="41" t="str">
        <f t="shared" si="274"/>
        <v/>
      </c>
      <c r="X3180" s="41" t="str">
        <f t="shared" si="275"/>
        <v/>
      </c>
    </row>
    <row r="3181" s="32" customFormat="1" hidden="1" customHeight="1" spans="1:24">
      <c r="A3181" s="34"/>
      <c r="B3181" s="51"/>
      <c r="C3181" s="51"/>
      <c r="D3181" s="52"/>
      <c r="E3181" s="53"/>
      <c r="F3181" s="54"/>
      <c r="G3181" s="54"/>
      <c r="H3181" s="54"/>
      <c r="I3181" s="66"/>
      <c r="J3181" s="54"/>
      <c r="K3181" s="54"/>
      <c r="L3181" s="54"/>
      <c r="M3181" s="97" t="str">
        <f t="shared" si="272"/>
        <v/>
      </c>
      <c r="N3181" s="70"/>
      <c r="O3181" s="71" t="str">
        <f t="shared" si="271"/>
        <v/>
      </c>
      <c r="P3181" s="66"/>
      <c r="Q3181" s="66"/>
      <c r="R3181" s="54"/>
      <c r="S3181" s="82"/>
      <c r="T3181" s="83" t="str">
        <f t="shared" si="273"/>
        <v/>
      </c>
      <c r="U3181" s="10"/>
      <c r="V3181" s="41">
        <f>IF(AND(Q3181&lt;&gt;"",RIGHT(Q3181,3)&lt;&gt;""),IF(COUNTIF($Q$6:Q3181,Q3181)=1,1,0),0)</f>
        <v>0</v>
      </c>
      <c r="W3181" s="41" t="str">
        <f t="shared" si="274"/>
        <v/>
      </c>
      <c r="X3181" s="41" t="str">
        <f t="shared" si="275"/>
        <v/>
      </c>
    </row>
    <row r="3182" s="32" customFormat="1" hidden="1" customHeight="1" spans="1:24">
      <c r="A3182" s="34"/>
      <c r="B3182" s="51"/>
      <c r="C3182" s="51"/>
      <c r="D3182" s="52"/>
      <c r="E3182" s="53"/>
      <c r="F3182" s="54"/>
      <c r="G3182" s="54"/>
      <c r="H3182" s="54"/>
      <c r="I3182" s="66"/>
      <c r="J3182" s="54"/>
      <c r="K3182" s="54"/>
      <c r="L3182" s="54"/>
      <c r="M3182" s="97" t="str">
        <f t="shared" si="272"/>
        <v/>
      </c>
      <c r="N3182" s="70"/>
      <c r="O3182" s="71" t="str">
        <f t="shared" si="271"/>
        <v/>
      </c>
      <c r="P3182" s="66"/>
      <c r="Q3182" s="66"/>
      <c r="R3182" s="54"/>
      <c r="S3182" s="82"/>
      <c r="T3182" s="83" t="str">
        <f t="shared" si="273"/>
        <v/>
      </c>
      <c r="U3182" s="10"/>
      <c r="V3182" s="41">
        <f>IF(AND(Q3182&lt;&gt;"",RIGHT(Q3182,3)&lt;&gt;""),IF(COUNTIF($Q$6:Q3182,Q3182)=1,1,0),0)</f>
        <v>0</v>
      </c>
      <c r="W3182" s="41" t="str">
        <f t="shared" si="274"/>
        <v/>
      </c>
      <c r="X3182" s="41" t="str">
        <f t="shared" si="275"/>
        <v/>
      </c>
    </row>
    <row r="3183" s="32" customFormat="1" hidden="1" customHeight="1" spans="1:24">
      <c r="A3183" s="34"/>
      <c r="B3183" s="51"/>
      <c r="C3183" s="51"/>
      <c r="D3183" s="52"/>
      <c r="E3183" s="53"/>
      <c r="F3183" s="54"/>
      <c r="G3183" s="54"/>
      <c r="H3183" s="54"/>
      <c r="I3183" s="66"/>
      <c r="J3183" s="54"/>
      <c r="K3183" s="54"/>
      <c r="L3183" s="54"/>
      <c r="M3183" s="97" t="str">
        <f t="shared" si="272"/>
        <v/>
      </c>
      <c r="N3183" s="70"/>
      <c r="O3183" s="71" t="str">
        <f t="shared" si="271"/>
        <v/>
      </c>
      <c r="P3183" s="66"/>
      <c r="Q3183" s="66"/>
      <c r="R3183" s="54"/>
      <c r="S3183" s="82"/>
      <c r="T3183" s="83" t="str">
        <f t="shared" si="273"/>
        <v/>
      </c>
      <c r="U3183" s="10"/>
      <c r="V3183" s="41">
        <f>IF(AND(Q3183&lt;&gt;"",RIGHT(Q3183,3)&lt;&gt;""),IF(COUNTIF($Q$6:Q3183,Q3183)=1,1,0),0)</f>
        <v>0</v>
      </c>
      <c r="W3183" s="41" t="str">
        <f t="shared" si="274"/>
        <v/>
      </c>
      <c r="X3183" s="41" t="str">
        <f t="shared" si="275"/>
        <v/>
      </c>
    </row>
    <row r="3184" s="32" customFormat="1" hidden="1" customHeight="1" spans="1:24">
      <c r="A3184" s="34"/>
      <c r="B3184" s="51"/>
      <c r="C3184" s="51"/>
      <c r="D3184" s="52"/>
      <c r="E3184" s="53"/>
      <c r="F3184" s="54"/>
      <c r="G3184" s="54"/>
      <c r="H3184" s="54"/>
      <c r="I3184" s="66"/>
      <c r="J3184" s="54"/>
      <c r="K3184" s="54"/>
      <c r="L3184" s="54"/>
      <c r="M3184" s="97" t="str">
        <f t="shared" si="272"/>
        <v/>
      </c>
      <c r="N3184" s="70"/>
      <c r="O3184" s="71" t="str">
        <f t="shared" si="271"/>
        <v/>
      </c>
      <c r="P3184" s="66"/>
      <c r="Q3184" s="66"/>
      <c r="R3184" s="54"/>
      <c r="S3184" s="82"/>
      <c r="T3184" s="83" t="str">
        <f t="shared" si="273"/>
        <v/>
      </c>
      <c r="U3184" s="10"/>
      <c r="V3184" s="41">
        <f>IF(AND(Q3184&lt;&gt;"",RIGHT(Q3184,3)&lt;&gt;""),IF(COUNTIF($Q$6:Q3184,Q3184)=1,1,0),0)</f>
        <v>0</v>
      </c>
      <c r="W3184" s="41" t="str">
        <f t="shared" si="274"/>
        <v/>
      </c>
      <c r="X3184" s="41" t="str">
        <f t="shared" si="275"/>
        <v/>
      </c>
    </row>
    <row r="3185" s="32" customFormat="1" hidden="1" customHeight="1" spans="1:24">
      <c r="A3185" s="34"/>
      <c r="B3185" s="51"/>
      <c r="C3185" s="51"/>
      <c r="D3185" s="52"/>
      <c r="E3185" s="53"/>
      <c r="F3185" s="54"/>
      <c r="G3185" s="54"/>
      <c r="H3185" s="54"/>
      <c r="I3185" s="66"/>
      <c r="J3185" s="54"/>
      <c r="K3185" s="54"/>
      <c r="L3185" s="54"/>
      <c r="M3185" s="97" t="str">
        <f t="shared" si="272"/>
        <v/>
      </c>
      <c r="N3185" s="70"/>
      <c r="O3185" s="71" t="str">
        <f t="shared" ref="O3185:O3248" si="276">IF(AND(Q3185&lt;&gt;"",T3185&lt;&gt;""),"PASSIVE",IF(AND(J3185&lt;&gt;"",M3185&lt;&gt;""),"ACTIVE",""))</f>
        <v/>
      </c>
      <c r="P3185" s="66"/>
      <c r="Q3185" s="66"/>
      <c r="R3185" s="54"/>
      <c r="S3185" s="82"/>
      <c r="T3185" s="83" t="str">
        <f t="shared" si="273"/>
        <v/>
      </c>
      <c r="U3185" s="10"/>
      <c r="V3185" s="41">
        <f>IF(AND(Q3185&lt;&gt;"",RIGHT(Q3185,3)&lt;&gt;""),IF(COUNTIF($Q$6:Q3185,Q3185)=1,1,0),0)</f>
        <v>0</v>
      </c>
      <c r="W3185" s="41" t="str">
        <f t="shared" si="274"/>
        <v/>
      </c>
      <c r="X3185" s="41" t="str">
        <f t="shared" si="275"/>
        <v/>
      </c>
    </row>
    <row r="3186" s="32" customFormat="1" hidden="1" customHeight="1" spans="1:24">
      <c r="A3186" s="34"/>
      <c r="B3186" s="51"/>
      <c r="C3186" s="51"/>
      <c r="D3186" s="52"/>
      <c r="E3186" s="53"/>
      <c r="F3186" s="54"/>
      <c r="G3186" s="54"/>
      <c r="H3186" s="54"/>
      <c r="I3186" s="66"/>
      <c r="J3186" s="54"/>
      <c r="K3186" s="54"/>
      <c r="L3186" s="54"/>
      <c r="M3186" s="97" t="str">
        <f t="shared" si="272"/>
        <v/>
      </c>
      <c r="N3186" s="70"/>
      <c r="O3186" s="71" t="str">
        <f t="shared" si="276"/>
        <v/>
      </c>
      <c r="P3186" s="66"/>
      <c r="Q3186" s="66"/>
      <c r="R3186" s="54"/>
      <c r="S3186" s="82"/>
      <c r="T3186" s="83" t="str">
        <f t="shared" si="273"/>
        <v/>
      </c>
      <c r="U3186" s="10"/>
      <c r="V3186" s="41">
        <f>IF(AND(Q3186&lt;&gt;"",RIGHT(Q3186,3)&lt;&gt;""),IF(COUNTIF($Q$6:Q3186,Q3186)=1,1,0),0)</f>
        <v>0</v>
      </c>
      <c r="W3186" s="41" t="str">
        <f t="shared" si="274"/>
        <v/>
      </c>
      <c r="X3186" s="41" t="str">
        <f t="shared" si="275"/>
        <v/>
      </c>
    </row>
    <row r="3187" s="32" customFormat="1" hidden="1" customHeight="1" spans="1:24">
      <c r="A3187" s="34"/>
      <c r="B3187" s="51"/>
      <c r="C3187" s="51"/>
      <c r="D3187" s="52"/>
      <c r="E3187" s="53"/>
      <c r="F3187" s="54"/>
      <c r="G3187" s="54"/>
      <c r="H3187" s="54"/>
      <c r="I3187" s="66"/>
      <c r="J3187" s="54"/>
      <c r="K3187" s="54"/>
      <c r="L3187" s="54"/>
      <c r="M3187" s="97" t="str">
        <f t="shared" si="272"/>
        <v/>
      </c>
      <c r="N3187" s="70"/>
      <c r="O3187" s="71" t="str">
        <f t="shared" si="276"/>
        <v/>
      </c>
      <c r="P3187" s="66"/>
      <c r="Q3187" s="66"/>
      <c r="R3187" s="54"/>
      <c r="S3187" s="82"/>
      <c r="T3187" s="83" t="str">
        <f t="shared" si="273"/>
        <v/>
      </c>
      <c r="U3187" s="10"/>
      <c r="V3187" s="41">
        <f>IF(AND(Q3187&lt;&gt;"",RIGHT(Q3187,3)&lt;&gt;""),IF(COUNTIF($Q$6:Q3187,Q3187)=1,1,0),0)</f>
        <v>0</v>
      </c>
      <c r="W3187" s="41" t="str">
        <f t="shared" si="274"/>
        <v/>
      </c>
      <c r="X3187" s="41" t="str">
        <f t="shared" si="275"/>
        <v/>
      </c>
    </row>
    <row r="3188" s="32" customFormat="1" hidden="1" customHeight="1" spans="1:24">
      <c r="A3188" s="34"/>
      <c r="B3188" s="51"/>
      <c r="C3188" s="51"/>
      <c r="D3188" s="52"/>
      <c r="E3188" s="53"/>
      <c r="F3188" s="54"/>
      <c r="G3188" s="54"/>
      <c r="H3188" s="54"/>
      <c r="I3188" s="66"/>
      <c r="J3188" s="54"/>
      <c r="K3188" s="54"/>
      <c r="L3188" s="54"/>
      <c r="M3188" s="97" t="str">
        <f t="shared" si="272"/>
        <v/>
      </c>
      <c r="N3188" s="70"/>
      <c r="O3188" s="71" t="str">
        <f t="shared" si="276"/>
        <v/>
      </c>
      <c r="P3188" s="66"/>
      <c r="Q3188" s="66"/>
      <c r="R3188" s="54"/>
      <c r="S3188" s="82"/>
      <c r="T3188" s="83" t="str">
        <f t="shared" si="273"/>
        <v/>
      </c>
      <c r="U3188" s="10"/>
      <c r="V3188" s="41">
        <f>IF(AND(Q3188&lt;&gt;"",RIGHT(Q3188,3)&lt;&gt;""),IF(COUNTIF($Q$6:Q3188,Q3188)=1,1,0),0)</f>
        <v>0</v>
      </c>
      <c r="W3188" s="41" t="str">
        <f t="shared" si="274"/>
        <v/>
      </c>
      <c r="X3188" s="41" t="str">
        <f t="shared" si="275"/>
        <v/>
      </c>
    </row>
    <row r="3189" s="32" customFormat="1" hidden="1" customHeight="1" spans="1:24">
      <c r="A3189" s="34"/>
      <c r="B3189" s="51"/>
      <c r="C3189" s="51"/>
      <c r="D3189" s="52"/>
      <c r="E3189" s="53"/>
      <c r="F3189" s="54"/>
      <c r="G3189" s="54"/>
      <c r="H3189" s="54"/>
      <c r="I3189" s="66"/>
      <c r="J3189" s="54"/>
      <c r="K3189" s="54"/>
      <c r="L3189" s="54"/>
      <c r="M3189" s="97" t="str">
        <f t="shared" si="272"/>
        <v/>
      </c>
      <c r="N3189" s="70"/>
      <c r="O3189" s="71" t="str">
        <f t="shared" si="276"/>
        <v/>
      </c>
      <c r="P3189" s="66"/>
      <c r="Q3189" s="66"/>
      <c r="R3189" s="54"/>
      <c r="S3189" s="82"/>
      <c r="T3189" s="83" t="str">
        <f t="shared" si="273"/>
        <v/>
      </c>
      <c r="U3189" s="10"/>
      <c r="V3189" s="41">
        <f>IF(AND(Q3189&lt;&gt;"",RIGHT(Q3189,3)&lt;&gt;""),IF(COUNTIF($Q$6:Q3189,Q3189)=1,1,0),0)</f>
        <v>0</v>
      </c>
      <c r="W3189" s="41" t="str">
        <f t="shared" si="274"/>
        <v/>
      </c>
      <c r="X3189" s="41" t="str">
        <f t="shared" si="275"/>
        <v/>
      </c>
    </row>
    <row r="3190" s="32" customFormat="1" hidden="1" customHeight="1" spans="1:24">
      <c r="A3190" s="34"/>
      <c r="B3190" s="51"/>
      <c r="C3190" s="51"/>
      <c r="D3190" s="52"/>
      <c r="E3190" s="53"/>
      <c r="F3190" s="54"/>
      <c r="G3190" s="54"/>
      <c r="H3190" s="54"/>
      <c r="I3190" s="66"/>
      <c r="J3190" s="54"/>
      <c r="K3190" s="54"/>
      <c r="L3190" s="54"/>
      <c r="M3190" s="97" t="str">
        <f t="shared" si="272"/>
        <v/>
      </c>
      <c r="N3190" s="70"/>
      <c r="O3190" s="71" t="str">
        <f t="shared" si="276"/>
        <v/>
      </c>
      <c r="P3190" s="66"/>
      <c r="Q3190" s="66"/>
      <c r="R3190" s="54"/>
      <c r="S3190" s="82"/>
      <c r="T3190" s="83" t="str">
        <f t="shared" si="273"/>
        <v/>
      </c>
      <c r="U3190" s="10"/>
      <c r="V3190" s="41">
        <f>IF(AND(Q3190&lt;&gt;"",RIGHT(Q3190,3)&lt;&gt;""),IF(COUNTIF($Q$6:Q3190,Q3190)=1,1,0),0)</f>
        <v>0</v>
      </c>
      <c r="W3190" s="41" t="str">
        <f t="shared" si="274"/>
        <v/>
      </c>
      <c r="X3190" s="41" t="str">
        <f t="shared" si="275"/>
        <v/>
      </c>
    </row>
    <row r="3191" s="32" customFormat="1" hidden="1" customHeight="1" spans="1:24">
      <c r="A3191" s="34"/>
      <c r="B3191" s="51"/>
      <c r="C3191" s="51"/>
      <c r="D3191" s="52"/>
      <c r="E3191" s="53"/>
      <c r="F3191" s="54"/>
      <c r="G3191" s="54"/>
      <c r="H3191" s="54"/>
      <c r="I3191" s="66"/>
      <c r="J3191" s="54"/>
      <c r="K3191" s="54"/>
      <c r="L3191" s="54"/>
      <c r="M3191" s="97" t="str">
        <f t="shared" si="272"/>
        <v/>
      </c>
      <c r="N3191" s="70"/>
      <c r="O3191" s="71" t="str">
        <f t="shared" si="276"/>
        <v/>
      </c>
      <c r="P3191" s="66"/>
      <c r="Q3191" s="66"/>
      <c r="R3191" s="54"/>
      <c r="S3191" s="82"/>
      <c r="T3191" s="83" t="str">
        <f t="shared" si="273"/>
        <v/>
      </c>
      <c r="U3191" s="10"/>
      <c r="V3191" s="41">
        <f>IF(AND(Q3191&lt;&gt;"",RIGHT(Q3191,3)&lt;&gt;""),IF(COUNTIF($Q$6:Q3191,Q3191)=1,1,0),0)</f>
        <v>0</v>
      </c>
      <c r="W3191" s="41" t="str">
        <f t="shared" si="274"/>
        <v/>
      </c>
      <c r="X3191" s="41" t="str">
        <f t="shared" si="275"/>
        <v/>
      </c>
    </row>
    <row r="3192" s="32" customFormat="1" hidden="1" customHeight="1" spans="1:24">
      <c r="A3192" s="34"/>
      <c r="B3192" s="51"/>
      <c r="C3192" s="51"/>
      <c r="D3192" s="52"/>
      <c r="E3192" s="53"/>
      <c r="F3192" s="54"/>
      <c r="G3192" s="54"/>
      <c r="H3192" s="54"/>
      <c r="I3192" s="66"/>
      <c r="J3192" s="54"/>
      <c r="K3192" s="54"/>
      <c r="L3192" s="54"/>
      <c r="M3192" s="97" t="str">
        <f t="shared" si="272"/>
        <v/>
      </c>
      <c r="N3192" s="70"/>
      <c r="O3192" s="71" t="str">
        <f t="shared" si="276"/>
        <v/>
      </c>
      <c r="P3192" s="66"/>
      <c r="Q3192" s="66"/>
      <c r="R3192" s="54"/>
      <c r="S3192" s="82"/>
      <c r="T3192" s="83" t="str">
        <f t="shared" si="273"/>
        <v/>
      </c>
      <c r="U3192" s="10"/>
      <c r="V3192" s="41">
        <f>IF(AND(Q3192&lt;&gt;"",RIGHT(Q3192,3)&lt;&gt;""),IF(COUNTIF($Q$6:Q3192,Q3192)=1,1,0),0)</f>
        <v>0</v>
      </c>
      <c r="W3192" s="41" t="str">
        <f t="shared" si="274"/>
        <v/>
      </c>
      <c r="X3192" s="41" t="str">
        <f t="shared" si="275"/>
        <v/>
      </c>
    </row>
    <row r="3193" s="32" customFormat="1" hidden="1" customHeight="1" spans="1:24">
      <c r="A3193" s="34"/>
      <c r="B3193" s="51"/>
      <c r="C3193" s="51"/>
      <c r="D3193" s="52"/>
      <c r="E3193" s="53"/>
      <c r="F3193" s="54"/>
      <c r="G3193" s="54"/>
      <c r="H3193" s="54"/>
      <c r="I3193" s="66"/>
      <c r="J3193" s="54"/>
      <c r="K3193" s="54"/>
      <c r="L3193" s="54"/>
      <c r="M3193" s="97" t="str">
        <f t="shared" si="272"/>
        <v/>
      </c>
      <c r="N3193" s="70"/>
      <c r="O3193" s="71" t="str">
        <f t="shared" si="276"/>
        <v/>
      </c>
      <c r="P3193" s="66"/>
      <c r="Q3193" s="66"/>
      <c r="R3193" s="54"/>
      <c r="S3193" s="82"/>
      <c r="T3193" s="83" t="str">
        <f t="shared" si="273"/>
        <v/>
      </c>
      <c r="U3193" s="10"/>
      <c r="V3193" s="41">
        <f>IF(AND(Q3193&lt;&gt;"",RIGHT(Q3193,3)&lt;&gt;""),IF(COUNTIF($Q$6:Q3193,Q3193)=1,1,0),0)</f>
        <v>0</v>
      </c>
      <c r="W3193" s="41" t="str">
        <f t="shared" si="274"/>
        <v/>
      </c>
      <c r="X3193" s="41" t="str">
        <f t="shared" si="275"/>
        <v/>
      </c>
    </row>
    <row r="3194" s="32" customFormat="1" hidden="1" customHeight="1" spans="1:24">
      <c r="A3194" s="34"/>
      <c r="B3194" s="51"/>
      <c r="C3194" s="51"/>
      <c r="D3194" s="52"/>
      <c r="E3194" s="53"/>
      <c r="F3194" s="54"/>
      <c r="G3194" s="54"/>
      <c r="H3194" s="54"/>
      <c r="I3194" s="66"/>
      <c r="J3194" s="54"/>
      <c r="K3194" s="54"/>
      <c r="L3194" s="54"/>
      <c r="M3194" s="97" t="str">
        <f t="shared" si="272"/>
        <v/>
      </c>
      <c r="N3194" s="70"/>
      <c r="O3194" s="71" t="str">
        <f t="shared" si="276"/>
        <v/>
      </c>
      <c r="P3194" s="66"/>
      <c r="Q3194" s="66"/>
      <c r="R3194" s="54"/>
      <c r="S3194" s="82"/>
      <c r="T3194" s="83" t="str">
        <f t="shared" si="273"/>
        <v/>
      </c>
      <c r="U3194" s="10"/>
      <c r="V3194" s="41">
        <f>IF(AND(Q3194&lt;&gt;"",RIGHT(Q3194,3)&lt;&gt;""),IF(COUNTIF($Q$6:Q3194,Q3194)=1,1,0),0)</f>
        <v>0</v>
      </c>
      <c r="W3194" s="41" t="str">
        <f t="shared" si="274"/>
        <v/>
      </c>
      <c r="X3194" s="41" t="str">
        <f t="shared" si="275"/>
        <v/>
      </c>
    </row>
    <row r="3195" s="32" customFormat="1" hidden="1" customHeight="1" spans="1:24">
      <c r="A3195" s="34"/>
      <c r="B3195" s="51"/>
      <c r="C3195" s="51"/>
      <c r="D3195" s="52"/>
      <c r="E3195" s="53"/>
      <c r="F3195" s="54"/>
      <c r="G3195" s="54"/>
      <c r="H3195" s="54"/>
      <c r="I3195" s="66"/>
      <c r="J3195" s="54"/>
      <c r="K3195" s="54"/>
      <c r="L3195" s="54"/>
      <c r="M3195" s="97" t="str">
        <f t="shared" si="272"/>
        <v/>
      </c>
      <c r="N3195" s="70"/>
      <c r="O3195" s="71" t="str">
        <f t="shared" si="276"/>
        <v/>
      </c>
      <c r="P3195" s="66"/>
      <c r="Q3195" s="66"/>
      <c r="R3195" s="54"/>
      <c r="S3195" s="82"/>
      <c r="T3195" s="83" t="str">
        <f t="shared" si="273"/>
        <v/>
      </c>
      <c r="U3195" s="10"/>
      <c r="V3195" s="41">
        <f>IF(AND(Q3195&lt;&gt;"",RIGHT(Q3195,3)&lt;&gt;""),IF(COUNTIF($Q$6:Q3195,Q3195)=1,1,0),0)</f>
        <v>0</v>
      </c>
      <c r="W3195" s="41" t="str">
        <f t="shared" si="274"/>
        <v/>
      </c>
      <c r="X3195" s="41" t="str">
        <f t="shared" si="275"/>
        <v/>
      </c>
    </row>
    <row r="3196" s="32" customFormat="1" hidden="1" customHeight="1" spans="1:24">
      <c r="A3196" s="34"/>
      <c r="B3196" s="51"/>
      <c r="C3196" s="51"/>
      <c r="D3196" s="52"/>
      <c r="E3196" s="53"/>
      <c r="F3196" s="54"/>
      <c r="G3196" s="54"/>
      <c r="H3196" s="54"/>
      <c r="I3196" s="66"/>
      <c r="J3196" s="54"/>
      <c r="K3196" s="54"/>
      <c r="L3196" s="54"/>
      <c r="M3196" s="97" t="str">
        <f t="shared" si="272"/>
        <v/>
      </c>
      <c r="N3196" s="70"/>
      <c r="O3196" s="71" t="str">
        <f t="shared" si="276"/>
        <v/>
      </c>
      <c r="P3196" s="66"/>
      <c r="Q3196" s="66"/>
      <c r="R3196" s="54"/>
      <c r="S3196" s="82"/>
      <c r="T3196" s="83" t="str">
        <f t="shared" si="273"/>
        <v/>
      </c>
      <c r="U3196" s="10"/>
      <c r="V3196" s="41">
        <f>IF(AND(Q3196&lt;&gt;"",RIGHT(Q3196,3)&lt;&gt;""),IF(COUNTIF($Q$6:Q3196,Q3196)=1,1,0),0)</f>
        <v>0</v>
      </c>
      <c r="W3196" s="41" t="str">
        <f t="shared" si="274"/>
        <v/>
      </c>
      <c r="X3196" s="41" t="str">
        <f t="shared" si="275"/>
        <v/>
      </c>
    </row>
    <row r="3197" s="32" customFormat="1" hidden="1" customHeight="1" spans="1:24">
      <c r="A3197" s="34"/>
      <c r="B3197" s="51"/>
      <c r="C3197" s="51"/>
      <c r="D3197" s="52"/>
      <c r="E3197" s="53"/>
      <c r="F3197" s="54"/>
      <c r="G3197" s="54"/>
      <c r="H3197" s="54"/>
      <c r="I3197" s="66"/>
      <c r="J3197" s="54"/>
      <c r="K3197" s="54"/>
      <c r="L3197" s="54"/>
      <c r="M3197" s="97" t="str">
        <f t="shared" si="272"/>
        <v/>
      </c>
      <c r="N3197" s="70"/>
      <c r="O3197" s="71" t="str">
        <f t="shared" si="276"/>
        <v/>
      </c>
      <c r="P3197" s="66"/>
      <c r="Q3197" s="66"/>
      <c r="R3197" s="54"/>
      <c r="S3197" s="82"/>
      <c r="T3197" s="83" t="str">
        <f t="shared" si="273"/>
        <v/>
      </c>
      <c r="U3197" s="10"/>
      <c r="V3197" s="41">
        <f>IF(AND(Q3197&lt;&gt;"",RIGHT(Q3197,3)&lt;&gt;""),IF(COUNTIF($Q$6:Q3197,Q3197)=1,1,0),0)</f>
        <v>0</v>
      </c>
      <c r="W3197" s="41" t="str">
        <f t="shared" si="274"/>
        <v/>
      </c>
      <c r="X3197" s="41" t="str">
        <f t="shared" si="275"/>
        <v/>
      </c>
    </row>
    <row r="3198" s="32" customFormat="1" hidden="1" customHeight="1" spans="1:24">
      <c r="A3198" s="34"/>
      <c r="B3198" s="51"/>
      <c r="C3198" s="51"/>
      <c r="D3198" s="52"/>
      <c r="E3198" s="53"/>
      <c r="F3198" s="54"/>
      <c r="G3198" s="54"/>
      <c r="H3198" s="54"/>
      <c r="I3198" s="66"/>
      <c r="J3198" s="54"/>
      <c r="K3198" s="54"/>
      <c r="L3198" s="54"/>
      <c r="M3198" s="97" t="str">
        <f t="shared" si="272"/>
        <v/>
      </c>
      <c r="N3198" s="70"/>
      <c r="O3198" s="71" t="str">
        <f t="shared" si="276"/>
        <v/>
      </c>
      <c r="P3198" s="66"/>
      <c r="Q3198" s="66"/>
      <c r="R3198" s="54"/>
      <c r="S3198" s="82"/>
      <c r="T3198" s="83" t="str">
        <f t="shared" si="273"/>
        <v/>
      </c>
      <c r="U3198" s="10"/>
      <c r="V3198" s="41">
        <f>IF(AND(Q3198&lt;&gt;"",RIGHT(Q3198,3)&lt;&gt;""),IF(COUNTIF($Q$6:Q3198,Q3198)=1,1,0),0)</f>
        <v>0</v>
      </c>
      <c r="W3198" s="41" t="str">
        <f t="shared" si="274"/>
        <v/>
      </c>
      <c r="X3198" s="41" t="str">
        <f t="shared" si="275"/>
        <v/>
      </c>
    </row>
    <row r="3199" s="32" customFormat="1" hidden="1" customHeight="1" spans="1:24">
      <c r="A3199" s="34"/>
      <c r="B3199" s="51"/>
      <c r="C3199" s="51"/>
      <c r="D3199" s="52"/>
      <c r="E3199" s="53"/>
      <c r="F3199" s="54"/>
      <c r="G3199" s="54"/>
      <c r="H3199" s="54"/>
      <c r="I3199" s="66"/>
      <c r="J3199" s="54"/>
      <c r="K3199" s="54"/>
      <c r="L3199" s="54"/>
      <c r="M3199" s="97" t="str">
        <f t="shared" si="272"/>
        <v/>
      </c>
      <c r="N3199" s="70"/>
      <c r="O3199" s="71" t="str">
        <f t="shared" si="276"/>
        <v/>
      </c>
      <c r="P3199" s="66"/>
      <c r="Q3199" s="66"/>
      <c r="R3199" s="54"/>
      <c r="S3199" s="82"/>
      <c r="T3199" s="83" t="str">
        <f t="shared" si="273"/>
        <v/>
      </c>
      <c r="U3199" s="10"/>
      <c r="V3199" s="41">
        <f>IF(AND(Q3199&lt;&gt;"",RIGHT(Q3199,3)&lt;&gt;""),IF(COUNTIF($Q$6:Q3199,Q3199)=1,1,0),0)</f>
        <v>0</v>
      </c>
      <c r="W3199" s="41" t="str">
        <f t="shared" si="274"/>
        <v/>
      </c>
      <c r="X3199" s="41" t="str">
        <f t="shared" si="275"/>
        <v/>
      </c>
    </row>
    <row r="3200" s="32" customFormat="1" hidden="1" customHeight="1" spans="1:24">
      <c r="A3200" s="34"/>
      <c r="B3200" s="51"/>
      <c r="C3200" s="51"/>
      <c r="D3200" s="52"/>
      <c r="E3200" s="53"/>
      <c r="F3200" s="54"/>
      <c r="G3200" s="54"/>
      <c r="H3200" s="54"/>
      <c r="I3200" s="66"/>
      <c r="J3200" s="54"/>
      <c r="K3200" s="54"/>
      <c r="L3200" s="54"/>
      <c r="M3200" s="97" t="str">
        <f t="shared" si="272"/>
        <v/>
      </c>
      <c r="N3200" s="70"/>
      <c r="O3200" s="71" t="str">
        <f t="shared" si="276"/>
        <v/>
      </c>
      <c r="P3200" s="66"/>
      <c r="Q3200" s="66"/>
      <c r="R3200" s="54"/>
      <c r="S3200" s="82"/>
      <c r="T3200" s="83" t="str">
        <f t="shared" si="273"/>
        <v/>
      </c>
      <c r="U3200" s="10"/>
      <c r="V3200" s="41">
        <f>IF(AND(Q3200&lt;&gt;"",RIGHT(Q3200,3)&lt;&gt;""),IF(COUNTIF($Q$6:Q3200,Q3200)=1,1,0),0)</f>
        <v>0</v>
      </c>
      <c r="W3200" s="41" t="str">
        <f t="shared" si="274"/>
        <v/>
      </c>
      <c r="X3200" s="41" t="str">
        <f t="shared" si="275"/>
        <v/>
      </c>
    </row>
    <row r="3201" s="32" customFormat="1" hidden="1" customHeight="1" spans="1:24">
      <c r="A3201" s="34"/>
      <c r="B3201" s="51"/>
      <c r="C3201" s="51"/>
      <c r="D3201" s="52"/>
      <c r="E3201" s="53"/>
      <c r="F3201" s="54"/>
      <c r="G3201" s="54"/>
      <c r="H3201" s="54"/>
      <c r="I3201" s="66"/>
      <c r="J3201" s="54"/>
      <c r="K3201" s="54"/>
      <c r="L3201" s="54"/>
      <c r="M3201" s="97" t="str">
        <f t="shared" si="272"/>
        <v/>
      </c>
      <c r="N3201" s="70"/>
      <c r="O3201" s="71" t="str">
        <f t="shared" si="276"/>
        <v/>
      </c>
      <c r="P3201" s="66"/>
      <c r="Q3201" s="66"/>
      <c r="R3201" s="54"/>
      <c r="S3201" s="82"/>
      <c r="T3201" s="83" t="str">
        <f t="shared" si="273"/>
        <v/>
      </c>
      <c r="U3201" s="10"/>
      <c r="V3201" s="41">
        <f>IF(AND(Q3201&lt;&gt;"",RIGHT(Q3201,3)&lt;&gt;""),IF(COUNTIF($Q$6:Q3201,Q3201)=1,1,0),0)</f>
        <v>0</v>
      </c>
      <c r="W3201" s="41" t="str">
        <f t="shared" si="274"/>
        <v/>
      </c>
      <c r="X3201" s="41" t="str">
        <f t="shared" si="275"/>
        <v/>
      </c>
    </row>
    <row r="3202" s="32" customFormat="1" hidden="1" customHeight="1" spans="1:24">
      <c r="A3202" s="34"/>
      <c r="B3202" s="51"/>
      <c r="C3202" s="51"/>
      <c r="D3202" s="52"/>
      <c r="E3202" s="53"/>
      <c r="F3202" s="54"/>
      <c r="G3202" s="54"/>
      <c r="H3202" s="54"/>
      <c r="I3202" s="66"/>
      <c r="J3202" s="54"/>
      <c r="K3202" s="54"/>
      <c r="L3202" s="54"/>
      <c r="M3202" s="97" t="str">
        <f t="shared" si="272"/>
        <v/>
      </c>
      <c r="N3202" s="70"/>
      <c r="O3202" s="71" t="str">
        <f t="shared" si="276"/>
        <v/>
      </c>
      <c r="P3202" s="66"/>
      <c r="Q3202" s="66"/>
      <c r="R3202" s="54"/>
      <c r="S3202" s="82"/>
      <c r="T3202" s="83" t="str">
        <f t="shared" si="273"/>
        <v/>
      </c>
      <c r="U3202" s="10"/>
      <c r="V3202" s="41">
        <f>IF(AND(Q3202&lt;&gt;"",RIGHT(Q3202,3)&lt;&gt;""),IF(COUNTIF($Q$6:Q3202,Q3202)=1,1,0),0)</f>
        <v>0</v>
      </c>
      <c r="W3202" s="41" t="str">
        <f t="shared" si="274"/>
        <v/>
      </c>
      <c r="X3202" s="41" t="str">
        <f t="shared" si="275"/>
        <v/>
      </c>
    </row>
    <row r="3203" s="32" customFormat="1" hidden="1" customHeight="1" spans="1:24">
      <c r="A3203" s="34"/>
      <c r="B3203" s="51"/>
      <c r="C3203" s="51"/>
      <c r="D3203" s="52"/>
      <c r="E3203" s="53"/>
      <c r="F3203" s="54"/>
      <c r="G3203" s="54"/>
      <c r="H3203" s="54"/>
      <c r="I3203" s="66"/>
      <c r="J3203" s="54"/>
      <c r="K3203" s="54"/>
      <c r="L3203" s="54"/>
      <c r="M3203" s="97" t="str">
        <f t="shared" si="272"/>
        <v/>
      </c>
      <c r="N3203" s="70"/>
      <c r="O3203" s="71" t="str">
        <f t="shared" si="276"/>
        <v/>
      </c>
      <c r="P3203" s="66"/>
      <c r="Q3203" s="66"/>
      <c r="R3203" s="54"/>
      <c r="S3203" s="82"/>
      <c r="T3203" s="83" t="str">
        <f t="shared" si="273"/>
        <v/>
      </c>
      <c r="U3203" s="10"/>
      <c r="V3203" s="41">
        <f>IF(AND(Q3203&lt;&gt;"",RIGHT(Q3203,3)&lt;&gt;""),IF(COUNTIF($Q$6:Q3203,Q3203)=1,1,0),0)</f>
        <v>0</v>
      </c>
      <c r="W3203" s="41" t="str">
        <f t="shared" si="274"/>
        <v/>
      </c>
      <c r="X3203" s="41" t="str">
        <f t="shared" si="275"/>
        <v/>
      </c>
    </row>
    <row r="3204" s="32" customFormat="1" hidden="1" customHeight="1" spans="1:24">
      <c r="A3204" s="34"/>
      <c r="B3204" s="51"/>
      <c r="C3204" s="51"/>
      <c r="D3204" s="52"/>
      <c r="E3204" s="53"/>
      <c r="F3204" s="54"/>
      <c r="G3204" s="54"/>
      <c r="H3204" s="54"/>
      <c r="I3204" s="66"/>
      <c r="J3204" s="54"/>
      <c r="K3204" s="54"/>
      <c r="L3204" s="54"/>
      <c r="M3204" s="97" t="str">
        <f t="shared" si="272"/>
        <v/>
      </c>
      <c r="N3204" s="70"/>
      <c r="O3204" s="71" t="str">
        <f t="shared" si="276"/>
        <v/>
      </c>
      <c r="P3204" s="66"/>
      <c r="Q3204" s="66"/>
      <c r="R3204" s="54"/>
      <c r="S3204" s="82"/>
      <c r="T3204" s="83" t="str">
        <f t="shared" si="273"/>
        <v/>
      </c>
      <c r="U3204" s="10"/>
      <c r="V3204" s="41">
        <f>IF(AND(Q3204&lt;&gt;"",RIGHT(Q3204,3)&lt;&gt;""),IF(COUNTIF($Q$6:Q3204,Q3204)=1,1,0),0)</f>
        <v>0</v>
      </c>
      <c r="W3204" s="41" t="str">
        <f t="shared" si="274"/>
        <v/>
      </c>
      <c r="X3204" s="41" t="str">
        <f t="shared" si="275"/>
        <v/>
      </c>
    </row>
    <row r="3205" s="32" customFormat="1" hidden="1" customHeight="1" spans="1:24">
      <c r="A3205" s="34"/>
      <c r="B3205" s="51"/>
      <c r="C3205" s="51"/>
      <c r="D3205" s="52"/>
      <c r="E3205" s="53"/>
      <c r="F3205" s="54"/>
      <c r="G3205" s="54"/>
      <c r="H3205" s="54"/>
      <c r="I3205" s="66"/>
      <c r="J3205" s="54"/>
      <c r="K3205" s="54"/>
      <c r="L3205" s="54"/>
      <c r="M3205" s="97" t="str">
        <f t="shared" si="272"/>
        <v/>
      </c>
      <c r="N3205" s="70"/>
      <c r="O3205" s="71" t="str">
        <f t="shared" si="276"/>
        <v/>
      </c>
      <c r="P3205" s="66"/>
      <c r="Q3205" s="66"/>
      <c r="R3205" s="54"/>
      <c r="S3205" s="82"/>
      <c r="T3205" s="83" t="str">
        <f t="shared" si="273"/>
        <v/>
      </c>
      <c r="U3205" s="10"/>
      <c r="V3205" s="41">
        <f>IF(AND(Q3205&lt;&gt;"",RIGHT(Q3205,3)&lt;&gt;""),IF(COUNTIF($Q$6:Q3205,Q3205)=1,1,0),0)</f>
        <v>0</v>
      </c>
      <c r="W3205" s="41" t="str">
        <f t="shared" si="274"/>
        <v/>
      </c>
      <c r="X3205" s="41" t="str">
        <f t="shared" si="275"/>
        <v/>
      </c>
    </row>
    <row r="3206" s="32" customFormat="1" hidden="1" customHeight="1" spans="1:24">
      <c r="A3206" s="34"/>
      <c r="B3206" s="51"/>
      <c r="C3206" s="51"/>
      <c r="D3206" s="52"/>
      <c r="E3206" s="53"/>
      <c r="F3206" s="54"/>
      <c r="G3206" s="54"/>
      <c r="H3206" s="54"/>
      <c r="I3206" s="66"/>
      <c r="J3206" s="54"/>
      <c r="K3206" s="54"/>
      <c r="L3206" s="54"/>
      <c r="M3206" s="97" t="str">
        <f t="shared" si="272"/>
        <v/>
      </c>
      <c r="N3206" s="70"/>
      <c r="O3206" s="71" t="str">
        <f t="shared" si="276"/>
        <v/>
      </c>
      <c r="P3206" s="66"/>
      <c r="Q3206" s="66"/>
      <c r="R3206" s="54"/>
      <c r="S3206" s="82"/>
      <c r="T3206" s="83" t="str">
        <f t="shared" si="273"/>
        <v/>
      </c>
      <c r="U3206" s="10"/>
      <c r="V3206" s="41">
        <f>IF(AND(Q3206&lt;&gt;"",RIGHT(Q3206,3)&lt;&gt;""),IF(COUNTIF($Q$6:Q3206,Q3206)=1,1,0),0)</f>
        <v>0</v>
      </c>
      <c r="W3206" s="41" t="str">
        <f t="shared" si="274"/>
        <v/>
      </c>
      <c r="X3206" s="41" t="str">
        <f t="shared" si="275"/>
        <v/>
      </c>
    </row>
    <row r="3207" s="32" customFormat="1" hidden="1" customHeight="1" spans="1:24">
      <c r="A3207" s="34"/>
      <c r="B3207" s="51"/>
      <c r="C3207" s="51"/>
      <c r="D3207" s="52"/>
      <c r="E3207" s="53"/>
      <c r="F3207" s="54"/>
      <c r="G3207" s="54"/>
      <c r="H3207" s="54"/>
      <c r="I3207" s="66"/>
      <c r="J3207" s="54"/>
      <c r="K3207" s="54"/>
      <c r="L3207" s="54"/>
      <c r="M3207" s="97" t="str">
        <f t="shared" si="272"/>
        <v/>
      </c>
      <c r="N3207" s="70"/>
      <c r="O3207" s="71" t="str">
        <f t="shared" si="276"/>
        <v/>
      </c>
      <c r="P3207" s="66"/>
      <c r="Q3207" s="66"/>
      <c r="R3207" s="54"/>
      <c r="S3207" s="82"/>
      <c r="T3207" s="83" t="str">
        <f t="shared" si="273"/>
        <v/>
      </c>
      <c r="U3207" s="10"/>
      <c r="V3207" s="41">
        <f>IF(AND(Q3207&lt;&gt;"",RIGHT(Q3207,3)&lt;&gt;""),IF(COUNTIF($Q$6:Q3207,Q3207)=1,1,0),0)</f>
        <v>0</v>
      </c>
      <c r="W3207" s="41" t="str">
        <f t="shared" si="274"/>
        <v/>
      </c>
      <c r="X3207" s="41" t="str">
        <f t="shared" si="275"/>
        <v/>
      </c>
    </row>
    <row r="3208" s="32" customFormat="1" hidden="1" customHeight="1" spans="1:24">
      <c r="A3208" s="34"/>
      <c r="B3208" s="51"/>
      <c r="C3208" s="51"/>
      <c r="D3208" s="52"/>
      <c r="E3208" s="53"/>
      <c r="F3208" s="54"/>
      <c r="G3208" s="54"/>
      <c r="H3208" s="54"/>
      <c r="I3208" s="66"/>
      <c r="J3208" s="54"/>
      <c r="K3208" s="54"/>
      <c r="L3208" s="54"/>
      <c r="M3208" s="97" t="str">
        <f t="shared" si="272"/>
        <v/>
      </c>
      <c r="N3208" s="70"/>
      <c r="O3208" s="71" t="str">
        <f t="shared" si="276"/>
        <v/>
      </c>
      <c r="P3208" s="66"/>
      <c r="Q3208" s="66"/>
      <c r="R3208" s="54"/>
      <c r="S3208" s="82"/>
      <c r="T3208" s="83" t="str">
        <f t="shared" si="273"/>
        <v/>
      </c>
      <c r="U3208" s="10"/>
      <c r="V3208" s="41">
        <f>IF(AND(Q3208&lt;&gt;"",RIGHT(Q3208,3)&lt;&gt;""),IF(COUNTIF($Q$6:Q3208,Q3208)=1,1,0),0)</f>
        <v>0</v>
      </c>
      <c r="W3208" s="41" t="str">
        <f t="shared" si="274"/>
        <v/>
      </c>
      <c r="X3208" s="41" t="str">
        <f t="shared" si="275"/>
        <v/>
      </c>
    </row>
    <row r="3209" s="32" customFormat="1" hidden="1" customHeight="1" spans="1:24">
      <c r="A3209" s="34"/>
      <c r="B3209" s="51"/>
      <c r="C3209" s="51"/>
      <c r="D3209" s="52"/>
      <c r="E3209" s="53"/>
      <c r="F3209" s="54"/>
      <c r="G3209" s="54"/>
      <c r="H3209" s="54"/>
      <c r="I3209" s="66"/>
      <c r="J3209" s="54"/>
      <c r="K3209" s="54"/>
      <c r="L3209" s="54"/>
      <c r="M3209" s="97" t="str">
        <f t="shared" si="272"/>
        <v/>
      </c>
      <c r="N3209" s="70"/>
      <c r="O3209" s="71" t="str">
        <f t="shared" si="276"/>
        <v/>
      </c>
      <c r="P3209" s="66"/>
      <c r="Q3209" s="66"/>
      <c r="R3209" s="54"/>
      <c r="S3209" s="82"/>
      <c r="T3209" s="83" t="str">
        <f t="shared" si="273"/>
        <v/>
      </c>
      <c r="U3209" s="10"/>
      <c r="V3209" s="41">
        <f>IF(AND(Q3209&lt;&gt;"",RIGHT(Q3209,3)&lt;&gt;""),IF(COUNTIF($Q$6:Q3209,Q3209)=1,1,0),0)</f>
        <v>0</v>
      </c>
      <c r="W3209" s="41" t="str">
        <f t="shared" si="274"/>
        <v/>
      </c>
      <c r="X3209" s="41" t="str">
        <f t="shared" si="275"/>
        <v/>
      </c>
    </row>
    <row r="3210" s="32" customFormat="1" hidden="1" customHeight="1" spans="1:24">
      <c r="A3210" s="34"/>
      <c r="B3210" s="51"/>
      <c r="C3210" s="51"/>
      <c r="D3210" s="52"/>
      <c r="E3210" s="53"/>
      <c r="F3210" s="54"/>
      <c r="G3210" s="54"/>
      <c r="H3210" s="54"/>
      <c r="I3210" s="66"/>
      <c r="J3210" s="54"/>
      <c r="K3210" s="54"/>
      <c r="L3210" s="54"/>
      <c r="M3210" s="97" t="str">
        <f t="shared" si="272"/>
        <v/>
      </c>
      <c r="N3210" s="70"/>
      <c r="O3210" s="71" t="str">
        <f t="shared" si="276"/>
        <v/>
      </c>
      <c r="P3210" s="66"/>
      <c r="Q3210" s="66"/>
      <c r="R3210" s="54"/>
      <c r="S3210" s="82"/>
      <c r="T3210" s="83" t="str">
        <f t="shared" si="273"/>
        <v/>
      </c>
      <c r="U3210" s="10"/>
      <c r="V3210" s="41">
        <f>IF(AND(Q3210&lt;&gt;"",RIGHT(Q3210,3)&lt;&gt;""),IF(COUNTIF($Q$6:Q3210,Q3210)=1,1,0),0)</f>
        <v>0</v>
      </c>
      <c r="W3210" s="41" t="str">
        <f t="shared" si="274"/>
        <v/>
      </c>
      <c r="X3210" s="41" t="str">
        <f t="shared" si="275"/>
        <v/>
      </c>
    </row>
    <row r="3211" s="32" customFormat="1" hidden="1" customHeight="1" spans="1:24">
      <c r="A3211" s="34"/>
      <c r="B3211" s="51"/>
      <c r="C3211" s="51"/>
      <c r="D3211" s="52"/>
      <c r="E3211" s="53"/>
      <c r="F3211" s="54"/>
      <c r="G3211" s="54"/>
      <c r="H3211" s="54"/>
      <c r="I3211" s="66"/>
      <c r="J3211" s="54"/>
      <c r="K3211" s="54"/>
      <c r="L3211" s="54"/>
      <c r="M3211" s="97" t="str">
        <f t="shared" si="272"/>
        <v/>
      </c>
      <c r="N3211" s="70"/>
      <c r="O3211" s="71" t="str">
        <f t="shared" si="276"/>
        <v/>
      </c>
      <c r="P3211" s="66"/>
      <c r="Q3211" s="66"/>
      <c r="R3211" s="54"/>
      <c r="S3211" s="82"/>
      <c r="T3211" s="83" t="str">
        <f t="shared" si="273"/>
        <v/>
      </c>
      <c r="U3211" s="10"/>
      <c r="V3211" s="41">
        <f>IF(AND(Q3211&lt;&gt;"",RIGHT(Q3211,3)&lt;&gt;""),IF(COUNTIF($Q$6:Q3211,Q3211)=1,1,0),0)</f>
        <v>0</v>
      </c>
      <c r="W3211" s="41" t="str">
        <f t="shared" si="274"/>
        <v/>
      </c>
      <c r="X3211" s="41" t="str">
        <f t="shared" si="275"/>
        <v/>
      </c>
    </row>
    <row r="3212" s="32" customFormat="1" hidden="1" customHeight="1" spans="1:24">
      <c r="A3212" s="34"/>
      <c r="B3212" s="51"/>
      <c r="C3212" s="51"/>
      <c r="D3212" s="52"/>
      <c r="E3212" s="53"/>
      <c r="F3212" s="54"/>
      <c r="G3212" s="54"/>
      <c r="H3212" s="54"/>
      <c r="I3212" s="66"/>
      <c r="J3212" s="54"/>
      <c r="K3212" s="54"/>
      <c r="L3212" s="54"/>
      <c r="M3212" s="97" t="str">
        <f t="shared" si="272"/>
        <v/>
      </c>
      <c r="N3212" s="70"/>
      <c r="O3212" s="71" t="str">
        <f t="shared" si="276"/>
        <v/>
      </c>
      <c r="P3212" s="66"/>
      <c r="Q3212" s="66"/>
      <c r="R3212" s="54"/>
      <c r="S3212" s="82"/>
      <c r="T3212" s="83" t="str">
        <f t="shared" si="273"/>
        <v/>
      </c>
      <c r="U3212" s="10"/>
      <c r="V3212" s="41">
        <f>IF(AND(Q3212&lt;&gt;"",RIGHT(Q3212,3)&lt;&gt;""),IF(COUNTIF($Q$6:Q3212,Q3212)=1,1,0),0)</f>
        <v>0</v>
      </c>
      <c r="W3212" s="41" t="str">
        <f t="shared" si="274"/>
        <v/>
      </c>
      <c r="X3212" s="41" t="str">
        <f t="shared" si="275"/>
        <v/>
      </c>
    </row>
    <row r="3213" s="32" customFormat="1" hidden="1" customHeight="1" spans="1:24">
      <c r="A3213" s="34"/>
      <c r="B3213" s="51"/>
      <c r="C3213" s="51"/>
      <c r="D3213" s="52"/>
      <c r="E3213" s="53"/>
      <c r="F3213" s="54"/>
      <c r="G3213" s="54"/>
      <c r="H3213" s="54"/>
      <c r="I3213" s="66"/>
      <c r="J3213" s="54"/>
      <c r="K3213" s="54"/>
      <c r="L3213" s="54"/>
      <c r="M3213" s="97" t="str">
        <f t="shared" si="272"/>
        <v/>
      </c>
      <c r="N3213" s="70"/>
      <c r="O3213" s="71" t="str">
        <f t="shared" si="276"/>
        <v/>
      </c>
      <c r="P3213" s="66"/>
      <c r="Q3213" s="66"/>
      <c r="R3213" s="54"/>
      <c r="S3213" s="82"/>
      <c r="T3213" s="83" t="str">
        <f t="shared" si="273"/>
        <v/>
      </c>
      <c r="U3213" s="10"/>
      <c r="V3213" s="41">
        <f>IF(AND(Q3213&lt;&gt;"",RIGHT(Q3213,3)&lt;&gt;""),IF(COUNTIF($Q$6:Q3213,Q3213)=1,1,0),0)</f>
        <v>0</v>
      </c>
      <c r="W3213" s="41" t="str">
        <f t="shared" si="274"/>
        <v/>
      </c>
      <c r="X3213" s="41" t="str">
        <f t="shared" si="275"/>
        <v/>
      </c>
    </row>
    <row r="3214" s="32" customFormat="1" hidden="1" customHeight="1" spans="1:24">
      <c r="A3214" s="34"/>
      <c r="B3214" s="51"/>
      <c r="C3214" s="51"/>
      <c r="D3214" s="52"/>
      <c r="E3214" s="53"/>
      <c r="F3214" s="54"/>
      <c r="G3214" s="54"/>
      <c r="H3214" s="54"/>
      <c r="I3214" s="66"/>
      <c r="J3214" s="54"/>
      <c r="K3214" s="54"/>
      <c r="L3214" s="54"/>
      <c r="M3214" s="97" t="str">
        <f t="shared" si="272"/>
        <v/>
      </c>
      <c r="N3214" s="70"/>
      <c r="O3214" s="71" t="str">
        <f t="shared" si="276"/>
        <v/>
      </c>
      <c r="P3214" s="66"/>
      <c r="Q3214" s="66"/>
      <c r="R3214" s="54"/>
      <c r="S3214" s="82"/>
      <c r="T3214" s="83" t="str">
        <f t="shared" si="273"/>
        <v/>
      </c>
      <c r="U3214" s="10"/>
      <c r="V3214" s="41">
        <f>IF(AND(Q3214&lt;&gt;"",RIGHT(Q3214,3)&lt;&gt;""),IF(COUNTIF($Q$6:Q3214,Q3214)=1,1,0),0)</f>
        <v>0</v>
      </c>
      <c r="W3214" s="41" t="str">
        <f t="shared" si="274"/>
        <v/>
      </c>
      <c r="X3214" s="41" t="str">
        <f t="shared" si="275"/>
        <v/>
      </c>
    </row>
    <row r="3215" s="32" customFormat="1" hidden="1" customHeight="1" spans="1:24">
      <c r="A3215" s="34"/>
      <c r="B3215" s="51"/>
      <c r="C3215" s="51"/>
      <c r="D3215" s="52"/>
      <c r="E3215" s="53"/>
      <c r="F3215" s="54"/>
      <c r="G3215" s="54"/>
      <c r="H3215" s="54"/>
      <c r="I3215" s="66"/>
      <c r="J3215" s="54"/>
      <c r="K3215" s="54"/>
      <c r="L3215" s="54"/>
      <c r="M3215" s="97" t="str">
        <f t="shared" si="272"/>
        <v/>
      </c>
      <c r="N3215" s="70"/>
      <c r="O3215" s="71" t="str">
        <f t="shared" si="276"/>
        <v/>
      </c>
      <c r="P3215" s="66"/>
      <c r="Q3215" s="66"/>
      <c r="R3215" s="54"/>
      <c r="S3215" s="82"/>
      <c r="T3215" s="83" t="str">
        <f t="shared" si="273"/>
        <v/>
      </c>
      <c r="U3215" s="10"/>
      <c r="V3215" s="41">
        <f>IF(AND(Q3215&lt;&gt;"",RIGHT(Q3215,3)&lt;&gt;""),IF(COUNTIF($Q$6:Q3215,Q3215)=1,1,0),0)</f>
        <v>0</v>
      </c>
      <c r="W3215" s="41" t="str">
        <f t="shared" si="274"/>
        <v/>
      </c>
      <c r="X3215" s="41" t="str">
        <f t="shared" si="275"/>
        <v/>
      </c>
    </row>
    <row r="3216" s="32" customFormat="1" hidden="1" customHeight="1" spans="1:24">
      <c r="A3216" s="34"/>
      <c r="B3216" s="51"/>
      <c r="C3216" s="51"/>
      <c r="D3216" s="52"/>
      <c r="E3216" s="53"/>
      <c r="F3216" s="54"/>
      <c r="G3216" s="54"/>
      <c r="H3216" s="54"/>
      <c r="I3216" s="66"/>
      <c r="J3216" s="54"/>
      <c r="K3216" s="54"/>
      <c r="L3216" s="54"/>
      <c r="M3216" s="97" t="str">
        <f t="shared" si="272"/>
        <v/>
      </c>
      <c r="N3216" s="70"/>
      <c r="O3216" s="71" t="str">
        <f t="shared" si="276"/>
        <v/>
      </c>
      <c r="P3216" s="66"/>
      <c r="Q3216" s="66"/>
      <c r="R3216" s="54"/>
      <c r="S3216" s="82"/>
      <c r="T3216" s="83" t="str">
        <f t="shared" si="273"/>
        <v/>
      </c>
      <c r="U3216" s="10"/>
      <c r="V3216" s="41">
        <f>IF(AND(Q3216&lt;&gt;"",RIGHT(Q3216,3)&lt;&gt;""),IF(COUNTIF($Q$6:Q3216,Q3216)=1,1,0),0)</f>
        <v>0</v>
      </c>
      <c r="W3216" s="41" t="str">
        <f t="shared" si="274"/>
        <v/>
      </c>
      <c r="X3216" s="41" t="str">
        <f t="shared" si="275"/>
        <v/>
      </c>
    </row>
    <row r="3217" s="32" customFormat="1" hidden="1" customHeight="1" spans="1:24">
      <c r="A3217" s="34"/>
      <c r="B3217" s="51"/>
      <c r="C3217" s="51"/>
      <c r="D3217" s="52"/>
      <c r="E3217" s="53"/>
      <c r="F3217" s="54"/>
      <c r="G3217" s="54"/>
      <c r="H3217" s="54"/>
      <c r="I3217" s="66"/>
      <c r="J3217" s="54"/>
      <c r="K3217" s="54"/>
      <c r="L3217" s="54"/>
      <c r="M3217" s="97" t="str">
        <f t="shared" si="272"/>
        <v/>
      </c>
      <c r="N3217" s="70"/>
      <c r="O3217" s="71" t="str">
        <f t="shared" si="276"/>
        <v/>
      </c>
      <c r="P3217" s="66"/>
      <c r="Q3217" s="66"/>
      <c r="R3217" s="54"/>
      <c r="S3217" s="82"/>
      <c r="T3217" s="83" t="str">
        <f t="shared" si="273"/>
        <v/>
      </c>
      <c r="U3217" s="10"/>
      <c r="V3217" s="41">
        <f>IF(AND(Q3217&lt;&gt;"",RIGHT(Q3217,3)&lt;&gt;""),IF(COUNTIF($Q$6:Q3217,Q3217)=1,1,0),0)</f>
        <v>0</v>
      </c>
      <c r="W3217" s="41" t="str">
        <f t="shared" si="274"/>
        <v/>
      </c>
      <c r="X3217" s="41" t="str">
        <f t="shared" si="275"/>
        <v/>
      </c>
    </row>
    <row r="3218" s="32" customFormat="1" hidden="1" customHeight="1" spans="1:24">
      <c r="A3218" s="34"/>
      <c r="B3218" s="51"/>
      <c r="C3218" s="51"/>
      <c r="D3218" s="52"/>
      <c r="E3218" s="53"/>
      <c r="F3218" s="54"/>
      <c r="G3218" s="54"/>
      <c r="H3218" s="54"/>
      <c r="I3218" s="66"/>
      <c r="J3218" s="54"/>
      <c r="K3218" s="54"/>
      <c r="L3218" s="54"/>
      <c r="M3218" s="97" t="str">
        <f t="shared" si="272"/>
        <v/>
      </c>
      <c r="N3218" s="70"/>
      <c r="O3218" s="71" t="str">
        <f t="shared" si="276"/>
        <v/>
      </c>
      <c r="P3218" s="66"/>
      <c r="Q3218" s="66"/>
      <c r="R3218" s="54"/>
      <c r="S3218" s="82"/>
      <c r="T3218" s="83" t="str">
        <f t="shared" si="273"/>
        <v/>
      </c>
      <c r="U3218" s="10"/>
      <c r="V3218" s="41">
        <f>IF(AND(Q3218&lt;&gt;"",RIGHT(Q3218,3)&lt;&gt;""),IF(COUNTIF($Q$6:Q3218,Q3218)=1,1,0),0)</f>
        <v>0</v>
      </c>
      <c r="W3218" s="41" t="str">
        <f t="shared" si="274"/>
        <v/>
      </c>
      <c r="X3218" s="41" t="str">
        <f t="shared" si="275"/>
        <v/>
      </c>
    </row>
    <row r="3219" s="32" customFormat="1" hidden="1" customHeight="1" spans="1:24">
      <c r="A3219" s="34"/>
      <c r="B3219" s="51"/>
      <c r="C3219" s="51"/>
      <c r="D3219" s="52"/>
      <c r="E3219" s="53"/>
      <c r="F3219" s="54"/>
      <c r="G3219" s="54"/>
      <c r="H3219" s="54"/>
      <c r="I3219" s="66"/>
      <c r="J3219" s="54"/>
      <c r="K3219" s="54"/>
      <c r="L3219" s="54"/>
      <c r="M3219" s="97" t="str">
        <f t="shared" si="272"/>
        <v/>
      </c>
      <c r="N3219" s="70"/>
      <c r="O3219" s="71" t="str">
        <f t="shared" si="276"/>
        <v/>
      </c>
      <c r="P3219" s="66"/>
      <c r="Q3219" s="66"/>
      <c r="R3219" s="54"/>
      <c r="S3219" s="82"/>
      <c r="T3219" s="83" t="str">
        <f t="shared" si="273"/>
        <v/>
      </c>
      <c r="U3219" s="10"/>
      <c r="V3219" s="41">
        <f>IF(AND(Q3219&lt;&gt;"",RIGHT(Q3219,3)&lt;&gt;""),IF(COUNTIF($Q$6:Q3219,Q3219)=1,1,0),0)</f>
        <v>0</v>
      </c>
      <c r="W3219" s="41" t="str">
        <f t="shared" si="274"/>
        <v/>
      </c>
      <c r="X3219" s="41" t="str">
        <f t="shared" si="275"/>
        <v/>
      </c>
    </row>
    <row r="3220" s="32" customFormat="1" hidden="1" customHeight="1" spans="1:24">
      <c r="A3220" s="34"/>
      <c r="B3220" s="51"/>
      <c r="C3220" s="51"/>
      <c r="D3220" s="52"/>
      <c r="E3220" s="53"/>
      <c r="F3220" s="54"/>
      <c r="G3220" s="54"/>
      <c r="H3220" s="54"/>
      <c r="I3220" s="66"/>
      <c r="J3220" s="54"/>
      <c r="K3220" s="54"/>
      <c r="L3220" s="54"/>
      <c r="M3220" s="97" t="str">
        <f t="shared" si="272"/>
        <v/>
      </c>
      <c r="N3220" s="70"/>
      <c r="O3220" s="71" t="str">
        <f t="shared" si="276"/>
        <v/>
      </c>
      <c r="P3220" s="66"/>
      <c r="Q3220" s="66"/>
      <c r="R3220" s="54"/>
      <c r="S3220" s="82"/>
      <c r="T3220" s="83" t="str">
        <f t="shared" si="273"/>
        <v/>
      </c>
      <c r="U3220" s="10"/>
      <c r="V3220" s="41">
        <f>IF(AND(Q3220&lt;&gt;"",RIGHT(Q3220,3)&lt;&gt;""),IF(COUNTIF($Q$6:Q3220,Q3220)=1,1,0),0)</f>
        <v>0</v>
      </c>
      <c r="W3220" s="41" t="str">
        <f t="shared" si="274"/>
        <v/>
      </c>
      <c r="X3220" s="41" t="str">
        <f t="shared" si="275"/>
        <v/>
      </c>
    </row>
    <row r="3221" s="32" customFormat="1" hidden="1" customHeight="1" spans="1:24">
      <c r="A3221" s="34"/>
      <c r="B3221" s="51"/>
      <c r="C3221" s="51"/>
      <c r="D3221" s="52"/>
      <c r="E3221" s="53"/>
      <c r="F3221" s="54"/>
      <c r="G3221" s="54"/>
      <c r="H3221" s="54"/>
      <c r="I3221" s="66"/>
      <c r="J3221" s="54"/>
      <c r="K3221" s="54"/>
      <c r="L3221" s="54"/>
      <c r="M3221" s="97" t="str">
        <f t="shared" si="272"/>
        <v/>
      </c>
      <c r="N3221" s="70"/>
      <c r="O3221" s="71" t="str">
        <f t="shared" si="276"/>
        <v/>
      </c>
      <c r="P3221" s="66"/>
      <c r="Q3221" s="66"/>
      <c r="R3221" s="54"/>
      <c r="S3221" s="82"/>
      <c r="T3221" s="83" t="str">
        <f t="shared" si="273"/>
        <v/>
      </c>
      <c r="U3221" s="10"/>
      <c r="V3221" s="41">
        <f>IF(AND(Q3221&lt;&gt;"",RIGHT(Q3221,3)&lt;&gt;""),IF(COUNTIF($Q$6:Q3221,Q3221)=1,1,0),0)</f>
        <v>0</v>
      </c>
      <c r="W3221" s="41" t="str">
        <f t="shared" si="274"/>
        <v/>
      </c>
      <c r="X3221" s="41" t="str">
        <f t="shared" si="275"/>
        <v/>
      </c>
    </row>
    <row r="3222" s="32" customFormat="1" hidden="1" customHeight="1" spans="1:24">
      <c r="A3222" s="34"/>
      <c r="B3222" s="51"/>
      <c r="C3222" s="51"/>
      <c r="D3222" s="52"/>
      <c r="E3222" s="53"/>
      <c r="F3222" s="54"/>
      <c r="G3222" s="54"/>
      <c r="H3222" s="54"/>
      <c r="I3222" s="66"/>
      <c r="J3222" s="54"/>
      <c r="K3222" s="54"/>
      <c r="L3222" s="54"/>
      <c r="M3222" s="97" t="str">
        <f t="shared" si="272"/>
        <v/>
      </c>
      <c r="N3222" s="70"/>
      <c r="O3222" s="71" t="str">
        <f t="shared" si="276"/>
        <v/>
      </c>
      <c r="P3222" s="66"/>
      <c r="Q3222" s="66"/>
      <c r="R3222" s="54"/>
      <c r="S3222" s="82"/>
      <c r="T3222" s="83" t="str">
        <f t="shared" si="273"/>
        <v/>
      </c>
      <c r="U3222" s="10"/>
      <c r="V3222" s="41">
        <f>IF(AND(Q3222&lt;&gt;"",RIGHT(Q3222,3)&lt;&gt;""),IF(COUNTIF($Q$6:Q3222,Q3222)=1,1,0),0)</f>
        <v>0</v>
      </c>
      <c r="W3222" s="41" t="str">
        <f t="shared" si="274"/>
        <v/>
      </c>
      <c r="X3222" s="41" t="str">
        <f t="shared" si="275"/>
        <v/>
      </c>
    </row>
    <row r="3223" s="32" customFormat="1" hidden="1" customHeight="1" spans="1:24">
      <c r="A3223" s="34"/>
      <c r="B3223" s="51"/>
      <c r="C3223" s="51"/>
      <c r="D3223" s="52"/>
      <c r="E3223" s="53"/>
      <c r="F3223" s="54"/>
      <c r="G3223" s="54"/>
      <c r="H3223" s="54"/>
      <c r="I3223" s="66"/>
      <c r="J3223" s="54"/>
      <c r="K3223" s="54"/>
      <c r="L3223" s="54"/>
      <c r="M3223" s="97" t="str">
        <f t="shared" si="272"/>
        <v/>
      </c>
      <c r="N3223" s="70"/>
      <c r="O3223" s="71" t="str">
        <f t="shared" si="276"/>
        <v/>
      </c>
      <c r="P3223" s="66"/>
      <c r="Q3223" s="66"/>
      <c r="R3223" s="54"/>
      <c r="S3223" s="82"/>
      <c r="T3223" s="83" t="str">
        <f t="shared" si="273"/>
        <v/>
      </c>
      <c r="U3223" s="10"/>
      <c r="V3223" s="41">
        <f>IF(AND(Q3223&lt;&gt;"",RIGHT(Q3223,3)&lt;&gt;""),IF(COUNTIF($Q$6:Q3223,Q3223)=1,1,0),0)</f>
        <v>0</v>
      </c>
      <c r="W3223" s="41" t="str">
        <f t="shared" si="274"/>
        <v/>
      </c>
      <c r="X3223" s="41" t="str">
        <f t="shared" si="275"/>
        <v/>
      </c>
    </row>
    <row r="3224" s="32" customFormat="1" hidden="1" customHeight="1" spans="1:24">
      <c r="A3224" s="34"/>
      <c r="B3224" s="51"/>
      <c r="C3224" s="51"/>
      <c r="D3224" s="52"/>
      <c r="E3224" s="53"/>
      <c r="F3224" s="54"/>
      <c r="G3224" s="54"/>
      <c r="H3224" s="54"/>
      <c r="I3224" s="66"/>
      <c r="J3224" s="54"/>
      <c r="K3224" s="54"/>
      <c r="L3224" s="54"/>
      <c r="M3224" s="97" t="str">
        <f t="shared" si="272"/>
        <v/>
      </c>
      <c r="N3224" s="70"/>
      <c r="O3224" s="71" t="str">
        <f t="shared" si="276"/>
        <v/>
      </c>
      <c r="P3224" s="66"/>
      <c r="Q3224" s="66"/>
      <c r="R3224" s="54"/>
      <c r="S3224" s="82"/>
      <c r="T3224" s="83" t="str">
        <f t="shared" si="273"/>
        <v/>
      </c>
      <c r="U3224" s="10"/>
      <c r="V3224" s="41">
        <f>IF(AND(Q3224&lt;&gt;"",RIGHT(Q3224,3)&lt;&gt;""),IF(COUNTIF($Q$6:Q3224,Q3224)=1,1,0),0)</f>
        <v>0</v>
      </c>
      <c r="W3224" s="41" t="str">
        <f t="shared" si="274"/>
        <v/>
      </c>
      <c r="X3224" s="41" t="str">
        <f t="shared" si="275"/>
        <v/>
      </c>
    </row>
    <row r="3225" s="32" customFormat="1" hidden="1" customHeight="1" spans="1:24">
      <c r="A3225" s="34"/>
      <c r="B3225" s="51"/>
      <c r="C3225" s="51"/>
      <c r="D3225" s="52"/>
      <c r="E3225" s="53"/>
      <c r="F3225" s="54"/>
      <c r="G3225" s="54"/>
      <c r="H3225" s="54"/>
      <c r="I3225" s="66"/>
      <c r="J3225" s="54"/>
      <c r="K3225" s="54"/>
      <c r="L3225" s="54"/>
      <c r="M3225" s="97" t="str">
        <f t="shared" si="272"/>
        <v/>
      </c>
      <c r="N3225" s="70"/>
      <c r="O3225" s="71" t="str">
        <f t="shared" si="276"/>
        <v/>
      </c>
      <c r="P3225" s="66"/>
      <c r="Q3225" s="66"/>
      <c r="R3225" s="54"/>
      <c r="S3225" s="82"/>
      <c r="T3225" s="83" t="str">
        <f t="shared" si="273"/>
        <v/>
      </c>
      <c r="U3225" s="10"/>
      <c r="V3225" s="41">
        <f>IF(AND(Q3225&lt;&gt;"",RIGHT(Q3225,3)&lt;&gt;""),IF(COUNTIF($Q$6:Q3225,Q3225)=1,1,0),0)</f>
        <v>0</v>
      </c>
      <c r="W3225" s="41" t="str">
        <f t="shared" si="274"/>
        <v/>
      </c>
      <c r="X3225" s="41" t="str">
        <f t="shared" si="275"/>
        <v/>
      </c>
    </row>
    <row r="3226" s="32" customFormat="1" hidden="1" customHeight="1" spans="1:24">
      <c r="A3226" s="34"/>
      <c r="B3226" s="51"/>
      <c r="C3226" s="51"/>
      <c r="D3226" s="52"/>
      <c r="E3226" s="53"/>
      <c r="F3226" s="54"/>
      <c r="G3226" s="54"/>
      <c r="H3226" s="54"/>
      <c r="I3226" s="66"/>
      <c r="J3226" s="54"/>
      <c r="K3226" s="54"/>
      <c r="L3226" s="54"/>
      <c r="M3226" s="97" t="str">
        <f t="shared" si="272"/>
        <v/>
      </c>
      <c r="N3226" s="70"/>
      <c r="O3226" s="71" t="str">
        <f t="shared" si="276"/>
        <v/>
      </c>
      <c r="P3226" s="66"/>
      <c r="Q3226" s="66"/>
      <c r="R3226" s="54"/>
      <c r="S3226" s="82"/>
      <c r="T3226" s="83" t="str">
        <f t="shared" si="273"/>
        <v/>
      </c>
      <c r="U3226" s="10"/>
      <c r="V3226" s="41">
        <f>IF(AND(Q3226&lt;&gt;"",RIGHT(Q3226,3)&lt;&gt;""),IF(COUNTIF($Q$6:Q3226,Q3226)=1,1,0),0)</f>
        <v>0</v>
      </c>
      <c r="W3226" s="41" t="str">
        <f t="shared" si="274"/>
        <v/>
      </c>
      <c r="X3226" s="41" t="str">
        <f t="shared" si="275"/>
        <v/>
      </c>
    </row>
    <row r="3227" s="32" customFormat="1" hidden="1" customHeight="1" spans="1:24">
      <c r="A3227" s="34"/>
      <c r="B3227" s="51"/>
      <c r="C3227" s="51"/>
      <c r="D3227" s="52"/>
      <c r="E3227" s="53"/>
      <c r="F3227" s="54"/>
      <c r="G3227" s="54"/>
      <c r="H3227" s="54"/>
      <c r="I3227" s="66"/>
      <c r="J3227" s="54"/>
      <c r="K3227" s="54"/>
      <c r="L3227" s="54"/>
      <c r="M3227" s="97" t="str">
        <f t="shared" si="272"/>
        <v/>
      </c>
      <c r="N3227" s="70"/>
      <c r="O3227" s="71" t="str">
        <f t="shared" si="276"/>
        <v/>
      </c>
      <c r="P3227" s="66"/>
      <c r="Q3227" s="66"/>
      <c r="R3227" s="54"/>
      <c r="S3227" s="82"/>
      <c r="T3227" s="83" t="str">
        <f t="shared" si="273"/>
        <v/>
      </c>
      <c r="U3227" s="10"/>
      <c r="V3227" s="41">
        <f>IF(AND(Q3227&lt;&gt;"",RIGHT(Q3227,3)&lt;&gt;""),IF(COUNTIF($Q$6:Q3227,Q3227)=1,1,0),0)</f>
        <v>0</v>
      </c>
      <c r="W3227" s="41" t="str">
        <f t="shared" si="274"/>
        <v/>
      </c>
      <c r="X3227" s="41" t="str">
        <f t="shared" si="275"/>
        <v/>
      </c>
    </row>
    <row r="3228" s="32" customFormat="1" hidden="1" customHeight="1" spans="1:24">
      <c r="A3228" s="34"/>
      <c r="B3228" s="51"/>
      <c r="C3228" s="51"/>
      <c r="D3228" s="52"/>
      <c r="E3228" s="53"/>
      <c r="F3228" s="54"/>
      <c r="G3228" s="54"/>
      <c r="H3228" s="54"/>
      <c r="I3228" s="66"/>
      <c r="J3228" s="54"/>
      <c r="K3228" s="54"/>
      <c r="L3228" s="54"/>
      <c r="M3228" s="97" t="str">
        <f t="shared" si="272"/>
        <v/>
      </c>
      <c r="N3228" s="70"/>
      <c r="O3228" s="71" t="str">
        <f t="shared" si="276"/>
        <v/>
      </c>
      <c r="P3228" s="66"/>
      <c r="Q3228" s="66"/>
      <c r="R3228" s="54"/>
      <c r="S3228" s="82"/>
      <c r="T3228" s="83" t="str">
        <f t="shared" si="273"/>
        <v/>
      </c>
      <c r="U3228" s="10"/>
      <c r="V3228" s="41">
        <f>IF(AND(Q3228&lt;&gt;"",RIGHT(Q3228,3)&lt;&gt;""),IF(COUNTIF($Q$6:Q3228,Q3228)=1,1,0),0)</f>
        <v>0</v>
      </c>
      <c r="W3228" s="41" t="str">
        <f t="shared" si="274"/>
        <v/>
      </c>
      <c r="X3228" s="41" t="str">
        <f t="shared" si="275"/>
        <v/>
      </c>
    </row>
    <row r="3229" s="32" customFormat="1" hidden="1" customHeight="1" spans="1:24">
      <c r="A3229" s="34"/>
      <c r="B3229" s="51"/>
      <c r="C3229" s="51"/>
      <c r="D3229" s="52"/>
      <c r="E3229" s="53"/>
      <c r="F3229" s="54"/>
      <c r="G3229" s="54"/>
      <c r="H3229" s="54"/>
      <c r="I3229" s="66"/>
      <c r="J3229" s="54"/>
      <c r="K3229" s="54"/>
      <c r="L3229" s="54"/>
      <c r="M3229" s="97" t="str">
        <f t="shared" si="272"/>
        <v/>
      </c>
      <c r="N3229" s="70"/>
      <c r="O3229" s="71" t="str">
        <f t="shared" si="276"/>
        <v/>
      </c>
      <c r="P3229" s="66"/>
      <c r="Q3229" s="66"/>
      <c r="R3229" s="54"/>
      <c r="S3229" s="82"/>
      <c r="T3229" s="83" t="str">
        <f t="shared" si="273"/>
        <v/>
      </c>
      <c r="U3229" s="10"/>
      <c r="V3229" s="41">
        <f>IF(AND(Q3229&lt;&gt;"",RIGHT(Q3229,3)&lt;&gt;""),IF(COUNTIF($Q$6:Q3229,Q3229)=1,1,0),0)</f>
        <v>0</v>
      </c>
      <c r="W3229" s="41" t="str">
        <f t="shared" si="274"/>
        <v/>
      </c>
      <c r="X3229" s="41" t="str">
        <f t="shared" si="275"/>
        <v/>
      </c>
    </row>
    <row r="3230" s="32" customFormat="1" hidden="1" customHeight="1" spans="1:24">
      <c r="A3230" s="34"/>
      <c r="B3230" s="51"/>
      <c r="C3230" s="51"/>
      <c r="D3230" s="52"/>
      <c r="E3230" s="53"/>
      <c r="F3230" s="54"/>
      <c r="G3230" s="54"/>
      <c r="H3230" s="54"/>
      <c r="I3230" s="66"/>
      <c r="J3230" s="54"/>
      <c r="K3230" s="54"/>
      <c r="L3230" s="54"/>
      <c r="M3230" s="97" t="str">
        <f t="shared" si="272"/>
        <v/>
      </c>
      <c r="N3230" s="70"/>
      <c r="O3230" s="71" t="str">
        <f t="shared" si="276"/>
        <v/>
      </c>
      <c r="P3230" s="66"/>
      <c r="Q3230" s="66"/>
      <c r="R3230" s="54"/>
      <c r="S3230" s="82"/>
      <c r="T3230" s="83" t="str">
        <f t="shared" si="273"/>
        <v/>
      </c>
      <c r="U3230" s="10"/>
      <c r="V3230" s="41">
        <f>IF(AND(Q3230&lt;&gt;"",RIGHT(Q3230,3)&lt;&gt;""),IF(COUNTIF($Q$6:Q3230,Q3230)=1,1,0),0)</f>
        <v>0</v>
      </c>
      <c r="W3230" s="41" t="str">
        <f t="shared" si="274"/>
        <v/>
      </c>
      <c r="X3230" s="41" t="str">
        <f t="shared" si="275"/>
        <v/>
      </c>
    </row>
    <row r="3231" s="32" customFormat="1" hidden="1" customHeight="1" spans="1:24">
      <c r="A3231" s="34"/>
      <c r="B3231" s="51"/>
      <c r="C3231" s="51"/>
      <c r="D3231" s="52"/>
      <c r="E3231" s="53"/>
      <c r="F3231" s="54"/>
      <c r="G3231" s="54"/>
      <c r="H3231" s="54"/>
      <c r="I3231" s="66"/>
      <c r="J3231" s="54"/>
      <c r="K3231" s="54"/>
      <c r="L3231" s="54"/>
      <c r="M3231" s="97" t="str">
        <f t="shared" si="272"/>
        <v/>
      </c>
      <c r="N3231" s="70"/>
      <c r="O3231" s="71" t="str">
        <f t="shared" si="276"/>
        <v/>
      </c>
      <c r="P3231" s="66"/>
      <c r="Q3231" s="66"/>
      <c r="R3231" s="54"/>
      <c r="S3231" s="82"/>
      <c r="T3231" s="83" t="str">
        <f t="shared" si="273"/>
        <v/>
      </c>
      <c r="U3231" s="10"/>
      <c r="V3231" s="41">
        <f>IF(AND(Q3231&lt;&gt;"",RIGHT(Q3231,3)&lt;&gt;""),IF(COUNTIF($Q$6:Q3231,Q3231)=1,1,0),0)</f>
        <v>0</v>
      </c>
      <c r="W3231" s="41" t="str">
        <f t="shared" si="274"/>
        <v/>
      </c>
      <c r="X3231" s="41" t="str">
        <f t="shared" si="275"/>
        <v/>
      </c>
    </row>
    <row r="3232" s="32" customFormat="1" hidden="1" customHeight="1" spans="1:24">
      <c r="A3232" s="34"/>
      <c r="B3232" s="51"/>
      <c r="C3232" s="51"/>
      <c r="D3232" s="52"/>
      <c r="E3232" s="53"/>
      <c r="F3232" s="54"/>
      <c r="G3232" s="54"/>
      <c r="H3232" s="54"/>
      <c r="I3232" s="66"/>
      <c r="J3232" s="54"/>
      <c r="K3232" s="54"/>
      <c r="L3232" s="54"/>
      <c r="M3232" s="97" t="str">
        <f t="shared" si="272"/>
        <v/>
      </c>
      <c r="N3232" s="70"/>
      <c r="O3232" s="71" t="str">
        <f t="shared" si="276"/>
        <v/>
      </c>
      <c r="P3232" s="66"/>
      <c r="Q3232" s="66"/>
      <c r="R3232" s="54"/>
      <c r="S3232" s="82"/>
      <c r="T3232" s="83" t="str">
        <f t="shared" si="273"/>
        <v/>
      </c>
      <c r="U3232" s="10"/>
      <c r="V3232" s="41">
        <f>IF(AND(Q3232&lt;&gt;"",RIGHT(Q3232,3)&lt;&gt;""),IF(COUNTIF($Q$6:Q3232,Q3232)=1,1,0),0)</f>
        <v>0</v>
      </c>
      <c r="W3232" s="41" t="str">
        <f t="shared" si="274"/>
        <v/>
      </c>
      <c r="X3232" s="41" t="str">
        <f t="shared" si="275"/>
        <v/>
      </c>
    </row>
    <row r="3233" s="32" customFormat="1" hidden="1" customHeight="1" spans="1:24">
      <c r="A3233" s="34"/>
      <c r="B3233" s="51"/>
      <c r="C3233" s="51"/>
      <c r="D3233" s="52"/>
      <c r="E3233" s="53"/>
      <c r="F3233" s="54"/>
      <c r="G3233" s="54"/>
      <c r="H3233" s="54"/>
      <c r="I3233" s="66"/>
      <c r="J3233" s="54"/>
      <c r="K3233" s="54"/>
      <c r="L3233" s="54"/>
      <c r="M3233" s="97" t="str">
        <f t="shared" si="272"/>
        <v/>
      </c>
      <c r="N3233" s="70"/>
      <c r="O3233" s="71" t="str">
        <f t="shared" si="276"/>
        <v/>
      </c>
      <c r="P3233" s="66"/>
      <c r="Q3233" s="66"/>
      <c r="R3233" s="54"/>
      <c r="S3233" s="82"/>
      <c r="T3233" s="83" t="str">
        <f t="shared" si="273"/>
        <v/>
      </c>
      <c r="U3233" s="10"/>
      <c r="V3233" s="41">
        <f>IF(AND(Q3233&lt;&gt;"",RIGHT(Q3233,3)&lt;&gt;""),IF(COUNTIF($Q$6:Q3233,Q3233)=1,1,0),0)</f>
        <v>0</v>
      </c>
      <c r="W3233" s="41" t="str">
        <f t="shared" si="274"/>
        <v/>
      </c>
      <c r="X3233" s="41" t="str">
        <f t="shared" si="275"/>
        <v/>
      </c>
    </row>
    <row r="3234" s="32" customFormat="1" hidden="1" customHeight="1" spans="1:24">
      <c r="A3234" s="34"/>
      <c r="B3234" s="51"/>
      <c r="C3234" s="51"/>
      <c r="D3234" s="52"/>
      <c r="E3234" s="53"/>
      <c r="F3234" s="54"/>
      <c r="G3234" s="54"/>
      <c r="H3234" s="54"/>
      <c r="I3234" s="66"/>
      <c r="J3234" s="54"/>
      <c r="K3234" s="54"/>
      <c r="L3234" s="54"/>
      <c r="M3234" s="97" t="str">
        <f t="shared" si="272"/>
        <v/>
      </c>
      <c r="N3234" s="70"/>
      <c r="O3234" s="71" t="str">
        <f t="shared" si="276"/>
        <v/>
      </c>
      <c r="P3234" s="66"/>
      <c r="Q3234" s="66"/>
      <c r="R3234" s="54"/>
      <c r="S3234" s="82"/>
      <c r="T3234" s="83" t="str">
        <f t="shared" si="273"/>
        <v/>
      </c>
      <c r="U3234" s="10"/>
      <c r="V3234" s="41">
        <f>IF(AND(Q3234&lt;&gt;"",RIGHT(Q3234,3)&lt;&gt;""),IF(COUNTIF($Q$6:Q3234,Q3234)=1,1,0),0)</f>
        <v>0</v>
      </c>
      <c r="W3234" s="41" t="str">
        <f t="shared" si="274"/>
        <v/>
      </c>
      <c r="X3234" s="41" t="str">
        <f t="shared" si="275"/>
        <v/>
      </c>
    </row>
    <row r="3235" s="32" customFormat="1" hidden="1" customHeight="1" spans="1:24">
      <c r="A3235" s="34"/>
      <c r="B3235" s="51"/>
      <c r="C3235" s="51"/>
      <c r="D3235" s="52"/>
      <c r="E3235" s="53"/>
      <c r="F3235" s="54"/>
      <c r="G3235" s="54"/>
      <c r="H3235" s="54"/>
      <c r="I3235" s="66"/>
      <c r="J3235" s="54"/>
      <c r="K3235" s="54"/>
      <c r="L3235" s="54"/>
      <c r="M3235" s="97" t="str">
        <f t="shared" si="272"/>
        <v/>
      </c>
      <c r="N3235" s="70"/>
      <c r="O3235" s="71" t="str">
        <f t="shared" si="276"/>
        <v/>
      </c>
      <c r="P3235" s="66"/>
      <c r="Q3235" s="66"/>
      <c r="R3235" s="54"/>
      <c r="S3235" s="82"/>
      <c r="T3235" s="83" t="str">
        <f t="shared" si="273"/>
        <v/>
      </c>
      <c r="U3235" s="10"/>
      <c r="V3235" s="41">
        <f>IF(AND(Q3235&lt;&gt;"",RIGHT(Q3235,3)&lt;&gt;""),IF(COUNTIF($Q$6:Q3235,Q3235)=1,1,0),0)</f>
        <v>0</v>
      </c>
      <c r="W3235" s="41" t="str">
        <f t="shared" si="274"/>
        <v/>
      </c>
      <c r="X3235" s="41" t="str">
        <f t="shared" si="275"/>
        <v/>
      </c>
    </row>
    <row r="3236" s="32" customFormat="1" hidden="1" customHeight="1" spans="1:24">
      <c r="A3236" s="34"/>
      <c r="B3236" s="51"/>
      <c r="C3236" s="51"/>
      <c r="D3236" s="52"/>
      <c r="E3236" s="53"/>
      <c r="F3236" s="54"/>
      <c r="G3236" s="54"/>
      <c r="H3236" s="54"/>
      <c r="I3236" s="66"/>
      <c r="J3236" s="54"/>
      <c r="K3236" s="54"/>
      <c r="L3236" s="54"/>
      <c r="M3236" s="97" t="str">
        <f t="shared" ref="M3236:M3299" si="277">IF(L3236="","",HYPERLINK(_xlfn.CONCAT($L$4,L3236,".jpg"),"Open File"))</f>
        <v/>
      </c>
      <c r="N3236" s="70"/>
      <c r="O3236" s="71" t="str">
        <f t="shared" si="276"/>
        <v/>
      </c>
      <c r="P3236" s="66"/>
      <c r="Q3236" s="66"/>
      <c r="R3236" s="54"/>
      <c r="S3236" s="82"/>
      <c r="T3236" s="83" t="str">
        <f t="shared" ref="T3236:T3299" si="278">IF(S3236="","",HYPERLINK(_xlfn.CONCAT($S$4,S3236,".jpg"),"Open File"))</f>
        <v/>
      </c>
      <c r="U3236" s="10"/>
      <c r="V3236" s="41">
        <f>IF(AND(Q3236&lt;&gt;"",RIGHT(Q3236,3)&lt;&gt;""),IF(COUNTIF($Q$6:Q3236,Q3236)=1,1,0),0)</f>
        <v>0</v>
      </c>
      <c r="W3236" s="41" t="str">
        <f t="shared" ref="W3236:W3299" si="279">IF(AND(J3236&lt;&gt;"",K3236&lt;&gt;""),_xlfn.CONCAT(SUBSTITUTE(J3236,"/","."),"-",K3236),"")</f>
        <v/>
      </c>
      <c r="X3236" s="41" t="str">
        <f t="shared" ref="X3236:X3299" si="280">IF(AND(Q3236&lt;&gt;"",R3236&lt;&gt;""),_xlfn.CONCAT(SUBSTITUTE(Q3236,"/","."),"-",R3236),"")</f>
        <v/>
      </c>
    </row>
    <row r="3237" s="32" customFormat="1" hidden="1" customHeight="1" spans="1:24">
      <c r="A3237" s="34"/>
      <c r="B3237" s="51"/>
      <c r="C3237" s="51"/>
      <c r="D3237" s="52"/>
      <c r="E3237" s="53"/>
      <c r="F3237" s="54"/>
      <c r="G3237" s="54"/>
      <c r="H3237" s="54"/>
      <c r="I3237" s="66"/>
      <c r="J3237" s="54"/>
      <c r="K3237" s="54"/>
      <c r="L3237" s="54"/>
      <c r="M3237" s="97" t="str">
        <f t="shared" si="277"/>
        <v/>
      </c>
      <c r="N3237" s="70"/>
      <c r="O3237" s="71" t="str">
        <f t="shared" si="276"/>
        <v/>
      </c>
      <c r="P3237" s="66"/>
      <c r="Q3237" s="66"/>
      <c r="R3237" s="54"/>
      <c r="S3237" s="82"/>
      <c r="T3237" s="83" t="str">
        <f t="shared" si="278"/>
        <v/>
      </c>
      <c r="U3237" s="10"/>
      <c r="V3237" s="41">
        <f>IF(AND(Q3237&lt;&gt;"",RIGHT(Q3237,3)&lt;&gt;""),IF(COUNTIF($Q$6:Q3237,Q3237)=1,1,0),0)</f>
        <v>0</v>
      </c>
      <c r="W3237" s="41" t="str">
        <f t="shared" si="279"/>
        <v/>
      </c>
      <c r="X3237" s="41" t="str">
        <f t="shared" si="280"/>
        <v/>
      </c>
    </row>
    <row r="3238" s="32" customFormat="1" hidden="1" customHeight="1" spans="1:24">
      <c r="A3238" s="34"/>
      <c r="B3238" s="51"/>
      <c r="C3238" s="51"/>
      <c r="D3238" s="52"/>
      <c r="E3238" s="53"/>
      <c r="F3238" s="54"/>
      <c r="G3238" s="54"/>
      <c r="H3238" s="54"/>
      <c r="I3238" s="66"/>
      <c r="J3238" s="54"/>
      <c r="K3238" s="54"/>
      <c r="L3238" s="54"/>
      <c r="M3238" s="97" t="str">
        <f t="shared" si="277"/>
        <v/>
      </c>
      <c r="N3238" s="70"/>
      <c r="O3238" s="71" t="str">
        <f t="shared" si="276"/>
        <v/>
      </c>
      <c r="P3238" s="66"/>
      <c r="Q3238" s="66"/>
      <c r="R3238" s="54"/>
      <c r="S3238" s="82"/>
      <c r="T3238" s="83" t="str">
        <f t="shared" si="278"/>
        <v/>
      </c>
      <c r="U3238" s="10"/>
      <c r="V3238" s="41">
        <f>IF(AND(Q3238&lt;&gt;"",RIGHT(Q3238,3)&lt;&gt;""),IF(COUNTIF($Q$6:Q3238,Q3238)=1,1,0),0)</f>
        <v>0</v>
      </c>
      <c r="W3238" s="41" t="str">
        <f t="shared" si="279"/>
        <v/>
      </c>
      <c r="X3238" s="41" t="str">
        <f t="shared" si="280"/>
        <v/>
      </c>
    </row>
    <row r="3239" s="32" customFormat="1" hidden="1" customHeight="1" spans="1:24">
      <c r="A3239" s="34"/>
      <c r="B3239" s="51"/>
      <c r="C3239" s="51"/>
      <c r="D3239" s="52"/>
      <c r="E3239" s="53"/>
      <c r="F3239" s="54"/>
      <c r="G3239" s="54"/>
      <c r="H3239" s="54"/>
      <c r="I3239" s="66"/>
      <c r="J3239" s="54"/>
      <c r="K3239" s="54"/>
      <c r="L3239" s="54"/>
      <c r="M3239" s="97" t="str">
        <f t="shared" si="277"/>
        <v/>
      </c>
      <c r="N3239" s="70"/>
      <c r="O3239" s="71" t="str">
        <f t="shared" si="276"/>
        <v/>
      </c>
      <c r="P3239" s="66"/>
      <c r="Q3239" s="66"/>
      <c r="R3239" s="54"/>
      <c r="S3239" s="82"/>
      <c r="T3239" s="83" t="str">
        <f t="shared" si="278"/>
        <v/>
      </c>
      <c r="U3239" s="10"/>
      <c r="V3239" s="41">
        <f>IF(AND(Q3239&lt;&gt;"",RIGHT(Q3239,3)&lt;&gt;""),IF(COUNTIF($Q$6:Q3239,Q3239)=1,1,0),0)</f>
        <v>0</v>
      </c>
      <c r="W3239" s="41" t="str">
        <f t="shared" si="279"/>
        <v/>
      </c>
      <c r="X3239" s="41" t="str">
        <f t="shared" si="280"/>
        <v/>
      </c>
    </row>
    <row r="3240" s="32" customFormat="1" hidden="1" customHeight="1" spans="1:24">
      <c r="A3240" s="34"/>
      <c r="B3240" s="51"/>
      <c r="C3240" s="51"/>
      <c r="D3240" s="52"/>
      <c r="E3240" s="53"/>
      <c r="F3240" s="54"/>
      <c r="G3240" s="54"/>
      <c r="H3240" s="54"/>
      <c r="I3240" s="66"/>
      <c r="J3240" s="54"/>
      <c r="K3240" s="54"/>
      <c r="L3240" s="54"/>
      <c r="M3240" s="97" t="str">
        <f t="shared" si="277"/>
        <v/>
      </c>
      <c r="N3240" s="70"/>
      <c r="O3240" s="71" t="str">
        <f t="shared" si="276"/>
        <v/>
      </c>
      <c r="P3240" s="66"/>
      <c r="Q3240" s="66"/>
      <c r="R3240" s="54"/>
      <c r="S3240" s="82"/>
      <c r="T3240" s="83" t="str">
        <f t="shared" si="278"/>
        <v/>
      </c>
      <c r="U3240" s="10"/>
      <c r="V3240" s="41">
        <f>IF(AND(Q3240&lt;&gt;"",RIGHT(Q3240,3)&lt;&gt;""),IF(COUNTIF($Q$6:Q3240,Q3240)=1,1,0),0)</f>
        <v>0</v>
      </c>
      <c r="W3240" s="41" t="str">
        <f t="shared" si="279"/>
        <v/>
      </c>
      <c r="X3240" s="41" t="str">
        <f t="shared" si="280"/>
        <v/>
      </c>
    </row>
    <row r="3241" s="32" customFormat="1" hidden="1" customHeight="1" spans="1:24">
      <c r="A3241" s="34"/>
      <c r="B3241" s="51"/>
      <c r="C3241" s="51"/>
      <c r="D3241" s="52"/>
      <c r="E3241" s="53"/>
      <c r="F3241" s="54"/>
      <c r="G3241" s="54"/>
      <c r="H3241" s="54"/>
      <c r="I3241" s="66"/>
      <c r="J3241" s="54"/>
      <c r="K3241" s="54"/>
      <c r="L3241" s="54"/>
      <c r="M3241" s="97" t="str">
        <f t="shared" si="277"/>
        <v/>
      </c>
      <c r="N3241" s="70"/>
      <c r="O3241" s="71" t="str">
        <f t="shared" si="276"/>
        <v/>
      </c>
      <c r="P3241" s="66"/>
      <c r="Q3241" s="66"/>
      <c r="R3241" s="54"/>
      <c r="S3241" s="82"/>
      <c r="T3241" s="83" t="str">
        <f t="shared" si="278"/>
        <v/>
      </c>
      <c r="U3241" s="10"/>
      <c r="V3241" s="41">
        <f>IF(AND(Q3241&lt;&gt;"",RIGHT(Q3241,3)&lt;&gt;""),IF(COUNTIF($Q$6:Q3241,Q3241)=1,1,0),0)</f>
        <v>0</v>
      </c>
      <c r="W3241" s="41" t="str">
        <f t="shared" si="279"/>
        <v/>
      </c>
      <c r="X3241" s="41" t="str">
        <f t="shared" si="280"/>
        <v/>
      </c>
    </row>
    <row r="3242" s="32" customFormat="1" hidden="1" customHeight="1" spans="1:24">
      <c r="A3242" s="34"/>
      <c r="B3242" s="51"/>
      <c r="C3242" s="51"/>
      <c r="D3242" s="52"/>
      <c r="E3242" s="53"/>
      <c r="F3242" s="54"/>
      <c r="G3242" s="54"/>
      <c r="H3242" s="54"/>
      <c r="I3242" s="66"/>
      <c r="J3242" s="54"/>
      <c r="K3242" s="54"/>
      <c r="L3242" s="54"/>
      <c r="M3242" s="97" t="str">
        <f t="shared" si="277"/>
        <v/>
      </c>
      <c r="N3242" s="70"/>
      <c r="O3242" s="71" t="str">
        <f t="shared" si="276"/>
        <v/>
      </c>
      <c r="P3242" s="66"/>
      <c r="Q3242" s="66"/>
      <c r="R3242" s="54"/>
      <c r="S3242" s="82"/>
      <c r="T3242" s="83" t="str">
        <f t="shared" si="278"/>
        <v/>
      </c>
      <c r="U3242" s="10"/>
      <c r="V3242" s="41">
        <f>IF(AND(Q3242&lt;&gt;"",RIGHT(Q3242,3)&lt;&gt;""),IF(COUNTIF($Q$6:Q3242,Q3242)=1,1,0),0)</f>
        <v>0</v>
      </c>
      <c r="W3242" s="41" t="str">
        <f t="shared" si="279"/>
        <v/>
      </c>
      <c r="X3242" s="41" t="str">
        <f t="shared" si="280"/>
        <v/>
      </c>
    </row>
    <row r="3243" s="32" customFormat="1" hidden="1" customHeight="1" spans="1:24">
      <c r="A3243" s="34"/>
      <c r="B3243" s="51"/>
      <c r="C3243" s="51"/>
      <c r="D3243" s="52"/>
      <c r="E3243" s="53"/>
      <c r="F3243" s="54"/>
      <c r="G3243" s="54"/>
      <c r="H3243" s="54"/>
      <c r="I3243" s="66"/>
      <c r="J3243" s="54"/>
      <c r="K3243" s="54"/>
      <c r="L3243" s="54"/>
      <c r="M3243" s="97" t="str">
        <f t="shared" si="277"/>
        <v/>
      </c>
      <c r="N3243" s="70"/>
      <c r="O3243" s="71" t="str">
        <f t="shared" si="276"/>
        <v/>
      </c>
      <c r="P3243" s="66"/>
      <c r="Q3243" s="66"/>
      <c r="R3243" s="54"/>
      <c r="S3243" s="82"/>
      <c r="T3243" s="83" t="str">
        <f t="shared" si="278"/>
        <v/>
      </c>
      <c r="U3243" s="10"/>
      <c r="V3243" s="41">
        <f>IF(AND(Q3243&lt;&gt;"",RIGHT(Q3243,3)&lt;&gt;""),IF(COUNTIF($Q$6:Q3243,Q3243)=1,1,0),0)</f>
        <v>0</v>
      </c>
      <c r="W3243" s="41" t="str">
        <f t="shared" si="279"/>
        <v/>
      </c>
      <c r="X3243" s="41" t="str">
        <f t="shared" si="280"/>
        <v/>
      </c>
    </row>
    <row r="3244" s="32" customFormat="1" hidden="1" customHeight="1" spans="1:24">
      <c r="A3244" s="34"/>
      <c r="B3244" s="51"/>
      <c r="C3244" s="51"/>
      <c r="D3244" s="52"/>
      <c r="E3244" s="53"/>
      <c r="F3244" s="54"/>
      <c r="G3244" s="54"/>
      <c r="H3244" s="54"/>
      <c r="I3244" s="66"/>
      <c r="J3244" s="54"/>
      <c r="K3244" s="54"/>
      <c r="L3244" s="54"/>
      <c r="M3244" s="97" t="str">
        <f t="shared" si="277"/>
        <v/>
      </c>
      <c r="N3244" s="70"/>
      <c r="O3244" s="71" t="str">
        <f t="shared" si="276"/>
        <v/>
      </c>
      <c r="P3244" s="66"/>
      <c r="Q3244" s="66"/>
      <c r="R3244" s="54"/>
      <c r="S3244" s="82"/>
      <c r="T3244" s="83" t="str">
        <f t="shared" si="278"/>
        <v/>
      </c>
      <c r="U3244" s="10"/>
      <c r="V3244" s="41">
        <f>IF(AND(Q3244&lt;&gt;"",RIGHT(Q3244,3)&lt;&gt;""),IF(COUNTIF($Q$6:Q3244,Q3244)=1,1,0),0)</f>
        <v>0</v>
      </c>
      <c r="W3244" s="41" t="str">
        <f t="shared" si="279"/>
        <v/>
      </c>
      <c r="X3244" s="41" t="str">
        <f t="shared" si="280"/>
        <v/>
      </c>
    </row>
    <row r="3245" s="32" customFormat="1" hidden="1" customHeight="1" spans="1:24">
      <c r="A3245" s="34"/>
      <c r="B3245" s="51"/>
      <c r="C3245" s="51"/>
      <c r="D3245" s="52"/>
      <c r="E3245" s="53"/>
      <c r="F3245" s="54"/>
      <c r="G3245" s="54"/>
      <c r="H3245" s="54"/>
      <c r="I3245" s="66"/>
      <c r="J3245" s="54"/>
      <c r="K3245" s="54"/>
      <c r="L3245" s="54"/>
      <c r="M3245" s="97" t="str">
        <f t="shared" si="277"/>
        <v/>
      </c>
      <c r="N3245" s="70"/>
      <c r="O3245" s="71" t="str">
        <f t="shared" si="276"/>
        <v/>
      </c>
      <c r="P3245" s="66"/>
      <c r="Q3245" s="66"/>
      <c r="R3245" s="54"/>
      <c r="S3245" s="82"/>
      <c r="T3245" s="83" t="str">
        <f t="shared" si="278"/>
        <v/>
      </c>
      <c r="U3245" s="10"/>
      <c r="V3245" s="41">
        <f>IF(AND(Q3245&lt;&gt;"",RIGHT(Q3245,3)&lt;&gt;""),IF(COUNTIF($Q$6:Q3245,Q3245)=1,1,0),0)</f>
        <v>0</v>
      </c>
      <c r="W3245" s="41" t="str">
        <f t="shared" si="279"/>
        <v/>
      </c>
      <c r="X3245" s="41" t="str">
        <f t="shared" si="280"/>
        <v/>
      </c>
    </row>
    <row r="3246" s="32" customFormat="1" hidden="1" customHeight="1" spans="1:24">
      <c r="A3246" s="34"/>
      <c r="B3246" s="51"/>
      <c r="C3246" s="51"/>
      <c r="D3246" s="52"/>
      <c r="E3246" s="53"/>
      <c r="F3246" s="54"/>
      <c r="G3246" s="54"/>
      <c r="H3246" s="54"/>
      <c r="I3246" s="66"/>
      <c r="J3246" s="54"/>
      <c r="K3246" s="54"/>
      <c r="L3246" s="54"/>
      <c r="M3246" s="97" t="str">
        <f t="shared" si="277"/>
        <v/>
      </c>
      <c r="N3246" s="70"/>
      <c r="O3246" s="71" t="str">
        <f t="shared" si="276"/>
        <v/>
      </c>
      <c r="P3246" s="66"/>
      <c r="Q3246" s="66"/>
      <c r="R3246" s="54"/>
      <c r="S3246" s="82"/>
      <c r="T3246" s="83" t="str">
        <f t="shared" si="278"/>
        <v/>
      </c>
      <c r="U3246" s="10"/>
      <c r="V3246" s="41">
        <f>IF(AND(Q3246&lt;&gt;"",RIGHT(Q3246,3)&lt;&gt;""),IF(COUNTIF($Q$6:Q3246,Q3246)=1,1,0),0)</f>
        <v>0</v>
      </c>
      <c r="W3246" s="41" t="str">
        <f t="shared" si="279"/>
        <v/>
      </c>
      <c r="X3246" s="41" t="str">
        <f t="shared" si="280"/>
        <v/>
      </c>
    </row>
    <row r="3247" s="32" customFormat="1" hidden="1" customHeight="1" spans="1:24">
      <c r="A3247" s="34"/>
      <c r="B3247" s="51"/>
      <c r="C3247" s="51"/>
      <c r="D3247" s="52"/>
      <c r="E3247" s="53"/>
      <c r="F3247" s="54"/>
      <c r="G3247" s="54"/>
      <c r="H3247" s="54"/>
      <c r="I3247" s="66"/>
      <c r="J3247" s="54"/>
      <c r="K3247" s="54"/>
      <c r="L3247" s="54"/>
      <c r="M3247" s="97" t="str">
        <f t="shared" si="277"/>
        <v/>
      </c>
      <c r="N3247" s="70"/>
      <c r="O3247" s="71" t="str">
        <f t="shared" si="276"/>
        <v/>
      </c>
      <c r="P3247" s="66"/>
      <c r="Q3247" s="66"/>
      <c r="R3247" s="54"/>
      <c r="S3247" s="82"/>
      <c r="T3247" s="83" t="str">
        <f t="shared" si="278"/>
        <v/>
      </c>
      <c r="U3247" s="10"/>
      <c r="V3247" s="41">
        <f>IF(AND(Q3247&lt;&gt;"",RIGHT(Q3247,3)&lt;&gt;""),IF(COUNTIF($Q$6:Q3247,Q3247)=1,1,0),0)</f>
        <v>0</v>
      </c>
      <c r="W3247" s="41" t="str">
        <f t="shared" si="279"/>
        <v/>
      </c>
      <c r="X3247" s="41" t="str">
        <f t="shared" si="280"/>
        <v/>
      </c>
    </row>
    <row r="3248" s="32" customFormat="1" hidden="1" customHeight="1" spans="1:24">
      <c r="A3248" s="34"/>
      <c r="B3248" s="51"/>
      <c r="C3248" s="51"/>
      <c r="D3248" s="52"/>
      <c r="E3248" s="53"/>
      <c r="F3248" s="54"/>
      <c r="G3248" s="54"/>
      <c r="H3248" s="54"/>
      <c r="I3248" s="66"/>
      <c r="J3248" s="54"/>
      <c r="K3248" s="54"/>
      <c r="L3248" s="54"/>
      <c r="M3248" s="97" t="str">
        <f t="shared" si="277"/>
        <v/>
      </c>
      <c r="N3248" s="70"/>
      <c r="O3248" s="71" t="str">
        <f t="shared" si="276"/>
        <v/>
      </c>
      <c r="P3248" s="66"/>
      <c r="Q3248" s="66"/>
      <c r="R3248" s="54"/>
      <c r="S3248" s="82"/>
      <c r="T3248" s="83" t="str">
        <f t="shared" si="278"/>
        <v/>
      </c>
      <c r="U3248" s="10"/>
      <c r="V3248" s="41">
        <f>IF(AND(Q3248&lt;&gt;"",RIGHT(Q3248,3)&lt;&gt;""),IF(COUNTIF($Q$6:Q3248,Q3248)=1,1,0),0)</f>
        <v>0</v>
      </c>
      <c r="W3248" s="41" t="str">
        <f t="shared" si="279"/>
        <v/>
      </c>
      <c r="X3248" s="41" t="str">
        <f t="shared" si="280"/>
        <v/>
      </c>
    </row>
    <row r="3249" s="32" customFormat="1" hidden="1" customHeight="1" spans="1:24">
      <c r="A3249" s="34"/>
      <c r="B3249" s="51"/>
      <c r="C3249" s="51"/>
      <c r="D3249" s="52"/>
      <c r="E3249" s="53"/>
      <c r="F3249" s="54"/>
      <c r="G3249" s="54"/>
      <c r="H3249" s="54"/>
      <c r="I3249" s="66"/>
      <c r="J3249" s="54"/>
      <c r="K3249" s="54"/>
      <c r="L3249" s="54"/>
      <c r="M3249" s="97" t="str">
        <f t="shared" si="277"/>
        <v/>
      </c>
      <c r="N3249" s="70"/>
      <c r="O3249" s="71" t="str">
        <f t="shared" ref="O3249:O3312" si="281">IF(AND(Q3249&lt;&gt;"",T3249&lt;&gt;""),"PASSIVE",IF(AND(J3249&lt;&gt;"",M3249&lt;&gt;""),"ACTIVE",""))</f>
        <v/>
      </c>
      <c r="P3249" s="66"/>
      <c r="Q3249" s="66"/>
      <c r="R3249" s="54"/>
      <c r="S3249" s="82"/>
      <c r="T3249" s="83" t="str">
        <f t="shared" si="278"/>
        <v/>
      </c>
      <c r="U3249" s="10"/>
      <c r="V3249" s="41">
        <f>IF(AND(Q3249&lt;&gt;"",RIGHT(Q3249,3)&lt;&gt;""),IF(COUNTIF($Q$6:Q3249,Q3249)=1,1,0),0)</f>
        <v>0</v>
      </c>
      <c r="W3249" s="41" t="str">
        <f t="shared" si="279"/>
        <v/>
      </c>
      <c r="X3249" s="41" t="str">
        <f t="shared" si="280"/>
        <v/>
      </c>
    </row>
    <row r="3250" s="32" customFormat="1" hidden="1" customHeight="1" spans="1:24">
      <c r="A3250" s="34"/>
      <c r="B3250" s="51"/>
      <c r="C3250" s="51"/>
      <c r="D3250" s="52"/>
      <c r="E3250" s="53"/>
      <c r="F3250" s="54"/>
      <c r="G3250" s="54"/>
      <c r="H3250" s="54"/>
      <c r="I3250" s="66"/>
      <c r="J3250" s="54"/>
      <c r="K3250" s="54"/>
      <c r="L3250" s="54"/>
      <c r="M3250" s="97" t="str">
        <f t="shared" si="277"/>
        <v/>
      </c>
      <c r="N3250" s="70"/>
      <c r="O3250" s="71" t="str">
        <f t="shared" si="281"/>
        <v/>
      </c>
      <c r="P3250" s="66"/>
      <c r="Q3250" s="66"/>
      <c r="R3250" s="54"/>
      <c r="S3250" s="82"/>
      <c r="T3250" s="83" t="str">
        <f t="shared" si="278"/>
        <v/>
      </c>
      <c r="U3250" s="10"/>
      <c r="V3250" s="41">
        <f>IF(AND(Q3250&lt;&gt;"",RIGHT(Q3250,3)&lt;&gt;""),IF(COUNTIF($Q$6:Q3250,Q3250)=1,1,0),0)</f>
        <v>0</v>
      </c>
      <c r="W3250" s="41" t="str">
        <f t="shared" si="279"/>
        <v/>
      </c>
      <c r="X3250" s="41" t="str">
        <f t="shared" si="280"/>
        <v/>
      </c>
    </row>
    <row r="3251" s="32" customFormat="1" hidden="1" customHeight="1" spans="1:24">
      <c r="A3251" s="34"/>
      <c r="B3251" s="51"/>
      <c r="C3251" s="51"/>
      <c r="D3251" s="52"/>
      <c r="E3251" s="53"/>
      <c r="F3251" s="54"/>
      <c r="G3251" s="54"/>
      <c r="H3251" s="54"/>
      <c r="I3251" s="66"/>
      <c r="J3251" s="54"/>
      <c r="K3251" s="54"/>
      <c r="L3251" s="54"/>
      <c r="M3251" s="97" t="str">
        <f t="shared" si="277"/>
        <v/>
      </c>
      <c r="N3251" s="70"/>
      <c r="O3251" s="71" t="str">
        <f t="shared" si="281"/>
        <v/>
      </c>
      <c r="P3251" s="66"/>
      <c r="Q3251" s="66"/>
      <c r="R3251" s="54"/>
      <c r="S3251" s="82"/>
      <c r="T3251" s="83" t="str">
        <f t="shared" si="278"/>
        <v/>
      </c>
      <c r="U3251" s="10"/>
      <c r="V3251" s="41">
        <f>IF(AND(Q3251&lt;&gt;"",RIGHT(Q3251,3)&lt;&gt;""),IF(COUNTIF($Q$6:Q3251,Q3251)=1,1,0),0)</f>
        <v>0</v>
      </c>
      <c r="W3251" s="41" t="str">
        <f t="shared" si="279"/>
        <v/>
      </c>
      <c r="X3251" s="41" t="str">
        <f t="shared" si="280"/>
        <v/>
      </c>
    </row>
    <row r="3252" s="32" customFormat="1" hidden="1" customHeight="1" spans="1:24">
      <c r="A3252" s="34"/>
      <c r="B3252" s="51"/>
      <c r="C3252" s="51"/>
      <c r="D3252" s="52"/>
      <c r="E3252" s="53"/>
      <c r="F3252" s="54"/>
      <c r="G3252" s="54"/>
      <c r="H3252" s="54"/>
      <c r="I3252" s="66"/>
      <c r="J3252" s="54"/>
      <c r="K3252" s="54"/>
      <c r="L3252" s="54"/>
      <c r="M3252" s="97" t="str">
        <f t="shared" si="277"/>
        <v/>
      </c>
      <c r="N3252" s="70"/>
      <c r="O3252" s="71" t="str">
        <f t="shared" si="281"/>
        <v/>
      </c>
      <c r="P3252" s="66"/>
      <c r="Q3252" s="66"/>
      <c r="R3252" s="54"/>
      <c r="S3252" s="82"/>
      <c r="T3252" s="83" t="str">
        <f t="shared" si="278"/>
        <v/>
      </c>
      <c r="U3252" s="10"/>
      <c r="V3252" s="41">
        <f>IF(AND(Q3252&lt;&gt;"",RIGHT(Q3252,3)&lt;&gt;""),IF(COUNTIF($Q$6:Q3252,Q3252)=1,1,0),0)</f>
        <v>0</v>
      </c>
      <c r="W3252" s="41" t="str">
        <f t="shared" si="279"/>
        <v/>
      </c>
      <c r="X3252" s="41" t="str">
        <f t="shared" si="280"/>
        <v/>
      </c>
    </row>
    <row r="3253" s="32" customFormat="1" hidden="1" customHeight="1" spans="1:24">
      <c r="A3253" s="34"/>
      <c r="B3253" s="51"/>
      <c r="C3253" s="51"/>
      <c r="D3253" s="52"/>
      <c r="E3253" s="53"/>
      <c r="F3253" s="54"/>
      <c r="G3253" s="54"/>
      <c r="H3253" s="54"/>
      <c r="I3253" s="66"/>
      <c r="J3253" s="54"/>
      <c r="K3253" s="54"/>
      <c r="L3253" s="54"/>
      <c r="M3253" s="97" t="str">
        <f t="shared" si="277"/>
        <v/>
      </c>
      <c r="N3253" s="70"/>
      <c r="O3253" s="71" t="str">
        <f t="shared" si="281"/>
        <v/>
      </c>
      <c r="P3253" s="66"/>
      <c r="Q3253" s="66"/>
      <c r="R3253" s="54"/>
      <c r="S3253" s="82"/>
      <c r="T3253" s="83" t="str">
        <f t="shared" si="278"/>
        <v/>
      </c>
      <c r="U3253" s="10"/>
      <c r="V3253" s="41">
        <f>IF(AND(Q3253&lt;&gt;"",RIGHT(Q3253,3)&lt;&gt;""),IF(COUNTIF($Q$6:Q3253,Q3253)=1,1,0),0)</f>
        <v>0</v>
      </c>
      <c r="W3253" s="41" t="str">
        <f t="shared" si="279"/>
        <v/>
      </c>
      <c r="X3253" s="41" t="str">
        <f t="shared" si="280"/>
        <v/>
      </c>
    </row>
    <row r="3254" s="32" customFormat="1" hidden="1" customHeight="1" spans="1:24">
      <c r="A3254" s="34"/>
      <c r="B3254" s="51"/>
      <c r="C3254" s="51"/>
      <c r="D3254" s="52"/>
      <c r="E3254" s="53"/>
      <c r="F3254" s="54"/>
      <c r="G3254" s="54"/>
      <c r="H3254" s="54"/>
      <c r="I3254" s="66"/>
      <c r="J3254" s="54"/>
      <c r="K3254" s="54"/>
      <c r="L3254" s="54"/>
      <c r="M3254" s="97" t="str">
        <f t="shared" si="277"/>
        <v/>
      </c>
      <c r="N3254" s="70"/>
      <c r="O3254" s="71" t="str">
        <f t="shared" si="281"/>
        <v/>
      </c>
      <c r="P3254" s="66"/>
      <c r="Q3254" s="66"/>
      <c r="R3254" s="54"/>
      <c r="S3254" s="82"/>
      <c r="T3254" s="83" t="str">
        <f t="shared" si="278"/>
        <v/>
      </c>
      <c r="U3254" s="10"/>
      <c r="V3254" s="41">
        <f>IF(AND(Q3254&lt;&gt;"",RIGHT(Q3254,3)&lt;&gt;""),IF(COUNTIF($Q$6:Q3254,Q3254)=1,1,0),0)</f>
        <v>0</v>
      </c>
      <c r="W3254" s="41" t="str">
        <f t="shared" si="279"/>
        <v/>
      </c>
      <c r="X3254" s="41" t="str">
        <f t="shared" si="280"/>
        <v/>
      </c>
    </row>
    <row r="3255" s="32" customFormat="1" hidden="1" customHeight="1" spans="1:24">
      <c r="A3255" s="34"/>
      <c r="B3255" s="51"/>
      <c r="C3255" s="51"/>
      <c r="D3255" s="52"/>
      <c r="E3255" s="53"/>
      <c r="F3255" s="54"/>
      <c r="G3255" s="54"/>
      <c r="H3255" s="54"/>
      <c r="I3255" s="66"/>
      <c r="J3255" s="54"/>
      <c r="K3255" s="54"/>
      <c r="L3255" s="54"/>
      <c r="M3255" s="97" t="str">
        <f t="shared" si="277"/>
        <v/>
      </c>
      <c r="N3255" s="70"/>
      <c r="O3255" s="71" t="str">
        <f t="shared" si="281"/>
        <v/>
      </c>
      <c r="P3255" s="66"/>
      <c r="Q3255" s="66"/>
      <c r="R3255" s="54"/>
      <c r="S3255" s="82"/>
      <c r="T3255" s="83" t="str">
        <f t="shared" si="278"/>
        <v/>
      </c>
      <c r="U3255" s="10"/>
      <c r="V3255" s="41">
        <f>IF(AND(Q3255&lt;&gt;"",RIGHT(Q3255,3)&lt;&gt;""),IF(COUNTIF($Q$6:Q3255,Q3255)=1,1,0),0)</f>
        <v>0</v>
      </c>
      <c r="W3255" s="41" t="str">
        <f t="shared" si="279"/>
        <v/>
      </c>
      <c r="X3255" s="41" t="str">
        <f t="shared" si="280"/>
        <v/>
      </c>
    </row>
    <row r="3256" s="32" customFormat="1" hidden="1" customHeight="1" spans="1:24">
      <c r="A3256" s="34"/>
      <c r="B3256" s="51"/>
      <c r="C3256" s="51"/>
      <c r="D3256" s="52"/>
      <c r="E3256" s="53"/>
      <c r="F3256" s="54"/>
      <c r="G3256" s="54"/>
      <c r="H3256" s="54"/>
      <c r="I3256" s="66"/>
      <c r="J3256" s="54"/>
      <c r="K3256" s="54"/>
      <c r="L3256" s="54"/>
      <c r="M3256" s="97" t="str">
        <f t="shared" si="277"/>
        <v/>
      </c>
      <c r="N3256" s="70"/>
      <c r="O3256" s="71" t="str">
        <f t="shared" si="281"/>
        <v/>
      </c>
      <c r="P3256" s="66"/>
      <c r="Q3256" s="66"/>
      <c r="R3256" s="54"/>
      <c r="S3256" s="82"/>
      <c r="T3256" s="83" t="str">
        <f t="shared" si="278"/>
        <v/>
      </c>
      <c r="U3256" s="10"/>
      <c r="V3256" s="41">
        <f>IF(AND(Q3256&lt;&gt;"",RIGHT(Q3256,3)&lt;&gt;""),IF(COUNTIF($Q$6:Q3256,Q3256)=1,1,0),0)</f>
        <v>0</v>
      </c>
      <c r="W3256" s="41" t="str">
        <f t="shared" si="279"/>
        <v/>
      </c>
      <c r="X3256" s="41" t="str">
        <f t="shared" si="280"/>
        <v/>
      </c>
    </row>
    <row r="3257" s="32" customFormat="1" hidden="1" customHeight="1" spans="1:24">
      <c r="A3257" s="34"/>
      <c r="B3257" s="51"/>
      <c r="C3257" s="51"/>
      <c r="D3257" s="52"/>
      <c r="E3257" s="53"/>
      <c r="F3257" s="54"/>
      <c r="G3257" s="54"/>
      <c r="H3257" s="54"/>
      <c r="I3257" s="66"/>
      <c r="J3257" s="54"/>
      <c r="K3257" s="54"/>
      <c r="L3257" s="54"/>
      <c r="M3257" s="97" t="str">
        <f t="shared" si="277"/>
        <v/>
      </c>
      <c r="N3257" s="70"/>
      <c r="O3257" s="71" t="str">
        <f t="shared" si="281"/>
        <v/>
      </c>
      <c r="P3257" s="66"/>
      <c r="Q3257" s="66"/>
      <c r="R3257" s="54"/>
      <c r="S3257" s="82"/>
      <c r="T3257" s="83" t="str">
        <f t="shared" si="278"/>
        <v/>
      </c>
      <c r="U3257" s="10"/>
      <c r="V3257" s="41">
        <f>IF(AND(Q3257&lt;&gt;"",RIGHT(Q3257,3)&lt;&gt;""),IF(COUNTIF($Q$6:Q3257,Q3257)=1,1,0),0)</f>
        <v>0</v>
      </c>
      <c r="W3257" s="41" t="str">
        <f t="shared" si="279"/>
        <v/>
      </c>
      <c r="X3257" s="41" t="str">
        <f t="shared" si="280"/>
        <v/>
      </c>
    </row>
    <row r="3258" s="32" customFormat="1" hidden="1" customHeight="1" spans="1:24">
      <c r="A3258" s="34"/>
      <c r="B3258" s="51"/>
      <c r="C3258" s="51"/>
      <c r="D3258" s="52"/>
      <c r="E3258" s="53"/>
      <c r="F3258" s="54"/>
      <c r="G3258" s="54"/>
      <c r="H3258" s="54"/>
      <c r="I3258" s="66"/>
      <c r="J3258" s="54"/>
      <c r="K3258" s="54"/>
      <c r="L3258" s="54"/>
      <c r="M3258" s="97" t="str">
        <f t="shared" si="277"/>
        <v/>
      </c>
      <c r="N3258" s="70"/>
      <c r="O3258" s="71" t="str">
        <f t="shared" si="281"/>
        <v/>
      </c>
      <c r="P3258" s="66"/>
      <c r="Q3258" s="66"/>
      <c r="R3258" s="54"/>
      <c r="S3258" s="82"/>
      <c r="T3258" s="83" t="str">
        <f t="shared" si="278"/>
        <v/>
      </c>
      <c r="U3258" s="10"/>
      <c r="V3258" s="41">
        <f>IF(AND(Q3258&lt;&gt;"",RIGHT(Q3258,3)&lt;&gt;""),IF(COUNTIF($Q$6:Q3258,Q3258)=1,1,0),0)</f>
        <v>0</v>
      </c>
      <c r="W3258" s="41" t="str">
        <f t="shared" si="279"/>
        <v/>
      </c>
      <c r="X3258" s="41" t="str">
        <f t="shared" si="280"/>
        <v/>
      </c>
    </row>
    <row r="3259" s="32" customFormat="1" hidden="1" customHeight="1" spans="1:24">
      <c r="A3259" s="34"/>
      <c r="B3259" s="51"/>
      <c r="C3259" s="51"/>
      <c r="D3259" s="52"/>
      <c r="E3259" s="53"/>
      <c r="F3259" s="54"/>
      <c r="G3259" s="54"/>
      <c r="H3259" s="54"/>
      <c r="I3259" s="66"/>
      <c r="J3259" s="54"/>
      <c r="K3259" s="54"/>
      <c r="L3259" s="54"/>
      <c r="M3259" s="97" t="str">
        <f t="shared" si="277"/>
        <v/>
      </c>
      <c r="N3259" s="70"/>
      <c r="O3259" s="71" t="str">
        <f t="shared" si="281"/>
        <v/>
      </c>
      <c r="P3259" s="66"/>
      <c r="Q3259" s="66"/>
      <c r="R3259" s="54"/>
      <c r="S3259" s="82"/>
      <c r="T3259" s="83" t="str">
        <f t="shared" si="278"/>
        <v/>
      </c>
      <c r="U3259" s="10"/>
      <c r="V3259" s="41">
        <f>IF(AND(Q3259&lt;&gt;"",RIGHT(Q3259,3)&lt;&gt;""),IF(COUNTIF($Q$6:Q3259,Q3259)=1,1,0),0)</f>
        <v>0</v>
      </c>
      <c r="W3259" s="41" t="str">
        <f t="shared" si="279"/>
        <v/>
      </c>
      <c r="X3259" s="41" t="str">
        <f t="shared" si="280"/>
        <v/>
      </c>
    </row>
    <row r="3260" s="32" customFormat="1" hidden="1" customHeight="1" spans="1:24">
      <c r="A3260" s="34"/>
      <c r="B3260" s="51"/>
      <c r="C3260" s="51"/>
      <c r="D3260" s="52"/>
      <c r="E3260" s="53"/>
      <c r="F3260" s="54"/>
      <c r="G3260" s="54"/>
      <c r="H3260" s="54"/>
      <c r="I3260" s="66"/>
      <c r="J3260" s="54"/>
      <c r="K3260" s="54"/>
      <c r="L3260" s="54"/>
      <c r="M3260" s="97" t="str">
        <f t="shared" si="277"/>
        <v/>
      </c>
      <c r="N3260" s="70"/>
      <c r="O3260" s="71" t="str">
        <f t="shared" si="281"/>
        <v/>
      </c>
      <c r="P3260" s="66"/>
      <c r="Q3260" s="66"/>
      <c r="R3260" s="54"/>
      <c r="S3260" s="82"/>
      <c r="T3260" s="83" t="str">
        <f t="shared" si="278"/>
        <v/>
      </c>
      <c r="U3260" s="10"/>
      <c r="V3260" s="41">
        <f>IF(AND(Q3260&lt;&gt;"",RIGHT(Q3260,3)&lt;&gt;""),IF(COUNTIF($Q$6:Q3260,Q3260)=1,1,0),0)</f>
        <v>0</v>
      </c>
      <c r="W3260" s="41" t="str">
        <f t="shared" si="279"/>
        <v/>
      </c>
      <c r="X3260" s="41" t="str">
        <f t="shared" si="280"/>
        <v/>
      </c>
    </row>
    <row r="3261" s="32" customFormat="1" hidden="1" customHeight="1" spans="1:24">
      <c r="A3261" s="34"/>
      <c r="B3261" s="51"/>
      <c r="C3261" s="51"/>
      <c r="D3261" s="52"/>
      <c r="E3261" s="53"/>
      <c r="F3261" s="54"/>
      <c r="G3261" s="54"/>
      <c r="H3261" s="54"/>
      <c r="I3261" s="66"/>
      <c r="J3261" s="54"/>
      <c r="K3261" s="54"/>
      <c r="L3261" s="54"/>
      <c r="M3261" s="97" t="str">
        <f t="shared" si="277"/>
        <v/>
      </c>
      <c r="N3261" s="70"/>
      <c r="O3261" s="71" t="str">
        <f t="shared" si="281"/>
        <v/>
      </c>
      <c r="P3261" s="66"/>
      <c r="Q3261" s="66"/>
      <c r="R3261" s="54"/>
      <c r="S3261" s="82"/>
      <c r="T3261" s="83" t="str">
        <f t="shared" si="278"/>
        <v/>
      </c>
      <c r="U3261" s="10"/>
      <c r="V3261" s="41">
        <f>IF(AND(Q3261&lt;&gt;"",RIGHT(Q3261,3)&lt;&gt;""),IF(COUNTIF($Q$6:Q3261,Q3261)=1,1,0),0)</f>
        <v>0</v>
      </c>
      <c r="W3261" s="41" t="str">
        <f t="shared" si="279"/>
        <v/>
      </c>
      <c r="X3261" s="41" t="str">
        <f t="shared" si="280"/>
        <v/>
      </c>
    </row>
    <row r="3262" s="32" customFormat="1" hidden="1" customHeight="1" spans="1:24">
      <c r="A3262" s="34"/>
      <c r="B3262" s="51"/>
      <c r="C3262" s="51"/>
      <c r="D3262" s="52"/>
      <c r="E3262" s="53"/>
      <c r="F3262" s="54"/>
      <c r="G3262" s="54"/>
      <c r="H3262" s="54"/>
      <c r="I3262" s="66"/>
      <c r="J3262" s="54"/>
      <c r="K3262" s="54"/>
      <c r="L3262" s="54"/>
      <c r="M3262" s="97" t="str">
        <f t="shared" si="277"/>
        <v/>
      </c>
      <c r="N3262" s="70"/>
      <c r="O3262" s="71" t="str">
        <f t="shared" si="281"/>
        <v/>
      </c>
      <c r="P3262" s="66"/>
      <c r="Q3262" s="66"/>
      <c r="R3262" s="54"/>
      <c r="S3262" s="82"/>
      <c r="T3262" s="83" t="str">
        <f t="shared" si="278"/>
        <v/>
      </c>
      <c r="U3262" s="10"/>
      <c r="V3262" s="41">
        <f>IF(AND(Q3262&lt;&gt;"",RIGHT(Q3262,3)&lt;&gt;""),IF(COUNTIF($Q$6:Q3262,Q3262)=1,1,0),0)</f>
        <v>0</v>
      </c>
      <c r="W3262" s="41" t="str">
        <f t="shared" si="279"/>
        <v/>
      </c>
      <c r="X3262" s="41" t="str">
        <f t="shared" si="280"/>
        <v/>
      </c>
    </row>
    <row r="3263" s="32" customFormat="1" hidden="1" customHeight="1" spans="1:24">
      <c r="A3263" s="34"/>
      <c r="B3263" s="51"/>
      <c r="C3263" s="51"/>
      <c r="D3263" s="52"/>
      <c r="E3263" s="53"/>
      <c r="F3263" s="54"/>
      <c r="G3263" s="54"/>
      <c r="H3263" s="54"/>
      <c r="I3263" s="66"/>
      <c r="J3263" s="54"/>
      <c r="K3263" s="54"/>
      <c r="L3263" s="54"/>
      <c r="M3263" s="97" t="str">
        <f t="shared" si="277"/>
        <v/>
      </c>
      <c r="N3263" s="70"/>
      <c r="O3263" s="71" t="str">
        <f t="shared" si="281"/>
        <v/>
      </c>
      <c r="P3263" s="66"/>
      <c r="Q3263" s="66"/>
      <c r="R3263" s="54"/>
      <c r="S3263" s="82"/>
      <c r="T3263" s="83" t="str">
        <f t="shared" si="278"/>
        <v/>
      </c>
      <c r="U3263" s="10"/>
      <c r="V3263" s="41">
        <f>IF(AND(Q3263&lt;&gt;"",RIGHT(Q3263,3)&lt;&gt;""),IF(COUNTIF($Q$6:Q3263,Q3263)=1,1,0),0)</f>
        <v>0</v>
      </c>
      <c r="W3263" s="41" t="str">
        <f t="shared" si="279"/>
        <v/>
      </c>
      <c r="X3263" s="41" t="str">
        <f t="shared" si="280"/>
        <v/>
      </c>
    </row>
    <row r="3264" s="32" customFormat="1" hidden="1" customHeight="1" spans="1:24">
      <c r="A3264" s="34"/>
      <c r="B3264" s="51"/>
      <c r="C3264" s="51"/>
      <c r="D3264" s="52"/>
      <c r="E3264" s="53"/>
      <c r="F3264" s="54"/>
      <c r="G3264" s="54"/>
      <c r="H3264" s="54"/>
      <c r="I3264" s="66"/>
      <c r="J3264" s="54"/>
      <c r="K3264" s="54"/>
      <c r="L3264" s="54"/>
      <c r="M3264" s="97" t="str">
        <f t="shared" si="277"/>
        <v/>
      </c>
      <c r="N3264" s="70"/>
      <c r="O3264" s="71" t="str">
        <f t="shared" si="281"/>
        <v/>
      </c>
      <c r="P3264" s="66"/>
      <c r="Q3264" s="66"/>
      <c r="R3264" s="54"/>
      <c r="S3264" s="82"/>
      <c r="T3264" s="83" t="str">
        <f t="shared" si="278"/>
        <v/>
      </c>
      <c r="U3264" s="10"/>
      <c r="V3264" s="41">
        <f>IF(AND(Q3264&lt;&gt;"",RIGHT(Q3264,3)&lt;&gt;""),IF(COUNTIF($Q$6:Q3264,Q3264)=1,1,0),0)</f>
        <v>0</v>
      </c>
      <c r="W3264" s="41" t="str">
        <f t="shared" si="279"/>
        <v/>
      </c>
      <c r="X3264" s="41" t="str">
        <f t="shared" si="280"/>
        <v/>
      </c>
    </row>
    <row r="3265" s="32" customFormat="1" hidden="1" customHeight="1" spans="1:24">
      <c r="A3265" s="34"/>
      <c r="B3265" s="51"/>
      <c r="C3265" s="51"/>
      <c r="D3265" s="52"/>
      <c r="E3265" s="53"/>
      <c r="F3265" s="54"/>
      <c r="G3265" s="54"/>
      <c r="H3265" s="54"/>
      <c r="I3265" s="66"/>
      <c r="J3265" s="54"/>
      <c r="K3265" s="54"/>
      <c r="L3265" s="54"/>
      <c r="M3265" s="97" t="str">
        <f t="shared" si="277"/>
        <v/>
      </c>
      <c r="N3265" s="70"/>
      <c r="O3265" s="71" t="str">
        <f t="shared" si="281"/>
        <v/>
      </c>
      <c r="P3265" s="66"/>
      <c r="Q3265" s="66"/>
      <c r="R3265" s="54"/>
      <c r="S3265" s="82"/>
      <c r="T3265" s="83" t="str">
        <f t="shared" si="278"/>
        <v/>
      </c>
      <c r="U3265" s="10"/>
      <c r="V3265" s="41">
        <f>IF(AND(Q3265&lt;&gt;"",RIGHT(Q3265,3)&lt;&gt;""),IF(COUNTIF($Q$6:Q3265,Q3265)=1,1,0),0)</f>
        <v>0</v>
      </c>
      <c r="W3265" s="41" t="str">
        <f t="shared" si="279"/>
        <v/>
      </c>
      <c r="X3265" s="41" t="str">
        <f t="shared" si="280"/>
        <v/>
      </c>
    </row>
    <row r="3266" s="32" customFormat="1" hidden="1" customHeight="1" spans="1:24">
      <c r="A3266" s="34"/>
      <c r="B3266" s="51"/>
      <c r="C3266" s="51"/>
      <c r="D3266" s="52"/>
      <c r="E3266" s="53"/>
      <c r="F3266" s="54"/>
      <c r="G3266" s="54"/>
      <c r="H3266" s="54"/>
      <c r="I3266" s="66"/>
      <c r="J3266" s="54"/>
      <c r="K3266" s="54"/>
      <c r="L3266" s="54"/>
      <c r="M3266" s="97" t="str">
        <f t="shared" si="277"/>
        <v/>
      </c>
      <c r="N3266" s="70"/>
      <c r="O3266" s="71" t="str">
        <f t="shared" si="281"/>
        <v/>
      </c>
      <c r="P3266" s="66"/>
      <c r="Q3266" s="66"/>
      <c r="R3266" s="54"/>
      <c r="S3266" s="82"/>
      <c r="T3266" s="83" t="str">
        <f t="shared" si="278"/>
        <v/>
      </c>
      <c r="U3266" s="10"/>
      <c r="V3266" s="41">
        <f>IF(AND(Q3266&lt;&gt;"",RIGHT(Q3266,3)&lt;&gt;""),IF(COUNTIF($Q$6:Q3266,Q3266)=1,1,0),0)</f>
        <v>0</v>
      </c>
      <c r="W3266" s="41" t="str">
        <f t="shared" si="279"/>
        <v/>
      </c>
      <c r="X3266" s="41" t="str">
        <f t="shared" si="280"/>
        <v/>
      </c>
    </row>
    <row r="3267" s="32" customFormat="1" hidden="1" customHeight="1" spans="1:24">
      <c r="A3267" s="34"/>
      <c r="B3267" s="51"/>
      <c r="C3267" s="51"/>
      <c r="D3267" s="52"/>
      <c r="E3267" s="53"/>
      <c r="F3267" s="54"/>
      <c r="G3267" s="54"/>
      <c r="H3267" s="54"/>
      <c r="I3267" s="66"/>
      <c r="J3267" s="54"/>
      <c r="K3267" s="54"/>
      <c r="L3267" s="54"/>
      <c r="M3267" s="97" t="str">
        <f t="shared" si="277"/>
        <v/>
      </c>
      <c r="N3267" s="70"/>
      <c r="O3267" s="71" t="str">
        <f t="shared" si="281"/>
        <v/>
      </c>
      <c r="P3267" s="66"/>
      <c r="Q3267" s="66"/>
      <c r="R3267" s="54"/>
      <c r="S3267" s="82"/>
      <c r="T3267" s="83" t="str">
        <f t="shared" si="278"/>
        <v/>
      </c>
      <c r="U3267" s="10"/>
      <c r="V3267" s="41">
        <f>IF(AND(Q3267&lt;&gt;"",RIGHT(Q3267,3)&lt;&gt;""),IF(COUNTIF($Q$6:Q3267,Q3267)=1,1,0),0)</f>
        <v>0</v>
      </c>
      <c r="W3267" s="41" t="str">
        <f t="shared" si="279"/>
        <v/>
      </c>
      <c r="X3267" s="41" t="str">
        <f t="shared" si="280"/>
        <v/>
      </c>
    </row>
    <row r="3268" s="32" customFormat="1" hidden="1" customHeight="1" spans="1:24">
      <c r="A3268" s="34"/>
      <c r="B3268" s="51"/>
      <c r="C3268" s="51"/>
      <c r="D3268" s="52"/>
      <c r="E3268" s="53"/>
      <c r="F3268" s="54"/>
      <c r="G3268" s="54"/>
      <c r="H3268" s="54"/>
      <c r="I3268" s="66"/>
      <c r="J3268" s="54"/>
      <c r="K3268" s="54"/>
      <c r="L3268" s="54"/>
      <c r="M3268" s="97" t="str">
        <f t="shared" si="277"/>
        <v/>
      </c>
      <c r="N3268" s="70"/>
      <c r="O3268" s="71" t="str">
        <f t="shared" si="281"/>
        <v/>
      </c>
      <c r="P3268" s="66"/>
      <c r="Q3268" s="66"/>
      <c r="R3268" s="54"/>
      <c r="S3268" s="82"/>
      <c r="T3268" s="83" t="str">
        <f t="shared" si="278"/>
        <v/>
      </c>
      <c r="U3268" s="10"/>
      <c r="V3268" s="41">
        <f>IF(AND(Q3268&lt;&gt;"",RIGHT(Q3268,3)&lt;&gt;""),IF(COUNTIF($Q$6:Q3268,Q3268)=1,1,0),0)</f>
        <v>0</v>
      </c>
      <c r="W3268" s="41" t="str">
        <f t="shared" si="279"/>
        <v/>
      </c>
      <c r="X3268" s="41" t="str">
        <f t="shared" si="280"/>
        <v/>
      </c>
    </row>
    <row r="3269" s="32" customFormat="1" hidden="1" customHeight="1" spans="1:24">
      <c r="A3269" s="34"/>
      <c r="B3269" s="51"/>
      <c r="C3269" s="51"/>
      <c r="D3269" s="52"/>
      <c r="E3269" s="53"/>
      <c r="F3269" s="54"/>
      <c r="G3269" s="54"/>
      <c r="H3269" s="54"/>
      <c r="I3269" s="66"/>
      <c r="J3269" s="54"/>
      <c r="K3269" s="54"/>
      <c r="L3269" s="54"/>
      <c r="M3269" s="97" t="str">
        <f t="shared" si="277"/>
        <v/>
      </c>
      <c r="N3269" s="70"/>
      <c r="O3269" s="71" t="str">
        <f t="shared" si="281"/>
        <v/>
      </c>
      <c r="P3269" s="66"/>
      <c r="Q3269" s="66"/>
      <c r="R3269" s="54"/>
      <c r="S3269" s="82"/>
      <c r="T3269" s="83" t="str">
        <f t="shared" si="278"/>
        <v/>
      </c>
      <c r="U3269" s="10"/>
      <c r="V3269" s="41">
        <f>IF(AND(Q3269&lt;&gt;"",RIGHT(Q3269,3)&lt;&gt;""),IF(COUNTIF($Q$6:Q3269,Q3269)=1,1,0),0)</f>
        <v>0</v>
      </c>
      <c r="W3269" s="41" t="str">
        <f t="shared" si="279"/>
        <v/>
      </c>
      <c r="X3269" s="41" t="str">
        <f t="shared" si="280"/>
        <v/>
      </c>
    </row>
    <row r="3270" s="32" customFormat="1" hidden="1" customHeight="1" spans="1:24">
      <c r="A3270" s="34"/>
      <c r="B3270" s="51"/>
      <c r="C3270" s="51"/>
      <c r="D3270" s="52"/>
      <c r="E3270" s="53"/>
      <c r="F3270" s="54"/>
      <c r="G3270" s="54"/>
      <c r="H3270" s="54"/>
      <c r="I3270" s="66"/>
      <c r="J3270" s="54"/>
      <c r="K3270" s="54"/>
      <c r="L3270" s="54"/>
      <c r="M3270" s="97" t="str">
        <f t="shared" si="277"/>
        <v/>
      </c>
      <c r="N3270" s="70"/>
      <c r="O3270" s="71" t="str">
        <f t="shared" si="281"/>
        <v/>
      </c>
      <c r="P3270" s="66"/>
      <c r="Q3270" s="66"/>
      <c r="R3270" s="54"/>
      <c r="S3270" s="82"/>
      <c r="T3270" s="83" t="str">
        <f t="shared" si="278"/>
        <v/>
      </c>
      <c r="U3270" s="10"/>
      <c r="V3270" s="41">
        <f>IF(AND(Q3270&lt;&gt;"",RIGHT(Q3270,3)&lt;&gt;""),IF(COUNTIF($Q$6:Q3270,Q3270)=1,1,0),0)</f>
        <v>0</v>
      </c>
      <c r="W3270" s="41" t="str">
        <f t="shared" si="279"/>
        <v/>
      </c>
      <c r="X3270" s="41" t="str">
        <f t="shared" si="280"/>
        <v/>
      </c>
    </row>
    <row r="3271" s="32" customFormat="1" hidden="1" customHeight="1" spans="1:24">
      <c r="A3271" s="34"/>
      <c r="B3271" s="51"/>
      <c r="C3271" s="51"/>
      <c r="D3271" s="52"/>
      <c r="E3271" s="53"/>
      <c r="F3271" s="54"/>
      <c r="G3271" s="54"/>
      <c r="H3271" s="54"/>
      <c r="I3271" s="66"/>
      <c r="J3271" s="54"/>
      <c r="K3271" s="54"/>
      <c r="L3271" s="54"/>
      <c r="M3271" s="97" t="str">
        <f t="shared" si="277"/>
        <v/>
      </c>
      <c r="N3271" s="70"/>
      <c r="O3271" s="71" t="str">
        <f t="shared" si="281"/>
        <v/>
      </c>
      <c r="P3271" s="66"/>
      <c r="Q3271" s="66"/>
      <c r="R3271" s="54"/>
      <c r="S3271" s="82"/>
      <c r="T3271" s="83" t="str">
        <f t="shared" si="278"/>
        <v/>
      </c>
      <c r="U3271" s="10"/>
      <c r="V3271" s="41">
        <f>IF(AND(Q3271&lt;&gt;"",RIGHT(Q3271,3)&lt;&gt;""),IF(COUNTIF($Q$6:Q3271,Q3271)=1,1,0),0)</f>
        <v>0</v>
      </c>
      <c r="W3271" s="41" t="str">
        <f t="shared" si="279"/>
        <v/>
      </c>
      <c r="X3271" s="41" t="str">
        <f t="shared" si="280"/>
        <v/>
      </c>
    </row>
    <row r="3272" s="32" customFormat="1" hidden="1" customHeight="1" spans="1:24">
      <c r="A3272" s="34"/>
      <c r="B3272" s="51"/>
      <c r="C3272" s="51"/>
      <c r="D3272" s="52"/>
      <c r="E3272" s="53"/>
      <c r="F3272" s="54"/>
      <c r="G3272" s="54"/>
      <c r="H3272" s="54"/>
      <c r="I3272" s="66"/>
      <c r="J3272" s="54"/>
      <c r="K3272" s="54"/>
      <c r="L3272" s="54"/>
      <c r="M3272" s="97" t="str">
        <f t="shared" si="277"/>
        <v/>
      </c>
      <c r="N3272" s="70"/>
      <c r="O3272" s="71" t="str">
        <f t="shared" si="281"/>
        <v/>
      </c>
      <c r="P3272" s="66"/>
      <c r="Q3272" s="66"/>
      <c r="R3272" s="54"/>
      <c r="S3272" s="82"/>
      <c r="T3272" s="83" t="str">
        <f t="shared" si="278"/>
        <v/>
      </c>
      <c r="U3272" s="10"/>
      <c r="V3272" s="41">
        <f>IF(AND(Q3272&lt;&gt;"",RIGHT(Q3272,3)&lt;&gt;""),IF(COUNTIF($Q$6:Q3272,Q3272)=1,1,0),0)</f>
        <v>0</v>
      </c>
      <c r="W3272" s="41" t="str">
        <f t="shared" si="279"/>
        <v/>
      </c>
      <c r="X3272" s="41" t="str">
        <f t="shared" si="280"/>
        <v/>
      </c>
    </row>
    <row r="3273" s="32" customFormat="1" hidden="1" customHeight="1" spans="1:24">
      <c r="A3273" s="34"/>
      <c r="B3273" s="51"/>
      <c r="C3273" s="51"/>
      <c r="D3273" s="52"/>
      <c r="E3273" s="53"/>
      <c r="F3273" s="54"/>
      <c r="G3273" s="54"/>
      <c r="H3273" s="54"/>
      <c r="I3273" s="66"/>
      <c r="J3273" s="54"/>
      <c r="K3273" s="54"/>
      <c r="L3273" s="54"/>
      <c r="M3273" s="97" t="str">
        <f t="shared" si="277"/>
        <v/>
      </c>
      <c r="N3273" s="70"/>
      <c r="O3273" s="71" t="str">
        <f t="shared" si="281"/>
        <v/>
      </c>
      <c r="P3273" s="66"/>
      <c r="Q3273" s="66"/>
      <c r="R3273" s="54"/>
      <c r="S3273" s="82"/>
      <c r="T3273" s="83" t="str">
        <f t="shared" si="278"/>
        <v/>
      </c>
      <c r="U3273" s="10"/>
      <c r="V3273" s="41">
        <f>IF(AND(Q3273&lt;&gt;"",RIGHT(Q3273,3)&lt;&gt;""),IF(COUNTIF($Q$6:Q3273,Q3273)=1,1,0),0)</f>
        <v>0</v>
      </c>
      <c r="W3273" s="41" t="str">
        <f t="shared" si="279"/>
        <v/>
      </c>
      <c r="X3273" s="41" t="str">
        <f t="shared" si="280"/>
        <v/>
      </c>
    </row>
    <row r="3274" s="32" customFormat="1" hidden="1" customHeight="1" spans="1:24">
      <c r="A3274" s="34"/>
      <c r="B3274" s="51"/>
      <c r="C3274" s="51"/>
      <c r="D3274" s="52"/>
      <c r="E3274" s="53"/>
      <c r="F3274" s="54"/>
      <c r="G3274" s="54"/>
      <c r="H3274" s="54"/>
      <c r="I3274" s="66"/>
      <c r="J3274" s="54"/>
      <c r="K3274" s="54"/>
      <c r="L3274" s="54"/>
      <c r="M3274" s="97" t="str">
        <f t="shared" si="277"/>
        <v/>
      </c>
      <c r="N3274" s="70"/>
      <c r="O3274" s="71" t="str">
        <f t="shared" si="281"/>
        <v/>
      </c>
      <c r="P3274" s="66"/>
      <c r="Q3274" s="66"/>
      <c r="R3274" s="54"/>
      <c r="S3274" s="82"/>
      <c r="T3274" s="83" t="str">
        <f t="shared" si="278"/>
        <v/>
      </c>
      <c r="U3274" s="10"/>
      <c r="V3274" s="41">
        <f>IF(AND(Q3274&lt;&gt;"",RIGHT(Q3274,3)&lt;&gt;""),IF(COUNTIF($Q$6:Q3274,Q3274)=1,1,0),0)</f>
        <v>0</v>
      </c>
      <c r="W3274" s="41" t="str">
        <f t="shared" si="279"/>
        <v/>
      </c>
      <c r="X3274" s="41" t="str">
        <f t="shared" si="280"/>
        <v/>
      </c>
    </row>
    <row r="3275" s="32" customFormat="1" hidden="1" customHeight="1" spans="1:24">
      <c r="A3275" s="34"/>
      <c r="B3275" s="51"/>
      <c r="C3275" s="51"/>
      <c r="D3275" s="52"/>
      <c r="E3275" s="53"/>
      <c r="F3275" s="54"/>
      <c r="G3275" s="54"/>
      <c r="H3275" s="54"/>
      <c r="I3275" s="66"/>
      <c r="J3275" s="54"/>
      <c r="K3275" s="54"/>
      <c r="L3275" s="54"/>
      <c r="M3275" s="97" t="str">
        <f t="shared" si="277"/>
        <v/>
      </c>
      <c r="N3275" s="70"/>
      <c r="O3275" s="71" t="str">
        <f t="shared" si="281"/>
        <v/>
      </c>
      <c r="P3275" s="66"/>
      <c r="Q3275" s="66"/>
      <c r="R3275" s="54"/>
      <c r="S3275" s="82"/>
      <c r="T3275" s="83" t="str">
        <f t="shared" si="278"/>
        <v/>
      </c>
      <c r="U3275" s="10"/>
      <c r="V3275" s="41">
        <f>IF(AND(Q3275&lt;&gt;"",RIGHT(Q3275,3)&lt;&gt;""),IF(COUNTIF($Q$6:Q3275,Q3275)=1,1,0),0)</f>
        <v>0</v>
      </c>
      <c r="W3275" s="41" t="str">
        <f t="shared" si="279"/>
        <v/>
      </c>
      <c r="X3275" s="41" t="str">
        <f t="shared" si="280"/>
        <v/>
      </c>
    </row>
    <row r="3276" s="32" customFormat="1" hidden="1" customHeight="1" spans="1:24">
      <c r="A3276" s="34"/>
      <c r="B3276" s="51"/>
      <c r="C3276" s="51"/>
      <c r="D3276" s="52"/>
      <c r="E3276" s="53"/>
      <c r="F3276" s="54"/>
      <c r="G3276" s="54"/>
      <c r="H3276" s="54"/>
      <c r="I3276" s="66"/>
      <c r="J3276" s="54"/>
      <c r="K3276" s="54"/>
      <c r="L3276" s="54"/>
      <c r="M3276" s="97" t="str">
        <f t="shared" si="277"/>
        <v/>
      </c>
      <c r="N3276" s="70"/>
      <c r="O3276" s="71" t="str">
        <f t="shared" si="281"/>
        <v/>
      </c>
      <c r="P3276" s="66"/>
      <c r="Q3276" s="66"/>
      <c r="R3276" s="54"/>
      <c r="S3276" s="82"/>
      <c r="T3276" s="83" t="str">
        <f t="shared" si="278"/>
        <v/>
      </c>
      <c r="U3276" s="10"/>
      <c r="V3276" s="41">
        <f>IF(AND(Q3276&lt;&gt;"",RIGHT(Q3276,3)&lt;&gt;""),IF(COUNTIF($Q$6:Q3276,Q3276)=1,1,0),0)</f>
        <v>0</v>
      </c>
      <c r="W3276" s="41" t="str">
        <f t="shared" si="279"/>
        <v/>
      </c>
      <c r="X3276" s="41" t="str">
        <f t="shared" si="280"/>
        <v/>
      </c>
    </row>
    <row r="3277" s="32" customFormat="1" hidden="1" customHeight="1" spans="1:24">
      <c r="A3277" s="34"/>
      <c r="B3277" s="51"/>
      <c r="C3277" s="51"/>
      <c r="D3277" s="52"/>
      <c r="E3277" s="53"/>
      <c r="F3277" s="54"/>
      <c r="G3277" s="54"/>
      <c r="H3277" s="54"/>
      <c r="I3277" s="66"/>
      <c r="J3277" s="54"/>
      <c r="K3277" s="54"/>
      <c r="L3277" s="54"/>
      <c r="M3277" s="97" t="str">
        <f t="shared" si="277"/>
        <v/>
      </c>
      <c r="N3277" s="70"/>
      <c r="O3277" s="71" t="str">
        <f t="shared" si="281"/>
        <v/>
      </c>
      <c r="P3277" s="66"/>
      <c r="Q3277" s="66"/>
      <c r="R3277" s="54"/>
      <c r="S3277" s="82"/>
      <c r="T3277" s="83" t="str">
        <f t="shared" si="278"/>
        <v/>
      </c>
      <c r="U3277" s="10"/>
      <c r="V3277" s="41">
        <f>IF(AND(Q3277&lt;&gt;"",RIGHT(Q3277,3)&lt;&gt;""),IF(COUNTIF($Q$6:Q3277,Q3277)=1,1,0),0)</f>
        <v>0</v>
      </c>
      <c r="W3277" s="41" t="str">
        <f t="shared" si="279"/>
        <v/>
      </c>
      <c r="X3277" s="41" t="str">
        <f t="shared" si="280"/>
        <v/>
      </c>
    </row>
    <row r="3278" s="32" customFormat="1" hidden="1" customHeight="1" spans="1:24">
      <c r="A3278" s="34"/>
      <c r="B3278" s="51"/>
      <c r="C3278" s="51"/>
      <c r="D3278" s="52"/>
      <c r="E3278" s="53"/>
      <c r="F3278" s="54"/>
      <c r="G3278" s="54"/>
      <c r="H3278" s="54"/>
      <c r="I3278" s="66"/>
      <c r="J3278" s="54"/>
      <c r="K3278" s="54"/>
      <c r="L3278" s="54"/>
      <c r="M3278" s="97" t="str">
        <f t="shared" si="277"/>
        <v/>
      </c>
      <c r="N3278" s="70"/>
      <c r="O3278" s="71" t="str">
        <f t="shared" si="281"/>
        <v/>
      </c>
      <c r="P3278" s="66"/>
      <c r="Q3278" s="66"/>
      <c r="R3278" s="54"/>
      <c r="S3278" s="82"/>
      <c r="T3278" s="83" t="str">
        <f t="shared" si="278"/>
        <v/>
      </c>
      <c r="U3278" s="10"/>
      <c r="V3278" s="41">
        <f>IF(AND(Q3278&lt;&gt;"",RIGHT(Q3278,3)&lt;&gt;""),IF(COUNTIF($Q$6:Q3278,Q3278)=1,1,0),0)</f>
        <v>0</v>
      </c>
      <c r="W3278" s="41" t="str">
        <f t="shared" si="279"/>
        <v/>
      </c>
      <c r="X3278" s="41" t="str">
        <f t="shared" si="280"/>
        <v/>
      </c>
    </row>
    <row r="3279" s="32" customFormat="1" hidden="1" customHeight="1" spans="1:24">
      <c r="A3279" s="34"/>
      <c r="B3279" s="51"/>
      <c r="C3279" s="51"/>
      <c r="D3279" s="52"/>
      <c r="E3279" s="53"/>
      <c r="F3279" s="54"/>
      <c r="G3279" s="54"/>
      <c r="H3279" s="54"/>
      <c r="I3279" s="66"/>
      <c r="J3279" s="54"/>
      <c r="K3279" s="54"/>
      <c r="L3279" s="54"/>
      <c r="M3279" s="97" t="str">
        <f t="shared" si="277"/>
        <v/>
      </c>
      <c r="N3279" s="70"/>
      <c r="O3279" s="71" t="str">
        <f t="shared" si="281"/>
        <v/>
      </c>
      <c r="P3279" s="66"/>
      <c r="Q3279" s="66"/>
      <c r="R3279" s="54"/>
      <c r="S3279" s="82"/>
      <c r="T3279" s="83" t="str">
        <f t="shared" si="278"/>
        <v/>
      </c>
      <c r="U3279" s="10"/>
      <c r="V3279" s="41">
        <f>IF(AND(Q3279&lt;&gt;"",RIGHT(Q3279,3)&lt;&gt;""),IF(COUNTIF($Q$6:Q3279,Q3279)=1,1,0),0)</f>
        <v>0</v>
      </c>
      <c r="W3279" s="41" t="str">
        <f t="shared" si="279"/>
        <v/>
      </c>
      <c r="X3279" s="41" t="str">
        <f t="shared" si="280"/>
        <v/>
      </c>
    </row>
    <row r="3280" s="32" customFormat="1" hidden="1" customHeight="1" spans="1:24">
      <c r="A3280" s="34"/>
      <c r="B3280" s="51"/>
      <c r="C3280" s="51"/>
      <c r="D3280" s="52"/>
      <c r="E3280" s="53"/>
      <c r="F3280" s="54"/>
      <c r="G3280" s="54"/>
      <c r="H3280" s="54"/>
      <c r="I3280" s="66"/>
      <c r="J3280" s="54"/>
      <c r="K3280" s="54"/>
      <c r="L3280" s="54"/>
      <c r="M3280" s="97" t="str">
        <f t="shared" si="277"/>
        <v/>
      </c>
      <c r="N3280" s="70"/>
      <c r="O3280" s="71" t="str">
        <f t="shared" si="281"/>
        <v/>
      </c>
      <c r="P3280" s="66"/>
      <c r="Q3280" s="66"/>
      <c r="R3280" s="54"/>
      <c r="S3280" s="82"/>
      <c r="T3280" s="83" t="str">
        <f t="shared" si="278"/>
        <v/>
      </c>
      <c r="U3280" s="10"/>
      <c r="V3280" s="41">
        <f>IF(AND(Q3280&lt;&gt;"",RIGHT(Q3280,3)&lt;&gt;""),IF(COUNTIF($Q$6:Q3280,Q3280)=1,1,0),0)</f>
        <v>0</v>
      </c>
      <c r="W3280" s="41" t="str">
        <f t="shared" si="279"/>
        <v/>
      </c>
      <c r="X3280" s="41" t="str">
        <f t="shared" si="280"/>
        <v/>
      </c>
    </row>
    <row r="3281" s="32" customFormat="1" hidden="1" customHeight="1" spans="1:24">
      <c r="A3281" s="34"/>
      <c r="B3281" s="51"/>
      <c r="C3281" s="51"/>
      <c r="D3281" s="52"/>
      <c r="E3281" s="53"/>
      <c r="F3281" s="54"/>
      <c r="G3281" s="54"/>
      <c r="H3281" s="54"/>
      <c r="I3281" s="66"/>
      <c r="J3281" s="54"/>
      <c r="K3281" s="54"/>
      <c r="L3281" s="54"/>
      <c r="M3281" s="97" t="str">
        <f t="shared" si="277"/>
        <v/>
      </c>
      <c r="N3281" s="70"/>
      <c r="O3281" s="71" t="str">
        <f t="shared" si="281"/>
        <v/>
      </c>
      <c r="P3281" s="66"/>
      <c r="Q3281" s="66"/>
      <c r="R3281" s="54"/>
      <c r="S3281" s="82"/>
      <c r="T3281" s="83" t="str">
        <f t="shared" si="278"/>
        <v/>
      </c>
      <c r="U3281" s="10"/>
      <c r="V3281" s="41">
        <f>IF(AND(Q3281&lt;&gt;"",RIGHT(Q3281,3)&lt;&gt;""),IF(COUNTIF($Q$6:Q3281,Q3281)=1,1,0),0)</f>
        <v>0</v>
      </c>
      <c r="W3281" s="41" t="str">
        <f t="shared" si="279"/>
        <v/>
      </c>
      <c r="X3281" s="41" t="str">
        <f t="shared" si="280"/>
        <v/>
      </c>
    </row>
    <row r="3282" s="32" customFormat="1" hidden="1" customHeight="1" spans="1:24">
      <c r="A3282" s="34"/>
      <c r="B3282" s="51"/>
      <c r="C3282" s="51"/>
      <c r="D3282" s="52"/>
      <c r="E3282" s="53"/>
      <c r="F3282" s="54"/>
      <c r="G3282" s="54"/>
      <c r="H3282" s="54"/>
      <c r="I3282" s="66"/>
      <c r="J3282" s="54"/>
      <c r="K3282" s="54"/>
      <c r="L3282" s="54"/>
      <c r="M3282" s="97" t="str">
        <f t="shared" si="277"/>
        <v/>
      </c>
      <c r="N3282" s="70"/>
      <c r="O3282" s="71" t="str">
        <f t="shared" si="281"/>
        <v/>
      </c>
      <c r="P3282" s="66"/>
      <c r="Q3282" s="66"/>
      <c r="R3282" s="54"/>
      <c r="S3282" s="82"/>
      <c r="T3282" s="83" t="str">
        <f t="shared" si="278"/>
        <v/>
      </c>
      <c r="U3282" s="10"/>
      <c r="V3282" s="41">
        <f>IF(AND(Q3282&lt;&gt;"",RIGHT(Q3282,3)&lt;&gt;""),IF(COUNTIF($Q$6:Q3282,Q3282)=1,1,0),0)</f>
        <v>0</v>
      </c>
      <c r="W3282" s="41" t="str">
        <f t="shared" si="279"/>
        <v/>
      </c>
      <c r="X3282" s="41" t="str">
        <f t="shared" si="280"/>
        <v/>
      </c>
    </row>
    <row r="3283" s="32" customFormat="1" hidden="1" customHeight="1" spans="1:24">
      <c r="A3283" s="34"/>
      <c r="B3283" s="51"/>
      <c r="C3283" s="51"/>
      <c r="D3283" s="52"/>
      <c r="E3283" s="53"/>
      <c r="F3283" s="54"/>
      <c r="G3283" s="54"/>
      <c r="H3283" s="54"/>
      <c r="I3283" s="66"/>
      <c r="J3283" s="54"/>
      <c r="K3283" s="54"/>
      <c r="L3283" s="54"/>
      <c r="M3283" s="97" t="str">
        <f t="shared" si="277"/>
        <v/>
      </c>
      <c r="N3283" s="70"/>
      <c r="O3283" s="71" t="str">
        <f t="shared" si="281"/>
        <v/>
      </c>
      <c r="P3283" s="66"/>
      <c r="Q3283" s="66"/>
      <c r="R3283" s="54"/>
      <c r="S3283" s="82"/>
      <c r="T3283" s="83" t="str">
        <f t="shared" si="278"/>
        <v/>
      </c>
      <c r="U3283" s="10"/>
      <c r="V3283" s="41">
        <f>IF(AND(Q3283&lt;&gt;"",RIGHT(Q3283,3)&lt;&gt;""),IF(COUNTIF($Q$6:Q3283,Q3283)=1,1,0),0)</f>
        <v>0</v>
      </c>
      <c r="W3283" s="41" t="str">
        <f t="shared" si="279"/>
        <v/>
      </c>
      <c r="X3283" s="41" t="str">
        <f t="shared" si="280"/>
        <v/>
      </c>
    </row>
    <row r="3284" s="32" customFormat="1" hidden="1" customHeight="1" spans="1:24">
      <c r="A3284" s="34"/>
      <c r="B3284" s="51"/>
      <c r="C3284" s="51"/>
      <c r="D3284" s="52"/>
      <c r="E3284" s="53"/>
      <c r="F3284" s="54"/>
      <c r="G3284" s="54"/>
      <c r="H3284" s="54"/>
      <c r="I3284" s="66"/>
      <c r="J3284" s="54"/>
      <c r="K3284" s="54"/>
      <c r="L3284" s="54"/>
      <c r="M3284" s="97" t="str">
        <f t="shared" si="277"/>
        <v/>
      </c>
      <c r="N3284" s="70"/>
      <c r="O3284" s="71" t="str">
        <f t="shared" si="281"/>
        <v/>
      </c>
      <c r="P3284" s="66"/>
      <c r="Q3284" s="66"/>
      <c r="R3284" s="54"/>
      <c r="S3284" s="82"/>
      <c r="T3284" s="83" t="str">
        <f t="shared" si="278"/>
        <v/>
      </c>
      <c r="U3284" s="10"/>
      <c r="V3284" s="41">
        <f>IF(AND(Q3284&lt;&gt;"",RIGHT(Q3284,3)&lt;&gt;""),IF(COUNTIF($Q$6:Q3284,Q3284)=1,1,0),0)</f>
        <v>0</v>
      </c>
      <c r="W3284" s="41" t="str">
        <f t="shared" si="279"/>
        <v/>
      </c>
      <c r="X3284" s="41" t="str">
        <f t="shared" si="280"/>
        <v/>
      </c>
    </row>
    <row r="3285" s="32" customFormat="1" hidden="1" customHeight="1" spans="1:24">
      <c r="A3285" s="34"/>
      <c r="B3285" s="51"/>
      <c r="C3285" s="51"/>
      <c r="D3285" s="52"/>
      <c r="E3285" s="53"/>
      <c r="F3285" s="54"/>
      <c r="G3285" s="54"/>
      <c r="H3285" s="54"/>
      <c r="I3285" s="66"/>
      <c r="J3285" s="54"/>
      <c r="K3285" s="54"/>
      <c r="L3285" s="54"/>
      <c r="M3285" s="97" t="str">
        <f t="shared" si="277"/>
        <v/>
      </c>
      <c r="N3285" s="70"/>
      <c r="O3285" s="71" t="str">
        <f t="shared" si="281"/>
        <v/>
      </c>
      <c r="P3285" s="66"/>
      <c r="Q3285" s="66"/>
      <c r="R3285" s="54"/>
      <c r="S3285" s="82"/>
      <c r="T3285" s="83" t="str">
        <f t="shared" si="278"/>
        <v/>
      </c>
      <c r="U3285" s="10"/>
      <c r="V3285" s="41">
        <f>IF(AND(Q3285&lt;&gt;"",RIGHT(Q3285,3)&lt;&gt;""),IF(COUNTIF($Q$6:Q3285,Q3285)=1,1,0),0)</f>
        <v>0</v>
      </c>
      <c r="W3285" s="41" t="str">
        <f t="shared" si="279"/>
        <v/>
      </c>
      <c r="X3285" s="41" t="str">
        <f t="shared" si="280"/>
        <v/>
      </c>
    </row>
    <row r="3286" s="32" customFormat="1" hidden="1" customHeight="1" spans="1:24">
      <c r="A3286" s="34"/>
      <c r="B3286" s="51"/>
      <c r="C3286" s="51"/>
      <c r="D3286" s="52"/>
      <c r="E3286" s="53"/>
      <c r="F3286" s="54"/>
      <c r="G3286" s="54"/>
      <c r="H3286" s="54"/>
      <c r="I3286" s="66"/>
      <c r="J3286" s="54"/>
      <c r="K3286" s="54"/>
      <c r="L3286" s="54"/>
      <c r="M3286" s="97" t="str">
        <f t="shared" si="277"/>
        <v/>
      </c>
      <c r="N3286" s="70"/>
      <c r="O3286" s="71" t="str">
        <f t="shared" si="281"/>
        <v/>
      </c>
      <c r="P3286" s="66"/>
      <c r="Q3286" s="66"/>
      <c r="R3286" s="54"/>
      <c r="S3286" s="82"/>
      <c r="T3286" s="83" t="str">
        <f t="shared" si="278"/>
        <v/>
      </c>
      <c r="U3286" s="10"/>
      <c r="V3286" s="41">
        <f>IF(AND(Q3286&lt;&gt;"",RIGHT(Q3286,3)&lt;&gt;""),IF(COUNTIF($Q$6:Q3286,Q3286)=1,1,0),0)</f>
        <v>0</v>
      </c>
      <c r="W3286" s="41" t="str">
        <f t="shared" si="279"/>
        <v/>
      </c>
      <c r="X3286" s="41" t="str">
        <f t="shared" si="280"/>
        <v/>
      </c>
    </row>
    <row r="3287" s="32" customFormat="1" hidden="1" customHeight="1" spans="1:24">
      <c r="A3287" s="34"/>
      <c r="B3287" s="51"/>
      <c r="C3287" s="51"/>
      <c r="D3287" s="52"/>
      <c r="E3287" s="53"/>
      <c r="F3287" s="54"/>
      <c r="G3287" s="54"/>
      <c r="H3287" s="54"/>
      <c r="I3287" s="66"/>
      <c r="J3287" s="54"/>
      <c r="K3287" s="54"/>
      <c r="L3287" s="54"/>
      <c r="M3287" s="97" t="str">
        <f t="shared" si="277"/>
        <v/>
      </c>
      <c r="N3287" s="70"/>
      <c r="O3287" s="71" t="str">
        <f t="shared" si="281"/>
        <v/>
      </c>
      <c r="P3287" s="66"/>
      <c r="Q3287" s="66"/>
      <c r="R3287" s="54"/>
      <c r="S3287" s="82"/>
      <c r="T3287" s="83" t="str">
        <f t="shared" si="278"/>
        <v/>
      </c>
      <c r="U3287" s="10"/>
      <c r="V3287" s="41">
        <f>IF(AND(Q3287&lt;&gt;"",RIGHT(Q3287,3)&lt;&gt;""),IF(COUNTIF($Q$6:Q3287,Q3287)=1,1,0),0)</f>
        <v>0</v>
      </c>
      <c r="W3287" s="41" t="str">
        <f t="shared" si="279"/>
        <v/>
      </c>
      <c r="X3287" s="41" t="str">
        <f t="shared" si="280"/>
        <v/>
      </c>
    </row>
    <row r="3288" s="32" customFormat="1" hidden="1" customHeight="1" spans="1:24">
      <c r="A3288" s="34"/>
      <c r="B3288" s="51"/>
      <c r="C3288" s="51"/>
      <c r="D3288" s="52"/>
      <c r="E3288" s="53"/>
      <c r="F3288" s="54"/>
      <c r="G3288" s="54"/>
      <c r="H3288" s="54"/>
      <c r="I3288" s="66"/>
      <c r="J3288" s="54"/>
      <c r="K3288" s="54"/>
      <c r="L3288" s="54"/>
      <c r="M3288" s="97" t="str">
        <f t="shared" si="277"/>
        <v/>
      </c>
      <c r="N3288" s="70"/>
      <c r="O3288" s="71" t="str">
        <f t="shared" si="281"/>
        <v/>
      </c>
      <c r="P3288" s="66"/>
      <c r="Q3288" s="66"/>
      <c r="R3288" s="54"/>
      <c r="S3288" s="82"/>
      <c r="T3288" s="83" t="str">
        <f t="shared" si="278"/>
        <v/>
      </c>
      <c r="U3288" s="10"/>
      <c r="V3288" s="41">
        <f>IF(AND(Q3288&lt;&gt;"",RIGHT(Q3288,3)&lt;&gt;""),IF(COUNTIF($Q$6:Q3288,Q3288)=1,1,0),0)</f>
        <v>0</v>
      </c>
      <c r="W3288" s="41" t="str">
        <f t="shared" si="279"/>
        <v/>
      </c>
      <c r="X3288" s="41" t="str">
        <f t="shared" si="280"/>
        <v/>
      </c>
    </row>
    <row r="3289" s="32" customFormat="1" hidden="1" customHeight="1" spans="1:24">
      <c r="A3289" s="34"/>
      <c r="B3289" s="51"/>
      <c r="C3289" s="51"/>
      <c r="D3289" s="52"/>
      <c r="E3289" s="53"/>
      <c r="F3289" s="54"/>
      <c r="G3289" s="54"/>
      <c r="H3289" s="54"/>
      <c r="I3289" s="66"/>
      <c r="J3289" s="54"/>
      <c r="K3289" s="54"/>
      <c r="L3289" s="54"/>
      <c r="M3289" s="97" t="str">
        <f t="shared" si="277"/>
        <v/>
      </c>
      <c r="N3289" s="70"/>
      <c r="O3289" s="71" t="str">
        <f t="shared" si="281"/>
        <v/>
      </c>
      <c r="P3289" s="66"/>
      <c r="Q3289" s="66"/>
      <c r="R3289" s="54"/>
      <c r="S3289" s="82"/>
      <c r="T3289" s="83" t="str">
        <f t="shared" si="278"/>
        <v/>
      </c>
      <c r="U3289" s="10"/>
      <c r="V3289" s="41">
        <f>IF(AND(Q3289&lt;&gt;"",RIGHT(Q3289,3)&lt;&gt;""),IF(COUNTIF($Q$6:Q3289,Q3289)=1,1,0),0)</f>
        <v>0</v>
      </c>
      <c r="W3289" s="41" t="str">
        <f t="shared" si="279"/>
        <v/>
      </c>
      <c r="X3289" s="41" t="str">
        <f t="shared" si="280"/>
        <v/>
      </c>
    </row>
    <row r="3290" s="32" customFormat="1" hidden="1" customHeight="1" spans="1:24">
      <c r="A3290" s="34"/>
      <c r="B3290" s="51"/>
      <c r="C3290" s="51"/>
      <c r="D3290" s="52"/>
      <c r="E3290" s="53"/>
      <c r="F3290" s="54"/>
      <c r="G3290" s="54"/>
      <c r="H3290" s="54"/>
      <c r="I3290" s="66"/>
      <c r="J3290" s="54"/>
      <c r="K3290" s="54"/>
      <c r="L3290" s="54"/>
      <c r="M3290" s="97" t="str">
        <f t="shared" si="277"/>
        <v/>
      </c>
      <c r="N3290" s="70"/>
      <c r="O3290" s="71" t="str">
        <f t="shared" si="281"/>
        <v/>
      </c>
      <c r="P3290" s="66"/>
      <c r="Q3290" s="66"/>
      <c r="R3290" s="54"/>
      <c r="S3290" s="82"/>
      <c r="T3290" s="83" t="str">
        <f t="shared" si="278"/>
        <v/>
      </c>
      <c r="U3290" s="10"/>
      <c r="V3290" s="41">
        <f>IF(AND(Q3290&lt;&gt;"",RIGHT(Q3290,3)&lt;&gt;""),IF(COUNTIF($Q$6:Q3290,Q3290)=1,1,0),0)</f>
        <v>0</v>
      </c>
      <c r="W3290" s="41" t="str">
        <f t="shared" si="279"/>
        <v/>
      </c>
      <c r="X3290" s="41" t="str">
        <f t="shared" si="280"/>
        <v/>
      </c>
    </row>
    <row r="3291" s="32" customFormat="1" hidden="1" customHeight="1" spans="1:24">
      <c r="A3291" s="34"/>
      <c r="B3291" s="51"/>
      <c r="C3291" s="51"/>
      <c r="D3291" s="52"/>
      <c r="E3291" s="53"/>
      <c r="F3291" s="54"/>
      <c r="G3291" s="54"/>
      <c r="H3291" s="54"/>
      <c r="I3291" s="66"/>
      <c r="J3291" s="54"/>
      <c r="K3291" s="54"/>
      <c r="L3291" s="54"/>
      <c r="M3291" s="97" t="str">
        <f t="shared" si="277"/>
        <v/>
      </c>
      <c r="N3291" s="70"/>
      <c r="O3291" s="71" t="str">
        <f t="shared" si="281"/>
        <v/>
      </c>
      <c r="P3291" s="66"/>
      <c r="Q3291" s="66"/>
      <c r="R3291" s="54"/>
      <c r="S3291" s="82"/>
      <c r="T3291" s="83" t="str">
        <f t="shared" si="278"/>
        <v/>
      </c>
      <c r="U3291" s="10"/>
      <c r="V3291" s="41">
        <f>IF(AND(Q3291&lt;&gt;"",RIGHT(Q3291,3)&lt;&gt;""),IF(COUNTIF($Q$6:Q3291,Q3291)=1,1,0),0)</f>
        <v>0</v>
      </c>
      <c r="W3291" s="41" t="str">
        <f t="shared" si="279"/>
        <v/>
      </c>
      <c r="X3291" s="41" t="str">
        <f t="shared" si="280"/>
        <v/>
      </c>
    </row>
    <row r="3292" s="32" customFormat="1" hidden="1" customHeight="1" spans="1:24">
      <c r="A3292" s="34"/>
      <c r="B3292" s="51"/>
      <c r="C3292" s="51"/>
      <c r="D3292" s="52"/>
      <c r="E3292" s="53"/>
      <c r="F3292" s="54"/>
      <c r="G3292" s="54"/>
      <c r="H3292" s="54"/>
      <c r="I3292" s="66"/>
      <c r="J3292" s="54"/>
      <c r="K3292" s="54"/>
      <c r="L3292" s="54"/>
      <c r="M3292" s="97" t="str">
        <f t="shared" si="277"/>
        <v/>
      </c>
      <c r="N3292" s="70"/>
      <c r="O3292" s="71" t="str">
        <f t="shared" si="281"/>
        <v/>
      </c>
      <c r="P3292" s="66"/>
      <c r="Q3292" s="66"/>
      <c r="R3292" s="54"/>
      <c r="S3292" s="82"/>
      <c r="T3292" s="83" t="str">
        <f t="shared" si="278"/>
        <v/>
      </c>
      <c r="U3292" s="10"/>
      <c r="V3292" s="41">
        <f>IF(AND(Q3292&lt;&gt;"",RIGHT(Q3292,3)&lt;&gt;""),IF(COUNTIF($Q$6:Q3292,Q3292)=1,1,0),0)</f>
        <v>0</v>
      </c>
      <c r="W3292" s="41" t="str">
        <f t="shared" si="279"/>
        <v/>
      </c>
      <c r="X3292" s="41" t="str">
        <f t="shared" si="280"/>
        <v/>
      </c>
    </row>
    <row r="3293" s="32" customFormat="1" hidden="1" customHeight="1" spans="1:24">
      <c r="A3293" s="34"/>
      <c r="B3293" s="51"/>
      <c r="C3293" s="51"/>
      <c r="D3293" s="52"/>
      <c r="E3293" s="53"/>
      <c r="F3293" s="54"/>
      <c r="G3293" s="54"/>
      <c r="H3293" s="54"/>
      <c r="I3293" s="66"/>
      <c r="J3293" s="54"/>
      <c r="K3293" s="54"/>
      <c r="L3293" s="54"/>
      <c r="M3293" s="97" t="str">
        <f t="shared" si="277"/>
        <v/>
      </c>
      <c r="N3293" s="70"/>
      <c r="O3293" s="71" t="str">
        <f t="shared" si="281"/>
        <v/>
      </c>
      <c r="P3293" s="66"/>
      <c r="Q3293" s="66"/>
      <c r="R3293" s="54"/>
      <c r="S3293" s="82"/>
      <c r="T3293" s="83" t="str">
        <f t="shared" si="278"/>
        <v/>
      </c>
      <c r="U3293" s="10"/>
      <c r="V3293" s="41">
        <f>IF(AND(Q3293&lt;&gt;"",RIGHT(Q3293,3)&lt;&gt;""),IF(COUNTIF($Q$6:Q3293,Q3293)=1,1,0),0)</f>
        <v>0</v>
      </c>
      <c r="W3293" s="41" t="str">
        <f t="shared" si="279"/>
        <v/>
      </c>
      <c r="X3293" s="41" t="str">
        <f t="shared" si="280"/>
        <v/>
      </c>
    </row>
    <row r="3294" s="32" customFormat="1" hidden="1" customHeight="1" spans="1:24">
      <c r="A3294" s="34"/>
      <c r="B3294" s="51"/>
      <c r="C3294" s="51"/>
      <c r="D3294" s="52"/>
      <c r="E3294" s="53"/>
      <c r="F3294" s="54"/>
      <c r="G3294" s="54"/>
      <c r="H3294" s="54"/>
      <c r="I3294" s="66"/>
      <c r="J3294" s="54"/>
      <c r="K3294" s="54"/>
      <c r="L3294" s="54"/>
      <c r="M3294" s="97" t="str">
        <f t="shared" si="277"/>
        <v/>
      </c>
      <c r="N3294" s="70"/>
      <c r="O3294" s="71" t="str">
        <f t="shared" si="281"/>
        <v/>
      </c>
      <c r="P3294" s="66"/>
      <c r="Q3294" s="66"/>
      <c r="R3294" s="54"/>
      <c r="S3294" s="82"/>
      <c r="T3294" s="83" t="str">
        <f t="shared" si="278"/>
        <v/>
      </c>
      <c r="U3294" s="10"/>
      <c r="V3294" s="41">
        <f>IF(AND(Q3294&lt;&gt;"",RIGHT(Q3294,3)&lt;&gt;""),IF(COUNTIF($Q$6:Q3294,Q3294)=1,1,0),0)</f>
        <v>0</v>
      </c>
      <c r="W3294" s="41" t="str">
        <f t="shared" si="279"/>
        <v/>
      </c>
      <c r="X3294" s="41" t="str">
        <f t="shared" si="280"/>
        <v/>
      </c>
    </row>
    <row r="3295" s="32" customFormat="1" hidden="1" customHeight="1" spans="1:24">
      <c r="A3295" s="34"/>
      <c r="B3295" s="51"/>
      <c r="C3295" s="51"/>
      <c r="D3295" s="52"/>
      <c r="E3295" s="53"/>
      <c r="F3295" s="54"/>
      <c r="G3295" s="54"/>
      <c r="H3295" s="54"/>
      <c r="I3295" s="66"/>
      <c r="J3295" s="54"/>
      <c r="K3295" s="54"/>
      <c r="L3295" s="54"/>
      <c r="M3295" s="97" t="str">
        <f t="shared" si="277"/>
        <v/>
      </c>
      <c r="N3295" s="70"/>
      <c r="O3295" s="71" t="str">
        <f t="shared" si="281"/>
        <v/>
      </c>
      <c r="P3295" s="66"/>
      <c r="Q3295" s="66"/>
      <c r="R3295" s="54"/>
      <c r="S3295" s="82"/>
      <c r="T3295" s="83" t="str">
        <f t="shared" si="278"/>
        <v/>
      </c>
      <c r="U3295" s="10"/>
      <c r="V3295" s="41">
        <f>IF(AND(Q3295&lt;&gt;"",RIGHT(Q3295,3)&lt;&gt;""),IF(COUNTIF($Q$6:Q3295,Q3295)=1,1,0),0)</f>
        <v>0</v>
      </c>
      <c r="W3295" s="41" t="str">
        <f t="shared" si="279"/>
        <v/>
      </c>
      <c r="X3295" s="41" t="str">
        <f t="shared" si="280"/>
        <v/>
      </c>
    </row>
    <row r="3296" s="32" customFormat="1" hidden="1" customHeight="1" spans="1:24">
      <c r="A3296" s="34"/>
      <c r="B3296" s="51"/>
      <c r="C3296" s="51"/>
      <c r="D3296" s="52"/>
      <c r="E3296" s="53"/>
      <c r="F3296" s="54"/>
      <c r="G3296" s="54"/>
      <c r="H3296" s="54"/>
      <c r="I3296" s="66"/>
      <c r="J3296" s="54"/>
      <c r="K3296" s="54"/>
      <c r="L3296" s="54"/>
      <c r="M3296" s="97" t="str">
        <f t="shared" si="277"/>
        <v/>
      </c>
      <c r="N3296" s="70"/>
      <c r="O3296" s="71" t="str">
        <f t="shared" si="281"/>
        <v/>
      </c>
      <c r="P3296" s="66"/>
      <c r="Q3296" s="66"/>
      <c r="R3296" s="54"/>
      <c r="S3296" s="82"/>
      <c r="T3296" s="83" t="str">
        <f t="shared" si="278"/>
        <v/>
      </c>
      <c r="U3296" s="10"/>
      <c r="V3296" s="41">
        <f>IF(AND(Q3296&lt;&gt;"",RIGHT(Q3296,3)&lt;&gt;""),IF(COUNTIF($Q$6:Q3296,Q3296)=1,1,0),0)</f>
        <v>0</v>
      </c>
      <c r="W3296" s="41" t="str">
        <f t="shared" si="279"/>
        <v/>
      </c>
      <c r="X3296" s="41" t="str">
        <f t="shared" si="280"/>
        <v/>
      </c>
    </row>
    <row r="3297" s="32" customFormat="1" hidden="1" customHeight="1" spans="1:24">
      <c r="A3297" s="34"/>
      <c r="B3297" s="51"/>
      <c r="C3297" s="51"/>
      <c r="D3297" s="52"/>
      <c r="E3297" s="53"/>
      <c r="F3297" s="54"/>
      <c r="G3297" s="54"/>
      <c r="H3297" s="54"/>
      <c r="I3297" s="66"/>
      <c r="J3297" s="54"/>
      <c r="K3297" s="54"/>
      <c r="L3297" s="54"/>
      <c r="M3297" s="97" t="str">
        <f t="shared" si="277"/>
        <v/>
      </c>
      <c r="N3297" s="70"/>
      <c r="O3297" s="71" t="str">
        <f t="shared" si="281"/>
        <v/>
      </c>
      <c r="P3297" s="66"/>
      <c r="Q3297" s="66"/>
      <c r="R3297" s="54"/>
      <c r="S3297" s="82"/>
      <c r="T3297" s="83" t="str">
        <f t="shared" si="278"/>
        <v/>
      </c>
      <c r="U3297" s="10"/>
      <c r="V3297" s="41">
        <f>IF(AND(Q3297&lt;&gt;"",RIGHT(Q3297,3)&lt;&gt;""),IF(COUNTIF($Q$6:Q3297,Q3297)=1,1,0),0)</f>
        <v>0</v>
      </c>
      <c r="W3297" s="41" t="str">
        <f t="shared" si="279"/>
        <v/>
      </c>
      <c r="X3297" s="41" t="str">
        <f t="shared" si="280"/>
        <v/>
      </c>
    </row>
    <row r="3298" s="32" customFormat="1" hidden="1" customHeight="1" spans="1:24">
      <c r="A3298" s="34"/>
      <c r="B3298" s="51"/>
      <c r="C3298" s="51"/>
      <c r="D3298" s="52"/>
      <c r="E3298" s="53"/>
      <c r="F3298" s="54"/>
      <c r="G3298" s="54"/>
      <c r="H3298" s="54"/>
      <c r="I3298" s="66"/>
      <c r="J3298" s="54"/>
      <c r="K3298" s="54"/>
      <c r="L3298" s="54"/>
      <c r="M3298" s="97" t="str">
        <f t="shared" si="277"/>
        <v/>
      </c>
      <c r="N3298" s="70"/>
      <c r="O3298" s="71" t="str">
        <f t="shared" si="281"/>
        <v/>
      </c>
      <c r="P3298" s="66"/>
      <c r="Q3298" s="66"/>
      <c r="R3298" s="54"/>
      <c r="S3298" s="82"/>
      <c r="T3298" s="83" t="str">
        <f t="shared" si="278"/>
        <v/>
      </c>
      <c r="U3298" s="10"/>
      <c r="V3298" s="41">
        <f>IF(AND(Q3298&lt;&gt;"",RIGHT(Q3298,3)&lt;&gt;""),IF(COUNTIF($Q$6:Q3298,Q3298)=1,1,0),0)</f>
        <v>0</v>
      </c>
      <c r="W3298" s="41" t="str">
        <f t="shared" si="279"/>
        <v/>
      </c>
      <c r="X3298" s="41" t="str">
        <f t="shared" si="280"/>
        <v/>
      </c>
    </row>
    <row r="3299" s="32" customFormat="1" hidden="1" customHeight="1" spans="1:24">
      <c r="A3299" s="34"/>
      <c r="B3299" s="51"/>
      <c r="C3299" s="51"/>
      <c r="D3299" s="52"/>
      <c r="E3299" s="53"/>
      <c r="F3299" s="54"/>
      <c r="G3299" s="54"/>
      <c r="H3299" s="54"/>
      <c r="I3299" s="66"/>
      <c r="J3299" s="54"/>
      <c r="K3299" s="54"/>
      <c r="L3299" s="54"/>
      <c r="M3299" s="97" t="str">
        <f t="shared" si="277"/>
        <v/>
      </c>
      <c r="N3299" s="70"/>
      <c r="O3299" s="71" t="str">
        <f t="shared" si="281"/>
        <v/>
      </c>
      <c r="P3299" s="66"/>
      <c r="Q3299" s="66"/>
      <c r="R3299" s="54"/>
      <c r="S3299" s="82"/>
      <c r="T3299" s="83" t="str">
        <f t="shared" si="278"/>
        <v/>
      </c>
      <c r="U3299" s="10"/>
      <c r="V3299" s="41">
        <f>IF(AND(Q3299&lt;&gt;"",RIGHT(Q3299,3)&lt;&gt;""),IF(COUNTIF($Q$6:Q3299,Q3299)=1,1,0),0)</f>
        <v>0</v>
      </c>
      <c r="W3299" s="41" t="str">
        <f t="shared" si="279"/>
        <v/>
      </c>
      <c r="X3299" s="41" t="str">
        <f t="shared" si="280"/>
        <v/>
      </c>
    </row>
    <row r="3300" s="32" customFormat="1" hidden="1" customHeight="1" spans="1:24">
      <c r="A3300" s="34"/>
      <c r="B3300" s="51"/>
      <c r="C3300" s="51"/>
      <c r="D3300" s="52"/>
      <c r="E3300" s="53"/>
      <c r="F3300" s="54"/>
      <c r="G3300" s="54"/>
      <c r="H3300" s="54"/>
      <c r="I3300" s="66"/>
      <c r="J3300" s="54"/>
      <c r="K3300" s="54"/>
      <c r="L3300" s="54"/>
      <c r="M3300" s="97" t="str">
        <f t="shared" ref="M3300:M3363" si="282">IF(L3300="","",HYPERLINK(_xlfn.CONCAT($L$4,L3300,".jpg"),"Open File"))</f>
        <v/>
      </c>
      <c r="N3300" s="70"/>
      <c r="O3300" s="71" t="str">
        <f t="shared" si="281"/>
        <v/>
      </c>
      <c r="P3300" s="66"/>
      <c r="Q3300" s="66"/>
      <c r="R3300" s="54"/>
      <c r="S3300" s="82"/>
      <c r="T3300" s="83" t="str">
        <f t="shared" ref="T3300:T3363" si="283">IF(S3300="","",HYPERLINK(_xlfn.CONCAT($S$4,S3300,".jpg"),"Open File"))</f>
        <v/>
      </c>
      <c r="U3300" s="10"/>
      <c r="V3300" s="41">
        <f>IF(AND(Q3300&lt;&gt;"",RIGHT(Q3300,3)&lt;&gt;""),IF(COUNTIF($Q$6:Q3300,Q3300)=1,1,0),0)</f>
        <v>0</v>
      </c>
      <c r="W3300" s="41" t="str">
        <f t="shared" ref="W3300:W3363" si="284">IF(AND(J3300&lt;&gt;"",K3300&lt;&gt;""),_xlfn.CONCAT(SUBSTITUTE(J3300,"/","."),"-",K3300),"")</f>
        <v/>
      </c>
      <c r="X3300" s="41" t="str">
        <f t="shared" ref="X3300:X3363" si="285">IF(AND(Q3300&lt;&gt;"",R3300&lt;&gt;""),_xlfn.CONCAT(SUBSTITUTE(Q3300,"/","."),"-",R3300),"")</f>
        <v/>
      </c>
    </row>
    <row r="3301" s="32" customFormat="1" hidden="1" customHeight="1" spans="1:24">
      <c r="A3301" s="34"/>
      <c r="B3301" s="51"/>
      <c r="C3301" s="51"/>
      <c r="D3301" s="52"/>
      <c r="E3301" s="53"/>
      <c r="F3301" s="54"/>
      <c r="G3301" s="54"/>
      <c r="H3301" s="54"/>
      <c r="I3301" s="66"/>
      <c r="J3301" s="54"/>
      <c r="K3301" s="54"/>
      <c r="L3301" s="54"/>
      <c r="M3301" s="97" t="str">
        <f t="shared" si="282"/>
        <v/>
      </c>
      <c r="N3301" s="70"/>
      <c r="O3301" s="71" t="str">
        <f t="shared" si="281"/>
        <v/>
      </c>
      <c r="P3301" s="66"/>
      <c r="Q3301" s="66"/>
      <c r="R3301" s="54"/>
      <c r="S3301" s="82"/>
      <c r="T3301" s="83" t="str">
        <f t="shared" si="283"/>
        <v/>
      </c>
      <c r="U3301" s="10"/>
      <c r="V3301" s="41">
        <f>IF(AND(Q3301&lt;&gt;"",RIGHT(Q3301,3)&lt;&gt;""),IF(COUNTIF($Q$6:Q3301,Q3301)=1,1,0),0)</f>
        <v>0</v>
      </c>
      <c r="W3301" s="41" t="str">
        <f t="shared" si="284"/>
        <v/>
      </c>
      <c r="X3301" s="41" t="str">
        <f t="shared" si="285"/>
        <v/>
      </c>
    </row>
    <row r="3302" s="32" customFormat="1" hidden="1" customHeight="1" spans="1:24">
      <c r="A3302" s="34"/>
      <c r="B3302" s="51"/>
      <c r="C3302" s="51"/>
      <c r="D3302" s="52"/>
      <c r="E3302" s="53"/>
      <c r="F3302" s="54"/>
      <c r="G3302" s="54"/>
      <c r="H3302" s="54"/>
      <c r="I3302" s="66"/>
      <c r="J3302" s="54"/>
      <c r="K3302" s="54"/>
      <c r="L3302" s="54"/>
      <c r="M3302" s="97" t="str">
        <f t="shared" si="282"/>
        <v/>
      </c>
      <c r="N3302" s="70"/>
      <c r="O3302" s="71" t="str">
        <f t="shared" si="281"/>
        <v/>
      </c>
      <c r="P3302" s="66"/>
      <c r="Q3302" s="66"/>
      <c r="R3302" s="54"/>
      <c r="S3302" s="82"/>
      <c r="T3302" s="83" t="str">
        <f t="shared" si="283"/>
        <v/>
      </c>
      <c r="U3302" s="10"/>
      <c r="V3302" s="41">
        <f>IF(AND(Q3302&lt;&gt;"",RIGHT(Q3302,3)&lt;&gt;""),IF(COUNTIF($Q$6:Q3302,Q3302)=1,1,0),0)</f>
        <v>0</v>
      </c>
      <c r="W3302" s="41" t="str">
        <f t="shared" si="284"/>
        <v/>
      </c>
      <c r="X3302" s="41" t="str">
        <f t="shared" si="285"/>
        <v/>
      </c>
    </row>
    <row r="3303" s="32" customFormat="1" hidden="1" customHeight="1" spans="1:24">
      <c r="A3303" s="34"/>
      <c r="B3303" s="51"/>
      <c r="C3303" s="51"/>
      <c r="D3303" s="52"/>
      <c r="E3303" s="53"/>
      <c r="F3303" s="54"/>
      <c r="G3303" s="54"/>
      <c r="H3303" s="54"/>
      <c r="I3303" s="66"/>
      <c r="J3303" s="54"/>
      <c r="K3303" s="54"/>
      <c r="L3303" s="54"/>
      <c r="M3303" s="97" t="str">
        <f t="shared" si="282"/>
        <v/>
      </c>
      <c r="N3303" s="70"/>
      <c r="O3303" s="71" t="str">
        <f t="shared" si="281"/>
        <v/>
      </c>
      <c r="P3303" s="66"/>
      <c r="Q3303" s="66"/>
      <c r="R3303" s="54"/>
      <c r="S3303" s="82"/>
      <c r="T3303" s="83" t="str">
        <f t="shared" si="283"/>
        <v/>
      </c>
      <c r="U3303" s="10"/>
      <c r="V3303" s="41">
        <f>IF(AND(Q3303&lt;&gt;"",RIGHT(Q3303,3)&lt;&gt;""),IF(COUNTIF($Q$6:Q3303,Q3303)=1,1,0),0)</f>
        <v>0</v>
      </c>
      <c r="W3303" s="41" t="str">
        <f t="shared" si="284"/>
        <v/>
      </c>
      <c r="X3303" s="41" t="str">
        <f t="shared" si="285"/>
        <v/>
      </c>
    </row>
    <row r="3304" s="32" customFormat="1" hidden="1" customHeight="1" spans="1:24">
      <c r="A3304" s="34"/>
      <c r="B3304" s="51"/>
      <c r="C3304" s="51"/>
      <c r="D3304" s="52"/>
      <c r="E3304" s="53"/>
      <c r="F3304" s="54"/>
      <c r="G3304" s="54"/>
      <c r="H3304" s="54"/>
      <c r="I3304" s="66"/>
      <c r="J3304" s="54"/>
      <c r="K3304" s="54"/>
      <c r="L3304" s="54"/>
      <c r="M3304" s="97" t="str">
        <f t="shared" si="282"/>
        <v/>
      </c>
      <c r="N3304" s="70"/>
      <c r="O3304" s="71" t="str">
        <f t="shared" si="281"/>
        <v/>
      </c>
      <c r="P3304" s="66"/>
      <c r="Q3304" s="66"/>
      <c r="R3304" s="54"/>
      <c r="S3304" s="82"/>
      <c r="T3304" s="83" t="str">
        <f t="shared" si="283"/>
        <v/>
      </c>
      <c r="U3304" s="10"/>
      <c r="V3304" s="41">
        <f>IF(AND(Q3304&lt;&gt;"",RIGHT(Q3304,3)&lt;&gt;""),IF(COUNTIF($Q$6:Q3304,Q3304)=1,1,0),0)</f>
        <v>0</v>
      </c>
      <c r="W3304" s="41" t="str">
        <f t="shared" si="284"/>
        <v/>
      </c>
      <c r="X3304" s="41" t="str">
        <f t="shared" si="285"/>
        <v/>
      </c>
    </row>
    <row r="3305" s="32" customFormat="1" hidden="1" customHeight="1" spans="1:24">
      <c r="A3305" s="34"/>
      <c r="B3305" s="51"/>
      <c r="C3305" s="51"/>
      <c r="D3305" s="52"/>
      <c r="E3305" s="53"/>
      <c r="F3305" s="54"/>
      <c r="G3305" s="54"/>
      <c r="H3305" s="54"/>
      <c r="I3305" s="66"/>
      <c r="J3305" s="54"/>
      <c r="K3305" s="54"/>
      <c r="L3305" s="54"/>
      <c r="M3305" s="97" t="str">
        <f t="shared" si="282"/>
        <v/>
      </c>
      <c r="N3305" s="70"/>
      <c r="O3305" s="71" t="str">
        <f t="shared" si="281"/>
        <v/>
      </c>
      <c r="P3305" s="66"/>
      <c r="Q3305" s="66"/>
      <c r="R3305" s="54"/>
      <c r="S3305" s="82"/>
      <c r="T3305" s="83" t="str">
        <f t="shared" si="283"/>
        <v/>
      </c>
      <c r="U3305" s="10"/>
      <c r="V3305" s="41">
        <f>IF(AND(Q3305&lt;&gt;"",RIGHT(Q3305,3)&lt;&gt;""),IF(COUNTIF($Q$6:Q3305,Q3305)=1,1,0),0)</f>
        <v>0</v>
      </c>
      <c r="W3305" s="41" t="str">
        <f t="shared" si="284"/>
        <v/>
      </c>
      <c r="X3305" s="41" t="str">
        <f t="shared" si="285"/>
        <v/>
      </c>
    </row>
    <row r="3306" s="32" customFormat="1" hidden="1" customHeight="1" spans="1:24">
      <c r="A3306" s="34"/>
      <c r="B3306" s="51"/>
      <c r="C3306" s="51"/>
      <c r="D3306" s="52"/>
      <c r="E3306" s="53"/>
      <c r="F3306" s="54"/>
      <c r="G3306" s="54"/>
      <c r="H3306" s="54"/>
      <c r="I3306" s="66"/>
      <c r="J3306" s="54"/>
      <c r="K3306" s="54"/>
      <c r="L3306" s="54"/>
      <c r="M3306" s="97" t="str">
        <f t="shared" si="282"/>
        <v/>
      </c>
      <c r="N3306" s="70"/>
      <c r="O3306" s="71" t="str">
        <f t="shared" si="281"/>
        <v/>
      </c>
      <c r="P3306" s="66"/>
      <c r="Q3306" s="66"/>
      <c r="R3306" s="54"/>
      <c r="S3306" s="82"/>
      <c r="T3306" s="83" t="str">
        <f t="shared" si="283"/>
        <v/>
      </c>
      <c r="U3306" s="10"/>
      <c r="V3306" s="41">
        <f>IF(AND(Q3306&lt;&gt;"",RIGHT(Q3306,3)&lt;&gt;""),IF(COUNTIF($Q$6:Q3306,Q3306)=1,1,0),0)</f>
        <v>0</v>
      </c>
      <c r="W3306" s="41" t="str">
        <f t="shared" si="284"/>
        <v/>
      </c>
      <c r="X3306" s="41" t="str">
        <f t="shared" si="285"/>
        <v/>
      </c>
    </row>
    <row r="3307" s="32" customFormat="1" hidden="1" customHeight="1" spans="1:24">
      <c r="A3307" s="34"/>
      <c r="B3307" s="51"/>
      <c r="C3307" s="51"/>
      <c r="D3307" s="52"/>
      <c r="E3307" s="53"/>
      <c r="F3307" s="54"/>
      <c r="G3307" s="54"/>
      <c r="H3307" s="54"/>
      <c r="I3307" s="66"/>
      <c r="J3307" s="54"/>
      <c r="K3307" s="54"/>
      <c r="L3307" s="54"/>
      <c r="M3307" s="97" t="str">
        <f t="shared" si="282"/>
        <v/>
      </c>
      <c r="N3307" s="70"/>
      <c r="O3307" s="71" t="str">
        <f t="shared" si="281"/>
        <v/>
      </c>
      <c r="P3307" s="66"/>
      <c r="Q3307" s="66"/>
      <c r="R3307" s="54"/>
      <c r="S3307" s="82"/>
      <c r="T3307" s="83" t="str">
        <f t="shared" si="283"/>
        <v/>
      </c>
      <c r="U3307" s="10"/>
      <c r="V3307" s="41">
        <f>IF(AND(Q3307&lt;&gt;"",RIGHT(Q3307,3)&lt;&gt;""),IF(COUNTIF($Q$6:Q3307,Q3307)=1,1,0),0)</f>
        <v>0</v>
      </c>
      <c r="W3307" s="41" t="str">
        <f t="shared" si="284"/>
        <v/>
      </c>
      <c r="X3307" s="41" t="str">
        <f t="shared" si="285"/>
        <v/>
      </c>
    </row>
    <row r="3308" s="32" customFormat="1" hidden="1" customHeight="1" spans="1:24">
      <c r="A3308" s="34"/>
      <c r="B3308" s="51"/>
      <c r="C3308" s="51"/>
      <c r="D3308" s="52"/>
      <c r="E3308" s="53"/>
      <c r="F3308" s="54"/>
      <c r="G3308" s="54"/>
      <c r="H3308" s="54"/>
      <c r="I3308" s="66"/>
      <c r="J3308" s="54"/>
      <c r="K3308" s="54"/>
      <c r="L3308" s="54"/>
      <c r="M3308" s="97" t="str">
        <f t="shared" si="282"/>
        <v/>
      </c>
      <c r="N3308" s="70"/>
      <c r="O3308" s="71" t="str">
        <f t="shared" si="281"/>
        <v/>
      </c>
      <c r="P3308" s="66"/>
      <c r="Q3308" s="66"/>
      <c r="R3308" s="54"/>
      <c r="S3308" s="82"/>
      <c r="T3308" s="83" t="str">
        <f t="shared" si="283"/>
        <v/>
      </c>
      <c r="U3308" s="10"/>
      <c r="V3308" s="41">
        <f>IF(AND(Q3308&lt;&gt;"",RIGHT(Q3308,3)&lt;&gt;""),IF(COUNTIF($Q$6:Q3308,Q3308)=1,1,0),0)</f>
        <v>0</v>
      </c>
      <c r="W3308" s="41" t="str">
        <f t="shared" si="284"/>
        <v/>
      </c>
      <c r="X3308" s="41" t="str">
        <f t="shared" si="285"/>
        <v/>
      </c>
    </row>
    <row r="3309" s="32" customFormat="1" hidden="1" customHeight="1" spans="1:24">
      <c r="A3309" s="34"/>
      <c r="B3309" s="51"/>
      <c r="C3309" s="51"/>
      <c r="D3309" s="52"/>
      <c r="E3309" s="53"/>
      <c r="F3309" s="54"/>
      <c r="G3309" s="54"/>
      <c r="H3309" s="54"/>
      <c r="I3309" s="66"/>
      <c r="J3309" s="54"/>
      <c r="K3309" s="54"/>
      <c r="L3309" s="54"/>
      <c r="M3309" s="97" t="str">
        <f t="shared" si="282"/>
        <v/>
      </c>
      <c r="N3309" s="70"/>
      <c r="O3309" s="71" t="str">
        <f t="shared" si="281"/>
        <v/>
      </c>
      <c r="P3309" s="66"/>
      <c r="Q3309" s="66"/>
      <c r="R3309" s="54"/>
      <c r="S3309" s="82"/>
      <c r="T3309" s="83" t="str">
        <f t="shared" si="283"/>
        <v/>
      </c>
      <c r="U3309" s="10"/>
      <c r="V3309" s="41">
        <f>IF(AND(Q3309&lt;&gt;"",RIGHT(Q3309,3)&lt;&gt;""),IF(COUNTIF($Q$6:Q3309,Q3309)=1,1,0),0)</f>
        <v>0</v>
      </c>
      <c r="W3309" s="41" t="str">
        <f t="shared" si="284"/>
        <v/>
      </c>
      <c r="X3309" s="41" t="str">
        <f t="shared" si="285"/>
        <v/>
      </c>
    </row>
    <row r="3310" s="32" customFormat="1" hidden="1" customHeight="1" spans="1:24">
      <c r="A3310" s="34"/>
      <c r="B3310" s="51"/>
      <c r="C3310" s="51"/>
      <c r="D3310" s="52"/>
      <c r="E3310" s="53"/>
      <c r="F3310" s="54"/>
      <c r="G3310" s="54"/>
      <c r="H3310" s="54"/>
      <c r="I3310" s="66"/>
      <c r="J3310" s="54"/>
      <c r="K3310" s="54"/>
      <c r="L3310" s="54"/>
      <c r="M3310" s="97" t="str">
        <f t="shared" si="282"/>
        <v/>
      </c>
      <c r="N3310" s="70"/>
      <c r="O3310" s="71" t="str">
        <f t="shared" si="281"/>
        <v/>
      </c>
      <c r="P3310" s="66"/>
      <c r="Q3310" s="66"/>
      <c r="R3310" s="54"/>
      <c r="S3310" s="82"/>
      <c r="T3310" s="83" t="str">
        <f t="shared" si="283"/>
        <v/>
      </c>
      <c r="U3310" s="10"/>
      <c r="V3310" s="41">
        <f>IF(AND(Q3310&lt;&gt;"",RIGHT(Q3310,3)&lt;&gt;""),IF(COUNTIF($Q$6:Q3310,Q3310)=1,1,0),0)</f>
        <v>0</v>
      </c>
      <c r="W3310" s="41" t="str">
        <f t="shared" si="284"/>
        <v/>
      </c>
      <c r="X3310" s="41" t="str">
        <f t="shared" si="285"/>
        <v/>
      </c>
    </row>
    <row r="3311" s="32" customFormat="1" hidden="1" customHeight="1" spans="1:24">
      <c r="A3311" s="34"/>
      <c r="B3311" s="51"/>
      <c r="C3311" s="51"/>
      <c r="D3311" s="52"/>
      <c r="E3311" s="53"/>
      <c r="F3311" s="54"/>
      <c r="G3311" s="54"/>
      <c r="H3311" s="54"/>
      <c r="I3311" s="66"/>
      <c r="J3311" s="54"/>
      <c r="K3311" s="54"/>
      <c r="L3311" s="54"/>
      <c r="M3311" s="97" t="str">
        <f t="shared" si="282"/>
        <v/>
      </c>
      <c r="N3311" s="70"/>
      <c r="O3311" s="71" t="str">
        <f t="shared" si="281"/>
        <v/>
      </c>
      <c r="P3311" s="66"/>
      <c r="Q3311" s="66"/>
      <c r="R3311" s="54"/>
      <c r="S3311" s="82"/>
      <c r="T3311" s="83" t="str">
        <f t="shared" si="283"/>
        <v/>
      </c>
      <c r="U3311" s="10"/>
      <c r="V3311" s="41">
        <f>IF(AND(Q3311&lt;&gt;"",RIGHT(Q3311,3)&lt;&gt;""),IF(COUNTIF($Q$6:Q3311,Q3311)=1,1,0),0)</f>
        <v>0</v>
      </c>
      <c r="W3311" s="41" t="str">
        <f t="shared" si="284"/>
        <v/>
      </c>
      <c r="X3311" s="41" t="str">
        <f t="shared" si="285"/>
        <v/>
      </c>
    </row>
    <row r="3312" s="32" customFormat="1" hidden="1" customHeight="1" spans="1:24">
      <c r="A3312" s="34"/>
      <c r="B3312" s="51"/>
      <c r="C3312" s="51"/>
      <c r="D3312" s="52"/>
      <c r="E3312" s="53"/>
      <c r="F3312" s="54"/>
      <c r="G3312" s="54"/>
      <c r="H3312" s="54"/>
      <c r="I3312" s="66"/>
      <c r="J3312" s="54"/>
      <c r="K3312" s="54"/>
      <c r="L3312" s="54"/>
      <c r="M3312" s="97" t="str">
        <f t="shared" si="282"/>
        <v/>
      </c>
      <c r="N3312" s="70"/>
      <c r="O3312" s="71" t="str">
        <f t="shared" si="281"/>
        <v/>
      </c>
      <c r="P3312" s="66"/>
      <c r="Q3312" s="66"/>
      <c r="R3312" s="54"/>
      <c r="S3312" s="82"/>
      <c r="T3312" s="83" t="str">
        <f t="shared" si="283"/>
        <v/>
      </c>
      <c r="U3312" s="10"/>
      <c r="V3312" s="41">
        <f>IF(AND(Q3312&lt;&gt;"",RIGHT(Q3312,3)&lt;&gt;""),IF(COUNTIF($Q$6:Q3312,Q3312)=1,1,0),0)</f>
        <v>0</v>
      </c>
      <c r="W3312" s="41" t="str">
        <f t="shared" si="284"/>
        <v/>
      </c>
      <c r="X3312" s="41" t="str">
        <f t="shared" si="285"/>
        <v/>
      </c>
    </row>
    <row r="3313" s="32" customFormat="1" hidden="1" customHeight="1" spans="1:24">
      <c r="A3313" s="34"/>
      <c r="B3313" s="51"/>
      <c r="C3313" s="51"/>
      <c r="D3313" s="52"/>
      <c r="E3313" s="53"/>
      <c r="F3313" s="54"/>
      <c r="G3313" s="54"/>
      <c r="H3313" s="54"/>
      <c r="I3313" s="66"/>
      <c r="J3313" s="54"/>
      <c r="K3313" s="54"/>
      <c r="L3313" s="54"/>
      <c r="M3313" s="97" t="str">
        <f t="shared" si="282"/>
        <v/>
      </c>
      <c r="N3313" s="70"/>
      <c r="O3313" s="71" t="str">
        <f t="shared" ref="O3313:O3376" si="286">IF(AND(Q3313&lt;&gt;"",T3313&lt;&gt;""),"PASSIVE",IF(AND(J3313&lt;&gt;"",M3313&lt;&gt;""),"ACTIVE",""))</f>
        <v/>
      </c>
      <c r="P3313" s="66"/>
      <c r="Q3313" s="66"/>
      <c r="R3313" s="54"/>
      <c r="S3313" s="82"/>
      <c r="T3313" s="83" t="str">
        <f t="shared" si="283"/>
        <v/>
      </c>
      <c r="U3313" s="10"/>
      <c r="V3313" s="41">
        <f>IF(AND(Q3313&lt;&gt;"",RIGHT(Q3313,3)&lt;&gt;""),IF(COUNTIF($Q$6:Q3313,Q3313)=1,1,0),0)</f>
        <v>0</v>
      </c>
      <c r="W3313" s="41" t="str">
        <f t="shared" si="284"/>
        <v/>
      </c>
      <c r="X3313" s="41" t="str">
        <f t="shared" si="285"/>
        <v/>
      </c>
    </row>
    <row r="3314" s="32" customFormat="1" hidden="1" customHeight="1" spans="1:24">
      <c r="A3314" s="34"/>
      <c r="B3314" s="51"/>
      <c r="C3314" s="51"/>
      <c r="D3314" s="52"/>
      <c r="E3314" s="53"/>
      <c r="F3314" s="54"/>
      <c r="G3314" s="54"/>
      <c r="H3314" s="54"/>
      <c r="I3314" s="66"/>
      <c r="J3314" s="54"/>
      <c r="K3314" s="54"/>
      <c r="L3314" s="54"/>
      <c r="M3314" s="97" t="str">
        <f t="shared" si="282"/>
        <v/>
      </c>
      <c r="N3314" s="70"/>
      <c r="O3314" s="71" t="str">
        <f t="shared" si="286"/>
        <v/>
      </c>
      <c r="P3314" s="66"/>
      <c r="Q3314" s="66"/>
      <c r="R3314" s="54"/>
      <c r="S3314" s="82"/>
      <c r="T3314" s="83" t="str">
        <f t="shared" si="283"/>
        <v/>
      </c>
      <c r="U3314" s="10"/>
      <c r="V3314" s="41">
        <f>IF(AND(Q3314&lt;&gt;"",RIGHT(Q3314,3)&lt;&gt;""),IF(COUNTIF($Q$6:Q3314,Q3314)=1,1,0),0)</f>
        <v>0</v>
      </c>
      <c r="W3314" s="41" t="str">
        <f t="shared" si="284"/>
        <v/>
      </c>
      <c r="X3314" s="41" t="str">
        <f t="shared" si="285"/>
        <v/>
      </c>
    </row>
    <row r="3315" s="32" customFormat="1" hidden="1" customHeight="1" spans="1:24">
      <c r="A3315" s="34"/>
      <c r="B3315" s="51"/>
      <c r="C3315" s="51"/>
      <c r="D3315" s="52"/>
      <c r="E3315" s="53"/>
      <c r="F3315" s="54"/>
      <c r="G3315" s="54"/>
      <c r="H3315" s="54"/>
      <c r="I3315" s="66"/>
      <c r="J3315" s="54"/>
      <c r="K3315" s="54"/>
      <c r="L3315" s="54"/>
      <c r="M3315" s="97" t="str">
        <f t="shared" si="282"/>
        <v/>
      </c>
      <c r="N3315" s="70"/>
      <c r="O3315" s="71" t="str">
        <f t="shared" si="286"/>
        <v/>
      </c>
      <c r="P3315" s="66"/>
      <c r="Q3315" s="66"/>
      <c r="R3315" s="54"/>
      <c r="S3315" s="82"/>
      <c r="T3315" s="83" t="str">
        <f t="shared" si="283"/>
        <v/>
      </c>
      <c r="U3315" s="10"/>
      <c r="V3315" s="41">
        <f>IF(AND(Q3315&lt;&gt;"",RIGHT(Q3315,3)&lt;&gt;""),IF(COUNTIF($Q$6:Q3315,Q3315)=1,1,0),0)</f>
        <v>0</v>
      </c>
      <c r="W3315" s="41" t="str">
        <f t="shared" si="284"/>
        <v/>
      </c>
      <c r="X3315" s="41" t="str">
        <f t="shared" si="285"/>
        <v/>
      </c>
    </row>
    <row r="3316" s="32" customFormat="1" hidden="1" customHeight="1" spans="1:24">
      <c r="A3316" s="34"/>
      <c r="B3316" s="51"/>
      <c r="C3316" s="51"/>
      <c r="D3316" s="52"/>
      <c r="E3316" s="53"/>
      <c r="F3316" s="54"/>
      <c r="G3316" s="54"/>
      <c r="H3316" s="54"/>
      <c r="I3316" s="66"/>
      <c r="J3316" s="54"/>
      <c r="K3316" s="54"/>
      <c r="L3316" s="54"/>
      <c r="M3316" s="97" t="str">
        <f t="shared" si="282"/>
        <v/>
      </c>
      <c r="N3316" s="70"/>
      <c r="O3316" s="71" t="str">
        <f t="shared" si="286"/>
        <v/>
      </c>
      <c r="P3316" s="66"/>
      <c r="Q3316" s="66"/>
      <c r="R3316" s="54"/>
      <c r="S3316" s="82"/>
      <c r="T3316" s="83" t="str">
        <f t="shared" si="283"/>
        <v/>
      </c>
      <c r="U3316" s="10"/>
      <c r="V3316" s="41">
        <f>IF(AND(Q3316&lt;&gt;"",RIGHT(Q3316,3)&lt;&gt;""),IF(COUNTIF($Q$6:Q3316,Q3316)=1,1,0),0)</f>
        <v>0</v>
      </c>
      <c r="W3316" s="41" t="str">
        <f t="shared" si="284"/>
        <v/>
      </c>
      <c r="X3316" s="41" t="str">
        <f t="shared" si="285"/>
        <v/>
      </c>
    </row>
    <row r="3317" s="32" customFormat="1" hidden="1" customHeight="1" spans="1:24">
      <c r="A3317" s="34"/>
      <c r="B3317" s="51"/>
      <c r="C3317" s="51"/>
      <c r="D3317" s="52"/>
      <c r="E3317" s="53"/>
      <c r="F3317" s="54"/>
      <c r="G3317" s="54"/>
      <c r="H3317" s="54"/>
      <c r="I3317" s="66"/>
      <c r="J3317" s="54"/>
      <c r="K3317" s="54"/>
      <c r="L3317" s="54"/>
      <c r="M3317" s="97" t="str">
        <f t="shared" si="282"/>
        <v/>
      </c>
      <c r="N3317" s="70"/>
      <c r="O3317" s="71" t="str">
        <f t="shared" si="286"/>
        <v/>
      </c>
      <c r="P3317" s="66"/>
      <c r="Q3317" s="66"/>
      <c r="R3317" s="54"/>
      <c r="S3317" s="82"/>
      <c r="T3317" s="83" t="str">
        <f t="shared" si="283"/>
        <v/>
      </c>
      <c r="U3317" s="10"/>
      <c r="V3317" s="41">
        <f>IF(AND(Q3317&lt;&gt;"",RIGHT(Q3317,3)&lt;&gt;""),IF(COUNTIF($Q$6:Q3317,Q3317)=1,1,0),0)</f>
        <v>0</v>
      </c>
      <c r="W3317" s="41" t="str">
        <f t="shared" si="284"/>
        <v/>
      </c>
      <c r="X3317" s="41" t="str">
        <f t="shared" si="285"/>
        <v/>
      </c>
    </row>
    <row r="3318" s="32" customFormat="1" hidden="1" customHeight="1" spans="1:24">
      <c r="A3318" s="34"/>
      <c r="B3318" s="51"/>
      <c r="C3318" s="51"/>
      <c r="D3318" s="52"/>
      <c r="E3318" s="53"/>
      <c r="F3318" s="54"/>
      <c r="G3318" s="54"/>
      <c r="H3318" s="54"/>
      <c r="I3318" s="66"/>
      <c r="J3318" s="54"/>
      <c r="K3318" s="54"/>
      <c r="L3318" s="54"/>
      <c r="M3318" s="97" t="str">
        <f t="shared" si="282"/>
        <v/>
      </c>
      <c r="N3318" s="70"/>
      <c r="O3318" s="71" t="str">
        <f t="shared" si="286"/>
        <v/>
      </c>
      <c r="P3318" s="66"/>
      <c r="Q3318" s="66"/>
      <c r="R3318" s="54"/>
      <c r="S3318" s="82"/>
      <c r="T3318" s="83" t="str">
        <f t="shared" si="283"/>
        <v/>
      </c>
      <c r="U3318" s="10"/>
      <c r="V3318" s="41">
        <f>IF(AND(Q3318&lt;&gt;"",RIGHT(Q3318,3)&lt;&gt;""),IF(COUNTIF($Q$6:Q3318,Q3318)=1,1,0),0)</f>
        <v>0</v>
      </c>
      <c r="W3318" s="41" t="str">
        <f t="shared" si="284"/>
        <v/>
      </c>
      <c r="X3318" s="41" t="str">
        <f t="shared" si="285"/>
        <v/>
      </c>
    </row>
    <row r="3319" s="32" customFormat="1" hidden="1" customHeight="1" spans="1:24">
      <c r="A3319" s="34"/>
      <c r="B3319" s="51"/>
      <c r="C3319" s="51"/>
      <c r="D3319" s="52"/>
      <c r="E3319" s="53"/>
      <c r="F3319" s="54"/>
      <c r="G3319" s="54"/>
      <c r="H3319" s="54"/>
      <c r="I3319" s="66"/>
      <c r="J3319" s="54"/>
      <c r="K3319" s="54"/>
      <c r="L3319" s="54"/>
      <c r="M3319" s="97" t="str">
        <f t="shared" si="282"/>
        <v/>
      </c>
      <c r="N3319" s="70"/>
      <c r="O3319" s="71" t="str">
        <f t="shared" si="286"/>
        <v/>
      </c>
      <c r="P3319" s="66"/>
      <c r="Q3319" s="66"/>
      <c r="R3319" s="54"/>
      <c r="S3319" s="82"/>
      <c r="T3319" s="83" t="str">
        <f t="shared" si="283"/>
        <v/>
      </c>
      <c r="U3319" s="10"/>
      <c r="V3319" s="41">
        <f>IF(AND(Q3319&lt;&gt;"",RIGHT(Q3319,3)&lt;&gt;""),IF(COUNTIF($Q$6:Q3319,Q3319)=1,1,0),0)</f>
        <v>0</v>
      </c>
      <c r="W3319" s="41" t="str">
        <f t="shared" si="284"/>
        <v/>
      </c>
      <c r="X3319" s="41" t="str">
        <f t="shared" si="285"/>
        <v/>
      </c>
    </row>
    <row r="3320" s="32" customFormat="1" hidden="1" customHeight="1" spans="1:24">
      <c r="A3320" s="34"/>
      <c r="B3320" s="51"/>
      <c r="C3320" s="51"/>
      <c r="D3320" s="52"/>
      <c r="E3320" s="53"/>
      <c r="F3320" s="54"/>
      <c r="G3320" s="54"/>
      <c r="H3320" s="54"/>
      <c r="I3320" s="66"/>
      <c r="J3320" s="54"/>
      <c r="K3320" s="54"/>
      <c r="L3320" s="54"/>
      <c r="M3320" s="97" t="str">
        <f t="shared" si="282"/>
        <v/>
      </c>
      <c r="N3320" s="70"/>
      <c r="O3320" s="71" t="str">
        <f t="shared" si="286"/>
        <v/>
      </c>
      <c r="P3320" s="66"/>
      <c r="Q3320" s="66"/>
      <c r="R3320" s="54"/>
      <c r="S3320" s="82"/>
      <c r="T3320" s="83" t="str">
        <f t="shared" si="283"/>
        <v/>
      </c>
      <c r="U3320" s="10"/>
      <c r="V3320" s="41">
        <f>IF(AND(Q3320&lt;&gt;"",RIGHT(Q3320,3)&lt;&gt;""),IF(COUNTIF($Q$6:Q3320,Q3320)=1,1,0),0)</f>
        <v>0</v>
      </c>
      <c r="W3320" s="41" t="str">
        <f t="shared" si="284"/>
        <v/>
      </c>
      <c r="X3320" s="41" t="str">
        <f t="shared" si="285"/>
        <v/>
      </c>
    </row>
    <row r="3321" s="32" customFormat="1" hidden="1" customHeight="1" spans="1:24">
      <c r="A3321" s="34"/>
      <c r="B3321" s="51"/>
      <c r="C3321" s="51"/>
      <c r="D3321" s="52"/>
      <c r="E3321" s="53"/>
      <c r="F3321" s="54"/>
      <c r="G3321" s="54"/>
      <c r="H3321" s="54"/>
      <c r="I3321" s="66"/>
      <c r="J3321" s="54"/>
      <c r="K3321" s="54"/>
      <c r="L3321" s="54"/>
      <c r="M3321" s="97" t="str">
        <f t="shared" si="282"/>
        <v/>
      </c>
      <c r="N3321" s="70"/>
      <c r="O3321" s="71" t="str">
        <f t="shared" si="286"/>
        <v/>
      </c>
      <c r="P3321" s="66"/>
      <c r="Q3321" s="66"/>
      <c r="R3321" s="54"/>
      <c r="S3321" s="82"/>
      <c r="T3321" s="83" t="str">
        <f t="shared" si="283"/>
        <v/>
      </c>
      <c r="U3321" s="10"/>
      <c r="V3321" s="41">
        <f>IF(AND(Q3321&lt;&gt;"",RIGHT(Q3321,3)&lt;&gt;""),IF(COUNTIF($Q$6:Q3321,Q3321)=1,1,0),0)</f>
        <v>0</v>
      </c>
      <c r="W3321" s="41" t="str">
        <f t="shared" si="284"/>
        <v/>
      </c>
      <c r="X3321" s="41" t="str">
        <f t="shared" si="285"/>
        <v/>
      </c>
    </row>
    <row r="3322" s="32" customFormat="1" hidden="1" customHeight="1" spans="1:24">
      <c r="A3322" s="34"/>
      <c r="B3322" s="51"/>
      <c r="C3322" s="51"/>
      <c r="D3322" s="52"/>
      <c r="E3322" s="53"/>
      <c r="F3322" s="54"/>
      <c r="G3322" s="54"/>
      <c r="H3322" s="54"/>
      <c r="I3322" s="66"/>
      <c r="J3322" s="54"/>
      <c r="K3322" s="54"/>
      <c r="L3322" s="54"/>
      <c r="M3322" s="97" t="str">
        <f t="shared" si="282"/>
        <v/>
      </c>
      <c r="N3322" s="70"/>
      <c r="O3322" s="71" t="str">
        <f t="shared" si="286"/>
        <v/>
      </c>
      <c r="P3322" s="66"/>
      <c r="Q3322" s="66"/>
      <c r="R3322" s="54"/>
      <c r="S3322" s="82"/>
      <c r="T3322" s="83" t="str">
        <f t="shared" si="283"/>
        <v/>
      </c>
      <c r="U3322" s="10"/>
      <c r="V3322" s="41">
        <f>IF(AND(Q3322&lt;&gt;"",RIGHT(Q3322,3)&lt;&gt;""),IF(COUNTIF($Q$6:Q3322,Q3322)=1,1,0),0)</f>
        <v>0</v>
      </c>
      <c r="W3322" s="41" t="str">
        <f t="shared" si="284"/>
        <v/>
      </c>
      <c r="X3322" s="41" t="str">
        <f t="shared" si="285"/>
        <v/>
      </c>
    </row>
    <row r="3323" s="32" customFormat="1" hidden="1" customHeight="1" spans="1:24">
      <c r="A3323" s="34"/>
      <c r="B3323" s="51"/>
      <c r="C3323" s="51"/>
      <c r="D3323" s="52"/>
      <c r="E3323" s="53"/>
      <c r="F3323" s="54"/>
      <c r="G3323" s="54"/>
      <c r="H3323" s="54"/>
      <c r="I3323" s="66"/>
      <c r="J3323" s="54"/>
      <c r="K3323" s="54"/>
      <c r="L3323" s="54"/>
      <c r="M3323" s="97" t="str">
        <f t="shared" si="282"/>
        <v/>
      </c>
      <c r="N3323" s="70"/>
      <c r="O3323" s="71" t="str">
        <f t="shared" si="286"/>
        <v/>
      </c>
      <c r="P3323" s="66"/>
      <c r="Q3323" s="66"/>
      <c r="R3323" s="54"/>
      <c r="S3323" s="82"/>
      <c r="T3323" s="83" t="str">
        <f t="shared" si="283"/>
        <v/>
      </c>
      <c r="U3323" s="10"/>
      <c r="V3323" s="41">
        <f>IF(AND(Q3323&lt;&gt;"",RIGHT(Q3323,3)&lt;&gt;""),IF(COUNTIF($Q$6:Q3323,Q3323)=1,1,0),0)</f>
        <v>0</v>
      </c>
      <c r="W3323" s="41" t="str">
        <f t="shared" si="284"/>
        <v/>
      </c>
      <c r="X3323" s="41" t="str">
        <f t="shared" si="285"/>
        <v/>
      </c>
    </row>
    <row r="3324" s="32" customFormat="1" hidden="1" customHeight="1" spans="1:24">
      <c r="A3324" s="34"/>
      <c r="B3324" s="51"/>
      <c r="C3324" s="51"/>
      <c r="D3324" s="52"/>
      <c r="E3324" s="53"/>
      <c r="F3324" s="54"/>
      <c r="G3324" s="54"/>
      <c r="H3324" s="54"/>
      <c r="I3324" s="66"/>
      <c r="J3324" s="54"/>
      <c r="K3324" s="54"/>
      <c r="L3324" s="54"/>
      <c r="M3324" s="97" t="str">
        <f t="shared" si="282"/>
        <v/>
      </c>
      <c r="N3324" s="70"/>
      <c r="O3324" s="71" t="str">
        <f t="shared" si="286"/>
        <v/>
      </c>
      <c r="P3324" s="66"/>
      <c r="Q3324" s="66"/>
      <c r="R3324" s="54"/>
      <c r="S3324" s="82"/>
      <c r="T3324" s="83" t="str">
        <f t="shared" si="283"/>
        <v/>
      </c>
      <c r="U3324" s="10"/>
      <c r="V3324" s="41">
        <f>IF(AND(Q3324&lt;&gt;"",RIGHT(Q3324,3)&lt;&gt;""),IF(COUNTIF($Q$6:Q3324,Q3324)=1,1,0),0)</f>
        <v>0</v>
      </c>
      <c r="W3324" s="41" t="str">
        <f t="shared" si="284"/>
        <v/>
      </c>
      <c r="X3324" s="41" t="str">
        <f t="shared" si="285"/>
        <v/>
      </c>
    </row>
    <row r="3325" s="32" customFormat="1" hidden="1" customHeight="1" spans="1:24">
      <c r="A3325" s="34"/>
      <c r="B3325" s="51"/>
      <c r="C3325" s="51"/>
      <c r="D3325" s="52"/>
      <c r="E3325" s="53"/>
      <c r="F3325" s="54"/>
      <c r="G3325" s="54"/>
      <c r="H3325" s="54"/>
      <c r="I3325" s="66"/>
      <c r="J3325" s="54"/>
      <c r="K3325" s="54"/>
      <c r="L3325" s="54"/>
      <c r="M3325" s="97" t="str">
        <f t="shared" si="282"/>
        <v/>
      </c>
      <c r="N3325" s="70"/>
      <c r="O3325" s="71" t="str">
        <f t="shared" si="286"/>
        <v/>
      </c>
      <c r="P3325" s="66"/>
      <c r="Q3325" s="66"/>
      <c r="R3325" s="54"/>
      <c r="S3325" s="82"/>
      <c r="T3325" s="83" t="str">
        <f t="shared" si="283"/>
        <v/>
      </c>
      <c r="U3325" s="10"/>
      <c r="V3325" s="41">
        <f>IF(AND(Q3325&lt;&gt;"",RIGHT(Q3325,3)&lt;&gt;""),IF(COUNTIF($Q$6:Q3325,Q3325)=1,1,0),0)</f>
        <v>0</v>
      </c>
      <c r="W3325" s="41" t="str">
        <f t="shared" si="284"/>
        <v/>
      </c>
      <c r="X3325" s="41" t="str">
        <f t="shared" si="285"/>
        <v/>
      </c>
    </row>
    <row r="3326" s="32" customFormat="1" hidden="1" customHeight="1" spans="1:24">
      <c r="A3326" s="34"/>
      <c r="B3326" s="51"/>
      <c r="C3326" s="51"/>
      <c r="D3326" s="52"/>
      <c r="E3326" s="53"/>
      <c r="F3326" s="54"/>
      <c r="G3326" s="54"/>
      <c r="H3326" s="54"/>
      <c r="I3326" s="66"/>
      <c r="J3326" s="54"/>
      <c r="K3326" s="54"/>
      <c r="L3326" s="54"/>
      <c r="M3326" s="97" t="str">
        <f t="shared" si="282"/>
        <v/>
      </c>
      <c r="N3326" s="70"/>
      <c r="O3326" s="71" t="str">
        <f t="shared" si="286"/>
        <v/>
      </c>
      <c r="P3326" s="66"/>
      <c r="Q3326" s="66"/>
      <c r="R3326" s="54"/>
      <c r="S3326" s="82"/>
      <c r="T3326" s="83" t="str">
        <f t="shared" si="283"/>
        <v/>
      </c>
      <c r="U3326" s="10"/>
      <c r="V3326" s="41">
        <f>IF(AND(Q3326&lt;&gt;"",RIGHT(Q3326,3)&lt;&gt;""),IF(COUNTIF($Q$6:Q3326,Q3326)=1,1,0),0)</f>
        <v>0</v>
      </c>
      <c r="W3326" s="41" t="str">
        <f t="shared" si="284"/>
        <v/>
      </c>
      <c r="X3326" s="41" t="str">
        <f t="shared" si="285"/>
        <v/>
      </c>
    </row>
    <row r="3327" s="32" customFormat="1" hidden="1" customHeight="1" spans="1:24">
      <c r="A3327" s="34"/>
      <c r="B3327" s="51"/>
      <c r="C3327" s="51"/>
      <c r="D3327" s="52"/>
      <c r="E3327" s="53"/>
      <c r="F3327" s="54"/>
      <c r="G3327" s="54"/>
      <c r="H3327" s="54"/>
      <c r="I3327" s="66"/>
      <c r="J3327" s="54"/>
      <c r="K3327" s="54"/>
      <c r="L3327" s="54"/>
      <c r="M3327" s="97" t="str">
        <f t="shared" si="282"/>
        <v/>
      </c>
      <c r="N3327" s="70"/>
      <c r="O3327" s="71" t="str">
        <f t="shared" si="286"/>
        <v/>
      </c>
      <c r="P3327" s="66"/>
      <c r="Q3327" s="66"/>
      <c r="R3327" s="54"/>
      <c r="S3327" s="82"/>
      <c r="T3327" s="83" t="str">
        <f t="shared" si="283"/>
        <v/>
      </c>
      <c r="U3327" s="10"/>
      <c r="V3327" s="41">
        <f>IF(AND(Q3327&lt;&gt;"",RIGHT(Q3327,3)&lt;&gt;""),IF(COUNTIF($Q$6:Q3327,Q3327)=1,1,0),0)</f>
        <v>0</v>
      </c>
      <c r="W3327" s="41" t="str">
        <f t="shared" si="284"/>
        <v/>
      </c>
      <c r="X3327" s="41" t="str">
        <f t="shared" si="285"/>
        <v/>
      </c>
    </row>
    <row r="3328" s="32" customFormat="1" hidden="1" customHeight="1" spans="1:24">
      <c r="A3328" s="34"/>
      <c r="B3328" s="51"/>
      <c r="C3328" s="51"/>
      <c r="D3328" s="52"/>
      <c r="E3328" s="53"/>
      <c r="F3328" s="54"/>
      <c r="G3328" s="54"/>
      <c r="H3328" s="54"/>
      <c r="I3328" s="66"/>
      <c r="J3328" s="54"/>
      <c r="K3328" s="54"/>
      <c r="L3328" s="54"/>
      <c r="M3328" s="97" t="str">
        <f t="shared" si="282"/>
        <v/>
      </c>
      <c r="N3328" s="70"/>
      <c r="O3328" s="71" t="str">
        <f t="shared" si="286"/>
        <v/>
      </c>
      <c r="P3328" s="66"/>
      <c r="Q3328" s="66"/>
      <c r="R3328" s="54"/>
      <c r="S3328" s="82"/>
      <c r="T3328" s="83" t="str">
        <f t="shared" si="283"/>
        <v/>
      </c>
      <c r="U3328" s="10"/>
      <c r="V3328" s="41">
        <f>IF(AND(Q3328&lt;&gt;"",RIGHT(Q3328,3)&lt;&gt;""),IF(COUNTIF($Q$6:Q3328,Q3328)=1,1,0),0)</f>
        <v>0</v>
      </c>
      <c r="W3328" s="41" t="str">
        <f t="shared" si="284"/>
        <v/>
      </c>
      <c r="X3328" s="41" t="str">
        <f t="shared" si="285"/>
        <v/>
      </c>
    </row>
    <row r="3329" s="32" customFormat="1" hidden="1" customHeight="1" spans="1:24">
      <c r="A3329" s="34"/>
      <c r="B3329" s="51"/>
      <c r="C3329" s="51"/>
      <c r="D3329" s="52"/>
      <c r="E3329" s="53"/>
      <c r="F3329" s="54"/>
      <c r="G3329" s="54"/>
      <c r="H3329" s="54"/>
      <c r="I3329" s="66"/>
      <c r="J3329" s="54"/>
      <c r="K3329" s="54"/>
      <c r="L3329" s="54"/>
      <c r="M3329" s="97" t="str">
        <f t="shared" si="282"/>
        <v/>
      </c>
      <c r="N3329" s="70"/>
      <c r="O3329" s="71" t="str">
        <f t="shared" si="286"/>
        <v/>
      </c>
      <c r="P3329" s="66"/>
      <c r="Q3329" s="66"/>
      <c r="R3329" s="54"/>
      <c r="S3329" s="82"/>
      <c r="T3329" s="83" t="str">
        <f t="shared" si="283"/>
        <v/>
      </c>
      <c r="U3329" s="10"/>
      <c r="V3329" s="41">
        <f>IF(AND(Q3329&lt;&gt;"",RIGHT(Q3329,3)&lt;&gt;""),IF(COUNTIF($Q$6:Q3329,Q3329)=1,1,0),0)</f>
        <v>0</v>
      </c>
      <c r="W3329" s="41" t="str">
        <f t="shared" si="284"/>
        <v/>
      </c>
      <c r="X3329" s="41" t="str">
        <f t="shared" si="285"/>
        <v/>
      </c>
    </row>
    <row r="3330" s="32" customFormat="1" hidden="1" customHeight="1" spans="1:24">
      <c r="A3330" s="34"/>
      <c r="B3330" s="51"/>
      <c r="C3330" s="51"/>
      <c r="D3330" s="52"/>
      <c r="E3330" s="53"/>
      <c r="F3330" s="54"/>
      <c r="G3330" s="54"/>
      <c r="H3330" s="54"/>
      <c r="I3330" s="66"/>
      <c r="J3330" s="54"/>
      <c r="K3330" s="54"/>
      <c r="L3330" s="54"/>
      <c r="M3330" s="97" t="str">
        <f t="shared" si="282"/>
        <v/>
      </c>
      <c r="N3330" s="70"/>
      <c r="O3330" s="71" t="str">
        <f t="shared" si="286"/>
        <v/>
      </c>
      <c r="P3330" s="66"/>
      <c r="Q3330" s="66"/>
      <c r="R3330" s="54"/>
      <c r="S3330" s="82"/>
      <c r="T3330" s="83" t="str">
        <f t="shared" si="283"/>
        <v/>
      </c>
      <c r="U3330" s="10"/>
      <c r="V3330" s="41">
        <f>IF(AND(Q3330&lt;&gt;"",RIGHT(Q3330,3)&lt;&gt;""),IF(COUNTIF($Q$6:Q3330,Q3330)=1,1,0),0)</f>
        <v>0</v>
      </c>
      <c r="W3330" s="41" t="str">
        <f t="shared" si="284"/>
        <v/>
      </c>
      <c r="X3330" s="41" t="str">
        <f t="shared" si="285"/>
        <v/>
      </c>
    </row>
    <row r="3331" s="32" customFormat="1" hidden="1" customHeight="1" spans="1:24">
      <c r="A3331" s="34"/>
      <c r="B3331" s="51"/>
      <c r="C3331" s="51"/>
      <c r="D3331" s="52"/>
      <c r="E3331" s="53"/>
      <c r="F3331" s="54"/>
      <c r="G3331" s="54"/>
      <c r="H3331" s="54"/>
      <c r="I3331" s="66"/>
      <c r="J3331" s="54"/>
      <c r="K3331" s="54"/>
      <c r="L3331" s="54"/>
      <c r="M3331" s="97" t="str">
        <f t="shared" si="282"/>
        <v/>
      </c>
      <c r="N3331" s="70"/>
      <c r="O3331" s="71" t="str">
        <f t="shared" si="286"/>
        <v/>
      </c>
      <c r="P3331" s="66"/>
      <c r="Q3331" s="66"/>
      <c r="R3331" s="54"/>
      <c r="S3331" s="82"/>
      <c r="T3331" s="83" t="str">
        <f t="shared" si="283"/>
        <v/>
      </c>
      <c r="U3331" s="10"/>
      <c r="V3331" s="41">
        <f>IF(AND(Q3331&lt;&gt;"",RIGHT(Q3331,3)&lt;&gt;""),IF(COUNTIF($Q$6:Q3331,Q3331)=1,1,0),0)</f>
        <v>0</v>
      </c>
      <c r="W3331" s="41" t="str">
        <f t="shared" si="284"/>
        <v/>
      </c>
      <c r="X3331" s="41" t="str">
        <f t="shared" si="285"/>
        <v/>
      </c>
    </row>
    <row r="3332" s="32" customFormat="1" hidden="1" customHeight="1" spans="1:24">
      <c r="A3332" s="34"/>
      <c r="B3332" s="51"/>
      <c r="C3332" s="51"/>
      <c r="D3332" s="52"/>
      <c r="E3332" s="53"/>
      <c r="F3332" s="54"/>
      <c r="G3332" s="54"/>
      <c r="H3332" s="54"/>
      <c r="I3332" s="66"/>
      <c r="J3332" s="54"/>
      <c r="K3332" s="54"/>
      <c r="L3332" s="54"/>
      <c r="M3332" s="97" t="str">
        <f t="shared" si="282"/>
        <v/>
      </c>
      <c r="N3332" s="70"/>
      <c r="O3332" s="71" t="str">
        <f t="shared" si="286"/>
        <v/>
      </c>
      <c r="P3332" s="66"/>
      <c r="Q3332" s="66"/>
      <c r="R3332" s="54"/>
      <c r="S3332" s="82"/>
      <c r="T3332" s="83" t="str">
        <f t="shared" si="283"/>
        <v/>
      </c>
      <c r="U3332" s="10"/>
      <c r="V3332" s="41">
        <f>IF(AND(Q3332&lt;&gt;"",RIGHT(Q3332,3)&lt;&gt;""),IF(COUNTIF($Q$6:Q3332,Q3332)=1,1,0),0)</f>
        <v>0</v>
      </c>
      <c r="W3332" s="41" t="str">
        <f t="shared" si="284"/>
        <v/>
      </c>
      <c r="X3332" s="41" t="str">
        <f t="shared" si="285"/>
        <v/>
      </c>
    </row>
    <row r="3333" s="32" customFormat="1" hidden="1" customHeight="1" spans="1:24">
      <c r="A3333" s="34"/>
      <c r="B3333" s="51"/>
      <c r="C3333" s="51"/>
      <c r="D3333" s="52"/>
      <c r="E3333" s="53"/>
      <c r="F3333" s="54"/>
      <c r="G3333" s="54"/>
      <c r="H3333" s="54"/>
      <c r="I3333" s="66"/>
      <c r="J3333" s="54"/>
      <c r="K3333" s="54"/>
      <c r="L3333" s="54"/>
      <c r="M3333" s="97" t="str">
        <f t="shared" si="282"/>
        <v/>
      </c>
      <c r="N3333" s="70"/>
      <c r="O3333" s="71" t="str">
        <f t="shared" si="286"/>
        <v/>
      </c>
      <c r="P3333" s="66"/>
      <c r="Q3333" s="66"/>
      <c r="R3333" s="54"/>
      <c r="S3333" s="82"/>
      <c r="T3333" s="83" t="str">
        <f t="shared" si="283"/>
        <v/>
      </c>
      <c r="U3333" s="10"/>
      <c r="V3333" s="41">
        <f>IF(AND(Q3333&lt;&gt;"",RIGHT(Q3333,3)&lt;&gt;""),IF(COUNTIF($Q$6:Q3333,Q3333)=1,1,0),0)</f>
        <v>0</v>
      </c>
      <c r="W3333" s="41" t="str">
        <f t="shared" si="284"/>
        <v/>
      </c>
      <c r="X3333" s="41" t="str">
        <f t="shared" si="285"/>
        <v/>
      </c>
    </row>
    <row r="3334" s="32" customFormat="1" hidden="1" customHeight="1" spans="1:24">
      <c r="A3334" s="34"/>
      <c r="B3334" s="51"/>
      <c r="C3334" s="51"/>
      <c r="D3334" s="52"/>
      <c r="E3334" s="53"/>
      <c r="F3334" s="54"/>
      <c r="G3334" s="54"/>
      <c r="H3334" s="54"/>
      <c r="I3334" s="66"/>
      <c r="J3334" s="54"/>
      <c r="K3334" s="54"/>
      <c r="L3334" s="54"/>
      <c r="M3334" s="97" t="str">
        <f t="shared" si="282"/>
        <v/>
      </c>
      <c r="N3334" s="70"/>
      <c r="O3334" s="71" t="str">
        <f t="shared" si="286"/>
        <v/>
      </c>
      <c r="P3334" s="66"/>
      <c r="Q3334" s="66"/>
      <c r="R3334" s="54"/>
      <c r="S3334" s="82"/>
      <c r="T3334" s="83" t="str">
        <f t="shared" si="283"/>
        <v/>
      </c>
      <c r="U3334" s="10"/>
      <c r="V3334" s="41">
        <f>IF(AND(Q3334&lt;&gt;"",RIGHT(Q3334,3)&lt;&gt;""),IF(COUNTIF($Q$6:Q3334,Q3334)=1,1,0),0)</f>
        <v>0</v>
      </c>
      <c r="W3334" s="41" t="str">
        <f t="shared" si="284"/>
        <v/>
      </c>
      <c r="X3334" s="41" t="str">
        <f t="shared" si="285"/>
        <v/>
      </c>
    </row>
    <row r="3335" s="32" customFormat="1" hidden="1" customHeight="1" spans="1:24">
      <c r="A3335" s="34"/>
      <c r="B3335" s="51"/>
      <c r="C3335" s="51"/>
      <c r="D3335" s="52"/>
      <c r="E3335" s="53"/>
      <c r="F3335" s="54"/>
      <c r="G3335" s="54"/>
      <c r="H3335" s="54"/>
      <c r="I3335" s="66"/>
      <c r="J3335" s="54"/>
      <c r="K3335" s="54"/>
      <c r="L3335" s="54"/>
      <c r="M3335" s="97" t="str">
        <f t="shared" si="282"/>
        <v/>
      </c>
      <c r="N3335" s="70"/>
      <c r="O3335" s="71" t="str">
        <f t="shared" si="286"/>
        <v/>
      </c>
      <c r="P3335" s="66"/>
      <c r="Q3335" s="66"/>
      <c r="R3335" s="54"/>
      <c r="S3335" s="82"/>
      <c r="T3335" s="83" t="str">
        <f t="shared" si="283"/>
        <v/>
      </c>
      <c r="U3335" s="10"/>
      <c r="V3335" s="41">
        <f>IF(AND(Q3335&lt;&gt;"",RIGHT(Q3335,3)&lt;&gt;""),IF(COUNTIF($Q$6:Q3335,Q3335)=1,1,0),0)</f>
        <v>0</v>
      </c>
      <c r="W3335" s="41" t="str">
        <f t="shared" si="284"/>
        <v/>
      </c>
      <c r="X3335" s="41" t="str">
        <f t="shared" si="285"/>
        <v/>
      </c>
    </row>
    <row r="3336" s="32" customFormat="1" hidden="1" customHeight="1" spans="1:24">
      <c r="A3336" s="34"/>
      <c r="B3336" s="51"/>
      <c r="C3336" s="51"/>
      <c r="D3336" s="52"/>
      <c r="E3336" s="53"/>
      <c r="F3336" s="54"/>
      <c r="G3336" s="54"/>
      <c r="H3336" s="54"/>
      <c r="I3336" s="66"/>
      <c r="J3336" s="54"/>
      <c r="K3336" s="54"/>
      <c r="L3336" s="54"/>
      <c r="M3336" s="97" t="str">
        <f t="shared" si="282"/>
        <v/>
      </c>
      <c r="N3336" s="70"/>
      <c r="O3336" s="71" t="str">
        <f t="shared" si="286"/>
        <v/>
      </c>
      <c r="P3336" s="66"/>
      <c r="Q3336" s="66"/>
      <c r="R3336" s="54"/>
      <c r="S3336" s="82"/>
      <c r="T3336" s="83" t="str">
        <f t="shared" si="283"/>
        <v/>
      </c>
      <c r="U3336" s="10"/>
      <c r="V3336" s="41">
        <f>IF(AND(Q3336&lt;&gt;"",RIGHT(Q3336,3)&lt;&gt;""),IF(COUNTIF($Q$6:Q3336,Q3336)=1,1,0),0)</f>
        <v>0</v>
      </c>
      <c r="W3336" s="41" t="str">
        <f t="shared" si="284"/>
        <v/>
      </c>
      <c r="X3336" s="41" t="str">
        <f t="shared" si="285"/>
        <v/>
      </c>
    </row>
    <row r="3337" s="32" customFormat="1" hidden="1" customHeight="1" spans="1:24">
      <c r="A3337" s="34"/>
      <c r="B3337" s="51"/>
      <c r="C3337" s="51"/>
      <c r="D3337" s="52"/>
      <c r="E3337" s="53"/>
      <c r="F3337" s="54"/>
      <c r="G3337" s="54"/>
      <c r="H3337" s="54"/>
      <c r="I3337" s="66"/>
      <c r="J3337" s="54"/>
      <c r="K3337" s="54"/>
      <c r="L3337" s="54"/>
      <c r="M3337" s="97" t="str">
        <f t="shared" si="282"/>
        <v/>
      </c>
      <c r="N3337" s="70"/>
      <c r="O3337" s="71" t="str">
        <f t="shared" si="286"/>
        <v/>
      </c>
      <c r="P3337" s="66"/>
      <c r="Q3337" s="66"/>
      <c r="R3337" s="54"/>
      <c r="S3337" s="82"/>
      <c r="T3337" s="83" t="str">
        <f t="shared" si="283"/>
        <v/>
      </c>
      <c r="U3337" s="10"/>
      <c r="V3337" s="41">
        <f>IF(AND(Q3337&lt;&gt;"",RIGHT(Q3337,3)&lt;&gt;""),IF(COUNTIF($Q$6:Q3337,Q3337)=1,1,0),0)</f>
        <v>0</v>
      </c>
      <c r="W3337" s="41" t="str">
        <f t="shared" si="284"/>
        <v/>
      </c>
      <c r="X3337" s="41" t="str">
        <f t="shared" si="285"/>
        <v/>
      </c>
    </row>
    <row r="3338" s="32" customFormat="1" hidden="1" customHeight="1" spans="1:24">
      <c r="A3338" s="34"/>
      <c r="B3338" s="51"/>
      <c r="C3338" s="51"/>
      <c r="D3338" s="52"/>
      <c r="E3338" s="53"/>
      <c r="F3338" s="54"/>
      <c r="G3338" s="54"/>
      <c r="H3338" s="54"/>
      <c r="I3338" s="66"/>
      <c r="J3338" s="54"/>
      <c r="K3338" s="54"/>
      <c r="L3338" s="54"/>
      <c r="M3338" s="97" t="str">
        <f t="shared" si="282"/>
        <v/>
      </c>
      <c r="N3338" s="70"/>
      <c r="O3338" s="71" t="str">
        <f t="shared" si="286"/>
        <v/>
      </c>
      <c r="P3338" s="66"/>
      <c r="Q3338" s="66"/>
      <c r="R3338" s="54"/>
      <c r="S3338" s="82"/>
      <c r="T3338" s="83" t="str">
        <f t="shared" si="283"/>
        <v/>
      </c>
      <c r="U3338" s="10"/>
      <c r="V3338" s="41">
        <f>IF(AND(Q3338&lt;&gt;"",RIGHT(Q3338,3)&lt;&gt;""),IF(COUNTIF($Q$6:Q3338,Q3338)=1,1,0),0)</f>
        <v>0</v>
      </c>
      <c r="W3338" s="41" t="str">
        <f t="shared" si="284"/>
        <v/>
      </c>
      <c r="X3338" s="41" t="str">
        <f t="shared" si="285"/>
        <v/>
      </c>
    </row>
    <row r="3339" s="32" customFormat="1" hidden="1" customHeight="1" spans="1:24">
      <c r="A3339" s="34"/>
      <c r="B3339" s="51"/>
      <c r="C3339" s="51"/>
      <c r="D3339" s="52"/>
      <c r="E3339" s="53"/>
      <c r="F3339" s="54"/>
      <c r="G3339" s="54"/>
      <c r="H3339" s="54"/>
      <c r="I3339" s="66"/>
      <c r="J3339" s="54"/>
      <c r="K3339" s="54"/>
      <c r="L3339" s="54"/>
      <c r="M3339" s="97" t="str">
        <f t="shared" si="282"/>
        <v/>
      </c>
      <c r="N3339" s="70"/>
      <c r="O3339" s="71" t="str">
        <f t="shared" si="286"/>
        <v/>
      </c>
      <c r="P3339" s="66"/>
      <c r="Q3339" s="66"/>
      <c r="R3339" s="54"/>
      <c r="S3339" s="82"/>
      <c r="T3339" s="83" t="str">
        <f t="shared" si="283"/>
        <v/>
      </c>
      <c r="U3339" s="10"/>
      <c r="V3339" s="41">
        <f>IF(AND(Q3339&lt;&gt;"",RIGHT(Q3339,3)&lt;&gt;""),IF(COUNTIF($Q$6:Q3339,Q3339)=1,1,0),0)</f>
        <v>0</v>
      </c>
      <c r="W3339" s="41" t="str">
        <f t="shared" si="284"/>
        <v/>
      </c>
      <c r="X3339" s="41" t="str">
        <f t="shared" si="285"/>
        <v/>
      </c>
    </row>
    <row r="3340" s="32" customFormat="1" hidden="1" customHeight="1" spans="1:24">
      <c r="A3340" s="34"/>
      <c r="B3340" s="51"/>
      <c r="C3340" s="51"/>
      <c r="D3340" s="52"/>
      <c r="E3340" s="53"/>
      <c r="F3340" s="54"/>
      <c r="G3340" s="54"/>
      <c r="H3340" s="54"/>
      <c r="I3340" s="66"/>
      <c r="J3340" s="54"/>
      <c r="K3340" s="54"/>
      <c r="L3340" s="54"/>
      <c r="M3340" s="97" t="str">
        <f t="shared" si="282"/>
        <v/>
      </c>
      <c r="N3340" s="70"/>
      <c r="O3340" s="71" t="str">
        <f t="shared" si="286"/>
        <v/>
      </c>
      <c r="P3340" s="66"/>
      <c r="Q3340" s="66"/>
      <c r="R3340" s="54"/>
      <c r="S3340" s="82"/>
      <c r="T3340" s="83" t="str">
        <f t="shared" si="283"/>
        <v/>
      </c>
      <c r="U3340" s="10"/>
      <c r="V3340" s="41">
        <f>IF(AND(Q3340&lt;&gt;"",RIGHT(Q3340,3)&lt;&gt;""),IF(COUNTIF($Q$6:Q3340,Q3340)=1,1,0),0)</f>
        <v>0</v>
      </c>
      <c r="W3340" s="41" t="str">
        <f t="shared" si="284"/>
        <v/>
      </c>
      <c r="X3340" s="41" t="str">
        <f t="shared" si="285"/>
        <v/>
      </c>
    </row>
    <row r="3341" s="32" customFormat="1" hidden="1" customHeight="1" spans="1:24">
      <c r="A3341" s="34"/>
      <c r="B3341" s="51"/>
      <c r="C3341" s="51"/>
      <c r="D3341" s="52"/>
      <c r="E3341" s="53"/>
      <c r="F3341" s="54"/>
      <c r="G3341" s="54"/>
      <c r="H3341" s="54"/>
      <c r="I3341" s="66"/>
      <c r="J3341" s="54"/>
      <c r="K3341" s="54"/>
      <c r="L3341" s="54"/>
      <c r="M3341" s="97" t="str">
        <f t="shared" si="282"/>
        <v/>
      </c>
      <c r="N3341" s="70"/>
      <c r="O3341" s="71" t="str">
        <f t="shared" si="286"/>
        <v/>
      </c>
      <c r="P3341" s="66"/>
      <c r="Q3341" s="66"/>
      <c r="R3341" s="54"/>
      <c r="S3341" s="82"/>
      <c r="T3341" s="83" t="str">
        <f t="shared" si="283"/>
        <v/>
      </c>
      <c r="U3341" s="10"/>
      <c r="V3341" s="41">
        <f>IF(AND(Q3341&lt;&gt;"",RIGHT(Q3341,3)&lt;&gt;""),IF(COUNTIF($Q$6:Q3341,Q3341)=1,1,0),0)</f>
        <v>0</v>
      </c>
      <c r="W3341" s="41" t="str">
        <f t="shared" si="284"/>
        <v/>
      </c>
      <c r="X3341" s="41" t="str">
        <f t="shared" si="285"/>
        <v/>
      </c>
    </row>
    <row r="3342" s="32" customFormat="1" hidden="1" customHeight="1" spans="1:24">
      <c r="A3342" s="34"/>
      <c r="B3342" s="51"/>
      <c r="C3342" s="51"/>
      <c r="D3342" s="52"/>
      <c r="E3342" s="53"/>
      <c r="F3342" s="54"/>
      <c r="G3342" s="54"/>
      <c r="H3342" s="54"/>
      <c r="I3342" s="66"/>
      <c r="J3342" s="54"/>
      <c r="K3342" s="54"/>
      <c r="L3342" s="54"/>
      <c r="M3342" s="97" t="str">
        <f t="shared" si="282"/>
        <v/>
      </c>
      <c r="N3342" s="70"/>
      <c r="O3342" s="71" t="str">
        <f t="shared" si="286"/>
        <v/>
      </c>
      <c r="P3342" s="66"/>
      <c r="Q3342" s="66"/>
      <c r="R3342" s="54"/>
      <c r="S3342" s="82"/>
      <c r="T3342" s="83" t="str">
        <f t="shared" si="283"/>
        <v/>
      </c>
      <c r="U3342" s="10"/>
      <c r="V3342" s="41">
        <f>IF(AND(Q3342&lt;&gt;"",RIGHT(Q3342,3)&lt;&gt;""),IF(COUNTIF($Q$6:Q3342,Q3342)=1,1,0),0)</f>
        <v>0</v>
      </c>
      <c r="W3342" s="41" t="str">
        <f t="shared" si="284"/>
        <v/>
      </c>
      <c r="X3342" s="41" t="str">
        <f t="shared" si="285"/>
        <v/>
      </c>
    </row>
    <row r="3343" s="32" customFormat="1" hidden="1" customHeight="1" spans="1:24">
      <c r="A3343" s="34"/>
      <c r="B3343" s="51"/>
      <c r="C3343" s="51"/>
      <c r="D3343" s="52"/>
      <c r="E3343" s="53"/>
      <c r="F3343" s="54"/>
      <c r="G3343" s="54"/>
      <c r="H3343" s="54"/>
      <c r="I3343" s="66"/>
      <c r="J3343" s="54"/>
      <c r="K3343" s="54"/>
      <c r="L3343" s="54"/>
      <c r="M3343" s="97" t="str">
        <f t="shared" si="282"/>
        <v/>
      </c>
      <c r="N3343" s="70"/>
      <c r="O3343" s="71" t="str">
        <f t="shared" si="286"/>
        <v/>
      </c>
      <c r="P3343" s="66"/>
      <c r="Q3343" s="66"/>
      <c r="R3343" s="54"/>
      <c r="S3343" s="82"/>
      <c r="T3343" s="83" t="str">
        <f t="shared" si="283"/>
        <v/>
      </c>
      <c r="U3343" s="10"/>
      <c r="V3343" s="41">
        <f>IF(AND(Q3343&lt;&gt;"",RIGHT(Q3343,3)&lt;&gt;""),IF(COUNTIF($Q$6:Q3343,Q3343)=1,1,0),0)</f>
        <v>0</v>
      </c>
      <c r="W3343" s="41" t="str">
        <f t="shared" si="284"/>
        <v/>
      </c>
      <c r="X3343" s="41" t="str">
        <f t="shared" si="285"/>
        <v/>
      </c>
    </row>
    <row r="3344" s="32" customFormat="1" hidden="1" customHeight="1" spans="1:24">
      <c r="A3344" s="34"/>
      <c r="B3344" s="51"/>
      <c r="C3344" s="51"/>
      <c r="D3344" s="52"/>
      <c r="E3344" s="53"/>
      <c r="F3344" s="54"/>
      <c r="G3344" s="54"/>
      <c r="H3344" s="54"/>
      <c r="I3344" s="66"/>
      <c r="J3344" s="54"/>
      <c r="K3344" s="54"/>
      <c r="L3344" s="54"/>
      <c r="M3344" s="97" t="str">
        <f t="shared" si="282"/>
        <v/>
      </c>
      <c r="N3344" s="70"/>
      <c r="O3344" s="71" t="str">
        <f t="shared" si="286"/>
        <v/>
      </c>
      <c r="P3344" s="66"/>
      <c r="Q3344" s="66"/>
      <c r="R3344" s="54"/>
      <c r="S3344" s="82"/>
      <c r="T3344" s="83" t="str">
        <f t="shared" si="283"/>
        <v/>
      </c>
      <c r="U3344" s="10"/>
      <c r="V3344" s="41">
        <f>IF(AND(Q3344&lt;&gt;"",RIGHT(Q3344,3)&lt;&gt;""),IF(COUNTIF($Q$6:Q3344,Q3344)=1,1,0),0)</f>
        <v>0</v>
      </c>
      <c r="W3344" s="41" t="str">
        <f t="shared" si="284"/>
        <v/>
      </c>
      <c r="X3344" s="41" t="str">
        <f t="shared" si="285"/>
        <v/>
      </c>
    </row>
    <row r="3345" s="32" customFormat="1" hidden="1" customHeight="1" spans="1:24">
      <c r="A3345" s="34"/>
      <c r="B3345" s="51"/>
      <c r="C3345" s="51"/>
      <c r="D3345" s="52"/>
      <c r="E3345" s="53"/>
      <c r="F3345" s="54"/>
      <c r="G3345" s="54"/>
      <c r="H3345" s="54"/>
      <c r="I3345" s="66"/>
      <c r="J3345" s="54"/>
      <c r="K3345" s="54"/>
      <c r="L3345" s="54"/>
      <c r="M3345" s="97" t="str">
        <f t="shared" si="282"/>
        <v/>
      </c>
      <c r="N3345" s="70"/>
      <c r="O3345" s="71" t="str">
        <f t="shared" si="286"/>
        <v/>
      </c>
      <c r="P3345" s="66"/>
      <c r="Q3345" s="66"/>
      <c r="R3345" s="54"/>
      <c r="S3345" s="82"/>
      <c r="T3345" s="83" t="str">
        <f t="shared" si="283"/>
        <v/>
      </c>
      <c r="U3345" s="10"/>
      <c r="V3345" s="41">
        <f>IF(AND(Q3345&lt;&gt;"",RIGHT(Q3345,3)&lt;&gt;""),IF(COUNTIF($Q$6:Q3345,Q3345)=1,1,0),0)</f>
        <v>0</v>
      </c>
      <c r="W3345" s="41" t="str">
        <f t="shared" si="284"/>
        <v/>
      </c>
      <c r="X3345" s="41" t="str">
        <f t="shared" si="285"/>
        <v/>
      </c>
    </row>
    <row r="3346" s="32" customFormat="1" hidden="1" customHeight="1" spans="1:24">
      <c r="A3346" s="34"/>
      <c r="B3346" s="51"/>
      <c r="C3346" s="51"/>
      <c r="D3346" s="52"/>
      <c r="E3346" s="53"/>
      <c r="F3346" s="54"/>
      <c r="G3346" s="54"/>
      <c r="H3346" s="54"/>
      <c r="I3346" s="66"/>
      <c r="J3346" s="54"/>
      <c r="K3346" s="54"/>
      <c r="L3346" s="54"/>
      <c r="M3346" s="97" t="str">
        <f t="shared" si="282"/>
        <v/>
      </c>
      <c r="N3346" s="70"/>
      <c r="O3346" s="71" t="str">
        <f t="shared" si="286"/>
        <v/>
      </c>
      <c r="P3346" s="66"/>
      <c r="Q3346" s="66"/>
      <c r="R3346" s="54"/>
      <c r="S3346" s="82"/>
      <c r="T3346" s="83" t="str">
        <f t="shared" si="283"/>
        <v/>
      </c>
      <c r="U3346" s="10"/>
      <c r="V3346" s="41">
        <f>IF(AND(Q3346&lt;&gt;"",RIGHT(Q3346,3)&lt;&gt;""),IF(COUNTIF($Q$6:Q3346,Q3346)=1,1,0),0)</f>
        <v>0</v>
      </c>
      <c r="W3346" s="41" t="str">
        <f t="shared" si="284"/>
        <v/>
      </c>
      <c r="X3346" s="41" t="str">
        <f t="shared" si="285"/>
        <v/>
      </c>
    </row>
    <row r="3347" s="32" customFormat="1" hidden="1" customHeight="1" spans="1:24">
      <c r="A3347" s="34"/>
      <c r="B3347" s="51"/>
      <c r="C3347" s="51"/>
      <c r="D3347" s="52"/>
      <c r="E3347" s="53"/>
      <c r="F3347" s="54"/>
      <c r="G3347" s="54"/>
      <c r="H3347" s="54"/>
      <c r="I3347" s="66"/>
      <c r="J3347" s="54"/>
      <c r="K3347" s="54"/>
      <c r="L3347" s="54"/>
      <c r="M3347" s="97" t="str">
        <f t="shared" si="282"/>
        <v/>
      </c>
      <c r="N3347" s="70"/>
      <c r="O3347" s="71" t="str">
        <f t="shared" si="286"/>
        <v/>
      </c>
      <c r="P3347" s="66"/>
      <c r="Q3347" s="66"/>
      <c r="R3347" s="54"/>
      <c r="S3347" s="82"/>
      <c r="T3347" s="83" t="str">
        <f t="shared" si="283"/>
        <v/>
      </c>
      <c r="U3347" s="10"/>
      <c r="V3347" s="41">
        <f>IF(AND(Q3347&lt;&gt;"",RIGHT(Q3347,3)&lt;&gt;""),IF(COUNTIF($Q$6:Q3347,Q3347)=1,1,0),0)</f>
        <v>0</v>
      </c>
      <c r="W3347" s="41" t="str">
        <f t="shared" si="284"/>
        <v/>
      </c>
      <c r="X3347" s="41" t="str">
        <f t="shared" si="285"/>
        <v/>
      </c>
    </row>
    <row r="3348" s="32" customFormat="1" hidden="1" customHeight="1" spans="1:24">
      <c r="A3348" s="34"/>
      <c r="B3348" s="51"/>
      <c r="C3348" s="51"/>
      <c r="D3348" s="52"/>
      <c r="E3348" s="53"/>
      <c r="F3348" s="54"/>
      <c r="G3348" s="54"/>
      <c r="H3348" s="54"/>
      <c r="I3348" s="66"/>
      <c r="J3348" s="54"/>
      <c r="K3348" s="54"/>
      <c r="L3348" s="54"/>
      <c r="M3348" s="97" t="str">
        <f t="shared" si="282"/>
        <v/>
      </c>
      <c r="N3348" s="70"/>
      <c r="O3348" s="71" t="str">
        <f t="shared" si="286"/>
        <v/>
      </c>
      <c r="P3348" s="66"/>
      <c r="Q3348" s="66"/>
      <c r="R3348" s="54"/>
      <c r="S3348" s="82"/>
      <c r="T3348" s="83" t="str">
        <f t="shared" si="283"/>
        <v/>
      </c>
      <c r="U3348" s="10"/>
      <c r="V3348" s="41">
        <f>IF(AND(Q3348&lt;&gt;"",RIGHT(Q3348,3)&lt;&gt;""),IF(COUNTIF($Q$6:Q3348,Q3348)=1,1,0),0)</f>
        <v>0</v>
      </c>
      <c r="W3348" s="41" t="str">
        <f t="shared" si="284"/>
        <v/>
      </c>
      <c r="X3348" s="41" t="str">
        <f t="shared" si="285"/>
        <v/>
      </c>
    </row>
    <row r="3349" s="32" customFormat="1" hidden="1" customHeight="1" spans="1:24">
      <c r="A3349" s="34"/>
      <c r="B3349" s="51"/>
      <c r="C3349" s="51"/>
      <c r="D3349" s="52"/>
      <c r="E3349" s="53"/>
      <c r="F3349" s="54"/>
      <c r="G3349" s="54"/>
      <c r="H3349" s="54"/>
      <c r="I3349" s="66"/>
      <c r="J3349" s="54"/>
      <c r="K3349" s="54"/>
      <c r="L3349" s="54"/>
      <c r="M3349" s="97" t="str">
        <f t="shared" si="282"/>
        <v/>
      </c>
      <c r="N3349" s="70"/>
      <c r="O3349" s="71" t="str">
        <f t="shared" si="286"/>
        <v/>
      </c>
      <c r="P3349" s="66"/>
      <c r="Q3349" s="66"/>
      <c r="R3349" s="54"/>
      <c r="S3349" s="82"/>
      <c r="T3349" s="83" t="str">
        <f t="shared" si="283"/>
        <v/>
      </c>
      <c r="U3349" s="10"/>
      <c r="V3349" s="41">
        <f>IF(AND(Q3349&lt;&gt;"",RIGHT(Q3349,3)&lt;&gt;""),IF(COUNTIF($Q$6:Q3349,Q3349)=1,1,0),0)</f>
        <v>0</v>
      </c>
      <c r="W3349" s="41" t="str">
        <f t="shared" si="284"/>
        <v/>
      </c>
      <c r="X3349" s="41" t="str">
        <f t="shared" si="285"/>
        <v/>
      </c>
    </row>
    <row r="3350" s="32" customFormat="1" hidden="1" customHeight="1" spans="1:24">
      <c r="A3350" s="34"/>
      <c r="B3350" s="51"/>
      <c r="C3350" s="51"/>
      <c r="D3350" s="52"/>
      <c r="E3350" s="53"/>
      <c r="F3350" s="54"/>
      <c r="G3350" s="54"/>
      <c r="H3350" s="54"/>
      <c r="I3350" s="66"/>
      <c r="J3350" s="54"/>
      <c r="K3350" s="54"/>
      <c r="L3350" s="54"/>
      <c r="M3350" s="97" t="str">
        <f t="shared" si="282"/>
        <v/>
      </c>
      <c r="N3350" s="70"/>
      <c r="O3350" s="71" t="str">
        <f t="shared" si="286"/>
        <v/>
      </c>
      <c r="P3350" s="66"/>
      <c r="Q3350" s="66"/>
      <c r="R3350" s="54"/>
      <c r="S3350" s="82"/>
      <c r="T3350" s="83" t="str">
        <f t="shared" si="283"/>
        <v/>
      </c>
      <c r="U3350" s="10"/>
      <c r="V3350" s="41">
        <f>IF(AND(Q3350&lt;&gt;"",RIGHT(Q3350,3)&lt;&gt;""),IF(COUNTIF($Q$6:Q3350,Q3350)=1,1,0),0)</f>
        <v>0</v>
      </c>
      <c r="W3350" s="41" t="str">
        <f t="shared" si="284"/>
        <v/>
      </c>
      <c r="X3350" s="41" t="str">
        <f t="shared" si="285"/>
        <v/>
      </c>
    </row>
    <row r="3351" s="32" customFormat="1" hidden="1" customHeight="1" spans="1:24">
      <c r="A3351" s="34"/>
      <c r="B3351" s="51"/>
      <c r="C3351" s="51"/>
      <c r="D3351" s="52"/>
      <c r="E3351" s="53"/>
      <c r="F3351" s="54"/>
      <c r="G3351" s="54"/>
      <c r="H3351" s="54"/>
      <c r="I3351" s="66"/>
      <c r="J3351" s="54"/>
      <c r="K3351" s="54"/>
      <c r="L3351" s="54"/>
      <c r="M3351" s="97" t="str">
        <f t="shared" si="282"/>
        <v/>
      </c>
      <c r="N3351" s="70"/>
      <c r="O3351" s="71" t="str">
        <f t="shared" si="286"/>
        <v/>
      </c>
      <c r="P3351" s="66"/>
      <c r="Q3351" s="66"/>
      <c r="R3351" s="54"/>
      <c r="S3351" s="82"/>
      <c r="T3351" s="83" t="str">
        <f t="shared" si="283"/>
        <v/>
      </c>
      <c r="U3351" s="10"/>
      <c r="V3351" s="41">
        <f>IF(AND(Q3351&lt;&gt;"",RIGHT(Q3351,3)&lt;&gt;""),IF(COUNTIF($Q$6:Q3351,Q3351)=1,1,0),0)</f>
        <v>0</v>
      </c>
      <c r="W3351" s="41" t="str">
        <f t="shared" si="284"/>
        <v/>
      </c>
      <c r="X3351" s="41" t="str">
        <f t="shared" si="285"/>
        <v/>
      </c>
    </row>
    <row r="3352" s="32" customFormat="1" hidden="1" customHeight="1" spans="1:24">
      <c r="A3352" s="34"/>
      <c r="B3352" s="51"/>
      <c r="C3352" s="51"/>
      <c r="D3352" s="52"/>
      <c r="E3352" s="53"/>
      <c r="F3352" s="54"/>
      <c r="G3352" s="54"/>
      <c r="H3352" s="54"/>
      <c r="I3352" s="66"/>
      <c r="J3352" s="54"/>
      <c r="K3352" s="54"/>
      <c r="L3352" s="54"/>
      <c r="M3352" s="97" t="str">
        <f t="shared" si="282"/>
        <v/>
      </c>
      <c r="N3352" s="70"/>
      <c r="O3352" s="71" t="str">
        <f t="shared" si="286"/>
        <v/>
      </c>
      <c r="P3352" s="66"/>
      <c r="Q3352" s="66"/>
      <c r="R3352" s="54"/>
      <c r="S3352" s="82"/>
      <c r="T3352" s="83" t="str">
        <f t="shared" si="283"/>
        <v/>
      </c>
      <c r="U3352" s="10"/>
      <c r="V3352" s="41">
        <f>IF(AND(Q3352&lt;&gt;"",RIGHT(Q3352,3)&lt;&gt;""),IF(COUNTIF($Q$6:Q3352,Q3352)=1,1,0),0)</f>
        <v>0</v>
      </c>
      <c r="W3352" s="41" t="str">
        <f t="shared" si="284"/>
        <v/>
      </c>
      <c r="X3352" s="41" t="str">
        <f t="shared" si="285"/>
        <v/>
      </c>
    </row>
    <row r="3353" s="32" customFormat="1" hidden="1" customHeight="1" spans="1:24">
      <c r="A3353" s="34"/>
      <c r="B3353" s="51"/>
      <c r="C3353" s="51"/>
      <c r="D3353" s="52"/>
      <c r="E3353" s="53"/>
      <c r="F3353" s="54"/>
      <c r="G3353" s="54"/>
      <c r="H3353" s="54"/>
      <c r="I3353" s="66"/>
      <c r="J3353" s="54"/>
      <c r="K3353" s="54"/>
      <c r="L3353" s="54"/>
      <c r="M3353" s="97" t="str">
        <f t="shared" si="282"/>
        <v/>
      </c>
      <c r="N3353" s="70"/>
      <c r="O3353" s="71" t="str">
        <f t="shared" si="286"/>
        <v/>
      </c>
      <c r="P3353" s="66"/>
      <c r="Q3353" s="66"/>
      <c r="R3353" s="54"/>
      <c r="S3353" s="82"/>
      <c r="T3353" s="83" t="str">
        <f t="shared" si="283"/>
        <v/>
      </c>
      <c r="U3353" s="10"/>
      <c r="V3353" s="41">
        <f>IF(AND(Q3353&lt;&gt;"",RIGHT(Q3353,3)&lt;&gt;""),IF(COUNTIF($Q$6:Q3353,Q3353)=1,1,0),0)</f>
        <v>0</v>
      </c>
      <c r="W3353" s="41" t="str">
        <f t="shared" si="284"/>
        <v/>
      </c>
      <c r="X3353" s="41" t="str">
        <f t="shared" si="285"/>
        <v/>
      </c>
    </row>
    <row r="3354" s="32" customFormat="1" hidden="1" customHeight="1" spans="1:24">
      <c r="A3354" s="34"/>
      <c r="B3354" s="51"/>
      <c r="C3354" s="51"/>
      <c r="D3354" s="52"/>
      <c r="E3354" s="53"/>
      <c r="F3354" s="54"/>
      <c r="G3354" s="54"/>
      <c r="H3354" s="54"/>
      <c r="I3354" s="66"/>
      <c r="J3354" s="54"/>
      <c r="K3354" s="54"/>
      <c r="L3354" s="54"/>
      <c r="M3354" s="97" t="str">
        <f t="shared" si="282"/>
        <v/>
      </c>
      <c r="N3354" s="70"/>
      <c r="O3354" s="71" t="str">
        <f t="shared" si="286"/>
        <v/>
      </c>
      <c r="P3354" s="66"/>
      <c r="Q3354" s="66"/>
      <c r="R3354" s="54"/>
      <c r="S3354" s="82"/>
      <c r="T3354" s="83" t="str">
        <f t="shared" si="283"/>
        <v/>
      </c>
      <c r="U3354" s="10"/>
      <c r="V3354" s="41">
        <f>IF(AND(Q3354&lt;&gt;"",RIGHT(Q3354,3)&lt;&gt;""),IF(COUNTIF($Q$6:Q3354,Q3354)=1,1,0),0)</f>
        <v>0</v>
      </c>
      <c r="W3354" s="41" t="str">
        <f t="shared" si="284"/>
        <v/>
      </c>
      <c r="X3354" s="41" t="str">
        <f t="shared" si="285"/>
        <v/>
      </c>
    </row>
    <row r="3355" s="32" customFormat="1" hidden="1" customHeight="1" spans="1:24">
      <c r="A3355" s="34"/>
      <c r="B3355" s="51"/>
      <c r="C3355" s="51"/>
      <c r="D3355" s="52"/>
      <c r="E3355" s="53"/>
      <c r="F3355" s="54"/>
      <c r="G3355" s="54"/>
      <c r="H3355" s="54"/>
      <c r="I3355" s="66"/>
      <c r="J3355" s="54"/>
      <c r="K3355" s="54"/>
      <c r="L3355" s="54"/>
      <c r="M3355" s="97" t="str">
        <f t="shared" si="282"/>
        <v/>
      </c>
      <c r="N3355" s="70"/>
      <c r="O3355" s="71" t="str">
        <f t="shared" si="286"/>
        <v/>
      </c>
      <c r="P3355" s="66"/>
      <c r="Q3355" s="66"/>
      <c r="R3355" s="54"/>
      <c r="S3355" s="82"/>
      <c r="T3355" s="83" t="str">
        <f t="shared" si="283"/>
        <v/>
      </c>
      <c r="U3355" s="10"/>
      <c r="V3355" s="41">
        <f>IF(AND(Q3355&lt;&gt;"",RIGHT(Q3355,3)&lt;&gt;""),IF(COUNTIF($Q$6:Q3355,Q3355)=1,1,0),0)</f>
        <v>0</v>
      </c>
      <c r="W3355" s="41" t="str">
        <f t="shared" si="284"/>
        <v/>
      </c>
      <c r="X3355" s="41" t="str">
        <f t="shared" si="285"/>
        <v/>
      </c>
    </row>
    <row r="3356" s="32" customFormat="1" hidden="1" customHeight="1" spans="1:24">
      <c r="A3356" s="34"/>
      <c r="B3356" s="51"/>
      <c r="C3356" s="51"/>
      <c r="D3356" s="52"/>
      <c r="E3356" s="53"/>
      <c r="F3356" s="54"/>
      <c r="G3356" s="54"/>
      <c r="H3356" s="54"/>
      <c r="I3356" s="66"/>
      <c r="J3356" s="54"/>
      <c r="K3356" s="54"/>
      <c r="L3356" s="54"/>
      <c r="M3356" s="97" t="str">
        <f t="shared" si="282"/>
        <v/>
      </c>
      <c r="N3356" s="70"/>
      <c r="O3356" s="71" t="str">
        <f t="shared" si="286"/>
        <v/>
      </c>
      <c r="P3356" s="66"/>
      <c r="Q3356" s="66"/>
      <c r="R3356" s="54"/>
      <c r="S3356" s="82"/>
      <c r="T3356" s="83" t="str">
        <f t="shared" si="283"/>
        <v/>
      </c>
      <c r="U3356" s="10"/>
      <c r="V3356" s="41">
        <f>IF(AND(Q3356&lt;&gt;"",RIGHT(Q3356,3)&lt;&gt;""),IF(COUNTIF($Q$6:Q3356,Q3356)=1,1,0),0)</f>
        <v>0</v>
      </c>
      <c r="W3356" s="41" t="str">
        <f t="shared" si="284"/>
        <v/>
      </c>
      <c r="X3356" s="41" t="str">
        <f t="shared" si="285"/>
        <v/>
      </c>
    </row>
    <row r="3357" s="32" customFormat="1" hidden="1" customHeight="1" spans="1:24">
      <c r="A3357" s="34"/>
      <c r="B3357" s="51"/>
      <c r="C3357" s="51"/>
      <c r="D3357" s="52"/>
      <c r="E3357" s="53"/>
      <c r="F3357" s="54"/>
      <c r="G3357" s="54"/>
      <c r="H3357" s="54"/>
      <c r="I3357" s="66"/>
      <c r="J3357" s="54"/>
      <c r="K3357" s="54"/>
      <c r="L3357" s="54"/>
      <c r="M3357" s="97" t="str">
        <f t="shared" si="282"/>
        <v/>
      </c>
      <c r="N3357" s="70"/>
      <c r="O3357" s="71" t="str">
        <f t="shared" si="286"/>
        <v/>
      </c>
      <c r="P3357" s="66"/>
      <c r="Q3357" s="66"/>
      <c r="R3357" s="54"/>
      <c r="S3357" s="82"/>
      <c r="T3357" s="83" t="str">
        <f t="shared" si="283"/>
        <v/>
      </c>
      <c r="U3357" s="10"/>
      <c r="V3357" s="41">
        <f>IF(AND(Q3357&lt;&gt;"",RIGHT(Q3357,3)&lt;&gt;""),IF(COUNTIF($Q$6:Q3357,Q3357)=1,1,0),0)</f>
        <v>0</v>
      </c>
      <c r="W3357" s="41" t="str">
        <f t="shared" si="284"/>
        <v/>
      </c>
      <c r="X3357" s="41" t="str">
        <f t="shared" si="285"/>
        <v/>
      </c>
    </row>
    <row r="3358" s="32" customFormat="1" hidden="1" customHeight="1" spans="1:24">
      <c r="A3358" s="34"/>
      <c r="B3358" s="51"/>
      <c r="C3358" s="51"/>
      <c r="D3358" s="52"/>
      <c r="E3358" s="53"/>
      <c r="F3358" s="54"/>
      <c r="G3358" s="54"/>
      <c r="H3358" s="54"/>
      <c r="I3358" s="66"/>
      <c r="J3358" s="54"/>
      <c r="K3358" s="54"/>
      <c r="L3358" s="54"/>
      <c r="M3358" s="97" t="str">
        <f t="shared" si="282"/>
        <v/>
      </c>
      <c r="N3358" s="70"/>
      <c r="O3358" s="71" t="str">
        <f t="shared" si="286"/>
        <v/>
      </c>
      <c r="P3358" s="66"/>
      <c r="Q3358" s="66"/>
      <c r="R3358" s="54"/>
      <c r="S3358" s="82"/>
      <c r="T3358" s="83" t="str">
        <f t="shared" si="283"/>
        <v/>
      </c>
      <c r="U3358" s="10"/>
      <c r="V3358" s="41">
        <f>IF(AND(Q3358&lt;&gt;"",RIGHT(Q3358,3)&lt;&gt;""),IF(COUNTIF($Q$6:Q3358,Q3358)=1,1,0),0)</f>
        <v>0</v>
      </c>
      <c r="W3358" s="41" t="str">
        <f t="shared" si="284"/>
        <v/>
      </c>
      <c r="X3358" s="41" t="str">
        <f t="shared" si="285"/>
        <v/>
      </c>
    </row>
    <row r="3359" s="32" customFormat="1" hidden="1" customHeight="1" spans="1:24">
      <c r="A3359" s="34"/>
      <c r="B3359" s="51"/>
      <c r="C3359" s="51"/>
      <c r="D3359" s="52"/>
      <c r="E3359" s="53"/>
      <c r="F3359" s="54"/>
      <c r="G3359" s="54"/>
      <c r="H3359" s="54"/>
      <c r="I3359" s="66"/>
      <c r="J3359" s="54"/>
      <c r="K3359" s="54"/>
      <c r="L3359" s="54"/>
      <c r="M3359" s="97" t="str">
        <f t="shared" si="282"/>
        <v/>
      </c>
      <c r="N3359" s="70"/>
      <c r="O3359" s="71" t="str">
        <f t="shared" si="286"/>
        <v/>
      </c>
      <c r="P3359" s="66"/>
      <c r="Q3359" s="66"/>
      <c r="R3359" s="54"/>
      <c r="S3359" s="82"/>
      <c r="T3359" s="83" t="str">
        <f t="shared" si="283"/>
        <v/>
      </c>
      <c r="U3359" s="10"/>
      <c r="V3359" s="41">
        <f>IF(AND(Q3359&lt;&gt;"",RIGHT(Q3359,3)&lt;&gt;""),IF(COUNTIF($Q$6:Q3359,Q3359)=1,1,0),0)</f>
        <v>0</v>
      </c>
      <c r="W3359" s="41" t="str">
        <f t="shared" si="284"/>
        <v/>
      </c>
      <c r="X3359" s="41" t="str">
        <f t="shared" si="285"/>
        <v/>
      </c>
    </row>
    <row r="3360" s="32" customFormat="1" hidden="1" customHeight="1" spans="1:24">
      <c r="A3360" s="34"/>
      <c r="B3360" s="51"/>
      <c r="C3360" s="51"/>
      <c r="D3360" s="52"/>
      <c r="E3360" s="53"/>
      <c r="F3360" s="54"/>
      <c r="G3360" s="54"/>
      <c r="H3360" s="54"/>
      <c r="I3360" s="66"/>
      <c r="J3360" s="54"/>
      <c r="K3360" s="54"/>
      <c r="L3360" s="54"/>
      <c r="M3360" s="97" t="str">
        <f t="shared" si="282"/>
        <v/>
      </c>
      <c r="N3360" s="70"/>
      <c r="O3360" s="71" t="str">
        <f t="shared" si="286"/>
        <v/>
      </c>
      <c r="P3360" s="66"/>
      <c r="Q3360" s="66"/>
      <c r="R3360" s="54"/>
      <c r="S3360" s="82"/>
      <c r="T3360" s="83" t="str">
        <f t="shared" si="283"/>
        <v/>
      </c>
      <c r="U3360" s="10"/>
      <c r="V3360" s="41">
        <f>IF(AND(Q3360&lt;&gt;"",RIGHT(Q3360,3)&lt;&gt;""),IF(COUNTIF($Q$6:Q3360,Q3360)=1,1,0),0)</f>
        <v>0</v>
      </c>
      <c r="W3360" s="41" t="str">
        <f t="shared" si="284"/>
        <v/>
      </c>
      <c r="X3360" s="41" t="str">
        <f t="shared" si="285"/>
        <v/>
      </c>
    </row>
    <row r="3361" s="32" customFormat="1" hidden="1" customHeight="1" spans="1:24">
      <c r="A3361" s="34"/>
      <c r="B3361" s="51"/>
      <c r="C3361" s="51"/>
      <c r="D3361" s="52"/>
      <c r="E3361" s="53"/>
      <c r="F3361" s="54"/>
      <c r="G3361" s="54"/>
      <c r="H3361" s="54"/>
      <c r="I3361" s="66"/>
      <c r="J3361" s="54"/>
      <c r="K3361" s="54"/>
      <c r="L3361" s="54"/>
      <c r="M3361" s="97" t="str">
        <f t="shared" si="282"/>
        <v/>
      </c>
      <c r="N3361" s="70"/>
      <c r="O3361" s="71" t="str">
        <f t="shared" si="286"/>
        <v/>
      </c>
      <c r="P3361" s="66"/>
      <c r="Q3361" s="66"/>
      <c r="R3361" s="54"/>
      <c r="S3361" s="82"/>
      <c r="T3361" s="83" t="str">
        <f t="shared" si="283"/>
        <v/>
      </c>
      <c r="U3361" s="10"/>
      <c r="V3361" s="41">
        <f>IF(AND(Q3361&lt;&gt;"",RIGHT(Q3361,3)&lt;&gt;""),IF(COUNTIF($Q$6:Q3361,Q3361)=1,1,0),0)</f>
        <v>0</v>
      </c>
      <c r="W3361" s="41" t="str">
        <f t="shared" si="284"/>
        <v/>
      </c>
      <c r="X3361" s="41" t="str">
        <f t="shared" si="285"/>
        <v/>
      </c>
    </row>
    <row r="3362" s="32" customFormat="1" hidden="1" customHeight="1" spans="1:24">
      <c r="A3362" s="34"/>
      <c r="B3362" s="51"/>
      <c r="C3362" s="51"/>
      <c r="D3362" s="52"/>
      <c r="E3362" s="53"/>
      <c r="F3362" s="54"/>
      <c r="G3362" s="54"/>
      <c r="H3362" s="54"/>
      <c r="I3362" s="66"/>
      <c r="J3362" s="54"/>
      <c r="K3362" s="54"/>
      <c r="L3362" s="54"/>
      <c r="M3362" s="97" t="str">
        <f t="shared" si="282"/>
        <v/>
      </c>
      <c r="N3362" s="70"/>
      <c r="O3362" s="71" t="str">
        <f t="shared" si="286"/>
        <v/>
      </c>
      <c r="P3362" s="66"/>
      <c r="Q3362" s="66"/>
      <c r="R3362" s="54"/>
      <c r="S3362" s="82"/>
      <c r="T3362" s="83" t="str">
        <f t="shared" si="283"/>
        <v/>
      </c>
      <c r="U3362" s="10"/>
      <c r="V3362" s="41">
        <f>IF(AND(Q3362&lt;&gt;"",RIGHT(Q3362,3)&lt;&gt;""),IF(COUNTIF($Q$6:Q3362,Q3362)=1,1,0),0)</f>
        <v>0</v>
      </c>
      <c r="W3362" s="41" t="str">
        <f t="shared" si="284"/>
        <v/>
      </c>
      <c r="X3362" s="41" t="str">
        <f t="shared" si="285"/>
        <v/>
      </c>
    </row>
    <row r="3363" s="32" customFormat="1" hidden="1" customHeight="1" spans="1:24">
      <c r="A3363" s="34"/>
      <c r="B3363" s="51"/>
      <c r="C3363" s="51"/>
      <c r="D3363" s="52"/>
      <c r="E3363" s="53"/>
      <c r="F3363" s="54"/>
      <c r="G3363" s="54"/>
      <c r="H3363" s="54"/>
      <c r="I3363" s="66"/>
      <c r="J3363" s="54"/>
      <c r="K3363" s="54"/>
      <c r="L3363" s="54"/>
      <c r="M3363" s="97" t="str">
        <f t="shared" si="282"/>
        <v/>
      </c>
      <c r="N3363" s="70"/>
      <c r="O3363" s="71" t="str">
        <f t="shared" si="286"/>
        <v/>
      </c>
      <c r="P3363" s="66"/>
      <c r="Q3363" s="66"/>
      <c r="R3363" s="54"/>
      <c r="S3363" s="82"/>
      <c r="T3363" s="83" t="str">
        <f t="shared" si="283"/>
        <v/>
      </c>
      <c r="U3363" s="10"/>
      <c r="V3363" s="41">
        <f>IF(AND(Q3363&lt;&gt;"",RIGHT(Q3363,3)&lt;&gt;""),IF(COUNTIF($Q$6:Q3363,Q3363)=1,1,0),0)</f>
        <v>0</v>
      </c>
      <c r="W3363" s="41" t="str">
        <f t="shared" si="284"/>
        <v/>
      </c>
      <c r="X3363" s="41" t="str">
        <f t="shared" si="285"/>
        <v/>
      </c>
    </row>
    <row r="3364" s="32" customFormat="1" hidden="1" customHeight="1" spans="1:24">
      <c r="A3364" s="34"/>
      <c r="B3364" s="51"/>
      <c r="C3364" s="51"/>
      <c r="D3364" s="52"/>
      <c r="E3364" s="53"/>
      <c r="F3364" s="54"/>
      <c r="G3364" s="54"/>
      <c r="H3364" s="54"/>
      <c r="I3364" s="66"/>
      <c r="J3364" s="54"/>
      <c r="K3364" s="54"/>
      <c r="L3364" s="54"/>
      <c r="M3364" s="97" t="str">
        <f t="shared" ref="M3364:M3427" si="287">IF(L3364="","",HYPERLINK(_xlfn.CONCAT($L$4,L3364,".jpg"),"Open File"))</f>
        <v/>
      </c>
      <c r="N3364" s="70"/>
      <c r="O3364" s="71" t="str">
        <f t="shared" si="286"/>
        <v/>
      </c>
      <c r="P3364" s="66"/>
      <c r="Q3364" s="66"/>
      <c r="R3364" s="54"/>
      <c r="S3364" s="82"/>
      <c r="T3364" s="83" t="str">
        <f t="shared" ref="T3364:T3427" si="288">IF(S3364="","",HYPERLINK(_xlfn.CONCAT($S$4,S3364,".jpg"),"Open File"))</f>
        <v/>
      </c>
      <c r="U3364" s="10"/>
      <c r="V3364" s="41">
        <f>IF(AND(Q3364&lt;&gt;"",RIGHT(Q3364,3)&lt;&gt;""),IF(COUNTIF($Q$6:Q3364,Q3364)=1,1,0),0)</f>
        <v>0</v>
      </c>
      <c r="W3364" s="41" t="str">
        <f t="shared" ref="W3364:W3427" si="289">IF(AND(J3364&lt;&gt;"",K3364&lt;&gt;""),_xlfn.CONCAT(SUBSTITUTE(J3364,"/","."),"-",K3364),"")</f>
        <v/>
      </c>
      <c r="X3364" s="41" t="str">
        <f t="shared" ref="X3364:X3427" si="290">IF(AND(Q3364&lt;&gt;"",R3364&lt;&gt;""),_xlfn.CONCAT(SUBSTITUTE(Q3364,"/","."),"-",R3364),"")</f>
        <v/>
      </c>
    </row>
    <row r="3365" s="32" customFormat="1" hidden="1" customHeight="1" spans="1:24">
      <c r="A3365" s="34"/>
      <c r="B3365" s="51"/>
      <c r="C3365" s="51"/>
      <c r="D3365" s="52"/>
      <c r="E3365" s="53"/>
      <c r="F3365" s="54"/>
      <c r="G3365" s="54"/>
      <c r="H3365" s="54"/>
      <c r="I3365" s="66"/>
      <c r="J3365" s="54"/>
      <c r="K3365" s="54"/>
      <c r="L3365" s="54"/>
      <c r="M3365" s="97" t="str">
        <f t="shared" si="287"/>
        <v/>
      </c>
      <c r="N3365" s="70"/>
      <c r="O3365" s="71" t="str">
        <f t="shared" si="286"/>
        <v/>
      </c>
      <c r="P3365" s="66"/>
      <c r="Q3365" s="66"/>
      <c r="R3365" s="54"/>
      <c r="S3365" s="82"/>
      <c r="T3365" s="83" t="str">
        <f t="shared" si="288"/>
        <v/>
      </c>
      <c r="U3365" s="10"/>
      <c r="V3365" s="41">
        <f>IF(AND(Q3365&lt;&gt;"",RIGHT(Q3365,3)&lt;&gt;""),IF(COUNTIF($Q$6:Q3365,Q3365)=1,1,0),0)</f>
        <v>0</v>
      </c>
      <c r="W3365" s="41" t="str">
        <f t="shared" si="289"/>
        <v/>
      </c>
      <c r="X3365" s="41" t="str">
        <f t="shared" si="290"/>
        <v/>
      </c>
    </row>
    <row r="3366" s="32" customFormat="1" hidden="1" customHeight="1" spans="1:24">
      <c r="A3366" s="34"/>
      <c r="B3366" s="51"/>
      <c r="C3366" s="51"/>
      <c r="D3366" s="52"/>
      <c r="E3366" s="53"/>
      <c r="F3366" s="54"/>
      <c r="G3366" s="54"/>
      <c r="H3366" s="54"/>
      <c r="I3366" s="66"/>
      <c r="J3366" s="54"/>
      <c r="K3366" s="54"/>
      <c r="L3366" s="54"/>
      <c r="M3366" s="97" t="str">
        <f t="shared" si="287"/>
        <v/>
      </c>
      <c r="N3366" s="70"/>
      <c r="O3366" s="71" t="str">
        <f t="shared" si="286"/>
        <v/>
      </c>
      <c r="P3366" s="66"/>
      <c r="Q3366" s="66"/>
      <c r="R3366" s="54"/>
      <c r="S3366" s="82"/>
      <c r="T3366" s="83" t="str">
        <f t="shared" si="288"/>
        <v/>
      </c>
      <c r="U3366" s="10"/>
      <c r="V3366" s="41">
        <f>IF(AND(Q3366&lt;&gt;"",RIGHT(Q3366,3)&lt;&gt;""),IF(COUNTIF($Q$6:Q3366,Q3366)=1,1,0),0)</f>
        <v>0</v>
      </c>
      <c r="W3366" s="41" t="str">
        <f t="shared" si="289"/>
        <v/>
      </c>
      <c r="X3366" s="41" t="str">
        <f t="shared" si="290"/>
        <v/>
      </c>
    </row>
    <row r="3367" s="32" customFormat="1" hidden="1" customHeight="1" spans="1:24">
      <c r="A3367" s="34"/>
      <c r="B3367" s="51"/>
      <c r="C3367" s="51"/>
      <c r="D3367" s="52"/>
      <c r="E3367" s="53"/>
      <c r="F3367" s="54"/>
      <c r="G3367" s="54"/>
      <c r="H3367" s="54"/>
      <c r="I3367" s="66"/>
      <c r="J3367" s="54"/>
      <c r="K3367" s="54"/>
      <c r="L3367" s="54"/>
      <c r="M3367" s="97" t="str">
        <f t="shared" si="287"/>
        <v/>
      </c>
      <c r="N3367" s="70"/>
      <c r="O3367" s="71" t="str">
        <f t="shared" si="286"/>
        <v/>
      </c>
      <c r="P3367" s="66"/>
      <c r="Q3367" s="66"/>
      <c r="R3367" s="54"/>
      <c r="S3367" s="82"/>
      <c r="T3367" s="83" t="str">
        <f t="shared" si="288"/>
        <v/>
      </c>
      <c r="U3367" s="10"/>
      <c r="V3367" s="41">
        <f>IF(AND(Q3367&lt;&gt;"",RIGHT(Q3367,3)&lt;&gt;""),IF(COUNTIF($Q$6:Q3367,Q3367)=1,1,0),0)</f>
        <v>0</v>
      </c>
      <c r="W3367" s="41" t="str">
        <f t="shared" si="289"/>
        <v/>
      </c>
      <c r="X3367" s="41" t="str">
        <f t="shared" si="290"/>
        <v/>
      </c>
    </row>
    <row r="3368" s="32" customFormat="1" hidden="1" customHeight="1" spans="1:24">
      <c r="A3368" s="34"/>
      <c r="B3368" s="51"/>
      <c r="C3368" s="51"/>
      <c r="D3368" s="52"/>
      <c r="E3368" s="53"/>
      <c r="F3368" s="54"/>
      <c r="G3368" s="54"/>
      <c r="H3368" s="54"/>
      <c r="I3368" s="66"/>
      <c r="J3368" s="54"/>
      <c r="K3368" s="54"/>
      <c r="L3368" s="54"/>
      <c r="M3368" s="97" t="str">
        <f t="shared" si="287"/>
        <v/>
      </c>
      <c r="N3368" s="70"/>
      <c r="O3368" s="71" t="str">
        <f t="shared" si="286"/>
        <v/>
      </c>
      <c r="P3368" s="66"/>
      <c r="Q3368" s="66"/>
      <c r="R3368" s="54"/>
      <c r="S3368" s="82"/>
      <c r="T3368" s="83" t="str">
        <f t="shared" si="288"/>
        <v/>
      </c>
      <c r="U3368" s="10"/>
      <c r="V3368" s="41">
        <f>IF(AND(Q3368&lt;&gt;"",RIGHT(Q3368,3)&lt;&gt;""),IF(COUNTIF($Q$6:Q3368,Q3368)=1,1,0),0)</f>
        <v>0</v>
      </c>
      <c r="W3368" s="41" t="str">
        <f t="shared" si="289"/>
        <v/>
      </c>
      <c r="X3368" s="41" t="str">
        <f t="shared" si="290"/>
        <v/>
      </c>
    </row>
    <row r="3369" s="32" customFormat="1" hidden="1" customHeight="1" spans="1:24">
      <c r="A3369" s="34"/>
      <c r="B3369" s="51"/>
      <c r="C3369" s="51"/>
      <c r="D3369" s="52"/>
      <c r="E3369" s="53"/>
      <c r="F3369" s="54"/>
      <c r="G3369" s="54"/>
      <c r="H3369" s="54"/>
      <c r="I3369" s="66"/>
      <c r="J3369" s="54"/>
      <c r="K3369" s="54"/>
      <c r="L3369" s="54"/>
      <c r="M3369" s="97" t="str">
        <f t="shared" si="287"/>
        <v/>
      </c>
      <c r="N3369" s="70"/>
      <c r="O3369" s="71" t="str">
        <f t="shared" si="286"/>
        <v/>
      </c>
      <c r="P3369" s="66"/>
      <c r="Q3369" s="66"/>
      <c r="R3369" s="54"/>
      <c r="S3369" s="82"/>
      <c r="T3369" s="83" t="str">
        <f t="shared" si="288"/>
        <v/>
      </c>
      <c r="U3369" s="10"/>
      <c r="V3369" s="41">
        <f>IF(AND(Q3369&lt;&gt;"",RIGHT(Q3369,3)&lt;&gt;""),IF(COUNTIF($Q$6:Q3369,Q3369)=1,1,0),0)</f>
        <v>0</v>
      </c>
      <c r="W3369" s="41" t="str">
        <f t="shared" si="289"/>
        <v/>
      </c>
      <c r="X3369" s="41" t="str">
        <f t="shared" si="290"/>
        <v/>
      </c>
    </row>
    <row r="3370" s="32" customFormat="1" hidden="1" customHeight="1" spans="1:24">
      <c r="A3370" s="34"/>
      <c r="B3370" s="51"/>
      <c r="C3370" s="51"/>
      <c r="D3370" s="52"/>
      <c r="E3370" s="53"/>
      <c r="F3370" s="54"/>
      <c r="G3370" s="54"/>
      <c r="H3370" s="54"/>
      <c r="I3370" s="66"/>
      <c r="J3370" s="54"/>
      <c r="K3370" s="54"/>
      <c r="L3370" s="54"/>
      <c r="M3370" s="97" t="str">
        <f t="shared" si="287"/>
        <v/>
      </c>
      <c r="N3370" s="70"/>
      <c r="O3370" s="71" t="str">
        <f t="shared" si="286"/>
        <v/>
      </c>
      <c r="P3370" s="66"/>
      <c r="Q3370" s="66"/>
      <c r="R3370" s="54"/>
      <c r="S3370" s="82"/>
      <c r="T3370" s="83" t="str">
        <f t="shared" si="288"/>
        <v/>
      </c>
      <c r="U3370" s="10"/>
      <c r="V3370" s="41">
        <f>IF(AND(Q3370&lt;&gt;"",RIGHT(Q3370,3)&lt;&gt;""),IF(COUNTIF($Q$6:Q3370,Q3370)=1,1,0),0)</f>
        <v>0</v>
      </c>
      <c r="W3370" s="41" t="str">
        <f t="shared" si="289"/>
        <v/>
      </c>
      <c r="X3370" s="41" t="str">
        <f t="shared" si="290"/>
        <v/>
      </c>
    </row>
    <row r="3371" s="32" customFormat="1" hidden="1" customHeight="1" spans="1:24">
      <c r="A3371" s="34"/>
      <c r="B3371" s="51"/>
      <c r="C3371" s="51"/>
      <c r="D3371" s="52"/>
      <c r="E3371" s="53"/>
      <c r="F3371" s="54"/>
      <c r="G3371" s="54"/>
      <c r="H3371" s="54"/>
      <c r="I3371" s="66"/>
      <c r="J3371" s="54"/>
      <c r="K3371" s="54"/>
      <c r="L3371" s="54"/>
      <c r="M3371" s="97" t="str">
        <f t="shared" si="287"/>
        <v/>
      </c>
      <c r="N3371" s="70"/>
      <c r="O3371" s="71" t="str">
        <f t="shared" si="286"/>
        <v/>
      </c>
      <c r="P3371" s="66"/>
      <c r="Q3371" s="66"/>
      <c r="R3371" s="54"/>
      <c r="S3371" s="82"/>
      <c r="T3371" s="83" t="str">
        <f t="shared" si="288"/>
        <v/>
      </c>
      <c r="U3371" s="10"/>
      <c r="V3371" s="41">
        <f>IF(AND(Q3371&lt;&gt;"",RIGHT(Q3371,3)&lt;&gt;""),IF(COUNTIF($Q$6:Q3371,Q3371)=1,1,0),0)</f>
        <v>0</v>
      </c>
      <c r="W3371" s="41" t="str">
        <f t="shared" si="289"/>
        <v/>
      </c>
      <c r="X3371" s="41" t="str">
        <f t="shared" si="290"/>
        <v/>
      </c>
    </row>
    <row r="3372" s="32" customFormat="1" hidden="1" customHeight="1" spans="1:24">
      <c r="A3372" s="34"/>
      <c r="B3372" s="51"/>
      <c r="C3372" s="51"/>
      <c r="D3372" s="52"/>
      <c r="E3372" s="53"/>
      <c r="F3372" s="54"/>
      <c r="G3372" s="54"/>
      <c r="H3372" s="54"/>
      <c r="I3372" s="66"/>
      <c r="J3372" s="54"/>
      <c r="K3372" s="54"/>
      <c r="L3372" s="54"/>
      <c r="M3372" s="97" t="str">
        <f t="shared" si="287"/>
        <v/>
      </c>
      <c r="N3372" s="70"/>
      <c r="O3372" s="71" t="str">
        <f t="shared" si="286"/>
        <v/>
      </c>
      <c r="P3372" s="66"/>
      <c r="Q3372" s="66"/>
      <c r="R3372" s="54"/>
      <c r="S3372" s="82"/>
      <c r="T3372" s="83" t="str">
        <f t="shared" si="288"/>
        <v/>
      </c>
      <c r="U3372" s="10"/>
      <c r="V3372" s="41">
        <f>IF(AND(Q3372&lt;&gt;"",RIGHT(Q3372,3)&lt;&gt;""),IF(COUNTIF($Q$6:Q3372,Q3372)=1,1,0),0)</f>
        <v>0</v>
      </c>
      <c r="W3372" s="41" t="str">
        <f t="shared" si="289"/>
        <v/>
      </c>
      <c r="X3372" s="41" t="str">
        <f t="shared" si="290"/>
        <v/>
      </c>
    </row>
    <row r="3373" s="32" customFormat="1" hidden="1" customHeight="1" spans="1:24">
      <c r="A3373" s="34"/>
      <c r="B3373" s="51"/>
      <c r="C3373" s="51"/>
      <c r="D3373" s="52"/>
      <c r="E3373" s="53"/>
      <c r="F3373" s="54"/>
      <c r="G3373" s="54"/>
      <c r="H3373" s="54"/>
      <c r="I3373" s="66"/>
      <c r="J3373" s="54"/>
      <c r="K3373" s="54"/>
      <c r="L3373" s="54"/>
      <c r="M3373" s="97" t="str">
        <f t="shared" si="287"/>
        <v/>
      </c>
      <c r="N3373" s="70"/>
      <c r="O3373" s="71" t="str">
        <f t="shared" si="286"/>
        <v/>
      </c>
      <c r="P3373" s="66"/>
      <c r="Q3373" s="66"/>
      <c r="R3373" s="54"/>
      <c r="S3373" s="82"/>
      <c r="T3373" s="83" t="str">
        <f t="shared" si="288"/>
        <v/>
      </c>
      <c r="U3373" s="10"/>
      <c r="V3373" s="41">
        <f>IF(AND(Q3373&lt;&gt;"",RIGHT(Q3373,3)&lt;&gt;""),IF(COUNTIF($Q$6:Q3373,Q3373)=1,1,0),0)</f>
        <v>0</v>
      </c>
      <c r="W3373" s="41" t="str">
        <f t="shared" si="289"/>
        <v/>
      </c>
      <c r="X3373" s="41" t="str">
        <f t="shared" si="290"/>
        <v/>
      </c>
    </row>
    <row r="3374" s="32" customFormat="1" hidden="1" customHeight="1" spans="1:24">
      <c r="A3374" s="34"/>
      <c r="B3374" s="51"/>
      <c r="C3374" s="51"/>
      <c r="D3374" s="52"/>
      <c r="E3374" s="53"/>
      <c r="F3374" s="54"/>
      <c r="G3374" s="54"/>
      <c r="H3374" s="54"/>
      <c r="I3374" s="66"/>
      <c r="J3374" s="54"/>
      <c r="K3374" s="54"/>
      <c r="L3374" s="54"/>
      <c r="M3374" s="97" t="str">
        <f t="shared" si="287"/>
        <v/>
      </c>
      <c r="N3374" s="70"/>
      <c r="O3374" s="71" t="str">
        <f t="shared" si="286"/>
        <v/>
      </c>
      <c r="P3374" s="66"/>
      <c r="Q3374" s="66"/>
      <c r="R3374" s="54"/>
      <c r="S3374" s="82"/>
      <c r="T3374" s="83" t="str">
        <f t="shared" si="288"/>
        <v/>
      </c>
      <c r="U3374" s="10"/>
      <c r="V3374" s="41">
        <f>IF(AND(Q3374&lt;&gt;"",RIGHT(Q3374,3)&lt;&gt;""),IF(COUNTIF($Q$6:Q3374,Q3374)=1,1,0),0)</f>
        <v>0</v>
      </c>
      <c r="W3374" s="41" t="str">
        <f t="shared" si="289"/>
        <v/>
      </c>
      <c r="X3374" s="41" t="str">
        <f t="shared" si="290"/>
        <v/>
      </c>
    </row>
    <row r="3375" s="32" customFormat="1" hidden="1" customHeight="1" spans="1:24">
      <c r="A3375" s="34"/>
      <c r="B3375" s="51"/>
      <c r="C3375" s="51"/>
      <c r="D3375" s="52"/>
      <c r="E3375" s="53"/>
      <c r="F3375" s="54"/>
      <c r="G3375" s="54"/>
      <c r="H3375" s="54"/>
      <c r="I3375" s="66"/>
      <c r="J3375" s="54"/>
      <c r="K3375" s="54"/>
      <c r="L3375" s="54"/>
      <c r="M3375" s="97" t="str">
        <f t="shared" si="287"/>
        <v/>
      </c>
      <c r="N3375" s="70"/>
      <c r="O3375" s="71" t="str">
        <f t="shared" si="286"/>
        <v/>
      </c>
      <c r="P3375" s="66"/>
      <c r="Q3375" s="66"/>
      <c r="R3375" s="54"/>
      <c r="S3375" s="82"/>
      <c r="T3375" s="83" t="str">
        <f t="shared" si="288"/>
        <v/>
      </c>
      <c r="U3375" s="10"/>
      <c r="V3375" s="41">
        <f>IF(AND(Q3375&lt;&gt;"",RIGHT(Q3375,3)&lt;&gt;""),IF(COUNTIF($Q$6:Q3375,Q3375)=1,1,0),0)</f>
        <v>0</v>
      </c>
      <c r="W3375" s="41" t="str">
        <f t="shared" si="289"/>
        <v/>
      </c>
      <c r="X3375" s="41" t="str">
        <f t="shared" si="290"/>
        <v/>
      </c>
    </row>
    <row r="3376" s="32" customFormat="1" hidden="1" customHeight="1" spans="1:24">
      <c r="A3376" s="34"/>
      <c r="B3376" s="51"/>
      <c r="C3376" s="51"/>
      <c r="D3376" s="52"/>
      <c r="E3376" s="53"/>
      <c r="F3376" s="54"/>
      <c r="G3376" s="54"/>
      <c r="H3376" s="54"/>
      <c r="I3376" s="66"/>
      <c r="J3376" s="54"/>
      <c r="K3376" s="54"/>
      <c r="L3376" s="54"/>
      <c r="M3376" s="97" t="str">
        <f t="shared" si="287"/>
        <v/>
      </c>
      <c r="N3376" s="70"/>
      <c r="O3376" s="71" t="str">
        <f t="shared" si="286"/>
        <v/>
      </c>
      <c r="P3376" s="66"/>
      <c r="Q3376" s="66"/>
      <c r="R3376" s="54"/>
      <c r="S3376" s="82"/>
      <c r="T3376" s="83" t="str">
        <f t="shared" si="288"/>
        <v/>
      </c>
      <c r="U3376" s="10"/>
      <c r="V3376" s="41">
        <f>IF(AND(Q3376&lt;&gt;"",RIGHT(Q3376,3)&lt;&gt;""),IF(COUNTIF($Q$6:Q3376,Q3376)=1,1,0),0)</f>
        <v>0</v>
      </c>
      <c r="W3376" s="41" t="str">
        <f t="shared" si="289"/>
        <v/>
      </c>
      <c r="X3376" s="41" t="str">
        <f t="shared" si="290"/>
        <v/>
      </c>
    </row>
    <row r="3377" s="32" customFormat="1" hidden="1" customHeight="1" spans="1:24">
      <c r="A3377" s="34"/>
      <c r="B3377" s="51"/>
      <c r="C3377" s="51"/>
      <c r="D3377" s="52"/>
      <c r="E3377" s="53"/>
      <c r="F3377" s="54"/>
      <c r="G3377" s="54"/>
      <c r="H3377" s="54"/>
      <c r="I3377" s="66"/>
      <c r="J3377" s="54"/>
      <c r="K3377" s="54"/>
      <c r="L3377" s="54"/>
      <c r="M3377" s="97" t="str">
        <f t="shared" si="287"/>
        <v/>
      </c>
      <c r="N3377" s="70"/>
      <c r="O3377" s="71" t="str">
        <f t="shared" ref="O3377:O3440" si="291">IF(AND(Q3377&lt;&gt;"",T3377&lt;&gt;""),"PASSIVE",IF(AND(J3377&lt;&gt;"",M3377&lt;&gt;""),"ACTIVE",""))</f>
        <v/>
      </c>
      <c r="P3377" s="66"/>
      <c r="Q3377" s="66"/>
      <c r="R3377" s="54"/>
      <c r="S3377" s="82"/>
      <c r="T3377" s="83" t="str">
        <f t="shared" si="288"/>
        <v/>
      </c>
      <c r="U3377" s="10"/>
      <c r="V3377" s="41">
        <f>IF(AND(Q3377&lt;&gt;"",RIGHT(Q3377,3)&lt;&gt;""),IF(COUNTIF($Q$6:Q3377,Q3377)=1,1,0),0)</f>
        <v>0</v>
      </c>
      <c r="W3377" s="41" t="str">
        <f t="shared" si="289"/>
        <v/>
      </c>
      <c r="X3377" s="41" t="str">
        <f t="shared" si="290"/>
        <v/>
      </c>
    </row>
    <row r="3378" s="32" customFormat="1" hidden="1" customHeight="1" spans="1:24">
      <c r="A3378" s="34"/>
      <c r="B3378" s="51"/>
      <c r="C3378" s="51"/>
      <c r="D3378" s="52"/>
      <c r="E3378" s="53"/>
      <c r="F3378" s="54"/>
      <c r="G3378" s="54"/>
      <c r="H3378" s="54"/>
      <c r="I3378" s="66"/>
      <c r="J3378" s="54"/>
      <c r="K3378" s="54"/>
      <c r="L3378" s="54"/>
      <c r="M3378" s="97" t="str">
        <f t="shared" si="287"/>
        <v/>
      </c>
      <c r="N3378" s="70"/>
      <c r="O3378" s="71" t="str">
        <f t="shared" si="291"/>
        <v/>
      </c>
      <c r="P3378" s="66"/>
      <c r="Q3378" s="66"/>
      <c r="R3378" s="54"/>
      <c r="S3378" s="82"/>
      <c r="T3378" s="83" t="str">
        <f t="shared" si="288"/>
        <v/>
      </c>
      <c r="U3378" s="10"/>
      <c r="V3378" s="41">
        <f>IF(AND(Q3378&lt;&gt;"",RIGHT(Q3378,3)&lt;&gt;""),IF(COUNTIF($Q$6:Q3378,Q3378)=1,1,0),0)</f>
        <v>0</v>
      </c>
      <c r="W3378" s="41" t="str">
        <f t="shared" si="289"/>
        <v/>
      </c>
      <c r="X3378" s="41" t="str">
        <f t="shared" si="290"/>
        <v/>
      </c>
    </row>
    <row r="3379" s="32" customFormat="1" hidden="1" customHeight="1" spans="1:24">
      <c r="A3379" s="34"/>
      <c r="B3379" s="51"/>
      <c r="C3379" s="51"/>
      <c r="D3379" s="52"/>
      <c r="E3379" s="53"/>
      <c r="F3379" s="54"/>
      <c r="G3379" s="54"/>
      <c r="H3379" s="54"/>
      <c r="I3379" s="66"/>
      <c r="J3379" s="54"/>
      <c r="K3379" s="54"/>
      <c r="L3379" s="54"/>
      <c r="M3379" s="97" t="str">
        <f t="shared" si="287"/>
        <v/>
      </c>
      <c r="N3379" s="70"/>
      <c r="O3379" s="71" t="str">
        <f t="shared" si="291"/>
        <v/>
      </c>
      <c r="P3379" s="66"/>
      <c r="Q3379" s="66"/>
      <c r="R3379" s="54"/>
      <c r="S3379" s="82"/>
      <c r="T3379" s="83" t="str">
        <f t="shared" si="288"/>
        <v/>
      </c>
      <c r="U3379" s="10"/>
      <c r="V3379" s="41">
        <f>IF(AND(Q3379&lt;&gt;"",RIGHT(Q3379,3)&lt;&gt;""),IF(COUNTIF($Q$6:Q3379,Q3379)=1,1,0),0)</f>
        <v>0</v>
      </c>
      <c r="W3379" s="41" t="str">
        <f t="shared" si="289"/>
        <v/>
      </c>
      <c r="X3379" s="41" t="str">
        <f t="shared" si="290"/>
        <v/>
      </c>
    </row>
    <row r="3380" s="32" customFormat="1" hidden="1" customHeight="1" spans="1:24">
      <c r="A3380" s="34"/>
      <c r="B3380" s="51"/>
      <c r="C3380" s="51"/>
      <c r="D3380" s="52"/>
      <c r="E3380" s="53"/>
      <c r="F3380" s="54"/>
      <c r="G3380" s="54"/>
      <c r="H3380" s="54"/>
      <c r="I3380" s="66"/>
      <c r="J3380" s="54"/>
      <c r="K3380" s="54"/>
      <c r="L3380" s="54"/>
      <c r="M3380" s="97" t="str">
        <f t="shared" si="287"/>
        <v/>
      </c>
      <c r="N3380" s="70"/>
      <c r="O3380" s="71" t="str">
        <f t="shared" si="291"/>
        <v/>
      </c>
      <c r="P3380" s="66"/>
      <c r="Q3380" s="66"/>
      <c r="R3380" s="54"/>
      <c r="S3380" s="82"/>
      <c r="T3380" s="83" t="str">
        <f t="shared" si="288"/>
        <v/>
      </c>
      <c r="U3380" s="10"/>
      <c r="V3380" s="41">
        <f>IF(AND(Q3380&lt;&gt;"",RIGHT(Q3380,3)&lt;&gt;""),IF(COUNTIF($Q$6:Q3380,Q3380)=1,1,0),0)</f>
        <v>0</v>
      </c>
      <c r="W3380" s="41" t="str">
        <f t="shared" si="289"/>
        <v/>
      </c>
      <c r="X3380" s="41" t="str">
        <f t="shared" si="290"/>
        <v/>
      </c>
    </row>
    <row r="3381" s="32" customFormat="1" hidden="1" customHeight="1" spans="1:24">
      <c r="A3381" s="34"/>
      <c r="B3381" s="51"/>
      <c r="C3381" s="51"/>
      <c r="D3381" s="52"/>
      <c r="E3381" s="53"/>
      <c r="F3381" s="54"/>
      <c r="G3381" s="54"/>
      <c r="H3381" s="54"/>
      <c r="I3381" s="66"/>
      <c r="J3381" s="54"/>
      <c r="K3381" s="54"/>
      <c r="L3381" s="54"/>
      <c r="M3381" s="97" t="str">
        <f t="shared" si="287"/>
        <v/>
      </c>
      <c r="N3381" s="70"/>
      <c r="O3381" s="71" t="str">
        <f t="shared" si="291"/>
        <v/>
      </c>
      <c r="P3381" s="66"/>
      <c r="Q3381" s="66"/>
      <c r="R3381" s="54"/>
      <c r="S3381" s="82"/>
      <c r="T3381" s="83" t="str">
        <f t="shared" si="288"/>
        <v/>
      </c>
      <c r="U3381" s="10"/>
      <c r="V3381" s="41">
        <f>IF(AND(Q3381&lt;&gt;"",RIGHT(Q3381,3)&lt;&gt;""),IF(COUNTIF($Q$6:Q3381,Q3381)=1,1,0),0)</f>
        <v>0</v>
      </c>
      <c r="W3381" s="41" t="str">
        <f t="shared" si="289"/>
        <v/>
      </c>
      <c r="X3381" s="41" t="str">
        <f t="shared" si="290"/>
        <v/>
      </c>
    </row>
    <row r="3382" s="32" customFormat="1" hidden="1" customHeight="1" spans="1:24">
      <c r="A3382" s="34"/>
      <c r="B3382" s="51"/>
      <c r="C3382" s="51"/>
      <c r="D3382" s="52"/>
      <c r="E3382" s="53"/>
      <c r="F3382" s="54"/>
      <c r="G3382" s="54"/>
      <c r="H3382" s="54"/>
      <c r="I3382" s="66"/>
      <c r="J3382" s="54"/>
      <c r="K3382" s="54"/>
      <c r="L3382" s="54"/>
      <c r="M3382" s="97" t="str">
        <f t="shared" si="287"/>
        <v/>
      </c>
      <c r="N3382" s="70"/>
      <c r="O3382" s="71" t="str">
        <f t="shared" si="291"/>
        <v/>
      </c>
      <c r="P3382" s="66"/>
      <c r="Q3382" s="66"/>
      <c r="R3382" s="54"/>
      <c r="S3382" s="82"/>
      <c r="T3382" s="83" t="str">
        <f t="shared" si="288"/>
        <v/>
      </c>
      <c r="U3382" s="10"/>
      <c r="V3382" s="41">
        <f>IF(AND(Q3382&lt;&gt;"",RIGHT(Q3382,3)&lt;&gt;""),IF(COUNTIF($Q$6:Q3382,Q3382)=1,1,0),0)</f>
        <v>0</v>
      </c>
      <c r="W3382" s="41" t="str">
        <f t="shared" si="289"/>
        <v/>
      </c>
      <c r="X3382" s="41" t="str">
        <f t="shared" si="290"/>
        <v/>
      </c>
    </row>
    <row r="3383" s="32" customFormat="1" hidden="1" customHeight="1" spans="1:24">
      <c r="A3383" s="34"/>
      <c r="B3383" s="51"/>
      <c r="C3383" s="51"/>
      <c r="D3383" s="52"/>
      <c r="E3383" s="53"/>
      <c r="F3383" s="54"/>
      <c r="G3383" s="54"/>
      <c r="H3383" s="54"/>
      <c r="I3383" s="66"/>
      <c r="J3383" s="54"/>
      <c r="K3383" s="54"/>
      <c r="L3383" s="54"/>
      <c r="M3383" s="97" t="str">
        <f t="shared" si="287"/>
        <v/>
      </c>
      <c r="N3383" s="70"/>
      <c r="O3383" s="71" t="str">
        <f t="shared" si="291"/>
        <v/>
      </c>
      <c r="P3383" s="66"/>
      <c r="Q3383" s="66"/>
      <c r="R3383" s="54"/>
      <c r="S3383" s="82"/>
      <c r="T3383" s="83" t="str">
        <f t="shared" si="288"/>
        <v/>
      </c>
      <c r="U3383" s="10"/>
      <c r="V3383" s="41">
        <f>IF(AND(Q3383&lt;&gt;"",RIGHT(Q3383,3)&lt;&gt;""),IF(COUNTIF($Q$6:Q3383,Q3383)=1,1,0),0)</f>
        <v>0</v>
      </c>
      <c r="W3383" s="41" t="str">
        <f t="shared" si="289"/>
        <v/>
      </c>
      <c r="X3383" s="41" t="str">
        <f t="shared" si="290"/>
        <v/>
      </c>
    </row>
    <row r="3384" s="32" customFormat="1" hidden="1" customHeight="1" spans="1:24">
      <c r="A3384" s="34"/>
      <c r="B3384" s="51"/>
      <c r="C3384" s="51"/>
      <c r="D3384" s="52"/>
      <c r="E3384" s="53"/>
      <c r="F3384" s="54"/>
      <c r="G3384" s="54"/>
      <c r="H3384" s="54"/>
      <c r="I3384" s="66"/>
      <c r="J3384" s="54"/>
      <c r="K3384" s="54"/>
      <c r="L3384" s="54"/>
      <c r="M3384" s="97" t="str">
        <f t="shared" si="287"/>
        <v/>
      </c>
      <c r="N3384" s="70"/>
      <c r="O3384" s="71" t="str">
        <f t="shared" si="291"/>
        <v/>
      </c>
      <c r="P3384" s="66"/>
      <c r="Q3384" s="66"/>
      <c r="R3384" s="54"/>
      <c r="S3384" s="82"/>
      <c r="T3384" s="83" t="str">
        <f t="shared" si="288"/>
        <v/>
      </c>
      <c r="U3384" s="10"/>
      <c r="V3384" s="41">
        <f>IF(AND(Q3384&lt;&gt;"",RIGHT(Q3384,3)&lt;&gt;""),IF(COUNTIF($Q$6:Q3384,Q3384)=1,1,0),0)</f>
        <v>0</v>
      </c>
      <c r="W3384" s="41" t="str">
        <f t="shared" si="289"/>
        <v/>
      </c>
      <c r="X3384" s="41" t="str">
        <f t="shared" si="290"/>
        <v/>
      </c>
    </row>
    <row r="3385" s="32" customFormat="1" hidden="1" customHeight="1" spans="1:24">
      <c r="A3385" s="34"/>
      <c r="B3385" s="51"/>
      <c r="C3385" s="51"/>
      <c r="D3385" s="52"/>
      <c r="E3385" s="53"/>
      <c r="F3385" s="54"/>
      <c r="G3385" s="54"/>
      <c r="H3385" s="54"/>
      <c r="I3385" s="66"/>
      <c r="J3385" s="54"/>
      <c r="K3385" s="54"/>
      <c r="L3385" s="54"/>
      <c r="M3385" s="97" t="str">
        <f t="shared" si="287"/>
        <v/>
      </c>
      <c r="N3385" s="70"/>
      <c r="O3385" s="71" t="str">
        <f t="shared" si="291"/>
        <v/>
      </c>
      <c r="P3385" s="66"/>
      <c r="Q3385" s="66"/>
      <c r="R3385" s="54"/>
      <c r="S3385" s="82"/>
      <c r="T3385" s="83" t="str">
        <f t="shared" si="288"/>
        <v/>
      </c>
      <c r="U3385" s="10"/>
      <c r="V3385" s="41">
        <f>IF(AND(Q3385&lt;&gt;"",RIGHT(Q3385,3)&lt;&gt;""),IF(COUNTIF($Q$6:Q3385,Q3385)=1,1,0),0)</f>
        <v>0</v>
      </c>
      <c r="W3385" s="41" t="str">
        <f t="shared" si="289"/>
        <v/>
      </c>
      <c r="X3385" s="41" t="str">
        <f t="shared" si="290"/>
        <v/>
      </c>
    </row>
    <row r="3386" s="32" customFormat="1" hidden="1" customHeight="1" spans="1:24">
      <c r="A3386" s="34"/>
      <c r="B3386" s="51"/>
      <c r="C3386" s="51"/>
      <c r="D3386" s="52"/>
      <c r="E3386" s="53"/>
      <c r="F3386" s="54"/>
      <c r="G3386" s="54"/>
      <c r="H3386" s="54"/>
      <c r="I3386" s="66"/>
      <c r="J3386" s="54"/>
      <c r="K3386" s="54"/>
      <c r="L3386" s="54"/>
      <c r="M3386" s="97" t="str">
        <f t="shared" si="287"/>
        <v/>
      </c>
      <c r="N3386" s="70"/>
      <c r="O3386" s="71" t="str">
        <f t="shared" si="291"/>
        <v/>
      </c>
      <c r="P3386" s="66"/>
      <c r="Q3386" s="66"/>
      <c r="R3386" s="54"/>
      <c r="S3386" s="82"/>
      <c r="T3386" s="83" t="str">
        <f t="shared" si="288"/>
        <v/>
      </c>
      <c r="U3386" s="10"/>
      <c r="V3386" s="41">
        <f>IF(AND(Q3386&lt;&gt;"",RIGHT(Q3386,3)&lt;&gt;""),IF(COUNTIF($Q$6:Q3386,Q3386)=1,1,0),0)</f>
        <v>0</v>
      </c>
      <c r="W3386" s="41" t="str">
        <f t="shared" si="289"/>
        <v/>
      </c>
      <c r="X3386" s="41" t="str">
        <f t="shared" si="290"/>
        <v/>
      </c>
    </row>
    <row r="3387" s="32" customFormat="1" hidden="1" customHeight="1" spans="1:24">
      <c r="A3387" s="34"/>
      <c r="B3387" s="51"/>
      <c r="C3387" s="51"/>
      <c r="D3387" s="52"/>
      <c r="E3387" s="53"/>
      <c r="F3387" s="54"/>
      <c r="G3387" s="54"/>
      <c r="H3387" s="54"/>
      <c r="I3387" s="66"/>
      <c r="J3387" s="54"/>
      <c r="K3387" s="54"/>
      <c r="L3387" s="54"/>
      <c r="M3387" s="97" t="str">
        <f t="shared" si="287"/>
        <v/>
      </c>
      <c r="N3387" s="70"/>
      <c r="O3387" s="71" t="str">
        <f t="shared" si="291"/>
        <v/>
      </c>
      <c r="P3387" s="66"/>
      <c r="Q3387" s="66"/>
      <c r="R3387" s="54"/>
      <c r="S3387" s="82"/>
      <c r="T3387" s="83" t="str">
        <f t="shared" si="288"/>
        <v/>
      </c>
      <c r="U3387" s="10"/>
      <c r="V3387" s="41">
        <f>IF(AND(Q3387&lt;&gt;"",RIGHT(Q3387,3)&lt;&gt;""),IF(COUNTIF($Q$6:Q3387,Q3387)=1,1,0),0)</f>
        <v>0</v>
      </c>
      <c r="W3387" s="41" t="str">
        <f t="shared" si="289"/>
        <v/>
      </c>
      <c r="X3387" s="41" t="str">
        <f t="shared" si="290"/>
        <v/>
      </c>
    </row>
    <row r="3388" s="32" customFormat="1" hidden="1" customHeight="1" spans="1:24">
      <c r="A3388" s="34"/>
      <c r="B3388" s="51"/>
      <c r="C3388" s="51"/>
      <c r="D3388" s="52"/>
      <c r="E3388" s="53"/>
      <c r="F3388" s="54"/>
      <c r="G3388" s="54"/>
      <c r="H3388" s="54"/>
      <c r="I3388" s="66"/>
      <c r="J3388" s="54"/>
      <c r="K3388" s="54"/>
      <c r="L3388" s="54"/>
      <c r="M3388" s="97" t="str">
        <f t="shared" si="287"/>
        <v/>
      </c>
      <c r="N3388" s="70"/>
      <c r="O3388" s="71" t="str">
        <f t="shared" si="291"/>
        <v/>
      </c>
      <c r="P3388" s="66"/>
      <c r="Q3388" s="66"/>
      <c r="R3388" s="54"/>
      <c r="S3388" s="82"/>
      <c r="T3388" s="83" t="str">
        <f t="shared" si="288"/>
        <v/>
      </c>
      <c r="U3388" s="10"/>
      <c r="V3388" s="41">
        <f>IF(AND(Q3388&lt;&gt;"",RIGHT(Q3388,3)&lt;&gt;""),IF(COUNTIF($Q$6:Q3388,Q3388)=1,1,0),0)</f>
        <v>0</v>
      </c>
      <c r="W3388" s="41" t="str">
        <f t="shared" si="289"/>
        <v/>
      </c>
      <c r="X3388" s="41" t="str">
        <f t="shared" si="290"/>
        <v/>
      </c>
    </row>
    <row r="3389" s="32" customFormat="1" hidden="1" customHeight="1" spans="1:24">
      <c r="A3389" s="34"/>
      <c r="B3389" s="51"/>
      <c r="C3389" s="51"/>
      <c r="D3389" s="52"/>
      <c r="E3389" s="53"/>
      <c r="F3389" s="54"/>
      <c r="G3389" s="54"/>
      <c r="H3389" s="54"/>
      <c r="I3389" s="66"/>
      <c r="J3389" s="54"/>
      <c r="K3389" s="54"/>
      <c r="L3389" s="54"/>
      <c r="M3389" s="97" t="str">
        <f t="shared" si="287"/>
        <v/>
      </c>
      <c r="N3389" s="70"/>
      <c r="O3389" s="71" t="str">
        <f t="shared" si="291"/>
        <v/>
      </c>
      <c r="P3389" s="66"/>
      <c r="Q3389" s="66"/>
      <c r="R3389" s="54"/>
      <c r="S3389" s="82"/>
      <c r="T3389" s="83" t="str">
        <f t="shared" si="288"/>
        <v/>
      </c>
      <c r="U3389" s="10"/>
      <c r="V3389" s="41">
        <f>IF(AND(Q3389&lt;&gt;"",RIGHT(Q3389,3)&lt;&gt;""),IF(COUNTIF($Q$6:Q3389,Q3389)=1,1,0),0)</f>
        <v>0</v>
      </c>
      <c r="W3389" s="41" t="str">
        <f t="shared" si="289"/>
        <v/>
      </c>
      <c r="X3389" s="41" t="str">
        <f t="shared" si="290"/>
        <v/>
      </c>
    </row>
    <row r="3390" s="32" customFormat="1" hidden="1" customHeight="1" spans="1:24">
      <c r="A3390" s="34"/>
      <c r="B3390" s="51"/>
      <c r="C3390" s="51"/>
      <c r="D3390" s="52"/>
      <c r="E3390" s="53"/>
      <c r="F3390" s="54"/>
      <c r="G3390" s="54"/>
      <c r="H3390" s="54"/>
      <c r="I3390" s="66"/>
      <c r="J3390" s="54"/>
      <c r="K3390" s="54"/>
      <c r="L3390" s="54"/>
      <c r="M3390" s="97" t="str">
        <f t="shared" si="287"/>
        <v/>
      </c>
      <c r="N3390" s="70"/>
      <c r="O3390" s="71" t="str">
        <f t="shared" si="291"/>
        <v/>
      </c>
      <c r="P3390" s="66"/>
      <c r="Q3390" s="66"/>
      <c r="R3390" s="54"/>
      <c r="S3390" s="82"/>
      <c r="T3390" s="83" t="str">
        <f t="shared" si="288"/>
        <v/>
      </c>
      <c r="U3390" s="10"/>
      <c r="V3390" s="41">
        <f>IF(AND(Q3390&lt;&gt;"",RIGHT(Q3390,3)&lt;&gt;""),IF(COUNTIF($Q$6:Q3390,Q3390)=1,1,0),0)</f>
        <v>0</v>
      </c>
      <c r="W3390" s="41" t="str">
        <f t="shared" si="289"/>
        <v/>
      </c>
      <c r="X3390" s="41" t="str">
        <f t="shared" si="290"/>
        <v/>
      </c>
    </row>
    <row r="3391" s="32" customFormat="1" hidden="1" customHeight="1" spans="1:24">
      <c r="A3391" s="34"/>
      <c r="B3391" s="51"/>
      <c r="C3391" s="51"/>
      <c r="D3391" s="52"/>
      <c r="E3391" s="53"/>
      <c r="F3391" s="54"/>
      <c r="G3391" s="54"/>
      <c r="H3391" s="54"/>
      <c r="I3391" s="66"/>
      <c r="J3391" s="54"/>
      <c r="K3391" s="54"/>
      <c r="L3391" s="54"/>
      <c r="M3391" s="97" t="str">
        <f t="shared" si="287"/>
        <v/>
      </c>
      <c r="N3391" s="70"/>
      <c r="O3391" s="71" t="str">
        <f t="shared" si="291"/>
        <v/>
      </c>
      <c r="P3391" s="66"/>
      <c r="Q3391" s="66"/>
      <c r="R3391" s="54"/>
      <c r="S3391" s="82"/>
      <c r="T3391" s="83" t="str">
        <f t="shared" si="288"/>
        <v/>
      </c>
      <c r="U3391" s="10"/>
      <c r="V3391" s="41">
        <f>IF(AND(Q3391&lt;&gt;"",RIGHT(Q3391,3)&lt;&gt;""),IF(COUNTIF($Q$6:Q3391,Q3391)=1,1,0),0)</f>
        <v>0</v>
      </c>
      <c r="W3391" s="41" t="str">
        <f t="shared" si="289"/>
        <v/>
      </c>
      <c r="X3391" s="41" t="str">
        <f t="shared" si="290"/>
        <v/>
      </c>
    </row>
    <row r="3392" s="32" customFormat="1" hidden="1" customHeight="1" spans="1:24">
      <c r="A3392" s="34"/>
      <c r="B3392" s="51"/>
      <c r="C3392" s="51"/>
      <c r="D3392" s="52"/>
      <c r="E3392" s="53"/>
      <c r="F3392" s="54"/>
      <c r="G3392" s="54"/>
      <c r="H3392" s="54"/>
      <c r="I3392" s="66"/>
      <c r="J3392" s="54"/>
      <c r="K3392" s="54"/>
      <c r="L3392" s="54"/>
      <c r="M3392" s="97" t="str">
        <f t="shared" si="287"/>
        <v/>
      </c>
      <c r="N3392" s="70"/>
      <c r="O3392" s="71" t="str">
        <f t="shared" si="291"/>
        <v/>
      </c>
      <c r="P3392" s="66"/>
      <c r="Q3392" s="66"/>
      <c r="R3392" s="54"/>
      <c r="S3392" s="82"/>
      <c r="T3392" s="83" t="str">
        <f t="shared" si="288"/>
        <v/>
      </c>
      <c r="U3392" s="10"/>
      <c r="V3392" s="41">
        <f>IF(AND(Q3392&lt;&gt;"",RIGHT(Q3392,3)&lt;&gt;""),IF(COUNTIF($Q$6:Q3392,Q3392)=1,1,0),0)</f>
        <v>0</v>
      </c>
      <c r="W3392" s="41" t="str">
        <f t="shared" si="289"/>
        <v/>
      </c>
      <c r="X3392" s="41" t="str">
        <f t="shared" si="290"/>
        <v/>
      </c>
    </row>
    <row r="3393" s="32" customFormat="1" hidden="1" customHeight="1" spans="1:24">
      <c r="A3393" s="34"/>
      <c r="B3393" s="51"/>
      <c r="C3393" s="51"/>
      <c r="D3393" s="52"/>
      <c r="E3393" s="53"/>
      <c r="F3393" s="54"/>
      <c r="G3393" s="54"/>
      <c r="H3393" s="54"/>
      <c r="I3393" s="66"/>
      <c r="J3393" s="54"/>
      <c r="K3393" s="54"/>
      <c r="L3393" s="54"/>
      <c r="M3393" s="97" t="str">
        <f t="shared" si="287"/>
        <v/>
      </c>
      <c r="N3393" s="70"/>
      <c r="O3393" s="71" t="str">
        <f t="shared" si="291"/>
        <v/>
      </c>
      <c r="P3393" s="66"/>
      <c r="Q3393" s="66"/>
      <c r="R3393" s="54"/>
      <c r="S3393" s="82"/>
      <c r="T3393" s="83" t="str">
        <f t="shared" si="288"/>
        <v/>
      </c>
      <c r="U3393" s="10"/>
      <c r="V3393" s="41">
        <f>IF(AND(Q3393&lt;&gt;"",RIGHT(Q3393,3)&lt;&gt;""),IF(COUNTIF($Q$6:Q3393,Q3393)=1,1,0),0)</f>
        <v>0</v>
      </c>
      <c r="W3393" s="41" t="str">
        <f t="shared" si="289"/>
        <v/>
      </c>
      <c r="X3393" s="41" t="str">
        <f t="shared" si="290"/>
        <v/>
      </c>
    </row>
    <row r="3394" s="32" customFormat="1" hidden="1" customHeight="1" spans="1:24">
      <c r="A3394" s="34"/>
      <c r="B3394" s="51"/>
      <c r="C3394" s="51"/>
      <c r="D3394" s="52"/>
      <c r="E3394" s="53"/>
      <c r="F3394" s="54"/>
      <c r="G3394" s="54"/>
      <c r="H3394" s="54"/>
      <c r="I3394" s="66"/>
      <c r="J3394" s="54"/>
      <c r="K3394" s="54"/>
      <c r="L3394" s="54"/>
      <c r="M3394" s="97" t="str">
        <f t="shared" si="287"/>
        <v/>
      </c>
      <c r="N3394" s="70"/>
      <c r="O3394" s="71" t="str">
        <f t="shared" si="291"/>
        <v/>
      </c>
      <c r="P3394" s="66"/>
      <c r="Q3394" s="66"/>
      <c r="R3394" s="54"/>
      <c r="S3394" s="82"/>
      <c r="T3394" s="83" t="str">
        <f t="shared" si="288"/>
        <v/>
      </c>
      <c r="U3394" s="10"/>
      <c r="V3394" s="41">
        <f>IF(AND(Q3394&lt;&gt;"",RIGHT(Q3394,3)&lt;&gt;""),IF(COUNTIF($Q$6:Q3394,Q3394)=1,1,0),0)</f>
        <v>0</v>
      </c>
      <c r="W3394" s="41" t="str">
        <f t="shared" si="289"/>
        <v/>
      </c>
      <c r="X3394" s="41" t="str">
        <f t="shared" si="290"/>
        <v/>
      </c>
    </row>
    <row r="3395" s="32" customFormat="1" hidden="1" customHeight="1" spans="1:24">
      <c r="A3395" s="34"/>
      <c r="B3395" s="51"/>
      <c r="C3395" s="51"/>
      <c r="D3395" s="52"/>
      <c r="E3395" s="53"/>
      <c r="F3395" s="54"/>
      <c r="G3395" s="54"/>
      <c r="H3395" s="54"/>
      <c r="I3395" s="66"/>
      <c r="J3395" s="54"/>
      <c r="K3395" s="54"/>
      <c r="L3395" s="54"/>
      <c r="M3395" s="97" t="str">
        <f t="shared" si="287"/>
        <v/>
      </c>
      <c r="N3395" s="70"/>
      <c r="O3395" s="71" t="str">
        <f t="shared" si="291"/>
        <v/>
      </c>
      <c r="P3395" s="66"/>
      <c r="Q3395" s="66"/>
      <c r="R3395" s="54"/>
      <c r="S3395" s="82"/>
      <c r="T3395" s="83" t="str">
        <f t="shared" si="288"/>
        <v/>
      </c>
      <c r="U3395" s="10"/>
      <c r="V3395" s="41">
        <f>IF(AND(Q3395&lt;&gt;"",RIGHT(Q3395,3)&lt;&gt;""),IF(COUNTIF($Q$6:Q3395,Q3395)=1,1,0),0)</f>
        <v>0</v>
      </c>
      <c r="W3395" s="41" t="str">
        <f t="shared" si="289"/>
        <v/>
      </c>
      <c r="X3395" s="41" t="str">
        <f t="shared" si="290"/>
        <v/>
      </c>
    </row>
    <row r="3396" s="32" customFormat="1" hidden="1" customHeight="1" spans="1:24">
      <c r="A3396" s="34"/>
      <c r="B3396" s="51"/>
      <c r="C3396" s="51"/>
      <c r="D3396" s="52"/>
      <c r="E3396" s="53"/>
      <c r="F3396" s="54"/>
      <c r="G3396" s="54"/>
      <c r="H3396" s="54"/>
      <c r="I3396" s="66"/>
      <c r="J3396" s="54"/>
      <c r="K3396" s="54"/>
      <c r="L3396" s="54"/>
      <c r="M3396" s="97" t="str">
        <f t="shared" si="287"/>
        <v/>
      </c>
      <c r="N3396" s="70"/>
      <c r="O3396" s="71" t="str">
        <f t="shared" si="291"/>
        <v/>
      </c>
      <c r="P3396" s="66"/>
      <c r="Q3396" s="66"/>
      <c r="R3396" s="54"/>
      <c r="S3396" s="82"/>
      <c r="T3396" s="83" t="str">
        <f t="shared" si="288"/>
        <v/>
      </c>
      <c r="U3396" s="10"/>
      <c r="V3396" s="41">
        <f>IF(AND(Q3396&lt;&gt;"",RIGHT(Q3396,3)&lt;&gt;""),IF(COUNTIF($Q$6:Q3396,Q3396)=1,1,0),0)</f>
        <v>0</v>
      </c>
      <c r="W3396" s="41" t="str">
        <f t="shared" si="289"/>
        <v/>
      </c>
      <c r="X3396" s="41" t="str">
        <f t="shared" si="290"/>
        <v/>
      </c>
    </row>
    <row r="3397" s="32" customFormat="1" hidden="1" customHeight="1" spans="1:24">
      <c r="A3397" s="34"/>
      <c r="B3397" s="51"/>
      <c r="C3397" s="51"/>
      <c r="D3397" s="52"/>
      <c r="E3397" s="53"/>
      <c r="F3397" s="54"/>
      <c r="G3397" s="54"/>
      <c r="H3397" s="54"/>
      <c r="I3397" s="66"/>
      <c r="J3397" s="54"/>
      <c r="K3397" s="54"/>
      <c r="L3397" s="54"/>
      <c r="M3397" s="97" t="str">
        <f t="shared" si="287"/>
        <v/>
      </c>
      <c r="N3397" s="70"/>
      <c r="O3397" s="71" t="str">
        <f t="shared" si="291"/>
        <v/>
      </c>
      <c r="P3397" s="66"/>
      <c r="Q3397" s="66"/>
      <c r="R3397" s="54"/>
      <c r="S3397" s="82"/>
      <c r="T3397" s="83" t="str">
        <f t="shared" si="288"/>
        <v/>
      </c>
      <c r="U3397" s="10"/>
      <c r="V3397" s="41">
        <f>IF(AND(Q3397&lt;&gt;"",RIGHT(Q3397,3)&lt;&gt;""),IF(COUNTIF($Q$6:Q3397,Q3397)=1,1,0),0)</f>
        <v>0</v>
      </c>
      <c r="W3397" s="41" t="str">
        <f t="shared" si="289"/>
        <v/>
      </c>
      <c r="X3397" s="41" t="str">
        <f t="shared" si="290"/>
        <v/>
      </c>
    </row>
    <row r="3398" s="32" customFormat="1" hidden="1" customHeight="1" spans="1:24">
      <c r="A3398" s="34"/>
      <c r="B3398" s="51"/>
      <c r="C3398" s="51"/>
      <c r="D3398" s="52"/>
      <c r="E3398" s="53"/>
      <c r="F3398" s="54"/>
      <c r="G3398" s="54"/>
      <c r="H3398" s="54"/>
      <c r="I3398" s="66"/>
      <c r="J3398" s="54"/>
      <c r="K3398" s="54"/>
      <c r="L3398" s="54"/>
      <c r="M3398" s="97" t="str">
        <f t="shared" si="287"/>
        <v/>
      </c>
      <c r="N3398" s="70"/>
      <c r="O3398" s="71" t="str">
        <f t="shared" si="291"/>
        <v/>
      </c>
      <c r="P3398" s="66"/>
      <c r="Q3398" s="66"/>
      <c r="R3398" s="54"/>
      <c r="S3398" s="82"/>
      <c r="T3398" s="83" t="str">
        <f t="shared" si="288"/>
        <v/>
      </c>
      <c r="U3398" s="10"/>
      <c r="V3398" s="41">
        <f>IF(AND(Q3398&lt;&gt;"",RIGHT(Q3398,3)&lt;&gt;""),IF(COUNTIF($Q$6:Q3398,Q3398)=1,1,0),0)</f>
        <v>0</v>
      </c>
      <c r="W3398" s="41" t="str">
        <f t="shared" si="289"/>
        <v/>
      </c>
      <c r="X3398" s="41" t="str">
        <f t="shared" si="290"/>
        <v/>
      </c>
    </row>
    <row r="3399" s="32" customFormat="1" hidden="1" customHeight="1" spans="1:24">
      <c r="A3399" s="34"/>
      <c r="B3399" s="51"/>
      <c r="C3399" s="51"/>
      <c r="D3399" s="52"/>
      <c r="E3399" s="53"/>
      <c r="F3399" s="54"/>
      <c r="G3399" s="54"/>
      <c r="H3399" s="54"/>
      <c r="I3399" s="66"/>
      <c r="J3399" s="54"/>
      <c r="K3399" s="54"/>
      <c r="L3399" s="54"/>
      <c r="M3399" s="97" t="str">
        <f t="shared" si="287"/>
        <v/>
      </c>
      <c r="N3399" s="70"/>
      <c r="O3399" s="71" t="str">
        <f t="shared" si="291"/>
        <v/>
      </c>
      <c r="P3399" s="66"/>
      <c r="Q3399" s="66"/>
      <c r="R3399" s="54"/>
      <c r="S3399" s="82"/>
      <c r="T3399" s="83" t="str">
        <f t="shared" si="288"/>
        <v/>
      </c>
      <c r="U3399" s="10"/>
      <c r="V3399" s="41">
        <f>IF(AND(Q3399&lt;&gt;"",RIGHT(Q3399,3)&lt;&gt;""),IF(COUNTIF($Q$6:Q3399,Q3399)=1,1,0),0)</f>
        <v>0</v>
      </c>
      <c r="W3399" s="41" t="str">
        <f t="shared" si="289"/>
        <v/>
      </c>
      <c r="X3399" s="41" t="str">
        <f t="shared" si="290"/>
        <v/>
      </c>
    </row>
    <row r="3400" s="32" customFormat="1" hidden="1" customHeight="1" spans="1:24">
      <c r="A3400" s="34"/>
      <c r="B3400" s="51"/>
      <c r="C3400" s="51"/>
      <c r="D3400" s="52"/>
      <c r="E3400" s="53"/>
      <c r="F3400" s="54"/>
      <c r="G3400" s="54"/>
      <c r="H3400" s="54"/>
      <c r="I3400" s="66"/>
      <c r="J3400" s="54"/>
      <c r="K3400" s="54"/>
      <c r="L3400" s="54"/>
      <c r="M3400" s="97" t="str">
        <f t="shared" si="287"/>
        <v/>
      </c>
      <c r="N3400" s="70"/>
      <c r="O3400" s="71" t="str">
        <f t="shared" si="291"/>
        <v/>
      </c>
      <c r="P3400" s="66"/>
      <c r="Q3400" s="66"/>
      <c r="R3400" s="54"/>
      <c r="S3400" s="82"/>
      <c r="T3400" s="83" t="str">
        <f t="shared" si="288"/>
        <v/>
      </c>
      <c r="U3400" s="10"/>
      <c r="V3400" s="41">
        <f>IF(AND(Q3400&lt;&gt;"",RIGHT(Q3400,3)&lt;&gt;""),IF(COUNTIF($Q$6:Q3400,Q3400)=1,1,0),0)</f>
        <v>0</v>
      </c>
      <c r="W3400" s="41" t="str">
        <f t="shared" si="289"/>
        <v/>
      </c>
      <c r="X3400" s="41" t="str">
        <f t="shared" si="290"/>
        <v/>
      </c>
    </row>
    <row r="3401" s="32" customFormat="1" hidden="1" customHeight="1" spans="1:24">
      <c r="A3401" s="34"/>
      <c r="B3401" s="51"/>
      <c r="C3401" s="51"/>
      <c r="D3401" s="52"/>
      <c r="E3401" s="53"/>
      <c r="F3401" s="54"/>
      <c r="G3401" s="54"/>
      <c r="H3401" s="54"/>
      <c r="I3401" s="66"/>
      <c r="J3401" s="54"/>
      <c r="K3401" s="54"/>
      <c r="L3401" s="54"/>
      <c r="M3401" s="97" t="str">
        <f t="shared" si="287"/>
        <v/>
      </c>
      <c r="N3401" s="70"/>
      <c r="O3401" s="71" t="str">
        <f t="shared" si="291"/>
        <v/>
      </c>
      <c r="P3401" s="66"/>
      <c r="Q3401" s="66"/>
      <c r="R3401" s="54"/>
      <c r="S3401" s="82"/>
      <c r="T3401" s="83" t="str">
        <f t="shared" si="288"/>
        <v/>
      </c>
      <c r="U3401" s="10"/>
      <c r="V3401" s="41">
        <f>IF(AND(Q3401&lt;&gt;"",RIGHT(Q3401,3)&lt;&gt;""),IF(COUNTIF($Q$6:Q3401,Q3401)=1,1,0),0)</f>
        <v>0</v>
      </c>
      <c r="W3401" s="41" t="str">
        <f t="shared" si="289"/>
        <v/>
      </c>
      <c r="X3401" s="41" t="str">
        <f t="shared" si="290"/>
        <v/>
      </c>
    </row>
    <row r="3402" s="32" customFormat="1" hidden="1" customHeight="1" spans="1:24">
      <c r="A3402" s="34"/>
      <c r="B3402" s="51"/>
      <c r="C3402" s="51"/>
      <c r="D3402" s="52"/>
      <c r="E3402" s="53"/>
      <c r="F3402" s="54"/>
      <c r="G3402" s="54"/>
      <c r="H3402" s="54"/>
      <c r="I3402" s="66"/>
      <c r="J3402" s="54"/>
      <c r="K3402" s="54"/>
      <c r="L3402" s="54"/>
      <c r="M3402" s="97" t="str">
        <f t="shared" si="287"/>
        <v/>
      </c>
      <c r="N3402" s="70"/>
      <c r="O3402" s="71" t="str">
        <f t="shared" si="291"/>
        <v/>
      </c>
      <c r="P3402" s="66"/>
      <c r="Q3402" s="66"/>
      <c r="R3402" s="54"/>
      <c r="S3402" s="82"/>
      <c r="T3402" s="83" t="str">
        <f t="shared" si="288"/>
        <v/>
      </c>
      <c r="U3402" s="10"/>
      <c r="V3402" s="41">
        <f>IF(AND(Q3402&lt;&gt;"",RIGHT(Q3402,3)&lt;&gt;""),IF(COUNTIF($Q$6:Q3402,Q3402)=1,1,0),0)</f>
        <v>0</v>
      </c>
      <c r="W3402" s="41" t="str">
        <f t="shared" si="289"/>
        <v/>
      </c>
      <c r="X3402" s="41" t="str">
        <f t="shared" si="290"/>
        <v/>
      </c>
    </row>
    <row r="3403" s="32" customFormat="1" hidden="1" customHeight="1" spans="1:24">
      <c r="A3403" s="34"/>
      <c r="B3403" s="51"/>
      <c r="C3403" s="51"/>
      <c r="D3403" s="52"/>
      <c r="E3403" s="53"/>
      <c r="F3403" s="54"/>
      <c r="G3403" s="54"/>
      <c r="H3403" s="54"/>
      <c r="I3403" s="66"/>
      <c r="J3403" s="54"/>
      <c r="K3403" s="54"/>
      <c r="L3403" s="54"/>
      <c r="M3403" s="97" t="str">
        <f t="shared" si="287"/>
        <v/>
      </c>
      <c r="N3403" s="70"/>
      <c r="O3403" s="71" t="str">
        <f t="shared" si="291"/>
        <v/>
      </c>
      <c r="P3403" s="66"/>
      <c r="Q3403" s="66"/>
      <c r="R3403" s="54"/>
      <c r="S3403" s="82"/>
      <c r="T3403" s="83" t="str">
        <f t="shared" si="288"/>
        <v/>
      </c>
      <c r="U3403" s="10"/>
      <c r="V3403" s="41">
        <f>IF(AND(Q3403&lt;&gt;"",RIGHT(Q3403,3)&lt;&gt;""),IF(COUNTIF($Q$6:Q3403,Q3403)=1,1,0),0)</f>
        <v>0</v>
      </c>
      <c r="W3403" s="41" t="str">
        <f t="shared" si="289"/>
        <v/>
      </c>
      <c r="X3403" s="41" t="str">
        <f t="shared" si="290"/>
        <v/>
      </c>
    </row>
    <row r="3404" s="32" customFormat="1" hidden="1" customHeight="1" spans="1:24">
      <c r="A3404" s="34"/>
      <c r="B3404" s="51"/>
      <c r="C3404" s="51"/>
      <c r="D3404" s="52"/>
      <c r="E3404" s="53"/>
      <c r="F3404" s="54"/>
      <c r="G3404" s="54"/>
      <c r="H3404" s="54"/>
      <c r="I3404" s="66"/>
      <c r="J3404" s="54"/>
      <c r="K3404" s="54"/>
      <c r="L3404" s="54"/>
      <c r="M3404" s="97" t="str">
        <f t="shared" si="287"/>
        <v/>
      </c>
      <c r="N3404" s="70"/>
      <c r="O3404" s="71" t="str">
        <f t="shared" si="291"/>
        <v/>
      </c>
      <c r="P3404" s="66"/>
      <c r="Q3404" s="66"/>
      <c r="R3404" s="54"/>
      <c r="S3404" s="82"/>
      <c r="T3404" s="83" t="str">
        <f t="shared" si="288"/>
        <v/>
      </c>
      <c r="U3404" s="10"/>
      <c r="V3404" s="41">
        <f>IF(AND(Q3404&lt;&gt;"",RIGHT(Q3404,3)&lt;&gt;""),IF(COUNTIF($Q$6:Q3404,Q3404)=1,1,0),0)</f>
        <v>0</v>
      </c>
      <c r="W3404" s="41" t="str">
        <f t="shared" si="289"/>
        <v/>
      </c>
      <c r="X3404" s="41" t="str">
        <f t="shared" si="290"/>
        <v/>
      </c>
    </row>
    <row r="3405" s="32" customFormat="1" hidden="1" customHeight="1" spans="1:24">
      <c r="A3405" s="34"/>
      <c r="B3405" s="51"/>
      <c r="C3405" s="51"/>
      <c r="D3405" s="52"/>
      <c r="E3405" s="53"/>
      <c r="F3405" s="54"/>
      <c r="G3405" s="54"/>
      <c r="H3405" s="54"/>
      <c r="I3405" s="66"/>
      <c r="J3405" s="54"/>
      <c r="K3405" s="54"/>
      <c r="L3405" s="54"/>
      <c r="M3405" s="97" t="str">
        <f t="shared" si="287"/>
        <v/>
      </c>
      <c r="N3405" s="70"/>
      <c r="O3405" s="71" t="str">
        <f t="shared" si="291"/>
        <v/>
      </c>
      <c r="P3405" s="66"/>
      <c r="Q3405" s="66"/>
      <c r="R3405" s="54"/>
      <c r="S3405" s="82"/>
      <c r="T3405" s="83" t="str">
        <f t="shared" si="288"/>
        <v/>
      </c>
      <c r="U3405" s="10"/>
      <c r="V3405" s="41">
        <f>IF(AND(Q3405&lt;&gt;"",RIGHT(Q3405,3)&lt;&gt;""),IF(COUNTIF($Q$6:Q3405,Q3405)=1,1,0),0)</f>
        <v>0</v>
      </c>
      <c r="W3405" s="41" t="str">
        <f t="shared" si="289"/>
        <v/>
      </c>
      <c r="X3405" s="41" t="str">
        <f t="shared" si="290"/>
        <v/>
      </c>
    </row>
    <row r="3406" s="32" customFormat="1" hidden="1" customHeight="1" spans="1:24">
      <c r="A3406" s="34"/>
      <c r="B3406" s="51"/>
      <c r="C3406" s="51"/>
      <c r="D3406" s="52"/>
      <c r="E3406" s="53"/>
      <c r="F3406" s="54"/>
      <c r="G3406" s="54"/>
      <c r="H3406" s="54"/>
      <c r="I3406" s="66"/>
      <c r="J3406" s="54"/>
      <c r="K3406" s="54"/>
      <c r="L3406" s="54"/>
      <c r="M3406" s="97" t="str">
        <f t="shared" si="287"/>
        <v/>
      </c>
      <c r="N3406" s="70"/>
      <c r="O3406" s="71" t="str">
        <f t="shared" si="291"/>
        <v/>
      </c>
      <c r="P3406" s="66"/>
      <c r="Q3406" s="66"/>
      <c r="R3406" s="54"/>
      <c r="S3406" s="82"/>
      <c r="T3406" s="83" t="str">
        <f t="shared" si="288"/>
        <v/>
      </c>
      <c r="U3406" s="10"/>
      <c r="V3406" s="41">
        <f>IF(AND(Q3406&lt;&gt;"",RIGHT(Q3406,3)&lt;&gt;""),IF(COUNTIF($Q$6:Q3406,Q3406)=1,1,0),0)</f>
        <v>0</v>
      </c>
      <c r="W3406" s="41" t="str">
        <f t="shared" si="289"/>
        <v/>
      </c>
      <c r="X3406" s="41" t="str">
        <f t="shared" si="290"/>
        <v/>
      </c>
    </row>
    <row r="3407" s="32" customFormat="1" hidden="1" customHeight="1" spans="1:24">
      <c r="A3407" s="34"/>
      <c r="B3407" s="51"/>
      <c r="C3407" s="51"/>
      <c r="D3407" s="52"/>
      <c r="E3407" s="53"/>
      <c r="F3407" s="54"/>
      <c r="G3407" s="54"/>
      <c r="H3407" s="54"/>
      <c r="I3407" s="66"/>
      <c r="J3407" s="54"/>
      <c r="K3407" s="54"/>
      <c r="L3407" s="54"/>
      <c r="M3407" s="97" t="str">
        <f t="shared" si="287"/>
        <v/>
      </c>
      <c r="N3407" s="70"/>
      <c r="O3407" s="71" t="str">
        <f t="shared" si="291"/>
        <v/>
      </c>
      <c r="P3407" s="66"/>
      <c r="Q3407" s="66"/>
      <c r="R3407" s="54"/>
      <c r="S3407" s="82"/>
      <c r="T3407" s="83" t="str">
        <f t="shared" si="288"/>
        <v/>
      </c>
      <c r="U3407" s="10"/>
      <c r="V3407" s="41">
        <f>IF(AND(Q3407&lt;&gt;"",RIGHT(Q3407,3)&lt;&gt;""),IF(COUNTIF($Q$6:Q3407,Q3407)=1,1,0),0)</f>
        <v>0</v>
      </c>
      <c r="W3407" s="41" t="str">
        <f t="shared" si="289"/>
        <v/>
      </c>
      <c r="X3407" s="41" t="str">
        <f t="shared" si="290"/>
        <v/>
      </c>
    </row>
    <row r="3408" s="32" customFormat="1" hidden="1" customHeight="1" spans="1:24">
      <c r="A3408" s="34"/>
      <c r="B3408" s="51"/>
      <c r="C3408" s="51"/>
      <c r="D3408" s="52"/>
      <c r="E3408" s="53"/>
      <c r="F3408" s="54"/>
      <c r="G3408" s="54"/>
      <c r="H3408" s="54"/>
      <c r="I3408" s="66"/>
      <c r="J3408" s="54"/>
      <c r="K3408" s="54"/>
      <c r="L3408" s="54"/>
      <c r="M3408" s="97" t="str">
        <f t="shared" si="287"/>
        <v/>
      </c>
      <c r="N3408" s="70"/>
      <c r="O3408" s="71" t="str">
        <f t="shared" si="291"/>
        <v/>
      </c>
      <c r="P3408" s="66"/>
      <c r="Q3408" s="66"/>
      <c r="R3408" s="54"/>
      <c r="S3408" s="82"/>
      <c r="T3408" s="83" t="str">
        <f t="shared" si="288"/>
        <v/>
      </c>
      <c r="U3408" s="10"/>
      <c r="V3408" s="41">
        <f>IF(AND(Q3408&lt;&gt;"",RIGHT(Q3408,3)&lt;&gt;""),IF(COUNTIF($Q$6:Q3408,Q3408)=1,1,0),0)</f>
        <v>0</v>
      </c>
      <c r="W3408" s="41" t="str">
        <f t="shared" si="289"/>
        <v/>
      </c>
      <c r="X3408" s="41" t="str">
        <f t="shared" si="290"/>
        <v/>
      </c>
    </row>
    <row r="3409" s="32" customFormat="1" hidden="1" customHeight="1" spans="1:24">
      <c r="A3409" s="34"/>
      <c r="B3409" s="51"/>
      <c r="C3409" s="51"/>
      <c r="D3409" s="52"/>
      <c r="E3409" s="53"/>
      <c r="F3409" s="54"/>
      <c r="G3409" s="54"/>
      <c r="H3409" s="54"/>
      <c r="I3409" s="66"/>
      <c r="J3409" s="54"/>
      <c r="K3409" s="54"/>
      <c r="L3409" s="54"/>
      <c r="M3409" s="97" t="str">
        <f t="shared" si="287"/>
        <v/>
      </c>
      <c r="N3409" s="70"/>
      <c r="O3409" s="71" t="str">
        <f t="shared" si="291"/>
        <v/>
      </c>
      <c r="P3409" s="66"/>
      <c r="Q3409" s="66"/>
      <c r="R3409" s="54"/>
      <c r="S3409" s="82"/>
      <c r="T3409" s="83" t="str">
        <f t="shared" si="288"/>
        <v/>
      </c>
      <c r="U3409" s="10"/>
      <c r="V3409" s="41">
        <f>IF(AND(Q3409&lt;&gt;"",RIGHT(Q3409,3)&lt;&gt;""),IF(COUNTIF($Q$6:Q3409,Q3409)=1,1,0),0)</f>
        <v>0</v>
      </c>
      <c r="W3409" s="41" t="str">
        <f t="shared" si="289"/>
        <v/>
      </c>
      <c r="X3409" s="41" t="str">
        <f t="shared" si="290"/>
        <v/>
      </c>
    </row>
    <row r="3410" s="32" customFormat="1" hidden="1" customHeight="1" spans="1:24">
      <c r="A3410" s="34"/>
      <c r="B3410" s="51"/>
      <c r="C3410" s="51"/>
      <c r="D3410" s="52"/>
      <c r="E3410" s="53"/>
      <c r="F3410" s="54"/>
      <c r="G3410" s="54"/>
      <c r="H3410" s="54"/>
      <c r="I3410" s="66"/>
      <c r="J3410" s="54"/>
      <c r="K3410" s="54"/>
      <c r="L3410" s="54"/>
      <c r="M3410" s="97" t="str">
        <f t="shared" si="287"/>
        <v/>
      </c>
      <c r="N3410" s="70"/>
      <c r="O3410" s="71" t="str">
        <f t="shared" si="291"/>
        <v/>
      </c>
      <c r="P3410" s="66"/>
      <c r="Q3410" s="66"/>
      <c r="R3410" s="54"/>
      <c r="S3410" s="82"/>
      <c r="T3410" s="83" t="str">
        <f t="shared" si="288"/>
        <v/>
      </c>
      <c r="U3410" s="10"/>
      <c r="V3410" s="41">
        <f>IF(AND(Q3410&lt;&gt;"",RIGHT(Q3410,3)&lt;&gt;""),IF(COUNTIF($Q$6:Q3410,Q3410)=1,1,0),0)</f>
        <v>0</v>
      </c>
      <c r="W3410" s="41" t="str">
        <f t="shared" si="289"/>
        <v/>
      </c>
      <c r="X3410" s="41" t="str">
        <f t="shared" si="290"/>
        <v/>
      </c>
    </row>
    <row r="3411" s="32" customFormat="1" hidden="1" customHeight="1" spans="1:24">
      <c r="A3411" s="34"/>
      <c r="B3411" s="51"/>
      <c r="C3411" s="51"/>
      <c r="D3411" s="52"/>
      <c r="E3411" s="53"/>
      <c r="F3411" s="54"/>
      <c r="G3411" s="54"/>
      <c r="H3411" s="54"/>
      <c r="I3411" s="66"/>
      <c r="J3411" s="54"/>
      <c r="K3411" s="54"/>
      <c r="L3411" s="54"/>
      <c r="M3411" s="97" t="str">
        <f t="shared" si="287"/>
        <v/>
      </c>
      <c r="N3411" s="70"/>
      <c r="O3411" s="71" t="str">
        <f t="shared" si="291"/>
        <v/>
      </c>
      <c r="P3411" s="66"/>
      <c r="Q3411" s="66"/>
      <c r="R3411" s="54"/>
      <c r="S3411" s="82"/>
      <c r="T3411" s="83" t="str">
        <f t="shared" si="288"/>
        <v/>
      </c>
      <c r="U3411" s="10"/>
      <c r="V3411" s="41">
        <f>IF(AND(Q3411&lt;&gt;"",RIGHT(Q3411,3)&lt;&gt;""),IF(COUNTIF($Q$6:Q3411,Q3411)=1,1,0),0)</f>
        <v>0</v>
      </c>
      <c r="W3411" s="41" t="str">
        <f t="shared" si="289"/>
        <v/>
      </c>
      <c r="X3411" s="41" t="str">
        <f t="shared" si="290"/>
        <v/>
      </c>
    </row>
    <row r="3412" s="32" customFormat="1" hidden="1" customHeight="1" spans="1:24">
      <c r="A3412" s="34"/>
      <c r="B3412" s="51"/>
      <c r="C3412" s="51"/>
      <c r="D3412" s="52"/>
      <c r="E3412" s="53"/>
      <c r="F3412" s="54"/>
      <c r="G3412" s="54"/>
      <c r="H3412" s="54"/>
      <c r="I3412" s="66"/>
      <c r="J3412" s="54"/>
      <c r="K3412" s="54"/>
      <c r="L3412" s="54"/>
      <c r="M3412" s="97" t="str">
        <f t="shared" si="287"/>
        <v/>
      </c>
      <c r="N3412" s="70"/>
      <c r="O3412" s="71" t="str">
        <f t="shared" si="291"/>
        <v/>
      </c>
      <c r="P3412" s="66"/>
      <c r="Q3412" s="66"/>
      <c r="R3412" s="54"/>
      <c r="S3412" s="82"/>
      <c r="T3412" s="83" t="str">
        <f t="shared" si="288"/>
        <v/>
      </c>
      <c r="U3412" s="10"/>
      <c r="V3412" s="41">
        <f>IF(AND(Q3412&lt;&gt;"",RIGHT(Q3412,3)&lt;&gt;""),IF(COUNTIF($Q$6:Q3412,Q3412)=1,1,0),0)</f>
        <v>0</v>
      </c>
      <c r="W3412" s="41" t="str">
        <f t="shared" si="289"/>
        <v/>
      </c>
      <c r="X3412" s="41" t="str">
        <f t="shared" si="290"/>
        <v/>
      </c>
    </row>
    <row r="3413" s="32" customFormat="1" hidden="1" customHeight="1" spans="1:24">
      <c r="A3413" s="34"/>
      <c r="B3413" s="51"/>
      <c r="C3413" s="51"/>
      <c r="D3413" s="52"/>
      <c r="E3413" s="53"/>
      <c r="F3413" s="54"/>
      <c r="G3413" s="54"/>
      <c r="H3413" s="54"/>
      <c r="I3413" s="66"/>
      <c r="J3413" s="54"/>
      <c r="K3413" s="54"/>
      <c r="L3413" s="54"/>
      <c r="M3413" s="97" t="str">
        <f t="shared" si="287"/>
        <v/>
      </c>
      <c r="N3413" s="70"/>
      <c r="O3413" s="71" t="str">
        <f t="shared" si="291"/>
        <v/>
      </c>
      <c r="P3413" s="66"/>
      <c r="Q3413" s="66"/>
      <c r="R3413" s="54"/>
      <c r="S3413" s="82"/>
      <c r="T3413" s="83" t="str">
        <f t="shared" si="288"/>
        <v/>
      </c>
      <c r="U3413" s="10"/>
      <c r="V3413" s="41">
        <f>IF(AND(Q3413&lt;&gt;"",RIGHT(Q3413,3)&lt;&gt;""),IF(COUNTIF($Q$6:Q3413,Q3413)=1,1,0),0)</f>
        <v>0</v>
      </c>
      <c r="W3413" s="41" t="str">
        <f t="shared" si="289"/>
        <v/>
      </c>
      <c r="X3413" s="41" t="str">
        <f t="shared" si="290"/>
        <v/>
      </c>
    </row>
    <row r="3414" s="32" customFormat="1" hidden="1" customHeight="1" spans="1:24">
      <c r="A3414" s="34"/>
      <c r="B3414" s="51"/>
      <c r="C3414" s="51"/>
      <c r="D3414" s="52"/>
      <c r="E3414" s="53"/>
      <c r="F3414" s="54"/>
      <c r="G3414" s="54"/>
      <c r="H3414" s="54"/>
      <c r="I3414" s="66"/>
      <c r="J3414" s="54"/>
      <c r="K3414" s="54"/>
      <c r="L3414" s="54"/>
      <c r="M3414" s="97" t="str">
        <f t="shared" si="287"/>
        <v/>
      </c>
      <c r="N3414" s="70"/>
      <c r="O3414" s="71" t="str">
        <f t="shared" si="291"/>
        <v/>
      </c>
      <c r="P3414" s="66"/>
      <c r="Q3414" s="66"/>
      <c r="R3414" s="54"/>
      <c r="S3414" s="82"/>
      <c r="T3414" s="83" t="str">
        <f t="shared" si="288"/>
        <v/>
      </c>
      <c r="U3414" s="10"/>
      <c r="V3414" s="41">
        <f>IF(AND(Q3414&lt;&gt;"",RIGHT(Q3414,3)&lt;&gt;""),IF(COUNTIF($Q$6:Q3414,Q3414)=1,1,0),0)</f>
        <v>0</v>
      </c>
      <c r="W3414" s="41" t="str">
        <f t="shared" si="289"/>
        <v/>
      </c>
      <c r="X3414" s="41" t="str">
        <f t="shared" si="290"/>
        <v/>
      </c>
    </row>
    <row r="3415" s="32" customFormat="1" hidden="1" customHeight="1" spans="1:24">
      <c r="A3415" s="34"/>
      <c r="B3415" s="51"/>
      <c r="C3415" s="51"/>
      <c r="D3415" s="52"/>
      <c r="E3415" s="53"/>
      <c r="F3415" s="54"/>
      <c r="G3415" s="54"/>
      <c r="H3415" s="54"/>
      <c r="I3415" s="66"/>
      <c r="J3415" s="54"/>
      <c r="K3415" s="54"/>
      <c r="L3415" s="54"/>
      <c r="M3415" s="97" t="str">
        <f t="shared" si="287"/>
        <v/>
      </c>
      <c r="N3415" s="70"/>
      <c r="O3415" s="71" t="str">
        <f t="shared" si="291"/>
        <v/>
      </c>
      <c r="P3415" s="66"/>
      <c r="Q3415" s="66"/>
      <c r="R3415" s="54"/>
      <c r="S3415" s="82"/>
      <c r="T3415" s="83" t="str">
        <f t="shared" si="288"/>
        <v/>
      </c>
      <c r="U3415" s="10"/>
      <c r="V3415" s="41">
        <f>IF(AND(Q3415&lt;&gt;"",RIGHT(Q3415,3)&lt;&gt;""),IF(COUNTIF($Q$6:Q3415,Q3415)=1,1,0),0)</f>
        <v>0</v>
      </c>
      <c r="W3415" s="41" t="str">
        <f t="shared" si="289"/>
        <v/>
      </c>
      <c r="X3415" s="41" t="str">
        <f t="shared" si="290"/>
        <v/>
      </c>
    </row>
    <row r="3416" s="32" customFormat="1" hidden="1" customHeight="1" spans="1:24">
      <c r="A3416" s="34"/>
      <c r="B3416" s="51"/>
      <c r="C3416" s="51"/>
      <c r="D3416" s="52"/>
      <c r="E3416" s="53"/>
      <c r="F3416" s="54"/>
      <c r="G3416" s="54"/>
      <c r="H3416" s="54"/>
      <c r="I3416" s="66"/>
      <c r="J3416" s="54"/>
      <c r="K3416" s="54"/>
      <c r="L3416" s="54"/>
      <c r="M3416" s="97" t="str">
        <f t="shared" si="287"/>
        <v/>
      </c>
      <c r="N3416" s="70"/>
      <c r="O3416" s="71" t="str">
        <f t="shared" si="291"/>
        <v/>
      </c>
      <c r="P3416" s="66"/>
      <c r="Q3416" s="66"/>
      <c r="R3416" s="54"/>
      <c r="S3416" s="82"/>
      <c r="T3416" s="83" t="str">
        <f t="shared" si="288"/>
        <v/>
      </c>
      <c r="U3416" s="10"/>
      <c r="V3416" s="41">
        <f>IF(AND(Q3416&lt;&gt;"",RIGHT(Q3416,3)&lt;&gt;""),IF(COUNTIF($Q$6:Q3416,Q3416)=1,1,0),0)</f>
        <v>0</v>
      </c>
      <c r="W3416" s="41" t="str">
        <f t="shared" si="289"/>
        <v/>
      </c>
      <c r="X3416" s="41" t="str">
        <f t="shared" si="290"/>
        <v/>
      </c>
    </row>
    <row r="3417" s="32" customFormat="1" hidden="1" customHeight="1" spans="1:24">
      <c r="A3417" s="34"/>
      <c r="B3417" s="51"/>
      <c r="C3417" s="51"/>
      <c r="D3417" s="52"/>
      <c r="E3417" s="53"/>
      <c r="F3417" s="54"/>
      <c r="G3417" s="54"/>
      <c r="H3417" s="54"/>
      <c r="I3417" s="66"/>
      <c r="J3417" s="54"/>
      <c r="K3417" s="54"/>
      <c r="L3417" s="54"/>
      <c r="M3417" s="97" t="str">
        <f t="shared" si="287"/>
        <v/>
      </c>
      <c r="N3417" s="70"/>
      <c r="O3417" s="71" t="str">
        <f t="shared" si="291"/>
        <v/>
      </c>
      <c r="P3417" s="66"/>
      <c r="Q3417" s="66"/>
      <c r="R3417" s="54"/>
      <c r="S3417" s="82"/>
      <c r="T3417" s="83" t="str">
        <f t="shared" si="288"/>
        <v/>
      </c>
      <c r="U3417" s="10"/>
      <c r="V3417" s="41">
        <f>IF(AND(Q3417&lt;&gt;"",RIGHT(Q3417,3)&lt;&gt;""),IF(COUNTIF($Q$6:Q3417,Q3417)=1,1,0),0)</f>
        <v>0</v>
      </c>
      <c r="W3417" s="41" t="str">
        <f t="shared" si="289"/>
        <v/>
      </c>
      <c r="X3417" s="41" t="str">
        <f t="shared" si="290"/>
        <v/>
      </c>
    </row>
    <row r="3418" s="32" customFormat="1" hidden="1" customHeight="1" spans="1:24">
      <c r="A3418" s="34"/>
      <c r="B3418" s="51"/>
      <c r="C3418" s="51"/>
      <c r="D3418" s="52"/>
      <c r="E3418" s="53"/>
      <c r="F3418" s="54"/>
      <c r="G3418" s="54"/>
      <c r="H3418" s="54"/>
      <c r="I3418" s="66"/>
      <c r="J3418" s="54"/>
      <c r="K3418" s="54"/>
      <c r="L3418" s="54"/>
      <c r="M3418" s="97" t="str">
        <f t="shared" si="287"/>
        <v/>
      </c>
      <c r="N3418" s="70"/>
      <c r="O3418" s="71" t="str">
        <f t="shared" si="291"/>
        <v/>
      </c>
      <c r="P3418" s="66"/>
      <c r="Q3418" s="66"/>
      <c r="R3418" s="54"/>
      <c r="S3418" s="82"/>
      <c r="T3418" s="83" t="str">
        <f t="shared" si="288"/>
        <v/>
      </c>
      <c r="U3418" s="10"/>
      <c r="V3418" s="41">
        <f>IF(AND(Q3418&lt;&gt;"",RIGHT(Q3418,3)&lt;&gt;""),IF(COUNTIF($Q$6:Q3418,Q3418)=1,1,0),0)</f>
        <v>0</v>
      </c>
      <c r="W3418" s="41" t="str">
        <f t="shared" si="289"/>
        <v/>
      </c>
      <c r="X3418" s="41" t="str">
        <f t="shared" si="290"/>
        <v/>
      </c>
    </row>
    <row r="3419" s="32" customFormat="1" hidden="1" customHeight="1" spans="1:24">
      <c r="A3419" s="34"/>
      <c r="B3419" s="51"/>
      <c r="C3419" s="51"/>
      <c r="D3419" s="52"/>
      <c r="E3419" s="53"/>
      <c r="F3419" s="54"/>
      <c r="G3419" s="54"/>
      <c r="H3419" s="54"/>
      <c r="I3419" s="66"/>
      <c r="J3419" s="54"/>
      <c r="K3419" s="54"/>
      <c r="L3419" s="54"/>
      <c r="M3419" s="97" t="str">
        <f t="shared" si="287"/>
        <v/>
      </c>
      <c r="N3419" s="70"/>
      <c r="O3419" s="71" t="str">
        <f t="shared" si="291"/>
        <v/>
      </c>
      <c r="P3419" s="66"/>
      <c r="Q3419" s="66"/>
      <c r="R3419" s="54"/>
      <c r="S3419" s="82"/>
      <c r="T3419" s="83" t="str">
        <f t="shared" si="288"/>
        <v/>
      </c>
      <c r="U3419" s="10"/>
      <c r="V3419" s="41">
        <f>IF(AND(Q3419&lt;&gt;"",RIGHT(Q3419,3)&lt;&gt;""),IF(COUNTIF($Q$6:Q3419,Q3419)=1,1,0),0)</f>
        <v>0</v>
      </c>
      <c r="W3419" s="41" t="str">
        <f t="shared" si="289"/>
        <v/>
      </c>
      <c r="X3419" s="41" t="str">
        <f t="shared" si="290"/>
        <v/>
      </c>
    </row>
    <row r="3420" s="32" customFormat="1" hidden="1" customHeight="1" spans="1:24">
      <c r="A3420" s="34"/>
      <c r="B3420" s="51"/>
      <c r="C3420" s="51"/>
      <c r="D3420" s="52"/>
      <c r="E3420" s="53"/>
      <c r="F3420" s="54"/>
      <c r="G3420" s="54"/>
      <c r="H3420" s="54"/>
      <c r="I3420" s="66"/>
      <c r="J3420" s="54"/>
      <c r="K3420" s="54"/>
      <c r="L3420" s="54"/>
      <c r="M3420" s="97" t="str">
        <f t="shared" si="287"/>
        <v/>
      </c>
      <c r="N3420" s="70"/>
      <c r="O3420" s="71" t="str">
        <f t="shared" si="291"/>
        <v/>
      </c>
      <c r="P3420" s="66"/>
      <c r="Q3420" s="66"/>
      <c r="R3420" s="54"/>
      <c r="S3420" s="82"/>
      <c r="T3420" s="83" t="str">
        <f t="shared" si="288"/>
        <v/>
      </c>
      <c r="U3420" s="10"/>
      <c r="V3420" s="41">
        <f>IF(AND(Q3420&lt;&gt;"",RIGHT(Q3420,3)&lt;&gt;""),IF(COUNTIF($Q$6:Q3420,Q3420)=1,1,0),0)</f>
        <v>0</v>
      </c>
      <c r="W3420" s="41" t="str">
        <f t="shared" si="289"/>
        <v/>
      </c>
      <c r="X3420" s="41" t="str">
        <f t="shared" si="290"/>
        <v/>
      </c>
    </row>
    <row r="3421" s="32" customFormat="1" hidden="1" customHeight="1" spans="1:24">
      <c r="A3421" s="34"/>
      <c r="B3421" s="51"/>
      <c r="C3421" s="51"/>
      <c r="D3421" s="52"/>
      <c r="E3421" s="53"/>
      <c r="F3421" s="54"/>
      <c r="G3421" s="54"/>
      <c r="H3421" s="54"/>
      <c r="I3421" s="66"/>
      <c r="J3421" s="54"/>
      <c r="K3421" s="54"/>
      <c r="L3421" s="54"/>
      <c r="M3421" s="97" t="str">
        <f t="shared" si="287"/>
        <v/>
      </c>
      <c r="N3421" s="70"/>
      <c r="O3421" s="71" t="str">
        <f t="shared" si="291"/>
        <v/>
      </c>
      <c r="P3421" s="66"/>
      <c r="Q3421" s="66"/>
      <c r="R3421" s="54"/>
      <c r="S3421" s="82"/>
      <c r="T3421" s="83" t="str">
        <f t="shared" si="288"/>
        <v/>
      </c>
      <c r="U3421" s="10"/>
      <c r="V3421" s="41">
        <f>IF(AND(Q3421&lt;&gt;"",RIGHT(Q3421,3)&lt;&gt;""),IF(COUNTIF($Q$6:Q3421,Q3421)=1,1,0),0)</f>
        <v>0</v>
      </c>
      <c r="W3421" s="41" t="str">
        <f t="shared" si="289"/>
        <v/>
      </c>
      <c r="X3421" s="41" t="str">
        <f t="shared" si="290"/>
        <v/>
      </c>
    </row>
    <row r="3422" s="32" customFormat="1" hidden="1" customHeight="1" spans="1:24">
      <c r="A3422" s="34"/>
      <c r="B3422" s="51"/>
      <c r="C3422" s="51"/>
      <c r="D3422" s="52"/>
      <c r="E3422" s="53"/>
      <c r="F3422" s="54"/>
      <c r="G3422" s="54"/>
      <c r="H3422" s="54"/>
      <c r="I3422" s="66"/>
      <c r="J3422" s="54"/>
      <c r="K3422" s="54"/>
      <c r="L3422" s="54"/>
      <c r="M3422" s="97" t="str">
        <f t="shared" si="287"/>
        <v/>
      </c>
      <c r="N3422" s="70"/>
      <c r="O3422" s="71" t="str">
        <f t="shared" si="291"/>
        <v/>
      </c>
      <c r="P3422" s="66"/>
      <c r="Q3422" s="66"/>
      <c r="R3422" s="54"/>
      <c r="S3422" s="82"/>
      <c r="T3422" s="83" t="str">
        <f t="shared" si="288"/>
        <v/>
      </c>
      <c r="U3422" s="10"/>
      <c r="V3422" s="41">
        <f>IF(AND(Q3422&lt;&gt;"",RIGHT(Q3422,3)&lt;&gt;""),IF(COUNTIF($Q$6:Q3422,Q3422)=1,1,0),0)</f>
        <v>0</v>
      </c>
      <c r="W3422" s="41" t="str">
        <f t="shared" si="289"/>
        <v/>
      </c>
      <c r="X3422" s="41" t="str">
        <f t="shared" si="290"/>
        <v/>
      </c>
    </row>
    <row r="3423" s="32" customFormat="1" hidden="1" customHeight="1" spans="1:24">
      <c r="A3423" s="34"/>
      <c r="B3423" s="51"/>
      <c r="C3423" s="51"/>
      <c r="D3423" s="52"/>
      <c r="E3423" s="53"/>
      <c r="F3423" s="54"/>
      <c r="G3423" s="54"/>
      <c r="H3423" s="54"/>
      <c r="I3423" s="66"/>
      <c r="J3423" s="54"/>
      <c r="K3423" s="54"/>
      <c r="L3423" s="54"/>
      <c r="M3423" s="97" t="str">
        <f t="shared" si="287"/>
        <v/>
      </c>
      <c r="N3423" s="70"/>
      <c r="O3423" s="71" t="str">
        <f t="shared" si="291"/>
        <v/>
      </c>
      <c r="P3423" s="66"/>
      <c r="Q3423" s="66"/>
      <c r="R3423" s="54"/>
      <c r="S3423" s="82"/>
      <c r="T3423" s="83" t="str">
        <f t="shared" si="288"/>
        <v/>
      </c>
      <c r="U3423" s="10"/>
      <c r="V3423" s="41">
        <f>IF(AND(Q3423&lt;&gt;"",RIGHT(Q3423,3)&lt;&gt;""),IF(COUNTIF($Q$6:Q3423,Q3423)=1,1,0),0)</f>
        <v>0</v>
      </c>
      <c r="W3423" s="41" t="str">
        <f t="shared" si="289"/>
        <v/>
      </c>
      <c r="X3423" s="41" t="str">
        <f t="shared" si="290"/>
        <v/>
      </c>
    </row>
    <row r="3424" s="32" customFormat="1" hidden="1" customHeight="1" spans="1:24">
      <c r="A3424" s="34"/>
      <c r="B3424" s="51"/>
      <c r="C3424" s="51"/>
      <c r="D3424" s="52"/>
      <c r="E3424" s="53"/>
      <c r="F3424" s="54"/>
      <c r="G3424" s="54"/>
      <c r="H3424" s="54"/>
      <c r="I3424" s="66"/>
      <c r="J3424" s="54"/>
      <c r="K3424" s="54"/>
      <c r="L3424" s="54"/>
      <c r="M3424" s="97" t="str">
        <f t="shared" si="287"/>
        <v/>
      </c>
      <c r="N3424" s="70"/>
      <c r="O3424" s="71" t="str">
        <f t="shared" si="291"/>
        <v/>
      </c>
      <c r="P3424" s="66"/>
      <c r="Q3424" s="66"/>
      <c r="R3424" s="54"/>
      <c r="S3424" s="82"/>
      <c r="T3424" s="83" t="str">
        <f t="shared" si="288"/>
        <v/>
      </c>
      <c r="U3424" s="10"/>
      <c r="V3424" s="41">
        <f>IF(AND(Q3424&lt;&gt;"",RIGHT(Q3424,3)&lt;&gt;""),IF(COUNTIF($Q$6:Q3424,Q3424)=1,1,0),0)</f>
        <v>0</v>
      </c>
      <c r="W3424" s="41" t="str">
        <f t="shared" si="289"/>
        <v/>
      </c>
      <c r="X3424" s="41" t="str">
        <f t="shared" si="290"/>
        <v/>
      </c>
    </row>
    <row r="3425" s="32" customFormat="1" hidden="1" customHeight="1" spans="1:24">
      <c r="A3425" s="34"/>
      <c r="B3425" s="51"/>
      <c r="C3425" s="51"/>
      <c r="D3425" s="52"/>
      <c r="E3425" s="53"/>
      <c r="F3425" s="54"/>
      <c r="G3425" s="54"/>
      <c r="H3425" s="54"/>
      <c r="I3425" s="66"/>
      <c r="J3425" s="54"/>
      <c r="K3425" s="54"/>
      <c r="L3425" s="54"/>
      <c r="M3425" s="97" t="str">
        <f t="shared" si="287"/>
        <v/>
      </c>
      <c r="N3425" s="70"/>
      <c r="O3425" s="71" t="str">
        <f t="shared" si="291"/>
        <v/>
      </c>
      <c r="P3425" s="66"/>
      <c r="Q3425" s="66"/>
      <c r="R3425" s="54"/>
      <c r="S3425" s="82"/>
      <c r="T3425" s="83" t="str">
        <f t="shared" si="288"/>
        <v/>
      </c>
      <c r="U3425" s="10"/>
      <c r="V3425" s="41">
        <f>IF(AND(Q3425&lt;&gt;"",RIGHT(Q3425,3)&lt;&gt;""),IF(COUNTIF($Q$6:Q3425,Q3425)=1,1,0),0)</f>
        <v>0</v>
      </c>
      <c r="W3425" s="41" t="str">
        <f t="shared" si="289"/>
        <v/>
      </c>
      <c r="X3425" s="41" t="str">
        <f t="shared" si="290"/>
        <v/>
      </c>
    </row>
    <row r="3426" s="32" customFormat="1" hidden="1" customHeight="1" spans="1:24">
      <c r="A3426" s="34"/>
      <c r="B3426" s="51"/>
      <c r="C3426" s="51"/>
      <c r="D3426" s="52"/>
      <c r="E3426" s="53"/>
      <c r="F3426" s="54"/>
      <c r="G3426" s="54"/>
      <c r="H3426" s="54"/>
      <c r="I3426" s="66"/>
      <c r="J3426" s="54"/>
      <c r="K3426" s="54"/>
      <c r="L3426" s="54"/>
      <c r="M3426" s="97" t="str">
        <f t="shared" si="287"/>
        <v/>
      </c>
      <c r="N3426" s="70"/>
      <c r="O3426" s="71" t="str">
        <f t="shared" si="291"/>
        <v/>
      </c>
      <c r="P3426" s="66"/>
      <c r="Q3426" s="66"/>
      <c r="R3426" s="54"/>
      <c r="S3426" s="82"/>
      <c r="T3426" s="83" t="str">
        <f t="shared" si="288"/>
        <v/>
      </c>
      <c r="U3426" s="10"/>
      <c r="V3426" s="41">
        <f>IF(AND(Q3426&lt;&gt;"",RIGHT(Q3426,3)&lt;&gt;""),IF(COUNTIF($Q$6:Q3426,Q3426)=1,1,0),0)</f>
        <v>0</v>
      </c>
      <c r="W3426" s="41" t="str">
        <f t="shared" si="289"/>
        <v/>
      </c>
      <c r="X3426" s="41" t="str">
        <f t="shared" si="290"/>
        <v/>
      </c>
    </row>
    <row r="3427" s="32" customFormat="1" hidden="1" customHeight="1" spans="1:24">
      <c r="A3427" s="34"/>
      <c r="B3427" s="51"/>
      <c r="C3427" s="51"/>
      <c r="D3427" s="52"/>
      <c r="E3427" s="53"/>
      <c r="F3427" s="54"/>
      <c r="G3427" s="54"/>
      <c r="H3427" s="54"/>
      <c r="I3427" s="66"/>
      <c r="J3427" s="54"/>
      <c r="K3427" s="54"/>
      <c r="L3427" s="54"/>
      <c r="M3427" s="97" t="str">
        <f t="shared" si="287"/>
        <v/>
      </c>
      <c r="N3427" s="70"/>
      <c r="O3427" s="71" t="str">
        <f t="shared" si="291"/>
        <v/>
      </c>
      <c r="P3427" s="66"/>
      <c r="Q3427" s="66"/>
      <c r="R3427" s="54"/>
      <c r="S3427" s="82"/>
      <c r="T3427" s="83" t="str">
        <f t="shared" si="288"/>
        <v/>
      </c>
      <c r="U3427" s="10"/>
      <c r="V3427" s="41">
        <f>IF(AND(Q3427&lt;&gt;"",RIGHT(Q3427,3)&lt;&gt;""),IF(COUNTIF($Q$6:Q3427,Q3427)=1,1,0),0)</f>
        <v>0</v>
      </c>
      <c r="W3427" s="41" t="str">
        <f t="shared" si="289"/>
        <v/>
      </c>
      <c r="X3427" s="41" t="str">
        <f t="shared" si="290"/>
        <v/>
      </c>
    </row>
    <row r="3428" s="32" customFormat="1" hidden="1" customHeight="1" spans="1:24">
      <c r="A3428" s="34"/>
      <c r="B3428" s="51"/>
      <c r="C3428" s="51"/>
      <c r="D3428" s="52"/>
      <c r="E3428" s="53"/>
      <c r="F3428" s="54"/>
      <c r="G3428" s="54"/>
      <c r="H3428" s="54"/>
      <c r="I3428" s="66"/>
      <c r="J3428" s="54"/>
      <c r="K3428" s="54"/>
      <c r="L3428" s="54"/>
      <c r="M3428" s="97" t="str">
        <f t="shared" ref="M3428:M3491" si="292">IF(L3428="","",HYPERLINK(_xlfn.CONCAT($L$4,L3428,".jpg"),"Open File"))</f>
        <v/>
      </c>
      <c r="N3428" s="70"/>
      <c r="O3428" s="71" t="str">
        <f t="shared" si="291"/>
        <v/>
      </c>
      <c r="P3428" s="66"/>
      <c r="Q3428" s="66"/>
      <c r="R3428" s="54"/>
      <c r="S3428" s="82"/>
      <c r="T3428" s="83" t="str">
        <f t="shared" ref="T3428:T3491" si="293">IF(S3428="","",HYPERLINK(_xlfn.CONCAT($S$4,S3428,".jpg"),"Open File"))</f>
        <v/>
      </c>
      <c r="U3428" s="10"/>
      <c r="V3428" s="41">
        <f>IF(AND(Q3428&lt;&gt;"",RIGHT(Q3428,3)&lt;&gt;""),IF(COUNTIF($Q$6:Q3428,Q3428)=1,1,0),0)</f>
        <v>0</v>
      </c>
      <c r="W3428" s="41" t="str">
        <f t="shared" ref="W3428:W3491" si="294">IF(AND(J3428&lt;&gt;"",K3428&lt;&gt;""),_xlfn.CONCAT(SUBSTITUTE(J3428,"/","."),"-",K3428),"")</f>
        <v/>
      </c>
      <c r="X3428" s="41" t="str">
        <f t="shared" ref="X3428:X3491" si="295">IF(AND(Q3428&lt;&gt;"",R3428&lt;&gt;""),_xlfn.CONCAT(SUBSTITUTE(Q3428,"/","."),"-",R3428),"")</f>
        <v/>
      </c>
    </row>
    <row r="3429" s="32" customFormat="1" hidden="1" customHeight="1" spans="1:24">
      <c r="A3429" s="34"/>
      <c r="B3429" s="51"/>
      <c r="C3429" s="51"/>
      <c r="D3429" s="52"/>
      <c r="E3429" s="53"/>
      <c r="F3429" s="54"/>
      <c r="G3429" s="54"/>
      <c r="H3429" s="54"/>
      <c r="I3429" s="66"/>
      <c r="J3429" s="54"/>
      <c r="K3429" s="54"/>
      <c r="L3429" s="54"/>
      <c r="M3429" s="97" t="str">
        <f t="shared" si="292"/>
        <v/>
      </c>
      <c r="N3429" s="70"/>
      <c r="O3429" s="71" t="str">
        <f t="shared" si="291"/>
        <v/>
      </c>
      <c r="P3429" s="66"/>
      <c r="Q3429" s="66"/>
      <c r="R3429" s="54"/>
      <c r="S3429" s="82"/>
      <c r="T3429" s="83" t="str">
        <f t="shared" si="293"/>
        <v/>
      </c>
      <c r="U3429" s="10"/>
      <c r="V3429" s="41">
        <f>IF(AND(Q3429&lt;&gt;"",RIGHT(Q3429,3)&lt;&gt;""),IF(COUNTIF($Q$6:Q3429,Q3429)=1,1,0),0)</f>
        <v>0</v>
      </c>
      <c r="W3429" s="41" t="str">
        <f t="shared" si="294"/>
        <v/>
      </c>
      <c r="X3429" s="41" t="str">
        <f t="shared" si="295"/>
        <v/>
      </c>
    </row>
    <row r="3430" s="32" customFormat="1" hidden="1" customHeight="1" spans="1:24">
      <c r="A3430" s="34"/>
      <c r="B3430" s="51"/>
      <c r="C3430" s="51"/>
      <c r="D3430" s="52"/>
      <c r="E3430" s="53"/>
      <c r="F3430" s="54"/>
      <c r="G3430" s="54"/>
      <c r="H3430" s="54"/>
      <c r="I3430" s="66"/>
      <c r="J3430" s="54"/>
      <c r="K3430" s="54"/>
      <c r="L3430" s="54"/>
      <c r="M3430" s="97" t="str">
        <f t="shared" si="292"/>
        <v/>
      </c>
      <c r="N3430" s="70"/>
      <c r="O3430" s="71" t="str">
        <f t="shared" si="291"/>
        <v/>
      </c>
      <c r="P3430" s="66"/>
      <c r="Q3430" s="66"/>
      <c r="R3430" s="54"/>
      <c r="S3430" s="82"/>
      <c r="T3430" s="83" t="str">
        <f t="shared" si="293"/>
        <v/>
      </c>
      <c r="U3430" s="10"/>
      <c r="V3430" s="41">
        <f>IF(AND(Q3430&lt;&gt;"",RIGHT(Q3430,3)&lt;&gt;""),IF(COUNTIF($Q$6:Q3430,Q3430)=1,1,0),0)</f>
        <v>0</v>
      </c>
      <c r="W3430" s="41" t="str">
        <f t="shared" si="294"/>
        <v/>
      </c>
      <c r="X3430" s="41" t="str">
        <f t="shared" si="295"/>
        <v/>
      </c>
    </row>
    <row r="3431" s="32" customFormat="1" hidden="1" customHeight="1" spans="1:24">
      <c r="A3431" s="34"/>
      <c r="B3431" s="51"/>
      <c r="C3431" s="51"/>
      <c r="D3431" s="52"/>
      <c r="E3431" s="53"/>
      <c r="F3431" s="54"/>
      <c r="G3431" s="54"/>
      <c r="H3431" s="54"/>
      <c r="I3431" s="66"/>
      <c r="J3431" s="54"/>
      <c r="K3431" s="54"/>
      <c r="L3431" s="54"/>
      <c r="M3431" s="97" t="str">
        <f t="shared" si="292"/>
        <v/>
      </c>
      <c r="N3431" s="70"/>
      <c r="O3431" s="71" t="str">
        <f t="shared" si="291"/>
        <v/>
      </c>
      <c r="P3431" s="66"/>
      <c r="Q3431" s="66"/>
      <c r="R3431" s="54"/>
      <c r="S3431" s="82"/>
      <c r="T3431" s="83" t="str">
        <f t="shared" si="293"/>
        <v/>
      </c>
      <c r="U3431" s="10"/>
      <c r="V3431" s="41">
        <f>IF(AND(Q3431&lt;&gt;"",RIGHT(Q3431,3)&lt;&gt;""),IF(COUNTIF($Q$6:Q3431,Q3431)=1,1,0),0)</f>
        <v>0</v>
      </c>
      <c r="W3431" s="41" t="str">
        <f t="shared" si="294"/>
        <v/>
      </c>
      <c r="X3431" s="41" t="str">
        <f t="shared" si="295"/>
        <v/>
      </c>
    </row>
    <row r="3432" s="32" customFormat="1" hidden="1" customHeight="1" spans="1:24">
      <c r="A3432" s="34"/>
      <c r="B3432" s="51"/>
      <c r="C3432" s="51"/>
      <c r="D3432" s="52"/>
      <c r="E3432" s="53"/>
      <c r="F3432" s="54"/>
      <c r="G3432" s="54"/>
      <c r="H3432" s="54"/>
      <c r="I3432" s="66"/>
      <c r="J3432" s="54"/>
      <c r="K3432" s="54"/>
      <c r="L3432" s="54"/>
      <c r="M3432" s="97" t="str">
        <f t="shared" si="292"/>
        <v/>
      </c>
      <c r="N3432" s="70"/>
      <c r="O3432" s="71" t="str">
        <f t="shared" si="291"/>
        <v/>
      </c>
      <c r="P3432" s="66"/>
      <c r="Q3432" s="66"/>
      <c r="R3432" s="54"/>
      <c r="S3432" s="82"/>
      <c r="T3432" s="83" t="str">
        <f t="shared" si="293"/>
        <v/>
      </c>
      <c r="U3432" s="10"/>
      <c r="V3432" s="41">
        <f>IF(AND(Q3432&lt;&gt;"",RIGHT(Q3432,3)&lt;&gt;""),IF(COUNTIF($Q$6:Q3432,Q3432)=1,1,0),0)</f>
        <v>0</v>
      </c>
      <c r="W3432" s="41" t="str">
        <f t="shared" si="294"/>
        <v/>
      </c>
      <c r="X3432" s="41" t="str">
        <f t="shared" si="295"/>
        <v/>
      </c>
    </row>
    <row r="3433" s="32" customFormat="1" hidden="1" customHeight="1" spans="1:24">
      <c r="A3433" s="34"/>
      <c r="B3433" s="51"/>
      <c r="C3433" s="51"/>
      <c r="D3433" s="52"/>
      <c r="E3433" s="53"/>
      <c r="F3433" s="54"/>
      <c r="G3433" s="54"/>
      <c r="H3433" s="54"/>
      <c r="I3433" s="66"/>
      <c r="J3433" s="54"/>
      <c r="K3433" s="54"/>
      <c r="L3433" s="54"/>
      <c r="M3433" s="97" t="str">
        <f t="shared" si="292"/>
        <v/>
      </c>
      <c r="N3433" s="70"/>
      <c r="O3433" s="71" t="str">
        <f t="shared" si="291"/>
        <v/>
      </c>
      <c r="P3433" s="66"/>
      <c r="Q3433" s="66"/>
      <c r="R3433" s="54"/>
      <c r="S3433" s="82"/>
      <c r="T3433" s="83" t="str">
        <f t="shared" si="293"/>
        <v/>
      </c>
      <c r="U3433" s="10"/>
      <c r="V3433" s="41">
        <f>IF(AND(Q3433&lt;&gt;"",RIGHT(Q3433,3)&lt;&gt;""),IF(COUNTIF($Q$6:Q3433,Q3433)=1,1,0),0)</f>
        <v>0</v>
      </c>
      <c r="W3433" s="41" t="str">
        <f t="shared" si="294"/>
        <v/>
      </c>
      <c r="X3433" s="41" t="str">
        <f t="shared" si="295"/>
        <v/>
      </c>
    </row>
    <row r="3434" s="32" customFormat="1" hidden="1" customHeight="1" spans="1:24">
      <c r="A3434" s="34"/>
      <c r="B3434" s="51"/>
      <c r="C3434" s="51"/>
      <c r="D3434" s="52"/>
      <c r="E3434" s="53"/>
      <c r="F3434" s="54"/>
      <c r="G3434" s="54"/>
      <c r="H3434" s="54"/>
      <c r="I3434" s="66"/>
      <c r="J3434" s="54"/>
      <c r="K3434" s="54"/>
      <c r="L3434" s="54"/>
      <c r="M3434" s="97" t="str">
        <f t="shared" si="292"/>
        <v/>
      </c>
      <c r="N3434" s="70"/>
      <c r="O3434" s="71" t="str">
        <f t="shared" si="291"/>
        <v/>
      </c>
      <c r="P3434" s="66"/>
      <c r="Q3434" s="66"/>
      <c r="R3434" s="54"/>
      <c r="S3434" s="82"/>
      <c r="T3434" s="83" t="str">
        <f t="shared" si="293"/>
        <v/>
      </c>
      <c r="U3434" s="10"/>
      <c r="V3434" s="41">
        <f>IF(AND(Q3434&lt;&gt;"",RIGHT(Q3434,3)&lt;&gt;""),IF(COUNTIF($Q$6:Q3434,Q3434)=1,1,0),0)</f>
        <v>0</v>
      </c>
      <c r="W3434" s="41" t="str">
        <f t="shared" si="294"/>
        <v/>
      </c>
      <c r="X3434" s="41" t="str">
        <f t="shared" si="295"/>
        <v/>
      </c>
    </row>
    <row r="3435" s="32" customFormat="1" hidden="1" customHeight="1" spans="1:24">
      <c r="A3435" s="34"/>
      <c r="B3435" s="51"/>
      <c r="C3435" s="51"/>
      <c r="D3435" s="52"/>
      <c r="E3435" s="53"/>
      <c r="F3435" s="54"/>
      <c r="G3435" s="54"/>
      <c r="H3435" s="54"/>
      <c r="I3435" s="66"/>
      <c r="J3435" s="54"/>
      <c r="K3435" s="54"/>
      <c r="L3435" s="54"/>
      <c r="M3435" s="97" t="str">
        <f t="shared" si="292"/>
        <v/>
      </c>
      <c r="N3435" s="70"/>
      <c r="O3435" s="71" t="str">
        <f t="shared" si="291"/>
        <v/>
      </c>
      <c r="P3435" s="66"/>
      <c r="Q3435" s="66"/>
      <c r="R3435" s="54"/>
      <c r="S3435" s="82"/>
      <c r="T3435" s="83" t="str">
        <f t="shared" si="293"/>
        <v/>
      </c>
      <c r="U3435" s="10"/>
      <c r="V3435" s="41">
        <f>IF(AND(Q3435&lt;&gt;"",RIGHT(Q3435,3)&lt;&gt;""),IF(COUNTIF($Q$6:Q3435,Q3435)=1,1,0),0)</f>
        <v>0</v>
      </c>
      <c r="W3435" s="41" t="str">
        <f t="shared" si="294"/>
        <v/>
      </c>
      <c r="X3435" s="41" t="str">
        <f t="shared" si="295"/>
        <v/>
      </c>
    </row>
    <row r="3436" s="32" customFormat="1" hidden="1" customHeight="1" spans="1:24">
      <c r="A3436" s="34"/>
      <c r="B3436" s="51"/>
      <c r="C3436" s="51"/>
      <c r="D3436" s="52"/>
      <c r="E3436" s="53"/>
      <c r="F3436" s="54"/>
      <c r="G3436" s="54"/>
      <c r="H3436" s="54"/>
      <c r="I3436" s="66"/>
      <c r="J3436" s="54"/>
      <c r="K3436" s="54"/>
      <c r="L3436" s="54"/>
      <c r="M3436" s="97" t="str">
        <f t="shared" si="292"/>
        <v/>
      </c>
      <c r="N3436" s="70"/>
      <c r="O3436" s="71" t="str">
        <f t="shared" si="291"/>
        <v/>
      </c>
      <c r="P3436" s="66"/>
      <c r="Q3436" s="66"/>
      <c r="R3436" s="54"/>
      <c r="S3436" s="82"/>
      <c r="T3436" s="83" t="str">
        <f t="shared" si="293"/>
        <v/>
      </c>
      <c r="U3436" s="10"/>
      <c r="V3436" s="41">
        <f>IF(AND(Q3436&lt;&gt;"",RIGHT(Q3436,3)&lt;&gt;""),IF(COUNTIF($Q$6:Q3436,Q3436)=1,1,0),0)</f>
        <v>0</v>
      </c>
      <c r="W3436" s="41" t="str">
        <f t="shared" si="294"/>
        <v/>
      </c>
      <c r="X3436" s="41" t="str">
        <f t="shared" si="295"/>
        <v/>
      </c>
    </row>
    <row r="3437" s="32" customFormat="1" hidden="1" customHeight="1" spans="1:24">
      <c r="A3437" s="34"/>
      <c r="B3437" s="51"/>
      <c r="C3437" s="51"/>
      <c r="D3437" s="52"/>
      <c r="E3437" s="53"/>
      <c r="F3437" s="54"/>
      <c r="G3437" s="54"/>
      <c r="H3437" s="54"/>
      <c r="I3437" s="66"/>
      <c r="J3437" s="54"/>
      <c r="K3437" s="54"/>
      <c r="L3437" s="54"/>
      <c r="M3437" s="97" t="str">
        <f t="shared" si="292"/>
        <v/>
      </c>
      <c r="N3437" s="70"/>
      <c r="O3437" s="71" t="str">
        <f t="shared" si="291"/>
        <v/>
      </c>
      <c r="P3437" s="66"/>
      <c r="Q3437" s="66"/>
      <c r="R3437" s="54"/>
      <c r="S3437" s="82"/>
      <c r="T3437" s="83" t="str">
        <f t="shared" si="293"/>
        <v/>
      </c>
      <c r="U3437" s="10"/>
      <c r="V3437" s="41">
        <f>IF(AND(Q3437&lt;&gt;"",RIGHT(Q3437,3)&lt;&gt;""),IF(COUNTIF($Q$6:Q3437,Q3437)=1,1,0),0)</f>
        <v>0</v>
      </c>
      <c r="W3437" s="41" t="str">
        <f t="shared" si="294"/>
        <v/>
      </c>
      <c r="X3437" s="41" t="str">
        <f t="shared" si="295"/>
        <v/>
      </c>
    </row>
    <row r="3438" s="32" customFormat="1" hidden="1" customHeight="1" spans="1:24">
      <c r="A3438" s="34"/>
      <c r="B3438" s="51"/>
      <c r="C3438" s="51"/>
      <c r="D3438" s="52"/>
      <c r="E3438" s="53"/>
      <c r="F3438" s="54"/>
      <c r="G3438" s="54"/>
      <c r="H3438" s="54"/>
      <c r="I3438" s="66"/>
      <c r="J3438" s="54"/>
      <c r="K3438" s="54"/>
      <c r="L3438" s="54"/>
      <c r="M3438" s="97" t="str">
        <f t="shared" si="292"/>
        <v/>
      </c>
      <c r="N3438" s="70"/>
      <c r="O3438" s="71" t="str">
        <f t="shared" si="291"/>
        <v/>
      </c>
      <c r="P3438" s="66"/>
      <c r="Q3438" s="66"/>
      <c r="R3438" s="54"/>
      <c r="S3438" s="82"/>
      <c r="T3438" s="83" t="str">
        <f t="shared" si="293"/>
        <v/>
      </c>
      <c r="U3438" s="10"/>
      <c r="V3438" s="41">
        <f>IF(AND(Q3438&lt;&gt;"",RIGHT(Q3438,3)&lt;&gt;""),IF(COUNTIF($Q$6:Q3438,Q3438)=1,1,0),0)</f>
        <v>0</v>
      </c>
      <c r="W3438" s="41" t="str">
        <f t="shared" si="294"/>
        <v/>
      </c>
      <c r="X3438" s="41" t="str">
        <f t="shared" si="295"/>
        <v/>
      </c>
    </row>
    <row r="3439" s="32" customFormat="1" hidden="1" customHeight="1" spans="1:24">
      <c r="A3439" s="34"/>
      <c r="B3439" s="51"/>
      <c r="C3439" s="51"/>
      <c r="D3439" s="52"/>
      <c r="E3439" s="53"/>
      <c r="F3439" s="54"/>
      <c r="G3439" s="54"/>
      <c r="H3439" s="54"/>
      <c r="I3439" s="66"/>
      <c r="J3439" s="54"/>
      <c r="K3439" s="54"/>
      <c r="L3439" s="54"/>
      <c r="M3439" s="97" t="str">
        <f t="shared" si="292"/>
        <v/>
      </c>
      <c r="N3439" s="70"/>
      <c r="O3439" s="71" t="str">
        <f t="shared" si="291"/>
        <v/>
      </c>
      <c r="P3439" s="66"/>
      <c r="Q3439" s="66"/>
      <c r="R3439" s="54"/>
      <c r="S3439" s="82"/>
      <c r="T3439" s="83" t="str">
        <f t="shared" si="293"/>
        <v/>
      </c>
      <c r="U3439" s="10"/>
      <c r="V3439" s="41">
        <f>IF(AND(Q3439&lt;&gt;"",RIGHT(Q3439,3)&lt;&gt;""),IF(COUNTIF($Q$6:Q3439,Q3439)=1,1,0),0)</f>
        <v>0</v>
      </c>
      <c r="W3439" s="41" t="str">
        <f t="shared" si="294"/>
        <v/>
      </c>
      <c r="X3439" s="41" t="str">
        <f t="shared" si="295"/>
        <v/>
      </c>
    </row>
    <row r="3440" s="32" customFormat="1" hidden="1" customHeight="1" spans="1:24">
      <c r="A3440" s="34"/>
      <c r="B3440" s="51"/>
      <c r="C3440" s="51"/>
      <c r="D3440" s="52"/>
      <c r="E3440" s="53"/>
      <c r="F3440" s="54"/>
      <c r="G3440" s="54"/>
      <c r="H3440" s="54"/>
      <c r="I3440" s="66"/>
      <c r="J3440" s="54"/>
      <c r="K3440" s="54"/>
      <c r="L3440" s="54"/>
      <c r="M3440" s="97" t="str">
        <f t="shared" si="292"/>
        <v/>
      </c>
      <c r="N3440" s="70"/>
      <c r="O3440" s="71" t="str">
        <f t="shared" si="291"/>
        <v/>
      </c>
      <c r="P3440" s="66"/>
      <c r="Q3440" s="66"/>
      <c r="R3440" s="54"/>
      <c r="S3440" s="82"/>
      <c r="T3440" s="83" t="str">
        <f t="shared" si="293"/>
        <v/>
      </c>
      <c r="U3440" s="10"/>
      <c r="V3440" s="41">
        <f>IF(AND(Q3440&lt;&gt;"",RIGHT(Q3440,3)&lt;&gt;""),IF(COUNTIF($Q$6:Q3440,Q3440)=1,1,0),0)</f>
        <v>0</v>
      </c>
      <c r="W3440" s="41" t="str">
        <f t="shared" si="294"/>
        <v/>
      </c>
      <c r="X3440" s="41" t="str">
        <f t="shared" si="295"/>
        <v/>
      </c>
    </row>
    <row r="3441" s="32" customFormat="1" hidden="1" customHeight="1" spans="1:24">
      <c r="A3441" s="34"/>
      <c r="B3441" s="51"/>
      <c r="C3441" s="51"/>
      <c r="D3441" s="52"/>
      <c r="E3441" s="53"/>
      <c r="F3441" s="54"/>
      <c r="G3441" s="54"/>
      <c r="H3441" s="54"/>
      <c r="I3441" s="66"/>
      <c r="J3441" s="54"/>
      <c r="K3441" s="54"/>
      <c r="L3441" s="54"/>
      <c r="M3441" s="97" t="str">
        <f t="shared" si="292"/>
        <v/>
      </c>
      <c r="N3441" s="70"/>
      <c r="O3441" s="71" t="str">
        <f t="shared" ref="O3441:O3504" si="296">IF(AND(Q3441&lt;&gt;"",T3441&lt;&gt;""),"PASSIVE",IF(AND(J3441&lt;&gt;"",M3441&lt;&gt;""),"ACTIVE",""))</f>
        <v/>
      </c>
      <c r="P3441" s="66"/>
      <c r="Q3441" s="66"/>
      <c r="R3441" s="54"/>
      <c r="S3441" s="82"/>
      <c r="T3441" s="83" t="str">
        <f t="shared" si="293"/>
        <v/>
      </c>
      <c r="U3441" s="10"/>
      <c r="V3441" s="41">
        <f>IF(AND(Q3441&lt;&gt;"",RIGHT(Q3441,3)&lt;&gt;""),IF(COUNTIF($Q$6:Q3441,Q3441)=1,1,0),0)</f>
        <v>0</v>
      </c>
      <c r="W3441" s="41" t="str">
        <f t="shared" si="294"/>
        <v/>
      </c>
      <c r="X3441" s="41" t="str">
        <f t="shared" si="295"/>
        <v/>
      </c>
    </row>
    <row r="3442" s="32" customFormat="1" hidden="1" customHeight="1" spans="1:24">
      <c r="A3442" s="34"/>
      <c r="B3442" s="51"/>
      <c r="C3442" s="51"/>
      <c r="D3442" s="52"/>
      <c r="E3442" s="53"/>
      <c r="F3442" s="54"/>
      <c r="G3442" s="54"/>
      <c r="H3442" s="54"/>
      <c r="I3442" s="66"/>
      <c r="J3442" s="54"/>
      <c r="K3442" s="54"/>
      <c r="L3442" s="54"/>
      <c r="M3442" s="97" t="str">
        <f t="shared" si="292"/>
        <v/>
      </c>
      <c r="N3442" s="70"/>
      <c r="O3442" s="71" t="str">
        <f t="shared" si="296"/>
        <v/>
      </c>
      <c r="P3442" s="66"/>
      <c r="Q3442" s="66"/>
      <c r="R3442" s="54"/>
      <c r="S3442" s="82"/>
      <c r="T3442" s="83" t="str">
        <f t="shared" si="293"/>
        <v/>
      </c>
      <c r="U3442" s="10"/>
      <c r="V3442" s="41">
        <f>IF(AND(Q3442&lt;&gt;"",RIGHT(Q3442,3)&lt;&gt;""),IF(COUNTIF($Q$6:Q3442,Q3442)=1,1,0),0)</f>
        <v>0</v>
      </c>
      <c r="W3442" s="41" t="str">
        <f t="shared" si="294"/>
        <v/>
      </c>
      <c r="X3442" s="41" t="str">
        <f t="shared" si="295"/>
        <v/>
      </c>
    </row>
    <row r="3443" s="32" customFormat="1" hidden="1" customHeight="1" spans="1:24">
      <c r="A3443" s="34"/>
      <c r="B3443" s="51"/>
      <c r="C3443" s="51"/>
      <c r="D3443" s="52"/>
      <c r="E3443" s="53"/>
      <c r="F3443" s="54"/>
      <c r="G3443" s="54"/>
      <c r="H3443" s="54"/>
      <c r="I3443" s="66"/>
      <c r="J3443" s="54"/>
      <c r="K3443" s="54"/>
      <c r="L3443" s="54"/>
      <c r="M3443" s="97" t="str">
        <f t="shared" si="292"/>
        <v/>
      </c>
      <c r="N3443" s="70"/>
      <c r="O3443" s="71" t="str">
        <f t="shared" si="296"/>
        <v/>
      </c>
      <c r="P3443" s="66"/>
      <c r="Q3443" s="66"/>
      <c r="R3443" s="54"/>
      <c r="S3443" s="82"/>
      <c r="T3443" s="83" t="str">
        <f t="shared" si="293"/>
        <v/>
      </c>
      <c r="U3443" s="10"/>
      <c r="V3443" s="41">
        <f>IF(AND(Q3443&lt;&gt;"",RIGHT(Q3443,3)&lt;&gt;""),IF(COUNTIF($Q$6:Q3443,Q3443)=1,1,0),0)</f>
        <v>0</v>
      </c>
      <c r="W3443" s="41" t="str">
        <f t="shared" si="294"/>
        <v/>
      </c>
      <c r="X3443" s="41" t="str">
        <f t="shared" si="295"/>
        <v/>
      </c>
    </row>
    <row r="3444" s="32" customFormat="1" hidden="1" customHeight="1" spans="1:24">
      <c r="A3444" s="34"/>
      <c r="B3444" s="51"/>
      <c r="C3444" s="51"/>
      <c r="D3444" s="52"/>
      <c r="E3444" s="53"/>
      <c r="F3444" s="54"/>
      <c r="G3444" s="54"/>
      <c r="H3444" s="54"/>
      <c r="I3444" s="66"/>
      <c r="J3444" s="54"/>
      <c r="K3444" s="54"/>
      <c r="L3444" s="54"/>
      <c r="M3444" s="97" t="str">
        <f t="shared" si="292"/>
        <v/>
      </c>
      <c r="N3444" s="70"/>
      <c r="O3444" s="71" t="str">
        <f t="shared" si="296"/>
        <v/>
      </c>
      <c r="P3444" s="66"/>
      <c r="Q3444" s="66"/>
      <c r="R3444" s="54"/>
      <c r="S3444" s="82"/>
      <c r="T3444" s="83" t="str">
        <f t="shared" si="293"/>
        <v/>
      </c>
      <c r="U3444" s="10"/>
      <c r="V3444" s="41">
        <f>IF(AND(Q3444&lt;&gt;"",RIGHT(Q3444,3)&lt;&gt;""),IF(COUNTIF($Q$6:Q3444,Q3444)=1,1,0),0)</f>
        <v>0</v>
      </c>
      <c r="W3444" s="41" t="str">
        <f t="shared" si="294"/>
        <v/>
      </c>
      <c r="X3444" s="41" t="str">
        <f t="shared" si="295"/>
        <v/>
      </c>
    </row>
    <row r="3445" s="32" customFormat="1" hidden="1" customHeight="1" spans="1:24">
      <c r="A3445" s="34"/>
      <c r="B3445" s="51"/>
      <c r="C3445" s="51"/>
      <c r="D3445" s="52"/>
      <c r="E3445" s="53"/>
      <c r="F3445" s="54"/>
      <c r="G3445" s="54"/>
      <c r="H3445" s="54"/>
      <c r="I3445" s="66"/>
      <c r="J3445" s="54"/>
      <c r="K3445" s="54"/>
      <c r="L3445" s="54"/>
      <c r="M3445" s="97" t="str">
        <f t="shared" si="292"/>
        <v/>
      </c>
      <c r="N3445" s="70"/>
      <c r="O3445" s="71" t="str">
        <f t="shared" si="296"/>
        <v/>
      </c>
      <c r="P3445" s="66"/>
      <c r="Q3445" s="66"/>
      <c r="R3445" s="54"/>
      <c r="S3445" s="82"/>
      <c r="T3445" s="83" t="str">
        <f t="shared" si="293"/>
        <v/>
      </c>
      <c r="U3445" s="10"/>
      <c r="V3445" s="41">
        <f>IF(AND(Q3445&lt;&gt;"",RIGHT(Q3445,3)&lt;&gt;""),IF(COUNTIF($Q$6:Q3445,Q3445)=1,1,0),0)</f>
        <v>0</v>
      </c>
      <c r="W3445" s="41" t="str">
        <f t="shared" si="294"/>
        <v/>
      </c>
      <c r="X3445" s="41" t="str">
        <f t="shared" si="295"/>
        <v/>
      </c>
    </row>
    <row r="3446" s="32" customFormat="1" hidden="1" customHeight="1" spans="1:24">
      <c r="A3446" s="34"/>
      <c r="B3446" s="51"/>
      <c r="C3446" s="51"/>
      <c r="D3446" s="52"/>
      <c r="E3446" s="53"/>
      <c r="F3446" s="54"/>
      <c r="G3446" s="54"/>
      <c r="H3446" s="54"/>
      <c r="I3446" s="66"/>
      <c r="J3446" s="54"/>
      <c r="K3446" s="54"/>
      <c r="L3446" s="54"/>
      <c r="M3446" s="97" t="str">
        <f t="shared" si="292"/>
        <v/>
      </c>
      <c r="N3446" s="70"/>
      <c r="O3446" s="71" t="str">
        <f t="shared" si="296"/>
        <v/>
      </c>
      <c r="P3446" s="66"/>
      <c r="Q3446" s="66"/>
      <c r="R3446" s="54"/>
      <c r="S3446" s="82"/>
      <c r="T3446" s="83" t="str">
        <f t="shared" si="293"/>
        <v/>
      </c>
      <c r="U3446" s="10"/>
      <c r="V3446" s="41">
        <f>IF(AND(Q3446&lt;&gt;"",RIGHT(Q3446,3)&lt;&gt;""),IF(COUNTIF($Q$6:Q3446,Q3446)=1,1,0),0)</f>
        <v>0</v>
      </c>
      <c r="W3446" s="41" t="str">
        <f t="shared" si="294"/>
        <v/>
      </c>
      <c r="X3446" s="41" t="str">
        <f t="shared" si="295"/>
        <v/>
      </c>
    </row>
    <row r="3447" s="32" customFormat="1" hidden="1" customHeight="1" spans="1:24">
      <c r="A3447" s="34"/>
      <c r="B3447" s="51"/>
      <c r="C3447" s="51"/>
      <c r="D3447" s="52"/>
      <c r="E3447" s="53"/>
      <c r="F3447" s="54"/>
      <c r="G3447" s="54"/>
      <c r="H3447" s="54"/>
      <c r="I3447" s="66"/>
      <c r="J3447" s="54"/>
      <c r="K3447" s="54"/>
      <c r="L3447" s="54"/>
      <c r="M3447" s="97" t="str">
        <f t="shared" si="292"/>
        <v/>
      </c>
      <c r="N3447" s="70"/>
      <c r="O3447" s="71" t="str">
        <f t="shared" si="296"/>
        <v/>
      </c>
      <c r="P3447" s="66"/>
      <c r="Q3447" s="66"/>
      <c r="R3447" s="54"/>
      <c r="S3447" s="82"/>
      <c r="T3447" s="83" t="str">
        <f t="shared" si="293"/>
        <v/>
      </c>
      <c r="U3447" s="10"/>
      <c r="V3447" s="41">
        <f>IF(AND(Q3447&lt;&gt;"",RIGHT(Q3447,3)&lt;&gt;""),IF(COUNTIF($Q$6:Q3447,Q3447)=1,1,0),0)</f>
        <v>0</v>
      </c>
      <c r="W3447" s="41" t="str">
        <f t="shared" si="294"/>
        <v/>
      </c>
      <c r="X3447" s="41" t="str">
        <f t="shared" si="295"/>
        <v/>
      </c>
    </row>
    <row r="3448" s="32" customFormat="1" hidden="1" customHeight="1" spans="1:24">
      <c r="A3448" s="34"/>
      <c r="B3448" s="51"/>
      <c r="C3448" s="51"/>
      <c r="D3448" s="52"/>
      <c r="E3448" s="53"/>
      <c r="F3448" s="54"/>
      <c r="G3448" s="54"/>
      <c r="H3448" s="54"/>
      <c r="I3448" s="66"/>
      <c r="J3448" s="54"/>
      <c r="K3448" s="54"/>
      <c r="L3448" s="54"/>
      <c r="M3448" s="97" t="str">
        <f t="shared" si="292"/>
        <v/>
      </c>
      <c r="N3448" s="70"/>
      <c r="O3448" s="71" t="str">
        <f t="shared" si="296"/>
        <v/>
      </c>
      <c r="P3448" s="66"/>
      <c r="Q3448" s="66"/>
      <c r="R3448" s="54"/>
      <c r="S3448" s="82"/>
      <c r="T3448" s="83" t="str">
        <f t="shared" si="293"/>
        <v/>
      </c>
      <c r="U3448" s="10"/>
      <c r="V3448" s="41">
        <f>IF(AND(Q3448&lt;&gt;"",RIGHT(Q3448,3)&lt;&gt;""),IF(COUNTIF($Q$6:Q3448,Q3448)=1,1,0),0)</f>
        <v>0</v>
      </c>
      <c r="W3448" s="41" t="str">
        <f t="shared" si="294"/>
        <v/>
      </c>
      <c r="X3448" s="41" t="str">
        <f t="shared" si="295"/>
        <v/>
      </c>
    </row>
    <row r="3449" s="32" customFormat="1" hidden="1" customHeight="1" spans="1:24">
      <c r="A3449" s="34"/>
      <c r="B3449" s="51"/>
      <c r="C3449" s="51"/>
      <c r="D3449" s="52"/>
      <c r="E3449" s="53"/>
      <c r="F3449" s="54"/>
      <c r="G3449" s="54"/>
      <c r="H3449" s="54"/>
      <c r="I3449" s="66"/>
      <c r="J3449" s="54"/>
      <c r="K3449" s="54"/>
      <c r="L3449" s="54"/>
      <c r="M3449" s="97" t="str">
        <f t="shared" si="292"/>
        <v/>
      </c>
      <c r="N3449" s="70"/>
      <c r="O3449" s="71" t="str">
        <f t="shared" si="296"/>
        <v/>
      </c>
      <c r="P3449" s="66"/>
      <c r="Q3449" s="66"/>
      <c r="R3449" s="54"/>
      <c r="S3449" s="82"/>
      <c r="T3449" s="83" t="str">
        <f t="shared" si="293"/>
        <v/>
      </c>
      <c r="U3449" s="10"/>
      <c r="V3449" s="41">
        <f>IF(AND(Q3449&lt;&gt;"",RIGHT(Q3449,3)&lt;&gt;""),IF(COUNTIF($Q$6:Q3449,Q3449)=1,1,0),0)</f>
        <v>0</v>
      </c>
      <c r="W3449" s="41" t="str">
        <f t="shared" si="294"/>
        <v/>
      </c>
      <c r="X3449" s="41" t="str">
        <f t="shared" si="295"/>
        <v/>
      </c>
    </row>
    <row r="3450" s="32" customFormat="1" hidden="1" customHeight="1" spans="1:24">
      <c r="A3450" s="34"/>
      <c r="B3450" s="51"/>
      <c r="C3450" s="51"/>
      <c r="D3450" s="52"/>
      <c r="E3450" s="53"/>
      <c r="F3450" s="54"/>
      <c r="G3450" s="54"/>
      <c r="H3450" s="54"/>
      <c r="I3450" s="66"/>
      <c r="J3450" s="54"/>
      <c r="K3450" s="54"/>
      <c r="L3450" s="54"/>
      <c r="M3450" s="97" t="str">
        <f t="shared" si="292"/>
        <v/>
      </c>
      <c r="N3450" s="70"/>
      <c r="O3450" s="71" t="str">
        <f t="shared" si="296"/>
        <v/>
      </c>
      <c r="P3450" s="66"/>
      <c r="Q3450" s="66"/>
      <c r="R3450" s="54"/>
      <c r="S3450" s="82"/>
      <c r="T3450" s="83" t="str">
        <f t="shared" si="293"/>
        <v/>
      </c>
      <c r="U3450" s="10"/>
      <c r="V3450" s="41">
        <f>IF(AND(Q3450&lt;&gt;"",RIGHT(Q3450,3)&lt;&gt;""),IF(COUNTIF($Q$6:Q3450,Q3450)=1,1,0),0)</f>
        <v>0</v>
      </c>
      <c r="W3450" s="41" t="str">
        <f t="shared" si="294"/>
        <v/>
      </c>
      <c r="X3450" s="41" t="str">
        <f t="shared" si="295"/>
        <v/>
      </c>
    </row>
    <row r="3451" s="32" customFormat="1" hidden="1" customHeight="1" spans="1:24">
      <c r="A3451" s="34"/>
      <c r="B3451" s="51"/>
      <c r="C3451" s="51"/>
      <c r="D3451" s="52"/>
      <c r="E3451" s="53"/>
      <c r="F3451" s="54"/>
      <c r="G3451" s="54"/>
      <c r="H3451" s="54"/>
      <c r="I3451" s="66"/>
      <c r="J3451" s="54"/>
      <c r="K3451" s="54"/>
      <c r="L3451" s="54"/>
      <c r="M3451" s="97" t="str">
        <f t="shared" si="292"/>
        <v/>
      </c>
      <c r="N3451" s="70"/>
      <c r="O3451" s="71" t="str">
        <f t="shared" si="296"/>
        <v/>
      </c>
      <c r="P3451" s="66"/>
      <c r="Q3451" s="66"/>
      <c r="R3451" s="54"/>
      <c r="S3451" s="82"/>
      <c r="T3451" s="83" t="str">
        <f t="shared" si="293"/>
        <v/>
      </c>
      <c r="U3451" s="10"/>
      <c r="V3451" s="41">
        <f>IF(AND(Q3451&lt;&gt;"",RIGHT(Q3451,3)&lt;&gt;""),IF(COUNTIF($Q$6:Q3451,Q3451)=1,1,0),0)</f>
        <v>0</v>
      </c>
      <c r="W3451" s="41" t="str">
        <f t="shared" si="294"/>
        <v/>
      </c>
      <c r="X3451" s="41" t="str">
        <f t="shared" si="295"/>
        <v/>
      </c>
    </row>
    <row r="3452" s="32" customFormat="1" hidden="1" customHeight="1" spans="1:24">
      <c r="A3452" s="34"/>
      <c r="B3452" s="51"/>
      <c r="C3452" s="51"/>
      <c r="D3452" s="52"/>
      <c r="E3452" s="53"/>
      <c r="F3452" s="54"/>
      <c r="G3452" s="54"/>
      <c r="H3452" s="54"/>
      <c r="I3452" s="66"/>
      <c r="J3452" s="54"/>
      <c r="K3452" s="54"/>
      <c r="L3452" s="54"/>
      <c r="M3452" s="97" t="str">
        <f t="shared" si="292"/>
        <v/>
      </c>
      <c r="N3452" s="70"/>
      <c r="O3452" s="71" t="str">
        <f t="shared" si="296"/>
        <v/>
      </c>
      <c r="P3452" s="66"/>
      <c r="Q3452" s="66"/>
      <c r="R3452" s="54"/>
      <c r="S3452" s="82"/>
      <c r="T3452" s="83" t="str">
        <f t="shared" si="293"/>
        <v/>
      </c>
      <c r="U3452" s="10"/>
      <c r="V3452" s="41">
        <f>IF(AND(Q3452&lt;&gt;"",RIGHT(Q3452,3)&lt;&gt;""),IF(COUNTIF($Q$6:Q3452,Q3452)=1,1,0),0)</f>
        <v>0</v>
      </c>
      <c r="W3452" s="41" t="str">
        <f t="shared" si="294"/>
        <v/>
      </c>
      <c r="X3452" s="41" t="str">
        <f t="shared" si="295"/>
        <v/>
      </c>
    </row>
    <row r="3453" s="32" customFormat="1" hidden="1" customHeight="1" spans="1:24">
      <c r="A3453" s="34"/>
      <c r="B3453" s="51"/>
      <c r="C3453" s="51"/>
      <c r="D3453" s="52"/>
      <c r="E3453" s="53"/>
      <c r="F3453" s="54"/>
      <c r="G3453" s="54"/>
      <c r="H3453" s="54"/>
      <c r="I3453" s="66"/>
      <c r="J3453" s="54"/>
      <c r="K3453" s="54"/>
      <c r="L3453" s="54"/>
      <c r="M3453" s="97" t="str">
        <f t="shared" si="292"/>
        <v/>
      </c>
      <c r="N3453" s="70"/>
      <c r="O3453" s="71" t="str">
        <f t="shared" si="296"/>
        <v/>
      </c>
      <c r="P3453" s="66"/>
      <c r="Q3453" s="66"/>
      <c r="R3453" s="54"/>
      <c r="S3453" s="82"/>
      <c r="T3453" s="83" t="str">
        <f t="shared" si="293"/>
        <v/>
      </c>
      <c r="U3453" s="10"/>
      <c r="V3453" s="41">
        <f>IF(AND(Q3453&lt;&gt;"",RIGHT(Q3453,3)&lt;&gt;""),IF(COUNTIF($Q$6:Q3453,Q3453)=1,1,0),0)</f>
        <v>0</v>
      </c>
      <c r="W3453" s="41" t="str">
        <f t="shared" si="294"/>
        <v/>
      </c>
      <c r="X3453" s="41" t="str">
        <f t="shared" si="295"/>
        <v/>
      </c>
    </row>
    <row r="3454" s="32" customFormat="1" hidden="1" customHeight="1" spans="1:24">
      <c r="A3454" s="34"/>
      <c r="B3454" s="51"/>
      <c r="C3454" s="51"/>
      <c r="D3454" s="52"/>
      <c r="E3454" s="53"/>
      <c r="F3454" s="54"/>
      <c r="G3454" s="54"/>
      <c r="H3454" s="54"/>
      <c r="I3454" s="66"/>
      <c r="J3454" s="54"/>
      <c r="K3454" s="54"/>
      <c r="L3454" s="54"/>
      <c r="M3454" s="97" t="str">
        <f t="shared" si="292"/>
        <v/>
      </c>
      <c r="N3454" s="70"/>
      <c r="O3454" s="71" t="str">
        <f t="shared" si="296"/>
        <v/>
      </c>
      <c r="P3454" s="66"/>
      <c r="Q3454" s="66"/>
      <c r="R3454" s="54"/>
      <c r="S3454" s="82"/>
      <c r="T3454" s="83" t="str">
        <f t="shared" si="293"/>
        <v/>
      </c>
      <c r="U3454" s="10"/>
      <c r="V3454" s="41">
        <f>IF(AND(Q3454&lt;&gt;"",RIGHT(Q3454,3)&lt;&gt;""),IF(COUNTIF($Q$6:Q3454,Q3454)=1,1,0),0)</f>
        <v>0</v>
      </c>
      <c r="W3454" s="41" t="str">
        <f t="shared" si="294"/>
        <v/>
      </c>
      <c r="X3454" s="41" t="str">
        <f t="shared" si="295"/>
        <v/>
      </c>
    </row>
    <row r="3455" s="32" customFormat="1" hidden="1" customHeight="1" spans="1:24">
      <c r="A3455" s="34"/>
      <c r="B3455" s="51"/>
      <c r="C3455" s="51"/>
      <c r="D3455" s="52"/>
      <c r="E3455" s="53"/>
      <c r="F3455" s="54"/>
      <c r="G3455" s="54"/>
      <c r="H3455" s="54"/>
      <c r="I3455" s="66"/>
      <c r="J3455" s="54"/>
      <c r="K3455" s="54"/>
      <c r="L3455" s="54"/>
      <c r="M3455" s="97" t="str">
        <f t="shared" si="292"/>
        <v/>
      </c>
      <c r="N3455" s="70"/>
      <c r="O3455" s="71" t="str">
        <f t="shared" si="296"/>
        <v/>
      </c>
      <c r="P3455" s="66"/>
      <c r="Q3455" s="66"/>
      <c r="R3455" s="54"/>
      <c r="S3455" s="82"/>
      <c r="T3455" s="83" t="str">
        <f t="shared" si="293"/>
        <v/>
      </c>
      <c r="U3455" s="10"/>
      <c r="V3455" s="41">
        <f>IF(AND(Q3455&lt;&gt;"",RIGHT(Q3455,3)&lt;&gt;""),IF(COUNTIF($Q$6:Q3455,Q3455)=1,1,0),0)</f>
        <v>0</v>
      </c>
      <c r="W3455" s="41" t="str">
        <f t="shared" si="294"/>
        <v/>
      </c>
      <c r="X3455" s="41" t="str">
        <f t="shared" si="295"/>
        <v/>
      </c>
    </row>
    <row r="3456" s="32" customFormat="1" hidden="1" customHeight="1" spans="1:24">
      <c r="A3456" s="34"/>
      <c r="B3456" s="51"/>
      <c r="C3456" s="51"/>
      <c r="D3456" s="52"/>
      <c r="E3456" s="53"/>
      <c r="F3456" s="54"/>
      <c r="G3456" s="54"/>
      <c r="H3456" s="54"/>
      <c r="I3456" s="66"/>
      <c r="J3456" s="54"/>
      <c r="K3456" s="54"/>
      <c r="L3456" s="54"/>
      <c r="M3456" s="97" t="str">
        <f t="shared" si="292"/>
        <v/>
      </c>
      <c r="N3456" s="70"/>
      <c r="O3456" s="71" t="str">
        <f t="shared" si="296"/>
        <v/>
      </c>
      <c r="P3456" s="66"/>
      <c r="Q3456" s="66"/>
      <c r="R3456" s="54"/>
      <c r="S3456" s="82"/>
      <c r="T3456" s="83" t="str">
        <f t="shared" si="293"/>
        <v/>
      </c>
      <c r="U3456" s="10"/>
      <c r="V3456" s="41">
        <f>IF(AND(Q3456&lt;&gt;"",RIGHT(Q3456,3)&lt;&gt;""),IF(COUNTIF($Q$6:Q3456,Q3456)=1,1,0),0)</f>
        <v>0</v>
      </c>
      <c r="W3456" s="41" t="str">
        <f t="shared" si="294"/>
        <v/>
      </c>
      <c r="X3456" s="41" t="str">
        <f t="shared" si="295"/>
        <v/>
      </c>
    </row>
    <row r="3457" s="32" customFormat="1" hidden="1" customHeight="1" spans="1:24">
      <c r="A3457" s="34"/>
      <c r="B3457" s="51"/>
      <c r="C3457" s="51"/>
      <c r="D3457" s="52"/>
      <c r="E3457" s="53"/>
      <c r="F3457" s="54"/>
      <c r="G3457" s="54"/>
      <c r="H3457" s="54"/>
      <c r="I3457" s="66"/>
      <c r="J3457" s="54"/>
      <c r="K3457" s="54"/>
      <c r="L3457" s="54"/>
      <c r="M3457" s="97" t="str">
        <f t="shared" si="292"/>
        <v/>
      </c>
      <c r="N3457" s="70"/>
      <c r="O3457" s="71" t="str">
        <f t="shared" si="296"/>
        <v/>
      </c>
      <c r="P3457" s="66"/>
      <c r="Q3457" s="66"/>
      <c r="R3457" s="54"/>
      <c r="S3457" s="82"/>
      <c r="T3457" s="83" t="str">
        <f t="shared" si="293"/>
        <v/>
      </c>
      <c r="U3457" s="10"/>
      <c r="V3457" s="41">
        <f>IF(AND(Q3457&lt;&gt;"",RIGHT(Q3457,3)&lt;&gt;""),IF(COUNTIF($Q$6:Q3457,Q3457)=1,1,0),0)</f>
        <v>0</v>
      </c>
      <c r="W3457" s="41" t="str">
        <f t="shared" si="294"/>
        <v/>
      </c>
      <c r="X3457" s="41" t="str">
        <f t="shared" si="295"/>
        <v/>
      </c>
    </row>
    <row r="3458" s="32" customFormat="1" hidden="1" customHeight="1" spans="1:24">
      <c r="A3458" s="34"/>
      <c r="B3458" s="51"/>
      <c r="C3458" s="51"/>
      <c r="D3458" s="52"/>
      <c r="E3458" s="53"/>
      <c r="F3458" s="54"/>
      <c r="G3458" s="54"/>
      <c r="H3458" s="54"/>
      <c r="I3458" s="66"/>
      <c r="J3458" s="54"/>
      <c r="K3458" s="54"/>
      <c r="L3458" s="54"/>
      <c r="M3458" s="97" t="str">
        <f t="shared" si="292"/>
        <v/>
      </c>
      <c r="N3458" s="70"/>
      <c r="O3458" s="71" t="str">
        <f t="shared" si="296"/>
        <v/>
      </c>
      <c r="P3458" s="66"/>
      <c r="Q3458" s="66"/>
      <c r="R3458" s="54"/>
      <c r="S3458" s="82"/>
      <c r="T3458" s="83" t="str">
        <f t="shared" si="293"/>
        <v/>
      </c>
      <c r="U3458" s="10"/>
      <c r="V3458" s="41">
        <f>IF(AND(Q3458&lt;&gt;"",RIGHT(Q3458,3)&lt;&gt;""),IF(COUNTIF($Q$6:Q3458,Q3458)=1,1,0),0)</f>
        <v>0</v>
      </c>
      <c r="W3458" s="41" t="str">
        <f t="shared" si="294"/>
        <v/>
      </c>
      <c r="X3458" s="41" t="str">
        <f t="shared" si="295"/>
        <v/>
      </c>
    </row>
    <row r="3459" s="32" customFormat="1" hidden="1" customHeight="1" spans="1:24">
      <c r="A3459" s="34"/>
      <c r="B3459" s="51"/>
      <c r="C3459" s="51"/>
      <c r="D3459" s="52"/>
      <c r="E3459" s="53"/>
      <c r="F3459" s="54"/>
      <c r="G3459" s="54"/>
      <c r="H3459" s="54"/>
      <c r="I3459" s="66"/>
      <c r="J3459" s="54"/>
      <c r="K3459" s="54"/>
      <c r="L3459" s="54"/>
      <c r="M3459" s="97" t="str">
        <f t="shared" si="292"/>
        <v/>
      </c>
      <c r="N3459" s="70"/>
      <c r="O3459" s="71" t="str">
        <f t="shared" si="296"/>
        <v/>
      </c>
      <c r="P3459" s="66"/>
      <c r="Q3459" s="66"/>
      <c r="R3459" s="54"/>
      <c r="S3459" s="82"/>
      <c r="T3459" s="83" t="str">
        <f t="shared" si="293"/>
        <v/>
      </c>
      <c r="U3459" s="10"/>
      <c r="V3459" s="41">
        <f>IF(AND(Q3459&lt;&gt;"",RIGHT(Q3459,3)&lt;&gt;""),IF(COUNTIF($Q$6:Q3459,Q3459)=1,1,0),0)</f>
        <v>0</v>
      </c>
      <c r="W3459" s="41" t="str">
        <f t="shared" si="294"/>
        <v/>
      </c>
      <c r="X3459" s="41" t="str">
        <f t="shared" si="295"/>
        <v/>
      </c>
    </row>
    <row r="3460" s="32" customFormat="1" hidden="1" customHeight="1" spans="1:24">
      <c r="A3460" s="34"/>
      <c r="B3460" s="51"/>
      <c r="C3460" s="51"/>
      <c r="D3460" s="52"/>
      <c r="E3460" s="53"/>
      <c r="F3460" s="54"/>
      <c r="G3460" s="54"/>
      <c r="H3460" s="54"/>
      <c r="I3460" s="66"/>
      <c r="J3460" s="54"/>
      <c r="K3460" s="54"/>
      <c r="L3460" s="54"/>
      <c r="M3460" s="97" t="str">
        <f t="shared" si="292"/>
        <v/>
      </c>
      <c r="N3460" s="70"/>
      <c r="O3460" s="71" t="str">
        <f t="shared" si="296"/>
        <v/>
      </c>
      <c r="P3460" s="66"/>
      <c r="Q3460" s="66"/>
      <c r="R3460" s="54"/>
      <c r="S3460" s="82"/>
      <c r="T3460" s="83" t="str">
        <f t="shared" si="293"/>
        <v/>
      </c>
      <c r="U3460" s="10"/>
      <c r="V3460" s="41">
        <f>IF(AND(Q3460&lt;&gt;"",RIGHT(Q3460,3)&lt;&gt;""),IF(COUNTIF($Q$6:Q3460,Q3460)=1,1,0),0)</f>
        <v>0</v>
      </c>
      <c r="W3460" s="41" t="str">
        <f t="shared" si="294"/>
        <v/>
      </c>
      <c r="X3460" s="41" t="str">
        <f t="shared" si="295"/>
        <v/>
      </c>
    </row>
    <row r="3461" s="32" customFormat="1" hidden="1" customHeight="1" spans="1:24">
      <c r="A3461" s="34"/>
      <c r="B3461" s="51"/>
      <c r="C3461" s="51"/>
      <c r="D3461" s="52"/>
      <c r="E3461" s="53"/>
      <c r="F3461" s="54"/>
      <c r="G3461" s="54"/>
      <c r="H3461" s="54"/>
      <c r="I3461" s="66"/>
      <c r="J3461" s="54"/>
      <c r="K3461" s="54"/>
      <c r="L3461" s="54"/>
      <c r="M3461" s="97" t="str">
        <f t="shared" si="292"/>
        <v/>
      </c>
      <c r="N3461" s="70"/>
      <c r="O3461" s="71" t="str">
        <f t="shared" si="296"/>
        <v/>
      </c>
      <c r="P3461" s="66"/>
      <c r="Q3461" s="66"/>
      <c r="R3461" s="54"/>
      <c r="S3461" s="82"/>
      <c r="T3461" s="83" t="str">
        <f t="shared" si="293"/>
        <v/>
      </c>
      <c r="U3461" s="10"/>
      <c r="V3461" s="41">
        <f>IF(AND(Q3461&lt;&gt;"",RIGHT(Q3461,3)&lt;&gt;""),IF(COUNTIF($Q$6:Q3461,Q3461)=1,1,0),0)</f>
        <v>0</v>
      </c>
      <c r="W3461" s="41" t="str">
        <f t="shared" si="294"/>
        <v/>
      </c>
      <c r="X3461" s="41" t="str">
        <f t="shared" si="295"/>
        <v/>
      </c>
    </row>
    <row r="3462" s="32" customFormat="1" hidden="1" customHeight="1" spans="1:24">
      <c r="A3462" s="34"/>
      <c r="B3462" s="51"/>
      <c r="C3462" s="51"/>
      <c r="D3462" s="52"/>
      <c r="E3462" s="53"/>
      <c r="F3462" s="54"/>
      <c r="G3462" s="54"/>
      <c r="H3462" s="54"/>
      <c r="I3462" s="66"/>
      <c r="J3462" s="54"/>
      <c r="K3462" s="54"/>
      <c r="L3462" s="54"/>
      <c r="M3462" s="97" t="str">
        <f t="shared" si="292"/>
        <v/>
      </c>
      <c r="N3462" s="70"/>
      <c r="O3462" s="71" t="str">
        <f t="shared" si="296"/>
        <v/>
      </c>
      <c r="P3462" s="66"/>
      <c r="Q3462" s="66"/>
      <c r="R3462" s="54"/>
      <c r="S3462" s="82"/>
      <c r="T3462" s="83" t="str">
        <f t="shared" si="293"/>
        <v/>
      </c>
      <c r="U3462" s="10"/>
      <c r="V3462" s="41">
        <f>IF(AND(Q3462&lt;&gt;"",RIGHT(Q3462,3)&lt;&gt;""),IF(COUNTIF($Q$6:Q3462,Q3462)=1,1,0),0)</f>
        <v>0</v>
      </c>
      <c r="W3462" s="41" t="str">
        <f t="shared" si="294"/>
        <v/>
      </c>
      <c r="X3462" s="41" t="str">
        <f t="shared" si="295"/>
        <v/>
      </c>
    </row>
    <row r="3463" s="32" customFormat="1" hidden="1" customHeight="1" spans="1:24">
      <c r="A3463" s="34"/>
      <c r="B3463" s="51"/>
      <c r="C3463" s="51"/>
      <c r="D3463" s="52"/>
      <c r="E3463" s="53"/>
      <c r="F3463" s="54"/>
      <c r="G3463" s="54"/>
      <c r="H3463" s="54"/>
      <c r="I3463" s="66"/>
      <c r="J3463" s="54"/>
      <c r="K3463" s="54"/>
      <c r="L3463" s="54"/>
      <c r="M3463" s="97" t="str">
        <f t="shared" si="292"/>
        <v/>
      </c>
      <c r="N3463" s="70"/>
      <c r="O3463" s="71" t="str">
        <f t="shared" si="296"/>
        <v/>
      </c>
      <c r="P3463" s="66"/>
      <c r="Q3463" s="66"/>
      <c r="R3463" s="54"/>
      <c r="S3463" s="82"/>
      <c r="T3463" s="83" t="str">
        <f t="shared" si="293"/>
        <v/>
      </c>
      <c r="U3463" s="10"/>
      <c r="V3463" s="41">
        <f>IF(AND(Q3463&lt;&gt;"",RIGHT(Q3463,3)&lt;&gt;""),IF(COUNTIF($Q$6:Q3463,Q3463)=1,1,0),0)</f>
        <v>0</v>
      </c>
      <c r="W3463" s="41" t="str">
        <f t="shared" si="294"/>
        <v/>
      </c>
      <c r="X3463" s="41" t="str">
        <f t="shared" si="295"/>
        <v/>
      </c>
    </row>
    <row r="3464" s="32" customFormat="1" hidden="1" customHeight="1" spans="1:24">
      <c r="A3464" s="34"/>
      <c r="B3464" s="51"/>
      <c r="C3464" s="51"/>
      <c r="D3464" s="52"/>
      <c r="E3464" s="53"/>
      <c r="F3464" s="54"/>
      <c r="G3464" s="54"/>
      <c r="H3464" s="54"/>
      <c r="I3464" s="66"/>
      <c r="J3464" s="54"/>
      <c r="K3464" s="54"/>
      <c r="L3464" s="54"/>
      <c r="M3464" s="97" t="str">
        <f t="shared" si="292"/>
        <v/>
      </c>
      <c r="N3464" s="70"/>
      <c r="O3464" s="71" t="str">
        <f t="shared" si="296"/>
        <v/>
      </c>
      <c r="P3464" s="66"/>
      <c r="Q3464" s="66"/>
      <c r="R3464" s="54"/>
      <c r="S3464" s="82"/>
      <c r="T3464" s="83" t="str">
        <f t="shared" si="293"/>
        <v/>
      </c>
      <c r="U3464" s="10"/>
      <c r="V3464" s="41">
        <f>IF(AND(Q3464&lt;&gt;"",RIGHT(Q3464,3)&lt;&gt;""),IF(COUNTIF($Q$6:Q3464,Q3464)=1,1,0),0)</f>
        <v>0</v>
      </c>
      <c r="W3464" s="41" t="str">
        <f t="shared" si="294"/>
        <v/>
      </c>
      <c r="X3464" s="41" t="str">
        <f t="shared" si="295"/>
        <v/>
      </c>
    </row>
    <row r="3465" s="32" customFormat="1" hidden="1" customHeight="1" spans="1:24">
      <c r="A3465" s="34"/>
      <c r="B3465" s="51"/>
      <c r="C3465" s="51"/>
      <c r="D3465" s="52"/>
      <c r="E3465" s="53"/>
      <c r="F3465" s="54"/>
      <c r="G3465" s="54"/>
      <c r="H3465" s="54"/>
      <c r="I3465" s="66"/>
      <c r="J3465" s="54"/>
      <c r="K3465" s="54"/>
      <c r="L3465" s="54"/>
      <c r="M3465" s="97" t="str">
        <f t="shared" si="292"/>
        <v/>
      </c>
      <c r="N3465" s="70"/>
      <c r="O3465" s="71" t="str">
        <f t="shared" si="296"/>
        <v/>
      </c>
      <c r="P3465" s="66"/>
      <c r="Q3465" s="66"/>
      <c r="R3465" s="54"/>
      <c r="S3465" s="82"/>
      <c r="T3465" s="83" t="str">
        <f t="shared" si="293"/>
        <v/>
      </c>
      <c r="U3465" s="10"/>
      <c r="V3465" s="41">
        <f>IF(AND(Q3465&lt;&gt;"",RIGHT(Q3465,3)&lt;&gt;""),IF(COUNTIF($Q$6:Q3465,Q3465)=1,1,0),0)</f>
        <v>0</v>
      </c>
      <c r="W3465" s="41" t="str">
        <f t="shared" si="294"/>
        <v/>
      </c>
      <c r="X3465" s="41" t="str">
        <f t="shared" si="295"/>
        <v/>
      </c>
    </row>
    <row r="3466" s="32" customFormat="1" hidden="1" customHeight="1" spans="1:24">
      <c r="A3466" s="34"/>
      <c r="B3466" s="51"/>
      <c r="C3466" s="51"/>
      <c r="D3466" s="52"/>
      <c r="E3466" s="53"/>
      <c r="F3466" s="54"/>
      <c r="G3466" s="54"/>
      <c r="H3466" s="54"/>
      <c r="I3466" s="66"/>
      <c r="J3466" s="54"/>
      <c r="K3466" s="54"/>
      <c r="L3466" s="54"/>
      <c r="M3466" s="97" t="str">
        <f t="shared" si="292"/>
        <v/>
      </c>
      <c r="N3466" s="70"/>
      <c r="O3466" s="71" t="str">
        <f t="shared" si="296"/>
        <v/>
      </c>
      <c r="P3466" s="66"/>
      <c r="Q3466" s="66"/>
      <c r="R3466" s="54"/>
      <c r="S3466" s="82"/>
      <c r="T3466" s="83" t="str">
        <f t="shared" si="293"/>
        <v/>
      </c>
      <c r="U3466" s="10"/>
      <c r="V3466" s="41">
        <f>IF(AND(Q3466&lt;&gt;"",RIGHT(Q3466,3)&lt;&gt;""),IF(COUNTIF($Q$6:Q3466,Q3466)=1,1,0),0)</f>
        <v>0</v>
      </c>
      <c r="W3466" s="41" t="str">
        <f t="shared" si="294"/>
        <v/>
      </c>
      <c r="X3466" s="41" t="str">
        <f t="shared" si="295"/>
        <v/>
      </c>
    </row>
    <row r="3467" s="32" customFormat="1" hidden="1" customHeight="1" spans="1:24">
      <c r="A3467" s="34"/>
      <c r="B3467" s="51"/>
      <c r="C3467" s="51"/>
      <c r="D3467" s="52"/>
      <c r="E3467" s="53"/>
      <c r="F3467" s="54"/>
      <c r="G3467" s="54"/>
      <c r="H3467" s="54"/>
      <c r="I3467" s="66"/>
      <c r="J3467" s="54"/>
      <c r="K3467" s="54"/>
      <c r="L3467" s="54"/>
      <c r="M3467" s="97" t="str">
        <f t="shared" si="292"/>
        <v/>
      </c>
      <c r="N3467" s="70"/>
      <c r="O3467" s="71" t="str">
        <f t="shared" si="296"/>
        <v/>
      </c>
      <c r="P3467" s="66"/>
      <c r="Q3467" s="66"/>
      <c r="R3467" s="54"/>
      <c r="S3467" s="82"/>
      <c r="T3467" s="83" t="str">
        <f t="shared" si="293"/>
        <v/>
      </c>
      <c r="U3467" s="10"/>
      <c r="V3467" s="41">
        <f>IF(AND(Q3467&lt;&gt;"",RIGHT(Q3467,3)&lt;&gt;""),IF(COUNTIF($Q$6:Q3467,Q3467)=1,1,0),0)</f>
        <v>0</v>
      </c>
      <c r="W3467" s="41" t="str">
        <f t="shared" si="294"/>
        <v/>
      </c>
      <c r="X3467" s="41" t="str">
        <f t="shared" si="295"/>
        <v/>
      </c>
    </row>
    <row r="3468" s="32" customFormat="1" hidden="1" customHeight="1" spans="1:24">
      <c r="A3468" s="34"/>
      <c r="B3468" s="51"/>
      <c r="C3468" s="51"/>
      <c r="D3468" s="52"/>
      <c r="E3468" s="53"/>
      <c r="F3468" s="54"/>
      <c r="G3468" s="54"/>
      <c r="H3468" s="54"/>
      <c r="I3468" s="66"/>
      <c r="J3468" s="54"/>
      <c r="K3468" s="54"/>
      <c r="L3468" s="54"/>
      <c r="M3468" s="97" t="str">
        <f t="shared" si="292"/>
        <v/>
      </c>
      <c r="N3468" s="70"/>
      <c r="O3468" s="71" t="str">
        <f t="shared" si="296"/>
        <v/>
      </c>
      <c r="P3468" s="66"/>
      <c r="Q3468" s="66"/>
      <c r="R3468" s="54"/>
      <c r="S3468" s="82"/>
      <c r="T3468" s="83" t="str">
        <f t="shared" si="293"/>
        <v/>
      </c>
      <c r="U3468" s="10"/>
      <c r="V3468" s="41">
        <f>IF(AND(Q3468&lt;&gt;"",RIGHT(Q3468,3)&lt;&gt;""),IF(COUNTIF($Q$6:Q3468,Q3468)=1,1,0),0)</f>
        <v>0</v>
      </c>
      <c r="W3468" s="41" t="str">
        <f t="shared" si="294"/>
        <v/>
      </c>
      <c r="X3468" s="41" t="str">
        <f t="shared" si="295"/>
        <v/>
      </c>
    </row>
    <row r="3469" s="32" customFormat="1" hidden="1" customHeight="1" spans="1:24">
      <c r="A3469" s="34"/>
      <c r="B3469" s="51"/>
      <c r="C3469" s="51"/>
      <c r="D3469" s="52"/>
      <c r="E3469" s="53"/>
      <c r="F3469" s="54"/>
      <c r="G3469" s="54"/>
      <c r="H3469" s="54"/>
      <c r="I3469" s="66"/>
      <c r="J3469" s="54"/>
      <c r="K3469" s="54"/>
      <c r="L3469" s="54"/>
      <c r="M3469" s="97" t="str">
        <f t="shared" si="292"/>
        <v/>
      </c>
      <c r="N3469" s="70"/>
      <c r="O3469" s="71" t="str">
        <f t="shared" si="296"/>
        <v/>
      </c>
      <c r="P3469" s="66"/>
      <c r="Q3469" s="66"/>
      <c r="R3469" s="54"/>
      <c r="S3469" s="82"/>
      <c r="T3469" s="83" t="str">
        <f t="shared" si="293"/>
        <v/>
      </c>
      <c r="U3469" s="10"/>
      <c r="V3469" s="41">
        <f>IF(AND(Q3469&lt;&gt;"",RIGHT(Q3469,3)&lt;&gt;""),IF(COUNTIF($Q$6:Q3469,Q3469)=1,1,0),0)</f>
        <v>0</v>
      </c>
      <c r="W3469" s="41" t="str">
        <f t="shared" si="294"/>
        <v/>
      </c>
      <c r="X3469" s="41" t="str">
        <f t="shared" si="295"/>
        <v/>
      </c>
    </row>
    <row r="3470" s="32" customFormat="1" hidden="1" customHeight="1" spans="1:24">
      <c r="A3470" s="34"/>
      <c r="B3470" s="51"/>
      <c r="C3470" s="51"/>
      <c r="D3470" s="52"/>
      <c r="E3470" s="53"/>
      <c r="F3470" s="54"/>
      <c r="G3470" s="54"/>
      <c r="H3470" s="54"/>
      <c r="I3470" s="66"/>
      <c r="J3470" s="54"/>
      <c r="K3470" s="54"/>
      <c r="L3470" s="54"/>
      <c r="M3470" s="97" t="str">
        <f t="shared" si="292"/>
        <v/>
      </c>
      <c r="N3470" s="70"/>
      <c r="O3470" s="71" t="str">
        <f t="shared" si="296"/>
        <v/>
      </c>
      <c r="P3470" s="66"/>
      <c r="Q3470" s="66"/>
      <c r="R3470" s="54"/>
      <c r="S3470" s="82"/>
      <c r="T3470" s="83" t="str">
        <f t="shared" si="293"/>
        <v/>
      </c>
      <c r="U3470" s="10"/>
      <c r="V3470" s="41">
        <f>IF(AND(Q3470&lt;&gt;"",RIGHT(Q3470,3)&lt;&gt;""),IF(COUNTIF($Q$6:Q3470,Q3470)=1,1,0),0)</f>
        <v>0</v>
      </c>
      <c r="W3470" s="41" t="str">
        <f t="shared" si="294"/>
        <v/>
      </c>
      <c r="X3470" s="41" t="str">
        <f t="shared" si="295"/>
        <v/>
      </c>
    </row>
    <row r="3471" s="32" customFormat="1" hidden="1" customHeight="1" spans="1:24">
      <c r="A3471" s="34"/>
      <c r="B3471" s="51"/>
      <c r="C3471" s="51"/>
      <c r="D3471" s="52"/>
      <c r="E3471" s="53"/>
      <c r="F3471" s="54"/>
      <c r="G3471" s="54"/>
      <c r="H3471" s="54"/>
      <c r="I3471" s="66"/>
      <c r="J3471" s="54"/>
      <c r="K3471" s="54"/>
      <c r="L3471" s="54"/>
      <c r="M3471" s="97" t="str">
        <f t="shared" si="292"/>
        <v/>
      </c>
      <c r="N3471" s="70"/>
      <c r="O3471" s="71" t="str">
        <f t="shared" si="296"/>
        <v/>
      </c>
      <c r="P3471" s="66"/>
      <c r="Q3471" s="66"/>
      <c r="R3471" s="54"/>
      <c r="S3471" s="82"/>
      <c r="T3471" s="83" t="str">
        <f t="shared" si="293"/>
        <v/>
      </c>
      <c r="U3471" s="10"/>
      <c r="V3471" s="41">
        <f>IF(AND(Q3471&lt;&gt;"",RIGHT(Q3471,3)&lt;&gt;""),IF(COUNTIF($Q$6:Q3471,Q3471)=1,1,0),0)</f>
        <v>0</v>
      </c>
      <c r="W3471" s="41" t="str">
        <f t="shared" si="294"/>
        <v/>
      </c>
      <c r="X3471" s="41" t="str">
        <f t="shared" si="295"/>
        <v/>
      </c>
    </row>
    <row r="3472" s="32" customFormat="1" hidden="1" customHeight="1" spans="1:24">
      <c r="A3472" s="34"/>
      <c r="B3472" s="51"/>
      <c r="C3472" s="51"/>
      <c r="D3472" s="52"/>
      <c r="E3472" s="53"/>
      <c r="F3472" s="54"/>
      <c r="G3472" s="54"/>
      <c r="H3472" s="54"/>
      <c r="I3472" s="66"/>
      <c r="J3472" s="54"/>
      <c r="K3472" s="54"/>
      <c r="L3472" s="54"/>
      <c r="M3472" s="97" t="str">
        <f t="shared" si="292"/>
        <v/>
      </c>
      <c r="N3472" s="70"/>
      <c r="O3472" s="71" t="str">
        <f t="shared" si="296"/>
        <v/>
      </c>
      <c r="P3472" s="66"/>
      <c r="Q3472" s="66"/>
      <c r="R3472" s="54"/>
      <c r="S3472" s="82"/>
      <c r="T3472" s="83" t="str">
        <f t="shared" si="293"/>
        <v/>
      </c>
      <c r="U3472" s="10"/>
      <c r="V3472" s="41">
        <f>IF(AND(Q3472&lt;&gt;"",RIGHT(Q3472,3)&lt;&gt;""),IF(COUNTIF($Q$6:Q3472,Q3472)=1,1,0),0)</f>
        <v>0</v>
      </c>
      <c r="W3472" s="41" t="str">
        <f t="shared" si="294"/>
        <v/>
      </c>
      <c r="X3472" s="41" t="str">
        <f t="shared" si="295"/>
        <v/>
      </c>
    </row>
    <row r="3473" s="32" customFormat="1" hidden="1" customHeight="1" spans="1:24">
      <c r="A3473" s="34"/>
      <c r="B3473" s="51"/>
      <c r="C3473" s="51"/>
      <c r="D3473" s="52"/>
      <c r="E3473" s="53"/>
      <c r="F3473" s="54"/>
      <c r="G3473" s="54"/>
      <c r="H3473" s="54"/>
      <c r="I3473" s="66"/>
      <c r="J3473" s="54"/>
      <c r="K3473" s="54"/>
      <c r="L3473" s="54"/>
      <c r="M3473" s="97" t="str">
        <f t="shared" si="292"/>
        <v/>
      </c>
      <c r="N3473" s="70"/>
      <c r="O3473" s="71" t="str">
        <f t="shared" si="296"/>
        <v/>
      </c>
      <c r="P3473" s="66"/>
      <c r="Q3473" s="66"/>
      <c r="R3473" s="54"/>
      <c r="S3473" s="82"/>
      <c r="T3473" s="83" t="str">
        <f t="shared" si="293"/>
        <v/>
      </c>
      <c r="U3473" s="10"/>
      <c r="V3473" s="41">
        <f>IF(AND(Q3473&lt;&gt;"",RIGHT(Q3473,3)&lt;&gt;""),IF(COUNTIF($Q$6:Q3473,Q3473)=1,1,0),0)</f>
        <v>0</v>
      </c>
      <c r="W3473" s="41" t="str">
        <f t="shared" si="294"/>
        <v/>
      </c>
      <c r="X3473" s="41" t="str">
        <f t="shared" si="295"/>
        <v/>
      </c>
    </row>
    <row r="3474" s="32" customFormat="1" hidden="1" customHeight="1" spans="1:24">
      <c r="A3474" s="34"/>
      <c r="B3474" s="51"/>
      <c r="C3474" s="51"/>
      <c r="D3474" s="52"/>
      <c r="E3474" s="53"/>
      <c r="F3474" s="54"/>
      <c r="G3474" s="54"/>
      <c r="H3474" s="54"/>
      <c r="I3474" s="66"/>
      <c r="J3474" s="54"/>
      <c r="K3474" s="54"/>
      <c r="L3474" s="54"/>
      <c r="M3474" s="97" t="str">
        <f t="shared" si="292"/>
        <v/>
      </c>
      <c r="N3474" s="70"/>
      <c r="O3474" s="71" t="str">
        <f t="shared" si="296"/>
        <v/>
      </c>
      <c r="P3474" s="66"/>
      <c r="Q3474" s="66"/>
      <c r="R3474" s="54"/>
      <c r="S3474" s="82"/>
      <c r="T3474" s="83" t="str">
        <f t="shared" si="293"/>
        <v/>
      </c>
      <c r="U3474" s="10"/>
      <c r="V3474" s="41">
        <f>IF(AND(Q3474&lt;&gt;"",RIGHT(Q3474,3)&lt;&gt;""),IF(COUNTIF($Q$6:Q3474,Q3474)=1,1,0),0)</f>
        <v>0</v>
      </c>
      <c r="W3474" s="41" t="str">
        <f t="shared" si="294"/>
        <v/>
      </c>
      <c r="X3474" s="41" t="str">
        <f t="shared" si="295"/>
        <v/>
      </c>
    </row>
    <row r="3475" s="32" customFormat="1" hidden="1" customHeight="1" spans="1:24">
      <c r="A3475" s="34"/>
      <c r="B3475" s="51"/>
      <c r="C3475" s="51"/>
      <c r="D3475" s="52"/>
      <c r="E3475" s="53"/>
      <c r="F3475" s="54"/>
      <c r="G3475" s="54"/>
      <c r="H3475" s="54"/>
      <c r="I3475" s="66"/>
      <c r="J3475" s="54"/>
      <c r="K3475" s="54"/>
      <c r="L3475" s="54"/>
      <c r="M3475" s="97" t="str">
        <f t="shared" si="292"/>
        <v/>
      </c>
      <c r="N3475" s="70"/>
      <c r="O3475" s="71" t="str">
        <f t="shared" si="296"/>
        <v/>
      </c>
      <c r="P3475" s="66"/>
      <c r="Q3475" s="66"/>
      <c r="R3475" s="54"/>
      <c r="S3475" s="82"/>
      <c r="T3475" s="83" t="str">
        <f t="shared" si="293"/>
        <v/>
      </c>
      <c r="U3475" s="10"/>
      <c r="V3475" s="41">
        <f>IF(AND(Q3475&lt;&gt;"",RIGHT(Q3475,3)&lt;&gt;""),IF(COUNTIF($Q$6:Q3475,Q3475)=1,1,0),0)</f>
        <v>0</v>
      </c>
      <c r="W3475" s="41" t="str">
        <f t="shared" si="294"/>
        <v/>
      </c>
      <c r="X3475" s="41" t="str">
        <f t="shared" si="295"/>
        <v/>
      </c>
    </row>
    <row r="3476" s="32" customFormat="1" hidden="1" customHeight="1" spans="1:24">
      <c r="A3476" s="34"/>
      <c r="B3476" s="51"/>
      <c r="C3476" s="51"/>
      <c r="D3476" s="52"/>
      <c r="E3476" s="53"/>
      <c r="F3476" s="54"/>
      <c r="G3476" s="54"/>
      <c r="H3476" s="54"/>
      <c r="I3476" s="66"/>
      <c r="J3476" s="54"/>
      <c r="K3476" s="54"/>
      <c r="L3476" s="54"/>
      <c r="M3476" s="97" t="str">
        <f t="shared" si="292"/>
        <v/>
      </c>
      <c r="N3476" s="70"/>
      <c r="O3476" s="71" t="str">
        <f t="shared" si="296"/>
        <v/>
      </c>
      <c r="P3476" s="66"/>
      <c r="Q3476" s="66"/>
      <c r="R3476" s="54"/>
      <c r="S3476" s="82"/>
      <c r="T3476" s="83" t="str">
        <f t="shared" si="293"/>
        <v/>
      </c>
      <c r="U3476" s="10"/>
      <c r="V3476" s="41">
        <f>IF(AND(Q3476&lt;&gt;"",RIGHT(Q3476,3)&lt;&gt;""),IF(COUNTIF($Q$6:Q3476,Q3476)=1,1,0),0)</f>
        <v>0</v>
      </c>
      <c r="W3476" s="41" t="str">
        <f t="shared" si="294"/>
        <v/>
      </c>
      <c r="X3476" s="41" t="str">
        <f t="shared" si="295"/>
        <v/>
      </c>
    </row>
    <row r="3477" s="32" customFormat="1" hidden="1" customHeight="1" spans="1:24">
      <c r="A3477" s="34"/>
      <c r="B3477" s="51"/>
      <c r="C3477" s="51"/>
      <c r="D3477" s="52"/>
      <c r="E3477" s="53"/>
      <c r="F3477" s="54"/>
      <c r="G3477" s="54"/>
      <c r="H3477" s="54"/>
      <c r="I3477" s="66"/>
      <c r="J3477" s="54"/>
      <c r="K3477" s="54"/>
      <c r="L3477" s="54"/>
      <c r="M3477" s="97" t="str">
        <f t="shared" si="292"/>
        <v/>
      </c>
      <c r="N3477" s="70"/>
      <c r="O3477" s="71" t="str">
        <f t="shared" si="296"/>
        <v/>
      </c>
      <c r="P3477" s="66"/>
      <c r="Q3477" s="66"/>
      <c r="R3477" s="54"/>
      <c r="S3477" s="82"/>
      <c r="T3477" s="83" t="str">
        <f t="shared" si="293"/>
        <v/>
      </c>
      <c r="U3477" s="10"/>
      <c r="V3477" s="41">
        <f>IF(AND(Q3477&lt;&gt;"",RIGHT(Q3477,3)&lt;&gt;""),IF(COUNTIF($Q$6:Q3477,Q3477)=1,1,0),0)</f>
        <v>0</v>
      </c>
      <c r="W3477" s="41" t="str">
        <f t="shared" si="294"/>
        <v/>
      </c>
      <c r="X3477" s="41" t="str">
        <f t="shared" si="295"/>
        <v/>
      </c>
    </row>
    <row r="3478" s="32" customFormat="1" hidden="1" customHeight="1" spans="1:24">
      <c r="A3478" s="34"/>
      <c r="B3478" s="51"/>
      <c r="C3478" s="51"/>
      <c r="D3478" s="52"/>
      <c r="E3478" s="53"/>
      <c r="F3478" s="54"/>
      <c r="G3478" s="54"/>
      <c r="H3478" s="54"/>
      <c r="I3478" s="66"/>
      <c r="J3478" s="54"/>
      <c r="K3478" s="54"/>
      <c r="L3478" s="54"/>
      <c r="M3478" s="97" t="str">
        <f t="shared" si="292"/>
        <v/>
      </c>
      <c r="N3478" s="70"/>
      <c r="O3478" s="71" t="str">
        <f t="shared" si="296"/>
        <v/>
      </c>
      <c r="P3478" s="66"/>
      <c r="Q3478" s="66"/>
      <c r="R3478" s="54"/>
      <c r="S3478" s="82"/>
      <c r="T3478" s="83" t="str">
        <f t="shared" si="293"/>
        <v/>
      </c>
      <c r="U3478" s="10"/>
      <c r="V3478" s="41">
        <f>IF(AND(Q3478&lt;&gt;"",RIGHT(Q3478,3)&lt;&gt;""),IF(COUNTIF($Q$6:Q3478,Q3478)=1,1,0),0)</f>
        <v>0</v>
      </c>
      <c r="W3478" s="41" t="str">
        <f t="shared" si="294"/>
        <v/>
      </c>
      <c r="X3478" s="41" t="str">
        <f t="shared" si="295"/>
        <v/>
      </c>
    </row>
    <row r="3479" s="32" customFormat="1" hidden="1" customHeight="1" spans="1:24">
      <c r="A3479" s="34"/>
      <c r="B3479" s="51"/>
      <c r="C3479" s="51"/>
      <c r="D3479" s="52"/>
      <c r="E3479" s="53"/>
      <c r="F3479" s="54"/>
      <c r="G3479" s="54"/>
      <c r="H3479" s="54"/>
      <c r="I3479" s="66"/>
      <c r="J3479" s="54"/>
      <c r="K3479" s="54"/>
      <c r="L3479" s="54"/>
      <c r="M3479" s="97" t="str">
        <f t="shared" si="292"/>
        <v/>
      </c>
      <c r="N3479" s="70"/>
      <c r="O3479" s="71" t="str">
        <f t="shared" si="296"/>
        <v/>
      </c>
      <c r="P3479" s="66"/>
      <c r="Q3479" s="66"/>
      <c r="R3479" s="54"/>
      <c r="S3479" s="82"/>
      <c r="T3479" s="83" t="str">
        <f t="shared" si="293"/>
        <v/>
      </c>
      <c r="U3479" s="10"/>
      <c r="V3479" s="41">
        <f>IF(AND(Q3479&lt;&gt;"",RIGHT(Q3479,3)&lt;&gt;""),IF(COUNTIF($Q$6:Q3479,Q3479)=1,1,0),0)</f>
        <v>0</v>
      </c>
      <c r="W3479" s="41" t="str">
        <f t="shared" si="294"/>
        <v/>
      </c>
      <c r="X3479" s="41" t="str">
        <f t="shared" si="295"/>
        <v/>
      </c>
    </row>
    <row r="3480" s="32" customFormat="1" hidden="1" customHeight="1" spans="1:24">
      <c r="A3480" s="34"/>
      <c r="B3480" s="51"/>
      <c r="C3480" s="51"/>
      <c r="D3480" s="52"/>
      <c r="E3480" s="53"/>
      <c r="F3480" s="54"/>
      <c r="G3480" s="54"/>
      <c r="H3480" s="54"/>
      <c r="I3480" s="66"/>
      <c r="J3480" s="54"/>
      <c r="K3480" s="54"/>
      <c r="L3480" s="54"/>
      <c r="M3480" s="97" t="str">
        <f t="shared" si="292"/>
        <v/>
      </c>
      <c r="N3480" s="70"/>
      <c r="O3480" s="71" t="str">
        <f t="shared" si="296"/>
        <v/>
      </c>
      <c r="P3480" s="66"/>
      <c r="Q3480" s="66"/>
      <c r="R3480" s="54"/>
      <c r="S3480" s="82"/>
      <c r="T3480" s="83" t="str">
        <f t="shared" si="293"/>
        <v/>
      </c>
      <c r="U3480" s="10"/>
      <c r="V3480" s="41">
        <f>IF(AND(Q3480&lt;&gt;"",RIGHT(Q3480,3)&lt;&gt;""),IF(COUNTIF($Q$6:Q3480,Q3480)=1,1,0),0)</f>
        <v>0</v>
      </c>
      <c r="W3480" s="41" t="str">
        <f t="shared" si="294"/>
        <v/>
      </c>
      <c r="X3480" s="41" t="str">
        <f t="shared" si="295"/>
        <v/>
      </c>
    </row>
    <row r="3481" s="32" customFormat="1" hidden="1" customHeight="1" spans="1:24">
      <c r="A3481" s="34"/>
      <c r="B3481" s="51"/>
      <c r="C3481" s="51"/>
      <c r="D3481" s="52"/>
      <c r="E3481" s="53"/>
      <c r="F3481" s="54"/>
      <c r="G3481" s="54"/>
      <c r="H3481" s="54"/>
      <c r="I3481" s="66"/>
      <c r="J3481" s="54"/>
      <c r="K3481" s="54"/>
      <c r="L3481" s="54"/>
      <c r="M3481" s="97" t="str">
        <f t="shared" si="292"/>
        <v/>
      </c>
      <c r="N3481" s="70"/>
      <c r="O3481" s="71" t="str">
        <f t="shared" si="296"/>
        <v/>
      </c>
      <c r="P3481" s="66"/>
      <c r="Q3481" s="66"/>
      <c r="R3481" s="54"/>
      <c r="S3481" s="82"/>
      <c r="T3481" s="83" t="str">
        <f t="shared" si="293"/>
        <v/>
      </c>
      <c r="U3481" s="10"/>
      <c r="V3481" s="41">
        <f>IF(AND(Q3481&lt;&gt;"",RIGHT(Q3481,3)&lt;&gt;""),IF(COUNTIF($Q$6:Q3481,Q3481)=1,1,0),0)</f>
        <v>0</v>
      </c>
      <c r="W3481" s="41" t="str">
        <f t="shared" si="294"/>
        <v/>
      </c>
      <c r="X3481" s="41" t="str">
        <f t="shared" si="295"/>
        <v/>
      </c>
    </row>
    <row r="3482" s="32" customFormat="1" hidden="1" customHeight="1" spans="1:24">
      <c r="A3482" s="34"/>
      <c r="B3482" s="51"/>
      <c r="C3482" s="51"/>
      <c r="D3482" s="52"/>
      <c r="E3482" s="53"/>
      <c r="F3482" s="54"/>
      <c r="G3482" s="54"/>
      <c r="H3482" s="54"/>
      <c r="I3482" s="66"/>
      <c r="J3482" s="54"/>
      <c r="K3482" s="54"/>
      <c r="L3482" s="54"/>
      <c r="M3482" s="97" t="str">
        <f t="shared" si="292"/>
        <v/>
      </c>
      <c r="N3482" s="70"/>
      <c r="O3482" s="71" t="str">
        <f t="shared" si="296"/>
        <v/>
      </c>
      <c r="P3482" s="66"/>
      <c r="Q3482" s="66"/>
      <c r="R3482" s="54"/>
      <c r="S3482" s="82"/>
      <c r="T3482" s="83" t="str">
        <f t="shared" si="293"/>
        <v/>
      </c>
      <c r="U3482" s="10"/>
      <c r="V3482" s="41">
        <f>IF(AND(Q3482&lt;&gt;"",RIGHT(Q3482,3)&lt;&gt;""),IF(COUNTIF($Q$6:Q3482,Q3482)=1,1,0),0)</f>
        <v>0</v>
      </c>
      <c r="W3482" s="41" t="str">
        <f t="shared" si="294"/>
        <v/>
      </c>
      <c r="X3482" s="41" t="str">
        <f t="shared" si="295"/>
        <v/>
      </c>
    </row>
    <row r="3483" s="32" customFormat="1" hidden="1" customHeight="1" spans="1:24">
      <c r="A3483" s="34"/>
      <c r="B3483" s="51"/>
      <c r="C3483" s="51"/>
      <c r="D3483" s="52"/>
      <c r="E3483" s="53"/>
      <c r="F3483" s="54"/>
      <c r="G3483" s="54"/>
      <c r="H3483" s="54"/>
      <c r="I3483" s="66"/>
      <c r="J3483" s="54"/>
      <c r="K3483" s="54"/>
      <c r="L3483" s="54"/>
      <c r="M3483" s="97" t="str">
        <f t="shared" si="292"/>
        <v/>
      </c>
      <c r="N3483" s="70"/>
      <c r="O3483" s="71" t="str">
        <f t="shared" si="296"/>
        <v/>
      </c>
      <c r="P3483" s="66"/>
      <c r="Q3483" s="66"/>
      <c r="R3483" s="54"/>
      <c r="S3483" s="82"/>
      <c r="T3483" s="83" t="str">
        <f t="shared" si="293"/>
        <v/>
      </c>
      <c r="U3483" s="10"/>
      <c r="V3483" s="41">
        <f>IF(AND(Q3483&lt;&gt;"",RIGHT(Q3483,3)&lt;&gt;""),IF(COUNTIF($Q$6:Q3483,Q3483)=1,1,0),0)</f>
        <v>0</v>
      </c>
      <c r="W3483" s="41" t="str">
        <f t="shared" si="294"/>
        <v/>
      </c>
      <c r="X3483" s="41" t="str">
        <f t="shared" si="295"/>
        <v/>
      </c>
    </row>
    <row r="3484" s="32" customFormat="1" hidden="1" customHeight="1" spans="1:24">
      <c r="A3484" s="34"/>
      <c r="B3484" s="51"/>
      <c r="C3484" s="51"/>
      <c r="D3484" s="52"/>
      <c r="E3484" s="53"/>
      <c r="F3484" s="54"/>
      <c r="G3484" s="54"/>
      <c r="H3484" s="54"/>
      <c r="I3484" s="66"/>
      <c r="J3484" s="54"/>
      <c r="K3484" s="54"/>
      <c r="L3484" s="54"/>
      <c r="M3484" s="97" t="str">
        <f t="shared" si="292"/>
        <v/>
      </c>
      <c r="N3484" s="70"/>
      <c r="O3484" s="71" t="str">
        <f t="shared" si="296"/>
        <v/>
      </c>
      <c r="P3484" s="66"/>
      <c r="Q3484" s="66"/>
      <c r="R3484" s="54"/>
      <c r="S3484" s="82"/>
      <c r="T3484" s="83" t="str">
        <f t="shared" si="293"/>
        <v/>
      </c>
      <c r="U3484" s="10"/>
      <c r="V3484" s="41">
        <f>IF(AND(Q3484&lt;&gt;"",RIGHT(Q3484,3)&lt;&gt;""),IF(COUNTIF($Q$6:Q3484,Q3484)=1,1,0),0)</f>
        <v>0</v>
      </c>
      <c r="W3484" s="41" t="str">
        <f t="shared" si="294"/>
        <v/>
      </c>
      <c r="X3484" s="41" t="str">
        <f t="shared" si="295"/>
        <v/>
      </c>
    </row>
    <row r="3485" s="32" customFormat="1" hidden="1" customHeight="1" spans="1:24">
      <c r="A3485" s="34"/>
      <c r="B3485" s="51"/>
      <c r="C3485" s="51"/>
      <c r="D3485" s="52"/>
      <c r="E3485" s="53"/>
      <c r="F3485" s="54"/>
      <c r="G3485" s="54"/>
      <c r="H3485" s="54"/>
      <c r="I3485" s="66"/>
      <c r="J3485" s="54"/>
      <c r="K3485" s="54"/>
      <c r="L3485" s="54"/>
      <c r="M3485" s="97" t="str">
        <f t="shared" si="292"/>
        <v/>
      </c>
      <c r="N3485" s="70"/>
      <c r="O3485" s="71" t="str">
        <f t="shared" si="296"/>
        <v/>
      </c>
      <c r="P3485" s="66"/>
      <c r="Q3485" s="66"/>
      <c r="R3485" s="54"/>
      <c r="S3485" s="82"/>
      <c r="T3485" s="83" t="str">
        <f t="shared" si="293"/>
        <v/>
      </c>
      <c r="U3485" s="10"/>
      <c r="V3485" s="41">
        <f>IF(AND(Q3485&lt;&gt;"",RIGHT(Q3485,3)&lt;&gt;""),IF(COUNTIF($Q$6:Q3485,Q3485)=1,1,0),0)</f>
        <v>0</v>
      </c>
      <c r="W3485" s="41" t="str">
        <f t="shared" si="294"/>
        <v/>
      </c>
      <c r="X3485" s="41" t="str">
        <f t="shared" si="295"/>
        <v/>
      </c>
    </row>
    <row r="3486" s="32" customFormat="1" hidden="1" customHeight="1" spans="1:24">
      <c r="A3486" s="34"/>
      <c r="B3486" s="51"/>
      <c r="C3486" s="51"/>
      <c r="D3486" s="52"/>
      <c r="E3486" s="53"/>
      <c r="F3486" s="54"/>
      <c r="G3486" s="54"/>
      <c r="H3486" s="54"/>
      <c r="I3486" s="66"/>
      <c r="J3486" s="54"/>
      <c r="K3486" s="54"/>
      <c r="L3486" s="54"/>
      <c r="M3486" s="97" t="str">
        <f t="shared" si="292"/>
        <v/>
      </c>
      <c r="N3486" s="70"/>
      <c r="O3486" s="71" t="str">
        <f t="shared" si="296"/>
        <v/>
      </c>
      <c r="P3486" s="66"/>
      <c r="Q3486" s="66"/>
      <c r="R3486" s="54"/>
      <c r="S3486" s="82"/>
      <c r="T3486" s="83" t="str">
        <f t="shared" si="293"/>
        <v/>
      </c>
      <c r="U3486" s="10"/>
      <c r="V3486" s="41">
        <f>IF(AND(Q3486&lt;&gt;"",RIGHT(Q3486,3)&lt;&gt;""),IF(COUNTIF($Q$6:Q3486,Q3486)=1,1,0),0)</f>
        <v>0</v>
      </c>
      <c r="W3486" s="41" t="str">
        <f t="shared" si="294"/>
        <v/>
      </c>
      <c r="X3486" s="41" t="str">
        <f t="shared" si="295"/>
        <v/>
      </c>
    </row>
    <row r="3487" s="32" customFormat="1" hidden="1" customHeight="1" spans="1:24">
      <c r="A3487" s="34"/>
      <c r="B3487" s="51"/>
      <c r="C3487" s="51"/>
      <c r="D3487" s="52"/>
      <c r="E3487" s="53"/>
      <c r="F3487" s="54"/>
      <c r="G3487" s="54"/>
      <c r="H3487" s="54"/>
      <c r="I3487" s="66"/>
      <c r="J3487" s="54"/>
      <c r="K3487" s="54"/>
      <c r="L3487" s="54"/>
      <c r="M3487" s="97" t="str">
        <f t="shared" si="292"/>
        <v/>
      </c>
      <c r="N3487" s="70"/>
      <c r="O3487" s="71" t="str">
        <f t="shared" si="296"/>
        <v/>
      </c>
      <c r="P3487" s="66"/>
      <c r="Q3487" s="66"/>
      <c r="R3487" s="54"/>
      <c r="S3487" s="82"/>
      <c r="T3487" s="83" t="str">
        <f t="shared" si="293"/>
        <v/>
      </c>
      <c r="U3487" s="10"/>
      <c r="V3487" s="41">
        <f>IF(AND(Q3487&lt;&gt;"",RIGHT(Q3487,3)&lt;&gt;""),IF(COUNTIF($Q$6:Q3487,Q3487)=1,1,0),0)</f>
        <v>0</v>
      </c>
      <c r="W3487" s="41" t="str">
        <f t="shared" si="294"/>
        <v/>
      </c>
      <c r="X3487" s="41" t="str">
        <f t="shared" si="295"/>
        <v/>
      </c>
    </row>
    <row r="3488" s="32" customFormat="1" hidden="1" customHeight="1" spans="1:24">
      <c r="A3488" s="34"/>
      <c r="B3488" s="51"/>
      <c r="C3488" s="51"/>
      <c r="D3488" s="52"/>
      <c r="E3488" s="53"/>
      <c r="F3488" s="54"/>
      <c r="G3488" s="54"/>
      <c r="H3488" s="54"/>
      <c r="I3488" s="66"/>
      <c r="J3488" s="54"/>
      <c r="K3488" s="54"/>
      <c r="L3488" s="54"/>
      <c r="M3488" s="97" t="str">
        <f t="shared" si="292"/>
        <v/>
      </c>
      <c r="N3488" s="70"/>
      <c r="O3488" s="71" t="str">
        <f t="shared" si="296"/>
        <v/>
      </c>
      <c r="P3488" s="66"/>
      <c r="Q3488" s="66"/>
      <c r="R3488" s="54"/>
      <c r="S3488" s="82"/>
      <c r="T3488" s="83" t="str">
        <f t="shared" si="293"/>
        <v/>
      </c>
      <c r="U3488" s="10"/>
      <c r="V3488" s="41">
        <f>IF(AND(Q3488&lt;&gt;"",RIGHT(Q3488,3)&lt;&gt;""),IF(COUNTIF($Q$6:Q3488,Q3488)=1,1,0),0)</f>
        <v>0</v>
      </c>
      <c r="W3488" s="41" t="str">
        <f t="shared" si="294"/>
        <v/>
      </c>
      <c r="X3488" s="41" t="str">
        <f t="shared" si="295"/>
        <v/>
      </c>
    </row>
    <row r="3489" s="32" customFormat="1" hidden="1" customHeight="1" spans="1:24">
      <c r="A3489" s="34"/>
      <c r="B3489" s="51"/>
      <c r="C3489" s="51"/>
      <c r="D3489" s="52"/>
      <c r="E3489" s="53"/>
      <c r="F3489" s="54"/>
      <c r="G3489" s="54"/>
      <c r="H3489" s="54"/>
      <c r="I3489" s="66"/>
      <c r="J3489" s="54"/>
      <c r="K3489" s="54"/>
      <c r="L3489" s="54"/>
      <c r="M3489" s="97" t="str">
        <f t="shared" si="292"/>
        <v/>
      </c>
      <c r="N3489" s="70"/>
      <c r="O3489" s="71" t="str">
        <f t="shared" si="296"/>
        <v/>
      </c>
      <c r="P3489" s="66"/>
      <c r="Q3489" s="66"/>
      <c r="R3489" s="54"/>
      <c r="S3489" s="82"/>
      <c r="T3489" s="83" t="str">
        <f t="shared" si="293"/>
        <v/>
      </c>
      <c r="U3489" s="10"/>
      <c r="V3489" s="41">
        <f>IF(AND(Q3489&lt;&gt;"",RIGHT(Q3489,3)&lt;&gt;""),IF(COUNTIF($Q$6:Q3489,Q3489)=1,1,0),0)</f>
        <v>0</v>
      </c>
      <c r="W3489" s="41" t="str">
        <f t="shared" si="294"/>
        <v/>
      </c>
      <c r="X3489" s="41" t="str">
        <f t="shared" si="295"/>
        <v/>
      </c>
    </row>
    <row r="3490" s="32" customFormat="1" hidden="1" customHeight="1" spans="1:24">
      <c r="A3490" s="34"/>
      <c r="B3490" s="51"/>
      <c r="C3490" s="51"/>
      <c r="D3490" s="52"/>
      <c r="E3490" s="53"/>
      <c r="F3490" s="54"/>
      <c r="G3490" s="54"/>
      <c r="H3490" s="54"/>
      <c r="I3490" s="66"/>
      <c r="J3490" s="54"/>
      <c r="K3490" s="54"/>
      <c r="L3490" s="54"/>
      <c r="M3490" s="97" t="str">
        <f t="shared" si="292"/>
        <v/>
      </c>
      <c r="N3490" s="70"/>
      <c r="O3490" s="71" t="str">
        <f t="shared" si="296"/>
        <v/>
      </c>
      <c r="P3490" s="66"/>
      <c r="Q3490" s="66"/>
      <c r="R3490" s="54"/>
      <c r="S3490" s="82"/>
      <c r="T3490" s="83" t="str">
        <f t="shared" si="293"/>
        <v/>
      </c>
      <c r="U3490" s="10"/>
      <c r="V3490" s="41">
        <f>IF(AND(Q3490&lt;&gt;"",RIGHT(Q3490,3)&lt;&gt;""),IF(COUNTIF($Q$6:Q3490,Q3490)=1,1,0),0)</f>
        <v>0</v>
      </c>
      <c r="W3490" s="41" t="str">
        <f t="shared" si="294"/>
        <v/>
      </c>
      <c r="X3490" s="41" t="str">
        <f t="shared" si="295"/>
        <v/>
      </c>
    </row>
    <row r="3491" s="32" customFormat="1" hidden="1" customHeight="1" spans="1:24">
      <c r="A3491" s="34"/>
      <c r="B3491" s="51"/>
      <c r="C3491" s="51"/>
      <c r="D3491" s="52"/>
      <c r="E3491" s="53"/>
      <c r="F3491" s="54"/>
      <c r="G3491" s="54"/>
      <c r="H3491" s="54"/>
      <c r="I3491" s="66"/>
      <c r="J3491" s="54"/>
      <c r="K3491" s="54"/>
      <c r="L3491" s="54"/>
      <c r="M3491" s="97" t="str">
        <f t="shared" si="292"/>
        <v/>
      </c>
      <c r="N3491" s="70"/>
      <c r="O3491" s="71" t="str">
        <f t="shared" si="296"/>
        <v/>
      </c>
      <c r="P3491" s="66"/>
      <c r="Q3491" s="66"/>
      <c r="R3491" s="54"/>
      <c r="S3491" s="82"/>
      <c r="T3491" s="83" t="str">
        <f t="shared" si="293"/>
        <v/>
      </c>
      <c r="U3491" s="10"/>
      <c r="V3491" s="41">
        <f>IF(AND(Q3491&lt;&gt;"",RIGHT(Q3491,3)&lt;&gt;""),IF(COUNTIF($Q$6:Q3491,Q3491)=1,1,0),0)</f>
        <v>0</v>
      </c>
      <c r="W3491" s="41" t="str">
        <f t="shared" si="294"/>
        <v/>
      </c>
      <c r="X3491" s="41" t="str">
        <f t="shared" si="295"/>
        <v/>
      </c>
    </row>
    <row r="3492" s="32" customFormat="1" hidden="1" customHeight="1" spans="1:24">
      <c r="A3492" s="34"/>
      <c r="B3492" s="51"/>
      <c r="C3492" s="51"/>
      <c r="D3492" s="52"/>
      <c r="E3492" s="53"/>
      <c r="F3492" s="54"/>
      <c r="G3492" s="54"/>
      <c r="H3492" s="54"/>
      <c r="I3492" s="66"/>
      <c r="J3492" s="54"/>
      <c r="K3492" s="54"/>
      <c r="L3492" s="54"/>
      <c r="M3492" s="97" t="str">
        <f t="shared" ref="M3492:M3555" si="297">IF(L3492="","",HYPERLINK(_xlfn.CONCAT($L$4,L3492,".jpg"),"Open File"))</f>
        <v/>
      </c>
      <c r="N3492" s="70"/>
      <c r="O3492" s="71" t="str">
        <f t="shared" si="296"/>
        <v/>
      </c>
      <c r="P3492" s="66"/>
      <c r="Q3492" s="66"/>
      <c r="R3492" s="54"/>
      <c r="S3492" s="82"/>
      <c r="T3492" s="83" t="str">
        <f t="shared" ref="T3492:T3555" si="298">IF(S3492="","",HYPERLINK(_xlfn.CONCAT($S$4,S3492,".jpg"),"Open File"))</f>
        <v/>
      </c>
      <c r="U3492" s="10"/>
      <c r="V3492" s="41">
        <f>IF(AND(Q3492&lt;&gt;"",RIGHT(Q3492,3)&lt;&gt;""),IF(COUNTIF($Q$6:Q3492,Q3492)=1,1,0),0)</f>
        <v>0</v>
      </c>
      <c r="W3492" s="41" t="str">
        <f t="shared" ref="W3492:W3555" si="299">IF(AND(J3492&lt;&gt;"",K3492&lt;&gt;""),_xlfn.CONCAT(SUBSTITUTE(J3492,"/","."),"-",K3492),"")</f>
        <v/>
      </c>
      <c r="X3492" s="41" t="str">
        <f t="shared" ref="X3492:X3555" si="300">IF(AND(Q3492&lt;&gt;"",R3492&lt;&gt;""),_xlfn.CONCAT(SUBSTITUTE(Q3492,"/","."),"-",R3492),"")</f>
        <v/>
      </c>
    </row>
    <row r="3493" s="32" customFormat="1" hidden="1" customHeight="1" spans="1:24">
      <c r="A3493" s="34"/>
      <c r="B3493" s="51"/>
      <c r="C3493" s="51"/>
      <c r="D3493" s="52"/>
      <c r="E3493" s="53"/>
      <c r="F3493" s="54"/>
      <c r="G3493" s="54"/>
      <c r="H3493" s="54"/>
      <c r="I3493" s="66"/>
      <c r="J3493" s="54"/>
      <c r="K3493" s="54"/>
      <c r="L3493" s="54"/>
      <c r="M3493" s="97" t="str">
        <f t="shared" si="297"/>
        <v/>
      </c>
      <c r="N3493" s="70"/>
      <c r="O3493" s="71" t="str">
        <f t="shared" si="296"/>
        <v/>
      </c>
      <c r="P3493" s="66"/>
      <c r="Q3493" s="66"/>
      <c r="R3493" s="54"/>
      <c r="S3493" s="82"/>
      <c r="T3493" s="83" t="str">
        <f t="shared" si="298"/>
        <v/>
      </c>
      <c r="U3493" s="10"/>
      <c r="V3493" s="41">
        <f>IF(AND(Q3493&lt;&gt;"",RIGHT(Q3493,3)&lt;&gt;""),IF(COUNTIF($Q$6:Q3493,Q3493)=1,1,0),0)</f>
        <v>0</v>
      </c>
      <c r="W3493" s="41" t="str">
        <f t="shared" si="299"/>
        <v/>
      </c>
      <c r="X3493" s="41" t="str">
        <f t="shared" si="300"/>
        <v/>
      </c>
    </row>
    <row r="3494" s="32" customFormat="1" hidden="1" customHeight="1" spans="1:24">
      <c r="A3494" s="34"/>
      <c r="B3494" s="51"/>
      <c r="C3494" s="51"/>
      <c r="D3494" s="52"/>
      <c r="E3494" s="53"/>
      <c r="F3494" s="54"/>
      <c r="G3494" s="54"/>
      <c r="H3494" s="54"/>
      <c r="I3494" s="66"/>
      <c r="J3494" s="54"/>
      <c r="K3494" s="54"/>
      <c r="L3494" s="54"/>
      <c r="M3494" s="97" t="str">
        <f t="shared" si="297"/>
        <v/>
      </c>
      <c r="N3494" s="70"/>
      <c r="O3494" s="71" t="str">
        <f t="shared" si="296"/>
        <v/>
      </c>
      <c r="P3494" s="66"/>
      <c r="Q3494" s="66"/>
      <c r="R3494" s="54"/>
      <c r="S3494" s="82"/>
      <c r="T3494" s="83" t="str">
        <f t="shared" si="298"/>
        <v/>
      </c>
      <c r="U3494" s="10"/>
      <c r="V3494" s="41">
        <f>IF(AND(Q3494&lt;&gt;"",RIGHT(Q3494,3)&lt;&gt;""),IF(COUNTIF($Q$6:Q3494,Q3494)=1,1,0),0)</f>
        <v>0</v>
      </c>
      <c r="W3494" s="41" t="str">
        <f t="shared" si="299"/>
        <v/>
      </c>
      <c r="X3494" s="41" t="str">
        <f t="shared" si="300"/>
        <v/>
      </c>
    </row>
    <row r="3495" s="32" customFormat="1" hidden="1" customHeight="1" spans="1:24">
      <c r="A3495" s="34"/>
      <c r="B3495" s="51"/>
      <c r="C3495" s="51"/>
      <c r="D3495" s="52"/>
      <c r="E3495" s="53"/>
      <c r="F3495" s="54"/>
      <c r="G3495" s="54"/>
      <c r="H3495" s="54"/>
      <c r="I3495" s="66"/>
      <c r="J3495" s="54"/>
      <c r="K3495" s="54"/>
      <c r="L3495" s="54"/>
      <c r="M3495" s="97" t="str">
        <f t="shared" si="297"/>
        <v/>
      </c>
      <c r="N3495" s="70"/>
      <c r="O3495" s="71" t="str">
        <f t="shared" si="296"/>
        <v/>
      </c>
      <c r="P3495" s="66"/>
      <c r="Q3495" s="66"/>
      <c r="R3495" s="54"/>
      <c r="S3495" s="82"/>
      <c r="T3495" s="83" t="str">
        <f t="shared" si="298"/>
        <v/>
      </c>
      <c r="U3495" s="10"/>
      <c r="V3495" s="41">
        <f>IF(AND(Q3495&lt;&gt;"",RIGHT(Q3495,3)&lt;&gt;""),IF(COUNTIF($Q$6:Q3495,Q3495)=1,1,0),0)</f>
        <v>0</v>
      </c>
      <c r="W3495" s="41" t="str">
        <f t="shared" si="299"/>
        <v/>
      </c>
      <c r="X3495" s="41" t="str">
        <f t="shared" si="300"/>
        <v/>
      </c>
    </row>
    <row r="3496" s="32" customFormat="1" hidden="1" customHeight="1" spans="1:24">
      <c r="A3496" s="34"/>
      <c r="B3496" s="51"/>
      <c r="C3496" s="51"/>
      <c r="D3496" s="52"/>
      <c r="E3496" s="53"/>
      <c r="F3496" s="54"/>
      <c r="G3496" s="54"/>
      <c r="H3496" s="54"/>
      <c r="I3496" s="66"/>
      <c r="J3496" s="54"/>
      <c r="K3496" s="54"/>
      <c r="L3496" s="54"/>
      <c r="M3496" s="97" t="str">
        <f t="shared" si="297"/>
        <v/>
      </c>
      <c r="N3496" s="70"/>
      <c r="O3496" s="71" t="str">
        <f t="shared" si="296"/>
        <v/>
      </c>
      <c r="P3496" s="66"/>
      <c r="Q3496" s="66"/>
      <c r="R3496" s="54"/>
      <c r="S3496" s="82"/>
      <c r="T3496" s="83" t="str">
        <f t="shared" si="298"/>
        <v/>
      </c>
      <c r="U3496" s="10"/>
      <c r="V3496" s="41">
        <f>IF(AND(Q3496&lt;&gt;"",RIGHT(Q3496,3)&lt;&gt;""),IF(COUNTIF($Q$6:Q3496,Q3496)=1,1,0),0)</f>
        <v>0</v>
      </c>
      <c r="W3496" s="41" t="str">
        <f t="shared" si="299"/>
        <v/>
      </c>
      <c r="X3496" s="41" t="str">
        <f t="shared" si="300"/>
        <v/>
      </c>
    </row>
    <row r="3497" s="32" customFormat="1" hidden="1" customHeight="1" spans="1:24">
      <c r="A3497" s="34"/>
      <c r="B3497" s="51"/>
      <c r="C3497" s="51"/>
      <c r="D3497" s="52"/>
      <c r="E3497" s="53"/>
      <c r="F3497" s="54"/>
      <c r="G3497" s="54"/>
      <c r="H3497" s="54"/>
      <c r="I3497" s="66"/>
      <c r="J3497" s="54"/>
      <c r="K3497" s="54"/>
      <c r="L3497" s="54"/>
      <c r="M3497" s="97" t="str">
        <f t="shared" si="297"/>
        <v/>
      </c>
      <c r="N3497" s="70"/>
      <c r="O3497" s="71" t="str">
        <f t="shared" si="296"/>
        <v/>
      </c>
      <c r="P3497" s="66"/>
      <c r="Q3497" s="66"/>
      <c r="R3497" s="54"/>
      <c r="S3497" s="82"/>
      <c r="T3497" s="83" t="str">
        <f t="shared" si="298"/>
        <v/>
      </c>
      <c r="U3497" s="10"/>
      <c r="V3497" s="41">
        <f>IF(AND(Q3497&lt;&gt;"",RIGHT(Q3497,3)&lt;&gt;""),IF(COUNTIF($Q$6:Q3497,Q3497)=1,1,0),0)</f>
        <v>0</v>
      </c>
      <c r="W3497" s="41" t="str">
        <f t="shared" si="299"/>
        <v/>
      </c>
      <c r="X3497" s="41" t="str">
        <f t="shared" si="300"/>
        <v/>
      </c>
    </row>
    <row r="3498" s="32" customFormat="1" hidden="1" customHeight="1" spans="1:24">
      <c r="A3498" s="34"/>
      <c r="B3498" s="51"/>
      <c r="C3498" s="51"/>
      <c r="D3498" s="52"/>
      <c r="E3498" s="53"/>
      <c r="F3498" s="54"/>
      <c r="G3498" s="54"/>
      <c r="H3498" s="54"/>
      <c r="I3498" s="66"/>
      <c r="J3498" s="54"/>
      <c r="K3498" s="54"/>
      <c r="L3498" s="54"/>
      <c r="M3498" s="97" t="str">
        <f t="shared" si="297"/>
        <v/>
      </c>
      <c r="N3498" s="70"/>
      <c r="O3498" s="71" t="str">
        <f t="shared" si="296"/>
        <v/>
      </c>
      <c r="P3498" s="66"/>
      <c r="Q3498" s="66"/>
      <c r="R3498" s="54"/>
      <c r="S3498" s="82"/>
      <c r="T3498" s="83" t="str">
        <f t="shared" si="298"/>
        <v/>
      </c>
      <c r="U3498" s="10"/>
      <c r="V3498" s="41">
        <f>IF(AND(Q3498&lt;&gt;"",RIGHT(Q3498,3)&lt;&gt;""),IF(COUNTIF($Q$6:Q3498,Q3498)=1,1,0),0)</f>
        <v>0</v>
      </c>
      <c r="W3498" s="41" t="str">
        <f t="shared" si="299"/>
        <v/>
      </c>
      <c r="X3498" s="41" t="str">
        <f t="shared" si="300"/>
        <v/>
      </c>
    </row>
    <row r="3499" s="32" customFormat="1" hidden="1" customHeight="1" spans="1:24">
      <c r="A3499" s="34"/>
      <c r="B3499" s="51"/>
      <c r="C3499" s="51"/>
      <c r="D3499" s="52"/>
      <c r="E3499" s="53"/>
      <c r="F3499" s="54"/>
      <c r="G3499" s="54"/>
      <c r="H3499" s="54"/>
      <c r="I3499" s="66"/>
      <c r="J3499" s="54"/>
      <c r="K3499" s="54"/>
      <c r="L3499" s="54"/>
      <c r="M3499" s="97" t="str">
        <f t="shared" si="297"/>
        <v/>
      </c>
      <c r="N3499" s="70"/>
      <c r="O3499" s="71" t="str">
        <f t="shared" si="296"/>
        <v/>
      </c>
      <c r="P3499" s="66"/>
      <c r="Q3499" s="66"/>
      <c r="R3499" s="54"/>
      <c r="S3499" s="82"/>
      <c r="T3499" s="83" t="str">
        <f t="shared" si="298"/>
        <v/>
      </c>
      <c r="U3499" s="10"/>
      <c r="V3499" s="41">
        <f>IF(AND(Q3499&lt;&gt;"",RIGHT(Q3499,3)&lt;&gt;""),IF(COUNTIF($Q$6:Q3499,Q3499)=1,1,0),0)</f>
        <v>0</v>
      </c>
      <c r="W3499" s="41" t="str">
        <f t="shared" si="299"/>
        <v/>
      </c>
      <c r="X3499" s="41" t="str">
        <f t="shared" si="300"/>
        <v/>
      </c>
    </row>
    <row r="3500" s="32" customFormat="1" hidden="1" customHeight="1" spans="1:24">
      <c r="A3500" s="34"/>
      <c r="B3500" s="51"/>
      <c r="C3500" s="51"/>
      <c r="D3500" s="52"/>
      <c r="E3500" s="53"/>
      <c r="F3500" s="54"/>
      <c r="G3500" s="54"/>
      <c r="H3500" s="54"/>
      <c r="I3500" s="66"/>
      <c r="J3500" s="54"/>
      <c r="K3500" s="54"/>
      <c r="L3500" s="54"/>
      <c r="M3500" s="97" t="str">
        <f t="shared" si="297"/>
        <v/>
      </c>
      <c r="N3500" s="70"/>
      <c r="O3500" s="71" t="str">
        <f t="shared" si="296"/>
        <v/>
      </c>
      <c r="P3500" s="66"/>
      <c r="Q3500" s="66"/>
      <c r="R3500" s="54"/>
      <c r="S3500" s="82"/>
      <c r="T3500" s="83" t="str">
        <f t="shared" si="298"/>
        <v/>
      </c>
      <c r="U3500" s="10"/>
      <c r="V3500" s="41">
        <f>IF(AND(Q3500&lt;&gt;"",RIGHT(Q3500,3)&lt;&gt;""),IF(COUNTIF($Q$6:Q3500,Q3500)=1,1,0),0)</f>
        <v>0</v>
      </c>
      <c r="W3500" s="41" t="str">
        <f t="shared" si="299"/>
        <v/>
      </c>
      <c r="X3500" s="41" t="str">
        <f t="shared" si="300"/>
        <v/>
      </c>
    </row>
    <row r="3501" s="32" customFormat="1" hidden="1" customHeight="1" spans="1:24">
      <c r="A3501" s="34"/>
      <c r="B3501" s="51"/>
      <c r="C3501" s="51"/>
      <c r="D3501" s="52"/>
      <c r="E3501" s="53"/>
      <c r="F3501" s="54"/>
      <c r="G3501" s="54"/>
      <c r="H3501" s="54"/>
      <c r="I3501" s="66"/>
      <c r="J3501" s="54"/>
      <c r="K3501" s="54"/>
      <c r="L3501" s="54"/>
      <c r="M3501" s="97" t="str">
        <f t="shared" si="297"/>
        <v/>
      </c>
      <c r="N3501" s="70"/>
      <c r="O3501" s="71" t="str">
        <f t="shared" si="296"/>
        <v/>
      </c>
      <c r="P3501" s="66"/>
      <c r="Q3501" s="66"/>
      <c r="R3501" s="54"/>
      <c r="S3501" s="82"/>
      <c r="T3501" s="83" t="str">
        <f t="shared" si="298"/>
        <v/>
      </c>
      <c r="U3501" s="10"/>
      <c r="V3501" s="41">
        <f>IF(AND(Q3501&lt;&gt;"",RIGHT(Q3501,3)&lt;&gt;""),IF(COUNTIF($Q$6:Q3501,Q3501)=1,1,0),0)</f>
        <v>0</v>
      </c>
      <c r="W3501" s="41" t="str">
        <f t="shared" si="299"/>
        <v/>
      </c>
      <c r="X3501" s="41" t="str">
        <f t="shared" si="300"/>
        <v/>
      </c>
    </row>
    <row r="3502" s="32" customFormat="1" hidden="1" customHeight="1" spans="1:24">
      <c r="A3502" s="34"/>
      <c r="B3502" s="51"/>
      <c r="C3502" s="51"/>
      <c r="D3502" s="52"/>
      <c r="E3502" s="53"/>
      <c r="F3502" s="54"/>
      <c r="G3502" s="54"/>
      <c r="H3502" s="54"/>
      <c r="I3502" s="66"/>
      <c r="J3502" s="54"/>
      <c r="K3502" s="54"/>
      <c r="L3502" s="54"/>
      <c r="M3502" s="97" t="str">
        <f t="shared" si="297"/>
        <v/>
      </c>
      <c r="N3502" s="70"/>
      <c r="O3502" s="71" t="str">
        <f t="shared" si="296"/>
        <v/>
      </c>
      <c r="P3502" s="66"/>
      <c r="Q3502" s="66"/>
      <c r="R3502" s="54"/>
      <c r="S3502" s="82"/>
      <c r="T3502" s="83" t="str">
        <f t="shared" si="298"/>
        <v/>
      </c>
      <c r="U3502" s="10"/>
      <c r="V3502" s="41">
        <f>IF(AND(Q3502&lt;&gt;"",RIGHT(Q3502,3)&lt;&gt;""),IF(COUNTIF($Q$6:Q3502,Q3502)=1,1,0),0)</f>
        <v>0</v>
      </c>
      <c r="W3502" s="41" t="str">
        <f t="shared" si="299"/>
        <v/>
      </c>
      <c r="X3502" s="41" t="str">
        <f t="shared" si="300"/>
        <v/>
      </c>
    </row>
    <row r="3503" s="32" customFormat="1" hidden="1" customHeight="1" spans="1:24">
      <c r="A3503" s="34"/>
      <c r="B3503" s="51"/>
      <c r="C3503" s="51"/>
      <c r="D3503" s="52"/>
      <c r="E3503" s="53"/>
      <c r="F3503" s="54"/>
      <c r="G3503" s="54"/>
      <c r="H3503" s="54"/>
      <c r="I3503" s="66"/>
      <c r="J3503" s="54"/>
      <c r="K3503" s="54"/>
      <c r="L3503" s="54"/>
      <c r="M3503" s="97" t="str">
        <f t="shared" si="297"/>
        <v/>
      </c>
      <c r="N3503" s="70"/>
      <c r="O3503" s="71" t="str">
        <f t="shared" si="296"/>
        <v/>
      </c>
      <c r="P3503" s="66"/>
      <c r="Q3503" s="66"/>
      <c r="R3503" s="54"/>
      <c r="S3503" s="82"/>
      <c r="T3503" s="83" t="str">
        <f t="shared" si="298"/>
        <v/>
      </c>
      <c r="U3503" s="10"/>
      <c r="V3503" s="41">
        <f>IF(AND(Q3503&lt;&gt;"",RIGHT(Q3503,3)&lt;&gt;""),IF(COUNTIF($Q$6:Q3503,Q3503)=1,1,0),0)</f>
        <v>0</v>
      </c>
      <c r="W3503" s="41" t="str">
        <f t="shared" si="299"/>
        <v/>
      </c>
      <c r="X3503" s="41" t="str">
        <f t="shared" si="300"/>
        <v/>
      </c>
    </row>
    <row r="3504" s="32" customFormat="1" hidden="1" customHeight="1" spans="1:24">
      <c r="A3504" s="34"/>
      <c r="B3504" s="51"/>
      <c r="C3504" s="51"/>
      <c r="D3504" s="52"/>
      <c r="E3504" s="53"/>
      <c r="F3504" s="54"/>
      <c r="G3504" s="54"/>
      <c r="H3504" s="54"/>
      <c r="I3504" s="66"/>
      <c r="J3504" s="54"/>
      <c r="K3504" s="54"/>
      <c r="L3504" s="54"/>
      <c r="M3504" s="97" t="str">
        <f t="shared" si="297"/>
        <v/>
      </c>
      <c r="N3504" s="70"/>
      <c r="O3504" s="71" t="str">
        <f t="shared" si="296"/>
        <v/>
      </c>
      <c r="P3504" s="66"/>
      <c r="Q3504" s="66"/>
      <c r="R3504" s="54"/>
      <c r="S3504" s="82"/>
      <c r="T3504" s="83" t="str">
        <f t="shared" si="298"/>
        <v/>
      </c>
      <c r="U3504" s="10"/>
      <c r="V3504" s="41">
        <f>IF(AND(Q3504&lt;&gt;"",RIGHT(Q3504,3)&lt;&gt;""),IF(COUNTIF($Q$6:Q3504,Q3504)=1,1,0),0)</f>
        <v>0</v>
      </c>
      <c r="W3504" s="41" t="str">
        <f t="shared" si="299"/>
        <v/>
      </c>
      <c r="X3504" s="41" t="str">
        <f t="shared" si="300"/>
        <v/>
      </c>
    </row>
    <row r="3505" s="32" customFormat="1" hidden="1" customHeight="1" spans="1:24">
      <c r="A3505" s="34"/>
      <c r="B3505" s="51"/>
      <c r="C3505" s="51"/>
      <c r="D3505" s="52"/>
      <c r="E3505" s="53"/>
      <c r="F3505" s="54"/>
      <c r="G3505" s="54"/>
      <c r="H3505" s="54"/>
      <c r="I3505" s="66"/>
      <c r="J3505" s="54"/>
      <c r="K3505" s="54"/>
      <c r="L3505" s="54"/>
      <c r="M3505" s="97" t="str">
        <f t="shared" si="297"/>
        <v/>
      </c>
      <c r="N3505" s="70"/>
      <c r="O3505" s="71" t="str">
        <f t="shared" ref="O3505:O3568" si="301">IF(AND(Q3505&lt;&gt;"",T3505&lt;&gt;""),"PASSIVE",IF(AND(J3505&lt;&gt;"",M3505&lt;&gt;""),"ACTIVE",""))</f>
        <v/>
      </c>
      <c r="P3505" s="66"/>
      <c r="Q3505" s="66"/>
      <c r="R3505" s="54"/>
      <c r="S3505" s="82"/>
      <c r="T3505" s="83" t="str">
        <f t="shared" si="298"/>
        <v/>
      </c>
      <c r="U3505" s="10"/>
      <c r="V3505" s="41">
        <f>IF(AND(Q3505&lt;&gt;"",RIGHT(Q3505,3)&lt;&gt;""),IF(COUNTIF($Q$6:Q3505,Q3505)=1,1,0),0)</f>
        <v>0</v>
      </c>
      <c r="W3505" s="41" t="str">
        <f t="shared" si="299"/>
        <v/>
      </c>
      <c r="X3505" s="41" t="str">
        <f t="shared" si="300"/>
        <v/>
      </c>
    </row>
    <row r="3506" s="32" customFormat="1" hidden="1" customHeight="1" spans="1:24">
      <c r="A3506" s="34"/>
      <c r="B3506" s="51"/>
      <c r="C3506" s="51"/>
      <c r="D3506" s="52"/>
      <c r="E3506" s="53"/>
      <c r="F3506" s="54"/>
      <c r="G3506" s="54"/>
      <c r="H3506" s="54"/>
      <c r="I3506" s="66"/>
      <c r="J3506" s="54"/>
      <c r="K3506" s="54"/>
      <c r="L3506" s="54"/>
      <c r="M3506" s="97" t="str">
        <f t="shared" si="297"/>
        <v/>
      </c>
      <c r="N3506" s="70"/>
      <c r="O3506" s="71" t="str">
        <f t="shared" si="301"/>
        <v/>
      </c>
      <c r="P3506" s="66"/>
      <c r="Q3506" s="66"/>
      <c r="R3506" s="54"/>
      <c r="S3506" s="82"/>
      <c r="T3506" s="83" t="str">
        <f t="shared" si="298"/>
        <v/>
      </c>
      <c r="U3506" s="10"/>
      <c r="V3506" s="41">
        <f>IF(AND(Q3506&lt;&gt;"",RIGHT(Q3506,3)&lt;&gt;""),IF(COUNTIF($Q$6:Q3506,Q3506)=1,1,0),0)</f>
        <v>0</v>
      </c>
      <c r="W3506" s="41" t="str">
        <f t="shared" si="299"/>
        <v/>
      </c>
      <c r="X3506" s="41" t="str">
        <f t="shared" si="300"/>
        <v/>
      </c>
    </row>
    <row r="3507" s="32" customFormat="1" hidden="1" customHeight="1" spans="1:24">
      <c r="A3507" s="34"/>
      <c r="B3507" s="51"/>
      <c r="C3507" s="51"/>
      <c r="D3507" s="52"/>
      <c r="E3507" s="53"/>
      <c r="F3507" s="54"/>
      <c r="G3507" s="54"/>
      <c r="H3507" s="54"/>
      <c r="I3507" s="66"/>
      <c r="J3507" s="54"/>
      <c r="K3507" s="54"/>
      <c r="L3507" s="54"/>
      <c r="M3507" s="97" t="str">
        <f t="shared" si="297"/>
        <v/>
      </c>
      <c r="N3507" s="70"/>
      <c r="O3507" s="71" t="str">
        <f t="shared" si="301"/>
        <v/>
      </c>
      <c r="P3507" s="66"/>
      <c r="Q3507" s="66"/>
      <c r="R3507" s="54"/>
      <c r="S3507" s="82"/>
      <c r="T3507" s="83" t="str">
        <f t="shared" si="298"/>
        <v/>
      </c>
      <c r="U3507" s="10"/>
      <c r="V3507" s="41">
        <f>IF(AND(Q3507&lt;&gt;"",RIGHT(Q3507,3)&lt;&gt;""),IF(COUNTIF($Q$6:Q3507,Q3507)=1,1,0),0)</f>
        <v>0</v>
      </c>
      <c r="W3507" s="41" t="str">
        <f t="shared" si="299"/>
        <v/>
      </c>
      <c r="X3507" s="41" t="str">
        <f t="shared" si="300"/>
        <v/>
      </c>
    </row>
    <row r="3508" s="32" customFormat="1" hidden="1" customHeight="1" spans="1:24">
      <c r="A3508" s="34"/>
      <c r="B3508" s="51"/>
      <c r="C3508" s="51"/>
      <c r="D3508" s="52"/>
      <c r="E3508" s="53"/>
      <c r="F3508" s="54"/>
      <c r="G3508" s="54"/>
      <c r="H3508" s="54"/>
      <c r="I3508" s="66"/>
      <c r="J3508" s="54"/>
      <c r="K3508" s="54"/>
      <c r="L3508" s="54"/>
      <c r="M3508" s="97" t="str">
        <f t="shared" si="297"/>
        <v/>
      </c>
      <c r="N3508" s="70"/>
      <c r="O3508" s="71" t="str">
        <f t="shared" si="301"/>
        <v/>
      </c>
      <c r="P3508" s="66"/>
      <c r="Q3508" s="66"/>
      <c r="R3508" s="54"/>
      <c r="S3508" s="82"/>
      <c r="T3508" s="83" t="str">
        <f t="shared" si="298"/>
        <v/>
      </c>
      <c r="U3508" s="10"/>
      <c r="V3508" s="41">
        <f>IF(AND(Q3508&lt;&gt;"",RIGHT(Q3508,3)&lt;&gt;""),IF(COUNTIF($Q$6:Q3508,Q3508)=1,1,0),0)</f>
        <v>0</v>
      </c>
      <c r="W3508" s="41" t="str">
        <f t="shared" si="299"/>
        <v/>
      </c>
      <c r="X3508" s="41" t="str">
        <f t="shared" si="300"/>
        <v/>
      </c>
    </row>
    <row r="3509" s="32" customFormat="1" hidden="1" customHeight="1" spans="1:24">
      <c r="A3509" s="34"/>
      <c r="B3509" s="51"/>
      <c r="C3509" s="51"/>
      <c r="D3509" s="52"/>
      <c r="E3509" s="53"/>
      <c r="F3509" s="54"/>
      <c r="G3509" s="54"/>
      <c r="H3509" s="54"/>
      <c r="I3509" s="66"/>
      <c r="J3509" s="54"/>
      <c r="K3509" s="54"/>
      <c r="L3509" s="54"/>
      <c r="M3509" s="97" t="str">
        <f t="shared" si="297"/>
        <v/>
      </c>
      <c r="N3509" s="70"/>
      <c r="O3509" s="71" t="str">
        <f t="shared" si="301"/>
        <v/>
      </c>
      <c r="P3509" s="66"/>
      <c r="Q3509" s="66"/>
      <c r="R3509" s="54"/>
      <c r="S3509" s="82"/>
      <c r="T3509" s="83" t="str">
        <f t="shared" si="298"/>
        <v/>
      </c>
      <c r="U3509" s="10"/>
      <c r="V3509" s="41">
        <f>IF(AND(Q3509&lt;&gt;"",RIGHT(Q3509,3)&lt;&gt;""),IF(COUNTIF($Q$6:Q3509,Q3509)=1,1,0),0)</f>
        <v>0</v>
      </c>
      <c r="W3509" s="41" t="str">
        <f t="shared" si="299"/>
        <v/>
      </c>
      <c r="X3509" s="41" t="str">
        <f t="shared" si="300"/>
        <v/>
      </c>
    </row>
    <row r="3510" s="32" customFormat="1" hidden="1" customHeight="1" spans="1:24">
      <c r="A3510" s="34"/>
      <c r="B3510" s="51"/>
      <c r="C3510" s="51"/>
      <c r="D3510" s="52"/>
      <c r="E3510" s="53"/>
      <c r="F3510" s="54"/>
      <c r="G3510" s="54"/>
      <c r="H3510" s="54"/>
      <c r="I3510" s="66"/>
      <c r="J3510" s="54"/>
      <c r="K3510" s="54"/>
      <c r="L3510" s="54"/>
      <c r="M3510" s="97" t="str">
        <f t="shared" si="297"/>
        <v/>
      </c>
      <c r="N3510" s="70"/>
      <c r="O3510" s="71" t="str">
        <f t="shared" si="301"/>
        <v/>
      </c>
      <c r="P3510" s="66"/>
      <c r="Q3510" s="66"/>
      <c r="R3510" s="54"/>
      <c r="S3510" s="82"/>
      <c r="T3510" s="83" t="str">
        <f t="shared" si="298"/>
        <v/>
      </c>
      <c r="U3510" s="10"/>
      <c r="V3510" s="41">
        <f>IF(AND(Q3510&lt;&gt;"",RIGHT(Q3510,3)&lt;&gt;""),IF(COUNTIF($Q$6:Q3510,Q3510)=1,1,0),0)</f>
        <v>0</v>
      </c>
      <c r="W3510" s="41" t="str">
        <f t="shared" si="299"/>
        <v/>
      </c>
      <c r="X3510" s="41" t="str">
        <f t="shared" si="300"/>
        <v/>
      </c>
    </row>
    <row r="3511" s="32" customFormat="1" hidden="1" customHeight="1" spans="1:24">
      <c r="A3511" s="34"/>
      <c r="B3511" s="51"/>
      <c r="C3511" s="51"/>
      <c r="D3511" s="52"/>
      <c r="E3511" s="53"/>
      <c r="F3511" s="54"/>
      <c r="G3511" s="54"/>
      <c r="H3511" s="54"/>
      <c r="I3511" s="66"/>
      <c r="J3511" s="54"/>
      <c r="K3511" s="54"/>
      <c r="L3511" s="54"/>
      <c r="M3511" s="97" t="str">
        <f t="shared" si="297"/>
        <v/>
      </c>
      <c r="N3511" s="70"/>
      <c r="O3511" s="71" t="str">
        <f t="shared" si="301"/>
        <v/>
      </c>
      <c r="P3511" s="66"/>
      <c r="Q3511" s="66"/>
      <c r="R3511" s="54"/>
      <c r="S3511" s="82"/>
      <c r="T3511" s="83" t="str">
        <f t="shared" si="298"/>
        <v/>
      </c>
      <c r="U3511" s="10"/>
      <c r="V3511" s="41">
        <f>IF(AND(Q3511&lt;&gt;"",RIGHT(Q3511,3)&lt;&gt;""),IF(COUNTIF($Q$6:Q3511,Q3511)=1,1,0),0)</f>
        <v>0</v>
      </c>
      <c r="W3511" s="41" t="str">
        <f t="shared" si="299"/>
        <v/>
      </c>
      <c r="X3511" s="41" t="str">
        <f t="shared" si="300"/>
        <v/>
      </c>
    </row>
    <row r="3512" s="32" customFormat="1" hidden="1" customHeight="1" spans="1:24">
      <c r="A3512" s="34"/>
      <c r="B3512" s="51"/>
      <c r="C3512" s="51"/>
      <c r="D3512" s="52"/>
      <c r="E3512" s="53"/>
      <c r="F3512" s="54"/>
      <c r="G3512" s="54"/>
      <c r="H3512" s="54"/>
      <c r="I3512" s="66"/>
      <c r="J3512" s="54"/>
      <c r="K3512" s="54"/>
      <c r="L3512" s="54"/>
      <c r="M3512" s="97" t="str">
        <f t="shared" si="297"/>
        <v/>
      </c>
      <c r="N3512" s="70"/>
      <c r="O3512" s="71" t="str">
        <f t="shared" si="301"/>
        <v/>
      </c>
      <c r="P3512" s="66"/>
      <c r="Q3512" s="66"/>
      <c r="R3512" s="54"/>
      <c r="S3512" s="82"/>
      <c r="T3512" s="83" t="str">
        <f t="shared" si="298"/>
        <v/>
      </c>
      <c r="U3512" s="10"/>
      <c r="V3512" s="41">
        <f>IF(AND(Q3512&lt;&gt;"",RIGHT(Q3512,3)&lt;&gt;""),IF(COUNTIF($Q$6:Q3512,Q3512)=1,1,0),0)</f>
        <v>0</v>
      </c>
      <c r="W3512" s="41" t="str">
        <f t="shared" si="299"/>
        <v/>
      </c>
      <c r="X3512" s="41" t="str">
        <f t="shared" si="300"/>
        <v/>
      </c>
    </row>
    <row r="3513" s="32" customFormat="1" hidden="1" customHeight="1" spans="1:24">
      <c r="A3513" s="34"/>
      <c r="B3513" s="51"/>
      <c r="C3513" s="51"/>
      <c r="D3513" s="52"/>
      <c r="E3513" s="53"/>
      <c r="F3513" s="54"/>
      <c r="G3513" s="54"/>
      <c r="H3513" s="54"/>
      <c r="I3513" s="66"/>
      <c r="J3513" s="54"/>
      <c r="K3513" s="54"/>
      <c r="L3513" s="54"/>
      <c r="M3513" s="97" t="str">
        <f t="shared" si="297"/>
        <v/>
      </c>
      <c r="N3513" s="70"/>
      <c r="O3513" s="71" t="str">
        <f t="shared" si="301"/>
        <v/>
      </c>
      <c r="P3513" s="66"/>
      <c r="Q3513" s="66"/>
      <c r="R3513" s="54"/>
      <c r="S3513" s="82"/>
      <c r="T3513" s="83" t="str">
        <f t="shared" si="298"/>
        <v/>
      </c>
      <c r="U3513" s="10"/>
      <c r="V3513" s="41">
        <f>IF(AND(Q3513&lt;&gt;"",RIGHT(Q3513,3)&lt;&gt;""),IF(COUNTIF($Q$6:Q3513,Q3513)=1,1,0),0)</f>
        <v>0</v>
      </c>
      <c r="W3513" s="41" t="str">
        <f t="shared" si="299"/>
        <v/>
      </c>
      <c r="X3513" s="41" t="str">
        <f t="shared" si="300"/>
        <v/>
      </c>
    </row>
    <row r="3514" s="32" customFormat="1" hidden="1" customHeight="1" spans="1:24">
      <c r="A3514" s="34"/>
      <c r="B3514" s="51"/>
      <c r="C3514" s="51"/>
      <c r="D3514" s="52"/>
      <c r="E3514" s="53"/>
      <c r="F3514" s="54"/>
      <c r="G3514" s="54"/>
      <c r="H3514" s="54"/>
      <c r="I3514" s="66"/>
      <c r="J3514" s="54"/>
      <c r="K3514" s="54"/>
      <c r="L3514" s="54"/>
      <c r="M3514" s="97" t="str">
        <f t="shared" si="297"/>
        <v/>
      </c>
      <c r="N3514" s="70"/>
      <c r="O3514" s="71" t="str">
        <f t="shared" si="301"/>
        <v/>
      </c>
      <c r="P3514" s="66"/>
      <c r="Q3514" s="66"/>
      <c r="R3514" s="54"/>
      <c r="S3514" s="82"/>
      <c r="T3514" s="83" t="str">
        <f t="shared" si="298"/>
        <v/>
      </c>
      <c r="U3514" s="10"/>
      <c r="V3514" s="41">
        <f>IF(AND(Q3514&lt;&gt;"",RIGHT(Q3514,3)&lt;&gt;""),IF(COUNTIF($Q$6:Q3514,Q3514)=1,1,0),0)</f>
        <v>0</v>
      </c>
      <c r="W3514" s="41" t="str">
        <f t="shared" si="299"/>
        <v/>
      </c>
      <c r="X3514" s="41" t="str">
        <f t="shared" si="300"/>
        <v/>
      </c>
    </row>
    <row r="3515" s="32" customFormat="1" hidden="1" customHeight="1" spans="1:24">
      <c r="A3515" s="34"/>
      <c r="B3515" s="51"/>
      <c r="C3515" s="51"/>
      <c r="D3515" s="52"/>
      <c r="E3515" s="53"/>
      <c r="F3515" s="54"/>
      <c r="G3515" s="54"/>
      <c r="H3515" s="54"/>
      <c r="I3515" s="66"/>
      <c r="J3515" s="54"/>
      <c r="K3515" s="54"/>
      <c r="L3515" s="54"/>
      <c r="M3515" s="97" t="str">
        <f t="shared" si="297"/>
        <v/>
      </c>
      <c r="N3515" s="70"/>
      <c r="O3515" s="71" t="str">
        <f t="shared" si="301"/>
        <v/>
      </c>
      <c r="P3515" s="66"/>
      <c r="Q3515" s="66"/>
      <c r="R3515" s="54"/>
      <c r="S3515" s="82"/>
      <c r="T3515" s="83" t="str">
        <f t="shared" si="298"/>
        <v/>
      </c>
      <c r="U3515" s="10"/>
      <c r="V3515" s="41">
        <f>IF(AND(Q3515&lt;&gt;"",RIGHT(Q3515,3)&lt;&gt;""),IF(COUNTIF($Q$6:Q3515,Q3515)=1,1,0),0)</f>
        <v>0</v>
      </c>
      <c r="W3515" s="41" t="str">
        <f t="shared" si="299"/>
        <v/>
      </c>
      <c r="X3515" s="41" t="str">
        <f t="shared" si="300"/>
        <v/>
      </c>
    </row>
    <row r="3516" s="32" customFormat="1" hidden="1" customHeight="1" spans="1:24">
      <c r="A3516" s="34"/>
      <c r="B3516" s="51"/>
      <c r="C3516" s="51"/>
      <c r="D3516" s="52"/>
      <c r="E3516" s="53"/>
      <c r="F3516" s="54"/>
      <c r="G3516" s="54"/>
      <c r="H3516" s="54"/>
      <c r="I3516" s="66"/>
      <c r="J3516" s="54"/>
      <c r="K3516" s="54"/>
      <c r="L3516" s="54"/>
      <c r="M3516" s="97" t="str">
        <f t="shared" si="297"/>
        <v/>
      </c>
      <c r="N3516" s="70"/>
      <c r="O3516" s="71" t="str">
        <f t="shared" si="301"/>
        <v/>
      </c>
      <c r="P3516" s="66"/>
      <c r="Q3516" s="66"/>
      <c r="R3516" s="54"/>
      <c r="S3516" s="82"/>
      <c r="T3516" s="83" t="str">
        <f t="shared" si="298"/>
        <v/>
      </c>
      <c r="U3516" s="10"/>
      <c r="V3516" s="41">
        <f>IF(AND(Q3516&lt;&gt;"",RIGHT(Q3516,3)&lt;&gt;""),IF(COUNTIF($Q$6:Q3516,Q3516)=1,1,0),0)</f>
        <v>0</v>
      </c>
      <c r="W3516" s="41" t="str">
        <f t="shared" si="299"/>
        <v/>
      </c>
      <c r="X3516" s="41" t="str">
        <f t="shared" si="300"/>
        <v/>
      </c>
    </row>
    <row r="3517" s="32" customFormat="1" hidden="1" customHeight="1" spans="1:24">
      <c r="A3517" s="34"/>
      <c r="B3517" s="51"/>
      <c r="C3517" s="51"/>
      <c r="D3517" s="52"/>
      <c r="E3517" s="53"/>
      <c r="F3517" s="54"/>
      <c r="G3517" s="54"/>
      <c r="H3517" s="54"/>
      <c r="I3517" s="66"/>
      <c r="J3517" s="54"/>
      <c r="K3517" s="54"/>
      <c r="L3517" s="54"/>
      <c r="M3517" s="97" t="str">
        <f t="shared" si="297"/>
        <v/>
      </c>
      <c r="N3517" s="70"/>
      <c r="O3517" s="71" t="str">
        <f t="shared" si="301"/>
        <v/>
      </c>
      <c r="P3517" s="66"/>
      <c r="Q3517" s="66"/>
      <c r="R3517" s="54"/>
      <c r="S3517" s="82"/>
      <c r="T3517" s="83" t="str">
        <f t="shared" si="298"/>
        <v/>
      </c>
      <c r="U3517" s="10"/>
      <c r="V3517" s="41">
        <f>IF(AND(Q3517&lt;&gt;"",RIGHT(Q3517,3)&lt;&gt;""),IF(COUNTIF($Q$6:Q3517,Q3517)=1,1,0),0)</f>
        <v>0</v>
      </c>
      <c r="W3517" s="41" t="str">
        <f t="shared" si="299"/>
        <v/>
      </c>
      <c r="X3517" s="41" t="str">
        <f t="shared" si="300"/>
        <v/>
      </c>
    </row>
    <row r="3518" s="32" customFormat="1" hidden="1" customHeight="1" spans="1:24">
      <c r="A3518" s="34"/>
      <c r="B3518" s="51"/>
      <c r="C3518" s="51"/>
      <c r="D3518" s="52"/>
      <c r="E3518" s="53"/>
      <c r="F3518" s="54"/>
      <c r="G3518" s="54"/>
      <c r="H3518" s="54"/>
      <c r="I3518" s="66"/>
      <c r="J3518" s="54"/>
      <c r="K3518" s="54"/>
      <c r="L3518" s="54"/>
      <c r="M3518" s="97" t="str">
        <f t="shared" si="297"/>
        <v/>
      </c>
      <c r="N3518" s="70"/>
      <c r="O3518" s="71" t="str">
        <f t="shared" si="301"/>
        <v/>
      </c>
      <c r="P3518" s="66"/>
      <c r="Q3518" s="66"/>
      <c r="R3518" s="54"/>
      <c r="S3518" s="82"/>
      <c r="T3518" s="83" t="str">
        <f t="shared" si="298"/>
        <v/>
      </c>
      <c r="U3518" s="10"/>
      <c r="V3518" s="41">
        <f>IF(AND(Q3518&lt;&gt;"",RIGHT(Q3518,3)&lt;&gt;""),IF(COUNTIF($Q$6:Q3518,Q3518)=1,1,0),0)</f>
        <v>0</v>
      </c>
      <c r="W3518" s="41" t="str">
        <f t="shared" si="299"/>
        <v/>
      </c>
      <c r="X3518" s="41" t="str">
        <f t="shared" si="300"/>
        <v/>
      </c>
    </row>
    <row r="3519" s="32" customFormat="1" hidden="1" customHeight="1" spans="1:24">
      <c r="A3519" s="34"/>
      <c r="B3519" s="51"/>
      <c r="C3519" s="51"/>
      <c r="D3519" s="52"/>
      <c r="E3519" s="53"/>
      <c r="F3519" s="54"/>
      <c r="G3519" s="54"/>
      <c r="H3519" s="54"/>
      <c r="I3519" s="66"/>
      <c r="J3519" s="54"/>
      <c r="K3519" s="54"/>
      <c r="L3519" s="54"/>
      <c r="M3519" s="97" t="str">
        <f t="shared" si="297"/>
        <v/>
      </c>
      <c r="N3519" s="70"/>
      <c r="O3519" s="71" t="str">
        <f t="shared" si="301"/>
        <v/>
      </c>
      <c r="P3519" s="66"/>
      <c r="Q3519" s="66"/>
      <c r="R3519" s="54"/>
      <c r="S3519" s="82"/>
      <c r="T3519" s="83" t="str">
        <f t="shared" si="298"/>
        <v/>
      </c>
      <c r="U3519" s="10"/>
      <c r="V3519" s="41">
        <f>IF(AND(Q3519&lt;&gt;"",RIGHT(Q3519,3)&lt;&gt;""),IF(COUNTIF($Q$6:Q3519,Q3519)=1,1,0),0)</f>
        <v>0</v>
      </c>
      <c r="W3519" s="41" t="str">
        <f t="shared" si="299"/>
        <v/>
      </c>
      <c r="X3519" s="41" t="str">
        <f t="shared" si="300"/>
        <v/>
      </c>
    </row>
    <row r="3520" s="32" customFormat="1" hidden="1" customHeight="1" spans="1:24">
      <c r="A3520" s="34"/>
      <c r="B3520" s="51"/>
      <c r="C3520" s="51"/>
      <c r="D3520" s="52"/>
      <c r="E3520" s="53"/>
      <c r="F3520" s="54"/>
      <c r="G3520" s="54"/>
      <c r="H3520" s="54"/>
      <c r="I3520" s="66"/>
      <c r="J3520" s="54"/>
      <c r="K3520" s="54"/>
      <c r="L3520" s="54"/>
      <c r="M3520" s="97" t="str">
        <f t="shared" si="297"/>
        <v/>
      </c>
      <c r="N3520" s="70"/>
      <c r="O3520" s="71" t="str">
        <f t="shared" si="301"/>
        <v/>
      </c>
      <c r="P3520" s="66"/>
      <c r="Q3520" s="66"/>
      <c r="R3520" s="54"/>
      <c r="S3520" s="82"/>
      <c r="T3520" s="83" t="str">
        <f t="shared" si="298"/>
        <v/>
      </c>
      <c r="U3520" s="10"/>
      <c r="V3520" s="41">
        <f>IF(AND(Q3520&lt;&gt;"",RIGHT(Q3520,3)&lt;&gt;""),IF(COUNTIF($Q$6:Q3520,Q3520)=1,1,0),0)</f>
        <v>0</v>
      </c>
      <c r="W3520" s="41" t="str">
        <f t="shared" si="299"/>
        <v/>
      </c>
      <c r="X3520" s="41" t="str">
        <f t="shared" si="300"/>
        <v/>
      </c>
    </row>
    <row r="3521" s="32" customFormat="1" hidden="1" customHeight="1" spans="1:24">
      <c r="A3521" s="34"/>
      <c r="B3521" s="51"/>
      <c r="C3521" s="51"/>
      <c r="D3521" s="52"/>
      <c r="E3521" s="53"/>
      <c r="F3521" s="54"/>
      <c r="G3521" s="54"/>
      <c r="H3521" s="54"/>
      <c r="I3521" s="66"/>
      <c r="J3521" s="54"/>
      <c r="K3521" s="54"/>
      <c r="L3521" s="54"/>
      <c r="M3521" s="97" t="str">
        <f t="shared" si="297"/>
        <v/>
      </c>
      <c r="N3521" s="70"/>
      <c r="O3521" s="71" t="str">
        <f t="shared" si="301"/>
        <v/>
      </c>
      <c r="P3521" s="66"/>
      <c r="Q3521" s="66"/>
      <c r="R3521" s="54"/>
      <c r="S3521" s="82"/>
      <c r="T3521" s="83" t="str">
        <f t="shared" si="298"/>
        <v/>
      </c>
      <c r="U3521" s="10"/>
      <c r="V3521" s="41">
        <f>IF(AND(Q3521&lt;&gt;"",RIGHT(Q3521,3)&lt;&gt;""),IF(COUNTIF($Q$6:Q3521,Q3521)=1,1,0),0)</f>
        <v>0</v>
      </c>
      <c r="W3521" s="41" t="str">
        <f t="shared" si="299"/>
        <v/>
      </c>
      <c r="X3521" s="41" t="str">
        <f t="shared" si="300"/>
        <v/>
      </c>
    </row>
    <row r="3522" s="32" customFormat="1" hidden="1" customHeight="1" spans="1:24">
      <c r="A3522" s="34"/>
      <c r="B3522" s="51"/>
      <c r="C3522" s="51"/>
      <c r="D3522" s="52"/>
      <c r="E3522" s="53"/>
      <c r="F3522" s="54"/>
      <c r="G3522" s="54"/>
      <c r="H3522" s="54"/>
      <c r="I3522" s="66"/>
      <c r="J3522" s="54"/>
      <c r="K3522" s="54"/>
      <c r="L3522" s="54"/>
      <c r="M3522" s="97" t="str">
        <f t="shared" si="297"/>
        <v/>
      </c>
      <c r="N3522" s="70"/>
      <c r="O3522" s="71" t="str">
        <f t="shared" si="301"/>
        <v/>
      </c>
      <c r="P3522" s="66"/>
      <c r="Q3522" s="66"/>
      <c r="R3522" s="54"/>
      <c r="S3522" s="82"/>
      <c r="T3522" s="83" t="str">
        <f t="shared" si="298"/>
        <v/>
      </c>
      <c r="U3522" s="10"/>
      <c r="V3522" s="41">
        <f>IF(AND(Q3522&lt;&gt;"",RIGHT(Q3522,3)&lt;&gt;""),IF(COUNTIF($Q$6:Q3522,Q3522)=1,1,0),0)</f>
        <v>0</v>
      </c>
      <c r="W3522" s="41" t="str">
        <f t="shared" si="299"/>
        <v/>
      </c>
      <c r="X3522" s="41" t="str">
        <f t="shared" si="300"/>
        <v/>
      </c>
    </row>
    <row r="3523" s="32" customFormat="1" hidden="1" customHeight="1" spans="1:24">
      <c r="A3523" s="34"/>
      <c r="B3523" s="51"/>
      <c r="C3523" s="51"/>
      <c r="D3523" s="52"/>
      <c r="E3523" s="53"/>
      <c r="F3523" s="54"/>
      <c r="G3523" s="54"/>
      <c r="H3523" s="54"/>
      <c r="I3523" s="66"/>
      <c r="J3523" s="54"/>
      <c r="K3523" s="54"/>
      <c r="L3523" s="54"/>
      <c r="M3523" s="97" t="str">
        <f t="shared" si="297"/>
        <v/>
      </c>
      <c r="N3523" s="70"/>
      <c r="O3523" s="71" t="str">
        <f t="shared" si="301"/>
        <v/>
      </c>
      <c r="P3523" s="66"/>
      <c r="Q3523" s="66"/>
      <c r="R3523" s="54"/>
      <c r="S3523" s="82"/>
      <c r="T3523" s="83" t="str">
        <f t="shared" si="298"/>
        <v/>
      </c>
      <c r="U3523" s="10"/>
      <c r="V3523" s="41">
        <f>IF(AND(Q3523&lt;&gt;"",RIGHT(Q3523,3)&lt;&gt;""),IF(COUNTIF($Q$6:Q3523,Q3523)=1,1,0),0)</f>
        <v>0</v>
      </c>
      <c r="W3523" s="41" t="str">
        <f t="shared" si="299"/>
        <v/>
      </c>
      <c r="X3523" s="41" t="str">
        <f t="shared" si="300"/>
        <v/>
      </c>
    </row>
    <row r="3524" s="32" customFormat="1" hidden="1" customHeight="1" spans="1:24">
      <c r="A3524" s="34"/>
      <c r="B3524" s="51"/>
      <c r="C3524" s="51"/>
      <c r="D3524" s="52"/>
      <c r="E3524" s="53"/>
      <c r="F3524" s="54"/>
      <c r="G3524" s="54"/>
      <c r="H3524" s="54"/>
      <c r="I3524" s="66"/>
      <c r="J3524" s="54"/>
      <c r="K3524" s="54"/>
      <c r="L3524" s="54"/>
      <c r="M3524" s="97" t="str">
        <f t="shared" si="297"/>
        <v/>
      </c>
      <c r="N3524" s="70"/>
      <c r="O3524" s="71" t="str">
        <f t="shared" si="301"/>
        <v/>
      </c>
      <c r="P3524" s="66"/>
      <c r="Q3524" s="66"/>
      <c r="R3524" s="54"/>
      <c r="S3524" s="82"/>
      <c r="T3524" s="83" t="str">
        <f t="shared" si="298"/>
        <v/>
      </c>
      <c r="U3524" s="10"/>
      <c r="V3524" s="41">
        <f>IF(AND(Q3524&lt;&gt;"",RIGHT(Q3524,3)&lt;&gt;""),IF(COUNTIF($Q$6:Q3524,Q3524)=1,1,0),0)</f>
        <v>0</v>
      </c>
      <c r="W3524" s="41" t="str">
        <f t="shared" si="299"/>
        <v/>
      </c>
      <c r="X3524" s="41" t="str">
        <f t="shared" si="300"/>
        <v/>
      </c>
    </row>
    <row r="3525" s="32" customFormat="1" hidden="1" customHeight="1" spans="1:24">
      <c r="A3525" s="34"/>
      <c r="B3525" s="51"/>
      <c r="C3525" s="51"/>
      <c r="D3525" s="52"/>
      <c r="E3525" s="53"/>
      <c r="F3525" s="54"/>
      <c r="G3525" s="54"/>
      <c r="H3525" s="54"/>
      <c r="I3525" s="66"/>
      <c r="J3525" s="54"/>
      <c r="K3525" s="54"/>
      <c r="L3525" s="54"/>
      <c r="M3525" s="97" t="str">
        <f t="shared" si="297"/>
        <v/>
      </c>
      <c r="N3525" s="70"/>
      <c r="O3525" s="71" t="str">
        <f t="shared" si="301"/>
        <v/>
      </c>
      <c r="P3525" s="66"/>
      <c r="Q3525" s="66"/>
      <c r="R3525" s="54"/>
      <c r="S3525" s="82"/>
      <c r="T3525" s="83" t="str">
        <f t="shared" si="298"/>
        <v/>
      </c>
      <c r="U3525" s="10"/>
      <c r="V3525" s="41">
        <f>IF(AND(Q3525&lt;&gt;"",RIGHT(Q3525,3)&lt;&gt;""),IF(COUNTIF($Q$6:Q3525,Q3525)=1,1,0),0)</f>
        <v>0</v>
      </c>
      <c r="W3525" s="41" t="str">
        <f t="shared" si="299"/>
        <v/>
      </c>
      <c r="X3525" s="41" t="str">
        <f t="shared" si="300"/>
        <v/>
      </c>
    </row>
    <row r="3526" s="32" customFormat="1" hidden="1" customHeight="1" spans="1:24">
      <c r="A3526" s="34"/>
      <c r="B3526" s="51"/>
      <c r="C3526" s="51"/>
      <c r="D3526" s="52"/>
      <c r="E3526" s="53"/>
      <c r="F3526" s="54"/>
      <c r="G3526" s="54"/>
      <c r="H3526" s="54"/>
      <c r="I3526" s="66"/>
      <c r="J3526" s="54"/>
      <c r="K3526" s="54"/>
      <c r="L3526" s="54"/>
      <c r="M3526" s="97" t="str">
        <f t="shared" si="297"/>
        <v/>
      </c>
      <c r="N3526" s="70"/>
      <c r="O3526" s="71" t="str">
        <f t="shared" si="301"/>
        <v/>
      </c>
      <c r="P3526" s="66"/>
      <c r="Q3526" s="66"/>
      <c r="R3526" s="54"/>
      <c r="S3526" s="82"/>
      <c r="T3526" s="83" t="str">
        <f t="shared" si="298"/>
        <v/>
      </c>
      <c r="U3526" s="10"/>
      <c r="V3526" s="41">
        <f>IF(AND(Q3526&lt;&gt;"",RIGHT(Q3526,3)&lt;&gt;""),IF(COUNTIF($Q$6:Q3526,Q3526)=1,1,0),0)</f>
        <v>0</v>
      </c>
      <c r="W3526" s="41" t="str">
        <f t="shared" si="299"/>
        <v/>
      </c>
      <c r="X3526" s="41" t="str">
        <f t="shared" si="300"/>
        <v/>
      </c>
    </row>
    <row r="3527" s="32" customFormat="1" hidden="1" customHeight="1" spans="1:24">
      <c r="A3527" s="34"/>
      <c r="B3527" s="51"/>
      <c r="C3527" s="51"/>
      <c r="D3527" s="52"/>
      <c r="E3527" s="53"/>
      <c r="F3527" s="54"/>
      <c r="G3527" s="54"/>
      <c r="H3527" s="54"/>
      <c r="I3527" s="66"/>
      <c r="J3527" s="54"/>
      <c r="K3527" s="54"/>
      <c r="L3527" s="54"/>
      <c r="M3527" s="97" t="str">
        <f t="shared" si="297"/>
        <v/>
      </c>
      <c r="N3527" s="70"/>
      <c r="O3527" s="71" t="str">
        <f t="shared" si="301"/>
        <v/>
      </c>
      <c r="P3527" s="66"/>
      <c r="Q3527" s="66"/>
      <c r="R3527" s="54"/>
      <c r="S3527" s="82"/>
      <c r="T3527" s="83" t="str">
        <f t="shared" si="298"/>
        <v/>
      </c>
      <c r="U3527" s="10"/>
      <c r="V3527" s="41">
        <f>IF(AND(Q3527&lt;&gt;"",RIGHT(Q3527,3)&lt;&gt;""),IF(COUNTIF($Q$6:Q3527,Q3527)=1,1,0),0)</f>
        <v>0</v>
      </c>
      <c r="W3527" s="41" t="str">
        <f t="shared" si="299"/>
        <v/>
      </c>
      <c r="X3527" s="41" t="str">
        <f t="shared" si="300"/>
        <v/>
      </c>
    </row>
    <row r="3528" s="32" customFormat="1" hidden="1" customHeight="1" spans="1:24">
      <c r="A3528" s="34"/>
      <c r="B3528" s="51"/>
      <c r="C3528" s="51"/>
      <c r="D3528" s="52"/>
      <c r="E3528" s="53"/>
      <c r="F3528" s="54"/>
      <c r="G3528" s="54"/>
      <c r="H3528" s="54"/>
      <c r="I3528" s="66"/>
      <c r="J3528" s="54"/>
      <c r="K3528" s="54"/>
      <c r="L3528" s="54"/>
      <c r="M3528" s="97" t="str">
        <f t="shared" si="297"/>
        <v/>
      </c>
      <c r="N3528" s="70"/>
      <c r="O3528" s="71" t="str">
        <f t="shared" si="301"/>
        <v/>
      </c>
      <c r="P3528" s="66"/>
      <c r="Q3528" s="66"/>
      <c r="R3528" s="54"/>
      <c r="S3528" s="82"/>
      <c r="T3528" s="83" t="str">
        <f t="shared" si="298"/>
        <v/>
      </c>
      <c r="U3528" s="10"/>
      <c r="V3528" s="41">
        <f>IF(AND(Q3528&lt;&gt;"",RIGHT(Q3528,3)&lt;&gt;""),IF(COUNTIF($Q$6:Q3528,Q3528)=1,1,0),0)</f>
        <v>0</v>
      </c>
      <c r="W3528" s="41" t="str">
        <f t="shared" si="299"/>
        <v/>
      </c>
      <c r="X3528" s="41" t="str">
        <f t="shared" si="300"/>
        <v/>
      </c>
    </row>
    <row r="3529" s="32" customFormat="1" hidden="1" customHeight="1" spans="1:24">
      <c r="A3529" s="34"/>
      <c r="B3529" s="51"/>
      <c r="C3529" s="51"/>
      <c r="D3529" s="52"/>
      <c r="E3529" s="53"/>
      <c r="F3529" s="54"/>
      <c r="G3529" s="54"/>
      <c r="H3529" s="54"/>
      <c r="I3529" s="66"/>
      <c r="J3529" s="54"/>
      <c r="K3529" s="54"/>
      <c r="L3529" s="54"/>
      <c r="M3529" s="97" t="str">
        <f t="shared" si="297"/>
        <v/>
      </c>
      <c r="N3529" s="70"/>
      <c r="O3529" s="71" t="str">
        <f t="shared" si="301"/>
        <v/>
      </c>
      <c r="P3529" s="66"/>
      <c r="Q3529" s="66"/>
      <c r="R3529" s="54"/>
      <c r="S3529" s="82"/>
      <c r="T3529" s="83" t="str">
        <f t="shared" si="298"/>
        <v/>
      </c>
      <c r="U3529" s="10"/>
      <c r="V3529" s="41">
        <f>IF(AND(Q3529&lt;&gt;"",RIGHT(Q3529,3)&lt;&gt;""),IF(COUNTIF($Q$6:Q3529,Q3529)=1,1,0),0)</f>
        <v>0</v>
      </c>
      <c r="W3529" s="41" t="str">
        <f t="shared" si="299"/>
        <v/>
      </c>
      <c r="X3529" s="41" t="str">
        <f t="shared" si="300"/>
        <v/>
      </c>
    </row>
    <row r="3530" s="32" customFormat="1" hidden="1" customHeight="1" spans="1:24">
      <c r="A3530" s="34"/>
      <c r="B3530" s="51"/>
      <c r="C3530" s="51"/>
      <c r="D3530" s="52"/>
      <c r="E3530" s="53"/>
      <c r="F3530" s="54"/>
      <c r="G3530" s="54"/>
      <c r="H3530" s="54"/>
      <c r="I3530" s="66"/>
      <c r="J3530" s="54"/>
      <c r="K3530" s="54"/>
      <c r="L3530" s="54"/>
      <c r="M3530" s="97" t="str">
        <f t="shared" si="297"/>
        <v/>
      </c>
      <c r="N3530" s="70"/>
      <c r="O3530" s="71" t="str">
        <f t="shared" si="301"/>
        <v/>
      </c>
      <c r="P3530" s="66"/>
      <c r="Q3530" s="66"/>
      <c r="R3530" s="54"/>
      <c r="S3530" s="82"/>
      <c r="T3530" s="83" t="str">
        <f t="shared" si="298"/>
        <v/>
      </c>
      <c r="U3530" s="10"/>
      <c r="V3530" s="41">
        <f>IF(AND(Q3530&lt;&gt;"",RIGHT(Q3530,3)&lt;&gt;""),IF(COUNTIF($Q$6:Q3530,Q3530)=1,1,0),0)</f>
        <v>0</v>
      </c>
      <c r="W3530" s="41" t="str">
        <f t="shared" si="299"/>
        <v/>
      </c>
      <c r="X3530" s="41" t="str">
        <f t="shared" si="300"/>
        <v/>
      </c>
    </row>
    <row r="3531" s="32" customFormat="1" hidden="1" customHeight="1" spans="1:24">
      <c r="A3531" s="34"/>
      <c r="B3531" s="51"/>
      <c r="C3531" s="51"/>
      <c r="D3531" s="52"/>
      <c r="E3531" s="53"/>
      <c r="F3531" s="54"/>
      <c r="G3531" s="54"/>
      <c r="H3531" s="54"/>
      <c r="I3531" s="66"/>
      <c r="J3531" s="54"/>
      <c r="K3531" s="54"/>
      <c r="L3531" s="54"/>
      <c r="M3531" s="97" t="str">
        <f t="shared" si="297"/>
        <v/>
      </c>
      <c r="N3531" s="70"/>
      <c r="O3531" s="71" t="str">
        <f t="shared" si="301"/>
        <v/>
      </c>
      <c r="P3531" s="66"/>
      <c r="Q3531" s="66"/>
      <c r="R3531" s="54"/>
      <c r="S3531" s="82"/>
      <c r="T3531" s="83" t="str">
        <f t="shared" si="298"/>
        <v/>
      </c>
      <c r="U3531" s="10"/>
      <c r="V3531" s="41">
        <f>IF(AND(Q3531&lt;&gt;"",RIGHT(Q3531,3)&lt;&gt;""),IF(COUNTIF($Q$6:Q3531,Q3531)=1,1,0),0)</f>
        <v>0</v>
      </c>
      <c r="W3531" s="41" t="str">
        <f t="shared" si="299"/>
        <v/>
      </c>
      <c r="X3531" s="41" t="str">
        <f t="shared" si="300"/>
        <v/>
      </c>
    </row>
    <row r="3532" s="32" customFormat="1" hidden="1" customHeight="1" spans="1:24">
      <c r="A3532" s="34"/>
      <c r="B3532" s="51"/>
      <c r="C3532" s="51"/>
      <c r="D3532" s="52"/>
      <c r="E3532" s="53"/>
      <c r="F3532" s="54"/>
      <c r="G3532" s="54"/>
      <c r="H3532" s="54"/>
      <c r="I3532" s="66"/>
      <c r="J3532" s="54"/>
      <c r="K3532" s="54"/>
      <c r="L3532" s="54"/>
      <c r="M3532" s="97" t="str">
        <f t="shared" si="297"/>
        <v/>
      </c>
      <c r="N3532" s="70"/>
      <c r="O3532" s="71" t="str">
        <f t="shared" si="301"/>
        <v/>
      </c>
      <c r="P3532" s="66"/>
      <c r="Q3532" s="66"/>
      <c r="R3532" s="54"/>
      <c r="S3532" s="82"/>
      <c r="T3532" s="83" t="str">
        <f t="shared" si="298"/>
        <v/>
      </c>
      <c r="U3532" s="10"/>
      <c r="V3532" s="41">
        <f>IF(AND(Q3532&lt;&gt;"",RIGHT(Q3532,3)&lt;&gt;""),IF(COUNTIF($Q$6:Q3532,Q3532)=1,1,0),0)</f>
        <v>0</v>
      </c>
      <c r="W3532" s="41" t="str">
        <f t="shared" si="299"/>
        <v/>
      </c>
      <c r="X3532" s="41" t="str">
        <f t="shared" si="300"/>
        <v/>
      </c>
    </row>
    <row r="3533" s="32" customFormat="1" hidden="1" customHeight="1" spans="1:24">
      <c r="A3533" s="34"/>
      <c r="B3533" s="51"/>
      <c r="C3533" s="51"/>
      <c r="D3533" s="52"/>
      <c r="E3533" s="53"/>
      <c r="F3533" s="54"/>
      <c r="G3533" s="54"/>
      <c r="H3533" s="54"/>
      <c r="I3533" s="66"/>
      <c r="J3533" s="54"/>
      <c r="K3533" s="54"/>
      <c r="L3533" s="54"/>
      <c r="M3533" s="97" t="str">
        <f t="shared" si="297"/>
        <v/>
      </c>
      <c r="N3533" s="70"/>
      <c r="O3533" s="71" t="str">
        <f t="shared" si="301"/>
        <v/>
      </c>
      <c r="P3533" s="66"/>
      <c r="Q3533" s="66"/>
      <c r="R3533" s="54"/>
      <c r="S3533" s="82"/>
      <c r="T3533" s="83" t="str">
        <f t="shared" si="298"/>
        <v/>
      </c>
      <c r="U3533" s="10"/>
      <c r="V3533" s="41">
        <f>IF(AND(Q3533&lt;&gt;"",RIGHT(Q3533,3)&lt;&gt;""),IF(COUNTIF($Q$6:Q3533,Q3533)=1,1,0),0)</f>
        <v>0</v>
      </c>
      <c r="W3533" s="41" t="str">
        <f t="shared" si="299"/>
        <v/>
      </c>
      <c r="X3533" s="41" t="str">
        <f t="shared" si="300"/>
        <v/>
      </c>
    </row>
    <row r="3534" s="32" customFormat="1" hidden="1" customHeight="1" spans="1:24">
      <c r="A3534" s="34"/>
      <c r="B3534" s="51"/>
      <c r="C3534" s="51"/>
      <c r="D3534" s="52"/>
      <c r="E3534" s="53"/>
      <c r="F3534" s="54"/>
      <c r="G3534" s="54"/>
      <c r="H3534" s="54"/>
      <c r="I3534" s="66"/>
      <c r="J3534" s="54"/>
      <c r="K3534" s="54"/>
      <c r="L3534" s="54"/>
      <c r="M3534" s="97" t="str">
        <f t="shared" si="297"/>
        <v/>
      </c>
      <c r="N3534" s="70"/>
      <c r="O3534" s="71" t="str">
        <f t="shared" si="301"/>
        <v/>
      </c>
      <c r="P3534" s="66"/>
      <c r="Q3534" s="66"/>
      <c r="R3534" s="54"/>
      <c r="S3534" s="82"/>
      <c r="T3534" s="83" t="str">
        <f t="shared" si="298"/>
        <v/>
      </c>
      <c r="U3534" s="10"/>
      <c r="V3534" s="41">
        <f>IF(AND(Q3534&lt;&gt;"",RIGHT(Q3534,3)&lt;&gt;""),IF(COUNTIF($Q$6:Q3534,Q3534)=1,1,0),0)</f>
        <v>0</v>
      </c>
      <c r="W3534" s="41" t="str">
        <f t="shared" si="299"/>
        <v/>
      </c>
      <c r="X3534" s="41" t="str">
        <f t="shared" si="300"/>
        <v/>
      </c>
    </row>
    <row r="3535" s="32" customFormat="1" hidden="1" customHeight="1" spans="1:24">
      <c r="A3535" s="34"/>
      <c r="B3535" s="51"/>
      <c r="C3535" s="51"/>
      <c r="D3535" s="52"/>
      <c r="E3535" s="53"/>
      <c r="F3535" s="54"/>
      <c r="G3535" s="54"/>
      <c r="H3535" s="54"/>
      <c r="I3535" s="66"/>
      <c r="J3535" s="54"/>
      <c r="K3535" s="54"/>
      <c r="L3535" s="54"/>
      <c r="M3535" s="97" t="str">
        <f t="shared" si="297"/>
        <v/>
      </c>
      <c r="N3535" s="70"/>
      <c r="O3535" s="71" t="str">
        <f t="shared" si="301"/>
        <v/>
      </c>
      <c r="P3535" s="66"/>
      <c r="Q3535" s="66"/>
      <c r="R3535" s="54"/>
      <c r="S3535" s="82"/>
      <c r="T3535" s="83" t="str">
        <f t="shared" si="298"/>
        <v/>
      </c>
      <c r="U3535" s="10"/>
      <c r="V3535" s="41">
        <f>IF(AND(Q3535&lt;&gt;"",RIGHT(Q3535,3)&lt;&gt;""),IF(COUNTIF($Q$6:Q3535,Q3535)=1,1,0),0)</f>
        <v>0</v>
      </c>
      <c r="W3535" s="41" t="str">
        <f t="shared" si="299"/>
        <v/>
      </c>
      <c r="X3535" s="41" t="str">
        <f t="shared" si="300"/>
        <v/>
      </c>
    </row>
    <row r="3536" s="32" customFormat="1" hidden="1" customHeight="1" spans="1:24">
      <c r="A3536" s="34"/>
      <c r="B3536" s="51"/>
      <c r="C3536" s="51"/>
      <c r="D3536" s="52"/>
      <c r="E3536" s="53"/>
      <c r="F3536" s="54"/>
      <c r="G3536" s="54"/>
      <c r="H3536" s="54"/>
      <c r="I3536" s="66"/>
      <c r="J3536" s="54"/>
      <c r="K3536" s="54"/>
      <c r="L3536" s="54"/>
      <c r="M3536" s="97" t="str">
        <f t="shared" si="297"/>
        <v/>
      </c>
      <c r="N3536" s="70"/>
      <c r="O3536" s="71" t="str">
        <f t="shared" si="301"/>
        <v/>
      </c>
      <c r="P3536" s="66"/>
      <c r="Q3536" s="66"/>
      <c r="R3536" s="54"/>
      <c r="S3536" s="82"/>
      <c r="T3536" s="83" t="str">
        <f t="shared" si="298"/>
        <v/>
      </c>
      <c r="U3536" s="10"/>
      <c r="V3536" s="41">
        <f>IF(AND(Q3536&lt;&gt;"",RIGHT(Q3536,3)&lt;&gt;""),IF(COUNTIF($Q$6:Q3536,Q3536)=1,1,0),0)</f>
        <v>0</v>
      </c>
      <c r="W3536" s="41" t="str">
        <f t="shared" si="299"/>
        <v/>
      </c>
      <c r="X3536" s="41" t="str">
        <f t="shared" si="300"/>
        <v/>
      </c>
    </row>
    <row r="3537" s="32" customFormat="1" hidden="1" customHeight="1" spans="1:24">
      <c r="A3537" s="34"/>
      <c r="B3537" s="51"/>
      <c r="C3537" s="51"/>
      <c r="D3537" s="52"/>
      <c r="E3537" s="53"/>
      <c r="F3537" s="54"/>
      <c r="G3537" s="54"/>
      <c r="H3537" s="54"/>
      <c r="I3537" s="66"/>
      <c r="J3537" s="54"/>
      <c r="K3537" s="54"/>
      <c r="L3537" s="54"/>
      <c r="M3537" s="97" t="str">
        <f t="shared" si="297"/>
        <v/>
      </c>
      <c r="N3537" s="70"/>
      <c r="O3537" s="71" t="str">
        <f t="shared" si="301"/>
        <v/>
      </c>
      <c r="P3537" s="66"/>
      <c r="Q3537" s="66"/>
      <c r="R3537" s="54"/>
      <c r="S3537" s="82"/>
      <c r="T3537" s="83" t="str">
        <f t="shared" si="298"/>
        <v/>
      </c>
      <c r="U3537" s="10"/>
      <c r="V3537" s="41">
        <f>IF(AND(Q3537&lt;&gt;"",RIGHT(Q3537,3)&lt;&gt;""),IF(COUNTIF($Q$6:Q3537,Q3537)=1,1,0),0)</f>
        <v>0</v>
      </c>
      <c r="W3537" s="41" t="str">
        <f t="shared" si="299"/>
        <v/>
      </c>
      <c r="X3537" s="41" t="str">
        <f t="shared" si="300"/>
        <v/>
      </c>
    </row>
    <row r="3538" s="32" customFormat="1" hidden="1" customHeight="1" spans="1:24">
      <c r="A3538" s="34"/>
      <c r="B3538" s="51"/>
      <c r="C3538" s="51"/>
      <c r="D3538" s="52"/>
      <c r="E3538" s="53"/>
      <c r="F3538" s="54"/>
      <c r="G3538" s="54"/>
      <c r="H3538" s="54"/>
      <c r="I3538" s="66"/>
      <c r="J3538" s="54"/>
      <c r="K3538" s="54"/>
      <c r="L3538" s="54"/>
      <c r="M3538" s="97" t="str">
        <f t="shared" si="297"/>
        <v/>
      </c>
      <c r="N3538" s="70"/>
      <c r="O3538" s="71" t="str">
        <f t="shared" si="301"/>
        <v/>
      </c>
      <c r="P3538" s="66"/>
      <c r="Q3538" s="66"/>
      <c r="R3538" s="54"/>
      <c r="S3538" s="82"/>
      <c r="T3538" s="83" t="str">
        <f t="shared" si="298"/>
        <v/>
      </c>
      <c r="U3538" s="10"/>
      <c r="V3538" s="41">
        <f>IF(AND(Q3538&lt;&gt;"",RIGHT(Q3538,3)&lt;&gt;""),IF(COUNTIF($Q$6:Q3538,Q3538)=1,1,0),0)</f>
        <v>0</v>
      </c>
      <c r="W3538" s="41" t="str">
        <f t="shared" si="299"/>
        <v/>
      </c>
      <c r="X3538" s="41" t="str">
        <f t="shared" si="300"/>
        <v/>
      </c>
    </row>
    <row r="3539" s="32" customFormat="1" hidden="1" customHeight="1" spans="1:24">
      <c r="A3539" s="34"/>
      <c r="B3539" s="51"/>
      <c r="C3539" s="51"/>
      <c r="D3539" s="52"/>
      <c r="E3539" s="53"/>
      <c r="F3539" s="54"/>
      <c r="G3539" s="54"/>
      <c r="H3539" s="54"/>
      <c r="I3539" s="66"/>
      <c r="J3539" s="54"/>
      <c r="K3539" s="54"/>
      <c r="L3539" s="54"/>
      <c r="M3539" s="97" t="str">
        <f t="shared" si="297"/>
        <v/>
      </c>
      <c r="N3539" s="70"/>
      <c r="O3539" s="71" t="str">
        <f t="shared" si="301"/>
        <v/>
      </c>
      <c r="P3539" s="66"/>
      <c r="Q3539" s="66"/>
      <c r="R3539" s="54"/>
      <c r="S3539" s="82"/>
      <c r="T3539" s="83" t="str">
        <f t="shared" si="298"/>
        <v/>
      </c>
      <c r="U3539" s="10"/>
      <c r="V3539" s="41">
        <f>IF(AND(Q3539&lt;&gt;"",RIGHT(Q3539,3)&lt;&gt;""),IF(COUNTIF($Q$6:Q3539,Q3539)=1,1,0),0)</f>
        <v>0</v>
      </c>
      <c r="W3539" s="41" t="str">
        <f t="shared" si="299"/>
        <v/>
      </c>
      <c r="X3539" s="41" t="str">
        <f t="shared" si="300"/>
        <v/>
      </c>
    </row>
    <row r="3540" s="32" customFormat="1" hidden="1" customHeight="1" spans="1:24">
      <c r="A3540" s="34"/>
      <c r="B3540" s="51"/>
      <c r="C3540" s="51"/>
      <c r="D3540" s="52"/>
      <c r="E3540" s="53"/>
      <c r="F3540" s="54"/>
      <c r="G3540" s="54"/>
      <c r="H3540" s="54"/>
      <c r="I3540" s="66"/>
      <c r="J3540" s="54"/>
      <c r="K3540" s="54"/>
      <c r="L3540" s="54"/>
      <c r="M3540" s="97" t="str">
        <f t="shared" si="297"/>
        <v/>
      </c>
      <c r="N3540" s="70"/>
      <c r="O3540" s="71" t="str">
        <f t="shared" si="301"/>
        <v/>
      </c>
      <c r="P3540" s="66"/>
      <c r="Q3540" s="66"/>
      <c r="R3540" s="54"/>
      <c r="S3540" s="82"/>
      <c r="T3540" s="83" t="str">
        <f t="shared" si="298"/>
        <v/>
      </c>
      <c r="U3540" s="10"/>
      <c r="V3540" s="41">
        <f>IF(AND(Q3540&lt;&gt;"",RIGHT(Q3540,3)&lt;&gt;""),IF(COUNTIF($Q$6:Q3540,Q3540)=1,1,0),0)</f>
        <v>0</v>
      </c>
      <c r="W3540" s="41" t="str">
        <f t="shared" si="299"/>
        <v/>
      </c>
      <c r="X3540" s="41" t="str">
        <f t="shared" si="300"/>
        <v/>
      </c>
    </row>
    <row r="3541" s="32" customFormat="1" hidden="1" customHeight="1" spans="1:24">
      <c r="A3541" s="34"/>
      <c r="B3541" s="51"/>
      <c r="C3541" s="51"/>
      <c r="D3541" s="52"/>
      <c r="E3541" s="53"/>
      <c r="F3541" s="54"/>
      <c r="G3541" s="54"/>
      <c r="H3541" s="54"/>
      <c r="I3541" s="66"/>
      <c r="J3541" s="54"/>
      <c r="K3541" s="54"/>
      <c r="L3541" s="54"/>
      <c r="M3541" s="97" t="str">
        <f t="shared" si="297"/>
        <v/>
      </c>
      <c r="N3541" s="70"/>
      <c r="O3541" s="71" t="str">
        <f t="shared" si="301"/>
        <v/>
      </c>
      <c r="P3541" s="66"/>
      <c r="Q3541" s="66"/>
      <c r="R3541" s="54"/>
      <c r="S3541" s="82"/>
      <c r="T3541" s="83" t="str">
        <f t="shared" si="298"/>
        <v/>
      </c>
      <c r="U3541" s="10"/>
      <c r="V3541" s="41">
        <f>IF(AND(Q3541&lt;&gt;"",RIGHT(Q3541,3)&lt;&gt;""),IF(COUNTIF($Q$6:Q3541,Q3541)=1,1,0),0)</f>
        <v>0</v>
      </c>
      <c r="W3541" s="41" t="str">
        <f t="shared" si="299"/>
        <v/>
      </c>
      <c r="X3541" s="41" t="str">
        <f t="shared" si="300"/>
        <v/>
      </c>
    </row>
    <row r="3542" s="32" customFormat="1" hidden="1" customHeight="1" spans="1:24">
      <c r="A3542" s="34"/>
      <c r="B3542" s="51"/>
      <c r="C3542" s="51"/>
      <c r="D3542" s="52"/>
      <c r="E3542" s="53"/>
      <c r="F3542" s="54"/>
      <c r="G3542" s="54"/>
      <c r="H3542" s="54"/>
      <c r="I3542" s="66"/>
      <c r="J3542" s="54"/>
      <c r="K3542" s="54"/>
      <c r="L3542" s="54"/>
      <c r="M3542" s="97" t="str">
        <f t="shared" si="297"/>
        <v/>
      </c>
      <c r="N3542" s="70"/>
      <c r="O3542" s="71" t="str">
        <f t="shared" si="301"/>
        <v/>
      </c>
      <c r="P3542" s="66"/>
      <c r="Q3542" s="66"/>
      <c r="R3542" s="54"/>
      <c r="S3542" s="82"/>
      <c r="T3542" s="83" t="str">
        <f t="shared" si="298"/>
        <v/>
      </c>
      <c r="U3542" s="10"/>
      <c r="V3542" s="41">
        <f>IF(AND(Q3542&lt;&gt;"",RIGHT(Q3542,3)&lt;&gt;""),IF(COUNTIF($Q$6:Q3542,Q3542)=1,1,0),0)</f>
        <v>0</v>
      </c>
      <c r="W3542" s="41" t="str">
        <f t="shared" si="299"/>
        <v/>
      </c>
      <c r="X3542" s="41" t="str">
        <f t="shared" si="300"/>
        <v/>
      </c>
    </row>
    <row r="3543" s="32" customFormat="1" hidden="1" customHeight="1" spans="1:24">
      <c r="A3543" s="34"/>
      <c r="B3543" s="51"/>
      <c r="C3543" s="51"/>
      <c r="D3543" s="52"/>
      <c r="E3543" s="53"/>
      <c r="F3543" s="54"/>
      <c r="G3543" s="54"/>
      <c r="H3543" s="54"/>
      <c r="I3543" s="66"/>
      <c r="J3543" s="54"/>
      <c r="K3543" s="54"/>
      <c r="L3543" s="54"/>
      <c r="M3543" s="97" t="str">
        <f t="shared" si="297"/>
        <v/>
      </c>
      <c r="N3543" s="70"/>
      <c r="O3543" s="71" t="str">
        <f t="shared" si="301"/>
        <v/>
      </c>
      <c r="P3543" s="66"/>
      <c r="Q3543" s="66"/>
      <c r="R3543" s="54"/>
      <c r="S3543" s="82"/>
      <c r="T3543" s="83" t="str">
        <f t="shared" si="298"/>
        <v/>
      </c>
      <c r="U3543" s="10"/>
      <c r="V3543" s="41">
        <f>IF(AND(Q3543&lt;&gt;"",RIGHT(Q3543,3)&lt;&gt;""),IF(COUNTIF($Q$6:Q3543,Q3543)=1,1,0),0)</f>
        <v>0</v>
      </c>
      <c r="W3543" s="41" t="str">
        <f t="shared" si="299"/>
        <v/>
      </c>
      <c r="X3543" s="41" t="str">
        <f t="shared" si="300"/>
        <v/>
      </c>
    </row>
    <row r="3544" s="32" customFormat="1" hidden="1" customHeight="1" spans="1:24">
      <c r="A3544" s="34"/>
      <c r="B3544" s="51"/>
      <c r="C3544" s="51"/>
      <c r="D3544" s="52"/>
      <c r="E3544" s="53"/>
      <c r="F3544" s="54"/>
      <c r="G3544" s="54"/>
      <c r="H3544" s="54"/>
      <c r="I3544" s="66"/>
      <c r="J3544" s="54"/>
      <c r="K3544" s="54"/>
      <c r="L3544" s="54"/>
      <c r="M3544" s="97" t="str">
        <f t="shared" si="297"/>
        <v/>
      </c>
      <c r="N3544" s="70"/>
      <c r="O3544" s="71" t="str">
        <f t="shared" si="301"/>
        <v/>
      </c>
      <c r="P3544" s="66"/>
      <c r="Q3544" s="66"/>
      <c r="R3544" s="54"/>
      <c r="S3544" s="82"/>
      <c r="T3544" s="83" t="str">
        <f t="shared" si="298"/>
        <v/>
      </c>
      <c r="U3544" s="10"/>
      <c r="V3544" s="41">
        <f>IF(AND(Q3544&lt;&gt;"",RIGHT(Q3544,3)&lt;&gt;""),IF(COUNTIF($Q$6:Q3544,Q3544)=1,1,0),0)</f>
        <v>0</v>
      </c>
      <c r="W3544" s="41" t="str">
        <f t="shared" si="299"/>
        <v/>
      </c>
      <c r="X3544" s="41" t="str">
        <f t="shared" si="300"/>
        <v/>
      </c>
    </row>
    <row r="3545" s="32" customFormat="1" hidden="1" customHeight="1" spans="1:24">
      <c r="A3545" s="34"/>
      <c r="B3545" s="51"/>
      <c r="C3545" s="51"/>
      <c r="D3545" s="52"/>
      <c r="E3545" s="53"/>
      <c r="F3545" s="54"/>
      <c r="G3545" s="54"/>
      <c r="H3545" s="54"/>
      <c r="I3545" s="66"/>
      <c r="J3545" s="54"/>
      <c r="K3545" s="54"/>
      <c r="L3545" s="54"/>
      <c r="M3545" s="97" t="str">
        <f t="shared" si="297"/>
        <v/>
      </c>
      <c r="N3545" s="70"/>
      <c r="O3545" s="71" t="str">
        <f t="shared" si="301"/>
        <v/>
      </c>
      <c r="P3545" s="66"/>
      <c r="Q3545" s="66"/>
      <c r="R3545" s="54"/>
      <c r="S3545" s="82"/>
      <c r="T3545" s="83" t="str">
        <f t="shared" si="298"/>
        <v/>
      </c>
      <c r="U3545" s="10"/>
      <c r="V3545" s="41">
        <f>IF(AND(Q3545&lt;&gt;"",RIGHT(Q3545,3)&lt;&gt;""),IF(COUNTIF($Q$6:Q3545,Q3545)=1,1,0),0)</f>
        <v>0</v>
      </c>
      <c r="W3545" s="41" t="str">
        <f t="shared" si="299"/>
        <v/>
      </c>
      <c r="X3545" s="41" t="str">
        <f t="shared" si="300"/>
        <v/>
      </c>
    </row>
    <row r="3546" s="32" customFormat="1" hidden="1" customHeight="1" spans="1:24">
      <c r="A3546" s="34"/>
      <c r="B3546" s="51"/>
      <c r="C3546" s="51"/>
      <c r="D3546" s="52"/>
      <c r="E3546" s="53"/>
      <c r="F3546" s="54"/>
      <c r="G3546" s="54"/>
      <c r="H3546" s="54"/>
      <c r="I3546" s="66"/>
      <c r="J3546" s="54"/>
      <c r="K3546" s="54"/>
      <c r="L3546" s="54"/>
      <c r="M3546" s="97" t="str">
        <f t="shared" si="297"/>
        <v/>
      </c>
      <c r="N3546" s="70"/>
      <c r="O3546" s="71" t="str">
        <f t="shared" si="301"/>
        <v/>
      </c>
      <c r="P3546" s="66"/>
      <c r="Q3546" s="66"/>
      <c r="R3546" s="54"/>
      <c r="S3546" s="82"/>
      <c r="T3546" s="83" t="str">
        <f t="shared" si="298"/>
        <v/>
      </c>
      <c r="U3546" s="10"/>
      <c r="V3546" s="41">
        <f>IF(AND(Q3546&lt;&gt;"",RIGHT(Q3546,3)&lt;&gt;""),IF(COUNTIF($Q$6:Q3546,Q3546)=1,1,0),0)</f>
        <v>0</v>
      </c>
      <c r="W3546" s="41" t="str">
        <f t="shared" si="299"/>
        <v/>
      </c>
      <c r="X3546" s="41" t="str">
        <f t="shared" si="300"/>
        <v/>
      </c>
    </row>
    <row r="3547" s="32" customFormat="1" hidden="1" customHeight="1" spans="1:24">
      <c r="A3547" s="34"/>
      <c r="B3547" s="51"/>
      <c r="C3547" s="51"/>
      <c r="D3547" s="52"/>
      <c r="E3547" s="53"/>
      <c r="F3547" s="54"/>
      <c r="G3547" s="54"/>
      <c r="H3547" s="54"/>
      <c r="I3547" s="66"/>
      <c r="J3547" s="54"/>
      <c r="K3547" s="54"/>
      <c r="L3547" s="54"/>
      <c r="M3547" s="97" t="str">
        <f t="shared" si="297"/>
        <v/>
      </c>
      <c r="N3547" s="70"/>
      <c r="O3547" s="71" t="str">
        <f t="shared" si="301"/>
        <v/>
      </c>
      <c r="P3547" s="66"/>
      <c r="Q3547" s="66"/>
      <c r="R3547" s="54"/>
      <c r="S3547" s="82"/>
      <c r="T3547" s="83" t="str">
        <f t="shared" si="298"/>
        <v/>
      </c>
      <c r="U3547" s="10"/>
      <c r="V3547" s="41">
        <f>IF(AND(Q3547&lt;&gt;"",RIGHT(Q3547,3)&lt;&gt;""),IF(COUNTIF($Q$6:Q3547,Q3547)=1,1,0),0)</f>
        <v>0</v>
      </c>
      <c r="W3547" s="41" t="str">
        <f t="shared" si="299"/>
        <v/>
      </c>
      <c r="X3547" s="41" t="str">
        <f t="shared" si="300"/>
        <v/>
      </c>
    </row>
    <row r="3548" s="32" customFormat="1" hidden="1" customHeight="1" spans="1:24">
      <c r="A3548" s="34"/>
      <c r="B3548" s="51"/>
      <c r="C3548" s="51"/>
      <c r="D3548" s="52"/>
      <c r="E3548" s="53"/>
      <c r="F3548" s="54"/>
      <c r="G3548" s="54"/>
      <c r="H3548" s="54"/>
      <c r="I3548" s="66"/>
      <c r="J3548" s="54"/>
      <c r="K3548" s="54"/>
      <c r="L3548" s="54"/>
      <c r="M3548" s="97" t="str">
        <f t="shared" si="297"/>
        <v/>
      </c>
      <c r="N3548" s="70"/>
      <c r="O3548" s="71" t="str">
        <f t="shared" si="301"/>
        <v/>
      </c>
      <c r="P3548" s="66"/>
      <c r="Q3548" s="66"/>
      <c r="R3548" s="54"/>
      <c r="S3548" s="82"/>
      <c r="T3548" s="83" t="str">
        <f t="shared" si="298"/>
        <v/>
      </c>
      <c r="U3548" s="10"/>
      <c r="V3548" s="41">
        <f>IF(AND(Q3548&lt;&gt;"",RIGHT(Q3548,3)&lt;&gt;""),IF(COUNTIF($Q$6:Q3548,Q3548)=1,1,0),0)</f>
        <v>0</v>
      </c>
      <c r="W3548" s="41" t="str">
        <f t="shared" si="299"/>
        <v/>
      </c>
      <c r="X3548" s="41" t="str">
        <f t="shared" si="300"/>
        <v/>
      </c>
    </row>
    <row r="3549" s="32" customFormat="1" hidden="1" customHeight="1" spans="1:24">
      <c r="A3549" s="34"/>
      <c r="B3549" s="51"/>
      <c r="C3549" s="51"/>
      <c r="D3549" s="52"/>
      <c r="E3549" s="53"/>
      <c r="F3549" s="54"/>
      <c r="G3549" s="54"/>
      <c r="H3549" s="54"/>
      <c r="I3549" s="66"/>
      <c r="J3549" s="54"/>
      <c r="K3549" s="54"/>
      <c r="L3549" s="54"/>
      <c r="M3549" s="97" t="str">
        <f t="shared" si="297"/>
        <v/>
      </c>
      <c r="N3549" s="70"/>
      <c r="O3549" s="71" t="str">
        <f t="shared" si="301"/>
        <v/>
      </c>
      <c r="P3549" s="66"/>
      <c r="Q3549" s="66"/>
      <c r="R3549" s="54"/>
      <c r="S3549" s="82"/>
      <c r="T3549" s="83" t="str">
        <f t="shared" si="298"/>
        <v/>
      </c>
      <c r="U3549" s="10"/>
      <c r="V3549" s="41">
        <f>IF(AND(Q3549&lt;&gt;"",RIGHT(Q3549,3)&lt;&gt;""),IF(COUNTIF($Q$6:Q3549,Q3549)=1,1,0),0)</f>
        <v>0</v>
      </c>
      <c r="W3549" s="41" t="str">
        <f t="shared" si="299"/>
        <v/>
      </c>
      <c r="X3549" s="41" t="str">
        <f t="shared" si="300"/>
        <v/>
      </c>
    </row>
    <row r="3550" s="32" customFormat="1" hidden="1" customHeight="1" spans="1:24">
      <c r="A3550" s="34"/>
      <c r="B3550" s="51"/>
      <c r="C3550" s="51"/>
      <c r="D3550" s="52"/>
      <c r="E3550" s="53"/>
      <c r="F3550" s="54"/>
      <c r="G3550" s="54"/>
      <c r="H3550" s="54"/>
      <c r="I3550" s="66"/>
      <c r="J3550" s="54"/>
      <c r="K3550" s="54"/>
      <c r="L3550" s="54"/>
      <c r="M3550" s="97" t="str">
        <f t="shared" si="297"/>
        <v/>
      </c>
      <c r="N3550" s="70"/>
      <c r="O3550" s="71" t="str">
        <f t="shared" si="301"/>
        <v/>
      </c>
      <c r="P3550" s="66"/>
      <c r="Q3550" s="66"/>
      <c r="R3550" s="54"/>
      <c r="S3550" s="82"/>
      <c r="T3550" s="83" t="str">
        <f t="shared" si="298"/>
        <v/>
      </c>
      <c r="U3550" s="10"/>
      <c r="V3550" s="41">
        <f>IF(AND(Q3550&lt;&gt;"",RIGHT(Q3550,3)&lt;&gt;""),IF(COUNTIF($Q$6:Q3550,Q3550)=1,1,0),0)</f>
        <v>0</v>
      </c>
      <c r="W3550" s="41" t="str">
        <f t="shared" si="299"/>
        <v/>
      </c>
      <c r="X3550" s="41" t="str">
        <f t="shared" si="300"/>
        <v/>
      </c>
    </row>
    <row r="3551" s="32" customFormat="1" hidden="1" customHeight="1" spans="1:24">
      <c r="A3551" s="34"/>
      <c r="B3551" s="51"/>
      <c r="C3551" s="51"/>
      <c r="D3551" s="52"/>
      <c r="E3551" s="53"/>
      <c r="F3551" s="54"/>
      <c r="G3551" s="54"/>
      <c r="H3551" s="54"/>
      <c r="I3551" s="66"/>
      <c r="J3551" s="54"/>
      <c r="K3551" s="54"/>
      <c r="L3551" s="54"/>
      <c r="M3551" s="97" t="str">
        <f t="shared" si="297"/>
        <v/>
      </c>
      <c r="N3551" s="70"/>
      <c r="O3551" s="71" t="str">
        <f t="shared" si="301"/>
        <v/>
      </c>
      <c r="P3551" s="66"/>
      <c r="Q3551" s="66"/>
      <c r="R3551" s="54"/>
      <c r="S3551" s="82"/>
      <c r="T3551" s="83" t="str">
        <f t="shared" si="298"/>
        <v/>
      </c>
      <c r="U3551" s="10"/>
      <c r="V3551" s="41">
        <f>IF(AND(Q3551&lt;&gt;"",RIGHT(Q3551,3)&lt;&gt;""),IF(COUNTIF($Q$6:Q3551,Q3551)=1,1,0),0)</f>
        <v>0</v>
      </c>
      <c r="W3551" s="41" t="str">
        <f t="shared" si="299"/>
        <v/>
      </c>
      <c r="X3551" s="41" t="str">
        <f t="shared" si="300"/>
        <v/>
      </c>
    </row>
    <row r="3552" s="32" customFormat="1" hidden="1" customHeight="1" spans="1:24">
      <c r="A3552" s="34"/>
      <c r="B3552" s="51"/>
      <c r="C3552" s="51"/>
      <c r="D3552" s="52"/>
      <c r="E3552" s="53"/>
      <c r="F3552" s="54"/>
      <c r="G3552" s="54"/>
      <c r="H3552" s="54"/>
      <c r="I3552" s="66"/>
      <c r="J3552" s="54"/>
      <c r="K3552" s="54"/>
      <c r="L3552" s="54"/>
      <c r="M3552" s="97" t="str">
        <f t="shared" si="297"/>
        <v/>
      </c>
      <c r="N3552" s="70"/>
      <c r="O3552" s="71" t="str">
        <f t="shared" si="301"/>
        <v/>
      </c>
      <c r="P3552" s="66"/>
      <c r="Q3552" s="66"/>
      <c r="R3552" s="54"/>
      <c r="S3552" s="82"/>
      <c r="T3552" s="83" t="str">
        <f t="shared" si="298"/>
        <v/>
      </c>
      <c r="U3552" s="10"/>
      <c r="V3552" s="41">
        <f>IF(AND(Q3552&lt;&gt;"",RIGHT(Q3552,3)&lt;&gt;""),IF(COUNTIF($Q$6:Q3552,Q3552)=1,1,0),0)</f>
        <v>0</v>
      </c>
      <c r="W3552" s="41" t="str">
        <f t="shared" si="299"/>
        <v/>
      </c>
      <c r="X3552" s="41" t="str">
        <f t="shared" si="300"/>
        <v/>
      </c>
    </row>
    <row r="3553" s="32" customFormat="1" hidden="1" customHeight="1" spans="1:24">
      <c r="A3553" s="34"/>
      <c r="B3553" s="51"/>
      <c r="C3553" s="51"/>
      <c r="D3553" s="52"/>
      <c r="E3553" s="53"/>
      <c r="F3553" s="54"/>
      <c r="G3553" s="54"/>
      <c r="H3553" s="54"/>
      <c r="I3553" s="66"/>
      <c r="J3553" s="54"/>
      <c r="K3553" s="54"/>
      <c r="L3553" s="54"/>
      <c r="M3553" s="97" t="str">
        <f t="shared" si="297"/>
        <v/>
      </c>
      <c r="N3553" s="70"/>
      <c r="O3553" s="71" t="str">
        <f t="shared" si="301"/>
        <v/>
      </c>
      <c r="P3553" s="66"/>
      <c r="Q3553" s="66"/>
      <c r="R3553" s="54"/>
      <c r="S3553" s="82"/>
      <c r="T3553" s="83" t="str">
        <f t="shared" si="298"/>
        <v/>
      </c>
      <c r="U3553" s="10"/>
      <c r="V3553" s="41">
        <f>IF(AND(Q3553&lt;&gt;"",RIGHT(Q3553,3)&lt;&gt;""),IF(COUNTIF($Q$6:Q3553,Q3553)=1,1,0),0)</f>
        <v>0</v>
      </c>
      <c r="W3553" s="41" t="str">
        <f t="shared" si="299"/>
        <v/>
      </c>
      <c r="X3553" s="41" t="str">
        <f t="shared" si="300"/>
        <v/>
      </c>
    </row>
    <row r="3554" s="32" customFormat="1" hidden="1" customHeight="1" spans="1:24">
      <c r="A3554" s="34"/>
      <c r="B3554" s="51"/>
      <c r="C3554" s="51"/>
      <c r="D3554" s="52"/>
      <c r="E3554" s="53"/>
      <c r="F3554" s="54"/>
      <c r="G3554" s="54"/>
      <c r="H3554" s="54"/>
      <c r="I3554" s="66"/>
      <c r="J3554" s="54"/>
      <c r="K3554" s="54"/>
      <c r="L3554" s="54"/>
      <c r="M3554" s="97" t="str">
        <f t="shared" si="297"/>
        <v/>
      </c>
      <c r="N3554" s="70"/>
      <c r="O3554" s="71" t="str">
        <f t="shared" si="301"/>
        <v/>
      </c>
      <c r="P3554" s="66"/>
      <c r="Q3554" s="66"/>
      <c r="R3554" s="54"/>
      <c r="S3554" s="82"/>
      <c r="T3554" s="83" t="str">
        <f t="shared" si="298"/>
        <v/>
      </c>
      <c r="U3554" s="10"/>
      <c r="V3554" s="41">
        <f>IF(AND(Q3554&lt;&gt;"",RIGHT(Q3554,3)&lt;&gt;""),IF(COUNTIF($Q$6:Q3554,Q3554)=1,1,0),0)</f>
        <v>0</v>
      </c>
      <c r="W3554" s="41" t="str">
        <f t="shared" si="299"/>
        <v/>
      </c>
      <c r="X3554" s="41" t="str">
        <f t="shared" si="300"/>
        <v/>
      </c>
    </row>
    <row r="3555" s="32" customFormat="1" hidden="1" customHeight="1" spans="1:24">
      <c r="A3555" s="34"/>
      <c r="B3555" s="51"/>
      <c r="C3555" s="51"/>
      <c r="D3555" s="52"/>
      <c r="E3555" s="53"/>
      <c r="F3555" s="54"/>
      <c r="G3555" s="54"/>
      <c r="H3555" s="54"/>
      <c r="I3555" s="66"/>
      <c r="J3555" s="54"/>
      <c r="K3555" s="54"/>
      <c r="L3555" s="54"/>
      <c r="M3555" s="97" t="str">
        <f t="shared" si="297"/>
        <v/>
      </c>
      <c r="N3555" s="70"/>
      <c r="O3555" s="71" t="str">
        <f t="shared" si="301"/>
        <v/>
      </c>
      <c r="P3555" s="66"/>
      <c r="Q3555" s="66"/>
      <c r="R3555" s="54"/>
      <c r="S3555" s="82"/>
      <c r="T3555" s="83" t="str">
        <f t="shared" si="298"/>
        <v/>
      </c>
      <c r="U3555" s="10"/>
      <c r="V3555" s="41">
        <f>IF(AND(Q3555&lt;&gt;"",RIGHT(Q3555,3)&lt;&gt;""),IF(COUNTIF($Q$6:Q3555,Q3555)=1,1,0),0)</f>
        <v>0</v>
      </c>
      <c r="W3555" s="41" t="str">
        <f t="shared" si="299"/>
        <v/>
      </c>
      <c r="X3555" s="41" t="str">
        <f t="shared" si="300"/>
        <v/>
      </c>
    </row>
    <row r="3556" s="32" customFormat="1" hidden="1" customHeight="1" spans="1:24">
      <c r="A3556" s="34"/>
      <c r="B3556" s="51"/>
      <c r="C3556" s="51"/>
      <c r="D3556" s="52"/>
      <c r="E3556" s="53"/>
      <c r="F3556" s="54"/>
      <c r="G3556" s="54"/>
      <c r="H3556" s="54"/>
      <c r="I3556" s="66"/>
      <c r="J3556" s="54"/>
      <c r="K3556" s="54"/>
      <c r="L3556" s="54"/>
      <c r="M3556" s="97" t="str">
        <f t="shared" ref="M3556:M3619" si="302">IF(L3556="","",HYPERLINK(_xlfn.CONCAT($L$4,L3556,".jpg"),"Open File"))</f>
        <v/>
      </c>
      <c r="N3556" s="70"/>
      <c r="O3556" s="71" t="str">
        <f t="shared" si="301"/>
        <v/>
      </c>
      <c r="P3556" s="66"/>
      <c r="Q3556" s="66"/>
      <c r="R3556" s="54"/>
      <c r="S3556" s="82"/>
      <c r="T3556" s="83" t="str">
        <f t="shared" ref="T3556:T3619" si="303">IF(S3556="","",HYPERLINK(_xlfn.CONCAT($S$4,S3556,".jpg"),"Open File"))</f>
        <v/>
      </c>
      <c r="U3556" s="10"/>
      <c r="V3556" s="41">
        <f>IF(AND(Q3556&lt;&gt;"",RIGHT(Q3556,3)&lt;&gt;""),IF(COUNTIF($Q$6:Q3556,Q3556)=1,1,0),0)</f>
        <v>0</v>
      </c>
      <c r="W3556" s="41" t="str">
        <f t="shared" ref="W3556:W3619" si="304">IF(AND(J3556&lt;&gt;"",K3556&lt;&gt;""),_xlfn.CONCAT(SUBSTITUTE(J3556,"/","."),"-",K3556),"")</f>
        <v/>
      </c>
      <c r="X3556" s="41" t="str">
        <f t="shared" ref="X3556:X3619" si="305">IF(AND(Q3556&lt;&gt;"",R3556&lt;&gt;""),_xlfn.CONCAT(SUBSTITUTE(Q3556,"/","."),"-",R3556),"")</f>
        <v/>
      </c>
    </row>
    <row r="3557" s="32" customFormat="1" hidden="1" customHeight="1" spans="1:24">
      <c r="A3557" s="34"/>
      <c r="B3557" s="51"/>
      <c r="C3557" s="51"/>
      <c r="D3557" s="52"/>
      <c r="E3557" s="53"/>
      <c r="F3557" s="54"/>
      <c r="G3557" s="54"/>
      <c r="H3557" s="54"/>
      <c r="I3557" s="66"/>
      <c r="J3557" s="54"/>
      <c r="K3557" s="54"/>
      <c r="L3557" s="54"/>
      <c r="M3557" s="97" t="str">
        <f t="shared" si="302"/>
        <v/>
      </c>
      <c r="N3557" s="70"/>
      <c r="O3557" s="71" t="str">
        <f t="shared" si="301"/>
        <v/>
      </c>
      <c r="P3557" s="66"/>
      <c r="Q3557" s="66"/>
      <c r="R3557" s="54"/>
      <c r="S3557" s="82"/>
      <c r="T3557" s="83" t="str">
        <f t="shared" si="303"/>
        <v/>
      </c>
      <c r="U3557" s="10"/>
      <c r="V3557" s="41">
        <f>IF(AND(Q3557&lt;&gt;"",RIGHT(Q3557,3)&lt;&gt;""),IF(COUNTIF($Q$6:Q3557,Q3557)=1,1,0),0)</f>
        <v>0</v>
      </c>
      <c r="W3557" s="41" t="str">
        <f t="shared" si="304"/>
        <v/>
      </c>
      <c r="X3557" s="41" t="str">
        <f t="shared" si="305"/>
        <v/>
      </c>
    </row>
    <row r="3558" s="32" customFormat="1" hidden="1" customHeight="1" spans="1:24">
      <c r="A3558" s="34"/>
      <c r="B3558" s="51"/>
      <c r="C3558" s="51"/>
      <c r="D3558" s="52"/>
      <c r="E3558" s="53"/>
      <c r="F3558" s="54"/>
      <c r="G3558" s="54"/>
      <c r="H3558" s="54"/>
      <c r="I3558" s="66"/>
      <c r="J3558" s="54"/>
      <c r="K3558" s="54"/>
      <c r="L3558" s="54"/>
      <c r="M3558" s="97" t="str">
        <f t="shared" si="302"/>
        <v/>
      </c>
      <c r="N3558" s="70"/>
      <c r="O3558" s="71" t="str">
        <f t="shared" si="301"/>
        <v/>
      </c>
      <c r="P3558" s="66"/>
      <c r="Q3558" s="66"/>
      <c r="R3558" s="54"/>
      <c r="S3558" s="82"/>
      <c r="T3558" s="83" t="str">
        <f t="shared" si="303"/>
        <v/>
      </c>
      <c r="U3558" s="10"/>
      <c r="V3558" s="41">
        <f>IF(AND(Q3558&lt;&gt;"",RIGHT(Q3558,3)&lt;&gt;""),IF(COUNTIF($Q$6:Q3558,Q3558)=1,1,0),0)</f>
        <v>0</v>
      </c>
      <c r="W3558" s="41" t="str">
        <f t="shared" si="304"/>
        <v/>
      </c>
      <c r="X3558" s="41" t="str">
        <f t="shared" si="305"/>
        <v/>
      </c>
    </row>
    <row r="3559" s="32" customFormat="1" hidden="1" customHeight="1" spans="1:24">
      <c r="A3559" s="34"/>
      <c r="B3559" s="51"/>
      <c r="C3559" s="51"/>
      <c r="D3559" s="52"/>
      <c r="E3559" s="53"/>
      <c r="F3559" s="54"/>
      <c r="G3559" s="54"/>
      <c r="H3559" s="54"/>
      <c r="I3559" s="66"/>
      <c r="J3559" s="54"/>
      <c r="K3559" s="54"/>
      <c r="L3559" s="54"/>
      <c r="M3559" s="97" t="str">
        <f t="shared" si="302"/>
        <v/>
      </c>
      <c r="N3559" s="70"/>
      <c r="O3559" s="71" t="str">
        <f t="shared" si="301"/>
        <v/>
      </c>
      <c r="P3559" s="66"/>
      <c r="Q3559" s="66"/>
      <c r="R3559" s="54"/>
      <c r="S3559" s="82"/>
      <c r="T3559" s="83" t="str">
        <f t="shared" si="303"/>
        <v/>
      </c>
      <c r="U3559" s="10"/>
      <c r="V3559" s="41">
        <f>IF(AND(Q3559&lt;&gt;"",RIGHT(Q3559,3)&lt;&gt;""),IF(COUNTIF($Q$6:Q3559,Q3559)=1,1,0),0)</f>
        <v>0</v>
      </c>
      <c r="W3559" s="41" t="str">
        <f t="shared" si="304"/>
        <v/>
      </c>
      <c r="X3559" s="41" t="str">
        <f t="shared" si="305"/>
        <v/>
      </c>
    </row>
    <row r="3560" s="32" customFormat="1" hidden="1" customHeight="1" spans="1:24">
      <c r="A3560" s="34"/>
      <c r="B3560" s="51"/>
      <c r="C3560" s="51"/>
      <c r="D3560" s="52"/>
      <c r="E3560" s="53"/>
      <c r="F3560" s="54"/>
      <c r="G3560" s="54"/>
      <c r="H3560" s="54"/>
      <c r="I3560" s="66"/>
      <c r="J3560" s="54"/>
      <c r="K3560" s="54"/>
      <c r="L3560" s="54"/>
      <c r="M3560" s="97" t="str">
        <f t="shared" si="302"/>
        <v/>
      </c>
      <c r="N3560" s="70"/>
      <c r="O3560" s="71" t="str">
        <f t="shared" si="301"/>
        <v/>
      </c>
      <c r="P3560" s="66"/>
      <c r="Q3560" s="66"/>
      <c r="R3560" s="54"/>
      <c r="S3560" s="82"/>
      <c r="T3560" s="83" t="str">
        <f t="shared" si="303"/>
        <v/>
      </c>
      <c r="U3560" s="10"/>
      <c r="V3560" s="41">
        <f>IF(AND(Q3560&lt;&gt;"",RIGHT(Q3560,3)&lt;&gt;""),IF(COUNTIF($Q$6:Q3560,Q3560)=1,1,0),0)</f>
        <v>0</v>
      </c>
      <c r="W3560" s="41" t="str">
        <f t="shared" si="304"/>
        <v/>
      </c>
      <c r="X3560" s="41" t="str">
        <f t="shared" si="305"/>
        <v/>
      </c>
    </row>
    <row r="3561" s="32" customFormat="1" hidden="1" customHeight="1" spans="1:24">
      <c r="A3561" s="34"/>
      <c r="B3561" s="51"/>
      <c r="C3561" s="51"/>
      <c r="D3561" s="52"/>
      <c r="E3561" s="53"/>
      <c r="F3561" s="54"/>
      <c r="G3561" s="54"/>
      <c r="H3561" s="54"/>
      <c r="I3561" s="66"/>
      <c r="J3561" s="54"/>
      <c r="K3561" s="54"/>
      <c r="L3561" s="54"/>
      <c r="M3561" s="97" t="str">
        <f t="shared" si="302"/>
        <v/>
      </c>
      <c r="N3561" s="70"/>
      <c r="O3561" s="71" t="str">
        <f t="shared" si="301"/>
        <v/>
      </c>
      <c r="P3561" s="66"/>
      <c r="Q3561" s="66"/>
      <c r="R3561" s="54"/>
      <c r="S3561" s="82"/>
      <c r="T3561" s="83" t="str">
        <f t="shared" si="303"/>
        <v/>
      </c>
      <c r="U3561" s="10"/>
      <c r="V3561" s="41">
        <f>IF(AND(Q3561&lt;&gt;"",RIGHT(Q3561,3)&lt;&gt;""),IF(COUNTIF($Q$6:Q3561,Q3561)=1,1,0),0)</f>
        <v>0</v>
      </c>
      <c r="W3561" s="41" t="str">
        <f t="shared" si="304"/>
        <v/>
      </c>
      <c r="X3561" s="41" t="str">
        <f t="shared" si="305"/>
        <v/>
      </c>
    </row>
    <row r="3562" s="32" customFormat="1" hidden="1" customHeight="1" spans="1:24">
      <c r="A3562" s="34"/>
      <c r="B3562" s="51"/>
      <c r="C3562" s="51"/>
      <c r="D3562" s="52"/>
      <c r="E3562" s="53"/>
      <c r="F3562" s="54"/>
      <c r="G3562" s="54"/>
      <c r="H3562" s="54"/>
      <c r="I3562" s="66"/>
      <c r="J3562" s="54"/>
      <c r="K3562" s="54"/>
      <c r="L3562" s="54"/>
      <c r="M3562" s="97" t="str">
        <f t="shared" si="302"/>
        <v/>
      </c>
      <c r="N3562" s="70"/>
      <c r="O3562" s="71" t="str">
        <f t="shared" si="301"/>
        <v/>
      </c>
      <c r="P3562" s="66"/>
      <c r="Q3562" s="66"/>
      <c r="R3562" s="54"/>
      <c r="S3562" s="82"/>
      <c r="T3562" s="83" t="str">
        <f t="shared" si="303"/>
        <v/>
      </c>
      <c r="U3562" s="10"/>
      <c r="V3562" s="41">
        <f>IF(AND(Q3562&lt;&gt;"",RIGHT(Q3562,3)&lt;&gt;""),IF(COUNTIF($Q$6:Q3562,Q3562)=1,1,0),0)</f>
        <v>0</v>
      </c>
      <c r="W3562" s="41" t="str">
        <f t="shared" si="304"/>
        <v/>
      </c>
      <c r="X3562" s="41" t="str">
        <f t="shared" si="305"/>
        <v/>
      </c>
    </row>
    <row r="3563" s="32" customFormat="1" hidden="1" customHeight="1" spans="1:24">
      <c r="A3563" s="34"/>
      <c r="B3563" s="51"/>
      <c r="C3563" s="51"/>
      <c r="D3563" s="52"/>
      <c r="E3563" s="53"/>
      <c r="F3563" s="54"/>
      <c r="G3563" s="54"/>
      <c r="H3563" s="54"/>
      <c r="I3563" s="66"/>
      <c r="J3563" s="54"/>
      <c r="K3563" s="54"/>
      <c r="L3563" s="54"/>
      <c r="M3563" s="97" t="str">
        <f t="shared" si="302"/>
        <v/>
      </c>
      <c r="N3563" s="70"/>
      <c r="O3563" s="71" t="str">
        <f t="shared" si="301"/>
        <v/>
      </c>
      <c r="P3563" s="66"/>
      <c r="Q3563" s="66"/>
      <c r="R3563" s="54"/>
      <c r="S3563" s="82"/>
      <c r="T3563" s="83" t="str">
        <f t="shared" si="303"/>
        <v/>
      </c>
      <c r="U3563" s="10"/>
      <c r="V3563" s="41">
        <f>IF(AND(Q3563&lt;&gt;"",RIGHT(Q3563,3)&lt;&gt;""),IF(COUNTIF($Q$6:Q3563,Q3563)=1,1,0),0)</f>
        <v>0</v>
      </c>
      <c r="W3563" s="41" t="str">
        <f t="shared" si="304"/>
        <v/>
      </c>
      <c r="X3563" s="41" t="str">
        <f t="shared" si="305"/>
        <v/>
      </c>
    </row>
    <row r="3564" s="32" customFormat="1" hidden="1" customHeight="1" spans="1:24">
      <c r="A3564" s="34"/>
      <c r="B3564" s="51"/>
      <c r="C3564" s="51"/>
      <c r="D3564" s="52"/>
      <c r="E3564" s="53"/>
      <c r="F3564" s="54"/>
      <c r="G3564" s="54"/>
      <c r="H3564" s="54"/>
      <c r="I3564" s="66"/>
      <c r="J3564" s="54"/>
      <c r="K3564" s="54"/>
      <c r="L3564" s="54"/>
      <c r="M3564" s="97" t="str">
        <f t="shared" si="302"/>
        <v/>
      </c>
      <c r="N3564" s="70"/>
      <c r="O3564" s="71" t="str">
        <f t="shared" si="301"/>
        <v/>
      </c>
      <c r="P3564" s="66"/>
      <c r="Q3564" s="66"/>
      <c r="R3564" s="54"/>
      <c r="S3564" s="82"/>
      <c r="T3564" s="83" t="str">
        <f t="shared" si="303"/>
        <v/>
      </c>
      <c r="U3564" s="10"/>
      <c r="V3564" s="41">
        <f>IF(AND(Q3564&lt;&gt;"",RIGHT(Q3564,3)&lt;&gt;""),IF(COUNTIF($Q$6:Q3564,Q3564)=1,1,0),0)</f>
        <v>0</v>
      </c>
      <c r="W3564" s="41" t="str">
        <f t="shared" si="304"/>
        <v/>
      </c>
      <c r="X3564" s="41" t="str">
        <f t="shared" si="305"/>
        <v/>
      </c>
    </row>
    <row r="3565" s="32" customFormat="1" hidden="1" customHeight="1" spans="1:24">
      <c r="A3565" s="34"/>
      <c r="B3565" s="51"/>
      <c r="C3565" s="51"/>
      <c r="D3565" s="52"/>
      <c r="E3565" s="53"/>
      <c r="F3565" s="54"/>
      <c r="G3565" s="54"/>
      <c r="H3565" s="54"/>
      <c r="I3565" s="66"/>
      <c r="J3565" s="54"/>
      <c r="K3565" s="54"/>
      <c r="L3565" s="54"/>
      <c r="M3565" s="97" t="str">
        <f t="shared" si="302"/>
        <v/>
      </c>
      <c r="N3565" s="70"/>
      <c r="O3565" s="71" t="str">
        <f t="shared" si="301"/>
        <v/>
      </c>
      <c r="P3565" s="66"/>
      <c r="Q3565" s="66"/>
      <c r="R3565" s="54"/>
      <c r="S3565" s="82"/>
      <c r="T3565" s="83" t="str">
        <f t="shared" si="303"/>
        <v/>
      </c>
      <c r="U3565" s="10"/>
      <c r="V3565" s="41">
        <f>IF(AND(Q3565&lt;&gt;"",RIGHT(Q3565,3)&lt;&gt;""),IF(COUNTIF($Q$6:Q3565,Q3565)=1,1,0),0)</f>
        <v>0</v>
      </c>
      <c r="W3565" s="41" t="str">
        <f t="shared" si="304"/>
        <v/>
      </c>
      <c r="X3565" s="41" t="str">
        <f t="shared" si="305"/>
        <v/>
      </c>
    </row>
    <row r="3566" s="32" customFormat="1" hidden="1" customHeight="1" spans="1:24">
      <c r="A3566" s="34"/>
      <c r="B3566" s="51"/>
      <c r="C3566" s="51"/>
      <c r="D3566" s="52"/>
      <c r="E3566" s="53"/>
      <c r="F3566" s="54"/>
      <c r="G3566" s="54"/>
      <c r="H3566" s="54"/>
      <c r="I3566" s="66"/>
      <c r="J3566" s="54"/>
      <c r="K3566" s="54"/>
      <c r="L3566" s="54"/>
      <c r="M3566" s="97" t="str">
        <f t="shared" si="302"/>
        <v/>
      </c>
      <c r="N3566" s="70"/>
      <c r="O3566" s="71" t="str">
        <f t="shared" si="301"/>
        <v/>
      </c>
      <c r="P3566" s="66"/>
      <c r="Q3566" s="66"/>
      <c r="R3566" s="54"/>
      <c r="S3566" s="82"/>
      <c r="T3566" s="83" t="str">
        <f t="shared" si="303"/>
        <v/>
      </c>
      <c r="U3566" s="10"/>
      <c r="V3566" s="41">
        <f>IF(AND(Q3566&lt;&gt;"",RIGHT(Q3566,3)&lt;&gt;""),IF(COUNTIF($Q$6:Q3566,Q3566)=1,1,0),0)</f>
        <v>0</v>
      </c>
      <c r="W3566" s="41" t="str">
        <f t="shared" si="304"/>
        <v/>
      </c>
      <c r="X3566" s="41" t="str">
        <f t="shared" si="305"/>
        <v/>
      </c>
    </row>
    <row r="3567" s="32" customFormat="1" hidden="1" customHeight="1" spans="1:24">
      <c r="A3567" s="34"/>
      <c r="B3567" s="51"/>
      <c r="C3567" s="51"/>
      <c r="D3567" s="52"/>
      <c r="E3567" s="53"/>
      <c r="F3567" s="54"/>
      <c r="G3567" s="54"/>
      <c r="H3567" s="54"/>
      <c r="I3567" s="66"/>
      <c r="J3567" s="54"/>
      <c r="K3567" s="54"/>
      <c r="L3567" s="54"/>
      <c r="M3567" s="97" t="str">
        <f t="shared" si="302"/>
        <v/>
      </c>
      <c r="N3567" s="70"/>
      <c r="O3567" s="71" t="str">
        <f t="shared" si="301"/>
        <v/>
      </c>
      <c r="P3567" s="66"/>
      <c r="Q3567" s="66"/>
      <c r="R3567" s="54"/>
      <c r="S3567" s="82"/>
      <c r="T3567" s="83" t="str">
        <f t="shared" si="303"/>
        <v/>
      </c>
      <c r="U3567" s="10"/>
      <c r="V3567" s="41">
        <f>IF(AND(Q3567&lt;&gt;"",RIGHT(Q3567,3)&lt;&gt;""),IF(COUNTIF($Q$6:Q3567,Q3567)=1,1,0),0)</f>
        <v>0</v>
      </c>
      <c r="W3567" s="41" t="str">
        <f t="shared" si="304"/>
        <v/>
      </c>
      <c r="X3567" s="41" t="str">
        <f t="shared" si="305"/>
        <v/>
      </c>
    </row>
    <row r="3568" s="32" customFormat="1" hidden="1" customHeight="1" spans="1:24">
      <c r="A3568" s="34"/>
      <c r="B3568" s="51"/>
      <c r="C3568" s="51"/>
      <c r="D3568" s="52"/>
      <c r="E3568" s="53"/>
      <c r="F3568" s="54"/>
      <c r="G3568" s="54"/>
      <c r="H3568" s="54"/>
      <c r="I3568" s="66"/>
      <c r="J3568" s="54"/>
      <c r="K3568" s="54"/>
      <c r="L3568" s="54"/>
      <c r="M3568" s="97" t="str">
        <f t="shared" si="302"/>
        <v/>
      </c>
      <c r="N3568" s="70"/>
      <c r="O3568" s="71" t="str">
        <f t="shared" si="301"/>
        <v/>
      </c>
      <c r="P3568" s="66"/>
      <c r="Q3568" s="66"/>
      <c r="R3568" s="54"/>
      <c r="S3568" s="82"/>
      <c r="T3568" s="83" t="str">
        <f t="shared" si="303"/>
        <v/>
      </c>
      <c r="U3568" s="10"/>
      <c r="V3568" s="41">
        <f>IF(AND(Q3568&lt;&gt;"",RIGHT(Q3568,3)&lt;&gt;""),IF(COUNTIF($Q$6:Q3568,Q3568)=1,1,0),0)</f>
        <v>0</v>
      </c>
      <c r="W3568" s="41" t="str">
        <f t="shared" si="304"/>
        <v/>
      </c>
      <c r="X3568" s="41" t="str">
        <f t="shared" si="305"/>
        <v/>
      </c>
    </row>
    <row r="3569" s="32" customFormat="1" hidden="1" customHeight="1" spans="1:24">
      <c r="A3569" s="34"/>
      <c r="B3569" s="51"/>
      <c r="C3569" s="51"/>
      <c r="D3569" s="52"/>
      <c r="E3569" s="53"/>
      <c r="F3569" s="54"/>
      <c r="G3569" s="54"/>
      <c r="H3569" s="54"/>
      <c r="I3569" s="66"/>
      <c r="J3569" s="54"/>
      <c r="K3569" s="54"/>
      <c r="L3569" s="54"/>
      <c r="M3569" s="97" t="str">
        <f t="shared" si="302"/>
        <v/>
      </c>
      <c r="N3569" s="70"/>
      <c r="O3569" s="71" t="str">
        <f t="shared" ref="O3569:O3632" si="306">IF(AND(Q3569&lt;&gt;"",T3569&lt;&gt;""),"PASSIVE",IF(AND(J3569&lt;&gt;"",M3569&lt;&gt;""),"ACTIVE",""))</f>
        <v/>
      </c>
      <c r="P3569" s="66"/>
      <c r="Q3569" s="66"/>
      <c r="R3569" s="54"/>
      <c r="S3569" s="82"/>
      <c r="T3569" s="83" t="str">
        <f t="shared" si="303"/>
        <v/>
      </c>
      <c r="U3569" s="10"/>
      <c r="V3569" s="41">
        <f>IF(AND(Q3569&lt;&gt;"",RIGHT(Q3569,3)&lt;&gt;""),IF(COUNTIF($Q$6:Q3569,Q3569)=1,1,0),0)</f>
        <v>0</v>
      </c>
      <c r="W3569" s="41" t="str">
        <f t="shared" si="304"/>
        <v/>
      </c>
      <c r="X3569" s="41" t="str">
        <f t="shared" si="305"/>
        <v/>
      </c>
    </row>
    <row r="3570" s="32" customFormat="1" hidden="1" customHeight="1" spans="1:24">
      <c r="A3570" s="34"/>
      <c r="B3570" s="51"/>
      <c r="C3570" s="51"/>
      <c r="D3570" s="52"/>
      <c r="E3570" s="53"/>
      <c r="F3570" s="54"/>
      <c r="G3570" s="54"/>
      <c r="H3570" s="54"/>
      <c r="I3570" s="66"/>
      <c r="J3570" s="54"/>
      <c r="K3570" s="54"/>
      <c r="L3570" s="54"/>
      <c r="M3570" s="97" t="str">
        <f t="shared" si="302"/>
        <v/>
      </c>
      <c r="N3570" s="70"/>
      <c r="O3570" s="71" t="str">
        <f t="shared" si="306"/>
        <v/>
      </c>
      <c r="P3570" s="66"/>
      <c r="Q3570" s="66"/>
      <c r="R3570" s="54"/>
      <c r="S3570" s="82"/>
      <c r="T3570" s="83" t="str">
        <f t="shared" si="303"/>
        <v/>
      </c>
      <c r="U3570" s="10"/>
      <c r="V3570" s="41">
        <f>IF(AND(Q3570&lt;&gt;"",RIGHT(Q3570,3)&lt;&gt;""),IF(COUNTIF($Q$6:Q3570,Q3570)=1,1,0),0)</f>
        <v>0</v>
      </c>
      <c r="W3570" s="41" t="str">
        <f t="shared" si="304"/>
        <v/>
      </c>
      <c r="X3570" s="41" t="str">
        <f t="shared" si="305"/>
        <v/>
      </c>
    </row>
    <row r="3571" s="32" customFormat="1" hidden="1" customHeight="1" spans="1:24">
      <c r="A3571" s="34"/>
      <c r="B3571" s="51"/>
      <c r="C3571" s="51"/>
      <c r="D3571" s="52"/>
      <c r="E3571" s="53"/>
      <c r="F3571" s="54"/>
      <c r="G3571" s="54"/>
      <c r="H3571" s="54"/>
      <c r="I3571" s="66"/>
      <c r="J3571" s="54"/>
      <c r="K3571" s="54"/>
      <c r="L3571" s="54"/>
      <c r="M3571" s="97" t="str">
        <f t="shared" si="302"/>
        <v/>
      </c>
      <c r="N3571" s="70"/>
      <c r="O3571" s="71" t="str">
        <f t="shared" si="306"/>
        <v/>
      </c>
      <c r="P3571" s="66"/>
      <c r="Q3571" s="66"/>
      <c r="R3571" s="54"/>
      <c r="S3571" s="82"/>
      <c r="T3571" s="83" t="str">
        <f t="shared" si="303"/>
        <v/>
      </c>
      <c r="U3571" s="10"/>
      <c r="V3571" s="41">
        <f>IF(AND(Q3571&lt;&gt;"",RIGHT(Q3571,3)&lt;&gt;""),IF(COUNTIF($Q$6:Q3571,Q3571)=1,1,0),0)</f>
        <v>0</v>
      </c>
      <c r="W3571" s="41" t="str">
        <f t="shared" si="304"/>
        <v/>
      </c>
      <c r="X3571" s="41" t="str">
        <f t="shared" si="305"/>
        <v/>
      </c>
    </row>
    <row r="3572" s="32" customFormat="1" hidden="1" customHeight="1" spans="1:24">
      <c r="A3572" s="34"/>
      <c r="B3572" s="51"/>
      <c r="C3572" s="51"/>
      <c r="D3572" s="52"/>
      <c r="E3572" s="53"/>
      <c r="F3572" s="54"/>
      <c r="G3572" s="54"/>
      <c r="H3572" s="54"/>
      <c r="I3572" s="66"/>
      <c r="J3572" s="54"/>
      <c r="K3572" s="54"/>
      <c r="L3572" s="54"/>
      <c r="M3572" s="97" t="str">
        <f t="shared" si="302"/>
        <v/>
      </c>
      <c r="N3572" s="70"/>
      <c r="O3572" s="71" t="str">
        <f t="shared" si="306"/>
        <v/>
      </c>
      <c r="P3572" s="66"/>
      <c r="Q3572" s="66"/>
      <c r="R3572" s="54"/>
      <c r="S3572" s="82"/>
      <c r="T3572" s="83" t="str">
        <f t="shared" si="303"/>
        <v/>
      </c>
      <c r="U3572" s="10"/>
      <c r="V3572" s="41">
        <f>IF(AND(Q3572&lt;&gt;"",RIGHT(Q3572,3)&lt;&gt;""),IF(COUNTIF($Q$6:Q3572,Q3572)=1,1,0),0)</f>
        <v>0</v>
      </c>
      <c r="W3572" s="41" t="str">
        <f t="shared" si="304"/>
        <v/>
      </c>
      <c r="X3572" s="41" t="str">
        <f t="shared" si="305"/>
        <v/>
      </c>
    </row>
    <row r="3573" s="32" customFormat="1" hidden="1" customHeight="1" spans="1:24">
      <c r="A3573" s="34"/>
      <c r="B3573" s="51"/>
      <c r="C3573" s="51"/>
      <c r="D3573" s="52"/>
      <c r="E3573" s="53"/>
      <c r="F3573" s="54"/>
      <c r="G3573" s="54"/>
      <c r="H3573" s="54"/>
      <c r="I3573" s="66"/>
      <c r="J3573" s="54"/>
      <c r="K3573" s="54"/>
      <c r="L3573" s="54"/>
      <c r="M3573" s="97" t="str">
        <f t="shared" si="302"/>
        <v/>
      </c>
      <c r="N3573" s="70"/>
      <c r="O3573" s="71" t="str">
        <f t="shared" si="306"/>
        <v/>
      </c>
      <c r="P3573" s="66"/>
      <c r="Q3573" s="66"/>
      <c r="R3573" s="54"/>
      <c r="S3573" s="82"/>
      <c r="T3573" s="83" t="str">
        <f t="shared" si="303"/>
        <v/>
      </c>
      <c r="U3573" s="10"/>
      <c r="V3573" s="41">
        <f>IF(AND(Q3573&lt;&gt;"",RIGHT(Q3573,3)&lt;&gt;""),IF(COUNTIF($Q$6:Q3573,Q3573)=1,1,0),0)</f>
        <v>0</v>
      </c>
      <c r="W3573" s="41" t="str">
        <f t="shared" si="304"/>
        <v/>
      </c>
      <c r="X3573" s="41" t="str">
        <f t="shared" si="305"/>
        <v/>
      </c>
    </row>
    <row r="3574" s="32" customFormat="1" hidden="1" customHeight="1" spans="1:24">
      <c r="A3574" s="34"/>
      <c r="B3574" s="51"/>
      <c r="C3574" s="51"/>
      <c r="D3574" s="52"/>
      <c r="E3574" s="53"/>
      <c r="F3574" s="54"/>
      <c r="G3574" s="54"/>
      <c r="H3574" s="54"/>
      <c r="I3574" s="66"/>
      <c r="J3574" s="54"/>
      <c r="K3574" s="54"/>
      <c r="L3574" s="54"/>
      <c r="M3574" s="97" t="str">
        <f t="shared" si="302"/>
        <v/>
      </c>
      <c r="N3574" s="70"/>
      <c r="O3574" s="71" t="str">
        <f t="shared" si="306"/>
        <v/>
      </c>
      <c r="P3574" s="66"/>
      <c r="Q3574" s="66"/>
      <c r="R3574" s="54"/>
      <c r="S3574" s="82"/>
      <c r="T3574" s="83" t="str">
        <f t="shared" si="303"/>
        <v/>
      </c>
      <c r="U3574" s="10"/>
      <c r="V3574" s="41">
        <f>IF(AND(Q3574&lt;&gt;"",RIGHT(Q3574,3)&lt;&gt;""),IF(COUNTIF($Q$6:Q3574,Q3574)=1,1,0),0)</f>
        <v>0</v>
      </c>
      <c r="W3574" s="41" t="str">
        <f t="shared" si="304"/>
        <v/>
      </c>
      <c r="X3574" s="41" t="str">
        <f t="shared" si="305"/>
        <v/>
      </c>
    </row>
    <row r="3575" s="32" customFormat="1" hidden="1" customHeight="1" spans="1:24">
      <c r="A3575" s="34"/>
      <c r="B3575" s="51"/>
      <c r="C3575" s="51"/>
      <c r="D3575" s="52"/>
      <c r="E3575" s="53"/>
      <c r="F3575" s="54"/>
      <c r="G3575" s="54"/>
      <c r="H3575" s="54"/>
      <c r="I3575" s="66"/>
      <c r="J3575" s="54"/>
      <c r="K3575" s="54"/>
      <c r="L3575" s="54"/>
      <c r="M3575" s="97" t="str">
        <f t="shared" si="302"/>
        <v/>
      </c>
      <c r="N3575" s="70"/>
      <c r="O3575" s="71" t="str">
        <f t="shared" si="306"/>
        <v/>
      </c>
      <c r="P3575" s="66"/>
      <c r="Q3575" s="66"/>
      <c r="R3575" s="54"/>
      <c r="S3575" s="82"/>
      <c r="T3575" s="83" t="str">
        <f t="shared" si="303"/>
        <v/>
      </c>
      <c r="U3575" s="10"/>
      <c r="V3575" s="41">
        <f>IF(AND(Q3575&lt;&gt;"",RIGHT(Q3575,3)&lt;&gt;""),IF(COUNTIF($Q$6:Q3575,Q3575)=1,1,0),0)</f>
        <v>0</v>
      </c>
      <c r="W3575" s="41" t="str">
        <f t="shared" si="304"/>
        <v/>
      </c>
      <c r="X3575" s="41" t="str">
        <f t="shared" si="305"/>
        <v/>
      </c>
    </row>
    <row r="3576" s="32" customFormat="1" hidden="1" customHeight="1" spans="1:24">
      <c r="A3576" s="34"/>
      <c r="B3576" s="51"/>
      <c r="C3576" s="51"/>
      <c r="D3576" s="52"/>
      <c r="E3576" s="53"/>
      <c r="F3576" s="54"/>
      <c r="G3576" s="54"/>
      <c r="H3576" s="54"/>
      <c r="I3576" s="66"/>
      <c r="J3576" s="54"/>
      <c r="K3576" s="54"/>
      <c r="L3576" s="54"/>
      <c r="M3576" s="97" t="str">
        <f t="shared" si="302"/>
        <v/>
      </c>
      <c r="N3576" s="70"/>
      <c r="O3576" s="71" t="str">
        <f t="shared" si="306"/>
        <v/>
      </c>
      <c r="P3576" s="66"/>
      <c r="Q3576" s="66"/>
      <c r="R3576" s="54"/>
      <c r="S3576" s="82"/>
      <c r="T3576" s="83" t="str">
        <f t="shared" si="303"/>
        <v/>
      </c>
      <c r="U3576" s="10"/>
      <c r="V3576" s="41">
        <f>IF(AND(Q3576&lt;&gt;"",RIGHT(Q3576,3)&lt;&gt;""),IF(COUNTIF($Q$6:Q3576,Q3576)=1,1,0),0)</f>
        <v>0</v>
      </c>
      <c r="W3576" s="41" t="str">
        <f t="shared" si="304"/>
        <v/>
      </c>
      <c r="X3576" s="41" t="str">
        <f t="shared" si="305"/>
        <v/>
      </c>
    </row>
    <row r="3577" s="32" customFormat="1" hidden="1" customHeight="1" spans="1:24">
      <c r="A3577" s="34"/>
      <c r="B3577" s="51"/>
      <c r="C3577" s="51"/>
      <c r="D3577" s="52"/>
      <c r="E3577" s="53"/>
      <c r="F3577" s="54"/>
      <c r="G3577" s="54"/>
      <c r="H3577" s="54"/>
      <c r="I3577" s="66"/>
      <c r="J3577" s="54"/>
      <c r="K3577" s="54"/>
      <c r="L3577" s="54"/>
      <c r="M3577" s="97" t="str">
        <f t="shared" si="302"/>
        <v/>
      </c>
      <c r="N3577" s="70"/>
      <c r="O3577" s="71" t="str">
        <f t="shared" si="306"/>
        <v/>
      </c>
      <c r="P3577" s="66"/>
      <c r="Q3577" s="66"/>
      <c r="R3577" s="54"/>
      <c r="S3577" s="82"/>
      <c r="T3577" s="83" t="str">
        <f t="shared" si="303"/>
        <v/>
      </c>
      <c r="U3577" s="10"/>
      <c r="V3577" s="41">
        <f>IF(AND(Q3577&lt;&gt;"",RIGHT(Q3577,3)&lt;&gt;""),IF(COUNTIF($Q$6:Q3577,Q3577)=1,1,0),0)</f>
        <v>0</v>
      </c>
      <c r="W3577" s="41" t="str">
        <f t="shared" si="304"/>
        <v/>
      </c>
      <c r="X3577" s="41" t="str">
        <f t="shared" si="305"/>
        <v/>
      </c>
    </row>
    <row r="3578" s="32" customFormat="1" hidden="1" customHeight="1" spans="1:24">
      <c r="A3578" s="34"/>
      <c r="B3578" s="51"/>
      <c r="C3578" s="51"/>
      <c r="D3578" s="52"/>
      <c r="E3578" s="53"/>
      <c r="F3578" s="54"/>
      <c r="G3578" s="54"/>
      <c r="H3578" s="54"/>
      <c r="I3578" s="66"/>
      <c r="J3578" s="54"/>
      <c r="K3578" s="54"/>
      <c r="L3578" s="54"/>
      <c r="M3578" s="97" t="str">
        <f t="shared" si="302"/>
        <v/>
      </c>
      <c r="N3578" s="70"/>
      <c r="O3578" s="71" t="str">
        <f t="shared" si="306"/>
        <v/>
      </c>
      <c r="P3578" s="66"/>
      <c r="Q3578" s="66"/>
      <c r="R3578" s="54"/>
      <c r="S3578" s="82"/>
      <c r="T3578" s="83" t="str">
        <f t="shared" si="303"/>
        <v/>
      </c>
      <c r="U3578" s="10"/>
      <c r="V3578" s="41">
        <f>IF(AND(Q3578&lt;&gt;"",RIGHT(Q3578,3)&lt;&gt;""),IF(COUNTIF($Q$6:Q3578,Q3578)=1,1,0),0)</f>
        <v>0</v>
      </c>
      <c r="W3578" s="41" t="str">
        <f t="shared" si="304"/>
        <v/>
      </c>
      <c r="X3578" s="41" t="str">
        <f t="shared" si="305"/>
        <v/>
      </c>
    </row>
    <row r="3579" s="32" customFormat="1" hidden="1" customHeight="1" spans="1:24">
      <c r="A3579" s="34"/>
      <c r="B3579" s="51"/>
      <c r="C3579" s="51"/>
      <c r="D3579" s="52"/>
      <c r="E3579" s="53"/>
      <c r="F3579" s="54"/>
      <c r="G3579" s="54"/>
      <c r="H3579" s="54"/>
      <c r="I3579" s="66"/>
      <c r="J3579" s="54"/>
      <c r="K3579" s="54"/>
      <c r="L3579" s="54"/>
      <c r="M3579" s="97" t="str">
        <f t="shared" si="302"/>
        <v/>
      </c>
      <c r="N3579" s="70"/>
      <c r="O3579" s="71" t="str">
        <f t="shared" si="306"/>
        <v/>
      </c>
      <c r="P3579" s="66"/>
      <c r="Q3579" s="66"/>
      <c r="R3579" s="54"/>
      <c r="S3579" s="82"/>
      <c r="T3579" s="83" t="str">
        <f t="shared" si="303"/>
        <v/>
      </c>
      <c r="U3579" s="10"/>
      <c r="V3579" s="41">
        <f>IF(AND(Q3579&lt;&gt;"",RIGHT(Q3579,3)&lt;&gt;""),IF(COUNTIF($Q$6:Q3579,Q3579)=1,1,0),0)</f>
        <v>0</v>
      </c>
      <c r="W3579" s="41" t="str">
        <f t="shared" si="304"/>
        <v/>
      </c>
      <c r="X3579" s="41" t="str">
        <f t="shared" si="305"/>
        <v/>
      </c>
    </row>
    <row r="3580" s="32" customFormat="1" hidden="1" customHeight="1" spans="1:24">
      <c r="A3580" s="34"/>
      <c r="B3580" s="51"/>
      <c r="C3580" s="51"/>
      <c r="D3580" s="52"/>
      <c r="E3580" s="53"/>
      <c r="F3580" s="54"/>
      <c r="G3580" s="54"/>
      <c r="H3580" s="54"/>
      <c r="I3580" s="66"/>
      <c r="J3580" s="54"/>
      <c r="K3580" s="54"/>
      <c r="L3580" s="54"/>
      <c r="M3580" s="97" t="str">
        <f t="shared" si="302"/>
        <v/>
      </c>
      <c r="N3580" s="70"/>
      <c r="O3580" s="71" t="str">
        <f t="shared" si="306"/>
        <v/>
      </c>
      <c r="P3580" s="66"/>
      <c r="Q3580" s="66"/>
      <c r="R3580" s="54"/>
      <c r="S3580" s="82"/>
      <c r="T3580" s="83" t="str">
        <f t="shared" si="303"/>
        <v/>
      </c>
      <c r="U3580" s="10"/>
      <c r="V3580" s="41">
        <f>IF(AND(Q3580&lt;&gt;"",RIGHT(Q3580,3)&lt;&gt;""),IF(COUNTIF($Q$6:Q3580,Q3580)=1,1,0),0)</f>
        <v>0</v>
      </c>
      <c r="W3580" s="41" t="str">
        <f t="shared" si="304"/>
        <v/>
      </c>
      <c r="X3580" s="41" t="str">
        <f t="shared" si="305"/>
        <v/>
      </c>
    </row>
    <row r="3581" s="32" customFormat="1" hidden="1" customHeight="1" spans="1:24">
      <c r="A3581" s="34"/>
      <c r="B3581" s="51"/>
      <c r="C3581" s="51"/>
      <c r="D3581" s="52"/>
      <c r="E3581" s="53"/>
      <c r="F3581" s="54"/>
      <c r="G3581" s="54"/>
      <c r="H3581" s="54"/>
      <c r="I3581" s="66"/>
      <c r="J3581" s="54"/>
      <c r="K3581" s="54"/>
      <c r="L3581" s="54"/>
      <c r="M3581" s="97" t="str">
        <f t="shared" si="302"/>
        <v/>
      </c>
      <c r="N3581" s="70"/>
      <c r="O3581" s="71" t="str">
        <f t="shared" si="306"/>
        <v/>
      </c>
      <c r="P3581" s="66"/>
      <c r="Q3581" s="66"/>
      <c r="R3581" s="54"/>
      <c r="S3581" s="82"/>
      <c r="T3581" s="83" t="str">
        <f t="shared" si="303"/>
        <v/>
      </c>
      <c r="U3581" s="10"/>
      <c r="V3581" s="41">
        <f>IF(AND(Q3581&lt;&gt;"",RIGHT(Q3581,3)&lt;&gt;""),IF(COUNTIF($Q$6:Q3581,Q3581)=1,1,0),0)</f>
        <v>0</v>
      </c>
      <c r="W3581" s="41" t="str">
        <f t="shared" si="304"/>
        <v/>
      </c>
      <c r="X3581" s="41" t="str">
        <f t="shared" si="305"/>
        <v/>
      </c>
    </row>
    <row r="3582" s="32" customFormat="1" hidden="1" customHeight="1" spans="1:24">
      <c r="A3582" s="34"/>
      <c r="B3582" s="51"/>
      <c r="C3582" s="51"/>
      <c r="D3582" s="52"/>
      <c r="E3582" s="53"/>
      <c r="F3582" s="54"/>
      <c r="G3582" s="54"/>
      <c r="H3582" s="54"/>
      <c r="I3582" s="66"/>
      <c r="J3582" s="54"/>
      <c r="K3582" s="54"/>
      <c r="L3582" s="54"/>
      <c r="M3582" s="97" t="str">
        <f t="shared" si="302"/>
        <v/>
      </c>
      <c r="N3582" s="70"/>
      <c r="O3582" s="71" t="str">
        <f t="shared" si="306"/>
        <v/>
      </c>
      <c r="P3582" s="66"/>
      <c r="Q3582" s="66"/>
      <c r="R3582" s="54"/>
      <c r="S3582" s="82"/>
      <c r="T3582" s="83" t="str">
        <f t="shared" si="303"/>
        <v/>
      </c>
      <c r="U3582" s="10"/>
      <c r="V3582" s="41">
        <f>IF(AND(Q3582&lt;&gt;"",RIGHT(Q3582,3)&lt;&gt;""),IF(COUNTIF($Q$6:Q3582,Q3582)=1,1,0),0)</f>
        <v>0</v>
      </c>
      <c r="W3582" s="41" t="str">
        <f t="shared" si="304"/>
        <v/>
      </c>
      <c r="X3582" s="41" t="str">
        <f t="shared" si="305"/>
        <v/>
      </c>
    </row>
    <row r="3583" s="32" customFormat="1" hidden="1" customHeight="1" spans="1:24">
      <c r="A3583" s="34"/>
      <c r="B3583" s="51"/>
      <c r="C3583" s="51"/>
      <c r="D3583" s="52"/>
      <c r="E3583" s="53"/>
      <c r="F3583" s="54"/>
      <c r="G3583" s="54"/>
      <c r="H3583" s="54"/>
      <c r="I3583" s="66"/>
      <c r="J3583" s="54"/>
      <c r="K3583" s="54"/>
      <c r="L3583" s="54"/>
      <c r="M3583" s="97" t="str">
        <f t="shared" si="302"/>
        <v/>
      </c>
      <c r="N3583" s="70"/>
      <c r="O3583" s="71" t="str">
        <f t="shared" si="306"/>
        <v/>
      </c>
      <c r="P3583" s="66"/>
      <c r="Q3583" s="66"/>
      <c r="R3583" s="54"/>
      <c r="S3583" s="82"/>
      <c r="T3583" s="83" t="str">
        <f t="shared" si="303"/>
        <v/>
      </c>
      <c r="U3583" s="10"/>
      <c r="V3583" s="41">
        <f>IF(AND(Q3583&lt;&gt;"",RIGHT(Q3583,3)&lt;&gt;""),IF(COUNTIF($Q$6:Q3583,Q3583)=1,1,0),0)</f>
        <v>0</v>
      </c>
      <c r="W3583" s="41" t="str">
        <f t="shared" si="304"/>
        <v/>
      </c>
      <c r="X3583" s="41" t="str">
        <f t="shared" si="305"/>
        <v/>
      </c>
    </row>
    <row r="3584" s="32" customFormat="1" hidden="1" customHeight="1" spans="1:24">
      <c r="A3584" s="34"/>
      <c r="B3584" s="51"/>
      <c r="C3584" s="51"/>
      <c r="D3584" s="52"/>
      <c r="E3584" s="53"/>
      <c r="F3584" s="54"/>
      <c r="G3584" s="54"/>
      <c r="H3584" s="54"/>
      <c r="I3584" s="66"/>
      <c r="J3584" s="54"/>
      <c r="K3584" s="54"/>
      <c r="L3584" s="54"/>
      <c r="M3584" s="97" t="str">
        <f t="shared" si="302"/>
        <v/>
      </c>
      <c r="N3584" s="70"/>
      <c r="O3584" s="71" t="str">
        <f t="shared" si="306"/>
        <v/>
      </c>
      <c r="P3584" s="66"/>
      <c r="Q3584" s="66"/>
      <c r="R3584" s="54"/>
      <c r="S3584" s="82"/>
      <c r="T3584" s="83" t="str">
        <f t="shared" si="303"/>
        <v/>
      </c>
      <c r="U3584" s="10"/>
      <c r="V3584" s="41">
        <f>IF(AND(Q3584&lt;&gt;"",RIGHT(Q3584,3)&lt;&gt;""),IF(COUNTIF($Q$6:Q3584,Q3584)=1,1,0),0)</f>
        <v>0</v>
      </c>
      <c r="W3584" s="41" t="str">
        <f t="shared" si="304"/>
        <v/>
      </c>
      <c r="X3584" s="41" t="str">
        <f t="shared" si="305"/>
        <v/>
      </c>
    </row>
    <row r="3585" s="32" customFormat="1" hidden="1" customHeight="1" spans="1:24">
      <c r="A3585" s="34"/>
      <c r="B3585" s="51"/>
      <c r="C3585" s="51"/>
      <c r="D3585" s="52"/>
      <c r="E3585" s="53"/>
      <c r="F3585" s="54"/>
      <c r="G3585" s="54"/>
      <c r="H3585" s="54"/>
      <c r="I3585" s="66"/>
      <c r="J3585" s="54"/>
      <c r="K3585" s="54"/>
      <c r="L3585" s="54"/>
      <c r="M3585" s="97" t="str">
        <f t="shared" si="302"/>
        <v/>
      </c>
      <c r="N3585" s="70"/>
      <c r="O3585" s="71" t="str">
        <f t="shared" si="306"/>
        <v/>
      </c>
      <c r="P3585" s="66"/>
      <c r="Q3585" s="66"/>
      <c r="R3585" s="54"/>
      <c r="S3585" s="82"/>
      <c r="T3585" s="83" t="str">
        <f t="shared" si="303"/>
        <v/>
      </c>
      <c r="U3585" s="10"/>
      <c r="V3585" s="41">
        <f>IF(AND(Q3585&lt;&gt;"",RIGHT(Q3585,3)&lt;&gt;""),IF(COUNTIF($Q$6:Q3585,Q3585)=1,1,0),0)</f>
        <v>0</v>
      </c>
      <c r="W3585" s="41" t="str">
        <f t="shared" si="304"/>
        <v/>
      </c>
      <c r="X3585" s="41" t="str">
        <f t="shared" si="305"/>
        <v/>
      </c>
    </row>
    <row r="3586" s="32" customFormat="1" hidden="1" customHeight="1" spans="1:24">
      <c r="A3586" s="34"/>
      <c r="B3586" s="51"/>
      <c r="C3586" s="51"/>
      <c r="D3586" s="52"/>
      <c r="E3586" s="53"/>
      <c r="F3586" s="54"/>
      <c r="G3586" s="54"/>
      <c r="H3586" s="54"/>
      <c r="I3586" s="66"/>
      <c r="J3586" s="54"/>
      <c r="K3586" s="54"/>
      <c r="L3586" s="54"/>
      <c r="M3586" s="97" t="str">
        <f t="shared" si="302"/>
        <v/>
      </c>
      <c r="N3586" s="70"/>
      <c r="O3586" s="71" t="str">
        <f t="shared" si="306"/>
        <v/>
      </c>
      <c r="P3586" s="66"/>
      <c r="Q3586" s="66"/>
      <c r="R3586" s="54"/>
      <c r="S3586" s="82"/>
      <c r="T3586" s="83" t="str">
        <f t="shared" si="303"/>
        <v/>
      </c>
      <c r="U3586" s="10"/>
      <c r="V3586" s="41">
        <f>IF(AND(Q3586&lt;&gt;"",RIGHT(Q3586,3)&lt;&gt;""),IF(COUNTIF($Q$6:Q3586,Q3586)=1,1,0),0)</f>
        <v>0</v>
      </c>
      <c r="W3586" s="41" t="str">
        <f t="shared" si="304"/>
        <v/>
      </c>
      <c r="X3586" s="41" t="str">
        <f t="shared" si="305"/>
        <v/>
      </c>
    </row>
    <row r="3587" s="32" customFormat="1" hidden="1" customHeight="1" spans="1:24">
      <c r="A3587" s="34"/>
      <c r="B3587" s="51"/>
      <c r="C3587" s="51"/>
      <c r="D3587" s="52"/>
      <c r="E3587" s="53"/>
      <c r="F3587" s="54"/>
      <c r="G3587" s="54"/>
      <c r="H3587" s="54"/>
      <c r="I3587" s="66"/>
      <c r="J3587" s="54"/>
      <c r="K3587" s="54"/>
      <c r="L3587" s="54"/>
      <c r="M3587" s="97" t="str">
        <f t="shared" si="302"/>
        <v/>
      </c>
      <c r="N3587" s="70"/>
      <c r="O3587" s="71" t="str">
        <f t="shared" si="306"/>
        <v/>
      </c>
      <c r="P3587" s="66"/>
      <c r="Q3587" s="66"/>
      <c r="R3587" s="54"/>
      <c r="S3587" s="82"/>
      <c r="T3587" s="83" t="str">
        <f t="shared" si="303"/>
        <v/>
      </c>
      <c r="U3587" s="10"/>
      <c r="V3587" s="41">
        <f>IF(AND(Q3587&lt;&gt;"",RIGHT(Q3587,3)&lt;&gt;""),IF(COUNTIF($Q$6:Q3587,Q3587)=1,1,0),0)</f>
        <v>0</v>
      </c>
      <c r="W3587" s="41" t="str">
        <f t="shared" si="304"/>
        <v/>
      </c>
      <c r="X3587" s="41" t="str">
        <f t="shared" si="305"/>
        <v/>
      </c>
    </row>
    <row r="3588" s="32" customFormat="1" hidden="1" customHeight="1" spans="1:24">
      <c r="A3588" s="34"/>
      <c r="B3588" s="51"/>
      <c r="C3588" s="51"/>
      <c r="D3588" s="52"/>
      <c r="E3588" s="53"/>
      <c r="F3588" s="54"/>
      <c r="G3588" s="54"/>
      <c r="H3588" s="54"/>
      <c r="I3588" s="66"/>
      <c r="J3588" s="54"/>
      <c r="K3588" s="54"/>
      <c r="L3588" s="54"/>
      <c r="M3588" s="97" t="str">
        <f t="shared" si="302"/>
        <v/>
      </c>
      <c r="N3588" s="70"/>
      <c r="O3588" s="71" t="str">
        <f t="shared" si="306"/>
        <v/>
      </c>
      <c r="P3588" s="66"/>
      <c r="Q3588" s="66"/>
      <c r="R3588" s="54"/>
      <c r="S3588" s="82"/>
      <c r="T3588" s="83" t="str">
        <f t="shared" si="303"/>
        <v/>
      </c>
      <c r="U3588" s="10"/>
      <c r="V3588" s="41">
        <f>IF(AND(Q3588&lt;&gt;"",RIGHT(Q3588,3)&lt;&gt;""),IF(COUNTIF($Q$6:Q3588,Q3588)=1,1,0),0)</f>
        <v>0</v>
      </c>
      <c r="W3588" s="41" t="str">
        <f t="shared" si="304"/>
        <v/>
      </c>
      <c r="X3588" s="41" t="str">
        <f t="shared" si="305"/>
        <v/>
      </c>
    </row>
    <row r="3589" s="32" customFormat="1" hidden="1" customHeight="1" spans="1:24">
      <c r="A3589" s="34"/>
      <c r="B3589" s="51"/>
      <c r="C3589" s="51"/>
      <c r="D3589" s="52"/>
      <c r="E3589" s="53"/>
      <c r="F3589" s="54"/>
      <c r="G3589" s="54"/>
      <c r="H3589" s="54"/>
      <c r="I3589" s="66"/>
      <c r="J3589" s="54"/>
      <c r="K3589" s="54"/>
      <c r="L3589" s="54"/>
      <c r="M3589" s="97" t="str">
        <f t="shared" si="302"/>
        <v/>
      </c>
      <c r="N3589" s="70"/>
      <c r="O3589" s="71" t="str">
        <f t="shared" si="306"/>
        <v/>
      </c>
      <c r="P3589" s="66"/>
      <c r="Q3589" s="66"/>
      <c r="R3589" s="54"/>
      <c r="S3589" s="82"/>
      <c r="T3589" s="83" t="str">
        <f t="shared" si="303"/>
        <v/>
      </c>
      <c r="U3589" s="10"/>
      <c r="V3589" s="41">
        <f>IF(AND(Q3589&lt;&gt;"",RIGHT(Q3589,3)&lt;&gt;""),IF(COUNTIF($Q$6:Q3589,Q3589)=1,1,0),0)</f>
        <v>0</v>
      </c>
      <c r="W3589" s="41" t="str">
        <f t="shared" si="304"/>
        <v/>
      </c>
      <c r="X3589" s="41" t="str">
        <f t="shared" si="305"/>
        <v/>
      </c>
    </row>
    <row r="3590" s="32" customFormat="1" hidden="1" customHeight="1" spans="1:24">
      <c r="A3590" s="34"/>
      <c r="B3590" s="51"/>
      <c r="C3590" s="51"/>
      <c r="D3590" s="52"/>
      <c r="E3590" s="53"/>
      <c r="F3590" s="54"/>
      <c r="G3590" s="54"/>
      <c r="H3590" s="54"/>
      <c r="I3590" s="66"/>
      <c r="J3590" s="54"/>
      <c r="K3590" s="54"/>
      <c r="L3590" s="54"/>
      <c r="M3590" s="97" t="str">
        <f t="shared" si="302"/>
        <v/>
      </c>
      <c r="N3590" s="70"/>
      <c r="O3590" s="71" t="str">
        <f t="shared" si="306"/>
        <v/>
      </c>
      <c r="P3590" s="66"/>
      <c r="Q3590" s="66"/>
      <c r="R3590" s="54"/>
      <c r="S3590" s="82"/>
      <c r="T3590" s="83" t="str">
        <f t="shared" si="303"/>
        <v/>
      </c>
      <c r="U3590" s="10"/>
      <c r="V3590" s="41">
        <f>IF(AND(Q3590&lt;&gt;"",RIGHT(Q3590,3)&lt;&gt;""),IF(COUNTIF($Q$6:Q3590,Q3590)=1,1,0),0)</f>
        <v>0</v>
      </c>
      <c r="W3590" s="41" t="str">
        <f t="shared" si="304"/>
        <v/>
      </c>
      <c r="X3590" s="41" t="str">
        <f t="shared" si="305"/>
        <v/>
      </c>
    </row>
    <row r="3591" s="32" customFormat="1" hidden="1" customHeight="1" spans="1:24">
      <c r="A3591" s="34"/>
      <c r="B3591" s="51"/>
      <c r="C3591" s="51"/>
      <c r="D3591" s="52"/>
      <c r="E3591" s="53"/>
      <c r="F3591" s="54"/>
      <c r="G3591" s="54"/>
      <c r="H3591" s="54"/>
      <c r="I3591" s="66"/>
      <c r="J3591" s="54"/>
      <c r="K3591" s="54"/>
      <c r="L3591" s="54"/>
      <c r="M3591" s="97" t="str">
        <f t="shared" si="302"/>
        <v/>
      </c>
      <c r="N3591" s="70"/>
      <c r="O3591" s="71" t="str">
        <f t="shared" si="306"/>
        <v/>
      </c>
      <c r="P3591" s="66"/>
      <c r="Q3591" s="66"/>
      <c r="R3591" s="54"/>
      <c r="S3591" s="82"/>
      <c r="T3591" s="83" t="str">
        <f t="shared" si="303"/>
        <v/>
      </c>
      <c r="U3591" s="10"/>
      <c r="V3591" s="41">
        <f>IF(AND(Q3591&lt;&gt;"",RIGHT(Q3591,3)&lt;&gt;""),IF(COUNTIF($Q$6:Q3591,Q3591)=1,1,0),0)</f>
        <v>0</v>
      </c>
      <c r="W3591" s="41" t="str">
        <f t="shared" si="304"/>
        <v/>
      </c>
      <c r="X3591" s="41" t="str">
        <f t="shared" si="305"/>
        <v/>
      </c>
    </row>
    <row r="3592" s="32" customFormat="1" hidden="1" customHeight="1" spans="1:24">
      <c r="A3592" s="34"/>
      <c r="B3592" s="51"/>
      <c r="C3592" s="51"/>
      <c r="D3592" s="52"/>
      <c r="E3592" s="53"/>
      <c r="F3592" s="54"/>
      <c r="G3592" s="54"/>
      <c r="H3592" s="54"/>
      <c r="I3592" s="66"/>
      <c r="J3592" s="54"/>
      <c r="K3592" s="54"/>
      <c r="L3592" s="54"/>
      <c r="M3592" s="97" t="str">
        <f t="shared" si="302"/>
        <v/>
      </c>
      <c r="N3592" s="70"/>
      <c r="O3592" s="71" t="str">
        <f t="shared" si="306"/>
        <v/>
      </c>
      <c r="P3592" s="66"/>
      <c r="Q3592" s="66"/>
      <c r="R3592" s="54"/>
      <c r="S3592" s="82"/>
      <c r="T3592" s="83" t="str">
        <f t="shared" si="303"/>
        <v/>
      </c>
      <c r="U3592" s="10"/>
      <c r="V3592" s="41">
        <f>IF(AND(Q3592&lt;&gt;"",RIGHT(Q3592,3)&lt;&gt;""),IF(COUNTIF($Q$6:Q3592,Q3592)=1,1,0),0)</f>
        <v>0</v>
      </c>
      <c r="W3592" s="41" t="str">
        <f t="shared" si="304"/>
        <v/>
      </c>
      <c r="X3592" s="41" t="str">
        <f t="shared" si="305"/>
        <v/>
      </c>
    </row>
    <row r="3593" s="32" customFormat="1" hidden="1" customHeight="1" spans="1:24">
      <c r="A3593" s="34"/>
      <c r="B3593" s="51"/>
      <c r="C3593" s="51"/>
      <c r="D3593" s="52"/>
      <c r="E3593" s="53"/>
      <c r="F3593" s="54"/>
      <c r="G3593" s="54"/>
      <c r="H3593" s="54"/>
      <c r="I3593" s="66"/>
      <c r="J3593" s="54"/>
      <c r="K3593" s="54"/>
      <c r="L3593" s="54"/>
      <c r="M3593" s="97" t="str">
        <f t="shared" si="302"/>
        <v/>
      </c>
      <c r="N3593" s="70"/>
      <c r="O3593" s="71" t="str">
        <f t="shared" si="306"/>
        <v/>
      </c>
      <c r="P3593" s="66"/>
      <c r="Q3593" s="66"/>
      <c r="R3593" s="54"/>
      <c r="S3593" s="82"/>
      <c r="T3593" s="83" t="str">
        <f t="shared" si="303"/>
        <v/>
      </c>
      <c r="U3593" s="10"/>
      <c r="V3593" s="41">
        <f>IF(AND(Q3593&lt;&gt;"",RIGHT(Q3593,3)&lt;&gt;""),IF(COUNTIF($Q$6:Q3593,Q3593)=1,1,0),0)</f>
        <v>0</v>
      </c>
      <c r="W3593" s="41" t="str">
        <f t="shared" si="304"/>
        <v/>
      </c>
      <c r="X3593" s="41" t="str">
        <f t="shared" si="305"/>
        <v/>
      </c>
    </row>
    <row r="3594" s="32" customFormat="1" hidden="1" customHeight="1" spans="1:24">
      <c r="A3594" s="34"/>
      <c r="B3594" s="51"/>
      <c r="C3594" s="51"/>
      <c r="D3594" s="52"/>
      <c r="E3594" s="53"/>
      <c r="F3594" s="54"/>
      <c r="G3594" s="54"/>
      <c r="H3594" s="54"/>
      <c r="I3594" s="66"/>
      <c r="J3594" s="54"/>
      <c r="K3594" s="54"/>
      <c r="L3594" s="54"/>
      <c r="M3594" s="97" t="str">
        <f t="shared" si="302"/>
        <v/>
      </c>
      <c r="N3594" s="70"/>
      <c r="O3594" s="71" t="str">
        <f t="shared" si="306"/>
        <v/>
      </c>
      <c r="P3594" s="66"/>
      <c r="Q3594" s="66"/>
      <c r="R3594" s="54"/>
      <c r="S3594" s="82"/>
      <c r="T3594" s="83" t="str">
        <f t="shared" si="303"/>
        <v/>
      </c>
      <c r="U3594" s="10"/>
      <c r="V3594" s="41">
        <f>IF(AND(Q3594&lt;&gt;"",RIGHT(Q3594,3)&lt;&gt;""),IF(COUNTIF($Q$6:Q3594,Q3594)=1,1,0),0)</f>
        <v>0</v>
      </c>
      <c r="W3594" s="41" t="str">
        <f t="shared" si="304"/>
        <v/>
      </c>
      <c r="X3594" s="41" t="str">
        <f t="shared" si="305"/>
        <v/>
      </c>
    </row>
    <row r="3595" s="32" customFormat="1" hidden="1" customHeight="1" spans="1:24">
      <c r="A3595" s="34"/>
      <c r="B3595" s="51"/>
      <c r="C3595" s="51"/>
      <c r="D3595" s="52"/>
      <c r="E3595" s="53"/>
      <c r="F3595" s="54"/>
      <c r="G3595" s="54"/>
      <c r="H3595" s="54"/>
      <c r="I3595" s="66"/>
      <c r="J3595" s="54"/>
      <c r="K3595" s="54"/>
      <c r="L3595" s="54"/>
      <c r="M3595" s="97" t="str">
        <f t="shared" si="302"/>
        <v/>
      </c>
      <c r="N3595" s="70"/>
      <c r="O3595" s="71" t="str">
        <f t="shared" si="306"/>
        <v/>
      </c>
      <c r="P3595" s="66"/>
      <c r="Q3595" s="66"/>
      <c r="R3595" s="54"/>
      <c r="S3595" s="82"/>
      <c r="T3595" s="83" t="str">
        <f t="shared" si="303"/>
        <v/>
      </c>
      <c r="U3595" s="10"/>
      <c r="V3595" s="41">
        <f>IF(AND(Q3595&lt;&gt;"",RIGHT(Q3595,3)&lt;&gt;""),IF(COUNTIF($Q$6:Q3595,Q3595)=1,1,0),0)</f>
        <v>0</v>
      </c>
      <c r="W3595" s="41" t="str">
        <f t="shared" si="304"/>
        <v/>
      </c>
      <c r="X3595" s="41" t="str">
        <f t="shared" si="305"/>
        <v/>
      </c>
    </row>
    <row r="3596" s="32" customFormat="1" hidden="1" customHeight="1" spans="1:24">
      <c r="A3596" s="34"/>
      <c r="B3596" s="51"/>
      <c r="C3596" s="51"/>
      <c r="D3596" s="52"/>
      <c r="E3596" s="53"/>
      <c r="F3596" s="54"/>
      <c r="G3596" s="54"/>
      <c r="H3596" s="54"/>
      <c r="I3596" s="66"/>
      <c r="J3596" s="54"/>
      <c r="K3596" s="54"/>
      <c r="L3596" s="54"/>
      <c r="M3596" s="97" t="str">
        <f t="shared" si="302"/>
        <v/>
      </c>
      <c r="N3596" s="70"/>
      <c r="O3596" s="71" t="str">
        <f t="shared" si="306"/>
        <v/>
      </c>
      <c r="P3596" s="66"/>
      <c r="Q3596" s="66"/>
      <c r="R3596" s="54"/>
      <c r="S3596" s="82"/>
      <c r="T3596" s="83" t="str">
        <f t="shared" si="303"/>
        <v/>
      </c>
      <c r="U3596" s="10"/>
      <c r="V3596" s="41">
        <f>IF(AND(Q3596&lt;&gt;"",RIGHT(Q3596,3)&lt;&gt;""),IF(COUNTIF($Q$6:Q3596,Q3596)=1,1,0),0)</f>
        <v>0</v>
      </c>
      <c r="W3596" s="41" t="str">
        <f t="shared" si="304"/>
        <v/>
      </c>
      <c r="X3596" s="41" t="str">
        <f t="shared" si="305"/>
        <v/>
      </c>
    </row>
    <row r="3597" s="32" customFormat="1" hidden="1" customHeight="1" spans="1:24">
      <c r="A3597" s="34"/>
      <c r="B3597" s="51"/>
      <c r="C3597" s="51"/>
      <c r="D3597" s="52"/>
      <c r="E3597" s="53"/>
      <c r="F3597" s="54"/>
      <c r="G3597" s="54"/>
      <c r="H3597" s="54"/>
      <c r="I3597" s="66"/>
      <c r="J3597" s="54"/>
      <c r="K3597" s="54"/>
      <c r="L3597" s="54"/>
      <c r="M3597" s="97" t="str">
        <f t="shared" si="302"/>
        <v/>
      </c>
      <c r="N3597" s="70"/>
      <c r="O3597" s="71" t="str">
        <f t="shared" si="306"/>
        <v/>
      </c>
      <c r="P3597" s="66"/>
      <c r="Q3597" s="66"/>
      <c r="R3597" s="54"/>
      <c r="S3597" s="82"/>
      <c r="T3597" s="83" t="str">
        <f t="shared" si="303"/>
        <v/>
      </c>
      <c r="U3597" s="10"/>
      <c r="V3597" s="41">
        <f>IF(AND(Q3597&lt;&gt;"",RIGHT(Q3597,3)&lt;&gt;""),IF(COUNTIF($Q$6:Q3597,Q3597)=1,1,0),0)</f>
        <v>0</v>
      </c>
      <c r="W3597" s="41" t="str">
        <f t="shared" si="304"/>
        <v/>
      </c>
      <c r="X3597" s="41" t="str">
        <f t="shared" si="305"/>
        <v/>
      </c>
    </row>
    <row r="3598" s="32" customFormat="1" hidden="1" customHeight="1" spans="1:24">
      <c r="A3598" s="34"/>
      <c r="B3598" s="51"/>
      <c r="C3598" s="51"/>
      <c r="D3598" s="52"/>
      <c r="E3598" s="53"/>
      <c r="F3598" s="54"/>
      <c r="G3598" s="54"/>
      <c r="H3598" s="54"/>
      <c r="I3598" s="66"/>
      <c r="J3598" s="54"/>
      <c r="K3598" s="54"/>
      <c r="L3598" s="54"/>
      <c r="M3598" s="97" t="str">
        <f t="shared" si="302"/>
        <v/>
      </c>
      <c r="N3598" s="70"/>
      <c r="O3598" s="71" t="str">
        <f t="shared" si="306"/>
        <v/>
      </c>
      <c r="P3598" s="66"/>
      <c r="Q3598" s="66"/>
      <c r="R3598" s="54"/>
      <c r="S3598" s="82"/>
      <c r="T3598" s="83" t="str">
        <f t="shared" si="303"/>
        <v/>
      </c>
      <c r="U3598" s="10"/>
      <c r="V3598" s="41">
        <f>IF(AND(Q3598&lt;&gt;"",RIGHT(Q3598,3)&lt;&gt;""),IF(COUNTIF($Q$6:Q3598,Q3598)=1,1,0),0)</f>
        <v>0</v>
      </c>
      <c r="W3598" s="41" t="str">
        <f t="shared" si="304"/>
        <v/>
      </c>
      <c r="X3598" s="41" t="str">
        <f t="shared" si="305"/>
        <v/>
      </c>
    </row>
    <row r="3599" s="32" customFormat="1" hidden="1" customHeight="1" spans="1:24">
      <c r="A3599" s="34"/>
      <c r="B3599" s="51"/>
      <c r="C3599" s="51"/>
      <c r="D3599" s="52"/>
      <c r="E3599" s="53"/>
      <c r="F3599" s="54"/>
      <c r="G3599" s="54"/>
      <c r="H3599" s="54"/>
      <c r="I3599" s="66"/>
      <c r="J3599" s="54"/>
      <c r="K3599" s="54"/>
      <c r="L3599" s="54"/>
      <c r="M3599" s="97" t="str">
        <f t="shared" si="302"/>
        <v/>
      </c>
      <c r="N3599" s="70"/>
      <c r="O3599" s="71" t="str">
        <f t="shared" si="306"/>
        <v/>
      </c>
      <c r="P3599" s="66"/>
      <c r="Q3599" s="66"/>
      <c r="R3599" s="54"/>
      <c r="S3599" s="82"/>
      <c r="T3599" s="83" t="str">
        <f t="shared" si="303"/>
        <v/>
      </c>
      <c r="U3599" s="10"/>
      <c r="V3599" s="41">
        <f>IF(AND(Q3599&lt;&gt;"",RIGHT(Q3599,3)&lt;&gt;""),IF(COUNTIF($Q$6:Q3599,Q3599)=1,1,0),0)</f>
        <v>0</v>
      </c>
      <c r="W3599" s="41" t="str">
        <f t="shared" si="304"/>
        <v/>
      </c>
      <c r="X3599" s="41" t="str">
        <f t="shared" si="305"/>
        <v/>
      </c>
    </row>
    <row r="3600" s="32" customFormat="1" hidden="1" customHeight="1" spans="1:24">
      <c r="A3600" s="34"/>
      <c r="B3600" s="51"/>
      <c r="C3600" s="51"/>
      <c r="D3600" s="52"/>
      <c r="E3600" s="53"/>
      <c r="F3600" s="54"/>
      <c r="G3600" s="54"/>
      <c r="H3600" s="54"/>
      <c r="I3600" s="66"/>
      <c r="J3600" s="54"/>
      <c r="K3600" s="54"/>
      <c r="L3600" s="54"/>
      <c r="M3600" s="97" t="str">
        <f t="shared" si="302"/>
        <v/>
      </c>
      <c r="N3600" s="70"/>
      <c r="O3600" s="71" t="str">
        <f t="shared" si="306"/>
        <v/>
      </c>
      <c r="P3600" s="66"/>
      <c r="Q3600" s="66"/>
      <c r="R3600" s="54"/>
      <c r="S3600" s="82"/>
      <c r="T3600" s="83" t="str">
        <f t="shared" si="303"/>
        <v/>
      </c>
      <c r="U3600" s="10"/>
      <c r="V3600" s="41">
        <f>IF(AND(Q3600&lt;&gt;"",RIGHT(Q3600,3)&lt;&gt;""),IF(COUNTIF($Q$6:Q3600,Q3600)=1,1,0),0)</f>
        <v>0</v>
      </c>
      <c r="W3600" s="41" t="str">
        <f t="shared" si="304"/>
        <v/>
      </c>
      <c r="X3600" s="41" t="str">
        <f t="shared" si="305"/>
        <v/>
      </c>
    </row>
    <row r="3601" s="32" customFormat="1" hidden="1" customHeight="1" spans="1:24">
      <c r="A3601" s="34"/>
      <c r="B3601" s="51"/>
      <c r="C3601" s="51"/>
      <c r="D3601" s="52"/>
      <c r="E3601" s="53"/>
      <c r="F3601" s="54"/>
      <c r="G3601" s="54"/>
      <c r="H3601" s="54"/>
      <c r="I3601" s="66"/>
      <c r="J3601" s="54"/>
      <c r="K3601" s="54"/>
      <c r="L3601" s="54"/>
      <c r="M3601" s="97" t="str">
        <f t="shared" si="302"/>
        <v/>
      </c>
      <c r="N3601" s="70"/>
      <c r="O3601" s="71" t="str">
        <f t="shared" si="306"/>
        <v/>
      </c>
      <c r="P3601" s="66"/>
      <c r="Q3601" s="66"/>
      <c r="R3601" s="54"/>
      <c r="S3601" s="82"/>
      <c r="T3601" s="83" t="str">
        <f t="shared" si="303"/>
        <v/>
      </c>
      <c r="U3601" s="10"/>
      <c r="V3601" s="41">
        <f>IF(AND(Q3601&lt;&gt;"",RIGHT(Q3601,3)&lt;&gt;""),IF(COUNTIF($Q$6:Q3601,Q3601)=1,1,0),0)</f>
        <v>0</v>
      </c>
      <c r="W3601" s="41" t="str">
        <f t="shared" si="304"/>
        <v/>
      </c>
      <c r="X3601" s="41" t="str">
        <f t="shared" si="305"/>
        <v/>
      </c>
    </row>
    <row r="3602" s="32" customFormat="1" hidden="1" customHeight="1" spans="1:24">
      <c r="A3602" s="34"/>
      <c r="B3602" s="51"/>
      <c r="C3602" s="51"/>
      <c r="D3602" s="52"/>
      <c r="E3602" s="53"/>
      <c r="F3602" s="54"/>
      <c r="G3602" s="54"/>
      <c r="H3602" s="54"/>
      <c r="I3602" s="66"/>
      <c r="J3602" s="54"/>
      <c r="K3602" s="54"/>
      <c r="L3602" s="54"/>
      <c r="M3602" s="97" t="str">
        <f t="shared" si="302"/>
        <v/>
      </c>
      <c r="N3602" s="70"/>
      <c r="O3602" s="71" t="str">
        <f t="shared" si="306"/>
        <v/>
      </c>
      <c r="P3602" s="66"/>
      <c r="Q3602" s="66"/>
      <c r="R3602" s="54"/>
      <c r="S3602" s="82"/>
      <c r="T3602" s="83" t="str">
        <f t="shared" si="303"/>
        <v/>
      </c>
      <c r="U3602" s="10"/>
      <c r="V3602" s="41">
        <f>IF(AND(Q3602&lt;&gt;"",RIGHT(Q3602,3)&lt;&gt;""),IF(COUNTIF($Q$6:Q3602,Q3602)=1,1,0),0)</f>
        <v>0</v>
      </c>
      <c r="W3602" s="41" t="str">
        <f t="shared" si="304"/>
        <v/>
      </c>
      <c r="X3602" s="41" t="str">
        <f t="shared" si="305"/>
        <v/>
      </c>
    </row>
    <row r="3603" s="32" customFormat="1" hidden="1" customHeight="1" spans="1:24">
      <c r="A3603" s="34"/>
      <c r="B3603" s="51"/>
      <c r="C3603" s="51"/>
      <c r="D3603" s="52"/>
      <c r="E3603" s="53"/>
      <c r="F3603" s="54"/>
      <c r="G3603" s="54"/>
      <c r="H3603" s="54"/>
      <c r="I3603" s="66"/>
      <c r="J3603" s="54"/>
      <c r="K3603" s="54"/>
      <c r="L3603" s="54"/>
      <c r="M3603" s="97" t="str">
        <f t="shared" si="302"/>
        <v/>
      </c>
      <c r="N3603" s="70"/>
      <c r="O3603" s="71" t="str">
        <f t="shared" si="306"/>
        <v/>
      </c>
      <c r="P3603" s="66"/>
      <c r="Q3603" s="66"/>
      <c r="R3603" s="54"/>
      <c r="S3603" s="82"/>
      <c r="T3603" s="83" t="str">
        <f t="shared" si="303"/>
        <v/>
      </c>
      <c r="U3603" s="10"/>
      <c r="V3603" s="41">
        <f>IF(AND(Q3603&lt;&gt;"",RIGHT(Q3603,3)&lt;&gt;""),IF(COUNTIF($Q$6:Q3603,Q3603)=1,1,0),0)</f>
        <v>0</v>
      </c>
      <c r="W3603" s="41" t="str">
        <f t="shared" si="304"/>
        <v/>
      </c>
      <c r="X3603" s="41" t="str">
        <f t="shared" si="305"/>
        <v/>
      </c>
    </row>
    <row r="3604" s="32" customFormat="1" hidden="1" customHeight="1" spans="1:24">
      <c r="A3604" s="34"/>
      <c r="B3604" s="51"/>
      <c r="C3604" s="51"/>
      <c r="D3604" s="52"/>
      <c r="E3604" s="53"/>
      <c r="F3604" s="54"/>
      <c r="G3604" s="54"/>
      <c r="H3604" s="54"/>
      <c r="I3604" s="66"/>
      <c r="J3604" s="54"/>
      <c r="K3604" s="54"/>
      <c r="L3604" s="54"/>
      <c r="M3604" s="97" t="str">
        <f t="shared" si="302"/>
        <v/>
      </c>
      <c r="N3604" s="70"/>
      <c r="O3604" s="71" t="str">
        <f t="shared" si="306"/>
        <v/>
      </c>
      <c r="P3604" s="66"/>
      <c r="Q3604" s="66"/>
      <c r="R3604" s="54"/>
      <c r="S3604" s="82"/>
      <c r="T3604" s="83" t="str">
        <f t="shared" si="303"/>
        <v/>
      </c>
      <c r="U3604" s="10"/>
      <c r="V3604" s="41">
        <f>IF(AND(Q3604&lt;&gt;"",RIGHT(Q3604,3)&lt;&gt;""),IF(COUNTIF($Q$6:Q3604,Q3604)=1,1,0),0)</f>
        <v>0</v>
      </c>
      <c r="W3604" s="41" t="str">
        <f t="shared" si="304"/>
        <v/>
      </c>
      <c r="X3604" s="41" t="str">
        <f t="shared" si="305"/>
        <v/>
      </c>
    </row>
    <row r="3605" s="32" customFormat="1" hidden="1" customHeight="1" spans="1:24">
      <c r="A3605" s="34"/>
      <c r="B3605" s="51"/>
      <c r="C3605" s="51"/>
      <c r="D3605" s="52"/>
      <c r="E3605" s="53"/>
      <c r="F3605" s="54"/>
      <c r="G3605" s="54"/>
      <c r="H3605" s="54"/>
      <c r="I3605" s="66"/>
      <c r="J3605" s="54"/>
      <c r="K3605" s="54"/>
      <c r="L3605" s="54"/>
      <c r="M3605" s="97" t="str">
        <f t="shared" si="302"/>
        <v/>
      </c>
      <c r="N3605" s="70"/>
      <c r="O3605" s="71" t="str">
        <f t="shared" si="306"/>
        <v/>
      </c>
      <c r="P3605" s="66"/>
      <c r="Q3605" s="66"/>
      <c r="R3605" s="54"/>
      <c r="S3605" s="82"/>
      <c r="T3605" s="83" t="str">
        <f t="shared" si="303"/>
        <v/>
      </c>
      <c r="U3605" s="10"/>
      <c r="V3605" s="41">
        <f>IF(AND(Q3605&lt;&gt;"",RIGHT(Q3605,3)&lt;&gt;""),IF(COUNTIF($Q$6:Q3605,Q3605)=1,1,0),0)</f>
        <v>0</v>
      </c>
      <c r="W3605" s="41" t="str">
        <f t="shared" si="304"/>
        <v/>
      </c>
      <c r="X3605" s="41" t="str">
        <f t="shared" si="305"/>
        <v/>
      </c>
    </row>
    <row r="3606" s="32" customFormat="1" hidden="1" customHeight="1" spans="1:24">
      <c r="A3606" s="34"/>
      <c r="B3606" s="51"/>
      <c r="C3606" s="51"/>
      <c r="D3606" s="52"/>
      <c r="E3606" s="53"/>
      <c r="F3606" s="54"/>
      <c r="G3606" s="54"/>
      <c r="H3606" s="54"/>
      <c r="I3606" s="66"/>
      <c r="J3606" s="54"/>
      <c r="K3606" s="54"/>
      <c r="L3606" s="54"/>
      <c r="M3606" s="97" t="str">
        <f t="shared" si="302"/>
        <v/>
      </c>
      <c r="N3606" s="70"/>
      <c r="O3606" s="71" t="str">
        <f t="shared" si="306"/>
        <v/>
      </c>
      <c r="P3606" s="66"/>
      <c r="Q3606" s="66"/>
      <c r="R3606" s="54"/>
      <c r="S3606" s="82"/>
      <c r="T3606" s="83" t="str">
        <f t="shared" si="303"/>
        <v/>
      </c>
      <c r="U3606" s="10"/>
      <c r="V3606" s="41">
        <f>IF(AND(Q3606&lt;&gt;"",RIGHT(Q3606,3)&lt;&gt;""),IF(COUNTIF($Q$6:Q3606,Q3606)=1,1,0),0)</f>
        <v>0</v>
      </c>
      <c r="W3606" s="41" t="str">
        <f t="shared" si="304"/>
        <v/>
      </c>
      <c r="X3606" s="41" t="str">
        <f t="shared" si="305"/>
        <v/>
      </c>
    </row>
    <row r="3607" s="32" customFormat="1" hidden="1" customHeight="1" spans="1:24">
      <c r="A3607" s="34"/>
      <c r="B3607" s="51"/>
      <c r="C3607" s="51"/>
      <c r="D3607" s="52"/>
      <c r="E3607" s="53"/>
      <c r="F3607" s="54"/>
      <c r="G3607" s="54"/>
      <c r="H3607" s="54"/>
      <c r="I3607" s="66"/>
      <c r="J3607" s="54"/>
      <c r="K3607" s="54"/>
      <c r="L3607" s="54"/>
      <c r="M3607" s="97" t="str">
        <f t="shared" si="302"/>
        <v/>
      </c>
      <c r="N3607" s="70"/>
      <c r="O3607" s="71" t="str">
        <f t="shared" si="306"/>
        <v/>
      </c>
      <c r="P3607" s="66"/>
      <c r="Q3607" s="66"/>
      <c r="R3607" s="54"/>
      <c r="S3607" s="82"/>
      <c r="T3607" s="83" t="str">
        <f t="shared" si="303"/>
        <v/>
      </c>
      <c r="U3607" s="10"/>
      <c r="V3607" s="41">
        <f>IF(AND(Q3607&lt;&gt;"",RIGHT(Q3607,3)&lt;&gt;""),IF(COUNTIF($Q$6:Q3607,Q3607)=1,1,0),0)</f>
        <v>0</v>
      </c>
      <c r="W3607" s="41" t="str">
        <f t="shared" si="304"/>
        <v/>
      </c>
      <c r="X3607" s="41" t="str">
        <f t="shared" si="305"/>
        <v/>
      </c>
    </row>
    <row r="3608" s="32" customFormat="1" hidden="1" customHeight="1" spans="1:24">
      <c r="A3608" s="34"/>
      <c r="B3608" s="51"/>
      <c r="C3608" s="51"/>
      <c r="D3608" s="52"/>
      <c r="E3608" s="53"/>
      <c r="F3608" s="54"/>
      <c r="G3608" s="54"/>
      <c r="H3608" s="54"/>
      <c r="I3608" s="66"/>
      <c r="J3608" s="54"/>
      <c r="K3608" s="54"/>
      <c r="L3608" s="54"/>
      <c r="M3608" s="97" t="str">
        <f t="shared" si="302"/>
        <v/>
      </c>
      <c r="N3608" s="70"/>
      <c r="O3608" s="71" t="str">
        <f t="shared" si="306"/>
        <v/>
      </c>
      <c r="P3608" s="66"/>
      <c r="Q3608" s="66"/>
      <c r="R3608" s="54"/>
      <c r="S3608" s="82"/>
      <c r="T3608" s="83" t="str">
        <f t="shared" si="303"/>
        <v/>
      </c>
      <c r="U3608" s="10"/>
      <c r="V3608" s="41">
        <f>IF(AND(Q3608&lt;&gt;"",RIGHT(Q3608,3)&lt;&gt;""),IF(COUNTIF($Q$6:Q3608,Q3608)=1,1,0),0)</f>
        <v>0</v>
      </c>
      <c r="W3608" s="41" t="str">
        <f t="shared" si="304"/>
        <v/>
      </c>
      <c r="X3608" s="41" t="str">
        <f t="shared" si="305"/>
        <v/>
      </c>
    </row>
    <row r="3609" s="32" customFormat="1" hidden="1" customHeight="1" spans="1:24">
      <c r="A3609" s="34"/>
      <c r="B3609" s="51"/>
      <c r="C3609" s="51"/>
      <c r="D3609" s="52"/>
      <c r="E3609" s="53"/>
      <c r="F3609" s="54"/>
      <c r="G3609" s="54"/>
      <c r="H3609" s="54"/>
      <c r="I3609" s="66"/>
      <c r="J3609" s="54"/>
      <c r="K3609" s="54"/>
      <c r="L3609" s="54"/>
      <c r="M3609" s="97" t="str">
        <f t="shared" si="302"/>
        <v/>
      </c>
      <c r="N3609" s="70"/>
      <c r="O3609" s="71" t="str">
        <f t="shared" si="306"/>
        <v/>
      </c>
      <c r="P3609" s="66"/>
      <c r="Q3609" s="66"/>
      <c r="R3609" s="54"/>
      <c r="S3609" s="82"/>
      <c r="T3609" s="83" t="str">
        <f t="shared" si="303"/>
        <v/>
      </c>
      <c r="U3609" s="10"/>
      <c r="V3609" s="41">
        <f>IF(AND(Q3609&lt;&gt;"",RIGHT(Q3609,3)&lt;&gt;""),IF(COUNTIF($Q$6:Q3609,Q3609)=1,1,0),0)</f>
        <v>0</v>
      </c>
      <c r="W3609" s="41" t="str">
        <f t="shared" si="304"/>
        <v/>
      </c>
      <c r="X3609" s="41" t="str">
        <f t="shared" si="305"/>
        <v/>
      </c>
    </row>
    <row r="3610" s="32" customFormat="1" hidden="1" customHeight="1" spans="1:24">
      <c r="A3610" s="34"/>
      <c r="B3610" s="51"/>
      <c r="C3610" s="51"/>
      <c r="D3610" s="52"/>
      <c r="E3610" s="53"/>
      <c r="F3610" s="54"/>
      <c r="G3610" s="54"/>
      <c r="H3610" s="54"/>
      <c r="I3610" s="66"/>
      <c r="J3610" s="54"/>
      <c r="K3610" s="54"/>
      <c r="L3610" s="54"/>
      <c r="M3610" s="97" t="str">
        <f t="shared" si="302"/>
        <v/>
      </c>
      <c r="N3610" s="70"/>
      <c r="O3610" s="71" t="str">
        <f t="shared" si="306"/>
        <v/>
      </c>
      <c r="P3610" s="66"/>
      <c r="Q3610" s="66"/>
      <c r="R3610" s="54"/>
      <c r="S3610" s="82"/>
      <c r="T3610" s="83" t="str">
        <f t="shared" si="303"/>
        <v/>
      </c>
      <c r="U3610" s="10"/>
      <c r="V3610" s="41">
        <f>IF(AND(Q3610&lt;&gt;"",RIGHT(Q3610,3)&lt;&gt;""),IF(COUNTIF($Q$6:Q3610,Q3610)=1,1,0),0)</f>
        <v>0</v>
      </c>
      <c r="W3610" s="41" t="str">
        <f t="shared" si="304"/>
        <v/>
      </c>
      <c r="X3610" s="41" t="str">
        <f t="shared" si="305"/>
        <v/>
      </c>
    </row>
    <row r="3611" s="32" customFormat="1" hidden="1" customHeight="1" spans="1:24">
      <c r="A3611" s="34"/>
      <c r="B3611" s="51"/>
      <c r="C3611" s="51"/>
      <c r="D3611" s="52"/>
      <c r="E3611" s="53"/>
      <c r="F3611" s="54"/>
      <c r="G3611" s="54"/>
      <c r="H3611" s="54"/>
      <c r="I3611" s="66"/>
      <c r="J3611" s="54"/>
      <c r="K3611" s="54"/>
      <c r="L3611" s="54"/>
      <c r="M3611" s="97" t="str">
        <f t="shared" si="302"/>
        <v/>
      </c>
      <c r="N3611" s="70"/>
      <c r="O3611" s="71" t="str">
        <f t="shared" si="306"/>
        <v/>
      </c>
      <c r="P3611" s="66"/>
      <c r="Q3611" s="66"/>
      <c r="R3611" s="54"/>
      <c r="S3611" s="82"/>
      <c r="T3611" s="83" t="str">
        <f t="shared" si="303"/>
        <v/>
      </c>
      <c r="U3611" s="10"/>
      <c r="V3611" s="41">
        <f>IF(AND(Q3611&lt;&gt;"",RIGHT(Q3611,3)&lt;&gt;""),IF(COUNTIF($Q$6:Q3611,Q3611)=1,1,0),0)</f>
        <v>0</v>
      </c>
      <c r="W3611" s="41" t="str">
        <f t="shared" si="304"/>
        <v/>
      </c>
      <c r="X3611" s="41" t="str">
        <f t="shared" si="305"/>
        <v/>
      </c>
    </row>
    <row r="3612" s="32" customFormat="1" hidden="1" customHeight="1" spans="1:24">
      <c r="A3612" s="34"/>
      <c r="B3612" s="51"/>
      <c r="C3612" s="51"/>
      <c r="D3612" s="52"/>
      <c r="E3612" s="53"/>
      <c r="F3612" s="54"/>
      <c r="G3612" s="54"/>
      <c r="H3612" s="54"/>
      <c r="I3612" s="66"/>
      <c r="J3612" s="54"/>
      <c r="K3612" s="54"/>
      <c r="L3612" s="54"/>
      <c r="M3612" s="97" t="str">
        <f t="shared" si="302"/>
        <v/>
      </c>
      <c r="N3612" s="70"/>
      <c r="O3612" s="71" t="str">
        <f t="shared" si="306"/>
        <v/>
      </c>
      <c r="P3612" s="66"/>
      <c r="Q3612" s="66"/>
      <c r="R3612" s="54"/>
      <c r="S3612" s="82"/>
      <c r="T3612" s="83" t="str">
        <f t="shared" si="303"/>
        <v/>
      </c>
      <c r="U3612" s="10"/>
      <c r="V3612" s="41">
        <f>IF(AND(Q3612&lt;&gt;"",RIGHT(Q3612,3)&lt;&gt;""),IF(COUNTIF($Q$6:Q3612,Q3612)=1,1,0),0)</f>
        <v>0</v>
      </c>
      <c r="W3612" s="41" t="str">
        <f t="shared" si="304"/>
        <v/>
      </c>
      <c r="X3612" s="41" t="str">
        <f t="shared" si="305"/>
        <v/>
      </c>
    </row>
    <row r="3613" s="32" customFormat="1" hidden="1" customHeight="1" spans="1:24">
      <c r="A3613" s="34"/>
      <c r="B3613" s="51"/>
      <c r="C3613" s="51"/>
      <c r="D3613" s="52"/>
      <c r="E3613" s="53"/>
      <c r="F3613" s="54"/>
      <c r="G3613" s="54"/>
      <c r="H3613" s="54"/>
      <c r="I3613" s="66"/>
      <c r="J3613" s="54"/>
      <c r="K3613" s="54"/>
      <c r="L3613" s="54"/>
      <c r="M3613" s="97" t="str">
        <f t="shared" si="302"/>
        <v/>
      </c>
      <c r="N3613" s="70"/>
      <c r="O3613" s="71" t="str">
        <f t="shared" si="306"/>
        <v/>
      </c>
      <c r="P3613" s="66"/>
      <c r="Q3613" s="66"/>
      <c r="R3613" s="54"/>
      <c r="S3613" s="82"/>
      <c r="T3613" s="83" t="str">
        <f t="shared" si="303"/>
        <v/>
      </c>
      <c r="U3613" s="10"/>
      <c r="V3613" s="41">
        <f>IF(AND(Q3613&lt;&gt;"",RIGHT(Q3613,3)&lt;&gt;""),IF(COUNTIF($Q$6:Q3613,Q3613)=1,1,0),0)</f>
        <v>0</v>
      </c>
      <c r="W3613" s="41" t="str">
        <f t="shared" si="304"/>
        <v/>
      </c>
      <c r="X3613" s="41" t="str">
        <f t="shared" si="305"/>
        <v/>
      </c>
    </row>
    <row r="3614" s="32" customFormat="1" hidden="1" customHeight="1" spans="1:24">
      <c r="A3614" s="34"/>
      <c r="B3614" s="51"/>
      <c r="C3614" s="51"/>
      <c r="D3614" s="52"/>
      <c r="E3614" s="53"/>
      <c r="F3614" s="54"/>
      <c r="G3614" s="54"/>
      <c r="H3614" s="54"/>
      <c r="I3614" s="66"/>
      <c r="J3614" s="54"/>
      <c r="K3614" s="54"/>
      <c r="L3614" s="54"/>
      <c r="M3614" s="97" t="str">
        <f t="shared" si="302"/>
        <v/>
      </c>
      <c r="N3614" s="70"/>
      <c r="O3614" s="71" t="str">
        <f t="shared" si="306"/>
        <v/>
      </c>
      <c r="P3614" s="66"/>
      <c r="Q3614" s="66"/>
      <c r="R3614" s="54"/>
      <c r="S3614" s="82"/>
      <c r="T3614" s="83" t="str">
        <f t="shared" si="303"/>
        <v/>
      </c>
      <c r="U3614" s="10"/>
      <c r="V3614" s="41">
        <f>IF(AND(Q3614&lt;&gt;"",RIGHT(Q3614,3)&lt;&gt;""),IF(COUNTIF($Q$6:Q3614,Q3614)=1,1,0),0)</f>
        <v>0</v>
      </c>
      <c r="W3614" s="41" t="str">
        <f t="shared" si="304"/>
        <v/>
      </c>
      <c r="X3614" s="41" t="str">
        <f t="shared" si="305"/>
        <v/>
      </c>
    </row>
    <row r="3615" s="32" customFormat="1" hidden="1" customHeight="1" spans="1:24">
      <c r="A3615" s="34"/>
      <c r="B3615" s="51"/>
      <c r="C3615" s="51"/>
      <c r="D3615" s="52"/>
      <c r="E3615" s="53"/>
      <c r="F3615" s="54"/>
      <c r="G3615" s="54"/>
      <c r="H3615" s="54"/>
      <c r="I3615" s="66"/>
      <c r="J3615" s="54"/>
      <c r="K3615" s="54"/>
      <c r="L3615" s="54"/>
      <c r="M3615" s="97" t="str">
        <f t="shared" si="302"/>
        <v/>
      </c>
      <c r="N3615" s="70"/>
      <c r="O3615" s="71" t="str">
        <f t="shared" si="306"/>
        <v/>
      </c>
      <c r="P3615" s="66"/>
      <c r="Q3615" s="66"/>
      <c r="R3615" s="54"/>
      <c r="S3615" s="82"/>
      <c r="T3615" s="83" t="str">
        <f t="shared" si="303"/>
        <v/>
      </c>
      <c r="U3615" s="10"/>
      <c r="V3615" s="41">
        <f>IF(AND(Q3615&lt;&gt;"",RIGHT(Q3615,3)&lt;&gt;""),IF(COUNTIF($Q$6:Q3615,Q3615)=1,1,0),0)</f>
        <v>0</v>
      </c>
      <c r="W3615" s="41" t="str">
        <f t="shared" si="304"/>
        <v/>
      </c>
      <c r="X3615" s="41" t="str">
        <f t="shared" si="305"/>
        <v/>
      </c>
    </row>
    <row r="3616" s="32" customFormat="1" hidden="1" customHeight="1" spans="1:24">
      <c r="A3616" s="34"/>
      <c r="B3616" s="51"/>
      <c r="C3616" s="51"/>
      <c r="D3616" s="52"/>
      <c r="E3616" s="53"/>
      <c r="F3616" s="54"/>
      <c r="G3616" s="54"/>
      <c r="H3616" s="54"/>
      <c r="I3616" s="66"/>
      <c r="J3616" s="54"/>
      <c r="K3616" s="54"/>
      <c r="L3616" s="54"/>
      <c r="M3616" s="97" t="str">
        <f t="shared" si="302"/>
        <v/>
      </c>
      <c r="N3616" s="70"/>
      <c r="O3616" s="71" t="str">
        <f t="shared" si="306"/>
        <v/>
      </c>
      <c r="P3616" s="66"/>
      <c r="Q3616" s="66"/>
      <c r="R3616" s="54"/>
      <c r="S3616" s="82"/>
      <c r="T3616" s="83" t="str">
        <f t="shared" si="303"/>
        <v/>
      </c>
      <c r="U3616" s="10"/>
      <c r="V3616" s="41">
        <f>IF(AND(Q3616&lt;&gt;"",RIGHT(Q3616,3)&lt;&gt;""),IF(COUNTIF($Q$6:Q3616,Q3616)=1,1,0),0)</f>
        <v>0</v>
      </c>
      <c r="W3616" s="41" t="str">
        <f t="shared" si="304"/>
        <v/>
      </c>
      <c r="X3616" s="41" t="str">
        <f t="shared" si="305"/>
        <v/>
      </c>
    </row>
    <row r="3617" s="32" customFormat="1" hidden="1" customHeight="1" spans="1:24">
      <c r="A3617" s="34"/>
      <c r="B3617" s="51"/>
      <c r="C3617" s="51"/>
      <c r="D3617" s="52"/>
      <c r="E3617" s="53"/>
      <c r="F3617" s="54"/>
      <c r="G3617" s="54"/>
      <c r="H3617" s="54"/>
      <c r="I3617" s="66"/>
      <c r="J3617" s="54"/>
      <c r="K3617" s="54"/>
      <c r="L3617" s="54"/>
      <c r="M3617" s="97" t="str">
        <f t="shared" si="302"/>
        <v/>
      </c>
      <c r="N3617" s="70"/>
      <c r="O3617" s="71" t="str">
        <f t="shared" si="306"/>
        <v/>
      </c>
      <c r="P3617" s="66"/>
      <c r="Q3617" s="66"/>
      <c r="R3617" s="54"/>
      <c r="S3617" s="82"/>
      <c r="T3617" s="83" t="str">
        <f t="shared" si="303"/>
        <v/>
      </c>
      <c r="U3617" s="10"/>
      <c r="V3617" s="41">
        <f>IF(AND(Q3617&lt;&gt;"",RIGHT(Q3617,3)&lt;&gt;""),IF(COUNTIF($Q$6:Q3617,Q3617)=1,1,0),0)</f>
        <v>0</v>
      </c>
      <c r="W3617" s="41" t="str">
        <f t="shared" si="304"/>
        <v/>
      </c>
      <c r="X3617" s="41" t="str">
        <f t="shared" si="305"/>
        <v/>
      </c>
    </row>
    <row r="3618" s="32" customFormat="1" hidden="1" customHeight="1" spans="1:24">
      <c r="A3618" s="34"/>
      <c r="B3618" s="51"/>
      <c r="C3618" s="51"/>
      <c r="D3618" s="52"/>
      <c r="E3618" s="53"/>
      <c r="F3618" s="54"/>
      <c r="G3618" s="54"/>
      <c r="H3618" s="54"/>
      <c r="I3618" s="66"/>
      <c r="J3618" s="54"/>
      <c r="K3618" s="54"/>
      <c r="L3618" s="54"/>
      <c r="M3618" s="97" t="str">
        <f t="shared" si="302"/>
        <v/>
      </c>
      <c r="N3618" s="70"/>
      <c r="O3618" s="71" t="str">
        <f t="shared" si="306"/>
        <v/>
      </c>
      <c r="P3618" s="66"/>
      <c r="Q3618" s="66"/>
      <c r="R3618" s="54"/>
      <c r="S3618" s="82"/>
      <c r="T3618" s="83" t="str">
        <f t="shared" si="303"/>
        <v/>
      </c>
      <c r="U3618" s="10"/>
      <c r="V3618" s="41">
        <f>IF(AND(Q3618&lt;&gt;"",RIGHT(Q3618,3)&lt;&gt;""),IF(COUNTIF($Q$6:Q3618,Q3618)=1,1,0),0)</f>
        <v>0</v>
      </c>
      <c r="W3618" s="41" t="str">
        <f t="shared" si="304"/>
        <v/>
      </c>
      <c r="X3618" s="41" t="str">
        <f t="shared" si="305"/>
        <v/>
      </c>
    </row>
    <row r="3619" s="32" customFormat="1" hidden="1" customHeight="1" spans="1:24">
      <c r="A3619" s="34"/>
      <c r="B3619" s="51"/>
      <c r="C3619" s="51"/>
      <c r="D3619" s="52"/>
      <c r="E3619" s="53"/>
      <c r="F3619" s="54"/>
      <c r="G3619" s="54"/>
      <c r="H3619" s="54"/>
      <c r="I3619" s="66"/>
      <c r="J3619" s="54"/>
      <c r="K3619" s="54"/>
      <c r="L3619" s="54"/>
      <c r="M3619" s="97" t="str">
        <f t="shared" si="302"/>
        <v/>
      </c>
      <c r="N3619" s="70"/>
      <c r="O3619" s="71" t="str">
        <f t="shared" si="306"/>
        <v/>
      </c>
      <c r="P3619" s="66"/>
      <c r="Q3619" s="66"/>
      <c r="R3619" s="54"/>
      <c r="S3619" s="82"/>
      <c r="T3619" s="83" t="str">
        <f t="shared" si="303"/>
        <v/>
      </c>
      <c r="U3619" s="10"/>
      <c r="V3619" s="41">
        <f>IF(AND(Q3619&lt;&gt;"",RIGHT(Q3619,3)&lt;&gt;""),IF(COUNTIF($Q$6:Q3619,Q3619)=1,1,0),0)</f>
        <v>0</v>
      </c>
      <c r="W3619" s="41" t="str">
        <f t="shared" si="304"/>
        <v/>
      </c>
      <c r="X3619" s="41" t="str">
        <f t="shared" si="305"/>
        <v/>
      </c>
    </row>
    <row r="3620" s="32" customFormat="1" hidden="1" customHeight="1" spans="1:24">
      <c r="A3620" s="34"/>
      <c r="B3620" s="51"/>
      <c r="C3620" s="51"/>
      <c r="D3620" s="52"/>
      <c r="E3620" s="53"/>
      <c r="F3620" s="54"/>
      <c r="G3620" s="54"/>
      <c r="H3620" s="54"/>
      <c r="I3620" s="66"/>
      <c r="J3620" s="54"/>
      <c r="K3620" s="54"/>
      <c r="L3620" s="54"/>
      <c r="M3620" s="97" t="str">
        <f t="shared" ref="M3620:M3683" si="307">IF(L3620="","",HYPERLINK(_xlfn.CONCAT($L$4,L3620,".jpg"),"Open File"))</f>
        <v/>
      </c>
      <c r="N3620" s="70"/>
      <c r="O3620" s="71" t="str">
        <f t="shared" si="306"/>
        <v/>
      </c>
      <c r="P3620" s="66"/>
      <c r="Q3620" s="66"/>
      <c r="R3620" s="54"/>
      <c r="S3620" s="82"/>
      <c r="T3620" s="83" t="str">
        <f t="shared" ref="T3620:T3683" si="308">IF(S3620="","",HYPERLINK(_xlfn.CONCAT($S$4,S3620,".jpg"),"Open File"))</f>
        <v/>
      </c>
      <c r="U3620" s="10"/>
      <c r="V3620" s="41">
        <f>IF(AND(Q3620&lt;&gt;"",RIGHT(Q3620,3)&lt;&gt;""),IF(COUNTIF($Q$6:Q3620,Q3620)=1,1,0),0)</f>
        <v>0</v>
      </c>
      <c r="W3620" s="41" t="str">
        <f t="shared" ref="W3620:W3683" si="309">IF(AND(J3620&lt;&gt;"",K3620&lt;&gt;""),_xlfn.CONCAT(SUBSTITUTE(J3620,"/","."),"-",K3620),"")</f>
        <v/>
      </c>
      <c r="X3620" s="41" t="str">
        <f t="shared" ref="X3620:X3683" si="310">IF(AND(Q3620&lt;&gt;"",R3620&lt;&gt;""),_xlfn.CONCAT(SUBSTITUTE(Q3620,"/","."),"-",R3620),"")</f>
        <v/>
      </c>
    </row>
    <row r="3621" s="32" customFormat="1" hidden="1" customHeight="1" spans="1:24">
      <c r="A3621" s="34"/>
      <c r="B3621" s="51"/>
      <c r="C3621" s="51"/>
      <c r="D3621" s="52"/>
      <c r="E3621" s="53"/>
      <c r="F3621" s="54"/>
      <c r="G3621" s="54"/>
      <c r="H3621" s="54"/>
      <c r="I3621" s="66"/>
      <c r="J3621" s="54"/>
      <c r="K3621" s="54"/>
      <c r="L3621" s="54"/>
      <c r="M3621" s="97" t="str">
        <f t="shared" si="307"/>
        <v/>
      </c>
      <c r="N3621" s="70"/>
      <c r="O3621" s="71" t="str">
        <f t="shared" si="306"/>
        <v/>
      </c>
      <c r="P3621" s="66"/>
      <c r="Q3621" s="66"/>
      <c r="R3621" s="54"/>
      <c r="S3621" s="82"/>
      <c r="T3621" s="83" t="str">
        <f t="shared" si="308"/>
        <v/>
      </c>
      <c r="U3621" s="10"/>
      <c r="V3621" s="41">
        <f>IF(AND(Q3621&lt;&gt;"",RIGHT(Q3621,3)&lt;&gt;""),IF(COUNTIF($Q$6:Q3621,Q3621)=1,1,0),0)</f>
        <v>0</v>
      </c>
      <c r="W3621" s="41" t="str">
        <f t="shared" si="309"/>
        <v/>
      </c>
      <c r="X3621" s="41" t="str">
        <f t="shared" si="310"/>
        <v/>
      </c>
    </row>
    <row r="3622" s="32" customFormat="1" hidden="1" customHeight="1" spans="1:24">
      <c r="A3622" s="34"/>
      <c r="B3622" s="51"/>
      <c r="C3622" s="51"/>
      <c r="D3622" s="52"/>
      <c r="E3622" s="53"/>
      <c r="F3622" s="54"/>
      <c r="G3622" s="54"/>
      <c r="H3622" s="54"/>
      <c r="I3622" s="66"/>
      <c r="J3622" s="54"/>
      <c r="K3622" s="54"/>
      <c r="L3622" s="54"/>
      <c r="M3622" s="97" t="str">
        <f t="shared" si="307"/>
        <v/>
      </c>
      <c r="N3622" s="70"/>
      <c r="O3622" s="71" t="str">
        <f t="shared" si="306"/>
        <v/>
      </c>
      <c r="P3622" s="66"/>
      <c r="Q3622" s="66"/>
      <c r="R3622" s="54"/>
      <c r="S3622" s="82"/>
      <c r="T3622" s="83" t="str">
        <f t="shared" si="308"/>
        <v/>
      </c>
      <c r="U3622" s="10"/>
      <c r="V3622" s="41">
        <f>IF(AND(Q3622&lt;&gt;"",RIGHT(Q3622,3)&lt;&gt;""),IF(COUNTIF($Q$6:Q3622,Q3622)=1,1,0),0)</f>
        <v>0</v>
      </c>
      <c r="W3622" s="41" t="str">
        <f t="shared" si="309"/>
        <v/>
      </c>
      <c r="X3622" s="41" t="str">
        <f t="shared" si="310"/>
        <v/>
      </c>
    </row>
    <row r="3623" s="32" customFormat="1" hidden="1" customHeight="1" spans="1:24">
      <c r="A3623" s="34"/>
      <c r="B3623" s="51"/>
      <c r="C3623" s="51"/>
      <c r="D3623" s="52"/>
      <c r="E3623" s="53"/>
      <c r="F3623" s="54"/>
      <c r="G3623" s="54"/>
      <c r="H3623" s="54"/>
      <c r="I3623" s="66"/>
      <c r="J3623" s="54"/>
      <c r="K3623" s="54"/>
      <c r="L3623" s="54"/>
      <c r="M3623" s="97" t="str">
        <f t="shared" si="307"/>
        <v/>
      </c>
      <c r="N3623" s="70"/>
      <c r="O3623" s="71" t="str">
        <f t="shared" si="306"/>
        <v/>
      </c>
      <c r="P3623" s="66"/>
      <c r="Q3623" s="66"/>
      <c r="R3623" s="54"/>
      <c r="S3623" s="82"/>
      <c r="T3623" s="83" t="str">
        <f t="shared" si="308"/>
        <v/>
      </c>
      <c r="U3623" s="10"/>
      <c r="V3623" s="41">
        <f>IF(AND(Q3623&lt;&gt;"",RIGHT(Q3623,3)&lt;&gt;""),IF(COUNTIF($Q$6:Q3623,Q3623)=1,1,0),0)</f>
        <v>0</v>
      </c>
      <c r="W3623" s="41" t="str">
        <f t="shared" si="309"/>
        <v/>
      </c>
      <c r="X3623" s="41" t="str">
        <f t="shared" si="310"/>
        <v/>
      </c>
    </row>
    <row r="3624" s="32" customFormat="1" hidden="1" customHeight="1" spans="1:24">
      <c r="A3624" s="34"/>
      <c r="B3624" s="51"/>
      <c r="C3624" s="51"/>
      <c r="D3624" s="52"/>
      <c r="E3624" s="53"/>
      <c r="F3624" s="54"/>
      <c r="G3624" s="54"/>
      <c r="H3624" s="54"/>
      <c r="I3624" s="66"/>
      <c r="J3624" s="54"/>
      <c r="K3624" s="54"/>
      <c r="L3624" s="54"/>
      <c r="M3624" s="97" t="str">
        <f t="shared" si="307"/>
        <v/>
      </c>
      <c r="N3624" s="70"/>
      <c r="O3624" s="71" t="str">
        <f t="shared" si="306"/>
        <v/>
      </c>
      <c r="P3624" s="66"/>
      <c r="Q3624" s="66"/>
      <c r="R3624" s="54"/>
      <c r="S3624" s="82"/>
      <c r="T3624" s="83" t="str">
        <f t="shared" si="308"/>
        <v/>
      </c>
      <c r="U3624" s="10"/>
      <c r="V3624" s="41">
        <f>IF(AND(Q3624&lt;&gt;"",RIGHT(Q3624,3)&lt;&gt;""),IF(COUNTIF($Q$6:Q3624,Q3624)=1,1,0),0)</f>
        <v>0</v>
      </c>
      <c r="W3624" s="41" t="str">
        <f t="shared" si="309"/>
        <v/>
      </c>
      <c r="X3624" s="41" t="str">
        <f t="shared" si="310"/>
        <v/>
      </c>
    </row>
    <row r="3625" s="32" customFormat="1" hidden="1" customHeight="1" spans="1:24">
      <c r="A3625" s="34"/>
      <c r="B3625" s="51"/>
      <c r="C3625" s="51"/>
      <c r="D3625" s="52"/>
      <c r="E3625" s="53"/>
      <c r="F3625" s="54"/>
      <c r="G3625" s="54"/>
      <c r="H3625" s="54"/>
      <c r="I3625" s="66"/>
      <c r="J3625" s="54"/>
      <c r="K3625" s="54"/>
      <c r="L3625" s="54"/>
      <c r="M3625" s="97" t="str">
        <f t="shared" si="307"/>
        <v/>
      </c>
      <c r="N3625" s="70"/>
      <c r="O3625" s="71" t="str">
        <f t="shared" si="306"/>
        <v/>
      </c>
      <c r="P3625" s="66"/>
      <c r="Q3625" s="66"/>
      <c r="R3625" s="54"/>
      <c r="S3625" s="82"/>
      <c r="T3625" s="83" t="str">
        <f t="shared" si="308"/>
        <v/>
      </c>
      <c r="U3625" s="10"/>
      <c r="V3625" s="41">
        <f>IF(AND(Q3625&lt;&gt;"",RIGHT(Q3625,3)&lt;&gt;""),IF(COUNTIF($Q$6:Q3625,Q3625)=1,1,0),0)</f>
        <v>0</v>
      </c>
      <c r="W3625" s="41" t="str">
        <f t="shared" si="309"/>
        <v/>
      </c>
      <c r="X3625" s="41" t="str">
        <f t="shared" si="310"/>
        <v/>
      </c>
    </row>
    <row r="3626" s="32" customFormat="1" hidden="1" customHeight="1" spans="1:24">
      <c r="A3626" s="34"/>
      <c r="B3626" s="51"/>
      <c r="C3626" s="51"/>
      <c r="D3626" s="52"/>
      <c r="E3626" s="53"/>
      <c r="F3626" s="54"/>
      <c r="G3626" s="54"/>
      <c r="H3626" s="54"/>
      <c r="I3626" s="66"/>
      <c r="J3626" s="54"/>
      <c r="K3626" s="54"/>
      <c r="L3626" s="54"/>
      <c r="M3626" s="97" t="str">
        <f t="shared" si="307"/>
        <v/>
      </c>
      <c r="N3626" s="70"/>
      <c r="O3626" s="71" t="str">
        <f t="shared" si="306"/>
        <v/>
      </c>
      <c r="P3626" s="66"/>
      <c r="Q3626" s="66"/>
      <c r="R3626" s="54"/>
      <c r="S3626" s="82"/>
      <c r="T3626" s="83" t="str">
        <f t="shared" si="308"/>
        <v/>
      </c>
      <c r="U3626" s="10"/>
      <c r="V3626" s="41">
        <f>IF(AND(Q3626&lt;&gt;"",RIGHT(Q3626,3)&lt;&gt;""),IF(COUNTIF($Q$6:Q3626,Q3626)=1,1,0),0)</f>
        <v>0</v>
      </c>
      <c r="W3626" s="41" t="str">
        <f t="shared" si="309"/>
        <v/>
      </c>
      <c r="X3626" s="41" t="str">
        <f t="shared" si="310"/>
        <v/>
      </c>
    </row>
    <row r="3627" s="32" customFormat="1" hidden="1" customHeight="1" spans="1:24">
      <c r="A3627" s="34"/>
      <c r="B3627" s="51"/>
      <c r="C3627" s="51"/>
      <c r="D3627" s="52"/>
      <c r="E3627" s="53"/>
      <c r="F3627" s="54"/>
      <c r="G3627" s="54"/>
      <c r="H3627" s="54"/>
      <c r="I3627" s="66"/>
      <c r="J3627" s="54"/>
      <c r="K3627" s="54"/>
      <c r="L3627" s="54"/>
      <c r="M3627" s="97" t="str">
        <f t="shared" si="307"/>
        <v/>
      </c>
      <c r="N3627" s="70"/>
      <c r="O3627" s="71" t="str">
        <f t="shared" si="306"/>
        <v/>
      </c>
      <c r="P3627" s="66"/>
      <c r="Q3627" s="66"/>
      <c r="R3627" s="54"/>
      <c r="S3627" s="82"/>
      <c r="T3627" s="83" t="str">
        <f t="shared" si="308"/>
        <v/>
      </c>
      <c r="U3627" s="10"/>
      <c r="V3627" s="41">
        <f>IF(AND(Q3627&lt;&gt;"",RIGHT(Q3627,3)&lt;&gt;""),IF(COUNTIF($Q$6:Q3627,Q3627)=1,1,0),0)</f>
        <v>0</v>
      </c>
      <c r="W3627" s="41" t="str">
        <f t="shared" si="309"/>
        <v/>
      </c>
      <c r="X3627" s="41" t="str">
        <f t="shared" si="310"/>
        <v/>
      </c>
    </row>
    <row r="3628" s="32" customFormat="1" hidden="1" customHeight="1" spans="1:24">
      <c r="A3628" s="34"/>
      <c r="B3628" s="51"/>
      <c r="C3628" s="51"/>
      <c r="D3628" s="52"/>
      <c r="E3628" s="53"/>
      <c r="F3628" s="54"/>
      <c r="G3628" s="54"/>
      <c r="H3628" s="54"/>
      <c r="I3628" s="66"/>
      <c r="J3628" s="54"/>
      <c r="K3628" s="54"/>
      <c r="L3628" s="54"/>
      <c r="M3628" s="97" t="str">
        <f t="shared" si="307"/>
        <v/>
      </c>
      <c r="N3628" s="70"/>
      <c r="O3628" s="71" t="str">
        <f t="shared" si="306"/>
        <v/>
      </c>
      <c r="P3628" s="66"/>
      <c r="Q3628" s="66"/>
      <c r="R3628" s="54"/>
      <c r="S3628" s="82"/>
      <c r="T3628" s="83" t="str">
        <f t="shared" si="308"/>
        <v/>
      </c>
      <c r="U3628" s="10"/>
      <c r="V3628" s="41">
        <f>IF(AND(Q3628&lt;&gt;"",RIGHT(Q3628,3)&lt;&gt;""),IF(COUNTIF($Q$6:Q3628,Q3628)=1,1,0),0)</f>
        <v>0</v>
      </c>
      <c r="W3628" s="41" t="str">
        <f t="shared" si="309"/>
        <v/>
      </c>
      <c r="X3628" s="41" t="str">
        <f t="shared" si="310"/>
        <v/>
      </c>
    </row>
    <row r="3629" s="32" customFormat="1" hidden="1" customHeight="1" spans="1:24">
      <c r="A3629" s="34"/>
      <c r="B3629" s="51"/>
      <c r="C3629" s="51"/>
      <c r="D3629" s="52"/>
      <c r="E3629" s="53"/>
      <c r="F3629" s="54"/>
      <c r="G3629" s="54"/>
      <c r="H3629" s="54"/>
      <c r="I3629" s="66"/>
      <c r="J3629" s="54"/>
      <c r="K3629" s="54"/>
      <c r="L3629" s="54"/>
      <c r="M3629" s="97" t="str">
        <f t="shared" si="307"/>
        <v/>
      </c>
      <c r="N3629" s="70"/>
      <c r="O3629" s="71" t="str">
        <f t="shared" si="306"/>
        <v/>
      </c>
      <c r="P3629" s="66"/>
      <c r="Q3629" s="66"/>
      <c r="R3629" s="54"/>
      <c r="S3629" s="82"/>
      <c r="T3629" s="83" t="str">
        <f t="shared" si="308"/>
        <v/>
      </c>
      <c r="U3629" s="10"/>
      <c r="V3629" s="41">
        <f>IF(AND(Q3629&lt;&gt;"",RIGHT(Q3629,3)&lt;&gt;""),IF(COUNTIF($Q$6:Q3629,Q3629)=1,1,0),0)</f>
        <v>0</v>
      </c>
      <c r="W3629" s="41" t="str">
        <f t="shared" si="309"/>
        <v/>
      </c>
      <c r="X3629" s="41" t="str">
        <f t="shared" si="310"/>
        <v/>
      </c>
    </row>
    <row r="3630" s="32" customFormat="1" hidden="1" customHeight="1" spans="1:24">
      <c r="A3630" s="34"/>
      <c r="B3630" s="51"/>
      <c r="C3630" s="51"/>
      <c r="D3630" s="52"/>
      <c r="E3630" s="53"/>
      <c r="F3630" s="54"/>
      <c r="G3630" s="54"/>
      <c r="H3630" s="54"/>
      <c r="I3630" s="66"/>
      <c r="J3630" s="54"/>
      <c r="K3630" s="54"/>
      <c r="L3630" s="54"/>
      <c r="M3630" s="97" t="str">
        <f t="shared" si="307"/>
        <v/>
      </c>
      <c r="N3630" s="70"/>
      <c r="O3630" s="71" t="str">
        <f t="shared" si="306"/>
        <v/>
      </c>
      <c r="P3630" s="66"/>
      <c r="Q3630" s="66"/>
      <c r="R3630" s="54"/>
      <c r="S3630" s="82"/>
      <c r="T3630" s="83" t="str">
        <f t="shared" si="308"/>
        <v/>
      </c>
      <c r="U3630" s="10"/>
      <c r="V3630" s="41">
        <f>IF(AND(Q3630&lt;&gt;"",RIGHT(Q3630,3)&lt;&gt;""),IF(COUNTIF($Q$6:Q3630,Q3630)=1,1,0),0)</f>
        <v>0</v>
      </c>
      <c r="W3630" s="41" t="str">
        <f t="shared" si="309"/>
        <v/>
      </c>
      <c r="X3630" s="41" t="str">
        <f t="shared" si="310"/>
        <v/>
      </c>
    </row>
    <row r="3631" s="32" customFormat="1" hidden="1" customHeight="1" spans="1:24">
      <c r="A3631" s="34"/>
      <c r="B3631" s="51"/>
      <c r="C3631" s="51"/>
      <c r="D3631" s="52"/>
      <c r="E3631" s="53"/>
      <c r="F3631" s="54"/>
      <c r="G3631" s="54"/>
      <c r="H3631" s="54"/>
      <c r="I3631" s="66"/>
      <c r="J3631" s="54"/>
      <c r="K3631" s="54"/>
      <c r="L3631" s="54"/>
      <c r="M3631" s="97" t="str">
        <f t="shared" si="307"/>
        <v/>
      </c>
      <c r="N3631" s="70"/>
      <c r="O3631" s="71" t="str">
        <f t="shared" si="306"/>
        <v/>
      </c>
      <c r="P3631" s="66"/>
      <c r="Q3631" s="66"/>
      <c r="R3631" s="54"/>
      <c r="S3631" s="82"/>
      <c r="T3631" s="83" t="str">
        <f t="shared" si="308"/>
        <v/>
      </c>
      <c r="U3631" s="10"/>
      <c r="V3631" s="41">
        <f>IF(AND(Q3631&lt;&gt;"",RIGHT(Q3631,3)&lt;&gt;""),IF(COUNTIF($Q$6:Q3631,Q3631)=1,1,0),0)</f>
        <v>0</v>
      </c>
      <c r="W3631" s="41" t="str">
        <f t="shared" si="309"/>
        <v/>
      </c>
      <c r="X3631" s="41" t="str">
        <f t="shared" si="310"/>
        <v/>
      </c>
    </row>
    <row r="3632" s="32" customFormat="1" hidden="1" customHeight="1" spans="1:24">
      <c r="A3632" s="34"/>
      <c r="B3632" s="51"/>
      <c r="C3632" s="51"/>
      <c r="D3632" s="52"/>
      <c r="E3632" s="53"/>
      <c r="F3632" s="54"/>
      <c r="G3632" s="54"/>
      <c r="H3632" s="54"/>
      <c r="I3632" s="66"/>
      <c r="J3632" s="54"/>
      <c r="K3632" s="54"/>
      <c r="L3632" s="54"/>
      <c r="M3632" s="97" t="str">
        <f t="shared" si="307"/>
        <v/>
      </c>
      <c r="N3632" s="70"/>
      <c r="O3632" s="71" t="str">
        <f t="shared" si="306"/>
        <v/>
      </c>
      <c r="P3632" s="66"/>
      <c r="Q3632" s="66"/>
      <c r="R3632" s="54"/>
      <c r="S3632" s="82"/>
      <c r="T3632" s="83" t="str">
        <f t="shared" si="308"/>
        <v/>
      </c>
      <c r="U3632" s="10"/>
      <c r="V3632" s="41">
        <f>IF(AND(Q3632&lt;&gt;"",RIGHT(Q3632,3)&lt;&gt;""),IF(COUNTIF($Q$6:Q3632,Q3632)=1,1,0),0)</f>
        <v>0</v>
      </c>
      <c r="W3632" s="41" t="str">
        <f t="shared" si="309"/>
        <v/>
      </c>
      <c r="X3632" s="41" t="str">
        <f t="shared" si="310"/>
        <v/>
      </c>
    </row>
    <row r="3633" s="32" customFormat="1" hidden="1" customHeight="1" spans="1:24">
      <c r="A3633" s="34"/>
      <c r="B3633" s="51"/>
      <c r="C3633" s="51"/>
      <c r="D3633" s="52"/>
      <c r="E3633" s="53"/>
      <c r="F3633" s="54"/>
      <c r="G3633" s="54"/>
      <c r="H3633" s="54"/>
      <c r="I3633" s="66"/>
      <c r="J3633" s="54"/>
      <c r="K3633" s="54"/>
      <c r="L3633" s="54"/>
      <c r="M3633" s="97" t="str">
        <f t="shared" si="307"/>
        <v/>
      </c>
      <c r="N3633" s="70"/>
      <c r="O3633" s="71" t="str">
        <f t="shared" ref="O3633:O3696" si="311">IF(AND(Q3633&lt;&gt;"",T3633&lt;&gt;""),"PASSIVE",IF(AND(J3633&lt;&gt;"",M3633&lt;&gt;""),"ACTIVE",""))</f>
        <v/>
      </c>
      <c r="P3633" s="66"/>
      <c r="Q3633" s="66"/>
      <c r="R3633" s="54"/>
      <c r="S3633" s="82"/>
      <c r="T3633" s="83" t="str">
        <f t="shared" si="308"/>
        <v/>
      </c>
      <c r="U3633" s="10"/>
      <c r="V3633" s="41">
        <f>IF(AND(Q3633&lt;&gt;"",RIGHT(Q3633,3)&lt;&gt;""),IF(COUNTIF($Q$6:Q3633,Q3633)=1,1,0),0)</f>
        <v>0</v>
      </c>
      <c r="W3633" s="41" t="str">
        <f t="shared" si="309"/>
        <v/>
      </c>
      <c r="X3633" s="41" t="str">
        <f t="shared" si="310"/>
        <v/>
      </c>
    </row>
    <row r="3634" s="32" customFormat="1" hidden="1" customHeight="1" spans="1:24">
      <c r="A3634" s="34"/>
      <c r="B3634" s="51"/>
      <c r="C3634" s="51"/>
      <c r="D3634" s="52"/>
      <c r="E3634" s="53"/>
      <c r="F3634" s="54"/>
      <c r="G3634" s="54"/>
      <c r="H3634" s="54"/>
      <c r="I3634" s="66"/>
      <c r="J3634" s="54"/>
      <c r="K3634" s="54"/>
      <c r="L3634" s="54"/>
      <c r="M3634" s="97" t="str">
        <f t="shared" si="307"/>
        <v/>
      </c>
      <c r="N3634" s="70"/>
      <c r="O3634" s="71" t="str">
        <f t="shared" si="311"/>
        <v/>
      </c>
      <c r="P3634" s="66"/>
      <c r="Q3634" s="66"/>
      <c r="R3634" s="54"/>
      <c r="S3634" s="82"/>
      <c r="T3634" s="83" t="str">
        <f t="shared" si="308"/>
        <v/>
      </c>
      <c r="U3634" s="10"/>
      <c r="V3634" s="41">
        <f>IF(AND(Q3634&lt;&gt;"",RIGHT(Q3634,3)&lt;&gt;""),IF(COUNTIF($Q$6:Q3634,Q3634)=1,1,0),0)</f>
        <v>0</v>
      </c>
      <c r="W3634" s="41" t="str">
        <f t="shared" si="309"/>
        <v/>
      </c>
      <c r="X3634" s="41" t="str">
        <f t="shared" si="310"/>
        <v/>
      </c>
    </row>
    <row r="3635" s="32" customFormat="1" hidden="1" customHeight="1" spans="1:24">
      <c r="A3635" s="34"/>
      <c r="B3635" s="51"/>
      <c r="C3635" s="51"/>
      <c r="D3635" s="52"/>
      <c r="E3635" s="53"/>
      <c r="F3635" s="54"/>
      <c r="G3635" s="54"/>
      <c r="H3635" s="54"/>
      <c r="I3635" s="66"/>
      <c r="J3635" s="54"/>
      <c r="K3635" s="54"/>
      <c r="L3635" s="54"/>
      <c r="M3635" s="97" t="str">
        <f t="shared" si="307"/>
        <v/>
      </c>
      <c r="N3635" s="70"/>
      <c r="O3635" s="71" t="str">
        <f t="shared" si="311"/>
        <v/>
      </c>
      <c r="P3635" s="66"/>
      <c r="Q3635" s="66"/>
      <c r="R3635" s="54"/>
      <c r="S3635" s="82"/>
      <c r="T3635" s="83" t="str">
        <f t="shared" si="308"/>
        <v/>
      </c>
      <c r="U3635" s="10"/>
      <c r="V3635" s="41">
        <f>IF(AND(Q3635&lt;&gt;"",RIGHT(Q3635,3)&lt;&gt;""),IF(COUNTIF($Q$6:Q3635,Q3635)=1,1,0),0)</f>
        <v>0</v>
      </c>
      <c r="W3635" s="41" t="str">
        <f t="shared" si="309"/>
        <v/>
      </c>
      <c r="X3635" s="41" t="str">
        <f t="shared" si="310"/>
        <v/>
      </c>
    </row>
    <row r="3636" s="32" customFormat="1" hidden="1" customHeight="1" spans="1:24">
      <c r="A3636" s="34"/>
      <c r="B3636" s="51"/>
      <c r="C3636" s="51"/>
      <c r="D3636" s="52"/>
      <c r="E3636" s="53"/>
      <c r="F3636" s="54"/>
      <c r="G3636" s="54"/>
      <c r="H3636" s="54"/>
      <c r="I3636" s="66"/>
      <c r="J3636" s="54"/>
      <c r="K3636" s="54"/>
      <c r="L3636" s="54"/>
      <c r="M3636" s="97" t="str">
        <f t="shared" si="307"/>
        <v/>
      </c>
      <c r="N3636" s="70"/>
      <c r="O3636" s="71" t="str">
        <f t="shared" si="311"/>
        <v/>
      </c>
      <c r="P3636" s="66"/>
      <c r="Q3636" s="66"/>
      <c r="R3636" s="54"/>
      <c r="S3636" s="82"/>
      <c r="T3636" s="83" t="str">
        <f t="shared" si="308"/>
        <v/>
      </c>
      <c r="U3636" s="10"/>
      <c r="V3636" s="41">
        <f>IF(AND(Q3636&lt;&gt;"",RIGHT(Q3636,3)&lt;&gt;""),IF(COUNTIF($Q$6:Q3636,Q3636)=1,1,0),0)</f>
        <v>0</v>
      </c>
      <c r="W3636" s="41" t="str">
        <f t="shared" si="309"/>
        <v/>
      </c>
      <c r="X3636" s="41" t="str">
        <f t="shared" si="310"/>
        <v/>
      </c>
    </row>
    <row r="3637" s="32" customFormat="1" hidden="1" customHeight="1" spans="1:24">
      <c r="A3637" s="34"/>
      <c r="B3637" s="51"/>
      <c r="C3637" s="51"/>
      <c r="D3637" s="52"/>
      <c r="E3637" s="53"/>
      <c r="F3637" s="54"/>
      <c r="G3637" s="54"/>
      <c r="H3637" s="54"/>
      <c r="I3637" s="66"/>
      <c r="J3637" s="54"/>
      <c r="K3637" s="54"/>
      <c r="L3637" s="54"/>
      <c r="M3637" s="97" t="str">
        <f t="shared" si="307"/>
        <v/>
      </c>
      <c r="N3637" s="70"/>
      <c r="O3637" s="71" t="str">
        <f t="shared" si="311"/>
        <v/>
      </c>
      <c r="P3637" s="66"/>
      <c r="Q3637" s="66"/>
      <c r="R3637" s="54"/>
      <c r="S3637" s="82"/>
      <c r="T3637" s="83" t="str">
        <f t="shared" si="308"/>
        <v/>
      </c>
      <c r="U3637" s="10"/>
      <c r="V3637" s="41">
        <f>IF(AND(Q3637&lt;&gt;"",RIGHT(Q3637,3)&lt;&gt;""),IF(COUNTIF($Q$6:Q3637,Q3637)=1,1,0),0)</f>
        <v>0</v>
      </c>
      <c r="W3637" s="41" t="str">
        <f t="shared" si="309"/>
        <v/>
      </c>
      <c r="X3637" s="41" t="str">
        <f t="shared" si="310"/>
        <v/>
      </c>
    </row>
    <row r="3638" s="32" customFormat="1" hidden="1" customHeight="1" spans="1:24">
      <c r="A3638" s="34"/>
      <c r="B3638" s="51"/>
      <c r="C3638" s="51"/>
      <c r="D3638" s="52"/>
      <c r="E3638" s="53"/>
      <c r="F3638" s="54"/>
      <c r="G3638" s="54"/>
      <c r="H3638" s="54"/>
      <c r="I3638" s="66"/>
      <c r="J3638" s="54"/>
      <c r="K3638" s="54"/>
      <c r="L3638" s="54"/>
      <c r="M3638" s="97" t="str">
        <f t="shared" si="307"/>
        <v/>
      </c>
      <c r="N3638" s="70"/>
      <c r="O3638" s="71" t="str">
        <f t="shared" si="311"/>
        <v/>
      </c>
      <c r="P3638" s="66"/>
      <c r="Q3638" s="66"/>
      <c r="R3638" s="54"/>
      <c r="S3638" s="82"/>
      <c r="T3638" s="83" t="str">
        <f t="shared" si="308"/>
        <v/>
      </c>
      <c r="U3638" s="10"/>
      <c r="V3638" s="41">
        <f>IF(AND(Q3638&lt;&gt;"",RIGHT(Q3638,3)&lt;&gt;""),IF(COUNTIF($Q$6:Q3638,Q3638)=1,1,0),0)</f>
        <v>0</v>
      </c>
      <c r="W3638" s="41" t="str">
        <f t="shared" si="309"/>
        <v/>
      </c>
      <c r="X3638" s="41" t="str">
        <f t="shared" si="310"/>
        <v/>
      </c>
    </row>
    <row r="3639" s="32" customFormat="1" hidden="1" customHeight="1" spans="1:24">
      <c r="A3639" s="34"/>
      <c r="B3639" s="51"/>
      <c r="C3639" s="51"/>
      <c r="D3639" s="52"/>
      <c r="E3639" s="53"/>
      <c r="F3639" s="54"/>
      <c r="G3639" s="54"/>
      <c r="H3639" s="54"/>
      <c r="I3639" s="66"/>
      <c r="J3639" s="54"/>
      <c r="K3639" s="54"/>
      <c r="L3639" s="54"/>
      <c r="M3639" s="97" t="str">
        <f t="shared" si="307"/>
        <v/>
      </c>
      <c r="N3639" s="70"/>
      <c r="O3639" s="71" t="str">
        <f t="shared" si="311"/>
        <v/>
      </c>
      <c r="P3639" s="66"/>
      <c r="Q3639" s="66"/>
      <c r="R3639" s="54"/>
      <c r="S3639" s="82"/>
      <c r="T3639" s="83" t="str">
        <f t="shared" si="308"/>
        <v/>
      </c>
      <c r="U3639" s="10"/>
      <c r="V3639" s="41">
        <f>IF(AND(Q3639&lt;&gt;"",RIGHT(Q3639,3)&lt;&gt;""),IF(COUNTIF($Q$6:Q3639,Q3639)=1,1,0),0)</f>
        <v>0</v>
      </c>
      <c r="W3639" s="41" t="str">
        <f t="shared" si="309"/>
        <v/>
      </c>
      <c r="X3639" s="41" t="str">
        <f t="shared" si="310"/>
        <v/>
      </c>
    </row>
    <row r="3640" s="32" customFormat="1" hidden="1" customHeight="1" spans="1:24">
      <c r="A3640" s="34"/>
      <c r="B3640" s="51"/>
      <c r="C3640" s="51"/>
      <c r="D3640" s="52"/>
      <c r="E3640" s="53"/>
      <c r="F3640" s="54"/>
      <c r="G3640" s="54"/>
      <c r="H3640" s="54"/>
      <c r="I3640" s="66"/>
      <c r="J3640" s="54"/>
      <c r="K3640" s="54"/>
      <c r="L3640" s="54"/>
      <c r="M3640" s="97" t="str">
        <f t="shared" si="307"/>
        <v/>
      </c>
      <c r="N3640" s="70"/>
      <c r="O3640" s="71" t="str">
        <f t="shared" si="311"/>
        <v/>
      </c>
      <c r="P3640" s="66"/>
      <c r="Q3640" s="66"/>
      <c r="R3640" s="54"/>
      <c r="S3640" s="82"/>
      <c r="T3640" s="83" t="str">
        <f t="shared" si="308"/>
        <v/>
      </c>
      <c r="U3640" s="10"/>
      <c r="V3640" s="41">
        <f>IF(AND(Q3640&lt;&gt;"",RIGHT(Q3640,3)&lt;&gt;""),IF(COUNTIF($Q$6:Q3640,Q3640)=1,1,0),0)</f>
        <v>0</v>
      </c>
      <c r="W3640" s="41" t="str">
        <f t="shared" si="309"/>
        <v/>
      </c>
      <c r="X3640" s="41" t="str">
        <f t="shared" si="310"/>
        <v/>
      </c>
    </row>
    <row r="3641" s="32" customFormat="1" hidden="1" customHeight="1" spans="1:24">
      <c r="A3641" s="34"/>
      <c r="B3641" s="51"/>
      <c r="C3641" s="51"/>
      <c r="D3641" s="52"/>
      <c r="E3641" s="53"/>
      <c r="F3641" s="54"/>
      <c r="G3641" s="54"/>
      <c r="H3641" s="54"/>
      <c r="I3641" s="66"/>
      <c r="J3641" s="54"/>
      <c r="K3641" s="54"/>
      <c r="L3641" s="54"/>
      <c r="M3641" s="97" t="str">
        <f t="shared" si="307"/>
        <v/>
      </c>
      <c r="N3641" s="70"/>
      <c r="O3641" s="71" t="str">
        <f t="shared" si="311"/>
        <v/>
      </c>
      <c r="P3641" s="66"/>
      <c r="Q3641" s="66"/>
      <c r="R3641" s="54"/>
      <c r="S3641" s="82"/>
      <c r="T3641" s="83" t="str">
        <f t="shared" si="308"/>
        <v/>
      </c>
      <c r="U3641" s="10"/>
      <c r="V3641" s="41">
        <f>IF(AND(Q3641&lt;&gt;"",RIGHT(Q3641,3)&lt;&gt;""),IF(COUNTIF($Q$6:Q3641,Q3641)=1,1,0),0)</f>
        <v>0</v>
      </c>
      <c r="W3641" s="41" t="str">
        <f t="shared" si="309"/>
        <v/>
      </c>
      <c r="X3641" s="41" t="str">
        <f t="shared" si="310"/>
        <v/>
      </c>
    </row>
    <row r="3642" s="32" customFormat="1" hidden="1" customHeight="1" spans="1:24">
      <c r="A3642" s="34"/>
      <c r="B3642" s="51"/>
      <c r="C3642" s="51"/>
      <c r="D3642" s="52"/>
      <c r="E3642" s="53"/>
      <c r="F3642" s="54"/>
      <c r="G3642" s="54"/>
      <c r="H3642" s="54"/>
      <c r="I3642" s="66"/>
      <c r="J3642" s="54"/>
      <c r="K3642" s="54"/>
      <c r="L3642" s="54"/>
      <c r="M3642" s="97" t="str">
        <f t="shared" si="307"/>
        <v/>
      </c>
      <c r="N3642" s="70"/>
      <c r="O3642" s="71" t="str">
        <f t="shared" si="311"/>
        <v/>
      </c>
      <c r="P3642" s="66"/>
      <c r="Q3642" s="66"/>
      <c r="R3642" s="54"/>
      <c r="S3642" s="82"/>
      <c r="T3642" s="83" t="str">
        <f t="shared" si="308"/>
        <v/>
      </c>
      <c r="U3642" s="10"/>
      <c r="V3642" s="41">
        <f>IF(AND(Q3642&lt;&gt;"",RIGHT(Q3642,3)&lt;&gt;""),IF(COUNTIF($Q$6:Q3642,Q3642)=1,1,0),0)</f>
        <v>0</v>
      </c>
      <c r="W3642" s="41" t="str">
        <f t="shared" si="309"/>
        <v/>
      </c>
      <c r="X3642" s="41" t="str">
        <f t="shared" si="310"/>
        <v/>
      </c>
    </row>
    <row r="3643" s="32" customFormat="1" hidden="1" customHeight="1" spans="1:24">
      <c r="A3643" s="34"/>
      <c r="B3643" s="51"/>
      <c r="C3643" s="51"/>
      <c r="D3643" s="52"/>
      <c r="E3643" s="53"/>
      <c r="F3643" s="54"/>
      <c r="G3643" s="54"/>
      <c r="H3643" s="54"/>
      <c r="I3643" s="66"/>
      <c r="J3643" s="54"/>
      <c r="K3643" s="54"/>
      <c r="L3643" s="54"/>
      <c r="M3643" s="97" t="str">
        <f t="shared" si="307"/>
        <v/>
      </c>
      <c r="N3643" s="70"/>
      <c r="O3643" s="71" t="str">
        <f t="shared" si="311"/>
        <v/>
      </c>
      <c r="P3643" s="66"/>
      <c r="Q3643" s="66"/>
      <c r="R3643" s="54"/>
      <c r="S3643" s="82"/>
      <c r="T3643" s="83" t="str">
        <f t="shared" si="308"/>
        <v/>
      </c>
      <c r="U3643" s="10"/>
      <c r="V3643" s="41">
        <f>IF(AND(Q3643&lt;&gt;"",RIGHT(Q3643,3)&lt;&gt;""),IF(COUNTIF($Q$6:Q3643,Q3643)=1,1,0),0)</f>
        <v>0</v>
      </c>
      <c r="W3643" s="41" t="str">
        <f t="shared" si="309"/>
        <v/>
      </c>
      <c r="X3643" s="41" t="str">
        <f t="shared" si="310"/>
        <v/>
      </c>
    </row>
    <row r="3644" s="32" customFormat="1" hidden="1" customHeight="1" spans="1:24">
      <c r="A3644" s="34"/>
      <c r="B3644" s="51"/>
      <c r="C3644" s="51"/>
      <c r="D3644" s="52"/>
      <c r="E3644" s="53"/>
      <c r="F3644" s="54"/>
      <c r="G3644" s="54"/>
      <c r="H3644" s="54"/>
      <c r="I3644" s="66"/>
      <c r="J3644" s="54"/>
      <c r="K3644" s="54"/>
      <c r="L3644" s="54"/>
      <c r="M3644" s="97" t="str">
        <f t="shared" si="307"/>
        <v/>
      </c>
      <c r="N3644" s="70"/>
      <c r="O3644" s="71" t="str">
        <f t="shared" si="311"/>
        <v/>
      </c>
      <c r="P3644" s="66"/>
      <c r="Q3644" s="66"/>
      <c r="R3644" s="54"/>
      <c r="S3644" s="82"/>
      <c r="T3644" s="83" t="str">
        <f t="shared" si="308"/>
        <v/>
      </c>
      <c r="U3644" s="10"/>
      <c r="V3644" s="41">
        <f>IF(AND(Q3644&lt;&gt;"",RIGHT(Q3644,3)&lt;&gt;""),IF(COUNTIF($Q$6:Q3644,Q3644)=1,1,0),0)</f>
        <v>0</v>
      </c>
      <c r="W3644" s="41" t="str">
        <f t="shared" si="309"/>
        <v/>
      </c>
      <c r="X3644" s="41" t="str">
        <f t="shared" si="310"/>
        <v/>
      </c>
    </row>
    <row r="3645" s="32" customFormat="1" hidden="1" customHeight="1" spans="1:24">
      <c r="A3645" s="34"/>
      <c r="B3645" s="51"/>
      <c r="C3645" s="51"/>
      <c r="D3645" s="52"/>
      <c r="E3645" s="53"/>
      <c r="F3645" s="54"/>
      <c r="G3645" s="54"/>
      <c r="H3645" s="54"/>
      <c r="I3645" s="66"/>
      <c r="J3645" s="54"/>
      <c r="K3645" s="54"/>
      <c r="L3645" s="54"/>
      <c r="M3645" s="97" t="str">
        <f t="shared" si="307"/>
        <v/>
      </c>
      <c r="N3645" s="70"/>
      <c r="O3645" s="71" t="str">
        <f t="shared" si="311"/>
        <v/>
      </c>
      <c r="P3645" s="66"/>
      <c r="Q3645" s="66"/>
      <c r="R3645" s="54"/>
      <c r="S3645" s="82"/>
      <c r="T3645" s="83" t="str">
        <f t="shared" si="308"/>
        <v/>
      </c>
      <c r="U3645" s="10"/>
      <c r="V3645" s="41">
        <f>IF(AND(Q3645&lt;&gt;"",RIGHT(Q3645,3)&lt;&gt;""),IF(COUNTIF($Q$6:Q3645,Q3645)=1,1,0),0)</f>
        <v>0</v>
      </c>
      <c r="W3645" s="41" t="str">
        <f t="shared" si="309"/>
        <v/>
      </c>
      <c r="X3645" s="41" t="str">
        <f t="shared" si="310"/>
        <v/>
      </c>
    </row>
    <row r="3646" s="32" customFormat="1" hidden="1" customHeight="1" spans="1:24">
      <c r="A3646" s="34"/>
      <c r="B3646" s="51"/>
      <c r="C3646" s="51"/>
      <c r="D3646" s="52"/>
      <c r="E3646" s="53"/>
      <c r="F3646" s="54"/>
      <c r="G3646" s="54"/>
      <c r="H3646" s="54"/>
      <c r="I3646" s="66"/>
      <c r="J3646" s="54"/>
      <c r="K3646" s="54"/>
      <c r="L3646" s="54"/>
      <c r="M3646" s="97" t="str">
        <f t="shared" si="307"/>
        <v/>
      </c>
      <c r="N3646" s="70"/>
      <c r="O3646" s="71" t="str">
        <f t="shared" si="311"/>
        <v/>
      </c>
      <c r="P3646" s="66"/>
      <c r="Q3646" s="66"/>
      <c r="R3646" s="54"/>
      <c r="S3646" s="82"/>
      <c r="T3646" s="83" t="str">
        <f t="shared" si="308"/>
        <v/>
      </c>
      <c r="U3646" s="10"/>
      <c r="V3646" s="41">
        <f>IF(AND(Q3646&lt;&gt;"",RIGHT(Q3646,3)&lt;&gt;""),IF(COUNTIF($Q$6:Q3646,Q3646)=1,1,0),0)</f>
        <v>0</v>
      </c>
      <c r="W3646" s="41" t="str">
        <f t="shared" si="309"/>
        <v/>
      </c>
      <c r="X3646" s="41" t="str">
        <f t="shared" si="310"/>
        <v/>
      </c>
    </row>
    <row r="3647" s="32" customFormat="1" hidden="1" customHeight="1" spans="1:24">
      <c r="A3647" s="34"/>
      <c r="B3647" s="51"/>
      <c r="C3647" s="51"/>
      <c r="D3647" s="52"/>
      <c r="E3647" s="53"/>
      <c r="F3647" s="54"/>
      <c r="G3647" s="54"/>
      <c r="H3647" s="54"/>
      <c r="I3647" s="66"/>
      <c r="J3647" s="54"/>
      <c r="K3647" s="54"/>
      <c r="L3647" s="54"/>
      <c r="M3647" s="97" t="str">
        <f t="shared" si="307"/>
        <v/>
      </c>
      <c r="N3647" s="70"/>
      <c r="O3647" s="71" t="str">
        <f t="shared" si="311"/>
        <v/>
      </c>
      <c r="P3647" s="66"/>
      <c r="Q3647" s="66"/>
      <c r="R3647" s="54"/>
      <c r="S3647" s="82"/>
      <c r="T3647" s="83" t="str">
        <f t="shared" si="308"/>
        <v/>
      </c>
      <c r="U3647" s="10"/>
      <c r="V3647" s="41">
        <f>IF(AND(Q3647&lt;&gt;"",RIGHT(Q3647,3)&lt;&gt;""),IF(COUNTIF($Q$6:Q3647,Q3647)=1,1,0),0)</f>
        <v>0</v>
      </c>
      <c r="W3647" s="41" t="str">
        <f t="shared" si="309"/>
        <v/>
      </c>
      <c r="X3647" s="41" t="str">
        <f t="shared" si="310"/>
        <v/>
      </c>
    </row>
    <row r="3648" s="32" customFormat="1" hidden="1" customHeight="1" spans="1:24">
      <c r="A3648" s="34"/>
      <c r="B3648" s="51"/>
      <c r="C3648" s="51"/>
      <c r="D3648" s="52"/>
      <c r="E3648" s="53"/>
      <c r="F3648" s="54"/>
      <c r="G3648" s="54"/>
      <c r="H3648" s="54"/>
      <c r="I3648" s="66"/>
      <c r="J3648" s="54"/>
      <c r="K3648" s="54"/>
      <c r="L3648" s="54"/>
      <c r="M3648" s="97" t="str">
        <f t="shared" si="307"/>
        <v/>
      </c>
      <c r="N3648" s="70"/>
      <c r="O3648" s="71" t="str">
        <f t="shared" si="311"/>
        <v/>
      </c>
      <c r="P3648" s="66"/>
      <c r="Q3648" s="66"/>
      <c r="R3648" s="54"/>
      <c r="S3648" s="82"/>
      <c r="T3648" s="83" t="str">
        <f t="shared" si="308"/>
        <v/>
      </c>
      <c r="U3648" s="10"/>
      <c r="V3648" s="41">
        <f>IF(AND(Q3648&lt;&gt;"",RIGHT(Q3648,3)&lt;&gt;""),IF(COUNTIF($Q$6:Q3648,Q3648)=1,1,0),0)</f>
        <v>0</v>
      </c>
      <c r="W3648" s="41" t="str">
        <f t="shared" si="309"/>
        <v/>
      </c>
      <c r="X3648" s="41" t="str">
        <f t="shared" si="310"/>
        <v/>
      </c>
    </row>
    <row r="3649" s="32" customFormat="1" hidden="1" customHeight="1" spans="1:24">
      <c r="A3649" s="34"/>
      <c r="B3649" s="51"/>
      <c r="C3649" s="51"/>
      <c r="D3649" s="52"/>
      <c r="E3649" s="53"/>
      <c r="F3649" s="54"/>
      <c r="G3649" s="54"/>
      <c r="H3649" s="54"/>
      <c r="I3649" s="66"/>
      <c r="J3649" s="54"/>
      <c r="K3649" s="54"/>
      <c r="L3649" s="54"/>
      <c r="M3649" s="97" t="str">
        <f t="shared" si="307"/>
        <v/>
      </c>
      <c r="N3649" s="70"/>
      <c r="O3649" s="71" t="str">
        <f t="shared" si="311"/>
        <v/>
      </c>
      <c r="P3649" s="66"/>
      <c r="Q3649" s="66"/>
      <c r="R3649" s="54"/>
      <c r="S3649" s="82"/>
      <c r="T3649" s="83" t="str">
        <f t="shared" si="308"/>
        <v/>
      </c>
      <c r="U3649" s="10"/>
      <c r="V3649" s="41">
        <f>IF(AND(Q3649&lt;&gt;"",RIGHT(Q3649,3)&lt;&gt;""),IF(COUNTIF($Q$6:Q3649,Q3649)=1,1,0),0)</f>
        <v>0</v>
      </c>
      <c r="W3649" s="41" t="str">
        <f t="shared" si="309"/>
        <v/>
      </c>
      <c r="X3649" s="41" t="str">
        <f t="shared" si="310"/>
        <v/>
      </c>
    </row>
    <row r="3650" s="32" customFormat="1" hidden="1" customHeight="1" spans="1:24">
      <c r="A3650" s="34"/>
      <c r="B3650" s="51"/>
      <c r="C3650" s="51"/>
      <c r="D3650" s="52"/>
      <c r="E3650" s="53"/>
      <c r="F3650" s="54"/>
      <c r="G3650" s="54"/>
      <c r="H3650" s="54"/>
      <c r="I3650" s="66"/>
      <c r="J3650" s="54"/>
      <c r="K3650" s="54"/>
      <c r="L3650" s="54"/>
      <c r="M3650" s="97" t="str">
        <f t="shared" si="307"/>
        <v/>
      </c>
      <c r="N3650" s="70"/>
      <c r="O3650" s="71" t="str">
        <f t="shared" si="311"/>
        <v/>
      </c>
      <c r="P3650" s="66"/>
      <c r="Q3650" s="66"/>
      <c r="R3650" s="54"/>
      <c r="S3650" s="82"/>
      <c r="T3650" s="83" t="str">
        <f t="shared" si="308"/>
        <v/>
      </c>
      <c r="U3650" s="10"/>
      <c r="V3650" s="41">
        <f>IF(AND(Q3650&lt;&gt;"",RIGHT(Q3650,3)&lt;&gt;""),IF(COUNTIF($Q$6:Q3650,Q3650)=1,1,0),0)</f>
        <v>0</v>
      </c>
      <c r="W3650" s="41" t="str">
        <f t="shared" si="309"/>
        <v/>
      </c>
      <c r="X3650" s="41" t="str">
        <f t="shared" si="310"/>
        <v/>
      </c>
    </row>
    <row r="3651" s="32" customFormat="1" hidden="1" customHeight="1" spans="1:24">
      <c r="A3651" s="34"/>
      <c r="B3651" s="51"/>
      <c r="C3651" s="51"/>
      <c r="D3651" s="52"/>
      <c r="E3651" s="53"/>
      <c r="F3651" s="54"/>
      <c r="G3651" s="54"/>
      <c r="H3651" s="54"/>
      <c r="I3651" s="66"/>
      <c r="J3651" s="54"/>
      <c r="K3651" s="54"/>
      <c r="L3651" s="54"/>
      <c r="M3651" s="97" t="str">
        <f t="shared" si="307"/>
        <v/>
      </c>
      <c r="N3651" s="70"/>
      <c r="O3651" s="71" t="str">
        <f t="shared" si="311"/>
        <v/>
      </c>
      <c r="P3651" s="66"/>
      <c r="Q3651" s="66"/>
      <c r="R3651" s="54"/>
      <c r="S3651" s="82"/>
      <c r="T3651" s="83" t="str">
        <f t="shared" si="308"/>
        <v/>
      </c>
      <c r="U3651" s="10"/>
      <c r="V3651" s="41">
        <f>IF(AND(Q3651&lt;&gt;"",RIGHT(Q3651,3)&lt;&gt;""),IF(COUNTIF($Q$6:Q3651,Q3651)=1,1,0),0)</f>
        <v>0</v>
      </c>
      <c r="W3651" s="41" t="str">
        <f t="shared" si="309"/>
        <v/>
      </c>
      <c r="X3651" s="41" t="str">
        <f t="shared" si="310"/>
        <v/>
      </c>
    </row>
    <row r="3652" s="32" customFormat="1" hidden="1" customHeight="1" spans="1:24">
      <c r="A3652" s="34"/>
      <c r="B3652" s="51"/>
      <c r="C3652" s="51"/>
      <c r="D3652" s="52"/>
      <c r="E3652" s="53"/>
      <c r="F3652" s="54"/>
      <c r="G3652" s="54"/>
      <c r="H3652" s="54"/>
      <c r="I3652" s="66"/>
      <c r="J3652" s="54"/>
      <c r="K3652" s="54"/>
      <c r="L3652" s="54"/>
      <c r="M3652" s="97" t="str">
        <f t="shared" si="307"/>
        <v/>
      </c>
      <c r="N3652" s="70"/>
      <c r="O3652" s="71" t="str">
        <f t="shared" si="311"/>
        <v/>
      </c>
      <c r="P3652" s="66"/>
      <c r="Q3652" s="66"/>
      <c r="R3652" s="54"/>
      <c r="S3652" s="82"/>
      <c r="T3652" s="83" t="str">
        <f t="shared" si="308"/>
        <v/>
      </c>
      <c r="U3652" s="10"/>
      <c r="V3652" s="41">
        <f>IF(AND(Q3652&lt;&gt;"",RIGHT(Q3652,3)&lt;&gt;""),IF(COUNTIF($Q$6:Q3652,Q3652)=1,1,0),0)</f>
        <v>0</v>
      </c>
      <c r="W3652" s="41" t="str">
        <f t="shared" si="309"/>
        <v/>
      </c>
      <c r="X3652" s="41" t="str">
        <f t="shared" si="310"/>
        <v/>
      </c>
    </row>
    <row r="3653" s="32" customFormat="1" hidden="1" customHeight="1" spans="1:24">
      <c r="A3653" s="34"/>
      <c r="B3653" s="51"/>
      <c r="C3653" s="51"/>
      <c r="D3653" s="52"/>
      <c r="E3653" s="53"/>
      <c r="F3653" s="54"/>
      <c r="G3653" s="54"/>
      <c r="H3653" s="54"/>
      <c r="I3653" s="66"/>
      <c r="J3653" s="54"/>
      <c r="K3653" s="54"/>
      <c r="L3653" s="54"/>
      <c r="M3653" s="97" t="str">
        <f t="shared" si="307"/>
        <v/>
      </c>
      <c r="N3653" s="70"/>
      <c r="O3653" s="71" t="str">
        <f t="shared" si="311"/>
        <v/>
      </c>
      <c r="P3653" s="66"/>
      <c r="Q3653" s="66"/>
      <c r="R3653" s="54"/>
      <c r="S3653" s="82"/>
      <c r="T3653" s="83" t="str">
        <f t="shared" si="308"/>
        <v/>
      </c>
      <c r="U3653" s="10"/>
      <c r="V3653" s="41">
        <f>IF(AND(Q3653&lt;&gt;"",RIGHT(Q3653,3)&lt;&gt;""),IF(COUNTIF($Q$6:Q3653,Q3653)=1,1,0),0)</f>
        <v>0</v>
      </c>
      <c r="W3653" s="41" t="str">
        <f t="shared" si="309"/>
        <v/>
      </c>
      <c r="X3653" s="41" t="str">
        <f t="shared" si="310"/>
        <v/>
      </c>
    </row>
    <row r="3654" s="32" customFormat="1" hidden="1" customHeight="1" spans="1:24">
      <c r="A3654" s="34"/>
      <c r="B3654" s="51"/>
      <c r="C3654" s="51"/>
      <c r="D3654" s="52"/>
      <c r="E3654" s="53"/>
      <c r="F3654" s="54"/>
      <c r="G3654" s="54"/>
      <c r="H3654" s="54"/>
      <c r="I3654" s="66"/>
      <c r="J3654" s="54"/>
      <c r="K3654" s="54"/>
      <c r="L3654" s="54"/>
      <c r="M3654" s="97" t="str">
        <f t="shared" si="307"/>
        <v/>
      </c>
      <c r="N3654" s="70"/>
      <c r="O3654" s="71" t="str">
        <f t="shared" si="311"/>
        <v/>
      </c>
      <c r="P3654" s="66"/>
      <c r="Q3654" s="66"/>
      <c r="R3654" s="54"/>
      <c r="S3654" s="82"/>
      <c r="T3654" s="83" t="str">
        <f t="shared" si="308"/>
        <v/>
      </c>
      <c r="U3654" s="10"/>
      <c r="V3654" s="41">
        <f>IF(AND(Q3654&lt;&gt;"",RIGHT(Q3654,3)&lt;&gt;""),IF(COUNTIF($Q$6:Q3654,Q3654)=1,1,0),0)</f>
        <v>0</v>
      </c>
      <c r="W3654" s="41" t="str">
        <f t="shared" si="309"/>
        <v/>
      </c>
      <c r="X3654" s="41" t="str">
        <f t="shared" si="310"/>
        <v/>
      </c>
    </row>
    <row r="3655" s="32" customFormat="1" hidden="1" customHeight="1" spans="1:24">
      <c r="A3655" s="34"/>
      <c r="B3655" s="51"/>
      <c r="C3655" s="51"/>
      <c r="D3655" s="52"/>
      <c r="E3655" s="53"/>
      <c r="F3655" s="54"/>
      <c r="G3655" s="54"/>
      <c r="H3655" s="54"/>
      <c r="I3655" s="66"/>
      <c r="J3655" s="54"/>
      <c r="K3655" s="54"/>
      <c r="L3655" s="54"/>
      <c r="M3655" s="97" t="str">
        <f t="shared" si="307"/>
        <v/>
      </c>
      <c r="N3655" s="70"/>
      <c r="O3655" s="71" t="str">
        <f t="shared" si="311"/>
        <v/>
      </c>
      <c r="P3655" s="66"/>
      <c r="Q3655" s="66"/>
      <c r="R3655" s="54"/>
      <c r="S3655" s="82"/>
      <c r="T3655" s="83" t="str">
        <f t="shared" si="308"/>
        <v/>
      </c>
      <c r="U3655" s="10"/>
      <c r="V3655" s="41">
        <f>IF(AND(Q3655&lt;&gt;"",RIGHT(Q3655,3)&lt;&gt;""),IF(COUNTIF($Q$6:Q3655,Q3655)=1,1,0),0)</f>
        <v>0</v>
      </c>
      <c r="W3655" s="41" t="str">
        <f t="shared" si="309"/>
        <v/>
      </c>
      <c r="X3655" s="41" t="str">
        <f t="shared" si="310"/>
        <v/>
      </c>
    </row>
    <row r="3656" s="32" customFormat="1" hidden="1" customHeight="1" spans="1:24">
      <c r="A3656" s="34"/>
      <c r="B3656" s="51"/>
      <c r="C3656" s="51"/>
      <c r="D3656" s="52"/>
      <c r="E3656" s="53"/>
      <c r="F3656" s="54"/>
      <c r="G3656" s="54"/>
      <c r="H3656" s="54"/>
      <c r="I3656" s="66"/>
      <c r="J3656" s="54"/>
      <c r="K3656" s="54"/>
      <c r="L3656" s="54"/>
      <c r="M3656" s="97" t="str">
        <f t="shared" si="307"/>
        <v/>
      </c>
      <c r="N3656" s="70"/>
      <c r="O3656" s="71" t="str">
        <f t="shared" si="311"/>
        <v/>
      </c>
      <c r="P3656" s="66"/>
      <c r="Q3656" s="66"/>
      <c r="R3656" s="54"/>
      <c r="S3656" s="82"/>
      <c r="T3656" s="83" t="str">
        <f t="shared" si="308"/>
        <v/>
      </c>
      <c r="U3656" s="10"/>
      <c r="V3656" s="41">
        <f>IF(AND(Q3656&lt;&gt;"",RIGHT(Q3656,3)&lt;&gt;""),IF(COUNTIF($Q$6:Q3656,Q3656)=1,1,0),0)</f>
        <v>0</v>
      </c>
      <c r="W3656" s="41" t="str">
        <f t="shared" si="309"/>
        <v/>
      </c>
      <c r="X3656" s="41" t="str">
        <f t="shared" si="310"/>
        <v/>
      </c>
    </row>
    <row r="3657" s="32" customFormat="1" hidden="1" customHeight="1" spans="1:24">
      <c r="A3657" s="34"/>
      <c r="B3657" s="51"/>
      <c r="C3657" s="51"/>
      <c r="D3657" s="52"/>
      <c r="E3657" s="53"/>
      <c r="F3657" s="54"/>
      <c r="G3657" s="54"/>
      <c r="H3657" s="54"/>
      <c r="I3657" s="66"/>
      <c r="J3657" s="54"/>
      <c r="K3657" s="54"/>
      <c r="L3657" s="54"/>
      <c r="M3657" s="97" t="str">
        <f t="shared" si="307"/>
        <v/>
      </c>
      <c r="N3657" s="70"/>
      <c r="O3657" s="71" t="str">
        <f t="shared" si="311"/>
        <v/>
      </c>
      <c r="P3657" s="66"/>
      <c r="Q3657" s="66"/>
      <c r="R3657" s="54"/>
      <c r="S3657" s="82"/>
      <c r="T3657" s="83" t="str">
        <f t="shared" si="308"/>
        <v/>
      </c>
      <c r="U3657" s="10"/>
      <c r="V3657" s="41">
        <f>IF(AND(Q3657&lt;&gt;"",RIGHT(Q3657,3)&lt;&gt;""),IF(COUNTIF($Q$6:Q3657,Q3657)=1,1,0),0)</f>
        <v>0</v>
      </c>
      <c r="W3657" s="41" t="str">
        <f t="shared" si="309"/>
        <v/>
      </c>
      <c r="X3657" s="41" t="str">
        <f t="shared" si="310"/>
        <v/>
      </c>
    </row>
    <row r="3658" s="32" customFormat="1" hidden="1" customHeight="1" spans="1:24">
      <c r="A3658" s="34"/>
      <c r="B3658" s="51"/>
      <c r="C3658" s="51"/>
      <c r="D3658" s="52"/>
      <c r="E3658" s="53"/>
      <c r="F3658" s="54"/>
      <c r="G3658" s="54"/>
      <c r="H3658" s="54"/>
      <c r="I3658" s="66"/>
      <c r="J3658" s="54"/>
      <c r="K3658" s="54"/>
      <c r="L3658" s="54"/>
      <c r="M3658" s="97" t="str">
        <f t="shared" si="307"/>
        <v/>
      </c>
      <c r="N3658" s="70"/>
      <c r="O3658" s="71" t="str">
        <f t="shared" si="311"/>
        <v/>
      </c>
      <c r="P3658" s="66"/>
      <c r="Q3658" s="66"/>
      <c r="R3658" s="54"/>
      <c r="S3658" s="82"/>
      <c r="T3658" s="83" t="str">
        <f t="shared" si="308"/>
        <v/>
      </c>
      <c r="U3658" s="10"/>
      <c r="V3658" s="41">
        <f>IF(AND(Q3658&lt;&gt;"",RIGHT(Q3658,3)&lt;&gt;""),IF(COUNTIF($Q$6:Q3658,Q3658)=1,1,0),0)</f>
        <v>0</v>
      </c>
      <c r="W3658" s="41" t="str">
        <f t="shared" si="309"/>
        <v/>
      </c>
      <c r="X3658" s="41" t="str">
        <f t="shared" si="310"/>
        <v/>
      </c>
    </row>
    <row r="3659" s="32" customFormat="1" hidden="1" customHeight="1" spans="1:24">
      <c r="A3659" s="34"/>
      <c r="B3659" s="51"/>
      <c r="C3659" s="51"/>
      <c r="D3659" s="52"/>
      <c r="E3659" s="53"/>
      <c r="F3659" s="54"/>
      <c r="G3659" s="54"/>
      <c r="H3659" s="54"/>
      <c r="I3659" s="66"/>
      <c r="J3659" s="54"/>
      <c r="K3659" s="54"/>
      <c r="L3659" s="54"/>
      <c r="M3659" s="97" t="str">
        <f t="shared" si="307"/>
        <v/>
      </c>
      <c r="N3659" s="70"/>
      <c r="O3659" s="71" t="str">
        <f t="shared" si="311"/>
        <v/>
      </c>
      <c r="P3659" s="66"/>
      <c r="Q3659" s="66"/>
      <c r="R3659" s="54"/>
      <c r="S3659" s="82"/>
      <c r="T3659" s="83" t="str">
        <f t="shared" si="308"/>
        <v/>
      </c>
      <c r="U3659" s="10"/>
      <c r="V3659" s="41">
        <f>IF(AND(Q3659&lt;&gt;"",RIGHT(Q3659,3)&lt;&gt;""),IF(COUNTIF($Q$6:Q3659,Q3659)=1,1,0),0)</f>
        <v>0</v>
      </c>
      <c r="W3659" s="41" t="str">
        <f t="shared" si="309"/>
        <v/>
      </c>
      <c r="X3659" s="41" t="str">
        <f t="shared" si="310"/>
        <v/>
      </c>
    </row>
    <row r="3660" s="32" customFormat="1" hidden="1" customHeight="1" spans="1:24">
      <c r="A3660" s="34"/>
      <c r="B3660" s="51"/>
      <c r="C3660" s="51"/>
      <c r="D3660" s="52"/>
      <c r="E3660" s="53"/>
      <c r="F3660" s="54"/>
      <c r="G3660" s="54"/>
      <c r="H3660" s="54"/>
      <c r="I3660" s="66"/>
      <c r="J3660" s="54"/>
      <c r="K3660" s="54"/>
      <c r="L3660" s="54"/>
      <c r="M3660" s="97" t="str">
        <f t="shared" si="307"/>
        <v/>
      </c>
      <c r="N3660" s="70"/>
      <c r="O3660" s="71" t="str">
        <f t="shared" si="311"/>
        <v/>
      </c>
      <c r="P3660" s="66"/>
      <c r="Q3660" s="66"/>
      <c r="R3660" s="54"/>
      <c r="S3660" s="82"/>
      <c r="T3660" s="83" t="str">
        <f t="shared" si="308"/>
        <v/>
      </c>
      <c r="U3660" s="10"/>
      <c r="V3660" s="41">
        <f>IF(AND(Q3660&lt;&gt;"",RIGHT(Q3660,3)&lt;&gt;""),IF(COUNTIF($Q$6:Q3660,Q3660)=1,1,0),0)</f>
        <v>0</v>
      </c>
      <c r="W3660" s="41" t="str">
        <f t="shared" si="309"/>
        <v/>
      </c>
      <c r="X3660" s="41" t="str">
        <f t="shared" si="310"/>
        <v/>
      </c>
    </row>
    <row r="3661" s="32" customFormat="1" hidden="1" customHeight="1" spans="1:24">
      <c r="A3661" s="34"/>
      <c r="B3661" s="51"/>
      <c r="C3661" s="51"/>
      <c r="D3661" s="52"/>
      <c r="E3661" s="53"/>
      <c r="F3661" s="54"/>
      <c r="G3661" s="54"/>
      <c r="H3661" s="54"/>
      <c r="I3661" s="66"/>
      <c r="J3661" s="54"/>
      <c r="K3661" s="54"/>
      <c r="L3661" s="54"/>
      <c r="M3661" s="97" t="str">
        <f t="shared" si="307"/>
        <v/>
      </c>
      <c r="N3661" s="70"/>
      <c r="O3661" s="71" t="str">
        <f t="shared" si="311"/>
        <v/>
      </c>
      <c r="P3661" s="66"/>
      <c r="Q3661" s="66"/>
      <c r="R3661" s="54"/>
      <c r="S3661" s="82"/>
      <c r="T3661" s="83" t="str">
        <f t="shared" si="308"/>
        <v/>
      </c>
      <c r="U3661" s="10"/>
      <c r="V3661" s="41">
        <f>IF(AND(Q3661&lt;&gt;"",RIGHT(Q3661,3)&lt;&gt;""),IF(COUNTIF($Q$6:Q3661,Q3661)=1,1,0),0)</f>
        <v>0</v>
      </c>
      <c r="W3661" s="41" t="str">
        <f t="shared" si="309"/>
        <v/>
      </c>
      <c r="X3661" s="41" t="str">
        <f t="shared" si="310"/>
        <v/>
      </c>
    </row>
    <row r="3662" s="32" customFormat="1" hidden="1" customHeight="1" spans="1:24">
      <c r="A3662" s="34"/>
      <c r="B3662" s="51"/>
      <c r="C3662" s="51"/>
      <c r="D3662" s="52"/>
      <c r="E3662" s="53"/>
      <c r="F3662" s="54"/>
      <c r="G3662" s="54"/>
      <c r="H3662" s="54"/>
      <c r="I3662" s="66"/>
      <c r="J3662" s="54"/>
      <c r="K3662" s="54"/>
      <c r="L3662" s="54"/>
      <c r="M3662" s="97" t="str">
        <f t="shared" si="307"/>
        <v/>
      </c>
      <c r="N3662" s="70"/>
      <c r="O3662" s="71" t="str">
        <f t="shared" si="311"/>
        <v/>
      </c>
      <c r="P3662" s="66"/>
      <c r="Q3662" s="66"/>
      <c r="R3662" s="54"/>
      <c r="S3662" s="82"/>
      <c r="T3662" s="83" t="str">
        <f t="shared" si="308"/>
        <v/>
      </c>
      <c r="U3662" s="10"/>
      <c r="V3662" s="41">
        <f>IF(AND(Q3662&lt;&gt;"",RIGHT(Q3662,3)&lt;&gt;""),IF(COUNTIF($Q$6:Q3662,Q3662)=1,1,0),0)</f>
        <v>0</v>
      </c>
      <c r="W3662" s="41" t="str">
        <f t="shared" si="309"/>
        <v/>
      </c>
      <c r="X3662" s="41" t="str">
        <f t="shared" si="310"/>
        <v/>
      </c>
    </row>
    <row r="3663" s="32" customFormat="1" hidden="1" customHeight="1" spans="1:24">
      <c r="A3663" s="34"/>
      <c r="B3663" s="51"/>
      <c r="C3663" s="51"/>
      <c r="D3663" s="52"/>
      <c r="E3663" s="53"/>
      <c r="F3663" s="54"/>
      <c r="G3663" s="54"/>
      <c r="H3663" s="54"/>
      <c r="I3663" s="66"/>
      <c r="J3663" s="54"/>
      <c r="K3663" s="54"/>
      <c r="L3663" s="54"/>
      <c r="M3663" s="97" t="str">
        <f t="shared" si="307"/>
        <v/>
      </c>
      <c r="N3663" s="70"/>
      <c r="O3663" s="71" t="str">
        <f t="shared" si="311"/>
        <v/>
      </c>
      <c r="P3663" s="66"/>
      <c r="Q3663" s="66"/>
      <c r="R3663" s="54"/>
      <c r="S3663" s="82"/>
      <c r="T3663" s="83" t="str">
        <f t="shared" si="308"/>
        <v/>
      </c>
      <c r="U3663" s="10"/>
      <c r="V3663" s="41">
        <f>IF(AND(Q3663&lt;&gt;"",RIGHT(Q3663,3)&lt;&gt;""),IF(COUNTIF($Q$6:Q3663,Q3663)=1,1,0),0)</f>
        <v>0</v>
      </c>
      <c r="W3663" s="41" t="str">
        <f t="shared" si="309"/>
        <v/>
      </c>
      <c r="X3663" s="41" t="str">
        <f t="shared" si="310"/>
        <v/>
      </c>
    </row>
    <row r="3664" s="32" customFormat="1" hidden="1" customHeight="1" spans="1:24">
      <c r="A3664" s="34"/>
      <c r="B3664" s="51"/>
      <c r="C3664" s="51"/>
      <c r="D3664" s="52"/>
      <c r="E3664" s="53"/>
      <c r="F3664" s="54"/>
      <c r="G3664" s="54"/>
      <c r="H3664" s="54"/>
      <c r="I3664" s="66"/>
      <c r="J3664" s="54"/>
      <c r="K3664" s="54"/>
      <c r="L3664" s="54"/>
      <c r="M3664" s="97" t="str">
        <f t="shared" si="307"/>
        <v/>
      </c>
      <c r="N3664" s="70"/>
      <c r="O3664" s="71" t="str">
        <f t="shared" si="311"/>
        <v/>
      </c>
      <c r="P3664" s="66"/>
      <c r="Q3664" s="66"/>
      <c r="R3664" s="54"/>
      <c r="S3664" s="82"/>
      <c r="T3664" s="83" t="str">
        <f t="shared" si="308"/>
        <v/>
      </c>
      <c r="U3664" s="10"/>
      <c r="V3664" s="41">
        <f>IF(AND(Q3664&lt;&gt;"",RIGHT(Q3664,3)&lt;&gt;""),IF(COUNTIF($Q$6:Q3664,Q3664)=1,1,0),0)</f>
        <v>0</v>
      </c>
      <c r="W3664" s="41" t="str">
        <f t="shared" si="309"/>
        <v/>
      </c>
      <c r="X3664" s="41" t="str">
        <f t="shared" si="310"/>
        <v/>
      </c>
    </row>
    <row r="3665" s="32" customFormat="1" hidden="1" customHeight="1" spans="1:24">
      <c r="A3665" s="34"/>
      <c r="B3665" s="51"/>
      <c r="C3665" s="51"/>
      <c r="D3665" s="52"/>
      <c r="E3665" s="53"/>
      <c r="F3665" s="54"/>
      <c r="G3665" s="54"/>
      <c r="H3665" s="54"/>
      <c r="I3665" s="66"/>
      <c r="J3665" s="54"/>
      <c r="K3665" s="54"/>
      <c r="L3665" s="54"/>
      <c r="M3665" s="97" t="str">
        <f t="shared" si="307"/>
        <v/>
      </c>
      <c r="N3665" s="70"/>
      <c r="O3665" s="71" t="str">
        <f t="shared" si="311"/>
        <v/>
      </c>
      <c r="P3665" s="66"/>
      <c r="Q3665" s="66"/>
      <c r="R3665" s="54"/>
      <c r="S3665" s="82"/>
      <c r="T3665" s="83" t="str">
        <f t="shared" si="308"/>
        <v/>
      </c>
      <c r="U3665" s="10"/>
      <c r="V3665" s="41">
        <f>IF(AND(Q3665&lt;&gt;"",RIGHT(Q3665,3)&lt;&gt;""),IF(COUNTIF($Q$6:Q3665,Q3665)=1,1,0),0)</f>
        <v>0</v>
      </c>
      <c r="W3665" s="41" t="str">
        <f t="shared" si="309"/>
        <v/>
      </c>
      <c r="X3665" s="41" t="str">
        <f t="shared" si="310"/>
        <v/>
      </c>
    </row>
    <row r="3666" s="32" customFormat="1" hidden="1" customHeight="1" spans="1:24">
      <c r="A3666" s="34"/>
      <c r="B3666" s="51"/>
      <c r="C3666" s="51"/>
      <c r="D3666" s="52"/>
      <c r="E3666" s="53"/>
      <c r="F3666" s="54"/>
      <c r="G3666" s="54"/>
      <c r="H3666" s="54"/>
      <c r="I3666" s="66"/>
      <c r="J3666" s="54"/>
      <c r="K3666" s="54"/>
      <c r="L3666" s="54"/>
      <c r="M3666" s="97" t="str">
        <f t="shared" si="307"/>
        <v/>
      </c>
      <c r="N3666" s="70"/>
      <c r="O3666" s="71" t="str">
        <f t="shared" si="311"/>
        <v/>
      </c>
      <c r="P3666" s="66"/>
      <c r="Q3666" s="66"/>
      <c r="R3666" s="54"/>
      <c r="S3666" s="82"/>
      <c r="T3666" s="83" t="str">
        <f t="shared" si="308"/>
        <v/>
      </c>
      <c r="U3666" s="10"/>
      <c r="V3666" s="41">
        <f>IF(AND(Q3666&lt;&gt;"",RIGHT(Q3666,3)&lt;&gt;""),IF(COUNTIF($Q$6:Q3666,Q3666)=1,1,0),0)</f>
        <v>0</v>
      </c>
      <c r="W3666" s="41" t="str">
        <f t="shared" si="309"/>
        <v/>
      </c>
      <c r="X3666" s="41" t="str">
        <f t="shared" si="310"/>
        <v/>
      </c>
    </row>
    <row r="3667" s="32" customFormat="1" hidden="1" customHeight="1" spans="1:24">
      <c r="A3667" s="34"/>
      <c r="B3667" s="51"/>
      <c r="C3667" s="51"/>
      <c r="D3667" s="52"/>
      <c r="E3667" s="53"/>
      <c r="F3667" s="54"/>
      <c r="G3667" s="54"/>
      <c r="H3667" s="54"/>
      <c r="I3667" s="66"/>
      <c r="J3667" s="54"/>
      <c r="K3667" s="54"/>
      <c r="L3667" s="54"/>
      <c r="M3667" s="97" t="str">
        <f t="shared" si="307"/>
        <v/>
      </c>
      <c r="N3667" s="70"/>
      <c r="O3667" s="71" t="str">
        <f t="shared" si="311"/>
        <v/>
      </c>
      <c r="P3667" s="66"/>
      <c r="Q3667" s="66"/>
      <c r="R3667" s="54"/>
      <c r="S3667" s="82"/>
      <c r="T3667" s="83" t="str">
        <f t="shared" si="308"/>
        <v/>
      </c>
      <c r="U3667" s="10"/>
      <c r="V3667" s="41">
        <f>IF(AND(Q3667&lt;&gt;"",RIGHT(Q3667,3)&lt;&gt;""),IF(COUNTIF($Q$6:Q3667,Q3667)=1,1,0),0)</f>
        <v>0</v>
      </c>
      <c r="W3667" s="41" t="str">
        <f t="shared" si="309"/>
        <v/>
      </c>
      <c r="X3667" s="41" t="str">
        <f t="shared" si="310"/>
        <v/>
      </c>
    </row>
    <row r="3668" s="32" customFormat="1" hidden="1" customHeight="1" spans="1:24">
      <c r="A3668" s="34"/>
      <c r="B3668" s="51"/>
      <c r="C3668" s="51"/>
      <c r="D3668" s="52"/>
      <c r="E3668" s="53"/>
      <c r="F3668" s="54"/>
      <c r="G3668" s="54"/>
      <c r="H3668" s="54"/>
      <c r="I3668" s="66"/>
      <c r="J3668" s="54"/>
      <c r="K3668" s="54"/>
      <c r="L3668" s="54"/>
      <c r="M3668" s="97" t="str">
        <f t="shared" si="307"/>
        <v/>
      </c>
      <c r="N3668" s="70"/>
      <c r="O3668" s="71" t="str">
        <f t="shared" si="311"/>
        <v/>
      </c>
      <c r="P3668" s="66"/>
      <c r="Q3668" s="66"/>
      <c r="R3668" s="54"/>
      <c r="S3668" s="82"/>
      <c r="T3668" s="83" t="str">
        <f t="shared" si="308"/>
        <v/>
      </c>
      <c r="U3668" s="10"/>
      <c r="V3668" s="41">
        <f>IF(AND(Q3668&lt;&gt;"",RIGHT(Q3668,3)&lt;&gt;""),IF(COUNTIF($Q$6:Q3668,Q3668)=1,1,0),0)</f>
        <v>0</v>
      </c>
      <c r="W3668" s="41" t="str">
        <f t="shared" si="309"/>
        <v/>
      </c>
      <c r="X3668" s="41" t="str">
        <f t="shared" si="310"/>
        <v/>
      </c>
    </row>
    <row r="3669" s="32" customFormat="1" hidden="1" customHeight="1" spans="1:24">
      <c r="A3669" s="34"/>
      <c r="B3669" s="51"/>
      <c r="C3669" s="51"/>
      <c r="D3669" s="52"/>
      <c r="E3669" s="53"/>
      <c r="F3669" s="54"/>
      <c r="G3669" s="54"/>
      <c r="H3669" s="54"/>
      <c r="I3669" s="66"/>
      <c r="J3669" s="54"/>
      <c r="K3669" s="54"/>
      <c r="L3669" s="54"/>
      <c r="M3669" s="97" t="str">
        <f t="shared" si="307"/>
        <v/>
      </c>
      <c r="N3669" s="70"/>
      <c r="O3669" s="71" t="str">
        <f t="shared" si="311"/>
        <v/>
      </c>
      <c r="P3669" s="66"/>
      <c r="Q3669" s="66"/>
      <c r="R3669" s="54"/>
      <c r="S3669" s="82"/>
      <c r="T3669" s="83" t="str">
        <f t="shared" si="308"/>
        <v/>
      </c>
      <c r="U3669" s="10"/>
      <c r="V3669" s="41">
        <f>IF(AND(Q3669&lt;&gt;"",RIGHT(Q3669,3)&lt;&gt;""),IF(COUNTIF($Q$6:Q3669,Q3669)=1,1,0),0)</f>
        <v>0</v>
      </c>
      <c r="W3669" s="41" t="str">
        <f t="shared" si="309"/>
        <v/>
      </c>
      <c r="X3669" s="41" t="str">
        <f t="shared" si="310"/>
        <v/>
      </c>
    </row>
    <row r="3670" s="32" customFormat="1" hidden="1" customHeight="1" spans="1:24">
      <c r="A3670" s="34"/>
      <c r="B3670" s="51"/>
      <c r="C3670" s="51"/>
      <c r="D3670" s="52"/>
      <c r="E3670" s="53"/>
      <c r="F3670" s="54"/>
      <c r="G3670" s="54"/>
      <c r="H3670" s="54"/>
      <c r="I3670" s="66"/>
      <c r="J3670" s="54"/>
      <c r="K3670" s="54"/>
      <c r="L3670" s="54"/>
      <c r="M3670" s="97" t="str">
        <f t="shared" si="307"/>
        <v/>
      </c>
      <c r="N3670" s="70"/>
      <c r="O3670" s="71" t="str">
        <f t="shared" si="311"/>
        <v/>
      </c>
      <c r="P3670" s="66"/>
      <c r="Q3670" s="66"/>
      <c r="R3670" s="54"/>
      <c r="S3670" s="82"/>
      <c r="T3670" s="83" t="str">
        <f t="shared" si="308"/>
        <v/>
      </c>
      <c r="U3670" s="10"/>
      <c r="V3670" s="41">
        <f>IF(AND(Q3670&lt;&gt;"",RIGHT(Q3670,3)&lt;&gt;""),IF(COUNTIF($Q$6:Q3670,Q3670)=1,1,0),0)</f>
        <v>0</v>
      </c>
      <c r="W3670" s="41" t="str">
        <f t="shared" si="309"/>
        <v/>
      </c>
      <c r="X3670" s="41" t="str">
        <f t="shared" si="310"/>
        <v/>
      </c>
    </row>
    <row r="3671" s="32" customFormat="1" hidden="1" customHeight="1" spans="1:24">
      <c r="A3671" s="34"/>
      <c r="B3671" s="51"/>
      <c r="C3671" s="51"/>
      <c r="D3671" s="52"/>
      <c r="E3671" s="53"/>
      <c r="F3671" s="54"/>
      <c r="G3671" s="54"/>
      <c r="H3671" s="54"/>
      <c r="I3671" s="66"/>
      <c r="J3671" s="54"/>
      <c r="K3671" s="54"/>
      <c r="L3671" s="54"/>
      <c r="M3671" s="97" t="str">
        <f t="shared" si="307"/>
        <v/>
      </c>
      <c r="N3671" s="70"/>
      <c r="O3671" s="71" t="str">
        <f t="shared" si="311"/>
        <v/>
      </c>
      <c r="P3671" s="66"/>
      <c r="Q3671" s="66"/>
      <c r="R3671" s="54"/>
      <c r="S3671" s="82"/>
      <c r="T3671" s="83" t="str">
        <f t="shared" si="308"/>
        <v/>
      </c>
      <c r="U3671" s="10"/>
      <c r="V3671" s="41">
        <f>IF(AND(Q3671&lt;&gt;"",RIGHT(Q3671,3)&lt;&gt;""),IF(COUNTIF($Q$6:Q3671,Q3671)=1,1,0),0)</f>
        <v>0</v>
      </c>
      <c r="W3671" s="41" t="str">
        <f t="shared" si="309"/>
        <v/>
      </c>
      <c r="X3671" s="41" t="str">
        <f t="shared" si="310"/>
        <v/>
      </c>
    </row>
    <row r="3672" s="32" customFormat="1" hidden="1" customHeight="1" spans="1:24">
      <c r="A3672" s="34"/>
      <c r="B3672" s="51"/>
      <c r="C3672" s="51"/>
      <c r="D3672" s="52"/>
      <c r="E3672" s="53"/>
      <c r="F3672" s="54"/>
      <c r="G3672" s="54"/>
      <c r="H3672" s="54"/>
      <c r="I3672" s="66"/>
      <c r="J3672" s="54"/>
      <c r="K3672" s="54"/>
      <c r="L3672" s="54"/>
      <c r="M3672" s="97" t="str">
        <f t="shared" si="307"/>
        <v/>
      </c>
      <c r="N3672" s="70"/>
      <c r="O3672" s="71" t="str">
        <f t="shared" si="311"/>
        <v/>
      </c>
      <c r="P3672" s="66"/>
      <c r="Q3672" s="66"/>
      <c r="R3672" s="54"/>
      <c r="S3672" s="82"/>
      <c r="T3672" s="83" t="str">
        <f t="shared" si="308"/>
        <v/>
      </c>
      <c r="U3672" s="10"/>
      <c r="V3672" s="41">
        <f>IF(AND(Q3672&lt;&gt;"",RIGHT(Q3672,3)&lt;&gt;""),IF(COUNTIF($Q$6:Q3672,Q3672)=1,1,0),0)</f>
        <v>0</v>
      </c>
      <c r="W3672" s="41" t="str">
        <f t="shared" si="309"/>
        <v/>
      </c>
      <c r="X3672" s="41" t="str">
        <f t="shared" si="310"/>
        <v/>
      </c>
    </row>
    <row r="3673" s="32" customFormat="1" hidden="1" customHeight="1" spans="1:24">
      <c r="A3673" s="34"/>
      <c r="B3673" s="51"/>
      <c r="C3673" s="51"/>
      <c r="D3673" s="52"/>
      <c r="E3673" s="53"/>
      <c r="F3673" s="54"/>
      <c r="G3673" s="54"/>
      <c r="H3673" s="54"/>
      <c r="I3673" s="66"/>
      <c r="J3673" s="54"/>
      <c r="K3673" s="54"/>
      <c r="L3673" s="54"/>
      <c r="M3673" s="97" t="str">
        <f t="shared" si="307"/>
        <v/>
      </c>
      <c r="N3673" s="70"/>
      <c r="O3673" s="71" t="str">
        <f t="shared" si="311"/>
        <v/>
      </c>
      <c r="P3673" s="66"/>
      <c r="Q3673" s="66"/>
      <c r="R3673" s="54"/>
      <c r="S3673" s="82"/>
      <c r="T3673" s="83" t="str">
        <f t="shared" si="308"/>
        <v/>
      </c>
      <c r="U3673" s="10"/>
      <c r="V3673" s="41">
        <f>IF(AND(Q3673&lt;&gt;"",RIGHT(Q3673,3)&lt;&gt;""),IF(COUNTIF($Q$6:Q3673,Q3673)=1,1,0),0)</f>
        <v>0</v>
      </c>
      <c r="W3673" s="41" t="str">
        <f t="shared" si="309"/>
        <v/>
      </c>
      <c r="X3673" s="41" t="str">
        <f t="shared" si="310"/>
        <v/>
      </c>
    </row>
    <row r="3674" s="32" customFormat="1" hidden="1" customHeight="1" spans="1:24">
      <c r="A3674" s="34"/>
      <c r="B3674" s="51"/>
      <c r="C3674" s="51"/>
      <c r="D3674" s="52"/>
      <c r="E3674" s="53"/>
      <c r="F3674" s="54"/>
      <c r="G3674" s="54"/>
      <c r="H3674" s="54"/>
      <c r="I3674" s="66"/>
      <c r="J3674" s="54"/>
      <c r="K3674" s="54"/>
      <c r="L3674" s="54"/>
      <c r="M3674" s="97" t="str">
        <f t="shared" si="307"/>
        <v/>
      </c>
      <c r="N3674" s="70"/>
      <c r="O3674" s="71" t="str">
        <f t="shared" si="311"/>
        <v/>
      </c>
      <c r="P3674" s="66"/>
      <c r="Q3674" s="66"/>
      <c r="R3674" s="54"/>
      <c r="S3674" s="82"/>
      <c r="T3674" s="83" t="str">
        <f t="shared" si="308"/>
        <v/>
      </c>
      <c r="U3674" s="10"/>
      <c r="V3674" s="41">
        <f>IF(AND(Q3674&lt;&gt;"",RIGHT(Q3674,3)&lt;&gt;""),IF(COUNTIF($Q$6:Q3674,Q3674)=1,1,0),0)</f>
        <v>0</v>
      </c>
      <c r="W3674" s="41" t="str">
        <f t="shared" si="309"/>
        <v/>
      </c>
      <c r="X3674" s="41" t="str">
        <f t="shared" si="310"/>
        <v/>
      </c>
    </row>
    <row r="3675" s="32" customFormat="1" hidden="1" customHeight="1" spans="1:24">
      <c r="A3675" s="34"/>
      <c r="B3675" s="51"/>
      <c r="C3675" s="51"/>
      <c r="D3675" s="52"/>
      <c r="E3675" s="53"/>
      <c r="F3675" s="54"/>
      <c r="G3675" s="54"/>
      <c r="H3675" s="54"/>
      <c r="I3675" s="66"/>
      <c r="J3675" s="54"/>
      <c r="K3675" s="54"/>
      <c r="L3675" s="54"/>
      <c r="M3675" s="97" t="str">
        <f t="shared" si="307"/>
        <v/>
      </c>
      <c r="N3675" s="70"/>
      <c r="O3675" s="71" t="str">
        <f t="shared" si="311"/>
        <v/>
      </c>
      <c r="P3675" s="66"/>
      <c r="Q3675" s="66"/>
      <c r="R3675" s="54"/>
      <c r="S3675" s="82"/>
      <c r="T3675" s="83" t="str">
        <f t="shared" si="308"/>
        <v/>
      </c>
      <c r="U3675" s="10"/>
      <c r="V3675" s="41">
        <f>IF(AND(Q3675&lt;&gt;"",RIGHT(Q3675,3)&lt;&gt;""),IF(COUNTIF($Q$6:Q3675,Q3675)=1,1,0),0)</f>
        <v>0</v>
      </c>
      <c r="W3675" s="41" t="str">
        <f t="shared" si="309"/>
        <v/>
      </c>
      <c r="X3675" s="41" t="str">
        <f t="shared" si="310"/>
        <v/>
      </c>
    </row>
    <row r="3676" s="32" customFormat="1" hidden="1" customHeight="1" spans="1:24">
      <c r="A3676" s="34"/>
      <c r="B3676" s="51"/>
      <c r="C3676" s="51"/>
      <c r="D3676" s="52"/>
      <c r="E3676" s="53"/>
      <c r="F3676" s="54"/>
      <c r="G3676" s="54"/>
      <c r="H3676" s="54"/>
      <c r="I3676" s="66"/>
      <c r="J3676" s="54"/>
      <c r="K3676" s="54"/>
      <c r="L3676" s="54"/>
      <c r="M3676" s="97" t="str">
        <f t="shared" si="307"/>
        <v/>
      </c>
      <c r="N3676" s="70"/>
      <c r="O3676" s="71" t="str">
        <f t="shared" si="311"/>
        <v/>
      </c>
      <c r="P3676" s="66"/>
      <c r="Q3676" s="66"/>
      <c r="R3676" s="54"/>
      <c r="S3676" s="82"/>
      <c r="T3676" s="83" t="str">
        <f t="shared" si="308"/>
        <v/>
      </c>
      <c r="U3676" s="10"/>
      <c r="V3676" s="41">
        <f>IF(AND(Q3676&lt;&gt;"",RIGHT(Q3676,3)&lt;&gt;""),IF(COUNTIF($Q$6:Q3676,Q3676)=1,1,0),0)</f>
        <v>0</v>
      </c>
      <c r="W3676" s="41" t="str">
        <f t="shared" si="309"/>
        <v/>
      </c>
      <c r="X3676" s="41" t="str">
        <f t="shared" si="310"/>
        <v/>
      </c>
    </row>
    <row r="3677" s="32" customFormat="1" hidden="1" customHeight="1" spans="1:24">
      <c r="A3677" s="34"/>
      <c r="B3677" s="51"/>
      <c r="C3677" s="51"/>
      <c r="D3677" s="52"/>
      <c r="E3677" s="53"/>
      <c r="F3677" s="54"/>
      <c r="G3677" s="54"/>
      <c r="H3677" s="54"/>
      <c r="I3677" s="66"/>
      <c r="J3677" s="54"/>
      <c r="K3677" s="54"/>
      <c r="L3677" s="54"/>
      <c r="M3677" s="97" t="str">
        <f t="shared" si="307"/>
        <v/>
      </c>
      <c r="N3677" s="70"/>
      <c r="O3677" s="71" t="str">
        <f t="shared" si="311"/>
        <v/>
      </c>
      <c r="P3677" s="66"/>
      <c r="Q3677" s="66"/>
      <c r="R3677" s="54"/>
      <c r="S3677" s="82"/>
      <c r="T3677" s="83" t="str">
        <f t="shared" si="308"/>
        <v/>
      </c>
      <c r="U3677" s="10"/>
      <c r="V3677" s="41">
        <f>IF(AND(Q3677&lt;&gt;"",RIGHT(Q3677,3)&lt;&gt;""),IF(COUNTIF($Q$6:Q3677,Q3677)=1,1,0),0)</f>
        <v>0</v>
      </c>
      <c r="W3677" s="41" t="str">
        <f t="shared" si="309"/>
        <v/>
      </c>
      <c r="X3677" s="41" t="str">
        <f t="shared" si="310"/>
        <v/>
      </c>
    </row>
    <row r="3678" s="32" customFormat="1" hidden="1" customHeight="1" spans="1:24">
      <c r="A3678" s="34"/>
      <c r="B3678" s="51"/>
      <c r="C3678" s="51"/>
      <c r="D3678" s="52"/>
      <c r="E3678" s="53"/>
      <c r="F3678" s="54"/>
      <c r="G3678" s="54"/>
      <c r="H3678" s="54"/>
      <c r="I3678" s="66"/>
      <c r="J3678" s="54"/>
      <c r="K3678" s="54"/>
      <c r="L3678" s="54"/>
      <c r="M3678" s="97" t="str">
        <f t="shared" si="307"/>
        <v/>
      </c>
      <c r="N3678" s="70"/>
      <c r="O3678" s="71" t="str">
        <f t="shared" si="311"/>
        <v/>
      </c>
      <c r="P3678" s="66"/>
      <c r="Q3678" s="66"/>
      <c r="R3678" s="54"/>
      <c r="S3678" s="82"/>
      <c r="T3678" s="83" t="str">
        <f t="shared" si="308"/>
        <v/>
      </c>
      <c r="U3678" s="10"/>
      <c r="V3678" s="41">
        <f>IF(AND(Q3678&lt;&gt;"",RIGHT(Q3678,3)&lt;&gt;""),IF(COUNTIF($Q$6:Q3678,Q3678)=1,1,0),0)</f>
        <v>0</v>
      </c>
      <c r="W3678" s="41" t="str">
        <f t="shared" si="309"/>
        <v/>
      </c>
      <c r="X3678" s="41" t="str">
        <f t="shared" si="310"/>
        <v/>
      </c>
    </row>
    <row r="3679" s="32" customFormat="1" hidden="1" customHeight="1" spans="1:24">
      <c r="A3679" s="34"/>
      <c r="B3679" s="51"/>
      <c r="C3679" s="51"/>
      <c r="D3679" s="52"/>
      <c r="E3679" s="53"/>
      <c r="F3679" s="54"/>
      <c r="G3679" s="54"/>
      <c r="H3679" s="54"/>
      <c r="I3679" s="66"/>
      <c r="J3679" s="54"/>
      <c r="K3679" s="54"/>
      <c r="L3679" s="54"/>
      <c r="M3679" s="97" t="str">
        <f t="shared" si="307"/>
        <v/>
      </c>
      <c r="N3679" s="70"/>
      <c r="O3679" s="71" t="str">
        <f t="shared" si="311"/>
        <v/>
      </c>
      <c r="P3679" s="66"/>
      <c r="Q3679" s="66"/>
      <c r="R3679" s="54"/>
      <c r="S3679" s="82"/>
      <c r="T3679" s="83" t="str">
        <f t="shared" si="308"/>
        <v/>
      </c>
      <c r="U3679" s="10"/>
      <c r="V3679" s="41">
        <f>IF(AND(Q3679&lt;&gt;"",RIGHT(Q3679,3)&lt;&gt;""),IF(COUNTIF($Q$6:Q3679,Q3679)=1,1,0),0)</f>
        <v>0</v>
      </c>
      <c r="W3679" s="41" t="str">
        <f t="shared" si="309"/>
        <v/>
      </c>
      <c r="X3679" s="41" t="str">
        <f t="shared" si="310"/>
        <v/>
      </c>
    </row>
    <row r="3680" s="32" customFormat="1" hidden="1" customHeight="1" spans="1:24">
      <c r="A3680" s="34"/>
      <c r="B3680" s="51"/>
      <c r="C3680" s="51"/>
      <c r="D3680" s="52"/>
      <c r="E3680" s="53"/>
      <c r="F3680" s="54"/>
      <c r="G3680" s="54"/>
      <c r="H3680" s="54"/>
      <c r="I3680" s="66"/>
      <c r="J3680" s="54"/>
      <c r="K3680" s="54"/>
      <c r="L3680" s="54"/>
      <c r="M3680" s="97" t="str">
        <f t="shared" si="307"/>
        <v/>
      </c>
      <c r="N3680" s="70"/>
      <c r="O3680" s="71" t="str">
        <f t="shared" si="311"/>
        <v/>
      </c>
      <c r="P3680" s="66"/>
      <c r="Q3680" s="66"/>
      <c r="R3680" s="54"/>
      <c r="S3680" s="82"/>
      <c r="T3680" s="83" t="str">
        <f t="shared" si="308"/>
        <v/>
      </c>
      <c r="U3680" s="10"/>
      <c r="V3680" s="41">
        <f>IF(AND(Q3680&lt;&gt;"",RIGHT(Q3680,3)&lt;&gt;""),IF(COUNTIF($Q$6:Q3680,Q3680)=1,1,0),0)</f>
        <v>0</v>
      </c>
      <c r="W3680" s="41" t="str">
        <f t="shared" si="309"/>
        <v/>
      </c>
      <c r="X3680" s="41" t="str">
        <f t="shared" si="310"/>
        <v/>
      </c>
    </row>
    <row r="3681" s="32" customFormat="1" hidden="1" customHeight="1" spans="1:24">
      <c r="A3681" s="34"/>
      <c r="B3681" s="51"/>
      <c r="C3681" s="51"/>
      <c r="D3681" s="52"/>
      <c r="E3681" s="53"/>
      <c r="F3681" s="54"/>
      <c r="G3681" s="54"/>
      <c r="H3681" s="54"/>
      <c r="I3681" s="66"/>
      <c r="J3681" s="54"/>
      <c r="K3681" s="54"/>
      <c r="L3681" s="54"/>
      <c r="M3681" s="97" t="str">
        <f t="shared" si="307"/>
        <v/>
      </c>
      <c r="N3681" s="70"/>
      <c r="O3681" s="71" t="str">
        <f t="shared" si="311"/>
        <v/>
      </c>
      <c r="P3681" s="66"/>
      <c r="Q3681" s="66"/>
      <c r="R3681" s="54"/>
      <c r="S3681" s="82"/>
      <c r="T3681" s="83" t="str">
        <f t="shared" si="308"/>
        <v/>
      </c>
      <c r="U3681" s="10"/>
      <c r="V3681" s="41">
        <f>IF(AND(Q3681&lt;&gt;"",RIGHT(Q3681,3)&lt;&gt;""),IF(COUNTIF($Q$6:Q3681,Q3681)=1,1,0),0)</f>
        <v>0</v>
      </c>
      <c r="W3681" s="41" t="str">
        <f t="shared" si="309"/>
        <v/>
      </c>
      <c r="X3681" s="41" t="str">
        <f t="shared" si="310"/>
        <v/>
      </c>
    </row>
    <row r="3682" s="32" customFormat="1" hidden="1" customHeight="1" spans="1:24">
      <c r="A3682" s="34"/>
      <c r="B3682" s="51"/>
      <c r="C3682" s="51"/>
      <c r="D3682" s="52"/>
      <c r="E3682" s="53"/>
      <c r="F3682" s="54"/>
      <c r="G3682" s="54"/>
      <c r="H3682" s="54"/>
      <c r="I3682" s="66"/>
      <c r="J3682" s="54"/>
      <c r="K3682" s="54"/>
      <c r="L3682" s="54"/>
      <c r="M3682" s="97" t="str">
        <f t="shared" si="307"/>
        <v/>
      </c>
      <c r="N3682" s="70"/>
      <c r="O3682" s="71" t="str">
        <f t="shared" si="311"/>
        <v/>
      </c>
      <c r="P3682" s="66"/>
      <c r="Q3682" s="66"/>
      <c r="R3682" s="54"/>
      <c r="S3682" s="82"/>
      <c r="T3682" s="83" t="str">
        <f t="shared" si="308"/>
        <v/>
      </c>
      <c r="U3682" s="10"/>
      <c r="V3682" s="41">
        <f>IF(AND(Q3682&lt;&gt;"",RIGHT(Q3682,3)&lt;&gt;""),IF(COUNTIF($Q$6:Q3682,Q3682)=1,1,0),0)</f>
        <v>0</v>
      </c>
      <c r="W3682" s="41" t="str">
        <f t="shared" si="309"/>
        <v/>
      </c>
      <c r="X3682" s="41" t="str">
        <f t="shared" si="310"/>
        <v/>
      </c>
    </row>
    <row r="3683" s="32" customFormat="1" hidden="1" customHeight="1" spans="1:24">
      <c r="A3683" s="34"/>
      <c r="B3683" s="51"/>
      <c r="C3683" s="51"/>
      <c r="D3683" s="52"/>
      <c r="E3683" s="53"/>
      <c r="F3683" s="54"/>
      <c r="G3683" s="54"/>
      <c r="H3683" s="54"/>
      <c r="I3683" s="66"/>
      <c r="J3683" s="54"/>
      <c r="K3683" s="54"/>
      <c r="L3683" s="54"/>
      <c r="M3683" s="97" t="str">
        <f t="shared" si="307"/>
        <v/>
      </c>
      <c r="N3683" s="70"/>
      <c r="O3683" s="71" t="str">
        <f t="shared" si="311"/>
        <v/>
      </c>
      <c r="P3683" s="66"/>
      <c r="Q3683" s="66"/>
      <c r="R3683" s="54"/>
      <c r="S3683" s="82"/>
      <c r="T3683" s="83" t="str">
        <f t="shared" si="308"/>
        <v/>
      </c>
      <c r="U3683" s="10"/>
      <c r="V3683" s="41">
        <f>IF(AND(Q3683&lt;&gt;"",RIGHT(Q3683,3)&lt;&gt;""),IF(COUNTIF($Q$6:Q3683,Q3683)=1,1,0),0)</f>
        <v>0</v>
      </c>
      <c r="W3683" s="41" t="str">
        <f t="shared" si="309"/>
        <v/>
      </c>
      <c r="X3683" s="41" t="str">
        <f t="shared" si="310"/>
        <v/>
      </c>
    </row>
    <row r="3684" s="32" customFormat="1" hidden="1" customHeight="1" spans="1:24">
      <c r="A3684" s="34"/>
      <c r="B3684" s="51"/>
      <c r="C3684" s="51"/>
      <c r="D3684" s="52"/>
      <c r="E3684" s="53"/>
      <c r="F3684" s="54"/>
      <c r="G3684" s="54"/>
      <c r="H3684" s="54"/>
      <c r="I3684" s="66"/>
      <c r="J3684" s="54"/>
      <c r="K3684" s="54"/>
      <c r="L3684" s="54"/>
      <c r="M3684" s="97" t="str">
        <f t="shared" ref="M3684:M3747" si="312">IF(L3684="","",HYPERLINK(_xlfn.CONCAT($L$4,L3684,".jpg"),"Open File"))</f>
        <v/>
      </c>
      <c r="N3684" s="70"/>
      <c r="O3684" s="71" t="str">
        <f t="shared" si="311"/>
        <v/>
      </c>
      <c r="P3684" s="66"/>
      <c r="Q3684" s="66"/>
      <c r="R3684" s="54"/>
      <c r="S3684" s="82"/>
      <c r="T3684" s="83" t="str">
        <f t="shared" ref="T3684:T3747" si="313">IF(S3684="","",HYPERLINK(_xlfn.CONCAT($S$4,S3684,".jpg"),"Open File"))</f>
        <v/>
      </c>
      <c r="U3684" s="10"/>
      <c r="V3684" s="41">
        <f>IF(AND(Q3684&lt;&gt;"",RIGHT(Q3684,3)&lt;&gt;""),IF(COUNTIF($Q$6:Q3684,Q3684)=1,1,0),0)</f>
        <v>0</v>
      </c>
      <c r="W3684" s="41" t="str">
        <f t="shared" ref="W3684:W3747" si="314">IF(AND(J3684&lt;&gt;"",K3684&lt;&gt;""),_xlfn.CONCAT(SUBSTITUTE(J3684,"/","."),"-",K3684),"")</f>
        <v/>
      </c>
      <c r="X3684" s="41" t="str">
        <f t="shared" ref="X3684:X3747" si="315">IF(AND(Q3684&lt;&gt;"",R3684&lt;&gt;""),_xlfn.CONCAT(SUBSTITUTE(Q3684,"/","."),"-",R3684),"")</f>
        <v/>
      </c>
    </row>
    <row r="3685" s="32" customFormat="1" hidden="1" customHeight="1" spans="1:24">
      <c r="A3685" s="34"/>
      <c r="B3685" s="51"/>
      <c r="C3685" s="51"/>
      <c r="D3685" s="52"/>
      <c r="E3685" s="53"/>
      <c r="F3685" s="54"/>
      <c r="G3685" s="54"/>
      <c r="H3685" s="54"/>
      <c r="I3685" s="66"/>
      <c r="J3685" s="54"/>
      <c r="K3685" s="54"/>
      <c r="L3685" s="54"/>
      <c r="M3685" s="97" t="str">
        <f t="shared" si="312"/>
        <v/>
      </c>
      <c r="N3685" s="70"/>
      <c r="O3685" s="71" t="str">
        <f t="shared" si="311"/>
        <v/>
      </c>
      <c r="P3685" s="66"/>
      <c r="Q3685" s="66"/>
      <c r="R3685" s="54"/>
      <c r="S3685" s="82"/>
      <c r="T3685" s="83" t="str">
        <f t="shared" si="313"/>
        <v/>
      </c>
      <c r="U3685" s="10"/>
      <c r="V3685" s="41">
        <f>IF(AND(Q3685&lt;&gt;"",RIGHT(Q3685,3)&lt;&gt;""),IF(COUNTIF($Q$6:Q3685,Q3685)=1,1,0),0)</f>
        <v>0</v>
      </c>
      <c r="W3685" s="41" t="str">
        <f t="shared" si="314"/>
        <v/>
      </c>
      <c r="X3685" s="41" t="str">
        <f t="shared" si="315"/>
        <v/>
      </c>
    </row>
    <row r="3686" s="32" customFormat="1" hidden="1" customHeight="1" spans="1:24">
      <c r="A3686" s="34"/>
      <c r="B3686" s="51"/>
      <c r="C3686" s="51"/>
      <c r="D3686" s="52"/>
      <c r="E3686" s="53"/>
      <c r="F3686" s="54"/>
      <c r="G3686" s="54"/>
      <c r="H3686" s="54"/>
      <c r="I3686" s="66"/>
      <c r="J3686" s="54"/>
      <c r="K3686" s="54"/>
      <c r="L3686" s="54"/>
      <c r="M3686" s="97" t="str">
        <f t="shared" si="312"/>
        <v/>
      </c>
      <c r="N3686" s="70"/>
      <c r="O3686" s="71" t="str">
        <f t="shared" si="311"/>
        <v/>
      </c>
      <c r="P3686" s="66"/>
      <c r="Q3686" s="66"/>
      <c r="R3686" s="54"/>
      <c r="S3686" s="82"/>
      <c r="T3686" s="83" t="str">
        <f t="shared" si="313"/>
        <v/>
      </c>
      <c r="U3686" s="10"/>
      <c r="V3686" s="41">
        <f>IF(AND(Q3686&lt;&gt;"",RIGHT(Q3686,3)&lt;&gt;""),IF(COUNTIF($Q$6:Q3686,Q3686)=1,1,0),0)</f>
        <v>0</v>
      </c>
      <c r="W3686" s="41" t="str">
        <f t="shared" si="314"/>
        <v/>
      </c>
      <c r="X3686" s="41" t="str">
        <f t="shared" si="315"/>
        <v/>
      </c>
    </row>
    <row r="3687" s="32" customFormat="1" hidden="1" customHeight="1" spans="1:24">
      <c r="A3687" s="34"/>
      <c r="B3687" s="51"/>
      <c r="C3687" s="51"/>
      <c r="D3687" s="52"/>
      <c r="E3687" s="53"/>
      <c r="F3687" s="54"/>
      <c r="G3687" s="54"/>
      <c r="H3687" s="54"/>
      <c r="I3687" s="66"/>
      <c r="J3687" s="54"/>
      <c r="K3687" s="54"/>
      <c r="L3687" s="54"/>
      <c r="M3687" s="97" t="str">
        <f t="shared" si="312"/>
        <v/>
      </c>
      <c r="N3687" s="70"/>
      <c r="O3687" s="71" t="str">
        <f t="shared" si="311"/>
        <v/>
      </c>
      <c r="P3687" s="66"/>
      <c r="Q3687" s="66"/>
      <c r="R3687" s="54"/>
      <c r="S3687" s="82"/>
      <c r="T3687" s="83" t="str">
        <f t="shared" si="313"/>
        <v/>
      </c>
      <c r="U3687" s="10"/>
      <c r="V3687" s="41">
        <f>IF(AND(Q3687&lt;&gt;"",RIGHT(Q3687,3)&lt;&gt;""),IF(COUNTIF($Q$6:Q3687,Q3687)=1,1,0),0)</f>
        <v>0</v>
      </c>
      <c r="W3687" s="41" t="str">
        <f t="shared" si="314"/>
        <v/>
      </c>
      <c r="X3687" s="41" t="str">
        <f t="shared" si="315"/>
        <v/>
      </c>
    </row>
    <row r="3688" s="32" customFormat="1" hidden="1" customHeight="1" spans="1:24">
      <c r="A3688" s="34"/>
      <c r="B3688" s="51"/>
      <c r="C3688" s="51"/>
      <c r="D3688" s="52"/>
      <c r="E3688" s="53"/>
      <c r="F3688" s="54"/>
      <c r="G3688" s="54"/>
      <c r="H3688" s="54"/>
      <c r="I3688" s="66"/>
      <c r="J3688" s="54"/>
      <c r="K3688" s="54"/>
      <c r="L3688" s="54"/>
      <c r="M3688" s="97" t="str">
        <f t="shared" si="312"/>
        <v/>
      </c>
      <c r="N3688" s="70"/>
      <c r="O3688" s="71" t="str">
        <f t="shared" si="311"/>
        <v/>
      </c>
      <c r="P3688" s="66"/>
      <c r="Q3688" s="66"/>
      <c r="R3688" s="54"/>
      <c r="S3688" s="82"/>
      <c r="T3688" s="83" t="str">
        <f t="shared" si="313"/>
        <v/>
      </c>
      <c r="U3688" s="10"/>
      <c r="V3688" s="41">
        <f>IF(AND(Q3688&lt;&gt;"",RIGHT(Q3688,3)&lt;&gt;""),IF(COUNTIF($Q$6:Q3688,Q3688)=1,1,0),0)</f>
        <v>0</v>
      </c>
      <c r="W3688" s="41" t="str">
        <f t="shared" si="314"/>
        <v/>
      </c>
      <c r="X3688" s="41" t="str">
        <f t="shared" si="315"/>
        <v/>
      </c>
    </row>
    <row r="3689" s="32" customFormat="1" hidden="1" customHeight="1" spans="1:24">
      <c r="A3689" s="34"/>
      <c r="B3689" s="51"/>
      <c r="C3689" s="51"/>
      <c r="D3689" s="52"/>
      <c r="E3689" s="53"/>
      <c r="F3689" s="54"/>
      <c r="G3689" s="54"/>
      <c r="H3689" s="54"/>
      <c r="I3689" s="66"/>
      <c r="J3689" s="54"/>
      <c r="K3689" s="54"/>
      <c r="L3689" s="54"/>
      <c r="M3689" s="97" t="str">
        <f t="shared" si="312"/>
        <v/>
      </c>
      <c r="N3689" s="70"/>
      <c r="O3689" s="71" t="str">
        <f t="shared" si="311"/>
        <v/>
      </c>
      <c r="P3689" s="66"/>
      <c r="Q3689" s="66"/>
      <c r="R3689" s="54"/>
      <c r="S3689" s="82"/>
      <c r="T3689" s="83" t="str">
        <f t="shared" si="313"/>
        <v/>
      </c>
      <c r="U3689" s="10"/>
      <c r="V3689" s="41">
        <f>IF(AND(Q3689&lt;&gt;"",RIGHT(Q3689,3)&lt;&gt;""),IF(COUNTIF($Q$6:Q3689,Q3689)=1,1,0),0)</f>
        <v>0</v>
      </c>
      <c r="W3689" s="41" t="str">
        <f t="shared" si="314"/>
        <v/>
      </c>
      <c r="X3689" s="41" t="str">
        <f t="shared" si="315"/>
        <v/>
      </c>
    </row>
    <row r="3690" s="32" customFormat="1" hidden="1" customHeight="1" spans="1:24">
      <c r="A3690" s="34"/>
      <c r="B3690" s="51"/>
      <c r="C3690" s="51"/>
      <c r="D3690" s="52"/>
      <c r="E3690" s="53"/>
      <c r="F3690" s="54"/>
      <c r="G3690" s="54"/>
      <c r="H3690" s="54"/>
      <c r="I3690" s="66"/>
      <c r="J3690" s="54"/>
      <c r="K3690" s="54"/>
      <c r="L3690" s="54"/>
      <c r="M3690" s="97" t="str">
        <f t="shared" si="312"/>
        <v/>
      </c>
      <c r="N3690" s="70"/>
      <c r="O3690" s="71" t="str">
        <f t="shared" si="311"/>
        <v/>
      </c>
      <c r="P3690" s="66"/>
      <c r="Q3690" s="66"/>
      <c r="R3690" s="54"/>
      <c r="S3690" s="82"/>
      <c r="T3690" s="83" t="str">
        <f t="shared" si="313"/>
        <v/>
      </c>
      <c r="U3690" s="10"/>
      <c r="V3690" s="41">
        <f>IF(AND(Q3690&lt;&gt;"",RIGHT(Q3690,3)&lt;&gt;""),IF(COUNTIF($Q$6:Q3690,Q3690)=1,1,0),0)</f>
        <v>0</v>
      </c>
      <c r="W3690" s="41" t="str">
        <f t="shared" si="314"/>
        <v/>
      </c>
      <c r="X3690" s="41" t="str">
        <f t="shared" si="315"/>
        <v/>
      </c>
    </row>
    <row r="3691" s="32" customFormat="1" hidden="1" customHeight="1" spans="1:24">
      <c r="A3691" s="34"/>
      <c r="B3691" s="51"/>
      <c r="C3691" s="51"/>
      <c r="D3691" s="52"/>
      <c r="E3691" s="53"/>
      <c r="F3691" s="54"/>
      <c r="G3691" s="54"/>
      <c r="H3691" s="54"/>
      <c r="I3691" s="66"/>
      <c r="J3691" s="54"/>
      <c r="K3691" s="54"/>
      <c r="L3691" s="54"/>
      <c r="M3691" s="97" t="str">
        <f t="shared" si="312"/>
        <v/>
      </c>
      <c r="N3691" s="70"/>
      <c r="O3691" s="71" t="str">
        <f t="shared" si="311"/>
        <v/>
      </c>
      <c r="P3691" s="66"/>
      <c r="Q3691" s="66"/>
      <c r="R3691" s="54"/>
      <c r="S3691" s="82"/>
      <c r="T3691" s="83" t="str">
        <f t="shared" si="313"/>
        <v/>
      </c>
      <c r="U3691" s="10"/>
      <c r="V3691" s="41">
        <f>IF(AND(Q3691&lt;&gt;"",RIGHT(Q3691,3)&lt;&gt;""),IF(COUNTIF($Q$6:Q3691,Q3691)=1,1,0),0)</f>
        <v>0</v>
      </c>
      <c r="W3691" s="41" t="str">
        <f t="shared" si="314"/>
        <v/>
      </c>
      <c r="X3691" s="41" t="str">
        <f t="shared" si="315"/>
        <v/>
      </c>
    </row>
    <row r="3692" s="32" customFormat="1" hidden="1" customHeight="1" spans="1:24">
      <c r="A3692" s="34"/>
      <c r="B3692" s="51"/>
      <c r="C3692" s="51"/>
      <c r="D3692" s="52"/>
      <c r="E3692" s="53"/>
      <c r="F3692" s="54"/>
      <c r="G3692" s="54"/>
      <c r="H3692" s="54"/>
      <c r="I3692" s="66"/>
      <c r="J3692" s="54"/>
      <c r="K3692" s="54"/>
      <c r="L3692" s="54"/>
      <c r="M3692" s="97" t="str">
        <f t="shared" si="312"/>
        <v/>
      </c>
      <c r="N3692" s="70"/>
      <c r="O3692" s="71" t="str">
        <f t="shared" si="311"/>
        <v/>
      </c>
      <c r="P3692" s="66"/>
      <c r="Q3692" s="66"/>
      <c r="R3692" s="54"/>
      <c r="S3692" s="82"/>
      <c r="T3692" s="83" t="str">
        <f t="shared" si="313"/>
        <v/>
      </c>
      <c r="U3692" s="10"/>
      <c r="V3692" s="41">
        <f>IF(AND(Q3692&lt;&gt;"",RIGHT(Q3692,3)&lt;&gt;""),IF(COUNTIF($Q$6:Q3692,Q3692)=1,1,0),0)</f>
        <v>0</v>
      </c>
      <c r="W3692" s="41" t="str">
        <f t="shared" si="314"/>
        <v/>
      </c>
      <c r="X3692" s="41" t="str">
        <f t="shared" si="315"/>
        <v/>
      </c>
    </row>
    <row r="3693" s="32" customFormat="1" hidden="1" customHeight="1" spans="1:24">
      <c r="A3693" s="34"/>
      <c r="B3693" s="51"/>
      <c r="C3693" s="51"/>
      <c r="D3693" s="52"/>
      <c r="E3693" s="53"/>
      <c r="F3693" s="54"/>
      <c r="G3693" s="54"/>
      <c r="H3693" s="54"/>
      <c r="I3693" s="66"/>
      <c r="J3693" s="54"/>
      <c r="K3693" s="54"/>
      <c r="L3693" s="54"/>
      <c r="M3693" s="97" t="str">
        <f t="shared" si="312"/>
        <v/>
      </c>
      <c r="N3693" s="70"/>
      <c r="O3693" s="71" t="str">
        <f t="shared" si="311"/>
        <v/>
      </c>
      <c r="P3693" s="66"/>
      <c r="Q3693" s="66"/>
      <c r="R3693" s="54"/>
      <c r="S3693" s="82"/>
      <c r="T3693" s="83" t="str">
        <f t="shared" si="313"/>
        <v/>
      </c>
      <c r="U3693" s="10"/>
      <c r="V3693" s="41">
        <f>IF(AND(Q3693&lt;&gt;"",RIGHT(Q3693,3)&lt;&gt;""),IF(COUNTIF($Q$6:Q3693,Q3693)=1,1,0),0)</f>
        <v>0</v>
      </c>
      <c r="W3693" s="41" t="str">
        <f t="shared" si="314"/>
        <v/>
      </c>
      <c r="X3693" s="41" t="str">
        <f t="shared" si="315"/>
        <v/>
      </c>
    </row>
    <row r="3694" s="32" customFormat="1" hidden="1" customHeight="1" spans="1:24">
      <c r="A3694" s="34"/>
      <c r="B3694" s="51"/>
      <c r="C3694" s="51"/>
      <c r="D3694" s="52"/>
      <c r="E3694" s="53"/>
      <c r="F3694" s="54"/>
      <c r="G3694" s="54"/>
      <c r="H3694" s="54"/>
      <c r="I3694" s="66"/>
      <c r="J3694" s="54"/>
      <c r="K3694" s="54"/>
      <c r="L3694" s="54"/>
      <c r="M3694" s="97" t="str">
        <f t="shared" si="312"/>
        <v/>
      </c>
      <c r="N3694" s="70"/>
      <c r="O3694" s="71" t="str">
        <f t="shared" si="311"/>
        <v/>
      </c>
      <c r="P3694" s="66"/>
      <c r="Q3694" s="66"/>
      <c r="R3694" s="54"/>
      <c r="S3694" s="82"/>
      <c r="T3694" s="83" t="str">
        <f t="shared" si="313"/>
        <v/>
      </c>
      <c r="U3694" s="10"/>
      <c r="V3694" s="41">
        <f>IF(AND(Q3694&lt;&gt;"",RIGHT(Q3694,3)&lt;&gt;""),IF(COUNTIF($Q$6:Q3694,Q3694)=1,1,0),0)</f>
        <v>0</v>
      </c>
      <c r="W3694" s="41" t="str">
        <f t="shared" si="314"/>
        <v/>
      </c>
      <c r="X3694" s="41" t="str">
        <f t="shared" si="315"/>
        <v/>
      </c>
    </row>
    <row r="3695" s="32" customFormat="1" hidden="1" customHeight="1" spans="1:24">
      <c r="A3695" s="34"/>
      <c r="B3695" s="51"/>
      <c r="C3695" s="51"/>
      <c r="D3695" s="52"/>
      <c r="E3695" s="53"/>
      <c r="F3695" s="54"/>
      <c r="G3695" s="54"/>
      <c r="H3695" s="54"/>
      <c r="I3695" s="66"/>
      <c r="J3695" s="54"/>
      <c r="K3695" s="54"/>
      <c r="L3695" s="54"/>
      <c r="M3695" s="97" t="str">
        <f t="shared" si="312"/>
        <v/>
      </c>
      <c r="N3695" s="70"/>
      <c r="O3695" s="71" t="str">
        <f t="shared" si="311"/>
        <v/>
      </c>
      <c r="P3695" s="66"/>
      <c r="Q3695" s="66"/>
      <c r="R3695" s="54"/>
      <c r="S3695" s="82"/>
      <c r="T3695" s="83" t="str">
        <f t="shared" si="313"/>
        <v/>
      </c>
      <c r="U3695" s="10"/>
      <c r="V3695" s="41">
        <f>IF(AND(Q3695&lt;&gt;"",RIGHT(Q3695,3)&lt;&gt;""),IF(COUNTIF($Q$6:Q3695,Q3695)=1,1,0),0)</f>
        <v>0</v>
      </c>
      <c r="W3695" s="41" t="str">
        <f t="shared" si="314"/>
        <v/>
      </c>
      <c r="X3695" s="41" t="str">
        <f t="shared" si="315"/>
        <v/>
      </c>
    </row>
    <row r="3696" s="32" customFormat="1" hidden="1" customHeight="1" spans="1:24">
      <c r="A3696" s="34"/>
      <c r="B3696" s="51"/>
      <c r="C3696" s="51"/>
      <c r="D3696" s="52"/>
      <c r="E3696" s="53"/>
      <c r="F3696" s="54"/>
      <c r="G3696" s="54"/>
      <c r="H3696" s="54"/>
      <c r="I3696" s="66"/>
      <c r="J3696" s="54"/>
      <c r="K3696" s="54"/>
      <c r="L3696" s="54"/>
      <c r="M3696" s="97" t="str">
        <f t="shared" si="312"/>
        <v/>
      </c>
      <c r="N3696" s="70"/>
      <c r="O3696" s="71" t="str">
        <f t="shared" si="311"/>
        <v/>
      </c>
      <c r="P3696" s="66"/>
      <c r="Q3696" s="66"/>
      <c r="R3696" s="54"/>
      <c r="S3696" s="82"/>
      <c r="T3696" s="83" t="str">
        <f t="shared" si="313"/>
        <v/>
      </c>
      <c r="U3696" s="10"/>
      <c r="V3696" s="41">
        <f>IF(AND(Q3696&lt;&gt;"",RIGHT(Q3696,3)&lt;&gt;""),IF(COUNTIF($Q$6:Q3696,Q3696)=1,1,0),0)</f>
        <v>0</v>
      </c>
      <c r="W3696" s="41" t="str">
        <f t="shared" si="314"/>
        <v/>
      </c>
      <c r="X3696" s="41" t="str">
        <f t="shared" si="315"/>
        <v/>
      </c>
    </row>
    <row r="3697" s="32" customFormat="1" hidden="1" customHeight="1" spans="1:24">
      <c r="A3697" s="34"/>
      <c r="B3697" s="51"/>
      <c r="C3697" s="51"/>
      <c r="D3697" s="52"/>
      <c r="E3697" s="53"/>
      <c r="F3697" s="54"/>
      <c r="G3697" s="54"/>
      <c r="H3697" s="54"/>
      <c r="I3697" s="66"/>
      <c r="J3697" s="54"/>
      <c r="K3697" s="54"/>
      <c r="L3697" s="54"/>
      <c r="M3697" s="97" t="str">
        <f t="shared" si="312"/>
        <v/>
      </c>
      <c r="N3697" s="70"/>
      <c r="O3697" s="71" t="str">
        <f t="shared" ref="O3697:O3760" si="316">IF(AND(Q3697&lt;&gt;"",T3697&lt;&gt;""),"PASSIVE",IF(AND(J3697&lt;&gt;"",M3697&lt;&gt;""),"ACTIVE",""))</f>
        <v/>
      </c>
      <c r="P3697" s="66"/>
      <c r="Q3697" s="66"/>
      <c r="R3697" s="54"/>
      <c r="S3697" s="82"/>
      <c r="T3697" s="83" t="str">
        <f t="shared" si="313"/>
        <v/>
      </c>
      <c r="U3697" s="10"/>
      <c r="V3697" s="41">
        <f>IF(AND(Q3697&lt;&gt;"",RIGHT(Q3697,3)&lt;&gt;""),IF(COUNTIF($Q$6:Q3697,Q3697)=1,1,0),0)</f>
        <v>0</v>
      </c>
      <c r="W3697" s="41" t="str">
        <f t="shared" si="314"/>
        <v/>
      </c>
      <c r="X3697" s="41" t="str">
        <f t="shared" si="315"/>
        <v/>
      </c>
    </row>
    <row r="3698" s="32" customFormat="1" hidden="1" customHeight="1" spans="1:24">
      <c r="A3698" s="34"/>
      <c r="B3698" s="51"/>
      <c r="C3698" s="51"/>
      <c r="D3698" s="52"/>
      <c r="E3698" s="53"/>
      <c r="F3698" s="54"/>
      <c r="G3698" s="54"/>
      <c r="H3698" s="54"/>
      <c r="I3698" s="66"/>
      <c r="J3698" s="54"/>
      <c r="K3698" s="54"/>
      <c r="L3698" s="54"/>
      <c r="M3698" s="97" t="str">
        <f t="shared" si="312"/>
        <v/>
      </c>
      <c r="N3698" s="70"/>
      <c r="O3698" s="71" t="str">
        <f t="shared" si="316"/>
        <v/>
      </c>
      <c r="P3698" s="66"/>
      <c r="Q3698" s="66"/>
      <c r="R3698" s="54"/>
      <c r="S3698" s="82"/>
      <c r="T3698" s="83" t="str">
        <f t="shared" si="313"/>
        <v/>
      </c>
      <c r="U3698" s="10"/>
      <c r="V3698" s="41">
        <f>IF(AND(Q3698&lt;&gt;"",RIGHT(Q3698,3)&lt;&gt;""),IF(COUNTIF($Q$6:Q3698,Q3698)=1,1,0),0)</f>
        <v>0</v>
      </c>
      <c r="W3698" s="41" t="str">
        <f t="shared" si="314"/>
        <v/>
      </c>
      <c r="X3698" s="41" t="str">
        <f t="shared" si="315"/>
        <v/>
      </c>
    </row>
    <row r="3699" s="32" customFormat="1" hidden="1" customHeight="1" spans="1:24">
      <c r="A3699" s="34"/>
      <c r="B3699" s="51"/>
      <c r="C3699" s="51"/>
      <c r="D3699" s="52"/>
      <c r="E3699" s="53"/>
      <c r="F3699" s="54"/>
      <c r="G3699" s="54"/>
      <c r="H3699" s="54"/>
      <c r="I3699" s="66"/>
      <c r="J3699" s="54"/>
      <c r="K3699" s="54"/>
      <c r="L3699" s="54"/>
      <c r="M3699" s="97" t="str">
        <f t="shared" si="312"/>
        <v/>
      </c>
      <c r="N3699" s="70"/>
      <c r="O3699" s="71" t="str">
        <f t="shared" si="316"/>
        <v/>
      </c>
      <c r="P3699" s="66"/>
      <c r="Q3699" s="66"/>
      <c r="R3699" s="54"/>
      <c r="S3699" s="82"/>
      <c r="T3699" s="83" t="str">
        <f t="shared" si="313"/>
        <v/>
      </c>
      <c r="U3699" s="10"/>
      <c r="V3699" s="41">
        <f>IF(AND(Q3699&lt;&gt;"",RIGHT(Q3699,3)&lt;&gt;""),IF(COUNTIF($Q$6:Q3699,Q3699)=1,1,0),0)</f>
        <v>0</v>
      </c>
      <c r="W3699" s="41" t="str">
        <f t="shared" si="314"/>
        <v/>
      </c>
      <c r="X3699" s="41" t="str">
        <f t="shared" si="315"/>
        <v/>
      </c>
    </row>
    <row r="3700" s="32" customFormat="1" hidden="1" customHeight="1" spans="1:24">
      <c r="A3700" s="34"/>
      <c r="B3700" s="51"/>
      <c r="C3700" s="51"/>
      <c r="D3700" s="52"/>
      <c r="E3700" s="53"/>
      <c r="F3700" s="54"/>
      <c r="G3700" s="54"/>
      <c r="H3700" s="54"/>
      <c r="I3700" s="66"/>
      <c r="J3700" s="54"/>
      <c r="K3700" s="54"/>
      <c r="L3700" s="54"/>
      <c r="M3700" s="97" t="str">
        <f t="shared" si="312"/>
        <v/>
      </c>
      <c r="N3700" s="70"/>
      <c r="O3700" s="71" t="str">
        <f t="shared" si="316"/>
        <v/>
      </c>
      <c r="P3700" s="66"/>
      <c r="Q3700" s="66"/>
      <c r="R3700" s="54"/>
      <c r="S3700" s="82"/>
      <c r="T3700" s="83" t="str">
        <f t="shared" si="313"/>
        <v/>
      </c>
      <c r="U3700" s="10"/>
      <c r="V3700" s="41">
        <f>IF(AND(Q3700&lt;&gt;"",RIGHT(Q3700,3)&lt;&gt;""),IF(COUNTIF($Q$6:Q3700,Q3700)=1,1,0),0)</f>
        <v>0</v>
      </c>
      <c r="W3700" s="41" t="str">
        <f t="shared" si="314"/>
        <v/>
      </c>
      <c r="X3700" s="41" t="str">
        <f t="shared" si="315"/>
        <v/>
      </c>
    </row>
    <row r="3701" s="32" customFormat="1" hidden="1" customHeight="1" spans="1:24">
      <c r="A3701" s="34"/>
      <c r="B3701" s="51"/>
      <c r="C3701" s="51"/>
      <c r="D3701" s="52"/>
      <c r="E3701" s="53"/>
      <c r="F3701" s="54"/>
      <c r="G3701" s="54"/>
      <c r="H3701" s="54"/>
      <c r="I3701" s="66"/>
      <c r="J3701" s="54"/>
      <c r="K3701" s="54"/>
      <c r="L3701" s="54"/>
      <c r="M3701" s="97" t="str">
        <f t="shared" si="312"/>
        <v/>
      </c>
      <c r="N3701" s="70"/>
      <c r="O3701" s="71" t="str">
        <f t="shared" si="316"/>
        <v/>
      </c>
      <c r="P3701" s="66"/>
      <c r="Q3701" s="66"/>
      <c r="R3701" s="54"/>
      <c r="S3701" s="82"/>
      <c r="T3701" s="83" t="str">
        <f t="shared" si="313"/>
        <v/>
      </c>
      <c r="U3701" s="10"/>
      <c r="V3701" s="41">
        <f>IF(AND(Q3701&lt;&gt;"",RIGHT(Q3701,3)&lt;&gt;""),IF(COUNTIF($Q$6:Q3701,Q3701)=1,1,0),0)</f>
        <v>0</v>
      </c>
      <c r="W3701" s="41" t="str">
        <f t="shared" si="314"/>
        <v/>
      </c>
      <c r="X3701" s="41" t="str">
        <f t="shared" si="315"/>
        <v/>
      </c>
    </row>
    <row r="3702" s="32" customFormat="1" hidden="1" customHeight="1" spans="1:24">
      <c r="A3702" s="34"/>
      <c r="B3702" s="51"/>
      <c r="C3702" s="51"/>
      <c r="D3702" s="52"/>
      <c r="E3702" s="53"/>
      <c r="F3702" s="54"/>
      <c r="G3702" s="54"/>
      <c r="H3702" s="54"/>
      <c r="I3702" s="66"/>
      <c r="J3702" s="54"/>
      <c r="K3702" s="54"/>
      <c r="L3702" s="54"/>
      <c r="M3702" s="97" t="str">
        <f t="shared" si="312"/>
        <v/>
      </c>
      <c r="N3702" s="70"/>
      <c r="O3702" s="71" t="str">
        <f t="shared" si="316"/>
        <v/>
      </c>
      <c r="P3702" s="66"/>
      <c r="Q3702" s="66"/>
      <c r="R3702" s="54"/>
      <c r="S3702" s="82"/>
      <c r="T3702" s="83" t="str">
        <f t="shared" si="313"/>
        <v/>
      </c>
      <c r="U3702" s="10"/>
      <c r="V3702" s="41">
        <f>IF(AND(Q3702&lt;&gt;"",RIGHT(Q3702,3)&lt;&gt;""),IF(COUNTIF($Q$6:Q3702,Q3702)=1,1,0),0)</f>
        <v>0</v>
      </c>
      <c r="W3702" s="41" t="str">
        <f t="shared" si="314"/>
        <v/>
      </c>
      <c r="X3702" s="41" t="str">
        <f t="shared" si="315"/>
        <v/>
      </c>
    </row>
    <row r="3703" s="32" customFormat="1" hidden="1" customHeight="1" spans="1:24">
      <c r="A3703" s="34"/>
      <c r="B3703" s="51"/>
      <c r="C3703" s="51"/>
      <c r="D3703" s="52"/>
      <c r="E3703" s="53"/>
      <c r="F3703" s="54"/>
      <c r="G3703" s="54"/>
      <c r="H3703" s="54"/>
      <c r="I3703" s="66"/>
      <c r="J3703" s="54"/>
      <c r="K3703" s="54"/>
      <c r="L3703" s="54"/>
      <c r="M3703" s="97" t="str">
        <f t="shared" si="312"/>
        <v/>
      </c>
      <c r="N3703" s="70"/>
      <c r="O3703" s="71" t="str">
        <f t="shared" si="316"/>
        <v/>
      </c>
      <c r="P3703" s="66"/>
      <c r="Q3703" s="66"/>
      <c r="R3703" s="54"/>
      <c r="S3703" s="82"/>
      <c r="T3703" s="83" t="str">
        <f t="shared" si="313"/>
        <v/>
      </c>
      <c r="U3703" s="10"/>
      <c r="V3703" s="41">
        <f>IF(AND(Q3703&lt;&gt;"",RIGHT(Q3703,3)&lt;&gt;""),IF(COUNTIF($Q$6:Q3703,Q3703)=1,1,0),0)</f>
        <v>0</v>
      </c>
      <c r="W3703" s="41" t="str">
        <f t="shared" si="314"/>
        <v/>
      </c>
      <c r="X3703" s="41" t="str">
        <f t="shared" si="315"/>
        <v/>
      </c>
    </row>
    <row r="3704" s="32" customFormat="1" hidden="1" customHeight="1" spans="1:24">
      <c r="A3704" s="34"/>
      <c r="B3704" s="51"/>
      <c r="C3704" s="51"/>
      <c r="D3704" s="52"/>
      <c r="E3704" s="53"/>
      <c r="F3704" s="54"/>
      <c r="G3704" s="54"/>
      <c r="H3704" s="54"/>
      <c r="I3704" s="66"/>
      <c r="J3704" s="54"/>
      <c r="K3704" s="54"/>
      <c r="L3704" s="54"/>
      <c r="M3704" s="97" t="str">
        <f t="shared" si="312"/>
        <v/>
      </c>
      <c r="N3704" s="70"/>
      <c r="O3704" s="71" t="str">
        <f t="shared" si="316"/>
        <v/>
      </c>
      <c r="P3704" s="66"/>
      <c r="Q3704" s="66"/>
      <c r="R3704" s="54"/>
      <c r="S3704" s="82"/>
      <c r="T3704" s="83" t="str">
        <f t="shared" si="313"/>
        <v/>
      </c>
      <c r="U3704" s="10"/>
      <c r="V3704" s="41">
        <f>IF(AND(Q3704&lt;&gt;"",RIGHT(Q3704,3)&lt;&gt;""),IF(COUNTIF($Q$6:Q3704,Q3704)=1,1,0),0)</f>
        <v>0</v>
      </c>
      <c r="W3704" s="41" t="str">
        <f t="shared" si="314"/>
        <v/>
      </c>
      <c r="X3704" s="41" t="str">
        <f t="shared" si="315"/>
        <v/>
      </c>
    </row>
    <row r="3705" s="32" customFormat="1" hidden="1" customHeight="1" spans="1:24">
      <c r="A3705" s="34"/>
      <c r="B3705" s="51"/>
      <c r="C3705" s="51"/>
      <c r="D3705" s="52"/>
      <c r="E3705" s="53"/>
      <c r="F3705" s="54"/>
      <c r="G3705" s="54"/>
      <c r="H3705" s="54"/>
      <c r="I3705" s="66"/>
      <c r="J3705" s="54"/>
      <c r="K3705" s="54"/>
      <c r="L3705" s="54"/>
      <c r="M3705" s="97" t="str">
        <f t="shared" si="312"/>
        <v/>
      </c>
      <c r="N3705" s="70"/>
      <c r="O3705" s="71" t="str">
        <f t="shared" si="316"/>
        <v/>
      </c>
      <c r="P3705" s="66"/>
      <c r="Q3705" s="66"/>
      <c r="R3705" s="54"/>
      <c r="S3705" s="82"/>
      <c r="T3705" s="83" t="str">
        <f t="shared" si="313"/>
        <v/>
      </c>
      <c r="U3705" s="10"/>
      <c r="V3705" s="41">
        <f>IF(AND(Q3705&lt;&gt;"",RIGHT(Q3705,3)&lt;&gt;""),IF(COUNTIF($Q$6:Q3705,Q3705)=1,1,0),0)</f>
        <v>0</v>
      </c>
      <c r="W3705" s="41" t="str">
        <f t="shared" si="314"/>
        <v/>
      </c>
      <c r="X3705" s="41" t="str">
        <f t="shared" si="315"/>
        <v/>
      </c>
    </row>
    <row r="3706" s="32" customFormat="1" hidden="1" customHeight="1" spans="1:24">
      <c r="A3706" s="34"/>
      <c r="B3706" s="51"/>
      <c r="C3706" s="51"/>
      <c r="D3706" s="52"/>
      <c r="E3706" s="53"/>
      <c r="F3706" s="54"/>
      <c r="G3706" s="54"/>
      <c r="H3706" s="54"/>
      <c r="I3706" s="66"/>
      <c r="J3706" s="54"/>
      <c r="K3706" s="54"/>
      <c r="L3706" s="54"/>
      <c r="M3706" s="97" t="str">
        <f t="shared" si="312"/>
        <v/>
      </c>
      <c r="N3706" s="70"/>
      <c r="O3706" s="71" t="str">
        <f t="shared" si="316"/>
        <v/>
      </c>
      <c r="P3706" s="66"/>
      <c r="Q3706" s="66"/>
      <c r="R3706" s="54"/>
      <c r="S3706" s="82"/>
      <c r="T3706" s="83" t="str">
        <f t="shared" si="313"/>
        <v/>
      </c>
      <c r="U3706" s="10"/>
      <c r="V3706" s="41">
        <f>IF(AND(Q3706&lt;&gt;"",RIGHT(Q3706,3)&lt;&gt;""),IF(COUNTIF($Q$6:Q3706,Q3706)=1,1,0),0)</f>
        <v>0</v>
      </c>
      <c r="W3706" s="41" t="str">
        <f t="shared" si="314"/>
        <v/>
      </c>
      <c r="X3706" s="41" t="str">
        <f t="shared" si="315"/>
        <v/>
      </c>
    </row>
    <row r="3707" s="32" customFormat="1" hidden="1" customHeight="1" spans="1:24">
      <c r="A3707" s="34"/>
      <c r="B3707" s="51"/>
      <c r="C3707" s="51"/>
      <c r="D3707" s="52"/>
      <c r="E3707" s="53"/>
      <c r="F3707" s="54"/>
      <c r="G3707" s="54"/>
      <c r="H3707" s="54"/>
      <c r="I3707" s="66"/>
      <c r="J3707" s="54"/>
      <c r="K3707" s="54"/>
      <c r="L3707" s="54"/>
      <c r="M3707" s="97" t="str">
        <f t="shared" si="312"/>
        <v/>
      </c>
      <c r="N3707" s="70"/>
      <c r="O3707" s="71" t="str">
        <f t="shared" si="316"/>
        <v/>
      </c>
      <c r="P3707" s="66"/>
      <c r="Q3707" s="66"/>
      <c r="R3707" s="54"/>
      <c r="S3707" s="82"/>
      <c r="T3707" s="83" t="str">
        <f t="shared" si="313"/>
        <v/>
      </c>
      <c r="U3707" s="10"/>
      <c r="V3707" s="41">
        <f>IF(AND(Q3707&lt;&gt;"",RIGHT(Q3707,3)&lt;&gt;""),IF(COUNTIF($Q$6:Q3707,Q3707)=1,1,0),0)</f>
        <v>0</v>
      </c>
      <c r="W3707" s="41" t="str">
        <f t="shared" si="314"/>
        <v/>
      </c>
      <c r="X3707" s="41" t="str">
        <f t="shared" si="315"/>
        <v/>
      </c>
    </row>
    <row r="3708" s="32" customFormat="1" hidden="1" customHeight="1" spans="1:24">
      <c r="A3708" s="34"/>
      <c r="B3708" s="51"/>
      <c r="C3708" s="51"/>
      <c r="D3708" s="52"/>
      <c r="E3708" s="53"/>
      <c r="F3708" s="54"/>
      <c r="G3708" s="54"/>
      <c r="H3708" s="54"/>
      <c r="I3708" s="66"/>
      <c r="J3708" s="54"/>
      <c r="K3708" s="54"/>
      <c r="L3708" s="54"/>
      <c r="M3708" s="97" t="str">
        <f t="shared" si="312"/>
        <v/>
      </c>
      <c r="N3708" s="70"/>
      <c r="O3708" s="71" t="str">
        <f t="shared" si="316"/>
        <v/>
      </c>
      <c r="P3708" s="66"/>
      <c r="Q3708" s="66"/>
      <c r="R3708" s="54"/>
      <c r="S3708" s="82"/>
      <c r="T3708" s="83" t="str">
        <f t="shared" si="313"/>
        <v/>
      </c>
      <c r="U3708" s="10"/>
      <c r="V3708" s="41">
        <f>IF(AND(Q3708&lt;&gt;"",RIGHT(Q3708,3)&lt;&gt;""),IF(COUNTIF($Q$6:Q3708,Q3708)=1,1,0),0)</f>
        <v>0</v>
      </c>
      <c r="W3708" s="41" t="str">
        <f t="shared" si="314"/>
        <v/>
      </c>
      <c r="X3708" s="41" t="str">
        <f t="shared" si="315"/>
        <v/>
      </c>
    </row>
    <row r="3709" s="32" customFormat="1" hidden="1" customHeight="1" spans="1:24">
      <c r="A3709" s="34"/>
      <c r="B3709" s="51"/>
      <c r="C3709" s="51"/>
      <c r="D3709" s="52"/>
      <c r="E3709" s="53"/>
      <c r="F3709" s="54"/>
      <c r="G3709" s="54"/>
      <c r="H3709" s="54"/>
      <c r="I3709" s="66"/>
      <c r="J3709" s="54"/>
      <c r="K3709" s="54"/>
      <c r="L3709" s="54"/>
      <c r="M3709" s="97" t="str">
        <f t="shared" si="312"/>
        <v/>
      </c>
      <c r="N3709" s="70"/>
      <c r="O3709" s="71" t="str">
        <f t="shared" si="316"/>
        <v/>
      </c>
      <c r="P3709" s="66"/>
      <c r="Q3709" s="66"/>
      <c r="R3709" s="54"/>
      <c r="S3709" s="82"/>
      <c r="T3709" s="83" t="str">
        <f t="shared" si="313"/>
        <v/>
      </c>
      <c r="U3709" s="10"/>
      <c r="V3709" s="41">
        <f>IF(AND(Q3709&lt;&gt;"",RIGHT(Q3709,3)&lt;&gt;""),IF(COUNTIF($Q$6:Q3709,Q3709)=1,1,0),0)</f>
        <v>0</v>
      </c>
      <c r="W3709" s="41" t="str">
        <f t="shared" si="314"/>
        <v/>
      </c>
      <c r="X3709" s="41" t="str">
        <f t="shared" si="315"/>
        <v/>
      </c>
    </row>
    <row r="3710" s="32" customFormat="1" hidden="1" customHeight="1" spans="1:24">
      <c r="A3710" s="34"/>
      <c r="B3710" s="51"/>
      <c r="C3710" s="51"/>
      <c r="D3710" s="52"/>
      <c r="E3710" s="53"/>
      <c r="F3710" s="54"/>
      <c r="G3710" s="54"/>
      <c r="H3710" s="54"/>
      <c r="I3710" s="66"/>
      <c r="J3710" s="54"/>
      <c r="K3710" s="54"/>
      <c r="L3710" s="54"/>
      <c r="M3710" s="97" t="str">
        <f t="shared" si="312"/>
        <v/>
      </c>
      <c r="N3710" s="70"/>
      <c r="O3710" s="71" t="str">
        <f t="shared" si="316"/>
        <v/>
      </c>
      <c r="P3710" s="66"/>
      <c r="Q3710" s="66"/>
      <c r="R3710" s="54"/>
      <c r="S3710" s="82"/>
      <c r="T3710" s="83" t="str">
        <f t="shared" si="313"/>
        <v/>
      </c>
      <c r="U3710" s="10"/>
      <c r="V3710" s="41">
        <f>IF(AND(Q3710&lt;&gt;"",RIGHT(Q3710,3)&lt;&gt;""),IF(COUNTIF($Q$6:Q3710,Q3710)=1,1,0),0)</f>
        <v>0</v>
      </c>
      <c r="W3710" s="41" t="str">
        <f t="shared" si="314"/>
        <v/>
      </c>
      <c r="X3710" s="41" t="str">
        <f t="shared" si="315"/>
        <v/>
      </c>
    </row>
    <row r="3711" s="32" customFormat="1" hidden="1" customHeight="1" spans="1:24">
      <c r="A3711" s="34"/>
      <c r="B3711" s="51"/>
      <c r="C3711" s="51"/>
      <c r="D3711" s="52"/>
      <c r="E3711" s="53"/>
      <c r="F3711" s="54"/>
      <c r="G3711" s="54"/>
      <c r="H3711" s="54"/>
      <c r="I3711" s="66"/>
      <c r="J3711" s="54"/>
      <c r="K3711" s="54"/>
      <c r="L3711" s="54"/>
      <c r="M3711" s="97" t="str">
        <f t="shared" si="312"/>
        <v/>
      </c>
      <c r="N3711" s="70"/>
      <c r="O3711" s="71" t="str">
        <f t="shared" si="316"/>
        <v/>
      </c>
      <c r="P3711" s="66"/>
      <c r="Q3711" s="66"/>
      <c r="R3711" s="54"/>
      <c r="S3711" s="82"/>
      <c r="T3711" s="83" t="str">
        <f t="shared" si="313"/>
        <v/>
      </c>
      <c r="U3711" s="10"/>
      <c r="V3711" s="41">
        <f>IF(AND(Q3711&lt;&gt;"",RIGHT(Q3711,3)&lt;&gt;""),IF(COUNTIF($Q$6:Q3711,Q3711)=1,1,0),0)</f>
        <v>0</v>
      </c>
      <c r="W3711" s="41" t="str">
        <f t="shared" si="314"/>
        <v/>
      </c>
      <c r="X3711" s="41" t="str">
        <f t="shared" si="315"/>
        <v/>
      </c>
    </row>
    <row r="3712" s="32" customFormat="1" hidden="1" customHeight="1" spans="1:24">
      <c r="A3712" s="34"/>
      <c r="B3712" s="51"/>
      <c r="C3712" s="51"/>
      <c r="D3712" s="52"/>
      <c r="E3712" s="53"/>
      <c r="F3712" s="54"/>
      <c r="G3712" s="54"/>
      <c r="H3712" s="54"/>
      <c r="I3712" s="66"/>
      <c r="J3712" s="54"/>
      <c r="K3712" s="54"/>
      <c r="L3712" s="54"/>
      <c r="M3712" s="97" t="str">
        <f t="shared" si="312"/>
        <v/>
      </c>
      <c r="N3712" s="70"/>
      <c r="O3712" s="71" t="str">
        <f t="shared" si="316"/>
        <v/>
      </c>
      <c r="P3712" s="66"/>
      <c r="Q3712" s="66"/>
      <c r="R3712" s="54"/>
      <c r="S3712" s="82"/>
      <c r="T3712" s="83" t="str">
        <f t="shared" si="313"/>
        <v/>
      </c>
      <c r="U3712" s="10"/>
      <c r="V3712" s="41">
        <f>IF(AND(Q3712&lt;&gt;"",RIGHT(Q3712,3)&lt;&gt;""),IF(COUNTIF($Q$6:Q3712,Q3712)=1,1,0),0)</f>
        <v>0</v>
      </c>
      <c r="W3712" s="41" t="str">
        <f t="shared" si="314"/>
        <v/>
      </c>
      <c r="X3712" s="41" t="str">
        <f t="shared" si="315"/>
        <v/>
      </c>
    </row>
    <row r="3713" s="32" customFormat="1" hidden="1" customHeight="1" spans="1:24">
      <c r="A3713" s="34"/>
      <c r="B3713" s="51"/>
      <c r="C3713" s="51"/>
      <c r="D3713" s="52"/>
      <c r="E3713" s="53"/>
      <c r="F3713" s="54"/>
      <c r="G3713" s="54"/>
      <c r="H3713" s="54"/>
      <c r="I3713" s="66"/>
      <c r="J3713" s="54"/>
      <c r="K3713" s="54"/>
      <c r="L3713" s="54"/>
      <c r="M3713" s="97" t="str">
        <f t="shared" si="312"/>
        <v/>
      </c>
      <c r="N3713" s="70"/>
      <c r="O3713" s="71" t="str">
        <f t="shared" si="316"/>
        <v/>
      </c>
      <c r="P3713" s="66"/>
      <c r="Q3713" s="66"/>
      <c r="R3713" s="54"/>
      <c r="S3713" s="82"/>
      <c r="T3713" s="83" t="str">
        <f t="shared" si="313"/>
        <v/>
      </c>
      <c r="U3713" s="10"/>
      <c r="V3713" s="41">
        <f>IF(AND(Q3713&lt;&gt;"",RIGHT(Q3713,3)&lt;&gt;""),IF(COUNTIF($Q$6:Q3713,Q3713)=1,1,0),0)</f>
        <v>0</v>
      </c>
      <c r="W3713" s="41" t="str">
        <f t="shared" si="314"/>
        <v/>
      </c>
      <c r="X3713" s="41" t="str">
        <f t="shared" si="315"/>
        <v/>
      </c>
    </row>
    <row r="3714" s="32" customFormat="1" hidden="1" customHeight="1" spans="1:24">
      <c r="A3714" s="34"/>
      <c r="B3714" s="51"/>
      <c r="C3714" s="51"/>
      <c r="D3714" s="52"/>
      <c r="E3714" s="53"/>
      <c r="F3714" s="54"/>
      <c r="G3714" s="54"/>
      <c r="H3714" s="54"/>
      <c r="I3714" s="66"/>
      <c r="J3714" s="54"/>
      <c r="K3714" s="54"/>
      <c r="L3714" s="54"/>
      <c r="M3714" s="97" t="str">
        <f t="shared" si="312"/>
        <v/>
      </c>
      <c r="N3714" s="70"/>
      <c r="O3714" s="71" t="str">
        <f t="shared" si="316"/>
        <v/>
      </c>
      <c r="P3714" s="66"/>
      <c r="Q3714" s="66"/>
      <c r="R3714" s="54"/>
      <c r="S3714" s="82"/>
      <c r="T3714" s="83" t="str">
        <f t="shared" si="313"/>
        <v/>
      </c>
      <c r="U3714" s="10"/>
      <c r="V3714" s="41">
        <f>IF(AND(Q3714&lt;&gt;"",RIGHT(Q3714,3)&lt;&gt;""),IF(COUNTIF($Q$6:Q3714,Q3714)=1,1,0),0)</f>
        <v>0</v>
      </c>
      <c r="W3714" s="41" t="str">
        <f t="shared" si="314"/>
        <v/>
      </c>
      <c r="X3714" s="41" t="str">
        <f t="shared" si="315"/>
        <v/>
      </c>
    </row>
    <row r="3715" s="32" customFormat="1" hidden="1" customHeight="1" spans="1:24">
      <c r="A3715" s="34"/>
      <c r="B3715" s="51"/>
      <c r="C3715" s="51"/>
      <c r="D3715" s="52"/>
      <c r="E3715" s="53"/>
      <c r="F3715" s="54"/>
      <c r="G3715" s="54"/>
      <c r="H3715" s="54"/>
      <c r="I3715" s="66"/>
      <c r="J3715" s="54"/>
      <c r="K3715" s="54"/>
      <c r="L3715" s="54"/>
      <c r="M3715" s="97" t="str">
        <f t="shared" si="312"/>
        <v/>
      </c>
      <c r="N3715" s="70"/>
      <c r="O3715" s="71" t="str">
        <f t="shared" si="316"/>
        <v/>
      </c>
      <c r="P3715" s="66"/>
      <c r="Q3715" s="66"/>
      <c r="R3715" s="54"/>
      <c r="S3715" s="82"/>
      <c r="T3715" s="83" t="str">
        <f t="shared" si="313"/>
        <v/>
      </c>
      <c r="U3715" s="10"/>
      <c r="V3715" s="41">
        <f>IF(AND(Q3715&lt;&gt;"",RIGHT(Q3715,3)&lt;&gt;""),IF(COUNTIF($Q$6:Q3715,Q3715)=1,1,0),0)</f>
        <v>0</v>
      </c>
      <c r="W3715" s="41" t="str">
        <f t="shared" si="314"/>
        <v/>
      </c>
      <c r="X3715" s="41" t="str">
        <f t="shared" si="315"/>
        <v/>
      </c>
    </row>
    <row r="3716" s="32" customFormat="1" hidden="1" customHeight="1" spans="1:24">
      <c r="A3716" s="34"/>
      <c r="B3716" s="51"/>
      <c r="C3716" s="51"/>
      <c r="D3716" s="52"/>
      <c r="E3716" s="53"/>
      <c r="F3716" s="54"/>
      <c r="G3716" s="54"/>
      <c r="H3716" s="54"/>
      <c r="I3716" s="66"/>
      <c r="J3716" s="54"/>
      <c r="K3716" s="54"/>
      <c r="L3716" s="54"/>
      <c r="M3716" s="97" t="str">
        <f t="shared" si="312"/>
        <v/>
      </c>
      <c r="N3716" s="70"/>
      <c r="O3716" s="71" t="str">
        <f t="shared" si="316"/>
        <v/>
      </c>
      <c r="P3716" s="66"/>
      <c r="Q3716" s="66"/>
      <c r="R3716" s="54"/>
      <c r="S3716" s="82"/>
      <c r="T3716" s="83" t="str">
        <f t="shared" si="313"/>
        <v/>
      </c>
      <c r="U3716" s="10"/>
      <c r="V3716" s="41">
        <f>IF(AND(Q3716&lt;&gt;"",RIGHT(Q3716,3)&lt;&gt;""),IF(COUNTIF($Q$6:Q3716,Q3716)=1,1,0),0)</f>
        <v>0</v>
      </c>
      <c r="W3716" s="41" t="str">
        <f t="shared" si="314"/>
        <v/>
      </c>
      <c r="X3716" s="41" t="str">
        <f t="shared" si="315"/>
        <v/>
      </c>
    </row>
    <row r="3717" s="32" customFormat="1" hidden="1" customHeight="1" spans="1:24">
      <c r="A3717" s="34"/>
      <c r="B3717" s="51"/>
      <c r="C3717" s="51"/>
      <c r="D3717" s="52"/>
      <c r="E3717" s="53"/>
      <c r="F3717" s="54"/>
      <c r="G3717" s="54"/>
      <c r="H3717" s="54"/>
      <c r="I3717" s="66"/>
      <c r="J3717" s="54"/>
      <c r="K3717" s="54"/>
      <c r="L3717" s="54"/>
      <c r="M3717" s="97" t="str">
        <f t="shared" si="312"/>
        <v/>
      </c>
      <c r="N3717" s="70"/>
      <c r="O3717" s="71" t="str">
        <f t="shared" si="316"/>
        <v/>
      </c>
      <c r="P3717" s="66"/>
      <c r="Q3717" s="66"/>
      <c r="R3717" s="54"/>
      <c r="S3717" s="82"/>
      <c r="T3717" s="83" t="str">
        <f t="shared" si="313"/>
        <v/>
      </c>
      <c r="U3717" s="10"/>
      <c r="V3717" s="41">
        <f>IF(AND(Q3717&lt;&gt;"",RIGHT(Q3717,3)&lt;&gt;""),IF(COUNTIF($Q$6:Q3717,Q3717)=1,1,0),0)</f>
        <v>0</v>
      </c>
      <c r="W3717" s="41" t="str">
        <f t="shared" si="314"/>
        <v/>
      </c>
      <c r="X3717" s="41" t="str">
        <f t="shared" si="315"/>
        <v/>
      </c>
    </row>
    <row r="3718" s="32" customFormat="1" hidden="1" customHeight="1" spans="1:24">
      <c r="A3718" s="34"/>
      <c r="B3718" s="51"/>
      <c r="C3718" s="51"/>
      <c r="D3718" s="52"/>
      <c r="E3718" s="53"/>
      <c r="F3718" s="54"/>
      <c r="G3718" s="54"/>
      <c r="H3718" s="54"/>
      <c r="I3718" s="66"/>
      <c r="J3718" s="54"/>
      <c r="K3718" s="54"/>
      <c r="L3718" s="54"/>
      <c r="M3718" s="97" t="str">
        <f t="shared" si="312"/>
        <v/>
      </c>
      <c r="N3718" s="70"/>
      <c r="O3718" s="71" t="str">
        <f t="shared" si="316"/>
        <v/>
      </c>
      <c r="P3718" s="66"/>
      <c r="Q3718" s="66"/>
      <c r="R3718" s="54"/>
      <c r="S3718" s="82"/>
      <c r="T3718" s="83" t="str">
        <f t="shared" si="313"/>
        <v/>
      </c>
      <c r="U3718" s="10"/>
      <c r="V3718" s="41">
        <f>IF(AND(Q3718&lt;&gt;"",RIGHT(Q3718,3)&lt;&gt;""),IF(COUNTIF($Q$6:Q3718,Q3718)=1,1,0),0)</f>
        <v>0</v>
      </c>
      <c r="W3718" s="41" t="str">
        <f t="shared" si="314"/>
        <v/>
      </c>
      <c r="X3718" s="41" t="str">
        <f t="shared" si="315"/>
        <v/>
      </c>
    </row>
    <row r="3719" s="32" customFormat="1" hidden="1" customHeight="1" spans="1:24">
      <c r="A3719" s="34"/>
      <c r="B3719" s="51"/>
      <c r="C3719" s="51"/>
      <c r="D3719" s="52"/>
      <c r="E3719" s="53"/>
      <c r="F3719" s="54"/>
      <c r="G3719" s="54"/>
      <c r="H3719" s="54"/>
      <c r="I3719" s="66"/>
      <c r="J3719" s="54"/>
      <c r="K3719" s="54"/>
      <c r="L3719" s="54"/>
      <c r="M3719" s="97" t="str">
        <f t="shared" si="312"/>
        <v/>
      </c>
      <c r="N3719" s="70"/>
      <c r="O3719" s="71" t="str">
        <f t="shared" si="316"/>
        <v/>
      </c>
      <c r="P3719" s="66"/>
      <c r="Q3719" s="66"/>
      <c r="R3719" s="54"/>
      <c r="S3719" s="82"/>
      <c r="T3719" s="83" t="str">
        <f t="shared" si="313"/>
        <v/>
      </c>
      <c r="U3719" s="10"/>
      <c r="V3719" s="41">
        <f>IF(AND(Q3719&lt;&gt;"",RIGHT(Q3719,3)&lt;&gt;""),IF(COUNTIF($Q$6:Q3719,Q3719)=1,1,0),0)</f>
        <v>0</v>
      </c>
      <c r="W3719" s="41" t="str">
        <f t="shared" si="314"/>
        <v/>
      </c>
      <c r="X3719" s="41" t="str">
        <f t="shared" si="315"/>
        <v/>
      </c>
    </row>
    <row r="3720" s="32" customFormat="1" hidden="1" customHeight="1" spans="1:24">
      <c r="A3720" s="34"/>
      <c r="B3720" s="51"/>
      <c r="C3720" s="51"/>
      <c r="D3720" s="52"/>
      <c r="E3720" s="53"/>
      <c r="F3720" s="54"/>
      <c r="G3720" s="54"/>
      <c r="H3720" s="54"/>
      <c r="I3720" s="66"/>
      <c r="J3720" s="54"/>
      <c r="K3720" s="54"/>
      <c r="L3720" s="54"/>
      <c r="M3720" s="97" t="str">
        <f t="shared" si="312"/>
        <v/>
      </c>
      <c r="N3720" s="70"/>
      <c r="O3720" s="71" t="str">
        <f t="shared" si="316"/>
        <v/>
      </c>
      <c r="P3720" s="66"/>
      <c r="Q3720" s="66"/>
      <c r="R3720" s="54"/>
      <c r="S3720" s="82"/>
      <c r="T3720" s="83" t="str">
        <f t="shared" si="313"/>
        <v/>
      </c>
      <c r="U3720" s="10"/>
      <c r="V3720" s="41">
        <f>IF(AND(Q3720&lt;&gt;"",RIGHT(Q3720,3)&lt;&gt;""),IF(COUNTIF($Q$6:Q3720,Q3720)=1,1,0),0)</f>
        <v>0</v>
      </c>
      <c r="W3720" s="41" t="str">
        <f t="shared" si="314"/>
        <v/>
      </c>
      <c r="X3720" s="41" t="str">
        <f t="shared" si="315"/>
        <v/>
      </c>
    </row>
    <row r="3721" s="32" customFormat="1" hidden="1" customHeight="1" spans="1:24">
      <c r="A3721" s="34"/>
      <c r="B3721" s="51"/>
      <c r="C3721" s="51"/>
      <c r="D3721" s="52"/>
      <c r="E3721" s="53"/>
      <c r="F3721" s="54"/>
      <c r="G3721" s="54"/>
      <c r="H3721" s="54"/>
      <c r="I3721" s="66"/>
      <c r="J3721" s="54"/>
      <c r="K3721" s="54"/>
      <c r="L3721" s="54"/>
      <c r="M3721" s="97" t="str">
        <f t="shared" si="312"/>
        <v/>
      </c>
      <c r="N3721" s="70"/>
      <c r="O3721" s="71" t="str">
        <f t="shared" si="316"/>
        <v/>
      </c>
      <c r="P3721" s="66"/>
      <c r="Q3721" s="66"/>
      <c r="R3721" s="54"/>
      <c r="S3721" s="82"/>
      <c r="T3721" s="83" t="str">
        <f t="shared" si="313"/>
        <v/>
      </c>
      <c r="U3721" s="10"/>
      <c r="V3721" s="41">
        <f>IF(AND(Q3721&lt;&gt;"",RIGHT(Q3721,3)&lt;&gt;""),IF(COUNTIF($Q$6:Q3721,Q3721)=1,1,0),0)</f>
        <v>0</v>
      </c>
      <c r="W3721" s="41" t="str">
        <f t="shared" si="314"/>
        <v/>
      </c>
      <c r="X3721" s="41" t="str">
        <f t="shared" si="315"/>
        <v/>
      </c>
    </row>
    <row r="3722" s="32" customFormat="1" hidden="1" customHeight="1" spans="1:24">
      <c r="A3722" s="34"/>
      <c r="B3722" s="51"/>
      <c r="C3722" s="51"/>
      <c r="D3722" s="52"/>
      <c r="E3722" s="53"/>
      <c r="F3722" s="54"/>
      <c r="G3722" s="54"/>
      <c r="H3722" s="54"/>
      <c r="I3722" s="66"/>
      <c r="J3722" s="54"/>
      <c r="K3722" s="54"/>
      <c r="L3722" s="54"/>
      <c r="M3722" s="97" t="str">
        <f t="shared" si="312"/>
        <v/>
      </c>
      <c r="N3722" s="70"/>
      <c r="O3722" s="71" t="str">
        <f t="shared" si="316"/>
        <v/>
      </c>
      <c r="P3722" s="66"/>
      <c r="Q3722" s="66"/>
      <c r="R3722" s="54"/>
      <c r="S3722" s="82"/>
      <c r="T3722" s="83" t="str">
        <f t="shared" si="313"/>
        <v/>
      </c>
      <c r="U3722" s="10"/>
      <c r="V3722" s="41">
        <f>IF(AND(Q3722&lt;&gt;"",RIGHT(Q3722,3)&lt;&gt;""),IF(COUNTIF($Q$6:Q3722,Q3722)=1,1,0),0)</f>
        <v>0</v>
      </c>
      <c r="W3722" s="41" t="str">
        <f t="shared" si="314"/>
        <v/>
      </c>
      <c r="X3722" s="41" t="str">
        <f t="shared" si="315"/>
        <v/>
      </c>
    </row>
    <row r="3723" s="32" customFormat="1" hidden="1" customHeight="1" spans="1:24">
      <c r="A3723" s="34"/>
      <c r="B3723" s="51"/>
      <c r="C3723" s="51"/>
      <c r="D3723" s="52"/>
      <c r="E3723" s="53"/>
      <c r="F3723" s="54"/>
      <c r="G3723" s="54"/>
      <c r="H3723" s="54"/>
      <c r="I3723" s="66"/>
      <c r="J3723" s="54"/>
      <c r="K3723" s="54"/>
      <c r="L3723" s="54"/>
      <c r="M3723" s="97" t="str">
        <f t="shared" si="312"/>
        <v/>
      </c>
      <c r="N3723" s="70"/>
      <c r="O3723" s="71" t="str">
        <f t="shared" si="316"/>
        <v/>
      </c>
      <c r="P3723" s="66"/>
      <c r="Q3723" s="66"/>
      <c r="R3723" s="54"/>
      <c r="S3723" s="82"/>
      <c r="T3723" s="83" t="str">
        <f t="shared" si="313"/>
        <v/>
      </c>
      <c r="U3723" s="10"/>
      <c r="V3723" s="41">
        <f>IF(AND(Q3723&lt;&gt;"",RIGHT(Q3723,3)&lt;&gt;""),IF(COUNTIF($Q$6:Q3723,Q3723)=1,1,0),0)</f>
        <v>0</v>
      </c>
      <c r="W3723" s="41" t="str">
        <f t="shared" si="314"/>
        <v/>
      </c>
      <c r="X3723" s="41" t="str">
        <f t="shared" si="315"/>
        <v/>
      </c>
    </row>
    <row r="3724" s="32" customFormat="1" hidden="1" customHeight="1" spans="1:24">
      <c r="A3724" s="34"/>
      <c r="B3724" s="51"/>
      <c r="C3724" s="51"/>
      <c r="D3724" s="52"/>
      <c r="E3724" s="53"/>
      <c r="F3724" s="54"/>
      <c r="G3724" s="54"/>
      <c r="H3724" s="54"/>
      <c r="I3724" s="66"/>
      <c r="J3724" s="54"/>
      <c r="K3724" s="54"/>
      <c r="L3724" s="54"/>
      <c r="M3724" s="97" t="str">
        <f t="shared" si="312"/>
        <v/>
      </c>
      <c r="N3724" s="70"/>
      <c r="O3724" s="71" t="str">
        <f t="shared" si="316"/>
        <v/>
      </c>
      <c r="P3724" s="66"/>
      <c r="Q3724" s="66"/>
      <c r="R3724" s="54"/>
      <c r="S3724" s="82"/>
      <c r="T3724" s="83" t="str">
        <f t="shared" si="313"/>
        <v/>
      </c>
      <c r="U3724" s="10"/>
      <c r="V3724" s="41">
        <f>IF(AND(Q3724&lt;&gt;"",RIGHT(Q3724,3)&lt;&gt;""),IF(COUNTIF($Q$6:Q3724,Q3724)=1,1,0),0)</f>
        <v>0</v>
      </c>
      <c r="W3724" s="41" t="str">
        <f t="shared" si="314"/>
        <v/>
      </c>
      <c r="X3724" s="41" t="str">
        <f t="shared" si="315"/>
        <v/>
      </c>
    </row>
    <row r="3725" s="32" customFormat="1" hidden="1" customHeight="1" spans="1:24">
      <c r="A3725" s="34"/>
      <c r="B3725" s="51"/>
      <c r="C3725" s="51"/>
      <c r="D3725" s="52"/>
      <c r="E3725" s="53"/>
      <c r="F3725" s="54"/>
      <c r="G3725" s="54"/>
      <c r="H3725" s="54"/>
      <c r="I3725" s="66"/>
      <c r="J3725" s="54"/>
      <c r="K3725" s="54"/>
      <c r="L3725" s="54"/>
      <c r="M3725" s="97" t="str">
        <f t="shared" si="312"/>
        <v/>
      </c>
      <c r="N3725" s="70"/>
      <c r="O3725" s="71" t="str">
        <f t="shared" si="316"/>
        <v/>
      </c>
      <c r="P3725" s="66"/>
      <c r="Q3725" s="66"/>
      <c r="R3725" s="54"/>
      <c r="S3725" s="82"/>
      <c r="T3725" s="83" t="str">
        <f t="shared" si="313"/>
        <v/>
      </c>
      <c r="U3725" s="10"/>
      <c r="V3725" s="41">
        <f>IF(AND(Q3725&lt;&gt;"",RIGHT(Q3725,3)&lt;&gt;""),IF(COUNTIF($Q$6:Q3725,Q3725)=1,1,0),0)</f>
        <v>0</v>
      </c>
      <c r="W3725" s="41" t="str">
        <f t="shared" si="314"/>
        <v/>
      </c>
      <c r="X3725" s="41" t="str">
        <f t="shared" si="315"/>
        <v/>
      </c>
    </row>
    <row r="3726" s="32" customFormat="1" hidden="1" customHeight="1" spans="1:24">
      <c r="A3726" s="34"/>
      <c r="B3726" s="51"/>
      <c r="C3726" s="51"/>
      <c r="D3726" s="52"/>
      <c r="E3726" s="53"/>
      <c r="F3726" s="54"/>
      <c r="G3726" s="54"/>
      <c r="H3726" s="54"/>
      <c r="I3726" s="66"/>
      <c r="J3726" s="54"/>
      <c r="K3726" s="54"/>
      <c r="L3726" s="54"/>
      <c r="M3726" s="97" t="str">
        <f t="shared" si="312"/>
        <v/>
      </c>
      <c r="N3726" s="70"/>
      <c r="O3726" s="71" t="str">
        <f t="shared" si="316"/>
        <v/>
      </c>
      <c r="P3726" s="66"/>
      <c r="Q3726" s="66"/>
      <c r="R3726" s="54"/>
      <c r="S3726" s="82"/>
      <c r="T3726" s="83" t="str">
        <f t="shared" si="313"/>
        <v/>
      </c>
      <c r="U3726" s="10"/>
      <c r="V3726" s="41">
        <f>IF(AND(Q3726&lt;&gt;"",RIGHT(Q3726,3)&lt;&gt;""),IF(COUNTIF($Q$6:Q3726,Q3726)=1,1,0),0)</f>
        <v>0</v>
      </c>
      <c r="W3726" s="41" t="str">
        <f t="shared" si="314"/>
        <v/>
      </c>
      <c r="X3726" s="41" t="str">
        <f t="shared" si="315"/>
        <v/>
      </c>
    </row>
    <row r="3727" s="32" customFormat="1" hidden="1" customHeight="1" spans="1:24">
      <c r="A3727" s="34"/>
      <c r="B3727" s="51"/>
      <c r="C3727" s="51"/>
      <c r="D3727" s="52"/>
      <c r="E3727" s="53"/>
      <c r="F3727" s="54"/>
      <c r="G3727" s="54"/>
      <c r="H3727" s="54"/>
      <c r="I3727" s="66"/>
      <c r="J3727" s="54"/>
      <c r="K3727" s="54"/>
      <c r="L3727" s="54"/>
      <c r="M3727" s="97" t="str">
        <f t="shared" si="312"/>
        <v/>
      </c>
      <c r="N3727" s="70"/>
      <c r="O3727" s="71" t="str">
        <f t="shared" si="316"/>
        <v/>
      </c>
      <c r="P3727" s="66"/>
      <c r="Q3727" s="66"/>
      <c r="R3727" s="54"/>
      <c r="S3727" s="82"/>
      <c r="T3727" s="83" t="str">
        <f t="shared" si="313"/>
        <v/>
      </c>
      <c r="U3727" s="10"/>
      <c r="V3727" s="41">
        <f>IF(AND(Q3727&lt;&gt;"",RIGHT(Q3727,3)&lt;&gt;""),IF(COUNTIF($Q$6:Q3727,Q3727)=1,1,0),0)</f>
        <v>0</v>
      </c>
      <c r="W3727" s="41" t="str">
        <f t="shared" si="314"/>
        <v/>
      </c>
      <c r="X3727" s="41" t="str">
        <f t="shared" si="315"/>
        <v/>
      </c>
    </row>
    <row r="3728" s="32" customFormat="1" hidden="1" customHeight="1" spans="1:24">
      <c r="A3728" s="34"/>
      <c r="B3728" s="51"/>
      <c r="C3728" s="51"/>
      <c r="D3728" s="52"/>
      <c r="E3728" s="53"/>
      <c r="F3728" s="54"/>
      <c r="G3728" s="54"/>
      <c r="H3728" s="54"/>
      <c r="I3728" s="66"/>
      <c r="J3728" s="54"/>
      <c r="K3728" s="54"/>
      <c r="L3728" s="54"/>
      <c r="M3728" s="97" t="str">
        <f t="shared" si="312"/>
        <v/>
      </c>
      <c r="N3728" s="70"/>
      <c r="O3728" s="71" t="str">
        <f t="shared" si="316"/>
        <v/>
      </c>
      <c r="P3728" s="66"/>
      <c r="Q3728" s="66"/>
      <c r="R3728" s="54"/>
      <c r="S3728" s="82"/>
      <c r="T3728" s="83" t="str">
        <f t="shared" si="313"/>
        <v/>
      </c>
      <c r="U3728" s="10"/>
      <c r="V3728" s="41">
        <f>IF(AND(Q3728&lt;&gt;"",RIGHT(Q3728,3)&lt;&gt;""),IF(COUNTIF($Q$6:Q3728,Q3728)=1,1,0),0)</f>
        <v>0</v>
      </c>
      <c r="W3728" s="41" t="str">
        <f t="shared" si="314"/>
        <v/>
      </c>
      <c r="X3728" s="41" t="str">
        <f t="shared" si="315"/>
        <v/>
      </c>
    </row>
    <row r="3729" s="32" customFormat="1" hidden="1" customHeight="1" spans="1:24">
      <c r="A3729" s="34"/>
      <c r="B3729" s="51"/>
      <c r="C3729" s="51"/>
      <c r="D3729" s="52"/>
      <c r="E3729" s="53"/>
      <c r="F3729" s="54"/>
      <c r="G3729" s="54"/>
      <c r="H3729" s="54"/>
      <c r="I3729" s="66"/>
      <c r="J3729" s="54"/>
      <c r="K3729" s="54"/>
      <c r="L3729" s="54"/>
      <c r="M3729" s="97" t="str">
        <f t="shared" si="312"/>
        <v/>
      </c>
      <c r="N3729" s="70"/>
      <c r="O3729" s="71" t="str">
        <f t="shared" si="316"/>
        <v/>
      </c>
      <c r="P3729" s="66"/>
      <c r="Q3729" s="66"/>
      <c r="R3729" s="54"/>
      <c r="S3729" s="82"/>
      <c r="T3729" s="83" t="str">
        <f t="shared" si="313"/>
        <v/>
      </c>
      <c r="U3729" s="10"/>
      <c r="V3729" s="41">
        <f>IF(AND(Q3729&lt;&gt;"",RIGHT(Q3729,3)&lt;&gt;""),IF(COUNTIF($Q$6:Q3729,Q3729)=1,1,0),0)</f>
        <v>0</v>
      </c>
      <c r="W3729" s="41" t="str">
        <f t="shared" si="314"/>
        <v/>
      </c>
      <c r="X3729" s="41" t="str">
        <f t="shared" si="315"/>
        <v/>
      </c>
    </row>
    <row r="3730" s="32" customFormat="1" hidden="1" customHeight="1" spans="1:24">
      <c r="A3730" s="34"/>
      <c r="B3730" s="51"/>
      <c r="C3730" s="51"/>
      <c r="D3730" s="52"/>
      <c r="E3730" s="53"/>
      <c r="F3730" s="54"/>
      <c r="G3730" s="54"/>
      <c r="H3730" s="54"/>
      <c r="I3730" s="66"/>
      <c r="J3730" s="54"/>
      <c r="K3730" s="54"/>
      <c r="L3730" s="54"/>
      <c r="M3730" s="97" t="str">
        <f t="shared" si="312"/>
        <v/>
      </c>
      <c r="N3730" s="70"/>
      <c r="O3730" s="71" t="str">
        <f t="shared" si="316"/>
        <v/>
      </c>
      <c r="P3730" s="66"/>
      <c r="Q3730" s="66"/>
      <c r="R3730" s="54"/>
      <c r="S3730" s="82"/>
      <c r="T3730" s="83" t="str">
        <f t="shared" si="313"/>
        <v/>
      </c>
      <c r="U3730" s="10"/>
      <c r="V3730" s="41">
        <f>IF(AND(Q3730&lt;&gt;"",RIGHT(Q3730,3)&lt;&gt;""),IF(COUNTIF($Q$6:Q3730,Q3730)=1,1,0),0)</f>
        <v>0</v>
      </c>
      <c r="W3730" s="41" t="str">
        <f t="shared" si="314"/>
        <v/>
      </c>
      <c r="X3730" s="41" t="str">
        <f t="shared" si="315"/>
        <v/>
      </c>
    </row>
    <row r="3731" s="32" customFormat="1" hidden="1" customHeight="1" spans="1:24">
      <c r="A3731" s="34"/>
      <c r="B3731" s="51"/>
      <c r="C3731" s="51"/>
      <c r="D3731" s="52"/>
      <c r="E3731" s="53"/>
      <c r="F3731" s="54"/>
      <c r="G3731" s="54"/>
      <c r="H3731" s="54"/>
      <c r="I3731" s="66"/>
      <c r="J3731" s="54"/>
      <c r="K3731" s="54"/>
      <c r="L3731" s="54"/>
      <c r="M3731" s="97" t="str">
        <f t="shared" si="312"/>
        <v/>
      </c>
      <c r="N3731" s="70"/>
      <c r="O3731" s="71" t="str">
        <f t="shared" si="316"/>
        <v/>
      </c>
      <c r="P3731" s="66"/>
      <c r="Q3731" s="66"/>
      <c r="R3731" s="54"/>
      <c r="S3731" s="82"/>
      <c r="T3731" s="83" t="str">
        <f t="shared" si="313"/>
        <v/>
      </c>
      <c r="U3731" s="10"/>
      <c r="V3731" s="41">
        <f>IF(AND(Q3731&lt;&gt;"",RIGHT(Q3731,3)&lt;&gt;""),IF(COUNTIF($Q$6:Q3731,Q3731)=1,1,0),0)</f>
        <v>0</v>
      </c>
      <c r="W3731" s="41" t="str">
        <f t="shared" si="314"/>
        <v/>
      </c>
      <c r="X3731" s="41" t="str">
        <f t="shared" si="315"/>
        <v/>
      </c>
    </row>
    <row r="3732" s="32" customFormat="1" hidden="1" customHeight="1" spans="1:24">
      <c r="A3732" s="34"/>
      <c r="B3732" s="51"/>
      <c r="C3732" s="51"/>
      <c r="D3732" s="52"/>
      <c r="E3732" s="53"/>
      <c r="F3732" s="54"/>
      <c r="G3732" s="54"/>
      <c r="H3732" s="54"/>
      <c r="I3732" s="66"/>
      <c r="J3732" s="54"/>
      <c r="K3732" s="54"/>
      <c r="L3732" s="54"/>
      <c r="M3732" s="97" t="str">
        <f t="shared" si="312"/>
        <v/>
      </c>
      <c r="N3732" s="70"/>
      <c r="O3732" s="71" t="str">
        <f t="shared" si="316"/>
        <v/>
      </c>
      <c r="P3732" s="66"/>
      <c r="Q3732" s="66"/>
      <c r="R3732" s="54"/>
      <c r="S3732" s="82"/>
      <c r="T3732" s="83" t="str">
        <f t="shared" si="313"/>
        <v/>
      </c>
      <c r="U3732" s="10"/>
      <c r="V3732" s="41">
        <f>IF(AND(Q3732&lt;&gt;"",RIGHT(Q3732,3)&lt;&gt;""),IF(COUNTIF($Q$6:Q3732,Q3732)=1,1,0),0)</f>
        <v>0</v>
      </c>
      <c r="W3732" s="41" t="str">
        <f t="shared" si="314"/>
        <v/>
      </c>
      <c r="X3732" s="41" t="str">
        <f t="shared" si="315"/>
        <v/>
      </c>
    </row>
    <row r="3733" s="32" customFormat="1" hidden="1" customHeight="1" spans="1:24">
      <c r="A3733" s="34"/>
      <c r="B3733" s="51"/>
      <c r="C3733" s="51"/>
      <c r="D3733" s="52"/>
      <c r="E3733" s="53"/>
      <c r="F3733" s="54"/>
      <c r="G3733" s="54"/>
      <c r="H3733" s="54"/>
      <c r="I3733" s="66"/>
      <c r="J3733" s="54"/>
      <c r="K3733" s="54"/>
      <c r="L3733" s="54"/>
      <c r="M3733" s="97" t="str">
        <f t="shared" si="312"/>
        <v/>
      </c>
      <c r="N3733" s="70"/>
      <c r="O3733" s="71" t="str">
        <f t="shared" si="316"/>
        <v/>
      </c>
      <c r="P3733" s="66"/>
      <c r="Q3733" s="66"/>
      <c r="R3733" s="54"/>
      <c r="S3733" s="82"/>
      <c r="T3733" s="83" t="str">
        <f t="shared" si="313"/>
        <v/>
      </c>
      <c r="U3733" s="10"/>
      <c r="V3733" s="41">
        <f>IF(AND(Q3733&lt;&gt;"",RIGHT(Q3733,3)&lt;&gt;""),IF(COUNTIF($Q$6:Q3733,Q3733)=1,1,0),0)</f>
        <v>0</v>
      </c>
      <c r="W3733" s="41" t="str">
        <f t="shared" si="314"/>
        <v/>
      </c>
      <c r="X3733" s="41" t="str">
        <f t="shared" si="315"/>
        <v/>
      </c>
    </row>
    <row r="3734" s="32" customFormat="1" hidden="1" customHeight="1" spans="1:24">
      <c r="A3734" s="34"/>
      <c r="B3734" s="51"/>
      <c r="C3734" s="51"/>
      <c r="D3734" s="52"/>
      <c r="E3734" s="53"/>
      <c r="F3734" s="54"/>
      <c r="G3734" s="54"/>
      <c r="H3734" s="54"/>
      <c r="I3734" s="66"/>
      <c r="J3734" s="54"/>
      <c r="K3734" s="54"/>
      <c r="L3734" s="54"/>
      <c r="M3734" s="97" t="str">
        <f t="shared" si="312"/>
        <v/>
      </c>
      <c r="N3734" s="70"/>
      <c r="O3734" s="71" t="str">
        <f t="shared" si="316"/>
        <v/>
      </c>
      <c r="P3734" s="66"/>
      <c r="Q3734" s="66"/>
      <c r="R3734" s="54"/>
      <c r="S3734" s="82"/>
      <c r="T3734" s="83" t="str">
        <f t="shared" si="313"/>
        <v/>
      </c>
      <c r="U3734" s="10"/>
      <c r="V3734" s="41">
        <f>IF(AND(Q3734&lt;&gt;"",RIGHT(Q3734,3)&lt;&gt;""),IF(COUNTIF($Q$6:Q3734,Q3734)=1,1,0),0)</f>
        <v>0</v>
      </c>
      <c r="W3734" s="41" t="str">
        <f t="shared" si="314"/>
        <v/>
      </c>
      <c r="X3734" s="41" t="str">
        <f t="shared" si="315"/>
        <v/>
      </c>
    </row>
    <row r="3735" s="32" customFormat="1" hidden="1" customHeight="1" spans="1:24">
      <c r="A3735" s="34"/>
      <c r="B3735" s="51"/>
      <c r="C3735" s="51"/>
      <c r="D3735" s="52"/>
      <c r="E3735" s="53"/>
      <c r="F3735" s="54"/>
      <c r="G3735" s="54"/>
      <c r="H3735" s="54"/>
      <c r="I3735" s="66"/>
      <c r="J3735" s="54"/>
      <c r="K3735" s="54"/>
      <c r="L3735" s="54"/>
      <c r="M3735" s="97" t="str">
        <f t="shared" si="312"/>
        <v/>
      </c>
      <c r="N3735" s="70"/>
      <c r="O3735" s="71" t="str">
        <f t="shared" si="316"/>
        <v/>
      </c>
      <c r="P3735" s="66"/>
      <c r="Q3735" s="66"/>
      <c r="R3735" s="54"/>
      <c r="S3735" s="82"/>
      <c r="T3735" s="83" t="str">
        <f t="shared" si="313"/>
        <v/>
      </c>
      <c r="U3735" s="10"/>
      <c r="V3735" s="41">
        <f>IF(AND(Q3735&lt;&gt;"",RIGHT(Q3735,3)&lt;&gt;""),IF(COUNTIF($Q$6:Q3735,Q3735)=1,1,0),0)</f>
        <v>0</v>
      </c>
      <c r="W3735" s="41" t="str">
        <f t="shared" si="314"/>
        <v/>
      </c>
      <c r="X3735" s="41" t="str">
        <f t="shared" si="315"/>
        <v/>
      </c>
    </row>
    <row r="3736" s="32" customFormat="1" hidden="1" customHeight="1" spans="1:24">
      <c r="A3736" s="34"/>
      <c r="B3736" s="51"/>
      <c r="C3736" s="51"/>
      <c r="D3736" s="52"/>
      <c r="E3736" s="53"/>
      <c r="F3736" s="54"/>
      <c r="G3736" s="54"/>
      <c r="H3736" s="54"/>
      <c r="I3736" s="66"/>
      <c r="J3736" s="54"/>
      <c r="K3736" s="54"/>
      <c r="L3736" s="54"/>
      <c r="M3736" s="97" t="str">
        <f t="shared" si="312"/>
        <v/>
      </c>
      <c r="N3736" s="70"/>
      <c r="O3736" s="71" t="str">
        <f t="shared" si="316"/>
        <v/>
      </c>
      <c r="P3736" s="66"/>
      <c r="Q3736" s="66"/>
      <c r="R3736" s="54"/>
      <c r="S3736" s="82"/>
      <c r="T3736" s="83" t="str">
        <f t="shared" si="313"/>
        <v/>
      </c>
      <c r="U3736" s="10"/>
      <c r="V3736" s="41">
        <f>IF(AND(Q3736&lt;&gt;"",RIGHT(Q3736,3)&lt;&gt;""),IF(COUNTIF($Q$6:Q3736,Q3736)=1,1,0),0)</f>
        <v>0</v>
      </c>
      <c r="W3736" s="41" t="str">
        <f t="shared" si="314"/>
        <v/>
      </c>
      <c r="X3736" s="41" t="str">
        <f t="shared" si="315"/>
        <v/>
      </c>
    </row>
    <row r="3737" s="32" customFormat="1" hidden="1" customHeight="1" spans="1:24">
      <c r="A3737" s="34"/>
      <c r="B3737" s="51"/>
      <c r="C3737" s="51"/>
      <c r="D3737" s="52"/>
      <c r="E3737" s="53"/>
      <c r="F3737" s="54"/>
      <c r="G3737" s="54"/>
      <c r="H3737" s="54"/>
      <c r="I3737" s="66"/>
      <c r="J3737" s="54"/>
      <c r="K3737" s="54"/>
      <c r="L3737" s="54"/>
      <c r="M3737" s="97" t="str">
        <f t="shared" si="312"/>
        <v/>
      </c>
      <c r="N3737" s="70"/>
      <c r="O3737" s="71" t="str">
        <f t="shared" si="316"/>
        <v/>
      </c>
      <c r="P3737" s="66"/>
      <c r="Q3737" s="66"/>
      <c r="R3737" s="54"/>
      <c r="S3737" s="82"/>
      <c r="T3737" s="83" t="str">
        <f t="shared" si="313"/>
        <v/>
      </c>
      <c r="U3737" s="10"/>
      <c r="V3737" s="41">
        <f>IF(AND(Q3737&lt;&gt;"",RIGHT(Q3737,3)&lt;&gt;""),IF(COUNTIF($Q$6:Q3737,Q3737)=1,1,0),0)</f>
        <v>0</v>
      </c>
      <c r="W3737" s="41" t="str">
        <f t="shared" si="314"/>
        <v/>
      </c>
      <c r="X3737" s="41" t="str">
        <f t="shared" si="315"/>
        <v/>
      </c>
    </row>
    <row r="3738" s="32" customFormat="1" hidden="1" customHeight="1" spans="1:24">
      <c r="A3738" s="34"/>
      <c r="B3738" s="51"/>
      <c r="C3738" s="51"/>
      <c r="D3738" s="52"/>
      <c r="E3738" s="53"/>
      <c r="F3738" s="54"/>
      <c r="G3738" s="54"/>
      <c r="H3738" s="54"/>
      <c r="I3738" s="66"/>
      <c r="J3738" s="54"/>
      <c r="K3738" s="54"/>
      <c r="L3738" s="54"/>
      <c r="M3738" s="97" t="str">
        <f t="shared" si="312"/>
        <v/>
      </c>
      <c r="N3738" s="70"/>
      <c r="O3738" s="71" t="str">
        <f t="shared" si="316"/>
        <v/>
      </c>
      <c r="P3738" s="66"/>
      <c r="Q3738" s="66"/>
      <c r="R3738" s="54"/>
      <c r="S3738" s="82"/>
      <c r="T3738" s="83" t="str">
        <f t="shared" si="313"/>
        <v/>
      </c>
      <c r="U3738" s="10"/>
      <c r="V3738" s="41">
        <f>IF(AND(Q3738&lt;&gt;"",RIGHT(Q3738,3)&lt;&gt;""),IF(COUNTIF($Q$6:Q3738,Q3738)=1,1,0),0)</f>
        <v>0</v>
      </c>
      <c r="W3738" s="41" t="str">
        <f t="shared" si="314"/>
        <v/>
      </c>
      <c r="X3738" s="41" t="str">
        <f t="shared" si="315"/>
        <v/>
      </c>
    </row>
    <row r="3739" s="32" customFormat="1" hidden="1" customHeight="1" spans="1:24">
      <c r="A3739" s="34"/>
      <c r="B3739" s="51"/>
      <c r="C3739" s="51"/>
      <c r="D3739" s="52"/>
      <c r="E3739" s="53"/>
      <c r="F3739" s="54"/>
      <c r="G3739" s="54"/>
      <c r="H3739" s="54"/>
      <c r="I3739" s="66"/>
      <c r="J3739" s="54"/>
      <c r="K3739" s="54"/>
      <c r="L3739" s="54"/>
      <c r="M3739" s="97" t="str">
        <f t="shared" si="312"/>
        <v/>
      </c>
      <c r="N3739" s="70"/>
      <c r="O3739" s="71" t="str">
        <f t="shared" si="316"/>
        <v/>
      </c>
      <c r="P3739" s="66"/>
      <c r="Q3739" s="66"/>
      <c r="R3739" s="54"/>
      <c r="S3739" s="82"/>
      <c r="T3739" s="83" t="str">
        <f t="shared" si="313"/>
        <v/>
      </c>
      <c r="U3739" s="10"/>
      <c r="V3739" s="41">
        <f>IF(AND(Q3739&lt;&gt;"",RIGHT(Q3739,3)&lt;&gt;""),IF(COUNTIF($Q$6:Q3739,Q3739)=1,1,0),0)</f>
        <v>0</v>
      </c>
      <c r="W3739" s="41" t="str">
        <f t="shared" si="314"/>
        <v/>
      </c>
      <c r="X3739" s="41" t="str">
        <f t="shared" si="315"/>
        <v/>
      </c>
    </row>
    <row r="3740" s="32" customFormat="1" hidden="1" customHeight="1" spans="1:24">
      <c r="A3740" s="34"/>
      <c r="B3740" s="51"/>
      <c r="C3740" s="51"/>
      <c r="D3740" s="52"/>
      <c r="E3740" s="53"/>
      <c r="F3740" s="54"/>
      <c r="G3740" s="54"/>
      <c r="H3740" s="54"/>
      <c r="I3740" s="66"/>
      <c r="J3740" s="54"/>
      <c r="K3740" s="54"/>
      <c r="L3740" s="54"/>
      <c r="M3740" s="97" t="str">
        <f t="shared" si="312"/>
        <v/>
      </c>
      <c r="N3740" s="70"/>
      <c r="O3740" s="71" t="str">
        <f t="shared" si="316"/>
        <v/>
      </c>
      <c r="P3740" s="66"/>
      <c r="Q3740" s="66"/>
      <c r="R3740" s="54"/>
      <c r="S3740" s="82"/>
      <c r="T3740" s="83" t="str">
        <f t="shared" si="313"/>
        <v/>
      </c>
      <c r="U3740" s="10"/>
      <c r="V3740" s="41">
        <f>IF(AND(Q3740&lt;&gt;"",RIGHT(Q3740,3)&lt;&gt;""),IF(COUNTIF($Q$6:Q3740,Q3740)=1,1,0),0)</f>
        <v>0</v>
      </c>
      <c r="W3740" s="41" t="str">
        <f t="shared" si="314"/>
        <v/>
      </c>
      <c r="X3740" s="41" t="str">
        <f t="shared" si="315"/>
        <v/>
      </c>
    </row>
    <row r="3741" s="32" customFormat="1" hidden="1" customHeight="1" spans="1:24">
      <c r="A3741" s="34"/>
      <c r="B3741" s="51"/>
      <c r="C3741" s="51"/>
      <c r="D3741" s="52"/>
      <c r="E3741" s="53"/>
      <c r="F3741" s="54"/>
      <c r="G3741" s="54"/>
      <c r="H3741" s="54"/>
      <c r="I3741" s="66"/>
      <c r="J3741" s="54"/>
      <c r="K3741" s="54"/>
      <c r="L3741" s="54"/>
      <c r="M3741" s="97" t="str">
        <f t="shared" si="312"/>
        <v/>
      </c>
      <c r="N3741" s="70"/>
      <c r="O3741" s="71" t="str">
        <f t="shared" si="316"/>
        <v/>
      </c>
      <c r="P3741" s="66"/>
      <c r="Q3741" s="66"/>
      <c r="R3741" s="54"/>
      <c r="S3741" s="82"/>
      <c r="T3741" s="83" t="str">
        <f t="shared" si="313"/>
        <v/>
      </c>
      <c r="U3741" s="10"/>
      <c r="V3741" s="41">
        <f>IF(AND(Q3741&lt;&gt;"",RIGHT(Q3741,3)&lt;&gt;""),IF(COUNTIF($Q$6:Q3741,Q3741)=1,1,0),0)</f>
        <v>0</v>
      </c>
      <c r="W3741" s="41" t="str">
        <f t="shared" si="314"/>
        <v/>
      </c>
      <c r="X3741" s="41" t="str">
        <f t="shared" si="315"/>
        <v/>
      </c>
    </row>
    <row r="3742" s="32" customFormat="1" hidden="1" customHeight="1" spans="1:24">
      <c r="A3742" s="34"/>
      <c r="B3742" s="51"/>
      <c r="C3742" s="51"/>
      <c r="D3742" s="52"/>
      <c r="E3742" s="53"/>
      <c r="F3742" s="54"/>
      <c r="G3742" s="54"/>
      <c r="H3742" s="54"/>
      <c r="I3742" s="66"/>
      <c r="J3742" s="54"/>
      <c r="K3742" s="54"/>
      <c r="L3742" s="54"/>
      <c r="M3742" s="97" t="str">
        <f t="shared" si="312"/>
        <v/>
      </c>
      <c r="N3742" s="70"/>
      <c r="O3742" s="71" t="str">
        <f t="shared" si="316"/>
        <v/>
      </c>
      <c r="P3742" s="66"/>
      <c r="Q3742" s="66"/>
      <c r="R3742" s="54"/>
      <c r="S3742" s="82"/>
      <c r="T3742" s="83" t="str">
        <f t="shared" si="313"/>
        <v/>
      </c>
      <c r="U3742" s="10"/>
      <c r="V3742" s="41">
        <f>IF(AND(Q3742&lt;&gt;"",RIGHT(Q3742,3)&lt;&gt;""),IF(COUNTIF($Q$6:Q3742,Q3742)=1,1,0),0)</f>
        <v>0</v>
      </c>
      <c r="W3742" s="41" t="str">
        <f t="shared" si="314"/>
        <v/>
      </c>
      <c r="X3742" s="41" t="str">
        <f t="shared" si="315"/>
        <v/>
      </c>
    </row>
    <row r="3743" s="32" customFormat="1" hidden="1" customHeight="1" spans="1:24">
      <c r="A3743" s="34"/>
      <c r="B3743" s="51"/>
      <c r="C3743" s="51"/>
      <c r="D3743" s="52"/>
      <c r="E3743" s="53"/>
      <c r="F3743" s="54"/>
      <c r="G3743" s="54"/>
      <c r="H3743" s="54"/>
      <c r="I3743" s="66"/>
      <c r="J3743" s="54"/>
      <c r="K3743" s="54"/>
      <c r="L3743" s="54"/>
      <c r="M3743" s="97" t="str">
        <f t="shared" si="312"/>
        <v/>
      </c>
      <c r="N3743" s="70"/>
      <c r="O3743" s="71" t="str">
        <f t="shared" si="316"/>
        <v/>
      </c>
      <c r="P3743" s="66"/>
      <c r="Q3743" s="66"/>
      <c r="R3743" s="54"/>
      <c r="S3743" s="82"/>
      <c r="T3743" s="83" t="str">
        <f t="shared" si="313"/>
        <v/>
      </c>
      <c r="U3743" s="10"/>
      <c r="V3743" s="41">
        <f>IF(AND(Q3743&lt;&gt;"",RIGHT(Q3743,3)&lt;&gt;""),IF(COUNTIF($Q$6:Q3743,Q3743)=1,1,0),0)</f>
        <v>0</v>
      </c>
      <c r="W3743" s="41" t="str">
        <f t="shared" si="314"/>
        <v/>
      </c>
      <c r="X3743" s="41" t="str">
        <f t="shared" si="315"/>
        <v/>
      </c>
    </row>
    <row r="3744" s="32" customFormat="1" hidden="1" customHeight="1" spans="1:24">
      <c r="A3744" s="34"/>
      <c r="B3744" s="51"/>
      <c r="C3744" s="51"/>
      <c r="D3744" s="52"/>
      <c r="E3744" s="53"/>
      <c r="F3744" s="54"/>
      <c r="G3744" s="54"/>
      <c r="H3744" s="54"/>
      <c r="I3744" s="66"/>
      <c r="J3744" s="54"/>
      <c r="K3744" s="54"/>
      <c r="L3744" s="54"/>
      <c r="M3744" s="97" t="str">
        <f t="shared" si="312"/>
        <v/>
      </c>
      <c r="N3744" s="70"/>
      <c r="O3744" s="71" t="str">
        <f t="shared" si="316"/>
        <v/>
      </c>
      <c r="P3744" s="66"/>
      <c r="Q3744" s="66"/>
      <c r="R3744" s="54"/>
      <c r="S3744" s="82"/>
      <c r="T3744" s="83" t="str">
        <f t="shared" si="313"/>
        <v/>
      </c>
      <c r="U3744" s="10"/>
      <c r="V3744" s="41">
        <f>IF(AND(Q3744&lt;&gt;"",RIGHT(Q3744,3)&lt;&gt;""),IF(COUNTIF($Q$6:Q3744,Q3744)=1,1,0),0)</f>
        <v>0</v>
      </c>
      <c r="W3744" s="41" t="str">
        <f t="shared" si="314"/>
        <v/>
      </c>
      <c r="X3744" s="41" t="str">
        <f t="shared" si="315"/>
        <v/>
      </c>
    </row>
    <row r="3745" s="32" customFormat="1" hidden="1" customHeight="1" spans="1:24">
      <c r="A3745" s="34"/>
      <c r="B3745" s="51"/>
      <c r="C3745" s="51"/>
      <c r="D3745" s="52"/>
      <c r="E3745" s="53"/>
      <c r="F3745" s="54"/>
      <c r="G3745" s="54"/>
      <c r="H3745" s="54"/>
      <c r="I3745" s="66"/>
      <c r="J3745" s="54"/>
      <c r="K3745" s="54"/>
      <c r="L3745" s="54"/>
      <c r="M3745" s="97" t="str">
        <f t="shared" si="312"/>
        <v/>
      </c>
      <c r="N3745" s="70"/>
      <c r="O3745" s="71" t="str">
        <f t="shared" si="316"/>
        <v/>
      </c>
      <c r="P3745" s="66"/>
      <c r="Q3745" s="66"/>
      <c r="R3745" s="54"/>
      <c r="S3745" s="82"/>
      <c r="T3745" s="83" t="str">
        <f t="shared" si="313"/>
        <v/>
      </c>
      <c r="U3745" s="10"/>
      <c r="V3745" s="41">
        <f>IF(AND(Q3745&lt;&gt;"",RIGHT(Q3745,3)&lt;&gt;""),IF(COUNTIF($Q$6:Q3745,Q3745)=1,1,0),0)</f>
        <v>0</v>
      </c>
      <c r="W3745" s="41" t="str">
        <f t="shared" si="314"/>
        <v/>
      </c>
      <c r="X3745" s="41" t="str">
        <f t="shared" si="315"/>
        <v/>
      </c>
    </row>
    <row r="3746" s="32" customFormat="1" hidden="1" customHeight="1" spans="1:24">
      <c r="A3746" s="34"/>
      <c r="B3746" s="51"/>
      <c r="C3746" s="51"/>
      <c r="D3746" s="52"/>
      <c r="E3746" s="53"/>
      <c r="F3746" s="54"/>
      <c r="G3746" s="54"/>
      <c r="H3746" s="54"/>
      <c r="I3746" s="66"/>
      <c r="J3746" s="54"/>
      <c r="K3746" s="54"/>
      <c r="L3746" s="54"/>
      <c r="M3746" s="97" t="str">
        <f t="shared" si="312"/>
        <v/>
      </c>
      <c r="N3746" s="70"/>
      <c r="O3746" s="71" t="str">
        <f t="shared" si="316"/>
        <v/>
      </c>
      <c r="P3746" s="66"/>
      <c r="Q3746" s="66"/>
      <c r="R3746" s="54"/>
      <c r="S3746" s="82"/>
      <c r="T3746" s="83" t="str">
        <f t="shared" si="313"/>
        <v/>
      </c>
      <c r="U3746" s="10"/>
      <c r="V3746" s="41">
        <f>IF(AND(Q3746&lt;&gt;"",RIGHT(Q3746,3)&lt;&gt;""),IF(COUNTIF($Q$6:Q3746,Q3746)=1,1,0),0)</f>
        <v>0</v>
      </c>
      <c r="W3746" s="41" t="str">
        <f t="shared" si="314"/>
        <v/>
      </c>
      <c r="X3746" s="41" t="str">
        <f t="shared" si="315"/>
        <v/>
      </c>
    </row>
    <row r="3747" s="32" customFormat="1" hidden="1" customHeight="1" spans="1:24">
      <c r="A3747" s="34"/>
      <c r="B3747" s="51"/>
      <c r="C3747" s="51"/>
      <c r="D3747" s="52"/>
      <c r="E3747" s="53"/>
      <c r="F3747" s="54"/>
      <c r="G3747" s="54"/>
      <c r="H3747" s="54"/>
      <c r="I3747" s="66"/>
      <c r="J3747" s="54"/>
      <c r="K3747" s="54"/>
      <c r="L3747" s="54"/>
      <c r="M3747" s="97" t="str">
        <f t="shared" si="312"/>
        <v/>
      </c>
      <c r="N3747" s="70"/>
      <c r="O3747" s="71" t="str">
        <f t="shared" si="316"/>
        <v/>
      </c>
      <c r="P3747" s="66"/>
      <c r="Q3747" s="66"/>
      <c r="R3747" s="54"/>
      <c r="S3747" s="82"/>
      <c r="T3747" s="83" t="str">
        <f t="shared" si="313"/>
        <v/>
      </c>
      <c r="U3747" s="10"/>
      <c r="V3747" s="41">
        <f>IF(AND(Q3747&lt;&gt;"",RIGHT(Q3747,3)&lt;&gt;""),IF(COUNTIF($Q$6:Q3747,Q3747)=1,1,0),0)</f>
        <v>0</v>
      </c>
      <c r="W3747" s="41" t="str">
        <f t="shared" si="314"/>
        <v/>
      </c>
      <c r="X3747" s="41" t="str">
        <f t="shared" si="315"/>
        <v/>
      </c>
    </row>
    <row r="3748" s="32" customFormat="1" hidden="1" customHeight="1" spans="1:24">
      <c r="A3748" s="34"/>
      <c r="B3748" s="51"/>
      <c r="C3748" s="51"/>
      <c r="D3748" s="52"/>
      <c r="E3748" s="53"/>
      <c r="F3748" s="54"/>
      <c r="G3748" s="54"/>
      <c r="H3748" s="54"/>
      <c r="I3748" s="66"/>
      <c r="J3748" s="54"/>
      <c r="K3748" s="54"/>
      <c r="L3748" s="54"/>
      <c r="M3748" s="97" t="str">
        <f t="shared" ref="M3748:M3811" si="317">IF(L3748="","",HYPERLINK(_xlfn.CONCAT($L$4,L3748,".jpg"),"Open File"))</f>
        <v/>
      </c>
      <c r="N3748" s="70"/>
      <c r="O3748" s="71" t="str">
        <f t="shared" si="316"/>
        <v/>
      </c>
      <c r="P3748" s="66"/>
      <c r="Q3748" s="66"/>
      <c r="R3748" s="54"/>
      <c r="S3748" s="82"/>
      <c r="T3748" s="83" t="str">
        <f t="shared" ref="T3748:T3811" si="318">IF(S3748="","",HYPERLINK(_xlfn.CONCAT($S$4,S3748,".jpg"),"Open File"))</f>
        <v/>
      </c>
      <c r="U3748" s="10"/>
      <c r="V3748" s="41">
        <f>IF(AND(Q3748&lt;&gt;"",RIGHT(Q3748,3)&lt;&gt;""),IF(COUNTIF($Q$6:Q3748,Q3748)=1,1,0),0)</f>
        <v>0</v>
      </c>
      <c r="W3748" s="41" t="str">
        <f t="shared" ref="W3748:W3811" si="319">IF(AND(J3748&lt;&gt;"",K3748&lt;&gt;""),_xlfn.CONCAT(SUBSTITUTE(J3748,"/","."),"-",K3748),"")</f>
        <v/>
      </c>
      <c r="X3748" s="41" t="str">
        <f t="shared" ref="X3748:X3811" si="320">IF(AND(Q3748&lt;&gt;"",R3748&lt;&gt;""),_xlfn.CONCAT(SUBSTITUTE(Q3748,"/","."),"-",R3748),"")</f>
        <v/>
      </c>
    </row>
    <row r="3749" s="32" customFormat="1" hidden="1" customHeight="1" spans="1:24">
      <c r="A3749" s="34"/>
      <c r="B3749" s="51"/>
      <c r="C3749" s="51"/>
      <c r="D3749" s="52"/>
      <c r="E3749" s="53"/>
      <c r="F3749" s="54"/>
      <c r="G3749" s="54"/>
      <c r="H3749" s="54"/>
      <c r="I3749" s="66"/>
      <c r="J3749" s="54"/>
      <c r="K3749" s="54"/>
      <c r="L3749" s="54"/>
      <c r="M3749" s="97" t="str">
        <f t="shared" si="317"/>
        <v/>
      </c>
      <c r="N3749" s="70"/>
      <c r="O3749" s="71" t="str">
        <f t="shared" si="316"/>
        <v/>
      </c>
      <c r="P3749" s="66"/>
      <c r="Q3749" s="66"/>
      <c r="R3749" s="54"/>
      <c r="S3749" s="82"/>
      <c r="T3749" s="83" t="str">
        <f t="shared" si="318"/>
        <v/>
      </c>
      <c r="U3749" s="10"/>
      <c r="V3749" s="41">
        <f>IF(AND(Q3749&lt;&gt;"",RIGHT(Q3749,3)&lt;&gt;""),IF(COUNTIF($Q$6:Q3749,Q3749)=1,1,0),0)</f>
        <v>0</v>
      </c>
      <c r="W3749" s="41" t="str">
        <f t="shared" si="319"/>
        <v/>
      </c>
      <c r="X3749" s="41" t="str">
        <f t="shared" si="320"/>
        <v/>
      </c>
    </row>
    <row r="3750" s="32" customFormat="1" hidden="1" customHeight="1" spans="1:24">
      <c r="A3750" s="34"/>
      <c r="B3750" s="51"/>
      <c r="C3750" s="51"/>
      <c r="D3750" s="52"/>
      <c r="E3750" s="53"/>
      <c r="F3750" s="54"/>
      <c r="G3750" s="54"/>
      <c r="H3750" s="54"/>
      <c r="I3750" s="66"/>
      <c r="J3750" s="54"/>
      <c r="K3750" s="54"/>
      <c r="L3750" s="54"/>
      <c r="M3750" s="97" t="str">
        <f t="shared" si="317"/>
        <v/>
      </c>
      <c r="N3750" s="70"/>
      <c r="O3750" s="71" t="str">
        <f t="shared" si="316"/>
        <v/>
      </c>
      <c r="P3750" s="66"/>
      <c r="Q3750" s="66"/>
      <c r="R3750" s="54"/>
      <c r="S3750" s="82"/>
      <c r="T3750" s="83" t="str">
        <f t="shared" si="318"/>
        <v/>
      </c>
      <c r="U3750" s="10"/>
      <c r="V3750" s="41">
        <f>IF(AND(Q3750&lt;&gt;"",RIGHT(Q3750,3)&lt;&gt;""),IF(COUNTIF($Q$6:Q3750,Q3750)=1,1,0),0)</f>
        <v>0</v>
      </c>
      <c r="W3750" s="41" t="str">
        <f t="shared" si="319"/>
        <v/>
      </c>
      <c r="X3750" s="41" t="str">
        <f t="shared" si="320"/>
        <v/>
      </c>
    </row>
    <row r="3751" s="32" customFormat="1" hidden="1" customHeight="1" spans="1:24">
      <c r="A3751" s="34"/>
      <c r="B3751" s="51"/>
      <c r="C3751" s="51"/>
      <c r="D3751" s="52"/>
      <c r="E3751" s="53"/>
      <c r="F3751" s="54"/>
      <c r="G3751" s="54"/>
      <c r="H3751" s="54"/>
      <c r="I3751" s="66"/>
      <c r="J3751" s="54"/>
      <c r="K3751" s="54"/>
      <c r="L3751" s="54"/>
      <c r="M3751" s="97" t="str">
        <f t="shared" si="317"/>
        <v/>
      </c>
      <c r="N3751" s="70"/>
      <c r="O3751" s="71" t="str">
        <f t="shared" si="316"/>
        <v/>
      </c>
      <c r="P3751" s="66"/>
      <c r="Q3751" s="66"/>
      <c r="R3751" s="54"/>
      <c r="S3751" s="82"/>
      <c r="T3751" s="83" t="str">
        <f t="shared" si="318"/>
        <v/>
      </c>
      <c r="U3751" s="10"/>
      <c r="V3751" s="41">
        <f>IF(AND(Q3751&lt;&gt;"",RIGHT(Q3751,3)&lt;&gt;""),IF(COUNTIF($Q$6:Q3751,Q3751)=1,1,0),0)</f>
        <v>0</v>
      </c>
      <c r="W3751" s="41" t="str">
        <f t="shared" si="319"/>
        <v/>
      </c>
      <c r="X3751" s="41" t="str">
        <f t="shared" si="320"/>
        <v/>
      </c>
    </row>
    <row r="3752" s="32" customFormat="1" hidden="1" customHeight="1" spans="1:24">
      <c r="A3752" s="34"/>
      <c r="B3752" s="51"/>
      <c r="C3752" s="51"/>
      <c r="D3752" s="52"/>
      <c r="E3752" s="53"/>
      <c r="F3752" s="54"/>
      <c r="G3752" s="54"/>
      <c r="H3752" s="54"/>
      <c r="I3752" s="66"/>
      <c r="J3752" s="54"/>
      <c r="K3752" s="54"/>
      <c r="L3752" s="54"/>
      <c r="M3752" s="97" t="str">
        <f t="shared" si="317"/>
        <v/>
      </c>
      <c r="N3752" s="70"/>
      <c r="O3752" s="71" t="str">
        <f t="shared" si="316"/>
        <v/>
      </c>
      <c r="P3752" s="66"/>
      <c r="Q3752" s="66"/>
      <c r="R3752" s="54"/>
      <c r="S3752" s="82"/>
      <c r="T3752" s="83" t="str">
        <f t="shared" si="318"/>
        <v/>
      </c>
      <c r="U3752" s="10"/>
      <c r="V3752" s="41">
        <f>IF(AND(Q3752&lt;&gt;"",RIGHT(Q3752,3)&lt;&gt;""),IF(COUNTIF($Q$6:Q3752,Q3752)=1,1,0),0)</f>
        <v>0</v>
      </c>
      <c r="W3752" s="41" t="str">
        <f t="shared" si="319"/>
        <v/>
      </c>
      <c r="X3752" s="41" t="str">
        <f t="shared" si="320"/>
        <v/>
      </c>
    </row>
    <row r="3753" s="32" customFormat="1" hidden="1" customHeight="1" spans="1:24">
      <c r="A3753" s="34"/>
      <c r="B3753" s="51"/>
      <c r="C3753" s="51"/>
      <c r="D3753" s="52"/>
      <c r="E3753" s="53"/>
      <c r="F3753" s="54"/>
      <c r="G3753" s="54"/>
      <c r="H3753" s="54"/>
      <c r="I3753" s="66"/>
      <c r="J3753" s="54"/>
      <c r="K3753" s="54"/>
      <c r="L3753" s="54"/>
      <c r="M3753" s="97" t="str">
        <f t="shared" si="317"/>
        <v/>
      </c>
      <c r="N3753" s="70"/>
      <c r="O3753" s="71" t="str">
        <f t="shared" si="316"/>
        <v/>
      </c>
      <c r="P3753" s="66"/>
      <c r="Q3753" s="66"/>
      <c r="R3753" s="54"/>
      <c r="S3753" s="82"/>
      <c r="T3753" s="83" t="str">
        <f t="shared" si="318"/>
        <v/>
      </c>
      <c r="U3753" s="10"/>
      <c r="V3753" s="41">
        <f>IF(AND(Q3753&lt;&gt;"",RIGHT(Q3753,3)&lt;&gt;""),IF(COUNTIF($Q$6:Q3753,Q3753)=1,1,0),0)</f>
        <v>0</v>
      </c>
      <c r="W3753" s="41" t="str">
        <f t="shared" si="319"/>
        <v/>
      </c>
      <c r="X3753" s="41" t="str">
        <f t="shared" si="320"/>
        <v/>
      </c>
    </row>
    <row r="3754" s="32" customFormat="1" hidden="1" customHeight="1" spans="1:24">
      <c r="A3754" s="34"/>
      <c r="B3754" s="51"/>
      <c r="C3754" s="51"/>
      <c r="D3754" s="52"/>
      <c r="E3754" s="53"/>
      <c r="F3754" s="54"/>
      <c r="G3754" s="54"/>
      <c r="H3754" s="54"/>
      <c r="I3754" s="66"/>
      <c r="J3754" s="54"/>
      <c r="K3754" s="54"/>
      <c r="L3754" s="54"/>
      <c r="M3754" s="97" t="str">
        <f t="shared" si="317"/>
        <v/>
      </c>
      <c r="N3754" s="70"/>
      <c r="O3754" s="71" t="str">
        <f t="shared" si="316"/>
        <v/>
      </c>
      <c r="P3754" s="66"/>
      <c r="Q3754" s="66"/>
      <c r="R3754" s="54"/>
      <c r="S3754" s="82"/>
      <c r="T3754" s="83" t="str">
        <f t="shared" si="318"/>
        <v/>
      </c>
      <c r="U3754" s="10"/>
      <c r="V3754" s="41">
        <f>IF(AND(Q3754&lt;&gt;"",RIGHT(Q3754,3)&lt;&gt;""),IF(COUNTIF($Q$6:Q3754,Q3754)=1,1,0),0)</f>
        <v>0</v>
      </c>
      <c r="W3754" s="41" t="str">
        <f t="shared" si="319"/>
        <v/>
      </c>
      <c r="X3754" s="41" t="str">
        <f t="shared" si="320"/>
        <v/>
      </c>
    </row>
    <row r="3755" s="32" customFormat="1" hidden="1" customHeight="1" spans="1:24">
      <c r="A3755" s="34"/>
      <c r="B3755" s="51"/>
      <c r="C3755" s="51"/>
      <c r="D3755" s="52"/>
      <c r="E3755" s="53"/>
      <c r="F3755" s="54"/>
      <c r="G3755" s="54"/>
      <c r="H3755" s="54"/>
      <c r="I3755" s="66"/>
      <c r="J3755" s="54"/>
      <c r="K3755" s="54"/>
      <c r="L3755" s="54"/>
      <c r="M3755" s="97" t="str">
        <f t="shared" si="317"/>
        <v/>
      </c>
      <c r="N3755" s="70"/>
      <c r="O3755" s="71" t="str">
        <f t="shared" si="316"/>
        <v/>
      </c>
      <c r="P3755" s="66"/>
      <c r="Q3755" s="66"/>
      <c r="R3755" s="54"/>
      <c r="S3755" s="82"/>
      <c r="T3755" s="83" t="str">
        <f t="shared" si="318"/>
        <v/>
      </c>
      <c r="U3755" s="10"/>
      <c r="V3755" s="41">
        <f>IF(AND(Q3755&lt;&gt;"",RIGHT(Q3755,3)&lt;&gt;""),IF(COUNTIF($Q$6:Q3755,Q3755)=1,1,0),0)</f>
        <v>0</v>
      </c>
      <c r="W3755" s="41" t="str">
        <f t="shared" si="319"/>
        <v/>
      </c>
      <c r="X3755" s="41" t="str">
        <f t="shared" si="320"/>
        <v/>
      </c>
    </row>
    <row r="3756" s="32" customFormat="1" hidden="1" customHeight="1" spans="1:24">
      <c r="A3756" s="34"/>
      <c r="B3756" s="51"/>
      <c r="C3756" s="51"/>
      <c r="D3756" s="52"/>
      <c r="E3756" s="53"/>
      <c r="F3756" s="54"/>
      <c r="G3756" s="54"/>
      <c r="H3756" s="54"/>
      <c r="I3756" s="66"/>
      <c r="J3756" s="54"/>
      <c r="K3756" s="54"/>
      <c r="L3756" s="54"/>
      <c r="M3756" s="97" t="str">
        <f t="shared" si="317"/>
        <v/>
      </c>
      <c r="N3756" s="70"/>
      <c r="O3756" s="71" t="str">
        <f t="shared" si="316"/>
        <v/>
      </c>
      <c r="P3756" s="66"/>
      <c r="Q3756" s="66"/>
      <c r="R3756" s="54"/>
      <c r="S3756" s="82"/>
      <c r="T3756" s="83" t="str">
        <f t="shared" si="318"/>
        <v/>
      </c>
      <c r="U3756" s="10"/>
      <c r="V3756" s="41">
        <f>IF(AND(Q3756&lt;&gt;"",RIGHT(Q3756,3)&lt;&gt;""),IF(COUNTIF($Q$6:Q3756,Q3756)=1,1,0),0)</f>
        <v>0</v>
      </c>
      <c r="W3756" s="41" t="str">
        <f t="shared" si="319"/>
        <v/>
      </c>
      <c r="X3756" s="41" t="str">
        <f t="shared" si="320"/>
        <v/>
      </c>
    </row>
    <row r="3757" s="32" customFormat="1" hidden="1" customHeight="1" spans="1:24">
      <c r="A3757" s="34"/>
      <c r="B3757" s="51"/>
      <c r="C3757" s="51"/>
      <c r="D3757" s="52"/>
      <c r="E3757" s="53"/>
      <c r="F3757" s="54"/>
      <c r="G3757" s="54"/>
      <c r="H3757" s="54"/>
      <c r="I3757" s="66"/>
      <c r="J3757" s="54"/>
      <c r="K3757" s="54"/>
      <c r="L3757" s="54"/>
      <c r="M3757" s="97" t="str">
        <f t="shared" si="317"/>
        <v/>
      </c>
      <c r="N3757" s="70"/>
      <c r="O3757" s="71" t="str">
        <f t="shared" si="316"/>
        <v/>
      </c>
      <c r="P3757" s="66"/>
      <c r="Q3757" s="66"/>
      <c r="R3757" s="54"/>
      <c r="S3757" s="82"/>
      <c r="T3757" s="83" t="str">
        <f t="shared" si="318"/>
        <v/>
      </c>
      <c r="U3757" s="10"/>
      <c r="V3757" s="41">
        <f>IF(AND(Q3757&lt;&gt;"",RIGHT(Q3757,3)&lt;&gt;""),IF(COUNTIF($Q$6:Q3757,Q3757)=1,1,0),0)</f>
        <v>0</v>
      </c>
      <c r="W3757" s="41" t="str">
        <f t="shared" si="319"/>
        <v/>
      </c>
      <c r="X3757" s="41" t="str">
        <f t="shared" si="320"/>
        <v/>
      </c>
    </row>
    <row r="3758" s="32" customFormat="1" hidden="1" customHeight="1" spans="1:24">
      <c r="A3758" s="34"/>
      <c r="B3758" s="51"/>
      <c r="C3758" s="51"/>
      <c r="D3758" s="52"/>
      <c r="E3758" s="53"/>
      <c r="F3758" s="54"/>
      <c r="G3758" s="54"/>
      <c r="H3758" s="54"/>
      <c r="I3758" s="66"/>
      <c r="J3758" s="54"/>
      <c r="K3758" s="54"/>
      <c r="L3758" s="54"/>
      <c r="M3758" s="97" t="str">
        <f t="shared" si="317"/>
        <v/>
      </c>
      <c r="N3758" s="70"/>
      <c r="O3758" s="71" t="str">
        <f t="shared" si="316"/>
        <v/>
      </c>
      <c r="P3758" s="66"/>
      <c r="Q3758" s="66"/>
      <c r="R3758" s="54"/>
      <c r="S3758" s="82"/>
      <c r="T3758" s="83" t="str">
        <f t="shared" si="318"/>
        <v/>
      </c>
      <c r="U3758" s="10"/>
      <c r="V3758" s="41">
        <f>IF(AND(Q3758&lt;&gt;"",RIGHT(Q3758,3)&lt;&gt;""),IF(COUNTIF($Q$6:Q3758,Q3758)=1,1,0),0)</f>
        <v>0</v>
      </c>
      <c r="W3758" s="41" t="str">
        <f t="shared" si="319"/>
        <v/>
      </c>
      <c r="X3758" s="41" t="str">
        <f t="shared" si="320"/>
        <v/>
      </c>
    </row>
    <row r="3759" s="32" customFormat="1" hidden="1" customHeight="1" spans="1:24">
      <c r="A3759" s="34"/>
      <c r="B3759" s="51"/>
      <c r="C3759" s="51"/>
      <c r="D3759" s="52"/>
      <c r="E3759" s="53"/>
      <c r="F3759" s="54"/>
      <c r="G3759" s="54"/>
      <c r="H3759" s="54"/>
      <c r="I3759" s="66"/>
      <c r="J3759" s="54"/>
      <c r="K3759" s="54"/>
      <c r="L3759" s="54"/>
      <c r="M3759" s="97" t="str">
        <f t="shared" si="317"/>
        <v/>
      </c>
      <c r="N3759" s="70"/>
      <c r="O3759" s="71" t="str">
        <f t="shared" si="316"/>
        <v/>
      </c>
      <c r="P3759" s="66"/>
      <c r="Q3759" s="66"/>
      <c r="R3759" s="54"/>
      <c r="S3759" s="82"/>
      <c r="T3759" s="83" t="str">
        <f t="shared" si="318"/>
        <v/>
      </c>
      <c r="U3759" s="10"/>
      <c r="V3759" s="41">
        <f>IF(AND(Q3759&lt;&gt;"",RIGHT(Q3759,3)&lt;&gt;""),IF(COUNTIF($Q$6:Q3759,Q3759)=1,1,0),0)</f>
        <v>0</v>
      </c>
      <c r="W3759" s="41" t="str">
        <f t="shared" si="319"/>
        <v/>
      </c>
      <c r="X3759" s="41" t="str">
        <f t="shared" si="320"/>
        <v/>
      </c>
    </row>
    <row r="3760" s="32" customFormat="1" hidden="1" customHeight="1" spans="1:24">
      <c r="A3760" s="34"/>
      <c r="B3760" s="51"/>
      <c r="C3760" s="51"/>
      <c r="D3760" s="52"/>
      <c r="E3760" s="53"/>
      <c r="F3760" s="54"/>
      <c r="G3760" s="54"/>
      <c r="H3760" s="54"/>
      <c r="I3760" s="66"/>
      <c r="J3760" s="54"/>
      <c r="K3760" s="54"/>
      <c r="L3760" s="54"/>
      <c r="M3760" s="97" t="str">
        <f t="shared" si="317"/>
        <v/>
      </c>
      <c r="N3760" s="70"/>
      <c r="O3760" s="71" t="str">
        <f t="shared" si="316"/>
        <v/>
      </c>
      <c r="P3760" s="66"/>
      <c r="Q3760" s="66"/>
      <c r="R3760" s="54"/>
      <c r="S3760" s="82"/>
      <c r="T3760" s="83" t="str">
        <f t="shared" si="318"/>
        <v/>
      </c>
      <c r="U3760" s="10"/>
      <c r="V3760" s="41">
        <f>IF(AND(Q3760&lt;&gt;"",RIGHT(Q3760,3)&lt;&gt;""),IF(COUNTIF($Q$6:Q3760,Q3760)=1,1,0),0)</f>
        <v>0</v>
      </c>
      <c r="W3760" s="41" t="str">
        <f t="shared" si="319"/>
        <v/>
      </c>
      <c r="X3760" s="41" t="str">
        <f t="shared" si="320"/>
        <v/>
      </c>
    </row>
    <row r="3761" s="32" customFormat="1" hidden="1" customHeight="1" spans="1:24">
      <c r="A3761" s="34"/>
      <c r="B3761" s="51"/>
      <c r="C3761" s="51"/>
      <c r="D3761" s="52"/>
      <c r="E3761" s="53"/>
      <c r="F3761" s="54"/>
      <c r="G3761" s="54"/>
      <c r="H3761" s="54"/>
      <c r="I3761" s="66"/>
      <c r="J3761" s="54"/>
      <c r="K3761" s="54"/>
      <c r="L3761" s="54"/>
      <c r="M3761" s="97" t="str">
        <f t="shared" si="317"/>
        <v/>
      </c>
      <c r="N3761" s="70"/>
      <c r="O3761" s="71" t="str">
        <f t="shared" ref="O3761:O3824" si="321">IF(AND(Q3761&lt;&gt;"",T3761&lt;&gt;""),"PASSIVE",IF(AND(J3761&lt;&gt;"",M3761&lt;&gt;""),"ACTIVE",""))</f>
        <v/>
      </c>
      <c r="P3761" s="66"/>
      <c r="Q3761" s="66"/>
      <c r="R3761" s="54"/>
      <c r="S3761" s="82"/>
      <c r="T3761" s="83" t="str">
        <f t="shared" si="318"/>
        <v/>
      </c>
      <c r="U3761" s="10"/>
      <c r="V3761" s="41">
        <f>IF(AND(Q3761&lt;&gt;"",RIGHT(Q3761,3)&lt;&gt;""),IF(COUNTIF($Q$6:Q3761,Q3761)=1,1,0),0)</f>
        <v>0</v>
      </c>
      <c r="W3761" s="41" t="str">
        <f t="shared" si="319"/>
        <v/>
      </c>
      <c r="X3761" s="41" t="str">
        <f t="shared" si="320"/>
        <v/>
      </c>
    </row>
    <row r="3762" s="32" customFormat="1" hidden="1" customHeight="1" spans="1:24">
      <c r="A3762" s="34"/>
      <c r="B3762" s="51"/>
      <c r="C3762" s="51"/>
      <c r="D3762" s="52"/>
      <c r="E3762" s="53"/>
      <c r="F3762" s="54"/>
      <c r="G3762" s="54"/>
      <c r="H3762" s="54"/>
      <c r="I3762" s="66"/>
      <c r="J3762" s="54"/>
      <c r="K3762" s="54"/>
      <c r="L3762" s="54"/>
      <c r="M3762" s="97" t="str">
        <f t="shared" si="317"/>
        <v/>
      </c>
      <c r="N3762" s="70"/>
      <c r="O3762" s="71" t="str">
        <f t="shared" si="321"/>
        <v/>
      </c>
      <c r="P3762" s="66"/>
      <c r="Q3762" s="66"/>
      <c r="R3762" s="54"/>
      <c r="S3762" s="82"/>
      <c r="T3762" s="83" t="str">
        <f t="shared" si="318"/>
        <v/>
      </c>
      <c r="U3762" s="10"/>
      <c r="V3762" s="41">
        <f>IF(AND(Q3762&lt;&gt;"",RIGHT(Q3762,3)&lt;&gt;""),IF(COUNTIF($Q$6:Q3762,Q3762)=1,1,0),0)</f>
        <v>0</v>
      </c>
      <c r="W3762" s="41" t="str">
        <f t="shared" si="319"/>
        <v/>
      </c>
      <c r="X3762" s="41" t="str">
        <f t="shared" si="320"/>
        <v/>
      </c>
    </row>
    <row r="3763" s="32" customFormat="1" hidden="1" customHeight="1" spans="1:24">
      <c r="A3763" s="34"/>
      <c r="B3763" s="51"/>
      <c r="C3763" s="51"/>
      <c r="D3763" s="52"/>
      <c r="E3763" s="53"/>
      <c r="F3763" s="54"/>
      <c r="G3763" s="54"/>
      <c r="H3763" s="54"/>
      <c r="I3763" s="66"/>
      <c r="J3763" s="54"/>
      <c r="K3763" s="54"/>
      <c r="L3763" s="54"/>
      <c r="M3763" s="97" t="str">
        <f t="shared" si="317"/>
        <v/>
      </c>
      <c r="N3763" s="70"/>
      <c r="O3763" s="71" t="str">
        <f t="shared" si="321"/>
        <v/>
      </c>
      <c r="P3763" s="66"/>
      <c r="Q3763" s="66"/>
      <c r="R3763" s="54"/>
      <c r="S3763" s="82"/>
      <c r="T3763" s="83" t="str">
        <f t="shared" si="318"/>
        <v/>
      </c>
      <c r="U3763" s="10"/>
      <c r="V3763" s="41">
        <f>IF(AND(Q3763&lt;&gt;"",RIGHT(Q3763,3)&lt;&gt;""),IF(COUNTIF($Q$6:Q3763,Q3763)=1,1,0),0)</f>
        <v>0</v>
      </c>
      <c r="W3763" s="41" t="str">
        <f t="shared" si="319"/>
        <v/>
      </c>
      <c r="X3763" s="41" t="str">
        <f t="shared" si="320"/>
        <v/>
      </c>
    </row>
    <row r="3764" s="32" customFormat="1" hidden="1" customHeight="1" spans="1:24">
      <c r="A3764" s="34"/>
      <c r="B3764" s="51"/>
      <c r="C3764" s="51"/>
      <c r="D3764" s="52"/>
      <c r="E3764" s="53"/>
      <c r="F3764" s="54"/>
      <c r="G3764" s="54"/>
      <c r="H3764" s="54"/>
      <c r="I3764" s="66"/>
      <c r="J3764" s="54"/>
      <c r="K3764" s="54"/>
      <c r="L3764" s="54"/>
      <c r="M3764" s="97" t="str">
        <f t="shared" si="317"/>
        <v/>
      </c>
      <c r="N3764" s="70"/>
      <c r="O3764" s="71" t="str">
        <f t="shared" si="321"/>
        <v/>
      </c>
      <c r="P3764" s="66"/>
      <c r="Q3764" s="66"/>
      <c r="R3764" s="54"/>
      <c r="S3764" s="82"/>
      <c r="T3764" s="83" t="str">
        <f t="shared" si="318"/>
        <v/>
      </c>
      <c r="U3764" s="10"/>
      <c r="V3764" s="41">
        <f>IF(AND(Q3764&lt;&gt;"",RIGHT(Q3764,3)&lt;&gt;""),IF(COUNTIF($Q$6:Q3764,Q3764)=1,1,0),0)</f>
        <v>0</v>
      </c>
      <c r="W3764" s="41" t="str">
        <f t="shared" si="319"/>
        <v/>
      </c>
      <c r="X3764" s="41" t="str">
        <f t="shared" si="320"/>
        <v/>
      </c>
    </row>
    <row r="3765" s="32" customFormat="1" hidden="1" customHeight="1" spans="1:24">
      <c r="A3765" s="34"/>
      <c r="B3765" s="51"/>
      <c r="C3765" s="51"/>
      <c r="D3765" s="52"/>
      <c r="E3765" s="53"/>
      <c r="F3765" s="54"/>
      <c r="G3765" s="54"/>
      <c r="H3765" s="54"/>
      <c r="I3765" s="66"/>
      <c r="J3765" s="54"/>
      <c r="K3765" s="54"/>
      <c r="L3765" s="54"/>
      <c r="M3765" s="97" t="str">
        <f t="shared" si="317"/>
        <v/>
      </c>
      <c r="N3765" s="70"/>
      <c r="O3765" s="71" t="str">
        <f t="shared" si="321"/>
        <v/>
      </c>
      <c r="P3765" s="66"/>
      <c r="Q3765" s="66"/>
      <c r="R3765" s="54"/>
      <c r="S3765" s="82"/>
      <c r="T3765" s="83" t="str">
        <f t="shared" si="318"/>
        <v/>
      </c>
      <c r="U3765" s="10"/>
      <c r="V3765" s="41">
        <f>IF(AND(Q3765&lt;&gt;"",RIGHT(Q3765,3)&lt;&gt;""),IF(COUNTIF($Q$6:Q3765,Q3765)=1,1,0),0)</f>
        <v>0</v>
      </c>
      <c r="W3765" s="41" t="str">
        <f t="shared" si="319"/>
        <v/>
      </c>
      <c r="X3765" s="41" t="str">
        <f t="shared" si="320"/>
        <v/>
      </c>
    </row>
    <row r="3766" s="32" customFormat="1" hidden="1" customHeight="1" spans="1:24">
      <c r="A3766" s="34"/>
      <c r="B3766" s="51"/>
      <c r="C3766" s="51"/>
      <c r="D3766" s="52"/>
      <c r="E3766" s="53"/>
      <c r="F3766" s="54"/>
      <c r="G3766" s="54"/>
      <c r="H3766" s="54"/>
      <c r="I3766" s="66"/>
      <c r="J3766" s="54"/>
      <c r="K3766" s="54"/>
      <c r="L3766" s="54"/>
      <c r="M3766" s="97" t="str">
        <f t="shared" si="317"/>
        <v/>
      </c>
      <c r="N3766" s="70"/>
      <c r="O3766" s="71" t="str">
        <f t="shared" si="321"/>
        <v/>
      </c>
      <c r="P3766" s="66"/>
      <c r="Q3766" s="66"/>
      <c r="R3766" s="54"/>
      <c r="S3766" s="82"/>
      <c r="T3766" s="83" t="str">
        <f t="shared" si="318"/>
        <v/>
      </c>
      <c r="U3766" s="10"/>
      <c r="V3766" s="41">
        <f>IF(AND(Q3766&lt;&gt;"",RIGHT(Q3766,3)&lt;&gt;""),IF(COUNTIF($Q$6:Q3766,Q3766)=1,1,0),0)</f>
        <v>0</v>
      </c>
      <c r="W3766" s="41" t="str">
        <f t="shared" si="319"/>
        <v/>
      </c>
      <c r="X3766" s="41" t="str">
        <f t="shared" si="320"/>
        <v/>
      </c>
    </row>
    <row r="3767" s="32" customFormat="1" hidden="1" customHeight="1" spans="1:24">
      <c r="A3767" s="34"/>
      <c r="B3767" s="51"/>
      <c r="C3767" s="51"/>
      <c r="D3767" s="52"/>
      <c r="E3767" s="53"/>
      <c r="F3767" s="54"/>
      <c r="G3767" s="54"/>
      <c r="H3767" s="54"/>
      <c r="I3767" s="66"/>
      <c r="J3767" s="54"/>
      <c r="K3767" s="54"/>
      <c r="L3767" s="54"/>
      <c r="M3767" s="97" t="str">
        <f t="shared" si="317"/>
        <v/>
      </c>
      <c r="N3767" s="70"/>
      <c r="O3767" s="71" t="str">
        <f t="shared" si="321"/>
        <v/>
      </c>
      <c r="P3767" s="66"/>
      <c r="Q3767" s="66"/>
      <c r="R3767" s="54"/>
      <c r="S3767" s="82"/>
      <c r="T3767" s="83" t="str">
        <f t="shared" si="318"/>
        <v/>
      </c>
      <c r="U3767" s="10"/>
      <c r="V3767" s="41">
        <f>IF(AND(Q3767&lt;&gt;"",RIGHT(Q3767,3)&lt;&gt;""),IF(COUNTIF($Q$6:Q3767,Q3767)=1,1,0),0)</f>
        <v>0</v>
      </c>
      <c r="W3767" s="41" t="str">
        <f t="shared" si="319"/>
        <v/>
      </c>
      <c r="X3767" s="41" t="str">
        <f t="shared" si="320"/>
        <v/>
      </c>
    </row>
    <row r="3768" s="32" customFormat="1" hidden="1" customHeight="1" spans="1:24">
      <c r="A3768" s="34"/>
      <c r="B3768" s="51"/>
      <c r="C3768" s="51"/>
      <c r="D3768" s="52"/>
      <c r="E3768" s="53"/>
      <c r="F3768" s="54"/>
      <c r="G3768" s="54"/>
      <c r="H3768" s="54"/>
      <c r="I3768" s="66"/>
      <c r="J3768" s="54"/>
      <c r="K3768" s="54"/>
      <c r="L3768" s="54"/>
      <c r="M3768" s="97" t="str">
        <f t="shared" si="317"/>
        <v/>
      </c>
      <c r="N3768" s="70"/>
      <c r="O3768" s="71" t="str">
        <f t="shared" si="321"/>
        <v/>
      </c>
      <c r="P3768" s="66"/>
      <c r="Q3768" s="66"/>
      <c r="R3768" s="54"/>
      <c r="S3768" s="82"/>
      <c r="T3768" s="83" t="str">
        <f t="shared" si="318"/>
        <v/>
      </c>
      <c r="U3768" s="10"/>
      <c r="V3768" s="41">
        <f>IF(AND(Q3768&lt;&gt;"",RIGHT(Q3768,3)&lt;&gt;""),IF(COUNTIF($Q$6:Q3768,Q3768)=1,1,0),0)</f>
        <v>0</v>
      </c>
      <c r="W3768" s="41" t="str">
        <f t="shared" si="319"/>
        <v/>
      </c>
      <c r="X3768" s="41" t="str">
        <f t="shared" si="320"/>
        <v/>
      </c>
    </row>
    <row r="3769" s="32" customFormat="1" hidden="1" customHeight="1" spans="1:24">
      <c r="A3769" s="34"/>
      <c r="B3769" s="51"/>
      <c r="C3769" s="51"/>
      <c r="D3769" s="52"/>
      <c r="E3769" s="53"/>
      <c r="F3769" s="54"/>
      <c r="G3769" s="54"/>
      <c r="H3769" s="54"/>
      <c r="I3769" s="66"/>
      <c r="J3769" s="54"/>
      <c r="K3769" s="54"/>
      <c r="L3769" s="54"/>
      <c r="M3769" s="97" t="str">
        <f t="shared" si="317"/>
        <v/>
      </c>
      <c r="N3769" s="70"/>
      <c r="O3769" s="71" t="str">
        <f t="shared" si="321"/>
        <v/>
      </c>
      <c r="P3769" s="66"/>
      <c r="Q3769" s="66"/>
      <c r="R3769" s="54"/>
      <c r="S3769" s="82"/>
      <c r="T3769" s="83" t="str">
        <f t="shared" si="318"/>
        <v/>
      </c>
      <c r="U3769" s="10"/>
      <c r="V3769" s="41">
        <f>IF(AND(Q3769&lt;&gt;"",RIGHT(Q3769,3)&lt;&gt;""),IF(COUNTIF($Q$6:Q3769,Q3769)=1,1,0),0)</f>
        <v>0</v>
      </c>
      <c r="W3769" s="41" t="str">
        <f t="shared" si="319"/>
        <v/>
      </c>
      <c r="X3769" s="41" t="str">
        <f t="shared" si="320"/>
        <v/>
      </c>
    </row>
    <row r="3770" s="32" customFormat="1" hidden="1" customHeight="1" spans="1:24">
      <c r="A3770" s="34"/>
      <c r="B3770" s="51"/>
      <c r="C3770" s="51"/>
      <c r="D3770" s="52"/>
      <c r="E3770" s="53"/>
      <c r="F3770" s="54"/>
      <c r="G3770" s="54"/>
      <c r="H3770" s="54"/>
      <c r="I3770" s="66"/>
      <c r="J3770" s="54"/>
      <c r="K3770" s="54"/>
      <c r="L3770" s="54"/>
      <c r="M3770" s="97" t="str">
        <f t="shared" si="317"/>
        <v/>
      </c>
      <c r="N3770" s="70"/>
      <c r="O3770" s="71" t="str">
        <f t="shared" si="321"/>
        <v/>
      </c>
      <c r="P3770" s="66"/>
      <c r="Q3770" s="66"/>
      <c r="R3770" s="54"/>
      <c r="S3770" s="82"/>
      <c r="T3770" s="83" t="str">
        <f t="shared" si="318"/>
        <v/>
      </c>
      <c r="U3770" s="10"/>
      <c r="V3770" s="41">
        <f>IF(AND(Q3770&lt;&gt;"",RIGHT(Q3770,3)&lt;&gt;""),IF(COUNTIF($Q$6:Q3770,Q3770)=1,1,0),0)</f>
        <v>0</v>
      </c>
      <c r="W3770" s="41" t="str">
        <f t="shared" si="319"/>
        <v/>
      </c>
      <c r="X3770" s="41" t="str">
        <f t="shared" si="320"/>
        <v/>
      </c>
    </row>
    <row r="3771" s="32" customFormat="1" hidden="1" customHeight="1" spans="1:24">
      <c r="A3771" s="34"/>
      <c r="B3771" s="51"/>
      <c r="C3771" s="51"/>
      <c r="D3771" s="52"/>
      <c r="E3771" s="53"/>
      <c r="F3771" s="54"/>
      <c r="G3771" s="54"/>
      <c r="H3771" s="54"/>
      <c r="I3771" s="66"/>
      <c r="J3771" s="54"/>
      <c r="K3771" s="54"/>
      <c r="L3771" s="54"/>
      <c r="M3771" s="97" t="str">
        <f t="shared" si="317"/>
        <v/>
      </c>
      <c r="N3771" s="70"/>
      <c r="O3771" s="71" t="str">
        <f t="shared" si="321"/>
        <v/>
      </c>
      <c r="P3771" s="66"/>
      <c r="Q3771" s="66"/>
      <c r="R3771" s="54"/>
      <c r="S3771" s="82"/>
      <c r="T3771" s="83" t="str">
        <f t="shared" si="318"/>
        <v/>
      </c>
      <c r="U3771" s="10"/>
      <c r="V3771" s="41">
        <f>IF(AND(Q3771&lt;&gt;"",RIGHT(Q3771,3)&lt;&gt;""),IF(COUNTIF($Q$6:Q3771,Q3771)=1,1,0),0)</f>
        <v>0</v>
      </c>
      <c r="W3771" s="41" t="str">
        <f t="shared" si="319"/>
        <v/>
      </c>
      <c r="X3771" s="41" t="str">
        <f t="shared" si="320"/>
        <v/>
      </c>
    </row>
    <row r="3772" s="32" customFormat="1" hidden="1" customHeight="1" spans="1:24">
      <c r="A3772" s="34"/>
      <c r="B3772" s="51"/>
      <c r="C3772" s="51"/>
      <c r="D3772" s="52"/>
      <c r="E3772" s="53"/>
      <c r="F3772" s="54"/>
      <c r="G3772" s="54"/>
      <c r="H3772" s="54"/>
      <c r="I3772" s="66"/>
      <c r="J3772" s="54"/>
      <c r="K3772" s="54"/>
      <c r="L3772" s="54"/>
      <c r="M3772" s="97" t="str">
        <f t="shared" si="317"/>
        <v/>
      </c>
      <c r="N3772" s="70"/>
      <c r="O3772" s="71" t="str">
        <f t="shared" si="321"/>
        <v/>
      </c>
      <c r="P3772" s="66"/>
      <c r="Q3772" s="66"/>
      <c r="R3772" s="54"/>
      <c r="S3772" s="82"/>
      <c r="T3772" s="83" t="str">
        <f t="shared" si="318"/>
        <v/>
      </c>
      <c r="U3772" s="10"/>
      <c r="V3772" s="41">
        <f>IF(AND(Q3772&lt;&gt;"",RIGHT(Q3772,3)&lt;&gt;""),IF(COUNTIF($Q$6:Q3772,Q3772)=1,1,0),0)</f>
        <v>0</v>
      </c>
      <c r="W3772" s="41" t="str">
        <f t="shared" si="319"/>
        <v/>
      </c>
      <c r="X3772" s="41" t="str">
        <f t="shared" si="320"/>
        <v/>
      </c>
    </row>
    <row r="3773" s="32" customFormat="1" hidden="1" customHeight="1" spans="1:24">
      <c r="A3773" s="34"/>
      <c r="B3773" s="51"/>
      <c r="C3773" s="51"/>
      <c r="D3773" s="52"/>
      <c r="E3773" s="53"/>
      <c r="F3773" s="54"/>
      <c r="G3773" s="54"/>
      <c r="H3773" s="54"/>
      <c r="I3773" s="66"/>
      <c r="J3773" s="54"/>
      <c r="K3773" s="54"/>
      <c r="L3773" s="54"/>
      <c r="M3773" s="97" t="str">
        <f t="shared" si="317"/>
        <v/>
      </c>
      <c r="N3773" s="70"/>
      <c r="O3773" s="71" t="str">
        <f t="shared" si="321"/>
        <v/>
      </c>
      <c r="P3773" s="66"/>
      <c r="Q3773" s="66"/>
      <c r="R3773" s="54"/>
      <c r="S3773" s="82"/>
      <c r="T3773" s="83" t="str">
        <f t="shared" si="318"/>
        <v/>
      </c>
      <c r="U3773" s="10"/>
      <c r="V3773" s="41">
        <f>IF(AND(Q3773&lt;&gt;"",RIGHT(Q3773,3)&lt;&gt;""),IF(COUNTIF($Q$6:Q3773,Q3773)=1,1,0),0)</f>
        <v>0</v>
      </c>
      <c r="W3773" s="41" t="str">
        <f t="shared" si="319"/>
        <v/>
      </c>
      <c r="X3773" s="41" t="str">
        <f t="shared" si="320"/>
        <v/>
      </c>
    </row>
    <row r="3774" s="32" customFormat="1" hidden="1" customHeight="1" spans="1:24">
      <c r="A3774" s="34"/>
      <c r="B3774" s="51"/>
      <c r="C3774" s="51"/>
      <c r="D3774" s="52"/>
      <c r="E3774" s="53"/>
      <c r="F3774" s="54"/>
      <c r="G3774" s="54"/>
      <c r="H3774" s="54"/>
      <c r="I3774" s="66"/>
      <c r="J3774" s="54"/>
      <c r="K3774" s="54"/>
      <c r="L3774" s="54"/>
      <c r="M3774" s="97" t="str">
        <f t="shared" si="317"/>
        <v/>
      </c>
      <c r="N3774" s="70"/>
      <c r="O3774" s="71" t="str">
        <f t="shared" si="321"/>
        <v/>
      </c>
      <c r="P3774" s="66"/>
      <c r="Q3774" s="66"/>
      <c r="R3774" s="54"/>
      <c r="S3774" s="82"/>
      <c r="T3774" s="83" t="str">
        <f t="shared" si="318"/>
        <v/>
      </c>
      <c r="U3774" s="10"/>
      <c r="V3774" s="41">
        <f>IF(AND(Q3774&lt;&gt;"",RIGHT(Q3774,3)&lt;&gt;""),IF(COUNTIF($Q$6:Q3774,Q3774)=1,1,0),0)</f>
        <v>0</v>
      </c>
      <c r="W3774" s="41" t="str">
        <f t="shared" si="319"/>
        <v/>
      </c>
      <c r="X3774" s="41" t="str">
        <f t="shared" si="320"/>
        <v/>
      </c>
    </row>
    <row r="3775" s="32" customFormat="1" hidden="1" customHeight="1" spans="1:24">
      <c r="A3775" s="34"/>
      <c r="B3775" s="51"/>
      <c r="C3775" s="51"/>
      <c r="D3775" s="52"/>
      <c r="E3775" s="53"/>
      <c r="F3775" s="54"/>
      <c r="G3775" s="54"/>
      <c r="H3775" s="54"/>
      <c r="I3775" s="66"/>
      <c r="J3775" s="54"/>
      <c r="K3775" s="54"/>
      <c r="L3775" s="54"/>
      <c r="M3775" s="97" t="str">
        <f t="shared" si="317"/>
        <v/>
      </c>
      <c r="N3775" s="70"/>
      <c r="O3775" s="71" t="str">
        <f t="shared" si="321"/>
        <v/>
      </c>
      <c r="P3775" s="66"/>
      <c r="Q3775" s="66"/>
      <c r="R3775" s="54"/>
      <c r="S3775" s="82"/>
      <c r="T3775" s="83" t="str">
        <f t="shared" si="318"/>
        <v/>
      </c>
      <c r="U3775" s="10"/>
      <c r="V3775" s="41">
        <f>IF(AND(Q3775&lt;&gt;"",RIGHT(Q3775,3)&lt;&gt;""),IF(COUNTIF($Q$6:Q3775,Q3775)=1,1,0),0)</f>
        <v>0</v>
      </c>
      <c r="W3775" s="41" t="str">
        <f t="shared" si="319"/>
        <v/>
      </c>
      <c r="X3775" s="41" t="str">
        <f t="shared" si="320"/>
        <v/>
      </c>
    </row>
    <row r="3776" s="32" customFormat="1" hidden="1" customHeight="1" spans="1:24">
      <c r="A3776" s="34"/>
      <c r="B3776" s="51"/>
      <c r="C3776" s="51"/>
      <c r="D3776" s="52"/>
      <c r="E3776" s="53"/>
      <c r="F3776" s="54"/>
      <c r="G3776" s="54"/>
      <c r="H3776" s="54"/>
      <c r="I3776" s="66"/>
      <c r="J3776" s="54"/>
      <c r="K3776" s="54"/>
      <c r="L3776" s="54"/>
      <c r="M3776" s="97" t="str">
        <f t="shared" si="317"/>
        <v/>
      </c>
      <c r="N3776" s="70"/>
      <c r="O3776" s="71" t="str">
        <f t="shared" si="321"/>
        <v/>
      </c>
      <c r="P3776" s="66"/>
      <c r="Q3776" s="66"/>
      <c r="R3776" s="54"/>
      <c r="S3776" s="82"/>
      <c r="T3776" s="83" t="str">
        <f t="shared" si="318"/>
        <v/>
      </c>
      <c r="U3776" s="10"/>
      <c r="V3776" s="41">
        <f>IF(AND(Q3776&lt;&gt;"",RIGHT(Q3776,3)&lt;&gt;""),IF(COUNTIF($Q$6:Q3776,Q3776)=1,1,0),0)</f>
        <v>0</v>
      </c>
      <c r="W3776" s="41" t="str">
        <f t="shared" si="319"/>
        <v/>
      </c>
      <c r="X3776" s="41" t="str">
        <f t="shared" si="320"/>
        <v/>
      </c>
    </row>
    <row r="3777" s="32" customFormat="1" hidden="1" customHeight="1" spans="1:24">
      <c r="A3777" s="34"/>
      <c r="B3777" s="51"/>
      <c r="C3777" s="51"/>
      <c r="D3777" s="52"/>
      <c r="E3777" s="53"/>
      <c r="F3777" s="54"/>
      <c r="G3777" s="54"/>
      <c r="H3777" s="54"/>
      <c r="I3777" s="66"/>
      <c r="J3777" s="54"/>
      <c r="K3777" s="54"/>
      <c r="L3777" s="54"/>
      <c r="M3777" s="97" t="str">
        <f t="shared" si="317"/>
        <v/>
      </c>
      <c r="N3777" s="70"/>
      <c r="O3777" s="71" t="str">
        <f t="shared" si="321"/>
        <v/>
      </c>
      <c r="P3777" s="66"/>
      <c r="Q3777" s="66"/>
      <c r="R3777" s="54"/>
      <c r="S3777" s="82"/>
      <c r="T3777" s="83" t="str">
        <f t="shared" si="318"/>
        <v/>
      </c>
      <c r="U3777" s="10"/>
      <c r="V3777" s="41">
        <f>IF(AND(Q3777&lt;&gt;"",RIGHT(Q3777,3)&lt;&gt;""),IF(COUNTIF($Q$6:Q3777,Q3777)=1,1,0),0)</f>
        <v>0</v>
      </c>
      <c r="W3777" s="41" t="str">
        <f t="shared" si="319"/>
        <v/>
      </c>
      <c r="X3777" s="41" t="str">
        <f t="shared" si="320"/>
        <v/>
      </c>
    </row>
    <row r="3778" s="32" customFormat="1" hidden="1" customHeight="1" spans="1:24">
      <c r="A3778" s="34"/>
      <c r="B3778" s="51"/>
      <c r="C3778" s="51"/>
      <c r="D3778" s="52"/>
      <c r="E3778" s="53"/>
      <c r="F3778" s="54"/>
      <c r="G3778" s="54"/>
      <c r="H3778" s="54"/>
      <c r="I3778" s="66"/>
      <c r="J3778" s="54"/>
      <c r="K3778" s="54"/>
      <c r="L3778" s="54"/>
      <c r="M3778" s="97" t="str">
        <f t="shared" si="317"/>
        <v/>
      </c>
      <c r="N3778" s="70"/>
      <c r="O3778" s="71" t="str">
        <f t="shared" si="321"/>
        <v/>
      </c>
      <c r="P3778" s="66"/>
      <c r="Q3778" s="66"/>
      <c r="R3778" s="54"/>
      <c r="S3778" s="82"/>
      <c r="T3778" s="83" t="str">
        <f t="shared" si="318"/>
        <v/>
      </c>
      <c r="U3778" s="10"/>
      <c r="V3778" s="41">
        <f>IF(AND(Q3778&lt;&gt;"",RIGHT(Q3778,3)&lt;&gt;""),IF(COUNTIF($Q$6:Q3778,Q3778)=1,1,0),0)</f>
        <v>0</v>
      </c>
      <c r="W3778" s="41" t="str">
        <f t="shared" si="319"/>
        <v/>
      </c>
      <c r="X3778" s="41" t="str">
        <f t="shared" si="320"/>
        <v/>
      </c>
    </row>
    <row r="3779" s="32" customFormat="1" hidden="1" customHeight="1" spans="1:24">
      <c r="A3779" s="34"/>
      <c r="B3779" s="51"/>
      <c r="C3779" s="51"/>
      <c r="D3779" s="52"/>
      <c r="E3779" s="53"/>
      <c r="F3779" s="54"/>
      <c r="G3779" s="54"/>
      <c r="H3779" s="54"/>
      <c r="I3779" s="66"/>
      <c r="J3779" s="54"/>
      <c r="K3779" s="54"/>
      <c r="L3779" s="54"/>
      <c r="M3779" s="97" t="str">
        <f t="shared" si="317"/>
        <v/>
      </c>
      <c r="N3779" s="70"/>
      <c r="O3779" s="71" t="str">
        <f t="shared" si="321"/>
        <v/>
      </c>
      <c r="P3779" s="66"/>
      <c r="Q3779" s="66"/>
      <c r="R3779" s="54"/>
      <c r="S3779" s="82"/>
      <c r="T3779" s="83" t="str">
        <f t="shared" si="318"/>
        <v/>
      </c>
      <c r="U3779" s="10"/>
      <c r="V3779" s="41">
        <f>IF(AND(Q3779&lt;&gt;"",RIGHT(Q3779,3)&lt;&gt;""),IF(COUNTIF($Q$6:Q3779,Q3779)=1,1,0),0)</f>
        <v>0</v>
      </c>
      <c r="W3779" s="41" t="str">
        <f t="shared" si="319"/>
        <v/>
      </c>
      <c r="X3779" s="41" t="str">
        <f t="shared" si="320"/>
        <v/>
      </c>
    </row>
    <row r="3780" s="32" customFormat="1" hidden="1" customHeight="1" spans="1:24">
      <c r="A3780" s="34"/>
      <c r="B3780" s="51"/>
      <c r="C3780" s="51"/>
      <c r="D3780" s="52"/>
      <c r="E3780" s="53"/>
      <c r="F3780" s="54"/>
      <c r="G3780" s="54"/>
      <c r="H3780" s="54"/>
      <c r="I3780" s="66"/>
      <c r="J3780" s="54"/>
      <c r="K3780" s="54"/>
      <c r="L3780" s="54"/>
      <c r="M3780" s="97" t="str">
        <f t="shared" si="317"/>
        <v/>
      </c>
      <c r="N3780" s="70"/>
      <c r="O3780" s="71" t="str">
        <f t="shared" si="321"/>
        <v/>
      </c>
      <c r="P3780" s="66"/>
      <c r="Q3780" s="66"/>
      <c r="R3780" s="54"/>
      <c r="S3780" s="82"/>
      <c r="T3780" s="83" t="str">
        <f t="shared" si="318"/>
        <v/>
      </c>
      <c r="U3780" s="10"/>
      <c r="V3780" s="41">
        <f>IF(AND(Q3780&lt;&gt;"",RIGHT(Q3780,3)&lt;&gt;""),IF(COUNTIF($Q$6:Q3780,Q3780)=1,1,0),0)</f>
        <v>0</v>
      </c>
      <c r="W3780" s="41" t="str">
        <f t="shared" si="319"/>
        <v/>
      </c>
      <c r="X3780" s="41" t="str">
        <f t="shared" si="320"/>
        <v/>
      </c>
    </row>
    <row r="3781" s="32" customFormat="1" hidden="1" customHeight="1" spans="1:24">
      <c r="A3781" s="34"/>
      <c r="B3781" s="51"/>
      <c r="C3781" s="51"/>
      <c r="D3781" s="52"/>
      <c r="E3781" s="53"/>
      <c r="F3781" s="54"/>
      <c r="G3781" s="54"/>
      <c r="H3781" s="54"/>
      <c r="I3781" s="66"/>
      <c r="J3781" s="54"/>
      <c r="K3781" s="54"/>
      <c r="L3781" s="54"/>
      <c r="M3781" s="97" t="str">
        <f t="shared" si="317"/>
        <v/>
      </c>
      <c r="N3781" s="70"/>
      <c r="O3781" s="71" t="str">
        <f t="shared" si="321"/>
        <v/>
      </c>
      <c r="P3781" s="66"/>
      <c r="Q3781" s="66"/>
      <c r="R3781" s="54"/>
      <c r="S3781" s="82"/>
      <c r="T3781" s="83" t="str">
        <f t="shared" si="318"/>
        <v/>
      </c>
      <c r="U3781" s="10"/>
      <c r="V3781" s="41">
        <f>IF(AND(Q3781&lt;&gt;"",RIGHT(Q3781,3)&lt;&gt;""),IF(COUNTIF($Q$6:Q3781,Q3781)=1,1,0),0)</f>
        <v>0</v>
      </c>
      <c r="W3781" s="41" t="str">
        <f t="shared" si="319"/>
        <v/>
      </c>
      <c r="X3781" s="41" t="str">
        <f t="shared" si="320"/>
        <v/>
      </c>
    </row>
    <row r="3782" s="32" customFormat="1" hidden="1" customHeight="1" spans="1:24">
      <c r="A3782" s="34"/>
      <c r="B3782" s="51"/>
      <c r="C3782" s="51"/>
      <c r="D3782" s="52"/>
      <c r="E3782" s="53"/>
      <c r="F3782" s="54"/>
      <c r="G3782" s="54"/>
      <c r="H3782" s="54"/>
      <c r="I3782" s="66"/>
      <c r="J3782" s="54"/>
      <c r="K3782" s="54"/>
      <c r="L3782" s="54"/>
      <c r="M3782" s="97" t="str">
        <f t="shared" si="317"/>
        <v/>
      </c>
      <c r="N3782" s="70"/>
      <c r="O3782" s="71" t="str">
        <f t="shared" si="321"/>
        <v/>
      </c>
      <c r="P3782" s="66"/>
      <c r="Q3782" s="66"/>
      <c r="R3782" s="54"/>
      <c r="S3782" s="82"/>
      <c r="T3782" s="83" t="str">
        <f t="shared" si="318"/>
        <v/>
      </c>
      <c r="U3782" s="10"/>
      <c r="V3782" s="41">
        <f>IF(AND(Q3782&lt;&gt;"",RIGHT(Q3782,3)&lt;&gt;""),IF(COUNTIF($Q$6:Q3782,Q3782)=1,1,0),0)</f>
        <v>0</v>
      </c>
      <c r="W3782" s="41" t="str">
        <f t="shared" si="319"/>
        <v/>
      </c>
      <c r="X3782" s="41" t="str">
        <f t="shared" si="320"/>
        <v/>
      </c>
    </row>
    <row r="3783" s="32" customFormat="1" hidden="1" customHeight="1" spans="1:24">
      <c r="A3783" s="34"/>
      <c r="B3783" s="51"/>
      <c r="C3783" s="51"/>
      <c r="D3783" s="52"/>
      <c r="E3783" s="53"/>
      <c r="F3783" s="54"/>
      <c r="G3783" s="54"/>
      <c r="H3783" s="54"/>
      <c r="I3783" s="66"/>
      <c r="J3783" s="54"/>
      <c r="K3783" s="54"/>
      <c r="L3783" s="54"/>
      <c r="M3783" s="97" t="str">
        <f t="shared" si="317"/>
        <v/>
      </c>
      <c r="N3783" s="70"/>
      <c r="O3783" s="71" t="str">
        <f t="shared" si="321"/>
        <v/>
      </c>
      <c r="P3783" s="66"/>
      <c r="Q3783" s="66"/>
      <c r="R3783" s="54"/>
      <c r="S3783" s="82"/>
      <c r="T3783" s="83" t="str">
        <f t="shared" si="318"/>
        <v/>
      </c>
      <c r="U3783" s="10"/>
      <c r="V3783" s="41">
        <f>IF(AND(Q3783&lt;&gt;"",RIGHT(Q3783,3)&lt;&gt;""),IF(COUNTIF($Q$6:Q3783,Q3783)=1,1,0),0)</f>
        <v>0</v>
      </c>
      <c r="W3783" s="41" t="str">
        <f t="shared" si="319"/>
        <v/>
      </c>
      <c r="X3783" s="41" t="str">
        <f t="shared" si="320"/>
        <v/>
      </c>
    </row>
    <row r="3784" s="32" customFormat="1" hidden="1" customHeight="1" spans="1:24">
      <c r="A3784" s="34"/>
      <c r="B3784" s="51"/>
      <c r="C3784" s="51"/>
      <c r="D3784" s="52"/>
      <c r="E3784" s="53"/>
      <c r="F3784" s="54"/>
      <c r="G3784" s="54"/>
      <c r="H3784" s="54"/>
      <c r="I3784" s="66"/>
      <c r="J3784" s="54"/>
      <c r="K3784" s="54"/>
      <c r="L3784" s="54"/>
      <c r="M3784" s="97" t="str">
        <f t="shared" si="317"/>
        <v/>
      </c>
      <c r="N3784" s="70"/>
      <c r="O3784" s="71" t="str">
        <f t="shared" si="321"/>
        <v/>
      </c>
      <c r="P3784" s="66"/>
      <c r="Q3784" s="66"/>
      <c r="R3784" s="54"/>
      <c r="S3784" s="82"/>
      <c r="T3784" s="83" t="str">
        <f t="shared" si="318"/>
        <v/>
      </c>
      <c r="U3784" s="10"/>
      <c r="V3784" s="41">
        <f>IF(AND(Q3784&lt;&gt;"",RIGHT(Q3784,3)&lt;&gt;""),IF(COUNTIF($Q$6:Q3784,Q3784)=1,1,0),0)</f>
        <v>0</v>
      </c>
      <c r="W3784" s="41" t="str">
        <f t="shared" si="319"/>
        <v/>
      </c>
      <c r="X3784" s="41" t="str">
        <f t="shared" si="320"/>
        <v/>
      </c>
    </row>
    <row r="3785" s="32" customFormat="1" hidden="1" customHeight="1" spans="1:24">
      <c r="A3785" s="34"/>
      <c r="B3785" s="51"/>
      <c r="C3785" s="51"/>
      <c r="D3785" s="52"/>
      <c r="E3785" s="53"/>
      <c r="F3785" s="54"/>
      <c r="G3785" s="54"/>
      <c r="H3785" s="54"/>
      <c r="I3785" s="66"/>
      <c r="J3785" s="54"/>
      <c r="K3785" s="54"/>
      <c r="L3785" s="54"/>
      <c r="M3785" s="97" t="str">
        <f t="shared" si="317"/>
        <v/>
      </c>
      <c r="N3785" s="70"/>
      <c r="O3785" s="71" t="str">
        <f t="shared" si="321"/>
        <v/>
      </c>
      <c r="P3785" s="66"/>
      <c r="Q3785" s="66"/>
      <c r="R3785" s="54"/>
      <c r="S3785" s="82"/>
      <c r="T3785" s="83" t="str">
        <f t="shared" si="318"/>
        <v/>
      </c>
      <c r="U3785" s="10"/>
      <c r="V3785" s="41">
        <f>IF(AND(Q3785&lt;&gt;"",RIGHT(Q3785,3)&lt;&gt;""),IF(COUNTIF($Q$6:Q3785,Q3785)=1,1,0),0)</f>
        <v>0</v>
      </c>
      <c r="W3785" s="41" t="str">
        <f t="shared" si="319"/>
        <v/>
      </c>
      <c r="X3785" s="41" t="str">
        <f t="shared" si="320"/>
        <v/>
      </c>
    </row>
    <row r="3786" s="32" customFormat="1" hidden="1" customHeight="1" spans="1:24">
      <c r="A3786" s="34"/>
      <c r="B3786" s="51"/>
      <c r="C3786" s="51"/>
      <c r="D3786" s="52"/>
      <c r="E3786" s="53"/>
      <c r="F3786" s="54"/>
      <c r="G3786" s="54"/>
      <c r="H3786" s="54"/>
      <c r="I3786" s="66"/>
      <c r="J3786" s="54"/>
      <c r="K3786" s="54"/>
      <c r="L3786" s="54"/>
      <c r="M3786" s="97" t="str">
        <f t="shared" si="317"/>
        <v/>
      </c>
      <c r="N3786" s="70"/>
      <c r="O3786" s="71" t="str">
        <f t="shared" si="321"/>
        <v/>
      </c>
      <c r="P3786" s="66"/>
      <c r="Q3786" s="66"/>
      <c r="R3786" s="54"/>
      <c r="S3786" s="82"/>
      <c r="T3786" s="83" t="str">
        <f t="shared" si="318"/>
        <v/>
      </c>
      <c r="U3786" s="10"/>
      <c r="V3786" s="41">
        <f>IF(AND(Q3786&lt;&gt;"",RIGHT(Q3786,3)&lt;&gt;""),IF(COUNTIF($Q$6:Q3786,Q3786)=1,1,0),0)</f>
        <v>0</v>
      </c>
      <c r="W3786" s="41" t="str">
        <f t="shared" si="319"/>
        <v/>
      </c>
      <c r="X3786" s="41" t="str">
        <f t="shared" si="320"/>
        <v/>
      </c>
    </row>
    <row r="3787" s="32" customFormat="1" hidden="1" customHeight="1" spans="1:24">
      <c r="A3787" s="34"/>
      <c r="B3787" s="51"/>
      <c r="C3787" s="51"/>
      <c r="D3787" s="52"/>
      <c r="E3787" s="53"/>
      <c r="F3787" s="54"/>
      <c r="G3787" s="54"/>
      <c r="H3787" s="54"/>
      <c r="I3787" s="66"/>
      <c r="J3787" s="54"/>
      <c r="K3787" s="54"/>
      <c r="L3787" s="54"/>
      <c r="M3787" s="97" t="str">
        <f t="shared" si="317"/>
        <v/>
      </c>
      <c r="N3787" s="70"/>
      <c r="O3787" s="71" t="str">
        <f t="shared" si="321"/>
        <v/>
      </c>
      <c r="P3787" s="66"/>
      <c r="Q3787" s="66"/>
      <c r="R3787" s="54"/>
      <c r="S3787" s="82"/>
      <c r="T3787" s="83" t="str">
        <f t="shared" si="318"/>
        <v/>
      </c>
      <c r="U3787" s="10"/>
      <c r="V3787" s="41">
        <f>IF(AND(Q3787&lt;&gt;"",RIGHT(Q3787,3)&lt;&gt;""),IF(COUNTIF($Q$6:Q3787,Q3787)=1,1,0),0)</f>
        <v>0</v>
      </c>
      <c r="W3787" s="41" t="str">
        <f t="shared" si="319"/>
        <v/>
      </c>
      <c r="X3787" s="41" t="str">
        <f t="shared" si="320"/>
        <v/>
      </c>
    </row>
    <row r="3788" s="32" customFormat="1" hidden="1" customHeight="1" spans="1:24">
      <c r="A3788" s="34"/>
      <c r="B3788" s="51"/>
      <c r="C3788" s="51"/>
      <c r="D3788" s="52"/>
      <c r="E3788" s="53"/>
      <c r="F3788" s="54"/>
      <c r="G3788" s="54"/>
      <c r="H3788" s="54"/>
      <c r="I3788" s="66"/>
      <c r="J3788" s="54"/>
      <c r="K3788" s="54"/>
      <c r="L3788" s="54"/>
      <c r="M3788" s="97" t="str">
        <f t="shared" si="317"/>
        <v/>
      </c>
      <c r="N3788" s="70"/>
      <c r="O3788" s="71" t="str">
        <f t="shared" si="321"/>
        <v/>
      </c>
      <c r="P3788" s="66"/>
      <c r="Q3788" s="66"/>
      <c r="R3788" s="54"/>
      <c r="S3788" s="82"/>
      <c r="T3788" s="83" t="str">
        <f t="shared" si="318"/>
        <v/>
      </c>
      <c r="U3788" s="10"/>
      <c r="V3788" s="41">
        <f>IF(AND(Q3788&lt;&gt;"",RIGHT(Q3788,3)&lt;&gt;""),IF(COUNTIF($Q$6:Q3788,Q3788)=1,1,0),0)</f>
        <v>0</v>
      </c>
      <c r="W3788" s="41" t="str">
        <f t="shared" si="319"/>
        <v/>
      </c>
      <c r="X3788" s="41" t="str">
        <f t="shared" si="320"/>
        <v/>
      </c>
    </row>
    <row r="3789" s="32" customFormat="1" hidden="1" customHeight="1" spans="1:24">
      <c r="A3789" s="34"/>
      <c r="B3789" s="51"/>
      <c r="C3789" s="51"/>
      <c r="D3789" s="52"/>
      <c r="E3789" s="53"/>
      <c r="F3789" s="54"/>
      <c r="G3789" s="54"/>
      <c r="H3789" s="54"/>
      <c r="I3789" s="66"/>
      <c r="J3789" s="54"/>
      <c r="K3789" s="54"/>
      <c r="L3789" s="54"/>
      <c r="M3789" s="97" t="str">
        <f t="shared" si="317"/>
        <v/>
      </c>
      <c r="N3789" s="70"/>
      <c r="O3789" s="71" t="str">
        <f t="shared" si="321"/>
        <v/>
      </c>
      <c r="P3789" s="66"/>
      <c r="Q3789" s="66"/>
      <c r="R3789" s="54"/>
      <c r="S3789" s="82"/>
      <c r="T3789" s="83" t="str">
        <f t="shared" si="318"/>
        <v/>
      </c>
      <c r="U3789" s="10"/>
      <c r="V3789" s="41">
        <f>IF(AND(Q3789&lt;&gt;"",RIGHT(Q3789,3)&lt;&gt;""),IF(COUNTIF($Q$6:Q3789,Q3789)=1,1,0),0)</f>
        <v>0</v>
      </c>
      <c r="W3789" s="41" t="str">
        <f t="shared" si="319"/>
        <v/>
      </c>
      <c r="X3789" s="41" t="str">
        <f t="shared" si="320"/>
        <v/>
      </c>
    </row>
    <row r="3790" s="32" customFormat="1" hidden="1" customHeight="1" spans="1:24">
      <c r="A3790" s="34"/>
      <c r="B3790" s="51"/>
      <c r="C3790" s="51"/>
      <c r="D3790" s="52"/>
      <c r="E3790" s="53"/>
      <c r="F3790" s="54"/>
      <c r="G3790" s="54"/>
      <c r="H3790" s="54"/>
      <c r="I3790" s="66"/>
      <c r="J3790" s="54"/>
      <c r="K3790" s="54"/>
      <c r="L3790" s="54"/>
      <c r="M3790" s="97" t="str">
        <f t="shared" si="317"/>
        <v/>
      </c>
      <c r="N3790" s="70"/>
      <c r="O3790" s="71" t="str">
        <f t="shared" si="321"/>
        <v/>
      </c>
      <c r="P3790" s="66"/>
      <c r="Q3790" s="66"/>
      <c r="R3790" s="54"/>
      <c r="S3790" s="82"/>
      <c r="T3790" s="83" t="str">
        <f t="shared" si="318"/>
        <v/>
      </c>
      <c r="U3790" s="10"/>
      <c r="V3790" s="41">
        <f>IF(AND(Q3790&lt;&gt;"",RIGHT(Q3790,3)&lt;&gt;""),IF(COUNTIF($Q$6:Q3790,Q3790)=1,1,0),0)</f>
        <v>0</v>
      </c>
      <c r="W3790" s="41" t="str">
        <f t="shared" si="319"/>
        <v/>
      </c>
      <c r="X3790" s="41" t="str">
        <f t="shared" si="320"/>
        <v/>
      </c>
    </row>
    <row r="3791" s="32" customFormat="1" hidden="1" customHeight="1" spans="1:24">
      <c r="A3791" s="34"/>
      <c r="B3791" s="51"/>
      <c r="C3791" s="51"/>
      <c r="D3791" s="52"/>
      <c r="E3791" s="53"/>
      <c r="F3791" s="54"/>
      <c r="G3791" s="54"/>
      <c r="H3791" s="54"/>
      <c r="I3791" s="66"/>
      <c r="J3791" s="54"/>
      <c r="K3791" s="54"/>
      <c r="L3791" s="54"/>
      <c r="M3791" s="97" t="str">
        <f t="shared" si="317"/>
        <v/>
      </c>
      <c r="N3791" s="70"/>
      <c r="O3791" s="71" t="str">
        <f t="shared" si="321"/>
        <v/>
      </c>
      <c r="P3791" s="66"/>
      <c r="Q3791" s="66"/>
      <c r="R3791" s="54"/>
      <c r="S3791" s="82"/>
      <c r="T3791" s="83" t="str">
        <f t="shared" si="318"/>
        <v/>
      </c>
      <c r="U3791" s="10"/>
      <c r="V3791" s="41">
        <f>IF(AND(Q3791&lt;&gt;"",RIGHT(Q3791,3)&lt;&gt;""),IF(COUNTIF($Q$6:Q3791,Q3791)=1,1,0),0)</f>
        <v>0</v>
      </c>
      <c r="W3791" s="41" t="str">
        <f t="shared" si="319"/>
        <v/>
      </c>
      <c r="X3791" s="41" t="str">
        <f t="shared" si="320"/>
        <v/>
      </c>
    </row>
    <row r="3792" s="32" customFormat="1" hidden="1" customHeight="1" spans="1:24">
      <c r="A3792" s="34"/>
      <c r="B3792" s="51"/>
      <c r="C3792" s="51"/>
      <c r="D3792" s="52"/>
      <c r="E3792" s="53"/>
      <c r="F3792" s="54"/>
      <c r="G3792" s="54"/>
      <c r="H3792" s="54"/>
      <c r="I3792" s="66"/>
      <c r="J3792" s="54"/>
      <c r="K3792" s="54"/>
      <c r="L3792" s="54"/>
      <c r="M3792" s="97" t="str">
        <f t="shared" si="317"/>
        <v/>
      </c>
      <c r="N3792" s="70"/>
      <c r="O3792" s="71" t="str">
        <f t="shared" si="321"/>
        <v/>
      </c>
      <c r="P3792" s="66"/>
      <c r="Q3792" s="66"/>
      <c r="R3792" s="54"/>
      <c r="S3792" s="82"/>
      <c r="T3792" s="83" t="str">
        <f t="shared" si="318"/>
        <v/>
      </c>
      <c r="U3792" s="10"/>
      <c r="V3792" s="41">
        <f>IF(AND(Q3792&lt;&gt;"",RIGHT(Q3792,3)&lt;&gt;""),IF(COUNTIF($Q$6:Q3792,Q3792)=1,1,0),0)</f>
        <v>0</v>
      </c>
      <c r="W3792" s="41" t="str">
        <f t="shared" si="319"/>
        <v/>
      </c>
      <c r="X3792" s="41" t="str">
        <f t="shared" si="320"/>
        <v/>
      </c>
    </row>
    <row r="3793" s="32" customFormat="1" hidden="1" customHeight="1" spans="1:24">
      <c r="A3793" s="34"/>
      <c r="B3793" s="51"/>
      <c r="C3793" s="51"/>
      <c r="D3793" s="52"/>
      <c r="E3793" s="53"/>
      <c r="F3793" s="54"/>
      <c r="G3793" s="54"/>
      <c r="H3793" s="54"/>
      <c r="I3793" s="66"/>
      <c r="J3793" s="54"/>
      <c r="K3793" s="54"/>
      <c r="L3793" s="54"/>
      <c r="M3793" s="97" t="str">
        <f t="shared" si="317"/>
        <v/>
      </c>
      <c r="N3793" s="70"/>
      <c r="O3793" s="71" t="str">
        <f t="shared" si="321"/>
        <v/>
      </c>
      <c r="P3793" s="66"/>
      <c r="Q3793" s="66"/>
      <c r="R3793" s="54"/>
      <c r="S3793" s="82"/>
      <c r="T3793" s="83" t="str">
        <f t="shared" si="318"/>
        <v/>
      </c>
      <c r="U3793" s="10"/>
      <c r="V3793" s="41">
        <f>IF(AND(Q3793&lt;&gt;"",RIGHT(Q3793,3)&lt;&gt;""),IF(COUNTIF($Q$6:Q3793,Q3793)=1,1,0),0)</f>
        <v>0</v>
      </c>
      <c r="W3793" s="41" t="str">
        <f t="shared" si="319"/>
        <v/>
      </c>
      <c r="X3793" s="41" t="str">
        <f t="shared" si="320"/>
        <v/>
      </c>
    </row>
    <row r="3794" s="32" customFormat="1" hidden="1" customHeight="1" spans="1:24">
      <c r="A3794" s="34"/>
      <c r="B3794" s="51"/>
      <c r="C3794" s="51"/>
      <c r="D3794" s="52"/>
      <c r="E3794" s="53"/>
      <c r="F3794" s="54"/>
      <c r="G3794" s="54"/>
      <c r="H3794" s="54"/>
      <c r="I3794" s="66"/>
      <c r="J3794" s="54"/>
      <c r="K3794" s="54"/>
      <c r="L3794" s="54"/>
      <c r="M3794" s="97" t="str">
        <f t="shared" si="317"/>
        <v/>
      </c>
      <c r="N3794" s="70"/>
      <c r="O3794" s="71" t="str">
        <f t="shared" si="321"/>
        <v/>
      </c>
      <c r="P3794" s="66"/>
      <c r="Q3794" s="66"/>
      <c r="R3794" s="54"/>
      <c r="S3794" s="82"/>
      <c r="T3794" s="83" t="str">
        <f t="shared" si="318"/>
        <v/>
      </c>
      <c r="U3794" s="10"/>
      <c r="V3794" s="41">
        <f>IF(AND(Q3794&lt;&gt;"",RIGHT(Q3794,3)&lt;&gt;""),IF(COUNTIF($Q$6:Q3794,Q3794)=1,1,0),0)</f>
        <v>0</v>
      </c>
      <c r="W3794" s="41" t="str">
        <f t="shared" si="319"/>
        <v/>
      </c>
      <c r="X3794" s="41" t="str">
        <f t="shared" si="320"/>
        <v/>
      </c>
    </row>
    <row r="3795" s="32" customFormat="1" hidden="1" customHeight="1" spans="1:24">
      <c r="A3795" s="34"/>
      <c r="B3795" s="51"/>
      <c r="C3795" s="51"/>
      <c r="D3795" s="52"/>
      <c r="E3795" s="53"/>
      <c r="F3795" s="54"/>
      <c r="G3795" s="54"/>
      <c r="H3795" s="54"/>
      <c r="I3795" s="66"/>
      <c r="J3795" s="54"/>
      <c r="K3795" s="54"/>
      <c r="L3795" s="54"/>
      <c r="M3795" s="97" t="str">
        <f t="shared" si="317"/>
        <v/>
      </c>
      <c r="N3795" s="70"/>
      <c r="O3795" s="71" t="str">
        <f t="shared" si="321"/>
        <v/>
      </c>
      <c r="P3795" s="66"/>
      <c r="Q3795" s="66"/>
      <c r="R3795" s="54"/>
      <c r="S3795" s="82"/>
      <c r="T3795" s="83" t="str">
        <f t="shared" si="318"/>
        <v/>
      </c>
      <c r="U3795" s="10"/>
      <c r="V3795" s="41">
        <f>IF(AND(Q3795&lt;&gt;"",RIGHT(Q3795,3)&lt;&gt;""),IF(COUNTIF($Q$6:Q3795,Q3795)=1,1,0),0)</f>
        <v>0</v>
      </c>
      <c r="W3795" s="41" t="str">
        <f t="shared" si="319"/>
        <v/>
      </c>
      <c r="X3795" s="41" t="str">
        <f t="shared" si="320"/>
        <v/>
      </c>
    </row>
    <row r="3796" s="32" customFormat="1" hidden="1" customHeight="1" spans="1:24">
      <c r="A3796" s="34"/>
      <c r="B3796" s="51"/>
      <c r="C3796" s="51"/>
      <c r="D3796" s="52"/>
      <c r="E3796" s="53"/>
      <c r="F3796" s="54"/>
      <c r="G3796" s="54"/>
      <c r="H3796" s="54"/>
      <c r="I3796" s="66"/>
      <c r="J3796" s="54"/>
      <c r="K3796" s="54"/>
      <c r="L3796" s="54"/>
      <c r="M3796" s="97" t="str">
        <f t="shared" si="317"/>
        <v/>
      </c>
      <c r="N3796" s="70"/>
      <c r="O3796" s="71" t="str">
        <f t="shared" si="321"/>
        <v/>
      </c>
      <c r="P3796" s="66"/>
      <c r="Q3796" s="66"/>
      <c r="R3796" s="54"/>
      <c r="S3796" s="82"/>
      <c r="T3796" s="83" t="str">
        <f t="shared" si="318"/>
        <v/>
      </c>
      <c r="U3796" s="10"/>
      <c r="V3796" s="41">
        <f>IF(AND(Q3796&lt;&gt;"",RIGHT(Q3796,3)&lt;&gt;""),IF(COUNTIF($Q$6:Q3796,Q3796)=1,1,0),0)</f>
        <v>0</v>
      </c>
      <c r="W3796" s="41" t="str">
        <f t="shared" si="319"/>
        <v/>
      </c>
      <c r="X3796" s="41" t="str">
        <f t="shared" si="320"/>
        <v/>
      </c>
    </row>
    <row r="3797" s="32" customFormat="1" hidden="1" customHeight="1" spans="1:24">
      <c r="A3797" s="34"/>
      <c r="B3797" s="51"/>
      <c r="C3797" s="51"/>
      <c r="D3797" s="52"/>
      <c r="E3797" s="53"/>
      <c r="F3797" s="54"/>
      <c r="G3797" s="54"/>
      <c r="H3797" s="54"/>
      <c r="I3797" s="66"/>
      <c r="J3797" s="54"/>
      <c r="K3797" s="54"/>
      <c r="L3797" s="54"/>
      <c r="M3797" s="97" t="str">
        <f t="shared" si="317"/>
        <v/>
      </c>
      <c r="N3797" s="70"/>
      <c r="O3797" s="71" t="str">
        <f t="shared" si="321"/>
        <v/>
      </c>
      <c r="P3797" s="66"/>
      <c r="Q3797" s="66"/>
      <c r="R3797" s="54"/>
      <c r="S3797" s="82"/>
      <c r="T3797" s="83" t="str">
        <f t="shared" si="318"/>
        <v/>
      </c>
      <c r="U3797" s="10"/>
      <c r="V3797" s="41">
        <f>IF(AND(Q3797&lt;&gt;"",RIGHT(Q3797,3)&lt;&gt;""),IF(COUNTIF($Q$6:Q3797,Q3797)=1,1,0),0)</f>
        <v>0</v>
      </c>
      <c r="W3797" s="41" t="str">
        <f t="shared" si="319"/>
        <v/>
      </c>
      <c r="X3797" s="41" t="str">
        <f t="shared" si="320"/>
        <v/>
      </c>
    </row>
    <row r="3798" s="32" customFormat="1" hidden="1" customHeight="1" spans="1:24">
      <c r="A3798" s="34"/>
      <c r="B3798" s="51"/>
      <c r="C3798" s="51"/>
      <c r="D3798" s="52"/>
      <c r="E3798" s="53"/>
      <c r="F3798" s="54"/>
      <c r="G3798" s="54"/>
      <c r="H3798" s="54"/>
      <c r="I3798" s="66"/>
      <c r="J3798" s="54"/>
      <c r="K3798" s="54"/>
      <c r="L3798" s="54"/>
      <c r="M3798" s="97" t="str">
        <f t="shared" si="317"/>
        <v/>
      </c>
      <c r="N3798" s="70"/>
      <c r="O3798" s="71" t="str">
        <f t="shared" si="321"/>
        <v/>
      </c>
      <c r="P3798" s="66"/>
      <c r="Q3798" s="66"/>
      <c r="R3798" s="54"/>
      <c r="S3798" s="82"/>
      <c r="T3798" s="83" t="str">
        <f t="shared" si="318"/>
        <v/>
      </c>
      <c r="U3798" s="10"/>
      <c r="V3798" s="41">
        <f>IF(AND(Q3798&lt;&gt;"",RIGHT(Q3798,3)&lt;&gt;""),IF(COUNTIF($Q$6:Q3798,Q3798)=1,1,0),0)</f>
        <v>0</v>
      </c>
      <c r="W3798" s="41" t="str">
        <f t="shared" si="319"/>
        <v/>
      </c>
      <c r="X3798" s="41" t="str">
        <f t="shared" si="320"/>
        <v/>
      </c>
    </row>
    <row r="3799" s="32" customFormat="1" hidden="1" customHeight="1" spans="1:24">
      <c r="A3799" s="34"/>
      <c r="B3799" s="51"/>
      <c r="C3799" s="51"/>
      <c r="D3799" s="52"/>
      <c r="E3799" s="53"/>
      <c r="F3799" s="54"/>
      <c r="G3799" s="54"/>
      <c r="H3799" s="54"/>
      <c r="I3799" s="66"/>
      <c r="J3799" s="54"/>
      <c r="K3799" s="54"/>
      <c r="L3799" s="54"/>
      <c r="M3799" s="97" t="str">
        <f t="shared" si="317"/>
        <v/>
      </c>
      <c r="N3799" s="70"/>
      <c r="O3799" s="71" t="str">
        <f t="shared" si="321"/>
        <v/>
      </c>
      <c r="P3799" s="66"/>
      <c r="Q3799" s="66"/>
      <c r="R3799" s="54"/>
      <c r="S3799" s="82"/>
      <c r="T3799" s="83" t="str">
        <f t="shared" si="318"/>
        <v/>
      </c>
      <c r="U3799" s="10"/>
      <c r="V3799" s="41">
        <f>IF(AND(Q3799&lt;&gt;"",RIGHT(Q3799,3)&lt;&gt;""),IF(COUNTIF($Q$6:Q3799,Q3799)=1,1,0),0)</f>
        <v>0</v>
      </c>
      <c r="W3799" s="41" t="str">
        <f t="shared" si="319"/>
        <v/>
      </c>
      <c r="X3799" s="41" t="str">
        <f t="shared" si="320"/>
        <v/>
      </c>
    </row>
    <row r="3800" s="32" customFormat="1" hidden="1" customHeight="1" spans="1:24">
      <c r="A3800" s="34"/>
      <c r="B3800" s="51"/>
      <c r="C3800" s="51"/>
      <c r="D3800" s="52"/>
      <c r="E3800" s="53"/>
      <c r="F3800" s="54"/>
      <c r="G3800" s="54"/>
      <c r="H3800" s="54"/>
      <c r="I3800" s="66"/>
      <c r="J3800" s="54"/>
      <c r="K3800" s="54"/>
      <c r="L3800" s="54"/>
      <c r="M3800" s="97" t="str">
        <f t="shared" si="317"/>
        <v/>
      </c>
      <c r="N3800" s="70"/>
      <c r="O3800" s="71" t="str">
        <f t="shared" si="321"/>
        <v/>
      </c>
      <c r="P3800" s="66"/>
      <c r="Q3800" s="66"/>
      <c r="R3800" s="54"/>
      <c r="S3800" s="82"/>
      <c r="T3800" s="83" t="str">
        <f t="shared" si="318"/>
        <v/>
      </c>
      <c r="U3800" s="10"/>
      <c r="V3800" s="41">
        <f>IF(AND(Q3800&lt;&gt;"",RIGHT(Q3800,3)&lt;&gt;""),IF(COUNTIF($Q$6:Q3800,Q3800)=1,1,0),0)</f>
        <v>0</v>
      </c>
      <c r="W3800" s="41" t="str">
        <f t="shared" si="319"/>
        <v/>
      </c>
      <c r="X3800" s="41" t="str">
        <f t="shared" si="320"/>
        <v/>
      </c>
    </row>
    <row r="3801" s="32" customFormat="1" hidden="1" customHeight="1" spans="1:24">
      <c r="A3801" s="34"/>
      <c r="B3801" s="51"/>
      <c r="C3801" s="51"/>
      <c r="D3801" s="52"/>
      <c r="E3801" s="53"/>
      <c r="F3801" s="54"/>
      <c r="G3801" s="54"/>
      <c r="H3801" s="54"/>
      <c r="I3801" s="66"/>
      <c r="J3801" s="54"/>
      <c r="K3801" s="54"/>
      <c r="L3801" s="54"/>
      <c r="M3801" s="97" t="str">
        <f t="shared" si="317"/>
        <v/>
      </c>
      <c r="N3801" s="70"/>
      <c r="O3801" s="71" t="str">
        <f t="shared" si="321"/>
        <v/>
      </c>
      <c r="P3801" s="66"/>
      <c r="Q3801" s="66"/>
      <c r="R3801" s="54"/>
      <c r="S3801" s="82"/>
      <c r="T3801" s="83" t="str">
        <f t="shared" si="318"/>
        <v/>
      </c>
      <c r="U3801" s="10"/>
      <c r="V3801" s="41">
        <f>IF(AND(Q3801&lt;&gt;"",RIGHT(Q3801,3)&lt;&gt;""),IF(COUNTIF($Q$6:Q3801,Q3801)=1,1,0),0)</f>
        <v>0</v>
      </c>
      <c r="W3801" s="41" t="str">
        <f t="shared" si="319"/>
        <v/>
      </c>
      <c r="X3801" s="41" t="str">
        <f t="shared" si="320"/>
        <v/>
      </c>
    </row>
    <row r="3802" s="32" customFormat="1" hidden="1" customHeight="1" spans="1:24">
      <c r="A3802" s="34"/>
      <c r="B3802" s="51"/>
      <c r="C3802" s="51"/>
      <c r="D3802" s="52"/>
      <c r="E3802" s="53"/>
      <c r="F3802" s="54"/>
      <c r="G3802" s="54"/>
      <c r="H3802" s="54"/>
      <c r="I3802" s="66"/>
      <c r="J3802" s="54"/>
      <c r="K3802" s="54"/>
      <c r="L3802" s="54"/>
      <c r="M3802" s="97" t="str">
        <f t="shared" si="317"/>
        <v/>
      </c>
      <c r="N3802" s="70"/>
      <c r="O3802" s="71" t="str">
        <f t="shared" si="321"/>
        <v/>
      </c>
      <c r="P3802" s="66"/>
      <c r="Q3802" s="66"/>
      <c r="R3802" s="54"/>
      <c r="S3802" s="82"/>
      <c r="T3802" s="83" t="str">
        <f t="shared" si="318"/>
        <v/>
      </c>
      <c r="U3802" s="10"/>
      <c r="V3802" s="41">
        <f>IF(AND(Q3802&lt;&gt;"",RIGHT(Q3802,3)&lt;&gt;""),IF(COUNTIF($Q$6:Q3802,Q3802)=1,1,0),0)</f>
        <v>0</v>
      </c>
      <c r="W3802" s="41" t="str">
        <f t="shared" si="319"/>
        <v/>
      </c>
      <c r="X3802" s="41" t="str">
        <f t="shared" si="320"/>
        <v/>
      </c>
    </row>
    <row r="3803" s="32" customFormat="1" hidden="1" customHeight="1" spans="1:24">
      <c r="A3803" s="34"/>
      <c r="B3803" s="51"/>
      <c r="C3803" s="51"/>
      <c r="D3803" s="52"/>
      <c r="E3803" s="53"/>
      <c r="F3803" s="54"/>
      <c r="G3803" s="54"/>
      <c r="H3803" s="54"/>
      <c r="I3803" s="66"/>
      <c r="J3803" s="54"/>
      <c r="K3803" s="54"/>
      <c r="L3803" s="54"/>
      <c r="M3803" s="97" t="str">
        <f t="shared" si="317"/>
        <v/>
      </c>
      <c r="N3803" s="70"/>
      <c r="O3803" s="71" t="str">
        <f t="shared" si="321"/>
        <v/>
      </c>
      <c r="P3803" s="66"/>
      <c r="Q3803" s="66"/>
      <c r="R3803" s="54"/>
      <c r="S3803" s="82"/>
      <c r="T3803" s="83" t="str">
        <f t="shared" si="318"/>
        <v/>
      </c>
      <c r="U3803" s="10"/>
      <c r="V3803" s="41">
        <f>IF(AND(Q3803&lt;&gt;"",RIGHT(Q3803,3)&lt;&gt;""),IF(COUNTIF($Q$6:Q3803,Q3803)=1,1,0),0)</f>
        <v>0</v>
      </c>
      <c r="W3803" s="41" t="str">
        <f t="shared" si="319"/>
        <v/>
      </c>
      <c r="X3803" s="41" t="str">
        <f t="shared" si="320"/>
        <v/>
      </c>
    </row>
    <row r="3804" s="32" customFormat="1" hidden="1" customHeight="1" spans="1:24">
      <c r="A3804" s="34"/>
      <c r="B3804" s="51"/>
      <c r="C3804" s="51"/>
      <c r="D3804" s="52"/>
      <c r="E3804" s="53"/>
      <c r="F3804" s="54"/>
      <c r="G3804" s="54"/>
      <c r="H3804" s="54"/>
      <c r="I3804" s="66"/>
      <c r="J3804" s="54"/>
      <c r="K3804" s="54"/>
      <c r="L3804" s="54"/>
      <c r="M3804" s="97" t="str">
        <f t="shared" si="317"/>
        <v/>
      </c>
      <c r="N3804" s="70"/>
      <c r="O3804" s="71" t="str">
        <f t="shared" si="321"/>
        <v/>
      </c>
      <c r="P3804" s="66"/>
      <c r="Q3804" s="66"/>
      <c r="R3804" s="54"/>
      <c r="S3804" s="82"/>
      <c r="T3804" s="83" t="str">
        <f t="shared" si="318"/>
        <v/>
      </c>
      <c r="U3804" s="10"/>
      <c r="V3804" s="41">
        <f>IF(AND(Q3804&lt;&gt;"",RIGHT(Q3804,3)&lt;&gt;""),IF(COUNTIF($Q$6:Q3804,Q3804)=1,1,0),0)</f>
        <v>0</v>
      </c>
      <c r="W3804" s="41" t="str">
        <f t="shared" si="319"/>
        <v/>
      </c>
      <c r="X3804" s="41" t="str">
        <f t="shared" si="320"/>
        <v/>
      </c>
    </row>
    <row r="3805" s="32" customFormat="1" hidden="1" customHeight="1" spans="1:24">
      <c r="A3805" s="34"/>
      <c r="B3805" s="51"/>
      <c r="C3805" s="51"/>
      <c r="D3805" s="52"/>
      <c r="E3805" s="53"/>
      <c r="F3805" s="54"/>
      <c r="G3805" s="54"/>
      <c r="H3805" s="54"/>
      <c r="I3805" s="66"/>
      <c r="J3805" s="54"/>
      <c r="K3805" s="54"/>
      <c r="L3805" s="54"/>
      <c r="M3805" s="97" t="str">
        <f t="shared" si="317"/>
        <v/>
      </c>
      <c r="N3805" s="70"/>
      <c r="O3805" s="71" t="str">
        <f t="shared" si="321"/>
        <v/>
      </c>
      <c r="P3805" s="66"/>
      <c r="Q3805" s="66"/>
      <c r="R3805" s="54"/>
      <c r="S3805" s="82"/>
      <c r="T3805" s="83" t="str">
        <f t="shared" si="318"/>
        <v/>
      </c>
      <c r="U3805" s="10"/>
      <c r="V3805" s="41">
        <f>IF(AND(Q3805&lt;&gt;"",RIGHT(Q3805,3)&lt;&gt;""),IF(COUNTIF($Q$6:Q3805,Q3805)=1,1,0),0)</f>
        <v>0</v>
      </c>
      <c r="W3805" s="41" t="str">
        <f t="shared" si="319"/>
        <v/>
      </c>
      <c r="X3805" s="41" t="str">
        <f t="shared" si="320"/>
        <v/>
      </c>
    </row>
    <row r="3806" s="32" customFormat="1" hidden="1" customHeight="1" spans="1:24">
      <c r="A3806" s="34"/>
      <c r="B3806" s="51"/>
      <c r="C3806" s="51"/>
      <c r="D3806" s="52"/>
      <c r="E3806" s="53"/>
      <c r="F3806" s="54"/>
      <c r="G3806" s="54"/>
      <c r="H3806" s="54"/>
      <c r="I3806" s="66"/>
      <c r="J3806" s="54"/>
      <c r="K3806" s="54"/>
      <c r="L3806" s="54"/>
      <c r="M3806" s="97" t="str">
        <f t="shared" si="317"/>
        <v/>
      </c>
      <c r="N3806" s="70"/>
      <c r="O3806" s="71" t="str">
        <f t="shared" si="321"/>
        <v/>
      </c>
      <c r="P3806" s="66"/>
      <c r="Q3806" s="66"/>
      <c r="R3806" s="54"/>
      <c r="S3806" s="82"/>
      <c r="T3806" s="83" t="str">
        <f t="shared" si="318"/>
        <v/>
      </c>
      <c r="U3806" s="10"/>
      <c r="V3806" s="41">
        <f>IF(AND(Q3806&lt;&gt;"",RIGHT(Q3806,3)&lt;&gt;""),IF(COUNTIF($Q$6:Q3806,Q3806)=1,1,0),0)</f>
        <v>0</v>
      </c>
      <c r="W3806" s="41" t="str">
        <f t="shared" si="319"/>
        <v/>
      </c>
      <c r="X3806" s="41" t="str">
        <f t="shared" si="320"/>
        <v/>
      </c>
    </row>
    <row r="3807" s="32" customFormat="1" hidden="1" customHeight="1" spans="1:24">
      <c r="A3807" s="34"/>
      <c r="B3807" s="51"/>
      <c r="C3807" s="51"/>
      <c r="D3807" s="52"/>
      <c r="E3807" s="53"/>
      <c r="F3807" s="54"/>
      <c r="G3807" s="54"/>
      <c r="H3807" s="54"/>
      <c r="I3807" s="66"/>
      <c r="J3807" s="54"/>
      <c r="K3807" s="54"/>
      <c r="L3807" s="54"/>
      <c r="M3807" s="97" t="str">
        <f t="shared" si="317"/>
        <v/>
      </c>
      <c r="N3807" s="70"/>
      <c r="O3807" s="71" t="str">
        <f t="shared" si="321"/>
        <v/>
      </c>
      <c r="P3807" s="66"/>
      <c r="Q3807" s="66"/>
      <c r="R3807" s="54"/>
      <c r="S3807" s="82"/>
      <c r="T3807" s="83" t="str">
        <f t="shared" si="318"/>
        <v/>
      </c>
      <c r="U3807" s="10"/>
      <c r="V3807" s="41">
        <f>IF(AND(Q3807&lt;&gt;"",RIGHT(Q3807,3)&lt;&gt;""),IF(COUNTIF($Q$6:Q3807,Q3807)=1,1,0),0)</f>
        <v>0</v>
      </c>
      <c r="W3807" s="41" t="str">
        <f t="shared" si="319"/>
        <v/>
      </c>
      <c r="X3807" s="41" t="str">
        <f t="shared" si="320"/>
        <v/>
      </c>
    </row>
    <row r="3808" s="32" customFormat="1" hidden="1" customHeight="1" spans="1:24">
      <c r="A3808" s="34"/>
      <c r="B3808" s="51"/>
      <c r="C3808" s="51"/>
      <c r="D3808" s="52"/>
      <c r="E3808" s="53"/>
      <c r="F3808" s="54"/>
      <c r="G3808" s="54"/>
      <c r="H3808" s="54"/>
      <c r="I3808" s="66"/>
      <c r="J3808" s="54"/>
      <c r="K3808" s="54"/>
      <c r="L3808" s="54"/>
      <c r="M3808" s="97" t="str">
        <f t="shared" si="317"/>
        <v/>
      </c>
      <c r="N3808" s="70"/>
      <c r="O3808" s="71" t="str">
        <f t="shared" si="321"/>
        <v/>
      </c>
      <c r="P3808" s="66"/>
      <c r="Q3808" s="66"/>
      <c r="R3808" s="54"/>
      <c r="S3808" s="82"/>
      <c r="T3808" s="83" t="str">
        <f t="shared" si="318"/>
        <v/>
      </c>
      <c r="U3808" s="10"/>
      <c r="V3808" s="41">
        <f>IF(AND(Q3808&lt;&gt;"",RIGHT(Q3808,3)&lt;&gt;""),IF(COUNTIF($Q$6:Q3808,Q3808)=1,1,0),0)</f>
        <v>0</v>
      </c>
      <c r="W3808" s="41" t="str">
        <f t="shared" si="319"/>
        <v/>
      </c>
      <c r="X3808" s="41" t="str">
        <f t="shared" si="320"/>
        <v/>
      </c>
    </row>
    <row r="3809" s="32" customFormat="1" hidden="1" customHeight="1" spans="1:24">
      <c r="A3809" s="34"/>
      <c r="B3809" s="51"/>
      <c r="C3809" s="51"/>
      <c r="D3809" s="52"/>
      <c r="E3809" s="53"/>
      <c r="F3809" s="54"/>
      <c r="G3809" s="54"/>
      <c r="H3809" s="54"/>
      <c r="I3809" s="66"/>
      <c r="J3809" s="54"/>
      <c r="K3809" s="54"/>
      <c r="L3809" s="54"/>
      <c r="M3809" s="97" t="str">
        <f t="shared" si="317"/>
        <v/>
      </c>
      <c r="N3809" s="70"/>
      <c r="O3809" s="71" t="str">
        <f t="shared" si="321"/>
        <v/>
      </c>
      <c r="P3809" s="66"/>
      <c r="Q3809" s="66"/>
      <c r="R3809" s="54"/>
      <c r="S3809" s="82"/>
      <c r="T3809" s="83" t="str">
        <f t="shared" si="318"/>
        <v/>
      </c>
      <c r="U3809" s="10"/>
      <c r="V3809" s="41">
        <f>IF(AND(Q3809&lt;&gt;"",RIGHT(Q3809,3)&lt;&gt;""),IF(COUNTIF($Q$6:Q3809,Q3809)=1,1,0),0)</f>
        <v>0</v>
      </c>
      <c r="W3809" s="41" t="str">
        <f t="shared" si="319"/>
        <v/>
      </c>
      <c r="X3809" s="41" t="str">
        <f t="shared" si="320"/>
        <v/>
      </c>
    </row>
    <row r="3810" s="32" customFormat="1" hidden="1" customHeight="1" spans="1:24">
      <c r="A3810" s="34"/>
      <c r="B3810" s="51"/>
      <c r="C3810" s="51"/>
      <c r="D3810" s="52"/>
      <c r="E3810" s="53"/>
      <c r="F3810" s="54"/>
      <c r="G3810" s="54"/>
      <c r="H3810" s="54"/>
      <c r="I3810" s="66"/>
      <c r="J3810" s="54"/>
      <c r="K3810" s="54"/>
      <c r="L3810" s="54"/>
      <c r="M3810" s="97" t="str">
        <f t="shared" si="317"/>
        <v/>
      </c>
      <c r="N3810" s="70"/>
      <c r="O3810" s="71" t="str">
        <f t="shared" si="321"/>
        <v/>
      </c>
      <c r="P3810" s="66"/>
      <c r="Q3810" s="66"/>
      <c r="R3810" s="54"/>
      <c r="S3810" s="82"/>
      <c r="T3810" s="83" t="str">
        <f t="shared" si="318"/>
        <v/>
      </c>
      <c r="U3810" s="10"/>
      <c r="V3810" s="41">
        <f>IF(AND(Q3810&lt;&gt;"",RIGHT(Q3810,3)&lt;&gt;""),IF(COUNTIF($Q$6:Q3810,Q3810)=1,1,0),0)</f>
        <v>0</v>
      </c>
      <c r="W3810" s="41" t="str">
        <f t="shared" si="319"/>
        <v/>
      </c>
      <c r="X3810" s="41" t="str">
        <f t="shared" si="320"/>
        <v/>
      </c>
    </row>
    <row r="3811" s="32" customFormat="1" hidden="1" customHeight="1" spans="1:24">
      <c r="A3811" s="34"/>
      <c r="B3811" s="51"/>
      <c r="C3811" s="51"/>
      <c r="D3811" s="52"/>
      <c r="E3811" s="53"/>
      <c r="F3811" s="54"/>
      <c r="G3811" s="54"/>
      <c r="H3811" s="54"/>
      <c r="I3811" s="66"/>
      <c r="J3811" s="54"/>
      <c r="K3811" s="54"/>
      <c r="L3811" s="54"/>
      <c r="M3811" s="97" t="str">
        <f t="shared" si="317"/>
        <v/>
      </c>
      <c r="N3811" s="70"/>
      <c r="O3811" s="71" t="str">
        <f t="shared" si="321"/>
        <v/>
      </c>
      <c r="P3811" s="66"/>
      <c r="Q3811" s="66"/>
      <c r="R3811" s="54"/>
      <c r="S3811" s="82"/>
      <c r="T3811" s="83" t="str">
        <f t="shared" si="318"/>
        <v/>
      </c>
      <c r="U3811" s="10"/>
      <c r="V3811" s="41">
        <f>IF(AND(Q3811&lt;&gt;"",RIGHT(Q3811,3)&lt;&gt;""),IF(COUNTIF($Q$6:Q3811,Q3811)=1,1,0),0)</f>
        <v>0</v>
      </c>
      <c r="W3811" s="41" t="str">
        <f t="shared" si="319"/>
        <v/>
      </c>
      <c r="X3811" s="41" t="str">
        <f t="shared" si="320"/>
        <v/>
      </c>
    </row>
    <row r="3812" s="32" customFormat="1" hidden="1" customHeight="1" spans="1:24">
      <c r="A3812" s="34"/>
      <c r="B3812" s="51"/>
      <c r="C3812" s="51"/>
      <c r="D3812" s="52"/>
      <c r="E3812" s="53"/>
      <c r="F3812" s="54"/>
      <c r="G3812" s="54"/>
      <c r="H3812" s="54"/>
      <c r="I3812" s="66"/>
      <c r="J3812" s="54"/>
      <c r="K3812" s="54"/>
      <c r="L3812" s="54"/>
      <c r="M3812" s="97" t="str">
        <f t="shared" ref="M3812:M3875" si="322">IF(L3812="","",HYPERLINK(_xlfn.CONCAT($L$4,L3812,".jpg"),"Open File"))</f>
        <v/>
      </c>
      <c r="N3812" s="70"/>
      <c r="O3812" s="71" t="str">
        <f t="shared" si="321"/>
        <v/>
      </c>
      <c r="P3812" s="66"/>
      <c r="Q3812" s="66"/>
      <c r="R3812" s="54"/>
      <c r="S3812" s="82"/>
      <c r="T3812" s="83" t="str">
        <f t="shared" ref="T3812:T3875" si="323">IF(S3812="","",HYPERLINK(_xlfn.CONCAT($S$4,S3812,".jpg"),"Open File"))</f>
        <v/>
      </c>
      <c r="U3812" s="10"/>
      <c r="V3812" s="41">
        <f>IF(AND(Q3812&lt;&gt;"",RIGHT(Q3812,3)&lt;&gt;""),IF(COUNTIF($Q$6:Q3812,Q3812)=1,1,0),0)</f>
        <v>0</v>
      </c>
      <c r="W3812" s="41" t="str">
        <f t="shared" ref="W3812:W3875" si="324">IF(AND(J3812&lt;&gt;"",K3812&lt;&gt;""),_xlfn.CONCAT(SUBSTITUTE(J3812,"/","."),"-",K3812),"")</f>
        <v/>
      </c>
      <c r="X3812" s="41" t="str">
        <f t="shared" ref="X3812:X3875" si="325">IF(AND(Q3812&lt;&gt;"",R3812&lt;&gt;""),_xlfn.CONCAT(SUBSTITUTE(Q3812,"/","."),"-",R3812),"")</f>
        <v/>
      </c>
    </row>
    <row r="3813" s="32" customFormat="1" hidden="1" customHeight="1" spans="1:24">
      <c r="A3813" s="34"/>
      <c r="B3813" s="51"/>
      <c r="C3813" s="51"/>
      <c r="D3813" s="52"/>
      <c r="E3813" s="53"/>
      <c r="F3813" s="54"/>
      <c r="G3813" s="54"/>
      <c r="H3813" s="54"/>
      <c r="I3813" s="66"/>
      <c r="J3813" s="54"/>
      <c r="K3813" s="54"/>
      <c r="L3813" s="54"/>
      <c r="M3813" s="97" t="str">
        <f t="shared" si="322"/>
        <v/>
      </c>
      <c r="N3813" s="70"/>
      <c r="O3813" s="71" t="str">
        <f t="shared" si="321"/>
        <v/>
      </c>
      <c r="P3813" s="66"/>
      <c r="Q3813" s="66"/>
      <c r="R3813" s="54"/>
      <c r="S3813" s="82"/>
      <c r="T3813" s="83" t="str">
        <f t="shared" si="323"/>
        <v/>
      </c>
      <c r="U3813" s="10"/>
      <c r="V3813" s="41">
        <f>IF(AND(Q3813&lt;&gt;"",RIGHT(Q3813,3)&lt;&gt;""),IF(COUNTIF($Q$6:Q3813,Q3813)=1,1,0),0)</f>
        <v>0</v>
      </c>
      <c r="W3813" s="41" t="str">
        <f t="shared" si="324"/>
        <v/>
      </c>
      <c r="X3813" s="41" t="str">
        <f t="shared" si="325"/>
        <v/>
      </c>
    </row>
    <row r="3814" s="32" customFormat="1" hidden="1" customHeight="1" spans="1:24">
      <c r="A3814" s="34"/>
      <c r="B3814" s="51"/>
      <c r="C3814" s="51"/>
      <c r="D3814" s="52"/>
      <c r="E3814" s="53"/>
      <c r="F3814" s="54"/>
      <c r="G3814" s="54"/>
      <c r="H3814" s="54"/>
      <c r="I3814" s="66"/>
      <c r="J3814" s="54"/>
      <c r="K3814" s="54"/>
      <c r="L3814" s="54"/>
      <c r="M3814" s="97" t="str">
        <f t="shared" si="322"/>
        <v/>
      </c>
      <c r="N3814" s="70"/>
      <c r="O3814" s="71" t="str">
        <f t="shared" si="321"/>
        <v/>
      </c>
      <c r="P3814" s="66"/>
      <c r="Q3814" s="66"/>
      <c r="R3814" s="54"/>
      <c r="S3814" s="82"/>
      <c r="T3814" s="83" t="str">
        <f t="shared" si="323"/>
        <v/>
      </c>
      <c r="U3814" s="10"/>
      <c r="V3814" s="41">
        <f>IF(AND(Q3814&lt;&gt;"",RIGHT(Q3814,3)&lt;&gt;""),IF(COUNTIF($Q$6:Q3814,Q3814)=1,1,0),0)</f>
        <v>0</v>
      </c>
      <c r="W3814" s="41" t="str">
        <f t="shared" si="324"/>
        <v/>
      </c>
      <c r="X3814" s="41" t="str">
        <f t="shared" si="325"/>
        <v/>
      </c>
    </row>
    <row r="3815" s="32" customFormat="1" hidden="1" customHeight="1" spans="1:24">
      <c r="A3815" s="34"/>
      <c r="B3815" s="51"/>
      <c r="C3815" s="51"/>
      <c r="D3815" s="52"/>
      <c r="E3815" s="53"/>
      <c r="F3815" s="54"/>
      <c r="G3815" s="54"/>
      <c r="H3815" s="54"/>
      <c r="I3815" s="66"/>
      <c r="J3815" s="54"/>
      <c r="K3815" s="54"/>
      <c r="L3815" s="54"/>
      <c r="M3815" s="97" t="str">
        <f t="shared" si="322"/>
        <v/>
      </c>
      <c r="N3815" s="70"/>
      <c r="O3815" s="71" t="str">
        <f t="shared" si="321"/>
        <v/>
      </c>
      <c r="P3815" s="66"/>
      <c r="Q3815" s="66"/>
      <c r="R3815" s="54"/>
      <c r="S3815" s="82"/>
      <c r="T3815" s="83" t="str">
        <f t="shared" si="323"/>
        <v/>
      </c>
      <c r="U3815" s="10"/>
      <c r="V3815" s="41">
        <f>IF(AND(Q3815&lt;&gt;"",RIGHT(Q3815,3)&lt;&gt;""),IF(COUNTIF($Q$6:Q3815,Q3815)=1,1,0),0)</f>
        <v>0</v>
      </c>
      <c r="W3815" s="41" t="str">
        <f t="shared" si="324"/>
        <v/>
      </c>
      <c r="X3815" s="41" t="str">
        <f t="shared" si="325"/>
        <v/>
      </c>
    </row>
    <row r="3816" s="32" customFormat="1" hidden="1" customHeight="1" spans="1:24">
      <c r="A3816" s="34"/>
      <c r="B3816" s="51"/>
      <c r="C3816" s="51"/>
      <c r="D3816" s="52"/>
      <c r="E3816" s="53"/>
      <c r="F3816" s="54"/>
      <c r="G3816" s="54"/>
      <c r="H3816" s="54"/>
      <c r="I3816" s="66"/>
      <c r="J3816" s="54"/>
      <c r="K3816" s="54"/>
      <c r="L3816" s="54"/>
      <c r="M3816" s="97" t="str">
        <f t="shared" si="322"/>
        <v/>
      </c>
      <c r="N3816" s="70"/>
      <c r="O3816" s="71" t="str">
        <f t="shared" si="321"/>
        <v/>
      </c>
      <c r="P3816" s="66"/>
      <c r="Q3816" s="66"/>
      <c r="R3816" s="54"/>
      <c r="S3816" s="82"/>
      <c r="T3816" s="83" t="str">
        <f t="shared" si="323"/>
        <v/>
      </c>
      <c r="U3816" s="10"/>
      <c r="V3816" s="41">
        <f>IF(AND(Q3816&lt;&gt;"",RIGHT(Q3816,3)&lt;&gt;""),IF(COUNTIF($Q$6:Q3816,Q3816)=1,1,0),0)</f>
        <v>0</v>
      </c>
      <c r="W3816" s="41" t="str">
        <f t="shared" si="324"/>
        <v/>
      </c>
      <c r="X3816" s="41" t="str">
        <f t="shared" si="325"/>
        <v/>
      </c>
    </row>
    <row r="3817" s="32" customFormat="1" hidden="1" customHeight="1" spans="1:24">
      <c r="A3817" s="34"/>
      <c r="B3817" s="51"/>
      <c r="C3817" s="51"/>
      <c r="D3817" s="52"/>
      <c r="E3817" s="53"/>
      <c r="F3817" s="54"/>
      <c r="G3817" s="54"/>
      <c r="H3817" s="54"/>
      <c r="I3817" s="66"/>
      <c r="J3817" s="54"/>
      <c r="K3817" s="54"/>
      <c r="L3817" s="54"/>
      <c r="M3817" s="97" t="str">
        <f t="shared" si="322"/>
        <v/>
      </c>
      <c r="N3817" s="70"/>
      <c r="O3817" s="71" t="str">
        <f t="shared" si="321"/>
        <v/>
      </c>
      <c r="P3817" s="66"/>
      <c r="Q3817" s="66"/>
      <c r="R3817" s="54"/>
      <c r="S3817" s="82"/>
      <c r="T3817" s="83" t="str">
        <f t="shared" si="323"/>
        <v/>
      </c>
      <c r="U3817" s="10"/>
      <c r="V3817" s="41">
        <f>IF(AND(Q3817&lt;&gt;"",RIGHT(Q3817,3)&lt;&gt;""),IF(COUNTIF($Q$6:Q3817,Q3817)=1,1,0),0)</f>
        <v>0</v>
      </c>
      <c r="W3817" s="41" t="str">
        <f t="shared" si="324"/>
        <v/>
      </c>
      <c r="X3817" s="41" t="str">
        <f t="shared" si="325"/>
        <v/>
      </c>
    </row>
    <row r="3818" s="32" customFormat="1" hidden="1" customHeight="1" spans="1:24">
      <c r="A3818" s="34"/>
      <c r="B3818" s="51"/>
      <c r="C3818" s="51"/>
      <c r="D3818" s="52"/>
      <c r="E3818" s="53"/>
      <c r="F3818" s="54"/>
      <c r="G3818" s="54"/>
      <c r="H3818" s="54"/>
      <c r="I3818" s="66"/>
      <c r="J3818" s="54"/>
      <c r="K3818" s="54"/>
      <c r="L3818" s="54"/>
      <c r="M3818" s="97" t="str">
        <f t="shared" si="322"/>
        <v/>
      </c>
      <c r="N3818" s="70"/>
      <c r="O3818" s="71" t="str">
        <f t="shared" si="321"/>
        <v/>
      </c>
      <c r="P3818" s="66"/>
      <c r="Q3818" s="66"/>
      <c r="R3818" s="54"/>
      <c r="S3818" s="82"/>
      <c r="T3818" s="83" t="str">
        <f t="shared" si="323"/>
        <v/>
      </c>
      <c r="U3818" s="10"/>
      <c r="V3818" s="41">
        <f>IF(AND(Q3818&lt;&gt;"",RIGHT(Q3818,3)&lt;&gt;""),IF(COUNTIF($Q$6:Q3818,Q3818)=1,1,0),0)</f>
        <v>0</v>
      </c>
      <c r="W3818" s="41" t="str">
        <f t="shared" si="324"/>
        <v/>
      </c>
      <c r="X3818" s="41" t="str">
        <f t="shared" si="325"/>
        <v/>
      </c>
    </row>
    <row r="3819" s="32" customFormat="1" hidden="1" customHeight="1" spans="1:24">
      <c r="A3819" s="34"/>
      <c r="B3819" s="51"/>
      <c r="C3819" s="51"/>
      <c r="D3819" s="52"/>
      <c r="E3819" s="53"/>
      <c r="F3819" s="54"/>
      <c r="G3819" s="54"/>
      <c r="H3819" s="54"/>
      <c r="I3819" s="66"/>
      <c r="J3819" s="54"/>
      <c r="K3819" s="54"/>
      <c r="L3819" s="54"/>
      <c r="M3819" s="97" t="str">
        <f t="shared" si="322"/>
        <v/>
      </c>
      <c r="N3819" s="70"/>
      <c r="O3819" s="71" t="str">
        <f t="shared" si="321"/>
        <v/>
      </c>
      <c r="P3819" s="66"/>
      <c r="Q3819" s="66"/>
      <c r="R3819" s="54"/>
      <c r="S3819" s="82"/>
      <c r="T3819" s="83" t="str">
        <f t="shared" si="323"/>
        <v/>
      </c>
      <c r="U3819" s="10"/>
      <c r="V3819" s="41">
        <f>IF(AND(Q3819&lt;&gt;"",RIGHT(Q3819,3)&lt;&gt;""),IF(COUNTIF($Q$6:Q3819,Q3819)=1,1,0),0)</f>
        <v>0</v>
      </c>
      <c r="W3819" s="41" t="str">
        <f t="shared" si="324"/>
        <v/>
      </c>
      <c r="X3819" s="41" t="str">
        <f t="shared" si="325"/>
        <v/>
      </c>
    </row>
    <row r="3820" s="32" customFormat="1" hidden="1" customHeight="1" spans="1:24">
      <c r="A3820" s="34"/>
      <c r="B3820" s="51"/>
      <c r="C3820" s="51"/>
      <c r="D3820" s="52"/>
      <c r="E3820" s="53"/>
      <c r="F3820" s="54"/>
      <c r="G3820" s="54"/>
      <c r="H3820" s="54"/>
      <c r="I3820" s="66"/>
      <c r="J3820" s="54"/>
      <c r="K3820" s="54"/>
      <c r="L3820" s="54"/>
      <c r="M3820" s="97" t="str">
        <f t="shared" si="322"/>
        <v/>
      </c>
      <c r="N3820" s="70"/>
      <c r="O3820" s="71" t="str">
        <f t="shared" si="321"/>
        <v/>
      </c>
      <c r="P3820" s="66"/>
      <c r="Q3820" s="66"/>
      <c r="R3820" s="54"/>
      <c r="S3820" s="82"/>
      <c r="T3820" s="83" t="str">
        <f t="shared" si="323"/>
        <v/>
      </c>
      <c r="U3820" s="10"/>
      <c r="V3820" s="41">
        <f>IF(AND(Q3820&lt;&gt;"",RIGHT(Q3820,3)&lt;&gt;""),IF(COUNTIF($Q$6:Q3820,Q3820)=1,1,0),0)</f>
        <v>0</v>
      </c>
      <c r="W3820" s="41" t="str">
        <f t="shared" si="324"/>
        <v/>
      </c>
      <c r="X3820" s="41" t="str">
        <f t="shared" si="325"/>
        <v/>
      </c>
    </row>
    <row r="3821" s="32" customFormat="1" hidden="1" customHeight="1" spans="1:24">
      <c r="A3821" s="34"/>
      <c r="B3821" s="51"/>
      <c r="C3821" s="51"/>
      <c r="D3821" s="52"/>
      <c r="E3821" s="53"/>
      <c r="F3821" s="54"/>
      <c r="G3821" s="54"/>
      <c r="H3821" s="54"/>
      <c r="I3821" s="66"/>
      <c r="J3821" s="54"/>
      <c r="K3821" s="54"/>
      <c r="L3821" s="54"/>
      <c r="M3821" s="97" t="str">
        <f t="shared" si="322"/>
        <v/>
      </c>
      <c r="N3821" s="70"/>
      <c r="O3821" s="71" t="str">
        <f t="shared" si="321"/>
        <v/>
      </c>
      <c r="P3821" s="66"/>
      <c r="Q3821" s="66"/>
      <c r="R3821" s="54"/>
      <c r="S3821" s="82"/>
      <c r="T3821" s="83" t="str">
        <f t="shared" si="323"/>
        <v/>
      </c>
      <c r="U3821" s="10"/>
      <c r="V3821" s="41">
        <f>IF(AND(Q3821&lt;&gt;"",RIGHT(Q3821,3)&lt;&gt;""),IF(COUNTIF($Q$6:Q3821,Q3821)=1,1,0),0)</f>
        <v>0</v>
      </c>
      <c r="W3821" s="41" t="str">
        <f t="shared" si="324"/>
        <v/>
      </c>
      <c r="X3821" s="41" t="str">
        <f t="shared" si="325"/>
        <v/>
      </c>
    </row>
    <row r="3822" s="32" customFormat="1" hidden="1" customHeight="1" spans="1:24">
      <c r="A3822" s="34"/>
      <c r="B3822" s="51"/>
      <c r="C3822" s="51"/>
      <c r="D3822" s="52"/>
      <c r="E3822" s="53"/>
      <c r="F3822" s="54"/>
      <c r="G3822" s="54"/>
      <c r="H3822" s="54"/>
      <c r="I3822" s="66"/>
      <c r="J3822" s="54"/>
      <c r="K3822" s="54"/>
      <c r="L3822" s="54"/>
      <c r="M3822" s="97" t="str">
        <f t="shared" si="322"/>
        <v/>
      </c>
      <c r="N3822" s="70"/>
      <c r="O3822" s="71" t="str">
        <f t="shared" si="321"/>
        <v/>
      </c>
      <c r="P3822" s="66"/>
      <c r="Q3822" s="66"/>
      <c r="R3822" s="54"/>
      <c r="S3822" s="82"/>
      <c r="T3822" s="83" t="str">
        <f t="shared" si="323"/>
        <v/>
      </c>
      <c r="U3822" s="10"/>
      <c r="V3822" s="41">
        <f>IF(AND(Q3822&lt;&gt;"",RIGHT(Q3822,3)&lt;&gt;""),IF(COUNTIF($Q$6:Q3822,Q3822)=1,1,0),0)</f>
        <v>0</v>
      </c>
      <c r="W3822" s="41" t="str">
        <f t="shared" si="324"/>
        <v/>
      </c>
      <c r="X3822" s="41" t="str">
        <f t="shared" si="325"/>
        <v/>
      </c>
    </row>
    <row r="3823" s="32" customFormat="1" hidden="1" customHeight="1" spans="1:24">
      <c r="A3823" s="34"/>
      <c r="B3823" s="51"/>
      <c r="C3823" s="51"/>
      <c r="D3823" s="52"/>
      <c r="E3823" s="53"/>
      <c r="F3823" s="54"/>
      <c r="G3823" s="54"/>
      <c r="H3823" s="54"/>
      <c r="I3823" s="66"/>
      <c r="J3823" s="54"/>
      <c r="K3823" s="54"/>
      <c r="L3823" s="54"/>
      <c r="M3823" s="97" t="str">
        <f t="shared" si="322"/>
        <v/>
      </c>
      <c r="N3823" s="70"/>
      <c r="O3823" s="71" t="str">
        <f t="shared" si="321"/>
        <v/>
      </c>
      <c r="P3823" s="66"/>
      <c r="Q3823" s="66"/>
      <c r="R3823" s="54"/>
      <c r="S3823" s="82"/>
      <c r="T3823" s="83" t="str">
        <f t="shared" si="323"/>
        <v/>
      </c>
      <c r="U3823" s="10"/>
      <c r="V3823" s="41">
        <f>IF(AND(Q3823&lt;&gt;"",RIGHT(Q3823,3)&lt;&gt;""),IF(COUNTIF($Q$6:Q3823,Q3823)=1,1,0),0)</f>
        <v>0</v>
      </c>
      <c r="W3823" s="41" t="str">
        <f t="shared" si="324"/>
        <v/>
      </c>
      <c r="X3823" s="41" t="str">
        <f t="shared" si="325"/>
        <v/>
      </c>
    </row>
    <row r="3824" s="32" customFormat="1" hidden="1" customHeight="1" spans="1:24">
      <c r="A3824" s="34"/>
      <c r="B3824" s="51"/>
      <c r="C3824" s="51"/>
      <c r="D3824" s="52"/>
      <c r="E3824" s="53"/>
      <c r="F3824" s="54"/>
      <c r="G3824" s="54"/>
      <c r="H3824" s="54"/>
      <c r="I3824" s="66"/>
      <c r="J3824" s="54"/>
      <c r="K3824" s="54"/>
      <c r="L3824" s="54"/>
      <c r="M3824" s="97" t="str">
        <f t="shared" si="322"/>
        <v/>
      </c>
      <c r="N3824" s="70"/>
      <c r="O3824" s="71" t="str">
        <f t="shared" si="321"/>
        <v/>
      </c>
      <c r="P3824" s="66"/>
      <c r="Q3824" s="66"/>
      <c r="R3824" s="54"/>
      <c r="S3824" s="82"/>
      <c r="T3824" s="83" t="str">
        <f t="shared" si="323"/>
        <v/>
      </c>
      <c r="U3824" s="10"/>
      <c r="V3824" s="41">
        <f>IF(AND(Q3824&lt;&gt;"",RIGHT(Q3824,3)&lt;&gt;""),IF(COUNTIF($Q$6:Q3824,Q3824)=1,1,0),0)</f>
        <v>0</v>
      </c>
      <c r="W3824" s="41" t="str">
        <f t="shared" si="324"/>
        <v/>
      </c>
      <c r="X3824" s="41" t="str">
        <f t="shared" si="325"/>
        <v/>
      </c>
    </row>
    <row r="3825" s="32" customFormat="1" hidden="1" customHeight="1" spans="1:24">
      <c r="A3825" s="34"/>
      <c r="B3825" s="51"/>
      <c r="C3825" s="51"/>
      <c r="D3825" s="52"/>
      <c r="E3825" s="53"/>
      <c r="F3825" s="54"/>
      <c r="G3825" s="54"/>
      <c r="H3825" s="54"/>
      <c r="I3825" s="66"/>
      <c r="J3825" s="54"/>
      <c r="K3825" s="54"/>
      <c r="L3825" s="54"/>
      <c r="M3825" s="97" t="str">
        <f t="shared" si="322"/>
        <v/>
      </c>
      <c r="N3825" s="70"/>
      <c r="O3825" s="71" t="str">
        <f t="shared" ref="O3825:O3888" si="326">IF(AND(Q3825&lt;&gt;"",T3825&lt;&gt;""),"PASSIVE",IF(AND(J3825&lt;&gt;"",M3825&lt;&gt;""),"ACTIVE",""))</f>
        <v/>
      </c>
      <c r="P3825" s="66"/>
      <c r="Q3825" s="66"/>
      <c r="R3825" s="54"/>
      <c r="S3825" s="82"/>
      <c r="T3825" s="83" t="str">
        <f t="shared" si="323"/>
        <v/>
      </c>
      <c r="U3825" s="10"/>
      <c r="V3825" s="41">
        <f>IF(AND(Q3825&lt;&gt;"",RIGHT(Q3825,3)&lt;&gt;""),IF(COUNTIF($Q$6:Q3825,Q3825)=1,1,0),0)</f>
        <v>0</v>
      </c>
      <c r="W3825" s="41" t="str">
        <f t="shared" si="324"/>
        <v/>
      </c>
      <c r="X3825" s="41" t="str">
        <f t="shared" si="325"/>
        <v/>
      </c>
    </row>
    <row r="3826" s="32" customFormat="1" hidden="1" customHeight="1" spans="1:24">
      <c r="A3826" s="34"/>
      <c r="B3826" s="51"/>
      <c r="C3826" s="51"/>
      <c r="D3826" s="52"/>
      <c r="E3826" s="53"/>
      <c r="F3826" s="54"/>
      <c r="G3826" s="54"/>
      <c r="H3826" s="54"/>
      <c r="I3826" s="66"/>
      <c r="J3826" s="54"/>
      <c r="K3826" s="54"/>
      <c r="L3826" s="54"/>
      <c r="M3826" s="97" t="str">
        <f t="shared" si="322"/>
        <v/>
      </c>
      <c r="N3826" s="70"/>
      <c r="O3826" s="71" t="str">
        <f t="shared" si="326"/>
        <v/>
      </c>
      <c r="P3826" s="66"/>
      <c r="Q3826" s="66"/>
      <c r="R3826" s="54"/>
      <c r="S3826" s="82"/>
      <c r="T3826" s="83" t="str">
        <f t="shared" si="323"/>
        <v/>
      </c>
      <c r="U3826" s="10"/>
      <c r="V3826" s="41">
        <f>IF(AND(Q3826&lt;&gt;"",RIGHT(Q3826,3)&lt;&gt;""),IF(COUNTIF($Q$6:Q3826,Q3826)=1,1,0),0)</f>
        <v>0</v>
      </c>
      <c r="W3826" s="41" t="str">
        <f t="shared" si="324"/>
        <v/>
      </c>
      <c r="X3826" s="41" t="str">
        <f t="shared" si="325"/>
        <v/>
      </c>
    </row>
    <row r="3827" s="32" customFormat="1" hidden="1" customHeight="1" spans="1:24">
      <c r="A3827" s="34"/>
      <c r="B3827" s="51"/>
      <c r="C3827" s="51"/>
      <c r="D3827" s="52"/>
      <c r="E3827" s="53"/>
      <c r="F3827" s="54"/>
      <c r="G3827" s="54"/>
      <c r="H3827" s="54"/>
      <c r="I3827" s="66"/>
      <c r="J3827" s="54"/>
      <c r="K3827" s="54"/>
      <c r="L3827" s="54"/>
      <c r="M3827" s="97" t="str">
        <f t="shared" si="322"/>
        <v/>
      </c>
      <c r="N3827" s="70"/>
      <c r="O3827" s="71" t="str">
        <f t="shared" si="326"/>
        <v/>
      </c>
      <c r="P3827" s="66"/>
      <c r="Q3827" s="66"/>
      <c r="R3827" s="54"/>
      <c r="S3827" s="82"/>
      <c r="T3827" s="83" t="str">
        <f t="shared" si="323"/>
        <v/>
      </c>
      <c r="U3827" s="10"/>
      <c r="V3827" s="41">
        <f>IF(AND(Q3827&lt;&gt;"",RIGHT(Q3827,3)&lt;&gt;""),IF(COUNTIF($Q$6:Q3827,Q3827)=1,1,0),0)</f>
        <v>0</v>
      </c>
      <c r="W3827" s="41" t="str">
        <f t="shared" si="324"/>
        <v/>
      </c>
      <c r="X3827" s="41" t="str">
        <f t="shared" si="325"/>
        <v/>
      </c>
    </row>
    <row r="3828" s="32" customFormat="1" hidden="1" customHeight="1" spans="1:24">
      <c r="A3828" s="34"/>
      <c r="B3828" s="51"/>
      <c r="C3828" s="51"/>
      <c r="D3828" s="52"/>
      <c r="E3828" s="53"/>
      <c r="F3828" s="54"/>
      <c r="G3828" s="54"/>
      <c r="H3828" s="54"/>
      <c r="I3828" s="66"/>
      <c r="J3828" s="54"/>
      <c r="K3828" s="54"/>
      <c r="L3828" s="54"/>
      <c r="M3828" s="97" t="str">
        <f t="shared" si="322"/>
        <v/>
      </c>
      <c r="N3828" s="70"/>
      <c r="O3828" s="71" t="str">
        <f t="shared" si="326"/>
        <v/>
      </c>
      <c r="P3828" s="66"/>
      <c r="Q3828" s="66"/>
      <c r="R3828" s="54"/>
      <c r="S3828" s="82"/>
      <c r="T3828" s="83" t="str">
        <f t="shared" si="323"/>
        <v/>
      </c>
      <c r="U3828" s="10"/>
      <c r="V3828" s="41">
        <f>IF(AND(Q3828&lt;&gt;"",RIGHT(Q3828,3)&lt;&gt;""),IF(COUNTIF($Q$6:Q3828,Q3828)=1,1,0),0)</f>
        <v>0</v>
      </c>
      <c r="W3828" s="41" t="str">
        <f t="shared" si="324"/>
        <v/>
      </c>
      <c r="X3828" s="41" t="str">
        <f t="shared" si="325"/>
        <v/>
      </c>
    </row>
    <row r="3829" s="32" customFormat="1" hidden="1" customHeight="1" spans="1:24">
      <c r="A3829" s="34"/>
      <c r="B3829" s="51"/>
      <c r="C3829" s="51"/>
      <c r="D3829" s="52"/>
      <c r="E3829" s="53"/>
      <c r="F3829" s="54"/>
      <c r="G3829" s="54"/>
      <c r="H3829" s="54"/>
      <c r="I3829" s="66"/>
      <c r="J3829" s="54"/>
      <c r="K3829" s="54"/>
      <c r="L3829" s="54"/>
      <c r="M3829" s="97" t="str">
        <f t="shared" si="322"/>
        <v/>
      </c>
      <c r="N3829" s="70"/>
      <c r="O3829" s="71" t="str">
        <f t="shared" si="326"/>
        <v/>
      </c>
      <c r="P3829" s="66"/>
      <c r="Q3829" s="66"/>
      <c r="R3829" s="54"/>
      <c r="S3829" s="82"/>
      <c r="T3829" s="83" t="str">
        <f t="shared" si="323"/>
        <v/>
      </c>
      <c r="U3829" s="10"/>
      <c r="V3829" s="41">
        <f>IF(AND(Q3829&lt;&gt;"",RIGHT(Q3829,3)&lt;&gt;""),IF(COUNTIF($Q$6:Q3829,Q3829)=1,1,0),0)</f>
        <v>0</v>
      </c>
      <c r="W3829" s="41" t="str">
        <f t="shared" si="324"/>
        <v/>
      </c>
      <c r="X3829" s="41" t="str">
        <f t="shared" si="325"/>
        <v/>
      </c>
    </row>
    <row r="3830" s="32" customFormat="1" hidden="1" customHeight="1" spans="1:24">
      <c r="A3830" s="34"/>
      <c r="B3830" s="51"/>
      <c r="C3830" s="51"/>
      <c r="D3830" s="52"/>
      <c r="E3830" s="53"/>
      <c r="F3830" s="54"/>
      <c r="G3830" s="54"/>
      <c r="H3830" s="54"/>
      <c r="I3830" s="66"/>
      <c r="J3830" s="54"/>
      <c r="K3830" s="54"/>
      <c r="L3830" s="54"/>
      <c r="M3830" s="97" t="str">
        <f t="shared" si="322"/>
        <v/>
      </c>
      <c r="N3830" s="70"/>
      <c r="O3830" s="71" t="str">
        <f t="shared" si="326"/>
        <v/>
      </c>
      <c r="P3830" s="66"/>
      <c r="Q3830" s="66"/>
      <c r="R3830" s="54"/>
      <c r="S3830" s="82"/>
      <c r="T3830" s="83" t="str">
        <f t="shared" si="323"/>
        <v/>
      </c>
      <c r="U3830" s="10"/>
      <c r="V3830" s="41">
        <f>IF(AND(Q3830&lt;&gt;"",RIGHT(Q3830,3)&lt;&gt;""),IF(COUNTIF($Q$6:Q3830,Q3830)=1,1,0),0)</f>
        <v>0</v>
      </c>
      <c r="W3830" s="41" t="str">
        <f t="shared" si="324"/>
        <v/>
      </c>
      <c r="X3830" s="41" t="str">
        <f t="shared" si="325"/>
        <v/>
      </c>
    </row>
    <row r="3831" s="32" customFormat="1" hidden="1" customHeight="1" spans="1:24">
      <c r="A3831" s="34"/>
      <c r="B3831" s="51"/>
      <c r="C3831" s="51"/>
      <c r="D3831" s="52"/>
      <c r="E3831" s="53"/>
      <c r="F3831" s="54"/>
      <c r="G3831" s="54"/>
      <c r="H3831" s="54"/>
      <c r="I3831" s="66"/>
      <c r="J3831" s="54"/>
      <c r="K3831" s="54"/>
      <c r="L3831" s="54"/>
      <c r="M3831" s="97" t="str">
        <f t="shared" si="322"/>
        <v/>
      </c>
      <c r="N3831" s="70"/>
      <c r="O3831" s="71" t="str">
        <f t="shared" si="326"/>
        <v/>
      </c>
      <c r="P3831" s="66"/>
      <c r="Q3831" s="66"/>
      <c r="R3831" s="54"/>
      <c r="S3831" s="82"/>
      <c r="T3831" s="83" t="str">
        <f t="shared" si="323"/>
        <v/>
      </c>
      <c r="U3831" s="10"/>
      <c r="V3831" s="41">
        <f>IF(AND(Q3831&lt;&gt;"",RIGHT(Q3831,3)&lt;&gt;""),IF(COUNTIF($Q$6:Q3831,Q3831)=1,1,0),0)</f>
        <v>0</v>
      </c>
      <c r="W3831" s="41" t="str">
        <f t="shared" si="324"/>
        <v/>
      </c>
      <c r="X3831" s="41" t="str">
        <f t="shared" si="325"/>
        <v/>
      </c>
    </row>
    <row r="3832" s="32" customFormat="1" hidden="1" customHeight="1" spans="1:24">
      <c r="A3832" s="34"/>
      <c r="B3832" s="51"/>
      <c r="C3832" s="51"/>
      <c r="D3832" s="52"/>
      <c r="E3832" s="53"/>
      <c r="F3832" s="54"/>
      <c r="G3832" s="54"/>
      <c r="H3832" s="54"/>
      <c r="I3832" s="66"/>
      <c r="J3832" s="54"/>
      <c r="K3832" s="54"/>
      <c r="L3832" s="54"/>
      <c r="M3832" s="97" t="str">
        <f t="shared" si="322"/>
        <v/>
      </c>
      <c r="N3832" s="70"/>
      <c r="O3832" s="71" t="str">
        <f t="shared" si="326"/>
        <v/>
      </c>
      <c r="P3832" s="66"/>
      <c r="Q3832" s="66"/>
      <c r="R3832" s="54"/>
      <c r="S3832" s="82"/>
      <c r="T3832" s="83" t="str">
        <f t="shared" si="323"/>
        <v/>
      </c>
      <c r="U3832" s="10"/>
      <c r="V3832" s="41">
        <f>IF(AND(Q3832&lt;&gt;"",RIGHT(Q3832,3)&lt;&gt;""),IF(COUNTIF($Q$6:Q3832,Q3832)=1,1,0),0)</f>
        <v>0</v>
      </c>
      <c r="W3832" s="41" t="str">
        <f t="shared" si="324"/>
        <v/>
      </c>
      <c r="X3832" s="41" t="str">
        <f t="shared" si="325"/>
        <v/>
      </c>
    </row>
    <row r="3833" s="32" customFormat="1" hidden="1" customHeight="1" spans="1:24">
      <c r="A3833" s="34"/>
      <c r="B3833" s="51"/>
      <c r="C3833" s="51"/>
      <c r="D3833" s="52"/>
      <c r="E3833" s="53"/>
      <c r="F3833" s="54"/>
      <c r="G3833" s="54"/>
      <c r="H3833" s="54"/>
      <c r="I3833" s="66"/>
      <c r="J3833" s="54"/>
      <c r="K3833" s="54"/>
      <c r="L3833" s="54"/>
      <c r="M3833" s="97" t="str">
        <f t="shared" si="322"/>
        <v/>
      </c>
      <c r="N3833" s="70"/>
      <c r="O3833" s="71" t="str">
        <f t="shared" si="326"/>
        <v/>
      </c>
      <c r="P3833" s="66"/>
      <c r="Q3833" s="66"/>
      <c r="R3833" s="54"/>
      <c r="S3833" s="82"/>
      <c r="T3833" s="83" t="str">
        <f t="shared" si="323"/>
        <v/>
      </c>
      <c r="U3833" s="10"/>
      <c r="V3833" s="41">
        <f>IF(AND(Q3833&lt;&gt;"",RIGHT(Q3833,3)&lt;&gt;""),IF(COUNTIF($Q$6:Q3833,Q3833)=1,1,0),0)</f>
        <v>0</v>
      </c>
      <c r="W3833" s="41" t="str">
        <f t="shared" si="324"/>
        <v/>
      </c>
      <c r="X3833" s="41" t="str">
        <f t="shared" si="325"/>
        <v/>
      </c>
    </row>
    <row r="3834" s="32" customFormat="1" hidden="1" customHeight="1" spans="1:24">
      <c r="A3834" s="34"/>
      <c r="B3834" s="51"/>
      <c r="C3834" s="51"/>
      <c r="D3834" s="52"/>
      <c r="E3834" s="53"/>
      <c r="F3834" s="54"/>
      <c r="G3834" s="54"/>
      <c r="H3834" s="54"/>
      <c r="I3834" s="66"/>
      <c r="J3834" s="54"/>
      <c r="K3834" s="54"/>
      <c r="L3834" s="54"/>
      <c r="M3834" s="97" t="str">
        <f t="shared" si="322"/>
        <v/>
      </c>
      <c r="N3834" s="70"/>
      <c r="O3834" s="71" t="str">
        <f t="shared" si="326"/>
        <v/>
      </c>
      <c r="P3834" s="66"/>
      <c r="Q3834" s="66"/>
      <c r="R3834" s="54"/>
      <c r="S3834" s="82"/>
      <c r="T3834" s="83" t="str">
        <f t="shared" si="323"/>
        <v/>
      </c>
      <c r="U3834" s="10"/>
      <c r="V3834" s="41">
        <f>IF(AND(Q3834&lt;&gt;"",RIGHT(Q3834,3)&lt;&gt;""),IF(COUNTIF($Q$6:Q3834,Q3834)=1,1,0),0)</f>
        <v>0</v>
      </c>
      <c r="W3834" s="41" t="str">
        <f t="shared" si="324"/>
        <v/>
      </c>
      <c r="X3834" s="41" t="str">
        <f t="shared" si="325"/>
        <v/>
      </c>
    </row>
    <row r="3835" s="32" customFormat="1" hidden="1" customHeight="1" spans="1:24">
      <c r="A3835" s="34"/>
      <c r="B3835" s="51"/>
      <c r="C3835" s="51"/>
      <c r="D3835" s="52"/>
      <c r="E3835" s="53"/>
      <c r="F3835" s="54"/>
      <c r="G3835" s="54"/>
      <c r="H3835" s="54"/>
      <c r="I3835" s="66"/>
      <c r="J3835" s="54"/>
      <c r="K3835" s="54"/>
      <c r="L3835" s="54"/>
      <c r="M3835" s="97" t="str">
        <f t="shared" si="322"/>
        <v/>
      </c>
      <c r="N3835" s="70"/>
      <c r="O3835" s="71" t="str">
        <f t="shared" si="326"/>
        <v/>
      </c>
      <c r="P3835" s="66"/>
      <c r="Q3835" s="66"/>
      <c r="R3835" s="54"/>
      <c r="S3835" s="82"/>
      <c r="T3835" s="83" t="str">
        <f t="shared" si="323"/>
        <v/>
      </c>
      <c r="U3835" s="10"/>
      <c r="V3835" s="41">
        <f>IF(AND(Q3835&lt;&gt;"",RIGHT(Q3835,3)&lt;&gt;""),IF(COUNTIF($Q$6:Q3835,Q3835)=1,1,0),0)</f>
        <v>0</v>
      </c>
      <c r="W3835" s="41" t="str">
        <f t="shared" si="324"/>
        <v/>
      </c>
      <c r="X3835" s="41" t="str">
        <f t="shared" si="325"/>
        <v/>
      </c>
    </row>
    <row r="3836" s="32" customFormat="1" hidden="1" customHeight="1" spans="1:24">
      <c r="A3836" s="34"/>
      <c r="B3836" s="51"/>
      <c r="C3836" s="51"/>
      <c r="D3836" s="52"/>
      <c r="E3836" s="53"/>
      <c r="F3836" s="54"/>
      <c r="G3836" s="54"/>
      <c r="H3836" s="54"/>
      <c r="I3836" s="66"/>
      <c r="J3836" s="54"/>
      <c r="K3836" s="54"/>
      <c r="L3836" s="54"/>
      <c r="M3836" s="97" t="str">
        <f t="shared" si="322"/>
        <v/>
      </c>
      <c r="N3836" s="70"/>
      <c r="O3836" s="71" t="str">
        <f t="shared" si="326"/>
        <v/>
      </c>
      <c r="P3836" s="66"/>
      <c r="Q3836" s="66"/>
      <c r="R3836" s="54"/>
      <c r="S3836" s="82"/>
      <c r="T3836" s="83" t="str">
        <f t="shared" si="323"/>
        <v/>
      </c>
      <c r="U3836" s="10"/>
      <c r="V3836" s="41">
        <f>IF(AND(Q3836&lt;&gt;"",RIGHT(Q3836,3)&lt;&gt;""),IF(COUNTIF($Q$6:Q3836,Q3836)=1,1,0),0)</f>
        <v>0</v>
      </c>
      <c r="W3836" s="41" t="str">
        <f t="shared" si="324"/>
        <v/>
      </c>
      <c r="X3836" s="41" t="str">
        <f t="shared" si="325"/>
        <v/>
      </c>
    </row>
    <row r="3837" s="32" customFormat="1" hidden="1" customHeight="1" spans="1:24">
      <c r="A3837" s="34"/>
      <c r="B3837" s="51"/>
      <c r="C3837" s="51"/>
      <c r="D3837" s="52"/>
      <c r="E3837" s="53"/>
      <c r="F3837" s="54"/>
      <c r="G3837" s="54"/>
      <c r="H3837" s="54"/>
      <c r="I3837" s="66"/>
      <c r="J3837" s="54"/>
      <c r="K3837" s="54"/>
      <c r="L3837" s="54"/>
      <c r="M3837" s="97" t="str">
        <f t="shared" si="322"/>
        <v/>
      </c>
      <c r="N3837" s="70"/>
      <c r="O3837" s="71" t="str">
        <f t="shared" si="326"/>
        <v/>
      </c>
      <c r="P3837" s="66"/>
      <c r="Q3837" s="66"/>
      <c r="R3837" s="54"/>
      <c r="S3837" s="82"/>
      <c r="T3837" s="83" t="str">
        <f t="shared" si="323"/>
        <v/>
      </c>
      <c r="U3837" s="10"/>
      <c r="V3837" s="41">
        <f>IF(AND(Q3837&lt;&gt;"",RIGHT(Q3837,3)&lt;&gt;""),IF(COUNTIF($Q$6:Q3837,Q3837)=1,1,0),0)</f>
        <v>0</v>
      </c>
      <c r="W3837" s="41" t="str">
        <f t="shared" si="324"/>
        <v/>
      </c>
      <c r="X3837" s="41" t="str">
        <f t="shared" si="325"/>
        <v/>
      </c>
    </row>
    <row r="3838" s="32" customFormat="1" hidden="1" customHeight="1" spans="1:24">
      <c r="A3838" s="34"/>
      <c r="B3838" s="51"/>
      <c r="C3838" s="51"/>
      <c r="D3838" s="52"/>
      <c r="E3838" s="53"/>
      <c r="F3838" s="54"/>
      <c r="G3838" s="54"/>
      <c r="H3838" s="54"/>
      <c r="I3838" s="66"/>
      <c r="J3838" s="54"/>
      <c r="K3838" s="54"/>
      <c r="L3838" s="54"/>
      <c r="M3838" s="97" t="str">
        <f t="shared" si="322"/>
        <v/>
      </c>
      <c r="N3838" s="70"/>
      <c r="O3838" s="71" t="str">
        <f t="shared" si="326"/>
        <v/>
      </c>
      <c r="P3838" s="66"/>
      <c r="Q3838" s="66"/>
      <c r="R3838" s="54"/>
      <c r="S3838" s="82"/>
      <c r="T3838" s="83" t="str">
        <f t="shared" si="323"/>
        <v/>
      </c>
      <c r="U3838" s="10"/>
      <c r="V3838" s="41">
        <f>IF(AND(Q3838&lt;&gt;"",RIGHT(Q3838,3)&lt;&gt;""),IF(COUNTIF($Q$6:Q3838,Q3838)=1,1,0),0)</f>
        <v>0</v>
      </c>
      <c r="W3838" s="41" t="str">
        <f t="shared" si="324"/>
        <v/>
      </c>
      <c r="X3838" s="41" t="str">
        <f t="shared" si="325"/>
        <v/>
      </c>
    </row>
    <row r="3839" s="32" customFormat="1" hidden="1" customHeight="1" spans="1:24">
      <c r="A3839" s="34"/>
      <c r="B3839" s="51"/>
      <c r="C3839" s="51"/>
      <c r="D3839" s="52"/>
      <c r="E3839" s="53"/>
      <c r="F3839" s="54"/>
      <c r="G3839" s="54"/>
      <c r="H3839" s="54"/>
      <c r="I3839" s="66"/>
      <c r="J3839" s="54"/>
      <c r="K3839" s="54"/>
      <c r="L3839" s="54"/>
      <c r="M3839" s="97" t="str">
        <f t="shared" si="322"/>
        <v/>
      </c>
      <c r="N3839" s="70"/>
      <c r="O3839" s="71" t="str">
        <f t="shared" si="326"/>
        <v/>
      </c>
      <c r="P3839" s="66"/>
      <c r="Q3839" s="66"/>
      <c r="R3839" s="54"/>
      <c r="S3839" s="82"/>
      <c r="T3839" s="83" t="str">
        <f t="shared" si="323"/>
        <v/>
      </c>
      <c r="U3839" s="10"/>
      <c r="V3839" s="41">
        <f>IF(AND(Q3839&lt;&gt;"",RIGHT(Q3839,3)&lt;&gt;""),IF(COUNTIF($Q$6:Q3839,Q3839)=1,1,0),0)</f>
        <v>0</v>
      </c>
      <c r="W3839" s="41" t="str">
        <f t="shared" si="324"/>
        <v/>
      </c>
      <c r="X3839" s="41" t="str">
        <f t="shared" si="325"/>
        <v/>
      </c>
    </row>
    <row r="3840" s="32" customFormat="1" hidden="1" customHeight="1" spans="1:24">
      <c r="A3840" s="34"/>
      <c r="B3840" s="51"/>
      <c r="C3840" s="51"/>
      <c r="D3840" s="52"/>
      <c r="E3840" s="53"/>
      <c r="F3840" s="54"/>
      <c r="G3840" s="54"/>
      <c r="H3840" s="54"/>
      <c r="I3840" s="66"/>
      <c r="J3840" s="54"/>
      <c r="K3840" s="54"/>
      <c r="L3840" s="54"/>
      <c r="M3840" s="97" t="str">
        <f t="shared" si="322"/>
        <v/>
      </c>
      <c r="N3840" s="70"/>
      <c r="O3840" s="71" t="str">
        <f t="shared" si="326"/>
        <v/>
      </c>
      <c r="P3840" s="66"/>
      <c r="Q3840" s="66"/>
      <c r="R3840" s="54"/>
      <c r="S3840" s="82"/>
      <c r="T3840" s="83" t="str">
        <f t="shared" si="323"/>
        <v/>
      </c>
      <c r="U3840" s="10"/>
      <c r="V3840" s="41">
        <f>IF(AND(Q3840&lt;&gt;"",RIGHT(Q3840,3)&lt;&gt;""),IF(COUNTIF($Q$6:Q3840,Q3840)=1,1,0),0)</f>
        <v>0</v>
      </c>
      <c r="W3840" s="41" t="str">
        <f t="shared" si="324"/>
        <v/>
      </c>
      <c r="X3840" s="41" t="str">
        <f t="shared" si="325"/>
        <v/>
      </c>
    </row>
    <row r="3841" s="32" customFormat="1" hidden="1" customHeight="1" spans="1:24">
      <c r="A3841" s="34"/>
      <c r="B3841" s="51"/>
      <c r="C3841" s="51"/>
      <c r="D3841" s="52"/>
      <c r="E3841" s="53"/>
      <c r="F3841" s="54"/>
      <c r="G3841" s="54"/>
      <c r="H3841" s="54"/>
      <c r="I3841" s="66"/>
      <c r="J3841" s="54"/>
      <c r="K3841" s="54"/>
      <c r="L3841" s="54"/>
      <c r="M3841" s="97" t="str">
        <f t="shared" si="322"/>
        <v/>
      </c>
      <c r="N3841" s="70"/>
      <c r="O3841" s="71" t="str">
        <f t="shared" si="326"/>
        <v/>
      </c>
      <c r="P3841" s="66"/>
      <c r="Q3841" s="66"/>
      <c r="R3841" s="54"/>
      <c r="S3841" s="82"/>
      <c r="T3841" s="83" t="str">
        <f t="shared" si="323"/>
        <v/>
      </c>
      <c r="U3841" s="10"/>
      <c r="V3841" s="41">
        <f>IF(AND(Q3841&lt;&gt;"",RIGHT(Q3841,3)&lt;&gt;""),IF(COUNTIF($Q$6:Q3841,Q3841)=1,1,0),0)</f>
        <v>0</v>
      </c>
      <c r="W3841" s="41" t="str">
        <f t="shared" si="324"/>
        <v/>
      </c>
      <c r="X3841" s="41" t="str">
        <f t="shared" si="325"/>
        <v/>
      </c>
    </row>
    <row r="3842" s="32" customFormat="1" hidden="1" customHeight="1" spans="1:24">
      <c r="A3842" s="34"/>
      <c r="B3842" s="51"/>
      <c r="C3842" s="51"/>
      <c r="D3842" s="52"/>
      <c r="E3842" s="53"/>
      <c r="F3842" s="54"/>
      <c r="G3842" s="54"/>
      <c r="H3842" s="54"/>
      <c r="I3842" s="66"/>
      <c r="J3842" s="54"/>
      <c r="K3842" s="54"/>
      <c r="L3842" s="54"/>
      <c r="M3842" s="97" t="str">
        <f t="shared" si="322"/>
        <v/>
      </c>
      <c r="N3842" s="70"/>
      <c r="O3842" s="71" t="str">
        <f t="shared" si="326"/>
        <v/>
      </c>
      <c r="P3842" s="66"/>
      <c r="Q3842" s="66"/>
      <c r="R3842" s="54"/>
      <c r="S3842" s="82"/>
      <c r="T3842" s="83" t="str">
        <f t="shared" si="323"/>
        <v/>
      </c>
      <c r="U3842" s="10"/>
      <c r="V3842" s="41">
        <f>IF(AND(Q3842&lt;&gt;"",RIGHT(Q3842,3)&lt;&gt;""),IF(COUNTIF($Q$6:Q3842,Q3842)=1,1,0),0)</f>
        <v>0</v>
      </c>
      <c r="W3842" s="41" t="str">
        <f t="shared" si="324"/>
        <v/>
      </c>
      <c r="X3842" s="41" t="str">
        <f t="shared" si="325"/>
        <v/>
      </c>
    </row>
    <row r="3843" s="32" customFormat="1" hidden="1" customHeight="1" spans="1:24">
      <c r="A3843" s="34"/>
      <c r="B3843" s="51"/>
      <c r="C3843" s="51"/>
      <c r="D3843" s="52"/>
      <c r="E3843" s="53"/>
      <c r="F3843" s="54"/>
      <c r="G3843" s="54"/>
      <c r="H3843" s="54"/>
      <c r="I3843" s="66"/>
      <c r="J3843" s="54"/>
      <c r="K3843" s="54"/>
      <c r="L3843" s="54"/>
      <c r="M3843" s="97" t="str">
        <f t="shared" si="322"/>
        <v/>
      </c>
      <c r="N3843" s="70"/>
      <c r="O3843" s="71" t="str">
        <f t="shared" si="326"/>
        <v/>
      </c>
      <c r="P3843" s="66"/>
      <c r="Q3843" s="66"/>
      <c r="R3843" s="54"/>
      <c r="S3843" s="82"/>
      <c r="T3843" s="83" t="str">
        <f t="shared" si="323"/>
        <v/>
      </c>
      <c r="U3843" s="10"/>
      <c r="V3843" s="41">
        <f>IF(AND(Q3843&lt;&gt;"",RIGHT(Q3843,3)&lt;&gt;""),IF(COUNTIF($Q$6:Q3843,Q3843)=1,1,0),0)</f>
        <v>0</v>
      </c>
      <c r="W3843" s="41" t="str">
        <f t="shared" si="324"/>
        <v/>
      </c>
      <c r="X3843" s="41" t="str">
        <f t="shared" si="325"/>
        <v/>
      </c>
    </row>
    <row r="3844" s="32" customFormat="1" hidden="1" customHeight="1" spans="1:24">
      <c r="A3844" s="34"/>
      <c r="B3844" s="51"/>
      <c r="C3844" s="51"/>
      <c r="D3844" s="52"/>
      <c r="E3844" s="53"/>
      <c r="F3844" s="54"/>
      <c r="G3844" s="54"/>
      <c r="H3844" s="54"/>
      <c r="I3844" s="66"/>
      <c r="J3844" s="54"/>
      <c r="K3844" s="54"/>
      <c r="L3844" s="54"/>
      <c r="M3844" s="97" t="str">
        <f t="shared" si="322"/>
        <v/>
      </c>
      <c r="N3844" s="70"/>
      <c r="O3844" s="71" t="str">
        <f t="shared" si="326"/>
        <v/>
      </c>
      <c r="P3844" s="66"/>
      <c r="Q3844" s="66"/>
      <c r="R3844" s="54"/>
      <c r="S3844" s="82"/>
      <c r="T3844" s="83" t="str">
        <f t="shared" si="323"/>
        <v/>
      </c>
      <c r="U3844" s="10"/>
      <c r="V3844" s="41">
        <f>IF(AND(Q3844&lt;&gt;"",RIGHT(Q3844,3)&lt;&gt;""),IF(COUNTIF($Q$6:Q3844,Q3844)=1,1,0),0)</f>
        <v>0</v>
      </c>
      <c r="W3844" s="41" t="str">
        <f t="shared" si="324"/>
        <v/>
      </c>
      <c r="X3844" s="41" t="str">
        <f t="shared" si="325"/>
        <v/>
      </c>
    </row>
    <row r="3845" s="32" customFormat="1" hidden="1" customHeight="1" spans="1:24">
      <c r="A3845" s="34"/>
      <c r="B3845" s="51"/>
      <c r="C3845" s="51"/>
      <c r="D3845" s="52"/>
      <c r="E3845" s="53"/>
      <c r="F3845" s="54"/>
      <c r="G3845" s="54"/>
      <c r="H3845" s="54"/>
      <c r="I3845" s="66"/>
      <c r="J3845" s="54"/>
      <c r="K3845" s="54"/>
      <c r="L3845" s="54"/>
      <c r="M3845" s="97" t="str">
        <f t="shared" si="322"/>
        <v/>
      </c>
      <c r="N3845" s="70"/>
      <c r="O3845" s="71" t="str">
        <f t="shared" si="326"/>
        <v/>
      </c>
      <c r="P3845" s="66"/>
      <c r="Q3845" s="66"/>
      <c r="R3845" s="54"/>
      <c r="S3845" s="82"/>
      <c r="T3845" s="83" t="str">
        <f t="shared" si="323"/>
        <v/>
      </c>
      <c r="U3845" s="10"/>
      <c r="V3845" s="41">
        <f>IF(AND(Q3845&lt;&gt;"",RIGHT(Q3845,3)&lt;&gt;""),IF(COUNTIF($Q$6:Q3845,Q3845)=1,1,0),0)</f>
        <v>0</v>
      </c>
      <c r="W3845" s="41" t="str">
        <f t="shared" si="324"/>
        <v/>
      </c>
      <c r="X3845" s="41" t="str">
        <f t="shared" si="325"/>
        <v/>
      </c>
    </row>
    <row r="3846" s="32" customFormat="1" hidden="1" customHeight="1" spans="1:24">
      <c r="A3846" s="34"/>
      <c r="B3846" s="51"/>
      <c r="C3846" s="51"/>
      <c r="D3846" s="52"/>
      <c r="E3846" s="53"/>
      <c r="F3846" s="54"/>
      <c r="G3846" s="54"/>
      <c r="H3846" s="54"/>
      <c r="I3846" s="66"/>
      <c r="J3846" s="54"/>
      <c r="K3846" s="54"/>
      <c r="L3846" s="54"/>
      <c r="M3846" s="97" t="str">
        <f t="shared" si="322"/>
        <v/>
      </c>
      <c r="N3846" s="70"/>
      <c r="O3846" s="71" t="str">
        <f t="shared" si="326"/>
        <v/>
      </c>
      <c r="P3846" s="66"/>
      <c r="Q3846" s="66"/>
      <c r="R3846" s="54"/>
      <c r="S3846" s="82"/>
      <c r="T3846" s="83" t="str">
        <f t="shared" si="323"/>
        <v/>
      </c>
      <c r="U3846" s="10"/>
      <c r="V3846" s="41">
        <f>IF(AND(Q3846&lt;&gt;"",RIGHT(Q3846,3)&lt;&gt;""),IF(COUNTIF($Q$6:Q3846,Q3846)=1,1,0),0)</f>
        <v>0</v>
      </c>
      <c r="W3846" s="41" t="str">
        <f t="shared" si="324"/>
        <v/>
      </c>
      <c r="X3846" s="41" t="str">
        <f t="shared" si="325"/>
        <v/>
      </c>
    </row>
    <row r="3847" s="32" customFormat="1" hidden="1" customHeight="1" spans="1:24">
      <c r="A3847" s="34"/>
      <c r="B3847" s="51"/>
      <c r="C3847" s="51"/>
      <c r="D3847" s="52"/>
      <c r="E3847" s="53"/>
      <c r="F3847" s="54"/>
      <c r="G3847" s="54"/>
      <c r="H3847" s="54"/>
      <c r="I3847" s="66"/>
      <c r="J3847" s="54"/>
      <c r="K3847" s="54"/>
      <c r="L3847" s="54"/>
      <c r="M3847" s="97" t="str">
        <f t="shared" si="322"/>
        <v/>
      </c>
      <c r="N3847" s="70"/>
      <c r="O3847" s="71" t="str">
        <f t="shared" si="326"/>
        <v/>
      </c>
      <c r="P3847" s="66"/>
      <c r="Q3847" s="66"/>
      <c r="R3847" s="54"/>
      <c r="S3847" s="82"/>
      <c r="T3847" s="83" t="str">
        <f t="shared" si="323"/>
        <v/>
      </c>
      <c r="U3847" s="10"/>
      <c r="V3847" s="41">
        <f>IF(AND(Q3847&lt;&gt;"",RIGHT(Q3847,3)&lt;&gt;""),IF(COUNTIF($Q$6:Q3847,Q3847)=1,1,0),0)</f>
        <v>0</v>
      </c>
      <c r="W3847" s="41" t="str">
        <f t="shared" si="324"/>
        <v/>
      </c>
      <c r="X3847" s="41" t="str">
        <f t="shared" si="325"/>
        <v/>
      </c>
    </row>
    <row r="3848" s="32" customFormat="1" hidden="1" customHeight="1" spans="1:24">
      <c r="A3848" s="34"/>
      <c r="B3848" s="51"/>
      <c r="C3848" s="51"/>
      <c r="D3848" s="52"/>
      <c r="E3848" s="53"/>
      <c r="F3848" s="54"/>
      <c r="G3848" s="54"/>
      <c r="H3848" s="54"/>
      <c r="I3848" s="66"/>
      <c r="J3848" s="54"/>
      <c r="K3848" s="54"/>
      <c r="L3848" s="54"/>
      <c r="M3848" s="97" t="str">
        <f t="shared" si="322"/>
        <v/>
      </c>
      <c r="N3848" s="70"/>
      <c r="O3848" s="71" t="str">
        <f t="shared" si="326"/>
        <v/>
      </c>
      <c r="P3848" s="66"/>
      <c r="Q3848" s="66"/>
      <c r="R3848" s="54"/>
      <c r="S3848" s="82"/>
      <c r="T3848" s="83" t="str">
        <f t="shared" si="323"/>
        <v/>
      </c>
      <c r="U3848" s="10"/>
      <c r="V3848" s="41">
        <f>IF(AND(Q3848&lt;&gt;"",RIGHT(Q3848,3)&lt;&gt;""),IF(COUNTIF($Q$6:Q3848,Q3848)=1,1,0),0)</f>
        <v>0</v>
      </c>
      <c r="W3848" s="41" t="str">
        <f t="shared" si="324"/>
        <v/>
      </c>
      <c r="X3848" s="41" t="str">
        <f t="shared" si="325"/>
        <v/>
      </c>
    </row>
    <row r="3849" s="32" customFormat="1" hidden="1" customHeight="1" spans="1:24">
      <c r="A3849" s="34"/>
      <c r="B3849" s="51"/>
      <c r="C3849" s="51"/>
      <c r="D3849" s="52"/>
      <c r="E3849" s="53"/>
      <c r="F3849" s="54"/>
      <c r="G3849" s="54"/>
      <c r="H3849" s="54"/>
      <c r="I3849" s="66"/>
      <c r="J3849" s="54"/>
      <c r="K3849" s="54"/>
      <c r="L3849" s="54"/>
      <c r="M3849" s="97" t="str">
        <f t="shared" si="322"/>
        <v/>
      </c>
      <c r="N3849" s="70"/>
      <c r="O3849" s="71" t="str">
        <f t="shared" si="326"/>
        <v/>
      </c>
      <c r="P3849" s="66"/>
      <c r="Q3849" s="66"/>
      <c r="R3849" s="54"/>
      <c r="S3849" s="82"/>
      <c r="T3849" s="83" t="str">
        <f t="shared" si="323"/>
        <v/>
      </c>
      <c r="U3849" s="10"/>
      <c r="V3849" s="41">
        <f>IF(AND(Q3849&lt;&gt;"",RIGHT(Q3849,3)&lt;&gt;""),IF(COUNTIF($Q$6:Q3849,Q3849)=1,1,0),0)</f>
        <v>0</v>
      </c>
      <c r="W3849" s="41" t="str">
        <f t="shared" si="324"/>
        <v/>
      </c>
      <c r="X3849" s="41" t="str">
        <f t="shared" si="325"/>
        <v/>
      </c>
    </row>
    <row r="3850" s="32" customFormat="1" hidden="1" customHeight="1" spans="1:24">
      <c r="A3850" s="34"/>
      <c r="B3850" s="51"/>
      <c r="C3850" s="51"/>
      <c r="D3850" s="52"/>
      <c r="E3850" s="53"/>
      <c r="F3850" s="54"/>
      <c r="G3850" s="54"/>
      <c r="H3850" s="54"/>
      <c r="I3850" s="66"/>
      <c r="J3850" s="54"/>
      <c r="K3850" s="54"/>
      <c r="L3850" s="54"/>
      <c r="M3850" s="97" t="str">
        <f t="shared" si="322"/>
        <v/>
      </c>
      <c r="N3850" s="70"/>
      <c r="O3850" s="71" t="str">
        <f t="shared" si="326"/>
        <v/>
      </c>
      <c r="P3850" s="66"/>
      <c r="Q3850" s="66"/>
      <c r="R3850" s="54"/>
      <c r="S3850" s="82"/>
      <c r="T3850" s="83" t="str">
        <f t="shared" si="323"/>
        <v/>
      </c>
      <c r="U3850" s="10"/>
      <c r="V3850" s="41">
        <f>IF(AND(Q3850&lt;&gt;"",RIGHT(Q3850,3)&lt;&gt;""),IF(COUNTIF($Q$6:Q3850,Q3850)=1,1,0),0)</f>
        <v>0</v>
      </c>
      <c r="W3850" s="41" t="str">
        <f t="shared" si="324"/>
        <v/>
      </c>
      <c r="X3850" s="41" t="str">
        <f t="shared" si="325"/>
        <v/>
      </c>
    </row>
    <row r="3851" s="32" customFormat="1" hidden="1" customHeight="1" spans="1:24">
      <c r="A3851" s="34"/>
      <c r="B3851" s="51"/>
      <c r="C3851" s="51"/>
      <c r="D3851" s="52"/>
      <c r="E3851" s="53"/>
      <c r="F3851" s="54"/>
      <c r="G3851" s="54"/>
      <c r="H3851" s="54"/>
      <c r="I3851" s="66"/>
      <c r="J3851" s="54"/>
      <c r="K3851" s="54"/>
      <c r="L3851" s="54"/>
      <c r="M3851" s="97" t="str">
        <f t="shared" si="322"/>
        <v/>
      </c>
      <c r="N3851" s="70"/>
      <c r="O3851" s="71" t="str">
        <f t="shared" si="326"/>
        <v/>
      </c>
      <c r="P3851" s="66"/>
      <c r="Q3851" s="66"/>
      <c r="R3851" s="54"/>
      <c r="S3851" s="82"/>
      <c r="T3851" s="83" t="str">
        <f t="shared" si="323"/>
        <v/>
      </c>
      <c r="U3851" s="10"/>
      <c r="V3851" s="41">
        <f>IF(AND(Q3851&lt;&gt;"",RIGHT(Q3851,3)&lt;&gt;""),IF(COUNTIF($Q$6:Q3851,Q3851)=1,1,0),0)</f>
        <v>0</v>
      </c>
      <c r="W3851" s="41" t="str">
        <f t="shared" si="324"/>
        <v/>
      </c>
      <c r="X3851" s="41" t="str">
        <f t="shared" si="325"/>
        <v/>
      </c>
    </row>
    <row r="3852" s="32" customFormat="1" hidden="1" customHeight="1" spans="1:24">
      <c r="A3852" s="34"/>
      <c r="B3852" s="51"/>
      <c r="C3852" s="51"/>
      <c r="D3852" s="52"/>
      <c r="E3852" s="53"/>
      <c r="F3852" s="54"/>
      <c r="G3852" s="54"/>
      <c r="H3852" s="54"/>
      <c r="I3852" s="66"/>
      <c r="J3852" s="54"/>
      <c r="K3852" s="54"/>
      <c r="L3852" s="54"/>
      <c r="M3852" s="97" t="str">
        <f t="shared" si="322"/>
        <v/>
      </c>
      <c r="N3852" s="70"/>
      <c r="O3852" s="71" t="str">
        <f t="shared" si="326"/>
        <v/>
      </c>
      <c r="P3852" s="66"/>
      <c r="Q3852" s="66"/>
      <c r="R3852" s="54"/>
      <c r="S3852" s="82"/>
      <c r="T3852" s="83" t="str">
        <f t="shared" si="323"/>
        <v/>
      </c>
      <c r="U3852" s="10"/>
      <c r="V3852" s="41">
        <f>IF(AND(Q3852&lt;&gt;"",RIGHT(Q3852,3)&lt;&gt;""),IF(COUNTIF($Q$6:Q3852,Q3852)=1,1,0),0)</f>
        <v>0</v>
      </c>
      <c r="W3852" s="41" t="str">
        <f t="shared" si="324"/>
        <v/>
      </c>
      <c r="X3852" s="41" t="str">
        <f t="shared" si="325"/>
        <v/>
      </c>
    </row>
    <row r="3853" s="32" customFormat="1" hidden="1" customHeight="1" spans="1:24">
      <c r="A3853" s="34"/>
      <c r="B3853" s="51"/>
      <c r="C3853" s="51"/>
      <c r="D3853" s="52"/>
      <c r="E3853" s="53"/>
      <c r="F3853" s="54"/>
      <c r="G3853" s="54"/>
      <c r="H3853" s="54"/>
      <c r="I3853" s="66"/>
      <c r="J3853" s="54"/>
      <c r="K3853" s="54"/>
      <c r="L3853" s="54"/>
      <c r="M3853" s="97" t="str">
        <f t="shared" si="322"/>
        <v/>
      </c>
      <c r="N3853" s="70"/>
      <c r="O3853" s="71" t="str">
        <f t="shared" si="326"/>
        <v/>
      </c>
      <c r="P3853" s="66"/>
      <c r="Q3853" s="66"/>
      <c r="R3853" s="54"/>
      <c r="S3853" s="82"/>
      <c r="T3853" s="83" t="str">
        <f t="shared" si="323"/>
        <v/>
      </c>
      <c r="U3853" s="10"/>
      <c r="V3853" s="41">
        <f>IF(AND(Q3853&lt;&gt;"",RIGHT(Q3853,3)&lt;&gt;""),IF(COUNTIF($Q$6:Q3853,Q3853)=1,1,0),0)</f>
        <v>0</v>
      </c>
      <c r="W3853" s="41" t="str">
        <f t="shared" si="324"/>
        <v/>
      </c>
      <c r="X3853" s="41" t="str">
        <f t="shared" si="325"/>
        <v/>
      </c>
    </row>
    <row r="3854" s="32" customFormat="1" hidden="1" customHeight="1" spans="1:24">
      <c r="A3854" s="34"/>
      <c r="B3854" s="51"/>
      <c r="C3854" s="51"/>
      <c r="D3854" s="52"/>
      <c r="E3854" s="53"/>
      <c r="F3854" s="54"/>
      <c r="G3854" s="54"/>
      <c r="H3854" s="54"/>
      <c r="I3854" s="66"/>
      <c r="J3854" s="54"/>
      <c r="K3854" s="54"/>
      <c r="L3854" s="54"/>
      <c r="M3854" s="97" t="str">
        <f t="shared" si="322"/>
        <v/>
      </c>
      <c r="N3854" s="70"/>
      <c r="O3854" s="71" t="str">
        <f t="shared" si="326"/>
        <v/>
      </c>
      <c r="P3854" s="66"/>
      <c r="Q3854" s="66"/>
      <c r="R3854" s="54"/>
      <c r="S3854" s="82"/>
      <c r="T3854" s="83" t="str">
        <f t="shared" si="323"/>
        <v/>
      </c>
      <c r="U3854" s="10"/>
      <c r="V3854" s="41">
        <f>IF(AND(Q3854&lt;&gt;"",RIGHT(Q3854,3)&lt;&gt;""),IF(COUNTIF($Q$6:Q3854,Q3854)=1,1,0),0)</f>
        <v>0</v>
      </c>
      <c r="W3854" s="41" t="str">
        <f t="shared" si="324"/>
        <v/>
      </c>
      <c r="X3854" s="41" t="str">
        <f t="shared" si="325"/>
        <v/>
      </c>
    </row>
    <row r="3855" s="32" customFormat="1" hidden="1" customHeight="1" spans="1:24">
      <c r="A3855" s="34"/>
      <c r="B3855" s="51"/>
      <c r="C3855" s="51"/>
      <c r="D3855" s="52"/>
      <c r="E3855" s="53"/>
      <c r="F3855" s="54"/>
      <c r="G3855" s="54"/>
      <c r="H3855" s="54"/>
      <c r="I3855" s="66"/>
      <c r="J3855" s="54"/>
      <c r="K3855" s="54"/>
      <c r="L3855" s="54"/>
      <c r="M3855" s="97" t="str">
        <f t="shared" si="322"/>
        <v/>
      </c>
      <c r="N3855" s="70"/>
      <c r="O3855" s="71" t="str">
        <f t="shared" si="326"/>
        <v/>
      </c>
      <c r="P3855" s="66"/>
      <c r="Q3855" s="66"/>
      <c r="R3855" s="54"/>
      <c r="S3855" s="82"/>
      <c r="T3855" s="83" t="str">
        <f t="shared" si="323"/>
        <v/>
      </c>
      <c r="U3855" s="10"/>
      <c r="V3855" s="41">
        <f>IF(AND(Q3855&lt;&gt;"",RIGHT(Q3855,3)&lt;&gt;""),IF(COUNTIF($Q$6:Q3855,Q3855)=1,1,0),0)</f>
        <v>0</v>
      </c>
      <c r="W3855" s="41" t="str">
        <f t="shared" si="324"/>
        <v/>
      </c>
      <c r="X3855" s="41" t="str">
        <f t="shared" si="325"/>
        <v/>
      </c>
    </row>
    <row r="3856" s="32" customFormat="1" hidden="1" customHeight="1" spans="1:24">
      <c r="A3856" s="34"/>
      <c r="B3856" s="51"/>
      <c r="C3856" s="51"/>
      <c r="D3856" s="52"/>
      <c r="E3856" s="53"/>
      <c r="F3856" s="54"/>
      <c r="G3856" s="54"/>
      <c r="H3856" s="54"/>
      <c r="I3856" s="66"/>
      <c r="J3856" s="54"/>
      <c r="K3856" s="54"/>
      <c r="L3856" s="54"/>
      <c r="M3856" s="97" t="str">
        <f t="shared" si="322"/>
        <v/>
      </c>
      <c r="N3856" s="70"/>
      <c r="O3856" s="71" t="str">
        <f t="shared" si="326"/>
        <v/>
      </c>
      <c r="P3856" s="66"/>
      <c r="Q3856" s="66"/>
      <c r="R3856" s="54"/>
      <c r="S3856" s="82"/>
      <c r="T3856" s="83" t="str">
        <f t="shared" si="323"/>
        <v/>
      </c>
      <c r="U3856" s="10"/>
      <c r="V3856" s="41">
        <f>IF(AND(Q3856&lt;&gt;"",RIGHT(Q3856,3)&lt;&gt;""),IF(COUNTIF($Q$6:Q3856,Q3856)=1,1,0),0)</f>
        <v>0</v>
      </c>
      <c r="W3856" s="41" t="str">
        <f t="shared" si="324"/>
        <v/>
      </c>
      <c r="X3856" s="41" t="str">
        <f t="shared" si="325"/>
        <v/>
      </c>
    </row>
    <row r="3857" s="32" customFormat="1" hidden="1" customHeight="1" spans="1:24">
      <c r="A3857" s="34"/>
      <c r="B3857" s="51"/>
      <c r="C3857" s="51"/>
      <c r="D3857" s="52"/>
      <c r="E3857" s="53"/>
      <c r="F3857" s="54"/>
      <c r="G3857" s="54"/>
      <c r="H3857" s="54"/>
      <c r="I3857" s="66"/>
      <c r="J3857" s="54"/>
      <c r="K3857" s="54"/>
      <c r="L3857" s="54"/>
      <c r="M3857" s="97" t="str">
        <f t="shared" si="322"/>
        <v/>
      </c>
      <c r="N3857" s="70"/>
      <c r="O3857" s="71" t="str">
        <f t="shared" si="326"/>
        <v/>
      </c>
      <c r="P3857" s="66"/>
      <c r="Q3857" s="66"/>
      <c r="R3857" s="54"/>
      <c r="S3857" s="82"/>
      <c r="T3857" s="83" t="str">
        <f t="shared" si="323"/>
        <v/>
      </c>
      <c r="U3857" s="10"/>
      <c r="V3857" s="41">
        <f>IF(AND(Q3857&lt;&gt;"",RIGHT(Q3857,3)&lt;&gt;""),IF(COUNTIF($Q$6:Q3857,Q3857)=1,1,0),0)</f>
        <v>0</v>
      </c>
      <c r="W3857" s="41" t="str">
        <f t="shared" si="324"/>
        <v/>
      </c>
      <c r="X3857" s="41" t="str">
        <f t="shared" si="325"/>
        <v/>
      </c>
    </row>
    <row r="3858" s="32" customFormat="1" hidden="1" customHeight="1" spans="1:24">
      <c r="A3858" s="34"/>
      <c r="B3858" s="51"/>
      <c r="C3858" s="51"/>
      <c r="D3858" s="52"/>
      <c r="E3858" s="53"/>
      <c r="F3858" s="54"/>
      <c r="G3858" s="54"/>
      <c r="H3858" s="54"/>
      <c r="I3858" s="66"/>
      <c r="J3858" s="54"/>
      <c r="K3858" s="54"/>
      <c r="L3858" s="54"/>
      <c r="M3858" s="97" t="str">
        <f t="shared" si="322"/>
        <v/>
      </c>
      <c r="N3858" s="70"/>
      <c r="O3858" s="71" t="str">
        <f t="shared" si="326"/>
        <v/>
      </c>
      <c r="P3858" s="66"/>
      <c r="Q3858" s="66"/>
      <c r="R3858" s="54"/>
      <c r="S3858" s="82"/>
      <c r="T3858" s="83" t="str">
        <f t="shared" si="323"/>
        <v/>
      </c>
      <c r="U3858" s="10"/>
      <c r="V3858" s="41">
        <f>IF(AND(Q3858&lt;&gt;"",RIGHT(Q3858,3)&lt;&gt;""),IF(COUNTIF($Q$6:Q3858,Q3858)=1,1,0),0)</f>
        <v>0</v>
      </c>
      <c r="W3858" s="41" t="str">
        <f t="shared" si="324"/>
        <v/>
      </c>
      <c r="X3858" s="41" t="str">
        <f t="shared" si="325"/>
        <v/>
      </c>
    </row>
    <row r="3859" s="32" customFormat="1" hidden="1" customHeight="1" spans="1:24">
      <c r="A3859" s="34"/>
      <c r="B3859" s="51"/>
      <c r="C3859" s="51"/>
      <c r="D3859" s="52"/>
      <c r="E3859" s="53"/>
      <c r="F3859" s="54"/>
      <c r="G3859" s="54"/>
      <c r="H3859" s="54"/>
      <c r="I3859" s="66"/>
      <c r="J3859" s="54"/>
      <c r="K3859" s="54"/>
      <c r="L3859" s="54"/>
      <c r="M3859" s="97" t="str">
        <f t="shared" si="322"/>
        <v/>
      </c>
      <c r="N3859" s="70"/>
      <c r="O3859" s="71" t="str">
        <f t="shared" si="326"/>
        <v/>
      </c>
      <c r="P3859" s="66"/>
      <c r="Q3859" s="66"/>
      <c r="R3859" s="54"/>
      <c r="S3859" s="82"/>
      <c r="T3859" s="83" t="str">
        <f t="shared" si="323"/>
        <v/>
      </c>
      <c r="U3859" s="10"/>
      <c r="V3859" s="41">
        <f>IF(AND(Q3859&lt;&gt;"",RIGHT(Q3859,3)&lt;&gt;""),IF(COUNTIF($Q$6:Q3859,Q3859)=1,1,0),0)</f>
        <v>0</v>
      </c>
      <c r="W3859" s="41" t="str">
        <f t="shared" si="324"/>
        <v/>
      </c>
      <c r="X3859" s="41" t="str">
        <f t="shared" si="325"/>
        <v/>
      </c>
    </row>
    <row r="3860" s="32" customFormat="1" hidden="1" customHeight="1" spans="1:24">
      <c r="A3860" s="34"/>
      <c r="B3860" s="51"/>
      <c r="C3860" s="51"/>
      <c r="D3860" s="52"/>
      <c r="E3860" s="53"/>
      <c r="F3860" s="54"/>
      <c r="G3860" s="54"/>
      <c r="H3860" s="54"/>
      <c r="I3860" s="66"/>
      <c r="J3860" s="54"/>
      <c r="K3860" s="54"/>
      <c r="L3860" s="54"/>
      <c r="M3860" s="97" t="str">
        <f t="shared" si="322"/>
        <v/>
      </c>
      <c r="N3860" s="70"/>
      <c r="O3860" s="71" t="str">
        <f t="shared" si="326"/>
        <v/>
      </c>
      <c r="P3860" s="66"/>
      <c r="Q3860" s="66"/>
      <c r="R3860" s="54"/>
      <c r="S3860" s="82"/>
      <c r="T3860" s="83" t="str">
        <f t="shared" si="323"/>
        <v/>
      </c>
      <c r="U3860" s="10"/>
      <c r="V3860" s="41">
        <f>IF(AND(Q3860&lt;&gt;"",RIGHT(Q3860,3)&lt;&gt;""),IF(COUNTIF($Q$6:Q3860,Q3860)=1,1,0),0)</f>
        <v>0</v>
      </c>
      <c r="W3860" s="41" t="str">
        <f t="shared" si="324"/>
        <v/>
      </c>
      <c r="X3860" s="41" t="str">
        <f t="shared" si="325"/>
        <v/>
      </c>
    </row>
    <row r="3861" s="32" customFormat="1" hidden="1" customHeight="1" spans="1:24">
      <c r="A3861" s="34"/>
      <c r="B3861" s="51"/>
      <c r="C3861" s="51"/>
      <c r="D3861" s="52"/>
      <c r="E3861" s="53"/>
      <c r="F3861" s="54"/>
      <c r="G3861" s="54"/>
      <c r="H3861" s="54"/>
      <c r="I3861" s="66"/>
      <c r="J3861" s="54"/>
      <c r="K3861" s="54"/>
      <c r="L3861" s="54"/>
      <c r="M3861" s="97" t="str">
        <f t="shared" si="322"/>
        <v/>
      </c>
      <c r="N3861" s="70"/>
      <c r="O3861" s="71" t="str">
        <f t="shared" si="326"/>
        <v/>
      </c>
      <c r="P3861" s="66"/>
      <c r="Q3861" s="66"/>
      <c r="R3861" s="54"/>
      <c r="S3861" s="82"/>
      <c r="T3861" s="83" t="str">
        <f t="shared" si="323"/>
        <v/>
      </c>
      <c r="U3861" s="10"/>
      <c r="V3861" s="41">
        <f>IF(AND(Q3861&lt;&gt;"",RIGHT(Q3861,3)&lt;&gt;""),IF(COUNTIF($Q$6:Q3861,Q3861)=1,1,0),0)</f>
        <v>0</v>
      </c>
      <c r="W3861" s="41" t="str">
        <f t="shared" si="324"/>
        <v/>
      </c>
      <c r="X3861" s="41" t="str">
        <f t="shared" si="325"/>
        <v/>
      </c>
    </row>
    <row r="3862" s="32" customFormat="1" hidden="1" customHeight="1" spans="1:24">
      <c r="A3862" s="34"/>
      <c r="B3862" s="51"/>
      <c r="C3862" s="51"/>
      <c r="D3862" s="52"/>
      <c r="E3862" s="53"/>
      <c r="F3862" s="54"/>
      <c r="G3862" s="54"/>
      <c r="H3862" s="54"/>
      <c r="I3862" s="66"/>
      <c r="J3862" s="54"/>
      <c r="K3862" s="54"/>
      <c r="L3862" s="54"/>
      <c r="M3862" s="97" t="str">
        <f t="shared" si="322"/>
        <v/>
      </c>
      <c r="N3862" s="70"/>
      <c r="O3862" s="71" t="str">
        <f t="shared" si="326"/>
        <v/>
      </c>
      <c r="P3862" s="66"/>
      <c r="Q3862" s="66"/>
      <c r="R3862" s="54"/>
      <c r="S3862" s="82"/>
      <c r="T3862" s="83" t="str">
        <f t="shared" si="323"/>
        <v/>
      </c>
      <c r="U3862" s="10"/>
      <c r="V3862" s="41">
        <f>IF(AND(Q3862&lt;&gt;"",RIGHT(Q3862,3)&lt;&gt;""),IF(COUNTIF($Q$6:Q3862,Q3862)=1,1,0),0)</f>
        <v>0</v>
      </c>
      <c r="W3862" s="41" t="str">
        <f t="shared" si="324"/>
        <v/>
      </c>
      <c r="X3862" s="41" t="str">
        <f t="shared" si="325"/>
        <v/>
      </c>
    </row>
    <row r="3863" s="32" customFormat="1" hidden="1" customHeight="1" spans="1:24">
      <c r="A3863" s="34"/>
      <c r="B3863" s="51"/>
      <c r="C3863" s="51"/>
      <c r="D3863" s="52"/>
      <c r="E3863" s="53"/>
      <c r="F3863" s="54"/>
      <c r="G3863" s="54"/>
      <c r="H3863" s="54"/>
      <c r="I3863" s="66"/>
      <c r="J3863" s="54"/>
      <c r="K3863" s="54"/>
      <c r="L3863" s="54"/>
      <c r="M3863" s="97" t="str">
        <f t="shared" si="322"/>
        <v/>
      </c>
      <c r="N3863" s="70"/>
      <c r="O3863" s="71" t="str">
        <f t="shared" si="326"/>
        <v/>
      </c>
      <c r="P3863" s="66"/>
      <c r="Q3863" s="66"/>
      <c r="R3863" s="54"/>
      <c r="S3863" s="82"/>
      <c r="T3863" s="83" t="str">
        <f t="shared" si="323"/>
        <v/>
      </c>
      <c r="U3863" s="10"/>
      <c r="V3863" s="41">
        <f>IF(AND(Q3863&lt;&gt;"",RIGHT(Q3863,3)&lt;&gt;""),IF(COUNTIF($Q$6:Q3863,Q3863)=1,1,0),0)</f>
        <v>0</v>
      </c>
      <c r="W3863" s="41" t="str">
        <f t="shared" si="324"/>
        <v/>
      </c>
      <c r="X3863" s="41" t="str">
        <f t="shared" si="325"/>
        <v/>
      </c>
    </row>
    <row r="3864" s="32" customFormat="1" hidden="1" customHeight="1" spans="1:24">
      <c r="A3864" s="34"/>
      <c r="B3864" s="51"/>
      <c r="C3864" s="51"/>
      <c r="D3864" s="52"/>
      <c r="E3864" s="53"/>
      <c r="F3864" s="54"/>
      <c r="G3864" s="54"/>
      <c r="H3864" s="54"/>
      <c r="I3864" s="66"/>
      <c r="J3864" s="54"/>
      <c r="K3864" s="54"/>
      <c r="L3864" s="54"/>
      <c r="M3864" s="97" t="str">
        <f t="shared" si="322"/>
        <v/>
      </c>
      <c r="N3864" s="70"/>
      <c r="O3864" s="71" t="str">
        <f t="shared" si="326"/>
        <v/>
      </c>
      <c r="P3864" s="66"/>
      <c r="Q3864" s="66"/>
      <c r="R3864" s="54"/>
      <c r="S3864" s="82"/>
      <c r="T3864" s="83" t="str">
        <f t="shared" si="323"/>
        <v/>
      </c>
      <c r="U3864" s="10"/>
      <c r="V3864" s="41">
        <f>IF(AND(Q3864&lt;&gt;"",RIGHT(Q3864,3)&lt;&gt;""),IF(COUNTIF($Q$6:Q3864,Q3864)=1,1,0),0)</f>
        <v>0</v>
      </c>
      <c r="W3864" s="41" t="str">
        <f t="shared" si="324"/>
        <v/>
      </c>
      <c r="X3864" s="41" t="str">
        <f t="shared" si="325"/>
        <v/>
      </c>
    </row>
    <row r="3865" s="32" customFormat="1" hidden="1" customHeight="1" spans="1:24">
      <c r="A3865" s="34"/>
      <c r="B3865" s="51"/>
      <c r="C3865" s="51"/>
      <c r="D3865" s="52"/>
      <c r="E3865" s="53"/>
      <c r="F3865" s="54"/>
      <c r="G3865" s="54"/>
      <c r="H3865" s="54"/>
      <c r="I3865" s="66"/>
      <c r="J3865" s="54"/>
      <c r="K3865" s="54"/>
      <c r="L3865" s="54"/>
      <c r="M3865" s="97" t="str">
        <f t="shared" si="322"/>
        <v/>
      </c>
      <c r="N3865" s="70"/>
      <c r="O3865" s="71" t="str">
        <f t="shared" si="326"/>
        <v/>
      </c>
      <c r="P3865" s="66"/>
      <c r="Q3865" s="66"/>
      <c r="R3865" s="54"/>
      <c r="S3865" s="82"/>
      <c r="T3865" s="83" t="str">
        <f t="shared" si="323"/>
        <v/>
      </c>
      <c r="U3865" s="10"/>
      <c r="V3865" s="41">
        <f>IF(AND(Q3865&lt;&gt;"",RIGHT(Q3865,3)&lt;&gt;""),IF(COUNTIF($Q$6:Q3865,Q3865)=1,1,0),0)</f>
        <v>0</v>
      </c>
      <c r="W3865" s="41" t="str">
        <f t="shared" si="324"/>
        <v/>
      </c>
      <c r="X3865" s="41" t="str">
        <f t="shared" si="325"/>
        <v/>
      </c>
    </row>
    <row r="3866" s="32" customFormat="1" hidden="1" customHeight="1" spans="1:24">
      <c r="A3866" s="34"/>
      <c r="B3866" s="51"/>
      <c r="C3866" s="51"/>
      <c r="D3866" s="52"/>
      <c r="E3866" s="53"/>
      <c r="F3866" s="54"/>
      <c r="G3866" s="54"/>
      <c r="H3866" s="54"/>
      <c r="I3866" s="66"/>
      <c r="J3866" s="54"/>
      <c r="K3866" s="54"/>
      <c r="L3866" s="54"/>
      <c r="M3866" s="97" t="str">
        <f t="shared" si="322"/>
        <v/>
      </c>
      <c r="N3866" s="70"/>
      <c r="O3866" s="71" t="str">
        <f t="shared" si="326"/>
        <v/>
      </c>
      <c r="P3866" s="66"/>
      <c r="Q3866" s="66"/>
      <c r="R3866" s="54"/>
      <c r="S3866" s="82"/>
      <c r="T3866" s="83" t="str">
        <f t="shared" si="323"/>
        <v/>
      </c>
      <c r="U3866" s="10"/>
      <c r="V3866" s="41">
        <f>IF(AND(Q3866&lt;&gt;"",RIGHT(Q3866,3)&lt;&gt;""),IF(COUNTIF($Q$6:Q3866,Q3866)=1,1,0),0)</f>
        <v>0</v>
      </c>
      <c r="W3866" s="41" t="str">
        <f t="shared" si="324"/>
        <v/>
      </c>
      <c r="X3866" s="41" t="str">
        <f t="shared" si="325"/>
        <v/>
      </c>
    </row>
    <row r="3867" s="32" customFormat="1" hidden="1" customHeight="1" spans="1:24">
      <c r="A3867" s="34"/>
      <c r="B3867" s="51"/>
      <c r="C3867" s="51"/>
      <c r="D3867" s="52"/>
      <c r="E3867" s="53"/>
      <c r="F3867" s="54"/>
      <c r="G3867" s="54"/>
      <c r="H3867" s="54"/>
      <c r="I3867" s="66"/>
      <c r="J3867" s="54"/>
      <c r="K3867" s="54"/>
      <c r="L3867" s="54"/>
      <c r="M3867" s="97" t="str">
        <f t="shared" si="322"/>
        <v/>
      </c>
      <c r="N3867" s="70"/>
      <c r="O3867" s="71" t="str">
        <f t="shared" si="326"/>
        <v/>
      </c>
      <c r="P3867" s="66"/>
      <c r="Q3867" s="66"/>
      <c r="R3867" s="54"/>
      <c r="S3867" s="82"/>
      <c r="T3867" s="83" t="str">
        <f t="shared" si="323"/>
        <v/>
      </c>
      <c r="U3867" s="10"/>
      <c r="V3867" s="41">
        <f>IF(AND(Q3867&lt;&gt;"",RIGHT(Q3867,3)&lt;&gt;""),IF(COUNTIF($Q$6:Q3867,Q3867)=1,1,0),0)</f>
        <v>0</v>
      </c>
      <c r="W3867" s="41" t="str">
        <f t="shared" si="324"/>
        <v/>
      </c>
      <c r="X3867" s="41" t="str">
        <f t="shared" si="325"/>
        <v/>
      </c>
    </row>
    <row r="3868" s="32" customFormat="1" hidden="1" customHeight="1" spans="1:24">
      <c r="A3868" s="34"/>
      <c r="B3868" s="51"/>
      <c r="C3868" s="51"/>
      <c r="D3868" s="52"/>
      <c r="E3868" s="53"/>
      <c r="F3868" s="54"/>
      <c r="G3868" s="54"/>
      <c r="H3868" s="54"/>
      <c r="I3868" s="66"/>
      <c r="J3868" s="54"/>
      <c r="K3868" s="54"/>
      <c r="L3868" s="54"/>
      <c r="M3868" s="97" t="str">
        <f t="shared" si="322"/>
        <v/>
      </c>
      <c r="N3868" s="70"/>
      <c r="O3868" s="71" t="str">
        <f t="shared" si="326"/>
        <v/>
      </c>
      <c r="P3868" s="66"/>
      <c r="Q3868" s="66"/>
      <c r="R3868" s="54"/>
      <c r="S3868" s="82"/>
      <c r="T3868" s="83" t="str">
        <f t="shared" si="323"/>
        <v/>
      </c>
      <c r="U3868" s="10"/>
      <c r="V3868" s="41">
        <f>IF(AND(Q3868&lt;&gt;"",RIGHT(Q3868,3)&lt;&gt;""),IF(COUNTIF($Q$6:Q3868,Q3868)=1,1,0),0)</f>
        <v>0</v>
      </c>
      <c r="W3868" s="41" t="str">
        <f t="shared" si="324"/>
        <v/>
      </c>
      <c r="X3868" s="41" t="str">
        <f t="shared" si="325"/>
        <v/>
      </c>
    </row>
    <row r="3869" s="32" customFormat="1" hidden="1" customHeight="1" spans="1:24">
      <c r="A3869" s="34"/>
      <c r="B3869" s="51"/>
      <c r="C3869" s="51"/>
      <c r="D3869" s="52"/>
      <c r="E3869" s="53"/>
      <c r="F3869" s="54"/>
      <c r="G3869" s="54"/>
      <c r="H3869" s="54"/>
      <c r="I3869" s="66"/>
      <c r="J3869" s="54"/>
      <c r="K3869" s="54"/>
      <c r="L3869" s="54"/>
      <c r="M3869" s="97" t="str">
        <f t="shared" si="322"/>
        <v/>
      </c>
      <c r="N3869" s="70"/>
      <c r="O3869" s="71" t="str">
        <f t="shared" si="326"/>
        <v/>
      </c>
      <c r="P3869" s="66"/>
      <c r="Q3869" s="66"/>
      <c r="R3869" s="54"/>
      <c r="S3869" s="82"/>
      <c r="T3869" s="83" t="str">
        <f t="shared" si="323"/>
        <v/>
      </c>
      <c r="U3869" s="10"/>
      <c r="V3869" s="41">
        <f>IF(AND(Q3869&lt;&gt;"",RIGHT(Q3869,3)&lt;&gt;""),IF(COUNTIF($Q$6:Q3869,Q3869)=1,1,0),0)</f>
        <v>0</v>
      </c>
      <c r="W3869" s="41" t="str">
        <f t="shared" si="324"/>
        <v/>
      </c>
      <c r="X3869" s="41" t="str">
        <f t="shared" si="325"/>
        <v/>
      </c>
    </row>
    <row r="3870" s="32" customFormat="1" hidden="1" customHeight="1" spans="1:24">
      <c r="A3870" s="34"/>
      <c r="B3870" s="51"/>
      <c r="C3870" s="51"/>
      <c r="D3870" s="52"/>
      <c r="E3870" s="53"/>
      <c r="F3870" s="54"/>
      <c r="G3870" s="54"/>
      <c r="H3870" s="54"/>
      <c r="I3870" s="66"/>
      <c r="J3870" s="54"/>
      <c r="K3870" s="54"/>
      <c r="L3870" s="54"/>
      <c r="M3870" s="97" t="str">
        <f t="shared" si="322"/>
        <v/>
      </c>
      <c r="N3870" s="70"/>
      <c r="O3870" s="71" t="str">
        <f t="shared" si="326"/>
        <v/>
      </c>
      <c r="P3870" s="66"/>
      <c r="Q3870" s="66"/>
      <c r="R3870" s="54"/>
      <c r="S3870" s="82"/>
      <c r="T3870" s="83" t="str">
        <f t="shared" si="323"/>
        <v/>
      </c>
      <c r="U3870" s="10"/>
      <c r="V3870" s="41">
        <f>IF(AND(Q3870&lt;&gt;"",RIGHT(Q3870,3)&lt;&gt;""),IF(COUNTIF($Q$6:Q3870,Q3870)=1,1,0),0)</f>
        <v>0</v>
      </c>
      <c r="W3870" s="41" t="str">
        <f t="shared" si="324"/>
        <v/>
      </c>
      <c r="X3870" s="41" t="str">
        <f t="shared" si="325"/>
        <v/>
      </c>
    </row>
    <row r="3871" s="32" customFormat="1" hidden="1" customHeight="1" spans="1:24">
      <c r="A3871" s="34"/>
      <c r="B3871" s="51"/>
      <c r="C3871" s="51"/>
      <c r="D3871" s="52"/>
      <c r="E3871" s="53"/>
      <c r="F3871" s="54"/>
      <c r="G3871" s="54"/>
      <c r="H3871" s="54"/>
      <c r="I3871" s="66"/>
      <c r="J3871" s="54"/>
      <c r="K3871" s="54"/>
      <c r="L3871" s="54"/>
      <c r="M3871" s="97" t="str">
        <f t="shared" si="322"/>
        <v/>
      </c>
      <c r="N3871" s="70"/>
      <c r="O3871" s="71" t="str">
        <f t="shared" si="326"/>
        <v/>
      </c>
      <c r="P3871" s="66"/>
      <c r="Q3871" s="66"/>
      <c r="R3871" s="54"/>
      <c r="S3871" s="82"/>
      <c r="T3871" s="83" t="str">
        <f t="shared" si="323"/>
        <v/>
      </c>
      <c r="U3871" s="10"/>
      <c r="V3871" s="41">
        <f>IF(AND(Q3871&lt;&gt;"",RIGHT(Q3871,3)&lt;&gt;""),IF(COUNTIF($Q$6:Q3871,Q3871)=1,1,0),0)</f>
        <v>0</v>
      </c>
      <c r="W3871" s="41" t="str">
        <f t="shared" si="324"/>
        <v/>
      </c>
      <c r="X3871" s="41" t="str">
        <f t="shared" si="325"/>
        <v/>
      </c>
    </row>
    <row r="3872" s="32" customFormat="1" hidden="1" customHeight="1" spans="1:24">
      <c r="A3872" s="34"/>
      <c r="B3872" s="51"/>
      <c r="C3872" s="51"/>
      <c r="D3872" s="52"/>
      <c r="E3872" s="53"/>
      <c r="F3872" s="54"/>
      <c r="G3872" s="54"/>
      <c r="H3872" s="54"/>
      <c r="I3872" s="66"/>
      <c r="J3872" s="54"/>
      <c r="K3872" s="54"/>
      <c r="L3872" s="54"/>
      <c r="M3872" s="97" t="str">
        <f t="shared" si="322"/>
        <v/>
      </c>
      <c r="N3872" s="70"/>
      <c r="O3872" s="71" t="str">
        <f t="shared" si="326"/>
        <v/>
      </c>
      <c r="P3872" s="66"/>
      <c r="Q3872" s="66"/>
      <c r="R3872" s="54"/>
      <c r="S3872" s="82"/>
      <c r="T3872" s="83" t="str">
        <f t="shared" si="323"/>
        <v/>
      </c>
      <c r="U3872" s="10"/>
      <c r="V3872" s="41">
        <f>IF(AND(Q3872&lt;&gt;"",RIGHT(Q3872,3)&lt;&gt;""),IF(COUNTIF($Q$6:Q3872,Q3872)=1,1,0),0)</f>
        <v>0</v>
      </c>
      <c r="W3872" s="41" t="str">
        <f t="shared" si="324"/>
        <v/>
      </c>
      <c r="X3872" s="41" t="str">
        <f t="shared" si="325"/>
        <v/>
      </c>
    </row>
    <row r="3873" s="32" customFormat="1" hidden="1" customHeight="1" spans="1:24">
      <c r="A3873" s="34"/>
      <c r="B3873" s="51"/>
      <c r="C3873" s="51"/>
      <c r="D3873" s="52"/>
      <c r="E3873" s="53"/>
      <c r="F3873" s="54"/>
      <c r="G3873" s="54"/>
      <c r="H3873" s="54"/>
      <c r="I3873" s="66"/>
      <c r="J3873" s="54"/>
      <c r="K3873" s="54"/>
      <c r="L3873" s="54"/>
      <c r="M3873" s="97" t="str">
        <f t="shared" si="322"/>
        <v/>
      </c>
      <c r="N3873" s="70"/>
      <c r="O3873" s="71" t="str">
        <f t="shared" si="326"/>
        <v/>
      </c>
      <c r="P3873" s="66"/>
      <c r="Q3873" s="66"/>
      <c r="R3873" s="54"/>
      <c r="S3873" s="82"/>
      <c r="T3873" s="83" t="str">
        <f t="shared" si="323"/>
        <v/>
      </c>
      <c r="U3873" s="10"/>
      <c r="V3873" s="41">
        <f>IF(AND(Q3873&lt;&gt;"",RIGHT(Q3873,3)&lt;&gt;""),IF(COUNTIF($Q$6:Q3873,Q3873)=1,1,0),0)</f>
        <v>0</v>
      </c>
      <c r="W3873" s="41" t="str">
        <f t="shared" si="324"/>
        <v/>
      </c>
      <c r="X3873" s="41" t="str">
        <f t="shared" si="325"/>
        <v/>
      </c>
    </row>
    <row r="3874" s="32" customFormat="1" hidden="1" customHeight="1" spans="1:24">
      <c r="A3874" s="34"/>
      <c r="B3874" s="51"/>
      <c r="C3874" s="51"/>
      <c r="D3874" s="52"/>
      <c r="E3874" s="53"/>
      <c r="F3874" s="54"/>
      <c r="G3874" s="54"/>
      <c r="H3874" s="54"/>
      <c r="I3874" s="66"/>
      <c r="J3874" s="54"/>
      <c r="K3874" s="54"/>
      <c r="L3874" s="54"/>
      <c r="M3874" s="97" t="str">
        <f t="shared" si="322"/>
        <v/>
      </c>
      <c r="N3874" s="70"/>
      <c r="O3874" s="71" t="str">
        <f t="shared" si="326"/>
        <v/>
      </c>
      <c r="P3874" s="66"/>
      <c r="Q3874" s="66"/>
      <c r="R3874" s="54"/>
      <c r="S3874" s="82"/>
      <c r="T3874" s="83" t="str">
        <f t="shared" si="323"/>
        <v/>
      </c>
      <c r="U3874" s="10"/>
      <c r="V3874" s="41">
        <f>IF(AND(Q3874&lt;&gt;"",RIGHT(Q3874,3)&lt;&gt;""),IF(COUNTIF($Q$6:Q3874,Q3874)=1,1,0),0)</f>
        <v>0</v>
      </c>
      <c r="W3874" s="41" t="str">
        <f t="shared" si="324"/>
        <v/>
      </c>
      <c r="X3874" s="41" t="str">
        <f t="shared" si="325"/>
        <v/>
      </c>
    </row>
    <row r="3875" s="32" customFormat="1" hidden="1" customHeight="1" spans="1:24">
      <c r="A3875" s="34"/>
      <c r="B3875" s="51"/>
      <c r="C3875" s="51"/>
      <c r="D3875" s="52"/>
      <c r="E3875" s="53"/>
      <c r="F3875" s="54"/>
      <c r="G3875" s="54"/>
      <c r="H3875" s="54"/>
      <c r="I3875" s="66"/>
      <c r="J3875" s="54"/>
      <c r="K3875" s="54"/>
      <c r="L3875" s="54"/>
      <c r="M3875" s="97" t="str">
        <f t="shared" si="322"/>
        <v/>
      </c>
      <c r="N3875" s="70"/>
      <c r="O3875" s="71" t="str">
        <f t="shared" si="326"/>
        <v/>
      </c>
      <c r="P3875" s="66"/>
      <c r="Q3875" s="66"/>
      <c r="R3875" s="54"/>
      <c r="S3875" s="82"/>
      <c r="T3875" s="83" t="str">
        <f t="shared" si="323"/>
        <v/>
      </c>
      <c r="U3875" s="10"/>
      <c r="V3875" s="41">
        <f>IF(AND(Q3875&lt;&gt;"",RIGHT(Q3875,3)&lt;&gt;""),IF(COUNTIF($Q$6:Q3875,Q3875)=1,1,0),0)</f>
        <v>0</v>
      </c>
      <c r="W3875" s="41" t="str">
        <f t="shared" si="324"/>
        <v/>
      </c>
      <c r="X3875" s="41" t="str">
        <f t="shared" si="325"/>
        <v/>
      </c>
    </row>
    <row r="3876" s="32" customFormat="1" hidden="1" customHeight="1" spans="1:24">
      <c r="A3876" s="34"/>
      <c r="B3876" s="51"/>
      <c r="C3876" s="51"/>
      <c r="D3876" s="52"/>
      <c r="E3876" s="53"/>
      <c r="F3876" s="54"/>
      <c r="G3876" s="54"/>
      <c r="H3876" s="54"/>
      <c r="I3876" s="66"/>
      <c r="J3876" s="54"/>
      <c r="K3876" s="54"/>
      <c r="L3876" s="54"/>
      <c r="M3876" s="97" t="str">
        <f t="shared" ref="M3876:M3939" si="327">IF(L3876="","",HYPERLINK(_xlfn.CONCAT($L$4,L3876,".jpg"),"Open File"))</f>
        <v/>
      </c>
      <c r="N3876" s="70"/>
      <c r="O3876" s="71" t="str">
        <f t="shared" si="326"/>
        <v/>
      </c>
      <c r="P3876" s="66"/>
      <c r="Q3876" s="66"/>
      <c r="R3876" s="54"/>
      <c r="S3876" s="82"/>
      <c r="T3876" s="83" t="str">
        <f t="shared" ref="T3876:T3939" si="328">IF(S3876="","",HYPERLINK(_xlfn.CONCAT($S$4,S3876,".jpg"),"Open File"))</f>
        <v/>
      </c>
      <c r="U3876" s="10"/>
      <c r="V3876" s="41">
        <f>IF(AND(Q3876&lt;&gt;"",RIGHT(Q3876,3)&lt;&gt;""),IF(COUNTIF($Q$6:Q3876,Q3876)=1,1,0),0)</f>
        <v>0</v>
      </c>
      <c r="W3876" s="41" t="str">
        <f t="shared" ref="W3876:W3939" si="329">IF(AND(J3876&lt;&gt;"",K3876&lt;&gt;""),_xlfn.CONCAT(SUBSTITUTE(J3876,"/","."),"-",K3876),"")</f>
        <v/>
      </c>
      <c r="X3876" s="41" t="str">
        <f t="shared" ref="X3876:X3939" si="330">IF(AND(Q3876&lt;&gt;"",R3876&lt;&gt;""),_xlfn.CONCAT(SUBSTITUTE(Q3876,"/","."),"-",R3876),"")</f>
        <v/>
      </c>
    </row>
    <row r="3877" s="32" customFormat="1" hidden="1" customHeight="1" spans="1:24">
      <c r="A3877" s="34"/>
      <c r="B3877" s="51"/>
      <c r="C3877" s="51"/>
      <c r="D3877" s="52"/>
      <c r="E3877" s="53"/>
      <c r="F3877" s="54"/>
      <c r="G3877" s="54"/>
      <c r="H3877" s="54"/>
      <c r="I3877" s="66"/>
      <c r="J3877" s="54"/>
      <c r="K3877" s="54"/>
      <c r="L3877" s="54"/>
      <c r="M3877" s="97" t="str">
        <f t="shared" si="327"/>
        <v/>
      </c>
      <c r="N3877" s="70"/>
      <c r="O3877" s="71" t="str">
        <f t="shared" si="326"/>
        <v/>
      </c>
      <c r="P3877" s="66"/>
      <c r="Q3877" s="66"/>
      <c r="R3877" s="54"/>
      <c r="S3877" s="82"/>
      <c r="T3877" s="83" t="str">
        <f t="shared" si="328"/>
        <v/>
      </c>
      <c r="U3877" s="10"/>
      <c r="V3877" s="41">
        <f>IF(AND(Q3877&lt;&gt;"",RIGHT(Q3877,3)&lt;&gt;""),IF(COUNTIF($Q$6:Q3877,Q3877)=1,1,0),0)</f>
        <v>0</v>
      </c>
      <c r="W3877" s="41" t="str">
        <f t="shared" si="329"/>
        <v/>
      </c>
      <c r="X3877" s="41" t="str">
        <f t="shared" si="330"/>
        <v/>
      </c>
    </row>
    <row r="3878" s="32" customFormat="1" hidden="1" customHeight="1" spans="1:24">
      <c r="A3878" s="34"/>
      <c r="B3878" s="51"/>
      <c r="C3878" s="51"/>
      <c r="D3878" s="52"/>
      <c r="E3878" s="53"/>
      <c r="F3878" s="54"/>
      <c r="G3878" s="54"/>
      <c r="H3878" s="54"/>
      <c r="I3878" s="66"/>
      <c r="J3878" s="54"/>
      <c r="K3878" s="54"/>
      <c r="L3878" s="54"/>
      <c r="M3878" s="97" t="str">
        <f t="shared" si="327"/>
        <v/>
      </c>
      <c r="N3878" s="70"/>
      <c r="O3878" s="71" t="str">
        <f t="shared" si="326"/>
        <v/>
      </c>
      <c r="P3878" s="66"/>
      <c r="Q3878" s="66"/>
      <c r="R3878" s="54"/>
      <c r="S3878" s="82"/>
      <c r="T3878" s="83" t="str">
        <f t="shared" si="328"/>
        <v/>
      </c>
      <c r="U3878" s="10"/>
      <c r="V3878" s="41">
        <f>IF(AND(Q3878&lt;&gt;"",RIGHT(Q3878,3)&lt;&gt;""),IF(COUNTIF($Q$6:Q3878,Q3878)=1,1,0),0)</f>
        <v>0</v>
      </c>
      <c r="W3878" s="41" t="str">
        <f t="shared" si="329"/>
        <v/>
      </c>
      <c r="X3878" s="41" t="str">
        <f t="shared" si="330"/>
        <v/>
      </c>
    </row>
    <row r="3879" s="32" customFormat="1" hidden="1" customHeight="1" spans="1:24">
      <c r="A3879" s="34"/>
      <c r="B3879" s="51"/>
      <c r="C3879" s="51"/>
      <c r="D3879" s="52"/>
      <c r="E3879" s="53"/>
      <c r="F3879" s="54"/>
      <c r="G3879" s="54"/>
      <c r="H3879" s="54"/>
      <c r="I3879" s="66"/>
      <c r="J3879" s="54"/>
      <c r="K3879" s="54"/>
      <c r="L3879" s="54"/>
      <c r="M3879" s="97" t="str">
        <f t="shared" si="327"/>
        <v/>
      </c>
      <c r="N3879" s="70"/>
      <c r="O3879" s="71" t="str">
        <f t="shared" si="326"/>
        <v/>
      </c>
      <c r="P3879" s="66"/>
      <c r="Q3879" s="66"/>
      <c r="R3879" s="54"/>
      <c r="S3879" s="82"/>
      <c r="T3879" s="83" t="str">
        <f t="shared" si="328"/>
        <v/>
      </c>
      <c r="U3879" s="10"/>
      <c r="V3879" s="41">
        <f>IF(AND(Q3879&lt;&gt;"",RIGHT(Q3879,3)&lt;&gt;""),IF(COUNTIF($Q$6:Q3879,Q3879)=1,1,0),0)</f>
        <v>0</v>
      </c>
      <c r="W3879" s="41" t="str">
        <f t="shared" si="329"/>
        <v/>
      </c>
      <c r="X3879" s="41" t="str">
        <f t="shared" si="330"/>
        <v/>
      </c>
    </row>
    <row r="3880" s="32" customFormat="1" hidden="1" customHeight="1" spans="1:24">
      <c r="A3880" s="34"/>
      <c r="B3880" s="51"/>
      <c r="C3880" s="51"/>
      <c r="D3880" s="52"/>
      <c r="E3880" s="53"/>
      <c r="F3880" s="54"/>
      <c r="G3880" s="54"/>
      <c r="H3880" s="54"/>
      <c r="I3880" s="66"/>
      <c r="J3880" s="54"/>
      <c r="K3880" s="54"/>
      <c r="L3880" s="54"/>
      <c r="M3880" s="97" t="str">
        <f t="shared" si="327"/>
        <v/>
      </c>
      <c r="N3880" s="70"/>
      <c r="O3880" s="71" t="str">
        <f t="shared" si="326"/>
        <v/>
      </c>
      <c r="P3880" s="66"/>
      <c r="Q3880" s="66"/>
      <c r="R3880" s="54"/>
      <c r="S3880" s="82"/>
      <c r="T3880" s="83" t="str">
        <f t="shared" si="328"/>
        <v/>
      </c>
      <c r="U3880" s="10"/>
      <c r="V3880" s="41">
        <f>IF(AND(Q3880&lt;&gt;"",RIGHT(Q3880,3)&lt;&gt;""),IF(COUNTIF($Q$6:Q3880,Q3880)=1,1,0),0)</f>
        <v>0</v>
      </c>
      <c r="W3880" s="41" t="str">
        <f t="shared" si="329"/>
        <v/>
      </c>
      <c r="X3880" s="41" t="str">
        <f t="shared" si="330"/>
        <v/>
      </c>
    </row>
    <row r="3881" s="32" customFormat="1" hidden="1" customHeight="1" spans="1:24">
      <c r="A3881" s="34"/>
      <c r="B3881" s="51"/>
      <c r="C3881" s="51"/>
      <c r="D3881" s="52"/>
      <c r="E3881" s="53"/>
      <c r="F3881" s="54"/>
      <c r="G3881" s="54"/>
      <c r="H3881" s="54"/>
      <c r="I3881" s="66"/>
      <c r="J3881" s="54"/>
      <c r="K3881" s="54"/>
      <c r="L3881" s="54"/>
      <c r="M3881" s="97" t="str">
        <f t="shared" si="327"/>
        <v/>
      </c>
      <c r="N3881" s="70"/>
      <c r="O3881" s="71" t="str">
        <f t="shared" si="326"/>
        <v/>
      </c>
      <c r="P3881" s="66"/>
      <c r="Q3881" s="66"/>
      <c r="R3881" s="54"/>
      <c r="S3881" s="82"/>
      <c r="T3881" s="83" t="str">
        <f t="shared" si="328"/>
        <v/>
      </c>
      <c r="U3881" s="10"/>
      <c r="V3881" s="41">
        <f>IF(AND(Q3881&lt;&gt;"",RIGHT(Q3881,3)&lt;&gt;""),IF(COUNTIF($Q$6:Q3881,Q3881)=1,1,0),0)</f>
        <v>0</v>
      </c>
      <c r="W3881" s="41" t="str">
        <f t="shared" si="329"/>
        <v/>
      </c>
      <c r="X3881" s="41" t="str">
        <f t="shared" si="330"/>
        <v/>
      </c>
    </row>
    <row r="3882" s="32" customFormat="1" hidden="1" customHeight="1" spans="1:24">
      <c r="A3882" s="34"/>
      <c r="B3882" s="51"/>
      <c r="C3882" s="51"/>
      <c r="D3882" s="52"/>
      <c r="E3882" s="53"/>
      <c r="F3882" s="54"/>
      <c r="G3882" s="54"/>
      <c r="H3882" s="54"/>
      <c r="I3882" s="66"/>
      <c r="J3882" s="54"/>
      <c r="K3882" s="54"/>
      <c r="L3882" s="54"/>
      <c r="M3882" s="97" t="str">
        <f t="shared" si="327"/>
        <v/>
      </c>
      <c r="N3882" s="70"/>
      <c r="O3882" s="71" t="str">
        <f t="shared" si="326"/>
        <v/>
      </c>
      <c r="P3882" s="66"/>
      <c r="Q3882" s="66"/>
      <c r="R3882" s="54"/>
      <c r="S3882" s="82"/>
      <c r="T3882" s="83" t="str">
        <f t="shared" si="328"/>
        <v/>
      </c>
      <c r="U3882" s="10"/>
      <c r="V3882" s="41">
        <f>IF(AND(Q3882&lt;&gt;"",RIGHT(Q3882,3)&lt;&gt;""),IF(COUNTIF($Q$6:Q3882,Q3882)=1,1,0),0)</f>
        <v>0</v>
      </c>
      <c r="W3882" s="41" t="str">
        <f t="shared" si="329"/>
        <v/>
      </c>
      <c r="X3882" s="41" t="str">
        <f t="shared" si="330"/>
        <v/>
      </c>
    </row>
    <row r="3883" s="32" customFormat="1" hidden="1" customHeight="1" spans="1:24">
      <c r="A3883" s="34"/>
      <c r="B3883" s="51"/>
      <c r="C3883" s="51"/>
      <c r="D3883" s="52"/>
      <c r="E3883" s="53"/>
      <c r="F3883" s="54"/>
      <c r="G3883" s="54"/>
      <c r="H3883" s="54"/>
      <c r="I3883" s="66"/>
      <c r="J3883" s="54"/>
      <c r="K3883" s="54"/>
      <c r="L3883" s="54"/>
      <c r="M3883" s="97" t="str">
        <f t="shared" si="327"/>
        <v/>
      </c>
      <c r="N3883" s="70"/>
      <c r="O3883" s="71" t="str">
        <f t="shared" si="326"/>
        <v/>
      </c>
      <c r="P3883" s="66"/>
      <c r="Q3883" s="66"/>
      <c r="R3883" s="54"/>
      <c r="S3883" s="82"/>
      <c r="T3883" s="83" t="str">
        <f t="shared" si="328"/>
        <v/>
      </c>
      <c r="U3883" s="10"/>
      <c r="V3883" s="41">
        <f>IF(AND(Q3883&lt;&gt;"",RIGHT(Q3883,3)&lt;&gt;""),IF(COUNTIF($Q$6:Q3883,Q3883)=1,1,0),0)</f>
        <v>0</v>
      </c>
      <c r="W3883" s="41" t="str">
        <f t="shared" si="329"/>
        <v/>
      </c>
      <c r="X3883" s="41" t="str">
        <f t="shared" si="330"/>
        <v/>
      </c>
    </row>
    <row r="3884" s="32" customFormat="1" hidden="1" customHeight="1" spans="1:24">
      <c r="A3884" s="34"/>
      <c r="B3884" s="51"/>
      <c r="C3884" s="51"/>
      <c r="D3884" s="52"/>
      <c r="E3884" s="53"/>
      <c r="F3884" s="54"/>
      <c r="G3884" s="54"/>
      <c r="H3884" s="54"/>
      <c r="I3884" s="66"/>
      <c r="J3884" s="54"/>
      <c r="K3884" s="54"/>
      <c r="L3884" s="54"/>
      <c r="M3884" s="97" t="str">
        <f t="shared" si="327"/>
        <v/>
      </c>
      <c r="N3884" s="70"/>
      <c r="O3884" s="71" t="str">
        <f t="shared" si="326"/>
        <v/>
      </c>
      <c r="P3884" s="66"/>
      <c r="Q3884" s="66"/>
      <c r="R3884" s="54"/>
      <c r="S3884" s="82"/>
      <c r="T3884" s="83" t="str">
        <f t="shared" si="328"/>
        <v/>
      </c>
      <c r="U3884" s="10"/>
      <c r="V3884" s="41">
        <f>IF(AND(Q3884&lt;&gt;"",RIGHT(Q3884,3)&lt;&gt;""),IF(COUNTIF($Q$6:Q3884,Q3884)=1,1,0),0)</f>
        <v>0</v>
      </c>
      <c r="W3884" s="41" t="str">
        <f t="shared" si="329"/>
        <v/>
      </c>
      <c r="X3884" s="41" t="str">
        <f t="shared" si="330"/>
        <v/>
      </c>
    </row>
    <row r="3885" s="32" customFormat="1" hidden="1" customHeight="1" spans="1:24">
      <c r="A3885" s="34"/>
      <c r="B3885" s="51"/>
      <c r="C3885" s="51"/>
      <c r="D3885" s="52"/>
      <c r="E3885" s="53"/>
      <c r="F3885" s="54"/>
      <c r="G3885" s="54"/>
      <c r="H3885" s="54"/>
      <c r="I3885" s="66"/>
      <c r="J3885" s="54"/>
      <c r="K3885" s="54"/>
      <c r="L3885" s="54"/>
      <c r="M3885" s="97" t="str">
        <f t="shared" si="327"/>
        <v/>
      </c>
      <c r="N3885" s="70"/>
      <c r="O3885" s="71" t="str">
        <f t="shared" si="326"/>
        <v/>
      </c>
      <c r="P3885" s="66"/>
      <c r="Q3885" s="66"/>
      <c r="R3885" s="54"/>
      <c r="S3885" s="82"/>
      <c r="T3885" s="83" t="str">
        <f t="shared" si="328"/>
        <v/>
      </c>
      <c r="U3885" s="10"/>
      <c r="V3885" s="41">
        <f>IF(AND(Q3885&lt;&gt;"",RIGHT(Q3885,3)&lt;&gt;""),IF(COUNTIF($Q$6:Q3885,Q3885)=1,1,0),0)</f>
        <v>0</v>
      </c>
      <c r="W3885" s="41" t="str">
        <f t="shared" si="329"/>
        <v/>
      </c>
      <c r="X3885" s="41" t="str">
        <f t="shared" si="330"/>
        <v/>
      </c>
    </row>
    <row r="3886" s="32" customFormat="1" hidden="1" customHeight="1" spans="1:24">
      <c r="A3886" s="34"/>
      <c r="B3886" s="51"/>
      <c r="C3886" s="51"/>
      <c r="D3886" s="52"/>
      <c r="E3886" s="53"/>
      <c r="F3886" s="54"/>
      <c r="G3886" s="54"/>
      <c r="H3886" s="54"/>
      <c r="I3886" s="66"/>
      <c r="J3886" s="54"/>
      <c r="K3886" s="54"/>
      <c r="L3886" s="54"/>
      <c r="M3886" s="97" t="str">
        <f t="shared" si="327"/>
        <v/>
      </c>
      <c r="N3886" s="70"/>
      <c r="O3886" s="71" t="str">
        <f t="shared" si="326"/>
        <v/>
      </c>
      <c r="P3886" s="66"/>
      <c r="Q3886" s="66"/>
      <c r="R3886" s="54"/>
      <c r="S3886" s="82"/>
      <c r="T3886" s="83" t="str">
        <f t="shared" si="328"/>
        <v/>
      </c>
      <c r="U3886" s="10"/>
      <c r="V3886" s="41">
        <f>IF(AND(Q3886&lt;&gt;"",RIGHT(Q3886,3)&lt;&gt;""),IF(COUNTIF($Q$6:Q3886,Q3886)=1,1,0),0)</f>
        <v>0</v>
      </c>
      <c r="W3886" s="41" t="str">
        <f t="shared" si="329"/>
        <v/>
      </c>
      <c r="X3886" s="41" t="str">
        <f t="shared" si="330"/>
        <v/>
      </c>
    </row>
    <row r="3887" s="32" customFormat="1" hidden="1" customHeight="1" spans="1:24">
      <c r="A3887" s="34"/>
      <c r="B3887" s="51"/>
      <c r="C3887" s="51"/>
      <c r="D3887" s="52"/>
      <c r="E3887" s="53"/>
      <c r="F3887" s="54"/>
      <c r="G3887" s="54"/>
      <c r="H3887" s="54"/>
      <c r="I3887" s="66"/>
      <c r="J3887" s="54"/>
      <c r="K3887" s="54"/>
      <c r="L3887" s="54"/>
      <c r="M3887" s="97" t="str">
        <f t="shared" si="327"/>
        <v/>
      </c>
      <c r="N3887" s="70"/>
      <c r="O3887" s="71" t="str">
        <f t="shared" si="326"/>
        <v/>
      </c>
      <c r="P3887" s="66"/>
      <c r="Q3887" s="66"/>
      <c r="R3887" s="54"/>
      <c r="S3887" s="82"/>
      <c r="T3887" s="83" t="str">
        <f t="shared" si="328"/>
        <v/>
      </c>
      <c r="U3887" s="10"/>
      <c r="V3887" s="41">
        <f>IF(AND(Q3887&lt;&gt;"",RIGHT(Q3887,3)&lt;&gt;""),IF(COUNTIF($Q$6:Q3887,Q3887)=1,1,0),0)</f>
        <v>0</v>
      </c>
      <c r="W3887" s="41" t="str">
        <f t="shared" si="329"/>
        <v/>
      </c>
      <c r="X3887" s="41" t="str">
        <f t="shared" si="330"/>
        <v/>
      </c>
    </row>
    <row r="3888" s="32" customFormat="1" hidden="1" customHeight="1" spans="1:24">
      <c r="A3888" s="34"/>
      <c r="B3888" s="51"/>
      <c r="C3888" s="51"/>
      <c r="D3888" s="52"/>
      <c r="E3888" s="53"/>
      <c r="F3888" s="54"/>
      <c r="G3888" s="54"/>
      <c r="H3888" s="54"/>
      <c r="I3888" s="66"/>
      <c r="J3888" s="54"/>
      <c r="K3888" s="54"/>
      <c r="L3888" s="54"/>
      <c r="M3888" s="97" t="str">
        <f t="shared" si="327"/>
        <v/>
      </c>
      <c r="N3888" s="70"/>
      <c r="O3888" s="71" t="str">
        <f t="shared" si="326"/>
        <v/>
      </c>
      <c r="P3888" s="66"/>
      <c r="Q3888" s="66"/>
      <c r="R3888" s="54"/>
      <c r="S3888" s="82"/>
      <c r="T3888" s="83" t="str">
        <f t="shared" si="328"/>
        <v/>
      </c>
      <c r="U3888" s="10"/>
      <c r="V3888" s="41">
        <f>IF(AND(Q3888&lt;&gt;"",RIGHT(Q3888,3)&lt;&gt;""),IF(COUNTIF($Q$6:Q3888,Q3888)=1,1,0),0)</f>
        <v>0</v>
      </c>
      <c r="W3888" s="41" t="str">
        <f t="shared" si="329"/>
        <v/>
      </c>
      <c r="X3888" s="41" t="str">
        <f t="shared" si="330"/>
        <v/>
      </c>
    </row>
    <row r="3889" s="32" customFormat="1" hidden="1" customHeight="1" spans="1:24">
      <c r="A3889" s="34"/>
      <c r="B3889" s="51"/>
      <c r="C3889" s="51"/>
      <c r="D3889" s="52"/>
      <c r="E3889" s="53"/>
      <c r="F3889" s="54"/>
      <c r="G3889" s="54"/>
      <c r="H3889" s="54"/>
      <c r="I3889" s="66"/>
      <c r="J3889" s="54"/>
      <c r="K3889" s="54"/>
      <c r="L3889" s="54"/>
      <c r="M3889" s="97" t="str">
        <f t="shared" si="327"/>
        <v/>
      </c>
      <c r="N3889" s="70"/>
      <c r="O3889" s="71" t="str">
        <f t="shared" ref="O3889:O3952" si="331">IF(AND(Q3889&lt;&gt;"",T3889&lt;&gt;""),"PASSIVE",IF(AND(J3889&lt;&gt;"",M3889&lt;&gt;""),"ACTIVE",""))</f>
        <v/>
      </c>
      <c r="P3889" s="66"/>
      <c r="Q3889" s="66"/>
      <c r="R3889" s="54"/>
      <c r="S3889" s="82"/>
      <c r="T3889" s="83" t="str">
        <f t="shared" si="328"/>
        <v/>
      </c>
      <c r="U3889" s="10"/>
      <c r="V3889" s="41">
        <f>IF(AND(Q3889&lt;&gt;"",RIGHT(Q3889,3)&lt;&gt;""),IF(COUNTIF($Q$6:Q3889,Q3889)=1,1,0),0)</f>
        <v>0</v>
      </c>
      <c r="W3889" s="41" t="str">
        <f t="shared" si="329"/>
        <v/>
      </c>
      <c r="X3889" s="41" t="str">
        <f t="shared" si="330"/>
        <v/>
      </c>
    </row>
    <row r="3890" s="32" customFormat="1" hidden="1" customHeight="1" spans="1:24">
      <c r="A3890" s="34"/>
      <c r="B3890" s="51"/>
      <c r="C3890" s="51"/>
      <c r="D3890" s="52"/>
      <c r="E3890" s="53"/>
      <c r="F3890" s="54"/>
      <c r="G3890" s="54"/>
      <c r="H3890" s="54"/>
      <c r="I3890" s="66"/>
      <c r="J3890" s="54"/>
      <c r="K3890" s="54"/>
      <c r="L3890" s="54"/>
      <c r="M3890" s="97" t="str">
        <f t="shared" si="327"/>
        <v/>
      </c>
      <c r="N3890" s="70"/>
      <c r="O3890" s="71" t="str">
        <f t="shared" si="331"/>
        <v/>
      </c>
      <c r="P3890" s="66"/>
      <c r="Q3890" s="66"/>
      <c r="R3890" s="54"/>
      <c r="S3890" s="82"/>
      <c r="T3890" s="83" t="str">
        <f t="shared" si="328"/>
        <v/>
      </c>
      <c r="U3890" s="10"/>
      <c r="V3890" s="41">
        <f>IF(AND(Q3890&lt;&gt;"",RIGHT(Q3890,3)&lt;&gt;""),IF(COUNTIF($Q$6:Q3890,Q3890)=1,1,0),0)</f>
        <v>0</v>
      </c>
      <c r="W3890" s="41" t="str">
        <f t="shared" si="329"/>
        <v/>
      </c>
      <c r="X3890" s="41" t="str">
        <f t="shared" si="330"/>
        <v/>
      </c>
    </row>
    <row r="3891" s="32" customFormat="1" hidden="1" customHeight="1" spans="1:24">
      <c r="A3891" s="34"/>
      <c r="B3891" s="51"/>
      <c r="C3891" s="51"/>
      <c r="D3891" s="52"/>
      <c r="E3891" s="53"/>
      <c r="F3891" s="54"/>
      <c r="G3891" s="54"/>
      <c r="H3891" s="54"/>
      <c r="I3891" s="66"/>
      <c r="J3891" s="54"/>
      <c r="K3891" s="54"/>
      <c r="L3891" s="54"/>
      <c r="M3891" s="97" t="str">
        <f t="shared" si="327"/>
        <v/>
      </c>
      <c r="N3891" s="70"/>
      <c r="O3891" s="71" t="str">
        <f t="shared" si="331"/>
        <v/>
      </c>
      <c r="P3891" s="66"/>
      <c r="Q3891" s="66"/>
      <c r="R3891" s="54"/>
      <c r="S3891" s="82"/>
      <c r="T3891" s="83" t="str">
        <f t="shared" si="328"/>
        <v/>
      </c>
      <c r="U3891" s="10"/>
      <c r="V3891" s="41">
        <f>IF(AND(Q3891&lt;&gt;"",RIGHT(Q3891,3)&lt;&gt;""),IF(COUNTIF($Q$6:Q3891,Q3891)=1,1,0),0)</f>
        <v>0</v>
      </c>
      <c r="W3891" s="41" t="str">
        <f t="shared" si="329"/>
        <v/>
      </c>
      <c r="X3891" s="41" t="str">
        <f t="shared" si="330"/>
        <v/>
      </c>
    </row>
    <row r="3892" s="32" customFormat="1" hidden="1" customHeight="1" spans="1:24">
      <c r="A3892" s="34"/>
      <c r="B3892" s="51"/>
      <c r="C3892" s="51"/>
      <c r="D3892" s="52"/>
      <c r="E3892" s="53"/>
      <c r="F3892" s="54"/>
      <c r="G3892" s="54"/>
      <c r="H3892" s="54"/>
      <c r="I3892" s="66"/>
      <c r="J3892" s="54"/>
      <c r="K3892" s="54"/>
      <c r="L3892" s="54"/>
      <c r="M3892" s="97" t="str">
        <f t="shared" si="327"/>
        <v/>
      </c>
      <c r="N3892" s="70"/>
      <c r="O3892" s="71" t="str">
        <f t="shared" si="331"/>
        <v/>
      </c>
      <c r="P3892" s="66"/>
      <c r="Q3892" s="66"/>
      <c r="R3892" s="54"/>
      <c r="S3892" s="82"/>
      <c r="T3892" s="83" t="str">
        <f t="shared" si="328"/>
        <v/>
      </c>
      <c r="U3892" s="10"/>
      <c r="V3892" s="41">
        <f>IF(AND(Q3892&lt;&gt;"",RIGHT(Q3892,3)&lt;&gt;""),IF(COUNTIF($Q$6:Q3892,Q3892)=1,1,0),0)</f>
        <v>0</v>
      </c>
      <c r="W3892" s="41" t="str">
        <f t="shared" si="329"/>
        <v/>
      </c>
      <c r="X3892" s="41" t="str">
        <f t="shared" si="330"/>
        <v/>
      </c>
    </row>
    <row r="3893" s="32" customFormat="1" hidden="1" customHeight="1" spans="1:24">
      <c r="A3893" s="34"/>
      <c r="B3893" s="51"/>
      <c r="C3893" s="51"/>
      <c r="D3893" s="52"/>
      <c r="E3893" s="53"/>
      <c r="F3893" s="54"/>
      <c r="G3893" s="54"/>
      <c r="H3893" s="54"/>
      <c r="I3893" s="66"/>
      <c r="J3893" s="54"/>
      <c r="K3893" s="54"/>
      <c r="L3893" s="54"/>
      <c r="M3893" s="97" t="str">
        <f t="shared" si="327"/>
        <v/>
      </c>
      <c r="N3893" s="70"/>
      <c r="O3893" s="71" t="str">
        <f t="shared" si="331"/>
        <v/>
      </c>
      <c r="P3893" s="66"/>
      <c r="Q3893" s="66"/>
      <c r="R3893" s="54"/>
      <c r="S3893" s="82"/>
      <c r="T3893" s="83" t="str">
        <f t="shared" si="328"/>
        <v/>
      </c>
      <c r="U3893" s="10"/>
      <c r="V3893" s="41">
        <f>IF(AND(Q3893&lt;&gt;"",RIGHT(Q3893,3)&lt;&gt;""),IF(COUNTIF($Q$6:Q3893,Q3893)=1,1,0),0)</f>
        <v>0</v>
      </c>
      <c r="W3893" s="41" t="str">
        <f t="shared" si="329"/>
        <v/>
      </c>
      <c r="X3893" s="41" t="str">
        <f t="shared" si="330"/>
        <v/>
      </c>
    </row>
    <row r="3894" s="32" customFormat="1" hidden="1" customHeight="1" spans="1:24">
      <c r="A3894" s="34"/>
      <c r="B3894" s="51"/>
      <c r="C3894" s="51"/>
      <c r="D3894" s="52"/>
      <c r="E3894" s="53"/>
      <c r="F3894" s="54"/>
      <c r="G3894" s="54"/>
      <c r="H3894" s="54"/>
      <c r="I3894" s="66"/>
      <c r="J3894" s="54"/>
      <c r="K3894" s="54"/>
      <c r="L3894" s="54"/>
      <c r="M3894" s="97" t="str">
        <f t="shared" si="327"/>
        <v/>
      </c>
      <c r="N3894" s="70"/>
      <c r="O3894" s="71" t="str">
        <f t="shared" si="331"/>
        <v/>
      </c>
      <c r="P3894" s="66"/>
      <c r="Q3894" s="66"/>
      <c r="R3894" s="54"/>
      <c r="S3894" s="82"/>
      <c r="T3894" s="83" t="str">
        <f t="shared" si="328"/>
        <v/>
      </c>
      <c r="U3894" s="10"/>
      <c r="V3894" s="41">
        <f>IF(AND(Q3894&lt;&gt;"",RIGHT(Q3894,3)&lt;&gt;""),IF(COUNTIF($Q$6:Q3894,Q3894)=1,1,0),0)</f>
        <v>0</v>
      </c>
      <c r="W3894" s="41" t="str">
        <f t="shared" si="329"/>
        <v/>
      </c>
      <c r="X3894" s="41" t="str">
        <f t="shared" si="330"/>
        <v/>
      </c>
    </row>
    <row r="3895" s="32" customFormat="1" hidden="1" customHeight="1" spans="1:24">
      <c r="A3895" s="34"/>
      <c r="B3895" s="51"/>
      <c r="C3895" s="51"/>
      <c r="D3895" s="52"/>
      <c r="E3895" s="53"/>
      <c r="F3895" s="54"/>
      <c r="G3895" s="54"/>
      <c r="H3895" s="54"/>
      <c r="I3895" s="66"/>
      <c r="J3895" s="54"/>
      <c r="K3895" s="54"/>
      <c r="L3895" s="54"/>
      <c r="M3895" s="97" t="str">
        <f t="shared" si="327"/>
        <v/>
      </c>
      <c r="N3895" s="70"/>
      <c r="O3895" s="71" t="str">
        <f t="shared" si="331"/>
        <v/>
      </c>
      <c r="P3895" s="66"/>
      <c r="Q3895" s="66"/>
      <c r="R3895" s="54"/>
      <c r="S3895" s="82"/>
      <c r="T3895" s="83" t="str">
        <f t="shared" si="328"/>
        <v/>
      </c>
      <c r="U3895" s="10"/>
      <c r="V3895" s="41">
        <f>IF(AND(Q3895&lt;&gt;"",RIGHT(Q3895,3)&lt;&gt;""),IF(COUNTIF($Q$6:Q3895,Q3895)=1,1,0),0)</f>
        <v>0</v>
      </c>
      <c r="W3895" s="41" t="str">
        <f t="shared" si="329"/>
        <v/>
      </c>
      <c r="X3895" s="41" t="str">
        <f t="shared" si="330"/>
        <v/>
      </c>
    </row>
    <row r="3896" s="32" customFormat="1" hidden="1" customHeight="1" spans="1:24">
      <c r="A3896" s="34"/>
      <c r="B3896" s="51"/>
      <c r="C3896" s="51"/>
      <c r="D3896" s="52"/>
      <c r="E3896" s="53"/>
      <c r="F3896" s="54"/>
      <c r="G3896" s="54"/>
      <c r="H3896" s="54"/>
      <c r="I3896" s="66"/>
      <c r="J3896" s="54"/>
      <c r="K3896" s="54"/>
      <c r="L3896" s="54"/>
      <c r="M3896" s="97" t="str">
        <f t="shared" si="327"/>
        <v/>
      </c>
      <c r="N3896" s="70"/>
      <c r="O3896" s="71" t="str">
        <f t="shared" si="331"/>
        <v/>
      </c>
      <c r="P3896" s="66"/>
      <c r="Q3896" s="66"/>
      <c r="R3896" s="54"/>
      <c r="S3896" s="82"/>
      <c r="T3896" s="83" t="str">
        <f t="shared" si="328"/>
        <v/>
      </c>
      <c r="U3896" s="10"/>
      <c r="V3896" s="41">
        <f>IF(AND(Q3896&lt;&gt;"",RIGHT(Q3896,3)&lt;&gt;""),IF(COUNTIF($Q$6:Q3896,Q3896)=1,1,0),0)</f>
        <v>0</v>
      </c>
      <c r="W3896" s="41" t="str">
        <f t="shared" si="329"/>
        <v/>
      </c>
      <c r="X3896" s="41" t="str">
        <f t="shared" si="330"/>
        <v/>
      </c>
    </row>
    <row r="3897" s="32" customFormat="1" hidden="1" customHeight="1" spans="1:24">
      <c r="A3897" s="34"/>
      <c r="B3897" s="51"/>
      <c r="C3897" s="51"/>
      <c r="D3897" s="52"/>
      <c r="E3897" s="53"/>
      <c r="F3897" s="54"/>
      <c r="G3897" s="54"/>
      <c r="H3897" s="54"/>
      <c r="I3897" s="66"/>
      <c r="J3897" s="54"/>
      <c r="K3897" s="54"/>
      <c r="L3897" s="54"/>
      <c r="M3897" s="97" t="str">
        <f t="shared" si="327"/>
        <v/>
      </c>
      <c r="N3897" s="70"/>
      <c r="O3897" s="71" t="str">
        <f t="shared" si="331"/>
        <v/>
      </c>
      <c r="P3897" s="66"/>
      <c r="Q3897" s="66"/>
      <c r="R3897" s="54"/>
      <c r="S3897" s="82"/>
      <c r="T3897" s="83" t="str">
        <f t="shared" si="328"/>
        <v/>
      </c>
      <c r="U3897" s="10"/>
      <c r="V3897" s="41">
        <f>IF(AND(Q3897&lt;&gt;"",RIGHT(Q3897,3)&lt;&gt;""),IF(COUNTIF($Q$6:Q3897,Q3897)=1,1,0),0)</f>
        <v>0</v>
      </c>
      <c r="W3897" s="41" t="str">
        <f t="shared" si="329"/>
        <v/>
      </c>
      <c r="X3897" s="41" t="str">
        <f t="shared" si="330"/>
        <v/>
      </c>
    </row>
    <row r="3898" s="32" customFormat="1" hidden="1" customHeight="1" spans="1:24">
      <c r="A3898" s="34"/>
      <c r="B3898" s="51"/>
      <c r="C3898" s="51"/>
      <c r="D3898" s="52"/>
      <c r="E3898" s="53"/>
      <c r="F3898" s="54"/>
      <c r="G3898" s="54"/>
      <c r="H3898" s="54"/>
      <c r="I3898" s="66"/>
      <c r="J3898" s="54"/>
      <c r="K3898" s="54"/>
      <c r="L3898" s="54"/>
      <c r="M3898" s="97" t="str">
        <f t="shared" si="327"/>
        <v/>
      </c>
      <c r="N3898" s="70"/>
      <c r="O3898" s="71" t="str">
        <f t="shared" si="331"/>
        <v/>
      </c>
      <c r="P3898" s="66"/>
      <c r="Q3898" s="66"/>
      <c r="R3898" s="54"/>
      <c r="S3898" s="82"/>
      <c r="T3898" s="83" t="str">
        <f t="shared" si="328"/>
        <v/>
      </c>
      <c r="U3898" s="10"/>
      <c r="V3898" s="41">
        <f>IF(AND(Q3898&lt;&gt;"",RIGHT(Q3898,3)&lt;&gt;""),IF(COUNTIF($Q$6:Q3898,Q3898)=1,1,0),0)</f>
        <v>0</v>
      </c>
      <c r="W3898" s="41" t="str">
        <f t="shared" si="329"/>
        <v/>
      </c>
      <c r="X3898" s="41" t="str">
        <f t="shared" si="330"/>
        <v/>
      </c>
    </row>
    <row r="3899" s="32" customFormat="1" hidden="1" customHeight="1" spans="1:24">
      <c r="A3899" s="34"/>
      <c r="B3899" s="51"/>
      <c r="C3899" s="51"/>
      <c r="D3899" s="52"/>
      <c r="E3899" s="53"/>
      <c r="F3899" s="54"/>
      <c r="G3899" s="54"/>
      <c r="H3899" s="54"/>
      <c r="I3899" s="66"/>
      <c r="J3899" s="54"/>
      <c r="K3899" s="54"/>
      <c r="L3899" s="54"/>
      <c r="M3899" s="97" t="str">
        <f t="shared" si="327"/>
        <v/>
      </c>
      <c r="N3899" s="70"/>
      <c r="O3899" s="71" t="str">
        <f t="shared" si="331"/>
        <v/>
      </c>
      <c r="P3899" s="66"/>
      <c r="Q3899" s="66"/>
      <c r="R3899" s="54"/>
      <c r="S3899" s="82"/>
      <c r="T3899" s="83" t="str">
        <f t="shared" si="328"/>
        <v/>
      </c>
      <c r="U3899" s="10"/>
      <c r="V3899" s="41">
        <f>IF(AND(Q3899&lt;&gt;"",RIGHT(Q3899,3)&lt;&gt;""),IF(COUNTIF($Q$6:Q3899,Q3899)=1,1,0),0)</f>
        <v>0</v>
      </c>
      <c r="W3899" s="41" t="str">
        <f t="shared" si="329"/>
        <v/>
      </c>
      <c r="X3899" s="41" t="str">
        <f t="shared" si="330"/>
        <v/>
      </c>
    </row>
    <row r="3900" s="32" customFormat="1" hidden="1" customHeight="1" spans="1:24">
      <c r="A3900" s="34"/>
      <c r="B3900" s="51"/>
      <c r="C3900" s="51"/>
      <c r="D3900" s="52"/>
      <c r="E3900" s="53"/>
      <c r="F3900" s="54"/>
      <c r="G3900" s="54"/>
      <c r="H3900" s="54"/>
      <c r="I3900" s="66"/>
      <c r="J3900" s="54"/>
      <c r="K3900" s="54"/>
      <c r="L3900" s="54"/>
      <c r="M3900" s="97" t="str">
        <f t="shared" si="327"/>
        <v/>
      </c>
      <c r="N3900" s="70"/>
      <c r="O3900" s="71" t="str">
        <f t="shared" si="331"/>
        <v/>
      </c>
      <c r="P3900" s="66"/>
      <c r="Q3900" s="66"/>
      <c r="R3900" s="54"/>
      <c r="S3900" s="82"/>
      <c r="T3900" s="83" t="str">
        <f t="shared" si="328"/>
        <v/>
      </c>
      <c r="U3900" s="10"/>
      <c r="V3900" s="41">
        <f>IF(AND(Q3900&lt;&gt;"",RIGHT(Q3900,3)&lt;&gt;""),IF(COUNTIF($Q$6:Q3900,Q3900)=1,1,0),0)</f>
        <v>0</v>
      </c>
      <c r="W3900" s="41" t="str">
        <f t="shared" si="329"/>
        <v/>
      </c>
      <c r="X3900" s="41" t="str">
        <f t="shared" si="330"/>
        <v/>
      </c>
    </row>
    <row r="3901" s="32" customFormat="1" hidden="1" customHeight="1" spans="1:24">
      <c r="A3901" s="34"/>
      <c r="B3901" s="51"/>
      <c r="C3901" s="51"/>
      <c r="D3901" s="52"/>
      <c r="E3901" s="53"/>
      <c r="F3901" s="54"/>
      <c r="G3901" s="54"/>
      <c r="H3901" s="54"/>
      <c r="I3901" s="66"/>
      <c r="J3901" s="54"/>
      <c r="K3901" s="54"/>
      <c r="L3901" s="54"/>
      <c r="M3901" s="97" t="str">
        <f t="shared" si="327"/>
        <v/>
      </c>
      <c r="N3901" s="70"/>
      <c r="O3901" s="71" t="str">
        <f t="shared" si="331"/>
        <v/>
      </c>
      <c r="P3901" s="66"/>
      <c r="Q3901" s="66"/>
      <c r="R3901" s="54"/>
      <c r="S3901" s="82"/>
      <c r="T3901" s="83" t="str">
        <f t="shared" si="328"/>
        <v/>
      </c>
      <c r="U3901" s="10"/>
      <c r="V3901" s="41">
        <f>IF(AND(Q3901&lt;&gt;"",RIGHT(Q3901,3)&lt;&gt;""),IF(COUNTIF($Q$6:Q3901,Q3901)=1,1,0),0)</f>
        <v>0</v>
      </c>
      <c r="W3901" s="41" t="str">
        <f t="shared" si="329"/>
        <v/>
      </c>
      <c r="X3901" s="41" t="str">
        <f t="shared" si="330"/>
        <v/>
      </c>
    </row>
    <row r="3902" s="32" customFormat="1" hidden="1" customHeight="1" spans="1:24">
      <c r="A3902" s="34"/>
      <c r="B3902" s="51"/>
      <c r="C3902" s="51"/>
      <c r="D3902" s="52"/>
      <c r="E3902" s="53"/>
      <c r="F3902" s="54"/>
      <c r="G3902" s="54"/>
      <c r="H3902" s="54"/>
      <c r="I3902" s="66"/>
      <c r="J3902" s="54"/>
      <c r="K3902" s="54"/>
      <c r="L3902" s="54"/>
      <c r="M3902" s="97" t="str">
        <f t="shared" si="327"/>
        <v/>
      </c>
      <c r="N3902" s="70"/>
      <c r="O3902" s="71" t="str">
        <f t="shared" si="331"/>
        <v/>
      </c>
      <c r="P3902" s="66"/>
      <c r="Q3902" s="66"/>
      <c r="R3902" s="54"/>
      <c r="S3902" s="82"/>
      <c r="T3902" s="83" t="str">
        <f t="shared" si="328"/>
        <v/>
      </c>
      <c r="U3902" s="10"/>
      <c r="V3902" s="41">
        <f>IF(AND(Q3902&lt;&gt;"",RIGHT(Q3902,3)&lt;&gt;""),IF(COUNTIF($Q$6:Q3902,Q3902)=1,1,0),0)</f>
        <v>0</v>
      </c>
      <c r="W3902" s="41" t="str">
        <f t="shared" si="329"/>
        <v/>
      </c>
      <c r="X3902" s="41" t="str">
        <f t="shared" si="330"/>
        <v/>
      </c>
    </row>
    <row r="3903" s="32" customFormat="1" hidden="1" customHeight="1" spans="1:24">
      <c r="A3903" s="34"/>
      <c r="B3903" s="51"/>
      <c r="C3903" s="51"/>
      <c r="D3903" s="52"/>
      <c r="E3903" s="53"/>
      <c r="F3903" s="54"/>
      <c r="G3903" s="54"/>
      <c r="H3903" s="54"/>
      <c r="I3903" s="66"/>
      <c r="J3903" s="54"/>
      <c r="K3903" s="54"/>
      <c r="L3903" s="54"/>
      <c r="M3903" s="97" t="str">
        <f t="shared" si="327"/>
        <v/>
      </c>
      <c r="N3903" s="70"/>
      <c r="O3903" s="71" t="str">
        <f t="shared" si="331"/>
        <v/>
      </c>
      <c r="P3903" s="66"/>
      <c r="Q3903" s="66"/>
      <c r="R3903" s="54"/>
      <c r="S3903" s="82"/>
      <c r="T3903" s="83" t="str">
        <f t="shared" si="328"/>
        <v/>
      </c>
      <c r="U3903" s="10"/>
      <c r="V3903" s="41">
        <f>IF(AND(Q3903&lt;&gt;"",RIGHT(Q3903,3)&lt;&gt;""),IF(COUNTIF($Q$6:Q3903,Q3903)=1,1,0),0)</f>
        <v>0</v>
      </c>
      <c r="W3903" s="41" t="str">
        <f t="shared" si="329"/>
        <v/>
      </c>
      <c r="X3903" s="41" t="str">
        <f t="shared" si="330"/>
        <v/>
      </c>
    </row>
    <row r="3904" s="32" customFormat="1" hidden="1" customHeight="1" spans="1:24">
      <c r="A3904" s="34"/>
      <c r="B3904" s="51"/>
      <c r="C3904" s="51"/>
      <c r="D3904" s="52"/>
      <c r="E3904" s="53"/>
      <c r="F3904" s="54"/>
      <c r="G3904" s="54"/>
      <c r="H3904" s="54"/>
      <c r="I3904" s="66"/>
      <c r="J3904" s="54"/>
      <c r="K3904" s="54"/>
      <c r="L3904" s="54"/>
      <c r="M3904" s="97" t="str">
        <f t="shared" si="327"/>
        <v/>
      </c>
      <c r="N3904" s="70"/>
      <c r="O3904" s="71" t="str">
        <f t="shared" si="331"/>
        <v/>
      </c>
      <c r="P3904" s="66"/>
      <c r="Q3904" s="66"/>
      <c r="R3904" s="54"/>
      <c r="S3904" s="82"/>
      <c r="T3904" s="83" t="str">
        <f t="shared" si="328"/>
        <v/>
      </c>
      <c r="U3904" s="10"/>
      <c r="V3904" s="41">
        <f>IF(AND(Q3904&lt;&gt;"",RIGHT(Q3904,3)&lt;&gt;""),IF(COUNTIF($Q$6:Q3904,Q3904)=1,1,0),0)</f>
        <v>0</v>
      </c>
      <c r="W3904" s="41" t="str">
        <f t="shared" si="329"/>
        <v/>
      </c>
      <c r="X3904" s="41" t="str">
        <f t="shared" si="330"/>
        <v/>
      </c>
    </row>
    <row r="3905" s="32" customFormat="1" hidden="1" customHeight="1" spans="1:24">
      <c r="A3905" s="34"/>
      <c r="B3905" s="51"/>
      <c r="C3905" s="51"/>
      <c r="D3905" s="52"/>
      <c r="E3905" s="53"/>
      <c r="F3905" s="54"/>
      <c r="G3905" s="54"/>
      <c r="H3905" s="54"/>
      <c r="I3905" s="66"/>
      <c r="J3905" s="54"/>
      <c r="K3905" s="54"/>
      <c r="L3905" s="54"/>
      <c r="M3905" s="97" t="str">
        <f t="shared" si="327"/>
        <v/>
      </c>
      <c r="N3905" s="70"/>
      <c r="O3905" s="71" t="str">
        <f t="shared" si="331"/>
        <v/>
      </c>
      <c r="P3905" s="66"/>
      <c r="Q3905" s="66"/>
      <c r="R3905" s="54"/>
      <c r="S3905" s="82"/>
      <c r="T3905" s="83" t="str">
        <f t="shared" si="328"/>
        <v/>
      </c>
      <c r="U3905" s="10"/>
      <c r="V3905" s="41">
        <f>IF(AND(Q3905&lt;&gt;"",RIGHT(Q3905,3)&lt;&gt;""),IF(COUNTIF($Q$6:Q3905,Q3905)=1,1,0),0)</f>
        <v>0</v>
      </c>
      <c r="W3905" s="41" t="str">
        <f t="shared" si="329"/>
        <v/>
      </c>
      <c r="X3905" s="41" t="str">
        <f t="shared" si="330"/>
        <v/>
      </c>
    </row>
    <row r="3906" s="32" customFormat="1" hidden="1" customHeight="1" spans="1:24">
      <c r="A3906" s="34"/>
      <c r="B3906" s="51"/>
      <c r="C3906" s="51"/>
      <c r="D3906" s="52"/>
      <c r="E3906" s="53"/>
      <c r="F3906" s="54"/>
      <c r="G3906" s="54"/>
      <c r="H3906" s="54"/>
      <c r="I3906" s="66"/>
      <c r="J3906" s="54"/>
      <c r="K3906" s="54"/>
      <c r="L3906" s="54"/>
      <c r="M3906" s="97" t="str">
        <f t="shared" si="327"/>
        <v/>
      </c>
      <c r="N3906" s="70"/>
      <c r="O3906" s="71" t="str">
        <f t="shared" si="331"/>
        <v/>
      </c>
      <c r="P3906" s="66"/>
      <c r="Q3906" s="66"/>
      <c r="R3906" s="54"/>
      <c r="S3906" s="82"/>
      <c r="T3906" s="83" t="str">
        <f t="shared" si="328"/>
        <v/>
      </c>
      <c r="U3906" s="10"/>
      <c r="V3906" s="41">
        <f>IF(AND(Q3906&lt;&gt;"",RIGHT(Q3906,3)&lt;&gt;""),IF(COUNTIF($Q$6:Q3906,Q3906)=1,1,0),0)</f>
        <v>0</v>
      </c>
      <c r="W3906" s="41" t="str">
        <f t="shared" si="329"/>
        <v/>
      </c>
      <c r="X3906" s="41" t="str">
        <f t="shared" si="330"/>
        <v/>
      </c>
    </row>
    <row r="3907" s="32" customFormat="1" hidden="1" customHeight="1" spans="1:24">
      <c r="A3907" s="34"/>
      <c r="B3907" s="51"/>
      <c r="C3907" s="51"/>
      <c r="D3907" s="52"/>
      <c r="E3907" s="53"/>
      <c r="F3907" s="54"/>
      <c r="G3907" s="54"/>
      <c r="H3907" s="54"/>
      <c r="I3907" s="66"/>
      <c r="J3907" s="54"/>
      <c r="K3907" s="54"/>
      <c r="L3907" s="54"/>
      <c r="M3907" s="97" t="str">
        <f t="shared" si="327"/>
        <v/>
      </c>
      <c r="N3907" s="70"/>
      <c r="O3907" s="71" t="str">
        <f t="shared" si="331"/>
        <v/>
      </c>
      <c r="P3907" s="66"/>
      <c r="Q3907" s="66"/>
      <c r="R3907" s="54"/>
      <c r="S3907" s="82"/>
      <c r="T3907" s="83" t="str">
        <f t="shared" si="328"/>
        <v/>
      </c>
      <c r="U3907" s="10"/>
      <c r="V3907" s="41">
        <f>IF(AND(Q3907&lt;&gt;"",RIGHT(Q3907,3)&lt;&gt;""),IF(COUNTIF($Q$6:Q3907,Q3907)=1,1,0),0)</f>
        <v>0</v>
      </c>
      <c r="W3907" s="41" t="str">
        <f t="shared" si="329"/>
        <v/>
      </c>
      <c r="X3907" s="41" t="str">
        <f t="shared" si="330"/>
        <v/>
      </c>
    </row>
    <row r="3908" s="32" customFormat="1" hidden="1" customHeight="1" spans="1:24">
      <c r="A3908" s="34"/>
      <c r="B3908" s="51"/>
      <c r="C3908" s="51"/>
      <c r="D3908" s="52"/>
      <c r="E3908" s="53"/>
      <c r="F3908" s="54"/>
      <c r="G3908" s="54"/>
      <c r="H3908" s="54"/>
      <c r="I3908" s="66"/>
      <c r="J3908" s="54"/>
      <c r="K3908" s="54"/>
      <c r="L3908" s="54"/>
      <c r="M3908" s="97" t="str">
        <f t="shared" si="327"/>
        <v/>
      </c>
      <c r="N3908" s="70"/>
      <c r="O3908" s="71" t="str">
        <f t="shared" si="331"/>
        <v/>
      </c>
      <c r="P3908" s="66"/>
      <c r="Q3908" s="66"/>
      <c r="R3908" s="54"/>
      <c r="S3908" s="82"/>
      <c r="T3908" s="83" t="str">
        <f t="shared" si="328"/>
        <v/>
      </c>
      <c r="U3908" s="10"/>
      <c r="V3908" s="41">
        <f>IF(AND(Q3908&lt;&gt;"",RIGHT(Q3908,3)&lt;&gt;""),IF(COUNTIF($Q$6:Q3908,Q3908)=1,1,0),0)</f>
        <v>0</v>
      </c>
      <c r="W3908" s="41" t="str">
        <f t="shared" si="329"/>
        <v/>
      </c>
      <c r="X3908" s="41" t="str">
        <f t="shared" si="330"/>
        <v/>
      </c>
    </row>
    <row r="3909" s="32" customFormat="1" hidden="1" customHeight="1" spans="1:24">
      <c r="A3909" s="34"/>
      <c r="B3909" s="51"/>
      <c r="C3909" s="51"/>
      <c r="D3909" s="52"/>
      <c r="E3909" s="53"/>
      <c r="F3909" s="54"/>
      <c r="G3909" s="54"/>
      <c r="H3909" s="54"/>
      <c r="I3909" s="66"/>
      <c r="J3909" s="54"/>
      <c r="K3909" s="54"/>
      <c r="L3909" s="54"/>
      <c r="M3909" s="97" t="str">
        <f t="shared" si="327"/>
        <v/>
      </c>
      <c r="N3909" s="70"/>
      <c r="O3909" s="71" t="str">
        <f t="shared" si="331"/>
        <v/>
      </c>
      <c r="P3909" s="66"/>
      <c r="Q3909" s="66"/>
      <c r="R3909" s="54"/>
      <c r="S3909" s="82"/>
      <c r="T3909" s="83" t="str">
        <f t="shared" si="328"/>
        <v/>
      </c>
      <c r="U3909" s="10"/>
      <c r="V3909" s="41">
        <f>IF(AND(Q3909&lt;&gt;"",RIGHT(Q3909,3)&lt;&gt;""),IF(COUNTIF($Q$6:Q3909,Q3909)=1,1,0),0)</f>
        <v>0</v>
      </c>
      <c r="W3909" s="41" t="str">
        <f t="shared" si="329"/>
        <v/>
      </c>
      <c r="X3909" s="41" t="str">
        <f t="shared" si="330"/>
        <v/>
      </c>
    </row>
    <row r="3910" s="32" customFormat="1" hidden="1" customHeight="1" spans="1:24">
      <c r="A3910" s="34"/>
      <c r="B3910" s="51"/>
      <c r="C3910" s="51"/>
      <c r="D3910" s="52"/>
      <c r="E3910" s="53"/>
      <c r="F3910" s="54"/>
      <c r="G3910" s="54"/>
      <c r="H3910" s="54"/>
      <c r="I3910" s="66"/>
      <c r="J3910" s="54"/>
      <c r="K3910" s="54"/>
      <c r="L3910" s="54"/>
      <c r="M3910" s="97" t="str">
        <f t="shared" si="327"/>
        <v/>
      </c>
      <c r="N3910" s="70"/>
      <c r="O3910" s="71" t="str">
        <f t="shared" si="331"/>
        <v/>
      </c>
      <c r="P3910" s="66"/>
      <c r="Q3910" s="66"/>
      <c r="R3910" s="54"/>
      <c r="S3910" s="82"/>
      <c r="T3910" s="83" t="str">
        <f t="shared" si="328"/>
        <v/>
      </c>
      <c r="U3910" s="10"/>
      <c r="V3910" s="41">
        <f>IF(AND(Q3910&lt;&gt;"",RIGHT(Q3910,3)&lt;&gt;""),IF(COUNTIF($Q$6:Q3910,Q3910)=1,1,0),0)</f>
        <v>0</v>
      </c>
      <c r="W3910" s="41" t="str">
        <f t="shared" si="329"/>
        <v/>
      </c>
      <c r="X3910" s="41" t="str">
        <f t="shared" si="330"/>
        <v/>
      </c>
    </row>
    <row r="3911" s="32" customFormat="1" hidden="1" customHeight="1" spans="1:24">
      <c r="A3911" s="34"/>
      <c r="B3911" s="51"/>
      <c r="C3911" s="51"/>
      <c r="D3911" s="52"/>
      <c r="E3911" s="53"/>
      <c r="F3911" s="54"/>
      <c r="G3911" s="54"/>
      <c r="H3911" s="54"/>
      <c r="I3911" s="66"/>
      <c r="J3911" s="54"/>
      <c r="K3911" s="54"/>
      <c r="L3911" s="54"/>
      <c r="M3911" s="97" t="str">
        <f t="shared" si="327"/>
        <v/>
      </c>
      <c r="N3911" s="70"/>
      <c r="O3911" s="71" t="str">
        <f t="shared" si="331"/>
        <v/>
      </c>
      <c r="P3911" s="66"/>
      <c r="Q3911" s="66"/>
      <c r="R3911" s="54"/>
      <c r="S3911" s="82"/>
      <c r="T3911" s="83" t="str">
        <f t="shared" si="328"/>
        <v/>
      </c>
      <c r="U3911" s="10"/>
      <c r="V3911" s="41">
        <f>IF(AND(Q3911&lt;&gt;"",RIGHT(Q3911,3)&lt;&gt;""),IF(COUNTIF($Q$6:Q3911,Q3911)=1,1,0),0)</f>
        <v>0</v>
      </c>
      <c r="W3911" s="41" t="str">
        <f t="shared" si="329"/>
        <v/>
      </c>
      <c r="X3911" s="41" t="str">
        <f t="shared" si="330"/>
        <v/>
      </c>
    </row>
    <row r="3912" s="32" customFormat="1" hidden="1" customHeight="1" spans="1:24">
      <c r="A3912" s="34"/>
      <c r="B3912" s="51"/>
      <c r="C3912" s="51"/>
      <c r="D3912" s="52"/>
      <c r="E3912" s="53"/>
      <c r="F3912" s="54"/>
      <c r="G3912" s="54"/>
      <c r="H3912" s="54"/>
      <c r="I3912" s="66"/>
      <c r="J3912" s="54"/>
      <c r="K3912" s="54"/>
      <c r="L3912" s="54"/>
      <c r="M3912" s="97" t="str">
        <f t="shared" si="327"/>
        <v/>
      </c>
      <c r="N3912" s="70"/>
      <c r="O3912" s="71" t="str">
        <f t="shared" si="331"/>
        <v/>
      </c>
      <c r="P3912" s="66"/>
      <c r="Q3912" s="66"/>
      <c r="R3912" s="54"/>
      <c r="S3912" s="82"/>
      <c r="T3912" s="83" t="str">
        <f t="shared" si="328"/>
        <v/>
      </c>
      <c r="U3912" s="10"/>
      <c r="V3912" s="41">
        <f>IF(AND(Q3912&lt;&gt;"",RIGHT(Q3912,3)&lt;&gt;""),IF(COUNTIF($Q$6:Q3912,Q3912)=1,1,0),0)</f>
        <v>0</v>
      </c>
      <c r="W3912" s="41" t="str">
        <f t="shared" si="329"/>
        <v/>
      </c>
      <c r="X3912" s="41" t="str">
        <f t="shared" si="330"/>
        <v/>
      </c>
    </row>
    <row r="3913" s="32" customFormat="1" hidden="1" customHeight="1" spans="1:24">
      <c r="A3913" s="34"/>
      <c r="B3913" s="51"/>
      <c r="C3913" s="51"/>
      <c r="D3913" s="52"/>
      <c r="E3913" s="53"/>
      <c r="F3913" s="54"/>
      <c r="G3913" s="54"/>
      <c r="H3913" s="54"/>
      <c r="I3913" s="66"/>
      <c r="J3913" s="54"/>
      <c r="K3913" s="54"/>
      <c r="L3913" s="54"/>
      <c r="M3913" s="97" t="str">
        <f t="shared" si="327"/>
        <v/>
      </c>
      <c r="N3913" s="70"/>
      <c r="O3913" s="71" t="str">
        <f t="shared" si="331"/>
        <v/>
      </c>
      <c r="P3913" s="66"/>
      <c r="Q3913" s="66"/>
      <c r="R3913" s="54"/>
      <c r="S3913" s="82"/>
      <c r="T3913" s="83" t="str">
        <f t="shared" si="328"/>
        <v/>
      </c>
      <c r="U3913" s="10"/>
      <c r="V3913" s="41">
        <f>IF(AND(Q3913&lt;&gt;"",RIGHT(Q3913,3)&lt;&gt;""),IF(COUNTIF($Q$6:Q3913,Q3913)=1,1,0),0)</f>
        <v>0</v>
      </c>
      <c r="W3913" s="41" t="str">
        <f t="shared" si="329"/>
        <v/>
      </c>
      <c r="X3913" s="41" t="str">
        <f t="shared" si="330"/>
        <v/>
      </c>
    </row>
    <row r="3914" s="32" customFormat="1" hidden="1" customHeight="1" spans="1:24">
      <c r="A3914" s="34"/>
      <c r="B3914" s="51"/>
      <c r="C3914" s="51"/>
      <c r="D3914" s="52"/>
      <c r="E3914" s="53"/>
      <c r="F3914" s="54"/>
      <c r="G3914" s="54"/>
      <c r="H3914" s="54"/>
      <c r="I3914" s="66"/>
      <c r="J3914" s="54"/>
      <c r="K3914" s="54"/>
      <c r="L3914" s="54"/>
      <c r="M3914" s="97" t="str">
        <f t="shared" si="327"/>
        <v/>
      </c>
      <c r="N3914" s="70"/>
      <c r="O3914" s="71" t="str">
        <f t="shared" si="331"/>
        <v/>
      </c>
      <c r="P3914" s="66"/>
      <c r="Q3914" s="66"/>
      <c r="R3914" s="54"/>
      <c r="S3914" s="82"/>
      <c r="T3914" s="83" t="str">
        <f t="shared" si="328"/>
        <v/>
      </c>
      <c r="U3914" s="10"/>
      <c r="V3914" s="41">
        <f>IF(AND(Q3914&lt;&gt;"",RIGHT(Q3914,3)&lt;&gt;""),IF(COUNTIF($Q$6:Q3914,Q3914)=1,1,0),0)</f>
        <v>0</v>
      </c>
      <c r="W3914" s="41" t="str">
        <f t="shared" si="329"/>
        <v/>
      </c>
      <c r="X3914" s="41" t="str">
        <f t="shared" si="330"/>
        <v/>
      </c>
    </row>
    <row r="3915" s="32" customFormat="1" hidden="1" customHeight="1" spans="1:24">
      <c r="A3915" s="34"/>
      <c r="B3915" s="51"/>
      <c r="C3915" s="51"/>
      <c r="D3915" s="52"/>
      <c r="E3915" s="53"/>
      <c r="F3915" s="54"/>
      <c r="G3915" s="54"/>
      <c r="H3915" s="54"/>
      <c r="I3915" s="66"/>
      <c r="J3915" s="54"/>
      <c r="K3915" s="54"/>
      <c r="L3915" s="54"/>
      <c r="M3915" s="97" t="str">
        <f t="shared" si="327"/>
        <v/>
      </c>
      <c r="N3915" s="70"/>
      <c r="O3915" s="71" t="str">
        <f t="shared" si="331"/>
        <v/>
      </c>
      <c r="P3915" s="66"/>
      <c r="Q3915" s="66"/>
      <c r="R3915" s="54"/>
      <c r="S3915" s="82"/>
      <c r="T3915" s="83" t="str">
        <f t="shared" si="328"/>
        <v/>
      </c>
      <c r="U3915" s="10"/>
      <c r="V3915" s="41">
        <f>IF(AND(Q3915&lt;&gt;"",RIGHT(Q3915,3)&lt;&gt;""),IF(COUNTIF($Q$6:Q3915,Q3915)=1,1,0),0)</f>
        <v>0</v>
      </c>
      <c r="W3915" s="41" t="str">
        <f t="shared" si="329"/>
        <v/>
      </c>
      <c r="X3915" s="41" t="str">
        <f t="shared" si="330"/>
        <v/>
      </c>
    </row>
    <row r="3916" s="32" customFormat="1" hidden="1" customHeight="1" spans="1:24">
      <c r="A3916" s="34"/>
      <c r="B3916" s="51"/>
      <c r="C3916" s="51"/>
      <c r="D3916" s="52"/>
      <c r="E3916" s="53"/>
      <c r="F3916" s="54"/>
      <c r="G3916" s="54"/>
      <c r="H3916" s="54"/>
      <c r="I3916" s="66"/>
      <c r="J3916" s="54"/>
      <c r="K3916" s="54"/>
      <c r="L3916" s="54"/>
      <c r="M3916" s="97" t="str">
        <f t="shared" si="327"/>
        <v/>
      </c>
      <c r="N3916" s="70"/>
      <c r="O3916" s="71" t="str">
        <f t="shared" si="331"/>
        <v/>
      </c>
      <c r="P3916" s="66"/>
      <c r="Q3916" s="66"/>
      <c r="R3916" s="54"/>
      <c r="S3916" s="82"/>
      <c r="T3916" s="83" t="str">
        <f t="shared" si="328"/>
        <v/>
      </c>
      <c r="U3916" s="10"/>
      <c r="V3916" s="41">
        <f>IF(AND(Q3916&lt;&gt;"",RIGHT(Q3916,3)&lt;&gt;""),IF(COUNTIF($Q$6:Q3916,Q3916)=1,1,0),0)</f>
        <v>0</v>
      </c>
      <c r="W3916" s="41" t="str">
        <f t="shared" si="329"/>
        <v/>
      </c>
      <c r="X3916" s="41" t="str">
        <f t="shared" si="330"/>
        <v/>
      </c>
    </row>
    <row r="3917" s="32" customFormat="1" hidden="1" customHeight="1" spans="1:24">
      <c r="A3917" s="34"/>
      <c r="B3917" s="51"/>
      <c r="C3917" s="51"/>
      <c r="D3917" s="52"/>
      <c r="E3917" s="53"/>
      <c r="F3917" s="54"/>
      <c r="G3917" s="54"/>
      <c r="H3917" s="54"/>
      <c r="I3917" s="66"/>
      <c r="J3917" s="54"/>
      <c r="K3917" s="54"/>
      <c r="L3917" s="54"/>
      <c r="M3917" s="97" t="str">
        <f t="shared" si="327"/>
        <v/>
      </c>
      <c r="N3917" s="70"/>
      <c r="O3917" s="71" t="str">
        <f t="shared" si="331"/>
        <v/>
      </c>
      <c r="P3917" s="66"/>
      <c r="Q3917" s="66"/>
      <c r="R3917" s="54"/>
      <c r="S3917" s="82"/>
      <c r="T3917" s="83" t="str">
        <f t="shared" si="328"/>
        <v/>
      </c>
      <c r="U3917" s="10"/>
      <c r="V3917" s="41">
        <f>IF(AND(Q3917&lt;&gt;"",RIGHT(Q3917,3)&lt;&gt;""),IF(COUNTIF($Q$6:Q3917,Q3917)=1,1,0),0)</f>
        <v>0</v>
      </c>
      <c r="W3917" s="41" t="str">
        <f t="shared" si="329"/>
        <v/>
      </c>
      <c r="X3917" s="41" t="str">
        <f t="shared" si="330"/>
        <v/>
      </c>
    </row>
    <row r="3918" s="32" customFormat="1" hidden="1" customHeight="1" spans="1:24">
      <c r="A3918" s="34"/>
      <c r="B3918" s="51"/>
      <c r="C3918" s="51"/>
      <c r="D3918" s="52"/>
      <c r="E3918" s="53"/>
      <c r="F3918" s="54"/>
      <c r="G3918" s="54"/>
      <c r="H3918" s="54"/>
      <c r="I3918" s="66"/>
      <c r="J3918" s="54"/>
      <c r="K3918" s="54"/>
      <c r="L3918" s="54"/>
      <c r="M3918" s="97" t="str">
        <f t="shared" si="327"/>
        <v/>
      </c>
      <c r="N3918" s="70"/>
      <c r="O3918" s="71" t="str">
        <f t="shared" si="331"/>
        <v/>
      </c>
      <c r="P3918" s="66"/>
      <c r="Q3918" s="66"/>
      <c r="R3918" s="54"/>
      <c r="S3918" s="82"/>
      <c r="T3918" s="83" t="str">
        <f t="shared" si="328"/>
        <v/>
      </c>
      <c r="U3918" s="10"/>
      <c r="V3918" s="41">
        <f>IF(AND(Q3918&lt;&gt;"",RIGHT(Q3918,3)&lt;&gt;""),IF(COUNTIF($Q$6:Q3918,Q3918)=1,1,0),0)</f>
        <v>0</v>
      </c>
      <c r="W3918" s="41" t="str">
        <f t="shared" si="329"/>
        <v/>
      </c>
      <c r="X3918" s="41" t="str">
        <f t="shared" si="330"/>
        <v/>
      </c>
    </row>
    <row r="3919" s="32" customFormat="1" hidden="1" customHeight="1" spans="1:24">
      <c r="A3919" s="34"/>
      <c r="B3919" s="51"/>
      <c r="C3919" s="51"/>
      <c r="D3919" s="52"/>
      <c r="E3919" s="53"/>
      <c r="F3919" s="54"/>
      <c r="G3919" s="54"/>
      <c r="H3919" s="54"/>
      <c r="I3919" s="66"/>
      <c r="J3919" s="54"/>
      <c r="K3919" s="54"/>
      <c r="L3919" s="54"/>
      <c r="M3919" s="97" t="str">
        <f t="shared" si="327"/>
        <v/>
      </c>
      <c r="N3919" s="70"/>
      <c r="O3919" s="71" t="str">
        <f t="shared" si="331"/>
        <v/>
      </c>
      <c r="P3919" s="66"/>
      <c r="Q3919" s="66"/>
      <c r="R3919" s="54"/>
      <c r="S3919" s="82"/>
      <c r="T3919" s="83" t="str">
        <f t="shared" si="328"/>
        <v/>
      </c>
      <c r="U3919" s="10"/>
      <c r="V3919" s="41">
        <f>IF(AND(Q3919&lt;&gt;"",RIGHT(Q3919,3)&lt;&gt;""),IF(COUNTIF($Q$6:Q3919,Q3919)=1,1,0),0)</f>
        <v>0</v>
      </c>
      <c r="W3919" s="41" t="str">
        <f t="shared" si="329"/>
        <v/>
      </c>
      <c r="X3919" s="41" t="str">
        <f t="shared" si="330"/>
        <v/>
      </c>
    </row>
    <row r="3920" s="32" customFormat="1" hidden="1" customHeight="1" spans="1:24">
      <c r="A3920" s="34"/>
      <c r="B3920" s="51"/>
      <c r="C3920" s="51"/>
      <c r="D3920" s="52"/>
      <c r="E3920" s="53"/>
      <c r="F3920" s="54"/>
      <c r="G3920" s="54"/>
      <c r="H3920" s="54"/>
      <c r="I3920" s="66"/>
      <c r="J3920" s="54"/>
      <c r="K3920" s="54"/>
      <c r="L3920" s="54"/>
      <c r="M3920" s="97" t="str">
        <f t="shared" si="327"/>
        <v/>
      </c>
      <c r="N3920" s="70"/>
      <c r="O3920" s="71" t="str">
        <f t="shared" si="331"/>
        <v/>
      </c>
      <c r="P3920" s="66"/>
      <c r="Q3920" s="66"/>
      <c r="R3920" s="54"/>
      <c r="S3920" s="82"/>
      <c r="T3920" s="83" t="str">
        <f t="shared" si="328"/>
        <v/>
      </c>
      <c r="U3920" s="10"/>
      <c r="V3920" s="41">
        <f>IF(AND(Q3920&lt;&gt;"",RIGHT(Q3920,3)&lt;&gt;""),IF(COUNTIF($Q$6:Q3920,Q3920)=1,1,0),0)</f>
        <v>0</v>
      </c>
      <c r="W3920" s="41" t="str">
        <f t="shared" si="329"/>
        <v/>
      </c>
      <c r="X3920" s="41" t="str">
        <f t="shared" si="330"/>
        <v/>
      </c>
    </row>
    <row r="3921" s="32" customFormat="1" hidden="1" customHeight="1" spans="1:24">
      <c r="A3921" s="34"/>
      <c r="B3921" s="51"/>
      <c r="C3921" s="51"/>
      <c r="D3921" s="52"/>
      <c r="E3921" s="53"/>
      <c r="F3921" s="54"/>
      <c r="G3921" s="54"/>
      <c r="H3921" s="54"/>
      <c r="I3921" s="66"/>
      <c r="J3921" s="54"/>
      <c r="K3921" s="54"/>
      <c r="L3921" s="54"/>
      <c r="M3921" s="97" t="str">
        <f t="shared" si="327"/>
        <v/>
      </c>
      <c r="N3921" s="70"/>
      <c r="O3921" s="71" t="str">
        <f t="shared" si="331"/>
        <v/>
      </c>
      <c r="P3921" s="66"/>
      <c r="Q3921" s="66"/>
      <c r="R3921" s="54"/>
      <c r="S3921" s="82"/>
      <c r="T3921" s="83" t="str">
        <f t="shared" si="328"/>
        <v/>
      </c>
      <c r="U3921" s="10"/>
      <c r="V3921" s="41">
        <f>IF(AND(Q3921&lt;&gt;"",RIGHT(Q3921,3)&lt;&gt;""),IF(COUNTIF($Q$6:Q3921,Q3921)=1,1,0),0)</f>
        <v>0</v>
      </c>
      <c r="W3921" s="41" t="str">
        <f t="shared" si="329"/>
        <v/>
      </c>
      <c r="X3921" s="41" t="str">
        <f t="shared" si="330"/>
        <v/>
      </c>
    </row>
    <row r="3922" s="32" customFormat="1" hidden="1" customHeight="1" spans="1:24">
      <c r="A3922" s="34"/>
      <c r="B3922" s="51"/>
      <c r="C3922" s="51"/>
      <c r="D3922" s="52"/>
      <c r="E3922" s="53"/>
      <c r="F3922" s="54"/>
      <c r="G3922" s="54"/>
      <c r="H3922" s="54"/>
      <c r="I3922" s="66"/>
      <c r="J3922" s="54"/>
      <c r="K3922" s="54"/>
      <c r="L3922" s="54"/>
      <c r="M3922" s="97" t="str">
        <f t="shared" si="327"/>
        <v/>
      </c>
      <c r="N3922" s="70"/>
      <c r="O3922" s="71" t="str">
        <f t="shared" si="331"/>
        <v/>
      </c>
      <c r="P3922" s="66"/>
      <c r="Q3922" s="66"/>
      <c r="R3922" s="54"/>
      <c r="S3922" s="82"/>
      <c r="T3922" s="83" t="str">
        <f t="shared" si="328"/>
        <v/>
      </c>
      <c r="U3922" s="10"/>
      <c r="V3922" s="41">
        <f>IF(AND(Q3922&lt;&gt;"",RIGHT(Q3922,3)&lt;&gt;""),IF(COUNTIF($Q$6:Q3922,Q3922)=1,1,0),0)</f>
        <v>0</v>
      </c>
      <c r="W3922" s="41" t="str">
        <f t="shared" si="329"/>
        <v/>
      </c>
      <c r="X3922" s="41" t="str">
        <f t="shared" si="330"/>
        <v/>
      </c>
    </row>
    <row r="3923" s="32" customFormat="1" hidden="1" customHeight="1" spans="1:24">
      <c r="A3923" s="34"/>
      <c r="B3923" s="51"/>
      <c r="C3923" s="51"/>
      <c r="D3923" s="52"/>
      <c r="E3923" s="53"/>
      <c r="F3923" s="54"/>
      <c r="G3923" s="54"/>
      <c r="H3923" s="54"/>
      <c r="I3923" s="66"/>
      <c r="J3923" s="54"/>
      <c r="K3923" s="54"/>
      <c r="L3923" s="54"/>
      <c r="M3923" s="97" t="str">
        <f t="shared" si="327"/>
        <v/>
      </c>
      <c r="N3923" s="70"/>
      <c r="O3923" s="71" t="str">
        <f t="shared" si="331"/>
        <v/>
      </c>
      <c r="P3923" s="66"/>
      <c r="Q3923" s="66"/>
      <c r="R3923" s="54"/>
      <c r="S3923" s="82"/>
      <c r="T3923" s="83" t="str">
        <f t="shared" si="328"/>
        <v/>
      </c>
      <c r="U3923" s="10"/>
      <c r="V3923" s="41">
        <f>IF(AND(Q3923&lt;&gt;"",RIGHT(Q3923,3)&lt;&gt;""),IF(COUNTIF($Q$6:Q3923,Q3923)=1,1,0),0)</f>
        <v>0</v>
      </c>
      <c r="W3923" s="41" t="str">
        <f t="shared" si="329"/>
        <v/>
      </c>
      <c r="X3923" s="41" t="str">
        <f t="shared" si="330"/>
        <v/>
      </c>
    </row>
    <row r="3924" s="32" customFormat="1" hidden="1" customHeight="1" spans="1:24">
      <c r="A3924" s="34"/>
      <c r="B3924" s="51"/>
      <c r="C3924" s="51"/>
      <c r="D3924" s="52"/>
      <c r="E3924" s="53"/>
      <c r="F3924" s="54"/>
      <c r="G3924" s="54"/>
      <c r="H3924" s="54"/>
      <c r="I3924" s="66"/>
      <c r="J3924" s="54"/>
      <c r="K3924" s="54"/>
      <c r="L3924" s="54"/>
      <c r="M3924" s="97" t="str">
        <f t="shared" si="327"/>
        <v/>
      </c>
      <c r="N3924" s="70"/>
      <c r="O3924" s="71" t="str">
        <f t="shared" si="331"/>
        <v/>
      </c>
      <c r="P3924" s="66"/>
      <c r="Q3924" s="66"/>
      <c r="R3924" s="54"/>
      <c r="S3924" s="82"/>
      <c r="T3924" s="83" t="str">
        <f t="shared" si="328"/>
        <v/>
      </c>
      <c r="U3924" s="10"/>
      <c r="V3924" s="41">
        <f>IF(AND(Q3924&lt;&gt;"",RIGHT(Q3924,3)&lt;&gt;""),IF(COUNTIF($Q$6:Q3924,Q3924)=1,1,0),0)</f>
        <v>0</v>
      </c>
      <c r="W3924" s="41" t="str">
        <f t="shared" si="329"/>
        <v/>
      </c>
      <c r="X3924" s="41" t="str">
        <f t="shared" si="330"/>
        <v/>
      </c>
    </row>
    <row r="3925" s="32" customFormat="1" hidden="1" customHeight="1" spans="1:24">
      <c r="A3925" s="34"/>
      <c r="B3925" s="51"/>
      <c r="C3925" s="51"/>
      <c r="D3925" s="52"/>
      <c r="E3925" s="53"/>
      <c r="F3925" s="54"/>
      <c r="G3925" s="54"/>
      <c r="H3925" s="54"/>
      <c r="I3925" s="66"/>
      <c r="J3925" s="54"/>
      <c r="K3925" s="54"/>
      <c r="L3925" s="54"/>
      <c r="M3925" s="97" t="str">
        <f t="shared" si="327"/>
        <v/>
      </c>
      <c r="N3925" s="70"/>
      <c r="O3925" s="71" t="str">
        <f t="shared" si="331"/>
        <v/>
      </c>
      <c r="P3925" s="66"/>
      <c r="Q3925" s="66"/>
      <c r="R3925" s="54"/>
      <c r="S3925" s="82"/>
      <c r="T3925" s="83" t="str">
        <f t="shared" si="328"/>
        <v/>
      </c>
      <c r="U3925" s="10"/>
      <c r="V3925" s="41">
        <f>IF(AND(Q3925&lt;&gt;"",RIGHT(Q3925,3)&lt;&gt;""),IF(COUNTIF($Q$6:Q3925,Q3925)=1,1,0),0)</f>
        <v>0</v>
      </c>
      <c r="W3925" s="41" t="str">
        <f t="shared" si="329"/>
        <v/>
      </c>
      <c r="X3925" s="41" t="str">
        <f t="shared" si="330"/>
        <v/>
      </c>
    </row>
    <row r="3926" s="32" customFormat="1" hidden="1" customHeight="1" spans="1:24">
      <c r="A3926" s="34"/>
      <c r="B3926" s="51"/>
      <c r="C3926" s="51"/>
      <c r="D3926" s="52"/>
      <c r="E3926" s="53"/>
      <c r="F3926" s="54"/>
      <c r="G3926" s="54"/>
      <c r="H3926" s="54"/>
      <c r="I3926" s="66"/>
      <c r="J3926" s="54"/>
      <c r="K3926" s="54"/>
      <c r="L3926" s="54"/>
      <c r="M3926" s="97" t="str">
        <f t="shared" si="327"/>
        <v/>
      </c>
      <c r="N3926" s="70"/>
      <c r="O3926" s="71" t="str">
        <f t="shared" si="331"/>
        <v/>
      </c>
      <c r="P3926" s="66"/>
      <c r="Q3926" s="66"/>
      <c r="R3926" s="54"/>
      <c r="S3926" s="82"/>
      <c r="T3926" s="83" t="str">
        <f t="shared" si="328"/>
        <v/>
      </c>
      <c r="U3926" s="10"/>
      <c r="V3926" s="41">
        <f>IF(AND(Q3926&lt;&gt;"",RIGHT(Q3926,3)&lt;&gt;""),IF(COUNTIF($Q$6:Q3926,Q3926)=1,1,0),0)</f>
        <v>0</v>
      </c>
      <c r="W3926" s="41" t="str">
        <f t="shared" si="329"/>
        <v/>
      </c>
      <c r="X3926" s="41" t="str">
        <f t="shared" si="330"/>
        <v/>
      </c>
    </row>
    <row r="3927" s="32" customFormat="1" hidden="1" customHeight="1" spans="1:24">
      <c r="A3927" s="34"/>
      <c r="B3927" s="51"/>
      <c r="C3927" s="51"/>
      <c r="D3927" s="52"/>
      <c r="E3927" s="53"/>
      <c r="F3927" s="54"/>
      <c r="G3927" s="54"/>
      <c r="H3927" s="54"/>
      <c r="I3927" s="66"/>
      <c r="J3927" s="54"/>
      <c r="K3927" s="54"/>
      <c r="L3927" s="54"/>
      <c r="M3927" s="97" t="str">
        <f t="shared" si="327"/>
        <v/>
      </c>
      <c r="N3927" s="70"/>
      <c r="O3927" s="71" t="str">
        <f t="shared" si="331"/>
        <v/>
      </c>
      <c r="P3927" s="66"/>
      <c r="Q3927" s="66"/>
      <c r="R3927" s="54"/>
      <c r="S3927" s="82"/>
      <c r="T3927" s="83" t="str">
        <f t="shared" si="328"/>
        <v/>
      </c>
      <c r="U3927" s="10"/>
      <c r="V3927" s="41">
        <f>IF(AND(Q3927&lt;&gt;"",RIGHT(Q3927,3)&lt;&gt;""),IF(COUNTIF($Q$6:Q3927,Q3927)=1,1,0),0)</f>
        <v>0</v>
      </c>
      <c r="W3927" s="41" t="str">
        <f t="shared" si="329"/>
        <v/>
      </c>
      <c r="X3927" s="41" t="str">
        <f t="shared" si="330"/>
        <v/>
      </c>
    </row>
    <row r="3928" s="32" customFormat="1" hidden="1" customHeight="1" spans="1:24">
      <c r="A3928" s="34"/>
      <c r="B3928" s="51"/>
      <c r="C3928" s="51"/>
      <c r="D3928" s="52"/>
      <c r="E3928" s="53"/>
      <c r="F3928" s="54"/>
      <c r="G3928" s="54"/>
      <c r="H3928" s="54"/>
      <c r="I3928" s="66"/>
      <c r="J3928" s="54"/>
      <c r="K3928" s="54"/>
      <c r="L3928" s="54"/>
      <c r="M3928" s="97" t="str">
        <f t="shared" si="327"/>
        <v/>
      </c>
      <c r="N3928" s="70"/>
      <c r="O3928" s="71" t="str">
        <f t="shared" si="331"/>
        <v/>
      </c>
      <c r="P3928" s="66"/>
      <c r="Q3928" s="66"/>
      <c r="R3928" s="54"/>
      <c r="S3928" s="82"/>
      <c r="T3928" s="83" t="str">
        <f t="shared" si="328"/>
        <v/>
      </c>
      <c r="U3928" s="10"/>
      <c r="V3928" s="41">
        <f>IF(AND(Q3928&lt;&gt;"",RIGHT(Q3928,3)&lt;&gt;""),IF(COUNTIF($Q$6:Q3928,Q3928)=1,1,0),0)</f>
        <v>0</v>
      </c>
      <c r="W3928" s="41" t="str">
        <f t="shared" si="329"/>
        <v/>
      </c>
      <c r="X3928" s="41" t="str">
        <f t="shared" si="330"/>
        <v/>
      </c>
    </row>
    <row r="3929" s="32" customFormat="1" hidden="1" customHeight="1" spans="1:24">
      <c r="A3929" s="34"/>
      <c r="B3929" s="51"/>
      <c r="C3929" s="51"/>
      <c r="D3929" s="52"/>
      <c r="E3929" s="53"/>
      <c r="F3929" s="54"/>
      <c r="G3929" s="54"/>
      <c r="H3929" s="54"/>
      <c r="I3929" s="66"/>
      <c r="J3929" s="54"/>
      <c r="K3929" s="54"/>
      <c r="L3929" s="54"/>
      <c r="M3929" s="97" t="str">
        <f t="shared" si="327"/>
        <v/>
      </c>
      <c r="N3929" s="70"/>
      <c r="O3929" s="71" t="str">
        <f t="shared" si="331"/>
        <v/>
      </c>
      <c r="P3929" s="66"/>
      <c r="Q3929" s="66"/>
      <c r="R3929" s="54"/>
      <c r="S3929" s="82"/>
      <c r="T3929" s="83" t="str">
        <f t="shared" si="328"/>
        <v/>
      </c>
      <c r="U3929" s="10"/>
      <c r="V3929" s="41">
        <f>IF(AND(Q3929&lt;&gt;"",RIGHT(Q3929,3)&lt;&gt;""),IF(COUNTIF($Q$6:Q3929,Q3929)=1,1,0),0)</f>
        <v>0</v>
      </c>
      <c r="W3929" s="41" t="str">
        <f t="shared" si="329"/>
        <v/>
      </c>
      <c r="X3929" s="41" t="str">
        <f t="shared" si="330"/>
        <v/>
      </c>
    </row>
    <row r="3930" s="32" customFormat="1" hidden="1" customHeight="1" spans="1:24">
      <c r="A3930" s="34"/>
      <c r="B3930" s="51"/>
      <c r="C3930" s="51"/>
      <c r="D3930" s="52"/>
      <c r="E3930" s="53"/>
      <c r="F3930" s="54"/>
      <c r="G3930" s="54"/>
      <c r="H3930" s="54"/>
      <c r="I3930" s="66"/>
      <c r="J3930" s="54"/>
      <c r="K3930" s="54"/>
      <c r="L3930" s="54"/>
      <c r="M3930" s="97" t="str">
        <f t="shared" si="327"/>
        <v/>
      </c>
      <c r="N3930" s="70"/>
      <c r="O3930" s="71" t="str">
        <f t="shared" si="331"/>
        <v/>
      </c>
      <c r="P3930" s="66"/>
      <c r="Q3930" s="66"/>
      <c r="R3930" s="54"/>
      <c r="S3930" s="82"/>
      <c r="T3930" s="83" t="str">
        <f t="shared" si="328"/>
        <v/>
      </c>
      <c r="U3930" s="10"/>
      <c r="V3930" s="41">
        <f>IF(AND(Q3930&lt;&gt;"",RIGHT(Q3930,3)&lt;&gt;""),IF(COUNTIF($Q$6:Q3930,Q3930)=1,1,0),0)</f>
        <v>0</v>
      </c>
      <c r="W3930" s="41" t="str">
        <f t="shared" si="329"/>
        <v/>
      </c>
      <c r="X3930" s="41" t="str">
        <f t="shared" si="330"/>
        <v/>
      </c>
    </row>
    <row r="3931" s="32" customFormat="1" hidden="1" customHeight="1" spans="1:24">
      <c r="A3931" s="34"/>
      <c r="B3931" s="51"/>
      <c r="C3931" s="51"/>
      <c r="D3931" s="52"/>
      <c r="E3931" s="53"/>
      <c r="F3931" s="54"/>
      <c r="G3931" s="54"/>
      <c r="H3931" s="54"/>
      <c r="I3931" s="66"/>
      <c r="J3931" s="54"/>
      <c r="K3931" s="54"/>
      <c r="L3931" s="54"/>
      <c r="M3931" s="97" t="str">
        <f t="shared" si="327"/>
        <v/>
      </c>
      <c r="N3931" s="70"/>
      <c r="O3931" s="71" t="str">
        <f t="shared" si="331"/>
        <v/>
      </c>
      <c r="P3931" s="66"/>
      <c r="Q3931" s="66"/>
      <c r="R3931" s="54"/>
      <c r="S3931" s="82"/>
      <c r="T3931" s="83" t="str">
        <f t="shared" si="328"/>
        <v/>
      </c>
      <c r="U3931" s="10"/>
      <c r="V3931" s="41">
        <f>IF(AND(Q3931&lt;&gt;"",RIGHT(Q3931,3)&lt;&gt;""),IF(COUNTIF($Q$6:Q3931,Q3931)=1,1,0),0)</f>
        <v>0</v>
      </c>
      <c r="W3931" s="41" t="str">
        <f t="shared" si="329"/>
        <v/>
      </c>
      <c r="X3931" s="41" t="str">
        <f t="shared" si="330"/>
        <v/>
      </c>
    </row>
    <row r="3932" s="32" customFormat="1" hidden="1" customHeight="1" spans="1:24">
      <c r="A3932" s="34"/>
      <c r="B3932" s="51"/>
      <c r="C3932" s="51"/>
      <c r="D3932" s="52"/>
      <c r="E3932" s="53"/>
      <c r="F3932" s="54"/>
      <c r="G3932" s="54"/>
      <c r="H3932" s="54"/>
      <c r="I3932" s="66"/>
      <c r="J3932" s="54"/>
      <c r="K3932" s="54"/>
      <c r="L3932" s="54"/>
      <c r="M3932" s="97" t="str">
        <f t="shared" si="327"/>
        <v/>
      </c>
      <c r="N3932" s="70"/>
      <c r="O3932" s="71" t="str">
        <f t="shared" si="331"/>
        <v/>
      </c>
      <c r="P3932" s="66"/>
      <c r="Q3932" s="66"/>
      <c r="R3932" s="54"/>
      <c r="S3932" s="82"/>
      <c r="T3932" s="83" t="str">
        <f t="shared" si="328"/>
        <v/>
      </c>
      <c r="U3932" s="10"/>
      <c r="V3932" s="41">
        <f>IF(AND(Q3932&lt;&gt;"",RIGHT(Q3932,3)&lt;&gt;""),IF(COUNTIF($Q$6:Q3932,Q3932)=1,1,0),0)</f>
        <v>0</v>
      </c>
      <c r="W3932" s="41" t="str">
        <f t="shared" si="329"/>
        <v/>
      </c>
      <c r="X3932" s="41" t="str">
        <f t="shared" si="330"/>
        <v/>
      </c>
    </row>
    <row r="3933" s="32" customFormat="1" hidden="1" customHeight="1" spans="1:24">
      <c r="A3933" s="34"/>
      <c r="B3933" s="51"/>
      <c r="C3933" s="51"/>
      <c r="D3933" s="52"/>
      <c r="E3933" s="53"/>
      <c r="F3933" s="54"/>
      <c r="G3933" s="54"/>
      <c r="H3933" s="54"/>
      <c r="I3933" s="66"/>
      <c r="J3933" s="54"/>
      <c r="K3933" s="54"/>
      <c r="L3933" s="54"/>
      <c r="M3933" s="97" t="str">
        <f t="shared" si="327"/>
        <v/>
      </c>
      <c r="N3933" s="70"/>
      <c r="O3933" s="71" t="str">
        <f t="shared" si="331"/>
        <v/>
      </c>
      <c r="P3933" s="66"/>
      <c r="Q3933" s="66"/>
      <c r="R3933" s="54"/>
      <c r="S3933" s="82"/>
      <c r="T3933" s="83" t="str">
        <f t="shared" si="328"/>
        <v/>
      </c>
      <c r="U3933" s="10"/>
      <c r="V3933" s="41">
        <f>IF(AND(Q3933&lt;&gt;"",RIGHT(Q3933,3)&lt;&gt;""),IF(COUNTIF($Q$6:Q3933,Q3933)=1,1,0),0)</f>
        <v>0</v>
      </c>
      <c r="W3933" s="41" t="str">
        <f t="shared" si="329"/>
        <v/>
      </c>
      <c r="X3933" s="41" t="str">
        <f t="shared" si="330"/>
        <v/>
      </c>
    </row>
    <row r="3934" s="32" customFormat="1" hidden="1" customHeight="1" spans="1:24">
      <c r="A3934" s="34"/>
      <c r="B3934" s="51"/>
      <c r="C3934" s="51"/>
      <c r="D3934" s="52"/>
      <c r="E3934" s="53"/>
      <c r="F3934" s="54"/>
      <c r="G3934" s="54"/>
      <c r="H3934" s="54"/>
      <c r="I3934" s="66"/>
      <c r="J3934" s="54"/>
      <c r="K3934" s="54"/>
      <c r="L3934" s="54"/>
      <c r="M3934" s="97" t="str">
        <f t="shared" si="327"/>
        <v/>
      </c>
      <c r="N3934" s="70"/>
      <c r="O3934" s="71" t="str">
        <f t="shared" si="331"/>
        <v/>
      </c>
      <c r="P3934" s="66"/>
      <c r="Q3934" s="66"/>
      <c r="R3934" s="54"/>
      <c r="S3934" s="82"/>
      <c r="T3934" s="83" t="str">
        <f t="shared" si="328"/>
        <v/>
      </c>
      <c r="U3934" s="10"/>
      <c r="V3934" s="41">
        <f>IF(AND(Q3934&lt;&gt;"",RIGHT(Q3934,3)&lt;&gt;""),IF(COUNTIF($Q$6:Q3934,Q3934)=1,1,0),0)</f>
        <v>0</v>
      </c>
      <c r="W3934" s="41" t="str">
        <f t="shared" si="329"/>
        <v/>
      </c>
      <c r="X3934" s="41" t="str">
        <f t="shared" si="330"/>
        <v/>
      </c>
    </row>
    <row r="3935" s="32" customFormat="1" hidden="1" customHeight="1" spans="1:24">
      <c r="A3935" s="34"/>
      <c r="B3935" s="51"/>
      <c r="C3935" s="51"/>
      <c r="D3935" s="52"/>
      <c r="E3935" s="53"/>
      <c r="F3935" s="54"/>
      <c r="G3935" s="54"/>
      <c r="H3935" s="54"/>
      <c r="I3935" s="66"/>
      <c r="J3935" s="54"/>
      <c r="K3935" s="54"/>
      <c r="L3935" s="54"/>
      <c r="M3935" s="97" t="str">
        <f t="shared" si="327"/>
        <v/>
      </c>
      <c r="N3935" s="70"/>
      <c r="O3935" s="71" t="str">
        <f t="shared" si="331"/>
        <v/>
      </c>
      <c r="P3935" s="66"/>
      <c r="Q3935" s="66"/>
      <c r="R3935" s="54"/>
      <c r="S3935" s="82"/>
      <c r="T3935" s="83" t="str">
        <f t="shared" si="328"/>
        <v/>
      </c>
      <c r="U3935" s="10"/>
      <c r="V3935" s="41">
        <f>IF(AND(Q3935&lt;&gt;"",RIGHT(Q3935,3)&lt;&gt;""),IF(COUNTIF($Q$6:Q3935,Q3935)=1,1,0),0)</f>
        <v>0</v>
      </c>
      <c r="W3935" s="41" t="str">
        <f t="shared" si="329"/>
        <v/>
      </c>
      <c r="X3935" s="41" t="str">
        <f t="shared" si="330"/>
        <v/>
      </c>
    </row>
    <row r="3936" s="32" customFormat="1" hidden="1" customHeight="1" spans="1:24">
      <c r="A3936" s="34"/>
      <c r="B3936" s="51"/>
      <c r="C3936" s="51"/>
      <c r="D3936" s="52"/>
      <c r="E3936" s="53"/>
      <c r="F3936" s="54"/>
      <c r="G3936" s="54"/>
      <c r="H3936" s="54"/>
      <c r="I3936" s="66"/>
      <c r="J3936" s="54"/>
      <c r="K3936" s="54"/>
      <c r="L3936" s="54"/>
      <c r="M3936" s="97" t="str">
        <f t="shared" si="327"/>
        <v/>
      </c>
      <c r="N3936" s="70"/>
      <c r="O3936" s="71" t="str">
        <f t="shared" si="331"/>
        <v/>
      </c>
      <c r="P3936" s="66"/>
      <c r="Q3936" s="66"/>
      <c r="R3936" s="54"/>
      <c r="S3936" s="82"/>
      <c r="T3936" s="83" t="str">
        <f t="shared" si="328"/>
        <v/>
      </c>
      <c r="U3936" s="10"/>
      <c r="V3936" s="41">
        <f>IF(AND(Q3936&lt;&gt;"",RIGHT(Q3936,3)&lt;&gt;""),IF(COUNTIF($Q$6:Q3936,Q3936)=1,1,0),0)</f>
        <v>0</v>
      </c>
      <c r="W3936" s="41" t="str">
        <f t="shared" si="329"/>
        <v/>
      </c>
      <c r="X3936" s="41" t="str">
        <f t="shared" si="330"/>
        <v/>
      </c>
    </row>
    <row r="3937" s="32" customFormat="1" hidden="1" customHeight="1" spans="1:24">
      <c r="A3937" s="34"/>
      <c r="B3937" s="51"/>
      <c r="C3937" s="51"/>
      <c r="D3937" s="52"/>
      <c r="E3937" s="53"/>
      <c r="F3937" s="54"/>
      <c r="G3937" s="54"/>
      <c r="H3937" s="54"/>
      <c r="I3937" s="66"/>
      <c r="J3937" s="54"/>
      <c r="K3937" s="54"/>
      <c r="L3937" s="54"/>
      <c r="M3937" s="97" t="str">
        <f t="shared" si="327"/>
        <v/>
      </c>
      <c r="N3937" s="70"/>
      <c r="O3937" s="71" t="str">
        <f t="shared" si="331"/>
        <v/>
      </c>
      <c r="P3937" s="66"/>
      <c r="Q3937" s="66"/>
      <c r="R3937" s="54"/>
      <c r="S3937" s="82"/>
      <c r="T3937" s="83" t="str">
        <f t="shared" si="328"/>
        <v/>
      </c>
      <c r="U3937" s="10"/>
      <c r="V3937" s="41">
        <f>IF(AND(Q3937&lt;&gt;"",RIGHT(Q3937,3)&lt;&gt;""),IF(COUNTIF($Q$6:Q3937,Q3937)=1,1,0),0)</f>
        <v>0</v>
      </c>
      <c r="W3937" s="41" t="str">
        <f t="shared" si="329"/>
        <v/>
      </c>
      <c r="X3937" s="41" t="str">
        <f t="shared" si="330"/>
        <v/>
      </c>
    </row>
    <row r="3938" s="32" customFormat="1" hidden="1" customHeight="1" spans="1:24">
      <c r="A3938" s="34"/>
      <c r="B3938" s="51"/>
      <c r="C3938" s="51"/>
      <c r="D3938" s="52"/>
      <c r="E3938" s="53"/>
      <c r="F3938" s="54"/>
      <c r="G3938" s="54"/>
      <c r="H3938" s="54"/>
      <c r="I3938" s="66"/>
      <c r="J3938" s="54"/>
      <c r="K3938" s="54"/>
      <c r="L3938" s="54"/>
      <c r="M3938" s="97" t="str">
        <f t="shared" si="327"/>
        <v/>
      </c>
      <c r="N3938" s="70"/>
      <c r="O3938" s="71" t="str">
        <f t="shared" si="331"/>
        <v/>
      </c>
      <c r="P3938" s="66"/>
      <c r="Q3938" s="66"/>
      <c r="R3938" s="54"/>
      <c r="S3938" s="82"/>
      <c r="T3938" s="83" t="str">
        <f t="shared" si="328"/>
        <v/>
      </c>
      <c r="U3938" s="10"/>
      <c r="V3938" s="41">
        <f>IF(AND(Q3938&lt;&gt;"",RIGHT(Q3938,3)&lt;&gt;""),IF(COUNTIF($Q$6:Q3938,Q3938)=1,1,0),0)</f>
        <v>0</v>
      </c>
      <c r="W3938" s="41" t="str">
        <f t="shared" si="329"/>
        <v/>
      </c>
      <c r="X3938" s="41" t="str">
        <f t="shared" si="330"/>
        <v/>
      </c>
    </row>
    <row r="3939" s="32" customFormat="1" hidden="1" customHeight="1" spans="1:24">
      <c r="A3939" s="34"/>
      <c r="B3939" s="51"/>
      <c r="C3939" s="51"/>
      <c r="D3939" s="52"/>
      <c r="E3939" s="53"/>
      <c r="F3939" s="54"/>
      <c r="G3939" s="54"/>
      <c r="H3939" s="54"/>
      <c r="I3939" s="66"/>
      <c r="J3939" s="54"/>
      <c r="K3939" s="54"/>
      <c r="L3939" s="54"/>
      <c r="M3939" s="97" t="str">
        <f t="shared" si="327"/>
        <v/>
      </c>
      <c r="N3939" s="70"/>
      <c r="O3939" s="71" t="str">
        <f t="shared" si="331"/>
        <v/>
      </c>
      <c r="P3939" s="66"/>
      <c r="Q3939" s="66"/>
      <c r="R3939" s="54"/>
      <c r="S3939" s="82"/>
      <c r="T3939" s="83" t="str">
        <f t="shared" si="328"/>
        <v/>
      </c>
      <c r="U3939" s="10"/>
      <c r="V3939" s="41">
        <f>IF(AND(Q3939&lt;&gt;"",RIGHT(Q3939,3)&lt;&gt;""),IF(COUNTIF($Q$6:Q3939,Q3939)=1,1,0),0)</f>
        <v>0</v>
      </c>
      <c r="W3939" s="41" t="str">
        <f t="shared" si="329"/>
        <v/>
      </c>
      <c r="X3939" s="41" t="str">
        <f t="shared" si="330"/>
        <v/>
      </c>
    </row>
    <row r="3940" s="32" customFormat="1" hidden="1" customHeight="1" spans="1:24">
      <c r="A3940" s="34"/>
      <c r="B3940" s="51"/>
      <c r="C3940" s="51"/>
      <c r="D3940" s="52"/>
      <c r="E3940" s="53"/>
      <c r="F3940" s="54"/>
      <c r="G3940" s="54"/>
      <c r="H3940" s="54"/>
      <c r="I3940" s="66"/>
      <c r="J3940" s="54"/>
      <c r="K3940" s="54"/>
      <c r="L3940" s="54"/>
      <c r="M3940" s="97" t="str">
        <f t="shared" ref="M3940:M4003" si="332">IF(L3940="","",HYPERLINK(_xlfn.CONCAT($L$4,L3940,".jpg"),"Open File"))</f>
        <v/>
      </c>
      <c r="N3940" s="70"/>
      <c r="O3940" s="71" t="str">
        <f t="shared" si="331"/>
        <v/>
      </c>
      <c r="P3940" s="66"/>
      <c r="Q3940" s="66"/>
      <c r="R3940" s="54"/>
      <c r="S3940" s="82"/>
      <c r="T3940" s="83" t="str">
        <f t="shared" ref="T3940:T4003" si="333">IF(S3940="","",HYPERLINK(_xlfn.CONCAT($S$4,S3940,".jpg"),"Open File"))</f>
        <v/>
      </c>
      <c r="U3940" s="10"/>
      <c r="V3940" s="41">
        <f>IF(AND(Q3940&lt;&gt;"",RIGHT(Q3940,3)&lt;&gt;""),IF(COUNTIF($Q$6:Q3940,Q3940)=1,1,0),0)</f>
        <v>0</v>
      </c>
      <c r="W3940" s="41" t="str">
        <f t="shared" ref="W3940:W4003" si="334">IF(AND(J3940&lt;&gt;"",K3940&lt;&gt;""),_xlfn.CONCAT(SUBSTITUTE(J3940,"/","."),"-",K3940),"")</f>
        <v/>
      </c>
      <c r="X3940" s="41" t="str">
        <f t="shared" ref="X3940:X4003" si="335">IF(AND(Q3940&lt;&gt;"",R3940&lt;&gt;""),_xlfn.CONCAT(SUBSTITUTE(Q3940,"/","."),"-",R3940),"")</f>
        <v/>
      </c>
    </row>
    <row r="3941" s="32" customFormat="1" hidden="1" customHeight="1" spans="1:24">
      <c r="A3941" s="34"/>
      <c r="B3941" s="51"/>
      <c r="C3941" s="51"/>
      <c r="D3941" s="52"/>
      <c r="E3941" s="53"/>
      <c r="F3941" s="54"/>
      <c r="G3941" s="54"/>
      <c r="H3941" s="54"/>
      <c r="I3941" s="66"/>
      <c r="J3941" s="54"/>
      <c r="K3941" s="54"/>
      <c r="L3941" s="54"/>
      <c r="M3941" s="97" t="str">
        <f t="shared" si="332"/>
        <v/>
      </c>
      <c r="N3941" s="70"/>
      <c r="O3941" s="71" t="str">
        <f t="shared" si="331"/>
        <v/>
      </c>
      <c r="P3941" s="66"/>
      <c r="Q3941" s="66"/>
      <c r="R3941" s="54"/>
      <c r="S3941" s="82"/>
      <c r="T3941" s="83" t="str">
        <f t="shared" si="333"/>
        <v/>
      </c>
      <c r="U3941" s="10"/>
      <c r="V3941" s="41">
        <f>IF(AND(Q3941&lt;&gt;"",RIGHT(Q3941,3)&lt;&gt;""),IF(COUNTIF($Q$6:Q3941,Q3941)=1,1,0),0)</f>
        <v>0</v>
      </c>
      <c r="W3941" s="41" t="str">
        <f t="shared" si="334"/>
        <v/>
      </c>
      <c r="X3941" s="41" t="str">
        <f t="shared" si="335"/>
        <v/>
      </c>
    </row>
    <row r="3942" s="32" customFormat="1" hidden="1" customHeight="1" spans="1:24">
      <c r="A3942" s="34"/>
      <c r="B3942" s="51"/>
      <c r="C3942" s="51"/>
      <c r="D3942" s="52"/>
      <c r="E3942" s="53"/>
      <c r="F3942" s="54"/>
      <c r="G3942" s="54"/>
      <c r="H3942" s="54"/>
      <c r="I3942" s="66"/>
      <c r="J3942" s="54"/>
      <c r="K3942" s="54"/>
      <c r="L3942" s="54"/>
      <c r="M3942" s="97" t="str">
        <f t="shared" si="332"/>
        <v/>
      </c>
      <c r="N3942" s="70"/>
      <c r="O3942" s="71" t="str">
        <f t="shared" si="331"/>
        <v/>
      </c>
      <c r="P3942" s="66"/>
      <c r="Q3942" s="66"/>
      <c r="R3942" s="54"/>
      <c r="S3942" s="82"/>
      <c r="T3942" s="83" t="str">
        <f t="shared" si="333"/>
        <v/>
      </c>
      <c r="U3942" s="10"/>
      <c r="V3942" s="41">
        <f>IF(AND(Q3942&lt;&gt;"",RIGHT(Q3942,3)&lt;&gt;""),IF(COUNTIF($Q$6:Q3942,Q3942)=1,1,0),0)</f>
        <v>0</v>
      </c>
      <c r="W3942" s="41" t="str">
        <f t="shared" si="334"/>
        <v/>
      </c>
      <c r="X3942" s="41" t="str">
        <f t="shared" si="335"/>
        <v/>
      </c>
    </row>
    <row r="3943" s="32" customFormat="1" hidden="1" customHeight="1" spans="1:24">
      <c r="A3943" s="34"/>
      <c r="B3943" s="51"/>
      <c r="C3943" s="51"/>
      <c r="D3943" s="52"/>
      <c r="E3943" s="53"/>
      <c r="F3943" s="54"/>
      <c r="G3943" s="54"/>
      <c r="H3943" s="54"/>
      <c r="I3943" s="66"/>
      <c r="J3943" s="54"/>
      <c r="K3943" s="54"/>
      <c r="L3943" s="54"/>
      <c r="M3943" s="97" t="str">
        <f t="shared" si="332"/>
        <v/>
      </c>
      <c r="N3943" s="70"/>
      <c r="O3943" s="71" t="str">
        <f t="shared" si="331"/>
        <v/>
      </c>
      <c r="P3943" s="66"/>
      <c r="Q3943" s="66"/>
      <c r="R3943" s="54"/>
      <c r="S3943" s="82"/>
      <c r="T3943" s="83" t="str">
        <f t="shared" si="333"/>
        <v/>
      </c>
      <c r="U3943" s="10"/>
      <c r="V3943" s="41">
        <f>IF(AND(Q3943&lt;&gt;"",RIGHT(Q3943,3)&lt;&gt;""),IF(COUNTIF($Q$6:Q3943,Q3943)=1,1,0),0)</f>
        <v>0</v>
      </c>
      <c r="W3943" s="41" t="str">
        <f t="shared" si="334"/>
        <v/>
      </c>
      <c r="X3943" s="41" t="str">
        <f t="shared" si="335"/>
        <v/>
      </c>
    </row>
    <row r="3944" s="32" customFormat="1" hidden="1" customHeight="1" spans="1:24">
      <c r="A3944" s="34"/>
      <c r="B3944" s="51"/>
      <c r="C3944" s="51"/>
      <c r="D3944" s="52"/>
      <c r="E3944" s="53"/>
      <c r="F3944" s="54"/>
      <c r="G3944" s="54"/>
      <c r="H3944" s="54"/>
      <c r="I3944" s="66"/>
      <c r="J3944" s="54"/>
      <c r="K3944" s="54"/>
      <c r="L3944" s="54"/>
      <c r="M3944" s="97" t="str">
        <f t="shared" si="332"/>
        <v/>
      </c>
      <c r="N3944" s="70"/>
      <c r="O3944" s="71" t="str">
        <f t="shared" si="331"/>
        <v/>
      </c>
      <c r="P3944" s="66"/>
      <c r="Q3944" s="66"/>
      <c r="R3944" s="54"/>
      <c r="S3944" s="82"/>
      <c r="T3944" s="83" t="str">
        <f t="shared" si="333"/>
        <v/>
      </c>
      <c r="U3944" s="10"/>
      <c r="V3944" s="41">
        <f>IF(AND(Q3944&lt;&gt;"",RIGHT(Q3944,3)&lt;&gt;""),IF(COUNTIF($Q$6:Q3944,Q3944)=1,1,0),0)</f>
        <v>0</v>
      </c>
      <c r="W3944" s="41" t="str">
        <f t="shared" si="334"/>
        <v/>
      </c>
      <c r="X3944" s="41" t="str">
        <f t="shared" si="335"/>
        <v/>
      </c>
    </row>
    <row r="3945" s="32" customFormat="1" hidden="1" customHeight="1" spans="1:24">
      <c r="A3945" s="34"/>
      <c r="B3945" s="51"/>
      <c r="C3945" s="51"/>
      <c r="D3945" s="52"/>
      <c r="E3945" s="53"/>
      <c r="F3945" s="54"/>
      <c r="G3945" s="54"/>
      <c r="H3945" s="54"/>
      <c r="I3945" s="66"/>
      <c r="J3945" s="54"/>
      <c r="K3945" s="54"/>
      <c r="L3945" s="54"/>
      <c r="M3945" s="97" t="str">
        <f t="shared" si="332"/>
        <v/>
      </c>
      <c r="N3945" s="70"/>
      <c r="O3945" s="71" t="str">
        <f t="shared" si="331"/>
        <v/>
      </c>
      <c r="P3945" s="66"/>
      <c r="Q3945" s="66"/>
      <c r="R3945" s="54"/>
      <c r="S3945" s="82"/>
      <c r="T3945" s="83" t="str">
        <f t="shared" si="333"/>
        <v/>
      </c>
      <c r="U3945" s="10"/>
      <c r="V3945" s="41">
        <f>IF(AND(Q3945&lt;&gt;"",RIGHT(Q3945,3)&lt;&gt;""),IF(COUNTIF($Q$6:Q3945,Q3945)=1,1,0),0)</f>
        <v>0</v>
      </c>
      <c r="W3945" s="41" t="str">
        <f t="shared" si="334"/>
        <v/>
      </c>
      <c r="X3945" s="41" t="str">
        <f t="shared" si="335"/>
        <v/>
      </c>
    </row>
    <row r="3946" s="32" customFormat="1" hidden="1" customHeight="1" spans="1:24">
      <c r="A3946" s="34"/>
      <c r="B3946" s="51"/>
      <c r="C3946" s="51"/>
      <c r="D3946" s="52"/>
      <c r="E3946" s="53"/>
      <c r="F3946" s="54"/>
      <c r="G3946" s="54"/>
      <c r="H3946" s="54"/>
      <c r="I3946" s="66"/>
      <c r="J3946" s="54"/>
      <c r="K3946" s="54"/>
      <c r="L3946" s="54"/>
      <c r="M3946" s="97" t="str">
        <f t="shared" si="332"/>
        <v/>
      </c>
      <c r="N3946" s="70"/>
      <c r="O3946" s="71" t="str">
        <f t="shared" si="331"/>
        <v/>
      </c>
      <c r="P3946" s="66"/>
      <c r="Q3946" s="66"/>
      <c r="R3946" s="54"/>
      <c r="S3946" s="82"/>
      <c r="T3946" s="83" t="str">
        <f t="shared" si="333"/>
        <v/>
      </c>
      <c r="U3946" s="10"/>
      <c r="V3946" s="41">
        <f>IF(AND(Q3946&lt;&gt;"",RIGHT(Q3946,3)&lt;&gt;""),IF(COUNTIF($Q$6:Q3946,Q3946)=1,1,0),0)</f>
        <v>0</v>
      </c>
      <c r="W3946" s="41" t="str">
        <f t="shared" si="334"/>
        <v/>
      </c>
      <c r="X3946" s="41" t="str">
        <f t="shared" si="335"/>
        <v/>
      </c>
    </row>
    <row r="3947" s="32" customFormat="1" hidden="1" customHeight="1" spans="1:24">
      <c r="A3947" s="34"/>
      <c r="B3947" s="51"/>
      <c r="C3947" s="51"/>
      <c r="D3947" s="52"/>
      <c r="E3947" s="53"/>
      <c r="F3947" s="54"/>
      <c r="G3947" s="54"/>
      <c r="H3947" s="54"/>
      <c r="I3947" s="66"/>
      <c r="J3947" s="54"/>
      <c r="K3947" s="54"/>
      <c r="L3947" s="54"/>
      <c r="M3947" s="97" t="str">
        <f t="shared" si="332"/>
        <v/>
      </c>
      <c r="N3947" s="70"/>
      <c r="O3947" s="71" t="str">
        <f t="shared" si="331"/>
        <v/>
      </c>
      <c r="P3947" s="66"/>
      <c r="Q3947" s="66"/>
      <c r="R3947" s="54"/>
      <c r="S3947" s="82"/>
      <c r="T3947" s="83" t="str">
        <f t="shared" si="333"/>
        <v/>
      </c>
      <c r="U3947" s="10"/>
      <c r="V3947" s="41">
        <f>IF(AND(Q3947&lt;&gt;"",RIGHT(Q3947,3)&lt;&gt;""),IF(COUNTIF($Q$6:Q3947,Q3947)=1,1,0),0)</f>
        <v>0</v>
      </c>
      <c r="W3947" s="41" t="str">
        <f t="shared" si="334"/>
        <v/>
      </c>
      <c r="X3947" s="41" t="str">
        <f t="shared" si="335"/>
        <v/>
      </c>
    </row>
    <row r="3948" s="32" customFormat="1" hidden="1" customHeight="1" spans="1:24">
      <c r="A3948" s="34"/>
      <c r="B3948" s="51"/>
      <c r="C3948" s="51"/>
      <c r="D3948" s="52"/>
      <c r="E3948" s="53"/>
      <c r="F3948" s="54"/>
      <c r="G3948" s="54"/>
      <c r="H3948" s="54"/>
      <c r="I3948" s="66"/>
      <c r="J3948" s="54"/>
      <c r="K3948" s="54"/>
      <c r="L3948" s="54"/>
      <c r="M3948" s="97" t="str">
        <f t="shared" si="332"/>
        <v/>
      </c>
      <c r="N3948" s="70"/>
      <c r="O3948" s="71" t="str">
        <f t="shared" si="331"/>
        <v/>
      </c>
      <c r="P3948" s="66"/>
      <c r="Q3948" s="66"/>
      <c r="R3948" s="54"/>
      <c r="S3948" s="82"/>
      <c r="T3948" s="83" t="str">
        <f t="shared" si="333"/>
        <v/>
      </c>
      <c r="U3948" s="10"/>
      <c r="V3948" s="41">
        <f>IF(AND(Q3948&lt;&gt;"",RIGHT(Q3948,3)&lt;&gt;""),IF(COUNTIF($Q$6:Q3948,Q3948)=1,1,0),0)</f>
        <v>0</v>
      </c>
      <c r="W3948" s="41" t="str">
        <f t="shared" si="334"/>
        <v/>
      </c>
      <c r="X3948" s="41" t="str">
        <f t="shared" si="335"/>
        <v/>
      </c>
    </row>
    <row r="3949" s="32" customFormat="1" hidden="1" customHeight="1" spans="1:24">
      <c r="A3949" s="34"/>
      <c r="B3949" s="51"/>
      <c r="C3949" s="51"/>
      <c r="D3949" s="52"/>
      <c r="E3949" s="53"/>
      <c r="F3949" s="54"/>
      <c r="G3949" s="54"/>
      <c r="H3949" s="54"/>
      <c r="I3949" s="66"/>
      <c r="J3949" s="54"/>
      <c r="K3949" s="54"/>
      <c r="L3949" s="54"/>
      <c r="M3949" s="97" t="str">
        <f t="shared" si="332"/>
        <v/>
      </c>
      <c r="N3949" s="70"/>
      <c r="O3949" s="71" t="str">
        <f t="shared" si="331"/>
        <v/>
      </c>
      <c r="P3949" s="66"/>
      <c r="Q3949" s="66"/>
      <c r="R3949" s="54"/>
      <c r="S3949" s="82"/>
      <c r="T3949" s="83" t="str">
        <f t="shared" si="333"/>
        <v/>
      </c>
      <c r="U3949" s="10"/>
      <c r="V3949" s="41">
        <f>IF(AND(Q3949&lt;&gt;"",RIGHT(Q3949,3)&lt;&gt;""),IF(COUNTIF($Q$6:Q3949,Q3949)=1,1,0),0)</f>
        <v>0</v>
      </c>
      <c r="W3949" s="41" t="str">
        <f t="shared" si="334"/>
        <v/>
      </c>
      <c r="X3949" s="41" t="str">
        <f t="shared" si="335"/>
        <v/>
      </c>
    </row>
    <row r="3950" s="32" customFormat="1" hidden="1" customHeight="1" spans="1:24">
      <c r="A3950" s="34"/>
      <c r="B3950" s="51"/>
      <c r="C3950" s="51"/>
      <c r="D3950" s="52"/>
      <c r="E3950" s="53"/>
      <c r="F3950" s="54"/>
      <c r="G3950" s="54"/>
      <c r="H3950" s="54"/>
      <c r="I3950" s="66"/>
      <c r="J3950" s="54"/>
      <c r="K3950" s="54"/>
      <c r="L3950" s="54"/>
      <c r="M3950" s="97" t="str">
        <f t="shared" si="332"/>
        <v/>
      </c>
      <c r="N3950" s="70"/>
      <c r="O3950" s="71" t="str">
        <f t="shared" si="331"/>
        <v/>
      </c>
      <c r="P3950" s="66"/>
      <c r="Q3950" s="66"/>
      <c r="R3950" s="54"/>
      <c r="S3950" s="82"/>
      <c r="T3950" s="83" t="str">
        <f t="shared" si="333"/>
        <v/>
      </c>
      <c r="U3950" s="10"/>
      <c r="V3950" s="41">
        <f>IF(AND(Q3950&lt;&gt;"",RIGHT(Q3950,3)&lt;&gt;""),IF(COUNTIF($Q$6:Q3950,Q3950)=1,1,0),0)</f>
        <v>0</v>
      </c>
      <c r="W3950" s="41" t="str">
        <f t="shared" si="334"/>
        <v/>
      </c>
      <c r="X3950" s="41" t="str">
        <f t="shared" si="335"/>
        <v/>
      </c>
    </row>
    <row r="3951" s="32" customFormat="1" hidden="1" customHeight="1" spans="1:24">
      <c r="A3951" s="34"/>
      <c r="B3951" s="51"/>
      <c r="C3951" s="51"/>
      <c r="D3951" s="52"/>
      <c r="E3951" s="53"/>
      <c r="F3951" s="54"/>
      <c r="G3951" s="54"/>
      <c r="H3951" s="54"/>
      <c r="I3951" s="66"/>
      <c r="J3951" s="54"/>
      <c r="K3951" s="54"/>
      <c r="L3951" s="54"/>
      <c r="M3951" s="97" t="str">
        <f t="shared" si="332"/>
        <v/>
      </c>
      <c r="N3951" s="70"/>
      <c r="O3951" s="71" t="str">
        <f t="shared" si="331"/>
        <v/>
      </c>
      <c r="P3951" s="66"/>
      <c r="Q3951" s="66"/>
      <c r="R3951" s="54"/>
      <c r="S3951" s="82"/>
      <c r="T3951" s="83" t="str">
        <f t="shared" si="333"/>
        <v/>
      </c>
      <c r="U3951" s="10"/>
      <c r="V3951" s="41">
        <f>IF(AND(Q3951&lt;&gt;"",RIGHT(Q3951,3)&lt;&gt;""),IF(COUNTIF($Q$6:Q3951,Q3951)=1,1,0),0)</f>
        <v>0</v>
      </c>
      <c r="W3951" s="41" t="str">
        <f t="shared" si="334"/>
        <v/>
      </c>
      <c r="X3951" s="41" t="str">
        <f t="shared" si="335"/>
        <v/>
      </c>
    </row>
    <row r="3952" s="32" customFormat="1" hidden="1" customHeight="1" spans="1:24">
      <c r="A3952" s="34"/>
      <c r="B3952" s="51"/>
      <c r="C3952" s="51"/>
      <c r="D3952" s="52"/>
      <c r="E3952" s="53"/>
      <c r="F3952" s="54"/>
      <c r="G3952" s="54"/>
      <c r="H3952" s="54"/>
      <c r="I3952" s="66"/>
      <c r="J3952" s="54"/>
      <c r="K3952" s="54"/>
      <c r="L3952" s="54"/>
      <c r="M3952" s="97" t="str">
        <f t="shared" si="332"/>
        <v/>
      </c>
      <c r="N3952" s="70"/>
      <c r="O3952" s="71" t="str">
        <f t="shared" si="331"/>
        <v/>
      </c>
      <c r="P3952" s="66"/>
      <c r="Q3952" s="66"/>
      <c r="R3952" s="54"/>
      <c r="S3952" s="82"/>
      <c r="T3952" s="83" t="str">
        <f t="shared" si="333"/>
        <v/>
      </c>
      <c r="U3952" s="10"/>
      <c r="V3952" s="41">
        <f>IF(AND(Q3952&lt;&gt;"",RIGHT(Q3952,3)&lt;&gt;""),IF(COUNTIF($Q$6:Q3952,Q3952)=1,1,0),0)</f>
        <v>0</v>
      </c>
      <c r="W3952" s="41" t="str">
        <f t="shared" si="334"/>
        <v/>
      </c>
      <c r="X3952" s="41" t="str">
        <f t="shared" si="335"/>
        <v/>
      </c>
    </row>
    <row r="3953" s="32" customFormat="1" hidden="1" customHeight="1" spans="1:24">
      <c r="A3953" s="34"/>
      <c r="B3953" s="51"/>
      <c r="C3953" s="51"/>
      <c r="D3953" s="52"/>
      <c r="E3953" s="53"/>
      <c r="F3953" s="54"/>
      <c r="G3953" s="54"/>
      <c r="H3953" s="54"/>
      <c r="I3953" s="66"/>
      <c r="J3953" s="54"/>
      <c r="K3953" s="54"/>
      <c r="L3953" s="54"/>
      <c r="M3953" s="97" t="str">
        <f t="shared" si="332"/>
        <v/>
      </c>
      <c r="N3953" s="70"/>
      <c r="O3953" s="71" t="str">
        <f t="shared" ref="O3953:O4016" si="336">IF(AND(Q3953&lt;&gt;"",T3953&lt;&gt;""),"PASSIVE",IF(AND(J3953&lt;&gt;"",M3953&lt;&gt;""),"ACTIVE",""))</f>
        <v/>
      </c>
      <c r="P3953" s="66"/>
      <c r="Q3953" s="66"/>
      <c r="R3953" s="54"/>
      <c r="S3953" s="82"/>
      <c r="T3953" s="83" t="str">
        <f t="shared" si="333"/>
        <v/>
      </c>
      <c r="U3953" s="10"/>
      <c r="V3953" s="41">
        <f>IF(AND(Q3953&lt;&gt;"",RIGHT(Q3953,3)&lt;&gt;""),IF(COUNTIF($Q$6:Q3953,Q3953)=1,1,0),0)</f>
        <v>0</v>
      </c>
      <c r="W3953" s="41" t="str">
        <f t="shared" si="334"/>
        <v/>
      </c>
      <c r="X3953" s="41" t="str">
        <f t="shared" si="335"/>
        <v/>
      </c>
    </row>
    <row r="3954" s="32" customFormat="1" hidden="1" customHeight="1" spans="1:24">
      <c r="A3954" s="34"/>
      <c r="B3954" s="51"/>
      <c r="C3954" s="51"/>
      <c r="D3954" s="52"/>
      <c r="E3954" s="53"/>
      <c r="F3954" s="54"/>
      <c r="G3954" s="54"/>
      <c r="H3954" s="54"/>
      <c r="I3954" s="66"/>
      <c r="J3954" s="54"/>
      <c r="K3954" s="54"/>
      <c r="L3954" s="54"/>
      <c r="M3954" s="97" t="str">
        <f t="shared" si="332"/>
        <v/>
      </c>
      <c r="N3954" s="70"/>
      <c r="O3954" s="71" t="str">
        <f t="shared" si="336"/>
        <v/>
      </c>
      <c r="P3954" s="66"/>
      <c r="Q3954" s="66"/>
      <c r="R3954" s="54"/>
      <c r="S3954" s="82"/>
      <c r="T3954" s="83" t="str">
        <f t="shared" si="333"/>
        <v/>
      </c>
      <c r="U3954" s="10"/>
      <c r="V3954" s="41">
        <f>IF(AND(Q3954&lt;&gt;"",RIGHT(Q3954,3)&lt;&gt;""),IF(COUNTIF($Q$6:Q3954,Q3954)=1,1,0),0)</f>
        <v>0</v>
      </c>
      <c r="W3954" s="41" t="str">
        <f t="shared" si="334"/>
        <v/>
      </c>
      <c r="X3954" s="41" t="str">
        <f t="shared" si="335"/>
        <v/>
      </c>
    </row>
    <row r="3955" s="32" customFormat="1" hidden="1" customHeight="1" spans="1:24">
      <c r="A3955" s="34"/>
      <c r="B3955" s="51"/>
      <c r="C3955" s="51"/>
      <c r="D3955" s="52"/>
      <c r="E3955" s="53"/>
      <c r="F3955" s="54"/>
      <c r="G3955" s="54"/>
      <c r="H3955" s="54"/>
      <c r="I3955" s="66"/>
      <c r="J3955" s="54"/>
      <c r="K3955" s="54"/>
      <c r="L3955" s="54"/>
      <c r="M3955" s="97" t="str">
        <f t="shared" si="332"/>
        <v/>
      </c>
      <c r="N3955" s="70"/>
      <c r="O3955" s="71" t="str">
        <f t="shared" si="336"/>
        <v/>
      </c>
      <c r="P3955" s="66"/>
      <c r="Q3955" s="66"/>
      <c r="R3955" s="54"/>
      <c r="S3955" s="82"/>
      <c r="T3955" s="83" t="str">
        <f t="shared" si="333"/>
        <v/>
      </c>
      <c r="U3955" s="10"/>
      <c r="V3955" s="41">
        <f>IF(AND(Q3955&lt;&gt;"",RIGHT(Q3955,3)&lt;&gt;""),IF(COUNTIF($Q$6:Q3955,Q3955)=1,1,0),0)</f>
        <v>0</v>
      </c>
      <c r="W3955" s="41" t="str">
        <f t="shared" si="334"/>
        <v/>
      </c>
      <c r="X3955" s="41" t="str">
        <f t="shared" si="335"/>
        <v/>
      </c>
    </row>
    <row r="3956" s="32" customFormat="1" hidden="1" customHeight="1" spans="1:24">
      <c r="A3956" s="34"/>
      <c r="B3956" s="51"/>
      <c r="C3956" s="51"/>
      <c r="D3956" s="52"/>
      <c r="E3956" s="53"/>
      <c r="F3956" s="54"/>
      <c r="G3956" s="54"/>
      <c r="H3956" s="54"/>
      <c r="I3956" s="66"/>
      <c r="J3956" s="54"/>
      <c r="K3956" s="54"/>
      <c r="L3956" s="54"/>
      <c r="M3956" s="97" t="str">
        <f t="shared" si="332"/>
        <v/>
      </c>
      <c r="N3956" s="70"/>
      <c r="O3956" s="71" t="str">
        <f t="shared" si="336"/>
        <v/>
      </c>
      <c r="P3956" s="66"/>
      <c r="Q3956" s="66"/>
      <c r="R3956" s="54"/>
      <c r="S3956" s="82"/>
      <c r="T3956" s="83" t="str">
        <f t="shared" si="333"/>
        <v/>
      </c>
      <c r="U3956" s="10"/>
      <c r="V3956" s="41">
        <f>IF(AND(Q3956&lt;&gt;"",RIGHT(Q3956,3)&lt;&gt;""),IF(COUNTIF($Q$6:Q3956,Q3956)=1,1,0),0)</f>
        <v>0</v>
      </c>
      <c r="W3956" s="41" t="str">
        <f t="shared" si="334"/>
        <v/>
      </c>
      <c r="X3956" s="41" t="str">
        <f t="shared" si="335"/>
        <v/>
      </c>
    </row>
    <row r="3957" s="32" customFormat="1" hidden="1" customHeight="1" spans="1:24">
      <c r="A3957" s="34"/>
      <c r="B3957" s="51"/>
      <c r="C3957" s="51"/>
      <c r="D3957" s="52"/>
      <c r="E3957" s="53"/>
      <c r="F3957" s="54"/>
      <c r="G3957" s="54"/>
      <c r="H3957" s="54"/>
      <c r="I3957" s="66"/>
      <c r="J3957" s="54"/>
      <c r="K3957" s="54"/>
      <c r="L3957" s="54"/>
      <c r="M3957" s="97" t="str">
        <f t="shared" si="332"/>
        <v/>
      </c>
      <c r="N3957" s="70"/>
      <c r="O3957" s="71" t="str">
        <f t="shared" si="336"/>
        <v/>
      </c>
      <c r="P3957" s="66"/>
      <c r="Q3957" s="66"/>
      <c r="R3957" s="54"/>
      <c r="S3957" s="82"/>
      <c r="T3957" s="83" t="str">
        <f t="shared" si="333"/>
        <v/>
      </c>
      <c r="U3957" s="10"/>
      <c r="V3957" s="41">
        <f>IF(AND(Q3957&lt;&gt;"",RIGHT(Q3957,3)&lt;&gt;""),IF(COUNTIF($Q$6:Q3957,Q3957)=1,1,0),0)</f>
        <v>0</v>
      </c>
      <c r="W3957" s="41" t="str">
        <f t="shared" si="334"/>
        <v/>
      </c>
      <c r="X3957" s="41" t="str">
        <f t="shared" si="335"/>
        <v/>
      </c>
    </row>
    <row r="3958" s="32" customFormat="1" hidden="1" customHeight="1" spans="1:24">
      <c r="A3958" s="34"/>
      <c r="B3958" s="51"/>
      <c r="C3958" s="51"/>
      <c r="D3958" s="52"/>
      <c r="E3958" s="53"/>
      <c r="F3958" s="54"/>
      <c r="G3958" s="54"/>
      <c r="H3958" s="54"/>
      <c r="I3958" s="66"/>
      <c r="J3958" s="54"/>
      <c r="K3958" s="54"/>
      <c r="L3958" s="54"/>
      <c r="M3958" s="97" t="str">
        <f t="shared" si="332"/>
        <v/>
      </c>
      <c r="N3958" s="70"/>
      <c r="O3958" s="71" t="str">
        <f t="shared" si="336"/>
        <v/>
      </c>
      <c r="P3958" s="66"/>
      <c r="Q3958" s="66"/>
      <c r="R3958" s="54"/>
      <c r="S3958" s="82"/>
      <c r="T3958" s="83" t="str">
        <f t="shared" si="333"/>
        <v/>
      </c>
      <c r="U3958" s="10"/>
      <c r="V3958" s="41">
        <f>IF(AND(Q3958&lt;&gt;"",RIGHT(Q3958,3)&lt;&gt;""),IF(COUNTIF($Q$6:Q3958,Q3958)=1,1,0),0)</f>
        <v>0</v>
      </c>
      <c r="W3958" s="41" t="str">
        <f t="shared" si="334"/>
        <v/>
      </c>
      <c r="X3958" s="41" t="str">
        <f t="shared" si="335"/>
        <v/>
      </c>
    </row>
    <row r="3959" s="32" customFormat="1" hidden="1" customHeight="1" spans="1:24">
      <c r="A3959" s="34"/>
      <c r="B3959" s="51"/>
      <c r="C3959" s="51"/>
      <c r="D3959" s="52"/>
      <c r="E3959" s="53"/>
      <c r="F3959" s="54"/>
      <c r="G3959" s="54"/>
      <c r="H3959" s="54"/>
      <c r="I3959" s="66"/>
      <c r="J3959" s="54"/>
      <c r="K3959" s="54"/>
      <c r="L3959" s="54"/>
      <c r="M3959" s="97" t="str">
        <f t="shared" si="332"/>
        <v/>
      </c>
      <c r="N3959" s="70"/>
      <c r="O3959" s="71" t="str">
        <f t="shared" si="336"/>
        <v/>
      </c>
      <c r="P3959" s="66"/>
      <c r="Q3959" s="66"/>
      <c r="R3959" s="54"/>
      <c r="S3959" s="82"/>
      <c r="T3959" s="83" t="str">
        <f t="shared" si="333"/>
        <v/>
      </c>
      <c r="U3959" s="10"/>
      <c r="V3959" s="41">
        <f>IF(AND(Q3959&lt;&gt;"",RIGHT(Q3959,3)&lt;&gt;""),IF(COUNTIF($Q$6:Q3959,Q3959)=1,1,0),0)</f>
        <v>0</v>
      </c>
      <c r="W3959" s="41" t="str">
        <f t="shared" si="334"/>
        <v/>
      </c>
      <c r="X3959" s="41" t="str">
        <f t="shared" si="335"/>
        <v/>
      </c>
    </row>
    <row r="3960" s="32" customFormat="1" hidden="1" customHeight="1" spans="1:24">
      <c r="A3960" s="34"/>
      <c r="B3960" s="51"/>
      <c r="C3960" s="51"/>
      <c r="D3960" s="52"/>
      <c r="E3960" s="53"/>
      <c r="F3960" s="54"/>
      <c r="G3960" s="54"/>
      <c r="H3960" s="54"/>
      <c r="I3960" s="66"/>
      <c r="J3960" s="54"/>
      <c r="K3960" s="54"/>
      <c r="L3960" s="54"/>
      <c r="M3960" s="97" t="str">
        <f t="shared" si="332"/>
        <v/>
      </c>
      <c r="N3960" s="70"/>
      <c r="O3960" s="71" t="str">
        <f t="shared" si="336"/>
        <v/>
      </c>
      <c r="P3960" s="66"/>
      <c r="Q3960" s="66"/>
      <c r="R3960" s="54"/>
      <c r="S3960" s="82"/>
      <c r="T3960" s="83" t="str">
        <f t="shared" si="333"/>
        <v/>
      </c>
      <c r="U3960" s="10"/>
      <c r="V3960" s="41">
        <f>IF(AND(Q3960&lt;&gt;"",RIGHT(Q3960,3)&lt;&gt;""),IF(COUNTIF($Q$6:Q3960,Q3960)=1,1,0),0)</f>
        <v>0</v>
      </c>
      <c r="W3960" s="41" t="str">
        <f t="shared" si="334"/>
        <v/>
      </c>
      <c r="X3960" s="41" t="str">
        <f t="shared" si="335"/>
        <v/>
      </c>
    </row>
    <row r="3961" s="32" customFormat="1" hidden="1" customHeight="1" spans="1:24">
      <c r="A3961" s="34"/>
      <c r="B3961" s="51"/>
      <c r="C3961" s="51"/>
      <c r="D3961" s="52"/>
      <c r="E3961" s="53"/>
      <c r="F3961" s="54"/>
      <c r="G3961" s="54"/>
      <c r="H3961" s="54"/>
      <c r="I3961" s="66"/>
      <c r="J3961" s="54"/>
      <c r="K3961" s="54"/>
      <c r="L3961" s="54"/>
      <c r="M3961" s="97" t="str">
        <f t="shared" si="332"/>
        <v/>
      </c>
      <c r="N3961" s="70"/>
      <c r="O3961" s="71" t="str">
        <f t="shared" si="336"/>
        <v/>
      </c>
      <c r="P3961" s="66"/>
      <c r="Q3961" s="66"/>
      <c r="R3961" s="54"/>
      <c r="S3961" s="82"/>
      <c r="T3961" s="83" t="str">
        <f t="shared" si="333"/>
        <v/>
      </c>
      <c r="U3961" s="10"/>
      <c r="V3961" s="41">
        <f>IF(AND(Q3961&lt;&gt;"",RIGHT(Q3961,3)&lt;&gt;""),IF(COUNTIF($Q$6:Q3961,Q3961)=1,1,0),0)</f>
        <v>0</v>
      </c>
      <c r="W3961" s="41" t="str">
        <f t="shared" si="334"/>
        <v/>
      </c>
      <c r="X3961" s="41" t="str">
        <f t="shared" si="335"/>
        <v/>
      </c>
    </row>
    <row r="3962" s="32" customFormat="1" hidden="1" customHeight="1" spans="1:24">
      <c r="A3962" s="34"/>
      <c r="B3962" s="51"/>
      <c r="C3962" s="51"/>
      <c r="D3962" s="52"/>
      <c r="E3962" s="53"/>
      <c r="F3962" s="54"/>
      <c r="G3962" s="54"/>
      <c r="H3962" s="54"/>
      <c r="I3962" s="66"/>
      <c r="J3962" s="54"/>
      <c r="K3962" s="54"/>
      <c r="L3962" s="54"/>
      <c r="M3962" s="97" t="str">
        <f t="shared" si="332"/>
        <v/>
      </c>
      <c r="N3962" s="70"/>
      <c r="O3962" s="71" t="str">
        <f t="shared" si="336"/>
        <v/>
      </c>
      <c r="P3962" s="66"/>
      <c r="Q3962" s="66"/>
      <c r="R3962" s="54"/>
      <c r="S3962" s="82"/>
      <c r="T3962" s="83" t="str">
        <f t="shared" si="333"/>
        <v/>
      </c>
      <c r="U3962" s="10"/>
      <c r="V3962" s="41">
        <f>IF(AND(Q3962&lt;&gt;"",RIGHT(Q3962,3)&lt;&gt;""),IF(COUNTIF($Q$6:Q3962,Q3962)=1,1,0),0)</f>
        <v>0</v>
      </c>
      <c r="W3962" s="41" t="str">
        <f t="shared" si="334"/>
        <v/>
      </c>
      <c r="X3962" s="41" t="str">
        <f t="shared" si="335"/>
        <v/>
      </c>
    </row>
    <row r="3963" s="32" customFormat="1" hidden="1" customHeight="1" spans="1:24">
      <c r="A3963" s="34"/>
      <c r="B3963" s="51"/>
      <c r="C3963" s="51"/>
      <c r="D3963" s="52"/>
      <c r="E3963" s="53"/>
      <c r="F3963" s="54"/>
      <c r="G3963" s="54"/>
      <c r="H3963" s="54"/>
      <c r="I3963" s="66"/>
      <c r="J3963" s="54"/>
      <c r="K3963" s="54"/>
      <c r="L3963" s="54"/>
      <c r="M3963" s="97" t="str">
        <f t="shared" si="332"/>
        <v/>
      </c>
      <c r="N3963" s="70"/>
      <c r="O3963" s="71" t="str">
        <f t="shared" si="336"/>
        <v/>
      </c>
      <c r="P3963" s="66"/>
      <c r="Q3963" s="66"/>
      <c r="R3963" s="54"/>
      <c r="S3963" s="82"/>
      <c r="T3963" s="83" t="str">
        <f t="shared" si="333"/>
        <v/>
      </c>
      <c r="U3963" s="10"/>
      <c r="V3963" s="41">
        <f>IF(AND(Q3963&lt;&gt;"",RIGHT(Q3963,3)&lt;&gt;""),IF(COUNTIF($Q$6:Q3963,Q3963)=1,1,0),0)</f>
        <v>0</v>
      </c>
      <c r="W3963" s="41" t="str">
        <f t="shared" si="334"/>
        <v/>
      </c>
      <c r="X3963" s="41" t="str">
        <f t="shared" si="335"/>
        <v/>
      </c>
    </row>
    <row r="3964" s="32" customFormat="1" hidden="1" customHeight="1" spans="1:24">
      <c r="A3964" s="34"/>
      <c r="B3964" s="51"/>
      <c r="C3964" s="51"/>
      <c r="D3964" s="52"/>
      <c r="E3964" s="53"/>
      <c r="F3964" s="54"/>
      <c r="G3964" s="54"/>
      <c r="H3964" s="54"/>
      <c r="I3964" s="66"/>
      <c r="J3964" s="54"/>
      <c r="K3964" s="54"/>
      <c r="L3964" s="54"/>
      <c r="M3964" s="97" t="str">
        <f t="shared" si="332"/>
        <v/>
      </c>
      <c r="N3964" s="70"/>
      <c r="O3964" s="71" t="str">
        <f t="shared" si="336"/>
        <v/>
      </c>
      <c r="P3964" s="66"/>
      <c r="Q3964" s="66"/>
      <c r="R3964" s="54"/>
      <c r="S3964" s="82"/>
      <c r="T3964" s="83" t="str">
        <f t="shared" si="333"/>
        <v/>
      </c>
      <c r="U3964" s="10"/>
      <c r="V3964" s="41">
        <f>IF(AND(Q3964&lt;&gt;"",RIGHT(Q3964,3)&lt;&gt;""),IF(COUNTIF($Q$6:Q3964,Q3964)=1,1,0),0)</f>
        <v>0</v>
      </c>
      <c r="W3964" s="41" t="str">
        <f t="shared" si="334"/>
        <v/>
      </c>
      <c r="X3964" s="41" t="str">
        <f t="shared" si="335"/>
        <v/>
      </c>
    </row>
    <row r="3965" s="32" customFormat="1" hidden="1" customHeight="1" spans="1:24">
      <c r="A3965" s="34"/>
      <c r="B3965" s="51"/>
      <c r="C3965" s="51"/>
      <c r="D3965" s="52"/>
      <c r="E3965" s="53"/>
      <c r="F3965" s="54"/>
      <c r="G3965" s="54"/>
      <c r="H3965" s="54"/>
      <c r="I3965" s="66"/>
      <c r="J3965" s="54"/>
      <c r="K3965" s="54"/>
      <c r="L3965" s="54"/>
      <c r="M3965" s="97" t="str">
        <f t="shared" si="332"/>
        <v/>
      </c>
      <c r="N3965" s="70"/>
      <c r="O3965" s="71" t="str">
        <f t="shared" si="336"/>
        <v/>
      </c>
      <c r="P3965" s="66"/>
      <c r="Q3965" s="66"/>
      <c r="R3965" s="54"/>
      <c r="S3965" s="82"/>
      <c r="T3965" s="83" t="str">
        <f t="shared" si="333"/>
        <v/>
      </c>
      <c r="U3965" s="10"/>
      <c r="V3965" s="41">
        <f>IF(AND(Q3965&lt;&gt;"",RIGHT(Q3965,3)&lt;&gt;""),IF(COUNTIF($Q$6:Q3965,Q3965)=1,1,0),0)</f>
        <v>0</v>
      </c>
      <c r="W3965" s="41" t="str">
        <f t="shared" si="334"/>
        <v/>
      </c>
      <c r="X3965" s="41" t="str">
        <f t="shared" si="335"/>
        <v/>
      </c>
    </row>
    <row r="3966" s="32" customFormat="1" hidden="1" customHeight="1" spans="1:24">
      <c r="A3966" s="34"/>
      <c r="B3966" s="51"/>
      <c r="C3966" s="51"/>
      <c r="D3966" s="52"/>
      <c r="E3966" s="53"/>
      <c r="F3966" s="54"/>
      <c r="G3966" s="54"/>
      <c r="H3966" s="54"/>
      <c r="I3966" s="66"/>
      <c r="J3966" s="54"/>
      <c r="K3966" s="54"/>
      <c r="L3966" s="54"/>
      <c r="M3966" s="97" t="str">
        <f t="shared" si="332"/>
        <v/>
      </c>
      <c r="N3966" s="70"/>
      <c r="O3966" s="71" t="str">
        <f t="shared" si="336"/>
        <v/>
      </c>
      <c r="P3966" s="66"/>
      <c r="Q3966" s="66"/>
      <c r="R3966" s="54"/>
      <c r="S3966" s="82"/>
      <c r="T3966" s="83" t="str">
        <f t="shared" si="333"/>
        <v/>
      </c>
      <c r="U3966" s="10"/>
      <c r="V3966" s="41">
        <f>IF(AND(Q3966&lt;&gt;"",RIGHT(Q3966,3)&lt;&gt;""),IF(COUNTIF($Q$6:Q3966,Q3966)=1,1,0),0)</f>
        <v>0</v>
      </c>
      <c r="W3966" s="41" t="str">
        <f t="shared" si="334"/>
        <v/>
      </c>
      <c r="X3966" s="41" t="str">
        <f t="shared" si="335"/>
        <v/>
      </c>
    </row>
    <row r="3967" s="32" customFormat="1" hidden="1" customHeight="1" spans="1:24">
      <c r="A3967" s="34"/>
      <c r="B3967" s="51"/>
      <c r="C3967" s="51"/>
      <c r="D3967" s="52"/>
      <c r="E3967" s="53"/>
      <c r="F3967" s="54"/>
      <c r="G3967" s="54"/>
      <c r="H3967" s="54"/>
      <c r="I3967" s="66"/>
      <c r="J3967" s="54"/>
      <c r="K3967" s="54"/>
      <c r="L3967" s="54"/>
      <c r="M3967" s="97" t="str">
        <f t="shared" si="332"/>
        <v/>
      </c>
      <c r="N3967" s="70"/>
      <c r="O3967" s="71" t="str">
        <f t="shared" si="336"/>
        <v/>
      </c>
      <c r="P3967" s="66"/>
      <c r="Q3967" s="66"/>
      <c r="R3967" s="54"/>
      <c r="S3967" s="82"/>
      <c r="T3967" s="83" t="str">
        <f t="shared" si="333"/>
        <v/>
      </c>
      <c r="U3967" s="10"/>
      <c r="V3967" s="41">
        <f>IF(AND(Q3967&lt;&gt;"",RIGHT(Q3967,3)&lt;&gt;""),IF(COUNTIF($Q$6:Q3967,Q3967)=1,1,0),0)</f>
        <v>0</v>
      </c>
      <c r="W3967" s="41" t="str">
        <f t="shared" si="334"/>
        <v/>
      </c>
      <c r="X3967" s="41" t="str">
        <f t="shared" si="335"/>
        <v/>
      </c>
    </row>
    <row r="3968" s="32" customFormat="1" hidden="1" customHeight="1" spans="1:24">
      <c r="A3968" s="34"/>
      <c r="B3968" s="51"/>
      <c r="C3968" s="51"/>
      <c r="D3968" s="52"/>
      <c r="E3968" s="53"/>
      <c r="F3968" s="54"/>
      <c r="G3968" s="54"/>
      <c r="H3968" s="54"/>
      <c r="I3968" s="66"/>
      <c r="J3968" s="54"/>
      <c r="K3968" s="54"/>
      <c r="L3968" s="54"/>
      <c r="M3968" s="97" t="str">
        <f t="shared" si="332"/>
        <v/>
      </c>
      <c r="N3968" s="70"/>
      <c r="O3968" s="71" t="str">
        <f t="shared" si="336"/>
        <v/>
      </c>
      <c r="P3968" s="66"/>
      <c r="Q3968" s="66"/>
      <c r="R3968" s="54"/>
      <c r="S3968" s="82"/>
      <c r="T3968" s="83" t="str">
        <f t="shared" si="333"/>
        <v/>
      </c>
      <c r="U3968" s="10"/>
      <c r="V3968" s="41">
        <f>IF(AND(Q3968&lt;&gt;"",RIGHT(Q3968,3)&lt;&gt;""),IF(COUNTIF($Q$6:Q3968,Q3968)=1,1,0),0)</f>
        <v>0</v>
      </c>
      <c r="W3968" s="41" t="str">
        <f t="shared" si="334"/>
        <v/>
      </c>
      <c r="X3968" s="41" t="str">
        <f t="shared" si="335"/>
        <v/>
      </c>
    </row>
    <row r="3969" s="32" customFormat="1" hidden="1" customHeight="1" spans="1:24">
      <c r="A3969" s="34"/>
      <c r="B3969" s="51"/>
      <c r="C3969" s="51"/>
      <c r="D3969" s="52"/>
      <c r="E3969" s="53"/>
      <c r="F3969" s="54"/>
      <c r="G3969" s="54"/>
      <c r="H3969" s="54"/>
      <c r="I3969" s="66"/>
      <c r="J3969" s="54"/>
      <c r="K3969" s="54"/>
      <c r="L3969" s="54"/>
      <c r="M3969" s="97" t="str">
        <f t="shared" si="332"/>
        <v/>
      </c>
      <c r="N3969" s="70"/>
      <c r="O3969" s="71" t="str">
        <f t="shared" si="336"/>
        <v/>
      </c>
      <c r="P3969" s="66"/>
      <c r="Q3969" s="66"/>
      <c r="R3969" s="54"/>
      <c r="S3969" s="82"/>
      <c r="T3969" s="83" t="str">
        <f t="shared" si="333"/>
        <v/>
      </c>
      <c r="U3969" s="10"/>
      <c r="V3969" s="41">
        <f>IF(AND(Q3969&lt;&gt;"",RIGHT(Q3969,3)&lt;&gt;""),IF(COUNTIF($Q$6:Q3969,Q3969)=1,1,0),0)</f>
        <v>0</v>
      </c>
      <c r="W3969" s="41" t="str">
        <f t="shared" si="334"/>
        <v/>
      </c>
      <c r="X3969" s="41" t="str">
        <f t="shared" si="335"/>
        <v/>
      </c>
    </row>
    <row r="3970" s="32" customFormat="1" hidden="1" customHeight="1" spans="1:24">
      <c r="A3970" s="34"/>
      <c r="B3970" s="51"/>
      <c r="C3970" s="51"/>
      <c r="D3970" s="52"/>
      <c r="E3970" s="53"/>
      <c r="F3970" s="54"/>
      <c r="G3970" s="54"/>
      <c r="H3970" s="54"/>
      <c r="I3970" s="66"/>
      <c r="J3970" s="54"/>
      <c r="K3970" s="54"/>
      <c r="L3970" s="54"/>
      <c r="M3970" s="97" t="str">
        <f t="shared" si="332"/>
        <v/>
      </c>
      <c r="N3970" s="70"/>
      <c r="O3970" s="71" t="str">
        <f t="shared" si="336"/>
        <v/>
      </c>
      <c r="P3970" s="66"/>
      <c r="Q3970" s="66"/>
      <c r="R3970" s="54"/>
      <c r="S3970" s="82"/>
      <c r="T3970" s="83" t="str">
        <f t="shared" si="333"/>
        <v/>
      </c>
      <c r="U3970" s="10"/>
      <c r="V3970" s="41">
        <f>IF(AND(Q3970&lt;&gt;"",RIGHT(Q3970,3)&lt;&gt;""),IF(COUNTIF($Q$6:Q3970,Q3970)=1,1,0),0)</f>
        <v>0</v>
      </c>
      <c r="W3970" s="41" t="str">
        <f t="shared" si="334"/>
        <v/>
      </c>
      <c r="X3970" s="41" t="str">
        <f t="shared" si="335"/>
        <v/>
      </c>
    </row>
    <row r="3971" s="32" customFormat="1" hidden="1" customHeight="1" spans="1:24">
      <c r="A3971" s="34"/>
      <c r="B3971" s="51"/>
      <c r="C3971" s="51"/>
      <c r="D3971" s="52"/>
      <c r="E3971" s="53"/>
      <c r="F3971" s="54"/>
      <c r="G3971" s="54"/>
      <c r="H3971" s="54"/>
      <c r="I3971" s="66"/>
      <c r="J3971" s="54"/>
      <c r="K3971" s="54"/>
      <c r="L3971" s="54"/>
      <c r="M3971" s="97" t="str">
        <f t="shared" si="332"/>
        <v/>
      </c>
      <c r="N3971" s="70"/>
      <c r="O3971" s="71" t="str">
        <f t="shared" si="336"/>
        <v/>
      </c>
      <c r="P3971" s="66"/>
      <c r="Q3971" s="66"/>
      <c r="R3971" s="54"/>
      <c r="S3971" s="82"/>
      <c r="T3971" s="83" t="str">
        <f t="shared" si="333"/>
        <v/>
      </c>
      <c r="U3971" s="10"/>
      <c r="V3971" s="41">
        <f>IF(AND(Q3971&lt;&gt;"",RIGHT(Q3971,3)&lt;&gt;""),IF(COUNTIF($Q$6:Q3971,Q3971)=1,1,0),0)</f>
        <v>0</v>
      </c>
      <c r="W3971" s="41" t="str">
        <f t="shared" si="334"/>
        <v/>
      </c>
      <c r="X3971" s="41" t="str">
        <f t="shared" si="335"/>
        <v/>
      </c>
    </row>
    <row r="3972" s="32" customFormat="1" hidden="1" customHeight="1" spans="1:24">
      <c r="A3972" s="34"/>
      <c r="B3972" s="51"/>
      <c r="C3972" s="51"/>
      <c r="D3972" s="52"/>
      <c r="E3972" s="53"/>
      <c r="F3972" s="54"/>
      <c r="G3972" s="54"/>
      <c r="H3972" s="54"/>
      <c r="I3972" s="66"/>
      <c r="J3972" s="54"/>
      <c r="K3972" s="54"/>
      <c r="L3972" s="54"/>
      <c r="M3972" s="97" t="str">
        <f t="shared" si="332"/>
        <v/>
      </c>
      <c r="N3972" s="70"/>
      <c r="O3972" s="71" t="str">
        <f t="shared" si="336"/>
        <v/>
      </c>
      <c r="P3972" s="66"/>
      <c r="Q3972" s="66"/>
      <c r="R3972" s="54"/>
      <c r="S3972" s="82"/>
      <c r="T3972" s="83" t="str">
        <f t="shared" si="333"/>
        <v/>
      </c>
      <c r="U3972" s="10"/>
      <c r="V3972" s="41">
        <f>IF(AND(Q3972&lt;&gt;"",RIGHT(Q3972,3)&lt;&gt;""),IF(COUNTIF($Q$6:Q3972,Q3972)=1,1,0),0)</f>
        <v>0</v>
      </c>
      <c r="W3972" s="41" t="str">
        <f t="shared" si="334"/>
        <v/>
      </c>
      <c r="X3972" s="41" t="str">
        <f t="shared" si="335"/>
        <v/>
      </c>
    </row>
    <row r="3973" s="32" customFormat="1" hidden="1" customHeight="1" spans="1:24">
      <c r="A3973" s="34"/>
      <c r="B3973" s="51"/>
      <c r="C3973" s="51"/>
      <c r="D3973" s="52"/>
      <c r="E3973" s="53"/>
      <c r="F3973" s="54"/>
      <c r="G3973" s="54"/>
      <c r="H3973" s="54"/>
      <c r="I3973" s="66"/>
      <c r="J3973" s="54"/>
      <c r="K3973" s="54"/>
      <c r="L3973" s="54"/>
      <c r="M3973" s="97" t="str">
        <f t="shared" si="332"/>
        <v/>
      </c>
      <c r="N3973" s="70"/>
      <c r="O3973" s="71" t="str">
        <f t="shared" si="336"/>
        <v/>
      </c>
      <c r="P3973" s="66"/>
      <c r="Q3973" s="66"/>
      <c r="R3973" s="54"/>
      <c r="S3973" s="82"/>
      <c r="T3973" s="83" t="str">
        <f t="shared" si="333"/>
        <v/>
      </c>
      <c r="U3973" s="10"/>
      <c r="V3973" s="41">
        <f>IF(AND(Q3973&lt;&gt;"",RIGHT(Q3973,3)&lt;&gt;""),IF(COUNTIF($Q$6:Q3973,Q3973)=1,1,0),0)</f>
        <v>0</v>
      </c>
      <c r="W3973" s="41" t="str">
        <f t="shared" si="334"/>
        <v/>
      </c>
      <c r="X3973" s="41" t="str">
        <f t="shared" si="335"/>
        <v/>
      </c>
    </row>
    <row r="3974" s="32" customFormat="1" hidden="1" customHeight="1" spans="1:24">
      <c r="A3974" s="34"/>
      <c r="B3974" s="51"/>
      <c r="C3974" s="51"/>
      <c r="D3974" s="52"/>
      <c r="E3974" s="53"/>
      <c r="F3974" s="54"/>
      <c r="G3974" s="54"/>
      <c r="H3974" s="54"/>
      <c r="I3974" s="66"/>
      <c r="J3974" s="54"/>
      <c r="K3974" s="54"/>
      <c r="L3974" s="54"/>
      <c r="M3974" s="97" t="str">
        <f t="shared" si="332"/>
        <v/>
      </c>
      <c r="N3974" s="70"/>
      <c r="O3974" s="71" t="str">
        <f t="shared" si="336"/>
        <v/>
      </c>
      <c r="P3974" s="66"/>
      <c r="Q3974" s="66"/>
      <c r="R3974" s="54"/>
      <c r="S3974" s="82"/>
      <c r="T3974" s="83" t="str">
        <f t="shared" si="333"/>
        <v/>
      </c>
      <c r="U3974" s="10"/>
      <c r="V3974" s="41">
        <f>IF(AND(Q3974&lt;&gt;"",RIGHT(Q3974,3)&lt;&gt;""),IF(COUNTIF($Q$6:Q3974,Q3974)=1,1,0),0)</f>
        <v>0</v>
      </c>
      <c r="W3974" s="41" t="str">
        <f t="shared" si="334"/>
        <v/>
      </c>
      <c r="X3974" s="41" t="str">
        <f t="shared" si="335"/>
        <v/>
      </c>
    </row>
    <row r="3975" s="32" customFormat="1" hidden="1" customHeight="1" spans="1:24">
      <c r="A3975" s="34"/>
      <c r="B3975" s="51"/>
      <c r="C3975" s="51"/>
      <c r="D3975" s="52"/>
      <c r="E3975" s="53"/>
      <c r="F3975" s="54"/>
      <c r="G3975" s="54"/>
      <c r="H3975" s="54"/>
      <c r="I3975" s="66"/>
      <c r="J3975" s="54"/>
      <c r="K3975" s="54"/>
      <c r="L3975" s="54"/>
      <c r="M3975" s="97" t="str">
        <f t="shared" si="332"/>
        <v/>
      </c>
      <c r="N3975" s="70"/>
      <c r="O3975" s="71" t="str">
        <f t="shared" si="336"/>
        <v/>
      </c>
      <c r="P3975" s="66"/>
      <c r="Q3975" s="66"/>
      <c r="R3975" s="54"/>
      <c r="S3975" s="82"/>
      <c r="T3975" s="83" t="str">
        <f t="shared" si="333"/>
        <v/>
      </c>
      <c r="U3975" s="10"/>
      <c r="V3975" s="41">
        <f>IF(AND(Q3975&lt;&gt;"",RIGHT(Q3975,3)&lt;&gt;""),IF(COUNTIF($Q$6:Q3975,Q3975)=1,1,0),0)</f>
        <v>0</v>
      </c>
      <c r="W3975" s="41" t="str">
        <f t="shared" si="334"/>
        <v/>
      </c>
      <c r="X3975" s="41" t="str">
        <f t="shared" si="335"/>
        <v/>
      </c>
    </row>
    <row r="3976" s="32" customFormat="1" hidden="1" customHeight="1" spans="1:24">
      <c r="A3976" s="34"/>
      <c r="B3976" s="51"/>
      <c r="C3976" s="51"/>
      <c r="D3976" s="52"/>
      <c r="E3976" s="53"/>
      <c r="F3976" s="54"/>
      <c r="G3976" s="54"/>
      <c r="H3976" s="54"/>
      <c r="I3976" s="66"/>
      <c r="J3976" s="54"/>
      <c r="K3976" s="54"/>
      <c r="L3976" s="54"/>
      <c r="M3976" s="97" t="str">
        <f t="shared" si="332"/>
        <v/>
      </c>
      <c r="N3976" s="70"/>
      <c r="O3976" s="71" t="str">
        <f t="shared" si="336"/>
        <v/>
      </c>
      <c r="P3976" s="66"/>
      <c r="Q3976" s="66"/>
      <c r="R3976" s="54"/>
      <c r="S3976" s="82"/>
      <c r="T3976" s="83" t="str">
        <f t="shared" si="333"/>
        <v/>
      </c>
      <c r="U3976" s="10"/>
      <c r="V3976" s="41">
        <f>IF(AND(Q3976&lt;&gt;"",RIGHT(Q3976,3)&lt;&gt;""),IF(COUNTIF($Q$6:Q3976,Q3976)=1,1,0),0)</f>
        <v>0</v>
      </c>
      <c r="W3976" s="41" t="str">
        <f t="shared" si="334"/>
        <v/>
      </c>
      <c r="X3976" s="41" t="str">
        <f t="shared" si="335"/>
        <v/>
      </c>
    </row>
    <row r="3977" s="32" customFormat="1" hidden="1" customHeight="1" spans="1:24">
      <c r="A3977" s="34"/>
      <c r="B3977" s="51"/>
      <c r="C3977" s="51"/>
      <c r="D3977" s="52"/>
      <c r="E3977" s="53"/>
      <c r="F3977" s="54"/>
      <c r="G3977" s="54"/>
      <c r="H3977" s="54"/>
      <c r="I3977" s="66"/>
      <c r="J3977" s="54"/>
      <c r="K3977" s="54"/>
      <c r="L3977" s="54"/>
      <c r="M3977" s="97" t="str">
        <f t="shared" si="332"/>
        <v/>
      </c>
      <c r="N3977" s="70"/>
      <c r="O3977" s="71" t="str">
        <f t="shared" si="336"/>
        <v/>
      </c>
      <c r="P3977" s="66"/>
      <c r="Q3977" s="66"/>
      <c r="R3977" s="54"/>
      <c r="S3977" s="82"/>
      <c r="T3977" s="83" t="str">
        <f t="shared" si="333"/>
        <v/>
      </c>
      <c r="U3977" s="10"/>
      <c r="V3977" s="41">
        <f>IF(AND(Q3977&lt;&gt;"",RIGHT(Q3977,3)&lt;&gt;""),IF(COUNTIF($Q$6:Q3977,Q3977)=1,1,0),0)</f>
        <v>0</v>
      </c>
      <c r="W3977" s="41" t="str">
        <f t="shared" si="334"/>
        <v/>
      </c>
      <c r="X3977" s="41" t="str">
        <f t="shared" si="335"/>
        <v/>
      </c>
    </row>
    <row r="3978" s="32" customFormat="1" hidden="1" customHeight="1" spans="1:24">
      <c r="A3978" s="34"/>
      <c r="B3978" s="51"/>
      <c r="C3978" s="51"/>
      <c r="D3978" s="52"/>
      <c r="E3978" s="53"/>
      <c r="F3978" s="54"/>
      <c r="G3978" s="54"/>
      <c r="H3978" s="54"/>
      <c r="I3978" s="66"/>
      <c r="J3978" s="54"/>
      <c r="K3978" s="54"/>
      <c r="L3978" s="54"/>
      <c r="M3978" s="97" t="str">
        <f t="shared" si="332"/>
        <v/>
      </c>
      <c r="N3978" s="70"/>
      <c r="O3978" s="71" t="str">
        <f t="shared" si="336"/>
        <v/>
      </c>
      <c r="P3978" s="66"/>
      <c r="Q3978" s="66"/>
      <c r="R3978" s="54"/>
      <c r="S3978" s="82"/>
      <c r="T3978" s="83" t="str">
        <f t="shared" si="333"/>
        <v/>
      </c>
      <c r="U3978" s="10"/>
      <c r="V3978" s="41">
        <f>IF(AND(Q3978&lt;&gt;"",RIGHT(Q3978,3)&lt;&gt;""),IF(COUNTIF($Q$6:Q3978,Q3978)=1,1,0),0)</f>
        <v>0</v>
      </c>
      <c r="W3978" s="41" t="str">
        <f t="shared" si="334"/>
        <v/>
      </c>
      <c r="X3978" s="41" t="str">
        <f t="shared" si="335"/>
        <v/>
      </c>
    </row>
    <row r="3979" s="32" customFormat="1" hidden="1" customHeight="1" spans="1:24">
      <c r="A3979" s="34"/>
      <c r="B3979" s="51"/>
      <c r="C3979" s="51"/>
      <c r="D3979" s="52"/>
      <c r="E3979" s="53"/>
      <c r="F3979" s="54"/>
      <c r="G3979" s="54"/>
      <c r="H3979" s="54"/>
      <c r="I3979" s="66"/>
      <c r="J3979" s="54"/>
      <c r="K3979" s="54"/>
      <c r="L3979" s="54"/>
      <c r="M3979" s="97" t="str">
        <f t="shared" si="332"/>
        <v/>
      </c>
      <c r="N3979" s="70"/>
      <c r="O3979" s="71" t="str">
        <f t="shared" si="336"/>
        <v/>
      </c>
      <c r="P3979" s="66"/>
      <c r="Q3979" s="66"/>
      <c r="R3979" s="54"/>
      <c r="S3979" s="82"/>
      <c r="T3979" s="83" t="str">
        <f t="shared" si="333"/>
        <v/>
      </c>
      <c r="U3979" s="10"/>
      <c r="V3979" s="41">
        <f>IF(AND(Q3979&lt;&gt;"",RIGHT(Q3979,3)&lt;&gt;""),IF(COUNTIF($Q$6:Q3979,Q3979)=1,1,0),0)</f>
        <v>0</v>
      </c>
      <c r="W3979" s="41" t="str">
        <f t="shared" si="334"/>
        <v/>
      </c>
      <c r="X3979" s="41" t="str">
        <f t="shared" si="335"/>
        <v/>
      </c>
    </row>
    <row r="3980" s="32" customFormat="1" hidden="1" customHeight="1" spans="1:24">
      <c r="A3980" s="34"/>
      <c r="B3980" s="51"/>
      <c r="C3980" s="51"/>
      <c r="D3980" s="52"/>
      <c r="E3980" s="53"/>
      <c r="F3980" s="54"/>
      <c r="G3980" s="54"/>
      <c r="H3980" s="54"/>
      <c r="I3980" s="66"/>
      <c r="J3980" s="54"/>
      <c r="K3980" s="54"/>
      <c r="L3980" s="54"/>
      <c r="M3980" s="97" t="str">
        <f t="shared" si="332"/>
        <v/>
      </c>
      <c r="N3980" s="70"/>
      <c r="O3980" s="71" t="str">
        <f t="shared" si="336"/>
        <v/>
      </c>
      <c r="P3980" s="66"/>
      <c r="Q3980" s="66"/>
      <c r="R3980" s="54"/>
      <c r="S3980" s="82"/>
      <c r="T3980" s="83" t="str">
        <f t="shared" si="333"/>
        <v/>
      </c>
      <c r="U3980" s="10"/>
      <c r="V3980" s="41">
        <f>IF(AND(Q3980&lt;&gt;"",RIGHT(Q3980,3)&lt;&gt;""),IF(COUNTIF($Q$6:Q3980,Q3980)=1,1,0),0)</f>
        <v>0</v>
      </c>
      <c r="W3980" s="41" t="str">
        <f t="shared" si="334"/>
        <v/>
      </c>
      <c r="X3980" s="41" t="str">
        <f t="shared" si="335"/>
        <v/>
      </c>
    </row>
    <row r="3981" s="32" customFormat="1" hidden="1" customHeight="1" spans="1:24">
      <c r="A3981" s="34"/>
      <c r="B3981" s="51"/>
      <c r="C3981" s="51"/>
      <c r="D3981" s="52"/>
      <c r="E3981" s="53"/>
      <c r="F3981" s="54"/>
      <c r="G3981" s="54"/>
      <c r="H3981" s="54"/>
      <c r="I3981" s="66"/>
      <c r="J3981" s="54"/>
      <c r="K3981" s="54"/>
      <c r="L3981" s="54"/>
      <c r="M3981" s="97" t="str">
        <f t="shared" si="332"/>
        <v/>
      </c>
      <c r="N3981" s="70"/>
      <c r="O3981" s="71" t="str">
        <f t="shared" si="336"/>
        <v/>
      </c>
      <c r="P3981" s="66"/>
      <c r="Q3981" s="66"/>
      <c r="R3981" s="54"/>
      <c r="S3981" s="82"/>
      <c r="T3981" s="83" t="str">
        <f t="shared" si="333"/>
        <v/>
      </c>
      <c r="U3981" s="10"/>
      <c r="V3981" s="41">
        <f>IF(AND(Q3981&lt;&gt;"",RIGHT(Q3981,3)&lt;&gt;""),IF(COUNTIF($Q$6:Q3981,Q3981)=1,1,0),0)</f>
        <v>0</v>
      </c>
      <c r="W3981" s="41" t="str">
        <f t="shared" si="334"/>
        <v/>
      </c>
      <c r="X3981" s="41" t="str">
        <f t="shared" si="335"/>
        <v/>
      </c>
    </row>
    <row r="3982" s="32" customFormat="1" hidden="1" customHeight="1" spans="1:24">
      <c r="A3982" s="34"/>
      <c r="B3982" s="51"/>
      <c r="C3982" s="51"/>
      <c r="D3982" s="52"/>
      <c r="E3982" s="53"/>
      <c r="F3982" s="54"/>
      <c r="G3982" s="54"/>
      <c r="H3982" s="54"/>
      <c r="I3982" s="66"/>
      <c r="J3982" s="54"/>
      <c r="K3982" s="54"/>
      <c r="L3982" s="54"/>
      <c r="M3982" s="97" t="str">
        <f t="shared" si="332"/>
        <v/>
      </c>
      <c r="N3982" s="70"/>
      <c r="O3982" s="71" t="str">
        <f t="shared" si="336"/>
        <v/>
      </c>
      <c r="P3982" s="66"/>
      <c r="Q3982" s="66"/>
      <c r="R3982" s="54"/>
      <c r="S3982" s="82"/>
      <c r="T3982" s="83" t="str">
        <f t="shared" si="333"/>
        <v/>
      </c>
      <c r="U3982" s="10"/>
      <c r="V3982" s="41">
        <f>IF(AND(Q3982&lt;&gt;"",RIGHT(Q3982,3)&lt;&gt;""),IF(COUNTIF($Q$6:Q3982,Q3982)=1,1,0),0)</f>
        <v>0</v>
      </c>
      <c r="W3982" s="41" t="str">
        <f t="shared" si="334"/>
        <v/>
      </c>
      <c r="X3982" s="41" t="str">
        <f t="shared" si="335"/>
        <v/>
      </c>
    </row>
    <row r="3983" s="32" customFormat="1" hidden="1" customHeight="1" spans="1:24">
      <c r="A3983" s="34"/>
      <c r="B3983" s="51"/>
      <c r="C3983" s="51"/>
      <c r="D3983" s="52"/>
      <c r="E3983" s="53"/>
      <c r="F3983" s="54"/>
      <c r="G3983" s="54"/>
      <c r="H3983" s="54"/>
      <c r="I3983" s="66"/>
      <c r="J3983" s="54"/>
      <c r="K3983" s="54"/>
      <c r="L3983" s="54"/>
      <c r="M3983" s="97" t="str">
        <f t="shared" si="332"/>
        <v/>
      </c>
      <c r="N3983" s="70"/>
      <c r="O3983" s="71" t="str">
        <f t="shared" si="336"/>
        <v/>
      </c>
      <c r="P3983" s="66"/>
      <c r="Q3983" s="66"/>
      <c r="R3983" s="54"/>
      <c r="S3983" s="82"/>
      <c r="T3983" s="83" t="str">
        <f t="shared" si="333"/>
        <v/>
      </c>
      <c r="U3983" s="10"/>
      <c r="V3983" s="41">
        <f>IF(AND(Q3983&lt;&gt;"",RIGHT(Q3983,3)&lt;&gt;""),IF(COUNTIF($Q$6:Q3983,Q3983)=1,1,0),0)</f>
        <v>0</v>
      </c>
      <c r="W3983" s="41" t="str">
        <f t="shared" si="334"/>
        <v/>
      </c>
      <c r="X3983" s="41" t="str">
        <f t="shared" si="335"/>
        <v/>
      </c>
    </row>
    <row r="3984" s="32" customFormat="1" hidden="1" customHeight="1" spans="1:24">
      <c r="A3984" s="34"/>
      <c r="B3984" s="51"/>
      <c r="C3984" s="51"/>
      <c r="D3984" s="52"/>
      <c r="E3984" s="53"/>
      <c r="F3984" s="54"/>
      <c r="G3984" s="54"/>
      <c r="H3984" s="54"/>
      <c r="I3984" s="66"/>
      <c r="J3984" s="54"/>
      <c r="K3984" s="54"/>
      <c r="L3984" s="54"/>
      <c r="M3984" s="97" t="str">
        <f t="shared" si="332"/>
        <v/>
      </c>
      <c r="N3984" s="70"/>
      <c r="O3984" s="71" t="str">
        <f t="shared" si="336"/>
        <v/>
      </c>
      <c r="P3984" s="66"/>
      <c r="Q3984" s="66"/>
      <c r="R3984" s="54"/>
      <c r="S3984" s="82"/>
      <c r="T3984" s="83" t="str">
        <f t="shared" si="333"/>
        <v/>
      </c>
      <c r="U3984" s="10"/>
      <c r="V3984" s="41">
        <f>IF(AND(Q3984&lt;&gt;"",RIGHT(Q3984,3)&lt;&gt;""),IF(COUNTIF($Q$6:Q3984,Q3984)=1,1,0),0)</f>
        <v>0</v>
      </c>
      <c r="W3984" s="41" t="str">
        <f t="shared" si="334"/>
        <v/>
      </c>
      <c r="X3984" s="41" t="str">
        <f t="shared" si="335"/>
        <v/>
      </c>
    </row>
    <row r="3985" s="32" customFormat="1" hidden="1" customHeight="1" spans="1:24">
      <c r="A3985" s="34"/>
      <c r="B3985" s="51"/>
      <c r="C3985" s="51"/>
      <c r="D3985" s="52"/>
      <c r="E3985" s="53"/>
      <c r="F3985" s="54"/>
      <c r="G3985" s="54"/>
      <c r="H3985" s="54"/>
      <c r="I3985" s="66"/>
      <c r="J3985" s="54"/>
      <c r="K3985" s="54"/>
      <c r="L3985" s="54"/>
      <c r="M3985" s="97" t="str">
        <f t="shared" si="332"/>
        <v/>
      </c>
      <c r="N3985" s="70"/>
      <c r="O3985" s="71" t="str">
        <f t="shared" si="336"/>
        <v/>
      </c>
      <c r="P3985" s="66"/>
      <c r="Q3985" s="66"/>
      <c r="R3985" s="54"/>
      <c r="S3985" s="82"/>
      <c r="T3985" s="83" t="str">
        <f t="shared" si="333"/>
        <v/>
      </c>
      <c r="U3985" s="10"/>
      <c r="V3985" s="41">
        <f>IF(AND(Q3985&lt;&gt;"",RIGHT(Q3985,3)&lt;&gt;""),IF(COUNTIF($Q$6:Q3985,Q3985)=1,1,0),0)</f>
        <v>0</v>
      </c>
      <c r="W3985" s="41" t="str">
        <f t="shared" si="334"/>
        <v/>
      </c>
      <c r="X3985" s="41" t="str">
        <f t="shared" si="335"/>
        <v/>
      </c>
    </row>
    <row r="3986" s="32" customFormat="1" hidden="1" customHeight="1" spans="1:24">
      <c r="A3986" s="34"/>
      <c r="B3986" s="51"/>
      <c r="C3986" s="51"/>
      <c r="D3986" s="52"/>
      <c r="E3986" s="53"/>
      <c r="F3986" s="54"/>
      <c r="G3986" s="54"/>
      <c r="H3986" s="54"/>
      <c r="I3986" s="66"/>
      <c r="J3986" s="54"/>
      <c r="K3986" s="54"/>
      <c r="L3986" s="54"/>
      <c r="M3986" s="97" t="str">
        <f t="shared" si="332"/>
        <v/>
      </c>
      <c r="N3986" s="70"/>
      <c r="O3986" s="71" t="str">
        <f t="shared" si="336"/>
        <v/>
      </c>
      <c r="P3986" s="66"/>
      <c r="Q3986" s="66"/>
      <c r="R3986" s="54"/>
      <c r="S3986" s="82"/>
      <c r="T3986" s="83" t="str">
        <f t="shared" si="333"/>
        <v/>
      </c>
      <c r="U3986" s="10"/>
      <c r="V3986" s="41">
        <f>IF(AND(Q3986&lt;&gt;"",RIGHT(Q3986,3)&lt;&gt;""),IF(COUNTIF($Q$6:Q3986,Q3986)=1,1,0),0)</f>
        <v>0</v>
      </c>
      <c r="W3986" s="41" t="str">
        <f t="shared" si="334"/>
        <v/>
      </c>
      <c r="X3986" s="41" t="str">
        <f t="shared" si="335"/>
        <v/>
      </c>
    </row>
    <row r="3987" s="32" customFormat="1" hidden="1" customHeight="1" spans="1:24">
      <c r="A3987" s="34"/>
      <c r="B3987" s="51"/>
      <c r="C3987" s="51"/>
      <c r="D3987" s="52"/>
      <c r="E3987" s="53"/>
      <c r="F3987" s="54"/>
      <c r="G3987" s="54"/>
      <c r="H3987" s="54"/>
      <c r="I3987" s="66"/>
      <c r="J3987" s="54"/>
      <c r="K3987" s="54"/>
      <c r="L3987" s="54"/>
      <c r="M3987" s="97" t="str">
        <f t="shared" si="332"/>
        <v/>
      </c>
      <c r="N3987" s="70"/>
      <c r="O3987" s="71" t="str">
        <f t="shared" si="336"/>
        <v/>
      </c>
      <c r="P3987" s="66"/>
      <c r="Q3987" s="66"/>
      <c r="R3987" s="54"/>
      <c r="S3987" s="82"/>
      <c r="T3987" s="83" t="str">
        <f t="shared" si="333"/>
        <v/>
      </c>
      <c r="U3987" s="10"/>
      <c r="V3987" s="41">
        <f>IF(AND(Q3987&lt;&gt;"",RIGHT(Q3987,3)&lt;&gt;""),IF(COUNTIF($Q$6:Q3987,Q3987)=1,1,0),0)</f>
        <v>0</v>
      </c>
      <c r="W3987" s="41" t="str">
        <f t="shared" si="334"/>
        <v/>
      </c>
      <c r="X3987" s="41" t="str">
        <f t="shared" si="335"/>
        <v/>
      </c>
    </row>
    <row r="3988" s="32" customFormat="1" hidden="1" customHeight="1" spans="1:24">
      <c r="A3988" s="34"/>
      <c r="B3988" s="51"/>
      <c r="C3988" s="51"/>
      <c r="D3988" s="52"/>
      <c r="E3988" s="53"/>
      <c r="F3988" s="54"/>
      <c r="G3988" s="54"/>
      <c r="H3988" s="54"/>
      <c r="I3988" s="66"/>
      <c r="J3988" s="54"/>
      <c r="K3988" s="54"/>
      <c r="L3988" s="54"/>
      <c r="M3988" s="97" t="str">
        <f t="shared" si="332"/>
        <v/>
      </c>
      <c r="N3988" s="70"/>
      <c r="O3988" s="71" t="str">
        <f t="shared" si="336"/>
        <v/>
      </c>
      <c r="P3988" s="66"/>
      <c r="Q3988" s="66"/>
      <c r="R3988" s="54"/>
      <c r="S3988" s="82"/>
      <c r="T3988" s="83" t="str">
        <f t="shared" si="333"/>
        <v/>
      </c>
      <c r="U3988" s="10"/>
      <c r="V3988" s="41">
        <f>IF(AND(Q3988&lt;&gt;"",RIGHT(Q3988,3)&lt;&gt;""),IF(COUNTIF($Q$6:Q3988,Q3988)=1,1,0),0)</f>
        <v>0</v>
      </c>
      <c r="W3988" s="41" t="str">
        <f t="shared" si="334"/>
        <v/>
      </c>
      <c r="X3988" s="41" t="str">
        <f t="shared" si="335"/>
        <v/>
      </c>
    </row>
    <row r="3989" s="32" customFormat="1" hidden="1" customHeight="1" spans="1:24">
      <c r="A3989" s="34"/>
      <c r="B3989" s="51"/>
      <c r="C3989" s="51"/>
      <c r="D3989" s="52"/>
      <c r="E3989" s="53"/>
      <c r="F3989" s="54"/>
      <c r="G3989" s="54"/>
      <c r="H3989" s="54"/>
      <c r="I3989" s="66"/>
      <c r="J3989" s="54"/>
      <c r="K3989" s="54"/>
      <c r="L3989" s="54"/>
      <c r="M3989" s="97" t="str">
        <f t="shared" si="332"/>
        <v/>
      </c>
      <c r="N3989" s="70"/>
      <c r="O3989" s="71" t="str">
        <f t="shared" si="336"/>
        <v/>
      </c>
      <c r="P3989" s="66"/>
      <c r="Q3989" s="66"/>
      <c r="R3989" s="54"/>
      <c r="S3989" s="82"/>
      <c r="T3989" s="83" t="str">
        <f t="shared" si="333"/>
        <v/>
      </c>
      <c r="U3989" s="10"/>
      <c r="V3989" s="41">
        <f>IF(AND(Q3989&lt;&gt;"",RIGHT(Q3989,3)&lt;&gt;""),IF(COUNTIF($Q$6:Q3989,Q3989)=1,1,0),0)</f>
        <v>0</v>
      </c>
      <c r="W3989" s="41" t="str">
        <f t="shared" si="334"/>
        <v/>
      </c>
      <c r="X3989" s="41" t="str">
        <f t="shared" si="335"/>
        <v/>
      </c>
    </row>
    <row r="3990" s="32" customFormat="1" hidden="1" customHeight="1" spans="1:24">
      <c r="A3990" s="34"/>
      <c r="B3990" s="51"/>
      <c r="C3990" s="51"/>
      <c r="D3990" s="52"/>
      <c r="E3990" s="53"/>
      <c r="F3990" s="54"/>
      <c r="G3990" s="54"/>
      <c r="H3990" s="54"/>
      <c r="I3990" s="66"/>
      <c r="J3990" s="54"/>
      <c r="K3990" s="54"/>
      <c r="L3990" s="54"/>
      <c r="M3990" s="97" t="str">
        <f t="shared" si="332"/>
        <v/>
      </c>
      <c r="N3990" s="70"/>
      <c r="O3990" s="71" t="str">
        <f t="shared" si="336"/>
        <v/>
      </c>
      <c r="P3990" s="66"/>
      <c r="Q3990" s="66"/>
      <c r="R3990" s="54"/>
      <c r="S3990" s="82"/>
      <c r="T3990" s="83" t="str">
        <f t="shared" si="333"/>
        <v/>
      </c>
      <c r="U3990" s="10"/>
      <c r="V3990" s="41">
        <f>IF(AND(Q3990&lt;&gt;"",RIGHT(Q3990,3)&lt;&gt;""),IF(COUNTIF($Q$6:Q3990,Q3990)=1,1,0),0)</f>
        <v>0</v>
      </c>
      <c r="W3990" s="41" t="str">
        <f t="shared" si="334"/>
        <v/>
      </c>
      <c r="X3990" s="41" t="str">
        <f t="shared" si="335"/>
        <v/>
      </c>
    </row>
    <row r="3991" s="32" customFormat="1" hidden="1" customHeight="1" spans="1:24">
      <c r="A3991" s="34"/>
      <c r="B3991" s="51"/>
      <c r="C3991" s="51"/>
      <c r="D3991" s="52"/>
      <c r="E3991" s="53"/>
      <c r="F3991" s="54"/>
      <c r="G3991" s="54"/>
      <c r="H3991" s="54"/>
      <c r="I3991" s="66"/>
      <c r="J3991" s="54"/>
      <c r="K3991" s="54"/>
      <c r="L3991" s="54"/>
      <c r="M3991" s="97" t="str">
        <f t="shared" si="332"/>
        <v/>
      </c>
      <c r="N3991" s="70"/>
      <c r="O3991" s="71" t="str">
        <f t="shared" si="336"/>
        <v/>
      </c>
      <c r="P3991" s="66"/>
      <c r="Q3991" s="66"/>
      <c r="R3991" s="54"/>
      <c r="S3991" s="82"/>
      <c r="T3991" s="83" t="str">
        <f t="shared" si="333"/>
        <v/>
      </c>
      <c r="U3991" s="10"/>
      <c r="V3991" s="41">
        <f>IF(AND(Q3991&lt;&gt;"",RIGHT(Q3991,3)&lt;&gt;""),IF(COUNTIF($Q$6:Q3991,Q3991)=1,1,0),0)</f>
        <v>0</v>
      </c>
      <c r="W3991" s="41" t="str">
        <f t="shared" si="334"/>
        <v/>
      </c>
      <c r="X3991" s="41" t="str">
        <f t="shared" si="335"/>
        <v/>
      </c>
    </row>
    <row r="3992" s="32" customFormat="1" hidden="1" customHeight="1" spans="1:24">
      <c r="A3992" s="34"/>
      <c r="B3992" s="51"/>
      <c r="C3992" s="51"/>
      <c r="D3992" s="52"/>
      <c r="E3992" s="53"/>
      <c r="F3992" s="54"/>
      <c r="G3992" s="54"/>
      <c r="H3992" s="54"/>
      <c r="I3992" s="66"/>
      <c r="J3992" s="54"/>
      <c r="K3992" s="54"/>
      <c r="L3992" s="54"/>
      <c r="M3992" s="97" t="str">
        <f t="shared" si="332"/>
        <v/>
      </c>
      <c r="N3992" s="70"/>
      <c r="O3992" s="71" t="str">
        <f t="shared" si="336"/>
        <v/>
      </c>
      <c r="P3992" s="66"/>
      <c r="Q3992" s="66"/>
      <c r="R3992" s="54"/>
      <c r="S3992" s="82"/>
      <c r="T3992" s="83" t="str">
        <f t="shared" si="333"/>
        <v/>
      </c>
      <c r="U3992" s="10"/>
      <c r="V3992" s="41">
        <f>IF(AND(Q3992&lt;&gt;"",RIGHT(Q3992,3)&lt;&gt;""),IF(COUNTIF($Q$6:Q3992,Q3992)=1,1,0),0)</f>
        <v>0</v>
      </c>
      <c r="W3992" s="41" t="str">
        <f t="shared" si="334"/>
        <v/>
      </c>
      <c r="X3992" s="41" t="str">
        <f t="shared" si="335"/>
        <v/>
      </c>
    </row>
    <row r="3993" s="32" customFormat="1" hidden="1" customHeight="1" spans="1:24">
      <c r="A3993" s="34"/>
      <c r="B3993" s="51"/>
      <c r="C3993" s="51"/>
      <c r="D3993" s="52"/>
      <c r="E3993" s="53"/>
      <c r="F3993" s="54"/>
      <c r="G3993" s="54"/>
      <c r="H3993" s="54"/>
      <c r="I3993" s="66"/>
      <c r="J3993" s="54"/>
      <c r="K3993" s="54"/>
      <c r="L3993" s="54"/>
      <c r="M3993" s="97" t="str">
        <f t="shared" si="332"/>
        <v/>
      </c>
      <c r="N3993" s="70"/>
      <c r="O3993" s="71" t="str">
        <f t="shared" si="336"/>
        <v/>
      </c>
      <c r="P3993" s="66"/>
      <c r="Q3993" s="66"/>
      <c r="R3993" s="54"/>
      <c r="S3993" s="82"/>
      <c r="T3993" s="83" t="str">
        <f t="shared" si="333"/>
        <v/>
      </c>
      <c r="U3993" s="10"/>
      <c r="V3993" s="41">
        <f>IF(AND(Q3993&lt;&gt;"",RIGHT(Q3993,3)&lt;&gt;""),IF(COUNTIF($Q$6:Q3993,Q3993)=1,1,0),0)</f>
        <v>0</v>
      </c>
      <c r="W3993" s="41" t="str">
        <f t="shared" si="334"/>
        <v/>
      </c>
      <c r="X3993" s="41" t="str">
        <f t="shared" si="335"/>
        <v/>
      </c>
    </row>
    <row r="3994" s="32" customFormat="1" hidden="1" customHeight="1" spans="1:24">
      <c r="A3994" s="34"/>
      <c r="B3994" s="51"/>
      <c r="C3994" s="51"/>
      <c r="D3994" s="52"/>
      <c r="E3994" s="53"/>
      <c r="F3994" s="54"/>
      <c r="G3994" s="54"/>
      <c r="H3994" s="54"/>
      <c r="I3994" s="66"/>
      <c r="J3994" s="54"/>
      <c r="K3994" s="54"/>
      <c r="L3994" s="54"/>
      <c r="M3994" s="97" t="str">
        <f t="shared" si="332"/>
        <v/>
      </c>
      <c r="N3994" s="70"/>
      <c r="O3994" s="71" t="str">
        <f t="shared" si="336"/>
        <v/>
      </c>
      <c r="P3994" s="66"/>
      <c r="Q3994" s="66"/>
      <c r="R3994" s="54"/>
      <c r="S3994" s="82"/>
      <c r="T3994" s="83" t="str">
        <f t="shared" si="333"/>
        <v/>
      </c>
      <c r="U3994" s="10"/>
      <c r="V3994" s="41">
        <f>IF(AND(Q3994&lt;&gt;"",RIGHT(Q3994,3)&lt;&gt;""),IF(COUNTIF($Q$6:Q3994,Q3994)=1,1,0),0)</f>
        <v>0</v>
      </c>
      <c r="W3994" s="41" t="str">
        <f t="shared" si="334"/>
        <v/>
      </c>
      <c r="X3994" s="41" t="str">
        <f t="shared" si="335"/>
        <v/>
      </c>
    </row>
    <row r="3995" s="32" customFormat="1" hidden="1" customHeight="1" spans="1:24">
      <c r="A3995" s="34"/>
      <c r="B3995" s="51"/>
      <c r="C3995" s="51"/>
      <c r="D3995" s="52"/>
      <c r="E3995" s="53"/>
      <c r="F3995" s="54"/>
      <c r="G3995" s="54"/>
      <c r="H3995" s="54"/>
      <c r="I3995" s="66"/>
      <c r="J3995" s="54"/>
      <c r="K3995" s="54"/>
      <c r="L3995" s="54"/>
      <c r="M3995" s="97" t="str">
        <f t="shared" si="332"/>
        <v/>
      </c>
      <c r="N3995" s="70"/>
      <c r="O3995" s="71" t="str">
        <f t="shared" si="336"/>
        <v/>
      </c>
      <c r="P3995" s="66"/>
      <c r="Q3995" s="66"/>
      <c r="R3995" s="54"/>
      <c r="S3995" s="82"/>
      <c r="T3995" s="83" t="str">
        <f t="shared" si="333"/>
        <v/>
      </c>
      <c r="U3995" s="10"/>
      <c r="V3995" s="41">
        <f>IF(AND(Q3995&lt;&gt;"",RIGHT(Q3995,3)&lt;&gt;""),IF(COUNTIF($Q$6:Q3995,Q3995)=1,1,0),0)</f>
        <v>0</v>
      </c>
      <c r="W3995" s="41" t="str">
        <f t="shared" si="334"/>
        <v/>
      </c>
      <c r="X3995" s="41" t="str">
        <f t="shared" si="335"/>
        <v/>
      </c>
    </row>
    <row r="3996" s="32" customFormat="1" hidden="1" customHeight="1" spans="1:24">
      <c r="A3996" s="34"/>
      <c r="B3996" s="51"/>
      <c r="C3996" s="51"/>
      <c r="D3996" s="52"/>
      <c r="E3996" s="53"/>
      <c r="F3996" s="54"/>
      <c r="G3996" s="54"/>
      <c r="H3996" s="54"/>
      <c r="I3996" s="66"/>
      <c r="J3996" s="54"/>
      <c r="K3996" s="54"/>
      <c r="L3996" s="54"/>
      <c r="M3996" s="97" t="str">
        <f t="shared" si="332"/>
        <v/>
      </c>
      <c r="N3996" s="70"/>
      <c r="O3996" s="71" t="str">
        <f t="shared" si="336"/>
        <v/>
      </c>
      <c r="P3996" s="66"/>
      <c r="Q3996" s="66"/>
      <c r="R3996" s="54"/>
      <c r="S3996" s="82"/>
      <c r="T3996" s="83" t="str">
        <f t="shared" si="333"/>
        <v/>
      </c>
      <c r="U3996" s="10"/>
      <c r="V3996" s="41">
        <f>IF(AND(Q3996&lt;&gt;"",RIGHT(Q3996,3)&lt;&gt;""),IF(COUNTIF($Q$6:Q3996,Q3996)=1,1,0),0)</f>
        <v>0</v>
      </c>
      <c r="W3996" s="41" t="str">
        <f t="shared" si="334"/>
        <v/>
      </c>
      <c r="X3996" s="41" t="str">
        <f t="shared" si="335"/>
        <v/>
      </c>
    </row>
    <row r="3997" s="32" customFormat="1" hidden="1" customHeight="1" spans="1:24">
      <c r="A3997" s="34"/>
      <c r="B3997" s="51"/>
      <c r="C3997" s="51"/>
      <c r="D3997" s="52"/>
      <c r="E3997" s="53"/>
      <c r="F3997" s="54"/>
      <c r="G3997" s="54"/>
      <c r="H3997" s="54"/>
      <c r="I3997" s="66"/>
      <c r="J3997" s="54"/>
      <c r="K3997" s="54"/>
      <c r="L3997" s="54"/>
      <c r="M3997" s="97" t="str">
        <f t="shared" si="332"/>
        <v/>
      </c>
      <c r="N3997" s="70"/>
      <c r="O3997" s="71" t="str">
        <f t="shared" si="336"/>
        <v/>
      </c>
      <c r="P3997" s="66"/>
      <c r="Q3997" s="66"/>
      <c r="R3997" s="54"/>
      <c r="S3997" s="82"/>
      <c r="T3997" s="83" t="str">
        <f t="shared" si="333"/>
        <v/>
      </c>
      <c r="U3997" s="10"/>
      <c r="V3997" s="41">
        <f>IF(AND(Q3997&lt;&gt;"",RIGHT(Q3997,3)&lt;&gt;""),IF(COUNTIF($Q$6:Q3997,Q3997)=1,1,0),0)</f>
        <v>0</v>
      </c>
      <c r="W3997" s="41" t="str">
        <f t="shared" si="334"/>
        <v/>
      </c>
      <c r="X3997" s="41" t="str">
        <f t="shared" si="335"/>
        <v/>
      </c>
    </row>
    <row r="3998" s="32" customFormat="1" hidden="1" customHeight="1" spans="1:24">
      <c r="A3998" s="34"/>
      <c r="B3998" s="51"/>
      <c r="C3998" s="51"/>
      <c r="D3998" s="52"/>
      <c r="E3998" s="53"/>
      <c r="F3998" s="54"/>
      <c r="G3998" s="54"/>
      <c r="H3998" s="54"/>
      <c r="I3998" s="66"/>
      <c r="J3998" s="54"/>
      <c r="K3998" s="54"/>
      <c r="L3998" s="54"/>
      <c r="M3998" s="97" t="str">
        <f t="shared" si="332"/>
        <v/>
      </c>
      <c r="N3998" s="70"/>
      <c r="O3998" s="71" t="str">
        <f t="shared" si="336"/>
        <v/>
      </c>
      <c r="P3998" s="66"/>
      <c r="Q3998" s="66"/>
      <c r="R3998" s="54"/>
      <c r="S3998" s="82"/>
      <c r="T3998" s="83" t="str">
        <f t="shared" si="333"/>
        <v/>
      </c>
      <c r="U3998" s="10"/>
      <c r="V3998" s="41">
        <f>IF(AND(Q3998&lt;&gt;"",RIGHT(Q3998,3)&lt;&gt;""),IF(COUNTIF($Q$6:Q3998,Q3998)=1,1,0),0)</f>
        <v>0</v>
      </c>
      <c r="W3998" s="41" t="str">
        <f t="shared" si="334"/>
        <v/>
      </c>
      <c r="X3998" s="41" t="str">
        <f t="shared" si="335"/>
        <v/>
      </c>
    </row>
    <row r="3999" s="32" customFormat="1" hidden="1" customHeight="1" spans="1:24">
      <c r="A3999" s="34"/>
      <c r="B3999" s="51"/>
      <c r="C3999" s="51"/>
      <c r="D3999" s="52"/>
      <c r="E3999" s="53"/>
      <c r="F3999" s="54"/>
      <c r="G3999" s="54"/>
      <c r="H3999" s="54"/>
      <c r="I3999" s="66"/>
      <c r="J3999" s="54"/>
      <c r="K3999" s="54"/>
      <c r="L3999" s="54"/>
      <c r="M3999" s="97" t="str">
        <f t="shared" si="332"/>
        <v/>
      </c>
      <c r="N3999" s="70"/>
      <c r="O3999" s="71" t="str">
        <f t="shared" si="336"/>
        <v/>
      </c>
      <c r="P3999" s="66"/>
      <c r="Q3999" s="66"/>
      <c r="R3999" s="54"/>
      <c r="S3999" s="82"/>
      <c r="T3999" s="83" t="str">
        <f t="shared" si="333"/>
        <v/>
      </c>
      <c r="U3999" s="10"/>
      <c r="V3999" s="41">
        <f>IF(AND(Q3999&lt;&gt;"",RIGHT(Q3999,3)&lt;&gt;""),IF(COUNTIF($Q$6:Q3999,Q3999)=1,1,0),0)</f>
        <v>0</v>
      </c>
      <c r="W3999" s="41" t="str">
        <f t="shared" si="334"/>
        <v/>
      </c>
      <c r="X3999" s="41" t="str">
        <f t="shared" si="335"/>
        <v/>
      </c>
    </row>
    <row r="4000" s="32" customFormat="1" hidden="1" customHeight="1" spans="1:24">
      <c r="A4000" s="34"/>
      <c r="B4000" s="51"/>
      <c r="C4000" s="51"/>
      <c r="D4000" s="52"/>
      <c r="E4000" s="53"/>
      <c r="F4000" s="54"/>
      <c r="G4000" s="54"/>
      <c r="H4000" s="54"/>
      <c r="I4000" s="66"/>
      <c r="J4000" s="54"/>
      <c r="K4000" s="54"/>
      <c r="L4000" s="54"/>
      <c r="M4000" s="97" t="str">
        <f t="shared" si="332"/>
        <v/>
      </c>
      <c r="N4000" s="70"/>
      <c r="O4000" s="71" t="str">
        <f t="shared" si="336"/>
        <v/>
      </c>
      <c r="P4000" s="66"/>
      <c r="Q4000" s="66"/>
      <c r="R4000" s="54"/>
      <c r="S4000" s="82"/>
      <c r="T4000" s="83" t="str">
        <f t="shared" si="333"/>
        <v/>
      </c>
      <c r="U4000" s="10"/>
      <c r="V4000" s="41">
        <f>IF(AND(Q4000&lt;&gt;"",RIGHT(Q4000,3)&lt;&gt;""),IF(COUNTIF($Q$6:Q4000,Q4000)=1,1,0),0)</f>
        <v>0</v>
      </c>
      <c r="W4000" s="41" t="str">
        <f t="shared" si="334"/>
        <v/>
      </c>
      <c r="X4000" s="41" t="str">
        <f t="shared" si="335"/>
        <v/>
      </c>
    </row>
    <row r="4001" s="32" customFormat="1" hidden="1" customHeight="1" spans="1:24">
      <c r="A4001" s="34"/>
      <c r="B4001" s="51"/>
      <c r="C4001" s="51"/>
      <c r="D4001" s="52"/>
      <c r="E4001" s="53"/>
      <c r="F4001" s="54"/>
      <c r="G4001" s="54"/>
      <c r="H4001" s="54"/>
      <c r="I4001" s="66"/>
      <c r="J4001" s="54"/>
      <c r="K4001" s="54"/>
      <c r="L4001" s="54"/>
      <c r="M4001" s="97" t="str">
        <f t="shared" si="332"/>
        <v/>
      </c>
      <c r="N4001" s="70"/>
      <c r="O4001" s="71" t="str">
        <f t="shared" si="336"/>
        <v/>
      </c>
      <c r="P4001" s="66"/>
      <c r="Q4001" s="66"/>
      <c r="R4001" s="54"/>
      <c r="S4001" s="82"/>
      <c r="T4001" s="83" t="str">
        <f t="shared" si="333"/>
        <v/>
      </c>
      <c r="U4001" s="10"/>
      <c r="V4001" s="41">
        <f>IF(AND(Q4001&lt;&gt;"",RIGHT(Q4001,3)&lt;&gt;""),IF(COUNTIF($Q$6:Q4001,Q4001)=1,1,0),0)</f>
        <v>0</v>
      </c>
      <c r="W4001" s="41" t="str">
        <f t="shared" si="334"/>
        <v/>
      </c>
      <c r="X4001" s="41" t="str">
        <f t="shared" si="335"/>
        <v/>
      </c>
    </row>
    <row r="4002" s="32" customFormat="1" hidden="1" customHeight="1" spans="1:24">
      <c r="A4002" s="34"/>
      <c r="B4002" s="51"/>
      <c r="C4002" s="51"/>
      <c r="D4002" s="52"/>
      <c r="E4002" s="53"/>
      <c r="F4002" s="54"/>
      <c r="G4002" s="54"/>
      <c r="H4002" s="54"/>
      <c r="I4002" s="66"/>
      <c r="J4002" s="54"/>
      <c r="K4002" s="54"/>
      <c r="L4002" s="54"/>
      <c r="M4002" s="97" t="str">
        <f t="shared" si="332"/>
        <v/>
      </c>
      <c r="N4002" s="70"/>
      <c r="O4002" s="71" t="str">
        <f t="shared" si="336"/>
        <v/>
      </c>
      <c r="P4002" s="66"/>
      <c r="Q4002" s="66"/>
      <c r="R4002" s="54"/>
      <c r="S4002" s="82"/>
      <c r="T4002" s="83" t="str">
        <f t="shared" si="333"/>
        <v/>
      </c>
      <c r="U4002" s="10"/>
      <c r="V4002" s="41">
        <f>IF(AND(Q4002&lt;&gt;"",RIGHT(Q4002,3)&lt;&gt;""),IF(COUNTIF($Q$6:Q4002,Q4002)=1,1,0),0)</f>
        <v>0</v>
      </c>
      <c r="W4002" s="41" t="str">
        <f t="shared" si="334"/>
        <v/>
      </c>
      <c r="X4002" s="41" t="str">
        <f t="shared" si="335"/>
        <v/>
      </c>
    </row>
    <row r="4003" s="32" customFormat="1" hidden="1" customHeight="1" spans="1:24">
      <c r="A4003" s="34"/>
      <c r="B4003" s="51"/>
      <c r="C4003" s="51"/>
      <c r="D4003" s="52"/>
      <c r="E4003" s="53"/>
      <c r="F4003" s="54"/>
      <c r="G4003" s="54"/>
      <c r="H4003" s="54"/>
      <c r="I4003" s="66"/>
      <c r="J4003" s="54"/>
      <c r="K4003" s="54"/>
      <c r="L4003" s="54"/>
      <c r="M4003" s="97" t="str">
        <f t="shared" si="332"/>
        <v/>
      </c>
      <c r="N4003" s="70"/>
      <c r="O4003" s="71" t="str">
        <f t="shared" si="336"/>
        <v/>
      </c>
      <c r="P4003" s="66"/>
      <c r="Q4003" s="66"/>
      <c r="R4003" s="54"/>
      <c r="S4003" s="82"/>
      <c r="T4003" s="83" t="str">
        <f t="shared" si="333"/>
        <v/>
      </c>
      <c r="U4003" s="10"/>
      <c r="V4003" s="41">
        <f>IF(AND(Q4003&lt;&gt;"",RIGHT(Q4003,3)&lt;&gt;""),IF(COUNTIF($Q$6:Q4003,Q4003)=1,1,0),0)</f>
        <v>0</v>
      </c>
      <c r="W4003" s="41" t="str">
        <f t="shared" si="334"/>
        <v/>
      </c>
      <c r="X4003" s="41" t="str">
        <f t="shared" si="335"/>
        <v/>
      </c>
    </row>
    <row r="4004" s="32" customFormat="1" hidden="1" customHeight="1" spans="1:24">
      <c r="A4004" s="34"/>
      <c r="B4004" s="51"/>
      <c r="C4004" s="51"/>
      <c r="D4004" s="52"/>
      <c r="E4004" s="53"/>
      <c r="F4004" s="54"/>
      <c r="G4004" s="54"/>
      <c r="H4004" s="54"/>
      <c r="I4004" s="66"/>
      <c r="J4004" s="54"/>
      <c r="K4004" s="54"/>
      <c r="L4004" s="54"/>
      <c r="M4004" s="97" t="str">
        <f t="shared" ref="M4004:M4067" si="337">IF(L4004="","",HYPERLINK(_xlfn.CONCAT($L$4,L4004,".jpg"),"Open File"))</f>
        <v/>
      </c>
      <c r="N4004" s="70"/>
      <c r="O4004" s="71" t="str">
        <f t="shared" si="336"/>
        <v/>
      </c>
      <c r="P4004" s="66"/>
      <c r="Q4004" s="66"/>
      <c r="R4004" s="54"/>
      <c r="S4004" s="82"/>
      <c r="T4004" s="83" t="str">
        <f t="shared" ref="T4004:T4067" si="338">IF(S4004="","",HYPERLINK(_xlfn.CONCAT($S$4,S4004,".jpg"),"Open File"))</f>
        <v/>
      </c>
      <c r="U4004" s="10"/>
      <c r="V4004" s="41">
        <f>IF(AND(Q4004&lt;&gt;"",RIGHT(Q4004,3)&lt;&gt;""),IF(COUNTIF($Q$6:Q4004,Q4004)=1,1,0),0)</f>
        <v>0</v>
      </c>
      <c r="W4004" s="41" t="str">
        <f t="shared" ref="W4004:W4067" si="339">IF(AND(J4004&lt;&gt;"",K4004&lt;&gt;""),_xlfn.CONCAT(SUBSTITUTE(J4004,"/","."),"-",K4004),"")</f>
        <v/>
      </c>
      <c r="X4004" s="41" t="str">
        <f t="shared" ref="X4004:X4067" si="340">IF(AND(Q4004&lt;&gt;"",R4004&lt;&gt;""),_xlfn.CONCAT(SUBSTITUTE(Q4004,"/","."),"-",R4004),"")</f>
        <v/>
      </c>
    </row>
    <row r="4005" s="32" customFormat="1" hidden="1" customHeight="1" spans="1:24">
      <c r="A4005" s="34"/>
      <c r="B4005" s="51"/>
      <c r="C4005" s="51"/>
      <c r="D4005" s="52"/>
      <c r="E4005" s="53"/>
      <c r="F4005" s="54"/>
      <c r="G4005" s="54"/>
      <c r="H4005" s="54"/>
      <c r="I4005" s="66"/>
      <c r="J4005" s="54"/>
      <c r="K4005" s="54"/>
      <c r="L4005" s="54"/>
      <c r="M4005" s="97" t="str">
        <f t="shared" si="337"/>
        <v/>
      </c>
      <c r="N4005" s="70"/>
      <c r="O4005" s="71" t="str">
        <f t="shared" si="336"/>
        <v/>
      </c>
      <c r="P4005" s="66"/>
      <c r="Q4005" s="66"/>
      <c r="R4005" s="54"/>
      <c r="S4005" s="82"/>
      <c r="T4005" s="83" t="str">
        <f t="shared" si="338"/>
        <v/>
      </c>
      <c r="U4005" s="10"/>
      <c r="V4005" s="41">
        <f>IF(AND(Q4005&lt;&gt;"",RIGHT(Q4005,3)&lt;&gt;""),IF(COUNTIF($Q$6:Q4005,Q4005)=1,1,0),0)</f>
        <v>0</v>
      </c>
      <c r="W4005" s="41" t="str">
        <f t="shared" si="339"/>
        <v/>
      </c>
      <c r="X4005" s="41" t="str">
        <f t="shared" si="340"/>
        <v/>
      </c>
    </row>
    <row r="4006" s="32" customFormat="1" hidden="1" customHeight="1" spans="1:24">
      <c r="A4006" s="34"/>
      <c r="B4006" s="51"/>
      <c r="C4006" s="51"/>
      <c r="D4006" s="52"/>
      <c r="E4006" s="53"/>
      <c r="F4006" s="54"/>
      <c r="G4006" s="54"/>
      <c r="H4006" s="54"/>
      <c r="I4006" s="66"/>
      <c r="J4006" s="54"/>
      <c r="K4006" s="54"/>
      <c r="L4006" s="54"/>
      <c r="M4006" s="97" t="str">
        <f t="shared" si="337"/>
        <v/>
      </c>
      <c r="N4006" s="70"/>
      <c r="O4006" s="71" t="str">
        <f t="shared" si="336"/>
        <v/>
      </c>
      <c r="P4006" s="66"/>
      <c r="Q4006" s="66"/>
      <c r="R4006" s="54"/>
      <c r="S4006" s="82"/>
      <c r="T4006" s="83" t="str">
        <f t="shared" si="338"/>
        <v/>
      </c>
      <c r="U4006" s="10"/>
      <c r="V4006" s="41">
        <f>IF(AND(Q4006&lt;&gt;"",RIGHT(Q4006,3)&lt;&gt;""),IF(COUNTIF($Q$6:Q4006,Q4006)=1,1,0),0)</f>
        <v>0</v>
      </c>
      <c r="W4006" s="41" t="str">
        <f t="shared" si="339"/>
        <v/>
      </c>
      <c r="X4006" s="41" t="str">
        <f t="shared" si="340"/>
        <v/>
      </c>
    </row>
    <row r="4007" s="32" customFormat="1" hidden="1" customHeight="1" spans="1:24">
      <c r="A4007" s="34"/>
      <c r="B4007" s="51"/>
      <c r="C4007" s="51"/>
      <c r="D4007" s="52"/>
      <c r="E4007" s="53"/>
      <c r="F4007" s="54"/>
      <c r="G4007" s="54"/>
      <c r="H4007" s="54"/>
      <c r="I4007" s="66"/>
      <c r="J4007" s="54"/>
      <c r="K4007" s="54"/>
      <c r="L4007" s="54"/>
      <c r="M4007" s="97" t="str">
        <f t="shared" si="337"/>
        <v/>
      </c>
      <c r="N4007" s="70"/>
      <c r="O4007" s="71" t="str">
        <f t="shared" si="336"/>
        <v/>
      </c>
      <c r="P4007" s="66"/>
      <c r="Q4007" s="66"/>
      <c r="R4007" s="54"/>
      <c r="S4007" s="82"/>
      <c r="T4007" s="83" t="str">
        <f t="shared" si="338"/>
        <v/>
      </c>
      <c r="U4007" s="10"/>
      <c r="V4007" s="41">
        <f>IF(AND(Q4007&lt;&gt;"",RIGHT(Q4007,3)&lt;&gt;""),IF(COUNTIF($Q$6:Q4007,Q4007)=1,1,0),0)</f>
        <v>0</v>
      </c>
      <c r="W4007" s="41" t="str">
        <f t="shared" si="339"/>
        <v/>
      </c>
      <c r="X4007" s="41" t="str">
        <f t="shared" si="340"/>
        <v/>
      </c>
    </row>
    <row r="4008" s="32" customFormat="1" hidden="1" customHeight="1" spans="1:24">
      <c r="A4008" s="34"/>
      <c r="B4008" s="51"/>
      <c r="C4008" s="51"/>
      <c r="D4008" s="52"/>
      <c r="E4008" s="53"/>
      <c r="F4008" s="54"/>
      <c r="G4008" s="54"/>
      <c r="H4008" s="54"/>
      <c r="I4008" s="66"/>
      <c r="J4008" s="54"/>
      <c r="K4008" s="54"/>
      <c r="L4008" s="54"/>
      <c r="M4008" s="97" t="str">
        <f t="shared" si="337"/>
        <v/>
      </c>
      <c r="N4008" s="70"/>
      <c r="O4008" s="71" t="str">
        <f t="shared" si="336"/>
        <v/>
      </c>
      <c r="P4008" s="66"/>
      <c r="Q4008" s="66"/>
      <c r="R4008" s="54"/>
      <c r="S4008" s="82"/>
      <c r="T4008" s="83" t="str">
        <f t="shared" si="338"/>
        <v/>
      </c>
      <c r="U4008" s="10"/>
      <c r="V4008" s="41">
        <f>IF(AND(Q4008&lt;&gt;"",RIGHT(Q4008,3)&lt;&gt;""),IF(COUNTIF($Q$6:Q4008,Q4008)=1,1,0),0)</f>
        <v>0</v>
      </c>
      <c r="W4008" s="41" t="str">
        <f t="shared" si="339"/>
        <v/>
      </c>
      <c r="X4008" s="41" t="str">
        <f t="shared" si="340"/>
        <v/>
      </c>
    </row>
    <row r="4009" s="32" customFormat="1" hidden="1" customHeight="1" spans="1:24">
      <c r="A4009" s="34"/>
      <c r="B4009" s="51"/>
      <c r="C4009" s="51"/>
      <c r="D4009" s="52"/>
      <c r="E4009" s="53"/>
      <c r="F4009" s="54"/>
      <c r="G4009" s="54"/>
      <c r="H4009" s="54"/>
      <c r="I4009" s="66"/>
      <c r="J4009" s="54"/>
      <c r="K4009" s="54"/>
      <c r="L4009" s="54"/>
      <c r="M4009" s="97" t="str">
        <f t="shared" si="337"/>
        <v/>
      </c>
      <c r="N4009" s="70"/>
      <c r="O4009" s="71" t="str">
        <f t="shared" si="336"/>
        <v/>
      </c>
      <c r="P4009" s="66"/>
      <c r="Q4009" s="66"/>
      <c r="R4009" s="54"/>
      <c r="S4009" s="82"/>
      <c r="T4009" s="83" t="str">
        <f t="shared" si="338"/>
        <v/>
      </c>
      <c r="U4009" s="10"/>
      <c r="V4009" s="41">
        <f>IF(AND(Q4009&lt;&gt;"",RIGHT(Q4009,3)&lt;&gt;""),IF(COUNTIF($Q$6:Q4009,Q4009)=1,1,0),0)</f>
        <v>0</v>
      </c>
      <c r="W4009" s="41" t="str">
        <f t="shared" si="339"/>
        <v/>
      </c>
      <c r="X4009" s="41" t="str">
        <f t="shared" si="340"/>
        <v/>
      </c>
    </row>
    <row r="4010" s="32" customFormat="1" hidden="1" customHeight="1" spans="1:24">
      <c r="A4010" s="34"/>
      <c r="B4010" s="51"/>
      <c r="C4010" s="51"/>
      <c r="D4010" s="52"/>
      <c r="E4010" s="53"/>
      <c r="F4010" s="54"/>
      <c r="G4010" s="54"/>
      <c r="H4010" s="54"/>
      <c r="I4010" s="66"/>
      <c r="J4010" s="54"/>
      <c r="K4010" s="54"/>
      <c r="L4010" s="54"/>
      <c r="M4010" s="97" t="str">
        <f t="shared" si="337"/>
        <v/>
      </c>
      <c r="N4010" s="70"/>
      <c r="O4010" s="71" t="str">
        <f t="shared" si="336"/>
        <v/>
      </c>
      <c r="P4010" s="66"/>
      <c r="Q4010" s="66"/>
      <c r="R4010" s="54"/>
      <c r="S4010" s="82"/>
      <c r="T4010" s="83" t="str">
        <f t="shared" si="338"/>
        <v/>
      </c>
      <c r="U4010" s="10"/>
      <c r="V4010" s="41">
        <f>IF(AND(Q4010&lt;&gt;"",RIGHT(Q4010,3)&lt;&gt;""),IF(COUNTIF($Q$6:Q4010,Q4010)=1,1,0),0)</f>
        <v>0</v>
      </c>
      <c r="W4010" s="41" t="str">
        <f t="shared" si="339"/>
        <v/>
      </c>
      <c r="X4010" s="41" t="str">
        <f t="shared" si="340"/>
        <v/>
      </c>
    </row>
    <row r="4011" s="32" customFormat="1" hidden="1" customHeight="1" spans="1:24">
      <c r="A4011" s="34"/>
      <c r="B4011" s="51"/>
      <c r="C4011" s="51"/>
      <c r="D4011" s="52"/>
      <c r="E4011" s="53"/>
      <c r="F4011" s="54"/>
      <c r="G4011" s="54"/>
      <c r="H4011" s="54"/>
      <c r="I4011" s="66"/>
      <c r="J4011" s="54"/>
      <c r="K4011" s="54"/>
      <c r="L4011" s="54"/>
      <c r="M4011" s="97" t="str">
        <f t="shared" si="337"/>
        <v/>
      </c>
      <c r="N4011" s="70"/>
      <c r="O4011" s="71" t="str">
        <f t="shared" si="336"/>
        <v/>
      </c>
      <c r="P4011" s="66"/>
      <c r="Q4011" s="66"/>
      <c r="R4011" s="54"/>
      <c r="S4011" s="82"/>
      <c r="T4011" s="83" t="str">
        <f t="shared" si="338"/>
        <v/>
      </c>
      <c r="U4011" s="10"/>
      <c r="V4011" s="41">
        <f>IF(AND(Q4011&lt;&gt;"",RIGHT(Q4011,3)&lt;&gt;""),IF(COUNTIF($Q$6:Q4011,Q4011)=1,1,0),0)</f>
        <v>0</v>
      </c>
      <c r="W4011" s="41" t="str">
        <f t="shared" si="339"/>
        <v/>
      </c>
      <c r="X4011" s="41" t="str">
        <f t="shared" si="340"/>
        <v/>
      </c>
    </row>
    <row r="4012" s="32" customFormat="1" hidden="1" customHeight="1" spans="1:24">
      <c r="A4012" s="34"/>
      <c r="B4012" s="51"/>
      <c r="C4012" s="51"/>
      <c r="D4012" s="52"/>
      <c r="E4012" s="53"/>
      <c r="F4012" s="54"/>
      <c r="G4012" s="54"/>
      <c r="H4012" s="54"/>
      <c r="I4012" s="66"/>
      <c r="J4012" s="54"/>
      <c r="K4012" s="54"/>
      <c r="L4012" s="54"/>
      <c r="M4012" s="97" t="str">
        <f t="shared" si="337"/>
        <v/>
      </c>
      <c r="N4012" s="70"/>
      <c r="O4012" s="71" t="str">
        <f t="shared" si="336"/>
        <v/>
      </c>
      <c r="P4012" s="66"/>
      <c r="Q4012" s="66"/>
      <c r="R4012" s="54"/>
      <c r="S4012" s="82"/>
      <c r="T4012" s="83" t="str">
        <f t="shared" si="338"/>
        <v/>
      </c>
      <c r="U4012" s="10"/>
      <c r="V4012" s="41">
        <f>IF(AND(Q4012&lt;&gt;"",RIGHT(Q4012,3)&lt;&gt;""),IF(COUNTIF($Q$6:Q4012,Q4012)=1,1,0),0)</f>
        <v>0</v>
      </c>
      <c r="W4012" s="41" t="str">
        <f t="shared" si="339"/>
        <v/>
      </c>
      <c r="X4012" s="41" t="str">
        <f t="shared" si="340"/>
        <v/>
      </c>
    </row>
    <row r="4013" s="32" customFormat="1" hidden="1" customHeight="1" spans="1:24">
      <c r="A4013" s="34"/>
      <c r="B4013" s="51"/>
      <c r="C4013" s="51"/>
      <c r="D4013" s="52"/>
      <c r="E4013" s="53"/>
      <c r="F4013" s="54"/>
      <c r="G4013" s="54"/>
      <c r="H4013" s="54"/>
      <c r="I4013" s="66"/>
      <c r="J4013" s="54"/>
      <c r="K4013" s="54"/>
      <c r="L4013" s="54"/>
      <c r="M4013" s="97" t="str">
        <f t="shared" si="337"/>
        <v/>
      </c>
      <c r="N4013" s="70"/>
      <c r="O4013" s="71" t="str">
        <f t="shared" si="336"/>
        <v/>
      </c>
      <c r="P4013" s="66"/>
      <c r="Q4013" s="66"/>
      <c r="R4013" s="54"/>
      <c r="S4013" s="82"/>
      <c r="T4013" s="83" t="str">
        <f t="shared" si="338"/>
        <v/>
      </c>
      <c r="U4013" s="10"/>
      <c r="V4013" s="41">
        <f>IF(AND(Q4013&lt;&gt;"",RIGHT(Q4013,3)&lt;&gt;""),IF(COUNTIF($Q$6:Q4013,Q4013)=1,1,0),0)</f>
        <v>0</v>
      </c>
      <c r="W4013" s="41" t="str">
        <f t="shared" si="339"/>
        <v/>
      </c>
      <c r="X4013" s="41" t="str">
        <f t="shared" si="340"/>
        <v/>
      </c>
    </row>
    <row r="4014" s="32" customFormat="1" hidden="1" customHeight="1" spans="1:24">
      <c r="A4014" s="34"/>
      <c r="B4014" s="51"/>
      <c r="C4014" s="51"/>
      <c r="D4014" s="52"/>
      <c r="E4014" s="53"/>
      <c r="F4014" s="54"/>
      <c r="G4014" s="54"/>
      <c r="H4014" s="54"/>
      <c r="I4014" s="66"/>
      <c r="J4014" s="54"/>
      <c r="K4014" s="54"/>
      <c r="L4014" s="54"/>
      <c r="M4014" s="97" t="str">
        <f t="shared" si="337"/>
        <v/>
      </c>
      <c r="N4014" s="70"/>
      <c r="O4014" s="71" t="str">
        <f t="shared" si="336"/>
        <v/>
      </c>
      <c r="P4014" s="66"/>
      <c r="Q4014" s="66"/>
      <c r="R4014" s="54"/>
      <c r="S4014" s="82"/>
      <c r="T4014" s="83" t="str">
        <f t="shared" si="338"/>
        <v/>
      </c>
      <c r="U4014" s="10"/>
      <c r="V4014" s="41">
        <f>IF(AND(Q4014&lt;&gt;"",RIGHT(Q4014,3)&lt;&gt;""),IF(COUNTIF($Q$6:Q4014,Q4014)=1,1,0),0)</f>
        <v>0</v>
      </c>
      <c r="W4014" s="41" t="str">
        <f t="shared" si="339"/>
        <v/>
      </c>
      <c r="X4014" s="41" t="str">
        <f t="shared" si="340"/>
        <v/>
      </c>
    </row>
    <row r="4015" s="32" customFormat="1" hidden="1" customHeight="1" spans="1:24">
      <c r="A4015" s="34"/>
      <c r="B4015" s="51"/>
      <c r="C4015" s="51"/>
      <c r="D4015" s="52"/>
      <c r="E4015" s="53"/>
      <c r="F4015" s="54"/>
      <c r="G4015" s="54"/>
      <c r="H4015" s="54"/>
      <c r="I4015" s="66"/>
      <c r="J4015" s="54"/>
      <c r="K4015" s="54"/>
      <c r="L4015" s="54"/>
      <c r="M4015" s="97" t="str">
        <f t="shared" si="337"/>
        <v/>
      </c>
      <c r="N4015" s="70"/>
      <c r="O4015" s="71" t="str">
        <f t="shared" si="336"/>
        <v/>
      </c>
      <c r="P4015" s="66"/>
      <c r="Q4015" s="66"/>
      <c r="R4015" s="54"/>
      <c r="S4015" s="82"/>
      <c r="T4015" s="83" t="str">
        <f t="shared" si="338"/>
        <v/>
      </c>
      <c r="U4015" s="10"/>
      <c r="V4015" s="41">
        <f>IF(AND(Q4015&lt;&gt;"",RIGHT(Q4015,3)&lt;&gt;""),IF(COUNTIF($Q$6:Q4015,Q4015)=1,1,0),0)</f>
        <v>0</v>
      </c>
      <c r="W4015" s="41" t="str">
        <f t="shared" si="339"/>
        <v/>
      </c>
      <c r="X4015" s="41" t="str">
        <f t="shared" si="340"/>
        <v/>
      </c>
    </row>
    <row r="4016" s="32" customFormat="1" hidden="1" customHeight="1" spans="1:24">
      <c r="A4016" s="34"/>
      <c r="B4016" s="51"/>
      <c r="C4016" s="51"/>
      <c r="D4016" s="52"/>
      <c r="E4016" s="53"/>
      <c r="F4016" s="54"/>
      <c r="G4016" s="54"/>
      <c r="H4016" s="54"/>
      <c r="I4016" s="66"/>
      <c r="J4016" s="54"/>
      <c r="K4016" s="54"/>
      <c r="L4016" s="54"/>
      <c r="M4016" s="97" t="str">
        <f t="shared" si="337"/>
        <v/>
      </c>
      <c r="N4016" s="70"/>
      <c r="O4016" s="71" t="str">
        <f t="shared" si="336"/>
        <v/>
      </c>
      <c r="P4016" s="66"/>
      <c r="Q4016" s="66"/>
      <c r="R4016" s="54"/>
      <c r="S4016" s="82"/>
      <c r="T4016" s="83" t="str">
        <f t="shared" si="338"/>
        <v/>
      </c>
      <c r="U4016" s="10"/>
      <c r="V4016" s="41">
        <f>IF(AND(Q4016&lt;&gt;"",RIGHT(Q4016,3)&lt;&gt;""),IF(COUNTIF($Q$6:Q4016,Q4016)=1,1,0),0)</f>
        <v>0</v>
      </c>
      <c r="W4016" s="41" t="str">
        <f t="shared" si="339"/>
        <v/>
      </c>
      <c r="X4016" s="41" t="str">
        <f t="shared" si="340"/>
        <v/>
      </c>
    </row>
    <row r="4017" s="32" customFormat="1" hidden="1" customHeight="1" spans="1:24">
      <c r="A4017" s="34"/>
      <c r="B4017" s="51"/>
      <c r="C4017" s="51"/>
      <c r="D4017" s="52"/>
      <c r="E4017" s="53"/>
      <c r="F4017" s="54"/>
      <c r="G4017" s="54"/>
      <c r="H4017" s="54"/>
      <c r="I4017" s="66"/>
      <c r="J4017" s="54"/>
      <c r="K4017" s="54"/>
      <c r="L4017" s="54"/>
      <c r="M4017" s="97" t="str">
        <f t="shared" si="337"/>
        <v/>
      </c>
      <c r="N4017" s="70"/>
      <c r="O4017" s="71" t="str">
        <f t="shared" ref="O4017:O4080" si="341">IF(AND(Q4017&lt;&gt;"",T4017&lt;&gt;""),"PASSIVE",IF(AND(J4017&lt;&gt;"",M4017&lt;&gt;""),"ACTIVE",""))</f>
        <v/>
      </c>
      <c r="P4017" s="66"/>
      <c r="Q4017" s="66"/>
      <c r="R4017" s="54"/>
      <c r="S4017" s="82"/>
      <c r="T4017" s="83" t="str">
        <f t="shared" si="338"/>
        <v/>
      </c>
      <c r="U4017" s="10"/>
      <c r="V4017" s="41">
        <f>IF(AND(Q4017&lt;&gt;"",RIGHT(Q4017,3)&lt;&gt;""),IF(COUNTIF($Q$6:Q4017,Q4017)=1,1,0),0)</f>
        <v>0</v>
      </c>
      <c r="W4017" s="41" t="str">
        <f t="shared" si="339"/>
        <v/>
      </c>
      <c r="X4017" s="41" t="str">
        <f t="shared" si="340"/>
        <v/>
      </c>
    </row>
    <row r="4018" s="32" customFormat="1" hidden="1" customHeight="1" spans="1:24">
      <c r="A4018" s="34"/>
      <c r="B4018" s="51"/>
      <c r="C4018" s="51"/>
      <c r="D4018" s="52"/>
      <c r="E4018" s="53"/>
      <c r="F4018" s="54"/>
      <c r="G4018" s="54"/>
      <c r="H4018" s="54"/>
      <c r="I4018" s="66"/>
      <c r="J4018" s="54"/>
      <c r="K4018" s="54"/>
      <c r="L4018" s="54"/>
      <c r="M4018" s="97" t="str">
        <f t="shared" si="337"/>
        <v/>
      </c>
      <c r="N4018" s="70"/>
      <c r="O4018" s="71" t="str">
        <f t="shared" si="341"/>
        <v/>
      </c>
      <c r="P4018" s="66"/>
      <c r="Q4018" s="66"/>
      <c r="R4018" s="54"/>
      <c r="S4018" s="82"/>
      <c r="T4018" s="83" t="str">
        <f t="shared" si="338"/>
        <v/>
      </c>
      <c r="U4018" s="10"/>
      <c r="V4018" s="41">
        <f>IF(AND(Q4018&lt;&gt;"",RIGHT(Q4018,3)&lt;&gt;""),IF(COUNTIF($Q$6:Q4018,Q4018)=1,1,0),0)</f>
        <v>0</v>
      </c>
      <c r="W4018" s="41" t="str">
        <f t="shared" si="339"/>
        <v/>
      </c>
      <c r="X4018" s="41" t="str">
        <f t="shared" si="340"/>
        <v/>
      </c>
    </row>
    <row r="4019" s="32" customFormat="1" hidden="1" customHeight="1" spans="1:24">
      <c r="A4019" s="34"/>
      <c r="B4019" s="51"/>
      <c r="C4019" s="51"/>
      <c r="D4019" s="52"/>
      <c r="E4019" s="53"/>
      <c r="F4019" s="54"/>
      <c r="G4019" s="54"/>
      <c r="H4019" s="54"/>
      <c r="I4019" s="66"/>
      <c r="J4019" s="54"/>
      <c r="K4019" s="54"/>
      <c r="L4019" s="54"/>
      <c r="M4019" s="97" t="str">
        <f t="shared" si="337"/>
        <v/>
      </c>
      <c r="N4019" s="70"/>
      <c r="O4019" s="71" t="str">
        <f t="shared" si="341"/>
        <v/>
      </c>
      <c r="P4019" s="66"/>
      <c r="Q4019" s="66"/>
      <c r="R4019" s="54"/>
      <c r="S4019" s="82"/>
      <c r="T4019" s="83" t="str">
        <f t="shared" si="338"/>
        <v/>
      </c>
      <c r="U4019" s="10"/>
      <c r="V4019" s="41">
        <f>IF(AND(Q4019&lt;&gt;"",RIGHT(Q4019,3)&lt;&gt;""),IF(COUNTIF($Q$6:Q4019,Q4019)=1,1,0),0)</f>
        <v>0</v>
      </c>
      <c r="W4019" s="41" t="str">
        <f t="shared" si="339"/>
        <v/>
      </c>
      <c r="X4019" s="41" t="str">
        <f t="shared" si="340"/>
        <v/>
      </c>
    </row>
    <row r="4020" s="32" customFormat="1" hidden="1" customHeight="1" spans="1:24">
      <c r="A4020" s="34"/>
      <c r="B4020" s="51"/>
      <c r="C4020" s="51"/>
      <c r="D4020" s="52"/>
      <c r="E4020" s="53"/>
      <c r="F4020" s="54"/>
      <c r="G4020" s="54"/>
      <c r="H4020" s="54"/>
      <c r="I4020" s="66"/>
      <c r="J4020" s="54"/>
      <c r="K4020" s="54"/>
      <c r="L4020" s="54"/>
      <c r="M4020" s="97" t="str">
        <f t="shared" si="337"/>
        <v/>
      </c>
      <c r="N4020" s="70"/>
      <c r="O4020" s="71" t="str">
        <f t="shared" si="341"/>
        <v/>
      </c>
      <c r="P4020" s="66"/>
      <c r="Q4020" s="66"/>
      <c r="R4020" s="54"/>
      <c r="S4020" s="82"/>
      <c r="T4020" s="83" t="str">
        <f t="shared" si="338"/>
        <v/>
      </c>
      <c r="U4020" s="10"/>
      <c r="V4020" s="41">
        <f>IF(AND(Q4020&lt;&gt;"",RIGHT(Q4020,3)&lt;&gt;""),IF(COUNTIF($Q$6:Q4020,Q4020)=1,1,0),0)</f>
        <v>0</v>
      </c>
      <c r="W4020" s="41" t="str">
        <f t="shared" si="339"/>
        <v/>
      </c>
      <c r="X4020" s="41" t="str">
        <f t="shared" si="340"/>
        <v/>
      </c>
    </row>
    <row r="4021" s="32" customFormat="1" hidden="1" customHeight="1" spans="1:24">
      <c r="A4021" s="34"/>
      <c r="B4021" s="51"/>
      <c r="C4021" s="51"/>
      <c r="D4021" s="52"/>
      <c r="E4021" s="53"/>
      <c r="F4021" s="54"/>
      <c r="G4021" s="54"/>
      <c r="H4021" s="54"/>
      <c r="I4021" s="66"/>
      <c r="J4021" s="54"/>
      <c r="K4021" s="54"/>
      <c r="L4021" s="54"/>
      <c r="M4021" s="97" t="str">
        <f t="shared" si="337"/>
        <v/>
      </c>
      <c r="N4021" s="70"/>
      <c r="O4021" s="71" t="str">
        <f t="shared" si="341"/>
        <v/>
      </c>
      <c r="P4021" s="66"/>
      <c r="Q4021" s="66"/>
      <c r="R4021" s="54"/>
      <c r="S4021" s="82"/>
      <c r="T4021" s="83" t="str">
        <f t="shared" si="338"/>
        <v/>
      </c>
      <c r="U4021" s="10"/>
      <c r="V4021" s="41">
        <f>IF(AND(Q4021&lt;&gt;"",RIGHT(Q4021,3)&lt;&gt;""),IF(COUNTIF($Q$6:Q4021,Q4021)=1,1,0),0)</f>
        <v>0</v>
      </c>
      <c r="W4021" s="41" t="str">
        <f t="shared" si="339"/>
        <v/>
      </c>
      <c r="X4021" s="41" t="str">
        <f t="shared" si="340"/>
        <v/>
      </c>
    </row>
    <row r="4022" s="32" customFormat="1" hidden="1" customHeight="1" spans="1:24">
      <c r="A4022" s="34"/>
      <c r="B4022" s="51"/>
      <c r="C4022" s="51"/>
      <c r="D4022" s="52"/>
      <c r="E4022" s="53"/>
      <c r="F4022" s="54"/>
      <c r="G4022" s="54"/>
      <c r="H4022" s="54"/>
      <c r="I4022" s="66"/>
      <c r="J4022" s="54"/>
      <c r="K4022" s="54"/>
      <c r="L4022" s="54"/>
      <c r="M4022" s="97" t="str">
        <f t="shared" si="337"/>
        <v/>
      </c>
      <c r="N4022" s="70"/>
      <c r="O4022" s="71" t="str">
        <f t="shared" si="341"/>
        <v/>
      </c>
      <c r="P4022" s="66"/>
      <c r="Q4022" s="66"/>
      <c r="R4022" s="54"/>
      <c r="S4022" s="82"/>
      <c r="T4022" s="83" t="str">
        <f t="shared" si="338"/>
        <v/>
      </c>
      <c r="U4022" s="10"/>
      <c r="V4022" s="41">
        <f>IF(AND(Q4022&lt;&gt;"",RIGHT(Q4022,3)&lt;&gt;""),IF(COUNTIF($Q$6:Q4022,Q4022)=1,1,0),0)</f>
        <v>0</v>
      </c>
      <c r="W4022" s="41" t="str">
        <f t="shared" si="339"/>
        <v/>
      </c>
      <c r="X4022" s="41" t="str">
        <f t="shared" si="340"/>
        <v/>
      </c>
    </row>
    <row r="4023" s="32" customFormat="1" hidden="1" customHeight="1" spans="1:24">
      <c r="A4023" s="34"/>
      <c r="B4023" s="51"/>
      <c r="C4023" s="51"/>
      <c r="D4023" s="52"/>
      <c r="E4023" s="53"/>
      <c r="F4023" s="54"/>
      <c r="G4023" s="54"/>
      <c r="H4023" s="54"/>
      <c r="I4023" s="66"/>
      <c r="J4023" s="54"/>
      <c r="K4023" s="54"/>
      <c r="L4023" s="54"/>
      <c r="M4023" s="97" t="str">
        <f t="shared" si="337"/>
        <v/>
      </c>
      <c r="N4023" s="70"/>
      <c r="O4023" s="71" t="str">
        <f t="shared" si="341"/>
        <v/>
      </c>
      <c r="P4023" s="66"/>
      <c r="Q4023" s="66"/>
      <c r="R4023" s="54"/>
      <c r="S4023" s="82"/>
      <c r="T4023" s="83" t="str">
        <f t="shared" si="338"/>
        <v/>
      </c>
      <c r="U4023" s="10"/>
      <c r="V4023" s="41">
        <f>IF(AND(Q4023&lt;&gt;"",RIGHT(Q4023,3)&lt;&gt;""),IF(COUNTIF($Q$6:Q4023,Q4023)=1,1,0),0)</f>
        <v>0</v>
      </c>
      <c r="W4023" s="41" t="str">
        <f t="shared" si="339"/>
        <v/>
      </c>
      <c r="X4023" s="41" t="str">
        <f t="shared" si="340"/>
        <v/>
      </c>
    </row>
    <row r="4024" s="32" customFormat="1" hidden="1" customHeight="1" spans="1:24">
      <c r="A4024" s="34"/>
      <c r="B4024" s="51"/>
      <c r="C4024" s="51"/>
      <c r="D4024" s="52"/>
      <c r="E4024" s="53"/>
      <c r="F4024" s="54"/>
      <c r="G4024" s="54"/>
      <c r="H4024" s="54"/>
      <c r="I4024" s="66"/>
      <c r="J4024" s="54"/>
      <c r="K4024" s="54"/>
      <c r="L4024" s="54"/>
      <c r="M4024" s="97" t="str">
        <f t="shared" si="337"/>
        <v/>
      </c>
      <c r="N4024" s="70"/>
      <c r="O4024" s="71" t="str">
        <f t="shared" si="341"/>
        <v/>
      </c>
      <c r="P4024" s="66"/>
      <c r="Q4024" s="66"/>
      <c r="R4024" s="54"/>
      <c r="S4024" s="82"/>
      <c r="T4024" s="83" t="str">
        <f t="shared" si="338"/>
        <v/>
      </c>
      <c r="U4024" s="10"/>
      <c r="V4024" s="41">
        <f>IF(AND(Q4024&lt;&gt;"",RIGHT(Q4024,3)&lt;&gt;""),IF(COUNTIF($Q$6:Q4024,Q4024)=1,1,0),0)</f>
        <v>0</v>
      </c>
      <c r="W4024" s="41" t="str">
        <f t="shared" si="339"/>
        <v/>
      </c>
      <c r="X4024" s="41" t="str">
        <f t="shared" si="340"/>
        <v/>
      </c>
    </row>
    <row r="4025" s="32" customFormat="1" hidden="1" customHeight="1" spans="1:24">
      <c r="A4025" s="34"/>
      <c r="B4025" s="51"/>
      <c r="C4025" s="51"/>
      <c r="D4025" s="52"/>
      <c r="E4025" s="53"/>
      <c r="F4025" s="54"/>
      <c r="G4025" s="54"/>
      <c r="H4025" s="54"/>
      <c r="I4025" s="66"/>
      <c r="J4025" s="54"/>
      <c r="K4025" s="54"/>
      <c r="L4025" s="54"/>
      <c r="M4025" s="97" t="str">
        <f t="shared" si="337"/>
        <v/>
      </c>
      <c r="N4025" s="70"/>
      <c r="O4025" s="71" t="str">
        <f t="shared" si="341"/>
        <v/>
      </c>
      <c r="P4025" s="66"/>
      <c r="Q4025" s="66"/>
      <c r="R4025" s="54"/>
      <c r="S4025" s="82"/>
      <c r="T4025" s="83" t="str">
        <f t="shared" si="338"/>
        <v/>
      </c>
      <c r="U4025" s="10"/>
      <c r="V4025" s="41">
        <f>IF(AND(Q4025&lt;&gt;"",RIGHT(Q4025,3)&lt;&gt;""),IF(COUNTIF($Q$6:Q4025,Q4025)=1,1,0),0)</f>
        <v>0</v>
      </c>
      <c r="W4025" s="41" t="str">
        <f t="shared" si="339"/>
        <v/>
      </c>
      <c r="X4025" s="41" t="str">
        <f t="shared" si="340"/>
        <v/>
      </c>
    </row>
    <row r="4026" s="32" customFormat="1" hidden="1" customHeight="1" spans="1:24">
      <c r="A4026" s="34"/>
      <c r="B4026" s="51"/>
      <c r="C4026" s="51"/>
      <c r="D4026" s="52"/>
      <c r="E4026" s="53"/>
      <c r="F4026" s="54"/>
      <c r="G4026" s="54"/>
      <c r="H4026" s="54"/>
      <c r="I4026" s="66"/>
      <c r="J4026" s="54"/>
      <c r="K4026" s="54"/>
      <c r="L4026" s="54"/>
      <c r="M4026" s="97" t="str">
        <f t="shared" si="337"/>
        <v/>
      </c>
      <c r="N4026" s="70"/>
      <c r="O4026" s="71" t="str">
        <f t="shared" si="341"/>
        <v/>
      </c>
      <c r="P4026" s="66"/>
      <c r="Q4026" s="66"/>
      <c r="R4026" s="54"/>
      <c r="S4026" s="82"/>
      <c r="T4026" s="83" t="str">
        <f t="shared" si="338"/>
        <v/>
      </c>
      <c r="U4026" s="10"/>
      <c r="V4026" s="41">
        <f>IF(AND(Q4026&lt;&gt;"",RIGHT(Q4026,3)&lt;&gt;""),IF(COUNTIF($Q$6:Q4026,Q4026)=1,1,0),0)</f>
        <v>0</v>
      </c>
      <c r="W4026" s="41" t="str">
        <f t="shared" si="339"/>
        <v/>
      </c>
      <c r="X4026" s="41" t="str">
        <f t="shared" si="340"/>
        <v/>
      </c>
    </row>
    <row r="4027" s="32" customFormat="1" hidden="1" customHeight="1" spans="1:24">
      <c r="A4027" s="34"/>
      <c r="B4027" s="51"/>
      <c r="C4027" s="51"/>
      <c r="D4027" s="52"/>
      <c r="E4027" s="53"/>
      <c r="F4027" s="54"/>
      <c r="G4027" s="54"/>
      <c r="H4027" s="54"/>
      <c r="I4027" s="66"/>
      <c r="J4027" s="54"/>
      <c r="K4027" s="54"/>
      <c r="L4027" s="54"/>
      <c r="M4027" s="97" t="str">
        <f t="shared" si="337"/>
        <v/>
      </c>
      <c r="N4027" s="70"/>
      <c r="O4027" s="71" t="str">
        <f t="shared" si="341"/>
        <v/>
      </c>
      <c r="P4027" s="66"/>
      <c r="Q4027" s="66"/>
      <c r="R4027" s="54"/>
      <c r="S4027" s="82"/>
      <c r="T4027" s="83" t="str">
        <f t="shared" si="338"/>
        <v/>
      </c>
      <c r="U4027" s="10"/>
      <c r="V4027" s="41">
        <f>IF(AND(Q4027&lt;&gt;"",RIGHT(Q4027,3)&lt;&gt;""),IF(COUNTIF($Q$6:Q4027,Q4027)=1,1,0),0)</f>
        <v>0</v>
      </c>
      <c r="W4027" s="41" t="str">
        <f t="shared" si="339"/>
        <v/>
      </c>
      <c r="X4027" s="41" t="str">
        <f t="shared" si="340"/>
        <v/>
      </c>
    </row>
    <row r="4028" s="32" customFormat="1" hidden="1" customHeight="1" spans="1:24">
      <c r="A4028" s="34"/>
      <c r="B4028" s="51"/>
      <c r="C4028" s="51"/>
      <c r="D4028" s="52"/>
      <c r="E4028" s="53"/>
      <c r="F4028" s="54"/>
      <c r="G4028" s="54"/>
      <c r="H4028" s="54"/>
      <c r="I4028" s="66"/>
      <c r="J4028" s="54"/>
      <c r="K4028" s="54"/>
      <c r="L4028" s="54"/>
      <c r="M4028" s="97" t="str">
        <f t="shared" si="337"/>
        <v/>
      </c>
      <c r="N4028" s="70"/>
      <c r="O4028" s="71" t="str">
        <f t="shared" si="341"/>
        <v/>
      </c>
      <c r="P4028" s="66"/>
      <c r="Q4028" s="66"/>
      <c r="R4028" s="54"/>
      <c r="S4028" s="82"/>
      <c r="T4028" s="83" t="str">
        <f t="shared" si="338"/>
        <v/>
      </c>
      <c r="U4028" s="10"/>
      <c r="V4028" s="41">
        <f>IF(AND(Q4028&lt;&gt;"",RIGHT(Q4028,3)&lt;&gt;""),IF(COUNTIF($Q$6:Q4028,Q4028)=1,1,0),0)</f>
        <v>0</v>
      </c>
      <c r="W4028" s="41" t="str">
        <f t="shared" si="339"/>
        <v/>
      </c>
      <c r="X4028" s="41" t="str">
        <f t="shared" si="340"/>
        <v/>
      </c>
    </row>
    <row r="4029" s="32" customFormat="1" hidden="1" customHeight="1" spans="1:24">
      <c r="A4029" s="34"/>
      <c r="B4029" s="51"/>
      <c r="C4029" s="51"/>
      <c r="D4029" s="52"/>
      <c r="E4029" s="53"/>
      <c r="F4029" s="54"/>
      <c r="G4029" s="54"/>
      <c r="H4029" s="54"/>
      <c r="I4029" s="66"/>
      <c r="J4029" s="54"/>
      <c r="K4029" s="54"/>
      <c r="L4029" s="54"/>
      <c r="M4029" s="97" t="str">
        <f t="shared" si="337"/>
        <v/>
      </c>
      <c r="N4029" s="70"/>
      <c r="O4029" s="71" t="str">
        <f t="shared" si="341"/>
        <v/>
      </c>
      <c r="P4029" s="66"/>
      <c r="Q4029" s="66"/>
      <c r="R4029" s="54"/>
      <c r="S4029" s="82"/>
      <c r="T4029" s="83" t="str">
        <f t="shared" si="338"/>
        <v/>
      </c>
      <c r="U4029" s="10"/>
      <c r="V4029" s="41">
        <f>IF(AND(Q4029&lt;&gt;"",RIGHT(Q4029,3)&lt;&gt;""),IF(COUNTIF($Q$6:Q4029,Q4029)=1,1,0),0)</f>
        <v>0</v>
      </c>
      <c r="W4029" s="41" t="str">
        <f t="shared" si="339"/>
        <v/>
      </c>
      <c r="X4029" s="41" t="str">
        <f t="shared" si="340"/>
        <v/>
      </c>
    </row>
    <row r="4030" s="32" customFormat="1" hidden="1" customHeight="1" spans="1:24">
      <c r="A4030" s="34"/>
      <c r="B4030" s="51"/>
      <c r="C4030" s="51"/>
      <c r="D4030" s="52"/>
      <c r="E4030" s="53"/>
      <c r="F4030" s="54"/>
      <c r="G4030" s="54"/>
      <c r="H4030" s="54"/>
      <c r="I4030" s="66"/>
      <c r="J4030" s="54"/>
      <c r="K4030" s="54"/>
      <c r="L4030" s="54"/>
      <c r="M4030" s="97" t="str">
        <f t="shared" si="337"/>
        <v/>
      </c>
      <c r="N4030" s="70"/>
      <c r="O4030" s="71" t="str">
        <f t="shared" si="341"/>
        <v/>
      </c>
      <c r="P4030" s="66"/>
      <c r="Q4030" s="66"/>
      <c r="R4030" s="54"/>
      <c r="S4030" s="82"/>
      <c r="T4030" s="83" t="str">
        <f t="shared" si="338"/>
        <v/>
      </c>
      <c r="U4030" s="10"/>
      <c r="V4030" s="41">
        <f>IF(AND(Q4030&lt;&gt;"",RIGHT(Q4030,3)&lt;&gt;""),IF(COUNTIF($Q$6:Q4030,Q4030)=1,1,0),0)</f>
        <v>0</v>
      </c>
      <c r="W4030" s="41" t="str">
        <f t="shared" si="339"/>
        <v/>
      </c>
      <c r="X4030" s="41" t="str">
        <f t="shared" si="340"/>
        <v/>
      </c>
    </row>
    <row r="4031" s="32" customFormat="1" hidden="1" customHeight="1" spans="1:24">
      <c r="A4031" s="34"/>
      <c r="B4031" s="51"/>
      <c r="C4031" s="51"/>
      <c r="D4031" s="52"/>
      <c r="E4031" s="53"/>
      <c r="F4031" s="54"/>
      <c r="G4031" s="54"/>
      <c r="H4031" s="54"/>
      <c r="I4031" s="66"/>
      <c r="J4031" s="54"/>
      <c r="K4031" s="54"/>
      <c r="L4031" s="54"/>
      <c r="M4031" s="97" t="str">
        <f t="shared" si="337"/>
        <v/>
      </c>
      <c r="N4031" s="70"/>
      <c r="O4031" s="71" t="str">
        <f t="shared" si="341"/>
        <v/>
      </c>
      <c r="P4031" s="66"/>
      <c r="Q4031" s="66"/>
      <c r="R4031" s="54"/>
      <c r="S4031" s="82"/>
      <c r="T4031" s="83" t="str">
        <f t="shared" si="338"/>
        <v/>
      </c>
      <c r="U4031" s="10"/>
      <c r="V4031" s="41">
        <f>IF(AND(Q4031&lt;&gt;"",RIGHT(Q4031,3)&lt;&gt;""),IF(COUNTIF($Q$6:Q4031,Q4031)=1,1,0),0)</f>
        <v>0</v>
      </c>
      <c r="W4031" s="41" t="str">
        <f t="shared" si="339"/>
        <v/>
      </c>
      <c r="X4031" s="41" t="str">
        <f t="shared" si="340"/>
        <v/>
      </c>
    </row>
    <row r="4032" s="32" customFormat="1" hidden="1" customHeight="1" spans="1:24">
      <c r="A4032" s="34"/>
      <c r="B4032" s="51"/>
      <c r="C4032" s="51"/>
      <c r="D4032" s="52"/>
      <c r="E4032" s="53"/>
      <c r="F4032" s="54"/>
      <c r="G4032" s="54"/>
      <c r="H4032" s="54"/>
      <c r="I4032" s="66"/>
      <c r="J4032" s="54"/>
      <c r="K4032" s="54"/>
      <c r="L4032" s="54"/>
      <c r="M4032" s="97" t="str">
        <f t="shared" si="337"/>
        <v/>
      </c>
      <c r="N4032" s="70"/>
      <c r="O4032" s="71" t="str">
        <f t="shared" si="341"/>
        <v/>
      </c>
      <c r="P4032" s="66"/>
      <c r="Q4032" s="66"/>
      <c r="R4032" s="54"/>
      <c r="S4032" s="82"/>
      <c r="T4032" s="83" t="str">
        <f t="shared" si="338"/>
        <v/>
      </c>
      <c r="U4032" s="10"/>
      <c r="V4032" s="41">
        <f>IF(AND(Q4032&lt;&gt;"",RIGHT(Q4032,3)&lt;&gt;""),IF(COUNTIF($Q$6:Q4032,Q4032)=1,1,0),0)</f>
        <v>0</v>
      </c>
      <c r="W4032" s="41" t="str">
        <f t="shared" si="339"/>
        <v/>
      </c>
      <c r="X4032" s="41" t="str">
        <f t="shared" si="340"/>
        <v/>
      </c>
    </row>
    <row r="4033" s="32" customFormat="1" hidden="1" customHeight="1" spans="1:24">
      <c r="A4033" s="34"/>
      <c r="B4033" s="51"/>
      <c r="C4033" s="51"/>
      <c r="D4033" s="52"/>
      <c r="E4033" s="53"/>
      <c r="F4033" s="54"/>
      <c r="G4033" s="54"/>
      <c r="H4033" s="54"/>
      <c r="I4033" s="66"/>
      <c r="J4033" s="54"/>
      <c r="K4033" s="54"/>
      <c r="L4033" s="54"/>
      <c r="M4033" s="97" t="str">
        <f t="shared" si="337"/>
        <v/>
      </c>
      <c r="N4033" s="70"/>
      <c r="O4033" s="71" t="str">
        <f t="shared" si="341"/>
        <v/>
      </c>
      <c r="P4033" s="66"/>
      <c r="Q4033" s="66"/>
      <c r="R4033" s="54"/>
      <c r="S4033" s="82"/>
      <c r="T4033" s="83" t="str">
        <f t="shared" si="338"/>
        <v/>
      </c>
      <c r="U4033" s="10"/>
      <c r="V4033" s="41">
        <f>IF(AND(Q4033&lt;&gt;"",RIGHT(Q4033,3)&lt;&gt;""),IF(COUNTIF($Q$6:Q4033,Q4033)=1,1,0),0)</f>
        <v>0</v>
      </c>
      <c r="W4033" s="41" t="str">
        <f t="shared" si="339"/>
        <v/>
      </c>
      <c r="X4033" s="41" t="str">
        <f t="shared" si="340"/>
        <v/>
      </c>
    </row>
    <row r="4034" s="32" customFormat="1" hidden="1" customHeight="1" spans="1:24">
      <c r="A4034" s="34"/>
      <c r="B4034" s="51"/>
      <c r="C4034" s="51"/>
      <c r="D4034" s="52"/>
      <c r="E4034" s="53"/>
      <c r="F4034" s="54"/>
      <c r="G4034" s="54"/>
      <c r="H4034" s="54"/>
      <c r="I4034" s="66"/>
      <c r="J4034" s="54"/>
      <c r="K4034" s="54"/>
      <c r="L4034" s="54"/>
      <c r="M4034" s="97" t="str">
        <f t="shared" si="337"/>
        <v/>
      </c>
      <c r="N4034" s="70"/>
      <c r="O4034" s="71" t="str">
        <f t="shared" si="341"/>
        <v/>
      </c>
      <c r="P4034" s="66"/>
      <c r="Q4034" s="66"/>
      <c r="R4034" s="54"/>
      <c r="S4034" s="82"/>
      <c r="T4034" s="83" t="str">
        <f t="shared" si="338"/>
        <v/>
      </c>
      <c r="U4034" s="10"/>
      <c r="V4034" s="41">
        <f>IF(AND(Q4034&lt;&gt;"",RIGHT(Q4034,3)&lt;&gt;""),IF(COUNTIF($Q$6:Q4034,Q4034)=1,1,0),0)</f>
        <v>0</v>
      </c>
      <c r="W4034" s="41" t="str">
        <f t="shared" si="339"/>
        <v/>
      </c>
      <c r="X4034" s="41" t="str">
        <f t="shared" si="340"/>
        <v/>
      </c>
    </row>
    <row r="4035" s="32" customFormat="1" hidden="1" customHeight="1" spans="1:24">
      <c r="A4035" s="34"/>
      <c r="B4035" s="51"/>
      <c r="C4035" s="51"/>
      <c r="D4035" s="52"/>
      <c r="E4035" s="53"/>
      <c r="F4035" s="54"/>
      <c r="G4035" s="54"/>
      <c r="H4035" s="54"/>
      <c r="I4035" s="66"/>
      <c r="J4035" s="54"/>
      <c r="K4035" s="54"/>
      <c r="L4035" s="54"/>
      <c r="M4035" s="97" t="str">
        <f t="shared" si="337"/>
        <v/>
      </c>
      <c r="N4035" s="70"/>
      <c r="O4035" s="71" t="str">
        <f t="shared" si="341"/>
        <v/>
      </c>
      <c r="P4035" s="66"/>
      <c r="Q4035" s="66"/>
      <c r="R4035" s="54"/>
      <c r="S4035" s="82"/>
      <c r="T4035" s="83" t="str">
        <f t="shared" si="338"/>
        <v/>
      </c>
      <c r="U4035" s="10"/>
      <c r="V4035" s="41">
        <f>IF(AND(Q4035&lt;&gt;"",RIGHT(Q4035,3)&lt;&gt;""),IF(COUNTIF($Q$6:Q4035,Q4035)=1,1,0),0)</f>
        <v>0</v>
      </c>
      <c r="W4035" s="41" t="str">
        <f t="shared" si="339"/>
        <v/>
      </c>
      <c r="X4035" s="41" t="str">
        <f t="shared" si="340"/>
        <v/>
      </c>
    </row>
    <row r="4036" s="32" customFormat="1" hidden="1" customHeight="1" spans="1:24">
      <c r="A4036" s="34"/>
      <c r="B4036" s="51"/>
      <c r="C4036" s="51"/>
      <c r="D4036" s="52"/>
      <c r="E4036" s="53"/>
      <c r="F4036" s="54"/>
      <c r="G4036" s="54"/>
      <c r="H4036" s="54"/>
      <c r="I4036" s="66"/>
      <c r="J4036" s="54"/>
      <c r="K4036" s="54"/>
      <c r="L4036" s="54"/>
      <c r="M4036" s="97" t="str">
        <f t="shared" si="337"/>
        <v/>
      </c>
      <c r="N4036" s="70"/>
      <c r="O4036" s="71" t="str">
        <f t="shared" si="341"/>
        <v/>
      </c>
      <c r="P4036" s="66"/>
      <c r="Q4036" s="66"/>
      <c r="R4036" s="54"/>
      <c r="S4036" s="82"/>
      <c r="T4036" s="83" t="str">
        <f t="shared" si="338"/>
        <v/>
      </c>
      <c r="U4036" s="10"/>
      <c r="V4036" s="41">
        <f>IF(AND(Q4036&lt;&gt;"",RIGHT(Q4036,3)&lt;&gt;""),IF(COUNTIF($Q$6:Q4036,Q4036)=1,1,0),0)</f>
        <v>0</v>
      </c>
      <c r="W4036" s="41" t="str">
        <f t="shared" si="339"/>
        <v/>
      </c>
      <c r="X4036" s="41" t="str">
        <f t="shared" si="340"/>
        <v/>
      </c>
    </row>
    <row r="4037" s="32" customFormat="1" hidden="1" customHeight="1" spans="1:24">
      <c r="A4037" s="34"/>
      <c r="B4037" s="51"/>
      <c r="C4037" s="51"/>
      <c r="D4037" s="52"/>
      <c r="E4037" s="53"/>
      <c r="F4037" s="54"/>
      <c r="G4037" s="54"/>
      <c r="H4037" s="54"/>
      <c r="I4037" s="66"/>
      <c r="J4037" s="54"/>
      <c r="K4037" s="54"/>
      <c r="L4037" s="54"/>
      <c r="M4037" s="97" t="str">
        <f t="shared" si="337"/>
        <v/>
      </c>
      <c r="N4037" s="70"/>
      <c r="O4037" s="71" t="str">
        <f t="shared" si="341"/>
        <v/>
      </c>
      <c r="P4037" s="66"/>
      <c r="Q4037" s="66"/>
      <c r="R4037" s="54"/>
      <c r="S4037" s="82"/>
      <c r="T4037" s="83" t="str">
        <f t="shared" si="338"/>
        <v/>
      </c>
      <c r="U4037" s="10"/>
      <c r="V4037" s="41">
        <f>IF(AND(Q4037&lt;&gt;"",RIGHT(Q4037,3)&lt;&gt;""),IF(COUNTIF($Q$6:Q4037,Q4037)=1,1,0),0)</f>
        <v>0</v>
      </c>
      <c r="W4037" s="41" t="str">
        <f t="shared" si="339"/>
        <v/>
      </c>
      <c r="X4037" s="41" t="str">
        <f t="shared" si="340"/>
        <v/>
      </c>
    </row>
    <row r="4038" s="32" customFormat="1" hidden="1" customHeight="1" spans="1:24">
      <c r="A4038" s="34"/>
      <c r="B4038" s="51"/>
      <c r="C4038" s="51"/>
      <c r="D4038" s="52"/>
      <c r="E4038" s="53"/>
      <c r="F4038" s="54"/>
      <c r="G4038" s="54"/>
      <c r="H4038" s="54"/>
      <c r="I4038" s="66"/>
      <c r="J4038" s="54"/>
      <c r="K4038" s="54"/>
      <c r="L4038" s="54"/>
      <c r="M4038" s="97" t="str">
        <f t="shared" si="337"/>
        <v/>
      </c>
      <c r="N4038" s="70"/>
      <c r="O4038" s="71" t="str">
        <f t="shared" si="341"/>
        <v/>
      </c>
      <c r="P4038" s="66"/>
      <c r="Q4038" s="66"/>
      <c r="R4038" s="54"/>
      <c r="S4038" s="82"/>
      <c r="T4038" s="83" t="str">
        <f t="shared" si="338"/>
        <v/>
      </c>
      <c r="U4038" s="10"/>
      <c r="V4038" s="41">
        <f>IF(AND(Q4038&lt;&gt;"",RIGHT(Q4038,3)&lt;&gt;""),IF(COUNTIF($Q$6:Q4038,Q4038)=1,1,0),0)</f>
        <v>0</v>
      </c>
      <c r="W4038" s="41" t="str">
        <f t="shared" si="339"/>
        <v/>
      </c>
      <c r="X4038" s="41" t="str">
        <f t="shared" si="340"/>
        <v/>
      </c>
    </row>
    <row r="4039" s="32" customFormat="1" hidden="1" customHeight="1" spans="1:24">
      <c r="A4039" s="34"/>
      <c r="B4039" s="51"/>
      <c r="C4039" s="51"/>
      <c r="D4039" s="52"/>
      <c r="E4039" s="53"/>
      <c r="F4039" s="54"/>
      <c r="G4039" s="54"/>
      <c r="H4039" s="54"/>
      <c r="I4039" s="66"/>
      <c r="J4039" s="54"/>
      <c r="K4039" s="54"/>
      <c r="L4039" s="54"/>
      <c r="M4039" s="97" t="str">
        <f t="shared" si="337"/>
        <v/>
      </c>
      <c r="N4039" s="70"/>
      <c r="O4039" s="71" t="str">
        <f t="shared" si="341"/>
        <v/>
      </c>
      <c r="P4039" s="66"/>
      <c r="Q4039" s="66"/>
      <c r="R4039" s="54"/>
      <c r="S4039" s="82"/>
      <c r="T4039" s="83" t="str">
        <f t="shared" si="338"/>
        <v/>
      </c>
      <c r="U4039" s="10"/>
      <c r="V4039" s="41">
        <f>IF(AND(Q4039&lt;&gt;"",RIGHT(Q4039,3)&lt;&gt;""),IF(COUNTIF($Q$6:Q4039,Q4039)=1,1,0),0)</f>
        <v>0</v>
      </c>
      <c r="W4039" s="41" t="str">
        <f t="shared" si="339"/>
        <v/>
      </c>
      <c r="X4039" s="41" t="str">
        <f t="shared" si="340"/>
        <v/>
      </c>
    </row>
    <row r="4040" s="32" customFormat="1" hidden="1" customHeight="1" spans="1:24">
      <c r="A4040" s="34"/>
      <c r="B4040" s="51"/>
      <c r="C4040" s="51"/>
      <c r="D4040" s="52"/>
      <c r="E4040" s="53"/>
      <c r="F4040" s="54"/>
      <c r="G4040" s="54"/>
      <c r="H4040" s="54"/>
      <c r="I4040" s="66"/>
      <c r="J4040" s="54"/>
      <c r="K4040" s="54"/>
      <c r="L4040" s="54"/>
      <c r="M4040" s="97" t="str">
        <f t="shared" si="337"/>
        <v/>
      </c>
      <c r="N4040" s="70"/>
      <c r="O4040" s="71" t="str">
        <f t="shared" si="341"/>
        <v/>
      </c>
      <c r="P4040" s="66"/>
      <c r="Q4040" s="66"/>
      <c r="R4040" s="54"/>
      <c r="S4040" s="82"/>
      <c r="T4040" s="83" t="str">
        <f t="shared" si="338"/>
        <v/>
      </c>
      <c r="U4040" s="10"/>
      <c r="V4040" s="41">
        <f>IF(AND(Q4040&lt;&gt;"",RIGHT(Q4040,3)&lt;&gt;""),IF(COUNTIF($Q$6:Q4040,Q4040)=1,1,0),0)</f>
        <v>0</v>
      </c>
      <c r="W4040" s="41" t="str">
        <f t="shared" si="339"/>
        <v/>
      </c>
      <c r="X4040" s="41" t="str">
        <f t="shared" si="340"/>
        <v/>
      </c>
    </row>
    <row r="4041" s="32" customFormat="1" hidden="1" customHeight="1" spans="1:24">
      <c r="A4041" s="34"/>
      <c r="B4041" s="51"/>
      <c r="C4041" s="51"/>
      <c r="D4041" s="52"/>
      <c r="E4041" s="53"/>
      <c r="F4041" s="54"/>
      <c r="G4041" s="54"/>
      <c r="H4041" s="54"/>
      <c r="I4041" s="66"/>
      <c r="J4041" s="54"/>
      <c r="K4041" s="54"/>
      <c r="L4041" s="54"/>
      <c r="M4041" s="97" t="str">
        <f t="shared" si="337"/>
        <v/>
      </c>
      <c r="N4041" s="70"/>
      <c r="O4041" s="71" t="str">
        <f t="shared" si="341"/>
        <v/>
      </c>
      <c r="P4041" s="66"/>
      <c r="Q4041" s="66"/>
      <c r="R4041" s="54"/>
      <c r="S4041" s="82"/>
      <c r="T4041" s="83" t="str">
        <f t="shared" si="338"/>
        <v/>
      </c>
      <c r="U4041" s="10"/>
      <c r="V4041" s="41">
        <f>IF(AND(Q4041&lt;&gt;"",RIGHT(Q4041,3)&lt;&gt;""),IF(COUNTIF($Q$6:Q4041,Q4041)=1,1,0),0)</f>
        <v>0</v>
      </c>
      <c r="W4041" s="41" t="str">
        <f t="shared" si="339"/>
        <v/>
      </c>
      <c r="X4041" s="41" t="str">
        <f t="shared" si="340"/>
        <v/>
      </c>
    </row>
    <row r="4042" s="32" customFormat="1" hidden="1" customHeight="1" spans="1:24">
      <c r="A4042" s="34"/>
      <c r="B4042" s="51"/>
      <c r="C4042" s="51"/>
      <c r="D4042" s="52"/>
      <c r="E4042" s="53"/>
      <c r="F4042" s="54"/>
      <c r="G4042" s="54"/>
      <c r="H4042" s="54"/>
      <c r="I4042" s="66"/>
      <c r="J4042" s="54"/>
      <c r="K4042" s="54"/>
      <c r="L4042" s="54"/>
      <c r="M4042" s="97" t="str">
        <f t="shared" si="337"/>
        <v/>
      </c>
      <c r="N4042" s="70"/>
      <c r="O4042" s="71" t="str">
        <f t="shared" si="341"/>
        <v/>
      </c>
      <c r="P4042" s="66"/>
      <c r="Q4042" s="66"/>
      <c r="R4042" s="54"/>
      <c r="S4042" s="82"/>
      <c r="T4042" s="83" t="str">
        <f t="shared" si="338"/>
        <v/>
      </c>
      <c r="U4042" s="10"/>
      <c r="V4042" s="41">
        <f>IF(AND(Q4042&lt;&gt;"",RIGHT(Q4042,3)&lt;&gt;""),IF(COUNTIF($Q$6:Q4042,Q4042)=1,1,0),0)</f>
        <v>0</v>
      </c>
      <c r="W4042" s="41" t="str">
        <f t="shared" si="339"/>
        <v/>
      </c>
      <c r="X4042" s="41" t="str">
        <f t="shared" si="340"/>
        <v/>
      </c>
    </row>
    <row r="4043" s="32" customFormat="1" hidden="1" customHeight="1" spans="1:24">
      <c r="A4043" s="34"/>
      <c r="B4043" s="51"/>
      <c r="C4043" s="51"/>
      <c r="D4043" s="52"/>
      <c r="E4043" s="53"/>
      <c r="F4043" s="54"/>
      <c r="G4043" s="54"/>
      <c r="H4043" s="54"/>
      <c r="I4043" s="66"/>
      <c r="J4043" s="54"/>
      <c r="K4043" s="54"/>
      <c r="L4043" s="54"/>
      <c r="M4043" s="97" t="str">
        <f t="shared" si="337"/>
        <v/>
      </c>
      <c r="N4043" s="70"/>
      <c r="O4043" s="71" t="str">
        <f t="shared" si="341"/>
        <v/>
      </c>
      <c r="P4043" s="66"/>
      <c r="Q4043" s="66"/>
      <c r="R4043" s="54"/>
      <c r="S4043" s="82"/>
      <c r="T4043" s="83" t="str">
        <f t="shared" si="338"/>
        <v/>
      </c>
      <c r="U4043" s="10"/>
      <c r="V4043" s="41">
        <f>IF(AND(Q4043&lt;&gt;"",RIGHT(Q4043,3)&lt;&gt;""),IF(COUNTIF($Q$6:Q4043,Q4043)=1,1,0),0)</f>
        <v>0</v>
      </c>
      <c r="W4043" s="41" t="str">
        <f t="shared" si="339"/>
        <v/>
      </c>
      <c r="X4043" s="41" t="str">
        <f t="shared" si="340"/>
        <v/>
      </c>
    </row>
    <row r="4044" s="32" customFormat="1" hidden="1" customHeight="1" spans="1:24">
      <c r="A4044" s="34"/>
      <c r="B4044" s="51"/>
      <c r="C4044" s="51"/>
      <c r="D4044" s="52"/>
      <c r="E4044" s="53"/>
      <c r="F4044" s="54"/>
      <c r="G4044" s="54"/>
      <c r="H4044" s="54"/>
      <c r="I4044" s="66"/>
      <c r="J4044" s="54"/>
      <c r="K4044" s="54"/>
      <c r="L4044" s="54"/>
      <c r="M4044" s="97" t="str">
        <f t="shared" si="337"/>
        <v/>
      </c>
      <c r="N4044" s="70"/>
      <c r="O4044" s="71" t="str">
        <f t="shared" si="341"/>
        <v/>
      </c>
      <c r="P4044" s="66"/>
      <c r="Q4044" s="66"/>
      <c r="R4044" s="54"/>
      <c r="S4044" s="82"/>
      <c r="T4044" s="83" t="str">
        <f t="shared" si="338"/>
        <v/>
      </c>
      <c r="U4044" s="10"/>
      <c r="V4044" s="41">
        <f>IF(AND(Q4044&lt;&gt;"",RIGHT(Q4044,3)&lt;&gt;""),IF(COUNTIF($Q$6:Q4044,Q4044)=1,1,0),0)</f>
        <v>0</v>
      </c>
      <c r="W4044" s="41" t="str">
        <f t="shared" si="339"/>
        <v/>
      </c>
      <c r="X4044" s="41" t="str">
        <f t="shared" si="340"/>
        <v/>
      </c>
    </row>
    <row r="4045" s="32" customFormat="1" hidden="1" customHeight="1" spans="1:24">
      <c r="A4045" s="34"/>
      <c r="B4045" s="51"/>
      <c r="C4045" s="51"/>
      <c r="D4045" s="52"/>
      <c r="E4045" s="53"/>
      <c r="F4045" s="54"/>
      <c r="G4045" s="54"/>
      <c r="H4045" s="54"/>
      <c r="I4045" s="66"/>
      <c r="J4045" s="54"/>
      <c r="K4045" s="54"/>
      <c r="L4045" s="54"/>
      <c r="M4045" s="97" t="str">
        <f t="shared" si="337"/>
        <v/>
      </c>
      <c r="N4045" s="70"/>
      <c r="O4045" s="71" t="str">
        <f t="shared" si="341"/>
        <v/>
      </c>
      <c r="P4045" s="66"/>
      <c r="Q4045" s="66"/>
      <c r="R4045" s="54"/>
      <c r="S4045" s="82"/>
      <c r="T4045" s="83" t="str">
        <f t="shared" si="338"/>
        <v/>
      </c>
      <c r="U4045" s="10"/>
      <c r="V4045" s="41">
        <f>IF(AND(Q4045&lt;&gt;"",RIGHT(Q4045,3)&lt;&gt;""),IF(COUNTIF($Q$6:Q4045,Q4045)=1,1,0),0)</f>
        <v>0</v>
      </c>
      <c r="W4045" s="41" t="str">
        <f t="shared" si="339"/>
        <v/>
      </c>
      <c r="X4045" s="41" t="str">
        <f t="shared" si="340"/>
        <v/>
      </c>
    </row>
    <row r="4046" s="32" customFormat="1" hidden="1" customHeight="1" spans="1:24">
      <c r="A4046" s="34"/>
      <c r="B4046" s="51"/>
      <c r="C4046" s="51"/>
      <c r="D4046" s="52"/>
      <c r="E4046" s="53"/>
      <c r="F4046" s="54"/>
      <c r="G4046" s="54"/>
      <c r="H4046" s="54"/>
      <c r="I4046" s="66"/>
      <c r="J4046" s="54"/>
      <c r="K4046" s="54"/>
      <c r="L4046" s="54"/>
      <c r="M4046" s="97" t="str">
        <f t="shared" si="337"/>
        <v/>
      </c>
      <c r="N4046" s="70"/>
      <c r="O4046" s="71" t="str">
        <f t="shared" si="341"/>
        <v/>
      </c>
      <c r="P4046" s="66"/>
      <c r="Q4046" s="66"/>
      <c r="R4046" s="54"/>
      <c r="S4046" s="82"/>
      <c r="T4046" s="83" t="str">
        <f t="shared" si="338"/>
        <v/>
      </c>
      <c r="U4046" s="10"/>
      <c r="V4046" s="41">
        <f>IF(AND(Q4046&lt;&gt;"",RIGHT(Q4046,3)&lt;&gt;""),IF(COUNTIF($Q$6:Q4046,Q4046)=1,1,0),0)</f>
        <v>0</v>
      </c>
      <c r="W4046" s="41" t="str">
        <f t="shared" si="339"/>
        <v/>
      </c>
      <c r="X4046" s="41" t="str">
        <f t="shared" si="340"/>
        <v/>
      </c>
    </row>
    <row r="4047" s="32" customFormat="1" hidden="1" customHeight="1" spans="1:24">
      <c r="A4047" s="34"/>
      <c r="B4047" s="51"/>
      <c r="C4047" s="51"/>
      <c r="D4047" s="52"/>
      <c r="E4047" s="53"/>
      <c r="F4047" s="54"/>
      <c r="G4047" s="54"/>
      <c r="H4047" s="54"/>
      <c r="I4047" s="66"/>
      <c r="J4047" s="54"/>
      <c r="K4047" s="54"/>
      <c r="L4047" s="54"/>
      <c r="M4047" s="97" t="str">
        <f t="shared" si="337"/>
        <v/>
      </c>
      <c r="N4047" s="70"/>
      <c r="O4047" s="71" t="str">
        <f t="shared" si="341"/>
        <v/>
      </c>
      <c r="P4047" s="66"/>
      <c r="Q4047" s="66"/>
      <c r="R4047" s="54"/>
      <c r="S4047" s="82"/>
      <c r="T4047" s="83" t="str">
        <f t="shared" si="338"/>
        <v/>
      </c>
      <c r="U4047" s="10"/>
      <c r="V4047" s="41">
        <f>IF(AND(Q4047&lt;&gt;"",RIGHT(Q4047,3)&lt;&gt;""),IF(COUNTIF($Q$6:Q4047,Q4047)=1,1,0),0)</f>
        <v>0</v>
      </c>
      <c r="W4047" s="41" t="str">
        <f t="shared" si="339"/>
        <v/>
      </c>
      <c r="X4047" s="41" t="str">
        <f t="shared" si="340"/>
        <v/>
      </c>
    </row>
    <row r="4048" s="32" customFormat="1" hidden="1" customHeight="1" spans="1:24">
      <c r="A4048" s="34"/>
      <c r="B4048" s="51"/>
      <c r="C4048" s="51"/>
      <c r="D4048" s="52"/>
      <c r="E4048" s="53"/>
      <c r="F4048" s="54"/>
      <c r="G4048" s="54"/>
      <c r="H4048" s="54"/>
      <c r="I4048" s="66"/>
      <c r="J4048" s="54"/>
      <c r="K4048" s="54"/>
      <c r="L4048" s="54"/>
      <c r="M4048" s="97" t="str">
        <f t="shared" si="337"/>
        <v/>
      </c>
      <c r="N4048" s="70"/>
      <c r="O4048" s="71" t="str">
        <f t="shared" si="341"/>
        <v/>
      </c>
      <c r="P4048" s="66"/>
      <c r="Q4048" s="66"/>
      <c r="R4048" s="54"/>
      <c r="S4048" s="82"/>
      <c r="T4048" s="83" t="str">
        <f t="shared" si="338"/>
        <v/>
      </c>
      <c r="U4048" s="10"/>
      <c r="V4048" s="41">
        <f>IF(AND(Q4048&lt;&gt;"",RIGHT(Q4048,3)&lt;&gt;""),IF(COUNTIF($Q$6:Q4048,Q4048)=1,1,0),0)</f>
        <v>0</v>
      </c>
      <c r="W4048" s="41" t="str">
        <f t="shared" si="339"/>
        <v/>
      </c>
      <c r="X4048" s="41" t="str">
        <f t="shared" si="340"/>
        <v/>
      </c>
    </row>
    <row r="4049" s="32" customFormat="1" hidden="1" customHeight="1" spans="1:24">
      <c r="A4049" s="34"/>
      <c r="B4049" s="51"/>
      <c r="C4049" s="51"/>
      <c r="D4049" s="52"/>
      <c r="E4049" s="53"/>
      <c r="F4049" s="54"/>
      <c r="G4049" s="54"/>
      <c r="H4049" s="54"/>
      <c r="I4049" s="66"/>
      <c r="J4049" s="54"/>
      <c r="K4049" s="54"/>
      <c r="L4049" s="54"/>
      <c r="M4049" s="97" t="str">
        <f t="shared" si="337"/>
        <v/>
      </c>
      <c r="N4049" s="70"/>
      <c r="O4049" s="71" t="str">
        <f t="shared" si="341"/>
        <v/>
      </c>
      <c r="P4049" s="66"/>
      <c r="Q4049" s="66"/>
      <c r="R4049" s="54"/>
      <c r="S4049" s="82"/>
      <c r="T4049" s="83" t="str">
        <f t="shared" si="338"/>
        <v/>
      </c>
      <c r="U4049" s="10"/>
      <c r="V4049" s="41">
        <f>IF(AND(Q4049&lt;&gt;"",RIGHT(Q4049,3)&lt;&gt;""),IF(COUNTIF($Q$6:Q4049,Q4049)=1,1,0),0)</f>
        <v>0</v>
      </c>
      <c r="W4049" s="41" t="str">
        <f t="shared" si="339"/>
        <v/>
      </c>
      <c r="X4049" s="41" t="str">
        <f t="shared" si="340"/>
        <v/>
      </c>
    </row>
    <row r="4050" s="32" customFormat="1" hidden="1" customHeight="1" spans="1:24">
      <c r="A4050" s="34"/>
      <c r="B4050" s="51"/>
      <c r="C4050" s="51"/>
      <c r="D4050" s="52"/>
      <c r="E4050" s="53"/>
      <c r="F4050" s="54"/>
      <c r="G4050" s="54"/>
      <c r="H4050" s="54"/>
      <c r="I4050" s="66"/>
      <c r="J4050" s="54"/>
      <c r="K4050" s="54"/>
      <c r="L4050" s="54"/>
      <c r="M4050" s="97" t="str">
        <f t="shared" si="337"/>
        <v/>
      </c>
      <c r="N4050" s="70"/>
      <c r="O4050" s="71" t="str">
        <f t="shared" si="341"/>
        <v/>
      </c>
      <c r="P4050" s="66"/>
      <c r="Q4050" s="66"/>
      <c r="R4050" s="54"/>
      <c r="S4050" s="82"/>
      <c r="T4050" s="83" t="str">
        <f t="shared" si="338"/>
        <v/>
      </c>
      <c r="U4050" s="10"/>
      <c r="V4050" s="41">
        <f>IF(AND(Q4050&lt;&gt;"",RIGHT(Q4050,3)&lt;&gt;""),IF(COUNTIF($Q$6:Q4050,Q4050)=1,1,0),0)</f>
        <v>0</v>
      </c>
      <c r="W4050" s="41" t="str">
        <f t="shared" si="339"/>
        <v/>
      </c>
      <c r="X4050" s="41" t="str">
        <f t="shared" si="340"/>
        <v/>
      </c>
    </row>
    <row r="4051" s="32" customFormat="1" hidden="1" customHeight="1" spans="1:24">
      <c r="A4051" s="34"/>
      <c r="B4051" s="51"/>
      <c r="C4051" s="51"/>
      <c r="D4051" s="52"/>
      <c r="E4051" s="53"/>
      <c r="F4051" s="54"/>
      <c r="G4051" s="54"/>
      <c r="H4051" s="54"/>
      <c r="I4051" s="66"/>
      <c r="J4051" s="54"/>
      <c r="K4051" s="54"/>
      <c r="L4051" s="54"/>
      <c r="M4051" s="97" t="str">
        <f t="shared" si="337"/>
        <v/>
      </c>
      <c r="N4051" s="70"/>
      <c r="O4051" s="71" t="str">
        <f t="shared" si="341"/>
        <v/>
      </c>
      <c r="P4051" s="66"/>
      <c r="Q4051" s="66"/>
      <c r="R4051" s="54"/>
      <c r="S4051" s="82"/>
      <c r="T4051" s="83" t="str">
        <f t="shared" si="338"/>
        <v/>
      </c>
      <c r="U4051" s="10"/>
      <c r="V4051" s="41">
        <f>IF(AND(Q4051&lt;&gt;"",RIGHT(Q4051,3)&lt;&gt;""),IF(COUNTIF($Q$6:Q4051,Q4051)=1,1,0),0)</f>
        <v>0</v>
      </c>
      <c r="W4051" s="41" t="str">
        <f t="shared" si="339"/>
        <v/>
      </c>
      <c r="X4051" s="41" t="str">
        <f t="shared" si="340"/>
        <v/>
      </c>
    </row>
    <row r="4052" s="32" customFormat="1" hidden="1" customHeight="1" spans="1:24">
      <c r="A4052" s="34"/>
      <c r="B4052" s="51"/>
      <c r="C4052" s="51"/>
      <c r="D4052" s="52"/>
      <c r="E4052" s="53"/>
      <c r="F4052" s="54"/>
      <c r="G4052" s="54"/>
      <c r="H4052" s="54"/>
      <c r="I4052" s="66"/>
      <c r="J4052" s="54"/>
      <c r="K4052" s="54"/>
      <c r="L4052" s="54"/>
      <c r="M4052" s="97" t="str">
        <f t="shared" si="337"/>
        <v/>
      </c>
      <c r="N4052" s="70"/>
      <c r="O4052" s="71" t="str">
        <f t="shared" si="341"/>
        <v/>
      </c>
      <c r="P4052" s="66"/>
      <c r="Q4052" s="66"/>
      <c r="R4052" s="54"/>
      <c r="S4052" s="82"/>
      <c r="T4052" s="83" t="str">
        <f t="shared" si="338"/>
        <v/>
      </c>
      <c r="U4052" s="10"/>
      <c r="V4052" s="41">
        <f>IF(AND(Q4052&lt;&gt;"",RIGHT(Q4052,3)&lt;&gt;""),IF(COUNTIF($Q$6:Q4052,Q4052)=1,1,0),0)</f>
        <v>0</v>
      </c>
      <c r="W4052" s="41" t="str">
        <f t="shared" si="339"/>
        <v/>
      </c>
      <c r="X4052" s="41" t="str">
        <f t="shared" si="340"/>
        <v/>
      </c>
    </row>
    <row r="4053" s="32" customFormat="1" hidden="1" customHeight="1" spans="1:24">
      <c r="A4053" s="34"/>
      <c r="B4053" s="51"/>
      <c r="C4053" s="51"/>
      <c r="D4053" s="52"/>
      <c r="E4053" s="53"/>
      <c r="F4053" s="54"/>
      <c r="G4053" s="54"/>
      <c r="H4053" s="54"/>
      <c r="I4053" s="66"/>
      <c r="J4053" s="54"/>
      <c r="K4053" s="54"/>
      <c r="L4053" s="54"/>
      <c r="M4053" s="97" t="str">
        <f t="shared" si="337"/>
        <v/>
      </c>
      <c r="N4053" s="70"/>
      <c r="O4053" s="71" t="str">
        <f t="shared" si="341"/>
        <v/>
      </c>
      <c r="P4053" s="66"/>
      <c r="Q4053" s="66"/>
      <c r="R4053" s="54"/>
      <c r="S4053" s="82"/>
      <c r="T4053" s="83" t="str">
        <f t="shared" si="338"/>
        <v/>
      </c>
      <c r="U4053" s="10"/>
      <c r="V4053" s="41">
        <f>IF(AND(Q4053&lt;&gt;"",RIGHT(Q4053,3)&lt;&gt;""),IF(COUNTIF($Q$6:Q4053,Q4053)=1,1,0),0)</f>
        <v>0</v>
      </c>
      <c r="W4053" s="41" t="str">
        <f t="shared" si="339"/>
        <v/>
      </c>
      <c r="X4053" s="41" t="str">
        <f t="shared" si="340"/>
        <v/>
      </c>
    </row>
    <row r="4054" s="32" customFormat="1" hidden="1" customHeight="1" spans="1:24">
      <c r="A4054" s="34"/>
      <c r="B4054" s="51"/>
      <c r="C4054" s="51"/>
      <c r="D4054" s="52"/>
      <c r="E4054" s="53"/>
      <c r="F4054" s="54"/>
      <c r="G4054" s="54"/>
      <c r="H4054" s="54"/>
      <c r="I4054" s="66"/>
      <c r="J4054" s="54"/>
      <c r="K4054" s="54"/>
      <c r="L4054" s="54"/>
      <c r="M4054" s="97" t="str">
        <f t="shared" si="337"/>
        <v/>
      </c>
      <c r="N4054" s="70"/>
      <c r="O4054" s="71" t="str">
        <f t="shared" si="341"/>
        <v/>
      </c>
      <c r="P4054" s="66"/>
      <c r="Q4054" s="66"/>
      <c r="R4054" s="54"/>
      <c r="S4054" s="82"/>
      <c r="T4054" s="83" t="str">
        <f t="shared" si="338"/>
        <v/>
      </c>
      <c r="U4054" s="10"/>
      <c r="V4054" s="41">
        <f>IF(AND(Q4054&lt;&gt;"",RIGHT(Q4054,3)&lt;&gt;""),IF(COUNTIF($Q$6:Q4054,Q4054)=1,1,0),0)</f>
        <v>0</v>
      </c>
      <c r="W4054" s="41" t="str">
        <f t="shared" si="339"/>
        <v/>
      </c>
      <c r="X4054" s="41" t="str">
        <f t="shared" si="340"/>
        <v/>
      </c>
    </row>
    <row r="4055" s="32" customFormat="1" hidden="1" customHeight="1" spans="1:24">
      <c r="A4055" s="34"/>
      <c r="B4055" s="51"/>
      <c r="C4055" s="51"/>
      <c r="D4055" s="52"/>
      <c r="E4055" s="53"/>
      <c r="F4055" s="54"/>
      <c r="G4055" s="54"/>
      <c r="H4055" s="54"/>
      <c r="I4055" s="66"/>
      <c r="J4055" s="54"/>
      <c r="K4055" s="54"/>
      <c r="L4055" s="54"/>
      <c r="M4055" s="97" t="str">
        <f t="shared" si="337"/>
        <v/>
      </c>
      <c r="N4055" s="70"/>
      <c r="O4055" s="71" t="str">
        <f t="shared" si="341"/>
        <v/>
      </c>
      <c r="P4055" s="66"/>
      <c r="Q4055" s="66"/>
      <c r="R4055" s="54"/>
      <c r="S4055" s="82"/>
      <c r="T4055" s="83" t="str">
        <f t="shared" si="338"/>
        <v/>
      </c>
      <c r="U4055" s="10"/>
      <c r="V4055" s="41">
        <f>IF(AND(Q4055&lt;&gt;"",RIGHT(Q4055,3)&lt;&gt;""),IF(COUNTIF($Q$6:Q4055,Q4055)=1,1,0),0)</f>
        <v>0</v>
      </c>
      <c r="W4055" s="41" t="str">
        <f t="shared" si="339"/>
        <v/>
      </c>
      <c r="X4055" s="41" t="str">
        <f t="shared" si="340"/>
        <v/>
      </c>
    </row>
    <row r="4056" s="32" customFormat="1" hidden="1" customHeight="1" spans="1:24">
      <c r="A4056" s="34"/>
      <c r="B4056" s="51"/>
      <c r="C4056" s="51"/>
      <c r="D4056" s="52"/>
      <c r="E4056" s="53"/>
      <c r="F4056" s="54"/>
      <c r="G4056" s="54"/>
      <c r="H4056" s="54"/>
      <c r="I4056" s="66"/>
      <c r="J4056" s="54"/>
      <c r="K4056" s="54"/>
      <c r="L4056" s="54"/>
      <c r="M4056" s="97" t="str">
        <f t="shared" si="337"/>
        <v/>
      </c>
      <c r="N4056" s="70"/>
      <c r="O4056" s="71" t="str">
        <f t="shared" si="341"/>
        <v/>
      </c>
      <c r="P4056" s="66"/>
      <c r="Q4056" s="66"/>
      <c r="R4056" s="54"/>
      <c r="S4056" s="82"/>
      <c r="T4056" s="83" t="str">
        <f t="shared" si="338"/>
        <v/>
      </c>
      <c r="U4056" s="10"/>
      <c r="V4056" s="41">
        <f>IF(AND(Q4056&lt;&gt;"",RIGHT(Q4056,3)&lt;&gt;""),IF(COUNTIF($Q$6:Q4056,Q4056)=1,1,0),0)</f>
        <v>0</v>
      </c>
      <c r="W4056" s="41" t="str">
        <f t="shared" si="339"/>
        <v/>
      </c>
      <c r="X4056" s="41" t="str">
        <f t="shared" si="340"/>
        <v/>
      </c>
    </row>
    <row r="4057" s="32" customFormat="1" hidden="1" customHeight="1" spans="1:24">
      <c r="A4057" s="34"/>
      <c r="B4057" s="51"/>
      <c r="C4057" s="51"/>
      <c r="D4057" s="52"/>
      <c r="E4057" s="53"/>
      <c r="F4057" s="54"/>
      <c r="G4057" s="54"/>
      <c r="H4057" s="54"/>
      <c r="I4057" s="66"/>
      <c r="J4057" s="54"/>
      <c r="K4057" s="54"/>
      <c r="L4057" s="54"/>
      <c r="M4057" s="97" t="str">
        <f t="shared" si="337"/>
        <v/>
      </c>
      <c r="N4057" s="70"/>
      <c r="O4057" s="71" t="str">
        <f t="shared" si="341"/>
        <v/>
      </c>
      <c r="P4057" s="66"/>
      <c r="Q4057" s="66"/>
      <c r="R4057" s="54"/>
      <c r="S4057" s="82"/>
      <c r="T4057" s="83" t="str">
        <f t="shared" si="338"/>
        <v/>
      </c>
      <c r="U4057" s="10"/>
      <c r="V4057" s="41">
        <f>IF(AND(Q4057&lt;&gt;"",RIGHT(Q4057,3)&lt;&gt;""),IF(COUNTIF($Q$6:Q4057,Q4057)=1,1,0),0)</f>
        <v>0</v>
      </c>
      <c r="W4057" s="41" t="str">
        <f t="shared" si="339"/>
        <v/>
      </c>
      <c r="X4057" s="41" t="str">
        <f t="shared" si="340"/>
        <v/>
      </c>
    </row>
    <row r="4058" s="32" customFormat="1" hidden="1" customHeight="1" spans="1:24">
      <c r="A4058" s="34"/>
      <c r="B4058" s="51"/>
      <c r="C4058" s="51"/>
      <c r="D4058" s="52"/>
      <c r="E4058" s="53"/>
      <c r="F4058" s="54"/>
      <c r="G4058" s="54"/>
      <c r="H4058" s="54"/>
      <c r="I4058" s="66"/>
      <c r="J4058" s="54"/>
      <c r="K4058" s="54"/>
      <c r="L4058" s="54"/>
      <c r="M4058" s="97" t="str">
        <f t="shared" si="337"/>
        <v/>
      </c>
      <c r="N4058" s="70"/>
      <c r="O4058" s="71" t="str">
        <f t="shared" si="341"/>
        <v/>
      </c>
      <c r="P4058" s="66"/>
      <c r="Q4058" s="66"/>
      <c r="R4058" s="54"/>
      <c r="S4058" s="82"/>
      <c r="T4058" s="83" t="str">
        <f t="shared" si="338"/>
        <v/>
      </c>
      <c r="U4058" s="10"/>
      <c r="V4058" s="41">
        <f>IF(AND(Q4058&lt;&gt;"",RIGHT(Q4058,3)&lt;&gt;""),IF(COUNTIF($Q$6:Q4058,Q4058)=1,1,0),0)</f>
        <v>0</v>
      </c>
      <c r="W4058" s="41" t="str">
        <f t="shared" si="339"/>
        <v/>
      </c>
      <c r="X4058" s="41" t="str">
        <f t="shared" si="340"/>
        <v/>
      </c>
    </row>
    <row r="4059" s="32" customFormat="1" hidden="1" customHeight="1" spans="1:24">
      <c r="A4059" s="34"/>
      <c r="B4059" s="51"/>
      <c r="C4059" s="51"/>
      <c r="D4059" s="52"/>
      <c r="E4059" s="53"/>
      <c r="F4059" s="54"/>
      <c r="G4059" s="54"/>
      <c r="H4059" s="54"/>
      <c r="I4059" s="66"/>
      <c r="J4059" s="54"/>
      <c r="K4059" s="54"/>
      <c r="L4059" s="54"/>
      <c r="M4059" s="97" t="str">
        <f t="shared" si="337"/>
        <v/>
      </c>
      <c r="N4059" s="70"/>
      <c r="O4059" s="71" t="str">
        <f t="shared" si="341"/>
        <v/>
      </c>
      <c r="P4059" s="66"/>
      <c r="Q4059" s="66"/>
      <c r="R4059" s="54"/>
      <c r="S4059" s="82"/>
      <c r="T4059" s="83" t="str">
        <f t="shared" si="338"/>
        <v/>
      </c>
      <c r="U4059" s="10"/>
      <c r="V4059" s="41">
        <f>IF(AND(Q4059&lt;&gt;"",RIGHT(Q4059,3)&lt;&gt;""),IF(COUNTIF($Q$6:Q4059,Q4059)=1,1,0),0)</f>
        <v>0</v>
      </c>
      <c r="W4059" s="41" t="str">
        <f t="shared" si="339"/>
        <v/>
      </c>
      <c r="X4059" s="41" t="str">
        <f t="shared" si="340"/>
        <v/>
      </c>
    </row>
    <row r="4060" s="32" customFormat="1" hidden="1" customHeight="1" spans="1:24">
      <c r="A4060" s="34"/>
      <c r="B4060" s="51"/>
      <c r="C4060" s="51"/>
      <c r="D4060" s="52"/>
      <c r="E4060" s="53"/>
      <c r="F4060" s="54"/>
      <c r="G4060" s="54"/>
      <c r="H4060" s="54"/>
      <c r="I4060" s="66"/>
      <c r="J4060" s="54"/>
      <c r="K4060" s="54"/>
      <c r="L4060" s="54"/>
      <c r="M4060" s="97" t="str">
        <f t="shared" si="337"/>
        <v/>
      </c>
      <c r="N4060" s="70"/>
      <c r="O4060" s="71" t="str">
        <f t="shared" si="341"/>
        <v/>
      </c>
      <c r="P4060" s="66"/>
      <c r="Q4060" s="66"/>
      <c r="R4060" s="54"/>
      <c r="S4060" s="82"/>
      <c r="T4060" s="83" t="str">
        <f t="shared" si="338"/>
        <v/>
      </c>
      <c r="U4060" s="10"/>
      <c r="V4060" s="41">
        <f>IF(AND(Q4060&lt;&gt;"",RIGHT(Q4060,3)&lt;&gt;""),IF(COUNTIF($Q$6:Q4060,Q4060)=1,1,0),0)</f>
        <v>0</v>
      </c>
      <c r="W4060" s="41" t="str">
        <f t="shared" si="339"/>
        <v/>
      </c>
      <c r="X4060" s="41" t="str">
        <f t="shared" si="340"/>
        <v/>
      </c>
    </row>
    <row r="4061" s="32" customFormat="1" hidden="1" customHeight="1" spans="1:24">
      <c r="A4061" s="34"/>
      <c r="B4061" s="51"/>
      <c r="C4061" s="51"/>
      <c r="D4061" s="52"/>
      <c r="E4061" s="53"/>
      <c r="F4061" s="54"/>
      <c r="G4061" s="54"/>
      <c r="H4061" s="54"/>
      <c r="I4061" s="66"/>
      <c r="J4061" s="54"/>
      <c r="K4061" s="54"/>
      <c r="L4061" s="54"/>
      <c r="M4061" s="97" t="str">
        <f t="shared" si="337"/>
        <v/>
      </c>
      <c r="N4061" s="70"/>
      <c r="O4061" s="71" t="str">
        <f t="shared" si="341"/>
        <v/>
      </c>
      <c r="P4061" s="66"/>
      <c r="Q4061" s="66"/>
      <c r="R4061" s="54"/>
      <c r="S4061" s="82"/>
      <c r="T4061" s="83" t="str">
        <f t="shared" si="338"/>
        <v/>
      </c>
      <c r="U4061" s="10"/>
      <c r="V4061" s="41">
        <f>IF(AND(Q4061&lt;&gt;"",RIGHT(Q4061,3)&lt;&gt;""),IF(COUNTIF($Q$6:Q4061,Q4061)=1,1,0),0)</f>
        <v>0</v>
      </c>
      <c r="W4061" s="41" t="str">
        <f t="shared" si="339"/>
        <v/>
      </c>
      <c r="X4061" s="41" t="str">
        <f t="shared" si="340"/>
        <v/>
      </c>
    </row>
    <row r="4062" s="32" customFormat="1" hidden="1" customHeight="1" spans="1:24">
      <c r="A4062" s="34"/>
      <c r="B4062" s="51"/>
      <c r="C4062" s="51"/>
      <c r="D4062" s="52"/>
      <c r="E4062" s="53"/>
      <c r="F4062" s="54"/>
      <c r="G4062" s="54"/>
      <c r="H4062" s="54"/>
      <c r="I4062" s="66"/>
      <c r="J4062" s="54"/>
      <c r="K4062" s="54"/>
      <c r="L4062" s="54"/>
      <c r="M4062" s="97" t="str">
        <f t="shared" si="337"/>
        <v/>
      </c>
      <c r="N4062" s="70"/>
      <c r="O4062" s="71" t="str">
        <f t="shared" si="341"/>
        <v/>
      </c>
      <c r="P4062" s="66"/>
      <c r="Q4062" s="66"/>
      <c r="R4062" s="54"/>
      <c r="S4062" s="82"/>
      <c r="T4062" s="83" t="str">
        <f t="shared" si="338"/>
        <v/>
      </c>
      <c r="U4062" s="10"/>
      <c r="V4062" s="41">
        <f>IF(AND(Q4062&lt;&gt;"",RIGHT(Q4062,3)&lt;&gt;""),IF(COUNTIF($Q$6:Q4062,Q4062)=1,1,0),0)</f>
        <v>0</v>
      </c>
      <c r="W4062" s="41" t="str">
        <f t="shared" si="339"/>
        <v/>
      </c>
      <c r="X4062" s="41" t="str">
        <f t="shared" si="340"/>
        <v/>
      </c>
    </row>
    <row r="4063" s="32" customFormat="1" hidden="1" customHeight="1" spans="1:24">
      <c r="A4063" s="34"/>
      <c r="B4063" s="51"/>
      <c r="C4063" s="51"/>
      <c r="D4063" s="52"/>
      <c r="E4063" s="53"/>
      <c r="F4063" s="54"/>
      <c r="G4063" s="54"/>
      <c r="H4063" s="54"/>
      <c r="I4063" s="66"/>
      <c r="J4063" s="54"/>
      <c r="K4063" s="54"/>
      <c r="L4063" s="54"/>
      <c r="M4063" s="97" t="str">
        <f t="shared" si="337"/>
        <v/>
      </c>
      <c r="N4063" s="70"/>
      <c r="O4063" s="71" t="str">
        <f t="shared" si="341"/>
        <v/>
      </c>
      <c r="P4063" s="66"/>
      <c r="Q4063" s="66"/>
      <c r="R4063" s="54"/>
      <c r="S4063" s="82"/>
      <c r="T4063" s="83" t="str">
        <f t="shared" si="338"/>
        <v/>
      </c>
      <c r="U4063" s="10"/>
      <c r="V4063" s="41">
        <f>IF(AND(Q4063&lt;&gt;"",RIGHT(Q4063,3)&lt;&gt;""),IF(COUNTIF($Q$6:Q4063,Q4063)=1,1,0),0)</f>
        <v>0</v>
      </c>
      <c r="W4063" s="41" t="str">
        <f t="shared" si="339"/>
        <v/>
      </c>
      <c r="X4063" s="41" t="str">
        <f t="shared" si="340"/>
        <v/>
      </c>
    </row>
    <row r="4064" s="32" customFormat="1" hidden="1" customHeight="1" spans="1:24">
      <c r="A4064" s="34"/>
      <c r="B4064" s="51"/>
      <c r="C4064" s="51"/>
      <c r="D4064" s="52"/>
      <c r="E4064" s="53"/>
      <c r="F4064" s="54"/>
      <c r="G4064" s="54"/>
      <c r="H4064" s="54"/>
      <c r="I4064" s="66"/>
      <c r="J4064" s="54"/>
      <c r="K4064" s="54"/>
      <c r="L4064" s="54"/>
      <c r="M4064" s="97" t="str">
        <f t="shared" si="337"/>
        <v/>
      </c>
      <c r="N4064" s="70"/>
      <c r="O4064" s="71" t="str">
        <f t="shared" si="341"/>
        <v/>
      </c>
      <c r="P4064" s="66"/>
      <c r="Q4064" s="66"/>
      <c r="R4064" s="54"/>
      <c r="S4064" s="82"/>
      <c r="T4064" s="83" t="str">
        <f t="shared" si="338"/>
        <v/>
      </c>
      <c r="U4064" s="10"/>
      <c r="V4064" s="41">
        <f>IF(AND(Q4064&lt;&gt;"",RIGHT(Q4064,3)&lt;&gt;""),IF(COUNTIF($Q$6:Q4064,Q4064)=1,1,0),0)</f>
        <v>0</v>
      </c>
      <c r="W4064" s="41" t="str">
        <f t="shared" si="339"/>
        <v/>
      </c>
      <c r="X4064" s="41" t="str">
        <f t="shared" si="340"/>
        <v/>
      </c>
    </row>
    <row r="4065" s="32" customFormat="1" hidden="1" customHeight="1" spans="1:24">
      <c r="A4065" s="34"/>
      <c r="B4065" s="51"/>
      <c r="C4065" s="51"/>
      <c r="D4065" s="52"/>
      <c r="E4065" s="53"/>
      <c r="F4065" s="54"/>
      <c r="G4065" s="54"/>
      <c r="H4065" s="54"/>
      <c r="I4065" s="66"/>
      <c r="J4065" s="54"/>
      <c r="K4065" s="54"/>
      <c r="L4065" s="54"/>
      <c r="M4065" s="97" t="str">
        <f t="shared" si="337"/>
        <v/>
      </c>
      <c r="N4065" s="70"/>
      <c r="O4065" s="71" t="str">
        <f t="shared" si="341"/>
        <v/>
      </c>
      <c r="P4065" s="66"/>
      <c r="Q4065" s="66"/>
      <c r="R4065" s="54"/>
      <c r="S4065" s="82"/>
      <c r="T4065" s="83" t="str">
        <f t="shared" si="338"/>
        <v/>
      </c>
      <c r="U4065" s="10"/>
      <c r="V4065" s="41">
        <f>IF(AND(Q4065&lt;&gt;"",RIGHT(Q4065,3)&lt;&gt;""),IF(COUNTIF($Q$6:Q4065,Q4065)=1,1,0),0)</f>
        <v>0</v>
      </c>
      <c r="W4065" s="41" t="str">
        <f t="shared" si="339"/>
        <v/>
      </c>
      <c r="X4065" s="41" t="str">
        <f t="shared" si="340"/>
        <v/>
      </c>
    </row>
    <row r="4066" s="32" customFormat="1" hidden="1" customHeight="1" spans="1:24">
      <c r="A4066" s="34"/>
      <c r="B4066" s="51"/>
      <c r="C4066" s="51"/>
      <c r="D4066" s="52"/>
      <c r="E4066" s="53"/>
      <c r="F4066" s="54"/>
      <c r="G4066" s="54"/>
      <c r="H4066" s="54"/>
      <c r="I4066" s="66"/>
      <c r="J4066" s="54"/>
      <c r="K4066" s="54"/>
      <c r="L4066" s="54"/>
      <c r="M4066" s="97" t="str">
        <f t="shared" si="337"/>
        <v/>
      </c>
      <c r="N4066" s="70"/>
      <c r="O4066" s="71" t="str">
        <f t="shared" si="341"/>
        <v/>
      </c>
      <c r="P4066" s="66"/>
      <c r="Q4066" s="66"/>
      <c r="R4066" s="54"/>
      <c r="S4066" s="82"/>
      <c r="T4066" s="83" t="str">
        <f t="shared" si="338"/>
        <v/>
      </c>
      <c r="U4066" s="10"/>
      <c r="V4066" s="41">
        <f>IF(AND(Q4066&lt;&gt;"",RIGHT(Q4066,3)&lt;&gt;""),IF(COUNTIF($Q$6:Q4066,Q4066)=1,1,0),0)</f>
        <v>0</v>
      </c>
      <c r="W4066" s="41" t="str">
        <f t="shared" si="339"/>
        <v/>
      </c>
      <c r="X4066" s="41" t="str">
        <f t="shared" si="340"/>
        <v/>
      </c>
    </row>
    <row r="4067" s="32" customFormat="1" hidden="1" customHeight="1" spans="1:24">
      <c r="A4067" s="34"/>
      <c r="B4067" s="51"/>
      <c r="C4067" s="51"/>
      <c r="D4067" s="52"/>
      <c r="E4067" s="53"/>
      <c r="F4067" s="54"/>
      <c r="G4067" s="54"/>
      <c r="H4067" s="54"/>
      <c r="I4067" s="66"/>
      <c r="J4067" s="54"/>
      <c r="K4067" s="54"/>
      <c r="L4067" s="54"/>
      <c r="M4067" s="97" t="str">
        <f t="shared" si="337"/>
        <v/>
      </c>
      <c r="N4067" s="70"/>
      <c r="O4067" s="71" t="str">
        <f t="shared" si="341"/>
        <v/>
      </c>
      <c r="P4067" s="66"/>
      <c r="Q4067" s="66"/>
      <c r="R4067" s="54"/>
      <c r="S4067" s="82"/>
      <c r="T4067" s="83" t="str">
        <f t="shared" si="338"/>
        <v/>
      </c>
      <c r="U4067" s="10"/>
      <c r="V4067" s="41">
        <f>IF(AND(Q4067&lt;&gt;"",RIGHT(Q4067,3)&lt;&gt;""),IF(COUNTIF($Q$6:Q4067,Q4067)=1,1,0),0)</f>
        <v>0</v>
      </c>
      <c r="W4067" s="41" t="str">
        <f t="shared" si="339"/>
        <v/>
      </c>
      <c r="X4067" s="41" t="str">
        <f t="shared" si="340"/>
        <v/>
      </c>
    </row>
    <row r="4068" s="32" customFormat="1" hidden="1" customHeight="1" spans="1:24">
      <c r="A4068" s="34"/>
      <c r="B4068" s="51"/>
      <c r="C4068" s="51"/>
      <c r="D4068" s="52"/>
      <c r="E4068" s="53"/>
      <c r="F4068" s="54"/>
      <c r="G4068" s="54"/>
      <c r="H4068" s="54"/>
      <c r="I4068" s="66"/>
      <c r="J4068" s="54"/>
      <c r="K4068" s="54"/>
      <c r="L4068" s="54"/>
      <c r="M4068" s="97" t="str">
        <f t="shared" ref="M4068:M4131" si="342">IF(L4068="","",HYPERLINK(_xlfn.CONCAT($L$4,L4068,".jpg"),"Open File"))</f>
        <v/>
      </c>
      <c r="N4068" s="70"/>
      <c r="O4068" s="71" t="str">
        <f t="shared" si="341"/>
        <v/>
      </c>
      <c r="P4068" s="66"/>
      <c r="Q4068" s="66"/>
      <c r="R4068" s="54"/>
      <c r="S4068" s="82"/>
      <c r="T4068" s="83" t="str">
        <f t="shared" ref="T4068:T4131" si="343">IF(S4068="","",HYPERLINK(_xlfn.CONCAT($S$4,S4068,".jpg"),"Open File"))</f>
        <v/>
      </c>
      <c r="U4068" s="10"/>
      <c r="V4068" s="41">
        <f>IF(AND(Q4068&lt;&gt;"",RIGHT(Q4068,3)&lt;&gt;""),IF(COUNTIF($Q$6:Q4068,Q4068)=1,1,0),0)</f>
        <v>0</v>
      </c>
      <c r="W4068" s="41" t="str">
        <f t="shared" ref="W4068:W4131" si="344">IF(AND(J4068&lt;&gt;"",K4068&lt;&gt;""),_xlfn.CONCAT(SUBSTITUTE(J4068,"/","."),"-",K4068),"")</f>
        <v/>
      </c>
      <c r="X4068" s="41" t="str">
        <f t="shared" ref="X4068:X4131" si="345">IF(AND(Q4068&lt;&gt;"",R4068&lt;&gt;""),_xlfn.CONCAT(SUBSTITUTE(Q4068,"/","."),"-",R4068),"")</f>
        <v/>
      </c>
    </row>
    <row r="4069" s="32" customFormat="1" hidden="1" customHeight="1" spans="1:24">
      <c r="A4069" s="34"/>
      <c r="B4069" s="51"/>
      <c r="C4069" s="51"/>
      <c r="D4069" s="52"/>
      <c r="E4069" s="53"/>
      <c r="F4069" s="54"/>
      <c r="G4069" s="54"/>
      <c r="H4069" s="54"/>
      <c r="I4069" s="66"/>
      <c r="J4069" s="54"/>
      <c r="K4069" s="54"/>
      <c r="L4069" s="54"/>
      <c r="M4069" s="97" t="str">
        <f t="shared" si="342"/>
        <v/>
      </c>
      <c r="N4069" s="70"/>
      <c r="O4069" s="71" t="str">
        <f t="shared" si="341"/>
        <v/>
      </c>
      <c r="P4069" s="66"/>
      <c r="Q4069" s="66"/>
      <c r="R4069" s="54"/>
      <c r="S4069" s="82"/>
      <c r="T4069" s="83" t="str">
        <f t="shared" si="343"/>
        <v/>
      </c>
      <c r="U4069" s="10"/>
      <c r="V4069" s="41">
        <f>IF(AND(Q4069&lt;&gt;"",RIGHT(Q4069,3)&lt;&gt;""),IF(COUNTIF($Q$6:Q4069,Q4069)=1,1,0),0)</f>
        <v>0</v>
      </c>
      <c r="W4069" s="41" t="str">
        <f t="shared" si="344"/>
        <v/>
      </c>
      <c r="X4069" s="41" t="str">
        <f t="shared" si="345"/>
        <v/>
      </c>
    </row>
    <row r="4070" s="32" customFormat="1" hidden="1" customHeight="1" spans="1:24">
      <c r="A4070" s="34"/>
      <c r="B4070" s="51"/>
      <c r="C4070" s="51"/>
      <c r="D4070" s="52"/>
      <c r="E4070" s="53"/>
      <c r="F4070" s="54"/>
      <c r="G4070" s="54"/>
      <c r="H4070" s="54"/>
      <c r="I4070" s="66"/>
      <c r="J4070" s="54"/>
      <c r="K4070" s="54"/>
      <c r="L4070" s="54"/>
      <c r="M4070" s="97" t="str">
        <f t="shared" si="342"/>
        <v/>
      </c>
      <c r="N4070" s="70"/>
      <c r="O4070" s="71" t="str">
        <f t="shared" si="341"/>
        <v/>
      </c>
      <c r="P4070" s="66"/>
      <c r="Q4070" s="66"/>
      <c r="R4070" s="54"/>
      <c r="S4070" s="82"/>
      <c r="T4070" s="83" t="str">
        <f t="shared" si="343"/>
        <v/>
      </c>
      <c r="U4070" s="10"/>
      <c r="V4070" s="41">
        <f>IF(AND(Q4070&lt;&gt;"",RIGHT(Q4070,3)&lt;&gt;""),IF(COUNTIF($Q$6:Q4070,Q4070)=1,1,0),0)</f>
        <v>0</v>
      </c>
      <c r="W4070" s="41" t="str">
        <f t="shared" si="344"/>
        <v/>
      </c>
      <c r="X4070" s="41" t="str">
        <f t="shared" si="345"/>
        <v/>
      </c>
    </row>
    <row r="4071" s="32" customFormat="1" hidden="1" customHeight="1" spans="1:24">
      <c r="A4071" s="34"/>
      <c r="B4071" s="51"/>
      <c r="C4071" s="51"/>
      <c r="D4071" s="52"/>
      <c r="E4071" s="53"/>
      <c r="F4071" s="54"/>
      <c r="G4071" s="54"/>
      <c r="H4071" s="54"/>
      <c r="I4071" s="66"/>
      <c r="J4071" s="54"/>
      <c r="K4071" s="54"/>
      <c r="L4071" s="54"/>
      <c r="M4071" s="97" t="str">
        <f t="shared" si="342"/>
        <v/>
      </c>
      <c r="N4071" s="70"/>
      <c r="O4071" s="71" t="str">
        <f t="shared" si="341"/>
        <v/>
      </c>
      <c r="P4071" s="66"/>
      <c r="Q4071" s="66"/>
      <c r="R4071" s="54"/>
      <c r="S4071" s="82"/>
      <c r="T4071" s="83" t="str">
        <f t="shared" si="343"/>
        <v/>
      </c>
      <c r="U4071" s="10"/>
      <c r="V4071" s="41">
        <f>IF(AND(Q4071&lt;&gt;"",RIGHT(Q4071,3)&lt;&gt;""),IF(COUNTIF($Q$6:Q4071,Q4071)=1,1,0),0)</f>
        <v>0</v>
      </c>
      <c r="W4071" s="41" t="str">
        <f t="shared" si="344"/>
        <v/>
      </c>
      <c r="X4071" s="41" t="str">
        <f t="shared" si="345"/>
        <v/>
      </c>
    </row>
    <row r="4072" s="32" customFormat="1" hidden="1" customHeight="1" spans="1:24">
      <c r="A4072" s="34"/>
      <c r="B4072" s="51"/>
      <c r="C4072" s="51"/>
      <c r="D4072" s="52"/>
      <c r="E4072" s="53"/>
      <c r="F4072" s="54"/>
      <c r="G4072" s="54"/>
      <c r="H4072" s="54"/>
      <c r="I4072" s="66"/>
      <c r="J4072" s="54"/>
      <c r="K4072" s="54"/>
      <c r="L4072" s="54"/>
      <c r="M4072" s="97" t="str">
        <f t="shared" si="342"/>
        <v/>
      </c>
      <c r="N4072" s="70"/>
      <c r="O4072" s="71" t="str">
        <f t="shared" si="341"/>
        <v/>
      </c>
      <c r="P4072" s="66"/>
      <c r="Q4072" s="66"/>
      <c r="R4072" s="54"/>
      <c r="S4072" s="82"/>
      <c r="T4072" s="83" t="str">
        <f t="shared" si="343"/>
        <v/>
      </c>
      <c r="U4072" s="10"/>
      <c r="V4072" s="41">
        <f>IF(AND(Q4072&lt;&gt;"",RIGHT(Q4072,3)&lt;&gt;""),IF(COUNTIF($Q$6:Q4072,Q4072)=1,1,0),0)</f>
        <v>0</v>
      </c>
      <c r="W4072" s="41" t="str">
        <f t="shared" si="344"/>
        <v/>
      </c>
      <c r="X4072" s="41" t="str">
        <f t="shared" si="345"/>
        <v/>
      </c>
    </row>
    <row r="4073" s="32" customFormat="1" hidden="1" customHeight="1" spans="1:24">
      <c r="A4073" s="34"/>
      <c r="B4073" s="51"/>
      <c r="C4073" s="51"/>
      <c r="D4073" s="52"/>
      <c r="E4073" s="53"/>
      <c r="F4073" s="54"/>
      <c r="G4073" s="54"/>
      <c r="H4073" s="54"/>
      <c r="I4073" s="66"/>
      <c r="J4073" s="54"/>
      <c r="K4073" s="54"/>
      <c r="L4073" s="54"/>
      <c r="M4073" s="97" t="str">
        <f t="shared" si="342"/>
        <v/>
      </c>
      <c r="N4073" s="70"/>
      <c r="O4073" s="71" t="str">
        <f t="shared" si="341"/>
        <v/>
      </c>
      <c r="P4073" s="66"/>
      <c r="Q4073" s="66"/>
      <c r="R4073" s="54"/>
      <c r="S4073" s="82"/>
      <c r="T4073" s="83" t="str">
        <f t="shared" si="343"/>
        <v/>
      </c>
      <c r="U4073" s="10"/>
      <c r="V4073" s="41">
        <f>IF(AND(Q4073&lt;&gt;"",RIGHT(Q4073,3)&lt;&gt;""),IF(COUNTIF($Q$6:Q4073,Q4073)=1,1,0),0)</f>
        <v>0</v>
      </c>
      <c r="W4073" s="41" t="str">
        <f t="shared" si="344"/>
        <v/>
      </c>
      <c r="X4073" s="41" t="str">
        <f t="shared" si="345"/>
        <v/>
      </c>
    </row>
    <row r="4074" s="32" customFormat="1" hidden="1" customHeight="1" spans="1:24">
      <c r="A4074" s="34"/>
      <c r="B4074" s="51"/>
      <c r="C4074" s="51"/>
      <c r="D4074" s="52"/>
      <c r="E4074" s="53"/>
      <c r="F4074" s="54"/>
      <c r="G4074" s="54"/>
      <c r="H4074" s="54"/>
      <c r="I4074" s="66"/>
      <c r="J4074" s="54"/>
      <c r="K4074" s="54"/>
      <c r="L4074" s="54"/>
      <c r="M4074" s="97" t="str">
        <f t="shared" si="342"/>
        <v/>
      </c>
      <c r="N4074" s="70"/>
      <c r="O4074" s="71" t="str">
        <f t="shared" si="341"/>
        <v/>
      </c>
      <c r="P4074" s="66"/>
      <c r="Q4074" s="66"/>
      <c r="R4074" s="54"/>
      <c r="S4074" s="82"/>
      <c r="T4074" s="83" t="str">
        <f t="shared" si="343"/>
        <v/>
      </c>
      <c r="U4074" s="10"/>
      <c r="V4074" s="41">
        <f>IF(AND(Q4074&lt;&gt;"",RIGHT(Q4074,3)&lt;&gt;""),IF(COUNTIF($Q$6:Q4074,Q4074)=1,1,0),0)</f>
        <v>0</v>
      </c>
      <c r="W4074" s="41" t="str">
        <f t="shared" si="344"/>
        <v/>
      </c>
      <c r="X4074" s="41" t="str">
        <f t="shared" si="345"/>
        <v/>
      </c>
    </row>
    <row r="4075" s="32" customFormat="1" hidden="1" customHeight="1" spans="1:24">
      <c r="A4075" s="34"/>
      <c r="B4075" s="51"/>
      <c r="C4075" s="51"/>
      <c r="D4075" s="52"/>
      <c r="E4075" s="53"/>
      <c r="F4075" s="54"/>
      <c r="G4075" s="54"/>
      <c r="H4075" s="54"/>
      <c r="I4075" s="66"/>
      <c r="J4075" s="54"/>
      <c r="K4075" s="54"/>
      <c r="L4075" s="54"/>
      <c r="M4075" s="97" t="str">
        <f t="shared" si="342"/>
        <v/>
      </c>
      <c r="N4075" s="70"/>
      <c r="O4075" s="71" t="str">
        <f t="shared" si="341"/>
        <v/>
      </c>
      <c r="P4075" s="66"/>
      <c r="Q4075" s="66"/>
      <c r="R4075" s="54"/>
      <c r="S4075" s="82"/>
      <c r="T4075" s="83" t="str">
        <f t="shared" si="343"/>
        <v/>
      </c>
      <c r="U4075" s="10"/>
      <c r="V4075" s="41">
        <f>IF(AND(Q4075&lt;&gt;"",RIGHT(Q4075,3)&lt;&gt;""),IF(COUNTIF($Q$6:Q4075,Q4075)=1,1,0),0)</f>
        <v>0</v>
      </c>
      <c r="W4075" s="41" t="str">
        <f t="shared" si="344"/>
        <v/>
      </c>
      <c r="X4075" s="41" t="str">
        <f t="shared" si="345"/>
        <v/>
      </c>
    </row>
    <row r="4076" s="32" customFormat="1" hidden="1" customHeight="1" spans="1:24">
      <c r="A4076" s="34"/>
      <c r="B4076" s="51"/>
      <c r="C4076" s="51"/>
      <c r="D4076" s="52"/>
      <c r="E4076" s="53"/>
      <c r="F4076" s="54"/>
      <c r="G4076" s="54"/>
      <c r="H4076" s="54"/>
      <c r="I4076" s="66"/>
      <c r="J4076" s="54"/>
      <c r="K4076" s="54"/>
      <c r="L4076" s="54"/>
      <c r="M4076" s="97" t="str">
        <f t="shared" si="342"/>
        <v/>
      </c>
      <c r="N4076" s="70"/>
      <c r="O4076" s="71" t="str">
        <f t="shared" si="341"/>
        <v/>
      </c>
      <c r="P4076" s="66"/>
      <c r="Q4076" s="66"/>
      <c r="R4076" s="54"/>
      <c r="S4076" s="82"/>
      <c r="T4076" s="83" t="str">
        <f t="shared" si="343"/>
        <v/>
      </c>
      <c r="U4076" s="10"/>
      <c r="V4076" s="41">
        <f>IF(AND(Q4076&lt;&gt;"",RIGHT(Q4076,3)&lt;&gt;""),IF(COUNTIF($Q$6:Q4076,Q4076)=1,1,0),0)</f>
        <v>0</v>
      </c>
      <c r="W4076" s="41" t="str">
        <f t="shared" si="344"/>
        <v/>
      </c>
      <c r="X4076" s="41" t="str">
        <f t="shared" si="345"/>
        <v/>
      </c>
    </row>
    <row r="4077" s="32" customFormat="1" hidden="1" customHeight="1" spans="1:24">
      <c r="A4077" s="34"/>
      <c r="B4077" s="51"/>
      <c r="C4077" s="51"/>
      <c r="D4077" s="52"/>
      <c r="E4077" s="53"/>
      <c r="F4077" s="54"/>
      <c r="G4077" s="54"/>
      <c r="H4077" s="54"/>
      <c r="I4077" s="66"/>
      <c r="J4077" s="54"/>
      <c r="K4077" s="54"/>
      <c r="L4077" s="54"/>
      <c r="M4077" s="97" t="str">
        <f t="shared" si="342"/>
        <v/>
      </c>
      <c r="N4077" s="70"/>
      <c r="O4077" s="71" t="str">
        <f t="shared" si="341"/>
        <v/>
      </c>
      <c r="P4077" s="66"/>
      <c r="Q4077" s="66"/>
      <c r="R4077" s="54"/>
      <c r="S4077" s="82"/>
      <c r="T4077" s="83" t="str">
        <f t="shared" si="343"/>
        <v/>
      </c>
      <c r="U4077" s="10"/>
      <c r="V4077" s="41">
        <f>IF(AND(Q4077&lt;&gt;"",RIGHT(Q4077,3)&lt;&gt;""),IF(COUNTIF($Q$6:Q4077,Q4077)=1,1,0),0)</f>
        <v>0</v>
      </c>
      <c r="W4077" s="41" t="str">
        <f t="shared" si="344"/>
        <v/>
      </c>
      <c r="X4077" s="41" t="str">
        <f t="shared" si="345"/>
        <v/>
      </c>
    </row>
    <row r="4078" s="32" customFormat="1" hidden="1" customHeight="1" spans="1:24">
      <c r="A4078" s="34"/>
      <c r="B4078" s="51"/>
      <c r="C4078" s="51"/>
      <c r="D4078" s="52"/>
      <c r="E4078" s="53"/>
      <c r="F4078" s="54"/>
      <c r="G4078" s="54"/>
      <c r="H4078" s="54"/>
      <c r="I4078" s="66"/>
      <c r="J4078" s="54"/>
      <c r="K4078" s="54"/>
      <c r="L4078" s="54"/>
      <c r="M4078" s="97" t="str">
        <f t="shared" si="342"/>
        <v/>
      </c>
      <c r="N4078" s="70"/>
      <c r="O4078" s="71" t="str">
        <f t="shared" si="341"/>
        <v/>
      </c>
      <c r="P4078" s="66"/>
      <c r="Q4078" s="66"/>
      <c r="R4078" s="54"/>
      <c r="S4078" s="82"/>
      <c r="T4078" s="83" t="str">
        <f t="shared" si="343"/>
        <v/>
      </c>
      <c r="U4078" s="10"/>
      <c r="V4078" s="41">
        <f>IF(AND(Q4078&lt;&gt;"",RIGHT(Q4078,3)&lt;&gt;""),IF(COUNTIF($Q$6:Q4078,Q4078)=1,1,0),0)</f>
        <v>0</v>
      </c>
      <c r="W4078" s="41" t="str">
        <f t="shared" si="344"/>
        <v/>
      </c>
      <c r="X4078" s="41" t="str">
        <f t="shared" si="345"/>
        <v/>
      </c>
    </row>
    <row r="4079" s="32" customFormat="1" hidden="1" customHeight="1" spans="1:24">
      <c r="A4079" s="34"/>
      <c r="B4079" s="51"/>
      <c r="C4079" s="51"/>
      <c r="D4079" s="52"/>
      <c r="E4079" s="53"/>
      <c r="F4079" s="54"/>
      <c r="G4079" s="54"/>
      <c r="H4079" s="54"/>
      <c r="I4079" s="66"/>
      <c r="J4079" s="54"/>
      <c r="K4079" s="54"/>
      <c r="L4079" s="54"/>
      <c r="M4079" s="97" t="str">
        <f t="shared" si="342"/>
        <v/>
      </c>
      <c r="N4079" s="70"/>
      <c r="O4079" s="71" t="str">
        <f t="shared" si="341"/>
        <v/>
      </c>
      <c r="P4079" s="66"/>
      <c r="Q4079" s="66"/>
      <c r="R4079" s="54"/>
      <c r="S4079" s="82"/>
      <c r="T4079" s="83" t="str">
        <f t="shared" si="343"/>
        <v/>
      </c>
      <c r="U4079" s="10"/>
      <c r="V4079" s="41">
        <f>IF(AND(Q4079&lt;&gt;"",RIGHT(Q4079,3)&lt;&gt;""),IF(COUNTIF($Q$6:Q4079,Q4079)=1,1,0),0)</f>
        <v>0</v>
      </c>
      <c r="W4079" s="41" t="str">
        <f t="shared" si="344"/>
        <v/>
      </c>
      <c r="X4079" s="41" t="str">
        <f t="shared" si="345"/>
        <v/>
      </c>
    </row>
    <row r="4080" s="32" customFormat="1" hidden="1" customHeight="1" spans="1:24">
      <c r="A4080" s="34"/>
      <c r="B4080" s="51"/>
      <c r="C4080" s="51"/>
      <c r="D4080" s="52"/>
      <c r="E4080" s="53"/>
      <c r="F4080" s="54"/>
      <c r="G4080" s="54"/>
      <c r="H4080" s="54"/>
      <c r="I4080" s="66"/>
      <c r="J4080" s="54"/>
      <c r="K4080" s="54"/>
      <c r="L4080" s="54"/>
      <c r="M4080" s="97" t="str">
        <f t="shared" si="342"/>
        <v/>
      </c>
      <c r="N4080" s="70"/>
      <c r="O4080" s="71" t="str">
        <f t="shared" si="341"/>
        <v/>
      </c>
      <c r="P4080" s="66"/>
      <c r="Q4080" s="66"/>
      <c r="R4080" s="54"/>
      <c r="S4080" s="82"/>
      <c r="T4080" s="83" t="str">
        <f t="shared" si="343"/>
        <v/>
      </c>
      <c r="U4080" s="10"/>
      <c r="V4080" s="41">
        <f>IF(AND(Q4080&lt;&gt;"",RIGHT(Q4080,3)&lt;&gt;""),IF(COUNTIF($Q$6:Q4080,Q4080)=1,1,0),0)</f>
        <v>0</v>
      </c>
      <c r="W4080" s="41" t="str">
        <f t="shared" si="344"/>
        <v/>
      </c>
      <c r="X4080" s="41" t="str">
        <f t="shared" si="345"/>
        <v/>
      </c>
    </row>
    <row r="4081" s="32" customFormat="1" hidden="1" customHeight="1" spans="1:24">
      <c r="A4081" s="34"/>
      <c r="B4081" s="51"/>
      <c r="C4081" s="51"/>
      <c r="D4081" s="52"/>
      <c r="E4081" s="53"/>
      <c r="F4081" s="54"/>
      <c r="G4081" s="54"/>
      <c r="H4081" s="54"/>
      <c r="I4081" s="66"/>
      <c r="J4081" s="54"/>
      <c r="K4081" s="54"/>
      <c r="L4081" s="54"/>
      <c r="M4081" s="97" t="str">
        <f t="shared" si="342"/>
        <v/>
      </c>
      <c r="N4081" s="70"/>
      <c r="O4081" s="71" t="str">
        <f t="shared" ref="O4081:O4144" si="346">IF(AND(Q4081&lt;&gt;"",T4081&lt;&gt;""),"PASSIVE",IF(AND(J4081&lt;&gt;"",M4081&lt;&gt;""),"ACTIVE",""))</f>
        <v/>
      </c>
      <c r="P4081" s="66"/>
      <c r="Q4081" s="66"/>
      <c r="R4081" s="54"/>
      <c r="S4081" s="82"/>
      <c r="T4081" s="83" t="str">
        <f t="shared" si="343"/>
        <v/>
      </c>
      <c r="U4081" s="10"/>
      <c r="V4081" s="41">
        <f>IF(AND(Q4081&lt;&gt;"",RIGHT(Q4081,3)&lt;&gt;""),IF(COUNTIF($Q$6:Q4081,Q4081)=1,1,0),0)</f>
        <v>0</v>
      </c>
      <c r="W4081" s="41" t="str">
        <f t="shared" si="344"/>
        <v/>
      </c>
      <c r="X4081" s="41" t="str">
        <f t="shared" si="345"/>
        <v/>
      </c>
    </row>
    <row r="4082" s="32" customFormat="1" hidden="1" customHeight="1" spans="1:24">
      <c r="A4082" s="34"/>
      <c r="B4082" s="51"/>
      <c r="C4082" s="51"/>
      <c r="D4082" s="52"/>
      <c r="E4082" s="53"/>
      <c r="F4082" s="54"/>
      <c r="G4082" s="54"/>
      <c r="H4082" s="54"/>
      <c r="I4082" s="66"/>
      <c r="J4082" s="54"/>
      <c r="K4082" s="54"/>
      <c r="L4082" s="54"/>
      <c r="M4082" s="97" t="str">
        <f t="shared" si="342"/>
        <v/>
      </c>
      <c r="N4082" s="70"/>
      <c r="O4082" s="71" t="str">
        <f t="shared" si="346"/>
        <v/>
      </c>
      <c r="P4082" s="66"/>
      <c r="Q4082" s="66"/>
      <c r="R4082" s="54"/>
      <c r="S4082" s="82"/>
      <c r="T4082" s="83" t="str">
        <f t="shared" si="343"/>
        <v/>
      </c>
      <c r="U4082" s="10"/>
      <c r="V4082" s="41">
        <f>IF(AND(Q4082&lt;&gt;"",RIGHT(Q4082,3)&lt;&gt;""),IF(COUNTIF($Q$6:Q4082,Q4082)=1,1,0),0)</f>
        <v>0</v>
      </c>
      <c r="W4082" s="41" t="str">
        <f t="shared" si="344"/>
        <v/>
      </c>
      <c r="X4082" s="41" t="str">
        <f t="shared" si="345"/>
        <v/>
      </c>
    </row>
    <row r="4083" s="32" customFormat="1" hidden="1" customHeight="1" spans="1:24">
      <c r="A4083" s="34"/>
      <c r="B4083" s="51"/>
      <c r="C4083" s="51"/>
      <c r="D4083" s="52"/>
      <c r="E4083" s="53"/>
      <c r="F4083" s="54"/>
      <c r="G4083" s="54"/>
      <c r="H4083" s="54"/>
      <c r="I4083" s="66"/>
      <c r="J4083" s="54"/>
      <c r="K4083" s="54"/>
      <c r="L4083" s="54"/>
      <c r="M4083" s="97" t="str">
        <f t="shared" si="342"/>
        <v/>
      </c>
      <c r="N4083" s="70"/>
      <c r="O4083" s="71" t="str">
        <f t="shared" si="346"/>
        <v/>
      </c>
      <c r="P4083" s="66"/>
      <c r="Q4083" s="66"/>
      <c r="R4083" s="54"/>
      <c r="S4083" s="82"/>
      <c r="T4083" s="83" t="str">
        <f t="shared" si="343"/>
        <v/>
      </c>
      <c r="U4083" s="10"/>
      <c r="V4083" s="41">
        <f>IF(AND(Q4083&lt;&gt;"",RIGHT(Q4083,3)&lt;&gt;""),IF(COUNTIF($Q$6:Q4083,Q4083)=1,1,0),0)</f>
        <v>0</v>
      </c>
      <c r="W4083" s="41" t="str">
        <f t="shared" si="344"/>
        <v/>
      </c>
      <c r="X4083" s="41" t="str">
        <f t="shared" si="345"/>
        <v/>
      </c>
    </row>
    <row r="4084" s="32" customFormat="1" hidden="1" customHeight="1" spans="1:24">
      <c r="A4084" s="34"/>
      <c r="B4084" s="51"/>
      <c r="C4084" s="51"/>
      <c r="D4084" s="52"/>
      <c r="E4084" s="53"/>
      <c r="F4084" s="54"/>
      <c r="G4084" s="54"/>
      <c r="H4084" s="54"/>
      <c r="I4084" s="66"/>
      <c r="J4084" s="54"/>
      <c r="K4084" s="54"/>
      <c r="L4084" s="54"/>
      <c r="M4084" s="97" t="str">
        <f t="shared" si="342"/>
        <v/>
      </c>
      <c r="N4084" s="70"/>
      <c r="O4084" s="71" t="str">
        <f t="shared" si="346"/>
        <v/>
      </c>
      <c r="P4084" s="66"/>
      <c r="Q4084" s="66"/>
      <c r="R4084" s="54"/>
      <c r="S4084" s="82"/>
      <c r="T4084" s="83" t="str">
        <f t="shared" si="343"/>
        <v/>
      </c>
      <c r="U4084" s="10"/>
      <c r="V4084" s="41">
        <f>IF(AND(Q4084&lt;&gt;"",RIGHT(Q4084,3)&lt;&gt;""),IF(COUNTIF($Q$6:Q4084,Q4084)=1,1,0),0)</f>
        <v>0</v>
      </c>
      <c r="W4084" s="41" t="str">
        <f t="shared" si="344"/>
        <v/>
      </c>
      <c r="X4084" s="41" t="str">
        <f t="shared" si="345"/>
        <v/>
      </c>
    </row>
    <row r="4085" s="32" customFormat="1" hidden="1" customHeight="1" spans="1:24">
      <c r="A4085" s="34"/>
      <c r="B4085" s="51"/>
      <c r="C4085" s="51"/>
      <c r="D4085" s="52"/>
      <c r="E4085" s="53"/>
      <c r="F4085" s="54"/>
      <c r="G4085" s="54"/>
      <c r="H4085" s="54"/>
      <c r="I4085" s="66"/>
      <c r="J4085" s="54"/>
      <c r="K4085" s="54"/>
      <c r="L4085" s="54"/>
      <c r="M4085" s="97" t="str">
        <f t="shared" si="342"/>
        <v/>
      </c>
      <c r="N4085" s="70"/>
      <c r="O4085" s="71" t="str">
        <f t="shared" si="346"/>
        <v/>
      </c>
      <c r="P4085" s="66"/>
      <c r="Q4085" s="66"/>
      <c r="R4085" s="54"/>
      <c r="S4085" s="82"/>
      <c r="T4085" s="83" t="str">
        <f t="shared" si="343"/>
        <v/>
      </c>
      <c r="U4085" s="10"/>
      <c r="V4085" s="41">
        <f>IF(AND(Q4085&lt;&gt;"",RIGHT(Q4085,3)&lt;&gt;""),IF(COUNTIF($Q$6:Q4085,Q4085)=1,1,0),0)</f>
        <v>0</v>
      </c>
      <c r="W4085" s="41" t="str">
        <f t="shared" si="344"/>
        <v/>
      </c>
      <c r="X4085" s="41" t="str">
        <f t="shared" si="345"/>
        <v/>
      </c>
    </row>
    <row r="4086" s="32" customFormat="1" hidden="1" customHeight="1" spans="1:24">
      <c r="A4086" s="34"/>
      <c r="B4086" s="51"/>
      <c r="C4086" s="51"/>
      <c r="D4086" s="52"/>
      <c r="E4086" s="53"/>
      <c r="F4086" s="54"/>
      <c r="G4086" s="54"/>
      <c r="H4086" s="54"/>
      <c r="I4086" s="66"/>
      <c r="J4086" s="54"/>
      <c r="K4086" s="54"/>
      <c r="L4086" s="54"/>
      <c r="M4086" s="97" t="str">
        <f t="shared" si="342"/>
        <v/>
      </c>
      <c r="N4086" s="70"/>
      <c r="O4086" s="71" t="str">
        <f t="shared" si="346"/>
        <v/>
      </c>
      <c r="P4086" s="66"/>
      <c r="Q4086" s="66"/>
      <c r="R4086" s="54"/>
      <c r="S4086" s="82"/>
      <c r="T4086" s="83" t="str">
        <f t="shared" si="343"/>
        <v/>
      </c>
      <c r="U4086" s="10"/>
      <c r="V4086" s="41">
        <f>IF(AND(Q4086&lt;&gt;"",RIGHT(Q4086,3)&lt;&gt;""),IF(COUNTIF($Q$6:Q4086,Q4086)=1,1,0),0)</f>
        <v>0</v>
      </c>
      <c r="W4086" s="41" t="str">
        <f t="shared" si="344"/>
        <v/>
      </c>
      <c r="X4086" s="41" t="str">
        <f t="shared" si="345"/>
        <v/>
      </c>
    </row>
    <row r="4087" s="32" customFormat="1" hidden="1" customHeight="1" spans="1:24">
      <c r="A4087" s="34"/>
      <c r="B4087" s="51"/>
      <c r="C4087" s="51"/>
      <c r="D4087" s="52"/>
      <c r="E4087" s="53"/>
      <c r="F4087" s="54"/>
      <c r="G4087" s="54"/>
      <c r="H4087" s="54"/>
      <c r="I4087" s="66"/>
      <c r="J4087" s="54"/>
      <c r="K4087" s="54"/>
      <c r="L4087" s="54"/>
      <c r="M4087" s="97" t="str">
        <f t="shared" si="342"/>
        <v/>
      </c>
      <c r="N4087" s="70"/>
      <c r="O4087" s="71" t="str">
        <f t="shared" si="346"/>
        <v/>
      </c>
      <c r="P4087" s="66"/>
      <c r="Q4087" s="66"/>
      <c r="R4087" s="54"/>
      <c r="S4087" s="82"/>
      <c r="T4087" s="83" t="str">
        <f t="shared" si="343"/>
        <v/>
      </c>
      <c r="U4087" s="10"/>
      <c r="V4087" s="41">
        <f>IF(AND(Q4087&lt;&gt;"",RIGHT(Q4087,3)&lt;&gt;""),IF(COUNTIF($Q$6:Q4087,Q4087)=1,1,0),0)</f>
        <v>0</v>
      </c>
      <c r="W4087" s="41" t="str">
        <f t="shared" si="344"/>
        <v/>
      </c>
      <c r="X4087" s="41" t="str">
        <f t="shared" si="345"/>
        <v/>
      </c>
    </row>
    <row r="4088" s="32" customFormat="1" hidden="1" customHeight="1" spans="1:24">
      <c r="A4088" s="34"/>
      <c r="B4088" s="51"/>
      <c r="C4088" s="51"/>
      <c r="D4088" s="52"/>
      <c r="E4088" s="53"/>
      <c r="F4088" s="54"/>
      <c r="G4088" s="54"/>
      <c r="H4088" s="54"/>
      <c r="I4088" s="66"/>
      <c r="J4088" s="54"/>
      <c r="K4088" s="54"/>
      <c r="L4088" s="54"/>
      <c r="M4088" s="97" t="str">
        <f t="shared" si="342"/>
        <v/>
      </c>
      <c r="N4088" s="70"/>
      <c r="O4088" s="71" t="str">
        <f t="shared" si="346"/>
        <v/>
      </c>
      <c r="P4088" s="66"/>
      <c r="Q4088" s="66"/>
      <c r="R4088" s="54"/>
      <c r="S4088" s="82"/>
      <c r="T4088" s="83" t="str">
        <f t="shared" si="343"/>
        <v/>
      </c>
      <c r="U4088" s="10"/>
      <c r="V4088" s="41">
        <f>IF(AND(Q4088&lt;&gt;"",RIGHT(Q4088,3)&lt;&gt;""),IF(COUNTIF($Q$6:Q4088,Q4088)=1,1,0),0)</f>
        <v>0</v>
      </c>
      <c r="W4088" s="41" t="str">
        <f t="shared" si="344"/>
        <v/>
      </c>
      <c r="X4088" s="41" t="str">
        <f t="shared" si="345"/>
        <v/>
      </c>
    </row>
    <row r="4089" s="32" customFormat="1" hidden="1" customHeight="1" spans="1:24">
      <c r="A4089" s="34"/>
      <c r="B4089" s="51"/>
      <c r="C4089" s="51"/>
      <c r="D4089" s="52"/>
      <c r="E4089" s="53"/>
      <c r="F4089" s="54"/>
      <c r="G4089" s="54"/>
      <c r="H4089" s="54"/>
      <c r="I4089" s="66"/>
      <c r="J4089" s="54"/>
      <c r="K4089" s="54"/>
      <c r="L4089" s="54"/>
      <c r="M4089" s="97" t="str">
        <f t="shared" si="342"/>
        <v/>
      </c>
      <c r="N4089" s="70"/>
      <c r="O4089" s="71" t="str">
        <f t="shared" si="346"/>
        <v/>
      </c>
      <c r="P4089" s="66"/>
      <c r="Q4089" s="66"/>
      <c r="R4089" s="54"/>
      <c r="S4089" s="82"/>
      <c r="T4089" s="83" t="str">
        <f t="shared" si="343"/>
        <v/>
      </c>
      <c r="U4089" s="10"/>
      <c r="V4089" s="41">
        <f>IF(AND(Q4089&lt;&gt;"",RIGHT(Q4089,3)&lt;&gt;""),IF(COUNTIF($Q$6:Q4089,Q4089)=1,1,0),0)</f>
        <v>0</v>
      </c>
      <c r="W4089" s="41" t="str">
        <f t="shared" si="344"/>
        <v/>
      </c>
      <c r="X4089" s="41" t="str">
        <f t="shared" si="345"/>
        <v/>
      </c>
    </row>
    <row r="4090" s="32" customFormat="1" hidden="1" customHeight="1" spans="1:24">
      <c r="A4090" s="34"/>
      <c r="B4090" s="51"/>
      <c r="C4090" s="51"/>
      <c r="D4090" s="52"/>
      <c r="E4090" s="53"/>
      <c r="F4090" s="54"/>
      <c r="G4090" s="54"/>
      <c r="H4090" s="54"/>
      <c r="I4090" s="66"/>
      <c r="J4090" s="54"/>
      <c r="K4090" s="54"/>
      <c r="L4090" s="54"/>
      <c r="M4090" s="97" t="str">
        <f t="shared" si="342"/>
        <v/>
      </c>
      <c r="N4090" s="70"/>
      <c r="O4090" s="71" t="str">
        <f t="shared" si="346"/>
        <v/>
      </c>
      <c r="P4090" s="66"/>
      <c r="Q4090" s="66"/>
      <c r="R4090" s="54"/>
      <c r="S4090" s="82"/>
      <c r="T4090" s="83" t="str">
        <f t="shared" si="343"/>
        <v/>
      </c>
      <c r="U4090" s="10"/>
      <c r="V4090" s="41">
        <f>IF(AND(Q4090&lt;&gt;"",RIGHT(Q4090,3)&lt;&gt;""),IF(COUNTIF($Q$6:Q4090,Q4090)=1,1,0),0)</f>
        <v>0</v>
      </c>
      <c r="W4090" s="41" t="str">
        <f t="shared" si="344"/>
        <v/>
      </c>
      <c r="X4090" s="41" t="str">
        <f t="shared" si="345"/>
        <v/>
      </c>
    </row>
    <row r="4091" s="32" customFormat="1" hidden="1" customHeight="1" spans="1:24">
      <c r="A4091" s="34"/>
      <c r="B4091" s="51"/>
      <c r="C4091" s="51"/>
      <c r="D4091" s="52"/>
      <c r="E4091" s="53"/>
      <c r="F4091" s="54"/>
      <c r="G4091" s="54"/>
      <c r="H4091" s="54"/>
      <c r="I4091" s="66"/>
      <c r="J4091" s="54"/>
      <c r="K4091" s="54"/>
      <c r="L4091" s="54"/>
      <c r="M4091" s="97" t="str">
        <f t="shared" si="342"/>
        <v/>
      </c>
      <c r="N4091" s="70"/>
      <c r="O4091" s="71" t="str">
        <f t="shared" si="346"/>
        <v/>
      </c>
      <c r="P4091" s="66"/>
      <c r="Q4091" s="66"/>
      <c r="R4091" s="54"/>
      <c r="S4091" s="82"/>
      <c r="T4091" s="83" t="str">
        <f t="shared" si="343"/>
        <v/>
      </c>
      <c r="U4091" s="10"/>
      <c r="V4091" s="41">
        <f>IF(AND(Q4091&lt;&gt;"",RIGHT(Q4091,3)&lt;&gt;""),IF(COUNTIF($Q$6:Q4091,Q4091)=1,1,0),0)</f>
        <v>0</v>
      </c>
      <c r="W4091" s="41" t="str">
        <f t="shared" si="344"/>
        <v/>
      </c>
      <c r="X4091" s="41" t="str">
        <f t="shared" si="345"/>
        <v/>
      </c>
    </row>
    <row r="4092" s="32" customFormat="1" hidden="1" customHeight="1" spans="1:24">
      <c r="A4092" s="34"/>
      <c r="B4092" s="51"/>
      <c r="C4092" s="51"/>
      <c r="D4092" s="52"/>
      <c r="E4092" s="53"/>
      <c r="F4092" s="54"/>
      <c r="G4092" s="54"/>
      <c r="H4092" s="54"/>
      <c r="I4092" s="66"/>
      <c r="J4092" s="54"/>
      <c r="K4092" s="54"/>
      <c r="L4092" s="54"/>
      <c r="M4092" s="97" t="str">
        <f t="shared" si="342"/>
        <v/>
      </c>
      <c r="N4092" s="70"/>
      <c r="O4092" s="71" t="str">
        <f t="shared" si="346"/>
        <v/>
      </c>
      <c r="P4092" s="66"/>
      <c r="Q4092" s="66"/>
      <c r="R4092" s="54"/>
      <c r="S4092" s="82"/>
      <c r="T4092" s="83" t="str">
        <f t="shared" si="343"/>
        <v/>
      </c>
      <c r="U4092" s="10"/>
      <c r="V4092" s="41">
        <f>IF(AND(Q4092&lt;&gt;"",RIGHT(Q4092,3)&lt;&gt;""),IF(COUNTIF($Q$6:Q4092,Q4092)=1,1,0),0)</f>
        <v>0</v>
      </c>
      <c r="W4092" s="41" t="str">
        <f t="shared" si="344"/>
        <v/>
      </c>
      <c r="X4092" s="41" t="str">
        <f t="shared" si="345"/>
        <v/>
      </c>
    </row>
    <row r="4093" s="32" customFormat="1" hidden="1" customHeight="1" spans="1:24">
      <c r="A4093" s="34"/>
      <c r="B4093" s="51"/>
      <c r="C4093" s="51"/>
      <c r="D4093" s="52"/>
      <c r="E4093" s="53"/>
      <c r="F4093" s="54"/>
      <c r="G4093" s="54"/>
      <c r="H4093" s="54"/>
      <c r="I4093" s="66"/>
      <c r="J4093" s="54"/>
      <c r="K4093" s="54"/>
      <c r="L4093" s="54"/>
      <c r="M4093" s="97" t="str">
        <f t="shared" si="342"/>
        <v/>
      </c>
      <c r="N4093" s="70"/>
      <c r="O4093" s="71" t="str">
        <f t="shared" si="346"/>
        <v/>
      </c>
      <c r="P4093" s="66"/>
      <c r="Q4093" s="66"/>
      <c r="R4093" s="54"/>
      <c r="S4093" s="82"/>
      <c r="T4093" s="83" t="str">
        <f t="shared" si="343"/>
        <v/>
      </c>
      <c r="U4093" s="10"/>
      <c r="V4093" s="41">
        <f>IF(AND(Q4093&lt;&gt;"",RIGHT(Q4093,3)&lt;&gt;""),IF(COUNTIF($Q$6:Q4093,Q4093)=1,1,0),0)</f>
        <v>0</v>
      </c>
      <c r="W4093" s="41" t="str">
        <f t="shared" si="344"/>
        <v/>
      </c>
      <c r="X4093" s="41" t="str">
        <f t="shared" si="345"/>
        <v/>
      </c>
    </row>
    <row r="4094" s="32" customFormat="1" hidden="1" customHeight="1" spans="1:24">
      <c r="A4094" s="34"/>
      <c r="B4094" s="51"/>
      <c r="C4094" s="51"/>
      <c r="D4094" s="52"/>
      <c r="E4094" s="53"/>
      <c r="F4094" s="54"/>
      <c r="G4094" s="54"/>
      <c r="H4094" s="54"/>
      <c r="I4094" s="66"/>
      <c r="J4094" s="54"/>
      <c r="K4094" s="54"/>
      <c r="L4094" s="54"/>
      <c r="M4094" s="97" t="str">
        <f t="shared" si="342"/>
        <v/>
      </c>
      <c r="N4094" s="70"/>
      <c r="O4094" s="71" t="str">
        <f t="shared" si="346"/>
        <v/>
      </c>
      <c r="P4094" s="66"/>
      <c r="Q4094" s="66"/>
      <c r="R4094" s="54"/>
      <c r="S4094" s="82"/>
      <c r="T4094" s="83" t="str">
        <f t="shared" si="343"/>
        <v/>
      </c>
      <c r="U4094" s="10"/>
      <c r="V4094" s="41">
        <f>IF(AND(Q4094&lt;&gt;"",RIGHT(Q4094,3)&lt;&gt;""),IF(COUNTIF($Q$6:Q4094,Q4094)=1,1,0),0)</f>
        <v>0</v>
      </c>
      <c r="W4094" s="41" t="str">
        <f t="shared" si="344"/>
        <v/>
      </c>
      <c r="X4094" s="41" t="str">
        <f t="shared" si="345"/>
        <v/>
      </c>
    </row>
    <row r="4095" s="32" customFormat="1" hidden="1" customHeight="1" spans="1:24">
      <c r="A4095" s="34"/>
      <c r="B4095" s="51"/>
      <c r="C4095" s="51"/>
      <c r="D4095" s="52"/>
      <c r="E4095" s="53"/>
      <c r="F4095" s="54"/>
      <c r="G4095" s="54"/>
      <c r="H4095" s="54"/>
      <c r="I4095" s="66"/>
      <c r="J4095" s="54"/>
      <c r="K4095" s="54"/>
      <c r="L4095" s="54"/>
      <c r="M4095" s="97" t="str">
        <f t="shared" si="342"/>
        <v/>
      </c>
      <c r="N4095" s="70"/>
      <c r="O4095" s="71" t="str">
        <f t="shared" si="346"/>
        <v/>
      </c>
      <c r="P4095" s="66"/>
      <c r="Q4095" s="66"/>
      <c r="R4095" s="54"/>
      <c r="S4095" s="82"/>
      <c r="T4095" s="83" t="str">
        <f t="shared" si="343"/>
        <v/>
      </c>
      <c r="U4095" s="10"/>
      <c r="V4095" s="41">
        <f>IF(AND(Q4095&lt;&gt;"",RIGHT(Q4095,3)&lt;&gt;""),IF(COUNTIF($Q$6:Q4095,Q4095)=1,1,0),0)</f>
        <v>0</v>
      </c>
      <c r="W4095" s="41" t="str">
        <f t="shared" si="344"/>
        <v/>
      </c>
      <c r="X4095" s="41" t="str">
        <f t="shared" si="345"/>
        <v/>
      </c>
    </row>
    <row r="4096" s="32" customFormat="1" hidden="1" customHeight="1" spans="1:24">
      <c r="A4096" s="34"/>
      <c r="B4096" s="51"/>
      <c r="C4096" s="51"/>
      <c r="D4096" s="52"/>
      <c r="E4096" s="53"/>
      <c r="F4096" s="54"/>
      <c r="G4096" s="54"/>
      <c r="H4096" s="54"/>
      <c r="I4096" s="66"/>
      <c r="J4096" s="54"/>
      <c r="K4096" s="54"/>
      <c r="L4096" s="54"/>
      <c r="M4096" s="97" t="str">
        <f t="shared" si="342"/>
        <v/>
      </c>
      <c r="N4096" s="70"/>
      <c r="O4096" s="71" t="str">
        <f t="shared" si="346"/>
        <v/>
      </c>
      <c r="P4096" s="66"/>
      <c r="Q4096" s="66"/>
      <c r="R4096" s="54"/>
      <c r="S4096" s="82"/>
      <c r="T4096" s="83" t="str">
        <f t="shared" si="343"/>
        <v/>
      </c>
      <c r="U4096" s="10"/>
      <c r="V4096" s="41">
        <f>IF(AND(Q4096&lt;&gt;"",RIGHT(Q4096,3)&lt;&gt;""),IF(COUNTIF($Q$6:Q4096,Q4096)=1,1,0),0)</f>
        <v>0</v>
      </c>
      <c r="W4096" s="41" t="str">
        <f t="shared" si="344"/>
        <v/>
      </c>
      <c r="X4096" s="41" t="str">
        <f t="shared" si="345"/>
        <v/>
      </c>
    </row>
    <row r="4097" s="32" customFormat="1" hidden="1" customHeight="1" spans="1:24">
      <c r="A4097" s="34"/>
      <c r="B4097" s="51"/>
      <c r="C4097" s="51"/>
      <c r="D4097" s="52"/>
      <c r="E4097" s="53"/>
      <c r="F4097" s="54"/>
      <c r="G4097" s="54"/>
      <c r="H4097" s="54"/>
      <c r="I4097" s="66"/>
      <c r="J4097" s="54"/>
      <c r="K4097" s="54"/>
      <c r="L4097" s="54"/>
      <c r="M4097" s="97" t="str">
        <f t="shared" si="342"/>
        <v/>
      </c>
      <c r="N4097" s="70"/>
      <c r="O4097" s="71" t="str">
        <f t="shared" si="346"/>
        <v/>
      </c>
      <c r="P4097" s="66"/>
      <c r="Q4097" s="66"/>
      <c r="R4097" s="54"/>
      <c r="S4097" s="82"/>
      <c r="T4097" s="83" t="str">
        <f t="shared" si="343"/>
        <v/>
      </c>
      <c r="U4097" s="10"/>
      <c r="V4097" s="41">
        <f>IF(AND(Q4097&lt;&gt;"",RIGHT(Q4097,3)&lt;&gt;""),IF(COUNTIF($Q$6:Q4097,Q4097)=1,1,0),0)</f>
        <v>0</v>
      </c>
      <c r="W4097" s="41" t="str">
        <f t="shared" si="344"/>
        <v/>
      </c>
      <c r="X4097" s="41" t="str">
        <f t="shared" si="345"/>
        <v/>
      </c>
    </row>
    <row r="4098" s="32" customFormat="1" hidden="1" customHeight="1" spans="1:24">
      <c r="A4098" s="34"/>
      <c r="B4098" s="51"/>
      <c r="C4098" s="51"/>
      <c r="D4098" s="52"/>
      <c r="E4098" s="53"/>
      <c r="F4098" s="54"/>
      <c r="G4098" s="54"/>
      <c r="H4098" s="54"/>
      <c r="I4098" s="66"/>
      <c r="J4098" s="54"/>
      <c r="K4098" s="54"/>
      <c r="L4098" s="54"/>
      <c r="M4098" s="97" t="str">
        <f t="shared" si="342"/>
        <v/>
      </c>
      <c r="N4098" s="70"/>
      <c r="O4098" s="71" t="str">
        <f t="shared" si="346"/>
        <v/>
      </c>
      <c r="P4098" s="66"/>
      <c r="Q4098" s="66"/>
      <c r="R4098" s="54"/>
      <c r="S4098" s="82"/>
      <c r="T4098" s="83" t="str">
        <f t="shared" si="343"/>
        <v/>
      </c>
      <c r="U4098" s="10"/>
      <c r="V4098" s="41">
        <f>IF(AND(Q4098&lt;&gt;"",RIGHT(Q4098,3)&lt;&gt;""),IF(COUNTIF($Q$6:Q4098,Q4098)=1,1,0),0)</f>
        <v>0</v>
      </c>
      <c r="W4098" s="41" t="str">
        <f t="shared" si="344"/>
        <v/>
      </c>
      <c r="X4098" s="41" t="str">
        <f t="shared" si="345"/>
        <v/>
      </c>
    </row>
    <row r="4099" s="32" customFormat="1" hidden="1" customHeight="1" spans="1:24">
      <c r="A4099" s="34"/>
      <c r="B4099" s="51"/>
      <c r="C4099" s="51"/>
      <c r="D4099" s="52"/>
      <c r="E4099" s="53"/>
      <c r="F4099" s="54"/>
      <c r="G4099" s="54"/>
      <c r="H4099" s="54"/>
      <c r="I4099" s="66"/>
      <c r="J4099" s="54"/>
      <c r="K4099" s="54"/>
      <c r="L4099" s="54"/>
      <c r="M4099" s="97" t="str">
        <f t="shared" si="342"/>
        <v/>
      </c>
      <c r="N4099" s="70"/>
      <c r="O4099" s="71" t="str">
        <f t="shared" si="346"/>
        <v/>
      </c>
      <c r="P4099" s="66"/>
      <c r="Q4099" s="66"/>
      <c r="R4099" s="54"/>
      <c r="S4099" s="82"/>
      <c r="T4099" s="83" t="str">
        <f t="shared" si="343"/>
        <v/>
      </c>
      <c r="U4099" s="10"/>
      <c r="V4099" s="41">
        <f>IF(AND(Q4099&lt;&gt;"",RIGHT(Q4099,3)&lt;&gt;""),IF(COUNTIF($Q$6:Q4099,Q4099)=1,1,0),0)</f>
        <v>0</v>
      </c>
      <c r="W4099" s="41" t="str">
        <f t="shared" si="344"/>
        <v/>
      </c>
      <c r="X4099" s="41" t="str">
        <f t="shared" si="345"/>
        <v/>
      </c>
    </row>
    <row r="4100" s="32" customFormat="1" hidden="1" customHeight="1" spans="1:24">
      <c r="A4100" s="34"/>
      <c r="B4100" s="51"/>
      <c r="C4100" s="51"/>
      <c r="D4100" s="52"/>
      <c r="E4100" s="53"/>
      <c r="F4100" s="54"/>
      <c r="G4100" s="54"/>
      <c r="H4100" s="54"/>
      <c r="I4100" s="66"/>
      <c r="J4100" s="54"/>
      <c r="K4100" s="54"/>
      <c r="L4100" s="54"/>
      <c r="M4100" s="97" t="str">
        <f t="shared" si="342"/>
        <v/>
      </c>
      <c r="N4100" s="70"/>
      <c r="O4100" s="71" t="str">
        <f t="shared" si="346"/>
        <v/>
      </c>
      <c r="P4100" s="66"/>
      <c r="Q4100" s="66"/>
      <c r="R4100" s="54"/>
      <c r="S4100" s="82"/>
      <c r="T4100" s="83" t="str">
        <f t="shared" si="343"/>
        <v/>
      </c>
      <c r="U4100" s="10"/>
      <c r="V4100" s="41">
        <f>IF(AND(Q4100&lt;&gt;"",RIGHT(Q4100,3)&lt;&gt;""),IF(COUNTIF($Q$6:Q4100,Q4100)=1,1,0),0)</f>
        <v>0</v>
      </c>
      <c r="W4100" s="41" t="str">
        <f t="shared" si="344"/>
        <v/>
      </c>
      <c r="X4100" s="41" t="str">
        <f t="shared" si="345"/>
        <v/>
      </c>
    </row>
    <row r="4101" s="32" customFormat="1" hidden="1" customHeight="1" spans="1:24">
      <c r="A4101" s="34"/>
      <c r="B4101" s="51"/>
      <c r="C4101" s="51"/>
      <c r="D4101" s="52"/>
      <c r="E4101" s="53"/>
      <c r="F4101" s="54"/>
      <c r="G4101" s="54"/>
      <c r="H4101" s="54"/>
      <c r="I4101" s="66"/>
      <c r="J4101" s="54"/>
      <c r="K4101" s="54"/>
      <c r="L4101" s="54"/>
      <c r="M4101" s="97" t="str">
        <f t="shared" si="342"/>
        <v/>
      </c>
      <c r="N4101" s="70"/>
      <c r="O4101" s="71" t="str">
        <f t="shared" si="346"/>
        <v/>
      </c>
      <c r="P4101" s="66"/>
      <c r="Q4101" s="66"/>
      <c r="R4101" s="54"/>
      <c r="S4101" s="82"/>
      <c r="T4101" s="83" t="str">
        <f t="shared" si="343"/>
        <v/>
      </c>
      <c r="U4101" s="10"/>
      <c r="V4101" s="41">
        <f>IF(AND(Q4101&lt;&gt;"",RIGHT(Q4101,3)&lt;&gt;""),IF(COUNTIF($Q$6:Q4101,Q4101)=1,1,0),0)</f>
        <v>0</v>
      </c>
      <c r="W4101" s="41" t="str">
        <f t="shared" si="344"/>
        <v/>
      </c>
      <c r="X4101" s="41" t="str">
        <f t="shared" si="345"/>
        <v/>
      </c>
    </row>
    <row r="4102" s="32" customFormat="1" hidden="1" customHeight="1" spans="1:24">
      <c r="A4102" s="34"/>
      <c r="B4102" s="51"/>
      <c r="C4102" s="51"/>
      <c r="D4102" s="52"/>
      <c r="E4102" s="53"/>
      <c r="F4102" s="54"/>
      <c r="G4102" s="54"/>
      <c r="H4102" s="54"/>
      <c r="I4102" s="66"/>
      <c r="J4102" s="54"/>
      <c r="K4102" s="54"/>
      <c r="L4102" s="54"/>
      <c r="M4102" s="97" t="str">
        <f t="shared" si="342"/>
        <v/>
      </c>
      <c r="N4102" s="70"/>
      <c r="O4102" s="71" t="str">
        <f t="shared" si="346"/>
        <v/>
      </c>
      <c r="P4102" s="66"/>
      <c r="Q4102" s="66"/>
      <c r="R4102" s="54"/>
      <c r="S4102" s="82"/>
      <c r="T4102" s="83" t="str">
        <f t="shared" si="343"/>
        <v/>
      </c>
      <c r="U4102" s="10"/>
      <c r="V4102" s="41">
        <f>IF(AND(Q4102&lt;&gt;"",RIGHT(Q4102,3)&lt;&gt;""),IF(COUNTIF($Q$6:Q4102,Q4102)=1,1,0),0)</f>
        <v>0</v>
      </c>
      <c r="W4102" s="41" t="str">
        <f t="shared" si="344"/>
        <v/>
      </c>
      <c r="X4102" s="41" t="str">
        <f t="shared" si="345"/>
        <v/>
      </c>
    </row>
    <row r="4103" s="32" customFormat="1" hidden="1" customHeight="1" spans="1:24">
      <c r="A4103" s="34"/>
      <c r="B4103" s="51"/>
      <c r="C4103" s="51"/>
      <c r="D4103" s="52"/>
      <c r="E4103" s="53"/>
      <c r="F4103" s="54"/>
      <c r="G4103" s="54"/>
      <c r="H4103" s="54"/>
      <c r="I4103" s="66"/>
      <c r="J4103" s="54"/>
      <c r="K4103" s="54"/>
      <c r="L4103" s="54"/>
      <c r="M4103" s="97" t="str">
        <f t="shared" si="342"/>
        <v/>
      </c>
      <c r="N4103" s="70"/>
      <c r="O4103" s="71" t="str">
        <f t="shared" si="346"/>
        <v/>
      </c>
      <c r="P4103" s="66"/>
      <c r="Q4103" s="66"/>
      <c r="R4103" s="54"/>
      <c r="S4103" s="82"/>
      <c r="T4103" s="83" t="str">
        <f t="shared" si="343"/>
        <v/>
      </c>
      <c r="U4103" s="10"/>
      <c r="V4103" s="41">
        <f>IF(AND(Q4103&lt;&gt;"",RIGHT(Q4103,3)&lt;&gt;""),IF(COUNTIF($Q$6:Q4103,Q4103)=1,1,0),0)</f>
        <v>0</v>
      </c>
      <c r="W4103" s="41" t="str">
        <f t="shared" si="344"/>
        <v/>
      </c>
      <c r="X4103" s="41" t="str">
        <f t="shared" si="345"/>
        <v/>
      </c>
    </row>
    <row r="4104" s="32" customFormat="1" hidden="1" customHeight="1" spans="1:24">
      <c r="A4104" s="34"/>
      <c r="B4104" s="51"/>
      <c r="C4104" s="51"/>
      <c r="D4104" s="52"/>
      <c r="E4104" s="53"/>
      <c r="F4104" s="54"/>
      <c r="G4104" s="54"/>
      <c r="H4104" s="54"/>
      <c r="I4104" s="66"/>
      <c r="J4104" s="54"/>
      <c r="K4104" s="54"/>
      <c r="L4104" s="54"/>
      <c r="M4104" s="97" t="str">
        <f t="shared" si="342"/>
        <v/>
      </c>
      <c r="N4104" s="70"/>
      <c r="O4104" s="71" t="str">
        <f t="shared" si="346"/>
        <v/>
      </c>
      <c r="P4104" s="66"/>
      <c r="Q4104" s="66"/>
      <c r="R4104" s="54"/>
      <c r="S4104" s="82"/>
      <c r="T4104" s="83" t="str">
        <f t="shared" si="343"/>
        <v/>
      </c>
      <c r="U4104" s="10"/>
      <c r="V4104" s="41">
        <f>IF(AND(Q4104&lt;&gt;"",RIGHT(Q4104,3)&lt;&gt;""),IF(COUNTIF($Q$6:Q4104,Q4104)=1,1,0),0)</f>
        <v>0</v>
      </c>
      <c r="W4104" s="41" t="str">
        <f t="shared" si="344"/>
        <v/>
      </c>
      <c r="X4104" s="41" t="str">
        <f t="shared" si="345"/>
        <v/>
      </c>
    </row>
    <row r="4105" s="32" customFormat="1" hidden="1" customHeight="1" spans="1:24">
      <c r="A4105" s="34"/>
      <c r="B4105" s="51"/>
      <c r="C4105" s="51"/>
      <c r="D4105" s="52"/>
      <c r="E4105" s="53"/>
      <c r="F4105" s="54"/>
      <c r="G4105" s="54"/>
      <c r="H4105" s="54"/>
      <c r="I4105" s="66"/>
      <c r="J4105" s="54"/>
      <c r="K4105" s="54"/>
      <c r="L4105" s="54"/>
      <c r="M4105" s="97" t="str">
        <f t="shared" si="342"/>
        <v/>
      </c>
      <c r="N4105" s="70"/>
      <c r="O4105" s="71" t="str">
        <f t="shared" si="346"/>
        <v/>
      </c>
      <c r="P4105" s="66"/>
      <c r="Q4105" s="66"/>
      <c r="R4105" s="54"/>
      <c r="S4105" s="82"/>
      <c r="T4105" s="83" t="str">
        <f t="shared" si="343"/>
        <v/>
      </c>
      <c r="U4105" s="10"/>
      <c r="V4105" s="41">
        <f>IF(AND(Q4105&lt;&gt;"",RIGHT(Q4105,3)&lt;&gt;""),IF(COUNTIF($Q$6:Q4105,Q4105)=1,1,0),0)</f>
        <v>0</v>
      </c>
      <c r="W4105" s="41" t="str">
        <f t="shared" si="344"/>
        <v/>
      </c>
      <c r="X4105" s="41" t="str">
        <f t="shared" si="345"/>
        <v/>
      </c>
    </row>
    <row r="4106" s="32" customFormat="1" hidden="1" customHeight="1" spans="1:24">
      <c r="A4106" s="34"/>
      <c r="B4106" s="51"/>
      <c r="C4106" s="51"/>
      <c r="D4106" s="52"/>
      <c r="E4106" s="53"/>
      <c r="F4106" s="54"/>
      <c r="G4106" s="54"/>
      <c r="H4106" s="54"/>
      <c r="I4106" s="66"/>
      <c r="J4106" s="54"/>
      <c r="K4106" s="54"/>
      <c r="L4106" s="54"/>
      <c r="M4106" s="97" t="str">
        <f t="shared" si="342"/>
        <v/>
      </c>
      <c r="N4106" s="70"/>
      <c r="O4106" s="71" t="str">
        <f t="shared" si="346"/>
        <v/>
      </c>
      <c r="P4106" s="66"/>
      <c r="Q4106" s="66"/>
      <c r="R4106" s="54"/>
      <c r="S4106" s="82"/>
      <c r="T4106" s="83" t="str">
        <f t="shared" si="343"/>
        <v/>
      </c>
      <c r="U4106" s="10"/>
      <c r="V4106" s="41">
        <f>IF(AND(Q4106&lt;&gt;"",RIGHT(Q4106,3)&lt;&gt;""),IF(COUNTIF($Q$6:Q4106,Q4106)=1,1,0),0)</f>
        <v>0</v>
      </c>
      <c r="W4106" s="41" t="str">
        <f t="shared" si="344"/>
        <v/>
      </c>
      <c r="X4106" s="41" t="str">
        <f t="shared" si="345"/>
        <v/>
      </c>
    </row>
    <row r="4107" s="32" customFormat="1" hidden="1" customHeight="1" spans="1:24">
      <c r="A4107" s="34"/>
      <c r="B4107" s="51"/>
      <c r="C4107" s="51"/>
      <c r="D4107" s="52"/>
      <c r="E4107" s="53"/>
      <c r="F4107" s="54"/>
      <c r="G4107" s="54"/>
      <c r="H4107" s="54"/>
      <c r="I4107" s="66"/>
      <c r="J4107" s="54"/>
      <c r="K4107" s="54"/>
      <c r="L4107" s="54"/>
      <c r="M4107" s="97" t="str">
        <f t="shared" si="342"/>
        <v/>
      </c>
      <c r="N4107" s="70"/>
      <c r="O4107" s="71" t="str">
        <f t="shared" si="346"/>
        <v/>
      </c>
      <c r="P4107" s="66"/>
      <c r="Q4107" s="66"/>
      <c r="R4107" s="54"/>
      <c r="S4107" s="82"/>
      <c r="T4107" s="83" t="str">
        <f t="shared" si="343"/>
        <v/>
      </c>
      <c r="U4107" s="10"/>
      <c r="V4107" s="41">
        <f>IF(AND(Q4107&lt;&gt;"",RIGHT(Q4107,3)&lt;&gt;""),IF(COUNTIF($Q$6:Q4107,Q4107)=1,1,0),0)</f>
        <v>0</v>
      </c>
      <c r="W4107" s="41" t="str">
        <f t="shared" si="344"/>
        <v/>
      </c>
      <c r="X4107" s="41" t="str">
        <f t="shared" si="345"/>
        <v/>
      </c>
    </row>
    <row r="4108" s="32" customFormat="1" hidden="1" customHeight="1" spans="1:24">
      <c r="A4108" s="34"/>
      <c r="B4108" s="51"/>
      <c r="C4108" s="51"/>
      <c r="D4108" s="52"/>
      <c r="E4108" s="53"/>
      <c r="F4108" s="54"/>
      <c r="G4108" s="54"/>
      <c r="H4108" s="54"/>
      <c r="I4108" s="66"/>
      <c r="J4108" s="54"/>
      <c r="K4108" s="54"/>
      <c r="L4108" s="54"/>
      <c r="M4108" s="97" t="str">
        <f t="shared" si="342"/>
        <v/>
      </c>
      <c r="N4108" s="70"/>
      <c r="O4108" s="71" t="str">
        <f t="shared" si="346"/>
        <v/>
      </c>
      <c r="P4108" s="66"/>
      <c r="Q4108" s="66"/>
      <c r="R4108" s="54"/>
      <c r="S4108" s="82"/>
      <c r="T4108" s="83" t="str">
        <f t="shared" si="343"/>
        <v/>
      </c>
      <c r="U4108" s="10"/>
      <c r="V4108" s="41">
        <f>IF(AND(Q4108&lt;&gt;"",RIGHT(Q4108,3)&lt;&gt;""),IF(COUNTIF($Q$6:Q4108,Q4108)=1,1,0),0)</f>
        <v>0</v>
      </c>
      <c r="W4108" s="41" t="str">
        <f t="shared" si="344"/>
        <v/>
      </c>
      <c r="X4108" s="41" t="str">
        <f t="shared" si="345"/>
        <v/>
      </c>
    </row>
    <row r="4109" s="32" customFormat="1" hidden="1" customHeight="1" spans="1:24">
      <c r="A4109" s="34"/>
      <c r="B4109" s="51"/>
      <c r="C4109" s="51"/>
      <c r="D4109" s="52"/>
      <c r="E4109" s="53"/>
      <c r="F4109" s="54"/>
      <c r="G4109" s="54"/>
      <c r="H4109" s="54"/>
      <c r="I4109" s="66"/>
      <c r="J4109" s="54"/>
      <c r="K4109" s="54"/>
      <c r="L4109" s="54"/>
      <c r="M4109" s="97" t="str">
        <f t="shared" si="342"/>
        <v/>
      </c>
      <c r="N4109" s="70"/>
      <c r="O4109" s="71" t="str">
        <f t="shared" si="346"/>
        <v/>
      </c>
      <c r="P4109" s="66"/>
      <c r="Q4109" s="66"/>
      <c r="R4109" s="54"/>
      <c r="S4109" s="82"/>
      <c r="T4109" s="83" t="str">
        <f t="shared" si="343"/>
        <v/>
      </c>
      <c r="U4109" s="10"/>
      <c r="V4109" s="41">
        <f>IF(AND(Q4109&lt;&gt;"",RIGHT(Q4109,3)&lt;&gt;""),IF(COUNTIF($Q$6:Q4109,Q4109)=1,1,0),0)</f>
        <v>0</v>
      </c>
      <c r="W4109" s="41" t="str">
        <f t="shared" si="344"/>
        <v/>
      </c>
      <c r="X4109" s="41" t="str">
        <f t="shared" si="345"/>
        <v/>
      </c>
    </row>
    <row r="4110" s="32" customFormat="1" hidden="1" customHeight="1" spans="1:24">
      <c r="A4110" s="34"/>
      <c r="B4110" s="51"/>
      <c r="C4110" s="51"/>
      <c r="D4110" s="52"/>
      <c r="E4110" s="53"/>
      <c r="F4110" s="54"/>
      <c r="G4110" s="54"/>
      <c r="H4110" s="54"/>
      <c r="I4110" s="66"/>
      <c r="J4110" s="54"/>
      <c r="K4110" s="54"/>
      <c r="L4110" s="54"/>
      <c r="M4110" s="97" t="str">
        <f t="shared" si="342"/>
        <v/>
      </c>
      <c r="N4110" s="70"/>
      <c r="O4110" s="71" t="str">
        <f t="shared" si="346"/>
        <v/>
      </c>
      <c r="P4110" s="66"/>
      <c r="Q4110" s="66"/>
      <c r="R4110" s="54"/>
      <c r="S4110" s="82"/>
      <c r="T4110" s="83" t="str">
        <f t="shared" si="343"/>
        <v/>
      </c>
      <c r="U4110" s="10"/>
      <c r="V4110" s="41">
        <f>IF(AND(Q4110&lt;&gt;"",RIGHT(Q4110,3)&lt;&gt;""),IF(COUNTIF($Q$6:Q4110,Q4110)=1,1,0),0)</f>
        <v>0</v>
      </c>
      <c r="W4110" s="41" t="str">
        <f t="shared" si="344"/>
        <v/>
      </c>
      <c r="X4110" s="41" t="str">
        <f t="shared" si="345"/>
        <v/>
      </c>
    </row>
    <row r="4111" s="32" customFormat="1" hidden="1" customHeight="1" spans="1:24">
      <c r="A4111" s="34"/>
      <c r="B4111" s="51"/>
      <c r="C4111" s="51"/>
      <c r="D4111" s="52"/>
      <c r="E4111" s="53"/>
      <c r="F4111" s="54"/>
      <c r="G4111" s="54"/>
      <c r="H4111" s="54"/>
      <c r="I4111" s="66"/>
      <c r="J4111" s="54"/>
      <c r="K4111" s="54"/>
      <c r="L4111" s="54"/>
      <c r="M4111" s="97" t="str">
        <f t="shared" si="342"/>
        <v/>
      </c>
      <c r="N4111" s="70"/>
      <c r="O4111" s="71" t="str">
        <f t="shared" si="346"/>
        <v/>
      </c>
      <c r="P4111" s="66"/>
      <c r="Q4111" s="66"/>
      <c r="R4111" s="54"/>
      <c r="S4111" s="82"/>
      <c r="T4111" s="83" t="str">
        <f t="shared" si="343"/>
        <v/>
      </c>
      <c r="U4111" s="10"/>
      <c r="V4111" s="41">
        <f>IF(AND(Q4111&lt;&gt;"",RIGHT(Q4111,3)&lt;&gt;""),IF(COUNTIF($Q$6:Q4111,Q4111)=1,1,0),0)</f>
        <v>0</v>
      </c>
      <c r="W4111" s="41" t="str">
        <f t="shared" si="344"/>
        <v/>
      </c>
      <c r="X4111" s="41" t="str">
        <f t="shared" si="345"/>
        <v/>
      </c>
    </row>
    <row r="4112" s="32" customFormat="1" hidden="1" customHeight="1" spans="1:24">
      <c r="A4112" s="34"/>
      <c r="B4112" s="51"/>
      <c r="C4112" s="51"/>
      <c r="D4112" s="52"/>
      <c r="E4112" s="53"/>
      <c r="F4112" s="54"/>
      <c r="G4112" s="54"/>
      <c r="H4112" s="54"/>
      <c r="I4112" s="66"/>
      <c r="J4112" s="54"/>
      <c r="K4112" s="54"/>
      <c r="L4112" s="54"/>
      <c r="M4112" s="97" t="str">
        <f t="shared" si="342"/>
        <v/>
      </c>
      <c r="N4112" s="70"/>
      <c r="O4112" s="71" t="str">
        <f t="shared" si="346"/>
        <v/>
      </c>
      <c r="P4112" s="66"/>
      <c r="Q4112" s="66"/>
      <c r="R4112" s="54"/>
      <c r="S4112" s="82"/>
      <c r="T4112" s="83" t="str">
        <f t="shared" si="343"/>
        <v/>
      </c>
      <c r="U4112" s="10"/>
      <c r="V4112" s="41">
        <f>IF(AND(Q4112&lt;&gt;"",RIGHT(Q4112,3)&lt;&gt;""),IF(COUNTIF($Q$6:Q4112,Q4112)=1,1,0),0)</f>
        <v>0</v>
      </c>
      <c r="W4112" s="41" t="str">
        <f t="shared" si="344"/>
        <v/>
      </c>
      <c r="X4112" s="41" t="str">
        <f t="shared" si="345"/>
        <v/>
      </c>
    </row>
    <row r="4113" s="32" customFormat="1" hidden="1" customHeight="1" spans="1:24">
      <c r="A4113" s="34"/>
      <c r="B4113" s="51"/>
      <c r="C4113" s="51"/>
      <c r="D4113" s="52"/>
      <c r="E4113" s="53"/>
      <c r="F4113" s="54"/>
      <c r="G4113" s="54"/>
      <c r="H4113" s="54"/>
      <c r="I4113" s="66"/>
      <c r="J4113" s="54"/>
      <c r="K4113" s="54"/>
      <c r="L4113" s="54"/>
      <c r="M4113" s="97" t="str">
        <f t="shared" si="342"/>
        <v/>
      </c>
      <c r="N4113" s="70"/>
      <c r="O4113" s="71" t="str">
        <f t="shared" si="346"/>
        <v/>
      </c>
      <c r="P4113" s="66"/>
      <c r="Q4113" s="66"/>
      <c r="R4113" s="54"/>
      <c r="S4113" s="82"/>
      <c r="T4113" s="83" t="str">
        <f t="shared" si="343"/>
        <v/>
      </c>
      <c r="U4113" s="10"/>
      <c r="V4113" s="41">
        <f>IF(AND(Q4113&lt;&gt;"",RIGHT(Q4113,3)&lt;&gt;""),IF(COUNTIF($Q$6:Q4113,Q4113)=1,1,0),0)</f>
        <v>0</v>
      </c>
      <c r="W4113" s="41" t="str">
        <f t="shared" si="344"/>
        <v/>
      </c>
      <c r="X4113" s="41" t="str">
        <f t="shared" si="345"/>
        <v/>
      </c>
    </row>
    <row r="4114" s="32" customFormat="1" hidden="1" customHeight="1" spans="1:24">
      <c r="A4114" s="34"/>
      <c r="B4114" s="51"/>
      <c r="C4114" s="51"/>
      <c r="D4114" s="52"/>
      <c r="E4114" s="53"/>
      <c r="F4114" s="54"/>
      <c r="G4114" s="54"/>
      <c r="H4114" s="54"/>
      <c r="I4114" s="66"/>
      <c r="J4114" s="54"/>
      <c r="K4114" s="54"/>
      <c r="L4114" s="54"/>
      <c r="M4114" s="97" t="str">
        <f t="shared" si="342"/>
        <v/>
      </c>
      <c r="N4114" s="70"/>
      <c r="O4114" s="71" t="str">
        <f t="shared" si="346"/>
        <v/>
      </c>
      <c r="P4114" s="66"/>
      <c r="Q4114" s="66"/>
      <c r="R4114" s="54"/>
      <c r="S4114" s="82"/>
      <c r="T4114" s="83" t="str">
        <f t="shared" si="343"/>
        <v/>
      </c>
      <c r="U4114" s="10"/>
      <c r="V4114" s="41">
        <f>IF(AND(Q4114&lt;&gt;"",RIGHT(Q4114,3)&lt;&gt;""),IF(COUNTIF($Q$6:Q4114,Q4114)=1,1,0),0)</f>
        <v>0</v>
      </c>
      <c r="W4114" s="41" t="str">
        <f t="shared" si="344"/>
        <v/>
      </c>
      <c r="X4114" s="41" t="str">
        <f t="shared" si="345"/>
        <v/>
      </c>
    </row>
    <row r="4115" s="32" customFormat="1" hidden="1" customHeight="1" spans="1:24">
      <c r="A4115" s="34"/>
      <c r="B4115" s="51"/>
      <c r="C4115" s="51"/>
      <c r="D4115" s="52"/>
      <c r="E4115" s="53"/>
      <c r="F4115" s="54"/>
      <c r="G4115" s="54"/>
      <c r="H4115" s="54"/>
      <c r="I4115" s="66"/>
      <c r="J4115" s="54"/>
      <c r="K4115" s="54"/>
      <c r="L4115" s="54"/>
      <c r="M4115" s="97" t="str">
        <f t="shared" si="342"/>
        <v/>
      </c>
      <c r="N4115" s="70"/>
      <c r="O4115" s="71" t="str">
        <f t="shared" si="346"/>
        <v/>
      </c>
      <c r="P4115" s="66"/>
      <c r="Q4115" s="66"/>
      <c r="R4115" s="54"/>
      <c r="S4115" s="82"/>
      <c r="T4115" s="83" t="str">
        <f t="shared" si="343"/>
        <v/>
      </c>
      <c r="U4115" s="10"/>
      <c r="V4115" s="41">
        <f>IF(AND(Q4115&lt;&gt;"",RIGHT(Q4115,3)&lt;&gt;""),IF(COUNTIF($Q$6:Q4115,Q4115)=1,1,0),0)</f>
        <v>0</v>
      </c>
      <c r="W4115" s="41" t="str">
        <f t="shared" si="344"/>
        <v/>
      </c>
      <c r="X4115" s="41" t="str">
        <f t="shared" si="345"/>
        <v/>
      </c>
    </row>
    <row r="4116" s="32" customFormat="1" hidden="1" customHeight="1" spans="1:24">
      <c r="A4116" s="34"/>
      <c r="B4116" s="51"/>
      <c r="C4116" s="51"/>
      <c r="D4116" s="52"/>
      <c r="E4116" s="53"/>
      <c r="F4116" s="54"/>
      <c r="G4116" s="54"/>
      <c r="H4116" s="54"/>
      <c r="I4116" s="66"/>
      <c r="J4116" s="54"/>
      <c r="K4116" s="54"/>
      <c r="L4116" s="54"/>
      <c r="M4116" s="97" t="str">
        <f t="shared" si="342"/>
        <v/>
      </c>
      <c r="N4116" s="70"/>
      <c r="O4116" s="71" t="str">
        <f t="shared" si="346"/>
        <v/>
      </c>
      <c r="P4116" s="66"/>
      <c r="Q4116" s="66"/>
      <c r="R4116" s="54"/>
      <c r="S4116" s="82"/>
      <c r="T4116" s="83" t="str">
        <f t="shared" si="343"/>
        <v/>
      </c>
      <c r="U4116" s="10"/>
      <c r="V4116" s="41">
        <f>IF(AND(Q4116&lt;&gt;"",RIGHT(Q4116,3)&lt;&gt;""),IF(COUNTIF($Q$6:Q4116,Q4116)=1,1,0),0)</f>
        <v>0</v>
      </c>
      <c r="W4116" s="41" t="str">
        <f t="shared" si="344"/>
        <v/>
      </c>
      <c r="X4116" s="41" t="str">
        <f t="shared" si="345"/>
        <v/>
      </c>
    </row>
    <row r="4117" s="32" customFormat="1" hidden="1" customHeight="1" spans="1:24">
      <c r="A4117" s="34"/>
      <c r="B4117" s="51"/>
      <c r="C4117" s="51"/>
      <c r="D4117" s="52"/>
      <c r="E4117" s="53"/>
      <c r="F4117" s="54"/>
      <c r="G4117" s="54"/>
      <c r="H4117" s="54"/>
      <c r="I4117" s="66"/>
      <c r="J4117" s="54"/>
      <c r="K4117" s="54"/>
      <c r="L4117" s="54"/>
      <c r="M4117" s="97" t="str">
        <f t="shared" si="342"/>
        <v/>
      </c>
      <c r="N4117" s="70"/>
      <c r="O4117" s="71" t="str">
        <f t="shared" si="346"/>
        <v/>
      </c>
      <c r="P4117" s="66"/>
      <c r="Q4117" s="66"/>
      <c r="R4117" s="54"/>
      <c r="S4117" s="82"/>
      <c r="T4117" s="83" t="str">
        <f t="shared" si="343"/>
        <v/>
      </c>
      <c r="U4117" s="10"/>
      <c r="V4117" s="41">
        <f>IF(AND(Q4117&lt;&gt;"",RIGHT(Q4117,3)&lt;&gt;""),IF(COUNTIF($Q$6:Q4117,Q4117)=1,1,0),0)</f>
        <v>0</v>
      </c>
      <c r="W4117" s="41" t="str">
        <f t="shared" si="344"/>
        <v/>
      </c>
      <c r="X4117" s="41" t="str">
        <f t="shared" si="345"/>
        <v/>
      </c>
    </row>
    <row r="4118" s="32" customFormat="1" hidden="1" customHeight="1" spans="1:24">
      <c r="A4118" s="34"/>
      <c r="B4118" s="51"/>
      <c r="C4118" s="51"/>
      <c r="D4118" s="52"/>
      <c r="E4118" s="53"/>
      <c r="F4118" s="54"/>
      <c r="G4118" s="54"/>
      <c r="H4118" s="54"/>
      <c r="I4118" s="66"/>
      <c r="J4118" s="54"/>
      <c r="K4118" s="54"/>
      <c r="L4118" s="54"/>
      <c r="M4118" s="97" t="str">
        <f t="shared" si="342"/>
        <v/>
      </c>
      <c r="N4118" s="70"/>
      <c r="O4118" s="71" t="str">
        <f t="shared" si="346"/>
        <v/>
      </c>
      <c r="P4118" s="66"/>
      <c r="Q4118" s="66"/>
      <c r="R4118" s="54"/>
      <c r="S4118" s="82"/>
      <c r="T4118" s="83" t="str">
        <f t="shared" si="343"/>
        <v/>
      </c>
      <c r="U4118" s="10"/>
      <c r="V4118" s="41">
        <f>IF(AND(Q4118&lt;&gt;"",RIGHT(Q4118,3)&lt;&gt;""),IF(COUNTIF($Q$6:Q4118,Q4118)=1,1,0),0)</f>
        <v>0</v>
      </c>
      <c r="W4118" s="41" t="str">
        <f t="shared" si="344"/>
        <v/>
      </c>
      <c r="X4118" s="41" t="str">
        <f t="shared" si="345"/>
        <v/>
      </c>
    </row>
    <row r="4119" s="32" customFormat="1" hidden="1" customHeight="1" spans="1:24">
      <c r="A4119" s="34"/>
      <c r="B4119" s="51"/>
      <c r="C4119" s="51"/>
      <c r="D4119" s="52"/>
      <c r="E4119" s="53"/>
      <c r="F4119" s="54"/>
      <c r="G4119" s="54"/>
      <c r="H4119" s="54"/>
      <c r="I4119" s="66"/>
      <c r="J4119" s="54"/>
      <c r="K4119" s="54"/>
      <c r="L4119" s="54"/>
      <c r="M4119" s="97" t="str">
        <f t="shared" si="342"/>
        <v/>
      </c>
      <c r="N4119" s="70"/>
      <c r="O4119" s="71" t="str">
        <f t="shared" si="346"/>
        <v/>
      </c>
      <c r="P4119" s="66"/>
      <c r="Q4119" s="66"/>
      <c r="R4119" s="54"/>
      <c r="S4119" s="82"/>
      <c r="T4119" s="83" t="str">
        <f t="shared" si="343"/>
        <v/>
      </c>
      <c r="U4119" s="10"/>
      <c r="V4119" s="41">
        <f>IF(AND(Q4119&lt;&gt;"",RIGHT(Q4119,3)&lt;&gt;""),IF(COUNTIF($Q$6:Q4119,Q4119)=1,1,0),0)</f>
        <v>0</v>
      </c>
      <c r="W4119" s="41" t="str">
        <f t="shared" si="344"/>
        <v/>
      </c>
      <c r="X4119" s="41" t="str">
        <f t="shared" si="345"/>
        <v/>
      </c>
    </row>
    <row r="4120" s="32" customFormat="1" hidden="1" customHeight="1" spans="1:24">
      <c r="A4120" s="34"/>
      <c r="B4120" s="51"/>
      <c r="C4120" s="51"/>
      <c r="D4120" s="52"/>
      <c r="E4120" s="53"/>
      <c r="F4120" s="54"/>
      <c r="G4120" s="54"/>
      <c r="H4120" s="54"/>
      <c r="I4120" s="66"/>
      <c r="J4120" s="54"/>
      <c r="K4120" s="54"/>
      <c r="L4120" s="54"/>
      <c r="M4120" s="97" t="str">
        <f t="shared" si="342"/>
        <v/>
      </c>
      <c r="N4120" s="70"/>
      <c r="O4120" s="71" t="str">
        <f t="shared" si="346"/>
        <v/>
      </c>
      <c r="P4120" s="66"/>
      <c r="Q4120" s="66"/>
      <c r="R4120" s="54"/>
      <c r="S4120" s="82"/>
      <c r="T4120" s="83" t="str">
        <f t="shared" si="343"/>
        <v/>
      </c>
      <c r="U4120" s="10"/>
      <c r="V4120" s="41">
        <f>IF(AND(Q4120&lt;&gt;"",RIGHT(Q4120,3)&lt;&gt;""),IF(COUNTIF($Q$6:Q4120,Q4120)=1,1,0),0)</f>
        <v>0</v>
      </c>
      <c r="W4120" s="41" t="str">
        <f t="shared" si="344"/>
        <v/>
      </c>
      <c r="X4120" s="41" t="str">
        <f t="shared" si="345"/>
        <v/>
      </c>
    </row>
    <row r="4121" s="32" customFormat="1" hidden="1" customHeight="1" spans="1:24">
      <c r="A4121" s="34"/>
      <c r="B4121" s="51"/>
      <c r="C4121" s="51"/>
      <c r="D4121" s="52"/>
      <c r="E4121" s="53"/>
      <c r="F4121" s="54"/>
      <c r="G4121" s="54"/>
      <c r="H4121" s="54"/>
      <c r="I4121" s="66"/>
      <c r="J4121" s="54"/>
      <c r="K4121" s="54"/>
      <c r="L4121" s="54"/>
      <c r="M4121" s="97" t="str">
        <f t="shared" si="342"/>
        <v/>
      </c>
      <c r="N4121" s="70"/>
      <c r="O4121" s="71" t="str">
        <f t="shared" si="346"/>
        <v/>
      </c>
      <c r="P4121" s="66"/>
      <c r="Q4121" s="66"/>
      <c r="R4121" s="54"/>
      <c r="S4121" s="82"/>
      <c r="T4121" s="83" t="str">
        <f t="shared" si="343"/>
        <v/>
      </c>
      <c r="U4121" s="10"/>
      <c r="V4121" s="41">
        <f>IF(AND(Q4121&lt;&gt;"",RIGHT(Q4121,3)&lt;&gt;""),IF(COUNTIF($Q$6:Q4121,Q4121)=1,1,0),0)</f>
        <v>0</v>
      </c>
      <c r="W4121" s="41" t="str">
        <f t="shared" si="344"/>
        <v/>
      </c>
      <c r="X4121" s="41" t="str">
        <f t="shared" si="345"/>
        <v/>
      </c>
    </row>
    <row r="4122" s="32" customFormat="1" hidden="1" customHeight="1" spans="1:24">
      <c r="A4122" s="34"/>
      <c r="B4122" s="51"/>
      <c r="C4122" s="51"/>
      <c r="D4122" s="52"/>
      <c r="E4122" s="53"/>
      <c r="F4122" s="54"/>
      <c r="G4122" s="54"/>
      <c r="H4122" s="54"/>
      <c r="I4122" s="66"/>
      <c r="J4122" s="54"/>
      <c r="K4122" s="54"/>
      <c r="L4122" s="54"/>
      <c r="M4122" s="97" t="str">
        <f t="shared" si="342"/>
        <v/>
      </c>
      <c r="N4122" s="70"/>
      <c r="O4122" s="71" t="str">
        <f t="shared" si="346"/>
        <v/>
      </c>
      <c r="P4122" s="66"/>
      <c r="Q4122" s="66"/>
      <c r="R4122" s="54"/>
      <c r="S4122" s="82"/>
      <c r="T4122" s="83" t="str">
        <f t="shared" si="343"/>
        <v/>
      </c>
      <c r="U4122" s="10"/>
      <c r="V4122" s="41">
        <f>IF(AND(Q4122&lt;&gt;"",RIGHT(Q4122,3)&lt;&gt;""),IF(COUNTIF($Q$6:Q4122,Q4122)=1,1,0),0)</f>
        <v>0</v>
      </c>
      <c r="W4122" s="41" t="str">
        <f t="shared" si="344"/>
        <v/>
      </c>
      <c r="X4122" s="41" t="str">
        <f t="shared" si="345"/>
        <v/>
      </c>
    </row>
    <row r="4123" s="32" customFormat="1" hidden="1" customHeight="1" spans="1:24">
      <c r="A4123" s="34"/>
      <c r="B4123" s="51"/>
      <c r="C4123" s="51"/>
      <c r="D4123" s="52"/>
      <c r="E4123" s="53"/>
      <c r="F4123" s="54"/>
      <c r="G4123" s="54"/>
      <c r="H4123" s="54"/>
      <c r="I4123" s="66"/>
      <c r="J4123" s="54"/>
      <c r="K4123" s="54"/>
      <c r="L4123" s="54"/>
      <c r="M4123" s="97" t="str">
        <f t="shared" si="342"/>
        <v/>
      </c>
      <c r="N4123" s="70"/>
      <c r="O4123" s="71" t="str">
        <f t="shared" si="346"/>
        <v/>
      </c>
      <c r="P4123" s="66"/>
      <c r="Q4123" s="66"/>
      <c r="R4123" s="54"/>
      <c r="S4123" s="82"/>
      <c r="T4123" s="83" t="str">
        <f t="shared" si="343"/>
        <v/>
      </c>
      <c r="U4123" s="10"/>
      <c r="V4123" s="41">
        <f>IF(AND(Q4123&lt;&gt;"",RIGHT(Q4123,3)&lt;&gt;""),IF(COUNTIF($Q$6:Q4123,Q4123)=1,1,0),0)</f>
        <v>0</v>
      </c>
      <c r="W4123" s="41" t="str">
        <f t="shared" si="344"/>
        <v/>
      </c>
      <c r="X4123" s="41" t="str">
        <f t="shared" si="345"/>
        <v/>
      </c>
    </row>
    <row r="4124" s="32" customFormat="1" hidden="1" customHeight="1" spans="1:24">
      <c r="A4124" s="34"/>
      <c r="B4124" s="51"/>
      <c r="C4124" s="51"/>
      <c r="D4124" s="52"/>
      <c r="E4124" s="53"/>
      <c r="F4124" s="54"/>
      <c r="G4124" s="54"/>
      <c r="H4124" s="54"/>
      <c r="I4124" s="66"/>
      <c r="J4124" s="54"/>
      <c r="K4124" s="54"/>
      <c r="L4124" s="54"/>
      <c r="M4124" s="97" t="str">
        <f t="shared" si="342"/>
        <v/>
      </c>
      <c r="N4124" s="70"/>
      <c r="O4124" s="71" t="str">
        <f t="shared" si="346"/>
        <v/>
      </c>
      <c r="P4124" s="66"/>
      <c r="Q4124" s="66"/>
      <c r="R4124" s="54"/>
      <c r="S4124" s="82"/>
      <c r="T4124" s="83" t="str">
        <f t="shared" si="343"/>
        <v/>
      </c>
      <c r="U4124" s="10"/>
      <c r="V4124" s="41">
        <f>IF(AND(Q4124&lt;&gt;"",RIGHT(Q4124,3)&lt;&gt;""),IF(COUNTIF($Q$6:Q4124,Q4124)=1,1,0),0)</f>
        <v>0</v>
      </c>
      <c r="W4124" s="41" t="str">
        <f t="shared" si="344"/>
        <v/>
      </c>
      <c r="X4124" s="41" t="str">
        <f t="shared" si="345"/>
        <v/>
      </c>
    </row>
    <row r="4125" s="32" customFormat="1" hidden="1" customHeight="1" spans="1:24">
      <c r="A4125" s="34"/>
      <c r="B4125" s="51"/>
      <c r="C4125" s="51"/>
      <c r="D4125" s="52"/>
      <c r="E4125" s="53"/>
      <c r="F4125" s="54"/>
      <c r="G4125" s="54"/>
      <c r="H4125" s="54"/>
      <c r="I4125" s="66"/>
      <c r="J4125" s="54"/>
      <c r="K4125" s="54"/>
      <c r="L4125" s="54"/>
      <c r="M4125" s="97" t="str">
        <f t="shared" si="342"/>
        <v/>
      </c>
      <c r="N4125" s="70"/>
      <c r="O4125" s="71" t="str">
        <f t="shared" si="346"/>
        <v/>
      </c>
      <c r="P4125" s="66"/>
      <c r="Q4125" s="66"/>
      <c r="R4125" s="54"/>
      <c r="S4125" s="82"/>
      <c r="T4125" s="83" t="str">
        <f t="shared" si="343"/>
        <v/>
      </c>
      <c r="U4125" s="10"/>
      <c r="V4125" s="41">
        <f>IF(AND(Q4125&lt;&gt;"",RIGHT(Q4125,3)&lt;&gt;""),IF(COUNTIF($Q$6:Q4125,Q4125)=1,1,0),0)</f>
        <v>0</v>
      </c>
      <c r="W4125" s="41" t="str">
        <f t="shared" si="344"/>
        <v/>
      </c>
      <c r="X4125" s="41" t="str">
        <f t="shared" si="345"/>
        <v/>
      </c>
    </row>
    <row r="4126" s="32" customFormat="1" hidden="1" customHeight="1" spans="1:24">
      <c r="A4126" s="34"/>
      <c r="B4126" s="51"/>
      <c r="C4126" s="51"/>
      <c r="D4126" s="52"/>
      <c r="E4126" s="53"/>
      <c r="F4126" s="54"/>
      <c r="G4126" s="54"/>
      <c r="H4126" s="54"/>
      <c r="I4126" s="66"/>
      <c r="J4126" s="54"/>
      <c r="K4126" s="54"/>
      <c r="L4126" s="54"/>
      <c r="M4126" s="97" t="str">
        <f t="shared" si="342"/>
        <v/>
      </c>
      <c r="N4126" s="70"/>
      <c r="O4126" s="71" t="str">
        <f t="shared" si="346"/>
        <v/>
      </c>
      <c r="P4126" s="66"/>
      <c r="Q4126" s="66"/>
      <c r="R4126" s="54"/>
      <c r="S4126" s="82"/>
      <c r="T4126" s="83" t="str">
        <f t="shared" si="343"/>
        <v/>
      </c>
      <c r="U4126" s="10"/>
      <c r="V4126" s="41">
        <f>IF(AND(Q4126&lt;&gt;"",RIGHT(Q4126,3)&lt;&gt;""),IF(COUNTIF($Q$6:Q4126,Q4126)=1,1,0),0)</f>
        <v>0</v>
      </c>
      <c r="W4126" s="41" t="str">
        <f t="shared" si="344"/>
        <v/>
      </c>
      <c r="X4126" s="41" t="str">
        <f t="shared" si="345"/>
        <v/>
      </c>
    </row>
    <row r="4127" s="32" customFormat="1" hidden="1" customHeight="1" spans="1:24">
      <c r="A4127" s="34"/>
      <c r="B4127" s="51"/>
      <c r="C4127" s="51"/>
      <c r="D4127" s="52"/>
      <c r="E4127" s="53"/>
      <c r="F4127" s="54"/>
      <c r="G4127" s="54"/>
      <c r="H4127" s="54"/>
      <c r="I4127" s="66"/>
      <c r="J4127" s="54"/>
      <c r="K4127" s="54"/>
      <c r="L4127" s="54"/>
      <c r="M4127" s="97" t="str">
        <f t="shared" si="342"/>
        <v/>
      </c>
      <c r="N4127" s="70"/>
      <c r="O4127" s="71" t="str">
        <f t="shared" si="346"/>
        <v/>
      </c>
      <c r="P4127" s="66"/>
      <c r="Q4127" s="66"/>
      <c r="R4127" s="54"/>
      <c r="S4127" s="82"/>
      <c r="T4127" s="83" t="str">
        <f t="shared" si="343"/>
        <v/>
      </c>
      <c r="U4127" s="10"/>
      <c r="V4127" s="41">
        <f>IF(AND(Q4127&lt;&gt;"",RIGHT(Q4127,3)&lt;&gt;""),IF(COUNTIF($Q$6:Q4127,Q4127)=1,1,0),0)</f>
        <v>0</v>
      </c>
      <c r="W4127" s="41" t="str">
        <f t="shared" si="344"/>
        <v/>
      </c>
      <c r="X4127" s="41" t="str">
        <f t="shared" si="345"/>
        <v/>
      </c>
    </row>
    <row r="4128" s="32" customFormat="1" hidden="1" customHeight="1" spans="1:24">
      <c r="A4128" s="34"/>
      <c r="B4128" s="51"/>
      <c r="C4128" s="51"/>
      <c r="D4128" s="52"/>
      <c r="E4128" s="53"/>
      <c r="F4128" s="54"/>
      <c r="G4128" s="54"/>
      <c r="H4128" s="54"/>
      <c r="I4128" s="66"/>
      <c r="J4128" s="54"/>
      <c r="K4128" s="54"/>
      <c r="L4128" s="54"/>
      <c r="M4128" s="97" t="str">
        <f t="shared" si="342"/>
        <v/>
      </c>
      <c r="N4128" s="70"/>
      <c r="O4128" s="71" t="str">
        <f t="shared" si="346"/>
        <v/>
      </c>
      <c r="P4128" s="66"/>
      <c r="Q4128" s="66"/>
      <c r="R4128" s="54"/>
      <c r="S4128" s="82"/>
      <c r="T4128" s="83" t="str">
        <f t="shared" si="343"/>
        <v/>
      </c>
      <c r="U4128" s="10"/>
      <c r="V4128" s="41">
        <f>IF(AND(Q4128&lt;&gt;"",RIGHT(Q4128,3)&lt;&gt;""),IF(COUNTIF($Q$6:Q4128,Q4128)=1,1,0),0)</f>
        <v>0</v>
      </c>
      <c r="W4128" s="41" t="str">
        <f t="shared" si="344"/>
        <v/>
      </c>
      <c r="X4128" s="41" t="str">
        <f t="shared" si="345"/>
        <v/>
      </c>
    </row>
    <row r="4129" s="32" customFormat="1" hidden="1" customHeight="1" spans="1:24">
      <c r="A4129" s="34"/>
      <c r="B4129" s="51"/>
      <c r="C4129" s="51"/>
      <c r="D4129" s="52"/>
      <c r="E4129" s="53"/>
      <c r="F4129" s="54"/>
      <c r="G4129" s="54"/>
      <c r="H4129" s="54"/>
      <c r="I4129" s="66"/>
      <c r="J4129" s="54"/>
      <c r="K4129" s="54"/>
      <c r="L4129" s="54"/>
      <c r="M4129" s="97" t="str">
        <f t="shared" si="342"/>
        <v/>
      </c>
      <c r="N4129" s="70"/>
      <c r="O4129" s="71" t="str">
        <f t="shared" si="346"/>
        <v/>
      </c>
      <c r="P4129" s="66"/>
      <c r="Q4129" s="66"/>
      <c r="R4129" s="54"/>
      <c r="S4129" s="82"/>
      <c r="T4129" s="83" t="str">
        <f t="shared" si="343"/>
        <v/>
      </c>
      <c r="U4129" s="10"/>
      <c r="V4129" s="41">
        <f>IF(AND(Q4129&lt;&gt;"",RIGHT(Q4129,3)&lt;&gt;""),IF(COUNTIF($Q$6:Q4129,Q4129)=1,1,0),0)</f>
        <v>0</v>
      </c>
      <c r="W4129" s="41" t="str">
        <f t="shared" si="344"/>
        <v/>
      </c>
      <c r="X4129" s="41" t="str">
        <f t="shared" si="345"/>
        <v/>
      </c>
    </row>
    <row r="4130" s="32" customFormat="1" hidden="1" customHeight="1" spans="1:24">
      <c r="A4130" s="34"/>
      <c r="B4130" s="51"/>
      <c r="C4130" s="51"/>
      <c r="D4130" s="52"/>
      <c r="E4130" s="53"/>
      <c r="F4130" s="54"/>
      <c r="G4130" s="54"/>
      <c r="H4130" s="54"/>
      <c r="I4130" s="66"/>
      <c r="J4130" s="54"/>
      <c r="K4130" s="54"/>
      <c r="L4130" s="54"/>
      <c r="M4130" s="97" t="str">
        <f t="shared" si="342"/>
        <v/>
      </c>
      <c r="N4130" s="70"/>
      <c r="O4130" s="71" t="str">
        <f t="shared" si="346"/>
        <v/>
      </c>
      <c r="P4130" s="66"/>
      <c r="Q4130" s="66"/>
      <c r="R4130" s="54"/>
      <c r="S4130" s="82"/>
      <c r="T4130" s="83" t="str">
        <f t="shared" si="343"/>
        <v/>
      </c>
      <c r="U4130" s="10"/>
      <c r="V4130" s="41">
        <f>IF(AND(Q4130&lt;&gt;"",RIGHT(Q4130,3)&lt;&gt;""),IF(COUNTIF($Q$6:Q4130,Q4130)=1,1,0),0)</f>
        <v>0</v>
      </c>
      <c r="W4130" s="41" t="str">
        <f t="shared" si="344"/>
        <v/>
      </c>
      <c r="X4130" s="41" t="str">
        <f t="shared" si="345"/>
        <v/>
      </c>
    </row>
    <row r="4131" s="32" customFormat="1" hidden="1" customHeight="1" spans="1:24">
      <c r="A4131" s="34"/>
      <c r="B4131" s="51"/>
      <c r="C4131" s="51"/>
      <c r="D4131" s="52"/>
      <c r="E4131" s="53"/>
      <c r="F4131" s="54"/>
      <c r="G4131" s="54"/>
      <c r="H4131" s="54"/>
      <c r="I4131" s="66"/>
      <c r="J4131" s="54"/>
      <c r="K4131" s="54"/>
      <c r="L4131" s="54"/>
      <c r="M4131" s="97" t="str">
        <f t="shared" si="342"/>
        <v/>
      </c>
      <c r="N4131" s="70"/>
      <c r="O4131" s="71" t="str">
        <f t="shared" si="346"/>
        <v/>
      </c>
      <c r="P4131" s="66"/>
      <c r="Q4131" s="66"/>
      <c r="R4131" s="54"/>
      <c r="S4131" s="82"/>
      <c r="T4131" s="83" t="str">
        <f t="shared" si="343"/>
        <v/>
      </c>
      <c r="U4131" s="10"/>
      <c r="V4131" s="41">
        <f>IF(AND(Q4131&lt;&gt;"",RIGHT(Q4131,3)&lt;&gt;""),IF(COUNTIF($Q$6:Q4131,Q4131)=1,1,0),0)</f>
        <v>0</v>
      </c>
      <c r="W4131" s="41" t="str">
        <f t="shared" si="344"/>
        <v/>
      </c>
      <c r="X4131" s="41" t="str">
        <f t="shared" si="345"/>
        <v/>
      </c>
    </row>
    <row r="4132" s="32" customFormat="1" hidden="1" customHeight="1" spans="1:24">
      <c r="A4132" s="34"/>
      <c r="B4132" s="51"/>
      <c r="C4132" s="51"/>
      <c r="D4132" s="52"/>
      <c r="E4132" s="53"/>
      <c r="F4132" s="54"/>
      <c r="G4132" s="54"/>
      <c r="H4132" s="54"/>
      <c r="I4132" s="66"/>
      <c r="J4132" s="54"/>
      <c r="K4132" s="54"/>
      <c r="L4132" s="54"/>
      <c r="M4132" s="97" t="str">
        <f t="shared" ref="M4132:M4195" si="347">IF(L4132="","",HYPERLINK(_xlfn.CONCAT($L$4,L4132,".jpg"),"Open File"))</f>
        <v/>
      </c>
      <c r="N4132" s="70"/>
      <c r="O4132" s="71" t="str">
        <f t="shared" si="346"/>
        <v/>
      </c>
      <c r="P4132" s="66"/>
      <c r="Q4132" s="66"/>
      <c r="R4132" s="54"/>
      <c r="S4132" s="82"/>
      <c r="T4132" s="83" t="str">
        <f t="shared" ref="T4132:T4195" si="348">IF(S4132="","",HYPERLINK(_xlfn.CONCAT($S$4,S4132,".jpg"),"Open File"))</f>
        <v/>
      </c>
      <c r="U4132" s="10"/>
      <c r="V4132" s="41">
        <f>IF(AND(Q4132&lt;&gt;"",RIGHT(Q4132,3)&lt;&gt;""),IF(COUNTIF($Q$6:Q4132,Q4132)=1,1,0),0)</f>
        <v>0</v>
      </c>
      <c r="W4132" s="41" t="str">
        <f t="shared" ref="W4132:W4195" si="349">IF(AND(J4132&lt;&gt;"",K4132&lt;&gt;""),_xlfn.CONCAT(SUBSTITUTE(J4132,"/","."),"-",K4132),"")</f>
        <v/>
      </c>
      <c r="X4132" s="41" t="str">
        <f t="shared" ref="X4132:X4195" si="350">IF(AND(Q4132&lt;&gt;"",R4132&lt;&gt;""),_xlfn.CONCAT(SUBSTITUTE(Q4132,"/","."),"-",R4132),"")</f>
        <v/>
      </c>
    </row>
    <row r="4133" s="32" customFormat="1" hidden="1" customHeight="1" spans="1:24">
      <c r="A4133" s="34"/>
      <c r="B4133" s="51"/>
      <c r="C4133" s="51"/>
      <c r="D4133" s="52"/>
      <c r="E4133" s="53"/>
      <c r="F4133" s="54"/>
      <c r="G4133" s="54"/>
      <c r="H4133" s="54"/>
      <c r="I4133" s="66"/>
      <c r="J4133" s="54"/>
      <c r="K4133" s="54"/>
      <c r="L4133" s="54"/>
      <c r="M4133" s="97" t="str">
        <f t="shared" si="347"/>
        <v/>
      </c>
      <c r="N4133" s="70"/>
      <c r="O4133" s="71" t="str">
        <f t="shared" si="346"/>
        <v/>
      </c>
      <c r="P4133" s="66"/>
      <c r="Q4133" s="66"/>
      <c r="R4133" s="54"/>
      <c r="S4133" s="82"/>
      <c r="T4133" s="83" t="str">
        <f t="shared" si="348"/>
        <v/>
      </c>
      <c r="U4133" s="10"/>
      <c r="V4133" s="41">
        <f>IF(AND(Q4133&lt;&gt;"",RIGHT(Q4133,3)&lt;&gt;""),IF(COUNTIF($Q$6:Q4133,Q4133)=1,1,0),0)</f>
        <v>0</v>
      </c>
      <c r="W4133" s="41" t="str">
        <f t="shared" si="349"/>
        <v/>
      </c>
      <c r="X4133" s="41" t="str">
        <f t="shared" si="350"/>
        <v/>
      </c>
    </row>
    <row r="4134" s="32" customFormat="1" hidden="1" customHeight="1" spans="1:24">
      <c r="A4134" s="34"/>
      <c r="B4134" s="51"/>
      <c r="C4134" s="51"/>
      <c r="D4134" s="52"/>
      <c r="E4134" s="53"/>
      <c r="F4134" s="54"/>
      <c r="G4134" s="54"/>
      <c r="H4134" s="54"/>
      <c r="I4134" s="66"/>
      <c r="J4134" s="54"/>
      <c r="K4134" s="54"/>
      <c r="L4134" s="54"/>
      <c r="M4134" s="97" t="str">
        <f t="shared" si="347"/>
        <v/>
      </c>
      <c r="N4134" s="70"/>
      <c r="O4134" s="71" t="str">
        <f t="shared" si="346"/>
        <v/>
      </c>
      <c r="P4134" s="66"/>
      <c r="Q4134" s="66"/>
      <c r="R4134" s="54"/>
      <c r="S4134" s="82"/>
      <c r="T4134" s="83" t="str">
        <f t="shared" si="348"/>
        <v/>
      </c>
      <c r="U4134" s="10"/>
      <c r="V4134" s="41">
        <f>IF(AND(Q4134&lt;&gt;"",RIGHT(Q4134,3)&lt;&gt;""),IF(COUNTIF($Q$6:Q4134,Q4134)=1,1,0),0)</f>
        <v>0</v>
      </c>
      <c r="W4134" s="41" t="str">
        <f t="shared" si="349"/>
        <v/>
      </c>
      <c r="X4134" s="41" t="str">
        <f t="shared" si="350"/>
        <v/>
      </c>
    </row>
    <row r="4135" s="32" customFormat="1" hidden="1" customHeight="1" spans="1:24">
      <c r="A4135" s="34"/>
      <c r="B4135" s="51"/>
      <c r="C4135" s="51"/>
      <c r="D4135" s="52"/>
      <c r="E4135" s="53"/>
      <c r="F4135" s="54"/>
      <c r="G4135" s="54"/>
      <c r="H4135" s="54"/>
      <c r="I4135" s="66"/>
      <c r="J4135" s="54"/>
      <c r="K4135" s="54"/>
      <c r="L4135" s="54"/>
      <c r="M4135" s="97" t="str">
        <f t="shared" si="347"/>
        <v/>
      </c>
      <c r="N4135" s="70"/>
      <c r="O4135" s="71" t="str">
        <f t="shared" si="346"/>
        <v/>
      </c>
      <c r="P4135" s="66"/>
      <c r="Q4135" s="66"/>
      <c r="R4135" s="54"/>
      <c r="S4135" s="82"/>
      <c r="T4135" s="83" t="str">
        <f t="shared" si="348"/>
        <v/>
      </c>
      <c r="U4135" s="10"/>
      <c r="V4135" s="41">
        <f>IF(AND(Q4135&lt;&gt;"",RIGHT(Q4135,3)&lt;&gt;""),IF(COUNTIF($Q$6:Q4135,Q4135)=1,1,0),0)</f>
        <v>0</v>
      </c>
      <c r="W4135" s="41" t="str">
        <f t="shared" si="349"/>
        <v/>
      </c>
      <c r="X4135" s="41" t="str">
        <f t="shared" si="350"/>
        <v/>
      </c>
    </row>
    <row r="4136" s="32" customFormat="1" hidden="1" customHeight="1" spans="1:24">
      <c r="A4136" s="34"/>
      <c r="B4136" s="51"/>
      <c r="C4136" s="51"/>
      <c r="D4136" s="52"/>
      <c r="E4136" s="53"/>
      <c r="F4136" s="54"/>
      <c r="G4136" s="54"/>
      <c r="H4136" s="54"/>
      <c r="I4136" s="66"/>
      <c r="J4136" s="54"/>
      <c r="K4136" s="54"/>
      <c r="L4136" s="54"/>
      <c r="M4136" s="97" t="str">
        <f t="shared" si="347"/>
        <v/>
      </c>
      <c r="N4136" s="70"/>
      <c r="O4136" s="71" t="str">
        <f t="shared" si="346"/>
        <v/>
      </c>
      <c r="P4136" s="66"/>
      <c r="Q4136" s="66"/>
      <c r="R4136" s="54"/>
      <c r="S4136" s="82"/>
      <c r="T4136" s="83" t="str">
        <f t="shared" si="348"/>
        <v/>
      </c>
      <c r="U4136" s="10"/>
      <c r="V4136" s="41">
        <f>IF(AND(Q4136&lt;&gt;"",RIGHT(Q4136,3)&lt;&gt;""),IF(COUNTIF($Q$6:Q4136,Q4136)=1,1,0),0)</f>
        <v>0</v>
      </c>
      <c r="W4136" s="41" t="str">
        <f t="shared" si="349"/>
        <v/>
      </c>
      <c r="X4136" s="41" t="str">
        <f t="shared" si="350"/>
        <v/>
      </c>
    </row>
    <row r="4137" s="32" customFormat="1" hidden="1" customHeight="1" spans="1:24">
      <c r="A4137" s="34"/>
      <c r="B4137" s="51"/>
      <c r="C4137" s="51"/>
      <c r="D4137" s="52"/>
      <c r="E4137" s="53"/>
      <c r="F4137" s="54"/>
      <c r="G4137" s="54"/>
      <c r="H4137" s="54"/>
      <c r="I4137" s="66"/>
      <c r="J4137" s="54"/>
      <c r="K4137" s="54"/>
      <c r="L4137" s="54"/>
      <c r="M4137" s="97" t="str">
        <f t="shared" si="347"/>
        <v/>
      </c>
      <c r="N4137" s="70"/>
      <c r="O4137" s="71" t="str">
        <f t="shared" si="346"/>
        <v/>
      </c>
      <c r="P4137" s="66"/>
      <c r="Q4137" s="66"/>
      <c r="R4137" s="54"/>
      <c r="S4137" s="82"/>
      <c r="T4137" s="83" t="str">
        <f t="shared" si="348"/>
        <v/>
      </c>
      <c r="U4137" s="10"/>
      <c r="V4137" s="41">
        <f>IF(AND(Q4137&lt;&gt;"",RIGHT(Q4137,3)&lt;&gt;""),IF(COUNTIF($Q$6:Q4137,Q4137)=1,1,0),0)</f>
        <v>0</v>
      </c>
      <c r="W4137" s="41" t="str">
        <f t="shared" si="349"/>
        <v/>
      </c>
      <c r="X4137" s="41" t="str">
        <f t="shared" si="350"/>
        <v/>
      </c>
    </row>
    <row r="4138" s="32" customFormat="1" hidden="1" customHeight="1" spans="1:24">
      <c r="A4138" s="34"/>
      <c r="B4138" s="51"/>
      <c r="C4138" s="51"/>
      <c r="D4138" s="52"/>
      <c r="E4138" s="53"/>
      <c r="F4138" s="54"/>
      <c r="G4138" s="54"/>
      <c r="H4138" s="54"/>
      <c r="I4138" s="66"/>
      <c r="J4138" s="54"/>
      <c r="K4138" s="54"/>
      <c r="L4138" s="54"/>
      <c r="M4138" s="97" t="str">
        <f t="shared" si="347"/>
        <v/>
      </c>
      <c r="N4138" s="70"/>
      <c r="O4138" s="71" t="str">
        <f t="shared" si="346"/>
        <v/>
      </c>
      <c r="P4138" s="66"/>
      <c r="Q4138" s="66"/>
      <c r="R4138" s="54"/>
      <c r="S4138" s="82"/>
      <c r="T4138" s="83" t="str">
        <f t="shared" si="348"/>
        <v/>
      </c>
      <c r="U4138" s="10"/>
      <c r="V4138" s="41">
        <f>IF(AND(Q4138&lt;&gt;"",RIGHT(Q4138,3)&lt;&gt;""),IF(COUNTIF($Q$6:Q4138,Q4138)=1,1,0),0)</f>
        <v>0</v>
      </c>
      <c r="W4138" s="41" t="str">
        <f t="shared" si="349"/>
        <v/>
      </c>
      <c r="X4138" s="41" t="str">
        <f t="shared" si="350"/>
        <v/>
      </c>
    </row>
    <row r="4139" s="32" customFormat="1" hidden="1" customHeight="1" spans="1:24">
      <c r="A4139" s="34"/>
      <c r="B4139" s="51"/>
      <c r="C4139" s="51"/>
      <c r="D4139" s="52"/>
      <c r="E4139" s="53"/>
      <c r="F4139" s="54"/>
      <c r="G4139" s="54"/>
      <c r="H4139" s="54"/>
      <c r="I4139" s="66"/>
      <c r="J4139" s="54"/>
      <c r="K4139" s="54"/>
      <c r="L4139" s="54"/>
      <c r="M4139" s="97" t="str">
        <f t="shared" si="347"/>
        <v/>
      </c>
      <c r="N4139" s="70"/>
      <c r="O4139" s="71" t="str">
        <f t="shared" si="346"/>
        <v/>
      </c>
      <c r="P4139" s="66"/>
      <c r="Q4139" s="66"/>
      <c r="R4139" s="54"/>
      <c r="S4139" s="82"/>
      <c r="T4139" s="83" t="str">
        <f t="shared" si="348"/>
        <v/>
      </c>
      <c r="U4139" s="10"/>
      <c r="V4139" s="41">
        <f>IF(AND(Q4139&lt;&gt;"",RIGHT(Q4139,3)&lt;&gt;""),IF(COUNTIF($Q$6:Q4139,Q4139)=1,1,0),0)</f>
        <v>0</v>
      </c>
      <c r="W4139" s="41" t="str">
        <f t="shared" si="349"/>
        <v/>
      </c>
      <c r="X4139" s="41" t="str">
        <f t="shared" si="350"/>
        <v/>
      </c>
    </row>
    <row r="4140" s="32" customFormat="1" hidden="1" customHeight="1" spans="1:24">
      <c r="A4140" s="34"/>
      <c r="B4140" s="51"/>
      <c r="C4140" s="51"/>
      <c r="D4140" s="52"/>
      <c r="E4140" s="53"/>
      <c r="F4140" s="54"/>
      <c r="G4140" s="54"/>
      <c r="H4140" s="54"/>
      <c r="I4140" s="66"/>
      <c r="J4140" s="54"/>
      <c r="K4140" s="54"/>
      <c r="L4140" s="54"/>
      <c r="M4140" s="97" t="str">
        <f t="shared" si="347"/>
        <v/>
      </c>
      <c r="N4140" s="70"/>
      <c r="O4140" s="71" t="str">
        <f t="shared" si="346"/>
        <v/>
      </c>
      <c r="P4140" s="66"/>
      <c r="Q4140" s="66"/>
      <c r="R4140" s="54"/>
      <c r="S4140" s="82"/>
      <c r="T4140" s="83" t="str">
        <f t="shared" si="348"/>
        <v/>
      </c>
      <c r="U4140" s="10"/>
      <c r="V4140" s="41">
        <f>IF(AND(Q4140&lt;&gt;"",RIGHT(Q4140,3)&lt;&gt;""),IF(COUNTIF($Q$6:Q4140,Q4140)=1,1,0),0)</f>
        <v>0</v>
      </c>
      <c r="W4140" s="41" t="str">
        <f t="shared" si="349"/>
        <v/>
      </c>
      <c r="X4140" s="41" t="str">
        <f t="shared" si="350"/>
        <v/>
      </c>
    </row>
    <row r="4141" s="32" customFormat="1" hidden="1" customHeight="1" spans="1:24">
      <c r="A4141" s="34"/>
      <c r="B4141" s="51"/>
      <c r="C4141" s="51"/>
      <c r="D4141" s="52"/>
      <c r="E4141" s="53"/>
      <c r="F4141" s="54"/>
      <c r="G4141" s="54"/>
      <c r="H4141" s="54"/>
      <c r="I4141" s="66"/>
      <c r="J4141" s="54"/>
      <c r="K4141" s="54"/>
      <c r="L4141" s="54"/>
      <c r="M4141" s="97" t="str">
        <f t="shared" si="347"/>
        <v/>
      </c>
      <c r="N4141" s="70"/>
      <c r="O4141" s="71" t="str">
        <f t="shared" si="346"/>
        <v/>
      </c>
      <c r="P4141" s="66"/>
      <c r="Q4141" s="66"/>
      <c r="R4141" s="54"/>
      <c r="S4141" s="82"/>
      <c r="T4141" s="83" t="str">
        <f t="shared" si="348"/>
        <v/>
      </c>
      <c r="U4141" s="10"/>
      <c r="V4141" s="41">
        <f>IF(AND(Q4141&lt;&gt;"",RIGHT(Q4141,3)&lt;&gt;""),IF(COUNTIF($Q$6:Q4141,Q4141)=1,1,0),0)</f>
        <v>0</v>
      </c>
      <c r="W4141" s="41" t="str">
        <f t="shared" si="349"/>
        <v/>
      </c>
      <c r="X4141" s="41" t="str">
        <f t="shared" si="350"/>
        <v/>
      </c>
    </row>
    <row r="4142" s="32" customFormat="1" hidden="1" customHeight="1" spans="1:24">
      <c r="A4142" s="34"/>
      <c r="B4142" s="51"/>
      <c r="C4142" s="51"/>
      <c r="D4142" s="52"/>
      <c r="E4142" s="53"/>
      <c r="F4142" s="54"/>
      <c r="G4142" s="54"/>
      <c r="H4142" s="54"/>
      <c r="I4142" s="66"/>
      <c r="J4142" s="54"/>
      <c r="K4142" s="54"/>
      <c r="L4142" s="54"/>
      <c r="M4142" s="97" t="str">
        <f t="shared" si="347"/>
        <v/>
      </c>
      <c r="N4142" s="70"/>
      <c r="O4142" s="71" t="str">
        <f t="shared" si="346"/>
        <v/>
      </c>
      <c r="P4142" s="66"/>
      <c r="Q4142" s="66"/>
      <c r="R4142" s="54"/>
      <c r="S4142" s="82"/>
      <c r="T4142" s="83" t="str">
        <f t="shared" si="348"/>
        <v/>
      </c>
      <c r="U4142" s="10"/>
      <c r="V4142" s="41">
        <f>IF(AND(Q4142&lt;&gt;"",RIGHT(Q4142,3)&lt;&gt;""),IF(COUNTIF($Q$6:Q4142,Q4142)=1,1,0),0)</f>
        <v>0</v>
      </c>
      <c r="W4142" s="41" t="str">
        <f t="shared" si="349"/>
        <v/>
      </c>
      <c r="X4142" s="41" t="str">
        <f t="shared" si="350"/>
        <v/>
      </c>
    </row>
    <row r="4143" s="32" customFormat="1" hidden="1" customHeight="1" spans="1:24">
      <c r="A4143" s="34"/>
      <c r="B4143" s="51"/>
      <c r="C4143" s="51"/>
      <c r="D4143" s="52"/>
      <c r="E4143" s="53"/>
      <c r="F4143" s="54"/>
      <c r="G4143" s="54"/>
      <c r="H4143" s="54"/>
      <c r="I4143" s="66"/>
      <c r="J4143" s="54"/>
      <c r="K4143" s="54"/>
      <c r="L4143" s="54"/>
      <c r="M4143" s="97" t="str">
        <f t="shared" si="347"/>
        <v/>
      </c>
      <c r="N4143" s="70"/>
      <c r="O4143" s="71" t="str">
        <f t="shared" si="346"/>
        <v/>
      </c>
      <c r="P4143" s="66"/>
      <c r="Q4143" s="66"/>
      <c r="R4143" s="54"/>
      <c r="S4143" s="82"/>
      <c r="T4143" s="83" t="str">
        <f t="shared" si="348"/>
        <v/>
      </c>
      <c r="U4143" s="10"/>
      <c r="V4143" s="41">
        <f>IF(AND(Q4143&lt;&gt;"",RIGHT(Q4143,3)&lt;&gt;""),IF(COUNTIF($Q$6:Q4143,Q4143)=1,1,0),0)</f>
        <v>0</v>
      </c>
      <c r="W4143" s="41" t="str">
        <f t="shared" si="349"/>
        <v/>
      </c>
      <c r="X4143" s="41" t="str">
        <f t="shared" si="350"/>
        <v/>
      </c>
    </row>
    <row r="4144" s="32" customFormat="1" hidden="1" customHeight="1" spans="1:24">
      <c r="A4144" s="34"/>
      <c r="B4144" s="51"/>
      <c r="C4144" s="51"/>
      <c r="D4144" s="52"/>
      <c r="E4144" s="53"/>
      <c r="F4144" s="54"/>
      <c r="G4144" s="54"/>
      <c r="H4144" s="54"/>
      <c r="I4144" s="66"/>
      <c r="J4144" s="54"/>
      <c r="K4144" s="54"/>
      <c r="L4144" s="54"/>
      <c r="M4144" s="97" t="str">
        <f t="shared" si="347"/>
        <v/>
      </c>
      <c r="N4144" s="70"/>
      <c r="O4144" s="71" t="str">
        <f t="shared" si="346"/>
        <v/>
      </c>
      <c r="P4144" s="66"/>
      <c r="Q4144" s="66"/>
      <c r="R4144" s="54"/>
      <c r="S4144" s="82"/>
      <c r="T4144" s="83" t="str">
        <f t="shared" si="348"/>
        <v/>
      </c>
      <c r="U4144" s="10"/>
      <c r="V4144" s="41">
        <f>IF(AND(Q4144&lt;&gt;"",RIGHT(Q4144,3)&lt;&gt;""),IF(COUNTIF($Q$6:Q4144,Q4144)=1,1,0),0)</f>
        <v>0</v>
      </c>
      <c r="W4144" s="41" t="str">
        <f t="shared" si="349"/>
        <v/>
      </c>
      <c r="X4144" s="41" t="str">
        <f t="shared" si="350"/>
        <v/>
      </c>
    </row>
    <row r="4145" s="32" customFormat="1" hidden="1" customHeight="1" spans="1:24">
      <c r="A4145" s="34"/>
      <c r="B4145" s="51"/>
      <c r="C4145" s="51"/>
      <c r="D4145" s="52"/>
      <c r="E4145" s="53"/>
      <c r="F4145" s="54"/>
      <c r="G4145" s="54"/>
      <c r="H4145" s="54"/>
      <c r="I4145" s="66"/>
      <c r="J4145" s="54"/>
      <c r="K4145" s="54"/>
      <c r="L4145" s="54"/>
      <c r="M4145" s="97" t="str">
        <f t="shared" si="347"/>
        <v/>
      </c>
      <c r="N4145" s="70"/>
      <c r="O4145" s="71" t="str">
        <f t="shared" ref="O4145:O4207" si="351">IF(AND(Q4145&lt;&gt;"",T4145&lt;&gt;""),"PASSIVE",IF(AND(J4145&lt;&gt;"",M4145&lt;&gt;""),"ACTIVE",""))</f>
        <v/>
      </c>
      <c r="P4145" s="66"/>
      <c r="Q4145" s="66"/>
      <c r="R4145" s="54"/>
      <c r="S4145" s="82"/>
      <c r="T4145" s="83" t="str">
        <f t="shared" si="348"/>
        <v/>
      </c>
      <c r="U4145" s="10"/>
      <c r="V4145" s="41">
        <f>IF(AND(Q4145&lt;&gt;"",RIGHT(Q4145,3)&lt;&gt;""),IF(COUNTIF($Q$6:Q4145,Q4145)=1,1,0),0)</f>
        <v>0</v>
      </c>
      <c r="W4145" s="41" t="str">
        <f t="shared" si="349"/>
        <v/>
      </c>
      <c r="X4145" s="41" t="str">
        <f t="shared" si="350"/>
        <v/>
      </c>
    </row>
    <row r="4146" s="32" customFormat="1" hidden="1" customHeight="1" spans="1:24">
      <c r="A4146" s="34"/>
      <c r="B4146" s="51"/>
      <c r="C4146" s="51"/>
      <c r="D4146" s="52"/>
      <c r="E4146" s="53"/>
      <c r="F4146" s="54"/>
      <c r="G4146" s="54"/>
      <c r="H4146" s="54"/>
      <c r="I4146" s="66"/>
      <c r="J4146" s="54"/>
      <c r="K4146" s="54"/>
      <c r="L4146" s="54"/>
      <c r="M4146" s="97" t="str">
        <f t="shared" si="347"/>
        <v/>
      </c>
      <c r="N4146" s="70"/>
      <c r="O4146" s="71" t="str">
        <f t="shared" si="351"/>
        <v/>
      </c>
      <c r="P4146" s="66"/>
      <c r="Q4146" s="66"/>
      <c r="R4146" s="54"/>
      <c r="S4146" s="82"/>
      <c r="T4146" s="83" t="str">
        <f t="shared" si="348"/>
        <v/>
      </c>
      <c r="U4146" s="10"/>
      <c r="V4146" s="41">
        <f>IF(AND(Q4146&lt;&gt;"",RIGHT(Q4146,3)&lt;&gt;""),IF(COUNTIF($Q$6:Q4146,Q4146)=1,1,0),0)</f>
        <v>0</v>
      </c>
      <c r="W4146" s="41" t="str">
        <f t="shared" si="349"/>
        <v/>
      </c>
      <c r="X4146" s="41" t="str">
        <f t="shared" si="350"/>
        <v/>
      </c>
    </row>
    <row r="4147" s="32" customFormat="1" hidden="1" customHeight="1" spans="1:24">
      <c r="A4147" s="34"/>
      <c r="B4147" s="51"/>
      <c r="C4147" s="51"/>
      <c r="D4147" s="52"/>
      <c r="E4147" s="53"/>
      <c r="F4147" s="54"/>
      <c r="G4147" s="54"/>
      <c r="H4147" s="54"/>
      <c r="I4147" s="66"/>
      <c r="J4147" s="54"/>
      <c r="K4147" s="54"/>
      <c r="L4147" s="54"/>
      <c r="M4147" s="97" t="str">
        <f t="shared" si="347"/>
        <v/>
      </c>
      <c r="N4147" s="70"/>
      <c r="O4147" s="71" t="str">
        <f t="shared" si="351"/>
        <v/>
      </c>
      <c r="P4147" s="66"/>
      <c r="Q4147" s="66"/>
      <c r="R4147" s="54"/>
      <c r="S4147" s="82"/>
      <c r="T4147" s="83" t="str">
        <f t="shared" si="348"/>
        <v/>
      </c>
      <c r="U4147" s="10"/>
      <c r="V4147" s="41">
        <f>IF(AND(Q4147&lt;&gt;"",RIGHT(Q4147,3)&lt;&gt;""),IF(COUNTIF($Q$6:Q4147,Q4147)=1,1,0),0)</f>
        <v>0</v>
      </c>
      <c r="W4147" s="41" t="str">
        <f t="shared" si="349"/>
        <v/>
      </c>
      <c r="X4147" s="41" t="str">
        <f t="shared" si="350"/>
        <v/>
      </c>
    </row>
    <row r="4148" s="32" customFormat="1" hidden="1" customHeight="1" spans="1:24">
      <c r="A4148" s="34"/>
      <c r="B4148" s="51"/>
      <c r="C4148" s="51"/>
      <c r="D4148" s="52"/>
      <c r="E4148" s="53"/>
      <c r="F4148" s="54"/>
      <c r="G4148" s="54"/>
      <c r="H4148" s="54"/>
      <c r="I4148" s="66"/>
      <c r="J4148" s="54"/>
      <c r="K4148" s="54"/>
      <c r="L4148" s="54"/>
      <c r="M4148" s="97" t="str">
        <f t="shared" si="347"/>
        <v/>
      </c>
      <c r="N4148" s="70"/>
      <c r="O4148" s="71" t="str">
        <f t="shared" si="351"/>
        <v/>
      </c>
      <c r="P4148" s="66"/>
      <c r="Q4148" s="66"/>
      <c r="R4148" s="54"/>
      <c r="S4148" s="82"/>
      <c r="T4148" s="83" t="str">
        <f t="shared" si="348"/>
        <v/>
      </c>
      <c r="U4148" s="10"/>
      <c r="V4148" s="41">
        <f>IF(AND(Q4148&lt;&gt;"",RIGHT(Q4148,3)&lt;&gt;""),IF(COUNTIF($Q$6:Q4148,Q4148)=1,1,0),0)</f>
        <v>0</v>
      </c>
      <c r="W4148" s="41" t="str">
        <f t="shared" si="349"/>
        <v/>
      </c>
      <c r="X4148" s="41" t="str">
        <f t="shared" si="350"/>
        <v/>
      </c>
    </row>
    <row r="4149" s="32" customFormat="1" hidden="1" customHeight="1" spans="1:24">
      <c r="A4149" s="34"/>
      <c r="B4149" s="51"/>
      <c r="C4149" s="51"/>
      <c r="D4149" s="52"/>
      <c r="E4149" s="53"/>
      <c r="F4149" s="54"/>
      <c r="G4149" s="54"/>
      <c r="H4149" s="54"/>
      <c r="I4149" s="66"/>
      <c r="J4149" s="54"/>
      <c r="K4149" s="54"/>
      <c r="L4149" s="54"/>
      <c r="M4149" s="97" t="str">
        <f t="shared" si="347"/>
        <v/>
      </c>
      <c r="N4149" s="70"/>
      <c r="O4149" s="71" t="str">
        <f t="shared" si="351"/>
        <v/>
      </c>
      <c r="P4149" s="66"/>
      <c r="Q4149" s="66"/>
      <c r="R4149" s="54"/>
      <c r="S4149" s="82"/>
      <c r="T4149" s="83" t="str">
        <f t="shared" si="348"/>
        <v/>
      </c>
      <c r="U4149" s="10"/>
      <c r="V4149" s="41">
        <f>IF(AND(Q4149&lt;&gt;"",RIGHT(Q4149,3)&lt;&gt;""),IF(COUNTIF($Q$6:Q4149,Q4149)=1,1,0),0)</f>
        <v>0</v>
      </c>
      <c r="W4149" s="41" t="str">
        <f t="shared" si="349"/>
        <v/>
      </c>
      <c r="X4149" s="41" t="str">
        <f t="shared" si="350"/>
        <v/>
      </c>
    </row>
    <row r="4150" s="32" customFormat="1" hidden="1" customHeight="1" spans="1:24">
      <c r="A4150" s="34"/>
      <c r="B4150" s="51"/>
      <c r="C4150" s="51"/>
      <c r="D4150" s="52"/>
      <c r="E4150" s="53"/>
      <c r="F4150" s="54"/>
      <c r="G4150" s="54"/>
      <c r="H4150" s="54"/>
      <c r="I4150" s="66"/>
      <c r="J4150" s="54"/>
      <c r="K4150" s="54"/>
      <c r="L4150" s="54"/>
      <c r="M4150" s="97" t="str">
        <f t="shared" si="347"/>
        <v/>
      </c>
      <c r="N4150" s="70"/>
      <c r="O4150" s="71" t="str">
        <f t="shared" si="351"/>
        <v/>
      </c>
      <c r="P4150" s="66"/>
      <c r="Q4150" s="66"/>
      <c r="R4150" s="54"/>
      <c r="S4150" s="82"/>
      <c r="T4150" s="83" t="str">
        <f t="shared" si="348"/>
        <v/>
      </c>
      <c r="U4150" s="10"/>
      <c r="V4150" s="41">
        <f>IF(AND(Q4150&lt;&gt;"",RIGHT(Q4150,3)&lt;&gt;""),IF(COUNTIF($Q$6:Q4150,Q4150)=1,1,0),0)</f>
        <v>0</v>
      </c>
      <c r="W4150" s="41" t="str">
        <f t="shared" si="349"/>
        <v/>
      </c>
      <c r="X4150" s="41" t="str">
        <f t="shared" si="350"/>
        <v/>
      </c>
    </row>
    <row r="4151" s="32" customFormat="1" hidden="1" customHeight="1" spans="1:24">
      <c r="A4151" s="34"/>
      <c r="B4151" s="51"/>
      <c r="C4151" s="51"/>
      <c r="D4151" s="52"/>
      <c r="E4151" s="53"/>
      <c r="F4151" s="54"/>
      <c r="G4151" s="54"/>
      <c r="H4151" s="54"/>
      <c r="I4151" s="66"/>
      <c r="J4151" s="54"/>
      <c r="K4151" s="54"/>
      <c r="L4151" s="54"/>
      <c r="M4151" s="97" t="str">
        <f t="shared" si="347"/>
        <v/>
      </c>
      <c r="N4151" s="70"/>
      <c r="O4151" s="71" t="str">
        <f t="shared" si="351"/>
        <v/>
      </c>
      <c r="P4151" s="66"/>
      <c r="Q4151" s="66"/>
      <c r="R4151" s="54"/>
      <c r="S4151" s="82"/>
      <c r="T4151" s="83" t="str">
        <f t="shared" si="348"/>
        <v/>
      </c>
      <c r="U4151" s="10"/>
      <c r="V4151" s="41">
        <f>IF(AND(Q4151&lt;&gt;"",RIGHT(Q4151,3)&lt;&gt;""),IF(COUNTIF($Q$6:Q4151,Q4151)=1,1,0),0)</f>
        <v>0</v>
      </c>
      <c r="W4151" s="41" t="str">
        <f t="shared" si="349"/>
        <v/>
      </c>
      <c r="X4151" s="41" t="str">
        <f t="shared" si="350"/>
        <v/>
      </c>
    </row>
    <row r="4152" s="32" customFormat="1" hidden="1" customHeight="1" spans="1:24">
      <c r="A4152" s="34"/>
      <c r="B4152" s="51"/>
      <c r="C4152" s="51"/>
      <c r="D4152" s="52"/>
      <c r="E4152" s="53"/>
      <c r="F4152" s="54"/>
      <c r="G4152" s="54"/>
      <c r="H4152" s="54"/>
      <c r="I4152" s="66"/>
      <c r="J4152" s="54"/>
      <c r="K4152" s="54"/>
      <c r="L4152" s="54"/>
      <c r="M4152" s="97" t="str">
        <f t="shared" si="347"/>
        <v/>
      </c>
      <c r="N4152" s="70"/>
      <c r="O4152" s="71" t="str">
        <f t="shared" si="351"/>
        <v/>
      </c>
      <c r="P4152" s="66"/>
      <c r="Q4152" s="66"/>
      <c r="R4152" s="54"/>
      <c r="S4152" s="82"/>
      <c r="T4152" s="83" t="str">
        <f t="shared" si="348"/>
        <v/>
      </c>
      <c r="U4152" s="10"/>
      <c r="V4152" s="41">
        <f>IF(AND(Q4152&lt;&gt;"",RIGHT(Q4152,3)&lt;&gt;""),IF(COUNTIF($Q$6:Q4152,Q4152)=1,1,0),0)</f>
        <v>0</v>
      </c>
      <c r="W4152" s="41" t="str">
        <f t="shared" si="349"/>
        <v/>
      </c>
      <c r="X4152" s="41" t="str">
        <f t="shared" si="350"/>
        <v/>
      </c>
    </row>
    <row r="4153" s="32" customFormat="1" hidden="1" customHeight="1" spans="1:24">
      <c r="A4153" s="34"/>
      <c r="B4153" s="51"/>
      <c r="C4153" s="51"/>
      <c r="D4153" s="52"/>
      <c r="E4153" s="53"/>
      <c r="F4153" s="54"/>
      <c r="G4153" s="54"/>
      <c r="H4153" s="54"/>
      <c r="I4153" s="66"/>
      <c r="J4153" s="54"/>
      <c r="K4153" s="54"/>
      <c r="L4153" s="54"/>
      <c r="M4153" s="97" t="str">
        <f t="shared" si="347"/>
        <v/>
      </c>
      <c r="N4153" s="70"/>
      <c r="O4153" s="71" t="str">
        <f t="shared" si="351"/>
        <v/>
      </c>
      <c r="P4153" s="66"/>
      <c r="Q4153" s="66"/>
      <c r="R4153" s="54"/>
      <c r="S4153" s="82"/>
      <c r="T4153" s="83" t="str">
        <f t="shared" si="348"/>
        <v/>
      </c>
      <c r="U4153" s="10"/>
      <c r="V4153" s="41">
        <f>IF(AND(Q4153&lt;&gt;"",RIGHT(Q4153,3)&lt;&gt;""),IF(COUNTIF($Q$6:Q4153,Q4153)=1,1,0),0)</f>
        <v>0</v>
      </c>
      <c r="W4153" s="41" t="str">
        <f t="shared" si="349"/>
        <v/>
      </c>
      <c r="X4153" s="41" t="str">
        <f t="shared" si="350"/>
        <v/>
      </c>
    </row>
    <row r="4154" s="32" customFormat="1" hidden="1" customHeight="1" spans="1:24">
      <c r="A4154" s="34"/>
      <c r="B4154" s="51"/>
      <c r="C4154" s="51"/>
      <c r="D4154" s="52"/>
      <c r="E4154" s="53"/>
      <c r="F4154" s="54"/>
      <c r="G4154" s="54"/>
      <c r="H4154" s="54"/>
      <c r="I4154" s="66"/>
      <c r="J4154" s="54"/>
      <c r="K4154" s="54"/>
      <c r="L4154" s="54"/>
      <c r="M4154" s="97" t="str">
        <f t="shared" si="347"/>
        <v/>
      </c>
      <c r="N4154" s="70"/>
      <c r="O4154" s="71" t="str">
        <f t="shared" si="351"/>
        <v/>
      </c>
      <c r="P4154" s="66"/>
      <c r="Q4154" s="66"/>
      <c r="R4154" s="54"/>
      <c r="S4154" s="82"/>
      <c r="T4154" s="83" t="str">
        <f t="shared" si="348"/>
        <v/>
      </c>
      <c r="U4154" s="10"/>
      <c r="V4154" s="41">
        <f>IF(AND(Q4154&lt;&gt;"",RIGHT(Q4154,3)&lt;&gt;""),IF(COUNTIF($Q$6:Q4154,Q4154)=1,1,0),0)</f>
        <v>0</v>
      </c>
      <c r="W4154" s="41" t="str">
        <f t="shared" si="349"/>
        <v/>
      </c>
      <c r="X4154" s="41" t="str">
        <f t="shared" si="350"/>
        <v/>
      </c>
    </row>
    <row r="4155" s="32" customFormat="1" hidden="1" customHeight="1" spans="1:24">
      <c r="A4155" s="34"/>
      <c r="B4155" s="51"/>
      <c r="C4155" s="51"/>
      <c r="D4155" s="52"/>
      <c r="E4155" s="53"/>
      <c r="F4155" s="54"/>
      <c r="G4155" s="54"/>
      <c r="H4155" s="54"/>
      <c r="I4155" s="66"/>
      <c r="J4155" s="54"/>
      <c r="K4155" s="54"/>
      <c r="L4155" s="54"/>
      <c r="M4155" s="97" t="str">
        <f t="shared" si="347"/>
        <v/>
      </c>
      <c r="N4155" s="70"/>
      <c r="O4155" s="71" t="str">
        <f t="shared" si="351"/>
        <v/>
      </c>
      <c r="P4155" s="66"/>
      <c r="Q4155" s="66"/>
      <c r="R4155" s="54"/>
      <c r="S4155" s="82"/>
      <c r="T4155" s="83" t="str">
        <f t="shared" si="348"/>
        <v/>
      </c>
      <c r="U4155" s="10"/>
      <c r="V4155" s="41">
        <f>IF(AND(Q4155&lt;&gt;"",RIGHT(Q4155,3)&lt;&gt;""),IF(COUNTIF($Q$6:Q4155,Q4155)=1,1,0),0)</f>
        <v>0</v>
      </c>
      <c r="W4155" s="41" t="str">
        <f t="shared" si="349"/>
        <v/>
      </c>
      <c r="X4155" s="41" t="str">
        <f t="shared" si="350"/>
        <v/>
      </c>
    </row>
    <row r="4156" s="32" customFormat="1" hidden="1" customHeight="1" spans="1:24">
      <c r="A4156" s="34"/>
      <c r="B4156" s="51"/>
      <c r="C4156" s="51"/>
      <c r="D4156" s="52"/>
      <c r="E4156" s="53"/>
      <c r="F4156" s="54"/>
      <c r="G4156" s="54"/>
      <c r="H4156" s="54"/>
      <c r="I4156" s="66"/>
      <c r="J4156" s="54"/>
      <c r="K4156" s="54"/>
      <c r="L4156" s="54"/>
      <c r="M4156" s="97" t="str">
        <f t="shared" si="347"/>
        <v/>
      </c>
      <c r="N4156" s="70"/>
      <c r="O4156" s="71" t="str">
        <f t="shared" si="351"/>
        <v/>
      </c>
      <c r="P4156" s="66"/>
      <c r="Q4156" s="66"/>
      <c r="R4156" s="54"/>
      <c r="S4156" s="82"/>
      <c r="T4156" s="83" t="str">
        <f t="shared" si="348"/>
        <v/>
      </c>
      <c r="U4156" s="10"/>
      <c r="V4156" s="41">
        <f>IF(AND(Q4156&lt;&gt;"",RIGHT(Q4156,3)&lt;&gt;""),IF(COUNTIF($Q$6:Q4156,Q4156)=1,1,0),0)</f>
        <v>0</v>
      </c>
      <c r="W4156" s="41" t="str">
        <f t="shared" si="349"/>
        <v/>
      </c>
      <c r="X4156" s="41" t="str">
        <f t="shared" si="350"/>
        <v/>
      </c>
    </row>
    <row r="4157" s="32" customFormat="1" hidden="1" customHeight="1" spans="1:24">
      <c r="A4157" s="34"/>
      <c r="B4157" s="51"/>
      <c r="C4157" s="51"/>
      <c r="D4157" s="52"/>
      <c r="E4157" s="53"/>
      <c r="F4157" s="54"/>
      <c r="G4157" s="54"/>
      <c r="H4157" s="54"/>
      <c r="I4157" s="66"/>
      <c r="J4157" s="54"/>
      <c r="K4157" s="54"/>
      <c r="L4157" s="54"/>
      <c r="M4157" s="97" t="str">
        <f t="shared" si="347"/>
        <v/>
      </c>
      <c r="N4157" s="70"/>
      <c r="O4157" s="71" t="str">
        <f t="shared" si="351"/>
        <v/>
      </c>
      <c r="P4157" s="66"/>
      <c r="Q4157" s="66"/>
      <c r="R4157" s="54"/>
      <c r="S4157" s="82"/>
      <c r="T4157" s="83" t="str">
        <f t="shared" si="348"/>
        <v/>
      </c>
      <c r="U4157" s="10"/>
      <c r="V4157" s="41">
        <f>IF(AND(Q4157&lt;&gt;"",RIGHT(Q4157,3)&lt;&gt;""),IF(COUNTIF($Q$6:Q4157,Q4157)=1,1,0),0)</f>
        <v>0</v>
      </c>
      <c r="W4157" s="41" t="str">
        <f t="shared" si="349"/>
        <v/>
      </c>
      <c r="X4157" s="41" t="str">
        <f t="shared" si="350"/>
        <v/>
      </c>
    </row>
    <row r="4158" s="32" customFormat="1" hidden="1" customHeight="1" spans="1:24">
      <c r="A4158" s="34"/>
      <c r="B4158" s="51"/>
      <c r="C4158" s="51"/>
      <c r="D4158" s="52"/>
      <c r="E4158" s="53"/>
      <c r="F4158" s="54"/>
      <c r="G4158" s="54"/>
      <c r="H4158" s="54"/>
      <c r="I4158" s="66"/>
      <c r="J4158" s="54"/>
      <c r="K4158" s="54"/>
      <c r="L4158" s="54"/>
      <c r="M4158" s="97" t="str">
        <f t="shared" si="347"/>
        <v/>
      </c>
      <c r="N4158" s="70"/>
      <c r="O4158" s="71" t="str">
        <f t="shared" si="351"/>
        <v/>
      </c>
      <c r="P4158" s="66"/>
      <c r="Q4158" s="66"/>
      <c r="R4158" s="54"/>
      <c r="S4158" s="82"/>
      <c r="T4158" s="83" t="str">
        <f t="shared" si="348"/>
        <v/>
      </c>
      <c r="U4158" s="10"/>
      <c r="V4158" s="41">
        <f>IF(AND(Q4158&lt;&gt;"",RIGHT(Q4158,3)&lt;&gt;""),IF(COUNTIF($Q$6:Q4158,Q4158)=1,1,0),0)</f>
        <v>0</v>
      </c>
      <c r="W4158" s="41" t="str">
        <f t="shared" si="349"/>
        <v/>
      </c>
      <c r="X4158" s="41" t="str">
        <f t="shared" si="350"/>
        <v/>
      </c>
    </row>
    <row r="4159" s="32" customFormat="1" hidden="1" customHeight="1" spans="1:24">
      <c r="A4159" s="34"/>
      <c r="B4159" s="51"/>
      <c r="C4159" s="51"/>
      <c r="D4159" s="52"/>
      <c r="E4159" s="53"/>
      <c r="F4159" s="54"/>
      <c r="G4159" s="54"/>
      <c r="H4159" s="54"/>
      <c r="I4159" s="66"/>
      <c r="J4159" s="54"/>
      <c r="K4159" s="54"/>
      <c r="L4159" s="54"/>
      <c r="M4159" s="97" t="str">
        <f t="shared" si="347"/>
        <v/>
      </c>
      <c r="N4159" s="70"/>
      <c r="O4159" s="71" t="str">
        <f t="shared" si="351"/>
        <v/>
      </c>
      <c r="P4159" s="66"/>
      <c r="Q4159" s="66"/>
      <c r="R4159" s="54"/>
      <c r="S4159" s="82"/>
      <c r="T4159" s="83" t="str">
        <f t="shared" si="348"/>
        <v/>
      </c>
      <c r="U4159" s="10"/>
      <c r="V4159" s="41">
        <f>IF(AND(Q4159&lt;&gt;"",RIGHT(Q4159,3)&lt;&gt;""),IF(COUNTIF($Q$6:Q4159,Q4159)=1,1,0),0)</f>
        <v>0</v>
      </c>
      <c r="W4159" s="41" t="str">
        <f t="shared" si="349"/>
        <v/>
      </c>
      <c r="X4159" s="41" t="str">
        <f t="shared" si="350"/>
        <v/>
      </c>
    </row>
    <row r="4160" s="32" customFormat="1" hidden="1" customHeight="1" spans="1:24">
      <c r="A4160" s="34"/>
      <c r="B4160" s="51"/>
      <c r="C4160" s="51"/>
      <c r="D4160" s="52"/>
      <c r="E4160" s="53"/>
      <c r="F4160" s="54"/>
      <c r="G4160" s="54"/>
      <c r="H4160" s="54"/>
      <c r="I4160" s="66"/>
      <c r="J4160" s="54"/>
      <c r="K4160" s="54"/>
      <c r="L4160" s="54"/>
      <c r="M4160" s="97" t="str">
        <f t="shared" si="347"/>
        <v/>
      </c>
      <c r="N4160" s="70"/>
      <c r="O4160" s="71" t="str">
        <f t="shared" si="351"/>
        <v/>
      </c>
      <c r="P4160" s="66"/>
      <c r="Q4160" s="66"/>
      <c r="R4160" s="54"/>
      <c r="S4160" s="82"/>
      <c r="T4160" s="83" t="str">
        <f t="shared" si="348"/>
        <v/>
      </c>
      <c r="U4160" s="10"/>
      <c r="V4160" s="41">
        <f>IF(AND(Q4160&lt;&gt;"",RIGHT(Q4160,3)&lt;&gt;""),IF(COUNTIF($Q$6:Q4160,Q4160)=1,1,0),0)</f>
        <v>0</v>
      </c>
      <c r="W4160" s="41" t="str">
        <f t="shared" si="349"/>
        <v/>
      </c>
      <c r="X4160" s="41" t="str">
        <f t="shared" si="350"/>
        <v/>
      </c>
    </row>
    <row r="4161" s="32" customFormat="1" hidden="1" customHeight="1" spans="1:24">
      <c r="A4161" s="34"/>
      <c r="B4161" s="51"/>
      <c r="C4161" s="51"/>
      <c r="D4161" s="52"/>
      <c r="E4161" s="53"/>
      <c r="F4161" s="54"/>
      <c r="G4161" s="54"/>
      <c r="H4161" s="54"/>
      <c r="I4161" s="66"/>
      <c r="J4161" s="54"/>
      <c r="K4161" s="54"/>
      <c r="L4161" s="54"/>
      <c r="M4161" s="97" t="str">
        <f t="shared" si="347"/>
        <v/>
      </c>
      <c r="N4161" s="70"/>
      <c r="O4161" s="71" t="str">
        <f t="shared" si="351"/>
        <v/>
      </c>
      <c r="P4161" s="66"/>
      <c r="Q4161" s="66"/>
      <c r="R4161" s="54"/>
      <c r="S4161" s="82"/>
      <c r="T4161" s="83" t="str">
        <f t="shared" si="348"/>
        <v/>
      </c>
      <c r="U4161" s="10"/>
      <c r="V4161" s="41">
        <f>IF(AND(Q4161&lt;&gt;"",RIGHT(Q4161,3)&lt;&gt;""),IF(COUNTIF($Q$6:Q4161,Q4161)=1,1,0),0)</f>
        <v>0</v>
      </c>
      <c r="W4161" s="41" t="str">
        <f t="shared" si="349"/>
        <v/>
      </c>
      <c r="X4161" s="41" t="str">
        <f t="shared" si="350"/>
        <v/>
      </c>
    </row>
    <row r="4162" s="32" customFormat="1" hidden="1" customHeight="1" spans="1:24">
      <c r="A4162" s="34"/>
      <c r="B4162" s="51"/>
      <c r="C4162" s="51"/>
      <c r="D4162" s="52"/>
      <c r="E4162" s="53"/>
      <c r="F4162" s="54"/>
      <c r="G4162" s="54"/>
      <c r="H4162" s="54"/>
      <c r="I4162" s="66"/>
      <c r="J4162" s="54"/>
      <c r="K4162" s="54"/>
      <c r="L4162" s="54"/>
      <c r="M4162" s="97" t="str">
        <f t="shared" si="347"/>
        <v/>
      </c>
      <c r="N4162" s="70"/>
      <c r="O4162" s="71" t="str">
        <f t="shared" si="351"/>
        <v/>
      </c>
      <c r="P4162" s="66"/>
      <c r="Q4162" s="66"/>
      <c r="R4162" s="54"/>
      <c r="S4162" s="82"/>
      <c r="T4162" s="83" t="str">
        <f t="shared" si="348"/>
        <v/>
      </c>
      <c r="U4162" s="10"/>
      <c r="V4162" s="41">
        <f>IF(AND(Q4162&lt;&gt;"",RIGHT(Q4162,3)&lt;&gt;""),IF(COUNTIF($Q$6:Q4162,Q4162)=1,1,0),0)</f>
        <v>0</v>
      </c>
      <c r="W4162" s="41" t="str">
        <f t="shared" si="349"/>
        <v/>
      </c>
      <c r="X4162" s="41" t="str">
        <f t="shared" si="350"/>
        <v/>
      </c>
    </row>
    <row r="4163" s="32" customFormat="1" hidden="1" customHeight="1" spans="1:24">
      <c r="A4163" s="34"/>
      <c r="B4163" s="51"/>
      <c r="C4163" s="51"/>
      <c r="D4163" s="52"/>
      <c r="E4163" s="53"/>
      <c r="F4163" s="54"/>
      <c r="G4163" s="54"/>
      <c r="H4163" s="54"/>
      <c r="I4163" s="66"/>
      <c r="J4163" s="54"/>
      <c r="K4163" s="54"/>
      <c r="L4163" s="54"/>
      <c r="M4163" s="97" t="str">
        <f t="shared" si="347"/>
        <v/>
      </c>
      <c r="N4163" s="70"/>
      <c r="O4163" s="71" t="str">
        <f t="shared" si="351"/>
        <v/>
      </c>
      <c r="P4163" s="66"/>
      <c r="Q4163" s="66"/>
      <c r="R4163" s="54"/>
      <c r="S4163" s="82"/>
      <c r="T4163" s="83" t="str">
        <f t="shared" si="348"/>
        <v/>
      </c>
      <c r="U4163" s="10"/>
      <c r="V4163" s="41">
        <f>IF(AND(Q4163&lt;&gt;"",RIGHT(Q4163,3)&lt;&gt;""),IF(COUNTIF($Q$6:Q4163,Q4163)=1,1,0),0)</f>
        <v>0</v>
      </c>
      <c r="W4163" s="41" t="str">
        <f t="shared" si="349"/>
        <v/>
      </c>
      <c r="X4163" s="41" t="str">
        <f t="shared" si="350"/>
        <v/>
      </c>
    </row>
    <row r="4164" s="32" customFormat="1" hidden="1" customHeight="1" spans="1:24">
      <c r="A4164" s="34"/>
      <c r="B4164" s="51"/>
      <c r="C4164" s="51"/>
      <c r="D4164" s="52"/>
      <c r="E4164" s="53"/>
      <c r="F4164" s="54"/>
      <c r="G4164" s="54"/>
      <c r="H4164" s="54"/>
      <c r="I4164" s="66"/>
      <c r="J4164" s="54"/>
      <c r="K4164" s="54"/>
      <c r="L4164" s="54"/>
      <c r="M4164" s="97" t="str">
        <f t="shared" si="347"/>
        <v/>
      </c>
      <c r="N4164" s="70"/>
      <c r="O4164" s="71" t="str">
        <f t="shared" si="351"/>
        <v/>
      </c>
      <c r="P4164" s="66"/>
      <c r="Q4164" s="66"/>
      <c r="R4164" s="54"/>
      <c r="S4164" s="82"/>
      <c r="T4164" s="83" t="str">
        <f t="shared" si="348"/>
        <v/>
      </c>
      <c r="U4164" s="10"/>
      <c r="V4164" s="41">
        <f>IF(AND(Q4164&lt;&gt;"",RIGHT(Q4164,3)&lt;&gt;""),IF(COUNTIF($Q$6:Q4164,Q4164)=1,1,0),0)</f>
        <v>0</v>
      </c>
      <c r="W4164" s="41" t="str">
        <f t="shared" si="349"/>
        <v/>
      </c>
      <c r="X4164" s="41" t="str">
        <f t="shared" si="350"/>
        <v/>
      </c>
    </row>
    <row r="4165" s="32" customFormat="1" hidden="1" customHeight="1" spans="1:24">
      <c r="A4165" s="34"/>
      <c r="B4165" s="51"/>
      <c r="C4165" s="51"/>
      <c r="D4165" s="52"/>
      <c r="E4165" s="53"/>
      <c r="F4165" s="54"/>
      <c r="G4165" s="54"/>
      <c r="H4165" s="54"/>
      <c r="I4165" s="66"/>
      <c r="J4165" s="54"/>
      <c r="K4165" s="54"/>
      <c r="L4165" s="54"/>
      <c r="M4165" s="97" t="str">
        <f t="shared" si="347"/>
        <v/>
      </c>
      <c r="N4165" s="70"/>
      <c r="O4165" s="71" t="str">
        <f t="shared" si="351"/>
        <v/>
      </c>
      <c r="P4165" s="66"/>
      <c r="Q4165" s="66"/>
      <c r="R4165" s="54"/>
      <c r="S4165" s="82"/>
      <c r="T4165" s="83" t="str">
        <f t="shared" si="348"/>
        <v/>
      </c>
      <c r="U4165" s="10"/>
      <c r="V4165" s="41">
        <f>IF(AND(Q4165&lt;&gt;"",RIGHT(Q4165,3)&lt;&gt;""),IF(COUNTIF($Q$6:Q4165,Q4165)=1,1,0),0)</f>
        <v>0</v>
      </c>
      <c r="W4165" s="41" t="str">
        <f t="shared" si="349"/>
        <v/>
      </c>
      <c r="X4165" s="41" t="str">
        <f t="shared" si="350"/>
        <v/>
      </c>
    </row>
    <row r="4166" s="32" customFormat="1" hidden="1" customHeight="1" spans="1:24">
      <c r="A4166" s="34"/>
      <c r="B4166" s="51"/>
      <c r="C4166" s="51"/>
      <c r="D4166" s="52"/>
      <c r="E4166" s="53"/>
      <c r="F4166" s="54"/>
      <c r="G4166" s="54"/>
      <c r="H4166" s="54"/>
      <c r="I4166" s="66"/>
      <c r="J4166" s="54"/>
      <c r="K4166" s="54"/>
      <c r="L4166" s="54"/>
      <c r="M4166" s="97" t="str">
        <f t="shared" si="347"/>
        <v/>
      </c>
      <c r="N4166" s="70"/>
      <c r="O4166" s="71" t="str">
        <f t="shared" si="351"/>
        <v/>
      </c>
      <c r="P4166" s="66"/>
      <c r="Q4166" s="66"/>
      <c r="R4166" s="54"/>
      <c r="S4166" s="82"/>
      <c r="T4166" s="83" t="str">
        <f t="shared" si="348"/>
        <v/>
      </c>
      <c r="U4166" s="10"/>
      <c r="V4166" s="41">
        <f>IF(AND(Q4166&lt;&gt;"",RIGHT(Q4166,3)&lt;&gt;""),IF(COUNTIF($Q$6:Q4166,Q4166)=1,1,0),0)</f>
        <v>0</v>
      </c>
      <c r="W4166" s="41" t="str">
        <f t="shared" si="349"/>
        <v/>
      </c>
      <c r="X4166" s="41" t="str">
        <f t="shared" si="350"/>
        <v/>
      </c>
    </row>
    <row r="4167" s="32" customFormat="1" hidden="1" customHeight="1" spans="1:24">
      <c r="A4167" s="34"/>
      <c r="B4167" s="51"/>
      <c r="C4167" s="51"/>
      <c r="D4167" s="52"/>
      <c r="E4167" s="53"/>
      <c r="F4167" s="54"/>
      <c r="G4167" s="54"/>
      <c r="H4167" s="54"/>
      <c r="I4167" s="66"/>
      <c r="J4167" s="54"/>
      <c r="K4167" s="54"/>
      <c r="L4167" s="54"/>
      <c r="M4167" s="97" t="str">
        <f t="shared" si="347"/>
        <v/>
      </c>
      <c r="N4167" s="70"/>
      <c r="O4167" s="71" t="str">
        <f t="shared" si="351"/>
        <v/>
      </c>
      <c r="P4167" s="66"/>
      <c r="Q4167" s="66"/>
      <c r="R4167" s="54"/>
      <c r="S4167" s="82"/>
      <c r="T4167" s="83" t="str">
        <f t="shared" si="348"/>
        <v/>
      </c>
      <c r="U4167" s="10"/>
      <c r="V4167" s="41">
        <f>IF(AND(Q4167&lt;&gt;"",RIGHT(Q4167,3)&lt;&gt;""),IF(COUNTIF($Q$6:Q4167,Q4167)=1,1,0),0)</f>
        <v>0</v>
      </c>
      <c r="W4167" s="41" t="str">
        <f t="shared" si="349"/>
        <v/>
      </c>
      <c r="X4167" s="41" t="str">
        <f t="shared" si="350"/>
        <v/>
      </c>
    </row>
    <row r="4168" s="32" customFormat="1" hidden="1" customHeight="1" spans="1:24">
      <c r="A4168" s="34"/>
      <c r="B4168" s="51"/>
      <c r="C4168" s="51"/>
      <c r="D4168" s="52"/>
      <c r="E4168" s="53"/>
      <c r="F4168" s="54"/>
      <c r="G4168" s="54"/>
      <c r="H4168" s="54"/>
      <c r="I4168" s="66"/>
      <c r="J4168" s="54"/>
      <c r="K4168" s="54"/>
      <c r="L4168" s="54"/>
      <c r="M4168" s="97" t="str">
        <f t="shared" si="347"/>
        <v/>
      </c>
      <c r="N4168" s="70"/>
      <c r="O4168" s="71" t="str">
        <f t="shared" si="351"/>
        <v/>
      </c>
      <c r="P4168" s="66"/>
      <c r="Q4168" s="66"/>
      <c r="R4168" s="54"/>
      <c r="S4168" s="82"/>
      <c r="T4168" s="83" t="str">
        <f t="shared" si="348"/>
        <v/>
      </c>
      <c r="U4168" s="10"/>
      <c r="V4168" s="41">
        <f>IF(AND(Q4168&lt;&gt;"",RIGHT(Q4168,3)&lt;&gt;""),IF(COUNTIF($Q$6:Q4168,Q4168)=1,1,0),0)</f>
        <v>0</v>
      </c>
      <c r="W4168" s="41" t="str">
        <f t="shared" si="349"/>
        <v/>
      </c>
      <c r="X4168" s="41" t="str">
        <f t="shared" si="350"/>
        <v/>
      </c>
    </row>
    <row r="4169" s="32" customFormat="1" hidden="1" customHeight="1" spans="1:24">
      <c r="A4169" s="34"/>
      <c r="B4169" s="51"/>
      <c r="C4169" s="51"/>
      <c r="D4169" s="52"/>
      <c r="E4169" s="53"/>
      <c r="F4169" s="54"/>
      <c r="G4169" s="54"/>
      <c r="H4169" s="54"/>
      <c r="I4169" s="66"/>
      <c r="J4169" s="54"/>
      <c r="K4169" s="54"/>
      <c r="L4169" s="54"/>
      <c r="M4169" s="97" t="str">
        <f t="shared" si="347"/>
        <v/>
      </c>
      <c r="N4169" s="70"/>
      <c r="O4169" s="71" t="str">
        <f t="shared" si="351"/>
        <v/>
      </c>
      <c r="P4169" s="66"/>
      <c r="Q4169" s="66"/>
      <c r="R4169" s="54"/>
      <c r="S4169" s="82"/>
      <c r="T4169" s="83" t="str">
        <f t="shared" si="348"/>
        <v/>
      </c>
      <c r="U4169" s="10"/>
      <c r="V4169" s="41">
        <f>IF(AND(Q4169&lt;&gt;"",RIGHT(Q4169,3)&lt;&gt;""),IF(COUNTIF($Q$6:Q4169,Q4169)=1,1,0),0)</f>
        <v>0</v>
      </c>
      <c r="W4169" s="41" t="str">
        <f t="shared" si="349"/>
        <v/>
      </c>
      <c r="X4169" s="41" t="str">
        <f t="shared" si="350"/>
        <v/>
      </c>
    </row>
    <row r="4170" s="32" customFormat="1" hidden="1" customHeight="1" spans="1:24">
      <c r="A4170" s="34"/>
      <c r="B4170" s="51"/>
      <c r="C4170" s="51"/>
      <c r="D4170" s="52"/>
      <c r="E4170" s="53"/>
      <c r="F4170" s="54"/>
      <c r="G4170" s="54"/>
      <c r="H4170" s="54"/>
      <c r="I4170" s="66"/>
      <c r="J4170" s="54"/>
      <c r="K4170" s="54"/>
      <c r="L4170" s="54"/>
      <c r="M4170" s="97" t="str">
        <f t="shared" si="347"/>
        <v/>
      </c>
      <c r="N4170" s="70"/>
      <c r="O4170" s="71" t="str">
        <f t="shared" si="351"/>
        <v/>
      </c>
      <c r="P4170" s="66"/>
      <c r="Q4170" s="66"/>
      <c r="R4170" s="54"/>
      <c r="S4170" s="82"/>
      <c r="T4170" s="83" t="str">
        <f t="shared" si="348"/>
        <v/>
      </c>
      <c r="U4170" s="10"/>
      <c r="V4170" s="41">
        <f>IF(AND(Q4170&lt;&gt;"",RIGHT(Q4170,3)&lt;&gt;""),IF(COUNTIF($Q$6:Q4170,Q4170)=1,1,0),0)</f>
        <v>0</v>
      </c>
      <c r="W4170" s="41" t="str">
        <f t="shared" si="349"/>
        <v/>
      </c>
      <c r="X4170" s="41" t="str">
        <f t="shared" si="350"/>
        <v/>
      </c>
    </row>
    <row r="4171" s="32" customFormat="1" hidden="1" customHeight="1" spans="1:24">
      <c r="A4171" s="34"/>
      <c r="B4171" s="51"/>
      <c r="C4171" s="51"/>
      <c r="D4171" s="52"/>
      <c r="E4171" s="53"/>
      <c r="F4171" s="54"/>
      <c r="G4171" s="54"/>
      <c r="H4171" s="54"/>
      <c r="I4171" s="66"/>
      <c r="J4171" s="54"/>
      <c r="K4171" s="54"/>
      <c r="L4171" s="54"/>
      <c r="M4171" s="97" t="str">
        <f t="shared" si="347"/>
        <v/>
      </c>
      <c r="N4171" s="70"/>
      <c r="O4171" s="71" t="str">
        <f t="shared" si="351"/>
        <v/>
      </c>
      <c r="P4171" s="66"/>
      <c r="Q4171" s="66"/>
      <c r="R4171" s="54"/>
      <c r="S4171" s="82"/>
      <c r="T4171" s="83" t="str">
        <f t="shared" si="348"/>
        <v/>
      </c>
      <c r="U4171" s="10"/>
      <c r="V4171" s="41">
        <f>IF(AND(Q4171&lt;&gt;"",RIGHT(Q4171,3)&lt;&gt;""),IF(COUNTIF($Q$6:Q4171,Q4171)=1,1,0),0)</f>
        <v>0</v>
      </c>
      <c r="W4171" s="41" t="str">
        <f t="shared" si="349"/>
        <v/>
      </c>
      <c r="X4171" s="41" t="str">
        <f t="shared" si="350"/>
        <v/>
      </c>
    </row>
    <row r="4172" s="32" customFormat="1" hidden="1" customHeight="1" spans="1:24">
      <c r="A4172" s="34"/>
      <c r="B4172" s="51"/>
      <c r="C4172" s="51"/>
      <c r="D4172" s="52"/>
      <c r="E4172" s="53"/>
      <c r="F4172" s="54"/>
      <c r="G4172" s="54"/>
      <c r="H4172" s="54"/>
      <c r="I4172" s="66"/>
      <c r="J4172" s="54"/>
      <c r="K4172" s="54"/>
      <c r="L4172" s="54"/>
      <c r="M4172" s="97" t="str">
        <f t="shared" si="347"/>
        <v/>
      </c>
      <c r="N4172" s="70"/>
      <c r="O4172" s="71" t="str">
        <f t="shared" si="351"/>
        <v/>
      </c>
      <c r="P4172" s="66"/>
      <c r="Q4172" s="66"/>
      <c r="R4172" s="54"/>
      <c r="S4172" s="82"/>
      <c r="T4172" s="83" t="str">
        <f t="shared" si="348"/>
        <v/>
      </c>
      <c r="U4172" s="10"/>
      <c r="V4172" s="41">
        <f>IF(AND(Q4172&lt;&gt;"",RIGHT(Q4172,3)&lt;&gt;""),IF(COUNTIF($Q$6:Q4172,Q4172)=1,1,0),0)</f>
        <v>0</v>
      </c>
      <c r="W4172" s="41" t="str">
        <f t="shared" si="349"/>
        <v/>
      </c>
      <c r="X4172" s="41" t="str">
        <f t="shared" si="350"/>
        <v/>
      </c>
    </row>
    <row r="4173" s="32" customFormat="1" hidden="1" customHeight="1" spans="1:24">
      <c r="A4173" s="34"/>
      <c r="B4173" s="51"/>
      <c r="C4173" s="51"/>
      <c r="D4173" s="52"/>
      <c r="E4173" s="53"/>
      <c r="F4173" s="54"/>
      <c r="G4173" s="54"/>
      <c r="H4173" s="54"/>
      <c r="I4173" s="66"/>
      <c r="J4173" s="54"/>
      <c r="K4173" s="54"/>
      <c r="L4173" s="54"/>
      <c r="M4173" s="97" t="str">
        <f t="shared" si="347"/>
        <v/>
      </c>
      <c r="N4173" s="70"/>
      <c r="O4173" s="71" t="str">
        <f t="shared" si="351"/>
        <v/>
      </c>
      <c r="P4173" s="66"/>
      <c r="Q4173" s="66"/>
      <c r="R4173" s="54"/>
      <c r="S4173" s="82"/>
      <c r="T4173" s="83" t="str">
        <f t="shared" si="348"/>
        <v/>
      </c>
      <c r="U4173" s="10"/>
      <c r="V4173" s="41">
        <f>IF(AND(Q4173&lt;&gt;"",RIGHT(Q4173,3)&lt;&gt;""),IF(COUNTIF($Q$6:Q4173,Q4173)=1,1,0),0)</f>
        <v>0</v>
      </c>
      <c r="W4173" s="41" t="str">
        <f t="shared" si="349"/>
        <v/>
      </c>
      <c r="X4173" s="41" t="str">
        <f t="shared" si="350"/>
        <v/>
      </c>
    </row>
    <row r="4174" s="32" customFormat="1" hidden="1" customHeight="1" spans="1:24">
      <c r="A4174" s="34"/>
      <c r="B4174" s="51"/>
      <c r="C4174" s="51"/>
      <c r="D4174" s="52"/>
      <c r="E4174" s="53"/>
      <c r="F4174" s="54"/>
      <c r="G4174" s="54"/>
      <c r="H4174" s="54"/>
      <c r="I4174" s="66"/>
      <c r="J4174" s="54"/>
      <c r="K4174" s="54"/>
      <c r="L4174" s="54"/>
      <c r="M4174" s="97" t="str">
        <f t="shared" si="347"/>
        <v/>
      </c>
      <c r="N4174" s="70"/>
      <c r="O4174" s="71" t="str">
        <f t="shared" si="351"/>
        <v/>
      </c>
      <c r="P4174" s="66"/>
      <c r="Q4174" s="66"/>
      <c r="R4174" s="54"/>
      <c r="S4174" s="82"/>
      <c r="T4174" s="83" t="str">
        <f t="shared" si="348"/>
        <v/>
      </c>
      <c r="U4174" s="10"/>
      <c r="V4174" s="41">
        <f>IF(AND(Q4174&lt;&gt;"",RIGHT(Q4174,3)&lt;&gt;""),IF(COUNTIF($Q$6:Q4174,Q4174)=1,1,0),0)</f>
        <v>0</v>
      </c>
      <c r="W4174" s="41" t="str">
        <f t="shared" si="349"/>
        <v/>
      </c>
      <c r="X4174" s="41" t="str">
        <f t="shared" si="350"/>
        <v/>
      </c>
    </row>
    <row r="4175" s="32" customFormat="1" hidden="1" customHeight="1" spans="1:24">
      <c r="A4175" s="34"/>
      <c r="B4175" s="51"/>
      <c r="C4175" s="51"/>
      <c r="D4175" s="52"/>
      <c r="E4175" s="53"/>
      <c r="F4175" s="54"/>
      <c r="G4175" s="54"/>
      <c r="H4175" s="54"/>
      <c r="I4175" s="66"/>
      <c r="J4175" s="54"/>
      <c r="K4175" s="54"/>
      <c r="L4175" s="54"/>
      <c r="M4175" s="97" t="str">
        <f t="shared" si="347"/>
        <v/>
      </c>
      <c r="N4175" s="70"/>
      <c r="O4175" s="71" t="str">
        <f t="shared" si="351"/>
        <v/>
      </c>
      <c r="P4175" s="66"/>
      <c r="Q4175" s="66"/>
      <c r="R4175" s="54"/>
      <c r="S4175" s="82"/>
      <c r="T4175" s="83" t="str">
        <f t="shared" si="348"/>
        <v/>
      </c>
      <c r="U4175" s="10"/>
      <c r="V4175" s="41">
        <f>IF(AND(Q4175&lt;&gt;"",RIGHT(Q4175,3)&lt;&gt;""),IF(COUNTIF($Q$6:Q4175,Q4175)=1,1,0),0)</f>
        <v>0</v>
      </c>
      <c r="W4175" s="41" t="str">
        <f t="shared" si="349"/>
        <v/>
      </c>
      <c r="X4175" s="41" t="str">
        <f t="shared" si="350"/>
        <v/>
      </c>
    </row>
    <row r="4176" s="32" customFormat="1" hidden="1" customHeight="1" spans="1:24">
      <c r="A4176" s="34"/>
      <c r="B4176" s="51"/>
      <c r="C4176" s="51"/>
      <c r="D4176" s="52"/>
      <c r="E4176" s="53"/>
      <c r="F4176" s="54"/>
      <c r="G4176" s="54"/>
      <c r="H4176" s="54"/>
      <c r="I4176" s="66"/>
      <c r="J4176" s="54"/>
      <c r="K4176" s="54"/>
      <c r="L4176" s="54"/>
      <c r="M4176" s="97" t="str">
        <f t="shared" si="347"/>
        <v/>
      </c>
      <c r="N4176" s="70"/>
      <c r="O4176" s="71" t="str">
        <f t="shared" si="351"/>
        <v/>
      </c>
      <c r="P4176" s="66"/>
      <c r="Q4176" s="66"/>
      <c r="R4176" s="54"/>
      <c r="S4176" s="82"/>
      <c r="T4176" s="83" t="str">
        <f t="shared" si="348"/>
        <v/>
      </c>
      <c r="U4176" s="10"/>
      <c r="V4176" s="41">
        <f>IF(AND(Q4176&lt;&gt;"",RIGHT(Q4176,3)&lt;&gt;""),IF(COUNTIF($Q$6:Q4176,Q4176)=1,1,0),0)</f>
        <v>0</v>
      </c>
      <c r="W4176" s="41" t="str">
        <f t="shared" si="349"/>
        <v/>
      </c>
      <c r="X4176" s="41" t="str">
        <f t="shared" si="350"/>
        <v/>
      </c>
    </row>
    <row r="4177" s="32" customFormat="1" hidden="1" customHeight="1" spans="1:24">
      <c r="A4177" s="34"/>
      <c r="B4177" s="51"/>
      <c r="C4177" s="51"/>
      <c r="D4177" s="52"/>
      <c r="E4177" s="53"/>
      <c r="F4177" s="54"/>
      <c r="G4177" s="54"/>
      <c r="H4177" s="54"/>
      <c r="I4177" s="66"/>
      <c r="J4177" s="54"/>
      <c r="K4177" s="54"/>
      <c r="L4177" s="54"/>
      <c r="M4177" s="97" t="str">
        <f t="shared" si="347"/>
        <v/>
      </c>
      <c r="N4177" s="70"/>
      <c r="O4177" s="71" t="str">
        <f t="shared" si="351"/>
        <v/>
      </c>
      <c r="P4177" s="66"/>
      <c r="Q4177" s="66"/>
      <c r="R4177" s="54"/>
      <c r="S4177" s="82"/>
      <c r="T4177" s="83" t="str">
        <f t="shared" si="348"/>
        <v/>
      </c>
      <c r="U4177" s="10"/>
      <c r="V4177" s="41">
        <f>IF(AND(Q4177&lt;&gt;"",RIGHT(Q4177,3)&lt;&gt;""),IF(COUNTIF($Q$6:Q4177,Q4177)=1,1,0),0)</f>
        <v>0</v>
      </c>
      <c r="W4177" s="41" t="str">
        <f t="shared" si="349"/>
        <v/>
      </c>
      <c r="X4177" s="41" t="str">
        <f t="shared" si="350"/>
        <v/>
      </c>
    </row>
    <row r="4178" s="32" customFormat="1" hidden="1" customHeight="1" spans="1:24">
      <c r="A4178" s="34"/>
      <c r="B4178" s="51"/>
      <c r="C4178" s="51"/>
      <c r="D4178" s="52"/>
      <c r="E4178" s="53"/>
      <c r="F4178" s="54"/>
      <c r="G4178" s="54"/>
      <c r="H4178" s="54"/>
      <c r="I4178" s="66"/>
      <c r="J4178" s="54"/>
      <c r="K4178" s="54"/>
      <c r="L4178" s="54"/>
      <c r="M4178" s="97" t="str">
        <f t="shared" si="347"/>
        <v/>
      </c>
      <c r="N4178" s="70"/>
      <c r="O4178" s="71" t="str">
        <f t="shared" si="351"/>
        <v/>
      </c>
      <c r="P4178" s="66"/>
      <c r="Q4178" s="66"/>
      <c r="R4178" s="54"/>
      <c r="S4178" s="82"/>
      <c r="T4178" s="83" t="str">
        <f t="shared" si="348"/>
        <v/>
      </c>
      <c r="U4178" s="10"/>
      <c r="V4178" s="41">
        <f>IF(AND(Q4178&lt;&gt;"",RIGHT(Q4178,3)&lt;&gt;""),IF(COUNTIF($Q$6:Q4178,Q4178)=1,1,0),0)</f>
        <v>0</v>
      </c>
      <c r="W4178" s="41" t="str">
        <f t="shared" si="349"/>
        <v/>
      </c>
      <c r="X4178" s="41" t="str">
        <f t="shared" si="350"/>
        <v/>
      </c>
    </row>
    <row r="4179" s="32" customFormat="1" hidden="1" customHeight="1" spans="1:24">
      <c r="A4179" s="34"/>
      <c r="B4179" s="51"/>
      <c r="C4179" s="51"/>
      <c r="D4179" s="52"/>
      <c r="E4179" s="53"/>
      <c r="F4179" s="54"/>
      <c r="G4179" s="54"/>
      <c r="H4179" s="54"/>
      <c r="I4179" s="66"/>
      <c r="J4179" s="54"/>
      <c r="K4179" s="54"/>
      <c r="L4179" s="54"/>
      <c r="M4179" s="97" t="str">
        <f t="shared" si="347"/>
        <v/>
      </c>
      <c r="N4179" s="70"/>
      <c r="O4179" s="71" t="str">
        <f t="shared" si="351"/>
        <v/>
      </c>
      <c r="P4179" s="66"/>
      <c r="Q4179" s="66"/>
      <c r="R4179" s="54"/>
      <c r="S4179" s="82"/>
      <c r="T4179" s="83" t="str">
        <f t="shared" si="348"/>
        <v/>
      </c>
      <c r="U4179" s="10"/>
      <c r="V4179" s="41">
        <f>IF(AND(Q4179&lt;&gt;"",RIGHT(Q4179,3)&lt;&gt;""),IF(COUNTIF($Q$6:Q4179,Q4179)=1,1,0),0)</f>
        <v>0</v>
      </c>
      <c r="W4179" s="41" t="str">
        <f t="shared" si="349"/>
        <v/>
      </c>
      <c r="X4179" s="41" t="str">
        <f t="shared" si="350"/>
        <v/>
      </c>
    </row>
    <row r="4180" s="32" customFormat="1" hidden="1" customHeight="1" spans="1:24">
      <c r="A4180" s="34"/>
      <c r="B4180" s="51"/>
      <c r="C4180" s="51"/>
      <c r="D4180" s="52"/>
      <c r="E4180" s="53"/>
      <c r="F4180" s="54"/>
      <c r="G4180" s="54"/>
      <c r="H4180" s="54"/>
      <c r="I4180" s="66"/>
      <c r="J4180" s="54"/>
      <c r="K4180" s="54"/>
      <c r="L4180" s="54"/>
      <c r="M4180" s="97" t="str">
        <f t="shared" si="347"/>
        <v/>
      </c>
      <c r="N4180" s="70"/>
      <c r="O4180" s="71" t="str">
        <f t="shared" si="351"/>
        <v/>
      </c>
      <c r="P4180" s="66"/>
      <c r="Q4180" s="66"/>
      <c r="R4180" s="54"/>
      <c r="S4180" s="82"/>
      <c r="T4180" s="83" t="str">
        <f t="shared" si="348"/>
        <v/>
      </c>
      <c r="U4180" s="10"/>
      <c r="V4180" s="41">
        <f>IF(AND(Q4180&lt;&gt;"",RIGHT(Q4180,3)&lt;&gt;""),IF(COUNTIF($Q$6:Q4180,Q4180)=1,1,0),0)</f>
        <v>0</v>
      </c>
      <c r="W4180" s="41" t="str">
        <f t="shared" si="349"/>
        <v/>
      </c>
      <c r="X4180" s="41" t="str">
        <f t="shared" si="350"/>
        <v/>
      </c>
    </row>
    <row r="4181" s="32" customFormat="1" hidden="1" customHeight="1" spans="1:24">
      <c r="A4181" s="34"/>
      <c r="B4181" s="51"/>
      <c r="C4181" s="51"/>
      <c r="D4181" s="52"/>
      <c r="E4181" s="53"/>
      <c r="F4181" s="54"/>
      <c r="G4181" s="54"/>
      <c r="H4181" s="54"/>
      <c r="I4181" s="66"/>
      <c r="J4181" s="54"/>
      <c r="K4181" s="54"/>
      <c r="L4181" s="54"/>
      <c r="M4181" s="97" t="str">
        <f t="shared" si="347"/>
        <v/>
      </c>
      <c r="N4181" s="70"/>
      <c r="O4181" s="71" t="str">
        <f t="shared" si="351"/>
        <v/>
      </c>
      <c r="P4181" s="66"/>
      <c r="Q4181" s="66"/>
      <c r="R4181" s="54"/>
      <c r="S4181" s="82"/>
      <c r="T4181" s="83" t="str">
        <f t="shared" si="348"/>
        <v/>
      </c>
      <c r="U4181" s="10"/>
      <c r="V4181" s="41">
        <f>IF(AND(Q4181&lt;&gt;"",RIGHT(Q4181,3)&lt;&gt;""),IF(COUNTIF($Q$6:Q4181,Q4181)=1,1,0),0)</f>
        <v>0</v>
      </c>
      <c r="W4181" s="41" t="str">
        <f t="shared" si="349"/>
        <v/>
      </c>
      <c r="X4181" s="41" t="str">
        <f t="shared" si="350"/>
        <v/>
      </c>
    </row>
    <row r="4182" s="32" customFormat="1" hidden="1" customHeight="1" spans="1:24">
      <c r="A4182" s="34"/>
      <c r="B4182" s="51"/>
      <c r="C4182" s="51"/>
      <c r="D4182" s="52"/>
      <c r="E4182" s="53"/>
      <c r="F4182" s="54"/>
      <c r="G4182" s="54"/>
      <c r="H4182" s="54"/>
      <c r="I4182" s="66"/>
      <c r="J4182" s="54"/>
      <c r="K4182" s="54"/>
      <c r="L4182" s="54"/>
      <c r="M4182" s="97" t="str">
        <f t="shared" si="347"/>
        <v/>
      </c>
      <c r="N4182" s="70"/>
      <c r="O4182" s="71" t="str">
        <f t="shared" si="351"/>
        <v/>
      </c>
      <c r="P4182" s="66"/>
      <c r="Q4182" s="66"/>
      <c r="R4182" s="54"/>
      <c r="S4182" s="82"/>
      <c r="T4182" s="83" t="str">
        <f t="shared" si="348"/>
        <v/>
      </c>
      <c r="U4182" s="10"/>
      <c r="V4182" s="41">
        <f>IF(AND(Q4182&lt;&gt;"",RIGHT(Q4182,3)&lt;&gt;""),IF(COUNTIF($Q$6:Q4182,Q4182)=1,1,0),0)</f>
        <v>0</v>
      </c>
      <c r="W4182" s="41" t="str">
        <f t="shared" si="349"/>
        <v/>
      </c>
      <c r="X4182" s="41" t="str">
        <f t="shared" si="350"/>
        <v/>
      </c>
    </row>
    <row r="4183" s="32" customFormat="1" hidden="1" customHeight="1" spans="1:24">
      <c r="A4183" s="34"/>
      <c r="B4183" s="51"/>
      <c r="C4183" s="51"/>
      <c r="D4183" s="52"/>
      <c r="E4183" s="53"/>
      <c r="F4183" s="54"/>
      <c r="G4183" s="54"/>
      <c r="H4183" s="54"/>
      <c r="I4183" s="66"/>
      <c r="J4183" s="54"/>
      <c r="K4183" s="54"/>
      <c r="L4183" s="54"/>
      <c r="M4183" s="97" t="str">
        <f t="shared" si="347"/>
        <v/>
      </c>
      <c r="N4183" s="70"/>
      <c r="O4183" s="71" t="str">
        <f t="shared" si="351"/>
        <v/>
      </c>
      <c r="P4183" s="66"/>
      <c r="Q4183" s="66"/>
      <c r="R4183" s="54"/>
      <c r="S4183" s="82"/>
      <c r="T4183" s="83" t="str">
        <f t="shared" si="348"/>
        <v/>
      </c>
      <c r="U4183" s="10"/>
      <c r="V4183" s="41">
        <f>IF(AND(Q4183&lt;&gt;"",RIGHT(Q4183,3)&lt;&gt;""),IF(COUNTIF($Q$6:Q4183,Q4183)=1,1,0),0)</f>
        <v>0</v>
      </c>
      <c r="W4183" s="41" t="str">
        <f t="shared" si="349"/>
        <v/>
      </c>
      <c r="X4183" s="41" t="str">
        <f t="shared" si="350"/>
        <v/>
      </c>
    </row>
    <row r="4184" s="32" customFormat="1" hidden="1" customHeight="1" spans="1:24">
      <c r="A4184" s="34"/>
      <c r="B4184" s="51"/>
      <c r="C4184" s="51"/>
      <c r="D4184" s="52"/>
      <c r="E4184" s="53"/>
      <c r="F4184" s="54"/>
      <c r="G4184" s="54"/>
      <c r="H4184" s="54"/>
      <c r="I4184" s="66"/>
      <c r="J4184" s="54"/>
      <c r="K4184" s="54"/>
      <c r="L4184" s="54"/>
      <c r="M4184" s="97" t="str">
        <f t="shared" si="347"/>
        <v/>
      </c>
      <c r="N4184" s="70"/>
      <c r="O4184" s="71" t="str">
        <f t="shared" si="351"/>
        <v/>
      </c>
      <c r="P4184" s="66"/>
      <c r="Q4184" s="66"/>
      <c r="R4184" s="54"/>
      <c r="S4184" s="82"/>
      <c r="T4184" s="83" t="str">
        <f t="shared" si="348"/>
        <v/>
      </c>
      <c r="U4184" s="10"/>
      <c r="V4184" s="41">
        <f>IF(AND(Q4184&lt;&gt;"",RIGHT(Q4184,3)&lt;&gt;""),IF(COUNTIF($Q$6:Q4184,Q4184)=1,1,0),0)</f>
        <v>0</v>
      </c>
      <c r="W4184" s="41" t="str">
        <f t="shared" si="349"/>
        <v/>
      </c>
      <c r="X4184" s="41" t="str">
        <f t="shared" si="350"/>
        <v/>
      </c>
    </row>
    <row r="4185" s="32" customFormat="1" hidden="1" customHeight="1" spans="1:24">
      <c r="A4185" s="34"/>
      <c r="B4185" s="51"/>
      <c r="C4185" s="51"/>
      <c r="D4185" s="52"/>
      <c r="E4185" s="53"/>
      <c r="F4185" s="54"/>
      <c r="G4185" s="54"/>
      <c r="H4185" s="54"/>
      <c r="I4185" s="66"/>
      <c r="J4185" s="54"/>
      <c r="K4185" s="54"/>
      <c r="L4185" s="54"/>
      <c r="M4185" s="97" t="str">
        <f t="shared" si="347"/>
        <v/>
      </c>
      <c r="N4185" s="70"/>
      <c r="O4185" s="71" t="str">
        <f t="shared" si="351"/>
        <v/>
      </c>
      <c r="P4185" s="66"/>
      <c r="Q4185" s="66"/>
      <c r="R4185" s="54"/>
      <c r="S4185" s="82"/>
      <c r="T4185" s="83" t="str">
        <f t="shared" si="348"/>
        <v/>
      </c>
      <c r="U4185" s="10"/>
      <c r="V4185" s="41">
        <f>IF(AND(Q4185&lt;&gt;"",RIGHT(Q4185,3)&lt;&gt;""),IF(COUNTIF($Q$6:Q4185,Q4185)=1,1,0),0)</f>
        <v>0</v>
      </c>
      <c r="W4185" s="41" t="str">
        <f t="shared" si="349"/>
        <v/>
      </c>
      <c r="X4185" s="41" t="str">
        <f t="shared" si="350"/>
        <v/>
      </c>
    </row>
    <row r="4186" s="32" customFormat="1" hidden="1" customHeight="1" spans="1:24">
      <c r="A4186" s="34"/>
      <c r="B4186" s="51"/>
      <c r="C4186" s="51"/>
      <c r="D4186" s="52"/>
      <c r="E4186" s="53"/>
      <c r="F4186" s="54"/>
      <c r="G4186" s="54"/>
      <c r="H4186" s="54"/>
      <c r="I4186" s="66"/>
      <c r="J4186" s="54"/>
      <c r="K4186" s="54"/>
      <c r="L4186" s="54"/>
      <c r="M4186" s="97" t="str">
        <f t="shared" si="347"/>
        <v/>
      </c>
      <c r="N4186" s="70"/>
      <c r="O4186" s="71" t="str">
        <f t="shared" si="351"/>
        <v/>
      </c>
      <c r="P4186" s="66"/>
      <c r="Q4186" s="66"/>
      <c r="R4186" s="54"/>
      <c r="S4186" s="82"/>
      <c r="T4186" s="83" t="str">
        <f t="shared" si="348"/>
        <v/>
      </c>
      <c r="U4186" s="10"/>
      <c r="V4186" s="41">
        <f>IF(AND(Q4186&lt;&gt;"",RIGHT(Q4186,3)&lt;&gt;""),IF(COUNTIF($Q$6:Q4186,Q4186)=1,1,0),0)</f>
        <v>0</v>
      </c>
      <c r="W4186" s="41" t="str">
        <f t="shared" si="349"/>
        <v/>
      </c>
      <c r="X4186" s="41" t="str">
        <f t="shared" si="350"/>
        <v/>
      </c>
    </row>
    <row r="4187" s="32" customFormat="1" hidden="1" customHeight="1" spans="1:24">
      <c r="A4187" s="34"/>
      <c r="B4187" s="51"/>
      <c r="C4187" s="51"/>
      <c r="D4187" s="52"/>
      <c r="E4187" s="53"/>
      <c r="F4187" s="54"/>
      <c r="G4187" s="54"/>
      <c r="H4187" s="54"/>
      <c r="I4187" s="66"/>
      <c r="J4187" s="54"/>
      <c r="K4187" s="54"/>
      <c r="L4187" s="54"/>
      <c r="M4187" s="97" t="str">
        <f t="shared" si="347"/>
        <v/>
      </c>
      <c r="N4187" s="70"/>
      <c r="O4187" s="71" t="str">
        <f t="shared" si="351"/>
        <v/>
      </c>
      <c r="P4187" s="66"/>
      <c r="Q4187" s="66"/>
      <c r="R4187" s="54"/>
      <c r="S4187" s="82"/>
      <c r="T4187" s="83" t="str">
        <f t="shared" si="348"/>
        <v/>
      </c>
      <c r="U4187" s="10"/>
      <c r="V4187" s="41">
        <f>IF(AND(Q4187&lt;&gt;"",RIGHT(Q4187,3)&lt;&gt;""),IF(COUNTIF($Q$6:Q4187,Q4187)=1,1,0),0)</f>
        <v>0</v>
      </c>
      <c r="W4187" s="41" t="str">
        <f t="shared" si="349"/>
        <v/>
      </c>
      <c r="X4187" s="41" t="str">
        <f t="shared" si="350"/>
        <v/>
      </c>
    </row>
    <row r="4188" s="32" customFormat="1" hidden="1" customHeight="1" spans="1:24">
      <c r="A4188" s="34"/>
      <c r="B4188" s="51"/>
      <c r="C4188" s="51"/>
      <c r="D4188" s="52"/>
      <c r="E4188" s="53"/>
      <c r="F4188" s="54"/>
      <c r="G4188" s="54"/>
      <c r="H4188" s="54"/>
      <c r="I4188" s="66"/>
      <c r="J4188" s="54"/>
      <c r="K4188" s="54"/>
      <c r="L4188" s="54"/>
      <c r="M4188" s="97" t="str">
        <f t="shared" si="347"/>
        <v/>
      </c>
      <c r="N4188" s="70"/>
      <c r="O4188" s="71" t="str">
        <f t="shared" si="351"/>
        <v/>
      </c>
      <c r="P4188" s="66"/>
      <c r="Q4188" s="66"/>
      <c r="R4188" s="54"/>
      <c r="S4188" s="82"/>
      <c r="T4188" s="83" t="str">
        <f t="shared" si="348"/>
        <v/>
      </c>
      <c r="U4188" s="10"/>
      <c r="V4188" s="41">
        <f>IF(AND(Q4188&lt;&gt;"",RIGHT(Q4188,3)&lt;&gt;""),IF(COUNTIF($Q$6:Q4188,Q4188)=1,1,0),0)</f>
        <v>0</v>
      </c>
      <c r="W4188" s="41" t="str">
        <f t="shared" si="349"/>
        <v/>
      </c>
      <c r="X4188" s="41" t="str">
        <f t="shared" si="350"/>
        <v/>
      </c>
    </row>
    <row r="4189" s="32" customFormat="1" hidden="1" customHeight="1" spans="1:24">
      <c r="A4189" s="34"/>
      <c r="B4189" s="51"/>
      <c r="C4189" s="51"/>
      <c r="D4189" s="52"/>
      <c r="E4189" s="53"/>
      <c r="F4189" s="54"/>
      <c r="G4189" s="54"/>
      <c r="H4189" s="54"/>
      <c r="I4189" s="66"/>
      <c r="J4189" s="54"/>
      <c r="K4189" s="54"/>
      <c r="L4189" s="54"/>
      <c r="M4189" s="97" t="str">
        <f t="shared" si="347"/>
        <v/>
      </c>
      <c r="N4189" s="70"/>
      <c r="O4189" s="71" t="str">
        <f t="shared" si="351"/>
        <v/>
      </c>
      <c r="P4189" s="66"/>
      <c r="Q4189" s="66"/>
      <c r="R4189" s="54"/>
      <c r="S4189" s="82"/>
      <c r="T4189" s="83" t="str">
        <f t="shared" si="348"/>
        <v/>
      </c>
      <c r="U4189" s="10"/>
      <c r="V4189" s="41">
        <f>IF(AND(Q4189&lt;&gt;"",RIGHT(Q4189,3)&lt;&gt;""),IF(COUNTIF($Q$6:Q4189,Q4189)=1,1,0),0)</f>
        <v>0</v>
      </c>
      <c r="W4189" s="41" t="str">
        <f t="shared" si="349"/>
        <v/>
      </c>
      <c r="X4189" s="41" t="str">
        <f t="shared" si="350"/>
        <v/>
      </c>
    </row>
    <row r="4190" s="32" customFormat="1" hidden="1" customHeight="1" spans="1:24">
      <c r="A4190" s="34"/>
      <c r="B4190" s="51"/>
      <c r="C4190" s="51"/>
      <c r="D4190" s="52"/>
      <c r="E4190" s="53"/>
      <c r="F4190" s="54"/>
      <c r="G4190" s="54"/>
      <c r="H4190" s="54"/>
      <c r="I4190" s="66"/>
      <c r="J4190" s="54"/>
      <c r="K4190" s="54"/>
      <c r="L4190" s="54"/>
      <c r="M4190" s="97" t="str">
        <f t="shared" si="347"/>
        <v/>
      </c>
      <c r="N4190" s="70"/>
      <c r="O4190" s="71" t="str">
        <f t="shared" si="351"/>
        <v/>
      </c>
      <c r="P4190" s="66"/>
      <c r="Q4190" s="66"/>
      <c r="R4190" s="54"/>
      <c r="S4190" s="82"/>
      <c r="T4190" s="83" t="str">
        <f t="shared" si="348"/>
        <v/>
      </c>
      <c r="U4190" s="10"/>
      <c r="V4190" s="41">
        <f>IF(AND(Q4190&lt;&gt;"",RIGHT(Q4190,3)&lt;&gt;""),IF(COUNTIF($Q$6:Q4190,Q4190)=1,1,0),0)</f>
        <v>0</v>
      </c>
      <c r="W4190" s="41" t="str">
        <f t="shared" si="349"/>
        <v/>
      </c>
      <c r="X4190" s="41" t="str">
        <f t="shared" si="350"/>
        <v/>
      </c>
    </row>
    <row r="4191" s="32" customFormat="1" hidden="1" customHeight="1" spans="1:24">
      <c r="A4191" s="34"/>
      <c r="B4191" s="51"/>
      <c r="C4191" s="51"/>
      <c r="D4191" s="52"/>
      <c r="E4191" s="53"/>
      <c r="F4191" s="54"/>
      <c r="G4191" s="54"/>
      <c r="H4191" s="54"/>
      <c r="I4191" s="66"/>
      <c r="J4191" s="54"/>
      <c r="K4191" s="54"/>
      <c r="L4191" s="54"/>
      <c r="M4191" s="97" t="str">
        <f t="shared" si="347"/>
        <v/>
      </c>
      <c r="N4191" s="70"/>
      <c r="O4191" s="71" t="str">
        <f t="shared" si="351"/>
        <v/>
      </c>
      <c r="P4191" s="66"/>
      <c r="Q4191" s="66"/>
      <c r="R4191" s="54"/>
      <c r="S4191" s="82"/>
      <c r="T4191" s="83" t="str">
        <f t="shared" si="348"/>
        <v/>
      </c>
      <c r="U4191" s="10"/>
      <c r="V4191" s="41">
        <f>IF(AND(Q4191&lt;&gt;"",RIGHT(Q4191,3)&lt;&gt;""),IF(COUNTIF($Q$6:Q4191,Q4191)=1,1,0),0)</f>
        <v>0</v>
      </c>
      <c r="W4191" s="41" t="str">
        <f t="shared" si="349"/>
        <v/>
      </c>
      <c r="X4191" s="41" t="str">
        <f t="shared" si="350"/>
        <v/>
      </c>
    </row>
    <row r="4192" s="32" customFormat="1" hidden="1" customHeight="1" spans="1:24">
      <c r="A4192" s="34"/>
      <c r="B4192" s="51"/>
      <c r="C4192" s="51"/>
      <c r="D4192" s="52"/>
      <c r="E4192" s="53"/>
      <c r="F4192" s="54"/>
      <c r="G4192" s="54"/>
      <c r="H4192" s="54"/>
      <c r="I4192" s="66"/>
      <c r="J4192" s="54"/>
      <c r="K4192" s="54"/>
      <c r="L4192" s="54"/>
      <c r="M4192" s="97" t="str">
        <f t="shared" si="347"/>
        <v/>
      </c>
      <c r="N4192" s="70"/>
      <c r="O4192" s="71" t="str">
        <f t="shared" si="351"/>
        <v/>
      </c>
      <c r="P4192" s="66"/>
      <c r="Q4192" s="66"/>
      <c r="R4192" s="54"/>
      <c r="S4192" s="82"/>
      <c r="T4192" s="83" t="str">
        <f t="shared" si="348"/>
        <v/>
      </c>
      <c r="U4192" s="10"/>
      <c r="V4192" s="41">
        <f>IF(AND(Q4192&lt;&gt;"",RIGHT(Q4192,3)&lt;&gt;""),IF(COUNTIF($Q$6:Q4192,Q4192)=1,1,0),0)</f>
        <v>0</v>
      </c>
      <c r="W4192" s="41" t="str">
        <f t="shared" si="349"/>
        <v/>
      </c>
      <c r="X4192" s="41" t="str">
        <f t="shared" si="350"/>
        <v/>
      </c>
    </row>
    <row r="4193" s="32" customFormat="1" hidden="1" customHeight="1" spans="1:24">
      <c r="A4193" s="34"/>
      <c r="B4193" s="51"/>
      <c r="C4193" s="51"/>
      <c r="D4193" s="52"/>
      <c r="E4193" s="53"/>
      <c r="F4193" s="54"/>
      <c r="G4193" s="54"/>
      <c r="H4193" s="54"/>
      <c r="I4193" s="66"/>
      <c r="J4193" s="54"/>
      <c r="K4193" s="54"/>
      <c r="L4193" s="54"/>
      <c r="M4193" s="97" t="str">
        <f t="shared" si="347"/>
        <v/>
      </c>
      <c r="N4193" s="70"/>
      <c r="O4193" s="71" t="str">
        <f t="shared" si="351"/>
        <v/>
      </c>
      <c r="P4193" s="66"/>
      <c r="Q4193" s="66"/>
      <c r="R4193" s="54"/>
      <c r="S4193" s="82"/>
      <c r="T4193" s="83" t="str">
        <f t="shared" si="348"/>
        <v/>
      </c>
      <c r="U4193" s="10"/>
      <c r="V4193" s="41">
        <f>IF(AND(Q4193&lt;&gt;"",RIGHT(Q4193,3)&lt;&gt;""),IF(COUNTIF($Q$6:Q4193,Q4193)=1,1,0),0)</f>
        <v>0</v>
      </c>
      <c r="W4193" s="41" t="str">
        <f t="shared" si="349"/>
        <v/>
      </c>
      <c r="X4193" s="41" t="str">
        <f t="shared" si="350"/>
        <v/>
      </c>
    </row>
    <row r="4194" s="32" customFormat="1" hidden="1" customHeight="1" spans="1:24">
      <c r="A4194" s="34"/>
      <c r="B4194" s="51"/>
      <c r="C4194" s="51"/>
      <c r="D4194" s="52"/>
      <c r="E4194" s="53"/>
      <c r="F4194" s="54"/>
      <c r="G4194" s="54"/>
      <c r="H4194" s="54"/>
      <c r="I4194" s="66"/>
      <c r="J4194" s="54"/>
      <c r="K4194" s="54"/>
      <c r="L4194" s="54"/>
      <c r="M4194" s="97" t="str">
        <f t="shared" si="347"/>
        <v/>
      </c>
      <c r="N4194" s="70"/>
      <c r="O4194" s="71" t="str">
        <f t="shared" si="351"/>
        <v/>
      </c>
      <c r="P4194" s="66"/>
      <c r="Q4194" s="66"/>
      <c r="R4194" s="54"/>
      <c r="S4194" s="82"/>
      <c r="T4194" s="83" t="str">
        <f t="shared" si="348"/>
        <v/>
      </c>
      <c r="U4194" s="10"/>
      <c r="V4194" s="41">
        <f>IF(AND(Q4194&lt;&gt;"",RIGHT(Q4194,3)&lt;&gt;""),IF(COUNTIF($Q$6:Q4194,Q4194)=1,1,0),0)</f>
        <v>0</v>
      </c>
      <c r="W4194" s="41" t="str">
        <f t="shared" si="349"/>
        <v/>
      </c>
      <c r="X4194" s="41" t="str">
        <f t="shared" si="350"/>
        <v/>
      </c>
    </row>
    <row r="4195" s="32" customFormat="1" hidden="1" customHeight="1" spans="1:24">
      <c r="A4195" s="34"/>
      <c r="B4195" s="51"/>
      <c r="C4195" s="51"/>
      <c r="D4195" s="52"/>
      <c r="E4195" s="53"/>
      <c r="F4195" s="54"/>
      <c r="G4195" s="54"/>
      <c r="H4195" s="54"/>
      <c r="I4195" s="66"/>
      <c r="J4195" s="54"/>
      <c r="K4195" s="54"/>
      <c r="L4195" s="54"/>
      <c r="M4195" s="97" t="str">
        <f t="shared" si="347"/>
        <v/>
      </c>
      <c r="N4195" s="70"/>
      <c r="O4195" s="71" t="str">
        <f t="shared" si="351"/>
        <v/>
      </c>
      <c r="P4195" s="66"/>
      <c r="Q4195" s="66"/>
      <c r="R4195" s="54"/>
      <c r="S4195" s="82"/>
      <c r="T4195" s="83" t="str">
        <f t="shared" si="348"/>
        <v/>
      </c>
      <c r="U4195" s="10"/>
      <c r="V4195" s="41">
        <f>IF(AND(Q4195&lt;&gt;"",RIGHT(Q4195,3)&lt;&gt;""),IF(COUNTIF($Q$6:Q4195,Q4195)=1,1,0),0)</f>
        <v>0</v>
      </c>
      <c r="W4195" s="41" t="str">
        <f t="shared" si="349"/>
        <v/>
      </c>
      <c r="X4195" s="41" t="str">
        <f t="shared" si="350"/>
        <v/>
      </c>
    </row>
    <row r="4196" s="32" customFormat="1" hidden="1" customHeight="1" spans="1:24">
      <c r="A4196" s="34"/>
      <c r="B4196" s="51"/>
      <c r="C4196" s="51"/>
      <c r="D4196" s="52"/>
      <c r="E4196" s="53"/>
      <c r="F4196" s="54"/>
      <c r="G4196" s="54"/>
      <c r="H4196" s="54"/>
      <c r="I4196" s="66"/>
      <c r="J4196" s="54"/>
      <c r="K4196" s="54"/>
      <c r="L4196" s="54"/>
      <c r="M4196" s="97" t="str">
        <f t="shared" ref="M4196:M4207" si="352">IF(L4196="","",HYPERLINK(_xlfn.CONCAT($L$4,L4196,".jpg"),"Open File"))</f>
        <v/>
      </c>
      <c r="N4196" s="70"/>
      <c r="O4196" s="71" t="str">
        <f t="shared" si="351"/>
        <v/>
      </c>
      <c r="P4196" s="66"/>
      <c r="Q4196" s="66"/>
      <c r="R4196" s="54"/>
      <c r="S4196" s="82"/>
      <c r="T4196" s="83" t="str">
        <f t="shared" ref="T4196:T4207" si="353">IF(S4196="","",HYPERLINK(_xlfn.CONCAT($S$4,S4196,".jpg"),"Open File"))</f>
        <v/>
      </c>
      <c r="U4196" s="10"/>
      <c r="V4196" s="41">
        <f>IF(AND(Q4196&lt;&gt;"",RIGHT(Q4196,3)&lt;&gt;""),IF(COUNTIF($Q$6:Q4196,Q4196)=1,1,0),0)</f>
        <v>0</v>
      </c>
      <c r="W4196" s="41" t="str">
        <f t="shared" ref="W4196:W4207" si="354">IF(AND(J4196&lt;&gt;"",K4196&lt;&gt;""),_xlfn.CONCAT(SUBSTITUTE(J4196,"/","."),"-",K4196),"")</f>
        <v/>
      </c>
      <c r="X4196" s="41" t="str">
        <f t="shared" ref="X4196:X4207" si="355">IF(AND(Q4196&lt;&gt;"",R4196&lt;&gt;""),_xlfn.CONCAT(SUBSTITUTE(Q4196,"/","."),"-",R4196),"")</f>
        <v/>
      </c>
    </row>
    <row r="4197" s="32" customFormat="1" hidden="1" customHeight="1" spans="1:24">
      <c r="A4197" s="34"/>
      <c r="B4197" s="51"/>
      <c r="C4197" s="51"/>
      <c r="D4197" s="52"/>
      <c r="E4197" s="53"/>
      <c r="F4197" s="54"/>
      <c r="G4197" s="54"/>
      <c r="H4197" s="54"/>
      <c r="I4197" s="66"/>
      <c r="J4197" s="54"/>
      <c r="K4197" s="54"/>
      <c r="L4197" s="54"/>
      <c r="M4197" s="97" t="str">
        <f t="shared" si="352"/>
        <v/>
      </c>
      <c r="N4197" s="70"/>
      <c r="O4197" s="71" t="str">
        <f t="shared" si="351"/>
        <v/>
      </c>
      <c r="P4197" s="66"/>
      <c r="Q4197" s="66"/>
      <c r="R4197" s="54"/>
      <c r="S4197" s="82"/>
      <c r="T4197" s="83" t="str">
        <f t="shared" si="353"/>
        <v/>
      </c>
      <c r="U4197" s="10"/>
      <c r="V4197" s="41">
        <f>IF(AND(Q4197&lt;&gt;"",RIGHT(Q4197,3)&lt;&gt;""),IF(COUNTIF($Q$6:Q4197,Q4197)=1,1,0),0)</f>
        <v>0</v>
      </c>
      <c r="W4197" s="41" t="str">
        <f t="shared" si="354"/>
        <v/>
      </c>
      <c r="X4197" s="41" t="str">
        <f t="shared" si="355"/>
        <v/>
      </c>
    </row>
    <row r="4198" s="32" customFormat="1" hidden="1" customHeight="1" spans="1:24">
      <c r="A4198" s="34"/>
      <c r="B4198" s="51"/>
      <c r="C4198" s="51"/>
      <c r="D4198" s="52"/>
      <c r="E4198" s="53"/>
      <c r="F4198" s="54"/>
      <c r="G4198" s="54"/>
      <c r="H4198" s="54"/>
      <c r="I4198" s="66"/>
      <c r="J4198" s="54"/>
      <c r="K4198" s="54"/>
      <c r="L4198" s="54"/>
      <c r="M4198" s="97" t="str">
        <f t="shared" si="352"/>
        <v/>
      </c>
      <c r="N4198" s="70"/>
      <c r="O4198" s="71" t="str">
        <f t="shared" si="351"/>
        <v/>
      </c>
      <c r="P4198" s="66"/>
      <c r="Q4198" s="66"/>
      <c r="R4198" s="54"/>
      <c r="S4198" s="82"/>
      <c r="T4198" s="83" t="str">
        <f t="shared" si="353"/>
        <v/>
      </c>
      <c r="U4198" s="10"/>
      <c r="V4198" s="41">
        <f>IF(AND(Q4198&lt;&gt;"",RIGHT(Q4198,3)&lt;&gt;""),IF(COUNTIF($Q$6:Q4198,Q4198)=1,1,0),0)</f>
        <v>0</v>
      </c>
      <c r="W4198" s="41" t="str">
        <f t="shared" si="354"/>
        <v/>
      </c>
      <c r="X4198" s="41" t="str">
        <f t="shared" si="355"/>
        <v/>
      </c>
    </row>
    <row r="4199" hidden="1" customHeight="1" spans="2:24">
      <c r="B4199" s="51"/>
      <c r="C4199" s="51"/>
      <c r="D4199" s="52"/>
      <c r="E4199" s="53"/>
      <c r="F4199" s="54"/>
      <c r="G4199" s="54"/>
      <c r="H4199" s="54"/>
      <c r="I4199" s="66"/>
      <c r="J4199" s="54"/>
      <c r="K4199" s="54"/>
      <c r="L4199" s="54"/>
      <c r="M4199" s="97" t="str">
        <f t="shared" si="352"/>
        <v/>
      </c>
      <c r="N4199" s="70"/>
      <c r="O4199" s="71" t="str">
        <f t="shared" si="351"/>
        <v/>
      </c>
      <c r="P4199" s="66"/>
      <c r="Q4199" s="66"/>
      <c r="R4199" s="54"/>
      <c r="S4199" s="82"/>
      <c r="T4199" s="83" t="str">
        <f t="shared" si="353"/>
        <v/>
      </c>
      <c r="U4199" s="10"/>
      <c r="V4199" s="41">
        <f>IF(AND(Q4199&lt;&gt;"",RIGHT(Q4199,3)&lt;&gt;""),IF(COUNTIF($Q$6:Q4199,Q4199)=1,1,0),0)</f>
        <v>0</v>
      </c>
      <c r="W4199" s="41" t="str">
        <f t="shared" si="354"/>
        <v/>
      </c>
      <c r="X4199" s="41" t="str">
        <f t="shared" si="355"/>
        <v/>
      </c>
    </row>
    <row r="4200" hidden="1" customHeight="1" spans="2:24">
      <c r="B4200" s="51"/>
      <c r="C4200" s="51"/>
      <c r="D4200" s="52"/>
      <c r="E4200" s="53"/>
      <c r="F4200" s="54"/>
      <c r="G4200" s="54"/>
      <c r="H4200" s="54"/>
      <c r="I4200" s="66"/>
      <c r="J4200" s="54"/>
      <c r="K4200" s="54"/>
      <c r="L4200" s="54"/>
      <c r="M4200" s="97" t="str">
        <f t="shared" si="352"/>
        <v/>
      </c>
      <c r="N4200" s="70"/>
      <c r="O4200" s="71" t="str">
        <f t="shared" si="351"/>
        <v/>
      </c>
      <c r="P4200" s="66"/>
      <c r="Q4200" s="66"/>
      <c r="R4200" s="54"/>
      <c r="S4200" s="82"/>
      <c r="T4200" s="83" t="str">
        <f t="shared" si="353"/>
        <v/>
      </c>
      <c r="U4200" s="10"/>
      <c r="V4200" s="41">
        <f>IF(AND(Q4200&lt;&gt;"",RIGHT(Q4200,3)&lt;&gt;""),IF(COUNTIF($Q$6:Q4200,Q4200)=1,1,0),0)</f>
        <v>0</v>
      </c>
      <c r="W4200" s="41" t="str">
        <f t="shared" si="354"/>
        <v/>
      </c>
      <c r="X4200" s="41" t="str">
        <f t="shared" si="355"/>
        <v/>
      </c>
    </row>
    <row r="4201" hidden="1" customHeight="1" spans="2:24">
      <c r="B4201" s="51"/>
      <c r="C4201" s="51"/>
      <c r="D4201" s="52"/>
      <c r="E4201" s="53"/>
      <c r="F4201" s="54"/>
      <c r="G4201" s="54"/>
      <c r="H4201" s="54"/>
      <c r="I4201" s="66"/>
      <c r="J4201" s="54"/>
      <c r="K4201" s="54"/>
      <c r="L4201" s="54"/>
      <c r="M4201" s="97" t="str">
        <f t="shared" si="352"/>
        <v/>
      </c>
      <c r="N4201" s="70"/>
      <c r="O4201" s="71" t="str">
        <f t="shared" si="351"/>
        <v/>
      </c>
      <c r="P4201" s="66"/>
      <c r="Q4201" s="66"/>
      <c r="R4201" s="54"/>
      <c r="S4201" s="82"/>
      <c r="T4201" s="83" t="str">
        <f t="shared" si="353"/>
        <v/>
      </c>
      <c r="U4201" s="10"/>
      <c r="V4201" s="41">
        <f>IF(AND(Q4201&lt;&gt;"",RIGHT(Q4201,3)&lt;&gt;""),IF(COUNTIF($Q$6:Q4201,Q4201)=1,1,0),0)</f>
        <v>0</v>
      </c>
      <c r="W4201" s="41" t="str">
        <f t="shared" si="354"/>
        <v/>
      </c>
      <c r="X4201" s="41" t="str">
        <f t="shared" si="355"/>
        <v/>
      </c>
    </row>
    <row r="4202" hidden="1" customHeight="1" spans="2:24">
      <c r="B4202" s="51"/>
      <c r="C4202" s="51"/>
      <c r="D4202" s="52"/>
      <c r="E4202" s="53"/>
      <c r="F4202" s="54"/>
      <c r="G4202" s="54"/>
      <c r="H4202" s="54"/>
      <c r="I4202" s="66"/>
      <c r="J4202" s="54"/>
      <c r="K4202" s="54"/>
      <c r="L4202" s="54"/>
      <c r="M4202" s="97" t="str">
        <f t="shared" si="352"/>
        <v/>
      </c>
      <c r="N4202" s="70"/>
      <c r="O4202" s="71" t="str">
        <f t="shared" si="351"/>
        <v/>
      </c>
      <c r="P4202" s="66"/>
      <c r="Q4202" s="66"/>
      <c r="R4202" s="54"/>
      <c r="S4202" s="82"/>
      <c r="T4202" s="83" t="str">
        <f t="shared" si="353"/>
        <v/>
      </c>
      <c r="U4202" s="10"/>
      <c r="V4202" s="41">
        <f>IF(AND(Q4202&lt;&gt;"",RIGHT(Q4202,3)&lt;&gt;""),IF(COUNTIF($Q$6:Q4202,Q4202)=1,1,0),0)</f>
        <v>0</v>
      </c>
      <c r="W4202" s="41" t="str">
        <f t="shared" si="354"/>
        <v/>
      </c>
      <c r="X4202" s="41" t="str">
        <f t="shared" si="355"/>
        <v/>
      </c>
    </row>
    <row r="4203" hidden="1" customHeight="1" spans="2:24">
      <c r="B4203" s="51"/>
      <c r="C4203" s="51"/>
      <c r="D4203" s="52"/>
      <c r="E4203" s="53"/>
      <c r="F4203" s="54"/>
      <c r="G4203" s="54"/>
      <c r="H4203" s="54"/>
      <c r="I4203" s="66"/>
      <c r="J4203" s="54"/>
      <c r="K4203" s="54"/>
      <c r="L4203" s="54"/>
      <c r="M4203" s="97" t="str">
        <f t="shared" si="352"/>
        <v/>
      </c>
      <c r="N4203" s="70"/>
      <c r="O4203" s="71" t="str">
        <f t="shared" si="351"/>
        <v/>
      </c>
      <c r="P4203" s="66"/>
      <c r="Q4203" s="66"/>
      <c r="R4203" s="54"/>
      <c r="S4203" s="82"/>
      <c r="T4203" s="83" t="str">
        <f t="shared" si="353"/>
        <v/>
      </c>
      <c r="U4203" s="10"/>
      <c r="V4203" s="41">
        <f>IF(AND(Q4203&lt;&gt;"",RIGHT(Q4203,3)&lt;&gt;""),IF(COUNTIF($Q$6:Q4203,Q4203)=1,1,0),0)</f>
        <v>0</v>
      </c>
      <c r="W4203" s="41" t="str">
        <f t="shared" si="354"/>
        <v/>
      </c>
      <c r="X4203" s="41" t="str">
        <f t="shared" si="355"/>
        <v/>
      </c>
    </row>
    <row r="4204" hidden="1" customHeight="1" spans="2:24">
      <c r="B4204" s="51"/>
      <c r="C4204" s="51"/>
      <c r="D4204" s="52"/>
      <c r="E4204" s="53"/>
      <c r="F4204" s="54"/>
      <c r="G4204" s="54"/>
      <c r="H4204" s="54"/>
      <c r="I4204" s="66"/>
      <c r="J4204" s="54"/>
      <c r="K4204" s="54"/>
      <c r="L4204" s="54"/>
      <c r="M4204" s="97" t="str">
        <f t="shared" si="352"/>
        <v/>
      </c>
      <c r="N4204" s="70"/>
      <c r="O4204" s="71" t="str">
        <f t="shared" si="351"/>
        <v/>
      </c>
      <c r="P4204" s="66"/>
      <c r="Q4204" s="66"/>
      <c r="R4204" s="54"/>
      <c r="S4204" s="82"/>
      <c r="T4204" s="83" t="str">
        <f t="shared" si="353"/>
        <v/>
      </c>
      <c r="U4204" s="10"/>
      <c r="V4204" s="41">
        <f>IF(AND(Q4204&lt;&gt;"",RIGHT(Q4204,3)&lt;&gt;""),IF(COUNTIF($Q$6:Q4204,Q4204)=1,1,0),0)</f>
        <v>0</v>
      </c>
      <c r="W4204" s="41" t="str">
        <f t="shared" si="354"/>
        <v/>
      </c>
      <c r="X4204" s="41" t="str">
        <f t="shared" si="355"/>
        <v/>
      </c>
    </row>
    <row r="4205" hidden="1" customHeight="1" spans="2:24">
      <c r="B4205" s="51"/>
      <c r="C4205" s="51"/>
      <c r="D4205" s="52"/>
      <c r="E4205" s="53"/>
      <c r="F4205" s="54"/>
      <c r="G4205" s="54"/>
      <c r="H4205" s="54"/>
      <c r="I4205" s="66"/>
      <c r="J4205" s="54"/>
      <c r="K4205" s="54"/>
      <c r="L4205" s="54"/>
      <c r="M4205" s="97" t="str">
        <f t="shared" si="352"/>
        <v/>
      </c>
      <c r="N4205" s="70"/>
      <c r="O4205" s="71" t="str">
        <f t="shared" si="351"/>
        <v/>
      </c>
      <c r="P4205" s="66"/>
      <c r="Q4205" s="66"/>
      <c r="R4205" s="54"/>
      <c r="S4205" s="82"/>
      <c r="T4205" s="83" t="str">
        <f t="shared" si="353"/>
        <v/>
      </c>
      <c r="U4205" s="10"/>
      <c r="V4205" s="41">
        <f>IF(AND(Q4205&lt;&gt;"",RIGHT(Q4205,3)&lt;&gt;""),IF(COUNTIF($Q$6:Q4205,Q4205)=1,1,0),0)</f>
        <v>0</v>
      </c>
      <c r="W4205" s="41" t="str">
        <f t="shared" si="354"/>
        <v/>
      </c>
      <c r="X4205" s="41" t="str">
        <f t="shared" si="355"/>
        <v/>
      </c>
    </row>
    <row r="4206" hidden="1" customHeight="1" spans="2:24">
      <c r="B4206" s="51"/>
      <c r="C4206" s="51"/>
      <c r="D4206" s="52"/>
      <c r="E4206" s="53"/>
      <c r="F4206" s="54"/>
      <c r="G4206" s="54"/>
      <c r="H4206" s="54"/>
      <c r="I4206" s="66"/>
      <c r="J4206" s="54"/>
      <c r="K4206" s="54"/>
      <c r="L4206" s="54"/>
      <c r="M4206" s="97" t="str">
        <f t="shared" si="352"/>
        <v/>
      </c>
      <c r="N4206" s="70"/>
      <c r="O4206" s="71" t="str">
        <f t="shared" si="351"/>
        <v/>
      </c>
      <c r="P4206" s="66"/>
      <c r="Q4206" s="66"/>
      <c r="R4206" s="54"/>
      <c r="S4206" s="82"/>
      <c r="T4206" s="83" t="str">
        <f t="shared" si="353"/>
        <v/>
      </c>
      <c r="U4206" s="10"/>
      <c r="V4206" s="41">
        <f>IF(AND(Q4206&lt;&gt;"",RIGHT(Q4206,3)&lt;&gt;""),IF(COUNTIF($Q$6:Q4206,Q4206)=1,1,0),0)</f>
        <v>0</v>
      </c>
      <c r="W4206" s="41" t="str">
        <f t="shared" si="354"/>
        <v/>
      </c>
      <c r="X4206" s="41" t="str">
        <f t="shared" si="355"/>
        <v/>
      </c>
    </row>
    <row r="4207" hidden="1" customHeight="1" spans="2:24">
      <c r="B4207" s="51"/>
      <c r="C4207" s="51"/>
      <c r="D4207" s="52"/>
      <c r="E4207" s="53"/>
      <c r="F4207" s="54"/>
      <c r="G4207" s="54"/>
      <c r="H4207" s="54"/>
      <c r="I4207" s="66"/>
      <c r="J4207" s="54"/>
      <c r="K4207" s="54"/>
      <c r="L4207" s="54"/>
      <c r="M4207" s="97" t="str">
        <f t="shared" si="352"/>
        <v/>
      </c>
      <c r="N4207" s="70"/>
      <c r="O4207" s="71" t="str">
        <f t="shared" si="351"/>
        <v/>
      </c>
      <c r="P4207" s="66"/>
      <c r="Q4207" s="66"/>
      <c r="R4207" s="54"/>
      <c r="S4207" s="82"/>
      <c r="T4207" s="83" t="str">
        <f t="shared" si="353"/>
        <v/>
      </c>
      <c r="U4207" s="10"/>
      <c r="V4207" s="41">
        <f>IF(AND(Q4207&lt;&gt;"",RIGHT(Q4207,3)&lt;&gt;""),IF(COUNTIF($Q$6:Q4207,Q4207)=1,1,0),0)</f>
        <v>0</v>
      </c>
      <c r="W4207" s="41" t="str">
        <f t="shared" si="354"/>
        <v/>
      </c>
      <c r="X4207" s="41" t="str">
        <f t="shared" si="355"/>
        <v/>
      </c>
    </row>
  </sheetData>
  <sheetProtection sheet="1" formatCells="0" formatColumns="0" formatRows="0" insertRows="0" insertColumns="0" insertHyperlinks="0" sort="0" autoFilter="0" pivotTables="0"/>
  <mergeCells count="1">
    <mergeCell ref="B1:T3"/>
  </mergeCells>
  <conditionalFormatting sqref="P28">
    <cfRule type="containsText" dxfId="10" priority="5" operator="between" text="PASSIVE">
      <formula>NOT(ISERROR(SEARCH("PASSIVE",P28)))</formula>
    </cfRule>
    <cfRule type="containsText" dxfId="11" priority="6" operator="between" text="ACTIVE">
      <formula>NOT(ISERROR(SEARCH("ACTIVE",P28)))</formula>
    </cfRule>
  </conditionalFormatting>
  <conditionalFormatting sqref="P69">
    <cfRule type="containsText" dxfId="11" priority="2" operator="between" text="ACTIVE">
      <formula>NOT(ISERROR(SEARCH("ACTIVE",P69)))</formula>
    </cfRule>
    <cfRule type="containsText" dxfId="10" priority="1" operator="between" text="PASSIVE">
      <formula>NOT(ISERROR(SEARCH("PASSIVE",P69)))</formula>
    </cfRule>
  </conditionalFormatting>
  <conditionalFormatting sqref="P224">
    <cfRule type="containsText" dxfId="10" priority="7" operator="between" text="PASSIVE">
      <formula>NOT(ISERROR(SEARCH("PASSIVE",P224)))</formula>
    </cfRule>
    <cfRule type="containsText" dxfId="11" priority="8" operator="between" text="ACTIVE">
      <formula>NOT(ISERROR(SEARCH("ACTIVE",P224)))</formula>
    </cfRule>
  </conditionalFormatting>
  <conditionalFormatting sqref="P299">
    <cfRule type="containsText" dxfId="11" priority="4" operator="between" text="ACTIVE">
      <formula>NOT(ISERROR(SEARCH("ACTIVE",P299)))</formula>
    </cfRule>
    <cfRule type="containsText" dxfId="10" priority="3" operator="between" text="PASSIVE">
      <formula>NOT(ISERROR(SEARCH("PASSIVE",P299)))</formula>
    </cfRule>
  </conditionalFormatting>
  <conditionalFormatting sqref="O6:P27;O28;O29:P68;O69;O70:P223;O224;O225:P298;O299;O300:P4207">
    <cfRule type="containsText" dxfId="10" priority="9" operator="between" text="PASSIVE">
      <formula>NOT(ISERROR(SEARCH("PASSIVE",O6)))</formula>
    </cfRule>
    <cfRule type="containsText" dxfId="11" priority="10" operator="between" text="ACTIVE">
      <formula>NOT(ISERROR(SEARCH("ACTIVE",O6)))</formula>
    </cfRule>
  </conditionalFormatting>
  <dataValidations count="6">
    <dataValidation type="whole" operator="between" allowBlank="1" showInputMessage="1" showErrorMessage="1" error="请输入正确4位数年份【1900-9999】" sqref="D3">
      <formula1>1900</formula1>
      <formula2>9999</formula2>
    </dataValidation>
    <dataValidation allowBlank="1" showInputMessage="1" showErrorMessage="1" sqref="U227 U252 U262 U280 Q14:Q226 Q228:Q349 U323:U326 Q6:R13 Q350:R4207 T6:U226 T228:U251 T253:U261 T263:U279 T281:U322 T327:U4207"/>
    <dataValidation type="list" allowBlank="1" showInputMessage="1" showErrorMessage="1" sqref="G6:G4207">
      <formula1>'Dropdown List'!$A$2:$A$4165</formula1>
    </dataValidation>
    <dataValidation type="list" allowBlank="1" showInputMessage="1" showErrorMessage="1" sqref="H6:H4207">
      <formula1>'Dropdown List'!$B$2:$B$4165</formula1>
    </dataValidation>
    <dataValidation type="list" allowBlank="1" showInputMessage="1" showErrorMessage="1" sqref="L6:L4207">
      <formula1>$W$6:$W$4207</formula1>
    </dataValidation>
    <dataValidation type="list" allowBlank="1" showInputMessage="1" showErrorMessage="1" sqref="S6:S4207">
      <formula1>$X$6:$X$4207</formula1>
    </dataValidation>
  </dataValidations>
  <pageMargins left="0.75" right="0.75" top="1" bottom="1" header="0.5" footer="0.5"/>
  <pageSetup paperSize="9" orientation="portrait"/>
  <headerFooter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188"/>
  <sheetViews>
    <sheetView tabSelected="1" workbookViewId="0">
      <selection activeCell="J22" sqref="J22"/>
    </sheetView>
  </sheetViews>
  <sheetFormatPr defaultColWidth="10.2857142857143" defaultRowHeight="17" customHeight="1"/>
  <cols>
    <col min="1" max="1" width="4.57142857142857" style="12" customWidth="1"/>
    <col min="2" max="2" width="4.42857142857143" style="14" customWidth="1"/>
    <col min="3" max="3" width="9.14285714285714" style="14" customWidth="1"/>
    <col min="4" max="4" width="53.2857142857143" style="12" customWidth="1"/>
    <col min="5" max="5" width="11.2857142857143" style="14" customWidth="1"/>
    <col min="6" max="6" width="8.57142857142857" style="14" customWidth="1"/>
    <col min="7" max="7" width="11.7142857142857" style="14" customWidth="1"/>
    <col min="8" max="8" width="14.1428571428571" style="15" customWidth="1"/>
    <col min="9" max="9" width="14.1428571428571" style="14" customWidth="1"/>
    <col min="10" max="10" width="77.7142857142857" style="16" customWidth="1"/>
    <col min="11" max="16384" width="10.2857142857143" style="12"/>
  </cols>
  <sheetData>
    <row r="1" s="12" customFormat="1" customHeight="1" spans="2:10">
      <c r="B1" s="17" t="s">
        <v>2476</v>
      </c>
      <c r="C1" s="17"/>
      <c r="D1" s="18"/>
      <c r="E1" s="17"/>
      <c r="F1" s="17"/>
      <c r="G1" s="17"/>
      <c r="H1" s="19"/>
      <c r="I1" s="17"/>
      <c r="J1" s="16"/>
    </row>
    <row r="2" s="12" customFormat="1" customHeight="1" spans="2:10">
      <c r="B2" s="17"/>
      <c r="C2" s="17"/>
      <c r="D2" s="18"/>
      <c r="E2" s="17"/>
      <c r="F2" s="17"/>
      <c r="G2" s="17"/>
      <c r="H2" s="19"/>
      <c r="I2" s="17"/>
      <c r="J2" s="16"/>
    </row>
    <row r="3" s="12" customFormat="1" ht="18" customHeight="1" spans="2:10">
      <c r="B3" s="20"/>
      <c r="C3" s="20"/>
      <c r="D3" s="21"/>
      <c r="E3" s="20"/>
      <c r="F3" s="20"/>
      <c r="G3" s="20"/>
      <c r="H3" s="22"/>
      <c r="I3" s="20"/>
      <c r="J3" s="29"/>
    </row>
    <row r="4" s="12" customFormat="1" customHeight="1" spans="2:10">
      <c r="B4" s="14"/>
      <c r="C4" s="14"/>
      <c r="E4" s="14"/>
      <c r="F4" s="14"/>
      <c r="G4" s="14"/>
      <c r="H4" s="15"/>
      <c r="I4" s="14"/>
      <c r="J4" s="16"/>
    </row>
    <row r="5" s="13" customFormat="1" ht="28" customHeight="1" spans="2:10">
      <c r="B5" s="23" t="s">
        <v>4</v>
      </c>
      <c r="C5" s="23" t="s">
        <v>5</v>
      </c>
      <c r="D5" s="23" t="s">
        <v>6</v>
      </c>
      <c r="E5" s="23" t="s">
        <v>7</v>
      </c>
      <c r="F5" s="23" t="s">
        <v>8</v>
      </c>
      <c r="G5" s="23" t="s">
        <v>9</v>
      </c>
      <c r="H5" s="24" t="s">
        <v>11</v>
      </c>
      <c r="I5" s="23" t="s">
        <v>2477</v>
      </c>
      <c r="J5" s="30" t="s">
        <v>2478</v>
      </c>
    </row>
    <row r="6" s="14" customFormat="1" customHeight="1" spans="2:10">
      <c r="B6" s="25">
        <v>1</v>
      </c>
      <c r="C6" s="25" t="s">
        <v>1374</v>
      </c>
      <c r="D6" s="26" t="str" cm="1">
        <f t="array" ref="D6">IF(C6="","",IFERROR(INDEX(STPP!$D$6:$D$4207,MATCH(C6,STPP!$C$6:$C$4207,0)),"Not Found"))</f>
        <v>CORONG PLASTIK - LOKAL / @30cm</v>
      </c>
      <c r="E6" s="27" cm="1">
        <f t="array" ref="E6">IF(C6="","",IFERROR(INDEX(STPP!$E$6:$E$4207,MATCH(C6,STPP!$C$6:$C$4207,0)),"Not Found"))</f>
        <v>1</v>
      </c>
      <c r="F6" s="27" t="str" cm="1">
        <f t="array" ref="F6">IF(C6="","",IFERROR(INDEX(STPP!$F$6:$F$4207,MATCH(C6,STPP!$C$6:$C$4207,0)),"Not Found"))</f>
        <v>PCS</v>
      </c>
      <c r="G6" s="25" t="s">
        <v>515</v>
      </c>
      <c r="H6" s="28">
        <v>46142</v>
      </c>
      <c r="I6" s="25" t="s">
        <v>2479</v>
      </c>
      <c r="J6" s="31" t="s">
        <v>2480</v>
      </c>
    </row>
    <row r="7" s="12" customFormat="1" customHeight="1" spans="2:10">
      <c r="B7" s="25">
        <v>2</v>
      </c>
      <c r="C7" s="25" t="s">
        <v>1379</v>
      </c>
      <c r="D7" s="26" t="str" cm="1">
        <f t="array" ref="D7">IF(C7="","",IFERROR(INDEX(STPP!$D$6:$D$4207,MATCH(C7,STPP!$C$6:$C$4207,0)),"Not Found"))</f>
        <v>CORONG PLASTIK - LOKAL / @30cm</v>
      </c>
      <c r="E7" s="27" cm="1">
        <f t="array" ref="E7">IF(C7="","",IFERROR(INDEX(STPP!$E$6:$E$4207,MATCH(C7,STPP!$C$6:$C$4207,0)),"Not Found"))</f>
        <v>1</v>
      </c>
      <c r="F7" s="27" t="str" cm="1">
        <f t="array" ref="F7">IF(C7="","",IFERROR(INDEX(STPP!$F$6:$F$4207,MATCH(C7,STPP!$C$6:$C$4207,0)),"Not Found"))</f>
        <v>PCS</v>
      </c>
      <c r="G7" s="25" t="s">
        <v>515</v>
      </c>
      <c r="H7" s="28">
        <v>46142</v>
      </c>
      <c r="I7" s="25" t="s">
        <v>2479</v>
      </c>
      <c r="J7" s="31" t="s">
        <v>2480</v>
      </c>
    </row>
    <row r="8" s="12" customFormat="1" customHeight="1" spans="2:10">
      <c r="B8" s="25">
        <v>3</v>
      </c>
      <c r="C8" s="25" t="s">
        <v>639</v>
      </c>
      <c r="D8" s="26" t="str" cm="1">
        <f t="array" ref="D8">IF(C8="","",IFERROR(INDEX(STPP!$D$6:$D$4207,MATCH(C8,STPP!$C$6:$C$4207,0)),"Not Found"))</f>
        <v>CAT SEMPROT KALENG ACRYLIC LACQUER - DITON / 840 / @300cc / PUTIH</v>
      </c>
      <c r="E8" s="27" cm="1">
        <f t="array" ref="E8">IF(C8="","",IFERROR(INDEX(STPP!$E$6:$E$4207,MATCH(C8,STPP!$C$6:$C$4207,0)),"Not Found"))</f>
        <v>1</v>
      </c>
      <c r="F8" s="27" t="str" cm="1">
        <f t="array" ref="F8">IF(C8="","",IFERROR(INDEX(STPP!$F$6:$F$4207,MATCH(C8,STPP!$C$6:$C$4207,0)),"Not Found"))</f>
        <v>PCS</v>
      </c>
      <c r="G8" s="25" t="s">
        <v>1017</v>
      </c>
      <c r="H8" s="28">
        <v>46175</v>
      </c>
      <c r="I8" s="25" t="s">
        <v>2481</v>
      </c>
      <c r="J8" s="31" t="s">
        <v>2482</v>
      </c>
    </row>
    <row r="9" s="12" customFormat="1" customHeight="1" spans="2:10">
      <c r="B9" s="25">
        <v>4</v>
      </c>
      <c r="C9" s="25" t="s">
        <v>314</v>
      </c>
      <c r="D9" s="26" t="str" cm="1">
        <f t="array" ref="D9">IF(C9="","",IFERROR(INDEX(STPP!$D$6:$D$4207,MATCH(C9,STPP!$C$6:$C$4207,0)),"Not Found"))</f>
        <v>TOPENG LAS - ROHA</v>
      </c>
      <c r="E9" s="27" cm="1">
        <f t="array" ref="E9">IF(C9="","",IFERROR(INDEX(STPP!$E$6:$E$4207,MATCH(C9,STPP!$C$6:$C$4207,0)),"Not Found"))</f>
        <v>1</v>
      </c>
      <c r="F9" s="27" t="str" cm="1">
        <f t="array" ref="F9">IF(C9="","",IFERROR(INDEX(STPP!$F$6:$F$4207,MATCH(C9,STPP!$C$6:$C$4207,0)),"Not Found"))</f>
        <v>PCS</v>
      </c>
      <c r="G9" s="25" t="s">
        <v>1025</v>
      </c>
      <c r="H9" s="28">
        <v>46179</v>
      </c>
      <c r="I9" s="25" t="s">
        <v>2483</v>
      </c>
      <c r="J9" s="31" t="s">
        <v>2484</v>
      </c>
    </row>
    <row r="10" s="12" customFormat="1" customHeight="1" spans="2:10">
      <c r="B10" s="25">
        <v>5</v>
      </c>
      <c r="C10" s="25" t="s">
        <v>314</v>
      </c>
      <c r="D10" s="26" t="str" cm="1">
        <f t="array" ref="D10">IF(C10="","",IFERROR(INDEX(STPP!$D$6:$D$4207,MATCH(C10,STPP!$C$6:$C$4207,0)),"Not Found"))</f>
        <v>TOPENG LAS - ROHA</v>
      </c>
      <c r="E10" s="27" cm="1">
        <f t="array" ref="E10">IF(C10="","",IFERROR(INDEX(STPP!$E$6:$E$4207,MATCH(C10,STPP!$C$6:$C$4207,0)),"Not Found"))</f>
        <v>1</v>
      </c>
      <c r="F10" s="27" t="str" cm="1">
        <f t="array" ref="F10">IF(C10="","",IFERROR(INDEX(STPP!$F$6:$F$4207,MATCH(C10,STPP!$C$6:$C$4207,0)),"Not Found"))</f>
        <v>PCS</v>
      </c>
      <c r="G10" s="25" t="s">
        <v>1025</v>
      </c>
      <c r="H10" s="28">
        <v>46179</v>
      </c>
      <c r="I10" s="25" t="s">
        <v>2483</v>
      </c>
      <c r="J10" s="31" t="s">
        <v>2484</v>
      </c>
    </row>
    <row r="11" s="12" customFormat="1" customHeight="1" spans="2:10">
      <c r="B11" s="25">
        <v>6</v>
      </c>
      <c r="C11" s="25" t="s">
        <v>1383</v>
      </c>
      <c r="D11" s="26" t="str" cm="1">
        <f t="array" ref="D11">IF(C11="","",IFERROR(INDEX(STPP!$D$6:$D$4207,MATCH(C11,STPP!$C$6:$C$4207,0)),"Not Found"))</f>
        <v>(REFURBISHED) TOPENG LAS - ROHA</v>
      </c>
      <c r="E11" s="27" cm="1">
        <f t="array" ref="E11">IF(C11="","",IFERROR(INDEX(STPP!$E$6:$E$4207,MATCH(C11,STPP!$C$6:$C$4207,0)),"Not Found"))</f>
        <v>1</v>
      </c>
      <c r="F11" s="27" t="str" cm="1">
        <f t="array" ref="F11">IF(C11="","",IFERROR(INDEX(STPP!$F$6:$F$4207,MATCH(C11,STPP!$C$6:$C$4207,0)),"Not Found"))</f>
        <v>PCS</v>
      </c>
      <c r="G11" s="25" t="s">
        <v>1025</v>
      </c>
      <c r="H11" s="28">
        <v>46179</v>
      </c>
      <c r="I11" s="25" t="s">
        <v>2483</v>
      </c>
      <c r="J11" s="31" t="s">
        <v>2484</v>
      </c>
    </row>
    <row r="12" s="12" customFormat="1" customHeight="1" spans="2:10">
      <c r="B12" s="25">
        <v>7</v>
      </c>
      <c r="C12" s="25" t="s">
        <v>2232</v>
      </c>
      <c r="D12" s="26" t="str" cm="1">
        <f t="array" ref="D12">IF(C12="","",IFERROR(INDEX(STPP!$D$6:$D$4207,MATCH(C12,STPP!$C$6:$C$4207,0)),"Not Found"))</f>
        <v>PRINTER - EPSON / L360</v>
      </c>
      <c r="E12" s="27" cm="1">
        <f t="array" ref="E12">IF(C12="","",IFERROR(INDEX(STPP!$E$6:$E$4207,MATCH(C12,STPP!$C$6:$C$4207,0)),"Not Found"))</f>
        <v>1</v>
      </c>
      <c r="F12" s="27" t="str" cm="1">
        <f t="array" ref="F12">IF(C12="","",IFERROR(INDEX(STPP!$F$6:$F$4207,MATCH(C12,STPP!$C$6:$C$4207,0)),"Not Found"))</f>
        <v>PCS</v>
      </c>
      <c r="G12" s="25" t="s">
        <v>2485</v>
      </c>
      <c r="H12" s="28">
        <v>46206</v>
      </c>
      <c r="I12" s="25" t="s">
        <v>2486</v>
      </c>
      <c r="J12" s="31" t="s">
        <v>2487</v>
      </c>
    </row>
    <row r="13" s="12" customFormat="1" customHeight="1" spans="2:10">
      <c r="B13" s="25">
        <v>8</v>
      </c>
      <c r="C13" s="25" t="s">
        <v>2268</v>
      </c>
      <c r="D13" s="26" t="str" cm="1">
        <f t="array" ref="D13">IF(C13="","",IFERROR(INDEX(STPP!$D$6:$D$4207,MATCH(C13,STPP!$C$6:$C$4207,0)),"Not Found"))</f>
        <v>PRINTER - HP LASERJET / P1102</v>
      </c>
      <c r="E13" s="27" cm="1">
        <f t="array" ref="E13">IF(C13="","",IFERROR(INDEX(STPP!$E$6:$E$4207,MATCH(C13,STPP!$C$6:$C$4207,0)),"Not Found"))</f>
        <v>1</v>
      </c>
      <c r="F13" s="27" t="str" cm="1">
        <f t="array" ref="F13">IF(C13="","",IFERROR(INDEX(STPP!$F$6:$F$4207,MATCH(C13,STPP!$C$6:$C$4207,0)),"Not Found"))</f>
        <v>PCS</v>
      </c>
      <c r="G13" s="25" t="s">
        <v>2258</v>
      </c>
      <c r="H13" s="28">
        <v>46199</v>
      </c>
      <c r="I13" s="25" t="s">
        <v>2488</v>
      </c>
      <c r="J13" s="31" t="s">
        <v>2489</v>
      </c>
    </row>
    <row r="14" s="12" customFormat="1" customHeight="1" spans="2:10">
      <c r="B14" s="25">
        <v>9</v>
      </c>
      <c r="C14" s="25" t="s">
        <v>2253</v>
      </c>
      <c r="D14" s="26" t="str" cm="1">
        <f t="array" ref="D14">IF(C14="","",IFERROR(INDEX(STPP!$D$6:$D$4207,MATCH(C14,STPP!$C$6:$C$4207,0)),"Not Found"))</f>
        <v>PRINTER - CANON / PIXMA G2010</v>
      </c>
      <c r="E14" s="27" cm="1">
        <f t="array" ref="E14">IF(C14="","",IFERROR(INDEX(STPP!$E$6:$E$4207,MATCH(C14,STPP!$C$6:$C$4207,0)),"Not Found"))</f>
        <v>1</v>
      </c>
      <c r="F14" s="27" t="str" cm="1">
        <f t="array" ref="F14">IF(C14="","",IFERROR(INDEX(STPP!$F$6:$F$4207,MATCH(C14,STPP!$C$6:$C$4207,0)),"Not Found"))</f>
        <v>PCS</v>
      </c>
      <c r="G14" s="25" t="s">
        <v>2238</v>
      </c>
      <c r="H14" s="28">
        <v>46202</v>
      </c>
      <c r="I14" s="25" t="s">
        <v>2490</v>
      </c>
      <c r="J14" s="31" t="s">
        <v>2491</v>
      </c>
    </row>
    <row r="15" s="12" customFormat="1" customHeight="1" spans="2:10">
      <c r="B15" s="25">
        <v>10</v>
      </c>
      <c r="C15" s="25" t="s">
        <v>2165</v>
      </c>
      <c r="D15" s="26" t="str" cm="1">
        <f t="array" ref="D15">IF(C15="","",IFERROR(INDEX(STPP!$D$6:$D$4207,MATCH(C15,STPP!$C$6:$C$4207,0)),"Not Found"))</f>
        <v>PRINTER - CANON / PIXMA G2730</v>
      </c>
      <c r="E15" s="27" cm="1">
        <f t="array" ref="E15">IF(C15="","",IFERROR(INDEX(STPP!$E$6:$E$4207,MATCH(C15,STPP!$C$6:$C$4207,0)),"Not Found"))</f>
        <v>1</v>
      </c>
      <c r="F15" s="27" t="str" cm="1">
        <f t="array" ref="F15">IF(C15="","",IFERROR(INDEX(STPP!$F$6:$F$4207,MATCH(C15,STPP!$C$6:$C$4207,0)),"Not Found"))</f>
        <v>PCS</v>
      </c>
      <c r="G15" s="25" t="s">
        <v>931</v>
      </c>
      <c r="H15" s="28">
        <v>46207</v>
      </c>
      <c r="I15" s="25" t="s">
        <v>2492</v>
      </c>
      <c r="J15" s="31" t="s">
        <v>2493</v>
      </c>
    </row>
    <row r="16" s="12" customFormat="1" customHeight="1" spans="2:10">
      <c r="B16" s="25">
        <v>11</v>
      </c>
      <c r="C16" s="25" t="s">
        <v>2232</v>
      </c>
      <c r="D16" s="26" t="str" cm="1">
        <f t="array" ref="D16">IF(C16="","",IFERROR(INDEX(STPP!$D$6:$D$4207,MATCH(C16,STPP!$C$6:$C$4207,0)),"Not Found"))</f>
        <v>PRINTER - EPSON / L360</v>
      </c>
      <c r="E16" s="27" cm="1">
        <f t="array" ref="E16">IF(C16="","",IFERROR(INDEX(STPP!$E$6:$E$4207,MATCH(C16,STPP!$C$6:$C$4207,0)),"Not Found"))</f>
        <v>1</v>
      </c>
      <c r="F16" s="27" t="str" cm="1">
        <f t="array" ref="F16">IF(C16="","",IFERROR(INDEX(STPP!$F$6:$F$4207,MATCH(C16,STPP!$C$6:$C$4207,0)),"Not Found"))</f>
        <v>PCS</v>
      </c>
      <c r="G16" s="25" t="s">
        <v>2258</v>
      </c>
      <c r="H16" s="28">
        <v>46206</v>
      </c>
      <c r="I16" s="25" t="s">
        <v>2486</v>
      </c>
      <c r="J16" s="31" t="s">
        <v>2487</v>
      </c>
    </row>
    <row r="17" s="12" customFormat="1" customHeight="1" spans="2:10">
      <c r="B17" s="25">
        <v>12</v>
      </c>
      <c r="C17" s="25" t="s">
        <v>1005</v>
      </c>
      <c r="D17" s="26" t="str" cm="1">
        <f t="array" ref="D17">IF(C17="","",IFERROR(INDEX(STPP!$D$6:$D$4207,MATCH(C17,STPP!$C$6:$C$4207,0)),"Not Found"))</f>
        <v>METERAN SAKU - ATS / 10m</v>
      </c>
      <c r="E17" s="27" cm="1">
        <f t="array" ref="E17">IF(C17="","",IFERROR(INDEX(STPP!$E$6:$E$4207,MATCH(C17,STPP!$C$6:$C$4207,0)),"Not Found"))</f>
        <v>1</v>
      </c>
      <c r="F17" s="27" t="str" cm="1">
        <f t="array" ref="F17">IF(C17="","",IFERROR(INDEX(STPP!$F$6:$F$4207,MATCH(C17,STPP!$C$6:$C$4207,0)),"Not Found"))</f>
        <v>PCS</v>
      </c>
      <c r="G17" s="25" t="s">
        <v>1384</v>
      </c>
      <c r="H17" s="28">
        <v>46179</v>
      </c>
      <c r="I17" s="25" t="s">
        <v>1830</v>
      </c>
      <c r="J17" s="31" t="s">
        <v>2494</v>
      </c>
    </row>
    <row r="18" s="12" customFormat="1" customHeight="1" spans="2:10">
      <c r="B18" s="25">
        <v>13</v>
      </c>
      <c r="C18" s="25" t="s">
        <v>1207</v>
      </c>
      <c r="D18" s="26" t="str" cm="1">
        <f t="array" ref="D18">IF(C18="","",IFERROR(INDEX(STPP!$D$6:$D$4207,MATCH(C18,STPP!$C$6:$C$4207,0)),"Not Found"))</f>
        <v>SPRAY GUN - NRT-PRO / F-75</v>
      </c>
      <c r="E18" s="27" cm="1">
        <f t="array" ref="E18">IF(C18="","",IFERROR(INDEX(STPP!$E$6:$E$4207,MATCH(C18,STPP!$C$6:$C$4207,0)),"Not Found"))</f>
        <v>1</v>
      </c>
      <c r="F18" s="27" t="str" cm="1">
        <f t="array" ref="F18">IF(C18="","",IFERROR(INDEX(STPP!$F$6:$F$4207,MATCH(C18,STPP!$C$6:$C$4207,0)),"Not Found"))</f>
        <v>PCS</v>
      </c>
      <c r="G18" s="25" t="s">
        <v>2495</v>
      </c>
      <c r="H18" s="28">
        <v>46212</v>
      </c>
      <c r="I18" s="25" t="s">
        <v>2496</v>
      </c>
      <c r="J18" s="31" t="s">
        <v>2497</v>
      </c>
    </row>
    <row r="19" s="12" customFormat="1" customHeight="1" spans="2:10">
      <c r="B19" s="25">
        <v>14</v>
      </c>
      <c r="C19" s="25" t="s">
        <v>2199</v>
      </c>
      <c r="D19" s="26" t="str" cm="1">
        <f t="array" ref="D19">IF(C19="","",IFERROR(INDEX(STPP!$D$6:$D$4207,MATCH(C19,STPP!$C$6:$C$4207,0)),"Not Found"))</f>
        <v>KEYBOARD WIRED - HP / 240J7AA</v>
      </c>
      <c r="E19" s="27" cm="1">
        <f t="array" ref="E19">IF(C19="","",IFERROR(INDEX(STPP!$E$6:$E$4207,MATCH(C19,STPP!$C$6:$C$4207,0)),"Not Found"))</f>
        <v>1</v>
      </c>
      <c r="F19" s="27" t="str" cm="1">
        <f t="array" ref="F19">IF(C19="","",IFERROR(INDEX(STPP!$F$6:$F$4207,MATCH(C19,STPP!$C$6:$C$4207,0)),"Not Found"))</f>
        <v>PCS</v>
      </c>
      <c r="G19" s="25" t="s">
        <v>2457</v>
      </c>
      <c r="H19" s="28">
        <v>46224</v>
      </c>
      <c r="I19" s="25" t="s">
        <v>2458</v>
      </c>
      <c r="J19" s="31" t="s">
        <v>2498</v>
      </c>
    </row>
    <row r="20" s="12" customFormat="1" customHeight="1" spans="2:10">
      <c r="B20" s="25">
        <v>15</v>
      </c>
      <c r="C20" s="25" t="s">
        <v>1393</v>
      </c>
      <c r="D20" s="26" t="str" cm="1">
        <f t="array" ref="D20">IF(C20="","",IFERROR(INDEX(STPP!$D$6:$D$4207,MATCH(C20,STPP!$C$6:$C$4207,0)),"Not Found"))</f>
        <v>STIKER REFLEKTIF - E1 104R / 00821 / 5cm / KUNING</v>
      </c>
      <c r="E20" s="27" cm="1">
        <f t="array" ref="E20">IF(C20="","",IFERROR(INDEX(STPP!$E$6:$E$4207,MATCH(C20,STPP!$C$6:$C$4207,0)),"Not Found"))</f>
        <v>45</v>
      </c>
      <c r="F20" s="27" t="str" cm="1">
        <f t="array" ref="F20">IF(C20="","",IFERROR(INDEX(STPP!$F$6:$F$4207,MATCH(C20,STPP!$C$6:$C$4207,0)),"Not Found"))</f>
        <v>MTR</v>
      </c>
      <c r="G20" s="25" t="s">
        <v>30</v>
      </c>
      <c r="H20" s="28">
        <v>46227</v>
      </c>
      <c r="I20" s="25" t="s">
        <v>2499</v>
      </c>
      <c r="J20" s="31" t="s">
        <v>2500</v>
      </c>
    </row>
    <row r="21" s="12" customFormat="1" customHeight="1" spans="2:10">
      <c r="B21" s="25">
        <v>16</v>
      </c>
      <c r="C21" s="25" t="s">
        <v>550</v>
      </c>
      <c r="D21" s="26" t="str" cm="1">
        <f t="array" ref="D21">IF(C21="","",IFERROR(INDEX(STPP!$D$6:$D$4207,MATCH(C21,STPP!$C$6:$C$4207,0)),"Not Found"))</f>
        <v>MATA BOR HSS BAJA - NACHI / D = 6mm</v>
      </c>
      <c r="E21" s="27" cm="1">
        <f t="array" ref="E21">IF(C21="","",IFERROR(INDEX(STPP!$E$6:$E$4207,MATCH(C21,STPP!$C$6:$C$4207,0)),"Not Found"))</f>
        <v>1</v>
      </c>
      <c r="F21" s="27" t="str" cm="1">
        <f t="array" ref="F21">IF(C21="","",IFERROR(INDEX(STPP!$F$6:$F$4207,MATCH(C21,STPP!$C$6:$C$4207,0)),"Not Found"))</f>
        <v>PCS</v>
      </c>
      <c r="G21" s="25" t="s">
        <v>1065</v>
      </c>
      <c r="H21" s="28">
        <v>46237</v>
      </c>
      <c r="I21" s="25" t="s">
        <v>2501</v>
      </c>
      <c r="J21" s="31" t="s">
        <v>2502</v>
      </c>
    </row>
    <row r="22" s="12" customFormat="1" customHeight="1" spans="2:10">
      <c r="B22" s="25"/>
      <c r="C22" s="25"/>
      <c r="D22" s="26" t="str" cm="1">
        <f t="array" ref="D22">IF(C22="","",IFERROR(INDEX(STPP!$D$6:$D$4207,MATCH(C22,STPP!$C$6:$C$4207,0)),"Not Found"))</f>
        <v/>
      </c>
      <c r="E22" s="27" t="str" cm="1">
        <f t="array" ref="E22">IF(C22="","",IFERROR(INDEX(STPP!$E$6:$E$4207,MATCH(C22,STPP!$C$6:$C$4207,0)),"Not Found"))</f>
        <v/>
      </c>
      <c r="F22" s="27" t="str" cm="1">
        <f t="array" ref="F22">IF(C22="","",IFERROR(INDEX(STPP!$F$6:$F$4207,MATCH(C22,STPP!$C$6:$C$4207,0)),"Not Found"))</f>
        <v/>
      </c>
      <c r="G22" s="25" t="str">
        <f>IF(表1[[#This Row],[No Seri]]="","",表1[[#This Row],[Deskripsi Barang]]+表1[[#This Row],[Kuantitas]]-表1[[#This Row],[Satuan]])</f>
        <v/>
      </c>
      <c r="H22" s="28"/>
      <c r="I22" s="25" t="str">
        <f>IF(表1[[#This Row],[Tgl NPBG]]&gt;表1[[#This Row],[Peminta]],表1[[#This Row],[Tgl NPBG]]-表1[[#This Row],[Peminta]],"")</f>
        <v/>
      </c>
      <c r="J22" s="31"/>
    </row>
    <row r="23" s="12" customFormat="1" customHeight="1" spans="2:10">
      <c r="B23" s="25"/>
      <c r="C23" s="25"/>
      <c r="D23" s="26" t="str" cm="1">
        <f t="array" ref="D23">IF(C23="","",IFERROR(INDEX(STPP!$D$6:$D$4207,MATCH(C23,STPP!$C$6:$C$4207,0)),"Not Found"))</f>
        <v/>
      </c>
      <c r="E23" s="27" t="str" cm="1">
        <f t="array" ref="E23">IF(C23="","",IFERROR(INDEX(STPP!$E$6:$E$4207,MATCH(C23,STPP!$C$6:$C$4207,0)),"Not Found"))</f>
        <v/>
      </c>
      <c r="F23" s="27" t="str" cm="1">
        <f t="array" ref="F23">IF(C23="","",IFERROR(INDEX(STPP!$F$6:$F$4207,MATCH(C23,STPP!$C$6:$C$4207,0)),"Not Found"))</f>
        <v/>
      </c>
      <c r="G23" s="25" t="str">
        <f>IF(表1[[#This Row],[No Seri]]="","",表1[[#This Row],[Deskripsi Barang]]+表1[[#This Row],[Kuantitas]]-表1[[#This Row],[Satuan]])</f>
        <v/>
      </c>
      <c r="H23" s="28"/>
      <c r="I23" s="25" t="str">
        <f>IF(表1[[#This Row],[Tgl NPBG]]&gt;表1[[#This Row],[Peminta]],表1[[#This Row],[Tgl NPBG]]-表1[[#This Row],[Peminta]],"")</f>
        <v/>
      </c>
      <c r="J23" s="31"/>
    </row>
    <row r="24" s="12" customFormat="1" customHeight="1" spans="2:10">
      <c r="B24" s="25"/>
      <c r="C24" s="25"/>
      <c r="D24" s="26" t="str" cm="1">
        <f t="array" ref="D24">IF(C24="","",IFERROR(INDEX(STPP!$D$6:$D$4207,MATCH(C24,STPP!$C$6:$C$4207,0)),"Not Found"))</f>
        <v/>
      </c>
      <c r="E24" s="27" t="str" cm="1">
        <f t="array" ref="E24">IF(C24="","",IFERROR(INDEX(STPP!$E$6:$E$4207,MATCH(C24,STPP!$C$6:$C$4207,0)),"Not Found"))</f>
        <v/>
      </c>
      <c r="F24" s="27" t="str" cm="1">
        <f t="array" ref="F24">IF(C24="","",IFERROR(INDEX(STPP!$F$6:$F$4207,MATCH(C24,STPP!$C$6:$C$4207,0)),"Not Found"))</f>
        <v/>
      </c>
      <c r="G24" s="25" t="str">
        <f>IF(表1[[#This Row],[No Seri]]="","",表1[[#This Row],[Deskripsi Barang]]+表1[[#This Row],[Kuantitas]]-表1[[#This Row],[Satuan]])</f>
        <v/>
      </c>
      <c r="H24" s="28"/>
      <c r="I24" s="25" t="str">
        <f>IF(表1[[#This Row],[Tgl NPBG]]&gt;表1[[#This Row],[Peminta]],表1[[#This Row],[Tgl NPBG]]-表1[[#This Row],[Peminta]],"")</f>
        <v/>
      </c>
      <c r="J24" s="31"/>
    </row>
    <row r="25" s="12" customFormat="1" customHeight="1" spans="2:10">
      <c r="B25" s="25"/>
      <c r="C25" s="25"/>
      <c r="D25" s="26" t="str" cm="1">
        <f t="array" ref="D25">IF(C25="","",IFERROR(INDEX(STPP!$D$6:$D$4207,MATCH(C25,STPP!$C$6:$C$4207,0)),"Not Found"))</f>
        <v/>
      </c>
      <c r="E25" s="27" t="str" cm="1">
        <f t="array" ref="E25">IF(C25="","",IFERROR(INDEX(STPP!$E$6:$E$4207,MATCH(C25,STPP!$C$6:$C$4207,0)),"Not Found"))</f>
        <v/>
      </c>
      <c r="F25" s="27" t="str" cm="1">
        <f t="array" ref="F25">IF(C25="","",IFERROR(INDEX(STPP!$F$6:$F$4207,MATCH(C25,STPP!$C$6:$C$4207,0)),"Not Found"))</f>
        <v/>
      </c>
      <c r="G25" s="25" t="str">
        <f>IF(表1[[#This Row],[No Seri]]="","",表1[[#This Row],[Deskripsi Barang]]+表1[[#This Row],[Kuantitas]]-表1[[#This Row],[Satuan]])</f>
        <v/>
      </c>
      <c r="H25" s="28"/>
      <c r="I25" s="25" t="str">
        <f>IF(表1[[#This Row],[Tgl NPBG]]&gt;表1[[#This Row],[Peminta]],表1[[#This Row],[Tgl NPBG]]-表1[[#This Row],[Peminta]],"")</f>
        <v/>
      </c>
      <c r="J25" s="31"/>
    </row>
    <row r="26" s="12" customFormat="1" customHeight="1" spans="2:10">
      <c r="B26" s="25"/>
      <c r="C26" s="25"/>
      <c r="D26" s="26" t="str" cm="1">
        <f t="array" ref="D26">IF(C26="","",IFERROR(INDEX(STPP!$D$6:$D$4207,MATCH(C26,STPP!$C$6:$C$4207,0)),"Not Found"))</f>
        <v/>
      </c>
      <c r="E26" s="27" t="str" cm="1">
        <f t="array" ref="E26">IF(C26="","",IFERROR(INDEX(STPP!$E$6:$E$4207,MATCH(C26,STPP!$C$6:$C$4207,0)),"Not Found"))</f>
        <v/>
      </c>
      <c r="F26" s="27" t="str" cm="1">
        <f t="array" ref="F26">IF(C26="","",IFERROR(INDEX(STPP!$F$6:$F$4207,MATCH(C26,STPP!$C$6:$C$4207,0)),"Not Found"))</f>
        <v/>
      </c>
      <c r="G26" s="25" t="str">
        <f>IF(表1[[#This Row],[No Seri]]="","",表1[[#This Row],[Deskripsi Barang]]+表1[[#This Row],[Kuantitas]]-表1[[#This Row],[Satuan]])</f>
        <v/>
      </c>
      <c r="H26" s="28"/>
      <c r="I26" s="25" t="str">
        <f>IF(表1[[#This Row],[Tgl NPBG]]&gt;表1[[#This Row],[Peminta]],表1[[#This Row],[Tgl NPBG]]-表1[[#This Row],[Peminta]],"")</f>
        <v/>
      </c>
      <c r="J26" s="31"/>
    </row>
    <row r="27" s="12" customFormat="1" customHeight="1" spans="2:10">
      <c r="B27" s="25"/>
      <c r="C27" s="25"/>
      <c r="D27" s="26" t="str" cm="1">
        <f t="array" ref="D27">IF(C27="","",IFERROR(INDEX(STPP!$D$6:$D$4207,MATCH(C27,STPP!$C$6:$C$4207,0)),"Not Found"))</f>
        <v/>
      </c>
      <c r="E27" s="27" t="str" cm="1">
        <f t="array" ref="E27">IF(C27="","",IFERROR(INDEX(STPP!$E$6:$E$4207,MATCH(C27,STPP!$C$6:$C$4207,0)),"Not Found"))</f>
        <v/>
      </c>
      <c r="F27" s="27" t="str" cm="1">
        <f t="array" ref="F27">IF(C27="","",IFERROR(INDEX(STPP!$F$6:$F$4207,MATCH(C27,STPP!$C$6:$C$4207,0)),"Not Found"))</f>
        <v/>
      </c>
      <c r="G27" s="25" t="str">
        <f>IF(表1[[#This Row],[No Seri]]="","",表1[[#This Row],[Deskripsi Barang]]+表1[[#This Row],[Kuantitas]]-表1[[#This Row],[Satuan]])</f>
        <v/>
      </c>
      <c r="H27" s="28"/>
      <c r="I27" s="25" t="str">
        <f>IF(表1[[#This Row],[Tgl NPBG]]&gt;表1[[#This Row],[Peminta]],表1[[#This Row],[Tgl NPBG]]-表1[[#This Row],[Peminta]],"")</f>
        <v/>
      </c>
      <c r="J27" s="31"/>
    </row>
    <row r="28" s="12" customFormat="1" customHeight="1" spans="2:10">
      <c r="B28" s="25"/>
      <c r="C28" s="25"/>
      <c r="D28" s="26" t="str" cm="1">
        <f t="array" ref="D28">IF(C28="","",IFERROR(INDEX(STPP!$D$6:$D$4207,MATCH(C28,STPP!$C$6:$C$4207,0)),"Not Found"))</f>
        <v/>
      </c>
      <c r="E28" s="27" t="str" cm="1">
        <f t="array" ref="E28">IF(C28="","",IFERROR(INDEX(STPP!$E$6:$E$4207,MATCH(C28,STPP!$C$6:$C$4207,0)),"Not Found"))</f>
        <v/>
      </c>
      <c r="F28" s="27" t="str" cm="1">
        <f t="array" ref="F28">IF(C28="","",IFERROR(INDEX(STPP!$F$6:$F$4207,MATCH(C28,STPP!$C$6:$C$4207,0)),"Not Found"))</f>
        <v/>
      </c>
      <c r="G28" s="25" t="str">
        <f>IF(表1[[#This Row],[No Seri]]="","",表1[[#This Row],[Deskripsi Barang]]+表1[[#This Row],[Kuantitas]]-表1[[#This Row],[Satuan]])</f>
        <v/>
      </c>
      <c r="H28" s="28"/>
      <c r="I28" s="25" t="str">
        <f>IF(表1[[#This Row],[Tgl NPBG]]&gt;表1[[#This Row],[Peminta]],表1[[#This Row],[Tgl NPBG]]-表1[[#This Row],[Peminta]],"")</f>
        <v/>
      </c>
      <c r="J28" s="31"/>
    </row>
    <row r="29" s="12" customFormat="1" customHeight="1" spans="2:10">
      <c r="B29" s="25"/>
      <c r="C29" s="25"/>
      <c r="D29" s="26" t="str" cm="1">
        <f t="array" ref="D29">IF(C29="","",IFERROR(INDEX(STPP!$D$6:$D$4207,MATCH(C29,STPP!$C$6:$C$4207,0)),"Not Found"))</f>
        <v/>
      </c>
      <c r="E29" s="27" t="str" cm="1">
        <f t="array" ref="E29">IF(C29="","",IFERROR(INDEX(STPP!$E$6:$E$4207,MATCH(C29,STPP!$C$6:$C$4207,0)),"Not Found"))</f>
        <v/>
      </c>
      <c r="F29" s="27" t="str" cm="1">
        <f t="array" ref="F29">IF(C29="","",IFERROR(INDEX(STPP!$F$6:$F$4207,MATCH(C29,STPP!$C$6:$C$4207,0)),"Not Found"))</f>
        <v/>
      </c>
      <c r="G29" s="25" t="str">
        <f>IF(表1[[#This Row],[No Seri]]="","",表1[[#This Row],[Deskripsi Barang]]+表1[[#This Row],[Kuantitas]]-表1[[#This Row],[Satuan]])</f>
        <v/>
      </c>
      <c r="H29" s="28"/>
      <c r="I29" s="25" t="str">
        <f>IF(表1[[#This Row],[Tgl NPBG]]&gt;表1[[#This Row],[Peminta]],表1[[#This Row],[Tgl NPBG]]-表1[[#This Row],[Peminta]],"")</f>
        <v/>
      </c>
      <c r="J29" s="31"/>
    </row>
    <row r="30" s="12" customFormat="1" customHeight="1" spans="2:10">
      <c r="B30" s="25"/>
      <c r="C30" s="25"/>
      <c r="D30" s="26" t="str" cm="1">
        <f t="array" ref="D30">IF(C30="","",IFERROR(INDEX(STPP!$D$6:$D$4207,MATCH(C30,STPP!$C$6:$C$4207,0)),"Not Found"))</f>
        <v/>
      </c>
      <c r="E30" s="27" t="str" cm="1">
        <f t="array" ref="E30">IF(C30="","",IFERROR(INDEX(STPP!$E$6:$E$4207,MATCH(C30,STPP!$C$6:$C$4207,0)),"Not Found"))</f>
        <v/>
      </c>
      <c r="F30" s="27" t="str" cm="1">
        <f t="array" ref="F30">IF(C30="","",IFERROR(INDEX(STPP!$F$6:$F$4207,MATCH(C30,STPP!$C$6:$C$4207,0)),"Not Found"))</f>
        <v/>
      </c>
      <c r="G30" s="25" t="str">
        <f>IF(表1[[#This Row],[No Seri]]="","",表1[[#This Row],[Deskripsi Barang]]+表1[[#This Row],[Kuantitas]]-表1[[#This Row],[Satuan]])</f>
        <v/>
      </c>
      <c r="H30" s="28"/>
      <c r="I30" s="25" t="str">
        <f>IF(表1[[#This Row],[Tgl NPBG]]&gt;表1[[#This Row],[Peminta]],表1[[#This Row],[Tgl NPBG]]-表1[[#This Row],[Peminta]],"")</f>
        <v/>
      </c>
      <c r="J30" s="31"/>
    </row>
    <row r="31" s="12" customFormat="1" customHeight="1" spans="2:10">
      <c r="B31" s="25"/>
      <c r="C31" s="25"/>
      <c r="D31" s="26" t="str" cm="1">
        <f t="array" ref="D31">IF(C31="","",IFERROR(INDEX(STPP!$D$6:$D$4207,MATCH(C31,STPP!$C$6:$C$4207,0)),"Not Found"))</f>
        <v/>
      </c>
      <c r="E31" s="27" t="str" cm="1">
        <f t="array" ref="E31">IF(C31="","",IFERROR(INDEX(STPP!$E$6:$E$4207,MATCH(C31,STPP!$C$6:$C$4207,0)),"Not Found"))</f>
        <v/>
      </c>
      <c r="F31" s="27" t="str" cm="1">
        <f t="array" ref="F31">IF(C31="","",IFERROR(INDEX(STPP!$F$6:$F$4207,MATCH(C31,STPP!$C$6:$C$4207,0)),"Not Found"))</f>
        <v/>
      </c>
      <c r="G31" s="25" t="str">
        <f>IF(表1[[#This Row],[No Seri]]="","",表1[[#This Row],[Deskripsi Barang]]+表1[[#This Row],[Kuantitas]]-表1[[#This Row],[Satuan]])</f>
        <v/>
      </c>
      <c r="H31" s="28"/>
      <c r="I31" s="25" t="str">
        <f>IF(表1[[#This Row],[Tgl NPBG]]&gt;表1[[#This Row],[Peminta]],表1[[#This Row],[Tgl NPBG]]-表1[[#This Row],[Peminta]],"")</f>
        <v/>
      </c>
      <c r="J31" s="31"/>
    </row>
    <row r="32" s="12" customFormat="1" customHeight="1" spans="2:10">
      <c r="B32" s="25"/>
      <c r="C32" s="25"/>
      <c r="D32" s="26" t="str" cm="1">
        <f t="array" ref="D32">IF(C32="","",IFERROR(INDEX(STPP!$D$6:$D$4207,MATCH(C32,STPP!$C$6:$C$4207,0)),"Not Found"))</f>
        <v/>
      </c>
      <c r="E32" s="27" t="str" cm="1">
        <f t="array" ref="E32">IF(C32="","",IFERROR(INDEX(STPP!$E$6:$E$4207,MATCH(C32,STPP!$C$6:$C$4207,0)),"Not Found"))</f>
        <v/>
      </c>
      <c r="F32" s="27" t="str" cm="1">
        <f t="array" ref="F32">IF(C32="","",IFERROR(INDEX(STPP!$F$6:$F$4207,MATCH(C32,STPP!$C$6:$C$4207,0)),"Not Found"))</f>
        <v/>
      </c>
      <c r="G32" s="25" t="str">
        <f>IF(表1[[#This Row],[No Seri]]="","",表1[[#This Row],[Deskripsi Barang]]+表1[[#This Row],[Kuantitas]]-表1[[#This Row],[Satuan]])</f>
        <v/>
      </c>
      <c r="H32" s="28"/>
      <c r="I32" s="25" t="str">
        <f>IF(表1[[#This Row],[Tgl NPBG]]&gt;表1[[#This Row],[Peminta]],表1[[#This Row],[Tgl NPBG]]-表1[[#This Row],[Peminta]],"")</f>
        <v/>
      </c>
      <c r="J32" s="31"/>
    </row>
    <row r="33" s="12" customFormat="1" customHeight="1" spans="2:10">
      <c r="B33" s="25"/>
      <c r="C33" s="25"/>
      <c r="D33" s="26" t="str" cm="1">
        <f t="array" ref="D33">IF(C33="","",IFERROR(INDEX(STPP!$D$6:$D$4207,MATCH(C33,STPP!$C$6:$C$4207,0)),"Not Found"))</f>
        <v/>
      </c>
      <c r="E33" s="27" t="str" cm="1">
        <f t="array" ref="E33">IF(C33="","",IFERROR(INDEX(STPP!$E$6:$E$4207,MATCH(C33,STPP!$C$6:$C$4207,0)),"Not Found"))</f>
        <v/>
      </c>
      <c r="F33" s="27" t="str" cm="1">
        <f t="array" ref="F33">IF(C33="","",IFERROR(INDEX(STPP!$F$6:$F$4207,MATCH(C33,STPP!$C$6:$C$4207,0)),"Not Found"))</f>
        <v/>
      </c>
      <c r="G33" s="25" t="str">
        <f>IF(表1[[#This Row],[No Seri]]="","",表1[[#This Row],[Deskripsi Barang]]+表1[[#This Row],[Kuantitas]]-表1[[#This Row],[Satuan]])</f>
        <v/>
      </c>
      <c r="H33" s="28"/>
      <c r="I33" s="25" t="str">
        <f>IF(表1[[#This Row],[Tgl NPBG]]&gt;表1[[#This Row],[Peminta]],表1[[#This Row],[Tgl NPBG]]-表1[[#This Row],[Peminta]],"")</f>
        <v/>
      </c>
      <c r="J33" s="31"/>
    </row>
    <row r="34" s="12" customFormat="1" customHeight="1" spans="2:10">
      <c r="B34" s="25"/>
      <c r="C34" s="25"/>
      <c r="D34" s="26" t="str" cm="1">
        <f t="array" ref="D34">IF(C34="","",IFERROR(INDEX(STPP!$D$6:$D$4207,MATCH(C34,STPP!$C$6:$C$4207,0)),"Not Found"))</f>
        <v/>
      </c>
      <c r="E34" s="27" t="str" cm="1">
        <f t="array" ref="E34">IF(C34="","",IFERROR(INDEX(STPP!$E$6:$E$4207,MATCH(C34,STPP!$C$6:$C$4207,0)),"Not Found"))</f>
        <v/>
      </c>
      <c r="F34" s="27" t="str" cm="1">
        <f t="array" ref="F34">IF(C34="","",IFERROR(INDEX(STPP!$F$6:$F$4207,MATCH(C34,STPP!$C$6:$C$4207,0)),"Not Found"))</f>
        <v/>
      </c>
      <c r="G34" s="25" t="str">
        <f>IF(表1[[#This Row],[No Seri]]="","",表1[[#This Row],[Deskripsi Barang]]+表1[[#This Row],[Kuantitas]]-表1[[#This Row],[Satuan]])</f>
        <v/>
      </c>
      <c r="H34" s="28"/>
      <c r="I34" s="25" t="str">
        <f>IF(表1[[#This Row],[Tgl NPBG]]&gt;表1[[#This Row],[Peminta]],表1[[#This Row],[Tgl NPBG]]-表1[[#This Row],[Peminta]],"")</f>
        <v/>
      </c>
      <c r="J34" s="31"/>
    </row>
    <row r="35" s="12" customFormat="1" customHeight="1" spans="2:10">
      <c r="B35" s="25"/>
      <c r="C35" s="25"/>
      <c r="D35" s="26" t="str" cm="1">
        <f t="array" ref="D35">IF(C35="","",IFERROR(INDEX(STPP!$D$6:$D$4207,MATCH(C35,STPP!$C$6:$C$4207,0)),"Not Found"))</f>
        <v/>
      </c>
      <c r="E35" s="27" t="str" cm="1">
        <f t="array" ref="E35">IF(C35="","",IFERROR(INDEX(STPP!$E$6:$E$4207,MATCH(C35,STPP!$C$6:$C$4207,0)),"Not Found"))</f>
        <v/>
      </c>
      <c r="F35" s="27" t="str" cm="1">
        <f t="array" ref="F35">IF(C35="","",IFERROR(INDEX(STPP!$F$6:$F$4207,MATCH(C35,STPP!$C$6:$C$4207,0)),"Not Found"))</f>
        <v/>
      </c>
      <c r="G35" s="25" t="str">
        <f>IF(表1[[#This Row],[No Seri]]="","",表1[[#This Row],[Deskripsi Barang]]+表1[[#This Row],[Kuantitas]]-表1[[#This Row],[Satuan]])</f>
        <v/>
      </c>
      <c r="H35" s="28"/>
      <c r="I35" s="25" t="str">
        <f>IF(表1[[#This Row],[Tgl NPBG]]&gt;表1[[#This Row],[Peminta]],表1[[#This Row],[Tgl NPBG]]-表1[[#This Row],[Peminta]],"")</f>
        <v/>
      </c>
      <c r="J35" s="31"/>
    </row>
    <row r="36" s="12" customFormat="1" customHeight="1" spans="2:10">
      <c r="B36" s="25"/>
      <c r="C36" s="25"/>
      <c r="D36" s="26" t="str" cm="1">
        <f t="array" ref="D36">IF(C36="","",IFERROR(INDEX(STPP!$D$6:$D$4207,MATCH(C36,STPP!$C$6:$C$4207,0)),"Not Found"))</f>
        <v/>
      </c>
      <c r="E36" s="27" t="str" cm="1">
        <f t="array" ref="E36">IF(C36="","",IFERROR(INDEX(STPP!$E$6:$E$4207,MATCH(C36,STPP!$C$6:$C$4207,0)),"Not Found"))</f>
        <v/>
      </c>
      <c r="F36" s="27" t="str" cm="1">
        <f t="array" ref="F36">IF(C36="","",IFERROR(INDEX(STPP!$F$6:$F$4207,MATCH(C36,STPP!$C$6:$C$4207,0)),"Not Found"))</f>
        <v/>
      </c>
      <c r="G36" s="25" t="str">
        <f>IF(表1[[#This Row],[No Seri]]="","",表1[[#This Row],[Deskripsi Barang]]+表1[[#This Row],[Kuantitas]]-表1[[#This Row],[Satuan]])</f>
        <v/>
      </c>
      <c r="H36" s="28"/>
      <c r="I36" s="25" t="str">
        <f>IF(表1[[#This Row],[Tgl NPBG]]&gt;表1[[#This Row],[Peminta]],表1[[#This Row],[Tgl NPBG]]-表1[[#This Row],[Peminta]],"")</f>
        <v/>
      </c>
      <c r="J36" s="31"/>
    </row>
    <row r="37" s="12" customFormat="1" customHeight="1" spans="2:10">
      <c r="B37" s="25"/>
      <c r="C37" s="25"/>
      <c r="D37" s="26" t="str" cm="1">
        <f t="array" ref="D37">IF(C37="","",IFERROR(INDEX(STPP!$D$6:$D$4207,MATCH(C37,STPP!$C$6:$C$4207,0)),"Not Found"))</f>
        <v/>
      </c>
      <c r="E37" s="27" t="str" cm="1">
        <f t="array" ref="E37">IF(C37="","",IFERROR(INDEX(STPP!$E$6:$E$4207,MATCH(C37,STPP!$C$6:$C$4207,0)),"Not Found"))</f>
        <v/>
      </c>
      <c r="F37" s="27" t="str" cm="1">
        <f t="array" ref="F37">IF(C37="","",IFERROR(INDEX(STPP!$F$6:$F$4207,MATCH(C37,STPP!$C$6:$C$4207,0)),"Not Found"))</f>
        <v/>
      </c>
      <c r="G37" s="25" t="str">
        <f>IF(表1[[#This Row],[No Seri]]="","",表1[[#This Row],[Deskripsi Barang]]+表1[[#This Row],[Kuantitas]]-表1[[#This Row],[Satuan]])</f>
        <v/>
      </c>
      <c r="H37" s="28"/>
      <c r="I37" s="25" t="str">
        <f>IF(表1[[#This Row],[Tgl NPBG]]&gt;表1[[#This Row],[Peminta]],表1[[#This Row],[Tgl NPBG]]-表1[[#This Row],[Peminta]],"")</f>
        <v/>
      </c>
      <c r="J37" s="31"/>
    </row>
    <row r="38" s="12" customFormat="1" customHeight="1" spans="2:10">
      <c r="B38" s="25"/>
      <c r="C38" s="25"/>
      <c r="D38" s="26" t="str" cm="1">
        <f t="array" ref="D38">IF(C38="","",IFERROR(INDEX(STPP!$D$6:$D$4207,MATCH(C38,STPP!$C$6:$C$4207,0)),"Not Found"))</f>
        <v/>
      </c>
      <c r="E38" s="27" t="str" cm="1">
        <f t="array" ref="E38">IF(C38="","",IFERROR(INDEX(STPP!$E$6:$E$4207,MATCH(C38,STPP!$C$6:$C$4207,0)),"Not Found"))</f>
        <v/>
      </c>
      <c r="F38" s="27" t="str" cm="1">
        <f t="array" ref="F38">IF(C38="","",IFERROR(INDEX(STPP!$F$6:$F$4207,MATCH(C38,STPP!$C$6:$C$4207,0)),"Not Found"))</f>
        <v/>
      </c>
      <c r="G38" s="25" t="str">
        <f>IF(表1[[#This Row],[No Seri]]="","",表1[[#This Row],[Deskripsi Barang]]+表1[[#This Row],[Kuantitas]]-表1[[#This Row],[Satuan]])</f>
        <v/>
      </c>
      <c r="H38" s="28"/>
      <c r="I38" s="25" t="str">
        <f>IF(表1[[#This Row],[Tgl NPBG]]&gt;表1[[#This Row],[Peminta]],表1[[#This Row],[Tgl NPBG]]-表1[[#This Row],[Peminta]],"")</f>
        <v/>
      </c>
      <c r="J38" s="31"/>
    </row>
    <row r="39" s="12" customFormat="1" customHeight="1" spans="2:10">
      <c r="B39" s="25"/>
      <c r="C39" s="25"/>
      <c r="D39" s="26" t="str" cm="1">
        <f t="array" ref="D39">IF(C39="","",IFERROR(INDEX(STPP!$D$6:$D$4207,MATCH(C39,STPP!$C$6:$C$4207,0)),"Not Found"))</f>
        <v/>
      </c>
      <c r="E39" s="27" t="str" cm="1">
        <f t="array" ref="E39">IF(C39="","",IFERROR(INDEX(STPP!$E$6:$E$4207,MATCH(C39,STPP!$C$6:$C$4207,0)),"Not Found"))</f>
        <v/>
      </c>
      <c r="F39" s="27" t="str" cm="1">
        <f t="array" ref="F39">IF(C39="","",IFERROR(INDEX(STPP!$F$6:$F$4207,MATCH(C39,STPP!$C$6:$C$4207,0)),"Not Found"))</f>
        <v/>
      </c>
      <c r="G39" s="25" t="str">
        <f>IF(表1[[#This Row],[No Seri]]="","",表1[[#This Row],[Deskripsi Barang]]+表1[[#This Row],[Kuantitas]]-表1[[#This Row],[Satuan]])</f>
        <v/>
      </c>
      <c r="H39" s="28"/>
      <c r="I39" s="25" t="str">
        <f>IF(表1[[#This Row],[Tgl NPBG]]&gt;表1[[#This Row],[Peminta]],表1[[#This Row],[Tgl NPBG]]-表1[[#This Row],[Peminta]],"")</f>
        <v/>
      </c>
      <c r="J39" s="31"/>
    </row>
    <row r="40" s="12" customFormat="1" customHeight="1" spans="2:10">
      <c r="B40" s="25"/>
      <c r="C40" s="25"/>
      <c r="D40" s="26" t="str" cm="1">
        <f t="array" ref="D40">IF(C40="","",IFERROR(INDEX(STPP!$D$6:$D$4207,MATCH(C40,STPP!$C$6:$C$4207,0)),"Not Found"))</f>
        <v/>
      </c>
      <c r="E40" s="27" t="str" cm="1">
        <f t="array" ref="E40">IF(C40="","",IFERROR(INDEX(STPP!$E$6:$E$4207,MATCH(C40,STPP!$C$6:$C$4207,0)),"Not Found"))</f>
        <v/>
      </c>
      <c r="F40" s="27" t="str" cm="1">
        <f t="array" ref="F40">IF(C40="","",IFERROR(INDEX(STPP!$F$6:$F$4207,MATCH(C40,STPP!$C$6:$C$4207,0)),"Not Found"))</f>
        <v/>
      </c>
      <c r="G40" s="25" t="str">
        <f>IF(表1[[#This Row],[No Seri]]="","",表1[[#This Row],[Deskripsi Barang]]+表1[[#This Row],[Kuantitas]]-表1[[#This Row],[Satuan]])</f>
        <v/>
      </c>
      <c r="H40" s="28"/>
      <c r="I40" s="25" t="str">
        <f>IF(表1[[#This Row],[Tgl NPBG]]&gt;表1[[#This Row],[Peminta]],表1[[#This Row],[Tgl NPBG]]-表1[[#This Row],[Peminta]],"")</f>
        <v/>
      </c>
      <c r="J40" s="31"/>
    </row>
    <row r="41" s="12" customFormat="1" customHeight="1" spans="2:10">
      <c r="B41" s="25"/>
      <c r="C41" s="25"/>
      <c r="D41" s="26" t="str" cm="1">
        <f t="array" ref="D41">IF(C41="","",IFERROR(INDEX(STPP!$D$6:$D$4207,MATCH(C41,STPP!$C$6:$C$4207,0)),"Not Found"))</f>
        <v/>
      </c>
      <c r="E41" s="27" t="str" cm="1">
        <f t="array" ref="E41">IF(C41="","",IFERROR(INDEX(STPP!$E$6:$E$4207,MATCH(C41,STPP!$C$6:$C$4207,0)),"Not Found"))</f>
        <v/>
      </c>
      <c r="F41" s="27" t="str" cm="1">
        <f t="array" ref="F41">IF(C41="","",IFERROR(INDEX(STPP!$F$6:$F$4207,MATCH(C41,STPP!$C$6:$C$4207,0)),"Not Found"))</f>
        <v/>
      </c>
      <c r="G41" s="25" t="str">
        <f>IF(表1[[#This Row],[No Seri]]="","",表1[[#This Row],[Deskripsi Barang]]+表1[[#This Row],[Kuantitas]]-表1[[#This Row],[Satuan]])</f>
        <v/>
      </c>
      <c r="H41" s="28"/>
      <c r="I41" s="25" t="str">
        <f>IF(表1[[#This Row],[Tgl NPBG]]&gt;表1[[#This Row],[Peminta]],表1[[#This Row],[Tgl NPBG]]-表1[[#This Row],[Peminta]],"")</f>
        <v/>
      </c>
      <c r="J41" s="31"/>
    </row>
    <row r="42" s="12" customFormat="1" customHeight="1" spans="2:10">
      <c r="B42" s="25"/>
      <c r="C42" s="25"/>
      <c r="D42" s="26" t="str" cm="1">
        <f t="array" ref="D42">IF(C42="","",IFERROR(INDEX(STPP!$D$6:$D$4207,MATCH(C42,STPP!$C$6:$C$4207,0)),"Not Found"))</f>
        <v/>
      </c>
      <c r="E42" s="27" t="str" cm="1">
        <f t="array" ref="E42">IF(C42="","",IFERROR(INDEX(STPP!$E$6:$E$4207,MATCH(C42,STPP!$C$6:$C$4207,0)),"Not Found"))</f>
        <v/>
      </c>
      <c r="F42" s="27" t="str" cm="1">
        <f t="array" ref="F42">IF(C42="","",IFERROR(INDEX(STPP!$F$6:$F$4207,MATCH(C42,STPP!$C$6:$C$4207,0)),"Not Found"))</f>
        <v/>
      </c>
      <c r="G42" s="25" t="str">
        <f>IF(表1[[#This Row],[No Seri]]="","",表1[[#This Row],[Deskripsi Barang]]+表1[[#This Row],[Kuantitas]]-表1[[#This Row],[Satuan]])</f>
        <v/>
      </c>
      <c r="H42" s="28"/>
      <c r="I42" s="25" t="str">
        <f>IF(表1[[#This Row],[Tgl NPBG]]&gt;表1[[#This Row],[Peminta]],表1[[#This Row],[Tgl NPBG]]-表1[[#This Row],[Peminta]],"")</f>
        <v/>
      </c>
      <c r="J42" s="31"/>
    </row>
    <row r="43" s="12" customFormat="1" customHeight="1" spans="2:10">
      <c r="B43" s="25"/>
      <c r="C43" s="25"/>
      <c r="D43" s="26" t="str" cm="1">
        <f t="array" ref="D43">IF(C43="","",IFERROR(INDEX(STPP!$D$6:$D$4207,MATCH(C43,STPP!$C$6:$C$4207,0)),"Not Found"))</f>
        <v/>
      </c>
      <c r="E43" s="27" t="str" cm="1">
        <f t="array" ref="E43">IF(C43="","",IFERROR(INDEX(STPP!$E$6:$E$4207,MATCH(C43,STPP!$C$6:$C$4207,0)),"Not Found"))</f>
        <v/>
      </c>
      <c r="F43" s="27" t="str" cm="1">
        <f t="array" ref="F43">IF(C43="","",IFERROR(INDEX(STPP!$F$6:$F$4207,MATCH(C43,STPP!$C$6:$C$4207,0)),"Not Found"))</f>
        <v/>
      </c>
      <c r="G43" s="25" t="str">
        <f>IF(表1[[#This Row],[No Seri]]="","",表1[[#This Row],[Deskripsi Barang]]+表1[[#This Row],[Kuantitas]]-表1[[#This Row],[Satuan]])</f>
        <v/>
      </c>
      <c r="H43" s="28"/>
      <c r="I43" s="25" t="str">
        <f>IF(表1[[#This Row],[Tgl NPBG]]&gt;表1[[#This Row],[Peminta]],表1[[#This Row],[Tgl NPBG]]-表1[[#This Row],[Peminta]],"")</f>
        <v/>
      </c>
      <c r="J43" s="31"/>
    </row>
    <row r="44" s="12" customFormat="1" customHeight="1" spans="2:10">
      <c r="B44" s="25"/>
      <c r="C44" s="25"/>
      <c r="D44" s="26" t="str" cm="1">
        <f t="array" ref="D44">IF(C44="","",IFERROR(INDEX(STPP!$D$6:$D$4207,MATCH(C44,STPP!$C$6:$C$4207,0)),"Not Found"))</f>
        <v/>
      </c>
      <c r="E44" s="27" t="str" cm="1">
        <f t="array" ref="E44">IF(C44="","",IFERROR(INDEX(STPP!$E$6:$E$4207,MATCH(C44,STPP!$C$6:$C$4207,0)),"Not Found"))</f>
        <v/>
      </c>
      <c r="F44" s="27" t="str" cm="1">
        <f t="array" ref="F44">IF(C44="","",IFERROR(INDEX(STPP!$F$6:$F$4207,MATCH(C44,STPP!$C$6:$C$4207,0)),"Not Found"))</f>
        <v/>
      </c>
      <c r="G44" s="25" t="str">
        <f>IF(表1[[#This Row],[No Seri]]="","",表1[[#This Row],[Deskripsi Barang]]+表1[[#This Row],[Kuantitas]]-表1[[#This Row],[Satuan]])</f>
        <v/>
      </c>
      <c r="H44" s="28"/>
      <c r="I44" s="25" t="str">
        <f>IF(表1[[#This Row],[Tgl NPBG]]&gt;表1[[#This Row],[Peminta]],表1[[#This Row],[Tgl NPBG]]-表1[[#This Row],[Peminta]],"")</f>
        <v/>
      </c>
      <c r="J44" s="31"/>
    </row>
    <row r="45" s="12" customFormat="1" customHeight="1" spans="2:10">
      <c r="B45" s="25"/>
      <c r="C45" s="25"/>
      <c r="D45" s="26" t="str" cm="1">
        <f t="array" ref="D45">IF(C45="","",IFERROR(INDEX(STPP!$D$6:$D$4207,MATCH(C45,STPP!$C$6:$C$4207,0)),"Not Found"))</f>
        <v/>
      </c>
      <c r="E45" s="27" t="str" cm="1">
        <f t="array" ref="E45">IF(C45="","",IFERROR(INDEX(STPP!$E$6:$E$4207,MATCH(C45,STPP!$C$6:$C$4207,0)),"Not Found"))</f>
        <v/>
      </c>
      <c r="F45" s="27" t="str" cm="1">
        <f t="array" ref="F45">IF(C45="","",IFERROR(INDEX(STPP!$F$6:$F$4207,MATCH(C45,STPP!$C$6:$C$4207,0)),"Not Found"))</f>
        <v/>
      </c>
      <c r="G45" s="25" t="str">
        <f>IF(表1[[#This Row],[No Seri]]="","",表1[[#This Row],[Deskripsi Barang]]+表1[[#This Row],[Kuantitas]]-表1[[#This Row],[Satuan]])</f>
        <v/>
      </c>
      <c r="H45" s="28"/>
      <c r="I45" s="25" t="str">
        <f>IF(表1[[#This Row],[Tgl NPBG]]&gt;表1[[#This Row],[Peminta]],表1[[#This Row],[Tgl NPBG]]-表1[[#This Row],[Peminta]],"")</f>
        <v/>
      </c>
      <c r="J45" s="31"/>
    </row>
    <row r="46" s="12" customFormat="1" customHeight="1" spans="2:10">
      <c r="B46" s="25"/>
      <c r="C46" s="25"/>
      <c r="D46" s="26" t="str" cm="1">
        <f t="array" ref="D46">IF(C46="","",IFERROR(INDEX(STPP!$D$6:$D$4207,MATCH(C46,STPP!$C$6:$C$4207,0)),"Not Found"))</f>
        <v/>
      </c>
      <c r="E46" s="27" t="str" cm="1">
        <f t="array" ref="E46">IF(C46="","",IFERROR(INDEX(STPP!$E$6:$E$4207,MATCH(C46,STPP!$C$6:$C$4207,0)),"Not Found"))</f>
        <v/>
      </c>
      <c r="F46" s="27" t="str" cm="1">
        <f t="array" ref="F46">IF(C46="","",IFERROR(INDEX(STPP!$F$6:$F$4207,MATCH(C46,STPP!$C$6:$C$4207,0)),"Not Found"))</f>
        <v/>
      </c>
      <c r="G46" s="25" t="str">
        <f>IF(表1[[#This Row],[No Seri]]="","",表1[[#This Row],[Deskripsi Barang]]+表1[[#This Row],[Kuantitas]]-表1[[#This Row],[Satuan]])</f>
        <v/>
      </c>
      <c r="H46" s="28"/>
      <c r="I46" s="25" t="str">
        <f>IF(表1[[#This Row],[Tgl NPBG]]&gt;表1[[#This Row],[Peminta]],表1[[#This Row],[Tgl NPBG]]-表1[[#This Row],[Peminta]],"")</f>
        <v/>
      </c>
      <c r="J46" s="31"/>
    </row>
    <row r="47" s="12" customFormat="1" customHeight="1" spans="2:10">
      <c r="B47" s="25"/>
      <c r="C47" s="25"/>
      <c r="D47" s="26" t="str" cm="1">
        <f t="array" ref="D47">IF(C47="","",IFERROR(INDEX(STPP!$D$6:$D$4207,MATCH(C47,STPP!$C$6:$C$4207,0)),"Not Found"))</f>
        <v/>
      </c>
      <c r="E47" s="27" t="str" cm="1">
        <f t="array" ref="E47">IF(C47="","",IFERROR(INDEX(STPP!$E$6:$E$4207,MATCH(C47,STPP!$C$6:$C$4207,0)),"Not Found"))</f>
        <v/>
      </c>
      <c r="F47" s="27" t="str" cm="1">
        <f t="array" ref="F47">IF(C47="","",IFERROR(INDEX(STPP!$F$6:$F$4207,MATCH(C47,STPP!$C$6:$C$4207,0)),"Not Found"))</f>
        <v/>
      </c>
      <c r="G47" s="25" t="str">
        <f>IF(表1[[#This Row],[No Seri]]="","",表1[[#This Row],[Deskripsi Barang]]+表1[[#This Row],[Kuantitas]]-表1[[#This Row],[Satuan]])</f>
        <v/>
      </c>
      <c r="H47" s="28"/>
      <c r="I47" s="25" t="str">
        <f>IF(表1[[#This Row],[Tgl NPBG]]&gt;表1[[#This Row],[Peminta]],表1[[#This Row],[Tgl NPBG]]-表1[[#This Row],[Peminta]],"")</f>
        <v/>
      </c>
      <c r="J47" s="31"/>
    </row>
    <row r="48" s="12" customFormat="1" customHeight="1" spans="2:10">
      <c r="B48" s="25"/>
      <c r="C48" s="25"/>
      <c r="D48" s="26" t="str" cm="1">
        <f t="array" ref="D48">IF(C48="","",IFERROR(INDEX(STPP!$D$6:$D$4207,MATCH(C48,STPP!$C$6:$C$4207,0)),"Not Found"))</f>
        <v/>
      </c>
      <c r="E48" s="27" t="str" cm="1">
        <f t="array" ref="E48">IF(C48="","",IFERROR(INDEX(STPP!$E$6:$E$4207,MATCH(C48,STPP!$C$6:$C$4207,0)),"Not Found"))</f>
        <v/>
      </c>
      <c r="F48" s="27" t="str" cm="1">
        <f t="array" ref="F48">IF(C48="","",IFERROR(INDEX(STPP!$F$6:$F$4207,MATCH(C48,STPP!$C$6:$C$4207,0)),"Not Found"))</f>
        <v/>
      </c>
      <c r="G48" s="25" t="str">
        <f>IF(表1[[#This Row],[No Seri]]="","",表1[[#This Row],[Deskripsi Barang]]+表1[[#This Row],[Kuantitas]]-表1[[#This Row],[Satuan]])</f>
        <v/>
      </c>
      <c r="H48" s="28"/>
      <c r="I48" s="25" t="str">
        <f>IF(表1[[#This Row],[Tgl NPBG]]&gt;表1[[#This Row],[Peminta]],表1[[#This Row],[Tgl NPBG]]-表1[[#This Row],[Peminta]],"")</f>
        <v/>
      </c>
      <c r="J48" s="31"/>
    </row>
    <row r="49" s="12" customFormat="1" customHeight="1" spans="2:10">
      <c r="B49" s="25"/>
      <c r="C49" s="25"/>
      <c r="D49" s="26" t="str" cm="1">
        <f t="array" ref="D49">IF(C49="","",IFERROR(INDEX(STPP!$D$6:$D$4207,MATCH(C49,STPP!$C$6:$C$4207,0)),"Not Found"))</f>
        <v/>
      </c>
      <c r="E49" s="27" t="str" cm="1">
        <f t="array" ref="E49">IF(C49="","",IFERROR(INDEX(STPP!$E$6:$E$4207,MATCH(C49,STPP!$C$6:$C$4207,0)),"Not Found"))</f>
        <v/>
      </c>
      <c r="F49" s="27" t="str" cm="1">
        <f t="array" ref="F49">IF(C49="","",IFERROR(INDEX(STPP!$F$6:$F$4207,MATCH(C49,STPP!$C$6:$C$4207,0)),"Not Found"))</f>
        <v/>
      </c>
      <c r="G49" s="25" t="str">
        <f>IF(表1[[#This Row],[No Seri]]="","",表1[[#This Row],[Deskripsi Barang]]+表1[[#This Row],[Kuantitas]]-表1[[#This Row],[Satuan]])</f>
        <v/>
      </c>
      <c r="H49" s="28"/>
      <c r="I49" s="25" t="str">
        <f>IF(表1[[#This Row],[Tgl NPBG]]&gt;表1[[#This Row],[Peminta]],表1[[#This Row],[Tgl NPBG]]-表1[[#This Row],[Peminta]],"")</f>
        <v/>
      </c>
      <c r="J49" s="31"/>
    </row>
    <row r="50" s="12" customFormat="1" customHeight="1" spans="2:10">
      <c r="B50" s="25"/>
      <c r="C50" s="25"/>
      <c r="D50" s="26" t="str" cm="1">
        <f t="array" ref="D50">IF(C50="","",IFERROR(INDEX(STPP!$D$6:$D$4207,MATCH(C50,STPP!$C$6:$C$4207,0)),"Not Found"))</f>
        <v/>
      </c>
      <c r="E50" s="27" t="str" cm="1">
        <f t="array" ref="E50">IF(C50="","",IFERROR(INDEX(STPP!$E$6:$E$4207,MATCH(C50,STPP!$C$6:$C$4207,0)),"Not Found"))</f>
        <v/>
      </c>
      <c r="F50" s="27" t="str" cm="1">
        <f t="array" ref="F50">IF(C50="","",IFERROR(INDEX(STPP!$F$6:$F$4207,MATCH(C50,STPP!$C$6:$C$4207,0)),"Not Found"))</f>
        <v/>
      </c>
      <c r="G50" s="25" t="str">
        <f>IF(表1[[#This Row],[No Seri]]="","",表1[[#This Row],[Deskripsi Barang]]+表1[[#This Row],[Kuantitas]]-表1[[#This Row],[Satuan]])</f>
        <v/>
      </c>
      <c r="H50" s="28"/>
      <c r="I50" s="25" t="str">
        <f>IF(表1[[#This Row],[Tgl NPBG]]&gt;表1[[#This Row],[Peminta]],表1[[#This Row],[Tgl NPBG]]-表1[[#This Row],[Peminta]],"")</f>
        <v/>
      </c>
      <c r="J50" s="31"/>
    </row>
    <row r="51" s="12" customFormat="1" customHeight="1" spans="2:10">
      <c r="B51" s="25"/>
      <c r="C51" s="25"/>
      <c r="D51" s="26" t="str" cm="1">
        <f t="array" ref="D51">IF(C51="","",IFERROR(INDEX(STPP!$D$6:$D$4207,MATCH(C51,STPP!$C$6:$C$4207,0)),"Not Found"))</f>
        <v/>
      </c>
      <c r="E51" s="27" t="str" cm="1">
        <f t="array" ref="E51">IF(C51="","",IFERROR(INDEX(STPP!$E$6:$E$4207,MATCH(C51,STPP!$C$6:$C$4207,0)),"Not Found"))</f>
        <v/>
      </c>
      <c r="F51" s="27" t="str" cm="1">
        <f t="array" ref="F51">IF(C51="","",IFERROR(INDEX(STPP!$F$6:$F$4207,MATCH(C51,STPP!$C$6:$C$4207,0)),"Not Found"))</f>
        <v/>
      </c>
      <c r="G51" s="25" t="str">
        <f>IF(表1[[#This Row],[No Seri]]="","",表1[[#This Row],[Deskripsi Barang]]+表1[[#This Row],[Kuantitas]]-表1[[#This Row],[Satuan]])</f>
        <v/>
      </c>
      <c r="H51" s="28"/>
      <c r="I51" s="25" t="str">
        <f>IF(表1[[#This Row],[Tgl NPBG]]&gt;表1[[#This Row],[Peminta]],表1[[#This Row],[Tgl NPBG]]-表1[[#This Row],[Peminta]],"")</f>
        <v/>
      </c>
      <c r="J51" s="31"/>
    </row>
    <row r="52" s="12" customFormat="1" customHeight="1" spans="2:10">
      <c r="B52" s="25"/>
      <c r="C52" s="25"/>
      <c r="D52" s="26" t="str" cm="1">
        <f t="array" ref="D52">IF(C52="","",IFERROR(INDEX(STPP!$D$6:$D$4207,MATCH(C52,STPP!$C$6:$C$4207,0)),"Not Found"))</f>
        <v/>
      </c>
      <c r="E52" s="27" t="str" cm="1">
        <f t="array" ref="E52">IF(C52="","",IFERROR(INDEX(STPP!$E$6:$E$4207,MATCH(C52,STPP!$C$6:$C$4207,0)),"Not Found"))</f>
        <v/>
      </c>
      <c r="F52" s="27" t="str" cm="1">
        <f t="array" ref="F52">IF(C52="","",IFERROR(INDEX(STPP!$F$6:$F$4207,MATCH(C52,STPP!$C$6:$C$4207,0)),"Not Found"))</f>
        <v/>
      </c>
      <c r="G52" s="25" t="str">
        <f>IF(表1[[#This Row],[No Seri]]="","",表1[[#This Row],[Deskripsi Barang]]+表1[[#This Row],[Kuantitas]]-表1[[#This Row],[Satuan]])</f>
        <v/>
      </c>
      <c r="H52" s="28"/>
      <c r="I52" s="25" t="str">
        <f>IF(表1[[#This Row],[Tgl NPBG]]&gt;表1[[#This Row],[Peminta]],表1[[#This Row],[Tgl NPBG]]-表1[[#This Row],[Peminta]],"")</f>
        <v/>
      </c>
      <c r="J52" s="31"/>
    </row>
    <row r="53" s="12" customFormat="1" customHeight="1" spans="2:10">
      <c r="B53" s="25"/>
      <c r="C53" s="25"/>
      <c r="D53" s="26" t="str" cm="1">
        <f t="array" ref="D53">IF(C53="","",IFERROR(INDEX(STPP!$D$6:$D$4207,MATCH(C53,STPP!$C$6:$C$4207,0)),"Not Found"))</f>
        <v/>
      </c>
      <c r="E53" s="27" t="str" cm="1">
        <f t="array" ref="E53">IF(C53="","",IFERROR(INDEX(STPP!$E$6:$E$4207,MATCH(C53,STPP!$C$6:$C$4207,0)),"Not Found"))</f>
        <v/>
      </c>
      <c r="F53" s="27" t="str" cm="1">
        <f t="array" ref="F53">IF(C53="","",IFERROR(INDEX(STPP!$F$6:$F$4207,MATCH(C53,STPP!$C$6:$C$4207,0)),"Not Found"))</f>
        <v/>
      </c>
      <c r="G53" s="25" t="str">
        <f>IF(表1[[#This Row],[No Seri]]="","",表1[[#This Row],[Deskripsi Barang]]+表1[[#This Row],[Kuantitas]]-表1[[#This Row],[Satuan]])</f>
        <v/>
      </c>
      <c r="H53" s="28"/>
      <c r="I53" s="25" t="str">
        <f>IF(表1[[#This Row],[Tgl NPBG]]&gt;表1[[#This Row],[Peminta]],表1[[#This Row],[Tgl NPBG]]-表1[[#This Row],[Peminta]],"")</f>
        <v/>
      </c>
      <c r="J53" s="31"/>
    </row>
    <row r="54" s="12" customFormat="1" customHeight="1" spans="2:10">
      <c r="B54" s="25"/>
      <c r="C54" s="25"/>
      <c r="D54" s="26" t="str" cm="1">
        <f t="array" ref="D54">IF(C54="","",IFERROR(INDEX(STPP!$D$6:$D$4207,MATCH(C54,STPP!$C$6:$C$4207,0)),"Not Found"))</f>
        <v/>
      </c>
      <c r="E54" s="27" t="str" cm="1">
        <f t="array" ref="E54">IF(C54="","",IFERROR(INDEX(STPP!$E$6:$E$4207,MATCH(C54,STPP!$C$6:$C$4207,0)),"Not Found"))</f>
        <v/>
      </c>
      <c r="F54" s="27" t="str" cm="1">
        <f t="array" ref="F54">IF(C54="","",IFERROR(INDEX(STPP!$F$6:$F$4207,MATCH(C54,STPP!$C$6:$C$4207,0)),"Not Found"))</f>
        <v/>
      </c>
      <c r="G54" s="25" t="str">
        <f>IF(表1[[#This Row],[No Seri]]="","",表1[[#This Row],[Deskripsi Barang]]+表1[[#This Row],[Kuantitas]]-表1[[#This Row],[Satuan]])</f>
        <v/>
      </c>
      <c r="H54" s="28"/>
      <c r="I54" s="25" t="str">
        <f>IF(表1[[#This Row],[Tgl NPBG]]&gt;表1[[#This Row],[Peminta]],表1[[#This Row],[Tgl NPBG]]-表1[[#This Row],[Peminta]],"")</f>
        <v/>
      </c>
      <c r="J54" s="31"/>
    </row>
    <row r="55" s="12" customFormat="1" customHeight="1" spans="2:10">
      <c r="B55" s="25"/>
      <c r="C55" s="25"/>
      <c r="D55" s="26" t="str" cm="1">
        <f t="array" ref="D55">IF(C55="","",IFERROR(INDEX(STPP!$D$6:$D$4207,MATCH(C55,STPP!$C$6:$C$4207,0)),"Not Found"))</f>
        <v/>
      </c>
      <c r="E55" s="27" t="str" cm="1">
        <f t="array" ref="E55">IF(C55="","",IFERROR(INDEX(STPP!$E$6:$E$4207,MATCH(C55,STPP!$C$6:$C$4207,0)),"Not Found"))</f>
        <v/>
      </c>
      <c r="F55" s="27" t="str" cm="1">
        <f t="array" ref="F55">IF(C55="","",IFERROR(INDEX(STPP!$F$6:$F$4207,MATCH(C55,STPP!$C$6:$C$4207,0)),"Not Found"))</f>
        <v/>
      </c>
      <c r="G55" s="25" t="str">
        <f>IF(表1[[#This Row],[No Seri]]="","",表1[[#This Row],[Deskripsi Barang]]+表1[[#This Row],[Kuantitas]]-表1[[#This Row],[Satuan]])</f>
        <v/>
      </c>
      <c r="H55" s="28"/>
      <c r="I55" s="25" t="str">
        <f>IF(表1[[#This Row],[Tgl NPBG]]&gt;表1[[#This Row],[Peminta]],表1[[#This Row],[Tgl NPBG]]-表1[[#This Row],[Peminta]],"")</f>
        <v/>
      </c>
      <c r="J55" s="31"/>
    </row>
    <row r="56" s="12" customFormat="1" customHeight="1" spans="2:10">
      <c r="B56" s="25"/>
      <c r="C56" s="25"/>
      <c r="D56" s="26" t="str" cm="1">
        <f t="array" ref="D56">IF(C56="","",IFERROR(INDEX(STPP!$D$6:$D$4207,MATCH(C56,STPP!$C$6:$C$4207,0)),"Not Found"))</f>
        <v/>
      </c>
      <c r="E56" s="27" t="str" cm="1">
        <f t="array" ref="E56">IF(C56="","",IFERROR(INDEX(STPP!$E$6:$E$4207,MATCH(C56,STPP!$C$6:$C$4207,0)),"Not Found"))</f>
        <v/>
      </c>
      <c r="F56" s="27" t="str" cm="1">
        <f t="array" ref="F56">IF(C56="","",IFERROR(INDEX(STPP!$F$6:$F$4207,MATCH(C56,STPP!$C$6:$C$4207,0)),"Not Found"))</f>
        <v/>
      </c>
      <c r="G56" s="25" t="str">
        <f>IF(表1[[#This Row],[No Seri]]="","",表1[[#This Row],[Deskripsi Barang]]+表1[[#This Row],[Kuantitas]]-表1[[#This Row],[Satuan]])</f>
        <v/>
      </c>
      <c r="H56" s="28"/>
      <c r="I56" s="25" t="str">
        <f>IF(表1[[#This Row],[Tgl NPBG]]&gt;表1[[#This Row],[Peminta]],表1[[#This Row],[Tgl NPBG]]-表1[[#This Row],[Peminta]],"")</f>
        <v/>
      </c>
      <c r="J56" s="31"/>
    </row>
    <row r="57" s="12" customFormat="1" customHeight="1" spans="2:10">
      <c r="B57" s="25"/>
      <c r="C57" s="25"/>
      <c r="D57" s="26" t="str" cm="1">
        <f t="array" ref="D57">IF(C57="","",IFERROR(INDEX(STPP!$D$6:$D$4207,MATCH(C57,STPP!$C$6:$C$4207,0)),"Not Found"))</f>
        <v/>
      </c>
      <c r="E57" s="27" t="str" cm="1">
        <f t="array" ref="E57">IF(C57="","",IFERROR(INDEX(STPP!$E$6:$E$4207,MATCH(C57,STPP!$C$6:$C$4207,0)),"Not Found"))</f>
        <v/>
      </c>
      <c r="F57" s="27" t="str" cm="1">
        <f t="array" ref="F57">IF(C57="","",IFERROR(INDEX(STPP!$F$6:$F$4207,MATCH(C57,STPP!$C$6:$C$4207,0)),"Not Found"))</f>
        <v/>
      </c>
      <c r="G57" s="25" t="str">
        <f>IF(表1[[#This Row],[No Seri]]="","",表1[[#This Row],[Deskripsi Barang]]+表1[[#This Row],[Kuantitas]]-表1[[#This Row],[Satuan]])</f>
        <v/>
      </c>
      <c r="H57" s="28"/>
      <c r="I57" s="25" t="str">
        <f>IF(表1[[#This Row],[Tgl NPBG]]&gt;表1[[#This Row],[Peminta]],表1[[#This Row],[Tgl NPBG]]-表1[[#This Row],[Peminta]],"")</f>
        <v/>
      </c>
      <c r="J57" s="31"/>
    </row>
    <row r="58" s="12" customFormat="1" customHeight="1" spans="2:10">
      <c r="B58" s="25"/>
      <c r="C58" s="25"/>
      <c r="D58" s="26" t="str" cm="1">
        <f t="array" ref="D58">IF(C58="","",IFERROR(INDEX(STPP!$D$6:$D$4207,MATCH(C58,STPP!$C$6:$C$4207,0)),"Not Found"))</f>
        <v/>
      </c>
      <c r="E58" s="27" t="str" cm="1">
        <f t="array" ref="E58">IF(C58="","",IFERROR(INDEX(STPP!$E$6:$E$4207,MATCH(C58,STPP!$C$6:$C$4207,0)),"Not Found"))</f>
        <v/>
      </c>
      <c r="F58" s="27" t="str" cm="1">
        <f t="array" ref="F58">IF(C58="","",IFERROR(INDEX(STPP!$F$6:$F$4207,MATCH(C58,STPP!$C$6:$C$4207,0)),"Not Found"))</f>
        <v/>
      </c>
      <c r="G58" s="25" t="str">
        <f>IF(表1[[#This Row],[No Seri]]="","",表1[[#This Row],[Deskripsi Barang]]+表1[[#This Row],[Kuantitas]]-表1[[#This Row],[Satuan]])</f>
        <v/>
      </c>
      <c r="H58" s="28"/>
      <c r="I58" s="25" t="str">
        <f>IF(表1[[#This Row],[Tgl NPBG]]&gt;表1[[#This Row],[Peminta]],表1[[#This Row],[Tgl NPBG]]-表1[[#This Row],[Peminta]],"")</f>
        <v/>
      </c>
      <c r="J58" s="31"/>
    </row>
    <row r="59" s="12" customFormat="1" customHeight="1" spans="2:10">
      <c r="B59" s="25"/>
      <c r="C59" s="25"/>
      <c r="D59" s="26" t="str" cm="1">
        <f t="array" ref="D59">IF(C59="","",IFERROR(INDEX(STPP!$D$6:$D$4207,MATCH(C59,STPP!$C$6:$C$4207,0)),"Not Found"))</f>
        <v/>
      </c>
      <c r="E59" s="27" t="str" cm="1">
        <f t="array" ref="E59">IF(C59="","",IFERROR(INDEX(STPP!$E$6:$E$4207,MATCH(C59,STPP!$C$6:$C$4207,0)),"Not Found"))</f>
        <v/>
      </c>
      <c r="F59" s="27" t="str" cm="1">
        <f t="array" ref="F59">IF(C59="","",IFERROR(INDEX(STPP!$F$6:$F$4207,MATCH(C59,STPP!$C$6:$C$4207,0)),"Not Found"))</f>
        <v/>
      </c>
      <c r="G59" s="25" t="str">
        <f>IF(表1[[#This Row],[No Seri]]="","",表1[[#This Row],[Deskripsi Barang]]+表1[[#This Row],[Kuantitas]]-表1[[#This Row],[Satuan]])</f>
        <v/>
      </c>
      <c r="H59" s="28"/>
      <c r="I59" s="25" t="str">
        <f>IF(表1[[#This Row],[Tgl NPBG]]&gt;表1[[#This Row],[Peminta]],表1[[#This Row],[Tgl NPBG]]-表1[[#This Row],[Peminta]],"")</f>
        <v/>
      </c>
      <c r="J59" s="31"/>
    </row>
    <row r="60" s="12" customFormat="1" customHeight="1" spans="2:10">
      <c r="B60" s="25"/>
      <c r="C60" s="25"/>
      <c r="D60" s="26" t="str" cm="1">
        <f t="array" ref="D60">IF(C60="","",IFERROR(INDEX(STPP!$D$6:$D$4207,MATCH(C60,STPP!$C$6:$C$4207,0)),"Not Found"))</f>
        <v/>
      </c>
      <c r="E60" s="27" t="str" cm="1">
        <f t="array" ref="E60">IF(C60="","",IFERROR(INDEX(STPP!$E$6:$E$4207,MATCH(C60,STPP!$C$6:$C$4207,0)),"Not Found"))</f>
        <v/>
      </c>
      <c r="F60" s="27" t="str" cm="1">
        <f t="array" ref="F60">IF(C60="","",IFERROR(INDEX(STPP!$F$6:$F$4207,MATCH(C60,STPP!$C$6:$C$4207,0)),"Not Found"))</f>
        <v/>
      </c>
      <c r="G60" s="25" t="str">
        <f>IF(表1[[#This Row],[No Seri]]="","",表1[[#This Row],[Deskripsi Barang]]+表1[[#This Row],[Kuantitas]]-表1[[#This Row],[Satuan]])</f>
        <v/>
      </c>
      <c r="H60" s="28"/>
      <c r="I60" s="25" t="str">
        <f>IF(表1[[#This Row],[Tgl NPBG]]&gt;表1[[#This Row],[Peminta]],表1[[#This Row],[Tgl NPBG]]-表1[[#This Row],[Peminta]],"")</f>
        <v/>
      </c>
      <c r="J60" s="31"/>
    </row>
    <row r="61" s="12" customFormat="1" customHeight="1" spans="2:10">
      <c r="B61" s="25"/>
      <c r="C61" s="25"/>
      <c r="D61" s="26" t="str" cm="1">
        <f t="array" ref="D61">IF(C61="","",IFERROR(INDEX(STPP!$D$6:$D$4207,MATCH(C61,STPP!$C$6:$C$4207,0)),"Not Found"))</f>
        <v/>
      </c>
      <c r="E61" s="27" t="str" cm="1">
        <f t="array" ref="E61">IF(C61="","",IFERROR(INDEX(STPP!$E$6:$E$4207,MATCH(C61,STPP!$C$6:$C$4207,0)),"Not Found"))</f>
        <v/>
      </c>
      <c r="F61" s="27" t="str" cm="1">
        <f t="array" ref="F61">IF(C61="","",IFERROR(INDEX(STPP!$F$6:$F$4207,MATCH(C61,STPP!$C$6:$C$4207,0)),"Not Found"))</f>
        <v/>
      </c>
      <c r="G61" s="25" t="str">
        <f>IF(表1[[#This Row],[No Seri]]="","",表1[[#This Row],[Deskripsi Barang]]+表1[[#This Row],[Kuantitas]]-表1[[#This Row],[Satuan]])</f>
        <v/>
      </c>
      <c r="H61" s="28"/>
      <c r="I61" s="25" t="str">
        <f>IF(表1[[#This Row],[Tgl NPBG]]&gt;表1[[#This Row],[Peminta]],表1[[#This Row],[Tgl NPBG]]-表1[[#This Row],[Peminta]],"")</f>
        <v/>
      </c>
      <c r="J61" s="31"/>
    </row>
    <row r="62" s="12" customFormat="1" customHeight="1" spans="2:10">
      <c r="B62" s="25"/>
      <c r="C62" s="25"/>
      <c r="D62" s="26" t="str" cm="1">
        <f t="array" ref="D62">IF(C62="","",IFERROR(INDEX(STPP!$D$6:$D$4207,MATCH(C62,STPP!$C$6:$C$4207,0)),"Not Found"))</f>
        <v/>
      </c>
      <c r="E62" s="27" t="str" cm="1">
        <f t="array" ref="E62">IF(C62="","",IFERROR(INDEX(STPP!$E$6:$E$4207,MATCH(C62,STPP!$C$6:$C$4207,0)),"Not Found"))</f>
        <v/>
      </c>
      <c r="F62" s="27" t="str" cm="1">
        <f t="array" ref="F62">IF(C62="","",IFERROR(INDEX(STPP!$F$6:$F$4207,MATCH(C62,STPP!$C$6:$C$4207,0)),"Not Found"))</f>
        <v/>
      </c>
      <c r="G62" s="25" t="str">
        <f>IF(表1[[#This Row],[No Seri]]="","",表1[[#This Row],[Deskripsi Barang]]+表1[[#This Row],[Kuantitas]]-表1[[#This Row],[Satuan]])</f>
        <v/>
      </c>
      <c r="H62" s="28"/>
      <c r="I62" s="25" t="str">
        <f>IF(表1[[#This Row],[Tgl NPBG]]&gt;表1[[#This Row],[Peminta]],表1[[#This Row],[Tgl NPBG]]-表1[[#This Row],[Peminta]],"")</f>
        <v/>
      </c>
      <c r="J62" s="31"/>
    </row>
    <row r="63" s="12" customFormat="1" customHeight="1" spans="2:10">
      <c r="B63" s="25"/>
      <c r="C63" s="25"/>
      <c r="D63" s="26" t="str" cm="1">
        <f t="array" ref="D63">IF(C63="","",IFERROR(INDEX(STPP!$D$6:$D$4207,MATCH(C63,STPP!$C$6:$C$4207,0)),"Not Found"))</f>
        <v/>
      </c>
      <c r="E63" s="27" t="str" cm="1">
        <f t="array" ref="E63">IF(C63="","",IFERROR(INDEX(STPP!$E$6:$E$4207,MATCH(C63,STPP!$C$6:$C$4207,0)),"Not Found"))</f>
        <v/>
      </c>
      <c r="F63" s="27" t="str" cm="1">
        <f t="array" ref="F63">IF(C63="","",IFERROR(INDEX(STPP!$F$6:$F$4207,MATCH(C63,STPP!$C$6:$C$4207,0)),"Not Found"))</f>
        <v/>
      </c>
      <c r="G63" s="25" t="str">
        <f>IF(表1[[#This Row],[No Seri]]="","",表1[[#This Row],[Deskripsi Barang]]+表1[[#This Row],[Kuantitas]]-表1[[#This Row],[Satuan]])</f>
        <v/>
      </c>
      <c r="H63" s="28"/>
      <c r="I63" s="25" t="str">
        <f>IF(表1[[#This Row],[Tgl NPBG]]&gt;表1[[#This Row],[Peminta]],表1[[#This Row],[Tgl NPBG]]-表1[[#This Row],[Peminta]],"")</f>
        <v/>
      </c>
      <c r="J63" s="31"/>
    </row>
    <row r="64" s="12" customFormat="1" customHeight="1" spans="2:10">
      <c r="B64" s="25"/>
      <c r="C64" s="25"/>
      <c r="D64" s="26" t="str" cm="1">
        <f t="array" ref="D64">IF(C64="","",IFERROR(INDEX(STPP!$D$6:$D$4207,MATCH(C64,STPP!$C$6:$C$4207,0)),"Not Found"))</f>
        <v/>
      </c>
      <c r="E64" s="27" t="str" cm="1">
        <f t="array" ref="E64">IF(C64="","",IFERROR(INDEX(STPP!$E$6:$E$4207,MATCH(C64,STPP!$C$6:$C$4207,0)),"Not Found"))</f>
        <v/>
      </c>
      <c r="F64" s="27" t="str" cm="1">
        <f t="array" ref="F64">IF(C64="","",IFERROR(INDEX(STPP!$F$6:$F$4207,MATCH(C64,STPP!$C$6:$C$4207,0)),"Not Found"))</f>
        <v/>
      </c>
      <c r="G64" s="25" t="str">
        <f>IF(表1[[#This Row],[No Seri]]="","",表1[[#This Row],[Deskripsi Barang]]+表1[[#This Row],[Kuantitas]]-表1[[#This Row],[Satuan]])</f>
        <v/>
      </c>
      <c r="H64" s="28"/>
      <c r="I64" s="25" t="str">
        <f>IF(表1[[#This Row],[Tgl NPBG]]&gt;表1[[#This Row],[Peminta]],表1[[#This Row],[Tgl NPBG]]-表1[[#This Row],[Peminta]],"")</f>
        <v/>
      </c>
      <c r="J64" s="31"/>
    </row>
    <row r="65" s="12" customFormat="1" customHeight="1" spans="2:10">
      <c r="B65" s="25"/>
      <c r="C65" s="25"/>
      <c r="D65" s="26" t="str" cm="1">
        <f t="array" ref="D65">IF(C65="","",IFERROR(INDEX(STPP!$D$6:$D$4207,MATCH(C65,STPP!$C$6:$C$4207,0)),"Not Found"))</f>
        <v/>
      </c>
      <c r="E65" s="27" t="str" cm="1">
        <f t="array" ref="E65">IF(C65="","",IFERROR(INDEX(STPP!$E$6:$E$4207,MATCH(C65,STPP!$C$6:$C$4207,0)),"Not Found"))</f>
        <v/>
      </c>
      <c r="F65" s="27" t="str" cm="1">
        <f t="array" ref="F65">IF(C65="","",IFERROR(INDEX(STPP!$F$6:$F$4207,MATCH(C65,STPP!$C$6:$C$4207,0)),"Not Found"))</f>
        <v/>
      </c>
      <c r="G65" s="25" t="str">
        <f>IF(表1[[#This Row],[No Seri]]="","",表1[[#This Row],[Deskripsi Barang]]+表1[[#This Row],[Kuantitas]]-表1[[#This Row],[Satuan]])</f>
        <v/>
      </c>
      <c r="H65" s="28"/>
      <c r="I65" s="25" t="str">
        <f>IF(表1[[#This Row],[Tgl NPBG]]&gt;表1[[#This Row],[Peminta]],表1[[#This Row],[Tgl NPBG]]-表1[[#This Row],[Peminta]],"")</f>
        <v/>
      </c>
      <c r="J65" s="31"/>
    </row>
    <row r="66" s="12" customFormat="1" customHeight="1" spans="2:10">
      <c r="B66" s="25"/>
      <c r="C66" s="25"/>
      <c r="D66" s="26" t="str" cm="1">
        <f t="array" ref="D66">IF(C66="","",IFERROR(INDEX(STPP!$D$6:$D$4207,MATCH(C66,STPP!$C$6:$C$4207,0)),"Not Found"))</f>
        <v/>
      </c>
      <c r="E66" s="27" t="str" cm="1">
        <f t="array" ref="E66">IF(C66="","",IFERROR(INDEX(STPP!$E$6:$E$4207,MATCH(C66,STPP!$C$6:$C$4207,0)),"Not Found"))</f>
        <v/>
      </c>
      <c r="F66" s="27" t="str" cm="1">
        <f t="array" ref="F66">IF(C66="","",IFERROR(INDEX(STPP!$F$6:$F$4207,MATCH(C66,STPP!$C$6:$C$4207,0)),"Not Found"))</f>
        <v/>
      </c>
      <c r="G66" s="25" t="str">
        <f>IF(表1[[#This Row],[No Seri]]="","",表1[[#This Row],[Deskripsi Barang]]+表1[[#This Row],[Kuantitas]]-表1[[#This Row],[Satuan]])</f>
        <v/>
      </c>
      <c r="H66" s="28"/>
      <c r="I66" s="25" t="str">
        <f>IF(表1[[#This Row],[Tgl NPBG]]&gt;表1[[#This Row],[Peminta]],表1[[#This Row],[Tgl NPBG]]-表1[[#This Row],[Peminta]],"")</f>
        <v/>
      </c>
      <c r="J66" s="31"/>
    </row>
    <row r="67" s="12" customFormat="1" customHeight="1" spans="2:10">
      <c r="B67" s="25"/>
      <c r="C67" s="25"/>
      <c r="D67" s="26" t="str" cm="1">
        <f t="array" ref="D67">IF(C67="","",IFERROR(INDEX(STPP!$D$6:$D$4207,MATCH(C67,STPP!$C$6:$C$4207,0)),"Not Found"))</f>
        <v/>
      </c>
      <c r="E67" s="27" t="str" cm="1">
        <f t="array" ref="E67">IF(C67="","",IFERROR(INDEX(STPP!$E$6:$E$4207,MATCH(C67,STPP!$C$6:$C$4207,0)),"Not Found"))</f>
        <v/>
      </c>
      <c r="F67" s="27" t="str" cm="1">
        <f t="array" ref="F67">IF(C67="","",IFERROR(INDEX(STPP!$F$6:$F$4207,MATCH(C67,STPP!$C$6:$C$4207,0)),"Not Found"))</f>
        <v/>
      </c>
      <c r="G67" s="25" t="str">
        <f>IF(表1[[#This Row],[No Seri]]="","",表1[[#This Row],[Deskripsi Barang]]+表1[[#This Row],[Kuantitas]]-表1[[#This Row],[Satuan]])</f>
        <v/>
      </c>
      <c r="H67" s="28"/>
      <c r="I67" s="25" t="str">
        <f>IF(表1[[#This Row],[Tgl NPBG]]&gt;表1[[#This Row],[Peminta]],表1[[#This Row],[Tgl NPBG]]-表1[[#This Row],[Peminta]],"")</f>
        <v/>
      </c>
      <c r="J67" s="31"/>
    </row>
    <row r="68" s="12" customFormat="1" customHeight="1" spans="2:10">
      <c r="B68" s="25"/>
      <c r="C68" s="25"/>
      <c r="D68" s="26" t="str" cm="1">
        <f t="array" ref="D68">IF(C68="","",IFERROR(INDEX(STPP!$D$6:$D$4207,MATCH(C68,STPP!$C$6:$C$4207,0)),"Not Found"))</f>
        <v/>
      </c>
      <c r="E68" s="27" t="str" cm="1">
        <f t="array" ref="E68">IF(C68="","",IFERROR(INDEX(STPP!$E$6:$E$4207,MATCH(C68,STPP!$C$6:$C$4207,0)),"Not Found"))</f>
        <v/>
      </c>
      <c r="F68" s="27" t="str" cm="1">
        <f t="array" ref="F68">IF(C68="","",IFERROR(INDEX(STPP!$F$6:$F$4207,MATCH(C68,STPP!$C$6:$C$4207,0)),"Not Found"))</f>
        <v/>
      </c>
      <c r="G68" s="25" t="str">
        <f>IF(表1[[#This Row],[No Seri]]="","",表1[[#This Row],[Deskripsi Barang]]+表1[[#This Row],[Kuantitas]]-表1[[#This Row],[Satuan]])</f>
        <v/>
      </c>
      <c r="H68" s="28"/>
      <c r="I68" s="25" t="str">
        <f>IF(表1[[#This Row],[Tgl NPBG]]&gt;表1[[#This Row],[Peminta]],表1[[#This Row],[Tgl NPBG]]-表1[[#This Row],[Peminta]],"")</f>
        <v/>
      </c>
      <c r="J68" s="31"/>
    </row>
    <row r="69" s="12" customFormat="1" customHeight="1" spans="2:10">
      <c r="B69" s="25"/>
      <c r="C69" s="25"/>
      <c r="D69" s="26" t="str" cm="1">
        <f t="array" ref="D69">IF(C69="","",IFERROR(INDEX(STPP!$D$6:$D$4207,MATCH(C69,STPP!$C$6:$C$4207,0)),"Not Found"))</f>
        <v/>
      </c>
      <c r="E69" s="27" t="str" cm="1">
        <f t="array" ref="E69">IF(C69="","",IFERROR(INDEX(STPP!$E$6:$E$4207,MATCH(C69,STPP!$C$6:$C$4207,0)),"Not Found"))</f>
        <v/>
      </c>
      <c r="F69" s="27" t="str" cm="1">
        <f t="array" ref="F69">IF(C69="","",IFERROR(INDEX(STPP!$F$6:$F$4207,MATCH(C69,STPP!$C$6:$C$4207,0)),"Not Found"))</f>
        <v/>
      </c>
      <c r="G69" s="25" t="str">
        <f>IF(表1[[#This Row],[No Seri]]="","",表1[[#This Row],[Deskripsi Barang]]+表1[[#This Row],[Kuantitas]]-表1[[#This Row],[Satuan]])</f>
        <v/>
      </c>
      <c r="H69" s="28"/>
      <c r="I69" s="25" t="str">
        <f>IF(表1[[#This Row],[Tgl NPBG]]&gt;表1[[#This Row],[Peminta]],表1[[#This Row],[Tgl NPBG]]-表1[[#This Row],[Peminta]],"")</f>
        <v/>
      </c>
      <c r="J69" s="31"/>
    </row>
    <row r="70" s="12" customFormat="1" customHeight="1" spans="2:10">
      <c r="B70" s="25"/>
      <c r="C70" s="25"/>
      <c r="D70" s="26" t="str" cm="1">
        <f t="array" ref="D70">IF(C70="","",IFERROR(INDEX(STPP!$D$6:$D$4207,MATCH(C70,STPP!$C$6:$C$4207,0)),"Not Found"))</f>
        <v/>
      </c>
      <c r="E70" s="27" t="str" cm="1">
        <f t="array" ref="E70">IF(C70="","",IFERROR(INDEX(STPP!$E$6:$E$4207,MATCH(C70,STPP!$C$6:$C$4207,0)),"Not Found"))</f>
        <v/>
      </c>
      <c r="F70" s="27" t="str" cm="1">
        <f t="array" ref="F70">IF(C70="","",IFERROR(INDEX(STPP!$F$6:$F$4207,MATCH(C70,STPP!$C$6:$C$4207,0)),"Not Found"))</f>
        <v/>
      </c>
      <c r="G70" s="25" t="str">
        <f>IF(表1[[#This Row],[No Seri]]="","",表1[[#This Row],[Deskripsi Barang]]+表1[[#This Row],[Kuantitas]]-表1[[#This Row],[Satuan]])</f>
        <v/>
      </c>
      <c r="H70" s="28"/>
      <c r="I70" s="25" t="str">
        <f>IF(表1[[#This Row],[Tgl NPBG]]&gt;表1[[#This Row],[Peminta]],表1[[#This Row],[Tgl NPBG]]-表1[[#This Row],[Peminta]],"")</f>
        <v/>
      </c>
      <c r="J70" s="31"/>
    </row>
    <row r="71" s="12" customFormat="1" customHeight="1" spans="2:10">
      <c r="B71" s="25"/>
      <c r="C71" s="25"/>
      <c r="D71" s="26" t="str" cm="1">
        <f t="array" ref="D71">IF(C71="","",IFERROR(INDEX(STPP!$D$6:$D$4207,MATCH(C71,STPP!$C$6:$C$4207,0)),"Not Found"))</f>
        <v/>
      </c>
      <c r="E71" s="27" t="str" cm="1">
        <f t="array" ref="E71">IF(C71="","",IFERROR(INDEX(STPP!$E$6:$E$4207,MATCH(C71,STPP!$C$6:$C$4207,0)),"Not Found"))</f>
        <v/>
      </c>
      <c r="F71" s="27" t="str" cm="1">
        <f t="array" ref="F71">IF(C71="","",IFERROR(INDEX(STPP!$F$6:$F$4207,MATCH(C71,STPP!$C$6:$C$4207,0)),"Not Found"))</f>
        <v/>
      </c>
      <c r="G71" s="25" t="str">
        <f>IF(表1[[#This Row],[No Seri]]="","",表1[[#This Row],[Deskripsi Barang]]+表1[[#This Row],[Kuantitas]]-表1[[#This Row],[Satuan]])</f>
        <v/>
      </c>
      <c r="H71" s="28"/>
      <c r="I71" s="25" t="str">
        <f>IF(表1[[#This Row],[Tgl NPBG]]&gt;表1[[#This Row],[Peminta]],表1[[#This Row],[Tgl NPBG]]-表1[[#This Row],[Peminta]],"")</f>
        <v/>
      </c>
      <c r="J71" s="31"/>
    </row>
    <row r="72" s="12" customFormat="1" customHeight="1" spans="2:10">
      <c r="B72" s="25"/>
      <c r="C72" s="25"/>
      <c r="D72" s="26" t="str" cm="1">
        <f t="array" ref="D72">IF(C72="","",IFERROR(INDEX(STPP!$D$6:$D$4207,MATCH(C72,STPP!$C$6:$C$4207,0)),"Not Found"))</f>
        <v/>
      </c>
      <c r="E72" s="27" t="str" cm="1">
        <f t="array" ref="E72">IF(C72="","",IFERROR(INDEX(STPP!$E$6:$E$4207,MATCH(C72,STPP!$C$6:$C$4207,0)),"Not Found"))</f>
        <v/>
      </c>
      <c r="F72" s="27" t="str" cm="1">
        <f t="array" ref="F72">IF(C72="","",IFERROR(INDEX(STPP!$F$6:$F$4207,MATCH(C72,STPP!$C$6:$C$4207,0)),"Not Found"))</f>
        <v/>
      </c>
      <c r="G72" s="25" t="str">
        <f>IF(表1[[#This Row],[No Seri]]="","",表1[[#This Row],[Deskripsi Barang]]+表1[[#This Row],[Kuantitas]]-表1[[#This Row],[Satuan]])</f>
        <v/>
      </c>
      <c r="H72" s="28"/>
      <c r="I72" s="25" t="str">
        <f>IF(表1[[#This Row],[Tgl NPBG]]&gt;表1[[#This Row],[Peminta]],表1[[#This Row],[Tgl NPBG]]-表1[[#This Row],[Peminta]],"")</f>
        <v/>
      </c>
      <c r="J72" s="31"/>
    </row>
    <row r="73" s="12" customFormat="1" customHeight="1" spans="2:10">
      <c r="B73" s="25"/>
      <c r="C73" s="25"/>
      <c r="D73" s="26" t="str" cm="1">
        <f t="array" ref="D73">IF(C73="","",IFERROR(INDEX(STPP!$D$6:$D$4207,MATCH(C73,STPP!$C$6:$C$4207,0)),"Not Found"))</f>
        <v/>
      </c>
      <c r="E73" s="27" t="str" cm="1">
        <f t="array" ref="E73">IF(C73="","",IFERROR(INDEX(STPP!$E$6:$E$4207,MATCH(C73,STPP!$C$6:$C$4207,0)),"Not Found"))</f>
        <v/>
      </c>
      <c r="F73" s="27" t="str" cm="1">
        <f t="array" ref="F73">IF(C73="","",IFERROR(INDEX(STPP!$F$6:$F$4207,MATCH(C73,STPP!$C$6:$C$4207,0)),"Not Found"))</f>
        <v/>
      </c>
      <c r="G73" s="25" t="str">
        <f>IF(表1[[#This Row],[No Seri]]="","",表1[[#This Row],[Deskripsi Barang]]+表1[[#This Row],[Kuantitas]]-表1[[#This Row],[Satuan]])</f>
        <v/>
      </c>
      <c r="H73" s="28"/>
      <c r="I73" s="25" t="str">
        <f>IF(表1[[#This Row],[Tgl NPBG]]&gt;表1[[#This Row],[Peminta]],表1[[#This Row],[Tgl NPBG]]-表1[[#This Row],[Peminta]],"")</f>
        <v/>
      </c>
      <c r="J73" s="31"/>
    </row>
    <row r="74" s="12" customFormat="1" customHeight="1" spans="2:10">
      <c r="B74" s="25"/>
      <c r="C74" s="25"/>
      <c r="D74" s="26" t="str" cm="1">
        <f t="array" ref="D74">IF(C74="","",IFERROR(INDEX(STPP!$D$6:$D$4207,MATCH(C74,STPP!$C$6:$C$4207,0)),"Not Found"))</f>
        <v/>
      </c>
      <c r="E74" s="27" t="str" cm="1">
        <f t="array" ref="E74">IF(C74="","",IFERROR(INDEX(STPP!$E$6:$E$4207,MATCH(C74,STPP!$C$6:$C$4207,0)),"Not Found"))</f>
        <v/>
      </c>
      <c r="F74" s="27" t="str" cm="1">
        <f t="array" ref="F74">IF(C74="","",IFERROR(INDEX(STPP!$F$6:$F$4207,MATCH(C74,STPP!$C$6:$C$4207,0)),"Not Found"))</f>
        <v/>
      </c>
      <c r="G74" s="25" t="str">
        <f>IF(表1[[#This Row],[No Seri]]="","",表1[[#This Row],[Deskripsi Barang]]+表1[[#This Row],[Kuantitas]]-表1[[#This Row],[Satuan]])</f>
        <v/>
      </c>
      <c r="H74" s="28"/>
      <c r="I74" s="25" t="str">
        <f>IF(表1[[#This Row],[Tgl NPBG]]&gt;表1[[#This Row],[Peminta]],表1[[#This Row],[Tgl NPBG]]-表1[[#This Row],[Peminta]],"")</f>
        <v/>
      </c>
      <c r="J74" s="31"/>
    </row>
    <row r="75" s="12" customFormat="1" customHeight="1" spans="2:10">
      <c r="B75" s="25"/>
      <c r="C75" s="25"/>
      <c r="D75" s="26" t="str" cm="1">
        <f t="array" ref="D75">IF(C75="","",IFERROR(INDEX(STPP!$D$6:$D$4207,MATCH(C75,STPP!$C$6:$C$4207,0)),"Not Found"))</f>
        <v/>
      </c>
      <c r="E75" s="27" t="str" cm="1">
        <f t="array" ref="E75">IF(C75="","",IFERROR(INDEX(STPP!$E$6:$E$4207,MATCH(C75,STPP!$C$6:$C$4207,0)),"Not Found"))</f>
        <v/>
      </c>
      <c r="F75" s="27" t="str" cm="1">
        <f t="array" ref="F75">IF(C75="","",IFERROR(INDEX(STPP!$F$6:$F$4207,MATCH(C75,STPP!$C$6:$C$4207,0)),"Not Found"))</f>
        <v/>
      </c>
      <c r="G75" s="25" t="str">
        <f>IF(表1[[#This Row],[No Seri]]="","",表1[[#This Row],[Deskripsi Barang]]+表1[[#This Row],[Kuantitas]]-表1[[#This Row],[Satuan]])</f>
        <v/>
      </c>
      <c r="H75" s="28"/>
      <c r="I75" s="25" t="str">
        <f>IF(表1[[#This Row],[Tgl NPBG]]&gt;表1[[#This Row],[Peminta]],表1[[#This Row],[Tgl NPBG]]-表1[[#This Row],[Peminta]],"")</f>
        <v/>
      </c>
      <c r="J75" s="31"/>
    </row>
    <row r="76" s="12" customFormat="1" customHeight="1" spans="2:10">
      <c r="B76" s="25"/>
      <c r="C76" s="25"/>
      <c r="D76" s="26" t="str" cm="1">
        <f t="array" ref="D76">IF(C76="","",IFERROR(INDEX(STPP!$D$6:$D$4207,MATCH(C76,STPP!$C$6:$C$4207,0)),"Not Found"))</f>
        <v/>
      </c>
      <c r="E76" s="27" t="str" cm="1">
        <f t="array" ref="E76">IF(C76="","",IFERROR(INDEX(STPP!$E$6:$E$4207,MATCH(C76,STPP!$C$6:$C$4207,0)),"Not Found"))</f>
        <v/>
      </c>
      <c r="F76" s="27" t="str" cm="1">
        <f t="array" ref="F76">IF(C76="","",IFERROR(INDEX(STPP!$F$6:$F$4207,MATCH(C76,STPP!$C$6:$C$4207,0)),"Not Found"))</f>
        <v/>
      </c>
      <c r="G76" s="25" t="str">
        <f>IF(表1[[#This Row],[No Seri]]="","",表1[[#This Row],[Deskripsi Barang]]+表1[[#This Row],[Kuantitas]]-表1[[#This Row],[Satuan]])</f>
        <v/>
      </c>
      <c r="H76" s="28"/>
      <c r="I76" s="25" t="str">
        <f>IF(表1[[#This Row],[Tgl NPBG]]&gt;表1[[#This Row],[Peminta]],表1[[#This Row],[Tgl NPBG]]-表1[[#This Row],[Peminta]],"")</f>
        <v/>
      </c>
      <c r="J76" s="31"/>
    </row>
    <row r="77" s="12" customFormat="1" customHeight="1" spans="2:10">
      <c r="B77" s="25"/>
      <c r="C77" s="25"/>
      <c r="D77" s="26" t="str" cm="1">
        <f t="array" ref="D77">IF(C77="","",IFERROR(INDEX(STPP!$D$6:$D$4207,MATCH(C77,STPP!$C$6:$C$4207,0)),"Not Found"))</f>
        <v/>
      </c>
      <c r="E77" s="27" t="str" cm="1">
        <f t="array" ref="E77">IF(C77="","",IFERROR(INDEX(STPP!$E$6:$E$4207,MATCH(C77,STPP!$C$6:$C$4207,0)),"Not Found"))</f>
        <v/>
      </c>
      <c r="F77" s="27" t="str" cm="1">
        <f t="array" ref="F77">IF(C77="","",IFERROR(INDEX(STPP!$F$6:$F$4207,MATCH(C77,STPP!$C$6:$C$4207,0)),"Not Found"))</f>
        <v/>
      </c>
      <c r="G77" s="25" t="str">
        <f>IF(表1[[#This Row],[No Seri]]="","",表1[[#This Row],[Deskripsi Barang]]+表1[[#This Row],[Kuantitas]]-表1[[#This Row],[Satuan]])</f>
        <v/>
      </c>
      <c r="H77" s="28"/>
      <c r="I77" s="25" t="str">
        <f>IF(表1[[#This Row],[Tgl NPBG]]&gt;表1[[#This Row],[Peminta]],表1[[#This Row],[Tgl NPBG]]-表1[[#This Row],[Peminta]],"")</f>
        <v/>
      </c>
      <c r="J77" s="31"/>
    </row>
    <row r="78" s="12" customFormat="1" customHeight="1" spans="2:10">
      <c r="B78" s="25"/>
      <c r="C78" s="25"/>
      <c r="D78" s="26" t="str" cm="1">
        <f t="array" ref="D78">IF(C78="","",IFERROR(INDEX(STPP!$D$6:$D$4207,MATCH(C78,STPP!$C$6:$C$4207,0)),"Not Found"))</f>
        <v/>
      </c>
      <c r="E78" s="27" t="str" cm="1">
        <f t="array" ref="E78">IF(C78="","",IFERROR(INDEX(STPP!$E$6:$E$4207,MATCH(C78,STPP!$C$6:$C$4207,0)),"Not Found"))</f>
        <v/>
      </c>
      <c r="F78" s="27" t="str" cm="1">
        <f t="array" ref="F78">IF(C78="","",IFERROR(INDEX(STPP!$F$6:$F$4207,MATCH(C78,STPP!$C$6:$C$4207,0)),"Not Found"))</f>
        <v/>
      </c>
      <c r="G78" s="25" t="str">
        <f>IF(表1[[#This Row],[No Seri]]="","",表1[[#This Row],[Deskripsi Barang]]+表1[[#This Row],[Kuantitas]]-表1[[#This Row],[Satuan]])</f>
        <v/>
      </c>
      <c r="H78" s="28"/>
      <c r="I78" s="25" t="str">
        <f>IF(表1[[#This Row],[Tgl NPBG]]&gt;表1[[#This Row],[Peminta]],表1[[#This Row],[Tgl NPBG]]-表1[[#This Row],[Peminta]],"")</f>
        <v/>
      </c>
      <c r="J78" s="31"/>
    </row>
    <row r="79" s="12" customFormat="1" customHeight="1" spans="2:10">
      <c r="B79" s="25"/>
      <c r="C79" s="25"/>
      <c r="D79" s="26" t="str" cm="1">
        <f t="array" ref="D79">IF(C79="","",IFERROR(INDEX(STPP!$D$6:$D$4207,MATCH(C79,STPP!$C$6:$C$4207,0)),"Not Found"))</f>
        <v/>
      </c>
      <c r="E79" s="27" t="str" cm="1">
        <f t="array" ref="E79">IF(C79="","",IFERROR(INDEX(STPP!$E$6:$E$4207,MATCH(C79,STPP!$C$6:$C$4207,0)),"Not Found"))</f>
        <v/>
      </c>
      <c r="F79" s="27" t="str" cm="1">
        <f t="array" ref="F79">IF(C79="","",IFERROR(INDEX(STPP!$F$6:$F$4207,MATCH(C79,STPP!$C$6:$C$4207,0)),"Not Found"))</f>
        <v/>
      </c>
      <c r="G79" s="25" t="str">
        <f>IF(表1[[#This Row],[No Seri]]="","",表1[[#This Row],[Deskripsi Barang]]+表1[[#This Row],[Kuantitas]]-表1[[#This Row],[Satuan]])</f>
        <v/>
      </c>
      <c r="H79" s="28"/>
      <c r="I79" s="25" t="str">
        <f>IF(表1[[#This Row],[Tgl NPBG]]&gt;表1[[#This Row],[Peminta]],表1[[#This Row],[Tgl NPBG]]-表1[[#This Row],[Peminta]],"")</f>
        <v/>
      </c>
      <c r="J79" s="31"/>
    </row>
    <row r="80" s="12" customFormat="1" customHeight="1" spans="2:10">
      <c r="B80" s="25"/>
      <c r="C80" s="25"/>
      <c r="D80" s="26" t="str" cm="1">
        <f t="array" ref="D80">IF(C80="","",IFERROR(INDEX(STPP!$D$6:$D$4207,MATCH(C80,STPP!$C$6:$C$4207,0)),"Not Found"))</f>
        <v/>
      </c>
      <c r="E80" s="27" t="str" cm="1">
        <f t="array" ref="E80">IF(C80="","",IFERROR(INDEX(STPP!$E$6:$E$4207,MATCH(C80,STPP!$C$6:$C$4207,0)),"Not Found"))</f>
        <v/>
      </c>
      <c r="F80" s="27" t="str" cm="1">
        <f t="array" ref="F80">IF(C80="","",IFERROR(INDEX(STPP!$F$6:$F$4207,MATCH(C80,STPP!$C$6:$C$4207,0)),"Not Found"))</f>
        <v/>
      </c>
      <c r="G80" s="25" t="str">
        <f>IF(表1[[#This Row],[No Seri]]="","",表1[[#This Row],[Deskripsi Barang]]+表1[[#This Row],[Kuantitas]]-表1[[#This Row],[Satuan]])</f>
        <v/>
      </c>
      <c r="H80" s="28"/>
      <c r="I80" s="25" t="str">
        <f>IF(表1[[#This Row],[Tgl NPBG]]&gt;表1[[#This Row],[Peminta]],表1[[#This Row],[Tgl NPBG]]-表1[[#This Row],[Peminta]],"")</f>
        <v/>
      </c>
      <c r="J80" s="31"/>
    </row>
    <row r="81" s="12" customFormat="1" customHeight="1" spans="2:10">
      <c r="B81" s="25"/>
      <c r="C81" s="25"/>
      <c r="D81" s="26" t="str" cm="1">
        <f t="array" ref="D81">IF(C81="","",IFERROR(INDEX(STPP!$D$6:$D$4207,MATCH(C81,STPP!$C$6:$C$4207,0)),"Not Found"))</f>
        <v/>
      </c>
      <c r="E81" s="27" t="str" cm="1">
        <f t="array" ref="E81">IF(C81="","",IFERROR(INDEX(STPP!$E$6:$E$4207,MATCH(C81,STPP!$C$6:$C$4207,0)),"Not Found"))</f>
        <v/>
      </c>
      <c r="F81" s="27" t="str" cm="1">
        <f t="array" ref="F81">IF(C81="","",IFERROR(INDEX(STPP!$F$6:$F$4207,MATCH(C81,STPP!$C$6:$C$4207,0)),"Not Found"))</f>
        <v/>
      </c>
      <c r="G81" s="25" t="str">
        <f>IF(表1[[#This Row],[No Seri]]="","",表1[[#This Row],[Deskripsi Barang]]+表1[[#This Row],[Kuantitas]]-表1[[#This Row],[Satuan]])</f>
        <v/>
      </c>
      <c r="H81" s="28"/>
      <c r="I81" s="25" t="str">
        <f>IF(表1[[#This Row],[Tgl NPBG]]&gt;表1[[#This Row],[Peminta]],表1[[#This Row],[Tgl NPBG]]-表1[[#This Row],[Peminta]],"")</f>
        <v/>
      </c>
      <c r="J81" s="31"/>
    </row>
    <row r="82" s="12" customFormat="1" customHeight="1" spans="2:10">
      <c r="B82" s="25"/>
      <c r="C82" s="25"/>
      <c r="D82" s="26" t="str" cm="1">
        <f t="array" ref="D82">IF(C82="","",IFERROR(INDEX(STPP!$D$6:$D$4207,MATCH(C82,STPP!$C$6:$C$4207,0)),"Not Found"))</f>
        <v/>
      </c>
      <c r="E82" s="27" t="str" cm="1">
        <f t="array" ref="E82">IF(C82="","",IFERROR(INDEX(STPP!$E$6:$E$4207,MATCH(C82,STPP!$C$6:$C$4207,0)),"Not Found"))</f>
        <v/>
      </c>
      <c r="F82" s="27" t="str" cm="1">
        <f t="array" ref="F82">IF(C82="","",IFERROR(INDEX(STPP!$F$6:$F$4207,MATCH(C82,STPP!$C$6:$C$4207,0)),"Not Found"))</f>
        <v/>
      </c>
      <c r="G82" s="25" t="str">
        <f>IF(表1[[#This Row],[No Seri]]="","",表1[[#This Row],[Deskripsi Barang]]+表1[[#This Row],[Kuantitas]]-表1[[#This Row],[Satuan]])</f>
        <v/>
      </c>
      <c r="H82" s="28"/>
      <c r="I82" s="25" t="str">
        <f>IF(表1[[#This Row],[Tgl NPBG]]&gt;表1[[#This Row],[Peminta]],表1[[#This Row],[Tgl NPBG]]-表1[[#This Row],[Peminta]],"")</f>
        <v/>
      </c>
      <c r="J82" s="31"/>
    </row>
    <row r="83" s="12" customFormat="1" customHeight="1" spans="2:10">
      <c r="B83" s="25"/>
      <c r="C83" s="25"/>
      <c r="D83" s="26" t="str" cm="1">
        <f t="array" ref="D83">IF(C83="","",IFERROR(INDEX(STPP!$D$6:$D$4207,MATCH(C83,STPP!$C$6:$C$4207,0)),"Not Found"))</f>
        <v/>
      </c>
      <c r="E83" s="27" t="str" cm="1">
        <f t="array" ref="E83">IF(C83="","",IFERROR(INDEX(STPP!$E$6:$E$4207,MATCH(C83,STPP!$C$6:$C$4207,0)),"Not Found"))</f>
        <v/>
      </c>
      <c r="F83" s="27" t="str" cm="1">
        <f t="array" ref="F83">IF(C83="","",IFERROR(INDEX(STPP!$F$6:$F$4207,MATCH(C83,STPP!$C$6:$C$4207,0)),"Not Found"))</f>
        <v/>
      </c>
      <c r="G83" s="25" t="str">
        <f>IF(表1[[#This Row],[No Seri]]="","",表1[[#This Row],[Deskripsi Barang]]+表1[[#This Row],[Kuantitas]]-表1[[#This Row],[Satuan]])</f>
        <v/>
      </c>
      <c r="H83" s="28"/>
      <c r="I83" s="25" t="str">
        <f>IF(表1[[#This Row],[Tgl NPBG]]&gt;表1[[#This Row],[Peminta]],表1[[#This Row],[Tgl NPBG]]-表1[[#This Row],[Peminta]],"")</f>
        <v/>
      </c>
      <c r="J83" s="31"/>
    </row>
    <row r="84" s="12" customFormat="1" customHeight="1" spans="2:10">
      <c r="B84" s="25"/>
      <c r="C84" s="25"/>
      <c r="D84" s="26" t="str" cm="1">
        <f t="array" ref="D84">IF(C84="","",IFERROR(INDEX(STPP!$D$6:$D$4207,MATCH(C84,STPP!$C$6:$C$4207,0)),"Not Found"))</f>
        <v/>
      </c>
      <c r="E84" s="27" t="str" cm="1">
        <f t="array" ref="E84">IF(C84="","",IFERROR(INDEX(STPP!$E$6:$E$4207,MATCH(C84,STPP!$C$6:$C$4207,0)),"Not Found"))</f>
        <v/>
      </c>
      <c r="F84" s="27" t="str" cm="1">
        <f t="array" ref="F84">IF(C84="","",IFERROR(INDEX(STPP!$F$6:$F$4207,MATCH(C84,STPP!$C$6:$C$4207,0)),"Not Found"))</f>
        <v/>
      </c>
      <c r="G84" s="25" t="str">
        <f>IF(表1[[#This Row],[No Seri]]="","",表1[[#This Row],[Deskripsi Barang]]+表1[[#This Row],[Kuantitas]]-表1[[#This Row],[Satuan]])</f>
        <v/>
      </c>
      <c r="H84" s="28"/>
      <c r="I84" s="25" t="str">
        <f>IF(表1[[#This Row],[Tgl NPBG]]&gt;表1[[#This Row],[Peminta]],表1[[#This Row],[Tgl NPBG]]-表1[[#This Row],[Peminta]],"")</f>
        <v/>
      </c>
      <c r="J84" s="31"/>
    </row>
    <row r="85" s="12" customFormat="1" customHeight="1" spans="2:10">
      <c r="B85" s="25"/>
      <c r="C85" s="25"/>
      <c r="D85" s="26" t="str" cm="1">
        <f t="array" ref="D85">IF(C85="","",IFERROR(INDEX(STPP!$D$6:$D$4207,MATCH(C85,STPP!$C$6:$C$4207,0)),"Not Found"))</f>
        <v/>
      </c>
      <c r="E85" s="27" t="str" cm="1">
        <f t="array" ref="E85">IF(C85="","",IFERROR(INDEX(STPP!$E$6:$E$4207,MATCH(C85,STPP!$C$6:$C$4207,0)),"Not Found"))</f>
        <v/>
      </c>
      <c r="F85" s="27" t="str" cm="1">
        <f t="array" ref="F85">IF(C85="","",IFERROR(INDEX(STPP!$F$6:$F$4207,MATCH(C85,STPP!$C$6:$C$4207,0)),"Not Found"))</f>
        <v/>
      </c>
      <c r="G85" s="25" t="str">
        <f>IF(表1[[#This Row],[No Seri]]="","",表1[[#This Row],[Deskripsi Barang]]+表1[[#This Row],[Kuantitas]]-表1[[#This Row],[Satuan]])</f>
        <v/>
      </c>
      <c r="H85" s="28"/>
      <c r="I85" s="25" t="str">
        <f>IF(表1[[#This Row],[Tgl NPBG]]&gt;表1[[#This Row],[Peminta]],表1[[#This Row],[Tgl NPBG]]-表1[[#This Row],[Peminta]],"")</f>
        <v/>
      </c>
      <c r="J85" s="31"/>
    </row>
    <row r="86" s="12" customFormat="1" customHeight="1" spans="2:10">
      <c r="B86" s="25"/>
      <c r="C86" s="25"/>
      <c r="D86" s="26" t="str" cm="1">
        <f t="array" ref="D86">IF(C86="","",IFERROR(INDEX(STPP!$D$6:$D$4207,MATCH(C86,STPP!$C$6:$C$4207,0)),"Not Found"))</f>
        <v/>
      </c>
      <c r="E86" s="27" t="str" cm="1">
        <f t="array" ref="E86">IF(C86="","",IFERROR(INDEX(STPP!$E$6:$E$4207,MATCH(C86,STPP!$C$6:$C$4207,0)),"Not Found"))</f>
        <v/>
      </c>
      <c r="F86" s="27" t="str" cm="1">
        <f t="array" ref="F86">IF(C86="","",IFERROR(INDEX(STPP!$F$6:$F$4207,MATCH(C86,STPP!$C$6:$C$4207,0)),"Not Found"))</f>
        <v/>
      </c>
      <c r="G86" s="25" t="str">
        <f>IF(表1[[#This Row],[No Seri]]="","",表1[[#This Row],[Deskripsi Barang]]+表1[[#This Row],[Kuantitas]]-表1[[#This Row],[Satuan]])</f>
        <v/>
      </c>
      <c r="H86" s="28"/>
      <c r="I86" s="25" t="str">
        <f>IF(表1[[#This Row],[Tgl NPBG]]&gt;表1[[#This Row],[Peminta]],表1[[#This Row],[Tgl NPBG]]-表1[[#This Row],[Peminta]],"")</f>
        <v/>
      </c>
      <c r="J86" s="31"/>
    </row>
    <row r="87" s="12" customFormat="1" customHeight="1" spans="2:10">
      <c r="B87" s="25"/>
      <c r="C87" s="25"/>
      <c r="D87" s="26" t="str" cm="1">
        <f t="array" ref="D87">IF(C87="","",IFERROR(INDEX(STPP!$D$6:$D$4207,MATCH(C87,STPP!$C$6:$C$4207,0)),"Not Found"))</f>
        <v/>
      </c>
      <c r="E87" s="27" t="str" cm="1">
        <f t="array" ref="E87">IF(C87="","",IFERROR(INDEX(STPP!$E$6:$E$4207,MATCH(C87,STPP!$C$6:$C$4207,0)),"Not Found"))</f>
        <v/>
      </c>
      <c r="F87" s="27" t="str" cm="1">
        <f t="array" ref="F87">IF(C87="","",IFERROR(INDEX(STPP!$F$6:$F$4207,MATCH(C87,STPP!$C$6:$C$4207,0)),"Not Found"))</f>
        <v/>
      </c>
      <c r="G87" s="25" t="str">
        <f>IF(表1[[#This Row],[No Seri]]="","",表1[[#This Row],[Deskripsi Barang]]+表1[[#This Row],[Kuantitas]]-表1[[#This Row],[Satuan]])</f>
        <v/>
      </c>
      <c r="H87" s="28"/>
      <c r="I87" s="25" t="str">
        <f>IF(表1[[#This Row],[Tgl NPBG]]&gt;表1[[#This Row],[Peminta]],表1[[#This Row],[Tgl NPBG]]-表1[[#This Row],[Peminta]],"")</f>
        <v/>
      </c>
      <c r="J87" s="31"/>
    </row>
    <row r="88" s="12" customFormat="1" customHeight="1" spans="2:10">
      <c r="B88" s="25"/>
      <c r="C88" s="25"/>
      <c r="D88" s="26" t="str" cm="1">
        <f t="array" ref="D88">IF(C88="","",IFERROR(INDEX(STPP!$D$6:$D$4207,MATCH(C88,STPP!$C$6:$C$4207,0)),"Not Found"))</f>
        <v/>
      </c>
      <c r="E88" s="27" t="str" cm="1">
        <f t="array" ref="E88">IF(C88="","",IFERROR(INDEX(STPP!$E$6:$E$4207,MATCH(C88,STPP!$C$6:$C$4207,0)),"Not Found"))</f>
        <v/>
      </c>
      <c r="F88" s="27" t="str" cm="1">
        <f t="array" ref="F88">IF(C88="","",IFERROR(INDEX(STPP!$F$6:$F$4207,MATCH(C88,STPP!$C$6:$C$4207,0)),"Not Found"))</f>
        <v/>
      </c>
      <c r="G88" s="25" t="str">
        <f>IF(表1[[#This Row],[No Seri]]="","",表1[[#This Row],[Deskripsi Barang]]+表1[[#This Row],[Kuantitas]]-表1[[#This Row],[Satuan]])</f>
        <v/>
      </c>
      <c r="H88" s="28"/>
      <c r="I88" s="25" t="str">
        <f>IF(表1[[#This Row],[Tgl NPBG]]&gt;表1[[#This Row],[Peminta]],表1[[#This Row],[Tgl NPBG]]-表1[[#This Row],[Peminta]],"")</f>
        <v/>
      </c>
      <c r="J88" s="31"/>
    </row>
    <row r="89" s="12" customFormat="1" customHeight="1" spans="2:10">
      <c r="B89" s="25"/>
      <c r="C89" s="25"/>
      <c r="D89" s="26" t="str" cm="1">
        <f t="array" ref="D89">IF(C89="","",IFERROR(INDEX(STPP!$D$6:$D$4207,MATCH(C89,STPP!$C$6:$C$4207,0)),"Not Found"))</f>
        <v/>
      </c>
      <c r="E89" s="27" t="str" cm="1">
        <f t="array" ref="E89">IF(C89="","",IFERROR(INDEX(STPP!$E$6:$E$4207,MATCH(C89,STPP!$C$6:$C$4207,0)),"Not Found"))</f>
        <v/>
      </c>
      <c r="F89" s="27" t="str" cm="1">
        <f t="array" ref="F89">IF(C89="","",IFERROR(INDEX(STPP!$F$6:$F$4207,MATCH(C89,STPP!$C$6:$C$4207,0)),"Not Found"))</f>
        <v/>
      </c>
      <c r="G89" s="25" t="str">
        <f>IF(表1[[#This Row],[No Seri]]="","",表1[[#This Row],[Deskripsi Barang]]+表1[[#This Row],[Kuantitas]]-表1[[#This Row],[Satuan]])</f>
        <v/>
      </c>
      <c r="H89" s="28"/>
      <c r="I89" s="25" t="str">
        <f>IF(表1[[#This Row],[Tgl NPBG]]&gt;表1[[#This Row],[Peminta]],表1[[#This Row],[Tgl NPBG]]-表1[[#This Row],[Peminta]],"")</f>
        <v/>
      </c>
      <c r="J89" s="31"/>
    </row>
    <row r="90" s="12" customFormat="1" customHeight="1" spans="2:10">
      <c r="B90" s="25"/>
      <c r="C90" s="25"/>
      <c r="D90" s="26" t="str" cm="1">
        <f t="array" ref="D90">IF(C90="","",IFERROR(INDEX(STPP!$D$6:$D$4207,MATCH(C90,STPP!$C$6:$C$4207,0)),"Not Found"))</f>
        <v/>
      </c>
      <c r="E90" s="27" t="str" cm="1">
        <f t="array" ref="E90">IF(C90="","",IFERROR(INDEX(STPP!$E$6:$E$4207,MATCH(C90,STPP!$C$6:$C$4207,0)),"Not Found"))</f>
        <v/>
      </c>
      <c r="F90" s="27" t="str" cm="1">
        <f t="array" ref="F90">IF(C90="","",IFERROR(INDEX(STPP!$F$6:$F$4207,MATCH(C90,STPP!$C$6:$C$4207,0)),"Not Found"))</f>
        <v/>
      </c>
      <c r="G90" s="25" t="str">
        <f>IF(表1[[#This Row],[No Seri]]="","",表1[[#This Row],[Deskripsi Barang]]+表1[[#This Row],[Kuantitas]]-表1[[#This Row],[Satuan]])</f>
        <v/>
      </c>
      <c r="H90" s="28"/>
      <c r="I90" s="25" t="str">
        <f>IF(表1[[#This Row],[Tgl NPBG]]&gt;表1[[#This Row],[Peminta]],表1[[#This Row],[Tgl NPBG]]-表1[[#This Row],[Peminta]],"")</f>
        <v/>
      </c>
      <c r="J90" s="31"/>
    </row>
    <row r="91" s="12" customFormat="1" customHeight="1" spans="2:10">
      <c r="B91" s="25"/>
      <c r="C91" s="25"/>
      <c r="D91" s="26" t="str" cm="1">
        <f t="array" ref="D91">IF(C91="","",IFERROR(INDEX(STPP!$D$6:$D$4207,MATCH(C91,STPP!$C$6:$C$4207,0)),"Not Found"))</f>
        <v/>
      </c>
      <c r="E91" s="27" t="str" cm="1">
        <f t="array" ref="E91">IF(C91="","",IFERROR(INDEX(STPP!$E$6:$E$4207,MATCH(C91,STPP!$C$6:$C$4207,0)),"Not Found"))</f>
        <v/>
      </c>
      <c r="F91" s="27" t="str" cm="1">
        <f t="array" ref="F91">IF(C91="","",IFERROR(INDEX(STPP!$F$6:$F$4207,MATCH(C91,STPP!$C$6:$C$4207,0)),"Not Found"))</f>
        <v/>
      </c>
      <c r="G91" s="25" t="str">
        <f>IF(表1[[#This Row],[No Seri]]="","",表1[[#This Row],[Deskripsi Barang]]+表1[[#This Row],[Kuantitas]]-表1[[#This Row],[Satuan]])</f>
        <v/>
      </c>
      <c r="H91" s="28"/>
      <c r="I91" s="25" t="str">
        <f>IF(表1[[#This Row],[Tgl NPBG]]&gt;表1[[#This Row],[Peminta]],表1[[#This Row],[Tgl NPBG]]-表1[[#This Row],[Peminta]],"")</f>
        <v/>
      </c>
      <c r="J91" s="31"/>
    </row>
    <row r="92" s="12" customFormat="1" customHeight="1" spans="2:10">
      <c r="B92" s="25"/>
      <c r="C92" s="25"/>
      <c r="D92" s="26" t="str" cm="1">
        <f t="array" ref="D92">IF(C92="","",IFERROR(INDEX(STPP!$D$6:$D$4207,MATCH(C92,STPP!$C$6:$C$4207,0)),"Not Found"))</f>
        <v/>
      </c>
      <c r="E92" s="27" t="str" cm="1">
        <f t="array" ref="E92">IF(C92="","",IFERROR(INDEX(STPP!$E$6:$E$4207,MATCH(C92,STPP!$C$6:$C$4207,0)),"Not Found"))</f>
        <v/>
      </c>
      <c r="F92" s="27" t="str" cm="1">
        <f t="array" ref="F92">IF(C92="","",IFERROR(INDEX(STPP!$F$6:$F$4207,MATCH(C92,STPP!$C$6:$C$4207,0)),"Not Found"))</f>
        <v/>
      </c>
      <c r="G92" s="25" t="str">
        <f>IF(表1[[#This Row],[No Seri]]="","",表1[[#This Row],[Deskripsi Barang]]+表1[[#This Row],[Kuantitas]]-表1[[#This Row],[Satuan]])</f>
        <v/>
      </c>
      <c r="H92" s="28"/>
      <c r="I92" s="25" t="str">
        <f>IF(表1[[#This Row],[Tgl NPBG]]&gt;表1[[#This Row],[Peminta]],表1[[#This Row],[Tgl NPBG]]-表1[[#This Row],[Peminta]],"")</f>
        <v/>
      </c>
      <c r="J92" s="31"/>
    </row>
    <row r="93" s="12" customFormat="1" customHeight="1" spans="2:10">
      <c r="B93" s="25"/>
      <c r="C93" s="25"/>
      <c r="D93" s="26" t="str" cm="1">
        <f t="array" ref="D93">IF(C93="","",IFERROR(INDEX(STPP!$D$6:$D$4207,MATCH(C93,STPP!$C$6:$C$4207,0)),"Not Found"))</f>
        <v/>
      </c>
      <c r="E93" s="27" t="str" cm="1">
        <f t="array" ref="E93">IF(C93="","",IFERROR(INDEX(STPP!$E$6:$E$4207,MATCH(C93,STPP!$C$6:$C$4207,0)),"Not Found"))</f>
        <v/>
      </c>
      <c r="F93" s="27" t="str" cm="1">
        <f t="array" ref="F93">IF(C93="","",IFERROR(INDEX(STPP!$F$6:$F$4207,MATCH(C93,STPP!$C$6:$C$4207,0)),"Not Found"))</f>
        <v/>
      </c>
      <c r="G93" s="25" t="str">
        <f>IF(表1[[#This Row],[No Seri]]="","",表1[[#This Row],[Deskripsi Barang]]+表1[[#This Row],[Kuantitas]]-表1[[#This Row],[Satuan]])</f>
        <v/>
      </c>
      <c r="H93" s="28"/>
      <c r="I93" s="25" t="str">
        <f>IF(表1[[#This Row],[Tgl NPBG]]&gt;表1[[#This Row],[Peminta]],表1[[#This Row],[Tgl NPBG]]-表1[[#This Row],[Peminta]],"")</f>
        <v/>
      </c>
      <c r="J93" s="31"/>
    </row>
    <row r="94" s="12" customFormat="1" customHeight="1" spans="2:10">
      <c r="B94" s="25"/>
      <c r="C94" s="25"/>
      <c r="D94" s="26" t="str" cm="1">
        <f t="array" ref="D94">IF(C94="","",IFERROR(INDEX(STPP!$D$6:$D$4207,MATCH(C94,STPP!$C$6:$C$4207,0)),"Not Found"))</f>
        <v/>
      </c>
      <c r="E94" s="27" t="str" cm="1">
        <f t="array" ref="E94">IF(C94="","",IFERROR(INDEX(STPP!$E$6:$E$4207,MATCH(C94,STPP!$C$6:$C$4207,0)),"Not Found"))</f>
        <v/>
      </c>
      <c r="F94" s="27" t="str" cm="1">
        <f t="array" ref="F94">IF(C94="","",IFERROR(INDEX(STPP!$F$6:$F$4207,MATCH(C94,STPP!$C$6:$C$4207,0)),"Not Found"))</f>
        <v/>
      </c>
      <c r="G94" s="25" t="str">
        <f>IF(表1[[#This Row],[No Seri]]="","",表1[[#This Row],[Deskripsi Barang]]+表1[[#This Row],[Kuantitas]]-表1[[#This Row],[Satuan]])</f>
        <v/>
      </c>
      <c r="H94" s="28"/>
      <c r="I94" s="25" t="str">
        <f>IF(表1[[#This Row],[Tgl NPBG]]&gt;表1[[#This Row],[Peminta]],表1[[#This Row],[Tgl NPBG]]-表1[[#This Row],[Peminta]],"")</f>
        <v/>
      </c>
      <c r="J94" s="31"/>
    </row>
    <row r="95" s="12" customFormat="1" customHeight="1" spans="2:10">
      <c r="B95" s="25"/>
      <c r="C95" s="25"/>
      <c r="D95" s="26" t="str" cm="1">
        <f t="array" ref="D95">IF(C95="","",IFERROR(INDEX(STPP!$D$6:$D$4207,MATCH(C95,STPP!$C$6:$C$4207,0)),"Not Found"))</f>
        <v/>
      </c>
      <c r="E95" s="27" t="str" cm="1">
        <f t="array" ref="E95">IF(C95="","",IFERROR(INDEX(STPP!$E$6:$E$4207,MATCH(C95,STPP!$C$6:$C$4207,0)),"Not Found"))</f>
        <v/>
      </c>
      <c r="F95" s="27" t="str" cm="1">
        <f t="array" ref="F95">IF(C95="","",IFERROR(INDEX(STPP!$F$6:$F$4207,MATCH(C95,STPP!$C$6:$C$4207,0)),"Not Found"))</f>
        <v/>
      </c>
      <c r="G95" s="25" t="str">
        <f>IF(表1[[#This Row],[No Seri]]="","",表1[[#This Row],[Deskripsi Barang]]+表1[[#This Row],[Kuantitas]]-表1[[#This Row],[Satuan]])</f>
        <v/>
      </c>
      <c r="H95" s="28"/>
      <c r="I95" s="25" t="str">
        <f>IF(表1[[#This Row],[Tgl NPBG]]&gt;表1[[#This Row],[Peminta]],表1[[#This Row],[Tgl NPBG]]-表1[[#This Row],[Peminta]],"")</f>
        <v/>
      </c>
      <c r="J95" s="31"/>
    </row>
    <row r="96" s="12" customFormat="1" customHeight="1" spans="2:10">
      <c r="B96" s="25"/>
      <c r="C96" s="25"/>
      <c r="D96" s="26" t="str" cm="1">
        <f t="array" ref="D96">IF(C96="","",IFERROR(INDEX(STPP!$D$6:$D$4207,MATCH(C96,STPP!$C$6:$C$4207,0)),"Not Found"))</f>
        <v/>
      </c>
      <c r="E96" s="27" t="str" cm="1">
        <f t="array" ref="E96">IF(C96="","",IFERROR(INDEX(STPP!$E$6:$E$4207,MATCH(C96,STPP!$C$6:$C$4207,0)),"Not Found"))</f>
        <v/>
      </c>
      <c r="F96" s="27" t="str" cm="1">
        <f t="array" ref="F96">IF(C96="","",IFERROR(INDEX(STPP!$F$6:$F$4207,MATCH(C96,STPP!$C$6:$C$4207,0)),"Not Found"))</f>
        <v/>
      </c>
      <c r="G96" s="25" t="str">
        <f>IF(表1[[#This Row],[No Seri]]="","",表1[[#This Row],[Deskripsi Barang]]+表1[[#This Row],[Kuantitas]]-表1[[#This Row],[Satuan]])</f>
        <v/>
      </c>
      <c r="H96" s="28"/>
      <c r="I96" s="25" t="str">
        <f>IF(表1[[#This Row],[Tgl NPBG]]&gt;表1[[#This Row],[Peminta]],表1[[#This Row],[Tgl NPBG]]-表1[[#This Row],[Peminta]],"")</f>
        <v/>
      </c>
      <c r="J96" s="31"/>
    </row>
    <row r="97" s="12" customFormat="1" customHeight="1" spans="2:10">
      <c r="B97" s="25"/>
      <c r="C97" s="25"/>
      <c r="D97" s="26" t="str" cm="1">
        <f t="array" ref="D97">IF(C97="","",IFERROR(INDEX(STPP!$D$6:$D$4207,MATCH(C97,STPP!$C$6:$C$4207,0)),"Not Found"))</f>
        <v/>
      </c>
      <c r="E97" s="27" t="str" cm="1">
        <f t="array" ref="E97">IF(C97="","",IFERROR(INDEX(STPP!$E$6:$E$4207,MATCH(C97,STPP!$C$6:$C$4207,0)),"Not Found"))</f>
        <v/>
      </c>
      <c r="F97" s="27" t="str" cm="1">
        <f t="array" ref="F97">IF(C97="","",IFERROR(INDEX(STPP!$F$6:$F$4207,MATCH(C97,STPP!$C$6:$C$4207,0)),"Not Found"))</f>
        <v/>
      </c>
      <c r="G97" s="25" t="str">
        <f>IF(表1[[#This Row],[No Seri]]="","",表1[[#This Row],[Deskripsi Barang]]+表1[[#This Row],[Kuantitas]]-表1[[#This Row],[Satuan]])</f>
        <v/>
      </c>
      <c r="H97" s="28"/>
      <c r="I97" s="25" t="str">
        <f>IF(表1[[#This Row],[Tgl NPBG]]&gt;表1[[#This Row],[Peminta]],表1[[#This Row],[Tgl NPBG]]-表1[[#This Row],[Peminta]],"")</f>
        <v/>
      </c>
      <c r="J97" s="31"/>
    </row>
    <row r="98" s="12" customFormat="1" customHeight="1" spans="2:10">
      <c r="B98" s="25"/>
      <c r="C98" s="25"/>
      <c r="D98" s="26" t="str" cm="1">
        <f t="array" ref="D98">IF(C98="","",IFERROR(INDEX(STPP!$D$6:$D$4207,MATCH(C98,STPP!$C$6:$C$4207,0)),"Not Found"))</f>
        <v/>
      </c>
      <c r="E98" s="27" t="str" cm="1">
        <f t="array" ref="E98">IF(C98="","",IFERROR(INDEX(STPP!$E$6:$E$4207,MATCH(C98,STPP!$C$6:$C$4207,0)),"Not Found"))</f>
        <v/>
      </c>
      <c r="F98" s="27" t="str" cm="1">
        <f t="array" ref="F98">IF(C98="","",IFERROR(INDEX(STPP!$F$6:$F$4207,MATCH(C98,STPP!$C$6:$C$4207,0)),"Not Found"))</f>
        <v/>
      </c>
      <c r="G98" s="25" t="str">
        <f>IF(表1[[#This Row],[No Seri]]="","",表1[[#This Row],[Deskripsi Barang]]+表1[[#This Row],[Kuantitas]]-表1[[#This Row],[Satuan]])</f>
        <v/>
      </c>
      <c r="H98" s="28"/>
      <c r="I98" s="25" t="str">
        <f>IF(表1[[#This Row],[Tgl NPBG]]&gt;表1[[#This Row],[Peminta]],表1[[#This Row],[Tgl NPBG]]-表1[[#This Row],[Peminta]],"")</f>
        <v/>
      </c>
      <c r="J98" s="31"/>
    </row>
    <row r="99" s="12" customFormat="1" customHeight="1" spans="2:10">
      <c r="B99" s="25"/>
      <c r="C99" s="25"/>
      <c r="D99" s="26" t="str" cm="1">
        <f t="array" ref="D99">IF(C99="","",IFERROR(INDEX(STPP!$D$6:$D$4207,MATCH(C99,STPP!$C$6:$C$4207,0)),"Not Found"))</f>
        <v/>
      </c>
      <c r="E99" s="27" t="str" cm="1">
        <f t="array" ref="E99">IF(C99="","",IFERROR(INDEX(STPP!$E$6:$E$4207,MATCH(C99,STPP!$C$6:$C$4207,0)),"Not Found"))</f>
        <v/>
      </c>
      <c r="F99" s="27" t="str" cm="1">
        <f t="array" ref="F99">IF(C99="","",IFERROR(INDEX(STPP!$F$6:$F$4207,MATCH(C99,STPP!$C$6:$C$4207,0)),"Not Found"))</f>
        <v/>
      </c>
      <c r="G99" s="25" t="str">
        <f>IF(表1[[#This Row],[No Seri]]="","",表1[[#This Row],[Deskripsi Barang]]+表1[[#This Row],[Kuantitas]]-表1[[#This Row],[Satuan]])</f>
        <v/>
      </c>
      <c r="H99" s="28"/>
      <c r="I99" s="25" t="str">
        <f>IF(表1[[#This Row],[Tgl NPBG]]&gt;表1[[#This Row],[Peminta]],表1[[#This Row],[Tgl NPBG]]-表1[[#This Row],[Peminta]],"")</f>
        <v/>
      </c>
      <c r="J99" s="31"/>
    </row>
    <row r="100" s="12" customFormat="1" customHeight="1" spans="2:10">
      <c r="B100" s="25"/>
      <c r="C100" s="25"/>
      <c r="D100" s="26" t="str" cm="1">
        <f t="array" ref="D100">IF(C100="","",IFERROR(INDEX(STPP!$D$6:$D$4207,MATCH(C100,STPP!$C$6:$C$4207,0)),"Not Found"))</f>
        <v/>
      </c>
      <c r="E100" s="27" t="str" cm="1">
        <f t="array" ref="E100">IF(C100="","",IFERROR(INDEX(STPP!$E$6:$E$4207,MATCH(C100,STPP!$C$6:$C$4207,0)),"Not Found"))</f>
        <v/>
      </c>
      <c r="F100" s="27" t="str" cm="1">
        <f t="array" ref="F100">IF(C100="","",IFERROR(INDEX(STPP!$F$6:$F$4207,MATCH(C100,STPP!$C$6:$C$4207,0)),"Not Found"))</f>
        <v/>
      </c>
      <c r="G100" s="25" t="str">
        <f>IF(表1[[#This Row],[No Seri]]="","",表1[[#This Row],[Deskripsi Barang]]+表1[[#This Row],[Kuantitas]]-表1[[#This Row],[Satuan]])</f>
        <v/>
      </c>
      <c r="H100" s="28"/>
      <c r="I100" s="25" t="str">
        <f>IF(表1[[#This Row],[Tgl NPBG]]&gt;表1[[#This Row],[Peminta]],表1[[#This Row],[Tgl NPBG]]-表1[[#This Row],[Peminta]],"")</f>
        <v/>
      </c>
      <c r="J100" s="31"/>
    </row>
    <row r="101" s="12" customFormat="1" customHeight="1" spans="2:10">
      <c r="B101" s="25"/>
      <c r="C101" s="25"/>
      <c r="D101" s="26" t="str" cm="1">
        <f t="array" ref="D101">IF(C101="","",IFERROR(INDEX(STPP!$D$6:$D$4207,MATCH(C101,STPP!$C$6:$C$4207,0)),"Not Found"))</f>
        <v/>
      </c>
      <c r="E101" s="27" t="str" cm="1">
        <f t="array" ref="E101">IF(C101="","",IFERROR(INDEX(STPP!$E$6:$E$4207,MATCH(C101,STPP!$C$6:$C$4207,0)),"Not Found"))</f>
        <v/>
      </c>
      <c r="F101" s="27" t="str" cm="1">
        <f t="array" ref="F101">IF(C101="","",IFERROR(INDEX(STPP!$F$6:$F$4207,MATCH(C101,STPP!$C$6:$C$4207,0)),"Not Found"))</f>
        <v/>
      </c>
      <c r="G101" s="25" t="str">
        <f>IF(表1[[#This Row],[No Seri]]="","",表1[[#This Row],[Deskripsi Barang]]+表1[[#This Row],[Kuantitas]]-表1[[#This Row],[Satuan]])</f>
        <v/>
      </c>
      <c r="H101" s="28"/>
      <c r="I101" s="25" t="str">
        <f>IF(表1[[#This Row],[Tgl NPBG]]&gt;表1[[#This Row],[Peminta]],表1[[#This Row],[Tgl NPBG]]-表1[[#This Row],[Peminta]],"")</f>
        <v/>
      </c>
      <c r="J101" s="31"/>
    </row>
    <row r="102" s="12" customFormat="1" customHeight="1" spans="2:10">
      <c r="B102" s="25"/>
      <c r="C102" s="25"/>
      <c r="D102" s="26" t="str" cm="1">
        <f t="array" ref="D102">IF(C102="","",IFERROR(INDEX(STPP!$D$6:$D$4207,MATCH(C102,STPP!$C$6:$C$4207,0)),"Not Found"))</f>
        <v/>
      </c>
      <c r="E102" s="27" t="str" cm="1">
        <f t="array" ref="E102">IF(C102="","",IFERROR(INDEX(STPP!$E$6:$E$4207,MATCH(C102,STPP!$C$6:$C$4207,0)),"Not Found"))</f>
        <v/>
      </c>
      <c r="F102" s="27" t="str" cm="1">
        <f t="array" ref="F102">IF(C102="","",IFERROR(INDEX(STPP!$F$6:$F$4207,MATCH(C102,STPP!$C$6:$C$4207,0)),"Not Found"))</f>
        <v/>
      </c>
      <c r="G102" s="25" t="str">
        <f>IF(表1[[#This Row],[No Seri]]="","",表1[[#This Row],[Deskripsi Barang]]+表1[[#This Row],[Kuantitas]]-表1[[#This Row],[Satuan]])</f>
        <v/>
      </c>
      <c r="H102" s="28"/>
      <c r="I102" s="25" t="str">
        <f>IF(表1[[#This Row],[Tgl NPBG]]&gt;表1[[#This Row],[Peminta]],表1[[#This Row],[Tgl NPBG]]-表1[[#This Row],[Peminta]],"")</f>
        <v/>
      </c>
      <c r="J102" s="31"/>
    </row>
    <row r="103" s="12" customFormat="1" customHeight="1" spans="2:10">
      <c r="B103" s="25"/>
      <c r="C103" s="25"/>
      <c r="D103" s="26" t="str" cm="1">
        <f t="array" ref="D103">IF(C103="","",IFERROR(INDEX(STPP!$D$6:$D$4207,MATCH(C103,STPP!$C$6:$C$4207,0)),"Not Found"))</f>
        <v/>
      </c>
      <c r="E103" s="27" t="str" cm="1">
        <f t="array" ref="E103">IF(C103="","",IFERROR(INDEX(STPP!$E$6:$E$4207,MATCH(C103,STPP!$C$6:$C$4207,0)),"Not Found"))</f>
        <v/>
      </c>
      <c r="F103" s="27" t="str" cm="1">
        <f t="array" ref="F103">IF(C103="","",IFERROR(INDEX(STPP!$F$6:$F$4207,MATCH(C103,STPP!$C$6:$C$4207,0)),"Not Found"))</f>
        <v/>
      </c>
      <c r="G103" s="25" t="str">
        <f>IF(表1[[#This Row],[No Seri]]="","",表1[[#This Row],[Deskripsi Barang]]+表1[[#This Row],[Kuantitas]]-表1[[#This Row],[Satuan]])</f>
        <v/>
      </c>
      <c r="H103" s="28"/>
      <c r="I103" s="25" t="str">
        <f>IF(表1[[#This Row],[Tgl NPBG]]&gt;表1[[#This Row],[Peminta]],表1[[#This Row],[Tgl NPBG]]-表1[[#This Row],[Peminta]],"")</f>
        <v/>
      </c>
      <c r="J103" s="31"/>
    </row>
    <row r="104" s="12" customFormat="1" customHeight="1" spans="2:10">
      <c r="B104" s="25"/>
      <c r="C104" s="25"/>
      <c r="D104" s="26" t="str" cm="1">
        <f t="array" ref="D104">IF(C104="","",IFERROR(INDEX(STPP!$D$6:$D$4207,MATCH(C104,STPP!$C$6:$C$4207,0)),"Not Found"))</f>
        <v/>
      </c>
      <c r="E104" s="27" t="str" cm="1">
        <f t="array" ref="E104">IF(C104="","",IFERROR(INDEX(STPP!$E$6:$E$4207,MATCH(C104,STPP!$C$6:$C$4207,0)),"Not Found"))</f>
        <v/>
      </c>
      <c r="F104" s="27" t="str" cm="1">
        <f t="array" ref="F104">IF(C104="","",IFERROR(INDEX(STPP!$F$6:$F$4207,MATCH(C104,STPP!$C$6:$C$4207,0)),"Not Found"))</f>
        <v/>
      </c>
      <c r="G104" s="25" t="str">
        <f>IF(表1[[#This Row],[No Seri]]="","",表1[[#This Row],[Deskripsi Barang]]+表1[[#This Row],[Kuantitas]]-表1[[#This Row],[Satuan]])</f>
        <v/>
      </c>
      <c r="H104" s="28"/>
      <c r="I104" s="25" t="str">
        <f>IF(表1[[#This Row],[Tgl NPBG]]&gt;表1[[#This Row],[Peminta]],表1[[#This Row],[Tgl NPBG]]-表1[[#This Row],[Peminta]],"")</f>
        <v/>
      </c>
      <c r="J104" s="31"/>
    </row>
    <row r="105" s="12" customFormat="1" customHeight="1" spans="2:10">
      <c r="B105" s="25"/>
      <c r="C105" s="25"/>
      <c r="D105" s="26" t="str" cm="1">
        <f t="array" ref="D105">IF(C105="","",IFERROR(INDEX(STPP!$D$6:$D$4207,MATCH(C105,STPP!$C$6:$C$4207,0)),"Not Found"))</f>
        <v/>
      </c>
      <c r="E105" s="27" t="str" cm="1">
        <f t="array" ref="E105">IF(C105="","",IFERROR(INDEX(STPP!$E$6:$E$4207,MATCH(C105,STPP!$C$6:$C$4207,0)),"Not Found"))</f>
        <v/>
      </c>
      <c r="F105" s="27" t="str" cm="1">
        <f t="array" ref="F105">IF(C105="","",IFERROR(INDEX(STPP!$F$6:$F$4207,MATCH(C105,STPP!$C$6:$C$4207,0)),"Not Found"))</f>
        <v/>
      </c>
      <c r="G105" s="25" t="str">
        <f>IF(表1[[#This Row],[No Seri]]="","",表1[[#This Row],[Deskripsi Barang]]+表1[[#This Row],[Kuantitas]]-表1[[#This Row],[Satuan]])</f>
        <v/>
      </c>
      <c r="H105" s="28"/>
      <c r="I105" s="25" t="str">
        <f>IF(表1[[#This Row],[Tgl NPBG]]&gt;表1[[#This Row],[Peminta]],表1[[#This Row],[Tgl NPBG]]-表1[[#This Row],[Peminta]],"")</f>
        <v/>
      </c>
      <c r="J105" s="31"/>
    </row>
    <row r="106" s="12" customFormat="1" customHeight="1" spans="2:10">
      <c r="B106" s="25"/>
      <c r="C106" s="25"/>
      <c r="D106" s="26" t="str" cm="1">
        <f t="array" ref="D106">IF(C106="","",IFERROR(INDEX(STPP!$D$6:$D$4207,MATCH(C106,STPP!$C$6:$C$4207,0)),"Not Found"))</f>
        <v/>
      </c>
      <c r="E106" s="27" t="str" cm="1">
        <f t="array" ref="E106">IF(C106="","",IFERROR(INDEX(STPP!$E$6:$E$4207,MATCH(C106,STPP!$C$6:$C$4207,0)),"Not Found"))</f>
        <v/>
      </c>
      <c r="F106" s="27" t="str" cm="1">
        <f t="array" ref="F106">IF(C106="","",IFERROR(INDEX(STPP!$F$6:$F$4207,MATCH(C106,STPP!$C$6:$C$4207,0)),"Not Found"))</f>
        <v/>
      </c>
      <c r="G106" s="25" t="str">
        <f>IF(表1[[#This Row],[No Seri]]="","",表1[[#This Row],[Deskripsi Barang]]+表1[[#This Row],[Kuantitas]]-表1[[#This Row],[Satuan]])</f>
        <v/>
      </c>
      <c r="H106" s="28"/>
      <c r="I106" s="25" t="str">
        <f>IF(表1[[#This Row],[Tgl NPBG]]&gt;表1[[#This Row],[Peminta]],表1[[#This Row],[Tgl NPBG]]-表1[[#This Row],[Peminta]],"")</f>
        <v/>
      </c>
      <c r="J106" s="31"/>
    </row>
    <row r="107" s="12" customFormat="1" customHeight="1" spans="2:10">
      <c r="B107" s="25"/>
      <c r="C107" s="25"/>
      <c r="D107" s="26" t="str" cm="1">
        <f t="array" ref="D107">IF(C107="","",IFERROR(INDEX(STPP!$D$6:$D$4207,MATCH(C107,STPP!$C$6:$C$4207,0)),"Not Found"))</f>
        <v/>
      </c>
      <c r="E107" s="27" t="str" cm="1">
        <f t="array" ref="E107">IF(C107="","",IFERROR(INDEX(STPP!$E$6:$E$4207,MATCH(C107,STPP!$C$6:$C$4207,0)),"Not Found"))</f>
        <v/>
      </c>
      <c r="F107" s="27" t="str" cm="1">
        <f t="array" ref="F107">IF(C107="","",IFERROR(INDEX(STPP!$F$6:$F$4207,MATCH(C107,STPP!$C$6:$C$4207,0)),"Not Found"))</f>
        <v/>
      </c>
      <c r="G107" s="25" t="str">
        <f>IF(表1[[#This Row],[No Seri]]="","",表1[[#This Row],[Deskripsi Barang]]+表1[[#This Row],[Kuantitas]]-表1[[#This Row],[Satuan]])</f>
        <v/>
      </c>
      <c r="H107" s="28"/>
      <c r="I107" s="25" t="str">
        <f>IF(表1[[#This Row],[Tgl NPBG]]&gt;表1[[#This Row],[Peminta]],表1[[#This Row],[Tgl NPBG]]-表1[[#This Row],[Peminta]],"")</f>
        <v/>
      </c>
      <c r="J107" s="31"/>
    </row>
    <row r="108" s="12" customFormat="1" customHeight="1" spans="2:10">
      <c r="B108" s="25"/>
      <c r="C108" s="25"/>
      <c r="D108" s="26" t="str" cm="1">
        <f t="array" ref="D108">IF(C108="","",IFERROR(INDEX(STPP!$D$6:$D$4207,MATCH(C108,STPP!$C$6:$C$4207,0)),"Not Found"))</f>
        <v/>
      </c>
      <c r="E108" s="27" t="str" cm="1">
        <f t="array" ref="E108">IF(C108="","",IFERROR(INDEX(STPP!$E$6:$E$4207,MATCH(C108,STPP!$C$6:$C$4207,0)),"Not Found"))</f>
        <v/>
      </c>
      <c r="F108" s="27" t="str" cm="1">
        <f t="array" ref="F108">IF(C108="","",IFERROR(INDEX(STPP!$F$6:$F$4207,MATCH(C108,STPP!$C$6:$C$4207,0)),"Not Found"))</f>
        <v/>
      </c>
      <c r="G108" s="25" t="str">
        <f>IF(表1[[#This Row],[No Seri]]="","",表1[[#This Row],[Deskripsi Barang]]+表1[[#This Row],[Kuantitas]]-表1[[#This Row],[Satuan]])</f>
        <v/>
      </c>
      <c r="H108" s="28"/>
      <c r="I108" s="25" t="str">
        <f>IF(表1[[#This Row],[Tgl NPBG]]&gt;表1[[#This Row],[Peminta]],表1[[#This Row],[Tgl NPBG]]-表1[[#This Row],[Peminta]],"")</f>
        <v/>
      </c>
      <c r="J108" s="31"/>
    </row>
    <row r="109" s="12" customFormat="1" customHeight="1" spans="2:10">
      <c r="B109" s="25"/>
      <c r="C109" s="25"/>
      <c r="D109" s="26" t="str" cm="1">
        <f t="array" ref="D109">IF(C109="","",IFERROR(INDEX(STPP!$D$6:$D$4207,MATCH(C109,STPP!$C$6:$C$4207,0)),"Not Found"))</f>
        <v/>
      </c>
      <c r="E109" s="27" t="str" cm="1">
        <f t="array" ref="E109">IF(C109="","",IFERROR(INDEX(STPP!$E$6:$E$4207,MATCH(C109,STPP!$C$6:$C$4207,0)),"Not Found"))</f>
        <v/>
      </c>
      <c r="F109" s="27" t="str" cm="1">
        <f t="array" ref="F109">IF(C109="","",IFERROR(INDEX(STPP!$F$6:$F$4207,MATCH(C109,STPP!$C$6:$C$4207,0)),"Not Found"))</f>
        <v/>
      </c>
      <c r="G109" s="25" t="str">
        <f>IF(表1[[#This Row],[No Seri]]="","",表1[[#This Row],[Deskripsi Barang]]+表1[[#This Row],[Kuantitas]]-表1[[#This Row],[Satuan]])</f>
        <v/>
      </c>
      <c r="H109" s="28"/>
      <c r="I109" s="25" t="str">
        <f>IF(表1[[#This Row],[Tgl NPBG]]&gt;表1[[#This Row],[Peminta]],表1[[#This Row],[Tgl NPBG]]-表1[[#This Row],[Peminta]],"")</f>
        <v/>
      </c>
      <c r="J109" s="31"/>
    </row>
    <row r="110" s="12" customFormat="1" customHeight="1" spans="2:10">
      <c r="B110" s="25"/>
      <c r="C110" s="25"/>
      <c r="D110" s="26" t="str" cm="1">
        <f t="array" ref="D110">IF(C110="","",IFERROR(INDEX(STPP!$D$6:$D$4207,MATCH(C110,STPP!$C$6:$C$4207,0)),"Not Found"))</f>
        <v/>
      </c>
      <c r="E110" s="27" t="str" cm="1">
        <f t="array" ref="E110">IF(C110="","",IFERROR(INDEX(STPP!$E$6:$E$4207,MATCH(C110,STPP!$C$6:$C$4207,0)),"Not Found"))</f>
        <v/>
      </c>
      <c r="F110" s="27" t="str" cm="1">
        <f t="array" ref="F110">IF(C110="","",IFERROR(INDEX(STPP!$F$6:$F$4207,MATCH(C110,STPP!$C$6:$C$4207,0)),"Not Found"))</f>
        <v/>
      </c>
      <c r="G110" s="25" t="str">
        <f>IF(表1[[#This Row],[No Seri]]="","",表1[[#This Row],[Deskripsi Barang]]+表1[[#This Row],[Kuantitas]]-表1[[#This Row],[Satuan]])</f>
        <v/>
      </c>
      <c r="H110" s="28"/>
      <c r="I110" s="25" t="str">
        <f>IF(表1[[#This Row],[Tgl NPBG]]&gt;表1[[#This Row],[Peminta]],表1[[#This Row],[Tgl NPBG]]-表1[[#This Row],[Peminta]],"")</f>
        <v/>
      </c>
      <c r="J110" s="31"/>
    </row>
    <row r="111" s="12" customFormat="1" customHeight="1" spans="2:10">
      <c r="B111" s="25"/>
      <c r="C111" s="25"/>
      <c r="D111" s="26" t="str" cm="1">
        <f t="array" ref="D111">IF(C111="","",IFERROR(INDEX(STPP!$D$6:$D$4207,MATCH(C111,STPP!$C$6:$C$4207,0)),"Not Found"))</f>
        <v/>
      </c>
      <c r="E111" s="27" t="str" cm="1">
        <f t="array" ref="E111">IF(C111="","",IFERROR(INDEX(STPP!$E$6:$E$4207,MATCH(C111,STPP!$C$6:$C$4207,0)),"Not Found"))</f>
        <v/>
      </c>
      <c r="F111" s="27" t="str" cm="1">
        <f t="array" ref="F111">IF(C111="","",IFERROR(INDEX(STPP!$F$6:$F$4207,MATCH(C111,STPP!$C$6:$C$4207,0)),"Not Found"))</f>
        <v/>
      </c>
      <c r="G111" s="25" t="str">
        <f>IF(表1[[#This Row],[No Seri]]="","",表1[[#This Row],[Deskripsi Barang]]+表1[[#This Row],[Kuantitas]]-表1[[#This Row],[Satuan]])</f>
        <v/>
      </c>
      <c r="H111" s="28"/>
      <c r="I111" s="25" t="str">
        <f>IF(表1[[#This Row],[Tgl NPBG]]&gt;表1[[#This Row],[Peminta]],表1[[#This Row],[Tgl NPBG]]-表1[[#This Row],[Peminta]],"")</f>
        <v/>
      </c>
      <c r="J111" s="31"/>
    </row>
    <row r="112" s="12" customFormat="1" customHeight="1" spans="2:10">
      <c r="B112" s="25"/>
      <c r="C112" s="25"/>
      <c r="D112" s="26" t="str" cm="1">
        <f t="array" ref="D112">IF(C112="","",IFERROR(INDEX(STPP!$D$6:$D$4207,MATCH(C112,STPP!$C$6:$C$4207,0)),"Not Found"))</f>
        <v/>
      </c>
      <c r="E112" s="27" t="str" cm="1">
        <f t="array" ref="E112">IF(C112="","",IFERROR(INDEX(STPP!$E$6:$E$4207,MATCH(C112,STPP!$C$6:$C$4207,0)),"Not Found"))</f>
        <v/>
      </c>
      <c r="F112" s="27" t="str" cm="1">
        <f t="array" ref="F112">IF(C112="","",IFERROR(INDEX(STPP!$F$6:$F$4207,MATCH(C112,STPP!$C$6:$C$4207,0)),"Not Found"))</f>
        <v/>
      </c>
      <c r="G112" s="25" t="str">
        <f>IF(表1[[#This Row],[No Seri]]="","",表1[[#This Row],[Deskripsi Barang]]+表1[[#This Row],[Kuantitas]]-表1[[#This Row],[Satuan]])</f>
        <v/>
      </c>
      <c r="H112" s="28"/>
      <c r="I112" s="25" t="str">
        <f>IF(表1[[#This Row],[Tgl NPBG]]&gt;表1[[#This Row],[Peminta]],表1[[#This Row],[Tgl NPBG]]-表1[[#This Row],[Peminta]],"")</f>
        <v/>
      </c>
      <c r="J112" s="31"/>
    </row>
    <row r="113" s="12" customFormat="1" customHeight="1" spans="2:10">
      <c r="B113" s="25"/>
      <c r="C113" s="25"/>
      <c r="D113" s="26" t="str" cm="1">
        <f t="array" ref="D113">IF(C113="","",IFERROR(INDEX(STPP!$D$6:$D$4207,MATCH(C113,STPP!$C$6:$C$4207,0)),"Not Found"))</f>
        <v/>
      </c>
      <c r="E113" s="27" t="str" cm="1">
        <f t="array" ref="E113">IF(C113="","",IFERROR(INDEX(STPP!$E$6:$E$4207,MATCH(C113,STPP!$C$6:$C$4207,0)),"Not Found"))</f>
        <v/>
      </c>
      <c r="F113" s="27" t="str" cm="1">
        <f t="array" ref="F113">IF(C113="","",IFERROR(INDEX(STPP!$F$6:$F$4207,MATCH(C113,STPP!$C$6:$C$4207,0)),"Not Found"))</f>
        <v/>
      </c>
      <c r="G113" s="25" t="str">
        <f>IF(表1[[#This Row],[No Seri]]="","",表1[[#This Row],[Deskripsi Barang]]+表1[[#This Row],[Kuantitas]]-表1[[#This Row],[Satuan]])</f>
        <v/>
      </c>
      <c r="H113" s="28"/>
      <c r="I113" s="25" t="str">
        <f>IF(表1[[#This Row],[Tgl NPBG]]&gt;表1[[#This Row],[Peminta]],表1[[#This Row],[Tgl NPBG]]-表1[[#This Row],[Peminta]],"")</f>
        <v/>
      </c>
      <c r="J113" s="31"/>
    </row>
    <row r="114" s="12" customFormat="1" customHeight="1" spans="2:10">
      <c r="B114" s="25"/>
      <c r="C114" s="25"/>
      <c r="D114" s="26" t="str" cm="1">
        <f t="array" ref="D114">IF(C114="","",IFERROR(INDEX(STPP!$D$6:$D$4207,MATCH(C114,STPP!$C$6:$C$4207,0)),"Not Found"))</f>
        <v/>
      </c>
      <c r="E114" s="27" t="str" cm="1">
        <f t="array" ref="E114">IF(C114="","",IFERROR(INDEX(STPP!$E$6:$E$4207,MATCH(C114,STPP!$C$6:$C$4207,0)),"Not Found"))</f>
        <v/>
      </c>
      <c r="F114" s="27" t="str" cm="1">
        <f t="array" ref="F114">IF(C114="","",IFERROR(INDEX(STPP!$F$6:$F$4207,MATCH(C114,STPP!$C$6:$C$4207,0)),"Not Found"))</f>
        <v/>
      </c>
      <c r="G114" s="25" t="str">
        <f>IF(表1[[#This Row],[No Seri]]="","",表1[[#This Row],[Deskripsi Barang]]+表1[[#This Row],[Kuantitas]]-表1[[#This Row],[Satuan]])</f>
        <v/>
      </c>
      <c r="H114" s="28"/>
      <c r="I114" s="25" t="str">
        <f>IF(表1[[#This Row],[Tgl NPBG]]&gt;表1[[#This Row],[Peminta]],表1[[#This Row],[Tgl NPBG]]-表1[[#This Row],[Peminta]],"")</f>
        <v/>
      </c>
      <c r="J114" s="31"/>
    </row>
    <row r="115" s="12" customFormat="1" customHeight="1" spans="2:10">
      <c r="B115" s="25"/>
      <c r="C115" s="25"/>
      <c r="D115" s="26" t="str" cm="1">
        <f t="array" ref="D115">IF(C115="","",IFERROR(INDEX(STPP!$D$6:$D$4207,MATCH(C115,STPP!$C$6:$C$4207,0)),"Not Found"))</f>
        <v/>
      </c>
      <c r="E115" s="27" t="str" cm="1">
        <f t="array" ref="E115">IF(C115="","",IFERROR(INDEX(STPP!$E$6:$E$4207,MATCH(C115,STPP!$C$6:$C$4207,0)),"Not Found"))</f>
        <v/>
      </c>
      <c r="F115" s="27" t="str" cm="1">
        <f t="array" ref="F115">IF(C115="","",IFERROR(INDEX(STPP!$F$6:$F$4207,MATCH(C115,STPP!$C$6:$C$4207,0)),"Not Found"))</f>
        <v/>
      </c>
      <c r="G115" s="25" t="str">
        <f>IF(表1[[#This Row],[No Seri]]="","",表1[[#This Row],[Deskripsi Barang]]+表1[[#This Row],[Kuantitas]]-表1[[#This Row],[Satuan]])</f>
        <v/>
      </c>
      <c r="H115" s="28"/>
      <c r="I115" s="25" t="str">
        <f>IF(表1[[#This Row],[Tgl NPBG]]&gt;表1[[#This Row],[Peminta]],表1[[#This Row],[Tgl NPBG]]-表1[[#This Row],[Peminta]],"")</f>
        <v/>
      </c>
      <c r="J115" s="31"/>
    </row>
    <row r="116" s="12" customFormat="1" customHeight="1" spans="2:10">
      <c r="B116" s="25"/>
      <c r="C116" s="25"/>
      <c r="D116" s="26" t="str" cm="1">
        <f t="array" ref="D116">IF(C116="","",IFERROR(INDEX(STPP!$D$6:$D$4207,MATCH(C116,STPP!$C$6:$C$4207,0)),"Not Found"))</f>
        <v/>
      </c>
      <c r="E116" s="27" t="str" cm="1">
        <f t="array" ref="E116">IF(C116="","",IFERROR(INDEX(STPP!$E$6:$E$4207,MATCH(C116,STPP!$C$6:$C$4207,0)),"Not Found"))</f>
        <v/>
      </c>
      <c r="F116" s="27" t="str" cm="1">
        <f t="array" ref="F116">IF(C116="","",IFERROR(INDEX(STPP!$F$6:$F$4207,MATCH(C116,STPP!$C$6:$C$4207,0)),"Not Found"))</f>
        <v/>
      </c>
      <c r="G116" s="25" t="str">
        <f>IF(表1[[#This Row],[No Seri]]="","",表1[[#This Row],[Deskripsi Barang]]+表1[[#This Row],[Kuantitas]]-表1[[#This Row],[Satuan]])</f>
        <v/>
      </c>
      <c r="H116" s="28"/>
      <c r="I116" s="25" t="str">
        <f>IF(表1[[#This Row],[Tgl NPBG]]&gt;表1[[#This Row],[Peminta]],表1[[#This Row],[Tgl NPBG]]-表1[[#This Row],[Peminta]],"")</f>
        <v/>
      </c>
      <c r="J116" s="31"/>
    </row>
    <row r="117" s="12" customFormat="1" customHeight="1" spans="2:10">
      <c r="B117" s="25"/>
      <c r="C117" s="25"/>
      <c r="D117" s="26" t="str" cm="1">
        <f t="array" ref="D117">IF(C117="","",IFERROR(INDEX(STPP!$D$6:$D$4207,MATCH(C117,STPP!$C$6:$C$4207,0)),"Not Found"))</f>
        <v/>
      </c>
      <c r="E117" s="27" t="str" cm="1">
        <f t="array" ref="E117">IF(C117="","",IFERROR(INDEX(STPP!$E$6:$E$4207,MATCH(C117,STPP!$C$6:$C$4207,0)),"Not Found"))</f>
        <v/>
      </c>
      <c r="F117" s="27" t="str" cm="1">
        <f t="array" ref="F117">IF(C117="","",IFERROR(INDEX(STPP!$F$6:$F$4207,MATCH(C117,STPP!$C$6:$C$4207,0)),"Not Found"))</f>
        <v/>
      </c>
      <c r="G117" s="25" t="str">
        <f>IF(表1[[#This Row],[No Seri]]="","",表1[[#This Row],[Deskripsi Barang]]+表1[[#This Row],[Kuantitas]]-表1[[#This Row],[Satuan]])</f>
        <v/>
      </c>
      <c r="H117" s="28"/>
      <c r="I117" s="25" t="str">
        <f>IF(表1[[#This Row],[Tgl NPBG]]&gt;表1[[#This Row],[Peminta]],表1[[#This Row],[Tgl NPBG]]-表1[[#This Row],[Peminta]],"")</f>
        <v/>
      </c>
      <c r="J117" s="31"/>
    </row>
    <row r="118" s="12" customFormat="1" customHeight="1" spans="2:10">
      <c r="B118" s="25"/>
      <c r="C118" s="25"/>
      <c r="D118" s="26" t="str" cm="1">
        <f t="array" ref="D118">IF(C118="","",IFERROR(INDEX(STPP!$D$6:$D$4207,MATCH(C118,STPP!$C$6:$C$4207,0)),"Not Found"))</f>
        <v/>
      </c>
      <c r="E118" s="27" t="str" cm="1">
        <f t="array" ref="E118">IF(C118="","",IFERROR(INDEX(STPP!$E$6:$E$4207,MATCH(C118,STPP!$C$6:$C$4207,0)),"Not Found"))</f>
        <v/>
      </c>
      <c r="F118" s="27" t="str" cm="1">
        <f t="array" ref="F118">IF(C118="","",IFERROR(INDEX(STPP!$F$6:$F$4207,MATCH(C118,STPP!$C$6:$C$4207,0)),"Not Found"))</f>
        <v/>
      </c>
      <c r="G118" s="25" t="str">
        <f>IF(表1[[#This Row],[No Seri]]="","",表1[[#This Row],[Deskripsi Barang]]+表1[[#This Row],[Kuantitas]]-表1[[#This Row],[Satuan]])</f>
        <v/>
      </c>
      <c r="H118" s="28"/>
      <c r="I118" s="25" t="str">
        <f>IF(表1[[#This Row],[Tgl NPBG]]&gt;表1[[#This Row],[Peminta]],表1[[#This Row],[Tgl NPBG]]-表1[[#This Row],[Peminta]],"")</f>
        <v/>
      </c>
      <c r="J118" s="31"/>
    </row>
    <row r="119" s="12" customFormat="1" customHeight="1" spans="2:10">
      <c r="B119" s="25"/>
      <c r="C119" s="25"/>
      <c r="D119" s="26" t="str" cm="1">
        <f t="array" ref="D119">IF(C119="","",IFERROR(INDEX(STPP!$D$6:$D$4207,MATCH(C119,STPP!$C$6:$C$4207,0)),"Not Found"))</f>
        <v/>
      </c>
      <c r="E119" s="27" t="str" cm="1">
        <f t="array" ref="E119">IF(C119="","",IFERROR(INDEX(STPP!$E$6:$E$4207,MATCH(C119,STPP!$C$6:$C$4207,0)),"Not Found"))</f>
        <v/>
      </c>
      <c r="F119" s="27" t="str" cm="1">
        <f t="array" ref="F119">IF(C119="","",IFERROR(INDEX(STPP!$F$6:$F$4207,MATCH(C119,STPP!$C$6:$C$4207,0)),"Not Found"))</f>
        <v/>
      </c>
      <c r="G119" s="25" t="str">
        <f>IF(表1[[#This Row],[No Seri]]="","",表1[[#This Row],[Deskripsi Barang]]+表1[[#This Row],[Kuantitas]]-表1[[#This Row],[Satuan]])</f>
        <v/>
      </c>
      <c r="H119" s="28"/>
      <c r="I119" s="25" t="str">
        <f>IF(表1[[#This Row],[Tgl NPBG]]&gt;表1[[#This Row],[Peminta]],表1[[#This Row],[Tgl NPBG]]-表1[[#This Row],[Peminta]],"")</f>
        <v/>
      </c>
      <c r="J119" s="31"/>
    </row>
    <row r="120" s="12" customFormat="1" customHeight="1" spans="2:10">
      <c r="B120" s="25"/>
      <c r="C120" s="25"/>
      <c r="D120" s="26" t="str" cm="1">
        <f t="array" ref="D120">IF(C120="","",IFERROR(INDEX(STPP!$D$6:$D$4207,MATCH(C120,STPP!$C$6:$C$4207,0)),"Not Found"))</f>
        <v/>
      </c>
      <c r="E120" s="27" t="str" cm="1">
        <f t="array" ref="E120">IF(C120="","",IFERROR(INDEX(STPP!$E$6:$E$4207,MATCH(C120,STPP!$C$6:$C$4207,0)),"Not Found"))</f>
        <v/>
      </c>
      <c r="F120" s="27" t="str" cm="1">
        <f t="array" ref="F120">IF(C120="","",IFERROR(INDEX(STPP!$F$6:$F$4207,MATCH(C120,STPP!$C$6:$C$4207,0)),"Not Found"))</f>
        <v/>
      </c>
      <c r="G120" s="25" t="str">
        <f>IF(表1[[#This Row],[No Seri]]="","",表1[[#This Row],[Deskripsi Barang]]+表1[[#This Row],[Kuantitas]]-表1[[#This Row],[Satuan]])</f>
        <v/>
      </c>
      <c r="H120" s="28"/>
      <c r="I120" s="25" t="str">
        <f>IF(表1[[#This Row],[Tgl NPBG]]&gt;表1[[#This Row],[Peminta]],表1[[#This Row],[Tgl NPBG]]-表1[[#This Row],[Peminta]],"")</f>
        <v/>
      </c>
      <c r="J120" s="31"/>
    </row>
    <row r="121" s="12" customFormat="1" customHeight="1" spans="2:10">
      <c r="B121" s="25"/>
      <c r="C121" s="25"/>
      <c r="D121" s="26" t="str" cm="1">
        <f t="array" ref="D121">IF(C121="","",IFERROR(INDEX(STPP!$D$6:$D$4207,MATCH(C121,STPP!$C$6:$C$4207,0)),"Not Found"))</f>
        <v/>
      </c>
      <c r="E121" s="27" t="str" cm="1">
        <f t="array" ref="E121">IF(C121="","",IFERROR(INDEX(STPP!$E$6:$E$4207,MATCH(C121,STPP!$C$6:$C$4207,0)),"Not Found"))</f>
        <v/>
      </c>
      <c r="F121" s="27" t="str" cm="1">
        <f t="array" ref="F121">IF(C121="","",IFERROR(INDEX(STPP!$F$6:$F$4207,MATCH(C121,STPP!$C$6:$C$4207,0)),"Not Found"))</f>
        <v/>
      </c>
      <c r="G121" s="25" t="str">
        <f>IF(表1[[#This Row],[No Seri]]="","",表1[[#This Row],[Deskripsi Barang]]+表1[[#This Row],[Kuantitas]]-表1[[#This Row],[Satuan]])</f>
        <v/>
      </c>
      <c r="H121" s="28"/>
      <c r="I121" s="25" t="str">
        <f>IF(表1[[#This Row],[Tgl NPBG]]&gt;表1[[#This Row],[Peminta]],表1[[#This Row],[Tgl NPBG]]-表1[[#This Row],[Peminta]],"")</f>
        <v/>
      </c>
      <c r="J121" s="31"/>
    </row>
    <row r="122" s="12" customFormat="1" customHeight="1" spans="2:10">
      <c r="B122" s="25"/>
      <c r="C122" s="25"/>
      <c r="D122" s="26" t="str" cm="1">
        <f t="array" ref="D122">IF(C122="","",IFERROR(INDEX(STPP!$D$6:$D$4207,MATCH(C122,STPP!$C$6:$C$4207,0)),"Not Found"))</f>
        <v/>
      </c>
      <c r="E122" s="27" t="str" cm="1">
        <f t="array" ref="E122">IF(C122="","",IFERROR(INDEX(STPP!$E$6:$E$4207,MATCH(C122,STPP!$C$6:$C$4207,0)),"Not Found"))</f>
        <v/>
      </c>
      <c r="F122" s="27" t="str" cm="1">
        <f t="array" ref="F122">IF(C122="","",IFERROR(INDEX(STPP!$F$6:$F$4207,MATCH(C122,STPP!$C$6:$C$4207,0)),"Not Found"))</f>
        <v/>
      </c>
      <c r="G122" s="25" t="str">
        <f>IF(表1[[#This Row],[No Seri]]="","",表1[[#This Row],[Deskripsi Barang]]+表1[[#This Row],[Kuantitas]]-表1[[#This Row],[Satuan]])</f>
        <v/>
      </c>
      <c r="H122" s="28"/>
      <c r="I122" s="25" t="str">
        <f>IF(表1[[#This Row],[Tgl NPBG]]&gt;表1[[#This Row],[Peminta]],表1[[#This Row],[Tgl NPBG]]-表1[[#This Row],[Peminta]],"")</f>
        <v/>
      </c>
      <c r="J122" s="31"/>
    </row>
    <row r="123" s="12" customFormat="1" customHeight="1" spans="2:10">
      <c r="B123" s="25"/>
      <c r="C123" s="25"/>
      <c r="D123" s="26" t="str" cm="1">
        <f t="array" ref="D123">IF(C123="","",IFERROR(INDEX(STPP!$D$6:$D$4207,MATCH(C123,STPP!$C$6:$C$4207,0)),"Not Found"))</f>
        <v/>
      </c>
      <c r="E123" s="27" t="str" cm="1">
        <f t="array" ref="E123">IF(C123="","",IFERROR(INDEX(STPP!$E$6:$E$4207,MATCH(C123,STPP!$C$6:$C$4207,0)),"Not Found"))</f>
        <v/>
      </c>
      <c r="F123" s="27" t="str" cm="1">
        <f t="array" ref="F123">IF(C123="","",IFERROR(INDEX(STPP!$F$6:$F$4207,MATCH(C123,STPP!$C$6:$C$4207,0)),"Not Found"))</f>
        <v/>
      </c>
      <c r="G123" s="25" t="str">
        <f>IF(表1[[#This Row],[No Seri]]="","",表1[[#This Row],[Deskripsi Barang]]+表1[[#This Row],[Kuantitas]]-表1[[#This Row],[Satuan]])</f>
        <v/>
      </c>
      <c r="H123" s="28"/>
      <c r="I123" s="25" t="str">
        <f>IF(表1[[#This Row],[Tgl NPBG]]&gt;表1[[#This Row],[Peminta]],表1[[#This Row],[Tgl NPBG]]-表1[[#This Row],[Peminta]],"")</f>
        <v/>
      </c>
      <c r="J123" s="31"/>
    </row>
    <row r="124" s="12" customFormat="1" customHeight="1" spans="2:10">
      <c r="B124" s="25"/>
      <c r="C124" s="25"/>
      <c r="D124" s="26" t="str" cm="1">
        <f t="array" ref="D124">IF(C124="","",IFERROR(INDEX(STPP!$D$6:$D$4207,MATCH(C124,STPP!$C$6:$C$4207,0)),"Not Found"))</f>
        <v/>
      </c>
      <c r="E124" s="27" t="str" cm="1">
        <f t="array" ref="E124">IF(C124="","",IFERROR(INDEX(STPP!$E$6:$E$4207,MATCH(C124,STPP!$C$6:$C$4207,0)),"Not Found"))</f>
        <v/>
      </c>
      <c r="F124" s="27" t="str" cm="1">
        <f t="array" ref="F124">IF(C124="","",IFERROR(INDEX(STPP!$F$6:$F$4207,MATCH(C124,STPP!$C$6:$C$4207,0)),"Not Found"))</f>
        <v/>
      </c>
      <c r="G124" s="25" t="str">
        <f>IF(表1[[#This Row],[No Seri]]="","",表1[[#This Row],[Deskripsi Barang]]+表1[[#This Row],[Kuantitas]]-表1[[#This Row],[Satuan]])</f>
        <v/>
      </c>
      <c r="H124" s="28"/>
      <c r="I124" s="25" t="str">
        <f>IF(表1[[#This Row],[Tgl NPBG]]&gt;表1[[#This Row],[Peminta]],表1[[#This Row],[Tgl NPBG]]-表1[[#This Row],[Peminta]],"")</f>
        <v/>
      </c>
      <c r="J124" s="31"/>
    </row>
    <row r="125" s="12" customFormat="1" customHeight="1" spans="2:10">
      <c r="B125" s="25"/>
      <c r="C125" s="25"/>
      <c r="D125" s="26" t="str" cm="1">
        <f t="array" ref="D125">IF(C125="","",IFERROR(INDEX(STPP!$D$6:$D$4207,MATCH(C125,STPP!$C$6:$C$4207,0)),"Not Found"))</f>
        <v/>
      </c>
      <c r="E125" s="27" t="str" cm="1">
        <f t="array" ref="E125">IF(C125="","",IFERROR(INDEX(STPP!$E$6:$E$4207,MATCH(C125,STPP!$C$6:$C$4207,0)),"Not Found"))</f>
        <v/>
      </c>
      <c r="F125" s="27" t="str" cm="1">
        <f t="array" ref="F125">IF(C125="","",IFERROR(INDEX(STPP!$F$6:$F$4207,MATCH(C125,STPP!$C$6:$C$4207,0)),"Not Found"))</f>
        <v/>
      </c>
      <c r="G125" s="25" t="str">
        <f>IF(表1[[#This Row],[No Seri]]="","",表1[[#This Row],[Deskripsi Barang]]+表1[[#This Row],[Kuantitas]]-表1[[#This Row],[Satuan]])</f>
        <v/>
      </c>
      <c r="H125" s="28"/>
      <c r="I125" s="25" t="str">
        <f>IF(表1[[#This Row],[Tgl NPBG]]&gt;表1[[#This Row],[Peminta]],表1[[#This Row],[Tgl NPBG]]-表1[[#This Row],[Peminta]],"")</f>
        <v/>
      </c>
      <c r="J125" s="31"/>
    </row>
    <row r="126" s="12" customFormat="1" customHeight="1" spans="2:10">
      <c r="B126" s="25"/>
      <c r="C126" s="25"/>
      <c r="D126" s="26" t="str" cm="1">
        <f t="array" ref="D126">IF(C126="","",IFERROR(INDEX(STPP!$D$6:$D$4207,MATCH(C126,STPP!$C$6:$C$4207,0)),"Not Found"))</f>
        <v/>
      </c>
      <c r="E126" s="27" t="str" cm="1">
        <f t="array" ref="E126">IF(C126="","",IFERROR(INDEX(STPP!$E$6:$E$4207,MATCH(C126,STPP!$C$6:$C$4207,0)),"Not Found"))</f>
        <v/>
      </c>
      <c r="F126" s="27" t="str" cm="1">
        <f t="array" ref="F126">IF(C126="","",IFERROR(INDEX(STPP!$F$6:$F$4207,MATCH(C126,STPP!$C$6:$C$4207,0)),"Not Found"))</f>
        <v/>
      </c>
      <c r="G126" s="25" t="str">
        <f>IF(表1[[#This Row],[No Seri]]="","",表1[[#This Row],[Deskripsi Barang]]+表1[[#This Row],[Kuantitas]]-表1[[#This Row],[Satuan]])</f>
        <v/>
      </c>
      <c r="H126" s="28"/>
      <c r="I126" s="25" t="str">
        <f>IF(表1[[#This Row],[Tgl NPBG]]&gt;表1[[#This Row],[Peminta]],表1[[#This Row],[Tgl NPBG]]-表1[[#This Row],[Peminta]],"")</f>
        <v/>
      </c>
      <c r="J126" s="31"/>
    </row>
    <row r="127" s="12" customFormat="1" customHeight="1" spans="2:10">
      <c r="B127" s="25"/>
      <c r="C127" s="25"/>
      <c r="D127" s="26" t="str" cm="1">
        <f t="array" ref="D127">IF(C127="","",IFERROR(INDEX(STPP!$D$6:$D$4207,MATCH(C127,STPP!$C$6:$C$4207,0)),"Not Found"))</f>
        <v/>
      </c>
      <c r="E127" s="27" t="str" cm="1">
        <f t="array" ref="E127">IF(C127="","",IFERROR(INDEX(STPP!$E$6:$E$4207,MATCH(C127,STPP!$C$6:$C$4207,0)),"Not Found"))</f>
        <v/>
      </c>
      <c r="F127" s="27" t="str" cm="1">
        <f t="array" ref="F127">IF(C127="","",IFERROR(INDEX(STPP!$F$6:$F$4207,MATCH(C127,STPP!$C$6:$C$4207,0)),"Not Found"))</f>
        <v/>
      </c>
      <c r="G127" s="25" t="str">
        <f>IF(表1[[#This Row],[No Seri]]="","",表1[[#This Row],[Deskripsi Barang]]+表1[[#This Row],[Kuantitas]]-表1[[#This Row],[Satuan]])</f>
        <v/>
      </c>
      <c r="H127" s="28"/>
      <c r="I127" s="25" t="str">
        <f>IF(表1[[#This Row],[Tgl NPBG]]&gt;表1[[#This Row],[Peminta]],表1[[#This Row],[Tgl NPBG]]-表1[[#This Row],[Peminta]],"")</f>
        <v/>
      </c>
      <c r="J127" s="31"/>
    </row>
    <row r="128" s="12" customFormat="1" customHeight="1" spans="2:10">
      <c r="B128" s="25"/>
      <c r="C128" s="25"/>
      <c r="D128" s="26" t="str" cm="1">
        <f t="array" ref="D128">IF(C128="","",IFERROR(INDEX(STPP!$D$6:$D$4207,MATCH(C128,STPP!$C$6:$C$4207,0)),"Not Found"))</f>
        <v/>
      </c>
      <c r="E128" s="27" t="str" cm="1">
        <f t="array" ref="E128">IF(C128="","",IFERROR(INDEX(STPP!$E$6:$E$4207,MATCH(C128,STPP!$C$6:$C$4207,0)),"Not Found"))</f>
        <v/>
      </c>
      <c r="F128" s="27" t="str" cm="1">
        <f t="array" ref="F128">IF(C128="","",IFERROR(INDEX(STPP!$F$6:$F$4207,MATCH(C128,STPP!$C$6:$C$4207,0)),"Not Found"))</f>
        <v/>
      </c>
      <c r="G128" s="25" t="str">
        <f>IF(表1[[#This Row],[No Seri]]="","",表1[[#This Row],[Deskripsi Barang]]+表1[[#This Row],[Kuantitas]]-表1[[#This Row],[Satuan]])</f>
        <v/>
      </c>
      <c r="H128" s="28"/>
      <c r="I128" s="25" t="str">
        <f>IF(表1[[#This Row],[Tgl NPBG]]&gt;表1[[#This Row],[Peminta]],表1[[#This Row],[Tgl NPBG]]-表1[[#This Row],[Peminta]],"")</f>
        <v/>
      </c>
      <c r="J128" s="31"/>
    </row>
    <row r="129" s="12" customFormat="1" customHeight="1" spans="2:10">
      <c r="B129" s="25"/>
      <c r="C129" s="25"/>
      <c r="D129" s="26" t="str" cm="1">
        <f t="array" ref="D129">IF(C129="","",IFERROR(INDEX(STPP!$D$6:$D$4207,MATCH(C129,STPP!$C$6:$C$4207,0)),"Not Found"))</f>
        <v/>
      </c>
      <c r="E129" s="27" t="str" cm="1">
        <f t="array" ref="E129">IF(C129="","",IFERROR(INDEX(STPP!$E$6:$E$4207,MATCH(C129,STPP!$C$6:$C$4207,0)),"Not Found"))</f>
        <v/>
      </c>
      <c r="F129" s="27" t="str" cm="1">
        <f t="array" ref="F129">IF(C129="","",IFERROR(INDEX(STPP!$F$6:$F$4207,MATCH(C129,STPP!$C$6:$C$4207,0)),"Not Found"))</f>
        <v/>
      </c>
      <c r="G129" s="25" t="str">
        <f>IF(表1[[#This Row],[No Seri]]="","",表1[[#This Row],[Deskripsi Barang]]+表1[[#This Row],[Kuantitas]]-表1[[#This Row],[Satuan]])</f>
        <v/>
      </c>
      <c r="H129" s="28"/>
      <c r="I129" s="25" t="str">
        <f>IF(表1[[#This Row],[Tgl NPBG]]&gt;表1[[#This Row],[Peminta]],表1[[#This Row],[Tgl NPBG]]-表1[[#This Row],[Peminta]],"")</f>
        <v/>
      </c>
      <c r="J129" s="31"/>
    </row>
    <row r="130" s="12" customFormat="1" customHeight="1" spans="2:10">
      <c r="B130" s="25"/>
      <c r="C130" s="25"/>
      <c r="D130" s="26" t="str" cm="1">
        <f t="array" ref="D130">IF(C130="","",IFERROR(INDEX(STPP!$D$6:$D$4207,MATCH(C130,STPP!$C$6:$C$4207,0)),"Not Found"))</f>
        <v/>
      </c>
      <c r="E130" s="27" t="str" cm="1">
        <f t="array" ref="E130">IF(C130="","",IFERROR(INDEX(STPP!$E$6:$E$4207,MATCH(C130,STPP!$C$6:$C$4207,0)),"Not Found"))</f>
        <v/>
      </c>
      <c r="F130" s="27" t="str" cm="1">
        <f t="array" ref="F130">IF(C130="","",IFERROR(INDEX(STPP!$F$6:$F$4207,MATCH(C130,STPP!$C$6:$C$4207,0)),"Not Found"))</f>
        <v/>
      </c>
      <c r="G130" s="25" t="str">
        <f>IF(表1[[#This Row],[No Seri]]="","",表1[[#This Row],[Deskripsi Barang]]+表1[[#This Row],[Kuantitas]]-表1[[#This Row],[Satuan]])</f>
        <v/>
      </c>
      <c r="H130" s="28"/>
      <c r="I130" s="25" t="str">
        <f>IF(表1[[#This Row],[Tgl NPBG]]&gt;表1[[#This Row],[Peminta]],表1[[#This Row],[Tgl NPBG]]-表1[[#This Row],[Peminta]],"")</f>
        <v/>
      </c>
      <c r="J130" s="31"/>
    </row>
    <row r="131" s="12" customFormat="1" customHeight="1" spans="2:10">
      <c r="B131" s="25"/>
      <c r="C131" s="25"/>
      <c r="D131" s="26" t="str" cm="1">
        <f t="array" ref="D131">IF(C131="","",IFERROR(INDEX(STPP!$D$6:$D$4207,MATCH(C131,STPP!$C$6:$C$4207,0)),"Not Found"))</f>
        <v/>
      </c>
      <c r="E131" s="27" t="str" cm="1">
        <f t="array" ref="E131">IF(C131="","",IFERROR(INDEX(STPP!$E$6:$E$4207,MATCH(C131,STPP!$C$6:$C$4207,0)),"Not Found"))</f>
        <v/>
      </c>
      <c r="F131" s="27" t="str" cm="1">
        <f t="array" ref="F131">IF(C131="","",IFERROR(INDEX(STPP!$F$6:$F$4207,MATCH(C131,STPP!$C$6:$C$4207,0)),"Not Found"))</f>
        <v/>
      </c>
      <c r="G131" s="25" t="str">
        <f>IF(表1[[#This Row],[No Seri]]="","",表1[[#This Row],[Deskripsi Barang]]+表1[[#This Row],[Kuantitas]]-表1[[#This Row],[Satuan]])</f>
        <v/>
      </c>
      <c r="H131" s="28"/>
      <c r="I131" s="25" t="str">
        <f>IF(表1[[#This Row],[Tgl NPBG]]&gt;表1[[#This Row],[Peminta]],表1[[#This Row],[Tgl NPBG]]-表1[[#This Row],[Peminta]],"")</f>
        <v/>
      </c>
      <c r="J131" s="31"/>
    </row>
    <row r="132" s="12" customFormat="1" customHeight="1" spans="2:10">
      <c r="B132" s="25"/>
      <c r="C132" s="25"/>
      <c r="D132" s="26" t="str" cm="1">
        <f t="array" ref="D132">IF(C132="","",IFERROR(INDEX(STPP!$D$6:$D$4207,MATCH(C132,STPP!$C$6:$C$4207,0)),"Not Found"))</f>
        <v/>
      </c>
      <c r="E132" s="27" t="str" cm="1">
        <f t="array" ref="E132">IF(C132="","",IFERROR(INDEX(STPP!$E$6:$E$4207,MATCH(C132,STPP!$C$6:$C$4207,0)),"Not Found"))</f>
        <v/>
      </c>
      <c r="F132" s="27" t="str" cm="1">
        <f t="array" ref="F132">IF(C132="","",IFERROR(INDEX(STPP!$F$6:$F$4207,MATCH(C132,STPP!$C$6:$C$4207,0)),"Not Found"))</f>
        <v/>
      </c>
      <c r="G132" s="25" t="str">
        <f>IF(表1[[#This Row],[No Seri]]="","",表1[[#This Row],[Deskripsi Barang]]+表1[[#This Row],[Kuantitas]]-表1[[#This Row],[Satuan]])</f>
        <v/>
      </c>
      <c r="H132" s="28"/>
      <c r="I132" s="25" t="str">
        <f>IF(表1[[#This Row],[Tgl NPBG]]&gt;表1[[#This Row],[Peminta]],表1[[#This Row],[Tgl NPBG]]-表1[[#This Row],[Peminta]],"")</f>
        <v/>
      </c>
      <c r="J132" s="31"/>
    </row>
    <row r="133" s="12" customFormat="1" customHeight="1" spans="2:10">
      <c r="B133" s="25"/>
      <c r="C133" s="25"/>
      <c r="D133" s="26" t="str" cm="1">
        <f t="array" ref="D133">IF(C133="","",IFERROR(INDEX(STPP!$D$6:$D$4207,MATCH(C133,STPP!$C$6:$C$4207,0)),"Not Found"))</f>
        <v/>
      </c>
      <c r="E133" s="27" t="str" cm="1">
        <f t="array" ref="E133">IF(C133="","",IFERROR(INDEX(STPP!$E$6:$E$4207,MATCH(C133,STPP!$C$6:$C$4207,0)),"Not Found"))</f>
        <v/>
      </c>
      <c r="F133" s="27" t="str" cm="1">
        <f t="array" ref="F133">IF(C133="","",IFERROR(INDEX(STPP!$F$6:$F$4207,MATCH(C133,STPP!$C$6:$C$4207,0)),"Not Found"))</f>
        <v/>
      </c>
      <c r="G133" s="25" t="str">
        <f>IF(表1[[#This Row],[No Seri]]="","",表1[[#This Row],[Deskripsi Barang]]+表1[[#This Row],[Kuantitas]]-表1[[#This Row],[Satuan]])</f>
        <v/>
      </c>
      <c r="H133" s="28"/>
      <c r="I133" s="25" t="str">
        <f>IF(表1[[#This Row],[Tgl NPBG]]&gt;表1[[#This Row],[Peminta]],表1[[#This Row],[Tgl NPBG]]-表1[[#This Row],[Peminta]],"")</f>
        <v/>
      </c>
      <c r="J133" s="31"/>
    </row>
    <row r="134" s="12" customFormat="1" customHeight="1" spans="2:10">
      <c r="B134" s="25"/>
      <c r="C134" s="25"/>
      <c r="D134" s="26" t="str" cm="1">
        <f t="array" ref="D134">IF(C134="","",IFERROR(INDEX(STPP!$D$6:$D$4207,MATCH(C134,STPP!$C$6:$C$4207,0)),"Not Found"))</f>
        <v/>
      </c>
      <c r="E134" s="27" t="str" cm="1">
        <f t="array" ref="E134">IF(C134="","",IFERROR(INDEX(STPP!$E$6:$E$4207,MATCH(C134,STPP!$C$6:$C$4207,0)),"Not Found"))</f>
        <v/>
      </c>
      <c r="F134" s="27" t="str" cm="1">
        <f t="array" ref="F134">IF(C134="","",IFERROR(INDEX(STPP!$F$6:$F$4207,MATCH(C134,STPP!$C$6:$C$4207,0)),"Not Found"))</f>
        <v/>
      </c>
      <c r="G134" s="25" t="str">
        <f>IF(表1[[#This Row],[No Seri]]="","",表1[[#This Row],[Deskripsi Barang]]+表1[[#This Row],[Kuantitas]]-表1[[#This Row],[Satuan]])</f>
        <v/>
      </c>
      <c r="H134" s="28"/>
      <c r="I134" s="25" t="str">
        <f>IF(表1[[#This Row],[Tgl NPBG]]&gt;表1[[#This Row],[Peminta]],表1[[#This Row],[Tgl NPBG]]-表1[[#This Row],[Peminta]],"")</f>
        <v/>
      </c>
      <c r="J134" s="31"/>
    </row>
    <row r="135" s="12" customFormat="1" customHeight="1" spans="2:10">
      <c r="B135" s="25"/>
      <c r="C135" s="25"/>
      <c r="D135" s="26" t="str" cm="1">
        <f t="array" ref="D135">IF(C135="","",IFERROR(INDEX(STPP!$D$6:$D$4207,MATCH(C135,STPP!$C$6:$C$4207,0)),"Not Found"))</f>
        <v/>
      </c>
      <c r="E135" s="27" t="str" cm="1">
        <f t="array" ref="E135">IF(C135="","",IFERROR(INDEX(STPP!$E$6:$E$4207,MATCH(C135,STPP!$C$6:$C$4207,0)),"Not Found"))</f>
        <v/>
      </c>
      <c r="F135" s="27" t="str" cm="1">
        <f t="array" ref="F135">IF(C135="","",IFERROR(INDEX(STPP!$F$6:$F$4207,MATCH(C135,STPP!$C$6:$C$4207,0)),"Not Found"))</f>
        <v/>
      </c>
      <c r="G135" s="25" t="str">
        <f>IF(表1[[#This Row],[No Seri]]="","",表1[[#This Row],[Deskripsi Barang]]+表1[[#This Row],[Kuantitas]]-表1[[#This Row],[Satuan]])</f>
        <v/>
      </c>
      <c r="H135" s="28"/>
      <c r="I135" s="25" t="str">
        <f>IF(表1[[#This Row],[Tgl NPBG]]&gt;表1[[#This Row],[Peminta]],表1[[#This Row],[Tgl NPBG]]-表1[[#This Row],[Peminta]],"")</f>
        <v/>
      </c>
      <c r="J135" s="31"/>
    </row>
    <row r="136" s="12" customFormat="1" customHeight="1" spans="2:10">
      <c r="B136" s="25"/>
      <c r="C136" s="25"/>
      <c r="D136" s="26" t="str" cm="1">
        <f t="array" ref="D136">IF(C136="","",IFERROR(INDEX(STPP!$D$6:$D$4207,MATCH(C136,STPP!$C$6:$C$4207,0)),"Not Found"))</f>
        <v/>
      </c>
      <c r="E136" s="27" t="str" cm="1">
        <f t="array" ref="E136">IF(C136="","",IFERROR(INDEX(STPP!$E$6:$E$4207,MATCH(C136,STPP!$C$6:$C$4207,0)),"Not Found"))</f>
        <v/>
      </c>
      <c r="F136" s="27" t="str" cm="1">
        <f t="array" ref="F136">IF(C136="","",IFERROR(INDEX(STPP!$F$6:$F$4207,MATCH(C136,STPP!$C$6:$C$4207,0)),"Not Found"))</f>
        <v/>
      </c>
      <c r="G136" s="25" t="str">
        <f>IF(表1[[#This Row],[No Seri]]="","",表1[[#This Row],[Deskripsi Barang]]+表1[[#This Row],[Kuantitas]]-表1[[#This Row],[Satuan]])</f>
        <v/>
      </c>
      <c r="H136" s="28"/>
      <c r="I136" s="25" t="str">
        <f>IF(表1[[#This Row],[Tgl NPBG]]&gt;表1[[#This Row],[Peminta]],表1[[#This Row],[Tgl NPBG]]-表1[[#This Row],[Peminta]],"")</f>
        <v/>
      </c>
      <c r="J136" s="31"/>
    </row>
    <row r="137" s="12" customFormat="1" customHeight="1" spans="2:10">
      <c r="B137" s="25"/>
      <c r="C137" s="25"/>
      <c r="D137" s="26" t="str" cm="1">
        <f t="array" ref="D137">IF(C137="","",IFERROR(INDEX(STPP!$D$6:$D$4207,MATCH(C137,STPP!$C$6:$C$4207,0)),"Not Found"))</f>
        <v/>
      </c>
      <c r="E137" s="27" t="str" cm="1">
        <f t="array" ref="E137">IF(C137="","",IFERROR(INDEX(STPP!$E$6:$E$4207,MATCH(C137,STPP!$C$6:$C$4207,0)),"Not Found"))</f>
        <v/>
      </c>
      <c r="F137" s="27" t="str" cm="1">
        <f t="array" ref="F137">IF(C137="","",IFERROR(INDEX(STPP!$F$6:$F$4207,MATCH(C137,STPP!$C$6:$C$4207,0)),"Not Found"))</f>
        <v/>
      </c>
      <c r="G137" s="25" t="str">
        <f>IF(表1[[#This Row],[No Seri]]="","",表1[[#This Row],[Deskripsi Barang]]+表1[[#This Row],[Kuantitas]]-表1[[#This Row],[Satuan]])</f>
        <v/>
      </c>
      <c r="H137" s="28"/>
      <c r="I137" s="25" t="str">
        <f>IF(表1[[#This Row],[Tgl NPBG]]&gt;表1[[#This Row],[Peminta]],表1[[#This Row],[Tgl NPBG]]-表1[[#This Row],[Peminta]],"")</f>
        <v/>
      </c>
      <c r="J137" s="31"/>
    </row>
    <row r="138" s="12" customFormat="1" customHeight="1" spans="2:10">
      <c r="B138" s="25"/>
      <c r="C138" s="25"/>
      <c r="D138" s="26" t="str" cm="1">
        <f t="array" ref="D138">IF(C138="","",IFERROR(INDEX(STPP!$D$6:$D$4207,MATCH(C138,STPP!$C$6:$C$4207,0)),"Not Found"))</f>
        <v/>
      </c>
      <c r="E138" s="27" t="str" cm="1">
        <f t="array" ref="E138">IF(C138="","",IFERROR(INDEX(STPP!$E$6:$E$4207,MATCH(C138,STPP!$C$6:$C$4207,0)),"Not Found"))</f>
        <v/>
      </c>
      <c r="F138" s="27" t="str" cm="1">
        <f t="array" ref="F138">IF(C138="","",IFERROR(INDEX(STPP!$F$6:$F$4207,MATCH(C138,STPP!$C$6:$C$4207,0)),"Not Found"))</f>
        <v/>
      </c>
      <c r="G138" s="25" t="str">
        <f>IF(表1[[#This Row],[No Seri]]="","",表1[[#This Row],[Deskripsi Barang]]+表1[[#This Row],[Kuantitas]]-表1[[#This Row],[Satuan]])</f>
        <v/>
      </c>
      <c r="H138" s="28"/>
      <c r="I138" s="25" t="str">
        <f>IF(表1[[#This Row],[Tgl NPBG]]&gt;表1[[#This Row],[Peminta]],表1[[#This Row],[Tgl NPBG]]-表1[[#This Row],[Peminta]],"")</f>
        <v/>
      </c>
      <c r="J138" s="31"/>
    </row>
    <row r="139" s="12" customFormat="1" customHeight="1" spans="2:10">
      <c r="B139" s="25"/>
      <c r="C139" s="25"/>
      <c r="D139" s="26" t="str" cm="1">
        <f t="array" ref="D139">IF(C139="","",IFERROR(INDEX(STPP!$D$6:$D$4207,MATCH(C139,STPP!$C$6:$C$4207,0)),"Not Found"))</f>
        <v/>
      </c>
      <c r="E139" s="27" t="str" cm="1">
        <f t="array" ref="E139">IF(C139="","",IFERROR(INDEX(STPP!$E$6:$E$4207,MATCH(C139,STPP!$C$6:$C$4207,0)),"Not Found"))</f>
        <v/>
      </c>
      <c r="F139" s="27" t="str" cm="1">
        <f t="array" ref="F139">IF(C139="","",IFERROR(INDEX(STPP!$F$6:$F$4207,MATCH(C139,STPP!$C$6:$C$4207,0)),"Not Found"))</f>
        <v/>
      </c>
      <c r="G139" s="25" t="str">
        <f>IF(表1[[#This Row],[No Seri]]="","",表1[[#This Row],[Deskripsi Barang]]+表1[[#This Row],[Kuantitas]]-表1[[#This Row],[Satuan]])</f>
        <v/>
      </c>
      <c r="H139" s="28"/>
      <c r="I139" s="25" t="str">
        <f>IF(表1[[#This Row],[Tgl NPBG]]&gt;表1[[#This Row],[Peminta]],表1[[#This Row],[Tgl NPBG]]-表1[[#This Row],[Peminta]],"")</f>
        <v/>
      </c>
      <c r="J139" s="31"/>
    </row>
    <row r="140" s="12" customFormat="1" customHeight="1" spans="2:10">
      <c r="B140" s="25"/>
      <c r="C140" s="25"/>
      <c r="D140" s="26" t="str" cm="1">
        <f t="array" ref="D140">IF(C140="","",IFERROR(INDEX(STPP!$D$6:$D$4207,MATCH(C140,STPP!$C$6:$C$4207,0)),"Not Found"))</f>
        <v/>
      </c>
      <c r="E140" s="27" t="str" cm="1">
        <f t="array" ref="E140">IF(C140="","",IFERROR(INDEX(STPP!$E$6:$E$4207,MATCH(C140,STPP!$C$6:$C$4207,0)),"Not Found"))</f>
        <v/>
      </c>
      <c r="F140" s="27" t="str" cm="1">
        <f t="array" ref="F140">IF(C140="","",IFERROR(INDEX(STPP!$F$6:$F$4207,MATCH(C140,STPP!$C$6:$C$4207,0)),"Not Found"))</f>
        <v/>
      </c>
      <c r="G140" s="25" t="str">
        <f>IF(表1[[#This Row],[No Seri]]="","",表1[[#This Row],[Deskripsi Barang]]+表1[[#This Row],[Kuantitas]]-表1[[#This Row],[Satuan]])</f>
        <v/>
      </c>
      <c r="H140" s="28"/>
      <c r="I140" s="25" t="str">
        <f>IF(表1[[#This Row],[Tgl NPBG]]&gt;表1[[#This Row],[Peminta]],表1[[#This Row],[Tgl NPBG]]-表1[[#This Row],[Peminta]],"")</f>
        <v/>
      </c>
      <c r="J140" s="31"/>
    </row>
    <row r="141" s="12" customFormat="1" customHeight="1" spans="2:10">
      <c r="B141" s="25"/>
      <c r="C141" s="25"/>
      <c r="D141" s="26" t="str" cm="1">
        <f t="array" ref="D141">IF(C141="","",IFERROR(INDEX(STPP!$D$6:$D$4207,MATCH(C141,STPP!$C$6:$C$4207,0)),"Not Found"))</f>
        <v/>
      </c>
      <c r="E141" s="27" t="str" cm="1">
        <f t="array" ref="E141">IF(C141="","",IFERROR(INDEX(STPP!$E$6:$E$4207,MATCH(C141,STPP!$C$6:$C$4207,0)),"Not Found"))</f>
        <v/>
      </c>
      <c r="F141" s="27" t="str" cm="1">
        <f t="array" ref="F141">IF(C141="","",IFERROR(INDEX(STPP!$F$6:$F$4207,MATCH(C141,STPP!$C$6:$C$4207,0)),"Not Found"))</f>
        <v/>
      </c>
      <c r="G141" s="25" t="str">
        <f>IF(表1[[#This Row],[No Seri]]="","",表1[[#This Row],[Deskripsi Barang]]+表1[[#This Row],[Kuantitas]]-表1[[#This Row],[Satuan]])</f>
        <v/>
      </c>
      <c r="H141" s="28"/>
      <c r="I141" s="25" t="str">
        <f>IF(表1[[#This Row],[Tgl NPBG]]&gt;表1[[#This Row],[Peminta]],表1[[#This Row],[Tgl NPBG]]-表1[[#This Row],[Peminta]],"")</f>
        <v/>
      </c>
      <c r="J141" s="31"/>
    </row>
    <row r="142" s="12" customFormat="1" customHeight="1" spans="2:10">
      <c r="B142" s="25"/>
      <c r="C142" s="25"/>
      <c r="D142" s="26" t="str" cm="1">
        <f t="array" ref="D142">IF(C142="","",IFERROR(INDEX(STPP!$D$6:$D$4207,MATCH(C142,STPP!$C$6:$C$4207,0)),"Not Found"))</f>
        <v/>
      </c>
      <c r="E142" s="27" t="str" cm="1">
        <f t="array" ref="E142">IF(C142="","",IFERROR(INDEX(STPP!$E$6:$E$4207,MATCH(C142,STPP!$C$6:$C$4207,0)),"Not Found"))</f>
        <v/>
      </c>
      <c r="F142" s="27" t="str" cm="1">
        <f t="array" ref="F142">IF(C142="","",IFERROR(INDEX(STPP!$F$6:$F$4207,MATCH(C142,STPP!$C$6:$C$4207,0)),"Not Found"))</f>
        <v/>
      </c>
      <c r="G142" s="25" t="str">
        <f>IF(表1[[#This Row],[No Seri]]="","",表1[[#This Row],[Deskripsi Barang]]+表1[[#This Row],[Kuantitas]]-表1[[#This Row],[Satuan]])</f>
        <v/>
      </c>
      <c r="H142" s="28"/>
      <c r="I142" s="25" t="str">
        <f>IF(表1[[#This Row],[Tgl NPBG]]&gt;表1[[#This Row],[Peminta]],表1[[#This Row],[Tgl NPBG]]-表1[[#This Row],[Peminta]],"")</f>
        <v/>
      </c>
      <c r="J142" s="31"/>
    </row>
    <row r="143" s="12" customFormat="1" customHeight="1" spans="2:10">
      <c r="B143" s="25"/>
      <c r="C143" s="25"/>
      <c r="D143" s="26" t="str" cm="1">
        <f t="array" ref="D143">IF(C143="","",IFERROR(INDEX(STPP!$D$6:$D$4207,MATCH(C143,STPP!$C$6:$C$4207,0)),"Not Found"))</f>
        <v/>
      </c>
      <c r="E143" s="27" t="str" cm="1">
        <f t="array" ref="E143">IF(C143="","",IFERROR(INDEX(STPP!$E$6:$E$4207,MATCH(C143,STPP!$C$6:$C$4207,0)),"Not Found"))</f>
        <v/>
      </c>
      <c r="F143" s="27" t="str" cm="1">
        <f t="array" ref="F143">IF(C143="","",IFERROR(INDEX(STPP!$F$6:$F$4207,MATCH(C143,STPP!$C$6:$C$4207,0)),"Not Found"))</f>
        <v/>
      </c>
      <c r="G143" s="25" t="str">
        <f>IF(表1[[#This Row],[No Seri]]="","",表1[[#This Row],[Deskripsi Barang]]+表1[[#This Row],[Kuantitas]]-表1[[#This Row],[Satuan]])</f>
        <v/>
      </c>
      <c r="H143" s="28"/>
      <c r="I143" s="25" t="str">
        <f>IF(表1[[#This Row],[Tgl NPBG]]&gt;表1[[#This Row],[Peminta]],表1[[#This Row],[Tgl NPBG]]-表1[[#This Row],[Peminta]],"")</f>
        <v/>
      </c>
      <c r="J143" s="31"/>
    </row>
    <row r="144" s="12" customFormat="1" customHeight="1" spans="2:10">
      <c r="B144" s="25"/>
      <c r="C144" s="25"/>
      <c r="D144" s="26" t="str" cm="1">
        <f t="array" ref="D144">IF(C144="","",IFERROR(INDEX(STPP!$D$6:$D$4207,MATCH(C144,STPP!$C$6:$C$4207,0)),"Not Found"))</f>
        <v/>
      </c>
      <c r="E144" s="27" t="str" cm="1">
        <f t="array" ref="E144">IF(C144="","",IFERROR(INDEX(STPP!$E$6:$E$4207,MATCH(C144,STPP!$C$6:$C$4207,0)),"Not Found"))</f>
        <v/>
      </c>
      <c r="F144" s="27" t="str" cm="1">
        <f t="array" ref="F144">IF(C144="","",IFERROR(INDEX(STPP!$F$6:$F$4207,MATCH(C144,STPP!$C$6:$C$4207,0)),"Not Found"))</f>
        <v/>
      </c>
      <c r="G144" s="25" t="str">
        <f>IF(表1[[#This Row],[No Seri]]="","",表1[[#This Row],[Deskripsi Barang]]+表1[[#This Row],[Kuantitas]]-表1[[#This Row],[Satuan]])</f>
        <v/>
      </c>
      <c r="H144" s="28"/>
      <c r="I144" s="25" t="str">
        <f>IF(表1[[#This Row],[Tgl NPBG]]&gt;表1[[#This Row],[Peminta]],表1[[#This Row],[Tgl NPBG]]-表1[[#This Row],[Peminta]],"")</f>
        <v/>
      </c>
      <c r="J144" s="31"/>
    </row>
    <row r="145" s="12" customFormat="1" customHeight="1" spans="2:10">
      <c r="B145" s="25"/>
      <c r="C145" s="25"/>
      <c r="D145" s="26" t="str" cm="1">
        <f t="array" ref="D145">IF(C145="","",IFERROR(INDEX(STPP!$D$6:$D$4207,MATCH(C145,STPP!$C$6:$C$4207,0)),"Not Found"))</f>
        <v/>
      </c>
      <c r="E145" s="27" t="str" cm="1">
        <f t="array" ref="E145">IF(C145="","",IFERROR(INDEX(STPP!$E$6:$E$4207,MATCH(C145,STPP!$C$6:$C$4207,0)),"Not Found"))</f>
        <v/>
      </c>
      <c r="F145" s="27" t="str" cm="1">
        <f t="array" ref="F145">IF(C145="","",IFERROR(INDEX(STPP!$F$6:$F$4207,MATCH(C145,STPP!$C$6:$C$4207,0)),"Not Found"))</f>
        <v/>
      </c>
      <c r="G145" s="25" t="str">
        <f>IF(表1[[#This Row],[No Seri]]="","",表1[[#This Row],[Deskripsi Barang]]+表1[[#This Row],[Kuantitas]]-表1[[#This Row],[Satuan]])</f>
        <v/>
      </c>
      <c r="H145" s="28"/>
      <c r="I145" s="25" t="str">
        <f>IF(表1[[#This Row],[Tgl NPBG]]&gt;表1[[#This Row],[Peminta]],表1[[#This Row],[Tgl NPBG]]-表1[[#This Row],[Peminta]],"")</f>
        <v/>
      </c>
      <c r="J145" s="31"/>
    </row>
    <row r="146" s="12" customFormat="1" customHeight="1" spans="2:10">
      <c r="B146" s="25"/>
      <c r="C146" s="25"/>
      <c r="D146" s="26" t="str" cm="1">
        <f t="array" ref="D146">IF(C146="","",IFERROR(INDEX(STPP!$D$6:$D$4207,MATCH(C146,STPP!$C$6:$C$4207,0)),"Not Found"))</f>
        <v/>
      </c>
      <c r="E146" s="27" t="str" cm="1">
        <f t="array" ref="E146">IF(C146="","",IFERROR(INDEX(STPP!$E$6:$E$4207,MATCH(C146,STPP!$C$6:$C$4207,0)),"Not Found"))</f>
        <v/>
      </c>
      <c r="F146" s="27" t="str" cm="1">
        <f t="array" ref="F146">IF(C146="","",IFERROR(INDEX(STPP!$F$6:$F$4207,MATCH(C146,STPP!$C$6:$C$4207,0)),"Not Found"))</f>
        <v/>
      </c>
      <c r="G146" s="25" t="str">
        <f>IF(表1[[#This Row],[No Seri]]="","",表1[[#This Row],[Deskripsi Barang]]+表1[[#This Row],[Kuantitas]]-表1[[#This Row],[Satuan]])</f>
        <v/>
      </c>
      <c r="H146" s="28"/>
      <c r="I146" s="25" t="str">
        <f>IF(表1[[#This Row],[Tgl NPBG]]&gt;表1[[#This Row],[Peminta]],表1[[#This Row],[Tgl NPBG]]-表1[[#This Row],[Peminta]],"")</f>
        <v/>
      </c>
      <c r="J146" s="31"/>
    </row>
    <row r="147" s="12" customFormat="1" customHeight="1" spans="2:10">
      <c r="B147" s="25"/>
      <c r="C147" s="25"/>
      <c r="D147" s="26" t="str" cm="1">
        <f t="array" ref="D147">IF(C147="","",IFERROR(INDEX(STPP!$D$6:$D$4207,MATCH(C147,STPP!$C$6:$C$4207,0)),"Not Found"))</f>
        <v/>
      </c>
      <c r="E147" s="27" t="str" cm="1">
        <f t="array" ref="E147">IF(C147="","",IFERROR(INDEX(STPP!$E$6:$E$4207,MATCH(C147,STPP!$C$6:$C$4207,0)),"Not Found"))</f>
        <v/>
      </c>
      <c r="F147" s="27" t="str" cm="1">
        <f t="array" ref="F147">IF(C147="","",IFERROR(INDEX(STPP!$F$6:$F$4207,MATCH(C147,STPP!$C$6:$C$4207,0)),"Not Found"))</f>
        <v/>
      </c>
      <c r="G147" s="25" t="str">
        <f>IF(表1[[#This Row],[No Seri]]="","",表1[[#This Row],[Deskripsi Barang]]+表1[[#This Row],[Kuantitas]]-表1[[#This Row],[Satuan]])</f>
        <v/>
      </c>
      <c r="H147" s="28"/>
      <c r="I147" s="25" t="str">
        <f>IF(表1[[#This Row],[Tgl NPBG]]&gt;表1[[#This Row],[Peminta]],表1[[#This Row],[Tgl NPBG]]-表1[[#This Row],[Peminta]],"")</f>
        <v/>
      </c>
      <c r="J147" s="31"/>
    </row>
    <row r="148" s="12" customFormat="1" customHeight="1" spans="2:10">
      <c r="B148" s="25"/>
      <c r="C148" s="25"/>
      <c r="D148" s="26" t="str" cm="1">
        <f t="array" ref="D148">IF(C148="","",IFERROR(INDEX(STPP!$D$6:$D$4207,MATCH(C148,STPP!$C$6:$C$4207,0)),"Not Found"))</f>
        <v/>
      </c>
      <c r="E148" s="27" t="str" cm="1">
        <f t="array" ref="E148">IF(C148="","",IFERROR(INDEX(STPP!$E$6:$E$4207,MATCH(C148,STPP!$C$6:$C$4207,0)),"Not Found"))</f>
        <v/>
      </c>
      <c r="F148" s="27" t="str" cm="1">
        <f t="array" ref="F148">IF(C148="","",IFERROR(INDEX(STPP!$F$6:$F$4207,MATCH(C148,STPP!$C$6:$C$4207,0)),"Not Found"))</f>
        <v/>
      </c>
      <c r="G148" s="25" t="str">
        <f>IF(表1[[#This Row],[No Seri]]="","",表1[[#This Row],[Deskripsi Barang]]+表1[[#This Row],[Kuantitas]]-表1[[#This Row],[Satuan]])</f>
        <v/>
      </c>
      <c r="H148" s="28"/>
      <c r="I148" s="25" t="str">
        <f>IF(表1[[#This Row],[Tgl NPBG]]&gt;表1[[#This Row],[Peminta]],表1[[#This Row],[Tgl NPBG]]-表1[[#This Row],[Peminta]],"")</f>
        <v/>
      </c>
      <c r="J148" s="31"/>
    </row>
    <row r="149" s="12" customFormat="1" customHeight="1" spans="2:10">
      <c r="B149" s="25"/>
      <c r="C149" s="25"/>
      <c r="D149" s="26" t="str" cm="1">
        <f t="array" ref="D149">IF(C149="","",IFERROR(INDEX(STPP!$D$6:$D$4207,MATCH(C149,STPP!$C$6:$C$4207,0)),"Not Found"))</f>
        <v/>
      </c>
      <c r="E149" s="27" t="str" cm="1">
        <f t="array" ref="E149">IF(C149="","",IFERROR(INDEX(STPP!$E$6:$E$4207,MATCH(C149,STPP!$C$6:$C$4207,0)),"Not Found"))</f>
        <v/>
      </c>
      <c r="F149" s="27" t="str" cm="1">
        <f t="array" ref="F149">IF(C149="","",IFERROR(INDEX(STPP!$F$6:$F$4207,MATCH(C149,STPP!$C$6:$C$4207,0)),"Not Found"))</f>
        <v/>
      </c>
      <c r="G149" s="25" t="str">
        <f>IF(表1[[#This Row],[No Seri]]="","",表1[[#This Row],[Deskripsi Barang]]+表1[[#This Row],[Kuantitas]]-表1[[#This Row],[Satuan]])</f>
        <v/>
      </c>
      <c r="H149" s="28"/>
      <c r="I149" s="25" t="str">
        <f>IF(表1[[#This Row],[Tgl NPBG]]&gt;表1[[#This Row],[Peminta]],表1[[#This Row],[Tgl NPBG]]-表1[[#This Row],[Peminta]],"")</f>
        <v/>
      </c>
      <c r="J149" s="31"/>
    </row>
    <row r="150" s="12" customFormat="1" customHeight="1" spans="2:10">
      <c r="B150" s="25"/>
      <c r="C150" s="25"/>
      <c r="D150" s="26" t="str" cm="1">
        <f t="array" ref="D150">IF(C150="","",IFERROR(INDEX(STPP!$D$6:$D$4207,MATCH(C150,STPP!$C$6:$C$4207,0)),"Not Found"))</f>
        <v/>
      </c>
      <c r="E150" s="27" t="str" cm="1">
        <f t="array" ref="E150">IF(C150="","",IFERROR(INDEX(STPP!$E$6:$E$4207,MATCH(C150,STPP!$C$6:$C$4207,0)),"Not Found"))</f>
        <v/>
      </c>
      <c r="F150" s="27" t="str" cm="1">
        <f t="array" ref="F150">IF(C150="","",IFERROR(INDEX(STPP!$F$6:$F$4207,MATCH(C150,STPP!$C$6:$C$4207,0)),"Not Found"))</f>
        <v/>
      </c>
      <c r="G150" s="25" t="str">
        <f>IF(表1[[#This Row],[No Seri]]="","",表1[[#This Row],[Deskripsi Barang]]+表1[[#This Row],[Kuantitas]]-表1[[#This Row],[Satuan]])</f>
        <v/>
      </c>
      <c r="H150" s="28"/>
      <c r="I150" s="25" t="str">
        <f>IF(表1[[#This Row],[Tgl NPBG]]&gt;表1[[#This Row],[Peminta]],表1[[#This Row],[Tgl NPBG]]-表1[[#This Row],[Peminta]],"")</f>
        <v/>
      </c>
      <c r="J150" s="31"/>
    </row>
    <row r="151" s="12" customFormat="1" customHeight="1" spans="2:10">
      <c r="B151" s="25"/>
      <c r="C151" s="25"/>
      <c r="D151" s="26" t="str" cm="1">
        <f t="array" ref="D151">IF(C151="","",IFERROR(INDEX(STPP!$D$6:$D$4207,MATCH(C151,STPP!$C$6:$C$4207,0)),"Not Found"))</f>
        <v/>
      </c>
      <c r="E151" s="27" t="str" cm="1">
        <f t="array" ref="E151">IF(C151="","",IFERROR(INDEX(STPP!$E$6:$E$4207,MATCH(C151,STPP!$C$6:$C$4207,0)),"Not Found"))</f>
        <v/>
      </c>
      <c r="F151" s="27" t="str" cm="1">
        <f t="array" ref="F151">IF(C151="","",IFERROR(INDEX(STPP!$F$6:$F$4207,MATCH(C151,STPP!$C$6:$C$4207,0)),"Not Found"))</f>
        <v/>
      </c>
      <c r="G151" s="25" t="str">
        <f>IF(表1[[#This Row],[No Seri]]="","",表1[[#This Row],[Deskripsi Barang]]+表1[[#This Row],[Kuantitas]]-表1[[#This Row],[Satuan]])</f>
        <v/>
      </c>
      <c r="H151" s="28"/>
      <c r="I151" s="25" t="str">
        <f>IF(表1[[#This Row],[Tgl NPBG]]&gt;表1[[#This Row],[Peminta]],表1[[#This Row],[Tgl NPBG]]-表1[[#This Row],[Peminta]],"")</f>
        <v/>
      </c>
      <c r="J151" s="31"/>
    </row>
    <row r="152" s="12" customFormat="1" customHeight="1" spans="2:10">
      <c r="B152" s="25"/>
      <c r="C152" s="25"/>
      <c r="D152" s="26" t="str" cm="1">
        <f t="array" ref="D152">IF(C152="","",IFERROR(INDEX(STPP!$D$6:$D$4207,MATCH(C152,STPP!$C$6:$C$4207,0)),"Not Found"))</f>
        <v/>
      </c>
      <c r="E152" s="27" t="str" cm="1">
        <f t="array" ref="E152">IF(C152="","",IFERROR(INDEX(STPP!$E$6:$E$4207,MATCH(C152,STPP!$C$6:$C$4207,0)),"Not Found"))</f>
        <v/>
      </c>
      <c r="F152" s="27" t="str" cm="1">
        <f t="array" ref="F152">IF(C152="","",IFERROR(INDEX(STPP!$F$6:$F$4207,MATCH(C152,STPP!$C$6:$C$4207,0)),"Not Found"))</f>
        <v/>
      </c>
      <c r="G152" s="25" t="str">
        <f>IF(表1[[#This Row],[No Seri]]="","",表1[[#This Row],[Deskripsi Barang]]+表1[[#This Row],[Kuantitas]]-表1[[#This Row],[Satuan]])</f>
        <v/>
      </c>
      <c r="H152" s="28"/>
      <c r="I152" s="25" t="str">
        <f>IF(表1[[#This Row],[Tgl NPBG]]&gt;表1[[#This Row],[Peminta]],表1[[#This Row],[Tgl NPBG]]-表1[[#This Row],[Peminta]],"")</f>
        <v/>
      </c>
      <c r="J152" s="31"/>
    </row>
    <row r="153" s="12" customFormat="1" customHeight="1" spans="2:10">
      <c r="B153" s="25"/>
      <c r="C153" s="25"/>
      <c r="D153" s="26" t="str" cm="1">
        <f t="array" ref="D153">IF(C153="","",IFERROR(INDEX(STPP!$D$6:$D$4207,MATCH(C153,STPP!$C$6:$C$4207,0)),"Not Found"))</f>
        <v/>
      </c>
      <c r="E153" s="27" t="str" cm="1">
        <f t="array" ref="E153">IF(C153="","",IFERROR(INDEX(STPP!$E$6:$E$4207,MATCH(C153,STPP!$C$6:$C$4207,0)),"Not Found"))</f>
        <v/>
      </c>
      <c r="F153" s="27" t="str" cm="1">
        <f t="array" ref="F153">IF(C153="","",IFERROR(INDEX(STPP!$F$6:$F$4207,MATCH(C153,STPP!$C$6:$C$4207,0)),"Not Found"))</f>
        <v/>
      </c>
      <c r="G153" s="25" t="str">
        <f>IF(表1[[#This Row],[No Seri]]="","",表1[[#This Row],[Deskripsi Barang]]+表1[[#This Row],[Kuantitas]]-表1[[#This Row],[Satuan]])</f>
        <v/>
      </c>
      <c r="H153" s="28"/>
      <c r="I153" s="25" t="str">
        <f>IF(表1[[#This Row],[Tgl NPBG]]&gt;表1[[#This Row],[Peminta]],表1[[#This Row],[Tgl NPBG]]-表1[[#This Row],[Peminta]],"")</f>
        <v/>
      </c>
      <c r="J153" s="31"/>
    </row>
    <row r="154" s="12" customFormat="1" customHeight="1" spans="2:10">
      <c r="B154" s="25"/>
      <c r="C154" s="25"/>
      <c r="D154" s="26" t="str" cm="1">
        <f t="array" ref="D154">IF(C154="","",IFERROR(INDEX(STPP!$D$6:$D$4207,MATCH(C154,STPP!$C$6:$C$4207,0)),"Not Found"))</f>
        <v/>
      </c>
      <c r="E154" s="27" t="str" cm="1">
        <f t="array" ref="E154">IF(C154="","",IFERROR(INDEX(STPP!$E$6:$E$4207,MATCH(C154,STPP!$C$6:$C$4207,0)),"Not Found"))</f>
        <v/>
      </c>
      <c r="F154" s="27" t="str" cm="1">
        <f t="array" ref="F154">IF(C154="","",IFERROR(INDEX(STPP!$F$6:$F$4207,MATCH(C154,STPP!$C$6:$C$4207,0)),"Not Found"))</f>
        <v/>
      </c>
      <c r="G154" s="25" t="str">
        <f>IF(表1[[#This Row],[No Seri]]="","",表1[[#This Row],[Deskripsi Barang]]+表1[[#This Row],[Kuantitas]]-表1[[#This Row],[Satuan]])</f>
        <v/>
      </c>
      <c r="H154" s="28"/>
      <c r="I154" s="25" t="str">
        <f>IF(表1[[#This Row],[Tgl NPBG]]&gt;表1[[#This Row],[Peminta]],表1[[#This Row],[Tgl NPBG]]-表1[[#This Row],[Peminta]],"")</f>
        <v/>
      </c>
      <c r="J154" s="31"/>
    </row>
    <row r="155" s="12" customFormat="1" customHeight="1" spans="2:10">
      <c r="B155" s="25"/>
      <c r="C155" s="25"/>
      <c r="D155" s="26" t="str" cm="1">
        <f t="array" ref="D155">IF(C155="","",IFERROR(INDEX(STPP!$D$6:$D$4207,MATCH(C155,STPP!$C$6:$C$4207,0)),"Not Found"))</f>
        <v/>
      </c>
      <c r="E155" s="27" t="str" cm="1">
        <f t="array" ref="E155">IF(C155="","",IFERROR(INDEX(STPP!$E$6:$E$4207,MATCH(C155,STPP!$C$6:$C$4207,0)),"Not Found"))</f>
        <v/>
      </c>
      <c r="F155" s="27" t="str" cm="1">
        <f t="array" ref="F155">IF(C155="","",IFERROR(INDEX(STPP!$F$6:$F$4207,MATCH(C155,STPP!$C$6:$C$4207,0)),"Not Found"))</f>
        <v/>
      </c>
      <c r="G155" s="25" t="str">
        <f>IF(表1[[#This Row],[No Seri]]="","",表1[[#This Row],[Deskripsi Barang]]+表1[[#This Row],[Kuantitas]]-表1[[#This Row],[Satuan]])</f>
        <v/>
      </c>
      <c r="H155" s="28"/>
      <c r="I155" s="25" t="str">
        <f>IF(表1[[#This Row],[Tgl NPBG]]&gt;表1[[#This Row],[Peminta]],表1[[#This Row],[Tgl NPBG]]-表1[[#This Row],[Peminta]],"")</f>
        <v/>
      </c>
      <c r="J155" s="31"/>
    </row>
    <row r="156" s="12" customFormat="1" customHeight="1" spans="2:10">
      <c r="B156" s="25"/>
      <c r="C156" s="25"/>
      <c r="D156" s="26" t="str" cm="1">
        <f t="array" ref="D156">IF(C156="","",IFERROR(INDEX(STPP!$D$6:$D$4207,MATCH(C156,STPP!$C$6:$C$4207,0)),"Not Found"))</f>
        <v/>
      </c>
      <c r="E156" s="27" t="str" cm="1">
        <f t="array" ref="E156">IF(C156="","",IFERROR(INDEX(STPP!$E$6:$E$4207,MATCH(C156,STPP!$C$6:$C$4207,0)),"Not Found"))</f>
        <v/>
      </c>
      <c r="F156" s="27" t="str" cm="1">
        <f t="array" ref="F156">IF(C156="","",IFERROR(INDEX(STPP!$F$6:$F$4207,MATCH(C156,STPP!$C$6:$C$4207,0)),"Not Found"))</f>
        <v/>
      </c>
      <c r="G156" s="25" t="str">
        <f>IF(表1[[#This Row],[No Seri]]="","",表1[[#This Row],[Deskripsi Barang]]+表1[[#This Row],[Kuantitas]]-表1[[#This Row],[Satuan]])</f>
        <v/>
      </c>
      <c r="H156" s="28"/>
      <c r="I156" s="25" t="str">
        <f>IF(表1[[#This Row],[Tgl NPBG]]&gt;表1[[#This Row],[Peminta]],表1[[#This Row],[Tgl NPBG]]-表1[[#This Row],[Peminta]],"")</f>
        <v/>
      </c>
      <c r="J156" s="31"/>
    </row>
    <row r="157" s="12" customFormat="1" customHeight="1" spans="2:10">
      <c r="B157" s="25"/>
      <c r="C157" s="25"/>
      <c r="D157" s="26" t="str" cm="1">
        <f t="array" ref="D157">IF(C157="","",IFERROR(INDEX(STPP!$D$6:$D$4207,MATCH(C157,STPP!$C$6:$C$4207,0)),"Not Found"))</f>
        <v/>
      </c>
      <c r="E157" s="27" t="str" cm="1">
        <f t="array" ref="E157">IF(C157="","",IFERROR(INDEX(STPP!$E$6:$E$4207,MATCH(C157,STPP!$C$6:$C$4207,0)),"Not Found"))</f>
        <v/>
      </c>
      <c r="F157" s="27" t="str" cm="1">
        <f t="array" ref="F157">IF(C157="","",IFERROR(INDEX(STPP!$F$6:$F$4207,MATCH(C157,STPP!$C$6:$C$4207,0)),"Not Found"))</f>
        <v/>
      </c>
      <c r="G157" s="25" t="str">
        <f>IF(表1[[#This Row],[No Seri]]="","",表1[[#This Row],[Deskripsi Barang]]+表1[[#This Row],[Kuantitas]]-表1[[#This Row],[Satuan]])</f>
        <v/>
      </c>
      <c r="H157" s="28"/>
      <c r="I157" s="25" t="str">
        <f>IF(表1[[#This Row],[Tgl NPBG]]&gt;表1[[#This Row],[Peminta]],表1[[#This Row],[Tgl NPBG]]-表1[[#This Row],[Peminta]],"")</f>
        <v/>
      </c>
      <c r="J157" s="31"/>
    </row>
    <row r="158" s="12" customFormat="1" customHeight="1" spans="2:10">
      <c r="B158" s="25"/>
      <c r="C158" s="25"/>
      <c r="D158" s="26" t="str" cm="1">
        <f t="array" ref="D158">IF(C158="","",IFERROR(INDEX(STPP!$D$6:$D$4207,MATCH(C158,STPP!$C$6:$C$4207,0)),"Not Found"))</f>
        <v/>
      </c>
      <c r="E158" s="27" t="str" cm="1">
        <f t="array" ref="E158">IF(C158="","",IFERROR(INDEX(STPP!$E$6:$E$4207,MATCH(C158,STPP!$C$6:$C$4207,0)),"Not Found"))</f>
        <v/>
      </c>
      <c r="F158" s="27" t="str" cm="1">
        <f t="array" ref="F158">IF(C158="","",IFERROR(INDEX(STPP!$F$6:$F$4207,MATCH(C158,STPP!$C$6:$C$4207,0)),"Not Found"))</f>
        <v/>
      </c>
      <c r="G158" s="25" t="str">
        <f>IF(表1[[#This Row],[No Seri]]="","",表1[[#This Row],[Deskripsi Barang]]+表1[[#This Row],[Kuantitas]]-表1[[#This Row],[Satuan]])</f>
        <v/>
      </c>
      <c r="H158" s="28"/>
      <c r="I158" s="25" t="str">
        <f>IF(表1[[#This Row],[Tgl NPBG]]&gt;表1[[#This Row],[Peminta]],表1[[#This Row],[Tgl NPBG]]-表1[[#This Row],[Peminta]],"")</f>
        <v/>
      </c>
      <c r="J158" s="31"/>
    </row>
    <row r="159" s="12" customFormat="1" customHeight="1" spans="2:10">
      <c r="B159" s="25"/>
      <c r="C159" s="25"/>
      <c r="D159" s="26" t="str" cm="1">
        <f t="array" ref="D159">IF(C159="","",IFERROR(INDEX(STPP!$D$6:$D$4207,MATCH(C159,STPP!$C$6:$C$4207,0)),"Not Found"))</f>
        <v/>
      </c>
      <c r="E159" s="27" t="str" cm="1">
        <f t="array" ref="E159">IF(C159="","",IFERROR(INDEX(STPP!$E$6:$E$4207,MATCH(C159,STPP!$C$6:$C$4207,0)),"Not Found"))</f>
        <v/>
      </c>
      <c r="F159" s="27" t="str" cm="1">
        <f t="array" ref="F159">IF(C159="","",IFERROR(INDEX(STPP!$F$6:$F$4207,MATCH(C159,STPP!$C$6:$C$4207,0)),"Not Found"))</f>
        <v/>
      </c>
      <c r="G159" s="25" t="str">
        <f>IF(表1[[#This Row],[No Seri]]="","",表1[[#This Row],[Deskripsi Barang]]+表1[[#This Row],[Kuantitas]]-表1[[#This Row],[Satuan]])</f>
        <v/>
      </c>
      <c r="H159" s="28"/>
      <c r="I159" s="25" t="str">
        <f>IF(表1[[#This Row],[Tgl NPBG]]&gt;表1[[#This Row],[Peminta]],表1[[#This Row],[Tgl NPBG]]-表1[[#This Row],[Peminta]],"")</f>
        <v/>
      </c>
      <c r="J159" s="31"/>
    </row>
    <row r="160" s="12" customFormat="1" customHeight="1" spans="2:10">
      <c r="B160" s="25"/>
      <c r="C160" s="25"/>
      <c r="D160" s="26" t="str" cm="1">
        <f t="array" ref="D160">IF(C160="","",IFERROR(INDEX(STPP!$D$6:$D$4207,MATCH(C160,STPP!$C$6:$C$4207,0)),"Not Found"))</f>
        <v/>
      </c>
      <c r="E160" s="27" t="str" cm="1">
        <f t="array" ref="E160">IF(C160="","",IFERROR(INDEX(STPP!$E$6:$E$4207,MATCH(C160,STPP!$C$6:$C$4207,0)),"Not Found"))</f>
        <v/>
      </c>
      <c r="F160" s="27" t="str" cm="1">
        <f t="array" ref="F160">IF(C160="","",IFERROR(INDEX(STPP!$F$6:$F$4207,MATCH(C160,STPP!$C$6:$C$4207,0)),"Not Found"))</f>
        <v/>
      </c>
      <c r="G160" s="25" t="str">
        <f>IF(表1[[#This Row],[No Seri]]="","",表1[[#This Row],[Deskripsi Barang]]+表1[[#This Row],[Kuantitas]]-表1[[#This Row],[Satuan]])</f>
        <v/>
      </c>
      <c r="H160" s="28"/>
      <c r="I160" s="25" t="str">
        <f>IF(表1[[#This Row],[Tgl NPBG]]&gt;表1[[#This Row],[Peminta]],表1[[#This Row],[Tgl NPBG]]-表1[[#This Row],[Peminta]],"")</f>
        <v/>
      </c>
      <c r="J160" s="31"/>
    </row>
    <row r="161" s="12" customFormat="1" customHeight="1" spans="2:10">
      <c r="B161" s="25"/>
      <c r="C161" s="25"/>
      <c r="D161" s="26" t="str" cm="1">
        <f t="array" ref="D161">IF(C161="","",IFERROR(INDEX(STPP!$D$6:$D$4207,MATCH(C161,STPP!$C$6:$C$4207,0)),"Not Found"))</f>
        <v/>
      </c>
      <c r="E161" s="27" t="str" cm="1">
        <f t="array" ref="E161">IF(C161="","",IFERROR(INDEX(STPP!$E$6:$E$4207,MATCH(C161,STPP!$C$6:$C$4207,0)),"Not Found"))</f>
        <v/>
      </c>
      <c r="F161" s="27" t="str" cm="1">
        <f t="array" ref="F161">IF(C161="","",IFERROR(INDEX(STPP!$F$6:$F$4207,MATCH(C161,STPP!$C$6:$C$4207,0)),"Not Found"))</f>
        <v/>
      </c>
      <c r="G161" s="25" t="str">
        <f>IF(表1[[#This Row],[No Seri]]="","",表1[[#This Row],[Deskripsi Barang]]+表1[[#This Row],[Kuantitas]]-表1[[#This Row],[Satuan]])</f>
        <v/>
      </c>
      <c r="H161" s="28"/>
      <c r="I161" s="25" t="str">
        <f>IF(表1[[#This Row],[Tgl NPBG]]&gt;表1[[#This Row],[Peminta]],表1[[#This Row],[Tgl NPBG]]-表1[[#This Row],[Peminta]],"")</f>
        <v/>
      </c>
      <c r="J161" s="31"/>
    </row>
    <row r="162" s="12" customFormat="1" customHeight="1" spans="2:10">
      <c r="B162" s="25"/>
      <c r="C162" s="25"/>
      <c r="D162" s="26" t="str" cm="1">
        <f t="array" ref="D162">IF(C162="","",IFERROR(INDEX(STPP!$D$6:$D$4207,MATCH(C162,STPP!$C$6:$C$4207,0)),"Not Found"))</f>
        <v/>
      </c>
      <c r="E162" s="27" t="str" cm="1">
        <f t="array" ref="E162">IF(C162="","",IFERROR(INDEX(STPP!$E$6:$E$4207,MATCH(C162,STPP!$C$6:$C$4207,0)),"Not Found"))</f>
        <v/>
      </c>
      <c r="F162" s="27" t="str" cm="1">
        <f t="array" ref="F162">IF(C162="","",IFERROR(INDEX(STPP!$F$6:$F$4207,MATCH(C162,STPP!$C$6:$C$4207,0)),"Not Found"))</f>
        <v/>
      </c>
      <c r="G162" s="25" t="str">
        <f>IF(表1[[#This Row],[No Seri]]="","",表1[[#This Row],[Deskripsi Barang]]+表1[[#This Row],[Kuantitas]]-表1[[#This Row],[Satuan]])</f>
        <v/>
      </c>
      <c r="H162" s="28"/>
      <c r="I162" s="25" t="str">
        <f>IF(表1[[#This Row],[Tgl NPBG]]&gt;表1[[#This Row],[Peminta]],表1[[#This Row],[Tgl NPBG]]-表1[[#This Row],[Peminta]],"")</f>
        <v/>
      </c>
      <c r="J162" s="31"/>
    </row>
    <row r="163" s="12" customFormat="1" customHeight="1" spans="2:10">
      <c r="B163" s="25"/>
      <c r="C163" s="25"/>
      <c r="D163" s="26" t="str" cm="1">
        <f t="array" ref="D163">IF(C163="","",IFERROR(INDEX(STPP!$D$6:$D$4207,MATCH(C163,STPP!$C$6:$C$4207,0)),"Not Found"))</f>
        <v/>
      </c>
      <c r="E163" s="27" t="str" cm="1">
        <f t="array" ref="E163">IF(C163="","",IFERROR(INDEX(STPP!$E$6:$E$4207,MATCH(C163,STPP!$C$6:$C$4207,0)),"Not Found"))</f>
        <v/>
      </c>
      <c r="F163" s="27" t="str" cm="1">
        <f t="array" ref="F163">IF(C163="","",IFERROR(INDEX(STPP!$F$6:$F$4207,MATCH(C163,STPP!$C$6:$C$4207,0)),"Not Found"))</f>
        <v/>
      </c>
      <c r="G163" s="25" t="str">
        <f>IF(表1[[#This Row],[No Seri]]="","",表1[[#This Row],[Deskripsi Barang]]+表1[[#This Row],[Kuantitas]]-表1[[#This Row],[Satuan]])</f>
        <v/>
      </c>
      <c r="H163" s="28"/>
      <c r="I163" s="25" t="str">
        <f>IF(表1[[#This Row],[Tgl NPBG]]&gt;表1[[#This Row],[Peminta]],表1[[#This Row],[Tgl NPBG]]-表1[[#This Row],[Peminta]],"")</f>
        <v/>
      </c>
      <c r="J163" s="31"/>
    </row>
    <row r="164" s="12" customFormat="1" customHeight="1" spans="2:10">
      <c r="B164" s="25"/>
      <c r="C164" s="25"/>
      <c r="D164" s="26" t="str" cm="1">
        <f t="array" ref="D164">IF(C164="","",IFERROR(INDEX(STPP!$D$6:$D$4207,MATCH(C164,STPP!$C$6:$C$4207,0)),"Not Found"))</f>
        <v/>
      </c>
      <c r="E164" s="27" t="str" cm="1">
        <f t="array" ref="E164">IF(C164="","",IFERROR(INDEX(STPP!$E$6:$E$4207,MATCH(C164,STPP!$C$6:$C$4207,0)),"Not Found"))</f>
        <v/>
      </c>
      <c r="F164" s="27" t="str" cm="1">
        <f t="array" ref="F164">IF(C164="","",IFERROR(INDEX(STPP!$F$6:$F$4207,MATCH(C164,STPP!$C$6:$C$4207,0)),"Not Found"))</f>
        <v/>
      </c>
      <c r="G164" s="25" t="str">
        <f>IF(表1[[#This Row],[No Seri]]="","",表1[[#This Row],[Deskripsi Barang]]+表1[[#This Row],[Kuantitas]]-表1[[#This Row],[Satuan]])</f>
        <v/>
      </c>
      <c r="H164" s="28"/>
      <c r="I164" s="25" t="str">
        <f>IF(表1[[#This Row],[Tgl NPBG]]&gt;表1[[#This Row],[Peminta]],表1[[#This Row],[Tgl NPBG]]-表1[[#This Row],[Peminta]],"")</f>
        <v/>
      </c>
      <c r="J164" s="31"/>
    </row>
    <row r="165" s="12" customFormat="1" customHeight="1" spans="2:10">
      <c r="B165" s="25"/>
      <c r="C165" s="25"/>
      <c r="D165" s="26" t="str" cm="1">
        <f t="array" ref="D165">IF(C165="","",IFERROR(INDEX(STPP!$D$6:$D$4207,MATCH(C165,STPP!$C$6:$C$4207,0)),"Not Found"))</f>
        <v/>
      </c>
      <c r="E165" s="27" t="str" cm="1">
        <f t="array" ref="E165">IF(C165="","",IFERROR(INDEX(STPP!$E$6:$E$4207,MATCH(C165,STPP!$C$6:$C$4207,0)),"Not Found"))</f>
        <v/>
      </c>
      <c r="F165" s="27" t="str" cm="1">
        <f t="array" ref="F165">IF(C165="","",IFERROR(INDEX(STPP!$F$6:$F$4207,MATCH(C165,STPP!$C$6:$C$4207,0)),"Not Found"))</f>
        <v/>
      </c>
      <c r="G165" s="25" t="str">
        <f>IF(表1[[#This Row],[No Seri]]="","",表1[[#This Row],[Deskripsi Barang]]+表1[[#This Row],[Kuantitas]]-表1[[#This Row],[Satuan]])</f>
        <v/>
      </c>
      <c r="H165" s="28"/>
      <c r="I165" s="25" t="str">
        <f>IF(表1[[#This Row],[Tgl NPBG]]&gt;表1[[#This Row],[Peminta]],表1[[#This Row],[Tgl NPBG]]-表1[[#This Row],[Peminta]],"")</f>
        <v/>
      </c>
      <c r="J165" s="31"/>
    </row>
    <row r="166" s="12" customFormat="1" customHeight="1" spans="2:10">
      <c r="B166" s="25"/>
      <c r="C166" s="25"/>
      <c r="D166" s="26" t="str" cm="1">
        <f t="array" ref="D166">IF(C166="","",IFERROR(INDEX(STPP!$D$6:$D$4207,MATCH(C166,STPP!$C$6:$C$4207,0)),"Not Found"))</f>
        <v/>
      </c>
      <c r="E166" s="27" t="str" cm="1">
        <f t="array" ref="E166">IF(C166="","",IFERROR(INDEX(STPP!$E$6:$E$4207,MATCH(C166,STPP!$C$6:$C$4207,0)),"Not Found"))</f>
        <v/>
      </c>
      <c r="F166" s="27" t="str" cm="1">
        <f t="array" ref="F166">IF(C166="","",IFERROR(INDEX(STPP!$F$6:$F$4207,MATCH(C166,STPP!$C$6:$C$4207,0)),"Not Found"))</f>
        <v/>
      </c>
      <c r="G166" s="25" t="str">
        <f>IF(表1[[#This Row],[No Seri]]="","",表1[[#This Row],[Deskripsi Barang]]+表1[[#This Row],[Kuantitas]]-表1[[#This Row],[Satuan]])</f>
        <v/>
      </c>
      <c r="H166" s="28"/>
      <c r="I166" s="25" t="str">
        <f>IF(表1[[#This Row],[Tgl NPBG]]&gt;表1[[#This Row],[Peminta]],表1[[#This Row],[Tgl NPBG]]-表1[[#This Row],[Peminta]],"")</f>
        <v/>
      </c>
      <c r="J166" s="31"/>
    </row>
    <row r="167" s="12" customFormat="1" customHeight="1" spans="2:10">
      <c r="B167" s="25"/>
      <c r="C167" s="25"/>
      <c r="D167" s="26" t="str" cm="1">
        <f t="array" ref="D167">IF(C167="","",IFERROR(INDEX(STPP!$D$6:$D$4207,MATCH(C167,STPP!$C$6:$C$4207,0)),"Not Found"))</f>
        <v/>
      </c>
      <c r="E167" s="27" t="str" cm="1">
        <f t="array" ref="E167">IF(C167="","",IFERROR(INDEX(STPP!$E$6:$E$4207,MATCH(C167,STPP!$C$6:$C$4207,0)),"Not Found"))</f>
        <v/>
      </c>
      <c r="F167" s="27" t="str" cm="1">
        <f t="array" ref="F167">IF(C167="","",IFERROR(INDEX(STPP!$F$6:$F$4207,MATCH(C167,STPP!$C$6:$C$4207,0)),"Not Found"))</f>
        <v/>
      </c>
      <c r="G167" s="25" t="str">
        <f>IF(表1[[#This Row],[No Seri]]="","",表1[[#This Row],[Deskripsi Barang]]+表1[[#This Row],[Kuantitas]]-表1[[#This Row],[Satuan]])</f>
        <v/>
      </c>
      <c r="H167" s="28"/>
      <c r="I167" s="25" t="str">
        <f>IF(表1[[#This Row],[Tgl NPBG]]&gt;表1[[#This Row],[Peminta]],表1[[#This Row],[Tgl NPBG]]-表1[[#This Row],[Peminta]],"")</f>
        <v/>
      </c>
      <c r="J167" s="31"/>
    </row>
    <row r="168" s="12" customFormat="1" customHeight="1" spans="2:10">
      <c r="B168" s="25"/>
      <c r="C168" s="25"/>
      <c r="D168" s="26" t="str" cm="1">
        <f t="array" ref="D168">IF(C168="","",IFERROR(INDEX(STPP!$D$6:$D$4207,MATCH(C168,STPP!$C$6:$C$4207,0)),"Not Found"))</f>
        <v/>
      </c>
      <c r="E168" s="27" t="str" cm="1">
        <f t="array" ref="E168">IF(C168="","",IFERROR(INDEX(STPP!$E$6:$E$4207,MATCH(C168,STPP!$C$6:$C$4207,0)),"Not Found"))</f>
        <v/>
      </c>
      <c r="F168" s="27" t="str" cm="1">
        <f t="array" ref="F168">IF(C168="","",IFERROR(INDEX(STPP!$F$6:$F$4207,MATCH(C168,STPP!$C$6:$C$4207,0)),"Not Found"))</f>
        <v/>
      </c>
      <c r="G168" s="25" t="str">
        <f>IF(表1[[#This Row],[No Seri]]="","",表1[[#This Row],[Deskripsi Barang]]+表1[[#This Row],[Kuantitas]]-表1[[#This Row],[Satuan]])</f>
        <v/>
      </c>
      <c r="H168" s="28"/>
      <c r="I168" s="25" t="str">
        <f>IF(表1[[#This Row],[Tgl NPBG]]&gt;表1[[#This Row],[Peminta]],表1[[#This Row],[Tgl NPBG]]-表1[[#This Row],[Peminta]],"")</f>
        <v/>
      </c>
      <c r="J168" s="31"/>
    </row>
    <row r="169" s="12" customFormat="1" customHeight="1" spans="2:10">
      <c r="B169" s="25"/>
      <c r="C169" s="25"/>
      <c r="D169" s="26" t="str" cm="1">
        <f t="array" ref="D169">IF(C169="","",IFERROR(INDEX(STPP!$D$6:$D$4207,MATCH(C169,STPP!$C$6:$C$4207,0)),"Not Found"))</f>
        <v/>
      </c>
      <c r="E169" s="27" t="str" cm="1">
        <f t="array" ref="E169">IF(C169="","",IFERROR(INDEX(STPP!$E$6:$E$4207,MATCH(C169,STPP!$C$6:$C$4207,0)),"Not Found"))</f>
        <v/>
      </c>
      <c r="F169" s="27" t="str" cm="1">
        <f t="array" ref="F169">IF(C169="","",IFERROR(INDEX(STPP!$F$6:$F$4207,MATCH(C169,STPP!$C$6:$C$4207,0)),"Not Found"))</f>
        <v/>
      </c>
      <c r="G169" s="25" t="str">
        <f>IF(表1[[#This Row],[No Seri]]="","",表1[[#This Row],[Deskripsi Barang]]+表1[[#This Row],[Kuantitas]]-表1[[#This Row],[Satuan]])</f>
        <v/>
      </c>
      <c r="H169" s="28"/>
      <c r="I169" s="25" t="str">
        <f>IF(表1[[#This Row],[Tgl NPBG]]&gt;表1[[#This Row],[Peminta]],表1[[#This Row],[Tgl NPBG]]-表1[[#This Row],[Peminta]],"")</f>
        <v/>
      </c>
      <c r="J169" s="31"/>
    </row>
    <row r="170" s="12" customFormat="1" customHeight="1" spans="2:10">
      <c r="B170" s="25"/>
      <c r="C170" s="25"/>
      <c r="D170" s="26" t="str" cm="1">
        <f t="array" ref="D170">IF(C170="","",IFERROR(INDEX(STPP!$D$6:$D$4207,MATCH(C170,STPP!$C$6:$C$4207,0)),"Not Found"))</f>
        <v/>
      </c>
      <c r="E170" s="27" t="str" cm="1">
        <f t="array" ref="E170">IF(C170="","",IFERROR(INDEX(STPP!$E$6:$E$4207,MATCH(C170,STPP!$C$6:$C$4207,0)),"Not Found"))</f>
        <v/>
      </c>
      <c r="F170" s="27" t="str" cm="1">
        <f t="array" ref="F170">IF(C170="","",IFERROR(INDEX(STPP!$F$6:$F$4207,MATCH(C170,STPP!$C$6:$C$4207,0)),"Not Found"))</f>
        <v/>
      </c>
      <c r="G170" s="25" t="str">
        <f>IF(表1[[#This Row],[No Seri]]="","",表1[[#This Row],[Deskripsi Barang]]+表1[[#This Row],[Kuantitas]]-表1[[#This Row],[Satuan]])</f>
        <v/>
      </c>
      <c r="H170" s="28"/>
      <c r="I170" s="25" t="str">
        <f>IF(表1[[#This Row],[Tgl NPBG]]&gt;表1[[#This Row],[Peminta]],表1[[#This Row],[Tgl NPBG]]-表1[[#This Row],[Peminta]],"")</f>
        <v/>
      </c>
      <c r="J170" s="31"/>
    </row>
    <row r="171" s="12" customFormat="1" customHeight="1" spans="2:10">
      <c r="B171" s="25"/>
      <c r="C171" s="25"/>
      <c r="D171" s="26" t="str" cm="1">
        <f t="array" ref="D171">IF(C171="","",IFERROR(INDEX(STPP!$D$6:$D$4207,MATCH(C171,STPP!$C$6:$C$4207,0)),"Not Found"))</f>
        <v/>
      </c>
      <c r="E171" s="27" t="str" cm="1">
        <f t="array" ref="E171">IF(C171="","",IFERROR(INDEX(STPP!$E$6:$E$4207,MATCH(C171,STPP!$C$6:$C$4207,0)),"Not Found"))</f>
        <v/>
      </c>
      <c r="F171" s="27" t="str" cm="1">
        <f t="array" ref="F171">IF(C171="","",IFERROR(INDEX(STPP!$F$6:$F$4207,MATCH(C171,STPP!$C$6:$C$4207,0)),"Not Found"))</f>
        <v/>
      </c>
      <c r="G171" s="25" t="str">
        <f>IF(表1[[#This Row],[No Seri]]="","",表1[[#This Row],[Deskripsi Barang]]+表1[[#This Row],[Kuantitas]]-表1[[#This Row],[Satuan]])</f>
        <v/>
      </c>
      <c r="H171" s="28"/>
      <c r="I171" s="25" t="str">
        <f>IF(表1[[#This Row],[Tgl NPBG]]&gt;表1[[#This Row],[Peminta]],表1[[#This Row],[Tgl NPBG]]-表1[[#This Row],[Peminta]],"")</f>
        <v/>
      </c>
      <c r="J171" s="31"/>
    </row>
    <row r="172" s="12" customFormat="1" customHeight="1" spans="2:10">
      <c r="B172" s="25"/>
      <c r="C172" s="25"/>
      <c r="D172" s="26" t="str" cm="1">
        <f t="array" ref="D172">IF(C172="","",IFERROR(INDEX(STPP!$D$6:$D$4207,MATCH(C172,STPP!$C$6:$C$4207,0)),"Not Found"))</f>
        <v/>
      </c>
      <c r="E172" s="27" t="str" cm="1">
        <f t="array" ref="E172">IF(C172="","",IFERROR(INDEX(STPP!$E$6:$E$4207,MATCH(C172,STPP!$C$6:$C$4207,0)),"Not Found"))</f>
        <v/>
      </c>
      <c r="F172" s="27" t="str" cm="1">
        <f t="array" ref="F172">IF(C172="","",IFERROR(INDEX(STPP!$F$6:$F$4207,MATCH(C172,STPP!$C$6:$C$4207,0)),"Not Found"))</f>
        <v/>
      </c>
      <c r="G172" s="25" t="str">
        <f>IF(表1[[#This Row],[No Seri]]="","",表1[[#This Row],[Deskripsi Barang]]+表1[[#This Row],[Kuantitas]]-表1[[#This Row],[Satuan]])</f>
        <v/>
      </c>
      <c r="H172" s="28"/>
      <c r="I172" s="25" t="str">
        <f>IF(表1[[#This Row],[Tgl NPBG]]&gt;表1[[#This Row],[Peminta]],表1[[#This Row],[Tgl NPBG]]-表1[[#This Row],[Peminta]],"")</f>
        <v/>
      </c>
      <c r="J172" s="31"/>
    </row>
    <row r="173" s="12" customFormat="1" customHeight="1" spans="2:10">
      <c r="B173" s="25"/>
      <c r="C173" s="25"/>
      <c r="D173" s="26" t="str" cm="1">
        <f t="array" ref="D173">IF(C173="","",IFERROR(INDEX(STPP!$D$6:$D$4207,MATCH(C173,STPP!$C$6:$C$4207,0)),"Not Found"))</f>
        <v/>
      </c>
      <c r="E173" s="27" t="str" cm="1">
        <f t="array" ref="E173">IF(C173="","",IFERROR(INDEX(STPP!$E$6:$E$4207,MATCH(C173,STPP!$C$6:$C$4207,0)),"Not Found"))</f>
        <v/>
      </c>
      <c r="F173" s="27" t="str" cm="1">
        <f t="array" ref="F173">IF(C173="","",IFERROR(INDEX(STPP!$F$6:$F$4207,MATCH(C173,STPP!$C$6:$C$4207,0)),"Not Found"))</f>
        <v/>
      </c>
      <c r="G173" s="25" t="str">
        <f>IF(表1[[#This Row],[No Seri]]="","",表1[[#This Row],[Deskripsi Barang]]+表1[[#This Row],[Kuantitas]]-表1[[#This Row],[Satuan]])</f>
        <v/>
      </c>
      <c r="H173" s="28"/>
      <c r="I173" s="25" t="str">
        <f>IF(表1[[#This Row],[Tgl NPBG]]&gt;表1[[#This Row],[Peminta]],表1[[#This Row],[Tgl NPBG]]-表1[[#This Row],[Peminta]],"")</f>
        <v/>
      </c>
      <c r="J173" s="31"/>
    </row>
    <row r="174" s="12" customFormat="1" customHeight="1" spans="2:10">
      <c r="B174" s="25"/>
      <c r="C174" s="25"/>
      <c r="D174" s="26" t="str" cm="1">
        <f t="array" ref="D174">IF(C174="","",IFERROR(INDEX(STPP!$D$6:$D$4207,MATCH(C174,STPP!$C$6:$C$4207,0)),"Not Found"))</f>
        <v/>
      </c>
      <c r="E174" s="27" t="str" cm="1">
        <f t="array" ref="E174">IF(C174="","",IFERROR(INDEX(STPP!$E$6:$E$4207,MATCH(C174,STPP!$C$6:$C$4207,0)),"Not Found"))</f>
        <v/>
      </c>
      <c r="F174" s="27" t="str" cm="1">
        <f t="array" ref="F174">IF(C174="","",IFERROR(INDEX(STPP!$F$6:$F$4207,MATCH(C174,STPP!$C$6:$C$4207,0)),"Not Found"))</f>
        <v/>
      </c>
      <c r="G174" s="25" t="str">
        <f>IF(表1[[#This Row],[No Seri]]="","",表1[[#This Row],[Deskripsi Barang]]+表1[[#This Row],[Kuantitas]]-表1[[#This Row],[Satuan]])</f>
        <v/>
      </c>
      <c r="H174" s="28"/>
      <c r="I174" s="25" t="str">
        <f>IF(表1[[#This Row],[Tgl NPBG]]&gt;表1[[#This Row],[Peminta]],表1[[#This Row],[Tgl NPBG]]-表1[[#This Row],[Peminta]],"")</f>
        <v/>
      </c>
      <c r="J174" s="31"/>
    </row>
    <row r="175" s="12" customFormat="1" customHeight="1" spans="2:10">
      <c r="B175" s="25"/>
      <c r="C175" s="25"/>
      <c r="D175" s="26" t="str" cm="1">
        <f t="array" ref="D175">IF(C175="","",IFERROR(INDEX(STPP!$D$6:$D$4207,MATCH(C175,STPP!$C$6:$C$4207,0)),"Not Found"))</f>
        <v/>
      </c>
      <c r="E175" s="27" t="str" cm="1">
        <f t="array" ref="E175">IF(C175="","",IFERROR(INDEX(STPP!$E$6:$E$4207,MATCH(C175,STPP!$C$6:$C$4207,0)),"Not Found"))</f>
        <v/>
      </c>
      <c r="F175" s="27" t="str" cm="1">
        <f t="array" ref="F175">IF(C175="","",IFERROR(INDEX(STPP!$F$6:$F$4207,MATCH(C175,STPP!$C$6:$C$4207,0)),"Not Found"))</f>
        <v/>
      </c>
      <c r="G175" s="25" t="str">
        <f>IF(表1[[#This Row],[No Seri]]="","",表1[[#This Row],[Deskripsi Barang]]+表1[[#This Row],[Kuantitas]]-表1[[#This Row],[Satuan]])</f>
        <v/>
      </c>
      <c r="H175" s="28"/>
      <c r="I175" s="25" t="str">
        <f>IF(表1[[#This Row],[Tgl NPBG]]&gt;表1[[#This Row],[Peminta]],表1[[#This Row],[Tgl NPBG]]-表1[[#This Row],[Peminta]],"")</f>
        <v/>
      </c>
      <c r="J175" s="31"/>
    </row>
    <row r="176" s="12" customFormat="1" customHeight="1" spans="2:10">
      <c r="B176" s="25"/>
      <c r="C176" s="25"/>
      <c r="D176" s="26" t="str" cm="1">
        <f t="array" ref="D176">IF(C176="","",IFERROR(INDEX(STPP!$D$6:$D$4207,MATCH(C176,STPP!$C$6:$C$4207,0)),"Not Found"))</f>
        <v/>
      </c>
      <c r="E176" s="27" t="str" cm="1">
        <f t="array" ref="E176">IF(C176="","",IFERROR(INDEX(STPP!$E$6:$E$4207,MATCH(C176,STPP!$C$6:$C$4207,0)),"Not Found"))</f>
        <v/>
      </c>
      <c r="F176" s="27" t="str" cm="1">
        <f t="array" ref="F176">IF(C176="","",IFERROR(INDEX(STPP!$F$6:$F$4207,MATCH(C176,STPP!$C$6:$C$4207,0)),"Not Found"))</f>
        <v/>
      </c>
      <c r="G176" s="25" t="str">
        <f>IF(表1[[#This Row],[No Seri]]="","",表1[[#This Row],[Deskripsi Barang]]+表1[[#This Row],[Kuantitas]]-表1[[#This Row],[Satuan]])</f>
        <v/>
      </c>
      <c r="H176" s="28"/>
      <c r="I176" s="25" t="str">
        <f>IF(表1[[#This Row],[Tgl NPBG]]&gt;表1[[#This Row],[Peminta]],表1[[#This Row],[Tgl NPBG]]-表1[[#This Row],[Peminta]],"")</f>
        <v/>
      </c>
      <c r="J176" s="31"/>
    </row>
    <row r="177" s="12" customFormat="1" customHeight="1" spans="2:10">
      <c r="B177" s="25"/>
      <c r="C177" s="25"/>
      <c r="D177" s="26" t="str" cm="1">
        <f t="array" ref="D177">IF(C177="","",IFERROR(INDEX(STPP!$D$6:$D$4207,MATCH(C177,STPP!$C$6:$C$4207,0)),"Not Found"))</f>
        <v/>
      </c>
      <c r="E177" s="27" t="str" cm="1">
        <f t="array" ref="E177">IF(C177="","",IFERROR(INDEX(STPP!$E$6:$E$4207,MATCH(C177,STPP!$C$6:$C$4207,0)),"Not Found"))</f>
        <v/>
      </c>
      <c r="F177" s="27" t="str" cm="1">
        <f t="array" ref="F177">IF(C177="","",IFERROR(INDEX(STPP!$F$6:$F$4207,MATCH(C177,STPP!$C$6:$C$4207,0)),"Not Found"))</f>
        <v/>
      </c>
      <c r="G177" s="25" t="str">
        <f>IF(表1[[#This Row],[No Seri]]="","",表1[[#This Row],[Deskripsi Barang]]+表1[[#This Row],[Kuantitas]]-表1[[#This Row],[Satuan]])</f>
        <v/>
      </c>
      <c r="H177" s="28"/>
      <c r="I177" s="25" t="str">
        <f>IF(表1[[#This Row],[Tgl NPBG]]&gt;表1[[#This Row],[Peminta]],表1[[#This Row],[Tgl NPBG]]-表1[[#This Row],[Peminta]],"")</f>
        <v/>
      </c>
      <c r="J177" s="31"/>
    </row>
    <row r="178" s="12" customFormat="1" customHeight="1" spans="2:10">
      <c r="B178" s="25"/>
      <c r="C178" s="25"/>
      <c r="D178" s="26" t="str" cm="1">
        <f t="array" ref="D178">IF(C178="","",IFERROR(INDEX(STPP!$D$6:$D$4207,MATCH(C178,STPP!$C$6:$C$4207,0)),"Not Found"))</f>
        <v/>
      </c>
      <c r="E178" s="27" t="str" cm="1">
        <f t="array" ref="E178">IF(C178="","",IFERROR(INDEX(STPP!$E$6:$E$4207,MATCH(C178,STPP!$C$6:$C$4207,0)),"Not Found"))</f>
        <v/>
      </c>
      <c r="F178" s="27" t="str" cm="1">
        <f t="array" ref="F178">IF(C178="","",IFERROR(INDEX(STPP!$F$6:$F$4207,MATCH(C178,STPP!$C$6:$C$4207,0)),"Not Found"))</f>
        <v/>
      </c>
      <c r="G178" s="25" t="str">
        <f>IF(表1[[#This Row],[No Seri]]="","",表1[[#This Row],[Deskripsi Barang]]+表1[[#This Row],[Kuantitas]]-表1[[#This Row],[Satuan]])</f>
        <v/>
      </c>
      <c r="H178" s="28"/>
      <c r="I178" s="25" t="str">
        <f>IF(表1[[#This Row],[Tgl NPBG]]&gt;表1[[#This Row],[Peminta]],表1[[#This Row],[Tgl NPBG]]-表1[[#This Row],[Peminta]],"")</f>
        <v/>
      </c>
      <c r="J178" s="31"/>
    </row>
    <row r="179" s="12" customFormat="1" customHeight="1" spans="2:10">
      <c r="B179" s="25"/>
      <c r="C179" s="25"/>
      <c r="D179" s="26" t="str" cm="1">
        <f t="array" ref="D179">IF(C179="","",IFERROR(INDEX(STPP!$D$6:$D$4207,MATCH(C179,STPP!$C$6:$C$4207,0)),"Not Found"))</f>
        <v/>
      </c>
      <c r="E179" s="27" t="str" cm="1">
        <f t="array" ref="E179">IF(C179="","",IFERROR(INDEX(STPP!$E$6:$E$4207,MATCH(C179,STPP!$C$6:$C$4207,0)),"Not Found"))</f>
        <v/>
      </c>
      <c r="F179" s="27" t="str" cm="1">
        <f t="array" ref="F179">IF(C179="","",IFERROR(INDEX(STPP!$F$6:$F$4207,MATCH(C179,STPP!$C$6:$C$4207,0)),"Not Found"))</f>
        <v/>
      </c>
      <c r="G179" s="25" t="str">
        <f>IF(表1[[#This Row],[No Seri]]="","",表1[[#This Row],[Deskripsi Barang]]+表1[[#This Row],[Kuantitas]]-表1[[#This Row],[Satuan]])</f>
        <v/>
      </c>
      <c r="H179" s="28"/>
      <c r="I179" s="25" t="str">
        <f>IF(表1[[#This Row],[Tgl NPBG]]&gt;表1[[#This Row],[Peminta]],表1[[#This Row],[Tgl NPBG]]-表1[[#This Row],[Peminta]],"")</f>
        <v/>
      </c>
      <c r="J179" s="31"/>
    </row>
    <row r="180" s="12" customFormat="1" customHeight="1" spans="2:10">
      <c r="B180" s="25"/>
      <c r="C180" s="25"/>
      <c r="D180" s="26" t="str" cm="1">
        <f t="array" ref="D180">IF(C180="","",IFERROR(INDEX(STPP!$D$6:$D$4207,MATCH(C180,STPP!$C$6:$C$4207,0)),"Not Found"))</f>
        <v/>
      </c>
      <c r="E180" s="27" t="str" cm="1">
        <f t="array" ref="E180">IF(C180="","",IFERROR(INDEX(STPP!$E$6:$E$4207,MATCH(C180,STPP!$C$6:$C$4207,0)),"Not Found"))</f>
        <v/>
      </c>
      <c r="F180" s="27" t="str" cm="1">
        <f t="array" ref="F180">IF(C180="","",IFERROR(INDEX(STPP!$F$6:$F$4207,MATCH(C180,STPP!$C$6:$C$4207,0)),"Not Found"))</f>
        <v/>
      </c>
      <c r="G180" s="25" t="str">
        <f>IF(表1[[#This Row],[No Seri]]="","",表1[[#This Row],[Deskripsi Barang]]+表1[[#This Row],[Kuantitas]]-表1[[#This Row],[Satuan]])</f>
        <v/>
      </c>
      <c r="H180" s="28"/>
      <c r="I180" s="25" t="str">
        <f>IF(表1[[#This Row],[Tgl NPBG]]&gt;表1[[#This Row],[Peminta]],表1[[#This Row],[Tgl NPBG]]-表1[[#This Row],[Peminta]],"")</f>
        <v/>
      </c>
      <c r="J180" s="31"/>
    </row>
    <row r="181" s="12" customFormat="1" customHeight="1" spans="2:10">
      <c r="B181" s="25"/>
      <c r="C181" s="25"/>
      <c r="D181" s="26" t="str" cm="1">
        <f t="array" ref="D181">IF(C181="","",IFERROR(INDEX(STPP!$D$6:$D$4207,MATCH(C181,STPP!$C$6:$C$4207,0)),"Not Found"))</f>
        <v/>
      </c>
      <c r="E181" s="27" t="str" cm="1">
        <f t="array" ref="E181">IF(C181="","",IFERROR(INDEX(STPP!$E$6:$E$4207,MATCH(C181,STPP!$C$6:$C$4207,0)),"Not Found"))</f>
        <v/>
      </c>
      <c r="F181" s="27" t="str" cm="1">
        <f t="array" ref="F181">IF(C181="","",IFERROR(INDEX(STPP!$F$6:$F$4207,MATCH(C181,STPP!$C$6:$C$4207,0)),"Not Found"))</f>
        <v/>
      </c>
      <c r="G181" s="25" t="str">
        <f>IF(表1[[#This Row],[No Seri]]="","",表1[[#This Row],[Deskripsi Barang]]+表1[[#This Row],[Kuantitas]]-表1[[#This Row],[Satuan]])</f>
        <v/>
      </c>
      <c r="H181" s="28"/>
      <c r="I181" s="25" t="str">
        <f>IF(表1[[#This Row],[Tgl NPBG]]&gt;表1[[#This Row],[Peminta]],表1[[#This Row],[Tgl NPBG]]-表1[[#This Row],[Peminta]],"")</f>
        <v/>
      </c>
      <c r="J181" s="31"/>
    </row>
    <row r="182" s="12" customFormat="1" customHeight="1" spans="2:10">
      <c r="B182" s="25"/>
      <c r="C182" s="25"/>
      <c r="D182" s="26" t="str" cm="1">
        <f t="array" ref="D182">IF(C182="","",IFERROR(INDEX(STPP!$D$6:$D$4207,MATCH(C182,STPP!$C$6:$C$4207,0)),"Not Found"))</f>
        <v/>
      </c>
      <c r="E182" s="27" t="str" cm="1">
        <f t="array" ref="E182">IF(C182="","",IFERROR(INDEX(STPP!$E$6:$E$4207,MATCH(C182,STPP!$C$6:$C$4207,0)),"Not Found"))</f>
        <v/>
      </c>
      <c r="F182" s="27" t="str" cm="1">
        <f t="array" ref="F182">IF(C182="","",IFERROR(INDEX(STPP!$F$6:$F$4207,MATCH(C182,STPP!$C$6:$C$4207,0)),"Not Found"))</f>
        <v/>
      </c>
      <c r="G182" s="25" t="str">
        <f>IF(表1[[#This Row],[No Seri]]="","",表1[[#This Row],[Deskripsi Barang]]+表1[[#This Row],[Kuantitas]]-表1[[#This Row],[Satuan]])</f>
        <v/>
      </c>
      <c r="H182" s="28"/>
      <c r="I182" s="25" t="str">
        <f>IF(表1[[#This Row],[Tgl NPBG]]&gt;表1[[#This Row],[Peminta]],表1[[#This Row],[Tgl NPBG]]-表1[[#This Row],[Peminta]],"")</f>
        <v/>
      </c>
      <c r="J182" s="31"/>
    </row>
    <row r="183" s="12" customFormat="1" customHeight="1" spans="2:10">
      <c r="B183" s="25"/>
      <c r="C183" s="25"/>
      <c r="D183" s="26" t="str" cm="1">
        <f t="array" ref="D183">IF(C183="","",IFERROR(INDEX(STPP!$D$6:$D$4207,MATCH(C183,STPP!$C$6:$C$4207,0)),"Not Found"))</f>
        <v/>
      </c>
      <c r="E183" s="27" t="str" cm="1">
        <f t="array" ref="E183">IF(C183="","",IFERROR(INDEX(STPP!$E$6:$E$4207,MATCH(C183,STPP!$C$6:$C$4207,0)),"Not Found"))</f>
        <v/>
      </c>
      <c r="F183" s="27" t="str" cm="1">
        <f t="array" ref="F183">IF(C183="","",IFERROR(INDEX(STPP!$F$6:$F$4207,MATCH(C183,STPP!$C$6:$C$4207,0)),"Not Found"))</f>
        <v/>
      </c>
      <c r="G183" s="25" t="str">
        <f>IF(表1[[#This Row],[No Seri]]="","",表1[[#This Row],[Deskripsi Barang]]+表1[[#This Row],[Kuantitas]]-表1[[#This Row],[Satuan]])</f>
        <v/>
      </c>
      <c r="H183" s="28"/>
      <c r="I183" s="25" t="str">
        <f>IF(表1[[#This Row],[Tgl NPBG]]&gt;表1[[#This Row],[Peminta]],表1[[#This Row],[Tgl NPBG]]-表1[[#This Row],[Peminta]],"")</f>
        <v/>
      </c>
      <c r="J183" s="31"/>
    </row>
    <row r="184" s="12" customFormat="1" customHeight="1" spans="2:10">
      <c r="B184" s="25"/>
      <c r="C184" s="25"/>
      <c r="D184" s="26" t="str" cm="1">
        <f t="array" ref="D184">IF(C184="","",IFERROR(INDEX(STPP!$D$6:$D$4207,MATCH(C184,STPP!$C$6:$C$4207,0)),"Not Found"))</f>
        <v/>
      </c>
      <c r="E184" s="27" t="str" cm="1">
        <f t="array" ref="E184">IF(C184="","",IFERROR(INDEX(STPP!$E$6:$E$4207,MATCH(C184,STPP!$C$6:$C$4207,0)),"Not Found"))</f>
        <v/>
      </c>
      <c r="F184" s="27" t="str" cm="1">
        <f t="array" ref="F184">IF(C184="","",IFERROR(INDEX(STPP!$F$6:$F$4207,MATCH(C184,STPP!$C$6:$C$4207,0)),"Not Found"))</f>
        <v/>
      </c>
      <c r="G184" s="25" t="str">
        <f>IF(表1[[#This Row],[No Seri]]="","",表1[[#This Row],[Deskripsi Barang]]+表1[[#This Row],[Kuantitas]]-表1[[#This Row],[Satuan]])</f>
        <v/>
      </c>
      <c r="H184" s="28"/>
      <c r="I184" s="25" t="str">
        <f>IF(表1[[#This Row],[Tgl NPBG]]&gt;表1[[#This Row],[Peminta]],表1[[#This Row],[Tgl NPBG]]-表1[[#This Row],[Peminta]],"")</f>
        <v/>
      </c>
      <c r="J184" s="31"/>
    </row>
    <row r="185" s="12" customFormat="1" customHeight="1" spans="2:10">
      <c r="B185" s="25"/>
      <c r="C185" s="25"/>
      <c r="D185" s="26" t="str" cm="1">
        <f t="array" ref="D185">IF(C185="","",IFERROR(INDEX(STPP!$D$6:$D$4207,MATCH(C185,STPP!$C$6:$C$4207,0)),"Not Found"))</f>
        <v/>
      </c>
      <c r="E185" s="27" t="str" cm="1">
        <f t="array" ref="E185">IF(C185="","",IFERROR(INDEX(STPP!$E$6:$E$4207,MATCH(C185,STPP!$C$6:$C$4207,0)),"Not Found"))</f>
        <v/>
      </c>
      <c r="F185" s="27" t="str" cm="1">
        <f t="array" ref="F185">IF(C185="","",IFERROR(INDEX(STPP!$F$6:$F$4207,MATCH(C185,STPP!$C$6:$C$4207,0)),"Not Found"))</f>
        <v/>
      </c>
      <c r="G185" s="25" t="str">
        <f>IF(表1[[#This Row],[No Seri]]="","",表1[[#This Row],[Deskripsi Barang]]+表1[[#This Row],[Kuantitas]]-表1[[#This Row],[Satuan]])</f>
        <v/>
      </c>
      <c r="H185" s="28"/>
      <c r="I185" s="25" t="str">
        <f>IF(表1[[#This Row],[Tgl NPBG]]&gt;表1[[#This Row],[Peminta]],表1[[#This Row],[Tgl NPBG]]-表1[[#This Row],[Peminta]],"")</f>
        <v/>
      </c>
      <c r="J185" s="31"/>
    </row>
    <row r="186" s="12" customFormat="1" customHeight="1" spans="2:10">
      <c r="B186" s="25"/>
      <c r="C186" s="25"/>
      <c r="D186" s="26" t="str" cm="1">
        <f t="array" ref="D186">IF(C186="","",IFERROR(INDEX(STPP!$D$6:$D$4207,MATCH(C186,STPP!$C$6:$C$4207,0)),"Not Found"))</f>
        <v/>
      </c>
      <c r="E186" s="27" t="str" cm="1">
        <f t="array" ref="E186">IF(C186="","",IFERROR(INDEX(STPP!$E$6:$E$4207,MATCH(C186,STPP!$C$6:$C$4207,0)),"Not Found"))</f>
        <v/>
      </c>
      <c r="F186" s="27" t="str" cm="1">
        <f t="array" ref="F186">IF(C186="","",IFERROR(INDEX(STPP!$F$6:$F$4207,MATCH(C186,STPP!$C$6:$C$4207,0)),"Not Found"))</f>
        <v/>
      </c>
      <c r="G186" s="25" t="str">
        <f>IF(表1[[#This Row],[No Seri]]="","",表1[[#This Row],[Deskripsi Barang]]+表1[[#This Row],[Kuantitas]]-表1[[#This Row],[Satuan]])</f>
        <v/>
      </c>
      <c r="H186" s="28"/>
      <c r="I186" s="25" t="str">
        <f>IF(表1[[#This Row],[Tgl NPBG]]&gt;表1[[#This Row],[Peminta]],表1[[#This Row],[Tgl NPBG]]-表1[[#This Row],[Peminta]],"")</f>
        <v/>
      </c>
      <c r="J186" s="31"/>
    </row>
    <row r="187" s="12" customFormat="1" customHeight="1" spans="2:10">
      <c r="B187" s="25"/>
      <c r="C187" s="25"/>
      <c r="D187" s="26" t="str" cm="1">
        <f t="array" ref="D187">IF(C187="","",IFERROR(INDEX(STPP!$D$6:$D$4207,MATCH(C187,STPP!$C$6:$C$4207,0)),"Not Found"))</f>
        <v/>
      </c>
      <c r="E187" s="27" t="str" cm="1">
        <f t="array" ref="E187">IF(C187="","",IFERROR(INDEX(STPP!$E$6:$E$4207,MATCH(C187,STPP!$C$6:$C$4207,0)),"Not Found"))</f>
        <v/>
      </c>
      <c r="F187" s="27" t="str" cm="1">
        <f t="array" ref="F187">IF(C187="","",IFERROR(INDEX(STPP!$F$6:$F$4207,MATCH(C187,STPP!$C$6:$C$4207,0)),"Not Found"))</f>
        <v/>
      </c>
      <c r="G187" s="25" t="str">
        <f>IF(表1[[#This Row],[No Seri]]="","",表1[[#This Row],[Deskripsi Barang]]+表1[[#This Row],[Kuantitas]]-表1[[#This Row],[Satuan]])</f>
        <v/>
      </c>
      <c r="H187" s="28"/>
      <c r="I187" s="25" t="str">
        <f>IF(表1[[#This Row],[Tgl NPBG]]&gt;表1[[#This Row],[Peminta]],表1[[#This Row],[Tgl NPBG]]-表1[[#This Row],[Peminta]],"")</f>
        <v/>
      </c>
      <c r="J187" s="31"/>
    </row>
    <row r="188" s="12" customFormat="1" customHeight="1" spans="2:10">
      <c r="B188" s="25"/>
      <c r="C188" s="25"/>
      <c r="D188" s="26" t="str" cm="1">
        <f t="array" ref="D188">IF(C188="","",IFERROR(INDEX(STPP!$D$6:$D$4207,MATCH(C188,STPP!$C$6:$C$4207,0)),"Not Found"))</f>
        <v/>
      </c>
      <c r="E188" s="27" t="str" cm="1">
        <f t="array" ref="E188">IF(C188="","",IFERROR(INDEX(STPP!$E$6:$E$4207,MATCH(C188,STPP!$C$6:$C$4207,0)),"Not Found"))</f>
        <v/>
      </c>
      <c r="F188" s="27" t="str" cm="1">
        <f t="array" ref="F188">IF(C188="","",IFERROR(INDEX(STPP!$F$6:$F$4207,MATCH(C188,STPP!$C$6:$C$4207,0)),"Not Found"))</f>
        <v/>
      </c>
      <c r="G188" s="25" t="str">
        <f>IF(表1[[#This Row],[No Seri]]="","",表1[[#This Row],[Deskripsi Barang]]+表1[[#This Row],[Kuantitas]]-表1[[#This Row],[Satuan]])</f>
        <v/>
      </c>
      <c r="H188" s="28"/>
      <c r="I188" s="25" t="str">
        <f>IF(表1[[#This Row],[Tgl NPBG]]&gt;表1[[#This Row],[Peminta]],表1[[#This Row],[Tgl NPBG]]-表1[[#This Row],[Peminta]],"")</f>
        <v/>
      </c>
      <c r="J188" s="31"/>
    </row>
    <row r="189" s="12" customFormat="1" customHeight="1" spans="2:10">
      <c r="B189" s="25"/>
      <c r="C189" s="25"/>
      <c r="D189" s="26" t="str" cm="1">
        <f t="array" ref="D189">IF(C189="","",IFERROR(INDEX(STPP!$D$6:$D$4207,MATCH(C189,STPP!$C$6:$C$4207,0)),"Not Found"))</f>
        <v/>
      </c>
      <c r="E189" s="27" t="str" cm="1">
        <f t="array" ref="E189">IF(C189="","",IFERROR(INDEX(STPP!$E$6:$E$4207,MATCH(C189,STPP!$C$6:$C$4207,0)),"Not Found"))</f>
        <v/>
      </c>
      <c r="F189" s="27" t="str" cm="1">
        <f t="array" ref="F189">IF(C189="","",IFERROR(INDEX(STPP!$F$6:$F$4207,MATCH(C189,STPP!$C$6:$C$4207,0)),"Not Found"))</f>
        <v/>
      </c>
      <c r="G189" s="25" t="str">
        <f>IF(表1[[#This Row],[No Seri]]="","",表1[[#This Row],[Deskripsi Barang]]+表1[[#This Row],[Kuantitas]]-表1[[#This Row],[Satuan]])</f>
        <v/>
      </c>
      <c r="H189" s="28"/>
      <c r="I189" s="25" t="str">
        <f>IF(表1[[#This Row],[Tgl NPBG]]&gt;表1[[#This Row],[Peminta]],表1[[#This Row],[Tgl NPBG]]-表1[[#This Row],[Peminta]],"")</f>
        <v/>
      </c>
      <c r="J189" s="31"/>
    </row>
    <row r="190" s="12" customFormat="1" customHeight="1" spans="2:10">
      <c r="B190" s="25"/>
      <c r="C190" s="25"/>
      <c r="D190" s="26" t="str" cm="1">
        <f t="array" ref="D190">IF(C190="","",IFERROR(INDEX(STPP!$D$6:$D$4207,MATCH(C190,STPP!$C$6:$C$4207,0)),"Not Found"))</f>
        <v/>
      </c>
      <c r="E190" s="27" t="str" cm="1">
        <f t="array" ref="E190">IF(C190="","",IFERROR(INDEX(STPP!$E$6:$E$4207,MATCH(C190,STPP!$C$6:$C$4207,0)),"Not Found"))</f>
        <v/>
      </c>
      <c r="F190" s="27" t="str" cm="1">
        <f t="array" ref="F190">IF(C190="","",IFERROR(INDEX(STPP!$F$6:$F$4207,MATCH(C190,STPP!$C$6:$C$4207,0)),"Not Found"))</f>
        <v/>
      </c>
      <c r="G190" s="25" t="str">
        <f>IF(表1[[#This Row],[No Seri]]="","",表1[[#This Row],[Deskripsi Barang]]+表1[[#This Row],[Kuantitas]]-表1[[#This Row],[Satuan]])</f>
        <v/>
      </c>
      <c r="H190" s="28"/>
      <c r="I190" s="25" t="str">
        <f>IF(表1[[#This Row],[Tgl NPBG]]&gt;表1[[#This Row],[Peminta]],表1[[#This Row],[Tgl NPBG]]-表1[[#This Row],[Peminta]],"")</f>
        <v/>
      </c>
      <c r="J190" s="31"/>
    </row>
    <row r="191" s="12" customFormat="1" customHeight="1" spans="2:10">
      <c r="B191" s="25"/>
      <c r="C191" s="25"/>
      <c r="D191" s="26" t="str" cm="1">
        <f t="array" ref="D191">IF(C191="","",IFERROR(INDEX(STPP!$D$6:$D$4207,MATCH(C191,STPP!$C$6:$C$4207,0)),"Not Found"))</f>
        <v/>
      </c>
      <c r="E191" s="27" t="str" cm="1">
        <f t="array" ref="E191">IF(C191="","",IFERROR(INDEX(STPP!$E$6:$E$4207,MATCH(C191,STPP!$C$6:$C$4207,0)),"Not Found"))</f>
        <v/>
      </c>
      <c r="F191" s="27" t="str" cm="1">
        <f t="array" ref="F191">IF(C191="","",IFERROR(INDEX(STPP!$F$6:$F$4207,MATCH(C191,STPP!$C$6:$C$4207,0)),"Not Found"))</f>
        <v/>
      </c>
      <c r="G191" s="25" t="str">
        <f>IF(表1[[#This Row],[No Seri]]="","",表1[[#This Row],[Deskripsi Barang]]+表1[[#This Row],[Kuantitas]]-表1[[#This Row],[Satuan]])</f>
        <v/>
      </c>
      <c r="H191" s="28"/>
      <c r="I191" s="25" t="str">
        <f>IF(表1[[#This Row],[Tgl NPBG]]&gt;表1[[#This Row],[Peminta]],表1[[#This Row],[Tgl NPBG]]-表1[[#This Row],[Peminta]],"")</f>
        <v/>
      </c>
      <c r="J191" s="31"/>
    </row>
    <row r="192" s="12" customFormat="1" customHeight="1" spans="2:10">
      <c r="B192" s="25"/>
      <c r="C192" s="25"/>
      <c r="D192" s="26" t="str" cm="1">
        <f t="array" ref="D192">IF(C192="","",IFERROR(INDEX(STPP!$D$6:$D$4207,MATCH(C192,STPP!$C$6:$C$4207,0)),"Not Found"))</f>
        <v/>
      </c>
      <c r="E192" s="27" t="str" cm="1">
        <f t="array" ref="E192">IF(C192="","",IFERROR(INDEX(STPP!$E$6:$E$4207,MATCH(C192,STPP!$C$6:$C$4207,0)),"Not Found"))</f>
        <v/>
      </c>
      <c r="F192" s="27" t="str" cm="1">
        <f t="array" ref="F192">IF(C192="","",IFERROR(INDEX(STPP!$F$6:$F$4207,MATCH(C192,STPP!$C$6:$C$4207,0)),"Not Found"))</f>
        <v/>
      </c>
      <c r="G192" s="25" t="str">
        <f>IF(表1[[#This Row],[No Seri]]="","",表1[[#This Row],[Deskripsi Barang]]+表1[[#This Row],[Kuantitas]]-表1[[#This Row],[Satuan]])</f>
        <v/>
      </c>
      <c r="H192" s="28"/>
      <c r="I192" s="25" t="str">
        <f>IF(表1[[#This Row],[Tgl NPBG]]&gt;表1[[#This Row],[Peminta]],表1[[#This Row],[Tgl NPBG]]-表1[[#This Row],[Peminta]],"")</f>
        <v/>
      </c>
      <c r="J192" s="31"/>
    </row>
    <row r="193" s="12" customFormat="1" customHeight="1" spans="2:10">
      <c r="B193" s="25"/>
      <c r="C193" s="25"/>
      <c r="D193" s="26" t="str" cm="1">
        <f t="array" ref="D193">IF(C193="","",IFERROR(INDEX(STPP!$D$6:$D$4207,MATCH(C193,STPP!$C$6:$C$4207,0)),"Not Found"))</f>
        <v/>
      </c>
      <c r="E193" s="27" t="str" cm="1">
        <f t="array" ref="E193">IF(C193="","",IFERROR(INDEX(STPP!$E$6:$E$4207,MATCH(C193,STPP!$C$6:$C$4207,0)),"Not Found"))</f>
        <v/>
      </c>
      <c r="F193" s="27" t="str" cm="1">
        <f t="array" ref="F193">IF(C193="","",IFERROR(INDEX(STPP!$F$6:$F$4207,MATCH(C193,STPP!$C$6:$C$4207,0)),"Not Found"))</f>
        <v/>
      </c>
      <c r="G193" s="25" t="str">
        <f>IF(表1[[#This Row],[No Seri]]="","",表1[[#This Row],[Deskripsi Barang]]+表1[[#This Row],[Kuantitas]]-表1[[#This Row],[Satuan]])</f>
        <v/>
      </c>
      <c r="H193" s="28"/>
      <c r="I193" s="25" t="str">
        <f>IF(表1[[#This Row],[Tgl NPBG]]&gt;表1[[#This Row],[Peminta]],表1[[#This Row],[Tgl NPBG]]-表1[[#This Row],[Peminta]],"")</f>
        <v/>
      </c>
      <c r="J193" s="31"/>
    </row>
    <row r="194" s="12" customFormat="1" customHeight="1" spans="2:10">
      <c r="B194" s="25"/>
      <c r="C194" s="25"/>
      <c r="D194" s="26" t="str" cm="1">
        <f t="array" ref="D194">IF(C194="","",IFERROR(INDEX(STPP!$D$6:$D$4207,MATCH(C194,STPP!$C$6:$C$4207,0)),"Not Found"))</f>
        <v/>
      </c>
      <c r="E194" s="27" t="str" cm="1">
        <f t="array" ref="E194">IF(C194="","",IFERROR(INDEX(STPP!$E$6:$E$4207,MATCH(C194,STPP!$C$6:$C$4207,0)),"Not Found"))</f>
        <v/>
      </c>
      <c r="F194" s="27" t="str" cm="1">
        <f t="array" ref="F194">IF(C194="","",IFERROR(INDEX(STPP!$F$6:$F$4207,MATCH(C194,STPP!$C$6:$C$4207,0)),"Not Found"))</f>
        <v/>
      </c>
      <c r="G194" s="25" t="str">
        <f>IF(表1[[#This Row],[No Seri]]="","",表1[[#This Row],[Deskripsi Barang]]+表1[[#This Row],[Kuantitas]]-表1[[#This Row],[Satuan]])</f>
        <v/>
      </c>
      <c r="H194" s="28"/>
      <c r="I194" s="25" t="str">
        <f>IF(表1[[#This Row],[Tgl NPBG]]&gt;表1[[#This Row],[Peminta]],表1[[#This Row],[Tgl NPBG]]-表1[[#This Row],[Peminta]],"")</f>
        <v/>
      </c>
      <c r="J194" s="31"/>
    </row>
    <row r="195" s="12" customFormat="1" customHeight="1" spans="2:10">
      <c r="B195" s="25"/>
      <c r="C195" s="25"/>
      <c r="D195" s="26" t="str" cm="1">
        <f t="array" ref="D195">IF(C195="","",IFERROR(INDEX(STPP!$D$6:$D$4207,MATCH(C195,STPP!$C$6:$C$4207,0)),"Not Found"))</f>
        <v/>
      </c>
      <c r="E195" s="27" t="str" cm="1">
        <f t="array" ref="E195">IF(C195="","",IFERROR(INDEX(STPP!$E$6:$E$4207,MATCH(C195,STPP!$C$6:$C$4207,0)),"Not Found"))</f>
        <v/>
      </c>
      <c r="F195" s="27" t="str" cm="1">
        <f t="array" ref="F195">IF(C195="","",IFERROR(INDEX(STPP!$F$6:$F$4207,MATCH(C195,STPP!$C$6:$C$4207,0)),"Not Found"))</f>
        <v/>
      </c>
      <c r="G195" s="25" t="str">
        <f>IF(表1[[#This Row],[No Seri]]="","",表1[[#This Row],[Deskripsi Barang]]+表1[[#This Row],[Kuantitas]]-表1[[#This Row],[Satuan]])</f>
        <v/>
      </c>
      <c r="H195" s="28"/>
      <c r="I195" s="25" t="str">
        <f>IF(表1[[#This Row],[Tgl NPBG]]&gt;表1[[#This Row],[Peminta]],表1[[#This Row],[Tgl NPBG]]-表1[[#This Row],[Peminta]],"")</f>
        <v/>
      </c>
      <c r="J195" s="31"/>
    </row>
    <row r="196" s="12" customFormat="1" customHeight="1" spans="2:10">
      <c r="B196" s="25"/>
      <c r="C196" s="25"/>
      <c r="D196" s="26" t="str" cm="1">
        <f t="array" ref="D196">IF(C196="","",IFERROR(INDEX(STPP!$D$6:$D$4207,MATCH(C196,STPP!$C$6:$C$4207,0)),"Not Found"))</f>
        <v/>
      </c>
      <c r="E196" s="27" t="str" cm="1">
        <f t="array" ref="E196">IF(C196="","",IFERROR(INDEX(STPP!$E$6:$E$4207,MATCH(C196,STPP!$C$6:$C$4207,0)),"Not Found"))</f>
        <v/>
      </c>
      <c r="F196" s="27" t="str" cm="1">
        <f t="array" ref="F196">IF(C196="","",IFERROR(INDEX(STPP!$F$6:$F$4207,MATCH(C196,STPP!$C$6:$C$4207,0)),"Not Found"))</f>
        <v/>
      </c>
      <c r="G196" s="25" t="str">
        <f>IF(表1[[#This Row],[No Seri]]="","",表1[[#This Row],[Deskripsi Barang]]+表1[[#This Row],[Kuantitas]]-表1[[#This Row],[Satuan]])</f>
        <v/>
      </c>
      <c r="H196" s="28"/>
      <c r="I196" s="25" t="str">
        <f>IF(表1[[#This Row],[Tgl NPBG]]&gt;表1[[#This Row],[Peminta]],表1[[#This Row],[Tgl NPBG]]-表1[[#This Row],[Peminta]],"")</f>
        <v/>
      </c>
      <c r="J196" s="31"/>
    </row>
    <row r="197" s="12" customFormat="1" customHeight="1" spans="2:10">
      <c r="B197" s="25"/>
      <c r="C197" s="25"/>
      <c r="D197" s="26" t="str" cm="1">
        <f t="array" ref="D197">IF(C197="","",IFERROR(INDEX(STPP!$D$6:$D$4207,MATCH(C197,STPP!$C$6:$C$4207,0)),"Not Found"))</f>
        <v/>
      </c>
      <c r="E197" s="27" t="str" cm="1">
        <f t="array" ref="E197">IF(C197="","",IFERROR(INDEX(STPP!$E$6:$E$4207,MATCH(C197,STPP!$C$6:$C$4207,0)),"Not Found"))</f>
        <v/>
      </c>
      <c r="F197" s="27" t="str" cm="1">
        <f t="array" ref="F197">IF(C197="","",IFERROR(INDEX(STPP!$F$6:$F$4207,MATCH(C197,STPP!$C$6:$C$4207,0)),"Not Found"))</f>
        <v/>
      </c>
      <c r="G197" s="25" t="str">
        <f>IF(表1[[#This Row],[No Seri]]="","",表1[[#This Row],[Deskripsi Barang]]+表1[[#This Row],[Kuantitas]]-表1[[#This Row],[Satuan]])</f>
        <v/>
      </c>
      <c r="H197" s="28"/>
      <c r="I197" s="25" t="str">
        <f>IF(表1[[#This Row],[Tgl NPBG]]&gt;表1[[#This Row],[Peminta]],表1[[#This Row],[Tgl NPBG]]-表1[[#This Row],[Peminta]],"")</f>
        <v/>
      </c>
      <c r="J197" s="31"/>
    </row>
    <row r="198" s="12" customFormat="1" customHeight="1" spans="2:10">
      <c r="B198" s="25"/>
      <c r="C198" s="25"/>
      <c r="D198" s="26" t="str" cm="1">
        <f t="array" ref="D198">IF(C198="","",IFERROR(INDEX(STPP!$D$6:$D$4207,MATCH(C198,STPP!$C$6:$C$4207,0)),"Not Found"))</f>
        <v/>
      </c>
      <c r="E198" s="27" t="str" cm="1">
        <f t="array" ref="E198">IF(C198="","",IFERROR(INDEX(STPP!$E$6:$E$4207,MATCH(C198,STPP!$C$6:$C$4207,0)),"Not Found"))</f>
        <v/>
      </c>
      <c r="F198" s="27" t="str" cm="1">
        <f t="array" ref="F198">IF(C198="","",IFERROR(INDEX(STPP!$F$6:$F$4207,MATCH(C198,STPP!$C$6:$C$4207,0)),"Not Found"))</f>
        <v/>
      </c>
      <c r="G198" s="25" t="str">
        <f>IF(表1[[#This Row],[No Seri]]="","",表1[[#This Row],[Deskripsi Barang]]+表1[[#This Row],[Kuantitas]]-表1[[#This Row],[Satuan]])</f>
        <v/>
      </c>
      <c r="H198" s="28"/>
      <c r="I198" s="25" t="str">
        <f>IF(表1[[#This Row],[Tgl NPBG]]&gt;表1[[#This Row],[Peminta]],表1[[#This Row],[Tgl NPBG]]-表1[[#This Row],[Peminta]],"")</f>
        <v/>
      </c>
      <c r="J198" s="31"/>
    </row>
    <row r="199" s="12" customFormat="1" customHeight="1" spans="2:10">
      <c r="B199" s="25"/>
      <c r="C199" s="25"/>
      <c r="D199" s="26" t="str" cm="1">
        <f t="array" ref="D199">IF(C199="","",IFERROR(INDEX(STPP!$D$6:$D$4207,MATCH(C199,STPP!$C$6:$C$4207,0)),"Not Found"))</f>
        <v/>
      </c>
      <c r="E199" s="27" t="str" cm="1">
        <f t="array" ref="E199">IF(C199="","",IFERROR(INDEX(STPP!$E$6:$E$4207,MATCH(C199,STPP!$C$6:$C$4207,0)),"Not Found"))</f>
        <v/>
      </c>
      <c r="F199" s="27" t="str" cm="1">
        <f t="array" ref="F199">IF(C199="","",IFERROR(INDEX(STPP!$F$6:$F$4207,MATCH(C199,STPP!$C$6:$C$4207,0)),"Not Found"))</f>
        <v/>
      </c>
      <c r="G199" s="25" t="str">
        <f>IF(表1[[#This Row],[No Seri]]="","",表1[[#This Row],[Deskripsi Barang]]+表1[[#This Row],[Kuantitas]]-表1[[#This Row],[Satuan]])</f>
        <v/>
      </c>
      <c r="H199" s="28"/>
      <c r="I199" s="25" t="str">
        <f>IF(表1[[#This Row],[Tgl NPBG]]&gt;表1[[#This Row],[Peminta]],表1[[#This Row],[Tgl NPBG]]-表1[[#This Row],[Peminta]],"")</f>
        <v/>
      </c>
      <c r="J199" s="31"/>
    </row>
    <row r="200" s="12" customFormat="1" customHeight="1" spans="2:10">
      <c r="B200" s="25"/>
      <c r="C200" s="25"/>
      <c r="D200" s="26" t="str" cm="1">
        <f t="array" ref="D200">IF(C200="","",IFERROR(INDEX(STPP!$D$6:$D$4207,MATCH(C200,STPP!$C$6:$C$4207,0)),"Not Found"))</f>
        <v/>
      </c>
      <c r="E200" s="27" t="str" cm="1">
        <f t="array" ref="E200">IF(C200="","",IFERROR(INDEX(STPP!$E$6:$E$4207,MATCH(C200,STPP!$C$6:$C$4207,0)),"Not Found"))</f>
        <v/>
      </c>
      <c r="F200" s="27" t="str" cm="1">
        <f t="array" ref="F200">IF(C200="","",IFERROR(INDEX(STPP!$F$6:$F$4207,MATCH(C200,STPP!$C$6:$C$4207,0)),"Not Found"))</f>
        <v/>
      </c>
      <c r="G200" s="25" t="str">
        <f>IF(表1[[#This Row],[No Seri]]="","",表1[[#This Row],[Deskripsi Barang]]+表1[[#This Row],[Kuantitas]]-表1[[#This Row],[Satuan]])</f>
        <v/>
      </c>
      <c r="H200" s="28"/>
      <c r="I200" s="25" t="str">
        <f>IF(表1[[#This Row],[Tgl NPBG]]&gt;表1[[#This Row],[Peminta]],表1[[#This Row],[Tgl NPBG]]-表1[[#This Row],[Peminta]],"")</f>
        <v/>
      </c>
      <c r="J200" s="31"/>
    </row>
    <row r="201" s="12" customFormat="1" customHeight="1" spans="2:10">
      <c r="B201" s="25"/>
      <c r="C201" s="25"/>
      <c r="D201" s="26" t="str" cm="1">
        <f t="array" ref="D201">IF(C201="","",IFERROR(INDEX(STPP!$D$6:$D$4207,MATCH(C201,STPP!$C$6:$C$4207,0)),"Not Found"))</f>
        <v/>
      </c>
      <c r="E201" s="27" t="str" cm="1">
        <f t="array" ref="E201">IF(C201="","",IFERROR(INDEX(STPP!$E$6:$E$4207,MATCH(C201,STPP!$C$6:$C$4207,0)),"Not Found"))</f>
        <v/>
      </c>
      <c r="F201" s="27" t="str" cm="1">
        <f t="array" ref="F201">IF(C201="","",IFERROR(INDEX(STPP!$F$6:$F$4207,MATCH(C201,STPP!$C$6:$C$4207,0)),"Not Found"))</f>
        <v/>
      </c>
      <c r="G201" s="25" t="str">
        <f>IF(表1[[#This Row],[No Seri]]="","",表1[[#This Row],[Deskripsi Barang]]+表1[[#This Row],[Kuantitas]]-表1[[#This Row],[Satuan]])</f>
        <v/>
      </c>
      <c r="H201" s="28"/>
      <c r="I201" s="25" t="str">
        <f>IF(表1[[#This Row],[Tgl NPBG]]&gt;表1[[#This Row],[Peminta]],表1[[#This Row],[Tgl NPBG]]-表1[[#This Row],[Peminta]],"")</f>
        <v/>
      </c>
      <c r="J201" s="31"/>
    </row>
    <row r="202" s="12" customFormat="1" customHeight="1" spans="2:10">
      <c r="B202" s="25"/>
      <c r="C202" s="25"/>
      <c r="D202" s="26" t="str" cm="1">
        <f t="array" ref="D202">IF(C202="","",IFERROR(INDEX(STPP!$D$6:$D$4207,MATCH(C202,STPP!$C$6:$C$4207,0)),"Not Found"))</f>
        <v/>
      </c>
      <c r="E202" s="27" t="str" cm="1">
        <f t="array" ref="E202">IF(C202="","",IFERROR(INDEX(STPP!$E$6:$E$4207,MATCH(C202,STPP!$C$6:$C$4207,0)),"Not Found"))</f>
        <v/>
      </c>
      <c r="F202" s="27" t="str" cm="1">
        <f t="array" ref="F202">IF(C202="","",IFERROR(INDEX(STPP!$F$6:$F$4207,MATCH(C202,STPP!$C$6:$C$4207,0)),"Not Found"))</f>
        <v/>
      </c>
      <c r="G202" s="25" t="str">
        <f>IF(表1[[#This Row],[No Seri]]="","",表1[[#This Row],[Deskripsi Barang]]+表1[[#This Row],[Kuantitas]]-表1[[#This Row],[Satuan]])</f>
        <v/>
      </c>
      <c r="H202" s="28"/>
      <c r="I202" s="25" t="str">
        <f>IF(表1[[#This Row],[Tgl NPBG]]&gt;表1[[#This Row],[Peminta]],表1[[#This Row],[Tgl NPBG]]-表1[[#This Row],[Peminta]],"")</f>
        <v/>
      </c>
      <c r="J202" s="31"/>
    </row>
    <row r="203" s="12" customFormat="1" customHeight="1" spans="2:10">
      <c r="B203" s="25"/>
      <c r="C203" s="25"/>
      <c r="D203" s="26" t="str" cm="1">
        <f t="array" ref="D203">IF(C203="","",IFERROR(INDEX(STPP!$D$6:$D$4207,MATCH(C203,STPP!$C$6:$C$4207,0)),"Not Found"))</f>
        <v/>
      </c>
      <c r="E203" s="27" t="str" cm="1">
        <f t="array" ref="E203">IF(C203="","",IFERROR(INDEX(STPP!$E$6:$E$4207,MATCH(C203,STPP!$C$6:$C$4207,0)),"Not Found"))</f>
        <v/>
      </c>
      <c r="F203" s="27" t="str" cm="1">
        <f t="array" ref="F203">IF(C203="","",IFERROR(INDEX(STPP!$F$6:$F$4207,MATCH(C203,STPP!$C$6:$C$4207,0)),"Not Found"))</f>
        <v/>
      </c>
      <c r="G203" s="25" t="str">
        <f>IF(表1[[#This Row],[No Seri]]="","",表1[[#This Row],[Deskripsi Barang]]+表1[[#This Row],[Kuantitas]]-表1[[#This Row],[Satuan]])</f>
        <v/>
      </c>
      <c r="H203" s="28"/>
      <c r="I203" s="25" t="str">
        <f>IF(表1[[#This Row],[Tgl NPBG]]&gt;表1[[#This Row],[Peminta]],表1[[#This Row],[Tgl NPBG]]-表1[[#This Row],[Peminta]],"")</f>
        <v/>
      </c>
      <c r="J203" s="31"/>
    </row>
    <row r="204" s="12" customFormat="1" customHeight="1" spans="2:10">
      <c r="B204" s="25"/>
      <c r="C204" s="25"/>
      <c r="D204" s="26" t="str" cm="1">
        <f t="array" ref="D204">IF(C204="","",IFERROR(INDEX(STPP!$D$6:$D$4207,MATCH(C204,STPP!$C$6:$C$4207,0)),"Not Found"))</f>
        <v/>
      </c>
      <c r="E204" s="27" t="str" cm="1">
        <f t="array" ref="E204">IF(C204="","",IFERROR(INDEX(STPP!$E$6:$E$4207,MATCH(C204,STPP!$C$6:$C$4207,0)),"Not Found"))</f>
        <v/>
      </c>
      <c r="F204" s="27" t="str" cm="1">
        <f t="array" ref="F204">IF(C204="","",IFERROR(INDEX(STPP!$F$6:$F$4207,MATCH(C204,STPP!$C$6:$C$4207,0)),"Not Found"))</f>
        <v/>
      </c>
      <c r="G204" s="25" t="str">
        <f>IF(表1[[#This Row],[No Seri]]="","",表1[[#This Row],[Deskripsi Barang]]+表1[[#This Row],[Kuantitas]]-表1[[#This Row],[Satuan]])</f>
        <v/>
      </c>
      <c r="H204" s="28"/>
      <c r="I204" s="25" t="str">
        <f>IF(表1[[#This Row],[Tgl NPBG]]&gt;表1[[#This Row],[Peminta]],表1[[#This Row],[Tgl NPBG]]-表1[[#This Row],[Peminta]],"")</f>
        <v/>
      </c>
      <c r="J204" s="31"/>
    </row>
    <row r="205" s="12" customFormat="1" customHeight="1" spans="2:10">
      <c r="B205" s="25"/>
      <c r="C205" s="25"/>
      <c r="D205" s="26" t="str" cm="1">
        <f t="array" ref="D205">IF(C205="","",IFERROR(INDEX(STPP!$D$6:$D$4207,MATCH(C205,STPP!$C$6:$C$4207,0)),"Not Found"))</f>
        <v/>
      </c>
      <c r="E205" s="27" t="str" cm="1">
        <f t="array" ref="E205">IF(C205="","",IFERROR(INDEX(STPP!$E$6:$E$4207,MATCH(C205,STPP!$C$6:$C$4207,0)),"Not Found"))</f>
        <v/>
      </c>
      <c r="F205" s="27" t="str" cm="1">
        <f t="array" ref="F205">IF(C205="","",IFERROR(INDEX(STPP!$F$6:$F$4207,MATCH(C205,STPP!$C$6:$C$4207,0)),"Not Found"))</f>
        <v/>
      </c>
      <c r="G205" s="25" t="str">
        <f>IF(表1[[#This Row],[No Seri]]="","",表1[[#This Row],[Deskripsi Barang]]+表1[[#This Row],[Kuantitas]]-表1[[#This Row],[Satuan]])</f>
        <v/>
      </c>
      <c r="H205" s="28"/>
      <c r="I205" s="25" t="str">
        <f>IF(表1[[#This Row],[Tgl NPBG]]&gt;表1[[#This Row],[Peminta]],表1[[#This Row],[Tgl NPBG]]-表1[[#This Row],[Peminta]],"")</f>
        <v/>
      </c>
      <c r="J205" s="31"/>
    </row>
    <row r="206" s="12" customFormat="1" customHeight="1" spans="2:10">
      <c r="B206" s="25"/>
      <c r="C206" s="25"/>
      <c r="D206" s="26" t="str" cm="1">
        <f t="array" ref="D206">IF(C206="","",IFERROR(INDEX(STPP!$D$6:$D$4207,MATCH(C206,STPP!$C$6:$C$4207,0)),"Not Found"))</f>
        <v/>
      </c>
      <c r="E206" s="27" t="str" cm="1">
        <f t="array" ref="E206">IF(C206="","",IFERROR(INDEX(STPP!$E$6:$E$4207,MATCH(C206,STPP!$C$6:$C$4207,0)),"Not Found"))</f>
        <v/>
      </c>
      <c r="F206" s="27" t="str" cm="1">
        <f t="array" ref="F206">IF(C206="","",IFERROR(INDEX(STPP!$F$6:$F$4207,MATCH(C206,STPP!$C$6:$C$4207,0)),"Not Found"))</f>
        <v/>
      </c>
      <c r="G206" s="25" t="str">
        <f>IF(表1[[#This Row],[No Seri]]="","",表1[[#This Row],[Deskripsi Barang]]+表1[[#This Row],[Kuantitas]]-表1[[#This Row],[Satuan]])</f>
        <v/>
      </c>
      <c r="H206" s="28"/>
      <c r="I206" s="25" t="str">
        <f>IF(表1[[#This Row],[Tgl NPBG]]&gt;表1[[#This Row],[Peminta]],表1[[#This Row],[Tgl NPBG]]-表1[[#This Row],[Peminta]],"")</f>
        <v/>
      </c>
      <c r="J206" s="31"/>
    </row>
    <row r="207" s="12" customFormat="1" customHeight="1" spans="2:10">
      <c r="B207" s="25"/>
      <c r="C207" s="25"/>
      <c r="D207" s="26" t="str" cm="1">
        <f t="array" ref="D207">IF(C207="","",IFERROR(INDEX(STPP!$D$6:$D$4207,MATCH(C207,STPP!$C$6:$C$4207,0)),"Not Found"))</f>
        <v/>
      </c>
      <c r="E207" s="27" t="str" cm="1">
        <f t="array" ref="E207">IF(C207="","",IFERROR(INDEX(STPP!$E$6:$E$4207,MATCH(C207,STPP!$C$6:$C$4207,0)),"Not Found"))</f>
        <v/>
      </c>
      <c r="F207" s="27" t="str" cm="1">
        <f t="array" ref="F207">IF(C207="","",IFERROR(INDEX(STPP!$F$6:$F$4207,MATCH(C207,STPP!$C$6:$C$4207,0)),"Not Found"))</f>
        <v/>
      </c>
      <c r="G207" s="25" t="str">
        <f>IF(表1[[#This Row],[No Seri]]="","",表1[[#This Row],[Deskripsi Barang]]+表1[[#This Row],[Kuantitas]]-表1[[#This Row],[Satuan]])</f>
        <v/>
      </c>
      <c r="H207" s="28"/>
      <c r="I207" s="25" t="str">
        <f>IF(表1[[#This Row],[Tgl NPBG]]&gt;表1[[#This Row],[Peminta]],表1[[#This Row],[Tgl NPBG]]-表1[[#This Row],[Peminta]],"")</f>
        <v/>
      </c>
      <c r="J207" s="31"/>
    </row>
    <row r="208" s="12" customFormat="1" customHeight="1" spans="2:10">
      <c r="B208" s="25"/>
      <c r="C208" s="25"/>
      <c r="D208" s="26" t="str" cm="1">
        <f t="array" ref="D208">IF(C208="","",IFERROR(INDEX(STPP!$D$6:$D$4207,MATCH(C208,STPP!$C$6:$C$4207,0)),"Not Found"))</f>
        <v/>
      </c>
      <c r="E208" s="27" t="str" cm="1">
        <f t="array" ref="E208">IF(C208="","",IFERROR(INDEX(STPP!$E$6:$E$4207,MATCH(C208,STPP!$C$6:$C$4207,0)),"Not Found"))</f>
        <v/>
      </c>
      <c r="F208" s="27" t="str" cm="1">
        <f t="array" ref="F208">IF(C208="","",IFERROR(INDEX(STPP!$F$6:$F$4207,MATCH(C208,STPP!$C$6:$C$4207,0)),"Not Found"))</f>
        <v/>
      </c>
      <c r="G208" s="25" t="str">
        <f>IF(表1[[#This Row],[No Seri]]="","",表1[[#This Row],[Deskripsi Barang]]+表1[[#This Row],[Kuantitas]]-表1[[#This Row],[Satuan]])</f>
        <v/>
      </c>
      <c r="H208" s="28"/>
      <c r="I208" s="25" t="str">
        <f>IF(表1[[#This Row],[Tgl NPBG]]&gt;表1[[#This Row],[Peminta]],表1[[#This Row],[Tgl NPBG]]-表1[[#This Row],[Peminta]],"")</f>
        <v/>
      </c>
      <c r="J208" s="31"/>
    </row>
    <row r="209" s="12" customFormat="1" customHeight="1" spans="2:10">
      <c r="B209" s="25"/>
      <c r="C209" s="25"/>
      <c r="D209" s="26" t="str" cm="1">
        <f t="array" ref="D209">IF(C209="","",IFERROR(INDEX(STPP!$D$6:$D$4207,MATCH(C209,STPP!$C$6:$C$4207,0)),"Not Found"))</f>
        <v/>
      </c>
      <c r="E209" s="27" t="str" cm="1">
        <f t="array" ref="E209">IF(C209="","",IFERROR(INDEX(STPP!$E$6:$E$4207,MATCH(C209,STPP!$C$6:$C$4207,0)),"Not Found"))</f>
        <v/>
      </c>
      <c r="F209" s="27" t="str" cm="1">
        <f t="array" ref="F209">IF(C209="","",IFERROR(INDEX(STPP!$F$6:$F$4207,MATCH(C209,STPP!$C$6:$C$4207,0)),"Not Found"))</f>
        <v/>
      </c>
      <c r="G209" s="25" t="str">
        <f>IF(表1[[#This Row],[No Seri]]="","",表1[[#This Row],[Deskripsi Barang]]+表1[[#This Row],[Kuantitas]]-表1[[#This Row],[Satuan]])</f>
        <v/>
      </c>
      <c r="H209" s="28"/>
      <c r="I209" s="25" t="str">
        <f>IF(表1[[#This Row],[Tgl NPBG]]&gt;表1[[#This Row],[Peminta]],表1[[#This Row],[Tgl NPBG]]-表1[[#This Row],[Peminta]],"")</f>
        <v/>
      </c>
      <c r="J209" s="31"/>
    </row>
    <row r="210" s="12" customFormat="1" customHeight="1" spans="2:10">
      <c r="B210" s="25"/>
      <c r="C210" s="25"/>
      <c r="D210" s="26" t="str" cm="1">
        <f t="array" ref="D210">IF(C210="","",IFERROR(INDEX(STPP!$D$6:$D$4207,MATCH(C210,STPP!$C$6:$C$4207,0)),"Not Found"))</f>
        <v/>
      </c>
      <c r="E210" s="27" t="str" cm="1">
        <f t="array" ref="E210">IF(C210="","",IFERROR(INDEX(STPP!$E$6:$E$4207,MATCH(C210,STPP!$C$6:$C$4207,0)),"Not Found"))</f>
        <v/>
      </c>
      <c r="F210" s="27" t="str" cm="1">
        <f t="array" ref="F210">IF(C210="","",IFERROR(INDEX(STPP!$F$6:$F$4207,MATCH(C210,STPP!$C$6:$C$4207,0)),"Not Found"))</f>
        <v/>
      </c>
      <c r="G210" s="25" t="str">
        <f>IF(表1[[#This Row],[No Seri]]="","",表1[[#This Row],[Deskripsi Barang]]+表1[[#This Row],[Kuantitas]]-表1[[#This Row],[Satuan]])</f>
        <v/>
      </c>
      <c r="H210" s="28"/>
      <c r="I210" s="25" t="str">
        <f>IF(表1[[#This Row],[Tgl NPBG]]&gt;表1[[#This Row],[Peminta]],表1[[#This Row],[Tgl NPBG]]-表1[[#This Row],[Peminta]],"")</f>
        <v/>
      </c>
      <c r="J210" s="31"/>
    </row>
    <row r="211" s="12" customFormat="1" customHeight="1" spans="2:10">
      <c r="B211" s="25"/>
      <c r="C211" s="25"/>
      <c r="D211" s="26" t="str" cm="1">
        <f t="array" ref="D211">IF(C211="","",IFERROR(INDEX(STPP!$D$6:$D$4207,MATCH(C211,STPP!$C$6:$C$4207,0)),"Not Found"))</f>
        <v/>
      </c>
      <c r="E211" s="27" t="str" cm="1">
        <f t="array" ref="E211">IF(C211="","",IFERROR(INDEX(STPP!$E$6:$E$4207,MATCH(C211,STPP!$C$6:$C$4207,0)),"Not Found"))</f>
        <v/>
      </c>
      <c r="F211" s="27" t="str" cm="1">
        <f t="array" ref="F211">IF(C211="","",IFERROR(INDEX(STPP!$F$6:$F$4207,MATCH(C211,STPP!$C$6:$C$4207,0)),"Not Found"))</f>
        <v/>
      </c>
      <c r="G211" s="25" t="str">
        <f>IF(表1[[#This Row],[No Seri]]="","",表1[[#This Row],[Deskripsi Barang]]+表1[[#This Row],[Kuantitas]]-表1[[#This Row],[Satuan]])</f>
        <v/>
      </c>
      <c r="H211" s="28"/>
      <c r="I211" s="25" t="str">
        <f>IF(表1[[#This Row],[Tgl NPBG]]&gt;表1[[#This Row],[Peminta]],表1[[#This Row],[Tgl NPBG]]-表1[[#This Row],[Peminta]],"")</f>
        <v/>
      </c>
      <c r="J211" s="31"/>
    </row>
    <row r="212" s="12" customFormat="1" customHeight="1" spans="2:10">
      <c r="B212" s="25"/>
      <c r="C212" s="25"/>
      <c r="D212" s="26" t="str" cm="1">
        <f t="array" ref="D212">IF(C212="","",IFERROR(INDEX(STPP!$D$6:$D$4207,MATCH(C212,STPP!$C$6:$C$4207,0)),"Not Found"))</f>
        <v/>
      </c>
      <c r="E212" s="27" t="str" cm="1">
        <f t="array" ref="E212">IF(C212="","",IFERROR(INDEX(STPP!$E$6:$E$4207,MATCH(C212,STPP!$C$6:$C$4207,0)),"Not Found"))</f>
        <v/>
      </c>
      <c r="F212" s="27" t="str" cm="1">
        <f t="array" ref="F212">IF(C212="","",IFERROR(INDEX(STPP!$F$6:$F$4207,MATCH(C212,STPP!$C$6:$C$4207,0)),"Not Found"))</f>
        <v/>
      </c>
      <c r="G212" s="25" t="str">
        <f>IF(表1[[#This Row],[No Seri]]="","",表1[[#This Row],[Deskripsi Barang]]+表1[[#This Row],[Kuantitas]]-表1[[#This Row],[Satuan]])</f>
        <v/>
      </c>
      <c r="H212" s="28"/>
      <c r="I212" s="25" t="str">
        <f>IF(表1[[#This Row],[Tgl NPBG]]&gt;表1[[#This Row],[Peminta]],表1[[#This Row],[Tgl NPBG]]-表1[[#This Row],[Peminta]],"")</f>
        <v/>
      </c>
      <c r="J212" s="31"/>
    </row>
    <row r="213" s="12" customFormat="1" customHeight="1" spans="2:10">
      <c r="B213" s="25"/>
      <c r="C213" s="25"/>
      <c r="D213" s="26" t="str" cm="1">
        <f t="array" ref="D213">IF(C213="","",IFERROR(INDEX(STPP!$D$6:$D$4207,MATCH(C213,STPP!$C$6:$C$4207,0)),"Not Found"))</f>
        <v/>
      </c>
      <c r="E213" s="27" t="str" cm="1">
        <f t="array" ref="E213">IF(C213="","",IFERROR(INDEX(STPP!$E$6:$E$4207,MATCH(C213,STPP!$C$6:$C$4207,0)),"Not Found"))</f>
        <v/>
      </c>
      <c r="F213" s="27" t="str" cm="1">
        <f t="array" ref="F213">IF(C213="","",IFERROR(INDEX(STPP!$F$6:$F$4207,MATCH(C213,STPP!$C$6:$C$4207,0)),"Not Found"))</f>
        <v/>
      </c>
      <c r="G213" s="25" t="str">
        <f>IF(表1[[#This Row],[No Seri]]="","",表1[[#This Row],[Deskripsi Barang]]+表1[[#This Row],[Kuantitas]]-表1[[#This Row],[Satuan]])</f>
        <v/>
      </c>
      <c r="H213" s="28"/>
      <c r="I213" s="25" t="str">
        <f>IF(表1[[#This Row],[Tgl NPBG]]&gt;表1[[#This Row],[Peminta]],表1[[#This Row],[Tgl NPBG]]-表1[[#This Row],[Peminta]],"")</f>
        <v/>
      </c>
      <c r="J213" s="31"/>
    </row>
    <row r="214" s="12" customFormat="1" customHeight="1" spans="2:10">
      <c r="B214" s="25"/>
      <c r="C214" s="25"/>
      <c r="D214" s="26" t="str" cm="1">
        <f t="array" ref="D214">IF(C214="","",IFERROR(INDEX(STPP!$D$6:$D$4207,MATCH(C214,STPP!$C$6:$C$4207,0)),"Not Found"))</f>
        <v/>
      </c>
      <c r="E214" s="27" t="str" cm="1">
        <f t="array" ref="E214">IF(C214="","",IFERROR(INDEX(STPP!$E$6:$E$4207,MATCH(C214,STPP!$C$6:$C$4207,0)),"Not Found"))</f>
        <v/>
      </c>
      <c r="F214" s="27" t="str" cm="1">
        <f t="array" ref="F214">IF(C214="","",IFERROR(INDEX(STPP!$F$6:$F$4207,MATCH(C214,STPP!$C$6:$C$4207,0)),"Not Found"))</f>
        <v/>
      </c>
      <c r="G214" s="25" t="str">
        <f>IF(表1[[#This Row],[No Seri]]="","",表1[[#This Row],[Deskripsi Barang]]+表1[[#This Row],[Kuantitas]]-表1[[#This Row],[Satuan]])</f>
        <v/>
      </c>
      <c r="H214" s="28"/>
      <c r="I214" s="25" t="str">
        <f>IF(表1[[#This Row],[Tgl NPBG]]&gt;表1[[#This Row],[Peminta]],表1[[#This Row],[Tgl NPBG]]-表1[[#This Row],[Peminta]],"")</f>
        <v/>
      </c>
      <c r="J214" s="31"/>
    </row>
    <row r="215" s="12" customFormat="1" customHeight="1" spans="2:10">
      <c r="B215" s="25"/>
      <c r="C215" s="25"/>
      <c r="D215" s="26" t="str" cm="1">
        <f t="array" ref="D215">IF(C215="","",IFERROR(INDEX(STPP!$D$6:$D$4207,MATCH(C215,STPP!$C$6:$C$4207,0)),"Not Found"))</f>
        <v/>
      </c>
      <c r="E215" s="27" t="str" cm="1">
        <f t="array" ref="E215">IF(C215="","",IFERROR(INDEX(STPP!$E$6:$E$4207,MATCH(C215,STPP!$C$6:$C$4207,0)),"Not Found"))</f>
        <v/>
      </c>
      <c r="F215" s="27" t="str" cm="1">
        <f t="array" ref="F215">IF(C215="","",IFERROR(INDEX(STPP!$F$6:$F$4207,MATCH(C215,STPP!$C$6:$C$4207,0)),"Not Found"))</f>
        <v/>
      </c>
      <c r="G215" s="25" t="str">
        <f>IF(表1[[#This Row],[No Seri]]="","",表1[[#This Row],[Deskripsi Barang]]+表1[[#This Row],[Kuantitas]]-表1[[#This Row],[Satuan]])</f>
        <v/>
      </c>
      <c r="H215" s="28"/>
      <c r="I215" s="25" t="str">
        <f>IF(表1[[#This Row],[Tgl NPBG]]&gt;表1[[#This Row],[Peminta]],表1[[#This Row],[Tgl NPBG]]-表1[[#This Row],[Peminta]],"")</f>
        <v/>
      </c>
      <c r="J215" s="31"/>
    </row>
    <row r="216" s="12" customFormat="1" customHeight="1" spans="2:10">
      <c r="B216" s="25"/>
      <c r="C216" s="25"/>
      <c r="D216" s="26" t="str" cm="1">
        <f t="array" ref="D216">IF(C216="","",IFERROR(INDEX(STPP!$D$6:$D$4207,MATCH(C216,STPP!$C$6:$C$4207,0)),"Not Found"))</f>
        <v/>
      </c>
      <c r="E216" s="27" t="str" cm="1">
        <f t="array" ref="E216">IF(C216="","",IFERROR(INDEX(STPP!$E$6:$E$4207,MATCH(C216,STPP!$C$6:$C$4207,0)),"Not Found"))</f>
        <v/>
      </c>
      <c r="F216" s="27" t="str" cm="1">
        <f t="array" ref="F216">IF(C216="","",IFERROR(INDEX(STPP!$F$6:$F$4207,MATCH(C216,STPP!$C$6:$C$4207,0)),"Not Found"))</f>
        <v/>
      </c>
      <c r="G216" s="25" t="str">
        <f>IF(表1[[#This Row],[No Seri]]="","",表1[[#This Row],[Deskripsi Barang]]+表1[[#This Row],[Kuantitas]]-表1[[#This Row],[Satuan]])</f>
        <v/>
      </c>
      <c r="H216" s="28"/>
      <c r="I216" s="25" t="str">
        <f>IF(表1[[#This Row],[Tgl NPBG]]&gt;表1[[#This Row],[Peminta]],表1[[#This Row],[Tgl NPBG]]-表1[[#This Row],[Peminta]],"")</f>
        <v/>
      </c>
      <c r="J216" s="31"/>
    </row>
    <row r="217" s="12" customFormat="1" customHeight="1" spans="2:10">
      <c r="B217" s="25"/>
      <c r="C217" s="25"/>
      <c r="D217" s="26" t="str" cm="1">
        <f t="array" ref="D217">IF(C217="","",IFERROR(INDEX(STPP!$D$6:$D$4207,MATCH(C217,STPP!$C$6:$C$4207,0)),"Not Found"))</f>
        <v/>
      </c>
      <c r="E217" s="27" t="str" cm="1">
        <f t="array" ref="E217">IF(C217="","",IFERROR(INDEX(STPP!$E$6:$E$4207,MATCH(C217,STPP!$C$6:$C$4207,0)),"Not Found"))</f>
        <v/>
      </c>
      <c r="F217" s="27" t="str" cm="1">
        <f t="array" ref="F217">IF(C217="","",IFERROR(INDEX(STPP!$F$6:$F$4207,MATCH(C217,STPP!$C$6:$C$4207,0)),"Not Found"))</f>
        <v/>
      </c>
      <c r="G217" s="25" t="str">
        <f>IF(表1[[#This Row],[No Seri]]="","",表1[[#This Row],[Deskripsi Barang]]+表1[[#This Row],[Kuantitas]]-表1[[#This Row],[Satuan]])</f>
        <v/>
      </c>
      <c r="H217" s="28"/>
      <c r="I217" s="25" t="str">
        <f>IF(表1[[#This Row],[Tgl NPBG]]&gt;表1[[#This Row],[Peminta]],表1[[#This Row],[Tgl NPBG]]-表1[[#This Row],[Peminta]],"")</f>
        <v/>
      </c>
      <c r="J217" s="31"/>
    </row>
    <row r="218" s="12" customFormat="1" customHeight="1" spans="2:10">
      <c r="B218" s="25"/>
      <c r="C218" s="25"/>
      <c r="D218" s="26" t="str" cm="1">
        <f t="array" ref="D218">IF(C218="","",IFERROR(INDEX(STPP!$D$6:$D$4207,MATCH(C218,STPP!$C$6:$C$4207,0)),"Not Found"))</f>
        <v/>
      </c>
      <c r="E218" s="27" t="str" cm="1">
        <f t="array" ref="E218">IF(C218="","",IFERROR(INDEX(STPP!$E$6:$E$4207,MATCH(C218,STPP!$C$6:$C$4207,0)),"Not Found"))</f>
        <v/>
      </c>
      <c r="F218" s="27" t="str" cm="1">
        <f t="array" ref="F218">IF(C218="","",IFERROR(INDEX(STPP!$F$6:$F$4207,MATCH(C218,STPP!$C$6:$C$4207,0)),"Not Found"))</f>
        <v/>
      </c>
      <c r="G218" s="25" t="str">
        <f>IF(表1[[#This Row],[No Seri]]="","",表1[[#This Row],[Deskripsi Barang]]+表1[[#This Row],[Kuantitas]]-表1[[#This Row],[Satuan]])</f>
        <v/>
      </c>
      <c r="H218" s="28"/>
      <c r="I218" s="25" t="str">
        <f>IF(表1[[#This Row],[Tgl NPBG]]&gt;表1[[#This Row],[Peminta]],表1[[#This Row],[Tgl NPBG]]-表1[[#This Row],[Peminta]],"")</f>
        <v/>
      </c>
      <c r="J218" s="31"/>
    </row>
    <row r="219" s="12" customFormat="1" customHeight="1" spans="2:10">
      <c r="B219" s="25"/>
      <c r="C219" s="25"/>
      <c r="D219" s="26" t="str" cm="1">
        <f t="array" ref="D219">IF(C219="","",IFERROR(INDEX(STPP!$D$6:$D$4207,MATCH(C219,STPP!$C$6:$C$4207,0)),"Not Found"))</f>
        <v/>
      </c>
      <c r="E219" s="27" t="str" cm="1">
        <f t="array" ref="E219">IF(C219="","",IFERROR(INDEX(STPP!$E$6:$E$4207,MATCH(C219,STPP!$C$6:$C$4207,0)),"Not Found"))</f>
        <v/>
      </c>
      <c r="F219" s="27" t="str" cm="1">
        <f t="array" ref="F219">IF(C219="","",IFERROR(INDEX(STPP!$F$6:$F$4207,MATCH(C219,STPP!$C$6:$C$4207,0)),"Not Found"))</f>
        <v/>
      </c>
      <c r="G219" s="25" t="str">
        <f>IF(表1[[#This Row],[No Seri]]="","",表1[[#This Row],[Deskripsi Barang]]+表1[[#This Row],[Kuantitas]]-表1[[#This Row],[Satuan]])</f>
        <v/>
      </c>
      <c r="H219" s="28"/>
      <c r="I219" s="25" t="str">
        <f>IF(表1[[#This Row],[Tgl NPBG]]&gt;表1[[#This Row],[Peminta]],表1[[#This Row],[Tgl NPBG]]-表1[[#This Row],[Peminta]],"")</f>
        <v/>
      </c>
      <c r="J219" s="31"/>
    </row>
    <row r="220" s="12" customFormat="1" customHeight="1" spans="2:10">
      <c r="B220" s="25"/>
      <c r="C220" s="25"/>
      <c r="D220" s="26" t="str" cm="1">
        <f t="array" ref="D220">IF(C220="","",IFERROR(INDEX(STPP!$D$6:$D$4207,MATCH(C220,STPP!$C$6:$C$4207,0)),"Not Found"))</f>
        <v/>
      </c>
      <c r="E220" s="27" t="str" cm="1">
        <f t="array" ref="E220">IF(C220="","",IFERROR(INDEX(STPP!$E$6:$E$4207,MATCH(C220,STPP!$C$6:$C$4207,0)),"Not Found"))</f>
        <v/>
      </c>
      <c r="F220" s="27" t="str" cm="1">
        <f t="array" ref="F220">IF(C220="","",IFERROR(INDEX(STPP!$F$6:$F$4207,MATCH(C220,STPP!$C$6:$C$4207,0)),"Not Found"))</f>
        <v/>
      </c>
      <c r="G220" s="25" t="str">
        <f>IF(表1[[#This Row],[No Seri]]="","",表1[[#This Row],[Deskripsi Barang]]+表1[[#This Row],[Kuantitas]]-表1[[#This Row],[Satuan]])</f>
        <v/>
      </c>
      <c r="H220" s="28"/>
      <c r="I220" s="25" t="str">
        <f>IF(表1[[#This Row],[Tgl NPBG]]&gt;表1[[#This Row],[Peminta]],表1[[#This Row],[Tgl NPBG]]-表1[[#This Row],[Peminta]],"")</f>
        <v/>
      </c>
      <c r="J220" s="31"/>
    </row>
    <row r="221" s="12" customFormat="1" customHeight="1" spans="2:10">
      <c r="B221" s="25"/>
      <c r="C221" s="25"/>
      <c r="D221" s="26" t="str" cm="1">
        <f t="array" ref="D221">IF(C221="","",IFERROR(INDEX(STPP!$D$6:$D$4207,MATCH(C221,STPP!$C$6:$C$4207,0)),"Not Found"))</f>
        <v/>
      </c>
      <c r="E221" s="27" t="str" cm="1">
        <f t="array" ref="E221">IF(C221="","",IFERROR(INDEX(STPP!$E$6:$E$4207,MATCH(C221,STPP!$C$6:$C$4207,0)),"Not Found"))</f>
        <v/>
      </c>
      <c r="F221" s="27" t="str" cm="1">
        <f t="array" ref="F221">IF(C221="","",IFERROR(INDEX(STPP!$F$6:$F$4207,MATCH(C221,STPP!$C$6:$C$4207,0)),"Not Found"))</f>
        <v/>
      </c>
      <c r="G221" s="25" t="str">
        <f>IF(表1[[#This Row],[No Seri]]="","",表1[[#This Row],[Deskripsi Barang]]+表1[[#This Row],[Kuantitas]]-表1[[#This Row],[Satuan]])</f>
        <v/>
      </c>
      <c r="H221" s="28"/>
      <c r="I221" s="25" t="str">
        <f>IF(表1[[#This Row],[Tgl NPBG]]&gt;表1[[#This Row],[Peminta]],表1[[#This Row],[Tgl NPBG]]-表1[[#This Row],[Peminta]],"")</f>
        <v/>
      </c>
      <c r="J221" s="31"/>
    </row>
    <row r="222" s="12" customFormat="1" customHeight="1" spans="2:10">
      <c r="B222" s="25"/>
      <c r="C222" s="25"/>
      <c r="D222" s="26" t="str" cm="1">
        <f t="array" ref="D222">IF(C222="","",IFERROR(INDEX(STPP!$D$6:$D$4207,MATCH(C222,STPP!$C$6:$C$4207,0)),"Not Found"))</f>
        <v/>
      </c>
      <c r="E222" s="27" t="str" cm="1">
        <f t="array" ref="E222">IF(C222="","",IFERROR(INDEX(STPP!$E$6:$E$4207,MATCH(C222,STPP!$C$6:$C$4207,0)),"Not Found"))</f>
        <v/>
      </c>
      <c r="F222" s="27" t="str" cm="1">
        <f t="array" ref="F222">IF(C222="","",IFERROR(INDEX(STPP!$F$6:$F$4207,MATCH(C222,STPP!$C$6:$C$4207,0)),"Not Found"))</f>
        <v/>
      </c>
      <c r="G222" s="25" t="str">
        <f>IF(表1[[#This Row],[No Seri]]="","",表1[[#This Row],[Deskripsi Barang]]+表1[[#This Row],[Kuantitas]]-表1[[#This Row],[Satuan]])</f>
        <v/>
      </c>
      <c r="H222" s="28"/>
      <c r="I222" s="25" t="str">
        <f>IF(表1[[#This Row],[Tgl NPBG]]&gt;表1[[#This Row],[Peminta]],表1[[#This Row],[Tgl NPBG]]-表1[[#This Row],[Peminta]],"")</f>
        <v/>
      </c>
      <c r="J222" s="31"/>
    </row>
    <row r="223" s="12" customFormat="1" customHeight="1" spans="2:10">
      <c r="B223" s="25"/>
      <c r="C223" s="25"/>
      <c r="D223" s="26" t="str" cm="1">
        <f t="array" ref="D223">IF(C223="","",IFERROR(INDEX(STPP!$D$6:$D$4207,MATCH(C223,STPP!$C$6:$C$4207,0)),"Not Found"))</f>
        <v/>
      </c>
      <c r="E223" s="27" t="str" cm="1">
        <f t="array" ref="E223">IF(C223="","",IFERROR(INDEX(STPP!$E$6:$E$4207,MATCH(C223,STPP!$C$6:$C$4207,0)),"Not Found"))</f>
        <v/>
      </c>
      <c r="F223" s="27" t="str" cm="1">
        <f t="array" ref="F223">IF(C223="","",IFERROR(INDEX(STPP!$F$6:$F$4207,MATCH(C223,STPP!$C$6:$C$4207,0)),"Not Found"))</f>
        <v/>
      </c>
      <c r="G223" s="25" t="str">
        <f>IF(表1[[#This Row],[No Seri]]="","",表1[[#This Row],[Deskripsi Barang]]+表1[[#This Row],[Kuantitas]]-表1[[#This Row],[Satuan]])</f>
        <v/>
      </c>
      <c r="H223" s="28"/>
      <c r="I223" s="25" t="str">
        <f>IF(表1[[#This Row],[Tgl NPBG]]&gt;表1[[#This Row],[Peminta]],表1[[#This Row],[Tgl NPBG]]-表1[[#This Row],[Peminta]],"")</f>
        <v/>
      </c>
      <c r="J223" s="31"/>
    </row>
    <row r="224" s="12" customFormat="1" customHeight="1" spans="2:10">
      <c r="B224" s="25"/>
      <c r="C224" s="25"/>
      <c r="D224" s="26" t="str" cm="1">
        <f t="array" ref="D224">IF(C224="","",IFERROR(INDEX(STPP!$D$6:$D$4207,MATCH(C224,STPP!$C$6:$C$4207,0)),"Not Found"))</f>
        <v/>
      </c>
      <c r="E224" s="27" t="str" cm="1">
        <f t="array" ref="E224">IF(C224="","",IFERROR(INDEX(STPP!$E$6:$E$4207,MATCH(C224,STPP!$C$6:$C$4207,0)),"Not Found"))</f>
        <v/>
      </c>
      <c r="F224" s="27" t="str" cm="1">
        <f t="array" ref="F224">IF(C224="","",IFERROR(INDEX(STPP!$F$6:$F$4207,MATCH(C224,STPP!$C$6:$C$4207,0)),"Not Found"))</f>
        <v/>
      </c>
      <c r="G224" s="25" t="str">
        <f>IF(表1[[#This Row],[No Seri]]="","",表1[[#This Row],[Deskripsi Barang]]+表1[[#This Row],[Kuantitas]]-表1[[#This Row],[Satuan]])</f>
        <v/>
      </c>
      <c r="H224" s="28"/>
      <c r="I224" s="25" t="str">
        <f>IF(表1[[#This Row],[Tgl NPBG]]&gt;表1[[#This Row],[Peminta]],表1[[#This Row],[Tgl NPBG]]-表1[[#This Row],[Peminta]],"")</f>
        <v/>
      </c>
      <c r="J224" s="31"/>
    </row>
    <row r="225" s="12" customFormat="1" customHeight="1" spans="2:10">
      <c r="B225" s="25"/>
      <c r="C225" s="25"/>
      <c r="D225" s="26" t="str" cm="1">
        <f t="array" ref="D225">IF(C225="","",IFERROR(INDEX(STPP!$D$6:$D$4207,MATCH(C225,STPP!$C$6:$C$4207,0)),"Not Found"))</f>
        <v/>
      </c>
      <c r="E225" s="27" t="str" cm="1">
        <f t="array" ref="E225">IF(C225="","",IFERROR(INDEX(STPP!$E$6:$E$4207,MATCH(C225,STPP!$C$6:$C$4207,0)),"Not Found"))</f>
        <v/>
      </c>
      <c r="F225" s="27" t="str" cm="1">
        <f t="array" ref="F225">IF(C225="","",IFERROR(INDEX(STPP!$F$6:$F$4207,MATCH(C225,STPP!$C$6:$C$4207,0)),"Not Found"))</f>
        <v/>
      </c>
      <c r="G225" s="25" t="str">
        <f>IF(表1[[#This Row],[No Seri]]="","",表1[[#This Row],[Deskripsi Barang]]+表1[[#This Row],[Kuantitas]]-表1[[#This Row],[Satuan]])</f>
        <v/>
      </c>
      <c r="H225" s="28"/>
      <c r="I225" s="25" t="str">
        <f>IF(表1[[#This Row],[Tgl NPBG]]&gt;表1[[#This Row],[Peminta]],表1[[#This Row],[Tgl NPBG]]-表1[[#This Row],[Peminta]],"")</f>
        <v/>
      </c>
      <c r="J225" s="31"/>
    </row>
    <row r="226" s="12" customFormat="1" customHeight="1" spans="2:10">
      <c r="B226" s="25"/>
      <c r="C226" s="25"/>
      <c r="D226" s="26" t="str" cm="1">
        <f t="array" ref="D226">IF(C226="","",IFERROR(INDEX(STPP!$D$6:$D$4207,MATCH(C226,STPP!$C$6:$C$4207,0)),"Not Found"))</f>
        <v/>
      </c>
      <c r="E226" s="27" t="str" cm="1">
        <f t="array" ref="E226">IF(C226="","",IFERROR(INDEX(STPP!$E$6:$E$4207,MATCH(C226,STPP!$C$6:$C$4207,0)),"Not Found"))</f>
        <v/>
      </c>
      <c r="F226" s="27" t="str" cm="1">
        <f t="array" ref="F226">IF(C226="","",IFERROR(INDEX(STPP!$F$6:$F$4207,MATCH(C226,STPP!$C$6:$C$4207,0)),"Not Found"))</f>
        <v/>
      </c>
      <c r="G226" s="25" t="str">
        <f>IF(表1[[#This Row],[No Seri]]="","",表1[[#This Row],[Deskripsi Barang]]+表1[[#This Row],[Kuantitas]]-表1[[#This Row],[Satuan]])</f>
        <v/>
      </c>
      <c r="H226" s="28"/>
      <c r="I226" s="25" t="str">
        <f>IF(表1[[#This Row],[Tgl NPBG]]&gt;表1[[#This Row],[Peminta]],表1[[#This Row],[Tgl NPBG]]-表1[[#This Row],[Peminta]],"")</f>
        <v/>
      </c>
      <c r="J226" s="31"/>
    </row>
    <row r="227" s="12" customFormat="1" customHeight="1" spans="2:10">
      <c r="B227" s="25"/>
      <c r="C227" s="25"/>
      <c r="D227" s="26" t="str" cm="1">
        <f t="array" ref="D227">IF(C227="","",IFERROR(INDEX(STPP!$D$6:$D$4207,MATCH(C227,STPP!$C$6:$C$4207,0)),"Not Found"))</f>
        <v/>
      </c>
      <c r="E227" s="27" t="str" cm="1">
        <f t="array" ref="E227">IF(C227="","",IFERROR(INDEX(STPP!$E$6:$E$4207,MATCH(C227,STPP!$C$6:$C$4207,0)),"Not Found"))</f>
        <v/>
      </c>
      <c r="F227" s="27" t="str" cm="1">
        <f t="array" ref="F227">IF(C227="","",IFERROR(INDEX(STPP!$F$6:$F$4207,MATCH(C227,STPP!$C$6:$C$4207,0)),"Not Found"))</f>
        <v/>
      </c>
      <c r="G227" s="25" t="str">
        <f>IF(表1[[#This Row],[No Seri]]="","",表1[[#This Row],[Deskripsi Barang]]+表1[[#This Row],[Kuantitas]]-表1[[#This Row],[Satuan]])</f>
        <v/>
      </c>
      <c r="H227" s="28"/>
      <c r="I227" s="25" t="str">
        <f>IF(表1[[#This Row],[Tgl NPBG]]&gt;表1[[#This Row],[Peminta]],表1[[#This Row],[Tgl NPBG]]-表1[[#This Row],[Peminta]],"")</f>
        <v/>
      </c>
      <c r="J227" s="31"/>
    </row>
    <row r="228" s="12" customFormat="1" customHeight="1" spans="2:10">
      <c r="B228" s="25"/>
      <c r="C228" s="25"/>
      <c r="D228" s="26" t="str" cm="1">
        <f t="array" ref="D228">IF(C228="","",IFERROR(INDEX(STPP!$D$6:$D$4207,MATCH(C228,STPP!$C$6:$C$4207,0)),"Not Found"))</f>
        <v/>
      </c>
      <c r="E228" s="27" t="str" cm="1">
        <f t="array" ref="E228">IF(C228="","",IFERROR(INDEX(STPP!$E$6:$E$4207,MATCH(C228,STPP!$C$6:$C$4207,0)),"Not Found"))</f>
        <v/>
      </c>
      <c r="F228" s="27" t="str" cm="1">
        <f t="array" ref="F228">IF(C228="","",IFERROR(INDEX(STPP!$F$6:$F$4207,MATCH(C228,STPP!$C$6:$C$4207,0)),"Not Found"))</f>
        <v/>
      </c>
      <c r="G228" s="25" t="str">
        <f>IF(表1[[#This Row],[No Seri]]="","",表1[[#This Row],[Deskripsi Barang]]+表1[[#This Row],[Kuantitas]]-表1[[#This Row],[Satuan]])</f>
        <v/>
      </c>
      <c r="H228" s="28"/>
      <c r="I228" s="25" t="str">
        <f>IF(表1[[#This Row],[Tgl NPBG]]&gt;表1[[#This Row],[Peminta]],表1[[#This Row],[Tgl NPBG]]-表1[[#This Row],[Peminta]],"")</f>
        <v/>
      </c>
      <c r="J228" s="31"/>
    </row>
    <row r="229" s="12" customFormat="1" customHeight="1" spans="2:10">
      <c r="B229" s="25"/>
      <c r="C229" s="25"/>
      <c r="D229" s="26" t="str" cm="1">
        <f t="array" ref="D229">IF(C229="","",IFERROR(INDEX(STPP!$D$6:$D$4207,MATCH(C229,STPP!$C$6:$C$4207,0)),"Not Found"))</f>
        <v/>
      </c>
      <c r="E229" s="27" t="str" cm="1">
        <f t="array" ref="E229">IF(C229="","",IFERROR(INDEX(STPP!$E$6:$E$4207,MATCH(C229,STPP!$C$6:$C$4207,0)),"Not Found"))</f>
        <v/>
      </c>
      <c r="F229" s="27" t="str" cm="1">
        <f t="array" ref="F229">IF(C229="","",IFERROR(INDEX(STPP!$F$6:$F$4207,MATCH(C229,STPP!$C$6:$C$4207,0)),"Not Found"))</f>
        <v/>
      </c>
      <c r="G229" s="25" t="str">
        <f>IF(表1[[#This Row],[No Seri]]="","",表1[[#This Row],[Deskripsi Barang]]+表1[[#This Row],[Kuantitas]]-表1[[#This Row],[Satuan]])</f>
        <v/>
      </c>
      <c r="H229" s="28"/>
      <c r="I229" s="25" t="str">
        <f>IF(表1[[#This Row],[Tgl NPBG]]&gt;表1[[#This Row],[Peminta]],表1[[#This Row],[Tgl NPBG]]-表1[[#This Row],[Peminta]],"")</f>
        <v/>
      </c>
      <c r="J229" s="31"/>
    </row>
    <row r="230" s="12" customFormat="1" customHeight="1" spans="2:10">
      <c r="B230" s="25"/>
      <c r="C230" s="25"/>
      <c r="D230" s="26" t="str" cm="1">
        <f t="array" ref="D230">IF(C230="","",IFERROR(INDEX(STPP!$D$6:$D$4207,MATCH(C230,STPP!$C$6:$C$4207,0)),"Not Found"))</f>
        <v/>
      </c>
      <c r="E230" s="27" t="str" cm="1">
        <f t="array" ref="E230">IF(C230="","",IFERROR(INDEX(STPP!$E$6:$E$4207,MATCH(C230,STPP!$C$6:$C$4207,0)),"Not Found"))</f>
        <v/>
      </c>
      <c r="F230" s="27" t="str" cm="1">
        <f t="array" ref="F230">IF(C230="","",IFERROR(INDEX(STPP!$F$6:$F$4207,MATCH(C230,STPP!$C$6:$C$4207,0)),"Not Found"))</f>
        <v/>
      </c>
      <c r="G230" s="25" t="str">
        <f>IF(表1[[#This Row],[No Seri]]="","",表1[[#This Row],[Deskripsi Barang]]+表1[[#This Row],[Kuantitas]]-表1[[#This Row],[Satuan]])</f>
        <v/>
      </c>
      <c r="H230" s="28"/>
      <c r="I230" s="25" t="str">
        <f>IF(表1[[#This Row],[Tgl NPBG]]&gt;表1[[#This Row],[Peminta]],表1[[#This Row],[Tgl NPBG]]-表1[[#This Row],[Peminta]],"")</f>
        <v/>
      </c>
      <c r="J230" s="31"/>
    </row>
    <row r="231" s="12" customFormat="1" customHeight="1" spans="2:10">
      <c r="B231" s="25"/>
      <c r="C231" s="25"/>
      <c r="D231" s="26" t="str" cm="1">
        <f t="array" ref="D231">IF(C231="","",IFERROR(INDEX(STPP!$D$6:$D$4207,MATCH(C231,STPP!$C$6:$C$4207,0)),"Not Found"))</f>
        <v/>
      </c>
      <c r="E231" s="27" t="str" cm="1">
        <f t="array" ref="E231">IF(C231="","",IFERROR(INDEX(STPP!$E$6:$E$4207,MATCH(C231,STPP!$C$6:$C$4207,0)),"Not Found"))</f>
        <v/>
      </c>
      <c r="F231" s="27" t="str" cm="1">
        <f t="array" ref="F231">IF(C231="","",IFERROR(INDEX(STPP!$F$6:$F$4207,MATCH(C231,STPP!$C$6:$C$4207,0)),"Not Found"))</f>
        <v/>
      </c>
      <c r="G231" s="25" t="str">
        <f>IF(表1[[#This Row],[No Seri]]="","",表1[[#This Row],[Deskripsi Barang]]+表1[[#This Row],[Kuantitas]]-表1[[#This Row],[Satuan]])</f>
        <v/>
      </c>
      <c r="H231" s="28"/>
      <c r="I231" s="25" t="str">
        <f>IF(表1[[#This Row],[Tgl NPBG]]&gt;表1[[#This Row],[Peminta]],表1[[#This Row],[Tgl NPBG]]-表1[[#This Row],[Peminta]],"")</f>
        <v/>
      </c>
      <c r="J231" s="31"/>
    </row>
    <row r="232" s="12" customFormat="1" customHeight="1" spans="2:10">
      <c r="B232" s="25"/>
      <c r="C232" s="25"/>
      <c r="D232" s="26" t="str" cm="1">
        <f t="array" ref="D232">IF(C232="","",IFERROR(INDEX(STPP!$D$6:$D$4207,MATCH(C232,STPP!$C$6:$C$4207,0)),"Not Found"))</f>
        <v/>
      </c>
      <c r="E232" s="27" t="str" cm="1">
        <f t="array" ref="E232">IF(C232="","",IFERROR(INDEX(STPP!$E$6:$E$4207,MATCH(C232,STPP!$C$6:$C$4207,0)),"Not Found"))</f>
        <v/>
      </c>
      <c r="F232" s="27" t="str" cm="1">
        <f t="array" ref="F232">IF(C232="","",IFERROR(INDEX(STPP!$F$6:$F$4207,MATCH(C232,STPP!$C$6:$C$4207,0)),"Not Found"))</f>
        <v/>
      </c>
      <c r="G232" s="25" t="str">
        <f>IF(表1[[#This Row],[No Seri]]="","",表1[[#This Row],[Deskripsi Barang]]+表1[[#This Row],[Kuantitas]]-表1[[#This Row],[Satuan]])</f>
        <v/>
      </c>
      <c r="H232" s="28"/>
      <c r="I232" s="25" t="str">
        <f>IF(表1[[#This Row],[Tgl NPBG]]&gt;表1[[#This Row],[Peminta]],表1[[#This Row],[Tgl NPBG]]-表1[[#This Row],[Peminta]],"")</f>
        <v/>
      </c>
      <c r="J232" s="31"/>
    </row>
    <row r="233" s="12" customFormat="1" customHeight="1" spans="2:10">
      <c r="B233" s="25"/>
      <c r="C233" s="25"/>
      <c r="D233" s="26" t="str" cm="1">
        <f t="array" ref="D233">IF(C233="","",IFERROR(INDEX(STPP!$D$6:$D$4207,MATCH(C233,STPP!$C$6:$C$4207,0)),"Not Found"))</f>
        <v/>
      </c>
      <c r="E233" s="27" t="str" cm="1">
        <f t="array" ref="E233">IF(C233="","",IFERROR(INDEX(STPP!$E$6:$E$4207,MATCH(C233,STPP!$C$6:$C$4207,0)),"Not Found"))</f>
        <v/>
      </c>
      <c r="F233" s="27" t="str" cm="1">
        <f t="array" ref="F233">IF(C233="","",IFERROR(INDEX(STPP!$F$6:$F$4207,MATCH(C233,STPP!$C$6:$C$4207,0)),"Not Found"))</f>
        <v/>
      </c>
      <c r="G233" s="25" t="str">
        <f>IF(表1[[#This Row],[No Seri]]="","",表1[[#This Row],[Deskripsi Barang]]+表1[[#This Row],[Kuantitas]]-表1[[#This Row],[Satuan]])</f>
        <v/>
      </c>
      <c r="H233" s="28"/>
      <c r="I233" s="25" t="str">
        <f>IF(表1[[#This Row],[Tgl NPBG]]&gt;表1[[#This Row],[Peminta]],表1[[#This Row],[Tgl NPBG]]-表1[[#This Row],[Peminta]],"")</f>
        <v/>
      </c>
      <c r="J233" s="31"/>
    </row>
    <row r="234" s="12" customFormat="1" customHeight="1" spans="2:10">
      <c r="B234" s="25"/>
      <c r="C234" s="25"/>
      <c r="D234" s="26" t="str" cm="1">
        <f t="array" ref="D234">IF(C234="","",IFERROR(INDEX(STPP!$D$6:$D$4207,MATCH(C234,STPP!$C$6:$C$4207,0)),"Not Found"))</f>
        <v/>
      </c>
      <c r="E234" s="27" t="str" cm="1">
        <f t="array" ref="E234">IF(C234="","",IFERROR(INDEX(STPP!$E$6:$E$4207,MATCH(C234,STPP!$C$6:$C$4207,0)),"Not Found"))</f>
        <v/>
      </c>
      <c r="F234" s="27" t="str" cm="1">
        <f t="array" ref="F234">IF(C234="","",IFERROR(INDEX(STPP!$F$6:$F$4207,MATCH(C234,STPP!$C$6:$C$4207,0)),"Not Found"))</f>
        <v/>
      </c>
      <c r="G234" s="25" t="str">
        <f>IF(表1[[#This Row],[No Seri]]="","",表1[[#This Row],[Deskripsi Barang]]+表1[[#This Row],[Kuantitas]]-表1[[#This Row],[Satuan]])</f>
        <v/>
      </c>
      <c r="H234" s="28"/>
      <c r="I234" s="25" t="str">
        <f>IF(表1[[#This Row],[Tgl NPBG]]&gt;表1[[#This Row],[Peminta]],表1[[#This Row],[Tgl NPBG]]-表1[[#This Row],[Peminta]],"")</f>
        <v/>
      </c>
      <c r="J234" s="31"/>
    </row>
    <row r="235" s="12" customFormat="1" customHeight="1" spans="2:10">
      <c r="B235" s="25"/>
      <c r="C235" s="25"/>
      <c r="D235" s="26" t="str" cm="1">
        <f t="array" ref="D235">IF(C235="","",IFERROR(INDEX(STPP!$D$6:$D$4207,MATCH(C235,STPP!$C$6:$C$4207,0)),"Not Found"))</f>
        <v/>
      </c>
      <c r="E235" s="27" t="str" cm="1">
        <f t="array" ref="E235">IF(C235="","",IFERROR(INDEX(STPP!$E$6:$E$4207,MATCH(C235,STPP!$C$6:$C$4207,0)),"Not Found"))</f>
        <v/>
      </c>
      <c r="F235" s="27" t="str" cm="1">
        <f t="array" ref="F235">IF(C235="","",IFERROR(INDEX(STPP!$F$6:$F$4207,MATCH(C235,STPP!$C$6:$C$4207,0)),"Not Found"))</f>
        <v/>
      </c>
      <c r="G235" s="25" t="str">
        <f>IF(表1[[#This Row],[No Seri]]="","",表1[[#This Row],[Deskripsi Barang]]+表1[[#This Row],[Kuantitas]]-表1[[#This Row],[Satuan]])</f>
        <v/>
      </c>
      <c r="H235" s="28"/>
      <c r="I235" s="25" t="str">
        <f>IF(表1[[#This Row],[Tgl NPBG]]&gt;表1[[#This Row],[Peminta]],表1[[#This Row],[Tgl NPBG]]-表1[[#This Row],[Peminta]],"")</f>
        <v/>
      </c>
      <c r="J235" s="31"/>
    </row>
    <row r="236" s="12" customFormat="1" customHeight="1" spans="2:10">
      <c r="B236" s="25"/>
      <c r="C236" s="25"/>
      <c r="D236" s="26" t="str" cm="1">
        <f t="array" ref="D236">IF(C236="","",IFERROR(INDEX(STPP!$D$6:$D$4207,MATCH(C236,STPP!$C$6:$C$4207,0)),"Not Found"))</f>
        <v/>
      </c>
      <c r="E236" s="27" t="str" cm="1">
        <f t="array" ref="E236">IF(C236="","",IFERROR(INDEX(STPP!$E$6:$E$4207,MATCH(C236,STPP!$C$6:$C$4207,0)),"Not Found"))</f>
        <v/>
      </c>
      <c r="F236" s="27" t="str" cm="1">
        <f t="array" ref="F236">IF(C236="","",IFERROR(INDEX(STPP!$F$6:$F$4207,MATCH(C236,STPP!$C$6:$C$4207,0)),"Not Found"))</f>
        <v/>
      </c>
      <c r="G236" s="25" t="str">
        <f>IF(表1[[#This Row],[No Seri]]="","",表1[[#This Row],[Deskripsi Barang]]+表1[[#This Row],[Kuantitas]]-表1[[#This Row],[Satuan]])</f>
        <v/>
      </c>
      <c r="H236" s="28"/>
      <c r="I236" s="25" t="str">
        <f>IF(表1[[#This Row],[Tgl NPBG]]&gt;表1[[#This Row],[Peminta]],表1[[#This Row],[Tgl NPBG]]-表1[[#This Row],[Peminta]],"")</f>
        <v/>
      </c>
      <c r="J236" s="31"/>
    </row>
    <row r="237" s="12" customFormat="1" customHeight="1" spans="2:10">
      <c r="B237" s="25"/>
      <c r="C237" s="25"/>
      <c r="D237" s="26" t="str" cm="1">
        <f t="array" ref="D237">IF(C237="","",IFERROR(INDEX(STPP!$D$6:$D$4207,MATCH(C237,STPP!$C$6:$C$4207,0)),"Not Found"))</f>
        <v/>
      </c>
      <c r="E237" s="27" t="str" cm="1">
        <f t="array" ref="E237">IF(C237="","",IFERROR(INDEX(STPP!$E$6:$E$4207,MATCH(C237,STPP!$C$6:$C$4207,0)),"Not Found"))</f>
        <v/>
      </c>
      <c r="F237" s="27" t="str" cm="1">
        <f t="array" ref="F237">IF(C237="","",IFERROR(INDEX(STPP!$F$6:$F$4207,MATCH(C237,STPP!$C$6:$C$4207,0)),"Not Found"))</f>
        <v/>
      </c>
      <c r="G237" s="25" t="str">
        <f>IF(表1[[#This Row],[No Seri]]="","",表1[[#This Row],[Deskripsi Barang]]+表1[[#This Row],[Kuantitas]]-表1[[#This Row],[Satuan]])</f>
        <v/>
      </c>
      <c r="H237" s="28"/>
      <c r="I237" s="25" t="str">
        <f>IF(表1[[#This Row],[Tgl NPBG]]&gt;表1[[#This Row],[Peminta]],表1[[#This Row],[Tgl NPBG]]-表1[[#This Row],[Peminta]],"")</f>
        <v/>
      </c>
      <c r="J237" s="31"/>
    </row>
    <row r="238" s="12" customFormat="1" customHeight="1" spans="2:10">
      <c r="B238" s="25"/>
      <c r="C238" s="25"/>
      <c r="D238" s="26" t="str" cm="1">
        <f t="array" ref="D238">IF(C238="","",IFERROR(INDEX(STPP!$D$6:$D$4207,MATCH(C238,STPP!$C$6:$C$4207,0)),"Not Found"))</f>
        <v/>
      </c>
      <c r="E238" s="27" t="str" cm="1">
        <f t="array" ref="E238">IF(C238="","",IFERROR(INDEX(STPP!$E$6:$E$4207,MATCH(C238,STPP!$C$6:$C$4207,0)),"Not Found"))</f>
        <v/>
      </c>
      <c r="F238" s="27" t="str" cm="1">
        <f t="array" ref="F238">IF(C238="","",IFERROR(INDEX(STPP!$F$6:$F$4207,MATCH(C238,STPP!$C$6:$C$4207,0)),"Not Found"))</f>
        <v/>
      </c>
      <c r="G238" s="25" t="str">
        <f>IF(表1[[#This Row],[No Seri]]="","",表1[[#This Row],[Deskripsi Barang]]+表1[[#This Row],[Kuantitas]]-表1[[#This Row],[Satuan]])</f>
        <v/>
      </c>
      <c r="H238" s="28"/>
      <c r="I238" s="25" t="str">
        <f>IF(表1[[#This Row],[Tgl NPBG]]&gt;表1[[#This Row],[Peminta]],表1[[#This Row],[Tgl NPBG]]-表1[[#This Row],[Peminta]],"")</f>
        <v/>
      </c>
      <c r="J238" s="31"/>
    </row>
    <row r="239" s="12" customFormat="1" customHeight="1" spans="2:10">
      <c r="B239" s="25"/>
      <c r="C239" s="25"/>
      <c r="D239" s="26" t="str" cm="1">
        <f t="array" ref="D239">IF(C239="","",IFERROR(INDEX(STPP!$D$6:$D$4207,MATCH(C239,STPP!$C$6:$C$4207,0)),"Not Found"))</f>
        <v/>
      </c>
      <c r="E239" s="27" t="str" cm="1">
        <f t="array" ref="E239">IF(C239="","",IFERROR(INDEX(STPP!$E$6:$E$4207,MATCH(C239,STPP!$C$6:$C$4207,0)),"Not Found"))</f>
        <v/>
      </c>
      <c r="F239" s="27" t="str" cm="1">
        <f t="array" ref="F239">IF(C239="","",IFERROR(INDEX(STPP!$F$6:$F$4207,MATCH(C239,STPP!$C$6:$C$4207,0)),"Not Found"))</f>
        <v/>
      </c>
      <c r="G239" s="25" t="str">
        <f>IF(表1[[#This Row],[No Seri]]="","",表1[[#This Row],[Deskripsi Barang]]+表1[[#This Row],[Kuantitas]]-表1[[#This Row],[Satuan]])</f>
        <v/>
      </c>
      <c r="H239" s="28"/>
      <c r="I239" s="25" t="str">
        <f>IF(表1[[#This Row],[Tgl NPBG]]&gt;表1[[#This Row],[Peminta]],表1[[#This Row],[Tgl NPBG]]-表1[[#This Row],[Peminta]],"")</f>
        <v/>
      </c>
      <c r="J239" s="31"/>
    </row>
    <row r="240" s="12" customFormat="1" customHeight="1" spans="2:10">
      <c r="B240" s="25"/>
      <c r="C240" s="25"/>
      <c r="D240" s="26" t="str" cm="1">
        <f t="array" ref="D240">IF(C240="","",IFERROR(INDEX(STPP!$D$6:$D$4207,MATCH(C240,STPP!$C$6:$C$4207,0)),"Not Found"))</f>
        <v/>
      </c>
      <c r="E240" s="27" t="str" cm="1">
        <f t="array" ref="E240">IF(C240="","",IFERROR(INDEX(STPP!$E$6:$E$4207,MATCH(C240,STPP!$C$6:$C$4207,0)),"Not Found"))</f>
        <v/>
      </c>
      <c r="F240" s="27" t="str" cm="1">
        <f t="array" ref="F240">IF(C240="","",IFERROR(INDEX(STPP!$F$6:$F$4207,MATCH(C240,STPP!$C$6:$C$4207,0)),"Not Found"))</f>
        <v/>
      </c>
      <c r="G240" s="25" t="str">
        <f>IF(表1[[#This Row],[No Seri]]="","",表1[[#This Row],[Deskripsi Barang]]+表1[[#This Row],[Kuantitas]]-表1[[#This Row],[Satuan]])</f>
        <v/>
      </c>
      <c r="H240" s="28"/>
      <c r="I240" s="25" t="str">
        <f>IF(表1[[#This Row],[Tgl NPBG]]&gt;表1[[#This Row],[Peminta]],表1[[#This Row],[Tgl NPBG]]-表1[[#This Row],[Peminta]],"")</f>
        <v/>
      </c>
      <c r="J240" s="31"/>
    </row>
    <row r="241" s="12" customFormat="1" customHeight="1" spans="2:10">
      <c r="B241" s="25"/>
      <c r="C241" s="25"/>
      <c r="D241" s="26" t="str" cm="1">
        <f t="array" ref="D241">IF(C241="","",IFERROR(INDEX(STPP!$D$6:$D$4207,MATCH(C241,STPP!$C$6:$C$4207,0)),"Not Found"))</f>
        <v/>
      </c>
      <c r="E241" s="27" t="str" cm="1">
        <f t="array" ref="E241">IF(C241="","",IFERROR(INDEX(STPP!$E$6:$E$4207,MATCH(C241,STPP!$C$6:$C$4207,0)),"Not Found"))</f>
        <v/>
      </c>
      <c r="F241" s="27" t="str" cm="1">
        <f t="array" ref="F241">IF(C241="","",IFERROR(INDEX(STPP!$F$6:$F$4207,MATCH(C241,STPP!$C$6:$C$4207,0)),"Not Found"))</f>
        <v/>
      </c>
      <c r="G241" s="25" t="str">
        <f>IF(表1[[#This Row],[No Seri]]="","",表1[[#This Row],[Deskripsi Barang]]+表1[[#This Row],[Kuantitas]]-表1[[#This Row],[Satuan]])</f>
        <v/>
      </c>
      <c r="H241" s="28"/>
      <c r="I241" s="25" t="str">
        <f>IF(表1[[#This Row],[Tgl NPBG]]&gt;表1[[#This Row],[Peminta]],表1[[#This Row],[Tgl NPBG]]-表1[[#This Row],[Peminta]],"")</f>
        <v/>
      </c>
      <c r="J241" s="31"/>
    </row>
    <row r="242" s="12" customFormat="1" customHeight="1" spans="2:10">
      <c r="B242" s="25"/>
      <c r="C242" s="25"/>
      <c r="D242" s="26" t="str" cm="1">
        <f t="array" ref="D242">IF(C242="","",IFERROR(INDEX(STPP!$D$6:$D$4207,MATCH(C242,STPP!$C$6:$C$4207,0)),"Not Found"))</f>
        <v/>
      </c>
      <c r="E242" s="27" t="str" cm="1">
        <f t="array" ref="E242">IF(C242="","",IFERROR(INDEX(STPP!$E$6:$E$4207,MATCH(C242,STPP!$C$6:$C$4207,0)),"Not Found"))</f>
        <v/>
      </c>
      <c r="F242" s="27" t="str" cm="1">
        <f t="array" ref="F242">IF(C242="","",IFERROR(INDEX(STPP!$F$6:$F$4207,MATCH(C242,STPP!$C$6:$C$4207,0)),"Not Found"))</f>
        <v/>
      </c>
      <c r="G242" s="25" t="str">
        <f>IF(表1[[#This Row],[No Seri]]="","",表1[[#This Row],[Deskripsi Barang]]+表1[[#This Row],[Kuantitas]]-表1[[#This Row],[Satuan]])</f>
        <v/>
      </c>
      <c r="H242" s="28"/>
      <c r="I242" s="25" t="str">
        <f>IF(表1[[#This Row],[Tgl NPBG]]&gt;表1[[#This Row],[Peminta]],表1[[#This Row],[Tgl NPBG]]-表1[[#This Row],[Peminta]],"")</f>
        <v/>
      </c>
      <c r="J242" s="31"/>
    </row>
    <row r="243" s="12" customFormat="1" customHeight="1" spans="2:10">
      <c r="B243" s="25"/>
      <c r="C243" s="25"/>
      <c r="D243" s="26" t="str" cm="1">
        <f t="array" ref="D243">IF(C243="","",IFERROR(INDEX(STPP!$D$6:$D$4207,MATCH(C243,STPP!$C$6:$C$4207,0)),"Not Found"))</f>
        <v/>
      </c>
      <c r="E243" s="27" t="str" cm="1">
        <f t="array" ref="E243">IF(C243="","",IFERROR(INDEX(STPP!$E$6:$E$4207,MATCH(C243,STPP!$C$6:$C$4207,0)),"Not Found"))</f>
        <v/>
      </c>
      <c r="F243" s="27" t="str" cm="1">
        <f t="array" ref="F243">IF(C243="","",IFERROR(INDEX(STPP!$F$6:$F$4207,MATCH(C243,STPP!$C$6:$C$4207,0)),"Not Found"))</f>
        <v/>
      </c>
      <c r="G243" s="25" t="str">
        <f>IF(表1[[#This Row],[No Seri]]="","",表1[[#This Row],[Deskripsi Barang]]+表1[[#This Row],[Kuantitas]]-表1[[#This Row],[Satuan]])</f>
        <v/>
      </c>
      <c r="H243" s="28"/>
      <c r="I243" s="25" t="str">
        <f>IF(表1[[#This Row],[Tgl NPBG]]&gt;表1[[#This Row],[Peminta]],表1[[#This Row],[Tgl NPBG]]-表1[[#This Row],[Peminta]],"")</f>
        <v/>
      </c>
      <c r="J243" s="31"/>
    </row>
    <row r="244" s="12" customFormat="1" customHeight="1" spans="2:10">
      <c r="B244" s="25"/>
      <c r="C244" s="25"/>
      <c r="D244" s="26" t="str" cm="1">
        <f t="array" ref="D244">IF(C244="","",IFERROR(INDEX(STPP!$D$6:$D$4207,MATCH(C244,STPP!$C$6:$C$4207,0)),"Not Found"))</f>
        <v/>
      </c>
      <c r="E244" s="27" t="str" cm="1">
        <f t="array" ref="E244">IF(C244="","",IFERROR(INDEX(STPP!$E$6:$E$4207,MATCH(C244,STPP!$C$6:$C$4207,0)),"Not Found"))</f>
        <v/>
      </c>
      <c r="F244" s="27" t="str" cm="1">
        <f t="array" ref="F244">IF(C244="","",IFERROR(INDEX(STPP!$F$6:$F$4207,MATCH(C244,STPP!$C$6:$C$4207,0)),"Not Found"))</f>
        <v/>
      </c>
      <c r="G244" s="25" t="str">
        <f>IF(表1[[#This Row],[No Seri]]="","",表1[[#This Row],[Deskripsi Barang]]+表1[[#This Row],[Kuantitas]]-表1[[#This Row],[Satuan]])</f>
        <v/>
      </c>
      <c r="H244" s="28"/>
      <c r="I244" s="25" t="str">
        <f>IF(表1[[#This Row],[Tgl NPBG]]&gt;表1[[#This Row],[Peminta]],表1[[#This Row],[Tgl NPBG]]-表1[[#This Row],[Peminta]],"")</f>
        <v/>
      </c>
      <c r="J244" s="31"/>
    </row>
    <row r="245" s="12" customFormat="1" customHeight="1" spans="2:10">
      <c r="B245" s="25"/>
      <c r="C245" s="25"/>
      <c r="D245" s="26" t="str" cm="1">
        <f t="array" ref="D245">IF(C245="","",IFERROR(INDEX(STPP!$D$6:$D$4207,MATCH(C245,STPP!$C$6:$C$4207,0)),"Not Found"))</f>
        <v/>
      </c>
      <c r="E245" s="27" t="str" cm="1">
        <f t="array" ref="E245">IF(C245="","",IFERROR(INDEX(STPP!$E$6:$E$4207,MATCH(C245,STPP!$C$6:$C$4207,0)),"Not Found"))</f>
        <v/>
      </c>
      <c r="F245" s="27" t="str" cm="1">
        <f t="array" ref="F245">IF(C245="","",IFERROR(INDEX(STPP!$F$6:$F$4207,MATCH(C245,STPP!$C$6:$C$4207,0)),"Not Found"))</f>
        <v/>
      </c>
      <c r="G245" s="25" t="str">
        <f>IF(表1[[#This Row],[No Seri]]="","",表1[[#This Row],[Deskripsi Barang]]+表1[[#This Row],[Kuantitas]]-表1[[#This Row],[Satuan]])</f>
        <v/>
      </c>
      <c r="H245" s="28"/>
      <c r="I245" s="25" t="str">
        <f>IF(表1[[#This Row],[Tgl NPBG]]&gt;表1[[#This Row],[Peminta]],表1[[#This Row],[Tgl NPBG]]-表1[[#This Row],[Peminta]],"")</f>
        <v/>
      </c>
      <c r="J245" s="31"/>
    </row>
    <row r="246" s="12" customFormat="1" customHeight="1" spans="2:10">
      <c r="B246" s="25"/>
      <c r="C246" s="25"/>
      <c r="D246" s="26" t="str" cm="1">
        <f t="array" ref="D246">IF(C246="","",IFERROR(INDEX(STPP!$D$6:$D$4207,MATCH(C246,STPP!$C$6:$C$4207,0)),"Not Found"))</f>
        <v/>
      </c>
      <c r="E246" s="27" t="str" cm="1">
        <f t="array" ref="E246">IF(C246="","",IFERROR(INDEX(STPP!$E$6:$E$4207,MATCH(C246,STPP!$C$6:$C$4207,0)),"Not Found"))</f>
        <v/>
      </c>
      <c r="F246" s="27" t="str" cm="1">
        <f t="array" ref="F246">IF(C246="","",IFERROR(INDEX(STPP!$F$6:$F$4207,MATCH(C246,STPP!$C$6:$C$4207,0)),"Not Found"))</f>
        <v/>
      </c>
      <c r="G246" s="25" t="str">
        <f>IF(表1[[#This Row],[No Seri]]="","",表1[[#This Row],[Deskripsi Barang]]+表1[[#This Row],[Kuantitas]]-表1[[#This Row],[Satuan]])</f>
        <v/>
      </c>
      <c r="H246" s="28"/>
      <c r="I246" s="25" t="str">
        <f>IF(表1[[#This Row],[Tgl NPBG]]&gt;表1[[#This Row],[Peminta]],表1[[#This Row],[Tgl NPBG]]-表1[[#This Row],[Peminta]],"")</f>
        <v/>
      </c>
      <c r="J246" s="31"/>
    </row>
    <row r="247" s="12" customFormat="1" customHeight="1" spans="2:10">
      <c r="B247" s="25"/>
      <c r="C247" s="25"/>
      <c r="D247" s="26" t="str" cm="1">
        <f t="array" ref="D247">IF(C247="","",IFERROR(INDEX(STPP!$D$6:$D$4207,MATCH(C247,STPP!$C$6:$C$4207,0)),"Not Found"))</f>
        <v/>
      </c>
      <c r="E247" s="27" t="str" cm="1">
        <f t="array" ref="E247">IF(C247="","",IFERROR(INDEX(STPP!$E$6:$E$4207,MATCH(C247,STPP!$C$6:$C$4207,0)),"Not Found"))</f>
        <v/>
      </c>
      <c r="F247" s="27" t="str" cm="1">
        <f t="array" ref="F247">IF(C247="","",IFERROR(INDEX(STPP!$F$6:$F$4207,MATCH(C247,STPP!$C$6:$C$4207,0)),"Not Found"))</f>
        <v/>
      </c>
      <c r="G247" s="25" t="str">
        <f>IF(表1[[#This Row],[No Seri]]="","",表1[[#This Row],[Deskripsi Barang]]+表1[[#This Row],[Kuantitas]]-表1[[#This Row],[Satuan]])</f>
        <v/>
      </c>
      <c r="H247" s="28"/>
      <c r="I247" s="25" t="str">
        <f>IF(表1[[#This Row],[Tgl NPBG]]&gt;表1[[#This Row],[Peminta]],表1[[#This Row],[Tgl NPBG]]-表1[[#This Row],[Peminta]],"")</f>
        <v/>
      </c>
      <c r="J247" s="31"/>
    </row>
    <row r="248" s="12" customFormat="1" customHeight="1" spans="2:10">
      <c r="B248" s="25"/>
      <c r="C248" s="25"/>
      <c r="D248" s="26" t="str" cm="1">
        <f t="array" ref="D248">IF(C248="","",IFERROR(INDEX(STPP!$D$6:$D$4207,MATCH(C248,STPP!$C$6:$C$4207,0)),"Not Found"))</f>
        <v/>
      </c>
      <c r="E248" s="27" t="str" cm="1">
        <f t="array" ref="E248">IF(C248="","",IFERROR(INDEX(STPP!$E$6:$E$4207,MATCH(C248,STPP!$C$6:$C$4207,0)),"Not Found"))</f>
        <v/>
      </c>
      <c r="F248" s="27" t="str" cm="1">
        <f t="array" ref="F248">IF(C248="","",IFERROR(INDEX(STPP!$F$6:$F$4207,MATCH(C248,STPP!$C$6:$C$4207,0)),"Not Found"))</f>
        <v/>
      </c>
      <c r="G248" s="25" t="str">
        <f>IF(表1[[#This Row],[No Seri]]="","",表1[[#This Row],[Deskripsi Barang]]+表1[[#This Row],[Kuantitas]]-表1[[#This Row],[Satuan]])</f>
        <v/>
      </c>
      <c r="H248" s="28"/>
      <c r="I248" s="25" t="str">
        <f>IF(表1[[#This Row],[Tgl NPBG]]&gt;表1[[#This Row],[Peminta]],表1[[#This Row],[Tgl NPBG]]-表1[[#This Row],[Peminta]],"")</f>
        <v/>
      </c>
      <c r="J248" s="31"/>
    </row>
    <row r="249" s="12" customFormat="1" customHeight="1" spans="2:10">
      <c r="B249" s="25"/>
      <c r="C249" s="25"/>
      <c r="D249" s="26" t="str" cm="1">
        <f t="array" ref="D249">IF(C249="","",IFERROR(INDEX(STPP!$D$6:$D$4207,MATCH(C249,STPP!$C$6:$C$4207,0)),"Not Found"))</f>
        <v/>
      </c>
      <c r="E249" s="27" t="str" cm="1">
        <f t="array" ref="E249">IF(C249="","",IFERROR(INDEX(STPP!$E$6:$E$4207,MATCH(C249,STPP!$C$6:$C$4207,0)),"Not Found"))</f>
        <v/>
      </c>
      <c r="F249" s="27" t="str" cm="1">
        <f t="array" ref="F249">IF(C249="","",IFERROR(INDEX(STPP!$F$6:$F$4207,MATCH(C249,STPP!$C$6:$C$4207,0)),"Not Found"))</f>
        <v/>
      </c>
      <c r="G249" s="25" t="str">
        <f>IF(表1[[#This Row],[No Seri]]="","",表1[[#This Row],[Deskripsi Barang]]+表1[[#This Row],[Kuantitas]]-表1[[#This Row],[Satuan]])</f>
        <v/>
      </c>
      <c r="H249" s="28"/>
      <c r="I249" s="25" t="str">
        <f>IF(表1[[#This Row],[Tgl NPBG]]&gt;表1[[#This Row],[Peminta]],表1[[#This Row],[Tgl NPBG]]-表1[[#This Row],[Peminta]],"")</f>
        <v/>
      </c>
      <c r="J249" s="31"/>
    </row>
    <row r="250" s="12" customFormat="1" customHeight="1" spans="2:10">
      <c r="B250" s="25"/>
      <c r="C250" s="25"/>
      <c r="D250" s="26" t="str" cm="1">
        <f t="array" ref="D250">IF(C250="","",IFERROR(INDEX(STPP!$D$6:$D$4207,MATCH(C250,STPP!$C$6:$C$4207,0)),"Not Found"))</f>
        <v/>
      </c>
      <c r="E250" s="27" t="str" cm="1">
        <f t="array" ref="E250">IF(C250="","",IFERROR(INDEX(STPP!$E$6:$E$4207,MATCH(C250,STPP!$C$6:$C$4207,0)),"Not Found"))</f>
        <v/>
      </c>
      <c r="F250" s="27" t="str" cm="1">
        <f t="array" ref="F250">IF(C250="","",IFERROR(INDEX(STPP!$F$6:$F$4207,MATCH(C250,STPP!$C$6:$C$4207,0)),"Not Found"))</f>
        <v/>
      </c>
      <c r="G250" s="25" t="str">
        <f>IF(表1[[#This Row],[No Seri]]="","",表1[[#This Row],[Deskripsi Barang]]+表1[[#This Row],[Kuantitas]]-表1[[#This Row],[Satuan]])</f>
        <v/>
      </c>
      <c r="H250" s="28"/>
      <c r="I250" s="25" t="str">
        <f>IF(表1[[#This Row],[Tgl NPBG]]&gt;表1[[#This Row],[Peminta]],表1[[#This Row],[Tgl NPBG]]-表1[[#This Row],[Peminta]],"")</f>
        <v/>
      </c>
      <c r="J250" s="31"/>
    </row>
    <row r="251" s="12" customFormat="1" customHeight="1" spans="2:10">
      <c r="B251" s="25"/>
      <c r="C251" s="25"/>
      <c r="D251" s="26" t="str" cm="1">
        <f t="array" ref="D251">IF(C251="","",IFERROR(INDEX(STPP!$D$6:$D$4207,MATCH(C251,STPP!$C$6:$C$4207,0)),"Not Found"))</f>
        <v/>
      </c>
      <c r="E251" s="27" t="str" cm="1">
        <f t="array" ref="E251">IF(C251="","",IFERROR(INDEX(STPP!$E$6:$E$4207,MATCH(C251,STPP!$C$6:$C$4207,0)),"Not Found"))</f>
        <v/>
      </c>
      <c r="F251" s="27" t="str" cm="1">
        <f t="array" ref="F251">IF(C251="","",IFERROR(INDEX(STPP!$F$6:$F$4207,MATCH(C251,STPP!$C$6:$C$4207,0)),"Not Found"))</f>
        <v/>
      </c>
      <c r="G251" s="25" t="str">
        <f>IF(表1[[#This Row],[No Seri]]="","",表1[[#This Row],[Deskripsi Barang]]+表1[[#This Row],[Kuantitas]]-表1[[#This Row],[Satuan]])</f>
        <v/>
      </c>
      <c r="H251" s="28"/>
      <c r="I251" s="25" t="str">
        <f>IF(表1[[#This Row],[Tgl NPBG]]&gt;表1[[#This Row],[Peminta]],表1[[#This Row],[Tgl NPBG]]-表1[[#This Row],[Peminta]],"")</f>
        <v/>
      </c>
      <c r="J251" s="31"/>
    </row>
    <row r="252" s="12" customFormat="1" customHeight="1" spans="2:10">
      <c r="B252" s="25"/>
      <c r="C252" s="25"/>
      <c r="D252" s="26" t="str" cm="1">
        <f t="array" ref="D252">IF(C252="","",IFERROR(INDEX(STPP!$D$6:$D$4207,MATCH(C252,STPP!$C$6:$C$4207,0)),"Not Found"))</f>
        <v/>
      </c>
      <c r="E252" s="27" t="str" cm="1">
        <f t="array" ref="E252">IF(C252="","",IFERROR(INDEX(STPP!$E$6:$E$4207,MATCH(C252,STPP!$C$6:$C$4207,0)),"Not Found"))</f>
        <v/>
      </c>
      <c r="F252" s="27" t="str" cm="1">
        <f t="array" ref="F252">IF(C252="","",IFERROR(INDEX(STPP!$F$6:$F$4207,MATCH(C252,STPP!$C$6:$C$4207,0)),"Not Found"))</f>
        <v/>
      </c>
      <c r="G252" s="25" t="str">
        <f>IF(表1[[#This Row],[No Seri]]="","",表1[[#This Row],[Deskripsi Barang]]+表1[[#This Row],[Kuantitas]]-表1[[#This Row],[Satuan]])</f>
        <v/>
      </c>
      <c r="H252" s="28"/>
      <c r="I252" s="25" t="str">
        <f>IF(表1[[#This Row],[Tgl NPBG]]&gt;表1[[#This Row],[Peminta]],表1[[#This Row],[Tgl NPBG]]-表1[[#This Row],[Peminta]],"")</f>
        <v/>
      </c>
      <c r="J252" s="31"/>
    </row>
    <row r="253" s="12" customFormat="1" customHeight="1" spans="2:10">
      <c r="B253" s="25"/>
      <c r="C253" s="25"/>
      <c r="D253" s="26" t="str" cm="1">
        <f t="array" ref="D253">IF(C253="","",IFERROR(INDEX(STPP!$D$6:$D$4207,MATCH(C253,STPP!$C$6:$C$4207,0)),"Not Found"))</f>
        <v/>
      </c>
      <c r="E253" s="27" t="str" cm="1">
        <f t="array" ref="E253">IF(C253="","",IFERROR(INDEX(STPP!$E$6:$E$4207,MATCH(C253,STPP!$C$6:$C$4207,0)),"Not Found"))</f>
        <v/>
      </c>
      <c r="F253" s="27" t="str" cm="1">
        <f t="array" ref="F253">IF(C253="","",IFERROR(INDEX(STPP!$F$6:$F$4207,MATCH(C253,STPP!$C$6:$C$4207,0)),"Not Found"))</f>
        <v/>
      </c>
      <c r="G253" s="25" t="str">
        <f>IF(表1[[#This Row],[No Seri]]="","",表1[[#This Row],[Deskripsi Barang]]+表1[[#This Row],[Kuantitas]]-表1[[#This Row],[Satuan]])</f>
        <v/>
      </c>
      <c r="H253" s="28"/>
      <c r="I253" s="25" t="str">
        <f>IF(表1[[#This Row],[Tgl NPBG]]&gt;表1[[#This Row],[Peminta]],表1[[#This Row],[Tgl NPBG]]-表1[[#This Row],[Peminta]],"")</f>
        <v/>
      </c>
      <c r="J253" s="31"/>
    </row>
    <row r="254" s="12" customFormat="1" customHeight="1" spans="2:10">
      <c r="B254" s="25"/>
      <c r="C254" s="25"/>
      <c r="D254" s="26" t="str" cm="1">
        <f t="array" ref="D254">IF(C254="","",IFERROR(INDEX(STPP!$D$6:$D$4207,MATCH(C254,STPP!$C$6:$C$4207,0)),"Not Found"))</f>
        <v/>
      </c>
      <c r="E254" s="27" t="str" cm="1">
        <f t="array" ref="E254">IF(C254="","",IFERROR(INDEX(STPP!$E$6:$E$4207,MATCH(C254,STPP!$C$6:$C$4207,0)),"Not Found"))</f>
        <v/>
      </c>
      <c r="F254" s="27" t="str" cm="1">
        <f t="array" ref="F254">IF(C254="","",IFERROR(INDEX(STPP!$F$6:$F$4207,MATCH(C254,STPP!$C$6:$C$4207,0)),"Not Found"))</f>
        <v/>
      </c>
      <c r="G254" s="25" t="str">
        <f>IF(表1[[#This Row],[No Seri]]="","",表1[[#This Row],[Deskripsi Barang]]+表1[[#This Row],[Kuantitas]]-表1[[#This Row],[Satuan]])</f>
        <v/>
      </c>
      <c r="H254" s="28"/>
      <c r="I254" s="25" t="str">
        <f>IF(表1[[#This Row],[Tgl NPBG]]&gt;表1[[#This Row],[Peminta]],表1[[#This Row],[Tgl NPBG]]-表1[[#This Row],[Peminta]],"")</f>
        <v/>
      </c>
      <c r="J254" s="31"/>
    </row>
    <row r="255" s="12" customFormat="1" customHeight="1" spans="2:10">
      <c r="B255" s="25"/>
      <c r="C255" s="25"/>
      <c r="D255" s="26" t="str" cm="1">
        <f t="array" ref="D255">IF(C255="","",IFERROR(INDEX(STPP!$D$6:$D$4207,MATCH(C255,STPP!$C$6:$C$4207,0)),"Not Found"))</f>
        <v/>
      </c>
      <c r="E255" s="27" t="str" cm="1">
        <f t="array" ref="E255">IF(C255="","",IFERROR(INDEX(STPP!$E$6:$E$4207,MATCH(C255,STPP!$C$6:$C$4207,0)),"Not Found"))</f>
        <v/>
      </c>
      <c r="F255" s="27" t="str" cm="1">
        <f t="array" ref="F255">IF(C255="","",IFERROR(INDEX(STPP!$F$6:$F$4207,MATCH(C255,STPP!$C$6:$C$4207,0)),"Not Found"))</f>
        <v/>
      </c>
      <c r="G255" s="25" t="str">
        <f>IF(表1[[#This Row],[No Seri]]="","",表1[[#This Row],[Deskripsi Barang]]+表1[[#This Row],[Kuantitas]]-表1[[#This Row],[Satuan]])</f>
        <v/>
      </c>
      <c r="H255" s="28"/>
      <c r="I255" s="25" t="str">
        <f>IF(表1[[#This Row],[Tgl NPBG]]&gt;表1[[#This Row],[Peminta]],表1[[#This Row],[Tgl NPBG]]-表1[[#This Row],[Peminta]],"")</f>
        <v/>
      </c>
      <c r="J255" s="31"/>
    </row>
    <row r="256" s="12" customFormat="1" customHeight="1" spans="2:10">
      <c r="B256" s="25"/>
      <c r="C256" s="25"/>
      <c r="D256" s="26" t="str" cm="1">
        <f t="array" ref="D256">IF(C256="","",IFERROR(INDEX(STPP!$D$6:$D$4207,MATCH(C256,STPP!$C$6:$C$4207,0)),"Not Found"))</f>
        <v/>
      </c>
      <c r="E256" s="27" t="str" cm="1">
        <f t="array" ref="E256">IF(C256="","",IFERROR(INDEX(STPP!$E$6:$E$4207,MATCH(C256,STPP!$C$6:$C$4207,0)),"Not Found"))</f>
        <v/>
      </c>
      <c r="F256" s="27" t="str" cm="1">
        <f t="array" ref="F256">IF(C256="","",IFERROR(INDEX(STPP!$F$6:$F$4207,MATCH(C256,STPP!$C$6:$C$4207,0)),"Not Found"))</f>
        <v/>
      </c>
      <c r="G256" s="25" t="str">
        <f>IF(表1[[#This Row],[No Seri]]="","",表1[[#This Row],[Deskripsi Barang]]+表1[[#This Row],[Kuantitas]]-表1[[#This Row],[Satuan]])</f>
        <v/>
      </c>
      <c r="H256" s="28"/>
      <c r="I256" s="25" t="str">
        <f>IF(表1[[#This Row],[Tgl NPBG]]&gt;表1[[#This Row],[Peminta]],表1[[#This Row],[Tgl NPBG]]-表1[[#This Row],[Peminta]],"")</f>
        <v/>
      </c>
      <c r="J256" s="31"/>
    </row>
    <row r="257" s="12" customFormat="1" customHeight="1" spans="2:10">
      <c r="B257" s="25"/>
      <c r="C257" s="25"/>
      <c r="D257" s="26" t="str" cm="1">
        <f t="array" ref="D257">IF(C257="","",IFERROR(INDEX(STPP!$D$6:$D$4207,MATCH(C257,STPP!$C$6:$C$4207,0)),"Not Found"))</f>
        <v/>
      </c>
      <c r="E257" s="27" t="str" cm="1">
        <f t="array" ref="E257">IF(C257="","",IFERROR(INDEX(STPP!$E$6:$E$4207,MATCH(C257,STPP!$C$6:$C$4207,0)),"Not Found"))</f>
        <v/>
      </c>
      <c r="F257" s="27" t="str" cm="1">
        <f t="array" ref="F257">IF(C257="","",IFERROR(INDEX(STPP!$F$6:$F$4207,MATCH(C257,STPP!$C$6:$C$4207,0)),"Not Found"))</f>
        <v/>
      </c>
      <c r="G257" s="25" t="str">
        <f>IF(表1[[#This Row],[No Seri]]="","",表1[[#This Row],[Deskripsi Barang]]+表1[[#This Row],[Kuantitas]]-表1[[#This Row],[Satuan]])</f>
        <v/>
      </c>
      <c r="H257" s="28"/>
      <c r="I257" s="25" t="str">
        <f>IF(表1[[#This Row],[Tgl NPBG]]&gt;表1[[#This Row],[Peminta]],表1[[#This Row],[Tgl NPBG]]-表1[[#This Row],[Peminta]],"")</f>
        <v/>
      </c>
      <c r="J257" s="31"/>
    </row>
    <row r="258" s="12" customFormat="1" customHeight="1" spans="2:10">
      <c r="B258" s="25"/>
      <c r="C258" s="25"/>
      <c r="D258" s="26" t="str" cm="1">
        <f t="array" ref="D258">IF(C258="","",IFERROR(INDEX(STPP!$D$6:$D$4207,MATCH(C258,STPP!$C$6:$C$4207,0)),"Not Found"))</f>
        <v/>
      </c>
      <c r="E258" s="27" t="str" cm="1">
        <f t="array" ref="E258">IF(C258="","",IFERROR(INDEX(STPP!$E$6:$E$4207,MATCH(C258,STPP!$C$6:$C$4207,0)),"Not Found"))</f>
        <v/>
      </c>
      <c r="F258" s="27" t="str" cm="1">
        <f t="array" ref="F258">IF(C258="","",IFERROR(INDEX(STPP!$F$6:$F$4207,MATCH(C258,STPP!$C$6:$C$4207,0)),"Not Found"))</f>
        <v/>
      </c>
      <c r="G258" s="25" t="str">
        <f>IF(表1[[#This Row],[No Seri]]="","",表1[[#This Row],[Deskripsi Barang]]+表1[[#This Row],[Kuantitas]]-表1[[#This Row],[Satuan]])</f>
        <v/>
      </c>
      <c r="H258" s="28"/>
      <c r="I258" s="25" t="str">
        <f>IF(表1[[#This Row],[Tgl NPBG]]&gt;表1[[#This Row],[Peminta]],表1[[#This Row],[Tgl NPBG]]-表1[[#This Row],[Peminta]],"")</f>
        <v/>
      </c>
      <c r="J258" s="31"/>
    </row>
    <row r="259" s="12" customFormat="1" customHeight="1" spans="2:10">
      <c r="B259" s="25"/>
      <c r="C259" s="25"/>
      <c r="D259" s="26" t="str" cm="1">
        <f t="array" ref="D259">IF(C259="","",IFERROR(INDEX(STPP!$D$6:$D$4207,MATCH(C259,STPP!$C$6:$C$4207,0)),"Not Found"))</f>
        <v/>
      </c>
      <c r="E259" s="27" t="str" cm="1">
        <f t="array" ref="E259">IF(C259="","",IFERROR(INDEX(STPP!$E$6:$E$4207,MATCH(C259,STPP!$C$6:$C$4207,0)),"Not Found"))</f>
        <v/>
      </c>
      <c r="F259" s="27" t="str" cm="1">
        <f t="array" ref="F259">IF(C259="","",IFERROR(INDEX(STPP!$F$6:$F$4207,MATCH(C259,STPP!$C$6:$C$4207,0)),"Not Found"))</f>
        <v/>
      </c>
      <c r="G259" s="25" t="str">
        <f>IF(表1[[#This Row],[No Seri]]="","",表1[[#This Row],[Deskripsi Barang]]+表1[[#This Row],[Kuantitas]]-表1[[#This Row],[Satuan]])</f>
        <v/>
      </c>
      <c r="H259" s="28"/>
      <c r="I259" s="25" t="str">
        <f>IF(表1[[#This Row],[Tgl NPBG]]&gt;表1[[#This Row],[Peminta]],表1[[#This Row],[Tgl NPBG]]-表1[[#This Row],[Peminta]],"")</f>
        <v/>
      </c>
      <c r="J259" s="31"/>
    </row>
    <row r="260" s="12" customFormat="1" customHeight="1" spans="2:10">
      <c r="B260" s="25"/>
      <c r="C260" s="25"/>
      <c r="D260" s="26" t="str" cm="1">
        <f t="array" ref="D260">IF(C260="","",IFERROR(INDEX(STPP!$D$6:$D$4207,MATCH(C260,STPP!$C$6:$C$4207,0)),"Not Found"))</f>
        <v/>
      </c>
      <c r="E260" s="27" t="str" cm="1">
        <f t="array" ref="E260">IF(C260="","",IFERROR(INDEX(STPP!$E$6:$E$4207,MATCH(C260,STPP!$C$6:$C$4207,0)),"Not Found"))</f>
        <v/>
      </c>
      <c r="F260" s="27" t="str" cm="1">
        <f t="array" ref="F260">IF(C260="","",IFERROR(INDEX(STPP!$F$6:$F$4207,MATCH(C260,STPP!$C$6:$C$4207,0)),"Not Found"))</f>
        <v/>
      </c>
      <c r="G260" s="25" t="str">
        <f>IF(表1[[#This Row],[No Seri]]="","",表1[[#This Row],[Deskripsi Barang]]+表1[[#This Row],[Kuantitas]]-表1[[#This Row],[Satuan]])</f>
        <v/>
      </c>
      <c r="H260" s="28"/>
      <c r="I260" s="25" t="str">
        <f>IF(表1[[#This Row],[Tgl NPBG]]&gt;表1[[#This Row],[Peminta]],表1[[#This Row],[Tgl NPBG]]-表1[[#This Row],[Peminta]],"")</f>
        <v/>
      </c>
      <c r="J260" s="31"/>
    </row>
    <row r="261" s="12" customFormat="1" customHeight="1" spans="2:10">
      <c r="B261" s="25"/>
      <c r="C261" s="25"/>
      <c r="D261" s="26" t="str" cm="1">
        <f t="array" ref="D261">IF(C261="","",IFERROR(INDEX(STPP!$D$6:$D$4207,MATCH(C261,STPP!$C$6:$C$4207,0)),"Not Found"))</f>
        <v/>
      </c>
      <c r="E261" s="27" t="str" cm="1">
        <f t="array" ref="E261">IF(C261="","",IFERROR(INDEX(STPP!$E$6:$E$4207,MATCH(C261,STPP!$C$6:$C$4207,0)),"Not Found"))</f>
        <v/>
      </c>
      <c r="F261" s="27" t="str" cm="1">
        <f t="array" ref="F261">IF(C261="","",IFERROR(INDEX(STPP!$F$6:$F$4207,MATCH(C261,STPP!$C$6:$C$4207,0)),"Not Found"))</f>
        <v/>
      </c>
      <c r="G261" s="25" t="str">
        <f>IF(表1[[#This Row],[No Seri]]="","",表1[[#This Row],[Deskripsi Barang]]+表1[[#This Row],[Kuantitas]]-表1[[#This Row],[Satuan]])</f>
        <v/>
      </c>
      <c r="H261" s="28"/>
      <c r="I261" s="25" t="str">
        <f>IF(表1[[#This Row],[Tgl NPBG]]&gt;表1[[#This Row],[Peminta]],表1[[#This Row],[Tgl NPBG]]-表1[[#This Row],[Peminta]],"")</f>
        <v/>
      </c>
      <c r="J261" s="31"/>
    </row>
    <row r="262" s="12" customFormat="1" customHeight="1" spans="2:10">
      <c r="B262" s="25"/>
      <c r="C262" s="25"/>
      <c r="D262" s="26" t="str" cm="1">
        <f t="array" ref="D262">IF(C262="","",IFERROR(INDEX(STPP!$D$6:$D$4207,MATCH(C262,STPP!$C$6:$C$4207,0)),"Not Found"))</f>
        <v/>
      </c>
      <c r="E262" s="27" t="str" cm="1">
        <f t="array" ref="E262">IF(C262="","",IFERROR(INDEX(STPP!$E$6:$E$4207,MATCH(C262,STPP!$C$6:$C$4207,0)),"Not Found"))</f>
        <v/>
      </c>
      <c r="F262" s="27" t="str" cm="1">
        <f t="array" ref="F262">IF(C262="","",IFERROR(INDEX(STPP!$F$6:$F$4207,MATCH(C262,STPP!$C$6:$C$4207,0)),"Not Found"))</f>
        <v/>
      </c>
      <c r="G262" s="25" t="str">
        <f>IF(表1[[#This Row],[No Seri]]="","",表1[[#This Row],[Deskripsi Barang]]+表1[[#This Row],[Kuantitas]]-表1[[#This Row],[Satuan]])</f>
        <v/>
      </c>
      <c r="H262" s="28"/>
      <c r="I262" s="25" t="str">
        <f>IF(表1[[#This Row],[Tgl NPBG]]&gt;表1[[#This Row],[Peminta]],表1[[#This Row],[Tgl NPBG]]-表1[[#This Row],[Peminta]],"")</f>
        <v/>
      </c>
      <c r="J262" s="31"/>
    </row>
    <row r="263" s="12" customFormat="1" customHeight="1" spans="2:10">
      <c r="B263" s="25"/>
      <c r="C263" s="25"/>
      <c r="D263" s="26" t="str" cm="1">
        <f t="array" ref="D263">IF(C263="","",IFERROR(INDEX(STPP!$D$6:$D$4207,MATCH(C263,STPP!$C$6:$C$4207,0)),"Not Found"))</f>
        <v/>
      </c>
      <c r="E263" s="27" t="str" cm="1">
        <f t="array" ref="E263">IF(C263="","",IFERROR(INDEX(STPP!$E$6:$E$4207,MATCH(C263,STPP!$C$6:$C$4207,0)),"Not Found"))</f>
        <v/>
      </c>
      <c r="F263" s="27" t="str" cm="1">
        <f t="array" ref="F263">IF(C263="","",IFERROR(INDEX(STPP!$F$6:$F$4207,MATCH(C263,STPP!$C$6:$C$4207,0)),"Not Found"))</f>
        <v/>
      </c>
      <c r="G263" s="25" t="str">
        <f>IF(表1[[#This Row],[No Seri]]="","",表1[[#This Row],[Deskripsi Barang]]+表1[[#This Row],[Kuantitas]]-表1[[#This Row],[Satuan]])</f>
        <v/>
      </c>
      <c r="H263" s="28"/>
      <c r="I263" s="25" t="str">
        <f>IF(表1[[#This Row],[Tgl NPBG]]&gt;表1[[#This Row],[Peminta]],表1[[#This Row],[Tgl NPBG]]-表1[[#This Row],[Peminta]],"")</f>
        <v/>
      </c>
      <c r="J263" s="31"/>
    </row>
    <row r="264" s="12" customFormat="1" customHeight="1" spans="2:10">
      <c r="B264" s="25"/>
      <c r="C264" s="25"/>
      <c r="D264" s="26" t="str" cm="1">
        <f t="array" ref="D264">IF(C264="","",IFERROR(INDEX(STPP!$D$6:$D$4207,MATCH(C264,STPP!$C$6:$C$4207,0)),"Not Found"))</f>
        <v/>
      </c>
      <c r="E264" s="27" t="str" cm="1">
        <f t="array" ref="E264">IF(C264="","",IFERROR(INDEX(STPP!$E$6:$E$4207,MATCH(C264,STPP!$C$6:$C$4207,0)),"Not Found"))</f>
        <v/>
      </c>
      <c r="F264" s="27" t="str" cm="1">
        <f t="array" ref="F264">IF(C264="","",IFERROR(INDEX(STPP!$F$6:$F$4207,MATCH(C264,STPP!$C$6:$C$4207,0)),"Not Found"))</f>
        <v/>
      </c>
      <c r="G264" s="25" t="str">
        <f>IF(表1[[#This Row],[No Seri]]="","",表1[[#This Row],[Deskripsi Barang]]+表1[[#This Row],[Kuantitas]]-表1[[#This Row],[Satuan]])</f>
        <v/>
      </c>
      <c r="H264" s="28"/>
      <c r="I264" s="25" t="str">
        <f>IF(表1[[#This Row],[Tgl NPBG]]&gt;表1[[#This Row],[Peminta]],表1[[#This Row],[Tgl NPBG]]-表1[[#This Row],[Peminta]],"")</f>
        <v/>
      </c>
      <c r="J264" s="31"/>
    </row>
    <row r="265" s="12" customFormat="1" customHeight="1" spans="2:10">
      <c r="B265" s="25"/>
      <c r="C265" s="25"/>
      <c r="D265" s="26" t="str" cm="1">
        <f t="array" ref="D265">IF(C265="","",IFERROR(INDEX(STPP!$D$6:$D$4207,MATCH(C265,STPP!$C$6:$C$4207,0)),"Not Found"))</f>
        <v/>
      </c>
      <c r="E265" s="27" t="str" cm="1">
        <f t="array" ref="E265">IF(C265="","",IFERROR(INDEX(STPP!$E$6:$E$4207,MATCH(C265,STPP!$C$6:$C$4207,0)),"Not Found"))</f>
        <v/>
      </c>
      <c r="F265" s="27" t="str" cm="1">
        <f t="array" ref="F265">IF(C265="","",IFERROR(INDEX(STPP!$F$6:$F$4207,MATCH(C265,STPP!$C$6:$C$4207,0)),"Not Found"))</f>
        <v/>
      </c>
      <c r="G265" s="25" t="str">
        <f>IF(表1[[#This Row],[No Seri]]="","",表1[[#This Row],[Deskripsi Barang]]+表1[[#This Row],[Kuantitas]]-表1[[#This Row],[Satuan]])</f>
        <v/>
      </c>
      <c r="H265" s="28"/>
      <c r="I265" s="25" t="str">
        <f>IF(表1[[#This Row],[Tgl NPBG]]&gt;表1[[#This Row],[Peminta]],表1[[#This Row],[Tgl NPBG]]-表1[[#This Row],[Peminta]],"")</f>
        <v/>
      </c>
      <c r="J265" s="31"/>
    </row>
    <row r="266" s="12" customFormat="1" customHeight="1" spans="2:10">
      <c r="B266" s="25"/>
      <c r="C266" s="25"/>
      <c r="D266" s="26" t="str" cm="1">
        <f t="array" ref="D266">IF(C266="","",IFERROR(INDEX(STPP!$D$6:$D$4207,MATCH(C266,STPP!$C$6:$C$4207,0)),"Not Found"))</f>
        <v/>
      </c>
      <c r="E266" s="27" t="str" cm="1">
        <f t="array" ref="E266">IF(C266="","",IFERROR(INDEX(STPP!$E$6:$E$4207,MATCH(C266,STPP!$C$6:$C$4207,0)),"Not Found"))</f>
        <v/>
      </c>
      <c r="F266" s="27" t="str" cm="1">
        <f t="array" ref="F266">IF(C266="","",IFERROR(INDEX(STPP!$F$6:$F$4207,MATCH(C266,STPP!$C$6:$C$4207,0)),"Not Found"))</f>
        <v/>
      </c>
      <c r="G266" s="25" t="str">
        <f>IF(表1[[#This Row],[No Seri]]="","",表1[[#This Row],[Deskripsi Barang]]+表1[[#This Row],[Kuantitas]]-表1[[#This Row],[Satuan]])</f>
        <v/>
      </c>
      <c r="H266" s="28"/>
      <c r="I266" s="25" t="str">
        <f>IF(表1[[#This Row],[Tgl NPBG]]&gt;表1[[#This Row],[Peminta]],表1[[#This Row],[Tgl NPBG]]-表1[[#This Row],[Peminta]],"")</f>
        <v/>
      </c>
      <c r="J266" s="31"/>
    </row>
    <row r="267" s="12" customFormat="1" customHeight="1" spans="2:10">
      <c r="B267" s="25"/>
      <c r="C267" s="25"/>
      <c r="D267" s="26" t="str" cm="1">
        <f t="array" ref="D267">IF(C267="","",IFERROR(INDEX(STPP!$D$6:$D$4207,MATCH(C267,STPP!$C$6:$C$4207,0)),"Not Found"))</f>
        <v/>
      </c>
      <c r="E267" s="27" t="str" cm="1">
        <f t="array" ref="E267">IF(C267="","",IFERROR(INDEX(STPP!$E$6:$E$4207,MATCH(C267,STPP!$C$6:$C$4207,0)),"Not Found"))</f>
        <v/>
      </c>
      <c r="F267" s="27" t="str" cm="1">
        <f t="array" ref="F267">IF(C267="","",IFERROR(INDEX(STPP!$F$6:$F$4207,MATCH(C267,STPP!$C$6:$C$4207,0)),"Not Found"))</f>
        <v/>
      </c>
      <c r="G267" s="25" t="str">
        <f>IF(表1[[#This Row],[No Seri]]="","",表1[[#This Row],[Deskripsi Barang]]+表1[[#This Row],[Kuantitas]]-表1[[#This Row],[Satuan]])</f>
        <v/>
      </c>
      <c r="H267" s="28"/>
      <c r="I267" s="25" t="str">
        <f>IF(表1[[#This Row],[Tgl NPBG]]&gt;表1[[#This Row],[Peminta]],表1[[#This Row],[Tgl NPBG]]-表1[[#This Row],[Peminta]],"")</f>
        <v/>
      </c>
      <c r="J267" s="31"/>
    </row>
    <row r="268" s="12" customFormat="1" customHeight="1" spans="2:10">
      <c r="B268" s="25"/>
      <c r="C268" s="25"/>
      <c r="D268" s="26" t="str" cm="1">
        <f t="array" ref="D268">IF(C268="","",IFERROR(INDEX(STPP!$D$6:$D$4207,MATCH(C268,STPP!$C$6:$C$4207,0)),"Not Found"))</f>
        <v/>
      </c>
      <c r="E268" s="27" t="str" cm="1">
        <f t="array" ref="E268">IF(C268="","",IFERROR(INDEX(STPP!$E$6:$E$4207,MATCH(C268,STPP!$C$6:$C$4207,0)),"Not Found"))</f>
        <v/>
      </c>
      <c r="F268" s="27" t="str" cm="1">
        <f t="array" ref="F268">IF(C268="","",IFERROR(INDEX(STPP!$F$6:$F$4207,MATCH(C268,STPP!$C$6:$C$4207,0)),"Not Found"))</f>
        <v/>
      </c>
      <c r="G268" s="25" t="str">
        <f>IF(表1[[#This Row],[No Seri]]="","",表1[[#This Row],[Deskripsi Barang]]+表1[[#This Row],[Kuantitas]]-表1[[#This Row],[Satuan]])</f>
        <v/>
      </c>
      <c r="H268" s="28"/>
      <c r="I268" s="25" t="str">
        <f>IF(表1[[#This Row],[Tgl NPBG]]&gt;表1[[#This Row],[Peminta]],表1[[#This Row],[Tgl NPBG]]-表1[[#This Row],[Peminta]],"")</f>
        <v/>
      </c>
      <c r="J268" s="31"/>
    </row>
    <row r="269" s="12" customFormat="1" customHeight="1" spans="2:10">
      <c r="B269" s="25"/>
      <c r="C269" s="25"/>
      <c r="D269" s="26" t="str" cm="1">
        <f t="array" ref="D269">IF(C269="","",IFERROR(INDEX(STPP!$D$6:$D$4207,MATCH(C269,STPP!$C$6:$C$4207,0)),"Not Found"))</f>
        <v/>
      </c>
      <c r="E269" s="27" t="str" cm="1">
        <f t="array" ref="E269">IF(C269="","",IFERROR(INDEX(STPP!$E$6:$E$4207,MATCH(C269,STPP!$C$6:$C$4207,0)),"Not Found"))</f>
        <v/>
      </c>
      <c r="F269" s="27" t="str" cm="1">
        <f t="array" ref="F269">IF(C269="","",IFERROR(INDEX(STPP!$F$6:$F$4207,MATCH(C269,STPP!$C$6:$C$4207,0)),"Not Found"))</f>
        <v/>
      </c>
      <c r="G269" s="25" t="str">
        <f>IF(表1[[#This Row],[No Seri]]="","",表1[[#This Row],[Deskripsi Barang]]+表1[[#This Row],[Kuantitas]]-表1[[#This Row],[Satuan]])</f>
        <v/>
      </c>
      <c r="H269" s="28"/>
      <c r="I269" s="25" t="str">
        <f>IF(表1[[#This Row],[Tgl NPBG]]&gt;表1[[#This Row],[Peminta]],表1[[#This Row],[Tgl NPBG]]-表1[[#This Row],[Peminta]],"")</f>
        <v/>
      </c>
      <c r="J269" s="31"/>
    </row>
    <row r="270" s="12" customFormat="1" customHeight="1" spans="2:10">
      <c r="B270" s="25"/>
      <c r="C270" s="25"/>
      <c r="D270" s="26" t="str" cm="1">
        <f t="array" ref="D270">IF(C270="","",IFERROR(INDEX(STPP!$D$6:$D$4207,MATCH(C270,STPP!$C$6:$C$4207,0)),"Not Found"))</f>
        <v/>
      </c>
      <c r="E270" s="27" t="str" cm="1">
        <f t="array" ref="E270">IF(C270="","",IFERROR(INDEX(STPP!$E$6:$E$4207,MATCH(C270,STPP!$C$6:$C$4207,0)),"Not Found"))</f>
        <v/>
      </c>
      <c r="F270" s="27" t="str" cm="1">
        <f t="array" ref="F270">IF(C270="","",IFERROR(INDEX(STPP!$F$6:$F$4207,MATCH(C270,STPP!$C$6:$C$4207,0)),"Not Found"))</f>
        <v/>
      </c>
      <c r="G270" s="25" t="str">
        <f>IF(表1[[#This Row],[No Seri]]="","",表1[[#This Row],[Deskripsi Barang]]+表1[[#This Row],[Kuantitas]]-表1[[#This Row],[Satuan]])</f>
        <v/>
      </c>
      <c r="H270" s="28"/>
      <c r="I270" s="25" t="str">
        <f>IF(表1[[#This Row],[Tgl NPBG]]&gt;表1[[#This Row],[Peminta]],表1[[#This Row],[Tgl NPBG]]-表1[[#This Row],[Peminta]],"")</f>
        <v/>
      </c>
      <c r="J270" s="31"/>
    </row>
    <row r="271" s="12" customFormat="1" customHeight="1" spans="2:10">
      <c r="B271" s="25"/>
      <c r="C271" s="25"/>
      <c r="D271" s="26" t="str" cm="1">
        <f t="array" ref="D271">IF(C271="","",IFERROR(INDEX(STPP!$D$6:$D$4207,MATCH(C271,STPP!$C$6:$C$4207,0)),"Not Found"))</f>
        <v/>
      </c>
      <c r="E271" s="27" t="str" cm="1">
        <f t="array" ref="E271">IF(C271="","",IFERROR(INDEX(STPP!$E$6:$E$4207,MATCH(C271,STPP!$C$6:$C$4207,0)),"Not Found"))</f>
        <v/>
      </c>
      <c r="F271" s="27" t="str" cm="1">
        <f t="array" ref="F271">IF(C271="","",IFERROR(INDEX(STPP!$F$6:$F$4207,MATCH(C271,STPP!$C$6:$C$4207,0)),"Not Found"))</f>
        <v/>
      </c>
      <c r="G271" s="25" t="str">
        <f>IF(表1[[#This Row],[No Seri]]="","",表1[[#This Row],[Deskripsi Barang]]+表1[[#This Row],[Kuantitas]]-表1[[#This Row],[Satuan]])</f>
        <v/>
      </c>
      <c r="H271" s="28"/>
      <c r="I271" s="25" t="str">
        <f>IF(表1[[#This Row],[Tgl NPBG]]&gt;表1[[#This Row],[Peminta]],表1[[#This Row],[Tgl NPBG]]-表1[[#This Row],[Peminta]],"")</f>
        <v/>
      </c>
      <c r="J271" s="31"/>
    </row>
    <row r="272" s="12" customFormat="1" customHeight="1" spans="2:10">
      <c r="B272" s="25"/>
      <c r="C272" s="25"/>
      <c r="D272" s="26" t="str" cm="1">
        <f t="array" ref="D272">IF(C272="","",IFERROR(INDEX(STPP!$D$6:$D$4207,MATCH(C272,STPP!$C$6:$C$4207,0)),"Not Found"))</f>
        <v/>
      </c>
      <c r="E272" s="27" t="str" cm="1">
        <f t="array" ref="E272">IF(C272="","",IFERROR(INDEX(STPP!$E$6:$E$4207,MATCH(C272,STPP!$C$6:$C$4207,0)),"Not Found"))</f>
        <v/>
      </c>
      <c r="F272" s="27" t="str" cm="1">
        <f t="array" ref="F272">IF(C272="","",IFERROR(INDEX(STPP!$F$6:$F$4207,MATCH(C272,STPP!$C$6:$C$4207,0)),"Not Found"))</f>
        <v/>
      </c>
      <c r="G272" s="25" t="str">
        <f>IF(表1[[#This Row],[No Seri]]="","",表1[[#This Row],[Deskripsi Barang]]+表1[[#This Row],[Kuantitas]]-表1[[#This Row],[Satuan]])</f>
        <v/>
      </c>
      <c r="H272" s="28"/>
      <c r="I272" s="25" t="str">
        <f>IF(表1[[#This Row],[Tgl NPBG]]&gt;表1[[#This Row],[Peminta]],表1[[#This Row],[Tgl NPBG]]-表1[[#This Row],[Peminta]],"")</f>
        <v/>
      </c>
      <c r="J272" s="31"/>
    </row>
    <row r="273" s="12" customFormat="1" customHeight="1" spans="2:10">
      <c r="B273" s="25"/>
      <c r="C273" s="25"/>
      <c r="D273" s="26" t="str" cm="1">
        <f t="array" ref="D273">IF(C273="","",IFERROR(INDEX(STPP!$D$6:$D$4207,MATCH(C273,STPP!$C$6:$C$4207,0)),"Not Found"))</f>
        <v/>
      </c>
      <c r="E273" s="27" t="str" cm="1">
        <f t="array" ref="E273">IF(C273="","",IFERROR(INDEX(STPP!$E$6:$E$4207,MATCH(C273,STPP!$C$6:$C$4207,0)),"Not Found"))</f>
        <v/>
      </c>
      <c r="F273" s="27" t="str" cm="1">
        <f t="array" ref="F273">IF(C273="","",IFERROR(INDEX(STPP!$F$6:$F$4207,MATCH(C273,STPP!$C$6:$C$4207,0)),"Not Found"))</f>
        <v/>
      </c>
      <c r="G273" s="25" t="str">
        <f>IF(表1[[#This Row],[No Seri]]="","",表1[[#This Row],[Deskripsi Barang]]+表1[[#This Row],[Kuantitas]]-表1[[#This Row],[Satuan]])</f>
        <v/>
      </c>
      <c r="H273" s="28"/>
      <c r="I273" s="25" t="str">
        <f>IF(表1[[#This Row],[Tgl NPBG]]&gt;表1[[#This Row],[Peminta]],表1[[#This Row],[Tgl NPBG]]-表1[[#This Row],[Peminta]],"")</f>
        <v/>
      </c>
      <c r="J273" s="31"/>
    </row>
    <row r="274" s="12" customFormat="1" customHeight="1" spans="2:10">
      <c r="B274" s="25"/>
      <c r="C274" s="25"/>
      <c r="D274" s="26" t="str" cm="1">
        <f t="array" ref="D274">IF(C274="","",IFERROR(INDEX(STPP!$D$6:$D$4207,MATCH(C274,STPP!$C$6:$C$4207,0)),"Not Found"))</f>
        <v/>
      </c>
      <c r="E274" s="27" t="str" cm="1">
        <f t="array" ref="E274">IF(C274="","",IFERROR(INDEX(STPP!$E$6:$E$4207,MATCH(C274,STPP!$C$6:$C$4207,0)),"Not Found"))</f>
        <v/>
      </c>
      <c r="F274" s="27" t="str" cm="1">
        <f t="array" ref="F274">IF(C274="","",IFERROR(INDEX(STPP!$F$6:$F$4207,MATCH(C274,STPP!$C$6:$C$4207,0)),"Not Found"))</f>
        <v/>
      </c>
      <c r="G274" s="25" t="str">
        <f>IF(表1[[#This Row],[No Seri]]="","",表1[[#This Row],[Deskripsi Barang]]+表1[[#This Row],[Kuantitas]]-表1[[#This Row],[Satuan]])</f>
        <v/>
      </c>
      <c r="H274" s="28"/>
      <c r="I274" s="25" t="str">
        <f>IF(表1[[#This Row],[Tgl NPBG]]&gt;表1[[#This Row],[Peminta]],表1[[#This Row],[Tgl NPBG]]-表1[[#This Row],[Peminta]],"")</f>
        <v/>
      </c>
      <c r="J274" s="31"/>
    </row>
    <row r="275" s="12" customFormat="1" customHeight="1" spans="2:10">
      <c r="B275" s="25"/>
      <c r="C275" s="25"/>
      <c r="D275" s="26" t="str" cm="1">
        <f t="array" ref="D275">IF(C275="","",IFERROR(INDEX(STPP!$D$6:$D$4207,MATCH(C275,STPP!$C$6:$C$4207,0)),"Not Found"))</f>
        <v/>
      </c>
      <c r="E275" s="27" t="str" cm="1">
        <f t="array" ref="E275">IF(C275="","",IFERROR(INDEX(STPP!$E$6:$E$4207,MATCH(C275,STPP!$C$6:$C$4207,0)),"Not Found"))</f>
        <v/>
      </c>
      <c r="F275" s="27" t="str" cm="1">
        <f t="array" ref="F275">IF(C275="","",IFERROR(INDEX(STPP!$F$6:$F$4207,MATCH(C275,STPP!$C$6:$C$4207,0)),"Not Found"))</f>
        <v/>
      </c>
      <c r="G275" s="25" t="str">
        <f>IF(表1[[#This Row],[No Seri]]="","",表1[[#This Row],[Deskripsi Barang]]+表1[[#This Row],[Kuantitas]]-表1[[#This Row],[Satuan]])</f>
        <v/>
      </c>
      <c r="H275" s="28"/>
      <c r="I275" s="25" t="str">
        <f>IF(表1[[#This Row],[Tgl NPBG]]&gt;表1[[#This Row],[Peminta]],表1[[#This Row],[Tgl NPBG]]-表1[[#This Row],[Peminta]],"")</f>
        <v/>
      </c>
      <c r="J275" s="31"/>
    </row>
    <row r="276" s="12" customFormat="1" customHeight="1" spans="2:10">
      <c r="B276" s="25"/>
      <c r="C276" s="25"/>
      <c r="D276" s="26" t="str" cm="1">
        <f t="array" ref="D276">IF(C276="","",IFERROR(INDEX(STPP!$D$6:$D$4207,MATCH(C276,STPP!$C$6:$C$4207,0)),"Not Found"))</f>
        <v/>
      </c>
      <c r="E276" s="27" t="str" cm="1">
        <f t="array" ref="E276">IF(C276="","",IFERROR(INDEX(STPP!$E$6:$E$4207,MATCH(C276,STPP!$C$6:$C$4207,0)),"Not Found"))</f>
        <v/>
      </c>
      <c r="F276" s="27" t="str" cm="1">
        <f t="array" ref="F276">IF(C276="","",IFERROR(INDEX(STPP!$F$6:$F$4207,MATCH(C276,STPP!$C$6:$C$4207,0)),"Not Found"))</f>
        <v/>
      </c>
      <c r="G276" s="25" t="str">
        <f>IF(表1[[#This Row],[No Seri]]="","",表1[[#This Row],[Deskripsi Barang]]+表1[[#This Row],[Kuantitas]]-表1[[#This Row],[Satuan]])</f>
        <v/>
      </c>
      <c r="H276" s="28"/>
      <c r="I276" s="25" t="str">
        <f>IF(表1[[#This Row],[Tgl NPBG]]&gt;表1[[#This Row],[Peminta]],表1[[#This Row],[Tgl NPBG]]-表1[[#This Row],[Peminta]],"")</f>
        <v/>
      </c>
      <c r="J276" s="31"/>
    </row>
    <row r="277" s="12" customFormat="1" customHeight="1" spans="2:10">
      <c r="B277" s="25"/>
      <c r="C277" s="25"/>
      <c r="D277" s="26" t="str" cm="1">
        <f t="array" ref="D277">IF(C277="","",IFERROR(INDEX(STPP!$D$6:$D$4207,MATCH(C277,STPP!$C$6:$C$4207,0)),"Not Found"))</f>
        <v/>
      </c>
      <c r="E277" s="27" t="str" cm="1">
        <f t="array" ref="E277">IF(C277="","",IFERROR(INDEX(STPP!$E$6:$E$4207,MATCH(C277,STPP!$C$6:$C$4207,0)),"Not Found"))</f>
        <v/>
      </c>
      <c r="F277" s="27" t="str" cm="1">
        <f t="array" ref="F277">IF(C277="","",IFERROR(INDEX(STPP!$F$6:$F$4207,MATCH(C277,STPP!$C$6:$C$4207,0)),"Not Found"))</f>
        <v/>
      </c>
      <c r="G277" s="25" t="str">
        <f>IF(表1[[#This Row],[No Seri]]="","",表1[[#This Row],[Deskripsi Barang]]+表1[[#This Row],[Kuantitas]]-表1[[#This Row],[Satuan]])</f>
        <v/>
      </c>
      <c r="H277" s="28"/>
      <c r="I277" s="25" t="str">
        <f>IF(表1[[#This Row],[Tgl NPBG]]&gt;表1[[#This Row],[Peminta]],表1[[#This Row],[Tgl NPBG]]-表1[[#This Row],[Peminta]],"")</f>
        <v/>
      </c>
      <c r="J277" s="31"/>
    </row>
    <row r="278" s="12" customFormat="1" customHeight="1" spans="2:10">
      <c r="B278" s="25"/>
      <c r="C278" s="25"/>
      <c r="D278" s="26" t="str" cm="1">
        <f t="array" ref="D278">IF(C278="","",IFERROR(INDEX(STPP!$D$6:$D$4207,MATCH(C278,STPP!$C$6:$C$4207,0)),"Not Found"))</f>
        <v/>
      </c>
      <c r="E278" s="27" t="str" cm="1">
        <f t="array" ref="E278">IF(C278="","",IFERROR(INDEX(STPP!$E$6:$E$4207,MATCH(C278,STPP!$C$6:$C$4207,0)),"Not Found"))</f>
        <v/>
      </c>
      <c r="F278" s="27" t="str" cm="1">
        <f t="array" ref="F278">IF(C278="","",IFERROR(INDEX(STPP!$F$6:$F$4207,MATCH(C278,STPP!$C$6:$C$4207,0)),"Not Found"))</f>
        <v/>
      </c>
      <c r="G278" s="25" t="str">
        <f>IF(表1[[#This Row],[No Seri]]="","",表1[[#This Row],[Deskripsi Barang]]+表1[[#This Row],[Kuantitas]]-表1[[#This Row],[Satuan]])</f>
        <v/>
      </c>
      <c r="H278" s="28"/>
      <c r="I278" s="25" t="str">
        <f>IF(表1[[#This Row],[Tgl NPBG]]&gt;表1[[#This Row],[Peminta]],表1[[#This Row],[Tgl NPBG]]-表1[[#This Row],[Peminta]],"")</f>
        <v/>
      </c>
      <c r="J278" s="31"/>
    </row>
    <row r="279" s="12" customFormat="1" customHeight="1" spans="2:10">
      <c r="B279" s="25"/>
      <c r="C279" s="25"/>
      <c r="D279" s="26" t="str" cm="1">
        <f t="array" ref="D279">IF(C279="","",IFERROR(INDEX(STPP!$D$6:$D$4207,MATCH(C279,STPP!$C$6:$C$4207,0)),"Not Found"))</f>
        <v/>
      </c>
      <c r="E279" s="27" t="str" cm="1">
        <f t="array" ref="E279">IF(C279="","",IFERROR(INDEX(STPP!$E$6:$E$4207,MATCH(C279,STPP!$C$6:$C$4207,0)),"Not Found"))</f>
        <v/>
      </c>
      <c r="F279" s="27" t="str" cm="1">
        <f t="array" ref="F279">IF(C279="","",IFERROR(INDEX(STPP!$F$6:$F$4207,MATCH(C279,STPP!$C$6:$C$4207,0)),"Not Found"))</f>
        <v/>
      </c>
      <c r="G279" s="25" t="str">
        <f>IF(表1[[#This Row],[No Seri]]="","",表1[[#This Row],[Deskripsi Barang]]+表1[[#This Row],[Kuantitas]]-表1[[#This Row],[Satuan]])</f>
        <v/>
      </c>
      <c r="H279" s="28"/>
      <c r="I279" s="25" t="str">
        <f>IF(表1[[#This Row],[Tgl NPBG]]&gt;表1[[#This Row],[Peminta]],表1[[#This Row],[Tgl NPBG]]-表1[[#This Row],[Peminta]],"")</f>
        <v/>
      </c>
      <c r="J279" s="31"/>
    </row>
    <row r="280" s="12" customFormat="1" customHeight="1" spans="2:10">
      <c r="B280" s="25"/>
      <c r="C280" s="25"/>
      <c r="D280" s="26" t="str" cm="1">
        <f t="array" ref="D280">IF(C280="","",IFERROR(INDEX(STPP!$D$6:$D$4207,MATCH(C280,STPP!$C$6:$C$4207,0)),"Not Found"))</f>
        <v/>
      </c>
      <c r="E280" s="27" t="str" cm="1">
        <f t="array" ref="E280">IF(C280="","",IFERROR(INDEX(STPP!$E$6:$E$4207,MATCH(C280,STPP!$C$6:$C$4207,0)),"Not Found"))</f>
        <v/>
      </c>
      <c r="F280" s="27" t="str" cm="1">
        <f t="array" ref="F280">IF(C280="","",IFERROR(INDEX(STPP!$F$6:$F$4207,MATCH(C280,STPP!$C$6:$C$4207,0)),"Not Found"))</f>
        <v/>
      </c>
      <c r="G280" s="25" t="str">
        <f>IF(表1[[#This Row],[No Seri]]="","",表1[[#This Row],[Deskripsi Barang]]+表1[[#This Row],[Kuantitas]]-表1[[#This Row],[Satuan]])</f>
        <v/>
      </c>
      <c r="H280" s="28"/>
      <c r="I280" s="25" t="str">
        <f>IF(表1[[#This Row],[Tgl NPBG]]&gt;表1[[#This Row],[Peminta]],表1[[#This Row],[Tgl NPBG]]-表1[[#This Row],[Peminta]],"")</f>
        <v/>
      </c>
      <c r="J280" s="31"/>
    </row>
    <row r="281" s="12" customFormat="1" customHeight="1" spans="2:10">
      <c r="B281" s="25"/>
      <c r="C281" s="25"/>
      <c r="D281" s="26" t="str" cm="1">
        <f t="array" ref="D281">IF(C281="","",IFERROR(INDEX(STPP!$D$6:$D$4207,MATCH(C281,STPP!$C$6:$C$4207,0)),"Not Found"))</f>
        <v/>
      </c>
      <c r="E281" s="27" t="str" cm="1">
        <f t="array" ref="E281">IF(C281="","",IFERROR(INDEX(STPP!$E$6:$E$4207,MATCH(C281,STPP!$C$6:$C$4207,0)),"Not Found"))</f>
        <v/>
      </c>
      <c r="F281" s="27" t="str" cm="1">
        <f t="array" ref="F281">IF(C281="","",IFERROR(INDEX(STPP!$F$6:$F$4207,MATCH(C281,STPP!$C$6:$C$4207,0)),"Not Found"))</f>
        <v/>
      </c>
      <c r="G281" s="25" t="str">
        <f>IF(表1[[#This Row],[No Seri]]="","",表1[[#This Row],[Deskripsi Barang]]+表1[[#This Row],[Kuantitas]]-表1[[#This Row],[Satuan]])</f>
        <v/>
      </c>
      <c r="H281" s="28"/>
      <c r="I281" s="25" t="str">
        <f>IF(表1[[#This Row],[Tgl NPBG]]&gt;表1[[#This Row],[Peminta]],表1[[#This Row],[Tgl NPBG]]-表1[[#This Row],[Peminta]],"")</f>
        <v/>
      </c>
      <c r="J281" s="31"/>
    </row>
    <row r="282" s="12" customFormat="1" customHeight="1" spans="2:10">
      <c r="B282" s="25"/>
      <c r="C282" s="25"/>
      <c r="D282" s="26" t="str" cm="1">
        <f t="array" ref="D282">IF(C282="","",IFERROR(INDEX(STPP!$D$6:$D$4207,MATCH(C282,STPP!$C$6:$C$4207,0)),"Not Found"))</f>
        <v/>
      </c>
      <c r="E282" s="27" t="str" cm="1">
        <f t="array" ref="E282">IF(C282="","",IFERROR(INDEX(STPP!$E$6:$E$4207,MATCH(C282,STPP!$C$6:$C$4207,0)),"Not Found"))</f>
        <v/>
      </c>
      <c r="F282" s="27" t="str" cm="1">
        <f t="array" ref="F282">IF(C282="","",IFERROR(INDEX(STPP!$F$6:$F$4207,MATCH(C282,STPP!$C$6:$C$4207,0)),"Not Found"))</f>
        <v/>
      </c>
      <c r="G282" s="25" t="str">
        <f>IF(表1[[#This Row],[No Seri]]="","",表1[[#This Row],[Deskripsi Barang]]+表1[[#This Row],[Kuantitas]]-表1[[#This Row],[Satuan]])</f>
        <v/>
      </c>
      <c r="H282" s="28"/>
      <c r="I282" s="25" t="str">
        <f>IF(表1[[#This Row],[Tgl NPBG]]&gt;表1[[#This Row],[Peminta]],表1[[#This Row],[Tgl NPBG]]-表1[[#This Row],[Peminta]],"")</f>
        <v/>
      </c>
      <c r="J282" s="31"/>
    </row>
    <row r="283" s="12" customFormat="1" customHeight="1" spans="2:10">
      <c r="B283" s="25"/>
      <c r="C283" s="25"/>
      <c r="D283" s="26" t="str" cm="1">
        <f t="array" ref="D283">IF(C283="","",IFERROR(INDEX(STPP!$D$6:$D$4207,MATCH(C283,STPP!$C$6:$C$4207,0)),"Not Found"))</f>
        <v/>
      </c>
      <c r="E283" s="27" t="str" cm="1">
        <f t="array" ref="E283">IF(C283="","",IFERROR(INDEX(STPP!$E$6:$E$4207,MATCH(C283,STPP!$C$6:$C$4207,0)),"Not Found"))</f>
        <v/>
      </c>
      <c r="F283" s="27" t="str" cm="1">
        <f t="array" ref="F283">IF(C283="","",IFERROR(INDEX(STPP!$F$6:$F$4207,MATCH(C283,STPP!$C$6:$C$4207,0)),"Not Found"))</f>
        <v/>
      </c>
      <c r="G283" s="25" t="str">
        <f>IF(表1[[#This Row],[No Seri]]="","",表1[[#This Row],[Deskripsi Barang]]+表1[[#This Row],[Kuantitas]]-表1[[#This Row],[Satuan]])</f>
        <v/>
      </c>
      <c r="H283" s="28"/>
      <c r="I283" s="25" t="str">
        <f>IF(表1[[#This Row],[Tgl NPBG]]&gt;表1[[#This Row],[Peminta]],表1[[#This Row],[Tgl NPBG]]-表1[[#This Row],[Peminta]],"")</f>
        <v/>
      </c>
      <c r="J283" s="31"/>
    </row>
    <row r="284" s="12" customFormat="1" customHeight="1" spans="2:10">
      <c r="B284" s="25"/>
      <c r="C284" s="25"/>
      <c r="D284" s="26" t="str" cm="1">
        <f t="array" ref="D284">IF(C284="","",IFERROR(INDEX(STPP!$D$6:$D$4207,MATCH(C284,STPP!$C$6:$C$4207,0)),"Not Found"))</f>
        <v/>
      </c>
      <c r="E284" s="27" t="str" cm="1">
        <f t="array" ref="E284">IF(C284="","",IFERROR(INDEX(STPP!$E$6:$E$4207,MATCH(C284,STPP!$C$6:$C$4207,0)),"Not Found"))</f>
        <v/>
      </c>
      <c r="F284" s="27" t="str" cm="1">
        <f t="array" ref="F284">IF(C284="","",IFERROR(INDEX(STPP!$F$6:$F$4207,MATCH(C284,STPP!$C$6:$C$4207,0)),"Not Found"))</f>
        <v/>
      </c>
      <c r="G284" s="25" t="str">
        <f>IF(表1[[#This Row],[No Seri]]="","",表1[[#This Row],[Deskripsi Barang]]+表1[[#This Row],[Kuantitas]]-表1[[#This Row],[Satuan]])</f>
        <v/>
      </c>
      <c r="H284" s="28"/>
      <c r="I284" s="25" t="str">
        <f>IF(表1[[#This Row],[Tgl NPBG]]&gt;表1[[#This Row],[Peminta]],表1[[#This Row],[Tgl NPBG]]-表1[[#This Row],[Peminta]],"")</f>
        <v/>
      </c>
      <c r="J284" s="31"/>
    </row>
    <row r="285" s="12" customFormat="1" customHeight="1" spans="2:10">
      <c r="B285" s="25"/>
      <c r="C285" s="25"/>
      <c r="D285" s="26" t="str" cm="1">
        <f t="array" ref="D285">IF(C285="","",IFERROR(INDEX(STPP!$D$6:$D$4207,MATCH(C285,STPP!$C$6:$C$4207,0)),"Not Found"))</f>
        <v/>
      </c>
      <c r="E285" s="27" t="str" cm="1">
        <f t="array" ref="E285">IF(C285="","",IFERROR(INDEX(STPP!$E$6:$E$4207,MATCH(C285,STPP!$C$6:$C$4207,0)),"Not Found"))</f>
        <v/>
      </c>
      <c r="F285" s="27" t="str" cm="1">
        <f t="array" ref="F285">IF(C285="","",IFERROR(INDEX(STPP!$F$6:$F$4207,MATCH(C285,STPP!$C$6:$C$4207,0)),"Not Found"))</f>
        <v/>
      </c>
      <c r="G285" s="25" t="str">
        <f>IF(表1[[#This Row],[No Seri]]="","",表1[[#This Row],[Deskripsi Barang]]+表1[[#This Row],[Kuantitas]]-表1[[#This Row],[Satuan]])</f>
        <v/>
      </c>
      <c r="H285" s="28"/>
      <c r="I285" s="25" t="str">
        <f>IF(表1[[#This Row],[Tgl NPBG]]&gt;表1[[#This Row],[Peminta]],表1[[#This Row],[Tgl NPBG]]-表1[[#This Row],[Peminta]],"")</f>
        <v/>
      </c>
      <c r="J285" s="31"/>
    </row>
    <row r="286" s="12" customFormat="1" customHeight="1" spans="2:10">
      <c r="B286" s="25"/>
      <c r="C286" s="25"/>
      <c r="D286" s="26" t="str" cm="1">
        <f t="array" ref="D286">IF(C286="","",IFERROR(INDEX(STPP!$D$6:$D$4207,MATCH(C286,STPP!$C$6:$C$4207,0)),"Not Found"))</f>
        <v/>
      </c>
      <c r="E286" s="27" t="str" cm="1">
        <f t="array" ref="E286">IF(C286="","",IFERROR(INDEX(STPP!$E$6:$E$4207,MATCH(C286,STPP!$C$6:$C$4207,0)),"Not Found"))</f>
        <v/>
      </c>
      <c r="F286" s="27" t="str" cm="1">
        <f t="array" ref="F286">IF(C286="","",IFERROR(INDEX(STPP!$F$6:$F$4207,MATCH(C286,STPP!$C$6:$C$4207,0)),"Not Found"))</f>
        <v/>
      </c>
      <c r="G286" s="25" t="str">
        <f>IF(表1[[#This Row],[No Seri]]="","",表1[[#This Row],[Deskripsi Barang]]+表1[[#This Row],[Kuantitas]]-表1[[#This Row],[Satuan]])</f>
        <v/>
      </c>
      <c r="H286" s="28"/>
      <c r="I286" s="25" t="str">
        <f>IF(表1[[#This Row],[Tgl NPBG]]&gt;表1[[#This Row],[Peminta]],表1[[#This Row],[Tgl NPBG]]-表1[[#This Row],[Peminta]],"")</f>
        <v/>
      </c>
      <c r="J286" s="31"/>
    </row>
    <row r="287" s="12" customFormat="1" customHeight="1" spans="2:10">
      <c r="B287" s="25"/>
      <c r="C287" s="25"/>
      <c r="D287" s="26" t="str" cm="1">
        <f t="array" ref="D287">IF(C287="","",IFERROR(INDEX(STPP!$D$6:$D$4207,MATCH(C287,STPP!$C$6:$C$4207,0)),"Not Found"))</f>
        <v/>
      </c>
      <c r="E287" s="27" t="str" cm="1">
        <f t="array" ref="E287">IF(C287="","",IFERROR(INDEX(STPP!$E$6:$E$4207,MATCH(C287,STPP!$C$6:$C$4207,0)),"Not Found"))</f>
        <v/>
      </c>
      <c r="F287" s="27" t="str" cm="1">
        <f t="array" ref="F287">IF(C287="","",IFERROR(INDEX(STPP!$F$6:$F$4207,MATCH(C287,STPP!$C$6:$C$4207,0)),"Not Found"))</f>
        <v/>
      </c>
      <c r="G287" s="25" t="str">
        <f>IF(表1[[#This Row],[No Seri]]="","",表1[[#This Row],[Deskripsi Barang]]+表1[[#This Row],[Kuantitas]]-表1[[#This Row],[Satuan]])</f>
        <v/>
      </c>
      <c r="H287" s="28"/>
      <c r="I287" s="25" t="str">
        <f>IF(表1[[#This Row],[Tgl NPBG]]&gt;表1[[#This Row],[Peminta]],表1[[#This Row],[Tgl NPBG]]-表1[[#This Row],[Peminta]],"")</f>
        <v/>
      </c>
      <c r="J287" s="31"/>
    </row>
    <row r="288" s="12" customFormat="1" customHeight="1" spans="2:10">
      <c r="B288" s="25"/>
      <c r="C288" s="25"/>
      <c r="D288" s="26" t="str" cm="1">
        <f t="array" ref="D288">IF(C288="","",IFERROR(INDEX(STPP!$D$6:$D$4207,MATCH(C288,STPP!$C$6:$C$4207,0)),"Not Found"))</f>
        <v/>
      </c>
      <c r="E288" s="27" t="str" cm="1">
        <f t="array" ref="E288">IF(C288="","",IFERROR(INDEX(STPP!$E$6:$E$4207,MATCH(C288,STPP!$C$6:$C$4207,0)),"Not Found"))</f>
        <v/>
      </c>
      <c r="F288" s="27" t="str" cm="1">
        <f t="array" ref="F288">IF(C288="","",IFERROR(INDEX(STPP!$F$6:$F$4207,MATCH(C288,STPP!$C$6:$C$4207,0)),"Not Found"))</f>
        <v/>
      </c>
      <c r="G288" s="25" t="str">
        <f>IF(表1[[#This Row],[No Seri]]="","",表1[[#This Row],[Deskripsi Barang]]+表1[[#This Row],[Kuantitas]]-表1[[#This Row],[Satuan]])</f>
        <v/>
      </c>
      <c r="H288" s="28"/>
      <c r="I288" s="25" t="str">
        <f>IF(表1[[#This Row],[Tgl NPBG]]&gt;表1[[#This Row],[Peminta]],表1[[#This Row],[Tgl NPBG]]-表1[[#This Row],[Peminta]],"")</f>
        <v/>
      </c>
      <c r="J288" s="31"/>
    </row>
    <row r="289" s="12" customFormat="1" customHeight="1" spans="2:10">
      <c r="B289" s="25"/>
      <c r="C289" s="25"/>
      <c r="D289" s="26" t="str" cm="1">
        <f t="array" ref="D289">IF(C289="","",IFERROR(INDEX(STPP!$D$6:$D$4207,MATCH(C289,STPP!$C$6:$C$4207,0)),"Not Found"))</f>
        <v/>
      </c>
      <c r="E289" s="27" t="str" cm="1">
        <f t="array" ref="E289">IF(C289="","",IFERROR(INDEX(STPP!$E$6:$E$4207,MATCH(C289,STPP!$C$6:$C$4207,0)),"Not Found"))</f>
        <v/>
      </c>
      <c r="F289" s="27" t="str" cm="1">
        <f t="array" ref="F289">IF(C289="","",IFERROR(INDEX(STPP!$F$6:$F$4207,MATCH(C289,STPP!$C$6:$C$4207,0)),"Not Found"))</f>
        <v/>
      </c>
      <c r="G289" s="25" t="str">
        <f>IF(表1[[#This Row],[No Seri]]="","",表1[[#This Row],[Deskripsi Barang]]+表1[[#This Row],[Kuantitas]]-表1[[#This Row],[Satuan]])</f>
        <v/>
      </c>
      <c r="H289" s="28"/>
      <c r="I289" s="25" t="str">
        <f>IF(表1[[#This Row],[Tgl NPBG]]&gt;表1[[#This Row],[Peminta]],表1[[#This Row],[Tgl NPBG]]-表1[[#This Row],[Peminta]],"")</f>
        <v/>
      </c>
      <c r="J289" s="31"/>
    </row>
    <row r="290" s="12" customFormat="1" customHeight="1" spans="2:10">
      <c r="B290" s="25"/>
      <c r="C290" s="25"/>
      <c r="D290" s="26" t="str" cm="1">
        <f t="array" ref="D290">IF(C290="","",IFERROR(INDEX(STPP!$D$6:$D$4207,MATCH(C290,STPP!$C$6:$C$4207,0)),"Not Found"))</f>
        <v/>
      </c>
      <c r="E290" s="27" t="str" cm="1">
        <f t="array" ref="E290">IF(C290="","",IFERROR(INDEX(STPP!$E$6:$E$4207,MATCH(C290,STPP!$C$6:$C$4207,0)),"Not Found"))</f>
        <v/>
      </c>
      <c r="F290" s="27" t="str" cm="1">
        <f t="array" ref="F290">IF(C290="","",IFERROR(INDEX(STPP!$F$6:$F$4207,MATCH(C290,STPP!$C$6:$C$4207,0)),"Not Found"))</f>
        <v/>
      </c>
      <c r="G290" s="25" t="str">
        <f>IF(表1[[#This Row],[No Seri]]="","",表1[[#This Row],[Deskripsi Barang]]+表1[[#This Row],[Kuantitas]]-表1[[#This Row],[Satuan]])</f>
        <v/>
      </c>
      <c r="H290" s="28"/>
      <c r="I290" s="25" t="str">
        <f>IF(表1[[#This Row],[Tgl NPBG]]&gt;表1[[#This Row],[Peminta]],表1[[#This Row],[Tgl NPBG]]-表1[[#This Row],[Peminta]],"")</f>
        <v/>
      </c>
      <c r="J290" s="31"/>
    </row>
    <row r="291" s="12" customFormat="1" customHeight="1" spans="2:10">
      <c r="B291" s="25"/>
      <c r="C291" s="25"/>
      <c r="D291" s="26" t="str" cm="1">
        <f t="array" ref="D291">IF(C291="","",IFERROR(INDEX(STPP!$D$6:$D$4207,MATCH(C291,STPP!$C$6:$C$4207,0)),"Not Found"))</f>
        <v/>
      </c>
      <c r="E291" s="27" t="str" cm="1">
        <f t="array" ref="E291">IF(C291="","",IFERROR(INDEX(STPP!$E$6:$E$4207,MATCH(C291,STPP!$C$6:$C$4207,0)),"Not Found"))</f>
        <v/>
      </c>
      <c r="F291" s="27" t="str" cm="1">
        <f t="array" ref="F291">IF(C291="","",IFERROR(INDEX(STPP!$F$6:$F$4207,MATCH(C291,STPP!$C$6:$C$4207,0)),"Not Found"))</f>
        <v/>
      </c>
      <c r="G291" s="25" t="str">
        <f>IF(表1[[#This Row],[No Seri]]="","",表1[[#This Row],[Deskripsi Barang]]+表1[[#This Row],[Kuantitas]]-表1[[#This Row],[Satuan]])</f>
        <v/>
      </c>
      <c r="H291" s="28"/>
      <c r="I291" s="25" t="str">
        <f>IF(表1[[#This Row],[Tgl NPBG]]&gt;表1[[#This Row],[Peminta]],表1[[#This Row],[Tgl NPBG]]-表1[[#This Row],[Peminta]],"")</f>
        <v/>
      </c>
      <c r="J291" s="31"/>
    </row>
    <row r="292" s="12" customFormat="1" customHeight="1" spans="2:10">
      <c r="B292" s="25"/>
      <c r="C292" s="25"/>
      <c r="D292" s="26" t="str" cm="1">
        <f t="array" ref="D292">IF(C292="","",IFERROR(INDEX(STPP!$D$6:$D$4207,MATCH(C292,STPP!$C$6:$C$4207,0)),"Not Found"))</f>
        <v/>
      </c>
      <c r="E292" s="27" t="str" cm="1">
        <f t="array" ref="E292">IF(C292="","",IFERROR(INDEX(STPP!$E$6:$E$4207,MATCH(C292,STPP!$C$6:$C$4207,0)),"Not Found"))</f>
        <v/>
      </c>
      <c r="F292" s="27" t="str" cm="1">
        <f t="array" ref="F292">IF(C292="","",IFERROR(INDEX(STPP!$F$6:$F$4207,MATCH(C292,STPP!$C$6:$C$4207,0)),"Not Found"))</f>
        <v/>
      </c>
      <c r="G292" s="25" t="str">
        <f>IF(表1[[#This Row],[No Seri]]="","",表1[[#This Row],[Deskripsi Barang]]+表1[[#This Row],[Kuantitas]]-表1[[#This Row],[Satuan]])</f>
        <v/>
      </c>
      <c r="H292" s="28"/>
      <c r="I292" s="25" t="str">
        <f>IF(表1[[#This Row],[Tgl NPBG]]&gt;表1[[#This Row],[Peminta]],表1[[#This Row],[Tgl NPBG]]-表1[[#This Row],[Peminta]],"")</f>
        <v/>
      </c>
      <c r="J292" s="31"/>
    </row>
    <row r="293" s="12" customFormat="1" customHeight="1" spans="2:10">
      <c r="B293" s="25"/>
      <c r="C293" s="25"/>
      <c r="D293" s="26" t="str" cm="1">
        <f t="array" ref="D293">IF(C293="","",IFERROR(INDEX(STPP!$D$6:$D$4207,MATCH(C293,STPP!$C$6:$C$4207,0)),"Not Found"))</f>
        <v/>
      </c>
      <c r="E293" s="27" t="str" cm="1">
        <f t="array" ref="E293">IF(C293="","",IFERROR(INDEX(STPP!$E$6:$E$4207,MATCH(C293,STPP!$C$6:$C$4207,0)),"Not Found"))</f>
        <v/>
      </c>
      <c r="F293" s="27" t="str" cm="1">
        <f t="array" ref="F293">IF(C293="","",IFERROR(INDEX(STPP!$F$6:$F$4207,MATCH(C293,STPP!$C$6:$C$4207,0)),"Not Found"))</f>
        <v/>
      </c>
      <c r="G293" s="25" t="str">
        <f>IF(表1[[#This Row],[No Seri]]="","",表1[[#This Row],[Deskripsi Barang]]+表1[[#This Row],[Kuantitas]]-表1[[#This Row],[Satuan]])</f>
        <v/>
      </c>
      <c r="H293" s="28"/>
      <c r="I293" s="25" t="str">
        <f>IF(表1[[#This Row],[Tgl NPBG]]&gt;表1[[#This Row],[Peminta]],表1[[#This Row],[Tgl NPBG]]-表1[[#This Row],[Peminta]],"")</f>
        <v/>
      </c>
      <c r="J293" s="31"/>
    </row>
    <row r="294" s="12" customFormat="1" customHeight="1" spans="2:10">
      <c r="B294" s="25"/>
      <c r="C294" s="25"/>
      <c r="D294" s="26" t="str" cm="1">
        <f t="array" ref="D294">IF(C294="","",IFERROR(INDEX(STPP!$D$6:$D$4207,MATCH(C294,STPP!$C$6:$C$4207,0)),"Not Found"))</f>
        <v/>
      </c>
      <c r="E294" s="27" t="str" cm="1">
        <f t="array" ref="E294">IF(C294="","",IFERROR(INDEX(STPP!$E$6:$E$4207,MATCH(C294,STPP!$C$6:$C$4207,0)),"Not Found"))</f>
        <v/>
      </c>
      <c r="F294" s="27" t="str" cm="1">
        <f t="array" ref="F294">IF(C294="","",IFERROR(INDEX(STPP!$F$6:$F$4207,MATCH(C294,STPP!$C$6:$C$4207,0)),"Not Found"))</f>
        <v/>
      </c>
      <c r="G294" s="25" t="str">
        <f>IF(表1[[#This Row],[No Seri]]="","",表1[[#This Row],[Deskripsi Barang]]+表1[[#This Row],[Kuantitas]]-表1[[#This Row],[Satuan]])</f>
        <v/>
      </c>
      <c r="H294" s="28"/>
      <c r="I294" s="25" t="str">
        <f>IF(表1[[#This Row],[Tgl NPBG]]&gt;表1[[#This Row],[Peminta]],表1[[#This Row],[Tgl NPBG]]-表1[[#This Row],[Peminta]],"")</f>
        <v/>
      </c>
      <c r="J294" s="31"/>
    </row>
    <row r="295" s="12" customFormat="1" customHeight="1" spans="2:10">
      <c r="B295" s="25"/>
      <c r="C295" s="25"/>
      <c r="D295" s="26" t="str" cm="1">
        <f t="array" ref="D295">IF(C295="","",IFERROR(INDEX(STPP!$D$6:$D$4207,MATCH(C295,STPP!$C$6:$C$4207,0)),"Not Found"))</f>
        <v/>
      </c>
      <c r="E295" s="27" t="str" cm="1">
        <f t="array" ref="E295">IF(C295="","",IFERROR(INDEX(STPP!$E$6:$E$4207,MATCH(C295,STPP!$C$6:$C$4207,0)),"Not Found"))</f>
        <v/>
      </c>
      <c r="F295" s="27" t="str" cm="1">
        <f t="array" ref="F295">IF(C295="","",IFERROR(INDEX(STPP!$F$6:$F$4207,MATCH(C295,STPP!$C$6:$C$4207,0)),"Not Found"))</f>
        <v/>
      </c>
      <c r="G295" s="25" t="str">
        <f>IF(表1[[#This Row],[No Seri]]="","",表1[[#This Row],[Deskripsi Barang]]+表1[[#This Row],[Kuantitas]]-表1[[#This Row],[Satuan]])</f>
        <v/>
      </c>
      <c r="H295" s="28"/>
      <c r="I295" s="25" t="str">
        <f>IF(表1[[#This Row],[Tgl NPBG]]&gt;表1[[#This Row],[Peminta]],表1[[#This Row],[Tgl NPBG]]-表1[[#This Row],[Peminta]],"")</f>
        <v/>
      </c>
      <c r="J295" s="31"/>
    </row>
    <row r="296" s="12" customFormat="1" customHeight="1" spans="2:10">
      <c r="B296" s="25"/>
      <c r="C296" s="25"/>
      <c r="D296" s="26" t="str" cm="1">
        <f t="array" ref="D296">IF(C296="","",IFERROR(INDEX(STPP!$D$6:$D$4207,MATCH(C296,STPP!$C$6:$C$4207,0)),"Not Found"))</f>
        <v/>
      </c>
      <c r="E296" s="27" t="str" cm="1">
        <f t="array" ref="E296">IF(C296="","",IFERROR(INDEX(STPP!$E$6:$E$4207,MATCH(C296,STPP!$C$6:$C$4207,0)),"Not Found"))</f>
        <v/>
      </c>
      <c r="F296" s="27" t="str" cm="1">
        <f t="array" ref="F296">IF(C296="","",IFERROR(INDEX(STPP!$F$6:$F$4207,MATCH(C296,STPP!$C$6:$C$4207,0)),"Not Found"))</f>
        <v/>
      </c>
      <c r="G296" s="25" t="str">
        <f>IF(表1[[#This Row],[No Seri]]="","",表1[[#This Row],[Deskripsi Barang]]+表1[[#This Row],[Kuantitas]]-表1[[#This Row],[Satuan]])</f>
        <v/>
      </c>
      <c r="H296" s="28"/>
      <c r="I296" s="25" t="str">
        <f>IF(表1[[#This Row],[Tgl NPBG]]&gt;表1[[#This Row],[Peminta]],表1[[#This Row],[Tgl NPBG]]-表1[[#This Row],[Peminta]],"")</f>
        <v/>
      </c>
      <c r="J296" s="31"/>
    </row>
    <row r="297" s="12" customFormat="1" customHeight="1" spans="2:10">
      <c r="B297" s="25"/>
      <c r="C297" s="25"/>
      <c r="D297" s="26" t="str" cm="1">
        <f t="array" ref="D297">IF(C297="","",IFERROR(INDEX(STPP!$D$6:$D$4207,MATCH(C297,STPP!$C$6:$C$4207,0)),"Not Found"))</f>
        <v/>
      </c>
      <c r="E297" s="27" t="str" cm="1">
        <f t="array" ref="E297">IF(C297="","",IFERROR(INDEX(STPP!$E$6:$E$4207,MATCH(C297,STPP!$C$6:$C$4207,0)),"Not Found"))</f>
        <v/>
      </c>
      <c r="F297" s="27" t="str" cm="1">
        <f t="array" ref="F297">IF(C297="","",IFERROR(INDEX(STPP!$F$6:$F$4207,MATCH(C297,STPP!$C$6:$C$4207,0)),"Not Found"))</f>
        <v/>
      </c>
      <c r="G297" s="25" t="str">
        <f>IF(表1[[#This Row],[No Seri]]="","",表1[[#This Row],[Deskripsi Barang]]+表1[[#This Row],[Kuantitas]]-表1[[#This Row],[Satuan]])</f>
        <v/>
      </c>
      <c r="H297" s="28"/>
      <c r="I297" s="25" t="str">
        <f>IF(表1[[#This Row],[Tgl NPBG]]&gt;表1[[#This Row],[Peminta]],表1[[#This Row],[Tgl NPBG]]-表1[[#This Row],[Peminta]],"")</f>
        <v/>
      </c>
      <c r="J297" s="31"/>
    </row>
    <row r="298" s="12" customFormat="1" customHeight="1" spans="2:10">
      <c r="B298" s="25"/>
      <c r="C298" s="25"/>
      <c r="D298" s="26" t="str" cm="1">
        <f t="array" ref="D298">IF(C298="","",IFERROR(INDEX(STPP!$D$6:$D$4207,MATCH(C298,STPP!$C$6:$C$4207,0)),"Not Found"))</f>
        <v/>
      </c>
      <c r="E298" s="27" t="str" cm="1">
        <f t="array" ref="E298">IF(C298="","",IFERROR(INDEX(STPP!$E$6:$E$4207,MATCH(C298,STPP!$C$6:$C$4207,0)),"Not Found"))</f>
        <v/>
      </c>
      <c r="F298" s="27" t="str" cm="1">
        <f t="array" ref="F298">IF(C298="","",IFERROR(INDEX(STPP!$F$6:$F$4207,MATCH(C298,STPP!$C$6:$C$4207,0)),"Not Found"))</f>
        <v/>
      </c>
      <c r="G298" s="25" t="str">
        <f>IF(表1[[#This Row],[No Seri]]="","",表1[[#This Row],[Deskripsi Barang]]+表1[[#This Row],[Kuantitas]]-表1[[#This Row],[Satuan]])</f>
        <v/>
      </c>
      <c r="H298" s="28"/>
      <c r="I298" s="25" t="str">
        <f>IF(表1[[#This Row],[Tgl NPBG]]&gt;表1[[#This Row],[Peminta]],表1[[#This Row],[Tgl NPBG]]-表1[[#This Row],[Peminta]],"")</f>
        <v/>
      </c>
      <c r="J298" s="31"/>
    </row>
    <row r="299" s="12" customFormat="1" customHeight="1" spans="2:10">
      <c r="B299" s="25"/>
      <c r="C299" s="25"/>
      <c r="D299" s="26" t="str" cm="1">
        <f t="array" ref="D299">IF(C299="","",IFERROR(INDEX(STPP!$D$6:$D$4207,MATCH(C299,STPP!$C$6:$C$4207,0)),"Not Found"))</f>
        <v/>
      </c>
      <c r="E299" s="27" t="str" cm="1">
        <f t="array" ref="E299">IF(C299="","",IFERROR(INDEX(STPP!$E$6:$E$4207,MATCH(C299,STPP!$C$6:$C$4207,0)),"Not Found"))</f>
        <v/>
      </c>
      <c r="F299" s="27" t="str" cm="1">
        <f t="array" ref="F299">IF(C299="","",IFERROR(INDEX(STPP!$F$6:$F$4207,MATCH(C299,STPP!$C$6:$C$4207,0)),"Not Found"))</f>
        <v/>
      </c>
      <c r="G299" s="25" t="str">
        <f>IF(表1[[#This Row],[No Seri]]="","",表1[[#This Row],[Deskripsi Barang]]+表1[[#This Row],[Kuantitas]]-表1[[#This Row],[Satuan]])</f>
        <v/>
      </c>
      <c r="H299" s="28"/>
      <c r="I299" s="25" t="str">
        <f>IF(表1[[#This Row],[Tgl NPBG]]&gt;表1[[#This Row],[Peminta]],表1[[#This Row],[Tgl NPBG]]-表1[[#This Row],[Peminta]],"")</f>
        <v/>
      </c>
      <c r="J299" s="31"/>
    </row>
    <row r="300" s="12" customFormat="1" customHeight="1" spans="2:10">
      <c r="B300" s="25"/>
      <c r="C300" s="25"/>
      <c r="D300" s="26" t="str" cm="1">
        <f t="array" ref="D300">IF(C300="","",IFERROR(INDEX(STPP!$D$6:$D$4207,MATCH(C300,STPP!$C$6:$C$4207,0)),"Not Found"))</f>
        <v/>
      </c>
      <c r="E300" s="27" t="str" cm="1">
        <f t="array" ref="E300">IF(C300="","",IFERROR(INDEX(STPP!$E$6:$E$4207,MATCH(C300,STPP!$C$6:$C$4207,0)),"Not Found"))</f>
        <v/>
      </c>
      <c r="F300" s="27" t="str" cm="1">
        <f t="array" ref="F300">IF(C300="","",IFERROR(INDEX(STPP!$F$6:$F$4207,MATCH(C300,STPP!$C$6:$C$4207,0)),"Not Found"))</f>
        <v/>
      </c>
      <c r="G300" s="25" t="str">
        <f>IF(表1[[#This Row],[No Seri]]="","",表1[[#This Row],[Deskripsi Barang]]+表1[[#This Row],[Kuantitas]]-表1[[#This Row],[Satuan]])</f>
        <v/>
      </c>
      <c r="H300" s="28"/>
      <c r="I300" s="25" t="str">
        <f>IF(表1[[#This Row],[Tgl NPBG]]&gt;表1[[#This Row],[Peminta]],表1[[#This Row],[Tgl NPBG]]-表1[[#This Row],[Peminta]],"")</f>
        <v/>
      </c>
      <c r="J300" s="31"/>
    </row>
    <row r="301" s="12" customFormat="1" customHeight="1" spans="2:10">
      <c r="B301" s="25"/>
      <c r="C301" s="25"/>
      <c r="D301" s="26" t="str" cm="1">
        <f t="array" ref="D301">IF(C301="","",IFERROR(INDEX(STPP!$D$6:$D$4207,MATCH(C301,STPP!$C$6:$C$4207,0)),"Not Found"))</f>
        <v/>
      </c>
      <c r="E301" s="27" t="str" cm="1">
        <f t="array" ref="E301">IF(C301="","",IFERROR(INDEX(STPP!$E$6:$E$4207,MATCH(C301,STPP!$C$6:$C$4207,0)),"Not Found"))</f>
        <v/>
      </c>
      <c r="F301" s="27" t="str" cm="1">
        <f t="array" ref="F301">IF(C301="","",IFERROR(INDEX(STPP!$F$6:$F$4207,MATCH(C301,STPP!$C$6:$C$4207,0)),"Not Found"))</f>
        <v/>
      </c>
      <c r="G301" s="25" t="str">
        <f>IF(表1[[#This Row],[No Seri]]="","",表1[[#This Row],[Deskripsi Barang]]+表1[[#This Row],[Kuantitas]]-表1[[#This Row],[Satuan]])</f>
        <v/>
      </c>
      <c r="H301" s="28"/>
      <c r="I301" s="25" t="str">
        <f>IF(表1[[#This Row],[Tgl NPBG]]&gt;表1[[#This Row],[Peminta]],表1[[#This Row],[Tgl NPBG]]-表1[[#This Row],[Peminta]],"")</f>
        <v/>
      </c>
      <c r="J301" s="31"/>
    </row>
    <row r="302" s="12" customFormat="1" customHeight="1" spans="2:10">
      <c r="B302" s="25"/>
      <c r="C302" s="25"/>
      <c r="D302" s="26" t="str" cm="1">
        <f t="array" ref="D302">IF(C302="","",IFERROR(INDEX(STPP!$D$6:$D$4207,MATCH(C302,STPP!$C$6:$C$4207,0)),"Not Found"))</f>
        <v/>
      </c>
      <c r="E302" s="27" t="str" cm="1">
        <f t="array" ref="E302">IF(C302="","",IFERROR(INDEX(STPP!$E$6:$E$4207,MATCH(C302,STPP!$C$6:$C$4207,0)),"Not Found"))</f>
        <v/>
      </c>
      <c r="F302" s="27" t="str" cm="1">
        <f t="array" ref="F302">IF(C302="","",IFERROR(INDEX(STPP!$F$6:$F$4207,MATCH(C302,STPP!$C$6:$C$4207,0)),"Not Found"))</f>
        <v/>
      </c>
      <c r="G302" s="25" t="str">
        <f>IF(表1[[#This Row],[No Seri]]="","",表1[[#This Row],[Deskripsi Barang]]+表1[[#This Row],[Kuantitas]]-表1[[#This Row],[Satuan]])</f>
        <v/>
      </c>
      <c r="H302" s="28"/>
      <c r="I302" s="25" t="str">
        <f>IF(表1[[#This Row],[Tgl NPBG]]&gt;表1[[#This Row],[Peminta]],表1[[#This Row],[Tgl NPBG]]-表1[[#This Row],[Peminta]],"")</f>
        <v/>
      </c>
      <c r="J302" s="31"/>
    </row>
    <row r="303" s="12" customFormat="1" customHeight="1" spans="2:10">
      <c r="B303" s="25"/>
      <c r="C303" s="25"/>
      <c r="D303" s="26" t="str" cm="1">
        <f t="array" ref="D303">IF(C303="","",IFERROR(INDEX(STPP!$D$6:$D$4207,MATCH(C303,STPP!$C$6:$C$4207,0)),"Not Found"))</f>
        <v/>
      </c>
      <c r="E303" s="27" t="str" cm="1">
        <f t="array" ref="E303">IF(C303="","",IFERROR(INDEX(STPP!$E$6:$E$4207,MATCH(C303,STPP!$C$6:$C$4207,0)),"Not Found"))</f>
        <v/>
      </c>
      <c r="F303" s="27" t="str" cm="1">
        <f t="array" ref="F303">IF(C303="","",IFERROR(INDEX(STPP!$F$6:$F$4207,MATCH(C303,STPP!$C$6:$C$4207,0)),"Not Found"))</f>
        <v/>
      </c>
      <c r="G303" s="25" t="str">
        <f>IF(表1[[#This Row],[No Seri]]="","",表1[[#This Row],[Deskripsi Barang]]+表1[[#This Row],[Kuantitas]]-表1[[#This Row],[Satuan]])</f>
        <v/>
      </c>
      <c r="H303" s="28"/>
      <c r="I303" s="25" t="str">
        <f>IF(表1[[#This Row],[Tgl NPBG]]&gt;表1[[#This Row],[Peminta]],表1[[#This Row],[Tgl NPBG]]-表1[[#This Row],[Peminta]],"")</f>
        <v/>
      </c>
      <c r="J303" s="31"/>
    </row>
    <row r="304" s="12" customFormat="1" customHeight="1" spans="2:10">
      <c r="B304" s="25"/>
      <c r="C304" s="25"/>
      <c r="D304" s="26" t="str" cm="1">
        <f t="array" ref="D304">IF(C304="","",IFERROR(INDEX(STPP!$D$6:$D$4207,MATCH(C304,STPP!$C$6:$C$4207,0)),"Not Found"))</f>
        <v/>
      </c>
      <c r="E304" s="27" t="str" cm="1">
        <f t="array" ref="E304">IF(C304="","",IFERROR(INDEX(STPP!$E$6:$E$4207,MATCH(C304,STPP!$C$6:$C$4207,0)),"Not Found"))</f>
        <v/>
      </c>
      <c r="F304" s="27" t="str" cm="1">
        <f t="array" ref="F304">IF(C304="","",IFERROR(INDEX(STPP!$F$6:$F$4207,MATCH(C304,STPP!$C$6:$C$4207,0)),"Not Found"))</f>
        <v/>
      </c>
      <c r="G304" s="25" t="str">
        <f>IF(表1[[#This Row],[No Seri]]="","",表1[[#This Row],[Deskripsi Barang]]+表1[[#This Row],[Kuantitas]]-表1[[#This Row],[Satuan]])</f>
        <v/>
      </c>
      <c r="H304" s="28"/>
      <c r="I304" s="25" t="str">
        <f>IF(表1[[#This Row],[Tgl NPBG]]&gt;表1[[#This Row],[Peminta]],表1[[#This Row],[Tgl NPBG]]-表1[[#This Row],[Peminta]],"")</f>
        <v/>
      </c>
      <c r="J304" s="31"/>
    </row>
    <row r="305" s="12" customFormat="1" customHeight="1" spans="2:10">
      <c r="B305" s="25"/>
      <c r="C305" s="25"/>
      <c r="D305" s="26" t="str" cm="1">
        <f t="array" ref="D305">IF(C305="","",IFERROR(INDEX(STPP!$D$6:$D$4207,MATCH(C305,STPP!$C$6:$C$4207,0)),"Not Found"))</f>
        <v/>
      </c>
      <c r="E305" s="27" t="str" cm="1">
        <f t="array" ref="E305">IF(C305="","",IFERROR(INDEX(STPP!$E$6:$E$4207,MATCH(C305,STPP!$C$6:$C$4207,0)),"Not Found"))</f>
        <v/>
      </c>
      <c r="F305" s="27" t="str" cm="1">
        <f t="array" ref="F305">IF(C305="","",IFERROR(INDEX(STPP!$F$6:$F$4207,MATCH(C305,STPP!$C$6:$C$4207,0)),"Not Found"))</f>
        <v/>
      </c>
      <c r="G305" s="25" t="str">
        <f>IF(表1[[#This Row],[No Seri]]="","",表1[[#This Row],[Deskripsi Barang]]+表1[[#This Row],[Kuantitas]]-表1[[#This Row],[Satuan]])</f>
        <v/>
      </c>
      <c r="H305" s="28"/>
      <c r="I305" s="25" t="str">
        <f>IF(表1[[#This Row],[Tgl NPBG]]&gt;表1[[#This Row],[Peminta]],表1[[#This Row],[Tgl NPBG]]-表1[[#This Row],[Peminta]],"")</f>
        <v/>
      </c>
      <c r="J305" s="31"/>
    </row>
    <row r="306" s="12" customFormat="1" customHeight="1" spans="2:10">
      <c r="B306" s="25"/>
      <c r="C306" s="25"/>
      <c r="D306" s="26" t="str" cm="1">
        <f t="array" ref="D306">IF(C306="","",IFERROR(INDEX(STPP!$D$6:$D$4207,MATCH(C306,STPP!$C$6:$C$4207,0)),"Not Found"))</f>
        <v/>
      </c>
      <c r="E306" s="27" t="str" cm="1">
        <f t="array" ref="E306">IF(C306="","",IFERROR(INDEX(STPP!$E$6:$E$4207,MATCH(C306,STPP!$C$6:$C$4207,0)),"Not Found"))</f>
        <v/>
      </c>
      <c r="F306" s="27" t="str" cm="1">
        <f t="array" ref="F306">IF(C306="","",IFERROR(INDEX(STPP!$F$6:$F$4207,MATCH(C306,STPP!$C$6:$C$4207,0)),"Not Found"))</f>
        <v/>
      </c>
      <c r="G306" s="25" t="str">
        <f>IF(表1[[#This Row],[No Seri]]="","",表1[[#This Row],[Deskripsi Barang]]+表1[[#This Row],[Kuantitas]]-表1[[#This Row],[Satuan]])</f>
        <v/>
      </c>
      <c r="H306" s="28"/>
      <c r="I306" s="25" t="str">
        <f>IF(表1[[#This Row],[Tgl NPBG]]&gt;表1[[#This Row],[Peminta]],表1[[#This Row],[Tgl NPBG]]-表1[[#This Row],[Peminta]],"")</f>
        <v/>
      </c>
      <c r="J306" s="31"/>
    </row>
    <row r="307" s="12" customFormat="1" customHeight="1" spans="2:10">
      <c r="B307" s="25"/>
      <c r="C307" s="25"/>
      <c r="D307" s="26" t="str" cm="1">
        <f t="array" ref="D307">IF(C307="","",IFERROR(INDEX(STPP!$D$6:$D$4207,MATCH(C307,STPP!$C$6:$C$4207,0)),"Not Found"))</f>
        <v/>
      </c>
      <c r="E307" s="27" t="str" cm="1">
        <f t="array" ref="E307">IF(C307="","",IFERROR(INDEX(STPP!$E$6:$E$4207,MATCH(C307,STPP!$C$6:$C$4207,0)),"Not Found"))</f>
        <v/>
      </c>
      <c r="F307" s="27" t="str" cm="1">
        <f t="array" ref="F307">IF(C307="","",IFERROR(INDEX(STPP!$F$6:$F$4207,MATCH(C307,STPP!$C$6:$C$4207,0)),"Not Found"))</f>
        <v/>
      </c>
      <c r="G307" s="25" t="str">
        <f>IF(表1[[#This Row],[No Seri]]="","",表1[[#This Row],[Deskripsi Barang]]+表1[[#This Row],[Kuantitas]]-表1[[#This Row],[Satuan]])</f>
        <v/>
      </c>
      <c r="H307" s="28"/>
      <c r="I307" s="25" t="str">
        <f>IF(表1[[#This Row],[Tgl NPBG]]&gt;表1[[#This Row],[Peminta]],表1[[#This Row],[Tgl NPBG]]-表1[[#This Row],[Peminta]],"")</f>
        <v/>
      </c>
      <c r="J307" s="31"/>
    </row>
    <row r="308" s="12" customFormat="1" customHeight="1" spans="2:10">
      <c r="B308" s="25"/>
      <c r="C308" s="25"/>
      <c r="D308" s="26" t="str" cm="1">
        <f t="array" ref="D308">IF(C308="","",IFERROR(INDEX(STPP!$D$6:$D$4207,MATCH(C308,STPP!$C$6:$C$4207,0)),"Not Found"))</f>
        <v/>
      </c>
      <c r="E308" s="27" t="str" cm="1">
        <f t="array" ref="E308">IF(C308="","",IFERROR(INDEX(STPP!$E$6:$E$4207,MATCH(C308,STPP!$C$6:$C$4207,0)),"Not Found"))</f>
        <v/>
      </c>
      <c r="F308" s="27" t="str" cm="1">
        <f t="array" ref="F308">IF(C308="","",IFERROR(INDEX(STPP!$F$6:$F$4207,MATCH(C308,STPP!$C$6:$C$4207,0)),"Not Found"))</f>
        <v/>
      </c>
      <c r="G308" s="25" t="str">
        <f>IF(表1[[#This Row],[No Seri]]="","",表1[[#This Row],[Deskripsi Barang]]+表1[[#This Row],[Kuantitas]]-表1[[#This Row],[Satuan]])</f>
        <v/>
      </c>
      <c r="H308" s="28"/>
      <c r="I308" s="25" t="str">
        <f>IF(表1[[#This Row],[Tgl NPBG]]&gt;表1[[#This Row],[Peminta]],表1[[#This Row],[Tgl NPBG]]-表1[[#This Row],[Peminta]],"")</f>
        <v/>
      </c>
      <c r="J308" s="31"/>
    </row>
    <row r="309" s="12" customFormat="1" customHeight="1" spans="2:10">
      <c r="B309" s="25"/>
      <c r="C309" s="25"/>
      <c r="D309" s="26" t="str" cm="1">
        <f t="array" ref="D309">IF(C309="","",IFERROR(INDEX(STPP!$D$6:$D$4207,MATCH(C309,STPP!$C$6:$C$4207,0)),"Not Found"))</f>
        <v/>
      </c>
      <c r="E309" s="27" t="str" cm="1">
        <f t="array" ref="E309">IF(C309="","",IFERROR(INDEX(STPP!$E$6:$E$4207,MATCH(C309,STPP!$C$6:$C$4207,0)),"Not Found"))</f>
        <v/>
      </c>
      <c r="F309" s="27" t="str" cm="1">
        <f t="array" ref="F309">IF(C309="","",IFERROR(INDEX(STPP!$F$6:$F$4207,MATCH(C309,STPP!$C$6:$C$4207,0)),"Not Found"))</f>
        <v/>
      </c>
      <c r="G309" s="25" t="str">
        <f>IF(表1[[#This Row],[No Seri]]="","",表1[[#This Row],[Deskripsi Barang]]+表1[[#This Row],[Kuantitas]]-表1[[#This Row],[Satuan]])</f>
        <v/>
      </c>
      <c r="H309" s="28"/>
      <c r="I309" s="25" t="str">
        <f>IF(表1[[#This Row],[Tgl NPBG]]&gt;表1[[#This Row],[Peminta]],表1[[#This Row],[Tgl NPBG]]-表1[[#This Row],[Peminta]],"")</f>
        <v/>
      </c>
      <c r="J309" s="31"/>
    </row>
    <row r="310" s="12" customFormat="1" customHeight="1" spans="2:10">
      <c r="B310" s="25"/>
      <c r="C310" s="25"/>
      <c r="D310" s="26" t="str" cm="1">
        <f t="array" ref="D310">IF(C310="","",IFERROR(INDEX(STPP!$D$6:$D$4207,MATCH(C310,STPP!$C$6:$C$4207,0)),"Not Found"))</f>
        <v/>
      </c>
      <c r="E310" s="27" t="str" cm="1">
        <f t="array" ref="E310">IF(C310="","",IFERROR(INDEX(STPP!$E$6:$E$4207,MATCH(C310,STPP!$C$6:$C$4207,0)),"Not Found"))</f>
        <v/>
      </c>
      <c r="F310" s="27" t="str" cm="1">
        <f t="array" ref="F310">IF(C310="","",IFERROR(INDEX(STPP!$F$6:$F$4207,MATCH(C310,STPP!$C$6:$C$4207,0)),"Not Found"))</f>
        <v/>
      </c>
      <c r="G310" s="25" t="str">
        <f>IF(表1[[#This Row],[No Seri]]="","",表1[[#This Row],[Deskripsi Barang]]+表1[[#This Row],[Kuantitas]]-表1[[#This Row],[Satuan]])</f>
        <v/>
      </c>
      <c r="H310" s="28"/>
      <c r="I310" s="25" t="str">
        <f>IF(表1[[#This Row],[Tgl NPBG]]&gt;表1[[#This Row],[Peminta]],表1[[#This Row],[Tgl NPBG]]-表1[[#This Row],[Peminta]],"")</f>
        <v/>
      </c>
      <c r="J310" s="31"/>
    </row>
    <row r="311" s="12" customFormat="1" customHeight="1" spans="2:10">
      <c r="B311" s="25"/>
      <c r="C311" s="25"/>
      <c r="D311" s="26" t="str" cm="1">
        <f t="array" ref="D311">IF(C311="","",IFERROR(INDEX(STPP!$D$6:$D$4207,MATCH(C311,STPP!$C$6:$C$4207,0)),"Not Found"))</f>
        <v/>
      </c>
      <c r="E311" s="27" t="str" cm="1">
        <f t="array" ref="E311">IF(C311="","",IFERROR(INDEX(STPP!$E$6:$E$4207,MATCH(C311,STPP!$C$6:$C$4207,0)),"Not Found"))</f>
        <v/>
      </c>
      <c r="F311" s="27" t="str" cm="1">
        <f t="array" ref="F311">IF(C311="","",IFERROR(INDEX(STPP!$F$6:$F$4207,MATCH(C311,STPP!$C$6:$C$4207,0)),"Not Found"))</f>
        <v/>
      </c>
      <c r="G311" s="25" t="str">
        <f>IF(表1[[#This Row],[No Seri]]="","",表1[[#This Row],[Deskripsi Barang]]+表1[[#This Row],[Kuantitas]]-表1[[#This Row],[Satuan]])</f>
        <v/>
      </c>
      <c r="H311" s="28"/>
      <c r="I311" s="25" t="str">
        <f>IF(表1[[#This Row],[Tgl NPBG]]&gt;表1[[#This Row],[Peminta]],表1[[#This Row],[Tgl NPBG]]-表1[[#This Row],[Peminta]],"")</f>
        <v/>
      </c>
      <c r="J311" s="31"/>
    </row>
    <row r="312" s="12" customFormat="1" customHeight="1" spans="2:10">
      <c r="B312" s="25"/>
      <c r="C312" s="25"/>
      <c r="D312" s="26" t="str" cm="1">
        <f t="array" ref="D312">IF(C312="","",IFERROR(INDEX(STPP!$D$6:$D$4207,MATCH(C312,STPP!$C$6:$C$4207,0)),"Not Found"))</f>
        <v/>
      </c>
      <c r="E312" s="27" t="str" cm="1">
        <f t="array" ref="E312">IF(C312="","",IFERROR(INDEX(STPP!$E$6:$E$4207,MATCH(C312,STPP!$C$6:$C$4207,0)),"Not Found"))</f>
        <v/>
      </c>
      <c r="F312" s="27" t="str" cm="1">
        <f t="array" ref="F312">IF(C312="","",IFERROR(INDEX(STPP!$F$6:$F$4207,MATCH(C312,STPP!$C$6:$C$4207,0)),"Not Found"))</f>
        <v/>
      </c>
      <c r="G312" s="25" t="str">
        <f>IF(表1[[#This Row],[No Seri]]="","",表1[[#This Row],[Deskripsi Barang]]+表1[[#This Row],[Kuantitas]]-表1[[#This Row],[Satuan]])</f>
        <v/>
      </c>
      <c r="H312" s="28"/>
      <c r="I312" s="25" t="str">
        <f>IF(表1[[#This Row],[Tgl NPBG]]&gt;表1[[#This Row],[Peminta]],表1[[#This Row],[Tgl NPBG]]-表1[[#This Row],[Peminta]],"")</f>
        <v/>
      </c>
      <c r="J312" s="31"/>
    </row>
    <row r="313" s="12" customFormat="1" customHeight="1" spans="2:10">
      <c r="B313" s="25"/>
      <c r="C313" s="25"/>
      <c r="D313" s="26" t="str" cm="1">
        <f t="array" ref="D313">IF(C313="","",IFERROR(INDEX(STPP!$D$6:$D$4207,MATCH(C313,STPP!$C$6:$C$4207,0)),"Not Found"))</f>
        <v/>
      </c>
      <c r="E313" s="27" t="str" cm="1">
        <f t="array" ref="E313">IF(C313="","",IFERROR(INDEX(STPP!$E$6:$E$4207,MATCH(C313,STPP!$C$6:$C$4207,0)),"Not Found"))</f>
        <v/>
      </c>
      <c r="F313" s="27" t="str" cm="1">
        <f t="array" ref="F313">IF(C313="","",IFERROR(INDEX(STPP!$F$6:$F$4207,MATCH(C313,STPP!$C$6:$C$4207,0)),"Not Found"))</f>
        <v/>
      </c>
      <c r="G313" s="25" t="str">
        <f>IF(表1[[#This Row],[No Seri]]="","",表1[[#This Row],[Deskripsi Barang]]+表1[[#This Row],[Kuantitas]]-表1[[#This Row],[Satuan]])</f>
        <v/>
      </c>
      <c r="H313" s="28"/>
      <c r="I313" s="25" t="str">
        <f>IF(表1[[#This Row],[Tgl NPBG]]&gt;表1[[#This Row],[Peminta]],表1[[#This Row],[Tgl NPBG]]-表1[[#This Row],[Peminta]],"")</f>
        <v/>
      </c>
      <c r="J313" s="31"/>
    </row>
    <row r="314" s="12" customFormat="1" customHeight="1" spans="2:10">
      <c r="B314" s="25"/>
      <c r="C314" s="25"/>
      <c r="D314" s="26" t="str" cm="1">
        <f t="array" ref="D314">IF(C314="","",IFERROR(INDEX(STPP!$D$6:$D$4207,MATCH(C314,STPP!$C$6:$C$4207,0)),"Not Found"))</f>
        <v/>
      </c>
      <c r="E314" s="27" t="str" cm="1">
        <f t="array" ref="E314">IF(C314="","",IFERROR(INDEX(STPP!$E$6:$E$4207,MATCH(C314,STPP!$C$6:$C$4207,0)),"Not Found"))</f>
        <v/>
      </c>
      <c r="F314" s="27" t="str" cm="1">
        <f t="array" ref="F314">IF(C314="","",IFERROR(INDEX(STPP!$F$6:$F$4207,MATCH(C314,STPP!$C$6:$C$4207,0)),"Not Found"))</f>
        <v/>
      </c>
      <c r="G314" s="25" t="str">
        <f>IF(表1[[#This Row],[No Seri]]="","",表1[[#This Row],[Deskripsi Barang]]+表1[[#This Row],[Kuantitas]]-表1[[#This Row],[Satuan]])</f>
        <v/>
      </c>
      <c r="H314" s="28"/>
      <c r="I314" s="25" t="str">
        <f>IF(表1[[#This Row],[Tgl NPBG]]&gt;表1[[#This Row],[Peminta]],表1[[#This Row],[Tgl NPBG]]-表1[[#This Row],[Peminta]],"")</f>
        <v/>
      </c>
      <c r="J314" s="31"/>
    </row>
    <row r="315" s="12" customFormat="1" customHeight="1" spans="2:10">
      <c r="B315" s="25"/>
      <c r="C315" s="25"/>
      <c r="D315" s="26" t="str" cm="1">
        <f t="array" ref="D315">IF(C315="","",IFERROR(INDEX(STPP!$D$6:$D$4207,MATCH(C315,STPP!$C$6:$C$4207,0)),"Not Found"))</f>
        <v/>
      </c>
      <c r="E315" s="27" t="str" cm="1">
        <f t="array" ref="E315">IF(C315="","",IFERROR(INDEX(STPP!$E$6:$E$4207,MATCH(C315,STPP!$C$6:$C$4207,0)),"Not Found"))</f>
        <v/>
      </c>
      <c r="F315" s="27" t="str" cm="1">
        <f t="array" ref="F315">IF(C315="","",IFERROR(INDEX(STPP!$F$6:$F$4207,MATCH(C315,STPP!$C$6:$C$4207,0)),"Not Found"))</f>
        <v/>
      </c>
      <c r="G315" s="25" t="str">
        <f>IF(表1[[#This Row],[No Seri]]="","",表1[[#This Row],[Deskripsi Barang]]+表1[[#This Row],[Kuantitas]]-表1[[#This Row],[Satuan]])</f>
        <v/>
      </c>
      <c r="H315" s="28"/>
      <c r="I315" s="25" t="str">
        <f>IF(表1[[#This Row],[Tgl NPBG]]&gt;表1[[#This Row],[Peminta]],表1[[#This Row],[Tgl NPBG]]-表1[[#This Row],[Peminta]],"")</f>
        <v/>
      </c>
      <c r="J315" s="31"/>
    </row>
    <row r="316" s="12" customFormat="1" customHeight="1" spans="2:10">
      <c r="B316" s="25"/>
      <c r="C316" s="25"/>
      <c r="D316" s="26" t="str" cm="1">
        <f t="array" ref="D316">IF(C316="","",IFERROR(INDEX(STPP!$D$6:$D$4207,MATCH(C316,STPP!$C$6:$C$4207,0)),"Not Found"))</f>
        <v/>
      </c>
      <c r="E316" s="27" t="str" cm="1">
        <f t="array" ref="E316">IF(C316="","",IFERROR(INDEX(STPP!$E$6:$E$4207,MATCH(C316,STPP!$C$6:$C$4207,0)),"Not Found"))</f>
        <v/>
      </c>
      <c r="F316" s="27" t="str" cm="1">
        <f t="array" ref="F316">IF(C316="","",IFERROR(INDEX(STPP!$F$6:$F$4207,MATCH(C316,STPP!$C$6:$C$4207,0)),"Not Found"))</f>
        <v/>
      </c>
      <c r="G316" s="25" t="str">
        <f>IF(表1[[#This Row],[No Seri]]="","",表1[[#This Row],[Deskripsi Barang]]+表1[[#This Row],[Kuantitas]]-表1[[#This Row],[Satuan]])</f>
        <v/>
      </c>
      <c r="H316" s="28"/>
      <c r="I316" s="25" t="str">
        <f>IF(表1[[#This Row],[Tgl NPBG]]&gt;表1[[#This Row],[Peminta]],表1[[#This Row],[Tgl NPBG]]-表1[[#This Row],[Peminta]],"")</f>
        <v/>
      </c>
      <c r="J316" s="31"/>
    </row>
    <row r="317" s="12" customFormat="1" customHeight="1" spans="2:10">
      <c r="B317" s="25"/>
      <c r="C317" s="25"/>
      <c r="D317" s="26" t="str" cm="1">
        <f t="array" ref="D317">IF(C317="","",IFERROR(INDEX(STPP!$D$6:$D$4207,MATCH(C317,STPP!$C$6:$C$4207,0)),"Not Found"))</f>
        <v/>
      </c>
      <c r="E317" s="27" t="str" cm="1">
        <f t="array" ref="E317">IF(C317="","",IFERROR(INDEX(STPP!$E$6:$E$4207,MATCH(C317,STPP!$C$6:$C$4207,0)),"Not Found"))</f>
        <v/>
      </c>
      <c r="F317" s="27" t="str" cm="1">
        <f t="array" ref="F317">IF(C317="","",IFERROR(INDEX(STPP!$F$6:$F$4207,MATCH(C317,STPP!$C$6:$C$4207,0)),"Not Found"))</f>
        <v/>
      </c>
      <c r="G317" s="25" t="str">
        <f>IF(表1[[#This Row],[No Seri]]="","",表1[[#This Row],[Deskripsi Barang]]+表1[[#This Row],[Kuantitas]]-表1[[#This Row],[Satuan]])</f>
        <v/>
      </c>
      <c r="H317" s="28"/>
      <c r="I317" s="25" t="str">
        <f>IF(表1[[#This Row],[Tgl NPBG]]&gt;表1[[#This Row],[Peminta]],表1[[#This Row],[Tgl NPBG]]-表1[[#This Row],[Peminta]],"")</f>
        <v/>
      </c>
      <c r="J317" s="31"/>
    </row>
    <row r="318" s="12" customFormat="1" customHeight="1" spans="2:10">
      <c r="B318" s="25"/>
      <c r="C318" s="25"/>
      <c r="D318" s="26" t="str" cm="1">
        <f t="array" ref="D318">IF(C318="","",IFERROR(INDEX(STPP!$D$6:$D$4207,MATCH(C318,STPP!$C$6:$C$4207,0)),"Not Found"))</f>
        <v/>
      </c>
      <c r="E318" s="27" t="str" cm="1">
        <f t="array" ref="E318">IF(C318="","",IFERROR(INDEX(STPP!$E$6:$E$4207,MATCH(C318,STPP!$C$6:$C$4207,0)),"Not Found"))</f>
        <v/>
      </c>
      <c r="F318" s="27" t="str" cm="1">
        <f t="array" ref="F318">IF(C318="","",IFERROR(INDEX(STPP!$F$6:$F$4207,MATCH(C318,STPP!$C$6:$C$4207,0)),"Not Found"))</f>
        <v/>
      </c>
      <c r="G318" s="25" t="str">
        <f>IF(表1[[#This Row],[No Seri]]="","",表1[[#This Row],[Deskripsi Barang]]+表1[[#This Row],[Kuantitas]]-表1[[#This Row],[Satuan]])</f>
        <v/>
      </c>
      <c r="H318" s="28"/>
      <c r="I318" s="25" t="str">
        <f>IF(表1[[#This Row],[Tgl NPBG]]&gt;表1[[#This Row],[Peminta]],表1[[#This Row],[Tgl NPBG]]-表1[[#This Row],[Peminta]],"")</f>
        <v/>
      </c>
      <c r="J318" s="31"/>
    </row>
    <row r="319" s="12" customFormat="1" customHeight="1" spans="2:10">
      <c r="B319" s="25"/>
      <c r="C319" s="25"/>
      <c r="D319" s="26" t="str" cm="1">
        <f t="array" ref="D319">IF(C319="","",IFERROR(INDEX(STPP!$D$6:$D$4207,MATCH(C319,STPP!$C$6:$C$4207,0)),"Not Found"))</f>
        <v/>
      </c>
      <c r="E319" s="27" t="str" cm="1">
        <f t="array" ref="E319">IF(C319="","",IFERROR(INDEX(STPP!$E$6:$E$4207,MATCH(C319,STPP!$C$6:$C$4207,0)),"Not Found"))</f>
        <v/>
      </c>
      <c r="F319" s="27" t="str" cm="1">
        <f t="array" ref="F319">IF(C319="","",IFERROR(INDEX(STPP!$F$6:$F$4207,MATCH(C319,STPP!$C$6:$C$4207,0)),"Not Found"))</f>
        <v/>
      </c>
      <c r="G319" s="25" t="str">
        <f>IF(表1[[#This Row],[No Seri]]="","",表1[[#This Row],[Deskripsi Barang]]+表1[[#This Row],[Kuantitas]]-表1[[#This Row],[Satuan]])</f>
        <v/>
      </c>
      <c r="H319" s="28"/>
      <c r="I319" s="25" t="str">
        <f>IF(表1[[#This Row],[Tgl NPBG]]&gt;表1[[#This Row],[Peminta]],表1[[#This Row],[Tgl NPBG]]-表1[[#This Row],[Peminta]],"")</f>
        <v/>
      </c>
      <c r="J319" s="31"/>
    </row>
    <row r="320" s="12" customFormat="1" customHeight="1" spans="2:10">
      <c r="B320" s="25"/>
      <c r="C320" s="25"/>
      <c r="D320" s="26" t="str" cm="1">
        <f t="array" ref="D320">IF(C320="","",IFERROR(INDEX(STPP!$D$6:$D$4207,MATCH(C320,STPP!$C$6:$C$4207,0)),"Not Found"))</f>
        <v/>
      </c>
      <c r="E320" s="27" t="str" cm="1">
        <f t="array" ref="E320">IF(C320="","",IFERROR(INDEX(STPP!$E$6:$E$4207,MATCH(C320,STPP!$C$6:$C$4207,0)),"Not Found"))</f>
        <v/>
      </c>
      <c r="F320" s="27" t="str" cm="1">
        <f t="array" ref="F320">IF(C320="","",IFERROR(INDEX(STPP!$F$6:$F$4207,MATCH(C320,STPP!$C$6:$C$4207,0)),"Not Found"))</f>
        <v/>
      </c>
      <c r="G320" s="25" t="str">
        <f>IF(表1[[#This Row],[No Seri]]="","",表1[[#This Row],[Deskripsi Barang]]+表1[[#This Row],[Kuantitas]]-表1[[#This Row],[Satuan]])</f>
        <v/>
      </c>
      <c r="H320" s="28"/>
      <c r="I320" s="25" t="str">
        <f>IF(表1[[#This Row],[Tgl NPBG]]&gt;表1[[#This Row],[Peminta]],表1[[#This Row],[Tgl NPBG]]-表1[[#This Row],[Peminta]],"")</f>
        <v/>
      </c>
      <c r="J320" s="31"/>
    </row>
    <row r="321" s="12" customFormat="1" customHeight="1" spans="2:10">
      <c r="B321" s="25"/>
      <c r="C321" s="25"/>
      <c r="D321" s="26" t="str" cm="1">
        <f t="array" ref="D321">IF(C321="","",IFERROR(INDEX(STPP!$D$6:$D$4207,MATCH(C321,STPP!$C$6:$C$4207,0)),"Not Found"))</f>
        <v/>
      </c>
      <c r="E321" s="27" t="str" cm="1">
        <f t="array" ref="E321">IF(C321="","",IFERROR(INDEX(STPP!$E$6:$E$4207,MATCH(C321,STPP!$C$6:$C$4207,0)),"Not Found"))</f>
        <v/>
      </c>
      <c r="F321" s="27" t="str" cm="1">
        <f t="array" ref="F321">IF(C321="","",IFERROR(INDEX(STPP!$F$6:$F$4207,MATCH(C321,STPP!$C$6:$C$4207,0)),"Not Found"))</f>
        <v/>
      </c>
      <c r="G321" s="25" t="str">
        <f>IF(表1[[#This Row],[No Seri]]="","",表1[[#This Row],[Deskripsi Barang]]+表1[[#This Row],[Kuantitas]]-表1[[#This Row],[Satuan]])</f>
        <v/>
      </c>
      <c r="H321" s="28"/>
      <c r="I321" s="25" t="str">
        <f>IF(表1[[#This Row],[Tgl NPBG]]&gt;表1[[#This Row],[Peminta]],表1[[#This Row],[Tgl NPBG]]-表1[[#This Row],[Peminta]],"")</f>
        <v/>
      </c>
      <c r="J321" s="31"/>
    </row>
    <row r="322" s="12" customFormat="1" customHeight="1" spans="2:10">
      <c r="B322" s="25"/>
      <c r="C322" s="25"/>
      <c r="D322" s="26" t="str" cm="1">
        <f t="array" ref="D322">IF(C322="","",IFERROR(INDEX(STPP!$D$6:$D$4207,MATCH(C322,STPP!$C$6:$C$4207,0)),"Not Found"))</f>
        <v/>
      </c>
      <c r="E322" s="27" t="str" cm="1">
        <f t="array" ref="E322">IF(C322="","",IFERROR(INDEX(STPP!$E$6:$E$4207,MATCH(C322,STPP!$C$6:$C$4207,0)),"Not Found"))</f>
        <v/>
      </c>
      <c r="F322" s="27" t="str" cm="1">
        <f t="array" ref="F322">IF(C322="","",IFERROR(INDEX(STPP!$F$6:$F$4207,MATCH(C322,STPP!$C$6:$C$4207,0)),"Not Found"))</f>
        <v/>
      </c>
      <c r="G322" s="25" t="str">
        <f>IF(表1[[#This Row],[No Seri]]="","",表1[[#This Row],[Deskripsi Barang]]+表1[[#This Row],[Kuantitas]]-表1[[#This Row],[Satuan]])</f>
        <v/>
      </c>
      <c r="H322" s="28"/>
      <c r="I322" s="25" t="str">
        <f>IF(表1[[#This Row],[Tgl NPBG]]&gt;表1[[#This Row],[Peminta]],表1[[#This Row],[Tgl NPBG]]-表1[[#This Row],[Peminta]],"")</f>
        <v/>
      </c>
      <c r="J322" s="31"/>
    </row>
    <row r="323" s="12" customFormat="1" customHeight="1" spans="2:10">
      <c r="B323" s="25"/>
      <c r="C323" s="25"/>
      <c r="D323" s="26" t="str" cm="1">
        <f t="array" ref="D323">IF(C323="","",IFERROR(INDEX(STPP!$D$6:$D$4207,MATCH(C323,STPP!$C$6:$C$4207,0)),"Not Found"))</f>
        <v/>
      </c>
      <c r="E323" s="27" t="str" cm="1">
        <f t="array" ref="E323">IF(C323="","",IFERROR(INDEX(STPP!$E$6:$E$4207,MATCH(C323,STPP!$C$6:$C$4207,0)),"Not Found"))</f>
        <v/>
      </c>
      <c r="F323" s="27" t="str" cm="1">
        <f t="array" ref="F323">IF(C323="","",IFERROR(INDEX(STPP!$F$6:$F$4207,MATCH(C323,STPP!$C$6:$C$4207,0)),"Not Found"))</f>
        <v/>
      </c>
      <c r="G323" s="25" t="str">
        <f>IF(表1[[#This Row],[No Seri]]="","",表1[[#This Row],[Deskripsi Barang]]+表1[[#This Row],[Kuantitas]]-表1[[#This Row],[Satuan]])</f>
        <v/>
      </c>
      <c r="H323" s="28"/>
      <c r="I323" s="25" t="str">
        <f>IF(表1[[#This Row],[Tgl NPBG]]&gt;表1[[#This Row],[Peminta]],表1[[#This Row],[Tgl NPBG]]-表1[[#This Row],[Peminta]],"")</f>
        <v/>
      </c>
      <c r="J323" s="31"/>
    </row>
    <row r="324" s="12" customFormat="1" customHeight="1" spans="2:10">
      <c r="B324" s="25"/>
      <c r="C324" s="25"/>
      <c r="D324" s="26" t="str" cm="1">
        <f t="array" ref="D324">IF(C324="","",IFERROR(INDEX(STPP!$D$6:$D$4207,MATCH(C324,STPP!$C$6:$C$4207,0)),"Not Found"))</f>
        <v/>
      </c>
      <c r="E324" s="27" t="str" cm="1">
        <f t="array" ref="E324">IF(C324="","",IFERROR(INDEX(STPP!$E$6:$E$4207,MATCH(C324,STPP!$C$6:$C$4207,0)),"Not Found"))</f>
        <v/>
      </c>
      <c r="F324" s="27" t="str" cm="1">
        <f t="array" ref="F324">IF(C324="","",IFERROR(INDEX(STPP!$F$6:$F$4207,MATCH(C324,STPP!$C$6:$C$4207,0)),"Not Found"))</f>
        <v/>
      </c>
      <c r="G324" s="25" t="str">
        <f>IF(表1[[#This Row],[No Seri]]="","",表1[[#This Row],[Deskripsi Barang]]+表1[[#This Row],[Kuantitas]]-表1[[#This Row],[Satuan]])</f>
        <v/>
      </c>
      <c r="H324" s="28"/>
      <c r="I324" s="25" t="str">
        <f>IF(表1[[#This Row],[Tgl NPBG]]&gt;表1[[#This Row],[Peminta]],表1[[#This Row],[Tgl NPBG]]-表1[[#This Row],[Peminta]],"")</f>
        <v/>
      </c>
      <c r="J324" s="31"/>
    </row>
    <row r="325" s="12" customFormat="1" customHeight="1" spans="2:10">
      <c r="B325" s="25"/>
      <c r="C325" s="25"/>
      <c r="D325" s="26" t="str" cm="1">
        <f t="array" ref="D325">IF(C325="","",IFERROR(INDEX(STPP!$D$6:$D$4207,MATCH(C325,STPP!$C$6:$C$4207,0)),"Not Found"))</f>
        <v/>
      </c>
      <c r="E325" s="27" t="str" cm="1">
        <f t="array" ref="E325">IF(C325="","",IFERROR(INDEX(STPP!$E$6:$E$4207,MATCH(C325,STPP!$C$6:$C$4207,0)),"Not Found"))</f>
        <v/>
      </c>
      <c r="F325" s="27" t="str" cm="1">
        <f t="array" ref="F325">IF(C325="","",IFERROR(INDEX(STPP!$F$6:$F$4207,MATCH(C325,STPP!$C$6:$C$4207,0)),"Not Found"))</f>
        <v/>
      </c>
      <c r="G325" s="25" t="str">
        <f>IF(表1[[#This Row],[No Seri]]="","",表1[[#This Row],[Deskripsi Barang]]+表1[[#This Row],[Kuantitas]]-表1[[#This Row],[Satuan]])</f>
        <v/>
      </c>
      <c r="H325" s="28"/>
      <c r="I325" s="25" t="str">
        <f>IF(表1[[#This Row],[Tgl NPBG]]&gt;表1[[#This Row],[Peminta]],表1[[#This Row],[Tgl NPBG]]-表1[[#This Row],[Peminta]],"")</f>
        <v/>
      </c>
      <c r="J325" s="31"/>
    </row>
    <row r="326" s="12" customFormat="1" customHeight="1" spans="2:10">
      <c r="B326" s="25"/>
      <c r="C326" s="25"/>
      <c r="D326" s="26" t="str" cm="1">
        <f t="array" ref="D326">IF(C326="","",IFERROR(INDEX(STPP!$D$6:$D$4207,MATCH(C326,STPP!$C$6:$C$4207,0)),"Not Found"))</f>
        <v/>
      </c>
      <c r="E326" s="27" t="str" cm="1">
        <f t="array" ref="E326">IF(C326="","",IFERROR(INDEX(STPP!$E$6:$E$4207,MATCH(C326,STPP!$C$6:$C$4207,0)),"Not Found"))</f>
        <v/>
      </c>
      <c r="F326" s="27" t="str" cm="1">
        <f t="array" ref="F326">IF(C326="","",IFERROR(INDEX(STPP!$F$6:$F$4207,MATCH(C326,STPP!$C$6:$C$4207,0)),"Not Found"))</f>
        <v/>
      </c>
      <c r="G326" s="25" t="str">
        <f>IF(表1[[#This Row],[No Seri]]="","",表1[[#This Row],[Deskripsi Barang]]+表1[[#This Row],[Kuantitas]]-表1[[#This Row],[Satuan]])</f>
        <v/>
      </c>
      <c r="H326" s="28"/>
      <c r="I326" s="25" t="str">
        <f>IF(表1[[#This Row],[Tgl NPBG]]&gt;表1[[#This Row],[Peminta]],表1[[#This Row],[Tgl NPBG]]-表1[[#This Row],[Peminta]],"")</f>
        <v/>
      </c>
      <c r="J326" s="31"/>
    </row>
    <row r="327" s="12" customFormat="1" customHeight="1" spans="2:10">
      <c r="B327" s="25"/>
      <c r="C327" s="25"/>
      <c r="D327" s="26" t="str" cm="1">
        <f t="array" ref="D327">IF(C327="","",IFERROR(INDEX(STPP!$D$6:$D$4207,MATCH(C327,STPP!$C$6:$C$4207,0)),"Not Found"))</f>
        <v/>
      </c>
      <c r="E327" s="27" t="str" cm="1">
        <f t="array" ref="E327">IF(C327="","",IFERROR(INDEX(STPP!$E$6:$E$4207,MATCH(C327,STPP!$C$6:$C$4207,0)),"Not Found"))</f>
        <v/>
      </c>
      <c r="F327" s="27" t="str" cm="1">
        <f t="array" ref="F327">IF(C327="","",IFERROR(INDEX(STPP!$F$6:$F$4207,MATCH(C327,STPP!$C$6:$C$4207,0)),"Not Found"))</f>
        <v/>
      </c>
      <c r="G327" s="25" t="str">
        <f>IF(表1[[#This Row],[No Seri]]="","",表1[[#This Row],[Deskripsi Barang]]+表1[[#This Row],[Kuantitas]]-表1[[#This Row],[Satuan]])</f>
        <v/>
      </c>
      <c r="H327" s="28"/>
      <c r="I327" s="25" t="str">
        <f>IF(表1[[#This Row],[Tgl NPBG]]&gt;表1[[#This Row],[Peminta]],表1[[#This Row],[Tgl NPBG]]-表1[[#This Row],[Peminta]],"")</f>
        <v/>
      </c>
      <c r="J327" s="31"/>
    </row>
    <row r="328" s="12" customFormat="1" customHeight="1" spans="2:10">
      <c r="B328" s="25"/>
      <c r="C328" s="25"/>
      <c r="D328" s="26" t="str" cm="1">
        <f t="array" ref="D328">IF(C328="","",IFERROR(INDEX(STPP!$D$6:$D$4207,MATCH(C328,STPP!$C$6:$C$4207,0)),"Not Found"))</f>
        <v/>
      </c>
      <c r="E328" s="27" t="str" cm="1">
        <f t="array" ref="E328">IF(C328="","",IFERROR(INDEX(STPP!$E$6:$E$4207,MATCH(C328,STPP!$C$6:$C$4207,0)),"Not Found"))</f>
        <v/>
      </c>
      <c r="F328" s="27" t="str" cm="1">
        <f t="array" ref="F328">IF(C328="","",IFERROR(INDEX(STPP!$F$6:$F$4207,MATCH(C328,STPP!$C$6:$C$4207,0)),"Not Found"))</f>
        <v/>
      </c>
      <c r="G328" s="25" t="str">
        <f>IF(表1[[#This Row],[No Seri]]="","",表1[[#This Row],[Deskripsi Barang]]+表1[[#This Row],[Kuantitas]]-表1[[#This Row],[Satuan]])</f>
        <v/>
      </c>
      <c r="H328" s="28"/>
      <c r="I328" s="25" t="str">
        <f>IF(表1[[#This Row],[Tgl NPBG]]&gt;表1[[#This Row],[Peminta]],表1[[#This Row],[Tgl NPBG]]-表1[[#This Row],[Peminta]],"")</f>
        <v/>
      </c>
      <c r="J328" s="31"/>
    </row>
    <row r="329" s="12" customFormat="1" customHeight="1" spans="2:10">
      <c r="B329" s="25"/>
      <c r="C329" s="25"/>
      <c r="D329" s="26" t="str" cm="1">
        <f t="array" ref="D329">IF(C329="","",IFERROR(INDEX(STPP!$D$6:$D$4207,MATCH(C329,STPP!$C$6:$C$4207,0)),"Not Found"))</f>
        <v/>
      </c>
      <c r="E329" s="27" t="str" cm="1">
        <f t="array" ref="E329">IF(C329="","",IFERROR(INDEX(STPP!$E$6:$E$4207,MATCH(C329,STPP!$C$6:$C$4207,0)),"Not Found"))</f>
        <v/>
      </c>
      <c r="F329" s="27" t="str" cm="1">
        <f t="array" ref="F329">IF(C329="","",IFERROR(INDEX(STPP!$F$6:$F$4207,MATCH(C329,STPP!$C$6:$C$4207,0)),"Not Found"))</f>
        <v/>
      </c>
      <c r="G329" s="25" t="str">
        <f>IF(表1[[#This Row],[No Seri]]="","",表1[[#This Row],[Deskripsi Barang]]+表1[[#This Row],[Kuantitas]]-表1[[#This Row],[Satuan]])</f>
        <v/>
      </c>
      <c r="H329" s="28"/>
      <c r="I329" s="25" t="str">
        <f>IF(表1[[#This Row],[Tgl NPBG]]&gt;表1[[#This Row],[Peminta]],表1[[#This Row],[Tgl NPBG]]-表1[[#This Row],[Peminta]],"")</f>
        <v/>
      </c>
      <c r="J329" s="31"/>
    </row>
    <row r="330" s="12" customFormat="1" customHeight="1" spans="2:10">
      <c r="B330" s="25"/>
      <c r="C330" s="25"/>
      <c r="D330" s="26" t="str" cm="1">
        <f t="array" ref="D330">IF(C330="","",IFERROR(INDEX(STPP!$D$6:$D$4207,MATCH(C330,STPP!$C$6:$C$4207,0)),"Not Found"))</f>
        <v/>
      </c>
      <c r="E330" s="27" t="str" cm="1">
        <f t="array" ref="E330">IF(C330="","",IFERROR(INDEX(STPP!$E$6:$E$4207,MATCH(C330,STPP!$C$6:$C$4207,0)),"Not Found"))</f>
        <v/>
      </c>
      <c r="F330" s="27" t="str" cm="1">
        <f t="array" ref="F330">IF(C330="","",IFERROR(INDEX(STPP!$F$6:$F$4207,MATCH(C330,STPP!$C$6:$C$4207,0)),"Not Found"))</f>
        <v/>
      </c>
      <c r="G330" s="25" t="str">
        <f>IF(表1[[#This Row],[No Seri]]="","",表1[[#This Row],[Deskripsi Barang]]+表1[[#This Row],[Kuantitas]]-表1[[#This Row],[Satuan]])</f>
        <v/>
      </c>
      <c r="H330" s="28"/>
      <c r="I330" s="25" t="str">
        <f>IF(表1[[#This Row],[Tgl NPBG]]&gt;表1[[#This Row],[Peminta]],表1[[#This Row],[Tgl NPBG]]-表1[[#This Row],[Peminta]],"")</f>
        <v/>
      </c>
      <c r="J330" s="31"/>
    </row>
    <row r="331" s="12" customFormat="1" customHeight="1" spans="2:10">
      <c r="B331" s="25"/>
      <c r="C331" s="25"/>
      <c r="D331" s="26" t="str" cm="1">
        <f t="array" ref="D331">IF(C331="","",IFERROR(INDEX(STPP!$D$6:$D$4207,MATCH(C331,STPP!$C$6:$C$4207,0)),"Not Found"))</f>
        <v/>
      </c>
      <c r="E331" s="27" t="str" cm="1">
        <f t="array" ref="E331">IF(C331="","",IFERROR(INDEX(STPP!$E$6:$E$4207,MATCH(C331,STPP!$C$6:$C$4207,0)),"Not Found"))</f>
        <v/>
      </c>
      <c r="F331" s="27" t="str" cm="1">
        <f t="array" ref="F331">IF(C331="","",IFERROR(INDEX(STPP!$F$6:$F$4207,MATCH(C331,STPP!$C$6:$C$4207,0)),"Not Found"))</f>
        <v/>
      </c>
      <c r="G331" s="25" t="str">
        <f>IF(表1[[#This Row],[No Seri]]="","",表1[[#This Row],[Deskripsi Barang]]+表1[[#This Row],[Kuantitas]]-表1[[#This Row],[Satuan]])</f>
        <v/>
      </c>
      <c r="H331" s="28"/>
      <c r="I331" s="25" t="str">
        <f>IF(表1[[#This Row],[Tgl NPBG]]&gt;表1[[#This Row],[Peminta]],表1[[#This Row],[Tgl NPBG]]-表1[[#This Row],[Peminta]],"")</f>
        <v/>
      </c>
      <c r="J331" s="31"/>
    </row>
    <row r="332" s="12" customFormat="1" customHeight="1" spans="2:10">
      <c r="B332" s="25"/>
      <c r="C332" s="25"/>
      <c r="D332" s="26" t="str" cm="1">
        <f t="array" ref="D332">IF(C332="","",IFERROR(INDEX(STPP!$D$6:$D$4207,MATCH(C332,STPP!$C$6:$C$4207,0)),"Not Found"))</f>
        <v/>
      </c>
      <c r="E332" s="27" t="str" cm="1">
        <f t="array" ref="E332">IF(C332="","",IFERROR(INDEX(STPP!$E$6:$E$4207,MATCH(C332,STPP!$C$6:$C$4207,0)),"Not Found"))</f>
        <v/>
      </c>
      <c r="F332" s="27" t="str" cm="1">
        <f t="array" ref="F332">IF(C332="","",IFERROR(INDEX(STPP!$F$6:$F$4207,MATCH(C332,STPP!$C$6:$C$4207,0)),"Not Found"))</f>
        <v/>
      </c>
      <c r="G332" s="25" t="str">
        <f>IF(表1[[#This Row],[No Seri]]="","",表1[[#This Row],[Deskripsi Barang]]+表1[[#This Row],[Kuantitas]]-表1[[#This Row],[Satuan]])</f>
        <v/>
      </c>
      <c r="H332" s="28"/>
      <c r="I332" s="25" t="str">
        <f>IF(表1[[#This Row],[Tgl NPBG]]&gt;表1[[#This Row],[Peminta]],表1[[#This Row],[Tgl NPBG]]-表1[[#This Row],[Peminta]],"")</f>
        <v/>
      </c>
      <c r="J332" s="31"/>
    </row>
    <row r="333" s="12" customFormat="1" customHeight="1" spans="2:10">
      <c r="B333" s="25"/>
      <c r="C333" s="25"/>
      <c r="D333" s="26" t="str" cm="1">
        <f t="array" ref="D333">IF(C333="","",IFERROR(INDEX(STPP!$D$6:$D$4207,MATCH(C333,STPP!$C$6:$C$4207,0)),"Not Found"))</f>
        <v/>
      </c>
      <c r="E333" s="27" t="str" cm="1">
        <f t="array" ref="E333">IF(C333="","",IFERROR(INDEX(STPP!$E$6:$E$4207,MATCH(C333,STPP!$C$6:$C$4207,0)),"Not Found"))</f>
        <v/>
      </c>
      <c r="F333" s="27" t="str" cm="1">
        <f t="array" ref="F333">IF(C333="","",IFERROR(INDEX(STPP!$F$6:$F$4207,MATCH(C333,STPP!$C$6:$C$4207,0)),"Not Found"))</f>
        <v/>
      </c>
      <c r="G333" s="25" t="str">
        <f>IF(表1[[#This Row],[No Seri]]="","",表1[[#This Row],[Deskripsi Barang]]+表1[[#This Row],[Kuantitas]]-表1[[#This Row],[Satuan]])</f>
        <v/>
      </c>
      <c r="H333" s="28"/>
      <c r="I333" s="25" t="str">
        <f>IF(表1[[#This Row],[Tgl NPBG]]&gt;表1[[#This Row],[Peminta]],表1[[#This Row],[Tgl NPBG]]-表1[[#This Row],[Peminta]],"")</f>
        <v/>
      </c>
      <c r="J333" s="31"/>
    </row>
    <row r="334" s="12" customFormat="1" customHeight="1" spans="2:10">
      <c r="B334" s="25"/>
      <c r="C334" s="25"/>
      <c r="D334" s="26" t="str" cm="1">
        <f t="array" ref="D334">IF(C334="","",IFERROR(INDEX(STPP!$D$6:$D$4207,MATCH(C334,STPP!$C$6:$C$4207,0)),"Not Found"))</f>
        <v/>
      </c>
      <c r="E334" s="27" t="str" cm="1">
        <f t="array" ref="E334">IF(C334="","",IFERROR(INDEX(STPP!$E$6:$E$4207,MATCH(C334,STPP!$C$6:$C$4207,0)),"Not Found"))</f>
        <v/>
      </c>
      <c r="F334" s="27" t="str" cm="1">
        <f t="array" ref="F334">IF(C334="","",IFERROR(INDEX(STPP!$F$6:$F$4207,MATCH(C334,STPP!$C$6:$C$4207,0)),"Not Found"))</f>
        <v/>
      </c>
      <c r="G334" s="25" t="str">
        <f>IF(表1[[#This Row],[No Seri]]="","",表1[[#This Row],[Deskripsi Barang]]+表1[[#This Row],[Kuantitas]]-表1[[#This Row],[Satuan]])</f>
        <v/>
      </c>
      <c r="H334" s="28"/>
      <c r="I334" s="25" t="str">
        <f>IF(表1[[#This Row],[Tgl NPBG]]&gt;表1[[#This Row],[Peminta]],表1[[#This Row],[Tgl NPBG]]-表1[[#This Row],[Peminta]],"")</f>
        <v/>
      </c>
      <c r="J334" s="31"/>
    </row>
    <row r="335" s="12" customFormat="1" customHeight="1" spans="2:10">
      <c r="B335" s="25"/>
      <c r="C335" s="25"/>
      <c r="D335" s="26" t="str" cm="1">
        <f t="array" ref="D335">IF(C335="","",IFERROR(INDEX(STPP!$D$6:$D$4207,MATCH(C335,STPP!$C$6:$C$4207,0)),"Not Found"))</f>
        <v/>
      </c>
      <c r="E335" s="27" t="str" cm="1">
        <f t="array" ref="E335">IF(C335="","",IFERROR(INDEX(STPP!$E$6:$E$4207,MATCH(C335,STPP!$C$6:$C$4207,0)),"Not Found"))</f>
        <v/>
      </c>
      <c r="F335" s="27" t="str" cm="1">
        <f t="array" ref="F335">IF(C335="","",IFERROR(INDEX(STPP!$F$6:$F$4207,MATCH(C335,STPP!$C$6:$C$4207,0)),"Not Found"))</f>
        <v/>
      </c>
      <c r="G335" s="25" t="str">
        <f>IF(表1[[#This Row],[No Seri]]="","",表1[[#This Row],[Deskripsi Barang]]+表1[[#This Row],[Kuantitas]]-表1[[#This Row],[Satuan]])</f>
        <v/>
      </c>
      <c r="H335" s="28"/>
      <c r="I335" s="25" t="str">
        <f>IF(表1[[#This Row],[Tgl NPBG]]&gt;表1[[#This Row],[Peminta]],表1[[#This Row],[Tgl NPBG]]-表1[[#This Row],[Peminta]],"")</f>
        <v/>
      </c>
      <c r="J335" s="31"/>
    </row>
    <row r="336" s="12" customFormat="1" customHeight="1" spans="2:10">
      <c r="B336" s="25"/>
      <c r="C336" s="25"/>
      <c r="D336" s="26" t="str" cm="1">
        <f t="array" ref="D336">IF(C336="","",IFERROR(INDEX(STPP!$D$6:$D$4207,MATCH(C336,STPP!$C$6:$C$4207,0)),"Not Found"))</f>
        <v/>
      </c>
      <c r="E336" s="27" t="str" cm="1">
        <f t="array" ref="E336">IF(C336="","",IFERROR(INDEX(STPP!$E$6:$E$4207,MATCH(C336,STPP!$C$6:$C$4207,0)),"Not Found"))</f>
        <v/>
      </c>
      <c r="F336" s="27" t="str" cm="1">
        <f t="array" ref="F336">IF(C336="","",IFERROR(INDEX(STPP!$F$6:$F$4207,MATCH(C336,STPP!$C$6:$C$4207,0)),"Not Found"))</f>
        <v/>
      </c>
      <c r="G336" s="25" t="str">
        <f>IF(表1[[#This Row],[No Seri]]="","",表1[[#This Row],[Deskripsi Barang]]+表1[[#This Row],[Kuantitas]]-表1[[#This Row],[Satuan]])</f>
        <v/>
      </c>
      <c r="H336" s="28"/>
      <c r="I336" s="25" t="str">
        <f>IF(表1[[#This Row],[Tgl NPBG]]&gt;表1[[#This Row],[Peminta]],表1[[#This Row],[Tgl NPBG]]-表1[[#This Row],[Peminta]],"")</f>
        <v/>
      </c>
      <c r="J336" s="31"/>
    </row>
    <row r="337" s="12" customFormat="1" customHeight="1" spans="2:10">
      <c r="B337" s="25"/>
      <c r="C337" s="25"/>
      <c r="D337" s="26" t="str" cm="1">
        <f t="array" ref="D337">IF(C337="","",IFERROR(INDEX(STPP!$D$6:$D$4207,MATCH(C337,STPP!$C$6:$C$4207,0)),"Not Found"))</f>
        <v/>
      </c>
      <c r="E337" s="27" t="str" cm="1">
        <f t="array" ref="E337">IF(C337="","",IFERROR(INDEX(STPP!$E$6:$E$4207,MATCH(C337,STPP!$C$6:$C$4207,0)),"Not Found"))</f>
        <v/>
      </c>
      <c r="F337" s="27" t="str" cm="1">
        <f t="array" ref="F337">IF(C337="","",IFERROR(INDEX(STPP!$F$6:$F$4207,MATCH(C337,STPP!$C$6:$C$4207,0)),"Not Found"))</f>
        <v/>
      </c>
      <c r="G337" s="25" t="str">
        <f>IF(表1[[#This Row],[No Seri]]="","",表1[[#This Row],[Deskripsi Barang]]+表1[[#This Row],[Kuantitas]]-表1[[#This Row],[Satuan]])</f>
        <v/>
      </c>
      <c r="H337" s="28"/>
      <c r="I337" s="25" t="str">
        <f>IF(表1[[#This Row],[Tgl NPBG]]&gt;表1[[#This Row],[Peminta]],表1[[#This Row],[Tgl NPBG]]-表1[[#This Row],[Peminta]],"")</f>
        <v/>
      </c>
      <c r="J337" s="31"/>
    </row>
    <row r="338" s="12" customFormat="1" customHeight="1" spans="2:10">
      <c r="B338" s="25"/>
      <c r="C338" s="25"/>
      <c r="D338" s="26" t="str" cm="1">
        <f t="array" ref="D338">IF(C338="","",IFERROR(INDEX(STPP!$D$6:$D$4207,MATCH(C338,STPP!$C$6:$C$4207,0)),"Not Found"))</f>
        <v/>
      </c>
      <c r="E338" s="27" t="str" cm="1">
        <f t="array" ref="E338">IF(C338="","",IFERROR(INDEX(STPP!$E$6:$E$4207,MATCH(C338,STPP!$C$6:$C$4207,0)),"Not Found"))</f>
        <v/>
      </c>
      <c r="F338" s="27" t="str" cm="1">
        <f t="array" ref="F338">IF(C338="","",IFERROR(INDEX(STPP!$F$6:$F$4207,MATCH(C338,STPP!$C$6:$C$4207,0)),"Not Found"))</f>
        <v/>
      </c>
      <c r="G338" s="25" t="str">
        <f>IF(表1[[#This Row],[No Seri]]="","",表1[[#This Row],[Deskripsi Barang]]+表1[[#This Row],[Kuantitas]]-表1[[#This Row],[Satuan]])</f>
        <v/>
      </c>
      <c r="H338" s="28"/>
      <c r="I338" s="25" t="str">
        <f>IF(表1[[#This Row],[Tgl NPBG]]&gt;表1[[#This Row],[Peminta]],表1[[#This Row],[Tgl NPBG]]-表1[[#This Row],[Peminta]],"")</f>
        <v/>
      </c>
      <c r="J338" s="31"/>
    </row>
    <row r="339" s="12" customFormat="1" customHeight="1" spans="2:10">
      <c r="B339" s="25"/>
      <c r="C339" s="25"/>
      <c r="D339" s="26" t="str" cm="1">
        <f t="array" ref="D339">IF(C339="","",IFERROR(INDEX(STPP!$D$6:$D$4207,MATCH(C339,STPP!$C$6:$C$4207,0)),"Not Found"))</f>
        <v/>
      </c>
      <c r="E339" s="27" t="str" cm="1">
        <f t="array" ref="E339">IF(C339="","",IFERROR(INDEX(STPP!$E$6:$E$4207,MATCH(C339,STPP!$C$6:$C$4207,0)),"Not Found"))</f>
        <v/>
      </c>
      <c r="F339" s="27" t="str" cm="1">
        <f t="array" ref="F339">IF(C339="","",IFERROR(INDEX(STPP!$F$6:$F$4207,MATCH(C339,STPP!$C$6:$C$4207,0)),"Not Found"))</f>
        <v/>
      </c>
      <c r="G339" s="25" t="str">
        <f>IF(表1[[#This Row],[No Seri]]="","",表1[[#This Row],[Deskripsi Barang]]+表1[[#This Row],[Kuantitas]]-表1[[#This Row],[Satuan]])</f>
        <v/>
      </c>
      <c r="H339" s="28"/>
      <c r="I339" s="25" t="str">
        <f>IF(表1[[#This Row],[Tgl NPBG]]&gt;表1[[#This Row],[Peminta]],表1[[#This Row],[Tgl NPBG]]-表1[[#This Row],[Peminta]],"")</f>
        <v/>
      </c>
      <c r="J339" s="31"/>
    </row>
    <row r="340" s="12" customFormat="1" customHeight="1" spans="2:10">
      <c r="B340" s="25"/>
      <c r="C340" s="25"/>
      <c r="D340" s="26" t="str" cm="1">
        <f t="array" ref="D340">IF(C340="","",IFERROR(INDEX(STPP!$D$6:$D$4207,MATCH(C340,STPP!$C$6:$C$4207,0)),"Not Found"))</f>
        <v/>
      </c>
      <c r="E340" s="27" t="str" cm="1">
        <f t="array" ref="E340">IF(C340="","",IFERROR(INDEX(STPP!$E$6:$E$4207,MATCH(C340,STPP!$C$6:$C$4207,0)),"Not Found"))</f>
        <v/>
      </c>
      <c r="F340" s="27" t="str" cm="1">
        <f t="array" ref="F340">IF(C340="","",IFERROR(INDEX(STPP!$F$6:$F$4207,MATCH(C340,STPP!$C$6:$C$4207,0)),"Not Found"))</f>
        <v/>
      </c>
      <c r="G340" s="25" t="str">
        <f>IF(表1[[#This Row],[No Seri]]="","",表1[[#This Row],[Deskripsi Barang]]+表1[[#This Row],[Kuantitas]]-表1[[#This Row],[Satuan]])</f>
        <v/>
      </c>
      <c r="H340" s="28"/>
      <c r="I340" s="25" t="str">
        <f>IF(表1[[#This Row],[Tgl NPBG]]&gt;表1[[#This Row],[Peminta]],表1[[#This Row],[Tgl NPBG]]-表1[[#This Row],[Peminta]],"")</f>
        <v/>
      </c>
      <c r="J340" s="31"/>
    </row>
    <row r="341" s="12" customFormat="1" customHeight="1" spans="2:10">
      <c r="B341" s="25"/>
      <c r="C341" s="25"/>
      <c r="D341" s="26" t="str" cm="1">
        <f t="array" ref="D341">IF(C341="","",IFERROR(INDEX(STPP!$D$6:$D$4207,MATCH(C341,STPP!$C$6:$C$4207,0)),"Not Found"))</f>
        <v/>
      </c>
      <c r="E341" s="27" t="str" cm="1">
        <f t="array" ref="E341">IF(C341="","",IFERROR(INDEX(STPP!$E$6:$E$4207,MATCH(C341,STPP!$C$6:$C$4207,0)),"Not Found"))</f>
        <v/>
      </c>
      <c r="F341" s="27" t="str" cm="1">
        <f t="array" ref="F341">IF(C341="","",IFERROR(INDEX(STPP!$F$6:$F$4207,MATCH(C341,STPP!$C$6:$C$4207,0)),"Not Found"))</f>
        <v/>
      </c>
      <c r="G341" s="25" t="str">
        <f>IF(表1[[#This Row],[No Seri]]="","",表1[[#This Row],[Deskripsi Barang]]+表1[[#This Row],[Kuantitas]]-表1[[#This Row],[Satuan]])</f>
        <v/>
      </c>
      <c r="H341" s="28"/>
      <c r="I341" s="25" t="str">
        <f>IF(表1[[#This Row],[Tgl NPBG]]&gt;表1[[#This Row],[Peminta]],表1[[#This Row],[Tgl NPBG]]-表1[[#This Row],[Peminta]],"")</f>
        <v/>
      </c>
      <c r="J341" s="31"/>
    </row>
    <row r="342" s="12" customFormat="1" customHeight="1" spans="2:10">
      <c r="B342" s="25"/>
      <c r="C342" s="25"/>
      <c r="D342" s="26" t="str" cm="1">
        <f t="array" ref="D342">IF(C342="","",IFERROR(INDEX(STPP!$D$6:$D$4207,MATCH(C342,STPP!$C$6:$C$4207,0)),"Not Found"))</f>
        <v/>
      </c>
      <c r="E342" s="27" t="str" cm="1">
        <f t="array" ref="E342">IF(C342="","",IFERROR(INDEX(STPP!$E$6:$E$4207,MATCH(C342,STPP!$C$6:$C$4207,0)),"Not Found"))</f>
        <v/>
      </c>
      <c r="F342" s="27" t="str" cm="1">
        <f t="array" ref="F342">IF(C342="","",IFERROR(INDEX(STPP!$F$6:$F$4207,MATCH(C342,STPP!$C$6:$C$4207,0)),"Not Found"))</f>
        <v/>
      </c>
      <c r="G342" s="25" t="str">
        <f>IF(表1[[#This Row],[No Seri]]="","",表1[[#This Row],[Deskripsi Barang]]+表1[[#This Row],[Kuantitas]]-表1[[#This Row],[Satuan]])</f>
        <v/>
      </c>
      <c r="H342" s="28"/>
      <c r="I342" s="25" t="str">
        <f>IF(表1[[#This Row],[Tgl NPBG]]&gt;表1[[#This Row],[Peminta]],表1[[#This Row],[Tgl NPBG]]-表1[[#This Row],[Peminta]],"")</f>
        <v/>
      </c>
      <c r="J342" s="31"/>
    </row>
    <row r="343" s="12" customFormat="1" customHeight="1" spans="2:10">
      <c r="B343" s="25"/>
      <c r="C343" s="25"/>
      <c r="D343" s="26" t="str" cm="1">
        <f t="array" ref="D343">IF(C343="","",IFERROR(INDEX(STPP!$D$6:$D$4207,MATCH(C343,STPP!$C$6:$C$4207,0)),"Not Found"))</f>
        <v/>
      </c>
      <c r="E343" s="27" t="str" cm="1">
        <f t="array" ref="E343">IF(C343="","",IFERROR(INDEX(STPP!$E$6:$E$4207,MATCH(C343,STPP!$C$6:$C$4207,0)),"Not Found"))</f>
        <v/>
      </c>
      <c r="F343" s="27" t="str" cm="1">
        <f t="array" ref="F343">IF(C343="","",IFERROR(INDEX(STPP!$F$6:$F$4207,MATCH(C343,STPP!$C$6:$C$4207,0)),"Not Found"))</f>
        <v/>
      </c>
      <c r="G343" s="25" t="str">
        <f>IF(表1[[#This Row],[No Seri]]="","",表1[[#This Row],[Deskripsi Barang]]+表1[[#This Row],[Kuantitas]]-表1[[#This Row],[Satuan]])</f>
        <v/>
      </c>
      <c r="H343" s="28"/>
      <c r="I343" s="25" t="str">
        <f>IF(表1[[#This Row],[Tgl NPBG]]&gt;表1[[#This Row],[Peminta]],表1[[#This Row],[Tgl NPBG]]-表1[[#This Row],[Peminta]],"")</f>
        <v/>
      </c>
      <c r="J343" s="31"/>
    </row>
    <row r="344" s="12" customFormat="1" customHeight="1" spans="2:10">
      <c r="B344" s="25"/>
      <c r="C344" s="25"/>
      <c r="D344" s="26" t="str" cm="1">
        <f t="array" ref="D344">IF(C344="","",IFERROR(INDEX(STPP!$D$6:$D$4207,MATCH(C344,STPP!$C$6:$C$4207,0)),"Not Found"))</f>
        <v/>
      </c>
      <c r="E344" s="27" t="str" cm="1">
        <f t="array" ref="E344">IF(C344="","",IFERROR(INDEX(STPP!$E$6:$E$4207,MATCH(C344,STPP!$C$6:$C$4207,0)),"Not Found"))</f>
        <v/>
      </c>
      <c r="F344" s="27" t="str" cm="1">
        <f t="array" ref="F344">IF(C344="","",IFERROR(INDEX(STPP!$F$6:$F$4207,MATCH(C344,STPP!$C$6:$C$4207,0)),"Not Found"))</f>
        <v/>
      </c>
      <c r="G344" s="25" t="str">
        <f>IF(表1[[#This Row],[No Seri]]="","",表1[[#This Row],[Deskripsi Barang]]+表1[[#This Row],[Kuantitas]]-表1[[#This Row],[Satuan]])</f>
        <v/>
      </c>
      <c r="H344" s="28"/>
      <c r="I344" s="25" t="str">
        <f>IF(表1[[#This Row],[Tgl NPBG]]&gt;表1[[#This Row],[Peminta]],表1[[#This Row],[Tgl NPBG]]-表1[[#This Row],[Peminta]],"")</f>
        <v/>
      </c>
      <c r="J344" s="31"/>
    </row>
    <row r="345" s="12" customFormat="1" customHeight="1" spans="2:10">
      <c r="B345" s="25"/>
      <c r="C345" s="25"/>
      <c r="D345" s="26" t="str" cm="1">
        <f t="array" ref="D345">IF(C345="","",IFERROR(INDEX(STPP!$D$6:$D$4207,MATCH(C345,STPP!$C$6:$C$4207,0)),"Not Found"))</f>
        <v/>
      </c>
      <c r="E345" s="27" t="str" cm="1">
        <f t="array" ref="E345">IF(C345="","",IFERROR(INDEX(STPP!$E$6:$E$4207,MATCH(C345,STPP!$C$6:$C$4207,0)),"Not Found"))</f>
        <v/>
      </c>
      <c r="F345" s="27" t="str" cm="1">
        <f t="array" ref="F345">IF(C345="","",IFERROR(INDEX(STPP!$F$6:$F$4207,MATCH(C345,STPP!$C$6:$C$4207,0)),"Not Found"))</f>
        <v/>
      </c>
      <c r="G345" s="25" t="str">
        <f>IF(表1[[#This Row],[No Seri]]="","",表1[[#This Row],[Deskripsi Barang]]+表1[[#This Row],[Kuantitas]]-表1[[#This Row],[Satuan]])</f>
        <v/>
      </c>
      <c r="H345" s="28"/>
      <c r="I345" s="25" t="str">
        <f>IF(表1[[#This Row],[Tgl NPBG]]&gt;表1[[#This Row],[Peminta]],表1[[#This Row],[Tgl NPBG]]-表1[[#This Row],[Peminta]],"")</f>
        <v/>
      </c>
      <c r="J345" s="31"/>
    </row>
    <row r="346" s="12" customFormat="1" customHeight="1" spans="2:10">
      <c r="B346" s="25"/>
      <c r="C346" s="25"/>
      <c r="D346" s="26" t="str" cm="1">
        <f t="array" ref="D346">IF(C346="","",IFERROR(INDEX(STPP!$D$6:$D$4207,MATCH(C346,STPP!$C$6:$C$4207,0)),"Not Found"))</f>
        <v/>
      </c>
      <c r="E346" s="27" t="str" cm="1">
        <f t="array" ref="E346">IF(C346="","",IFERROR(INDEX(STPP!$E$6:$E$4207,MATCH(C346,STPP!$C$6:$C$4207,0)),"Not Found"))</f>
        <v/>
      </c>
      <c r="F346" s="27" t="str" cm="1">
        <f t="array" ref="F346">IF(C346="","",IFERROR(INDEX(STPP!$F$6:$F$4207,MATCH(C346,STPP!$C$6:$C$4207,0)),"Not Found"))</f>
        <v/>
      </c>
      <c r="G346" s="25" t="str">
        <f>IF(表1[[#This Row],[No Seri]]="","",表1[[#This Row],[Deskripsi Barang]]+表1[[#This Row],[Kuantitas]]-表1[[#This Row],[Satuan]])</f>
        <v/>
      </c>
      <c r="H346" s="28"/>
      <c r="I346" s="25" t="str">
        <f>IF(表1[[#This Row],[Tgl NPBG]]&gt;表1[[#This Row],[Peminta]],表1[[#This Row],[Tgl NPBG]]-表1[[#This Row],[Peminta]],"")</f>
        <v/>
      </c>
      <c r="J346" s="31"/>
    </row>
    <row r="347" s="12" customFormat="1" customHeight="1" spans="2:10">
      <c r="B347" s="25"/>
      <c r="C347" s="25"/>
      <c r="D347" s="26" t="str" cm="1">
        <f t="array" ref="D347">IF(C347="","",IFERROR(INDEX(STPP!$D$6:$D$4207,MATCH(C347,STPP!$C$6:$C$4207,0)),"Not Found"))</f>
        <v/>
      </c>
      <c r="E347" s="27" t="str" cm="1">
        <f t="array" ref="E347">IF(C347="","",IFERROR(INDEX(STPP!$E$6:$E$4207,MATCH(C347,STPP!$C$6:$C$4207,0)),"Not Found"))</f>
        <v/>
      </c>
      <c r="F347" s="27" t="str" cm="1">
        <f t="array" ref="F347">IF(C347="","",IFERROR(INDEX(STPP!$F$6:$F$4207,MATCH(C347,STPP!$C$6:$C$4207,0)),"Not Found"))</f>
        <v/>
      </c>
      <c r="G347" s="25" t="str">
        <f>IF(表1[[#This Row],[No Seri]]="","",表1[[#This Row],[Deskripsi Barang]]+表1[[#This Row],[Kuantitas]]-表1[[#This Row],[Satuan]])</f>
        <v/>
      </c>
      <c r="H347" s="28"/>
      <c r="I347" s="25" t="str">
        <f>IF(表1[[#This Row],[Tgl NPBG]]&gt;表1[[#This Row],[Peminta]],表1[[#This Row],[Tgl NPBG]]-表1[[#This Row],[Peminta]],"")</f>
        <v/>
      </c>
      <c r="J347" s="31"/>
    </row>
    <row r="348" s="12" customFormat="1" customHeight="1" spans="2:10">
      <c r="B348" s="25"/>
      <c r="C348" s="25"/>
      <c r="D348" s="26" t="str" cm="1">
        <f t="array" ref="D348">IF(C348="","",IFERROR(INDEX(STPP!$D$6:$D$4207,MATCH(C348,STPP!$C$6:$C$4207,0)),"Not Found"))</f>
        <v/>
      </c>
      <c r="E348" s="27" t="str" cm="1">
        <f t="array" ref="E348">IF(C348="","",IFERROR(INDEX(STPP!$E$6:$E$4207,MATCH(C348,STPP!$C$6:$C$4207,0)),"Not Found"))</f>
        <v/>
      </c>
      <c r="F348" s="27" t="str" cm="1">
        <f t="array" ref="F348">IF(C348="","",IFERROR(INDEX(STPP!$F$6:$F$4207,MATCH(C348,STPP!$C$6:$C$4207,0)),"Not Found"))</f>
        <v/>
      </c>
      <c r="G348" s="25" t="str">
        <f>IF(表1[[#This Row],[No Seri]]="","",表1[[#This Row],[Deskripsi Barang]]+表1[[#This Row],[Kuantitas]]-表1[[#This Row],[Satuan]])</f>
        <v/>
      </c>
      <c r="H348" s="28"/>
      <c r="I348" s="25" t="str">
        <f>IF(表1[[#This Row],[Tgl NPBG]]&gt;表1[[#This Row],[Peminta]],表1[[#This Row],[Tgl NPBG]]-表1[[#This Row],[Peminta]],"")</f>
        <v/>
      </c>
      <c r="J348" s="31"/>
    </row>
    <row r="349" s="12" customFormat="1" customHeight="1" spans="2:10">
      <c r="B349" s="25"/>
      <c r="C349" s="25"/>
      <c r="D349" s="26" t="str" cm="1">
        <f t="array" ref="D349">IF(C349="","",IFERROR(INDEX(STPP!$D$6:$D$4207,MATCH(C349,STPP!$C$6:$C$4207,0)),"Not Found"))</f>
        <v/>
      </c>
      <c r="E349" s="27" t="str" cm="1">
        <f t="array" ref="E349">IF(C349="","",IFERROR(INDEX(STPP!$E$6:$E$4207,MATCH(C349,STPP!$C$6:$C$4207,0)),"Not Found"))</f>
        <v/>
      </c>
      <c r="F349" s="27" t="str" cm="1">
        <f t="array" ref="F349">IF(C349="","",IFERROR(INDEX(STPP!$F$6:$F$4207,MATCH(C349,STPP!$C$6:$C$4207,0)),"Not Found"))</f>
        <v/>
      </c>
      <c r="G349" s="25" t="str">
        <f>IF(表1[[#This Row],[No Seri]]="","",表1[[#This Row],[Deskripsi Barang]]+表1[[#This Row],[Kuantitas]]-表1[[#This Row],[Satuan]])</f>
        <v/>
      </c>
      <c r="H349" s="28"/>
      <c r="I349" s="25" t="str">
        <f>IF(表1[[#This Row],[Tgl NPBG]]&gt;表1[[#This Row],[Peminta]],表1[[#This Row],[Tgl NPBG]]-表1[[#This Row],[Peminta]],"")</f>
        <v/>
      </c>
      <c r="J349" s="31"/>
    </row>
    <row r="350" s="12" customFormat="1" customHeight="1" spans="2:10">
      <c r="B350" s="25"/>
      <c r="C350" s="25"/>
      <c r="D350" s="26" t="str" cm="1">
        <f t="array" ref="D350">IF(C350="","",IFERROR(INDEX(STPP!$D$6:$D$4207,MATCH(C350,STPP!$C$6:$C$4207,0)),"Not Found"))</f>
        <v/>
      </c>
      <c r="E350" s="27" t="str" cm="1">
        <f t="array" ref="E350">IF(C350="","",IFERROR(INDEX(STPP!$E$6:$E$4207,MATCH(C350,STPP!$C$6:$C$4207,0)),"Not Found"))</f>
        <v/>
      </c>
      <c r="F350" s="27" t="str" cm="1">
        <f t="array" ref="F350">IF(C350="","",IFERROR(INDEX(STPP!$F$6:$F$4207,MATCH(C350,STPP!$C$6:$C$4207,0)),"Not Found"))</f>
        <v/>
      </c>
      <c r="G350" s="25" t="str">
        <f>IF(表1[[#This Row],[No Seri]]="","",表1[[#This Row],[Deskripsi Barang]]+表1[[#This Row],[Kuantitas]]-表1[[#This Row],[Satuan]])</f>
        <v/>
      </c>
      <c r="H350" s="28"/>
      <c r="I350" s="25" t="str">
        <f>IF(表1[[#This Row],[Tgl NPBG]]&gt;表1[[#This Row],[Peminta]],表1[[#This Row],[Tgl NPBG]]-表1[[#This Row],[Peminta]],"")</f>
        <v/>
      </c>
      <c r="J350" s="31"/>
    </row>
    <row r="351" s="12" customFormat="1" customHeight="1" spans="2:10">
      <c r="B351" s="25"/>
      <c r="C351" s="25"/>
      <c r="D351" s="26" t="str" cm="1">
        <f t="array" ref="D351">IF(C351="","",IFERROR(INDEX(STPP!$D$6:$D$4207,MATCH(C351,STPP!$C$6:$C$4207,0)),"Not Found"))</f>
        <v/>
      </c>
      <c r="E351" s="27" t="str" cm="1">
        <f t="array" ref="E351">IF(C351="","",IFERROR(INDEX(STPP!$E$6:$E$4207,MATCH(C351,STPP!$C$6:$C$4207,0)),"Not Found"))</f>
        <v/>
      </c>
      <c r="F351" s="27" t="str" cm="1">
        <f t="array" ref="F351">IF(C351="","",IFERROR(INDEX(STPP!$F$6:$F$4207,MATCH(C351,STPP!$C$6:$C$4207,0)),"Not Found"))</f>
        <v/>
      </c>
      <c r="G351" s="25" t="str">
        <f>IF(表1[[#This Row],[No Seri]]="","",表1[[#This Row],[Deskripsi Barang]]+表1[[#This Row],[Kuantitas]]-表1[[#This Row],[Satuan]])</f>
        <v/>
      </c>
      <c r="H351" s="28"/>
      <c r="I351" s="25" t="str">
        <f>IF(表1[[#This Row],[Tgl NPBG]]&gt;表1[[#This Row],[Peminta]],表1[[#This Row],[Tgl NPBG]]-表1[[#This Row],[Peminta]],"")</f>
        <v/>
      </c>
      <c r="J351" s="31"/>
    </row>
    <row r="352" s="12" customFormat="1" customHeight="1" spans="2:10">
      <c r="B352" s="25"/>
      <c r="C352" s="25"/>
      <c r="D352" s="26" t="str" cm="1">
        <f t="array" ref="D352">IF(C352="","",IFERROR(INDEX(STPP!$D$6:$D$4207,MATCH(C352,STPP!$C$6:$C$4207,0)),"Not Found"))</f>
        <v/>
      </c>
      <c r="E352" s="27" t="str" cm="1">
        <f t="array" ref="E352">IF(C352="","",IFERROR(INDEX(STPP!$E$6:$E$4207,MATCH(C352,STPP!$C$6:$C$4207,0)),"Not Found"))</f>
        <v/>
      </c>
      <c r="F352" s="27" t="str" cm="1">
        <f t="array" ref="F352">IF(C352="","",IFERROR(INDEX(STPP!$F$6:$F$4207,MATCH(C352,STPP!$C$6:$C$4207,0)),"Not Found"))</f>
        <v/>
      </c>
      <c r="G352" s="25" t="str">
        <f>IF(表1[[#This Row],[No Seri]]="","",表1[[#This Row],[Deskripsi Barang]]+表1[[#This Row],[Kuantitas]]-表1[[#This Row],[Satuan]])</f>
        <v/>
      </c>
      <c r="H352" s="28"/>
      <c r="I352" s="25" t="str">
        <f>IF(表1[[#This Row],[Tgl NPBG]]&gt;表1[[#This Row],[Peminta]],表1[[#This Row],[Tgl NPBG]]-表1[[#This Row],[Peminta]],"")</f>
        <v/>
      </c>
      <c r="J352" s="31"/>
    </row>
    <row r="353" s="12" customFormat="1" customHeight="1" spans="2:10">
      <c r="B353" s="25"/>
      <c r="C353" s="25"/>
      <c r="D353" s="26" t="str" cm="1">
        <f t="array" ref="D353">IF(C353="","",IFERROR(INDEX(STPP!$D$6:$D$4207,MATCH(C353,STPP!$C$6:$C$4207,0)),"Not Found"))</f>
        <v/>
      </c>
      <c r="E353" s="27" t="str" cm="1">
        <f t="array" ref="E353">IF(C353="","",IFERROR(INDEX(STPP!$E$6:$E$4207,MATCH(C353,STPP!$C$6:$C$4207,0)),"Not Found"))</f>
        <v/>
      </c>
      <c r="F353" s="27" t="str" cm="1">
        <f t="array" ref="F353">IF(C353="","",IFERROR(INDEX(STPP!$F$6:$F$4207,MATCH(C353,STPP!$C$6:$C$4207,0)),"Not Found"))</f>
        <v/>
      </c>
      <c r="G353" s="25" t="str">
        <f>IF(表1[[#This Row],[No Seri]]="","",表1[[#This Row],[Deskripsi Barang]]+表1[[#This Row],[Kuantitas]]-表1[[#This Row],[Satuan]])</f>
        <v/>
      </c>
      <c r="H353" s="28"/>
      <c r="I353" s="25" t="str">
        <f>IF(表1[[#This Row],[Tgl NPBG]]&gt;表1[[#This Row],[Peminta]],表1[[#This Row],[Tgl NPBG]]-表1[[#This Row],[Peminta]],"")</f>
        <v/>
      </c>
      <c r="J353" s="31"/>
    </row>
    <row r="354" s="12" customFormat="1" customHeight="1" spans="2:10">
      <c r="B354" s="25"/>
      <c r="C354" s="25"/>
      <c r="D354" s="26" t="str" cm="1">
        <f t="array" ref="D354">IF(C354="","",IFERROR(INDEX(STPP!$D$6:$D$4207,MATCH(C354,STPP!$C$6:$C$4207,0)),"Not Found"))</f>
        <v/>
      </c>
      <c r="E354" s="27" t="str" cm="1">
        <f t="array" ref="E354">IF(C354="","",IFERROR(INDEX(STPP!$E$6:$E$4207,MATCH(C354,STPP!$C$6:$C$4207,0)),"Not Found"))</f>
        <v/>
      </c>
      <c r="F354" s="27" t="str" cm="1">
        <f t="array" ref="F354">IF(C354="","",IFERROR(INDEX(STPP!$F$6:$F$4207,MATCH(C354,STPP!$C$6:$C$4207,0)),"Not Found"))</f>
        <v/>
      </c>
      <c r="G354" s="25" t="str">
        <f>IF(表1[[#This Row],[No Seri]]="","",表1[[#This Row],[Deskripsi Barang]]+表1[[#This Row],[Kuantitas]]-表1[[#This Row],[Satuan]])</f>
        <v/>
      </c>
      <c r="H354" s="28"/>
      <c r="I354" s="25" t="str">
        <f>IF(表1[[#This Row],[Tgl NPBG]]&gt;表1[[#This Row],[Peminta]],表1[[#This Row],[Tgl NPBG]]-表1[[#This Row],[Peminta]],"")</f>
        <v/>
      </c>
      <c r="J354" s="31"/>
    </row>
    <row r="355" s="12" customFormat="1" customHeight="1" spans="2:10">
      <c r="B355" s="25"/>
      <c r="C355" s="25"/>
      <c r="D355" s="26" t="str" cm="1">
        <f t="array" ref="D355">IF(C355="","",IFERROR(INDEX(STPP!$D$6:$D$4207,MATCH(C355,STPP!$C$6:$C$4207,0)),"Not Found"))</f>
        <v/>
      </c>
      <c r="E355" s="27" t="str" cm="1">
        <f t="array" ref="E355">IF(C355="","",IFERROR(INDEX(STPP!$E$6:$E$4207,MATCH(C355,STPP!$C$6:$C$4207,0)),"Not Found"))</f>
        <v/>
      </c>
      <c r="F355" s="27" t="str" cm="1">
        <f t="array" ref="F355">IF(C355="","",IFERROR(INDEX(STPP!$F$6:$F$4207,MATCH(C355,STPP!$C$6:$C$4207,0)),"Not Found"))</f>
        <v/>
      </c>
      <c r="G355" s="25" t="str">
        <f>IF(表1[[#This Row],[No Seri]]="","",表1[[#This Row],[Deskripsi Barang]]+表1[[#This Row],[Kuantitas]]-表1[[#This Row],[Satuan]])</f>
        <v/>
      </c>
      <c r="H355" s="28"/>
      <c r="I355" s="25" t="str">
        <f>IF(表1[[#This Row],[Tgl NPBG]]&gt;表1[[#This Row],[Peminta]],表1[[#This Row],[Tgl NPBG]]-表1[[#This Row],[Peminta]],"")</f>
        <v/>
      </c>
      <c r="J355" s="31"/>
    </row>
    <row r="356" s="12" customFormat="1" customHeight="1" spans="2:10">
      <c r="B356" s="25"/>
      <c r="C356" s="25"/>
      <c r="D356" s="26" t="str" cm="1">
        <f t="array" ref="D356">IF(C356="","",IFERROR(INDEX(STPP!$D$6:$D$4207,MATCH(C356,STPP!$C$6:$C$4207,0)),"Not Found"))</f>
        <v/>
      </c>
      <c r="E356" s="27" t="str" cm="1">
        <f t="array" ref="E356">IF(C356="","",IFERROR(INDEX(STPP!$E$6:$E$4207,MATCH(C356,STPP!$C$6:$C$4207,0)),"Not Found"))</f>
        <v/>
      </c>
      <c r="F356" s="27" t="str" cm="1">
        <f t="array" ref="F356">IF(C356="","",IFERROR(INDEX(STPP!$F$6:$F$4207,MATCH(C356,STPP!$C$6:$C$4207,0)),"Not Found"))</f>
        <v/>
      </c>
      <c r="G356" s="25" t="str">
        <f>IF(表1[[#This Row],[No Seri]]="","",表1[[#This Row],[Deskripsi Barang]]+表1[[#This Row],[Kuantitas]]-表1[[#This Row],[Satuan]])</f>
        <v/>
      </c>
      <c r="H356" s="28"/>
      <c r="I356" s="25" t="str">
        <f>IF(表1[[#This Row],[Tgl NPBG]]&gt;表1[[#This Row],[Peminta]],表1[[#This Row],[Tgl NPBG]]-表1[[#This Row],[Peminta]],"")</f>
        <v/>
      </c>
      <c r="J356" s="31"/>
    </row>
    <row r="357" s="12" customFormat="1" customHeight="1" spans="2:10">
      <c r="B357" s="25"/>
      <c r="C357" s="25"/>
      <c r="D357" s="26" t="str" cm="1">
        <f t="array" ref="D357">IF(C357="","",IFERROR(INDEX(STPP!$D$6:$D$4207,MATCH(C357,STPP!$C$6:$C$4207,0)),"Not Found"))</f>
        <v/>
      </c>
      <c r="E357" s="27" t="str" cm="1">
        <f t="array" ref="E357">IF(C357="","",IFERROR(INDEX(STPP!$E$6:$E$4207,MATCH(C357,STPP!$C$6:$C$4207,0)),"Not Found"))</f>
        <v/>
      </c>
      <c r="F357" s="27" t="str" cm="1">
        <f t="array" ref="F357">IF(C357="","",IFERROR(INDEX(STPP!$F$6:$F$4207,MATCH(C357,STPP!$C$6:$C$4207,0)),"Not Found"))</f>
        <v/>
      </c>
      <c r="G357" s="25" t="str">
        <f>IF(表1[[#This Row],[No Seri]]="","",表1[[#This Row],[Deskripsi Barang]]+表1[[#This Row],[Kuantitas]]-表1[[#This Row],[Satuan]])</f>
        <v/>
      </c>
      <c r="H357" s="28"/>
      <c r="I357" s="25" t="str">
        <f>IF(表1[[#This Row],[Tgl NPBG]]&gt;表1[[#This Row],[Peminta]],表1[[#This Row],[Tgl NPBG]]-表1[[#This Row],[Peminta]],"")</f>
        <v/>
      </c>
      <c r="J357" s="31"/>
    </row>
    <row r="358" s="12" customFormat="1" customHeight="1" spans="2:10">
      <c r="B358" s="25"/>
      <c r="C358" s="25"/>
      <c r="D358" s="26" t="str" cm="1">
        <f t="array" ref="D358">IF(C358="","",IFERROR(INDEX(STPP!$D$6:$D$4207,MATCH(C358,STPP!$C$6:$C$4207,0)),"Not Found"))</f>
        <v/>
      </c>
      <c r="E358" s="27" t="str" cm="1">
        <f t="array" ref="E358">IF(C358="","",IFERROR(INDEX(STPP!$E$6:$E$4207,MATCH(C358,STPP!$C$6:$C$4207,0)),"Not Found"))</f>
        <v/>
      </c>
      <c r="F358" s="27" t="str" cm="1">
        <f t="array" ref="F358">IF(C358="","",IFERROR(INDEX(STPP!$F$6:$F$4207,MATCH(C358,STPP!$C$6:$C$4207,0)),"Not Found"))</f>
        <v/>
      </c>
      <c r="G358" s="25" t="str">
        <f>IF(表1[[#This Row],[No Seri]]="","",表1[[#This Row],[Deskripsi Barang]]+表1[[#This Row],[Kuantitas]]-表1[[#This Row],[Satuan]])</f>
        <v/>
      </c>
      <c r="H358" s="28"/>
      <c r="I358" s="25" t="str">
        <f>IF(表1[[#This Row],[Tgl NPBG]]&gt;表1[[#This Row],[Peminta]],表1[[#This Row],[Tgl NPBG]]-表1[[#This Row],[Peminta]],"")</f>
        <v/>
      </c>
      <c r="J358" s="31"/>
    </row>
    <row r="359" s="12" customFormat="1" customHeight="1" spans="2:10">
      <c r="B359" s="25"/>
      <c r="C359" s="25"/>
      <c r="D359" s="26" t="str" cm="1">
        <f t="array" ref="D359">IF(C359="","",IFERROR(INDEX(STPP!$D$6:$D$4207,MATCH(C359,STPP!$C$6:$C$4207,0)),"Not Found"))</f>
        <v/>
      </c>
      <c r="E359" s="27" t="str" cm="1">
        <f t="array" ref="E359">IF(C359="","",IFERROR(INDEX(STPP!$E$6:$E$4207,MATCH(C359,STPP!$C$6:$C$4207,0)),"Not Found"))</f>
        <v/>
      </c>
      <c r="F359" s="27" t="str" cm="1">
        <f t="array" ref="F359">IF(C359="","",IFERROR(INDEX(STPP!$F$6:$F$4207,MATCH(C359,STPP!$C$6:$C$4207,0)),"Not Found"))</f>
        <v/>
      </c>
      <c r="G359" s="25" t="str">
        <f>IF(表1[[#This Row],[No Seri]]="","",表1[[#This Row],[Deskripsi Barang]]+表1[[#This Row],[Kuantitas]]-表1[[#This Row],[Satuan]])</f>
        <v/>
      </c>
      <c r="H359" s="28"/>
      <c r="I359" s="25" t="str">
        <f>IF(表1[[#This Row],[Tgl NPBG]]&gt;表1[[#This Row],[Peminta]],表1[[#This Row],[Tgl NPBG]]-表1[[#This Row],[Peminta]],"")</f>
        <v/>
      </c>
      <c r="J359" s="31"/>
    </row>
    <row r="360" s="12" customFormat="1" customHeight="1" spans="2:10">
      <c r="B360" s="25"/>
      <c r="C360" s="25"/>
      <c r="D360" s="26" t="str" cm="1">
        <f t="array" ref="D360">IF(C360="","",IFERROR(INDEX(STPP!$D$6:$D$4207,MATCH(C360,STPP!$C$6:$C$4207,0)),"Not Found"))</f>
        <v/>
      </c>
      <c r="E360" s="27" t="str" cm="1">
        <f t="array" ref="E360">IF(C360="","",IFERROR(INDEX(STPP!$E$6:$E$4207,MATCH(C360,STPP!$C$6:$C$4207,0)),"Not Found"))</f>
        <v/>
      </c>
      <c r="F360" s="27" t="str" cm="1">
        <f t="array" ref="F360">IF(C360="","",IFERROR(INDEX(STPP!$F$6:$F$4207,MATCH(C360,STPP!$C$6:$C$4207,0)),"Not Found"))</f>
        <v/>
      </c>
      <c r="G360" s="25" t="str">
        <f>IF(表1[[#This Row],[No Seri]]="","",表1[[#This Row],[Deskripsi Barang]]+表1[[#This Row],[Kuantitas]]-表1[[#This Row],[Satuan]])</f>
        <v/>
      </c>
      <c r="H360" s="28"/>
      <c r="I360" s="25" t="str">
        <f>IF(表1[[#This Row],[Tgl NPBG]]&gt;表1[[#This Row],[Peminta]],表1[[#This Row],[Tgl NPBG]]-表1[[#This Row],[Peminta]],"")</f>
        <v/>
      </c>
      <c r="J360" s="31"/>
    </row>
    <row r="361" s="12" customFormat="1" customHeight="1" spans="2:10">
      <c r="B361" s="25"/>
      <c r="C361" s="25"/>
      <c r="D361" s="26" t="str" cm="1">
        <f t="array" ref="D361">IF(C361="","",IFERROR(INDEX(STPP!$D$6:$D$4207,MATCH(C361,STPP!$C$6:$C$4207,0)),"Not Found"))</f>
        <v/>
      </c>
      <c r="E361" s="27" t="str" cm="1">
        <f t="array" ref="E361">IF(C361="","",IFERROR(INDEX(STPP!$E$6:$E$4207,MATCH(C361,STPP!$C$6:$C$4207,0)),"Not Found"))</f>
        <v/>
      </c>
      <c r="F361" s="27" t="str" cm="1">
        <f t="array" ref="F361">IF(C361="","",IFERROR(INDEX(STPP!$F$6:$F$4207,MATCH(C361,STPP!$C$6:$C$4207,0)),"Not Found"))</f>
        <v/>
      </c>
      <c r="G361" s="25" t="str">
        <f>IF(表1[[#This Row],[No Seri]]="","",表1[[#This Row],[Deskripsi Barang]]+表1[[#This Row],[Kuantitas]]-表1[[#This Row],[Satuan]])</f>
        <v/>
      </c>
      <c r="H361" s="28"/>
      <c r="I361" s="25" t="str">
        <f>IF(表1[[#This Row],[Tgl NPBG]]&gt;表1[[#This Row],[Peminta]],表1[[#This Row],[Tgl NPBG]]-表1[[#This Row],[Peminta]],"")</f>
        <v/>
      </c>
      <c r="J361" s="31"/>
    </row>
    <row r="362" s="12" customFormat="1" customHeight="1" spans="2:10">
      <c r="B362" s="25"/>
      <c r="C362" s="25"/>
      <c r="D362" s="26" t="str" cm="1">
        <f t="array" ref="D362">IF(C362="","",IFERROR(INDEX(STPP!$D$6:$D$4207,MATCH(C362,STPP!$C$6:$C$4207,0)),"Not Found"))</f>
        <v/>
      </c>
      <c r="E362" s="27" t="str" cm="1">
        <f t="array" ref="E362">IF(C362="","",IFERROR(INDEX(STPP!$E$6:$E$4207,MATCH(C362,STPP!$C$6:$C$4207,0)),"Not Found"))</f>
        <v/>
      </c>
      <c r="F362" s="27" t="str" cm="1">
        <f t="array" ref="F362">IF(C362="","",IFERROR(INDEX(STPP!$F$6:$F$4207,MATCH(C362,STPP!$C$6:$C$4207,0)),"Not Found"))</f>
        <v/>
      </c>
      <c r="G362" s="25" t="str">
        <f>IF(表1[[#This Row],[No Seri]]="","",表1[[#This Row],[Deskripsi Barang]]+表1[[#This Row],[Kuantitas]]-表1[[#This Row],[Satuan]])</f>
        <v/>
      </c>
      <c r="H362" s="28"/>
      <c r="I362" s="25" t="str">
        <f>IF(表1[[#This Row],[Tgl NPBG]]&gt;表1[[#This Row],[Peminta]],表1[[#This Row],[Tgl NPBG]]-表1[[#This Row],[Peminta]],"")</f>
        <v/>
      </c>
      <c r="J362" s="31"/>
    </row>
    <row r="363" s="12" customFormat="1" customHeight="1" spans="2:10">
      <c r="B363" s="25"/>
      <c r="C363" s="25"/>
      <c r="D363" s="26" t="str" cm="1">
        <f t="array" ref="D363">IF(C363="","",IFERROR(INDEX(STPP!$D$6:$D$4207,MATCH(C363,STPP!$C$6:$C$4207,0)),"Not Found"))</f>
        <v/>
      </c>
      <c r="E363" s="27" t="str" cm="1">
        <f t="array" ref="E363">IF(C363="","",IFERROR(INDEX(STPP!$E$6:$E$4207,MATCH(C363,STPP!$C$6:$C$4207,0)),"Not Found"))</f>
        <v/>
      </c>
      <c r="F363" s="27" t="str" cm="1">
        <f t="array" ref="F363">IF(C363="","",IFERROR(INDEX(STPP!$F$6:$F$4207,MATCH(C363,STPP!$C$6:$C$4207,0)),"Not Found"))</f>
        <v/>
      </c>
      <c r="G363" s="25" t="str">
        <f>IF(表1[[#This Row],[No Seri]]="","",表1[[#This Row],[Deskripsi Barang]]+表1[[#This Row],[Kuantitas]]-表1[[#This Row],[Satuan]])</f>
        <v/>
      </c>
      <c r="H363" s="28"/>
      <c r="I363" s="25" t="str">
        <f>IF(表1[[#This Row],[Tgl NPBG]]&gt;表1[[#This Row],[Peminta]],表1[[#This Row],[Tgl NPBG]]-表1[[#This Row],[Peminta]],"")</f>
        <v/>
      </c>
      <c r="J363" s="31"/>
    </row>
    <row r="364" s="12" customFormat="1" customHeight="1" spans="2:10">
      <c r="B364" s="25"/>
      <c r="C364" s="25"/>
      <c r="D364" s="26" t="str" cm="1">
        <f t="array" ref="D364">IF(C364="","",IFERROR(INDEX(STPP!$D$6:$D$4207,MATCH(C364,STPP!$C$6:$C$4207,0)),"Not Found"))</f>
        <v/>
      </c>
      <c r="E364" s="27" t="str" cm="1">
        <f t="array" ref="E364">IF(C364="","",IFERROR(INDEX(STPP!$E$6:$E$4207,MATCH(C364,STPP!$C$6:$C$4207,0)),"Not Found"))</f>
        <v/>
      </c>
      <c r="F364" s="27" t="str" cm="1">
        <f t="array" ref="F364">IF(C364="","",IFERROR(INDEX(STPP!$F$6:$F$4207,MATCH(C364,STPP!$C$6:$C$4207,0)),"Not Found"))</f>
        <v/>
      </c>
      <c r="G364" s="25" t="str">
        <f>IF(表1[[#This Row],[No Seri]]="","",表1[[#This Row],[Deskripsi Barang]]+表1[[#This Row],[Kuantitas]]-表1[[#This Row],[Satuan]])</f>
        <v/>
      </c>
      <c r="H364" s="28"/>
      <c r="I364" s="25" t="str">
        <f>IF(表1[[#This Row],[Tgl NPBG]]&gt;表1[[#This Row],[Peminta]],表1[[#This Row],[Tgl NPBG]]-表1[[#This Row],[Peminta]],"")</f>
        <v/>
      </c>
      <c r="J364" s="31"/>
    </row>
    <row r="365" s="12" customFormat="1" customHeight="1" spans="2:10">
      <c r="B365" s="25"/>
      <c r="C365" s="25"/>
      <c r="D365" s="26" t="str" cm="1">
        <f t="array" ref="D365">IF(C365="","",IFERROR(INDEX(STPP!$D$6:$D$4207,MATCH(C365,STPP!$C$6:$C$4207,0)),"Not Found"))</f>
        <v/>
      </c>
      <c r="E365" s="27" t="str" cm="1">
        <f t="array" ref="E365">IF(C365="","",IFERROR(INDEX(STPP!$E$6:$E$4207,MATCH(C365,STPP!$C$6:$C$4207,0)),"Not Found"))</f>
        <v/>
      </c>
      <c r="F365" s="27" t="str" cm="1">
        <f t="array" ref="F365">IF(C365="","",IFERROR(INDEX(STPP!$F$6:$F$4207,MATCH(C365,STPP!$C$6:$C$4207,0)),"Not Found"))</f>
        <v/>
      </c>
      <c r="G365" s="25" t="str">
        <f>IF(表1[[#This Row],[No Seri]]="","",表1[[#This Row],[Deskripsi Barang]]+表1[[#This Row],[Kuantitas]]-表1[[#This Row],[Satuan]])</f>
        <v/>
      </c>
      <c r="H365" s="28"/>
      <c r="I365" s="25" t="str">
        <f>IF(表1[[#This Row],[Tgl NPBG]]&gt;表1[[#This Row],[Peminta]],表1[[#This Row],[Tgl NPBG]]-表1[[#This Row],[Peminta]],"")</f>
        <v/>
      </c>
      <c r="J365" s="31"/>
    </row>
    <row r="366" s="12" customFormat="1" customHeight="1" spans="2:10">
      <c r="B366" s="25"/>
      <c r="C366" s="25"/>
      <c r="D366" s="26" t="str" cm="1">
        <f t="array" ref="D366">IF(C366="","",IFERROR(INDEX(STPP!$D$6:$D$4207,MATCH(C366,STPP!$C$6:$C$4207,0)),"Not Found"))</f>
        <v/>
      </c>
      <c r="E366" s="27" t="str" cm="1">
        <f t="array" ref="E366">IF(C366="","",IFERROR(INDEX(STPP!$E$6:$E$4207,MATCH(C366,STPP!$C$6:$C$4207,0)),"Not Found"))</f>
        <v/>
      </c>
      <c r="F366" s="27" t="str" cm="1">
        <f t="array" ref="F366">IF(C366="","",IFERROR(INDEX(STPP!$F$6:$F$4207,MATCH(C366,STPP!$C$6:$C$4207,0)),"Not Found"))</f>
        <v/>
      </c>
      <c r="G366" s="25" t="str">
        <f>IF(表1[[#This Row],[No Seri]]="","",表1[[#This Row],[Deskripsi Barang]]+表1[[#This Row],[Kuantitas]]-表1[[#This Row],[Satuan]])</f>
        <v/>
      </c>
      <c r="H366" s="28"/>
      <c r="I366" s="25" t="str">
        <f>IF(表1[[#This Row],[Tgl NPBG]]&gt;表1[[#This Row],[Peminta]],表1[[#This Row],[Tgl NPBG]]-表1[[#This Row],[Peminta]],"")</f>
        <v/>
      </c>
      <c r="J366" s="31"/>
    </row>
    <row r="367" s="12" customFormat="1" customHeight="1" spans="2:10">
      <c r="B367" s="25"/>
      <c r="C367" s="25"/>
      <c r="D367" s="26" t="str" cm="1">
        <f t="array" ref="D367">IF(C367="","",IFERROR(INDEX(STPP!$D$6:$D$4207,MATCH(C367,STPP!$C$6:$C$4207,0)),"Not Found"))</f>
        <v/>
      </c>
      <c r="E367" s="27" t="str" cm="1">
        <f t="array" ref="E367">IF(C367="","",IFERROR(INDEX(STPP!$E$6:$E$4207,MATCH(C367,STPP!$C$6:$C$4207,0)),"Not Found"))</f>
        <v/>
      </c>
      <c r="F367" s="27" t="str" cm="1">
        <f t="array" ref="F367">IF(C367="","",IFERROR(INDEX(STPP!$F$6:$F$4207,MATCH(C367,STPP!$C$6:$C$4207,0)),"Not Found"))</f>
        <v/>
      </c>
      <c r="G367" s="25" t="str">
        <f>IF(表1[[#This Row],[No Seri]]="","",表1[[#This Row],[Deskripsi Barang]]+表1[[#This Row],[Kuantitas]]-表1[[#This Row],[Satuan]])</f>
        <v/>
      </c>
      <c r="H367" s="28"/>
      <c r="I367" s="25" t="str">
        <f>IF(表1[[#This Row],[Tgl NPBG]]&gt;表1[[#This Row],[Peminta]],表1[[#This Row],[Tgl NPBG]]-表1[[#This Row],[Peminta]],"")</f>
        <v/>
      </c>
      <c r="J367" s="31"/>
    </row>
    <row r="368" s="12" customFormat="1" customHeight="1" spans="2:10">
      <c r="B368" s="25"/>
      <c r="C368" s="25"/>
      <c r="D368" s="26" t="str" cm="1">
        <f t="array" ref="D368">IF(C368="","",IFERROR(INDEX(STPP!$D$6:$D$4207,MATCH(C368,STPP!$C$6:$C$4207,0)),"Not Found"))</f>
        <v/>
      </c>
      <c r="E368" s="27" t="str" cm="1">
        <f t="array" ref="E368">IF(C368="","",IFERROR(INDEX(STPP!$E$6:$E$4207,MATCH(C368,STPP!$C$6:$C$4207,0)),"Not Found"))</f>
        <v/>
      </c>
      <c r="F368" s="27" t="str" cm="1">
        <f t="array" ref="F368">IF(C368="","",IFERROR(INDEX(STPP!$F$6:$F$4207,MATCH(C368,STPP!$C$6:$C$4207,0)),"Not Found"))</f>
        <v/>
      </c>
      <c r="G368" s="25" t="str">
        <f>IF(表1[[#This Row],[No Seri]]="","",表1[[#This Row],[Deskripsi Barang]]+表1[[#This Row],[Kuantitas]]-表1[[#This Row],[Satuan]])</f>
        <v/>
      </c>
      <c r="H368" s="28"/>
      <c r="I368" s="25" t="str">
        <f>IF(表1[[#This Row],[Tgl NPBG]]&gt;表1[[#This Row],[Peminta]],表1[[#This Row],[Tgl NPBG]]-表1[[#This Row],[Peminta]],"")</f>
        <v/>
      </c>
      <c r="J368" s="31"/>
    </row>
    <row r="369" s="12" customFormat="1" customHeight="1" spans="2:10">
      <c r="B369" s="25"/>
      <c r="C369" s="25"/>
      <c r="D369" s="26" t="str" cm="1">
        <f t="array" ref="D369">IF(C369="","",IFERROR(INDEX(STPP!$D$6:$D$4207,MATCH(C369,STPP!$C$6:$C$4207,0)),"Not Found"))</f>
        <v/>
      </c>
      <c r="E369" s="27" t="str" cm="1">
        <f t="array" ref="E369">IF(C369="","",IFERROR(INDEX(STPP!$E$6:$E$4207,MATCH(C369,STPP!$C$6:$C$4207,0)),"Not Found"))</f>
        <v/>
      </c>
      <c r="F369" s="27" t="str" cm="1">
        <f t="array" ref="F369">IF(C369="","",IFERROR(INDEX(STPP!$F$6:$F$4207,MATCH(C369,STPP!$C$6:$C$4207,0)),"Not Found"))</f>
        <v/>
      </c>
      <c r="G369" s="25" t="str">
        <f>IF(表1[[#This Row],[No Seri]]="","",表1[[#This Row],[Deskripsi Barang]]+表1[[#This Row],[Kuantitas]]-表1[[#This Row],[Satuan]])</f>
        <v/>
      </c>
      <c r="H369" s="28"/>
      <c r="I369" s="25" t="str">
        <f>IF(表1[[#This Row],[Tgl NPBG]]&gt;表1[[#This Row],[Peminta]],表1[[#This Row],[Tgl NPBG]]-表1[[#This Row],[Peminta]],"")</f>
        <v/>
      </c>
      <c r="J369" s="31"/>
    </row>
    <row r="370" s="12" customFormat="1" customHeight="1" spans="2:10">
      <c r="B370" s="25"/>
      <c r="C370" s="25"/>
      <c r="D370" s="26" t="str" cm="1">
        <f t="array" ref="D370">IF(C370="","",IFERROR(INDEX(STPP!$D$6:$D$4207,MATCH(C370,STPP!$C$6:$C$4207,0)),"Not Found"))</f>
        <v/>
      </c>
      <c r="E370" s="27" t="str" cm="1">
        <f t="array" ref="E370">IF(C370="","",IFERROR(INDEX(STPP!$E$6:$E$4207,MATCH(C370,STPP!$C$6:$C$4207,0)),"Not Found"))</f>
        <v/>
      </c>
      <c r="F370" s="27" t="str" cm="1">
        <f t="array" ref="F370">IF(C370="","",IFERROR(INDEX(STPP!$F$6:$F$4207,MATCH(C370,STPP!$C$6:$C$4207,0)),"Not Found"))</f>
        <v/>
      </c>
      <c r="G370" s="25" t="str">
        <f>IF(表1[[#This Row],[No Seri]]="","",表1[[#This Row],[Deskripsi Barang]]+表1[[#This Row],[Kuantitas]]-表1[[#This Row],[Satuan]])</f>
        <v/>
      </c>
      <c r="H370" s="28"/>
      <c r="I370" s="25" t="str">
        <f>IF(表1[[#This Row],[Tgl NPBG]]&gt;表1[[#This Row],[Peminta]],表1[[#This Row],[Tgl NPBG]]-表1[[#This Row],[Peminta]],"")</f>
        <v/>
      </c>
      <c r="J370" s="31"/>
    </row>
    <row r="371" s="12" customFormat="1" customHeight="1" spans="2:10">
      <c r="B371" s="25"/>
      <c r="C371" s="25"/>
      <c r="D371" s="26" t="str" cm="1">
        <f t="array" ref="D371">IF(C371="","",IFERROR(INDEX(STPP!$D$6:$D$4207,MATCH(C371,STPP!$C$6:$C$4207,0)),"Not Found"))</f>
        <v/>
      </c>
      <c r="E371" s="27" t="str" cm="1">
        <f t="array" ref="E371">IF(C371="","",IFERROR(INDEX(STPP!$E$6:$E$4207,MATCH(C371,STPP!$C$6:$C$4207,0)),"Not Found"))</f>
        <v/>
      </c>
      <c r="F371" s="27" t="str" cm="1">
        <f t="array" ref="F371">IF(C371="","",IFERROR(INDEX(STPP!$F$6:$F$4207,MATCH(C371,STPP!$C$6:$C$4207,0)),"Not Found"))</f>
        <v/>
      </c>
      <c r="G371" s="25" t="str">
        <f>IF(表1[[#This Row],[No Seri]]="","",表1[[#This Row],[Deskripsi Barang]]+表1[[#This Row],[Kuantitas]]-表1[[#This Row],[Satuan]])</f>
        <v/>
      </c>
      <c r="H371" s="28"/>
      <c r="I371" s="25" t="str">
        <f>IF(表1[[#This Row],[Tgl NPBG]]&gt;表1[[#This Row],[Peminta]],表1[[#This Row],[Tgl NPBG]]-表1[[#This Row],[Peminta]],"")</f>
        <v/>
      </c>
      <c r="J371" s="31"/>
    </row>
    <row r="372" s="12" customFormat="1" customHeight="1" spans="2:10">
      <c r="B372" s="25"/>
      <c r="C372" s="25"/>
      <c r="D372" s="26" t="str" cm="1">
        <f t="array" ref="D372">IF(C372="","",IFERROR(INDEX(STPP!$D$6:$D$4207,MATCH(C372,STPP!$C$6:$C$4207,0)),"Not Found"))</f>
        <v/>
      </c>
      <c r="E372" s="27" t="str" cm="1">
        <f t="array" ref="E372">IF(C372="","",IFERROR(INDEX(STPP!$E$6:$E$4207,MATCH(C372,STPP!$C$6:$C$4207,0)),"Not Found"))</f>
        <v/>
      </c>
      <c r="F372" s="27" t="str" cm="1">
        <f t="array" ref="F372">IF(C372="","",IFERROR(INDEX(STPP!$F$6:$F$4207,MATCH(C372,STPP!$C$6:$C$4207,0)),"Not Found"))</f>
        <v/>
      </c>
      <c r="G372" s="25" t="str">
        <f>IF(表1[[#This Row],[No Seri]]="","",表1[[#This Row],[Deskripsi Barang]]+表1[[#This Row],[Kuantitas]]-表1[[#This Row],[Satuan]])</f>
        <v/>
      </c>
      <c r="H372" s="28"/>
      <c r="I372" s="25" t="str">
        <f>IF(表1[[#This Row],[Tgl NPBG]]&gt;表1[[#This Row],[Peminta]],表1[[#This Row],[Tgl NPBG]]-表1[[#This Row],[Peminta]],"")</f>
        <v/>
      </c>
      <c r="J372" s="31"/>
    </row>
    <row r="373" s="12" customFormat="1" customHeight="1" spans="2:10">
      <c r="B373" s="25"/>
      <c r="C373" s="25"/>
      <c r="D373" s="26" t="str" cm="1">
        <f t="array" ref="D373">IF(C373="","",IFERROR(INDEX(STPP!$D$6:$D$4207,MATCH(C373,STPP!$C$6:$C$4207,0)),"Not Found"))</f>
        <v/>
      </c>
      <c r="E373" s="27" t="str" cm="1">
        <f t="array" ref="E373">IF(C373="","",IFERROR(INDEX(STPP!$E$6:$E$4207,MATCH(C373,STPP!$C$6:$C$4207,0)),"Not Found"))</f>
        <v/>
      </c>
      <c r="F373" s="27" t="str" cm="1">
        <f t="array" ref="F373">IF(C373="","",IFERROR(INDEX(STPP!$F$6:$F$4207,MATCH(C373,STPP!$C$6:$C$4207,0)),"Not Found"))</f>
        <v/>
      </c>
      <c r="G373" s="25" t="str">
        <f>IF(表1[[#This Row],[No Seri]]="","",表1[[#This Row],[Deskripsi Barang]]+表1[[#This Row],[Kuantitas]]-表1[[#This Row],[Satuan]])</f>
        <v/>
      </c>
      <c r="H373" s="28"/>
      <c r="I373" s="25" t="str">
        <f>IF(表1[[#This Row],[Tgl NPBG]]&gt;表1[[#This Row],[Peminta]],表1[[#This Row],[Tgl NPBG]]-表1[[#This Row],[Peminta]],"")</f>
        <v/>
      </c>
      <c r="J373" s="31"/>
    </row>
    <row r="374" s="12" customFormat="1" customHeight="1" spans="2:10">
      <c r="B374" s="25"/>
      <c r="C374" s="25"/>
      <c r="D374" s="26" t="str" cm="1">
        <f t="array" ref="D374">IF(C374="","",IFERROR(INDEX(STPP!$D$6:$D$4207,MATCH(C374,STPP!$C$6:$C$4207,0)),"Not Found"))</f>
        <v/>
      </c>
      <c r="E374" s="27" t="str" cm="1">
        <f t="array" ref="E374">IF(C374="","",IFERROR(INDEX(STPP!$E$6:$E$4207,MATCH(C374,STPP!$C$6:$C$4207,0)),"Not Found"))</f>
        <v/>
      </c>
      <c r="F374" s="27" t="str" cm="1">
        <f t="array" ref="F374">IF(C374="","",IFERROR(INDEX(STPP!$F$6:$F$4207,MATCH(C374,STPP!$C$6:$C$4207,0)),"Not Found"))</f>
        <v/>
      </c>
      <c r="G374" s="25" t="str">
        <f>IF(表1[[#This Row],[No Seri]]="","",表1[[#This Row],[Deskripsi Barang]]+表1[[#This Row],[Kuantitas]]-表1[[#This Row],[Satuan]])</f>
        <v/>
      </c>
      <c r="H374" s="28"/>
      <c r="I374" s="25" t="str">
        <f>IF(表1[[#This Row],[Tgl NPBG]]&gt;表1[[#This Row],[Peminta]],表1[[#This Row],[Tgl NPBG]]-表1[[#This Row],[Peminta]],"")</f>
        <v/>
      </c>
      <c r="J374" s="31"/>
    </row>
    <row r="375" s="12" customFormat="1" customHeight="1" spans="2:10">
      <c r="B375" s="25"/>
      <c r="C375" s="25"/>
      <c r="D375" s="26" t="str" cm="1">
        <f t="array" ref="D375">IF(C375="","",IFERROR(INDEX(STPP!$D$6:$D$4207,MATCH(C375,STPP!$C$6:$C$4207,0)),"Not Found"))</f>
        <v/>
      </c>
      <c r="E375" s="27" t="str" cm="1">
        <f t="array" ref="E375">IF(C375="","",IFERROR(INDEX(STPP!$E$6:$E$4207,MATCH(C375,STPP!$C$6:$C$4207,0)),"Not Found"))</f>
        <v/>
      </c>
      <c r="F375" s="27" t="str" cm="1">
        <f t="array" ref="F375">IF(C375="","",IFERROR(INDEX(STPP!$F$6:$F$4207,MATCH(C375,STPP!$C$6:$C$4207,0)),"Not Found"))</f>
        <v/>
      </c>
      <c r="G375" s="25" t="str">
        <f>IF(表1[[#This Row],[No Seri]]="","",表1[[#This Row],[Deskripsi Barang]]+表1[[#This Row],[Kuantitas]]-表1[[#This Row],[Satuan]])</f>
        <v/>
      </c>
      <c r="H375" s="28"/>
      <c r="I375" s="25" t="str">
        <f>IF(表1[[#This Row],[Tgl NPBG]]&gt;表1[[#This Row],[Peminta]],表1[[#This Row],[Tgl NPBG]]-表1[[#This Row],[Peminta]],"")</f>
        <v/>
      </c>
      <c r="J375" s="31"/>
    </row>
    <row r="376" s="12" customFormat="1" customHeight="1" spans="2:10">
      <c r="B376" s="25"/>
      <c r="C376" s="25"/>
      <c r="D376" s="26" t="str" cm="1">
        <f t="array" ref="D376">IF(C376="","",IFERROR(INDEX(STPP!$D$6:$D$4207,MATCH(C376,STPP!$C$6:$C$4207,0)),"Not Found"))</f>
        <v/>
      </c>
      <c r="E376" s="27" t="str" cm="1">
        <f t="array" ref="E376">IF(C376="","",IFERROR(INDEX(STPP!$E$6:$E$4207,MATCH(C376,STPP!$C$6:$C$4207,0)),"Not Found"))</f>
        <v/>
      </c>
      <c r="F376" s="27" t="str" cm="1">
        <f t="array" ref="F376">IF(C376="","",IFERROR(INDEX(STPP!$F$6:$F$4207,MATCH(C376,STPP!$C$6:$C$4207,0)),"Not Found"))</f>
        <v/>
      </c>
      <c r="G376" s="25" t="str">
        <f>IF(表1[[#This Row],[No Seri]]="","",表1[[#This Row],[Deskripsi Barang]]+表1[[#This Row],[Kuantitas]]-表1[[#This Row],[Satuan]])</f>
        <v/>
      </c>
      <c r="H376" s="28"/>
      <c r="I376" s="25" t="str">
        <f>IF(表1[[#This Row],[Tgl NPBG]]&gt;表1[[#This Row],[Peminta]],表1[[#This Row],[Tgl NPBG]]-表1[[#This Row],[Peminta]],"")</f>
        <v/>
      </c>
      <c r="J376" s="31"/>
    </row>
    <row r="377" s="12" customFormat="1" customHeight="1" spans="2:10">
      <c r="B377" s="25"/>
      <c r="C377" s="25"/>
      <c r="D377" s="26" t="str" cm="1">
        <f t="array" ref="D377">IF(C377="","",IFERROR(INDEX(STPP!$D$6:$D$4207,MATCH(C377,STPP!$C$6:$C$4207,0)),"Not Found"))</f>
        <v/>
      </c>
      <c r="E377" s="27" t="str" cm="1">
        <f t="array" ref="E377">IF(C377="","",IFERROR(INDEX(STPP!$E$6:$E$4207,MATCH(C377,STPP!$C$6:$C$4207,0)),"Not Found"))</f>
        <v/>
      </c>
      <c r="F377" s="27" t="str" cm="1">
        <f t="array" ref="F377">IF(C377="","",IFERROR(INDEX(STPP!$F$6:$F$4207,MATCH(C377,STPP!$C$6:$C$4207,0)),"Not Found"))</f>
        <v/>
      </c>
      <c r="G377" s="25" t="str">
        <f>IF(表1[[#This Row],[No Seri]]="","",表1[[#This Row],[Deskripsi Barang]]+表1[[#This Row],[Kuantitas]]-表1[[#This Row],[Satuan]])</f>
        <v/>
      </c>
      <c r="H377" s="28"/>
      <c r="I377" s="25" t="str">
        <f>IF(表1[[#This Row],[Tgl NPBG]]&gt;表1[[#This Row],[Peminta]],表1[[#This Row],[Tgl NPBG]]-表1[[#This Row],[Peminta]],"")</f>
        <v/>
      </c>
      <c r="J377" s="31"/>
    </row>
    <row r="378" s="12" customFormat="1" customHeight="1" spans="2:10">
      <c r="B378" s="25"/>
      <c r="C378" s="25"/>
      <c r="D378" s="26" t="str" cm="1">
        <f t="array" ref="D378">IF(C378="","",IFERROR(INDEX(STPP!$D$6:$D$4207,MATCH(C378,STPP!$C$6:$C$4207,0)),"Not Found"))</f>
        <v/>
      </c>
      <c r="E378" s="27" t="str" cm="1">
        <f t="array" ref="E378">IF(C378="","",IFERROR(INDEX(STPP!$E$6:$E$4207,MATCH(C378,STPP!$C$6:$C$4207,0)),"Not Found"))</f>
        <v/>
      </c>
      <c r="F378" s="27" t="str" cm="1">
        <f t="array" ref="F378">IF(C378="","",IFERROR(INDEX(STPP!$F$6:$F$4207,MATCH(C378,STPP!$C$6:$C$4207,0)),"Not Found"))</f>
        <v/>
      </c>
      <c r="G378" s="25" t="str">
        <f>IF(表1[[#This Row],[No Seri]]="","",表1[[#This Row],[Deskripsi Barang]]+表1[[#This Row],[Kuantitas]]-表1[[#This Row],[Satuan]])</f>
        <v/>
      </c>
      <c r="H378" s="28"/>
      <c r="I378" s="25" t="str">
        <f>IF(表1[[#This Row],[Tgl NPBG]]&gt;表1[[#This Row],[Peminta]],表1[[#This Row],[Tgl NPBG]]-表1[[#This Row],[Peminta]],"")</f>
        <v/>
      </c>
      <c r="J378" s="31"/>
    </row>
    <row r="379" s="12" customFormat="1" customHeight="1" spans="2:10">
      <c r="B379" s="25"/>
      <c r="C379" s="25"/>
      <c r="D379" s="26" t="str" cm="1">
        <f t="array" ref="D379">IF(C379="","",IFERROR(INDEX(STPP!$D$6:$D$4207,MATCH(C379,STPP!$C$6:$C$4207,0)),"Not Found"))</f>
        <v/>
      </c>
      <c r="E379" s="27" t="str" cm="1">
        <f t="array" ref="E379">IF(C379="","",IFERROR(INDEX(STPP!$E$6:$E$4207,MATCH(C379,STPP!$C$6:$C$4207,0)),"Not Found"))</f>
        <v/>
      </c>
      <c r="F379" s="27" t="str" cm="1">
        <f t="array" ref="F379">IF(C379="","",IFERROR(INDEX(STPP!$F$6:$F$4207,MATCH(C379,STPP!$C$6:$C$4207,0)),"Not Found"))</f>
        <v/>
      </c>
      <c r="G379" s="25" t="str">
        <f>IF(表1[[#This Row],[No Seri]]="","",表1[[#This Row],[Deskripsi Barang]]+表1[[#This Row],[Kuantitas]]-表1[[#This Row],[Satuan]])</f>
        <v/>
      </c>
      <c r="H379" s="28"/>
      <c r="I379" s="25" t="str">
        <f>IF(表1[[#This Row],[Tgl NPBG]]&gt;表1[[#This Row],[Peminta]],表1[[#This Row],[Tgl NPBG]]-表1[[#This Row],[Peminta]],"")</f>
        <v/>
      </c>
      <c r="J379" s="31"/>
    </row>
    <row r="380" s="12" customFormat="1" customHeight="1" spans="2:10">
      <c r="B380" s="25"/>
      <c r="C380" s="25"/>
      <c r="D380" s="26" t="str" cm="1">
        <f t="array" ref="D380">IF(C380="","",IFERROR(INDEX(STPP!$D$6:$D$4207,MATCH(C380,STPP!$C$6:$C$4207,0)),"Not Found"))</f>
        <v/>
      </c>
      <c r="E380" s="27" t="str" cm="1">
        <f t="array" ref="E380">IF(C380="","",IFERROR(INDEX(STPP!$E$6:$E$4207,MATCH(C380,STPP!$C$6:$C$4207,0)),"Not Found"))</f>
        <v/>
      </c>
      <c r="F380" s="27" t="str" cm="1">
        <f t="array" ref="F380">IF(C380="","",IFERROR(INDEX(STPP!$F$6:$F$4207,MATCH(C380,STPP!$C$6:$C$4207,0)),"Not Found"))</f>
        <v/>
      </c>
      <c r="G380" s="25" t="str">
        <f>IF(表1[[#This Row],[No Seri]]="","",表1[[#This Row],[Deskripsi Barang]]+表1[[#This Row],[Kuantitas]]-表1[[#This Row],[Satuan]])</f>
        <v/>
      </c>
      <c r="H380" s="28"/>
      <c r="I380" s="25" t="str">
        <f>IF(表1[[#This Row],[Tgl NPBG]]&gt;表1[[#This Row],[Peminta]],表1[[#This Row],[Tgl NPBG]]-表1[[#This Row],[Peminta]],"")</f>
        <v/>
      </c>
      <c r="J380" s="31"/>
    </row>
    <row r="381" s="12" customFormat="1" customHeight="1" spans="2:10">
      <c r="B381" s="25"/>
      <c r="C381" s="25"/>
      <c r="D381" s="26" t="str" cm="1">
        <f t="array" ref="D381">IF(C381="","",IFERROR(INDEX(STPP!$D$6:$D$4207,MATCH(C381,STPP!$C$6:$C$4207,0)),"Not Found"))</f>
        <v/>
      </c>
      <c r="E381" s="27" t="str" cm="1">
        <f t="array" ref="E381">IF(C381="","",IFERROR(INDEX(STPP!$E$6:$E$4207,MATCH(C381,STPP!$C$6:$C$4207,0)),"Not Found"))</f>
        <v/>
      </c>
      <c r="F381" s="27" t="str" cm="1">
        <f t="array" ref="F381">IF(C381="","",IFERROR(INDEX(STPP!$F$6:$F$4207,MATCH(C381,STPP!$C$6:$C$4207,0)),"Not Found"))</f>
        <v/>
      </c>
      <c r="G381" s="25" t="str">
        <f>IF(表1[[#This Row],[No Seri]]="","",表1[[#This Row],[Deskripsi Barang]]+表1[[#This Row],[Kuantitas]]-表1[[#This Row],[Satuan]])</f>
        <v/>
      </c>
      <c r="H381" s="28"/>
      <c r="I381" s="25" t="str">
        <f>IF(表1[[#This Row],[Tgl NPBG]]&gt;表1[[#This Row],[Peminta]],表1[[#This Row],[Tgl NPBG]]-表1[[#This Row],[Peminta]],"")</f>
        <v/>
      </c>
      <c r="J381" s="31"/>
    </row>
    <row r="382" s="12" customFormat="1" customHeight="1" spans="2:10">
      <c r="B382" s="25"/>
      <c r="C382" s="25"/>
      <c r="D382" s="26" t="str" cm="1">
        <f t="array" ref="D382">IF(C382="","",IFERROR(INDEX(STPP!$D$6:$D$4207,MATCH(C382,STPP!$C$6:$C$4207,0)),"Not Found"))</f>
        <v/>
      </c>
      <c r="E382" s="27" t="str" cm="1">
        <f t="array" ref="E382">IF(C382="","",IFERROR(INDEX(STPP!$E$6:$E$4207,MATCH(C382,STPP!$C$6:$C$4207,0)),"Not Found"))</f>
        <v/>
      </c>
      <c r="F382" s="27" t="str" cm="1">
        <f t="array" ref="F382">IF(C382="","",IFERROR(INDEX(STPP!$F$6:$F$4207,MATCH(C382,STPP!$C$6:$C$4207,0)),"Not Found"))</f>
        <v/>
      </c>
      <c r="G382" s="25" t="str">
        <f>IF(表1[[#This Row],[No Seri]]="","",表1[[#This Row],[Deskripsi Barang]]+表1[[#This Row],[Kuantitas]]-表1[[#This Row],[Satuan]])</f>
        <v/>
      </c>
      <c r="H382" s="28"/>
      <c r="I382" s="25" t="str">
        <f>IF(表1[[#This Row],[Tgl NPBG]]&gt;表1[[#This Row],[Peminta]],表1[[#This Row],[Tgl NPBG]]-表1[[#This Row],[Peminta]],"")</f>
        <v/>
      </c>
      <c r="J382" s="31"/>
    </row>
    <row r="383" s="12" customFormat="1" customHeight="1" spans="2:10">
      <c r="B383" s="25"/>
      <c r="C383" s="25"/>
      <c r="D383" s="26" t="str" cm="1">
        <f t="array" ref="D383">IF(C383="","",IFERROR(INDEX(STPP!$D$6:$D$4207,MATCH(C383,STPP!$C$6:$C$4207,0)),"Not Found"))</f>
        <v/>
      </c>
      <c r="E383" s="27" t="str" cm="1">
        <f t="array" ref="E383">IF(C383="","",IFERROR(INDEX(STPP!$E$6:$E$4207,MATCH(C383,STPP!$C$6:$C$4207,0)),"Not Found"))</f>
        <v/>
      </c>
      <c r="F383" s="27" t="str" cm="1">
        <f t="array" ref="F383">IF(C383="","",IFERROR(INDEX(STPP!$F$6:$F$4207,MATCH(C383,STPP!$C$6:$C$4207,0)),"Not Found"))</f>
        <v/>
      </c>
      <c r="G383" s="25" t="str">
        <f>IF(表1[[#This Row],[No Seri]]="","",表1[[#This Row],[Deskripsi Barang]]+表1[[#This Row],[Kuantitas]]-表1[[#This Row],[Satuan]])</f>
        <v/>
      </c>
      <c r="H383" s="28"/>
      <c r="I383" s="25" t="str">
        <f>IF(表1[[#This Row],[Tgl NPBG]]&gt;表1[[#This Row],[Peminta]],表1[[#This Row],[Tgl NPBG]]-表1[[#This Row],[Peminta]],"")</f>
        <v/>
      </c>
      <c r="J383" s="31"/>
    </row>
    <row r="384" s="12" customFormat="1" customHeight="1" spans="2:10">
      <c r="B384" s="25"/>
      <c r="C384" s="25"/>
      <c r="D384" s="26" t="str" cm="1">
        <f t="array" ref="D384">IF(C384="","",IFERROR(INDEX(STPP!$D$6:$D$4207,MATCH(C384,STPP!$C$6:$C$4207,0)),"Not Found"))</f>
        <v/>
      </c>
      <c r="E384" s="27" t="str" cm="1">
        <f t="array" ref="E384">IF(C384="","",IFERROR(INDEX(STPP!$E$6:$E$4207,MATCH(C384,STPP!$C$6:$C$4207,0)),"Not Found"))</f>
        <v/>
      </c>
      <c r="F384" s="27" t="str" cm="1">
        <f t="array" ref="F384">IF(C384="","",IFERROR(INDEX(STPP!$F$6:$F$4207,MATCH(C384,STPP!$C$6:$C$4207,0)),"Not Found"))</f>
        <v/>
      </c>
      <c r="G384" s="25" t="str">
        <f>IF(表1[[#This Row],[No Seri]]="","",表1[[#This Row],[Deskripsi Barang]]+表1[[#This Row],[Kuantitas]]-表1[[#This Row],[Satuan]])</f>
        <v/>
      </c>
      <c r="H384" s="28"/>
      <c r="I384" s="25" t="str">
        <f>IF(表1[[#This Row],[Tgl NPBG]]&gt;表1[[#This Row],[Peminta]],表1[[#This Row],[Tgl NPBG]]-表1[[#This Row],[Peminta]],"")</f>
        <v/>
      </c>
      <c r="J384" s="31"/>
    </row>
    <row r="385" s="12" customFormat="1" customHeight="1" spans="2:10">
      <c r="B385" s="25"/>
      <c r="C385" s="25"/>
      <c r="D385" s="26" t="str" cm="1">
        <f t="array" ref="D385">IF(C385="","",IFERROR(INDEX(STPP!$D$6:$D$4207,MATCH(C385,STPP!$C$6:$C$4207,0)),"Not Found"))</f>
        <v/>
      </c>
      <c r="E385" s="27" t="str" cm="1">
        <f t="array" ref="E385">IF(C385="","",IFERROR(INDEX(STPP!$E$6:$E$4207,MATCH(C385,STPP!$C$6:$C$4207,0)),"Not Found"))</f>
        <v/>
      </c>
      <c r="F385" s="27" t="str" cm="1">
        <f t="array" ref="F385">IF(C385="","",IFERROR(INDEX(STPP!$F$6:$F$4207,MATCH(C385,STPP!$C$6:$C$4207,0)),"Not Found"))</f>
        <v/>
      </c>
      <c r="G385" s="25" t="str">
        <f>IF(表1[[#This Row],[No Seri]]="","",表1[[#This Row],[Deskripsi Barang]]+表1[[#This Row],[Kuantitas]]-表1[[#This Row],[Satuan]])</f>
        <v/>
      </c>
      <c r="H385" s="28"/>
      <c r="I385" s="25" t="str">
        <f>IF(表1[[#This Row],[Tgl NPBG]]&gt;表1[[#This Row],[Peminta]],表1[[#This Row],[Tgl NPBG]]-表1[[#This Row],[Peminta]],"")</f>
        <v/>
      </c>
      <c r="J385" s="31"/>
    </row>
    <row r="386" s="12" customFormat="1" customHeight="1" spans="2:10">
      <c r="B386" s="25"/>
      <c r="C386" s="25"/>
      <c r="D386" s="26" t="str" cm="1">
        <f t="array" ref="D386">IF(C386="","",IFERROR(INDEX(STPP!$D$6:$D$4207,MATCH(C386,STPP!$C$6:$C$4207,0)),"Not Found"))</f>
        <v/>
      </c>
      <c r="E386" s="27" t="str" cm="1">
        <f t="array" ref="E386">IF(C386="","",IFERROR(INDEX(STPP!$E$6:$E$4207,MATCH(C386,STPP!$C$6:$C$4207,0)),"Not Found"))</f>
        <v/>
      </c>
      <c r="F386" s="27" t="str" cm="1">
        <f t="array" ref="F386">IF(C386="","",IFERROR(INDEX(STPP!$F$6:$F$4207,MATCH(C386,STPP!$C$6:$C$4207,0)),"Not Found"))</f>
        <v/>
      </c>
      <c r="G386" s="25" t="str">
        <f>IF(表1[[#This Row],[No Seri]]="","",表1[[#This Row],[Deskripsi Barang]]+表1[[#This Row],[Kuantitas]]-表1[[#This Row],[Satuan]])</f>
        <v/>
      </c>
      <c r="H386" s="28"/>
      <c r="I386" s="25" t="str">
        <f>IF(表1[[#This Row],[Tgl NPBG]]&gt;表1[[#This Row],[Peminta]],表1[[#This Row],[Tgl NPBG]]-表1[[#This Row],[Peminta]],"")</f>
        <v/>
      </c>
      <c r="J386" s="31"/>
    </row>
    <row r="387" s="12" customFormat="1" customHeight="1" spans="2:10">
      <c r="B387" s="25"/>
      <c r="C387" s="25"/>
      <c r="D387" s="26" t="str" cm="1">
        <f t="array" ref="D387">IF(C387="","",IFERROR(INDEX(STPP!$D$6:$D$4207,MATCH(C387,STPP!$C$6:$C$4207,0)),"Not Found"))</f>
        <v/>
      </c>
      <c r="E387" s="27" t="str" cm="1">
        <f t="array" ref="E387">IF(C387="","",IFERROR(INDEX(STPP!$E$6:$E$4207,MATCH(C387,STPP!$C$6:$C$4207,0)),"Not Found"))</f>
        <v/>
      </c>
      <c r="F387" s="27" t="str" cm="1">
        <f t="array" ref="F387">IF(C387="","",IFERROR(INDEX(STPP!$F$6:$F$4207,MATCH(C387,STPP!$C$6:$C$4207,0)),"Not Found"))</f>
        <v/>
      </c>
      <c r="G387" s="25" t="str">
        <f>IF(表1[[#This Row],[No Seri]]="","",表1[[#This Row],[Deskripsi Barang]]+表1[[#This Row],[Kuantitas]]-表1[[#This Row],[Satuan]])</f>
        <v/>
      </c>
      <c r="H387" s="28"/>
      <c r="I387" s="25" t="str">
        <f>IF(表1[[#This Row],[Tgl NPBG]]&gt;表1[[#This Row],[Peminta]],表1[[#This Row],[Tgl NPBG]]-表1[[#This Row],[Peminta]],"")</f>
        <v/>
      </c>
      <c r="J387" s="31"/>
    </row>
    <row r="388" s="12" customFormat="1" customHeight="1" spans="2:10">
      <c r="B388" s="25"/>
      <c r="C388" s="25"/>
      <c r="D388" s="26" t="str" cm="1">
        <f t="array" ref="D388">IF(C388="","",IFERROR(INDEX(STPP!$D$6:$D$4207,MATCH(C388,STPP!$C$6:$C$4207,0)),"Not Found"))</f>
        <v/>
      </c>
      <c r="E388" s="27" t="str" cm="1">
        <f t="array" ref="E388">IF(C388="","",IFERROR(INDEX(STPP!$E$6:$E$4207,MATCH(C388,STPP!$C$6:$C$4207,0)),"Not Found"))</f>
        <v/>
      </c>
      <c r="F388" s="27" t="str" cm="1">
        <f t="array" ref="F388">IF(C388="","",IFERROR(INDEX(STPP!$F$6:$F$4207,MATCH(C388,STPP!$C$6:$C$4207,0)),"Not Found"))</f>
        <v/>
      </c>
      <c r="G388" s="25" t="str">
        <f>IF(表1[[#This Row],[No Seri]]="","",表1[[#This Row],[Deskripsi Barang]]+表1[[#This Row],[Kuantitas]]-表1[[#This Row],[Satuan]])</f>
        <v/>
      </c>
      <c r="H388" s="28"/>
      <c r="I388" s="25" t="str">
        <f>IF(表1[[#This Row],[Tgl NPBG]]&gt;表1[[#This Row],[Peminta]],表1[[#This Row],[Tgl NPBG]]-表1[[#This Row],[Peminta]],"")</f>
        <v/>
      </c>
      <c r="J388" s="31"/>
    </row>
    <row r="389" s="12" customFormat="1" customHeight="1" spans="2:10">
      <c r="B389" s="25"/>
      <c r="C389" s="25"/>
      <c r="D389" s="26" t="str" cm="1">
        <f t="array" ref="D389">IF(C389="","",IFERROR(INDEX(STPP!$D$6:$D$4207,MATCH(C389,STPP!$C$6:$C$4207,0)),"Not Found"))</f>
        <v/>
      </c>
      <c r="E389" s="27" t="str" cm="1">
        <f t="array" ref="E389">IF(C389="","",IFERROR(INDEX(STPP!$E$6:$E$4207,MATCH(C389,STPP!$C$6:$C$4207,0)),"Not Found"))</f>
        <v/>
      </c>
      <c r="F389" s="27" t="str" cm="1">
        <f t="array" ref="F389">IF(C389="","",IFERROR(INDEX(STPP!$F$6:$F$4207,MATCH(C389,STPP!$C$6:$C$4207,0)),"Not Found"))</f>
        <v/>
      </c>
      <c r="G389" s="25" t="str">
        <f>IF(表1[[#This Row],[No Seri]]="","",表1[[#This Row],[Deskripsi Barang]]+表1[[#This Row],[Kuantitas]]-表1[[#This Row],[Satuan]])</f>
        <v/>
      </c>
      <c r="H389" s="28"/>
      <c r="I389" s="25" t="str">
        <f>IF(表1[[#This Row],[Tgl NPBG]]&gt;表1[[#This Row],[Peminta]],表1[[#This Row],[Tgl NPBG]]-表1[[#This Row],[Peminta]],"")</f>
        <v/>
      </c>
      <c r="J389" s="31"/>
    </row>
    <row r="390" s="12" customFormat="1" customHeight="1" spans="2:10">
      <c r="B390" s="25"/>
      <c r="C390" s="25"/>
      <c r="D390" s="26" t="str" cm="1">
        <f t="array" ref="D390">IF(C390="","",IFERROR(INDEX(STPP!$D$6:$D$4207,MATCH(C390,STPP!$C$6:$C$4207,0)),"Not Found"))</f>
        <v/>
      </c>
      <c r="E390" s="27" t="str" cm="1">
        <f t="array" ref="E390">IF(C390="","",IFERROR(INDEX(STPP!$E$6:$E$4207,MATCH(C390,STPP!$C$6:$C$4207,0)),"Not Found"))</f>
        <v/>
      </c>
      <c r="F390" s="27" t="str" cm="1">
        <f t="array" ref="F390">IF(C390="","",IFERROR(INDEX(STPP!$F$6:$F$4207,MATCH(C390,STPP!$C$6:$C$4207,0)),"Not Found"))</f>
        <v/>
      </c>
      <c r="G390" s="25" t="str">
        <f>IF(表1[[#This Row],[No Seri]]="","",表1[[#This Row],[Deskripsi Barang]]+表1[[#This Row],[Kuantitas]]-表1[[#This Row],[Satuan]])</f>
        <v/>
      </c>
      <c r="H390" s="28"/>
      <c r="I390" s="25" t="str">
        <f>IF(表1[[#This Row],[Tgl NPBG]]&gt;表1[[#This Row],[Peminta]],表1[[#This Row],[Tgl NPBG]]-表1[[#This Row],[Peminta]],"")</f>
        <v/>
      </c>
      <c r="J390" s="31"/>
    </row>
    <row r="391" s="12" customFormat="1" customHeight="1" spans="2:10">
      <c r="B391" s="25"/>
      <c r="C391" s="25"/>
      <c r="D391" s="26" t="str" cm="1">
        <f t="array" ref="D391">IF(C391="","",IFERROR(INDEX(STPP!$D$6:$D$4207,MATCH(C391,STPP!$C$6:$C$4207,0)),"Not Found"))</f>
        <v/>
      </c>
      <c r="E391" s="27" t="str" cm="1">
        <f t="array" ref="E391">IF(C391="","",IFERROR(INDEX(STPP!$E$6:$E$4207,MATCH(C391,STPP!$C$6:$C$4207,0)),"Not Found"))</f>
        <v/>
      </c>
      <c r="F391" s="27" t="str" cm="1">
        <f t="array" ref="F391">IF(C391="","",IFERROR(INDEX(STPP!$F$6:$F$4207,MATCH(C391,STPP!$C$6:$C$4207,0)),"Not Found"))</f>
        <v/>
      </c>
      <c r="G391" s="25" t="str">
        <f>IF(表1[[#This Row],[No Seri]]="","",表1[[#This Row],[Deskripsi Barang]]+表1[[#This Row],[Kuantitas]]-表1[[#This Row],[Satuan]])</f>
        <v/>
      </c>
      <c r="H391" s="28"/>
      <c r="I391" s="25" t="str">
        <f>IF(表1[[#This Row],[Tgl NPBG]]&gt;表1[[#This Row],[Peminta]],表1[[#This Row],[Tgl NPBG]]-表1[[#This Row],[Peminta]],"")</f>
        <v/>
      </c>
      <c r="J391" s="31"/>
    </row>
    <row r="392" s="12" customFormat="1" customHeight="1" spans="2:10">
      <c r="B392" s="25"/>
      <c r="C392" s="25"/>
      <c r="D392" s="26" t="str" cm="1">
        <f t="array" ref="D392">IF(C392="","",IFERROR(INDEX(STPP!$D$6:$D$4207,MATCH(C392,STPP!$C$6:$C$4207,0)),"Not Found"))</f>
        <v/>
      </c>
      <c r="E392" s="27" t="str" cm="1">
        <f t="array" ref="E392">IF(C392="","",IFERROR(INDEX(STPP!$E$6:$E$4207,MATCH(C392,STPP!$C$6:$C$4207,0)),"Not Found"))</f>
        <v/>
      </c>
      <c r="F392" s="27" t="str" cm="1">
        <f t="array" ref="F392">IF(C392="","",IFERROR(INDEX(STPP!$F$6:$F$4207,MATCH(C392,STPP!$C$6:$C$4207,0)),"Not Found"))</f>
        <v/>
      </c>
      <c r="G392" s="25" t="str">
        <f>IF(表1[[#This Row],[No Seri]]="","",表1[[#This Row],[Deskripsi Barang]]+表1[[#This Row],[Kuantitas]]-表1[[#This Row],[Satuan]])</f>
        <v/>
      </c>
      <c r="H392" s="28"/>
      <c r="I392" s="25" t="str">
        <f>IF(表1[[#This Row],[Tgl NPBG]]&gt;表1[[#This Row],[Peminta]],表1[[#This Row],[Tgl NPBG]]-表1[[#This Row],[Peminta]],"")</f>
        <v/>
      </c>
      <c r="J392" s="31"/>
    </row>
    <row r="393" s="12" customFormat="1" customHeight="1" spans="2:10">
      <c r="B393" s="25"/>
      <c r="C393" s="25"/>
      <c r="D393" s="26" t="str" cm="1">
        <f t="array" ref="D393">IF(C393="","",IFERROR(INDEX(STPP!$D$6:$D$4207,MATCH(C393,STPP!$C$6:$C$4207,0)),"Not Found"))</f>
        <v/>
      </c>
      <c r="E393" s="27" t="str" cm="1">
        <f t="array" ref="E393">IF(C393="","",IFERROR(INDEX(STPP!$E$6:$E$4207,MATCH(C393,STPP!$C$6:$C$4207,0)),"Not Found"))</f>
        <v/>
      </c>
      <c r="F393" s="27" t="str" cm="1">
        <f t="array" ref="F393">IF(C393="","",IFERROR(INDEX(STPP!$F$6:$F$4207,MATCH(C393,STPP!$C$6:$C$4207,0)),"Not Found"))</f>
        <v/>
      </c>
      <c r="G393" s="25" t="str">
        <f>IF(表1[[#This Row],[No Seri]]="","",表1[[#This Row],[Deskripsi Barang]]+表1[[#This Row],[Kuantitas]]-表1[[#This Row],[Satuan]])</f>
        <v/>
      </c>
      <c r="H393" s="28"/>
      <c r="I393" s="25" t="str">
        <f>IF(表1[[#This Row],[Tgl NPBG]]&gt;表1[[#This Row],[Peminta]],表1[[#This Row],[Tgl NPBG]]-表1[[#This Row],[Peminta]],"")</f>
        <v/>
      </c>
      <c r="J393" s="31"/>
    </row>
    <row r="394" s="12" customFormat="1" customHeight="1" spans="2:10">
      <c r="B394" s="25"/>
      <c r="C394" s="25"/>
      <c r="D394" s="26" t="str" cm="1">
        <f t="array" ref="D394">IF(C394="","",IFERROR(INDEX(STPP!$D$6:$D$4207,MATCH(C394,STPP!$C$6:$C$4207,0)),"Not Found"))</f>
        <v/>
      </c>
      <c r="E394" s="27" t="str" cm="1">
        <f t="array" ref="E394">IF(C394="","",IFERROR(INDEX(STPP!$E$6:$E$4207,MATCH(C394,STPP!$C$6:$C$4207,0)),"Not Found"))</f>
        <v/>
      </c>
      <c r="F394" s="27" t="str" cm="1">
        <f t="array" ref="F394">IF(C394="","",IFERROR(INDEX(STPP!$F$6:$F$4207,MATCH(C394,STPP!$C$6:$C$4207,0)),"Not Found"))</f>
        <v/>
      </c>
      <c r="G394" s="25" t="str">
        <f>IF(表1[[#This Row],[No Seri]]="","",表1[[#This Row],[Deskripsi Barang]]+表1[[#This Row],[Kuantitas]]-表1[[#This Row],[Satuan]])</f>
        <v/>
      </c>
      <c r="H394" s="28"/>
      <c r="I394" s="25" t="str">
        <f>IF(表1[[#This Row],[Tgl NPBG]]&gt;表1[[#This Row],[Peminta]],表1[[#This Row],[Tgl NPBG]]-表1[[#This Row],[Peminta]],"")</f>
        <v/>
      </c>
      <c r="J394" s="31"/>
    </row>
    <row r="395" s="12" customFormat="1" customHeight="1" spans="2:10">
      <c r="B395" s="25"/>
      <c r="C395" s="25"/>
      <c r="D395" s="26" t="str" cm="1">
        <f t="array" ref="D395">IF(C395="","",IFERROR(INDEX(STPP!$D$6:$D$4207,MATCH(C395,STPP!$C$6:$C$4207,0)),"Not Found"))</f>
        <v/>
      </c>
      <c r="E395" s="27" t="str" cm="1">
        <f t="array" ref="E395">IF(C395="","",IFERROR(INDEX(STPP!$E$6:$E$4207,MATCH(C395,STPP!$C$6:$C$4207,0)),"Not Found"))</f>
        <v/>
      </c>
      <c r="F395" s="27" t="str" cm="1">
        <f t="array" ref="F395">IF(C395="","",IFERROR(INDEX(STPP!$F$6:$F$4207,MATCH(C395,STPP!$C$6:$C$4207,0)),"Not Found"))</f>
        <v/>
      </c>
      <c r="G395" s="25" t="str">
        <f>IF(表1[[#This Row],[No Seri]]="","",表1[[#This Row],[Deskripsi Barang]]+表1[[#This Row],[Kuantitas]]-表1[[#This Row],[Satuan]])</f>
        <v/>
      </c>
      <c r="H395" s="28"/>
      <c r="I395" s="25" t="str">
        <f>IF(表1[[#This Row],[Tgl NPBG]]&gt;表1[[#This Row],[Peminta]],表1[[#This Row],[Tgl NPBG]]-表1[[#This Row],[Peminta]],"")</f>
        <v/>
      </c>
      <c r="J395" s="31"/>
    </row>
    <row r="396" s="12" customFormat="1" customHeight="1" spans="2:10">
      <c r="B396" s="25"/>
      <c r="C396" s="25"/>
      <c r="D396" s="26" t="str" cm="1">
        <f t="array" ref="D396">IF(C396="","",IFERROR(INDEX(STPP!$D$6:$D$4207,MATCH(C396,STPP!$C$6:$C$4207,0)),"Not Found"))</f>
        <v/>
      </c>
      <c r="E396" s="27" t="str" cm="1">
        <f t="array" ref="E396">IF(C396="","",IFERROR(INDEX(STPP!$E$6:$E$4207,MATCH(C396,STPP!$C$6:$C$4207,0)),"Not Found"))</f>
        <v/>
      </c>
      <c r="F396" s="27" t="str" cm="1">
        <f t="array" ref="F396">IF(C396="","",IFERROR(INDEX(STPP!$F$6:$F$4207,MATCH(C396,STPP!$C$6:$C$4207,0)),"Not Found"))</f>
        <v/>
      </c>
      <c r="G396" s="25" t="str">
        <f>IF(表1[[#This Row],[No Seri]]="","",表1[[#This Row],[Deskripsi Barang]]+表1[[#This Row],[Kuantitas]]-表1[[#This Row],[Satuan]])</f>
        <v/>
      </c>
      <c r="H396" s="28"/>
      <c r="I396" s="25" t="str">
        <f>IF(表1[[#This Row],[Tgl NPBG]]&gt;表1[[#This Row],[Peminta]],表1[[#This Row],[Tgl NPBG]]-表1[[#This Row],[Peminta]],"")</f>
        <v/>
      </c>
      <c r="J396" s="31"/>
    </row>
    <row r="397" s="12" customFormat="1" customHeight="1" spans="2:10">
      <c r="B397" s="25"/>
      <c r="C397" s="25"/>
      <c r="D397" s="26" t="str" cm="1">
        <f t="array" ref="D397">IF(C397="","",IFERROR(INDEX(STPP!$D$6:$D$4207,MATCH(C397,STPP!$C$6:$C$4207,0)),"Not Found"))</f>
        <v/>
      </c>
      <c r="E397" s="27" t="str" cm="1">
        <f t="array" ref="E397">IF(C397="","",IFERROR(INDEX(STPP!$E$6:$E$4207,MATCH(C397,STPP!$C$6:$C$4207,0)),"Not Found"))</f>
        <v/>
      </c>
      <c r="F397" s="27" t="str" cm="1">
        <f t="array" ref="F397">IF(C397="","",IFERROR(INDEX(STPP!$F$6:$F$4207,MATCH(C397,STPP!$C$6:$C$4207,0)),"Not Found"))</f>
        <v/>
      </c>
      <c r="G397" s="25" t="str">
        <f>IF(表1[[#This Row],[No Seri]]="","",表1[[#This Row],[Deskripsi Barang]]+表1[[#This Row],[Kuantitas]]-表1[[#This Row],[Satuan]])</f>
        <v/>
      </c>
      <c r="H397" s="28"/>
      <c r="I397" s="25" t="str">
        <f>IF(表1[[#This Row],[Tgl NPBG]]&gt;表1[[#This Row],[Peminta]],表1[[#This Row],[Tgl NPBG]]-表1[[#This Row],[Peminta]],"")</f>
        <v/>
      </c>
      <c r="J397" s="31"/>
    </row>
    <row r="398" s="12" customFormat="1" customHeight="1" spans="2:10">
      <c r="B398" s="25"/>
      <c r="C398" s="25"/>
      <c r="D398" s="26" t="str" cm="1">
        <f t="array" ref="D398">IF(C398="","",IFERROR(INDEX(STPP!$D$6:$D$4207,MATCH(C398,STPP!$C$6:$C$4207,0)),"Not Found"))</f>
        <v/>
      </c>
      <c r="E398" s="27" t="str" cm="1">
        <f t="array" ref="E398">IF(C398="","",IFERROR(INDEX(STPP!$E$6:$E$4207,MATCH(C398,STPP!$C$6:$C$4207,0)),"Not Found"))</f>
        <v/>
      </c>
      <c r="F398" s="27" t="str" cm="1">
        <f t="array" ref="F398">IF(C398="","",IFERROR(INDEX(STPP!$F$6:$F$4207,MATCH(C398,STPP!$C$6:$C$4207,0)),"Not Found"))</f>
        <v/>
      </c>
      <c r="G398" s="25" t="str">
        <f>IF(表1[[#This Row],[No Seri]]="","",表1[[#This Row],[Deskripsi Barang]]+表1[[#This Row],[Kuantitas]]-表1[[#This Row],[Satuan]])</f>
        <v/>
      </c>
      <c r="H398" s="28"/>
      <c r="I398" s="25" t="str">
        <f>IF(表1[[#This Row],[Tgl NPBG]]&gt;表1[[#This Row],[Peminta]],表1[[#This Row],[Tgl NPBG]]-表1[[#This Row],[Peminta]],"")</f>
        <v/>
      </c>
      <c r="J398" s="31"/>
    </row>
    <row r="399" s="12" customFormat="1" customHeight="1" spans="2:10">
      <c r="B399" s="25"/>
      <c r="C399" s="25"/>
      <c r="D399" s="26" t="str" cm="1">
        <f t="array" ref="D399">IF(C399="","",IFERROR(INDEX(STPP!$D$6:$D$4207,MATCH(C399,STPP!$C$6:$C$4207,0)),"Not Found"))</f>
        <v/>
      </c>
      <c r="E399" s="27" t="str" cm="1">
        <f t="array" ref="E399">IF(C399="","",IFERROR(INDEX(STPP!$E$6:$E$4207,MATCH(C399,STPP!$C$6:$C$4207,0)),"Not Found"))</f>
        <v/>
      </c>
      <c r="F399" s="27" t="str" cm="1">
        <f t="array" ref="F399">IF(C399="","",IFERROR(INDEX(STPP!$F$6:$F$4207,MATCH(C399,STPP!$C$6:$C$4207,0)),"Not Found"))</f>
        <v/>
      </c>
      <c r="G399" s="25" t="str">
        <f>IF(表1[[#This Row],[No Seri]]="","",表1[[#This Row],[Deskripsi Barang]]+表1[[#This Row],[Kuantitas]]-表1[[#This Row],[Satuan]])</f>
        <v/>
      </c>
      <c r="H399" s="28"/>
      <c r="I399" s="25" t="str">
        <f>IF(表1[[#This Row],[Tgl NPBG]]&gt;表1[[#This Row],[Peminta]],表1[[#This Row],[Tgl NPBG]]-表1[[#This Row],[Peminta]],"")</f>
        <v/>
      </c>
      <c r="J399" s="31"/>
    </row>
    <row r="400" s="12" customFormat="1" customHeight="1" spans="2:10">
      <c r="B400" s="25"/>
      <c r="C400" s="25"/>
      <c r="D400" s="26" t="str" cm="1">
        <f t="array" ref="D400">IF(C400="","",IFERROR(INDEX(STPP!$D$6:$D$4207,MATCH(C400,STPP!$C$6:$C$4207,0)),"Not Found"))</f>
        <v/>
      </c>
      <c r="E400" s="27" t="str" cm="1">
        <f t="array" ref="E400">IF(C400="","",IFERROR(INDEX(STPP!$E$6:$E$4207,MATCH(C400,STPP!$C$6:$C$4207,0)),"Not Found"))</f>
        <v/>
      </c>
      <c r="F400" s="27" t="str" cm="1">
        <f t="array" ref="F400">IF(C400="","",IFERROR(INDEX(STPP!$F$6:$F$4207,MATCH(C400,STPP!$C$6:$C$4207,0)),"Not Found"))</f>
        <v/>
      </c>
      <c r="G400" s="25" t="str">
        <f>IF(表1[[#This Row],[No Seri]]="","",表1[[#This Row],[Deskripsi Barang]]+表1[[#This Row],[Kuantitas]]-表1[[#This Row],[Satuan]])</f>
        <v/>
      </c>
      <c r="H400" s="28"/>
      <c r="I400" s="25" t="str">
        <f>IF(表1[[#This Row],[Tgl NPBG]]&gt;表1[[#This Row],[Peminta]],表1[[#This Row],[Tgl NPBG]]-表1[[#This Row],[Peminta]],"")</f>
        <v/>
      </c>
      <c r="J400" s="31"/>
    </row>
    <row r="401" s="12" customFormat="1" customHeight="1" spans="2:10">
      <c r="B401" s="25"/>
      <c r="C401" s="25"/>
      <c r="D401" s="26" t="str" cm="1">
        <f t="array" ref="D401">IF(C401="","",IFERROR(INDEX(STPP!$D$6:$D$4207,MATCH(C401,STPP!$C$6:$C$4207,0)),"Not Found"))</f>
        <v/>
      </c>
      <c r="E401" s="27" t="str" cm="1">
        <f t="array" ref="E401">IF(C401="","",IFERROR(INDEX(STPP!$E$6:$E$4207,MATCH(C401,STPP!$C$6:$C$4207,0)),"Not Found"))</f>
        <v/>
      </c>
      <c r="F401" s="27" t="str" cm="1">
        <f t="array" ref="F401">IF(C401="","",IFERROR(INDEX(STPP!$F$6:$F$4207,MATCH(C401,STPP!$C$6:$C$4207,0)),"Not Found"))</f>
        <v/>
      </c>
      <c r="G401" s="25" t="str">
        <f>IF(表1[[#This Row],[No Seri]]="","",表1[[#This Row],[Deskripsi Barang]]+表1[[#This Row],[Kuantitas]]-表1[[#This Row],[Satuan]])</f>
        <v/>
      </c>
      <c r="H401" s="28"/>
      <c r="I401" s="25" t="str">
        <f>IF(表1[[#This Row],[Tgl NPBG]]&gt;表1[[#This Row],[Peminta]],表1[[#This Row],[Tgl NPBG]]-表1[[#This Row],[Peminta]],"")</f>
        <v/>
      </c>
      <c r="J401" s="31"/>
    </row>
    <row r="402" s="12" customFormat="1" customHeight="1" spans="2:10">
      <c r="B402" s="25"/>
      <c r="C402" s="25"/>
      <c r="D402" s="26" t="str" cm="1">
        <f t="array" ref="D402">IF(C402="","",IFERROR(INDEX(STPP!$D$6:$D$4207,MATCH(C402,STPP!$C$6:$C$4207,0)),"Not Found"))</f>
        <v/>
      </c>
      <c r="E402" s="27" t="str" cm="1">
        <f t="array" ref="E402">IF(C402="","",IFERROR(INDEX(STPP!$E$6:$E$4207,MATCH(C402,STPP!$C$6:$C$4207,0)),"Not Found"))</f>
        <v/>
      </c>
      <c r="F402" s="27" t="str" cm="1">
        <f t="array" ref="F402">IF(C402="","",IFERROR(INDEX(STPP!$F$6:$F$4207,MATCH(C402,STPP!$C$6:$C$4207,0)),"Not Found"))</f>
        <v/>
      </c>
      <c r="G402" s="25" t="str">
        <f>IF(表1[[#This Row],[No Seri]]="","",表1[[#This Row],[Deskripsi Barang]]+表1[[#This Row],[Kuantitas]]-表1[[#This Row],[Satuan]])</f>
        <v/>
      </c>
      <c r="H402" s="28"/>
      <c r="I402" s="25" t="str">
        <f>IF(表1[[#This Row],[Tgl NPBG]]&gt;表1[[#This Row],[Peminta]],表1[[#This Row],[Tgl NPBG]]-表1[[#This Row],[Peminta]],"")</f>
        <v/>
      </c>
      <c r="J402" s="31"/>
    </row>
    <row r="403" s="12" customFormat="1" customHeight="1" spans="2:10">
      <c r="B403" s="25"/>
      <c r="C403" s="25"/>
      <c r="D403" s="26" t="str" cm="1">
        <f t="array" ref="D403">IF(C403="","",IFERROR(INDEX(STPP!$D$6:$D$4207,MATCH(C403,STPP!$C$6:$C$4207,0)),"Not Found"))</f>
        <v/>
      </c>
      <c r="E403" s="27" t="str" cm="1">
        <f t="array" ref="E403">IF(C403="","",IFERROR(INDEX(STPP!$E$6:$E$4207,MATCH(C403,STPP!$C$6:$C$4207,0)),"Not Found"))</f>
        <v/>
      </c>
      <c r="F403" s="27" t="str" cm="1">
        <f t="array" ref="F403">IF(C403="","",IFERROR(INDEX(STPP!$F$6:$F$4207,MATCH(C403,STPP!$C$6:$C$4207,0)),"Not Found"))</f>
        <v/>
      </c>
      <c r="G403" s="25" t="str">
        <f>IF(表1[[#This Row],[No Seri]]="","",表1[[#This Row],[Deskripsi Barang]]+表1[[#This Row],[Kuantitas]]-表1[[#This Row],[Satuan]])</f>
        <v/>
      </c>
      <c r="H403" s="28"/>
      <c r="I403" s="25" t="str">
        <f>IF(表1[[#This Row],[Tgl NPBG]]&gt;表1[[#This Row],[Peminta]],表1[[#This Row],[Tgl NPBG]]-表1[[#This Row],[Peminta]],"")</f>
        <v/>
      </c>
      <c r="J403" s="31"/>
    </row>
    <row r="404" s="12" customFormat="1" customHeight="1" spans="2:10">
      <c r="B404" s="25"/>
      <c r="C404" s="25"/>
      <c r="D404" s="26" t="str" cm="1">
        <f t="array" ref="D404">IF(C404="","",IFERROR(INDEX(STPP!$D$6:$D$4207,MATCH(C404,STPP!$C$6:$C$4207,0)),"Not Found"))</f>
        <v/>
      </c>
      <c r="E404" s="27" t="str" cm="1">
        <f t="array" ref="E404">IF(C404="","",IFERROR(INDEX(STPP!$E$6:$E$4207,MATCH(C404,STPP!$C$6:$C$4207,0)),"Not Found"))</f>
        <v/>
      </c>
      <c r="F404" s="27" t="str" cm="1">
        <f t="array" ref="F404">IF(C404="","",IFERROR(INDEX(STPP!$F$6:$F$4207,MATCH(C404,STPP!$C$6:$C$4207,0)),"Not Found"))</f>
        <v/>
      </c>
      <c r="G404" s="25" t="str">
        <f>IF(表1[[#This Row],[No Seri]]="","",表1[[#This Row],[Deskripsi Barang]]+表1[[#This Row],[Kuantitas]]-表1[[#This Row],[Satuan]])</f>
        <v/>
      </c>
      <c r="H404" s="28"/>
      <c r="I404" s="25" t="str">
        <f>IF(表1[[#This Row],[Tgl NPBG]]&gt;表1[[#This Row],[Peminta]],表1[[#This Row],[Tgl NPBG]]-表1[[#This Row],[Peminta]],"")</f>
        <v/>
      </c>
      <c r="J404" s="31"/>
    </row>
    <row r="405" s="12" customFormat="1" customHeight="1" spans="2:10">
      <c r="B405" s="25"/>
      <c r="C405" s="25"/>
      <c r="D405" s="26" t="str" cm="1">
        <f t="array" ref="D405">IF(C405="","",IFERROR(INDEX(STPP!$D$6:$D$4207,MATCH(C405,STPP!$C$6:$C$4207,0)),"Not Found"))</f>
        <v/>
      </c>
      <c r="E405" s="27" t="str" cm="1">
        <f t="array" ref="E405">IF(C405="","",IFERROR(INDEX(STPP!$E$6:$E$4207,MATCH(C405,STPP!$C$6:$C$4207,0)),"Not Found"))</f>
        <v/>
      </c>
      <c r="F405" s="27" t="str" cm="1">
        <f t="array" ref="F405">IF(C405="","",IFERROR(INDEX(STPP!$F$6:$F$4207,MATCH(C405,STPP!$C$6:$C$4207,0)),"Not Found"))</f>
        <v/>
      </c>
      <c r="G405" s="25" t="str">
        <f>IF(表1[[#This Row],[No Seri]]="","",表1[[#This Row],[Deskripsi Barang]]+表1[[#This Row],[Kuantitas]]-表1[[#This Row],[Satuan]])</f>
        <v/>
      </c>
      <c r="H405" s="28"/>
      <c r="I405" s="25" t="str">
        <f>IF(表1[[#This Row],[Tgl NPBG]]&gt;表1[[#This Row],[Peminta]],表1[[#This Row],[Tgl NPBG]]-表1[[#This Row],[Peminta]],"")</f>
        <v/>
      </c>
      <c r="J405" s="31"/>
    </row>
    <row r="406" s="12" customFormat="1" customHeight="1" spans="2:10">
      <c r="B406" s="25"/>
      <c r="C406" s="25"/>
      <c r="D406" s="26" t="str" cm="1">
        <f t="array" ref="D406">IF(C406="","",IFERROR(INDEX(STPP!$D$6:$D$4207,MATCH(C406,STPP!$C$6:$C$4207,0)),"Not Found"))</f>
        <v/>
      </c>
      <c r="E406" s="27" t="str" cm="1">
        <f t="array" ref="E406">IF(C406="","",IFERROR(INDEX(STPP!$E$6:$E$4207,MATCH(C406,STPP!$C$6:$C$4207,0)),"Not Found"))</f>
        <v/>
      </c>
      <c r="F406" s="27" t="str" cm="1">
        <f t="array" ref="F406">IF(C406="","",IFERROR(INDEX(STPP!$F$6:$F$4207,MATCH(C406,STPP!$C$6:$C$4207,0)),"Not Found"))</f>
        <v/>
      </c>
      <c r="G406" s="25" t="str">
        <f>IF(表1[[#This Row],[No Seri]]="","",表1[[#This Row],[Deskripsi Barang]]+表1[[#This Row],[Kuantitas]]-表1[[#This Row],[Satuan]])</f>
        <v/>
      </c>
      <c r="H406" s="28"/>
      <c r="I406" s="25" t="str">
        <f>IF(表1[[#This Row],[Tgl NPBG]]&gt;表1[[#This Row],[Peminta]],表1[[#This Row],[Tgl NPBG]]-表1[[#This Row],[Peminta]],"")</f>
        <v/>
      </c>
      <c r="J406" s="31"/>
    </row>
    <row r="407" s="12" customFormat="1" customHeight="1" spans="2:10">
      <c r="B407" s="25"/>
      <c r="C407" s="25"/>
      <c r="D407" s="26" t="str" cm="1">
        <f t="array" ref="D407">IF(C407="","",IFERROR(INDEX(STPP!$D$6:$D$4207,MATCH(C407,STPP!$C$6:$C$4207,0)),"Not Found"))</f>
        <v/>
      </c>
      <c r="E407" s="27" t="str" cm="1">
        <f t="array" ref="E407">IF(C407="","",IFERROR(INDEX(STPP!$E$6:$E$4207,MATCH(C407,STPP!$C$6:$C$4207,0)),"Not Found"))</f>
        <v/>
      </c>
      <c r="F407" s="27" t="str" cm="1">
        <f t="array" ref="F407">IF(C407="","",IFERROR(INDEX(STPP!$F$6:$F$4207,MATCH(C407,STPP!$C$6:$C$4207,0)),"Not Found"))</f>
        <v/>
      </c>
      <c r="G407" s="25" t="str">
        <f>IF(表1[[#This Row],[No Seri]]="","",表1[[#This Row],[Deskripsi Barang]]+表1[[#This Row],[Kuantitas]]-表1[[#This Row],[Satuan]])</f>
        <v/>
      </c>
      <c r="H407" s="28"/>
      <c r="I407" s="25" t="str">
        <f>IF(表1[[#This Row],[Tgl NPBG]]&gt;表1[[#This Row],[Peminta]],表1[[#This Row],[Tgl NPBG]]-表1[[#This Row],[Peminta]],"")</f>
        <v/>
      </c>
      <c r="J407" s="31"/>
    </row>
    <row r="408" s="12" customFormat="1" customHeight="1" spans="2:10">
      <c r="B408" s="25"/>
      <c r="C408" s="25"/>
      <c r="D408" s="26" t="str" cm="1">
        <f t="array" ref="D408">IF(C408="","",IFERROR(INDEX(STPP!$D$6:$D$4207,MATCH(C408,STPP!$C$6:$C$4207,0)),"Not Found"))</f>
        <v/>
      </c>
      <c r="E408" s="27" t="str" cm="1">
        <f t="array" ref="E408">IF(C408="","",IFERROR(INDEX(STPP!$E$6:$E$4207,MATCH(C408,STPP!$C$6:$C$4207,0)),"Not Found"))</f>
        <v/>
      </c>
      <c r="F408" s="27" t="str" cm="1">
        <f t="array" ref="F408">IF(C408="","",IFERROR(INDEX(STPP!$F$6:$F$4207,MATCH(C408,STPP!$C$6:$C$4207,0)),"Not Found"))</f>
        <v/>
      </c>
      <c r="G408" s="25" t="str">
        <f>IF(表1[[#This Row],[No Seri]]="","",表1[[#This Row],[Deskripsi Barang]]+表1[[#This Row],[Kuantitas]]-表1[[#This Row],[Satuan]])</f>
        <v/>
      </c>
      <c r="H408" s="28"/>
      <c r="I408" s="25" t="str">
        <f>IF(表1[[#This Row],[Tgl NPBG]]&gt;表1[[#This Row],[Peminta]],表1[[#This Row],[Tgl NPBG]]-表1[[#This Row],[Peminta]],"")</f>
        <v/>
      </c>
      <c r="J408" s="31"/>
    </row>
    <row r="409" s="12" customFormat="1" customHeight="1" spans="2:10">
      <c r="B409" s="25"/>
      <c r="C409" s="25"/>
      <c r="D409" s="26" t="str" cm="1">
        <f t="array" ref="D409">IF(C409="","",IFERROR(INDEX(STPP!$D$6:$D$4207,MATCH(C409,STPP!$C$6:$C$4207,0)),"Not Found"))</f>
        <v/>
      </c>
      <c r="E409" s="27" t="str" cm="1">
        <f t="array" ref="E409">IF(C409="","",IFERROR(INDEX(STPP!$E$6:$E$4207,MATCH(C409,STPP!$C$6:$C$4207,0)),"Not Found"))</f>
        <v/>
      </c>
      <c r="F409" s="27" t="str" cm="1">
        <f t="array" ref="F409">IF(C409="","",IFERROR(INDEX(STPP!$F$6:$F$4207,MATCH(C409,STPP!$C$6:$C$4207,0)),"Not Found"))</f>
        <v/>
      </c>
      <c r="G409" s="25" t="str">
        <f>IF(表1[[#This Row],[No Seri]]="","",表1[[#This Row],[Deskripsi Barang]]+表1[[#This Row],[Kuantitas]]-表1[[#This Row],[Satuan]])</f>
        <v/>
      </c>
      <c r="H409" s="28"/>
      <c r="I409" s="25" t="str">
        <f>IF(表1[[#This Row],[Tgl NPBG]]&gt;表1[[#This Row],[Peminta]],表1[[#This Row],[Tgl NPBG]]-表1[[#This Row],[Peminta]],"")</f>
        <v/>
      </c>
      <c r="J409" s="31"/>
    </row>
    <row r="410" s="12" customFormat="1" customHeight="1" spans="2:10">
      <c r="B410" s="25"/>
      <c r="C410" s="25"/>
      <c r="D410" s="26" t="str" cm="1">
        <f t="array" ref="D410">IF(C410="","",IFERROR(INDEX(STPP!$D$6:$D$4207,MATCH(C410,STPP!$C$6:$C$4207,0)),"Not Found"))</f>
        <v/>
      </c>
      <c r="E410" s="27" t="str" cm="1">
        <f t="array" ref="E410">IF(C410="","",IFERROR(INDEX(STPP!$E$6:$E$4207,MATCH(C410,STPP!$C$6:$C$4207,0)),"Not Found"))</f>
        <v/>
      </c>
      <c r="F410" s="27" t="str" cm="1">
        <f t="array" ref="F410">IF(C410="","",IFERROR(INDEX(STPP!$F$6:$F$4207,MATCH(C410,STPP!$C$6:$C$4207,0)),"Not Found"))</f>
        <v/>
      </c>
      <c r="G410" s="25" t="str">
        <f>IF(表1[[#This Row],[No Seri]]="","",表1[[#This Row],[Deskripsi Barang]]+表1[[#This Row],[Kuantitas]]-表1[[#This Row],[Satuan]])</f>
        <v/>
      </c>
      <c r="H410" s="28"/>
      <c r="I410" s="25" t="str">
        <f>IF(表1[[#This Row],[Tgl NPBG]]&gt;表1[[#This Row],[Peminta]],表1[[#This Row],[Tgl NPBG]]-表1[[#This Row],[Peminta]],"")</f>
        <v/>
      </c>
      <c r="J410" s="31"/>
    </row>
    <row r="411" s="12" customFormat="1" customHeight="1" spans="2:10">
      <c r="B411" s="25"/>
      <c r="C411" s="25"/>
      <c r="D411" s="26" t="str" cm="1">
        <f t="array" ref="D411">IF(C411="","",IFERROR(INDEX(STPP!$D$6:$D$4207,MATCH(C411,STPP!$C$6:$C$4207,0)),"Not Found"))</f>
        <v/>
      </c>
      <c r="E411" s="27" t="str" cm="1">
        <f t="array" ref="E411">IF(C411="","",IFERROR(INDEX(STPP!$E$6:$E$4207,MATCH(C411,STPP!$C$6:$C$4207,0)),"Not Found"))</f>
        <v/>
      </c>
      <c r="F411" s="27" t="str" cm="1">
        <f t="array" ref="F411">IF(C411="","",IFERROR(INDEX(STPP!$F$6:$F$4207,MATCH(C411,STPP!$C$6:$C$4207,0)),"Not Found"))</f>
        <v/>
      </c>
      <c r="G411" s="25" t="str">
        <f>IF(表1[[#This Row],[No Seri]]="","",表1[[#This Row],[Deskripsi Barang]]+表1[[#This Row],[Kuantitas]]-表1[[#This Row],[Satuan]])</f>
        <v/>
      </c>
      <c r="H411" s="28"/>
      <c r="I411" s="25" t="str">
        <f>IF(表1[[#This Row],[Tgl NPBG]]&gt;表1[[#This Row],[Peminta]],表1[[#This Row],[Tgl NPBG]]-表1[[#This Row],[Peminta]],"")</f>
        <v/>
      </c>
      <c r="J411" s="31"/>
    </row>
    <row r="412" s="12" customFormat="1" customHeight="1" spans="2:10">
      <c r="B412" s="25"/>
      <c r="C412" s="25"/>
      <c r="D412" s="26" t="str" cm="1">
        <f t="array" ref="D412">IF(C412="","",IFERROR(INDEX(STPP!$D$6:$D$4207,MATCH(C412,STPP!$C$6:$C$4207,0)),"Not Found"))</f>
        <v/>
      </c>
      <c r="E412" s="27" t="str" cm="1">
        <f t="array" ref="E412">IF(C412="","",IFERROR(INDEX(STPP!$E$6:$E$4207,MATCH(C412,STPP!$C$6:$C$4207,0)),"Not Found"))</f>
        <v/>
      </c>
      <c r="F412" s="27" t="str" cm="1">
        <f t="array" ref="F412">IF(C412="","",IFERROR(INDEX(STPP!$F$6:$F$4207,MATCH(C412,STPP!$C$6:$C$4207,0)),"Not Found"))</f>
        <v/>
      </c>
      <c r="G412" s="25" t="str">
        <f>IF(表1[[#This Row],[No Seri]]="","",表1[[#This Row],[Deskripsi Barang]]+表1[[#This Row],[Kuantitas]]-表1[[#This Row],[Satuan]])</f>
        <v/>
      </c>
      <c r="H412" s="28"/>
      <c r="I412" s="25" t="str">
        <f>IF(表1[[#This Row],[Tgl NPBG]]&gt;表1[[#This Row],[Peminta]],表1[[#This Row],[Tgl NPBG]]-表1[[#This Row],[Peminta]],"")</f>
        <v/>
      </c>
      <c r="J412" s="31"/>
    </row>
    <row r="413" s="12" customFormat="1" customHeight="1" spans="2:10">
      <c r="B413" s="25"/>
      <c r="C413" s="25"/>
      <c r="D413" s="26" t="str" cm="1">
        <f t="array" ref="D413">IF(C413="","",IFERROR(INDEX(STPP!$D$6:$D$4207,MATCH(C413,STPP!$C$6:$C$4207,0)),"Not Found"))</f>
        <v/>
      </c>
      <c r="E413" s="27" t="str" cm="1">
        <f t="array" ref="E413">IF(C413="","",IFERROR(INDEX(STPP!$E$6:$E$4207,MATCH(C413,STPP!$C$6:$C$4207,0)),"Not Found"))</f>
        <v/>
      </c>
      <c r="F413" s="27" t="str" cm="1">
        <f t="array" ref="F413">IF(C413="","",IFERROR(INDEX(STPP!$F$6:$F$4207,MATCH(C413,STPP!$C$6:$C$4207,0)),"Not Found"))</f>
        <v/>
      </c>
      <c r="G413" s="25" t="str">
        <f>IF(表1[[#This Row],[No Seri]]="","",表1[[#This Row],[Deskripsi Barang]]+表1[[#This Row],[Kuantitas]]-表1[[#This Row],[Satuan]])</f>
        <v/>
      </c>
      <c r="H413" s="28"/>
      <c r="I413" s="25" t="str">
        <f>IF(表1[[#This Row],[Tgl NPBG]]&gt;表1[[#This Row],[Peminta]],表1[[#This Row],[Tgl NPBG]]-表1[[#This Row],[Peminta]],"")</f>
        <v/>
      </c>
      <c r="J413" s="31"/>
    </row>
    <row r="414" s="12" customFormat="1" customHeight="1" spans="2:10">
      <c r="B414" s="25"/>
      <c r="C414" s="25"/>
      <c r="D414" s="26" t="str" cm="1">
        <f t="array" ref="D414">IF(C414="","",IFERROR(INDEX(STPP!$D$6:$D$4207,MATCH(C414,STPP!$C$6:$C$4207,0)),"Not Found"))</f>
        <v/>
      </c>
      <c r="E414" s="27" t="str" cm="1">
        <f t="array" ref="E414">IF(C414="","",IFERROR(INDEX(STPP!$E$6:$E$4207,MATCH(C414,STPP!$C$6:$C$4207,0)),"Not Found"))</f>
        <v/>
      </c>
      <c r="F414" s="27" t="str" cm="1">
        <f t="array" ref="F414">IF(C414="","",IFERROR(INDEX(STPP!$F$6:$F$4207,MATCH(C414,STPP!$C$6:$C$4207,0)),"Not Found"))</f>
        <v/>
      </c>
      <c r="G414" s="25" t="str">
        <f>IF(表1[[#This Row],[No Seri]]="","",表1[[#This Row],[Deskripsi Barang]]+表1[[#This Row],[Kuantitas]]-表1[[#This Row],[Satuan]])</f>
        <v/>
      </c>
      <c r="H414" s="28"/>
      <c r="I414" s="25" t="str">
        <f>IF(表1[[#This Row],[Tgl NPBG]]&gt;表1[[#This Row],[Peminta]],表1[[#This Row],[Tgl NPBG]]-表1[[#This Row],[Peminta]],"")</f>
        <v/>
      </c>
      <c r="J414" s="31"/>
    </row>
    <row r="415" s="12" customFormat="1" customHeight="1" spans="2:10">
      <c r="B415" s="25"/>
      <c r="C415" s="25"/>
      <c r="D415" s="26" t="str" cm="1">
        <f t="array" ref="D415">IF(C415="","",IFERROR(INDEX(STPP!$D$6:$D$4207,MATCH(C415,STPP!$C$6:$C$4207,0)),"Not Found"))</f>
        <v/>
      </c>
      <c r="E415" s="27" t="str" cm="1">
        <f t="array" ref="E415">IF(C415="","",IFERROR(INDEX(STPP!$E$6:$E$4207,MATCH(C415,STPP!$C$6:$C$4207,0)),"Not Found"))</f>
        <v/>
      </c>
      <c r="F415" s="27" t="str" cm="1">
        <f t="array" ref="F415">IF(C415="","",IFERROR(INDEX(STPP!$F$6:$F$4207,MATCH(C415,STPP!$C$6:$C$4207,0)),"Not Found"))</f>
        <v/>
      </c>
      <c r="G415" s="25" t="str">
        <f>IF(表1[[#This Row],[No Seri]]="","",表1[[#This Row],[Deskripsi Barang]]+表1[[#This Row],[Kuantitas]]-表1[[#This Row],[Satuan]])</f>
        <v/>
      </c>
      <c r="H415" s="28"/>
      <c r="I415" s="25" t="str">
        <f>IF(表1[[#This Row],[Tgl NPBG]]&gt;表1[[#This Row],[Peminta]],表1[[#This Row],[Tgl NPBG]]-表1[[#This Row],[Peminta]],"")</f>
        <v/>
      </c>
      <c r="J415" s="31"/>
    </row>
    <row r="416" s="12" customFormat="1" customHeight="1" spans="2:10">
      <c r="B416" s="25"/>
      <c r="C416" s="25"/>
      <c r="D416" s="26" t="str" cm="1">
        <f t="array" ref="D416">IF(C416="","",IFERROR(INDEX(STPP!$D$6:$D$4207,MATCH(C416,STPP!$C$6:$C$4207,0)),"Not Found"))</f>
        <v/>
      </c>
      <c r="E416" s="27" t="str" cm="1">
        <f t="array" ref="E416">IF(C416="","",IFERROR(INDEX(STPP!$E$6:$E$4207,MATCH(C416,STPP!$C$6:$C$4207,0)),"Not Found"))</f>
        <v/>
      </c>
      <c r="F416" s="27" t="str" cm="1">
        <f t="array" ref="F416">IF(C416="","",IFERROR(INDEX(STPP!$F$6:$F$4207,MATCH(C416,STPP!$C$6:$C$4207,0)),"Not Found"))</f>
        <v/>
      </c>
      <c r="G416" s="25" t="str">
        <f>IF(表1[[#This Row],[No Seri]]="","",表1[[#This Row],[Deskripsi Barang]]+表1[[#This Row],[Kuantitas]]-表1[[#This Row],[Satuan]])</f>
        <v/>
      </c>
      <c r="H416" s="28"/>
      <c r="I416" s="25" t="str">
        <f>IF(表1[[#This Row],[Tgl NPBG]]&gt;表1[[#This Row],[Peminta]],表1[[#This Row],[Tgl NPBG]]-表1[[#This Row],[Peminta]],"")</f>
        <v/>
      </c>
      <c r="J416" s="31"/>
    </row>
    <row r="417" s="12" customFormat="1" customHeight="1" spans="2:10">
      <c r="B417" s="25"/>
      <c r="C417" s="25"/>
      <c r="D417" s="26" t="str" cm="1">
        <f t="array" ref="D417">IF(C417="","",IFERROR(INDEX(STPP!$D$6:$D$4207,MATCH(C417,STPP!$C$6:$C$4207,0)),"Not Found"))</f>
        <v/>
      </c>
      <c r="E417" s="27" t="str" cm="1">
        <f t="array" ref="E417">IF(C417="","",IFERROR(INDEX(STPP!$E$6:$E$4207,MATCH(C417,STPP!$C$6:$C$4207,0)),"Not Found"))</f>
        <v/>
      </c>
      <c r="F417" s="27" t="str" cm="1">
        <f t="array" ref="F417">IF(C417="","",IFERROR(INDEX(STPP!$F$6:$F$4207,MATCH(C417,STPP!$C$6:$C$4207,0)),"Not Found"))</f>
        <v/>
      </c>
      <c r="G417" s="25" t="str">
        <f>IF(表1[[#This Row],[No Seri]]="","",表1[[#This Row],[Deskripsi Barang]]+表1[[#This Row],[Kuantitas]]-表1[[#This Row],[Satuan]])</f>
        <v/>
      </c>
      <c r="H417" s="28"/>
      <c r="I417" s="25" t="str">
        <f>IF(表1[[#This Row],[Tgl NPBG]]&gt;表1[[#This Row],[Peminta]],表1[[#This Row],[Tgl NPBG]]-表1[[#This Row],[Peminta]],"")</f>
        <v/>
      </c>
      <c r="J417" s="31"/>
    </row>
    <row r="418" s="12" customFormat="1" customHeight="1" spans="2:10">
      <c r="B418" s="25"/>
      <c r="C418" s="25"/>
      <c r="D418" s="26" t="str" cm="1">
        <f t="array" ref="D418">IF(C418="","",IFERROR(INDEX(STPP!$D$6:$D$4207,MATCH(C418,STPP!$C$6:$C$4207,0)),"Not Found"))</f>
        <v/>
      </c>
      <c r="E418" s="27" t="str" cm="1">
        <f t="array" ref="E418">IF(C418="","",IFERROR(INDEX(STPP!$E$6:$E$4207,MATCH(C418,STPP!$C$6:$C$4207,0)),"Not Found"))</f>
        <v/>
      </c>
      <c r="F418" s="27" t="str" cm="1">
        <f t="array" ref="F418">IF(C418="","",IFERROR(INDEX(STPP!$F$6:$F$4207,MATCH(C418,STPP!$C$6:$C$4207,0)),"Not Found"))</f>
        <v/>
      </c>
      <c r="G418" s="25" t="str">
        <f>IF(表1[[#This Row],[No Seri]]="","",表1[[#This Row],[Deskripsi Barang]]+表1[[#This Row],[Kuantitas]]-表1[[#This Row],[Satuan]])</f>
        <v/>
      </c>
      <c r="H418" s="28"/>
      <c r="I418" s="25" t="str">
        <f>IF(表1[[#This Row],[Tgl NPBG]]&gt;表1[[#This Row],[Peminta]],表1[[#This Row],[Tgl NPBG]]-表1[[#This Row],[Peminta]],"")</f>
        <v/>
      </c>
      <c r="J418" s="31"/>
    </row>
    <row r="419" s="12" customFormat="1" customHeight="1" spans="2:10">
      <c r="B419" s="25"/>
      <c r="C419" s="25"/>
      <c r="D419" s="26" t="str" cm="1">
        <f t="array" ref="D419">IF(C419="","",IFERROR(INDEX(STPP!$D$6:$D$4207,MATCH(C419,STPP!$C$6:$C$4207,0)),"Not Found"))</f>
        <v/>
      </c>
      <c r="E419" s="27" t="str" cm="1">
        <f t="array" ref="E419">IF(C419="","",IFERROR(INDEX(STPP!$E$6:$E$4207,MATCH(C419,STPP!$C$6:$C$4207,0)),"Not Found"))</f>
        <v/>
      </c>
      <c r="F419" s="27" t="str" cm="1">
        <f t="array" ref="F419">IF(C419="","",IFERROR(INDEX(STPP!$F$6:$F$4207,MATCH(C419,STPP!$C$6:$C$4207,0)),"Not Found"))</f>
        <v/>
      </c>
      <c r="G419" s="25" t="str">
        <f>IF(表1[[#This Row],[No Seri]]="","",表1[[#This Row],[Deskripsi Barang]]+表1[[#This Row],[Kuantitas]]-表1[[#This Row],[Satuan]])</f>
        <v/>
      </c>
      <c r="H419" s="28"/>
      <c r="I419" s="25" t="str">
        <f>IF(表1[[#This Row],[Tgl NPBG]]&gt;表1[[#This Row],[Peminta]],表1[[#This Row],[Tgl NPBG]]-表1[[#This Row],[Peminta]],"")</f>
        <v/>
      </c>
      <c r="J419" s="31"/>
    </row>
    <row r="420" s="12" customFormat="1" customHeight="1" spans="2:10">
      <c r="B420" s="25"/>
      <c r="C420" s="25"/>
      <c r="D420" s="26" t="str" cm="1">
        <f t="array" ref="D420">IF(C420="","",IFERROR(INDEX(STPP!$D$6:$D$4207,MATCH(C420,STPP!$C$6:$C$4207,0)),"Not Found"))</f>
        <v/>
      </c>
      <c r="E420" s="27" t="str" cm="1">
        <f t="array" ref="E420">IF(C420="","",IFERROR(INDEX(STPP!$E$6:$E$4207,MATCH(C420,STPP!$C$6:$C$4207,0)),"Not Found"))</f>
        <v/>
      </c>
      <c r="F420" s="27" t="str" cm="1">
        <f t="array" ref="F420">IF(C420="","",IFERROR(INDEX(STPP!$F$6:$F$4207,MATCH(C420,STPP!$C$6:$C$4207,0)),"Not Found"))</f>
        <v/>
      </c>
      <c r="G420" s="25" t="str">
        <f>IF(表1[[#This Row],[No Seri]]="","",表1[[#This Row],[Deskripsi Barang]]+表1[[#This Row],[Kuantitas]]-表1[[#This Row],[Satuan]])</f>
        <v/>
      </c>
      <c r="H420" s="28"/>
      <c r="I420" s="25" t="str">
        <f>IF(表1[[#This Row],[Tgl NPBG]]&gt;表1[[#This Row],[Peminta]],表1[[#This Row],[Tgl NPBG]]-表1[[#This Row],[Peminta]],"")</f>
        <v/>
      </c>
      <c r="J420" s="31"/>
    </row>
    <row r="421" s="12" customFormat="1" customHeight="1" spans="2:10">
      <c r="B421" s="25"/>
      <c r="C421" s="25"/>
      <c r="D421" s="26" t="str" cm="1">
        <f t="array" ref="D421">IF(C421="","",IFERROR(INDEX(STPP!$D$6:$D$4207,MATCH(C421,STPP!$C$6:$C$4207,0)),"Not Found"))</f>
        <v/>
      </c>
      <c r="E421" s="27" t="str" cm="1">
        <f t="array" ref="E421">IF(C421="","",IFERROR(INDEX(STPP!$E$6:$E$4207,MATCH(C421,STPP!$C$6:$C$4207,0)),"Not Found"))</f>
        <v/>
      </c>
      <c r="F421" s="27" t="str" cm="1">
        <f t="array" ref="F421">IF(C421="","",IFERROR(INDEX(STPP!$F$6:$F$4207,MATCH(C421,STPP!$C$6:$C$4207,0)),"Not Found"))</f>
        <v/>
      </c>
      <c r="G421" s="25" t="str">
        <f>IF(表1[[#This Row],[No Seri]]="","",表1[[#This Row],[Deskripsi Barang]]+表1[[#This Row],[Kuantitas]]-表1[[#This Row],[Satuan]])</f>
        <v/>
      </c>
      <c r="H421" s="28"/>
      <c r="I421" s="25" t="str">
        <f>IF(表1[[#This Row],[Tgl NPBG]]&gt;表1[[#This Row],[Peminta]],表1[[#This Row],[Tgl NPBG]]-表1[[#This Row],[Peminta]],"")</f>
        <v/>
      </c>
      <c r="J421" s="31"/>
    </row>
    <row r="422" s="12" customFormat="1" customHeight="1" spans="2:10">
      <c r="B422" s="25"/>
      <c r="C422" s="25"/>
      <c r="D422" s="26" t="str" cm="1">
        <f t="array" ref="D422">IF(C422="","",IFERROR(INDEX(STPP!$D$6:$D$4207,MATCH(C422,STPP!$C$6:$C$4207,0)),"Not Found"))</f>
        <v/>
      </c>
      <c r="E422" s="27" t="str" cm="1">
        <f t="array" ref="E422">IF(C422="","",IFERROR(INDEX(STPP!$E$6:$E$4207,MATCH(C422,STPP!$C$6:$C$4207,0)),"Not Found"))</f>
        <v/>
      </c>
      <c r="F422" s="27" t="str" cm="1">
        <f t="array" ref="F422">IF(C422="","",IFERROR(INDEX(STPP!$F$6:$F$4207,MATCH(C422,STPP!$C$6:$C$4207,0)),"Not Found"))</f>
        <v/>
      </c>
      <c r="G422" s="25" t="str">
        <f>IF(表1[[#This Row],[No Seri]]="","",表1[[#This Row],[Deskripsi Barang]]+表1[[#This Row],[Kuantitas]]-表1[[#This Row],[Satuan]])</f>
        <v/>
      </c>
      <c r="H422" s="28"/>
      <c r="I422" s="25" t="str">
        <f>IF(表1[[#This Row],[Tgl NPBG]]&gt;表1[[#This Row],[Peminta]],表1[[#This Row],[Tgl NPBG]]-表1[[#This Row],[Peminta]],"")</f>
        <v/>
      </c>
      <c r="J422" s="31"/>
    </row>
    <row r="423" s="12" customFormat="1" customHeight="1" spans="2:10">
      <c r="B423" s="25"/>
      <c r="C423" s="25"/>
      <c r="D423" s="26" t="str" cm="1">
        <f t="array" ref="D423">IF(C423="","",IFERROR(INDEX(STPP!$D$6:$D$4207,MATCH(C423,STPP!$C$6:$C$4207,0)),"Not Found"))</f>
        <v/>
      </c>
      <c r="E423" s="27" t="str" cm="1">
        <f t="array" ref="E423">IF(C423="","",IFERROR(INDEX(STPP!$E$6:$E$4207,MATCH(C423,STPP!$C$6:$C$4207,0)),"Not Found"))</f>
        <v/>
      </c>
      <c r="F423" s="27" t="str" cm="1">
        <f t="array" ref="F423">IF(C423="","",IFERROR(INDEX(STPP!$F$6:$F$4207,MATCH(C423,STPP!$C$6:$C$4207,0)),"Not Found"))</f>
        <v/>
      </c>
      <c r="G423" s="25" t="str">
        <f>IF(表1[[#This Row],[No Seri]]="","",表1[[#This Row],[Deskripsi Barang]]+表1[[#This Row],[Kuantitas]]-表1[[#This Row],[Satuan]])</f>
        <v/>
      </c>
      <c r="H423" s="28"/>
      <c r="I423" s="25" t="str">
        <f>IF(表1[[#This Row],[Tgl NPBG]]&gt;表1[[#This Row],[Peminta]],表1[[#This Row],[Tgl NPBG]]-表1[[#This Row],[Peminta]],"")</f>
        <v/>
      </c>
      <c r="J423" s="31"/>
    </row>
    <row r="424" s="12" customFormat="1" customHeight="1" spans="2:10">
      <c r="B424" s="25"/>
      <c r="C424" s="25"/>
      <c r="D424" s="26" t="str" cm="1">
        <f t="array" ref="D424">IF(C424="","",IFERROR(INDEX(STPP!$D$6:$D$4207,MATCH(C424,STPP!$C$6:$C$4207,0)),"Not Found"))</f>
        <v/>
      </c>
      <c r="E424" s="27" t="str" cm="1">
        <f t="array" ref="E424">IF(C424="","",IFERROR(INDEX(STPP!$E$6:$E$4207,MATCH(C424,STPP!$C$6:$C$4207,0)),"Not Found"))</f>
        <v/>
      </c>
      <c r="F424" s="27" t="str" cm="1">
        <f t="array" ref="F424">IF(C424="","",IFERROR(INDEX(STPP!$F$6:$F$4207,MATCH(C424,STPP!$C$6:$C$4207,0)),"Not Found"))</f>
        <v/>
      </c>
      <c r="G424" s="25" t="str">
        <f>IF(表1[[#This Row],[No Seri]]="","",表1[[#This Row],[Deskripsi Barang]]+表1[[#This Row],[Kuantitas]]-表1[[#This Row],[Satuan]])</f>
        <v/>
      </c>
      <c r="H424" s="28"/>
      <c r="I424" s="25" t="str">
        <f>IF(表1[[#This Row],[Tgl NPBG]]&gt;表1[[#This Row],[Peminta]],表1[[#This Row],[Tgl NPBG]]-表1[[#This Row],[Peminta]],"")</f>
        <v/>
      </c>
      <c r="J424" s="31"/>
    </row>
    <row r="425" s="12" customFormat="1" customHeight="1" spans="2:10">
      <c r="B425" s="25"/>
      <c r="C425" s="25"/>
      <c r="D425" s="26" t="str" cm="1">
        <f t="array" ref="D425">IF(C425="","",IFERROR(INDEX(STPP!$D$6:$D$4207,MATCH(C425,STPP!$C$6:$C$4207,0)),"Not Found"))</f>
        <v/>
      </c>
      <c r="E425" s="27" t="str" cm="1">
        <f t="array" ref="E425">IF(C425="","",IFERROR(INDEX(STPP!$E$6:$E$4207,MATCH(C425,STPP!$C$6:$C$4207,0)),"Not Found"))</f>
        <v/>
      </c>
      <c r="F425" s="27" t="str" cm="1">
        <f t="array" ref="F425">IF(C425="","",IFERROR(INDEX(STPP!$F$6:$F$4207,MATCH(C425,STPP!$C$6:$C$4207,0)),"Not Found"))</f>
        <v/>
      </c>
      <c r="G425" s="25" t="str">
        <f>IF(表1[[#This Row],[No Seri]]="","",表1[[#This Row],[Deskripsi Barang]]+表1[[#This Row],[Kuantitas]]-表1[[#This Row],[Satuan]])</f>
        <v/>
      </c>
      <c r="H425" s="28"/>
      <c r="I425" s="25" t="str">
        <f>IF(表1[[#This Row],[Tgl NPBG]]&gt;表1[[#This Row],[Peminta]],表1[[#This Row],[Tgl NPBG]]-表1[[#This Row],[Peminta]],"")</f>
        <v/>
      </c>
      <c r="J425" s="31"/>
    </row>
    <row r="426" s="12" customFormat="1" customHeight="1" spans="2:10">
      <c r="B426" s="25"/>
      <c r="C426" s="25"/>
      <c r="D426" s="26" t="str" cm="1">
        <f t="array" ref="D426">IF(C426="","",IFERROR(INDEX(STPP!$D$6:$D$4207,MATCH(C426,STPP!$C$6:$C$4207,0)),"Not Found"))</f>
        <v/>
      </c>
      <c r="E426" s="27" t="str" cm="1">
        <f t="array" ref="E426">IF(C426="","",IFERROR(INDEX(STPP!$E$6:$E$4207,MATCH(C426,STPP!$C$6:$C$4207,0)),"Not Found"))</f>
        <v/>
      </c>
      <c r="F426" s="27" t="str" cm="1">
        <f t="array" ref="F426">IF(C426="","",IFERROR(INDEX(STPP!$F$6:$F$4207,MATCH(C426,STPP!$C$6:$C$4207,0)),"Not Found"))</f>
        <v/>
      </c>
      <c r="G426" s="25" t="str">
        <f>IF(表1[[#This Row],[No Seri]]="","",表1[[#This Row],[Deskripsi Barang]]+表1[[#This Row],[Kuantitas]]-表1[[#This Row],[Satuan]])</f>
        <v/>
      </c>
      <c r="H426" s="28"/>
      <c r="I426" s="25" t="str">
        <f>IF(表1[[#This Row],[Tgl NPBG]]&gt;表1[[#This Row],[Peminta]],表1[[#This Row],[Tgl NPBG]]-表1[[#This Row],[Peminta]],"")</f>
        <v/>
      </c>
      <c r="J426" s="31"/>
    </row>
    <row r="427" s="12" customFormat="1" customHeight="1" spans="2:10">
      <c r="B427" s="25"/>
      <c r="C427" s="25"/>
      <c r="D427" s="26" t="str" cm="1">
        <f t="array" ref="D427">IF(C427="","",IFERROR(INDEX(STPP!$D$6:$D$4207,MATCH(C427,STPP!$C$6:$C$4207,0)),"Not Found"))</f>
        <v/>
      </c>
      <c r="E427" s="27" t="str" cm="1">
        <f t="array" ref="E427">IF(C427="","",IFERROR(INDEX(STPP!$E$6:$E$4207,MATCH(C427,STPP!$C$6:$C$4207,0)),"Not Found"))</f>
        <v/>
      </c>
      <c r="F427" s="27" t="str" cm="1">
        <f t="array" ref="F427">IF(C427="","",IFERROR(INDEX(STPP!$F$6:$F$4207,MATCH(C427,STPP!$C$6:$C$4207,0)),"Not Found"))</f>
        <v/>
      </c>
      <c r="G427" s="25" t="str">
        <f>IF(表1[[#This Row],[No Seri]]="","",表1[[#This Row],[Deskripsi Barang]]+表1[[#This Row],[Kuantitas]]-表1[[#This Row],[Satuan]])</f>
        <v/>
      </c>
      <c r="H427" s="28"/>
      <c r="I427" s="25" t="str">
        <f>IF(表1[[#This Row],[Tgl NPBG]]&gt;表1[[#This Row],[Peminta]],表1[[#This Row],[Tgl NPBG]]-表1[[#This Row],[Peminta]],"")</f>
        <v/>
      </c>
      <c r="J427" s="31"/>
    </row>
    <row r="428" s="12" customFormat="1" customHeight="1" spans="2:10">
      <c r="B428" s="25"/>
      <c r="C428" s="25"/>
      <c r="D428" s="26" t="str" cm="1">
        <f t="array" ref="D428">IF(C428="","",IFERROR(INDEX(STPP!$D$6:$D$4207,MATCH(C428,STPP!$C$6:$C$4207,0)),"Not Found"))</f>
        <v/>
      </c>
      <c r="E428" s="27" t="str" cm="1">
        <f t="array" ref="E428">IF(C428="","",IFERROR(INDEX(STPP!$E$6:$E$4207,MATCH(C428,STPP!$C$6:$C$4207,0)),"Not Found"))</f>
        <v/>
      </c>
      <c r="F428" s="27" t="str" cm="1">
        <f t="array" ref="F428">IF(C428="","",IFERROR(INDEX(STPP!$F$6:$F$4207,MATCH(C428,STPP!$C$6:$C$4207,0)),"Not Found"))</f>
        <v/>
      </c>
      <c r="G428" s="25" t="str">
        <f>IF(表1[[#This Row],[No Seri]]="","",表1[[#This Row],[Deskripsi Barang]]+表1[[#This Row],[Kuantitas]]-表1[[#This Row],[Satuan]])</f>
        <v/>
      </c>
      <c r="H428" s="28"/>
      <c r="I428" s="25" t="str">
        <f>IF(表1[[#This Row],[Tgl NPBG]]&gt;表1[[#This Row],[Peminta]],表1[[#This Row],[Tgl NPBG]]-表1[[#This Row],[Peminta]],"")</f>
        <v/>
      </c>
      <c r="J428" s="31"/>
    </row>
    <row r="429" s="12" customFormat="1" customHeight="1" spans="2:10">
      <c r="B429" s="25"/>
      <c r="C429" s="25"/>
      <c r="D429" s="26" t="str" cm="1">
        <f t="array" ref="D429">IF(C429="","",IFERROR(INDEX(STPP!$D$6:$D$4207,MATCH(C429,STPP!$C$6:$C$4207,0)),"Not Found"))</f>
        <v/>
      </c>
      <c r="E429" s="27" t="str" cm="1">
        <f t="array" ref="E429">IF(C429="","",IFERROR(INDEX(STPP!$E$6:$E$4207,MATCH(C429,STPP!$C$6:$C$4207,0)),"Not Found"))</f>
        <v/>
      </c>
      <c r="F429" s="27" t="str" cm="1">
        <f t="array" ref="F429">IF(C429="","",IFERROR(INDEX(STPP!$F$6:$F$4207,MATCH(C429,STPP!$C$6:$C$4207,0)),"Not Found"))</f>
        <v/>
      </c>
      <c r="G429" s="25" t="str">
        <f>IF(表1[[#This Row],[No Seri]]="","",表1[[#This Row],[Deskripsi Barang]]+表1[[#This Row],[Kuantitas]]-表1[[#This Row],[Satuan]])</f>
        <v/>
      </c>
      <c r="H429" s="28"/>
      <c r="I429" s="25" t="str">
        <f>IF(表1[[#This Row],[Tgl NPBG]]&gt;表1[[#This Row],[Peminta]],表1[[#This Row],[Tgl NPBG]]-表1[[#This Row],[Peminta]],"")</f>
        <v/>
      </c>
      <c r="J429" s="31"/>
    </row>
    <row r="430" s="12" customFormat="1" customHeight="1" spans="2:10">
      <c r="B430" s="25"/>
      <c r="C430" s="25"/>
      <c r="D430" s="26" t="str" cm="1">
        <f t="array" ref="D430">IF(C430="","",IFERROR(INDEX(STPP!$D$6:$D$4207,MATCH(C430,STPP!$C$6:$C$4207,0)),"Not Found"))</f>
        <v/>
      </c>
      <c r="E430" s="27" t="str" cm="1">
        <f t="array" ref="E430">IF(C430="","",IFERROR(INDEX(STPP!$E$6:$E$4207,MATCH(C430,STPP!$C$6:$C$4207,0)),"Not Found"))</f>
        <v/>
      </c>
      <c r="F430" s="27" t="str" cm="1">
        <f t="array" ref="F430">IF(C430="","",IFERROR(INDEX(STPP!$F$6:$F$4207,MATCH(C430,STPP!$C$6:$C$4207,0)),"Not Found"))</f>
        <v/>
      </c>
      <c r="G430" s="25" t="str">
        <f>IF(表1[[#This Row],[No Seri]]="","",表1[[#This Row],[Deskripsi Barang]]+表1[[#This Row],[Kuantitas]]-表1[[#This Row],[Satuan]])</f>
        <v/>
      </c>
      <c r="H430" s="28"/>
      <c r="I430" s="25" t="str">
        <f>IF(表1[[#This Row],[Tgl NPBG]]&gt;表1[[#This Row],[Peminta]],表1[[#This Row],[Tgl NPBG]]-表1[[#This Row],[Peminta]],"")</f>
        <v/>
      </c>
      <c r="J430" s="31"/>
    </row>
    <row r="431" s="12" customFormat="1" customHeight="1" spans="2:10">
      <c r="B431" s="25"/>
      <c r="C431" s="25"/>
      <c r="D431" s="26" t="str" cm="1">
        <f t="array" ref="D431">IF(C431="","",IFERROR(INDEX(STPP!$D$6:$D$4207,MATCH(C431,STPP!$C$6:$C$4207,0)),"Not Found"))</f>
        <v/>
      </c>
      <c r="E431" s="27" t="str" cm="1">
        <f t="array" ref="E431">IF(C431="","",IFERROR(INDEX(STPP!$E$6:$E$4207,MATCH(C431,STPP!$C$6:$C$4207,0)),"Not Found"))</f>
        <v/>
      </c>
      <c r="F431" s="27" t="str" cm="1">
        <f t="array" ref="F431">IF(C431="","",IFERROR(INDEX(STPP!$F$6:$F$4207,MATCH(C431,STPP!$C$6:$C$4207,0)),"Not Found"))</f>
        <v/>
      </c>
      <c r="G431" s="25" t="str">
        <f>IF(表1[[#This Row],[No Seri]]="","",表1[[#This Row],[Deskripsi Barang]]+表1[[#This Row],[Kuantitas]]-表1[[#This Row],[Satuan]])</f>
        <v/>
      </c>
      <c r="H431" s="28"/>
      <c r="I431" s="25" t="str">
        <f>IF(表1[[#This Row],[Tgl NPBG]]&gt;表1[[#This Row],[Peminta]],表1[[#This Row],[Tgl NPBG]]-表1[[#This Row],[Peminta]],"")</f>
        <v/>
      </c>
      <c r="J431" s="31"/>
    </row>
    <row r="432" s="12" customFormat="1" customHeight="1" spans="2:10">
      <c r="B432" s="25"/>
      <c r="C432" s="25"/>
      <c r="D432" s="26" t="str" cm="1">
        <f t="array" ref="D432">IF(C432="","",IFERROR(INDEX(STPP!$D$6:$D$4207,MATCH(C432,STPP!$C$6:$C$4207,0)),"Not Found"))</f>
        <v/>
      </c>
      <c r="E432" s="27" t="str" cm="1">
        <f t="array" ref="E432">IF(C432="","",IFERROR(INDEX(STPP!$E$6:$E$4207,MATCH(C432,STPP!$C$6:$C$4207,0)),"Not Found"))</f>
        <v/>
      </c>
      <c r="F432" s="27" t="str" cm="1">
        <f t="array" ref="F432">IF(C432="","",IFERROR(INDEX(STPP!$F$6:$F$4207,MATCH(C432,STPP!$C$6:$C$4207,0)),"Not Found"))</f>
        <v/>
      </c>
      <c r="G432" s="25" t="str">
        <f>IF(表1[[#This Row],[No Seri]]="","",表1[[#This Row],[Deskripsi Barang]]+表1[[#This Row],[Kuantitas]]-表1[[#This Row],[Satuan]])</f>
        <v/>
      </c>
      <c r="H432" s="28"/>
      <c r="I432" s="25" t="str">
        <f>IF(表1[[#This Row],[Tgl NPBG]]&gt;表1[[#This Row],[Peminta]],表1[[#This Row],[Tgl NPBG]]-表1[[#This Row],[Peminta]],"")</f>
        <v/>
      </c>
      <c r="J432" s="31"/>
    </row>
    <row r="433" s="12" customFormat="1" customHeight="1" spans="2:10">
      <c r="B433" s="25"/>
      <c r="C433" s="25"/>
      <c r="D433" s="26" t="str" cm="1">
        <f t="array" ref="D433">IF(C433="","",IFERROR(INDEX(STPP!$D$6:$D$4207,MATCH(C433,STPP!$C$6:$C$4207,0)),"Not Found"))</f>
        <v/>
      </c>
      <c r="E433" s="27" t="str" cm="1">
        <f t="array" ref="E433">IF(C433="","",IFERROR(INDEX(STPP!$E$6:$E$4207,MATCH(C433,STPP!$C$6:$C$4207,0)),"Not Found"))</f>
        <v/>
      </c>
      <c r="F433" s="27" t="str" cm="1">
        <f t="array" ref="F433">IF(C433="","",IFERROR(INDEX(STPP!$F$6:$F$4207,MATCH(C433,STPP!$C$6:$C$4207,0)),"Not Found"))</f>
        <v/>
      </c>
      <c r="G433" s="25" t="str">
        <f>IF(表1[[#This Row],[No Seri]]="","",表1[[#This Row],[Deskripsi Barang]]+表1[[#This Row],[Kuantitas]]-表1[[#This Row],[Satuan]])</f>
        <v/>
      </c>
      <c r="H433" s="28"/>
      <c r="I433" s="25" t="str">
        <f>IF(表1[[#This Row],[Tgl NPBG]]&gt;表1[[#This Row],[Peminta]],表1[[#This Row],[Tgl NPBG]]-表1[[#This Row],[Peminta]],"")</f>
        <v/>
      </c>
      <c r="J433" s="31"/>
    </row>
    <row r="434" s="12" customFormat="1" customHeight="1" spans="2:10">
      <c r="B434" s="25"/>
      <c r="C434" s="25"/>
      <c r="D434" s="26" t="str" cm="1">
        <f t="array" ref="D434">IF(C434="","",IFERROR(INDEX(STPP!$D$6:$D$4207,MATCH(C434,STPP!$C$6:$C$4207,0)),"Not Found"))</f>
        <v/>
      </c>
      <c r="E434" s="27" t="str" cm="1">
        <f t="array" ref="E434">IF(C434="","",IFERROR(INDEX(STPP!$E$6:$E$4207,MATCH(C434,STPP!$C$6:$C$4207,0)),"Not Found"))</f>
        <v/>
      </c>
      <c r="F434" s="27" t="str" cm="1">
        <f t="array" ref="F434">IF(C434="","",IFERROR(INDEX(STPP!$F$6:$F$4207,MATCH(C434,STPP!$C$6:$C$4207,0)),"Not Found"))</f>
        <v/>
      </c>
      <c r="G434" s="25" t="str">
        <f>IF(表1[[#This Row],[No Seri]]="","",表1[[#This Row],[Deskripsi Barang]]+表1[[#This Row],[Kuantitas]]-表1[[#This Row],[Satuan]])</f>
        <v/>
      </c>
      <c r="H434" s="28"/>
      <c r="I434" s="25" t="str">
        <f>IF(表1[[#This Row],[Tgl NPBG]]&gt;表1[[#This Row],[Peminta]],表1[[#This Row],[Tgl NPBG]]-表1[[#This Row],[Peminta]],"")</f>
        <v/>
      </c>
      <c r="J434" s="31"/>
    </row>
    <row r="435" s="12" customFormat="1" customHeight="1" spans="2:10">
      <c r="B435" s="25"/>
      <c r="C435" s="25"/>
      <c r="D435" s="26" t="str" cm="1">
        <f t="array" ref="D435">IF(C435="","",IFERROR(INDEX(STPP!$D$6:$D$4207,MATCH(C435,STPP!$C$6:$C$4207,0)),"Not Found"))</f>
        <v/>
      </c>
      <c r="E435" s="27" t="str" cm="1">
        <f t="array" ref="E435">IF(C435="","",IFERROR(INDEX(STPP!$E$6:$E$4207,MATCH(C435,STPP!$C$6:$C$4207,0)),"Not Found"))</f>
        <v/>
      </c>
      <c r="F435" s="27" t="str" cm="1">
        <f t="array" ref="F435">IF(C435="","",IFERROR(INDEX(STPP!$F$6:$F$4207,MATCH(C435,STPP!$C$6:$C$4207,0)),"Not Found"))</f>
        <v/>
      </c>
      <c r="G435" s="25" t="str">
        <f>IF(表1[[#This Row],[No Seri]]="","",表1[[#This Row],[Deskripsi Barang]]+表1[[#This Row],[Kuantitas]]-表1[[#This Row],[Satuan]])</f>
        <v/>
      </c>
      <c r="H435" s="28"/>
      <c r="I435" s="25" t="str">
        <f>IF(表1[[#This Row],[Tgl NPBG]]&gt;表1[[#This Row],[Peminta]],表1[[#This Row],[Tgl NPBG]]-表1[[#This Row],[Peminta]],"")</f>
        <v/>
      </c>
      <c r="J435" s="31"/>
    </row>
    <row r="436" s="12" customFormat="1" customHeight="1" spans="2:10">
      <c r="B436" s="25"/>
      <c r="C436" s="25"/>
      <c r="D436" s="26" t="str" cm="1">
        <f t="array" ref="D436">IF(C436="","",IFERROR(INDEX(STPP!$D$6:$D$4207,MATCH(C436,STPP!$C$6:$C$4207,0)),"Not Found"))</f>
        <v/>
      </c>
      <c r="E436" s="27" t="str" cm="1">
        <f t="array" ref="E436">IF(C436="","",IFERROR(INDEX(STPP!$E$6:$E$4207,MATCH(C436,STPP!$C$6:$C$4207,0)),"Not Found"))</f>
        <v/>
      </c>
      <c r="F436" s="27" t="str" cm="1">
        <f t="array" ref="F436">IF(C436="","",IFERROR(INDEX(STPP!$F$6:$F$4207,MATCH(C436,STPP!$C$6:$C$4207,0)),"Not Found"))</f>
        <v/>
      </c>
      <c r="G436" s="25" t="str">
        <f>IF(表1[[#This Row],[No Seri]]="","",表1[[#This Row],[Deskripsi Barang]]+表1[[#This Row],[Kuantitas]]-表1[[#This Row],[Satuan]])</f>
        <v/>
      </c>
      <c r="H436" s="28"/>
      <c r="I436" s="25" t="str">
        <f>IF(表1[[#This Row],[Tgl NPBG]]&gt;表1[[#This Row],[Peminta]],表1[[#This Row],[Tgl NPBG]]-表1[[#This Row],[Peminta]],"")</f>
        <v/>
      </c>
      <c r="J436" s="31"/>
    </row>
    <row r="437" s="12" customFormat="1" customHeight="1" spans="2:10">
      <c r="B437" s="25"/>
      <c r="C437" s="25"/>
      <c r="D437" s="26" t="str" cm="1">
        <f t="array" ref="D437">IF(C437="","",IFERROR(INDEX(STPP!$D$6:$D$4207,MATCH(C437,STPP!$C$6:$C$4207,0)),"Not Found"))</f>
        <v/>
      </c>
      <c r="E437" s="27" t="str" cm="1">
        <f t="array" ref="E437">IF(C437="","",IFERROR(INDEX(STPP!$E$6:$E$4207,MATCH(C437,STPP!$C$6:$C$4207,0)),"Not Found"))</f>
        <v/>
      </c>
      <c r="F437" s="27" t="str" cm="1">
        <f t="array" ref="F437">IF(C437="","",IFERROR(INDEX(STPP!$F$6:$F$4207,MATCH(C437,STPP!$C$6:$C$4207,0)),"Not Found"))</f>
        <v/>
      </c>
      <c r="G437" s="25" t="str">
        <f>IF(表1[[#This Row],[No Seri]]="","",表1[[#This Row],[Deskripsi Barang]]+表1[[#This Row],[Kuantitas]]-表1[[#This Row],[Satuan]])</f>
        <v/>
      </c>
      <c r="H437" s="28"/>
      <c r="I437" s="25" t="str">
        <f>IF(表1[[#This Row],[Tgl NPBG]]&gt;表1[[#This Row],[Peminta]],表1[[#This Row],[Tgl NPBG]]-表1[[#This Row],[Peminta]],"")</f>
        <v/>
      </c>
      <c r="J437" s="31"/>
    </row>
    <row r="438" s="12" customFormat="1" customHeight="1" spans="2:10">
      <c r="B438" s="25"/>
      <c r="C438" s="25"/>
      <c r="D438" s="26" t="str" cm="1">
        <f t="array" ref="D438">IF(C438="","",IFERROR(INDEX(STPP!$D$6:$D$4207,MATCH(C438,STPP!$C$6:$C$4207,0)),"Not Found"))</f>
        <v/>
      </c>
      <c r="E438" s="27" t="str" cm="1">
        <f t="array" ref="E438">IF(C438="","",IFERROR(INDEX(STPP!$E$6:$E$4207,MATCH(C438,STPP!$C$6:$C$4207,0)),"Not Found"))</f>
        <v/>
      </c>
      <c r="F438" s="27" t="str" cm="1">
        <f t="array" ref="F438">IF(C438="","",IFERROR(INDEX(STPP!$F$6:$F$4207,MATCH(C438,STPP!$C$6:$C$4207,0)),"Not Found"))</f>
        <v/>
      </c>
      <c r="G438" s="25" t="str">
        <f>IF(表1[[#This Row],[No Seri]]="","",表1[[#This Row],[Deskripsi Barang]]+表1[[#This Row],[Kuantitas]]-表1[[#This Row],[Satuan]])</f>
        <v/>
      </c>
      <c r="H438" s="28"/>
      <c r="I438" s="25" t="str">
        <f>IF(表1[[#This Row],[Tgl NPBG]]&gt;表1[[#This Row],[Peminta]],表1[[#This Row],[Tgl NPBG]]-表1[[#This Row],[Peminta]],"")</f>
        <v/>
      </c>
      <c r="J438" s="31"/>
    </row>
    <row r="439" s="12" customFormat="1" customHeight="1" spans="2:10">
      <c r="B439" s="25"/>
      <c r="C439" s="25"/>
      <c r="D439" s="26" t="str" cm="1">
        <f t="array" ref="D439">IF(C439="","",IFERROR(INDEX(STPP!$D$6:$D$4207,MATCH(C439,STPP!$C$6:$C$4207,0)),"Not Found"))</f>
        <v/>
      </c>
      <c r="E439" s="27" t="str" cm="1">
        <f t="array" ref="E439">IF(C439="","",IFERROR(INDEX(STPP!$E$6:$E$4207,MATCH(C439,STPP!$C$6:$C$4207,0)),"Not Found"))</f>
        <v/>
      </c>
      <c r="F439" s="27" t="str" cm="1">
        <f t="array" ref="F439">IF(C439="","",IFERROR(INDEX(STPP!$F$6:$F$4207,MATCH(C439,STPP!$C$6:$C$4207,0)),"Not Found"))</f>
        <v/>
      </c>
      <c r="G439" s="25" t="str">
        <f>IF(表1[[#This Row],[No Seri]]="","",表1[[#This Row],[Deskripsi Barang]]+表1[[#This Row],[Kuantitas]]-表1[[#This Row],[Satuan]])</f>
        <v/>
      </c>
      <c r="H439" s="28"/>
      <c r="I439" s="25" t="str">
        <f>IF(表1[[#This Row],[Tgl NPBG]]&gt;表1[[#This Row],[Peminta]],表1[[#This Row],[Tgl NPBG]]-表1[[#This Row],[Peminta]],"")</f>
        <v/>
      </c>
      <c r="J439" s="31"/>
    </row>
    <row r="440" s="12" customFormat="1" customHeight="1" spans="2:10">
      <c r="B440" s="25"/>
      <c r="C440" s="25"/>
      <c r="D440" s="26" t="str" cm="1">
        <f t="array" ref="D440">IF(C440="","",IFERROR(INDEX(STPP!$D$6:$D$4207,MATCH(C440,STPP!$C$6:$C$4207,0)),"Not Found"))</f>
        <v/>
      </c>
      <c r="E440" s="27" t="str" cm="1">
        <f t="array" ref="E440">IF(C440="","",IFERROR(INDEX(STPP!$E$6:$E$4207,MATCH(C440,STPP!$C$6:$C$4207,0)),"Not Found"))</f>
        <v/>
      </c>
      <c r="F440" s="27" t="str" cm="1">
        <f t="array" ref="F440">IF(C440="","",IFERROR(INDEX(STPP!$F$6:$F$4207,MATCH(C440,STPP!$C$6:$C$4207,0)),"Not Found"))</f>
        <v/>
      </c>
      <c r="G440" s="25" t="str">
        <f>IF(表1[[#This Row],[No Seri]]="","",表1[[#This Row],[Deskripsi Barang]]+表1[[#This Row],[Kuantitas]]-表1[[#This Row],[Satuan]])</f>
        <v/>
      </c>
      <c r="H440" s="28"/>
      <c r="I440" s="25" t="str">
        <f>IF(表1[[#This Row],[Tgl NPBG]]&gt;表1[[#This Row],[Peminta]],表1[[#This Row],[Tgl NPBG]]-表1[[#This Row],[Peminta]],"")</f>
        <v/>
      </c>
      <c r="J440" s="31"/>
    </row>
    <row r="441" s="12" customFormat="1" customHeight="1" spans="2:10">
      <c r="B441" s="25"/>
      <c r="C441" s="25"/>
      <c r="D441" s="26" t="str" cm="1">
        <f t="array" ref="D441">IF(C441="","",IFERROR(INDEX(STPP!$D$6:$D$4207,MATCH(C441,STPP!$C$6:$C$4207,0)),"Not Found"))</f>
        <v/>
      </c>
      <c r="E441" s="27" t="str" cm="1">
        <f t="array" ref="E441">IF(C441="","",IFERROR(INDEX(STPP!$E$6:$E$4207,MATCH(C441,STPP!$C$6:$C$4207,0)),"Not Found"))</f>
        <v/>
      </c>
      <c r="F441" s="27" t="str" cm="1">
        <f t="array" ref="F441">IF(C441="","",IFERROR(INDEX(STPP!$F$6:$F$4207,MATCH(C441,STPP!$C$6:$C$4207,0)),"Not Found"))</f>
        <v/>
      </c>
      <c r="G441" s="25" t="str">
        <f>IF(表1[[#This Row],[No Seri]]="","",表1[[#This Row],[Deskripsi Barang]]+表1[[#This Row],[Kuantitas]]-表1[[#This Row],[Satuan]])</f>
        <v/>
      </c>
      <c r="H441" s="28"/>
      <c r="I441" s="25" t="str">
        <f>IF(表1[[#This Row],[Tgl NPBG]]&gt;表1[[#This Row],[Peminta]],表1[[#This Row],[Tgl NPBG]]-表1[[#This Row],[Peminta]],"")</f>
        <v/>
      </c>
      <c r="J441" s="31"/>
    </row>
    <row r="442" s="12" customFormat="1" customHeight="1" spans="2:10">
      <c r="B442" s="25"/>
      <c r="C442" s="25"/>
      <c r="D442" s="26" t="str" cm="1">
        <f t="array" ref="D442">IF(C442="","",IFERROR(INDEX(STPP!$D$6:$D$4207,MATCH(C442,STPP!$C$6:$C$4207,0)),"Not Found"))</f>
        <v/>
      </c>
      <c r="E442" s="27" t="str" cm="1">
        <f t="array" ref="E442">IF(C442="","",IFERROR(INDEX(STPP!$E$6:$E$4207,MATCH(C442,STPP!$C$6:$C$4207,0)),"Not Found"))</f>
        <v/>
      </c>
      <c r="F442" s="27" t="str" cm="1">
        <f t="array" ref="F442">IF(C442="","",IFERROR(INDEX(STPP!$F$6:$F$4207,MATCH(C442,STPP!$C$6:$C$4207,0)),"Not Found"))</f>
        <v/>
      </c>
      <c r="G442" s="25" t="str">
        <f>IF(表1[[#This Row],[No Seri]]="","",表1[[#This Row],[Deskripsi Barang]]+表1[[#This Row],[Kuantitas]]-表1[[#This Row],[Satuan]])</f>
        <v/>
      </c>
      <c r="H442" s="28"/>
      <c r="I442" s="25" t="str">
        <f>IF(表1[[#This Row],[Tgl NPBG]]&gt;表1[[#This Row],[Peminta]],表1[[#This Row],[Tgl NPBG]]-表1[[#This Row],[Peminta]],"")</f>
        <v/>
      </c>
      <c r="J442" s="31"/>
    </row>
    <row r="443" s="12" customFormat="1" customHeight="1" spans="2:10">
      <c r="B443" s="25"/>
      <c r="C443" s="25"/>
      <c r="D443" s="26" t="str" cm="1">
        <f t="array" ref="D443">IF(C443="","",IFERROR(INDEX(STPP!$D$6:$D$4207,MATCH(C443,STPP!$C$6:$C$4207,0)),"Not Found"))</f>
        <v/>
      </c>
      <c r="E443" s="27" t="str" cm="1">
        <f t="array" ref="E443">IF(C443="","",IFERROR(INDEX(STPP!$E$6:$E$4207,MATCH(C443,STPP!$C$6:$C$4207,0)),"Not Found"))</f>
        <v/>
      </c>
      <c r="F443" s="27" t="str" cm="1">
        <f t="array" ref="F443">IF(C443="","",IFERROR(INDEX(STPP!$F$6:$F$4207,MATCH(C443,STPP!$C$6:$C$4207,0)),"Not Found"))</f>
        <v/>
      </c>
      <c r="G443" s="25" t="str">
        <f>IF(表1[[#This Row],[No Seri]]="","",表1[[#This Row],[Deskripsi Barang]]+表1[[#This Row],[Kuantitas]]-表1[[#This Row],[Satuan]])</f>
        <v/>
      </c>
      <c r="H443" s="28"/>
      <c r="I443" s="25" t="str">
        <f>IF(表1[[#This Row],[Tgl NPBG]]&gt;表1[[#This Row],[Peminta]],表1[[#This Row],[Tgl NPBG]]-表1[[#This Row],[Peminta]],"")</f>
        <v/>
      </c>
      <c r="J443" s="31"/>
    </row>
    <row r="444" s="12" customFormat="1" customHeight="1" spans="2:10">
      <c r="B444" s="25"/>
      <c r="C444" s="25"/>
      <c r="D444" s="26" t="str" cm="1">
        <f t="array" ref="D444">IF(C444="","",IFERROR(INDEX(STPP!$D$6:$D$4207,MATCH(C444,STPP!$C$6:$C$4207,0)),"Not Found"))</f>
        <v/>
      </c>
      <c r="E444" s="27" t="str" cm="1">
        <f t="array" ref="E444">IF(C444="","",IFERROR(INDEX(STPP!$E$6:$E$4207,MATCH(C444,STPP!$C$6:$C$4207,0)),"Not Found"))</f>
        <v/>
      </c>
      <c r="F444" s="27" t="str" cm="1">
        <f t="array" ref="F444">IF(C444="","",IFERROR(INDEX(STPP!$F$6:$F$4207,MATCH(C444,STPP!$C$6:$C$4207,0)),"Not Found"))</f>
        <v/>
      </c>
      <c r="G444" s="25" t="str">
        <f>IF(表1[[#This Row],[No Seri]]="","",表1[[#This Row],[Deskripsi Barang]]+表1[[#This Row],[Kuantitas]]-表1[[#This Row],[Satuan]])</f>
        <v/>
      </c>
      <c r="H444" s="28"/>
      <c r="I444" s="25" t="str">
        <f>IF(表1[[#This Row],[Tgl NPBG]]&gt;表1[[#This Row],[Peminta]],表1[[#This Row],[Tgl NPBG]]-表1[[#This Row],[Peminta]],"")</f>
        <v/>
      </c>
      <c r="J444" s="31"/>
    </row>
    <row r="445" s="12" customFormat="1" customHeight="1" spans="2:10">
      <c r="B445" s="25"/>
      <c r="C445" s="25"/>
      <c r="D445" s="26" t="str" cm="1">
        <f t="array" ref="D445">IF(C445="","",IFERROR(INDEX(STPP!$D$6:$D$4207,MATCH(C445,STPP!$C$6:$C$4207,0)),"Not Found"))</f>
        <v/>
      </c>
      <c r="E445" s="27" t="str" cm="1">
        <f t="array" ref="E445">IF(C445="","",IFERROR(INDEX(STPP!$E$6:$E$4207,MATCH(C445,STPP!$C$6:$C$4207,0)),"Not Found"))</f>
        <v/>
      </c>
      <c r="F445" s="27" t="str" cm="1">
        <f t="array" ref="F445">IF(C445="","",IFERROR(INDEX(STPP!$F$6:$F$4207,MATCH(C445,STPP!$C$6:$C$4207,0)),"Not Found"))</f>
        <v/>
      </c>
      <c r="G445" s="25" t="str">
        <f>IF(表1[[#This Row],[No Seri]]="","",表1[[#This Row],[Deskripsi Barang]]+表1[[#This Row],[Kuantitas]]-表1[[#This Row],[Satuan]])</f>
        <v/>
      </c>
      <c r="H445" s="28"/>
      <c r="I445" s="25" t="str">
        <f>IF(表1[[#This Row],[Tgl NPBG]]&gt;表1[[#This Row],[Peminta]],表1[[#This Row],[Tgl NPBG]]-表1[[#This Row],[Peminta]],"")</f>
        <v/>
      </c>
      <c r="J445" s="31"/>
    </row>
    <row r="446" s="12" customFormat="1" customHeight="1" spans="2:10">
      <c r="B446" s="25"/>
      <c r="C446" s="25"/>
      <c r="D446" s="26" t="str" cm="1">
        <f t="array" ref="D446">IF(C446="","",IFERROR(INDEX(STPP!$D$6:$D$4207,MATCH(C446,STPP!$C$6:$C$4207,0)),"Not Found"))</f>
        <v/>
      </c>
      <c r="E446" s="27" t="str" cm="1">
        <f t="array" ref="E446">IF(C446="","",IFERROR(INDEX(STPP!$E$6:$E$4207,MATCH(C446,STPP!$C$6:$C$4207,0)),"Not Found"))</f>
        <v/>
      </c>
      <c r="F446" s="27" t="str" cm="1">
        <f t="array" ref="F446">IF(C446="","",IFERROR(INDEX(STPP!$F$6:$F$4207,MATCH(C446,STPP!$C$6:$C$4207,0)),"Not Found"))</f>
        <v/>
      </c>
      <c r="G446" s="25" t="str">
        <f>IF(表1[[#This Row],[No Seri]]="","",表1[[#This Row],[Deskripsi Barang]]+表1[[#This Row],[Kuantitas]]-表1[[#This Row],[Satuan]])</f>
        <v/>
      </c>
      <c r="H446" s="28"/>
      <c r="I446" s="25" t="str">
        <f>IF(表1[[#This Row],[Tgl NPBG]]&gt;表1[[#This Row],[Peminta]],表1[[#This Row],[Tgl NPBG]]-表1[[#This Row],[Peminta]],"")</f>
        <v/>
      </c>
      <c r="J446" s="31"/>
    </row>
    <row r="447" s="12" customFormat="1" customHeight="1" spans="2:10">
      <c r="B447" s="25"/>
      <c r="C447" s="25"/>
      <c r="D447" s="26" t="str" cm="1">
        <f t="array" ref="D447">IF(C447="","",IFERROR(INDEX(STPP!$D$6:$D$4207,MATCH(C447,STPP!$C$6:$C$4207,0)),"Not Found"))</f>
        <v/>
      </c>
      <c r="E447" s="27" t="str" cm="1">
        <f t="array" ref="E447">IF(C447="","",IFERROR(INDEX(STPP!$E$6:$E$4207,MATCH(C447,STPP!$C$6:$C$4207,0)),"Not Found"))</f>
        <v/>
      </c>
      <c r="F447" s="27" t="str" cm="1">
        <f t="array" ref="F447">IF(C447="","",IFERROR(INDEX(STPP!$F$6:$F$4207,MATCH(C447,STPP!$C$6:$C$4207,0)),"Not Found"))</f>
        <v/>
      </c>
      <c r="G447" s="25" t="str">
        <f>IF(表1[[#This Row],[No Seri]]="","",表1[[#This Row],[Deskripsi Barang]]+表1[[#This Row],[Kuantitas]]-表1[[#This Row],[Satuan]])</f>
        <v/>
      </c>
      <c r="H447" s="28"/>
      <c r="I447" s="25" t="str">
        <f>IF(表1[[#This Row],[Tgl NPBG]]&gt;表1[[#This Row],[Peminta]],表1[[#This Row],[Tgl NPBG]]-表1[[#This Row],[Peminta]],"")</f>
        <v/>
      </c>
      <c r="J447" s="31"/>
    </row>
    <row r="448" s="12" customFormat="1" customHeight="1" spans="2:10">
      <c r="B448" s="25"/>
      <c r="C448" s="25"/>
      <c r="D448" s="26" t="str" cm="1">
        <f t="array" ref="D448">IF(C448="","",IFERROR(INDEX(STPP!$D$6:$D$4207,MATCH(C448,STPP!$C$6:$C$4207,0)),"Not Found"))</f>
        <v/>
      </c>
      <c r="E448" s="27" t="str" cm="1">
        <f t="array" ref="E448">IF(C448="","",IFERROR(INDEX(STPP!$E$6:$E$4207,MATCH(C448,STPP!$C$6:$C$4207,0)),"Not Found"))</f>
        <v/>
      </c>
      <c r="F448" s="27" t="str" cm="1">
        <f t="array" ref="F448">IF(C448="","",IFERROR(INDEX(STPP!$F$6:$F$4207,MATCH(C448,STPP!$C$6:$C$4207,0)),"Not Found"))</f>
        <v/>
      </c>
      <c r="G448" s="25" t="str">
        <f>IF(表1[[#This Row],[No Seri]]="","",表1[[#This Row],[Deskripsi Barang]]+表1[[#This Row],[Kuantitas]]-表1[[#This Row],[Satuan]])</f>
        <v/>
      </c>
      <c r="H448" s="28"/>
      <c r="I448" s="25" t="str">
        <f>IF(表1[[#This Row],[Tgl NPBG]]&gt;表1[[#This Row],[Peminta]],表1[[#This Row],[Tgl NPBG]]-表1[[#This Row],[Peminta]],"")</f>
        <v/>
      </c>
      <c r="J448" s="31"/>
    </row>
    <row r="449" s="12" customFormat="1" customHeight="1" spans="2:10">
      <c r="B449" s="25"/>
      <c r="C449" s="25"/>
      <c r="D449" s="26" t="str" cm="1">
        <f t="array" ref="D449">IF(C449="","",IFERROR(INDEX(STPP!$D$6:$D$4207,MATCH(C449,STPP!$C$6:$C$4207,0)),"Not Found"))</f>
        <v/>
      </c>
      <c r="E449" s="27" t="str" cm="1">
        <f t="array" ref="E449">IF(C449="","",IFERROR(INDEX(STPP!$E$6:$E$4207,MATCH(C449,STPP!$C$6:$C$4207,0)),"Not Found"))</f>
        <v/>
      </c>
      <c r="F449" s="27" t="str" cm="1">
        <f t="array" ref="F449">IF(C449="","",IFERROR(INDEX(STPP!$F$6:$F$4207,MATCH(C449,STPP!$C$6:$C$4207,0)),"Not Found"))</f>
        <v/>
      </c>
      <c r="G449" s="25" t="str">
        <f>IF(表1[[#This Row],[No Seri]]="","",表1[[#This Row],[Deskripsi Barang]]+表1[[#This Row],[Kuantitas]]-表1[[#This Row],[Satuan]])</f>
        <v/>
      </c>
      <c r="H449" s="28"/>
      <c r="I449" s="25" t="str">
        <f>IF(表1[[#This Row],[Tgl NPBG]]&gt;表1[[#This Row],[Peminta]],表1[[#This Row],[Tgl NPBG]]-表1[[#This Row],[Peminta]],"")</f>
        <v/>
      </c>
      <c r="J449" s="31"/>
    </row>
    <row r="450" s="12" customFormat="1" customHeight="1" spans="2:10">
      <c r="B450" s="25"/>
      <c r="C450" s="25"/>
      <c r="D450" s="26" t="str" cm="1">
        <f t="array" ref="D450">IF(C450="","",IFERROR(INDEX(STPP!$D$6:$D$4207,MATCH(C450,STPP!$C$6:$C$4207,0)),"Not Found"))</f>
        <v/>
      </c>
      <c r="E450" s="27" t="str" cm="1">
        <f t="array" ref="E450">IF(C450="","",IFERROR(INDEX(STPP!$E$6:$E$4207,MATCH(C450,STPP!$C$6:$C$4207,0)),"Not Found"))</f>
        <v/>
      </c>
      <c r="F450" s="27" t="str" cm="1">
        <f t="array" ref="F450">IF(C450="","",IFERROR(INDEX(STPP!$F$6:$F$4207,MATCH(C450,STPP!$C$6:$C$4207,0)),"Not Found"))</f>
        <v/>
      </c>
      <c r="G450" s="25" t="str">
        <f>IF(表1[[#This Row],[No Seri]]="","",表1[[#This Row],[Deskripsi Barang]]+表1[[#This Row],[Kuantitas]]-表1[[#This Row],[Satuan]])</f>
        <v/>
      </c>
      <c r="H450" s="28"/>
      <c r="I450" s="25" t="str">
        <f>IF(表1[[#This Row],[Tgl NPBG]]&gt;表1[[#This Row],[Peminta]],表1[[#This Row],[Tgl NPBG]]-表1[[#This Row],[Peminta]],"")</f>
        <v/>
      </c>
      <c r="J450" s="31"/>
    </row>
    <row r="451" s="12" customFormat="1" customHeight="1" spans="2:10">
      <c r="B451" s="25"/>
      <c r="C451" s="25"/>
      <c r="D451" s="26" t="str" cm="1">
        <f t="array" ref="D451">IF(C451="","",IFERROR(INDEX(STPP!$D$6:$D$4207,MATCH(C451,STPP!$C$6:$C$4207,0)),"Not Found"))</f>
        <v/>
      </c>
      <c r="E451" s="27" t="str" cm="1">
        <f t="array" ref="E451">IF(C451="","",IFERROR(INDEX(STPP!$E$6:$E$4207,MATCH(C451,STPP!$C$6:$C$4207,0)),"Not Found"))</f>
        <v/>
      </c>
      <c r="F451" s="27" t="str" cm="1">
        <f t="array" ref="F451">IF(C451="","",IFERROR(INDEX(STPP!$F$6:$F$4207,MATCH(C451,STPP!$C$6:$C$4207,0)),"Not Found"))</f>
        <v/>
      </c>
      <c r="G451" s="25" t="str">
        <f>IF(表1[[#This Row],[No Seri]]="","",表1[[#This Row],[Deskripsi Barang]]+表1[[#This Row],[Kuantitas]]-表1[[#This Row],[Satuan]])</f>
        <v/>
      </c>
      <c r="H451" s="28"/>
      <c r="I451" s="25" t="str">
        <f>IF(表1[[#This Row],[Tgl NPBG]]&gt;表1[[#This Row],[Peminta]],表1[[#This Row],[Tgl NPBG]]-表1[[#This Row],[Peminta]],"")</f>
        <v/>
      </c>
      <c r="J451" s="31"/>
    </row>
    <row r="452" s="12" customFormat="1" customHeight="1" spans="2:10">
      <c r="B452" s="25"/>
      <c r="C452" s="25"/>
      <c r="D452" s="26" t="str" cm="1">
        <f t="array" ref="D452">IF(C452="","",IFERROR(INDEX(STPP!$D$6:$D$4207,MATCH(C452,STPP!$C$6:$C$4207,0)),"Not Found"))</f>
        <v/>
      </c>
      <c r="E452" s="27" t="str" cm="1">
        <f t="array" ref="E452">IF(C452="","",IFERROR(INDEX(STPP!$E$6:$E$4207,MATCH(C452,STPP!$C$6:$C$4207,0)),"Not Found"))</f>
        <v/>
      </c>
      <c r="F452" s="27" t="str" cm="1">
        <f t="array" ref="F452">IF(C452="","",IFERROR(INDEX(STPP!$F$6:$F$4207,MATCH(C452,STPP!$C$6:$C$4207,0)),"Not Found"))</f>
        <v/>
      </c>
      <c r="G452" s="25" t="str">
        <f>IF(表1[[#This Row],[No Seri]]="","",表1[[#This Row],[Deskripsi Barang]]+表1[[#This Row],[Kuantitas]]-表1[[#This Row],[Satuan]])</f>
        <v/>
      </c>
      <c r="H452" s="28"/>
      <c r="I452" s="25" t="str">
        <f>IF(表1[[#This Row],[Tgl NPBG]]&gt;表1[[#This Row],[Peminta]],表1[[#This Row],[Tgl NPBG]]-表1[[#This Row],[Peminta]],"")</f>
        <v/>
      </c>
      <c r="J452" s="31"/>
    </row>
    <row r="453" s="12" customFormat="1" customHeight="1" spans="2:10">
      <c r="B453" s="25"/>
      <c r="C453" s="25"/>
      <c r="D453" s="26" t="str" cm="1">
        <f t="array" ref="D453">IF(C453="","",IFERROR(INDEX(STPP!$D$6:$D$4207,MATCH(C453,STPP!$C$6:$C$4207,0)),"Not Found"))</f>
        <v/>
      </c>
      <c r="E453" s="27" t="str" cm="1">
        <f t="array" ref="E453">IF(C453="","",IFERROR(INDEX(STPP!$E$6:$E$4207,MATCH(C453,STPP!$C$6:$C$4207,0)),"Not Found"))</f>
        <v/>
      </c>
      <c r="F453" s="27" t="str" cm="1">
        <f t="array" ref="F453">IF(C453="","",IFERROR(INDEX(STPP!$F$6:$F$4207,MATCH(C453,STPP!$C$6:$C$4207,0)),"Not Found"))</f>
        <v/>
      </c>
      <c r="G453" s="25" t="str">
        <f>IF(表1[[#This Row],[No Seri]]="","",表1[[#This Row],[Deskripsi Barang]]+表1[[#This Row],[Kuantitas]]-表1[[#This Row],[Satuan]])</f>
        <v/>
      </c>
      <c r="H453" s="28"/>
      <c r="I453" s="25" t="str">
        <f>IF(表1[[#This Row],[Tgl NPBG]]&gt;表1[[#This Row],[Peminta]],表1[[#This Row],[Tgl NPBG]]-表1[[#This Row],[Peminta]],"")</f>
        <v/>
      </c>
      <c r="J453" s="31"/>
    </row>
    <row r="454" s="12" customFormat="1" customHeight="1" spans="2:10">
      <c r="B454" s="25"/>
      <c r="C454" s="25"/>
      <c r="D454" s="26" t="str" cm="1">
        <f t="array" ref="D454">IF(C454="","",IFERROR(INDEX(STPP!$D$6:$D$4207,MATCH(C454,STPP!$C$6:$C$4207,0)),"Not Found"))</f>
        <v/>
      </c>
      <c r="E454" s="27" t="str" cm="1">
        <f t="array" ref="E454">IF(C454="","",IFERROR(INDEX(STPP!$E$6:$E$4207,MATCH(C454,STPP!$C$6:$C$4207,0)),"Not Found"))</f>
        <v/>
      </c>
      <c r="F454" s="27" t="str" cm="1">
        <f t="array" ref="F454">IF(C454="","",IFERROR(INDEX(STPP!$F$6:$F$4207,MATCH(C454,STPP!$C$6:$C$4207,0)),"Not Found"))</f>
        <v/>
      </c>
      <c r="G454" s="25" t="str">
        <f>IF(表1[[#This Row],[No Seri]]="","",表1[[#This Row],[Deskripsi Barang]]+表1[[#This Row],[Kuantitas]]-表1[[#This Row],[Satuan]])</f>
        <v/>
      </c>
      <c r="H454" s="28"/>
      <c r="I454" s="25" t="str">
        <f>IF(表1[[#This Row],[Tgl NPBG]]&gt;表1[[#This Row],[Peminta]],表1[[#This Row],[Tgl NPBG]]-表1[[#This Row],[Peminta]],"")</f>
        <v/>
      </c>
      <c r="J454" s="31"/>
    </row>
    <row r="455" s="12" customFormat="1" customHeight="1" spans="2:10">
      <c r="B455" s="25"/>
      <c r="C455" s="25"/>
      <c r="D455" s="26" t="str" cm="1">
        <f t="array" ref="D455">IF(C455="","",IFERROR(INDEX(STPP!$D$6:$D$4207,MATCH(C455,STPP!$C$6:$C$4207,0)),"Not Found"))</f>
        <v/>
      </c>
      <c r="E455" s="27" t="str" cm="1">
        <f t="array" ref="E455">IF(C455="","",IFERROR(INDEX(STPP!$E$6:$E$4207,MATCH(C455,STPP!$C$6:$C$4207,0)),"Not Found"))</f>
        <v/>
      </c>
      <c r="F455" s="27" t="str" cm="1">
        <f t="array" ref="F455">IF(C455="","",IFERROR(INDEX(STPP!$F$6:$F$4207,MATCH(C455,STPP!$C$6:$C$4207,0)),"Not Found"))</f>
        <v/>
      </c>
      <c r="G455" s="25" t="str">
        <f>IF(表1[[#This Row],[No Seri]]="","",表1[[#This Row],[Deskripsi Barang]]+表1[[#This Row],[Kuantitas]]-表1[[#This Row],[Satuan]])</f>
        <v/>
      </c>
      <c r="H455" s="28"/>
      <c r="I455" s="25" t="str">
        <f>IF(表1[[#This Row],[Tgl NPBG]]&gt;表1[[#This Row],[Peminta]],表1[[#This Row],[Tgl NPBG]]-表1[[#This Row],[Peminta]],"")</f>
        <v/>
      </c>
      <c r="J455" s="31"/>
    </row>
    <row r="456" s="12" customFormat="1" customHeight="1" spans="2:10">
      <c r="B456" s="25"/>
      <c r="C456" s="25"/>
      <c r="D456" s="26" t="str" cm="1">
        <f t="array" ref="D456">IF(C456="","",IFERROR(INDEX(STPP!$D$6:$D$4207,MATCH(C456,STPP!$C$6:$C$4207,0)),"Not Found"))</f>
        <v/>
      </c>
      <c r="E456" s="27" t="str" cm="1">
        <f t="array" ref="E456">IF(C456="","",IFERROR(INDEX(STPP!$E$6:$E$4207,MATCH(C456,STPP!$C$6:$C$4207,0)),"Not Found"))</f>
        <v/>
      </c>
      <c r="F456" s="27" t="str" cm="1">
        <f t="array" ref="F456">IF(C456="","",IFERROR(INDEX(STPP!$F$6:$F$4207,MATCH(C456,STPP!$C$6:$C$4207,0)),"Not Found"))</f>
        <v/>
      </c>
      <c r="G456" s="25" t="str">
        <f>IF(表1[[#This Row],[No Seri]]="","",表1[[#This Row],[Deskripsi Barang]]+表1[[#This Row],[Kuantitas]]-表1[[#This Row],[Satuan]])</f>
        <v/>
      </c>
      <c r="H456" s="28"/>
      <c r="I456" s="25" t="str">
        <f>IF(表1[[#This Row],[Tgl NPBG]]&gt;表1[[#This Row],[Peminta]],表1[[#This Row],[Tgl NPBG]]-表1[[#This Row],[Peminta]],"")</f>
        <v/>
      </c>
      <c r="J456" s="31"/>
    </row>
    <row r="457" s="12" customFormat="1" customHeight="1" spans="2:10">
      <c r="B457" s="25"/>
      <c r="C457" s="25"/>
      <c r="D457" s="26" t="str" cm="1">
        <f t="array" ref="D457">IF(C457="","",IFERROR(INDEX(STPP!$D$6:$D$4207,MATCH(C457,STPP!$C$6:$C$4207,0)),"Not Found"))</f>
        <v/>
      </c>
      <c r="E457" s="27" t="str" cm="1">
        <f t="array" ref="E457">IF(C457="","",IFERROR(INDEX(STPP!$E$6:$E$4207,MATCH(C457,STPP!$C$6:$C$4207,0)),"Not Found"))</f>
        <v/>
      </c>
      <c r="F457" s="27" t="str" cm="1">
        <f t="array" ref="F457">IF(C457="","",IFERROR(INDEX(STPP!$F$6:$F$4207,MATCH(C457,STPP!$C$6:$C$4207,0)),"Not Found"))</f>
        <v/>
      </c>
      <c r="G457" s="25" t="str">
        <f>IF(表1[[#This Row],[No Seri]]="","",表1[[#This Row],[Deskripsi Barang]]+表1[[#This Row],[Kuantitas]]-表1[[#This Row],[Satuan]])</f>
        <v/>
      </c>
      <c r="H457" s="28"/>
      <c r="I457" s="25" t="str">
        <f>IF(表1[[#This Row],[Tgl NPBG]]&gt;表1[[#This Row],[Peminta]],表1[[#This Row],[Tgl NPBG]]-表1[[#This Row],[Peminta]],"")</f>
        <v/>
      </c>
      <c r="J457" s="31"/>
    </row>
    <row r="458" s="12" customFormat="1" customHeight="1" spans="2:10">
      <c r="B458" s="25"/>
      <c r="C458" s="25"/>
      <c r="D458" s="26" t="str" cm="1">
        <f t="array" ref="D458">IF(C458="","",IFERROR(INDEX(STPP!$D$6:$D$4207,MATCH(C458,STPP!$C$6:$C$4207,0)),"Not Found"))</f>
        <v/>
      </c>
      <c r="E458" s="27" t="str" cm="1">
        <f t="array" ref="E458">IF(C458="","",IFERROR(INDEX(STPP!$E$6:$E$4207,MATCH(C458,STPP!$C$6:$C$4207,0)),"Not Found"))</f>
        <v/>
      </c>
      <c r="F458" s="27" t="str" cm="1">
        <f t="array" ref="F458">IF(C458="","",IFERROR(INDEX(STPP!$F$6:$F$4207,MATCH(C458,STPP!$C$6:$C$4207,0)),"Not Found"))</f>
        <v/>
      </c>
      <c r="G458" s="25" t="str">
        <f>IF(表1[[#This Row],[No Seri]]="","",表1[[#This Row],[Deskripsi Barang]]+表1[[#This Row],[Kuantitas]]-表1[[#This Row],[Satuan]])</f>
        <v/>
      </c>
      <c r="H458" s="28"/>
      <c r="I458" s="25" t="str">
        <f>IF(表1[[#This Row],[Tgl NPBG]]&gt;表1[[#This Row],[Peminta]],表1[[#This Row],[Tgl NPBG]]-表1[[#This Row],[Peminta]],"")</f>
        <v/>
      </c>
      <c r="J458" s="31"/>
    </row>
    <row r="459" s="12" customFormat="1" customHeight="1" spans="2:10">
      <c r="B459" s="25"/>
      <c r="C459" s="25"/>
      <c r="D459" s="26" t="str" cm="1">
        <f t="array" ref="D459">IF(C459="","",IFERROR(INDEX(STPP!$D$6:$D$4207,MATCH(C459,STPP!$C$6:$C$4207,0)),"Not Found"))</f>
        <v/>
      </c>
      <c r="E459" s="27" t="str" cm="1">
        <f t="array" ref="E459">IF(C459="","",IFERROR(INDEX(STPP!$E$6:$E$4207,MATCH(C459,STPP!$C$6:$C$4207,0)),"Not Found"))</f>
        <v/>
      </c>
      <c r="F459" s="27" t="str" cm="1">
        <f t="array" ref="F459">IF(C459="","",IFERROR(INDEX(STPP!$F$6:$F$4207,MATCH(C459,STPP!$C$6:$C$4207,0)),"Not Found"))</f>
        <v/>
      </c>
      <c r="G459" s="25" t="str">
        <f>IF(表1[[#This Row],[No Seri]]="","",表1[[#This Row],[Deskripsi Barang]]+表1[[#This Row],[Kuantitas]]-表1[[#This Row],[Satuan]])</f>
        <v/>
      </c>
      <c r="H459" s="28"/>
      <c r="I459" s="25" t="str">
        <f>IF(表1[[#This Row],[Tgl NPBG]]&gt;表1[[#This Row],[Peminta]],表1[[#This Row],[Tgl NPBG]]-表1[[#This Row],[Peminta]],"")</f>
        <v/>
      </c>
      <c r="J459" s="31"/>
    </row>
    <row r="460" s="12" customFormat="1" customHeight="1" spans="2:10">
      <c r="B460" s="25"/>
      <c r="C460" s="25"/>
      <c r="D460" s="26" t="str" cm="1">
        <f t="array" ref="D460">IF(C460="","",IFERROR(INDEX(STPP!$D$6:$D$4207,MATCH(C460,STPP!$C$6:$C$4207,0)),"Not Found"))</f>
        <v/>
      </c>
      <c r="E460" s="27" t="str" cm="1">
        <f t="array" ref="E460">IF(C460="","",IFERROR(INDEX(STPP!$E$6:$E$4207,MATCH(C460,STPP!$C$6:$C$4207,0)),"Not Found"))</f>
        <v/>
      </c>
      <c r="F460" s="27" t="str" cm="1">
        <f t="array" ref="F460">IF(C460="","",IFERROR(INDEX(STPP!$F$6:$F$4207,MATCH(C460,STPP!$C$6:$C$4207,0)),"Not Found"))</f>
        <v/>
      </c>
      <c r="G460" s="25" t="str">
        <f>IF(表1[[#This Row],[No Seri]]="","",表1[[#This Row],[Deskripsi Barang]]+表1[[#This Row],[Kuantitas]]-表1[[#This Row],[Satuan]])</f>
        <v/>
      </c>
      <c r="H460" s="28"/>
      <c r="I460" s="25" t="str">
        <f>IF(表1[[#This Row],[Tgl NPBG]]&gt;表1[[#This Row],[Peminta]],表1[[#This Row],[Tgl NPBG]]-表1[[#This Row],[Peminta]],"")</f>
        <v/>
      </c>
      <c r="J460" s="31"/>
    </row>
    <row r="461" s="12" customFormat="1" customHeight="1" spans="2:10">
      <c r="B461" s="25"/>
      <c r="C461" s="25"/>
      <c r="D461" s="26" t="str" cm="1">
        <f t="array" ref="D461">IF(C461="","",IFERROR(INDEX(STPP!$D$6:$D$4207,MATCH(C461,STPP!$C$6:$C$4207,0)),"Not Found"))</f>
        <v/>
      </c>
      <c r="E461" s="27" t="str" cm="1">
        <f t="array" ref="E461">IF(C461="","",IFERROR(INDEX(STPP!$E$6:$E$4207,MATCH(C461,STPP!$C$6:$C$4207,0)),"Not Found"))</f>
        <v/>
      </c>
      <c r="F461" s="27" t="str" cm="1">
        <f t="array" ref="F461">IF(C461="","",IFERROR(INDEX(STPP!$F$6:$F$4207,MATCH(C461,STPP!$C$6:$C$4207,0)),"Not Found"))</f>
        <v/>
      </c>
      <c r="G461" s="25" t="str">
        <f>IF(表1[[#This Row],[No Seri]]="","",表1[[#This Row],[Deskripsi Barang]]+表1[[#This Row],[Kuantitas]]-表1[[#This Row],[Satuan]])</f>
        <v/>
      </c>
      <c r="H461" s="28"/>
      <c r="I461" s="25" t="str">
        <f>IF(表1[[#This Row],[Tgl NPBG]]&gt;表1[[#This Row],[Peminta]],表1[[#This Row],[Tgl NPBG]]-表1[[#This Row],[Peminta]],"")</f>
        <v/>
      </c>
      <c r="J461" s="31"/>
    </row>
    <row r="462" s="12" customFormat="1" customHeight="1" spans="2:10">
      <c r="B462" s="25"/>
      <c r="C462" s="25"/>
      <c r="D462" s="26" t="str" cm="1">
        <f t="array" ref="D462">IF(C462="","",IFERROR(INDEX(STPP!$D$6:$D$4207,MATCH(C462,STPP!$C$6:$C$4207,0)),"Not Found"))</f>
        <v/>
      </c>
      <c r="E462" s="27" t="str" cm="1">
        <f t="array" ref="E462">IF(C462="","",IFERROR(INDEX(STPP!$E$6:$E$4207,MATCH(C462,STPP!$C$6:$C$4207,0)),"Not Found"))</f>
        <v/>
      </c>
      <c r="F462" s="27" t="str" cm="1">
        <f t="array" ref="F462">IF(C462="","",IFERROR(INDEX(STPP!$F$6:$F$4207,MATCH(C462,STPP!$C$6:$C$4207,0)),"Not Found"))</f>
        <v/>
      </c>
      <c r="G462" s="25" t="str">
        <f>IF(表1[[#This Row],[No Seri]]="","",表1[[#This Row],[Deskripsi Barang]]+表1[[#This Row],[Kuantitas]]-表1[[#This Row],[Satuan]])</f>
        <v/>
      </c>
      <c r="H462" s="28"/>
      <c r="I462" s="25" t="str">
        <f>IF(表1[[#This Row],[Tgl NPBG]]&gt;表1[[#This Row],[Peminta]],表1[[#This Row],[Tgl NPBG]]-表1[[#This Row],[Peminta]],"")</f>
        <v/>
      </c>
      <c r="J462" s="31"/>
    </row>
    <row r="463" s="12" customFormat="1" customHeight="1" spans="2:10">
      <c r="B463" s="25"/>
      <c r="C463" s="25"/>
      <c r="D463" s="26" t="str" cm="1">
        <f t="array" ref="D463">IF(C463="","",IFERROR(INDEX(STPP!$D$6:$D$4207,MATCH(C463,STPP!$C$6:$C$4207,0)),"Not Found"))</f>
        <v/>
      </c>
      <c r="E463" s="27" t="str" cm="1">
        <f t="array" ref="E463">IF(C463="","",IFERROR(INDEX(STPP!$E$6:$E$4207,MATCH(C463,STPP!$C$6:$C$4207,0)),"Not Found"))</f>
        <v/>
      </c>
      <c r="F463" s="27" t="str" cm="1">
        <f t="array" ref="F463">IF(C463="","",IFERROR(INDEX(STPP!$F$6:$F$4207,MATCH(C463,STPP!$C$6:$C$4207,0)),"Not Found"))</f>
        <v/>
      </c>
      <c r="G463" s="25" t="str">
        <f>IF(表1[[#This Row],[No Seri]]="","",表1[[#This Row],[Deskripsi Barang]]+表1[[#This Row],[Kuantitas]]-表1[[#This Row],[Satuan]])</f>
        <v/>
      </c>
      <c r="H463" s="28"/>
      <c r="I463" s="25" t="str">
        <f>IF(表1[[#This Row],[Tgl NPBG]]&gt;表1[[#This Row],[Peminta]],表1[[#This Row],[Tgl NPBG]]-表1[[#This Row],[Peminta]],"")</f>
        <v/>
      </c>
      <c r="J463" s="31"/>
    </row>
    <row r="464" s="12" customFormat="1" customHeight="1" spans="2:10">
      <c r="B464" s="25"/>
      <c r="C464" s="25"/>
      <c r="D464" s="26" t="str" cm="1">
        <f t="array" ref="D464">IF(C464="","",IFERROR(INDEX(STPP!$D$6:$D$4207,MATCH(C464,STPP!$C$6:$C$4207,0)),"Not Found"))</f>
        <v/>
      </c>
      <c r="E464" s="27" t="str" cm="1">
        <f t="array" ref="E464">IF(C464="","",IFERROR(INDEX(STPP!$E$6:$E$4207,MATCH(C464,STPP!$C$6:$C$4207,0)),"Not Found"))</f>
        <v/>
      </c>
      <c r="F464" s="27" t="str" cm="1">
        <f t="array" ref="F464">IF(C464="","",IFERROR(INDEX(STPP!$F$6:$F$4207,MATCH(C464,STPP!$C$6:$C$4207,0)),"Not Found"))</f>
        <v/>
      </c>
      <c r="G464" s="25" t="str">
        <f>IF(表1[[#This Row],[No Seri]]="","",表1[[#This Row],[Deskripsi Barang]]+表1[[#This Row],[Kuantitas]]-表1[[#This Row],[Satuan]])</f>
        <v/>
      </c>
      <c r="H464" s="28"/>
      <c r="I464" s="25" t="str">
        <f>IF(表1[[#This Row],[Tgl NPBG]]&gt;表1[[#This Row],[Peminta]],表1[[#This Row],[Tgl NPBG]]-表1[[#This Row],[Peminta]],"")</f>
        <v/>
      </c>
      <c r="J464" s="31"/>
    </row>
    <row r="465" s="12" customFormat="1" customHeight="1" spans="2:10">
      <c r="B465" s="25"/>
      <c r="C465" s="25"/>
      <c r="D465" s="26" t="str" cm="1">
        <f t="array" ref="D465">IF(C465="","",IFERROR(INDEX(STPP!$D$6:$D$4207,MATCH(C465,STPP!$C$6:$C$4207,0)),"Not Found"))</f>
        <v/>
      </c>
      <c r="E465" s="27" t="str" cm="1">
        <f t="array" ref="E465">IF(C465="","",IFERROR(INDEX(STPP!$E$6:$E$4207,MATCH(C465,STPP!$C$6:$C$4207,0)),"Not Found"))</f>
        <v/>
      </c>
      <c r="F465" s="27" t="str" cm="1">
        <f t="array" ref="F465">IF(C465="","",IFERROR(INDEX(STPP!$F$6:$F$4207,MATCH(C465,STPP!$C$6:$C$4207,0)),"Not Found"))</f>
        <v/>
      </c>
      <c r="G465" s="25" t="str">
        <f>IF(表1[[#This Row],[No Seri]]="","",表1[[#This Row],[Deskripsi Barang]]+表1[[#This Row],[Kuantitas]]-表1[[#This Row],[Satuan]])</f>
        <v/>
      </c>
      <c r="H465" s="28"/>
      <c r="I465" s="25" t="str">
        <f>IF(表1[[#This Row],[Tgl NPBG]]&gt;表1[[#This Row],[Peminta]],表1[[#This Row],[Tgl NPBG]]-表1[[#This Row],[Peminta]],"")</f>
        <v/>
      </c>
      <c r="J465" s="31"/>
    </row>
    <row r="466" s="12" customFormat="1" customHeight="1" spans="2:10">
      <c r="B466" s="25"/>
      <c r="C466" s="25"/>
      <c r="D466" s="26" t="str" cm="1">
        <f t="array" ref="D466">IF(C466="","",IFERROR(INDEX(STPP!$D$6:$D$4207,MATCH(C466,STPP!$C$6:$C$4207,0)),"Not Found"))</f>
        <v/>
      </c>
      <c r="E466" s="27" t="str" cm="1">
        <f t="array" ref="E466">IF(C466="","",IFERROR(INDEX(STPP!$E$6:$E$4207,MATCH(C466,STPP!$C$6:$C$4207,0)),"Not Found"))</f>
        <v/>
      </c>
      <c r="F466" s="27" t="str" cm="1">
        <f t="array" ref="F466">IF(C466="","",IFERROR(INDEX(STPP!$F$6:$F$4207,MATCH(C466,STPP!$C$6:$C$4207,0)),"Not Found"))</f>
        <v/>
      </c>
      <c r="G466" s="25" t="str">
        <f>IF(表1[[#This Row],[No Seri]]="","",表1[[#This Row],[Deskripsi Barang]]+表1[[#This Row],[Kuantitas]]-表1[[#This Row],[Satuan]])</f>
        <v/>
      </c>
      <c r="H466" s="28"/>
      <c r="I466" s="25" t="str">
        <f>IF(表1[[#This Row],[Tgl NPBG]]&gt;表1[[#This Row],[Peminta]],表1[[#This Row],[Tgl NPBG]]-表1[[#This Row],[Peminta]],"")</f>
        <v/>
      </c>
      <c r="J466" s="31"/>
    </row>
    <row r="467" s="12" customFormat="1" customHeight="1" spans="2:10">
      <c r="B467" s="25"/>
      <c r="C467" s="25"/>
      <c r="D467" s="26" t="str" cm="1">
        <f t="array" ref="D467">IF(C467="","",IFERROR(INDEX(STPP!$D$6:$D$4207,MATCH(C467,STPP!$C$6:$C$4207,0)),"Not Found"))</f>
        <v/>
      </c>
      <c r="E467" s="27" t="str" cm="1">
        <f t="array" ref="E467">IF(C467="","",IFERROR(INDEX(STPP!$E$6:$E$4207,MATCH(C467,STPP!$C$6:$C$4207,0)),"Not Found"))</f>
        <v/>
      </c>
      <c r="F467" s="27" t="str" cm="1">
        <f t="array" ref="F467">IF(C467="","",IFERROR(INDEX(STPP!$F$6:$F$4207,MATCH(C467,STPP!$C$6:$C$4207,0)),"Not Found"))</f>
        <v/>
      </c>
      <c r="G467" s="25" t="str">
        <f>IF(表1[[#This Row],[No Seri]]="","",表1[[#This Row],[Deskripsi Barang]]+表1[[#This Row],[Kuantitas]]-表1[[#This Row],[Satuan]])</f>
        <v/>
      </c>
      <c r="H467" s="28"/>
      <c r="I467" s="25" t="str">
        <f>IF(表1[[#This Row],[Tgl NPBG]]&gt;表1[[#This Row],[Peminta]],表1[[#This Row],[Tgl NPBG]]-表1[[#This Row],[Peminta]],"")</f>
        <v/>
      </c>
      <c r="J467" s="31"/>
    </row>
    <row r="468" s="12" customFormat="1" customHeight="1" spans="2:10">
      <c r="B468" s="25"/>
      <c r="C468" s="25"/>
      <c r="D468" s="26" t="str" cm="1">
        <f t="array" ref="D468">IF(C468="","",IFERROR(INDEX(STPP!$D$6:$D$4207,MATCH(C468,STPP!$C$6:$C$4207,0)),"Not Found"))</f>
        <v/>
      </c>
      <c r="E468" s="27" t="str" cm="1">
        <f t="array" ref="E468">IF(C468="","",IFERROR(INDEX(STPP!$E$6:$E$4207,MATCH(C468,STPP!$C$6:$C$4207,0)),"Not Found"))</f>
        <v/>
      </c>
      <c r="F468" s="27" t="str" cm="1">
        <f t="array" ref="F468">IF(C468="","",IFERROR(INDEX(STPP!$F$6:$F$4207,MATCH(C468,STPP!$C$6:$C$4207,0)),"Not Found"))</f>
        <v/>
      </c>
      <c r="G468" s="25" t="str">
        <f>IF(表1[[#This Row],[No Seri]]="","",表1[[#This Row],[Deskripsi Barang]]+表1[[#This Row],[Kuantitas]]-表1[[#This Row],[Satuan]])</f>
        <v/>
      </c>
      <c r="H468" s="28"/>
      <c r="I468" s="25" t="str">
        <f>IF(表1[[#This Row],[Tgl NPBG]]&gt;表1[[#This Row],[Peminta]],表1[[#This Row],[Tgl NPBG]]-表1[[#This Row],[Peminta]],"")</f>
        <v/>
      </c>
      <c r="J468" s="31"/>
    </row>
    <row r="469" s="12" customFormat="1" customHeight="1" spans="2:10">
      <c r="B469" s="25"/>
      <c r="C469" s="25"/>
      <c r="D469" s="26" t="str" cm="1">
        <f t="array" ref="D469">IF(C469="","",IFERROR(INDEX(STPP!$D$6:$D$4207,MATCH(C469,STPP!$C$6:$C$4207,0)),"Not Found"))</f>
        <v/>
      </c>
      <c r="E469" s="27" t="str" cm="1">
        <f t="array" ref="E469">IF(C469="","",IFERROR(INDEX(STPP!$E$6:$E$4207,MATCH(C469,STPP!$C$6:$C$4207,0)),"Not Found"))</f>
        <v/>
      </c>
      <c r="F469" s="27" t="str" cm="1">
        <f t="array" ref="F469">IF(C469="","",IFERROR(INDEX(STPP!$F$6:$F$4207,MATCH(C469,STPP!$C$6:$C$4207,0)),"Not Found"))</f>
        <v/>
      </c>
      <c r="G469" s="25" t="str">
        <f>IF(表1[[#This Row],[No Seri]]="","",表1[[#This Row],[Deskripsi Barang]]+表1[[#This Row],[Kuantitas]]-表1[[#This Row],[Satuan]])</f>
        <v/>
      </c>
      <c r="H469" s="28"/>
      <c r="I469" s="25" t="str">
        <f>IF(表1[[#This Row],[Tgl NPBG]]&gt;表1[[#This Row],[Peminta]],表1[[#This Row],[Tgl NPBG]]-表1[[#This Row],[Peminta]],"")</f>
        <v/>
      </c>
      <c r="J469" s="31"/>
    </row>
    <row r="470" s="12" customFormat="1" customHeight="1" spans="2:10">
      <c r="B470" s="25"/>
      <c r="C470" s="25"/>
      <c r="D470" s="26" t="str" cm="1">
        <f t="array" ref="D470">IF(C470="","",IFERROR(INDEX(STPP!$D$6:$D$4207,MATCH(C470,STPP!$C$6:$C$4207,0)),"Not Found"))</f>
        <v/>
      </c>
      <c r="E470" s="27" t="str" cm="1">
        <f t="array" ref="E470">IF(C470="","",IFERROR(INDEX(STPP!$E$6:$E$4207,MATCH(C470,STPP!$C$6:$C$4207,0)),"Not Found"))</f>
        <v/>
      </c>
      <c r="F470" s="27" t="str" cm="1">
        <f t="array" ref="F470">IF(C470="","",IFERROR(INDEX(STPP!$F$6:$F$4207,MATCH(C470,STPP!$C$6:$C$4207,0)),"Not Found"))</f>
        <v/>
      </c>
      <c r="G470" s="25" t="str">
        <f>IF(表1[[#This Row],[No Seri]]="","",表1[[#This Row],[Deskripsi Barang]]+表1[[#This Row],[Kuantitas]]-表1[[#This Row],[Satuan]])</f>
        <v/>
      </c>
      <c r="H470" s="28"/>
      <c r="I470" s="25" t="str">
        <f>IF(表1[[#This Row],[Tgl NPBG]]&gt;表1[[#This Row],[Peminta]],表1[[#This Row],[Tgl NPBG]]-表1[[#This Row],[Peminta]],"")</f>
        <v/>
      </c>
      <c r="J470" s="31"/>
    </row>
    <row r="471" s="12" customFormat="1" customHeight="1" spans="2:10">
      <c r="B471" s="25"/>
      <c r="C471" s="25"/>
      <c r="D471" s="26" t="str" cm="1">
        <f t="array" ref="D471">IF(C471="","",IFERROR(INDEX(STPP!$D$6:$D$4207,MATCH(C471,STPP!$C$6:$C$4207,0)),"Not Found"))</f>
        <v/>
      </c>
      <c r="E471" s="27" t="str" cm="1">
        <f t="array" ref="E471">IF(C471="","",IFERROR(INDEX(STPP!$E$6:$E$4207,MATCH(C471,STPP!$C$6:$C$4207,0)),"Not Found"))</f>
        <v/>
      </c>
      <c r="F471" s="27" t="str" cm="1">
        <f t="array" ref="F471">IF(C471="","",IFERROR(INDEX(STPP!$F$6:$F$4207,MATCH(C471,STPP!$C$6:$C$4207,0)),"Not Found"))</f>
        <v/>
      </c>
      <c r="G471" s="25" t="str">
        <f>IF(表1[[#This Row],[No Seri]]="","",表1[[#This Row],[Deskripsi Barang]]+表1[[#This Row],[Kuantitas]]-表1[[#This Row],[Satuan]])</f>
        <v/>
      </c>
      <c r="H471" s="28"/>
      <c r="I471" s="25" t="str">
        <f>IF(表1[[#This Row],[Tgl NPBG]]&gt;表1[[#This Row],[Peminta]],表1[[#This Row],[Tgl NPBG]]-表1[[#This Row],[Peminta]],"")</f>
        <v/>
      </c>
      <c r="J471" s="31"/>
    </row>
    <row r="472" s="12" customFormat="1" customHeight="1" spans="2:10">
      <c r="B472" s="25"/>
      <c r="C472" s="25"/>
      <c r="D472" s="26" t="str" cm="1">
        <f t="array" ref="D472">IF(C472="","",IFERROR(INDEX(STPP!$D$6:$D$4207,MATCH(C472,STPP!$C$6:$C$4207,0)),"Not Found"))</f>
        <v/>
      </c>
      <c r="E472" s="27" t="str" cm="1">
        <f t="array" ref="E472">IF(C472="","",IFERROR(INDEX(STPP!$E$6:$E$4207,MATCH(C472,STPP!$C$6:$C$4207,0)),"Not Found"))</f>
        <v/>
      </c>
      <c r="F472" s="27" t="str" cm="1">
        <f t="array" ref="F472">IF(C472="","",IFERROR(INDEX(STPP!$F$6:$F$4207,MATCH(C472,STPP!$C$6:$C$4207,0)),"Not Found"))</f>
        <v/>
      </c>
      <c r="G472" s="25" t="str">
        <f>IF(表1[[#This Row],[No Seri]]="","",表1[[#This Row],[Deskripsi Barang]]+表1[[#This Row],[Kuantitas]]-表1[[#This Row],[Satuan]])</f>
        <v/>
      </c>
      <c r="H472" s="28"/>
      <c r="I472" s="25" t="str">
        <f>IF(表1[[#This Row],[Tgl NPBG]]&gt;表1[[#This Row],[Peminta]],表1[[#This Row],[Tgl NPBG]]-表1[[#This Row],[Peminta]],"")</f>
        <v/>
      </c>
      <c r="J472" s="31"/>
    </row>
    <row r="473" s="12" customFormat="1" customHeight="1" spans="2:10">
      <c r="B473" s="25"/>
      <c r="C473" s="25"/>
      <c r="D473" s="26" t="str" cm="1">
        <f t="array" ref="D473">IF(C473="","",IFERROR(INDEX(STPP!$D$6:$D$4207,MATCH(C473,STPP!$C$6:$C$4207,0)),"Not Found"))</f>
        <v/>
      </c>
      <c r="E473" s="27" t="str" cm="1">
        <f t="array" ref="E473">IF(C473="","",IFERROR(INDEX(STPP!$E$6:$E$4207,MATCH(C473,STPP!$C$6:$C$4207,0)),"Not Found"))</f>
        <v/>
      </c>
      <c r="F473" s="27" t="str" cm="1">
        <f t="array" ref="F473">IF(C473="","",IFERROR(INDEX(STPP!$F$6:$F$4207,MATCH(C473,STPP!$C$6:$C$4207,0)),"Not Found"))</f>
        <v/>
      </c>
      <c r="G473" s="25" t="str">
        <f>IF(表1[[#This Row],[No Seri]]="","",表1[[#This Row],[Deskripsi Barang]]+表1[[#This Row],[Kuantitas]]-表1[[#This Row],[Satuan]])</f>
        <v/>
      </c>
      <c r="H473" s="28"/>
      <c r="I473" s="25" t="str">
        <f>IF(表1[[#This Row],[Tgl NPBG]]&gt;表1[[#This Row],[Peminta]],表1[[#This Row],[Tgl NPBG]]-表1[[#This Row],[Peminta]],"")</f>
        <v/>
      </c>
      <c r="J473" s="31"/>
    </row>
    <row r="474" s="12" customFormat="1" customHeight="1" spans="2:10">
      <c r="B474" s="25"/>
      <c r="C474" s="25"/>
      <c r="D474" s="26" t="str" cm="1">
        <f t="array" ref="D474">IF(C474="","",IFERROR(INDEX(STPP!$D$6:$D$4207,MATCH(C474,STPP!$C$6:$C$4207,0)),"Not Found"))</f>
        <v/>
      </c>
      <c r="E474" s="27" t="str" cm="1">
        <f t="array" ref="E474">IF(C474="","",IFERROR(INDEX(STPP!$E$6:$E$4207,MATCH(C474,STPP!$C$6:$C$4207,0)),"Not Found"))</f>
        <v/>
      </c>
      <c r="F474" s="27" t="str" cm="1">
        <f t="array" ref="F474">IF(C474="","",IFERROR(INDEX(STPP!$F$6:$F$4207,MATCH(C474,STPP!$C$6:$C$4207,0)),"Not Found"))</f>
        <v/>
      </c>
      <c r="G474" s="25" t="str">
        <f>IF(表1[[#This Row],[No Seri]]="","",表1[[#This Row],[Deskripsi Barang]]+表1[[#This Row],[Kuantitas]]-表1[[#This Row],[Satuan]])</f>
        <v/>
      </c>
      <c r="H474" s="28"/>
      <c r="I474" s="25" t="str">
        <f>IF(表1[[#This Row],[Tgl NPBG]]&gt;表1[[#This Row],[Peminta]],表1[[#This Row],[Tgl NPBG]]-表1[[#This Row],[Peminta]],"")</f>
        <v/>
      </c>
      <c r="J474" s="31"/>
    </row>
    <row r="475" s="12" customFormat="1" customHeight="1" spans="2:10">
      <c r="B475" s="25"/>
      <c r="C475" s="25"/>
      <c r="D475" s="26" t="str" cm="1">
        <f t="array" ref="D475">IF(C475="","",IFERROR(INDEX(STPP!$D$6:$D$4207,MATCH(C475,STPP!$C$6:$C$4207,0)),"Not Found"))</f>
        <v/>
      </c>
      <c r="E475" s="27" t="str" cm="1">
        <f t="array" ref="E475">IF(C475="","",IFERROR(INDEX(STPP!$E$6:$E$4207,MATCH(C475,STPP!$C$6:$C$4207,0)),"Not Found"))</f>
        <v/>
      </c>
      <c r="F475" s="27" t="str" cm="1">
        <f t="array" ref="F475">IF(C475="","",IFERROR(INDEX(STPP!$F$6:$F$4207,MATCH(C475,STPP!$C$6:$C$4207,0)),"Not Found"))</f>
        <v/>
      </c>
      <c r="G475" s="25" t="str">
        <f>IF(表1[[#This Row],[No Seri]]="","",表1[[#This Row],[Deskripsi Barang]]+表1[[#This Row],[Kuantitas]]-表1[[#This Row],[Satuan]])</f>
        <v/>
      </c>
      <c r="H475" s="28"/>
      <c r="I475" s="25" t="str">
        <f>IF(表1[[#This Row],[Tgl NPBG]]&gt;表1[[#This Row],[Peminta]],表1[[#This Row],[Tgl NPBG]]-表1[[#This Row],[Peminta]],"")</f>
        <v/>
      </c>
      <c r="J475" s="31"/>
    </row>
    <row r="476" s="12" customFormat="1" customHeight="1" spans="2:10">
      <c r="B476" s="25"/>
      <c r="C476" s="25"/>
      <c r="D476" s="26" t="str" cm="1">
        <f t="array" ref="D476">IF(C476="","",IFERROR(INDEX(STPP!$D$6:$D$4207,MATCH(C476,STPP!$C$6:$C$4207,0)),"Not Found"))</f>
        <v/>
      </c>
      <c r="E476" s="27" t="str" cm="1">
        <f t="array" ref="E476">IF(C476="","",IFERROR(INDEX(STPP!$E$6:$E$4207,MATCH(C476,STPP!$C$6:$C$4207,0)),"Not Found"))</f>
        <v/>
      </c>
      <c r="F476" s="27" t="str" cm="1">
        <f t="array" ref="F476">IF(C476="","",IFERROR(INDEX(STPP!$F$6:$F$4207,MATCH(C476,STPP!$C$6:$C$4207,0)),"Not Found"))</f>
        <v/>
      </c>
      <c r="G476" s="25" t="str">
        <f>IF(表1[[#This Row],[No Seri]]="","",表1[[#This Row],[Deskripsi Barang]]+表1[[#This Row],[Kuantitas]]-表1[[#This Row],[Satuan]])</f>
        <v/>
      </c>
      <c r="H476" s="28"/>
      <c r="I476" s="25" t="str">
        <f>IF(表1[[#This Row],[Tgl NPBG]]&gt;表1[[#This Row],[Peminta]],表1[[#This Row],[Tgl NPBG]]-表1[[#This Row],[Peminta]],"")</f>
        <v/>
      </c>
      <c r="J476" s="31"/>
    </row>
    <row r="477" s="12" customFormat="1" customHeight="1" spans="2:10">
      <c r="B477" s="25"/>
      <c r="C477" s="25"/>
      <c r="D477" s="26" t="str" cm="1">
        <f t="array" ref="D477">IF(C477="","",IFERROR(INDEX(STPP!$D$6:$D$4207,MATCH(C477,STPP!$C$6:$C$4207,0)),"Not Found"))</f>
        <v/>
      </c>
      <c r="E477" s="27" t="str" cm="1">
        <f t="array" ref="E477">IF(C477="","",IFERROR(INDEX(STPP!$E$6:$E$4207,MATCH(C477,STPP!$C$6:$C$4207,0)),"Not Found"))</f>
        <v/>
      </c>
      <c r="F477" s="27" t="str" cm="1">
        <f t="array" ref="F477">IF(C477="","",IFERROR(INDEX(STPP!$F$6:$F$4207,MATCH(C477,STPP!$C$6:$C$4207,0)),"Not Found"))</f>
        <v/>
      </c>
      <c r="G477" s="25" t="str">
        <f>IF(表1[[#This Row],[No Seri]]="","",表1[[#This Row],[Deskripsi Barang]]+表1[[#This Row],[Kuantitas]]-表1[[#This Row],[Satuan]])</f>
        <v/>
      </c>
      <c r="H477" s="28"/>
      <c r="I477" s="25" t="str">
        <f>IF(表1[[#This Row],[Tgl NPBG]]&gt;表1[[#This Row],[Peminta]],表1[[#This Row],[Tgl NPBG]]-表1[[#This Row],[Peminta]],"")</f>
        <v/>
      </c>
      <c r="J477" s="31"/>
    </row>
    <row r="478" s="12" customFormat="1" customHeight="1" spans="2:10">
      <c r="B478" s="25"/>
      <c r="C478" s="25"/>
      <c r="D478" s="26" t="str" cm="1">
        <f t="array" ref="D478">IF(C478="","",IFERROR(INDEX(STPP!$D$6:$D$4207,MATCH(C478,STPP!$C$6:$C$4207,0)),"Not Found"))</f>
        <v/>
      </c>
      <c r="E478" s="27" t="str" cm="1">
        <f t="array" ref="E478">IF(C478="","",IFERROR(INDEX(STPP!$E$6:$E$4207,MATCH(C478,STPP!$C$6:$C$4207,0)),"Not Found"))</f>
        <v/>
      </c>
      <c r="F478" s="27" t="str" cm="1">
        <f t="array" ref="F478">IF(C478="","",IFERROR(INDEX(STPP!$F$6:$F$4207,MATCH(C478,STPP!$C$6:$C$4207,0)),"Not Found"))</f>
        <v/>
      </c>
      <c r="G478" s="25" t="str">
        <f>IF(表1[[#This Row],[No Seri]]="","",表1[[#This Row],[Deskripsi Barang]]+表1[[#This Row],[Kuantitas]]-表1[[#This Row],[Satuan]])</f>
        <v/>
      </c>
      <c r="H478" s="28"/>
      <c r="I478" s="25" t="str">
        <f>IF(表1[[#This Row],[Tgl NPBG]]&gt;表1[[#This Row],[Peminta]],表1[[#This Row],[Tgl NPBG]]-表1[[#This Row],[Peminta]],"")</f>
        <v/>
      </c>
      <c r="J478" s="31"/>
    </row>
    <row r="479" s="12" customFormat="1" customHeight="1" spans="2:10">
      <c r="B479" s="25"/>
      <c r="C479" s="25"/>
      <c r="D479" s="26" t="str" cm="1">
        <f t="array" ref="D479">IF(C479="","",IFERROR(INDEX(STPP!$D$6:$D$4207,MATCH(C479,STPP!$C$6:$C$4207,0)),"Not Found"))</f>
        <v/>
      </c>
      <c r="E479" s="27" t="str" cm="1">
        <f t="array" ref="E479">IF(C479="","",IFERROR(INDEX(STPP!$E$6:$E$4207,MATCH(C479,STPP!$C$6:$C$4207,0)),"Not Found"))</f>
        <v/>
      </c>
      <c r="F479" s="27" t="str" cm="1">
        <f t="array" ref="F479">IF(C479="","",IFERROR(INDEX(STPP!$F$6:$F$4207,MATCH(C479,STPP!$C$6:$C$4207,0)),"Not Found"))</f>
        <v/>
      </c>
      <c r="G479" s="25" t="str">
        <f>IF(表1[[#This Row],[No Seri]]="","",表1[[#This Row],[Deskripsi Barang]]+表1[[#This Row],[Kuantitas]]-表1[[#This Row],[Satuan]])</f>
        <v/>
      </c>
      <c r="H479" s="28"/>
      <c r="I479" s="25" t="str">
        <f>IF(表1[[#This Row],[Tgl NPBG]]&gt;表1[[#This Row],[Peminta]],表1[[#This Row],[Tgl NPBG]]-表1[[#This Row],[Peminta]],"")</f>
        <v/>
      </c>
      <c r="J479" s="31"/>
    </row>
    <row r="480" s="12" customFormat="1" customHeight="1" spans="2:10">
      <c r="B480" s="25"/>
      <c r="C480" s="25"/>
      <c r="D480" s="26" t="str" cm="1">
        <f t="array" ref="D480">IF(C480="","",IFERROR(INDEX(STPP!$D$6:$D$4207,MATCH(C480,STPP!$C$6:$C$4207,0)),"Not Found"))</f>
        <v/>
      </c>
      <c r="E480" s="27" t="str" cm="1">
        <f t="array" ref="E480">IF(C480="","",IFERROR(INDEX(STPP!$E$6:$E$4207,MATCH(C480,STPP!$C$6:$C$4207,0)),"Not Found"))</f>
        <v/>
      </c>
      <c r="F480" s="27" t="str" cm="1">
        <f t="array" ref="F480">IF(C480="","",IFERROR(INDEX(STPP!$F$6:$F$4207,MATCH(C480,STPP!$C$6:$C$4207,0)),"Not Found"))</f>
        <v/>
      </c>
      <c r="G480" s="25" t="str">
        <f>IF(表1[[#This Row],[No Seri]]="","",表1[[#This Row],[Deskripsi Barang]]+表1[[#This Row],[Kuantitas]]-表1[[#This Row],[Satuan]])</f>
        <v/>
      </c>
      <c r="H480" s="28"/>
      <c r="I480" s="25" t="str">
        <f>IF(表1[[#This Row],[Tgl NPBG]]&gt;表1[[#This Row],[Peminta]],表1[[#This Row],[Tgl NPBG]]-表1[[#This Row],[Peminta]],"")</f>
        <v/>
      </c>
      <c r="J480" s="31"/>
    </row>
    <row r="481" s="12" customFormat="1" customHeight="1" spans="2:10">
      <c r="B481" s="25"/>
      <c r="C481" s="25"/>
      <c r="D481" s="26" t="str" cm="1">
        <f t="array" ref="D481">IF(C481="","",IFERROR(INDEX(STPP!$D$6:$D$4207,MATCH(C481,STPP!$C$6:$C$4207,0)),"Not Found"))</f>
        <v/>
      </c>
      <c r="E481" s="27" t="str" cm="1">
        <f t="array" ref="E481">IF(C481="","",IFERROR(INDEX(STPP!$E$6:$E$4207,MATCH(C481,STPP!$C$6:$C$4207,0)),"Not Found"))</f>
        <v/>
      </c>
      <c r="F481" s="27" t="str" cm="1">
        <f t="array" ref="F481">IF(C481="","",IFERROR(INDEX(STPP!$F$6:$F$4207,MATCH(C481,STPP!$C$6:$C$4207,0)),"Not Found"))</f>
        <v/>
      </c>
      <c r="G481" s="25" t="str">
        <f>IF(表1[[#This Row],[No Seri]]="","",表1[[#This Row],[Deskripsi Barang]]+表1[[#This Row],[Kuantitas]]-表1[[#This Row],[Satuan]])</f>
        <v/>
      </c>
      <c r="H481" s="28"/>
      <c r="I481" s="25" t="str">
        <f>IF(表1[[#This Row],[Tgl NPBG]]&gt;表1[[#This Row],[Peminta]],表1[[#This Row],[Tgl NPBG]]-表1[[#This Row],[Peminta]],"")</f>
        <v/>
      </c>
      <c r="J481" s="31"/>
    </row>
    <row r="482" s="12" customFormat="1" customHeight="1" spans="2:10">
      <c r="B482" s="25"/>
      <c r="C482" s="25"/>
      <c r="D482" s="26" t="str" cm="1">
        <f t="array" ref="D482">IF(C482="","",IFERROR(INDEX(STPP!$D$6:$D$4207,MATCH(C482,STPP!$C$6:$C$4207,0)),"Not Found"))</f>
        <v/>
      </c>
      <c r="E482" s="27" t="str" cm="1">
        <f t="array" ref="E482">IF(C482="","",IFERROR(INDEX(STPP!$E$6:$E$4207,MATCH(C482,STPP!$C$6:$C$4207,0)),"Not Found"))</f>
        <v/>
      </c>
      <c r="F482" s="27" t="str" cm="1">
        <f t="array" ref="F482">IF(C482="","",IFERROR(INDEX(STPP!$F$6:$F$4207,MATCH(C482,STPP!$C$6:$C$4207,0)),"Not Found"))</f>
        <v/>
      </c>
      <c r="G482" s="25" t="str">
        <f>IF(表1[[#This Row],[No Seri]]="","",表1[[#This Row],[Deskripsi Barang]]+表1[[#This Row],[Kuantitas]]-表1[[#This Row],[Satuan]])</f>
        <v/>
      </c>
      <c r="H482" s="28"/>
      <c r="I482" s="25" t="str">
        <f>IF(表1[[#This Row],[Tgl NPBG]]&gt;表1[[#This Row],[Peminta]],表1[[#This Row],[Tgl NPBG]]-表1[[#This Row],[Peminta]],"")</f>
        <v/>
      </c>
      <c r="J482" s="31"/>
    </row>
    <row r="483" s="12" customFormat="1" customHeight="1" spans="2:10">
      <c r="B483" s="25"/>
      <c r="C483" s="25"/>
      <c r="D483" s="26" t="str" cm="1">
        <f t="array" ref="D483">IF(C483="","",IFERROR(INDEX(STPP!$D$6:$D$4207,MATCH(C483,STPP!$C$6:$C$4207,0)),"Not Found"))</f>
        <v/>
      </c>
      <c r="E483" s="27" t="str" cm="1">
        <f t="array" ref="E483">IF(C483="","",IFERROR(INDEX(STPP!$E$6:$E$4207,MATCH(C483,STPP!$C$6:$C$4207,0)),"Not Found"))</f>
        <v/>
      </c>
      <c r="F483" s="27" t="str" cm="1">
        <f t="array" ref="F483">IF(C483="","",IFERROR(INDEX(STPP!$F$6:$F$4207,MATCH(C483,STPP!$C$6:$C$4207,0)),"Not Found"))</f>
        <v/>
      </c>
      <c r="G483" s="25" t="str">
        <f>IF(表1[[#This Row],[No Seri]]="","",表1[[#This Row],[Deskripsi Barang]]+表1[[#This Row],[Kuantitas]]-表1[[#This Row],[Satuan]])</f>
        <v/>
      </c>
      <c r="H483" s="28"/>
      <c r="I483" s="25" t="str">
        <f>IF(表1[[#This Row],[Tgl NPBG]]&gt;表1[[#This Row],[Peminta]],表1[[#This Row],[Tgl NPBG]]-表1[[#This Row],[Peminta]],"")</f>
        <v/>
      </c>
      <c r="J483" s="31"/>
    </row>
    <row r="484" s="12" customFormat="1" customHeight="1" spans="2:10">
      <c r="B484" s="25"/>
      <c r="C484" s="25"/>
      <c r="D484" s="26" t="str" cm="1">
        <f t="array" ref="D484">IF(C484="","",IFERROR(INDEX(STPP!$D$6:$D$4207,MATCH(C484,STPP!$C$6:$C$4207,0)),"Not Found"))</f>
        <v/>
      </c>
      <c r="E484" s="27" t="str" cm="1">
        <f t="array" ref="E484">IF(C484="","",IFERROR(INDEX(STPP!$E$6:$E$4207,MATCH(C484,STPP!$C$6:$C$4207,0)),"Not Found"))</f>
        <v/>
      </c>
      <c r="F484" s="27" t="str" cm="1">
        <f t="array" ref="F484">IF(C484="","",IFERROR(INDEX(STPP!$F$6:$F$4207,MATCH(C484,STPP!$C$6:$C$4207,0)),"Not Found"))</f>
        <v/>
      </c>
      <c r="G484" s="25" t="str">
        <f>IF(表1[[#This Row],[No Seri]]="","",表1[[#This Row],[Deskripsi Barang]]+表1[[#This Row],[Kuantitas]]-表1[[#This Row],[Satuan]])</f>
        <v/>
      </c>
      <c r="H484" s="28"/>
      <c r="I484" s="25" t="str">
        <f>IF(表1[[#This Row],[Tgl NPBG]]&gt;表1[[#This Row],[Peminta]],表1[[#This Row],[Tgl NPBG]]-表1[[#This Row],[Peminta]],"")</f>
        <v/>
      </c>
      <c r="J484" s="31"/>
    </row>
    <row r="485" s="12" customFormat="1" customHeight="1" spans="2:10">
      <c r="B485" s="25"/>
      <c r="C485" s="25"/>
      <c r="D485" s="26" t="str" cm="1">
        <f t="array" ref="D485">IF(C485="","",IFERROR(INDEX(STPP!$D$6:$D$4207,MATCH(C485,STPP!$C$6:$C$4207,0)),"Not Found"))</f>
        <v/>
      </c>
      <c r="E485" s="27" t="str" cm="1">
        <f t="array" ref="E485">IF(C485="","",IFERROR(INDEX(STPP!$E$6:$E$4207,MATCH(C485,STPP!$C$6:$C$4207,0)),"Not Found"))</f>
        <v/>
      </c>
      <c r="F485" s="27" t="str" cm="1">
        <f t="array" ref="F485">IF(C485="","",IFERROR(INDEX(STPP!$F$6:$F$4207,MATCH(C485,STPP!$C$6:$C$4207,0)),"Not Found"))</f>
        <v/>
      </c>
      <c r="G485" s="25" t="str">
        <f>IF(表1[[#This Row],[No Seri]]="","",表1[[#This Row],[Deskripsi Barang]]+表1[[#This Row],[Kuantitas]]-表1[[#This Row],[Satuan]])</f>
        <v/>
      </c>
      <c r="H485" s="28"/>
      <c r="I485" s="25" t="str">
        <f>IF(表1[[#This Row],[Tgl NPBG]]&gt;表1[[#This Row],[Peminta]],表1[[#This Row],[Tgl NPBG]]-表1[[#This Row],[Peminta]],"")</f>
        <v/>
      </c>
      <c r="J485" s="31"/>
    </row>
    <row r="486" s="12" customFormat="1" customHeight="1" spans="2:10">
      <c r="B486" s="25"/>
      <c r="C486" s="25"/>
      <c r="D486" s="26" t="str" cm="1">
        <f t="array" ref="D486">IF(C486="","",IFERROR(INDEX(STPP!$D$6:$D$4207,MATCH(C486,STPP!$C$6:$C$4207,0)),"Not Found"))</f>
        <v/>
      </c>
      <c r="E486" s="27" t="str" cm="1">
        <f t="array" ref="E486">IF(C486="","",IFERROR(INDEX(STPP!$E$6:$E$4207,MATCH(C486,STPP!$C$6:$C$4207,0)),"Not Found"))</f>
        <v/>
      </c>
      <c r="F486" s="27" t="str" cm="1">
        <f t="array" ref="F486">IF(C486="","",IFERROR(INDEX(STPP!$F$6:$F$4207,MATCH(C486,STPP!$C$6:$C$4207,0)),"Not Found"))</f>
        <v/>
      </c>
      <c r="G486" s="25" t="str">
        <f>IF(表1[[#This Row],[No Seri]]="","",表1[[#This Row],[Deskripsi Barang]]+表1[[#This Row],[Kuantitas]]-表1[[#This Row],[Satuan]])</f>
        <v/>
      </c>
      <c r="H486" s="28"/>
      <c r="I486" s="25" t="str">
        <f>IF(表1[[#This Row],[Tgl NPBG]]&gt;表1[[#This Row],[Peminta]],表1[[#This Row],[Tgl NPBG]]-表1[[#This Row],[Peminta]],"")</f>
        <v/>
      </c>
      <c r="J486" s="31"/>
    </row>
    <row r="487" s="12" customFormat="1" customHeight="1" spans="2:10">
      <c r="B487" s="25"/>
      <c r="C487" s="25"/>
      <c r="D487" s="26" t="str" cm="1">
        <f t="array" ref="D487">IF(C487="","",IFERROR(INDEX(STPP!$D$6:$D$4207,MATCH(C487,STPP!$C$6:$C$4207,0)),"Not Found"))</f>
        <v/>
      </c>
      <c r="E487" s="27" t="str" cm="1">
        <f t="array" ref="E487">IF(C487="","",IFERROR(INDEX(STPP!$E$6:$E$4207,MATCH(C487,STPP!$C$6:$C$4207,0)),"Not Found"))</f>
        <v/>
      </c>
      <c r="F487" s="27" t="str" cm="1">
        <f t="array" ref="F487">IF(C487="","",IFERROR(INDEX(STPP!$F$6:$F$4207,MATCH(C487,STPP!$C$6:$C$4207,0)),"Not Found"))</f>
        <v/>
      </c>
      <c r="G487" s="25" t="str">
        <f>IF(表1[[#This Row],[No Seri]]="","",表1[[#This Row],[Deskripsi Barang]]+表1[[#This Row],[Kuantitas]]-表1[[#This Row],[Satuan]])</f>
        <v/>
      </c>
      <c r="H487" s="28"/>
      <c r="I487" s="25" t="str">
        <f>IF(表1[[#This Row],[Tgl NPBG]]&gt;表1[[#This Row],[Peminta]],表1[[#This Row],[Tgl NPBG]]-表1[[#This Row],[Peminta]],"")</f>
        <v/>
      </c>
      <c r="J487" s="31"/>
    </row>
    <row r="488" s="12" customFormat="1" customHeight="1" spans="2:10">
      <c r="B488" s="25"/>
      <c r="C488" s="25"/>
      <c r="D488" s="26" t="str" cm="1">
        <f t="array" ref="D488">IF(C488="","",IFERROR(INDEX(STPP!$D$6:$D$4207,MATCH(C488,STPP!$C$6:$C$4207,0)),"Not Found"))</f>
        <v/>
      </c>
      <c r="E488" s="27" t="str" cm="1">
        <f t="array" ref="E488">IF(C488="","",IFERROR(INDEX(STPP!$E$6:$E$4207,MATCH(C488,STPP!$C$6:$C$4207,0)),"Not Found"))</f>
        <v/>
      </c>
      <c r="F488" s="27" t="str" cm="1">
        <f t="array" ref="F488">IF(C488="","",IFERROR(INDEX(STPP!$F$6:$F$4207,MATCH(C488,STPP!$C$6:$C$4207,0)),"Not Found"))</f>
        <v/>
      </c>
      <c r="G488" s="25" t="str">
        <f>IF(表1[[#This Row],[No Seri]]="","",表1[[#This Row],[Deskripsi Barang]]+表1[[#This Row],[Kuantitas]]-表1[[#This Row],[Satuan]])</f>
        <v/>
      </c>
      <c r="H488" s="28"/>
      <c r="I488" s="25" t="str">
        <f>IF(表1[[#This Row],[Tgl NPBG]]&gt;表1[[#This Row],[Peminta]],表1[[#This Row],[Tgl NPBG]]-表1[[#This Row],[Peminta]],"")</f>
        <v/>
      </c>
      <c r="J488" s="31"/>
    </row>
    <row r="489" s="12" customFormat="1" customHeight="1" spans="2:10">
      <c r="B489" s="25"/>
      <c r="C489" s="25"/>
      <c r="D489" s="26" t="str" cm="1">
        <f t="array" ref="D489">IF(C489="","",IFERROR(INDEX(STPP!$D$6:$D$4207,MATCH(C489,STPP!$C$6:$C$4207,0)),"Not Found"))</f>
        <v/>
      </c>
      <c r="E489" s="27" t="str" cm="1">
        <f t="array" ref="E489">IF(C489="","",IFERROR(INDEX(STPP!$E$6:$E$4207,MATCH(C489,STPP!$C$6:$C$4207,0)),"Not Found"))</f>
        <v/>
      </c>
      <c r="F489" s="27" t="str" cm="1">
        <f t="array" ref="F489">IF(C489="","",IFERROR(INDEX(STPP!$F$6:$F$4207,MATCH(C489,STPP!$C$6:$C$4207,0)),"Not Found"))</f>
        <v/>
      </c>
      <c r="G489" s="25" t="str">
        <f>IF(表1[[#This Row],[No Seri]]="","",表1[[#This Row],[Deskripsi Barang]]+表1[[#This Row],[Kuantitas]]-表1[[#This Row],[Satuan]])</f>
        <v/>
      </c>
      <c r="H489" s="28"/>
      <c r="I489" s="25" t="str">
        <f>IF(表1[[#This Row],[Tgl NPBG]]&gt;表1[[#This Row],[Peminta]],表1[[#This Row],[Tgl NPBG]]-表1[[#This Row],[Peminta]],"")</f>
        <v/>
      </c>
      <c r="J489" s="31"/>
    </row>
    <row r="490" s="12" customFormat="1" customHeight="1" spans="2:10">
      <c r="B490" s="25"/>
      <c r="C490" s="25"/>
      <c r="D490" s="26" t="str" cm="1">
        <f t="array" ref="D490">IF(C490="","",IFERROR(INDEX(STPP!$D$6:$D$4207,MATCH(C490,STPP!$C$6:$C$4207,0)),"Not Found"))</f>
        <v/>
      </c>
      <c r="E490" s="27" t="str" cm="1">
        <f t="array" ref="E490">IF(C490="","",IFERROR(INDEX(STPP!$E$6:$E$4207,MATCH(C490,STPP!$C$6:$C$4207,0)),"Not Found"))</f>
        <v/>
      </c>
      <c r="F490" s="27" t="str" cm="1">
        <f t="array" ref="F490">IF(C490="","",IFERROR(INDEX(STPP!$F$6:$F$4207,MATCH(C490,STPP!$C$6:$C$4207,0)),"Not Found"))</f>
        <v/>
      </c>
      <c r="G490" s="25" t="str">
        <f>IF(表1[[#This Row],[No Seri]]="","",表1[[#This Row],[Deskripsi Barang]]+表1[[#This Row],[Kuantitas]]-表1[[#This Row],[Satuan]])</f>
        <v/>
      </c>
      <c r="H490" s="28"/>
      <c r="I490" s="25" t="str">
        <f>IF(表1[[#This Row],[Tgl NPBG]]&gt;表1[[#This Row],[Peminta]],表1[[#This Row],[Tgl NPBG]]-表1[[#This Row],[Peminta]],"")</f>
        <v/>
      </c>
      <c r="J490" s="31"/>
    </row>
    <row r="491" s="12" customFormat="1" customHeight="1" spans="2:10">
      <c r="B491" s="25"/>
      <c r="C491" s="25"/>
      <c r="D491" s="26" t="str" cm="1">
        <f t="array" ref="D491">IF(C491="","",IFERROR(INDEX(STPP!$D$6:$D$4207,MATCH(C491,STPP!$C$6:$C$4207,0)),"Not Found"))</f>
        <v/>
      </c>
      <c r="E491" s="27" t="str" cm="1">
        <f t="array" ref="E491">IF(C491="","",IFERROR(INDEX(STPP!$E$6:$E$4207,MATCH(C491,STPP!$C$6:$C$4207,0)),"Not Found"))</f>
        <v/>
      </c>
      <c r="F491" s="27" t="str" cm="1">
        <f t="array" ref="F491">IF(C491="","",IFERROR(INDEX(STPP!$F$6:$F$4207,MATCH(C491,STPP!$C$6:$C$4207,0)),"Not Found"))</f>
        <v/>
      </c>
      <c r="G491" s="25" t="str">
        <f>IF(表1[[#This Row],[No Seri]]="","",表1[[#This Row],[Deskripsi Barang]]+表1[[#This Row],[Kuantitas]]-表1[[#This Row],[Satuan]])</f>
        <v/>
      </c>
      <c r="H491" s="28"/>
      <c r="I491" s="25" t="str">
        <f>IF(表1[[#This Row],[Tgl NPBG]]&gt;表1[[#This Row],[Peminta]],表1[[#This Row],[Tgl NPBG]]-表1[[#This Row],[Peminta]],"")</f>
        <v/>
      </c>
      <c r="J491" s="31"/>
    </row>
    <row r="492" s="12" customFormat="1" customHeight="1" spans="2:10">
      <c r="B492" s="25"/>
      <c r="C492" s="25"/>
      <c r="D492" s="26" t="str" cm="1">
        <f t="array" ref="D492">IF(C492="","",IFERROR(INDEX(STPP!$D$6:$D$4207,MATCH(C492,STPP!$C$6:$C$4207,0)),"Not Found"))</f>
        <v/>
      </c>
      <c r="E492" s="27" t="str" cm="1">
        <f t="array" ref="E492">IF(C492="","",IFERROR(INDEX(STPP!$E$6:$E$4207,MATCH(C492,STPP!$C$6:$C$4207,0)),"Not Found"))</f>
        <v/>
      </c>
      <c r="F492" s="27" t="str" cm="1">
        <f t="array" ref="F492">IF(C492="","",IFERROR(INDEX(STPP!$F$6:$F$4207,MATCH(C492,STPP!$C$6:$C$4207,0)),"Not Found"))</f>
        <v/>
      </c>
      <c r="G492" s="25" t="str">
        <f>IF(表1[[#This Row],[No Seri]]="","",表1[[#This Row],[Deskripsi Barang]]+表1[[#This Row],[Kuantitas]]-表1[[#This Row],[Satuan]])</f>
        <v/>
      </c>
      <c r="H492" s="28"/>
      <c r="I492" s="25" t="str">
        <f>IF(表1[[#This Row],[Tgl NPBG]]&gt;表1[[#This Row],[Peminta]],表1[[#This Row],[Tgl NPBG]]-表1[[#This Row],[Peminta]],"")</f>
        <v/>
      </c>
      <c r="J492" s="31"/>
    </row>
    <row r="493" s="12" customFormat="1" customHeight="1" spans="2:10">
      <c r="B493" s="25"/>
      <c r="C493" s="25"/>
      <c r="D493" s="26" t="str" cm="1">
        <f t="array" ref="D493">IF(C493="","",IFERROR(INDEX(STPP!$D$6:$D$4207,MATCH(C493,STPP!$C$6:$C$4207,0)),"Not Found"))</f>
        <v/>
      </c>
      <c r="E493" s="27" t="str" cm="1">
        <f t="array" ref="E493">IF(C493="","",IFERROR(INDEX(STPP!$E$6:$E$4207,MATCH(C493,STPP!$C$6:$C$4207,0)),"Not Found"))</f>
        <v/>
      </c>
      <c r="F493" s="27" t="str" cm="1">
        <f t="array" ref="F493">IF(C493="","",IFERROR(INDEX(STPP!$F$6:$F$4207,MATCH(C493,STPP!$C$6:$C$4207,0)),"Not Found"))</f>
        <v/>
      </c>
      <c r="G493" s="25" t="str">
        <f>IF(表1[[#This Row],[No Seri]]="","",表1[[#This Row],[Deskripsi Barang]]+表1[[#This Row],[Kuantitas]]-表1[[#This Row],[Satuan]])</f>
        <v/>
      </c>
      <c r="H493" s="28"/>
      <c r="I493" s="25" t="str">
        <f>IF(表1[[#This Row],[Tgl NPBG]]&gt;表1[[#This Row],[Peminta]],表1[[#This Row],[Tgl NPBG]]-表1[[#This Row],[Peminta]],"")</f>
        <v/>
      </c>
      <c r="J493" s="31"/>
    </row>
    <row r="494" s="12" customFormat="1" customHeight="1" spans="2:10">
      <c r="B494" s="25"/>
      <c r="C494" s="25"/>
      <c r="D494" s="26" t="str" cm="1">
        <f t="array" ref="D494">IF(C494="","",IFERROR(INDEX(STPP!$D$6:$D$4207,MATCH(C494,STPP!$C$6:$C$4207,0)),"Not Found"))</f>
        <v/>
      </c>
      <c r="E494" s="27" t="str" cm="1">
        <f t="array" ref="E494">IF(C494="","",IFERROR(INDEX(STPP!$E$6:$E$4207,MATCH(C494,STPP!$C$6:$C$4207,0)),"Not Found"))</f>
        <v/>
      </c>
      <c r="F494" s="27" t="str" cm="1">
        <f t="array" ref="F494">IF(C494="","",IFERROR(INDEX(STPP!$F$6:$F$4207,MATCH(C494,STPP!$C$6:$C$4207,0)),"Not Found"))</f>
        <v/>
      </c>
      <c r="G494" s="25" t="str">
        <f>IF(表1[[#This Row],[No Seri]]="","",表1[[#This Row],[Deskripsi Barang]]+表1[[#This Row],[Kuantitas]]-表1[[#This Row],[Satuan]])</f>
        <v/>
      </c>
      <c r="H494" s="28"/>
      <c r="I494" s="25" t="str">
        <f>IF(表1[[#This Row],[Tgl NPBG]]&gt;表1[[#This Row],[Peminta]],表1[[#This Row],[Tgl NPBG]]-表1[[#This Row],[Peminta]],"")</f>
        <v/>
      </c>
      <c r="J494" s="31"/>
    </row>
    <row r="495" s="12" customFormat="1" customHeight="1" spans="2:10">
      <c r="B495" s="25"/>
      <c r="C495" s="25"/>
      <c r="D495" s="26" t="str" cm="1">
        <f t="array" ref="D495">IF(C495="","",IFERROR(INDEX(STPP!$D$6:$D$4207,MATCH(C495,STPP!$C$6:$C$4207,0)),"Not Found"))</f>
        <v/>
      </c>
      <c r="E495" s="27" t="str" cm="1">
        <f t="array" ref="E495">IF(C495="","",IFERROR(INDEX(STPP!$E$6:$E$4207,MATCH(C495,STPP!$C$6:$C$4207,0)),"Not Found"))</f>
        <v/>
      </c>
      <c r="F495" s="27" t="str" cm="1">
        <f t="array" ref="F495">IF(C495="","",IFERROR(INDEX(STPP!$F$6:$F$4207,MATCH(C495,STPP!$C$6:$C$4207,0)),"Not Found"))</f>
        <v/>
      </c>
      <c r="G495" s="25" t="str">
        <f>IF(表1[[#This Row],[No Seri]]="","",表1[[#This Row],[Deskripsi Barang]]+表1[[#This Row],[Kuantitas]]-表1[[#This Row],[Satuan]])</f>
        <v/>
      </c>
      <c r="H495" s="28"/>
      <c r="I495" s="25" t="str">
        <f>IF(表1[[#This Row],[Tgl NPBG]]&gt;表1[[#This Row],[Peminta]],表1[[#This Row],[Tgl NPBG]]-表1[[#This Row],[Peminta]],"")</f>
        <v/>
      </c>
      <c r="J495" s="31"/>
    </row>
    <row r="496" s="12" customFormat="1" customHeight="1" spans="2:10">
      <c r="B496" s="25"/>
      <c r="C496" s="25"/>
      <c r="D496" s="26" t="str" cm="1">
        <f t="array" ref="D496">IF(C496="","",IFERROR(INDEX(STPP!$D$6:$D$4207,MATCH(C496,STPP!$C$6:$C$4207,0)),"Not Found"))</f>
        <v/>
      </c>
      <c r="E496" s="27" t="str" cm="1">
        <f t="array" ref="E496">IF(C496="","",IFERROR(INDEX(STPP!$E$6:$E$4207,MATCH(C496,STPP!$C$6:$C$4207,0)),"Not Found"))</f>
        <v/>
      </c>
      <c r="F496" s="27" t="str" cm="1">
        <f t="array" ref="F496">IF(C496="","",IFERROR(INDEX(STPP!$F$6:$F$4207,MATCH(C496,STPP!$C$6:$C$4207,0)),"Not Found"))</f>
        <v/>
      </c>
      <c r="G496" s="25" t="str">
        <f>IF(表1[[#This Row],[No Seri]]="","",表1[[#This Row],[Deskripsi Barang]]+表1[[#This Row],[Kuantitas]]-表1[[#This Row],[Satuan]])</f>
        <v/>
      </c>
      <c r="H496" s="28"/>
      <c r="I496" s="25" t="str">
        <f>IF(表1[[#This Row],[Tgl NPBG]]&gt;表1[[#This Row],[Peminta]],表1[[#This Row],[Tgl NPBG]]-表1[[#This Row],[Peminta]],"")</f>
        <v/>
      </c>
      <c r="J496" s="31"/>
    </row>
    <row r="497" s="12" customFormat="1" customHeight="1" spans="2:10">
      <c r="B497" s="25"/>
      <c r="C497" s="25"/>
      <c r="D497" s="26" t="str" cm="1">
        <f t="array" ref="D497">IF(C497="","",IFERROR(INDEX(STPP!$D$6:$D$4207,MATCH(C497,STPP!$C$6:$C$4207,0)),"Not Found"))</f>
        <v/>
      </c>
      <c r="E497" s="27" t="str" cm="1">
        <f t="array" ref="E497">IF(C497="","",IFERROR(INDEX(STPP!$E$6:$E$4207,MATCH(C497,STPP!$C$6:$C$4207,0)),"Not Found"))</f>
        <v/>
      </c>
      <c r="F497" s="27" t="str" cm="1">
        <f t="array" ref="F497">IF(C497="","",IFERROR(INDEX(STPP!$F$6:$F$4207,MATCH(C497,STPP!$C$6:$C$4207,0)),"Not Found"))</f>
        <v/>
      </c>
      <c r="G497" s="25" t="str">
        <f>IF(表1[[#This Row],[No Seri]]="","",表1[[#This Row],[Deskripsi Barang]]+表1[[#This Row],[Kuantitas]]-表1[[#This Row],[Satuan]])</f>
        <v/>
      </c>
      <c r="H497" s="28"/>
      <c r="I497" s="25" t="str">
        <f>IF(表1[[#This Row],[Tgl NPBG]]&gt;表1[[#This Row],[Peminta]],表1[[#This Row],[Tgl NPBG]]-表1[[#This Row],[Peminta]],"")</f>
        <v/>
      </c>
      <c r="J497" s="31"/>
    </row>
    <row r="498" s="12" customFormat="1" customHeight="1" spans="2:10">
      <c r="B498" s="25"/>
      <c r="C498" s="25"/>
      <c r="D498" s="26" t="str" cm="1">
        <f t="array" ref="D498">IF(C498="","",IFERROR(INDEX(STPP!$D$6:$D$4207,MATCH(C498,STPP!$C$6:$C$4207,0)),"Not Found"))</f>
        <v/>
      </c>
      <c r="E498" s="27" t="str" cm="1">
        <f t="array" ref="E498">IF(C498="","",IFERROR(INDEX(STPP!$E$6:$E$4207,MATCH(C498,STPP!$C$6:$C$4207,0)),"Not Found"))</f>
        <v/>
      </c>
      <c r="F498" s="27" t="str" cm="1">
        <f t="array" ref="F498">IF(C498="","",IFERROR(INDEX(STPP!$F$6:$F$4207,MATCH(C498,STPP!$C$6:$C$4207,0)),"Not Found"))</f>
        <v/>
      </c>
      <c r="G498" s="25" t="str">
        <f>IF(表1[[#This Row],[No Seri]]="","",表1[[#This Row],[Deskripsi Barang]]+表1[[#This Row],[Kuantitas]]-表1[[#This Row],[Satuan]])</f>
        <v/>
      </c>
      <c r="H498" s="28"/>
      <c r="I498" s="25" t="str">
        <f>IF(表1[[#This Row],[Tgl NPBG]]&gt;表1[[#This Row],[Peminta]],表1[[#This Row],[Tgl NPBG]]-表1[[#This Row],[Peminta]],"")</f>
        <v/>
      </c>
      <c r="J498" s="31"/>
    </row>
    <row r="499" s="12" customFormat="1" customHeight="1" spans="2:10">
      <c r="B499" s="25"/>
      <c r="C499" s="25"/>
      <c r="D499" s="26" t="str" cm="1">
        <f t="array" ref="D499">IF(C499="","",IFERROR(INDEX(STPP!$D$6:$D$4207,MATCH(C499,STPP!$C$6:$C$4207,0)),"Not Found"))</f>
        <v/>
      </c>
      <c r="E499" s="27" t="str" cm="1">
        <f t="array" ref="E499">IF(C499="","",IFERROR(INDEX(STPP!$E$6:$E$4207,MATCH(C499,STPP!$C$6:$C$4207,0)),"Not Found"))</f>
        <v/>
      </c>
      <c r="F499" s="27" t="str" cm="1">
        <f t="array" ref="F499">IF(C499="","",IFERROR(INDEX(STPP!$F$6:$F$4207,MATCH(C499,STPP!$C$6:$C$4207,0)),"Not Found"))</f>
        <v/>
      </c>
      <c r="G499" s="25" t="str">
        <f>IF(表1[[#This Row],[No Seri]]="","",表1[[#This Row],[Deskripsi Barang]]+表1[[#This Row],[Kuantitas]]-表1[[#This Row],[Satuan]])</f>
        <v/>
      </c>
      <c r="H499" s="28"/>
      <c r="I499" s="25" t="str">
        <f>IF(表1[[#This Row],[Tgl NPBG]]&gt;表1[[#This Row],[Peminta]],表1[[#This Row],[Tgl NPBG]]-表1[[#This Row],[Peminta]],"")</f>
        <v/>
      </c>
      <c r="J499" s="31"/>
    </row>
    <row r="500" s="12" customFormat="1" customHeight="1" spans="2:10">
      <c r="B500" s="25"/>
      <c r="C500" s="25"/>
      <c r="D500" s="26" t="str" cm="1">
        <f t="array" ref="D500">IF(C500="","",IFERROR(INDEX(STPP!$D$6:$D$4207,MATCH(C500,STPP!$C$6:$C$4207,0)),"Not Found"))</f>
        <v/>
      </c>
      <c r="E500" s="27" t="str" cm="1">
        <f t="array" ref="E500">IF(C500="","",IFERROR(INDEX(STPP!$E$6:$E$4207,MATCH(C500,STPP!$C$6:$C$4207,0)),"Not Found"))</f>
        <v/>
      </c>
      <c r="F500" s="27" t="str" cm="1">
        <f t="array" ref="F500">IF(C500="","",IFERROR(INDEX(STPP!$F$6:$F$4207,MATCH(C500,STPP!$C$6:$C$4207,0)),"Not Found"))</f>
        <v/>
      </c>
      <c r="G500" s="25" t="str">
        <f>IF(表1[[#This Row],[No Seri]]="","",表1[[#This Row],[Deskripsi Barang]]+表1[[#This Row],[Kuantitas]]-表1[[#This Row],[Satuan]])</f>
        <v/>
      </c>
      <c r="H500" s="28"/>
      <c r="I500" s="25" t="str">
        <f>IF(表1[[#This Row],[Tgl NPBG]]&gt;表1[[#This Row],[Peminta]],表1[[#This Row],[Tgl NPBG]]-表1[[#This Row],[Peminta]],"")</f>
        <v/>
      </c>
      <c r="J500" s="31"/>
    </row>
    <row r="501" s="12" customFormat="1" customHeight="1" spans="2:10">
      <c r="B501" s="25"/>
      <c r="C501" s="25"/>
      <c r="D501" s="26" t="str" cm="1">
        <f t="array" ref="D501">IF(C501="","",IFERROR(INDEX(STPP!$D$6:$D$4207,MATCH(C501,STPP!$C$6:$C$4207,0)),"Not Found"))</f>
        <v/>
      </c>
      <c r="E501" s="27" t="str" cm="1">
        <f t="array" ref="E501">IF(C501="","",IFERROR(INDEX(STPP!$E$6:$E$4207,MATCH(C501,STPP!$C$6:$C$4207,0)),"Not Found"))</f>
        <v/>
      </c>
      <c r="F501" s="27" t="str" cm="1">
        <f t="array" ref="F501">IF(C501="","",IFERROR(INDEX(STPP!$F$6:$F$4207,MATCH(C501,STPP!$C$6:$C$4207,0)),"Not Found"))</f>
        <v/>
      </c>
      <c r="G501" s="25" t="str">
        <f>IF(表1[[#This Row],[No Seri]]="","",表1[[#This Row],[Deskripsi Barang]]+表1[[#This Row],[Kuantitas]]-表1[[#This Row],[Satuan]])</f>
        <v/>
      </c>
      <c r="H501" s="28"/>
      <c r="I501" s="25" t="str">
        <f>IF(表1[[#This Row],[Tgl NPBG]]&gt;表1[[#This Row],[Peminta]],表1[[#This Row],[Tgl NPBG]]-表1[[#This Row],[Peminta]],"")</f>
        <v/>
      </c>
      <c r="J501" s="31"/>
    </row>
    <row r="502" s="12" customFormat="1" customHeight="1" spans="2:10">
      <c r="B502" s="25"/>
      <c r="C502" s="25"/>
      <c r="D502" s="26" t="str" cm="1">
        <f t="array" ref="D502">IF(C502="","",IFERROR(INDEX(STPP!$D$6:$D$4207,MATCH(C502,STPP!$C$6:$C$4207,0)),"Not Found"))</f>
        <v/>
      </c>
      <c r="E502" s="27" t="str" cm="1">
        <f t="array" ref="E502">IF(C502="","",IFERROR(INDEX(STPP!$E$6:$E$4207,MATCH(C502,STPP!$C$6:$C$4207,0)),"Not Found"))</f>
        <v/>
      </c>
      <c r="F502" s="27" t="str" cm="1">
        <f t="array" ref="F502">IF(C502="","",IFERROR(INDEX(STPP!$F$6:$F$4207,MATCH(C502,STPP!$C$6:$C$4207,0)),"Not Found"))</f>
        <v/>
      </c>
      <c r="G502" s="25" t="str">
        <f>IF(表1[[#This Row],[No Seri]]="","",表1[[#This Row],[Deskripsi Barang]]+表1[[#This Row],[Kuantitas]]-表1[[#This Row],[Satuan]])</f>
        <v/>
      </c>
      <c r="H502" s="28"/>
      <c r="I502" s="25" t="str">
        <f>IF(表1[[#This Row],[Tgl NPBG]]&gt;表1[[#This Row],[Peminta]],表1[[#This Row],[Tgl NPBG]]-表1[[#This Row],[Peminta]],"")</f>
        <v/>
      </c>
      <c r="J502" s="31"/>
    </row>
    <row r="503" s="12" customFormat="1" customHeight="1" spans="2:10">
      <c r="B503" s="25"/>
      <c r="C503" s="25"/>
      <c r="D503" s="26" t="str" cm="1">
        <f t="array" ref="D503">IF(C503="","",IFERROR(INDEX(STPP!$D$6:$D$4207,MATCH(C503,STPP!$C$6:$C$4207,0)),"Not Found"))</f>
        <v/>
      </c>
      <c r="E503" s="27" t="str" cm="1">
        <f t="array" ref="E503">IF(C503="","",IFERROR(INDEX(STPP!$E$6:$E$4207,MATCH(C503,STPP!$C$6:$C$4207,0)),"Not Found"))</f>
        <v/>
      </c>
      <c r="F503" s="27" t="str" cm="1">
        <f t="array" ref="F503">IF(C503="","",IFERROR(INDEX(STPP!$F$6:$F$4207,MATCH(C503,STPP!$C$6:$C$4207,0)),"Not Found"))</f>
        <v/>
      </c>
      <c r="G503" s="25" t="str">
        <f>IF(表1[[#This Row],[No Seri]]="","",表1[[#This Row],[Deskripsi Barang]]+表1[[#This Row],[Kuantitas]]-表1[[#This Row],[Satuan]])</f>
        <v/>
      </c>
      <c r="H503" s="28"/>
      <c r="I503" s="25" t="str">
        <f>IF(表1[[#This Row],[Tgl NPBG]]&gt;表1[[#This Row],[Peminta]],表1[[#This Row],[Tgl NPBG]]-表1[[#This Row],[Peminta]],"")</f>
        <v/>
      </c>
      <c r="J503" s="31"/>
    </row>
    <row r="504" s="12" customFormat="1" customHeight="1" spans="2:10">
      <c r="B504" s="25"/>
      <c r="C504" s="25"/>
      <c r="D504" s="26" t="str" cm="1">
        <f t="array" ref="D504">IF(C504="","",IFERROR(INDEX(STPP!$D$6:$D$4207,MATCH(C504,STPP!$C$6:$C$4207,0)),"Not Found"))</f>
        <v/>
      </c>
      <c r="E504" s="27" t="str" cm="1">
        <f t="array" ref="E504">IF(C504="","",IFERROR(INDEX(STPP!$E$6:$E$4207,MATCH(C504,STPP!$C$6:$C$4207,0)),"Not Found"))</f>
        <v/>
      </c>
      <c r="F504" s="27" t="str" cm="1">
        <f t="array" ref="F504">IF(C504="","",IFERROR(INDEX(STPP!$F$6:$F$4207,MATCH(C504,STPP!$C$6:$C$4207,0)),"Not Found"))</f>
        <v/>
      </c>
      <c r="G504" s="25" t="str">
        <f>IF(表1[[#This Row],[No Seri]]="","",表1[[#This Row],[Deskripsi Barang]]+表1[[#This Row],[Kuantitas]]-表1[[#This Row],[Satuan]])</f>
        <v/>
      </c>
      <c r="H504" s="28"/>
      <c r="I504" s="25" t="str">
        <f>IF(表1[[#This Row],[Tgl NPBG]]&gt;表1[[#This Row],[Peminta]],表1[[#This Row],[Tgl NPBG]]-表1[[#This Row],[Peminta]],"")</f>
        <v/>
      </c>
      <c r="J504" s="31"/>
    </row>
    <row r="505" s="12" customFormat="1" customHeight="1" spans="2:10">
      <c r="B505" s="25"/>
      <c r="C505" s="25"/>
      <c r="D505" s="26" t="str" cm="1">
        <f t="array" ref="D505">IF(C505="","",IFERROR(INDEX(STPP!$D$6:$D$4207,MATCH(C505,STPP!$C$6:$C$4207,0)),"Not Found"))</f>
        <v/>
      </c>
      <c r="E505" s="27" t="str" cm="1">
        <f t="array" ref="E505">IF(C505="","",IFERROR(INDEX(STPP!$E$6:$E$4207,MATCH(C505,STPP!$C$6:$C$4207,0)),"Not Found"))</f>
        <v/>
      </c>
      <c r="F505" s="27" t="str" cm="1">
        <f t="array" ref="F505">IF(C505="","",IFERROR(INDEX(STPP!$F$6:$F$4207,MATCH(C505,STPP!$C$6:$C$4207,0)),"Not Found"))</f>
        <v/>
      </c>
      <c r="G505" s="25" t="str">
        <f>IF(表1[[#This Row],[No Seri]]="","",表1[[#This Row],[Deskripsi Barang]]+表1[[#This Row],[Kuantitas]]-表1[[#This Row],[Satuan]])</f>
        <v/>
      </c>
      <c r="H505" s="28"/>
      <c r="I505" s="25" t="str">
        <f>IF(表1[[#This Row],[Tgl NPBG]]&gt;表1[[#This Row],[Peminta]],表1[[#This Row],[Tgl NPBG]]-表1[[#This Row],[Peminta]],"")</f>
        <v/>
      </c>
      <c r="J505" s="31"/>
    </row>
    <row r="506" s="12" customFormat="1" customHeight="1" spans="2:10">
      <c r="B506" s="25"/>
      <c r="C506" s="25"/>
      <c r="D506" s="26" t="str" cm="1">
        <f t="array" ref="D506">IF(C506="","",IFERROR(INDEX(STPP!$D$6:$D$4207,MATCH(C506,STPP!$C$6:$C$4207,0)),"Not Found"))</f>
        <v/>
      </c>
      <c r="E506" s="27" t="str" cm="1">
        <f t="array" ref="E506">IF(C506="","",IFERROR(INDEX(STPP!$E$6:$E$4207,MATCH(C506,STPP!$C$6:$C$4207,0)),"Not Found"))</f>
        <v/>
      </c>
      <c r="F506" s="27" t="str" cm="1">
        <f t="array" ref="F506">IF(C506="","",IFERROR(INDEX(STPP!$F$6:$F$4207,MATCH(C506,STPP!$C$6:$C$4207,0)),"Not Found"))</f>
        <v/>
      </c>
      <c r="G506" s="25" t="str">
        <f>IF(表1[[#This Row],[No Seri]]="","",表1[[#This Row],[Deskripsi Barang]]+表1[[#This Row],[Kuantitas]]-表1[[#This Row],[Satuan]])</f>
        <v/>
      </c>
      <c r="H506" s="28"/>
      <c r="I506" s="25" t="str">
        <f>IF(表1[[#This Row],[Tgl NPBG]]&gt;表1[[#This Row],[Peminta]],表1[[#This Row],[Tgl NPBG]]-表1[[#This Row],[Peminta]],"")</f>
        <v/>
      </c>
      <c r="J506" s="31"/>
    </row>
    <row r="507" s="12" customFormat="1" customHeight="1" spans="2:10">
      <c r="B507" s="25"/>
      <c r="C507" s="25"/>
      <c r="D507" s="26" t="str" cm="1">
        <f t="array" ref="D507">IF(C507="","",IFERROR(INDEX(STPP!$D$6:$D$4207,MATCH(C507,STPP!$C$6:$C$4207,0)),"Not Found"))</f>
        <v/>
      </c>
      <c r="E507" s="27" t="str" cm="1">
        <f t="array" ref="E507">IF(C507="","",IFERROR(INDEX(STPP!$E$6:$E$4207,MATCH(C507,STPP!$C$6:$C$4207,0)),"Not Found"))</f>
        <v/>
      </c>
      <c r="F507" s="27" t="str" cm="1">
        <f t="array" ref="F507">IF(C507="","",IFERROR(INDEX(STPP!$F$6:$F$4207,MATCH(C507,STPP!$C$6:$C$4207,0)),"Not Found"))</f>
        <v/>
      </c>
      <c r="G507" s="25" t="str">
        <f>IF(表1[[#This Row],[No Seri]]="","",表1[[#This Row],[Deskripsi Barang]]+表1[[#This Row],[Kuantitas]]-表1[[#This Row],[Satuan]])</f>
        <v/>
      </c>
      <c r="H507" s="28"/>
      <c r="I507" s="25" t="str">
        <f>IF(表1[[#This Row],[Tgl NPBG]]&gt;表1[[#This Row],[Peminta]],表1[[#This Row],[Tgl NPBG]]-表1[[#This Row],[Peminta]],"")</f>
        <v/>
      </c>
      <c r="J507" s="31"/>
    </row>
    <row r="508" s="12" customFormat="1" customHeight="1" spans="2:10">
      <c r="B508" s="25"/>
      <c r="C508" s="25"/>
      <c r="D508" s="26" t="str" cm="1">
        <f t="array" ref="D508">IF(C508="","",IFERROR(INDEX(STPP!$D$6:$D$4207,MATCH(C508,STPP!$C$6:$C$4207,0)),"Not Found"))</f>
        <v/>
      </c>
      <c r="E508" s="27" t="str" cm="1">
        <f t="array" ref="E508">IF(C508="","",IFERROR(INDEX(STPP!$E$6:$E$4207,MATCH(C508,STPP!$C$6:$C$4207,0)),"Not Found"))</f>
        <v/>
      </c>
      <c r="F508" s="27" t="str" cm="1">
        <f t="array" ref="F508">IF(C508="","",IFERROR(INDEX(STPP!$F$6:$F$4207,MATCH(C508,STPP!$C$6:$C$4207,0)),"Not Found"))</f>
        <v/>
      </c>
      <c r="G508" s="25" t="str">
        <f>IF(表1[[#This Row],[No Seri]]="","",表1[[#This Row],[Deskripsi Barang]]+表1[[#This Row],[Kuantitas]]-表1[[#This Row],[Satuan]])</f>
        <v/>
      </c>
      <c r="H508" s="28"/>
      <c r="I508" s="25" t="str">
        <f>IF(表1[[#This Row],[Tgl NPBG]]&gt;表1[[#This Row],[Peminta]],表1[[#This Row],[Tgl NPBG]]-表1[[#This Row],[Peminta]],"")</f>
        <v/>
      </c>
      <c r="J508" s="31"/>
    </row>
    <row r="509" s="12" customFormat="1" customHeight="1" spans="2:10">
      <c r="B509" s="25"/>
      <c r="C509" s="25"/>
      <c r="D509" s="26" t="str" cm="1">
        <f t="array" ref="D509">IF(C509="","",IFERROR(INDEX(STPP!$D$6:$D$4207,MATCH(C509,STPP!$C$6:$C$4207,0)),"Not Found"))</f>
        <v/>
      </c>
      <c r="E509" s="27" t="str" cm="1">
        <f t="array" ref="E509">IF(C509="","",IFERROR(INDEX(STPP!$E$6:$E$4207,MATCH(C509,STPP!$C$6:$C$4207,0)),"Not Found"))</f>
        <v/>
      </c>
      <c r="F509" s="27" t="str" cm="1">
        <f t="array" ref="F509">IF(C509="","",IFERROR(INDEX(STPP!$F$6:$F$4207,MATCH(C509,STPP!$C$6:$C$4207,0)),"Not Found"))</f>
        <v/>
      </c>
      <c r="G509" s="25" t="str">
        <f>IF(表1[[#This Row],[No Seri]]="","",表1[[#This Row],[Deskripsi Barang]]+表1[[#This Row],[Kuantitas]]-表1[[#This Row],[Satuan]])</f>
        <v/>
      </c>
      <c r="H509" s="28"/>
      <c r="I509" s="25" t="str">
        <f>IF(表1[[#This Row],[Tgl NPBG]]&gt;表1[[#This Row],[Peminta]],表1[[#This Row],[Tgl NPBG]]-表1[[#This Row],[Peminta]],"")</f>
        <v/>
      </c>
      <c r="J509" s="31"/>
    </row>
    <row r="510" s="12" customFormat="1" customHeight="1" spans="2:10">
      <c r="B510" s="25"/>
      <c r="C510" s="25"/>
      <c r="D510" s="26" t="str" cm="1">
        <f t="array" ref="D510">IF(C510="","",IFERROR(INDEX(STPP!$D$6:$D$4207,MATCH(C510,STPP!$C$6:$C$4207,0)),"Not Found"))</f>
        <v/>
      </c>
      <c r="E510" s="27" t="str" cm="1">
        <f t="array" ref="E510">IF(C510="","",IFERROR(INDEX(STPP!$E$6:$E$4207,MATCH(C510,STPP!$C$6:$C$4207,0)),"Not Found"))</f>
        <v/>
      </c>
      <c r="F510" s="27" t="str" cm="1">
        <f t="array" ref="F510">IF(C510="","",IFERROR(INDEX(STPP!$F$6:$F$4207,MATCH(C510,STPP!$C$6:$C$4207,0)),"Not Found"))</f>
        <v/>
      </c>
      <c r="G510" s="25" t="str">
        <f>IF(表1[[#This Row],[No Seri]]="","",表1[[#This Row],[Deskripsi Barang]]+表1[[#This Row],[Kuantitas]]-表1[[#This Row],[Satuan]])</f>
        <v/>
      </c>
      <c r="H510" s="28"/>
      <c r="I510" s="25" t="str">
        <f>IF(表1[[#This Row],[Tgl NPBG]]&gt;表1[[#This Row],[Peminta]],表1[[#This Row],[Tgl NPBG]]-表1[[#This Row],[Peminta]],"")</f>
        <v/>
      </c>
      <c r="J510" s="31"/>
    </row>
    <row r="511" s="12" customFormat="1" customHeight="1" spans="2:10">
      <c r="B511" s="25"/>
      <c r="C511" s="25"/>
      <c r="D511" s="26" t="str" cm="1">
        <f t="array" ref="D511">IF(C511="","",IFERROR(INDEX(STPP!$D$6:$D$4207,MATCH(C511,STPP!$C$6:$C$4207,0)),"Not Found"))</f>
        <v/>
      </c>
      <c r="E511" s="27" t="str" cm="1">
        <f t="array" ref="E511">IF(C511="","",IFERROR(INDEX(STPP!$E$6:$E$4207,MATCH(C511,STPP!$C$6:$C$4207,0)),"Not Found"))</f>
        <v/>
      </c>
      <c r="F511" s="27" t="str" cm="1">
        <f t="array" ref="F511">IF(C511="","",IFERROR(INDEX(STPP!$F$6:$F$4207,MATCH(C511,STPP!$C$6:$C$4207,0)),"Not Found"))</f>
        <v/>
      </c>
      <c r="G511" s="25" t="str">
        <f>IF(表1[[#This Row],[No Seri]]="","",表1[[#This Row],[Deskripsi Barang]]+表1[[#This Row],[Kuantitas]]-表1[[#This Row],[Satuan]])</f>
        <v/>
      </c>
      <c r="H511" s="28"/>
      <c r="I511" s="25" t="str">
        <f>IF(表1[[#This Row],[Tgl NPBG]]&gt;表1[[#This Row],[Peminta]],表1[[#This Row],[Tgl NPBG]]-表1[[#This Row],[Peminta]],"")</f>
        <v/>
      </c>
      <c r="J511" s="31"/>
    </row>
    <row r="512" s="12" customFormat="1" customHeight="1" spans="2:10">
      <c r="B512" s="25"/>
      <c r="C512" s="25"/>
      <c r="D512" s="26" t="str" cm="1">
        <f t="array" ref="D512">IF(C512="","",IFERROR(INDEX(STPP!$D$6:$D$4207,MATCH(C512,STPP!$C$6:$C$4207,0)),"Not Found"))</f>
        <v/>
      </c>
      <c r="E512" s="27" t="str" cm="1">
        <f t="array" ref="E512">IF(C512="","",IFERROR(INDEX(STPP!$E$6:$E$4207,MATCH(C512,STPP!$C$6:$C$4207,0)),"Not Found"))</f>
        <v/>
      </c>
      <c r="F512" s="27" t="str" cm="1">
        <f t="array" ref="F512">IF(C512="","",IFERROR(INDEX(STPP!$F$6:$F$4207,MATCH(C512,STPP!$C$6:$C$4207,0)),"Not Found"))</f>
        <v/>
      </c>
      <c r="G512" s="25" t="str">
        <f>IF(表1[[#This Row],[No Seri]]="","",表1[[#This Row],[Deskripsi Barang]]+表1[[#This Row],[Kuantitas]]-表1[[#This Row],[Satuan]])</f>
        <v/>
      </c>
      <c r="H512" s="28"/>
      <c r="I512" s="25" t="str">
        <f>IF(表1[[#This Row],[Tgl NPBG]]&gt;表1[[#This Row],[Peminta]],表1[[#This Row],[Tgl NPBG]]-表1[[#This Row],[Peminta]],"")</f>
        <v/>
      </c>
      <c r="J512" s="31"/>
    </row>
    <row r="513" s="12" customFormat="1" customHeight="1" spans="2:10">
      <c r="B513" s="25"/>
      <c r="C513" s="25"/>
      <c r="D513" s="26" t="str" cm="1">
        <f t="array" ref="D513">IF(C513="","",IFERROR(INDEX(STPP!$D$6:$D$4207,MATCH(C513,STPP!$C$6:$C$4207,0)),"Not Found"))</f>
        <v/>
      </c>
      <c r="E513" s="27" t="str" cm="1">
        <f t="array" ref="E513">IF(C513="","",IFERROR(INDEX(STPP!$E$6:$E$4207,MATCH(C513,STPP!$C$6:$C$4207,0)),"Not Found"))</f>
        <v/>
      </c>
      <c r="F513" s="27" t="str" cm="1">
        <f t="array" ref="F513">IF(C513="","",IFERROR(INDEX(STPP!$F$6:$F$4207,MATCH(C513,STPP!$C$6:$C$4207,0)),"Not Found"))</f>
        <v/>
      </c>
      <c r="G513" s="25" t="str">
        <f>IF(表1[[#This Row],[No Seri]]="","",表1[[#This Row],[Deskripsi Barang]]+表1[[#This Row],[Kuantitas]]-表1[[#This Row],[Satuan]])</f>
        <v/>
      </c>
      <c r="H513" s="28"/>
      <c r="I513" s="25" t="str">
        <f>IF(表1[[#This Row],[Tgl NPBG]]&gt;表1[[#This Row],[Peminta]],表1[[#This Row],[Tgl NPBG]]-表1[[#This Row],[Peminta]],"")</f>
        <v/>
      </c>
      <c r="J513" s="31"/>
    </row>
    <row r="514" s="12" customFormat="1" customHeight="1" spans="2:10">
      <c r="B514" s="25"/>
      <c r="C514" s="25"/>
      <c r="D514" s="26" t="str" cm="1">
        <f t="array" ref="D514">IF(C514="","",IFERROR(INDEX(STPP!$D$6:$D$4207,MATCH(C514,STPP!$C$6:$C$4207,0)),"Not Found"))</f>
        <v/>
      </c>
      <c r="E514" s="27" t="str" cm="1">
        <f t="array" ref="E514">IF(C514="","",IFERROR(INDEX(STPP!$E$6:$E$4207,MATCH(C514,STPP!$C$6:$C$4207,0)),"Not Found"))</f>
        <v/>
      </c>
      <c r="F514" s="27" t="str" cm="1">
        <f t="array" ref="F514">IF(C514="","",IFERROR(INDEX(STPP!$F$6:$F$4207,MATCH(C514,STPP!$C$6:$C$4207,0)),"Not Found"))</f>
        <v/>
      </c>
      <c r="G514" s="25" t="str">
        <f>IF(表1[[#This Row],[No Seri]]="","",表1[[#This Row],[Deskripsi Barang]]+表1[[#This Row],[Kuantitas]]-表1[[#This Row],[Satuan]])</f>
        <v/>
      </c>
      <c r="H514" s="28"/>
      <c r="I514" s="25" t="str">
        <f>IF(表1[[#This Row],[Tgl NPBG]]&gt;表1[[#This Row],[Peminta]],表1[[#This Row],[Tgl NPBG]]-表1[[#This Row],[Peminta]],"")</f>
        <v/>
      </c>
      <c r="J514" s="31"/>
    </row>
    <row r="515" s="12" customFormat="1" customHeight="1" spans="2:10">
      <c r="B515" s="25"/>
      <c r="C515" s="25"/>
      <c r="D515" s="26" t="str" cm="1">
        <f t="array" ref="D515">IF(C515="","",IFERROR(INDEX(STPP!$D$6:$D$4207,MATCH(C515,STPP!$C$6:$C$4207,0)),"Not Found"))</f>
        <v/>
      </c>
      <c r="E515" s="27" t="str" cm="1">
        <f t="array" ref="E515">IF(C515="","",IFERROR(INDEX(STPP!$E$6:$E$4207,MATCH(C515,STPP!$C$6:$C$4207,0)),"Not Found"))</f>
        <v/>
      </c>
      <c r="F515" s="27" t="str" cm="1">
        <f t="array" ref="F515">IF(C515="","",IFERROR(INDEX(STPP!$F$6:$F$4207,MATCH(C515,STPP!$C$6:$C$4207,0)),"Not Found"))</f>
        <v/>
      </c>
      <c r="G515" s="25" t="str">
        <f>IF(表1[[#This Row],[No Seri]]="","",表1[[#This Row],[Deskripsi Barang]]+表1[[#This Row],[Kuantitas]]-表1[[#This Row],[Satuan]])</f>
        <v/>
      </c>
      <c r="H515" s="28"/>
      <c r="I515" s="25" t="str">
        <f>IF(表1[[#This Row],[Tgl NPBG]]&gt;表1[[#This Row],[Peminta]],表1[[#This Row],[Tgl NPBG]]-表1[[#This Row],[Peminta]],"")</f>
        <v/>
      </c>
      <c r="J515" s="31"/>
    </row>
    <row r="516" s="12" customFormat="1" customHeight="1" spans="2:10">
      <c r="B516" s="25"/>
      <c r="C516" s="25"/>
      <c r="D516" s="26" t="str" cm="1">
        <f t="array" ref="D516">IF(C516="","",IFERROR(INDEX(STPP!$D$6:$D$4207,MATCH(C516,STPP!$C$6:$C$4207,0)),"Not Found"))</f>
        <v/>
      </c>
      <c r="E516" s="27" t="str" cm="1">
        <f t="array" ref="E516">IF(C516="","",IFERROR(INDEX(STPP!$E$6:$E$4207,MATCH(C516,STPP!$C$6:$C$4207,0)),"Not Found"))</f>
        <v/>
      </c>
      <c r="F516" s="27" t="str" cm="1">
        <f t="array" ref="F516">IF(C516="","",IFERROR(INDEX(STPP!$F$6:$F$4207,MATCH(C516,STPP!$C$6:$C$4207,0)),"Not Found"))</f>
        <v/>
      </c>
      <c r="G516" s="25" t="str">
        <f>IF(表1[[#This Row],[No Seri]]="","",表1[[#This Row],[Deskripsi Barang]]+表1[[#This Row],[Kuantitas]]-表1[[#This Row],[Satuan]])</f>
        <v/>
      </c>
      <c r="H516" s="28"/>
      <c r="I516" s="25" t="str">
        <f>IF(表1[[#This Row],[Tgl NPBG]]&gt;表1[[#This Row],[Peminta]],表1[[#This Row],[Tgl NPBG]]-表1[[#This Row],[Peminta]],"")</f>
        <v/>
      </c>
      <c r="J516" s="31"/>
    </row>
    <row r="517" s="12" customFormat="1" customHeight="1" spans="2:10">
      <c r="B517" s="25"/>
      <c r="C517" s="25"/>
      <c r="D517" s="26" t="str" cm="1">
        <f t="array" ref="D517">IF(C517="","",IFERROR(INDEX(STPP!$D$6:$D$4207,MATCH(C517,STPP!$C$6:$C$4207,0)),"Not Found"))</f>
        <v/>
      </c>
      <c r="E517" s="27" t="str" cm="1">
        <f t="array" ref="E517">IF(C517="","",IFERROR(INDEX(STPP!$E$6:$E$4207,MATCH(C517,STPP!$C$6:$C$4207,0)),"Not Found"))</f>
        <v/>
      </c>
      <c r="F517" s="27" t="str" cm="1">
        <f t="array" ref="F517">IF(C517="","",IFERROR(INDEX(STPP!$F$6:$F$4207,MATCH(C517,STPP!$C$6:$C$4207,0)),"Not Found"))</f>
        <v/>
      </c>
      <c r="G517" s="25" t="str">
        <f>IF(表1[[#This Row],[No Seri]]="","",表1[[#This Row],[Deskripsi Barang]]+表1[[#This Row],[Kuantitas]]-表1[[#This Row],[Satuan]])</f>
        <v/>
      </c>
      <c r="H517" s="28"/>
      <c r="I517" s="25" t="str">
        <f>IF(表1[[#This Row],[Tgl NPBG]]&gt;表1[[#This Row],[Peminta]],表1[[#This Row],[Tgl NPBG]]-表1[[#This Row],[Peminta]],"")</f>
        <v/>
      </c>
      <c r="J517" s="31"/>
    </row>
    <row r="518" s="12" customFormat="1" customHeight="1" spans="2:10">
      <c r="B518" s="25"/>
      <c r="C518" s="25"/>
      <c r="D518" s="26" t="str" cm="1">
        <f t="array" ref="D518">IF(C518="","",IFERROR(INDEX(STPP!$D$6:$D$4207,MATCH(C518,STPP!$C$6:$C$4207,0)),"Not Found"))</f>
        <v/>
      </c>
      <c r="E518" s="27" t="str" cm="1">
        <f t="array" ref="E518">IF(C518="","",IFERROR(INDEX(STPP!$E$6:$E$4207,MATCH(C518,STPP!$C$6:$C$4207,0)),"Not Found"))</f>
        <v/>
      </c>
      <c r="F518" s="27" t="str" cm="1">
        <f t="array" ref="F518">IF(C518="","",IFERROR(INDEX(STPP!$F$6:$F$4207,MATCH(C518,STPP!$C$6:$C$4207,0)),"Not Found"))</f>
        <v/>
      </c>
      <c r="G518" s="25" t="str">
        <f>IF(表1[[#This Row],[No Seri]]="","",表1[[#This Row],[Deskripsi Barang]]+表1[[#This Row],[Kuantitas]]-表1[[#This Row],[Satuan]])</f>
        <v/>
      </c>
      <c r="H518" s="28"/>
      <c r="I518" s="25" t="str">
        <f>IF(表1[[#This Row],[Tgl NPBG]]&gt;表1[[#This Row],[Peminta]],表1[[#This Row],[Tgl NPBG]]-表1[[#This Row],[Peminta]],"")</f>
        <v/>
      </c>
      <c r="J518" s="31"/>
    </row>
    <row r="519" s="12" customFormat="1" customHeight="1" spans="2:10">
      <c r="B519" s="25"/>
      <c r="C519" s="25"/>
      <c r="D519" s="26" t="str" cm="1">
        <f t="array" ref="D519">IF(C519="","",IFERROR(INDEX(STPP!$D$6:$D$4207,MATCH(C519,STPP!$C$6:$C$4207,0)),"Not Found"))</f>
        <v/>
      </c>
      <c r="E519" s="27" t="str" cm="1">
        <f t="array" ref="E519">IF(C519="","",IFERROR(INDEX(STPP!$E$6:$E$4207,MATCH(C519,STPP!$C$6:$C$4207,0)),"Not Found"))</f>
        <v/>
      </c>
      <c r="F519" s="27" t="str" cm="1">
        <f t="array" ref="F519">IF(C519="","",IFERROR(INDEX(STPP!$F$6:$F$4207,MATCH(C519,STPP!$C$6:$C$4207,0)),"Not Found"))</f>
        <v/>
      </c>
      <c r="G519" s="25" t="str">
        <f>IF(表1[[#This Row],[No Seri]]="","",表1[[#This Row],[Deskripsi Barang]]+表1[[#This Row],[Kuantitas]]-表1[[#This Row],[Satuan]])</f>
        <v/>
      </c>
      <c r="H519" s="28"/>
      <c r="I519" s="25" t="str">
        <f>IF(表1[[#This Row],[Tgl NPBG]]&gt;表1[[#This Row],[Peminta]],表1[[#This Row],[Tgl NPBG]]-表1[[#This Row],[Peminta]],"")</f>
        <v/>
      </c>
      <c r="J519" s="31"/>
    </row>
    <row r="520" s="12" customFormat="1" customHeight="1" spans="2:10">
      <c r="B520" s="25"/>
      <c r="C520" s="25"/>
      <c r="D520" s="26" t="str" cm="1">
        <f t="array" ref="D520">IF(C520="","",IFERROR(INDEX(STPP!$D$6:$D$4207,MATCH(C520,STPP!$C$6:$C$4207,0)),"Not Found"))</f>
        <v/>
      </c>
      <c r="E520" s="27" t="str" cm="1">
        <f t="array" ref="E520">IF(C520="","",IFERROR(INDEX(STPP!$E$6:$E$4207,MATCH(C520,STPP!$C$6:$C$4207,0)),"Not Found"))</f>
        <v/>
      </c>
      <c r="F520" s="27" t="str" cm="1">
        <f t="array" ref="F520">IF(C520="","",IFERROR(INDEX(STPP!$F$6:$F$4207,MATCH(C520,STPP!$C$6:$C$4207,0)),"Not Found"))</f>
        <v/>
      </c>
      <c r="G520" s="25" t="str">
        <f>IF(表1[[#This Row],[No Seri]]="","",表1[[#This Row],[Deskripsi Barang]]+表1[[#This Row],[Kuantitas]]-表1[[#This Row],[Satuan]])</f>
        <v/>
      </c>
      <c r="H520" s="28"/>
      <c r="I520" s="25" t="str">
        <f>IF(表1[[#This Row],[Tgl NPBG]]&gt;表1[[#This Row],[Peminta]],表1[[#This Row],[Tgl NPBG]]-表1[[#This Row],[Peminta]],"")</f>
        <v/>
      </c>
      <c r="J520" s="31"/>
    </row>
    <row r="521" s="12" customFormat="1" customHeight="1" spans="2:10">
      <c r="B521" s="25"/>
      <c r="C521" s="25"/>
      <c r="D521" s="26" t="str" cm="1">
        <f t="array" ref="D521">IF(C521="","",IFERROR(INDEX(STPP!$D$6:$D$4207,MATCH(C521,STPP!$C$6:$C$4207,0)),"Not Found"))</f>
        <v/>
      </c>
      <c r="E521" s="27" t="str" cm="1">
        <f t="array" ref="E521">IF(C521="","",IFERROR(INDEX(STPP!$E$6:$E$4207,MATCH(C521,STPP!$C$6:$C$4207,0)),"Not Found"))</f>
        <v/>
      </c>
      <c r="F521" s="27" t="str" cm="1">
        <f t="array" ref="F521">IF(C521="","",IFERROR(INDEX(STPP!$F$6:$F$4207,MATCH(C521,STPP!$C$6:$C$4207,0)),"Not Found"))</f>
        <v/>
      </c>
      <c r="G521" s="25" t="str">
        <f>IF(表1[[#This Row],[No Seri]]="","",表1[[#This Row],[Deskripsi Barang]]+表1[[#This Row],[Kuantitas]]-表1[[#This Row],[Satuan]])</f>
        <v/>
      </c>
      <c r="H521" s="28"/>
      <c r="I521" s="25" t="str">
        <f>IF(表1[[#This Row],[Tgl NPBG]]&gt;表1[[#This Row],[Peminta]],表1[[#This Row],[Tgl NPBG]]-表1[[#This Row],[Peminta]],"")</f>
        <v/>
      </c>
      <c r="J521" s="31"/>
    </row>
    <row r="522" s="12" customFormat="1" customHeight="1" spans="2:10">
      <c r="B522" s="25"/>
      <c r="C522" s="25"/>
      <c r="D522" s="26" t="str" cm="1">
        <f t="array" ref="D522">IF(C522="","",IFERROR(INDEX(STPP!$D$6:$D$4207,MATCH(C522,STPP!$C$6:$C$4207,0)),"Not Found"))</f>
        <v/>
      </c>
      <c r="E522" s="27" t="str" cm="1">
        <f t="array" ref="E522">IF(C522="","",IFERROR(INDEX(STPP!$E$6:$E$4207,MATCH(C522,STPP!$C$6:$C$4207,0)),"Not Found"))</f>
        <v/>
      </c>
      <c r="F522" s="27" t="str" cm="1">
        <f t="array" ref="F522">IF(C522="","",IFERROR(INDEX(STPP!$F$6:$F$4207,MATCH(C522,STPP!$C$6:$C$4207,0)),"Not Found"))</f>
        <v/>
      </c>
      <c r="G522" s="25" t="str">
        <f>IF(表1[[#This Row],[No Seri]]="","",表1[[#This Row],[Deskripsi Barang]]+表1[[#This Row],[Kuantitas]]-表1[[#This Row],[Satuan]])</f>
        <v/>
      </c>
      <c r="H522" s="28"/>
      <c r="I522" s="25" t="str">
        <f>IF(表1[[#This Row],[Tgl NPBG]]&gt;表1[[#This Row],[Peminta]],表1[[#This Row],[Tgl NPBG]]-表1[[#This Row],[Peminta]],"")</f>
        <v/>
      </c>
      <c r="J522" s="31"/>
    </row>
    <row r="523" s="12" customFormat="1" customHeight="1" spans="2:10">
      <c r="B523" s="25"/>
      <c r="C523" s="25"/>
      <c r="D523" s="26" t="str" cm="1">
        <f t="array" ref="D523">IF(C523="","",IFERROR(INDEX(STPP!$D$6:$D$4207,MATCH(C523,STPP!$C$6:$C$4207,0)),"Not Found"))</f>
        <v/>
      </c>
      <c r="E523" s="27" t="str" cm="1">
        <f t="array" ref="E523">IF(C523="","",IFERROR(INDEX(STPP!$E$6:$E$4207,MATCH(C523,STPP!$C$6:$C$4207,0)),"Not Found"))</f>
        <v/>
      </c>
      <c r="F523" s="27" t="str" cm="1">
        <f t="array" ref="F523">IF(C523="","",IFERROR(INDEX(STPP!$F$6:$F$4207,MATCH(C523,STPP!$C$6:$C$4207,0)),"Not Found"))</f>
        <v/>
      </c>
      <c r="G523" s="25" t="str">
        <f>IF(表1[[#This Row],[No Seri]]="","",表1[[#This Row],[Deskripsi Barang]]+表1[[#This Row],[Kuantitas]]-表1[[#This Row],[Satuan]])</f>
        <v/>
      </c>
      <c r="H523" s="28"/>
      <c r="I523" s="25" t="str">
        <f>IF(表1[[#This Row],[Tgl NPBG]]&gt;表1[[#This Row],[Peminta]],表1[[#This Row],[Tgl NPBG]]-表1[[#This Row],[Peminta]],"")</f>
        <v/>
      </c>
      <c r="J523" s="31"/>
    </row>
    <row r="524" s="12" customFormat="1" customHeight="1" spans="2:10">
      <c r="B524" s="25"/>
      <c r="C524" s="25"/>
      <c r="D524" s="26" t="str" cm="1">
        <f t="array" ref="D524">IF(C524="","",IFERROR(INDEX(STPP!$D$6:$D$4207,MATCH(C524,STPP!$C$6:$C$4207,0)),"Not Found"))</f>
        <v/>
      </c>
      <c r="E524" s="27" t="str" cm="1">
        <f t="array" ref="E524">IF(C524="","",IFERROR(INDEX(STPP!$E$6:$E$4207,MATCH(C524,STPP!$C$6:$C$4207,0)),"Not Found"))</f>
        <v/>
      </c>
      <c r="F524" s="27" t="str" cm="1">
        <f t="array" ref="F524">IF(C524="","",IFERROR(INDEX(STPP!$F$6:$F$4207,MATCH(C524,STPP!$C$6:$C$4207,0)),"Not Found"))</f>
        <v/>
      </c>
      <c r="G524" s="25" t="str">
        <f>IF(表1[[#This Row],[No Seri]]="","",表1[[#This Row],[Deskripsi Barang]]+表1[[#This Row],[Kuantitas]]-表1[[#This Row],[Satuan]])</f>
        <v/>
      </c>
      <c r="H524" s="28"/>
      <c r="I524" s="25" t="str">
        <f>IF(表1[[#This Row],[Tgl NPBG]]&gt;表1[[#This Row],[Peminta]],表1[[#This Row],[Tgl NPBG]]-表1[[#This Row],[Peminta]],"")</f>
        <v/>
      </c>
      <c r="J524" s="31"/>
    </row>
    <row r="525" s="12" customFormat="1" customHeight="1" spans="2:10">
      <c r="B525" s="25"/>
      <c r="C525" s="25"/>
      <c r="D525" s="26" t="str" cm="1">
        <f t="array" ref="D525">IF(C525="","",IFERROR(INDEX(STPP!$D$6:$D$4207,MATCH(C525,STPP!$C$6:$C$4207,0)),"Not Found"))</f>
        <v/>
      </c>
      <c r="E525" s="27" t="str" cm="1">
        <f t="array" ref="E525">IF(C525="","",IFERROR(INDEX(STPP!$E$6:$E$4207,MATCH(C525,STPP!$C$6:$C$4207,0)),"Not Found"))</f>
        <v/>
      </c>
      <c r="F525" s="27" t="str" cm="1">
        <f t="array" ref="F525">IF(C525="","",IFERROR(INDEX(STPP!$F$6:$F$4207,MATCH(C525,STPP!$C$6:$C$4207,0)),"Not Found"))</f>
        <v/>
      </c>
      <c r="G525" s="25" t="str">
        <f>IF(表1[[#This Row],[No Seri]]="","",表1[[#This Row],[Deskripsi Barang]]+表1[[#This Row],[Kuantitas]]-表1[[#This Row],[Satuan]])</f>
        <v/>
      </c>
      <c r="H525" s="28"/>
      <c r="I525" s="25" t="str">
        <f>IF(表1[[#This Row],[Tgl NPBG]]&gt;表1[[#This Row],[Peminta]],表1[[#This Row],[Tgl NPBG]]-表1[[#This Row],[Peminta]],"")</f>
        <v/>
      </c>
      <c r="J525" s="31"/>
    </row>
    <row r="526" s="12" customFormat="1" customHeight="1" spans="2:10">
      <c r="B526" s="25"/>
      <c r="C526" s="25"/>
      <c r="D526" s="26" t="str" cm="1">
        <f t="array" ref="D526">IF(C526="","",IFERROR(INDEX(STPP!$D$6:$D$4207,MATCH(C526,STPP!$C$6:$C$4207,0)),"Not Found"))</f>
        <v/>
      </c>
      <c r="E526" s="27" t="str" cm="1">
        <f t="array" ref="E526">IF(C526="","",IFERROR(INDEX(STPP!$E$6:$E$4207,MATCH(C526,STPP!$C$6:$C$4207,0)),"Not Found"))</f>
        <v/>
      </c>
      <c r="F526" s="27" t="str" cm="1">
        <f t="array" ref="F526">IF(C526="","",IFERROR(INDEX(STPP!$F$6:$F$4207,MATCH(C526,STPP!$C$6:$C$4207,0)),"Not Found"))</f>
        <v/>
      </c>
      <c r="G526" s="25" t="str">
        <f>IF(表1[[#This Row],[No Seri]]="","",表1[[#This Row],[Deskripsi Barang]]+表1[[#This Row],[Kuantitas]]-表1[[#This Row],[Satuan]])</f>
        <v/>
      </c>
      <c r="H526" s="28"/>
      <c r="I526" s="25" t="str">
        <f>IF(表1[[#This Row],[Tgl NPBG]]&gt;表1[[#This Row],[Peminta]],表1[[#This Row],[Tgl NPBG]]-表1[[#This Row],[Peminta]],"")</f>
        <v/>
      </c>
      <c r="J526" s="31"/>
    </row>
    <row r="527" s="12" customFormat="1" customHeight="1" spans="2:10">
      <c r="B527" s="25"/>
      <c r="C527" s="25"/>
      <c r="D527" s="26" t="str" cm="1">
        <f t="array" ref="D527">IF(C527="","",IFERROR(INDEX(STPP!$D$6:$D$4207,MATCH(C527,STPP!$C$6:$C$4207,0)),"Not Found"))</f>
        <v/>
      </c>
      <c r="E527" s="27" t="str" cm="1">
        <f t="array" ref="E527">IF(C527="","",IFERROR(INDEX(STPP!$E$6:$E$4207,MATCH(C527,STPP!$C$6:$C$4207,0)),"Not Found"))</f>
        <v/>
      </c>
      <c r="F527" s="27" t="str" cm="1">
        <f t="array" ref="F527">IF(C527="","",IFERROR(INDEX(STPP!$F$6:$F$4207,MATCH(C527,STPP!$C$6:$C$4207,0)),"Not Found"))</f>
        <v/>
      </c>
      <c r="G527" s="25" t="str">
        <f>IF(表1[[#This Row],[No Seri]]="","",表1[[#This Row],[Deskripsi Barang]]+表1[[#This Row],[Kuantitas]]-表1[[#This Row],[Satuan]])</f>
        <v/>
      </c>
      <c r="H527" s="28"/>
      <c r="I527" s="25" t="str">
        <f>IF(表1[[#This Row],[Tgl NPBG]]&gt;表1[[#This Row],[Peminta]],表1[[#This Row],[Tgl NPBG]]-表1[[#This Row],[Peminta]],"")</f>
        <v/>
      </c>
      <c r="J527" s="31"/>
    </row>
    <row r="528" s="12" customFormat="1" customHeight="1" spans="2:10">
      <c r="B528" s="25"/>
      <c r="C528" s="25"/>
      <c r="D528" s="26" t="str" cm="1">
        <f t="array" ref="D528">IF(C528="","",IFERROR(INDEX(STPP!$D$6:$D$4207,MATCH(C528,STPP!$C$6:$C$4207,0)),"Not Found"))</f>
        <v/>
      </c>
      <c r="E528" s="27" t="str" cm="1">
        <f t="array" ref="E528">IF(C528="","",IFERROR(INDEX(STPP!$E$6:$E$4207,MATCH(C528,STPP!$C$6:$C$4207,0)),"Not Found"))</f>
        <v/>
      </c>
      <c r="F528" s="27" t="str" cm="1">
        <f t="array" ref="F528">IF(C528="","",IFERROR(INDEX(STPP!$F$6:$F$4207,MATCH(C528,STPP!$C$6:$C$4207,0)),"Not Found"))</f>
        <v/>
      </c>
      <c r="G528" s="25" t="str">
        <f>IF(表1[[#This Row],[No Seri]]="","",表1[[#This Row],[Deskripsi Barang]]+表1[[#This Row],[Kuantitas]]-表1[[#This Row],[Satuan]])</f>
        <v/>
      </c>
      <c r="H528" s="28"/>
      <c r="I528" s="25" t="str">
        <f>IF(表1[[#This Row],[Tgl NPBG]]&gt;表1[[#This Row],[Peminta]],表1[[#This Row],[Tgl NPBG]]-表1[[#This Row],[Peminta]],"")</f>
        <v/>
      </c>
      <c r="J528" s="31"/>
    </row>
    <row r="529" s="12" customFormat="1" customHeight="1" spans="2:10">
      <c r="B529" s="25"/>
      <c r="C529" s="25"/>
      <c r="D529" s="26" t="str" cm="1">
        <f t="array" ref="D529">IF(C529="","",IFERROR(INDEX(STPP!$D$6:$D$4207,MATCH(C529,STPP!$C$6:$C$4207,0)),"Not Found"))</f>
        <v/>
      </c>
      <c r="E529" s="27" t="str" cm="1">
        <f t="array" ref="E529">IF(C529="","",IFERROR(INDEX(STPP!$E$6:$E$4207,MATCH(C529,STPP!$C$6:$C$4207,0)),"Not Found"))</f>
        <v/>
      </c>
      <c r="F529" s="27" t="str" cm="1">
        <f t="array" ref="F529">IF(C529="","",IFERROR(INDEX(STPP!$F$6:$F$4207,MATCH(C529,STPP!$C$6:$C$4207,0)),"Not Found"))</f>
        <v/>
      </c>
      <c r="G529" s="25" t="str">
        <f>IF(表1[[#This Row],[No Seri]]="","",表1[[#This Row],[Deskripsi Barang]]+表1[[#This Row],[Kuantitas]]-表1[[#This Row],[Satuan]])</f>
        <v/>
      </c>
      <c r="H529" s="28"/>
      <c r="I529" s="25" t="str">
        <f>IF(表1[[#This Row],[Tgl NPBG]]&gt;表1[[#This Row],[Peminta]],表1[[#This Row],[Tgl NPBG]]-表1[[#This Row],[Peminta]],"")</f>
        <v/>
      </c>
      <c r="J529" s="31"/>
    </row>
    <row r="530" s="12" customFormat="1" customHeight="1" spans="2:10">
      <c r="B530" s="25"/>
      <c r="C530" s="25"/>
      <c r="D530" s="26" t="str" cm="1">
        <f t="array" ref="D530">IF(C530="","",IFERROR(INDEX(STPP!$D$6:$D$4207,MATCH(C530,STPP!$C$6:$C$4207,0)),"Not Found"))</f>
        <v/>
      </c>
      <c r="E530" s="27" t="str" cm="1">
        <f t="array" ref="E530">IF(C530="","",IFERROR(INDEX(STPP!$E$6:$E$4207,MATCH(C530,STPP!$C$6:$C$4207,0)),"Not Found"))</f>
        <v/>
      </c>
      <c r="F530" s="27" t="str" cm="1">
        <f t="array" ref="F530">IF(C530="","",IFERROR(INDEX(STPP!$F$6:$F$4207,MATCH(C530,STPP!$C$6:$C$4207,0)),"Not Found"))</f>
        <v/>
      </c>
      <c r="G530" s="25" t="str">
        <f>IF(表1[[#This Row],[No Seri]]="","",表1[[#This Row],[Deskripsi Barang]]+表1[[#This Row],[Kuantitas]]-表1[[#This Row],[Satuan]])</f>
        <v/>
      </c>
      <c r="H530" s="28"/>
      <c r="I530" s="25" t="str">
        <f>IF(表1[[#This Row],[Tgl NPBG]]&gt;表1[[#This Row],[Peminta]],表1[[#This Row],[Tgl NPBG]]-表1[[#This Row],[Peminta]],"")</f>
        <v/>
      </c>
      <c r="J530" s="31"/>
    </row>
    <row r="531" s="12" customFormat="1" customHeight="1" spans="2:10">
      <c r="B531" s="25"/>
      <c r="C531" s="25"/>
      <c r="D531" s="26" t="str" cm="1">
        <f t="array" ref="D531">IF(C531="","",IFERROR(INDEX(STPP!$D$6:$D$4207,MATCH(C531,STPP!$C$6:$C$4207,0)),"Not Found"))</f>
        <v/>
      </c>
      <c r="E531" s="27" t="str" cm="1">
        <f t="array" ref="E531">IF(C531="","",IFERROR(INDEX(STPP!$E$6:$E$4207,MATCH(C531,STPP!$C$6:$C$4207,0)),"Not Found"))</f>
        <v/>
      </c>
      <c r="F531" s="27" t="str" cm="1">
        <f t="array" ref="F531">IF(C531="","",IFERROR(INDEX(STPP!$F$6:$F$4207,MATCH(C531,STPP!$C$6:$C$4207,0)),"Not Found"))</f>
        <v/>
      </c>
      <c r="G531" s="25" t="str">
        <f>IF(表1[[#This Row],[No Seri]]="","",表1[[#This Row],[Deskripsi Barang]]+表1[[#This Row],[Kuantitas]]-表1[[#This Row],[Satuan]])</f>
        <v/>
      </c>
      <c r="H531" s="28"/>
      <c r="I531" s="25" t="str">
        <f>IF(表1[[#This Row],[Tgl NPBG]]&gt;表1[[#This Row],[Peminta]],表1[[#This Row],[Tgl NPBG]]-表1[[#This Row],[Peminta]],"")</f>
        <v/>
      </c>
      <c r="J531" s="31"/>
    </row>
    <row r="532" s="12" customFormat="1" customHeight="1" spans="2:10">
      <c r="B532" s="25"/>
      <c r="C532" s="25"/>
      <c r="D532" s="26" t="str" cm="1">
        <f t="array" ref="D532">IF(C532="","",IFERROR(INDEX(STPP!$D$6:$D$4207,MATCH(C532,STPP!$C$6:$C$4207,0)),"Not Found"))</f>
        <v/>
      </c>
      <c r="E532" s="27" t="str" cm="1">
        <f t="array" ref="E532">IF(C532="","",IFERROR(INDEX(STPP!$E$6:$E$4207,MATCH(C532,STPP!$C$6:$C$4207,0)),"Not Found"))</f>
        <v/>
      </c>
      <c r="F532" s="27" t="str" cm="1">
        <f t="array" ref="F532">IF(C532="","",IFERROR(INDEX(STPP!$F$6:$F$4207,MATCH(C532,STPP!$C$6:$C$4207,0)),"Not Found"))</f>
        <v/>
      </c>
      <c r="G532" s="25" t="str">
        <f>IF(表1[[#This Row],[No Seri]]="","",表1[[#This Row],[Deskripsi Barang]]+表1[[#This Row],[Kuantitas]]-表1[[#This Row],[Satuan]])</f>
        <v/>
      </c>
      <c r="H532" s="28"/>
      <c r="I532" s="25" t="str">
        <f>IF(表1[[#This Row],[Tgl NPBG]]&gt;表1[[#This Row],[Peminta]],表1[[#This Row],[Tgl NPBG]]-表1[[#This Row],[Peminta]],"")</f>
        <v/>
      </c>
      <c r="J532" s="31"/>
    </row>
    <row r="533" s="12" customFormat="1" customHeight="1" spans="2:10">
      <c r="B533" s="25"/>
      <c r="C533" s="25"/>
      <c r="D533" s="26" t="str" cm="1">
        <f t="array" ref="D533">IF(C533="","",IFERROR(INDEX(STPP!$D$6:$D$4207,MATCH(C533,STPP!$C$6:$C$4207,0)),"Not Found"))</f>
        <v/>
      </c>
      <c r="E533" s="27" t="str" cm="1">
        <f t="array" ref="E533">IF(C533="","",IFERROR(INDEX(STPP!$E$6:$E$4207,MATCH(C533,STPP!$C$6:$C$4207,0)),"Not Found"))</f>
        <v/>
      </c>
      <c r="F533" s="27" t="str" cm="1">
        <f t="array" ref="F533">IF(C533="","",IFERROR(INDEX(STPP!$F$6:$F$4207,MATCH(C533,STPP!$C$6:$C$4207,0)),"Not Found"))</f>
        <v/>
      </c>
      <c r="G533" s="25" t="str">
        <f>IF(表1[[#This Row],[No Seri]]="","",表1[[#This Row],[Deskripsi Barang]]+表1[[#This Row],[Kuantitas]]-表1[[#This Row],[Satuan]])</f>
        <v/>
      </c>
      <c r="H533" s="28"/>
      <c r="I533" s="25" t="str">
        <f>IF(表1[[#This Row],[Tgl NPBG]]&gt;表1[[#This Row],[Peminta]],表1[[#This Row],[Tgl NPBG]]-表1[[#This Row],[Peminta]],"")</f>
        <v/>
      </c>
      <c r="J533" s="31"/>
    </row>
    <row r="534" s="12" customFormat="1" customHeight="1" spans="2:10">
      <c r="B534" s="25"/>
      <c r="C534" s="25"/>
      <c r="D534" s="26" t="str" cm="1">
        <f t="array" ref="D534">IF(C534="","",IFERROR(INDEX(STPP!$D$6:$D$4207,MATCH(C534,STPP!$C$6:$C$4207,0)),"Not Found"))</f>
        <v/>
      </c>
      <c r="E534" s="27" t="str" cm="1">
        <f t="array" ref="E534">IF(C534="","",IFERROR(INDEX(STPP!$E$6:$E$4207,MATCH(C534,STPP!$C$6:$C$4207,0)),"Not Found"))</f>
        <v/>
      </c>
      <c r="F534" s="27" t="str" cm="1">
        <f t="array" ref="F534">IF(C534="","",IFERROR(INDEX(STPP!$F$6:$F$4207,MATCH(C534,STPP!$C$6:$C$4207,0)),"Not Found"))</f>
        <v/>
      </c>
      <c r="G534" s="25" t="str">
        <f>IF(表1[[#This Row],[No Seri]]="","",表1[[#This Row],[Deskripsi Barang]]+表1[[#This Row],[Kuantitas]]-表1[[#This Row],[Satuan]])</f>
        <v/>
      </c>
      <c r="H534" s="28"/>
      <c r="I534" s="25" t="str">
        <f>IF(表1[[#This Row],[Tgl NPBG]]&gt;表1[[#This Row],[Peminta]],表1[[#This Row],[Tgl NPBG]]-表1[[#This Row],[Peminta]],"")</f>
        <v/>
      </c>
      <c r="J534" s="31"/>
    </row>
    <row r="535" s="12" customFormat="1" customHeight="1" spans="2:10">
      <c r="B535" s="25"/>
      <c r="C535" s="25"/>
      <c r="D535" s="26" t="str" cm="1">
        <f t="array" ref="D535">IF(C535="","",IFERROR(INDEX(STPP!$D$6:$D$4207,MATCH(C535,STPP!$C$6:$C$4207,0)),"Not Found"))</f>
        <v/>
      </c>
      <c r="E535" s="27" t="str" cm="1">
        <f t="array" ref="E535">IF(C535="","",IFERROR(INDEX(STPP!$E$6:$E$4207,MATCH(C535,STPP!$C$6:$C$4207,0)),"Not Found"))</f>
        <v/>
      </c>
      <c r="F535" s="27" t="str" cm="1">
        <f t="array" ref="F535">IF(C535="","",IFERROR(INDEX(STPP!$F$6:$F$4207,MATCH(C535,STPP!$C$6:$C$4207,0)),"Not Found"))</f>
        <v/>
      </c>
      <c r="G535" s="25" t="str">
        <f>IF(表1[[#This Row],[No Seri]]="","",表1[[#This Row],[Deskripsi Barang]]+表1[[#This Row],[Kuantitas]]-表1[[#This Row],[Satuan]])</f>
        <v/>
      </c>
      <c r="H535" s="28"/>
      <c r="I535" s="25" t="str">
        <f>IF(表1[[#This Row],[Tgl NPBG]]&gt;表1[[#This Row],[Peminta]],表1[[#This Row],[Tgl NPBG]]-表1[[#This Row],[Peminta]],"")</f>
        <v/>
      </c>
      <c r="J535" s="31"/>
    </row>
    <row r="536" s="12" customFormat="1" customHeight="1" spans="2:10">
      <c r="B536" s="25"/>
      <c r="C536" s="25"/>
      <c r="D536" s="26" t="str" cm="1">
        <f t="array" ref="D536">IF(C536="","",IFERROR(INDEX(STPP!$D$6:$D$4207,MATCH(C536,STPP!$C$6:$C$4207,0)),"Not Found"))</f>
        <v/>
      </c>
      <c r="E536" s="27" t="str" cm="1">
        <f t="array" ref="E536">IF(C536="","",IFERROR(INDEX(STPP!$E$6:$E$4207,MATCH(C536,STPP!$C$6:$C$4207,0)),"Not Found"))</f>
        <v/>
      </c>
      <c r="F536" s="27" t="str" cm="1">
        <f t="array" ref="F536">IF(C536="","",IFERROR(INDEX(STPP!$F$6:$F$4207,MATCH(C536,STPP!$C$6:$C$4207,0)),"Not Found"))</f>
        <v/>
      </c>
      <c r="G536" s="25" t="str">
        <f>IF(表1[[#This Row],[No Seri]]="","",表1[[#This Row],[Deskripsi Barang]]+表1[[#This Row],[Kuantitas]]-表1[[#This Row],[Satuan]])</f>
        <v/>
      </c>
      <c r="H536" s="28"/>
      <c r="I536" s="25" t="str">
        <f>IF(表1[[#This Row],[Tgl NPBG]]&gt;表1[[#This Row],[Peminta]],表1[[#This Row],[Tgl NPBG]]-表1[[#This Row],[Peminta]],"")</f>
        <v/>
      </c>
      <c r="J536" s="31"/>
    </row>
    <row r="537" s="12" customFormat="1" customHeight="1" spans="2:10">
      <c r="B537" s="25"/>
      <c r="C537" s="25"/>
      <c r="D537" s="26" t="str" cm="1">
        <f t="array" ref="D537">IF(C537="","",IFERROR(INDEX(STPP!$D$6:$D$4207,MATCH(C537,STPP!$C$6:$C$4207,0)),"Not Found"))</f>
        <v/>
      </c>
      <c r="E537" s="27" t="str" cm="1">
        <f t="array" ref="E537">IF(C537="","",IFERROR(INDEX(STPP!$E$6:$E$4207,MATCH(C537,STPP!$C$6:$C$4207,0)),"Not Found"))</f>
        <v/>
      </c>
      <c r="F537" s="27" t="str" cm="1">
        <f t="array" ref="F537">IF(C537="","",IFERROR(INDEX(STPP!$F$6:$F$4207,MATCH(C537,STPP!$C$6:$C$4207,0)),"Not Found"))</f>
        <v/>
      </c>
      <c r="G537" s="25" t="str">
        <f>IF(表1[[#This Row],[No Seri]]="","",表1[[#This Row],[Deskripsi Barang]]+表1[[#This Row],[Kuantitas]]-表1[[#This Row],[Satuan]])</f>
        <v/>
      </c>
      <c r="H537" s="28"/>
      <c r="I537" s="25" t="str">
        <f>IF(表1[[#This Row],[Tgl NPBG]]&gt;表1[[#This Row],[Peminta]],表1[[#This Row],[Tgl NPBG]]-表1[[#This Row],[Peminta]],"")</f>
        <v/>
      </c>
      <c r="J537" s="31"/>
    </row>
    <row r="538" s="12" customFormat="1" customHeight="1" spans="2:10">
      <c r="B538" s="25"/>
      <c r="C538" s="25"/>
      <c r="D538" s="26" t="str" cm="1">
        <f t="array" ref="D538">IF(C538="","",IFERROR(INDEX(STPP!$D$6:$D$4207,MATCH(C538,STPP!$C$6:$C$4207,0)),"Not Found"))</f>
        <v/>
      </c>
      <c r="E538" s="27" t="str" cm="1">
        <f t="array" ref="E538">IF(C538="","",IFERROR(INDEX(STPP!$E$6:$E$4207,MATCH(C538,STPP!$C$6:$C$4207,0)),"Not Found"))</f>
        <v/>
      </c>
      <c r="F538" s="27" t="str" cm="1">
        <f t="array" ref="F538">IF(C538="","",IFERROR(INDEX(STPP!$F$6:$F$4207,MATCH(C538,STPP!$C$6:$C$4207,0)),"Not Found"))</f>
        <v/>
      </c>
      <c r="G538" s="25" t="str">
        <f>IF(表1[[#This Row],[No Seri]]="","",表1[[#This Row],[Deskripsi Barang]]+表1[[#This Row],[Kuantitas]]-表1[[#This Row],[Satuan]])</f>
        <v/>
      </c>
      <c r="H538" s="28"/>
      <c r="I538" s="25" t="str">
        <f>IF(表1[[#This Row],[Tgl NPBG]]&gt;表1[[#This Row],[Peminta]],表1[[#This Row],[Tgl NPBG]]-表1[[#This Row],[Peminta]],"")</f>
        <v/>
      </c>
      <c r="J538" s="31"/>
    </row>
    <row r="539" s="12" customFormat="1" customHeight="1" spans="2:10">
      <c r="B539" s="25"/>
      <c r="C539" s="25"/>
      <c r="D539" s="26" t="str" cm="1">
        <f t="array" ref="D539">IF(C539="","",IFERROR(INDEX(STPP!$D$6:$D$4207,MATCH(C539,STPP!$C$6:$C$4207,0)),"Not Found"))</f>
        <v/>
      </c>
      <c r="E539" s="27" t="str" cm="1">
        <f t="array" ref="E539">IF(C539="","",IFERROR(INDEX(STPP!$E$6:$E$4207,MATCH(C539,STPP!$C$6:$C$4207,0)),"Not Found"))</f>
        <v/>
      </c>
      <c r="F539" s="27" t="str" cm="1">
        <f t="array" ref="F539">IF(C539="","",IFERROR(INDEX(STPP!$F$6:$F$4207,MATCH(C539,STPP!$C$6:$C$4207,0)),"Not Found"))</f>
        <v/>
      </c>
      <c r="G539" s="25" t="str">
        <f>IF(表1[[#This Row],[No Seri]]="","",表1[[#This Row],[Deskripsi Barang]]+表1[[#This Row],[Kuantitas]]-表1[[#This Row],[Satuan]])</f>
        <v/>
      </c>
      <c r="H539" s="28"/>
      <c r="I539" s="25" t="str">
        <f>IF(表1[[#This Row],[Tgl NPBG]]&gt;表1[[#This Row],[Peminta]],表1[[#This Row],[Tgl NPBG]]-表1[[#This Row],[Peminta]],"")</f>
        <v/>
      </c>
      <c r="J539" s="31"/>
    </row>
    <row r="540" s="12" customFormat="1" customHeight="1" spans="2:10">
      <c r="B540" s="25"/>
      <c r="C540" s="25"/>
      <c r="D540" s="26" t="str" cm="1">
        <f t="array" ref="D540">IF(C540="","",IFERROR(INDEX(STPP!$D$6:$D$4207,MATCH(C540,STPP!$C$6:$C$4207,0)),"Not Found"))</f>
        <v/>
      </c>
      <c r="E540" s="27" t="str" cm="1">
        <f t="array" ref="E540">IF(C540="","",IFERROR(INDEX(STPP!$E$6:$E$4207,MATCH(C540,STPP!$C$6:$C$4207,0)),"Not Found"))</f>
        <v/>
      </c>
      <c r="F540" s="27" t="str" cm="1">
        <f t="array" ref="F540">IF(C540="","",IFERROR(INDEX(STPP!$F$6:$F$4207,MATCH(C540,STPP!$C$6:$C$4207,0)),"Not Found"))</f>
        <v/>
      </c>
      <c r="G540" s="25" t="str">
        <f>IF(表1[[#This Row],[No Seri]]="","",表1[[#This Row],[Deskripsi Barang]]+表1[[#This Row],[Kuantitas]]-表1[[#This Row],[Satuan]])</f>
        <v/>
      </c>
      <c r="H540" s="28"/>
      <c r="I540" s="25" t="str">
        <f>IF(表1[[#This Row],[Tgl NPBG]]&gt;表1[[#This Row],[Peminta]],表1[[#This Row],[Tgl NPBG]]-表1[[#This Row],[Peminta]],"")</f>
        <v/>
      </c>
      <c r="J540" s="31"/>
    </row>
    <row r="541" s="12" customFormat="1" customHeight="1" spans="2:10">
      <c r="B541" s="25"/>
      <c r="C541" s="25"/>
      <c r="D541" s="26" t="str" cm="1">
        <f t="array" ref="D541">IF(C541="","",IFERROR(INDEX(STPP!$D$6:$D$4207,MATCH(C541,STPP!$C$6:$C$4207,0)),"Not Found"))</f>
        <v/>
      </c>
      <c r="E541" s="27" t="str" cm="1">
        <f t="array" ref="E541">IF(C541="","",IFERROR(INDEX(STPP!$E$6:$E$4207,MATCH(C541,STPP!$C$6:$C$4207,0)),"Not Found"))</f>
        <v/>
      </c>
      <c r="F541" s="27" t="str" cm="1">
        <f t="array" ref="F541">IF(C541="","",IFERROR(INDEX(STPP!$F$6:$F$4207,MATCH(C541,STPP!$C$6:$C$4207,0)),"Not Found"))</f>
        <v/>
      </c>
      <c r="G541" s="25" t="str">
        <f>IF(表1[[#This Row],[No Seri]]="","",表1[[#This Row],[Deskripsi Barang]]+表1[[#This Row],[Kuantitas]]-表1[[#This Row],[Satuan]])</f>
        <v/>
      </c>
      <c r="H541" s="28"/>
      <c r="I541" s="25" t="str">
        <f>IF(表1[[#This Row],[Tgl NPBG]]&gt;表1[[#This Row],[Peminta]],表1[[#This Row],[Tgl NPBG]]-表1[[#This Row],[Peminta]],"")</f>
        <v/>
      </c>
      <c r="J541" s="31"/>
    </row>
    <row r="542" s="12" customFormat="1" customHeight="1" spans="2:10">
      <c r="B542" s="25"/>
      <c r="C542" s="25"/>
      <c r="D542" s="26" t="str" cm="1">
        <f t="array" ref="D542">IF(C542="","",IFERROR(INDEX(STPP!$D$6:$D$4207,MATCH(C542,STPP!$C$6:$C$4207,0)),"Not Found"))</f>
        <v/>
      </c>
      <c r="E542" s="27" t="str" cm="1">
        <f t="array" ref="E542">IF(C542="","",IFERROR(INDEX(STPP!$E$6:$E$4207,MATCH(C542,STPP!$C$6:$C$4207,0)),"Not Found"))</f>
        <v/>
      </c>
      <c r="F542" s="27" t="str" cm="1">
        <f t="array" ref="F542">IF(C542="","",IFERROR(INDEX(STPP!$F$6:$F$4207,MATCH(C542,STPP!$C$6:$C$4207,0)),"Not Found"))</f>
        <v/>
      </c>
      <c r="G542" s="25" t="str">
        <f>IF(表1[[#This Row],[No Seri]]="","",表1[[#This Row],[Deskripsi Barang]]+表1[[#This Row],[Kuantitas]]-表1[[#This Row],[Satuan]])</f>
        <v/>
      </c>
      <c r="H542" s="28"/>
      <c r="I542" s="25" t="str">
        <f>IF(表1[[#This Row],[Tgl NPBG]]&gt;表1[[#This Row],[Peminta]],表1[[#This Row],[Tgl NPBG]]-表1[[#This Row],[Peminta]],"")</f>
        <v/>
      </c>
      <c r="J542" s="31"/>
    </row>
    <row r="543" s="12" customFormat="1" customHeight="1" spans="2:10">
      <c r="B543" s="25"/>
      <c r="C543" s="25"/>
      <c r="D543" s="26" t="str" cm="1">
        <f t="array" ref="D543">IF(C543="","",IFERROR(INDEX(STPP!$D$6:$D$4207,MATCH(C543,STPP!$C$6:$C$4207,0)),"Not Found"))</f>
        <v/>
      </c>
      <c r="E543" s="27" t="str" cm="1">
        <f t="array" ref="E543">IF(C543="","",IFERROR(INDEX(STPP!$E$6:$E$4207,MATCH(C543,STPP!$C$6:$C$4207,0)),"Not Found"))</f>
        <v/>
      </c>
      <c r="F543" s="27" t="str" cm="1">
        <f t="array" ref="F543">IF(C543="","",IFERROR(INDEX(STPP!$F$6:$F$4207,MATCH(C543,STPP!$C$6:$C$4207,0)),"Not Found"))</f>
        <v/>
      </c>
      <c r="G543" s="25" t="str">
        <f>IF(表1[[#This Row],[No Seri]]="","",表1[[#This Row],[Deskripsi Barang]]+表1[[#This Row],[Kuantitas]]-表1[[#This Row],[Satuan]])</f>
        <v/>
      </c>
      <c r="H543" s="28"/>
      <c r="I543" s="25" t="str">
        <f>IF(表1[[#This Row],[Tgl NPBG]]&gt;表1[[#This Row],[Peminta]],表1[[#This Row],[Tgl NPBG]]-表1[[#This Row],[Peminta]],"")</f>
        <v/>
      </c>
      <c r="J543" s="31"/>
    </row>
    <row r="544" s="12" customFormat="1" customHeight="1" spans="2:10">
      <c r="B544" s="25"/>
      <c r="C544" s="25"/>
      <c r="D544" s="26" t="str" cm="1">
        <f t="array" ref="D544">IF(C544="","",IFERROR(INDEX(STPP!$D$6:$D$4207,MATCH(C544,STPP!$C$6:$C$4207,0)),"Not Found"))</f>
        <v/>
      </c>
      <c r="E544" s="27" t="str" cm="1">
        <f t="array" ref="E544">IF(C544="","",IFERROR(INDEX(STPP!$E$6:$E$4207,MATCH(C544,STPP!$C$6:$C$4207,0)),"Not Found"))</f>
        <v/>
      </c>
      <c r="F544" s="27" t="str" cm="1">
        <f t="array" ref="F544">IF(C544="","",IFERROR(INDEX(STPP!$F$6:$F$4207,MATCH(C544,STPP!$C$6:$C$4207,0)),"Not Found"))</f>
        <v/>
      </c>
      <c r="G544" s="25" t="str">
        <f>IF(表1[[#This Row],[No Seri]]="","",表1[[#This Row],[Deskripsi Barang]]+表1[[#This Row],[Kuantitas]]-表1[[#This Row],[Satuan]])</f>
        <v/>
      </c>
      <c r="H544" s="28"/>
      <c r="I544" s="25" t="str">
        <f>IF(表1[[#This Row],[Tgl NPBG]]&gt;表1[[#This Row],[Peminta]],表1[[#This Row],[Tgl NPBG]]-表1[[#This Row],[Peminta]],"")</f>
        <v/>
      </c>
      <c r="J544" s="31"/>
    </row>
    <row r="545" s="12" customFormat="1" customHeight="1" spans="2:10">
      <c r="B545" s="25"/>
      <c r="C545" s="25"/>
      <c r="D545" s="26" t="str" cm="1">
        <f t="array" ref="D545">IF(C545="","",IFERROR(INDEX(STPP!$D$6:$D$4207,MATCH(C545,STPP!$C$6:$C$4207,0)),"Not Found"))</f>
        <v/>
      </c>
      <c r="E545" s="27" t="str" cm="1">
        <f t="array" ref="E545">IF(C545="","",IFERROR(INDEX(STPP!$E$6:$E$4207,MATCH(C545,STPP!$C$6:$C$4207,0)),"Not Found"))</f>
        <v/>
      </c>
      <c r="F545" s="27" t="str" cm="1">
        <f t="array" ref="F545">IF(C545="","",IFERROR(INDEX(STPP!$F$6:$F$4207,MATCH(C545,STPP!$C$6:$C$4207,0)),"Not Found"))</f>
        <v/>
      </c>
      <c r="G545" s="25" t="str">
        <f>IF(表1[[#This Row],[No Seri]]="","",表1[[#This Row],[Deskripsi Barang]]+表1[[#This Row],[Kuantitas]]-表1[[#This Row],[Satuan]])</f>
        <v/>
      </c>
      <c r="H545" s="28"/>
      <c r="I545" s="25" t="str">
        <f>IF(表1[[#This Row],[Tgl NPBG]]&gt;表1[[#This Row],[Peminta]],表1[[#This Row],[Tgl NPBG]]-表1[[#This Row],[Peminta]],"")</f>
        <v/>
      </c>
      <c r="J545" s="31"/>
    </row>
    <row r="546" s="12" customFormat="1" customHeight="1" spans="2:10">
      <c r="B546" s="25"/>
      <c r="C546" s="25"/>
      <c r="D546" s="26" t="str" cm="1">
        <f t="array" ref="D546">IF(C546="","",IFERROR(INDEX(STPP!$D$6:$D$4207,MATCH(C546,STPP!$C$6:$C$4207,0)),"Not Found"))</f>
        <v/>
      </c>
      <c r="E546" s="27" t="str" cm="1">
        <f t="array" ref="E546">IF(C546="","",IFERROR(INDEX(STPP!$E$6:$E$4207,MATCH(C546,STPP!$C$6:$C$4207,0)),"Not Found"))</f>
        <v/>
      </c>
      <c r="F546" s="27" t="str" cm="1">
        <f t="array" ref="F546">IF(C546="","",IFERROR(INDEX(STPP!$F$6:$F$4207,MATCH(C546,STPP!$C$6:$C$4207,0)),"Not Found"))</f>
        <v/>
      </c>
      <c r="G546" s="25" t="str">
        <f>IF(表1[[#This Row],[No Seri]]="","",表1[[#This Row],[Deskripsi Barang]]+表1[[#This Row],[Kuantitas]]-表1[[#This Row],[Satuan]])</f>
        <v/>
      </c>
      <c r="H546" s="28"/>
      <c r="I546" s="25" t="str">
        <f>IF(表1[[#This Row],[Tgl NPBG]]&gt;表1[[#This Row],[Peminta]],表1[[#This Row],[Tgl NPBG]]-表1[[#This Row],[Peminta]],"")</f>
        <v/>
      </c>
      <c r="J546" s="31"/>
    </row>
    <row r="547" s="12" customFormat="1" customHeight="1" spans="2:10">
      <c r="B547" s="25"/>
      <c r="C547" s="25"/>
      <c r="D547" s="26" t="str" cm="1">
        <f t="array" ref="D547">IF(C547="","",IFERROR(INDEX(STPP!$D$6:$D$4207,MATCH(C547,STPP!$C$6:$C$4207,0)),"Not Found"))</f>
        <v/>
      </c>
      <c r="E547" s="27" t="str" cm="1">
        <f t="array" ref="E547">IF(C547="","",IFERROR(INDEX(STPP!$E$6:$E$4207,MATCH(C547,STPP!$C$6:$C$4207,0)),"Not Found"))</f>
        <v/>
      </c>
      <c r="F547" s="27" t="str" cm="1">
        <f t="array" ref="F547">IF(C547="","",IFERROR(INDEX(STPP!$F$6:$F$4207,MATCH(C547,STPP!$C$6:$C$4207,0)),"Not Found"))</f>
        <v/>
      </c>
      <c r="G547" s="25" t="str">
        <f>IF(表1[[#This Row],[No Seri]]="","",表1[[#This Row],[Deskripsi Barang]]+表1[[#This Row],[Kuantitas]]-表1[[#This Row],[Satuan]])</f>
        <v/>
      </c>
      <c r="H547" s="28"/>
      <c r="I547" s="25" t="str">
        <f>IF(表1[[#This Row],[Tgl NPBG]]&gt;表1[[#This Row],[Peminta]],表1[[#This Row],[Tgl NPBG]]-表1[[#This Row],[Peminta]],"")</f>
        <v/>
      </c>
      <c r="J547" s="31"/>
    </row>
    <row r="548" s="12" customFormat="1" customHeight="1" spans="2:10">
      <c r="B548" s="25"/>
      <c r="C548" s="25"/>
      <c r="D548" s="26" t="str" cm="1">
        <f t="array" ref="D548">IF(C548="","",IFERROR(INDEX(STPP!$D$6:$D$4207,MATCH(C548,STPP!$C$6:$C$4207,0)),"Not Found"))</f>
        <v/>
      </c>
      <c r="E548" s="27" t="str" cm="1">
        <f t="array" ref="E548">IF(C548="","",IFERROR(INDEX(STPP!$E$6:$E$4207,MATCH(C548,STPP!$C$6:$C$4207,0)),"Not Found"))</f>
        <v/>
      </c>
      <c r="F548" s="27" t="str" cm="1">
        <f t="array" ref="F548">IF(C548="","",IFERROR(INDEX(STPP!$F$6:$F$4207,MATCH(C548,STPP!$C$6:$C$4207,0)),"Not Found"))</f>
        <v/>
      </c>
      <c r="G548" s="25" t="str">
        <f>IF(表1[[#This Row],[No Seri]]="","",表1[[#This Row],[Deskripsi Barang]]+表1[[#This Row],[Kuantitas]]-表1[[#This Row],[Satuan]])</f>
        <v/>
      </c>
      <c r="H548" s="28"/>
      <c r="I548" s="25" t="str">
        <f>IF(表1[[#This Row],[Tgl NPBG]]&gt;表1[[#This Row],[Peminta]],表1[[#This Row],[Tgl NPBG]]-表1[[#This Row],[Peminta]],"")</f>
        <v/>
      </c>
      <c r="J548" s="31"/>
    </row>
    <row r="549" s="12" customFormat="1" customHeight="1" spans="2:10">
      <c r="B549" s="25"/>
      <c r="C549" s="25"/>
      <c r="D549" s="26" t="str" cm="1">
        <f t="array" ref="D549">IF(C549="","",IFERROR(INDEX(STPP!$D$6:$D$4207,MATCH(C549,STPP!$C$6:$C$4207,0)),"Not Found"))</f>
        <v/>
      </c>
      <c r="E549" s="27" t="str" cm="1">
        <f t="array" ref="E549">IF(C549="","",IFERROR(INDEX(STPP!$E$6:$E$4207,MATCH(C549,STPP!$C$6:$C$4207,0)),"Not Found"))</f>
        <v/>
      </c>
      <c r="F549" s="27" t="str" cm="1">
        <f t="array" ref="F549">IF(C549="","",IFERROR(INDEX(STPP!$F$6:$F$4207,MATCH(C549,STPP!$C$6:$C$4207,0)),"Not Found"))</f>
        <v/>
      </c>
      <c r="G549" s="25" t="str">
        <f>IF(表1[[#This Row],[No Seri]]="","",表1[[#This Row],[Deskripsi Barang]]+表1[[#This Row],[Kuantitas]]-表1[[#This Row],[Satuan]])</f>
        <v/>
      </c>
      <c r="H549" s="28"/>
      <c r="I549" s="25" t="str">
        <f>IF(表1[[#This Row],[Tgl NPBG]]&gt;表1[[#This Row],[Peminta]],表1[[#This Row],[Tgl NPBG]]-表1[[#This Row],[Peminta]],"")</f>
        <v/>
      </c>
      <c r="J549" s="31"/>
    </row>
    <row r="550" s="12" customFormat="1" customHeight="1" spans="2:10">
      <c r="B550" s="25"/>
      <c r="C550" s="25"/>
      <c r="D550" s="26" t="str" cm="1">
        <f t="array" ref="D550">IF(C550="","",IFERROR(INDEX(STPP!$D$6:$D$4207,MATCH(C550,STPP!$C$6:$C$4207,0)),"Not Found"))</f>
        <v/>
      </c>
      <c r="E550" s="27" t="str" cm="1">
        <f t="array" ref="E550">IF(C550="","",IFERROR(INDEX(STPP!$E$6:$E$4207,MATCH(C550,STPP!$C$6:$C$4207,0)),"Not Found"))</f>
        <v/>
      </c>
      <c r="F550" s="27" t="str" cm="1">
        <f t="array" ref="F550">IF(C550="","",IFERROR(INDEX(STPP!$F$6:$F$4207,MATCH(C550,STPP!$C$6:$C$4207,0)),"Not Found"))</f>
        <v/>
      </c>
      <c r="G550" s="25" t="str">
        <f>IF(表1[[#This Row],[No Seri]]="","",表1[[#This Row],[Deskripsi Barang]]+表1[[#This Row],[Kuantitas]]-表1[[#This Row],[Satuan]])</f>
        <v/>
      </c>
      <c r="H550" s="28"/>
      <c r="I550" s="25" t="str">
        <f>IF(表1[[#This Row],[Tgl NPBG]]&gt;表1[[#This Row],[Peminta]],表1[[#This Row],[Tgl NPBG]]-表1[[#This Row],[Peminta]],"")</f>
        <v/>
      </c>
      <c r="J550" s="31"/>
    </row>
    <row r="551" s="12" customFormat="1" customHeight="1" spans="2:10">
      <c r="B551" s="25"/>
      <c r="C551" s="25"/>
      <c r="D551" s="26" t="str" cm="1">
        <f t="array" ref="D551">IF(C551="","",IFERROR(INDEX(STPP!$D$6:$D$4207,MATCH(C551,STPP!$C$6:$C$4207,0)),"Not Found"))</f>
        <v/>
      </c>
      <c r="E551" s="27" t="str" cm="1">
        <f t="array" ref="E551">IF(C551="","",IFERROR(INDEX(STPP!$E$6:$E$4207,MATCH(C551,STPP!$C$6:$C$4207,0)),"Not Found"))</f>
        <v/>
      </c>
      <c r="F551" s="27" t="str" cm="1">
        <f t="array" ref="F551">IF(C551="","",IFERROR(INDEX(STPP!$F$6:$F$4207,MATCH(C551,STPP!$C$6:$C$4207,0)),"Not Found"))</f>
        <v/>
      </c>
      <c r="G551" s="25" t="str">
        <f>IF(表1[[#This Row],[No Seri]]="","",表1[[#This Row],[Deskripsi Barang]]+表1[[#This Row],[Kuantitas]]-表1[[#This Row],[Satuan]])</f>
        <v/>
      </c>
      <c r="H551" s="28"/>
      <c r="I551" s="25" t="str">
        <f>IF(表1[[#This Row],[Tgl NPBG]]&gt;表1[[#This Row],[Peminta]],表1[[#This Row],[Tgl NPBG]]-表1[[#This Row],[Peminta]],"")</f>
        <v/>
      </c>
      <c r="J551" s="31"/>
    </row>
    <row r="552" s="12" customFormat="1" customHeight="1" spans="2:10">
      <c r="B552" s="25"/>
      <c r="C552" s="25"/>
      <c r="D552" s="26" t="str" cm="1">
        <f t="array" ref="D552">IF(C552="","",IFERROR(INDEX(STPP!$D$6:$D$4207,MATCH(C552,STPP!$C$6:$C$4207,0)),"Not Found"))</f>
        <v/>
      </c>
      <c r="E552" s="27" t="str" cm="1">
        <f t="array" ref="E552">IF(C552="","",IFERROR(INDEX(STPP!$E$6:$E$4207,MATCH(C552,STPP!$C$6:$C$4207,0)),"Not Found"))</f>
        <v/>
      </c>
      <c r="F552" s="27" t="str" cm="1">
        <f t="array" ref="F552">IF(C552="","",IFERROR(INDEX(STPP!$F$6:$F$4207,MATCH(C552,STPP!$C$6:$C$4207,0)),"Not Found"))</f>
        <v/>
      </c>
      <c r="G552" s="25" t="str">
        <f>IF(表1[[#This Row],[No Seri]]="","",表1[[#This Row],[Deskripsi Barang]]+表1[[#This Row],[Kuantitas]]-表1[[#This Row],[Satuan]])</f>
        <v/>
      </c>
      <c r="H552" s="28"/>
      <c r="I552" s="25" t="str">
        <f>IF(表1[[#This Row],[Tgl NPBG]]&gt;表1[[#This Row],[Peminta]],表1[[#This Row],[Tgl NPBG]]-表1[[#This Row],[Peminta]],"")</f>
        <v/>
      </c>
      <c r="J552" s="31"/>
    </row>
    <row r="553" s="12" customFormat="1" customHeight="1" spans="2:10">
      <c r="B553" s="25"/>
      <c r="C553" s="25"/>
      <c r="D553" s="26" t="str" cm="1">
        <f t="array" ref="D553">IF(C553="","",IFERROR(INDEX(STPP!$D$6:$D$4207,MATCH(C553,STPP!$C$6:$C$4207,0)),"Not Found"))</f>
        <v/>
      </c>
      <c r="E553" s="27" t="str" cm="1">
        <f t="array" ref="E553">IF(C553="","",IFERROR(INDEX(STPP!$E$6:$E$4207,MATCH(C553,STPP!$C$6:$C$4207,0)),"Not Found"))</f>
        <v/>
      </c>
      <c r="F553" s="27" t="str" cm="1">
        <f t="array" ref="F553">IF(C553="","",IFERROR(INDEX(STPP!$F$6:$F$4207,MATCH(C553,STPP!$C$6:$C$4207,0)),"Not Found"))</f>
        <v/>
      </c>
      <c r="G553" s="25" t="str">
        <f>IF(表1[[#This Row],[No Seri]]="","",表1[[#This Row],[Deskripsi Barang]]+表1[[#This Row],[Kuantitas]]-表1[[#This Row],[Satuan]])</f>
        <v/>
      </c>
      <c r="H553" s="28"/>
      <c r="I553" s="25" t="str">
        <f>IF(表1[[#This Row],[Tgl NPBG]]&gt;表1[[#This Row],[Peminta]],表1[[#This Row],[Tgl NPBG]]-表1[[#This Row],[Peminta]],"")</f>
        <v/>
      </c>
      <c r="J553" s="31"/>
    </row>
    <row r="554" s="12" customFormat="1" customHeight="1" spans="2:10">
      <c r="B554" s="25"/>
      <c r="C554" s="25"/>
      <c r="D554" s="26" t="str" cm="1">
        <f t="array" ref="D554">IF(C554="","",IFERROR(INDEX(STPP!$D$6:$D$4207,MATCH(C554,STPP!$C$6:$C$4207,0)),"Not Found"))</f>
        <v/>
      </c>
      <c r="E554" s="27" t="str" cm="1">
        <f t="array" ref="E554">IF(C554="","",IFERROR(INDEX(STPP!$E$6:$E$4207,MATCH(C554,STPP!$C$6:$C$4207,0)),"Not Found"))</f>
        <v/>
      </c>
      <c r="F554" s="27" t="str" cm="1">
        <f t="array" ref="F554">IF(C554="","",IFERROR(INDEX(STPP!$F$6:$F$4207,MATCH(C554,STPP!$C$6:$C$4207,0)),"Not Found"))</f>
        <v/>
      </c>
      <c r="G554" s="25" t="str">
        <f>IF(表1[[#This Row],[No Seri]]="","",表1[[#This Row],[Deskripsi Barang]]+表1[[#This Row],[Kuantitas]]-表1[[#This Row],[Satuan]])</f>
        <v/>
      </c>
      <c r="H554" s="28"/>
      <c r="I554" s="25" t="str">
        <f>IF(表1[[#This Row],[Tgl NPBG]]&gt;表1[[#This Row],[Peminta]],表1[[#This Row],[Tgl NPBG]]-表1[[#This Row],[Peminta]],"")</f>
        <v/>
      </c>
      <c r="J554" s="31"/>
    </row>
    <row r="555" s="12" customFormat="1" customHeight="1" spans="2:10">
      <c r="B555" s="25"/>
      <c r="C555" s="25"/>
      <c r="D555" s="26" t="str" cm="1">
        <f t="array" ref="D555">IF(C555="","",IFERROR(INDEX(STPP!$D$6:$D$4207,MATCH(C555,STPP!$C$6:$C$4207,0)),"Not Found"))</f>
        <v/>
      </c>
      <c r="E555" s="27" t="str" cm="1">
        <f t="array" ref="E555">IF(C555="","",IFERROR(INDEX(STPP!$E$6:$E$4207,MATCH(C555,STPP!$C$6:$C$4207,0)),"Not Found"))</f>
        <v/>
      </c>
      <c r="F555" s="27" t="str" cm="1">
        <f t="array" ref="F555">IF(C555="","",IFERROR(INDEX(STPP!$F$6:$F$4207,MATCH(C555,STPP!$C$6:$C$4207,0)),"Not Found"))</f>
        <v/>
      </c>
      <c r="G555" s="25" t="str">
        <f>IF(表1[[#This Row],[No Seri]]="","",表1[[#This Row],[Deskripsi Barang]]+表1[[#This Row],[Kuantitas]]-表1[[#This Row],[Satuan]])</f>
        <v/>
      </c>
      <c r="H555" s="28"/>
      <c r="I555" s="25" t="str">
        <f>IF(表1[[#This Row],[Tgl NPBG]]&gt;表1[[#This Row],[Peminta]],表1[[#This Row],[Tgl NPBG]]-表1[[#This Row],[Peminta]],"")</f>
        <v/>
      </c>
      <c r="J555" s="31"/>
    </row>
    <row r="556" s="12" customFormat="1" customHeight="1" spans="2:10">
      <c r="B556" s="25"/>
      <c r="C556" s="25"/>
      <c r="D556" s="26" t="str" cm="1">
        <f t="array" ref="D556">IF(C556="","",IFERROR(INDEX(STPP!$D$6:$D$4207,MATCH(C556,STPP!$C$6:$C$4207,0)),"Not Found"))</f>
        <v/>
      </c>
      <c r="E556" s="27" t="str" cm="1">
        <f t="array" ref="E556">IF(C556="","",IFERROR(INDEX(STPP!$E$6:$E$4207,MATCH(C556,STPP!$C$6:$C$4207,0)),"Not Found"))</f>
        <v/>
      </c>
      <c r="F556" s="27" t="str" cm="1">
        <f t="array" ref="F556">IF(C556="","",IFERROR(INDEX(STPP!$F$6:$F$4207,MATCH(C556,STPP!$C$6:$C$4207,0)),"Not Found"))</f>
        <v/>
      </c>
      <c r="G556" s="25" t="str">
        <f>IF(表1[[#This Row],[No Seri]]="","",表1[[#This Row],[Deskripsi Barang]]+表1[[#This Row],[Kuantitas]]-表1[[#This Row],[Satuan]])</f>
        <v/>
      </c>
      <c r="H556" s="28"/>
      <c r="I556" s="25" t="str">
        <f>IF(表1[[#This Row],[Tgl NPBG]]&gt;表1[[#This Row],[Peminta]],表1[[#This Row],[Tgl NPBG]]-表1[[#This Row],[Peminta]],"")</f>
        <v/>
      </c>
      <c r="J556" s="31"/>
    </row>
    <row r="557" s="12" customFormat="1" customHeight="1" spans="2:10">
      <c r="B557" s="25"/>
      <c r="C557" s="25"/>
      <c r="D557" s="26" t="str" cm="1">
        <f t="array" ref="D557">IF(C557="","",IFERROR(INDEX(STPP!$D$6:$D$4207,MATCH(C557,STPP!$C$6:$C$4207,0)),"Not Found"))</f>
        <v/>
      </c>
      <c r="E557" s="27" t="str" cm="1">
        <f t="array" ref="E557">IF(C557="","",IFERROR(INDEX(STPP!$E$6:$E$4207,MATCH(C557,STPP!$C$6:$C$4207,0)),"Not Found"))</f>
        <v/>
      </c>
      <c r="F557" s="27" t="str" cm="1">
        <f t="array" ref="F557">IF(C557="","",IFERROR(INDEX(STPP!$F$6:$F$4207,MATCH(C557,STPP!$C$6:$C$4207,0)),"Not Found"))</f>
        <v/>
      </c>
      <c r="G557" s="25" t="str">
        <f>IF(表1[[#This Row],[No Seri]]="","",表1[[#This Row],[Deskripsi Barang]]+表1[[#This Row],[Kuantitas]]-表1[[#This Row],[Satuan]])</f>
        <v/>
      </c>
      <c r="H557" s="28"/>
      <c r="I557" s="25" t="str">
        <f>IF(表1[[#This Row],[Tgl NPBG]]&gt;表1[[#This Row],[Peminta]],表1[[#This Row],[Tgl NPBG]]-表1[[#This Row],[Peminta]],"")</f>
        <v/>
      </c>
      <c r="J557" s="31"/>
    </row>
    <row r="558" s="12" customFormat="1" customHeight="1" spans="2:10">
      <c r="B558" s="25"/>
      <c r="C558" s="25"/>
      <c r="D558" s="26" t="str" cm="1">
        <f t="array" ref="D558">IF(C558="","",IFERROR(INDEX(STPP!$D$6:$D$4207,MATCH(C558,STPP!$C$6:$C$4207,0)),"Not Found"))</f>
        <v/>
      </c>
      <c r="E558" s="27" t="str" cm="1">
        <f t="array" ref="E558">IF(C558="","",IFERROR(INDEX(STPP!$E$6:$E$4207,MATCH(C558,STPP!$C$6:$C$4207,0)),"Not Found"))</f>
        <v/>
      </c>
      <c r="F558" s="27" t="str" cm="1">
        <f t="array" ref="F558">IF(C558="","",IFERROR(INDEX(STPP!$F$6:$F$4207,MATCH(C558,STPP!$C$6:$C$4207,0)),"Not Found"))</f>
        <v/>
      </c>
      <c r="G558" s="25" t="str">
        <f>IF(表1[[#This Row],[No Seri]]="","",表1[[#This Row],[Deskripsi Barang]]+表1[[#This Row],[Kuantitas]]-表1[[#This Row],[Satuan]])</f>
        <v/>
      </c>
      <c r="H558" s="28"/>
      <c r="I558" s="25" t="str">
        <f>IF(表1[[#This Row],[Tgl NPBG]]&gt;表1[[#This Row],[Peminta]],表1[[#This Row],[Tgl NPBG]]-表1[[#This Row],[Peminta]],"")</f>
        <v/>
      </c>
      <c r="J558" s="31"/>
    </row>
    <row r="559" s="12" customFormat="1" customHeight="1" spans="2:10">
      <c r="B559" s="25"/>
      <c r="C559" s="25"/>
      <c r="D559" s="26" t="str" cm="1">
        <f t="array" ref="D559">IF(C559="","",IFERROR(INDEX(STPP!$D$6:$D$4207,MATCH(C559,STPP!$C$6:$C$4207,0)),"Not Found"))</f>
        <v/>
      </c>
      <c r="E559" s="27" t="str" cm="1">
        <f t="array" ref="E559">IF(C559="","",IFERROR(INDEX(STPP!$E$6:$E$4207,MATCH(C559,STPP!$C$6:$C$4207,0)),"Not Found"))</f>
        <v/>
      </c>
      <c r="F559" s="27" t="str" cm="1">
        <f t="array" ref="F559">IF(C559="","",IFERROR(INDEX(STPP!$F$6:$F$4207,MATCH(C559,STPP!$C$6:$C$4207,0)),"Not Found"))</f>
        <v/>
      </c>
      <c r="G559" s="25" t="str">
        <f>IF(表1[[#This Row],[No Seri]]="","",表1[[#This Row],[Deskripsi Barang]]+表1[[#This Row],[Kuantitas]]-表1[[#This Row],[Satuan]])</f>
        <v/>
      </c>
      <c r="H559" s="28"/>
      <c r="I559" s="25" t="str">
        <f>IF(表1[[#This Row],[Tgl NPBG]]&gt;表1[[#This Row],[Peminta]],表1[[#This Row],[Tgl NPBG]]-表1[[#This Row],[Peminta]],"")</f>
        <v/>
      </c>
      <c r="J559" s="31"/>
    </row>
    <row r="560" s="12" customFormat="1" customHeight="1" spans="2:10">
      <c r="B560" s="25"/>
      <c r="C560" s="25"/>
      <c r="D560" s="26" t="str" cm="1">
        <f t="array" ref="D560">IF(C560="","",IFERROR(INDEX(STPP!$D$6:$D$4207,MATCH(C560,STPP!$C$6:$C$4207,0)),"Not Found"))</f>
        <v/>
      </c>
      <c r="E560" s="27" t="str" cm="1">
        <f t="array" ref="E560">IF(C560="","",IFERROR(INDEX(STPP!$E$6:$E$4207,MATCH(C560,STPP!$C$6:$C$4207,0)),"Not Found"))</f>
        <v/>
      </c>
      <c r="F560" s="27" t="str" cm="1">
        <f t="array" ref="F560">IF(C560="","",IFERROR(INDEX(STPP!$F$6:$F$4207,MATCH(C560,STPP!$C$6:$C$4207,0)),"Not Found"))</f>
        <v/>
      </c>
      <c r="G560" s="25" t="str">
        <f>IF(表1[[#This Row],[No Seri]]="","",表1[[#This Row],[Deskripsi Barang]]+表1[[#This Row],[Kuantitas]]-表1[[#This Row],[Satuan]])</f>
        <v/>
      </c>
      <c r="H560" s="28"/>
      <c r="I560" s="25" t="str">
        <f>IF(表1[[#This Row],[Tgl NPBG]]&gt;表1[[#This Row],[Peminta]],表1[[#This Row],[Tgl NPBG]]-表1[[#This Row],[Peminta]],"")</f>
        <v/>
      </c>
      <c r="J560" s="31"/>
    </row>
    <row r="561" s="12" customFormat="1" customHeight="1" spans="2:10">
      <c r="B561" s="25"/>
      <c r="C561" s="25"/>
      <c r="D561" s="26" t="str" cm="1">
        <f t="array" ref="D561">IF(C561="","",IFERROR(INDEX(STPP!$D$6:$D$4207,MATCH(C561,STPP!$C$6:$C$4207,0)),"Not Found"))</f>
        <v/>
      </c>
      <c r="E561" s="27" t="str" cm="1">
        <f t="array" ref="E561">IF(C561="","",IFERROR(INDEX(STPP!$E$6:$E$4207,MATCH(C561,STPP!$C$6:$C$4207,0)),"Not Found"))</f>
        <v/>
      </c>
      <c r="F561" s="27" t="str" cm="1">
        <f t="array" ref="F561">IF(C561="","",IFERROR(INDEX(STPP!$F$6:$F$4207,MATCH(C561,STPP!$C$6:$C$4207,0)),"Not Found"))</f>
        <v/>
      </c>
      <c r="G561" s="25" t="str">
        <f>IF(表1[[#This Row],[No Seri]]="","",表1[[#This Row],[Deskripsi Barang]]+表1[[#This Row],[Kuantitas]]-表1[[#This Row],[Satuan]])</f>
        <v/>
      </c>
      <c r="H561" s="28"/>
      <c r="I561" s="25" t="str">
        <f>IF(表1[[#This Row],[Tgl NPBG]]&gt;表1[[#This Row],[Peminta]],表1[[#This Row],[Tgl NPBG]]-表1[[#This Row],[Peminta]],"")</f>
        <v/>
      </c>
      <c r="J561" s="31"/>
    </row>
    <row r="562" s="12" customFormat="1" customHeight="1" spans="2:10">
      <c r="B562" s="25"/>
      <c r="C562" s="25"/>
      <c r="D562" s="26" t="str" cm="1">
        <f t="array" ref="D562">IF(C562="","",IFERROR(INDEX(STPP!$D$6:$D$4207,MATCH(C562,STPP!$C$6:$C$4207,0)),"Not Found"))</f>
        <v/>
      </c>
      <c r="E562" s="27" t="str" cm="1">
        <f t="array" ref="E562">IF(C562="","",IFERROR(INDEX(STPP!$E$6:$E$4207,MATCH(C562,STPP!$C$6:$C$4207,0)),"Not Found"))</f>
        <v/>
      </c>
      <c r="F562" s="27" t="str" cm="1">
        <f t="array" ref="F562">IF(C562="","",IFERROR(INDEX(STPP!$F$6:$F$4207,MATCH(C562,STPP!$C$6:$C$4207,0)),"Not Found"))</f>
        <v/>
      </c>
      <c r="G562" s="25" t="str">
        <f>IF(表1[[#This Row],[No Seri]]="","",表1[[#This Row],[Deskripsi Barang]]+表1[[#This Row],[Kuantitas]]-表1[[#This Row],[Satuan]])</f>
        <v/>
      </c>
      <c r="H562" s="28"/>
      <c r="I562" s="25" t="str">
        <f>IF(表1[[#This Row],[Tgl NPBG]]&gt;表1[[#This Row],[Peminta]],表1[[#This Row],[Tgl NPBG]]-表1[[#This Row],[Peminta]],"")</f>
        <v/>
      </c>
      <c r="J562" s="31"/>
    </row>
    <row r="563" s="12" customFormat="1" customHeight="1" spans="2:10">
      <c r="B563" s="25"/>
      <c r="C563" s="25"/>
      <c r="D563" s="26" t="str" cm="1">
        <f t="array" ref="D563">IF(C563="","",IFERROR(INDEX(STPP!$D$6:$D$4207,MATCH(C563,STPP!$C$6:$C$4207,0)),"Not Found"))</f>
        <v/>
      </c>
      <c r="E563" s="27" t="str" cm="1">
        <f t="array" ref="E563">IF(C563="","",IFERROR(INDEX(STPP!$E$6:$E$4207,MATCH(C563,STPP!$C$6:$C$4207,0)),"Not Found"))</f>
        <v/>
      </c>
      <c r="F563" s="27" t="str" cm="1">
        <f t="array" ref="F563">IF(C563="","",IFERROR(INDEX(STPP!$F$6:$F$4207,MATCH(C563,STPP!$C$6:$C$4207,0)),"Not Found"))</f>
        <v/>
      </c>
      <c r="G563" s="25" t="str">
        <f>IF(表1[[#This Row],[No Seri]]="","",表1[[#This Row],[Deskripsi Barang]]+表1[[#This Row],[Kuantitas]]-表1[[#This Row],[Satuan]])</f>
        <v/>
      </c>
      <c r="H563" s="28"/>
      <c r="I563" s="25" t="str">
        <f>IF(表1[[#This Row],[Tgl NPBG]]&gt;表1[[#This Row],[Peminta]],表1[[#This Row],[Tgl NPBG]]-表1[[#This Row],[Peminta]],"")</f>
        <v/>
      </c>
      <c r="J563" s="31"/>
    </row>
    <row r="564" s="12" customFormat="1" customHeight="1" spans="2:10">
      <c r="B564" s="25"/>
      <c r="C564" s="25"/>
      <c r="D564" s="26" t="str" cm="1">
        <f t="array" ref="D564">IF(C564="","",IFERROR(INDEX(STPP!$D$6:$D$4207,MATCH(C564,STPP!$C$6:$C$4207,0)),"Not Found"))</f>
        <v/>
      </c>
      <c r="E564" s="27" t="str" cm="1">
        <f t="array" ref="E564">IF(C564="","",IFERROR(INDEX(STPP!$E$6:$E$4207,MATCH(C564,STPP!$C$6:$C$4207,0)),"Not Found"))</f>
        <v/>
      </c>
      <c r="F564" s="27" t="str" cm="1">
        <f t="array" ref="F564">IF(C564="","",IFERROR(INDEX(STPP!$F$6:$F$4207,MATCH(C564,STPP!$C$6:$C$4207,0)),"Not Found"))</f>
        <v/>
      </c>
      <c r="G564" s="25" t="str">
        <f>IF(表1[[#This Row],[No Seri]]="","",表1[[#This Row],[Deskripsi Barang]]+表1[[#This Row],[Kuantitas]]-表1[[#This Row],[Satuan]])</f>
        <v/>
      </c>
      <c r="H564" s="28"/>
      <c r="I564" s="25" t="str">
        <f>IF(表1[[#This Row],[Tgl NPBG]]&gt;表1[[#This Row],[Peminta]],表1[[#This Row],[Tgl NPBG]]-表1[[#This Row],[Peminta]],"")</f>
        <v/>
      </c>
      <c r="J564" s="31"/>
    </row>
    <row r="565" s="12" customFormat="1" customHeight="1" spans="2:10">
      <c r="B565" s="25"/>
      <c r="C565" s="25"/>
      <c r="D565" s="26" t="str" cm="1">
        <f t="array" ref="D565">IF(C565="","",IFERROR(INDEX(STPP!$D$6:$D$4207,MATCH(C565,STPP!$C$6:$C$4207,0)),"Not Found"))</f>
        <v/>
      </c>
      <c r="E565" s="27" t="str" cm="1">
        <f t="array" ref="E565">IF(C565="","",IFERROR(INDEX(STPP!$E$6:$E$4207,MATCH(C565,STPP!$C$6:$C$4207,0)),"Not Found"))</f>
        <v/>
      </c>
      <c r="F565" s="27" t="str" cm="1">
        <f t="array" ref="F565">IF(C565="","",IFERROR(INDEX(STPP!$F$6:$F$4207,MATCH(C565,STPP!$C$6:$C$4207,0)),"Not Found"))</f>
        <v/>
      </c>
      <c r="G565" s="25" t="str">
        <f>IF(表1[[#This Row],[No Seri]]="","",表1[[#This Row],[Deskripsi Barang]]+表1[[#This Row],[Kuantitas]]-表1[[#This Row],[Satuan]])</f>
        <v/>
      </c>
      <c r="H565" s="28"/>
      <c r="I565" s="25" t="str">
        <f>IF(表1[[#This Row],[Tgl NPBG]]&gt;表1[[#This Row],[Peminta]],表1[[#This Row],[Tgl NPBG]]-表1[[#This Row],[Peminta]],"")</f>
        <v/>
      </c>
      <c r="J565" s="31"/>
    </row>
    <row r="566" s="12" customFormat="1" customHeight="1" spans="2:10">
      <c r="B566" s="25"/>
      <c r="C566" s="25"/>
      <c r="D566" s="26" t="str" cm="1">
        <f t="array" ref="D566">IF(C566="","",IFERROR(INDEX(STPP!$D$6:$D$4207,MATCH(C566,STPP!$C$6:$C$4207,0)),"Not Found"))</f>
        <v/>
      </c>
      <c r="E566" s="27" t="str" cm="1">
        <f t="array" ref="E566">IF(C566="","",IFERROR(INDEX(STPP!$E$6:$E$4207,MATCH(C566,STPP!$C$6:$C$4207,0)),"Not Found"))</f>
        <v/>
      </c>
      <c r="F566" s="27" t="str" cm="1">
        <f t="array" ref="F566">IF(C566="","",IFERROR(INDEX(STPP!$F$6:$F$4207,MATCH(C566,STPP!$C$6:$C$4207,0)),"Not Found"))</f>
        <v/>
      </c>
      <c r="G566" s="25" t="str">
        <f>IF(表1[[#This Row],[No Seri]]="","",表1[[#This Row],[Deskripsi Barang]]+表1[[#This Row],[Kuantitas]]-表1[[#This Row],[Satuan]])</f>
        <v/>
      </c>
      <c r="H566" s="28"/>
      <c r="I566" s="25" t="str">
        <f>IF(表1[[#This Row],[Tgl NPBG]]&gt;表1[[#This Row],[Peminta]],表1[[#This Row],[Tgl NPBG]]-表1[[#This Row],[Peminta]],"")</f>
        <v/>
      </c>
      <c r="J566" s="31"/>
    </row>
    <row r="567" s="12" customFormat="1" customHeight="1" spans="2:10">
      <c r="B567" s="25"/>
      <c r="C567" s="25"/>
      <c r="D567" s="26" t="str" cm="1">
        <f t="array" ref="D567">IF(C567="","",IFERROR(INDEX(STPP!$D$6:$D$4207,MATCH(C567,STPP!$C$6:$C$4207,0)),"Not Found"))</f>
        <v/>
      </c>
      <c r="E567" s="27" t="str" cm="1">
        <f t="array" ref="E567">IF(C567="","",IFERROR(INDEX(STPP!$E$6:$E$4207,MATCH(C567,STPP!$C$6:$C$4207,0)),"Not Found"))</f>
        <v/>
      </c>
      <c r="F567" s="27" t="str" cm="1">
        <f t="array" ref="F567">IF(C567="","",IFERROR(INDEX(STPP!$F$6:$F$4207,MATCH(C567,STPP!$C$6:$C$4207,0)),"Not Found"))</f>
        <v/>
      </c>
      <c r="G567" s="25" t="str">
        <f>IF(表1[[#This Row],[No Seri]]="","",表1[[#This Row],[Deskripsi Barang]]+表1[[#This Row],[Kuantitas]]-表1[[#This Row],[Satuan]])</f>
        <v/>
      </c>
      <c r="H567" s="28"/>
      <c r="I567" s="25" t="str">
        <f>IF(表1[[#This Row],[Tgl NPBG]]&gt;表1[[#This Row],[Peminta]],表1[[#This Row],[Tgl NPBG]]-表1[[#This Row],[Peminta]],"")</f>
        <v/>
      </c>
      <c r="J567" s="31"/>
    </row>
    <row r="568" s="12" customFormat="1" customHeight="1" spans="2:10">
      <c r="B568" s="25"/>
      <c r="C568" s="25"/>
      <c r="D568" s="26" t="str" cm="1">
        <f t="array" ref="D568">IF(C568="","",IFERROR(INDEX(STPP!$D$6:$D$4207,MATCH(C568,STPP!$C$6:$C$4207,0)),"Not Found"))</f>
        <v/>
      </c>
      <c r="E568" s="27" t="str" cm="1">
        <f t="array" ref="E568">IF(C568="","",IFERROR(INDEX(STPP!$E$6:$E$4207,MATCH(C568,STPP!$C$6:$C$4207,0)),"Not Found"))</f>
        <v/>
      </c>
      <c r="F568" s="27" t="str" cm="1">
        <f t="array" ref="F568">IF(C568="","",IFERROR(INDEX(STPP!$F$6:$F$4207,MATCH(C568,STPP!$C$6:$C$4207,0)),"Not Found"))</f>
        <v/>
      </c>
      <c r="G568" s="25" t="str">
        <f>IF(表1[[#This Row],[No Seri]]="","",表1[[#This Row],[Deskripsi Barang]]+表1[[#This Row],[Kuantitas]]-表1[[#This Row],[Satuan]])</f>
        <v/>
      </c>
      <c r="H568" s="28"/>
      <c r="I568" s="25" t="str">
        <f>IF(表1[[#This Row],[Tgl NPBG]]&gt;表1[[#This Row],[Peminta]],表1[[#This Row],[Tgl NPBG]]-表1[[#This Row],[Peminta]],"")</f>
        <v/>
      </c>
      <c r="J568" s="31"/>
    </row>
    <row r="569" s="12" customFormat="1" customHeight="1" spans="2:10">
      <c r="B569" s="25"/>
      <c r="C569" s="25"/>
      <c r="D569" s="26" t="str" cm="1">
        <f t="array" ref="D569">IF(C569="","",IFERROR(INDEX(STPP!$D$6:$D$4207,MATCH(C569,STPP!$C$6:$C$4207,0)),"Not Found"))</f>
        <v/>
      </c>
      <c r="E569" s="27" t="str" cm="1">
        <f t="array" ref="E569">IF(C569="","",IFERROR(INDEX(STPP!$E$6:$E$4207,MATCH(C569,STPP!$C$6:$C$4207,0)),"Not Found"))</f>
        <v/>
      </c>
      <c r="F569" s="27" t="str" cm="1">
        <f t="array" ref="F569">IF(C569="","",IFERROR(INDEX(STPP!$F$6:$F$4207,MATCH(C569,STPP!$C$6:$C$4207,0)),"Not Found"))</f>
        <v/>
      </c>
      <c r="G569" s="25" t="str">
        <f>IF(表1[[#This Row],[No Seri]]="","",表1[[#This Row],[Deskripsi Barang]]+表1[[#This Row],[Kuantitas]]-表1[[#This Row],[Satuan]])</f>
        <v/>
      </c>
      <c r="H569" s="28"/>
      <c r="I569" s="25" t="str">
        <f>IF(表1[[#This Row],[Tgl NPBG]]&gt;表1[[#This Row],[Peminta]],表1[[#This Row],[Tgl NPBG]]-表1[[#This Row],[Peminta]],"")</f>
        <v/>
      </c>
      <c r="J569" s="31"/>
    </row>
    <row r="570" s="12" customFormat="1" customHeight="1" spans="2:10">
      <c r="B570" s="25"/>
      <c r="C570" s="25"/>
      <c r="D570" s="26" t="str" cm="1">
        <f t="array" ref="D570">IF(C570="","",IFERROR(INDEX(STPP!$D$6:$D$4207,MATCH(C570,STPP!$C$6:$C$4207,0)),"Not Found"))</f>
        <v/>
      </c>
      <c r="E570" s="27" t="str" cm="1">
        <f t="array" ref="E570">IF(C570="","",IFERROR(INDEX(STPP!$E$6:$E$4207,MATCH(C570,STPP!$C$6:$C$4207,0)),"Not Found"))</f>
        <v/>
      </c>
      <c r="F570" s="27" t="str" cm="1">
        <f t="array" ref="F570">IF(C570="","",IFERROR(INDEX(STPP!$F$6:$F$4207,MATCH(C570,STPP!$C$6:$C$4207,0)),"Not Found"))</f>
        <v/>
      </c>
      <c r="G570" s="25" t="str">
        <f>IF(表1[[#This Row],[No Seri]]="","",表1[[#This Row],[Deskripsi Barang]]+表1[[#This Row],[Kuantitas]]-表1[[#This Row],[Satuan]])</f>
        <v/>
      </c>
      <c r="H570" s="28"/>
      <c r="I570" s="25" t="str">
        <f>IF(表1[[#This Row],[Tgl NPBG]]&gt;表1[[#This Row],[Peminta]],表1[[#This Row],[Tgl NPBG]]-表1[[#This Row],[Peminta]],"")</f>
        <v/>
      </c>
      <c r="J570" s="31"/>
    </row>
    <row r="571" s="12" customFormat="1" customHeight="1" spans="2:10">
      <c r="B571" s="25"/>
      <c r="C571" s="25"/>
      <c r="D571" s="26" t="str" cm="1">
        <f t="array" ref="D571">IF(C571="","",IFERROR(INDEX(STPP!$D$6:$D$4207,MATCH(C571,STPP!$C$6:$C$4207,0)),"Not Found"))</f>
        <v/>
      </c>
      <c r="E571" s="27" t="str" cm="1">
        <f t="array" ref="E571">IF(C571="","",IFERROR(INDEX(STPP!$E$6:$E$4207,MATCH(C571,STPP!$C$6:$C$4207,0)),"Not Found"))</f>
        <v/>
      </c>
      <c r="F571" s="27" t="str" cm="1">
        <f t="array" ref="F571">IF(C571="","",IFERROR(INDEX(STPP!$F$6:$F$4207,MATCH(C571,STPP!$C$6:$C$4207,0)),"Not Found"))</f>
        <v/>
      </c>
      <c r="G571" s="25" t="str">
        <f>IF(表1[[#This Row],[No Seri]]="","",表1[[#This Row],[Deskripsi Barang]]+表1[[#This Row],[Kuantitas]]-表1[[#This Row],[Satuan]])</f>
        <v/>
      </c>
      <c r="H571" s="28"/>
      <c r="I571" s="25" t="str">
        <f>IF(表1[[#This Row],[Tgl NPBG]]&gt;表1[[#This Row],[Peminta]],表1[[#This Row],[Tgl NPBG]]-表1[[#This Row],[Peminta]],"")</f>
        <v/>
      </c>
      <c r="J571" s="31"/>
    </row>
    <row r="572" s="12" customFormat="1" customHeight="1" spans="2:10">
      <c r="B572" s="25"/>
      <c r="C572" s="25"/>
      <c r="D572" s="26" t="str" cm="1">
        <f t="array" ref="D572">IF(C572="","",IFERROR(INDEX(STPP!$D$6:$D$4207,MATCH(C572,STPP!$C$6:$C$4207,0)),"Not Found"))</f>
        <v/>
      </c>
      <c r="E572" s="27" t="str" cm="1">
        <f t="array" ref="E572">IF(C572="","",IFERROR(INDEX(STPP!$E$6:$E$4207,MATCH(C572,STPP!$C$6:$C$4207,0)),"Not Found"))</f>
        <v/>
      </c>
      <c r="F572" s="27" t="str" cm="1">
        <f t="array" ref="F572">IF(C572="","",IFERROR(INDEX(STPP!$F$6:$F$4207,MATCH(C572,STPP!$C$6:$C$4207,0)),"Not Found"))</f>
        <v/>
      </c>
      <c r="G572" s="25" t="str">
        <f>IF(表1[[#This Row],[No Seri]]="","",表1[[#This Row],[Deskripsi Barang]]+表1[[#This Row],[Kuantitas]]-表1[[#This Row],[Satuan]])</f>
        <v/>
      </c>
      <c r="H572" s="28"/>
      <c r="I572" s="25" t="str">
        <f>IF(表1[[#This Row],[Tgl NPBG]]&gt;表1[[#This Row],[Peminta]],表1[[#This Row],[Tgl NPBG]]-表1[[#This Row],[Peminta]],"")</f>
        <v/>
      </c>
      <c r="J572" s="31"/>
    </row>
    <row r="573" s="12" customFormat="1" customHeight="1" spans="2:10">
      <c r="B573" s="25"/>
      <c r="C573" s="25"/>
      <c r="D573" s="26" t="str" cm="1">
        <f t="array" ref="D573">IF(C573="","",IFERROR(INDEX(STPP!$D$6:$D$4207,MATCH(C573,STPP!$C$6:$C$4207,0)),"Not Found"))</f>
        <v/>
      </c>
      <c r="E573" s="27" t="str" cm="1">
        <f t="array" ref="E573">IF(C573="","",IFERROR(INDEX(STPP!$E$6:$E$4207,MATCH(C573,STPP!$C$6:$C$4207,0)),"Not Found"))</f>
        <v/>
      </c>
      <c r="F573" s="27" t="str" cm="1">
        <f t="array" ref="F573">IF(C573="","",IFERROR(INDEX(STPP!$F$6:$F$4207,MATCH(C573,STPP!$C$6:$C$4207,0)),"Not Found"))</f>
        <v/>
      </c>
      <c r="G573" s="25" t="str">
        <f>IF(表1[[#This Row],[No Seri]]="","",表1[[#This Row],[Deskripsi Barang]]+表1[[#This Row],[Kuantitas]]-表1[[#This Row],[Satuan]])</f>
        <v/>
      </c>
      <c r="H573" s="28"/>
      <c r="I573" s="25" t="str">
        <f>IF(表1[[#This Row],[Tgl NPBG]]&gt;表1[[#This Row],[Peminta]],表1[[#This Row],[Tgl NPBG]]-表1[[#This Row],[Peminta]],"")</f>
        <v/>
      </c>
      <c r="J573" s="31"/>
    </row>
    <row r="574" s="12" customFormat="1" customHeight="1" spans="2:10">
      <c r="B574" s="25"/>
      <c r="C574" s="25"/>
      <c r="D574" s="26" t="str" cm="1">
        <f t="array" ref="D574">IF(C574="","",IFERROR(INDEX(STPP!$D$6:$D$4207,MATCH(C574,STPP!$C$6:$C$4207,0)),"Not Found"))</f>
        <v/>
      </c>
      <c r="E574" s="27" t="str" cm="1">
        <f t="array" ref="E574">IF(C574="","",IFERROR(INDEX(STPP!$E$6:$E$4207,MATCH(C574,STPP!$C$6:$C$4207,0)),"Not Found"))</f>
        <v/>
      </c>
      <c r="F574" s="27" t="str" cm="1">
        <f t="array" ref="F574">IF(C574="","",IFERROR(INDEX(STPP!$F$6:$F$4207,MATCH(C574,STPP!$C$6:$C$4207,0)),"Not Found"))</f>
        <v/>
      </c>
      <c r="G574" s="25" t="str">
        <f>IF(表1[[#This Row],[No Seri]]="","",表1[[#This Row],[Deskripsi Barang]]+表1[[#This Row],[Kuantitas]]-表1[[#This Row],[Satuan]])</f>
        <v/>
      </c>
      <c r="H574" s="28"/>
      <c r="I574" s="25" t="str">
        <f>IF(表1[[#This Row],[Tgl NPBG]]&gt;表1[[#This Row],[Peminta]],表1[[#This Row],[Tgl NPBG]]-表1[[#This Row],[Peminta]],"")</f>
        <v/>
      </c>
      <c r="J574" s="31"/>
    </row>
    <row r="575" s="12" customFormat="1" customHeight="1" spans="2:10">
      <c r="B575" s="25"/>
      <c r="C575" s="25"/>
      <c r="D575" s="26" t="str" cm="1">
        <f t="array" ref="D575">IF(C575="","",IFERROR(INDEX(STPP!$D$6:$D$4207,MATCH(C575,STPP!$C$6:$C$4207,0)),"Not Found"))</f>
        <v/>
      </c>
      <c r="E575" s="27" t="str" cm="1">
        <f t="array" ref="E575">IF(C575="","",IFERROR(INDEX(STPP!$E$6:$E$4207,MATCH(C575,STPP!$C$6:$C$4207,0)),"Not Found"))</f>
        <v/>
      </c>
      <c r="F575" s="27" t="str" cm="1">
        <f t="array" ref="F575">IF(C575="","",IFERROR(INDEX(STPP!$F$6:$F$4207,MATCH(C575,STPP!$C$6:$C$4207,0)),"Not Found"))</f>
        <v/>
      </c>
      <c r="G575" s="25" t="str">
        <f>IF(表1[[#This Row],[No Seri]]="","",表1[[#This Row],[Deskripsi Barang]]+表1[[#This Row],[Kuantitas]]-表1[[#This Row],[Satuan]])</f>
        <v/>
      </c>
      <c r="H575" s="28"/>
      <c r="I575" s="25" t="str">
        <f>IF(表1[[#This Row],[Tgl NPBG]]&gt;表1[[#This Row],[Peminta]],表1[[#This Row],[Tgl NPBG]]-表1[[#This Row],[Peminta]],"")</f>
        <v/>
      </c>
      <c r="J575" s="31"/>
    </row>
    <row r="576" s="12" customFormat="1" customHeight="1" spans="2:10">
      <c r="B576" s="25"/>
      <c r="C576" s="25"/>
      <c r="D576" s="26" t="str" cm="1">
        <f t="array" ref="D576">IF(C576="","",IFERROR(INDEX(STPP!$D$6:$D$4207,MATCH(C576,STPP!$C$6:$C$4207,0)),"Not Found"))</f>
        <v/>
      </c>
      <c r="E576" s="27" t="str" cm="1">
        <f t="array" ref="E576">IF(C576="","",IFERROR(INDEX(STPP!$E$6:$E$4207,MATCH(C576,STPP!$C$6:$C$4207,0)),"Not Found"))</f>
        <v/>
      </c>
      <c r="F576" s="27" t="str" cm="1">
        <f t="array" ref="F576">IF(C576="","",IFERROR(INDEX(STPP!$F$6:$F$4207,MATCH(C576,STPP!$C$6:$C$4207,0)),"Not Found"))</f>
        <v/>
      </c>
      <c r="G576" s="25" t="str">
        <f>IF(表1[[#This Row],[No Seri]]="","",表1[[#This Row],[Deskripsi Barang]]+表1[[#This Row],[Kuantitas]]-表1[[#This Row],[Satuan]])</f>
        <v/>
      </c>
      <c r="H576" s="28"/>
      <c r="I576" s="25" t="str">
        <f>IF(表1[[#This Row],[Tgl NPBG]]&gt;表1[[#This Row],[Peminta]],表1[[#This Row],[Tgl NPBG]]-表1[[#This Row],[Peminta]],"")</f>
        <v/>
      </c>
      <c r="J576" s="31"/>
    </row>
    <row r="577" s="12" customFormat="1" customHeight="1" spans="2:10">
      <c r="B577" s="25"/>
      <c r="C577" s="25"/>
      <c r="D577" s="26" t="str" cm="1">
        <f t="array" ref="D577">IF(C577="","",IFERROR(INDEX(STPP!$D$6:$D$4207,MATCH(C577,STPP!$C$6:$C$4207,0)),"Not Found"))</f>
        <v/>
      </c>
      <c r="E577" s="27" t="str" cm="1">
        <f t="array" ref="E577">IF(C577="","",IFERROR(INDEX(STPP!$E$6:$E$4207,MATCH(C577,STPP!$C$6:$C$4207,0)),"Not Found"))</f>
        <v/>
      </c>
      <c r="F577" s="27" t="str" cm="1">
        <f t="array" ref="F577">IF(C577="","",IFERROR(INDEX(STPP!$F$6:$F$4207,MATCH(C577,STPP!$C$6:$C$4207,0)),"Not Found"))</f>
        <v/>
      </c>
      <c r="G577" s="25" t="str">
        <f>IF(表1[[#This Row],[No Seri]]="","",表1[[#This Row],[Deskripsi Barang]]+表1[[#This Row],[Kuantitas]]-表1[[#This Row],[Satuan]])</f>
        <v/>
      </c>
      <c r="H577" s="28"/>
      <c r="I577" s="25" t="str">
        <f>IF(表1[[#This Row],[Tgl NPBG]]&gt;表1[[#This Row],[Peminta]],表1[[#This Row],[Tgl NPBG]]-表1[[#This Row],[Peminta]],"")</f>
        <v/>
      </c>
      <c r="J577" s="31"/>
    </row>
    <row r="578" s="12" customFormat="1" customHeight="1" spans="2:10">
      <c r="B578" s="25"/>
      <c r="C578" s="25"/>
      <c r="D578" s="26" t="str" cm="1">
        <f t="array" ref="D578">IF(C578="","",IFERROR(INDEX(STPP!$D$6:$D$4207,MATCH(C578,STPP!$C$6:$C$4207,0)),"Not Found"))</f>
        <v/>
      </c>
      <c r="E578" s="27" t="str" cm="1">
        <f t="array" ref="E578">IF(C578="","",IFERROR(INDEX(STPP!$E$6:$E$4207,MATCH(C578,STPP!$C$6:$C$4207,0)),"Not Found"))</f>
        <v/>
      </c>
      <c r="F578" s="27" t="str" cm="1">
        <f t="array" ref="F578">IF(C578="","",IFERROR(INDEX(STPP!$F$6:$F$4207,MATCH(C578,STPP!$C$6:$C$4207,0)),"Not Found"))</f>
        <v/>
      </c>
      <c r="G578" s="25" t="str">
        <f>IF(表1[[#This Row],[No Seri]]="","",表1[[#This Row],[Deskripsi Barang]]+表1[[#This Row],[Kuantitas]]-表1[[#This Row],[Satuan]])</f>
        <v/>
      </c>
      <c r="H578" s="28"/>
      <c r="I578" s="25" t="str">
        <f>IF(表1[[#This Row],[Tgl NPBG]]&gt;表1[[#This Row],[Peminta]],表1[[#This Row],[Tgl NPBG]]-表1[[#This Row],[Peminta]],"")</f>
        <v/>
      </c>
      <c r="J578" s="31"/>
    </row>
    <row r="579" s="12" customFormat="1" customHeight="1" spans="2:10">
      <c r="B579" s="25"/>
      <c r="C579" s="25"/>
      <c r="D579" s="26" t="str" cm="1">
        <f t="array" ref="D579">IF(C579="","",IFERROR(INDEX(STPP!$D$6:$D$4207,MATCH(C579,STPP!$C$6:$C$4207,0)),"Not Found"))</f>
        <v/>
      </c>
      <c r="E579" s="27" t="str" cm="1">
        <f t="array" ref="E579">IF(C579="","",IFERROR(INDEX(STPP!$E$6:$E$4207,MATCH(C579,STPP!$C$6:$C$4207,0)),"Not Found"))</f>
        <v/>
      </c>
      <c r="F579" s="27" t="str" cm="1">
        <f t="array" ref="F579">IF(C579="","",IFERROR(INDEX(STPP!$F$6:$F$4207,MATCH(C579,STPP!$C$6:$C$4207,0)),"Not Found"))</f>
        <v/>
      </c>
      <c r="G579" s="25" t="str">
        <f>IF(表1[[#This Row],[No Seri]]="","",表1[[#This Row],[Deskripsi Barang]]+表1[[#This Row],[Kuantitas]]-表1[[#This Row],[Satuan]])</f>
        <v/>
      </c>
      <c r="H579" s="28"/>
      <c r="I579" s="25" t="str">
        <f>IF(表1[[#This Row],[Tgl NPBG]]&gt;表1[[#This Row],[Peminta]],表1[[#This Row],[Tgl NPBG]]-表1[[#This Row],[Peminta]],"")</f>
        <v/>
      </c>
      <c r="J579" s="31"/>
    </row>
    <row r="580" s="12" customFormat="1" customHeight="1" spans="2:10">
      <c r="B580" s="25"/>
      <c r="C580" s="25"/>
      <c r="D580" s="26" t="str" cm="1">
        <f t="array" ref="D580">IF(C580="","",IFERROR(INDEX(STPP!$D$6:$D$4207,MATCH(C580,STPP!$C$6:$C$4207,0)),"Not Found"))</f>
        <v/>
      </c>
      <c r="E580" s="27" t="str" cm="1">
        <f t="array" ref="E580">IF(C580="","",IFERROR(INDEX(STPP!$E$6:$E$4207,MATCH(C580,STPP!$C$6:$C$4207,0)),"Not Found"))</f>
        <v/>
      </c>
      <c r="F580" s="27" t="str" cm="1">
        <f t="array" ref="F580">IF(C580="","",IFERROR(INDEX(STPP!$F$6:$F$4207,MATCH(C580,STPP!$C$6:$C$4207,0)),"Not Found"))</f>
        <v/>
      </c>
      <c r="G580" s="25" t="str">
        <f>IF(表1[[#This Row],[No Seri]]="","",表1[[#This Row],[Deskripsi Barang]]+表1[[#This Row],[Kuantitas]]-表1[[#This Row],[Satuan]])</f>
        <v/>
      </c>
      <c r="H580" s="28"/>
      <c r="I580" s="25" t="str">
        <f>IF(表1[[#This Row],[Tgl NPBG]]&gt;表1[[#This Row],[Peminta]],表1[[#This Row],[Tgl NPBG]]-表1[[#This Row],[Peminta]],"")</f>
        <v/>
      </c>
      <c r="J580" s="31"/>
    </row>
    <row r="581" s="12" customFormat="1" customHeight="1" spans="2:10">
      <c r="B581" s="25"/>
      <c r="C581" s="25"/>
      <c r="D581" s="26" t="str" cm="1">
        <f t="array" ref="D581">IF(C581="","",IFERROR(INDEX(STPP!$D$6:$D$4207,MATCH(C581,STPP!$C$6:$C$4207,0)),"Not Found"))</f>
        <v/>
      </c>
      <c r="E581" s="27" t="str" cm="1">
        <f t="array" ref="E581">IF(C581="","",IFERROR(INDEX(STPP!$E$6:$E$4207,MATCH(C581,STPP!$C$6:$C$4207,0)),"Not Found"))</f>
        <v/>
      </c>
      <c r="F581" s="27" t="str" cm="1">
        <f t="array" ref="F581">IF(C581="","",IFERROR(INDEX(STPP!$F$6:$F$4207,MATCH(C581,STPP!$C$6:$C$4207,0)),"Not Found"))</f>
        <v/>
      </c>
      <c r="G581" s="25" t="str">
        <f>IF(表1[[#This Row],[No Seri]]="","",表1[[#This Row],[Deskripsi Barang]]+表1[[#This Row],[Kuantitas]]-表1[[#This Row],[Satuan]])</f>
        <v/>
      </c>
      <c r="H581" s="28"/>
      <c r="I581" s="25" t="str">
        <f>IF(表1[[#This Row],[Tgl NPBG]]&gt;表1[[#This Row],[Peminta]],表1[[#This Row],[Tgl NPBG]]-表1[[#This Row],[Peminta]],"")</f>
        <v/>
      </c>
      <c r="J581" s="31"/>
    </row>
    <row r="582" s="12" customFormat="1" customHeight="1" spans="2:10">
      <c r="B582" s="25"/>
      <c r="C582" s="25"/>
      <c r="D582" s="26" t="str" cm="1">
        <f t="array" ref="D582">IF(C582="","",IFERROR(INDEX(STPP!$D$6:$D$4207,MATCH(C582,STPP!$C$6:$C$4207,0)),"Not Found"))</f>
        <v/>
      </c>
      <c r="E582" s="27" t="str" cm="1">
        <f t="array" ref="E582">IF(C582="","",IFERROR(INDEX(STPP!$E$6:$E$4207,MATCH(C582,STPP!$C$6:$C$4207,0)),"Not Found"))</f>
        <v/>
      </c>
      <c r="F582" s="27" t="str" cm="1">
        <f t="array" ref="F582">IF(C582="","",IFERROR(INDEX(STPP!$F$6:$F$4207,MATCH(C582,STPP!$C$6:$C$4207,0)),"Not Found"))</f>
        <v/>
      </c>
      <c r="G582" s="25" t="str">
        <f>IF(表1[[#This Row],[No Seri]]="","",表1[[#This Row],[Deskripsi Barang]]+表1[[#This Row],[Kuantitas]]-表1[[#This Row],[Satuan]])</f>
        <v/>
      </c>
      <c r="H582" s="28"/>
      <c r="I582" s="25" t="str">
        <f>IF(表1[[#This Row],[Tgl NPBG]]&gt;表1[[#This Row],[Peminta]],表1[[#This Row],[Tgl NPBG]]-表1[[#This Row],[Peminta]],"")</f>
        <v/>
      </c>
      <c r="J582" s="31"/>
    </row>
    <row r="583" s="12" customFormat="1" customHeight="1" spans="2:10">
      <c r="B583" s="25"/>
      <c r="C583" s="25"/>
      <c r="D583" s="26" t="str" cm="1">
        <f t="array" ref="D583">IF(C583="","",IFERROR(INDEX(STPP!$D$6:$D$4207,MATCH(C583,STPP!$C$6:$C$4207,0)),"Not Found"))</f>
        <v/>
      </c>
      <c r="E583" s="27" t="str" cm="1">
        <f t="array" ref="E583">IF(C583="","",IFERROR(INDEX(STPP!$E$6:$E$4207,MATCH(C583,STPP!$C$6:$C$4207,0)),"Not Found"))</f>
        <v/>
      </c>
      <c r="F583" s="27" t="str" cm="1">
        <f t="array" ref="F583">IF(C583="","",IFERROR(INDEX(STPP!$F$6:$F$4207,MATCH(C583,STPP!$C$6:$C$4207,0)),"Not Found"))</f>
        <v/>
      </c>
      <c r="G583" s="25" t="str">
        <f>IF(表1[[#This Row],[No Seri]]="","",表1[[#This Row],[Deskripsi Barang]]+表1[[#This Row],[Kuantitas]]-表1[[#This Row],[Satuan]])</f>
        <v/>
      </c>
      <c r="H583" s="28"/>
      <c r="I583" s="25" t="str">
        <f>IF(表1[[#This Row],[Tgl NPBG]]&gt;表1[[#This Row],[Peminta]],表1[[#This Row],[Tgl NPBG]]-表1[[#This Row],[Peminta]],"")</f>
        <v/>
      </c>
      <c r="J583" s="31"/>
    </row>
    <row r="584" s="12" customFormat="1" customHeight="1" spans="2:10">
      <c r="B584" s="25"/>
      <c r="C584" s="25"/>
      <c r="D584" s="26" t="str" cm="1">
        <f t="array" ref="D584">IF(C584="","",IFERROR(INDEX(STPP!$D$6:$D$4207,MATCH(C584,STPP!$C$6:$C$4207,0)),"Not Found"))</f>
        <v/>
      </c>
      <c r="E584" s="27" t="str" cm="1">
        <f t="array" ref="E584">IF(C584="","",IFERROR(INDEX(STPP!$E$6:$E$4207,MATCH(C584,STPP!$C$6:$C$4207,0)),"Not Found"))</f>
        <v/>
      </c>
      <c r="F584" s="27" t="str" cm="1">
        <f t="array" ref="F584">IF(C584="","",IFERROR(INDEX(STPP!$F$6:$F$4207,MATCH(C584,STPP!$C$6:$C$4207,0)),"Not Found"))</f>
        <v/>
      </c>
      <c r="G584" s="25" t="str">
        <f>IF(表1[[#This Row],[No Seri]]="","",表1[[#This Row],[Deskripsi Barang]]+表1[[#This Row],[Kuantitas]]-表1[[#This Row],[Satuan]])</f>
        <v/>
      </c>
      <c r="H584" s="28"/>
      <c r="I584" s="25" t="str">
        <f>IF(表1[[#This Row],[Tgl NPBG]]&gt;表1[[#This Row],[Peminta]],表1[[#This Row],[Tgl NPBG]]-表1[[#This Row],[Peminta]],"")</f>
        <v/>
      </c>
      <c r="J584" s="31"/>
    </row>
    <row r="585" s="12" customFormat="1" customHeight="1" spans="2:10">
      <c r="B585" s="25"/>
      <c r="C585" s="25"/>
      <c r="D585" s="26" t="str" cm="1">
        <f t="array" ref="D585">IF(C585="","",IFERROR(INDEX(STPP!$D$6:$D$4207,MATCH(C585,STPP!$C$6:$C$4207,0)),"Not Found"))</f>
        <v/>
      </c>
      <c r="E585" s="27" t="str" cm="1">
        <f t="array" ref="E585">IF(C585="","",IFERROR(INDEX(STPP!$E$6:$E$4207,MATCH(C585,STPP!$C$6:$C$4207,0)),"Not Found"))</f>
        <v/>
      </c>
      <c r="F585" s="27" t="str" cm="1">
        <f t="array" ref="F585">IF(C585="","",IFERROR(INDEX(STPP!$F$6:$F$4207,MATCH(C585,STPP!$C$6:$C$4207,0)),"Not Found"))</f>
        <v/>
      </c>
      <c r="G585" s="25" t="str">
        <f>IF(表1[[#This Row],[No Seri]]="","",表1[[#This Row],[Deskripsi Barang]]+表1[[#This Row],[Kuantitas]]-表1[[#This Row],[Satuan]])</f>
        <v/>
      </c>
      <c r="H585" s="28"/>
      <c r="I585" s="25" t="str">
        <f>IF(表1[[#This Row],[Tgl NPBG]]&gt;表1[[#This Row],[Peminta]],表1[[#This Row],[Tgl NPBG]]-表1[[#This Row],[Peminta]],"")</f>
        <v/>
      </c>
      <c r="J585" s="31"/>
    </row>
    <row r="586" s="12" customFormat="1" customHeight="1" spans="2:10">
      <c r="B586" s="25"/>
      <c r="C586" s="25"/>
      <c r="D586" s="26" t="str" cm="1">
        <f t="array" ref="D586">IF(C586="","",IFERROR(INDEX(STPP!$D$6:$D$4207,MATCH(C586,STPP!$C$6:$C$4207,0)),"Not Found"))</f>
        <v/>
      </c>
      <c r="E586" s="27" t="str" cm="1">
        <f t="array" ref="E586">IF(C586="","",IFERROR(INDEX(STPP!$E$6:$E$4207,MATCH(C586,STPP!$C$6:$C$4207,0)),"Not Found"))</f>
        <v/>
      </c>
      <c r="F586" s="27" t="str" cm="1">
        <f t="array" ref="F586">IF(C586="","",IFERROR(INDEX(STPP!$F$6:$F$4207,MATCH(C586,STPP!$C$6:$C$4207,0)),"Not Found"))</f>
        <v/>
      </c>
      <c r="G586" s="25" t="str">
        <f>IF(表1[[#This Row],[No Seri]]="","",表1[[#This Row],[Deskripsi Barang]]+表1[[#This Row],[Kuantitas]]-表1[[#This Row],[Satuan]])</f>
        <v/>
      </c>
      <c r="H586" s="28"/>
      <c r="I586" s="25" t="str">
        <f>IF(表1[[#This Row],[Tgl NPBG]]&gt;表1[[#This Row],[Peminta]],表1[[#This Row],[Tgl NPBG]]-表1[[#This Row],[Peminta]],"")</f>
        <v/>
      </c>
      <c r="J586" s="31"/>
    </row>
    <row r="587" s="12" customFormat="1" customHeight="1" spans="2:10">
      <c r="B587" s="25"/>
      <c r="C587" s="25"/>
      <c r="D587" s="26" t="str" cm="1">
        <f t="array" ref="D587">IF(C587="","",IFERROR(INDEX(STPP!$D$6:$D$4207,MATCH(C587,STPP!$C$6:$C$4207,0)),"Not Found"))</f>
        <v/>
      </c>
      <c r="E587" s="27" t="str" cm="1">
        <f t="array" ref="E587">IF(C587="","",IFERROR(INDEX(STPP!$E$6:$E$4207,MATCH(C587,STPP!$C$6:$C$4207,0)),"Not Found"))</f>
        <v/>
      </c>
      <c r="F587" s="27" t="str" cm="1">
        <f t="array" ref="F587">IF(C587="","",IFERROR(INDEX(STPP!$F$6:$F$4207,MATCH(C587,STPP!$C$6:$C$4207,0)),"Not Found"))</f>
        <v/>
      </c>
      <c r="G587" s="25" t="str">
        <f>IF(表1[[#This Row],[No Seri]]="","",表1[[#This Row],[Deskripsi Barang]]+表1[[#This Row],[Kuantitas]]-表1[[#This Row],[Satuan]])</f>
        <v/>
      </c>
      <c r="H587" s="28"/>
      <c r="I587" s="25" t="str">
        <f>IF(表1[[#This Row],[Tgl NPBG]]&gt;表1[[#This Row],[Peminta]],表1[[#This Row],[Tgl NPBG]]-表1[[#This Row],[Peminta]],"")</f>
        <v/>
      </c>
      <c r="J587" s="31"/>
    </row>
    <row r="588" s="12" customFormat="1" customHeight="1" spans="2:10">
      <c r="B588" s="25"/>
      <c r="C588" s="25"/>
      <c r="D588" s="26" t="str" cm="1">
        <f t="array" ref="D588">IF(C588="","",IFERROR(INDEX(STPP!$D$6:$D$4207,MATCH(C588,STPP!$C$6:$C$4207,0)),"Not Found"))</f>
        <v/>
      </c>
      <c r="E588" s="27" t="str" cm="1">
        <f t="array" ref="E588">IF(C588="","",IFERROR(INDEX(STPP!$E$6:$E$4207,MATCH(C588,STPP!$C$6:$C$4207,0)),"Not Found"))</f>
        <v/>
      </c>
      <c r="F588" s="27" t="str" cm="1">
        <f t="array" ref="F588">IF(C588="","",IFERROR(INDEX(STPP!$F$6:$F$4207,MATCH(C588,STPP!$C$6:$C$4207,0)),"Not Found"))</f>
        <v/>
      </c>
      <c r="G588" s="25" t="str">
        <f>IF(表1[[#This Row],[No Seri]]="","",表1[[#This Row],[Deskripsi Barang]]+表1[[#This Row],[Kuantitas]]-表1[[#This Row],[Satuan]])</f>
        <v/>
      </c>
      <c r="H588" s="28"/>
      <c r="I588" s="25" t="str">
        <f>IF(表1[[#This Row],[Tgl NPBG]]&gt;表1[[#This Row],[Peminta]],表1[[#This Row],[Tgl NPBG]]-表1[[#This Row],[Peminta]],"")</f>
        <v/>
      </c>
      <c r="J588" s="31"/>
    </row>
    <row r="589" s="12" customFormat="1" customHeight="1" spans="2:10">
      <c r="B589" s="25"/>
      <c r="C589" s="25"/>
      <c r="D589" s="26" t="str" cm="1">
        <f t="array" ref="D589">IF(C589="","",IFERROR(INDEX(STPP!$D$6:$D$4207,MATCH(C589,STPP!$C$6:$C$4207,0)),"Not Found"))</f>
        <v/>
      </c>
      <c r="E589" s="27" t="str" cm="1">
        <f t="array" ref="E589">IF(C589="","",IFERROR(INDEX(STPP!$E$6:$E$4207,MATCH(C589,STPP!$C$6:$C$4207,0)),"Not Found"))</f>
        <v/>
      </c>
      <c r="F589" s="27" t="str" cm="1">
        <f t="array" ref="F589">IF(C589="","",IFERROR(INDEX(STPP!$F$6:$F$4207,MATCH(C589,STPP!$C$6:$C$4207,0)),"Not Found"))</f>
        <v/>
      </c>
      <c r="G589" s="25" t="str">
        <f>IF(表1[[#This Row],[No Seri]]="","",表1[[#This Row],[Deskripsi Barang]]+表1[[#This Row],[Kuantitas]]-表1[[#This Row],[Satuan]])</f>
        <v/>
      </c>
      <c r="H589" s="28"/>
      <c r="I589" s="25" t="str">
        <f>IF(表1[[#This Row],[Tgl NPBG]]&gt;表1[[#This Row],[Peminta]],表1[[#This Row],[Tgl NPBG]]-表1[[#This Row],[Peminta]],"")</f>
        <v/>
      </c>
      <c r="J589" s="31"/>
    </row>
    <row r="590" s="12" customFormat="1" customHeight="1" spans="2:10">
      <c r="B590" s="25"/>
      <c r="C590" s="25"/>
      <c r="D590" s="26" t="str" cm="1">
        <f t="array" ref="D590">IF(C590="","",IFERROR(INDEX(STPP!$D$6:$D$4207,MATCH(C590,STPP!$C$6:$C$4207,0)),"Not Found"))</f>
        <v/>
      </c>
      <c r="E590" s="27" t="str" cm="1">
        <f t="array" ref="E590">IF(C590="","",IFERROR(INDEX(STPP!$E$6:$E$4207,MATCH(C590,STPP!$C$6:$C$4207,0)),"Not Found"))</f>
        <v/>
      </c>
      <c r="F590" s="27" t="str" cm="1">
        <f t="array" ref="F590">IF(C590="","",IFERROR(INDEX(STPP!$F$6:$F$4207,MATCH(C590,STPP!$C$6:$C$4207,0)),"Not Found"))</f>
        <v/>
      </c>
      <c r="G590" s="25" t="str">
        <f>IF(表1[[#This Row],[No Seri]]="","",表1[[#This Row],[Deskripsi Barang]]+表1[[#This Row],[Kuantitas]]-表1[[#This Row],[Satuan]])</f>
        <v/>
      </c>
      <c r="H590" s="28"/>
      <c r="I590" s="25" t="str">
        <f>IF(表1[[#This Row],[Tgl NPBG]]&gt;表1[[#This Row],[Peminta]],表1[[#This Row],[Tgl NPBG]]-表1[[#This Row],[Peminta]],"")</f>
        <v/>
      </c>
      <c r="J590" s="31"/>
    </row>
    <row r="591" s="12" customFormat="1" customHeight="1" spans="2:10">
      <c r="B591" s="25"/>
      <c r="C591" s="25"/>
      <c r="D591" s="26" t="str" cm="1">
        <f t="array" ref="D591">IF(C591="","",IFERROR(INDEX(STPP!$D$6:$D$4207,MATCH(C591,STPP!$C$6:$C$4207,0)),"Not Found"))</f>
        <v/>
      </c>
      <c r="E591" s="27" t="str" cm="1">
        <f t="array" ref="E591">IF(C591="","",IFERROR(INDEX(STPP!$E$6:$E$4207,MATCH(C591,STPP!$C$6:$C$4207,0)),"Not Found"))</f>
        <v/>
      </c>
      <c r="F591" s="27" t="str" cm="1">
        <f t="array" ref="F591">IF(C591="","",IFERROR(INDEX(STPP!$F$6:$F$4207,MATCH(C591,STPP!$C$6:$C$4207,0)),"Not Found"))</f>
        <v/>
      </c>
      <c r="G591" s="25" t="str">
        <f>IF(表1[[#This Row],[No Seri]]="","",表1[[#This Row],[Deskripsi Barang]]+表1[[#This Row],[Kuantitas]]-表1[[#This Row],[Satuan]])</f>
        <v/>
      </c>
      <c r="H591" s="28"/>
      <c r="I591" s="25" t="str">
        <f>IF(表1[[#This Row],[Tgl NPBG]]&gt;表1[[#This Row],[Peminta]],表1[[#This Row],[Tgl NPBG]]-表1[[#This Row],[Peminta]],"")</f>
        <v/>
      </c>
      <c r="J591" s="31"/>
    </row>
    <row r="592" s="12" customFormat="1" customHeight="1" spans="2:10">
      <c r="B592" s="25"/>
      <c r="C592" s="25"/>
      <c r="D592" s="26" t="str" cm="1">
        <f t="array" ref="D592">IF(C592="","",IFERROR(INDEX(STPP!$D$6:$D$4207,MATCH(C592,STPP!$C$6:$C$4207,0)),"Not Found"))</f>
        <v/>
      </c>
      <c r="E592" s="27" t="str" cm="1">
        <f t="array" ref="E592">IF(C592="","",IFERROR(INDEX(STPP!$E$6:$E$4207,MATCH(C592,STPP!$C$6:$C$4207,0)),"Not Found"))</f>
        <v/>
      </c>
      <c r="F592" s="27" t="str" cm="1">
        <f t="array" ref="F592">IF(C592="","",IFERROR(INDEX(STPP!$F$6:$F$4207,MATCH(C592,STPP!$C$6:$C$4207,0)),"Not Found"))</f>
        <v/>
      </c>
      <c r="G592" s="25" t="str">
        <f>IF(表1[[#This Row],[No Seri]]="","",表1[[#This Row],[Deskripsi Barang]]+表1[[#This Row],[Kuantitas]]-表1[[#This Row],[Satuan]])</f>
        <v/>
      </c>
      <c r="H592" s="28"/>
      <c r="I592" s="25" t="str">
        <f>IF(表1[[#This Row],[Tgl NPBG]]&gt;表1[[#This Row],[Peminta]],表1[[#This Row],[Tgl NPBG]]-表1[[#This Row],[Peminta]],"")</f>
        <v/>
      </c>
      <c r="J592" s="31"/>
    </row>
    <row r="593" s="12" customFormat="1" customHeight="1" spans="2:10">
      <c r="B593" s="25"/>
      <c r="C593" s="25"/>
      <c r="D593" s="26" t="str" cm="1">
        <f t="array" ref="D593">IF(C593="","",IFERROR(INDEX(STPP!$D$6:$D$4207,MATCH(C593,STPP!$C$6:$C$4207,0)),"Not Found"))</f>
        <v/>
      </c>
      <c r="E593" s="27" t="str" cm="1">
        <f t="array" ref="E593">IF(C593="","",IFERROR(INDEX(STPP!$E$6:$E$4207,MATCH(C593,STPP!$C$6:$C$4207,0)),"Not Found"))</f>
        <v/>
      </c>
      <c r="F593" s="27" t="str" cm="1">
        <f t="array" ref="F593">IF(C593="","",IFERROR(INDEX(STPP!$F$6:$F$4207,MATCH(C593,STPP!$C$6:$C$4207,0)),"Not Found"))</f>
        <v/>
      </c>
      <c r="G593" s="25" t="str">
        <f>IF(表1[[#This Row],[No Seri]]="","",表1[[#This Row],[Deskripsi Barang]]+表1[[#This Row],[Kuantitas]]-表1[[#This Row],[Satuan]])</f>
        <v/>
      </c>
      <c r="H593" s="28"/>
      <c r="I593" s="25" t="str">
        <f>IF(表1[[#This Row],[Tgl NPBG]]&gt;表1[[#This Row],[Peminta]],表1[[#This Row],[Tgl NPBG]]-表1[[#This Row],[Peminta]],"")</f>
        <v/>
      </c>
      <c r="J593" s="31"/>
    </row>
    <row r="594" s="12" customFormat="1" customHeight="1" spans="2:10">
      <c r="B594" s="25"/>
      <c r="C594" s="25"/>
      <c r="D594" s="26" t="str" cm="1">
        <f t="array" ref="D594">IF(C594="","",IFERROR(INDEX(STPP!$D$6:$D$4207,MATCH(C594,STPP!$C$6:$C$4207,0)),"Not Found"))</f>
        <v/>
      </c>
      <c r="E594" s="27" t="str" cm="1">
        <f t="array" ref="E594">IF(C594="","",IFERROR(INDEX(STPP!$E$6:$E$4207,MATCH(C594,STPP!$C$6:$C$4207,0)),"Not Found"))</f>
        <v/>
      </c>
      <c r="F594" s="27" t="str" cm="1">
        <f t="array" ref="F594">IF(C594="","",IFERROR(INDEX(STPP!$F$6:$F$4207,MATCH(C594,STPP!$C$6:$C$4207,0)),"Not Found"))</f>
        <v/>
      </c>
      <c r="G594" s="25" t="str">
        <f>IF(表1[[#This Row],[No Seri]]="","",表1[[#This Row],[Deskripsi Barang]]+表1[[#This Row],[Kuantitas]]-表1[[#This Row],[Satuan]])</f>
        <v/>
      </c>
      <c r="H594" s="28"/>
      <c r="I594" s="25" t="str">
        <f>IF(表1[[#This Row],[Tgl NPBG]]&gt;表1[[#This Row],[Peminta]],表1[[#This Row],[Tgl NPBG]]-表1[[#This Row],[Peminta]],"")</f>
        <v/>
      </c>
      <c r="J594" s="31"/>
    </row>
    <row r="595" s="12" customFormat="1" customHeight="1" spans="2:10">
      <c r="B595" s="25"/>
      <c r="C595" s="25"/>
      <c r="D595" s="26" t="str" cm="1">
        <f t="array" ref="D595">IF(C595="","",IFERROR(INDEX(STPP!$D$6:$D$4207,MATCH(C595,STPP!$C$6:$C$4207,0)),"Not Found"))</f>
        <v/>
      </c>
      <c r="E595" s="27" t="str" cm="1">
        <f t="array" ref="E595">IF(C595="","",IFERROR(INDEX(STPP!$E$6:$E$4207,MATCH(C595,STPP!$C$6:$C$4207,0)),"Not Found"))</f>
        <v/>
      </c>
      <c r="F595" s="27" t="str" cm="1">
        <f t="array" ref="F595">IF(C595="","",IFERROR(INDEX(STPP!$F$6:$F$4207,MATCH(C595,STPP!$C$6:$C$4207,0)),"Not Found"))</f>
        <v/>
      </c>
      <c r="G595" s="25" t="str">
        <f>IF(表1[[#This Row],[No Seri]]="","",表1[[#This Row],[Deskripsi Barang]]+表1[[#This Row],[Kuantitas]]-表1[[#This Row],[Satuan]])</f>
        <v/>
      </c>
      <c r="H595" s="28"/>
      <c r="I595" s="25" t="str">
        <f>IF(表1[[#This Row],[Tgl NPBG]]&gt;表1[[#This Row],[Peminta]],表1[[#This Row],[Tgl NPBG]]-表1[[#This Row],[Peminta]],"")</f>
        <v/>
      </c>
      <c r="J595" s="31"/>
    </row>
    <row r="596" s="12" customFormat="1" customHeight="1" spans="2:10">
      <c r="B596" s="25"/>
      <c r="C596" s="25"/>
      <c r="D596" s="26" t="str" cm="1">
        <f t="array" ref="D596">IF(C596="","",IFERROR(INDEX(STPP!$D$6:$D$4207,MATCH(C596,STPP!$C$6:$C$4207,0)),"Not Found"))</f>
        <v/>
      </c>
      <c r="E596" s="27" t="str" cm="1">
        <f t="array" ref="E596">IF(C596="","",IFERROR(INDEX(STPP!$E$6:$E$4207,MATCH(C596,STPP!$C$6:$C$4207,0)),"Not Found"))</f>
        <v/>
      </c>
      <c r="F596" s="27" t="str" cm="1">
        <f t="array" ref="F596">IF(C596="","",IFERROR(INDEX(STPP!$F$6:$F$4207,MATCH(C596,STPP!$C$6:$C$4207,0)),"Not Found"))</f>
        <v/>
      </c>
      <c r="G596" s="25" t="str">
        <f>IF(表1[[#This Row],[No Seri]]="","",表1[[#This Row],[Deskripsi Barang]]+表1[[#This Row],[Kuantitas]]-表1[[#This Row],[Satuan]])</f>
        <v/>
      </c>
      <c r="H596" s="28"/>
      <c r="I596" s="25" t="str">
        <f>IF(表1[[#This Row],[Tgl NPBG]]&gt;表1[[#This Row],[Peminta]],表1[[#This Row],[Tgl NPBG]]-表1[[#This Row],[Peminta]],"")</f>
        <v/>
      </c>
      <c r="J596" s="31"/>
    </row>
    <row r="597" s="12" customFormat="1" customHeight="1" spans="2:10">
      <c r="B597" s="25"/>
      <c r="C597" s="25"/>
      <c r="D597" s="26" t="str" cm="1">
        <f t="array" ref="D597">IF(C597="","",IFERROR(INDEX(STPP!$D$6:$D$4207,MATCH(C597,STPP!$C$6:$C$4207,0)),"Not Found"))</f>
        <v/>
      </c>
      <c r="E597" s="27" t="str" cm="1">
        <f t="array" ref="E597">IF(C597="","",IFERROR(INDEX(STPP!$E$6:$E$4207,MATCH(C597,STPP!$C$6:$C$4207,0)),"Not Found"))</f>
        <v/>
      </c>
      <c r="F597" s="27" t="str" cm="1">
        <f t="array" ref="F597">IF(C597="","",IFERROR(INDEX(STPP!$F$6:$F$4207,MATCH(C597,STPP!$C$6:$C$4207,0)),"Not Found"))</f>
        <v/>
      </c>
      <c r="G597" s="25" t="str">
        <f>IF(表1[[#This Row],[No Seri]]="","",表1[[#This Row],[Deskripsi Barang]]+表1[[#This Row],[Kuantitas]]-表1[[#This Row],[Satuan]])</f>
        <v/>
      </c>
      <c r="H597" s="28"/>
      <c r="I597" s="25" t="str">
        <f>IF(表1[[#This Row],[Tgl NPBG]]&gt;表1[[#This Row],[Peminta]],表1[[#This Row],[Tgl NPBG]]-表1[[#This Row],[Peminta]],"")</f>
        <v/>
      </c>
      <c r="J597" s="31"/>
    </row>
    <row r="598" s="12" customFormat="1" customHeight="1" spans="2:10">
      <c r="B598" s="25"/>
      <c r="C598" s="25"/>
      <c r="D598" s="26" t="str" cm="1">
        <f t="array" ref="D598">IF(C598="","",IFERROR(INDEX(STPP!$D$6:$D$4207,MATCH(C598,STPP!$C$6:$C$4207,0)),"Not Found"))</f>
        <v/>
      </c>
      <c r="E598" s="27" t="str" cm="1">
        <f t="array" ref="E598">IF(C598="","",IFERROR(INDEX(STPP!$E$6:$E$4207,MATCH(C598,STPP!$C$6:$C$4207,0)),"Not Found"))</f>
        <v/>
      </c>
      <c r="F598" s="27" t="str" cm="1">
        <f t="array" ref="F598">IF(C598="","",IFERROR(INDEX(STPP!$F$6:$F$4207,MATCH(C598,STPP!$C$6:$C$4207,0)),"Not Found"))</f>
        <v/>
      </c>
      <c r="G598" s="25" t="str">
        <f>IF(表1[[#This Row],[No Seri]]="","",表1[[#This Row],[Deskripsi Barang]]+表1[[#This Row],[Kuantitas]]-表1[[#This Row],[Satuan]])</f>
        <v/>
      </c>
      <c r="H598" s="28"/>
      <c r="I598" s="25" t="str">
        <f>IF(表1[[#This Row],[Tgl NPBG]]&gt;表1[[#This Row],[Peminta]],表1[[#This Row],[Tgl NPBG]]-表1[[#This Row],[Peminta]],"")</f>
        <v/>
      </c>
      <c r="J598" s="31"/>
    </row>
    <row r="599" s="12" customFormat="1" customHeight="1" spans="2:10">
      <c r="B599" s="25"/>
      <c r="C599" s="25"/>
      <c r="D599" s="26" t="str" cm="1">
        <f t="array" ref="D599">IF(C599="","",IFERROR(INDEX(STPP!$D$6:$D$4207,MATCH(C599,STPP!$C$6:$C$4207,0)),"Not Found"))</f>
        <v/>
      </c>
      <c r="E599" s="27" t="str" cm="1">
        <f t="array" ref="E599">IF(C599="","",IFERROR(INDEX(STPP!$E$6:$E$4207,MATCH(C599,STPP!$C$6:$C$4207,0)),"Not Found"))</f>
        <v/>
      </c>
      <c r="F599" s="27" t="str" cm="1">
        <f t="array" ref="F599">IF(C599="","",IFERROR(INDEX(STPP!$F$6:$F$4207,MATCH(C599,STPP!$C$6:$C$4207,0)),"Not Found"))</f>
        <v/>
      </c>
      <c r="G599" s="25" t="str">
        <f>IF(表1[[#This Row],[No Seri]]="","",表1[[#This Row],[Deskripsi Barang]]+表1[[#This Row],[Kuantitas]]-表1[[#This Row],[Satuan]])</f>
        <v/>
      </c>
      <c r="H599" s="28"/>
      <c r="I599" s="25" t="str">
        <f>IF(表1[[#This Row],[Tgl NPBG]]&gt;表1[[#This Row],[Peminta]],表1[[#This Row],[Tgl NPBG]]-表1[[#This Row],[Peminta]],"")</f>
        <v/>
      </c>
      <c r="J599" s="31"/>
    </row>
    <row r="600" s="12" customFormat="1" customHeight="1" spans="2:10">
      <c r="B600" s="25"/>
      <c r="C600" s="25"/>
      <c r="D600" s="26" t="str" cm="1">
        <f t="array" ref="D600">IF(C600="","",IFERROR(INDEX(STPP!$D$6:$D$4207,MATCH(C600,STPP!$C$6:$C$4207,0)),"Not Found"))</f>
        <v/>
      </c>
      <c r="E600" s="27" t="str" cm="1">
        <f t="array" ref="E600">IF(C600="","",IFERROR(INDEX(STPP!$E$6:$E$4207,MATCH(C600,STPP!$C$6:$C$4207,0)),"Not Found"))</f>
        <v/>
      </c>
      <c r="F600" s="27" t="str" cm="1">
        <f t="array" ref="F600">IF(C600="","",IFERROR(INDEX(STPP!$F$6:$F$4207,MATCH(C600,STPP!$C$6:$C$4207,0)),"Not Found"))</f>
        <v/>
      </c>
      <c r="G600" s="25" t="str">
        <f>IF(表1[[#This Row],[No Seri]]="","",表1[[#This Row],[Deskripsi Barang]]+表1[[#This Row],[Kuantitas]]-表1[[#This Row],[Satuan]])</f>
        <v/>
      </c>
      <c r="H600" s="28"/>
      <c r="I600" s="25" t="str">
        <f>IF(表1[[#This Row],[Tgl NPBG]]&gt;表1[[#This Row],[Peminta]],表1[[#This Row],[Tgl NPBG]]-表1[[#This Row],[Peminta]],"")</f>
        <v/>
      </c>
      <c r="J600" s="31"/>
    </row>
    <row r="601" s="12" customFormat="1" customHeight="1" spans="2:10">
      <c r="B601" s="25"/>
      <c r="C601" s="25"/>
      <c r="D601" s="26" t="str" cm="1">
        <f t="array" ref="D601">IF(C601="","",IFERROR(INDEX(STPP!$D$6:$D$4207,MATCH(C601,STPP!$C$6:$C$4207,0)),"Not Found"))</f>
        <v/>
      </c>
      <c r="E601" s="27" t="str" cm="1">
        <f t="array" ref="E601">IF(C601="","",IFERROR(INDEX(STPP!$E$6:$E$4207,MATCH(C601,STPP!$C$6:$C$4207,0)),"Not Found"))</f>
        <v/>
      </c>
      <c r="F601" s="27" t="str" cm="1">
        <f t="array" ref="F601">IF(C601="","",IFERROR(INDEX(STPP!$F$6:$F$4207,MATCH(C601,STPP!$C$6:$C$4207,0)),"Not Found"))</f>
        <v/>
      </c>
      <c r="G601" s="25" t="str">
        <f>IF(表1[[#This Row],[No Seri]]="","",表1[[#This Row],[Deskripsi Barang]]+表1[[#This Row],[Kuantitas]]-表1[[#This Row],[Satuan]])</f>
        <v/>
      </c>
      <c r="H601" s="28"/>
      <c r="I601" s="25" t="str">
        <f>IF(表1[[#This Row],[Tgl NPBG]]&gt;表1[[#This Row],[Peminta]],表1[[#This Row],[Tgl NPBG]]-表1[[#This Row],[Peminta]],"")</f>
        <v/>
      </c>
      <c r="J601" s="31"/>
    </row>
    <row r="602" s="12" customFormat="1" customHeight="1" spans="2:10">
      <c r="B602" s="25"/>
      <c r="C602" s="25"/>
      <c r="D602" s="26" t="str" cm="1">
        <f t="array" ref="D602">IF(C602="","",IFERROR(INDEX(STPP!$D$6:$D$4207,MATCH(C602,STPP!$C$6:$C$4207,0)),"Not Found"))</f>
        <v/>
      </c>
      <c r="E602" s="27" t="str" cm="1">
        <f t="array" ref="E602">IF(C602="","",IFERROR(INDEX(STPP!$E$6:$E$4207,MATCH(C602,STPP!$C$6:$C$4207,0)),"Not Found"))</f>
        <v/>
      </c>
      <c r="F602" s="27" t="str" cm="1">
        <f t="array" ref="F602">IF(C602="","",IFERROR(INDEX(STPP!$F$6:$F$4207,MATCH(C602,STPP!$C$6:$C$4207,0)),"Not Found"))</f>
        <v/>
      </c>
      <c r="G602" s="25" t="str">
        <f>IF(表1[[#This Row],[No Seri]]="","",表1[[#This Row],[Deskripsi Barang]]+表1[[#This Row],[Kuantitas]]-表1[[#This Row],[Satuan]])</f>
        <v/>
      </c>
      <c r="H602" s="28"/>
      <c r="I602" s="25" t="str">
        <f>IF(表1[[#This Row],[Tgl NPBG]]&gt;表1[[#This Row],[Peminta]],表1[[#This Row],[Tgl NPBG]]-表1[[#This Row],[Peminta]],"")</f>
        <v/>
      </c>
      <c r="J602" s="31"/>
    </row>
    <row r="603" s="12" customFormat="1" customHeight="1" spans="2:10">
      <c r="B603" s="25"/>
      <c r="C603" s="25"/>
      <c r="D603" s="26" t="str" cm="1">
        <f t="array" ref="D603">IF(C603="","",IFERROR(INDEX(STPP!$D$6:$D$4207,MATCH(C603,STPP!$C$6:$C$4207,0)),"Not Found"))</f>
        <v/>
      </c>
      <c r="E603" s="27" t="str" cm="1">
        <f t="array" ref="E603">IF(C603="","",IFERROR(INDEX(STPP!$E$6:$E$4207,MATCH(C603,STPP!$C$6:$C$4207,0)),"Not Found"))</f>
        <v/>
      </c>
      <c r="F603" s="27" t="str" cm="1">
        <f t="array" ref="F603">IF(C603="","",IFERROR(INDEX(STPP!$F$6:$F$4207,MATCH(C603,STPP!$C$6:$C$4207,0)),"Not Found"))</f>
        <v/>
      </c>
      <c r="G603" s="25" t="str">
        <f>IF(表1[[#This Row],[No Seri]]="","",表1[[#This Row],[Deskripsi Barang]]+表1[[#This Row],[Kuantitas]]-表1[[#This Row],[Satuan]])</f>
        <v/>
      </c>
      <c r="H603" s="28"/>
      <c r="I603" s="25" t="str">
        <f>IF(表1[[#This Row],[Tgl NPBG]]&gt;表1[[#This Row],[Peminta]],表1[[#This Row],[Tgl NPBG]]-表1[[#This Row],[Peminta]],"")</f>
        <v/>
      </c>
      <c r="J603" s="31"/>
    </row>
    <row r="604" s="12" customFormat="1" customHeight="1" spans="2:10">
      <c r="B604" s="25"/>
      <c r="C604" s="25"/>
      <c r="D604" s="26" t="str" cm="1">
        <f t="array" ref="D604">IF(C604="","",IFERROR(INDEX(STPP!$D$6:$D$4207,MATCH(C604,STPP!$C$6:$C$4207,0)),"Not Found"))</f>
        <v/>
      </c>
      <c r="E604" s="27" t="str" cm="1">
        <f t="array" ref="E604">IF(C604="","",IFERROR(INDEX(STPP!$E$6:$E$4207,MATCH(C604,STPP!$C$6:$C$4207,0)),"Not Found"))</f>
        <v/>
      </c>
      <c r="F604" s="27" t="str" cm="1">
        <f t="array" ref="F604">IF(C604="","",IFERROR(INDEX(STPP!$F$6:$F$4207,MATCH(C604,STPP!$C$6:$C$4207,0)),"Not Found"))</f>
        <v/>
      </c>
      <c r="G604" s="25" t="str">
        <f>IF(表1[[#This Row],[No Seri]]="","",表1[[#This Row],[Deskripsi Barang]]+表1[[#This Row],[Kuantitas]]-表1[[#This Row],[Satuan]])</f>
        <v/>
      </c>
      <c r="H604" s="28"/>
      <c r="I604" s="25" t="str">
        <f>IF(表1[[#This Row],[Tgl NPBG]]&gt;表1[[#This Row],[Peminta]],表1[[#This Row],[Tgl NPBG]]-表1[[#This Row],[Peminta]],"")</f>
        <v/>
      </c>
      <c r="J604" s="31"/>
    </row>
    <row r="605" s="12" customFormat="1" customHeight="1" spans="2:10">
      <c r="B605" s="25"/>
      <c r="C605" s="25"/>
      <c r="D605" s="26" t="str" cm="1">
        <f t="array" ref="D605">IF(C605="","",IFERROR(INDEX(STPP!$D$6:$D$4207,MATCH(C605,STPP!$C$6:$C$4207,0)),"Not Found"))</f>
        <v/>
      </c>
      <c r="E605" s="27" t="str" cm="1">
        <f t="array" ref="E605">IF(C605="","",IFERROR(INDEX(STPP!$E$6:$E$4207,MATCH(C605,STPP!$C$6:$C$4207,0)),"Not Found"))</f>
        <v/>
      </c>
      <c r="F605" s="27" t="str" cm="1">
        <f t="array" ref="F605">IF(C605="","",IFERROR(INDEX(STPP!$F$6:$F$4207,MATCH(C605,STPP!$C$6:$C$4207,0)),"Not Found"))</f>
        <v/>
      </c>
      <c r="G605" s="25" t="str">
        <f>IF(表1[[#This Row],[No Seri]]="","",表1[[#This Row],[Deskripsi Barang]]+表1[[#This Row],[Kuantitas]]-表1[[#This Row],[Satuan]])</f>
        <v/>
      </c>
      <c r="H605" s="28"/>
      <c r="I605" s="25" t="str">
        <f>IF(表1[[#This Row],[Tgl NPBG]]&gt;表1[[#This Row],[Peminta]],表1[[#This Row],[Tgl NPBG]]-表1[[#This Row],[Peminta]],"")</f>
        <v/>
      </c>
      <c r="J605" s="31"/>
    </row>
    <row r="606" s="12" customFormat="1" customHeight="1" spans="2:10">
      <c r="B606" s="25"/>
      <c r="C606" s="25"/>
      <c r="D606" s="26" t="str" cm="1">
        <f t="array" ref="D606">IF(C606="","",IFERROR(INDEX(STPP!$D$6:$D$4207,MATCH(C606,STPP!$C$6:$C$4207,0)),"Not Found"))</f>
        <v/>
      </c>
      <c r="E606" s="27" t="str" cm="1">
        <f t="array" ref="E606">IF(C606="","",IFERROR(INDEX(STPP!$E$6:$E$4207,MATCH(C606,STPP!$C$6:$C$4207,0)),"Not Found"))</f>
        <v/>
      </c>
      <c r="F606" s="27" t="str" cm="1">
        <f t="array" ref="F606">IF(C606="","",IFERROR(INDEX(STPP!$F$6:$F$4207,MATCH(C606,STPP!$C$6:$C$4207,0)),"Not Found"))</f>
        <v/>
      </c>
      <c r="G606" s="25" t="str">
        <f>IF(表1[[#This Row],[No Seri]]="","",表1[[#This Row],[Deskripsi Barang]]+表1[[#This Row],[Kuantitas]]-表1[[#This Row],[Satuan]])</f>
        <v/>
      </c>
      <c r="H606" s="28"/>
      <c r="I606" s="25" t="str">
        <f>IF(表1[[#This Row],[Tgl NPBG]]&gt;表1[[#This Row],[Peminta]],表1[[#This Row],[Tgl NPBG]]-表1[[#This Row],[Peminta]],"")</f>
        <v/>
      </c>
      <c r="J606" s="31"/>
    </row>
    <row r="607" s="12" customFormat="1" customHeight="1" spans="2:10">
      <c r="B607" s="25"/>
      <c r="C607" s="25"/>
      <c r="D607" s="26" t="str" cm="1">
        <f t="array" ref="D607">IF(C607="","",IFERROR(INDEX(STPP!$D$6:$D$4207,MATCH(C607,STPP!$C$6:$C$4207,0)),"Not Found"))</f>
        <v/>
      </c>
      <c r="E607" s="27" t="str" cm="1">
        <f t="array" ref="E607">IF(C607="","",IFERROR(INDEX(STPP!$E$6:$E$4207,MATCH(C607,STPP!$C$6:$C$4207,0)),"Not Found"))</f>
        <v/>
      </c>
      <c r="F607" s="27" t="str" cm="1">
        <f t="array" ref="F607">IF(C607="","",IFERROR(INDEX(STPP!$F$6:$F$4207,MATCH(C607,STPP!$C$6:$C$4207,0)),"Not Found"))</f>
        <v/>
      </c>
      <c r="G607" s="25" t="str">
        <f>IF(表1[[#This Row],[No Seri]]="","",表1[[#This Row],[Deskripsi Barang]]+表1[[#This Row],[Kuantitas]]-表1[[#This Row],[Satuan]])</f>
        <v/>
      </c>
      <c r="H607" s="28"/>
      <c r="I607" s="25" t="str">
        <f>IF(表1[[#This Row],[Tgl NPBG]]&gt;表1[[#This Row],[Peminta]],表1[[#This Row],[Tgl NPBG]]-表1[[#This Row],[Peminta]],"")</f>
        <v/>
      </c>
      <c r="J607" s="31"/>
    </row>
    <row r="608" s="12" customFormat="1" customHeight="1" spans="2:10">
      <c r="B608" s="25"/>
      <c r="C608" s="25"/>
      <c r="D608" s="26" t="str" cm="1">
        <f t="array" ref="D608">IF(C608="","",IFERROR(INDEX(STPP!$D$6:$D$4207,MATCH(C608,STPP!$C$6:$C$4207,0)),"Not Found"))</f>
        <v/>
      </c>
      <c r="E608" s="27" t="str" cm="1">
        <f t="array" ref="E608">IF(C608="","",IFERROR(INDEX(STPP!$E$6:$E$4207,MATCH(C608,STPP!$C$6:$C$4207,0)),"Not Found"))</f>
        <v/>
      </c>
      <c r="F608" s="27" t="str" cm="1">
        <f t="array" ref="F608">IF(C608="","",IFERROR(INDEX(STPP!$F$6:$F$4207,MATCH(C608,STPP!$C$6:$C$4207,0)),"Not Found"))</f>
        <v/>
      </c>
      <c r="G608" s="25" t="str">
        <f>IF(表1[[#This Row],[No Seri]]="","",表1[[#This Row],[Deskripsi Barang]]+表1[[#This Row],[Kuantitas]]-表1[[#This Row],[Satuan]])</f>
        <v/>
      </c>
      <c r="H608" s="28"/>
      <c r="I608" s="25" t="str">
        <f>IF(表1[[#This Row],[Tgl NPBG]]&gt;表1[[#This Row],[Peminta]],表1[[#This Row],[Tgl NPBG]]-表1[[#This Row],[Peminta]],"")</f>
        <v/>
      </c>
      <c r="J608" s="31"/>
    </row>
    <row r="609" s="12" customFormat="1" customHeight="1" spans="2:10">
      <c r="B609" s="25"/>
      <c r="C609" s="25"/>
      <c r="D609" s="26" t="str" cm="1">
        <f t="array" ref="D609">IF(C609="","",IFERROR(INDEX(STPP!$D$6:$D$4207,MATCH(C609,STPP!$C$6:$C$4207,0)),"Not Found"))</f>
        <v/>
      </c>
      <c r="E609" s="27" t="str" cm="1">
        <f t="array" ref="E609">IF(C609="","",IFERROR(INDEX(STPP!$E$6:$E$4207,MATCH(C609,STPP!$C$6:$C$4207,0)),"Not Found"))</f>
        <v/>
      </c>
      <c r="F609" s="27" t="str" cm="1">
        <f t="array" ref="F609">IF(C609="","",IFERROR(INDEX(STPP!$F$6:$F$4207,MATCH(C609,STPP!$C$6:$C$4207,0)),"Not Found"))</f>
        <v/>
      </c>
      <c r="G609" s="25" t="str">
        <f>IF(表1[[#This Row],[No Seri]]="","",表1[[#This Row],[Deskripsi Barang]]+表1[[#This Row],[Kuantitas]]-表1[[#This Row],[Satuan]])</f>
        <v/>
      </c>
      <c r="H609" s="28"/>
      <c r="I609" s="25" t="str">
        <f>IF(表1[[#This Row],[Tgl NPBG]]&gt;表1[[#This Row],[Peminta]],表1[[#This Row],[Tgl NPBG]]-表1[[#This Row],[Peminta]],"")</f>
        <v/>
      </c>
      <c r="J609" s="31"/>
    </row>
    <row r="610" s="12" customFormat="1" customHeight="1" spans="2:10">
      <c r="B610" s="25"/>
      <c r="C610" s="25"/>
      <c r="D610" s="26" t="str" cm="1">
        <f t="array" ref="D610">IF(C610="","",IFERROR(INDEX(STPP!$D$6:$D$4207,MATCH(C610,STPP!$C$6:$C$4207,0)),"Not Found"))</f>
        <v/>
      </c>
      <c r="E610" s="27" t="str" cm="1">
        <f t="array" ref="E610">IF(C610="","",IFERROR(INDEX(STPP!$E$6:$E$4207,MATCH(C610,STPP!$C$6:$C$4207,0)),"Not Found"))</f>
        <v/>
      </c>
      <c r="F610" s="27" t="str" cm="1">
        <f t="array" ref="F610">IF(C610="","",IFERROR(INDEX(STPP!$F$6:$F$4207,MATCH(C610,STPP!$C$6:$C$4207,0)),"Not Found"))</f>
        <v/>
      </c>
      <c r="G610" s="25" t="str">
        <f>IF(表1[[#This Row],[No Seri]]="","",表1[[#This Row],[Deskripsi Barang]]+表1[[#This Row],[Kuantitas]]-表1[[#This Row],[Satuan]])</f>
        <v/>
      </c>
      <c r="H610" s="28"/>
      <c r="I610" s="25" t="str">
        <f>IF(表1[[#This Row],[Tgl NPBG]]&gt;表1[[#This Row],[Peminta]],表1[[#This Row],[Tgl NPBG]]-表1[[#This Row],[Peminta]],"")</f>
        <v/>
      </c>
      <c r="J610" s="31"/>
    </row>
    <row r="611" s="12" customFormat="1" customHeight="1" spans="2:10">
      <c r="B611" s="25"/>
      <c r="C611" s="25"/>
      <c r="D611" s="26" t="str" cm="1">
        <f t="array" ref="D611">IF(C611="","",IFERROR(INDEX(STPP!$D$6:$D$4207,MATCH(C611,STPP!$C$6:$C$4207,0)),"Not Found"))</f>
        <v/>
      </c>
      <c r="E611" s="27" t="str" cm="1">
        <f t="array" ref="E611">IF(C611="","",IFERROR(INDEX(STPP!$E$6:$E$4207,MATCH(C611,STPP!$C$6:$C$4207,0)),"Not Found"))</f>
        <v/>
      </c>
      <c r="F611" s="27" t="str" cm="1">
        <f t="array" ref="F611">IF(C611="","",IFERROR(INDEX(STPP!$F$6:$F$4207,MATCH(C611,STPP!$C$6:$C$4207,0)),"Not Found"))</f>
        <v/>
      </c>
      <c r="G611" s="25" t="str">
        <f>IF(表1[[#This Row],[No Seri]]="","",表1[[#This Row],[Deskripsi Barang]]+表1[[#This Row],[Kuantitas]]-表1[[#This Row],[Satuan]])</f>
        <v/>
      </c>
      <c r="H611" s="28"/>
      <c r="I611" s="25" t="str">
        <f>IF(表1[[#This Row],[Tgl NPBG]]&gt;表1[[#This Row],[Peminta]],表1[[#This Row],[Tgl NPBG]]-表1[[#This Row],[Peminta]],"")</f>
        <v/>
      </c>
      <c r="J611" s="31"/>
    </row>
    <row r="612" s="12" customFormat="1" customHeight="1" spans="2:10">
      <c r="B612" s="25"/>
      <c r="C612" s="25"/>
      <c r="D612" s="26" t="str" cm="1">
        <f t="array" ref="D612">IF(C612="","",IFERROR(INDEX(STPP!$D$6:$D$4207,MATCH(C612,STPP!$C$6:$C$4207,0)),"Not Found"))</f>
        <v/>
      </c>
      <c r="E612" s="27" t="str" cm="1">
        <f t="array" ref="E612">IF(C612="","",IFERROR(INDEX(STPP!$E$6:$E$4207,MATCH(C612,STPP!$C$6:$C$4207,0)),"Not Found"))</f>
        <v/>
      </c>
      <c r="F612" s="27" t="str" cm="1">
        <f t="array" ref="F612">IF(C612="","",IFERROR(INDEX(STPP!$F$6:$F$4207,MATCH(C612,STPP!$C$6:$C$4207,0)),"Not Found"))</f>
        <v/>
      </c>
      <c r="G612" s="25" t="str">
        <f>IF(表1[[#This Row],[No Seri]]="","",表1[[#This Row],[Deskripsi Barang]]+表1[[#This Row],[Kuantitas]]-表1[[#This Row],[Satuan]])</f>
        <v/>
      </c>
      <c r="H612" s="28"/>
      <c r="I612" s="25" t="str">
        <f>IF(表1[[#This Row],[Tgl NPBG]]&gt;表1[[#This Row],[Peminta]],表1[[#This Row],[Tgl NPBG]]-表1[[#This Row],[Peminta]],"")</f>
        <v/>
      </c>
      <c r="J612" s="31"/>
    </row>
    <row r="613" s="12" customFormat="1" customHeight="1" spans="2:10">
      <c r="B613" s="25"/>
      <c r="C613" s="25"/>
      <c r="D613" s="26" t="str" cm="1">
        <f t="array" ref="D613">IF(C613="","",IFERROR(INDEX(STPP!$D$6:$D$4207,MATCH(C613,STPP!$C$6:$C$4207,0)),"Not Found"))</f>
        <v/>
      </c>
      <c r="E613" s="27" t="str" cm="1">
        <f t="array" ref="E613">IF(C613="","",IFERROR(INDEX(STPP!$E$6:$E$4207,MATCH(C613,STPP!$C$6:$C$4207,0)),"Not Found"))</f>
        <v/>
      </c>
      <c r="F613" s="27" t="str" cm="1">
        <f t="array" ref="F613">IF(C613="","",IFERROR(INDEX(STPP!$F$6:$F$4207,MATCH(C613,STPP!$C$6:$C$4207,0)),"Not Found"))</f>
        <v/>
      </c>
      <c r="G613" s="25" t="str">
        <f>IF(表1[[#This Row],[No Seri]]="","",表1[[#This Row],[Deskripsi Barang]]+表1[[#This Row],[Kuantitas]]-表1[[#This Row],[Satuan]])</f>
        <v/>
      </c>
      <c r="H613" s="28"/>
      <c r="I613" s="25" t="str">
        <f>IF(表1[[#This Row],[Tgl NPBG]]&gt;表1[[#This Row],[Peminta]],表1[[#This Row],[Tgl NPBG]]-表1[[#This Row],[Peminta]],"")</f>
        <v/>
      </c>
      <c r="J613" s="31"/>
    </row>
    <row r="614" s="12" customFormat="1" customHeight="1" spans="2:10">
      <c r="B614" s="25"/>
      <c r="C614" s="25"/>
      <c r="D614" s="26" t="str" cm="1">
        <f t="array" ref="D614">IF(C614="","",IFERROR(INDEX(STPP!$D$6:$D$4207,MATCH(C614,STPP!$C$6:$C$4207,0)),"Not Found"))</f>
        <v/>
      </c>
      <c r="E614" s="27" t="str" cm="1">
        <f t="array" ref="E614">IF(C614="","",IFERROR(INDEX(STPP!$E$6:$E$4207,MATCH(C614,STPP!$C$6:$C$4207,0)),"Not Found"))</f>
        <v/>
      </c>
      <c r="F614" s="27" t="str" cm="1">
        <f t="array" ref="F614">IF(C614="","",IFERROR(INDEX(STPP!$F$6:$F$4207,MATCH(C614,STPP!$C$6:$C$4207,0)),"Not Found"))</f>
        <v/>
      </c>
      <c r="G614" s="25" t="str">
        <f>IF(表1[[#This Row],[No Seri]]="","",表1[[#This Row],[Deskripsi Barang]]+表1[[#This Row],[Kuantitas]]-表1[[#This Row],[Satuan]])</f>
        <v/>
      </c>
      <c r="H614" s="28"/>
      <c r="I614" s="25" t="str">
        <f>IF(表1[[#This Row],[Tgl NPBG]]&gt;表1[[#This Row],[Peminta]],表1[[#This Row],[Tgl NPBG]]-表1[[#This Row],[Peminta]],"")</f>
        <v/>
      </c>
      <c r="J614" s="31"/>
    </row>
    <row r="615" s="12" customFormat="1" customHeight="1" spans="2:10">
      <c r="B615" s="25"/>
      <c r="C615" s="25"/>
      <c r="D615" s="26" t="str" cm="1">
        <f t="array" ref="D615">IF(C615="","",IFERROR(INDEX(STPP!$D$6:$D$4207,MATCH(C615,STPP!$C$6:$C$4207,0)),"Not Found"))</f>
        <v/>
      </c>
      <c r="E615" s="27" t="str" cm="1">
        <f t="array" ref="E615">IF(C615="","",IFERROR(INDEX(STPP!$E$6:$E$4207,MATCH(C615,STPP!$C$6:$C$4207,0)),"Not Found"))</f>
        <v/>
      </c>
      <c r="F615" s="27" t="str" cm="1">
        <f t="array" ref="F615">IF(C615="","",IFERROR(INDEX(STPP!$F$6:$F$4207,MATCH(C615,STPP!$C$6:$C$4207,0)),"Not Found"))</f>
        <v/>
      </c>
      <c r="G615" s="25" t="str">
        <f>IF(表1[[#This Row],[No Seri]]="","",表1[[#This Row],[Deskripsi Barang]]+表1[[#This Row],[Kuantitas]]-表1[[#This Row],[Satuan]])</f>
        <v/>
      </c>
      <c r="H615" s="28"/>
      <c r="I615" s="25" t="str">
        <f>IF(表1[[#This Row],[Tgl NPBG]]&gt;表1[[#This Row],[Peminta]],表1[[#This Row],[Tgl NPBG]]-表1[[#This Row],[Peminta]],"")</f>
        <v/>
      </c>
      <c r="J615" s="31"/>
    </row>
    <row r="616" s="12" customFormat="1" customHeight="1" spans="2:10">
      <c r="B616" s="25"/>
      <c r="C616" s="25"/>
      <c r="D616" s="26" t="str" cm="1">
        <f t="array" ref="D616">IF(C616="","",IFERROR(INDEX(STPP!$D$6:$D$4207,MATCH(C616,STPP!$C$6:$C$4207,0)),"Not Found"))</f>
        <v/>
      </c>
      <c r="E616" s="27" t="str" cm="1">
        <f t="array" ref="E616">IF(C616="","",IFERROR(INDEX(STPP!$E$6:$E$4207,MATCH(C616,STPP!$C$6:$C$4207,0)),"Not Found"))</f>
        <v/>
      </c>
      <c r="F616" s="27" t="str" cm="1">
        <f t="array" ref="F616">IF(C616="","",IFERROR(INDEX(STPP!$F$6:$F$4207,MATCH(C616,STPP!$C$6:$C$4207,0)),"Not Found"))</f>
        <v/>
      </c>
      <c r="G616" s="25" t="str">
        <f>IF(表1[[#This Row],[No Seri]]="","",表1[[#This Row],[Deskripsi Barang]]+表1[[#This Row],[Kuantitas]]-表1[[#This Row],[Satuan]])</f>
        <v/>
      </c>
      <c r="H616" s="28"/>
      <c r="I616" s="25" t="str">
        <f>IF(表1[[#This Row],[Tgl NPBG]]&gt;表1[[#This Row],[Peminta]],表1[[#This Row],[Tgl NPBG]]-表1[[#This Row],[Peminta]],"")</f>
        <v/>
      </c>
      <c r="J616" s="31"/>
    </row>
    <row r="617" s="12" customFormat="1" customHeight="1" spans="2:10">
      <c r="B617" s="25"/>
      <c r="C617" s="25"/>
      <c r="D617" s="26" t="str" cm="1">
        <f t="array" ref="D617">IF(C617="","",IFERROR(INDEX(STPP!$D$6:$D$4207,MATCH(C617,STPP!$C$6:$C$4207,0)),"Not Found"))</f>
        <v/>
      </c>
      <c r="E617" s="27" t="str" cm="1">
        <f t="array" ref="E617">IF(C617="","",IFERROR(INDEX(STPP!$E$6:$E$4207,MATCH(C617,STPP!$C$6:$C$4207,0)),"Not Found"))</f>
        <v/>
      </c>
      <c r="F617" s="27" t="str" cm="1">
        <f t="array" ref="F617">IF(C617="","",IFERROR(INDEX(STPP!$F$6:$F$4207,MATCH(C617,STPP!$C$6:$C$4207,0)),"Not Found"))</f>
        <v/>
      </c>
      <c r="G617" s="25" t="str">
        <f>IF(表1[[#This Row],[No Seri]]="","",表1[[#This Row],[Deskripsi Barang]]+表1[[#This Row],[Kuantitas]]-表1[[#This Row],[Satuan]])</f>
        <v/>
      </c>
      <c r="H617" s="28"/>
      <c r="I617" s="25" t="str">
        <f>IF(表1[[#This Row],[Tgl NPBG]]&gt;表1[[#This Row],[Peminta]],表1[[#This Row],[Tgl NPBG]]-表1[[#This Row],[Peminta]],"")</f>
        <v/>
      </c>
      <c r="J617" s="31"/>
    </row>
    <row r="618" s="12" customFormat="1" customHeight="1" spans="2:10">
      <c r="B618" s="25"/>
      <c r="C618" s="25"/>
      <c r="D618" s="26" t="str" cm="1">
        <f t="array" ref="D618">IF(C618="","",IFERROR(INDEX(STPP!$D$6:$D$4207,MATCH(C618,STPP!$C$6:$C$4207,0)),"Not Found"))</f>
        <v/>
      </c>
      <c r="E618" s="27" t="str" cm="1">
        <f t="array" ref="E618">IF(C618="","",IFERROR(INDEX(STPP!$E$6:$E$4207,MATCH(C618,STPP!$C$6:$C$4207,0)),"Not Found"))</f>
        <v/>
      </c>
      <c r="F618" s="27" t="str" cm="1">
        <f t="array" ref="F618">IF(C618="","",IFERROR(INDEX(STPP!$F$6:$F$4207,MATCH(C618,STPP!$C$6:$C$4207,0)),"Not Found"))</f>
        <v/>
      </c>
      <c r="G618" s="25" t="str">
        <f>IF(表1[[#This Row],[No Seri]]="","",表1[[#This Row],[Deskripsi Barang]]+表1[[#This Row],[Kuantitas]]-表1[[#This Row],[Satuan]])</f>
        <v/>
      </c>
      <c r="H618" s="28"/>
      <c r="I618" s="25" t="str">
        <f>IF(表1[[#This Row],[Tgl NPBG]]&gt;表1[[#This Row],[Peminta]],表1[[#This Row],[Tgl NPBG]]-表1[[#This Row],[Peminta]],"")</f>
        <v/>
      </c>
      <c r="J618" s="31"/>
    </row>
    <row r="619" s="12" customFormat="1" customHeight="1" spans="2:10">
      <c r="B619" s="25"/>
      <c r="C619" s="25"/>
      <c r="D619" s="26" t="str" cm="1">
        <f t="array" ref="D619">IF(C619="","",IFERROR(INDEX(STPP!$D$6:$D$4207,MATCH(C619,STPP!$C$6:$C$4207,0)),"Not Found"))</f>
        <v/>
      </c>
      <c r="E619" s="27" t="str" cm="1">
        <f t="array" ref="E619">IF(C619="","",IFERROR(INDEX(STPP!$E$6:$E$4207,MATCH(C619,STPP!$C$6:$C$4207,0)),"Not Found"))</f>
        <v/>
      </c>
      <c r="F619" s="27" t="str" cm="1">
        <f t="array" ref="F619">IF(C619="","",IFERROR(INDEX(STPP!$F$6:$F$4207,MATCH(C619,STPP!$C$6:$C$4207,0)),"Not Found"))</f>
        <v/>
      </c>
      <c r="G619" s="25" t="str">
        <f>IF(表1[[#This Row],[No Seri]]="","",表1[[#This Row],[Deskripsi Barang]]+表1[[#This Row],[Kuantitas]]-表1[[#This Row],[Satuan]])</f>
        <v/>
      </c>
      <c r="H619" s="28"/>
      <c r="I619" s="25" t="str">
        <f>IF(表1[[#This Row],[Tgl NPBG]]&gt;表1[[#This Row],[Peminta]],表1[[#This Row],[Tgl NPBG]]-表1[[#This Row],[Peminta]],"")</f>
        <v/>
      </c>
      <c r="J619" s="31"/>
    </row>
    <row r="620" s="12" customFormat="1" customHeight="1" spans="2:10">
      <c r="B620" s="25"/>
      <c r="C620" s="25"/>
      <c r="D620" s="26" t="str" cm="1">
        <f t="array" ref="D620">IF(C620="","",IFERROR(INDEX(STPP!$D$6:$D$4207,MATCH(C620,STPP!$C$6:$C$4207,0)),"Not Found"))</f>
        <v/>
      </c>
      <c r="E620" s="27" t="str" cm="1">
        <f t="array" ref="E620">IF(C620="","",IFERROR(INDEX(STPP!$E$6:$E$4207,MATCH(C620,STPP!$C$6:$C$4207,0)),"Not Found"))</f>
        <v/>
      </c>
      <c r="F620" s="27" t="str" cm="1">
        <f t="array" ref="F620">IF(C620="","",IFERROR(INDEX(STPP!$F$6:$F$4207,MATCH(C620,STPP!$C$6:$C$4207,0)),"Not Found"))</f>
        <v/>
      </c>
      <c r="G620" s="25" t="str">
        <f>IF(表1[[#This Row],[No Seri]]="","",表1[[#This Row],[Deskripsi Barang]]+表1[[#This Row],[Kuantitas]]-表1[[#This Row],[Satuan]])</f>
        <v/>
      </c>
      <c r="H620" s="28"/>
      <c r="I620" s="25" t="str">
        <f>IF(表1[[#This Row],[Tgl NPBG]]&gt;表1[[#This Row],[Peminta]],表1[[#This Row],[Tgl NPBG]]-表1[[#This Row],[Peminta]],"")</f>
        <v/>
      </c>
      <c r="J620" s="31"/>
    </row>
    <row r="621" s="12" customFormat="1" customHeight="1" spans="2:10">
      <c r="B621" s="25"/>
      <c r="C621" s="25"/>
      <c r="D621" s="26" t="str" cm="1">
        <f t="array" ref="D621">IF(C621="","",IFERROR(INDEX(STPP!$D$6:$D$4207,MATCH(C621,STPP!$C$6:$C$4207,0)),"Not Found"))</f>
        <v/>
      </c>
      <c r="E621" s="27" t="str" cm="1">
        <f t="array" ref="E621">IF(C621="","",IFERROR(INDEX(STPP!$E$6:$E$4207,MATCH(C621,STPP!$C$6:$C$4207,0)),"Not Found"))</f>
        <v/>
      </c>
      <c r="F621" s="27" t="str" cm="1">
        <f t="array" ref="F621">IF(C621="","",IFERROR(INDEX(STPP!$F$6:$F$4207,MATCH(C621,STPP!$C$6:$C$4207,0)),"Not Found"))</f>
        <v/>
      </c>
      <c r="G621" s="25" t="str">
        <f>IF(表1[[#This Row],[No Seri]]="","",表1[[#This Row],[Deskripsi Barang]]+表1[[#This Row],[Kuantitas]]-表1[[#This Row],[Satuan]])</f>
        <v/>
      </c>
      <c r="H621" s="28"/>
      <c r="I621" s="25" t="str">
        <f>IF(表1[[#This Row],[Tgl NPBG]]&gt;表1[[#This Row],[Peminta]],表1[[#This Row],[Tgl NPBG]]-表1[[#This Row],[Peminta]],"")</f>
        <v/>
      </c>
      <c r="J621" s="31"/>
    </row>
    <row r="622" s="12" customFormat="1" customHeight="1" spans="2:10">
      <c r="B622" s="25"/>
      <c r="C622" s="25"/>
      <c r="D622" s="26" t="str" cm="1">
        <f t="array" ref="D622">IF(C622="","",IFERROR(INDEX(STPP!$D$6:$D$4207,MATCH(C622,STPP!$C$6:$C$4207,0)),"Not Found"))</f>
        <v/>
      </c>
      <c r="E622" s="27" t="str" cm="1">
        <f t="array" ref="E622">IF(C622="","",IFERROR(INDEX(STPP!$E$6:$E$4207,MATCH(C622,STPP!$C$6:$C$4207,0)),"Not Found"))</f>
        <v/>
      </c>
      <c r="F622" s="27" t="str" cm="1">
        <f t="array" ref="F622">IF(C622="","",IFERROR(INDEX(STPP!$F$6:$F$4207,MATCH(C622,STPP!$C$6:$C$4207,0)),"Not Found"))</f>
        <v/>
      </c>
      <c r="G622" s="25" t="str">
        <f>IF(表1[[#This Row],[No Seri]]="","",表1[[#This Row],[Deskripsi Barang]]+表1[[#This Row],[Kuantitas]]-表1[[#This Row],[Satuan]])</f>
        <v/>
      </c>
      <c r="H622" s="28"/>
      <c r="I622" s="25" t="str">
        <f>IF(表1[[#This Row],[Tgl NPBG]]&gt;表1[[#This Row],[Peminta]],表1[[#This Row],[Tgl NPBG]]-表1[[#This Row],[Peminta]],"")</f>
        <v/>
      </c>
      <c r="J622" s="31"/>
    </row>
    <row r="623" s="12" customFormat="1" customHeight="1" spans="2:10">
      <c r="B623" s="25"/>
      <c r="C623" s="25"/>
      <c r="D623" s="26" t="str" cm="1">
        <f t="array" ref="D623">IF(C623="","",IFERROR(INDEX(STPP!$D$6:$D$4207,MATCH(C623,STPP!$C$6:$C$4207,0)),"Not Found"))</f>
        <v/>
      </c>
      <c r="E623" s="27" t="str" cm="1">
        <f t="array" ref="E623">IF(C623="","",IFERROR(INDEX(STPP!$E$6:$E$4207,MATCH(C623,STPP!$C$6:$C$4207,0)),"Not Found"))</f>
        <v/>
      </c>
      <c r="F623" s="27" t="str" cm="1">
        <f t="array" ref="F623">IF(C623="","",IFERROR(INDEX(STPP!$F$6:$F$4207,MATCH(C623,STPP!$C$6:$C$4207,0)),"Not Found"))</f>
        <v/>
      </c>
      <c r="G623" s="25" t="str">
        <f>IF(表1[[#This Row],[No Seri]]="","",表1[[#This Row],[Deskripsi Barang]]+表1[[#This Row],[Kuantitas]]-表1[[#This Row],[Satuan]])</f>
        <v/>
      </c>
      <c r="H623" s="28"/>
      <c r="I623" s="25" t="str">
        <f>IF(表1[[#This Row],[Tgl NPBG]]&gt;表1[[#This Row],[Peminta]],表1[[#This Row],[Tgl NPBG]]-表1[[#This Row],[Peminta]],"")</f>
        <v/>
      </c>
      <c r="J623" s="31"/>
    </row>
    <row r="624" s="12" customFormat="1" customHeight="1" spans="2:10">
      <c r="B624" s="25"/>
      <c r="C624" s="25"/>
      <c r="D624" s="26" t="str" cm="1">
        <f t="array" ref="D624">IF(C624="","",IFERROR(INDEX(STPP!$D$6:$D$4207,MATCH(C624,STPP!$C$6:$C$4207,0)),"Not Found"))</f>
        <v/>
      </c>
      <c r="E624" s="27" t="str" cm="1">
        <f t="array" ref="E624">IF(C624="","",IFERROR(INDEX(STPP!$E$6:$E$4207,MATCH(C624,STPP!$C$6:$C$4207,0)),"Not Found"))</f>
        <v/>
      </c>
      <c r="F624" s="27" t="str" cm="1">
        <f t="array" ref="F624">IF(C624="","",IFERROR(INDEX(STPP!$F$6:$F$4207,MATCH(C624,STPP!$C$6:$C$4207,0)),"Not Found"))</f>
        <v/>
      </c>
      <c r="G624" s="25" t="str">
        <f>IF(表1[[#This Row],[No Seri]]="","",表1[[#This Row],[Deskripsi Barang]]+表1[[#This Row],[Kuantitas]]-表1[[#This Row],[Satuan]])</f>
        <v/>
      </c>
      <c r="H624" s="28"/>
      <c r="I624" s="25" t="str">
        <f>IF(表1[[#This Row],[Tgl NPBG]]&gt;表1[[#This Row],[Peminta]],表1[[#This Row],[Tgl NPBG]]-表1[[#This Row],[Peminta]],"")</f>
        <v/>
      </c>
      <c r="J624" s="31"/>
    </row>
    <row r="625" s="12" customFormat="1" customHeight="1" spans="2:10">
      <c r="B625" s="25"/>
      <c r="C625" s="25"/>
      <c r="D625" s="26" t="str" cm="1">
        <f t="array" ref="D625">IF(C625="","",IFERROR(INDEX(STPP!$D$6:$D$4207,MATCH(C625,STPP!$C$6:$C$4207,0)),"Not Found"))</f>
        <v/>
      </c>
      <c r="E625" s="27" t="str" cm="1">
        <f t="array" ref="E625">IF(C625="","",IFERROR(INDEX(STPP!$E$6:$E$4207,MATCH(C625,STPP!$C$6:$C$4207,0)),"Not Found"))</f>
        <v/>
      </c>
      <c r="F625" s="27" t="str" cm="1">
        <f t="array" ref="F625">IF(C625="","",IFERROR(INDEX(STPP!$F$6:$F$4207,MATCH(C625,STPP!$C$6:$C$4207,0)),"Not Found"))</f>
        <v/>
      </c>
      <c r="G625" s="25" t="str">
        <f>IF(表1[[#This Row],[No Seri]]="","",表1[[#This Row],[Deskripsi Barang]]+表1[[#This Row],[Kuantitas]]-表1[[#This Row],[Satuan]])</f>
        <v/>
      </c>
      <c r="H625" s="28"/>
      <c r="I625" s="25" t="str">
        <f>IF(表1[[#This Row],[Tgl NPBG]]&gt;表1[[#This Row],[Peminta]],表1[[#This Row],[Tgl NPBG]]-表1[[#This Row],[Peminta]],"")</f>
        <v/>
      </c>
      <c r="J625" s="31"/>
    </row>
    <row r="626" s="12" customFormat="1" customHeight="1" spans="2:10">
      <c r="B626" s="25"/>
      <c r="C626" s="25"/>
      <c r="D626" s="26" t="str" cm="1">
        <f t="array" ref="D626">IF(C626="","",IFERROR(INDEX(STPP!$D$6:$D$4207,MATCH(C626,STPP!$C$6:$C$4207,0)),"Not Found"))</f>
        <v/>
      </c>
      <c r="E626" s="27" t="str" cm="1">
        <f t="array" ref="E626">IF(C626="","",IFERROR(INDEX(STPP!$E$6:$E$4207,MATCH(C626,STPP!$C$6:$C$4207,0)),"Not Found"))</f>
        <v/>
      </c>
      <c r="F626" s="27" t="str" cm="1">
        <f t="array" ref="F626">IF(C626="","",IFERROR(INDEX(STPP!$F$6:$F$4207,MATCH(C626,STPP!$C$6:$C$4207,0)),"Not Found"))</f>
        <v/>
      </c>
      <c r="G626" s="25" t="str">
        <f>IF(表1[[#This Row],[No Seri]]="","",表1[[#This Row],[Deskripsi Barang]]+表1[[#This Row],[Kuantitas]]-表1[[#This Row],[Satuan]])</f>
        <v/>
      </c>
      <c r="H626" s="28"/>
      <c r="I626" s="25" t="str">
        <f>IF(表1[[#This Row],[Tgl NPBG]]&gt;表1[[#This Row],[Peminta]],表1[[#This Row],[Tgl NPBG]]-表1[[#This Row],[Peminta]],"")</f>
        <v/>
      </c>
      <c r="J626" s="31"/>
    </row>
    <row r="627" s="12" customFormat="1" customHeight="1" spans="2:10">
      <c r="B627" s="25"/>
      <c r="C627" s="25"/>
      <c r="D627" s="26" t="str" cm="1">
        <f t="array" ref="D627">IF(C627="","",IFERROR(INDEX(STPP!$D$6:$D$4207,MATCH(C627,STPP!$C$6:$C$4207,0)),"Not Found"))</f>
        <v/>
      </c>
      <c r="E627" s="27" t="str" cm="1">
        <f t="array" ref="E627">IF(C627="","",IFERROR(INDEX(STPP!$E$6:$E$4207,MATCH(C627,STPP!$C$6:$C$4207,0)),"Not Found"))</f>
        <v/>
      </c>
      <c r="F627" s="27" t="str" cm="1">
        <f t="array" ref="F627">IF(C627="","",IFERROR(INDEX(STPP!$F$6:$F$4207,MATCH(C627,STPP!$C$6:$C$4207,0)),"Not Found"))</f>
        <v/>
      </c>
      <c r="G627" s="25" t="str">
        <f>IF(表1[[#This Row],[No Seri]]="","",表1[[#This Row],[Deskripsi Barang]]+表1[[#This Row],[Kuantitas]]-表1[[#This Row],[Satuan]])</f>
        <v/>
      </c>
      <c r="H627" s="28"/>
      <c r="I627" s="25" t="str">
        <f>IF(表1[[#This Row],[Tgl NPBG]]&gt;表1[[#This Row],[Peminta]],表1[[#This Row],[Tgl NPBG]]-表1[[#This Row],[Peminta]],"")</f>
        <v/>
      </c>
      <c r="J627" s="31"/>
    </row>
    <row r="628" s="12" customFormat="1" customHeight="1" spans="2:10">
      <c r="B628" s="25"/>
      <c r="C628" s="25"/>
      <c r="D628" s="26" t="str" cm="1">
        <f t="array" ref="D628">IF(C628="","",IFERROR(INDEX(STPP!$D$6:$D$4207,MATCH(C628,STPP!$C$6:$C$4207,0)),"Not Found"))</f>
        <v/>
      </c>
      <c r="E628" s="27" t="str" cm="1">
        <f t="array" ref="E628">IF(C628="","",IFERROR(INDEX(STPP!$E$6:$E$4207,MATCH(C628,STPP!$C$6:$C$4207,0)),"Not Found"))</f>
        <v/>
      </c>
      <c r="F628" s="27" t="str" cm="1">
        <f t="array" ref="F628">IF(C628="","",IFERROR(INDEX(STPP!$F$6:$F$4207,MATCH(C628,STPP!$C$6:$C$4207,0)),"Not Found"))</f>
        <v/>
      </c>
      <c r="G628" s="25" t="str">
        <f>IF(表1[[#This Row],[No Seri]]="","",表1[[#This Row],[Deskripsi Barang]]+表1[[#This Row],[Kuantitas]]-表1[[#This Row],[Satuan]])</f>
        <v/>
      </c>
      <c r="H628" s="28"/>
      <c r="I628" s="25" t="str">
        <f>IF(表1[[#This Row],[Tgl NPBG]]&gt;表1[[#This Row],[Peminta]],表1[[#This Row],[Tgl NPBG]]-表1[[#This Row],[Peminta]],"")</f>
        <v/>
      </c>
      <c r="J628" s="31"/>
    </row>
    <row r="629" s="12" customFormat="1" customHeight="1" spans="2:10">
      <c r="B629" s="25"/>
      <c r="C629" s="25"/>
      <c r="D629" s="26" t="str" cm="1">
        <f t="array" ref="D629">IF(C629="","",IFERROR(INDEX(STPP!$D$6:$D$4207,MATCH(C629,STPP!$C$6:$C$4207,0)),"Not Found"))</f>
        <v/>
      </c>
      <c r="E629" s="27" t="str" cm="1">
        <f t="array" ref="E629">IF(C629="","",IFERROR(INDEX(STPP!$E$6:$E$4207,MATCH(C629,STPP!$C$6:$C$4207,0)),"Not Found"))</f>
        <v/>
      </c>
      <c r="F629" s="27" t="str" cm="1">
        <f t="array" ref="F629">IF(C629="","",IFERROR(INDEX(STPP!$F$6:$F$4207,MATCH(C629,STPP!$C$6:$C$4207,0)),"Not Found"))</f>
        <v/>
      </c>
      <c r="G629" s="25" t="str">
        <f>IF(表1[[#This Row],[No Seri]]="","",表1[[#This Row],[Deskripsi Barang]]+表1[[#This Row],[Kuantitas]]-表1[[#This Row],[Satuan]])</f>
        <v/>
      </c>
      <c r="H629" s="28"/>
      <c r="I629" s="25" t="str">
        <f>IF(表1[[#This Row],[Tgl NPBG]]&gt;表1[[#This Row],[Peminta]],表1[[#This Row],[Tgl NPBG]]-表1[[#This Row],[Peminta]],"")</f>
        <v/>
      </c>
      <c r="J629" s="31"/>
    </row>
    <row r="630" s="12" customFormat="1" customHeight="1" spans="2:10">
      <c r="B630" s="25"/>
      <c r="C630" s="25"/>
      <c r="D630" s="26" t="str" cm="1">
        <f t="array" ref="D630">IF(C630="","",IFERROR(INDEX(STPP!$D$6:$D$4207,MATCH(C630,STPP!$C$6:$C$4207,0)),"Not Found"))</f>
        <v/>
      </c>
      <c r="E630" s="27" t="str" cm="1">
        <f t="array" ref="E630">IF(C630="","",IFERROR(INDEX(STPP!$E$6:$E$4207,MATCH(C630,STPP!$C$6:$C$4207,0)),"Not Found"))</f>
        <v/>
      </c>
      <c r="F630" s="27" t="str" cm="1">
        <f t="array" ref="F630">IF(C630="","",IFERROR(INDEX(STPP!$F$6:$F$4207,MATCH(C630,STPP!$C$6:$C$4207,0)),"Not Found"))</f>
        <v/>
      </c>
      <c r="G630" s="25" t="str">
        <f>IF(表1[[#This Row],[No Seri]]="","",表1[[#This Row],[Deskripsi Barang]]+表1[[#This Row],[Kuantitas]]-表1[[#This Row],[Satuan]])</f>
        <v/>
      </c>
      <c r="H630" s="28"/>
      <c r="I630" s="25" t="str">
        <f>IF(表1[[#This Row],[Tgl NPBG]]&gt;表1[[#This Row],[Peminta]],表1[[#This Row],[Tgl NPBG]]-表1[[#This Row],[Peminta]],"")</f>
        <v/>
      </c>
      <c r="J630" s="31"/>
    </row>
    <row r="631" s="12" customFormat="1" customHeight="1" spans="2:10">
      <c r="B631" s="25"/>
      <c r="C631" s="25"/>
      <c r="D631" s="26" t="str" cm="1">
        <f t="array" ref="D631">IF(C631="","",IFERROR(INDEX(STPP!$D$6:$D$4207,MATCH(C631,STPP!$C$6:$C$4207,0)),"Not Found"))</f>
        <v/>
      </c>
      <c r="E631" s="27" t="str" cm="1">
        <f t="array" ref="E631">IF(C631="","",IFERROR(INDEX(STPP!$E$6:$E$4207,MATCH(C631,STPP!$C$6:$C$4207,0)),"Not Found"))</f>
        <v/>
      </c>
      <c r="F631" s="27" t="str" cm="1">
        <f t="array" ref="F631">IF(C631="","",IFERROR(INDEX(STPP!$F$6:$F$4207,MATCH(C631,STPP!$C$6:$C$4207,0)),"Not Found"))</f>
        <v/>
      </c>
      <c r="G631" s="25" t="str">
        <f>IF(表1[[#This Row],[No Seri]]="","",表1[[#This Row],[Deskripsi Barang]]+表1[[#This Row],[Kuantitas]]-表1[[#This Row],[Satuan]])</f>
        <v/>
      </c>
      <c r="H631" s="28"/>
      <c r="I631" s="25" t="str">
        <f>IF(表1[[#This Row],[Tgl NPBG]]&gt;表1[[#This Row],[Peminta]],表1[[#This Row],[Tgl NPBG]]-表1[[#This Row],[Peminta]],"")</f>
        <v/>
      </c>
      <c r="J631" s="31"/>
    </row>
    <row r="632" s="12" customFormat="1" customHeight="1" spans="2:10">
      <c r="B632" s="25"/>
      <c r="C632" s="25"/>
      <c r="D632" s="26" t="str" cm="1">
        <f t="array" ref="D632">IF(C632="","",IFERROR(INDEX(STPP!$D$6:$D$4207,MATCH(C632,STPP!$C$6:$C$4207,0)),"Not Found"))</f>
        <v/>
      </c>
      <c r="E632" s="27" t="str" cm="1">
        <f t="array" ref="E632">IF(C632="","",IFERROR(INDEX(STPP!$E$6:$E$4207,MATCH(C632,STPP!$C$6:$C$4207,0)),"Not Found"))</f>
        <v/>
      </c>
      <c r="F632" s="27" t="str" cm="1">
        <f t="array" ref="F632">IF(C632="","",IFERROR(INDEX(STPP!$F$6:$F$4207,MATCH(C632,STPP!$C$6:$C$4207,0)),"Not Found"))</f>
        <v/>
      </c>
      <c r="G632" s="25" t="str">
        <f>IF(表1[[#This Row],[No Seri]]="","",表1[[#This Row],[Deskripsi Barang]]+表1[[#This Row],[Kuantitas]]-表1[[#This Row],[Satuan]])</f>
        <v/>
      </c>
      <c r="H632" s="28"/>
      <c r="I632" s="25" t="str">
        <f>IF(表1[[#This Row],[Tgl NPBG]]&gt;表1[[#This Row],[Peminta]],表1[[#This Row],[Tgl NPBG]]-表1[[#This Row],[Peminta]],"")</f>
        <v/>
      </c>
      <c r="J632" s="31"/>
    </row>
    <row r="633" s="12" customFormat="1" customHeight="1" spans="2:10">
      <c r="B633" s="25"/>
      <c r="C633" s="25"/>
      <c r="D633" s="26" t="str" cm="1">
        <f t="array" ref="D633">IF(C633="","",IFERROR(INDEX(STPP!$D$6:$D$4207,MATCH(C633,STPP!$C$6:$C$4207,0)),"Not Found"))</f>
        <v/>
      </c>
      <c r="E633" s="27" t="str" cm="1">
        <f t="array" ref="E633">IF(C633="","",IFERROR(INDEX(STPP!$E$6:$E$4207,MATCH(C633,STPP!$C$6:$C$4207,0)),"Not Found"))</f>
        <v/>
      </c>
      <c r="F633" s="27" t="str" cm="1">
        <f t="array" ref="F633">IF(C633="","",IFERROR(INDEX(STPP!$F$6:$F$4207,MATCH(C633,STPP!$C$6:$C$4207,0)),"Not Found"))</f>
        <v/>
      </c>
      <c r="G633" s="25" t="str">
        <f>IF(表1[[#This Row],[No Seri]]="","",表1[[#This Row],[Deskripsi Barang]]+表1[[#This Row],[Kuantitas]]-表1[[#This Row],[Satuan]])</f>
        <v/>
      </c>
      <c r="H633" s="28"/>
      <c r="I633" s="25" t="str">
        <f>IF(表1[[#This Row],[Tgl NPBG]]&gt;表1[[#This Row],[Peminta]],表1[[#This Row],[Tgl NPBG]]-表1[[#This Row],[Peminta]],"")</f>
        <v/>
      </c>
      <c r="J633" s="31"/>
    </row>
    <row r="634" s="12" customFormat="1" customHeight="1" spans="2:10">
      <c r="B634" s="25"/>
      <c r="C634" s="25"/>
      <c r="D634" s="26" t="str" cm="1">
        <f t="array" ref="D634">IF(C634="","",IFERROR(INDEX(STPP!$D$6:$D$4207,MATCH(C634,STPP!$C$6:$C$4207,0)),"Not Found"))</f>
        <v/>
      </c>
      <c r="E634" s="27" t="str" cm="1">
        <f t="array" ref="E634">IF(C634="","",IFERROR(INDEX(STPP!$E$6:$E$4207,MATCH(C634,STPP!$C$6:$C$4207,0)),"Not Found"))</f>
        <v/>
      </c>
      <c r="F634" s="27" t="str" cm="1">
        <f t="array" ref="F634">IF(C634="","",IFERROR(INDEX(STPP!$F$6:$F$4207,MATCH(C634,STPP!$C$6:$C$4207,0)),"Not Found"))</f>
        <v/>
      </c>
      <c r="G634" s="25" t="str">
        <f>IF(表1[[#This Row],[No Seri]]="","",表1[[#This Row],[Deskripsi Barang]]+表1[[#This Row],[Kuantitas]]-表1[[#This Row],[Satuan]])</f>
        <v/>
      </c>
      <c r="H634" s="28"/>
      <c r="I634" s="25" t="str">
        <f>IF(表1[[#This Row],[Tgl NPBG]]&gt;表1[[#This Row],[Peminta]],表1[[#This Row],[Tgl NPBG]]-表1[[#This Row],[Peminta]],"")</f>
        <v/>
      </c>
      <c r="J634" s="31"/>
    </row>
    <row r="635" s="12" customFormat="1" customHeight="1" spans="2:10">
      <c r="B635" s="25"/>
      <c r="C635" s="25"/>
      <c r="D635" s="26" t="str" cm="1">
        <f t="array" ref="D635">IF(C635="","",IFERROR(INDEX(STPP!$D$6:$D$4207,MATCH(C635,STPP!$C$6:$C$4207,0)),"Not Found"))</f>
        <v/>
      </c>
      <c r="E635" s="27" t="str" cm="1">
        <f t="array" ref="E635">IF(C635="","",IFERROR(INDEX(STPP!$E$6:$E$4207,MATCH(C635,STPP!$C$6:$C$4207,0)),"Not Found"))</f>
        <v/>
      </c>
      <c r="F635" s="27" t="str" cm="1">
        <f t="array" ref="F635">IF(C635="","",IFERROR(INDEX(STPP!$F$6:$F$4207,MATCH(C635,STPP!$C$6:$C$4207,0)),"Not Found"))</f>
        <v/>
      </c>
      <c r="G635" s="25" t="str">
        <f>IF(表1[[#This Row],[No Seri]]="","",表1[[#This Row],[Deskripsi Barang]]+表1[[#This Row],[Kuantitas]]-表1[[#This Row],[Satuan]])</f>
        <v/>
      </c>
      <c r="H635" s="28"/>
      <c r="I635" s="25" t="str">
        <f>IF(表1[[#This Row],[Tgl NPBG]]&gt;表1[[#This Row],[Peminta]],表1[[#This Row],[Tgl NPBG]]-表1[[#This Row],[Peminta]],"")</f>
        <v/>
      </c>
      <c r="J635" s="31"/>
    </row>
    <row r="636" s="12" customFormat="1" customHeight="1" spans="2:10">
      <c r="B636" s="25"/>
      <c r="C636" s="25"/>
      <c r="D636" s="26" t="str" cm="1">
        <f t="array" ref="D636">IF(C636="","",IFERROR(INDEX(STPP!$D$6:$D$4207,MATCH(C636,STPP!$C$6:$C$4207,0)),"Not Found"))</f>
        <v/>
      </c>
      <c r="E636" s="27" t="str" cm="1">
        <f t="array" ref="E636">IF(C636="","",IFERROR(INDEX(STPP!$E$6:$E$4207,MATCH(C636,STPP!$C$6:$C$4207,0)),"Not Found"))</f>
        <v/>
      </c>
      <c r="F636" s="27" t="str" cm="1">
        <f t="array" ref="F636">IF(C636="","",IFERROR(INDEX(STPP!$F$6:$F$4207,MATCH(C636,STPP!$C$6:$C$4207,0)),"Not Found"))</f>
        <v/>
      </c>
      <c r="G636" s="25" t="str">
        <f>IF(表1[[#This Row],[No Seri]]="","",表1[[#This Row],[Deskripsi Barang]]+表1[[#This Row],[Kuantitas]]-表1[[#This Row],[Satuan]])</f>
        <v/>
      </c>
      <c r="H636" s="28"/>
      <c r="I636" s="25" t="str">
        <f>IF(表1[[#This Row],[Tgl NPBG]]&gt;表1[[#This Row],[Peminta]],表1[[#This Row],[Tgl NPBG]]-表1[[#This Row],[Peminta]],"")</f>
        <v/>
      </c>
      <c r="J636" s="31"/>
    </row>
    <row r="637" s="12" customFormat="1" customHeight="1" spans="2:10">
      <c r="B637" s="25"/>
      <c r="C637" s="25"/>
      <c r="D637" s="26" t="str" cm="1">
        <f t="array" ref="D637">IF(C637="","",IFERROR(INDEX(STPP!$D$6:$D$4207,MATCH(C637,STPP!$C$6:$C$4207,0)),"Not Found"))</f>
        <v/>
      </c>
      <c r="E637" s="27" t="str" cm="1">
        <f t="array" ref="E637">IF(C637="","",IFERROR(INDEX(STPP!$E$6:$E$4207,MATCH(C637,STPP!$C$6:$C$4207,0)),"Not Found"))</f>
        <v/>
      </c>
      <c r="F637" s="27" t="str" cm="1">
        <f t="array" ref="F637">IF(C637="","",IFERROR(INDEX(STPP!$F$6:$F$4207,MATCH(C637,STPP!$C$6:$C$4207,0)),"Not Found"))</f>
        <v/>
      </c>
      <c r="G637" s="25" t="str">
        <f>IF(表1[[#This Row],[No Seri]]="","",表1[[#This Row],[Deskripsi Barang]]+表1[[#This Row],[Kuantitas]]-表1[[#This Row],[Satuan]])</f>
        <v/>
      </c>
      <c r="H637" s="28"/>
      <c r="I637" s="25" t="str">
        <f>IF(表1[[#This Row],[Tgl NPBG]]&gt;表1[[#This Row],[Peminta]],表1[[#This Row],[Tgl NPBG]]-表1[[#This Row],[Peminta]],"")</f>
        <v/>
      </c>
      <c r="J637" s="31"/>
    </row>
    <row r="638" s="12" customFormat="1" customHeight="1" spans="2:10">
      <c r="B638" s="25"/>
      <c r="C638" s="25"/>
      <c r="D638" s="26" t="str" cm="1">
        <f t="array" ref="D638">IF(C638="","",IFERROR(INDEX(STPP!$D$6:$D$4207,MATCH(C638,STPP!$C$6:$C$4207,0)),"Not Found"))</f>
        <v/>
      </c>
      <c r="E638" s="27" t="str" cm="1">
        <f t="array" ref="E638">IF(C638="","",IFERROR(INDEX(STPP!$E$6:$E$4207,MATCH(C638,STPP!$C$6:$C$4207,0)),"Not Found"))</f>
        <v/>
      </c>
      <c r="F638" s="27" t="str" cm="1">
        <f t="array" ref="F638">IF(C638="","",IFERROR(INDEX(STPP!$F$6:$F$4207,MATCH(C638,STPP!$C$6:$C$4207,0)),"Not Found"))</f>
        <v/>
      </c>
      <c r="G638" s="25" t="str">
        <f>IF(表1[[#This Row],[No Seri]]="","",表1[[#This Row],[Deskripsi Barang]]+表1[[#This Row],[Kuantitas]]-表1[[#This Row],[Satuan]])</f>
        <v/>
      </c>
      <c r="H638" s="28"/>
      <c r="I638" s="25" t="str">
        <f>IF(表1[[#This Row],[Tgl NPBG]]&gt;表1[[#This Row],[Peminta]],表1[[#This Row],[Tgl NPBG]]-表1[[#This Row],[Peminta]],"")</f>
        <v/>
      </c>
      <c r="J638" s="31"/>
    </row>
    <row r="639" s="12" customFormat="1" customHeight="1" spans="2:10">
      <c r="B639" s="25"/>
      <c r="C639" s="25"/>
      <c r="D639" s="26" t="str" cm="1">
        <f t="array" ref="D639">IF(C639="","",IFERROR(INDEX(STPP!$D$6:$D$4207,MATCH(C639,STPP!$C$6:$C$4207,0)),"Not Found"))</f>
        <v/>
      </c>
      <c r="E639" s="27" t="str" cm="1">
        <f t="array" ref="E639">IF(C639="","",IFERROR(INDEX(STPP!$E$6:$E$4207,MATCH(C639,STPP!$C$6:$C$4207,0)),"Not Found"))</f>
        <v/>
      </c>
      <c r="F639" s="27" t="str" cm="1">
        <f t="array" ref="F639">IF(C639="","",IFERROR(INDEX(STPP!$F$6:$F$4207,MATCH(C639,STPP!$C$6:$C$4207,0)),"Not Found"))</f>
        <v/>
      </c>
      <c r="G639" s="25" t="str">
        <f>IF(表1[[#This Row],[No Seri]]="","",表1[[#This Row],[Deskripsi Barang]]+表1[[#This Row],[Kuantitas]]-表1[[#This Row],[Satuan]])</f>
        <v/>
      </c>
      <c r="H639" s="28"/>
      <c r="I639" s="25" t="str">
        <f>IF(表1[[#This Row],[Tgl NPBG]]&gt;表1[[#This Row],[Peminta]],表1[[#This Row],[Tgl NPBG]]-表1[[#This Row],[Peminta]],"")</f>
        <v/>
      </c>
      <c r="J639" s="31"/>
    </row>
    <row r="640" s="12" customFormat="1" customHeight="1" spans="2:10">
      <c r="B640" s="25"/>
      <c r="C640" s="25"/>
      <c r="D640" s="26" t="str" cm="1">
        <f t="array" ref="D640">IF(C640="","",IFERROR(INDEX(STPP!$D$6:$D$4207,MATCH(C640,STPP!$C$6:$C$4207,0)),"Not Found"))</f>
        <v/>
      </c>
      <c r="E640" s="27" t="str" cm="1">
        <f t="array" ref="E640">IF(C640="","",IFERROR(INDEX(STPP!$E$6:$E$4207,MATCH(C640,STPP!$C$6:$C$4207,0)),"Not Found"))</f>
        <v/>
      </c>
      <c r="F640" s="27" t="str" cm="1">
        <f t="array" ref="F640">IF(C640="","",IFERROR(INDEX(STPP!$F$6:$F$4207,MATCH(C640,STPP!$C$6:$C$4207,0)),"Not Found"))</f>
        <v/>
      </c>
      <c r="G640" s="25" t="str">
        <f>IF(表1[[#This Row],[No Seri]]="","",表1[[#This Row],[Deskripsi Barang]]+表1[[#This Row],[Kuantitas]]-表1[[#This Row],[Satuan]])</f>
        <v/>
      </c>
      <c r="H640" s="28"/>
      <c r="I640" s="25" t="str">
        <f>IF(表1[[#This Row],[Tgl NPBG]]&gt;表1[[#This Row],[Peminta]],表1[[#This Row],[Tgl NPBG]]-表1[[#This Row],[Peminta]],"")</f>
        <v/>
      </c>
      <c r="J640" s="31"/>
    </row>
    <row r="641" s="12" customFormat="1" customHeight="1" spans="2:10">
      <c r="B641" s="25"/>
      <c r="C641" s="25"/>
      <c r="D641" s="26" t="str" cm="1">
        <f t="array" ref="D641">IF(C641="","",IFERROR(INDEX(STPP!$D$6:$D$4207,MATCH(C641,STPP!$C$6:$C$4207,0)),"Not Found"))</f>
        <v/>
      </c>
      <c r="E641" s="27" t="str" cm="1">
        <f t="array" ref="E641">IF(C641="","",IFERROR(INDEX(STPP!$E$6:$E$4207,MATCH(C641,STPP!$C$6:$C$4207,0)),"Not Found"))</f>
        <v/>
      </c>
      <c r="F641" s="27" t="str" cm="1">
        <f t="array" ref="F641">IF(C641="","",IFERROR(INDEX(STPP!$F$6:$F$4207,MATCH(C641,STPP!$C$6:$C$4207,0)),"Not Found"))</f>
        <v/>
      </c>
      <c r="G641" s="25" t="str">
        <f>IF(表1[[#This Row],[No Seri]]="","",表1[[#This Row],[Deskripsi Barang]]+表1[[#This Row],[Kuantitas]]-表1[[#This Row],[Satuan]])</f>
        <v/>
      </c>
      <c r="H641" s="28"/>
      <c r="I641" s="25" t="str">
        <f>IF(表1[[#This Row],[Tgl NPBG]]&gt;表1[[#This Row],[Peminta]],表1[[#This Row],[Tgl NPBG]]-表1[[#This Row],[Peminta]],"")</f>
        <v/>
      </c>
      <c r="J641" s="31"/>
    </row>
    <row r="642" s="12" customFormat="1" customHeight="1" spans="2:10">
      <c r="B642" s="25"/>
      <c r="C642" s="25"/>
      <c r="D642" s="26" t="str" cm="1">
        <f t="array" ref="D642">IF(C642="","",IFERROR(INDEX(STPP!$D$6:$D$4207,MATCH(C642,STPP!$C$6:$C$4207,0)),"Not Found"))</f>
        <v/>
      </c>
      <c r="E642" s="27" t="str" cm="1">
        <f t="array" ref="E642">IF(C642="","",IFERROR(INDEX(STPP!$E$6:$E$4207,MATCH(C642,STPP!$C$6:$C$4207,0)),"Not Found"))</f>
        <v/>
      </c>
      <c r="F642" s="27" t="str" cm="1">
        <f t="array" ref="F642">IF(C642="","",IFERROR(INDEX(STPP!$F$6:$F$4207,MATCH(C642,STPP!$C$6:$C$4207,0)),"Not Found"))</f>
        <v/>
      </c>
      <c r="G642" s="25" t="str">
        <f>IF(表1[[#This Row],[No Seri]]="","",表1[[#This Row],[Deskripsi Barang]]+表1[[#This Row],[Kuantitas]]-表1[[#This Row],[Satuan]])</f>
        <v/>
      </c>
      <c r="H642" s="28"/>
      <c r="I642" s="25" t="str">
        <f>IF(表1[[#This Row],[Tgl NPBG]]&gt;表1[[#This Row],[Peminta]],表1[[#This Row],[Tgl NPBG]]-表1[[#This Row],[Peminta]],"")</f>
        <v/>
      </c>
      <c r="J642" s="31"/>
    </row>
    <row r="643" s="12" customFormat="1" customHeight="1" spans="2:10">
      <c r="B643" s="25"/>
      <c r="C643" s="25"/>
      <c r="D643" s="26" t="str" cm="1">
        <f t="array" ref="D643">IF(C643="","",IFERROR(INDEX(STPP!$D$6:$D$4207,MATCH(C643,STPP!$C$6:$C$4207,0)),"Not Found"))</f>
        <v/>
      </c>
      <c r="E643" s="27" t="str" cm="1">
        <f t="array" ref="E643">IF(C643="","",IFERROR(INDEX(STPP!$E$6:$E$4207,MATCH(C643,STPP!$C$6:$C$4207,0)),"Not Found"))</f>
        <v/>
      </c>
      <c r="F643" s="27" t="str" cm="1">
        <f t="array" ref="F643">IF(C643="","",IFERROR(INDEX(STPP!$F$6:$F$4207,MATCH(C643,STPP!$C$6:$C$4207,0)),"Not Found"))</f>
        <v/>
      </c>
      <c r="G643" s="25" t="str">
        <f>IF(表1[[#This Row],[No Seri]]="","",表1[[#This Row],[Deskripsi Barang]]+表1[[#This Row],[Kuantitas]]-表1[[#This Row],[Satuan]])</f>
        <v/>
      </c>
      <c r="H643" s="28"/>
      <c r="I643" s="25" t="str">
        <f>IF(表1[[#This Row],[Tgl NPBG]]&gt;表1[[#This Row],[Peminta]],表1[[#This Row],[Tgl NPBG]]-表1[[#This Row],[Peminta]],"")</f>
        <v/>
      </c>
      <c r="J643" s="31"/>
    </row>
    <row r="644" s="12" customFormat="1" customHeight="1" spans="2:10">
      <c r="B644" s="25"/>
      <c r="C644" s="25"/>
      <c r="D644" s="26" t="str" cm="1">
        <f t="array" ref="D644">IF(C644="","",IFERROR(INDEX(STPP!$D$6:$D$4207,MATCH(C644,STPP!$C$6:$C$4207,0)),"Not Found"))</f>
        <v/>
      </c>
      <c r="E644" s="27" t="str" cm="1">
        <f t="array" ref="E644">IF(C644="","",IFERROR(INDEX(STPP!$E$6:$E$4207,MATCH(C644,STPP!$C$6:$C$4207,0)),"Not Found"))</f>
        <v/>
      </c>
      <c r="F644" s="27" t="str" cm="1">
        <f t="array" ref="F644">IF(C644="","",IFERROR(INDEX(STPP!$F$6:$F$4207,MATCH(C644,STPP!$C$6:$C$4207,0)),"Not Found"))</f>
        <v/>
      </c>
      <c r="G644" s="25" t="str">
        <f>IF(表1[[#This Row],[No Seri]]="","",表1[[#This Row],[Deskripsi Barang]]+表1[[#This Row],[Kuantitas]]-表1[[#This Row],[Satuan]])</f>
        <v/>
      </c>
      <c r="H644" s="28"/>
      <c r="I644" s="25" t="str">
        <f>IF(表1[[#This Row],[Tgl NPBG]]&gt;表1[[#This Row],[Peminta]],表1[[#This Row],[Tgl NPBG]]-表1[[#This Row],[Peminta]],"")</f>
        <v/>
      </c>
      <c r="J644" s="31"/>
    </row>
    <row r="645" s="12" customFormat="1" customHeight="1" spans="2:10">
      <c r="B645" s="25"/>
      <c r="C645" s="25"/>
      <c r="D645" s="26" t="str" cm="1">
        <f t="array" ref="D645">IF(C645="","",IFERROR(INDEX(STPP!$D$6:$D$4207,MATCH(C645,STPP!$C$6:$C$4207,0)),"Not Found"))</f>
        <v/>
      </c>
      <c r="E645" s="27" t="str" cm="1">
        <f t="array" ref="E645">IF(C645="","",IFERROR(INDEX(STPP!$E$6:$E$4207,MATCH(C645,STPP!$C$6:$C$4207,0)),"Not Found"))</f>
        <v/>
      </c>
      <c r="F645" s="27" t="str" cm="1">
        <f t="array" ref="F645">IF(C645="","",IFERROR(INDEX(STPP!$F$6:$F$4207,MATCH(C645,STPP!$C$6:$C$4207,0)),"Not Found"))</f>
        <v/>
      </c>
      <c r="G645" s="25" t="str">
        <f>IF(表1[[#This Row],[No Seri]]="","",表1[[#This Row],[Deskripsi Barang]]+表1[[#This Row],[Kuantitas]]-表1[[#This Row],[Satuan]])</f>
        <v/>
      </c>
      <c r="H645" s="28"/>
      <c r="I645" s="25" t="str">
        <f>IF(表1[[#This Row],[Tgl NPBG]]&gt;表1[[#This Row],[Peminta]],表1[[#This Row],[Tgl NPBG]]-表1[[#This Row],[Peminta]],"")</f>
        <v/>
      </c>
      <c r="J645" s="31"/>
    </row>
    <row r="646" s="12" customFormat="1" customHeight="1" spans="2:10">
      <c r="B646" s="25"/>
      <c r="C646" s="25"/>
      <c r="D646" s="26" t="str" cm="1">
        <f t="array" ref="D646">IF(C646="","",IFERROR(INDEX(STPP!$D$6:$D$4207,MATCH(C646,STPP!$C$6:$C$4207,0)),"Not Found"))</f>
        <v/>
      </c>
      <c r="E646" s="27" t="str" cm="1">
        <f t="array" ref="E646">IF(C646="","",IFERROR(INDEX(STPP!$E$6:$E$4207,MATCH(C646,STPP!$C$6:$C$4207,0)),"Not Found"))</f>
        <v/>
      </c>
      <c r="F646" s="27" t="str" cm="1">
        <f t="array" ref="F646">IF(C646="","",IFERROR(INDEX(STPP!$F$6:$F$4207,MATCH(C646,STPP!$C$6:$C$4207,0)),"Not Found"))</f>
        <v/>
      </c>
      <c r="G646" s="25" t="str">
        <f>IF(表1[[#This Row],[No Seri]]="","",表1[[#This Row],[Deskripsi Barang]]+表1[[#This Row],[Kuantitas]]-表1[[#This Row],[Satuan]])</f>
        <v/>
      </c>
      <c r="H646" s="28"/>
      <c r="I646" s="25" t="str">
        <f>IF(表1[[#This Row],[Tgl NPBG]]&gt;表1[[#This Row],[Peminta]],表1[[#This Row],[Tgl NPBG]]-表1[[#This Row],[Peminta]],"")</f>
        <v/>
      </c>
      <c r="J646" s="31"/>
    </row>
    <row r="647" s="12" customFormat="1" customHeight="1" spans="2:10">
      <c r="B647" s="25"/>
      <c r="C647" s="25"/>
      <c r="D647" s="26" t="str" cm="1">
        <f t="array" ref="D647">IF(C647="","",IFERROR(INDEX(STPP!$D$6:$D$4207,MATCH(C647,STPP!$C$6:$C$4207,0)),"Not Found"))</f>
        <v/>
      </c>
      <c r="E647" s="27" t="str" cm="1">
        <f t="array" ref="E647">IF(C647="","",IFERROR(INDEX(STPP!$E$6:$E$4207,MATCH(C647,STPP!$C$6:$C$4207,0)),"Not Found"))</f>
        <v/>
      </c>
      <c r="F647" s="27" t="str" cm="1">
        <f t="array" ref="F647">IF(C647="","",IFERROR(INDEX(STPP!$F$6:$F$4207,MATCH(C647,STPP!$C$6:$C$4207,0)),"Not Found"))</f>
        <v/>
      </c>
      <c r="G647" s="25" t="str">
        <f>IF(表1[[#This Row],[No Seri]]="","",表1[[#This Row],[Deskripsi Barang]]+表1[[#This Row],[Kuantitas]]-表1[[#This Row],[Satuan]])</f>
        <v/>
      </c>
      <c r="H647" s="28"/>
      <c r="I647" s="25" t="str">
        <f>IF(表1[[#This Row],[Tgl NPBG]]&gt;表1[[#This Row],[Peminta]],表1[[#This Row],[Tgl NPBG]]-表1[[#This Row],[Peminta]],"")</f>
        <v/>
      </c>
      <c r="J647" s="31"/>
    </row>
    <row r="648" s="12" customFormat="1" customHeight="1" spans="2:10">
      <c r="B648" s="25"/>
      <c r="C648" s="25"/>
      <c r="D648" s="26" t="str" cm="1">
        <f t="array" ref="D648">IF(C648="","",IFERROR(INDEX(STPP!$D$6:$D$4207,MATCH(C648,STPP!$C$6:$C$4207,0)),"Not Found"))</f>
        <v/>
      </c>
      <c r="E648" s="27" t="str" cm="1">
        <f t="array" ref="E648">IF(C648="","",IFERROR(INDEX(STPP!$E$6:$E$4207,MATCH(C648,STPP!$C$6:$C$4207,0)),"Not Found"))</f>
        <v/>
      </c>
      <c r="F648" s="27" t="str" cm="1">
        <f t="array" ref="F648">IF(C648="","",IFERROR(INDEX(STPP!$F$6:$F$4207,MATCH(C648,STPP!$C$6:$C$4207,0)),"Not Found"))</f>
        <v/>
      </c>
      <c r="G648" s="25" t="str">
        <f>IF(表1[[#This Row],[No Seri]]="","",表1[[#This Row],[Deskripsi Barang]]+表1[[#This Row],[Kuantitas]]-表1[[#This Row],[Satuan]])</f>
        <v/>
      </c>
      <c r="H648" s="28"/>
      <c r="I648" s="25" t="str">
        <f>IF(表1[[#This Row],[Tgl NPBG]]&gt;表1[[#This Row],[Peminta]],表1[[#This Row],[Tgl NPBG]]-表1[[#This Row],[Peminta]],"")</f>
        <v/>
      </c>
      <c r="J648" s="31"/>
    </row>
    <row r="649" s="12" customFormat="1" customHeight="1" spans="2:10">
      <c r="B649" s="25"/>
      <c r="C649" s="25"/>
      <c r="D649" s="26" t="str" cm="1">
        <f t="array" ref="D649">IF(C649="","",IFERROR(INDEX(STPP!$D$6:$D$4207,MATCH(C649,STPP!$C$6:$C$4207,0)),"Not Found"))</f>
        <v/>
      </c>
      <c r="E649" s="27" t="str" cm="1">
        <f t="array" ref="E649">IF(C649="","",IFERROR(INDEX(STPP!$E$6:$E$4207,MATCH(C649,STPP!$C$6:$C$4207,0)),"Not Found"))</f>
        <v/>
      </c>
      <c r="F649" s="27" t="str" cm="1">
        <f t="array" ref="F649">IF(C649="","",IFERROR(INDEX(STPP!$F$6:$F$4207,MATCH(C649,STPP!$C$6:$C$4207,0)),"Not Found"))</f>
        <v/>
      </c>
      <c r="G649" s="25" t="str">
        <f>IF(表1[[#This Row],[No Seri]]="","",表1[[#This Row],[Deskripsi Barang]]+表1[[#This Row],[Kuantitas]]-表1[[#This Row],[Satuan]])</f>
        <v/>
      </c>
      <c r="H649" s="28"/>
      <c r="I649" s="25" t="str">
        <f>IF(表1[[#This Row],[Tgl NPBG]]&gt;表1[[#This Row],[Peminta]],表1[[#This Row],[Tgl NPBG]]-表1[[#This Row],[Peminta]],"")</f>
        <v/>
      </c>
      <c r="J649" s="31"/>
    </row>
    <row r="650" s="12" customFormat="1" customHeight="1" spans="2:10">
      <c r="B650" s="25"/>
      <c r="C650" s="25"/>
      <c r="D650" s="26" t="str" cm="1">
        <f t="array" ref="D650">IF(C650="","",IFERROR(INDEX(STPP!$D$6:$D$4207,MATCH(C650,STPP!$C$6:$C$4207,0)),"Not Found"))</f>
        <v/>
      </c>
      <c r="E650" s="27" t="str" cm="1">
        <f t="array" ref="E650">IF(C650="","",IFERROR(INDEX(STPP!$E$6:$E$4207,MATCH(C650,STPP!$C$6:$C$4207,0)),"Not Found"))</f>
        <v/>
      </c>
      <c r="F650" s="27" t="str" cm="1">
        <f t="array" ref="F650">IF(C650="","",IFERROR(INDEX(STPP!$F$6:$F$4207,MATCH(C650,STPP!$C$6:$C$4207,0)),"Not Found"))</f>
        <v/>
      </c>
      <c r="G650" s="25" t="str">
        <f>IF(表1[[#This Row],[No Seri]]="","",表1[[#This Row],[Deskripsi Barang]]+表1[[#This Row],[Kuantitas]]-表1[[#This Row],[Satuan]])</f>
        <v/>
      </c>
      <c r="H650" s="28"/>
      <c r="I650" s="25" t="str">
        <f>IF(表1[[#This Row],[Tgl NPBG]]&gt;表1[[#This Row],[Peminta]],表1[[#This Row],[Tgl NPBG]]-表1[[#This Row],[Peminta]],"")</f>
        <v/>
      </c>
      <c r="J650" s="31"/>
    </row>
    <row r="651" s="12" customFormat="1" customHeight="1" spans="2:10">
      <c r="B651" s="25"/>
      <c r="C651" s="25"/>
      <c r="D651" s="26" t="str" cm="1">
        <f t="array" ref="D651">IF(C651="","",IFERROR(INDEX(STPP!$D$6:$D$4207,MATCH(C651,STPP!$C$6:$C$4207,0)),"Not Found"))</f>
        <v/>
      </c>
      <c r="E651" s="27" t="str" cm="1">
        <f t="array" ref="E651">IF(C651="","",IFERROR(INDEX(STPP!$E$6:$E$4207,MATCH(C651,STPP!$C$6:$C$4207,0)),"Not Found"))</f>
        <v/>
      </c>
      <c r="F651" s="27" t="str" cm="1">
        <f t="array" ref="F651">IF(C651="","",IFERROR(INDEX(STPP!$F$6:$F$4207,MATCH(C651,STPP!$C$6:$C$4207,0)),"Not Found"))</f>
        <v/>
      </c>
      <c r="G651" s="25" t="str">
        <f>IF(表1[[#This Row],[No Seri]]="","",表1[[#This Row],[Deskripsi Barang]]+表1[[#This Row],[Kuantitas]]-表1[[#This Row],[Satuan]])</f>
        <v/>
      </c>
      <c r="H651" s="28"/>
      <c r="I651" s="25" t="str">
        <f>IF(表1[[#This Row],[Tgl NPBG]]&gt;表1[[#This Row],[Peminta]],表1[[#This Row],[Tgl NPBG]]-表1[[#This Row],[Peminta]],"")</f>
        <v/>
      </c>
      <c r="J651" s="31"/>
    </row>
    <row r="652" s="12" customFormat="1" customHeight="1" spans="2:10">
      <c r="B652" s="25"/>
      <c r="C652" s="25"/>
      <c r="D652" s="26" t="str" cm="1">
        <f t="array" ref="D652">IF(C652="","",IFERROR(INDEX(STPP!$D$6:$D$4207,MATCH(C652,STPP!$C$6:$C$4207,0)),"Not Found"))</f>
        <v/>
      </c>
      <c r="E652" s="27" t="str" cm="1">
        <f t="array" ref="E652">IF(C652="","",IFERROR(INDEX(STPP!$E$6:$E$4207,MATCH(C652,STPP!$C$6:$C$4207,0)),"Not Found"))</f>
        <v/>
      </c>
      <c r="F652" s="27" t="str" cm="1">
        <f t="array" ref="F652">IF(C652="","",IFERROR(INDEX(STPP!$F$6:$F$4207,MATCH(C652,STPP!$C$6:$C$4207,0)),"Not Found"))</f>
        <v/>
      </c>
      <c r="G652" s="25" t="str">
        <f>IF(表1[[#This Row],[No Seri]]="","",表1[[#This Row],[Deskripsi Barang]]+表1[[#This Row],[Kuantitas]]-表1[[#This Row],[Satuan]])</f>
        <v/>
      </c>
      <c r="H652" s="28"/>
      <c r="I652" s="25" t="str">
        <f>IF(表1[[#This Row],[Tgl NPBG]]&gt;表1[[#This Row],[Peminta]],表1[[#This Row],[Tgl NPBG]]-表1[[#This Row],[Peminta]],"")</f>
        <v/>
      </c>
      <c r="J652" s="31"/>
    </row>
    <row r="653" s="12" customFormat="1" customHeight="1" spans="2:10">
      <c r="B653" s="25"/>
      <c r="C653" s="25"/>
      <c r="D653" s="26" t="str" cm="1">
        <f t="array" ref="D653">IF(C653="","",IFERROR(INDEX(STPP!$D$6:$D$4207,MATCH(C653,STPP!$C$6:$C$4207,0)),"Not Found"))</f>
        <v/>
      </c>
      <c r="E653" s="27" t="str" cm="1">
        <f t="array" ref="E653">IF(C653="","",IFERROR(INDEX(STPP!$E$6:$E$4207,MATCH(C653,STPP!$C$6:$C$4207,0)),"Not Found"))</f>
        <v/>
      </c>
      <c r="F653" s="27" t="str" cm="1">
        <f t="array" ref="F653">IF(C653="","",IFERROR(INDEX(STPP!$F$6:$F$4207,MATCH(C653,STPP!$C$6:$C$4207,0)),"Not Found"))</f>
        <v/>
      </c>
      <c r="G653" s="25" t="str">
        <f>IF(表1[[#This Row],[No Seri]]="","",表1[[#This Row],[Deskripsi Barang]]+表1[[#This Row],[Kuantitas]]-表1[[#This Row],[Satuan]])</f>
        <v/>
      </c>
      <c r="H653" s="28"/>
      <c r="I653" s="25" t="str">
        <f>IF(表1[[#This Row],[Tgl NPBG]]&gt;表1[[#This Row],[Peminta]],表1[[#This Row],[Tgl NPBG]]-表1[[#This Row],[Peminta]],"")</f>
        <v/>
      </c>
      <c r="J653" s="31"/>
    </row>
    <row r="654" s="12" customFormat="1" customHeight="1" spans="2:10">
      <c r="B654" s="25"/>
      <c r="C654" s="25"/>
      <c r="D654" s="26" t="str" cm="1">
        <f t="array" ref="D654">IF(C654="","",IFERROR(INDEX(STPP!$D$6:$D$4207,MATCH(C654,STPP!$C$6:$C$4207,0)),"Not Found"))</f>
        <v/>
      </c>
      <c r="E654" s="27" t="str" cm="1">
        <f t="array" ref="E654">IF(C654="","",IFERROR(INDEX(STPP!$E$6:$E$4207,MATCH(C654,STPP!$C$6:$C$4207,0)),"Not Found"))</f>
        <v/>
      </c>
      <c r="F654" s="27" t="str" cm="1">
        <f t="array" ref="F654">IF(C654="","",IFERROR(INDEX(STPP!$F$6:$F$4207,MATCH(C654,STPP!$C$6:$C$4207,0)),"Not Found"))</f>
        <v/>
      </c>
      <c r="G654" s="25" t="str">
        <f>IF(表1[[#This Row],[No Seri]]="","",表1[[#This Row],[Deskripsi Barang]]+表1[[#This Row],[Kuantitas]]-表1[[#This Row],[Satuan]])</f>
        <v/>
      </c>
      <c r="H654" s="28"/>
      <c r="I654" s="25" t="str">
        <f>IF(表1[[#This Row],[Tgl NPBG]]&gt;表1[[#This Row],[Peminta]],表1[[#This Row],[Tgl NPBG]]-表1[[#This Row],[Peminta]],"")</f>
        <v/>
      </c>
      <c r="J654" s="31"/>
    </row>
    <row r="655" s="12" customFormat="1" customHeight="1" spans="2:10">
      <c r="B655" s="25"/>
      <c r="C655" s="25"/>
      <c r="D655" s="26" t="str" cm="1">
        <f t="array" ref="D655">IF(C655="","",IFERROR(INDEX(STPP!$D$6:$D$4207,MATCH(C655,STPP!$C$6:$C$4207,0)),"Not Found"))</f>
        <v/>
      </c>
      <c r="E655" s="27" t="str" cm="1">
        <f t="array" ref="E655">IF(C655="","",IFERROR(INDEX(STPP!$E$6:$E$4207,MATCH(C655,STPP!$C$6:$C$4207,0)),"Not Found"))</f>
        <v/>
      </c>
      <c r="F655" s="27" t="str" cm="1">
        <f t="array" ref="F655">IF(C655="","",IFERROR(INDEX(STPP!$F$6:$F$4207,MATCH(C655,STPP!$C$6:$C$4207,0)),"Not Found"))</f>
        <v/>
      </c>
      <c r="G655" s="25" t="str">
        <f>IF(表1[[#This Row],[No Seri]]="","",表1[[#This Row],[Deskripsi Barang]]+表1[[#This Row],[Kuantitas]]-表1[[#This Row],[Satuan]])</f>
        <v/>
      </c>
      <c r="H655" s="28"/>
      <c r="I655" s="25" t="str">
        <f>IF(表1[[#This Row],[Tgl NPBG]]&gt;表1[[#This Row],[Peminta]],表1[[#This Row],[Tgl NPBG]]-表1[[#This Row],[Peminta]],"")</f>
        <v/>
      </c>
      <c r="J655" s="31"/>
    </row>
    <row r="656" s="12" customFormat="1" customHeight="1" spans="2:10">
      <c r="B656" s="25"/>
      <c r="C656" s="25"/>
      <c r="D656" s="26" t="str" cm="1">
        <f t="array" ref="D656">IF(C656="","",IFERROR(INDEX(STPP!$D$6:$D$4207,MATCH(C656,STPP!$C$6:$C$4207,0)),"Not Found"))</f>
        <v/>
      </c>
      <c r="E656" s="27" t="str" cm="1">
        <f t="array" ref="E656">IF(C656="","",IFERROR(INDEX(STPP!$E$6:$E$4207,MATCH(C656,STPP!$C$6:$C$4207,0)),"Not Found"))</f>
        <v/>
      </c>
      <c r="F656" s="27" t="str" cm="1">
        <f t="array" ref="F656">IF(C656="","",IFERROR(INDEX(STPP!$F$6:$F$4207,MATCH(C656,STPP!$C$6:$C$4207,0)),"Not Found"))</f>
        <v/>
      </c>
      <c r="G656" s="25" t="str">
        <f>IF(表1[[#This Row],[No Seri]]="","",表1[[#This Row],[Deskripsi Barang]]+表1[[#This Row],[Kuantitas]]-表1[[#This Row],[Satuan]])</f>
        <v/>
      </c>
      <c r="H656" s="28"/>
      <c r="I656" s="25" t="str">
        <f>IF(表1[[#This Row],[Tgl NPBG]]&gt;表1[[#This Row],[Peminta]],表1[[#This Row],[Tgl NPBG]]-表1[[#This Row],[Peminta]],"")</f>
        <v/>
      </c>
      <c r="J656" s="31"/>
    </row>
    <row r="657" s="12" customFormat="1" customHeight="1" spans="2:10">
      <c r="B657" s="25"/>
      <c r="C657" s="25"/>
      <c r="D657" s="26" t="str" cm="1">
        <f t="array" ref="D657">IF(C657="","",IFERROR(INDEX(STPP!$D$6:$D$4207,MATCH(C657,STPP!$C$6:$C$4207,0)),"Not Found"))</f>
        <v/>
      </c>
      <c r="E657" s="27" t="str" cm="1">
        <f t="array" ref="E657">IF(C657="","",IFERROR(INDEX(STPP!$E$6:$E$4207,MATCH(C657,STPP!$C$6:$C$4207,0)),"Not Found"))</f>
        <v/>
      </c>
      <c r="F657" s="27" t="str" cm="1">
        <f t="array" ref="F657">IF(C657="","",IFERROR(INDEX(STPP!$F$6:$F$4207,MATCH(C657,STPP!$C$6:$C$4207,0)),"Not Found"))</f>
        <v/>
      </c>
      <c r="G657" s="25" t="str">
        <f>IF(表1[[#This Row],[No Seri]]="","",表1[[#This Row],[Deskripsi Barang]]+表1[[#This Row],[Kuantitas]]-表1[[#This Row],[Satuan]])</f>
        <v/>
      </c>
      <c r="H657" s="28"/>
      <c r="I657" s="25" t="str">
        <f>IF(表1[[#This Row],[Tgl NPBG]]&gt;表1[[#This Row],[Peminta]],表1[[#This Row],[Tgl NPBG]]-表1[[#This Row],[Peminta]],"")</f>
        <v/>
      </c>
      <c r="J657" s="31"/>
    </row>
    <row r="658" s="12" customFormat="1" customHeight="1" spans="2:10">
      <c r="B658" s="25"/>
      <c r="C658" s="25"/>
      <c r="D658" s="26" t="str" cm="1">
        <f t="array" ref="D658">IF(C658="","",IFERROR(INDEX(STPP!$D$6:$D$4207,MATCH(C658,STPP!$C$6:$C$4207,0)),"Not Found"))</f>
        <v/>
      </c>
      <c r="E658" s="27" t="str" cm="1">
        <f t="array" ref="E658">IF(C658="","",IFERROR(INDEX(STPP!$E$6:$E$4207,MATCH(C658,STPP!$C$6:$C$4207,0)),"Not Found"))</f>
        <v/>
      </c>
      <c r="F658" s="27" t="str" cm="1">
        <f t="array" ref="F658">IF(C658="","",IFERROR(INDEX(STPP!$F$6:$F$4207,MATCH(C658,STPP!$C$6:$C$4207,0)),"Not Found"))</f>
        <v/>
      </c>
      <c r="G658" s="25" t="str">
        <f>IF(表1[[#This Row],[No Seri]]="","",表1[[#This Row],[Deskripsi Barang]]+表1[[#This Row],[Kuantitas]]-表1[[#This Row],[Satuan]])</f>
        <v/>
      </c>
      <c r="H658" s="28"/>
      <c r="I658" s="25" t="str">
        <f>IF(表1[[#This Row],[Tgl NPBG]]&gt;表1[[#This Row],[Peminta]],表1[[#This Row],[Tgl NPBG]]-表1[[#This Row],[Peminta]],"")</f>
        <v/>
      </c>
      <c r="J658" s="31"/>
    </row>
    <row r="659" s="12" customFormat="1" customHeight="1" spans="2:10">
      <c r="B659" s="25"/>
      <c r="C659" s="25"/>
      <c r="D659" s="26" t="str" cm="1">
        <f t="array" ref="D659">IF(C659="","",IFERROR(INDEX(STPP!$D$6:$D$4207,MATCH(C659,STPP!$C$6:$C$4207,0)),"Not Found"))</f>
        <v/>
      </c>
      <c r="E659" s="27" t="str" cm="1">
        <f t="array" ref="E659">IF(C659="","",IFERROR(INDEX(STPP!$E$6:$E$4207,MATCH(C659,STPP!$C$6:$C$4207,0)),"Not Found"))</f>
        <v/>
      </c>
      <c r="F659" s="27" t="str" cm="1">
        <f t="array" ref="F659">IF(C659="","",IFERROR(INDEX(STPP!$F$6:$F$4207,MATCH(C659,STPP!$C$6:$C$4207,0)),"Not Found"))</f>
        <v/>
      </c>
      <c r="G659" s="25" t="str">
        <f>IF(表1[[#This Row],[No Seri]]="","",表1[[#This Row],[Deskripsi Barang]]+表1[[#This Row],[Kuantitas]]-表1[[#This Row],[Satuan]])</f>
        <v/>
      </c>
      <c r="H659" s="28"/>
      <c r="I659" s="25" t="str">
        <f>IF(表1[[#This Row],[Tgl NPBG]]&gt;表1[[#This Row],[Peminta]],表1[[#This Row],[Tgl NPBG]]-表1[[#This Row],[Peminta]],"")</f>
        <v/>
      </c>
      <c r="J659" s="31"/>
    </row>
    <row r="660" s="12" customFormat="1" customHeight="1" spans="2:10">
      <c r="B660" s="25"/>
      <c r="C660" s="25"/>
      <c r="D660" s="26" t="str" cm="1">
        <f t="array" ref="D660">IF(C660="","",IFERROR(INDEX(STPP!$D$6:$D$4207,MATCH(C660,STPP!$C$6:$C$4207,0)),"Not Found"))</f>
        <v/>
      </c>
      <c r="E660" s="27" t="str" cm="1">
        <f t="array" ref="E660">IF(C660="","",IFERROR(INDEX(STPP!$E$6:$E$4207,MATCH(C660,STPP!$C$6:$C$4207,0)),"Not Found"))</f>
        <v/>
      </c>
      <c r="F660" s="27" t="str" cm="1">
        <f t="array" ref="F660">IF(C660="","",IFERROR(INDEX(STPP!$F$6:$F$4207,MATCH(C660,STPP!$C$6:$C$4207,0)),"Not Found"))</f>
        <v/>
      </c>
      <c r="G660" s="25" t="str">
        <f>IF(表1[[#This Row],[No Seri]]="","",表1[[#This Row],[Deskripsi Barang]]+表1[[#This Row],[Kuantitas]]-表1[[#This Row],[Satuan]])</f>
        <v/>
      </c>
      <c r="H660" s="28"/>
      <c r="I660" s="25" t="str">
        <f>IF(表1[[#This Row],[Tgl NPBG]]&gt;表1[[#This Row],[Peminta]],表1[[#This Row],[Tgl NPBG]]-表1[[#This Row],[Peminta]],"")</f>
        <v/>
      </c>
      <c r="J660" s="31"/>
    </row>
    <row r="661" s="12" customFormat="1" customHeight="1" spans="2:10">
      <c r="B661" s="25"/>
      <c r="C661" s="25"/>
      <c r="D661" s="26" t="str" cm="1">
        <f t="array" ref="D661">IF(C661="","",IFERROR(INDEX(STPP!$D$6:$D$4207,MATCH(C661,STPP!$C$6:$C$4207,0)),"Not Found"))</f>
        <v/>
      </c>
      <c r="E661" s="27" t="str" cm="1">
        <f t="array" ref="E661">IF(C661="","",IFERROR(INDEX(STPP!$E$6:$E$4207,MATCH(C661,STPP!$C$6:$C$4207,0)),"Not Found"))</f>
        <v/>
      </c>
      <c r="F661" s="27" t="str" cm="1">
        <f t="array" ref="F661">IF(C661="","",IFERROR(INDEX(STPP!$F$6:$F$4207,MATCH(C661,STPP!$C$6:$C$4207,0)),"Not Found"))</f>
        <v/>
      </c>
      <c r="G661" s="25" t="str">
        <f>IF(表1[[#This Row],[No Seri]]="","",表1[[#This Row],[Deskripsi Barang]]+表1[[#This Row],[Kuantitas]]-表1[[#This Row],[Satuan]])</f>
        <v/>
      </c>
      <c r="H661" s="28"/>
      <c r="I661" s="25" t="str">
        <f>IF(表1[[#This Row],[Tgl NPBG]]&gt;表1[[#This Row],[Peminta]],表1[[#This Row],[Tgl NPBG]]-表1[[#This Row],[Peminta]],"")</f>
        <v/>
      </c>
      <c r="J661" s="31"/>
    </row>
    <row r="662" s="12" customFormat="1" customHeight="1" spans="2:10">
      <c r="B662" s="25"/>
      <c r="C662" s="25"/>
      <c r="D662" s="26" t="str" cm="1">
        <f t="array" ref="D662">IF(C662="","",IFERROR(INDEX(STPP!$D$6:$D$4207,MATCH(C662,STPP!$C$6:$C$4207,0)),"Not Found"))</f>
        <v/>
      </c>
      <c r="E662" s="27" t="str" cm="1">
        <f t="array" ref="E662">IF(C662="","",IFERROR(INDEX(STPP!$E$6:$E$4207,MATCH(C662,STPP!$C$6:$C$4207,0)),"Not Found"))</f>
        <v/>
      </c>
      <c r="F662" s="27" t="str" cm="1">
        <f t="array" ref="F662">IF(C662="","",IFERROR(INDEX(STPP!$F$6:$F$4207,MATCH(C662,STPP!$C$6:$C$4207,0)),"Not Found"))</f>
        <v/>
      </c>
      <c r="G662" s="25" t="str">
        <f>IF(表1[[#This Row],[No Seri]]="","",表1[[#This Row],[Deskripsi Barang]]+表1[[#This Row],[Kuantitas]]-表1[[#This Row],[Satuan]])</f>
        <v/>
      </c>
      <c r="H662" s="28"/>
      <c r="I662" s="25" t="str">
        <f>IF(表1[[#This Row],[Tgl NPBG]]&gt;表1[[#This Row],[Peminta]],表1[[#This Row],[Tgl NPBG]]-表1[[#This Row],[Peminta]],"")</f>
        <v/>
      </c>
      <c r="J662" s="31"/>
    </row>
    <row r="663" s="12" customFormat="1" customHeight="1" spans="2:10">
      <c r="B663" s="25"/>
      <c r="C663" s="25"/>
      <c r="D663" s="26" t="str" cm="1">
        <f t="array" ref="D663">IF(C663="","",IFERROR(INDEX(STPP!$D$6:$D$4207,MATCH(C663,STPP!$C$6:$C$4207,0)),"Not Found"))</f>
        <v/>
      </c>
      <c r="E663" s="27" t="str" cm="1">
        <f t="array" ref="E663">IF(C663="","",IFERROR(INDEX(STPP!$E$6:$E$4207,MATCH(C663,STPP!$C$6:$C$4207,0)),"Not Found"))</f>
        <v/>
      </c>
      <c r="F663" s="27" t="str" cm="1">
        <f t="array" ref="F663">IF(C663="","",IFERROR(INDEX(STPP!$F$6:$F$4207,MATCH(C663,STPP!$C$6:$C$4207,0)),"Not Found"))</f>
        <v/>
      </c>
      <c r="G663" s="25" t="str">
        <f>IF(表1[[#This Row],[No Seri]]="","",表1[[#This Row],[Deskripsi Barang]]+表1[[#This Row],[Kuantitas]]-表1[[#This Row],[Satuan]])</f>
        <v/>
      </c>
      <c r="H663" s="28"/>
      <c r="I663" s="25" t="str">
        <f>IF(表1[[#This Row],[Tgl NPBG]]&gt;表1[[#This Row],[Peminta]],表1[[#This Row],[Tgl NPBG]]-表1[[#This Row],[Peminta]],"")</f>
        <v/>
      </c>
      <c r="J663" s="31"/>
    </row>
    <row r="664" s="12" customFormat="1" customHeight="1" spans="2:10">
      <c r="B664" s="25"/>
      <c r="C664" s="25"/>
      <c r="D664" s="26" t="str" cm="1">
        <f t="array" ref="D664">IF(C664="","",IFERROR(INDEX(STPP!$D$6:$D$4207,MATCH(C664,STPP!$C$6:$C$4207,0)),"Not Found"))</f>
        <v/>
      </c>
      <c r="E664" s="27" t="str" cm="1">
        <f t="array" ref="E664">IF(C664="","",IFERROR(INDEX(STPP!$E$6:$E$4207,MATCH(C664,STPP!$C$6:$C$4207,0)),"Not Found"))</f>
        <v/>
      </c>
      <c r="F664" s="27" t="str" cm="1">
        <f t="array" ref="F664">IF(C664="","",IFERROR(INDEX(STPP!$F$6:$F$4207,MATCH(C664,STPP!$C$6:$C$4207,0)),"Not Found"))</f>
        <v/>
      </c>
      <c r="G664" s="25" t="str">
        <f>IF(表1[[#This Row],[No Seri]]="","",表1[[#This Row],[Deskripsi Barang]]+表1[[#This Row],[Kuantitas]]-表1[[#This Row],[Satuan]])</f>
        <v/>
      </c>
      <c r="H664" s="28"/>
      <c r="I664" s="25" t="str">
        <f>IF(表1[[#This Row],[Tgl NPBG]]&gt;表1[[#This Row],[Peminta]],表1[[#This Row],[Tgl NPBG]]-表1[[#This Row],[Peminta]],"")</f>
        <v/>
      </c>
      <c r="J664" s="31"/>
    </row>
    <row r="665" s="12" customFormat="1" customHeight="1" spans="2:10">
      <c r="B665" s="25"/>
      <c r="C665" s="25"/>
      <c r="D665" s="26" t="str" cm="1">
        <f t="array" ref="D665">IF(C665="","",IFERROR(INDEX(STPP!$D$6:$D$4207,MATCH(C665,STPP!$C$6:$C$4207,0)),"Not Found"))</f>
        <v/>
      </c>
      <c r="E665" s="27" t="str" cm="1">
        <f t="array" ref="E665">IF(C665="","",IFERROR(INDEX(STPP!$E$6:$E$4207,MATCH(C665,STPP!$C$6:$C$4207,0)),"Not Found"))</f>
        <v/>
      </c>
      <c r="F665" s="27" t="str" cm="1">
        <f t="array" ref="F665">IF(C665="","",IFERROR(INDEX(STPP!$F$6:$F$4207,MATCH(C665,STPP!$C$6:$C$4207,0)),"Not Found"))</f>
        <v/>
      </c>
      <c r="G665" s="25" t="str">
        <f>IF(表1[[#This Row],[No Seri]]="","",表1[[#This Row],[Deskripsi Barang]]+表1[[#This Row],[Kuantitas]]-表1[[#This Row],[Satuan]])</f>
        <v/>
      </c>
      <c r="H665" s="28"/>
      <c r="I665" s="25" t="str">
        <f>IF(表1[[#This Row],[Tgl NPBG]]&gt;表1[[#This Row],[Peminta]],表1[[#This Row],[Tgl NPBG]]-表1[[#This Row],[Peminta]],"")</f>
        <v/>
      </c>
      <c r="J665" s="31"/>
    </row>
    <row r="666" s="12" customFormat="1" customHeight="1" spans="2:10">
      <c r="B666" s="25"/>
      <c r="C666" s="25"/>
      <c r="D666" s="26" t="str" cm="1">
        <f t="array" ref="D666">IF(C666="","",IFERROR(INDEX(STPP!$D$6:$D$4207,MATCH(C666,STPP!$C$6:$C$4207,0)),"Not Found"))</f>
        <v/>
      </c>
      <c r="E666" s="27" t="str" cm="1">
        <f t="array" ref="E666">IF(C666="","",IFERROR(INDEX(STPP!$E$6:$E$4207,MATCH(C666,STPP!$C$6:$C$4207,0)),"Not Found"))</f>
        <v/>
      </c>
      <c r="F666" s="27" t="str" cm="1">
        <f t="array" ref="F666">IF(C666="","",IFERROR(INDEX(STPP!$F$6:$F$4207,MATCH(C666,STPP!$C$6:$C$4207,0)),"Not Found"))</f>
        <v/>
      </c>
      <c r="G666" s="25" t="str">
        <f>IF(表1[[#This Row],[No Seri]]="","",表1[[#This Row],[Deskripsi Barang]]+表1[[#This Row],[Kuantitas]]-表1[[#This Row],[Satuan]])</f>
        <v/>
      </c>
      <c r="H666" s="28"/>
      <c r="I666" s="25" t="str">
        <f>IF(表1[[#This Row],[Tgl NPBG]]&gt;表1[[#This Row],[Peminta]],表1[[#This Row],[Tgl NPBG]]-表1[[#This Row],[Peminta]],"")</f>
        <v/>
      </c>
      <c r="J666" s="31"/>
    </row>
    <row r="667" s="12" customFormat="1" customHeight="1" spans="2:10">
      <c r="B667" s="25"/>
      <c r="C667" s="25"/>
      <c r="D667" s="26" t="str" cm="1">
        <f t="array" ref="D667">IF(C667="","",IFERROR(INDEX(STPP!$D$6:$D$4207,MATCH(C667,STPP!$C$6:$C$4207,0)),"Not Found"))</f>
        <v/>
      </c>
      <c r="E667" s="27" t="str" cm="1">
        <f t="array" ref="E667">IF(C667="","",IFERROR(INDEX(STPP!$E$6:$E$4207,MATCH(C667,STPP!$C$6:$C$4207,0)),"Not Found"))</f>
        <v/>
      </c>
      <c r="F667" s="27" t="str" cm="1">
        <f t="array" ref="F667">IF(C667="","",IFERROR(INDEX(STPP!$F$6:$F$4207,MATCH(C667,STPP!$C$6:$C$4207,0)),"Not Found"))</f>
        <v/>
      </c>
      <c r="G667" s="25" t="str">
        <f>IF(表1[[#This Row],[No Seri]]="","",表1[[#This Row],[Deskripsi Barang]]+表1[[#This Row],[Kuantitas]]-表1[[#This Row],[Satuan]])</f>
        <v/>
      </c>
      <c r="H667" s="28"/>
      <c r="I667" s="25" t="str">
        <f>IF(表1[[#This Row],[Tgl NPBG]]&gt;表1[[#This Row],[Peminta]],表1[[#This Row],[Tgl NPBG]]-表1[[#This Row],[Peminta]],"")</f>
        <v/>
      </c>
      <c r="J667" s="31"/>
    </row>
    <row r="668" s="12" customFormat="1" customHeight="1" spans="2:10">
      <c r="B668" s="25"/>
      <c r="C668" s="25"/>
      <c r="D668" s="26" t="str" cm="1">
        <f t="array" ref="D668">IF(C668="","",IFERROR(INDEX(STPP!$D$6:$D$4207,MATCH(C668,STPP!$C$6:$C$4207,0)),"Not Found"))</f>
        <v/>
      </c>
      <c r="E668" s="27" t="str" cm="1">
        <f t="array" ref="E668">IF(C668="","",IFERROR(INDEX(STPP!$E$6:$E$4207,MATCH(C668,STPP!$C$6:$C$4207,0)),"Not Found"))</f>
        <v/>
      </c>
      <c r="F668" s="27" t="str" cm="1">
        <f t="array" ref="F668">IF(C668="","",IFERROR(INDEX(STPP!$F$6:$F$4207,MATCH(C668,STPP!$C$6:$C$4207,0)),"Not Found"))</f>
        <v/>
      </c>
      <c r="G668" s="25" t="str">
        <f>IF(表1[[#This Row],[No Seri]]="","",表1[[#This Row],[Deskripsi Barang]]+表1[[#This Row],[Kuantitas]]-表1[[#This Row],[Satuan]])</f>
        <v/>
      </c>
      <c r="H668" s="28"/>
      <c r="I668" s="25" t="str">
        <f>IF(表1[[#This Row],[Tgl NPBG]]&gt;表1[[#This Row],[Peminta]],表1[[#This Row],[Tgl NPBG]]-表1[[#This Row],[Peminta]],"")</f>
        <v/>
      </c>
      <c r="J668" s="31"/>
    </row>
    <row r="669" s="12" customFormat="1" customHeight="1" spans="2:10">
      <c r="B669" s="25"/>
      <c r="C669" s="25"/>
      <c r="D669" s="26" t="str" cm="1">
        <f t="array" ref="D669">IF(C669="","",IFERROR(INDEX(STPP!$D$6:$D$4207,MATCH(C669,STPP!$C$6:$C$4207,0)),"Not Found"))</f>
        <v/>
      </c>
      <c r="E669" s="27" t="str" cm="1">
        <f t="array" ref="E669">IF(C669="","",IFERROR(INDEX(STPP!$E$6:$E$4207,MATCH(C669,STPP!$C$6:$C$4207,0)),"Not Found"))</f>
        <v/>
      </c>
      <c r="F669" s="27" t="str" cm="1">
        <f t="array" ref="F669">IF(C669="","",IFERROR(INDEX(STPP!$F$6:$F$4207,MATCH(C669,STPP!$C$6:$C$4207,0)),"Not Found"))</f>
        <v/>
      </c>
      <c r="G669" s="25" t="str">
        <f>IF(表1[[#This Row],[No Seri]]="","",表1[[#This Row],[Deskripsi Barang]]+表1[[#This Row],[Kuantitas]]-表1[[#This Row],[Satuan]])</f>
        <v/>
      </c>
      <c r="H669" s="28"/>
      <c r="I669" s="25" t="str">
        <f>IF(表1[[#This Row],[Tgl NPBG]]&gt;表1[[#This Row],[Peminta]],表1[[#This Row],[Tgl NPBG]]-表1[[#This Row],[Peminta]],"")</f>
        <v/>
      </c>
      <c r="J669" s="31"/>
    </row>
    <row r="670" s="12" customFormat="1" customHeight="1" spans="2:10">
      <c r="B670" s="25"/>
      <c r="C670" s="25"/>
      <c r="D670" s="26" t="str" cm="1">
        <f t="array" ref="D670">IF(C670="","",IFERROR(INDEX(STPP!$D$6:$D$4207,MATCH(C670,STPP!$C$6:$C$4207,0)),"Not Found"))</f>
        <v/>
      </c>
      <c r="E670" s="27" t="str" cm="1">
        <f t="array" ref="E670">IF(C670="","",IFERROR(INDEX(STPP!$E$6:$E$4207,MATCH(C670,STPP!$C$6:$C$4207,0)),"Not Found"))</f>
        <v/>
      </c>
      <c r="F670" s="27" t="str" cm="1">
        <f t="array" ref="F670">IF(C670="","",IFERROR(INDEX(STPP!$F$6:$F$4207,MATCH(C670,STPP!$C$6:$C$4207,0)),"Not Found"))</f>
        <v/>
      </c>
      <c r="G670" s="25" t="str">
        <f>IF(表1[[#This Row],[No Seri]]="","",表1[[#This Row],[Deskripsi Barang]]+表1[[#This Row],[Kuantitas]]-表1[[#This Row],[Satuan]])</f>
        <v/>
      </c>
      <c r="H670" s="28"/>
      <c r="I670" s="25" t="str">
        <f>IF(表1[[#This Row],[Tgl NPBG]]&gt;表1[[#This Row],[Peminta]],表1[[#This Row],[Tgl NPBG]]-表1[[#This Row],[Peminta]],"")</f>
        <v/>
      </c>
      <c r="J670" s="31"/>
    </row>
    <row r="671" s="12" customFormat="1" customHeight="1" spans="2:10">
      <c r="B671" s="25"/>
      <c r="C671" s="25"/>
      <c r="D671" s="26" t="str" cm="1">
        <f t="array" ref="D671">IF(C671="","",IFERROR(INDEX(STPP!$D$6:$D$4207,MATCH(C671,STPP!$C$6:$C$4207,0)),"Not Found"))</f>
        <v/>
      </c>
      <c r="E671" s="27" t="str" cm="1">
        <f t="array" ref="E671">IF(C671="","",IFERROR(INDEX(STPP!$E$6:$E$4207,MATCH(C671,STPP!$C$6:$C$4207,0)),"Not Found"))</f>
        <v/>
      </c>
      <c r="F671" s="27" t="str" cm="1">
        <f t="array" ref="F671">IF(C671="","",IFERROR(INDEX(STPP!$F$6:$F$4207,MATCH(C671,STPP!$C$6:$C$4207,0)),"Not Found"))</f>
        <v/>
      </c>
      <c r="G671" s="25" t="str">
        <f>IF(表1[[#This Row],[No Seri]]="","",表1[[#This Row],[Deskripsi Barang]]+表1[[#This Row],[Kuantitas]]-表1[[#This Row],[Satuan]])</f>
        <v/>
      </c>
      <c r="H671" s="28"/>
      <c r="I671" s="25" t="str">
        <f>IF(表1[[#This Row],[Tgl NPBG]]&gt;表1[[#This Row],[Peminta]],表1[[#This Row],[Tgl NPBG]]-表1[[#This Row],[Peminta]],"")</f>
        <v/>
      </c>
      <c r="J671" s="31"/>
    </row>
    <row r="672" s="12" customFormat="1" customHeight="1" spans="2:10">
      <c r="B672" s="25"/>
      <c r="C672" s="25"/>
      <c r="D672" s="26" t="str" cm="1">
        <f t="array" ref="D672">IF(C672="","",IFERROR(INDEX(STPP!$D$6:$D$4207,MATCH(C672,STPP!$C$6:$C$4207,0)),"Not Found"))</f>
        <v/>
      </c>
      <c r="E672" s="27" t="str" cm="1">
        <f t="array" ref="E672">IF(C672="","",IFERROR(INDEX(STPP!$E$6:$E$4207,MATCH(C672,STPP!$C$6:$C$4207,0)),"Not Found"))</f>
        <v/>
      </c>
      <c r="F672" s="27" t="str" cm="1">
        <f t="array" ref="F672">IF(C672="","",IFERROR(INDEX(STPP!$F$6:$F$4207,MATCH(C672,STPP!$C$6:$C$4207,0)),"Not Found"))</f>
        <v/>
      </c>
      <c r="G672" s="25" t="str">
        <f>IF(表1[[#This Row],[No Seri]]="","",表1[[#This Row],[Deskripsi Barang]]+表1[[#This Row],[Kuantitas]]-表1[[#This Row],[Satuan]])</f>
        <v/>
      </c>
      <c r="H672" s="28"/>
      <c r="I672" s="25" t="str">
        <f>IF(表1[[#This Row],[Tgl NPBG]]&gt;表1[[#This Row],[Peminta]],表1[[#This Row],[Tgl NPBG]]-表1[[#This Row],[Peminta]],"")</f>
        <v/>
      </c>
      <c r="J672" s="31"/>
    </row>
    <row r="673" s="12" customFormat="1" customHeight="1" spans="2:10">
      <c r="B673" s="25"/>
      <c r="C673" s="25"/>
      <c r="D673" s="26" t="str" cm="1">
        <f t="array" ref="D673">IF(C673="","",IFERROR(INDEX(STPP!$D$6:$D$4207,MATCH(C673,STPP!$C$6:$C$4207,0)),"Not Found"))</f>
        <v/>
      </c>
      <c r="E673" s="27" t="str" cm="1">
        <f t="array" ref="E673">IF(C673="","",IFERROR(INDEX(STPP!$E$6:$E$4207,MATCH(C673,STPP!$C$6:$C$4207,0)),"Not Found"))</f>
        <v/>
      </c>
      <c r="F673" s="27" t="str" cm="1">
        <f t="array" ref="F673">IF(C673="","",IFERROR(INDEX(STPP!$F$6:$F$4207,MATCH(C673,STPP!$C$6:$C$4207,0)),"Not Found"))</f>
        <v/>
      </c>
      <c r="G673" s="25" t="str">
        <f>IF(表1[[#This Row],[No Seri]]="","",表1[[#This Row],[Deskripsi Barang]]+表1[[#This Row],[Kuantitas]]-表1[[#This Row],[Satuan]])</f>
        <v/>
      </c>
      <c r="H673" s="28"/>
      <c r="I673" s="25" t="str">
        <f>IF(表1[[#This Row],[Tgl NPBG]]&gt;表1[[#This Row],[Peminta]],表1[[#This Row],[Tgl NPBG]]-表1[[#This Row],[Peminta]],"")</f>
        <v/>
      </c>
      <c r="J673" s="31"/>
    </row>
    <row r="674" s="12" customFormat="1" customHeight="1" spans="2:10">
      <c r="B674" s="25"/>
      <c r="C674" s="25"/>
      <c r="D674" s="26" t="str" cm="1">
        <f t="array" ref="D674">IF(C674="","",IFERROR(INDEX(STPP!$D$6:$D$4207,MATCH(C674,STPP!$C$6:$C$4207,0)),"Not Found"))</f>
        <v/>
      </c>
      <c r="E674" s="27" t="str" cm="1">
        <f t="array" ref="E674">IF(C674="","",IFERROR(INDEX(STPP!$E$6:$E$4207,MATCH(C674,STPP!$C$6:$C$4207,0)),"Not Found"))</f>
        <v/>
      </c>
      <c r="F674" s="27" t="str" cm="1">
        <f t="array" ref="F674">IF(C674="","",IFERROR(INDEX(STPP!$F$6:$F$4207,MATCH(C674,STPP!$C$6:$C$4207,0)),"Not Found"))</f>
        <v/>
      </c>
      <c r="G674" s="25" t="str">
        <f>IF(表1[[#This Row],[No Seri]]="","",表1[[#This Row],[Deskripsi Barang]]+表1[[#This Row],[Kuantitas]]-表1[[#This Row],[Satuan]])</f>
        <v/>
      </c>
      <c r="H674" s="28"/>
      <c r="I674" s="25" t="str">
        <f>IF(表1[[#This Row],[Tgl NPBG]]&gt;表1[[#This Row],[Peminta]],表1[[#This Row],[Tgl NPBG]]-表1[[#This Row],[Peminta]],"")</f>
        <v/>
      </c>
      <c r="J674" s="31"/>
    </row>
    <row r="675" s="12" customFormat="1" customHeight="1" spans="2:10">
      <c r="B675" s="25"/>
      <c r="C675" s="25"/>
      <c r="D675" s="26" t="str" cm="1">
        <f t="array" ref="D675">IF(C675="","",IFERROR(INDEX(STPP!$D$6:$D$4207,MATCH(C675,STPP!$C$6:$C$4207,0)),"Not Found"))</f>
        <v/>
      </c>
      <c r="E675" s="27" t="str" cm="1">
        <f t="array" ref="E675">IF(C675="","",IFERROR(INDEX(STPP!$E$6:$E$4207,MATCH(C675,STPP!$C$6:$C$4207,0)),"Not Found"))</f>
        <v/>
      </c>
      <c r="F675" s="27" t="str" cm="1">
        <f t="array" ref="F675">IF(C675="","",IFERROR(INDEX(STPP!$F$6:$F$4207,MATCH(C675,STPP!$C$6:$C$4207,0)),"Not Found"))</f>
        <v/>
      </c>
      <c r="G675" s="25" t="str">
        <f>IF(表1[[#This Row],[No Seri]]="","",表1[[#This Row],[Deskripsi Barang]]+表1[[#This Row],[Kuantitas]]-表1[[#This Row],[Satuan]])</f>
        <v/>
      </c>
      <c r="H675" s="28"/>
      <c r="I675" s="25" t="str">
        <f>IF(表1[[#This Row],[Tgl NPBG]]&gt;表1[[#This Row],[Peminta]],表1[[#This Row],[Tgl NPBG]]-表1[[#This Row],[Peminta]],"")</f>
        <v/>
      </c>
      <c r="J675" s="31"/>
    </row>
    <row r="676" s="12" customFormat="1" customHeight="1" spans="2:10">
      <c r="B676" s="25"/>
      <c r="C676" s="25"/>
      <c r="D676" s="26" t="str" cm="1">
        <f t="array" ref="D676">IF(C676="","",IFERROR(INDEX(STPP!$D$6:$D$4207,MATCH(C676,STPP!$C$6:$C$4207,0)),"Not Found"))</f>
        <v/>
      </c>
      <c r="E676" s="27" t="str" cm="1">
        <f t="array" ref="E676">IF(C676="","",IFERROR(INDEX(STPP!$E$6:$E$4207,MATCH(C676,STPP!$C$6:$C$4207,0)),"Not Found"))</f>
        <v/>
      </c>
      <c r="F676" s="27" t="str" cm="1">
        <f t="array" ref="F676">IF(C676="","",IFERROR(INDEX(STPP!$F$6:$F$4207,MATCH(C676,STPP!$C$6:$C$4207,0)),"Not Found"))</f>
        <v/>
      </c>
      <c r="G676" s="25" t="str">
        <f>IF(表1[[#This Row],[No Seri]]="","",表1[[#This Row],[Deskripsi Barang]]+表1[[#This Row],[Kuantitas]]-表1[[#This Row],[Satuan]])</f>
        <v/>
      </c>
      <c r="H676" s="28"/>
      <c r="I676" s="25" t="str">
        <f>IF(表1[[#This Row],[Tgl NPBG]]&gt;表1[[#This Row],[Peminta]],表1[[#This Row],[Tgl NPBG]]-表1[[#This Row],[Peminta]],"")</f>
        <v/>
      </c>
      <c r="J676" s="31"/>
    </row>
    <row r="677" s="12" customFormat="1" customHeight="1" spans="2:10">
      <c r="B677" s="25"/>
      <c r="C677" s="25"/>
      <c r="D677" s="26" t="str" cm="1">
        <f t="array" ref="D677">IF(C677="","",IFERROR(INDEX(STPP!$D$6:$D$4207,MATCH(C677,STPP!$C$6:$C$4207,0)),"Not Found"))</f>
        <v/>
      </c>
      <c r="E677" s="27" t="str" cm="1">
        <f t="array" ref="E677">IF(C677="","",IFERROR(INDEX(STPP!$E$6:$E$4207,MATCH(C677,STPP!$C$6:$C$4207,0)),"Not Found"))</f>
        <v/>
      </c>
      <c r="F677" s="27" t="str" cm="1">
        <f t="array" ref="F677">IF(C677="","",IFERROR(INDEX(STPP!$F$6:$F$4207,MATCH(C677,STPP!$C$6:$C$4207,0)),"Not Found"))</f>
        <v/>
      </c>
      <c r="G677" s="25" t="str">
        <f>IF(表1[[#This Row],[No Seri]]="","",表1[[#This Row],[Deskripsi Barang]]+表1[[#This Row],[Kuantitas]]-表1[[#This Row],[Satuan]])</f>
        <v/>
      </c>
      <c r="H677" s="28"/>
      <c r="I677" s="25" t="str">
        <f>IF(表1[[#This Row],[Tgl NPBG]]&gt;表1[[#This Row],[Peminta]],表1[[#This Row],[Tgl NPBG]]-表1[[#This Row],[Peminta]],"")</f>
        <v/>
      </c>
      <c r="J677" s="31"/>
    </row>
    <row r="678" s="12" customFormat="1" customHeight="1" spans="2:10">
      <c r="B678" s="25"/>
      <c r="C678" s="25"/>
      <c r="D678" s="26" t="str" cm="1">
        <f t="array" ref="D678">IF(C678="","",IFERROR(INDEX(STPP!$D$6:$D$4207,MATCH(C678,STPP!$C$6:$C$4207,0)),"Not Found"))</f>
        <v/>
      </c>
      <c r="E678" s="27" t="str" cm="1">
        <f t="array" ref="E678">IF(C678="","",IFERROR(INDEX(STPP!$E$6:$E$4207,MATCH(C678,STPP!$C$6:$C$4207,0)),"Not Found"))</f>
        <v/>
      </c>
      <c r="F678" s="27" t="str" cm="1">
        <f t="array" ref="F678">IF(C678="","",IFERROR(INDEX(STPP!$F$6:$F$4207,MATCH(C678,STPP!$C$6:$C$4207,0)),"Not Found"))</f>
        <v/>
      </c>
      <c r="G678" s="25" t="str">
        <f>IF(表1[[#This Row],[No Seri]]="","",表1[[#This Row],[Deskripsi Barang]]+表1[[#This Row],[Kuantitas]]-表1[[#This Row],[Satuan]])</f>
        <v/>
      </c>
      <c r="H678" s="28"/>
      <c r="I678" s="25" t="str">
        <f>IF(表1[[#This Row],[Tgl NPBG]]&gt;表1[[#This Row],[Peminta]],表1[[#This Row],[Tgl NPBG]]-表1[[#This Row],[Peminta]],"")</f>
        <v/>
      </c>
      <c r="J678" s="31"/>
    </row>
    <row r="679" s="12" customFormat="1" customHeight="1" spans="2:10">
      <c r="B679" s="25"/>
      <c r="C679" s="25"/>
      <c r="D679" s="26" t="str" cm="1">
        <f t="array" ref="D679">IF(C679="","",IFERROR(INDEX(STPP!$D$6:$D$4207,MATCH(C679,STPP!$C$6:$C$4207,0)),"Not Found"))</f>
        <v/>
      </c>
      <c r="E679" s="27" t="str" cm="1">
        <f t="array" ref="E679">IF(C679="","",IFERROR(INDEX(STPP!$E$6:$E$4207,MATCH(C679,STPP!$C$6:$C$4207,0)),"Not Found"))</f>
        <v/>
      </c>
      <c r="F679" s="27" t="str" cm="1">
        <f t="array" ref="F679">IF(C679="","",IFERROR(INDEX(STPP!$F$6:$F$4207,MATCH(C679,STPP!$C$6:$C$4207,0)),"Not Found"))</f>
        <v/>
      </c>
      <c r="G679" s="25" t="str">
        <f>IF(表1[[#This Row],[No Seri]]="","",表1[[#This Row],[Deskripsi Barang]]+表1[[#This Row],[Kuantitas]]-表1[[#This Row],[Satuan]])</f>
        <v/>
      </c>
      <c r="H679" s="28"/>
      <c r="I679" s="25" t="str">
        <f>IF(表1[[#This Row],[Tgl NPBG]]&gt;表1[[#This Row],[Peminta]],表1[[#This Row],[Tgl NPBG]]-表1[[#This Row],[Peminta]],"")</f>
        <v/>
      </c>
      <c r="J679" s="31"/>
    </row>
    <row r="680" s="12" customFormat="1" customHeight="1" spans="2:10">
      <c r="B680" s="25"/>
      <c r="C680" s="25"/>
      <c r="D680" s="26" t="str" cm="1">
        <f t="array" ref="D680">IF(C680="","",IFERROR(INDEX(STPP!$D$6:$D$4207,MATCH(C680,STPP!$C$6:$C$4207,0)),"Not Found"))</f>
        <v/>
      </c>
      <c r="E680" s="27" t="str" cm="1">
        <f t="array" ref="E680">IF(C680="","",IFERROR(INDEX(STPP!$E$6:$E$4207,MATCH(C680,STPP!$C$6:$C$4207,0)),"Not Found"))</f>
        <v/>
      </c>
      <c r="F680" s="27" t="str" cm="1">
        <f t="array" ref="F680">IF(C680="","",IFERROR(INDEX(STPP!$F$6:$F$4207,MATCH(C680,STPP!$C$6:$C$4207,0)),"Not Found"))</f>
        <v/>
      </c>
      <c r="G680" s="25" t="str">
        <f>IF(表1[[#This Row],[No Seri]]="","",表1[[#This Row],[Deskripsi Barang]]+表1[[#This Row],[Kuantitas]]-表1[[#This Row],[Satuan]])</f>
        <v/>
      </c>
      <c r="H680" s="28"/>
      <c r="I680" s="25" t="str">
        <f>IF(表1[[#This Row],[Tgl NPBG]]&gt;表1[[#This Row],[Peminta]],表1[[#This Row],[Tgl NPBG]]-表1[[#This Row],[Peminta]],"")</f>
        <v/>
      </c>
      <c r="J680" s="31"/>
    </row>
    <row r="681" s="12" customFormat="1" customHeight="1" spans="2:10">
      <c r="B681" s="25"/>
      <c r="C681" s="25"/>
      <c r="D681" s="26" t="str" cm="1">
        <f t="array" ref="D681">IF(C681="","",IFERROR(INDEX(STPP!$D$6:$D$4207,MATCH(C681,STPP!$C$6:$C$4207,0)),"Not Found"))</f>
        <v/>
      </c>
      <c r="E681" s="27" t="str" cm="1">
        <f t="array" ref="E681">IF(C681="","",IFERROR(INDEX(STPP!$E$6:$E$4207,MATCH(C681,STPP!$C$6:$C$4207,0)),"Not Found"))</f>
        <v/>
      </c>
      <c r="F681" s="27" t="str" cm="1">
        <f t="array" ref="F681">IF(C681="","",IFERROR(INDEX(STPP!$F$6:$F$4207,MATCH(C681,STPP!$C$6:$C$4207,0)),"Not Found"))</f>
        <v/>
      </c>
      <c r="G681" s="25" t="str">
        <f>IF(表1[[#This Row],[No Seri]]="","",表1[[#This Row],[Deskripsi Barang]]+表1[[#This Row],[Kuantitas]]-表1[[#This Row],[Satuan]])</f>
        <v/>
      </c>
      <c r="H681" s="28"/>
      <c r="I681" s="25" t="str">
        <f>IF(表1[[#This Row],[Tgl NPBG]]&gt;表1[[#This Row],[Peminta]],表1[[#This Row],[Tgl NPBG]]-表1[[#This Row],[Peminta]],"")</f>
        <v/>
      </c>
      <c r="J681" s="31"/>
    </row>
    <row r="682" s="12" customFormat="1" customHeight="1" spans="2:10">
      <c r="B682" s="25"/>
      <c r="C682" s="25"/>
      <c r="D682" s="26" t="str" cm="1">
        <f t="array" ref="D682">IF(C682="","",IFERROR(INDEX(STPP!$D$6:$D$4207,MATCH(C682,STPP!$C$6:$C$4207,0)),"Not Found"))</f>
        <v/>
      </c>
      <c r="E682" s="27" t="str" cm="1">
        <f t="array" ref="E682">IF(C682="","",IFERROR(INDEX(STPP!$E$6:$E$4207,MATCH(C682,STPP!$C$6:$C$4207,0)),"Not Found"))</f>
        <v/>
      </c>
      <c r="F682" s="27" t="str" cm="1">
        <f t="array" ref="F682">IF(C682="","",IFERROR(INDEX(STPP!$F$6:$F$4207,MATCH(C682,STPP!$C$6:$C$4207,0)),"Not Found"))</f>
        <v/>
      </c>
      <c r="G682" s="25" t="str">
        <f>IF(表1[[#This Row],[No Seri]]="","",表1[[#This Row],[Deskripsi Barang]]+表1[[#This Row],[Kuantitas]]-表1[[#This Row],[Satuan]])</f>
        <v/>
      </c>
      <c r="H682" s="28"/>
      <c r="I682" s="25" t="str">
        <f>IF(表1[[#This Row],[Tgl NPBG]]&gt;表1[[#This Row],[Peminta]],表1[[#This Row],[Tgl NPBG]]-表1[[#This Row],[Peminta]],"")</f>
        <v/>
      </c>
      <c r="J682" s="31"/>
    </row>
    <row r="683" s="12" customFormat="1" customHeight="1" spans="2:10">
      <c r="B683" s="25"/>
      <c r="C683" s="25"/>
      <c r="D683" s="26" t="str" cm="1">
        <f t="array" ref="D683">IF(C683="","",IFERROR(INDEX(STPP!$D$6:$D$4207,MATCH(C683,STPP!$C$6:$C$4207,0)),"Not Found"))</f>
        <v/>
      </c>
      <c r="E683" s="27" t="str" cm="1">
        <f t="array" ref="E683">IF(C683="","",IFERROR(INDEX(STPP!$E$6:$E$4207,MATCH(C683,STPP!$C$6:$C$4207,0)),"Not Found"))</f>
        <v/>
      </c>
      <c r="F683" s="27" t="str" cm="1">
        <f t="array" ref="F683">IF(C683="","",IFERROR(INDEX(STPP!$F$6:$F$4207,MATCH(C683,STPP!$C$6:$C$4207,0)),"Not Found"))</f>
        <v/>
      </c>
      <c r="G683" s="25" t="str">
        <f>IF(表1[[#This Row],[No Seri]]="","",表1[[#This Row],[Deskripsi Barang]]+表1[[#This Row],[Kuantitas]]-表1[[#This Row],[Satuan]])</f>
        <v/>
      </c>
      <c r="H683" s="28"/>
      <c r="I683" s="25" t="str">
        <f>IF(表1[[#This Row],[Tgl NPBG]]&gt;表1[[#This Row],[Peminta]],表1[[#This Row],[Tgl NPBG]]-表1[[#This Row],[Peminta]],"")</f>
        <v/>
      </c>
      <c r="J683" s="31"/>
    </row>
    <row r="684" s="12" customFormat="1" customHeight="1" spans="2:10">
      <c r="B684" s="25"/>
      <c r="C684" s="25"/>
      <c r="D684" s="26" t="str" cm="1">
        <f t="array" ref="D684">IF(C684="","",IFERROR(INDEX(STPP!$D$6:$D$4207,MATCH(C684,STPP!$C$6:$C$4207,0)),"Not Found"))</f>
        <v/>
      </c>
      <c r="E684" s="27" t="str" cm="1">
        <f t="array" ref="E684">IF(C684="","",IFERROR(INDEX(STPP!$E$6:$E$4207,MATCH(C684,STPP!$C$6:$C$4207,0)),"Not Found"))</f>
        <v/>
      </c>
      <c r="F684" s="27" t="str" cm="1">
        <f t="array" ref="F684">IF(C684="","",IFERROR(INDEX(STPP!$F$6:$F$4207,MATCH(C684,STPP!$C$6:$C$4207,0)),"Not Found"))</f>
        <v/>
      </c>
      <c r="G684" s="25" t="str">
        <f>IF(表1[[#This Row],[No Seri]]="","",表1[[#This Row],[Deskripsi Barang]]+表1[[#This Row],[Kuantitas]]-表1[[#This Row],[Satuan]])</f>
        <v/>
      </c>
      <c r="H684" s="28"/>
      <c r="I684" s="25" t="str">
        <f>IF(表1[[#This Row],[Tgl NPBG]]&gt;表1[[#This Row],[Peminta]],表1[[#This Row],[Tgl NPBG]]-表1[[#This Row],[Peminta]],"")</f>
        <v/>
      </c>
      <c r="J684" s="31"/>
    </row>
    <row r="685" s="12" customFormat="1" customHeight="1" spans="2:10">
      <c r="B685" s="25"/>
      <c r="C685" s="25"/>
      <c r="D685" s="26" t="str" cm="1">
        <f t="array" ref="D685">IF(C685="","",IFERROR(INDEX(STPP!$D$6:$D$4207,MATCH(C685,STPP!$C$6:$C$4207,0)),"Not Found"))</f>
        <v/>
      </c>
      <c r="E685" s="27" t="str" cm="1">
        <f t="array" ref="E685">IF(C685="","",IFERROR(INDEX(STPP!$E$6:$E$4207,MATCH(C685,STPP!$C$6:$C$4207,0)),"Not Found"))</f>
        <v/>
      </c>
      <c r="F685" s="27" t="str" cm="1">
        <f t="array" ref="F685">IF(C685="","",IFERROR(INDEX(STPP!$F$6:$F$4207,MATCH(C685,STPP!$C$6:$C$4207,0)),"Not Found"))</f>
        <v/>
      </c>
      <c r="G685" s="25" t="str">
        <f>IF(表1[[#This Row],[No Seri]]="","",表1[[#This Row],[Deskripsi Barang]]+表1[[#This Row],[Kuantitas]]-表1[[#This Row],[Satuan]])</f>
        <v/>
      </c>
      <c r="H685" s="28"/>
      <c r="I685" s="25" t="str">
        <f>IF(表1[[#This Row],[Tgl NPBG]]&gt;表1[[#This Row],[Peminta]],表1[[#This Row],[Tgl NPBG]]-表1[[#This Row],[Peminta]],"")</f>
        <v/>
      </c>
      <c r="J685" s="31"/>
    </row>
    <row r="686" s="12" customFormat="1" customHeight="1" spans="2:10">
      <c r="B686" s="25"/>
      <c r="C686" s="25"/>
      <c r="D686" s="26" t="str" cm="1">
        <f t="array" ref="D686">IF(C686="","",IFERROR(INDEX(STPP!$D$6:$D$4207,MATCH(C686,STPP!$C$6:$C$4207,0)),"Not Found"))</f>
        <v/>
      </c>
      <c r="E686" s="27" t="str" cm="1">
        <f t="array" ref="E686">IF(C686="","",IFERROR(INDEX(STPP!$E$6:$E$4207,MATCH(C686,STPP!$C$6:$C$4207,0)),"Not Found"))</f>
        <v/>
      </c>
      <c r="F686" s="27" t="str" cm="1">
        <f t="array" ref="F686">IF(C686="","",IFERROR(INDEX(STPP!$F$6:$F$4207,MATCH(C686,STPP!$C$6:$C$4207,0)),"Not Found"))</f>
        <v/>
      </c>
      <c r="G686" s="25" t="str">
        <f>IF(表1[[#This Row],[No Seri]]="","",表1[[#This Row],[Deskripsi Barang]]+表1[[#This Row],[Kuantitas]]-表1[[#This Row],[Satuan]])</f>
        <v/>
      </c>
      <c r="H686" s="28"/>
      <c r="I686" s="25" t="str">
        <f>IF(表1[[#This Row],[Tgl NPBG]]&gt;表1[[#This Row],[Peminta]],表1[[#This Row],[Tgl NPBG]]-表1[[#This Row],[Peminta]],"")</f>
        <v/>
      </c>
      <c r="J686" s="31"/>
    </row>
    <row r="687" s="12" customFormat="1" customHeight="1" spans="2:10">
      <c r="B687" s="25"/>
      <c r="C687" s="25"/>
      <c r="D687" s="26" t="str" cm="1">
        <f t="array" ref="D687">IF(C687="","",IFERROR(INDEX(STPP!$D$6:$D$4207,MATCH(C687,STPP!$C$6:$C$4207,0)),"Not Found"))</f>
        <v/>
      </c>
      <c r="E687" s="27" t="str" cm="1">
        <f t="array" ref="E687">IF(C687="","",IFERROR(INDEX(STPP!$E$6:$E$4207,MATCH(C687,STPP!$C$6:$C$4207,0)),"Not Found"))</f>
        <v/>
      </c>
      <c r="F687" s="27" t="str" cm="1">
        <f t="array" ref="F687">IF(C687="","",IFERROR(INDEX(STPP!$F$6:$F$4207,MATCH(C687,STPP!$C$6:$C$4207,0)),"Not Found"))</f>
        <v/>
      </c>
      <c r="G687" s="25" t="str">
        <f>IF(表1[[#This Row],[No Seri]]="","",表1[[#This Row],[Deskripsi Barang]]+表1[[#This Row],[Kuantitas]]-表1[[#This Row],[Satuan]])</f>
        <v/>
      </c>
      <c r="H687" s="28"/>
      <c r="I687" s="25" t="str">
        <f>IF(表1[[#This Row],[Tgl NPBG]]&gt;表1[[#This Row],[Peminta]],表1[[#This Row],[Tgl NPBG]]-表1[[#This Row],[Peminta]],"")</f>
        <v/>
      </c>
      <c r="J687" s="31"/>
    </row>
    <row r="688" s="12" customFormat="1" customHeight="1" spans="2:10">
      <c r="B688" s="25"/>
      <c r="C688" s="25"/>
      <c r="D688" s="26" t="str" cm="1">
        <f t="array" ref="D688">IF(C688="","",IFERROR(INDEX(STPP!$D$6:$D$4207,MATCH(C688,STPP!$C$6:$C$4207,0)),"Not Found"))</f>
        <v/>
      </c>
      <c r="E688" s="27" t="str" cm="1">
        <f t="array" ref="E688">IF(C688="","",IFERROR(INDEX(STPP!$E$6:$E$4207,MATCH(C688,STPP!$C$6:$C$4207,0)),"Not Found"))</f>
        <v/>
      </c>
      <c r="F688" s="27" t="str" cm="1">
        <f t="array" ref="F688">IF(C688="","",IFERROR(INDEX(STPP!$F$6:$F$4207,MATCH(C688,STPP!$C$6:$C$4207,0)),"Not Found"))</f>
        <v/>
      </c>
      <c r="G688" s="25" t="str">
        <f>IF(表1[[#This Row],[No Seri]]="","",表1[[#This Row],[Deskripsi Barang]]+表1[[#This Row],[Kuantitas]]-表1[[#This Row],[Satuan]])</f>
        <v/>
      </c>
      <c r="H688" s="28"/>
      <c r="I688" s="25" t="str">
        <f>IF(表1[[#This Row],[Tgl NPBG]]&gt;表1[[#This Row],[Peminta]],表1[[#This Row],[Tgl NPBG]]-表1[[#This Row],[Peminta]],"")</f>
        <v/>
      </c>
      <c r="J688" s="31"/>
    </row>
    <row r="689" s="12" customFormat="1" customHeight="1" spans="2:10">
      <c r="B689" s="25"/>
      <c r="C689" s="25"/>
      <c r="D689" s="26" t="str" cm="1">
        <f t="array" ref="D689">IF(C689="","",IFERROR(INDEX(STPP!$D$6:$D$4207,MATCH(C689,STPP!$C$6:$C$4207,0)),"Not Found"))</f>
        <v/>
      </c>
      <c r="E689" s="27" t="str" cm="1">
        <f t="array" ref="E689">IF(C689="","",IFERROR(INDEX(STPP!$E$6:$E$4207,MATCH(C689,STPP!$C$6:$C$4207,0)),"Not Found"))</f>
        <v/>
      </c>
      <c r="F689" s="27" t="str" cm="1">
        <f t="array" ref="F689">IF(C689="","",IFERROR(INDEX(STPP!$F$6:$F$4207,MATCH(C689,STPP!$C$6:$C$4207,0)),"Not Found"))</f>
        <v/>
      </c>
      <c r="G689" s="25" t="str">
        <f>IF(表1[[#This Row],[No Seri]]="","",表1[[#This Row],[Deskripsi Barang]]+表1[[#This Row],[Kuantitas]]-表1[[#This Row],[Satuan]])</f>
        <v/>
      </c>
      <c r="H689" s="28"/>
      <c r="I689" s="25" t="str">
        <f>IF(表1[[#This Row],[Tgl NPBG]]&gt;表1[[#This Row],[Peminta]],表1[[#This Row],[Tgl NPBG]]-表1[[#This Row],[Peminta]],"")</f>
        <v/>
      </c>
      <c r="J689" s="31"/>
    </row>
    <row r="690" s="12" customFormat="1" customHeight="1" spans="2:10">
      <c r="B690" s="25"/>
      <c r="C690" s="25"/>
      <c r="D690" s="26" t="str" cm="1">
        <f t="array" ref="D690">IF(C690="","",IFERROR(INDEX(STPP!$D$6:$D$4207,MATCH(C690,STPP!$C$6:$C$4207,0)),"Not Found"))</f>
        <v/>
      </c>
      <c r="E690" s="27" t="str" cm="1">
        <f t="array" ref="E690">IF(C690="","",IFERROR(INDEX(STPP!$E$6:$E$4207,MATCH(C690,STPP!$C$6:$C$4207,0)),"Not Found"))</f>
        <v/>
      </c>
      <c r="F690" s="27" t="str" cm="1">
        <f t="array" ref="F690">IF(C690="","",IFERROR(INDEX(STPP!$F$6:$F$4207,MATCH(C690,STPP!$C$6:$C$4207,0)),"Not Found"))</f>
        <v/>
      </c>
      <c r="G690" s="25" t="str">
        <f>IF(表1[[#This Row],[No Seri]]="","",表1[[#This Row],[Deskripsi Barang]]+表1[[#This Row],[Kuantitas]]-表1[[#This Row],[Satuan]])</f>
        <v/>
      </c>
      <c r="H690" s="28"/>
      <c r="I690" s="25" t="str">
        <f>IF(表1[[#This Row],[Tgl NPBG]]&gt;表1[[#This Row],[Peminta]],表1[[#This Row],[Tgl NPBG]]-表1[[#This Row],[Peminta]],"")</f>
        <v/>
      </c>
      <c r="J690" s="31"/>
    </row>
    <row r="691" s="12" customFormat="1" customHeight="1" spans="2:10">
      <c r="B691" s="25"/>
      <c r="C691" s="25"/>
      <c r="D691" s="26" t="str" cm="1">
        <f t="array" ref="D691">IF(C691="","",IFERROR(INDEX(STPP!$D$6:$D$4207,MATCH(C691,STPP!$C$6:$C$4207,0)),"Not Found"))</f>
        <v/>
      </c>
      <c r="E691" s="27" t="str" cm="1">
        <f t="array" ref="E691">IF(C691="","",IFERROR(INDEX(STPP!$E$6:$E$4207,MATCH(C691,STPP!$C$6:$C$4207,0)),"Not Found"))</f>
        <v/>
      </c>
      <c r="F691" s="27" t="str" cm="1">
        <f t="array" ref="F691">IF(C691="","",IFERROR(INDEX(STPP!$F$6:$F$4207,MATCH(C691,STPP!$C$6:$C$4207,0)),"Not Found"))</f>
        <v/>
      </c>
      <c r="G691" s="25" t="str">
        <f>IF(表1[[#This Row],[No Seri]]="","",表1[[#This Row],[Deskripsi Barang]]+表1[[#This Row],[Kuantitas]]-表1[[#This Row],[Satuan]])</f>
        <v/>
      </c>
      <c r="H691" s="28"/>
      <c r="I691" s="25" t="str">
        <f>IF(表1[[#This Row],[Tgl NPBG]]&gt;表1[[#This Row],[Peminta]],表1[[#This Row],[Tgl NPBG]]-表1[[#This Row],[Peminta]],"")</f>
        <v/>
      </c>
      <c r="J691" s="31"/>
    </row>
    <row r="692" s="12" customFormat="1" customHeight="1" spans="2:10">
      <c r="B692" s="25"/>
      <c r="C692" s="25"/>
      <c r="D692" s="26" t="str" cm="1">
        <f t="array" ref="D692">IF(C692="","",IFERROR(INDEX(STPP!$D$6:$D$4207,MATCH(C692,STPP!$C$6:$C$4207,0)),"Not Found"))</f>
        <v/>
      </c>
      <c r="E692" s="27" t="str" cm="1">
        <f t="array" ref="E692">IF(C692="","",IFERROR(INDEX(STPP!$E$6:$E$4207,MATCH(C692,STPP!$C$6:$C$4207,0)),"Not Found"))</f>
        <v/>
      </c>
      <c r="F692" s="27" t="str" cm="1">
        <f t="array" ref="F692">IF(C692="","",IFERROR(INDEX(STPP!$F$6:$F$4207,MATCH(C692,STPP!$C$6:$C$4207,0)),"Not Found"))</f>
        <v/>
      </c>
      <c r="G692" s="25" t="str">
        <f>IF(表1[[#This Row],[No Seri]]="","",表1[[#This Row],[Deskripsi Barang]]+表1[[#This Row],[Kuantitas]]-表1[[#This Row],[Satuan]])</f>
        <v/>
      </c>
      <c r="H692" s="28"/>
      <c r="I692" s="25" t="str">
        <f>IF(表1[[#This Row],[Tgl NPBG]]&gt;表1[[#This Row],[Peminta]],表1[[#This Row],[Tgl NPBG]]-表1[[#This Row],[Peminta]],"")</f>
        <v/>
      </c>
      <c r="J692" s="31"/>
    </row>
    <row r="693" s="12" customFormat="1" customHeight="1" spans="2:10">
      <c r="B693" s="25"/>
      <c r="C693" s="25"/>
      <c r="D693" s="26" t="str" cm="1">
        <f t="array" ref="D693">IF(C693="","",IFERROR(INDEX(STPP!$D$6:$D$4207,MATCH(C693,STPP!$C$6:$C$4207,0)),"Not Found"))</f>
        <v/>
      </c>
      <c r="E693" s="27" t="str" cm="1">
        <f t="array" ref="E693">IF(C693="","",IFERROR(INDEX(STPP!$E$6:$E$4207,MATCH(C693,STPP!$C$6:$C$4207,0)),"Not Found"))</f>
        <v/>
      </c>
      <c r="F693" s="27" t="str" cm="1">
        <f t="array" ref="F693">IF(C693="","",IFERROR(INDEX(STPP!$F$6:$F$4207,MATCH(C693,STPP!$C$6:$C$4207,0)),"Not Found"))</f>
        <v/>
      </c>
      <c r="G693" s="25" t="str">
        <f>IF(表1[[#This Row],[No Seri]]="","",表1[[#This Row],[Deskripsi Barang]]+表1[[#This Row],[Kuantitas]]-表1[[#This Row],[Satuan]])</f>
        <v/>
      </c>
      <c r="H693" s="28"/>
      <c r="I693" s="25" t="str">
        <f>IF(表1[[#This Row],[Tgl NPBG]]&gt;表1[[#This Row],[Peminta]],表1[[#This Row],[Tgl NPBG]]-表1[[#This Row],[Peminta]],"")</f>
        <v/>
      </c>
      <c r="J693" s="31"/>
    </row>
    <row r="694" s="12" customFormat="1" customHeight="1" spans="2:10">
      <c r="B694" s="25"/>
      <c r="C694" s="25"/>
      <c r="D694" s="26" t="str" cm="1">
        <f t="array" ref="D694">IF(C694="","",IFERROR(INDEX(STPP!$D$6:$D$4207,MATCH(C694,STPP!$C$6:$C$4207,0)),"Not Found"))</f>
        <v/>
      </c>
      <c r="E694" s="27" t="str" cm="1">
        <f t="array" ref="E694">IF(C694="","",IFERROR(INDEX(STPP!$E$6:$E$4207,MATCH(C694,STPP!$C$6:$C$4207,0)),"Not Found"))</f>
        <v/>
      </c>
      <c r="F694" s="27" t="str" cm="1">
        <f t="array" ref="F694">IF(C694="","",IFERROR(INDEX(STPP!$F$6:$F$4207,MATCH(C694,STPP!$C$6:$C$4207,0)),"Not Found"))</f>
        <v/>
      </c>
      <c r="G694" s="25" t="str">
        <f>IF(表1[[#This Row],[No Seri]]="","",表1[[#This Row],[Deskripsi Barang]]+表1[[#This Row],[Kuantitas]]-表1[[#This Row],[Satuan]])</f>
        <v/>
      </c>
      <c r="H694" s="28"/>
      <c r="I694" s="25" t="str">
        <f>IF(表1[[#This Row],[Tgl NPBG]]&gt;表1[[#This Row],[Peminta]],表1[[#This Row],[Tgl NPBG]]-表1[[#This Row],[Peminta]],"")</f>
        <v/>
      </c>
      <c r="J694" s="31"/>
    </row>
    <row r="695" s="12" customFormat="1" customHeight="1" spans="2:10">
      <c r="B695" s="25"/>
      <c r="C695" s="25"/>
      <c r="D695" s="26" t="str" cm="1">
        <f t="array" ref="D695">IF(C695="","",IFERROR(INDEX(STPP!$D$6:$D$4207,MATCH(C695,STPP!$C$6:$C$4207,0)),"Not Found"))</f>
        <v/>
      </c>
      <c r="E695" s="27" t="str" cm="1">
        <f t="array" ref="E695">IF(C695="","",IFERROR(INDEX(STPP!$E$6:$E$4207,MATCH(C695,STPP!$C$6:$C$4207,0)),"Not Found"))</f>
        <v/>
      </c>
      <c r="F695" s="27" t="str" cm="1">
        <f t="array" ref="F695">IF(C695="","",IFERROR(INDEX(STPP!$F$6:$F$4207,MATCH(C695,STPP!$C$6:$C$4207,0)),"Not Found"))</f>
        <v/>
      </c>
      <c r="G695" s="25" t="str">
        <f>IF(表1[[#This Row],[No Seri]]="","",表1[[#This Row],[Deskripsi Barang]]+表1[[#This Row],[Kuantitas]]-表1[[#This Row],[Satuan]])</f>
        <v/>
      </c>
      <c r="H695" s="28"/>
      <c r="I695" s="25" t="str">
        <f>IF(表1[[#This Row],[Tgl NPBG]]&gt;表1[[#This Row],[Peminta]],表1[[#This Row],[Tgl NPBG]]-表1[[#This Row],[Peminta]],"")</f>
        <v/>
      </c>
      <c r="J695" s="31"/>
    </row>
    <row r="696" s="12" customFormat="1" customHeight="1" spans="2:10">
      <c r="B696" s="25"/>
      <c r="C696" s="25"/>
      <c r="D696" s="26" t="str" cm="1">
        <f t="array" ref="D696">IF(C696="","",IFERROR(INDEX(STPP!$D$6:$D$4207,MATCH(C696,STPP!$C$6:$C$4207,0)),"Not Found"))</f>
        <v/>
      </c>
      <c r="E696" s="27" t="str" cm="1">
        <f t="array" ref="E696">IF(C696="","",IFERROR(INDEX(STPP!$E$6:$E$4207,MATCH(C696,STPP!$C$6:$C$4207,0)),"Not Found"))</f>
        <v/>
      </c>
      <c r="F696" s="27" t="str" cm="1">
        <f t="array" ref="F696">IF(C696="","",IFERROR(INDEX(STPP!$F$6:$F$4207,MATCH(C696,STPP!$C$6:$C$4207,0)),"Not Found"))</f>
        <v/>
      </c>
      <c r="G696" s="25" t="str">
        <f>IF(表1[[#This Row],[No Seri]]="","",表1[[#This Row],[Deskripsi Barang]]+表1[[#This Row],[Kuantitas]]-表1[[#This Row],[Satuan]])</f>
        <v/>
      </c>
      <c r="H696" s="28"/>
      <c r="I696" s="25" t="str">
        <f>IF(表1[[#This Row],[Tgl NPBG]]&gt;表1[[#This Row],[Peminta]],表1[[#This Row],[Tgl NPBG]]-表1[[#This Row],[Peminta]],"")</f>
        <v/>
      </c>
      <c r="J696" s="31"/>
    </row>
    <row r="697" s="12" customFormat="1" customHeight="1" spans="2:10">
      <c r="B697" s="25"/>
      <c r="C697" s="25"/>
      <c r="D697" s="26" t="str" cm="1">
        <f t="array" ref="D697">IF(C697="","",IFERROR(INDEX(STPP!$D$6:$D$4207,MATCH(C697,STPP!$C$6:$C$4207,0)),"Not Found"))</f>
        <v/>
      </c>
      <c r="E697" s="27" t="str" cm="1">
        <f t="array" ref="E697">IF(C697="","",IFERROR(INDEX(STPP!$E$6:$E$4207,MATCH(C697,STPP!$C$6:$C$4207,0)),"Not Found"))</f>
        <v/>
      </c>
      <c r="F697" s="27" t="str" cm="1">
        <f t="array" ref="F697">IF(C697="","",IFERROR(INDEX(STPP!$F$6:$F$4207,MATCH(C697,STPP!$C$6:$C$4207,0)),"Not Found"))</f>
        <v/>
      </c>
      <c r="G697" s="25" t="str">
        <f>IF(表1[[#This Row],[No Seri]]="","",表1[[#This Row],[Deskripsi Barang]]+表1[[#This Row],[Kuantitas]]-表1[[#This Row],[Satuan]])</f>
        <v/>
      </c>
      <c r="H697" s="28"/>
      <c r="I697" s="25" t="str">
        <f>IF(表1[[#This Row],[Tgl NPBG]]&gt;表1[[#This Row],[Peminta]],表1[[#This Row],[Tgl NPBG]]-表1[[#This Row],[Peminta]],"")</f>
        <v/>
      </c>
      <c r="J697" s="31"/>
    </row>
    <row r="698" s="12" customFormat="1" customHeight="1" spans="2:10">
      <c r="B698" s="25"/>
      <c r="C698" s="25"/>
      <c r="D698" s="26" t="str" cm="1">
        <f t="array" ref="D698">IF(C698="","",IFERROR(INDEX(STPP!$D$6:$D$4207,MATCH(C698,STPP!$C$6:$C$4207,0)),"Not Found"))</f>
        <v/>
      </c>
      <c r="E698" s="27" t="str" cm="1">
        <f t="array" ref="E698">IF(C698="","",IFERROR(INDEX(STPP!$E$6:$E$4207,MATCH(C698,STPP!$C$6:$C$4207,0)),"Not Found"))</f>
        <v/>
      </c>
      <c r="F698" s="27" t="str" cm="1">
        <f t="array" ref="F698">IF(C698="","",IFERROR(INDEX(STPP!$F$6:$F$4207,MATCH(C698,STPP!$C$6:$C$4207,0)),"Not Found"))</f>
        <v/>
      </c>
      <c r="G698" s="25" t="str">
        <f>IF(表1[[#This Row],[No Seri]]="","",表1[[#This Row],[Deskripsi Barang]]+表1[[#This Row],[Kuantitas]]-表1[[#This Row],[Satuan]])</f>
        <v/>
      </c>
      <c r="H698" s="28"/>
      <c r="I698" s="25" t="str">
        <f>IF(表1[[#This Row],[Tgl NPBG]]&gt;表1[[#This Row],[Peminta]],表1[[#This Row],[Tgl NPBG]]-表1[[#This Row],[Peminta]],"")</f>
        <v/>
      </c>
      <c r="J698" s="31"/>
    </row>
    <row r="699" s="12" customFormat="1" customHeight="1" spans="2:10">
      <c r="B699" s="25"/>
      <c r="C699" s="25"/>
      <c r="D699" s="26" t="str" cm="1">
        <f t="array" ref="D699">IF(C699="","",IFERROR(INDEX(STPP!$D$6:$D$4207,MATCH(C699,STPP!$C$6:$C$4207,0)),"Not Found"))</f>
        <v/>
      </c>
      <c r="E699" s="27" t="str" cm="1">
        <f t="array" ref="E699">IF(C699="","",IFERROR(INDEX(STPP!$E$6:$E$4207,MATCH(C699,STPP!$C$6:$C$4207,0)),"Not Found"))</f>
        <v/>
      </c>
      <c r="F699" s="27" t="str" cm="1">
        <f t="array" ref="F699">IF(C699="","",IFERROR(INDEX(STPP!$F$6:$F$4207,MATCH(C699,STPP!$C$6:$C$4207,0)),"Not Found"))</f>
        <v/>
      </c>
      <c r="G699" s="25" t="str">
        <f>IF(表1[[#This Row],[No Seri]]="","",表1[[#This Row],[Deskripsi Barang]]+表1[[#This Row],[Kuantitas]]-表1[[#This Row],[Satuan]])</f>
        <v/>
      </c>
      <c r="H699" s="28"/>
      <c r="I699" s="25" t="str">
        <f>IF(表1[[#This Row],[Tgl NPBG]]&gt;表1[[#This Row],[Peminta]],表1[[#This Row],[Tgl NPBG]]-表1[[#This Row],[Peminta]],"")</f>
        <v/>
      </c>
      <c r="J699" s="31"/>
    </row>
    <row r="700" s="12" customFormat="1" customHeight="1" spans="2:10">
      <c r="B700" s="25"/>
      <c r="C700" s="25"/>
      <c r="D700" s="26" t="str" cm="1">
        <f t="array" ref="D700">IF(C700="","",IFERROR(INDEX(STPP!$D$6:$D$4207,MATCH(C700,STPP!$C$6:$C$4207,0)),"Not Found"))</f>
        <v/>
      </c>
      <c r="E700" s="27" t="str" cm="1">
        <f t="array" ref="E700">IF(C700="","",IFERROR(INDEX(STPP!$E$6:$E$4207,MATCH(C700,STPP!$C$6:$C$4207,0)),"Not Found"))</f>
        <v/>
      </c>
      <c r="F700" s="27" t="str" cm="1">
        <f t="array" ref="F700">IF(C700="","",IFERROR(INDEX(STPP!$F$6:$F$4207,MATCH(C700,STPP!$C$6:$C$4207,0)),"Not Found"))</f>
        <v/>
      </c>
      <c r="G700" s="25" t="str">
        <f>IF(表1[[#This Row],[No Seri]]="","",表1[[#This Row],[Deskripsi Barang]]+表1[[#This Row],[Kuantitas]]-表1[[#This Row],[Satuan]])</f>
        <v/>
      </c>
      <c r="H700" s="28"/>
      <c r="I700" s="25" t="str">
        <f>IF(表1[[#This Row],[Tgl NPBG]]&gt;表1[[#This Row],[Peminta]],表1[[#This Row],[Tgl NPBG]]-表1[[#This Row],[Peminta]],"")</f>
        <v/>
      </c>
      <c r="J700" s="31"/>
    </row>
    <row r="701" s="12" customFormat="1" customHeight="1" spans="2:10">
      <c r="B701" s="25"/>
      <c r="C701" s="25"/>
      <c r="D701" s="26" t="str" cm="1">
        <f t="array" ref="D701">IF(C701="","",IFERROR(INDEX(STPP!$D$6:$D$4207,MATCH(C701,STPP!$C$6:$C$4207,0)),"Not Found"))</f>
        <v/>
      </c>
      <c r="E701" s="27" t="str" cm="1">
        <f t="array" ref="E701">IF(C701="","",IFERROR(INDEX(STPP!$E$6:$E$4207,MATCH(C701,STPP!$C$6:$C$4207,0)),"Not Found"))</f>
        <v/>
      </c>
      <c r="F701" s="27" t="str" cm="1">
        <f t="array" ref="F701">IF(C701="","",IFERROR(INDEX(STPP!$F$6:$F$4207,MATCH(C701,STPP!$C$6:$C$4207,0)),"Not Found"))</f>
        <v/>
      </c>
      <c r="G701" s="25" t="str">
        <f>IF(表1[[#This Row],[No Seri]]="","",表1[[#This Row],[Deskripsi Barang]]+表1[[#This Row],[Kuantitas]]-表1[[#This Row],[Satuan]])</f>
        <v/>
      </c>
      <c r="H701" s="28"/>
      <c r="I701" s="25" t="str">
        <f>IF(表1[[#This Row],[Tgl NPBG]]&gt;表1[[#This Row],[Peminta]],表1[[#This Row],[Tgl NPBG]]-表1[[#This Row],[Peminta]],"")</f>
        <v/>
      </c>
      <c r="J701" s="31"/>
    </row>
    <row r="702" s="12" customFormat="1" customHeight="1" spans="2:10">
      <c r="B702" s="25"/>
      <c r="C702" s="25"/>
      <c r="D702" s="26" t="str" cm="1">
        <f t="array" ref="D702">IF(C702="","",IFERROR(INDEX(STPP!$D$6:$D$4207,MATCH(C702,STPP!$C$6:$C$4207,0)),"Not Found"))</f>
        <v/>
      </c>
      <c r="E702" s="27" t="str" cm="1">
        <f t="array" ref="E702">IF(C702="","",IFERROR(INDEX(STPP!$E$6:$E$4207,MATCH(C702,STPP!$C$6:$C$4207,0)),"Not Found"))</f>
        <v/>
      </c>
      <c r="F702" s="27" t="str" cm="1">
        <f t="array" ref="F702">IF(C702="","",IFERROR(INDEX(STPP!$F$6:$F$4207,MATCH(C702,STPP!$C$6:$C$4207,0)),"Not Found"))</f>
        <v/>
      </c>
      <c r="G702" s="25" t="str">
        <f>IF(表1[[#This Row],[No Seri]]="","",表1[[#This Row],[Deskripsi Barang]]+表1[[#This Row],[Kuantitas]]-表1[[#This Row],[Satuan]])</f>
        <v/>
      </c>
      <c r="H702" s="28"/>
      <c r="I702" s="25" t="str">
        <f>IF(表1[[#This Row],[Tgl NPBG]]&gt;表1[[#This Row],[Peminta]],表1[[#This Row],[Tgl NPBG]]-表1[[#This Row],[Peminta]],"")</f>
        <v/>
      </c>
      <c r="J702" s="31"/>
    </row>
    <row r="703" s="12" customFormat="1" customHeight="1" spans="2:10">
      <c r="B703" s="25"/>
      <c r="C703" s="25"/>
      <c r="D703" s="26" t="str" cm="1">
        <f t="array" ref="D703">IF(C703="","",IFERROR(INDEX(STPP!$D$6:$D$4207,MATCH(C703,STPP!$C$6:$C$4207,0)),"Not Found"))</f>
        <v/>
      </c>
      <c r="E703" s="27" t="str" cm="1">
        <f t="array" ref="E703">IF(C703="","",IFERROR(INDEX(STPP!$E$6:$E$4207,MATCH(C703,STPP!$C$6:$C$4207,0)),"Not Found"))</f>
        <v/>
      </c>
      <c r="F703" s="27" t="str" cm="1">
        <f t="array" ref="F703">IF(C703="","",IFERROR(INDEX(STPP!$F$6:$F$4207,MATCH(C703,STPP!$C$6:$C$4207,0)),"Not Found"))</f>
        <v/>
      </c>
      <c r="G703" s="25" t="str">
        <f>IF(表1[[#This Row],[No Seri]]="","",表1[[#This Row],[Deskripsi Barang]]+表1[[#This Row],[Kuantitas]]-表1[[#This Row],[Satuan]])</f>
        <v/>
      </c>
      <c r="H703" s="28"/>
      <c r="I703" s="25" t="str">
        <f>IF(表1[[#This Row],[Tgl NPBG]]&gt;表1[[#This Row],[Peminta]],表1[[#This Row],[Tgl NPBG]]-表1[[#This Row],[Peminta]],"")</f>
        <v/>
      </c>
      <c r="J703" s="31"/>
    </row>
    <row r="704" s="12" customFormat="1" customHeight="1" spans="2:10">
      <c r="B704" s="25"/>
      <c r="C704" s="25"/>
      <c r="D704" s="26" t="str" cm="1">
        <f t="array" ref="D704">IF(C704="","",IFERROR(INDEX(STPP!$D$6:$D$4207,MATCH(C704,STPP!$C$6:$C$4207,0)),"Not Found"))</f>
        <v/>
      </c>
      <c r="E704" s="27" t="str" cm="1">
        <f t="array" ref="E704">IF(C704="","",IFERROR(INDEX(STPP!$E$6:$E$4207,MATCH(C704,STPP!$C$6:$C$4207,0)),"Not Found"))</f>
        <v/>
      </c>
      <c r="F704" s="27" t="str" cm="1">
        <f t="array" ref="F704">IF(C704="","",IFERROR(INDEX(STPP!$F$6:$F$4207,MATCH(C704,STPP!$C$6:$C$4207,0)),"Not Found"))</f>
        <v/>
      </c>
      <c r="G704" s="25" t="str">
        <f>IF(表1[[#This Row],[No Seri]]="","",表1[[#This Row],[Deskripsi Barang]]+表1[[#This Row],[Kuantitas]]-表1[[#This Row],[Satuan]])</f>
        <v/>
      </c>
      <c r="H704" s="28"/>
      <c r="I704" s="25" t="str">
        <f>IF(表1[[#This Row],[Tgl NPBG]]&gt;表1[[#This Row],[Peminta]],表1[[#This Row],[Tgl NPBG]]-表1[[#This Row],[Peminta]],"")</f>
        <v/>
      </c>
      <c r="J704" s="31"/>
    </row>
    <row r="705" s="12" customFormat="1" customHeight="1" spans="2:10">
      <c r="B705" s="25"/>
      <c r="C705" s="25"/>
      <c r="D705" s="26" t="str" cm="1">
        <f t="array" ref="D705">IF(C705="","",IFERROR(INDEX(STPP!$D$6:$D$4207,MATCH(C705,STPP!$C$6:$C$4207,0)),"Not Found"))</f>
        <v/>
      </c>
      <c r="E705" s="27" t="str" cm="1">
        <f t="array" ref="E705">IF(C705="","",IFERROR(INDEX(STPP!$E$6:$E$4207,MATCH(C705,STPP!$C$6:$C$4207,0)),"Not Found"))</f>
        <v/>
      </c>
      <c r="F705" s="27" t="str" cm="1">
        <f t="array" ref="F705">IF(C705="","",IFERROR(INDEX(STPP!$F$6:$F$4207,MATCH(C705,STPP!$C$6:$C$4207,0)),"Not Found"))</f>
        <v/>
      </c>
      <c r="G705" s="25" t="str">
        <f>IF(表1[[#This Row],[No Seri]]="","",表1[[#This Row],[Deskripsi Barang]]+表1[[#This Row],[Kuantitas]]-表1[[#This Row],[Satuan]])</f>
        <v/>
      </c>
      <c r="H705" s="28"/>
      <c r="I705" s="25" t="str">
        <f>IF(表1[[#This Row],[Tgl NPBG]]&gt;表1[[#This Row],[Peminta]],表1[[#This Row],[Tgl NPBG]]-表1[[#This Row],[Peminta]],"")</f>
        <v/>
      </c>
      <c r="J705" s="31"/>
    </row>
    <row r="706" s="12" customFormat="1" customHeight="1" spans="2:10">
      <c r="B706" s="25"/>
      <c r="C706" s="25"/>
      <c r="D706" s="26" t="str" cm="1">
        <f t="array" ref="D706">IF(C706="","",IFERROR(INDEX(STPP!$D$6:$D$4207,MATCH(C706,STPP!$C$6:$C$4207,0)),"Not Found"))</f>
        <v/>
      </c>
      <c r="E706" s="27" t="str" cm="1">
        <f t="array" ref="E706">IF(C706="","",IFERROR(INDEX(STPP!$E$6:$E$4207,MATCH(C706,STPP!$C$6:$C$4207,0)),"Not Found"))</f>
        <v/>
      </c>
      <c r="F706" s="27" t="str" cm="1">
        <f t="array" ref="F706">IF(C706="","",IFERROR(INDEX(STPP!$F$6:$F$4207,MATCH(C706,STPP!$C$6:$C$4207,0)),"Not Found"))</f>
        <v/>
      </c>
      <c r="G706" s="25" t="str">
        <f>IF(表1[[#This Row],[No Seri]]="","",表1[[#This Row],[Deskripsi Barang]]+表1[[#This Row],[Kuantitas]]-表1[[#This Row],[Satuan]])</f>
        <v/>
      </c>
      <c r="H706" s="28"/>
      <c r="I706" s="25" t="str">
        <f>IF(表1[[#This Row],[Tgl NPBG]]&gt;表1[[#This Row],[Peminta]],表1[[#This Row],[Tgl NPBG]]-表1[[#This Row],[Peminta]],"")</f>
        <v/>
      </c>
      <c r="J706" s="31"/>
    </row>
    <row r="707" s="12" customFormat="1" customHeight="1" spans="2:10">
      <c r="B707" s="25"/>
      <c r="C707" s="25"/>
      <c r="D707" s="26" t="str" cm="1">
        <f t="array" ref="D707">IF(C707="","",IFERROR(INDEX(STPP!$D$6:$D$4207,MATCH(C707,STPP!$C$6:$C$4207,0)),"Not Found"))</f>
        <v/>
      </c>
      <c r="E707" s="27" t="str" cm="1">
        <f t="array" ref="E707">IF(C707="","",IFERROR(INDEX(STPP!$E$6:$E$4207,MATCH(C707,STPP!$C$6:$C$4207,0)),"Not Found"))</f>
        <v/>
      </c>
      <c r="F707" s="27" t="str" cm="1">
        <f t="array" ref="F707">IF(C707="","",IFERROR(INDEX(STPP!$F$6:$F$4207,MATCH(C707,STPP!$C$6:$C$4207,0)),"Not Found"))</f>
        <v/>
      </c>
      <c r="G707" s="25" t="str">
        <f>IF(表1[[#This Row],[No Seri]]="","",表1[[#This Row],[Deskripsi Barang]]+表1[[#This Row],[Kuantitas]]-表1[[#This Row],[Satuan]])</f>
        <v/>
      </c>
      <c r="H707" s="28"/>
      <c r="I707" s="25" t="str">
        <f>IF(表1[[#This Row],[Tgl NPBG]]&gt;表1[[#This Row],[Peminta]],表1[[#This Row],[Tgl NPBG]]-表1[[#This Row],[Peminta]],"")</f>
        <v/>
      </c>
      <c r="J707" s="31"/>
    </row>
    <row r="708" s="12" customFormat="1" customHeight="1" spans="2:10">
      <c r="B708" s="25"/>
      <c r="C708" s="25"/>
      <c r="D708" s="26" t="str" cm="1">
        <f t="array" ref="D708">IF(C708="","",IFERROR(INDEX(STPP!$D$6:$D$4207,MATCH(C708,STPP!$C$6:$C$4207,0)),"Not Found"))</f>
        <v/>
      </c>
      <c r="E708" s="27" t="str" cm="1">
        <f t="array" ref="E708">IF(C708="","",IFERROR(INDEX(STPP!$E$6:$E$4207,MATCH(C708,STPP!$C$6:$C$4207,0)),"Not Found"))</f>
        <v/>
      </c>
      <c r="F708" s="27" t="str" cm="1">
        <f t="array" ref="F708">IF(C708="","",IFERROR(INDEX(STPP!$F$6:$F$4207,MATCH(C708,STPP!$C$6:$C$4207,0)),"Not Found"))</f>
        <v/>
      </c>
      <c r="G708" s="25" t="str">
        <f>IF(表1[[#This Row],[No Seri]]="","",表1[[#This Row],[Deskripsi Barang]]+表1[[#This Row],[Kuantitas]]-表1[[#This Row],[Satuan]])</f>
        <v/>
      </c>
      <c r="H708" s="28"/>
      <c r="I708" s="25" t="str">
        <f>IF(表1[[#This Row],[Tgl NPBG]]&gt;表1[[#This Row],[Peminta]],表1[[#This Row],[Tgl NPBG]]-表1[[#This Row],[Peminta]],"")</f>
        <v/>
      </c>
      <c r="J708" s="31"/>
    </row>
    <row r="709" s="12" customFormat="1" customHeight="1" spans="2:10">
      <c r="B709" s="25"/>
      <c r="C709" s="25"/>
      <c r="D709" s="26" t="str" cm="1">
        <f t="array" ref="D709">IF(C709="","",IFERROR(INDEX(STPP!$D$6:$D$4207,MATCH(C709,STPP!$C$6:$C$4207,0)),"Not Found"))</f>
        <v/>
      </c>
      <c r="E709" s="27" t="str" cm="1">
        <f t="array" ref="E709">IF(C709="","",IFERROR(INDEX(STPP!$E$6:$E$4207,MATCH(C709,STPP!$C$6:$C$4207,0)),"Not Found"))</f>
        <v/>
      </c>
      <c r="F709" s="27" t="str" cm="1">
        <f t="array" ref="F709">IF(C709="","",IFERROR(INDEX(STPP!$F$6:$F$4207,MATCH(C709,STPP!$C$6:$C$4207,0)),"Not Found"))</f>
        <v/>
      </c>
      <c r="G709" s="25" t="str">
        <f>IF(表1[[#This Row],[No Seri]]="","",表1[[#This Row],[Deskripsi Barang]]+表1[[#This Row],[Kuantitas]]-表1[[#This Row],[Satuan]])</f>
        <v/>
      </c>
      <c r="H709" s="28"/>
      <c r="I709" s="25" t="str">
        <f>IF(表1[[#This Row],[Tgl NPBG]]&gt;表1[[#This Row],[Peminta]],表1[[#This Row],[Tgl NPBG]]-表1[[#This Row],[Peminta]],"")</f>
        <v/>
      </c>
      <c r="J709" s="31"/>
    </row>
    <row r="710" s="12" customFormat="1" customHeight="1" spans="2:10">
      <c r="B710" s="25"/>
      <c r="C710" s="25"/>
      <c r="D710" s="26" t="str" cm="1">
        <f t="array" ref="D710">IF(C710="","",IFERROR(INDEX(STPP!$D$6:$D$4207,MATCH(C710,STPP!$C$6:$C$4207,0)),"Not Found"))</f>
        <v/>
      </c>
      <c r="E710" s="27" t="str" cm="1">
        <f t="array" ref="E710">IF(C710="","",IFERROR(INDEX(STPP!$E$6:$E$4207,MATCH(C710,STPP!$C$6:$C$4207,0)),"Not Found"))</f>
        <v/>
      </c>
      <c r="F710" s="27" t="str" cm="1">
        <f t="array" ref="F710">IF(C710="","",IFERROR(INDEX(STPP!$F$6:$F$4207,MATCH(C710,STPP!$C$6:$C$4207,0)),"Not Found"))</f>
        <v/>
      </c>
      <c r="G710" s="25" t="str">
        <f>IF(表1[[#This Row],[No Seri]]="","",表1[[#This Row],[Deskripsi Barang]]+表1[[#This Row],[Kuantitas]]-表1[[#This Row],[Satuan]])</f>
        <v/>
      </c>
      <c r="H710" s="28"/>
      <c r="I710" s="25" t="str">
        <f>IF(表1[[#This Row],[Tgl NPBG]]&gt;表1[[#This Row],[Peminta]],表1[[#This Row],[Tgl NPBG]]-表1[[#This Row],[Peminta]],"")</f>
        <v/>
      </c>
      <c r="J710" s="31"/>
    </row>
    <row r="711" s="12" customFormat="1" customHeight="1" spans="2:10">
      <c r="B711" s="25"/>
      <c r="C711" s="25"/>
      <c r="D711" s="26" t="str" cm="1">
        <f t="array" ref="D711">IF(C711="","",IFERROR(INDEX(STPP!$D$6:$D$4207,MATCH(C711,STPP!$C$6:$C$4207,0)),"Not Found"))</f>
        <v/>
      </c>
      <c r="E711" s="27" t="str" cm="1">
        <f t="array" ref="E711">IF(C711="","",IFERROR(INDEX(STPP!$E$6:$E$4207,MATCH(C711,STPP!$C$6:$C$4207,0)),"Not Found"))</f>
        <v/>
      </c>
      <c r="F711" s="27" t="str" cm="1">
        <f t="array" ref="F711">IF(C711="","",IFERROR(INDEX(STPP!$F$6:$F$4207,MATCH(C711,STPP!$C$6:$C$4207,0)),"Not Found"))</f>
        <v/>
      </c>
      <c r="G711" s="25" t="str">
        <f>IF(表1[[#This Row],[No Seri]]="","",表1[[#This Row],[Deskripsi Barang]]+表1[[#This Row],[Kuantitas]]-表1[[#This Row],[Satuan]])</f>
        <v/>
      </c>
      <c r="H711" s="28"/>
      <c r="I711" s="25" t="str">
        <f>IF(表1[[#This Row],[Tgl NPBG]]&gt;表1[[#This Row],[Peminta]],表1[[#This Row],[Tgl NPBG]]-表1[[#This Row],[Peminta]],"")</f>
        <v/>
      </c>
      <c r="J711" s="31"/>
    </row>
    <row r="712" s="12" customFormat="1" customHeight="1" spans="2:10">
      <c r="B712" s="25"/>
      <c r="C712" s="25"/>
      <c r="D712" s="26" t="str" cm="1">
        <f t="array" ref="D712">IF(C712="","",IFERROR(INDEX(STPP!$D$6:$D$4207,MATCH(C712,STPP!$C$6:$C$4207,0)),"Not Found"))</f>
        <v/>
      </c>
      <c r="E712" s="27" t="str" cm="1">
        <f t="array" ref="E712">IF(C712="","",IFERROR(INDEX(STPP!$E$6:$E$4207,MATCH(C712,STPP!$C$6:$C$4207,0)),"Not Found"))</f>
        <v/>
      </c>
      <c r="F712" s="27" t="str" cm="1">
        <f t="array" ref="F712">IF(C712="","",IFERROR(INDEX(STPP!$F$6:$F$4207,MATCH(C712,STPP!$C$6:$C$4207,0)),"Not Found"))</f>
        <v/>
      </c>
      <c r="G712" s="25" t="str">
        <f>IF(表1[[#This Row],[No Seri]]="","",表1[[#This Row],[Deskripsi Barang]]+表1[[#This Row],[Kuantitas]]-表1[[#This Row],[Satuan]])</f>
        <v/>
      </c>
      <c r="H712" s="28"/>
      <c r="I712" s="25" t="str">
        <f>IF(表1[[#This Row],[Tgl NPBG]]&gt;表1[[#This Row],[Peminta]],表1[[#This Row],[Tgl NPBG]]-表1[[#This Row],[Peminta]],"")</f>
        <v/>
      </c>
      <c r="J712" s="31"/>
    </row>
    <row r="713" s="12" customFormat="1" customHeight="1" spans="2:10">
      <c r="B713" s="25"/>
      <c r="C713" s="25"/>
      <c r="D713" s="26" t="str" cm="1">
        <f t="array" ref="D713">IF(C713="","",IFERROR(INDEX(STPP!$D$6:$D$4207,MATCH(C713,STPP!$C$6:$C$4207,0)),"Not Found"))</f>
        <v/>
      </c>
      <c r="E713" s="27" t="str" cm="1">
        <f t="array" ref="E713">IF(C713="","",IFERROR(INDEX(STPP!$E$6:$E$4207,MATCH(C713,STPP!$C$6:$C$4207,0)),"Not Found"))</f>
        <v/>
      </c>
      <c r="F713" s="27" t="str" cm="1">
        <f t="array" ref="F713">IF(C713="","",IFERROR(INDEX(STPP!$F$6:$F$4207,MATCH(C713,STPP!$C$6:$C$4207,0)),"Not Found"))</f>
        <v/>
      </c>
      <c r="G713" s="25" t="str">
        <f>IF(表1[[#This Row],[No Seri]]="","",表1[[#This Row],[Deskripsi Barang]]+表1[[#This Row],[Kuantitas]]-表1[[#This Row],[Satuan]])</f>
        <v/>
      </c>
      <c r="H713" s="28"/>
      <c r="I713" s="25" t="str">
        <f>IF(表1[[#This Row],[Tgl NPBG]]&gt;表1[[#This Row],[Peminta]],表1[[#This Row],[Tgl NPBG]]-表1[[#This Row],[Peminta]],"")</f>
        <v/>
      </c>
      <c r="J713" s="31"/>
    </row>
    <row r="714" s="12" customFormat="1" customHeight="1" spans="2:10">
      <c r="B714" s="25"/>
      <c r="C714" s="25"/>
      <c r="D714" s="26" t="str" cm="1">
        <f t="array" ref="D714">IF(C714="","",IFERROR(INDEX(STPP!$D$6:$D$4207,MATCH(C714,STPP!$C$6:$C$4207,0)),"Not Found"))</f>
        <v/>
      </c>
      <c r="E714" s="27" t="str" cm="1">
        <f t="array" ref="E714">IF(C714="","",IFERROR(INDEX(STPP!$E$6:$E$4207,MATCH(C714,STPP!$C$6:$C$4207,0)),"Not Found"))</f>
        <v/>
      </c>
      <c r="F714" s="27" t="str" cm="1">
        <f t="array" ref="F714">IF(C714="","",IFERROR(INDEX(STPP!$F$6:$F$4207,MATCH(C714,STPP!$C$6:$C$4207,0)),"Not Found"))</f>
        <v/>
      </c>
      <c r="G714" s="25" t="str">
        <f>IF(表1[[#This Row],[No Seri]]="","",表1[[#This Row],[Deskripsi Barang]]+表1[[#This Row],[Kuantitas]]-表1[[#This Row],[Satuan]])</f>
        <v/>
      </c>
      <c r="H714" s="28"/>
      <c r="I714" s="25" t="str">
        <f>IF(表1[[#This Row],[Tgl NPBG]]&gt;表1[[#This Row],[Peminta]],表1[[#This Row],[Tgl NPBG]]-表1[[#This Row],[Peminta]],"")</f>
        <v/>
      </c>
      <c r="J714" s="31"/>
    </row>
    <row r="715" s="12" customFormat="1" customHeight="1" spans="2:10">
      <c r="B715" s="25"/>
      <c r="C715" s="25"/>
      <c r="D715" s="26" t="str" cm="1">
        <f t="array" ref="D715">IF(C715="","",IFERROR(INDEX(STPP!$D$6:$D$4207,MATCH(C715,STPP!$C$6:$C$4207,0)),"Not Found"))</f>
        <v/>
      </c>
      <c r="E715" s="27" t="str" cm="1">
        <f t="array" ref="E715">IF(C715="","",IFERROR(INDEX(STPP!$E$6:$E$4207,MATCH(C715,STPP!$C$6:$C$4207,0)),"Not Found"))</f>
        <v/>
      </c>
      <c r="F715" s="27" t="str" cm="1">
        <f t="array" ref="F715">IF(C715="","",IFERROR(INDEX(STPP!$F$6:$F$4207,MATCH(C715,STPP!$C$6:$C$4207,0)),"Not Found"))</f>
        <v/>
      </c>
      <c r="G715" s="25" t="str">
        <f>IF(表1[[#This Row],[No Seri]]="","",表1[[#This Row],[Deskripsi Barang]]+表1[[#This Row],[Kuantitas]]-表1[[#This Row],[Satuan]])</f>
        <v/>
      </c>
      <c r="H715" s="28"/>
      <c r="I715" s="25" t="str">
        <f>IF(表1[[#This Row],[Tgl NPBG]]&gt;表1[[#This Row],[Peminta]],表1[[#This Row],[Tgl NPBG]]-表1[[#This Row],[Peminta]],"")</f>
        <v/>
      </c>
      <c r="J715" s="31"/>
    </row>
    <row r="716" s="12" customFormat="1" customHeight="1" spans="2:10">
      <c r="B716" s="25"/>
      <c r="C716" s="25"/>
      <c r="D716" s="26" t="str" cm="1">
        <f t="array" ref="D716">IF(C716="","",IFERROR(INDEX(STPP!$D$6:$D$4207,MATCH(C716,STPP!$C$6:$C$4207,0)),"Not Found"))</f>
        <v/>
      </c>
      <c r="E716" s="27" t="str" cm="1">
        <f t="array" ref="E716">IF(C716="","",IFERROR(INDEX(STPP!$E$6:$E$4207,MATCH(C716,STPP!$C$6:$C$4207,0)),"Not Found"))</f>
        <v/>
      </c>
      <c r="F716" s="27" t="str" cm="1">
        <f t="array" ref="F716">IF(C716="","",IFERROR(INDEX(STPP!$F$6:$F$4207,MATCH(C716,STPP!$C$6:$C$4207,0)),"Not Found"))</f>
        <v/>
      </c>
      <c r="G716" s="25" t="str">
        <f>IF(表1[[#This Row],[No Seri]]="","",表1[[#This Row],[Deskripsi Barang]]+表1[[#This Row],[Kuantitas]]-表1[[#This Row],[Satuan]])</f>
        <v/>
      </c>
      <c r="H716" s="28"/>
      <c r="I716" s="25" t="str">
        <f>IF(表1[[#This Row],[Tgl NPBG]]&gt;表1[[#This Row],[Peminta]],表1[[#This Row],[Tgl NPBG]]-表1[[#This Row],[Peminta]],"")</f>
        <v/>
      </c>
      <c r="J716" s="31"/>
    </row>
    <row r="717" s="12" customFormat="1" customHeight="1" spans="2:10">
      <c r="B717" s="25"/>
      <c r="C717" s="25"/>
      <c r="D717" s="26" t="str" cm="1">
        <f t="array" ref="D717">IF(C717="","",IFERROR(INDEX(STPP!$D$6:$D$4207,MATCH(C717,STPP!$C$6:$C$4207,0)),"Not Found"))</f>
        <v/>
      </c>
      <c r="E717" s="27" t="str" cm="1">
        <f t="array" ref="E717">IF(C717="","",IFERROR(INDEX(STPP!$E$6:$E$4207,MATCH(C717,STPP!$C$6:$C$4207,0)),"Not Found"))</f>
        <v/>
      </c>
      <c r="F717" s="27" t="str" cm="1">
        <f t="array" ref="F717">IF(C717="","",IFERROR(INDEX(STPP!$F$6:$F$4207,MATCH(C717,STPP!$C$6:$C$4207,0)),"Not Found"))</f>
        <v/>
      </c>
      <c r="G717" s="25" t="str">
        <f>IF(表1[[#This Row],[No Seri]]="","",表1[[#This Row],[Deskripsi Barang]]+表1[[#This Row],[Kuantitas]]-表1[[#This Row],[Satuan]])</f>
        <v/>
      </c>
      <c r="H717" s="28"/>
      <c r="I717" s="25" t="str">
        <f>IF(表1[[#This Row],[Tgl NPBG]]&gt;表1[[#This Row],[Peminta]],表1[[#This Row],[Tgl NPBG]]-表1[[#This Row],[Peminta]],"")</f>
        <v/>
      </c>
      <c r="J717" s="31"/>
    </row>
    <row r="718" s="12" customFormat="1" customHeight="1" spans="2:10">
      <c r="B718" s="25"/>
      <c r="C718" s="25"/>
      <c r="D718" s="26" t="str" cm="1">
        <f t="array" ref="D718">IF(C718="","",IFERROR(INDEX(STPP!$D$6:$D$4207,MATCH(C718,STPP!$C$6:$C$4207,0)),"Not Found"))</f>
        <v/>
      </c>
      <c r="E718" s="27" t="str" cm="1">
        <f t="array" ref="E718">IF(C718="","",IFERROR(INDEX(STPP!$E$6:$E$4207,MATCH(C718,STPP!$C$6:$C$4207,0)),"Not Found"))</f>
        <v/>
      </c>
      <c r="F718" s="27" t="str" cm="1">
        <f t="array" ref="F718">IF(C718="","",IFERROR(INDEX(STPP!$F$6:$F$4207,MATCH(C718,STPP!$C$6:$C$4207,0)),"Not Found"))</f>
        <v/>
      </c>
      <c r="G718" s="25" t="str">
        <f>IF(表1[[#This Row],[No Seri]]="","",表1[[#This Row],[Deskripsi Barang]]+表1[[#This Row],[Kuantitas]]-表1[[#This Row],[Satuan]])</f>
        <v/>
      </c>
      <c r="H718" s="28"/>
      <c r="I718" s="25" t="str">
        <f>IF(表1[[#This Row],[Tgl NPBG]]&gt;表1[[#This Row],[Peminta]],表1[[#This Row],[Tgl NPBG]]-表1[[#This Row],[Peminta]],"")</f>
        <v/>
      </c>
      <c r="J718" s="31"/>
    </row>
    <row r="719" s="12" customFormat="1" customHeight="1" spans="2:10">
      <c r="B719" s="25"/>
      <c r="C719" s="25"/>
      <c r="D719" s="26" t="str" cm="1">
        <f t="array" ref="D719">IF(C719="","",IFERROR(INDEX(STPP!$D$6:$D$4207,MATCH(C719,STPP!$C$6:$C$4207,0)),"Not Found"))</f>
        <v/>
      </c>
      <c r="E719" s="27" t="str" cm="1">
        <f t="array" ref="E719">IF(C719="","",IFERROR(INDEX(STPP!$E$6:$E$4207,MATCH(C719,STPP!$C$6:$C$4207,0)),"Not Found"))</f>
        <v/>
      </c>
      <c r="F719" s="27" t="str" cm="1">
        <f t="array" ref="F719">IF(C719="","",IFERROR(INDEX(STPP!$F$6:$F$4207,MATCH(C719,STPP!$C$6:$C$4207,0)),"Not Found"))</f>
        <v/>
      </c>
      <c r="G719" s="25" t="str">
        <f>IF(表1[[#This Row],[No Seri]]="","",表1[[#This Row],[Deskripsi Barang]]+表1[[#This Row],[Kuantitas]]-表1[[#This Row],[Satuan]])</f>
        <v/>
      </c>
      <c r="H719" s="28"/>
      <c r="I719" s="25" t="str">
        <f>IF(表1[[#This Row],[Tgl NPBG]]&gt;表1[[#This Row],[Peminta]],表1[[#This Row],[Tgl NPBG]]-表1[[#This Row],[Peminta]],"")</f>
        <v/>
      </c>
      <c r="J719" s="31"/>
    </row>
    <row r="720" s="12" customFormat="1" customHeight="1" spans="2:10">
      <c r="B720" s="25"/>
      <c r="C720" s="25"/>
      <c r="D720" s="26" t="str" cm="1">
        <f t="array" ref="D720">IF(C720="","",IFERROR(INDEX(STPP!$D$6:$D$4207,MATCH(C720,STPP!$C$6:$C$4207,0)),"Not Found"))</f>
        <v/>
      </c>
      <c r="E720" s="27" t="str" cm="1">
        <f t="array" ref="E720">IF(C720="","",IFERROR(INDEX(STPP!$E$6:$E$4207,MATCH(C720,STPP!$C$6:$C$4207,0)),"Not Found"))</f>
        <v/>
      </c>
      <c r="F720" s="27" t="str" cm="1">
        <f t="array" ref="F720">IF(C720="","",IFERROR(INDEX(STPP!$F$6:$F$4207,MATCH(C720,STPP!$C$6:$C$4207,0)),"Not Found"))</f>
        <v/>
      </c>
      <c r="G720" s="25" t="str">
        <f>IF(表1[[#This Row],[No Seri]]="","",表1[[#This Row],[Deskripsi Barang]]+表1[[#This Row],[Kuantitas]]-表1[[#This Row],[Satuan]])</f>
        <v/>
      </c>
      <c r="H720" s="28"/>
      <c r="I720" s="25" t="str">
        <f>IF(表1[[#This Row],[Tgl NPBG]]&gt;表1[[#This Row],[Peminta]],表1[[#This Row],[Tgl NPBG]]-表1[[#This Row],[Peminta]],"")</f>
        <v/>
      </c>
      <c r="J720" s="31"/>
    </row>
    <row r="721" s="12" customFormat="1" customHeight="1" spans="2:10">
      <c r="B721" s="25"/>
      <c r="C721" s="25"/>
      <c r="D721" s="26" t="str" cm="1">
        <f t="array" ref="D721">IF(C721="","",IFERROR(INDEX(STPP!$D$6:$D$4207,MATCH(C721,STPP!$C$6:$C$4207,0)),"Not Found"))</f>
        <v/>
      </c>
      <c r="E721" s="27" t="str" cm="1">
        <f t="array" ref="E721">IF(C721="","",IFERROR(INDEX(STPP!$E$6:$E$4207,MATCH(C721,STPP!$C$6:$C$4207,0)),"Not Found"))</f>
        <v/>
      </c>
      <c r="F721" s="27" t="str" cm="1">
        <f t="array" ref="F721">IF(C721="","",IFERROR(INDEX(STPP!$F$6:$F$4207,MATCH(C721,STPP!$C$6:$C$4207,0)),"Not Found"))</f>
        <v/>
      </c>
      <c r="G721" s="25" t="str">
        <f>IF(表1[[#This Row],[No Seri]]="","",表1[[#This Row],[Deskripsi Barang]]+表1[[#This Row],[Kuantitas]]-表1[[#This Row],[Satuan]])</f>
        <v/>
      </c>
      <c r="H721" s="28"/>
      <c r="I721" s="25" t="str">
        <f>IF(表1[[#This Row],[Tgl NPBG]]&gt;表1[[#This Row],[Peminta]],表1[[#This Row],[Tgl NPBG]]-表1[[#This Row],[Peminta]],"")</f>
        <v/>
      </c>
      <c r="J721" s="31"/>
    </row>
    <row r="722" s="12" customFormat="1" customHeight="1" spans="2:10">
      <c r="B722" s="25"/>
      <c r="C722" s="25"/>
      <c r="D722" s="26" t="str" cm="1">
        <f t="array" ref="D722">IF(C722="","",IFERROR(INDEX(STPP!$D$6:$D$4207,MATCH(C722,STPP!$C$6:$C$4207,0)),"Not Found"))</f>
        <v/>
      </c>
      <c r="E722" s="27" t="str" cm="1">
        <f t="array" ref="E722">IF(C722="","",IFERROR(INDEX(STPP!$E$6:$E$4207,MATCH(C722,STPP!$C$6:$C$4207,0)),"Not Found"))</f>
        <v/>
      </c>
      <c r="F722" s="27" t="str" cm="1">
        <f t="array" ref="F722">IF(C722="","",IFERROR(INDEX(STPP!$F$6:$F$4207,MATCH(C722,STPP!$C$6:$C$4207,0)),"Not Found"))</f>
        <v/>
      </c>
      <c r="G722" s="25" t="str">
        <f>IF(表1[[#This Row],[No Seri]]="","",表1[[#This Row],[Deskripsi Barang]]+表1[[#This Row],[Kuantitas]]-表1[[#This Row],[Satuan]])</f>
        <v/>
      </c>
      <c r="H722" s="28"/>
      <c r="I722" s="25" t="str">
        <f>IF(表1[[#This Row],[Tgl NPBG]]&gt;表1[[#This Row],[Peminta]],表1[[#This Row],[Tgl NPBG]]-表1[[#This Row],[Peminta]],"")</f>
        <v/>
      </c>
      <c r="J722" s="31"/>
    </row>
    <row r="723" s="12" customFormat="1" customHeight="1" spans="2:10">
      <c r="B723" s="25"/>
      <c r="C723" s="25"/>
      <c r="D723" s="26" t="str" cm="1">
        <f t="array" ref="D723">IF(C723="","",IFERROR(INDEX(STPP!$D$6:$D$4207,MATCH(C723,STPP!$C$6:$C$4207,0)),"Not Found"))</f>
        <v/>
      </c>
      <c r="E723" s="27" t="str" cm="1">
        <f t="array" ref="E723">IF(C723="","",IFERROR(INDEX(STPP!$E$6:$E$4207,MATCH(C723,STPP!$C$6:$C$4207,0)),"Not Found"))</f>
        <v/>
      </c>
      <c r="F723" s="27" t="str" cm="1">
        <f t="array" ref="F723">IF(C723="","",IFERROR(INDEX(STPP!$F$6:$F$4207,MATCH(C723,STPP!$C$6:$C$4207,0)),"Not Found"))</f>
        <v/>
      </c>
      <c r="G723" s="25" t="str">
        <f>IF(表1[[#This Row],[No Seri]]="","",表1[[#This Row],[Deskripsi Barang]]+表1[[#This Row],[Kuantitas]]-表1[[#This Row],[Satuan]])</f>
        <v/>
      </c>
      <c r="H723" s="28"/>
      <c r="I723" s="25" t="str">
        <f>IF(表1[[#This Row],[Tgl NPBG]]&gt;表1[[#This Row],[Peminta]],表1[[#This Row],[Tgl NPBG]]-表1[[#This Row],[Peminta]],"")</f>
        <v/>
      </c>
      <c r="J723" s="31"/>
    </row>
    <row r="724" s="12" customFormat="1" customHeight="1" spans="2:10">
      <c r="B724" s="25"/>
      <c r="C724" s="25"/>
      <c r="D724" s="26" t="str" cm="1">
        <f t="array" ref="D724">IF(C724="","",IFERROR(INDEX(STPP!$D$6:$D$4207,MATCH(C724,STPP!$C$6:$C$4207,0)),"Not Found"))</f>
        <v/>
      </c>
      <c r="E724" s="27" t="str" cm="1">
        <f t="array" ref="E724">IF(C724="","",IFERROR(INDEX(STPP!$E$6:$E$4207,MATCH(C724,STPP!$C$6:$C$4207,0)),"Not Found"))</f>
        <v/>
      </c>
      <c r="F724" s="27" t="str" cm="1">
        <f t="array" ref="F724">IF(C724="","",IFERROR(INDEX(STPP!$F$6:$F$4207,MATCH(C724,STPP!$C$6:$C$4207,0)),"Not Found"))</f>
        <v/>
      </c>
      <c r="G724" s="25" t="str">
        <f>IF(表1[[#This Row],[No Seri]]="","",表1[[#This Row],[Deskripsi Barang]]+表1[[#This Row],[Kuantitas]]-表1[[#This Row],[Satuan]])</f>
        <v/>
      </c>
      <c r="H724" s="28"/>
      <c r="I724" s="25" t="str">
        <f>IF(表1[[#This Row],[Tgl NPBG]]&gt;表1[[#This Row],[Peminta]],表1[[#This Row],[Tgl NPBG]]-表1[[#This Row],[Peminta]],"")</f>
        <v/>
      </c>
      <c r="J724" s="31"/>
    </row>
    <row r="725" s="12" customFormat="1" customHeight="1" spans="2:10">
      <c r="B725" s="25"/>
      <c r="C725" s="25"/>
      <c r="D725" s="26" t="str" cm="1">
        <f t="array" ref="D725">IF(C725="","",IFERROR(INDEX(STPP!$D$6:$D$4207,MATCH(C725,STPP!$C$6:$C$4207,0)),"Not Found"))</f>
        <v/>
      </c>
      <c r="E725" s="27" t="str" cm="1">
        <f t="array" ref="E725">IF(C725="","",IFERROR(INDEX(STPP!$E$6:$E$4207,MATCH(C725,STPP!$C$6:$C$4207,0)),"Not Found"))</f>
        <v/>
      </c>
      <c r="F725" s="27" t="str" cm="1">
        <f t="array" ref="F725">IF(C725="","",IFERROR(INDEX(STPP!$F$6:$F$4207,MATCH(C725,STPP!$C$6:$C$4207,0)),"Not Found"))</f>
        <v/>
      </c>
      <c r="G725" s="25" t="str">
        <f>IF(表1[[#This Row],[No Seri]]="","",表1[[#This Row],[Deskripsi Barang]]+表1[[#This Row],[Kuantitas]]-表1[[#This Row],[Satuan]])</f>
        <v/>
      </c>
      <c r="H725" s="28"/>
      <c r="I725" s="25" t="str">
        <f>IF(表1[[#This Row],[Tgl NPBG]]&gt;表1[[#This Row],[Peminta]],表1[[#This Row],[Tgl NPBG]]-表1[[#This Row],[Peminta]],"")</f>
        <v/>
      </c>
      <c r="J725" s="31"/>
    </row>
    <row r="726" s="12" customFormat="1" customHeight="1" spans="2:10">
      <c r="B726" s="25"/>
      <c r="C726" s="25"/>
      <c r="D726" s="26" t="str" cm="1">
        <f t="array" ref="D726">IF(C726="","",IFERROR(INDEX(STPP!$D$6:$D$4207,MATCH(C726,STPP!$C$6:$C$4207,0)),"Not Found"))</f>
        <v/>
      </c>
      <c r="E726" s="27" t="str" cm="1">
        <f t="array" ref="E726">IF(C726="","",IFERROR(INDEX(STPP!$E$6:$E$4207,MATCH(C726,STPP!$C$6:$C$4207,0)),"Not Found"))</f>
        <v/>
      </c>
      <c r="F726" s="27" t="str" cm="1">
        <f t="array" ref="F726">IF(C726="","",IFERROR(INDEX(STPP!$F$6:$F$4207,MATCH(C726,STPP!$C$6:$C$4207,0)),"Not Found"))</f>
        <v/>
      </c>
      <c r="G726" s="25" t="str">
        <f>IF(表1[[#This Row],[No Seri]]="","",表1[[#This Row],[Deskripsi Barang]]+表1[[#This Row],[Kuantitas]]-表1[[#This Row],[Satuan]])</f>
        <v/>
      </c>
      <c r="H726" s="28"/>
      <c r="I726" s="25" t="str">
        <f>IF(表1[[#This Row],[Tgl NPBG]]&gt;表1[[#This Row],[Peminta]],表1[[#This Row],[Tgl NPBG]]-表1[[#This Row],[Peminta]],"")</f>
        <v/>
      </c>
      <c r="J726" s="31"/>
    </row>
    <row r="727" s="12" customFormat="1" customHeight="1" spans="2:10">
      <c r="B727" s="25"/>
      <c r="C727" s="25"/>
      <c r="D727" s="26" t="str" cm="1">
        <f t="array" ref="D727">IF(C727="","",IFERROR(INDEX(STPP!$D$6:$D$4207,MATCH(C727,STPP!$C$6:$C$4207,0)),"Not Found"))</f>
        <v/>
      </c>
      <c r="E727" s="27" t="str" cm="1">
        <f t="array" ref="E727">IF(C727="","",IFERROR(INDEX(STPP!$E$6:$E$4207,MATCH(C727,STPP!$C$6:$C$4207,0)),"Not Found"))</f>
        <v/>
      </c>
      <c r="F727" s="27" t="str" cm="1">
        <f t="array" ref="F727">IF(C727="","",IFERROR(INDEX(STPP!$F$6:$F$4207,MATCH(C727,STPP!$C$6:$C$4207,0)),"Not Found"))</f>
        <v/>
      </c>
      <c r="G727" s="25" t="str">
        <f>IF(表1[[#This Row],[No Seri]]="","",表1[[#This Row],[Deskripsi Barang]]+表1[[#This Row],[Kuantitas]]-表1[[#This Row],[Satuan]])</f>
        <v/>
      </c>
      <c r="H727" s="28"/>
      <c r="I727" s="25" t="str">
        <f>IF(表1[[#This Row],[Tgl NPBG]]&gt;表1[[#This Row],[Peminta]],表1[[#This Row],[Tgl NPBG]]-表1[[#This Row],[Peminta]],"")</f>
        <v/>
      </c>
      <c r="J727" s="31"/>
    </row>
    <row r="728" s="12" customFormat="1" customHeight="1" spans="2:10">
      <c r="B728" s="25"/>
      <c r="C728" s="25"/>
      <c r="D728" s="26" t="str" cm="1">
        <f t="array" ref="D728">IF(C728="","",IFERROR(INDEX(STPP!$D$6:$D$4207,MATCH(C728,STPP!$C$6:$C$4207,0)),"Not Found"))</f>
        <v/>
      </c>
      <c r="E728" s="27" t="str" cm="1">
        <f t="array" ref="E728">IF(C728="","",IFERROR(INDEX(STPP!$E$6:$E$4207,MATCH(C728,STPP!$C$6:$C$4207,0)),"Not Found"))</f>
        <v/>
      </c>
      <c r="F728" s="27" t="str" cm="1">
        <f t="array" ref="F728">IF(C728="","",IFERROR(INDEX(STPP!$F$6:$F$4207,MATCH(C728,STPP!$C$6:$C$4207,0)),"Not Found"))</f>
        <v/>
      </c>
      <c r="G728" s="25" t="str">
        <f>IF(表1[[#This Row],[No Seri]]="","",表1[[#This Row],[Deskripsi Barang]]+表1[[#This Row],[Kuantitas]]-表1[[#This Row],[Satuan]])</f>
        <v/>
      </c>
      <c r="H728" s="28"/>
      <c r="I728" s="25" t="str">
        <f>IF(表1[[#This Row],[Tgl NPBG]]&gt;表1[[#This Row],[Peminta]],表1[[#This Row],[Tgl NPBG]]-表1[[#This Row],[Peminta]],"")</f>
        <v/>
      </c>
      <c r="J728" s="31"/>
    </row>
    <row r="729" s="12" customFormat="1" customHeight="1" spans="2:10">
      <c r="B729" s="25"/>
      <c r="C729" s="25"/>
      <c r="D729" s="26" t="str" cm="1">
        <f t="array" ref="D729">IF(C729="","",IFERROR(INDEX(STPP!$D$6:$D$4207,MATCH(C729,STPP!$C$6:$C$4207,0)),"Not Found"))</f>
        <v/>
      </c>
      <c r="E729" s="27" t="str" cm="1">
        <f t="array" ref="E729">IF(C729="","",IFERROR(INDEX(STPP!$E$6:$E$4207,MATCH(C729,STPP!$C$6:$C$4207,0)),"Not Found"))</f>
        <v/>
      </c>
      <c r="F729" s="27" t="str" cm="1">
        <f t="array" ref="F729">IF(C729="","",IFERROR(INDEX(STPP!$F$6:$F$4207,MATCH(C729,STPP!$C$6:$C$4207,0)),"Not Found"))</f>
        <v/>
      </c>
      <c r="G729" s="25" t="str">
        <f>IF(表1[[#This Row],[No Seri]]="","",表1[[#This Row],[Deskripsi Barang]]+表1[[#This Row],[Kuantitas]]-表1[[#This Row],[Satuan]])</f>
        <v/>
      </c>
      <c r="H729" s="28"/>
      <c r="I729" s="25" t="str">
        <f>IF(表1[[#This Row],[Tgl NPBG]]&gt;表1[[#This Row],[Peminta]],表1[[#This Row],[Tgl NPBG]]-表1[[#This Row],[Peminta]],"")</f>
        <v/>
      </c>
      <c r="J729" s="31"/>
    </row>
    <row r="730" s="12" customFormat="1" customHeight="1" spans="2:10">
      <c r="B730" s="25"/>
      <c r="C730" s="25"/>
      <c r="D730" s="26" t="str" cm="1">
        <f t="array" ref="D730">IF(C730="","",IFERROR(INDEX(STPP!$D$6:$D$4207,MATCH(C730,STPP!$C$6:$C$4207,0)),"Not Found"))</f>
        <v/>
      </c>
      <c r="E730" s="27" t="str" cm="1">
        <f t="array" ref="E730">IF(C730="","",IFERROR(INDEX(STPP!$E$6:$E$4207,MATCH(C730,STPP!$C$6:$C$4207,0)),"Not Found"))</f>
        <v/>
      </c>
      <c r="F730" s="27" t="str" cm="1">
        <f t="array" ref="F730">IF(C730="","",IFERROR(INDEX(STPP!$F$6:$F$4207,MATCH(C730,STPP!$C$6:$C$4207,0)),"Not Found"))</f>
        <v/>
      </c>
      <c r="G730" s="25" t="str">
        <f>IF(表1[[#This Row],[No Seri]]="","",表1[[#This Row],[Deskripsi Barang]]+表1[[#This Row],[Kuantitas]]-表1[[#This Row],[Satuan]])</f>
        <v/>
      </c>
      <c r="H730" s="28"/>
      <c r="I730" s="25" t="str">
        <f>IF(表1[[#This Row],[Tgl NPBG]]&gt;表1[[#This Row],[Peminta]],表1[[#This Row],[Tgl NPBG]]-表1[[#This Row],[Peminta]],"")</f>
        <v/>
      </c>
      <c r="J730" s="31"/>
    </row>
    <row r="731" s="12" customFormat="1" customHeight="1" spans="2:10">
      <c r="B731" s="25"/>
      <c r="C731" s="25"/>
      <c r="D731" s="26" t="str" cm="1">
        <f t="array" ref="D731">IF(C731="","",IFERROR(INDEX(STPP!$D$6:$D$4207,MATCH(C731,STPP!$C$6:$C$4207,0)),"Not Found"))</f>
        <v/>
      </c>
      <c r="E731" s="27" t="str" cm="1">
        <f t="array" ref="E731">IF(C731="","",IFERROR(INDEX(STPP!$E$6:$E$4207,MATCH(C731,STPP!$C$6:$C$4207,0)),"Not Found"))</f>
        <v/>
      </c>
      <c r="F731" s="27" t="str" cm="1">
        <f t="array" ref="F731">IF(C731="","",IFERROR(INDEX(STPP!$F$6:$F$4207,MATCH(C731,STPP!$C$6:$C$4207,0)),"Not Found"))</f>
        <v/>
      </c>
      <c r="G731" s="25" t="str">
        <f>IF(表1[[#This Row],[No Seri]]="","",表1[[#This Row],[Deskripsi Barang]]+表1[[#This Row],[Kuantitas]]-表1[[#This Row],[Satuan]])</f>
        <v/>
      </c>
      <c r="H731" s="28"/>
      <c r="I731" s="25" t="str">
        <f>IF(表1[[#This Row],[Tgl NPBG]]&gt;表1[[#This Row],[Peminta]],表1[[#This Row],[Tgl NPBG]]-表1[[#This Row],[Peminta]],"")</f>
        <v/>
      </c>
      <c r="J731" s="31"/>
    </row>
    <row r="732" s="12" customFormat="1" customHeight="1" spans="2:10">
      <c r="B732" s="25"/>
      <c r="C732" s="25"/>
      <c r="D732" s="26" t="str" cm="1">
        <f t="array" ref="D732">IF(C732="","",IFERROR(INDEX(STPP!$D$6:$D$4207,MATCH(C732,STPP!$C$6:$C$4207,0)),"Not Found"))</f>
        <v/>
      </c>
      <c r="E732" s="27" t="str" cm="1">
        <f t="array" ref="E732">IF(C732="","",IFERROR(INDEX(STPP!$E$6:$E$4207,MATCH(C732,STPP!$C$6:$C$4207,0)),"Not Found"))</f>
        <v/>
      </c>
      <c r="F732" s="27" t="str" cm="1">
        <f t="array" ref="F732">IF(C732="","",IFERROR(INDEX(STPP!$F$6:$F$4207,MATCH(C732,STPP!$C$6:$C$4207,0)),"Not Found"))</f>
        <v/>
      </c>
      <c r="G732" s="25" t="str">
        <f>IF(表1[[#This Row],[No Seri]]="","",表1[[#This Row],[Deskripsi Barang]]+表1[[#This Row],[Kuantitas]]-表1[[#This Row],[Satuan]])</f>
        <v/>
      </c>
      <c r="H732" s="28"/>
      <c r="I732" s="25" t="str">
        <f>IF(表1[[#This Row],[Tgl NPBG]]&gt;表1[[#This Row],[Peminta]],表1[[#This Row],[Tgl NPBG]]-表1[[#This Row],[Peminta]],"")</f>
        <v/>
      </c>
      <c r="J732" s="31"/>
    </row>
    <row r="733" s="12" customFormat="1" customHeight="1" spans="2:10">
      <c r="B733" s="25"/>
      <c r="C733" s="25"/>
      <c r="D733" s="26" t="str" cm="1">
        <f t="array" ref="D733">IF(C733="","",IFERROR(INDEX(STPP!$D$6:$D$4207,MATCH(C733,STPP!$C$6:$C$4207,0)),"Not Found"))</f>
        <v/>
      </c>
      <c r="E733" s="27" t="str" cm="1">
        <f t="array" ref="E733">IF(C733="","",IFERROR(INDEX(STPP!$E$6:$E$4207,MATCH(C733,STPP!$C$6:$C$4207,0)),"Not Found"))</f>
        <v/>
      </c>
      <c r="F733" s="27" t="str" cm="1">
        <f t="array" ref="F733">IF(C733="","",IFERROR(INDEX(STPP!$F$6:$F$4207,MATCH(C733,STPP!$C$6:$C$4207,0)),"Not Found"))</f>
        <v/>
      </c>
      <c r="G733" s="25" t="str">
        <f>IF(表1[[#This Row],[No Seri]]="","",表1[[#This Row],[Deskripsi Barang]]+表1[[#This Row],[Kuantitas]]-表1[[#This Row],[Satuan]])</f>
        <v/>
      </c>
      <c r="H733" s="28"/>
      <c r="I733" s="25" t="str">
        <f>IF(表1[[#This Row],[Tgl NPBG]]&gt;表1[[#This Row],[Peminta]],表1[[#This Row],[Tgl NPBG]]-表1[[#This Row],[Peminta]],"")</f>
        <v/>
      </c>
      <c r="J733" s="31"/>
    </row>
    <row r="734" s="12" customFormat="1" customHeight="1" spans="2:10">
      <c r="B734" s="25"/>
      <c r="C734" s="25"/>
      <c r="D734" s="26" t="str" cm="1">
        <f t="array" ref="D734">IF(C734="","",IFERROR(INDEX(STPP!$D$6:$D$4207,MATCH(C734,STPP!$C$6:$C$4207,0)),"Not Found"))</f>
        <v/>
      </c>
      <c r="E734" s="27" t="str" cm="1">
        <f t="array" ref="E734">IF(C734="","",IFERROR(INDEX(STPP!$E$6:$E$4207,MATCH(C734,STPP!$C$6:$C$4207,0)),"Not Found"))</f>
        <v/>
      </c>
      <c r="F734" s="27" t="str" cm="1">
        <f t="array" ref="F734">IF(C734="","",IFERROR(INDEX(STPP!$F$6:$F$4207,MATCH(C734,STPP!$C$6:$C$4207,0)),"Not Found"))</f>
        <v/>
      </c>
      <c r="G734" s="25" t="str">
        <f>IF(表1[[#This Row],[No Seri]]="","",表1[[#This Row],[Deskripsi Barang]]+表1[[#This Row],[Kuantitas]]-表1[[#This Row],[Satuan]])</f>
        <v/>
      </c>
      <c r="H734" s="28"/>
      <c r="I734" s="25" t="str">
        <f>IF(表1[[#This Row],[Tgl NPBG]]&gt;表1[[#This Row],[Peminta]],表1[[#This Row],[Tgl NPBG]]-表1[[#This Row],[Peminta]],"")</f>
        <v/>
      </c>
      <c r="J734" s="31"/>
    </row>
    <row r="735" s="12" customFormat="1" customHeight="1" spans="2:10">
      <c r="B735" s="25"/>
      <c r="C735" s="25"/>
      <c r="D735" s="26" t="str" cm="1">
        <f t="array" ref="D735">IF(C735="","",IFERROR(INDEX(STPP!$D$6:$D$4207,MATCH(C735,STPP!$C$6:$C$4207,0)),"Not Found"))</f>
        <v/>
      </c>
      <c r="E735" s="27" t="str" cm="1">
        <f t="array" ref="E735">IF(C735="","",IFERROR(INDEX(STPP!$E$6:$E$4207,MATCH(C735,STPP!$C$6:$C$4207,0)),"Not Found"))</f>
        <v/>
      </c>
      <c r="F735" s="27" t="str" cm="1">
        <f t="array" ref="F735">IF(C735="","",IFERROR(INDEX(STPP!$F$6:$F$4207,MATCH(C735,STPP!$C$6:$C$4207,0)),"Not Found"))</f>
        <v/>
      </c>
      <c r="G735" s="25" t="str">
        <f>IF(表1[[#This Row],[No Seri]]="","",表1[[#This Row],[Deskripsi Barang]]+表1[[#This Row],[Kuantitas]]-表1[[#This Row],[Satuan]])</f>
        <v/>
      </c>
      <c r="H735" s="28"/>
      <c r="I735" s="25" t="str">
        <f>IF(表1[[#This Row],[Tgl NPBG]]&gt;表1[[#This Row],[Peminta]],表1[[#This Row],[Tgl NPBG]]-表1[[#This Row],[Peminta]],"")</f>
        <v/>
      </c>
      <c r="J735" s="31"/>
    </row>
    <row r="736" s="12" customFormat="1" customHeight="1" spans="2:10">
      <c r="B736" s="25"/>
      <c r="C736" s="25"/>
      <c r="D736" s="26" t="str" cm="1">
        <f t="array" ref="D736">IF(C736="","",IFERROR(INDEX(STPP!$D$6:$D$4207,MATCH(C736,STPP!$C$6:$C$4207,0)),"Not Found"))</f>
        <v/>
      </c>
      <c r="E736" s="27" t="str" cm="1">
        <f t="array" ref="E736">IF(C736="","",IFERROR(INDEX(STPP!$E$6:$E$4207,MATCH(C736,STPP!$C$6:$C$4207,0)),"Not Found"))</f>
        <v/>
      </c>
      <c r="F736" s="27" t="str" cm="1">
        <f t="array" ref="F736">IF(C736="","",IFERROR(INDEX(STPP!$F$6:$F$4207,MATCH(C736,STPP!$C$6:$C$4207,0)),"Not Found"))</f>
        <v/>
      </c>
      <c r="G736" s="25" t="str">
        <f>IF(表1[[#This Row],[No Seri]]="","",表1[[#This Row],[Deskripsi Barang]]+表1[[#This Row],[Kuantitas]]-表1[[#This Row],[Satuan]])</f>
        <v/>
      </c>
      <c r="H736" s="28"/>
      <c r="I736" s="25" t="str">
        <f>IF(表1[[#This Row],[Tgl NPBG]]&gt;表1[[#This Row],[Peminta]],表1[[#This Row],[Tgl NPBG]]-表1[[#This Row],[Peminta]],"")</f>
        <v/>
      </c>
      <c r="J736" s="31"/>
    </row>
    <row r="737" s="12" customFormat="1" customHeight="1" spans="2:10">
      <c r="B737" s="25"/>
      <c r="C737" s="25"/>
      <c r="D737" s="26" t="str" cm="1">
        <f t="array" ref="D737">IF(C737="","",IFERROR(INDEX(STPP!$D$6:$D$4207,MATCH(C737,STPP!$C$6:$C$4207,0)),"Not Found"))</f>
        <v/>
      </c>
      <c r="E737" s="27" t="str" cm="1">
        <f t="array" ref="E737">IF(C737="","",IFERROR(INDEX(STPP!$E$6:$E$4207,MATCH(C737,STPP!$C$6:$C$4207,0)),"Not Found"))</f>
        <v/>
      </c>
      <c r="F737" s="27" t="str" cm="1">
        <f t="array" ref="F737">IF(C737="","",IFERROR(INDEX(STPP!$F$6:$F$4207,MATCH(C737,STPP!$C$6:$C$4207,0)),"Not Found"))</f>
        <v/>
      </c>
      <c r="G737" s="25" t="str">
        <f>IF(表1[[#This Row],[No Seri]]="","",表1[[#This Row],[Deskripsi Barang]]+表1[[#This Row],[Kuantitas]]-表1[[#This Row],[Satuan]])</f>
        <v/>
      </c>
      <c r="H737" s="28"/>
      <c r="I737" s="25" t="str">
        <f>IF(表1[[#This Row],[Tgl NPBG]]&gt;表1[[#This Row],[Peminta]],表1[[#This Row],[Tgl NPBG]]-表1[[#This Row],[Peminta]],"")</f>
        <v/>
      </c>
      <c r="J737" s="31"/>
    </row>
    <row r="738" s="12" customFormat="1" customHeight="1" spans="2:10">
      <c r="B738" s="25"/>
      <c r="C738" s="25"/>
      <c r="D738" s="26" t="str" cm="1">
        <f t="array" ref="D738">IF(C738="","",IFERROR(INDEX(STPP!$D$6:$D$4207,MATCH(C738,STPP!$C$6:$C$4207,0)),"Not Found"))</f>
        <v/>
      </c>
      <c r="E738" s="27" t="str" cm="1">
        <f t="array" ref="E738">IF(C738="","",IFERROR(INDEX(STPP!$E$6:$E$4207,MATCH(C738,STPP!$C$6:$C$4207,0)),"Not Found"))</f>
        <v/>
      </c>
      <c r="F738" s="27" t="str" cm="1">
        <f t="array" ref="F738">IF(C738="","",IFERROR(INDEX(STPP!$F$6:$F$4207,MATCH(C738,STPP!$C$6:$C$4207,0)),"Not Found"))</f>
        <v/>
      </c>
      <c r="G738" s="25" t="str">
        <f>IF(表1[[#This Row],[No Seri]]="","",表1[[#This Row],[Deskripsi Barang]]+表1[[#This Row],[Kuantitas]]-表1[[#This Row],[Satuan]])</f>
        <v/>
      </c>
      <c r="H738" s="28"/>
      <c r="I738" s="25" t="str">
        <f>IF(表1[[#This Row],[Tgl NPBG]]&gt;表1[[#This Row],[Peminta]],表1[[#This Row],[Tgl NPBG]]-表1[[#This Row],[Peminta]],"")</f>
        <v/>
      </c>
      <c r="J738" s="31"/>
    </row>
    <row r="739" s="12" customFormat="1" customHeight="1" spans="2:10">
      <c r="B739" s="25"/>
      <c r="C739" s="25"/>
      <c r="D739" s="26" t="str" cm="1">
        <f t="array" ref="D739">IF(C739="","",IFERROR(INDEX(STPP!$D$6:$D$4207,MATCH(C739,STPP!$C$6:$C$4207,0)),"Not Found"))</f>
        <v/>
      </c>
      <c r="E739" s="27" t="str" cm="1">
        <f t="array" ref="E739">IF(C739="","",IFERROR(INDEX(STPP!$E$6:$E$4207,MATCH(C739,STPP!$C$6:$C$4207,0)),"Not Found"))</f>
        <v/>
      </c>
      <c r="F739" s="27" t="str" cm="1">
        <f t="array" ref="F739">IF(C739="","",IFERROR(INDEX(STPP!$F$6:$F$4207,MATCH(C739,STPP!$C$6:$C$4207,0)),"Not Found"))</f>
        <v/>
      </c>
      <c r="G739" s="25" t="str">
        <f>IF(表1[[#This Row],[No Seri]]="","",表1[[#This Row],[Deskripsi Barang]]+表1[[#This Row],[Kuantitas]]-表1[[#This Row],[Satuan]])</f>
        <v/>
      </c>
      <c r="H739" s="28"/>
      <c r="I739" s="25" t="str">
        <f>IF(表1[[#This Row],[Tgl NPBG]]&gt;表1[[#This Row],[Peminta]],表1[[#This Row],[Tgl NPBG]]-表1[[#This Row],[Peminta]],"")</f>
        <v/>
      </c>
      <c r="J739" s="31"/>
    </row>
    <row r="740" s="12" customFormat="1" customHeight="1" spans="2:10">
      <c r="B740" s="25"/>
      <c r="C740" s="25"/>
      <c r="D740" s="26" t="str" cm="1">
        <f t="array" ref="D740">IF(C740="","",IFERROR(INDEX(STPP!$D$6:$D$4207,MATCH(C740,STPP!$C$6:$C$4207,0)),"Not Found"))</f>
        <v/>
      </c>
      <c r="E740" s="27" t="str" cm="1">
        <f t="array" ref="E740">IF(C740="","",IFERROR(INDEX(STPP!$E$6:$E$4207,MATCH(C740,STPP!$C$6:$C$4207,0)),"Not Found"))</f>
        <v/>
      </c>
      <c r="F740" s="27" t="str" cm="1">
        <f t="array" ref="F740">IF(C740="","",IFERROR(INDEX(STPP!$F$6:$F$4207,MATCH(C740,STPP!$C$6:$C$4207,0)),"Not Found"))</f>
        <v/>
      </c>
      <c r="G740" s="25" t="str">
        <f>IF(表1[[#This Row],[No Seri]]="","",表1[[#This Row],[Deskripsi Barang]]+表1[[#This Row],[Kuantitas]]-表1[[#This Row],[Satuan]])</f>
        <v/>
      </c>
      <c r="H740" s="28"/>
      <c r="I740" s="25" t="str">
        <f>IF(表1[[#This Row],[Tgl NPBG]]&gt;表1[[#This Row],[Peminta]],表1[[#This Row],[Tgl NPBG]]-表1[[#This Row],[Peminta]],"")</f>
        <v/>
      </c>
      <c r="J740" s="31"/>
    </row>
    <row r="741" s="12" customFormat="1" customHeight="1" spans="2:10">
      <c r="B741" s="25"/>
      <c r="C741" s="25"/>
      <c r="D741" s="26" t="str" cm="1">
        <f t="array" ref="D741">IF(C741="","",IFERROR(INDEX(STPP!$D$6:$D$4207,MATCH(C741,STPP!$C$6:$C$4207,0)),"Not Found"))</f>
        <v/>
      </c>
      <c r="E741" s="27" t="str" cm="1">
        <f t="array" ref="E741">IF(C741="","",IFERROR(INDEX(STPP!$E$6:$E$4207,MATCH(C741,STPP!$C$6:$C$4207,0)),"Not Found"))</f>
        <v/>
      </c>
      <c r="F741" s="27" t="str" cm="1">
        <f t="array" ref="F741">IF(C741="","",IFERROR(INDEX(STPP!$F$6:$F$4207,MATCH(C741,STPP!$C$6:$C$4207,0)),"Not Found"))</f>
        <v/>
      </c>
      <c r="G741" s="25" t="str">
        <f>IF(表1[[#This Row],[No Seri]]="","",表1[[#This Row],[Deskripsi Barang]]+表1[[#This Row],[Kuantitas]]-表1[[#This Row],[Satuan]])</f>
        <v/>
      </c>
      <c r="H741" s="28"/>
      <c r="I741" s="25" t="str">
        <f>IF(表1[[#This Row],[Tgl NPBG]]&gt;表1[[#This Row],[Peminta]],表1[[#This Row],[Tgl NPBG]]-表1[[#This Row],[Peminta]],"")</f>
        <v/>
      </c>
      <c r="J741" s="31"/>
    </row>
    <row r="742" s="12" customFormat="1" customHeight="1" spans="2:10">
      <c r="B742" s="25"/>
      <c r="C742" s="25"/>
      <c r="D742" s="26" t="str" cm="1">
        <f t="array" ref="D742">IF(C742="","",IFERROR(INDEX(STPP!$D$6:$D$4207,MATCH(C742,STPP!$C$6:$C$4207,0)),"Not Found"))</f>
        <v/>
      </c>
      <c r="E742" s="27" t="str" cm="1">
        <f t="array" ref="E742">IF(C742="","",IFERROR(INDEX(STPP!$E$6:$E$4207,MATCH(C742,STPP!$C$6:$C$4207,0)),"Not Found"))</f>
        <v/>
      </c>
      <c r="F742" s="27" t="str" cm="1">
        <f t="array" ref="F742">IF(C742="","",IFERROR(INDEX(STPP!$F$6:$F$4207,MATCH(C742,STPP!$C$6:$C$4207,0)),"Not Found"))</f>
        <v/>
      </c>
      <c r="G742" s="25" t="str">
        <f>IF(表1[[#This Row],[No Seri]]="","",表1[[#This Row],[Deskripsi Barang]]+表1[[#This Row],[Kuantitas]]-表1[[#This Row],[Satuan]])</f>
        <v/>
      </c>
      <c r="H742" s="28"/>
      <c r="I742" s="25" t="str">
        <f>IF(表1[[#This Row],[Tgl NPBG]]&gt;表1[[#This Row],[Peminta]],表1[[#This Row],[Tgl NPBG]]-表1[[#This Row],[Peminta]],"")</f>
        <v/>
      </c>
      <c r="J742" s="31"/>
    </row>
    <row r="743" s="12" customFormat="1" customHeight="1" spans="2:10">
      <c r="B743" s="25"/>
      <c r="C743" s="25"/>
      <c r="D743" s="26" t="str" cm="1">
        <f t="array" ref="D743">IF(C743="","",IFERROR(INDEX(STPP!$D$6:$D$4207,MATCH(C743,STPP!$C$6:$C$4207,0)),"Not Found"))</f>
        <v/>
      </c>
      <c r="E743" s="27" t="str" cm="1">
        <f t="array" ref="E743">IF(C743="","",IFERROR(INDEX(STPP!$E$6:$E$4207,MATCH(C743,STPP!$C$6:$C$4207,0)),"Not Found"))</f>
        <v/>
      </c>
      <c r="F743" s="27" t="str" cm="1">
        <f t="array" ref="F743">IF(C743="","",IFERROR(INDEX(STPP!$F$6:$F$4207,MATCH(C743,STPP!$C$6:$C$4207,0)),"Not Found"))</f>
        <v/>
      </c>
      <c r="G743" s="25" t="str">
        <f>IF(表1[[#This Row],[No Seri]]="","",表1[[#This Row],[Deskripsi Barang]]+表1[[#This Row],[Kuantitas]]-表1[[#This Row],[Satuan]])</f>
        <v/>
      </c>
      <c r="H743" s="28"/>
      <c r="I743" s="25" t="str">
        <f>IF(表1[[#This Row],[Tgl NPBG]]&gt;表1[[#This Row],[Peminta]],表1[[#This Row],[Tgl NPBG]]-表1[[#This Row],[Peminta]],"")</f>
        <v/>
      </c>
      <c r="J743" s="31"/>
    </row>
    <row r="744" s="12" customFormat="1" customHeight="1" spans="2:10">
      <c r="B744" s="25"/>
      <c r="C744" s="25"/>
      <c r="D744" s="26" t="str" cm="1">
        <f t="array" ref="D744">IF(C744="","",IFERROR(INDEX(STPP!$D$6:$D$4207,MATCH(C744,STPP!$C$6:$C$4207,0)),"Not Found"))</f>
        <v/>
      </c>
      <c r="E744" s="27" t="str" cm="1">
        <f t="array" ref="E744">IF(C744="","",IFERROR(INDEX(STPP!$E$6:$E$4207,MATCH(C744,STPP!$C$6:$C$4207,0)),"Not Found"))</f>
        <v/>
      </c>
      <c r="F744" s="27" t="str" cm="1">
        <f t="array" ref="F744">IF(C744="","",IFERROR(INDEX(STPP!$F$6:$F$4207,MATCH(C744,STPP!$C$6:$C$4207,0)),"Not Found"))</f>
        <v/>
      </c>
      <c r="G744" s="25" t="str">
        <f>IF(表1[[#This Row],[No Seri]]="","",表1[[#This Row],[Deskripsi Barang]]+表1[[#This Row],[Kuantitas]]-表1[[#This Row],[Satuan]])</f>
        <v/>
      </c>
      <c r="H744" s="28"/>
      <c r="I744" s="25" t="str">
        <f>IF(表1[[#This Row],[Tgl NPBG]]&gt;表1[[#This Row],[Peminta]],表1[[#This Row],[Tgl NPBG]]-表1[[#This Row],[Peminta]],"")</f>
        <v/>
      </c>
      <c r="J744" s="31"/>
    </row>
    <row r="745" s="12" customFormat="1" customHeight="1" spans="2:10">
      <c r="B745" s="25"/>
      <c r="C745" s="25"/>
      <c r="D745" s="26" t="str" cm="1">
        <f t="array" ref="D745">IF(C745="","",IFERROR(INDEX(STPP!$D$6:$D$4207,MATCH(C745,STPP!$C$6:$C$4207,0)),"Not Found"))</f>
        <v/>
      </c>
      <c r="E745" s="27" t="str" cm="1">
        <f t="array" ref="E745">IF(C745="","",IFERROR(INDEX(STPP!$E$6:$E$4207,MATCH(C745,STPP!$C$6:$C$4207,0)),"Not Found"))</f>
        <v/>
      </c>
      <c r="F745" s="27" t="str" cm="1">
        <f t="array" ref="F745">IF(C745="","",IFERROR(INDEX(STPP!$F$6:$F$4207,MATCH(C745,STPP!$C$6:$C$4207,0)),"Not Found"))</f>
        <v/>
      </c>
      <c r="G745" s="25" t="str">
        <f>IF(表1[[#This Row],[No Seri]]="","",表1[[#This Row],[Deskripsi Barang]]+表1[[#This Row],[Kuantitas]]-表1[[#This Row],[Satuan]])</f>
        <v/>
      </c>
      <c r="H745" s="28"/>
      <c r="I745" s="25" t="str">
        <f>IF(表1[[#This Row],[Tgl NPBG]]&gt;表1[[#This Row],[Peminta]],表1[[#This Row],[Tgl NPBG]]-表1[[#This Row],[Peminta]],"")</f>
        <v/>
      </c>
      <c r="J745" s="31"/>
    </row>
    <row r="746" s="12" customFormat="1" customHeight="1" spans="2:10">
      <c r="B746" s="25"/>
      <c r="C746" s="25"/>
      <c r="D746" s="26" t="str" cm="1">
        <f t="array" ref="D746">IF(C746="","",IFERROR(INDEX(STPP!$D$6:$D$4207,MATCH(C746,STPP!$C$6:$C$4207,0)),"Not Found"))</f>
        <v/>
      </c>
      <c r="E746" s="27" t="str" cm="1">
        <f t="array" ref="E746">IF(C746="","",IFERROR(INDEX(STPP!$E$6:$E$4207,MATCH(C746,STPP!$C$6:$C$4207,0)),"Not Found"))</f>
        <v/>
      </c>
      <c r="F746" s="27" t="str" cm="1">
        <f t="array" ref="F746">IF(C746="","",IFERROR(INDEX(STPP!$F$6:$F$4207,MATCH(C746,STPP!$C$6:$C$4207,0)),"Not Found"))</f>
        <v/>
      </c>
      <c r="G746" s="25" t="str">
        <f>IF(表1[[#This Row],[No Seri]]="","",表1[[#This Row],[Deskripsi Barang]]+表1[[#This Row],[Kuantitas]]-表1[[#This Row],[Satuan]])</f>
        <v/>
      </c>
      <c r="H746" s="28"/>
      <c r="I746" s="25" t="str">
        <f>IF(表1[[#This Row],[Tgl NPBG]]&gt;表1[[#This Row],[Peminta]],表1[[#This Row],[Tgl NPBG]]-表1[[#This Row],[Peminta]],"")</f>
        <v/>
      </c>
      <c r="J746" s="31"/>
    </row>
    <row r="747" s="12" customFormat="1" customHeight="1" spans="2:10">
      <c r="B747" s="25"/>
      <c r="C747" s="25"/>
      <c r="D747" s="26" t="str" cm="1">
        <f t="array" ref="D747">IF(C747="","",IFERROR(INDEX(STPP!$D$6:$D$4207,MATCH(C747,STPP!$C$6:$C$4207,0)),"Not Found"))</f>
        <v/>
      </c>
      <c r="E747" s="27" t="str" cm="1">
        <f t="array" ref="E747">IF(C747="","",IFERROR(INDEX(STPP!$E$6:$E$4207,MATCH(C747,STPP!$C$6:$C$4207,0)),"Not Found"))</f>
        <v/>
      </c>
      <c r="F747" s="27" t="str" cm="1">
        <f t="array" ref="F747">IF(C747="","",IFERROR(INDEX(STPP!$F$6:$F$4207,MATCH(C747,STPP!$C$6:$C$4207,0)),"Not Found"))</f>
        <v/>
      </c>
      <c r="G747" s="25" t="str">
        <f>IF(表1[[#This Row],[No Seri]]="","",表1[[#This Row],[Deskripsi Barang]]+表1[[#This Row],[Kuantitas]]-表1[[#This Row],[Satuan]])</f>
        <v/>
      </c>
      <c r="H747" s="28"/>
      <c r="I747" s="25" t="str">
        <f>IF(表1[[#This Row],[Tgl NPBG]]&gt;表1[[#This Row],[Peminta]],表1[[#This Row],[Tgl NPBG]]-表1[[#This Row],[Peminta]],"")</f>
        <v/>
      </c>
      <c r="J747" s="31"/>
    </row>
    <row r="748" s="12" customFormat="1" customHeight="1" spans="2:10">
      <c r="B748" s="25"/>
      <c r="C748" s="25"/>
      <c r="D748" s="26" t="str" cm="1">
        <f t="array" ref="D748">IF(C748="","",IFERROR(INDEX(STPP!$D$6:$D$4207,MATCH(C748,STPP!$C$6:$C$4207,0)),"Not Found"))</f>
        <v/>
      </c>
      <c r="E748" s="27" t="str" cm="1">
        <f t="array" ref="E748">IF(C748="","",IFERROR(INDEX(STPP!$E$6:$E$4207,MATCH(C748,STPP!$C$6:$C$4207,0)),"Not Found"))</f>
        <v/>
      </c>
      <c r="F748" s="27" t="str" cm="1">
        <f t="array" ref="F748">IF(C748="","",IFERROR(INDEX(STPP!$F$6:$F$4207,MATCH(C748,STPP!$C$6:$C$4207,0)),"Not Found"))</f>
        <v/>
      </c>
      <c r="G748" s="25" t="str">
        <f>IF(表1[[#This Row],[No Seri]]="","",表1[[#This Row],[Deskripsi Barang]]+表1[[#This Row],[Kuantitas]]-表1[[#This Row],[Satuan]])</f>
        <v/>
      </c>
      <c r="H748" s="28"/>
      <c r="I748" s="25" t="str">
        <f>IF(表1[[#This Row],[Tgl NPBG]]&gt;表1[[#This Row],[Peminta]],表1[[#This Row],[Tgl NPBG]]-表1[[#This Row],[Peminta]],"")</f>
        <v/>
      </c>
      <c r="J748" s="31"/>
    </row>
    <row r="749" s="12" customFormat="1" customHeight="1" spans="2:10">
      <c r="B749" s="25"/>
      <c r="C749" s="25"/>
      <c r="D749" s="26" t="str" cm="1">
        <f t="array" ref="D749">IF(C749="","",IFERROR(INDEX(STPP!$D$6:$D$4207,MATCH(C749,STPP!$C$6:$C$4207,0)),"Not Found"))</f>
        <v/>
      </c>
      <c r="E749" s="27" t="str" cm="1">
        <f t="array" ref="E749">IF(C749="","",IFERROR(INDEX(STPP!$E$6:$E$4207,MATCH(C749,STPP!$C$6:$C$4207,0)),"Not Found"))</f>
        <v/>
      </c>
      <c r="F749" s="27" t="str" cm="1">
        <f t="array" ref="F749">IF(C749="","",IFERROR(INDEX(STPP!$F$6:$F$4207,MATCH(C749,STPP!$C$6:$C$4207,0)),"Not Found"))</f>
        <v/>
      </c>
      <c r="G749" s="25" t="str">
        <f>IF(表1[[#This Row],[No Seri]]="","",表1[[#This Row],[Deskripsi Barang]]+表1[[#This Row],[Kuantitas]]-表1[[#This Row],[Satuan]])</f>
        <v/>
      </c>
      <c r="H749" s="28"/>
      <c r="I749" s="25" t="str">
        <f>IF(表1[[#This Row],[Tgl NPBG]]&gt;表1[[#This Row],[Peminta]],表1[[#This Row],[Tgl NPBG]]-表1[[#This Row],[Peminta]],"")</f>
        <v/>
      </c>
      <c r="J749" s="31"/>
    </row>
    <row r="750" s="12" customFormat="1" customHeight="1" spans="2:10">
      <c r="B750" s="25"/>
      <c r="C750" s="25"/>
      <c r="D750" s="26" t="str" cm="1">
        <f t="array" ref="D750">IF(C750="","",IFERROR(INDEX(STPP!$D$6:$D$4207,MATCH(C750,STPP!$C$6:$C$4207,0)),"Not Found"))</f>
        <v/>
      </c>
      <c r="E750" s="27" t="str" cm="1">
        <f t="array" ref="E750">IF(C750="","",IFERROR(INDEX(STPP!$E$6:$E$4207,MATCH(C750,STPP!$C$6:$C$4207,0)),"Not Found"))</f>
        <v/>
      </c>
      <c r="F750" s="27" t="str" cm="1">
        <f t="array" ref="F750">IF(C750="","",IFERROR(INDEX(STPP!$F$6:$F$4207,MATCH(C750,STPP!$C$6:$C$4207,0)),"Not Found"))</f>
        <v/>
      </c>
      <c r="G750" s="25" t="str">
        <f>IF(表1[[#This Row],[No Seri]]="","",表1[[#This Row],[Deskripsi Barang]]+表1[[#This Row],[Kuantitas]]-表1[[#This Row],[Satuan]])</f>
        <v/>
      </c>
      <c r="H750" s="28"/>
      <c r="I750" s="25" t="str">
        <f>IF(表1[[#This Row],[Tgl NPBG]]&gt;表1[[#This Row],[Peminta]],表1[[#This Row],[Tgl NPBG]]-表1[[#This Row],[Peminta]],"")</f>
        <v/>
      </c>
      <c r="J750" s="31"/>
    </row>
    <row r="751" s="12" customFormat="1" customHeight="1" spans="2:10">
      <c r="B751" s="25"/>
      <c r="C751" s="25"/>
      <c r="D751" s="26" t="str" cm="1">
        <f t="array" ref="D751">IF(C751="","",IFERROR(INDEX(STPP!$D$6:$D$4207,MATCH(C751,STPP!$C$6:$C$4207,0)),"Not Found"))</f>
        <v/>
      </c>
      <c r="E751" s="27" t="str" cm="1">
        <f t="array" ref="E751">IF(C751="","",IFERROR(INDEX(STPP!$E$6:$E$4207,MATCH(C751,STPP!$C$6:$C$4207,0)),"Not Found"))</f>
        <v/>
      </c>
      <c r="F751" s="27" t="str" cm="1">
        <f t="array" ref="F751">IF(C751="","",IFERROR(INDEX(STPP!$F$6:$F$4207,MATCH(C751,STPP!$C$6:$C$4207,0)),"Not Found"))</f>
        <v/>
      </c>
      <c r="G751" s="25" t="str">
        <f>IF(表1[[#This Row],[No Seri]]="","",表1[[#This Row],[Deskripsi Barang]]+表1[[#This Row],[Kuantitas]]-表1[[#This Row],[Satuan]])</f>
        <v/>
      </c>
      <c r="H751" s="28"/>
      <c r="I751" s="25" t="str">
        <f>IF(表1[[#This Row],[Tgl NPBG]]&gt;表1[[#This Row],[Peminta]],表1[[#This Row],[Tgl NPBG]]-表1[[#This Row],[Peminta]],"")</f>
        <v/>
      </c>
      <c r="J751" s="31"/>
    </row>
    <row r="752" s="12" customFormat="1" customHeight="1" spans="2:10">
      <c r="B752" s="25"/>
      <c r="C752" s="25"/>
      <c r="D752" s="26" t="str" cm="1">
        <f t="array" ref="D752">IF(C752="","",IFERROR(INDEX(STPP!$D$6:$D$4207,MATCH(C752,STPP!$C$6:$C$4207,0)),"Not Found"))</f>
        <v/>
      </c>
      <c r="E752" s="27" t="str" cm="1">
        <f t="array" ref="E752">IF(C752="","",IFERROR(INDEX(STPP!$E$6:$E$4207,MATCH(C752,STPP!$C$6:$C$4207,0)),"Not Found"))</f>
        <v/>
      </c>
      <c r="F752" s="27" t="str" cm="1">
        <f t="array" ref="F752">IF(C752="","",IFERROR(INDEX(STPP!$F$6:$F$4207,MATCH(C752,STPP!$C$6:$C$4207,0)),"Not Found"))</f>
        <v/>
      </c>
      <c r="G752" s="25" t="str">
        <f>IF(表1[[#This Row],[No Seri]]="","",表1[[#This Row],[Deskripsi Barang]]+表1[[#This Row],[Kuantitas]]-表1[[#This Row],[Satuan]])</f>
        <v/>
      </c>
      <c r="H752" s="28"/>
      <c r="I752" s="25" t="str">
        <f>IF(表1[[#This Row],[Tgl NPBG]]&gt;表1[[#This Row],[Peminta]],表1[[#This Row],[Tgl NPBG]]-表1[[#This Row],[Peminta]],"")</f>
        <v/>
      </c>
      <c r="J752" s="31"/>
    </row>
    <row r="753" s="12" customFormat="1" customHeight="1" spans="2:10">
      <c r="B753" s="25"/>
      <c r="C753" s="25"/>
      <c r="D753" s="26" t="str" cm="1">
        <f t="array" ref="D753">IF(C753="","",IFERROR(INDEX(STPP!$D$6:$D$4207,MATCH(C753,STPP!$C$6:$C$4207,0)),"Not Found"))</f>
        <v/>
      </c>
      <c r="E753" s="27" t="str" cm="1">
        <f t="array" ref="E753">IF(C753="","",IFERROR(INDEX(STPP!$E$6:$E$4207,MATCH(C753,STPP!$C$6:$C$4207,0)),"Not Found"))</f>
        <v/>
      </c>
      <c r="F753" s="27" t="str" cm="1">
        <f t="array" ref="F753">IF(C753="","",IFERROR(INDEX(STPP!$F$6:$F$4207,MATCH(C753,STPP!$C$6:$C$4207,0)),"Not Found"))</f>
        <v/>
      </c>
      <c r="G753" s="25" t="str">
        <f>IF(表1[[#This Row],[No Seri]]="","",表1[[#This Row],[Deskripsi Barang]]+表1[[#This Row],[Kuantitas]]-表1[[#This Row],[Satuan]])</f>
        <v/>
      </c>
      <c r="H753" s="28"/>
      <c r="I753" s="25" t="str">
        <f>IF(表1[[#This Row],[Tgl NPBG]]&gt;表1[[#This Row],[Peminta]],表1[[#This Row],[Tgl NPBG]]-表1[[#This Row],[Peminta]],"")</f>
        <v/>
      </c>
      <c r="J753" s="31"/>
    </row>
    <row r="754" s="12" customFormat="1" customHeight="1" spans="2:10">
      <c r="B754" s="25"/>
      <c r="C754" s="25"/>
      <c r="D754" s="26" t="str" cm="1">
        <f t="array" ref="D754">IF(C754="","",IFERROR(INDEX(STPP!$D$6:$D$4207,MATCH(C754,STPP!$C$6:$C$4207,0)),"Not Found"))</f>
        <v/>
      </c>
      <c r="E754" s="27" t="str" cm="1">
        <f t="array" ref="E754">IF(C754="","",IFERROR(INDEX(STPP!$E$6:$E$4207,MATCH(C754,STPP!$C$6:$C$4207,0)),"Not Found"))</f>
        <v/>
      </c>
      <c r="F754" s="27" t="str" cm="1">
        <f t="array" ref="F754">IF(C754="","",IFERROR(INDEX(STPP!$F$6:$F$4207,MATCH(C754,STPP!$C$6:$C$4207,0)),"Not Found"))</f>
        <v/>
      </c>
      <c r="G754" s="25" t="str">
        <f>IF(表1[[#This Row],[No Seri]]="","",表1[[#This Row],[Deskripsi Barang]]+表1[[#This Row],[Kuantitas]]-表1[[#This Row],[Satuan]])</f>
        <v/>
      </c>
      <c r="H754" s="28"/>
      <c r="I754" s="25" t="str">
        <f>IF(表1[[#This Row],[Tgl NPBG]]&gt;表1[[#This Row],[Peminta]],表1[[#This Row],[Tgl NPBG]]-表1[[#This Row],[Peminta]],"")</f>
        <v/>
      </c>
      <c r="J754" s="31"/>
    </row>
    <row r="755" s="12" customFormat="1" customHeight="1" spans="2:10">
      <c r="B755" s="25"/>
      <c r="C755" s="25"/>
      <c r="D755" s="26" t="str" cm="1">
        <f t="array" ref="D755">IF(C755="","",IFERROR(INDEX(STPP!$D$6:$D$4207,MATCH(C755,STPP!$C$6:$C$4207,0)),"Not Found"))</f>
        <v/>
      </c>
      <c r="E755" s="27" t="str" cm="1">
        <f t="array" ref="E755">IF(C755="","",IFERROR(INDEX(STPP!$E$6:$E$4207,MATCH(C755,STPP!$C$6:$C$4207,0)),"Not Found"))</f>
        <v/>
      </c>
      <c r="F755" s="27" t="str" cm="1">
        <f t="array" ref="F755">IF(C755="","",IFERROR(INDEX(STPP!$F$6:$F$4207,MATCH(C755,STPP!$C$6:$C$4207,0)),"Not Found"))</f>
        <v/>
      </c>
      <c r="G755" s="25" t="str">
        <f>IF(表1[[#This Row],[No Seri]]="","",表1[[#This Row],[Deskripsi Barang]]+表1[[#This Row],[Kuantitas]]-表1[[#This Row],[Satuan]])</f>
        <v/>
      </c>
      <c r="H755" s="28"/>
      <c r="I755" s="25" t="str">
        <f>IF(表1[[#This Row],[Tgl NPBG]]&gt;表1[[#This Row],[Peminta]],表1[[#This Row],[Tgl NPBG]]-表1[[#This Row],[Peminta]],"")</f>
        <v/>
      </c>
      <c r="J755" s="31"/>
    </row>
    <row r="756" s="12" customFormat="1" customHeight="1" spans="2:10">
      <c r="B756" s="25"/>
      <c r="C756" s="25"/>
      <c r="D756" s="26" t="str" cm="1">
        <f t="array" ref="D756">IF(C756="","",IFERROR(INDEX(STPP!$D$6:$D$4207,MATCH(C756,STPP!$C$6:$C$4207,0)),"Not Found"))</f>
        <v/>
      </c>
      <c r="E756" s="27" t="str" cm="1">
        <f t="array" ref="E756">IF(C756="","",IFERROR(INDEX(STPP!$E$6:$E$4207,MATCH(C756,STPP!$C$6:$C$4207,0)),"Not Found"))</f>
        <v/>
      </c>
      <c r="F756" s="27" t="str" cm="1">
        <f t="array" ref="F756">IF(C756="","",IFERROR(INDEX(STPP!$F$6:$F$4207,MATCH(C756,STPP!$C$6:$C$4207,0)),"Not Found"))</f>
        <v/>
      </c>
      <c r="G756" s="25" t="str">
        <f>IF(表1[[#This Row],[No Seri]]="","",表1[[#This Row],[Deskripsi Barang]]+表1[[#This Row],[Kuantitas]]-表1[[#This Row],[Satuan]])</f>
        <v/>
      </c>
      <c r="H756" s="28"/>
      <c r="I756" s="25" t="str">
        <f>IF(表1[[#This Row],[Tgl NPBG]]&gt;表1[[#This Row],[Peminta]],表1[[#This Row],[Tgl NPBG]]-表1[[#This Row],[Peminta]],"")</f>
        <v/>
      </c>
      <c r="J756" s="31"/>
    </row>
    <row r="757" s="12" customFormat="1" customHeight="1" spans="2:10">
      <c r="B757" s="25"/>
      <c r="C757" s="25"/>
      <c r="D757" s="26" t="str" cm="1">
        <f t="array" ref="D757">IF(C757="","",IFERROR(INDEX(STPP!$D$6:$D$4207,MATCH(C757,STPP!$C$6:$C$4207,0)),"Not Found"))</f>
        <v/>
      </c>
      <c r="E757" s="27" t="str" cm="1">
        <f t="array" ref="E757">IF(C757="","",IFERROR(INDEX(STPP!$E$6:$E$4207,MATCH(C757,STPP!$C$6:$C$4207,0)),"Not Found"))</f>
        <v/>
      </c>
      <c r="F757" s="27" t="str" cm="1">
        <f t="array" ref="F757">IF(C757="","",IFERROR(INDEX(STPP!$F$6:$F$4207,MATCH(C757,STPP!$C$6:$C$4207,0)),"Not Found"))</f>
        <v/>
      </c>
      <c r="G757" s="25" t="str">
        <f>IF(表1[[#This Row],[No Seri]]="","",表1[[#This Row],[Deskripsi Barang]]+表1[[#This Row],[Kuantitas]]-表1[[#This Row],[Satuan]])</f>
        <v/>
      </c>
      <c r="H757" s="28"/>
      <c r="I757" s="25" t="str">
        <f>IF(表1[[#This Row],[Tgl NPBG]]&gt;表1[[#This Row],[Peminta]],表1[[#This Row],[Tgl NPBG]]-表1[[#This Row],[Peminta]],"")</f>
        <v/>
      </c>
      <c r="J757" s="31"/>
    </row>
    <row r="758" s="12" customFormat="1" customHeight="1" spans="2:10">
      <c r="B758" s="25"/>
      <c r="C758" s="25"/>
      <c r="D758" s="26" t="str" cm="1">
        <f t="array" ref="D758">IF(C758="","",IFERROR(INDEX(STPP!$D$6:$D$4207,MATCH(C758,STPP!$C$6:$C$4207,0)),"Not Found"))</f>
        <v/>
      </c>
      <c r="E758" s="27" t="str" cm="1">
        <f t="array" ref="E758">IF(C758="","",IFERROR(INDEX(STPP!$E$6:$E$4207,MATCH(C758,STPP!$C$6:$C$4207,0)),"Not Found"))</f>
        <v/>
      </c>
      <c r="F758" s="27" t="str" cm="1">
        <f t="array" ref="F758">IF(C758="","",IFERROR(INDEX(STPP!$F$6:$F$4207,MATCH(C758,STPP!$C$6:$C$4207,0)),"Not Found"))</f>
        <v/>
      </c>
      <c r="G758" s="25" t="str">
        <f>IF(表1[[#This Row],[No Seri]]="","",表1[[#This Row],[Deskripsi Barang]]+表1[[#This Row],[Kuantitas]]-表1[[#This Row],[Satuan]])</f>
        <v/>
      </c>
      <c r="H758" s="28"/>
      <c r="I758" s="25" t="str">
        <f>IF(表1[[#This Row],[Tgl NPBG]]&gt;表1[[#This Row],[Peminta]],表1[[#This Row],[Tgl NPBG]]-表1[[#This Row],[Peminta]],"")</f>
        <v/>
      </c>
      <c r="J758" s="31"/>
    </row>
    <row r="759" s="12" customFormat="1" customHeight="1" spans="2:10">
      <c r="B759" s="25"/>
      <c r="C759" s="25"/>
      <c r="D759" s="26" t="str" cm="1">
        <f t="array" ref="D759">IF(C759="","",IFERROR(INDEX(STPP!$D$6:$D$4207,MATCH(C759,STPP!$C$6:$C$4207,0)),"Not Found"))</f>
        <v/>
      </c>
      <c r="E759" s="27" t="str" cm="1">
        <f t="array" ref="E759">IF(C759="","",IFERROR(INDEX(STPP!$E$6:$E$4207,MATCH(C759,STPP!$C$6:$C$4207,0)),"Not Found"))</f>
        <v/>
      </c>
      <c r="F759" s="27" t="str" cm="1">
        <f t="array" ref="F759">IF(C759="","",IFERROR(INDEX(STPP!$F$6:$F$4207,MATCH(C759,STPP!$C$6:$C$4207,0)),"Not Found"))</f>
        <v/>
      </c>
      <c r="G759" s="25" t="str">
        <f>IF(表1[[#This Row],[No Seri]]="","",表1[[#This Row],[Deskripsi Barang]]+表1[[#This Row],[Kuantitas]]-表1[[#This Row],[Satuan]])</f>
        <v/>
      </c>
      <c r="H759" s="28"/>
      <c r="I759" s="25" t="str">
        <f>IF(表1[[#This Row],[Tgl NPBG]]&gt;表1[[#This Row],[Peminta]],表1[[#This Row],[Tgl NPBG]]-表1[[#This Row],[Peminta]],"")</f>
        <v/>
      </c>
      <c r="J759" s="31"/>
    </row>
    <row r="760" s="12" customFormat="1" customHeight="1" spans="2:10">
      <c r="B760" s="25"/>
      <c r="C760" s="25"/>
      <c r="D760" s="26" t="str" cm="1">
        <f t="array" ref="D760">IF(C760="","",IFERROR(INDEX(STPP!$D$6:$D$4207,MATCH(C760,STPP!$C$6:$C$4207,0)),"Not Found"))</f>
        <v/>
      </c>
      <c r="E760" s="27" t="str" cm="1">
        <f t="array" ref="E760">IF(C760="","",IFERROR(INDEX(STPP!$E$6:$E$4207,MATCH(C760,STPP!$C$6:$C$4207,0)),"Not Found"))</f>
        <v/>
      </c>
      <c r="F760" s="27" t="str" cm="1">
        <f t="array" ref="F760">IF(C760="","",IFERROR(INDEX(STPP!$F$6:$F$4207,MATCH(C760,STPP!$C$6:$C$4207,0)),"Not Found"))</f>
        <v/>
      </c>
      <c r="G760" s="25" t="str">
        <f>IF(表1[[#This Row],[No Seri]]="","",表1[[#This Row],[Deskripsi Barang]]+表1[[#This Row],[Kuantitas]]-表1[[#This Row],[Satuan]])</f>
        <v/>
      </c>
      <c r="H760" s="28"/>
      <c r="I760" s="25" t="str">
        <f>IF(表1[[#This Row],[Tgl NPBG]]&gt;表1[[#This Row],[Peminta]],表1[[#This Row],[Tgl NPBG]]-表1[[#This Row],[Peminta]],"")</f>
        <v/>
      </c>
      <c r="J760" s="31"/>
    </row>
    <row r="761" s="12" customFormat="1" customHeight="1" spans="2:10">
      <c r="B761" s="25"/>
      <c r="C761" s="25"/>
      <c r="D761" s="26" t="str" cm="1">
        <f t="array" ref="D761">IF(C761="","",IFERROR(INDEX(STPP!$D$6:$D$4207,MATCH(C761,STPP!$C$6:$C$4207,0)),"Not Found"))</f>
        <v/>
      </c>
      <c r="E761" s="27" t="str" cm="1">
        <f t="array" ref="E761">IF(C761="","",IFERROR(INDEX(STPP!$E$6:$E$4207,MATCH(C761,STPP!$C$6:$C$4207,0)),"Not Found"))</f>
        <v/>
      </c>
      <c r="F761" s="27" t="str" cm="1">
        <f t="array" ref="F761">IF(C761="","",IFERROR(INDEX(STPP!$F$6:$F$4207,MATCH(C761,STPP!$C$6:$C$4207,0)),"Not Found"))</f>
        <v/>
      </c>
      <c r="G761" s="25" t="str">
        <f>IF(表1[[#This Row],[No Seri]]="","",表1[[#This Row],[Deskripsi Barang]]+表1[[#This Row],[Kuantitas]]-表1[[#This Row],[Satuan]])</f>
        <v/>
      </c>
      <c r="H761" s="28"/>
      <c r="I761" s="25" t="str">
        <f>IF(表1[[#This Row],[Tgl NPBG]]&gt;表1[[#This Row],[Peminta]],表1[[#This Row],[Tgl NPBG]]-表1[[#This Row],[Peminta]],"")</f>
        <v/>
      </c>
      <c r="J761" s="31"/>
    </row>
    <row r="762" s="12" customFormat="1" customHeight="1" spans="2:10">
      <c r="B762" s="25"/>
      <c r="C762" s="25"/>
      <c r="D762" s="26" t="str" cm="1">
        <f t="array" ref="D762">IF(C762="","",IFERROR(INDEX(STPP!$D$6:$D$4207,MATCH(C762,STPP!$C$6:$C$4207,0)),"Not Found"))</f>
        <v/>
      </c>
      <c r="E762" s="27" t="str" cm="1">
        <f t="array" ref="E762">IF(C762="","",IFERROR(INDEX(STPP!$E$6:$E$4207,MATCH(C762,STPP!$C$6:$C$4207,0)),"Not Found"))</f>
        <v/>
      </c>
      <c r="F762" s="27" t="str" cm="1">
        <f t="array" ref="F762">IF(C762="","",IFERROR(INDEX(STPP!$F$6:$F$4207,MATCH(C762,STPP!$C$6:$C$4207,0)),"Not Found"))</f>
        <v/>
      </c>
      <c r="G762" s="25" t="str">
        <f>IF(表1[[#This Row],[No Seri]]="","",表1[[#This Row],[Deskripsi Barang]]+表1[[#This Row],[Kuantitas]]-表1[[#This Row],[Satuan]])</f>
        <v/>
      </c>
      <c r="H762" s="28"/>
      <c r="I762" s="25" t="str">
        <f>IF(表1[[#This Row],[Tgl NPBG]]&gt;表1[[#This Row],[Peminta]],表1[[#This Row],[Tgl NPBG]]-表1[[#This Row],[Peminta]],"")</f>
        <v/>
      </c>
      <c r="J762" s="31"/>
    </row>
    <row r="763" s="12" customFormat="1" customHeight="1" spans="2:10">
      <c r="B763" s="25"/>
      <c r="C763" s="25"/>
      <c r="D763" s="26" t="str" cm="1">
        <f t="array" ref="D763">IF(C763="","",IFERROR(INDEX(STPP!$D$6:$D$4207,MATCH(C763,STPP!$C$6:$C$4207,0)),"Not Found"))</f>
        <v/>
      </c>
      <c r="E763" s="27" t="str" cm="1">
        <f t="array" ref="E763">IF(C763="","",IFERROR(INDEX(STPP!$E$6:$E$4207,MATCH(C763,STPP!$C$6:$C$4207,0)),"Not Found"))</f>
        <v/>
      </c>
      <c r="F763" s="27" t="str" cm="1">
        <f t="array" ref="F763">IF(C763="","",IFERROR(INDEX(STPP!$F$6:$F$4207,MATCH(C763,STPP!$C$6:$C$4207,0)),"Not Found"))</f>
        <v/>
      </c>
      <c r="G763" s="25" t="str">
        <f>IF(表1[[#This Row],[No Seri]]="","",表1[[#This Row],[Deskripsi Barang]]+表1[[#This Row],[Kuantitas]]-表1[[#This Row],[Satuan]])</f>
        <v/>
      </c>
      <c r="H763" s="28"/>
      <c r="I763" s="25" t="str">
        <f>IF(表1[[#This Row],[Tgl NPBG]]&gt;表1[[#This Row],[Peminta]],表1[[#This Row],[Tgl NPBG]]-表1[[#This Row],[Peminta]],"")</f>
        <v/>
      </c>
      <c r="J763" s="31"/>
    </row>
    <row r="764" s="12" customFormat="1" customHeight="1" spans="2:10">
      <c r="B764" s="25"/>
      <c r="C764" s="25"/>
      <c r="D764" s="26" t="str" cm="1">
        <f t="array" ref="D764">IF(C764="","",IFERROR(INDEX(STPP!$D$6:$D$4207,MATCH(C764,STPP!$C$6:$C$4207,0)),"Not Found"))</f>
        <v/>
      </c>
      <c r="E764" s="27" t="str" cm="1">
        <f t="array" ref="E764">IF(C764="","",IFERROR(INDEX(STPP!$E$6:$E$4207,MATCH(C764,STPP!$C$6:$C$4207,0)),"Not Found"))</f>
        <v/>
      </c>
      <c r="F764" s="27" t="str" cm="1">
        <f t="array" ref="F764">IF(C764="","",IFERROR(INDEX(STPP!$F$6:$F$4207,MATCH(C764,STPP!$C$6:$C$4207,0)),"Not Found"))</f>
        <v/>
      </c>
      <c r="G764" s="25" t="str">
        <f>IF(表1[[#This Row],[No Seri]]="","",表1[[#This Row],[Deskripsi Barang]]+表1[[#This Row],[Kuantitas]]-表1[[#This Row],[Satuan]])</f>
        <v/>
      </c>
      <c r="H764" s="28"/>
      <c r="I764" s="25" t="str">
        <f>IF(表1[[#This Row],[Tgl NPBG]]&gt;表1[[#This Row],[Peminta]],表1[[#This Row],[Tgl NPBG]]-表1[[#This Row],[Peminta]],"")</f>
        <v/>
      </c>
      <c r="J764" s="31"/>
    </row>
    <row r="765" s="12" customFormat="1" customHeight="1" spans="2:10">
      <c r="B765" s="25"/>
      <c r="C765" s="25"/>
      <c r="D765" s="26" t="str" cm="1">
        <f t="array" ref="D765">IF(C765="","",IFERROR(INDEX(STPP!$D$6:$D$4207,MATCH(C765,STPP!$C$6:$C$4207,0)),"Not Found"))</f>
        <v/>
      </c>
      <c r="E765" s="27" t="str" cm="1">
        <f t="array" ref="E765">IF(C765="","",IFERROR(INDEX(STPP!$E$6:$E$4207,MATCH(C765,STPP!$C$6:$C$4207,0)),"Not Found"))</f>
        <v/>
      </c>
      <c r="F765" s="27" t="str" cm="1">
        <f t="array" ref="F765">IF(C765="","",IFERROR(INDEX(STPP!$F$6:$F$4207,MATCH(C765,STPP!$C$6:$C$4207,0)),"Not Found"))</f>
        <v/>
      </c>
      <c r="G765" s="25" t="str">
        <f>IF(表1[[#This Row],[No Seri]]="","",表1[[#This Row],[Deskripsi Barang]]+表1[[#This Row],[Kuantitas]]-表1[[#This Row],[Satuan]])</f>
        <v/>
      </c>
      <c r="H765" s="28"/>
      <c r="I765" s="25" t="str">
        <f>IF(表1[[#This Row],[Tgl NPBG]]&gt;表1[[#This Row],[Peminta]],表1[[#This Row],[Tgl NPBG]]-表1[[#This Row],[Peminta]],"")</f>
        <v/>
      </c>
      <c r="J765" s="31"/>
    </row>
    <row r="766" s="12" customFormat="1" customHeight="1" spans="2:10">
      <c r="B766" s="25"/>
      <c r="C766" s="25"/>
      <c r="D766" s="26" t="str" cm="1">
        <f t="array" ref="D766">IF(C766="","",IFERROR(INDEX(STPP!$D$6:$D$4207,MATCH(C766,STPP!$C$6:$C$4207,0)),"Not Found"))</f>
        <v/>
      </c>
      <c r="E766" s="27" t="str" cm="1">
        <f t="array" ref="E766">IF(C766="","",IFERROR(INDEX(STPP!$E$6:$E$4207,MATCH(C766,STPP!$C$6:$C$4207,0)),"Not Found"))</f>
        <v/>
      </c>
      <c r="F766" s="27" t="str" cm="1">
        <f t="array" ref="F766">IF(C766="","",IFERROR(INDEX(STPP!$F$6:$F$4207,MATCH(C766,STPP!$C$6:$C$4207,0)),"Not Found"))</f>
        <v/>
      </c>
      <c r="G766" s="25" t="str">
        <f>IF(表1[[#This Row],[No Seri]]="","",表1[[#This Row],[Deskripsi Barang]]+表1[[#This Row],[Kuantitas]]-表1[[#This Row],[Satuan]])</f>
        <v/>
      </c>
      <c r="H766" s="28"/>
      <c r="I766" s="25" t="str">
        <f>IF(表1[[#This Row],[Tgl NPBG]]&gt;表1[[#This Row],[Peminta]],表1[[#This Row],[Tgl NPBG]]-表1[[#This Row],[Peminta]],"")</f>
        <v/>
      </c>
      <c r="J766" s="31"/>
    </row>
    <row r="767" s="12" customFormat="1" customHeight="1" spans="2:10">
      <c r="B767" s="25"/>
      <c r="C767" s="25"/>
      <c r="D767" s="26" t="str" cm="1">
        <f t="array" ref="D767">IF(C767="","",IFERROR(INDEX(STPP!$D$6:$D$4207,MATCH(C767,STPP!$C$6:$C$4207,0)),"Not Found"))</f>
        <v/>
      </c>
      <c r="E767" s="27" t="str" cm="1">
        <f t="array" ref="E767">IF(C767="","",IFERROR(INDEX(STPP!$E$6:$E$4207,MATCH(C767,STPP!$C$6:$C$4207,0)),"Not Found"))</f>
        <v/>
      </c>
      <c r="F767" s="27" t="str" cm="1">
        <f t="array" ref="F767">IF(C767="","",IFERROR(INDEX(STPP!$F$6:$F$4207,MATCH(C767,STPP!$C$6:$C$4207,0)),"Not Found"))</f>
        <v/>
      </c>
      <c r="G767" s="25" t="str">
        <f>IF(表1[[#This Row],[No Seri]]="","",表1[[#This Row],[Deskripsi Barang]]+表1[[#This Row],[Kuantitas]]-表1[[#This Row],[Satuan]])</f>
        <v/>
      </c>
      <c r="H767" s="28"/>
      <c r="I767" s="25" t="str">
        <f>IF(表1[[#This Row],[Tgl NPBG]]&gt;表1[[#This Row],[Peminta]],表1[[#This Row],[Tgl NPBG]]-表1[[#This Row],[Peminta]],"")</f>
        <v/>
      </c>
      <c r="J767" s="31"/>
    </row>
    <row r="768" s="12" customFormat="1" customHeight="1" spans="2:10">
      <c r="B768" s="25"/>
      <c r="C768" s="25"/>
      <c r="D768" s="26" t="str" cm="1">
        <f t="array" ref="D768">IF(C768="","",IFERROR(INDEX(STPP!$D$6:$D$4207,MATCH(C768,STPP!$C$6:$C$4207,0)),"Not Found"))</f>
        <v/>
      </c>
      <c r="E768" s="27" t="str" cm="1">
        <f t="array" ref="E768">IF(C768="","",IFERROR(INDEX(STPP!$E$6:$E$4207,MATCH(C768,STPP!$C$6:$C$4207,0)),"Not Found"))</f>
        <v/>
      </c>
      <c r="F768" s="27" t="str" cm="1">
        <f t="array" ref="F768">IF(C768="","",IFERROR(INDEX(STPP!$F$6:$F$4207,MATCH(C768,STPP!$C$6:$C$4207,0)),"Not Found"))</f>
        <v/>
      </c>
      <c r="G768" s="25" t="str">
        <f>IF(表1[[#This Row],[No Seri]]="","",表1[[#This Row],[Deskripsi Barang]]+表1[[#This Row],[Kuantitas]]-表1[[#This Row],[Satuan]])</f>
        <v/>
      </c>
      <c r="H768" s="28"/>
      <c r="I768" s="25" t="str">
        <f>IF(表1[[#This Row],[Tgl NPBG]]&gt;表1[[#This Row],[Peminta]],表1[[#This Row],[Tgl NPBG]]-表1[[#This Row],[Peminta]],"")</f>
        <v/>
      </c>
      <c r="J768" s="31"/>
    </row>
    <row r="769" s="12" customFormat="1" customHeight="1" spans="2:10">
      <c r="B769" s="25"/>
      <c r="C769" s="25"/>
      <c r="D769" s="26" t="str" cm="1">
        <f t="array" ref="D769">IF(C769="","",IFERROR(INDEX(STPP!$D$6:$D$4207,MATCH(C769,STPP!$C$6:$C$4207,0)),"Not Found"))</f>
        <v/>
      </c>
      <c r="E769" s="27" t="str" cm="1">
        <f t="array" ref="E769">IF(C769="","",IFERROR(INDEX(STPP!$E$6:$E$4207,MATCH(C769,STPP!$C$6:$C$4207,0)),"Not Found"))</f>
        <v/>
      </c>
      <c r="F769" s="27" t="str" cm="1">
        <f t="array" ref="F769">IF(C769="","",IFERROR(INDEX(STPP!$F$6:$F$4207,MATCH(C769,STPP!$C$6:$C$4207,0)),"Not Found"))</f>
        <v/>
      </c>
      <c r="G769" s="25" t="str">
        <f>IF(表1[[#This Row],[No Seri]]="","",表1[[#This Row],[Deskripsi Barang]]+表1[[#This Row],[Kuantitas]]-表1[[#This Row],[Satuan]])</f>
        <v/>
      </c>
      <c r="H769" s="28"/>
      <c r="I769" s="25" t="str">
        <f>IF(表1[[#This Row],[Tgl NPBG]]&gt;表1[[#This Row],[Peminta]],表1[[#This Row],[Tgl NPBG]]-表1[[#This Row],[Peminta]],"")</f>
        <v/>
      </c>
      <c r="J769" s="31"/>
    </row>
    <row r="770" s="12" customFormat="1" customHeight="1" spans="2:10">
      <c r="B770" s="25"/>
      <c r="C770" s="25"/>
      <c r="D770" s="26" t="str" cm="1">
        <f t="array" ref="D770">IF(C770="","",IFERROR(INDEX(STPP!$D$6:$D$4207,MATCH(C770,STPP!$C$6:$C$4207,0)),"Not Found"))</f>
        <v/>
      </c>
      <c r="E770" s="27" t="str" cm="1">
        <f t="array" ref="E770">IF(C770="","",IFERROR(INDEX(STPP!$E$6:$E$4207,MATCH(C770,STPP!$C$6:$C$4207,0)),"Not Found"))</f>
        <v/>
      </c>
      <c r="F770" s="27" t="str" cm="1">
        <f t="array" ref="F770">IF(C770="","",IFERROR(INDEX(STPP!$F$6:$F$4207,MATCH(C770,STPP!$C$6:$C$4207,0)),"Not Found"))</f>
        <v/>
      </c>
      <c r="G770" s="25" t="str">
        <f>IF(表1[[#This Row],[No Seri]]="","",表1[[#This Row],[Deskripsi Barang]]+表1[[#This Row],[Kuantitas]]-表1[[#This Row],[Satuan]])</f>
        <v/>
      </c>
      <c r="H770" s="28"/>
      <c r="I770" s="25" t="str">
        <f>IF(表1[[#This Row],[Tgl NPBG]]&gt;表1[[#This Row],[Peminta]],表1[[#This Row],[Tgl NPBG]]-表1[[#This Row],[Peminta]],"")</f>
        <v/>
      </c>
      <c r="J770" s="31"/>
    </row>
    <row r="771" s="12" customFormat="1" customHeight="1" spans="2:10">
      <c r="B771" s="25"/>
      <c r="C771" s="25"/>
      <c r="D771" s="26" t="str" cm="1">
        <f t="array" ref="D771">IF(C771="","",IFERROR(INDEX(STPP!$D$6:$D$4207,MATCH(C771,STPP!$C$6:$C$4207,0)),"Not Found"))</f>
        <v/>
      </c>
      <c r="E771" s="27" t="str" cm="1">
        <f t="array" ref="E771">IF(C771="","",IFERROR(INDEX(STPP!$E$6:$E$4207,MATCH(C771,STPP!$C$6:$C$4207,0)),"Not Found"))</f>
        <v/>
      </c>
      <c r="F771" s="27" t="str" cm="1">
        <f t="array" ref="F771">IF(C771="","",IFERROR(INDEX(STPP!$F$6:$F$4207,MATCH(C771,STPP!$C$6:$C$4207,0)),"Not Found"))</f>
        <v/>
      </c>
      <c r="G771" s="25" t="str">
        <f>IF(表1[[#This Row],[No Seri]]="","",表1[[#This Row],[Deskripsi Barang]]+表1[[#This Row],[Kuantitas]]-表1[[#This Row],[Satuan]])</f>
        <v/>
      </c>
      <c r="H771" s="28"/>
      <c r="I771" s="25" t="str">
        <f>IF(表1[[#This Row],[Tgl NPBG]]&gt;表1[[#This Row],[Peminta]],表1[[#This Row],[Tgl NPBG]]-表1[[#This Row],[Peminta]],"")</f>
        <v/>
      </c>
      <c r="J771" s="31"/>
    </row>
    <row r="772" s="12" customFormat="1" customHeight="1" spans="2:10">
      <c r="B772" s="25"/>
      <c r="C772" s="25"/>
      <c r="D772" s="26" t="str" cm="1">
        <f t="array" ref="D772">IF(C772="","",IFERROR(INDEX(STPP!$D$6:$D$4207,MATCH(C772,STPP!$C$6:$C$4207,0)),"Not Found"))</f>
        <v/>
      </c>
      <c r="E772" s="27" t="str" cm="1">
        <f t="array" ref="E772">IF(C772="","",IFERROR(INDEX(STPP!$E$6:$E$4207,MATCH(C772,STPP!$C$6:$C$4207,0)),"Not Found"))</f>
        <v/>
      </c>
      <c r="F772" s="27" t="str" cm="1">
        <f t="array" ref="F772">IF(C772="","",IFERROR(INDEX(STPP!$F$6:$F$4207,MATCH(C772,STPP!$C$6:$C$4207,0)),"Not Found"))</f>
        <v/>
      </c>
      <c r="G772" s="25" t="str">
        <f>IF(表1[[#This Row],[No Seri]]="","",表1[[#This Row],[Deskripsi Barang]]+表1[[#This Row],[Kuantitas]]-表1[[#This Row],[Satuan]])</f>
        <v/>
      </c>
      <c r="H772" s="28"/>
      <c r="I772" s="25" t="str">
        <f>IF(表1[[#This Row],[Tgl NPBG]]&gt;表1[[#This Row],[Peminta]],表1[[#This Row],[Tgl NPBG]]-表1[[#This Row],[Peminta]],"")</f>
        <v/>
      </c>
      <c r="J772" s="31"/>
    </row>
    <row r="773" s="12" customFormat="1" customHeight="1" spans="2:10">
      <c r="B773" s="25"/>
      <c r="C773" s="25"/>
      <c r="D773" s="26" t="str" cm="1">
        <f t="array" ref="D773">IF(C773="","",IFERROR(INDEX(STPP!$D$6:$D$4207,MATCH(C773,STPP!$C$6:$C$4207,0)),"Not Found"))</f>
        <v/>
      </c>
      <c r="E773" s="27" t="str" cm="1">
        <f t="array" ref="E773">IF(C773="","",IFERROR(INDEX(STPP!$E$6:$E$4207,MATCH(C773,STPP!$C$6:$C$4207,0)),"Not Found"))</f>
        <v/>
      </c>
      <c r="F773" s="27" t="str" cm="1">
        <f t="array" ref="F773">IF(C773="","",IFERROR(INDEX(STPP!$F$6:$F$4207,MATCH(C773,STPP!$C$6:$C$4207,0)),"Not Found"))</f>
        <v/>
      </c>
      <c r="G773" s="25" t="str">
        <f>IF(表1[[#This Row],[No Seri]]="","",表1[[#This Row],[Deskripsi Barang]]+表1[[#This Row],[Kuantitas]]-表1[[#This Row],[Satuan]])</f>
        <v/>
      </c>
      <c r="H773" s="28"/>
      <c r="I773" s="25" t="str">
        <f>IF(表1[[#This Row],[Tgl NPBG]]&gt;表1[[#This Row],[Peminta]],表1[[#This Row],[Tgl NPBG]]-表1[[#This Row],[Peminta]],"")</f>
        <v/>
      </c>
      <c r="J773" s="31"/>
    </row>
    <row r="774" s="12" customFormat="1" customHeight="1" spans="2:10">
      <c r="B774" s="25"/>
      <c r="C774" s="25"/>
      <c r="D774" s="26" t="str" cm="1">
        <f t="array" ref="D774">IF(C774="","",IFERROR(INDEX(STPP!$D$6:$D$4207,MATCH(C774,STPP!$C$6:$C$4207,0)),"Not Found"))</f>
        <v/>
      </c>
      <c r="E774" s="27" t="str" cm="1">
        <f t="array" ref="E774">IF(C774="","",IFERROR(INDEX(STPP!$E$6:$E$4207,MATCH(C774,STPP!$C$6:$C$4207,0)),"Not Found"))</f>
        <v/>
      </c>
      <c r="F774" s="27" t="str" cm="1">
        <f t="array" ref="F774">IF(C774="","",IFERROR(INDEX(STPP!$F$6:$F$4207,MATCH(C774,STPP!$C$6:$C$4207,0)),"Not Found"))</f>
        <v/>
      </c>
      <c r="G774" s="25" t="str">
        <f>IF(表1[[#This Row],[No Seri]]="","",表1[[#This Row],[Deskripsi Barang]]+表1[[#This Row],[Kuantitas]]-表1[[#This Row],[Satuan]])</f>
        <v/>
      </c>
      <c r="H774" s="28"/>
      <c r="I774" s="25" t="str">
        <f>IF(表1[[#This Row],[Tgl NPBG]]&gt;表1[[#This Row],[Peminta]],表1[[#This Row],[Tgl NPBG]]-表1[[#This Row],[Peminta]],"")</f>
        <v/>
      </c>
      <c r="J774" s="31"/>
    </row>
    <row r="775" s="12" customFormat="1" customHeight="1" spans="2:10">
      <c r="B775" s="25"/>
      <c r="C775" s="25"/>
      <c r="D775" s="26" t="str" cm="1">
        <f t="array" ref="D775">IF(C775="","",IFERROR(INDEX(STPP!$D$6:$D$4207,MATCH(C775,STPP!$C$6:$C$4207,0)),"Not Found"))</f>
        <v/>
      </c>
      <c r="E775" s="27" t="str" cm="1">
        <f t="array" ref="E775">IF(C775="","",IFERROR(INDEX(STPP!$E$6:$E$4207,MATCH(C775,STPP!$C$6:$C$4207,0)),"Not Found"))</f>
        <v/>
      </c>
      <c r="F775" s="27" t="str" cm="1">
        <f t="array" ref="F775">IF(C775="","",IFERROR(INDEX(STPP!$F$6:$F$4207,MATCH(C775,STPP!$C$6:$C$4207,0)),"Not Found"))</f>
        <v/>
      </c>
      <c r="G775" s="25" t="str">
        <f>IF(表1[[#This Row],[No Seri]]="","",表1[[#This Row],[Deskripsi Barang]]+表1[[#This Row],[Kuantitas]]-表1[[#This Row],[Satuan]])</f>
        <v/>
      </c>
      <c r="H775" s="28"/>
      <c r="I775" s="25" t="str">
        <f>IF(表1[[#This Row],[Tgl NPBG]]&gt;表1[[#This Row],[Peminta]],表1[[#This Row],[Tgl NPBG]]-表1[[#This Row],[Peminta]],"")</f>
        <v/>
      </c>
      <c r="J775" s="31"/>
    </row>
    <row r="776" s="12" customFormat="1" customHeight="1" spans="2:10">
      <c r="B776" s="25"/>
      <c r="C776" s="25"/>
      <c r="D776" s="26" t="str" cm="1">
        <f t="array" ref="D776">IF(C776="","",IFERROR(INDEX(STPP!$D$6:$D$4207,MATCH(C776,STPP!$C$6:$C$4207,0)),"Not Found"))</f>
        <v/>
      </c>
      <c r="E776" s="27" t="str" cm="1">
        <f t="array" ref="E776">IF(C776="","",IFERROR(INDEX(STPP!$E$6:$E$4207,MATCH(C776,STPP!$C$6:$C$4207,0)),"Not Found"))</f>
        <v/>
      </c>
      <c r="F776" s="27" t="str" cm="1">
        <f t="array" ref="F776">IF(C776="","",IFERROR(INDEX(STPP!$F$6:$F$4207,MATCH(C776,STPP!$C$6:$C$4207,0)),"Not Found"))</f>
        <v/>
      </c>
      <c r="G776" s="25" t="str">
        <f>IF(表1[[#This Row],[No Seri]]="","",表1[[#This Row],[Deskripsi Barang]]+表1[[#This Row],[Kuantitas]]-表1[[#This Row],[Satuan]])</f>
        <v/>
      </c>
      <c r="H776" s="28"/>
      <c r="I776" s="25" t="str">
        <f>IF(表1[[#This Row],[Tgl NPBG]]&gt;表1[[#This Row],[Peminta]],表1[[#This Row],[Tgl NPBG]]-表1[[#This Row],[Peminta]],"")</f>
        <v/>
      </c>
      <c r="J776" s="31"/>
    </row>
    <row r="777" s="12" customFormat="1" customHeight="1" spans="2:10">
      <c r="B777" s="25"/>
      <c r="C777" s="25"/>
      <c r="D777" s="26" t="str" cm="1">
        <f t="array" ref="D777">IF(C777="","",IFERROR(INDEX(STPP!$D$6:$D$4207,MATCH(C777,STPP!$C$6:$C$4207,0)),"Not Found"))</f>
        <v/>
      </c>
      <c r="E777" s="27" t="str" cm="1">
        <f t="array" ref="E777">IF(C777="","",IFERROR(INDEX(STPP!$E$6:$E$4207,MATCH(C777,STPP!$C$6:$C$4207,0)),"Not Found"))</f>
        <v/>
      </c>
      <c r="F777" s="27" t="str" cm="1">
        <f t="array" ref="F777">IF(C777="","",IFERROR(INDEX(STPP!$F$6:$F$4207,MATCH(C777,STPP!$C$6:$C$4207,0)),"Not Found"))</f>
        <v/>
      </c>
      <c r="G777" s="25" t="str">
        <f>IF(表1[[#This Row],[No Seri]]="","",表1[[#This Row],[Deskripsi Barang]]+表1[[#This Row],[Kuantitas]]-表1[[#This Row],[Satuan]])</f>
        <v/>
      </c>
      <c r="H777" s="28"/>
      <c r="I777" s="25" t="str">
        <f>IF(表1[[#This Row],[Tgl NPBG]]&gt;表1[[#This Row],[Peminta]],表1[[#This Row],[Tgl NPBG]]-表1[[#This Row],[Peminta]],"")</f>
        <v/>
      </c>
      <c r="J777" s="31"/>
    </row>
    <row r="778" s="12" customFormat="1" customHeight="1" spans="2:10">
      <c r="B778" s="25"/>
      <c r="C778" s="25"/>
      <c r="D778" s="26" t="str" cm="1">
        <f t="array" ref="D778">IF(C778="","",IFERROR(INDEX(STPP!$D$6:$D$4207,MATCH(C778,STPP!$C$6:$C$4207,0)),"Not Found"))</f>
        <v/>
      </c>
      <c r="E778" s="27" t="str" cm="1">
        <f t="array" ref="E778">IF(C778="","",IFERROR(INDEX(STPP!$E$6:$E$4207,MATCH(C778,STPP!$C$6:$C$4207,0)),"Not Found"))</f>
        <v/>
      </c>
      <c r="F778" s="27" t="str" cm="1">
        <f t="array" ref="F778">IF(C778="","",IFERROR(INDEX(STPP!$F$6:$F$4207,MATCH(C778,STPP!$C$6:$C$4207,0)),"Not Found"))</f>
        <v/>
      </c>
      <c r="G778" s="25" t="str">
        <f>IF(表1[[#This Row],[No Seri]]="","",表1[[#This Row],[Deskripsi Barang]]+表1[[#This Row],[Kuantitas]]-表1[[#This Row],[Satuan]])</f>
        <v/>
      </c>
      <c r="H778" s="28"/>
      <c r="I778" s="25" t="str">
        <f>IF(表1[[#This Row],[Tgl NPBG]]&gt;表1[[#This Row],[Peminta]],表1[[#This Row],[Tgl NPBG]]-表1[[#This Row],[Peminta]],"")</f>
        <v/>
      </c>
      <c r="J778" s="31"/>
    </row>
    <row r="779" s="12" customFormat="1" customHeight="1" spans="2:10">
      <c r="B779" s="25"/>
      <c r="C779" s="25"/>
      <c r="D779" s="26" t="str" cm="1">
        <f t="array" ref="D779">IF(C779="","",IFERROR(INDEX(STPP!$D$6:$D$4207,MATCH(C779,STPP!$C$6:$C$4207,0)),"Not Found"))</f>
        <v/>
      </c>
      <c r="E779" s="27" t="str" cm="1">
        <f t="array" ref="E779">IF(C779="","",IFERROR(INDEX(STPP!$E$6:$E$4207,MATCH(C779,STPP!$C$6:$C$4207,0)),"Not Found"))</f>
        <v/>
      </c>
      <c r="F779" s="27" t="str" cm="1">
        <f t="array" ref="F779">IF(C779="","",IFERROR(INDEX(STPP!$F$6:$F$4207,MATCH(C779,STPP!$C$6:$C$4207,0)),"Not Found"))</f>
        <v/>
      </c>
      <c r="G779" s="25" t="str">
        <f>IF(表1[[#This Row],[No Seri]]="","",表1[[#This Row],[Deskripsi Barang]]+表1[[#This Row],[Kuantitas]]-表1[[#This Row],[Satuan]])</f>
        <v/>
      </c>
      <c r="H779" s="28"/>
      <c r="I779" s="25" t="str">
        <f>IF(表1[[#This Row],[Tgl NPBG]]&gt;表1[[#This Row],[Peminta]],表1[[#This Row],[Tgl NPBG]]-表1[[#This Row],[Peminta]],"")</f>
        <v/>
      </c>
      <c r="J779" s="31"/>
    </row>
    <row r="780" s="12" customFormat="1" customHeight="1" spans="2:10">
      <c r="B780" s="25"/>
      <c r="C780" s="25"/>
      <c r="D780" s="26" t="str" cm="1">
        <f t="array" ref="D780">IF(C780="","",IFERROR(INDEX(STPP!$D$6:$D$4207,MATCH(C780,STPP!$C$6:$C$4207,0)),"Not Found"))</f>
        <v/>
      </c>
      <c r="E780" s="27" t="str" cm="1">
        <f t="array" ref="E780">IF(C780="","",IFERROR(INDEX(STPP!$E$6:$E$4207,MATCH(C780,STPP!$C$6:$C$4207,0)),"Not Found"))</f>
        <v/>
      </c>
      <c r="F780" s="27" t="str" cm="1">
        <f t="array" ref="F780">IF(C780="","",IFERROR(INDEX(STPP!$F$6:$F$4207,MATCH(C780,STPP!$C$6:$C$4207,0)),"Not Found"))</f>
        <v/>
      </c>
      <c r="G780" s="25" t="str">
        <f>IF(表1[[#This Row],[No Seri]]="","",表1[[#This Row],[Deskripsi Barang]]+表1[[#This Row],[Kuantitas]]-表1[[#This Row],[Satuan]])</f>
        <v/>
      </c>
      <c r="H780" s="28"/>
      <c r="I780" s="25" t="str">
        <f>IF(表1[[#This Row],[Tgl NPBG]]&gt;表1[[#This Row],[Peminta]],表1[[#This Row],[Tgl NPBG]]-表1[[#This Row],[Peminta]],"")</f>
        <v/>
      </c>
      <c r="J780" s="31"/>
    </row>
    <row r="781" s="12" customFormat="1" customHeight="1" spans="2:10">
      <c r="B781" s="25"/>
      <c r="C781" s="25"/>
      <c r="D781" s="26" t="str" cm="1">
        <f t="array" ref="D781">IF(C781="","",IFERROR(INDEX(STPP!$D$6:$D$4207,MATCH(C781,STPP!$C$6:$C$4207,0)),"Not Found"))</f>
        <v/>
      </c>
      <c r="E781" s="27" t="str" cm="1">
        <f t="array" ref="E781">IF(C781="","",IFERROR(INDEX(STPP!$E$6:$E$4207,MATCH(C781,STPP!$C$6:$C$4207,0)),"Not Found"))</f>
        <v/>
      </c>
      <c r="F781" s="27" t="str" cm="1">
        <f t="array" ref="F781">IF(C781="","",IFERROR(INDEX(STPP!$F$6:$F$4207,MATCH(C781,STPP!$C$6:$C$4207,0)),"Not Found"))</f>
        <v/>
      </c>
      <c r="G781" s="25" t="str">
        <f>IF(表1[[#This Row],[No Seri]]="","",表1[[#This Row],[Deskripsi Barang]]+表1[[#This Row],[Kuantitas]]-表1[[#This Row],[Satuan]])</f>
        <v/>
      </c>
      <c r="H781" s="28"/>
      <c r="I781" s="25" t="str">
        <f>IF(表1[[#This Row],[Tgl NPBG]]&gt;表1[[#This Row],[Peminta]],表1[[#This Row],[Tgl NPBG]]-表1[[#This Row],[Peminta]],"")</f>
        <v/>
      </c>
      <c r="J781" s="31"/>
    </row>
    <row r="782" s="12" customFormat="1" customHeight="1" spans="2:10">
      <c r="B782" s="25"/>
      <c r="C782" s="25"/>
      <c r="D782" s="26" t="str" cm="1">
        <f t="array" ref="D782">IF(C782="","",IFERROR(INDEX(STPP!$D$6:$D$4207,MATCH(C782,STPP!$C$6:$C$4207,0)),"Not Found"))</f>
        <v/>
      </c>
      <c r="E782" s="27" t="str" cm="1">
        <f t="array" ref="E782">IF(C782="","",IFERROR(INDEX(STPP!$E$6:$E$4207,MATCH(C782,STPP!$C$6:$C$4207,0)),"Not Found"))</f>
        <v/>
      </c>
      <c r="F782" s="27" t="str" cm="1">
        <f t="array" ref="F782">IF(C782="","",IFERROR(INDEX(STPP!$F$6:$F$4207,MATCH(C782,STPP!$C$6:$C$4207,0)),"Not Found"))</f>
        <v/>
      </c>
      <c r="G782" s="25" t="str">
        <f>IF(表1[[#This Row],[No Seri]]="","",表1[[#This Row],[Deskripsi Barang]]+表1[[#This Row],[Kuantitas]]-表1[[#This Row],[Satuan]])</f>
        <v/>
      </c>
      <c r="H782" s="28"/>
      <c r="I782" s="25" t="str">
        <f>IF(表1[[#This Row],[Tgl NPBG]]&gt;表1[[#This Row],[Peminta]],表1[[#This Row],[Tgl NPBG]]-表1[[#This Row],[Peminta]],"")</f>
        <v/>
      </c>
      <c r="J782" s="31"/>
    </row>
    <row r="783" s="12" customFormat="1" customHeight="1" spans="2:10">
      <c r="B783" s="25"/>
      <c r="C783" s="25"/>
      <c r="D783" s="26" t="str" cm="1">
        <f t="array" ref="D783">IF(C783="","",IFERROR(INDEX(STPP!$D$6:$D$4207,MATCH(C783,STPP!$C$6:$C$4207,0)),"Not Found"))</f>
        <v/>
      </c>
      <c r="E783" s="27" t="str" cm="1">
        <f t="array" ref="E783">IF(C783="","",IFERROR(INDEX(STPP!$E$6:$E$4207,MATCH(C783,STPP!$C$6:$C$4207,0)),"Not Found"))</f>
        <v/>
      </c>
      <c r="F783" s="27" t="str" cm="1">
        <f t="array" ref="F783">IF(C783="","",IFERROR(INDEX(STPP!$F$6:$F$4207,MATCH(C783,STPP!$C$6:$C$4207,0)),"Not Found"))</f>
        <v/>
      </c>
      <c r="G783" s="25" t="str">
        <f>IF(表1[[#This Row],[No Seri]]="","",表1[[#This Row],[Deskripsi Barang]]+表1[[#This Row],[Kuantitas]]-表1[[#This Row],[Satuan]])</f>
        <v/>
      </c>
      <c r="H783" s="28"/>
      <c r="I783" s="25" t="str">
        <f>IF(表1[[#This Row],[Tgl NPBG]]&gt;表1[[#This Row],[Peminta]],表1[[#This Row],[Tgl NPBG]]-表1[[#This Row],[Peminta]],"")</f>
        <v/>
      </c>
      <c r="J783" s="31"/>
    </row>
    <row r="784" s="12" customFormat="1" customHeight="1" spans="2:10">
      <c r="B784" s="25"/>
      <c r="C784" s="25"/>
      <c r="D784" s="26" t="str" cm="1">
        <f t="array" ref="D784">IF(C784="","",IFERROR(INDEX(STPP!$D$6:$D$4207,MATCH(C784,STPP!$C$6:$C$4207,0)),"Not Found"))</f>
        <v/>
      </c>
      <c r="E784" s="27" t="str" cm="1">
        <f t="array" ref="E784">IF(C784="","",IFERROR(INDEX(STPP!$E$6:$E$4207,MATCH(C784,STPP!$C$6:$C$4207,0)),"Not Found"))</f>
        <v/>
      </c>
      <c r="F784" s="27" t="str" cm="1">
        <f t="array" ref="F784">IF(C784="","",IFERROR(INDEX(STPP!$F$6:$F$4207,MATCH(C784,STPP!$C$6:$C$4207,0)),"Not Found"))</f>
        <v/>
      </c>
      <c r="G784" s="25" t="str">
        <f>IF(表1[[#This Row],[No Seri]]="","",表1[[#This Row],[Deskripsi Barang]]+表1[[#This Row],[Kuantitas]]-表1[[#This Row],[Satuan]])</f>
        <v/>
      </c>
      <c r="H784" s="28"/>
      <c r="I784" s="25" t="str">
        <f>IF(表1[[#This Row],[Tgl NPBG]]&gt;表1[[#This Row],[Peminta]],表1[[#This Row],[Tgl NPBG]]-表1[[#This Row],[Peminta]],"")</f>
        <v/>
      </c>
      <c r="J784" s="31"/>
    </row>
    <row r="785" s="12" customFormat="1" customHeight="1" spans="2:10">
      <c r="B785" s="25"/>
      <c r="C785" s="25"/>
      <c r="D785" s="26" t="str" cm="1">
        <f t="array" ref="D785">IF(C785="","",IFERROR(INDEX(STPP!$D$6:$D$4207,MATCH(C785,STPP!$C$6:$C$4207,0)),"Not Found"))</f>
        <v/>
      </c>
      <c r="E785" s="27" t="str" cm="1">
        <f t="array" ref="E785">IF(C785="","",IFERROR(INDEX(STPP!$E$6:$E$4207,MATCH(C785,STPP!$C$6:$C$4207,0)),"Not Found"))</f>
        <v/>
      </c>
      <c r="F785" s="27" t="str" cm="1">
        <f t="array" ref="F785">IF(C785="","",IFERROR(INDEX(STPP!$F$6:$F$4207,MATCH(C785,STPP!$C$6:$C$4207,0)),"Not Found"))</f>
        <v/>
      </c>
      <c r="G785" s="25" t="str">
        <f>IF(表1[[#This Row],[No Seri]]="","",表1[[#This Row],[Deskripsi Barang]]+表1[[#This Row],[Kuantitas]]-表1[[#This Row],[Satuan]])</f>
        <v/>
      </c>
      <c r="H785" s="28"/>
      <c r="I785" s="25" t="str">
        <f>IF(表1[[#This Row],[Tgl NPBG]]&gt;表1[[#This Row],[Peminta]],表1[[#This Row],[Tgl NPBG]]-表1[[#This Row],[Peminta]],"")</f>
        <v/>
      </c>
      <c r="J785" s="31"/>
    </row>
    <row r="786" s="12" customFormat="1" customHeight="1" spans="2:10">
      <c r="B786" s="25"/>
      <c r="C786" s="25"/>
      <c r="D786" s="26" t="str" cm="1">
        <f t="array" ref="D786">IF(C786="","",IFERROR(INDEX(STPP!$D$6:$D$4207,MATCH(C786,STPP!$C$6:$C$4207,0)),"Not Found"))</f>
        <v/>
      </c>
      <c r="E786" s="27" t="str" cm="1">
        <f t="array" ref="E786">IF(C786="","",IFERROR(INDEX(STPP!$E$6:$E$4207,MATCH(C786,STPP!$C$6:$C$4207,0)),"Not Found"))</f>
        <v/>
      </c>
      <c r="F786" s="27" t="str" cm="1">
        <f t="array" ref="F786">IF(C786="","",IFERROR(INDEX(STPP!$F$6:$F$4207,MATCH(C786,STPP!$C$6:$C$4207,0)),"Not Found"))</f>
        <v/>
      </c>
      <c r="G786" s="25" t="str">
        <f>IF(表1[[#This Row],[No Seri]]="","",表1[[#This Row],[Deskripsi Barang]]+表1[[#This Row],[Kuantitas]]-表1[[#This Row],[Satuan]])</f>
        <v/>
      </c>
      <c r="H786" s="28"/>
      <c r="I786" s="25" t="str">
        <f>IF(表1[[#This Row],[Tgl NPBG]]&gt;表1[[#This Row],[Peminta]],表1[[#This Row],[Tgl NPBG]]-表1[[#This Row],[Peminta]],"")</f>
        <v/>
      </c>
      <c r="J786" s="31"/>
    </row>
    <row r="787" s="12" customFormat="1" customHeight="1" spans="2:10">
      <c r="B787" s="25"/>
      <c r="C787" s="25"/>
      <c r="D787" s="26" t="str" cm="1">
        <f t="array" ref="D787">IF(C787="","",IFERROR(INDEX(STPP!$D$6:$D$4207,MATCH(C787,STPP!$C$6:$C$4207,0)),"Not Found"))</f>
        <v/>
      </c>
      <c r="E787" s="27" t="str" cm="1">
        <f t="array" ref="E787">IF(C787="","",IFERROR(INDEX(STPP!$E$6:$E$4207,MATCH(C787,STPP!$C$6:$C$4207,0)),"Not Found"))</f>
        <v/>
      </c>
      <c r="F787" s="27" t="str" cm="1">
        <f t="array" ref="F787">IF(C787="","",IFERROR(INDEX(STPP!$F$6:$F$4207,MATCH(C787,STPP!$C$6:$C$4207,0)),"Not Found"))</f>
        <v/>
      </c>
      <c r="G787" s="25" t="str">
        <f>IF(表1[[#This Row],[No Seri]]="","",表1[[#This Row],[Deskripsi Barang]]+表1[[#This Row],[Kuantitas]]-表1[[#This Row],[Satuan]])</f>
        <v/>
      </c>
      <c r="H787" s="28"/>
      <c r="I787" s="25" t="str">
        <f>IF(表1[[#This Row],[Tgl NPBG]]&gt;表1[[#This Row],[Peminta]],表1[[#This Row],[Tgl NPBG]]-表1[[#This Row],[Peminta]],"")</f>
        <v/>
      </c>
      <c r="J787" s="31"/>
    </row>
    <row r="788" s="12" customFormat="1" customHeight="1" spans="2:10">
      <c r="B788" s="25"/>
      <c r="C788" s="25"/>
      <c r="D788" s="26" t="str" cm="1">
        <f t="array" ref="D788">IF(C788="","",IFERROR(INDEX(STPP!$D$6:$D$4207,MATCH(C788,STPP!$C$6:$C$4207,0)),"Not Found"))</f>
        <v/>
      </c>
      <c r="E788" s="27" t="str" cm="1">
        <f t="array" ref="E788">IF(C788="","",IFERROR(INDEX(STPP!$E$6:$E$4207,MATCH(C788,STPP!$C$6:$C$4207,0)),"Not Found"))</f>
        <v/>
      </c>
      <c r="F788" s="27" t="str" cm="1">
        <f t="array" ref="F788">IF(C788="","",IFERROR(INDEX(STPP!$F$6:$F$4207,MATCH(C788,STPP!$C$6:$C$4207,0)),"Not Found"))</f>
        <v/>
      </c>
      <c r="G788" s="25" t="str">
        <f>IF(表1[[#This Row],[No Seri]]="","",表1[[#This Row],[Deskripsi Barang]]+表1[[#This Row],[Kuantitas]]-表1[[#This Row],[Satuan]])</f>
        <v/>
      </c>
      <c r="H788" s="28"/>
      <c r="I788" s="25" t="str">
        <f>IF(表1[[#This Row],[Tgl NPBG]]&gt;表1[[#This Row],[Peminta]],表1[[#This Row],[Tgl NPBG]]-表1[[#This Row],[Peminta]],"")</f>
        <v/>
      </c>
      <c r="J788" s="31"/>
    </row>
    <row r="789" s="12" customFormat="1" customHeight="1" spans="2:10">
      <c r="B789" s="25"/>
      <c r="C789" s="25"/>
      <c r="D789" s="26" t="str" cm="1">
        <f t="array" ref="D789">IF(C789="","",IFERROR(INDEX(STPP!$D$6:$D$4207,MATCH(C789,STPP!$C$6:$C$4207,0)),"Not Found"))</f>
        <v/>
      </c>
      <c r="E789" s="27" t="str" cm="1">
        <f t="array" ref="E789">IF(C789="","",IFERROR(INDEX(STPP!$E$6:$E$4207,MATCH(C789,STPP!$C$6:$C$4207,0)),"Not Found"))</f>
        <v/>
      </c>
      <c r="F789" s="27" t="str" cm="1">
        <f t="array" ref="F789">IF(C789="","",IFERROR(INDEX(STPP!$F$6:$F$4207,MATCH(C789,STPP!$C$6:$C$4207,0)),"Not Found"))</f>
        <v/>
      </c>
      <c r="G789" s="25" t="str">
        <f>IF(表1[[#This Row],[No Seri]]="","",表1[[#This Row],[Deskripsi Barang]]+表1[[#This Row],[Kuantitas]]-表1[[#This Row],[Satuan]])</f>
        <v/>
      </c>
      <c r="H789" s="28"/>
      <c r="I789" s="25" t="str">
        <f>IF(表1[[#This Row],[Tgl NPBG]]&gt;表1[[#This Row],[Peminta]],表1[[#This Row],[Tgl NPBG]]-表1[[#This Row],[Peminta]],"")</f>
        <v/>
      </c>
      <c r="J789" s="31"/>
    </row>
    <row r="790" s="12" customFormat="1" customHeight="1" spans="2:10">
      <c r="B790" s="25"/>
      <c r="C790" s="25"/>
      <c r="D790" s="26" t="str" cm="1">
        <f t="array" ref="D790">IF(C790="","",IFERROR(INDEX(STPP!$D$6:$D$4207,MATCH(C790,STPP!$C$6:$C$4207,0)),"Not Found"))</f>
        <v/>
      </c>
      <c r="E790" s="27" t="str" cm="1">
        <f t="array" ref="E790">IF(C790="","",IFERROR(INDEX(STPP!$E$6:$E$4207,MATCH(C790,STPP!$C$6:$C$4207,0)),"Not Found"))</f>
        <v/>
      </c>
      <c r="F790" s="27" t="str" cm="1">
        <f t="array" ref="F790">IF(C790="","",IFERROR(INDEX(STPP!$F$6:$F$4207,MATCH(C790,STPP!$C$6:$C$4207,0)),"Not Found"))</f>
        <v/>
      </c>
      <c r="G790" s="25" t="str">
        <f>IF(表1[[#This Row],[No Seri]]="","",表1[[#This Row],[Deskripsi Barang]]+表1[[#This Row],[Kuantitas]]-表1[[#This Row],[Satuan]])</f>
        <v/>
      </c>
      <c r="H790" s="28"/>
      <c r="I790" s="25" t="str">
        <f>IF(表1[[#This Row],[Tgl NPBG]]&gt;表1[[#This Row],[Peminta]],表1[[#This Row],[Tgl NPBG]]-表1[[#This Row],[Peminta]],"")</f>
        <v/>
      </c>
      <c r="J790" s="31"/>
    </row>
    <row r="791" s="12" customFormat="1" customHeight="1" spans="2:10">
      <c r="B791" s="25"/>
      <c r="C791" s="25"/>
      <c r="D791" s="26" t="str" cm="1">
        <f t="array" ref="D791">IF(C791="","",IFERROR(INDEX(STPP!$D$6:$D$4207,MATCH(C791,STPP!$C$6:$C$4207,0)),"Not Found"))</f>
        <v/>
      </c>
      <c r="E791" s="27" t="str" cm="1">
        <f t="array" ref="E791">IF(C791="","",IFERROR(INDEX(STPP!$E$6:$E$4207,MATCH(C791,STPP!$C$6:$C$4207,0)),"Not Found"))</f>
        <v/>
      </c>
      <c r="F791" s="27" t="str" cm="1">
        <f t="array" ref="F791">IF(C791="","",IFERROR(INDEX(STPP!$F$6:$F$4207,MATCH(C791,STPP!$C$6:$C$4207,0)),"Not Found"))</f>
        <v/>
      </c>
      <c r="G791" s="25" t="str">
        <f>IF(表1[[#This Row],[No Seri]]="","",表1[[#This Row],[Deskripsi Barang]]+表1[[#This Row],[Kuantitas]]-表1[[#This Row],[Satuan]])</f>
        <v/>
      </c>
      <c r="H791" s="28"/>
      <c r="I791" s="25" t="str">
        <f>IF(表1[[#This Row],[Tgl NPBG]]&gt;表1[[#This Row],[Peminta]],表1[[#This Row],[Tgl NPBG]]-表1[[#This Row],[Peminta]],"")</f>
        <v/>
      </c>
      <c r="J791" s="31"/>
    </row>
    <row r="792" s="12" customFormat="1" customHeight="1" spans="2:10">
      <c r="B792" s="25"/>
      <c r="C792" s="25"/>
      <c r="D792" s="26" t="str" cm="1">
        <f t="array" ref="D792">IF(C792="","",IFERROR(INDEX(STPP!$D$6:$D$4207,MATCH(C792,STPP!$C$6:$C$4207,0)),"Not Found"))</f>
        <v/>
      </c>
      <c r="E792" s="27" t="str" cm="1">
        <f t="array" ref="E792">IF(C792="","",IFERROR(INDEX(STPP!$E$6:$E$4207,MATCH(C792,STPP!$C$6:$C$4207,0)),"Not Found"))</f>
        <v/>
      </c>
      <c r="F792" s="27" t="str" cm="1">
        <f t="array" ref="F792">IF(C792="","",IFERROR(INDEX(STPP!$F$6:$F$4207,MATCH(C792,STPP!$C$6:$C$4207,0)),"Not Found"))</f>
        <v/>
      </c>
      <c r="G792" s="25" t="str">
        <f>IF(表1[[#This Row],[No Seri]]="","",表1[[#This Row],[Deskripsi Barang]]+表1[[#This Row],[Kuantitas]]-表1[[#This Row],[Satuan]])</f>
        <v/>
      </c>
      <c r="H792" s="28"/>
      <c r="I792" s="25" t="str">
        <f>IF(表1[[#This Row],[Tgl NPBG]]&gt;表1[[#This Row],[Peminta]],表1[[#This Row],[Tgl NPBG]]-表1[[#This Row],[Peminta]],"")</f>
        <v/>
      </c>
      <c r="J792" s="31"/>
    </row>
    <row r="793" s="12" customFormat="1" customHeight="1" spans="2:10">
      <c r="B793" s="25"/>
      <c r="C793" s="25"/>
      <c r="D793" s="26" t="str" cm="1">
        <f t="array" ref="D793">IF(C793="","",IFERROR(INDEX(STPP!$D$6:$D$4207,MATCH(C793,STPP!$C$6:$C$4207,0)),"Not Found"))</f>
        <v/>
      </c>
      <c r="E793" s="27" t="str" cm="1">
        <f t="array" ref="E793">IF(C793="","",IFERROR(INDEX(STPP!$E$6:$E$4207,MATCH(C793,STPP!$C$6:$C$4207,0)),"Not Found"))</f>
        <v/>
      </c>
      <c r="F793" s="27" t="str" cm="1">
        <f t="array" ref="F793">IF(C793="","",IFERROR(INDEX(STPP!$F$6:$F$4207,MATCH(C793,STPP!$C$6:$C$4207,0)),"Not Found"))</f>
        <v/>
      </c>
      <c r="G793" s="25" t="str">
        <f>IF(表1[[#This Row],[No Seri]]="","",表1[[#This Row],[Deskripsi Barang]]+表1[[#This Row],[Kuantitas]]-表1[[#This Row],[Satuan]])</f>
        <v/>
      </c>
      <c r="H793" s="28"/>
      <c r="I793" s="25" t="str">
        <f>IF(表1[[#This Row],[Tgl NPBG]]&gt;表1[[#This Row],[Peminta]],表1[[#This Row],[Tgl NPBG]]-表1[[#This Row],[Peminta]],"")</f>
        <v/>
      </c>
      <c r="J793" s="31"/>
    </row>
    <row r="794" s="12" customFormat="1" customHeight="1" spans="2:10">
      <c r="B794" s="25"/>
      <c r="C794" s="25"/>
      <c r="D794" s="26" t="str" cm="1">
        <f t="array" ref="D794">IF(C794="","",IFERROR(INDEX(STPP!$D$6:$D$4207,MATCH(C794,STPP!$C$6:$C$4207,0)),"Not Found"))</f>
        <v/>
      </c>
      <c r="E794" s="27" t="str" cm="1">
        <f t="array" ref="E794">IF(C794="","",IFERROR(INDEX(STPP!$E$6:$E$4207,MATCH(C794,STPP!$C$6:$C$4207,0)),"Not Found"))</f>
        <v/>
      </c>
      <c r="F794" s="27" t="str" cm="1">
        <f t="array" ref="F794">IF(C794="","",IFERROR(INDEX(STPP!$F$6:$F$4207,MATCH(C794,STPP!$C$6:$C$4207,0)),"Not Found"))</f>
        <v/>
      </c>
      <c r="G794" s="25" t="str">
        <f>IF(表1[[#This Row],[No Seri]]="","",表1[[#This Row],[Deskripsi Barang]]+表1[[#This Row],[Kuantitas]]-表1[[#This Row],[Satuan]])</f>
        <v/>
      </c>
      <c r="H794" s="28"/>
      <c r="I794" s="25" t="str">
        <f>IF(表1[[#This Row],[Tgl NPBG]]&gt;表1[[#This Row],[Peminta]],表1[[#This Row],[Tgl NPBG]]-表1[[#This Row],[Peminta]],"")</f>
        <v/>
      </c>
      <c r="J794" s="31"/>
    </row>
    <row r="795" s="12" customFormat="1" customHeight="1" spans="2:10">
      <c r="B795" s="25"/>
      <c r="C795" s="25"/>
      <c r="D795" s="26" t="str" cm="1">
        <f t="array" ref="D795">IF(C795="","",IFERROR(INDEX(STPP!$D$6:$D$4207,MATCH(C795,STPP!$C$6:$C$4207,0)),"Not Found"))</f>
        <v/>
      </c>
      <c r="E795" s="27" t="str" cm="1">
        <f t="array" ref="E795">IF(C795="","",IFERROR(INDEX(STPP!$E$6:$E$4207,MATCH(C795,STPP!$C$6:$C$4207,0)),"Not Found"))</f>
        <v/>
      </c>
      <c r="F795" s="27" t="str" cm="1">
        <f t="array" ref="F795">IF(C795="","",IFERROR(INDEX(STPP!$F$6:$F$4207,MATCH(C795,STPP!$C$6:$C$4207,0)),"Not Found"))</f>
        <v/>
      </c>
      <c r="G795" s="25" t="str">
        <f>IF(表1[[#This Row],[No Seri]]="","",表1[[#This Row],[Deskripsi Barang]]+表1[[#This Row],[Kuantitas]]-表1[[#This Row],[Satuan]])</f>
        <v/>
      </c>
      <c r="H795" s="28"/>
      <c r="I795" s="25" t="str">
        <f>IF(表1[[#This Row],[Tgl NPBG]]&gt;表1[[#This Row],[Peminta]],表1[[#This Row],[Tgl NPBG]]-表1[[#This Row],[Peminta]],"")</f>
        <v/>
      </c>
      <c r="J795" s="31"/>
    </row>
    <row r="796" s="12" customFormat="1" customHeight="1" spans="2:10">
      <c r="B796" s="25"/>
      <c r="C796" s="25"/>
      <c r="D796" s="26" t="str" cm="1">
        <f t="array" ref="D796">IF(C796="","",IFERROR(INDEX(STPP!$D$6:$D$4207,MATCH(C796,STPP!$C$6:$C$4207,0)),"Not Found"))</f>
        <v/>
      </c>
      <c r="E796" s="27" t="str" cm="1">
        <f t="array" ref="E796">IF(C796="","",IFERROR(INDEX(STPP!$E$6:$E$4207,MATCH(C796,STPP!$C$6:$C$4207,0)),"Not Found"))</f>
        <v/>
      </c>
      <c r="F796" s="27" t="str" cm="1">
        <f t="array" ref="F796">IF(C796="","",IFERROR(INDEX(STPP!$F$6:$F$4207,MATCH(C796,STPP!$C$6:$C$4207,0)),"Not Found"))</f>
        <v/>
      </c>
      <c r="G796" s="25" t="str">
        <f>IF(表1[[#This Row],[No Seri]]="","",表1[[#This Row],[Deskripsi Barang]]+表1[[#This Row],[Kuantitas]]-表1[[#This Row],[Satuan]])</f>
        <v/>
      </c>
      <c r="H796" s="28"/>
      <c r="I796" s="25" t="str">
        <f>IF(表1[[#This Row],[Tgl NPBG]]&gt;表1[[#This Row],[Peminta]],表1[[#This Row],[Tgl NPBG]]-表1[[#This Row],[Peminta]],"")</f>
        <v/>
      </c>
      <c r="J796" s="31"/>
    </row>
    <row r="797" s="12" customFormat="1" customHeight="1" spans="2:10">
      <c r="B797" s="25"/>
      <c r="C797" s="25"/>
      <c r="D797" s="26" t="str" cm="1">
        <f t="array" ref="D797">IF(C797="","",IFERROR(INDEX(STPP!$D$6:$D$4207,MATCH(C797,STPP!$C$6:$C$4207,0)),"Not Found"))</f>
        <v/>
      </c>
      <c r="E797" s="27" t="str" cm="1">
        <f t="array" ref="E797">IF(C797="","",IFERROR(INDEX(STPP!$E$6:$E$4207,MATCH(C797,STPP!$C$6:$C$4207,0)),"Not Found"))</f>
        <v/>
      </c>
      <c r="F797" s="27" t="str" cm="1">
        <f t="array" ref="F797">IF(C797="","",IFERROR(INDEX(STPP!$F$6:$F$4207,MATCH(C797,STPP!$C$6:$C$4207,0)),"Not Found"))</f>
        <v/>
      </c>
      <c r="G797" s="25" t="str">
        <f>IF(表1[[#This Row],[No Seri]]="","",表1[[#This Row],[Deskripsi Barang]]+表1[[#This Row],[Kuantitas]]-表1[[#This Row],[Satuan]])</f>
        <v/>
      </c>
      <c r="H797" s="28"/>
      <c r="I797" s="25" t="str">
        <f>IF(表1[[#This Row],[Tgl NPBG]]&gt;表1[[#This Row],[Peminta]],表1[[#This Row],[Tgl NPBG]]-表1[[#This Row],[Peminta]],"")</f>
        <v/>
      </c>
      <c r="J797" s="31"/>
    </row>
    <row r="798" s="12" customFormat="1" customHeight="1" spans="2:10">
      <c r="B798" s="25"/>
      <c r="C798" s="25"/>
      <c r="D798" s="26" t="str" cm="1">
        <f t="array" ref="D798">IF(C798="","",IFERROR(INDEX(STPP!$D$6:$D$4207,MATCH(C798,STPP!$C$6:$C$4207,0)),"Not Found"))</f>
        <v/>
      </c>
      <c r="E798" s="27" t="str" cm="1">
        <f t="array" ref="E798">IF(C798="","",IFERROR(INDEX(STPP!$E$6:$E$4207,MATCH(C798,STPP!$C$6:$C$4207,0)),"Not Found"))</f>
        <v/>
      </c>
      <c r="F798" s="27" t="str" cm="1">
        <f t="array" ref="F798">IF(C798="","",IFERROR(INDEX(STPP!$F$6:$F$4207,MATCH(C798,STPP!$C$6:$C$4207,0)),"Not Found"))</f>
        <v/>
      </c>
      <c r="G798" s="25" t="str">
        <f>IF(表1[[#This Row],[No Seri]]="","",表1[[#This Row],[Deskripsi Barang]]+表1[[#This Row],[Kuantitas]]-表1[[#This Row],[Satuan]])</f>
        <v/>
      </c>
      <c r="H798" s="28"/>
      <c r="I798" s="25" t="str">
        <f>IF(表1[[#This Row],[Tgl NPBG]]&gt;表1[[#This Row],[Peminta]],表1[[#This Row],[Tgl NPBG]]-表1[[#This Row],[Peminta]],"")</f>
        <v/>
      </c>
      <c r="J798" s="31"/>
    </row>
    <row r="799" s="12" customFormat="1" customHeight="1" spans="2:10">
      <c r="B799" s="25"/>
      <c r="C799" s="25"/>
      <c r="D799" s="26" t="str" cm="1">
        <f t="array" ref="D799">IF(C799="","",IFERROR(INDEX(STPP!$D$6:$D$4207,MATCH(C799,STPP!$C$6:$C$4207,0)),"Not Found"))</f>
        <v/>
      </c>
      <c r="E799" s="27" t="str" cm="1">
        <f t="array" ref="E799">IF(C799="","",IFERROR(INDEX(STPP!$E$6:$E$4207,MATCH(C799,STPP!$C$6:$C$4207,0)),"Not Found"))</f>
        <v/>
      </c>
      <c r="F799" s="27" t="str" cm="1">
        <f t="array" ref="F799">IF(C799="","",IFERROR(INDEX(STPP!$F$6:$F$4207,MATCH(C799,STPP!$C$6:$C$4207,0)),"Not Found"))</f>
        <v/>
      </c>
      <c r="G799" s="25" t="str">
        <f>IF(表1[[#This Row],[No Seri]]="","",表1[[#This Row],[Deskripsi Barang]]+表1[[#This Row],[Kuantitas]]-表1[[#This Row],[Satuan]])</f>
        <v/>
      </c>
      <c r="H799" s="28"/>
      <c r="I799" s="25" t="str">
        <f>IF(表1[[#This Row],[Tgl NPBG]]&gt;表1[[#This Row],[Peminta]],表1[[#This Row],[Tgl NPBG]]-表1[[#This Row],[Peminta]],"")</f>
        <v/>
      </c>
      <c r="J799" s="31"/>
    </row>
    <row r="800" s="12" customFormat="1" customHeight="1" spans="2:10">
      <c r="B800" s="25"/>
      <c r="C800" s="25"/>
      <c r="D800" s="26" t="str" cm="1">
        <f t="array" ref="D800">IF(C800="","",IFERROR(INDEX(STPP!$D$6:$D$4207,MATCH(C800,STPP!$C$6:$C$4207,0)),"Not Found"))</f>
        <v/>
      </c>
      <c r="E800" s="27" t="str" cm="1">
        <f t="array" ref="E800">IF(C800="","",IFERROR(INDEX(STPP!$E$6:$E$4207,MATCH(C800,STPP!$C$6:$C$4207,0)),"Not Found"))</f>
        <v/>
      </c>
      <c r="F800" s="27" t="str" cm="1">
        <f t="array" ref="F800">IF(C800="","",IFERROR(INDEX(STPP!$F$6:$F$4207,MATCH(C800,STPP!$C$6:$C$4207,0)),"Not Found"))</f>
        <v/>
      </c>
      <c r="G800" s="25" t="str">
        <f>IF(表1[[#This Row],[No Seri]]="","",表1[[#This Row],[Deskripsi Barang]]+表1[[#This Row],[Kuantitas]]-表1[[#This Row],[Satuan]])</f>
        <v/>
      </c>
      <c r="H800" s="28"/>
      <c r="I800" s="25" t="str">
        <f>IF(表1[[#This Row],[Tgl NPBG]]&gt;表1[[#This Row],[Peminta]],表1[[#This Row],[Tgl NPBG]]-表1[[#This Row],[Peminta]],"")</f>
        <v/>
      </c>
      <c r="J800" s="31"/>
    </row>
    <row r="801" s="12" customFormat="1" customHeight="1" spans="2:10">
      <c r="B801" s="25"/>
      <c r="C801" s="25"/>
      <c r="D801" s="26" t="str" cm="1">
        <f t="array" ref="D801">IF(C801="","",IFERROR(INDEX(STPP!$D$6:$D$4207,MATCH(C801,STPP!$C$6:$C$4207,0)),"Not Found"))</f>
        <v/>
      </c>
      <c r="E801" s="27" t="str" cm="1">
        <f t="array" ref="E801">IF(C801="","",IFERROR(INDEX(STPP!$E$6:$E$4207,MATCH(C801,STPP!$C$6:$C$4207,0)),"Not Found"))</f>
        <v/>
      </c>
      <c r="F801" s="27" t="str" cm="1">
        <f t="array" ref="F801">IF(C801="","",IFERROR(INDEX(STPP!$F$6:$F$4207,MATCH(C801,STPP!$C$6:$C$4207,0)),"Not Found"))</f>
        <v/>
      </c>
      <c r="G801" s="25" t="str">
        <f>IF(表1[[#This Row],[No Seri]]="","",表1[[#This Row],[Deskripsi Barang]]+表1[[#This Row],[Kuantitas]]-表1[[#This Row],[Satuan]])</f>
        <v/>
      </c>
      <c r="H801" s="28"/>
      <c r="I801" s="25" t="str">
        <f>IF(表1[[#This Row],[Tgl NPBG]]&gt;表1[[#This Row],[Peminta]],表1[[#This Row],[Tgl NPBG]]-表1[[#This Row],[Peminta]],"")</f>
        <v/>
      </c>
      <c r="J801" s="31"/>
    </row>
    <row r="802" s="12" customFormat="1" customHeight="1" spans="2:10">
      <c r="B802" s="25"/>
      <c r="C802" s="25"/>
      <c r="D802" s="26" t="str" cm="1">
        <f t="array" ref="D802">IF(C802="","",IFERROR(INDEX(STPP!$D$6:$D$4207,MATCH(C802,STPP!$C$6:$C$4207,0)),"Not Found"))</f>
        <v/>
      </c>
      <c r="E802" s="27" t="str" cm="1">
        <f t="array" ref="E802">IF(C802="","",IFERROR(INDEX(STPP!$E$6:$E$4207,MATCH(C802,STPP!$C$6:$C$4207,0)),"Not Found"))</f>
        <v/>
      </c>
      <c r="F802" s="27" t="str" cm="1">
        <f t="array" ref="F802">IF(C802="","",IFERROR(INDEX(STPP!$F$6:$F$4207,MATCH(C802,STPP!$C$6:$C$4207,0)),"Not Found"))</f>
        <v/>
      </c>
      <c r="G802" s="25" t="str">
        <f>IF(表1[[#This Row],[No Seri]]="","",表1[[#This Row],[Deskripsi Barang]]+表1[[#This Row],[Kuantitas]]-表1[[#This Row],[Satuan]])</f>
        <v/>
      </c>
      <c r="H802" s="28"/>
      <c r="I802" s="25" t="str">
        <f>IF(表1[[#This Row],[Tgl NPBG]]&gt;表1[[#This Row],[Peminta]],表1[[#This Row],[Tgl NPBG]]-表1[[#This Row],[Peminta]],"")</f>
        <v/>
      </c>
      <c r="J802" s="31"/>
    </row>
    <row r="803" s="12" customFormat="1" customHeight="1" spans="2:10">
      <c r="B803" s="25"/>
      <c r="C803" s="25"/>
      <c r="D803" s="26" t="str" cm="1">
        <f t="array" ref="D803">IF(C803="","",IFERROR(INDEX(STPP!$D$6:$D$4207,MATCH(C803,STPP!$C$6:$C$4207,0)),"Not Found"))</f>
        <v/>
      </c>
      <c r="E803" s="27" t="str" cm="1">
        <f t="array" ref="E803">IF(C803="","",IFERROR(INDEX(STPP!$E$6:$E$4207,MATCH(C803,STPP!$C$6:$C$4207,0)),"Not Found"))</f>
        <v/>
      </c>
      <c r="F803" s="27" t="str" cm="1">
        <f t="array" ref="F803">IF(C803="","",IFERROR(INDEX(STPP!$F$6:$F$4207,MATCH(C803,STPP!$C$6:$C$4207,0)),"Not Found"))</f>
        <v/>
      </c>
      <c r="G803" s="25" t="str">
        <f>IF(表1[[#This Row],[No Seri]]="","",表1[[#This Row],[Deskripsi Barang]]+表1[[#This Row],[Kuantitas]]-表1[[#This Row],[Satuan]])</f>
        <v/>
      </c>
      <c r="H803" s="28"/>
      <c r="I803" s="25" t="str">
        <f>IF(表1[[#This Row],[Tgl NPBG]]&gt;表1[[#This Row],[Peminta]],表1[[#This Row],[Tgl NPBG]]-表1[[#This Row],[Peminta]],"")</f>
        <v/>
      </c>
      <c r="J803" s="31"/>
    </row>
    <row r="804" s="12" customFormat="1" customHeight="1" spans="2:10">
      <c r="B804" s="25"/>
      <c r="C804" s="25"/>
      <c r="D804" s="26" t="str" cm="1">
        <f t="array" ref="D804">IF(C804="","",IFERROR(INDEX(STPP!$D$6:$D$4207,MATCH(C804,STPP!$C$6:$C$4207,0)),"Not Found"))</f>
        <v/>
      </c>
      <c r="E804" s="27" t="str" cm="1">
        <f t="array" ref="E804">IF(C804="","",IFERROR(INDEX(STPP!$E$6:$E$4207,MATCH(C804,STPP!$C$6:$C$4207,0)),"Not Found"))</f>
        <v/>
      </c>
      <c r="F804" s="27" t="str" cm="1">
        <f t="array" ref="F804">IF(C804="","",IFERROR(INDEX(STPP!$F$6:$F$4207,MATCH(C804,STPP!$C$6:$C$4207,0)),"Not Found"))</f>
        <v/>
      </c>
      <c r="G804" s="25" t="str">
        <f>IF(表1[[#This Row],[No Seri]]="","",表1[[#This Row],[Deskripsi Barang]]+表1[[#This Row],[Kuantitas]]-表1[[#This Row],[Satuan]])</f>
        <v/>
      </c>
      <c r="H804" s="28"/>
      <c r="I804" s="25" t="str">
        <f>IF(表1[[#This Row],[Tgl NPBG]]&gt;表1[[#This Row],[Peminta]],表1[[#This Row],[Tgl NPBG]]-表1[[#This Row],[Peminta]],"")</f>
        <v/>
      </c>
      <c r="J804" s="31"/>
    </row>
    <row r="805" s="12" customFormat="1" customHeight="1" spans="2:10">
      <c r="B805" s="25"/>
      <c r="C805" s="25"/>
      <c r="D805" s="26" t="str" cm="1">
        <f t="array" ref="D805">IF(C805="","",IFERROR(INDEX(STPP!$D$6:$D$4207,MATCH(C805,STPP!$C$6:$C$4207,0)),"Not Found"))</f>
        <v/>
      </c>
      <c r="E805" s="27" t="str" cm="1">
        <f t="array" ref="E805">IF(C805="","",IFERROR(INDEX(STPP!$E$6:$E$4207,MATCH(C805,STPP!$C$6:$C$4207,0)),"Not Found"))</f>
        <v/>
      </c>
      <c r="F805" s="27" t="str" cm="1">
        <f t="array" ref="F805">IF(C805="","",IFERROR(INDEX(STPP!$F$6:$F$4207,MATCH(C805,STPP!$C$6:$C$4207,0)),"Not Found"))</f>
        <v/>
      </c>
      <c r="G805" s="25" t="str">
        <f>IF(表1[[#This Row],[No Seri]]="","",表1[[#This Row],[Deskripsi Barang]]+表1[[#This Row],[Kuantitas]]-表1[[#This Row],[Satuan]])</f>
        <v/>
      </c>
      <c r="H805" s="28"/>
      <c r="I805" s="25" t="str">
        <f>IF(表1[[#This Row],[Tgl NPBG]]&gt;表1[[#This Row],[Peminta]],表1[[#This Row],[Tgl NPBG]]-表1[[#This Row],[Peminta]],"")</f>
        <v/>
      </c>
      <c r="J805" s="31"/>
    </row>
    <row r="806" s="12" customFormat="1" customHeight="1" spans="2:10">
      <c r="B806" s="25"/>
      <c r="C806" s="25"/>
      <c r="D806" s="26" t="str" cm="1">
        <f t="array" ref="D806">IF(C806="","",IFERROR(INDEX(STPP!$D$6:$D$4207,MATCH(C806,STPP!$C$6:$C$4207,0)),"Not Found"))</f>
        <v/>
      </c>
      <c r="E806" s="27" t="str" cm="1">
        <f t="array" ref="E806">IF(C806="","",IFERROR(INDEX(STPP!$E$6:$E$4207,MATCH(C806,STPP!$C$6:$C$4207,0)),"Not Found"))</f>
        <v/>
      </c>
      <c r="F806" s="27" t="str" cm="1">
        <f t="array" ref="F806">IF(C806="","",IFERROR(INDEX(STPP!$F$6:$F$4207,MATCH(C806,STPP!$C$6:$C$4207,0)),"Not Found"))</f>
        <v/>
      </c>
      <c r="G806" s="25" t="str">
        <f>IF(表1[[#This Row],[No Seri]]="","",表1[[#This Row],[Deskripsi Barang]]+表1[[#This Row],[Kuantitas]]-表1[[#This Row],[Satuan]])</f>
        <v/>
      </c>
      <c r="H806" s="28"/>
      <c r="I806" s="25" t="str">
        <f>IF(表1[[#This Row],[Tgl NPBG]]&gt;表1[[#This Row],[Peminta]],表1[[#This Row],[Tgl NPBG]]-表1[[#This Row],[Peminta]],"")</f>
        <v/>
      </c>
      <c r="J806" s="31"/>
    </row>
    <row r="807" s="12" customFormat="1" customHeight="1" spans="2:10">
      <c r="B807" s="25"/>
      <c r="C807" s="25"/>
      <c r="D807" s="26" t="str" cm="1">
        <f t="array" ref="D807">IF(C807="","",IFERROR(INDEX(STPP!$D$6:$D$4207,MATCH(C807,STPP!$C$6:$C$4207,0)),"Not Found"))</f>
        <v/>
      </c>
      <c r="E807" s="27" t="str" cm="1">
        <f t="array" ref="E807">IF(C807="","",IFERROR(INDEX(STPP!$E$6:$E$4207,MATCH(C807,STPP!$C$6:$C$4207,0)),"Not Found"))</f>
        <v/>
      </c>
      <c r="F807" s="27" t="str" cm="1">
        <f t="array" ref="F807">IF(C807="","",IFERROR(INDEX(STPP!$F$6:$F$4207,MATCH(C807,STPP!$C$6:$C$4207,0)),"Not Found"))</f>
        <v/>
      </c>
      <c r="G807" s="25" t="str">
        <f>IF(表1[[#This Row],[No Seri]]="","",表1[[#This Row],[Deskripsi Barang]]+表1[[#This Row],[Kuantitas]]-表1[[#This Row],[Satuan]])</f>
        <v/>
      </c>
      <c r="H807" s="28"/>
      <c r="I807" s="25" t="str">
        <f>IF(表1[[#This Row],[Tgl NPBG]]&gt;表1[[#This Row],[Peminta]],表1[[#This Row],[Tgl NPBG]]-表1[[#This Row],[Peminta]],"")</f>
        <v/>
      </c>
      <c r="J807" s="31"/>
    </row>
    <row r="808" s="12" customFormat="1" customHeight="1" spans="2:10">
      <c r="B808" s="25"/>
      <c r="C808" s="25"/>
      <c r="D808" s="26" t="str" cm="1">
        <f t="array" ref="D808">IF(C808="","",IFERROR(INDEX(STPP!$D$6:$D$4207,MATCH(C808,STPP!$C$6:$C$4207,0)),"Not Found"))</f>
        <v/>
      </c>
      <c r="E808" s="27" t="str" cm="1">
        <f t="array" ref="E808">IF(C808="","",IFERROR(INDEX(STPP!$E$6:$E$4207,MATCH(C808,STPP!$C$6:$C$4207,0)),"Not Found"))</f>
        <v/>
      </c>
      <c r="F808" s="27" t="str" cm="1">
        <f t="array" ref="F808">IF(C808="","",IFERROR(INDEX(STPP!$F$6:$F$4207,MATCH(C808,STPP!$C$6:$C$4207,0)),"Not Found"))</f>
        <v/>
      </c>
      <c r="G808" s="25" t="str">
        <f>IF(表1[[#This Row],[No Seri]]="","",表1[[#This Row],[Deskripsi Barang]]+表1[[#This Row],[Kuantitas]]-表1[[#This Row],[Satuan]])</f>
        <v/>
      </c>
      <c r="H808" s="28"/>
      <c r="I808" s="25" t="str">
        <f>IF(表1[[#This Row],[Tgl NPBG]]&gt;表1[[#This Row],[Peminta]],表1[[#This Row],[Tgl NPBG]]-表1[[#This Row],[Peminta]],"")</f>
        <v/>
      </c>
      <c r="J808" s="31"/>
    </row>
    <row r="809" s="12" customFormat="1" customHeight="1" spans="2:10">
      <c r="B809" s="25"/>
      <c r="C809" s="25"/>
      <c r="D809" s="26" t="str" cm="1">
        <f t="array" ref="D809">IF(C809="","",IFERROR(INDEX(STPP!$D$6:$D$4207,MATCH(C809,STPP!$C$6:$C$4207,0)),"Not Found"))</f>
        <v/>
      </c>
      <c r="E809" s="27" t="str" cm="1">
        <f t="array" ref="E809">IF(C809="","",IFERROR(INDEX(STPP!$E$6:$E$4207,MATCH(C809,STPP!$C$6:$C$4207,0)),"Not Found"))</f>
        <v/>
      </c>
      <c r="F809" s="27" t="str" cm="1">
        <f t="array" ref="F809">IF(C809="","",IFERROR(INDEX(STPP!$F$6:$F$4207,MATCH(C809,STPP!$C$6:$C$4207,0)),"Not Found"))</f>
        <v/>
      </c>
      <c r="G809" s="25" t="str">
        <f>IF(表1[[#This Row],[No Seri]]="","",表1[[#This Row],[Deskripsi Barang]]+表1[[#This Row],[Kuantitas]]-表1[[#This Row],[Satuan]])</f>
        <v/>
      </c>
      <c r="H809" s="28"/>
      <c r="I809" s="25" t="str">
        <f>IF(表1[[#This Row],[Tgl NPBG]]&gt;表1[[#This Row],[Peminta]],表1[[#This Row],[Tgl NPBG]]-表1[[#This Row],[Peminta]],"")</f>
        <v/>
      </c>
      <c r="J809" s="31"/>
    </row>
    <row r="810" s="12" customFormat="1" customHeight="1" spans="2:10">
      <c r="B810" s="25"/>
      <c r="C810" s="25"/>
      <c r="D810" s="26" t="str" cm="1">
        <f t="array" ref="D810">IF(C810="","",IFERROR(INDEX(STPP!$D$6:$D$4207,MATCH(C810,STPP!$C$6:$C$4207,0)),"Not Found"))</f>
        <v/>
      </c>
      <c r="E810" s="27" t="str" cm="1">
        <f t="array" ref="E810">IF(C810="","",IFERROR(INDEX(STPP!$E$6:$E$4207,MATCH(C810,STPP!$C$6:$C$4207,0)),"Not Found"))</f>
        <v/>
      </c>
      <c r="F810" s="27" t="str" cm="1">
        <f t="array" ref="F810">IF(C810="","",IFERROR(INDEX(STPP!$F$6:$F$4207,MATCH(C810,STPP!$C$6:$C$4207,0)),"Not Found"))</f>
        <v/>
      </c>
      <c r="G810" s="25" t="str">
        <f>IF(表1[[#This Row],[No Seri]]="","",表1[[#This Row],[Deskripsi Barang]]+表1[[#This Row],[Kuantitas]]-表1[[#This Row],[Satuan]])</f>
        <v/>
      </c>
      <c r="H810" s="28"/>
      <c r="I810" s="25" t="str">
        <f>IF(表1[[#This Row],[Tgl NPBG]]&gt;表1[[#This Row],[Peminta]],表1[[#This Row],[Tgl NPBG]]-表1[[#This Row],[Peminta]],"")</f>
        <v/>
      </c>
      <c r="J810" s="31"/>
    </row>
    <row r="811" s="12" customFormat="1" customHeight="1" spans="2:10">
      <c r="B811" s="25"/>
      <c r="C811" s="25"/>
      <c r="D811" s="26" t="str" cm="1">
        <f t="array" ref="D811">IF(C811="","",IFERROR(INDEX(STPP!$D$6:$D$4207,MATCH(C811,STPP!$C$6:$C$4207,0)),"Not Found"))</f>
        <v/>
      </c>
      <c r="E811" s="27" t="str" cm="1">
        <f t="array" ref="E811">IF(C811="","",IFERROR(INDEX(STPP!$E$6:$E$4207,MATCH(C811,STPP!$C$6:$C$4207,0)),"Not Found"))</f>
        <v/>
      </c>
      <c r="F811" s="27" t="str" cm="1">
        <f t="array" ref="F811">IF(C811="","",IFERROR(INDEX(STPP!$F$6:$F$4207,MATCH(C811,STPP!$C$6:$C$4207,0)),"Not Found"))</f>
        <v/>
      </c>
      <c r="G811" s="25" t="str">
        <f>IF(表1[[#This Row],[No Seri]]="","",表1[[#This Row],[Deskripsi Barang]]+表1[[#This Row],[Kuantitas]]-表1[[#This Row],[Satuan]])</f>
        <v/>
      </c>
      <c r="H811" s="28"/>
      <c r="I811" s="25" t="str">
        <f>IF(表1[[#This Row],[Tgl NPBG]]&gt;表1[[#This Row],[Peminta]],表1[[#This Row],[Tgl NPBG]]-表1[[#This Row],[Peminta]],"")</f>
        <v/>
      </c>
      <c r="J811" s="31"/>
    </row>
    <row r="812" s="12" customFormat="1" customHeight="1" spans="2:10">
      <c r="B812" s="25"/>
      <c r="C812" s="25"/>
      <c r="D812" s="26" t="str" cm="1">
        <f t="array" ref="D812">IF(C812="","",IFERROR(INDEX(STPP!$D$6:$D$4207,MATCH(C812,STPP!$C$6:$C$4207,0)),"Not Found"))</f>
        <v/>
      </c>
      <c r="E812" s="27" t="str" cm="1">
        <f t="array" ref="E812">IF(C812="","",IFERROR(INDEX(STPP!$E$6:$E$4207,MATCH(C812,STPP!$C$6:$C$4207,0)),"Not Found"))</f>
        <v/>
      </c>
      <c r="F812" s="27" t="str" cm="1">
        <f t="array" ref="F812">IF(C812="","",IFERROR(INDEX(STPP!$F$6:$F$4207,MATCH(C812,STPP!$C$6:$C$4207,0)),"Not Found"))</f>
        <v/>
      </c>
      <c r="G812" s="25" t="str">
        <f>IF(表1[[#This Row],[No Seri]]="","",表1[[#This Row],[Deskripsi Barang]]+表1[[#This Row],[Kuantitas]]-表1[[#This Row],[Satuan]])</f>
        <v/>
      </c>
      <c r="H812" s="28"/>
      <c r="I812" s="25" t="str">
        <f>IF(表1[[#This Row],[Tgl NPBG]]&gt;表1[[#This Row],[Peminta]],表1[[#This Row],[Tgl NPBG]]-表1[[#This Row],[Peminta]],"")</f>
        <v/>
      </c>
      <c r="J812" s="31"/>
    </row>
    <row r="813" s="12" customFormat="1" customHeight="1" spans="2:10">
      <c r="B813" s="25"/>
      <c r="C813" s="25"/>
      <c r="D813" s="26" t="str" cm="1">
        <f t="array" ref="D813">IF(C813="","",IFERROR(INDEX(STPP!$D$6:$D$4207,MATCH(C813,STPP!$C$6:$C$4207,0)),"Not Found"))</f>
        <v/>
      </c>
      <c r="E813" s="27" t="str" cm="1">
        <f t="array" ref="E813">IF(C813="","",IFERROR(INDEX(STPP!$E$6:$E$4207,MATCH(C813,STPP!$C$6:$C$4207,0)),"Not Found"))</f>
        <v/>
      </c>
      <c r="F813" s="27" t="str" cm="1">
        <f t="array" ref="F813">IF(C813="","",IFERROR(INDEX(STPP!$F$6:$F$4207,MATCH(C813,STPP!$C$6:$C$4207,0)),"Not Found"))</f>
        <v/>
      </c>
      <c r="G813" s="25" t="str">
        <f>IF(表1[[#This Row],[No Seri]]="","",表1[[#This Row],[Deskripsi Barang]]+表1[[#This Row],[Kuantitas]]-表1[[#This Row],[Satuan]])</f>
        <v/>
      </c>
      <c r="H813" s="28"/>
      <c r="I813" s="25" t="str">
        <f>IF(表1[[#This Row],[Tgl NPBG]]&gt;表1[[#This Row],[Peminta]],表1[[#This Row],[Tgl NPBG]]-表1[[#This Row],[Peminta]],"")</f>
        <v/>
      </c>
      <c r="J813" s="31"/>
    </row>
    <row r="814" s="12" customFormat="1" customHeight="1" spans="2:10">
      <c r="B814" s="25"/>
      <c r="C814" s="25"/>
      <c r="D814" s="26" t="str" cm="1">
        <f t="array" ref="D814">IF(C814="","",IFERROR(INDEX(STPP!$D$6:$D$4207,MATCH(C814,STPP!$C$6:$C$4207,0)),"Not Found"))</f>
        <v/>
      </c>
      <c r="E814" s="27" t="str" cm="1">
        <f t="array" ref="E814">IF(C814="","",IFERROR(INDEX(STPP!$E$6:$E$4207,MATCH(C814,STPP!$C$6:$C$4207,0)),"Not Found"))</f>
        <v/>
      </c>
      <c r="F814" s="27" t="str" cm="1">
        <f t="array" ref="F814">IF(C814="","",IFERROR(INDEX(STPP!$F$6:$F$4207,MATCH(C814,STPP!$C$6:$C$4207,0)),"Not Found"))</f>
        <v/>
      </c>
      <c r="G814" s="25" t="str">
        <f>IF(表1[[#This Row],[No Seri]]="","",表1[[#This Row],[Deskripsi Barang]]+表1[[#This Row],[Kuantitas]]-表1[[#This Row],[Satuan]])</f>
        <v/>
      </c>
      <c r="H814" s="28"/>
      <c r="I814" s="25" t="str">
        <f>IF(表1[[#This Row],[Tgl NPBG]]&gt;表1[[#This Row],[Peminta]],表1[[#This Row],[Tgl NPBG]]-表1[[#This Row],[Peminta]],"")</f>
        <v/>
      </c>
      <c r="J814" s="31"/>
    </row>
    <row r="815" s="12" customFormat="1" customHeight="1" spans="2:10">
      <c r="B815" s="25"/>
      <c r="C815" s="25"/>
      <c r="D815" s="26" t="str" cm="1">
        <f t="array" ref="D815">IF(C815="","",IFERROR(INDEX(STPP!$D$6:$D$4207,MATCH(C815,STPP!$C$6:$C$4207,0)),"Not Found"))</f>
        <v/>
      </c>
      <c r="E815" s="27" t="str" cm="1">
        <f t="array" ref="E815">IF(C815="","",IFERROR(INDEX(STPP!$E$6:$E$4207,MATCH(C815,STPP!$C$6:$C$4207,0)),"Not Found"))</f>
        <v/>
      </c>
      <c r="F815" s="27" t="str" cm="1">
        <f t="array" ref="F815">IF(C815="","",IFERROR(INDEX(STPP!$F$6:$F$4207,MATCH(C815,STPP!$C$6:$C$4207,0)),"Not Found"))</f>
        <v/>
      </c>
      <c r="G815" s="25" t="str">
        <f>IF(表1[[#This Row],[No Seri]]="","",表1[[#This Row],[Deskripsi Barang]]+表1[[#This Row],[Kuantitas]]-表1[[#This Row],[Satuan]])</f>
        <v/>
      </c>
      <c r="H815" s="28"/>
      <c r="I815" s="25" t="str">
        <f>IF(表1[[#This Row],[Tgl NPBG]]&gt;表1[[#This Row],[Peminta]],表1[[#This Row],[Tgl NPBG]]-表1[[#This Row],[Peminta]],"")</f>
        <v/>
      </c>
      <c r="J815" s="31"/>
    </row>
    <row r="816" s="12" customFormat="1" customHeight="1" spans="2:10">
      <c r="B816" s="25"/>
      <c r="C816" s="25"/>
      <c r="D816" s="26" t="str" cm="1">
        <f t="array" ref="D816">IF(C816="","",IFERROR(INDEX(STPP!$D$6:$D$4207,MATCH(C816,STPP!$C$6:$C$4207,0)),"Not Found"))</f>
        <v/>
      </c>
      <c r="E816" s="27" t="str" cm="1">
        <f t="array" ref="E816">IF(C816="","",IFERROR(INDEX(STPP!$E$6:$E$4207,MATCH(C816,STPP!$C$6:$C$4207,0)),"Not Found"))</f>
        <v/>
      </c>
      <c r="F816" s="27" t="str" cm="1">
        <f t="array" ref="F816">IF(C816="","",IFERROR(INDEX(STPP!$F$6:$F$4207,MATCH(C816,STPP!$C$6:$C$4207,0)),"Not Found"))</f>
        <v/>
      </c>
      <c r="G816" s="25" t="str">
        <f>IF(表1[[#This Row],[No Seri]]="","",表1[[#This Row],[Deskripsi Barang]]+表1[[#This Row],[Kuantitas]]-表1[[#This Row],[Satuan]])</f>
        <v/>
      </c>
      <c r="H816" s="28"/>
      <c r="I816" s="25" t="str">
        <f>IF(表1[[#This Row],[Tgl NPBG]]&gt;表1[[#This Row],[Peminta]],表1[[#This Row],[Tgl NPBG]]-表1[[#This Row],[Peminta]],"")</f>
        <v/>
      </c>
      <c r="J816" s="31"/>
    </row>
    <row r="817" s="12" customFormat="1" customHeight="1" spans="2:10">
      <c r="B817" s="25"/>
      <c r="C817" s="25"/>
      <c r="D817" s="26" t="str" cm="1">
        <f t="array" ref="D817">IF(C817="","",IFERROR(INDEX(STPP!$D$6:$D$4207,MATCH(C817,STPP!$C$6:$C$4207,0)),"Not Found"))</f>
        <v/>
      </c>
      <c r="E817" s="27" t="str" cm="1">
        <f t="array" ref="E817">IF(C817="","",IFERROR(INDEX(STPP!$E$6:$E$4207,MATCH(C817,STPP!$C$6:$C$4207,0)),"Not Found"))</f>
        <v/>
      </c>
      <c r="F817" s="27" t="str" cm="1">
        <f t="array" ref="F817">IF(C817="","",IFERROR(INDEX(STPP!$F$6:$F$4207,MATCH(C817,STPP!$C$6:$C$4207,0)),"Not Found"))</f>
        <v/>
      </c>
      <c r="G817" s="25" t="str">
        <f>IF(表1[[#This Row],[No Seri]]="","",表1[[#This Row],[Deskripsi Barang]]+表1[[#This Row],[Kuantitas]]-表1[[#This Row],[Satuan]])</f>
        <v/>
      </c>
      <c r="H817" s="28"/>
      <c r="I817" s="25" t="str">
        <f>IF(表1[[#This Row],[Tgl NPBG]]&gt;表1[[#This Row],[Peminta]],表1[[#This Row],[Tgl NPBG]]-表1[[#This Row],[Peminta]],"")</f>
        <v/>
      </c>
      <c r="J817" s="31"/>
    </row>
    <row r="818" s="12" customFormat="1" customHeight="1" spans="2:10">
      <c r="B818" s="25"/>
      <c r="C818" s="25"/>
      <c r="D818" s="26" t="str" cm="1">
        <f t="array" ref="D818">IF(C818="","",IFERROR(INDEX(STPP!$D$6:$D$4207,MATCH(C818,STPP!$C$6:$C$4207,0)),"Not Found"))</f>
        <v/>
      </c>
      <c r="E818" s="27" t="str" cm="1">
        <f t="array" ref="E818">IF(C818="","",IFERROR(INDEX(STPP!$E$6:$E$4207,MATCH(C818,STPP!$C$6:$C$4207,0)),"Not Found"))</f>
        <v/>
      </c>
      <c r="F818" s="27" t="str" cm="1">
        <f t="array" ref="F818">IF(C818="","",IFERROR(INDEX(STPP!$F$6:$F$4207,MATCH(C818,STPP!$C$6:$C$4207,0)),"Not Found"))</f>
        <v/>
      </c>
      <c r="G818" s="25" t="str">
        <f>IF(表1[[#This Row],[No Seri]]="","",表1[[#This Row],[Deskripsi Barang]]+表1[[#This Row],[Kuantitas]]-表1[[#This Row],[Satuan]])</f>
        <v/>
      </c>
      <c r="H818" s="28"/>
      <c r="I818" s="25" t="str">
        <f>IF(表1[[#This Row],[Tgl NPBG]]&gt;表1[[#This Row],[Peminta]],表1[[#This Row],[Tgl NPBG]]-表1[[#This Row],[Peminta]],"")</f>
        <v/>
      </c>
      <c r="J818" s="31"/>
    </row>
    <row r="819" s="12" customFormat="1" customHeight="1" spans="2:10">
      <c r="B819" s="25"/>
      <c r="C819" s="25"/>
      <c r="D819" s="26" t="str" cm="1">
        <f t="array" ref="D819">IF(C819="","",IFERROR(INDEX(STPP!$D$6:$D$4207,MATCH(C819,STPP!$C$6:$C$4207,0)),"Not Found"))</f>
        <v/>
      </c>
      <c r="E819" s="27" t="str" cm="1">
        <f t="array" ref="E819">IF(C819="","",IFERROR(INDEX(STPP!$E$6:$E$4207,MATCH(C819,STPP!$C$6:$C$4207,0)),"Not Found"))</f>
        <v/>
      </c>
      <c r="F819" s="27" t="str" cm="1">
        <f t="array" ref="F819">IF(C819="","",IFERROR(INDEX(STPP!$F$6:$F$4207,MATCH(C819,STPP!$C$6:$C$4207,0)),"Not Found"))</f>
        <v/>
      </c>
      <c r="G819" s="25" t="str">
        <f>IF(表1[[#This Row],[No Seri]]="","",表1[[#This Row],[Deskripsi Barang]]+表1[[#This Row],[Kuantitas]]-表1[[#This Row],[Satuan]])</f>
        <v/>
      </c>
      <c r="H819" s="28"/>
      <c r="I819" s="25" t="str">
        <f>IF(表1[[#This Row],[Tgl NPBG]]&gt;表1[[#This Row],[Peminta]],表1[[#This Row],[Tgl NPBG]]-表1[[#This Row],[Peminta]],"")</f>
        <v/>
      </c>
      <c r="J819" s="31"/>
    </row>
    <row r="820" s="12" customFormat="1" customHeight="1" spans="2:10">
      <c r="B820" s="25"/>
      <c r="C820" s="25"/>
      <c r="D820" s="26" t="str" cm="1">
        <f t="array" ref="D820">IF(C820="","",IFERROR(INDEX(STPP!$D$6:$D$4207,MATCH(C820,STPP!$C$6:$C$4207,0)),"Not Found"))</f>
        <v/>
      </c>
      <c r="E820" s="27" t="str" cm="1">
        <f t="array" ref="E820">IF(C820="","",IFERROR(INDEX(STPP!$E$6:$E$4207,MATCH(C820,STPP!$C$6:$C$4207,0)),"Not Found"))</f>
        <v/>
      </c>
      <c r="F820" s="27" t="str" cm="1">
        <f t="array" ref="F820">IF(C820="","",IFERROR(INDEX(STPP!$F$6:$F$4207,MATCH(C820,STPP!$C$6:$C$4207,0)),"Not Found"))</f>
        <v/>
      </c>
      <c r="G820" s="25" t="str">
        <f>IF(表1[[#This Row],[No Seri]]="","",表1[[#This Row],[Deskripsi Barang]]+表1[[#This Row],[Kuantitas]]-表1[[#This Row],[Satuan]])</f>
        <v/>
      </c>
      <c r="H820" s="28"/>
      <c r="I820" s="25" t="str">
        <f>IF(表1[[#This Row],[Tgl NPBG]]&gt;表1[[#This Row],[Peminta]],表1[[#This Row],[Tgl NPBG]]-表1[[#This Row],[Peminta]],"")</f>
        <v/>
      </c>
      <c r="J820" s="31"/>
    </row>
    <row r="821" s="12" customFormat="1" customHeight="1" spans="2:10">
      <c r="B821" s="25"/>
      <c r="C821" s="25"/>
      <c r="D821" s="26" t="str" cm="1">
        <f t="array" ref="D821">IF(C821="","",IFERROR(INDEX(STPP!$D$6:$D$4207,MATCH(C821,STPP!$C$6:$C$4207,0)),"Not Found"))</f>
        <v/>
      </c>
      <c r="E821" s="27" t="str" cm="1">
        <f t="array" ref="E821">IF(C821="","",IFERROR(INDEX(STPP!$E$6:$E$4207,MATCH(C821,STPP!$C$6:$C$4207,0)),"Not Found"))</f>
        <v/>
      </c>
      <c r="F821" s="27" t="str" cm="1">
        <f t="array" ref="F821">IF(C821="","",IFERROR(INDEX(STPP!$F$6:$F$4207,MATCH(C821,STPP!$C$6:$C$4207,0)),"Not Found"))</f>
        <v/>
      </c>
      <c r="G821" s="25" t="str">
        <f>IF(表1[[#This Row],[No Seri]]="","",表1[[#This Row],[Deskripsi Barang]]+表1[[#This Row],[Kuantitas]]-表1[[#This Row],[Satuan]])</f>
        <v/>
      </c>
      <c r="H821" s="28"/>
      <c r="I821" s="25" t="str">
        <f>IF(表1[[#This Row],[Tgl NPBG]]&gt;表1[[#This Row],[Peminta]],表1[[#This Row],[Tgl NPBG]]-表1[[#This Row],[Peminta]],"")</f>
        <v/>
      </c>
      <c r="J821" s="31"/>
    </row>
    <row r="822" s="12" customFormat="1" customHeight="1" spans="2:10">
      <c r="B822" s="25"/>
      <c r="C822" s="25"/>
      <c r="D822" s="26" t="str" cm="1">
        <f t="array" ref="D822">IF(C822="","",IFERROR(INDEX(STPP!$D$6:$D$4207,MATCH(C822,STPP!$C$6:$C$4207,0)),"Not Found"))</f>
        <v/>
      </c>
      <c r="E822" s="27" t="str" cm="1">
        <f t="array" ref="E822">IF(C822="","",IFERROR(INDEX(STPP!$E$6:$E$4207,MATCH(C822,STPP!$C$6:$C$4207,0)),"Not Found"))</f>
        <v/>
      </c>
      <c r="F822" s="27" t="str" cm="1">
        <f t="array" ref="F822">IF(C822="","",IFERROR(INDEX(STPP!$F$6:$F$4207,MATCH(C822,STPP!$C$6:$C$4207,0)),"Not Found"))</f>
        <v/>
      </c>
      <c r="G822" s="25" t="str">
        <f>IF(表1[[#This Row],[No Seri]]="","",表1[[#This Row],[Deskripsi Barang]]+表1[[#This Row],[Kuantitas]]-表1[[#This Row],[Satuan]])</f>
        <v/>
      </c>
      <c r="H822" s="28"/>
      <c r="I822" s="25" t="str">
        <f>IF(表1[[#This Row],[Tgl NPBG]]&gt;表1[[#This Row],[Peminta]],表1[[#This Row],[Tgl NPBG]]-表1[[#This Row],[Peminta]],"")</f>
        <v/>
      </c>
      <c r="J822" s="31"/>
    </row>
    <row r="823" s="12" customFormat="1" customHeight="1" spans="2:10">
      <c r="B823" s="25"/>
      <c r="C823" s="25"/>
      <c r="D823" s="26" t="str" cm="1">
        <f t="array" ref="D823">IF(C823="","",IFERROR(INDEX(STPP!$D$6:$D$4207,MATCH(C823,STPP!$C$6:$C$4207,0)),"Not Found"))</f>
        <v/>
      </c>
      <c r="E823" s="27" t="str" cm="1">
        <f t="array" ref="E823">IF(C823="","",IFERROR(INDEX(STPP!$E$6:$E$4207,MATCH(C823,STPP!$C$6:$C$4207,0)),"Not Found"))</f>
        <v/>
      </c>
      <c r="F823" s="27" t="str" cm="1">
        <f t="array" ref="F823">IF(C823="","",IFERROR(INDEX(STPP!$F$6:$F$4207,MATCH(C823,STPP!$C$6:$C$4207,0)),"Not Found"))</f>
        <v/>
      </c>
      <c r="G823" s="25" t="str">
        <f>IF(表1[[#This Row],[No Seri]]="","",表1[[#This Row],[Deskripsi Barang]]+表1[[#This Row],[Kuantitas]]-表1[[#This Row],[Satuan]])</f>
        <v/>
      </c>
      <c r="H823" s="28"/>
      <c r="I823" s="25" t="str">
        <f>IF(表1[[#This Row],[Tgl NPBG]]&gt;表1[[#This Row],[Peminta]],表1[[#This Row],[Tgl NPBG]]-表1[[#This Row],[Peminta]],"")</f>
        <v/>
      </c>
      <c r="J823" s="31"/>
    </row>
    <row r="824" s="12" customFormat="1" customHeight="1" spans="2:10">
      <c r="B824" s="25"/>
      <c r="C824" s="25"/>
      <c r="D824" s="26" t="str" cm="1">
        <f t="array" ref="D824">IF(C824="","",IFERROR(INDEX(STPP!$D$6:$D$4207,MATCH(C824,STPP!$C$6:$C$4207,0)),"Not Found"))</f>
        <v/>
      </c>
      <c r="E824" s="27" t="str" cm="1">
        <f t="array" ref="E824">IF(C824="","",IFERROR(INDEX(STPP!$E$6:$E$4207,MATCH(C824,STPP!$C$6:$C$4207,0)),"Not Found"))</f>
        <v/>
      </c>
      <c r="F824" s="27" t="str" cm="1">
        <f t="array" ref="F824">IF(C824="","",IFERROR(INDEX(STPP!$F$6:$F$4207,MATCH(C824,STPP!$C$6:$C$4207,0)),"Not Found"))</f>
        <v/>
      </c>
      <c r="G824" s="25" t="str">
        <f>IF(表1[[#This Row],[No Seri]]="","",表1[[#This Row],[Deskripsi Barang]]+表1[[#This Row],[Kuantitas]]-表1[[#This Row],[Satuan]])</f>
        <v/>
      </c>
      <c r="H824" s="28"/>
      <c r="I824" s="25" t="str">
        <f>IF(表1[[#This Row],[Tgl NPBG]]&gt;表1[[#This Row],[Peminta]],表1[[#This Row],[Tgl NPBG]]-表1[[#This Row],[Peminta]],"")</f>
        <v/>
      </c>
      <c r="J824" s="31"/>
    </row>
    <row r="825" s="12" customFormat="1" customHeight="1" spans="2:10">
      <c r="B825" s="25"/>
      <c r="C825" s="25"/>
      <c r="D825" s="26" t="str" cm="1">
        <f t="array" ref="D825">IF(C825="","",IFERROR(INDEX(STPP!$D$6:$D$4207,MATCH(C825,STPP!$C$6:$C$4207,0)),"Not Found"))</f>
        <v/>
      </c>
      <c r="E825" s="27" t="str" cm="1">
        <f t="array" ref="E825">IF(C825="","",IFERROR(INDEX(STPP!$E$6:$E$4207,MATCH(C825,STPP!$C$6:$C$4207,0)),"Not Found"))</f>
        <v/>
      </c>
      <c r="F825" s="27" t="str" cm="1">
        <f t="array" ref="F825">IF(C825="","",IFERROR(INDEX(STPP!$F$6:$F$4207,MATCH(C825,STPP!$C$6:$C$4207,0)),"Not Found"))</f>
        <v/>
      </c>
      <c r="G825" s="25" t="str">
        <f>IF(表1[[#This Row],[No Seri]]="","",表1[[#This Row],[Deskripsi Barang]]+表1[[#This Row],[Kuantitas]]-表1[[#This Row],[Satuan]])</f>
        <v/>
      </c>
      <c r="H825" s="28"/>
      <c r="I825" s="25" t="str">
        <f>IF(表1[[#This Row],[Tgl NPBG]]&gt;表1[[#This Row],[Peminta]],表1[[#This Row],[Tgl NPBG]]-表1[[#This Row],[Peminta]],"")</f>
        <v/>
      </c>
      <c r="J825" s="31"/>
    </row>
    <row r="826" s="12" customFormat="1" customHeight="1" spans="2:10">
      <c r="B826" s="25"/>
      <c r="C826" s="25"/>
      <c r="D826" s="26" t="str" cm="1">
        <f t="array" ref="D826">IF(C826="","",IFERROR(INDEX(STPP!$D$6:$D$4207,MATCH(C826,STPP!$C$6:$C$4207,0)),"Not Found"))</f>
        <v/>
      </c>
      <c r="E826" s="27" t="str" cm="1">
        <f t="array" ref="E826">IF(C826="","",IFERROR(INDEX(STPP!$E$6:$E$4207,MATCH(C826,STPP!$C$6:$C$4207,0)),"Not Found"))</f>
        <v/>
      </c>
      <c r="F826" s="27" t="str" cm="1">
        <f t="array" ref="F826">IF(C826="","",IFERROR(INDEX(STPP!$F$6:$F$4207,MATCH(C826,STPP!$C$6:$C$4207,0)),"Not Found"))</f>
        <v/>
      </c>
      <c r="G826" s="25" t="str">
        <f>IF(表1[[#This Row],[No Seri]]="","",表1[[#This Row],[Deskripsi Barang]]+表1[[#This Row],[Kuantitas]]-表1[[#This Row],[Satuan]])</f>
        <v/>
      </c>
      <c r="H826" s="28"/>
      <c r="I826" s="25" t="str">
        <f>IF(表1[[#This Row],[Tgl NPBG]]&gt;表1[[#This Row],[Peminta]],表1[[#This Row],[Tgl NPBG]]-表1[[#This Row],[Peminta]],"")</f>
        <v/>
      </c>
      <c r="J826" s="31"/>
    </row>
    <row r="827" s="12" customFormat="1" customHeight="1" spans="2:10">
      <c r="B827" s="25"/>
      <c r="C827" s="25"/>
      <c r="D827" s="26" t="str" cm="1">
        <f t="array" ref="D827">IF(C827="","",IFERROR(INDEX(STPP!$D$6:$D$4207,MATCH(C827,STPP!$C$6:$C$4207,0)),"Not Found"))</f>
        <v/>
      </c>
      <c r="E827" s="27" t="str" cm="1">
        <f t="array" ref="E827">IF(C827="","",IFERROR(INDEX(STPP!$E$6:$E$4207,MATCH(C827,STPP!$C$6:$C$4207,0)),"Not Found"))</f>
        <v/>
      </c>
      <c r="F827" s="27" t="str" cm="1">
        <f t="array" ref="F827">IF(C827="","",IFERROR(INDEX(STPP!$F$6:$F$4207,MATCH(C827,STPP!$C$6:$C$4207,0)),"Not Found"))</f>
        <v/>
      </c>
      <c r="G827" s="25" t="str">
        <f>IF(表1[[#This Row],[No Seri]]="","",表1[[#This Row],[Deskripsi Barang]]+表1[[#This Row],[Kuantitas]]-表1[[#This Row],[Satuan]])</f>
        <v/>
      </c>
      <c r="H827" s="28"/>
      <c r="I827" s="25" t="str">
        <f>IF(表1[[#This Row],[Tgl NPBG]]&gt;表1[[#This Row],[Peminta]],表1[[#This Row],[Tgl NPBG]]-表1[[#This Row],[Peminta]],"")</f>
        <v/>
      </c>
      <c r="J827" s="31"/>
    </row>
    <row r="828" s="12" customFormat="1" customHeight="1" spans="2:10">
      <c r="B828" s="25"/>
      <c r="C828" s="25"/>
      <c r="D828" s="26" t="str" cm="1">
        <f t="array" ref="D828">IF(C828="","",IFERROR(INDEX(STPP!$D$6:$D$4207,MATCH(C828,STPP!$C$6:$C$4207,0)),"Not Found"))</f>
        <v/>
      </c>
      <c r="E828" s="27" t="str" cm="1">
        <f t="array" ref="E828">IF(C828="","",IFERROR(INDEX(STPP!$E$6:$E$4207,MATCH(C828,STPP!$C$6:$C$4207,0)),"Not Found"))</f>
        <v/>
      </c>
      <c r="F828" s="27" t="str" cm="1">
        <f t="array" ref="F828">IF(C828="","",IFERROR(INDEX(STPP!$F$6:$F$4207,MATCH(C828,STPP!$C$6:$C$4207,0)),"Not Found"))</f>
        <v/>
      </c>
      <c r="G828" s="25" t="str">
        <f>IF(表1[[#This Row],[No Seri]]="","",表1[[#This Row],[Deskripsi Barang]]+表1[[#This Row],[Kuantitas]]-表1[[#This Row],[Satuan]])</f>
        <v/>
      </c>
      <c r="H828" s="28"/>
      <c r="I828" s="25" t="str">
        <f>IF(表1[[#This Row],[Tgl NPBG]]&gt;表1[[#This Row],[Peminta]],表1[[#This Row],[Tgl NPBG]]-表1[[#This Row],[Peminta]],"")</f>
        <v/>
      </c>
      <c r="J828" s="31"/>
    </row>
    <row r="829" s="12" customFormat="1" customHeight="1" spans="2:10">
      <c r="B829" s="25"/>
      <c r="C829" s="25"/>
      <c r="D829" s="26" t="str" cm="1">
        <f t="array" ref="D829">IF(C829="","",IFERROR(INDEX(STPP!$D$6:$D$4207,MATCH(C829,STPP!$C$6:$C$4207,0)),"Not Found"))</f>
        <v/>
      </c>
      <c r="E829" s="27" t="str" cm="1">
        <f t="array" ref="E829">IF(C829="","",IFERROR(INDEX(STPP!$E$6:$E$4207,MATCH(C829,STPP!$C$6:$C$4207,0)),"Not Found"))</f>
        <v/>
      </c>
      <c r="F829" s="27" t="str" cm="1">
        <f t="array" ref="F829">IF(C829="","",IFERROR(INDEX(STPP!$F$6:$F$4207,MATCH(C829,STPP!$C$6:$C$4207,0)),"Not Found"))</f>
        <v/>
      </c>
      <c r="G829" s="25" t="str">
        <f>IF(表1[[#This Row],[No Seri]]="","",表1[[#This Row],[Deskripsi Barang]]+表1[[#This Row],[Kuantitas]]-表1[[#This Row],[Satuan]])</f>
        <v/>
      </c>
      <c r="H829" s="28"/>
      <c r="I829" s="25" t="str">
        <f>IF(表1[[#This Row],[Tgl NPBG]]&gt;表1[[#This Row],[Peminta]],表1[[#This Row],[Tgl NPBG]]-表1[[#This Row],[Peminta]],"")</f>
        <v/>
      </c>
      <c r="J829" s="31"/>
    </row>
    <row r="830" s="12" customFormat="1" customHeight="1" spans="2:10">
      <c r="B830" s="25"/>
      <c r="C830" s="25"/>
      <c r="D830" s="26" t="str" cm="1">
        <f t="array" ref="D830">IF(C830="","",IFERROR(INDEX(STPP!$D$6:$D$4207,MATCH(C830,STPP!$C$6:$C$4207,0)),"Not Found"))</f>
        <v/>
      </c>
      <c r="E830" s="27" t="str" cm="1">
        <f t="array" ref="E830">IF(C830="","",IFERROR(INDEX(STPP!$E$6:$E$4207,MATCH(C830,STPP!$C$6:$C$4207,0)),"Not Found"))</f>
        <v/>
      </c>
      <c r="F830" s="27" t="str" cm="1">
        <f t="array" ref="F830">IF(C830="","",IFERROR(INDEX(STPP!$F$6:$F$4207,MATCH(C830,STPP!$C$6:$C$4207,0)),"Not Found"))</f>
        <v/>
      </c>
      <c r="G830" s="25" t="str">
        <f>IF(表1[[#This Row],[No Seri]]="","",表1[[#This Row],[Deskripsi Barang]]+表1[[#This Row],[Kuantitas]]-表1[[#This Row],[Satuan]])</f>
        <v/>
      </c>
      <c r="H830" s="28"/>
      <c r="I830" s="25" t="str">
        <f>IF(表1[[#This Row],[Tgl NPBG]]&gt;表1[[#This Row],[Peminta]],表1[[#This Row],[Tgl NPBG]]-表1[[#This Row],[Peminta]],"")</f>
        <v/>
      </c>
      <c r="J830" s="31"/>
    </row>
    <row r="831" s="12" customFormat="1" customHeight="1" spans="2:10">
      <c r="B831" s="25"/>
      <c r="C831" s="25"/>
      <c r="D831" s="26" t="str" cm="1">
        <f t="array" ref="D831">IF(C831="","",IFERROR(INDEX(STPP!$D$6:$D$4207,MATCH(C831,STPP!$C$6:$C$4207,0)),"Not Found"))</f>
        <v/>
      </c>
      <c r="E831" s="27" t="str" cm="1">
        <f t="array" ref="E831">IF(C831="","",IFERROR(INDEX(STPP!$E$6:$E$4207,MATCH(C831,STPP!$C$6:$C$4207,0)),"Not Found"))</f>
        <v/>
      </c>
      <c r="F831" s="27" t="str" cm="1">
        <f t="array" ref="F831">IF(C831="","",IFERROR(INDEX(STPP!$F$6:$F$4207,MATCH(C831,STPP!$C$6:$C$4207,0)),"Not Found"))</f>
        <v/>
      </c>
      <c r="G831" s="25" t="str">
        <f>IF(表1[[#This Row],[No Seri]]="","",表1[[#This Row],[Deskripsi Barang]]+表1[[#This Row],[Kuantitas]]-表1[[#This Row],[Satuan]])</f>
        <v/>
      </c>
      <c r="H831" s="28"/>
      <c r="I831" s="25" t="str">
        <f>IF(表1[[#This Row],[Tgl NPBG]]&gt;表1[[#This Row],[Peminta]],表1[[#This Row],[Tgl NPBG]]-表1[[#This Row],[Peminta]],"")</f>
        <v/>
      </c>
      <c r="J831" s="31"/>
    </row>
    <row r="832" s="12" customFormat="1" customHeight="1" spans="2:10">
      <c r="B832" s="25"/>
      <c r="C832" s="25"/>
      <c r="D832" s="26" t="str" cm="1">
        <f t="array" ref="D832">IF(C832="","",IFERROR(INDEX(STPP!$D$6:$D$4207,MATCH(C832,STPP!$C$6:$C$4207,0)),"Not Found"))</f>
        <v/>
      </c>
      <c r="E832" s="27" t="str" cm="1">
        <f t="array" ref="E832">IF(C832="","",IFERROR(INDEX(STPP!$E$6:$E$4207,MATCH(C832,STPP!$C$6:$C$4207,0)),"Not Found"))</f>
        <v/>
      </c>
      <c r="F832" s="27" t="str" cm="1">
        <f t="array" ref="F832">IF(C832="","",IFERROR(INDEX(STPP!$F$6:$F$4207,MATCH(C832,STPP!$C$6:$C$4207,0)),"Not Found"))</f>
        <v/>
      </c>
      <c r="G832" s="25" t="str">
        <f>IF(表1[[#This Row],[No Seri]]="","",表1[[#This Row],[Deskripsi Barang]]+表1[[#This Row],[Kuantitas]]-表1[[#This Row],[Satuan]])</f>
        <v/>
      </c>
      <c r="H832" s="28"/>
      <c r="I832" s="25" t="str">
        <f>IF(表1[[#This Row],[Tgl NPBG]]&gt;表1[[#This Row],[Peminta]],表1[[#This Row],[Tgl NPBG]]-表1[[#This Row],[Peminta]],"")</f>
        <v/>
      </c>
      <c r="J832" s="31"/>
    </row>
    <row r="833" s="12" customFormat="1" customHeight="1" spans="2:10">
      <c r="B833" s="25"/>
      <c r="C833" s="25"/>
      <c r="D833" s="26" t="str" cm="1">
        <f t="array" ref="D833">IF(C833="","",IFERROR(INDEX(STPP!$D$6:$D$4207,MATCH(C833,STPP!$C$6:$C$4207,0)),"Not Found"))</f>
        <v/>
      </c>
      <c r="E833" s="27" t="str" cm="1">
        <f t="array" ref="E833">IF(C833="","",IFERROR(INDEX(STPP!$E$6:$E$4207,MATCH(C833,STPP!$C$6:$C$4207,0)),"Not Found"))</f>
        <v/>
      </c>
      <c r="F833" s="27" t="str" cm="1">
        <f t="array" ref="F833">IF(C833="","",IFERROR(INDEX(STPP!$F$6:$F$4207,MATCH(C833,STPP!$C$6:$C$4207,0)),"Not Found"))</f>
        <v/>
      </c>
      <c r="G833" s="25" t="str">
        <f>IF(表1[[#This Row],[No Seri]]="","",表1[[#This Row],[Deskripsi Barang]]+表1[[#This Row],[Kuantitas]]-表1[[#This Row],[Satuan]])</f>
        <v/>
      </c>
      <c r="H833" s="28"/>
      <c r="I833" s="25" t="str">
        <f>IF(表1[[#This Row],[Tgl NPBG]]&gt;表1[[#This Row],[Peminta]],表1[[#This Row],[Tgl NPBG]]-表1[[#This Row],[Peminta]],"")</f>
        <v/>
      </c>
      <c r="J833" s="31"/>
    </row>
    <row r="834" s="12" customFormat="1" customHeight="1" spans="2:10">
      <c r="B834" s="25"/>
      <c r="C834" s="25"/>
      <c r="D834" s="26" t="str" cm="1">
        <f t="array" ref="D834">IF(C834="","",IFERROR(INDEX(STPP!$D$6:$D$4207,MATCH(C834,STPP!$C$6:$C$4207,0)),"Not Found"))</f>
        <v/>
      </c>
      <c r="E834" s="27" t="str" cm="1">
        <f t="array" ref="E834">IF(C834="","",IFERROR(INDEX(STPP!$E$6:$E$4207,MATCH(C834,STPP!$C$6:$C$4207,0)),"Not Found"))</f>
        <v/>
      </c>
      <c r="F834" s="27" t="str" cm="1">
        <f t="array" ref="F834">IF(C834="","",IFERROR(INDEX(STPP!$F$6:$F$4207,MATCH(C834,STPP!$C$6:$C$4207,0)),"Not Found"))</f>
        <v/>
      </c>
      <c r="G834" s="25" t="str">
        <f>IF(表1[[#This Row],[No Seri]]="","",表1[[#This Row],[Deskripsi Barang]]+表1[[#This Row],[Kuantitas]]-表1[[#This Row],[Satuan]])</f>
        <v/>
      </c>
      <c r="H834" s="28"/>
      <c r="I834" s="25" t="str">
        <f>IF(表1[[#This Row],[Tgl NPBG]]&gt;表1[[#This Row],[Peminta]],表1[[#This Row],[Tgl NPBG]]-表1[[#This Row],[Peminta]],"")</f>
        <v/>
      </c>
      <c r="J834" s="31"/>
    </row>
    <row r="835" s="12" customFormat="1" customHeight="1" spans="2:10">
      <c r="B835" s="25"/>
      <c r="C835" s="25"/>
      <c r="D835" s="26" t="str" cm="1">
        <f t="array" ref="D835">IF(C835="","",IFERROR(INDEX(STPP!$D$6:$D$4207,MATCH(C835,STPP!$C$6:$C$4207,0)),"Not Found"))</f>
        <v/>
      </c>
      <c r="E835" s="27" t="str" cm="1">
        <f t="array" ref="E835">IF(C835="","",IFERROR(INDEX(STPP!$E$6:$E$4207,MATCH(C835,STPP!$C$6:$C$4207,0)),"Not Found"))</f>
        <v/>
      </c>
      <c r="F835" s="27" t="str" cm="1">
        <f t="array" ref="F835">IF(C835="","",IFERROR(INDEX(STPP!$F$6:$F$4207,MATCH(C835,STPP!$C$6:$C$4207,0)),"Not Found"))</f>
        <v/>
      </c>
      <c r="G835" s="25" t="str">
        <f>IF(表1[[#This Row],[No Seri]]="","",表1[[#This Row],[Deskripsi Barang]]+表1[[#This Row],[Kuantitas]]-表1[[#This Row],[Satuan]])</f>
        <v/>
      </c>
      <c r="H835" s="28"/>
      <c r="I835" s="25" t="str">
        <f>IF(表1[[#This Row],[Tgl NPBG]]&gt;表1[[#This Row],[Peminta]],表1[[#This Row],[Tgl NPBG]]-表1[[#This Row],[Peminta]],"")</f>
        <v/>
      </c>
      <c r="J835" s="31"/>
    </row>
    <row r="836" s="12" customFormat="1" customHeight="1" spans="2:10">
      <c r="B836" s="25"/>
      <c r="C836" s="25"/>
      <c r="D836" s="26" t="str" cm="1">
        <f t="array" ref="D836">IF(C836="","",IFERROR(INDEX(STPP!$D$6:$D$4207,MATCH(C836,STPP!$C$6:$C$4207,0)),"Not Found"))</f>
        <v/>
      </c>
      <c r="E836" s="27" t="str" cm="1">
        <f t="array" ref="E836">IF(C836="","",IFERROR(INDEX(STPP!$E$6:$E$4207,MATCH(C836,STPP!$C$6:$C$4207,0)),"Not Found"))</f>
        <v/>
      </c>
      <c r="F836" s="27" t="str" cm="1">
        <f t="array" ref="F836">IF(C836="","",IFERROR(INDEX(STPP!$F$6:$F$4207,MATCH(C836,STPP!$C$6:$C$4207,0)),"Not Found"))</f>
        <v/>
      </c>
      <c r="G836" s="25" t="str">
        <f>IF(表1[[#This Row],[No Seri]]="","",表1[[#This Row],[Deskripsi Barang]]+表1[[#This Row],[Kuantitas]]-表1[[#This Row],[Satuan]])</f>
        <v/>
      </c>
      <c r="H836" s="28"/>
      <c r="I836" s="25" t="str">
        <f>IF(表1[[#This Row],[Tgl NPBG]]&gt;表1[[#This Row],[Peminta]],表1[[#This Row],[Tgl NPBG]]-表1[[#This Row],[Peminta]],"")</f>
        <v/>
      </c>
      <c r="J836" s="31"/>
    </row>
    <row r="837" s="12" customFormat="1" customHeight="1" spans="2:10">
      <c r="B837" s="25"/>
      <c r="C837" s="25"/>
      <c r="D837" s="26" t="str" cm="1">
        <f t="array" ref="D837">IF(C837="","",IFERROR(INDEX(STPP!$D$6:$D$4207,MATCH(C837,STPP!$C$6:$C$4207,0)),"Not Found"))</f>
        <v/>
      </c>
      <c r="E837" s="27" t="str" cm="1">
        <f t="array" ref="E837">IF(C837="","",IFERROR(INDEX(STPP!$E$6:$E$4207,MATCH(C837,STPP!$C$6:$C$4207,0)),"Not Found"))</f>
        <v/>
      </c>
      <c r="F837" s="27" t="str" cm="1">
        <f t="array" ref="F837">IF(C837="","",IFERROR(INDEX(STPP!$F$6:$F$4207,MATCH(C837,STPP!$C$6:$C$4207,0)),"Not Found"))</f>
        <v/>
      </c>
      <c r="G837" s="25" t="str">
        <f>IF(表1[[#This Row],[No Seri]]="","",表1[[#This Row],[Deskripsi Barang]]+表1[[#This Row],[Kuantitas]]-表1[[#This Row],[Satuan]])</f>
        <v/>
      </c>
      <c r="H837" s="28"/>
      <c r="I837" s="25" t="str">
        <f>IF(表1[[#This Row],[Tgl NPBG]]&gt;表1[[#This Row],[Peminta]],表1[[#This Row],[Tgl NPBG]]-表1[[#This Row],[Peminta]],"")</f>
        <v/>
      </c>
      <c r="J837" s="31"/>
    </row>
    <row r="838" s="12" customFormat="1" customHeight="1" spans="2:10">
      <c r="B838" s="25"/>
      <c r="C838" s="25"/>
      <c r="D838" s="26" t="str" cm="1">
        <f t="array" ref="D838">IF(C838="","",IFERROR(INDEX(STPP!$D$6:$D$4207,MATCH(C838,STPP!$C$6:$C$4207,0)),"Not Found"))</f>
        <v/>
      </c>
      <c r="E838" s="27" t="str" cm="1">
        <f t="array" ref="E838">IF(C838="","",IFERROR(INDEX(STPP!$E$6:$E$4207,MATCH(C838,STPP!$C$6:$C$4207,0)),"Not Found"))</f>
        <v/>
      </c>
      <c r="F838" s="27" t="str" cm="1">
        <f t="array" ref="F838">IF(C838="","",IFERROR(INDEX(STPP!$F$6:$F$4207,MATCH(C838,STPP!$C$6:$C$4207,0)),"Not Found"))</f>
        <v/>
      </c>
      <c r="G838" s="25" t="str">
        <f>IF(表1[[#This Row],[No Seri]]="","",表1[[#This Row],[Deskripsi Barang]]+表1[[#This Row],[Kuantitas]]-表1[[#This Row],[Satuan]])</f>
        <v/>
      </c>
      <c r="H838" s="28"/>
      <c r="I838" s="25" t="str">
        <f>IF(表1[[#This Row],[Tgl NPBG]]&gt;表1[[#This Row],[Peminta]],表1[[#This Row],[Tgl NPBG]]-表1[[#This Row],[Peminta]],"")</f>
        <v/>
      </c>
      <c r="J838" s="31"/>
    </row>
    <row r="839" s="12" customFormat="1" customHeight="1" spans="2:10">
      <c r="B839" s="25"/>
      <c r="C839" s="25"/>
      <c r="D839" s="26" t="str" cm="1">
        <f t="array" ref="D839">IF(C839="","",IFERROR(INDEX(STPP!$D$6:$D$4207,MATCH(C839,STPP!$C$6:$C$4207,0)),"Not Found"))</f>
        <v/>
      </c>
      <c r="E839" s="27" t="str" cm="1">
        <f t="array" ref="E839">IF(C839="","",IFERROR(INDEX(STPP!$E$6:$E$4207,MATCH(C839,STPP!$C$6:$C$4207,0)),"Not Found"))</f>
        <v/>
      </c>
      <c r="F839" s="27" t="str" cm="1">
        <f t="array" ref="F839">IF(C839="","",IFERROR(INDEX(STPP!$F$6:$F$4207,MATCH(C839,STPP!$C$6:$C$4207,0)),"Not Found"))</f>
        <v/>
      </c>
      <c r="G839" s="25" t="str">
        <f>IF(表1[[#This Row],[No Seri]]="","",表1[[#This Row],[Deskripsi Barang]]+表1[[#This Row],[Kuantitas]]-表1[[#This Row],[Satuan]])</f>
        <v/>
      </c>
      <c r="H839" s="28"/>
      <c r="I839" s="25" t="str">
        <f>IF(表1[[#This Row],[Tgl NPBG]]&gt;表1[[#This Row],[Peminta]],表1[[#This Row],[Tgl NPBG]]-表1[[#This Row],[Peminta]],"")</f>
        <v/>
      </c>
      <c r="J839" s="31"/>
    </row>
    <row r="840" s="12" customFormat="1" customHeight="1" spans="2:10">
      <c r="B840" s="25"/>
      <c r="C840" s="25"/>
      <c r="D840" s="26" t="str" cm="1">
        <f t="array" ref="D840">IF(C840="","",IFERROR(INDEX(STPP!$D$6:$D$4207,MATCH(C840,STPP!$C$6:$C$4207,0)),"Not Found"))</f>
        <v/>
      </c>
      <c r="E840" s="27" t="str" cm="1">
        <f t="array" ref="E840">IF(C840="","",IFERROR(INDEX(STPP!$E$6:$E$4207,MATCH(C840,STPP!$C$6:$C$4207,0)),"Not Found"))</f>
        <v/>
      </c>
      <c r="F840" s="27" t="str" cm="1">
        <f t="array" ref="F840">IF(C840="","",IFERROR(INDEX(STPP!$F$6:$F$4207,MATCH(C840,STPP!$C$6:$C$4207,0)),"Not Found"))</f>
        <v/>
      </c>
      <c r="G840" s="25" t="str">
        <f>IF(表1[[#This Row],[No Seri]]="","",表1[[#This Row],[Deskripsi Barang]]+表1[[#This Row],[Kuantitas]]-表1[[#This Row],[Satuan]])</f>
        <v/>
      </c>
      <c r="H840" s="28"/>
      <c r="I840" s="25" t="str">
        <f>IF(表1[[#This Row],[Tgl NPBG]]&gt;表1[[#This Row],[Peminta]],表1[[#This Row],[Tgl NPBG]]-表1[[#This Row],[Peminta]],"")</f>
        <v/>
      </c>
      <c r="J840" s="31"/>
    </row>
    <row r="841" s="12" customFormat="1" customHeight="1" spans="2:10">
      <c r="B841" s="25"/>
      <c r="C841" s="25"/>
      <c r="D841" s="26" t="str" cm="1">
        <f t="array" ref="D841">IF(C841="","",IFERROR(INDEX(STPP!$D$6:$D$4207,MATCH(C841,STPP!$C$6:$C$4207,0)),"Not Found"))</f>
        <v/>
      </c>
      <c r="E841" s="27" t="str" cm="1">
        <f t="array" ref="E841">IF(C841="","",IFERROR(INDEX(STPP!$E$6:$E$4207,MATCH(C841,STPP!$C$6:$C$4207,0)),"Not Found"))</f>
        <v/>
      </c>
      <c r="F841" s="27" t="str" cm="1">
        <f t="array" ref="F841">IF(C841="","",IFERROR(INDEX(STPP!$F$6:$F$4207,MATCH(C841,STPP!$C$6:$C$4207,0)),"Not Found"))</f>
        <v/>
      </c>
      <c r="G841" s="25" t="str">
        <f>IF(表1[[#This Row],[No Seri]]="","",表1[[#This Row],[Deskripsi Barang]]+表1[[#This Row],[Kuantitas]]-表1[[#This Row],[Satuan]])</f>
        <v/>
      </c>
      <c r="H841" s="28"/>
      <c r="I841" s="25" t="str">
        <f>IF(表1[[#This Row],[Tgl NPBG]]&gt;表1[[#This Row],[Peminta]],表1[[#This Row],[Tgl NPBG]]-表1[[#This Row],[Peminta]],"")</f>
        <v/>
      </c>
      <c r="J841" s="31"/>
    </row>
    <row r="842" s="12" customFormat="1" customHeight="1" spans="2:10">
      <c r="B842" s="25"/>
      <c r="C842" s="25"/>
      <c r="D842" s="26" t="str" cm="1">
        <f t="array" ref="D842">IF(C842="","",IFERROR(INDEX(STPP!$D$6:$D$4207,MATCH(C842,STPP!$C$6:$C$4207,0)),"Not Found"))</f>
        <v/>
      </c>
      <c r="E842" s="27" t="str" cm="1">
        <f t="array" ref="E842">IF(C842="","",IFERROR(INDEX(STPP!$E$6:$E$4207,MATCH(C842,STPP!$C$6:$C$4207,0)),"Not Found"))</f>
        <v/>
      </c>
      <c r="F842" s="27" t="str" cm="1">
        <f t="array" ref="F842">IF(C842="","",IFERROR(INDEX(STPP!$F$6:$F$4207,MATCH(C842,STPP!$C$6:$C$4207,0)),"Not Found"))</f>
        <v/>
      </c>
      <c r="G842" s="25" t="str">
        <f>IF(表1[[#This Row],[No Seri]]="","",表1[[#This Row],[Deskripsi Barang]]+表1[[#This Row],[Kuantitas]]-表1[[#This Row],[Satuan]])</f>
        <v/>
      </c>
      <c r="H842" s="28"/>
      <c r="I842" s="25" t="str">
        <f>IF(表1[[#This Row],[Tgl NPBG]]&gt;表1[[#This Row],[Peminta]],表1[[#This Row],[Tgl NPBG]]-表1[[#This Row],[Peminta]],"")</f>
        <v/>
      </c>
      <c r="J842" s="31"/>
    </row>
    <row r="843" s="12" customFormat="1" customHeight="1" spans="2:10">
      <c r="B843" s="25"/>
      <c r="C843" s="25"/>
      <c r="D843" s="26" t="str" cm="1">
        <f t="array" ref="D843">IF(C843="","",IFERROR(INDEX(STPP!$D$6:$D$4207,MATCH(C843,STPP!$C$6:$C$4207,0)),"Not Found"))</f>
        <v/>
      </c>
      <c r="E843" s="27" t="str" cm="1">
        <f t="array" ref="E843">IF(C843="","",IFERROR(INDEX(STPP!$E$6:$E$4207,MATCH(C843,STPP!$C$6:$C$4207,0)),"Not Found"))</f>
        <v/>
      </c>
      <c r="F843" s="27" t="str" cm="1">
        <f t="array" ref="F843">IF(C843="","",IFERROR(INDEX(STPP!$F$6:$F$4207,MATCH(C843,STPP!$C$6:$C$4207,0)),"Not Found"))</f>
        <v/>
      </c>
      <c r="G843" s="25" t="str">
        <f>IF(表1[[#This Row],[No Seri]]="","",表1[[#This Row],[Deskripsi Barang]]+表1[[#This Row],[Kuantitas]]-表1[[#This Row],[Satuan]])</f>
        <v/>
      </c>
      <c r="H843" s="28"/>
      <c r="I843" s="25" t="str">
        <f>IF(表1[[#This Row],[Tgl NPBG]]&gt;表1[[#This Row],[Peminta]],表1[[#This Row],[Tgl NPBG]]-表1[[#This Row],[Peminta]],"")</f>
        <v/>
      </c>
      <c r="J843" s="31"/>
    </row>
    <row r="844" s="12" customFormat="1" customHeight="1" spans="2:10">
      <c r="B844" s="25"/>
      <c r="C844" s="25"/>
      <c r="D844" s="26" t="str" cm="1">
        <f t="array" ref="D844">IF(C844="","",IFERROR(INDEX(STPP!$D$6:$D$4207,MATCH(C844,STPP!$C$6:$C$4207,0)),"Not Found"))</f>
        <v/>
      </c>
      <c r="E844" s="27" t="str" cm="1">
        <f t="array" ref="E844">IF(C844="","",IFERROR(INDEX(STPP!$E$6:$E$4207,MATCH(C844,STPP!$C$6:$C$4207,0)),"Not Found"))</f>
        <v/>
      </c>
      <c r="F844" s="27" t="str" cm="1">
        <f t="array" ref="F844">IF(C844="","",IFERROR(INDEX(STPP!$F$6:$F$4207,MATCH(C844,STPP!$C$6:$C$4207,0)),"Not Found"))</f>
        <v/>
      </c>
      <c r="G844" s="25" t="str">
        <f>IF(表1[[#This Row],[No Seri]]="","",表1[[#This Row],[Deskripsi Barang]]+表1[[#This Row],[Kuantitas]]-表1[[#This Row],[Satuan]])</f>
        <v/>
      </c>
      <c r="H844" s="28"/>
      <c r="I844" s="25" t="str">
        <f>IF(表1[[#This Row],[Tgl NPBG]]&gt;表1[[#This Row],[Peminta]],表1[[#This Row],[Tgl NPBG]]-表1[[#This Row],[Peminta]],"")</f>
        <v/>
      </c>
      <c r="J844" s="31"/>
    </row>
    <row r="845" s="12" customFormat="1" customHeight="1" spans="2:10">
      <c r="B845" s="25"/>
      <c r="C845" s="25"/>
      <c r="D845" s="26" t="str" cm="1">
        <f t="array" ref="D845">IF(C845="","",IFERROR(INDEX(STPP!$D$6:$D$4207,MATCH(C845,STPP!$C$6:$C$4207,0)),"Not Found"))</f>
        <v/>
      </c>
      <c r="E845" s="27" t="str" cm="1">
        <f t="array" ref="E845">IF(C845="","",IFERROR(INDEX(STPP!$E$6:$E$4207,MATCH(C845,STPP!$C$6:$C$4207,0)),"Not Found"))</f>
        <v/>
      </c>
      <c r="F845" s="27" t="str" cm="1">
        <f t="array" ref="F845">IF(C845="","",IFERROR(INDEX(STPP!$F$6:$F$4207,MATCH(C845,STPP!$C$6:$C$4207,0)),"Not Found"))</f>
        <v/>
      </c>
      <c r="G845" s="25" t="str">
        <f>IF(表1[[#This Row],[No Seri]]="","",表1[[#This Row],[Deskripsi Barang]]+表1[[#This Row],[Kuantitas]]-表1[[#This Row],[Satuan]])</f>
        <v/>
      </c>
      <c r="H845" s="28"/>
      <c r="I845" s="25" t="str">
        <f>IF(表1[[#This Row],[Tgl NPBG]]&gt;表1[[#This Row],[Peminta]],表1[[#This Row],[Tgl NPBG]]-表1[[#This Row],[Peminta]],"")</f>
        <v/>
      </c>
      <c r="J845" s="31"/>
    </row>
    <row r="846" s="12" customFormat="1" customHeight="1" spans="2:10">
      <c r="B846" s="25"/>
      <c r="C846" s="25"/>
      <c r="D846" s="26" t="str" cm="1">
        <f t="array" ref="D846">IF(C846="","",IFERROR(INDEX(STPP!$D$6:$D$4207,MATCH(C846,STPP!$C$6:$C$4207,0)),"Not Found"))</f>
        <v/>
      </c>
      <c r="E846" s="27" t="str" cm="1">
        <f t="array" ref="E846">IF(C846="","",IFERROR(INDEX(STPP!$E$6:$E$4207,MATCH(C846,STPP!$C$6:$C$4207,0)),"Not Found"))</f>
        <v/>
      </c>
      <c r="F846" s="27" t="str" cm="1">
        <f t="array" ref="F846">IF(C846="","",IFERROR(INDEX(STPP!$F$6:$F$4207,MATCH(C846,STPP!$C$6:$C$4207,0)),"Not Found"))</f>
        <v/>
      </c>
      <c r="G846" s="25" t="str">
        <f>IF(表1[[#This Row],[No Seri]]="","",表1[[#This Row],[Deskripsi Barang]]+表1[[#This Row],[Kuantitas]]-表1[[#This Row],[Satuan]])</f>
        <v/>
      </c>
      <c r="H846" s="28"/>
      <c r="I846" s="25" t="str">
        <f>IF(表1[[#This Row],[Tgl NPBG]]&gt;表1[[#This Row],[Peminta]],表1[[#This Row],[Tgl NPBG]]-表1[[#This Row],[Peminta]],"")</f>
        <v/>
      </c>
      <c r="J846" s="31"/>
    </row>
    <row r="847" s="12" customFormat="1" customHeight="1" spans="2:10">
      <c r="B847" s="25"/>
      <c r="C847" s="25"/>
      <c r="D847" s="26" t="str" cm="1">
        <f t="array" ref="D847">IF(C847="","",IFERROR(INDEX(STPP!$D$6:$D$4207,MATCH(C847,STPP!$C$6:$C$4207,0)),"Not Found"))</f>
        <v/>
      </c>
      <c r="E847" s="27" t="str" cm="1">
        <f t="array" ref="E847">IF(C847="","",IFERROR(INDEX(STPP!$E$6:$E$4207,MATCH(C847,STPP!$C$6:$C$4207,0)),"Not Found"))</f>
        <v/>
      </c>
      <c r="F847" s="27" t="str" cm="1">
        <f t="array" ref="F847">IF(C847="","",IFERROR(INDEX(STPP!$F$6:$F$4207,MATCH(C847,STPP!$C$6:$C$4207,0)),"Not Found"))</f>
        <v/>
      </c>
      <c r="G847" s="25" t="str">
        <f>IF(表1[[#This Row],[No Seri]]="","",表1[[#This Row],[Deskripsi Barang]]+表1[[#This Row],[Kuantitas]]-表1[[#This Row],[Satuan]])</f>
        <v/>
      </c>
      <c r="H847" s="28"/>
      <c r="I847" s="25" t="str">
        <f>IF(表1[[#This Row],[Tgl NPBG]]&gt;表1[[#This Row],[Peminta]],表1[[#This Row],[Tgl NPBG]]-表1[[#This Row],[Peminta]],"")</f>
        <v/>
      </c>
      <c r="J847" s="31"/>
    </row>
    <row r="848" s="12" customFormat="1" customHeight="1" spans="2:10">
      <c r="B848" s="25"/>
      <c r="C848" s="25"/>
      <c r="D848" s="26" t="str" cm="1">
        <f t="array" ref="D848">IF(C848="","",IFERROR(INDEX(STPP!$D$6:$D$4207,MATCH(C848,STPP!$C$6:$C$4207,0)),"Not Found"))</f>
        <v/>
      </c>
      <c r="E848" s="27" t="str" cm="1">
        <f t="array" ref="E848">IF(C848="","",IFERROR(INDEX(STPP!$E$6:$E$4207,MATCH(C848,STPP!$C$6:$C$4207,0)),"Not Found"))</f>
        <v/>
      </c>
      <c r="F848" s="27" t="str" cm="1">
        <f t="array" ref="F848">IF(C848="","",IFERROR(INDEX(STPP!$F$6:$F$4207,MATCH(C848,STPP!$C$6:$C$4207,0)),"Not Found"))</f>
        <v/>
      </c>
      <c r="G848" s="25" t="str">
        <f>IF(表1[[#This Row],[No Seri]]="","",表1[[#This Row],[Deskripsi Barang]]+表1[[#This Row],[Kuantitas]]-表1[[#This Row],[Satuan]])</f>
        <v/>
      </c>
      <c r="H848" s="28"/>
      <c r="I848" s="25" t="str">
        <f>IF(表1[[#This Row],[Tgl NPBG]]&gt;表1[[#This Row],[Peminta]],表1[[#This Row],[Tgl NPBG]]-表1[[#This Row],[Peminta]],"")</f>
        <v/>
      </c>
      <c r="J848" s="31"/>
    </row>
    <row r="849" s="12" customFormat="1" customHeight="1" spans="2:10">
      <c r="B849" s="25"/>
      <c r="C849" s="25"/>
      <c r="D849" s="26" t="str" cm="1">
        <f t="array" ref="D849">IF(C849="","",IFERROR(INDEX(STPP!$D$6:$D$4207,MATCH(C849,STPP!$C$6:$C$4207,0)),"Not Found"))</f>
        <v/>
      </c>
      <c r="E849" s="27" t="str" cm="1">
        <f t="array" ref="E849">IF(C849="","",IFERROR(INDEX(STPP!$E$6:$E$4207,MATCH(C849,STPP!$C$6:$C$4207,0)),"Not Found"))</f>
        <v/>
      </c>
      <c r="F849" s="27" t="str" cm="1">
        <f t="array" ref="F849">IF(C849="","",IFERROR(INDEX(STPP!$F$6:$F$4207,MATCH(C849,STPP!$C$6:$C$4207,0)),"Not Found"))</f>
        <v/>
      </c>
      <c r="G849" s="25" t="str">
        <f>IF(表1[[#This Row],[No Seri]]="","",表1[[#This Row],[Deskripsi Barang]]+表1[[#This Row],[Kuantitas]]-表1[[#This Row],[Satuan]])</f>
        <v/>
      </c>
      <c r="H849" s="28"/>
      <c r="I849" s="25" t="str">
        <f>IF(表1[[#This Row],[Tgl NPBG]]&gt;表1[[#This Row],[Peminta]],表1[[#This Row],[Tgl NPBG]]-表1[[#This Row],[Peminta]],"")</f>
        <v/>
      </c>
      <c r="J849" s="31"/>
    </row>
    <row r="850" s="12" customFormat="1" customHeight="1" spans="2:10">
      <c r="B850" s="25"/>
      <c r="C850" s="25"/>
      <c r="D850" s="26" t="str" cm="1">
        <f t="array" ref="D850">IF(C850="","",IFERROR(INDEX(STPP!$D$6:$D$4207,MATCH(C850,STPP!$C$6:$C$4207,0)),"Not Found"))</f>
        <v/>
      </c>
      <c r="E850" s="27" t="str" cm="1">
        <f t="array" ref="E850">IF(C850="","",IFERROR(INDEX(STPP!$E$6:$E$4207,MATCH(C850,STPP!$C$6:$C$4207,0)),"Not Found"))</f>
        <v/>
      </c>
      <c r="F850" s="27" t="str" cm="1">
        <f t="array" ref="F850">IF(C850="","",IFERROR(INDEX(STPP!$F$6:$F$4207,MATCH(C850,STPP!$C$6:$C$4207,0)),"Not Found"))</f>
        <v/>
      </c>
      <c r="G850" s="25" t="str">
        <f>IF(表1[[#This Row],[No Seri]]="","",表1[[#This Row],[Deskripsi Barang]]+表1[[#This Row],[Kuantitas]]-表1[[#This Row],[Satuan]])</f>
        <v/>
      </c>
      <c r="H850" s="28"/>
      <c r="I850" s="25" t="str">
        <f>IF(表1[[#This Row],[Tgl NPBG]]&gt;表1[[#This Row],[Peminta]],表1[[#This Row],[Tgl NPBG]]-表1[[#This Row],[Peminta]],"")</f>
        <v/>
      </c>
      <c r="J850" s="31"/>
    </row>
    <row r="851" s="12" customFormat="1" customHeight="1" spans="2:10">
      <c r="B851" s="25"/>
      <c r="C851" s="25"/>
      <c r="D851" s="26" t="str" cm="1">
        <f t="array" ref="D851">IF(C851="","",IFERROR(INDEX(STPP!$D$6:$D$4207,MATCH(C851,STPP!$C$6:$C$4207,0)),"Not Found"))</f>
        <v/>
      </c>
      <c r="E851" s="27" t="str" cm="1">
        <f t="array" ref="E851">IF(C851="","",IFERROR(INDEX(STPP!$E$6:$E$4207,MATCH(C851,STPP!$C$6:$C$4207,0)),"Not Found"))</f>
        <v/>
      </c>
      <c r="F851" s="27" t="str" cm="1">
        <f t="array" ref="F851">IF(C851="","",IFERROR(INDEX(STPP!$F$6:$F$4207,MATCH(C851,STPP!$C$6:$C$4207,0)),"Not Found"))</f>
        <v/>
      </c>
      <c r="G851" s="25" t="str">
        <f>IF(表1[[#This Row],[No Seri]]="","",表1[[#This Row],[Deskripsi Barang]]+表1[[#This Row],[Kuantitas]]-表1[[#This Row],[Satuan]])</f>
        <v/>
      </c>
      <c r="H851" s="28"/>
      <c r="I851" s="25" t="str">
        <f>IF(表1[[#This Row],[Tgl NPBG]]&gt;表1[[#This Row],[Peminta]],表1[[#This Row],[Tgl NPBG]]-表1[[#This Row],[Peminta]],"")</f>
        <v/>
      </c>
      <c r="J851" s="31"/>
    </row>
    <row r="852" s="12" customFormat="1" customHeight="1" spans="2:10">
      <c r="B852" s="25"/>
      <c r="C852" s="25"/>
      <c r="D852" s="26" t="str" cm="1">
        <f t="array" ref="D852">IF(C852="","",IFERROR(INDEX(STPP!$D$6:$D$4207,MATCH(C852,STPP!$C$6:$C$4207,0)),"Not Found"))</f>
        <v/>
      </c>
      <c r="E852" s="27" t="str" cm="1">
        <f t="array" ref="E852">IF(C852="","",IFERROR(INDEX(STPP!$E$6:$E$4207,MATCH(C852,STPP!$C$6:$C$4207,0)),"Not Found"))</f>
        <v/>
      </c>
      <c r="F852" s="27" t="str" cm="1">
        <f t="array" ref="F852">IF(C852="","",IFERROR(INDEX(STPP!$F$6:$F$4207,MATCH(C852,STPP!$C$6:$C$4207,0)),"Not Found"))</f>
        <v/>
      </c>
      <c r="G852" s="25" t="str">
        <f>IF(表1[[#This Row],[No Seri]]="","",表1[[#This Row],[Deskripsi Barang]]+表1[[#This Row],[Kuantitas]]-表1[[#This Row],[Satuan]])</f>
        <v/>
      </c>
      <c r="H852" s="28"/>
      <c r="I852" s="25" t="str">
        <f>IF(表1[[#This Row],[Tgl NPBG]]&gt;表1[[#This Row],[Peminta]],表1[[#This Row],[Tgl NPBG]]-表1[[#This Row],[Peminta]],"")</f>
        <v/>
      </c>
      <c r="J852" s="31"/>
    </row>
    <row r="853" s="12" customFormat="1" customHeight="1" spans="2:10">
      <c r="B853" s="25"/>
      <c r="C853" s="25"/>
      <c r="D853" s="26" t="str" cm="1">
        <f t="array" ref="D853">IF(C853="","",IFERROR(INDEX(STPP!$D$6:$D$4207,MATCH(C853,STPP!$C$6:$C$4207,0)),"Not Found"))</f>
        <v/>
      </c>
      <c r="E853" s="27" t="str" cm="1">
        <f t="array" ref="E853">IF(C853="","",IFERROR(INDEX(STPP!$E$6:$E$4207,MATCH(C853,STPP!$C$6:$C$4207,0)),"Not Found"))</f>
        <v/>
      </c>
      <c r="F853" s="27" t="str" cm="1">
        <f t="array" ref="F853">IF(C853="","",IFERROR(INDEX(STPP!$F$6:$F$4207,MATCH(C853,STPP!$C$6:$C$4207,0)),"Not Found"))</f>
        <v/>
      </c>
      <c r="G853" s="25" t="str">
        <f>IF(表1[[#This Row],[No Seri]]="","",表1[[#This Row],[Deskripsi Barang]]+表1[[#This Row],[Kuantitas]]-表1[[#This Row],[Satuan]])</f>
        <v/>
      </c>
      <c r="H853" s="28"/>
      <c r="I853" s="25" t="str">
        <f>IF(表1[[#This Row],[Tgl NPBG]]&gt;表1[[#This Row],[Peminta]],表1[[#This Row],[Tgl NPBG]]-表1[[#This Row],[Peminta]],"")</f>
        <v/>
      </c>
      <c r="J853" s="31"/>
    </row>
    <row r="854" s="12" customFormat="1" customHeight="1" spans="2:10">
      <c r="B854" s="25"/>
      <c r="C854" s="25"/>
      <c r="D854" s="26" t="str" cm="1">
        <f t="array" ref="D854">IF(C854="","",IFERROR(INDEX(STPP!$D$6:$D$4207,MATCH(C854,STPP!$C$6:$C$4207,0)),"Not Found"))</f>
        <v/>
      </c>
      <c r="E854" s="27" t="str" cm="1">
        <f t="array" ref="E854">IF(C854="","",IFERROR(INDEX(STPP!$E$6:$E$4207,MATCH(C854,STPP!$C$6:$C$4207,0)),"Not Found"))</f>
        <v/>
      </c>
      <c r="F854" s="27" t="str" cm="1">
        <f t="array" ref="F854">IF(C854="","",IFERROR(INDEX(STPP!$F$6:$F$4207,MATCH(C854,STPP!$C$6:$C$4207,0)),"Not Found"))</f>
        <v/>
      </c>
      <c r="G854" s="25" t="str">
        <f>IF(表1[[#This Row],[No Seri]]="","",表1[[#This Row],[Deskripsi Barang]]+表1[[#This Row],[Kuantitas]]-表1[[#This Row],[Satuan]])</f>
        <v/>
      </c>
      <c r="H854" s="28"/>
      <c r="I854" s="25" t="str">
        <f>IF(表1[[#This Row],[Tgl NPBG]]&gt;表1[[#This Row],[Peminta]],表1[[#This Row],[Tgl NPBG]]-表1[[#This Row],[Peminta]],"")</f>
        <v/>
      </c>
      <c r="J854" s="31"/>
    </row>
    <row r="855" s="12" customFormat="1" customHeight="1" spans="2:10">
      <c r="B855" s="25"/>
      <c r="C855" s="25"/>
      <c r="D855" s="26" t="str" cm="1">
        <f t="array" ref="D855">IF(C855="","",IFERROR(INDEX(STPP!$D$6:$D$4207,MATCH(C855,STPP!$C$6:$C$4207,0)),"Not Found"))</f>
        <v/>
      </c>
      <c r="E855" s="27" t="str" cm="1">
        <f t="array" ref="E855">IF(C855="","",IFERROR(INDEX(STPP!$E$6:$E$4207,MATCH(C855,STPP!$C$6:$C$4207,0)),"Not Found"))</f>
        <v/>
      </c>
      <c r="F855" s="27" t="str" cm="1">
        <f t="array" ref="F855">IF(C855="","",IFERROR(INDEX(STPP!$F$6:$F$4207,MATCH(C855,STPP!$C$6:$C$4207,0)),"Not Found"))</f>
        <v/>
      </c>
      <c r="G855" s="25" t="str">
        <f>IF(表1[[#This Row],[No Seri]]="","",表1[[#This Row],[Deskripsi Barang]]+表1[[#This Row],[Kuantitas]]-表1[[#This Row],[Satuan]])</f>
        <v/>
      </c>
      <c r="H855" s="28"/>
      <c r="I855" s="25" t="str">
        <f>IF(表1[[#This Row],[Tgl NPBG]]&gt;表1[[#This Row],[Peminta]],表1[[#This Row],[Tgl NPBG]]-表1[[#This Row],[Peminta]],"")</f>
        <v/>
      </c>
      <c r="J855" s="31"/>
    </row>
    <row r="856" s="12" customFormat="1" customHeight="1" spans="2:10">
      <c r="B856" s="25"/>
      <c r="C856" s="25"/>
      <c r="D856" s="26" t="str" cm="1">
        <f t="array" ref="D856">IF(C856="","",IFERROR(INDEX(STPP!$D$6:$D$4207,MATCH(C856,STPP!$C$6:$C$4207,0)),"Not Found"))</f>
        <v/>
      </c>
      <c r="E856" s="27" t="str" cm="1">
        <f t="array" ref="E856">IF(C856="","",IFERROR(INDEX(STPP!$E$6:$E$4207,MATCH(C856,STPP!$C$6:$C$4207,0)),"Not Found"))</f>
        <v/>
      </c>
      <c r="F856" s="27" t="str" cm="1">
        <f t="array" ref="F856">IF(C856="","",IFERROR(INDEX(STPP!$F$6:$F$4207,MATCH(C856,STPP!$C$6:$C$4207,0)),"Not Found"))</f>
        <v/>
      </c>
      <c r="G856" s="25" t="str">
        <f>IF(表1[[#This Row],[No Seri]]="","",表1[[#This Row],[Deskripsi Barang]]+表1[[#This Row],[Kuantitas]]-表1[[#This Row],[Satuan]])</f>
        <v/>
      </c>
      <c r="H856" s="28"/>
      <c r="I856" s="25" t="str">
        <f>IF(表1[[#This Row],[Tgl NPBG]]&gt;表1[[#This Row],[Peminta]],表1[[#This Row],[Tgl NPBG]]-表1[[#This Row],[Peminta]],"")</f>
        <v/>
      </c>
      <c r="J856" s="31"/>
    </row>
    <row r="857" s="12" customFormat="1" customHeight="1" spans="2:10">
      <c r="B857" s="25"/>
      <c r="C857" s="25"/>
      <c r="D857" s="26" t="str" cm="1">
        <f t="array" ref="D857">IF(C857="","",IFERROR(INDEX(STPP!$D$6:$D$4207,MATCH(C857,STPP!$C$6:$C$4207,0)),"Not Found"))</f>
        <v/>
      </c>
      <c r="E857" s="27" t="str" cm="1">
        <f t="array" ref="E857">IF(C857="","",IFERROR(INDEX(STPP!$E$6:$E$4207,MATCH(C857,STPP!$C$6:$C$4207,0)),"Not Found"))</f>
        <v/>
      </c>
      <c r="F857" s="27" t="str" cm="1">
        <f t="array" ref="F857">IF(C857="","",IFERROR(INDEX(STPP!$F$6:$F$4207,MATCH(C857,STPP!$C$6:$C$4207,0)),"Not Found"))</f>
        <v/>
      </c>
      <c r="G857" s="25" t="str">
        <f>IF(表1[[#This Row],[No Seri]]="","",表1[[#This Row],[Deskripsi Barang]]+表1[[#This Row],[Kuantitas]]-表1[[#This Row],[Satuan]])</f>
        <v/>
      </c>
      <c r="H857" s="28"/>
      <c r="I857" s="25" t="str">
        <f>IF(表1[[#This Row],[Tgl NPBG]]&gt;表1[[#This Row],[Peminta]],表1[[#This Row],[Tgl NPBG]]-表1[[#This Row],[Peminta]],"")</f>
        <v/>
      </c>
      <c r="J857" s="31"/>
    </row>
    <row r="858" s="12" customFormat="1" customHeight="1" spans="2:10">
      <c r="B858" s="25"/>
      <c r="C858" s="25"/>
      <c r="D858" s="26" t="str" cm="1">
        <f t="array" ref="D858">IF(C858="","",IFERROR(INDEX(STPP!$D$6:$D$4207,MATCH(C858,STPP!$C$6:$C$4207,0)),"Not Found"))</f>
        <v/>
      </c>
      <c r="E858" s="27" t="str" cm="1">
        <f t="array" ref="E858">IF(C858="","",IFERROR(INDEX(STPP!$E$6:$E$4207,MATCH(C858,STPP!$C$6:$C$4207,0)),"Not Found"))</f>
        <v/>
      </c>
      <c r="F858" s="27" t="str" cm="1">
        <f t="array" ref="F858">IF(C858="","",IFERROR(INDEX(STPP!$F$6:$F$4207,MATCH(C858,STPP!$C$6:$C$4207,0)),"Not Found"))</f>
        <v/>
      </c>
      <c r="G858" s="25" t="str">
        <f>IF(表1[[#This Row],[No Seri]]="","",表1[[#This Row],[Deskripsi Barang]]+表1[[#This Row],[Kuantitas]]-表1[[#This Row],[Satuan]])</f>
        <v/>
      </c>
      <c r="H858" s="28"/>
      <c r="I858" s="25" t="str">
        <f>IF(表1[[#This Row],[Tgl NPBG]]&gt;表1[[#This Row],[Peminta]],表1[[#This Row],[Tgl NPBG]]-表1[[#This Row],[Peminta]],"")</f>
        <v/>
      </c>
      <c r="J858" s="31"/>
    </row>
    <row r="859" s="12" customFormat="1" customHeight="1" spans="2:10">
      <c r="B859" s="25"/>
      <c r="C859" s="25"/>
      <c r="D859" s="26" t="str" cm="1">
        <f t="array" ref="D859">IF(C859="","",IFERROR(INDEX(STPP!$D$6:$D$4207,MATCH(C859,STPP!$C$6:$C$4207,0)),"Not Found"))</f>
        <v/>
      </c>
      <c r="E859" s="27" t="str" cm="1">
        <f t="array" ref="E859">IF(C859="","",IFERROR(INDEX(STPP!$E$6:$E$4207,MATCH(C859,STPP!$C$6:$C$4207,0)),"Not Found"))</f>
        <v/>
      </c>
      <c r="F859" s="27" t="str" cm="1">
        <f t="array" ref="F859">IF(C859="","",IFERROR(INDEX(STPP!$F$6:$F$4207,MATCH(C859,STPP!$C$6:$C$4207,0)),"Not Found"))</f>
        <v/>
      </c>
      <c r="G859" s="25" t="str">
        <f>IF(表1[[#This Row],[No Seri]]="","",表1[[#This Row],[Deskripsi Barang]]+表1[[#This Row],[Kuantitas]]-表1[[#This Row],[Satuan]])</f>
        <v/>
      </c>
      <c r="H859" s="28"/>
      <c r="I859" s="25" t="str">
        <f>IF(表1[[#This Row],[Tgl NPBG]]&gt;表1[[#This Row],[Peminta]],表1[[#This Row],[Tgl NPBG]]-表1[[#This Row],[Peminta]],"")</f>
        <v/>
      </c>
      <c r="J859" s="31"/>
    </row>
    <row r="860" s="12" customFormat="1" customHeight="1" spans="2:10">
      <c r="B860" s="25"/>
      <c r="C860" s="25"/>
      <c r="D860" s="26" t="str" cm="1">
        <f t="array" ref="D860">IF(C860="","",IFERROR(INDEX(STPP!$D$6:$D$4207,MATCH(C860,STPP!$C$6:$C$4207,0)),"Not Found"))</f>
        <v/>
      </c>
      <c r="E860" s="27" t="str" cm="1">
        <f t="array" ref="E860">IF(C860="","",IFERROR(INDEX(STPP!$E$6:$E$4207,MATCH(C860,STPP!$C$6:$C$4207,0)),"Not Found"))</f>
        <v/>
      </c>
      <c r="F860" s="27" t="str" cm="1">
        <f t="array" ref="F860">IF(C860="","",IFERROR(INDEX(STPP!$F$6:$F$4207,MATCH(C860,STPP!$C$6:$C$4207,0)),"Not Found"))</f>
        <v/>
      </c>
      <c r="G860" s="25" t="str">
        <f>IF(表1[[#This Row],[No Seri]]="","",表1[[#This Row],[Deskripsi Barang]]+表1[[#This Row],[Kuantitas]]-表1[[#This Row],[Satuan]])</f>
        <v/>
      </c>
      <c r="H860" s="28"/>
      <c r="I860" s="25" t="str">
        <f>IF(表1[[#This Row],[Tgl NPBG]]&gt;表1[[#This Row],[Peminta]],表1[[#This Row],[Tgl NPBG]]-表1[[#This Row],[Peminta]],"")</f>
        <v/>
      </c>
      <c r="J860" s="31"/>
    </row>
    <row r="861" s="12" customFormat="1" customHeight="1" spans="2:10">
      <c r="B861" s="25"/>
      <c r="C861" s="25"/>
      <c r="D861" s="26" t="str" cm="1">
        <f t="array" ref="D861">IF(C861="","",IFERROR(INDEX(STPP!$D$6:$D$4207,MATCH(C861,STPP!$C$6:$C$4207,0)),"Not Found"))</f>
        <v/>
      </c>
      <c r="E861" s="27" t="str" cm="1">
        <f t="array" ref="E861">IF(C861="","",IFERROR(INDEX(STPP!$E$6:$E$4207,MATCH(C861,STPP!$C$6:$C$4207,0)),"Not Found"))</f>
        <v/>
      </c>
      <c r="F861" s="27" t="str" cm="1">
        <f t="array" ref="F861">IF(C861="","",IFERROR(INDEX(STPP!$F$6:$F$4207,MATCH(C861,STPP!$C$6:$C$4207,0)),"Not Found"))</f>
        <v/>
      </c>
      <c r="G861" s="25" t="str">
        <f>IF(表1[[#This Row],[No Seri]]="","",表1[[#This Row],[Deskripsi Barang]]+表1[[#This Row],[Kuantitas]]-表1[[#This Row],[Satuan]])</f>
        <v/>
      </c>
      <c r="H861" s="28"/>
      <c r="I861" s="25" t="str">
        <f>IF(表1[[#This Row],[Tgl NPBG]]&gt;表1[[#This Row],[Peminta]],表1[[#This Row],[Tgl NPBG]]-表1[[#This Row],[Peminta]],"")</f>
        <v/>
      </c>
      <c r="J861" s="31"/>
    </row>
    <row r="862" s="12" customFormat="1" customHeight="1" spans="2:10">
      <c r="B862" s="25"/>
      <c r="C862" s="25"/>
      <c r="D862" s="26" t="str" cm="1">
        <f t="array" ref="D862">IF(C862="","",IFERROR(INDEX(STPP!$D$6:$D$4207,MATCH(C862,STPP!$C$6:$C$4207,0)),"Not Found"))</f>
        <v/>
      </c>
      <c r="E862" s="27" t="str" cm="1">
        <f t="array" ref="E862">IF(C862="","",IFERROR(INDEX(STPP!$E$6:$E$4207,MATCH(C862,STPP!$C$6:$C$4207,0)),"Not Found"))</f>
        <v/>
      </c>
      <c r="F862" s="27" t="str" cm="1">
        <f t="array" ref="F862">IF(C862="","",IFERROR(INDEX(STPP!$F$6:$F$4207,MATCH(C862,STPP!$C$6:$C$4207,0)),"Not Found"))</f>
        <v/>
      </c>
      <c r="G862" s="25" t="str">
        <f>IF(表1[[#This Row],[No Seri]]="","",表1[[#This Row],[Deskripsi Barang]]+表1[[#This Row],[Kuantitas]]-表1[[#This Row],[Satuan]])</f>
        <v/>
      </c>
      <c r="H862" s="28"/>
      <c r="I862" s="25" t="str">
        <f>IF(表1[[#This Row],[Tgl NPBG]]&gt;表1[[#This Row],[Peminta]],表1[[#This Row],[Tgl NPBG]]-表1[[#This Row],[Peminta]],"")</f>
        <v/>
      </c>
      <c r="J862" s="31"/>
    </row>
    <row r="863" s="12" customFormat="1" customHeight="1" spans="2:10">
      <c r="B863" s="25"/>
      <c r="C863" s="25"/>
      <c r="D863" s="26" t="str" cm="1">
        <f t="array" ref="D863">IF(C863="","",IFERROR(INDEX(STPP!$D$6:$D$4207,MATCH(C863,STPP!$C$6:$C$4207,0)),"Not Found"))</f>
        <v/>
      </c>
      <c r="E863" s="27" t="str" cm="1">
        <f t="array" ref="E863">IF(C863="","",IFERROR(INDEX(STPP!$E$6:$E$4207,MATCH(C863,STPP!$C$6:$C$4207,0)),"Not Found"))</f>
        <v/>
      </c>
      <c r="F863" s="27" t="str" cm="1">
        <f t="array" ref="F863">IF(C863="","",IFERROR(INDEX(STPP!$F$6:$F$4207,MATCH(C863,STPP!$C$6:$C$4207,0)),"Not Found"))</f>
        <v/>
      </c>
      <c r="G863" s="25" t="str">
        <f>IF(表1[[#This Row],[No Seri]]="","",表1[[#This Row],[Deskripsi Barang]]+表1[[#This Row],[Kuantitas]]-表1[[#This Row],[Satuan]])</f>
        <v/>
      </c>
      <c r="H863" s="28"/>
      <c r="I863" s="25" t="str">
        <f>IF(表1[[#This Row],[Tgl NPBG]]&gt;表1[[#This Row],[Peminta]],表1[[#This Row],[Tgl NPBG]]-表1[[#This Row],[Peminta]],"")</f>
        <v/>
      </c>
      <c r="J863" s="31"/>
    </row>
    <row r="864" s="12" customFormat="1" customHeight="1" spans="2:10">
      <c r="B864" s="25"/>
      <c r="C864" s="25"/>
      <c r="D864" s="26" t="str" cm="1">
        <f t="array" ref="D864">IF(C864="","",IFERROR(INDEX(STPP!$D$6:$D$4207,MATCH(C864,STPP!$C$6:$C$4207,0)),"Not Found"))</f>
        <v/>
      </c>
      <c r="E864" s="27" t="str" cm="1">
        <f t="array" ref="E864">IF(C864="","",IFERROR(INDEX(STPP!$E$6:$E$4207,MATCH(C864,STPP!$C$6:$C$4207,0)),"Not Found"))</f>
        <v/>
      </c>
      <c r="F864" s="27" t="str" cm="1">
        <f t="array" ref="F864">IF(C864="","",IFERROR(INDEX(STPP!$F$6:$F$4207,MATCH(C864,STPP!$C$6:$C$4207,0)),"Not Found"))</f>
        <v/>
      </c>
      <c r="G864" s="25" t="str">
        <f>IF(表1[[#This Row],[No Seri]]="","",表1[[#This Row],[Deskripsi Barang]]+表1[[#This Row],[Kuantitas]]-表1[[#This Row],[Satuan]])</f>
        <v/>
      </c>
      <c r="H864" s="28"/>
      <c r="I864" s="25" t="str">
        <f>IF(表1[[#This Row],[Tgl NPBG]]&gt;表1[[#This Row],[Peminta]],表1[[#This Row],[Tgl NPBG]]-表1[[#This Row],[Peminta]],"")</f>
        <v/>
      </c>
      <c r="J864" s="31"/>
    </row>
    <row r="865" s="12" customFormat="1" customHeight="1" spans="2:10">
      <c r="B865" s="25"/>
      <c r="C865" s="25"/>
      <c r="D865" s="26" t="str" cm="1">
        <f t="array" ref="D865">IF(C865="","",IFERROR(INDEX(STPP!$D$6:$D$4207,MATCH(C865,STPP!$C$6:$C$4207,0)),"Not Found"))</f>
        <v/>
      </c>
      <c r="E865" s="27" t="str" cm="1">
        <f t="array" ref="E865">IF(C865="","",IFERROR(INDEX(STPP!$E$6:$E$4207,MATCH(C865,STPP!$C$6:$C$4207,0)),"Not Found"))</f>
        <v/>
      </c>
      <c r="F865" s="27" t="str" cm="1">
        <f t="array" ref="F865">IF(C865="","",IFERROR(INDEX(STPP!$F$6:$F$4207,MATCH(C865,STPP!$C$6:$C$4207,0)),"Not Found"))</f>
        <v/>
      </c>
      <c r="G865" s="25" t="str">
        <f>IF(表1[[#This Row],[No Seri]]="","",表1[[#This Row],[Deskripsi Barang]]+表1[[#This Row],[Kuantitas]]-表1[[#This Row],[Satuan]])</f>
        <v/>
      </c>
      <c r="H865" s="28"/>
      <c r="I865" s="25" t="str">
        <f>IF(表1[[#This Row],[Tgl NPBG]]&gt;表1[[#This Row],[Peminta]],表1[[#This Row],[Tgl NPBG]]-表1[[#This Row],[Peminta]],"")</f>
        <v/>
      </c>
      <c r="J865" s="31"/>
    </row>
    <row r="866" s="12" customFormat="1" customHeight="1" spans="2:10">
      <c r="B866" s="25"/>
      <c r="C866" s="25"/>
      <c r="D866" s="26" t="str" cm="1">
        <f t="array" ref="D866">IF(C866="","",IFERROR(INDEX(STPP!$D$6:$D$4207,MATCH(C866,STPP!$C$6:$C$4207,0)),"Not Found"))</f>
        <v/>
      </c>
      <c r="E866" s="27" t="str" cm="1">
        <f t="array" ref="E866">IF(C866="","",IFERROR(INDEX(STPP!$E$6:$E$4207,MATCH(C866,STPP!$C$6:$C$4207,0)),"Not Found"))</f>
        <v/>
      </c>
      <c r="F866" s="27" t="str" cm="1">
        <f t="array" ref="F866">IF(C866="","",IFERROR(INDEX(STPP!$F$6:$F$4207,MATCH(C866,STPP!$C$6:$C$4207,0)),"Not Found"))</f>
        <v/>
      </c>
      <c r="G866" s="25" t="str">
        <f>IF(表1[[#This Row],[No Seri]]="","",表1[[#This Row],[Deskripsi Barang]]+表1[[#This Row],[Kuantitas]]-表1[[#This Row],[Satuan]])</f>
        <v/>
      </c>
      <c r="H866" s="28"/>
      <c r="I866" s="25" t="str">
        <f>IF(表1[[#This Row],[Tgl NPBG]]&gt;表1[[#This Row],[Peminta]],表1[[#This Row],[Tgl NPBG]]-表1[[#This Row],[Peminta]],"")</f>
        <v/>
      </c>
      <c r="J866" s="31"/>
    </row>
    <row r="867" s="12" customFormat="1" customHeight="1" spans="2:10">
      <c r="B867" s="25"/>
      <c r="C867" s="25"/>
      <c r="D867" s="26" t="str" cm="1">
        <f t="array" ref="D867">IF(C867="","",IFERROR(INDEX(STPP!$D$6:$D$4207,MATCH(C867,STPP!$C$6:$C$4207,0)),"Not Found"))</f>
        <v/>
      </c>
      <c r="E867" s="27" t="str" cm="1">
        <f t="array" ref="E867">IF(C867="","",IFERROR(INDEX(STPP!$E$6:$E$4207,MATCH(C867,STPP!$C$6:$C$4207,0)),"Not Found"))</f>
        <v/>
      </c>
      <c r="F867" s="27" t="str" cm="1">
        <f t="array" ref="F867">IF(C867="","",IFERROR(INDEX(STPP!$F$6:$F$4207,MATCH(C867,STPP!$C$6:$C$4207,0)),"Not Found"))</f>
        <v/>
      </c>
      <c r="G867" s="25" t="str">
        <f>IF(表1[[#This Row],[No Seri]]="","",表1[[#This Row],[Deskripsi Barang]]+表1[[#This Row],[Kuantitas]]-表1[[#This Row],[Satuan]])</f>
        <v/>
      </c>
      <c r="H867" s="28"/>
      <c r="I867" s="25" t="str">
        <f>IF(表1[[#This Row],[Tgl NPBG]]&gt;表1[[#This Row],[Peminta]],表1[[#This Row],[Tgl NPBG]]-表1[[#This Row],[Peminta]],"")</f>
        <v/>
      </c>
      <c r="J867" s="31"/>
    </row>
    <row r="868" s="12" customFormat="1" customHeight="1" spans="2:10">
      <c r="B868" s="25"/>
      <c r="C868" s="25"/>
      <c r="D868" s="26" t="str" cm="1">
        <f t="array" ref="D868">IF(C868="","",IFERROR(INDEX(STPP!$D$6:$D$4207,MATCH(C868,STPP!$C$6:$C$4207,0)),"Not Found"))</f>
        <v/>
      </c>
      <c r="E868" s="27" t="str" cm="1">
        <f t="array" ref="E868">IF(C868="","",IFERROR(INDEX(STPP!$E$6:$E$4207,MATCH(C868,STPP!$C$6:$C$4207,0)),"Not Found"))</f>
        <v/>
      </c>
      <c r="F868" s="27" t="str" cm="1">
        <f t="array" ref="F868">IF(C868="","",IFERROR(INDEX(STPP!$F$6:$F$4207,MATCH(C868,STPP!$C$6:$C$4207,0)),"Not Found"))</f>
        <v/>
      </c>
      <c r="G868" s="25" t="str">
        <f>IF(表1[[#This Row],[No Seri]]="","",表1[[#This Row],[Deskripsi Barang]]+表1[[#This Row],[Kuantitas]]-表1[[#This Row],[Satuan]])</f>
        <v/>
      </c>
      <c r="H868" s="28"/>
      <c r="I868" s="25" t="str">
        <f>IF(表1[[#This Row],[Tgl NPBG]]&gt;表1[[#This Row],[Peminta]],表1[[#This Row],[Tgl NPBG]]-表1[[#This Row],[Peminta]],"")</f>
        <v/>
      </c>
      <c r="J868" s="31"/>
    </row>
    <row r="869" s="12" customFormat="1" customHeight="1" spans="2:10">
      <c r="B869" s="25"/>
      <c r="C869" s="25"/>
      <c r="D869" s="26" t="str" cm="1">
        <f t="array" ref="D869">IF(C869="","",IFERROR(INDEX(STPP!$D$6:$D$4207,MATCH(C869,STPP!$C$6:$C$4207,0)),"Not Found"))</f>
        <v/>
      </c>
      <c r="E869" s="27" t="str" cm="1">
        <f t="array" ref="E869">IF(C869="","",IFERROR(INDEX(STPP!$E$6:$E$4207,MATCH(C869,STPP!$C$6:$C$4207,0)),"Not Found"))</f>
        <v/>
      </c>
      <c r="F869" s="27" t="str" cm="1">
        <f t="array" ref="F869">IF(C869="","",IFERROR(INDEX(STPP!$F$6:$F$4207,MATCH(C869,STPP!$C$6:$C$4207,0)),"Not Found"))</f>
        <v/>
      </c>
      <c r="G869" s="25" t="str">
        <f>IF(表1[[#This Row],[No Seri]]="","",表1[[#This Row],[Deskripsi Barang]]+表1[[#This Row],[Kuantitas]]-表1[[#This Row],[Satuan]])</f>
        <v/>
      </c>
      <c r="H869" s="28"/>
      <c r="I869" s="25" t="str">
        <f>IF(表1[[#This Row],[Tgl NPBG]]&gt;表1[[#This Row],[Peminta]],表1[[#This Row],[Tgl NPBG]]-表1[[#This Row],[Peminta]],"")</f>
        <v/>
      </c>
      <c r="J869" s="31"/>
    </row>
    <row r="870" s="12" customFormat="1" customHeight="1" spans="2:10">
      <c r="B870" s="25"/>
      <c r="C870" s="25"/>
      <c r="D870" s="26" t="str" cm="1">
        <f t="array" ref="D870">IF(C870="","",IFERROR(INDEX(STPP!$D$6:$D$4207,MATCH(C870,STPP!$C$6:$C$4207,0)),"Not Found"))</f>
        <v/>
      </c>
      <c r="E870" s="27" t="str" cm="1">
        <f t="array" ref="E870">IF(C870="","",IFERROR(INDEX(STPP!$E$6:$E$4207,MATCH(C870,STPP!$C$6:$C$4207,0)),"Not Found"))</f>
        <v/>
      </c>
      <c r="F870" s="27" t="str" cm="1">
        <f t="array" ref="F870">IF(C870="","",IFERROR(INDEX(STPP!$F$6:$F$4207,MATCH(C870,STPP!$C$6:$C$4207,0)),"Not Found"))</f>
        <v/>
      </c>
      <c r="G870" s="25" t="str">
        <f>IF(表1[[#This Row],[No Seri]]="","",表1[[#This Row],[Deskripsi Barang]]+表1[[#This Row],[Kuantitas]]-表1[[#This Row],[Satuan]])</f>
        <v/>
      </c>
      <c r="H870" s="28"/>
      <c r="I870" s="25" t="str">
        <f>IF(表1[[#This Row],[Tgl NPBG]]&gt;表1[[#This Row],[Peminta]],表1[[#This Row],[Tgl NPBG]]-表1[[#This Row],[Peminta]],"")</f>
        <v/>
      </c>
      <c r="J870" s="31"/>
    </row>
    <row r="871" s="12" customFormat="1" customHeight="1" spans="2:10">
      <c r="B871" s="25"/>
      <c r="C871" s="25"/>
      <c r="D871" s="26" t="str" cm="1">
        <f t="array" ref="D871">IF(C871="","",IFERROR(INDEX(STPP!$D$6:$D$4207,MATCH(C871,STPP!$C$6:$C$4207,0)),"Not Found"))</f>
        <v/>
      </c>
      <c r="E871" s="27" t="str" cm="1">
        <f t="array" ref="E871">IF(C871="","",IFERROR(INDEX(STPP!$E$6:$E$4207,MATCH(C871,STPP!$C$6:$C$4207,0)),"Not Found"))</f>
        <v/>
      </c>
      <c r="F871" s="27" t="str" cm="1">
        <f t="array" ref="F871">IF(C871="","",IFERROR(INDEX(STPP!$F$6:$F$4207,MATCH(C871,STPP!$C$6:$C$4207,0)),"Not Found"))</f>
        <v/>
      </c>
      <c r="G871" s="25" t="str">
        <f>IF(表1[[#This Row],[No Seri]]="","",表1[[#This Row],[Deskripsi Barang]]+表1[[#This Row],[Kuantitas]]-表1[[#This Row],[Satuan]])</f>
        <v/>
      </c>
      <c r="H871" s="28"/>
      <c r="I871" s="25" t="str">
        <f>IF(表1[[#This Row],[Tgl NPBG]]&gt;表1[[#This Row],[Peminta]],表1[[#This Row],[Tgl NPBG]]-表1[[#This Row],[Peminta]],"")</f>
        <v/>
      </c>
      <c r="J871" s="31"/>
    </row>
    <row r="872" s="12" customFormat="1" customHeight="1" spans="2:10">
      <c r="B872" s="25"/>
      <c r="C872" s="25"/>
      <c r="D872" s="26" t="str" cm="1">
        <f t="array" ref="D872">IF(C872="","",IFERROR(INDEX(STPP!$D$6:$D$4207,MATCH(C872,STPP!$C$6:$C$4207,0)),"Not Found"))</f>
        <v/>
      </c>
      <c r="E872" s="27" t="str" cm="1">
        <f t="array" ref="E872">IF(C872="","",IFERROR(INDEX(STPP!$E$6:$E$4207,MATCH(C872,STPP!$C$6:$C$4207,0)),"Not Found"))</f>
        <v/>
      </c>
      <c r="F872" s="27" t="str" cm="1">
        <f t="array" ref="F872">IF(C872="","",IFERROR(INDEX(STPP!$F$6:$F$4207,MATCH(C872,STPP!$C$6:$C$4207,0)),"Not Found"))</f>
        <v/>
      </c>
      <c r="G872" s="25" t="str">
        <f>IF(表1[[#This Row],[No Seri]]="","",表1[[#This Row],[Deskripsi Barang]]+表1[[#This Row],[Kuantitas]]-表1[[#This Row],[Satuan]])</f>
        <v/>
      </c>
      <c r="H872" s="28"/>
      <c r="I872" s="25" t="str">
        <f>IF(表1[[#This Row],[Tgl NPBG]]&gt;表1[[#This Row],[Peminta]],表1[[#This Row],[Tgl NPBG]]-表1[[#This Row],[Peminta]],"")</f>
        <v/>
      </c>
      <c r="J872" s="31"/>
    </row>
    <row r="873" s="12" customFormat="1" customHeight="1" spans="2:10">
      <c r="B873" s="25"/>
      <c r="C873" s="25"/>
      <c r="D873" s="26" t="str" cm="1">
        <f t="array" ref="D873">IF(C873="","",IFERROR(INDEX(STPP!$D$6:$D$4207,MATCH(C873,STPP!$C$6:$C$4207,0)),"Not Found"))</f>
        <v/>
      </c>
      <c r="E873" s="27" t="str" cm="1">
        <f t="array" ref="E873">IF(C873="","",IFERROR(INDEX(STPP!$E$6:$E$4207,MATCH(C873,STPP!$C$6:$C$4207,0)),"Not Found"))</f>
        <v/>
      </c>
      <c r="F873" s="27" t="str" cm="1">
        <f t="array" ref="F873">IF(C873="","",IFERROR(INDEX(STPP!$F$6:$F$4207,MATCH(C873,STPP!$C$6:$C$4207,0)),"Not Found"))</f>
        <v/>
      </c>
      <c r="G873" s="25" t="str">
        <f>IF(表1[[#This Row],[No Seri]]="","",表1[[#This Row],[Deskripsi Barang]]+表1[[#This Row],[Kuantitas]]-表1[[#This Row],[Satuan]])</f>
        <v/>
      </c>
      <c r="H873" s="28"/>
      <c r="I873" s="25" t="str">
        <f>IF(表1[[#This Row],[Tgl NPBG]]&gt;表1[[#This Row],[Peminta]],表1[[#This Row],[Tgl NPBG]]-表1[[#This Row],[Peminta]],"")</f>
        <v/>
      </c>
      <c r="J873" s="31"/>
    </row>
    <row r="874" s="12" customFormat="1" customHeight="1" spans="2:10">
      <c r="B874" s="25"/>
      <c r="C874" s="25"/>
      <c r="D874" s="26" t="str" cm="1">
        <f t="array" ref="D874">IF(C874="","",IFERROR(INDEX(STPP!$D$6:$D$4207,MATCH(C874,STPP!$C$6:$C$4207,0)),"Not Found"))</f>
        <v/>
      </c>
      <c r="E874" s="27" t="str" cm="1">
        <f t="array" ref="E874">IF(C874="","",IFERROR(INDEX(STPP!$E$6:$E$4207,MATCH(C874,STPP!$C$6:$C$4207,0)),"Not Found"))</f>
        <v/>
      </c>
      <c r="F874" s="27" t="str" cm="1">
        <f t="array" ref="F874">IF(C874="","",IFERROR(INDEX(STPP!$F$6:$F$4207,MATCH(C874,STPP!$C$6:$C$4207,0)),"Not Found"))</f>
        <v/>
      </c>
      <c r="G874" s="25" t="str">
        <f>IF(表1[[#This Row],[No Seri]]="","",表1[[#This Row],[Deskripsi Barang]]+表1[[#This Row],[Kuantitas]]-表1[[#This Row],[Satuan]])</f>
        <v/>
      </c>
      <c r="H874" s="28"/>
      <c r="I874" s="25" t="str">
        <f>IF(表1[[#This Row],[Tgl NPBG]]&gt;表1[[#This Row],[Peminta]],表1[[#This Row],[Tgl NPBG]]-表1[[#This Row],[Peminta]],"")</f>
        <v/>
      </c>
      <c r="J874" s="31"/>
    </row>
    <row r="875" s="12" customFormat="1" customHeight="1" spans="2:10">
      <c r="B875" s="25"/>
      <c r="C875" s="25"/>
      <c r="D875" s="26" t="str" cm="1">
        <f t="array" ref="D875">IF(C875="","",IFERROR(INDEX(STPP!$D$6:$D$4207,MATCH(C875,STPP!$C$6:$C$4207,0)),"Not Found"))</f>
        <v/>
      </c>
      <c r="E875" s="27" t="str" cm="1">
        <f t="array" ref="E875">IF(C875="","",IFERROR(INDEX(STPP!$E$6:$E$4207,MATCH(C875,STPP!$C$6:$C$4207,0)),"Not Found"))</f>
        <v/>
      </c>
      <c r="F875" s="27" t="str" cm="1">
        <f t="array" ref="F875">IF(C875="","",IFERROR(INDEX(STPP!$F$6:$F$4207,MATCH(C875,STPP!$C$6:$C$4207,0)),"Not Found"))</f>
        <v/>
      </c>
      <c r="G875" s="25" t="str">
        <f>IF(表1[[#This Row],[No Seri]]="","",表1[[#This Row],[Deskripsi Barang]]+表1[[#This Row],[Kuantitas]]-表1[[#This Row],[Satuan]])</f>
        <v/>
      </c>
      <c r="H875" s="28"/>
      <c r="I875" s="25" t="str">
        <f>IF(表1[[#This Row],[Tgl NPBG]]&gt;表1[[#This Row],[Peminta]],表1[[#This Row],[Tgl NPBG]]-表1[[#This Row],[Peminta]],"")</f>
        <v/>
      </c>
      <c r="J875" s="31"/>
    </row>
    <row r="876" s="12" customFormat="1" customHeight="1" spans="2:10">
      <c r="B876" s="25"/>
      <c r="C876" s="25"/>
      <c r="D876" s="26" t="str" cm="1">
        <f t="array" ref="D876">IF(C876="","",IFERROR(INDEX(STPP!$D$6:$D$4207,MATCH(C876,STPP!$C$6:$C$4207,0)),"Not Found"))</f>
        <v/>
      </c>
      <c r="E876" s="27" t="str" cm="1">
        <f t="array" ref="E876">IF(C876="","",IFERROR(INDEX(STPP!$E$6:$E$4207,MATCH(C876,STPP!$C$6:$C$4207,0)),"Not Found"))</f>
        <v/>
      </c>
      <c r="F876" s="27" t="str" cm="1">
        <f t="array" ref="F876">IF(C876="","",IFERROR(INDEX(STPP!$F$6:$F$4207,MATCH(C876,STPP!$C$6:$C$4207,0)),"Not Found"))</f>
        <v/>
      </c>
      <c r="G876" s="25" t="str">
        <f>IF(表1[[#This Row],[No Seri]]="","",表1[[#This Row],[Deskripsi Barang]]+表1[[#This Row],[Kuantitas]]-表1[[#This Row],[Satuan]])</f>
        <v/>
      </c>
      <c r="H876" s="28"/>
      <c r="I876" s="25" t="str">
        <f>IF(表1[[#This Row],[Tgl NPBG]]&gt;表1[[#This Row],[Peminta]],表1[[#This Row],[Tgl NPBG]]-表1[[#This Row],[Peminta]],"")</f>
        <v/>
      </c>
      <c r="J876" s="31"/>
    </row>
    <row r="877" s="12" customFormat="1" customHeight="1" spans="2:10">
      <c r="B877" s="25"/>
      <c r="C877" s="25"/>
      <c r="D877" s="26" t="str" cm="1">
        <f t="array" ref="D877">IF(C877="","",IFERROR(INDEX(STPP!$D$6:$D$4207,MATCH(C877,STPP!$C$6:$C$4207,0)),"Not Found"))</f>
        <v/>
      </c>
      <c r="E877" s="27" t="str" cm="1">
        <f t="array" ref="E877">IF(C877="","",IFERROR(INDEX(STPP!$E$6:$E$4207,MATCH(C877,STPP!$C$6:$C$4207,0)),"Not Found"))</f>
        <v/>
      </c>
      <c r="F877" s="27" t="str" cm="1">
        <f t="array" ref="F877">IF(C877="","",IFERROR(INDEX(STPP!$F$6:$F$4207,MATCH(C877,STPP!$C$6:$C$4207,0)),"Not Found"))</f>
        <v/>
      </c>
      <c r="G877" s="25" t="str">
        <f>IF(表1[[#This Row],[No Seri]]="","",表1[[#This Row],[Deskripsi Barang]]+表1[[#This Row],[Kuantitas]]-表1[[#This Row],[Satuan]])</f>
        <v/>
      </c>
      <c r="H877" s="28"/>
      <c r="I877" s="25" t="str">
        <f>IF(表1[[#This Row],[Tgl NPBG]]&gt;表1[[#This Row],[Peminta]],表1[[#This Row],[Tgl NPBG]]-表1[[#This Row],[Peminta]],"")</f>
        <v/>
      </c>
      <c r="J877" s="31"/>
    </row>
    <row r="878" s="12" customFormat="1" customHeight="1" spans="2:10">
      <c r="B878" s="25"/>
      <c r="C878" s="25"/>
      <c r="D878" s="26" t="str" cm="1">
        <f t="array" ref="D878">IF(C878="","",IFERROR(INDEX(STPP!$D$6:$D$4207,MATCH(C878,STPP!$C$6:$C$4207,0)),"Not Found"))</f>
        <v/>
      </c>
      <c r="E878" s="27" t="str" cm="1">
        <f t="array" ref="E878">IF(C878="","",IFERROR(INDEX(STPP!$E$6:$E$4207,MATCH(C878,STPP!$C$6:$C$4207,0)),"Not Found"))</f>
        <v/>
      </c>
      <c r="F878" s="27" t="str" cm="1">
        <f t="array" ref="F878">IF(C878="","",IFERROR(INDEX(STPP!$F$6:$F$4207,MATCH(C878,STPP!$C$6:$C$4207,0)),"Not Found"))</f>
        <v/>
      </c>
      <c r="G878" s="25" t="str">
        <f>IF(表1[[#This Row],[No Seri]]="","",表1[[#This Row],[Deskripsi Barang]]+表1[[#This Row],[Kuantitas]]-表1[[#This Row],[Satuan]])</f>
        <v/>
      </c>
      <c r="H878" s="28"/>
      <c r="I878" s="25" t="str">
        <f>IF(表1[[#This Row],[Tgl NPBG]]&gt;表1[[#This Row],[Peminta]],表1[[#This Row],[Tgl NPBG]]-表1[[#This Row],[Peminta]],"")</f>
        <v/>
      </c>
      <c r="J878" s="31"/>
    </row>
    <row r="879" s="12" customFormat="1" customHeight="1" spans="2:10">
      <c r="B879" s="25"/>
      <c r="C879" s="25"/>
      <c r="D879" s="26" t="str" cm="1">
        <f t="array" ref="D879">IF(C879="","",IFERROR(INDEX(STPP!$D$6:$D$4207,MATCH(C879,STPP!$C$6:$C$4207,0)),"Not Found"))</f>
        <v/>
      </c>
      <c r="E879" s="27" t="str" cm="1">
        <f t="array" ref="E879">IF(C879="","",IFERROR(INDEX(STPP!$E$6:$E$4207,MATCH(C879,STPP!$C$6:$C$4207,0)),"Not Found"))</f>
        <v/>
      </c>
      <c r="F879" s="27" t="str" cm="1">
        <f t="array" ref="F879">IF(C879="","",IFERROR(INDEX(STPP!$F$6:$F$4207,MATCH(C879,STPP!$C$6:$C$4207,0)),"Not Found"))</f>
        <v/>
      </c>
      <c r="G879" s="25" t="str">
        <f>IF(表1[[#This Row],[No Seri]]="","",表1[[#This Row],[Deskripsi Barang]]+表1[[#This Row],[Kuantitas]]-表1[[#This Row],[Satuan]])</f>
        <v/>
      </c>
      <c r="H879" s="28"/>
      <c r="I879" s="25" t="str">
        <f>IF(表1[[#This Row],[Tgl NPBG]]&gt;表1[[#This Row],[Peminta]],表1[[#This Row],[Tgl NPBG]]-表1[[#This Row],[Peminta]],"")</f>
        <v/>
      </c>
      <c r="J879" s="31"/>
    </row>
    <row r="880" s="12" customFormat="1" customHeight="1" spans="2:10">
      <c r="B880" s="25"/>
      <c r="C880" s="25"/>
      <c r="D880" s="26" t="str" cm="1">
        <f t="array" ref="D880">IF(C880="","",IFERROR(INDEX(STPP!$D$6:$D$4207,MATCH(C880,STPP!$C$6:$C$4207,0)),"Not Found"))</f>
        <v/>
      </c>
      <c r="E880" s="27" t="str" cm="1">
        <f t="array" ref="E880">IF(C880="","",IFERROR(INDEX(STPP!$E$6:$E$4207,MATCH(C880,STPP!$C$6:$C$4207,0)),"Not Found"))</f>
        <v/>
      </c>
      <c r="F880" s="27" t="str" cm="1">
        <f t="array" ref="F880">IF(C880="","",IFERROR(INDEX(STPP!$F$6:$F$4207,MATCH(C880,STPP!$C$6:$C$4207,0)),"Not Found"))</f>
        <v/>
      </c>
      <c r="G880" s="25" t="str">
        <f>IF(表1[[#This Row],[No Seri]]="","",表1[[#This Row],[Deskripsi Barang]]+表1[[#This Row],[Kuantitas]]-表1[[#This Row],[Satuan]])</f>
        <v/>
      </c>
      <c r="H880" s="28"/>
      <c r="I880" s="25" t="str">
        <f>IF(表1[[#This Row],[Tgl NPBG]]&gt;表1[[#This Row],[Peminta]],表1[[#This Row],[Tgl NPBG]]-表1[[#This Row],[Peminta]],"")</f>
        <v/>
      </c>
      <c r="J880" s="31"/>
    </row>
    <row r="881" s="12" customFormat="1" customHeight="1" spans="2:10">
      <c r="B881" s="25"/>
      <c r="C881" s="25"/>
      <c r="D881" s="26" t="str" cm="1">
        <f t="array" ref="D881">IF(C881="","",IFERROR(INDEX(STPP!$D$6:$D$4207,MATCH(C881,STPP!$C$6:$C$4207,0)),"Not Found"))</f>
        <v/>
      </c>
      <c r="E881" s="27" t="str" cm="1">
        <f t="array" ref="E881">IF(C881="","",IFERROR(INDEX(STPP!$E$6:$E$4207,MATCH(C881,STPP!$C$6:$C$4207,0)),"Not Found"))</f>
        <v/>
      </c>
      <c r="F881" s="27" t="str" cm="1">
        <f t="array" ref="F881">IF(C881="","",IFERROR(INDEX(STPP!$F$6:$F$4207,MATCH(C881,STPP!$C$6:$C$4207,0)),"Not Found"))</f>
        <v/>
      </c>
      <c r="G881" s="25" t="str">
        <f>IF(表1[[#This Row],[No Seri]]="","",表1[[#This Row],[Deskripsi Barang]]+表1[[#This Row],[Kuantitas]]-表1[[#This Row],[Satuan]])</f>
        <v/>
      </c>
      <c r="H881" s="28"/>
      <c r="I881" s="25" t="str">
        <f>IF(表1[[#This Row],[Tgl NPBG]]&gt;表1[[#This Row],[Peminta]],表1[[#This Row],[Tgl NPBG]]-表1[[#This Row],[Peminta]],"")</f>
        <v/>
      </c>
      <c r="J881" s="31"/>
    </row>
    <row r="882" s="12" customFormat="1" customHeight="1" spans="2:10">
      <c r="B882" s="25"/>
      <c r="C882" s="25"/>
      <c r="D882" s="26" t="str" cm="1">
        <f t="array" ref="D882">IF(C882="","",IFERROR(INDEX(STPP!$D$6:$D$4207,MATCH(C882,STPP!$C$6:$C$4207,0)),"Not Found"))</f>
        <v/>
      </c>
      <c r="E882" s="27" t="str" cm="1">
        <f t="array" ref="E882">IF(C882="","",IFERROR(INDEX(STPP!$E$6:$E$4207,MATCH(C882,STPP!$C$6:$C$4207,0)),"Not Found"))</f>
        <v/>
      </c>
      <c r="F882" s="27" t="str" cm="1">
        <f t="array" ref="F882">IF(C882="","",IFERROR(INDEX(STPP!$F$6:$F$4207,MATCH(C882,STPP!$C$6:$C$4207,0)),"Not Found"))</f>
        <v/>
      </c>
      <c r="G882" s="25" t="str">
        <f>IF(表1[[#This Row],[No Seri]]="","",表1[[#This Row],[Deskripsi Barang]]+表1[[#This Row],[Kuantitas]]-表1[[#This Row],[Satuan]])</f>
        <v/>
      </c>
      <c r="H882" s="28"/>
      <c r="I882" s="25" t="str">
        <f>IF(表1[[#This Row],[Tgl NPBG]]&gt;表1[[#This Row],[Peminta]],表1[[#This Row],[Tgl NPBG]]-表1[[#This Row],[Peminta]],"")</f>
        <v/>
      </c>
      <c r="J882" s="31"/>
    </row>
    <row r="883" s="12" customFormat="1" customHeight="1" spans="2:10">
      <c r="B883" s="25"/>
      <c r="C883" s="25"/>
      <c r="D883" s="26" t="str" cm="1">
        <f t="array" ref="D883">IF(C883="","",IFERROR(INDEX(STPP!$D$6:$D$4207,MATCH(C883,STPP!$C$6:$C$4207,0)),"Not Found"))</f>
        <v/>
      </c>
      <c r="E883" s="27" t="str" cm="1">
        <f t="array" ref="E883">IF(C883="","",IFERROR(INDEX(STPP!$E$6:$E$4207,MATCH(C883,STPP!$C$6:$C$4207,0)),"Not Found"))</f>
        <v/>
      </c>
      <c r="F883" s="27" t="str" cm="1">
        <f t="array" ref="F883">IF(C883="","",IFERROR(INDEX(STPP!$F$6:$F$4207,MATCH(C883,STPP!$C$6:$C$4207,0)),"Not Found"))</f>
        <v/>
      </c>
      <c r="G883" s="25" t="str">
        <f>IF(表1[[#This Row],[No Seri]]="","",表1[[#This Row],[Deskripsi Barang]]+表1[[#This Row],[Kuantitas]]-表1[[#This Row],[Satuan]])</f>
        <v/>
      </c>
      <c r="H883" s="28"/>
      <c r="I883" s="25" t="str">
        <f>IF(表1[[#This Row],[Tgl NPBG]]&gt;表1[[#This Row],[Peminta]],表1[[#This Row],[Tgl NPBG]]-表1[[#This Row],[Peminta]],"")</f>
        <v/>
      </c>
      <c r="J883" s="31"/>
    </row>
    <row r="884" s="12" customFormat="1" customHeight="1" spans="2:10">
      <c r="B884" s="25"/>
      <c r="C884" s="25"/>
      <c r="D884" s="26" t="str" cm="1">
        <f t="array" ref="D884">IF(C884="","",IFERROR(INDEX(STPP!$D$6:$D$4207,MATCH(C884,STPP!$C$6:$C$4207,0)),"Not Found"))</f>
        <v/>
      </c>
      <c r="E884" s="27" t="str" cm="1">
        <f t="array" ref="E884">IF(C884="","",IFERROR(INDEX(STPP!$E$6:$E$4207,MATCH(C884,STPP!$C$6:$C$4207,0)),"Not Found"))</f>
        <v/>
      </c>
      <c r="F884" s="27" t="str" cm="1">
        <f t="array" ref="F884">IF(C884="","",IFERROR(INDEX(STPP!$F$6:$F$4207,MATCH(C884,STPP!$C$6:$C$4207,0)),"Not Found"))</f>
        <v/>
      </c>
      <c r="G884" s="25" t="str">
        <f>IF(表1[[#This Row],[No Seri]]="","",表1[[#This Row],[Deskripsi Barang]]+表1[[#This Row],[Kuantitas]]-表1[[#This Row],[Satuan]])</f>
        <v/>
      </c>
      <c r="H884" s="28"/>
      <c r="I884" s="25" t="str">
        <f>IF(表1[[#This Row],[Tgl NPBG]]&gt;表1[[#This Row],[Peminta]],表1[[#This Row],[Tgl NPBG]]-表1[[#This Row],[Peminta]],"")</f>
        <v/>
      </c>
      <c r="J884" s="31"/>
    </row>
    <row r="885" s="12" customFormat="1" customHeight="1" spans="2:10">
      <c r="B885" s="25"/>
      <c r="C885" s="25"/>
      <c r="D885" s="26" t="str" cm="1">
        <f t="array" ref="D885">IF(C885="","",IFERROR(INDEX(STPP!$D$6:$D$4207,MATCH(C885,STPP!$C$6:$C$4207,0)),"Not Found"))</f>
        <v/>
      </c>
      <c r="E885" s="27" t="str" cm="1">
        <f t="array" ref="E885">IF(C885="","",IFERROR(INDEX(STPP!$E$6:$E$4207,MATCH(C885,STPP!$C$6:$C$4207,0)),"Not Found"))</f>
        <v/>
      </c>
      <c r="F885" s="27" t="str" cm="1">
        <f t="array" ref="F885">IF(C885="","",IFERROR(INDEX(STPP!$F$6:$F$4207,MATCH(C885,STPP!$C$6:$C$4207,0)),"Not Found"))</f>
        <v/>
      </c>
      <c r="G885" s="25" t="str">
        <f>IF(表1[[#This Row],[No Seri]]="","",表1[[#This Row],[Deskripsi Barang]]+表1[[#This Row],[Kuantitas]]-表1[[#This Row],[Satuan]])</f>
        <v/>
      </c>
      <c r="H885" s="28"/>
      <c r="I885" s="25" t="str">
        <f>IF(表1[[#This Row],[Tgl NPBG]]&gt;表1[[#This Row],[Peminta]],表1[[#This Row],[Tgl NPBG]]-表1[[#This Row],[Peminta]],"")</f>
        <v/>
      </c>
      <c r="J885" s="31"/>
    </row>
    <row r="886" s="12" customFormat="1" customHeight="1" spans="2:10">
      <c r="B886" s="25"/>
      <c r="C886" s="25"/>
      <c r="D886" s="26" t="str" cm="1">
        <f t="array" ref="D886">IF(C886="","",IFERROR(INDEX(STPP!$D$6:$D$4207,MATCH(C886,STPP!$C$6:$C$4207,0)),"Not Found"))</f>
        <v/>
      </c>
      <c r="E886" s="27" t="str" cm="1">
        <f t="array" ref="E886">IF(C886="","",IFERROR(INDEX(STPP!$E$6:$E$4207,MATCH(C886,STPP!$C$6:$C$4207,0)),"Not Found"))</f>
        <v/>
      </c>
      <c r="F886" s="27" t="str" cm="1">
        <f t="array" ref="F886">IF(C886="","",IFERROR(INDEX(STPP!$F$6:$F$4207,MATCH(C886,STPP!$C$6:$C$4207,0)),"Not Found"))</f>
        <v/>
      </c>
      <c r="G886" s="25" t="str">
        <f>IF(表1[[#This Row],[No Seri]]="","",表1[[#This Row],[Deskripsi Barang]]+表1[[#This Row],[Kuantitas]]-表1[[#This Row],[Satuan]])</f>
        <v/>
      </c>
      <c r="H886" s="28"/>
      <c r="I886" s="25" t="str">
        <f>IF(表1[[#This Row],[Tgl NPBG]]&gt;表1[[#This Row],[Peminta]],表1[[#This Row],[Tgl NPBG]]-表1[[#This Row],[Peminta]],"")</f>
        <v/>
      </c>
      <c r="J886" s="31"/>
    </row>
    <row r="887" s="12" customFormat="1" customHeight="1" spans="2:10">
      <c r="B887" s="25"/>
      <c r="C887" s="25"/>
      <c r="D887" s="26" t="str" cm="1">
        <f t="array" ref="D887">IF(C887="","",IFERROR(INDEX(STPP!$D$6:$D$4207,MATCH(C887,STPP!$C$6:$C$4207,0)),"Not Found"))</f>
        <v/>
      </c>
      <c r="E887" s="27" t="str" cm="1">
        <f t="array" ref="E887">IF(C887="","",IFERROR(INDEX(STPP!$E$6:$E$4207,MATCH(C887,STPP!$C$6:$C$4207,0)),"Not Found"))</f>
        <v/>
      </c>
      <c r="F887" s="27" t="str" cm="1">
        <f t="array" ref="F887">IF(C887="","",IFERROR(INDEX(STPP!$F$6:$F$4207,MATCH(C887,STPP!$C$6:$C$4207,0)),"Not Found"))</f>
        <v/>
      </c>
      <c r="G887" s="25" t="str">
        <f>IF(表1[[#This Row],[No Seri]]="","",表1[[#This Row],[Deskripsi Barang]]+表1[[#This Row],[Kuantitas]]-表1[[#This Row],[Satuan]])</f>
        <v/>
      </c>
      <c r="H887" s="28"/>
      <c r="I887" s="25" t="str">
        <f>IF(表1[[#This Row],[Tgl NPBG]]&gt;表1[[#This Row],[Peminta]],表1[[#This Row],[Tgl NPBG]]-表1[[#This Row],[Peminta]],"")</f>
        <v/>
      </c>
      <c r="J887" s="31"/>
    </row>
    <row r="888" s="12" customFormat="1" customHeight="1" spans="2:10">
      <c r="B888" s="25"/>
      <c r="C888" s="25"/>
      <c r="D888" s="26" t="str" cm="1">
        <f t="array" ref="D888">IF(C888="","",IFERROR(INDEX(STPP!$D$6:$D$4207,MATCH(C888,STPP!$C$6:$C$4207,0)),"Not Found"))</f>
        <v/>
      </c>
      <c r="E888" s="27" t="str" cm="1">
        <f t="array" ref="E888">IF(C888="","",IFERROR(INDEX(STPP!$E$6:$E$4207,MATCH(C888,STPP!$C$6:$C$4207,0)),"Not Found"))</f>
        <v/>
      </c>
      <c r="F888" s="27" t="str" cm="1">
        <f t="array" ref="F888">IF(C888="","",IFERROR(INDEX(STPP!$F$6:$F$4207,MATCH(C888,STPP!$C$6:$C$4207,0)),"Not Found"))</f>
        <v/>
      </c>
      <c r="G888" s="25" t="str">
        <f>IF(表1[[#This Row],[No Seri]]="","",表1[[#This Row],[Deskripsi Barang]]+表1[[#This Row],[Kuantitas]]-表1[[#This Row],[Satuan]])</f>
        <v/>
      </c>
      <c r="H888" s="28"/>
      <c r="I888" s="25" t="str">
        <f>IF(表1[[#This Row],[Tgl NPBG]]&gt;表1[[#This Row],[Peminta]],表1[[#This Row],[Tgl NPBG]]-表1[[#This Row],[Peminta]],"")</f>
        <v/>
      </c>
      <c r="J888" s="31"/>
    </row>
    <row r="889" s="12" customFormat="1" customHeight="1" spans="2:10">
      <c r="B889" s="25"/>
      <c r="C889" s="25"/>
      <c r="D889" s="26" t="str" cm="1">
        <f t="array" ref="D889">IF(C889="","",IFERROR(INDEX(STPP!$D$6:$D$4207,MATCH(C889,STPP!$C$6:$C$4207,0)),"Not Found"))</f>
        <v/>
      </c>
      <c r="E889" s="27" t="str" cm="1">
        <f t="array" ref="E889">IF(C889="","",IFERROR(INDEX(STPP!$E$6:$E$4207,MATCH(C889,STPP!$C$6:$C$4207,0)),"Not Found"))</f>
        <v/>
      </c>
      <c r="F889" s="27" t="str" cm="1">
        <f t="array" ref="F889">IF(C889="","",IFERROR(INDEX(STPP!$F$6:$F$4207,MATCH(C889,STPP!$C$6:$C$4207,0)),"Not Found"))</f>
        <v/>
      </c>
      <c r="G889" s="25" t="str">
        <f>IF(表1[[#This Row],[No Seri]]="","",表1[[#This Row],[Deskripsi Barang]]+表1[[#This Row],[Kuantitas]]-表1[[#This Row],[Satuan]])</f>
        <v/>
      </c>
      <c r="H889" s="28"/>
      <c r="I889" s="25" t="str">
        <f>IF(表1[[#This Row],[Tgl NPBG]]&gt;表1[[#This Row],[Peminta]],表1[[#This Row],[Tgl NPBG]]-表1[[#This Row],[Peminta]],"")</f>
        <v/>
      </c>
      <c r="J889" s="31"/>
    </row>
    <row r="890" s="12" customFormat="1" customHeight="1" spans="2:10">
      <c r="B890" s="25"/>
      <c r="C890" s="25"/>
      <c r="D890" s="26" t="str" cm="1">
        <f t="array" ref="D890">IF(C890="","",IFERROR(INDEX(STPP!$D$6:$D$4207,MATCH(C890,STPP!$C$6:$C$4207,0)),"Not Found"))</f>
        <v/>
      </c>
      <c r="E890" s="27" t="str" cm="1">
        <f t="array" ref="E890">IF(C890="","",IFERROR(INDEX(STPP!$E$6:$E$4207,MATCH(C890,STPP!$C$6:$C$4207,0)),"Not Found"))</f>
        <v/>
      </c>
      <c r="F890" s="27" t="str" cm="1">
        <f t="array" ref="F890">IF(C890="","",IFERROR(INDEX(STPP!$F$6:$F$4207,MATCH(C890,STPP!$C$6:$C$4207,0)),"Not Found"))</f>
        <v/>
      </c>
      <c r="G890" s="25" t="str">
        <f>IF(表1[[#This Row],[No Seri]]="","",表1[[#This Row],[Deskripsi Barang]]+表1[[#This Row],[Kuantitas]]-表1[[#This Row],[Satuan]])</f>
        <v/>
      </c>
      <c r="H890" s="28"/>
      <c r="I890" s="25" t="str">
        <f>IF(表1[[#This Row],[Tgl NPBG]]&gt;表1[[#This Row],[Peminta]],表1[[#This Row],[Tgl NPBG]]-表1[[#This Row],[Peminta]],"")</f>
        <v/>
      </c>
      <c r="J890" s="31"/>
    </row>
    <row r="891" s="12" customFormat="1" customHeight="1" spans="2:10">
      <c r="B891" s="25"/>
      <c r="C891" s="25"/>
      <c r="D891" s="26" t="str" cm="1">
        <f t="array" ref="D891">IF(C891="","",IFERROR(INDEX(STPP!$D$6:$D$4207,MATCH(C891,STPP!$C$6:$C$4207,0)),"Not Found"))</f>
        <v/>
      </c>
      <c r="E891" s="27" t="str" cm="1">
        <f t="array" ref="E891">IF(C891="","",IFERROR(INDEX(STPP!$E$6:$E$4207,MATCH(C891,STPP!$C$6:$C$4207,0)),"Not Found"))</f>
        <v/>
      </c>
      <c r="F891" s="27" t="str" cm="1">
        <f t="array" ref="F891">IF(C891="","",IFERROR(INDEX(STPP!$F$6:$F$4207,MATCH(C891,STPP!$C$6:$C$4207,0)),"Not Found"))</f>
        <v/>
      </c>
      <c r="G891" s="25" t="str">
        <f>IF(表1[[#This Row],[No Seri]]="","",表1[[#This Row],[Deskripsi Barang]]+表1[[#This Row],[Kuantitas]]-表1[[#This Row],[Satuan]])</f>
        <v/>
      </c>
      <c r="H891" s="28"/>
      <c r="I891" s="25" t="str">
        <f>IF(表1[[#This Row],[Tgl NPBG]]&gt;表1[[#This Row],[Peminta]],表1[[#This Row],[Tgl NPBG]]-表1[[#This Row],[Peminta]],"")</f>
        <v/>
      </c>
      <c r="J891" s="31"/>
    </row>
    <row r="892" s="12" customFormat="1" customHeight="1" spans="2:10">
      <c r="B892" s="25"/>
      <c r="C892" s="25"/>
      <c r="D892" s="26" t="str" cm="1">
        <f t="array" ref="D892">IF(C892="","",IFERROR(INDEX(STPP!$D$6:$D$4207,MATCH(C892,STPP!$C$6:$C$4207,0)),"Not Found"))</f>
        <v/>
      </c>
      <c r="E892" s="27" t="str" cm="1">
        <f t="array" ref="E892">IF(C892="","",IFERROR(INDEX(STPP!$E$6:$E$4207,MATCH(C892,STPP!$C$6:$C$4207,0)),"Not Found"))</f>
        <v/>
      </c>
      <c r="F892" s="27" t="str" cm="1">
        <f t="array" ref="F892">IF(C892="","",IFERROR(INDEX(STPP!$F$6:$F$4207,MATCH(C892,STPP!$C$6:$C$4207,0)),"Not Found"))</f>
        <v/>
      </c>
      <c r="G892" s="25" t="str">
        <f>IF(表1[[#This Row],[No Seri]]="","",表1[[#This Row],[Deskripsi Barang]]+表1[[#This Row],[Kuantitas]]-表1[[#This Row],[Satuan]])</f>
        <v/>
      </c>
      <c r="H892" s="28"/>
      <c r="I892" s="25" t="str">
        <f>IF(表1[[#This Row],[Tgl NPBG]]&gt;表1[[#This Row],[Peminta]],表1[[#This Row],[Tgl NPBG]]-表1[[#This Row],[Peminta]],"")</f>
        <v/>
      </c>
      <c r="J892" s="31"/>
    </row>
    <row r="893" s="12" customFormat="1" customHeight="1" spans="2:10">
      <c r="B893" s="25"/>
      <c r="C893" s="25"/>
      <c r="D893" s="26" t="str" cm="1">
        <f t="array" ref="D893">IF(C893="","",IFERROR(INDEX(STPP!$D$6:$D$4207,MATCH(C893,STPP!$C$6:$C$4207,0)),"Not Found"))</f>
        <v/>
      </c>
      <c r="E893" s="27" t="str" cm="1">
        <f t="array" ref="E893">IF(C893="","",IFERROR(INDEX(STPP!$E$6:$E$4207,MATCH(C893,STPP!$C$6:$C$4207,0)),"Not Found"))</f>
        <v/>
      </c>
      <c r="F893" s="27" t="str" cm="1">
        <f t="array" ref="F893">IF(C893="","",IFERROR(INDEX(STPP!$F$6:$F$4207,MATCH(C893,STPP!$C$6:$C$4207,0)),"Not Found"))</f>
        <v/>
      </c>
      <c r="G893" s="25" t="str">
        <f>IF(表1[[#This Row],[No Seri]]="","",表1[[#This Row],[Deskripsi Barang]]+表1[[#This Row],[Kuantitas]]-表1[[#This Row],[Satuan]])</f>
        <v/>
      </c>
      <c r="H893" s="28"/>
      <c r="I893" s="25" t="str">
        <f>IF(表1[[#This Row],[Tgl NPBG]]&gt;表1[[#This Row],[Peminta]],表1[[#This Row],[Tgl NPBG]]-表1[[#This Row],[Peminta]],"")</f>
        <v/>
      </c>
      <c r="J893" s="31"/>
    </row>
    <row r="894" s="12" customFormat="1" customHeight="1" spans="2:10">
      <c r="B894" s="25"/>
      <c r="C894" s="25"/>
      <c r="D894" s="26" t="str" cm="1">
        <f t="array" ref="D894">IF(C894="","",IFERROR(INDEX(STPP!$D$6:$D$4207,MATCH(C894,STPP!$C$6:$C$4207,0)),"Not Found"))</f>
        <v/>
      </c>
      <c r="E894" s="27" t="str" cm="1">
        <f t="array" ref="E894">IF(C894="","",IFERROR(INDEX(STPP!$E$6:$E$4207,MATCH(C894,STPP!$C$6:$C$4207,0)),"Not Found"))</f>
        <v/>
      </c>
      <c r="F894" s="27" t="str" cm="1">
        <f t="array" ref="F894">IF(C894="","",IFERROR(INDEX(STPP!$F$6:$F$4207,MATCH(C894,STPP!$C$6:$C$4207,0)),"Not Found"))</f>
        <v/>
      </c>
      <c r="G894" s="25" t="str">
        <f>IF(表1[[#This Row],[No Seri]]="","",表1[[#This Row],[Deskripsi Barang]]+表1[[#This Row],[Kuantitas]]-表1[[#This Row],[Satuan]])</f>
        <v/>
      </c>
      <c r="H894" s="28"/>
      <c r="I894" s="25" t="str">
        <f>IF(表1[[#This Row],[Tgl NPBG]]&gt;表1[[#This Row],[Peminta]],表1[[#This Row],[Tgl NPBG]]-表1[[#This Row],[Peminta]],"")</f>
        <v/>
      </c>
      <c r="J894" s="31"/>
    </row>
    <row r="895" s="12" customFormat="1" customHeight="1" spans="2:10">
      <c r="B895" s="25"/>
      <c r="C895" s="25"/>
      <c r="D895" s="26" t="str" cm="1">
        <f t="array" ref="D895">IF(C895="","",IFERROR(INDEX(STPP!$D$6:$D$4207,MATCH(C895,STPP!$C$6:$C$4207,0)),"Not Found"))</f>
        <v/>
      </c>
      <c r="E895" s="27" t="str" cm="1">
        <f t="array" ref="E895">IF(C895="","",IFERROR(INDEX(STPP!$E$6:$E$4207,MATCH(C895,STPP!$C$6:$C$4207,0)),"Not Found"))</f>
        <v/>
      </c>
      <c r="F895" s="27" t="str" cm="1">
        <f t="array" ref="F895">IF(C895="","",IFERROR(INDEX(STPP!$F$6:$F$4207,MATCH(C895,STPP!$C$6:$C$4207,0)),"Not Found"))</f>
        <v/>
      </c>
      <c r="G895" s="25" t="str">
        <f>IF(表1[[#This Row],[No Seri]]="","",表1[[#This Row],[Deskripsi Barang]]+表1[[#This Row],[Kuantitas]]-表1[[#This Row],[Satuan]])</f>
        <v/>
      </c>
      <c r="H895" s="28"/>
      <c r="I895" s="25" t="str">
        <f>IF(表1[[#This Row],[Tgl NPBG]]&gt;表1[[#This Row],[Peminta]],表1[[#This Row],[Tgl NPBG]]-表1[[#This Row],[Peminta]],"")</f>
        <v/>
      </c>
      <c r="J895" s="31"/>
    </row>
    <row r="896" s="12" customFormat="1" customHeight="1" spans="2:10">
      <c r="B896" s="25"/>
      <c r="C896" s="25"/>
      <c r="D896" s="26" t="str" cm="1">
        <f t="array" ref="D896">IF(C896="","",IFERROR(INDEX(STPP!$D$6:$D$4207,MATCH(C896,STPP!$C$6:$C$4207,0)),"Not Found"))</f>
        <v/>
      </c>
      <c r="E896" s="27" t="str" cm="1">
        <f t="array" ref="E896">IF(C896="","",IFERROR(INDEX(STPP!$E$6:$E$4207,MATCH(C896,STPP!$C$6:$C$4207,0)),"Not Found"))</f>
        <v/>
      </c>
      <c r="F896" s="27" t="str" cm="1">
        <f t="array" ref="F896">IF(C896="","",IFERROR(INDEX(STPP!$F$6:$F$4207,MATCH(C896,STPP!$C$6:$C$4207,0)),"Not Found"))</f>
        <v/>
      </c>
      <c r="G896" s="25" t="str">
        <f>IF(表1[[#This Row],[No Seri]]="","",表1[[#This Row],[Deskripsi Barang]]+表1[[#This Row],[Kuantitas]]-表1[[#This Row],[Satuan]])</f>
        <v/>
      </c>
      <c r="H896" s="28"/>
      <c r="I896" s="25" t="str">
        <f>IF(表1[[#This Row],[Tgl NPBG]]&gt;表1[[#This Row],[Peminta]],表1[[#This Row],[Tgl NPBG]]-表1[[#This Row],[Peminta]],"")</f>
        <v/>
      </c>
      <c r="J896" s="31"/>
    </row>
    <row r="897" s="12" customFormat="1" customHeight="1" spans="2:10">
      <c r="B897" s="25"/>
      <c r="C897" s="25"/>
      <c r="D897" s="26" t="str" cm="1">
        <f t="array" ref="D897">IF(C897="","",IFERROR(INDEX(STPP!$D$6:$D$4207,MATCH(C897,STPP!$C$6:$C$4207,0)),"Not Found"))</f>
        <v/>
      </c>
      <c r="E897" s="27" t="str" cm="1">
        <f t="array" ref="E897">IF(C897="","",IFERROR(INDEX(STPP!$E$6:$E$4207,MATCH(C897,STPP!$C$6:$C$4207,0)),"Not Found"))</f>
        <v/>
      </c>
      <c r="F897" s="27" t="str" cm="1">
        <f t="array" ref="F897">IF(C897="","",IFERROR(INDEX(STPP!$F$6:$F$4207,MATCH(C897,STPP!$C$6:$C$4207,0)),"Not Found"))</f>
        <v/>
      </c>
      <c r="G897" s="25" t="str">
        <f>IF(表1[[#This Row],[No Seri]]="","",表1[[#This Row],[Deskripsi Barang]]+表1[[#This Row],[Kuantitas]]-表1[[#This Row],[Satuan]])</f>
        <v/>
      </c>
      <c r="H897" s="28"/>
      <c r="I897" s="25" t="str">
        <f>IF(表1[[#This Row],[Tgl NPBG]]&gt;表1[[#This Row],[Peminta]],表1[[#This Row],[Tgl NPBG]]-表1[[#This Row],[Peminta]],"")</f>
        <v/>
      </c>
      <c r="J897" s="31"/>
    </row>
    <row r="898" s="12" customFormat="1" customHeight="1" spans="2:10">
      <c r="B898" s="25"/>
      <c r="C898" s="25"/>
      <c r="D898" s="26" t="str" cm="1">
        <f t="array" ref="D898">IF(C898="","",IFERROR(INDEX(STPP!$D$6:$D$4207,MATCH(C898,STPP!$C$6:$C$4207,0)),"Not Found"))</f>
        <v/>
      </c>
      <c r="E898" s="27" t="str" cm="1">
        <f t="array" ref="E898">IF(C898="","",IFERROR(INDEX(STPP!$E$6:$E$4207,MATCH(C898,STPP!$C$6:$C$4207,0)),"Not Found"))</f>
        <v/>
      </c>
      <c r="F898" s="27" t="str" cm="1">
        <f t="array" ref="F898">IF(C898="","",IFERROR(INDEX(STPP!$F$6:$F$4207,MATCH(C898,STPP!$C$6:$C$4207,0)),"Not Found"))</f>
        <v/>
      </c>
      <c r="G898" s="25" t="str">
        <f>IF(表1[[#This Row],[No Seri]]="","",表1[[#This Row],[Deskripsi Barang]]+表1[[#This Row],[Kuantitas]]-表1[[#This Row],[Satuan]])</f>
        <v/>
      </c>
      <c r="H898" s="28"/>
      <c r="I898" s="25" t="str">
        <f>IF(表1[[#This Row],[Tgl NPBG]]&gt;表1[[#This Row],[Peminta]],表1[[#This Row],[Tgl NPBG]]-表1[[#This Row],[Peminta]],"")</f>
        <v/>
      </c>
      <c r="J898" s="31"/>
    </row>
    <row r="899" s="12" customFormat="1" customHeight="1" spans="2:10">
      <c r="B899" s="25"/>
      <c r="C899" s="25"/>
      <c r="D899" s="26" t="str" cm="1">
        <f t="array" ref="D899">IF(C899="","",IFERROR(INDEX(STPP!$D$6:$D$4207,MATCH(C899,STPP!$C$6:$C$4207,0)),"Not Found"))</f>
        <v/>
      </c>
      <c r="E899" s="27" t="str" cm="1">
        <f t="array" ref="E899">IF(C899="","",IFERROR(INDEX(STPP!$E$6:$E$4207,MATCH(C899,STPP!$C$6:$C$4207,0)),"Not Found"))</f>
        <v/>
      </c>
      <c r="F899" s="27" t="str" cm="1">
        <f t="array" ref="F899">IF(C899="","",IFERROR(INDEX(STPP!$F$6:$F$4207,MATCH(C899,STPP!$C$6:$C$4207,0)),"Not Found"))</f>
        <v/>
      </c>
      <c r="G899" s="25" t="str">
        <f>IF(表1[[#This Row],[No Seri]]="","",表1[[#This Row],[Deskripsi Barang]]+表1[[#This Row],[Kuantitas]]-表1[[#This Row],[Satuan]])</f>
        <v/>
      </c>
      <c r="H899" s="28"/>
      <c r="I899" s="25" t="str">
        <f>IF(表1[[#This Row],[Tgl NPBG]]&gt;表1[[#This Row],[Peminta]],表1[[#This Row],[Tgl NPBG]]-表1[[#This Row],[Peminta]],"")</f>
        <v/>
      </c>
      <c r="J899" s="31"/>
    </row>
    <row r="900" s="12" customFormat="1" customHeight="1" spans="2:10">
      <c r="B900" s="25"/>
      <c r="C900" s="25"/>
      <c r="D900" s="26" t="str" cm="1">
        <f t="array" ref="D900">IF(C900="","",IFERROR(INDEX(STPP!$D$6:$D$4207,MATCH(C900,STPP!$C$6:$C$4207,0)),"Not Found"))</f>
        <v/>
      </c>
      <c r="E900" s="27" t="str" cm="1">
        <f t="array" ref="E900">IF(C900="","",IFERROR(INDEX(STPP!$E$6:$E$4207,MATCH(C900,STPP!$C$6:$C$4207,0)),"Not Found"))</f>
        <v/>
      </c>
      <c r="F900" s="27" t="str" cm="1">
        <f t="array" ref="F900">IF(C900="","",IFERROR(INDEX(STPP!$F$6:$F$4207,MATCH(C900,STPP!$C$6:$C$4207,0)),"Not Found"))</f>
        <v/>
      </c>
      <c r="G900" s="25" t="str">
        <f>IF(表1[[#This Row],[No Seri]]="","",表1[[#This Row],[Deskripsi Barang]]+表1[[#This Row],[Kuantitas]]-表1[[#This Row],[Satuan]])</f>
        <v/>
      </c>
      <c r="H900" s="28"/>
      <c r="I900" s="25" t="str">
        <f>IF(表1[[#This Row],[Tgl NPBG]]&gt;表1[[#This Row],[Peminta]],表1[[#This Row],[Tgl NPBG]]-表1[[#This Row],[Peminta]],"")</f>
        <v/>
      </c>
      <c r="J900" s="31"/>
    </row>
    <row r="901" s="12" customFormat="1" customHeight="1" spans="2:10">
      <c r="B901" s="25"/>
      <c r="C901" s="25"/>
      <c r="D901" s="26" t="str" cm="1">
        <f t="array" ref="D901">IF(C901="","",IFERROR(INDEX(STPP!$D$6:$D$4207,MATCH(C901,STPP!$C$6:$C$4207,0)),"Not Found"))</f>
        <v/>
      </c>
      <c r="E901" s="27" t="str" cm="1">
        <f t="array" ref="E901">IF(C901="","",IFERROR(INDEX(STPP!$E$6:$E$4207,MATCH(C901,STPP!$C$6:$C$4207,0)),"Not Found"))</f>
        <v/>
      </c>
      <c r="F901" s="27" t="str" cm="1">
        <f t="array" ref="F901">IF(C901="","",IFERROR(INDEX(STPP!$F$6:$F$4207,MATCH(C901,STPP!$C$6:$C$4207,0)),"Not Found"))</f>
        <v/>
      </c>
      <c r="G901" s="25" t="str">
        <f>IF(表1[[#This Row],[No Seri]]="","",表1[[#This Row],[Deskripsi Barang]]+表1[[#This Row],[Kuantitas]]-表1[[#This Row],[Satuan]])</f>
        <v/>
      </c>
      <c r="H901" s="28"/>
      <c r="I901" s="25" t="str">
        <f>IF(表1[[#This Row],[Tgl NPBG]]&gt;表1[[#This Row],[Peminta]],表1[[#This Row],[Tgl NPBG]]-表1[[#This Row],[Peminta]],"")</f>
        <v/>
      </c>
      <c r="J901" s="31"/>
    </row>
    <row r="902" s="12" customFormat="1" customHeight="1" spans="2:10">
      <c r="B902" s="25"/>
      <c r="C902" s="25"/>
      <c r="D902" s="26" t="str" cm="1">
        <f t="array" ref="D902">IF(C902="","",IFERROR(INDEX(STPP!$D$6:$D$4207,MATCH(C902,STPP!$C$6:$C$4207,0)),"Not Found"))</f>
        <v/>
      </c>
      <c r="E902" s="27" t="str" cm="1">
        <f t="array" ref="E902">IF(C902="","",IFERROR(INDEX(STPP!$E$6:$E$4207,MATCH(C902,STPP!$C$6:$C$4207,0)),"Not Found"))</f>
        <v/>
      </c>
      <c r="F902" s="27" t="str" cm="1">
        <f t="array" ref="F902">IF(C902="","",IFERROR(INDEX(STPP!$F$6:$F$4207,MATCH(C902,STPP!$C$6:$C$4207,0)),"Not Found"))</f>
        <v/>
      </c>
      <c r="G902" s="25" t="str">
        <f>IF(表1[[#This Row],[No Seri]]="","",表1[[#This Row],[Deskripsi Barang]]+表1[[#This Row],[Kuantitas]]-表1[[#This Row],[Satuan]])</f>
        <v/>
      </c>
      <c r="H902" s="28"/>
      <c r="I902" s="25" t="str">
        <f>IF(表1[[#This Row],[Tgl NPBG]]&gt;表1[[#This Row],[Peminta]],表1[[#This Row],[Tgl NPBG]]-表1[[#This Row],[Peminta]],"")</f>
        <v/>
      </c>
      <c r="J902" s="31"/>
    </row>
    <row r="903" s="12" customFormat="1" customHeight="1" spans="2:10">
      <c r="B903" s="25"/>
      <c r="C903" s="25"/>
      <c r="D903" s="26" t="str" cm="1">
        <f t="array" ref="D903">IF(C903="","",IFERROR(INDEX(STPP!$D$6:$D$4207,MATCH(C903,STPP!$C$6:$C$4207,0)),"Not Found"))</f>
        <v/>
      </c>
      <c r="E903" s="27" t="str" cm="1">
        <f t="array" ref="E903">IF(C903="","",IFERROR(INDEX(STPP!$E$6:$E$4207,MATCH(C903,STPP!$C$6:$C$4207,0)),"Not Found"))</f>
        <v/>
      </c>
      <c r="F903" s="27" t="str" cm="1">
        <f t="array" ref="F903">IF(C903="","",IFERROR(INDEX(STPP!$F$6:$F$4207,MATCH(C903,STPP!$C$6:$C$4207,0)),"Not Found"))</f>
        <v/>
      </c>
      <c r="G903" s="25" t="str">
        <f>IF(表1[[#This Row],[No Seri]]="","",表1[[#This Row],[Deskripsi Barang]]+表1[[#This Row],[Kuantitas]]-表1[[#This Row],[Satuan]])</f>
        <v/>
      </c>
      <c r="H903" s="28"/>
      <c r="I903" s="25" t="str">
        <f>IF(表1[[#This Row],[Tgl NPBG]]&gt;表1[[#This Row],[Peminta]],表1[[#This Row],[Tgl NPBG]]-表1[[#This Row],[Peminta]],"")</f>
        <v/>
      </c>
      <c r="J903" s="31"/>
    </row>
    <row r="904" s="12" customFormat="1" customHeight="1" spans="2:10">
      <c r="B904" s="25"/>
      <c r="C904" s="25"/>
      <c r="D904" s="26" t="str" cm="1">
        <f t="array" ref="D904">IF(C904="","",IFERROR(INDEX(STPP!$D$6:$D$4207,MATCH(C904,STPP!$C$6:$C$4207,0)),"Not Found"))</f>
        <v/>
      </c>
      <c r="E904" s="27" t="str" cm="1">
        <f t="array" ref="E904">IF(C904="","",IFERROR(INDEX(STPP!$E$6:$E$4207,MATCH(C904,STPP!$C$6:$C$4207,0)),"Not Found"))</f>
        <v/>
      </c>
      <c r="F904" s="27" t="str" cm="1">
        <f t="array" ref="F904">IF(C904="","",IFERROR(INDEX(STPP!$F$6:$F$4207,MATCH(C904,STPP!$C$6:$C$4207,0)),"Not Found"))</f>
        <v/>
      </c>
      <c r="G904" s="25" t="str">
        <f>IF(表1[[#This Row],[No Seri]]="","",表1[[#This Row],[Deskripsi Barang]]+表1[[#This Row],[Kuantitas]]-表1[[#This Row],[Satuan]])</f>
        <v/>
      </c>
      <c r="H904" s="28"/>
      <c r="I904" s="25" t="str">
        <f>IF(表1[[#This Row],[Tgl NPBG]]&gt;表1[[#This Row],[Peminta]],表1[[#This Row],[Tgl NPBG]]-表1[[#This Row],[Peminta]],"")</f>
        <v/>
      </c>
      <c r="J904" s="31"/>
    </row>
    <row r="905" s="12" customFormat="1" customHeight="1" spans="2:10">
      <c r="B905" s="25"/>
      <c r="C905" s="25"/>
      <c r="D905" s="26" t="str" cm="1">
        <f t="array" ref="D905">IF(C905="","",IFERROR(INDEX(STPP!$D$6:$D$4207,MATCH(C905,STPP!$C$6:$C$4207,0)),"Not Found"))</f>
        <v/>
      </c>
      <c r="E905" s="27" t="str" cm="1">
        <f t="array" ref="E905">IF(C905="","",IFERROR(INDEX(STPP!$E$6:$E$4207,MATCH(C905,STPP!$C$6:$C$4207,0)),"Not Found"))</f>
        <v/>
      </c>
      <c r="F905" s="27" t="str" cm="1">
        <f t="array" ref="F905">IF(C905="","",IFERROR(INDEX(STPP!$F$6:$F$4207,MATCH(C905,STPP!$C$6:$C$4207,0)),"Not Found"))</f>
        <v/>
      </c>
      <c r="G905" s="25" t="str">
        <f>IF(表1[[#This Row],[No Seri]]="","",表1[[#This Row],[Deskripsi Barang]]+表1[[#This Row],[Kuantitas]]-表1[[#This Row],[Satuan]])</f>
        <v/>
      </c>
      <c r="H905" s="28"/>
      <c r="I905" s="25" t="str">
        <f>IF(表1[[#This Row],[Tgl NPBG]]&gt;表1[[#This Row],[Peminta]],表1[[#This Row],[Tgl NPBG]]-表1[[#This Row],[Peminta]],"")</f>
        <v/>
      </c>
      <c r="J905" s="31"/>
    </row>
    <row r="906" s="12" customFormat="1" customHeight="1" spans="2:10">
      <c r="B906" s="25"/>
      <c r="C906" s="25"/>
      <c r="D906" s="26" t="str" cm="1">
        <f t="array" ref="D906">IF(C906="","",IFERROR(INDEX(STPP!$D$6:$D$4207,MATCH(C906,STPP!$C$6:$C$4207,0)),"Not Found"))</f>
        <v/>
      </c>
      <c r="E906" s="27" t="str" cm="1">
        <f t="array" ref="E906">IF(C906="","",IFERROR(INDEX(STPP!$E$6:$E$4207,MATCH(C906,STPP!$C$6:$C$4207,0)),"Not Found"))</f>
        <v/>
      </c>
      <c r="F906" s="27" t="str" cm="1">
        <f t="array" ref="F906">IF(C906="","",IFERROR(INDEX(STPP!$F$6:$F$4207,MATCH(C906,STPP!$C$6:$C$4207,0)),"Not Found"))</f>
        <v/>
      </c>
      <c r="G906" s="25" t="str">
        <f>IF(表1[[#This Row],[No Seri]]="","",表1[[#This Row],[Deskripsi Barang]]+表1[[#This Row],[Kuantitas]]-表1[[#This Row],[Satuan]])</f>
        <v/>
      </c>
      <c r="H906" s="28"/>
      <c r="I906" s="25" t="str">
        <f>IF(表1[[#This Row],[Tgl NPBG]]&gt;表1[[#This Row],[Peminta]],表1[[#This Row],[Tgl NPBG]]-表1[[#This Row],[Peminta]],"")</f>
        <v/>
      </c>
      <c r="J906" s="31"/>
    </row>
    <row r="907" s="12" customFormat="1" customHeight="1" spans="2:10">
      <c r="B907" s="25"/>
      <c r="C907" s="25"/>
      <c r="D907" s="26" t="str" cm="1">
        <f t="array" ref="D907">IF(C907="","",IFERROR(INDEX(STPP!$D$6:$D$4207,MATCH(C907,STPP!$C$6:$C$4207,0)),"Not Found"))</f>
        <v/>
      </c>
      <c r="E907" s="27" t="str" cm="1">
        <f t="array" ref="E907">IF(C907="","",IFERROR(INDEX(STPP!$E$6:$E$4207,MATCH(C907,STPP!$C$6:$C$4207,0)),"Not Found"))</f>
        <v/>
      </c>
      <c r="F907" s="27" t="str" cm="1">
        <f t="array" ref="F907">IF(C907="","",IFERROR(INDEX(STPP!$F$6:$F$4207,MATCH(C907,STPP!$C$6:$C$4207,0)),"Not Found"))</f>
        <v/>
      </c>
      <c r="G907" s="25" t="str">
        <f>IF(表1[[#This Row],[No Seri]]="","",表1[[#This Row],[Deskripsi Barang]]+表1[[#This Row],[Kuantitas]]-表1[[#This Row],[Satuan]])</f>
        <v/>
      </c>
      <c r="H907" s="28"/>
      <c r="I907" s="25" t="str">
        <f>IF(表1[[#This Row],[Tgl NPBG]]&gt;表1[[#This Row],[Peminta]],表1[[#This Row],[Tgl NPBG]]-表1[[#This Row],[Peminta]],"")</f>
        <v/>
      </c>
      <c r="J907" s="31"/>
    </row>
    <row r="908" s="12" customFormat="1" customHeight="1" spans="2:10">
      <c r="B908" s="25"/>
      <c r="C908" s="25"/>
      <c r="D908" s="26" t="str" cm="1">
        <f t="array" ref="D908">IF(C908="","",IFERROR(INDEX(STPP!$D$6:$D$4207,MATCH(C908,STPP!$C$6:$C$4207,0)),"Not Found"))</f>
        <v/>
      </c>
      <c r="E908" s="27" t="str" cm="1">
        <f t="array" ref="E908">IF(C908="","",IFERROR(INDEX(STPP!$E$6:$E$4207,MATCH(C908,STPP!$C$6:$C$4207,0)),"Not Found"))</f>
        <v/>
      </c>
      <c r="F908" s="27" t="str" cm="1">
        <f t="array" ref="F908">IF(C908="","",IFERROR(INDEX(STPP!$F$6:$F$4207,MATCH(C908,STPP!$C$6:$C$4207,0)),"Not Found"))</f>
        <v/>
      </c>
      <c r="G908" s="25" t="str">
        <f>IF(表1[[#This Row],[No Seri]]="","",表1[[#This Row],[Deskripsi Barang]]+表1[[#This Row],[Kuantitas]]-表1[[#This Row],[Satuan]])</f>
        <v/>
      </c>
      <c r="H908" s="28"/>
      <c r="I908" s="25" t="str">
        <f>IF(表1[[#This Row],[Tgl NPBG]]&gt;表1[[#This Row],[Peminta]],表1[[#This Row],[Tgl NPBG]]-表1[[#This Row],[Peminta]],"")</f>
        <v/>
      </c>
      <c r="J908" s="31"/>
    </row>
    <row r="909" s="12" customFormat="1" customHeight="1" spans="2:10">
      <c r="B909" s="25"/>
      <c r="C909" s="25"/>
      <c r="D909" s="26" t="str" cm="1">
        <f t="array" ref="D909">IF(C909="","",IFERROR(INDEX(STPP!$D$6:$D$4207,MATCH(C909,STPP!$C$6:$C$4207,0)),"Not Found"))</f>
        <v/>
      </c>
      <c r="E909" s="27" t="str" cm="1">
        <f t="array" ref="E909">IF(C909="","",IFERROR(INDEX(STPP!$E$6:$E$4207,MATCH(C909,STPP!$C$6:$C$4207,0)),"Not Found"))</f>
        <v/>
      </c>
      <c r="F909" s="27" t="str" cm="1">
        <f t="array" ref="F909">IF(C909="","",IFERROR(INDEX(STPP!$F$6:$F$4207,MATCH(C909,STPP!$C$6:$C$4207,0)),"Not Found"))</f>
        <v/>
      </c>
      <c r="G909" s="25" t="str">
        <f>IF(表1[[#This Row],[No Seri]]="","",表1[[#This Row],[Deskripsi Barang]]+表1[[#This Row],[Kuantitas]]-表1[[#This Row],[Satuan]])</f>
        <v/>
      </c>
      <c r="H909" s="28"/>
      <c r="I909" s="25" t="str">
        <f>IF(表1[[#This Row],[Tgl NPBG]]&gt;表1[[#This Row],[Peminta]],表1[[#This Row],[Tgl NPBG]]-表1[[#This Row],[Peminta]],"")</f>
        <v/>
      </c>
      <c r="J909" s="31"/>
    </row>
    <row r="910" s="12" customFormat="1" customHeight="1" spans="2:10">
      <c r="B910" s="25"/>
      <c r="C910" s="25"/>
      <c r="D910" s="26" t="str" cm="1">
        <f t="array" ref="D910">IF(C910="","",IFERROR(INDEX(STPP!$D$6:$D$4207,MATCH(C910,STPP!$C$6:$C$4207,0)),"Not Found"))</f>
        <v/>
      </c>
      <c r="E910" s="27" t="str" cm="1">
        <f t="array" ref="E910">IF(C910="","",IFERROR(INDEX(STPP!$E$6:$E$4207,MATCH(C910,STPP!$C$6:$C$4207,0)),"Not Found"))</f>
        <v/>
      </c>
      <c r="F910" s="27" t="str" cm="1">
        <f t="array" ref="F910">IF(C910="","",IFERROR(INDEX(STPP!$F$6:$F$4207,MATCH(C910,STPP!$C$6:$C$4207,0)),"Not Found"))</f>
        <v/>
      </c>
      <c r="G910" s="25" t="str">
        <f>IF(表1[[#This Row],[No Seri]]="","",表1[[#This Row],[Deskripsi Barang]]+表1[[#This Row],[Kuantitas]]-表1[[#This Row],[Satuan]])</f>
        <v/>
      </c>
      <c r="H910" s="28"/>
      <c r="I910" s="25" t="str">
        <f>IF(表1[[#This Row],[Tgl NPBG]]&gt;表1[[#This Row],[Peminta]],表1[[#This Row],[Tgl NPBG]]-表1[[#This Row],[Peminta]],"")</f>
        <v/>
      </c>
      <c r="J910" s="31"/>
    </row>
    <row r="911" s="12" customFormat="1" customHeight="1" spans="2:10">
      <c r="B911" s="25"/>
      <c r="C911" s="25"/>
      <c r="D911" s="26" t="str" cm="1">
        <f t="array" ref="D911">IF(C911="","",IFERROR(INDEX(STPP!$D$6:$D$4207,MATCH(C911,STPP!$C$6:$C$4207,0)),"Not Found"))</f>
        <v/>
      </c>
      <c r="E911" s="27" t="str" cm="1">
        <f t="array" ref="E911">IF(C911="","",IFERROR(INDEX(STPP!$E$6:$E$4207,MATCH(C911,STPP!$C$6:$C$4207,0)),"Not Found"))</f>
        <v/>
      </c>
      <c r="F911" s="27" t="str" cm="1">
        <f t="array" ref="F911">IF(C911="","",IFERROR(INDEX(STPP!$F$6:$F$4207,MATCH(C911,STPP!$C$6:$C$4207,0)),"Not Found"))</f>
        <v/>
      </c>
      <c r="G911" s="25" t="str">
        <f>IF(表1[[#This Row],[No Seri]]="","",表1[[#This Row],[Deskripsi Barang]]+表1[[#This Row],[Kuantitas]]-表1[[#This Row],[Satuan]])</f>
        <v/>
      </c>
      <c r="H911" s="28"/>
      <c r="I911" s="25" t="str">
        <f>IF(表1[[#This Row],[Tgl NPBG]]&gt;表1[[#This Row],[Peminta]],表1[[#This Row],[Tgl NPBG]]-表1[[#This Row],[Peminta]],"")</f>
        <v/>
      </c>
      <c r="J911" s="31"/>
    </row>
    <row r="912" s="12" customFormat="1" customHeight="1" spans="2:10">
      <c r="B912" s="25"/>
      <c r="C912" s="25"/>
      <c r="D912" s="26" t="str" cm="1">
        <f t="array" ref="D912">IF(C912="","",IFERROR(INDEX(STPP!$D$6:$D$4207,MATCH(C912,STPP!$C$6:$C$4207,0)),"Not Found"))</f>
        <v/>
      </c>
      <c r="E912" s="27" t="str" cm="1">
        <f t="array" ref="E912">IF(C912="","",IFERROR(INDEX(STPP!$E$6:$E$4207,MATCH(C912,STPP!$C$6:$C$4207,0)),"Not Found"))</f>
        <v/>
      </c>
      <c r="F912" s="27" t="str" cm="1">
        <f t="array" ref="F912">IF(C912="","",IFERROR(INDEX(STPP!$F$6:$F$4207,MATCH(C912,STPP!$C$6:$C$4207,0)),"Not Found"))</f>
        <v/>
      </c>
      <c r="G912" s="25" t="str">
        <f>IF(表1[[#This Row],[No Seri]]="","",表1[[#This Row],[Deskripsi Barang]]+表1[[#This Row],[Kuantitas]]-表1[[#This Row],[Satuan]])</f>
        <v/>
      </c>
      <c r="H912" s="28"/>
      <c r="I912" s="25" t="str">
        <f>IF(表1[[#This Row],[Tgl NPBG]]&gt;表1[[#This Row],[Peminta]],表1[[#This Row],[Tgl NPBG]]-表1[[#This Row],[Peminta]],"")</f>
        <v/>
      </c>
      <c r="J912" s="31"/>
    </row>
    <row r="913" s="12" customFormat="1" customHeight="1" spans="2:10">
      <c r="B913" s="25"/>
      <c r="C913" s="25"/>
      <c r="D913" s="26" t="str" cm="1">
        <f t="array" ref="D913">IF(C913="","",IFERROR(INDEX(STPP!$D$6:$D$4207,MATCH(C913,STPP!$C$6:$C$4207,0)),"Not Found"))</f>
        <v/>
      </c>
      <c r="E913" s="27" t="str" cm="1">
        <f t="array" ref="E913">IF(C913="","",IFERROR(INDEX(STPP!$E$6:$E$4207,MATCH(C913,STPP!$C$6:$C$4207,0)),"Not Found"))</f>
        <v/>
      </c>
      <c r="F913" s="27" t="str" cm="1">
        <f t="array" ref="F913">IF(C913="","",IFERROR(INDEX(STPP!$F$6:$F$4207,MATCH(C913,STPP!$C$6:$C$4207,0)),"Not Found"))</f>
        <v/>
      </c>
      <c r="G913" s="25" t="str">
        <f>IF(表1[[#This Row],[No Seri]]="","",表1[[#This Row],[Deskripsi Barang]]+表1[[#This Row],[Kuantitas]]-表1[[#This Row],[Satuan]])</f>
        <v/>
      </c>
      <c r="H913" s="28"/>
      <c r="I913" s="25" t="str">
        <f>IF(表1[[#This Row],[Tgl NPBG]]&gt;表1[[#This Row],[Peminta]],表1[[#This Row],[Tgl NPBG]]-表1[[#This Row],[Peminta]],"")</f>
        <v/>
      </c>
      <c r="J913" s="31"/>
    </row>
    <row r="914" s="12" customFormat="1" customHeight="1" spans="2:10">
      <c r="B914" s="25"/>
      <c r="C914" s="25"/>
      <c r="D914" s="26" t="str" cm="1">
        <f t="array" ref="D914">IF(C914="","",IFERROR(INDEX(STPP!$D$6:$D$4207,MATCH(C914,STPP!$C$6:$C$4207,0)),"Not Found"))</f>
        <v/>
      </c>
      <c r="E914" s="27" t="str" cm="1">
        <f t="array" ref="E914">IF(C914="","",IFERROR(INDEX(STPP!$E$6:$E$4207,MATCH(C914,STPP!$C$6:$C$4207,0)),"Not Found"))</f>
        <v/>
      </c>
      <c r="F914" s="27" t="str" cm="1">
        <f t="array" ref="F914">IF(C914="","",IFERROR(INDEX(STPP!$F$6:$F$4207,MATCH(C914,STPP!$C$6:$C$4207,0)),"Not Found"))</f>
        <v/>
      </c>
      <c r="G914" s="25" t="str">
        <f>IF(表1[[#This Row],[No Seri]]="","",表1[[#This Row],[Deskripsi Barang]]+表1[[#This Row],[Kuantitas]]-表1[[#This Row],[Satuan]])</f>
        <v/>
      </c>
      <c r="H914" s="28"/>
      <c r="I914" s="25" t="str">
        <f>IF(表1[[#This Row],[Tgl NPBG]]&gt;表1[[#This Row],[Peminta]],表1[[#This Row],[Tgl NPBG]]-表1[[#This Row],[Peminta]],"")</f>
        <v/>
      </c>
      <c r="J914" s="31"/>
    </row>
    <row r="915" s="12" customFormat="1" customHeight="1" spans="2:10">
      <c r="B915" s="25"/>
      <c r="C915" s="25"/>
      <c r="D915" s="26" t="str" cm="1">
        <f t="array" ref="D915">IF(C915="","",IFERROR(INDEX(STPP!$D$6:$D$4207,MATCH(C915,STPP!$C$6:$C$4207,0)),"Not Found"))</f>
        <v/>
      </c>
      <c r="E915" s="27" t="str" cm="1">
        <f t="array" ref="E915">IF(C915="","",IFERROR(INDEX(STPP!$E$6:$E$4207,MATCH(C915,STPP!$C$6:$C$4207,0)),"Not Found"))</f>
        <v/>
      </c>
      <c r="F915" s="27" t="str" cm="1">
        <f t="array" ref="F915">IF(C915="","",IFERROR(INDEX(STPP!$F$6:$F$4207,MATCH(C915,STPP!$C$6:$C$4207,0)),"Not Found"))</f>
        <v/>
      </c>
      <c r="G915" s="25" t="str">
        <f>IF(表1[[#This Row],[No Seri]]="","",表1[[#This Row],[Deskripsi Barang]]+表1[[#This Row],[Kuantitas]]-表1[[#This Row],[Satuan]])</f>
        <v/>
      </c>
      <c r="H915" s="28"/>
      <c r="I915" s="25" t="str">
        <f>IF(表1[[#This Row],[Tgl NPBG]]&gt;表1[[#This Row],[Peminta]],表1[[#This Row],[Tgl NPBG]]-表1[[#This Row],[Peminta]],"")</f>
        <v/>
      </c>
      <c r="J915" s="31"/>
    </row>
    <row r="916" s="12" customFormat="1" customHeight="1" spans="2:10">
      <c r="B916" s="25"/>
      <c r="C916" s="25"/>
      <c r="D916" s="26" t="str" cm="1">
        <f t="array" ref="D916">IF(C916="","",IFERROR(INDEX(STPP!$D$6:$D$4207,MATCH(C916,STPP!$C$6:$C$4207,0)),"Not Found"))</f>
        <v/>
      </c>
      <c r="E916" s="27" t="str" cm="1">
        <f t="array" ref="E916">IF(C916="","",IFERROR(INDEX(STPP!$E$6:$E$4207,MATCH(C916,STPP!$C$6:$C$4207,0)),"Not Found"))</f>
        <v/>
      </c>
      <c r="F916" s="27" t="str" cm="1">
        <f t="array" ref="F916">IF(C916="","",IFERROR(INDEX(STPP!$F$6:$F$4207,MATCH(C916,STPP!$C$6:$C$4207,0)),"Not Found"))</f>
        <v/>
      </c>
      <c r="G916" s="25" t="str">
        <f>IF(表1[[#This Row],[No Seri]]="","",表1[[#This Row],[Deskripsi Barang]]+表1[[#This Row],[Kuantitas]]-表1[[#This Row],[Satuan]])</f>
        <v/>
      </c>
      <c r="H916" s="28"/>
      <c r="I916" s="25" t="str">
        <f>IF(表1[[#This Row],[Tgl NPBG]]&gt;表1[[#This Row],[Peminta]],表1[[#This Row],[Tgl NPBG]]-表1[[#This Row],[Peminta]],"")</f>
        <v/>
      </c>
      <c r="J916" s="31"/>
    </row>
    <row r="917" s="12" customFormat="1" customHeight="1" spans="2:10">
      <c r="B917" s="25"/>
      <c r="C917" s="25"/>
      <c r="D917" s="26" t="str" cm="1">
        <f t="array" ref="D917">IF(C917="","",IFERROR(INDEX(STPP!$D$6:$D$4207,MATCH(C917,STPP!$C$6:$C$4207,0)),"Not Found"))</f>
        <v/>
      </c>
      <c r="E917" s="27" t="str" cm="1">
        <f t="array" ref="E917">IF(C917="","",IFERROR(INDEX(STPP!$E$6:$E$4207,MATCH(C917,STPP!$C$6:$C$4207,0)),"Not Found"))</f>
        <v/>
      </c>
      <c r="F917" s="27" t="str" cm="1">
        <f t="array" ref="F917">IF(C917="","",IFERROR(INDEX(STPP!$F$6:$F$4207,MATCH(C917,STPP!$C$6:$C$4207,0)),"Not Found"))</f>
        <v/>
      </c>
      <c r="G917" s="25" t="str">
        <f>IF(表1[[#This Row],[No Seri]]="","",表1[[#This Row],[Deskripsi Barang]]+表1[[#This Row],[Kuantitas]]-表1[[#This Row],[Satuan]])</f>
        <v/>
      </c>
      <c r="H917" s="28"/>
      <c r="I917" s="25" t="str">
        <f>IF(表1[[#This Row],[Tgl NPBG]]&gt;表1[[#This Row],[Peminta]],表1[[#This Row],[Tgl NPBG]]-表1[[#This Row],[Peminta]],"")</f>
        <v/>
      </c>
      <c r="J917" s="31"/>
    </row>
    <row r="918" s="12" customFormat="1" customHeight="1" spans="2:10">
      <c r="B918" s="25"/>
      <c r="C918" s="25"/>
      <c r="D918" s="26" t="str" cm="1">
        <f t="array" ref="D918">IF(C918="","",IFERROR(INDEX(STPP!$D$6:$D$4207,MATCH(C918,STPP!$C$6:$C$4207,0)),"Not Found"))</f>
        <v/>
      </c>
      <c r="E918" s="27" t="str" cm="1">
        <f t="array" ref="E918">IF(C918="","",IFERROR(INDEX(STPP!$E$6:$E$4207,MATCH(C918,STPP!$C$6:$C$4207,0)),"Not Found"))</f>
        <v/>
      </c>
      <c r="F918" s="27" t="str" cm="1">
        <f t="array" ref="F918">IF(C918="","",IFERROR(INDEX(STPP!$F$6:$F$4207,MATCH(C918,STPP!$C$6:$C$4207,0)),"Not Found"))</f>
        <v/>
      </c>
      <c r="G918" s="25" t="str">
        <f>IF(表1[[#This Row],[No Seri]]="","",表1[[#This Row],[Deskripsi Barang]]+表1[[#This Row],[Kuantitas]]-表1[[#This Row],[Satuan]])</f>
        <v/>
      </c>
      <c r="H918" s="28"/>
      <c r="I918" s="25" t="str">
        <f>IF(表1[[#This Row],[Tgl NPBG]]&gt;表1[[#This Row],[Peminta]],表1[[#This Row],[Tgl NPBG]]-表1[[#This Row],[Peminta]],"")</f>
        <v/>
      </c>
      <c r="J918" s="31"/>
    </row>
    <row r="919" s="12" customFormat="1" customHeight="1" spans="2:10">
      <c r="B919" s="25"/>
      <c r="C919" s="25"/>
      <c r="D919" s="26" t="str" cm="1">
        <f t="array" ref="D919">IF(C919="","",IFERROR(INDEX(STPP!$D$6:$D$4207,MATCH(C919,STPP!$C$6:$C$4207,0)),"Not Found"))</f>
        <v/>
      </c>
      <c r="E919" s="27" t="str" cm="1">
        <f t="array" ref="E919">IF(C919="","",IFERROR(INDEX(STPP!$E$6:$E$4207,MATCH(C919,STPP!$C$6:$C$4207,0)),"Not Found"))</f>
        <v/>
      </c>
      <c r="F919" s="27" t="str" cm="1">
        <f t="array" ref="F919">IF(C919="","",IFERROR(INDEX(STPP!$F$6:$F$4207,MATCH(C919,STPP!$C$6:$C$4207,0)),"Not Found"))</f>
        <v/>
      </c>
      <c r="G919" s="25" t="str">
        <f>IF(表1[[#This Row],[No Seri]]="","",表1[[#This Row],[Deskripsi Barang]]+表1[[#This Row],[Kuantitas]]-表1[[#This Row],[Satuan]])</f>
        <v/>
      </c>
      <c r="H919" s="28"/>
      <c r="I919" s="25" t="str">
        <f>IF(表1[[#This Row],[Tgl NPBG]]&gt;表1[[#This Row],[Peminta]],表1[[#This Row],[Tgl NPBG]]-表1[[#This Row],[Peminta]],"")</f>
        <v/>
      </c>
      <c r="J919" s="31"/>
    </row>
    <row r="920" s="12" customFormat="1" customHeight="1" spans="2:10">
      <c r="B920" s="25"/>
      <c r="C920" s="25"/>
      <c r="D920" s="26" t="str" cm="1">
        <f t="array" ref="D920">IF(C920="","",IFERROR(INDEX(STPP!$D$6:$D$4207,MATCH(C920,STPP!$C$6:$C$4207,0)),"Not Found"))</f>
        <v/>
      </c>
      <c r="E920" s="27" t="str" cm="1">
        <f t="array" ref="E920">IF(C920="","",IFERROR(INDEX(STPP!$E$6:$E$4207,MATCH(C920,STPP!$C$6:$C$4207,0)),"Not Found"))</f>
        <v/>
      </c>
      <c r="F920" s="27" t="str" cm="1">
        <f t="array" ref="F920">IF(C920="","",IFERROR(INDEX(STPP!$F$6:$F$4207,MATCH(C920,STPP!$C$6:$C$4207,0)),"Not Found"))</f>
        <v/>
      </c>
      <c r="G920" s="25" t="str">
        <f>IF(表1[[#This Row],[No Seri]]="","",表1[[#This Row],[Deskripsi Barang]]+表1[[#This Row],[Kuantitas]]-表1[[#This Row],[Satuan]])</f>
        <v/>
      </c>
      <c r="H920" s="28"/>
      <c r="I920" s="25" t="str">
        <f>IF(表1[[#This Row],[Tgl NPBG]]&gt;表1[[#This Row],[Peminta]],表1[[#This Row],[Tgl NPBG]]-表1[[#This Row],[Peminta]],"")</f>
        <v/>
      </c>
      <c r="J920" s="31"/>
    </row>
    <row r="921" s="12" customFormat="1" customHeight="1" spans="2:10">
      <c r="B921" s="25"/>
      <c r="C921" s="25"/>
      <c r="D921" s="26" t="str" cm="1">
        <f t="array" ref="D921">IF(C921="","",IFERROR(INDEX(STPP!$D$6:$D$4207,MATCH(C921,STPP!$C$6:$C$4207,0)),"Not Found"))</f>
        <v/>
      </c>
      <c r="E921" s="27" t="str" cm="1">
        <f t="array" ref="E921">IF(C921="","",IFERROR(INDEX(STPP!$E$6:$E$4207,MATCH(C921,STPP!$C$6:$C$4207,0)),"Not Found"))</f>
        <v/>
      </c>
      <c r="F921" s="27" t="str" cm="1">
        <f t="array" ref="F921">IF(C921="","",IFERROR(INDEX(STPP!$F$6:$F$4207,MATCH(C921,STPP!$C$6:$C$4207,0)),"Not Found"))</f>
        <v/>
      </c>
      <c r="G921" s="25" t="str">
        <f>IF(表1[[#This Row],[No Seri]]="","",表1[[#This Row],[Deskripsi Barang]]+表1[[#This Row],[Kuantitas]]-表1[[#This Row],[Satuan]])</f>
        <v/>
      </c>
      <c r="H921" s="28"/>
      <c r="I921" s="25" t="str">
        <f>IF(表1[[#This Row],[Tgl NPBG]]&gt;表1[[#This Row],[Peminta]],表1[[#This Row],[Tgl NPBG]]-表1[[#This Row],[Peminta]],"")</f>
        <v/>
      </c>
      <c r="J921" s="31"/>
    </row>
    <row r="922" s="12" customFormat="1" customHeight="1" spans="2:10">
      <c r="B922" s="25"/>
      <c r="C922" s="25"/>
      <c r="D922" s="26" t="str" cm="1">
        <f t="array" ref="D922">IF(C922="","",IFERROR(INDEX(STPP!$D$6:$D$4207,MATCH(C922,STPP!$C$6:$C$4207,0)),"Not Found"))</f>
        <v/>
      </c>
      <c r="E922" s="27" t="str" cm="1">
        <f t="array" ref="E922">IF(C922="","",IFERROR(INDEX(STPP!$E$6:$E$4207,MATCH(C922,STPP!$C$6:$C$4207,0)),"Not Found"))</f>
        <v/>
      </c>
      <c r="F922" s="27" t="str" cm="1">
        <f t="array" ref="F922">IF(C922="","",IFERROR(INDEX(STPP!$F$6:$F$4207,MATCH(C922,STPP!$C$6:$C$4207,0)),"Not Found"))</f>
        <v/>
      </c>
      <c r="G922" s="25" t="str">
        <f>IF(表1[[#This Row],[No Seri]]="","",表1[[#This Row],[Deskripsi Barang]]+表1[[#This Row],[Kuantitas]]-表1[[#This Row],[Satuan]])</f>
        <v/>
      </c>
      <c r="H922" s="28"/>
      <c r="I922" s="25" t="str">
        <f>IF(表1[[#This Row],[Tgl NPBG]]&gt;表1[[#This Row],[Peminta]],表1[[#This Row],[Tgl NPBG]]-表1[[#This Row],[Peminta]],"")</f>
        <v/>
      </c>
      <c r="J922" s="31"/>
    </row>
    <row r="923" s="12" customFormat="1" customHeight="1" spans="2:10">
      <c r="B923" s="25"/>
      <c r="C923" s="25"/>
      <c r="D923" s="26" t="str" cm="1">
        <f t="array" ref="D923">IF(C923="","",IFERROR(INDEX(STPP!$D$6:$D$4207,MATCH(C923,STPP!$C$6:$C$4207,0)),"Not Found"))</f>
        <v/>
      </c>
      <c r="E923" s="27" t="str" cm="1">
        <f t="array" ref="E923">IF(C923="","",IFERROR(INDEX(STPP!$E$6:$E$4207,MATCH(C923,STPP!$C$6:$C$4207,0)),"Not Found"))</f>
        <v/>
      </c>
      <c r="F923" s="27" t="str" cm="1">
        <f t="array" ref="F923">IF(C923="","",IFERROR(INDEX(STPP!$F$6:$F$4207,MATCH(C923,STPP!$C$6:$C$4207,0)),"Not Found"))</f>
        <v/>
      </c>
      <c r="G923" s="25" t="str">
        <f>IF(表1[[#This Row],[No Seri]]="","",表1[[#This Row],[Deskripsi Barang]]+表1[[#This Row],[Kuantitas]]-表1[[#This Row],[Satuan]])</f>
        <v/>
      </c>
      <c r="H923" s="28"/>
      <c r="I923" s="25" t="str">
        <f>IF(表1[[#This Row],[Tgl NPBG]]&gt;表1[[#This Row],[Peminta]],表1[[#This Row],[Tgl NPBG]]-表1[[#This Row],[Peminta]],"")</f>
        <v/>
      </c>
      <c r="J923" s="31"/>
    </row>
    <row r="924" s="12" customFormat="1" customHeight="1" spans="2:10">
      <c r="B924" s="25"/>
      <c r="C924" s="25"/>
      <c r="D924" s="26" t="str" cm="1">
        <f t="array" ref="D924">IF(C924="","",IFERROR(INDEX(STPP!$D$6:$D$4207,MATCH(C924,STPP!$C$6:$C$4207,0)),"Not Found"))</f>
        <v/>
      </c>
      <c r="E924" s="27" t="str" cm="1">
        <f t="array" ref="E924">IF(C924="","",IFERROR(INDEX(STPP!$E$6:$E$4207,MATCH(C924,STPP!$C$6:$C$4207,0)),"Not Found"))</f>
        <v/>
      </c>
      <c r="F924" s="27" t="str" cm="1">
        <f t="array" ref="F924">IF(C924="","",IFERROR(INDEX(STPP!$F$6:$F$4207,MATCH(C924,STPP!$C$6:$C$4207,0)),"Not Found"))</f>
        <v/>
      </c>
      <c r="G924" s="25" t="str">
        <f>IF(表1[[#This Row],[No Seri]]="","",表1[[#This Row],[Deskripsi Barang]]+表1[[#This Row],[Kuantitas]]-表1[[#This Row],[Satuan]])</f>
        <v/>
      </c>
      <c r="H924" s="28"/>
      <c r="I924" s="25" t="str">
        <f>IF(表1[[#This Row],[Tgl NPBG]]&gt;表1[[#This Row],[Peminta]],表1[[#This Row],[Tgl NPBG]]-表1[[#This Row],[Peminta]],"")</f>
        <v/>
      </c>
      <c r="J924" s="31"/>
    </row>
    <row r="925" s="12" customFormat="1" customHeight="1" spans="2:10">
      <c r="B925" s="25"/>
      <c r="C925" s="25"/>
      <c r="D925" s="26" t="str" cm="1">
        <f t="array" ref="D925">IF(C925="","",IFERROR(INDEX(STPP!$D$6:$D$4207,MATCH(C925,STPP!$C$6:$C$4207,0)),"Not Found"))</f>
        <v/>
      </c>
      <c r="E925" s="27" t="str" cm="1">
        <f t="array" ref="E925">IF(C925="","",IFERROR(INDEX(STPP!$E$6:$E$4207,MATCH(C925,STPP!$C$6:$C$4207,0)),"Not Found"))</f>
        <v/>
      </c>
      <c r="F925" s="27" t="str" cm="1">
        <f t="array" ref="F925">IF(C925="","",IFERROR(INDEX(STPP!$F$6:$F$4207,MATCH(C925,STPP!$C$6:$C$4207,0)),"Not Found"))</f>
        <v/>
      </c>
      <c r="G925" s="25" t="str">
        <f>IF(表1[[#This Row],[No Seri]]="","",表1[[#This Row],[Deskripsi Barang]]+表1[[#This Row],[Kuantitas]]-表1[[#This Row],[Satuan]])</f>
        <v/>
      </c>
      <c r="H925" s="28"/>
      <c r="I925" s="25" t="str">
        <f>IF(表1[[#This Row],[Tgl NPBG]]&gt;表1[[#This Row],[Peminta]],表1[[#This Row],[Tgl NPBG]]-表1[[#This Row],[Peminta]],"")</f>
        <v/>
      </c>
      <c r="J925" s="31"/>
    </row>
    <row r="926" s="12" customFormat="1" customHeight="1" spans="2:10">
      <c r="B926" s="25"/>
      <c r="C926" s="25"/>
      <c r="D926" s="26" t="str" cm="1">
        <f t="array" ref="D926">IF(C926="","",IFERROR(INDEX(STPP!$D$6:$D$4207,MATCH(C926,STPP!$C$6:$C$4207,0)),"Not Found"))</f>
        <v/>
      </c>
      <c r="E926" s="27" t="str" cm="1">
        <f t="array" ref="E926">IF(C926="","",IFERROR(INDEX(STPP!$E$6:$E$4207,MATCH(C926,STPP!$C$6:$C$4207,0)),"Not Found"))</f>
        <v/>
      </c>
      <c r="F926" s="27" t="str" cm="1">
        <f t="array" ref="F926">IF(C926="","",IFERROR(INDEX(STPP!$F$6:$F$4207,MATCH(C926,STPP!$C$6:$C$4207,0)),"Not Found"))</f>
        <v/>
      </c>
      <c r="G926" s="25" t="str">
        <f>IF(表1[[#This Row],[No Seri]]="","",表1[[#This Row],[Deskripsi Barang]]+表1[[#This Row],[Kuantitas]]-表1[[#This Row],[Satuan]])</f>
        <v/>
      </c>
      <c r="H926" s="28"/>
      <c r="I926" s="25" t="str">
        <f>IF(表1[[#This Row],[Tgl NPBG]]&gt;表1[[#This Row],[Peminta]],表1[[#This Row],[Tgl NPBG]]-表1[[#This Row],[Peminta]],"")</f>
        <v/>
      </c>
      <c r="J926" s="31"/>
    </row>
    <row r="927" s="12" customFormat="1" customHeight="1" spans="2:10">
      <c r="B927" s="25"/>
      <c r="C927" s="25"/>
      <c r="D927" s="26" t="str" cm="1">
        <f t="array" ref="D927">IF(C927="","",IFERROR(INDEX(STPP!$D$6:$D$4207,MATCH(C927,STPP!$C$6:$C$4207,0)),"Not Found"))</f>
        <v/>
      </c>
      <c r="E927" s="27" t="str" cm="1">
        <f t="array" ref="E927">IF(C927="","",IFERROR(INDEX(STPP!$E$6:$E$4207,MATCH(C927,STPP!$C$6:$C$4207,0)),"Not Found"))</f>
        <v/>
      </c>
      <c r="F927" s="27" t="str" cm="1">
        <f t="array" ref="F927">IF(C927="","",IFERROR(INDEX(STPP!$F$6:$F$4207,MATCH(C927,STPP!$C$6:$C$4207,0)),"Not Found"))</f>
        <v/>
      </c>
      <c r="G927" s="25" t="str">
        <f>IF(表1[[#This Row],[No Seri]]="","",表1[[#This Row],[Deskripsi Barang]]+表1[[#This Row],[Kuantitas]]-表1[[#This Row],[Satuan]])</f>
        <v/>
      </c>
      <c r="H927" s="28"/>
      <c r="I927" s="25" t="str">
        <f>IF(表1[[#This Row],[Tgl NPBG]]&gt;表1[[#This Row],[Peminta]],表1[[#This Row],[Tgl NPBG]]-表1[[#This Row],[Peminta]],"")</f>
        <v/>
      </c>
      <c r="J927" s="31"/>
    </row>
    <row r="928" s="12" customFormat="1" customHeight="1" spans="2:10">
      <c r="B928" s="25"/>
      <c r="C928" s="25"/>
      <c r="D928" s="26" t="str" cm="1">
        <f t="array" ref="D928">IF(C928="","",IFERROR(INDEX(STPP!$D$6:$D$4207,MATCH(C928,STPP!$C$6:$C$4207,0)),"Not Found"))</f>
        <v/>
      </c>
      <c r="E928" s="27" t="str" cm="1">
        <f t="array" ref="E928">IF(C928="","",IFERROR(INDEX(STPP!$E$6:$E$4207,MATCH(C928,STPP!$C$6:$C$4207,0)),"Not Found"))</f>
        <v/>
      </c>
      <c r="F928" s="27" t="str" cm="1">
        <f t="array" ref="F928">IF(C928="","",IFERROR(INDEX(STPP!$F$6:$F$4207,MATCH(C928,STPP!$C$6:$C$4207,0)),"Not Found"))</f>
        <v/>
      </c>
      <c r="G928" s="25" t="str">
        <f>IF(表1[[#This Row],[No Seri]]="","",表1[[#This Row],[Deskripsi Barang]]+表1[[#This Row],[Kuantitas]]-表1[[#This Row],[Satuan]])</f>
        <v/>
      </c>
      <c r="H928" s="28"/>
      <c r="I928" s="25" t="str">
        <f>IF(表1[[#This Row],[Tgl NPBG]]&gt;表1[[#This Row],[Peminta]],表1[[#This Row],[Tgl NPBG]]-表1[[#This Row],[Peminta]],"")</f>
        <v/>
      </c>
      <c r="J928" s="31"/>
    </row>
    <row r="929" s="12" customFormat="1" customHeight="1" spans="2:10">
      <c r="B929" s="25"/>
      <c r="C929" s="25"/>
      <c r="D929" s="26" t="str" cm="1">
        <f t="array" ref="D929">IF(C929="","",IFERROR(INDEX(STPP!$D$6:$D$4207,MATCH(C929,STPP!$C$6:$C$4207,0)),"Not Found"))</f>
        <v/>
      </c>
      <c r="E929" s="27" t="str" cm="1">
        <f t="array" ref="E929">IF(C929="","",IFERROR(INDEX(STPP!$E$6:$E$4207,MATCH(C929,STPP!$C$6:$C$4207,0)),"Not Found"))</f>
        <v/>
      </c>
      <c r="F929" s="27" t="str" cm="1">
        <f t="array" ref="F929">IF(C929="","",IFERROR(INDEX(STPP!$F$6:$F$4207,MATCH(C929,STPP!$C$6:$C$4207,0)),"Not Found"))</f>
        <v/>
      </c>
      <c r="G929" s="25" t="str">
        <f>IF(表1[[#This Row],[No Seri]]="","",表1[[#This Row],[Deskripsi Barang]]+表1[[#This Row],[Kuantitas]]-表1[[#This Row],[Satuan]])</f>
        <v/>
      </c>
      <c r="H929" s="28"/>
      <c r="I929" s="25" t="str">
        <f>IF(表1[[#This Row],[Tgl NPBG]]&gt;表1[[#This Row],[Peminta]],表1[[#This Row],[Tgl NPBG]]-表1[[#This Row],[Peminta]],"")</f>
        <v/>
      </c>
      <c r="J929" s="31"/>
    </row>
    <row r="930" s="12" customFormat="1" customHeight="1" spans="2:10">
      <c r="B930" s="25"/>
      <c r="C930" s="25"/>
      <c r="D930" s="26" t="str" cm="1">
        <f t="array" ref="D930">IF(C930="","",IFERROR(INDEX(STPP!$D$6:$D$4207,MATCH(C930,STPP!$C$6:$C$4207,0)),"Not Found"))</f>
        <v/>
      </c>
      <c r="E930" s="27" t="str" cm="1">
        <f t="array" ref="E930">IF(C930="","",IFERROR(INDEX(STPP!$E$6:$E$4207,MATCH(C930,STPP!$C$6:$C$4207,0)),"Not Found"))</f>
        <v/>
      </c>
      <c r="F930" s="27" t="str" cm="1">
        <f t="array" ref="F930">IF(C930="","",IFERROR(INDEX(STPP!$F$6:$F$4207,MATCH(C930,STPP!$C$6:$C$4207,0)),"Not Found"))</f>
        <v/>
      </c>
      <c r="G930" s="25" t="str">
        <f>IF(表1[[#This Row],[No Seri]]="","",表1[[#This Row],[Deskripsi Barang]]+表1[[#This Row],[Kuantitas]]-表1[[#This Row],[Satuan]])</f>
        <v/>
      </c>
      <c r="H930" s="28"/>
      <c r="I930" s="25" t="str">
        <f>IF(表1[[#This Row],[Tgl NPBG]]&gt;表1[[#This Row],[Peminta]],表1[[#This Row],[Tgl NPBG]]-表1[[#This Row],[Peminta]],"")</f>
        <v/>
      </c>
      <c r="J930" s="31"/>
    </row>
    <row r="931" s="12" customFormat="1" customHeight="1" spans="2:10">
      <c r="B931" s="25"/>
      <c r="C931" s="25"/>
      <c r="D931" s="26" t="str" cm="1">
        <f t="array" ref="D931">IF(C931="","",IFERROR(INDEX(STPP!$D$6:$D$4207,MATCH(C931,STPP!$C$6:$C$4207,0)),"Not Found"))</f>
        <v/>
      </c>
      <c r="E931" s="27" t="str" cm="1">
        <f t="array" ref="E931">IF(C931="","",IFERROR(INDEX(STPP!$E$6:$E$4207,MATCH(C931,STPP!$C$6:$C$4207,0)),"Not Found"))</f>
        <v/>
      </c>
      <c r="F931" s="27" t="str" cm="1">
        <f t="array" ref="F931">IF(C931="","",IFERROR(INDEX(STPP!$F$6:$F$4207,MATCH(C931,STPP!$C$6:$C$4207,0)),"Not Found"))</f>
        <v/>
      </c>
      <c r="G931" s="25" t="str">
        <f>IF(表1[[#This Row],[No Seri]]="","",表1[[#This Row],[Deskripsi Barang]]+表1[[#This Row],[Kuantitas]]-表1[[#This Row],[Satuan]])</f>
        <v/>
      </c>
      <c r="H931" s="28"/>
      <c r="I931" s="25" t="str">
        <f>IF(表1[[#This Row],[Tgl NPBG]]&gt;表1[[#This Row],[Peminta]],表1[[#This Row],[Tgl NPBG]]-表1[[#This Row],[Peminta]],"")</f>
        <v/>
      </c>
      <c r="J931" s="31"/>
    </row>
    <row r="932" s="12" customFormat="1" customHeight="1" spans="2:10">
      <c r="B932" s="25"/>
      <c r="C932" s="25"/>
      <c r="D932" s="26" t="str" cm="1">
        <f t="array" ref="D932">IF(C932="","",IFERROR(INDEX(STPP!$D$6:$D$4207,MATCH(C932,STPP!$C$6:$C$4207,0)),"Not Found"))</f>
        <v/>
      </c>
      <c r="E932" s="27" t="str" cm="1">
        <f t="array" ref="E932">IF(C932="","",IFERROR(INDEX(STPP!$E$6:$E$4207,MATCH(C932,STPP!$C$6:$C$4207,0)),"Not Found"))</f>
        <v/>
      </c>
      <c r="F932" s="27" t="str" cm="1">
        <f t="array" ref="F932">IF(C932="","",IFERROR(INDEX(STPP!$F$6:$F$4207,MATCH(C932,STPP!$C$6:$C$4207,0)),"Not Found"))</f>
        <v/>
      </c>
      <c r="G932" s="25" t="str">
        <f>IF(表1[[#This Row],[No Seri]]="","",表1[[#This Row],[Deskripsi Barang]]+表1[[#This Row],[Kuantitas]]-表1[[#This Row],[Satuan]])</f>
        <v/>
      </c>
      <c r="H932" s="28"/>
      <c r="I932" s="25" t="str">
        <f>IF(表1[[#This Row],[Tgl NPBG]]&gt;表1[[#This Row],[Peminta]],表1[[#This Row],[Tgl NPBG]]-表1[[#This Row],[Peminta]],"")</f>
        <v/>
      </c>
      <c r="J932" s="31"/>
    </row>
    <row r="933" s="12" customFormat="1" customHeight="1" spans="2:10">
      <c r="B933" s="25"/>
      <c r="C933" s="25"/>
      <c r="D933" s="26" t="str" cm="1">
        <f t="array" ref="D933">IF(C933="","",IFERROR(INDEX(STPP!$D$6:$D$4207,MATCH(C933,STPP!$C$6:$C$4207,0)),"Not Found"))</f>
        <v/>
      </c>
      <c r="E933" s="27" t="str" cm="1">
        <f t="array" ref="E933">IF(C933="","",IFERROR(INDEX(STPP!$E$6:$E$4207,MATCH(C933,STPP!$C$6:$C$4207,0)),"Not Found"))</f>
        <v/>
      </c>
      <c r="F933" s="27" t="str" cm="1">
        <f t="array" ref="F933">IF(C933="","",IFERROR(INDEX(STPP!$F$6:$F$4207,MATCH(C933,STPP!$C$6:$C$4207,0)),"Not Found"))</f>
        <v/>
      </c>
      <c r="G933" s="25" t="str">
        <f>IF(表1[[#This Row],[No Seri]]="","",表1[[#This Row],[Deskripsi Barang]]+表1[[#This Row],[Kuantitas]]-表1[[#This Row],[Satuan]])</f>
        <v/>
      </c>
      <c r="H933" s="28"/>
      <c r="I933" s="25" t="str">
        <f>IF(表1[[#This Row],[Tgl NPBG]]&gt;表1[[#This Row],[Peminta]],表1[[#This Row],[Tgl NPBG]]-表1[[#This Row],[Peminta]],"")</f>
        <v/>
      </c>
      <c r="J933" s="31"/>
    </row>
    <row r="934" s="12" customFormat="1" customHeight="1" spans="2:10">
      <c r="B934" s="25"/>
      <c r="C934" s="25"/>
      <c r="D934" s="26" t="str" cm="1">
        <f t="array" ref="D934">IF(C934="","",IFERROR(INDEX(STPP!$D$6:$D$4207,MATCH(C934,STPP!$C$6:$C$4207,0)),"Not Found"))</f>
        <v/>
      </c>
      <c r="E934" s="27" t="str" cm="1">
        <f t="array" ref="E934">IF(C934="","",IFERROR(INDEX(STPP!$E$6:$E$4207,MATCH(C934,STPP!$C$6:$C$4207,0)),"Not Found"))</f>
        <v/>
      </c>
      <c r="F934" s="27" t="str" cm="1">
        <f t="array" ref="F934">IF(C934="","",IFERROR(INDEX(STPP!$F$6:$F$4207,MATCH(C934,STPP!$C$6:$C$4207,0)),"Not Found"))</f>
        <v/>
      </c>
      <c r="G934" s="25" t="str">
        <f>IF(表1[[#This Row],[No Seri]]="","",表1[[#This Row],[Deskripsi Barang]]+表1[[#This Row],[Kuantitas]]-表1[[#This Row],[Satuan]])</f>
        <v/>
      </c>
      <c r="H934" s="28"/>
      <c r="I934" s="25" t="str">
        <f>IF(表1[[#This Row],[Tgl NPBG]]&gt;表1[[#This Row],[Peminta]],表1[[#This Row],[Tgl NPBG]]-表1[[#This Row],[Peminta]],"")</f>
        <v/>
      </c>
      <c r="J934" s="31"/>
    </row>
    <row r="935" s="12" customFormat="1" customHeight="1" spans="2:10">
      <c r="B935" s="25"/>
      <c r="C935" s="25"/>
      <c r="D935" s="26" t="str" cm="1">
        <f t="array" ref="D935">IF(C935="","",IFERROR(INDEX(STPP!$D$6:$D$4207,MATCH(C935,STPP!$C$6:$C$4207,0)),"Not Found"))</f>
        <v/>
      </c>
      <c r="E935" s="27" t="str" cm="1">
        <f t="array" ref="E935">IF(C935="","",IFERROR(INDEX(STPP!$E$6:$E$4207,MATCH(C935,STPP!$C$6:$C$4207,0)),"Not Found"))</f>
        <v/>
      </c>
      <c r="F935" s="27" t="str" cm="1">
        <f t="array" ref="F935">IF(C935="","",IFERROR(INDEX(STPP!$F$6:$F$4207,MATCH(C935,STPP!$C$6:$C$4207,0)),"Not Found"))</f>
        <v/>
      </c>
      <c r="G935" s="25" t="str">
        <f>IF(表1[[#This Row],[No Seri]]="","",表1[[#This Row],[Deskripsi Barang]]+表1[[#This Row],[Kuantitas]]-表1[[#This Row],[Satuan]])</f>
        <v/>
      </c>
      <c r="H935" s="28"/>
      <c r="I935" s="25" t="str">
        <f>IF(表1[[#This Row],[Tgl NPBG]]&gt;表1[[#This Row],[Peminta]],表1[[#This Row],[Tgl NPBG]]-表1[[#This Row],[Peminta]],"")</f>
        <v/>
      </c>
      <c r="J935" s="31"/>
    </row>
    <row r="936" s="12" customFormat="1" customHeight="1" spans="2:10">
      <c r="B936" s="25"/>
      <c r="C936" s="25"/>
      <c r="D936" s="26" t="str" cm="1">
        <f t="array" ref="D936">IF(C936="","",IFERROR(INDEX(STPP!$D$6:$D$4207,MATCH(C936,STPP!$C$6:$C$4207,0)),"Not Found"))</f>
        <v/>
      </c>
      <c r="E936" s="27" t="str" cm="1">
        <f t="array" ref="E936">IF(C936="","",IFERROR(INDEX(STPP!$E$6:$E$4207,MATCH(C936,STPP!$C$6:$C$4207,0)),"Not Found"))</f>
        <v/>
      </c>
      <c r="F936" s="27" t="str" cm="1">
        <f t="array" ref="F936">IF(C936="","",IFERROR(INDEX(STPP!$F$6:$F$4207,MATCH(C936,STPP!$C$6:$C$4207,0)),"Not Found"))</f>
        <v/>
      </c>
      <c r="G936" s="25" t="str">
        <f>IF(表1[[#This Row],[No Seri]]="","",表1[[#This Row],[Deskripsi Barang]]+表1[[#This Row],[Kuantitas]]-表1[[#This Row],[Satuan]])</f>
        <v/>
      </c>
      <c r="H936" s="28"/>
      <c r="I936" s="25" t="str">
        <f>IF(表1[[#This Row],[Tgl NPBG]]&gt;表1[[#This Row],[Peminta]],表1[[#This Row],[Tgl NPBG]]-表1[[#This Row],[Peminta]],"")</f>
        <v/>
      </c>
      <c r="J936" s="31"/>
    </row>
    <row r="937" s="12" customFormat="1" customHeight="1" spans="2:10">
      <c r="B937" s="25"/>
      <c r="C937" s="25"/>
      <c r="D937" s="26" t="str" cm="1">
        <f t="array" ref="D937">IF(C937="","",IFERROR(INDEX(STPP!$D$6:$D$4207,MATCH(C937,STPP!$C$6:$C$4207,0)),"Not Found"))</f>
        <v/>
      </c>
      <c r="E937" s="27" t="str" cm="1">
        <f t="array" ref="E937">IF(C937="","",IFERROR(INDEX(STPP!$E$6:$E$4207,MATCH(C937,STPP!$C$6:$C$4207,0)),"Not Found"))</f>
        <v/>
      </c>
      <c r="F937" s="27" t="str" cm="1">
        <f t="array" ref="F937">IF(C937="","",IFERROR(INDEX(STPP!$F$6:$F$4207,MATCH(C937,STPP!$C$6:$C$4207,0)),"Not Found"))</f>
        <v/>
      </c>
      <c r="G937" s="25" t="str">
        <f>IF(表1[[#This Row],[No Seri]]="","",表1[[#This Row],[Deskripsi Barang]]+表1[[#This Row],[Kuantitas]]-表1[[#This Row],[Satuan]])</f>
        <v/>
      </c>
      <c r="H937" s="28"/>
      <c r="I937" s="25" t="str">
        <f>IF(表1[[#This Row],[Tgl NPBG]]&gt;表1[[#This Row],[Peminta]],表1[[#This Row],[Tgl NPBG]]-表1[[#This Row],[Peminta]],"")</f>
        <v/>
      </c>
      <c r="J937" s="31"/>
    </row>
    <row r="938" s="12" customFormat="1" customHeight="1" spans="2:10">
      <c r="B938" s="25"/>
      <c r="C938" s="25"/>
      <c r="D938" s="26" t="str" cm="1">
        <f t="array" ref="D938">IF(C938="","",IFERROR(INDEX(STPP!$D$6:$D$4207,MATCH(C938,STPP!$C$6:$C$4207,0)),"Not Found"))</f>
        <v/>
      </c>
      <c r="E938" s="27" t="str" cm="1">
        <f t="array" ref="E938">IF(C938="","",IFERROR(INDEX(STPP!$E$6:$E$4207,MATCH(C938,STPP!$C$6:$C$4207,0)),"Not Found"))</f>
        <v/>
      </c>
      <c r="F938" s="27" t="str" cm="1">
        <f t="array" ref="F938">IF(C938="","",IFERROR(INDEX(STPP!$F$6:$F$4207,MATCH(C938,STPP!$C$6:$C$4207,0)),"Not Found"))</f>
        <v/>
      </c>
      <c r="G938" s="25" t="str">
        <f>IF(表1[[#This Row],[No Seri]]="","",表1[[#This Row],[Deskripsi Barang]]+表1[[#This Row],[Kuantitas]]-表1[[#This Row],[Satuan]])</f>
        <v/>
      </c>
      <c r="H938" s="28"/>
      <c r="I938" s="25" t="str">
        <f>IF(表1[[#This Row],[Tgl NPBG]]&gt;表1[[#This Row],[Peminta]],表1[[#This Row],[Tgl NPBG]]-表1[[#This Row],[Peminta]],"")</f>
        <v/>
      </c>
      <c r="J938" s="31"/>
    </row>
    <row r="939" s="12" customFormat="1" customHeight="1" spans="2:10">
      <c r="B939" s="25"/>
      <c r="C939" s="25"/>
      <c r="D939" s="26" t="str" cm="1">
        <f t="array" ref="D939">IF(C939="","",IFERROR(INDEX(STPP!$D$6:$D$4207,MATCH(C939,STPP!$C$6:$C$4207,0)),"Not Found"))</f>
        <v/>
      </c>
      <c r="E939" s="27" t="str" cm="1">
        <f t="array" ref="E939">IF(C939="","",IFERROR(INDEX(STPP!$E$6:$E$4207,MATCH(C939,STPP!$C$6:$C$4207,0)),"Not Found"))</f>
        <v/>
      </c>
      <c r="F939" s="27" t="str" cm="1">
        <f t="array" ref="F939">IF(C939="","",IFERROR(INDEX(STPP!$F$6:$F$4207,MATCH(C939,STPP!$C$6:$C$4207,0)),"Not Found"))</f>
        <v/>
      </c>
      <c r="G939" s="25" t="str">
        <f>IF(表1[[#This Row],[No Seri]]="","",表1[[#This Row],[Deskripsi Barang]]+表1[[#This Row],[Kuantitas]]-表1[[#This Row],[Satuan]])</f>
        <v/>
      </c>
      <c r="H939" s="28"/>
      <c r="I939" s="25" t="str">
        <f>IF(表1[[#This Row],[Tgl NPBG]]&gt;表1[[#This Row],[Peminta]],表1[[#This Row],[Tgl NPBG]]-表1[[#This Row],[Peminta]],"")</f>
        <v/>
      </c>
      <c r="J939" s="31"/>
    </row>
    <row r="940" s="12" customFormat="1" customHeight="1" spans="2:10">
      <c r="B940" s="25"/>
      <c r="C940" s="25"/>
      <c r="D940" s="26" t="str" cm="1">
        <f t="array" ref="D940">IF(C940="","",IFERROR(INDEX(STPP!$D$6:$D$4207,MATCH(C940,STPP!$C$6:$C$4207,0)),"Not Found"))</f>
        <v/>
      </c>
      <c r="E940" s="27" t="str" cm="1">
        <f t="array" ref="E940">IF(C940="","",IFERROR(INDEX(STPP!$E$6:$E$4207,MATCH(C940,STPP!$C$6:$C$4207,0)),"Not Found"))</f>
        <v/>
      </c>
      <c r="F940" s="27" t="str" cm="1">
        <f t="array" ref="F940">IF(C940="","",IFERROR(INDEX(STPP!$F$6:$F$4207,MATCH(C940,STPP!$C$6:$C$4207,0)),"Not Found"))</f>
        <v/>
      </c>
      <c r="G940" s="25" t="str">
        <f>IF(表1[[#This Row],[No Seri]]="","",表1[[#This Row],[Deskripsi Barang]]+表1[[#This Row],[Kuantitas]]-表1[[#This Row],[Satuan]])</f>
        <v/>
      </c>
      <c r="H940" s="28"/>
      <c r="I940" s="25" t="str">
        <f>IF(表1[[#This Row],[Tgl NPBG]]&gt;表1[[#This Row],[Peminta]],表1[[#This Row],[Tgl NPBG]]-表1[[#This Row],[Peminta]],"")</f>
        <v/>
      </c>
      <c r="J940" s="31"/>
    </row>
    <row r="941" s="12" customFormat="1" customHeight="1" spans="2:10">
      <c r="B941" s="25"/>
      <c r="C941" s="25"/>
      <c r="D941" s="26" t="str" cm="1">
        <f t="array" ref="D941">IF(C941="","",IFERROR(INDEX(STPP!$D$6:$D$4207,MATCH(C941,STPP!$C$6:$C$4207,0)),"Not Found"))</f>
        <v/>
      </c>
      <c r="E941" s="27" t="str" cm="1">
        <f t="array" ref="E941">IF(C941="","",IFERROR(INDEX(STPP!$E$6:$E$4207,MATCH(C941,STPP!$C$6:$C$4207,0)),"Not Found"))</f>
        <v/>
      </c>
      <c r="F941" s="27" t="str" cm="1">
        <f t="array" ref="F941">IF(C941="","",IFERROR(INDEX(STPP!$F$6:$F$4207,MATCH(C941,STPP!$C$6:$C$4207,0)),"Not Found"))</f>
        <v/>
      </c>
      <c r="G941" s="25" t="str">
        <f>IF(表1[[#This Row],[No Seri]]="","",表1[[#This Row],[Deskripsi Barang]]+表1[[#This Row],[Kuantitas]]-表1[[#This Row],[Satuan]])</f>
        <v/>
      </c>
      <c r="H941" s="28"/>
      <c r="I941" s="25" t="str">
        <f>IF(表1[[#This Row],[Tgl NPBG]]&gt;表1[[#This Row],[Peminta]],表1[[#This Row],[Tgl NPBG]]-表1[[#This Row],[Peminta]],"")</f>
        <v/>
      </c>
      <c r="J941" s="31"/>
    </row>
    <row r="942" s="12" customFormat="1" customHeight="1" spans="2:10">
      <c r="B942" s="25"/>
      <c r="C942" s="25"/>
      <c r="D942" s="26" t="str" cm="1">
        <f t="array" ref="D942">IF(C942="","",IFERROR(INDEX(STPP!$D$6:$D$4207,MATCH(C942,STPP!$C$6:$C$4207,0)),"Not Found"))</f>
        <v/>
      </c>
      <c r="E942" s="27" t="str" cm="1">
        <f t="array" ref="E942">IF(C942="","",IFERROR(INDEX(STPP!$E$6:$E$4207,MATCH(C942,STPP!$C$6:$C$4207,0)),"Not Found"))</f>
        <v/>
      </c>
      <c r="F942" s="27" t="str" cm="1">
        <f t="array" ref="F942">IF(C942="","",IFERROR(INDEX(STPP!$F$6:$F$4207,MATCH(C942,STPP!$C$6:$C$4207,0)),"Not Found"))</f>
        <v/>
      </c>
      <c r="G942" s="25" t="str">
        <f>IF(表1[[#This Row],[No Seri]]="","",表1[[#This Row],[Deskripsi Barang]]+表1[[#This Row],[Kuantitas]]-表1[[#This Row],[Satuan]])</f>
        <v/>
      </c>
      <c r="H942" s="28"/>
      <c r="I942" s="25" t="str">
        <f>IF(表1[[#This Row],[Tgl NPBG]]&gt;表1[[#This Row],[Peminta]],表1[[#This Row],[Tgl NPBG]]-表1[[#This Row],[Peminta]],"")</f>
        <v/>
      </c>
      <c r="J942" s="31"/>
    </row>
    <row r="943" s="12" customFormat="1" customHeight="1" spans="2:10">
      <c r="B943" s="25"/>
      <c r="C943" s="25"/>
      <c r="D943" s="26" t="str" cm="1">
        <f t="array" ref="D943">IF(C943="","",IFERROR(INDEX(STPP!$D$6:$D$4207,MATCH(C943,STPP!$C$6:$C$4207,0)),"Not Found"))</f>
        <v/>
      </c>
      <c r="E943" s="27" t="str" cm="1">
        <f t="array" ref="E943">IF(C943="","",IFERROR(INDEX(STPP!$E$6:$E$4207,MATCH(C943,STPP!$C$6:$C$4207,0)),"Not Found"))</f>
        <v/>
      </c>
      <c r="F943" s="27" t="str" cm="1">
        <f t="array" ref="F943">IF(C943="","",IFERROR(INDEX(STPP!$F$6:$F$4207,MATCH(C943,STPP!$C$6:$C$4207,0)),"Not Found"))</f>
        <v/>
      </c>
      <c r="G943" s="25" t="str">
        <f>IF(表1[[#This Row],[No Seri]]="","",表1[[#This Row],[Deskripsi Barang]]+表1[[#This Row],[Kuantitas]]-表1[[#This Row],[Satuan]])</f>
        <v/>
      </c>
      <c r="H943" s="28"/>
      <c r="I943" s="25" t="str">
        <f>IF(表1[[#This Row],[Tgl NPBG]]&gt;表1[[#This Row],[Peminta]],表1[[#This Row],[Tgl NPBG]]-表1[[#This Row],[Peminta]],"")</f>
        <v/>
      </c>
      <c r="J943" s="31"/>
    </row>
    <row r="944" s="12" customFormat="1" customHeight="1" spans="2:10">
      <c r="B944" s="25"/>
      <c r="C944" s="25"/>
      <c r="D944" s="26" t="str" cm="1">
        <f t="array" ref="D944">IF(C944="","",IFERROR(INDEX(STPP!$D$6:$D$4207,MATCH(C944,STPP!$C$6:$C$4207,0)),"Not Found"))</f>
        <v/>
      </c>
      <c r="E944" s="27" t="str" cm="1">
        <f t="array" ref="E944">IF(C944="","",IFERROR(INDEX(STPP!$E$6:$E$4207,MATCH(C944,STPP!$C$6:$C$4207,0)),"Not Found"))</f>
        <v/>
      </c>
      <c r="F944" s="27" t="str" cm="1">
        <f t="array" ref="F944">IF(C944="","",IFERROR(INDEX(STPP!$F$6:$F$4207,MATCH(C944,STPP!$C$6:$C$4207,0)),"Not Found"))</f>
        <v/>
      </c>
      <c r="G944" s="25" t="str">
        <f>IF(表1[[#This Row],[No Seri]]="","",表1[[#This Row],[Deskripsi Barang]]+表1[[#This Row],[Kuantitas]]-表1[[#This Row],[Satuan]])</f>
        <v/>
      </c>
      <c r="H944" s="28"/>
      <c r="I944" s="25" t="str">
        <f>IF(表1[[#This Row],[Tgl NPBG]]&gt;表1[[#This Row],[Peminta]],表1[[#This Row],[Tgl NPBG]]-表1[[#This Row],[Peminta]],"")</f>
        <v/>
      </c>
      <c r="J944" s="31"/>
    </row>
    <row r="945" s="12" customFormat="1" customHeight="1" spans="2:10">
      <c r="B945" s="25"/>
      <c r="C945" s="25"/>
      <c r="D945" s="26" t="str" cm="1">
        <f t="array" ref="D945">IF(C945="","",IFERROR(INDEX(STPP!$D$6:$D$4207,MATCH(C945,STPP!$C$6:$C$4207,0)),"Not Found"))</f>
        <v/>
      </c>
      <c r="E945" s="27" t="str" cm="1">
        <f t="array" ref="E945">IF(C945="","",IFERROR(INDEX(STPP!$E$6:$E$4207,MATCH(C945,STPP!$C$6:$C$4207,0)),"Not Found"))</f>
        <v/>
      </c>
      <c r="F945" s="27" t="str" cm="1">
        <f t="array" ref="F945">IF(C945="","",IFERROR(INDEX(STPP!$F$6:$F$4207,MATCH(C945,STPP!$C$6:$C$4207,0)),"Not Found"))</f>
        <v/>
      </c>
      <c r="G945" s="25" t="str">
        <f>IF(表1[[#This Row],[No Seri]]="","",表1[[#This Row],[Deskripsi Barang]]+表1[[#This Row],[Kuantitas]]-表1[[#This Row],[Satuan]])</f>
        <v/>
      </c>
      <c r="H945" s="28"/>
      <c r="I945" s="25" t="str">
        <f>IF(表1[[#This Row],[Tgl NPBG]]&gt;表1[[#This Row],[Peminta]],表1[[#This Row],[Tgl NPBG]]-表1[[#This Row],[Peminta]],"")</f>
        <v/>
      </c>
      <c r="J945" s="31"/>
    </row>
    <row r="946" s="12" customFormat="1" customHeight="1" spans="2:10">
      <c r="B946" s="25"/>
      <c r="C946" s="25"/>
      <c r="D946" s="26" t="str" cm="1">
        <f t="array" ref="D946">IF(C946="","",IFERROR(INDEX(STPP!$D$6:$D$4207,MATCH(C946,STPP!$C$6:$C$4207,0)),"Not Found"))</f>
        <v/>
      </c>
      <c r="E946" s="27" t="str" cm="1">
        <f t="array" ref="E946">IF(C946="","",IFERROR(INDEX(STPP!$E$6:$E$4207,MATCH(C946,STPP!$C$6:$C$4207,0)),"Not Found"))</f>
        <v/>
      </c>
      <c r="F946" s="27" t="str" cm="1">
        <f t="array" ref="F946">IF(C946="","",IFERROR(INDEX(STPP!$F$6:$F$4207,MATCH(C946,STPP!$C$6:$C$4207,0)),"Not Found"))</f>
        <v/>
      </c>
      <c r="G946" s="25" t="str">
        <f>IF(表1[[#This Row],[No Seri]]="","",表1[[#This Row],[Deskripsi Barang]]+表1[[#This Row],[Kuantitas]]-表1[[#This Row],[Satuan]])</f>
        <v/>
      </c>
      <c r="H946" s="28"/>
      <c r="I946" s="25" t="str">
        <f>IF(表1[[#This Row],[Tgl NPBG]]&gt;表1[[#This Row],[Peminta]],表1[[#This Row],[Tgl NPBG]]-表1[[#This Row],[Peminta]],"")</f>
        <v/>
      </c>
      <c r="J946" s="31"/>
    </row>
    <row r="947" s="12" customFormat="1" customHeight="1" spans="2:10">
      <c r="B947" s="25"/>
      <c r="C947" s="25"/>
      <c r="D947" s="26" t="str" cm="1">
        <f t="array" ref="D947">IF(C947="","",IFERROR(INDEX(STPP!$D$6:$D$4207,MATCH(C947,STPP!$C$6:$C$4207,0)),"Not Found"))</f>
        <v/>
      </c>
      <c r="E947" s="27" t="str" cm="1">
        <f t="array" ref="E947">IF(C947="","",IFERROR(INDEX(STPP!$E$6:$E$4207,MATCH(C947,STPP!$C$6:$C$4207,0)),"Not Found"))</f>
        <v/>
      </c>
      <c r="F947" s="27" t="str" cm="1">
        <f t="array" ref="F947">IF(C947="","",IFERROR(INDEX(STPP!$F$6:$F$4207,MATCH(C947,STPP!$C$6:$C$4207,0)),"Not Found"))</f>
        <v/>
      </c>
      <c r="G947" s="25" t="str">
        <f>IF(表1[[#This Row],[No Seri]]="","",表1[[#This Row],[Deskripsi Barang]]+表1[[#This Row],[Kuantitas]]-表1[[#This Row],[Satuan]])</f>
        <v/>
      </c>
      <c r="H947" s="28"/>
      <c r="I947" s="25" t="str">
        <f>IF(表1[[#This Row],[Tgl NPBG]]&gt;表1[[#This Row],[Peminta]],表1[[#This Row],[Tgl NPBG]]-表1[[#This Row],[Peminta]],"")</f>
        <v/>
      </c>
      <c r="J947" s="31"/>
    </row>
    <row r="948" s="12" customFormat="1" customHeight="1" spans="2:10">
      <c r="B948" s="25"/>
      <c r="C948" s="25"/>
      <c r="D948" s="26" t="str" cm="1">
        <f t="array" ref="D948">IF(C948="","",IFERROR(INDEX(STPP!$D$6:$D$4207,MATCH(C948,STPP!$C$6:$C$4207,0)),"Not Found"))</f>
        <v/>
      </c>
      <c r="E948" s="27" t="str" cm="1">
        <f t="array" ref="E948">IF(C948="","",IFERROR(INDEX(STPP!$E$6:$E$4207,MATCH(C948,STPP!$C$6:$C$4207,0)),"Not Found"))</f>
        <v/>
      </c>
      <c r="F948" s="27" t="str" cm="1">
        <f t="array" ref="F948">IF(C948="","",IFERROR(INDEX(STPP!$F$6:$F$4207,MATCH(C948,STPP!$C$6:$C$4207,0)),"Not Found"))</f>
        <v/>
      </c>
      <c r="G948" s="25" t="str">
        <f>IF(表1[[#This Row],[No Seri]]="","",表1[[#This Row],[Deskripsi Barang]]+表1[[#This Row],[Kuantitas]]-表1[[#This Row],[Satuan]])</f>
        <v/>
      </c>
      <c r="H948" s="28"/>
      <c r="I948" s="25" t="str">
        <f>IF(表1[[#This Row],[Tgl NPBG]]&gt;表1[[#This Row],[Peminta]],表1[[#This Row],[Tgl NPBG]]-表1[[#This Row],[Peminta]],"")</f>
        <v/>
      </c>
      <c r="J948" s="31"/>
    </row>
    <row r="949" s="12" customFormat="1" customHeight="1" spans="2:10">
      <c r="B949" s="25"/>
      <c r="C949" s="25"/>
      <c r="D949" s="26" t="str" cm="1">
        <f t="array" ref="D949">IF(C949="","",IFERROR(INDEX(STPP!$D$6:$D$4207,MATCH(C949,STPP!$C$6:$C$4207,0)),"Not Found"))</f>
        <v/>
      </c>
      <c r="E949" s="27" t="str" cm="1">
        <f t="array" ref="E949">IF(C949="","",IFERROR(INDEX(STPP!$E$6:$E$4207,MATCH(C949,STPP!$C$6:$C$4207,0)),"Not Found"))</f>
        <v/>
      </c>
      <c r="F949" s="27" t="str" cm="1">
        <f t="array" ref="F949">IF(C949="","",IFERROR(INDEX(STPP!$F$6:$F$4207,MATCH(C949,STPP!$C$6:$C$4207,0)),"Not Found"))</f>
        <v/>
      </c>
      <c r="G949" s="25" t="str">
        <f>IF(表1[[#This Row],[No Seri]]="","",表1[[#This Row],[Deskripsi Barang]]+表1[[#This Row],[Kuantitas]]-表1[[#This Row],[Satuan]])</f>
        <v/>
      </c>
      <c r="H949" s="28"/>
      <c r="I949" s="25" t="str">
        <f>IF(表1[[#This Row],[Tgl NPBG]]&gt;表1[[#This Row],[Peminta]],表1[[#This Row],[Tgl NPBG]]-表1[[#This Row],[Peminta]],"")</f>
        <v/>
      </c>
      <c r="J949" s="31"/>
    </row>
    <row r="950" s="12" customFormat="1" customHeight="1" spans="2:10">
      <c r="B950" s="25"/>
      <c r="C950" s="25"/>
      <c r="D950" s="26" t="str" cm="1">
        <f t="array" ref="D950">IF(C950="","",IFERROR(INDEX(STPP!$D$6:$D$4207,MATCH(C950,STPP!$C$6:$C$4207,0)),"Not Found"))</f>
        <v/>
      </c>
      <c r="E950" s="27" t="str" cm="1">
        <f t="array" ref="E950">IF(C950="","",IFERROR(INDEX(STPP!$E$6:$E$4207,MATCH(C950,STPP!$C$6:$C$4207,0)),"Not Found"))</f>
        <v/>
      </c>
      <c r="F950" s="27" t="str" cm="1">
        <f t="array" ref="F950">IF(C950="","",IFERROR(INDEX(STPP!$F$6:$F$4207,MATCH(C950,STPP!$C$6:$C$4207,0)),"Not Found"))</f>
        <v/>
      </c>
      <c r="G950" s="25" t="str">
        <f>IF(表1[[#This Row],[No Seri]]="","",表1[[#This Row],[Deskripsi Barang]]+表1[[#This Row],[Kuantitas]]-表1[[#This Row],[Satuan]])</f>
        <v/>
      </c>
      <c r="H950" s="28"/>
      <c r="I950" s="25" t="str">
        <f>IF(表1[[#This Row],[Tgl NPBG]]&gt;表1[[#This Row],[Peminta]],表1[[#This Row],[Tgl NPBG]]-表1[[#This Row],[Peminta]],"")</f>
        <v/>
      </c>
      <c r="J950" s="31"/>
    </row>
    <row r="951" s="12" customFormat="1" customHeight="1" spans="2:10">
      <c r="B951" s="25"/>
      <c r="C951" s="25"/>
      <c r="D951" s="26" t="str" cm="1">
        <f t="array" ref="D951">IF(C951="","",IFERROR(INDEX(STPP!$D$6:$D$4207,MATCH(C951,STPP!$C$6:$C$4207,0)),"Not Found"))</f>
        <v/>
      </c>
      <c r="E951" s="27" t="str" cm="1">
        <f t="array" ref="E951">IF(C951="","",IFERROR(INDEX(STPP!$E$6:$E$4207,MATCH(C951,STPP!$C$6:$C$4207,0)),"Not Found"))</f>
        <v/>
      </c>
      <c r="F951" s="27" t="str" cm="1">
        <f t="array" ref="F951">IF(C951="","",IFERROR(INDEX(STPP!$F$6:$F$4207,MATCH(C951,STPP!$C$6:$C$4207,0)),"Not Found"))</f>
        <v/>
      </c>
      <c r="G951" s="25" t="str">
        <f>IF(表1[[#This Row],[No Seri]]="","",表1[[#This Row],[Deskripsi Barang]]+表1[[#This Row],[Kuantitas]]-表1[[#This Row],[Satuan]])</f>
        <v/>
      </c>
      <c r="H951" s="28"/>
      <c r="I951" s="25" t="str">
        <f>IF(表1[[#This Row],[Tgl NPBG]]&gt;表1[[#This Row],[Peminta]],表1[[#This Row],[Tgl NPBG]]-表1[[#This Row],[Peminta]],"")</f>
        <v/>
      </c>
      <c r="J951" s="31"/>
    </row>
    <row r="952" s="12" customFormat="1" customHeight="1" spans="2:10">
      <c r="B952" s="25"/>
      <c r="C952" s="25"/>
      <c r="D952" s="26" t="str" cm="1">
        <f t="array" ref="D952">IF(C952="","",IFERROR(INDEX(STPP!$D$6:$D$4207,MATCH(C952,STPP!$C$6:$C$4207,0)),"Not Found"))</f>
        <v/>
      </c>
      <c r="E952" s="27" t="str" cm="1">
        <f t="array" ref="E952">IF(C952="","",IFERROR(INDEX(STPP!$E$6:$E$4207,MATCH(C952,STPP!$C$6:$C$4207,0)),"Not Found"))</f>
        <v/>
      </c>
      <c r="F952" s="27" t="str" cm="1">
        <f t="array" ref="F952">IF(C952="","",IFERROR(INDEX(STPP!$F$6:$F$4207,MATCH(C952,STPP!$C$6:$C$4207,0)),"Not Found"))</f>
        <v/>
      </c>
      <c r="G952" s="25" t="str">
        <f>IF(表1[[#This Row],[No Seri]]="","",表1[[#This Row],[Deskripsi Barang]]+表1[[#This Row],[Kuantitas]]-表1[[#This Row],[Satuan]])</f>
        <v/>
      </c>
      <c r="H952" s="28"/>
      <c r="I952" s="25" t="str">
        <f>IF(表1[[#This Row],[Tgl NPBG]]&gt;表1[[#This Row],[Peminta]],表1[[#This Row],[Tgl NPBG]]-表1[[#This Row],[Peminta]],"")</f>
        <v/>
      </c>
      <c r="J952" s="31"/>
    </row>
    <row r="953" s="12" customFormat="1" customHeight="1" spans="2:10">
      <c r="B953" s="25"/>
      <c r="C953" s="25"/>
      <c r="D953" s="26" t="str" cm="1">
        <f t="array" ref="D953">IF(C953="","",IFERROR(INDEX(STPP!$D$6:$D$4207,MATCH(C953,STPP!$C$6:$C$4207,0)),"Not Found"))</f>
        <v/>
      </c>
      <c r="E953" s="27" t="str" cm="1">
        <f t="array" ref="E953">IF(C953="","",IFERROR(INDEX(STPP!$E$6:$E$4207,MATCH(C953,STPP!$C$6:$C$4207,0)),"Not Found"))</f>
        <v/>
      </c>
      <c r="F953" s="27" t="str" cm="1">
        <f t="array" ref="F953">IF(C953="","",IFERROR(INDEX(STPP!$F$6:$F$4207,MATCH(C953,STPP!$C$6:$C$4207,0)),"Not Found"))</f>
        <v/>
      </c>
      <c r="G953" s="25" t="str">
        <f>IF(表1[[#This Row],[No Seri]]="","",表1[[#This Row],[Deskripsi Barang]]+表1[[#This Row],[Kuantitas]]-表1[[#This Row],[Satuan]])</f>
        <v/>
      </c>
      <c r="H953" s="28"/>
      <c r="I953" s="25" t="str">
        <f>IF(表1[[#This Row],[Tgl NPBG]]&gt;表1[[#This Row],[Peminta]],表1[[#This Row],[Tgl NPBG]]-表1[[#This Row],[Peminta]],"")</f>
        <v/>
      </c>
      <c r="J953" s="31"/>
    </row>
    <row r="954" s="12" customFormat="1" customHeight="1" spans="2:10">
      <c r="B954" s="25"/>
      <c r="C954" s="25"/>
      <c r="D954" s="26" t="str" cm="1">
        <f t="array" ref="D954">IF(C954="","",IFERROR(INDEX(STPP!$D$6:$D$4207,MATCH(C954,STPP!$C$6:$C$4207,0)),"Not Found"))</f>
        <v/>
      </c>
      <c r="E954" s="27" t="str" cm="1">
        <f t="array" ref="E954">IF(C954="","",IFERROR(INDEX(STPP!$E$6:$E$4207,MATCH(C954,STPP!$C$6:$C$4207,0)),"Not Found"))</f>
        <v/>
      </c>
      <c r="F954" s="27" t="str" cm="1">
        <f t="array" ref="F954">IF(C954="","",IFERROR(INDEX(STPP!$F$6:$F$4207,MATCH(C954,STPP!$C$6:$C$4207,0)),"Not Found"))</f>
        <v/>
      </c>
      <c r="G954" s="25" t="str">
        <f>IF(表1[[#This Row],[No Seri]]="","",表1[[#This Row],[Deskripsi Barang]]+表1[[#This Row],[Kuantitas]]-表1[[#This Row],[Satuan]])</f>
        <v/>
      </c>
      <c r="H954" s="28"/>
      <c r="I954" s="25" t="str">
        <f>IF(表1[[#This Row],[Tgl NPBG]]&gt;表1[[#This Row],[Peminta]],表1[[#This Row],[Tgl NPBG]]-表1[[#This Row],[Peminta]],"")</f>
        <v/>
      </c>
      <c r="J954" s="31"/>
    </row>
    <row r="955" s="12" customFormat="1" customHeight="1" spans="2:10">
      <c r="B955" s="25"/>
      <c r="C955" s="25"/>
      <c r="D955" s="26" t="str" cm="1">
        <f t="array" ref="D955">IF(C955="","",IFERROR(INDEX(STPP!$D$6:$D$4207,MATCH(C955,STPP!$C$6:$C$4207,0)),"Not Found"))</f>
        <v/>
      </c>
      <c r="E955" s="27" t="str" cm="1">
        <f t="array" ref="E955">IF(C955="","",IFERROR(INDEX(STPP!$E$6:$E$4207,MATCH(C955,STPP!$C$6:$C$4207,0)),"Not Found"))</f>
        <v/>
      </c>
      <c r="F955" s="27" t="str" cm="1">
        <f t="array" ref="F955">IF(C955="","",IFERROR(INDEX(STPP!$F$6:$F$4207,MATCH(C955,STPP!$C$6:$C$4207,0)),"Not Found"))</f>
        <v/>
      </c>
      <c r="G955" s="25" t="str">
        <f>IF(表1[[#This Row],[No Seri]]="","",表1[[#This Row],[Deskripsi Barang]]+表1[[#This Row],[Kuantitas]]-表1[[#This Row],[Satuan]])</f>
        <v/>
      </c>
      <c r="H955" s="28"/>
      <c r="I955" s="25" t="str">
        <f>IF(表1[[#This Row],[Tgl NPBG]]&gt;表1[[#This Row],[Peminta]],表1[[#This Row],[Tgl NPBG]]-表1[[#This Row],[Peminta]],"")</f>
        <v/>
      </c>
      <c r="J955" s="31"/>
    </row>
    <row r="956" s="12" customFormat="1" customHeight="1" spans="2:10">
      <c r="B956" s="25"/>
      <c r="C956" s="25"/>
      <c r="D956" s="26" t="str" cm="1">
        <f t="array" ref="D956">IF(C956="","",IFERROR(INDEX(STPP!$D$6:$D$4207,MATCH(C956,STPP!$C$6:$C$4207,0)),"Not Found"))</f>
        <v/>
      </c>
      <c r="E956" s="27" t="str" cm="1">
        <f t="array" ref="E956">IF(C956="","",IFERROR(INDEX(STPP!$E$6:$E$4207,MATCH(C956,STPP!$C$6:$C$4207,0)),"Not Found"))</f>
        <v/>
      </c>
      <c r="F956" s="27" t="str" cm="1">
        <f t="array" ref="F956">IF(C956="","",IFERROR(INDEX(STPP!$F$6:$F$4207,MATCH(C956,STPP!$C$6:$C$4207,0)),"Not Found"))</f>
        <v/>
      </c>
      <c r="G956" s="25" t="str">
        <f>IF(表1[[#This Row],[No Seri]]="","",表1[[#This Row],[Deskripsi Barang]]+表1[[#This Row],[Kuantitas]]-表1[[#This Row],[Satuan]])</f>
        <v/>
      </c>
      <c r="H956" s="28"/>
      <c r="I956" s="25" t="str">
        <f>IF(表1[[#This Row],[Tgl NPBG]]&gt;表1[[#This Row],[Peminta]],表1[[#This Row],[Tgl NPBG]]-表1[[#This Row],[Peminta]],"")</f>
        <v/>
      </c>
      <c r="J956" s="31"/>
    </row>
    <row r="957" s="12" customFormat="1" customHeight="1" spans="2:10">
      <c r="B957" s="25"/>
      <c r="C957" s="25"/>
      <c r="D957" s="26" t="str" cm="1">
        <f t="array" ref="D957">IF(C957="","",IFERROR(INDEX(STPP!$D$6:$D$4207,MATCH(C957,STPP!$C$6:$C$4207,0)),"Not Found"))</f>
        <v/>
      </c>
      <c r="E957" s="27" t="str" cm="1">
        <f t="array" ref="E957">IF(C957="","",IFERROR(INDEX(STPP!$E$6:$E$4207,MATCH(C957,STPP!$C$6:$C$4207,0)),"Not Found"))</f>
        <v/>
      </c>
      <c r="F957" s="27" t="str" cm="1">
        <f t="array" ref="F957">IF(C957="","",IFERROR(INDEX(STPP!$F$6:$F$4207,MATCH(C957,STPP!$C$6:$C$4207,0)),"Not Found"))</f>
        <v/>
      </c>
      <c r="G957" s="25" t="str">
        <f>IF(表1[[#This Row],[No Seri]]="","",表1[[#This Row],[Deskripsi Barang]]+表1[[#This Row],[Kuantitas]]-表1[[#This Row],[Satuan]])</f>
        <v/>
      </c>
      <c r="H957" s="28"/>
      <c r="I957" s="25" t="str">
        <f>IF(表1[[#This Row],[Tgl NPBG]]&gt;表1[[#This Row],[Peminta]],表1[[#This Row],[Tgl NPBG]]-表1[[#This Row],[Peminta]],"")</f>
        <v/>
      </c>
      <c r="J957" s="31"/>
    </row>
    <row r="958" s="12" customFormat="1" customHeight="1" spans="2:10">
      <c r="B958" s="25"/>
      <c r="C958" s="25"/>
      <c r="D958" s="26" t="str" cm="1">
        <f t="array" ref="D958">IF(C958="","",IFERROR(INDEX(STPP!$D$6:$D$4207,MATCH(C958,STPP!$C$6:$C$4207,0)),"Not Found"))</f>
        <v/>
      </c>
      <c r="E958" s="27" t="str" cm="1">
        <f t="array" ref="E958">IF(C958="","",IFERROR(INDEX(STPP!$E$6:$E$4207,MATCH(C958,STPP!$C$6:$C$4207,0)),"Not Found"))</f>
        <v/>
      </c>
      <c r="F958" s="27" t="str" cm="1">
        <f t="array" ref="F958">IF(C958="","",IFERROR(INDEX(STPP!$F$6:$F$4207,MATCH(C958,STPP!$C$6:$C$4207,0)),"Not Found"))</f>
        <v/>
      </c>
      <c r="G958" s="25" t="str">
        <f>IF(表1[[#This Row],[No Seri]]="","",表1[[#This Row],[Deskripsi Barang]]+表1[[#This Row],[Kuantitas]]-表1[[#This Row],[Satuan]])</f>
        <v/>
      </c>
      <c r="H958" s="28"/>
      <c r="I958" s="25" t="str">
        <f>IF(表1[[#This Row],[Tgl NPBG]]&gt;表1[[#This Row],[Peminta]],表1[[#This Row],[Tgl NPBG]]-表1[[#This Row],[Peminta]],"")</f>
        <v/>
      </c>
      <c r="J958" s="31"/>
    </row>
    <row r="959" s="12" customFormat="1" customHeight="1" spans="2:10">
      <c r="B959" s="25"/>
      <c r="C959" s="25"/>
      <c r="D959" s="26" t="str" cm="1">
        <f t="array" ref="D959">IF(C959="","",IFERROR(INDEX(STPP!$D$6:$D$4207,MATCH(C959,STPP!$C$6:$C$4207,0)),"Not Found"))</f>
        <v/>
      </c>
      <c r="E959" s="27" t="str" cm="1">
        <f t="array" ref="E959">IF(C959="","",IFERROR(INDEX(STPP!$E$6:$E$4207,MATCH(C959,STPP!$C$6:$C$4207,0)),"Not Found"))</f>
        <v/>
      </c>
      <c r="F959" s="27" t="str" cm="1">
        <f t="array" ref="F959">IF(C959="","",IFERROR(INDEX(STPP!$F$6:$F$4207,MATCH(C959,STPP!$C$6:$C$4207,0)),"Not Found"))</f>
        <v/>
      </c>
      <c r="G959" s="25" t="str">
        <f>IF(表1[[#This Row],[No Seri]]="","",表1[[#This Row],[Deskripsi Barang]]+表1[[#This Row],[Kuantitas]]-表1[[#This Row],[Satuan]])</f>
        <v/>
      </c>
      <c r="H959" s="28"/>
      <c r="I959" s="25" t="str">
        <f>IF(表1[[#This Row],[Tgl NPBG]]&gt;表1[[#This Row],[Peminta]],表1[[#This Row],[Tgl NPBG]]-表1[[#This Row],[Peminta]],"")</f>
        <v/>
      </c>
      <c r="J959" s="31"/>
    </row>
    <row r="960" s="12" customFormat="1" customHeight="1" spans="2:10">
      <c r="B960" s="25"/>
      <c r="C960" s="25"/>
      <c r="D960" s="26" t="str" cm="1">
        <f t="array" ref="D960">IF(C960="","",IFERROR(INDEX(STPP!$D$6:$D$4207,MATCH(C960,STPP!$C$6:$C$4207,0)),"Not Found"))</f>
        <v/>
      </c>
      <c r="E960" s="27" t="str" cm="1">
        <f t="array" ref="E960">IF(C960="","",IFERROR(INDEX(STPP!$E$6:$E$4207,MATCH(C960,STPP!$C$6:$C$4207,0)),"Not Found"))</f>
        <v/>
      </c>
      <c r="F960" s="27" t="str" cm="1">
        <f t="array" ref="F960">IF(C960="","",IFERROR(INDEX(STPP!$F$6:$F$4207,MATCH(C960,STPP!$C$6:$C$4207,0)),"Not Found"))</f>
        <v/>
      </c>
      <c r="G960" s="25" t="str">
        <f>IF(表1[[#This Row],[No Seri]]="","",表1[[#This Row],[Deskripsi Barang]]+表1[[#This Row],[Kuantitas]]-表1[[#This Row],[Satuan]])</f>
        <v/>
      </c>
      <c r="H960" s="28"/>
      <c r="I960" s="25" t="str">
        <f>IF(表1[[#This Row],[Tgl NPBG]]&gt;表1[[#This Row],[Peminta]],表1[[#This Row],[Tgl NPBG]]-表1[[#This Row],[Peminta]],"")</f>
        <v/>
      </c>
      <c r="J960" s="31"/>
    </row>
    <row r="961" s="12" customFormat="1" customHeight="1" spans="2:10">
      <c r="B961" s="25"/>
      <c r="C961" s="25"/>
      <c r="D961" s="26" t="str" cm="1">
        <f t="array" ref="D961">IF(C961="","",IFERROR(INDEX(STPP!$D$6:$D$4207,MATCH(C961,STPP!$C$6:$C$4207,0)),"Not Found"))</f>
        <v/>
      </c>
      <c r="E961" s="27" t="str" cm="1">
        <f t="array" ref="E961">IF(C961="","",IFERROR(INDEX(STPP!$E$6:$E$4207,MATCH(C961,STPP!$C$6:$C$4207,0)),"Not Found"))</f>
        <v/>
      </c>
      <c r="F961" s="27" t="str" cm="1">
        <f t="array" ref="F961">IF(C961="","",IFERROR(INDEX(STPP!$F$6:$F$4207,MATCH(C961,STPP!$C$6:$C$4207,0)),"Not Found"))</f>
        <v/>
      </c>
      <c r="G961" s="25" t="str">
        <f>IF(表1[[#This Row],[No Seri]]="","",表1[[#This Row],[Deskripsi Barang]]+表1[[#This Row],[Kuantitas]]-表1[[#This Row],[Satuan]])</f>
        <v/>
      </c>
      <c r="H961" s="28"/>
      <c r="I961" s="25" t="str">
        <f>IF(表1[[#This Row],[Tgl NPBG]]&gt;表1[[#This Row],[Peminta]],表1[[#This Row],[Tgl NPBG]]-表1[[#This Row],[Peminta]],"")</f>
        <v/>
      </c>
      <c r="J961" s="31"/>
    </row>
    <row r="962" s="12" customFormat="1" customHeight="1" spans="2:10">
      <c r="B962" s="25"/>
      <c r="C962" s="25"/>
      <c r="D962" s="26" t="str" cm="1">
        <f t="array" ref="D962">IF(C962="","",IFERROR(INDEX(STPP!$D$6:$D$4207,MATCH(C962,STPP!$C$6:$C$4207,0)),"Not Found"))</f>
        <v/>
      </c>
      <c r="E962" s="27" t="str" cm="1">
        <f t="array" ref="E962">IF(C962="","",IFERROR(INDEX(STPP!$E$6:$E$4207,MATCH(C962,STPP!$C$6:$C$4207,0)),"Not Found"))</f>
        <v/>
      </c>
      <c r="F962" s="27" t="str" cm="1">
        <f t="array" ref="F962">IF(C962="","",IFERROR(INDEX(STPP!$F$6:$F$4207,MATCH(C962,STPP!$C$6:$C$4207,0)),"Not Found"))</f>
        <v/>
      </c>
      <c r="G962" s="25" t="str">
        <f>IF(表1[[#This Row],[No Seri]]="","",表1[[#This Row],[Deskripsi Barang]]+表1[[#This Row],[Kuantitas]]-表1[[#This Row],[Satuan]])</f>
        <v/>
      </c>
      <c r="H962" s="28"/>
      <c r="I962" s="25" t="str">
        <f>IF(表1[[#This Row],[Tgl NPBG]]&gt;表1[[#This Row],[Peminta]],表1[[#This Row],[Tgl NPBG]]-表1[[#This Row],[Peminta]],"")</f>
        <v/>
      </c>
      <c r="J962" s="31"/>
    </row>
    <row r="963" s="12" customFormat="1" customHeight="1" spans="2:10">
      <c r="B963" s="25"/>
      <c r="C963" s="25"/>
      <c r="D963" s="26" t="str" cm="1">
        <f t="array" ref="D963">IF(C963="","",IFERROR(INDEX(STPP!$D$6:$D$4207,MATCH(C963,STPP!$C$6:$C$4207,0)),"Not Found"))</f>
        <v/>
      </c>
      <c r="E963" s="27" t="str" cm="1">
        <f t="array" ref="E963">IF(C963="","",IFERROR(INDEX(STPP!$E$6:$E$4207,MATCH(C963,STPP!$C$6:$C$4207,0)),"Not Found"))</f>
        <v/>
      </c>
      <c r="F963" s="27" t="str" cm="1">
        <f t="array" ref="F963">IF(C963="","",IFERROR(INDEX(STPP!$F$6:$F$4207,MATCH(C963,STPP!$C$6:$C$4207,0)),"Not Found"))</f>
        <v/>
      </c>
      <c r="G963" s="25" t="str">
        <f>IF(表1[[#This Row],[No Seri]]="","",表1[[#This Row],[Deskripsi Barang]]+表1[[#This Row],[Kuantitas]]-表1[[#This Row],[Satuan]])</f>
        <v/>
      </c>
      <c r="H963" s="28"/>
      <c r="I963" s="25" t="str">
        <f>IF(表1[[#This Row],[Tgl NPBG]]&gt;表1[[#This Row],[Peminta]],表1[[#This Row],[Tgl NPBG]]-表1[[#This Row],[Peminta]],"")</f>
        <v/>
      </c>
      <c r="J963" s="31"/>
    </row>
    <row r="964" s="12" customFormat="1" customHeight="1" spans="2:10">
      <c r="B964" s="25"/>
      <c r="C964" s="25"/>
      <c r="D964" s="26" t="str" cm="1">
        <f t="array" ref="D964">IF(C964="","",IFERROR(INDEX(STPP!$D$6:$D$4207,MATCH(C964,STPP!$C$6:$C$4207,0)),"Not Found"))</f>
        <v/>
      </c>
      <c r="E964" s="27" t="str" cm="1">
        <f t="array" ref="E964">IF(C964="","",IFERROR(INDEX(STPP!$E$6:$E$4207,MATCH(C964,STPP!$C$6:$C$4207,0)),"Not Found"))</f>
        <v/>
      </c>
      <c r="F964" s="27" t="str" cm="1">
        <f t="array" ref="F964">IF(C964="","",IFERROR(INDEX(STPP!$F$6:$F$4207,MATCH(C964,STPP!$C$6:$C$4207,0)),"Not Found"))</f>
        <v/>
      </c>
      <c r="G964" s="25" t="str">
        <f>IF(表1[[#This Row],[No Seri]]="","",表1[[#This Row],[Deskripsi Barang]]+表1[[#This Row],[Kuantitas]]-表1[[#This Row],[Satuan]])</f>
        <v/>
      </c>
      <c r="H964" s="28"/>
      <c r="I964" s="25" t="str">
        <f>IF(表1[[#This Row],[Tgl NPBG]]&gt;表1[[#This Row],[Peminta]],表1[[#This Row],[Tgl NPBG]]-表1[[#This Row],[Peminta]],"")</f>
        <v/>
      </c>
      <c r="J964" s="31"/>
    </row>
    <row r="965" s="12" customFormat="1" customHeight="1" spans="2:10">
      <c r="B965" s="25"/>
      <c r="C965" s="25"/>
      <c r="D965" s="26" t="str" cm="1">
        <f t="array" ref="D965">IF(C965="","",IFERROR(INDEX(STPP!$D$6:$D$4207,MATCH(C965,STPP!$C$6:$C$4207,0)),"Not Found"))</f>
        <v/>
      </c>
      <c r="E965" s="27" t="str" cm="1">
        <f t="array" ref="E965">IF(C965="","",IFERROR(INDEX(STPP!$E$6:$E$4207,MATCH(C965,STPP!$C$6:$C$4207,0)),"Not Found"))</f>
        <v/>
      </c>
      <c r="F965" s="27" t="str" cm="1">
        <f t="array" ref="F965">IF(C965="","",IFERROR(INDEX(STPP!$F$6:$F$4207,MATCH(C965,STPP!$C$6:$C$4207,0)),"Not Found"))</f>
        <v/>
      </c>
      <c r="G965" s="25" t="str">
        <f>IF(表1[[#This Row],[No Seri]]="","",表1[[#This Row],[Deskripsi Barang]]+表1[[#This Row],[Kuantitas]]-表1[[#This Row],[Satuan]])</f>
        <v/>
      </c>
      <c r="H965" s="28"/>
      <c r="I965" s="25" t="str">
        <f>IF(表1[[#This Row],[Tgl NPBG]]&gt;表1[[#This Row],[Peminta]],表1[[#This Row],[Tgl NPBG]]-表1[[#This Row],[Peminta]],"")</f>
        <v/>
      </c>
      <c r="J965" s="31"/>
    </row>
    <row r="966" s="12" customFormat="1" customHeight="1" spans="2:10">
      <c r="B966" s="25"/>
      <c r="C966" s="25"/>
      <c r="D966" s="26" t="str" cm="1">
        <f t="array" ref="D966">IF(C966="","",IFERROR(INDEX(STPP!$D$6:$D$4207,MATCH(C966,STPP!$C$6:$C$4207,0)),"Not Found"))</f>
        <v/>
      </c>
      <c r="E966" s="27" t="str" cm="1">
        <f t="array" ref="E966">IF(C966="","",IFERROR(INDEX(STPP!$E$6:$E$4207,MATCH(C966,STPP!$C$6:$C$4207,0)),"Not Found"))</f>
        <v/>
      </c>
      <c r="F966" s="27" t="str" cm="1">
        <f t="array" ref="F966">IF(C966="","",IFERROR(INDEX(STPP!$F$6:$F$4207,MATCH(C966,STPP!$C$6:$C$4207,0)),"Not Found"))</f>
        <v/>
      </c>
      <c r="G966" s="25" t="str">
        <f>IF(表1[[#This Row],[No Seri]]="","",表1[[#This Row],[Deskripsi Barang]]+表1[[#This Row],[Kuantitas]]-表1[[#This Row],[Satuan]])</f>
        <v/>
      </c>
      <c r="H966" s="28"/>
      <c r="I966" s="25" t="str">
        <f>IF(表1[[#This Row],[Tgl NPBG]]&gt;表1[[#This Row],[Peminta]],表1[[#This Row],[Tgl NPBG]]-表1[[#This Row],[Peminta]],"")</f>
        <v/>
      </c>
      <c r="J966" s="31"/>
    </row>
    <row r="967" s="12" customFormat="1" customHeight="1" spans="2:10">
      <c r="B967" s="25"/>
      <c r="C967" s="25"/>
      <c r="D967" s="26" t="str" cm="1">
        <f t="array" ref="D967">IF(C967="","",IFERROR(INDEX(STPP!$D$6:$D$4207,MATCH(C967,STPP!$C$6:$C$4207,0)),"Not Found"))</f>
        <v/>
      </c>
      <c r="E967" s="27" t="str" cm="1">
        <f t="array" ref="E967">IF(C967="","",IFERROR(INDEX(STPP!$E$6:$E$4207,MATCH(C967,STPP!$C$6:$C$4207,0)),"Not Found"))</f>
        <v/>
      </c>
      <c r="F967" s="27" t="str" cm="1">
        <f t="array" ref="F967">IF(C967="","",IFERROR(INDEX(STPP!$F$6:$F$4207,MATCH(C967,STPP!$C$6:$C$4207,0)),"Not Found"))</f>
        <v/>
      </c>
      <c r="G967" s="25" t="str">
        <f>IF(表1[[#This Row],[No Seri]]="","",表1[[#This Row],[Deskripsi Barang]]+表1[[#This Row],[Kuantitas]]-表1[[#This Row],[Satuan]])</f>
        <v/>
      </c>
      <c r="H967" s="28"/>
      <c r="I967" s="25" t="str">
        <f>IF(表1[[#This Row],[Tgl NPBG]]&gt;表1[[#This Row],[Peminta]],表1[[#This Row],[Tgl NPBG]]-表1[[#This Row],[Peminta]],"")</f>
        <v/>
      </c>
      <c r="J967" s="31"/>
    </row>
    <row r="968" s="12" customFormat="1" customHeight="1" spans="2:10">
      <c r="B968" s="25"/>
      <c r="C968" s="25"/>
      <c r="D968" s="26" t="str" cm="1">
        <f t="array" ref="D968">IF(C968="","",IFERROR(INDEX(STPP!$D$6:$D$4207,MATCH(C968,STPP!$C$6:$C$4207,0)),"Not Found"))</f>
        <v/>
      </c>
      <c r="E968" s="27" t="str" cm="1">
        <f t="array" ref="E968">IF(C968="","",IFERROR(INDEX(STPP!$E$6:$E$4207,MATCH(C968,STPP!$C$6:$C$4207,0)),"Not Found"))</f>
        <v/>
      </c>
      <c r="F968" s="27" t="str" cm="1">
        <f t="array" ref="F968">IF(C968="","",IFERROR(INDEX(STPP!$F$6:$F$4207,MATCH(C968,STPP!$C$6:$C$4207,0)),"Not Found"))</f>
        <v/>
      </c>
      <c r="G968" s="25" t="str">
        <f>IF(表1[[#This Row],[No Seri]]="","",表1[[#This Row],[Deskripsi Barang]]+表1[[#This Row],[Kuantitas]]-表1[[#This Row],[Satuan]])</f>
        <v/>
      </c>
      <c r="H968" s="28"/>
      <c r="I968" s="25" t="str">
        <f>IF(表1[[#This Row],[Tgl NPBG]]&gt;表1[[#This Row],[Peminta]],表1[[#This Row],[Tgl NPBG]]-表1[[#This Row],[Peminta]],"")</f>
        <v/>
      </c>
      <c r="J968" s="31"/>
    </row>
    <row r="969" s="12" customFormat="1" customHeight="1" spans="2:10">
      <c r="B969" s="25"/>
      <c r="C969" s="25"/>
      <c r="D969" s="26" t="str" cm="1">
        <f t="array" ref="D969">IF(C969="","",IFERROR(INDEX(STPP!$D$6:$D$4207,MATCH(C969,STPP!$C$6:$C$4207,0)),"Not Found"))</f>
        <v/>
      </c>
      <c r="E969" s="27" t="str" cm="1">
        <f t="array" ref="E969">IF(C969="","",IFERROR(INDEX(STPP!$E$6:$E$4207,MATCH(C969,STPP!$C$6:$C$4207,0)),"Not Found"))</f>
        <v/>
      </c>
      <c r="F969" s="27" t="str" cm="1">
        <f t="array" ref="F969">IF(C969="","",IFERROR(INDEX(STPP!$F$6:$F$4207,MATCH(C969,STPP!$C$6:$C$4207,0)),"Not Found"))</f>
        <v/>
      </c>
      <c r="G969" s="25" t="str">
        <f>IF(表1[[#This Row],[No Seri]]="","",表1[[#This Row],[Deskripsi Barang]]+表1[[#This Row],[Kuantitas]]-表1[[#This Row],[Satuan]])</f>
        <v/>
      </c>
      <c r="H969" s="28"/>
      <c r="I969" s="25" t="str">
        <f>IF(表1[[#This Row],[Tgl NPBG]]&gt;表1[[#This Row],[Peminta]],表1[[#This Row],[Tgl NPBG]]-表1[[#This Row],[Peminta]],"")</f>
        <v/>
      </c>
      <c r="J969" s="31"/>
    </row>
    <row r="970" s="12" customFormat="1" customHeight="1" spans="2:10">
      <c r="B970" s="25"/>
      <c r="C970" s="25"/>
      <c r="D970" s="26" t="str" cm="1">
        <f t="array" ref="D970">IF(C970="","",IFERROR(INDEX(STPP!$D$6:$D$4207,MATCH(C970,STPP!$C$6:$C$4207,0)),"Not Found"))</f>
        <v/>
      </c>
      <c r="E970" s="27" t="str" cm="1">
        <f t="array" ref="E970">IF(C970="","",IFERROR(INDEX(STPP!$E$6:$E$4207,MATCH(C970,STPP!$C$6:$C$4207,0)),"Not Found"))</f>
        <v/>
      </c>
      <c r="F970" s="27" t="str" cm="1">
        <f t="array" ref="F970">IF(C970="","",IFERROR(INDEX(STPP!$F$6:$F$4207,MATCH(C970,STPP!$C$6:$C$4207,0)),"Not Found"))</f>
        <v/>
      </c>
      <c r="G970" s="25" t="str">
        <f>IF(表1[[#This Row],[No Seri]]="","",表1[[#This Row],[Deskripsi Barang]]+表1[[#This Row],[Kuantitas]]-表1[[#This Row],[Satuan]])</f>
        <v/>
      </c>
      <c r="H970" s="28"/>
      <c r="I970" s="25" t="str">
        <f>IF(表1[[#This Row],[Tgl NPBG]]&gt;表1[[#This Row],[Peminta]],表1[[#This Row],[Tgl NPBG]]-表1[[#This Row],[Peminta]],"")</f>
        <v/>
      </c>
      <c r="J970" s="31"/>
    </row>
    <row r="971" s="12" customFormat="1" customHeight="1" spans="2:10">
      <c r="B971" s="25"/>
      <c r="C971" s="25"/>
      <c r="D971" s="26" t="str" cm="1">
        <f t="array" ref="D971">IF(C971="","",IFERROR(INDEX(STPP!$D$6:$D$4207,MATCH(C971,STPP!$C$6:$C$4207,0)),"Not Found"))</f>
        <v/>
      </c>
      <c r="E971" s="27" t="str" cm="1">
        <f t="array" ref="E971">IF(C971="","",IFERROR(INDEX(STPP!$E$6:$E$4207,MATCH(C971,STPP!$C$6:$C$4207,0)),"Not Found"))</f>
        <v/>
      </c>
      <c r="F971" s="27" t="str" cm="1">
        <f t="array" ref="F971">IF(C971="","",IFERROR(INDEX(STPP!$F$6:$F$4207,MATCH(C971,STPP!$C$6:$C$4207,0)),"Not Found"))</f>
        <v/>
      </c>
      <c r="G971" s="25" t="str">
        <f>IF(表1[[#This Row],[No Seri]]="","",表1[[#This Row],[Deskripsi Barang]]+表1[[#This Row],[Kuantitas]]-表1[[#This Row],[Satuan]])</f>
        <v/>
      </c>
      <c r="H971" s="28"/>
      <c r="I971" s="25" t="str">
        <f>IF(表1[[#This Row],[Tgl NPBG]]&gt;表1[[#This Row],[Peminta]],表1[[#This Row],[Tgl NPBG]]-表1[[#This Row],[Peminta]],"")</f>
        <v/>
      </c>
      <c r="J971" s="31"/>
    </row>
    <row r="972" s="12" customFormat="1" customHeight="1" spans="2:10">
      <c r="B972" s="25"/>
      <c r="C972" s="25"/>
      <c r="D972" s="26" t="str" cm="1">
        <f t="array" ref="D972">IF(C972="","",IFERROR(INDEX(STPP!$D$6:$D$4207,MATCH(C972,STPP!$C$6:$C$4207,0)),"Not Found"))</f>
        <v/>
      </c>
      <c r="E972" s="27" t="str" cm="1">
        <f t="array" ref="E972">IF(C972="","",IFERROR(INDEX(STPP!$E$6:$E$4207,MATCH(C972,STPP!$C$6:$C$4207,0)),"Not Found"))</f>
        <v/>
      </c>
      <c r="F972" s="27" t="str" cm="1">
        <f t="array" ref="F972">IF(C972="","",IFERROR(INDEX(STPP!$F$6:$F$4207,MATCH(C972,STPP!$C$6:$C$4207,0)),"Not Found"))</f>
        <v/>
      </c>
      <c r="G972" s="25" t="str">
        <f>IF(表1[[#This Row],[No Seri]]="","",表1[[#This Row],[Deskripsi Barang]]+表1[[#This Row],[Kuantitas]]-表1[[#This Row],[Satuan]])</f>
        <v/>
      </c>
      <c r="H972" s="28"/>
      <c r="I972" s="25" t="str">
        <f>IF(表1[[#This Row],[Tgl NPBG]]&gt;表1[[#This Row],[Peminta]],表1[[#This Row],[Tgl NPBG]]-表1[[#This Row],[Peminta]],"")</f>
        <v/>
      </c>
      <c r="J972" s="31"/>
    </row>
    <row r="973" s="12" customFormat="1" customHeight="1" spans="2:10">
      <c r="B973" s="25"/>
      <c r="C973" s="25"/>
      <c r="D973" s="26" t="str" cm="1">
        <f t="array" ref="D973">IF(C973="","",IFERROR(INDEX(STPP!$D$6:$D$4207,MATCH(C973,STPP!$C$6:$C$4207,0)),"Not Found"))</f>
        <v/>
      </c>
      <c r="E973" s="27" t="str" cm="1">
        <f t="array" ref="E973">IF(C973="","",IFERROR(INDEX(STPP!$E$6:$E$4207,MATCH(C973,STPP!$C$6:$C$4207,0)),"Not Found"))</f>
        <v/>
      </c>
      <c r="F973" s="27" t="str" cm="1">
        <f t="array" ref="F973">IF(C973="","",IFERROR(INDEX(STPP!$F$6:$F$4207,MATCH(C973,STPP!$C$6:$C$4207,0)),"Not Found"))</f>
        <v/>
      </c>
      <c r="G973" s="25" t="str">
        <f>IF(表1[[#This Row],[No Seri]]="","",表1[[#This Row],[Deskripsi Barang]]+表1[[#This Row],[Kuantitas]]-表1[[#This Row],[Satuan]])</f>
        <v/>
      </c>
      <c r="H973" s="28"/>
      <c r="I973" s="25" t="str">
        <f>IF(表1[[#This Row],[Tgl NPBG]]&gt;表1[[#This Row],[Peminta]],表1[[#This Row],[Tgl NPBG]]-表1[[#This Row],[Peminta]],"")</f>
        <v/>
      </c>
      <c r="J973" s="31"/>
    </row>
    <row r="974" s="12" customFormat="1" customHeight="1" spans="2:10">
      <c r="B974" s="25"/>
      <c r="C974" s="25"/>
      <c r="D974" s="26" t="str" cm="1">
        <f t="array" ref="D974">IF(C974="","",IFERROR(INDEX(STPP!$D$6:$D$4207,MATCH(C974,STPP!$C$6:$C$4207,0)),"Not Found"))</f>
        <v/>
      </c>
      <c r="E974" s="27" t="str" cm="1">
        <f t="array" ref="E974">IF(C974="","",IFERROR(INDEX(STPP!$E$6:$E$4207,MATCH(C974,STPP!$C$6:$C$4207,0)),"Not Found"))</f>
        <v/>
      </c>
      <c r="F974" s="27" t="str" cm="1">
        <f t="array" ref="F974">IF(C974="","",IFERROR(INDEX(STPP!$F$6:$F$4207,MATCH(C974,STPP!$C$6:$C$4207,0)),"Not Found"))</f>
        <v/>
      </c>
      <c r="G974" s="25" t="str">
        <f>IF(表1[[#This Row],[No Seri]]="","",表1[[#This Row],[Deskripsi Barang]]+表1[[#This Row],[Kuantitas]]-表1[[#This Row],[Satuan]])</f>
        <v/>
      </c>
      <c r="H974" s="28"/>
      <c r="I974" s="25" t="str">
        <f>IF(表1[[#This Row],[Tgl NPBG]]&gt;表1[[#This Row],[Peminta]],表1[[#This Row],[Tgl NPBG]]-表1[[#This Row],[Peminta]],"")</f>
        <v/>
      </c>
      <c r="J974" s="31"/>
    </row>
    <row r="975" s="12" customFormat="1" customHeight="1" spans="2:10">
      <c r="B975" s="25"/>
      <c r="C975" s="25"/>
      <c r="D975" s="26" t="str" cm="1">
        <f t="array" ref="D975">IF(C975="","",IFERROR(INDEX(STPP!$D$6:$D$4207,MATCH(C975,STPP!$C$6:$C$4207,0)),"Not Found"))</f>
        <v/>
      </c>
      <c r="E975" s="27" t="str" cm="1">
        <f t="array" ref="E975">IF(C975="","",IFERROR(INDEX(STPP!$E$6:$E$4207,MATCH(C975,STPP!$C$6:$C$4207,0)),"Not Found"))</f>
        <v/>
      </c>
      <c r="F975" s="27" t="str" cm="1">
        <f t="array" ref="F975">IF(C975="","",IFERROR(INDEX(STPP!$F$6:$F$4207,MATCH(C975,STPP!$C$6:$C$4207,0)),"Not Found"))</f>
        <v/>
      </c>
      <c r="G975" s="25" t="str">
        <f>IF(表1[[#This Row],[No Seri]]="","",表1[[#This Row],[Deskripsi Barang]]+表1[[#This Row],[Kuantitas]]-表1[[#This Row],[Satuan]])</f>
        <v/>
      </c>
      <c r="H975" s="28"/>
      <c r="I975" s="25" t="str">
        <f>IF(表1[[#This Row],[Tgl NPBG]]&gt;表1[[#This Row],[Peminta]],表1[[#This Row],[Tgl NPBG]]-表1[[#This Row],[Peminta]],"")</f>
        <v/>
      </c>
      <c r="J975" s="31"/>
    </row>
    <row r="976" s="12" customFormat="1" customHeight="1" spans="2:10">
      <c r="B976" s="25"/>
      <c r="C976" s="25"/>
      <c r="D976" s="26" t="str" cm="1">
        <f t="array" ref="D976">IF(C976="","",IFERROR(INDEX(STPP!$D$6:$D$4207,MATCH(C976,STPP!$C$6:$C$4207,0)),"Not Found"))</f>
        <v/>
      </c>
      <c r="E976" s="27" t="str" cm="1">
        <f t="array" ref="E976">IF(C976="","",IFERROR(INDEX(STPP!$E$6:$E$4207,MATCH(C976,STPP!$C$6:$C$4207,0)),"Not Found"))</f>
        <v/>
      </c>
      <c r="F976" s="27" t="str" cm="1">
        <f t="array" ref="F976">IF(C976="","",IFERROR(INDEX(STPP!$F$6:$F$4207,MATCH(C976,STPP!$C$6:$C$4207,0)),"Not Found"))</f>
        <v/>
      </c>
      <c r="G976" s="25" t="str">
        <f>IF(表1[[#This Row],[No Seri]]="","",表1[[#This Row],[Deskripsi Barang]]+表1[[#This Row],[Kuantitas]]-表1[[#This Row],[Satuan]])</f>
        <v/>
      </c>
      <c r="H976" s="28"/>
      <c r="I976" s="25" t="str">
        <f>IF(表1[[#This Row],[Tgl NPBG]]&gt;表1[[#This Row],[Peminta]],表1[[#This Row],[Tgl NPBG]]-表1[[#This Row],[Peminta]],"")</f>
        <v/>
      </c>
      <c r="J976" s="31"/>
    </row>
    <row r="977" s="12" customFormat="1" customHeight="1" spans="2:10">
      <c r="B977" s="25"/>
      <c r="C977" s="25"/>
      <c r="D977" s="26" t="str" cm="1">
        <f t="array" ref="D977">IF(C977="","",IFERROR(INDEX(STPP!$D$6:$D$4207,MATCH(C977,STPP!$C$6:$C$4207,0)),"Not Found"))</f>
        <v/>
      </c>
      <c r="E977" s="27" t="str" cm="1">
        <f t="array" ref="E977">IF(C977="","",IFERROR(INDEX(STPP!$E$6:$E$4207,MATCH(C977,STPP!$C$6:$C$4207,0)),"Not Found"))</f>
        <v/>
      </c>
      <c r="F977" s="27" t="str" cm="1">
        <f t="array" ref="F977">IF(C977="","",IFERROR(INDEX(STPP!$F$6:$F$4207,MATCH(C977,STPP!$C$6:$C$4207,0)),"Not Found"))</f>
        <v/>
      </c>
      <c r="G977" s="25" t="str">
        <f>IF(表1[[#This Row],[No Seri]]="","",表1[[#This Row],[Deskripsi Barang]]+表1[[#This Row],[Kuantitas]]-表1[[#This Row],[Satuan]])</f>
        <v/>
      </c>
      <c r="H977" s="28"/>
      <c r="I977" s="25" t="str">
        <f>IF(表1[[#This Row],[Tgl NPBG]]&gt;表1[[#This Row],[Peminta]],表1[[#This Row],[Tgl NPBG]]-表1[[#This Row],[Peminta]],"")</f>
        <v/>
      </c>
      <c r="J977" s="31"/>
    </row>
    <row r="978" s="12" customFormat="1" customHeight="1" spans="2:10">
      <c r="B978" s="25"/>
      <c r="C978" s="25"/>
      <c r="D978" s="26" t="str" cm="1">
        <f t="array" ref="D978">IF(C978="","",IFERROR(INDEX(STPP!$D$6:$D$4207,MATCH(C978,STPP!$C$6:$C$4207,0)),"Not Found"))</f>
        <v/>
      </c>
      <c r="E978" s="27" t="str" cm="1">
        <f t="array" ref="E978">IF(C978="","",IFERROR(INDEX(STPP!$E$6:$E$4207,MATCH(C978,STPP!$C$6:$C$4207,0)),"Not Found"))</f>
        <v/>
      </c>
      <c r="F978" s="27" t="str" cm="1">
        <f t="array" ref="F978">IF(C978="","",IFERROR(INDEX(STPP!$F$6:$F$4207,MATCH(C978,STPP!$C$6:$C$4207,0)),"Not Found"))</f>
        <v/>
      </c>
      <c r="G978" s="25" t="str">
        <f>IF(表1[[#This Row],[No Seri]]="","",表1[[#This Row],[Deskripsi Barang]]+表1[[#This Row],[Kuantitas]]-表1[[#This Row],[Satuan]])</f>
        <v/>
      </c>
      <c r="H978" s="28"/>
      <c r="I978" s="25" t="str">
        <f>IF(表1[[#This Row],[Tgl NPBG]]&gt;表1[[#This Row],[Peminta]],表1[[#This Row],[Tgl NPBG]]-表1[[#This Row],[Peminta]],"")</f>
        <v/>
      </c>
      <c r="J978" s="31"/>
    </row>
    <row r="979" s="12" customFormat="1" customHeight="1" spans="2:10">
      <c r="B979" s="25"/>
      <c r="C979" s="25"/>
      <c r="D979" s="26" t="str" cm="1">
        <f t="array" ref="D979">IF(C979="","",IFERROR(INDEX(STPP!$D$6:$D$4207,MATCH(C979,STPP!$C$6:$C$4207,0)),"Not Found"))</f>
        <v/>
      </c>
      <c r="E979" s="27" t="str" cm="1">
        <f t="array" ref="E979">IF(C979="","",IFERROR(INDEX(STPP!$E$6:$E$4207,MATCH(C979,STPP!$C$6:$C$4207,0)),"Not Found"))</f>
        <v/>
      </c>
      <c r="F979" s="27" t="str" cm="1">
        <f t="array" ref="F979">IF(C979="","",IFERROR(INDEX(STPP!$F$6:$F$4207,MATCH(C979,STPP!$C$6:$C$4207,0)),"Not Found"))</f>
        <v/>
      </c>
      <c r="G979" s="25" t="str">
        <f>IF(表1[[#This Row],[No Seri]]="","",表1[[#This Row],[Deskripsi Barang]]+表1[[#This Row],[Kuantitas]]-表1[[#This Row],[Satuan]])</f>
        <v/>
      </c>
      <c r="H979" s="28"/>
      <c r="I979" s="25" t="str">
        <f>IF(表1[[#This Row],[Tgl NPBG]]&gt;表1[[#This Row],[Peminta]],表1[[#This Row],[Tgl NPBG]]-表1[[#This Row],[Peminta]],"")</f>
        <v/>
      </c>
      <c r="J979" s="31"/>
    </row>
    <row r="980" s="12" customFormat="1" customHeight="1" spans="2:10">
      <c r="B980" s="25"/>
      <c r="C980" s="25"/>
      <c r="D980" s="26" t="str" cm="1">
        <f t="array" ref="D980">IF(C980="","",IFERROR(INDEX(STPP!$D$6:$D$4207,MATCH(C980,STPP!$C$6:$C$4207,0)),"Not Found"))</f>
        <v/>
      </c>
      <c r="E980" s="27" t="str" cm="1">
        <f t="array" ref="E980">IF(C980="","",IFERROR(INDEX(STPP!$E$6:$E$4207,MATCH(C980,STPP!$C$6:$C$4207,0)),"Not Found"))</f>
        <v/>
      </c>
      <c r="F980" s="27" t="str" cm="1">
        <f t="array" ref="F980">IF(C980="","",IFERROR(INDEX(STPP!$F$6:$F$4207,MATCH(C980,STPP!$C$6:$C$4207,0)),"Not Found"))</f>
        <v/>
      </c>
      <c r="G980" s="25" t="str">
        <f>IF(表1[[#This Row],[No Seri]]="","",表1[[#This Row],[Deskripsi Barang]]+表1[[#This Row],[Kuantitas]]-表1[[#This Row],[Satuan]])</f>
        <v/>
      </c>
      <c r="H980" s="28"/>
      <c r="I980" s="25" t="str">
        <f>IF(表1[[#This Row],[Tgl NPBG]]&gt;表1[[#This Row],[Peminta]],表1[[#This Row],[Tgl NPBG]]-表1[[#This Row],[Peminta]],"")</f>
        <v/>
      </c>
      <c r="J980" s="31"/>
    </row>
    <row r="981" s="12" customFormat="1" customHeight="1" spans="2:10">
      <c r="B981" s="25"/>
      <c r="C981" s="25"/>
      <c r="D981" s="26" t="str" cm="1">
        <f t="array" ref="D981">IF(C981="","",IFERROR(INDEX(STPP!$D$6:$D$4207,MATCH(C981,STPP!$C$6:$C$4207,0)),"Not Found"))</f>
        <v/>
      </c>
      <c r="E981" s="27" t="str" cm="1">
        <f t="array" ref="E981">IF(C981="","",IFERROR(INDEX(STPP!$E$6:$E$4207,MATCH(C981,STPP!$C$6:$C$4207,0)),"Not Found"))</f>
        <v/>
      </c>
      <c r="F981" s="27" t="str" cm="1">
        <f t="array" ref="F981">IF(C981="","",IFERROR(INDEX(STPP!$F$6:$F$4207,MATCH(C981,STPP!$C$6:$C$4207,0)),"Not Found"))</f>
        <v/>
      </c>
      <c r="G981" s="25" t="str">
        <f>IF(表1[[#This Row],[No Seri]]="","",表1[[#This Row],[Deskripsi Barang]]+表1[[#This Row],[Kuantitas]]-表1[[#This Row],[Satuan]])</f>
        <v/>
      </c>
      <c r="H981" s="28"/>
      <c r="I981" s="25" t="str">
        <f>IF(表1[[#This Row],[Tgl NPBG]]&gt;表1[[#This Row],[Peminta]],表1[[#This Row],[Tgl NPBG]]-表1[[#This Row],[Peminta]],"")</f>
        <v/>
      </c>
      <c r="J981" s="31"/>
    </row>
    <row r="982" s="12" customFormat="1" customHeight="1" spans="2:10">
      <c r="B982" s="25"/>
      <c r="C982" s="25"/>
      <c r="D982" s="26" t="str" cm="1">
        <f t="array" ref="D982">IF(C982="","",IFERROR(INDEX(STPP!$D$6:$D$4207,MATCH(C982,STPP!$C$6:$C$4207,0)),"Not Found"))</f>
        <v/>
      </c>
      <c r="E982" s="27" t="str" cm="1">
        <f t="array" ref="E982">IF(C982="","",IFERROR(INDEX(STPP!$E$6:$E$4207,MATCH(C982,STPP!$C$6:$C$4207,0)),"Not Found"))</f>
        <v/>
      </c>
      <c r="F982" s="27" t="str" cm="1">
        <f t="array" ref="F982">IF(C982="","",IFERROR(INDEX(STPP!$F$6:$F$4207,MATCH(C982,STPP!$C$6:$C$4207,0)),"Not Found"))</f>
        <v/>
      </c>
      <c r="G982" s="25" t="str">
        <f>IF(表1[[#This Row],[No Seri]]="","",表1[[#This Row],[Deskripsi Barang]]+表1[[#This Row],[Kuantitas]]-表1[[#This Row],[Satuan]])</f>
        <v/>
      </c>
      <c r="H982" s="28"/>
      <c r="I982" s="25" t="str">
        <f>IF(表1[[#This Row],[Tgl NPBG]]&gt;表1[[#This Row],[Peminta]],表1[[#This Row],[Tgl NPBG]]-表1[[#This Row],[Peminta]],"")</f>
        <v/>
      </c>
      <c r="J982" s="31"/>
    </row>
    <row r="983" s="12" customFormat="1" customHeight="1" spans="2:10">
      <c r="B983" s="25"/>
      <c r="C983" s="25"/>
      <c r="D983" s="26" t="str" cm="1">
        <f t="array" ref="D983">IF(C983="","",IFERROR(INDEX(STPP!$D$6:$D$4207,MATCH(C983,STPP!$C$6:$C$4207,0)),"Not Found"))</f>
        <v/>
      </c>
      <c r="E983" s="27" t="str" cm="1">
        <f t="array" ref="E983">IF(C983="","",IFERROR(INDEX(STPP!$E$6:$E$4207,MATCH(C983,STPP!$C$6:$C$4207,0)),"Not Found"))</f>
        <v/>
      </c>
      <c r="F983" s="27" t="str" cm="1">
        <f t="array" ref="F983">IF(C983="","",IFERROR(INDEX(STPP!$F$6:$F$4207,MATCH(C983,STPP!$C$6:$C$4207,0)),"Not Found"))</f>
        <v/>
      </c>
      <c r="G983" s="25" t="str">
        <f>IF(表1[[#This Row],[No Seri]]="","",表1[[#This Row],[Deskripsi Barang]]+表1[[#This Row],[Kuantitas]]-表1[[#This Row],[Satuan]])</f>
        <v/>
      </c>
      <c r="H983" s="28"/>
      <c r="I983" s="25" t="str">
        <f>IF(表1[[#This Row],[Tgl NPBG]]&gt;表1[[#This Row],[Peminta]],表1[[#This Row],[Tgl NPBG]]-表1[[#This Row],[Peminta]],"")</f>
        <v/>
      </c>
      <c r="J983" s="31"/>
    </row>
    <row r="984" s="12" customFormat="1" customHeight="1" spans="2:10">
      <c r="B984" s="25"/>
      <c r="C984" s="25"/>
      <c r="D984" s="26" t="str" cm="1">
        <f t="array" ref="D984">IF(C984="","",IFERROR(INDEX(STPP!$D$6:$D$4207,MATCH(C984,STPP!$C$6:$C$4207,0)),"Not Found"))</f>
        <v/>
      </c>
      <c r="E984" s="27" t="str" cm="1">
        <f t="array" ref="E984">IF(C984="","",IFERROR(INDEX(STPP!$E$6:$E$4207,MATCH(C984,STPP!$C$6:$C$4207,0)),"Not Found"))</f>
        <v/>
      </c>
      <c r="F984" s="27" t="str" cm="1">
        <f t="array" ref="F984">IF(C984="","",IFERROR(INDEX(STPP!$F$6:$F$4207,MATCH(C984,STPP!$C$6:$C$4207,0)),"Not Found"))</f>
        <v/>
      </c>
      <c r="G984" s="25" t="str">
        <f>IF(表1[[#This Row],[No Seri]]="","",表1[[#This Row],[Deskripsi Barang]]+表1[[#This Row],[Kuantitas]]-表1[[#This Row],[Satuan]])</f>
        <v/>
      </c>
      <c r="H984" s="28"/>
      <c r="I984" s="25" t="str">
        <f>IF(表1[[#This Row],[Tgl NPBG]]&gt;表1[[#This Row],[Peminta]],表1[[#This Row],[Tgl NPBG]]-表1[[#This Row],[Peminta]],"")</f>
        <v/>
      </c>
      <c r="J984" s="31"/>
    </row>
    <row r="985" s="12" customFormat="1" customHeight="1" spans="2:10">
      <c r="B985" s="25"/>
      <c r="C985" s="25"/>
      <c r="D985" s="26" t="str" cm="1">
        <f t="array" ref="D985">IF(C985="","",IFERROR(INDEX(STPP!$D$6:$D$4207,MATCH(C985,STPP!$C$6:$C$4207,0)),"Not Found"))</f>
        <v/>
      </c>
      <c r="E985" s="27" t="str" cm="1">
        <f t="array" ref="E985">IF(C985="","",IFERROR(INDEX(STPP!$E$6:$E$4207,MATCH(C985,STPP!$C$6:$C$4207,0)),"Not Found"))</f>
        <v/>
      </c>
      <c r="F985" s="27" t="str" cm="1">
        <f t="array" ref="F985">IF(C985="","",IFERROR(INDEX(STPP!$F$6:$F$4207,MATCH(C985,STPP!$C$6:$C$4207,0)),"Not Found"))</f>
        <v/>
      </c>
      <c r="G985" s="25" t="str">
        <f>IF(表1[[#This Row],[No Seri]]="","",表1[[#This Row],[Deskripsi Barang]]+表1[[#This Row],[Kuantitas]]-表1[[#This Row],[Satuan]])</f>
        <v/>
      </c>
      <c r="H985" s="28"/>
      <c r="I985" s="25" t="str">
        <f>IF(表1[[#This Row],[Tgl NPBG]]&gt;表1[[#This Row],[Peminta]],表1[[#This Row],[Tgl NPBG]]-表1[[#This Row],[Peminta]],"")</f>
        <v/>
      </c>
      <c r="J985" s="31"/>
    </row>
    <row r="986" s="12" customFormat="1" customHeight="1" spans="2:10">
      <c r="B986" s="25"/>
      <c r="C986" s="25"/>
      <c r="D986" s="26" t="str" cm="1">
        <f t="array" ref="D986">IF(C986="","",IFERROR(INDEX(STPP!$D$6:$D$4207,MATCH(C986,STPP!$C$6:$C$4207,0)),"Not Found"))</f>
        <v/>
      </c>
      <c r="E986" s="27" t="str" cm="1">
        <f t="array" ref="E986">IF(C986="","",IFERROR(INDEX(STPP!$E$6:$E$4207,MATCH(C986,STPP!$C$6:$C$4207,0)),"Not Found"))</f>
        <v/>
      </c>
      <c r="F986" s="27" t="str" cm="1">
        <f t="array" ref="F986">IF(C986="","",IFERROR(INDEX(STPP!$F$6:$F$4207,MATCH(C986,STPP!$C$6:$C$4207,0)),"Not Found"))</f>
        <v/>
      </c>
      <c r="G986" s="25" t="str">
        <f>IF(表1[[#This Row],[No Seri]]="","",表1[[#This Row],[Deskripsi Barang]]+表1[[#This Row],[Kuantitas]]-表1[[#This Row],[Satuan]])</f>
        <v/>
      </c>
      <c r="H986" s="28"/>
      <c r="I986" s="25" t="str">
        <f>IF(表1[[#This Row],[Tgl NPBG]]&gt;表1[[#This Row],[Peminta]],表1[[#This Row],[Tgl NPBG]]-表1[[#This Row],[Peminta]],"")</f>
        <v/>
      </c>
      <c r="J986" s="31"/>
    </row>
    <row r="987" s="12" customFormat="1" customHeight="1" spans="2:10">
      <c r="B987" s="25"/>
      <c r="C987" s="25"/>
      <c r="D987" s="26" t="str" cm="1">
        <f t="array" ref="D987">IF(C987="","",IFERROR(INDEX(STPP!$D$6:$D$4207,MATCH(C987,STPP!$C$6:$C$4207,0)),"Not Found"))</f>
        <v/>
      </c>
      <c r="E987" s="27" t="str" cm="1">
        <f t="array" ref="E987">IF(C987="","",IFERROR(INDEX(STPP!$E$6:$E$4207,MATCH(C987,STPP!$C$6:$C$4207,0)),"Not Found"))</f>
        <v/>
      </c>
      <c r="F987" s="27" t="str" cm="1">
        <f t="array" ref="F987">IF(C987="","",IFERROR(INDEX(STPP!$F$6:$F$4207,MATCH(C987,STPP!$C$6:$C$4207,0)),"Not Found"))</f>
        <v/>
      </c>
      <c r="G987" s="25" t="str">
        <f>IF(表1[[#This Row],[No Seri]]="","",表1[[#This Row],[Deskripsi Barang]]+表1[[#This Row],[Kuantitas]]-表1[[#This Row],[Satuan]])</f>
        <v/>
      </c>
      <c r="H987" s="28"/>
      <c r="I987" s="25" t="str">
        <f>IF(表1[[#This Row],[Tgl NPBG]]&gt;表1[[#This Row],[Peminta]],表1[[#This Row],[Tgl NPBG]]-表1[[#This Row],[Peminta]],"")</f>
        <v/>
      </c>
      <c r="J987" s="31"/>
    </row>
    <row r="988" s="12" customFormat="1" customHeight="1" spans="2:10">
      <c r="B988" s="25"/>
      <c r="C988" s="25"/>
      <c r="D988" s="26" t="str" cm="1">
        <f t="array" ref="D988">IF(C988="","",IFERROR(INDEX(STPP!$D$6:$D$4207,MATCH(C988,STPP!$C$6:$C$4207,0)),"Not Found"))</f>
        <v/>
      </c>
      <c r="E988" s="27" t="str" cm="1">
        <f t="array" ref="E988">IF(C988="","",IFERROR(INDEX(STPP!$E$6:$E$4207,MATCH(C988,STPP!$C$6:$C$4207,0)),"Not Found"))</f>
        <v/>
      </c>
      <c r="F988" s="27" t="str" cm="1">
        <f t="array" ref="F988">IF(C988="","",IFERROR(INDEX(STPP!$F$6:$F$4207,MATCH(C988,STPP!$C$6:$C$4207,0)),"Not Found"))</f>
        <v/>
      </c>
      <c r="G988" s="25" t="str">
        <f>IF(表1[[#This Row],[No Seri]]="","",表1[[#This Row],[Deskripsi Barang]]+表1[[#This Row],[Kuantitas]]-表1[[#This Row],[Satuan]])</f>
        <v/>
      </c>
      <c r="H988" s="28"/>
      <c r="I988" s="25" t="str">
        <f>IF(表1[[#This Row],[Tgl NPBG]]&gt;表1[[#This Row],[Peminta]],表1[[#This Row],[Tgl NPBG]]-表1[[#This Row],[Peminta]],"")</f>
        <v/>
      </c>
      <c r="J988" s="31"/>
    </row>
    <row r="989" s="12" customFormat="1" customHeight="1" spans="2:10">
      <c r="B989" s="25"/>
      <c r="C989" s="25"/>
      <c r="D989" s="26" t="str" cm="1">
        <f t="array" ref="D989">IF(C989="","",IFERROR(INDEX(STPP!$D$6:$D$4207,MATCH(C989,STPP!$C$6:$C$4207,0)),"Not Found"))</f>
        <v/>
      </c>
      <c r="E989" s="27" t="str" cm="1">
        <f t="array" ref="E989">IF(C989="","",IFERROR(INDEX(STPP!$E$6:$E$4207,MATCH(C989,STPP!$C$6:$C$4207,0)),"Not Found"))</f>
        <v/>
      </c>
      <c r="F989" s="27" t="str" cm="1">
        <f t="array" ref="F989">IF(C989="","",IFERROR(INDEX(STPP!$F$6:$F$4207,MATCH(C989,STPP!$C$6:$C$4207,0)),"Not Found"))</f>
        <v/>
      </c>
      <c r="G989" s="25" t="str">
        <f>IF(表1[[#This Row],[No Seri]]="","",表1[[#This Row],[Deskripsi Barang]]+表1[[#This Row],[Kuantitas]]-表1[[#This Row],[Satuan]])</f>
        <v/>
      </c>
      <c r="H989" s="28"/>
      <c r="I989" s="25" t="str">
        <f>IF(表1[[#This Row],[Tgl NPBG]]&gt;表1[[#This Row],[Peminta]],表1[[#This Row],[Tgl NPBG]]-表1[[#This Row],[Peminta]],"")</f>
        <v/>
      </c>
      <c r="J989" s="31"/>
    </row>
    <row r="990" s="12" customFormat="1" customHeight="1" spans="2:10">
      <c r="B990" s="25"/>
      <c r="C990" s="25"/>
      <c r="D990" s="26" t="str" cm="1">
        <f t="array" ref="D990">IF(C990="","",IFERROR(INDEX(STPP!$D$6:$D$4207,MATCH(C990,STPP!$C$6:$C$4207,0)),"Not Found"))</f>
        <v/>
      </c>
      <c r="E990" s="27" t="str" cm="1">
        <f t="array" ref="E990">IF(C990="","",IFERROR(INDEX(STPP!$E$6:$E$4207,MATCH(C990,STPP!$C$6:$C$4207,0)),"Not Found"))</f>
        <v/>
      </c>
      <c r="F990" s="27" t="str" cm="1">
        <f t="array" ref="F990">IF(C990="","",IFERROR(INDEX(STPP!$F$6:$F$4207,MATCH(C990,STPP!$C$6:$C$4207,0)),"Not Found"))</f>
        <v/>
      </c>
      <c r="G990" s="25" t="str">
        <f>IF(表1[[#This Row],[No Seri]]="","",表1[[#This Row],[Deskripsi Barang]]+表1[[#This Row],[Kuantitas]]-表1[[#This Row],[Satuan]])</f>
        <v/>
      </c>
      <c r="H990" s="28"/>
      <c r="I990" s="25" t="str">
        <f>IF(表1[[#This Row],[Tgl NPBG]]&gt;表1[[#This Row],[Peminta]],表1[[#This Row],[Tgl NPBG]]-表1[[#This Row],[Peminta]],"")</f>
        <v/>
      </c>
      <c r="J990" s="31"/>
    </row>
    <row r="991" s="12" customFormat="1" customHeight="1" spans="2:10">
      <c r="B991" s="25"/>
      <c r="C991" s="25"/>
      <c r="D991" s="26" t="str" cm="1">
        <f t="array" ref="D991">IF(C991="","",IFERROR(INDEX(STPP!$D$6:$D$4207,MATCH(C991,STPP!$C$6:$C$4207,0)),"Not Found"))</f>
        <v/>
      </c>
      <c r="E991" s="27" t="str" cm="1">
        <f t="array" ref="E991">IF(C991="","",IFERROR(INDEX(STPP!$E$6:$E$4207,MATCH(C991,STPP!$C$6:$C$4207,0)),"Not Found"))</f>
        <v/>
      </c>
      <c r="F991" s="27" t="str" cm="1">
        <f t="array" ref="F991">IF(C991="","",IFERROR(INDEX(STPP!$F$6:$F$4207,MATCH(C991,STPP!$C$6:$C$4207,0)),"Not Found"))</f>
        <v/>
      </c>
      <c r="G991" s="25" t="str">
        <f>IF(表1[[#This Row],[No Seri]]="","",表1[[#This Row],[Deskripsi Barang]]+表1[[#This Row],[Kuantitas]]-表1[[#This Row],[Satuan]])</f>
        <v/>
      </c>
      <c r="H991" s="28"/>
      <c r="I991" s="25" t="str">
        <f>IF(表1[[#This Row],[Tgl NPBG]]&gt;表1[[#This Row],[Peminta]],表1[[#This Row],[Tgl NPBG]]-表1[[#This Row],[Peminta]],"")</f>
        <v/>
      </c>
      <c r="J991" s="31"/>
    </row>
    <row r="992" s="12" customFormat="1" customHeight="1" spans="2:10">
      <c r="B992" s="25"/>
      <c r="C992" s="25"/>
      <c r="D992" s="26" t="str" cm="1">
        <f t="array" ref="D992">IF(C992="","",IFERROR(INDEX(STPP!$D$6:$D$4207,MATCH(C992,STPP!$C$6:$C$4207,0)),"Not Found"))</f>
        <v/>
      </c>
      <c r="E992" s="27" t="str" cm="1">
        <f t="array" ref="E992">IF(C992="","",IFERROR(INDEX(STPP!$E$6:$E$4207,MATCH(C992,STPP!$C$6:$C$4207,0)),"Not Found"))</f>
        <v/>
      </c>
      <c r="F992" s="27" t="str" cm="1">
        <f t="array" ref="F992">IF(C992="","",IFERROR(INDEX(STPP!$F$6:$F$4207,MATCH(C992,STPP!$C$6:$C$4207,0)),"Not Found"))</f>
        <v/>
      </c>
      <c r="G992" s="25" t="str">
        <f>IF(表1[[#This Row],[No Seri]]="","",表1[[#This Row],[Deskripsi Barang]]+表1[[#This Row],[Kuantitas]]-表1[[#This Row],[Satuan]])</f>
        <v/>
      </c>
      <c r="H992" s="28"/>
      <c r="I992" s="25" t="str">
        <f>IF(表1[[#This Row],[Tgl NPBG]]&gt;表1[[#This Row],[Peminta]],表1[[#This Row],[Tgl NPBG]]-表1[[#This Row],[Peminta]],"")</f>
        <v/>
      </c>
      <c r="J992" s="31"/>
    </row>
    <row r="993" s="12" customFormat="1" customHeight="1" spans="2:10">
      <c r="B993" s="25"/>
      <c r="C993" s="25"/>
      <c r="D993" s="26" t="str" cm="1">
        <f t="array" ref="D993">IF(C993="","",IFERROR(INDEX(STPP!$D$6:$D$4207,MATCH(C993,STPP!$C$6:$C$4207,0)),"Not Found"))</f>
        <v/>
      </c>
      <c r="E993" s="27" t="str" cm="1">
        <f t="array" ref="E993">IF(C993="","",IFERROR(INDEX(STPP!$E$6:$E$4207,MATCH(C993,STPP!$C$6:$C$4207,0)),"Not Found"))</f>
        <v/>
      </c>
      <c r="F993" s="27" t="str" cm="1">
        <f t="array" ref="F993">IF(C993="","",IFERROR(INDEX(STPP!$F$6:$F$4207,MATCH(C993,STPP!$C$6:$C$4207,0)),"Not Found"))</f>
        <v/>
      </c>
      <c r="G993" s="25" t="str">
        <f>IF(表1[[#This Row],[No Seri]]="","",表1[[#This Row],[Deskripsi Barang]]+表1[[#This Row],[Kuantitas]]-表1[[#This Row],[Satuan]])</f>
        <v/>
      </c>
      <c r="H993" s="28"/>
      <c r="I993" s="25" t="str">
        <f>IF(表1[[#This Row],[Tgl NPBG]]&gt;表1[[#This Row],[Peminta]],表1[[#This Row],[Tgl NPBG]]-表1[[#This Row],[Peminta]],"")</f>
        <v/>
      </c>
      <c r="J993" s="31"/>
    </row>
    <row r="994" s="12" customFormat="1" customHeight="1" spans="2:10">
      <c r="B994" s="25"/>
      <c r="C994" s="25"/>
      <c r="D994" s="26" t="str" cm="1">
        <f t="array" ref="D994">IF(C994="","",IFERROR(INDEX(STPP!$D$6:$D$4207,MATCH(C994,STPP!$C$6:$C$4207,0)),"Not Found"))</f>
        <v/>
      </c>
      <c r="E994" s="27" t="str" cm="1">
        <f t="array" ref="E994">IF(C994="","",IFERROR(INDEX(STPP!$E$6:$E$4207,MATCH(C994,STPP!$C$6:$C$4207,0)),"Not Found"))</f>
        <v/>
      </c>
      <c r="F994" s="27" t="str" cm="1">
        <f t="array" ref="F994">IF(C994="","",IFERROR(INDEX(STPP!$F$6:$F$4207,MATCH(C994,STPP!$C$6:$C$4207,0)),"Not Found"))</f>
        <v/>
      </c>
      <c r="G994" s="25" t="str">
        <f>IF(表1[[#This Row],[No Seri]]="","",表1[[#This Row],[Deskripsi Barang]]+表1[[#This Row],[Kuantitas]]-表1[[#This Row],[Satuan]])</f>
        <v/>
      </c>
      <c r="H994" s="28"/>
      <c r="I994" s="25" t="str">
        <f>IF(表1[[#This Row],[Tgl NPBG]]&gt;表1[[#This Row],[Peminta]],表1[[#This Row],[Tgl NPBG]]-表1[[#This Row],[Peminta]],"")</f>
        <v/>
      </c>
      <c r="J994" s="31"/>
    </row>
    <row r="995" s="12" customFormat="1" customHeight="1" spans="2:10">
      <c r="B995" s="25"/>
      <c r="C995" s="25"/>
      <c r="D995" s="26" t="str" cm="1">
        <f t="array" ref="D995">IF(C995="","",IFERROR(INDEX(STPP!$D$6:$D$4207,MATCH(C995,STPP!$C$6:$C$4207,0)),"Not Found"))</f>
        <v/>
      </c>
      <c r="E995" s="27" t="str" cm="1">
        <f t="array" ref="E995">IF(C995="","",IFERROR(INDEX(STPP!$E$6:$E$4207,MATCH(C995,STPP!$C$6:$C$4207,0)),"Not Found"))</f>
        <v/>
      </c>
      <c r="F995" s="27" t="str" cm="1">
        <f t="array" ref="F995">IF(C995="","",IFERROR(INDEX(STPP!$F$6:$F$4207,MATCH(C995,STPP!$C$6:$C$4207,0)),"Not Found"))</f>
        <v/>
      </c>
      <c r="G995" s="25" t="str">
        <f>IF(表1[[#This Row],[No Seri]]="","",表1[[#This Row],[Deskripsi Barang]]+表1[[#This Row],[Kuantitas]]-表1[[#This Row],[Satuan]])</f>
        <v/>
      </c>
      <c r="H995" s="28"/>
      <c r="I995" s="25" t="str">
        <f>IF(表1[[#This Row],[Tgl NPBG]]&gt;表1[[#This Row],[Peminta]],表1[[#This Row],[Tgl NPBG]]-表1[[#This Row],[Peminta]],"")</f>
        <v/>
      </c>
      <c r="J995" s="31"/>
    </row>
    <row r="996" s="12" customFormat="1" customHeight="1" spans="2:10">
      <c r="B996" s="25"/>
      <c r="C996" s="25"/>
      <c r="D996" s="26" t="str" cm="1">
        <f t="array" ref="D996">IF(C996="","",IFERROR(INDEX(STPP!$D$6:$D$4207,MATCH(C996,STPP!$C$6:$C$4207,0)),"Not Found"))</f>
        <v/>
      </c>
      <c r="E996" s="27" t="str" cm="1">
        <f t="array" ref="E996">IF(C996="","",IFERROR(INDEX(STPP!$E$6:$E$4207,MATCH(C996,STPP!$C$6:$C$4207,0)),"Not Found"))</f>
        <v/>
      </c>
      <c r="F996" s="27" t="str" cm="1">
        <f t="array" ref="F996">IF(C996="","",IFERROR(INDEX(STPP!$F$6:$F$4207,MATCH(C996,STPP!$C$6:$C$4207,0)),"Not Found"))</f>
        <v/>
      </c>
      <c r="G996" s="25" t="str">
        <f>IF(表1[[#This Row],[No Seri]]="","",表1[[#This Row],[Deskripsi Barang]]+表1[[#This Row],[Kuantitas]]-表1[[#This Row],[Satuan]])</f>
        <v/>
      </c>
      <c r="H996" s="28"/>
      <c r="I996" s="25" t="str">
        <f>IF(表1[[#This Row],[Tgl NPBG]]&gt;表1[[#This Row],[Peminta]],表1[[#This Row],[Tgl NPBG]]-表1[[#This Row],[Peminta]],"")</f>
        <v/>
      </c>
      <c r="J996" s="31"/>
    </row>
    <row r="997" s="12" customFormat="1" customHeight="1" spans="2:10">
      <c r="B997" s="25"/>
      <c r="C997" s="25"/>
      <c r="D997" s="26" t="str" cm="1">
        <f t="array" ref="D997">IF(C997="","",IFERROR(INDEX(STPP!$D$6:$D$4207,MATCH(C997,STPP!$C$6:$C$4207,0)),"Not Found"))</f>
        <v/>
      </c>
      <c r="E997" s="27" t="str" cm="1">
        <f t="array" ref="E997">IF(C997="","",IFERROR(INDEX(STPP!$E$6:$E$4207,MATCH(C997,STPP!$C$6:$C$4207,0)),"Not Found"))</f>
        <v/>
      </c>
      <c r="F997" s="27" t="str" cm="1">
        <f t="array" ref="F997">IF(C997="","",IFERROR(INDEX(STPP!$F$6:$F$4207,MATCH(C997,STPP!$C$6:$C$4207,0)),"Not Found"))</f>
        <v/>
      </c>
      <c r="G997" s="25" t="str">
        <f>IF(表1[[#This Row],[No Seri]]="","",表1[[#This Row],[Deskripsi Barang]]+表1[[#This Row],[Kuantitas]]-表1[[#This Row],[Satuan]])</f>
        <v/>
      </c>
      <c r="H997" s="28"/>
      <c r="I997" s="25" t="str">
        <f>IF(表1[[#This Row],[Tgl NPBG]]&gt;表1[[#This Row],[Peminta]],表1[[#This Row],[Tgl NPBG]]-表1[[#This Row],[Peminta]],"")</f>
        <v/>
      </c>
      <c r="J997" s="31"/>
    </row>
    <row r="998" s="12" customFormat="1" customHeight="1" spans="2:10">
      <c r="B998" s="25"/>
      <c r="C998" s="25"/>
      <c r="D998" s="26" t="str" cm="1">
        <f t="array" ref="D998">IF(C998="","",IFERROR(INDEX(STPP!$D$6:$D$4207,MATCH(C998,STPP!$C$6:$C$4207,0)),"Not Found"))</f>
        <v/>
      </c>
      <c r="E998" s="27" t="str" cm="1">
        <f t="array" ref="E998">IF(C998="","",IFERROR(INDEX(STPP!$E$6:$E$4207,MATCH(C998,STPP!$C$6:$C$4207,0)),"Not Found"))</f>
        <v/>
      </c>
      <c r="F998" s="27" t="str" cm="1">
        <f t="array" ref="F998">IF(C998="","",IFERROR(INDEX(STPP!$F$6:$F$4207,MATCH(C998,STPP!$C$6:$C$4207,0)),"Not Found"))</f>
        <v/>
      </c>
      <c r="G998" s="25" t="str">
        <f>IF(表1[[#This Row],[No Seri]]="","",表1[[#This Row],[Deskripsi Barang]]+表1[[#This Row],[Kuantitas]]-表1[[#This Row],[Satuan]])</f>
        <v/>
      </c>
      <c r="H998" s="28"/>
      <c r="I998" s="25" t="str">
        <f>IF(表1[[#This Row],[Tgl NPBG]]&gt;表1[[#This Row],[Peminta]],表1[[#This Row],[Tgl NPBG]]-表1[[#This Row],[Peminta]],"")</f>
        <v/>
      </c>
      <c r="J998" s="31"/>
    </row>
    <row r="999" s="12" customFormat="1" customHeight="1" spans="2:10">
      <c r="B999" s="25"/>
      <c r="C999" s="25"/>
      <c r="D999" s="26" t="str" cm="1">
        <f t="array" ref="D999">IF(C999="","",IFERROR(INDEX(STPP!$D$6:$D$4207,MATCH(C999,STPP!$C$6:$C$4207,0)),"Not Found"))</f>
        <v/>
      </c>
      <c r="E999" s="27" t="str" cm="1">
        <f t="array" ref="E999">IF(C999="","",IFERROR(INDEX(STPP!$E$6:$E$4207,MATCH(C999,STPP!$C$6:$C$4207,0)),"Not Found"))</f>
        <v/>
      </c>
      <c r="F999" s="27" t="str" cm="1">
        <f t="array" ref="F999">IF(C999="","",IFERROR(INDEX(STPP!$F$6:$F$4207,MATCH(C999,STPP!$C$6:$C$4207,0)),"Not Found"))</f>
        <v/>
      </c>
      <c r="G999" s="25" t="str">
        <f>IF(表1[[#This Row],[No Seri]]="","",表1[[#This Row],[Deskripsi Barang]]+表1[[#This Row],[Kuantitas]]-表1[[#This Row],[Satuan]])</f>
        <v/>
      </c>
      <c r="H999" s="28"/>
      <c r="I999" s="25" t="str">
        <f>IF(表1[[#This Row],[Tgl NPBG]]&gt;表1[[#This Row],[Peminta]],表1[[#This Row],[Tgl NPBG]]-表1[[#This Row],[Peminta]],"")</f>
        <v/>
      </c>
      <c r="J999" s="31"/>
    </row>
    <row r="1000" s="12" customFormat="1" customHeight="1" spans="2:10">
      <c r="B1000" s="25"/>
      <c r="C1000" s="25"/>
      <c r="D1000" s="26" t="str" cm="1">
        <f t="array" ref="D1000">IF(C1000="","",IFERROR(INDEX(STPP!$D$6:$D$4207,MATCH(C1000,STPP!$C$6:$C$4207,0)),"Not Found"))</f>
        <v/>
      </c>
      <c r="E1000" s="27" t="str" cm="1">
        <f t="array" ref="E1000">IF(C1000="","",IFERROR(INDEX(STPP!$E$6:$E$4207,MATCH(C1000,STPP!$C$6:$C$4207,0)),"Not Found"))</f>
        <v/>
      </c>
      <c r="F1000" s="27" t="str" cm="1">
        <f t="array" ref="F1000">IF(C1000="","",IFERROR(INDEX(STPP!$F$6:$F$4207,MATCH(C1000,STPP!$C$6:$C$4207,0)),"Not Found"))</f>
        <v/>
      </c>
      <c r="G1000" s="25" t="str">
        <f>IF(表1[[#This Row],[No Seri]]="","",表1[[#This Row],[Deskripsi Barang]]+表1[[#This Row],[Kuantitas]]-表1[[#This Row],[Satuan]])</f>
        <v/>
      </c>
      <c r="H1000" s="28"/>
      <c r="I1000" s="25" t="str">
        <f>IF(表1[[#This Row],[Tgl NPBG]]&gt;表1[[#This Row],[Peminta]],表1[[#This Row],[Tgl NPBG]]-表1[[#This Row],[Peminta]],"")</f>
        <v/>
      </c>
      <c r="J1000" s="31"/>
    </row>
    <row r="1001" s="12" customFormat="1" customHeight="1" spans="2:10">
      <c r="B1001" s="25"/>
      <c r="C1001" s="25"/>
      <c r="D1001" s="26" t="str" cm="1">
        <f t="array" ref="D1001">IF(C1001="","",IFERROR(INDEX(STPP!$D$6:$D$4207,MATCH(C1001,STPP!$C$6:$C$4207,0)),"Not Found"))</f>
        <v/>
      </c>
      <c r="E1001" s="27" t="str" cm="1">
        <f t="array" ref="E1001">IF(C1001="","",IFERROR(INDEX(STPP!$E$6:$E$4207,MATCH(C1001,STPP!$C$6:$C$4207,0)),"Not Found"))</f>
        <v/>
      </c>
      <c r="F1001" s="27" t="str" cm="1">
        <f t="array" ref="F1001">IF(C1001="","",IFERROR(INDEX(STPP!$F$6:$F$4207,MATCH(C1001,STPP!$C$6:$C$4207,0)),"Not Found"))</f>
        <v/>
      </c>
      <c r="G1001" s="25" t="str">
        <f>IF(表1[[#This Row],[No Seri]]="","",表1[[#This Row],[Deskripsi Barang]]+表1[[#This Row],[Kuantitas]]-表1[[#This Row],[Satuan]])</f>
        <v/>
      </c>
      <c r="H1001" s="28"/>
      <c r="I1001" s="25" t="str">
        <f>IF(表1[[#This Row],[Tgl NPBG]]&gt;表1[[#This Row],[Peminta]],表1[[#This Row],[Tgl NPBG]]-表1[[#This Row],[Peminta]],"")</f>
        <v/>
      </c>
      <c r="J1001" s="31"/>
    </row>
    <row r="1002" s="12" customFormat="1" customHeight="1" spans="2:10">
      <c r="B1002" s="25"/>
      <c r="C1002" s="25"/>
      <c r="D1002" s="26" t="str" cm="1">
        <f t="array" ref="D1002">IF(C1002="","",IFERROR(INDEX(STPP!$D$6:$D$4207,MATCH(C1002,STPP!$C$6:$C$4207,0)),"Not Found"))</f>
        <v/>
      </c>
      <c r="E1002" s="27" t="str" cm="1">
        <f t="array" ref="E1002">IF(C1002="","",IFERROR(INDEX(STPP!$E$6:$E$4207,MATCH(C1002,STPP!$C$6:$C$4207,0)),"Not Found"))</f>
        <v/>
      </c>
      <c r="F1002" s="27" t="str" cm="1">
        <f t="array" ref="F1002">IF(C1002="","",IFERROR(INDEX(STPP!$F$6:$F$4207,MATCH(C1002,STPP!$C$6:$C$4207,0)),"Not Found"))</f>
        <v/>
      </c>
      <c r="G1002" s="25" t="str">
        <f>IF(表1[[#This Row],[No Seri]]="","",表1[[#This Row],[Deskripsi Barang]]+表1[[#This Row],[Kuantitas]]-表1[[#This Row],[Satuan]])</f>
        <v/>
      </c>
      <c r="H1002" s="28"/>
      <c r="I1002" s="25" t="str">
        <f>IF(表1[[#This Row],[Tgl NPBG]]&gt;表1[[#This Row],[Peminta]],表1[[#This Row],[Tgl NPBG]]-表1[[#This Row],[Peminta]],"")</f>
        <v/>
      </c>
      <c r="J1002" s="31"/>
    </row>
    <row r="1003" s="12" customFormat="1" customHeight="1" spans="2:10">
      <c r="B1003" s="25"/>
      <c r="C1003" s="25"/>
      <c r="D1003" s="26" t="str" cm="1">
        <f t="array" ref="D1003">IF(C1003="","",IFERROR(INDEX(STPP!$D$6:$D$4207,MATCH(C1003,STPP!$C$6:$C$4207,0)),"Not Found"))</f>
        <v/>
      </c>
      <c r="E1003" s="27" t="str" cm="1">
        <f t="array" ref="E1003">IF(C1003="","",IFERROR(INDEX(STPP!$E$6:$E$4207,MATCH(C1003,STPP!$C$6:$C$4207,0)),"Not Found"))</f>
        <v/>
      </c>
      <c r="F1003" s="27" t="str" cm="1">
        <f t="array" ref="F1003">IF(C1003="","",IFERROR(INDEX(STPP!$F$6:$F$4207,MATCH(C1003,STPP!$C$6:$C$4207,0)),"Not Found"))</f>
        <v/>
      </c>
      <c r="G1003" s="25" t="str">
        <f>IF(表1[[#This Row],[No Seri]]="","",表1[[#This Row],[Deskripsi Barang]]+表1[[#This Row],[Kuantitas]]-表1[[#This Row],[Satuan]])</f>
        <v/>
      </c>
      <c r="H1003" s="28"/>
      <c r="I1003" s="25" t="str">
        <f>IF(表1[[#This Row],[Tgl NPBG]]&gt;表1[[#This Row],[Peminta]],表1[[#This Row],[Tgl NPBG]]-表1[[#This Row],[Peminta]],"")</f>
        <v/>
      </c>
      <c r="J1003" s="31"/>
    </row>
    <row r="1004" s="12" customFormat="1" customHeight="1" spans="2:10">
      <c r="B1004" s="25"/>
      <c r="C1004" s="25"/>
      <c r="D1004" s="26" t="str" cm="1">
        <f t="array" ref="D1004">IF(C1004="","",IFERROR(INDEX(STPP!$D$6:$D$4207,MATCH(C1004,STPP!$C$6:$C$4207,0)),"Not Found"))</f>
        <v/>
      </c>
      <c r="E1004" s="27" t="str" cm="1">
        <f t="array" ref="E1004">IF(C1004="","",IFERROR(INDEX(STPP!$E$6:$E$4207,MATCH(C1004,STPP!$C$6:$C$4207,0)),"Not Found"))</f>
        <v/>
      </c>
      <c r="F1004" s="27" t="str" cm="1">
        <f t="array" ref="F1004">IF(C1004="","",IFERROR(INDEX(STPP!$F$6:$F$4207,MATCH(C1004,STPP!$C$6:$C$4207,0)),"Not Found"))</f>
        <v/>
      </c>
      <c r="G1004" s="25" t="str">
        <f>IF(表1[[#This Row],[No Seri]]="","",表1[[#This Row],[Deskripsi Barang]]+表1[[#This Row],[Kuantitas]]-表1[[#This Row],[Satuan]])</f>
        <v/>
      </c>
      <c r="H1004" s="28"/>
      <c r="I1004" s="25" t="str">
        <f>IF(表1[[#This Row],[Tgl NPBG]]&gt;表1[[#This Row],[Peminta]],表1[[#This Row],[Tgl NPBG]]-表1[[#This Row],[Peminta]],"")</f>
        <v/>
      </c>
      <c r="J1004" s="31"/>
    </row>
    <row r="1005" s="12" customFormat="1" customHeight="1" spans="2:10">
      <c r="B1005" s="25"/>
      <c r="C1005" s="25"/>
      <c r="D1005" s="26" t="str" cm="1">
        <f t="array" ref="D1005">IF(C1005="","",IFERROR(INDEX(STPP!$D$6:$D$4207,MATCH(C1005,STPP!$C$6:$C$4207,0)),"Not Found"))</f>
        <v/>
      </c>
      <c r="E1005" s="27" t="str" cm="1">
        <f t="array" ref="E1005">IF(C1005="","",IFERROR(INDEX(STPP!$E$6:$E$4207,MATCH(C1005,STPP!$C$6:$C$4207,0)),"Not Found"))</f>
        <v/>
      </c>
      <c r="F1005" s="27" t="str" cm="1">
        <f t="array" ref="F1005">IF(C1005="","",IFERROR(INDEX(STPP!$F$6:$F$4207,MATCH(C1005,STPP!$C$6:$C$4207,0)),"Not Found"))</f>
        <v/>
      </c>
      <c r="G1005" s="25" t="str">
        <f>IF(表1[[#This Row],[No Seri]]="","",表1[[#This Row],[Deskripsi Barang]]+表1[[#This Row],[Kuantitas]]-表1[[#This Row],[Satuan]])</f>
        <v/>
      </c>
      <c r="H1005" s="28"/>
      <c r="I1005" s="25" t="str">
        <f>IF(表1[[#This Row],[Tgl NPBG]]&gt;表1[[#This Row],[Peminta]],表1[[#This Row],[Tgl NPBG]]-表1[[#This Row],[Peminta]],"")</f>
        <v/>
      </c>
      <c r="J1005" s="31"/>
    </row>
    <row r="1006" s="12" customFormat="1" customHeight="1" spans="2:10">
      <c r="B1006" s="25"/>
      <c r="C1006" s="25"/>
      <c r="D1006" s="26" t="str" cm="1">
        <f t="array" ref="D1006">IF(C1006="","",IFERROR(INDEX(STPP!$D$6:$D$4207,MATCH(C1006,STPP!$C$6:$C$4207,0)),"Not Found"))</f>
        <v/>
      </c>
      <c r="E1006" s="27" t="str" cm="1">
        <f t="array" ref="E1006">IF(C1006="","",IFERROR(INDEX(STPP!$E$6:$E$4207,MATCH(C1006,STPP!$C$6:$C$4207,0)),"Not Found"))</f>
        <v/>
      </c>
      <c r="F1006" s="27" t="str" cm="1">
        <f t="array" ref="F1006">IF(C1006="","",IFERROR(INDEX(STPP!$F$6:$F$4207,MATCH(C1006,STPP!$C$6:$C$4207,0)),"Not Found"))</f>
        <v/>
      </c>
      <c r="G1006" s="25" t="str">
        <f>IF(表1[[#This Row],[No Seri]]="","",表1[[#This Row],[Deskripsi Barang]]+表1[[#This Row],[Kuantitas]]-表1[[#This Row],[Satuan]])</f>
        <v/>
      </c>
      <c r="H1006" s="28"/>
      <c r="I1006" s="25" t="str">
        <f>IF(表1[[#This Row],[Tgl NPBG]]&gt;表1[[#This Row],[Peminta]],表1[[#This Row],[Tgl NPBG]]-表1[[#This Row],[Peminta]],"")</f>
        <v/>
      </c>
      <c r="J1006" s="31"/>
    </row>
    <row r="1007" s="12" customFormat="1" customHeight="1" spans="2:10">
      <c r="B1007" s="25"/>
      <c r="C1007" s="25"/>
      <c r="D1007" s="26" t="str" cm="1">
        <f t="array" ref="D1007">IF(C1007="","",IFERROR(INDEX(STPP!$D$6:$D$4207,MATCH(C1007,STPP!$C$6:$C$4207,0)),"Not Found"))</f>
        <v/>
      </c>
      <c r="E1007" s="27" t="str" cm="1">
        <f t="array" ref="E1007">IF(C1007="","",IFERROR(INDEX(STPP!$E$6:$E$4207,MATCH(C1007,STPP!$C$6:$C$4207,0)),"Not Found"))</f>
        <v/>
      </c>
      <c r="F1007" s="27" t="str" cm="1">
        <f t="array" ref="F1007">IF(C1007="","",IFERROR(INDEX(STPP!$F$6:$F$4207,MATCH(C1007,STPP!$C$6:$C$4207,0)),"Not Found"))</f>
        <v/>
      </c>
      <c r="G1007" s="25" t="str">
        <f>IF(表1[[#This Row],[No Seri]]="","",表1[[#This Row],[Deskripsi Barang]]+表1[[#This Row],[Kuantitas]]-表1[[#This Row],[Satuan]])</f>
        <v/>
      </c>
      <c r="H1007" s="28"/>
      <c r="I1007" s="25" t="str">
        <f>IF(表1[[#This Row],[Tgl NPBG]]&gt;表1[[#This Row],[Peminta]],表1[[#This Row],[Tgl NPBG]]-表1[[#This Row],[Peminta]],"")</f>
        <v/>
      </c>
      <c r="J1007" s="31"/>
    </row>
    <row r="1008" s="12" customFormat="1" customHeight="1" spans="2:10">
      <c r="B1008" s="25"/>
      <c r="C1008" s="25"/>
      <c r="D1008" s="26" t="str" cm="1">
        <f t="array" ref="D1008">IF(C1008="","",IFERROR(INDEX(STPP!$D$6:$D$4207,MATCH(C1008,STPP!$C$6:$C$4207,0)),"Not Found"))</f>
        <v/>
      </c>
      <c r="E1008" s="27" t="str" cm="1">
        <f t="array" ref="E1008">IF(C1008="","",IFERROR(INDEX(STPP!$E$6:$E$4207,MATCH(C1008,STPP!$C$6:$C$4207,0)),"Not Found"))</f>
        <v/>
      </c>
      <c r="F1008" s="27" t="str" cm="1">
        <f t="array" ref="F1008">IF(C1008="","",IFERROR(INDEX(STPP!$F$6:$F$4207,MATCH(C1008,STPP!$C$6:$C$4207,0)),"Not Found"))</f>
        <v/>
      </c>
      <c r="G1008" s="25" t="str">
        <f>IF(表1[[#This Row],[No Seri]]="","",表1[[#This Row],[Deskripsi Barang]]+表1[[#This Row],[Kuantitas]]-表1[[#This Row],[Satuan]])</f>
        <v/>
      </c>
      <c r="H1008" s="28"/>
      <c r="I1008" s="25" t="str">
        <f>IF(表1[[#This Row],[Tgl NPBG]]&gt;表1[[#This Row],[Peminta]],表1[[#This Row],[Tgl NPBG]]-表1[[#This Row],[Peminta]],"")</f>
        <v/>
      </c>
      <c r="J1008" s="31"/>
    </row>
    <row r="1009" s="12" customFormat="1" customHeight="1" spans="2:10">
      <c r="B1009" s="25"/>
      <c r="C1009" s="25"/>
      <c r="D1009" s="26" t="str" cm="1">
        <f t="array" ref="D1009">IF(C1009="","",IFERROR(INDEX(STPP!$D$6:$D$4207,MATCH(C1009,STPP!$C$6:$C$4207,0)),"Not Found"))</f>
        <v/>
      </c>
      <c r="E1009" s="27" t="str" cm="1">
        <f t="array" ref="E1009">IF(C1009="","",IFERROR(INDEX(STPP!$E$6:$E$4207,MATCH(C1009,STPP!$C$6:$C$4207,0)),"Not Found"))</f>
        <v/>
      </c>
      <c r="F1009" s="27" t="str" cm="1">
        <f t="array" ref="F1009">IF(C1009="","",IFERROR(INDEX(STPP!$F$6:$F$4207,MATCH(C1009,STPP!$C$6:$C$4207,0)),"Not Found"))</f>
        <v/>
      </c>
      <c r="G1009" s="25" t="str">
        <f>IF(表1[[#This Row],[No Seri]]="","",表1[[#This Row],[Deskripsi Barang]]+表1[[#This Row],[Kuantitas]]-表1[[#This Row],[Satuan]])</f>
        <v/>
      </c>
      <c r="H1009" s="28"/>
      <c r="I1009" s="25" t="str">
        <f>IF(表1[[#This Row],[Tgl NPBG]]&gt;表1[[#This Row],[Peminta]],表1[[#This Row],[Tgl NPBG]]-表1[[#This Row],[Peminta]],"")</f>
        <v/>
      </c>
      <c r="J1009" s="31"/>
    </row>
    <row r="1010" s="12" customFormat="1" customHeight="1" spans="2:10">
      <c r="B1010" s="25"/>
      <c r="C1010" s="25"/>
      <c r="D1010" s="26" t="str" cm="1">
        <f t="array" ref="D1010">IF(C1010="","",IFERROR(INDEX(STPP!$D$6:$D$4207,MATCH(C1010,STPP!$C$6:$C$4207,0)),"Not Found"))</f>
        <v/>
      </c>
      <c r="E1010" s="27" t="str" cm="1">
        <f t="array" ref="E1010">IF(C1010="","",IFERROR(INDEX(STPP!$E$6:$E$4207,MATCH(C1010,STPP!$C$6:$C$4207,0)),"Not Found"))</f>
        <v/>
      </c>
      <c r="F1010" s="27" t="str" cm="1">
        <f t="array" ref="F1010">IF(C1010="","",IFERROR(INDEX(STPP!$F$6:$F$4207,MATCH(C1010,STPP!$C$6:$C$4207,0)),"Not Found"))</f>
        <v/>
      </c>
      <c r="G1010" s="25" t="str">
        <f>IF(表1[[#This Row],[No Seri]]="","",表1[[#This Row],[Deskripsi Barang]]+表1[[#This Row],[Kuantitas]]-表1[[#This Row],[Satuan]])</f>
        <v/>
      </c>
      <c r="H1010" s="28"/>
      <c r="I1010" s="25" t="str">
        <f>IF(表1[[#This Row],[Tgl NPBG]]&gt;表1[[#This Row],[Peminta]],表1[[#This Row],[Tgl NPBG]]-表1[[#This Row],[Peminta]],"")</f>
        <v/>
      </c>
      <c r="J1010" s="31"/>
    </row>
    <row r="1011" s="12" customFormat="1" customHeight="1" spans="2:10">
      <c r="B1011" s="25"/>
      <c r="C1011" s="25"/>
      <c r="D1011" s="26" t="str" cm="1">
        <f t="array" ref="D1011">IF(C1011="","",IFERROR(INDEX(STPP!$D$6:$D$4207,MATCH(C1011,STPP!$C$6:$C$4207,0)),"Not Found"))</f>
        <v/>
      </c>
      <c r="E1011" s="27" t="str" cm="1">
        <f t="array" ref="E1011">IF(C1011="","",IFERROR(INDEX(STPP!$E$6:$E$4207,MATCH(C1011,STPP!$C$6:$C$4207,0)),"Not Found"))</f>
        <v/>
      </c>
      <c r="F1011" s="27" t="str" cm="1">
        <f t="array" ref="F1011">IF(C1011="","",IFERROR(INDEX(STPP!$F$6:$F$4207,MATCH(C1011,STPP!$C$6:$C$4207,0)),"Not Found"))</f>
        <v/>
      </c>
      <c r="G1011" s="25" t="str">
        <f>IF(表1[[#This Row],[No Seri]]="","",表1[[#This Row],[Deskripsi Barang]]+表1[[#This Row],[Kuantitas]]-表1[[#This Row],[Satuan]])</f>
        <v/>
      </c>
      <c r="H1011" s="28"/>
      <c r="I1011" s="25" t="str">
        <f>IF(表1[[#This Row],[Tgl NPBG]]&gt;表1[[#This Row],[Peminta]],表1[[#This Row],[Tgl NPBG]]-表1[[#This Row],[Peminta]],"")</f>
        <v/>
      </c>
      <c r="J1011" s="31"/>
    </row>
    <row r="1012" s="12" customFormat="1" customHeight="1" spans="2:10">
      <c r="B1012" s="25"/>
      <c r="C1012" s="25"/>
      <c r="D1012" s="26" t="str" cm="1">
        <f t="array" ref="D1012">IF(C1012="","",IFERROR(INDEX(STPP!$D$6:$D$4207,MATCH(C1012,STPP!$C$6:$C$4207,0)),"Not Found"))</f>
        <v/>
      </c>
      <c r="E1012" s="27" t="str" cm="1">
        <f t="array" ref="E1012">IF(C1012="","",IFERROR(INDEX(STPP!$E$6:$E$4207,MATCH(C1012,STPP!$C$6:$C$4207,0)),"Not Found"))</f>
        <v/>
      </c>
      <c r="F1012" s="27" t="str" cm="1">
        <f t="array" ref="F1012">IF(C1012="","",IFERROR(INDEX(STPP!$F$6:$F$4207,MATCH(C1012,STPP!$C$6:$C$4207,0)),"Not Found"))</f>
        <v/>
      </c>
      <c r="G1012" s="25" t="str">
        <f>IF(表1[[#This Row],[No Seri]]="","",表1[[#This Row],[Deskripsi Barang]]+表1[[#This Row],[Kuantitas]]-表1[[#This Row],[Satuan]])</f>
        <v/>
      </c>
      <c r="H1012" s="28"/>
      <c r="I1012" s="25" t="str">
        <f>IF(表1[[#This Row],[Tgl NPBG]]&gt;表1[[#This Row],[Peminta]],表1[[#This Row],[Tgl NPBG]]-表1[[#This Row],[Peminta]],"")</f>
        <v/>
      </c>
      <c r="J1012" s="31"/>
    </row>
    <row r="1013" s="12" customFormat="1" customHeight="1" spans="2:10">
      <c r="B1013" s="25"/>
      <c r="C1013" s="25"/>
      <c r="D1013" s="26" t="str" cm="1">
        <f t="array" ref="D1013">IF(C1013="","",IFERROR(INDEX(STPP!$D$6:$D$4207,MATCH(C1013,STPP!$C$6:$C$4207,0)),"Not Found"))</f>
        <v/>
      </c>
      <c r="E1013" s="27" t="str" cm="1">
        <f t="array" ref="E1013">IF(C1013="","",IFERROR(INDEX(STPP!$E$6:$E$4207,MATCH(C1013,STPP!$C$6:$C$4207,0)),"Not Found"))</f>
        <v/>
      </c>
      <c r="F1013" s="27" t="str" cm="1">
        <f t="array" ref="F1013">IF(C1013="","",IFERROR(INDEX(STPP!$F$6:$F$4207,MATCH(C1013,STPP!$C$6:$C$4207,0)),"Not Found"))</f>
        <v/>
      </c>
      <c r="G1013" s="25" t="str">
        <f>IF(表1[[#This Row],[No Seri]]="","",表1[[#This Row],[Deskripsi Barang]]+表1[[#This Row],[Kuantitas]]-表1[[#This Row],[Satuan]])</f>
        <v/>
      </c>
      <c r="H1013" s="28"/>
      <c r="I1013" s="25" t="str">
        <f>IF(表1[[#This Row],[Tgl NPBG]]&gt;表1[[#This Row],[Peminta]],表1[[#This Row],[Tgl NPBG]]-表1[[#This Row],[Peminta]],"")</f>
        <v/>
      </c>
      <c r="J1013" s="31"/>
    </row>
    <row r="1014" s="12" customFormat="1" customHeight="1" spans="2:10">
      <c r="B1014" s="25"/>
      <c r="C1014" s="25"/>
      <c r="D1014" s="26" t="str" cm="1">
        <f t="array" ref="D1014">IF(C1014="","",IFERROR(INDEX(STPP!$D$6:$D$4207,MATCH(C1014,STPP!$C$6:$C$4207,0)),"Not Found"))</f>
        <v/>
      </c>
      <c r="E1014" s="27" t="str" cm="1">
        <f t="array" ref="E1014">IF(C1014="","",IFERROR(INDEX(STPP!$E$6:$E$4207,MATCH(C1014,STPP!$C$6:$C$4207,0)),"Not Found"))</f>
        <v/>
      </c>
      <c r="F1014" s="27" t="str" cm="1">
        <f t="array" ref="F1014">IF(C1014="","",IFERROR(INDEX(STPP!$F$6:$F$4207,MATCH(C1014,STPP!$C$6:$C$4207,0)),"Not Found"))</f>
        <v/>
      </c>
      <c r="G1014" s="25" t="str">
        <f>IF(表1[[#This Row],[No Seri]]="","",表1[[#This Row],[Deskripsi Barang]]+表1[[#This Row],[Kuantitas]]-表1[[#This Row],[Satuan]])</f>
        <v/>
      </c>
      <c r="H1014" s="28"/>
      <c r="I1014" s="25" t="str">
        <f>IF(表1[[#This Row],[Tgl NPBG]]&gt;表1[[#This Row],[Peminta]],表1[[#This Row],[Tgl NPBG]]-表1[[#This Row],[Peminta]],"")</f>
        <v/>
      </c>
      <c r="J1014" s="31"/>
    </row>
    <row r="1015" s="12" customFormat="1" customHeight="1" spans="2:10">
      <c r="B1015" s="25"/>
      <c r="C1015" s="25"/>
      <c r="D1015" s="26" t="str" cm="1">
        <f t="array" ref="D1015">IF(C1015="","",IFERROR(INDEX(STPP!$D$6:$D$4207,MATCH(C1015,STPP!$C$6:$C$4207,0)),"Not Found"))</f>
        <v/>
      </c>
      <c r="E1015" s="27" t="str" cm="1">
        <f t="array" ref="E1015">IF(C1015="","",IFERROR(INDEX(STPP!$E$6:$E$4207,MATCH(C1015,STPP!$C$6:$C$4207,0)),"Not Found"))</f>
        <v/>
      </c>
      <c r="F1015" s="27" t="str" cm="1">
        <f t="array" ref="F1015">IF(C1015="","",IFERROR(INDEX(STPP!$F$6:$F$4207,MATCH(C1015,STPP!$C$6:$C$4207,0)),"Not Found"))</f>
        <v/>
      </c>
      <c r="G1015" s="25" t="str">
        <f>IF(表1[[#This Row],[No Seri]]="","",表1[[#This Row],[Deskripsi Barang]]+表1[[#This Row],[Kuantitas]]-表1[[#This Row],[Satuan]])</f>
        <v/>
      </c>
      <c r="H1015" s="28"/>
      <c r="I1015" s="25" t="str">
        <f>IF(表1[[#This Row],[Tgl NPBG]]&gt;表1[[#This Row],[Peminta]],表1[[#This Row],[Tgl NPBG]]-表1[[#This Row],[Peminta]],"")</f>
        <v/>
      </c>
      <c r="J1015" s="31"/>
    </row>
    <row r="1016" s="12" customFormat="1" customHeight="1" spans="2:10">
      <c r="B1016" s="25"/>
      <c r="C1016" s="25"/>
      <c r="D1016" s="26" t="str" cm="1">
        <f t="array" ref="D1016">IF(C1016="","",IFERROR(INDEX(STPP!$D$6:$D$4207,MATCH(C1016,STPP!$C$6:$C$4207,0)),"Not Found"))</f>
        <v/>
      </c>
      <c r="E1016" s="27" t="str" cm="1">
        <f t="array" ref="E1016">IF(C1016="","",IFERROR(INDEX(STPP!$E$6:$E$4207,MATCH(C1016,STPP!$C$6:$C$4207,0)),"Not Found"))</f>
        <v/>
      </c>
      <c r="F1016" s="27" t="str" cm="1">
        <f t="array" ref="F1016">IF(C1016="","",IFERROR(INDEX(STPP!$F$6:$F$4207,MATCH(C1016,STPP!$C$6:$C$4207,0)),"Not Found"))</f>
        <v/>
      </c>
      <c r="G1016" s="25" t="str">
        <f>IF(表1[[#This Row],[No Seri]]="","",表1[[#This Row],[Deskripsi Barang]]+表1[[#This Row],[Kuantitas]]-表1[[#This Row],[Satuan]])</f>
        <v/>
      </c>
      <c r="H1016" s="28"/>
      <c r="I1016" s="25" t="str">
        <f>IF(表1[[#This Row],[Tgl NPBG]]&gt;表1[[#This Row],[Peminta]],表1[[#This Row],[Tgl NPBG]]-表1[[#This Row],[Peminta]],"")</f>
        <v/>
      </c>
      <c r="J1016" s="31"/>
    </row>
    <row r="1017" s="12" customFormat="1" customHeight="1" spans="2:10">
      <c r="B1017" s="25"/>
      <c r="C1017" s="25"/>
      <c r="D1017" s="26" t="str" cm="1">
        <f t="array" ref="D1017">IF(C1017="","",IFERROR(INDEX(STPP!$D$6:$D$4207,MATCH(C1017,STPP!$C$6:$C$4207,0)),"Not Found"))</f>
        <v/>
      </c>
      <c r="E1017" s="27" t="str" cm="1">
        <f t="array" ref="E1017">IF(C1017="","",IFERROR(INDEX(STPP!$E$6:$E$4207,MATCH(C1017,STPP!$C$6:$C$4207,0)),"Not Found"))</f>
        <v/>
      </c>
      <c r="F1017" s="27" t="str" cm="1">
        <f t="array" ref="F1017">IF(C1017="","",IFERROR(INDEX(STPP!$F$6:$F$4207,MATCH(C1017,STPP!$C$6:$C$4207,0)),"Not Found"))</f>
        <v/>
      </c>
      <c r="G1017" s="25" t="str">
        <f>IF(表1[[#This Row],[No Seri]]="","",表1[[#This Row],[Deskripsi Barang]]+表1[[#This Row],[Kuantitas]]-表1[[#This Row],[Satuan]])</f>
        <v/>
      </c>
      <c r="H1017" s="28"/>
      <c r="I1017" s="25" t="str">
        <f>IF(表1[[#This Row],[Tgl NPBG]]&gt;表1[[#This Row],[Peminta]],表1[[#This Row],[Tgl NPBG]]-表1[[#This Row],[Peminta]],"")</f>
        <v/>
      </c>
      <c r="J1017" s="31"/>
    </row>
    <row r="1018" s="12" customFormat="1" customHeight="1" spans="2:10">
      <c r="B1018" s="25"/>
      <c r="C1018" s="25"/>
      <c r="D1018" s="26" t="str" cm="1">
        <f t="array" ref="D1018">IF(C1018="","",IFERROR(INDEX(STPP!$D$6:$D$4207,MATCH(C1018,STPP!$C$6:$C$4207,0)),"Not Found"))</f>
        <v/>
      </c>
      <c r="E1018" s="27" t="str" cm="1">
        <f t="array" ref="E1018">IF(C1018="","",IFERROR(INDEX(STPP!$E$6:$E$4207,MATCH(C1018,STPP!$C$6:$C$4207,0)),"Not Found"))</f>
        <v/>
      </c>
      <c r="F1018" s="27" t="str" cm="1">
        <f t="array" ref="F1018">IF(C1018="","",IFERROR(INDEX(STPP!$F$6:$F$4207,MATCH(C1018,STPP!$C$6:$C$4207,0)),"Not Found"))</f>
        <v/>
      </c>
      <c r="G1018" s="25" t="str">
        <f>IF(表1[[#This Row],[No Seri]]="","",表1[[#This Row],[Deskripsi Barang]]+表1[[#This Row],[Kuantitas]]-表1[[#This Row],[Satuan]])</f>
        <v/>
      </c>
      <c r="H1018" s="28"/>
      <c r="I1018" s="25" t="str">
        <f>IF(表1[[#This Row],[Tgl NPBG]]&gt;表1[[#This Row],[Peminta]],表1[[#This Row],[Tgl NPBG]]-表1[[#This Row],[Peminta]],"")</f>
        <v/>
      </c>
      <c r="J1018" s="31"/>
    </row>
    <row r="1019" s="12" customFormat="1" customHeight="1" spans="2:10">
      <c r="B1019" s="25"/>
      <c r="C1019" s="25"/>
      <c r="D1019" s="26" t="str" cm="1">
        <f t="array" ref="D1019">IF(C1019="","",IFERROR(INDEX(STPP!$D$6:$D$4207,MATCH(C1019,STPP!$C$6:$C$4207,0)),"Not Found"))</f>
        <v/>
      </c>
      <c r="E1019" s="27" t="str" cm="1">
        <f t="array" ref="E1019">IF(C1019="","",IFERROR(INDEX(STPP!$E$6:$E$4207,MATCH(C1019,STPP!$C$6:$C$4207,0)),"Not Found"))</f>
        <v/>
      </c>
      <c r="F1019" s="27" t="str" cm="1">
        <f t="array" ref="F1019">IF(C1019="","",IFERROR(INDEX(STPP!$F$6:$F$4207,MATCH(C1019,STPP!$C$6:$C$4207,0)),"Not Found"))</f>
        <v/>
      </c>
      <c r="G1019" s="25" t="str">
        <f>IF(表1[[#This Row],[No Seri]]="","",表1[[#This Row],[Deskripsi Barang]]+表1[[#This Row],[Kuantitas]]-表1[[#This Row],[Satuan]])</f>
        <v/>
      </c>
      <c r="H1019" s="28"/>
      <c r="I1019" s="25" t="str">
        <f>IF(表1[[#This Row],[Tgl NPBG]]&gt;表1[[#This Row],[Peminta]],表1[[#This Row],[Tgl NPBG]]-表1[[#This Row],[Peminta]],"")</f>
        <v/>
      </c>
      <c r="J1019" s="31"/>
    </row>
    <row r="1020" s="12" customFormat="1" customHeight="1" spans="2:10">
      <c r="B1020" s="25"/>
      <c r="C1020" s="25"/>
      <c r="D1020" s="26" t="str" cm="1">
        <f t="array" ref="D1020">IF(C1020="","",IFERROR(INDEX(STPP!$D$6:$D$4207,MATCH(C1020,STPP!$C$6:$C$4207,0)),"Not Found"))</f>
        <v/>
      </c>
      <c r="E1020" s="27" t="str" cm="1">
        <f t="array" ref="E1020">IF(C1020="","",IFERROR(INDEX(STPP!$E$6:$E$4207,MATCH(C1020,STPP!$C$6:$C$4207,0)),"Not Found"))</f>
        <v/>
      </c>
      <c r="F1020" s="27" t="str" cm="1">
        <f t="array" ref="F1020">IF(C1020="","",IFERROR(INDEX(STPP!$F$6:$F$4207,MATCH(C1020,STPP!$C$6:$C$4207,0)),"Not Found"))</f>
        <v/>
      </c>
      <c r="G1020" s="25" t="str">
        <f>IF(表1[[#This Row],[No Seri]]="","",表1[[#This Row],[Deskripsi Barang]]+表1[[#This Row],[Kuantitas]]-表1[[#This Row],[Satuan]])</f>
        <v/>
      </c>
      <c r="H1020" s="28"/>
      <c r="I1020" s="25" t="str">
        <f>IF(表1[[#This Row],[Tgl NPBG]]&gt;表1[[#This Row],[Peminta]],表1[[#This Row],[Tgl NPBG]]-表1[[#This Row],[Peminta]],"")</f>
        <v/>
      </c>
      <c r="J1020" s="31"/>
    </row>
    <row r="1021" s="12" customFormat="1" customHeight="1" spans="2:10">
      <c r="B1021" s="25"/>
      <c r="C1021" s="25"/>
      <c r="D1021" s="26" t="str" cm="1">
        <f t="array" ref="D1021">IF(C1021="","",IFERROR(INDEX(STPP!$D$6:$D$4207,MATCH(C1021,STPP!$C$6:$C$4207,0)),"Not Found"))</f>
        <v/>
      </c>
      <c r="E1021" s="27" t="str" cm="1">
        <f t="array" ref="E1021">IF(C1021="","",IFERROR(INDEX(STPP!$E$6:$E$4207,MATCH(C1021,STPP!$C$6:$C$4207,0)),"Not Found"))</f>
        <v/>
      </c>
      <c r="F1021" s="27" t="str" cm="1">
        <f t="array" ref="F1021">IF(C1021="","",IFERROR(INDEX(STPP!$F$6:$F$4207,MATCH(C1021,STPP!$C$6:$C$4207,0)),"Not Found"))</f>
        <v/>
      </c>
      <c r="G1021" s="25" t="str">
        <f>IF(表1[[#This Row],[No Seri]]="","",表1[[#This Row],[Deskripsi Barang]]+表1[[#This Row],[Kuantitas]]-表1[[#This Row],[Satuan]])</f>
        <v/>
      </c>
      <c r="H1021" s="28"/>
      <c r="I1021" s="25" t="str">
        <f>IF(表1[[#This Row],[Tgl NPBG]]&gt;表1[[#This Row],[Peminta]],表1[[#This Row],[Tgl NPBG]]-表1[[#This Row],[Peminta]],"")</f>
        <v/>
      </c>
      <c r="J1021" s="31"/>
    </row>
    <row r="1022" s="12" customFormat="1" customHeight="1" spans="2:10">
      <c r="B1022" s="25"/>
      <c r="C1022" s="25"/>
      <c r="D1022" s="26" t="str" cm="1">
        <f t="array" ref="D1022">IF(C1022="","",IFERROR(INDEX(STPP!$D$6:$D$4207,MATCH(C1022,STPP!$C$6:$C$4207,0)),"Not Found"))</f>
        <v/>
      </c>
      <c r="E1022" s="27" t="str" cm="1">
        <f t="array" ref="E1022">IF(C1022="","",IFERROR(INDEX(STPP!$E$6:$E$4207,MATCH(C1022,STPP!$C$6:$C$4207,0)),"Not Found"))</f>
        <v/>
      </c>
      <c r="F1022" s="27" t="str" cm="1">
        <f t="array" ref="F1022">IF(C1022="","",IFERROR(INDEX(STPP!$F$6:$F$4207,MATCH(C1022,STPP!$C$6:$C$4207,0)),"Not Found"))</f>
        <v/>
      </c>
      <c r="G1022" s="25" t="str">
        <f>IF(表1[[#This Row],[No Seri]]="","",表1[[#This Row],[Deskripsi Barang]]+表1[[#This Row],[Kuantitas]]-表1[[#This Row],[Satuan]])</f>
        <v/>
      </c>
      <c r="H1022" s="28"/>
      <c r="I1022" s="25" t="str">
        <f>IF(表1[[#This Row],[Tgl NPBG]]&gt;表1[[#This Row],[Peminta]],表1[[#This Row],[Tgl NPBG]]-表1[[#This Row],[Peminta]],"")</f>
        <v/>
      </c>
      <c r="J1022" s="31"/>
    </row>
    <row r="1023" s="12" customFormat="1" customHeight="1" spans="2:10">
      <c r="B1023" s="25"/>
      <c r="C1023" s="25"/>
      <c r="D1023" s="26" t="str" cm="1">
        <f t="array" ref="D1023">IF(C1023="","",IFERROR(INDEX(STPP!$D$6:$D$4207,MATCH(C1023,STPP!$C$6:$C$4207,0)),"Not Found"))</f>
        <v/>
      </c>
      <c r="E1023" s="27" t="str" cm="1">
        <f t="array" ref="E1023">IF(C1023="","",IFERROR(INDEX(STPP!$E$6:$E$4207,MATCH(C1023,STPP!$C$6:$C$4207,0)),"Not Found"))</f>
        <v/>
      </c>
      <c r="F1023" s="27" t="str" cm="1">
        <f t="array" ref="F1023">IF(C1023="","",IFERROR(INDEX(STPP!$F$6:$F$4207,MATCH(C1023,STPP!$C$6:$C$4207,0)),"Not Found"))</f>
        <v/>
      </c>
      <c r="G1023" s="25" t="str">
        <f>IF(表1[[#This Row],[No Seri]]="","",表1[[#This Row],[Deskripsi Barang]]+表1[[#This Row],[Kuantitas]]-表1[[#This Row],[Satuan]])</f>
        <v/>
      </c>
      <c r="H1023" s="28"/>
      <c r="I1023" s="25" t="str">
        <f>IF(表1[[#This Row],[Tgl NPBG]]&gt;表1[[#This Row],[Peminta]],表1[[#This Row],[Tgl NPBG]]-表1[[#This Row],[Peminta]],"")</f>
        <v/>
      </c>
      <c r="J1023" s="31"/>
    </row>
    <row r="1024" s="12" customFormat="1" customHeight="1" spans="2:10">
      <c r="B1024" s="25"/>
      <c r="C1024" s="25"/>
      <c r="D1024" s="26" t="str" cm="1">
        <f t="array" ref="D1024">IF(C1024="","",IFERROR(INDEX(STPP!$D$6:$D$4207,MATCH(C1024,STPP!$C$6:$C$4207,0)),"Not Found"))</f>
        <v/>
      </c>
      <c r="E1024" s="27" t="str" cm="1">
        <f t="array" ref="E1024">IF(C1024="","",IFERROR(INDEX(STPP!$E$6:$E$4207,MATCH(C1024,STPP!$C$6:$C$4207,0)),"Not Found"))</f>
        <v/>
      </c>
      <c r="F1024" s="27" t="str" cm="1">
        <f t="array" ref="F1024">IF(C1024="","",IFERROR(INDEX(STPP!$F$6:$F$4207,MATCH(C1024,STPP!$C$6:$C$4207,0)),"Not Found"))</f>
        <v/>
      </c>
      <c r="G1024" s="25" t="str">
        <f>IF(表1[[#This Row],[No Seri]]="","",表1[[#This Row],[Deskripsi Barang]]+表1[[#This Row],[Kuantitas]]-表1[[#This Row],[Satuan]])</f>
        <v/>
      </c>
      <c r="H1024" s="28"/>
      <c r="I1024" s="25" t="str">
        <f>IF(表1[[#This Row],[Tgl NPBG]]&gt;表1[[#This Row],[Peminta]],表1[[#This Row],[Tgl NPBG]]-表1[[#This Row],[Peminta]],"")</f>
        <v/>
      </c>
      <c r="J1024" s="31"/>
    </row>
    <row r="1025" s="12" customFormat="1" customHeight="1" spans="2:10">
      <c r="B1025" s="25"/>
      <c r="C1025" s="25"/>
      <c r="D1025" s="26" t="str" cm="1">
        <f t="array" ref="D1025">IF(C1025="","",IFERROR(INDEX(STPP!$D$6:$D$4207,MATCH(C1025,STPP!$C$6:$C$4207,0)),"Not Found"))</f>
        <v/>
      </c>
      <c r="E1025" s="27" t="str" cm="1">
        <f t="array" ref="E1025">IF(C1025="","",IFERROR(INDEX(STPP!$E$6:$E$4207,MATCH(C1025,STPP!$C$6:$C$4207,0)),"Not Found"))</f>
        <v/>
      </c>
      <c r="F1025" s="27" t="str" cm="1">
        <f t="array" ref="F1025">IF(C1025="","",IFERROR(INDEX(STPP!$F$6:$F$4207,MATCH(C1025,STPP!$C$6:$C$4207,0)),"Not Found"))</f>
        <v/>
      </c>
      <c r="G1025" s="25" t="str">
        <f>IF(表1[[#This Row],[No Seri]]="","",表1[[#This Row],[Deskripsi Barang]]+表1[[#This Row],[Kuantitas]]-表1[[#This Row],[Satuan]])</f>
        <v/>
      </c>
      <c r="H1025" s="28"/>
      <c r="I1025" s="25" t="str">
        <f>IF(表1[[#This Row],[Tgl NPBG]]&gt;表1[[#This Row],[Peminta]],表1[[#This Row],[Tgl NPBG]]-表1[[#This Row],[Peminta]],"")</f>
        <v/>
      </c>
      <c r="J1025" s="31"/>
    </row>
    <row r="1026" s="12" customFormat="1" customHeight="1" spans="2:10">
      <c r="B1026" s="25"/>
      <c r="C1026" s="25"/>
      <c r="D1026" s="26" t="str" cm="1">
        <f t="array" ref="D1026">IF(C1026="","",IFERROR(INDEX(STPP!$D$6:$D$4207,MATCH(C1026,STPP!$C$6:$C$4207,0)),"Not Found"))</f>
        <v/>
      </c>
      <c r="E1026" s="27" t="str" cm="1">
        <f t="array" ref="E1026">IF(C1026="","",IFERROR(INDEX(STPP!$E$6:$E$4207,MATCH(C1026,STPP!$C$6:$C$4207,0)),"Not Found"))</f>
        <v/>
      </c>
      <c r="F1026" s="27" t="str" cm="1">
        <f t="array" ref="F1026">IF(C1026="","",IFERROR(INDEX(STPP!$F$6:$F$4207,MATCH(C1026,STPP!$C$6:$C$4207,0)),"Not Found"))</f>
        <v/>
      </c>
      <c r="G1026" s="25" t="str">
        <f>IF(表1[[#This Row],[No Seri]]="","",表1[[#This Row],[Deskripsi Barang]]+表1[[#This Row],[Kuantitas]]-表1[[#This Row],[Satuan]])</f>
        <v/>
      </c>
      <c r="H1026" s="28"/>
      <c r="I1026" s="25" t="str">
        <f>IF(表1[[#This Row],[Tgl NPBG]]&gt;表1[[#This Row],[Peminta]],表1[[#This Row],[Tgl NPBG]]-表1[[#This Row],[Peminta]],"")</f>
        <v/>
      </c>
      <c r="J1026" s="31"/>
    </row>
    <row r="1027" s="12" customFormat="1" customHeight="1" spans="2:10">
      <c r="B1027" s="25"/>
      <c r="C1027" s="25"/>
      <c r="D1027" s="26" t="str" cm="1">
        <f t="array" ref="D1027">IF(C1027="","",IFERROR(INDEX(STPP!$D$6:$D$4207,MATCH(C1027,STPP!$C$6:$C$4207,0)),"Not Found"))</f>
        <v/>
      </c>
      <c r="E1027" s="27" t="str" cm="1">
        <f t="array" ref="E1027">IF(C1027="","",IFERROR(INDEX(STPP!$E$6:$E$4207,MATCH(C1027,STPP!$C$6:$C$4207,0)),"Not Found"))</f>
        <v/>
      </c>
      <c r="F1027" s="27" t="str" cm="1">
        <f t="array" ref="F1027">IF(C1027="","",IFERROR(INDEX(STPP!$F$6:$F$4207,MATCH(C1027,STPP!$C$6:$C$4207,0)),"Not Found"))</f>
        <v/>
      </c>
      <c r="G1027" s="25" t="str">
        <f>IF(表1[[#This Row],[No Seri]]="","",表1[[#This Row],[Deskripsi Barang]]+表1[[#This Row],[Kuantitas]]-表1[[#This Row],[Satuan]])</f>
        <v/>
      </c>
      <c r="H1027" s="28"/>
      <c r="I1027" s="25" t="str">
        <f>IF(表1[[#This Row],[Tgl NPBG]]&gt;表1[[#This Row],[Peminta]],表1[[#This Row],[Tgl NPBG]]-表1[[#This Row],[Peminta]],"")</f>
        <v/>
      </c>
      <c r="J1027" s="31"/>
    </row>
    <row r="1028" s="12" customFormat="1" customHeight="1" spans="2:10">
      <c r="B1028" s="25"/>
      <c r="C1028" s="25"/>
      <c r="D1028" s="26" t="str" cm="1">
        <f t="array" ref="D1028">IF(C1028="","",IFERROR(INDEX(STPP!$D$6:$D$4207,MATCH(C1028,STPP!$C$6:$C$4207,0)),"Not Found"))</f>
        <v/>
      </c>
      <c r="E1028" s="27" t="str" cm="1">
        <f t="array" ref="E1028">IF(C1028="","",IFERROR(INDEX(STPP!$E$6:$E$4207,MATCH(C1028,STPP!$C$6:$C$4207,0)),"Not Found"))</f>
        <v/>
      </c>
      <c r="F1028" s="27" t="str" cm="1">
        <f t="array" ref="F1028">IF(C1028="","",IFERROR(INDEX(STPP!$F$6:$F$4207,MATCH(C1028,STPP!$C$6:$C$4207,0)),"Not Found"))</f>
        <v/>
      </c>
      <c r="G1028" s="25" t="str">
        <f>IF(表1[[#This Row],[No Seri]]="","",表1[[#This Row],[Deskripsi Barang]]+表1[[#This Row],[Kuantitas]]-表1[[#This Row],[Satuan]])</f>
        <v/>
      </c>
      <c r="H1028" s="28"/>
      <c r="I1028" s="25" t="str">
        <f>IF(表1[[#This Row],[Tgl NPBG]]&gt;表1[[#This Row],[Peminta]],表1[[#This Row],[Tgl NPBG]]-表1[[#This Row],[Peminta]],"")</f>
        <v/>
      </c>
      <c r="J1028" s="31"/>
    </row>
    <row r="1029" s="12" customFormat="1" customHeight="1" spans="2:10">
      <c r="B1029" s="25"/>
      <c r="C1029" s="25"/>
      <c r="D1029" s="26" t="str" cm="1">
        <f t="array" ref="D1029">IF(C1029="","",IFERROR(INDEX(STPP!$D$6:$D$4207,MATCH(C1029,STPP!$C$6:$C$4207,0)),"Not Found"))</f>
        <v/>
      </c>
      <c r="E1029" s="27" t="str" cm="1">
        <f t="array" ref="E1029">IF(C1029="","",IFERROR(INDEX(STPP!$E$6:$E$4207,MATCH(C1029,STPP!$C$6:$C$4207,0)),"Not Found"))</f>
        <v/>
      </c>
      <c r="F1029" s="27" t="str" cm="1">
        <f t="array" ref="F1029">IF(C1029="","",IFERROR(INDEX(STPP!$F$6:$F$4207,MATCH(C1029,STPP!$C$6:$C$4207,0)),"Not Found"))</f>
        <v/>
      </c>
      <c r="G1029" s="25" t="str">
        <f>IF(表1[[#This Row],[No Seri]]="","",表1[[#This Row],[Deskripsi Barang]]+表1[[#This Row],[Kuantitas]]-表1[[#This Row],[Satuan]])</f>
        <v/>
      </c>
      <c r="H1029" s="28"/>
      <c r="I1029" s="25" t="str">
        <f>IF(表1[[#This Row],[Tgl NPBG]]&gt;表1[[#This Row],[Peminta]],表1[[#This Row],[Tgl NPBG]]-表1[[#This Row],[Peminta]],"")</f>
        <v/>
      </c>
      <c r="J1029" s="31"/>
    </row>
    <row r="1030" s="12" customFormat="1" customHeight="1" spans="2:10">
      <c r="B1030" s="25"/>
      <c r="C1030" s="25"/>
      <c r="D1030" s="26" t="str" cm="1">
        <f t="array" ref="D1030">IF(C1030="","",IFERROR(INDEX(STPP!$D$6:$D$4207,MATCH(C1030,STPP!$C$6:$C$4207,0)),"Not Found"))</f>
        <v/>
      </c>
      <c r="E1030" s="27" t="str" cm="1">
        <f t="array" ref="E1030">IF(C1030="","",IFERROR(INDEX(STPP!$E$6:$E$4207,MATCH(C1030,STPP!$C$6:$C$4207,0)),"Not Found"))</f>
        <v/>
      </c>
      <c r="F1030" s="27" t="str" cm="1">
        <f t="array" ref="F1030">IF(C1030="","",IFERROR(INDEX(STPP!$F$6:$F$4207,MATCH(C1030,STPP!$C$6:$C$4207,0)),"Not Found"))</f>
        <v/>
      </c>
      <c r="G1030" s="25" t="str">
        <f>IF(表1[[#This Row],[No Seri]]="","",表1[[#This Row],[Deskripsi Barang]]+表1[[#This Row],[Kuantitas]]-表1[[#This Row],[Satuan]])</f>
        <v/>
      </c>
      <c r="H1030" s="28"/>
      <c r="I1030" s="25" t="str">
        <f>IF(表1[[#This Row],[Tgl NPBG]]&gt;表1[[#This Row],[Peminta]],表1[[#This Row],[Tgl NPBG]]-表1[[#This Row],[Peminta]],"")</f>
        <v/>
      </c>
      <c r="J1030" s="31"/>
    </row>
    <row r="1031" s="12" customFormat="1" customHeight="1" spans="2:10">
      <c r="B1031" s="25"/>
      <c r="C1031" s="25"/>
      <c r="D1031" s="26" t="str" cm="1">
        <f t="array" ref="D1031">IF(C1031="","",IFERROR(INDEX(STPP!$D$6:$D$4207,MATCH(C1031,STPP!$C$6:$C$4207,0)),"Not Found"))</f>
        <v/>
      </c>
      <c r="E1031" s="27" t="str" cm="1">
        <f t="array" ref="E1031">IF(C1031="","",IFERROR(INDEX(STPP!$E$6:$E$4207,MATCH(C1031,STPP!$C$6:$C$4207,0)),"Not Found"))</f>
        <v/>
      </c>
      <c r="F1031" s="27" t="str" cm="1">
        <f t="array" ref="F1031">IF(C1031="","",IFERROR(INDEX(STPP!$F$6:$F$4207,MATCH(C1031,STPP!$C$6:$C$4207,0)),"Not Found"))</f>
        <v/>
      </c>
      <c r="G1031" s="25" t="str">
        <f>IF(表1[[#This Row],[No Seri]]="","",表1[[#This Row],[Deskripsi Barang]]+表1[[#This Row],[Kuantitas]]-表1[[#This Row],[Satuan]])</f>
        <v/>
      </c>
      <c r="H1031" s="28"/>
      <c r="I1031" s="25" t="str">
        <f>IF(表1[[#This Row],[Tgl NPBG]]&gt;表1[[#This Row],[Peminta]],表1[[#This Row],[Tgl NPBG]]-表1[[#This Row],[Peminta]],"")</f>
        <v/>
      </c>
      <c r="J1031" s="31"/>
    </row>
    <row r="1032" s="12" customFormat="1" customHeight="1" spans="2:10">
      <c r="B1032" s="25"/>
      <c r="C1032" s="25"/>
      <c r="D1032" s="26" t="str" cm="1">
        <f t="array" ref="D1032">IF(C1032="","",IFERROR(INDEX(STPP!$D$6:$D$4207,MATCH(C1032,STPP!$C$6:$C$4207,0)),"Not Found"))</f>
        <v/>
      </c>
      <c r="E1032" s="27" t="str" cm="1">
        <f t="array" ref="E1032">IF(C1032="","",IFERROR(INDEX(STPP!$E$6:$E$4207,MATCH(C1032,STPP!$C$6:$C$4207,0)),"Not Found"))</f>
        <v/>
      </c>
      <c r="F1032" s="27" t="str" cm="1">
        <f t="array" ref="F1032">IF(C1032="","",IFERROR(INDEX(STPP!$F$6:$F$4207,MATCH(C1032,STPP!$C$6:$C$4207,0)),"Not Found"))</f>
        <v/>
      </c>
      <c r="G1032" s="25" t="str">
        <f>IF(表1[[#This Row],[No Seri]]="","",表1[[#This Row],[Deskripsi Barang]]+表1[[#This Row],[Kuantitas]]-表1[[#This Row],[Satuan]])</f>
        <v/>
      </c>
      <c r="H1032" s="28"/>
      <c r="I1032" s="25" t="str">
        <f>IF(表1[[#This Row],[Tgl NPBG]]&gt;表1[[#This Row],[Peminta]],表1[[#This Row],[Tgl NPBG]]-表1[[#This Row],[Peminta]],"")</f>
        <v/>
      </c>
      <c r="J1032" s="31"/>
    </row>
    <row r="1033" s="12" customFormat="1" customHeight="1" spans="2:10">
      <c r="B1033" s="25"/>
      <c r="C1033" s="25"/>
      <c r="D1033" s="26" t="str" cm="1">
        <f t="array" ref="D1033">IF(C1033="","",IFERROR(INDEX(STPP!$D$6:$D$4207,MATCH(C1033,STPP!$C$6:$C$4207,0)),"Not Found"))</f>
        <v/>
      </c>
      <c r="E1033" s="27" t="str" cm="1">
        <f t="array" ref="E1033">IF(C1033="","",IFERROR(INDEX(STPP!$E$6:$E$4207,MATCH(C1033,STPP!$C$6:$C$4207,0)),"Not Found"))</f>
        <v/>
      </c>
      <c r="F1033" s="27" t="str" cm="1">
        <f t="array" ref="F1033">IF(C1033="","",IFERROR(INDEX(STPP!$F$6:$F$4207,MATCH(C1033,STPP!$C$6:$C$4207,0)),"Not Found"))</f>
        <v/>
      </c>
      <c r="G1033" s="25" t="str">
        <f>IF(表1[[#This Row],[No Seri]]="","",表1[[#This Row],[Deskripsi Barang]]+表1[[#This Row],[Kuantitas]]-表1[[#This Row],[Satuan]])</f>
        <v/>
      </c>
      <c r="H1033" s="28"/>
      <c r="I1033" s="25" t="str">
        <f>IF(表1[[#This Row],[Tgl NPBG]]&gt;表1[[#This Row],[Peminta]],表1[[#This Row],[Tgl NPBG]]-表1[[#This Row],[Peminta]],"")</f>
        <v/>
      </c>
      <c r="J1033" s="31"/>
    </row>
    <row r="1034" s="12" customFormat="1" customHeight="1" spans="2:10">
      <c r="B1034" s="25"/>
      <c r="C1034" s="25"/>
      <c r="D1034" s="26" t="str" cm="1">
        <f t="array" ref="D1034">IF(C1034="","",IFERROR(INDEX(STPP!$D$6:$D$4207,MATCH(C1034,STPP!$C$6:$C$4207,0)),"Not Found"))</f>
        <v/>
      </c>
      <c r="E1034" s="27" t="str" cm="1">
        <f t="array" ref="E1034">IF(C1034="","",IFERROR(INDEX(STPP!$E$6:$E$4207,MATCH(C1034,STPP!$C$6:$C$4207,0)),"Not Found"))</f>
        <v/>
      </c>
      <c r="F1034" s="27" t="str" cm="1">
        <f t="array" ref="F1034">IF(C1034="","",IFERROR(INDEX(STPP!$F$6:$F$4207,MATCH(C1034,STPP!$C$6:$C$4207,0)),"Not Found"))</f>
        <v/>
      </c>
      <c r="G1034" s="25" t="str">
        <f>IF(表1[[#This Row],[No Seri]]="","",表1[[#This Row],[Deskripsi Barang]]+表1[[#This Row],[Kuantitas]]-表1[[#This Row],[Satuan]])</f>
        <v/>
      </c>
      <c r="H1034" s="28"/>
      <c r="I1034" s="25" t="str">
        <f>IF(表1[[#This Row],[Tgl NPBG]]&gt;表1[[#This Row],[Peminta]],表1[[#This Row],[Tgl NPBG]]-表1[[#This Row],[Peminta]],"")</f>
        <v/>
      </c>
      <c r="J1034" s="31"/>
    </row>
    <row r="1035" s="12" customFormat="1" customHeight="1" spans="2:10">
      <c r="B1035" s="25"/>
      <c r="C1035" s="25"/>
      <c r="D1035" s="26" t="str" cm="1">
        <f t="array" ref="D1035">IF(C1035="","",IFERROR(INDEX(STPP!$D$6:$D$4207,MATCH(C1035,STPP!$C$6:$C$4207,0)),"Not Found"))</f>
        <v/>
      </c>
      <c r="E1035" s="27" t="str" cm="1">
        <f t="array" ref="E1035">IF(C1035="","",IFERROR(INDEX(STPP!$E$6:$E$4207,MATCH(C1035,STPP!$C$6:$C$4207,0)),"Not Found"))</f>
        <v/>
      </c>
      <c r="F1035" s="27" t="str" cm="1">
        <f t="array" ref="F1035">IF(C1035="","",IFERROR(INDEX(STPP!$F$6:$F$4207,MATCH(C1035,STPP!$C$6:$C$4207,0)),"Not Found"))</f>
        <v/>
      </c>
      <c r="G1035" s="25" t="str">
        <f>IF(表1[[#This Row],[No Seri]]="","",表1[[#This Row],[Deskripsi Barang]]+表1[[#This Row],[Kuantitas]]-表1[[#This Row],[Satuan]])</f>
        <v/>
      </c>
      <c r="H1035" s="28"/>
      <c r="I1035" s="25" t="str">
        <f>IF(表1[[#This Row],[Tgl NPBG]]&gt;表1[[#This Row],[Peminta]],表1[[#This Row],[Tgl NPBG]]-表1[[#This Row],[Peminta]],"")</f>
        <v/>
      </c>
      <c r="J1035" s="31"/>
    </row>
    <row r="1036" s="12" customFormat="1" customHeight="1" spans="2:10">
      <c r="B1036" s="25"/>
      <c r="C1036" s="25"/>
      <c r="D1036" s="26" t="str" cm="1">
        <f t="array" ref="D1036">IF(C1036="","",IFERROR(INDEX(STPP!$D$6:$D$4207,MATCH(C1036,STPP!$C$6:$C$4207,0)),"Not Found"))</f>
        <v/>
      </c>
      <c r="E1036" s="27" t="str" cm="1">
        <f t="array" ref="E1036">IF(C1036="","",IFERROR(INDEX(STPP!$E$6:$E$4207,MATCH(C1036,STPP!$C$6:$C$4207,0)),"Not Found"))</f>
        <v/>
      </c>
      <c r="F1036" s="27" t="str" cm="1">
        <f t="array" ref="F1036">IF(C1036="","",IFERROR(INDEX(STPP!$F$6:$F$4207,MATCH(C1036,STPP!$C$6:$C$4207,0)),"Not Found"))</f>
        <v/>
      </c>
      <c r="G1036" s="25" t="str">
        <f>IF(表1[[#This Row],[No Seri]]="","",表1[[#This Row],[Deskripsi Barang]]+表1[[#This Row],[Kuantitas]]-表1[[#This Row],[Satuan]])</f>
        <v/>
      </c>
      <c r="H1036" s="28"/>
      <c r="I1036" s="25" t="str">
        <f>IF(表1[[#This Row],[Tgl NPBG]]&gt;表1[[#This Row],[Peminta]],表1[[#This Row],[Tgl NPBG]]-表1[[#This Row],[Peminta]],"")</f>
        <v/>
      </c>
      <c r="J1036" s="31"/>
    </row>
    <row r="1037" s="12" customFormat="1" customHeight="1" spans="2:10">
      <c r="B1037" s="25"/>
      <c r="C1037" s="25"/>
      <c r="D1037" s="26" t="str" cm="1">
        <f t="array" ref="D1037">IF(C1037="","",IFERROR(INDEX(STPP!$D$6:$D$4207,MATCH(C1037,STPP!$C$6:$C$4207,0)),"Not Found"))</f>
        <v/>
      </c>
      <c r="E1037" s="27" t="str" cm="1">
        <f t="array" ref="E1037">IF(C1037="","",IFERROR(INDEX(STPP!$E$6:$E$4207,MATCH(C1037,STPP!$C$6:$C$4207,0)),"Not Found"))</f>
        <v/>
      </c>
      <c r="F1037" s="27" t="str" cm="1">
        <f t="array" ref="F1037">IF(C1037="","",IFERROR(INDEX(STPP!$F$6:$F$4207,MATCH(C1037,STPP!$C$6:$C$4207,0)),"Not Found"))</f>
        <v/>
      </c>
      <c r="G1037" s="25" t="str">
        <f>IF(表1[[#This Row],[No Seri]]="","",表1[[#This Row],[Deskripsi Barang]]+表1[[#This Row],[Kuantitas]]-表1[[#This Row],[Satuan]])</f>
        <v/>
      </c>
      <c r="H1037" s="28"/>
      <c r="I1037" s="25" t="str">
        <f>IF(表1[[#This Row],[Tgl NPBG]]&gt;表1[[#This Row],[Peminta]],表1[[#This Row],[Tgl NPBG]]-表1[[#This Row],[Peminta]],"")</f>
        <v/>
      </c>
      <c r="J1037" s="31"/>
    </row>
    <row r="1038" s="12" customFormat="1" customHeight="1" spans="2:10">
      <c r="B1038" s="25"/>
      <c r="C1038" s="25"/>
      <c r="D1038" s="26" t="str" cm="1">
        <f t="array" ref="D1038">IF(C1038="","",IFERROR(INDEX(STPP!$D$6:$D$4207,MATCH(C1038,STPP!$C$6:$C$4207,0)),"Not Found"))</f>
        <v/>
      </c>
      <c r="E1038" s="27" t="str" cm="1">
        <f t="array" ref="E1038">IF(C1038="","",IFERROR(INDEX(STPP!$E$6:$E$4207,MATCH(C1038,STPP!$C$6:$C$4207,0)),"Not Found"))</f>
        <v/>
      </c>
      <c r="F1038" s="27" t="str" cm="1">
        <f t="array" ref="F1038">IF(C1038="","",IFERROR(INDEX(STPP!$F$6:$F$4207,MATCH(C1038,STPP!$C$6:$C$4207,0)),"Not Found"))</f>
        <v/>
      </c>
      <c r="G1038" s="25" t="str">
        <f>IF(表1[[#This Row],[No Seri]]="","",表1[[#This Row],[Deskripsi Barang]]+表1[[#This Row],[Kuantitas]]-表1[[#This Row],[Satuan]])</f>
        <v/>
      </c>
      <c r="H1038" s="28"/>
      <c r="I1038" s="25" t="str">
        <f>IF(表1[[#This Row],[Tgl NPBG]]&gt;表1[[#This Row],[Peminta]],表1[[#This Row],[Tgl NPBG]]-表1[[#This Row],[Peminta]],"")</f>
        <v/>
      </c>
      <c r="J1038" s="31"/>
    </row>
    <row r="1039" s="12" customFormat="1" customHeight="1" spans="2:10">
      <c r="B1039" s="25"/>
      <c r="C1039" s="25"/>
      <c r="D1039" s="26" t="str" cm="1">
        <f t="array" ref="D1039">IF(C1039="","",IFERROR(INDEX(STPP!$D$6:$D$4207,MATCH(C1039,STPP!$C$6:$C$4207,0)),"Not Found"))</f>
        <v/>
      </c>
      <c r="E1039" s="27" t="str" cm="1">
        <f t="array" ref="E1039">IF(C1039="","",IFERROR(INDEX(STPP!$E$6:$E$4207,MATCH(C1039,STPP!$C$6:$C$4207,0)),"Not Found"))</f>
        <v/>
      </c>
      <c r="F1039" s="27" t="str" cm="1">
        <f t="array" ref="F1039">IF(C1039="","",IFERROR(INDEX(STPP!$F$6:$F$4207,MATCH(C1039,STPP!$C$6:$C$4207,0)),"Not Found"))</f>
        <v/>
      </c>
      <c r="G1039" s="25" t="str">
        <f>IF(表1[[#This Row],[No Seri]]="","",表1[[#This Row],[Deskripsi Barang]]+表1[[#This Row],[Kuantitas]]-表1[[#This Row],[Satuan]])</f>
        <v/>
      </c>
      <c r="H1039" s="28"/>
      <c r="I1039" s="25" t="str">
        <f>IF(表1[[#This Row],[Tgl NPBG]]&gt;表1[[#This Row],[Peminta]],表1[[#This Row],[Tgl NPBG]]-表1[[#This Row],[Peminta]],"")</f>
        <v/>
      </c>
      <c r="J1039" s="31"/>
    </row>
    <row r="1040" s="12" customFormat="1" customHeight="1" spans="2:10">
      <c r="B1040" s="25"/>
      <c r="C1040" s="25"/>
      <c r="D1040" s="26" t="str" cm="1">
        <f t="array" ref="D1040">IF(C1040="","",IFERROR(INDEX(STPP!$D$6:$D$4207,MATCH(C1040,STPP!$C$6:$C$4207,0)),"Not Found"))</f>
        <v/>
      </c>
      <c r="E1040" s="27" t="str" cm="1">
        <f t="array" ref="E1040">IF(C1040="","",IFERROR(INDEX(STPP!$E$6:$E$4207,MATCH(C1040,STPP!$C$6:$C$4207,0)),"Not Found"))</f>
        <v/>
      </c>
      <c r="F1040" s="27" t="str" cm="1">
        <f t="array" ref="F1040">IF(C1040="","",IFERROR(INDEX(STPP!$F$6:$F$4207,MATCH(C1040,STPP!$C$6:$C$4207,0)),"Not Found"))</f>
        <v/>
      </c>
      <c r="G1040" s="25" t="str">
        <f>IF(表1[[#This Row],[No Seri]]="","",表1[[#This Row],[Deskripsi Barang]]+表1[[#This Row],[Kuantitas]]-表1[[#This Row],[Satuan]])</f>
        <v/>
      </c>
      <c r="H1040" s="28"/>
      <c r="I1040" s="25" t="str">
        <f>IF(表1[[#This Row],[Tgl NPBG]]&gt;表1[[#This Row],[Peminta]],表1[[#This Row],[Tgl NPBG]]-表1[[#This Row],[Peminta]],"")</f>
        <v/>
      </c>
      <c r="J1040" s="31"/>
    </row>
    <row r="1041" s="12" customFormat="1" customHeight="1" spans="2:10">
      <c r="B1041" s="25"/>
      <c r="C1041" s="25"/>
      <c r="D1041" s="26" t="str" cm="1">
        <f t="array" ref="D1041">IF(C1041="","",IFERROR(INDEX(STPP!$D$6:$D$4207,MATCH(C1041,STPP!$C$6:$C$4207,0)),"Not Found"))</f>
        <v/>
      </c>
      <c r="E1041" s="27" t="str" cm="1">
        <f t="array" ref="E1041">IF(C1041="","",IFERROR(INDEX(STPP!$E$6:$E$4207,MATCH(C1041,STPP!$C$6:$C$4207,0)),"Not Found"))</f>
        <v/>
      </c>
      <c r="F1041" s="27" t="str" cm="1">
        <f t="array" ref="F1041">IF(C1041="","",IFERROR(INDEX(STPP!$F$6:$F$4207,MATCH(C1041,STPP!$C$6:$C$4207,0)),"Not Found"))</f>
        <v/>
      </c>
      <c r="G1041" s="25" t="str">
        <f>IF(表1[[#This Row],[No Seri]]="","",表1[[#This Row],[Deskripsi Barang]]+表1[[#This Row],[Kuantitas]]-表1[[#This Row],[Satuan]])</f>
        <v/>
      </c>
      <c r="H1041" s="28"/>
      <c r="I1041" s="25" t="str">
        <f>IF(表1[[#This Row],[Tgl NPBG]]&gt;表1[[#This Row],[Peminta]],表1[[#This Row],[Tgl NPBG]]-表1[[#This Row],[Peminta]],"")</f>
        <v/>
      </c>
      <c r="J1041" s="31"/>
    </row>
    <row r="1042" s="12" customFormat="1" customHeight="1" spans="2:10">
      <c r="B1042" s="25"/>
      <c r="C1042" s="25"/>
      <c r="D1042" s="26" t="str" cm="1">
        <f t="array" ref="D1042">IF(C1042="","",IFERROR(INDEX(STPP!$D$6:$D$4207,MATCH(C1042,STPP!$C$6:$C$4207,0)),"Not Found"))</f>
        <v/>
      </c>
      <c r="E1042" s="27" t="str" cm="1">
        <f t="array" ref="E1042">IF(C1042="","",IFERROR(INDEX(STPP!$E$6:$E$4207,MATCH(C1042,STPP!$C$6:$C$4207,0)),"Not Found"))</f>
        <v/>
      </c>
      <c r="F1042" s="27" t="str" cm="1">
        <f t="array" ref="F1042">IF(C1042="","",IFERROR(INDEX(STPP!$F$6:$F$4207,MATCH(C1042,STPP!$C$6:$C$4207,0)),"Not Found"))</f>
        <v/>
      </c>
      <c r="G1042" s="25" t="str">
        <f>IF(表1[[#This Row],[No Seri]]="","",表1[[#This Row],[Deskripsi Barang]]+表1[[#This Row],[Kuantitas]]-表1[[#This Row],[Satuan]])</f>
        <v/>
      </c>
      <c r="H1042" s="28"/>
      <c r="I1042" s="25" t="str">
        <f>IF(表1[[#This Row],[Tgl NPBG]]&gt;表1[[#This Row],[Peminta]],表1[[#This Row],[Tgl NPBG]]-表1[[#This Row],[Peminta]],"")</f>
        <v/>
      </c>
      <c r="J1042" s="31"/>
    </row>
    <row r="1043" s="12" customFormat="1" customHeight="1" spans="2:10">
      <c r="B1043" s="25"/>
      <c r="C1043" s="25"/>
      <c r="D1043" s="26" t="str" cm="1">
        <f t="array" ref="D1043">IF(C1043="","",IFERROR(INDEX(STPP!$D$6:$D$4207,MATCH(C1043,STPP!$C$6:$C$4207,0)),"Not Found"))</f>
        <v/>
      </c>
      <c r="E1043" s="27" t="str" cm="1">
        <f t="array" ref="E1043">IF(C1043="","",IFERROR(INDEX(STPP!$E$6:$E$4207,MATCH(C1043,STPP!$C$6:$C$4207,0)),"Not Found"))</f>
        <v/>
      </c>
      <c r="F1043" s="27" t="str" cm="1">
        <f t="array" ref="F1043">IF(C1043="","",IFERROR(INDEX(STPP!$F$6:$F$4207,MATCH(C1043,STPP!$C$6:$C$4207,0)),"Not Found"))</f>
        <v/>
      </c>
      <c r="G1043" s="25" t="str">
        <f>IF(表1[[#This Row],[No Seri]]="","",表1[[#This Row],[Deskripsi Barang]]+表1[[#This Row],[Kuantitas]]-表1[[#This Row],[Satuan]])</f>
        <v/>
      </c>
      <c r="H1043" s="28"/>
      <c r="I1043" s="25" t="str">
        <f>IF(表1[[#This Row],[Tgl NPBG]]&gt;表1[[#This Row],[Peminta]],表1[[#This Row],[Tgl NPBG]]-表1[[#This Row],[Peminta]],"")</f>
        <v/>
      </c>
      <c r="J1043" s="31"/>
    </row>
    <row r="1044" s="12" customFormat="1" customHeight="1" spans="2:10">
      <c r="B1044" s="25"/>
      <c r="C1044" s="25"/>
      <c r="D1044" s="26" t="str" cm="1">
        <f t="array" ref="D1044">IF(C1044="","",IFERROR(INDEX(STPP!$D$6:$D$4207,MATCH(C1044,STPP!$C$6:$C$4207,0)),"Not Found"))</f>
        <v/>
      </c>
      <c r="E1044" s="27" t="str" cm="1">
        <f t="array" ref="E1044">IF(C1044="","",IFERROR(INDEX(STPP!$E$6:$E$4207,MATCH(C1044,STPP!$C$6:$C$4207,0)),"Not Found"))</f>
        <v/>
      </c>
      <c r="F1044" s="27" t="str" cm="1">
        <f t="array" ref="F1044">IF(C1044="","",IFERROR(INDEX(STPP!$F$6:$F$4207,MATCH(C1044,STPP!$C$6:$C$4207,0)),"Not Found"))</f>
        <v/>
      </c>
      <c r="G1044" s="25" t="str">
        <f>IF(表1[[#This Row],[No Seri]]="","",表1[[#This Row],[Deskripsi Barang]]+表1[[#This Row],[Kuantitas]]-表1[[#This Row],[Satuan]])</f>
        <v/>
      </c>
      <c r="H1044" s="28"/>
      <c r="I1044" s="25" t="str">
        <f>IF(表1[[#This Row],[Tgl NPBG]]&gt;表1[[#This Row],[Peminta]],表1[[#This Row],[Tgl NPBG]]-表1[[#This Row],[Peminta]],"")</f>
        <v/>
      </c>
      <c r="J1044" s="31"/>
    </row>
    <row r="1045" s="12" customFormat="1" customHeight="1" spans="2:10">
      <c r="B1045" s="25"/>
      <c r="C1045" s="25"/>
      <c r="D1045" s="26" t="str" cm="1">
        <f t="array" ref="D1045">IF(C1045="","",IFERROR(INDEX(STPP!$D$6:$D$4207,MATCH(C1045,STPP!$C$6:$C$4207,0)),"Not Found"))</f>
        <v/>
      </c>
      <c r="E1045" s="27" t="str" cm="1">
        <f t="array" ref="E1045">IF(C1045="","",IFERROR(INDEX(STPP!$E$6:$E$4207,MATCH(C1045,STPP!$C$6:$C$4207,0)),"Not Found"))</f>
        <v/>
      </c>
      <c r="F1045" s="27" t="str" cm="1">
        <f t="array" ref="F1045">IF(C1045="","",IFERROR(INDEX(STPP!$F$6:$F$4207,MATCH(C1045,STPP!$C$6:$C$4207,0)),"Not Found"))</f>
        <v/>
      </c>
      <c r="G1045" s="25" t="str">
        <f>IF(表1[[#This Row],[No Seri]]="","",表1[[#This Row],[Deskripsi Barang]]+表1[[#This Row],[Kuantitas]]-表1[[#This Row],[Satuan]])</f>
        <v/>
      </c>
      <c r="H1045" s="28"/>
      <c r="I1045" s="25" t="str">
        <f>IF(表1[[#This Row],[Tgl NPBG]]&gt;表1[[#This Row],[Peminta]],表1[[#This Row],[Tgl NPBG]]-表1[[#This Row],[Peminta]],"")</f>
        <v/>
      </c>
      <c r="J1045" s="31"/>
    </row>
    <row r="1046" s="12" customFormat="1" customHeight="1" spans="2:10">
      <c r="B1046" s="25"/>
      <c r="C1046" s="25"/>
      <c r="D1046" s="26" t="str" cm="1">
        <f t="array" ref="D1046">IF(C1046="","",IFERROR(INDEX(STPP!$D$6:$D$4207,MATCH(C1046,STPP!$C$6:$C$4207,0)),"Not Found"))</f>
        <v/>
      </c>
      <c r="E1046" s="27" t="str" cm="1">
        <f t="array" ref="E1046">IF(C1046="","",IFERROR(INDEX(STPP!$E$6:$E$4207,MATCH(C1046,STPP!$C$6:$C$4207,0)),"Not Found"))</f>
        <v/>
      </c>
      <c r="F1046" s="27" t="str" cm="1">
        <f t="array" ref="F1046">IF(C1046="","",IFERROR(INDEX(STPP!$F$6:$F$4207,MATCH(C1046,STPP!$C$6:$C$4207,0)),"Not Found"))</f>
        <v/>
      </c>
      <c r="G1046" s="25" t="str">
        <f>IF(表1[[#This Row],[No Seri]]="","",表1[[#This Row],[Deskripsi Barang]]+表1[[#This Row],[Kuantitas]]-表1[[#This Row],[Satuan]])</f>
        <v/>
      </c>
      <c r="H1046" s="28"/>
      <c r="I1046" s="25" t="str">
        <f>IF(表1[[#This Row],[Tgl NPBG]]&gt;表1[[#This Row],[Peminta]],表1[[#This Row],[Tgl NPBG]]-表1[[#This Row],[Peminta]],"")</f>
        <v/>
      </c>
      <c r="J1046" s="31"/>
    </row>
    <row r="1047" s="12" customFormat="1" customHeight="1" spans="2:10">
      <c r="B1047" s="25"/>
      <c r="C1047" s="25"/>
      <c r="D1047" s="26" t="str" cm="1">
        <f t="array" ref="D1047">IF(C1047="","",IFERROR(INDEX(STPP!$D$6:$D$4207,MATCH(C1047,STPP!$C$6:$C$4207,0)),"Not Found"))</f>
        <v/>
      </c>
      <c r="E1047" s="27" t="str" cm="1">
        <f t="array" ref="E1047">IF(C1047="","",IFERROR(INDEX(STPP!$E$6:$E$4207,MATCH(C1047,STPP!$C$6:$C$4207,0)),"Not Found"))</f>
        <v/>
      </c>
      <c r="F1047" s="27" t="str" cm="1">
        <f t="array" ref="F1047">IF(C1047="","",IFERROR(INDEX(STPP!$F$6:$F$4207,MATCH(C1047,STPP!$C$6:$C$4207,0)),"Not Found"))</f>
        <v/>
      </c>
      <c r="G1047" s="25" t="str">
        <f>IF(表1[[#This Row],[No Seri]]="","",表1[[#This Row],[Deskripsi Barang]]+表1[[#This Row],[Kuantitas]]-表1[[#This Row],[Satuan]])</f>
        <v/>
      </c>
      <c r="H1047" s="28"/>
      <c r="I1047" s="25" t="str">
        <f>IF(表1[[#This Row],[Tgl NPBG]]&gt;表1[[#This Row],[Peminta]],表1[[#This Row],[Tgl NPBG]]-表1[[#This Row],[Peminta]],"")</f>
        <v/>
      </c>
      <c r="J1047" s="31"/>
    </row>
    <row r="1048" s="12" customFormat="1" customHeight="1" spans="2:10">
      <c r="B1048" s="25"/>
      <c r="C1048" s="25"/>
      <c r="D1048" s="26" t="str" cm="1">
        <f t="array" ref="D1048">IF(C1048="","",IFERROR(INDEX(STPP!$D$6:$D$4207,MATCH(C1048,STPP!$C$6:$C$4207,0)),"Not Found"))</f>
        <v/>
      </c>
      <c r="E1048" s="27" t="str" cm="1">
        <f t="array" ref="E1048">IF(C1048="","",IFERROR(INDEX(STPP!$E$6:$E$4207,MATCH(C1048,STPP!$C$6:$C$4207,0)),"Not Found"))</f>
        <v/>
      </c>
      <c r="F1048" s="27" t="str" cm="1">
        <f t="array" ref="F1048">IF(C1048="","",IFERROR(INDEX(STPP!$F$6:$F$4207,MATCH(C1048,STPP!$C$6:$C$4207,0)),"Not Found"))</f>
        <v/>
      </c>
      <c r="G1048" s="25" t="str">
        <f>IF(表1[[#This Row],[No Seri]]="","",表1[[#This Row],[Deskripsi Barang]]+表1[[#This Row],[Kuantitas]]-表1[[#This Row],[Satuan]])</f>
        <v/>
      </c>
      <c r="H1048" s="28"/>
      <c r="I1048" s="25" t="str">
        <f>IF(表1[[#This Row],[Tgl NPBG]]&gt;表1[[#This Row],[Peminta]],表1[[#This Row],[Tgl NPBG]]-表1[[#This Row],[Peminta]],"")</f>
        <v/>
      </c>
      <c r="J1048" s="31"/>
    </row>
    <row r="1049" s="12" customFormat="1" customHeight="1" spans="2:10">
      <c r="B1049" s="25"/>
      <c r="C1049" s="25"/>
      <c r="D1049" s="26" t="str" cm="1">
        <f t="array" ref="D1049">IF(C1049="","",IFERROR(INDEX(STPP!$D$6:$D$4207,MATCH(C1049,STPP!$C$6:$C$4207,0)),"Not Found"))</f>
        <v/>
      </c>
      <c r="E1049" s="27" t="str" cm="1">
        <f t="array" ref="E1049">IF(C1049="","",IFERROR(INDEX(STPP!$E$6:$E$4207,MATCH(C1049,STPP!$C$6:$C$4207,0)),"Not Found"))</f>
        <v/>
      </c>
      <c r="F1049" s="27" t="str" cm="1">
        <f t="array" ref="F1049">IF(C1049="","",IFERROR(INDEX(STPP!$F$6:$F$4207,MATCH(C1049,STPP!$C$6:$C$4207,0)),"Not Found"))</f>
        <v/>
      </c>
      <c r="G1049" s="25" t="str">
        <f>IF(表1[[#This Row],[No Seri]]="","",表1[[#This Row],[Deskripsi Barang]]+表1[[#This Row],[Kuantitas]]-表1[[#This Row],[Satuan]])</f>
        <v/>
      </c>
      <c r="H1049" s="28"/>
      <c r="I1049" s="25" t="str">
        <f>IF(表1[[#This Row],[Tgl NPBG]]&gt;表1[[#This Row],[Peminta]],表1[[#This Row],[Tgl NPBG]]-表1[[#This Row],[Peminta]],"")</f>
        <v/>
      </c>
      <c r="J1049" s="31"/>
    </row>
    <row r="1050" s="12" customFormat="1" customHeight="1" spans="2:10">
      <c r="B1050" s="25"/>
      <c r="C1050" s="25"/>
      <c r="D1050" s="26" t="str" cm="1">
        <f t="array" ref="D1050">IF(C1050="","",IFERROR(INDEX(STPP!$D$6:$D$4207,MATCH(C1050,STPP!$C$6:$C$4207,0)),"Not Found"))</f>
        <v/>
      </c>
      <c r="E1050" s="27" t="str" cm="1">
        <f t="array" ref="E1050">IF(C1050="","",IFERROR(INDEX(STPP!$E$6:$E$4207,MATCH(C1050,STPP!$C$6:$C$4207,0)),"Not Found"))</f>
        <v/>
      </c>
      <c r="F1050" s="27" t="str" cm="1">
        <f t="array" ref="F1050">IF(C1050="","",IFERROR(INDEX(STPP!$F$6:$F$4207,MATCH(C1050,STPP!$C$6:$C$4207,0)),"Not Found"))</f>
        <v/>
      </c>
      <c r="G1050" s="25" t="str">
        <f>IF(表1[[#This Row],[No Seri]]="","",表1[[#This Row],[Deskripsi Barang]]+表1[[#This Row],[Kuantitas]]-表1[[#This Row],[Satuan]])</f>
        <v/>
      </c>
      <c r="H1050" s="28"/>
      <c r="I1050" s="25" t="str">
        <f>IF(表1[[#This Row],[Tgl NPBG]]&gt;表1[[#This Row],[Peminta]],表1[[#This Row],[Tgl NPBG]]-表1[[#This Row],[Peminta]],"")</f>
        <v/>
      </c>
      <c r="J1050" s="31"/>
    </row>
    <row r="1051" s="12" customFormat="1" customHeight="1" spans="2:10">
      <c r="B1051" s="25"/>
      <c r="C1051" s="25"/>
      <c r="D1051" s="26" t="str" cm="1">
        <f t="array" ref="D1051">IF(C1051="","",IFERROR(INDEX(STPP!$D$6:$D$4207,MATCH(C1051,STPP!$C$6:$C$4207,0)),"Not Found"))</f>
        <v/>
      </c>
      <c r="E1051" s="27" t="str" cm="1">
        <f t="array" ref="E1051">IF(C1051="","",IFERROR(INDEX(STPP!$E$6:$E$4207,MATCH(C1051,STPP!$C$6:$C$4207,0)),"Not Found"))</f>
        <v/>
      </c>
      <c r="F1051" s="27" t="str" cm="1">
        <f t="array" ref="F1051">IF(C1051="","",IFERROR(INDEX(STPP!$F$6:$F$4207,MATCH(C1051,STPP!$C$6:$C$4207,0)),"Not Found"))</f>
        <v/>
      </c>
      <c r="G1051" s="25" t="str">
        <f>IF(表1[[#This Row],[No Seri]]="","",表1[[#This Row],[Deskripsi Barang]]+表1[[#This Row],[Kuantitas]]-表1[[#This Row],[Satuan]])</f>
        <v/>
      </c>
      <c r="H1051" s="28"/>
      <c r="I1051" s="25" t="str">
        <f>IF(表1[[#This Row],[Tgl NPBG]]&gt;表1[[#This Row],[Peminta]],表1[[#This Row],[Tgl NPBG]]-表1[[#This Row],[Peminta]],"")</f>
        <v/>
      </c>
      <c r="J1051" s="31"/>
    </row>
    <row r="1052" s="12" customFormat="1" customHeight="1" spans="2:10">
      <c r="B1052" s="25"/>
      <c r="C1052" s="25"/>
      <c r="D1052" s="26" t="str" cm="1">
        <f t="array" ref="D1052">IF(C1052="","",IFERROR(INDEX(STPP!$D$6:$D$4207,MATCH(C1052,STPP!$C$6:$C$4207,0)),"Not Found"))</f>
        <v/>
      </c>
      <c r="E1052" s="27" t="str" cm="1">
        <f t="array" ref="E1052">IF(C1052="","",IFERROR(INDEX(STPP!$E$6:$E$4207,MATCH(C1052,STPP!$C$6:$C$4207,0)),"Not Found"))</f>
        <v/>
      </c>
      <c r="F1052" s="27" t="str" cm="1">
        <f t="array" ref="F1052">IF(C1052="","",IFERROR(INDEX(STPP!$F$6:$F$4207,MATCH(C1052,STPP!$C$6:$C$4207,0)),"Not Found"))</f>
        <v/>
      </c>
      <c r="G1052" s="25" t="str">
        <f>IF(表1[[#This Row],[No Seri]]="","",表1[[#This Row],[Deskripsi Barang]]+表1[[#This Row],[Kuantitas]]-表1[[#This Row],[Satuan]])</f>
        <v/>
      </c>
      <c r="H1052" s="28"/>
      <c r="I1052" s="25" t="str">
        <f>IF(表1[[#This Row],[Tgl NPBG]]&gt;表1[[#This Row],[Peminta]],表1[[#This Row],[Tgl NPBG]]-表1[[#This Row],[Peminta]],"")</f>
        <v/>
      </c>
      <c r="J1052" s="31"/>
    </row>
    <row r="1053" s="12" customFormat="1" customHeight="1" spans="2:10">
      <c r="B1053" s="25"/>
      <c r="C1053" s="25"/>
      <c r="D1053" s="26" t="str" cm="1">
        <f t="array" ref="D1053">IF(C1053="","",IFERROR(INDEX(STPP!$D$6:$D$4207,MATCH(C1053,STPP!$C$6:$C$4207,0)),"Not Found"))</f>
        <v/>
      </c>
      <c r="E1053" s="27" t="str" cm="1">
        <f t="array" ref="E1053">IF(C1053="","",IFERROR(INDEX(STPP!$E$6:$E$4207,MATCH(C1053,STPP!$C$6:$C$4207,0)),"Not Found"))</f>
        <v/>
      </c>
      <c r="F1053" s="27" t="str" cm="1">
        <f t="array" ref="F1053">IF(C1053="","",IFERROR(INDEX(STPP!$F$6:$F$4207,MATCH(C1053,STPP!$C$6:$C$4207,0)),"Not Found"))</f>
        <v/>
      </c>
      <c r="G1053" s="25" t="str">
        <f>IF(表1[[#This Row],[No Seri]]="","",表1[[#This Row],[Deskripsi Barang]]+表1[[#This Row],[Kuantitas]]-表1[[#This Row],[Satuan]])</f>
        <v/>
      </c>
      <c r="H1053" s="28"/>
      <c r="I1053" s="25" t="str">
        <f>IF(表1[[#This Row],[Tgl NPBG]]&gt;表1[[#This Row],[Peminta]],表1[[#This Row],[Tgl NPBG]]-表1[[#This Row],[Peminta]],"")</f>
        <v/>
      </c>
      <c r="J1053" s="31"/>
    </row>
    <row r="1054" s="12" customFormat="1" customHeight="1" spans="2:10">
      <c r="B1054" s="25"/>
      <c r="C1054" s="25"/>
      <c r="D1054" s="26" t="str" cm="1">
        <f t="array" ref="D1054">IF(C1054="","",IFERROR(INDEX(STPP!$D$6:$D$4207,MATCH(C1054,STPP!$C$6:$C$4207,0)),"Not Found"))</f>
        <v/>
      </c>
      <c r="E1054" s="27" t="str" cm="1">
        <f t="array" ref="E1054">IF(C1054="","",IFERROR(INDEX(STPP!$E$6:$E$4207,MATCH(C1054,STPP!$C$6:$C$4207,0)),"Not Found"))</f>
        <v/>
      </c>
      <c r="F1054" s="27" t="str" cm="1">
        <f t="array" ref="F1054">IF(C1054="","",IFERROR(INDEX(STPP!$F$6:$F$4207,MATCH(C1054,STPP!$C$6:$C$4207,0)),"Not Found"))</f>
        <v/>
      </c>
      <c r="G1054" s="25" t="str">
        <f>IF(表1[[#This Row],[No Seri]]="","",表1[[#This Row],[Deskripsi Barang]]+表1[[#This Row],[Kuantitas]]-表1[[#This Row],[Satuan]])</f>
        <v/>
      </c>
      <c r="H1054" s="28"/>
      <c r="I1054" s="25" t="str">
        <f>IF(表1[[#This Row],[Tgl NPBG]]&gt;表1[[#This Row],[Peminta]],表1[[#This Row],[Tgl NPBG]]-表1[[#This Row],[Peminta]],"")</f>
        <v/>
      </c>
      <c r="J1054" s="31"/>
    </row>
    <row r="1055" s="12" customFormat="1" customHeight="1" spans="2:10">
      <c r="B1055" s="25"/>
      <c r="C1055" s="25"/>
      <c r="D1055" s="26" t="str" cm="1">
        <f t="array" ref="D1055">IF(C1055="","",IFERROR(INDEX(STPP!$D$6:$D$4207,MATCH(C1055,STPP!$C$6:$C$4207,0)),"Not Found"))</f>
        <v/>
      </c>
      <c r="E1055" s="27" t="str" cm="1">
        <f t="array" ref="E1055">IF(C1055="","",IFERROR(INDEX(STPP!$E$6:$E$4207,MATCH(C1055,STPP!$C$6:$C$4207,0)),"Not Found"))</f>
        <v/>
      </c>
      <c r="F1055" s="27" t="str" cm="1">
        <f t="array" ref="F1055">IF(C1055="","",IFERROR(INDEX(STPP!$F$6:$F$4207,MATCH(C1055,STPP!$C$6:$C$4207,0)),"Not Found"))</f>
        <v/>
      </c>
      <c r="G1055" s="25" t="str">
        <f>IF(表1[[#This Row],[No Seri]]="","",表1[[#This Row],[Deskripsi Barang]]+表1[[#This Row],[Kuantitas]]-表1[[#This Row],[Satuan]])</f>
        <v/>
      </c>
      <c r="H1055" s="28"/>
      <c r="I1055" s="25" t="str">
        <f>IF(表1[[#This Row],[Tgl NPBG]]&gt;表1[[#This Row],[Peminta]],表1[[#This Row],[Tgl NPBG]]-表1[[#This Row],[Peminta]],"")</f>
        <v/>
      </c>
      <c r="J1055" s="31"/>
    </row>
    <row r="1056" s="12" customFormat="1" customHeight="1" spans="2:10">
      <c r="B1056" s="25"/>
      <c r="C1056" s="25"/>
      <c r="D1056" s="26" t="str" cm="1">
        <f t="array" ref="D1056">IF(C1056="","",IFERROR(INDEX(STPP!$D$6:$D$4207,MATCH(C1056,STPP!$C$6:$C$4207,0)),"Not Found"))</f>
        <v/>
      </c>
      <c r="E1056" s="27" t="str" cm="1">
        <f t="array" ref="E1056">IF(C1056="","",IFERROR(INDEX(STPP!$E$6:$E$4207,MATCH(C1056,STPP!$C$6:$C$4207,0)),"Not Found"))</f>
        <v/>
      </c>
      <c r="F1056" s="27" t="str" cm="1">
        <f t="array" ref="F1056">IF(C1056="","",IFERROR(INDEX(STPP!$F$6:$F$4207,MATCH(C1056,STPP!$C$6:$C$4207,0)),"Not Found"))</f>
        <v/>
      </c>
      <c r="G1056" s="25" t="str">
        <f>IF(表1[[#This Row],[No Seri]]="","",表1[[#This Row],[Deskripsi Barang]]+表1[[#This Row],[Kuantitas]]-表1[[#This Row],[Satuan]])</f>
        <v/>
      </c>
      <c r="H1056" s="28"/>
      <c r="I1056" s="25" t="str">
        <f>IF(表1[[#This Row],[Tgl NPBG]]&gt;表1[[#This Row],[Peminta]],表1[[#This Row],[Tgl NPBG]]-表1[[#This Row],[Peminta]],"")</f>
        <v/>
      </c>
      <c r="J1056" s="31"/>
    </row>
    <row r="1057" s="12" customFormat="1" customHeight="1" spans="2:10">
      <c r="B1057" s="25"/>
      <c r="C1057" s="25"/>
      <c r="D1057" s="26" t="str" cm="1">
        <f t="array" ref="D1057">IF(C1057="","",IFERROR(INDEX(STPP!$D$6:$D$4207,MATCH(C1057,STPP!$C$6:$C$4207,0)),"Not Found"))</f>
        <v/>
      </c>
      <c r="E1057" s="27" t="str" cm="1">
        <f t="array" ref="E1057">IF(C1057="","",IFERROR(INDEX(STPP!$E$6:$E$4207,MATCH(C1057,STPP!$C$6:$C$4207,0)),"Not Found"))</f>
        <v/>
      </c>
      <c r="F1057" s="27" t="str" cm="1">
        <f t="array" ref="F1057">IF(C1057="","",IFERROR(INDEX(STPP!$F$6:$F$4207,MATCH(C1057,STPP!$C$6:$C$4207,0)),"Not Found"))</f>
        <v/>
      </c>
      <c r="G1057" s="25" t="str">
        <f>IF(表1[[#This Row],[No Seri]]="","",表1[[#This Row],[Deskripsi Barang]]+表1[[#This Row],[Kuantitas]]-表1[[#This Row],[Satuan]])</f>
        <v/>
      </c>
      <c r="H1057" s="28"/>
      <c r="I1057" s="25" t="str">
        <f>IF(表1[[#This Row],[Tgl NPBG]]&gt;表1[[#This Row],[Peminta]],表1[[#This Row],[Tgl NPBG]]-表1[[#This Row],[Peminta]],"")</f>
        <v/>
      </c>
      <c r="J1057" s="31"/>
    </row>
    <row r="1058" s="12" customFormat="1" customHeight="1" spans="2:10">
      <c r="B1058" s="25"/>
      <c r="C1058" s="25"/>
      <c r="D1058" s="26" t="str" cm="1">
        <f t="array" ref="D1058">IF(C1058="","",IFERROR(INDEX(STPP!$D$6:$D$4207,MATCH(C1058,STPP!$C$6:$C$4207,0)),"Not Found"))</f>
        <v/>
      </c>
      <c r="E1058" s="27" t="str" cm="1">
        <f t="array" ref="E1058">IF(C1058="","",IFERROR(INDEX(STPP!$E$6:$E$4207,MATCH(C1058,STPP!$C$6:$C$4207,0)),"Not Found"))</f>
        <v/>
      </c>
      <c r="F1058" s="27" t="str" cm="1">
        <f t="array" ref="F1058">IF(C1058="","",IFERROR(INDEX(STPP!$F$6:$F$4207,MATCH(C1058,STPP!$C$6:$C$4207,0)),"Not Found"))</f>
        <v/>
      </c>
      <c r="G1058" s="25" t="str">
        <f>IF(表1[[#This Row],[No Seri]]="","",表1[[#This Row],[Deskripsi Barang]]+表1[[#This Row],[Kuantitas]]-表1[[#This Row],[Satuan]])</f>
        <v/>
      </c>
      <c r="H1058" s="28"/>
      <c r="I1058" s="25" t="str">
        <f>IF(表1[[#This Row],[Tgl NPBG]]&gt;表1[[#This Row],[Peminta]],表1[[#This Row],[Tgl NPBG]]-表1[[#This Row],[Peminta]],"")</f>
        <v/>
      </c>
      <c r="J1058" s="31"/>
    </row>
    <row r="1059" s="12" customFormat="1" customHeight="1" spans="2:10">
      <c r="B1059" s="25"/>
      <c r="C1059" s="25"/>
      <c r="D1059" s="26" t="str" cm="1">
        <f t="array" ref="D1059">IF(C1059="","",IFERROR(INDEX(STPP!$D$6:$D$4207,MATCH(C1059,STPP!$C$6:$C$4207,0)),"Not Found"))</f>
        <v/>
      </c>
      <c r="E1059" s="27" t="str" cm="1">
        <f t="array" ref="E1059">IF(C1059="","",IFERROR(INDEX(STPP!$E$6:$E$4207,MATCH(C1059,STPP!$C$6:$C$4207,0)),"Not Found"))</f>
        <v/>
      </c>
      <c r="F1059" s="27" t="str" cm="1">
        <f t="array" ref="F1059">IF(C1059="","",IFERROR(INDEX(STPP!$F$6:$F$4207,MATCH(C1059,STPP!$C$6:$C$4207,0)),"Not Found"))</f>
        <v/>
      </c>
      <c r="G1059" s="25" t="str">
        <f>IF(表1[[#This Row],[No Seri]]="","",表1[[#This Row],[Deskripsi Barang]]+表1[[#This Row],[Kuantitas]]-表1[[#This Row],[Satuan]])</f>
        <v/>
      </c>
      <c r="H1059" s="28"/>
      <c r="I1059" s="25" t="str">
        <f>IF(表1[[#This Row],[Tgl NPBG]]&gt;表1[[#This Row],[Peminta]],表1[[#This Row],[Tgl NPBG]]-表1[[#This Row],[Peminta]],"")</f>
        <v/>
      </c>
      <c r="J1059" s="31"/>
    </row>
    <row r="1060" s="12" customFormat="1" customHeight="1" spans="2:10">
      <c r="B1060" s="25"/>
      <c r="C1060" s="25"/>
      <c r="D1060" s="26" t="str" cm="1">
        <f t="array" ref="D1060">IF(C1060="","",IFERROR(INDEX(STPP!$D$6:$D$4207,MATCH(C1060,STPP!$C$6:$C$4207,0)),"Not Found"))</f>
        <v/>
      </c>
      <c r="E1060" s="27" t="str" cm="1">
        <f t="array" ref="E1060">IF(C1060="","",IFERROR(INDEX(STPP!$E$6:$E$4207,MATCH(C1060,STPP!$C$6:$C$4207,0)),"Not Found"))</f>
        <v/>
      </c>
      <c r="F1060" s="27" t="str" cm="1">
        <f t="array" ref="F1060">IF(C1060="","",IFERROR(INDEX(STPP!$F$6:$F$4207,MATCH(C1060,STPP!$C$6:$C$4207,0)),"Not Found"))</f>
        <v/>
      </c>
      <c r="G1060" s="25" t="str">
        <f>IF(表1[[#This Row],[No Seri]]="","",表1[[#This Row],[Deskripsi Barang]]+表1[[#This Row],[Kuantitas]]-表1[[#This Row],[Satuan]])</f>
        <v/>
      </c>
      <c r="H1060" s="28"/>
      <c r="I1060" s="25" t="str">
        <f>IF(表1[[#This Row],[Tgl NPBG]]&gt;表1[[#This Row],[Peminta]],表1[[#This Row],[Tgl NPBG]]-表1[[#This Row],[Peminta]],"")</f>
        <v/>
      </c>
      <c r="J1060" s="31"/>
    </row>
    <row r="1061" s="12" customFormat="1" customHeight="1" spans="2:10">
      <c r="B1061" s="25"/>
      <c r="C1061" s="25"/>
      <c r="D1061" s="26" t="str" cm="1">
        <f t="array" ref="D1061">IF(C1061="","",IFERROR(INDEX(STPP!$D$6:$D$4207,MATCH(C1061,STPP!$C$6:$C$4207,0)),"Not Found"))</f>
        <v/>
      </c>
      <c r="E1061" s="27" t="str" cm="1">
        <f t="array" ref="E1061">IF(C1061="","",IFERROR(INDEX(STPP!$E$6:$E$4207,MATCH(C1061,STPP!$C$6:$C$4207,0)),"Not Found"))</f>
        <v/>
      </c>
      <c r="F1061" s="27" t="str" cm="1">
        <f t="array" ref="F1061">IF(C1061="","",IFERROR(INDEX(STPP!$F$6:$F$4207,MATCH(C1061,STPP!$C$6:$C$4207,0)),"Not Found"))</f>
        <v/>
      </c>
      <c r="G1061" s="25" t="str">
        <f>IF(表1[[#This Row],[No Seri]]="","",表1[[#This Row],[Deskripsi Barang]]+表1[[#This Row],[Kuantitas]]-表1[[#This Row],[Satuan]])</f>
        <v/>
      </c>
      <c r="H1061" s="28"/>
      <c r="I1061" s="25" t="str">
        <f>IF(表1[[#This Row],[Tgl NPBG]]&gt;表1[[#This Row],[Peminta]],表1[[#This Row],[Tgl NPBG]]-表1[[#This Row],[Peminta]],"")</f>
        <v/>
      </c>
      <c r="J1061" s="31"/>
    </row>
    <row r="1062" s="12" customFormat="1" customHeight="1" spans="2:10">
      <c r="B1062" s="25"/>
      <c r="C1062" s="25"/>
      <c r="D1062" s="26" t="str" cm="1">
        <f t="array" ref="D1062">IF(C1062="","",IFERROR(INDEX(STPP!$D$6:$D$4207,MATCH(C1062,STPP!$C$6:$C$4207,0)),"Not Found"))</f>
        <v/>
      </c>
      <c r="E1062" s="27" t="str" cm="1">
        <f t="array" ref="E1062">IF(C1062="","",IFERROR(INDEX(STPP!$E$6:$E$4207,MATCH(C1062,STPP!$C$6:$C$4207,0)),"Not Found"))</f>
        <v/>
      </c>
      <c r="F1062" s="27" t="str" cm="1">
        <f t="array" ref="F1062">IF(C1062="","",IFERROR(INDEX(STPP!$F$6:$F$4207,MATCH(C1062,STPP!$C$6:$C$4207,0)),"Not Found"))</f>
        <v/>
      </c>
      <c r="G1062" s="25" t="str">
        <f>IF(表1[[#This Row],[No Seri]]="","",表1[[#This Row],[Deskripsi Barang]]+表1[[#This Row],[Kuantitas]]-表1[[#This Row],[Satuan]])</f>
        <v/>
      </c>
      <c r="H1062" s="28"/>
      <c r="I1062" s="25" t="str">
        <f>IF(表1[[#This Row],[Tgl NPBG]]&gt;表1[[#This Row],[Peminta]],表1[[#This Row],[Tgl NPBG]]-表1[[#This Row],[Peminta]],"")</f>
        <v/>
      </c>
      <c r="J1062" s="31"/>
    </row>
    <row r="1063" s="12" customFormat="1" customHeight="1" spans="2:10">
      <c r="B1063" s="25"/>
      <c r="C1063" s="25"/>
      <c r="D1063" s="26" t="str" cm="1">
        <f t="array" ref="D1063">IF(C1063="","",IFERROR(INDEX(STPP!$D$6:$D$4207,MATCH(C1063,STPP!$C$6:$C$4207,0)),"Not Found"))</f>
        <v/>
      </c>
      <c r="E1063" s="27" t="str" cm="1">
        <f t="array" ref="E1063">IF(C1063="","",IFERROR(INDEX(STPP!$E$6:$E$4207,MATCH(C1063,STPP!$C$6:$C$4207,0)),"Not Found"))</f>
        <v/>
      </c>
      <c r="F1063" s="27" t="str" cm="1">
        <f t="array" ref="F1063">IF(C1063="","",IFERROR(INDEX(STPP!$F$6:$F$4207,MATCH(C1063,STPP!$C$6:$C$4207,0)),"Not Found"))</f>
        <v/>
      </c>
      <c r="G1063" s="25" t="str">
        <f>IF(表1[[#This Row],[No Seri]]="","",表1[[#This Row],[Deskripsi Barang]]+表1[[#This Row],[Kuantitas]]-表1[[#This Row],[Satuan]])</f>
        <v/>
      </c>
      <c r="H1063" s="28"/>
      <c r="I1063" s="25" t="str">
        <f>IF(表1[[#This Row],[Tgl NPBG]]&gt;表1[[#This Row],[Peminta]],表1[[#This Row],[Tgl NPBG]]-表1[[#This Row],[Peminta]],"")</f>
        <v/>
      </c>
      <c r="J1063" s="31"/>
    </row>
    <row r="1064" s="12" customFormat="1" customHeight="1" spans="2:10">
      <c r="B1064" s="25"/>
      <c r="C1064" s="25"/>
      <c r="D1064" s="26" t="str" cm="1">
        <f t="array" ref="D1064">IF(C1064="","",IFERROR(INDEX(STPP!$D$6:$D$4207,MATCH(C1064,STPP!$C$6:$C$4207,0)),"Not Found"))</f>
        <v/>
      </c>
      <c r="E1064" s="27" t="str" cm="1">
        <f t="array" ref="E1064">IF(C1064="","",IFERROR(INDEX(STPP!$E$6:$E$4207,MATCH(C1064,STPP!$C$6:$C$4207,0)),"Not Found"))</f>
        <v/>
      </c>
      <c r="F1064" s="27" t="str" cm="1">
        <f t="array" ref="F1064">IF(C1064="","",IFERROR(INDEX(STPP!$F$6:$F$4207,MATCH(C1064,STPP!$C$6:$C$4207,0)),"Not Found"))</f>
        <v/>
      </c>
      <c r="G1064" s="25" t="str">
        <f>IF(表1[[#This Row],[No Seri]]="","",表1[[#This Row],[Deskripsi Barang]]+表1[[#This Row],[Kuantitas]]-表1[[#This Row],[Satuan]])</f>
        <v/>
      </c>
      <c r="H1064" s="28"/>
      <c r="I1064" s="25" t="str">
        <f>IF(表1[[#This Row],[Tgl NPBG]]&gt;表1[[#This Row],[Peminta]],表1[[#This Row],[Tgl NPBG]]-表1[[#This Row],[Peminta]],"")</f>
        <v/>
      </c>
      <c r="J1064" s="31"/>
    </row>
    <row r="1065" s="12" customFormat="1" customHeight="1" spans="2:10">
      <c r="B1065" s="25"/>
      <c r="C1065" s="25"/>
      <c r="D1065" s="26" t="str" cm="1">
        <f t="array" ref="D1065">IF(C1065="","",IFERROR(INDEX(STPP!$D$6:$D$4207,MATCH(C1065,STPP!$C$6:$C$4207,0)),"Not Found"))</f>
        <v/>
      </c>
      <c r="E1065" s="27" t="str" cm="1">
        <f t="array" ref="E1065">IF(C1065="","",IFERROR(INDEX(STPP!$E$6:$E$4207,MATCH(C1065,STPP!$C$6:$C$4207,0)),"Not Found"))</f>
        <v/>
      </c>
      <c r="F1065" s="27" t="str" cm="1">
        <f t="array" ref="F1065">IF(C1065="","",IFERROR(INDEX(STPP!$F$6:$F$4207,MATCH(C1065,STPP!$C$6:$C$4207,0)),"Not Found"))</f>
        <v/>
      </c>
      <c r="G1065" s="25" t="str">
        <f>IF(表1[[#This Row],[No Seri]]="","",表1[[#This Row],[Deskripsi Barang]]+表1[[#This Row],[Kuantitas]]-表1[[#This Row],[Satuan]])</f>
        <v/>
      </c>
      <c r="H1065" s="28"/>
      <c r="I1065" s="25" t="str">
        <f>IF(表1[[#This Row],[Tgl NPBG]]&gt;表1[[#This Row],[Peminta]],表1[[#This Row],[Tgl NPBG]]-表1[[#This Row],[Peminta]],"")</f>
        <v/>
      </c>
      <c r="J1065" s="31"/>
    </row>
    <row r="1066" s="12" customFormat="1" customHeight="1" spans="2:10">
      <c r="B1066" s="25"/>
      <c r="C1066" s="25"/>
      <c r="D1066" s="26" t="str" cm="1">
        <f t="array" ref="D1066">IF(C1066="","",IFERROR(INDEX(STPP!$D$6:$D$4207,MATCH(C1066,STPP!$C$6:$C$4207,0)),"Not Found"))</f>
        <v/>
      </c>
      <c r="E1066" s="27" t="str" cm="1">
        <f t="array" ref="E1066">IF(C1066="","",IFERROR(INDEX(STPP!$E$6:$E$4207,MATCH(C1066,STPP!$C$6:$C$4207,0)),"Not Found"))</f>
        <v/>
      </c>
      <c r="F1066" s="27" t="str" cm="1">
        <f t="array" ref="F1066">IF(C1066="","",IFERROR(INDEX(STPP!$F$6:$F$4207,MATCH(C1066,STPP!$C$6:$C$4207,0)),"Not Found"))</f>
        <v/>
      </c>
      <c r="G1066" s="25" t="str">
        <f>IF(表1[[#This Row],[No Seri]]="","",表1[[#This Row],[Deskripsi Barang]]+表1[[#This Row],[Kuantitas]]-表1[[#This Row],[Satuan]])</f>
        <v/>
      </c>
      <c r="H1066" s="28"/>
      <c r="I1066" s="25" t="str">
        <f>IF(表1[[#This Row],[Tgl NPBG]]&gt;表1[[#This Row],[Peminta]],表1[[#This Row],[Tgl NPBG]]-表1[[#This Row],[Peminta]],"")</f>
        <v/>
      </c>
      <c r="J1066" s="31"/>
    </row>
    <row r="1067" s="12" customFormat="1" customHeight="1" spans="2:10">
      <c r="B1067" s="25"/>
      <c r="C1067" s="25"/>
      <c r="D1067" s="26" t="str" cm="1">
        <f t="array" ref="D1067">IF(C1067="","",IFERROR(INDEX(STPP!$D$6:$D$4207,MATCH(C1067,STPP!$C$6:$C$4207,0)),"Not Found"))</f>
        <v/>
      </c>
      <c r="E1067" s="27" t="str" cm="1">
        <f t="array" ref="E1067">IF(C1067="","",IFERROR(INDEX(STPP!$E$6:$E$4207,MATCH(C1067,STPP!$C$6:$C$4207,0)),"Not Found"))</f>
        <v/>
      </c>
      <c r="F1067" s="27" t="str" cm="1">
        <f t="array" ref="F1067">IF(C1067="","",IFERROR(INDEX(STPP!$F$6:$F$4207,MATCH(C1067,STPP!$C$6:$C$4207,0)),"Not Found"))</f>
        <v/>
      </c>
      <c r="G1067" s="25" t="str">
        <f>IF(表1[[#This Row],[No Seri]]="","",表1[[#This Row],[Deskripsi Barang]]+表1[[#This Row],[Kuantitas]]-表1[[#This Row],[Satuan]])</f>
        <v/>
      </c>
      <c r="H1067" s="28"/>
      <c r="I1067" s="25" t="str">
        <f>IF(表1[[#This Row],[Tgl NPBG]]&gt;表1[[#This Row],[Peminta]],表1[[#This Row],[Tgl NPBG]]-表1[[#This Row],[Peminta]],"")</f>
        <v/>
      </c>
      <c r="J1067" s="31"/>
    </row>
    <row r="1068" s="12" customFormat="1" customHeight="1" spans="2:10">
      <c r="B1068" s="25"/>
      <c r="C1068" s="25"/>
      <c r="D1068" s="26" t="str" cm="1">
        <f t="array" ref="D1068">IF(C1068="","",IFERROR(INDEX(STPP!$D$6:$D$4207,MATCH(C1068,STPP!$C$6:$C$4207,0)),"Not Found"))</f>
        <v/>
      </c>
      <c r="E1068" s="27" t="str" cm="1">
        <f t="array" ref="E1068">IF(C1068="","",IFERROR(INDEX(STPP!$E$6:$E$4207,MATCH(C1068,STPP!$C$6:$C$4207,0)),"Not Found"))</f>
        <v/>
      </c>
      <c r="F1068" s="27" t="str" cm="1">
        <f t="array" ref="F1068">IF(C1068="","",IFERROR(INDEX(STPP!$F$6:$F$4207,MATCH(C1068,STPP!$C$6:$C$4207,0)),"Not Found"))</f>
        <v/>
      </c>
      <c r="G1068" s="25" t="str">
        <f>IF(表1[[#This Row],[No Seri]]="","",表1[[#This Row],[Deskripsi Barang]]+表1[[#This Row],[Kuantitas]]-表1[[#This Row],[Satuan]])</f>
        <v/>
      </c>
      <c r="H1068" s="28"/>
      <c r="I1068" s="25" t="str">
        <f>IF(表1[[#This Row],[Tgl NPBG]]&gt;表1[[#This Row],[Peminta]],表1[[#This Row],[Tgl NPBG]]-表1[[#This Row],[Peminta]],"")</f>
        <v/>
      </c>
      <c r="J1068" s="31"/>
    </row>
    <row r="1069" s="12" customFormat="1" customHeight="1" spans="2:10">
      <c r="B1069" s="25"/>
      <c r="C1069" s="25"/>
      <c r="D1069" s="26" t="str" cm="1">
        <f t="array" ref="D1069">IF(C1069="","",IFERROR(INDEX(STPP!$D$6:$D$4207,MATCH(C1069,STPP!$C$6:$C$4207,0)),"Not Found"))</f>
        <v/>
      </c>
      <c r="E1069" s="27" t="str" cm="1">
        <f t="array" ref="E1069">IF(C1069="","",IFERROR(INDEX(STPP!$E$6:$E$4207,MATCH(C1069,STPP!$C$6:$C$4207,0)),"Not Found"))</f>
        <v/>
      </c>
      <c r="F1069" s="27" t="str" cm="1">
        <f t="array" ref="F1069">IF(C1069="","",IFERROR(INDEX(STPP!$F$6:$F$4207,MATCH(C1069,STPP!$C$6:$C$4207,0)),"Not Found"))</f>
        <v/>
      </c>
      <c r="G1069" s="25" t="str">
        <f>IF(表1[[#This Row],[No Seri]]="","",表1[[#This Row],[Deskripsi Barang]]+表1[[#This Row],[Kuantitas]]-表1[[#This Row],[Satuan]])</f>
        <v/>
      </c>
      <c r="H1069" s="28"/>
      <c r="I1069" s="25" t="str">
        <f>IF(表1[[#This Row],[Tgl NPBG]]&gt;表1[[#This Row],[Peminta]],表1[[#This Row],[Tgl NPBG]]-表1[[#This Row],[Peminta]],"")</f>
        <v/>
      </c>
      <c r="J1069" s="31"/>
    </row>
    <row r="1070" s="12" customFormat="1" customHeight="1" spans="2:10">
      <c r="B1070" s="25"/>
      <c r="C1070" s="25"/>
      <c r="D1070" s="26" t="str" cm="1">
        <f t="array" ref="D1070">IF(C1070="","",IFERROR(INDEX(STPP!$D$6:$D$4207,MATCH(C1070,STPP!$C$6:$C$4207,0)),"Not Found"))</f>
        <v/>
      </c>
      <c r="E1070" s="27" t="str" cm="1">
        <f t="array" ref="E1070">IF(C1070="","",IFERROR(INDEX(STPP!$E$6:$E$4207,MATCH(C1070,STPP!$C$6:$C$4207,0)),"Not Found"))</f>
        <v/>
      </c>
      <c r="F1070" s="27" t="str" cm="1">
        <f t="array" ref="F1070">IF(C1070="","",IFERROR(INDEX(STPP!$F$6:$F$4207,MATCH(C1070,STPP!$C$6:$C$4207,0)),"Not Found"))</f>
        <v/>
      </c>
      <c r="G1070" s="25" t="str">
        <f>IF(表1[[#This Row],[No Seri]]="","",表1[[#This Row],[Deskripsi Barang]]+表1[[#This Row],[Kuantitas]]-表1[[#This Row],[Satuan]])</f>
        <v/>
      </c>
      <c r="H1070" s="28"/>
      <c r="I1070" s="25" t="str">
        <f>IF(表1[[#This Row],[Tgl NPBG]]&gt;表1[[#This Row],[Peminta]],表1[[#This Row],[Tgl NPBG]]-表1[[#This Row],[Peminta]],"")</f>
        <v/>
      </c>
      <c r="J1070" s="31"/>
    </row>
    <row r="1071" s="12" customFormat="1" customHeight="1" spans="2:10">
      <c r="B1071" s="25"/>
      <c r="C1071" s="25"/>
      <c r="D1071" s="26" t="str" cm="1">
        <f t="array" ref="D1071">IF(C1071="","",IFERROR(INDEX(STPP!$D$6:$D$4207,MATCH(C1071,STPP!$C$6:$C$4207,0)),"Not Found"))</f>
        <v/>
      </c>
      <c r="E1071" s="27" t="str" cm="1">
        <f t="array" ref="E1071">IF(C1071="","",IFERROR(INDEX(STPP!$E$6:$E$4207,MATCH(C1071,STPP!$C$6:$C$4207,0)),"Not Found"))</f>
        <v/>
      </c>
      <c r="F1071" s="27" t="str" cm="1">
        <f t="array" ref="F1071">IF(C1071="","",IFERROR(INDEX(STPP!$F$6:$F$4207,MATCH(C1071,STPP!$C$6:$C$4207,0)),"Not Found"))</f>
        <v/>
      </c>
      <c r="G1071" s="25" t="str">
        <f>IF(表1[[#This Row],[No Seri]]="","",表1[[#This Row],[Deskripsi Barang]]+表1[[#This Row],[Kuantitas]]-表1[[#This Row],[Satuan]])</f>
        <v/>
      </c>
      <c r="H1071" s="28"/>
      <c r="I1071" s="25" t="str">
        <f>IF(表1[[#This Row],[Tgl NPBG]]&gt;表1[[#This Row],[Peminta]],表1[[#This Row],[Tgl NPBG]]-表1[[#This Row],[Peminta]],"")</f>
        <v/>
      </c>
      <c r="J1071" s="31"/>
    </row>
    <row r="1072" s="12" customFormat="1" customHeight="1" spans="2:10">
      <c r="B1072" s="25"/>
      <c r="C1072" s="25"/>
      <c r="D1072" s="26" t="str" cm="1">
        <f t="array" ref="D1072">IF(C1072="","",IFERROR(INDEX(STPP!$D$6:$D$4207,MATCH(C1072,STPP!$C$6:$C$4207,0)),"Not Found"))</f>
        <v/>
      </c>
      <c r="E1072" s="27" t="str" cm="1">
        <f t="array" ref="E1072">IF(C1072="","",IFERROR(INDEX(STPP!$E$6:$E$4207,MATCH(C1072,STPP!$C$6:$C$4207,0)),"Not Found"))</f>
        <v/>
      </c>
      <c r="F1072" s="27" t="str" cm="1">
        <f t="array" ref="F1072">IF(C1072="","",IFERROR(INDEX(STPP!$F$6:$F$4207,MATCH(C1072,STPP!$C$6:$C$4207,0)),"Not Found"))</f>
        <v/>
      </c>
      <c r="G1072" s="25" t="str">
        <f>IF(表1[[#This Row],[No Seri]]="","",表1[[#This Row],[Deskripsi Barang]]+表1[[#This Row],[Kuantitas]]-表1[[#This Row],[Satuan]])</f>
        <v/>
      </c>
      <c r="H1072" s="28"/>
      <c r="I1072" s="25" t="str">
        <f>IF(表1[[#This Row],[Tgl NPBG]]&gt;表1[[#This Row],[Peminta]],表1[[#This Row],[Tgl NPBG]]-表1[[#This Row],[Peminta]],"")</f>
        <v/>
      </c>
      <c r="J1072" s="31"/>
    </row>
    <row r="1073" s="12" customFormat="1" customHeight="1" spans="2:10">
      <c r="B1073" s="25"/>
      <c r="C1073" s="25"/>
      <c r="D1073" s="26" t="str" cm="1">
        <f t="array" ref="D1073">IF(C1073="","",IFERROR(INDEX(STPP!$D$6:$D$4207,MATCH(C1073,STPP!$C$6:$C$4207,0)),"Not Found"))</f>
        <v/>
      </c>
      <c r="E1073" s="27" t="str" cm="1">
        <f t="array" ref="E1073">IF(C1073="","",IFERROR(INDEX(STPP!$E$6:$E$4207,MATCH(C1073,STPP!$C$6:$C$4207,0)),"Not Found"))</f>
        <v/>
      </c>
      <c r="F1073" s="27" t="str" cm="1">
        <f t="array" ref="F1073">IF(C1073="","",IFERROR(INDEX(STPP!$F$6:$F$4207,MATCH(C1073,STPP!$C$6:$C$4207,0)),"Not Found"))</f>
        <v/>
      </c>
      <c r="G1073" s="25" t="str">
        <f>IF(表1[[#This Row],[No Seri]]="","",表1[[#This Row],[Deskripsi Barang]]+表1[[#This Row],[Kuantitas]]-表1[[#This Row],[Satuan]])</f>
        <v/>
      </c>
      <c r="H1073" s="28"/>
      <c r="I1073" s="25" t="str">
        <f>IF(表1[[#This Row],[Tgl NPBG]]&gt;表1[[#This Row],[Peminta]],表1[[#This Row],[Tgl NPBG]]-表1[[#This Row],[Peminta]],"")</f>
        <v/>
      </c>
      <c r="J1073" s="31"/>
    </row>
    <row r="1074" s="12" customFormat="1" customHeight="1" spans="2:10">
      <c r="B1074" s="25"/>
      <c r="C1074" s="25"/>
      <c r="D1074" s="26" t="str" cm="1">
        <f t="array" ref="D1074">IF(C1074="","",IFERROR(INDEX(STPP!$D$6:$D$4207,MATCH(C1074,STPP!$C$6:$C$4207,0)),"Not Found"))</f>
        <v/>
      </c>
      <c r="E1074" s="27" t="str" cm="1">
        <f t="array" ref="E1074">IF(C1074="","",IFERROR(INDEX(STPP!$E$6:$E$4207,MATCH(C1074,STPP!$C$6:$C$4207,0)),"Not Found"))</f>
        <v/>
      </c>
      <c r="F1074" s="27" t="str" cm="1">
        <f t="array" ref="F1074">IF(C1074="","",IFERROR(INDEX(STPP!$F$6:$F$4207,MATCH(C1074,STPP!$C$6:$C$4207,0)),"Not Found"))</f>
        <v/>
      </c>
      <c r="G1074" s="25" t="str">
        <f>IF(表1[[#This Row],[No Seri]]="","",表1[[#This Row],[Deskripsi Barang]]+表1[[#This Row],[Kuantitas]]-表1[[#This Row],[Satuan]])</f>
        <v/>
      </c>
      <c r="H1074" s="28"/>
      <c r="I1074" s="25" t="str">
        <f>IF(表1[[#This Row],[Tgl NPBG]]&gt;表1[[#This Row],[Peminta]],表1[[#This Row],[Tgl NPBG]]-表1[[#This Row],[Peminta]],"")</f>
        <v/>
      </c>
      <c r="J1074" s="31"/>
    </row>
    <row r="1075" s="12" customFormat="1" customHeight="1" spans="2:10">
      <c r="B1075" s="25"/>
      <c r="C1075" s="25"/>
      <c r="D1075" s="26" t="str" cm="1">
        <f t="array" ref="D1075">IF(C1075="","",IFERROR(INDEX(STPP!$D$6:$D$4207,MATCH(C1075,STPP!$C$6:$C$4207,0)),"Not Found"))</f>
        <v/>
      </c>
      <c r="E1075" s="27" t="str" cm="1">
        <f t="array" ref="E1075">IF(C1075="","",IFERROR(INDEX(STPP!$E$6:$E$4207,MATCH(C1075,STPP!$C$6:$C$4207,0)),"Not Found"))</f>
        <v/>
      </c>
      <c r="F1075" s="27" t="str" cm="1">
        <f t="array" ref="F1075">IF(C1075="","",IFERROR(INDEX(STPP!$F$6:$F$4207,MATCH(C1075,STPP!$C$6:$C$4207,0)),"Not Found"))</f>
        <v/>
      </c>
      <c r="G1075" s="25" t="str">
        <f>IF(表1[[#This Row],[No Seri]]="","",表1[[#This Row],[Deskripsi Barang]]+表1[[#This Row],[Kuantitas]]-表1[[#This Row],[Satuan]])</f>
        <v/>
      </c>
      <c r="H1075" s="28"/>
      <c r="I1075" s="25" t="str">
        <f>IF(表1[[#This Row],[Tgl NPBG]]&gt;表1[[#This Row],[Peminta]],表1[[#This Row],[Tgl NPBG]]-表1[[#This Row],[Peminta]],"")</f>
        <v/>
      </c>
      <c r="J1075" s="31"/>
    </row>
    <row r="1076" s="12" customFormat="1" customHeight="1" spans="2:10">
      <c r="B1076" s="25"/>
      <c r="C1076" s="25"/>
      <c r="D1076" s="26" t="str" cm="1">
        <f t="array" ref="D1076">IF(C1076="","",IFERROR(INDEX(STPP!$D$6:$D$4207,MATCH(C1076,STPP!$C$6:$C$4207,0)),"Not Found"))</f>
        <v/>
      </c>
      <c r="E1076" s="27" t="str" cm="1">
        <f t="array" ref="E1076">IF(C1076="","",IFERROR(INDEX(STPP!$E$6:$E$4207,MATCH(C1076,STPP!$C$6:$C$4207,0)),"Not Found"))</f>
        <v/>
      </c>
      <c r="F1076" s="27" t="str" cm="1">
        <f t="array" ref="F1076">IF(C1076="","",IFERROR(INDEX(STPP!$F$6:$F$4207,MATCH(C1076,STPP!$C$6:$C$4207,0)),"Not Found"))</f>
        <v/>
      </c>
      <c r="G1076" s="25" t="str">
        <f>IF(表1[[#This Row],[No Seri]]="","",表1[[#This Row],[Deskripsi Barang]]+表1[[#This Row],[Kuantitas]]-表1[[#This Row],[Satuan]])</f>
        <v/>
      </c>
      <c r="H1076" s="28"/>
      <c r="I1076" s="25" t="str">
        <f>IF(表1[[#This Row],[Tgl NPBG]]&gt;表1[[#This Row],[Peminta]],表1[[#This Row],[Tgl NPBG]]-表1[[#This Row],[Peminta]],"")</f>
        <v/>
      </c>
      <c r="J1076" s="31"/>
    </row>
    <row r="1077" s="12" customFormat="1" customHeight="1" spans="2:10">
      <c r="B1077" s="25"/>
      <c r="C1077" s="25"/>
      <c r="D1077" s="26" t="str" cm="1">
        <f t="array" ref="D1077">IF(C1077="","",IFERROR(INDEX(STPP!$D$6:$D$4207,MATCH(C1077,STPP!$C$6:$C$4207,0)),"Not Found"))</f>
        <v/>
      </c>
      <c r="E1077" s="27" t="str" cm="1">
        <f t="array" ref="E1077">IF(C1077="","",IFERROR(INDEX(STPP!$E$6:$E$4207,MATCH(C1077,STPP!$C$6:$C$4207,0)),"Not Found"))</f>
        <v/>
      </c>
      <c r="F1077" s="27" t="str" cm="1">
        <f t="array" ref="F1077">IF(C1077="","",IFERROR(INDEX(STPP!$F$6:$F$4207,MATCH(C1077,STPP!$C$6:$C$4207,0)),"Not Found"))</f>
        <v/>
      </c>
      <c r="G1077" s="25" t="str">
        <f>IF(表1[[#This Row],[No Seri]]="","",表1[[#This Row],[Deskripsi Barang]]+表1[[#This Row],[Kuantitas]]-表1[[#This Row],[Satuan]])</f>
        <v/>
      </c>
      <c r="H1077" s="28"/>
      <c r="I1077" s="25" t="str">
        <f>IF(表1[[#This Row],[Tgl NPBG]]&gt;表1[[#This Row],[Peminta]],表1[[#This Row],[Tgl NPBG]]-表1[[#This Row],[Peminta]],"")</f>
        <v/>
      </c>
      <c r="J1077" s="31"/>
    </row>
    <row r="1078" s="12" customFormat="1" customHeight="1" spans="2:10">
      <c r="B1078" s="25"/>
      <c r="C1078" s="25"/>
      <c r="D1078" s="26" t="str" cm="1">
        <f t="array" ref="D1078">IF(C1078="","",IFERROR(INDEX(STPP!$D$6:$D$4207,MATCH(C1078,STPP!$C$6:$C$4207,0)),"Not Found"))</f>
        <v/>
      </c>
      <c r="E1078" s="27" t="str" cm="1">
        <f t="array" ref="E1078">IF(C1078="","",IFERROR(INDEX(STPP!$E$6:$E$4207,MATCH(C1078,STPP!$C$6:$C$4207,0)),"Not Found"))</f>
        <v/>
      </c>
      <c r="F1078" s="27" t="str" cm="1">
        <f t="array" ref="F1078">IF(C1078="","",IFERROR(INDEX(STPP!$F$6:$F$4207,MATCH(C1078,STPP!$C$6:$C$4207,0)),"Not Found"))</f>
        <v/>
      </c>
      <c r="G1078" s="25" t="str">
        <f>IF(表1[[#This Row],[No Seri]]="","",表1[[#This Row],[Deskripsi Barang]]+表1[[#This Row],[Kuantitas]]-表1[[#This Row],[Satuan]])</f>
        <v/>
      </c>
      <c r="H1078" s="28"/>
      <c r="I1078" s="25" t="str">
        <f>IF(表1[[#This Row],[Tgl NPBG]]&gt;表1[[#This Row],[Peminta]],表1[[#This Row],[Tgl NPBG]]-表1[[#This Row],[Peminta]],"")</f>
        <v/>
      </c>
      <c r="J1078" s="31"/>
    </row>
    <row r="1079" s="12" customFormat="1" customHeight="1" spans="2:10">
      <c r="B1079" s="25"/>
      <c r="C1079" s="25"/>
      <c r="D1079" s="26" t="str" cm="1">
        <f t="array" ref="D1079">IF(C1079="","",IFERROR(INDEX(STPP!$D$6:$D$4207,MATCH(C1079,STPP!$C$6:$C$4207,0)),"Not Found"))</f>
        <v/>
      </c>
      <c r="E1079" s="27" t="str" cm="1">
        <f t="array" ref="E1079">IF(C1079="","",IFERROR(INDEX(STPP!$E$6:$E$4207,MATCH(C1079,STPP!$C$6:$C$4207,0)),"Not Found"))</f>
        <v/>
      </c>
      <c r="F1079" s="27" t="str" cm="1">
        <f t="array" ref="F1079">IF(C1079="","",IFERROR(INDEX(STPP!$F$6:$F$4207,MATCH(C1079,STPP!$C$6:$C$4207,0)),"Not Found"))</f>
        <v/>
      </c>
      <c r="G1079" s="25" t="str">
        <f>IF(表1[[#This Row],[No Seri]]="","",表1[[#This Row],[Deskripsi Barang]]+表1[[#This Row],[Kuantitas]]-表1[[#This Row],[Satuan]])</f>
        <v/>
      </c>
      <c r="H1079" s="28"/>
      <c r="I1079" s="25" t="str">
        <f>IF(表1[[#This Row],[Tgl NPBG]]&gt;表1[[#This Row],[Peminta]],表1[[#This Row],[Tgl NPBG]]-表1[[#This Row],[Peminta]],"")</f>
        <v/>
      </c>
      <c r="J1079" s="31"/>
    </row>
    <row r="1080" s="12" customFormat="1" customHeight="1" spans="2:10">
      <c r="B1080" s="25"/>
      <c r="C1080" s="25"/>
      <c r="D1080" s="26" t="str" cm="1">
        <f t="array" ref="D1080">IF(C1080="","",IFERROR(INDEX(STPP!$D$6:$D$4207,MATCH(C1080,STPP!$C$6:$C$4207,0)),"Not Found"))</f>
        <v/>
      </c>
      <c r="E1080" s="27" t="str" cm="1">
        <f t="array" ref="E1080">IF(C1080="","",IFERROR(INDEX(STPP!$E$6:$E$4207,MATCH(C1080,STPP!$C$6:$C$4207,0)),"Not Found"))</f>
        <v/>
      </c>
      <c r="F1080" s="27" t="str" cm="1">
        <f t="array" ref="F1080">IF(C1080="","",IFERROR(INDEX(STPP!$F$6:$F$4207,MATCH(C1080,STPP!$C$6:$C$4207,0)),"Not Found"))</f>
        <v/>
      </c>
      <c r="G1080" s="25" t="str">
        <f>IF(表1[[#This Row],[No Seri]]="","",表1[[#This Row],[Deskripsi Barang]]+表1[[#This Row],[Kuantitas]]-表1[[#This Row],[Satuan]])</f>
        <v/>
      </c>
      <c r="H1080" s="28"/>
      <c r="I1080" s="25" t="str">
        <f>IF(表1[[#This Row],[Tgl NPBG]]&gt;表1[[#This Row],[Peminta]],表1[[#This Row],[Tgl NPBG]]-表1[[#This Row],[Peminta]],"")</f>
        <v/>
      </c>
      <c r="J1080" s="31"/>
    </row>
    <row r="1081" s="12" customFormat="1" customHeight="1" spans="2:10">
      <c r="B1081" s="25"/>
      <c r="C1081" s="25"/>
      <c r="D1081" s="26" t="str" cm="1">
        <f t="array" ref="D1081">IF(C1081="","",IFERROR(INDEX(STPP!$D$6:$D$4207,MATCH(C1081,STPP!$C$6:$C$4207,0)),"Not Found"))</f>
        <v/>
      </c>
      <c r="E1081" s="27" t="str" cm="1">
        <f t="array" ref="E1081">IF(C1081="","",IFERROR(INDEX(STPP!$E$6:$E$4207,MATCH(C1081,STPP!$C$6:$C$4207,0)),"Not Found"))</f>
        <v/>
      </c>
      <c r="F1081" s="27" t="str" cm="1">
        <f t="array" ref="F1081">IF(C1081="","",IFERROR(INDEX(STPP!$F$6:$F$4207,MATCH(C1081,STPP!$C$6:$C$4207,0)),"Not Found"))</f>
        <v/>
      </c>
      <c r="G1081" s="25" t="str">
        <f>IF(表1[[#This Row],[No Seri]]="","",表1[[#This Row],[Deskripsi Barang]]+表1[[#This Row],[Kuantitas]]-表1[[#This Row],[Satuan]])</f>
        <v/>
      </c>
      <c r="H1081" s="28"/>
      <c r="I1081" s="25" t="str">
        <f>IF(表1[[#This Row],[Tgl NPBG]]&gt;表1[[#This Row],[Peminta]],表1[[#This Row],[Tgl NPBG]]-表1[[#This Row],[Peminta]],"")</f>
        <v/>
      </c>
      <c r="J1081" s="31"/>
    </row>
    <row r="1082" s="12" customFormat="1" customHeight="1" spans="2:10">
      <c r="B1082" s="25"/>
      <c r="C1082" s="25"/>
      <c r="D1082" s="26" t="str" cm="1">
        <f t="array" ref="D1082">IF(C1082="","",IFERROR(INDEX(STPP!$D$6:$D$4207,MATCH(C1082,STPP!$C$6:$C$4207,0)),"Not Found"))</f>
        <v/>
      </c>
      <c r="E1082" s="27" t="str" cm="1">
        <f t="array" ref="E1082">IF(C1082="","",IFERROR(INDEX(STPP!$E$6:$E$4207,MATCH(C1082,STPP!$C$6:$C$4207,0)),"Not Found"))</f>
        <v/>
      </c>
      <c r="F1082" s="27" t="str" cm="1">
        <f t="array" ref="F1082">IF(C1082="","",IFERROR(INDEX(STPP!$F$6:$F$4207,MATCH(C1082,STPP!$C$6:$C$4207,0)),"Not Found"))</f>
        <v/>
      </c>
      <c r="G1082" s="25" t="str">
        <f>IF(表1[[#This Row],[No Seri]]="","",表1[[#This Row],[Deskripsi Barang]]+表1[[#This Row],[Kuantitas]]-表1[[#This Row],[Satuan]])</f>
        <v/>
      </c>
      <c r="H1082" s="28"/>
      <c r="I1082" s="25" t="str">
        <f>IF(表1[[#This Row],[Tgl NPBG]]&gt;表1[[#This Row],[Peminta]],表1[[#This Row],[Tgl NPBG]]-表1[[#This Row],[Peminta]],"")</f>
        <v/>
      </c>
      <c r="J1082" s="31"/>
    </row>
    <row r="1083" s="12" customFormat="1" customHeight="1" spans="2:10">
      <c r="B1083" s="25"/>
      <c r="C1083" s="25"/>
      <c r="D1083" s="26" t="str" cm="1">
        <f t="array" ref="D1083">IF(C1083="","",IFERROR(INDEX(STPP!$D$6:$D$4207,MATCH(C1083,STPP!$C$6:$C$4207,0)),"Not Found"))</f>
        <v/>
      </c>
      <c r="E1083" s="27" t="str" cm="1">
        <f t="array" ref="E1083">IF(C1083="","",IFERROR(INDEX(STPP!$E$6:$E$4207,MATCH(C1083,STPP!$C$6:$C$4207,0)),"Not Found"))</f>
        <v/>
      </c>
      <c r="F1083" s="27" t="str" cm="1">
        <f t="array" ref="F1083">IF(C1083="","",IFERROR(INDEX(STPP!$F$6:$F$4207,MATCH(C1083,STPP!$C$6:$C$4207,0)),"Not Found"))</f>
        <v/>
      </c>
      <c r="G1083" s="25" t="str">
        <f>IF(表1[[#This Row],[No Seri]]="","",表1[[#This Row],[Deskripsi Barang]]+表1[[#This Row],[Kuantitas]]-表1[[#This Row],[Satuan]])</f>
        <v/>
      </c>
      <c r="H1083" s="28"/>
      <c r="I1083" s="25" t="str">
        <f>IF(表1[[#This Row],[Tgl NPBG]]&gt;表1[[#This Row],[Peminta]],表1[[#This Row],[Tgl NPBG]]-表1[[#This Row],[Peminta]],"")</f>
        <v/>
      </c>
      <c r="J1083" s="31"/>
    </row>
    <row r="1084" s="12" customFormat="1" customHeight="1" spans="2:10">
      <c r="B1084" s="25"/>
      <c r="C1084" s="25"/>
      <c r="D1084" s="26" t="str" cm="1">
        <f t="array" ref="D1084">IF(C1084="","",IFERROR(INDEX(STPP!$D$6:$D$4207,MATCH(C1084,STPP!$C$6:$C$4207,0)),"Not Found"))</f>
        <v/>
      </c>
      <c r="E1084" s="27" t="str" cm="1">
        <f t="array" ref="E1084">IF(C1084="","",IFERROR(INDEX(STPP!$E$6:$E$4207,MATCH(C1084,STPP!$C$6:$C$4207,0)),"Not Found"))</f>
        <v/>
      </c>
      <c r="F1084" s="27" t="str" cm="1">
        <f t="array" ref="F1084">IF(C1084="","",IFERROR(INDEX(STPP!$F$6:$F$4207,MATCH(C1084,STPP!$C$6:$C$4207,0)),"Not Found"))</f>
        <v/>
      </c>
      <c r="G1084" s="25" t="str">
        <f>IF(表1[[#This Row],[No Seri]]="","",表1[[#This Row],[Deskripsi Barang]]+表1[[#This Row],[Kuantitas]]-表1[[#This Row],[Satuan]])</f>
        <v/>
      </c>
      <c r="H1084" s="28"/>
      <c r="I1084" s="25" t="str">
        <f>IF(表1[[#This Row],[Tgl NPBG]]&gt;表1[[#This Row],[Peminta]],表1[[#This Row],[Tgl NPBG]]-表1[[#This Row],[Peminta]],"")</f>
        <v/>
      </c>
      <c r="J1084" s="31"/>
    </row>
    <row r="1085" s="12" customFormat="1" customHeight="1" spans="2:10">
      <c r="B1085" s="25"/>
      <c r="C1085" s="25"/>
      <c r="D1085" s="26" t="str" cm="1">
        <f t="array" ref="D1085">IF(C1085="","",IFERROR(INDEX(STPP!$D$6:$D$4207,MATCH(C1085,STPP!$C$6:$C$4207,0)),"Not Found"))</f>
        <v/>
      </c>
      <c r="E1085" s="27" t="str" cm="1">
        <f t="array" ref="E1085">IF(C1085="","",IFERROR(INDEX(STPP!$E$6:$E$4207,MATCH(C1085,STPP!$C$6:$C$4207,0)),"Not Found"))</f>
        <v/>
      </c>
      <c r="F1085" s="27" t="str" cm="1">
        <f t="array" ref="F1085">IF(C1085="","",IFERROR(INDEX(STPP!$F$6:$F$4207,MATCH(C1085,STPP!$C$6:$C$4207,0)),"Not Found"))</f>
        <v/>
      </c>
      <c r="G1085" s="25" t="str">
        <f>IF(表1[[#This Row],[No Seri]]="","",表1[[#This Row],[Deskripsi Barang]]+表1[[#This Row],[Kuantitas]]-表1[[#This Row],[Satuan]])</f>
        <v/>
      </c>
      <c r="H1085" s="28"/>
      <c r="I1085" s="25" t="str">
        <f>IF(表1[[#This Row],[Tgl NPBG]]&gt;表1[[#This Row],[Peminta]],表1[[#This Row],[Tgl NPBG]]-表1[[#This Row],[Peminta]],"")</f>
        <v/>
      </c>
      <c r="J1085" s="31"/>
    </row>
    <row r="1086" s="12" customFormat="1" customHeight="1" spans="2:10">
      <c r="B1086" s="25"/>
      <c r="C1086" s="25"/>
      <c r="D1086" s="26" t="str" cm="1">
        <f t="array" ref="D1086">IF(C1086="","",IFERROR(INDEX(STPP!$D$6:$D$4207,MATCH(C1086,STPP!$C$6:$C$4207,0)),"Not Found"))</f>
        <v/>
      </c>
      <c r="E1086" s="27" t="str" cm="1">
        <f t="array" ref="E1086">IF(C1086="","",IFERROR(INDEX(STPP!$E$6:$E$4207,MATCH(C1086,STPP!$C$6:$C$4207,0)),"Not Found"))</f>
        <v/>
      </c>
      <c r="F1086" s="27" t="str" cm="1">
        <f t="array" ref="F1086">IF(C1086="","",IFERROR(INDEX(STPP!$F$6:$F$4207,MATCH(C1086,STPP!$C$6:$C$4207,0)),"Not Found"))</f>
        <v/>
      </c>
      <c r="G1086" s="25" t="str">
        <f>IF(表1[[#This Row],[No Seri]]="","",表1[[#This Row],[Deskripsi Barang]]+表1[[#This Row],[Kuantitas]]-表1[[#This Row],[Satuan]])</f>
        <v/>
      </c>
      <c r="H1086" s="28"/>
      <c r="I1086" s="25" t="str">
        <f>IF(表1[[#This Row],[Tgl NPBG]]&gt;表1[[#This Row],[Peminta]],表1[[#This Row],[Tgl NPBG]]-表1[[#This Row],[Peminta]],"")</f>
        <v/>
      </c>
      <c r="J1086" s="31"/>
    </row>
    <row r="1087" s="12" customFormat="1" customHeight="1" spans="2:10">
      <c r="B1087" s="25"/>
      <c r="C1087" s="25"/>
      <c r="D1087" s="26" t="str" cm="1">
        <f t="array" ref="D1087">IF(C1087="","",IFERROR(INDEX(STPP!$D$6:$D$4207,MATCH(C1087,STPP!$C$6:$C$4207,0)),"Not Found"))</f>
        <v/>
      </c>
      <c r="E1087" s="27" t="str" cm="1">
        <f t="array" ref="E1087">IF(C1087="","",IFERROR(INDEX(STPP!$E$6:$E$4207,MATCH(C1087,STPP!$C$6:$C$4207,0)),"Not Found"))</f>
        <v/>
      </c>
      <c r="F1087" s="27" t="str" cm="1">
        <f t="array" ref="F1087">IF(C1087="","",IFERROR(INDEX(STPP!$F$6:$F$4207,MATCH(C1087,STPP!$C$6:$C$4207,0)),"Not Found"))</f>
        <v/>
      </c>
      <c r="G1087" s="25" t="str">
        <f>IF(表1[[#This Row],[No Seri]]="","",表1[[#This Row],[Deskripsi Barang]]+表1[[#This Row],[Kuantitas]]-表1[[#This Row],[Satuan]])</f>
        <v/>
      </c>
      <c r="H1087" s="28"/>
      <c r="I1087" s="25" t="str">
        <f>IF(表1[[#This Row],[Tgl NPBG]]&gt;表1[[#This Row],[Peminta]],表1[[#This Row],[Tgl NPBG]]-表1[[#This Row],[Peminta]],"")</f>
        <v/>
      </c>
      <c r="J1087" s="31"/>
    </row>
    <row r="1088" s="12" customFormat="1" customHeight="1" spans="2:10">
      <c r="B1088" s="25"/>
      <c r="C1088" s="25"/>
      <c r="D1088" s="26" t="str" cm="1">
        <f t="array" ref="D1088">IF(C1088="","",IFERROR(INDEX(STPP!$D$6:$D$4207,MATCH(C1088,STPP!$C$6:$C$4207,0)),"Not Found"))</f>
        <v/>
      </c>
      <c r="E1088" s="27" t="str" cm="1">
        <f t="array" ref="E1088">IF(C1088="","",IFERROR(INDEX(STPP!$E$6:$E$4207,MATCH(C1088,STPP!$C$6:$C$4207,0)),"Not Found"))</f>
        <v/>
      </c>
      <c r="F1088" s="27" t="str" cm="1">
        <f t="array" ref="F1088">IF(C1088="","",IFERROR(INDEX(STPP!$F$6:$F$4207,MATCH(C1088,STPP!$C$6:$C$4207,0)),"Not Found"))</f>
        <v/>
      </c>
      <c r="G1088" s="25" t="str">
        <f>IF(表1[[#This Row],[No Seri]]="","",表1[[#This Row],[Deskripsi Barang]]+表1[[#This Row],[Kuantitas]]-表1[[#This Row],[Satuan]])</f>
        <v/>
      </c>
      <c r="H1088" s="28"/>
      <c r="I1088" s="25" t="str">
        <f>IF(表1[[#This Row],[Tgl NPBG]]&gt;表1[[#This Row],[Peminta]],表1[[#This Row],[Tgl NPBG]]-表1[[#This Row],[Peminta]],"")</f>
        <v/>
      </c>
      <c r="J1088" s="31"/>
    </row>
    <row r="1089" s="12" customFormat="1" customHeight="1" spans="2:10">
      <c r="B1089" s="25"/>
      <c r="C1089" s="25"/>
      <c r="D1089" s="26" t="str" cm="1">
        <f t="array" ref="D1089">IF(C1089="","",IFERROR(INDEX(STPP!$D$6:$D$4207,MATCH(C1089,STPP!$C$6:$C$4207,0)),"Not Found"))</f>
        <v/>
      </c>
      <c r="E1089" s="27" t="str" cm="1">
        <f t="array" ref="E1089">IF(C1089="","",IFERROR(INDEX(STPP!$E$6:$E$4207,MATCH(C1089,STPP!$C$6:$C$4207,0)),"Not Found"))</f>
        <v/>
      </c>
      <c r="F1089" s="27" t="str" cm="1">
        <f t="array" ref="F1089">IF(C1089="","",IFERROR(INDEX(STPP!$F$6:$F$4207,MATCH(C1089,STPP!$C$6:$C$4207,0)),"Not Found"))</f>
        <v/>
      </c>
      <c r="G1089" s="25" t="str">
        <f>IF(表1[[#This Row],[No Seri]]="","",表1[[#This Row],[Deskripsi Barang]]+表1[[#This Row],[Kuantitas]]-表1[[#This Row],[Satuan]])</f>
        <v/>
      </c>
      <c r="H1089" s="28"/>
      <c r="I1089" s="25" t="str">
        <f>IF(表1[[#This Row],[Tgl NPBG]]&gt;表1[[#This Row],[Peminta]],表1[[#This Row],[Tgl NPBG]]-表1[[#This Row],[Peminta]],"")</f>
        <v/>
      </c>
      <c r="J1089" s="31"/>
    </row>
    <row r="1090" s="12" customFormat="1" customHeight="1" spans="2:10">
      <c r="B1090" s="25"/>
      <c r="C1090" s="25"/>
      <c r="D1090" s="26" t="str" cm="1">
        <f t="array" ref="D1090">IF(C1090="","",IFERROR(INDEX(STPP!$D$6:$D$4207,MATCH(C1090,STPP!$C$6:$C$4207,0)),"Not Found"))</f>
        <v/>
      </c>
      <c r="E1090" s="27" t="str" cm="1">
        <f t="array" ref="E1090">IF(C1090="","",IFERROR(INDEX(STPP!$E$6:$E$4207,MATCH(C1090,STPP!$C$6:$C$4207,0)),"Not Found"))</f>
        <v/>
      </c>
      <c r="F1090" s="27" t="str" cm="1">
        <f t="array" ref="F1090">IF(C1090="","",IFERROR(INDEX(STPP!$F$6:$F$4207,MATCH(C1090,STPP!$C$6:$C$4207,0)),"Not Found"))</f>
        <v/>
      </c>
      <c r="G1090" s="25" t="str">
        <f>IF(表1[[#This Row],[No Seri]]="","",表1[[#This Row],[Deskripsi Barang]]+表1[[#This Row],[Kuantitas]]-表1[[#This Row],[Satuan]])</f>
        <v/>
      </c>
      <c r="H1090" s="28"/>
      <c r="I1090" s="25" t="str">
        <f>IF(表1[[#This Row],[Tgl NPBG]]&gt;表1[[#This Row],[Peminta]],表1[[#This Row],[Tgl NPBG]]-表1[[#This Row],[Peminta]],"")</f>
        <v/>
      </c>
      <c r="J1090" s="31"/>
    </row>
    <row r="1091" s="12" customFormat="1" customHeight="1" spans="2:10">
      <c r="B1091" s="25"/>
      <c r="C1091" s="25"/>
      <c r="D1091" s="26" t="str" cm="1">
        <f t="array" ref="D1091">IF(C1091="","",IFERROR(INDEX(STPP!$D$6:$D$4207,MATCH(C1091,STPP!$C$6:$C$4207,0)),"Not Found"))</f>
        <v/>
      </c>
      <c r="E1091" s="27" t="str" cm="1">
        <f t="array" ref="E1091">IF(C1091="","",IFERROR(INDEX(STPP!$E$6:$E$4207,MATCH(C1091,STPP!$C$6:$C$4207,0)),"Not Found"))</f>
        <v/>
      </c>
      <c r="F1091" s="27" t="str" cm="1">
        <f t="array" ref="F1091">IF(C1091="","",IFERROR(INDEX(STPP!$F$6:$F$4207,MATCH(C1091,STPP!$C$6:$C$4207,0)),"Not Found"))</f>
        <v/>
      </c>
      <c r="G1091" s="25" t="str">
        <f>IF(表1[[#This Row],[No Seri]]="","",表1[[#This Row],[Deskripsi Barang]]+表1[[#This Row],[Kuantitas]]-表1[[#This Row],[Satuan]])</f>
        <v/>
      </c>
      <c r="H1091" s="28"/>
      <c r="I1091" s="25" t="str">
        <f>IF(表1[[#This Row],[Tgl NPBG]]&gt;表1[[#This Row],[Peminta]],表1[[#This Row],[Tgl NPBG]]-表1[[#This Row],[Peminta]],"")</f>
        <v/>
      </c>
      <c r="J1091" s="31"/>
    </row>
    <row r="1092" s="12" customFormat="1" customHeight="1" spans="2:10">
      <c r="B1092" s="25"/>
      <c r="C1092" s="25"/>
      <c r="D1092" s="26" t="str" cm="1">
        <f t="array" ref="D1092">IF(C1092="","",IFERROR(INDEX(STPP!$D$6:$D$4207,MATCH(C1092,STPP!$C$6:$C$4207,0)),"Not Found"))</f>
        <v/>
      </c>
      <c r="E1092" s="27" t="str" cm="1">
        <f t="array" ref="E1092">IF(C1092="","",IFERROR(INDEX(STPP!$E$6:$E$4207,MATCH(C1092,STPP!$C$6:$C$4207,0)),"Not Found"))</f>
        <v/>
      </c>
      <c r="F1092" s="27" t="str" cm="1">
        <f t="array" ref="F1092">IF(C1092="","",IFERROR(INDEX(STPP!$F$6:$F$4207,MATCH(C1092,STPP!$C$6:$C$4207,0)),"Not Found"))</f>
        <v/>
      </c>
      <c r="G1092" s="25" t="str">
        <f>IF(表1[[#This Row],[No Seri]]="","",表1[[#This Row],[Deskripsi Barang]]+表1[[#This Row],[Kuantitas]]-表1[[#This Row],[Satuan]])</f>
        <v/>
      </c>
      <c r="H1092" s="28"/>
      <c r="I1092" s="25" t="str">
        <f>IF(表1[[#This Row],[Tgl NPBG]]&gt;表1[[#This Row],[Peminta]],表1[[#This Row],[Tgl NPBG]]-表1[[#This Row],[Peminta]],"")</f>
        <v/>
      </c>
      <c r="J1092" s="31"/>
    </row>
    <row r="1093" s="12" customFormat="1" customHeight="1" spans="2:10">
      <c r="B1093" s="25"/>
      <c r="C1093" s="25"/>
      <c r="D1093" s="26" t="str" cm="1">
        <f t="array" ref="D1093">IF(C1093="","",IFERROR(INDEX(STPP!$D$6:$D$4207,MATCH(C1093,STPP!$C$6:$C$4207,0)),"Not Found"))</f>
        <v/>
      </c>
      <c r="E1093" s="27" t="str" cm="1">
        <f t="array" ref="E1093">IF(C1093="","",IFERROR(INDEX(STPP!$E$6:$E$4207,MATCH(C1093,STPP!$C$6:$C$4207,0)),"Not Found"))</f>
        <v/>
      </c>
      <c r="F1093" s="27" t="str" cm="1">
        <f t="array" ref="F1093">IF(C1093="","",IFERROR(INDEX(STPP!$F$6:$F$4207,MATCH(C1093,STPP!$C$6:$C$4207,0)),"Not Found"))</f>
        <v/>
      </c>
      <c r="G1093" s="25" t="str">
        <f>IF(表1[[#This Row],[No Seri]]="","",表1[[#This Row],[Deskripsi Barang]]+表1[[#This Row],[Kuantitas]]-表1[[#This Row],[Satuan]])</f>
        <v/>
      </c>
      <c r="H1093" s="28"/>
      <c r="I1093" s="25" t="str">
        <f>IF(表1[[#This Row],[Tgl NPBG]]&gt;表1[[#This Row],[Peminta]],表1[[#This Row],[Tgl NPBG]]-表1[[#This Row],[Peminta]],"")</f>
        <v/>
      </c>
      <c r="J1093" s="31"/>
    </row>
    <row r="1094" s="12" customFormat="1" customHeight="1" spans="2:10">
      <c r="B1094" s="25"/>
      <c r="C1094" s="25"/>
      <c r="D1094" s="26" t="str" cm="1">
        <f t="array" ref="D1094">IF(C1094="","",IFERROR(INDEX(STPP!$D$6:$D$4207,MATCH(C1094,STPP!$C$6:$C$4207,0)),"Not Found"))</f>
        <v/>
      </c>
      <c r="E1094" s="27" t="str" cm="1">
        <f t="array" ref="E1094">IF(C1094="","",IFERROR(INDEX(STPP!$E$6:$E$4207,MATCH(C1094,STPP!$C$6:$C$4207,0)),"Not Found"))</f>
        <v/>
      </c>
      <c r="F1094" s="27" t="str" cm="1">
        <f t="array" ref="F1094">IF(C1094="","",IFERROR(INDEX(STPP!$F$6:$F$4207,MATCH(C1094,STPP!$C$6:$C$4207,0)),"Not Found"))</f>
        <v/>
      </c>
      <c r="G1094" s="25" t="str">
        <f>IF(表1[[#This Row],[No Seri]]="","",表1[[#This Row],[Deskripsi Barang]]+表1[[#This Row],[Kuantitas]]-表1[[#This Row],[Satuan]])</f>
        <v/>
      </c>
      <c r="H1094" s="28"/>
      <c r="I1094" s="25" t="str">
        <f>IF(表1[[#This Row],[Tgl NPBG]]&gt;表1[[#This Row],[Peminta]],表1[[#This Row],[Tgl NPBG]]-表1[[#This Row],[Peminta]],"")</f>
        <v/>
      </c>
      <c r="J1094" s="31"/>
    </row>
    <row r="1095" s="12" customFormat="1" customHeight="1" spans="2:10">
      <c r="B1095" s="25"/>
      <c r="C1095" s="25"/>
      <c r="D1095" s="26" t="str" cm="1">
        <f t="array" ref="D1095">IF(C1095="","",IFERROR(INDEX(STPP!$D$6:$D$4207,MATCH(C1095,STPP!$C$6:$C$4207,0)),"Not Found"))</f>
        <v/>
      </c>
      <c r="E1095" s="27" t="str" cm="1">
        <f t="array" ref="E1095">IF(C1095="","",IFERROR(INDEX(STPP!$E$6:$E$4207,MATCH(C1095,STPP!$C$6:$C$4207,0)),"Not Found"))</f>
        <v/>
      </c>
      <c r="F1095" s="27" t="str" cm="1">
        <f t="array" ref="F1095">IF(C1095="","",IFERROR(INDEX(STPP!$F$6:$F$4207,MATCH(C1095,STPP!$C$6:$C$4207,0)),"Not Found"))</f>
        <v/>
      </c>
      <c r="G1095" s="25" t="str">
        <f>IF(表1[[#This Row],[No Seri]]="","",表1[[#This Row],[Deskripsi Barang]]+表1[[#This Row],[Kuantitas]]-表1[[#This Row],[Satuan]])</f>
        <v/>
      </c>
      <c r="H1095" s="28"/>
      <c r="I1095" s="25" t="str">
        <f>IF(表1[[#This Row],[Tgl NPBG]]&gt;表1[[#This Row],[Peminta]],表1[[#This Row],[Tgl NPBG]]-表1[[#This Row],[Peminta]],"")</f>
        <v/>
      </c>
      <c r="J1095" s="31"/>
    </row>
    <row r="1096" s="12" customFormat="1" customHeight="1" spans="2:10">
      <c r="B1096" s="25"/>
      <c r="C1096" s="25"/>
      <c r="D1096" s="26" t="str" cm="1">
        <f t="array" ref="D1096">IF(C1096="","",IFERROR(INDEX(STPP!$D$6:$D$4207,MATCH(C1096,STPP!$C$6:$C$4207,0)),"Not Found"))</f>
        <v/>
      </c>
      <c r="E1096" s="27" t="str" cm="1">
        <f t="array" ref="E1096">IF(C1096="","",IFERROR(INDEX(STPP!$E$6:$E$4207,MATCH(C1096,STPP!$C$6:$C$4207,0)),"Not Found"))</f>
        <v/>
      </c>
      <c r="F1096" s="27" t="str" cm="1">
        <f t="array" ref="F1096">IF(C1096="","",IFERROR(INDEX(STPP!$F$6:$F$4207,MATCH(C1096,STPP!$C$6:$C$4207,0)),"Not Found"))</f>
        <v/>
      </c>
      <c r="G1096" s="25" t="str">
        <f>IF(表1[[#This Row],[No Seri]]="","",表1[[#This Row],[Deskripsi Barang]]+表1[[#This Row],[Kuantitas]]-表1[[#This Row],[Satuan]])</f>
        <v/>
      </c>
      <c r="H1096" s="28"/>
      <c r="I1096" s="25" t="str">
        <f>IF(表1[[#This Row],[Tgl NPBG]]&gt;表1[[#This Row],[Peminta]],表1[[#This Row],[Tgl NPBG]]-表1[[#This Row],[Peminta]],"")</f>
        <v/>
      </c>
      <c r="J1096" s="31"/>
    </row>
    <row r="1097" s="12" customFormat="1" customHeight="1" spans="2:10">
      <c r="B1097" s="25"/>
      <c r="C1097" s="25"/>
      <c r="D1097" s="26" t="str" cm="1">
        <f t="array" ref="D1097">IF(C1097="","",IFERROR(INDEX(STPP!$D$6:$D$4207,MATCH(C1097,STPP!$C$6:$C$4207,0)),"Not Found"))</f>
        <v/>
      </c>
      <c r="E1097" s="27" t="str" cm="1">
        <f t="array" ref="E1097">IF(C1097="","",IFERROR(INDEX(STPP!$E$6:$E$4207,MATCH(C1097,STPP!$C$6:$C$4207,0)),"Not Found"))</f>
        <v/>
      </c>
      <c r="F1097" s="27" t="str" cm="1">
        <f t="array" ref="F1097">IF(C1097="","",IFERROR(INDEX(STPP!$F$6:$F$4207,MATCH(C1097,STPP!$C$6:$C$4207,0)),"Not Found"))</f>
        <v/>
      </c>
      <c r="G1097" s="25" t="str">
        <f>IF(表1[[#This Row],[No Seri]]="","",表1[[#This Row],[Deskripsi Barang]]+表1[[#This Row],[Kuantitas]]-表1[[#This Row],[Satuan]])</f>
        <v/>
      </c>
      <c r="H1097" s="28"/>
      <c r="I1097" s="25" t="str">
        <f>IF(表1[[#This Row],[Tgl NPBG]]&gt;表1[[#This Row],[Peminta]],表1[[#This Row],[Tgl NPBG]]-表1[[#This Row],[Peminta]],"")</f>
        <v/>
      </c>
      <c r="J1097" s="31"/>
    </row>
    <row r="1098" s="12" customFormat="1" customHeight="1" spans="2:10">
      <c r="B1098" s="25"/>
      <c r="C1098" s="25"/>
      <c r="D1098" s="26" t="str" cm="1">
        <f t="array" ref="D1098">IF(C1098="","",IFERROR(INDEX(STPP!$D$6:$D$4207,MATCH(C1098,STPP!$C$6:$C$4207,0)),"Not Found"))</f>
        <v/>
      </c>
      <c r="E1098" s="27" t="str" cm="1">
        <f t="array" ref="E1098">IF(C1098="","",IFERROR(INDEX(STPP!$E$6:$E$4207,MATCH(C1098,STPP!$C$6:$C$4207,0)),"Not Found"))</f>
        <v/>
      </c>
      <c r="F1098" s="27" t="str" cm="1">
        <f t="array" ref="F1098">IF(C1098="","",IFERROR(INDEX(STPP!$F$6:$F$4207,MATCH(C1098,STPP!$C$6:$C$4207,0)),"Not Found"))</f>
        <v/>
      </c>
      <c r="G1098" s="25" t="str">
        <f>IF(表1[[#This Row],[No Seri]]="","",表1[[#This Row],[Deskripsi Barang]]+表1[[#This Row],[Kuantitas]]-表1[[#This Row],[Satuan]])</f>
        <v/>
      </c>
      <c r="H1098" s="28"/>
      <c r="I1098" s="25" t="str">
        <f>IF(表1[[#This Row],[Tgl NPBG]]&gt;表1[[#This Row],[Peminta]],表1[[#This Row],[Tgl NPBG]]-表1[[#This Row],[Peminta]],"")</f>
        <v/>
      </c>
      <c r="J1098" s="31"/>
    </row>
    <row r="1099" s="12" customFormat="1" customHeight="1" spans="2:10">
      <c r="B1099" s="25"/>
      <c r="C1099" s="25"/>
      <c r="D1099" s="26" t="str" cm="1">
        <f t="array" ref="D1099">IF(C1099="","",IFERROR(INDEX(STPP!$D$6:$D$4207,MATCH(C1099,STPP!$C$6:$C$4207,0)),"Not Found"))</f>
        <v/>
      </c>
      <c r="E1099" s="27" t="str" cm="1">
        <f t="array" ref="E1099">IF(C1099="","",IFERROR(INDEX(STPP!$E$6:$E$4207,MATCH(C1099,STPP!$C$6:$C$4207,0)),"Not Found"))</f>
        <v/>
      </c>
      <c r="F1099" s="27" t="str" cm="1">
        <f t="array" ref="F1099">IF(C1099="","",IFERROR(INDEX(STPP!$F$6:$F$4207,MATCH(C1099,STPP!$C$6:$C$4207,0)),"Not Found"))</f>
        <v/>
      </c>
      <c r="G1099" s="25" t="str">
        <f>IF(表1[[#This Row],[No Seri]]="","",表1[[#This Row],[Deskripsi Barang]]+表1[[#This Row],[Kuantitas]]-表1[[#This Row],[Satuan]])</f>
        <v/>
      </c>
      <c r="H1099" s="28"/>
      <c r="I1099" s="25" t="str">
        <f>IF(表1[[#This Row],[Tgl NPBG]]&gt;表1[[#This Row],[Peminta]],表1[[#This Row],[Tgl NPBG]]-表1[[#This Row],[Peminta]],"")</f>
        <v/>
      </c>
      <c r="J1099" s="31"/>
    </row>
    <row r="1100" s="12" customFormat="1" customHeight="1" spans="2:10">
      <c r="B1100" s="25"/>
      <c r="C1100" s="25"/>
      <c r="D1100" s="26" t="str" cm="1">
        <f t="array" ref="D1100">IF(C1100="","",IFERROR(INDEX(STPP!$D$6:$D$4207,MATCH(C1100,STPP!$C$6:$C$4207,0)),"Not Found"))</f>
        <v/>
      </c>
      <c r="E1100" s="27" t="str" cm="1">
        <f t="array" ref="E1100">IF(C1100="","",IFERROR(INDEX(STPP!$E$6:$E$4207,MATCH(C1100,STPP!$C$6:$C$4207,0)),"Not Found"))</f>
        <v/>
      </c>
      <c r="F1100" s="27" t="str" cm="1">
        <f t="array" ref="F1100">IF(C1100="","",IFERROR(INDEX(STPP!$F$6:$F$4207,MATCH(C1100,STPP!$C$6:$C$4207,0)),"Not Found"))</f>
        <v/>
      </c>
      <c r="G1100" s="25" t="str">
        <f>IF(表1[[#This Row],[No Seri]]="","",表1[[#This Row],[Deskripsi Barang]]+表1[[#This Row],[Kuantitas]]-表1[[#This Row],[Satuan]])</f>
        <v/>
      </c>
      <c r="H1100" s="28"/>
      <c r="I1100" s="25" t="str">
        <f>IF(表1[[#This Row],[Tgl NPBG]]&gt;表1[[#This Row],[Peminta]],表1[[#This Row],[Tgl NPBG]]-表1[[#This Row],[Peminta]],"")</f>
        <v/>
      </c>
      <c r="J1100" s="31"/>
    </row>
    <row r="1101" s="12" customFormat="1" customHeight="1" spans="2:10">
      <c r="B1101" s="25"/>
      <c r="C1101" s="25"/>
      <c r="D1101" s="26" t="str" cm="1">
        <f t="array" ref="D1101">IF(C1101="","",IFERROR(INDEX(STPP!$D$6:$D$4207,MATCH(C1101,STPP!$C$6:$C$4207,0)),"Not Found"))</f>
        <v/>
      </c>
      <c r="E1101" s="27" t="str" cm="1">
        <f t="array" ref="E1101">IF(C1101="","",IFERROR(INDEX(STPP!$E$6:$E$4207,MATCH(C1101,STPP!$C$6:$C$4207,0)),"Not Found"))</f>
        <v/>
      </c>
      <c r="F1101" s="27" t="str" cm="1">
        <f t="array" ref="F1101">IF(C1101="","",IFERROR(INDEX(STPP!$F$6:$F$4207,MATCH(C1101,STPP!$C$6:$C$4207,0)),"Not Found"))</f>
        <v/>
      </c>
      <c r="G1101" s="25" t="str">
        <f>IF(表1[[#This Row],[No Seri]]="","",表1[[#This Row],[Deskripsi Barang]]+表1[[#This Row],[Kuantitas]]-表1[[#This Row],[Satuan]])</f>
        <v/>
      </c>
      <c r="H1101" s="28"/>
      <c r="I1101" s="25" t="str">
        <f>IF(表1[[#This Row],[Tgl NPBG]]&gt;表1[[#This Row],[Peminta]],表1[[#This Row],[Tgl NPBG]]-表1[[#This Row],[Peminta]],"")</f>
        <v/>
      </c>
      <c r="J1101" s="31"/>
    </row>
    <row r="1102" s="12" customFormat="1" customHeight="1" spans="2:10">
      <c r="B1102" s="25"/>
      <c r="C1102" s="25"/>
      <c r="D1102" s="26" t="str" cm="1">
        <f t="array" ref="D1102">IF(C1102="","",IFERROR(INDEX(STPP!$D$6:$D$4207,MATCH(C1102,STPP!$C$6:$C$4207,0)),"Not Found"))</f>
        <v/>
      </c>
      <c r="E1102" s="27" t="str" cm="1">
        <f t="array" ref="E1102">IF(C1102="","",IFERROR(INDEX(STPP!$E$6:$E$4207,MATCH(C1102,STPP!$C$6:$C$4207,0)),"Not Found"))</f>
        <v/>
      </c>
      <c r="F1102" s="27" t="str" cm="1">
        <f t="array" ref="F1102">IF(C1102="","",IFERROR(INDEX(STPP!$F$6:$F$4207,MATCH(C1102,STPP!$C$6:$C$4207,0)),"Not Found"))</f>
        <v/>
      </c>
      <c r="G1102" s="25" t="str">
        <f>IF(表1[[#This Row],[No Seri]]="","",表1[[#This Row],[Deskripsi Barang]]+表1[[#This Row],[Kuantitas]]-表1[[#This Row],[Satuan]])</f>
        <v/>
      </c>
      <c r="H1102" s="28"/>
      <c r="I1102" s="25" t="str">
        <f>IF(表1[[#This Row],[Tgl NPBG]]&gt;表1[[#This Row],[Peminta]],表1[[#This Row],[Tgl NPBG]]-表1[[#This Row],[Peminta]],"")</f>
        <v/>
      </c>
      <c r="J1102" s="31"/>
    </row>
    <row r="1103" s="12" customFormat="1" customHeight="1" spans="2:10">
      <c r="B1103" s="25"/>
      <c r="C1103" s="25"/>
      <c r="D1103" s="26" t="str" cm="1">
        <f t="array" ref="D1103">IF(C1103="","",IFERROR(INDEX(STPP!$D$6:$D$4207,MATCH(C1103,STPP!$C$6:$C$4207,0)),"Not Found"))</f>
        <v/>
      </c>
      <c r="E1103" s="27" t="str" cm="1">
        <f t="array" ref="E1103">IF(C1103="","",IFERROR(INDEX(STPP!$E$6:$E$4207,MATCH(C1103,STPP!$C$6:$C$4207,0)),"Not Found"))</f>
        <v/>
      </c>
      <c r="F1103" s="27" t="str" cm="1">
        <f t="array" ref="F1103">IF(C1103="","",IFERROR(INDEX(STPP!$F$6:$F$4207,MATCH(C1103,STPP!$C$6:$C$4207,0)),"Not Found"))</f>
        <v/>
      </c>
      <c r="G1103" s="25" t="str">
        <f>IF(表1[[#This Row],[No Seri]]="","",表1[[#This Row],[Deskripsi Barang]]+表1[[#This Row],[Kuantitas]]-表1[[#This Row],[Satuan]])</f>
        <v/>
      </c>
      <c r="H1103" s="28"/>
      <c r="I1103" s="25" t="str">
        <f>IF(表1[[#This Row],[Tgl NPBG]]&gt;表1[[#This Row],[Peminta]],表1[[#This Row],[Tgl NPBG]]-表1[[#This Row],[Peminta]],"")</f>
        <v/>
      </c>
      <c r="J1103" s="31"/>
    </row>
    <row r="1104" s="12" customFormat="1" customHeight="1" spans="2:10">
      <c r="B1104" s="25"/>
      <c r="C1104" s="25"/>
      <c r="D1104" s="26" t="str" cm="1">
        <f t="array" ref="D1104">IF(C1104="","",IFERROR(INDEX(STPP!$D$6:$D$4207,MATCH(C1104,STPP!$C$6:$C$4207,0)),"Not Found"))</f>
        <v/>
      </c>
      <c r="E1104" s="27" t="str" cm="1">
        <f t="array" ref="E1104">IF(C1104="","",IFERROR(INDEX(STPP!$E$6:$E$4207,MATCH(C1104,STPP!$C$6:$C$4207,0)),"Not Found"))</f>
        <v/>
      </c>
      <c r="F1104" s="27" t="str" cm="1">
        <f t="array" ref="F1104">IF(C1104="","",IFERROR(INDEX(STPP!$F$6:$F$4207,MATCH(C1104,STPP!$C$6:$C$4207,0)),"Not Found"))</f>
        <v/>
      </c>
      <c r="G1104" s="25" t="str">
        <f>IF(表1[[#This Row],[No Seri]]="","",表1[[#This Row],[Deskripsi Barang]]+表1[[#This Row],[Kuantitas]]-表1[[#This Row],[Satuan]])</f>
        <v/>
      </c>
      <c r="H1104" s="28"/>
      <c r="I1104" s="25" t="str">
        <f>IF(表1[[#This Row],[Tgl NPBG]]&gt;表1[[#This Row],[Peminta]],表1[[#This Row],[Tgl NPBG]]-表1[[#This Row],[Peminta]],"")</f>
        <v/>
      </c>
      <c r="J1104" s="31"/>
    </row>
    <row r="1105" s="12" customFormat="1" customHeight="1" spans="2:10">
      <c r="B1105" s="25"/>
      <c r="C1105" s="25"/>
      <c r="D1105" s="26" t="str" cm="1">
        <f t="array" ref="D1105">IF(C1105="","",IFERROR(INDEX(STPP!$D$6:$D$4207,MATCH(C1105,STPP!$C$6:$C$4207,0)),"Not Found"))</f>
        <v/>
      </c>
      <c r="E1105" s="27" t="str" cm="1">
        <f t="array" ref="E1105">IF(C1105="","",IFERROR(INDEX(STPP!$E$6:$E$4207,MATCH(C1105,STPP!$C$6:$C$4207,0)),"Not Found"))</f>
        <v/>
      </c>
      <c r="F1105" s="27" t="str" cm="1">
        <f t="array" ref="F1105">IF(C1105="","",IFERROR(INDEX(STPP!$F$6:$F$4207,MATCH(C1105,STPP!$C$6:$C$4207,0)),"Not Found"))</f>
        <v/>
      </c>
      <c r="G1105" s="25" t="str">
        <f>IF(表1[[#This Row],[No Seri]]="","",表1[[#This Row],[Deskripsi Barang]]+表1[[#This Row],[Kuantitas]]-表1[[#This Row],[Satuan]])</f>
        <v/>
      </c>
      <c r="H1105" s="28"/>
      <c r="I1105" s="25" t="str">
        <f>IF(表1[[#This Row],[Tgl NPBG]]&gt;表1[[#This Row],[Peminta]],表1[[#This Row],[Tgl NPBG]]-表1[[#This Row],[Peminta]],"")</f>
        <v/>
      </c>
      <c r="J1105" s="31"/>
    </row>
    <row r="1106" s="12" customFormat="1" customHeight="1" spans="2:10">
      <c r="B1106" s="25"/>
      <c r="C1106" s="25"/>
      <c r="D1106" s="26" t="str" cm="1">
        <f t="array" ref="D1106">IF(C1106="","",IFERROR(INDEX(STPP!$D$6:$D$4207,MATCH(C1106,STPP!$C$6:$C$4207,0)),"Not Found"))</f>
        <v/>
      </c>
      <c r="E1106" s="27" t="str" cm="1">
        <f t="array" ref="E1106">IF(C1106="","",IFERROR(INDEX(STPP!$E$6:$E$4207,MATCH(C1106,STPP!$C$6:$C$4207,0)),"Not Found"))</f>
        <v/>
      </c>
      <c r="F1106" s="27" t="str" cm="1">
        <f t="array" ref="F1106">IF(C1106="","",IFERROR(INDEX(STPP!$F$6:$F$4207,MATCH(C1106,STPP!$C$6:$C$4207,0)),"Not Found"))</f>
        <v/>
      </c>
      <c r="G1106" s="25" t="str">
        <f>IF(表1[[#This Row],[No Seri]]="","",表1[[#This Row],[Deskripsi Barang]]+表1[[#This Row],[Kuantitas]]-表1[[#This Row],[Satuan]])</f>
        <v/>
      </c>
      <c r="H1106" s="28"/>
      <c r="I1106" s="25" t="str">
        <f>IF(表1[[#This Row],[Tgl NPBG]]&gt;表1[[#This Row],[Peminta]],表1[[#This Row],[Tgl NPBG]]-表1[[#This Row],[Peminta]],"")</f>
        <v/>
      </c>
      <c r="J1106" s="31"/>
    </row>
    <row r="1107" s="12" customFormat="1" customHeight="1" spans="2:10">
      <c r="B1107" s="25"/>
      <c r="C1107" s="25"/>
      <c r="D1107" s="26" t="str" cm="1">
        <f t="array" ref="D1107">IF(C1107="","",IFERROR(INDEX(STPP!$D$6:$D$4207,MATCH(C1107,STPP!$C$6:$C$4207,0)),"Not Found"))</f>
        <v/>
      </c>
      <c r="E1107" s="27" t="str" cm="1">
        <f t="array" ref="E1107">IF(C1107="","",IFERROR(INDEX(STPP!$E$6:$E$4207,MATCH(C1107,STPP!$C$6:$C$4207,0)),"Not Found"))</f>
        <v/>
      </c>
      <c r="F1107" s="27" t="str" cm="1">
        <f t="array" ref="F1107">IF(C1107="","",IFERROR(INDEX(STPP!$F$6:$F$4207,MATCH(C1107,STPP!$C$6:$C$4207,0)),"Not Found"))</f>
        <v/>
      </c>
      <c r="G1107" s="25" t="str">
        <f>IF(表1[[#This Row],[No Seri]]="","",表1[[#This Row],[Deskripsi Barang]]+表1[[#This Row],[Kuantitas]]-表1[[#This Row],[Satuan]])</f>
        <v/>
      </c>
      <c r="H1107" s="28"/>
      <c r="I1107" s="25" t="str">
        <f>IF(表1[[#This Row],[Tgl NPBG]]&gt;表1[[#This Row],[Peminta]],表1[[#This Row],[Tgl NPBG]]-表1[[#This Row],[Peminta]],"")</f>
        <v/>
      </c>
      <c r="J1107" s="31"/>
    </row>
    <row r="1108" s="12" customFormat="1" customHeight="1" spans="2:10">
      <c r="B1108" s="25"/>
      <c r="C1108" s="25"/>
      <c r="D1108" s="26" t="str" cm="1">
        <f t="array" ref="D1108">IF(C1108="","",IFERROR(INDEX(STPP!$D$6:$D$4207,MATCH(C1108,STPP!$C$6:$C$4207,0)),"Not Found"))</f>
        <v/>
      </c>
      <c r="E1108" s="27" t="str" cm="1">
        <f t="array" ref="E1108">IF(C1108="","",IFERROR(INDEX(STPP!$E$6:$E$4207,MATCH(C1108,STPP!$C$6:$C$4207,0)),"Not Found"))</f>
        <v/>
      </c>
      <c r="F1108" s="27" t="str" cm="1">
        <f t="array" ref="F1108">IF(C1108="","",IFERROR(INDEX(STPP!$F$6:$F$4207,MATCH(C1108,STPP!$C$6:$C$4207,0)),"Not Found"))</f>
        <v/>
      </c>
      <c r="G1108" s="25" t="str">
        <f>IF(表1[[#This Row],[No Seri]]="","",表1[[#This Row],[Deskripsi Barang]]+表1[[#This Row],[Kuantitas]]-表1[[#This Row],[Satuan]])</f>
        <v/>
      </c>
      <c r="H1108" s="28"/>
      <c r="I1108" s="25" t="str">
        <f>IF(表1[[#This Row],[Tgl NPBG]]&gt;表1[[#This Row],[Peminta]],表1[[#This Row],[Tgl NPBG]]-表1[[#This Row],[Peminta]],"")</f>
        <v/>
      </c>
      <c r="J1108" s="31"/>
    </row>
    <row r="1109" s="12" customFormat="1" customHeight="1" spans="2:10">
      <c r="B1109" s="25"/>
      <c r="C1109" s="25"/>
      <c r="D1109" s="26" t="str" cm="1">
        <f t="array" ref="D1109">IF(C1109="","",IFERROR(INDEX(STPP!$D$6:$D$4207,MATCH(C1109,STPP!$C$6:$C$4207,0)),"Not Found"))</f>
        <v/>
      </c>
      <c r="E1109" s="27" t="str" cm="1">
        <f t="array" ref="E1109">IF(C1109="","",IFERROR(INDEX(STPP!$E$6:$E$4207,MATCH(C1109,STPP!$C$6:$C$4207,0)),"Not Found"))</f>
        <v/>
      </c>
      <c r="F1109" s="27" t="str" cm="1">
        <f t="array" ref="F1109">IF(C1109="","",IFERROR(INDEX(STPP!$F$6:$F$4207,MATCH(C1109,STPP!$C$6:$C$4207,0)),"Not Found"))</f>
        <v/>
      </c>
      <c r="G1109" s="25" t="str">
        <f>IF(表1[[#This Row],[No Seri]]="","",表1[[#This Row],[Deskripsi Barang]]+表1[[#This Row],[Kuantitas]]-表1[[#This Row],[Satuan]])</f>
        <v/>
      </c>
      <c r="H1109" s="28"/>
      <c r="I1109" s="25" t="str">
        <f>IF(表1[[#This Row],[Tgl NPBG]]&gt;表1[[#This Row],[Peminta]],表1[[#This Row],[Tgl NPBG]]-表1[[#This Row],[Peminta]],"")</f>
        <v/>
      </c>
      <c r="J1109" s="31"/>
    </row>
    <row r="1110" s="12" customFormat="1" customHeight="1" spans="2:10">
      <c r="B1110" s="25"/>
      <c r="C1110" s="25"/>
      <c r="D1110" s="26" t="str" cm="1">
        <f t="array" ref="D1110">IF(C1110="","",IFERROR(INDEX(STPP!$D$6:$D$4207,MATCH(C1110,STPP!$C$6:$C$4207,0)),"Not Found"))</f>
        <v/>
      </c>
      <c r="E1110" s="27" t="str" cm="1">
        <f t="array" ref="E1110">IF(C1110="","",IFERROR(INDEX(STPP!$E$6:$E$4207,MATCH(C1110,STPP!$C$6:$C$4207,0)),"Not Found"))</f>
        <v/>
      </c>
      <c r="F1110" s="27" t="str" cm="1">
        <f t="array" ref="F1110">IF(C1110="","",IFERROR(INDEX(STPP!$F$6:$F$4207,MATCH(C1110,STPP!$C$6:$C$4207,0)),"Not Found"))</f>
        <v/>
      </c>
      <c r="G1110" s="25" t="str">
        <f>IF(表1[[#This Row],[No Seri]]="","",表1[[#This Row],[Deskripsi Barang]]+表1[[#This Row],[Kuantitas]]-表1[[#This Row],[Satuan]])</f>
        <v/>
      </c>
      <c r="H1110" s="28"/>
      <c r="I1110" s="25" t="str">
        <f>IF(表1[[#This Row],[Tgl NPBG]]&gt;表1[[#This Row],[Peminta]],表1[[#This Row],[Tgl NPBG]]-表1[[#This Row],[Peminta]],"")</f>
        <v/>
      </c>
      <c r="J1110" s="31"/>
    </row>
    <row r="1111" s="12" customFormat="1" customHeight="1" spans="2:10">
      <c r="B1111" s="25"/>
      <c r="C1111" s="25"/>
      <c r="D1111" s="26" t="str" cm="1">
        <f t="array" ref="D1111">IF(C1111="","",IFERROR(INDEX(STPP!$D$6:$D$4207,MATCH(C1111,STPP!$C$6:$C$4207,0)),"Not Found"))</f>
        <v/>
      </c>
      <c r="E1111" s="27" t="str" cm="1">
        <f t="array" ref="E1111">IF(C1111="","",IFERROR(INDEX(STPP!$E$6:$E$4207,MATCH(C1111,STPP!$C$6:$C$4207,0)),"Not Found"))</f>
        <v/>
      </c>
      <c r="F1111" s="27" t="str" cm="1">
        <f t="array" ref="F1111">IF(C1111="","",IFERROR(INDEX(STPP!$F$6:$F$4207,MATCH(C1111,STPP!$C$6:$C$4207,0)),"Not Found"))</f>
        <v/>
      </c>
      <c r="G1111" s="25" t="str">
        <f>IF(表1[[#This Row],[No Seri]]="","",表1[[#This Row],[Deskripsi Barang]]+表1[[#This Row],[Kuantitas]]-表1[[#This Row],[Satuan]])</f>
        <v/>
      </c>
      <c r="H1111" s="28"/>
      <c r="I1111" s="25" t="str">
        <f>IF(表1[[#This Row],[Tgl NPBG]]&gt;表1[[#This Row],[Peminta]],表1[[#This Row],[Tgl NPBG]]-表1[[#This Row],[Peminta]],"")</f>
        <v/>
      </c>
      <c r="J1111" s="31"/>
    </row>
    <row r="1112" s="12" customFormat="1" customHeight="1" spans="2:10">
      <c r="B1112" s="25"/>
      <c r="C1112" s="25"/>
      <c r="D1112" s="26" t="str" cm="1">
        <f t="array" ref="D1112">IF(C1112="","",IFERROR(INDEX(STPP!$D$6:$D$4207,MATCH(C1112,STPP!$C$6:$C$4207,0)),"Not Found"))</f>
        <v/>
      </c>
      <c r="E1112" s="27" t="str" cm="1">
        <f t="array" ref="E1112">IF(C1112="","",IFERROR(INDEX(STPP!$E$6:$E$4207,MATCH(C1112,STPP!$C$6:$C$4207,0)),"Not Found"))</f>
        <v/>
      </c>
      <c r="F1112" s="27" t="str" cm="1">
        <f t="array" ref="F1112">IF(C1112="","",IFERROR(INDEX(STPP!$F$6:$F$4207,MATCH(C1112,STPP!$C$6:$C$4207,0)),"Not Found"))</f>
        <v/>
      </c>
      <c r="G1112" s="25" t="str">
        <f>IF(表1[[#This Row],[No Seri]]="","",表1[[#This Row],[Deskripsi Barang]]+表1[[#This Row],[Kuantitas]]-表1[[#This Row],[Satuan]])</f>
        <v/>
      </c>
      <c r="H1112" s="28"/>
      <c r="I1112" s="25" t="str">
        <f>IF(表1[[#This Row],[Tgl NPBG]]&gt;表1[[#This Row],[Peminta]],表1[[#This Row],[Tgl NPBG]]-表1[[#This Row],[Peminta]],"")</f>
        <v/>
      </c>
      <c r="J1112" s="31"/>
    </row>
    <row r="1113" s="12" customFormat="1" customHeight="1" spans="2:10">
      <c r="B1113" s="25"/>
      <c r="C1113" s="25"/>
      <c r="D1113" s="26" t="str" cm="1">
        <f t="array" ref="D1113">IF(C1113="","",IFERROR(INDEX(STPP!$D$6:$D$4207,MATCH(C1113,STPP!$C$6:$C$4207,0)),"Not Found"))</f>
        <v/>
      </c>
      <c r="E1113" s="27" t="str" cm="1">
        <f t="array" ref="E1113">IF(C1113="","",IFERROR(INDEX(STPP!$E$6:$E$4207,MATCH(C1113,STPP!$C$6:$C$4207,0)),"Not Found"))</f>
        <v/>
      </c>
      <c r="F1113" s="27" t="str" cm="1">
        <f t="array" ref="F1113">IF(C1113="","",IFERROR(INDEX(STPP!$F$6:$F$4207,MATCH(C1113,STPP!$C$6:$C$4207,0)),"Not Found"))</f>
        <v/>
      </c>
      <c r="G1113" s="25" t="str">
        <f>IF(表1[[#This Row],[No Seri]]="","",表1[[#This Row],[Deskripsi Barang]]+表1[[#This Row],[Kuantitas]]-表1[[#This Row],[Satuan]])</f>
        <v/>
      </c>
      <c r="H1113" s="28"/>
      <c r="I1113" s="25" t="str">
        <f>IF(表1[[#This Row],[Tgl NPBG]]&gt;表1[[#This Row],[Peminta]],表1[[#This Row],[Tgl NPBG]]-表1[[#This Row],[Peminta]],"")</f>
        <v/>
      </c>
      <c r="J1113" s="31"/>
    </row>
    <row r="1114" s="12" customFormat="1" customHeight="1" spans="2:10">
      <c r="B1114" s="25"/>
      <c r="C1114" s="25"/>
      <c r="D1114" s="26" t="str" cm="1">
        <f t="array" ref="D1114">IF(C1114="","",IFERROR(INDEX(STPP!$D$6:$D$4207,MATCH(C1114,STPP!$C$6:$C$4207,0)),"Not Found"))</f>
        <v/>
      </c>
      <c r="E1114" s="27" t="str" cm="1">
        <f t="array" ref="E1114">IF(C1114="","",IFERROR(INDEX(STPP!$E$6:$E$4207,MATCH(C1114,STPP!$C$6:$C$4207,0)),"Not Found"))</f>
        <v/>
      </c>
      <c r="F1114" s="27" t="str" cm="1">
        <f t="array" ref="F1114">IF(C1114="","",IFERROR(INDEX(STPP!$F$6:$F$4207,MATCH(C1114,STPP!$C$6:$C$4207,0)),"Not Found"))</f>
        <v/>
      </c>
      <c r="G1114" s="25" t="str">
        <f>IF(表1[[#This Row],[No Seri]]="","",表1[[#This Row],[Deskripsi Barang]]+表1[[#This Row],[Kuantitas]]-表1[[#This Row],[Satuan]])</f>
        <v/>
      </c>
      <c r="H1114" s="28"/>
      <c r="I1114" s="25" t="str">
        <f>IF(表1[[#This Row],[Tgl NPBG]]&gt;表1[[#This Row],[Peminta]],表1[[#This Row],[Tgl NPBG]]-表1[[#This Row],[Peminta]],"")</f>
        <v/>
      </c>
      <c r="J1114" s="31"/>
    </row>
    <row r="1115" s="12" customFormat="1" customHeight="1" spans="2:10">
      <c r="B1115" s="25"/>
      <c r="C1115" s="25"/>
      <c r="D1115" s="26" t="str" cm="1">
        <f t="array" ref="D1115">IF(C1115="","",IFERROR(INDEX(STPP!$D$6:$D$4207,MATCH(C1115,STPP!$C$6:$C$4207,0)),"Not Found"))</f>
        <v/>
      </c>
      <c r="E1115" s="27" t="str" cm="1">
        <f t="array" ref="E1115">IF(C1115="","",IFERROR(INDEX(STPP!$E$6:$E$4207,MATCH(C1115,STPP!$C$6:$C$4207,0)),"Not Found"))</f>
        <v/>
      </c>
      <c r="F1115" s="27" t="str" cm="1">
        <f t="array" ref="F1115">IF(C1115="","",IFERROR(INDEX(STPP!$F$6:$F$4207,MATCH(C1115,STPP!$C$6:$C$4207,0)),"Not Found"))</f>
        <v/>
      </c>
      <c r="G1115" s="25" t="str">
        <f>IF(表1[[#This Row],[No Seri]]="","",表1[[#This Row],[Deskripsi Barang]]+表1[[#This Row],[Kuantitas]]-表1[[#This Row],[Satuan]])</f>
        <v/>
      </c>
      <c r="H1115" s="28"/>
      <c r="I1115" s="25" t="str">
        <f>IF(表1[[#This Row],[Tgl NPBG]]&gt;表1[[#This Row],[Peminta]],表1[[#This Row],[Tgl NPBG]]-表1[[#This Row],[Peminta]],"")</f>
        <v/>
      </c>
      <c r="J1115" s="31"/>
    </row>
    <row r="1116" s="12" customFormat="1" customHeight="1" spans="2:10">
      <c r="B1116" s="25"/>
      <c r="C1116" s="25"/>
      <c r="D1116" s="26" t="str" cm="1">
        <f t="array" ref="D1116">IF(C1116="","",IFERROR(INDEX(STPP!$D$6:$D$4207,MATCH(C1116,STPP!$C$6:$C$4207,0)),"Not Found"))</f>
        <v/>
      </c>
      <c r="E1116" s="27" t="str" cm="1">
        <f t="array" ref="E1116">IF(C1116="","",IFERROR(INDEX(STPP!$E$6:$E$4207,MATCH(C1116,STPP!$C$6:$C$4207,0)),"Not Found"))</f>
        <v/>
      </c>
      <c r="F1116" s="27" t="str" cm="1">
        <f t="array" ref="F1116">IF(C1116="","",IFERROR(INDEX(STPP!$F$6:$F$4207,MATCH(C1116,STPP!$C$6:$C$4207,0)),"Not Found"))</f>
        <v/>
      </c>
      <c r="G1116" s="25" t="str">
        <f>IF(表1[[#This Row],[No Seri]]="","",表1[[#This Row],[Deskripsi Barang]]+表1[[#This Row],[Kuantitas]]-表1[[#This Row],[Satuan]])</f>
        <v/>
      </c>
      <c r="H1116" s="28"/>
      <c r="I1116" s="25" t="str">
        <f>IF(表1[[#This Row],[Tgl NPBG]]&gt;表1[[#This Row],[Peminta]],表1[[#This Row],[Tgl NPBG]]-表1[[#This Row],[Peminta]],"")</f>
        <v/>
      </c>
      <c r="J1116" s="31"/>
    </row>
    <row r="1117" s="12" customFormat="1" customHeight="1" spans="2:10">
      <c r="B1117" s="25"/>
      <c r="C1117" s="25"/>
      <c r="D1117" s="26" t="str" cm="1">
        <f t="array" ref="D1117">IF(C1117="","",IFERROR(INDEX(STPP!$D$6:$D$4207,MATCH(C1117,STPP!$C$6:$C$4207,0)),"Not Found"))</f>
        <v/>
      </c>
      <c r="E1117" s="27" t="str" cm="1">
        <f t="array" ref="E1117">IF(C1117="","",IFERROR(INDEX(STPP!$E$6:$E$4207,MATCH(C1117,STPP!$C$6:$C$4207,0)),"Not Found"))</f>
        <v/>
      </c>
      <c r="F1117" s="27" t="str" cm="1">
        <f t="array" ref="F1117">IF(C1117="","",IFERROR(INDEX(STPP!$F$6:$F$4207,MATCH(C1117,STPP!$C$6:$C$4207,0)),"Not Found"))</f>
        <v/>
      </c>
      <c r="G1117" s="25" t="str">
        <f>IF(表1[[#This Row],[No Seri]]="","",表1[[#This Row],[Deskripsi Barang]]+表1[[#This Row],[Kuantitas]]-表1[[#This Row],[Satuan]])</f>
        <v/>
      </c>
      <c r="H1117" s="28"/>
      <c r="I1117" s="25" t="str">
        <f>IF(表1[[#This Row],[Tgl NPBG]]&gt;表1[[#This Row],[Peminta]],表1[[#This Row],[Tgl NPBG]]-表1[[#This Row],[Peminta]],"")</f>
        <v/>
      </c>
      <c r="J1117" s="31"/>
    </row>
    <row r="1118" s="12" customFormat="1" customHeight="1" spans="2:10">
      <c r="B1118" s="25"/>
      <c r="C1118" s="25"/>
      <c r="D1118" s="26" t="str" cm="1">
        <f t="array" ref="D1118">IF(C1118="","",IFERROR(INDEX(STPP!$D$6:$D$4207,MATCH(C1118,STPP!$C$6:$C$4207,0)),"Not Found"))</f>
        <v/>
      </c>
      <c r="E1118" s="27" t="str" cm="1">
        <f t="array" ref="E1118">IF(C1118="","",IFERROR(INDEX(STPP!$E$6:$E$4207,MATCH(C1118,STPP!$C$6:$C$4207,0)),"Not Found"))</f>
        <v/>
      </c>
      <c r="F1118" s="27" t="str" cm="1">
        <f t="array" ref="F1118">IF(C1118="","",IFERROR(INDEX(STPP!$F$6:$F$4207,MATCH(C1118,STPP!$C$6:$C$4207,0)),"Not Found"))</f>
        <v/>
      </c>
      <c r="G1118" s="25" t="str">
        <f>IF(表1[[#This Row],[No Seri]]="","",表1[[#This Row],[Deskripsi Barang]]+表1[[#This Row],[Kuantitas]]-表1[[#This Row],[Satuan]])</f>
        <v/>
      </c>
      <c r="H1118" s="28"/>
      <c r="I1118" s="25" t="str">
        <f>IF(表1[[#This Row],[Tgl NPBG]]&gt;表1[[#This Row],[Peminta]],表1[[#This Row],[Tgl NPBG]]-表1[[#This Row],[Peminta]],"")</f>
        <v/>
      </c>
      <c r="J1118" s="31"/>
    </row>
    <row r="1119" s="12" customFormat="1" customHeight="1" spans="2:10">
      <c r="B1119" s="25"/>
      <c r="C1119" s="25"/>
      <c r="D1119" s="26" t="str" cm="1">
        <f t="array" ref="D1119">IF(C1119="","",IFERROR(INDEX(STPP!$D$6:$D$4207,MATCH(C1119,STPP!$C$6:$C$4207,0)),"Not Found"))</f>
        <v/>
      </c>
      <c r="E1119" s="27" t="str" cm="1">
        <f t="array" ref="E1119">IF(C1119="","",IFERROR(INDEX(STPP!$E$6:$E$4207,MATCH(C1119,STPP!$C$6:$C$4207,0)),"Not Found"))</f>
        <v/>
      </c>
      <c r="F1119" s="27" t="str" cm="1">
        <f t="array" ref="F1119">IF(C1119="","",IFERROR(INDEX(STPP!$F$6:$F$4207,MATCH(C1119,STPP!$C$6:$C$4207,0)),"Not Found"))</f>
        <v/>
      </c>
      <c r="G1119" s="25" t="str">
        <f>IF(表1[[#This Row],[No Seri]]="","",表1[[#This Row],[Deskripsi Barang]]+表1[[#This Row],[Kuantitas]]-表1[[#This Row],[Satuan]])</f>
        <v/>
      </c>
      <c r="H1119" s="28"/>
      <c r="I1119" s="25" t="str">
        <f>IF(表1[[#This Row],[Tgl NPBG]]&gt;表1[[#This Row],[Peminta]],表1[[#This Row],[Tgl NPBG]]-表1[[#This Row],[Peminta]],"")</f>
        <v/>
      </c>
      <c r="J1119" s="31"/>
    </row>
    <row r="1120" s="12" customFormat="1" customHeight="1" spans="2:10">
      <c r="B1120" s="25"/>
      <c r="C1120" s="25"/>
      <c r="D1120" s="26" t="str" cm="1">
        <f t="array" ref="D1120">IF(C1120="","",IFERROR(INDEX(STPP!$D$6:$D$4207,MATCH(C1120,STPP!$C$6:$C$4207,0)),"Not Found"))</f>
        <v/>
      </c>
      <c r="E1120" s="27" t="str" cm="1">
        <f t="array" ref="E1120">IF(C1120="","",IFERROR(INDEX(STPP!$E$6:$E$4207,MATCH(C1120,STPP!$C$6:$C$4207,0)),"Not Found"))</f>
        <v/>
      </c>
      <c r="F1120" s="27" t="str" cm="1">
        <f t="array" ref="F1120">IF(C1120="","",IFERROR(INDEX(STPP!$F$6:$F$4207,MATCH(C1120,STPP!$C$6:$C$4207,0)),"Not Found"))</f>
        <v/>
      </c>
      <c r="G1120" s="25" t="str">
        <f>IF(表1[[#This Row],[No Seri]]="","",表1[[#This Row],[Deskripsi Barang]]+表1[[#This Row],[Kuantitas]]-表1[[#This Row],[Satuan]])</f>
        <v/>
      </c>
      <c r="H1120" s="28"/>
      <c r="I1120" s="25" t="str">
        <f>IF(表1[[#This Row],[Tgl NPBG]]&gt;表1[[#This Row],[Peminta]],表1[[#This Row],[Tgl NPBG]]-表1[[#This Row],[Peminta]],"")</f>
        <v/>
      </c>
      <c r="J1120" s="31"/>
    </row>
    <row r="1121" s="12" customFormat="1" customHeight="1" spans="2:10">
      <c r="B1121" s="25"/>
      <c r="C1121" s="25"/>
      <c r="D1121" s="26" t="str" cm="1">
        <f t="array" ref="D1121">IF(C1121="","",IFERROR(INDEX(STPP!$D$6:$D$4207,MATCH(C1121,STPP!$C$6:$C$4207,0)),"Not Found"))</f>
        <v/>
      </c>
      <c r="E1121" s="27" t="str" cm="1">
        <f t="array" ref="E1121">IF(C1121="","",IFERROR(INDEX(STPP!$E$6:$E$4207,MATCH(C1121,STPP!$C$6:$C$4207,0)),"Not Found"))</f>
        <v/>
      </c>
      <c r="F1121" s="27" t="str" cm="1">
        <f t="array" ref="F1121">IF(C1121="","",IFERROR(INDEX(STPP!$F$6:$F$4207,MATCH(C1121,STPP!$C$6:$C$4207,0)),"Not Found"))</f>
        <v/>
      </c>
      <c r="G1121" s="25" t="str">
        <f>IF(表1[[#This Row],[No Seri]]="","",表1[[#This Row],[Deskripsi Barang]]+表1[[#This Row],[Kuantitas]]-表1[[#This Row],[Satuan]])</f>
        <v/>
      </c>
      <c r="H1121" s="28"/>
      <c r="I1121" s="25" t="str">
        <f>IF(表1[[#This Row],[Tgl NPBG]]&gt;表1[[#This Row],[Peminta]],表1[[#This Row],[Tgl NPBG]]-表1[[#This Row],[Peminta]],"")</f>
        <v/>
      </c>
      <c r="J1121" s="31"/>
    </row>
    <row r="1122" s="12" customFormat="1" customHeight="1" spans="2:10">
      <c r="B1122" s="25"/>
      <c r="C1122" s="25"/>
      <c r="D1122" s="26" t="str" cm="1">
        <f t="array" ref="D1122">IF(C1122="","",IFERROR(INDEX(STPP!$D$6:$D$4207,MATCH(C1122,STPP!$C$6:$C$4207,0)),"Not Found"))</f>
        <v/>
      </c>
      <c r="E1122" s="27" t="str" cm="1">
        <f t="array" ref="E1122">IF(C1122="","",IFERROR(INDEX(STPP!$E$6:$E$4207,MATCH(C1122,STPP!$C$6:$C$4207,0)),"Not Found"))</f>
        <v/>
      </c>
      <c r="F1122" s="27" t="str" cm="1">
        <f t="array" ref="F1122">IF(C1122="","",IFERROR(INDEX(STPP!$F$6:$F$4207,MATCH(C1122,STPP!$C$6:$C$4207,0)),"Not Found"))</f>
        <v/>
      </c>
      <c r="G1122" s="25" t="str">
        <f>IF(表1[[#This Row],[No Seri]]="","",表1[[#This Row],[Deskripsi Barang]]+表1[[#This Row],[Kuantitas]]-表1[[#This Row],[Satuan]])</f>
        <v/>
      </c>
      <c r="H1122" s="28"/>
      <c r="I1122" s="25" t="str">
        <f>IF(表1[[#This Row],[Tgl NPBG]]&gt;表1[[#This Row],[Peminta]],表1[[#This Row],[Tgl NPBG]]-表1[[#This Row],[Peminta]],"")</f>
        <v/>
      </c>
      <c r="J1122" s="31"/>
    </row>
    <row r="1123" s="12" customFormat="1" customHeight="1" spans="2:10">
      <c r="B1123" s="25"/>
      <c r="C1123" s="25"/>
      <c r="D1123" s="26" t="str" cm="1">
        <f t="array" ref="D1123">IF(C1123="","",IFERROR(INDEX(STPP!$D$6:$D$4207,MATCH(C1123,STPP!$C$6:$C$4207,0)),"Not Found"))</f>
        <v/>
      </c>
      <c r="E1123" s="27" t="str" cm="1">
        <f t="array" ref="E1123">IF(C1123="","",IFERROR(INDEX(STPP!$E$6:$E$4207,MATCH(C1123,STPP!$C$6:$C$4207,0)),"Not Found"))</f>
        <v/>
      </c>
      <c r="F1123" s="27" t="str" cm="1">
        <f t="array" ref="F1123">IF(C1123="","",IFERROR(INDEX(STPP!$F$6:$F$4207,MATCH(C1123,STPP!$C$6:$C$4207,0)),"Not Found"))</f>
        <v/>
      </c>
      <c r="G1123" s="25" t="str">
        <f>IF(表1[[#This Row],[No Seri]]="","",表1[[#This Row],[Deskripsi Barang]]+表1[[#This Row],[Kuantitas]]-表1[[#This Row],[Satuan]])</f>
        <v/>
      </c>
      <c r="H1123" s="28"/>
      <c r="I1123" s="25" t="str">
        <f>IF(表1[[#This Row],[Tgl NPBG]]&gt;表1[[#This Row],[Peminta]],表1[[#This Row],[Tgl NPBG]]-表1[[#This Row],[Peminta]],"")</f>
        <v/>
      </c>
      <c r="J1123" s="31"/>
    </row>
    <row r="1124" s="12" customFormat="1" customHeight="1" spans="2:10">
      <c r="B1124" s="25"/>
      <c r="C1124" s="25"/>
      <c r="D1124" s="26" t="str" cm="1">
        <f t="array" ref="D1124">IF(C1124="","",IFERROR(INDEX(STPP!$D$6:$D$4207,MATCH(C1124,STPP!$C$6:$C$4207,0)),"Not Found"))</f>
        <v/>
      </c>
      <c r="E1124" s="27" t="str" cm="1">
        <f t="array" ref="E1124">IF(C1124="","",IFERROR(INDEX(STPP!$E$6:$E$4207,MATCH(C1124,STPP!$C$6:$C$4207,0)),"Not Found"))</f>
        <v/>
      </c>
      <c r="F1124" s="27" t="str" cm="1">
        <f t="array" ref="F1124">IF(C1124="","",IFERROR(INDEX(STPP!$F$6:$F$4207,MATCH(C1124,STPP!$C$6:$C$4207,0)),"Not Found"))</f>
        <v/>
      </c>
      <c r="G1124" s="25" t="str">
        <f>IF(表1[[#This Row],[No Seri]]="","",表1[[#This Row],[Deskripsi Barang]]+表1[[#This Row],[Kuantitas]]-表1[[#This Row],[Satuan]])</f>
        <v/>
      </c>
      <c r="H1124" s="28"/>
      <c r="I1124" s="25" t="str">
        <f>IF(表1[[#This Row],[Tgl NPBG]]&gt;表1[[#This Row],[Peminta]],表1[[#This Row],[Tgl NPBG]]-表1[[#This Row],[Peminta]],"")</f>
        <v/>
      </c>
      <c r="J1124" s="31"/>
    </row>
    <row r="1125" s="12" customFormat="1" customHeight="1" spans="2:10">
      <c r="B1125" s="25"/>
      <c r="C1125" s="25"/>
      <c r="D1125" s="26" t="str" cm="1">
        <f t="array" ref="D1125">IF(C1125="","",IFERROR(INDEX(STPP!$D$6:$D$4207,MATCH(C1125,STPP!$C$6:$C$4207,0)),"Not Found"))</f>
        <v/>
      </c>
      <c r="E1125" s="27" t="str" cm="1">
        <f t="array" ref="E1125">IF(C1125="","",IFERROR(INDEX(STPP!$E$6:$E$4207,MATCH(C1125,STPP!$C$6:$C$4207,0)),"Not Found"))</f>
        <v/>
      </c>
      <c r="F1125" s="27" t="str" cm="1">
        <f t="array" ref="F1125">IF(C1125="","",IFERROR(INDEX(STPP!$F$6:$F$4207,MATCH(C1125,STPP!$C$6:$C$4207,0)),"Not Found"))</f>
        <v/>
      </c>
      <c r="G1125" s="25" t="str">
        <f>IF(表1[[#This Row],[No Seri]]="","",表1[[#This Row],[Deskripsi Barang]]+表1[[#This Row],[Kuantitas]]-表1[[#This Row],[Satuan]])</f>
        <v/>
      </c>
      <c r="H1125" s="28"/>
      <c r="I1125" s="25" t="str">
        <f>IF(表1[[#This Row],[Tgl NPBG]]&gt;表1[[#This Row],[Peminta]],表1[[#This Row],[Tgl NPBG]]-表1[[#This Row],[Peminta]],"")</f>
        <v/>
      </c>
      <c r="J1125" s="31"/>
    </row>
    <row r="1126" s="12" customFormat="1" customHeight="1" spans="2:10">
      <c r="B1126" s="25"/>
      <c r="C1126" s="25"/>
      <c r="D1126" s="26" t="str" cm="1">
        <f t="array" ref="D1126">IF(C1126="","",IFERROR(INDEX(STPP!$D$6:$D$4207,MATCH(C1126,STPP!$C$6:$C$4207,0)),"Not Found"))</f>
        <v/>
      </c>
      <c r="E1126" s="27" t="str" cm="1">
        <f t="array" ref="E1126">IF(C1126="","",IFERROR(INDEX(STPP!$E$6:$E$4207,MATCH(C1126,STPP!$C$6:$C$4207,0)),"Not Found"))</f>
        <v/>
      </c>
      <c r="F1126" s="27" t="str" cm="1">
        <f t="array" ref="F1126">IF(C1126="","",IFERROR(INDEX(STPP!$F$6:$F$4207,MATCH(C1126,STPP!$C$6:$C$4207,0)),"Not Found"))</f>
        <v/>
      </c>
      <c r="G1126" s="25" t="str">
        <f>IF(表1[[#This Row],[No Seri]]="","",表1[[#This Row],[Deskripsi Barang]]+表1[[#This Row],[Kuantitas]]-表1[[#This Row],[Satuan]])</f>
        <v/>
      </c>
      <c r="H1126" s="28"/>
      <c r="I1126" s="25" t="str">
        <f>IF(表1[[#This Row],[Tgl NPBG]]&gt;表1[[#This Row],[Peminta]],表1[[#This Row],[Tgl NPBG]]-表1[[#This Row],[Peminta]],"")</f>
        <v/>
      </c>
      <c r="J1126" s="31"/>
    </row>
    <row r="1127" s="12" customFormat="1" customHeight="1" spans="2:10">
      <c r="B1127" s="25"/>
      <c r="C1127" s="25"/>
      <c r="D1127" s="26" t="str" cm="1">
        <f t="array" ref="D1127">IF(C1127="","",IFERROR(INDEX(STPP!$D$6:$D$4207,MATCH(C1127,STPP!$C$6:$C$4207,0)),"Not Found"))</f>
        <v/>
      </c>
      <c r="E1127" s="27" t="str" cm="1">
        <f t="array" ref="E1127">IF(C1127="","",IFERROR(INDEX(STPP!$E$6:$E$4207,MATCH(C1127,STPP!$C$6:$C$4207,0)),"Not Found"))</f>
        <v/>
      </c>
      <c r="F1127" s="27" t="str" cm="1">
        <f t="array" ref="F1127">IF(C1127="","",IFERROR(INDEX(STPP!$F$6:$F$4207,MATCH(C1127,STPP!$C$6:$C$4207,0)),"Not Found"))</f>
        <v/>
      </c>
      <c r="G1127" s="25" t="str">
        <f>IF(表1[[#This Row],[No Seri]]="","",表1[[#This Row],[Deskripsi Barang]]+表1[[#This Row],[Kuantitas]]-表1[[#This Row],[Satuan]])</f>
        <v/>
      </c>
      <c r="H1127" s="28"/>
      <c r="I1127" s="25" t="str">
        <f>IF(表1[[#This Row],[Tgl NPBG]]&gt;表1[[#This Row],[Peminta]],表1[[#This Row],[Tgl NPBG]]-表1[[#This Row],[Peminta]],"")</f>
        <v/>
      </c>
      <c r="J1127" s="31"/>
    </row>
    <row r="1128" s="12" customFormat="1" customHeight="1" spans="2:10">
      <c r="B1128" s="25"/>
      <c r="C1128" s="25"/>
      <c r="D1128" s="26" t="str" cm="1">
        <f t="array" ref="D1128">IF(C1128="","",IFERROR(INDEX(STPP!$D$6:$D$4207,MATCH(C1128,STPP!$C$6:$C$4207,0)),"Not Found"))</f>
        <v/>
      </c>
      <c r="E1128" s="27" t="str" cm="1">
        <f t="array" ref="E1128">IF(C1128="","",IFERROR(INDEX(STPP!$E$6:$E$4207,MATCH(C1128,STPP!$C$6:$C$4207,0)),"Not Found"))</f>
        <v/>
      </c>
      <c r="F1128" s="27" t="str" cm="1">
        <f t="array" ref="F1128">IF(C1128="","",IFERROR(INDEX(STPP!$F$6:$F$4207,MATCH(C1128,STPP!$C$6:$C$4207,0)),"Not Found"))</f>
        <v/>
      </c>
      <c r="G1128" s="25" t="str">
        <f>IF(表1[[#This Row],[No Seri]]="","",表1[[#This Row],[Deskripsi Barang]]+表1[[#This Row],[Kuantitas]]-表1[[#This Row],[Satuan]])</f>
        <v/>
      </c>
      <c r="H1128" s="28"/>
      <c r="I1128" s="25" t="str">
        <f>IF(表1[[#This Row],[Tgl NPBG]]&gt;表1[[#This Row],[Peminta]],表1[[#This Row],[Tgl NPBG]]-表1[[#This Row],[Peminta]],"")</f>
        <v/>
      </c>
      <c r="J1128" s="31"/>
    </row>
    <row r="1129" s="12" customFormat="1" customHeight="1" spans="2:10">
      <c r="B1129" s="25"/>
      <c r="C1129" s="25"/>
      <c r="D1129" s="26" t="str" cm="1">
        <f t="array" ref="D1129">IF(C1129="","",IFERROR(INDEX(STPP!$D$6:$D$4207,MATCH(C1129,STPP!$C$6:$C$4207,0)),"Not Found"))</f>
        <v/>
      </c>
      <c r="E1129" s="27" t="str" cm="1">
        <f t="array" ref="E1129">IF(C1129="","",IFERROR(INDEX(STPP!$E$6:$E$4207,MATCH(C1129,STPP!$C$6:$C$4207,0)),"Not Found"))</f>
        <v/>
      </c>
      <c r="F1129" s="27" t="str" cm="1">
        <f t="array" ref="F1129">IF(C1129="","",IFERROR(INDEX(STPP!$F$6:$F$4207,MATCH(C1129,STPP!$C$6:$C$4207,0)),"Not Found"))</f>
        <v/>
      </c>
      <c r="G1129" s="25" t="str">
        <f>IF(表1[[#This Row],[No Seri]]="","",表1[[#This Row],[Deskripsi Barang]]+表1[[#This Row],[Kuantitas]]-表1[[#This Row],[Satuan]])</f>
        <v/>
      </c>
      <c r="H1129" s="28"/>
      <c r="I1129" s="25" t="str">
        <f>IF(表1[[#This Row],[Tgl NPBG]]&gt;表1[[#This Row],[Peminta]],表1[[#This Row],[Tgl NPBG]]-表1[[#This Row],[Peminta]],"")</f>
        <v/>
      </c>
      <c r="J1129" s="31"/>
    </row>
    <row r="1130" s="12" customFormat="1" customHeight="1" spans="2:10">
      <c r="B1130" s="25"/>
      <c r="C1130" s="25"/>
      <c r="D1130" s="26" t="str" cm="1">
        <f t="array" ref="D1130">IF(C1130="","",IFERROR(INDEX(STPP!$D$6:$D$4207,MATCH(C1130,STPP!$C$6:$C$4207,0)),"Not Found"))</f>
        <v/>
      </c>
      <c r="E1130" s="27" t="str" cm="1">
        <f t="array" ref="E1130">IF(C1130="","",IFERROR(INDEX(STPP!$E$6:$E$4207,MATCH(C1130,STPP!$C$6:$C$4207,0)),"Not Found"))</f>
        <v/>
      </c>
      <c r="F1130" s="27" t="str" cm="1">
        <f t="array" ref="F1130">IF(C1130="","",IFERROR(INDEX(STPP!$F$6:$F$4207,MATCH(C1130,STPP!$C$6:$C$4207,0)),"Not Found"))</f>
        <v/>
      </c>
      <c r="G1130" s="25" t="str">
        <f>IF(表1[[#This Row],[No Seri]]="","",表1[[#This Row],[Deskripsi Barang]]+表1[[#This Row],[Kuantitas]]-表1[[#This Row],[Satuan]])</f>
        <v/>
      </c>
      <c r="H1130" s="28"/>
      <c r="I1130" s="25" t="str">
        <f>IF(表1[[#This Row],[Tgl NPBG]]&gt;表1[[#This Row],[Peminta]],表1[[#This Row],[Tgl NPBG]]-表1[[#This Row],[Peminta]],"")</f>
        <v/>
      </c>
      <c r="J1130" s="31"/>
    </row>
    <row r="1131" s="12" customFormat="1" customHeight="1" spans="2:10">
      <c r="B1131" s="25"/>
      <c r="C1131" s="25"/>
      <c r="D1131" s="26" t="str" cm="1">
        <f t="array" ref="D1131">IF(C1131="","",IFERROR(INDEX(STPP!$D$6:$D$4207,MATCH(C1131,STPP!$C$6:$C$4207,0)),"Not Found"))</f>
        <v/>
      </c>
      <c r="E1131" s="27" t="str" cm="1">
        <f t="array" ref="E1131">IF(C1131="","",IFERROR(INDEX(STPP!$E$6:$E$4207,MATCH(C1131,STPP!$C$6:$C$4207,0)),"Not Found"))</f>
        <v/>
      </c>
      <c r="F1131" s="27" t="str" cm="1">
        <f t="array" ref="F1131">IF(C1131="","",IFERROR(INDEX(STPP!$F$6:$F$4207,MATCH(C1131,STPP!$C$6:$C$4207,0)),"Not Found"))</f>
        <v/>
      </c>
      <c r="G1131" s="25" t="str">
        <f>IF(表1[[#This Row],[No Seri]]="","",表1[[#This Row],[Deskripsi Barang]]+表1[[#This Row],[Kuantitas]]-表1[[#This Row],[Satuan]])</f>
        <v/>
      </c>
      <c r="H1131" s="28"/>
      <c r="I1131" s="25" t="str">
        <f>IF(表1[[#This Row],[Tgl NPBG]]&gt;表1[[#This Row],[Peminta]],表1[[#This Row],[Tgl NPBG]]-表1[[#This Row],[Peminta]],"")</f>
        <v/>
      </c>
      <c r="J1131" s="31"/>
    </row>
    <row r="1132" s="12" customFormat="1" customHeight="1" spans="2:10">
      <c r="B1132" s="25"/>
      <c r="C1132" s="25"/>
      <c r="D1132" s="26" t="str" cm="1">
        <f t="array" ref="D1132">IF(C1132="","",IFERROR(INDEX(STPP!$D$6:$D$4207,MATCH(C1132,STPP!$C$6:$C$4207,0)),"Not Found"))</f>
        <v/>
      </c>
      <c r="E1132" s="27" t="str" cm="1">
        <f t="array" ref="E1132">IF(C1132="","",IFERROR(INDEX(STPP!$E$6:$E$4207,MATCH(C1132,STPP!$C$6:$C$4207,0)),"Not Found"))</f>
        <v/>
      </c>
      <c r="F1132" s="27" t="str" cm="1">
        <f t="array" ref="F1132">IF(C1132="","",IFERROR(INDEX(STPP!$F$6:$F$4207,MATCH(C1132,STPP!$C$6:$C$4207,0)),"Not Found"))</f>
        <v/>
      </c>
      <c r="G1132" s="25" t="str">
        <f>IF(表1[[#This Row],[No Seri]]="","",表1[[#This Row],[Deskripsi Barang]]+表1[[#This Row],[Kuantitas]]-表1[[#This Row],[Satuan]])</f>
        <v/>
      </c>
      <c r="H1132" s="28"/>
      <c r="I1132" s="25" t="str">
        <f>IF(表1[[#This Row],[Tgl NPBG]]&gt;表1[[#This Row],[Peminta]],表1[[#This Row],[Tgl NPBG]]-表1[[#This Row],[Peminta]],"")</f>
        <v/>
      </c>
      <c r="J1132" s="31"/>
    </row>
    <row r="1133" s="12" customFormat="1" customHeight="1" spans="2:10">
      <c r="B1133" s="25"/>
      <c r="C1133" s="25"/>
      <c r="D1133" s="26" t="str" cm="1">
        <f t="array" ref="D1133">IF(C1133="","",IFERROR(INDEX(STPP!$D$6:$D$4207,MATCH(C1133,STPP!$C$6:$C$4207,0)),"Not Found"))</f>
        <v/>
      </c>
      <c r="E1133" s="27" t="str" cm="1">
        <f t="array" ref="E1133">IF(C1133="","",IFERROR(INDEX(STPP!$E$6:$E$4207,MATCH(C1133,STPP!$C$6:$C$4207,0)),"Not Found"))</f>
        <v/>
      </c>
      <c r="F1133" s="27" t="str" cm="1">
        <f t="array" ref="F1133">IF(C1133="","",IFERROR(INDEX(STPP!$F$6:$F$4207,MATCH(C1133,STPP!$C$6:$C$4207,0)),"Not Found"))</f>
        <v/>
      </c>
      <c r="G1133" s="25" t="str">
        <f>IF(表1[[#This Row],[No Seri]]="","",表1[[#This Row],[Deskripsi Barang]]+表1[[#This Row],[Kuantitas]]-表1[[#This Row],[Satuan]])</f>
        <v/>
      </c>
      <c r="H1133" s="28"/>
      <c r="I1133" s="25" t="str">
        <f>IF(表1[[#This Row],[Tgl NPBG]]&gt;表1[[#This Row],[Peminta]],表1[[#This Row],[Tgl NPBG]]-表1[[#This Row],[Peminta]],"")</f>
        <v/>
      </c>
      <c r="J1133" s="31"/>
    </row>
    <row r="1134" s="12" customFormat="1" customHeight="1" spans="2:10">
      <c r="B1134" s="25"/>
      <c r="C1134" s="25"/>
      <c r="D1134" s="26" t="str" cm="1">
        <f t="array" ref="D1134">IF(C1134="","",IFERROR(INDEX(STPP!$D$6:$D$4207,MATCH(C1134,STPP!$C$6:$C$4207,0)),"Not Found"))</f>
        <v/>
      </c>
      <c r="E1134" s="27" t="str" cm="1">
        <f t="array" ref="E1134">IF(C1134="","",IFERROR(INDEX(STPP!$E$6:$E$4207,MATCH(C1134,STPP!$C$6:$C$4207,0)),"Not Found"))</f>
        <v/>
      </c>
      <c r="F1134" s="27" t="str" cm="1">
        <f t="array" ref="F1134">IF(C1134="","",IFERROR(INDEX(STPP!$F$6:$F$4207,MATCH(C1134,STPP!$C$6:$C$4207,0)),"Not Found"))</f>
        <v/>
      </c>
      <c r="G1134" s="25" t="str">
        <f>IF(表1[[#This Row],[No Seri]]="","",表1[[#This Row],[Deskripsi Barang]]+表1[[#This Row],[Kuantitas]]-表1[[#This Row],[Satuan]])</f>
        <v/>
      </c>
      <c r="H1134" s="28"/>
      <c r="I1134" s="25" t="str">
        <f>IF(表1[[#This Row],[Tgl NPBG]]&gt;表1[[#This Row],[Peminta]],表1[[#This Row],[Tgl NPBG]]-表1[[#This Row],[Peminta]],"")</f>
        <v/>
      </c>
      <c r="J1134" s="31"/>
    </row>
    <row r="1135" s="12" customFormat="1" customHeight="1" spans="2:10">
      <c r="B1135" s="25"/>
      <c r="C1135" s="25"/>
      <c r="D1135" s="26" t="str" cm="1">
        <f t="array" ref="D1135">IF(C1135="","",IFERROR(INDEX(STPP!$D$6:$D$4207,MATCH(C1135,STPP!$C$6:$C$4207,0)),"Not Found"))</f>
        <v/>
      </c>
      <c r="E1135" s="27" t="str" cm="1">
        <f t="array" ref="E1135">IF(C1135="","",IFERROR(INDEX(STPP!$E$6:$E$4207,MATCH(C1135,STPP!$C$6:$C$4207,0)),"Not Found"))</f>
        <v/>
      </c>
      <c r="F1135" s="27" t="str" cm="1">
        <f t="array" ref="F1135">IF(C1135="","",IFERROR(INDEX(STPP!$F$6:$F$4207,MATCH(C1135,STPP!$C$6:$C$4207,0)),"Not Found"))</f>
        <v/>
      </c>
      <c r="G1135" s="25" t="str">
        <f>IF(表1[[#This Row],[No Seri]]="","",表1[[#This Row],[Deskripsi Barang]]+表1[[#This Row],[Kuantitas]]-表1[[#This Row],[Satuan]])</f>
        <v/>
      </c>
      <c r="H1135" s="28"/>
      <c r="I1135" s="25" t="str">
        <f>IF(表1[[#This Row],[Tgl NPBG]]&gt;表1[[#This Row],[Peminta]],表1[[#This Row],[Tgl NPBG]]-表1[[#This Row],[Peminta]],"")</f>
        <v/>
      </c>
      <c r="J1135" s="31"/>
    </row>
    <row r="1136" s="12" customFormat="1" customHeight="1" spans="2:10">
      <c r="B1136" s="25"/>
      <c r="C1136" s="25"/>
      <c r="D1136" s="26" t="str" cm="1">
        <f t="array" ref="D1136">IF(C1136="","",IFERROR(INDEX(STPP!$D$6:$D$4207,MATCH(C1136,STPP!$C$6:$C$4207,0)),"Not Found"))</f>
        <v/>
      </c>
      <c r="E1136" s="27" t="str" cm="1">
        <f t="array" ref="E1136">IF(C1136="","",IFERROR(INDEX(STPP!$E$6:$E$4207,MATCH(C1136,STPP!$C$6:$C$4207,0)),"Not Found"))</f>
        <v/>
      </c>
      <c r="F1136" s="27" t="str" cm="1">
        <f t="array" ref="F1136">IF(C1136="","",IFERROR(INDEX(STPP!$F$6:$F$4207,MATCH(C1136,STPP!$C$6:$C$4207,0)),"Not Found"))</f>
        <v/>
      </c>
      <c r="G1136" s="25" t="str">
        <f>IF(表1[[#This Row],[No Seri]]="","",表1[[#This Row],[Deskripsi Barang]]+表1[[#This Row],[Kuantitas]]-表1[[#This Row],[Satuan]])</f>
        <v/>
      </c>
      <c r="H1136" s="28"/>
      <c r="I1136" s="25" t="str">
        <f>IF(表1[[#This Row],[Tgl NPBG]]&gt;表1[[#This Row],[Peminta]],表1[[#This Row],[Tgl NPBG]]-表1[[#This Row],[Peminta]],"")</f>
        <v/>
      </c>
      <c r="J1136" s="31"/>
    </row>
    <row r="1137" s="12" customFormat="1" customHeight="1" spans="2:10">
      <c r="B1137" s="25"/>
      <c r="C1137" s="25"/>
      <c r="D1137" s="26" t="str" cm="1">
        <f t="array" ref="D1137">IF(C1137="","",IFERROR(INDEX(STPP!$D$6:$D$4207,MATCH(C1137,STPP!$C$6:$C$4207,0)),"Not Found"))</f>
        <v/>
      </c>
      <c r="E1137" s="27" t="str" cm="1">
        <f t="array" ref="E1137">IF(C1137="","",IFERROR(INDEX(STPP!$E$6:$E$4207,MATCH(C1137,STPP!$C$6:$C$4207,0)),"Not Found"))</f>
        <v/>
      </c>
      <c r="F1137" s="27" t="str" cm="1">
        <f t="array" ref="F1137">IF(C1137="","",IFERROR(INDEX(STPP!$F$6:$F$4207,MATCH(C1137,STPP!$C$6:$C$4207,0)),"Not Found"))</f>
        <v/>
      </c>
      <c r="G1137" s="25" t="str">
        <f>IF(表1[[#This Row],[No Seri]]="","",表1[[#This Row],[Deskripsi Barang]]+表1[[#This Row],[Kuantitas]]-表1[[#This Row],[Satuan]])</f>
        <v/>
      </c>
      <c r="H1137" s="28"/>
      <c r="I1137" s="25" t="str">
        <f>IF(表1[[#This Row],[Tgl NPBG]]&gt;表1[[#This Row],[Peminta]],表1[[#This Row],[Tgl NPBG]]-表1[[#This Row],[Peminta]],"")</f>
        <v/>
      </c>
      <c r="J1137" s="31"/>
    </row>
    <row r="1138" s="12" customFormat="1" customHeight="1" spans="2:10">
      <c r="B1138" s="25"/>
      <c r="C1138" s="25"/>
      <c r="D1138" s="26" t="str" cm="1">
        <f t="array" ref="D1138">IF(C1138="","",IFERROR(INDEX(STPP!$D$6:$D$4207,MATCH(C1138,STPP!$C$6:$C$4207,0)),"Not Found"))</f>
        <v/>
      </c>
      <c r="E1138" s="27" t="str" cm="1">
        <f t="array" ref="E1138">IF(C1138="","",IFERROR(INDEX(STPP!$E$6:$E$4207,MATCH(C1138,STPP!$C$6:$C$4207,0)),"Not Found"))</f>
        <v/>
      </c>
      <c r="F1138" s="27" t="str" cm="1">
        <f t="array" ref="F1138">IF(C1138="","",IFERROR(INDEX(STPP!$F$6:$F$4207,MATCH(C1138,STPP!$C$6:$C$4207,0)),"Not Found"))</f>
        <v/>
      </c>
      <c r="G1138" s="25" t="str">
        <f>IF(表1[[#This Row],[No Seri]]="","",表1[[#This Row],[Deskripsi Barang]]+表1[[#This Row],[Kuantitas]]-表1[[#This Row],[Satuan]])</f>
        <v/>
      </c>
      <c r="H1138" s="28"/>
      <c r="I1138" s="25" t="str">
        <f>IF(表1[[#This Row],[Tgl NPBG]]&gt;表1[[#This Row],[Peminta]],表1[[#This Row],[Tgl NPBG]]-表1[[#This Row],[Peminta]],"")</f>
        <v/>
      </c>
      <c r="J1138" s="31"/>
    </row>
    <row r="1139" s="12" customFormat="1" customHeight="1" spans="2:10">
      <c r="B1139" s="25"/>
      <c r="C1139" s="25"/>
      <c r="D1139" s="26" t="str" cm="1">
        <f t="array" ref="D1139">IF(C1139="","",IFERROR(INDEX(STPP!$D$6:$D$4207,MATCH(C1139,STPP!$C$6:$C$4207,0)),"Not Found"))</f>
        <v/>
      </c>
      <c r="E1139" s="27" t="str" cm="1">
        <f t="array" ref="E1139">IF(C1139="","",IFERROR(INDEX(STPP!$E$6:$E$4207,MATCH(C1139,STPP!$C$6:$C$4207,0)),"Not Found"))</f>
        <v/>
      </c>
      <c r="F1139" s="27" t="str" cm="1">
        <f t="array" ref="F1139">IF(C1139="","",IFERROR(INDEX(STPP!$F$6:$F$4207,MATCH(C1139,STPP!$C$6:$C$4207,0)),"Not Found"))</f>
        <v/>
      </c>
      <c r="G1139" s="25" t="str">
        <f>IF(表1[[#This Row],[No Seri]]="","",表1[[#This Row],[Deskripsi Barang]]+表1[[#This Row],[Kuantitas]]-表1[[#This Row],[Satuan]])</f>
        <v/>
      </c>
      <c r="H1139" s="28"/>
      <c r="I1139" s="25" t="str">
        <f>IF(表1[[#This Row],[Tgl NPBG]]&gt;表1[[#This Row],[Peminta]],表1[[#This Row],[Tgl NPBG]]-表1[[#This Row],[Peminta]],"")</f>
        <v/>
      </c>
      <c r="J1139" s="31"/>
    </row>
    <row r="1140" s="12" customFormat="1" customHeight="1" spans="2:10">
      <c r="B1140" s="25"/>
      <c r="C1140" s="25"/>
      <c r="D1140" s="26" t="str" cm="1">
        <f t="array" ref="D1140">IF(C1140="","",IFERROR(INDEX(STPP!$D$6:$D$4207,MATCH(C1140,STPP!$C$6:$C$4207,0)),"Not Found"))</f>
        <v/>
      </c>
      <c r="E1140" s="27" t="str" cm="1">
        <f t="array" ref="E1140">IF(C1140="","",IFERROR(INDEX(STPP!$E$6:$E$4207,MATCH(C1140,STPP!$C$6:$C$4207,0)),"Not Found"))</f>
        <v/>
      </c>
      <c r="F1140" s="27" t="str" cm="1">
        <f t="array" ref="F1140">IF(C1140="","",IFERROR(INDEX(STPP!$F$6:$F$4207,MATCH(C1140,STPP!$C$6:$C$4207,0)),"Not Found"))</f>
        <v/>
      </c>
      <c r="G1140" s="25" t="str">
        <f>IF(表1[[#This Row],[No Seri]]="","",表1[[#This Row],[Deskripsi Barang]]+表1[[#This Row],[Kuantitas]]-表1[[#This Row],[Satuan]])</f>
        <v/>
      </c>
      <c r="H1140" s="28"/>
      <c r="I1140" s="25" t="str">
        <f>IF(表1[[#This Row],[Tgl NPBG]]&gt;表1[[#This Row],[Peminta]],表1[[#This Row],[Tgl NPBG]]-表1[[#This Row],[Peminta]],"")</f>
        <v/>
      </c>
      <c r="J1140" s="31"/>
    </row>
    <row r="1141" s="12" customFormat="1" customHeight="1" spans="2:10">
      <c r="B1141" s="25"/>
      <c r="C1141" s="25"/>
      <c r="D1141" s="26" t="str" cm="1">
        <f t="array" ref="D1141">IF(C1141="","",IFERROR(INDEX(STPP!$D$6:$D$4207,MATCH(C1141,STPP!$C$6:$C$4207,0)),"Not Found"))</f>
        <v/>
      </c>
      <c r="E1141" s="27" t="str" cm="1">
        <f t="array" ref="E1141">IF(C1141="","",IFERROR(INDEX(STPP!$E$6:$E$4207,MATCH(C1141,STPP!$C$6:$C$4207,0)),"Not Found"))</f>
        <v/>
      </c>
      <c r="F1141" s="27" t="str" cm="1">
        <f t="array" ref="F1141">IF(C1141="","",IFERROR(INDEX(STPP!$F$6:$F$4207,MATCH(C1141,STPP!$C$6:$C$4207,0)),"Not Found"))</f>
        <v/>
      </c>
      <c r="G1141" s="25" t="str">
        <f>IF(表1[[#This Row],[No Seri]]="","",表1[[#This Row],[Deskripsi Barang]]+表1[[#This Row],[Kuantitas]]-表1[[#This Row],[Satuan]])</f>
        <v/>
      </c>
      <c r="H1141" s="28"/>
      <c r="I1141" s="25" t="str">
        <f>IF(表1[[#This Row],[Tgl NPBG]]&gt;表1[[#This Row],[Peminta]],表1[[#This Row],[Tgl NPBG]]-表1[[#This Row],[Peminta]],"")</f>
        <v/>
      </c>
      <c r="J1141" s="31"/>
    </row>
    <row r="1142" s="12" customFormat="1" customHeight="1" spans="2:10">
      <c r="B1142" s="25"/>
      <c r="C1142" s="25"/>
      <c r="D1142" s="26" t="str" cm="1">
        <f t="array" ref="D1142">IF(C1142="","",IFERROR(INDEX(STPP!$D$6:$D$4207,MATCH(C1142,STPP!$C$6:$C$4207,0)),"Not Found"))</f>
        <v/>
      </c>
      <c r="E1142" s="27" t="str" cm="1">
        <f t="array" ref="E1142">IF(C1142="","",IFERROR(INDEX(STPP!$E$6:$E$4207,MATCH(C1142,STPP!$C$6:$C$4207,0)),"Not Found"))</f>
        <v/>
      </c>
      <c r="F1142" s="27" t="str" cm="1">
        <f t="array" ref="F1142">IF(C1142="","",IFERROR(INDEX(STPP!$F$6:$F$4207,MATCH(C1142,STPP!$C$6:$C$4207,0)),"Not Found"))</f>
        <v/>
      </c>
      <c r="G1142" s="25" t="str">
        <f>IF(表1[[#This Row],[No Seri]]="","",表1[[#This Row],[Deskripsi Barang]]+表1[[#This Row],[Kuantitas]]-表1[[#This Row],[Satuan]])</f>
        <v/>
      </c>
      <c r="H1142" s="28"/>
      <c r="I1142" s="25" t="str">
        <f>IF(表1[[#This Row],[Tgl NPBG]]&gt;表1[[#This Row],[Peminta]],表1[[#This Row],[Tgl NPBG]]-表1[[#This Row],[Peminta]],"")</f>
        <v/>
      </c>
      <c r="J1142" s="31"/>
    </row>
    <row r="1143" s="12" customFormat="1" customHeight="1" spans="2:10">
      <c r="B1143" s="25"/>
      <c r="C1143" s="25"/>
      <c r="D1143" s="26" t="str" cm="1">
        <f t="array" ref="D1143">IF(C1143="","",IFERROR(INDEX(STPP!$D$6:$D$4207,MATCH(C1143,STPP!$C$6:$C$4207,0)),"Not Found"))</f>
        <v/>
      </c>
      <c r="E1143" s="27" t="str" cm="1">
        <f t="array" ref="E1143">IF(C1143="","",IFERROR(INDEX(STPP!$E$6:$E$4207,MATCH(C1143,STPP!$C$6:$C$4207,0)),"Not Found"))</f>
        <v/>
      </c>
      <c r="F1143" s="27" t="str" cm="1">
        <f t="array" ref="F1143">IF(C1143="","",IFERROR(INDEX(STPP!$F$6:$F$4207,MATCH(C1143,STPP!$C$6:$C$4207,0)),"Not Found"))</f>
        <v/>
      </c>
      <c r="G1143" s="25" t="str">
        <f>IF(表1[[#This Row],[No Seri]]="","",表1[[#This Row],[Deskripsi Barang]]+表1[[#This Row],[Kuantitas]]-表1[[#This Row],[Satuan]])</f>
        <v/>
      </c>
      <c r="H1143" s="28"/>
      <c r="I1143" s="25" t="str">
        <f>IF(表1[[#This Row],[Tgl NPBG]]&gt;表1[[#This Row],[Peminta]],表1[[#This Row],[Tgl NPBG]]-表1[[#This Row],[Peminta]],"")</f>
        <v/>
      </c>
      <c r="J1143" s="31"/>
    </row>
    <row r="1144" s="12" customFormat="1" customHeight="1" spans="2:10">
      <c r="B1144" s="25"/>
      <c r="C1144" s="25"/>
      <c r="D1144" s="26" t="str" cm="1">
        <f t="array" ref="D1144">IF(C1144="","",IFERROR(INDEX(STPP!$D$6:$D$4207,MATCH(C1144,STPP!$C$6:$C$4207,0)),"Not Found"))</f>
        <v/>
      </c>
      <c r="E1144" s="27" t="str" cm="1">
        <f t="array" ref="E1144">IF(C1144="","",IFERROR(INDEX(STPP!$E$6:$E$4207,MATCH(C1144,STPP!$C$6:$C$4207,0)),"Not Found"))</f>
        <v/>
      </c>
      <c r="F1144" s="27" t="str" cm="1">
        <f t="array" ref="F1144">IF(C1144="","",IFERROR(INDEX(STPP!$F$6:$F$4207,MATCH(C1144,STPP!$C$6:$C$4207,0)),"Not Found"))</f>
        <v/>
      </c>
      <c r="G1144" s="25" t="str">
        <f>IF(表1[[#This Row],[No Seri]]="","",表1[[#This Row],[Deskripsi Barang]]+表1[[#This Row],[Kuantitas]]-表1[[#This Row],[Satuan]])</f>
        <v/>
      </c>
      <c r="H1144" s="28"/>
      <c r="I1144" s="25" t="str">
        <f>IF(表1[[#This Row],[Tgl NPBG]]&gt;表1[[#This Row],[Peminta]],表1[[#This Row],[Tgl NPBG]]-表1[[#This Row],[Peminta]],"")</f>
        <v/>
      </c>
      <c r="J1144" s="31"/>
    </row>
    <row r="1145" s="12" customFormat="1" customHeight="1" spans="2:10">
      <c r="B1145" s="25"/>
      <c r="C1145" s="25"/>
      <c r="D1145" s="26" t="str" cm="1">
        <f t="array" ref="D1145">IF(C1145="","",IFERROR(INDEX(STPP!$D$6:$D$4207,MATCH(C1145,STPP!$C$6:$C$4207,0)),"Not Found"))</f>
        <v/>
      </c>
      <c r="E1145" s="27" t="str" cm="1">
        <f t="array" ref="E1145">IF(C1145="","",IFERROR(INDEX(STPP!$E$6:$E$4207,MATCH(C1145,STPP!$C$6:$C$4207,0)),"Not Found"))</f>
        <v/>
      </c>
      <c r="F1145" s="27" t="str" cm="1">
        <f t="array" ref="F1145">IF(C1145="","",IFERROR(INDEX(STPP!$F$6:$F$4207,MATCH(C1145,STPP!$C$6:$C$4207,0)),"Not Found"))</f>
        <v/>
      </c>
      <c r="G1145" s="25" t="str">
        <f>IF(表1[[#This Row],[No Seri]]="","",表1[[#This Row],[Deskripsi Barang]]+表1[[#This Row],[Kuantitas]]-表1[[#This Row],[Satuan]])</f>
        <v/>
      </c>
      <c r="H1145" s="28"/>
      <c r="I1145" s="25" t="str">
        <f>IF(表1[[#This Row],[Tgl NPBG]]&gt;表1[[#This Row],[Peminta]],表1[[#This Row],[Tgl NPBG]]-表1[[#This Row],[Peminta]],"")</f>
        <v/>
      </c>
      <c r="J1145" s="31"/>
    </row>
    <row r="1146" s="12" customFormat="1" customHeight="1" spans="2:10">
      <c r="B1146" s="25"/>
      <c r="C1146" s="25"/>
      <c r="D1146" s="26" t="str" cm="1">
        <f t="array" ref="D1146">IF(C1146="","",IFERROR(INDEX(STPP!$D$6:$D$4207,MATCH(C1146,STPP!$C$6:$C$4207,0)),"Not Found"))</f>
        <v/>
      </c>
      <c r="E1146" s="27" t="str" cm="1">
        <f t="array" ref="E1146">IF(C1146="","",IFERROR(INDEX(STPP!$E$6:$E$4207,MATCH(C1146,STPP!$C$6:$C$4207,0)),"Not Found"))</f>
        <v/>
      </c>
      <c r="F1146" s="27" t="str" cm="1">
        <f t="array" ref="F1146">IF(C1146="","",IFERROR(INDEX(STPP!$F$6:$F$4207,MATCH(C1146,STPP!$C$6:$C$4207,0)),"Not Found"))</f>
        <v/>
      </c>
      <c r="G1146" s="25" t="str">
        <f>IF(表1[[#This Row],[No Seri]]="","",表1[[#This Row],[Deskripsi Barang]]+表1[[#This Row],[Kuantitas]]-表1[[#This Row],[Satuan]])</f>
        <v/>
      </c>
      <c r="H1146" s="28"/>
      <c r="I1146" s="25" t="str">
        <f>IF(表1[[#This Row],[Tgl NPBG]]&gt;表1[[#This Row],[Peminta]],表1[[#This Row],[Tgl NPBG]]-表1[[#This Row],[Peminta]],"")</f>
        <v/>
      </c>
      <c r="J1146" s="31"/>
    </row>
    <row r="1147" s="12" customFormat="1" customHeight="1" spans="2:10">
      <c r="B1147" s="25"/>
      <c r="C1147" s="25"/>
      <c r="D1147" s="26" t="str" cm="1">
        <f t="array" ref="D1147">IF(C1147="","",IFERROR(INDEX(STPP!$D$6:$D$4207,MATCH(C1147,STPP!$C$6:$C$4207,0)),"Not Found"))</f>
        <v/>
      </c>
      <c r="E1147" s="27" t="str" cm="1">
        <f t="array" ref="E1147">IF(C1147="","",IFERROR(INDEX(STPP!$E$6:$E$4207,MATCH(C1147,STPP!$C$6:$C$4207,0)),"Not Found"))</f>
        <v/>
      </c>
      <c r="F1147" s="27" t="str" cm="1">
        <f t="array" ref="F1147">IF(C1147="","",IFERROR(INDEX(STPP!$F$6:$F$4207,MATCH(C1147,STPP!$C$6:$C$4207,0)),"Not Found"))</f>
        <v/>
      </c>
      <c r="G1147" s="25" t="str">
        <f>IF(表1[[#This Row],[No Seri]]="","",表1[[#This Row],[Deskripsi Barang]]+表1[[#This Row],[Kuantitas]]-表1[[#This Row],[Satuan]])</f>
        <v/>
      </c>
      <c r="H1147" s="28"/>
      <c r="I1147" s="25" t="str">
        <f>IF(表1[[#This Row],[Tgl NPBG]]&gt;表1[[#This Row],[Peminta]],表1[[#This Row],[Tgl NPBG]]-表1[[#This Row],[Peminta]],"")</f>
        <v/>
      </c>
      <c r="J1147" s="31"/>
    </row>
    <row r="1148" s="12" customFormat="1" customHeight="1" spans="2:10">
      <c r="B1148" s="25"/>
      <c r="C1148" s="25"/>
      <c r="D1148" s="26" t="str" cm="1">
        <f t="array" ref="D1148">IF(C1148="","",IFERROR(INDEX(STPP!$D$6:$D$4207,MATCH(C1148,STPP!$C$6:$C$4207,0)),"Not Found"))</f>
        <v/>
      </c>
      <c r="E1148" s="27" t="str" cm="1">
        <f t="array" ref="E1148">IF(C1148="","",IFERROR(INDEX(STPP!$E$6:$E$4207,MATCH(C1148,STPP!$C$6:$C$4207,0)),"Not Found"))</f>
        <v/>
      </c>
      <c r="F1148" s="27" t="str" cm="1">
        <f t="array" ref="F1148">IF(C1148="","",IFERROR(INDEX(STPP!$F$6:$F$4207,MATCH(C1148,STPP!$C$6:$C$4207,0)),"Not Found"))</f>
        <v/>
      </c>
      <c r="G1148" s="25" t="str">
        <f>IF(表1[[#This Row],[No Seri]]="","",表1[[#This Row],[Deskripsi Barang]]+表1[[#This Row],[Kuantitas]]-表1[[#This Row],[Satuan]])</f>
        <v/>
      </c>
      <c r="H1148" s="28"/>
      <c r="I1148" s="25" t="str">
        <f>IF(表1[[#This Row],[Tgl NPBG]]&gt;表1[[#This Row],[Peminta]],表1[[#This Row],[Tgl NPBG]]-表1[[#This Row],[Peminta]],"")</f>
        <v/>
      </c>
      <c r="J1148" s="31"/>
    </row>
    <row r="1149" s="12" customFormat="1" customHeight="1" spans="2:10">
      <c r="B1149" s="25"/>
      <c r="C1149" s="25"/>
      <c r="D1149" s="26" t="str" cm="1">
        <f t="array" ref="D1149">IF(C1149="","",IFERROR(INDEX(STPP!$D$6:$D$4207,MATCH(C1149,STPP!$C$6:$C$4207,0)),"Not Found"))</f>
        <v/>
      </c>
      <c r="E1149" s="27" t="str" cm="1">
        <f t="array" ref="E1149">IF(C1149="","",IFERROR(INDEX(STPP!$E$6:$E$4207,MATCH(C1149,STPP!$C$6:$C$4207,0)),"Not Found"))</f>
        <v/>
      </c>
      <c r="F1149" s="27" t="str" cm="1">
        <f t="array" ref="F1149">IF(C1149="","",IFERROR(INDEX(STPP!$F$6:$F$4207,MATCH(C1149,STPP!$C$6:$C$4207,0)),"Not Found"))</f>
        <v/>
      </c>
      <c r="G1149" s="25" t="str">
        <f>IF(表1[[#This Row],[No Seri]]="","",表1[[#This Row],[Deskripsi Barang]]+表1[[#This Row],[Kuantitas]]-表1[[#This Row],[Satuan]])</f>
        <v/>
      </c>
      <c r="H1149" s="28"/>
      <c r="I1149" s="25" t="str">
        <f>IF(表1[[#This Row],[Tgl NPBG]]&gt;表1[[#This Row],[Peminta]],表1[[#This Row],[Tgl NPBG]]-表1[[#This Row],[Peminta]],"")</f>
        <v/>
      </c>
      <c r="J1149" s="31"/>
    </row>
    <row r="1150" s="12" customFormat="1" customHeight="1" spans="2:10">
      <c r="B1150" s="25"/>
      <c r="C1150" s="25"/>
      <c r="D1150" s="26" t="str" cm="1">
        <f t="array" ref="D1150">IF(C1150="","",IFERROR(INDEX(STPP!$D$6:$D$4207,MATCH(C1150,STPP!$C$6:$C$4207,0)),"Not Found"))</f>
        <v/>
      </c>
      <c r="E1150" s="27" t="str" cm="1">
        <f t="array" ref="E1150">IF(C1150="","",IFERROR(INDEX(STPP!$E$6:$E$4207,MATCH(C1150,STPP!$C$6:$C$4207,0)),"Not Found"))</f>
        <v/>
      </c>
      <c r="F1150" s="27" t="str" cm="1">
        <f t="array" ref="F1150">IF(C1150="","",IFERROR(INDEX(STPP!$F$6:$F$4207,MATCH(C1150,STPP!$C$6:$C$4207,0)),"Not Found"))</f>
        <v/>
      </c>
      <c r="G1150" s="25" t="str">
        <f>IF(表1[[#This Row],[No Seri]]="","",表1[[#This Row],[Deskripsi Barang]]+表1[[#This Row],[Kuantitas]]-表1[[#This Row],[Satuan]])</f>
        <v/>
      </c>
      <c r="H1150" s="28"/>
      <c r="I1150" s="25" t="str">
        <f>IF(表1[[#This Row],[Tgl NPBG]]&gt;表1[[#This Row],[Peminta]],表1[[#This Row],[Tgl NPBG]]-表1[[#This Row],[Peminta]],"")</f>
        <v/>
      </c>
      <c r="J1150" s="31"/>
    </row>
    <row r="1151" s="12" customFormat="1" customHeight="1" spans="2:10">
      <c r="B1151" s="25"/>
      <c r="C1151" s="25"/>
      <c r="D1151" s="26" t="str" cm="1">
        <f t="array" ref="D1151">IF(C1151="","",IFERROR(INDEX(STPP!$D$6:$D$4207,MATCH(C1151,STPP!$C$6:$C$4207,0)),"Not Found"))</f>
        <v/>
      </c>
      <c r="E1151" s="27" t="str" cm="1">
        <f t="array" ref="E1151">IF(C1151="","",IFERROR(INDEX(STPP!$E$6:$E$4207,MATCH(C1151,STPP!$C$6:$C$4207,0)),"Not Found"))</f>
        <v/>
      </c>
      <c r="F1151" s="27" t="str" cm="1">
        <f t="array" ref="F1151">IF(C1151="","",IFERROR(INDEX(STPP!$F$6:$F$4207,MATCH(C1151,STPP!$C$6:$C$4207,0)),"Not Found"))</f>
        <v/>
      </c>
      <c r="G1151" s="25" t="str">
        <f>IF(表1[[#This Row],[No Seri]]="","",表1[[#This Row],[Deskripsi Barang]]+表1[[#This Row],[Kuantitas]]-表1[[#This Row],[Satuan]])</f>
        <v/>
      </c>
      <c r="H1151" s="28"/>
      <c r="I1151" s="25" t="str">
        <f>IF(表1[[#This Row],[Tgl NPBG]]&gt;表1[[#This Row],[Peminta]],表1[[#This Row],[Tgl NPBG]]-表1[[#This Row],[Peminta]],"")</f>
        <v/>
      </c>
      <c r="J1151" s="31"/>
    </row>
    <row r="1152" s="12" customFormat="1" customHeight="1" spans="2:10">
      <c r="B1152" s="25"/>
      <c r="C1152" s="25"/>
      <c r="D1152" s="26" t="str" cm="1">
        <f t="array" ref="D1152">IF(C1152="","",IFERROR(INDEX(STPP!$D$6:$D$4207,MATCH(C1152,STPP!$C$6:$C$4207,0)),"Not Found"))</f>
        <v/>
      </c>
      <c r="E1152" s="27" t="str" cm="1">
        <f t="array" ref="E1152">IF(C1152="","",IFERROR(INDEX(STPP!$E$6:$E$4207,MATCH(C1152,STPP!$C$6:$C$4207,0)),"Not Found"))</f>
        <v/>
      </c>
      <c r="F1152" s="27" t="str" cm="1">
        <f t="array" ref="F1152">IF(C1152="","",IFERROR(INDEX(STPP!$F$6:$F$4207,MATCH(C1152,STPP!$C$6:$C$4207,0)),"Not Found"))</f>
        <v/>
      </c>
      <c r="G1152" s="25" t="str">
        <f>IF(表1[[#This Row],[No Seri]]="","",表1[[#This Row],[Deskripsi Barang]]+表1[[#This Row],[Kuantitas]]-表1[[#This Row],[Satuan]])</f>
        <v/>
      </c>
      <c r="H1152" s="28"/>
      <c r="I1152" s="25" t="str">
        <f>IF(表1[[#This Row],[Tgl NPBG]]&gt;表1[[#This Row],[Peminta]],表1[[#This Row],[Tgl NPBG]]-表1[[#This Row],[Peminta]],"")</f>
        <v/>
      </c>
      <c r="J1152" s="31"/>
    </row>
    <row r="1153" s="12" customFormat="1" customHeight="1" spans="2:10">
      <c r="B1153" s="25"/>
      <c r="C1153" s="25"/>
      <c r="D1153" s="26" t="str" cm="1">
        <f t="array" ref="D1153">IF(C1153="","",IFERROR(INDEX(STPP!$D$6:$D$4207,MATCH(C1153,STPP!$C$6:$C$4207,0)),"Not Found"))</f>
        <v/>
      </c>
      <c r="E1153" s="27" t="str" cm="1">
        <f t="array" ref="E1153">IF(C1153="","",IFERROR(INDEX(STPP!$E$6:$E$4207,MATCH(C1153,STPP!$C$6:$C$4207,0)),"Not Found"))</f>
        <v/>
      </c>
      <c r="F1153" s="27" t="str" cm="1">
        <f t="array" ref="F1153">IF(C1153="","",IFERROR(INDEX(STPP!$F$6:$F$4207,MATCH(C1153,STPP!$C$6:$C$4207,0)),"Not Found"))</f>
        <v/>
      </c>
      <c r="G1153" s="25" t="str">
        <f>IF(表1[[#This Row],[No Seri]]="","",表1[[#This Row],[Deskripsi Barang]]+表1[[#This Row],[Kuantitas]]-表1[[#This Row],[Satuan]])</f>
        <v/>
      </c>
      <c r="H1153" s="28"/>
      <c r="I1153" s="25" t="str">
        <f>IF(表1[[#This Row],[Tgl NPBG]]&gt;表1[[#This Row],[Peminta]],表1[[#This Row],[Tgl NPBG]]-表1[[#This Row],[Peminta]],"")</f>
        <v/>
      </c>
      <c r="J1153" s="31"/>
    </row>
    <row r="1154" s="12" customFormat="1" customHeight="1" spans="2:10">
      <c r="B1154" s="25"/>
      <c r="C1154" s="25"/>
      <c r="D1154" s="26" t="str" cm="1">
        <f t="array" ref="D1154">IF(C1154="","",IFERROR(INDEX(STPP!$D$6:$D$4207,MATCH(C1154,STPP!$C$6:$C$4207,0)),"Not Found"))</f>
        <v/>
      </c>
      <c r="E1154" s="27" t="str" cm="1">
        <f t="array" ref="E1154">IF(C1154="","",IFERROR(INDEX(STPP!$E$6:$E$4207,MATCH(C1154,STPP!$C$6:$C$4207,0)),"Not Found"))</f>
        <v/>
      </c>
      <c r="F1154" s="27" t="str" cm="1">
        <f t="array" ref="F1154">IF(C1154="","",IFERROR(INDEX(STPP!$F$6:$F$4207,MATCH(C1154,STPP!$C$6:$C$4207,0)),"Not Found"))</f>
        <v/>
      </c>
      <c r="G1154" s="25" t="str">
        <f>IF(表1[[#This Row],[No Seri]]="","",表1[[#This Row],[Deskripsi Barang]]+表1[[#This Row],[Kuantitas]]-表1[[#This Row],[Satuan]])</f>
        <v/>
      </c>
      <c r="H1154" s="28"/>
      <c r="I1154" s="25" t="str">
        <f>IF(表1[[#This Row],[Tgl NPBG]]&gt;表1[[#This Row],[Peminta]],表1[[#This Row],[Tgl NPBG]]-表1[[#This Row],[Peminta]],"")</f>
        <v/>
      </c>
      <c r="J1154" s="31"/>
    </row>
    <row r="1155" s="12" customFormat="1" customHeight="1" spans="2:10">
      <c r="B1155" s="25"/>
      <c r="C1155" s="25"/>
      <c r="D1155" s="26" t="str" cm="1">
        <f t="array" ref="D1155">IF(C1155="","",IFERROR(INDEX(STPP!$D$6:$D$4207,MATCH(C1155,STPP!$C$6:$C$4207,0)),"Not Found"))</f>
        <v/>
      </c>
      <c r="E1155" s="27" t="str" cm="1">
        <f t="array" ref="E1155">IF(C1155="","",IFERROR(INDEX(STPP!$E$6:$E$4207,MATCH(C1155,STPP!$C$6:$C$4207,0)),"Not Found"))</f>
        <v/>
      </c>
      <c r="F1155" s="27" t="str" cm="1">
        <f t="array" ref="F1155">IF(C1155="","",IFERROR(INDEX(STPP!$F$6:$F$4207,MATCH(C1155,STPP!$C$6:$C$4207,0)),"Not Found"))</f>
        <v/>
      </c>
      <c r="G1155" s="25" t="str">
        <f>IF(表1[[#This Row],[No Seri]]="","",表1[[#This Row],[Deskripsi Barang]]+表1[[#This Row],[Kuantitas]]-表1[[#This Row],[Satuan]])</f>
        <v/>
      </c>
      <c r="H1155" s="28"/>
      <c r="I1155" s="25" t="str">
        <f>IF(表1[[#This Row],[Tgl NPBG]]&gt;表1[[#This Row],[Peminta]],表1[[#This Row],[Tgl NPBG]]-表1[[#This Row],[Peminta]],"")</f>
        <v/>
      </c>
      <c r="J1155" s="31"/>
    </row>
    <row r="1156" s="12" customFormat="1" customHeight="1" spans="2:10">
      <c r="B1156" s="25"/>
      <c r="C1156" s="25"/>
      <c r="D1156" s="26" t="str" cm="1">
        <f t="array" ref="D1156">IF(C1156="","",IFERROR(INDEX(STPP!$D$6:$D$4207,MATCH(C1156,STPP!$C$6:$C$4207,0)),"Not Found"))</f>
        <v/>
      </c>
      <c r="E1156" s="27" t="str" cm="1">
        <f t="array" ref="E1156">IF(C1156="","",IFERROR(INDEX(STPP!$E$6:$E$4207,MATCH(C1156,STPP!$C$6:$C$4207,0)),"Not Found"))</f>
        <v/>
      </c>
      <c r="F1156" s="27" t="str" cm="1">
        <f t="array" ref="F1156">IF(C1156="","",IFERROR(INDEX(STPP!$F$6:$F$4207,MATCH(C1156,STPP!$C$6:$C$4207,0)),"Not Found"))</f>
        <v/>
      </c>
      <c r="G1156" s="25" t="str">
        <f>IF(表1[[#This Row],[No Seri]]="","",表1[[#This Row],[Deskripsi Barang]]+表1[[#This Row],[Kuantitas]]-表1[[#This Row],[Satuan]])</f>
        <v/>
      </c>
      <c r="H1156" s="28"/>
      <c r="I1156" s="25" t="str">
        <f>IF(表1[[#This Row],[Tgl NPBG]]&gt;表1[[#This Row],[Peminta]],表1[[#This Row],[Tgl NPBG]]-表1[[#This Row],[Peminta]],"")</f>
        <v/>
      </c>
      <c r="J1156" s="31"/>
    </row>
    <row r="1157" s="12" customFormat="1" customHeight="1" spans="2:10">
      <c r="B1157" s="25"/>
      <c r="C1157" s="25"/>
      <c r="D1157" s="26" t="str" cm="1">
        <f t="array" ref="D1157">IF(C1157="","",IFERROR(INDEX(STPP!$D$6:$D$4207,MATCH(C1157,STPP!$C$6:$C$4207,0)),"Not Found"))</f>
        <v/>
      </c>
      <c r="E1157" s="27" t="str" cm="1">
        <f t="array" ref="E1157">IF(C1157="","",IFERROR(INDEX(STPP!$E$6:$E$4207,MATCH(C1157,STPP!$C$6:$C$4207,0)),"Not Found"))</f>
        <v/>
      </c>
      <c r="F1157" s="27" t="str" cm="1">
        <f t="array" ref="F1157">IF(C1157="","",IFERROR(INDEX(STPP!$F$6:$F$4207,MATCH(C1157,STPP!$C$6:$C$4207,0)),"Not Found"))</f>
        <v/>
      </c>
      <c r="G1157" s="25" t="str">
        <f>IF(表1[[#This Row],[No Seri]]="","",表1[[#This Row],[Deskripsi Barang]]+表1[[#This Row],[Kuantitas]]-表1[[#This Row],[Satuan]])</f>
        <v/>
      </c>
      <c r="H1157" s="28"/>
      <c r="I1157" s="25" t="str">
        <f>IF(表1[[#This Row],[Tgl NPBG]]&gt;表1[[#This Row],[Peminta]],表1[[#This Row],[Tgl NPBG]]-表1[[#This Row],[Peminta]],"")</f>
        <v/>
      </c>
      <c r="J1157" s="31"/>
    </row>
    <row r="1158" s="12" customFormat="1" customHeight="1" spans="2:10">
      <c r="B1158" s="25"/>
      <c r="C1158" s="25"/>
      <c r="D1158" s="26" t="str" cm="1">
        <f t="array" ref="D1158">IF(C1158="","",IFERROR(INDEX(STPP!$D$6:$D$4207,MATCH(C1158,STPP!$C$6:$C$4207,0)),"Not Found"))</f>
        <v/>
      </c>
      <c r="E1158" s="27" t="str" cm="1">
        <f t="array" ref="E1158">IF(C1158="","",IFERROR(INDEX(STPP!$E$6:$E$4207,MATCH(C1158,STPP!$C$6:$C$4207,0)),"Not Found"))</f>
        <v/>
      </c>
      <c r="F1158" s="27" t="str" cm="1">
        <f t="array" ref="F1158">IF(C1158="","",IFERROR(INDEX(STPP!$F$6:$F$4207,MATCH(C1158,STPP!$C$6:$C$4207,0)),"Not Found"))</f>
        <v/>
      </c>
      <c r="G1158" s="25" t="str">
        <f>IF(表1[[#This Row],[No Seri]]="","",表1[[#This Row],[Deskripsi Barang]]+表1[[#This Row],[Kuantitas]]-表1[[#This Row],[Satuan]])</f>
        <v/>
      </c>
      <c r="H1158" s="28"/>
      <c r="I1158" s="25" t="str">
        <f>IF(表1[[#This Row],[Tgl NPBG]]&gt;表1[[#This Row],[Peminta]],表1[[#This Row],[Tgl NPBG]]-表1[[#This Row],[Peminta]],"")</f>
        <v/>
      </c>
      <c r="J1158" s="31"/>
    </row>
    <row r="1159" s="12" customFormat="1" customHeight="1" spans="2:10">
      <c r="B1159" s="25"/>
      <c r="C1159" s="25"/>
      <c r="D1159" s="26" t="str" cm="1">
        <f t="array" ref="D1159">IF(C1159="","",IFERROR(INDEX(STPP!$D$6:$D$4207,MATCH(C1159,STPP!$C$6:$C$4207,0)),"Not Found"))</f>
        <v/>
      </c>
      <c r="E1159" s="27" t="str" cm="1">
        <f t="array" ref="E1159">IF(C1159="","",IFERROR(INDEX(STPP!$E$6:$E$4207,MATCH(C1159,STPP!$C$6:$C$4207,0)),"Not Found"))</f>
        <v/>
      </c>
      <c r="F1159" s="27" t="str" cm="1">
        <f t="array" ref="F1159">IF(C1159="","",IFERROR(INDEX(STPP!$F$6:$F$4207,MATCH(C1159,STPP!$C$6:$C$4207,0)),"Not Found"))</f>
        <v/>
      </c>
      <c r="G1159" s="25" t="str">
        <f>IF(表1[[#This Row],[No Seri]]="","",表1[[#This Row],[Deskripsi Barang]]+表1[[#This Row],[Kuantitas]]-表1[[#This Row],[Satuan]])</f>
        <v/>
      </c>
      <c r="H1159" s="28"/>
      <c r="I1159" s="25" t="str">
        <f>IF(表1[[#This Row],[Tgl NPBG]]&gt;表1[[#This Row],[Peminta]],表1[[#This Row],[Tgl NPBG]]-表1[[#This Row],[Peminta]],"")</f>
        <v/>
      </c>
      <c r="J1159" s="31"/>
    </row>
    <row r="1160" s="12" customFormat="1" customHeight="1" spans="2:10">
      <c r="B1160" s="25"/>
      <c r="C1160" s="25"/>
      <c r="D1160" s="26" t="str" cm="1">
        <f t="array" ref="D1160">IF(C1160="","",IFERROR(INDEX(STPP!$D$6:$D$4207,MATCH(C1160,STPP!$C$6:$C$4207,0)),"Not Found"))</f>
        <v/>
      </c>
      <c r="E1160" s="27" t="str" cm="1">
        <f t="array" ref="E1160">IF(C1160="","",IFERROR(INDEX(STPP!$E$6:$E$4207,MATCH(C1160,STPP!$C$6:$C$4207,0)),"Not Found"))</f>
        <v/>
      </c>
      <c r="F1160" s="27" t="str" cm="1">
        <f t="array" ref="F1160">IF(C1160="","",IFERROR(INDEX(STPP!$F$6:$F$4207,MATCH(C1160,STPP!$C$6:$C$4207,0)),"Not Found"))</f>
        <v/>
      </c>
      <c r="G1160" s="25" t="str">
        <f>IF(表1[[#This Row],[No Seri]]="","",表1[[#This Row],[Deskripsi Barang]]+表1[[#This Row],[Kuantitas]]-表1[[#This Row],[Satuan]])</f>
        <v/>
      </c>
      <c r="H1160" s="28"/>
      <c r="I1160" s="25" t="str">
        <f>IF(表1[[#This Row],[Tgl NPBG]]&gt;表1[[#This Row],[Peminta]],表1[[#This Row],[Tgl NPBG]]-表1[[#This Row],[Peminta]],"")</f>
        <v/>
      </c>
      <c r="J1160" s="31"/>
    </row>
    <row r="1161" s="12" customFormat="1" customHeight="1" spans="2:10">
      <c r="B1161" s="25"/>
      <c r="C1161" s="25"/>
      <c r="D1161" s="26" t="str" cm="1">
        <f t="array" ref="D1161">IF(C1161="","",IFERROR(INDEX(STPP!$D$6:$D$4207,MATCH(C1161,STPP!$C$6:$C$4207,0)),"Not Found"))</f>
        <v/>
      </c>
      <c r="E1161" s="27" t="str" cm="1">
        <f t="array" ref="E1161">IF(C1161="","",IFERROR(INDEX(STPP!$E$6:$E$4207,MATCH(C1161,STPP!$C$6:$C$4207,0)),"Not Found"))</f>
        <v/>
      </c>
      <c r="F1161" s="27" t="str" cm="1">
        <f t="array" ref="F1161">IF(C1161="","",IFERROR(INDEX(STPP!$F$6:$F$4207,MATCH(C1161,STPP!$C$6:$C$4207,0)),"Not Found"))</f>
        <v/>
      </c>
      <c r="G1161" s="25" t="str">
        <f>IF(表1[[#This Row],[No Seri]]="","",表1[[#This Row],[Deskripsi Barang]]+表1[[#This Row],[Kuantitas]]-表1[[#This Row],[Satuan]])</f>
        <v/>
      </c>
      <c r="H1161" s="28"/>
      <c r="I1161" s="25" t="str">
        <f>IF(表1[[#This Row],[Tgl NPBG]]&gt;表1[[#This Row],[Peminta]],表1[[#This Row],[Tgl NPBG]]-表1[[#This Row],[Peminta]],"")</f>
        <v/>
      </c>
      <c r="J1161" s="31"/>
    </row>
    <row r="1162" s="12" customFormat="1" customHeight="1" spans="2:10">
      <c r="B1162" s="25"/>
      <c r="C1162" s="25"/>
      <c r="D1162" s="26" t="str" cm="1">
        <f t="array" ref="D1162">IF(C1162="","",IFERROR(INDEX(STPP!$D$6:$D$4207,MATCH(C1162,STPP!$C$6:$C$4207,0)),"Not Found"))</f>
        <v/>
      </c>
      <c r="E1162" s="27" t="str" cm="1">
        <f t="array" ref="E1162">IF(C1162="","",IFERROR(INDEX(STPP!$E$6:$E$4207,MATCH(C1162,STPP!$C$6:$C$4207,0)),"Not Found"))</f>
        <v/>
      </c>
      <c r="F1162" s="27" t="str" cm="1">
        <f t="array" ref="F1162">IF(C1162="","",IFERROR(INDEX(STPP!$F$6:$F$4207,MATCH(C1162,STPP!$C$6:$C$4207,0)),"Not Found"))</f>
        <v/>
      </c>
      <c r="G1162" s="25" t="str">
        <f>IF(表1[[#This Row],[No Seri]]="","",表1[[#This Row],[Deskripsi Barang]]+表1[[#This Row],[Kuantitas]]-表1[[#This Row],[Satuan]])</f>
        <v/>
      </c>
      <c r="H1162" s="28"/>
      <c r="I1162" s="25" t="str">
        <f>IF(表1[[#This Row],[Tgl NPBG]]&gt;表1[[#This Row],[Peminta]],表1[[#This Row],[Tgl NPBG]]-表1[[#This Row],[Peminta]],"")</f>
        <v/>
      </c>
      <c r="J1162" s="31"/>
    </row>
    <row r="1163" s="12" customFormat="1" customHeight="1" spans="2:10">
      <c r="B1163" s="25"/>
      <c r="C1163" s="25"/>
      <c r="D1163" s="26" t="str" cm="1">
        <f t="array" ref="D1163">IF(C1163="","",IFERROR(INDEX(STPP!$D$6:$D$4207,MATCH(C1163,STPP!$C$6:$C$4207,0)),"Not Found"))</f>
        <v/>
      </c>
      <c r="E1163" s="27" t="str" cm="1">
        <f t="array" ref="E1163">IF(C1163="","",IFERROR(INDEX(STPP!$E$6:$E$4207,MATCH(C1163,STPP!$C$6:$C$4207,0)),"Not Found"))</f>
        <v/>
      </c>
      <c r="F1163" s="27" t="str" cm="1">
        <f t="array" ref="F1163">IF(C1163="","",IFERROR(INDEX(STPP!$F$6:$F$4207,MATCH(C1163,STPP!$C$6:$C$4207,0)),"Not Found"))</f>
        <v/>
      </c>
      <c r="G1163" s="25" t="str">
        <f>IF(表1[[#This Row],[No Seri]]="","",表1[[#This Row],[Deskripsi Barang]]+表1[[#This Row],[Kuantitas]]-表1[[#This Row],[Satuan]])</f>
        <v/>
      </c>
      <c r="H1163" s="28"/>
      <c r="I1163" s="25" t="str">
        <f>IF(表1[[#This Row],[Tgl NPBG]]&gt;表1[[#This Row],[Peminta]],表1[[#This Row],[Tgl NPBG]]-表1[[#This Row],[Peminta]],"")</f>
        <v/>
      </c>
      <c r="J1163" s="31"/>
    </row>
    <row r="1164" s="12" customFormat="1" customHeight="1" spans="2:10">
      <c r="B1164" s="25"/>
      <c r="C1164" s="25"/>
      <c r="D1164" s="26" t="str" cm="1">
        <f t="array" ref="D1164">IF(C1164="","",IFERROR(INDEX(STPP!$D$6:$D$4207,MATCH(C1164,STPP!$C$6:$C$4207,0)),"Not Found"))</f>
        <v/>
      </c>
      <c r="E1164" s="27" t="str" cm="1">
        <f t="array" ref="E1164">IF(C1164="","",IFERROR(INDEX(STPP!$E$6:$E$4207,MATCH(C1164,STPP!$C$6:$C$4207,0)),"Not Found"))</f>
        <v/>
      </c>
      <c r="F1164" s="27" t="str" cm="1">
        <f t="array" ref="F1164">IF(C1164="","",IFERROR(INDEX(STPP!$F$6:$F$4207,MATCH(C1164,STPP!$C$6:$C$4207,0)),"Not Found"))</f>
        <v/>
      </c>
      <c r="G1164" s="25" t="str">
        <f>IF(表1[[#This Row],[No Seri]]="","",表1[[#This Row],[Deskripsi Barang]]+表1[[#This Row],[Kuantitas]]-表1[[#This Row],[Satuan]])</f>
        <v/>
      </c>
      <c r="H1164" s="28"/>
      <c r="I1164" s="25" t="str">
        <f>IF(表1[[#This Row],[Tgl NPBG]]&gt;表1[[#This Row],[Peminta]],表1[[#This Row],[Tgl NPBG]]-表1[[#This Row],[Peminta]],"")</f>
        <v/>
      </c>
      <c r="J1164" s="31"/>
    </row>
    <row r="1165" s="12" customFormat="1" customHeight="1" spans="2:10">
      <c r="B1165" s="25"/>
      <c r="C1165" s="25"/>
      <c r="D1165" s="26" t="str" cm="1">
        <f t="array" ref="D1165">IF(C1165="","",IFERROR(INDEX(STPP!$D$6:$D$4207,MATCH(C1165,STPP!$C$6:$C$4207,0)),"Not Found"))</f>
        <v/>
      </c>
      <c r="E1165" s="27" t="str" cm="1">
        <f t="array" ref="E1165">IF(C1165="","",IFERROR(INDEX(STPP!$E$6:$E$4207,MATCH(C1165,STPP!$C$6:$C$4207,0)),"Not Found"))</f>
        <v/>
      </c>
      <c r="F1165" s="27" t="str" cm="1">
        <f t="array" ref="F1165">IF(C1165="","",IFERROR(INDEX(STPP!$F$6:$F$4207,MATCH(C1165,STPP!$C$6:$C$4207,0)),"Not Found"))</f>
        <v/>
      </c>
      <c r="G1165" s="25" t="str">
        <f>IF(表1[[#This Row],[No Seri]]="","",表1[[#This Row],[Deskripsi Barang]]+表1[[#This Row],[Kuantitas]]-表1[[#This Row],[Satuan]])</f>
        <v/>
      </c>
      <c r="H1165" s="28"/>
      <c r="I1165" s="25" t="str">
        <f>IF(表1[[#This Row],[Tgl NPBG]]&gt;表1[[#This Row],[Peminta]],表1[[#This Row],[Tgl NPBG]]-表1[[#This Row],[Peminta]],"")</f>
        <v/>
      </c>
      <c r="J1165" s="31"/>
    </row>
    <row r="1166" s="12" customFormat="1" customHeight="1" spans="2:10">
      <c r="B1166" s="25"/>
      <c r="C1166" s="25"/>
      <c r="D1166" s="26" t="str" cm="1">
        <f t="array" ref="D1166">IF(C1166="","",IFERROR(INDEX(STPP!$D$6:$D$4207,MATCH(C1166,STPP!$C$6:$C$4207,0)),"Not Found"))</f>
        <v/>
      </c>
      <c r="E1166" s="27" t="str" cm="1">
        <f t="array" ref="E1166">IF(C1166="","",IFERROR(INDEX(STPP!$E$6:$E$4207,MATCH(C1166,STPP!$C$6:$C$4207,0)),"Not Found"))</f>
        <v/>
      </c>
      <c r="F1166" s="27" t="str" cm="1">
        <f t="array" ref="F1166">IF(C1166="","",IFERROR(INDEX(STPP!$F$6:$F$4207,MATCH(C1166,STPP!$C$6:$C$4207,0)),"Not Found"))</f>
        <v/>
      </c>
      <c r="G1166" s="25" t="str">
        <f>IF(表1[[#This Row],[No Seri]]="","",表1[[#This Row],[Deskripsi Barang]]+表1[[#This Row],[Kuantitas]]-表1[[#This Row],[Satuan]])</f>
        <v/>
      </c>
      <c r="H1166" s="28"/>
      <c r="I1166" s="25" t="str">
        <f>IF(表1[[#This Row],[Tgl NPBG]]&gt;表1[[#This Row],[Peminta]],表1[[#This Row],[Tgl NPBG]]-表1[[#This Row],[Peminta]],"")</f>
        <v/>
      </c>
      <c r="J1166" s="31"/>
    </row>
    <row r="1167" s="12" customFormat="1" customHeight="1" spans="2:10">
      <c r="B1167" s="25"/>
      <c r="C1167" s="25"/>
      <c r="D1167" s="26" t="str" cm="1">
        <f t="array" ref="D1167">IF(C1167="","",IFERROR(INDEX(STPP!$D$6:$D$4207,MATCH(C1167,STPP!$C$6:$C$4207,0)),"Not Found"))</f>
        <v/>
      </c>
      <c r="E1167" s="27" t="str" cm="1">
        <f t="array" ref="E1167">IF(C1167="","",IFERROR(INDEX(STPP!$E$6:$E$4207,MATCH(C1167,STPP!$C$6:$C$4207,0)),"Not Found"))</f>
        <v/>
      </c>
      <c r="F1167" s="27" t="str" cm="1">
        <f t="array" ref="F1167">IF(C1167="","",IFERROR(INDEX(STPP!$F$6:$F$4207,MATCH(C1167,STPP!$C$6:$C$4207,0)),"Not Found"))</f>
        <v/>
      </c>
      <c r="G1167" s="25" t="str">
        <f>IF(表1[[#This Row],[No Seri]]="","",表1[[#This Row],[Deskripsi Barang]]+表1[[#This Row],[Kuantitas]]-表1[[#This Row],[Satuan]])</f>
        <v/>
      </c>
      <c r="H1167" s="28"/>
      <c r="I1167" s="25" t="str">
        <f>IF(表1[[#This Row],[Tgl NPBG]]&gt;表1[[#This Row],[Peminta]],表1[[#This Row],[Tgl NPBG]]-表1[[#This Row],[Peminta]],"")</f>
        <v/>
      </c>
      <c r="J1167" s="31"/>
    </row>
    <row r="1168" s="12" customFormat="1" customHeight="1" spans="2:10">
      <c r="B1168" s="25"/>
      <c r="C1168" s="25"/>
      <c r="D1168" s="26" t="str" cm="1">
        <f t="array" ref="D1168">IF(C1168="","",IFERROR(INDEX(STPP!$D$6:$D$4207,MATCH(C1168,STPP!$C$6:$C$4207,0)),"Not Found"))</f>
        <v/>
      </c>
      <c r="E1168" s="27" t="str" cm="1">
        <f t="array" ref="E1168">IF(C1168="","",IFERROR(INDEX(STPP!$E$6:$E$4207,MATCH(C1168,STPP!$C$6:$C$4207,0)),"Not Found"))</f>
        <v/>
      </c>
      <c r="F1168" s="27" t="str" cm="1">
        <f t="array" ref="F1168">IF(C1168="","",IFERROR(INDEX(STPP!$F$6:$F$4207,MATCH(C1168,STPP!$C$6:$C$4207,0)),"Not Found"))</f>
        <v/>
      </c>
      <c r="G1168" s="25" t="str">
        <f>IF(表1[[#This Row],[No Seri]]="","",表1[[#This Row],[Deskripsi Barang]]+表1[[#This Row],[Kuantitas]]-表1[[#This Row],[Satuan]])</f>
        <v/>
      </c>
      <c r="H1168" s="28"/>
      <c r="I1168" s="25" t="str">
        <f>IF(表1[[#This Row],[Tgl NPBG]]&gt;表1[[#This Row],[Peminta]],表1[[#This Row],[Tgl NPBG]]-表1[[#This Row],[Peminta]],"")</f>
        <v/>
      </c>
      <c r="J1168" s="31"/>
    </row>
    <row r="1169" s="12" customFormat="1" customHeight="1" spans="2:10">
      <c r="B1169" s="25"/>
      <c r="C1169" s="25"/>
      <c r="D1169" s="26" t="str" cm="1">
        <f t="array" ref="D1169">IF(C1169="","",IFERROR(INDEX(STPP!$D$6:$D$4207,MATCH(C1169,STPP!$C$6:$C$4207,0)),"Not Found"))</f>
        <v/>
      </c>
      <c r="E1169" s="27" t="str" cm="1">
        <f t="array" ref="E1169">IF(C1169="","",IFERROR(INDEX(STPP!$E$6:$E$4207,MATCH(C1169,STPP!$C$6:$C$4207,0)),"Not Found"))</f>
        <v/>
      </c>
      <c r="F1169" s="27" t="str" cm="1">
        <f t="array" ref="F1169">IF(C1169="","",IFERROR(INDEX(STPP!$F$6:$F$4207,MATCH(C1169,STPP!$C$6:$C$4207,0)),"Not Found"))</f>
        <v/>
      </c>
      <c r="G1169" s="25" t="str">
        <f>IF(表1[[#This Row],[No Seri]]="","",表1[[#This Row],[Deskripsi Barang]]+表1[[#This Row],[Kuantitas]]-表1[[#This Row],[Satuan]])</f>
        <v/>
      </c>
      <c r="H1169" s="28"/>
      <c r="I1169" s="25" t="str">
        <f>IF(表1[[#This Row],[Tgl NPBG]]&gt;表1[[#This Row],[Peminta]],表1[[#This Row],[Tgl NPBG]]-表1[[#This Row],[Peminta]],"")</f>
        <v/>
      </c>
      <c r="J1169" s="31"/>
    </row>
    <row r="1170" s="12" customFormat="1" customHeight="1" spans="2:10">
      <c r="B1170" s="25"/>
      <c r="C1170" s="25"/>
      <c r="D1170" s="26" t="str" cm="1">
        <f t="array" ref="D1170">IF(C1170="","",IFERROR(INDEX(STPP!$D$6:$D$4207,MATCH(C1170,STPP!$C$6:$C$4207,0)),"Not Found"))</f>
        <v/>
      </c>
      <c r="E1170" s="27" t="str" cm="1">
        <f t="array" ref="E1170">IF(C1170="","",IFERROR(INDEX(STPP!$E$6:$E$4207,MATCH(C1170,STPP!$C$6:$C$4207,0)),"Not Found"))</f>
        <v/>
      </c>
      <c r="F1170" s="27" t="str" cm="1">
        <f t="array" ref="F1170">IF(C1170="","",IFERROR(INDEX(STPP!$F$6:$F$4207,MATCH(C1170,STPP!$C$6:$C$4207,0)),"Not Found"))</f>
        <v/>
      </c>
      <c r="G1170" s="25" t="str">
        <f>IF(表1[[#This Row],[No Seri]]="","",表1[[#This Row],[Deskripsi Barang]]+表1[[#This Row],[Kuantitas]]-表1[[#This Row],[Satuan]])</f>
        <v/>
      </c>
      <c r="H1170" s="28"/>
      <c r="I1170" s="25" t="str">
        <f>IF(表1[[#This Row],[Tgl NPBG]]&gt;表1[[#This Row],[Peminta]],表1[[#This Row],[Tgl NPBG]]-表1[[#This Row],[Peminta]],"")</f>
        <v/>
      </c>
      <c r="J1170" s="31"/>
    </row>
    <row r="1171" s="12" customFormat="1" customHeight="1" spans="2:10">
      <c r="B1171" s="25"/>
      <c r="C1171" s="25"/>
      <c r="D1171" s="26" t="str" cm="1">
        <f t="array" ref="D1171">IF(C1171="","",IFERROR(INDEX(STPP!$D$6:$D$4207,MATCH(C1171,STPP!$C$6:$C$4207,0)),"Not Found"))</f>
        <v/>
      </c>
      <c r="E1171" s="27" t="str" cm="1">
        <f t="array" ref="E1171">IF(C1171="","",IFERROR(INDEX(STPP!$E$6:$E$4207,MATCH(C1171,STPP!$C$6:$C$4207,0)),"Not Found"))</f>
        <v/>
      </c>
      <c r="F1171" s="27" t="str" cm="1">
        <f t="array" ref="F1171">IF(C1171="","",IFERROR(INDEX(STPP!$F$6:$F$4207,MATCH(C1171,STPP!$C$6:$C$4207,0)),"Not Found"))</f>
        <v/>
      </c>
      <c r="G1171" s="25" t="str">
        <f>IF(表1[[#This Row],[No Seri]]="","",表1[[#This Row],[Deskripsi Barang]]+表1[[#This Row],[Kuantitas]]-表1[[#This Row],[Satuan]])</f>
        <v/>
      </c>
      <c r="H1171" s="28"/>
      <c r="I1171" s="25" t="str">
        <f>IF(表1[[#This Row],[Tgl NPBG]]&gt;表1[[#This Row],[Peminta]],表1[[#This Row],[Tgl NPBG]]-表1[[#This Row],[Peminta]],"")</f>
        <v/>
      </c>
      <c r="J1171" s="31"/>
    </row>
    <row r="1172" s="12" customFormat="1" customHeight="1" spans="2:10">
      <c r="B1172" s="25"/>
      <c r="C1172" s="25"/>
      <c r="D1172" s="26" t="str" cm="1">
        <f t="array" ref="D1172">IF(C1172="","",IFERROR(INDEX(STPP!$D$6:$D$4207,MATCH(C1172,STPP!$C$6:$C$4207,0)),"Not Found"))</f>
        <v/>
      </c>
      <c r="E1172" s="27" t="str" cm="1">
        <f t="array" ref="E1172">IF(C1172="","",IFERROR(INDEX(STPP!$E$6:$E$4207,MATCH(C1172,STPP!$C$6:$C$4207,0)),"Not Found"))</f>
        <v/>
      </c>
      <c r="F1172" s="27" t="str" cm="1">
        <f t="array" ref="F1172">IF(C1172="","",IFERROR(INDEX(STPP!$F$6:$F$4207,MATCH(C1172,STPP!$C$6:$C$4207,0)),"Not Found"))</f>
        <v/>
      </c>
      <c r="G1172" s="25" t="str">
        <f>IF(表1[[#This Row],[No Seri]]="","",表1[[#This Row],[Deskripsi Barang]]+表1[[#This Row],[Kuantitas]]-表1[[#This Row],[Satuan]])</f>
        <v/>
      </c>
      <c r="H1172" s="28"/>
      <c r="I1172" s="25" t="str">
        <f>IF(表1[[#This Row],[Tgl NPBG]]&gt;表1[[#This Row],[Peminta]],表1[[#This Row],[Tgl NPBG]]-表1[[#This Row],[Peminta]],"")</f>
        <v/>
      </c>
      <c r="J1172" s="31"/>
    </row>
    <row r="1173" s="12" customFormat="1" customHeight="1" spans="2:10">
      <c r="B1173" s="25"/>
      <c r="C1173" s="25"/>
      <c r="D1173" s="26" t="str" cm="1">
        <f t="array" ref="D1173">IF(C1173="","",IFERROR(INDEX(STPP!$D$6:$D$4207,MATCH(C1173,STPP!$C$6:$C$4207,0)),"Not Found"))</f>
        <v/>
      </c>
      <c r="E1173" s="27" t="str" cm="1">
        <f t="array" ref="E1173">IF(C1173="","",IFERROR(INDEX(STPP!$E$6:$E$4207,MATCH(C1173,STPP!$C$6:$C$4207,0)),"Not Found"))</f>
        <v/>
      </c>
      <c r="F1173" s="27" t="str" cm="1">
        <f t="array" ref="F1173">IF(C1173="","",IFERROR(INDEX(STPP!$F$6:$F$4207,MATCH(C1173,STPP!$C$6:$C$4207,0)),"Not Found"))</f>
        <v/>
      </c>
      <c r="G1173" s="25" t="str">
        <f>IF(表1[[#This Row],[No Seri]]="","",表1[[#This Row],[Deskripsi Barang]]+表1[[#This Row],[Kuantitas]]-表1[[#This Row],[Satuan]])</f>
        <v/>
      </c>
      <c r="H1173" s="28"/>
      <c r="I1173" s="25" t="str">
        <f>IF(表1[[#This Row],[Tgl NPBG]]&gt;表1[[#This Row],[Peminta]],表1[[#This Row],[Tgl NPBG]]-表1[[#This Row],[Peminta]],"")</f>
        <v/>
      </c>
      <c r="J1173" s="31"/>
    </row>
    <row r="1174" s="12" customFormat="1" customHeight="1" spans="2:10">
      <c r="B1174" s="25"/>
      <c r="C1174" s="25"/>
      <c r="D1174" s="26" t="str" cm="1">
        <f t="array" ref="D1174">IF(C1174="","",IFERROR(INDEX(STPP!$D$6:$D$4207,MATCH(C1174,STPP!$C$6:$C$4207,0)),"Not Found"))</f>
        <v/>
      </c>
      <c r="E1174" s="27" t="str" cm="1">
        <f t="array" ref="E1174">IF(C1174="","",IFERROR(INDEX(STPP!$E$6:$E$4207,MATCH(C1174,STPP!$C$6:$C$4207,0)),"Not Found"))</f>
        <v/>
      </c>
      <c r="F1174" s="27" t="str" cm="1">
        <f t="array" ref="F1174">IF(C1174="","",IFERROR(INDEX(STPP!$F$6:$F$4207,MATCH(C1174,STPP!$C$6:$C$4207,0)),"Not Found"))</f>
        <v/>
      </c>
      <c r="G1174" s="25" t="str">
        <f>IF(表1[[#This Row],[No Seri]]="","",表1[[#This Row],[Deskripsi Barang]]+表1[[#This Row],[Kuantitas]]-表1[[#This Row],[Satuan]])</f>
        <v/>
      </c>
      <c r="H1174" s="28"/>
      <c r="I1174" s="25" t="str">
        <f>IF(表1[[#This Row],[Tgl NPBG]]&gt;表1[[#This Row],[Peminta]],表1[[#This Row],[Tgl NPBG]]-表1[[#This Row],[Peminta]],"")</f>
        <v/>
      </c>
      <c r="J1174" s="31"/>
    </row>
    <row r="1175" s="12" customFormat="1" customHeight="1" spans="2:10">
      <c r="B1175" s="25"/>
      <c r="C1175" s="25"/>
      <c r="D1175" s="26" t="str" cm="1">
        <f t="array" ref="D1175">IF(C1175="","",IFERROR(INDEX(STPP!$D$6:$D$4207,MATCH(C1175,STPP!$C$6:$C$4207,0)),"Not Found"))</f>
        <v/>
      </c>
      <c r="E1175" s="27" t="str" cm="1">
        <f t="array" ref="E1175">IF(C1175="","",IFERROR(INDEX(STPP!$E$6:$E$4207,MATCH(C1175,STPP!$C$6:$C$4207,0)),"Not Found"))</f>
        <v/>
      </c>
      <c r="F1175" s="27" t="str" cm="1">
        <f t="array" ref="F1175">IF(C1175="","",IFERROR(INDEX(STPP!$F$6:$F$4207,MATCH(C1175,STPP!$C$6:$C$4207,0)),"Not Found"))</f>
        <v/>
      </c>
      <c r="G1175" s="25" t="str">
        <f>IF(表1[[#This Row],[No Seri]]="","",表1[[#This Row],[Deskripsi Barang]]+表1[[#This Row],[Kuantitas]]-表1[[#This Row],[Satuan]])</f>
        <v/>
      </c>
      <c r="H1175" s="28"/>
      <c r="I1175" s="25" t="str">
        <f>IF(表1[[#This Row],[Tgl NPBG]]&gt;表1[[#This Row],[Peminta]],表1[[#This Row],[Tgl NPBG]]-表1[[#This Row],[Peminta]],"")</f>
        <v/>
      </c>
      <c r="J1175" s="31"/>
    </row>
    <row r="1176" s="12" customFormat="1" customHeight="1" spans="2:10">
      <c r="B1176" s="25"/>
      <c r="C1176" s="25"/>
      <c r="D1176" s="26" t="str" cm="1">
        <f t="array" ref="D1176">IF(C1176="","",IFERROR(INDEX(STPP!$D$6:$D$4207,MATCH(C1176,STPP!$C$6:$C$4207,0)),"Not Found"))</f>
        <v/>
      </c>
      <c r="E1176" s="27" t="str" cm="1">
        <f t="array" ref="E1176">IF(C1176="","",IFERROR(INDEX(STPP!$E$6:$E$4207,MATCH(C1176,STPP!$C$6:$C$4207,0)),"Not Found"))</f>
        <v/>
      </c>
      <c r="F1176" s="27" t="str" cm="1">
        <f t="array" ref="F1176">IF(C1176="","",IFERROR(INDEX(STPP!$F$6:$F$4207,MATCH(C1176,STPP!$C$6:$C$4207,0)),"Not Found"))</f>
        <v/>
      </c>
      <c r="G1176" s="25" t="str">
        <f>IF(表1[[#This Row],[No Seri]]="","",表1[[#This Row],[Deskripsi Barang]]+表1[[#This Row],[Kuantitas]]-表1[[#This Row],[Satuan]])</f>
        <v/>
      </c>
      <c r="H1176" s="28"/>
      <c r="I1176" s="25" t="str">
        <f>IF(表1[[#This Row],[Tgl NPBG]]&gt;表1[[#This Row],[Peminta]],表1[[#This Row],[Tgl NPBG]]-表1[[#This Row],[Peminta]],"")</f>
        <v/>
      </c>
      <c r="J1176" s="31"/>
    </row>
    <row r="1177" s="12" customFormat="1" customHeight="1" spans="2:10">
      <c r="B1177" s="25"/>
      <c r="C1177" s="25"/>
      <c r="D1177" s="26" t="str" cm="1">
        <f t="array" ref="D1177">IF(C1177="","",IFERROR(INDEX(STPP!$D$6:$D$4207,MATCH(C1177,STPP!$C$6:$C$4207,0)),"Not Found"))</f>
        <v/>
      </c>
      <c r="E1177" s="27" t="str" cm="1">
        <f t="array" ref="E1177">IF(C1177="","",IFERROR(INDEX(STPP!$E$6:$E$4207,MATCH(C1177,STPP!$C$6:$C$4207,0)),"Not Found"))</f>
        <v/>
      </c>
      <c r="F1177" s="27" t="str" cm="1">
        <f t="array" ref="F1177">IF(C1177="","",IFERROR(INDEX(STPP!$F$6:$F$4207,MATCH(C1177,STPP!$C$6:$C$4207,0)),"Not Found"))</f>
        <v/>
      </c>
      <c r="G1177" s="25" t="str">
        <f>IF(表1[[#This Row],[No Seri]]="","",表1[[#This Row],[Deskripsi Barang]]+表1[[#This Row],[Kuantitas]]-表1[[#This Row],[Satuan]])</f>
        <v/>
      </c>
      <c r="H1177" s="28"/>
      <c r="I1177" s="25" t="str">
        <f>IF(表1[[#This Row],[Tgl NPBG]]&gt;表1[[#This Row],[Peminta]],表1[[#This Row],[Tgl NPBG]]-表1[[#This Row],[Peminta]],"")</f>
        <v/>
      </c>
      <c r="J1177" s="31"/>
    </row>
    <row r="1178" s="12" customFormat="1" customHeight="1" spans="2:10">
      <c r="B1178" s="25"/>
      <c r="C1178" s="25"/>
      <c r="D1178" s="26" t="str" cm="1">
        <f t="array" ref="D1178">IF(C1178="","",IFERROR(INDEX(STPP!$D$6:$D$4207,MATCH(C1178,STPP!$C$6:$C$4207,0)),"Not Found"))</f>
        <v/>
      </c>
      <c r="E1178" s="27" t="str" cm="1">
        <f t="array" ref="E1178">IF(C1178="","",IFERROR(INDEX(STPP!$E$6:$E$4207,MATCH(C1178,STPP!$C$6:$C$4207,0)),"Not Found"))</f>
        <v/>
      </c>
      <c r="F1178" s="27" t="str" cm="1">
        <f t="array" ref="F1178">IF(C1178="","",IFERROR(INDEX(STPP!$F$6:$F$4207,MATCH(C1178,STPP!$C$6:$C$4207,0)),"Not Found"))</f>
        <v/>
      </c>
      <c r="G1178" s="25" t="str">
        <f>IF(表1[[#This Row],[No Seri]]="","",表1[[#This Row],[Deskripsi Barang]]+表1[[#This Row],[Kuantitas]]-表1[[#This Row],[Satuan]])</f>
        <v/>
      </c>
      <c r="H1178" s="28"/>
      <c r="I1178" s="25" t="str">
        <f>IF(表1[[#This Row],[Tgl NPBG]]&gt;表1[[#This Row],[Peminta]],表1[[#This Row],[Tgl NPBG]]-表1[[#This Row],[Peminta]],"")</f>
        <v/>
      </c>
      <c r="J1178" s="31"/>
    </row>
    <row r="1179" s="12" customFormat="1" customHeight="1" spans="2:10">
      <c r="B1179" s="25"/>
      <c r="C1179" s="25"/>
      <c r="D1179" s="26" t="str" cm="1">
        <f t="array" ref="D1179">IF(C1179="","",IFERROR(INDEX(STPP!$D$6:$D$4207,MATCH(C1179,STPP!$C$6:$C$4207,0)),"Not Found"))</f>
        <v/>
      </c>
      <c r="E1179" s="27" t="str" cm="1">
        <f t="array" ref="E1179">IF(C1179="","",IFERROR(INDEX(STPP!$E$6:$E$4207,MATCH(C1179,STPP!$C$6:$C$4207,0)),"Not Found"))</f>
        <v/>
      </c>
      <c r="F1179" s="27" t="str" cm="1">
        <f t="array" ref="F1179">IF(C1179="","",IFERROR(INDEX(STPP!$F$6:$F$4207,MATCH(C1179,STPP!$C$6:$C$4207,0)),"Not Found"))</f>
        <v/>
      </c>
      <c r="G1179" s="25" t="str">
        <f>IF(表1[[#This Row],[No Seri]]="","",表1[[#This Row],[Deskripsi Barang]]+表1[[#This Row],[Kuantitas]]-表1[[#This Row],[Satuan]])</f>
        <v/>
      </c>
      <c r="H1179" s="28"/>
      <c r="I1179" s="25" t="str">
        <f>IF(表1[[#This Row],[Tgl NPBG]]&gt;表1[[#This Row],[Peminta]],表1[[#This Row],[Tgl NPBG]]-表1[[#This Row],[Peminta]],"")</f>
        <v/>
      </c>
      <c r="J1179" s="31"/>
    </row>
    <row r="1180" s="12" customFormat="1" customHeight="1" spans="2:10">
      <c r="B1180" s="25"/>
      <c r="C1180" s="25"/>
      <c r="D1180" s="26" t="str" cm="1">
        <f t="array" ref="D1180">IF(C1180="","",IFERROR(INDEX(STPP!$D$6:$D$4207,MATCH(C1180,STPP!$C$6:$C$4207,0)),"Not Found"))</f>
        <v/>
      </c>
      <c r="E1180" s="27" t="str" cm="1">
        <f t="array" ref="E1180">IF(C1180="","",IFERROR(INDEX(STPP!$E$6:$E$4207,MATCH(C1180,STPP!$C$6:$C$4207,0)),"Not Found"))</f>
        <v/>
      </c>
      <c r="F1180" s="27" t="str" cm="1">
        <f t="array" ref="F1180">IF(C1180="","",IFERROR(INDEX(STPP!$F$6:$F$4207,MATCH(C1180,STPP!$C$6:$C$4207,0)),"Not Found"))</f>
        <v/>
      </c>
      <c r="G1180" s="25" t="str">
        <f>IF(表1[[#This Row],[No Seri]]="","",表1[[#This Row],[Deskripsi Barang]]+表1[[#This Row],[Kuantitas]]-表1[[#This Row],[Satuan]])</f>
        <v/>
      </c>
      <c r="H1180" s="28"/>
      <c r="I1180" s="25" t="str">
        <f>IF(表1[[#This Row],[Tgl NPBG]]&gt;表1[[#This Row],[Peminta]],表1[[#This Row],[Tgl NPBG]]-表1[[#This Row],[Peminta]],"")</f>
        <v/>
      </c>
      <c r="J1180" s="31"/>
    </row>
    <row r="1181" s="12" customFormat="1" customHeight="1" spans="2:10">
      <c r="B1181" s="25"/>
      <c r="C1181" s="25"/>
      <c r="D1181" s="26" t="str" cm="1">
        <f t="array" ref="D1181">IF(C1181="","",IFERROR(INDEX(STPP!$D$6:$D$4207,MATCH(C1181,STPP!$C$6:$C$4207,0)),"Not Found"))</f>
        <v/>
      </c>
      <c r="E1181" s="27" t="str" cm="1">
        <f t="array" ref="E1181">IF(C1181="","",IFERROR(INDEX(STPP!$E$6:$E$4207,MATCH(C1181,STPP!$C$6:$C$4207,0)),"Not Found"))</f>
        <v/>
      </c>
      <c r="F1181" s="27" t="str" cm="1">
        <f t="array" ref="F1181">IF(C1181="","",IFERROR(INDEX(STPP!$F$6:$F$4207,MATCH(C1181,STPP!$C$6:$C$4207,0)),"Not Found"))</f>
        <v/>
      </c>
      <c r="G1181" s="25" t="str">
        <f>IF(表1[[#This Row],[No Seri]]="","",表1[[#This Row],[Deskripsi Barang]]+表1[[#This Row],[Kuantitas]]-表1[[#This Row],[Satuan]])</f>
        <v/>
      </c>
      <c r="H1181" s="28"/>
      <c r="I1181" s="25" t="str">
        <f>IF(表1[[#This Row],[Tgl NPBG]]&gt;表1[[#This Row],[Peminta]],表1[[#This Row],[Tgl NPBG]]-表1[[#This Row],[Peminta]],"")</f>
        <v/>
      </c>
      <c r="J1181" s="31"/>
    </row>
    <row r="1182" s="12" customFormat="1" customHeight="1" spans="2:10">
      <c r="B1182" s="25"/>
      <c r="C1182" s="25"/>
      <c r="D1182" s="26" t="str" cm="1">
        <f t="array" ref="D1182">IF(C1182="","",IFERROR(INDEX(STPP!$D$6:$D$4207,MATCH(C1182,STPP!$C$6:$C$4207,0)),"Not Found"))</f>
        <v/>
      </c>
      <c r="E1182" s="27" t="str" cm="1">
        <f t="array" ref="E1182">IF(C1182="","",IFERROR(INDEX(STPP!$E$6:$E$4207,MATCH(C1182,STPP!$C$6:$C$4207,0)),"Not Found"))</f>
        <v/>
      </c>
      <c r="F1182" s="27" t="str" cm="1">
        <f t="array" ref="F1182">IF(C1182="","",IFERROR(INDEX(STPP!$F$6:$F$4207,MATCH(C1182,STPP!$C$6:$C$4207,0)),"Not Found"))</f>
        <v/>
      </c>
      <c r="G1182" s="25" t="str">
        <f>IF(表1[[#This Row],[No Seri]]="","",表1[[#This Row],[Deskripsi Barang]]+表1[[#This Row],[Kuantitas]]-表1[[#This Row],[Satuan]])</f>
        <v/>
      </c>
      <c r="H1182" s="28"/>
      <c r="I1182" s="25" t="str">
        <f>IF(表1[[#This Row],[Tgl NPBG]]&gt;表1[[#This Row],[Peminta]],表1[[#This Row],[Tgl NPBG]]-表1[[#This Row],[Peminta]],"")</f>
        <v/>
      </c>
      <c r="J1182" s="31"/>
    </row>
    <row r="1183" s="12" customFormat="1" customHeight="1" spans="2:10">
      <c r="B1183" s="25"/>
      <c r="C1183" s="25"/>
      <c r="D1183" s="26" t="str" cm="1">
        <f t="array" ref="D1183">IF(C1183="","",IFERROR(INDEX(STPP!$D$6:$D$4207,MATCH(C1183,STPP!$C$6:$C$4207,0)),"Not Found"))</f>
        <v/>
      </c>
      <c r="E1183" s="27" t="str" cm="1">
        <f t="array" ref="E1183">IF(C1183="","",IFERROR(INDEX(STPP!$E$6:$E$4207,MATCH(C1183,STPP!$C$6:$C$4207,0)),"Not Found"))</f>
        <v/>
      </c>
      <c r="F1183" s="27" t="str" cm="1">
        <f t="array" ref="F1183">IF(C1183="","",IFERROR(INDEX(STPP!$F$6:$F$4207,MATCH(C1183,STPP!$C$6:$C$4207,0)),"Not Found"))</f>
        <v/>
      </c>
      <c r="G1183" s="25" t="str">
        <f>IF(表1[[#This Row],[No Seri]]="","",表1[[#This Row],[Deskripsi Barang]]+表1[[#This Row],[Kuantitas]]-表1[[#This Row],[Satuan]])</f>
        <v/>
      </c>
      <c r="H1183" s="28"/>
      <c r="I1183" s="25" t="str">
        <f>IF(表1[[#This Row],[Tgl NPBG]]&gt;表1[[#This Row],[Peminta]],表1[[#This Row],[Tgl NPBG]]-表1[[#This Row],[Peminta]],"")</f>
        <v/>
      </c>
      <c r="J1183" s="31"/>
    </row>
    <row r="1184" s="12" customFormat="1" customHeight="1" spans="2:10">
      <c r="B1184" s="25"/>
      <c r="C1184" s="25"/>
      <c r="D1184" s="26" t="str" cm="1">
        <f t="array" ref="D1184">IF(C1184="","",IFERROR(INDEX(STPP!$D$6:$D$4207,MATCH(C1184,STPP!$C$6:$C$4207,0)),"Not Found"))</f>
        <v/>
      </c>
      <c r="E1184" s="27" t="str" cm="1">
        <f t="array" ref="E1184">IF(C1184="","",IFERROR(INDEX(STPP!$E$6:$E$4207,MATCH(C1184,STPP!$C$6:$C$4207,0)),"Not Found"))</f>
        <v/>
      </c>
      <c r="F1184" s="27" t="str" cm="1">
        <f t="array" ref="F1184">IF(C1184="","",IFERROR(INDEX(STPP!$F$6:$F$4207,MATCH(C1184,STPP!$C$6:$C$4207,0)),"Not Found"))</f>
        <v/>
      </c>
      <c r="G1184" s="25" t="str">
        <f>IF(表1[[#This Row],[No Seri]]="","",表1[[#This Row],[Deskripsi Barang]]+表1[[#This Row],[Kuantitas]]-表1[[#This Row],[Satuan]])</f>
        <v/>
      </c>
      <c r="H1184" s="28"/>
      <c r="I1184" s="25" t="str">
        <f>IF(表1[[#This Row],[Tgl NPBG]]&gt;表1[[#This Row],[Peminta]],表1[[#This Row],[Tgl NPBG]]-表1[[#This Row],[Peminta]],"")</f>
        <v/>
      </c>
      <c r="J1184" s="31"/>
    </row>
    <row r="1185" s="12" customFormat="1" customHeight="1" spans="2:10">
      <c r="B1185" s="25"/>
      <c r="C1185" s="25"/>
      <c r="D1185" s="26" t="str" cm="1">
        <f t="array" ref="D1185">IF(C1185="","",IFERROR(INDEX(STPP!$D$6:$D$4207,MATCH(C1185,STPP!$C$6:$C$4207,0)),"Not Found"))</f>
        <v/>
      </c>
      <c r="E1185" s="27" t="str" cm="1">
        <f t="array" ref="E1185">IF(C1185="","",IFERROR(INDEX(STPP!$E$6:$E$4207,MATCH(C1185,STPP!$C$6:$C$4207,0)),"Not Found"))</f>
        <v/>
      </c>
      <c r="F1185" s="27" t="str" cm="1">
        <f t="array" ref="F1185">IF(C1185="","",IFERROR(INDEX(STPP!$F$6:$F$4207,MATCH(C1185,STPP!$C$6:$C$4207,0)),"Not Found"))</f>
        <v/>
      </c>
      <c r="G1185" s="25" t="str">
        <f>IF(表1[[#This Row],[No Seri]]="","",表1[[#This Row],[Deskripsi Barang]]+表1[[#This Row],[Kuantitas]]-表1[[#This Row],[Satuan]])</f>
        <v/>
      </c>
      <c r="H1185" s="28"/>
      <c r="I1185" s="25" t="str">
        <f>IF(表1[[#This Row],[Tgl NPBG]]&gt;表1[[#This Row],[Peminta]],表1[[#This Row],[Tgl NPBG]]-表1[[#This Row],[Peminta]],"")</f>
        <v/>
      </c>
      <c r="J1185" s="31"/>
    </row>
    <row r="1186" s="12" customFormat="1" customHeight="1" spans="2:10">
      <c r="B1186" s="25"/>
      <c r="C1186" s="25"/>
      <c r="D1186" s="26" t="str" cm="1">
        <f t="array" ref="D1186">IF(C1186="","",IFERROR(INDEX(STPP!$D$6:$D$4207,MATCH(C1186,STPP!$C$6:$C$4207,0)),"Not Found"))</f>
        <v/>
      </c>
      <c r="E1186" s="27" t="str" cm="1">
        <f t="array" ref="E1186">IF(C1186="","",IFERROR(INDEX(STPP!$E$6:$E$4207,MATCH(C1186,STPP!$C$6:$C$4207,0)),"Not Found"))</f>
        <v/>
      </c>
      <c r="F1186" s="27" t="str" cm="1">
        <f t="array" ref="F1186">IF(C1186="","",IFERROR(INDEX(STPP!$F$6:$F$4207,MATCH(C1186,STPP!$C$6:$C$4207,0)),"Not Found"))</f>
        <v/>
      </c>
      <c r="G1186" s="25" t="str">
        <f>IF(表1[[#This Row],[No Seri]]="","",表1[[#This Row],[Deskripsi Barang]]+表1[[#This Row],[Kuantitas]]-表1[[#This Row],[Satuan]])</f>
        <v/>
      </c>
      <c r="H1186" s="28"/>
      <c r="I1186" s="25" t="str">
        <f>IF(表1[[#This Row],[Tgl NPBG]]&gt;表1[[#This Row],[Peminta]],表1[[#This Row],[Tgl NPBG]]-表1[[#This Row],[Peminta]],"")</f>
        <v/>
      </c>
      <c r="J1186" s="31"/>
    </row>
    <row r="1187" s="12" customFormat="1" customHeight="1" spans="2:10">
      <c r="B1187" s="25"/>
      <c r="C1187" s="25"/>
      <c r="D1187" s="26" t="str" cm="1">
        <f t="array" ref="D1187">IF(C1187="","",IFERROR(INDEX(STPP!$D$6:$D$4207,MATCH(C1187,STPP!$C$6:$C$4207,0)),"Not Found"))</f>
        <v/>
      </c>
      <c r="E1187" s="27" t="str" cm="1">
        <f t="array" ref="E1187">IF(C1187="","",IFERROR(INDEX(STPP!$E$6:$E$4207,MATCH(C1187,STPP!$C$6:$C$4207,0)),"Not Found"))</f>
        <v/>
      </c>
      <c r="F1187" s="27" t="str" cm="1">
        <f t="array" ref="F1187">IF(C1187="","",IFERROR(INDEX(STPP!$F$6:$F$4207,MATCH(C1187,STPP!$C$6:$C$4207,0)),"Not Found"))</f>
        <v/>
      </c>
      <c r="G1187" s="25" t="str">
        <f>IF(表1[[#This Row],[No Seri]]="","",表1[[#This Row],[Deskripsi Barang]]+表1[[#This Row],[Kuantitas]]-表1[[#This Row],[Satuan]])</f>
        <v/>
      </c>
      <c r="H1187" s="28"/>
      <c r="I1187" s="25" t="str">
        <f>IF(表1[[#This Row],[Tgl NPBG]]&gt;表1[[#This Row],[Peminta]],表1[[#This Row],[Tgl NPBG]]-表1[[#This Row],[Peminta]],"")</f>
        <v/>
      </c>
      <c r="J1187" s="31"/>
    </row>
    <row r="1188" s="12" customFormat="1" customHeight="1" spans="2:10">
      <c r="B1188" s="25"/>
      <c r="C1188" s="25"/>
      <c r="D1188" s="26" t="str" cm="1">
        <f t="array" ref="D1188">IF(C1188="","",IFERROR(INDEX(STPP!$D$6:$D$4207,MATCH(C1188,STPP!$C$6:$C$4207,0)),"Not Found"))</f>
        <v/>
      </c>
      <c r="E1188" s="27" t="str" cm="1">
        <f t="array" ref="E1188">IF(C1188="","",IFERROR(INDEX(STPP!$E$6:$E$4207,MATCH(C1188,STPP!$C$6:$C$4207,0)),"Not Found"))</f>
        <v/>
      </c>
      <c r="F1188" s="27" t="str" cm="1">
        <f t="array" ref="F1188">IF(C1188="","",IFERROR(INDEX(STPP!$F$6:$F$4207,MATCH(C1188,STPP!$C$6:$C$4207,0)),"Not Found"))</f>
        <v/>
      </c>
      <c r="G1188" s="25" t="str">
        <f>IF(表1[[#This Row],[No Seri]]="","",表1[[#This Row],[Deskripsi Barang]]+表1[[#This Row],[Kuantitas]]-表1[[#This Row],[Satuan]])</f>
        <v/>
      </c>
      <c r="H1188" s="28"/>
      <c r="I1188" s="25" t="str">
        <f>IF(表1[[#This Row],[Tgl NPBG]]&gt;表1[[#This Row],[Peminta]],表1[[#This Row],[Tgl NPBG]]-表1[[#This Row],[Peminta]],"")</f>
        <v/>
      </c>
      <c r="J1188" s="31"/>
    </row>
    <row r="1189" s="12" customFormat="1" customHeight="1" spans="2:10">
      <c r="B1189" s="25"/>
      <c r="C1189" s="25"/>
      <c r="D1189" s="26" t="str" cm="1">
        <f t="array" ref="D1189">IF(C1189="","",IFERROR(INDEX(STPP!$D$6:$D$4207,MATCH(C1189,STPP!$C$6:$C$4207,0)),"Not Found"))</f>
        <v/>
      </c>
      <c r="E1189" s="27" t="str" cm="1">
        <f t="array" ref="E1189">IF(C1189="","",IFERROR(INDEX(STPP!$E$6:$E$4207,MATCH(C1189,STPP!$C$6:$C$4207,0)),"Not Found"))</f>
        <v/>
      </c>
      <c r="F1189" s="27" t="str" cm="1">
        <f t="array" ref="F1189">IF(C1189="","",IFERROR(INDEX(STPP!$F$6:$F$4207,MATCH(C1189,STPP!$C$6:$C$4207,0)),"Not Found"))</f>
        <v/>
      </c>
      <c r="G1189" s="25" t="str">
        <f>IF(表1[[#This Row],[No Seri]]="","",表1[[#This Row],[Deskripsi Barang]]+表1[[#This Row],[Kuantitas]]-表1[[#This Row],[Satuan]])</f>
        <v/>
      </c>
      <c r="H1189" s="28"/>
      <c r="I1189" s="25" t="str">
        <f>IF(表1[[#This Row],[Tgl NPBG]]&gt;表1[[#This Row],[Peminta]],表1[[#This Row],[Tgl NPBG]]-表1[[#This Row],[Peminta]],"")</f>
        <v/>
      </c>
      <c r="J1189" s="31"/>
    </row>
    <row r="1190" s="12" customFormat="1" customHeight="1" spans="2:10">
      <c r="B1190" s="25"/>
      <c r="C1190" s="25"/>
      <c r="D1190" s="26" t="str" cm="1">
        <f t="array" ref="D1190">IF(C1190="","",IFERROR(INDEX(STPP!$D$6:$D$4207,MATCH(C1190,STPP!$C$6:$C$4207,0)),"Not Found"))</f>
        <v/>
      </c>
      <c r="E1190" s="27" t="str" cm="1">
        <f t="array" ref="E1190">IF(C1190="","",IFERROR(INDEX(STPP!$E$6:$E$4207,MATCH(C1190,STPP!$C$6:$C$4207,0)),"Not Found"))</f>
        <v/>
      </c>
      <c r="F1190" s="27" t="str" cm="1">
        <f t="array" ref="F1190">IF(C1190="","",IFERROR(INDEX(STPP!$F$6:$F$4207,MATCH(C1190,STPP!$C$6:$C$4207,0)),"Not Found"))</f>
        <v/>
      </c>
      <c r="G1190" s="25" t="str">
        <f>IF(表1[[#This Row],[No Seri]]="","",表1[[#This Row],[Deskripsi Barang]]+表1[[#This Row],[Kuantitas]]-表1[[#This Row],[Satuan]])</f>
        <v/>
      </c>
      <c r="H1190" s="28"/>
      <c r="I1190" s="25" t="str">
        <f>IF(表1[[#This Row],[Tgl NPBG]]&gt;表1[[#This Row],[Peminta]],表1[[#This Row],[Tgl NPBG]]-表1[[#This Row],[Peminta]],"")</f>
        <v/>
      </c>
      <c r="J1190" s="31"/>
    </row>
    <row r="1191" s="12" customFormat="1" customHeight="1" spans="2:10">
      <c r="B1191" s="25"/>
      <c r="C1191" s="25"/>
      <c r="D1191" s="26" t="str" cm="1">
        <f t="array" ref="D1191">IF(C1191="","",IFERROR(INDEX(STPP!$D$6:$D$4207,MATCH(C1191,STPP!$C$6:$C$4207,0)),"Not Found"))</f>
        <v/>
      </c>
      <c r="E1191" s="27" t="str" cm="1">
        <f t="array" ref="E1191">IF(C1191="","",IFERROR(INDEX(STPP!$E$6:$E$4207,MATCH(C1191,STPP!$C$6:$C$4207,0)),"Not Found"))</f>
        <v/>
      </c>
      <c r="F1191" s="27" t="str" cm="1">
        <f t="array" ref="F1191">IF(C1191="","",IFERROR(INDEX(STPP!$F$6:$F$4207,MATCH(C1191,STPP!$C$6:$C$4207,0)),"Not Found"))</f>
        <v/>
      </c>
      <c r="G1191" s="25" t="str">
        <f>IF(表1[[#This Row],[No Seri]]="","",表1[[#This Row],[Deskripsi Barang]]+表1[[#This Row],[Kuantitas]]-表1[[#This Row],[Satuan]])</f>
        <v/>
      </c>
      <c r="H1191" s="28"/>
      <c r="I1191" s="25" t="str">
        <f>IF(表1[[#This Row],[Tgl NPBG]]&gt;表1[[#This Row],[Peminta]],表1[[#This Row],[Tgl NPBG]]-表1[[#This Row],[Peminta]],"")</f>
        <v/>
      </c>
      <c r="J1191" s="31"/>
    </row>
    <row r="1192" s="12" customFormat="1" customHeight="1" spans="2:10">
      <c r="B1192" s="25"/>
      <c r="C1192" s="25"/>
      <c r="D1192" s="26" t="str" cm="1">
        <f t="array" ref="D1192">IF(C1192="","",IFERROR(INDEX(STPP!$D$6:$D$4207,MATCH(C1192,STPP!$C$6:$C$4207,0)),"Not Found"))</f>
        <v/>
      </c>
      <c r="E1192" s="27" t="str" cm="1">
        <f t="array" ref="E1192">IF(C1192="","",IFERROR(INDEX(STPP!$E$6:$E$4207,MATCH(C1192,STPP!$C$6:$C$4207,0)),"Not Found"))</f>
        <v/>
      </c>
      <c r="F1192" s="27" t="str" cm="1">
        <f t="array" ref="F1192">IF(C1192="","",IFERROR(INDEX(STPP!$F$6:$F$4207,MATCH(C1192,STPP!$C$6:$C$4207,0)),"Not Found"))</f>
        <v/>
      </c>
      <c r="G1192" s="25" t="str">
        <f>IF(表1[[#This Row],[No Seri]]="","",表1[[#This Row],[Deskripsi Barang]]+表1[[#This Row],[Kuantitas]]-表1[[#This Row],[Satuan]])</f>
        <v/>
      </c>
      <c r="H1192" s="28"/>
      <c r="I1192" s="25" t="str">
        <f>IF(表1[[#This Row],[Tgl NPBG]]&gt;表1[[#This Row],[Peminta]],表1[[#This Row],[Tgl NPBG]]-表1[[#This Row],[Peminta]],"")</f>
        <v/>
      </c>
      <c r="J1192" s="31"/>
    </row>
    <row r="1193" s="12" customFormat="1" customHeight="1" spans="2:10">
      <c r="B1193" s="25"/>
      <c r="C1193" s="25"/>
      <c r="D1193" s="26" t="str" cm="1">
        <f t="array" ref="D1193">IF(C1193="","",IFERROR(INDEX(STPP!$D$6:$D$4207,MATCH(C1193,STPP!$C$6:$C$4207,0)),"Not Found"))</f>
        <v/>
      </c>
      <c r="E1193" s="27" t="str" cm="1">
        <f t="array" ref="E1193">IF(C1193="","",IFERROR(INDEX(STPP!$E$6:$E$4207,MATCH(C1193,STPP!$C$6:$C$4207,0)),"Not Found"))</f>
        <v/>
      </c>
      <c r="F1193" s="27" t="str" cm="1">
        <f t="array" ref="F1193">IF(C1193="","",IFERROR(INDEX(STPP!$F$6:$F$4207,MATCH(C1193,STPP!$C$6:$C$4207,0)),"Not Found"))</f>
        <v/>
      </c>
      <c r="G1193" s="25" t="str">
        <f>IF(表1[[#This Row],[No Seri]]="","",表1[[#This Row],[Deskripsi Barang]]+表1[[#This Row],[Kuantitas]]-表1[[#This Row],[Satuan]])</f>
        <v/>
      </c>
      <c r="H1193" s="28"/>
      <c r="I1193" s="25" t="str">
        <f>IF(表1[[#This Row],[Tgl NPBG]]&gt;表1[[#This Row],[Peminta]],表1[[#This Row],[Tgl NPBG]]-表1[[#This Row],[Peminta]],"")</f>
        <v/>
      </c>
      <c r="J1193" s="31"/>
    </row>
    <row r="1194" s="12" customFormat="1" customHeight="1" spans="2:10">
      <c r="B1194" s="25"/>
      <c r="C1194" s="25"/>
      <c r="D1194" s="26" t="str" cm="1">
        <f t="array" ref="D1194">IF(C1194="","",IFERROR(INDEX(STPP!$D$6:$D$4207,MATCH(C1194,STPP!$C$6:$C$4207,0)),"Not Found"))</f>
        <v/>
      </c>
      <c r="E1194" s="27" t="str" cm="1">
        <f t="array" ref="E1194">IF(C1194="","",IFERROR(INDEX(STPP!$E$6:$E$4207,MATCH(C1194,STPP!$C$6:$C$4207,0)),"Not Found"))</f>
        <v/>
      </c>
      <c r="F1194" s="27" t="str" cm="1">
        <f t="array" ref="F1194">IF(C1194="","",IFERROR(INDEX(STPP!$F$6:$F$4207,MATCH(C1194,STPP!$C$6:$C$4207,0)),"Not Found"))</f>
        <v/>
      </c>
      <c r="G1194" s="25" t="str">
        <f>IF(表1[[#This Row],[No Seri]]="","",表1[[#This Row],[Deskripsi Barang]]+表1[[#This Row],[Kuantitas]]-表1[[#This Row],[Satuan]])</f>
        <v/>
      </c>
      <c r="H1194" s="28"/>
      <c r="I1194" s="25" t="str">
        <f>IF(表1[[#This Row],[Tgl NPBG]]&gt;表1[[#This Row],[Peminta]],表1[[#This Row],[Tgl NPBG]]-表1[[#This Row],[Peminta]],"")</f>
        <v/>
      </c>
      <c r="J1194" s="31"/>
    </row>
    <row r="1195" s="12" customFormat="1" customHeight="1" spans="2:10">
      <c r="B1195" s="25"/>
      <c r="C1195" s="25"/>
      <c r="D1195" s="26" t="str" cm="1">
        <f t="array" ref="D1195">IF(C1195="","",IFERROR(INDEX(STPP!$D$6:$D$4207,MATCH(C1195,STPP!$C$6:$C$4207,0)),"Not Found"))</f>
        <v/>
      </c>
      <c r="E1195" s="27" t="str" cm="1">
        <f t="array" ref="E1195">IF(C1195="","",IFERROR(INDEX(STPP!$E$6:$E$4207,MATCH(C1195,STPP!$C$6:$C$4207,0)),"Not Found"))</f>
        <v/>
      </c>
      <c r="F1195" s="27" t="str" cm="1">
        <f t="array" ref="F1195">IF(C1195="","",IFERROR(INDEX(STPP!$F$6:$F$4207,MATCH(C1195,STPP!$C$6:$C$4207,0)),"Not Found"))</f>
        <v/>
      </c>
      <c r="G1195" s="25" t="str">
        <f>IF(表1[[#This Row],[No Seri]]="","",表1[[#This Row],[Deskripsi Barang]]+表1[[#This Row],[Kuantitas]]-表1[[#This Row],[Satuan]])</f>
        <v/>
      </c>
      <c r="H1195" s="28"/>
      <c r="I1195" s="25" t="str">
        <f>IF(表1[[#This Row],[Tgl NPBG]]&gt;表1[[#This Row],[Peminta]],表1[[#This Row],[Tgl NPBG]]-表1[[#This Row],[Peminta]],"")</f>
        <v/>
      </c>
      <c r="J1195" s="31"/>
    </row>
    <row r="1196" s="12" customFormat="1" customHeight="1" spans="2:10">
      <c r="B1196" s="25"/>
      <c r="C1196" s="25"/>
      <c r="D1196" s="26" t="str" cm="1">
        <f t="array" ref="D1196">IF(C1196="","",IFERROR(INDEX(STPP!$D$6:$D$4207,MATCH(C1196,STPP!$C$6:$C$4207,0)),"Not Found"))</f>
        <v/>
      </c>
      <c r="E1196" s="27" t="str" cm="1">
        <f t="array" ref="E1196">IF(C1196="","",IFERROR(INDEX(STPP!$E$6:$E$4207,MATCH(C1196,STPP!$C$6:$C$4207,0)),"Not Found"))</f>
        <v/>
      </c>
      <c r="F1196" s="27" t="str" cm="1">
        <f t="array" ref="F1196">IF(C1196="","",IFERROR(INDEX(STPP!$F$6:$F$4207,MATCH(C1196,STPP!$C$6:$C$4207,0)),"Not Found"))</f>
        <v/>
      </c>
      <c r="G1196" s="25" t="str">
        <f>IF(表1[[#This Row],[No Seri]]="","",表1[[#This Row],[Deskripsi Barang]]+表1[[#This Row],[Kuantitas]]-表1[[#This Row],[Satuan]])</f>
        <v/>
      </c>
      <c r="H1196" s="28"/>
      <c r="I1196" s="25" t="str">
        <f>IF(表1[[#This Row],[Tgl NPBG]]&gt;表1[[#This Row],[Peminta]],表1[[#This Row],[Tgl NPBG]]-表1[[#This Row],[Peminta]],"")</f>
        <v/>
      </c>
      <c r="J1196" s="31"/>
    </row>
    <row r="1197" s="12" customFormat="1" customHeight="1" spans="2:10">
      <c r="B1197" s="25"/>
      <c r="C1197" s="25"/>
      <c r="D1197" s="26" t="str" cm="1">
        <f t="array" ref="D1197">IF(C1197="","",IFERROR(INDEX(STPP!$D$6:$D$4207,MATCH(C1197,STPP!$C$6:$C$4207,0)),"Not Found"))</f>
        <v/>
      </c>
      <c r="E1197" s="27" t="str" cm="1">
        <f t="array" ref="E1197">IF(C1197="","",IFERROR(INDEX(STPP!$E$6:$E$4207,MATCH(C1197,STPP!$C$6:$C$4207,0)),"Not Found"))</f>
        <v/>
      </c>
      <c r="F1197" s="27" t="str" cm="1">
        <f t="array" ref="F1197">IF(C1197="","",IFERROR(INDEX(STPP!$F$6:$F$4207,MATCH(C1197,STPP!$C$6:$C$4207,0)),"Not Found"))</f>
        <v/>
      </c>
      <c r="G1197" s="25" t="str">
        <f>IF(表1[[#This Row],[No Seri]]="","",表1[[#This Row],[Deskripsi Barang]]+表1[[#This Row],[Kuantitas]]-表1[[#This Row],[Satuan]])</f>
        <v/>
      </c>
      <c r="H1197" s="28"/>
      <c r="I1197" s="25" t="str">
        <f>IF(表1[[#This Row],[Tgl NPBG]]&gt;表1[[#This Row],[Peminta]],表1[[#This Row],[Tgl NPBG]]-表1[[#This Row],[Peminta]],"")</f>
        <v/>
      </c>
      <c r="J1197" s="31"/>
    </row>
    <row r="1198" s="12" customFormat="1" customHeight="1" spans="2:10">
      <c r="B1198" s="25"/>
      <c r="C1198" s="25"/>
      <c r="D1198" s="26" t="str" cm="1">
        <f t="array" ref="D1198">IF(C1198="","",IFERROR(INDEX(STPP!$D$6:$D$4207,MATCH(C1198,STPP!$C$6:$C$4207,0)),"Not Found"))</f>
        <v/>
      </c>
      <c r="E1198" s="27" t="str" cm="1">
        <f t="array" ref="E1198">IF(C1198="","",IFERROR(INDEX(STPP!$E$6:$E$4207,MATCH(C1198,STPP!$C$6:$C$4207,0)),"Not Found"))</f>
        <v/>
      </c>
      <c r="F1198" s="27" t="str" cm="1">
        <f t="array" ref="F1198">IF(C1198="","",IFERROR(INDEX(STPP!$F$6:$F$4207,MATCH(C1198,STPP!$C$6:$C$4207,0)),"Not Found"))</f>
        <v/>
      </c>
      <c r="G1198" s="25" t="str">
        <f>IF(表1[[#This Row],[No Seri]]="","",表1[[#This Row],[Deskripsi Barang]]+表1[[#This Row],[Kuantitas]]-表1[[#This Row],[Satuan]])</f>
        <v/>
      </c>
      <c r="H1198" s="28"/>
      <c r="I1198" s="25" t="str">
        <f>IF(表1[[#This Row],[Tgl NPBG]]&gt;表1[[#This Row],[Peminta]],表1[[#This Row],[Tgl NPBG]]-表1[[#This Row],[Peminta]],"")</f>
        <v/>
      </c>
      <c r="J1198" s="31"/>
    </row>
    <row r="1199" s="12" customFormat="1" customHeight="1" spans="2:10">
      <c r="B1199" s="25"/>
      <c r="C1199" s="25"/>
      <c r="D1199" s="26" t="str" cm="1">
        <f t="array" ref="D1199">IF(C1199="","",IFERROR(INDEX(STPP!$D$6:$D$4207,MATCH(C1199,STPP!$C$6:$C$4207,0)),"Not Found"))</f>
        <v/>
      </c>
      <c r="E1199" s="27" t="str" cm="1">
        <f t="array" ref="E1199">IF(C1199="","",IFERROR(INDEX(STPP!$E$6:$E$4207,MATCH(C1199,STPP!$C$6:$C$4207,0)),"Not Found"))</f>
        <v/>
      </c>
      <c r="F1199" s="27" t="str" cm="1">
        <f t="array" ref="F1199">IF(C1199="","",IFERROR(INDEX(STPP!$F$6:$F$4207,MATCH(C1199,STPP!$C$6:$C$4207,0)),"Not Found"))</f>
        <v/>
      </c>
      <c r="G1199" s="25" t="str">
        <f>IF(表1[[#This Row],[No Seri]]="","",表1[[#This Row],[Deskripsi Barang]]+表1[[#This Row],[Kuantitas]]-表1[[#This Row],[Satuan]])</f>
        <v/>
      </c>
      <c r="H1199" s="28"/>
      <c r="I1199" s="25" t="str">
        <f>IF(表1[[#This Row],[Tgl NPBG]]&gt;表1[[#This Row],[Peminta]],表1[[#This Row],[Tgl NPBG]]-表1[[#This Row],[Peminta]],"")</f>
        <v/>
      </c>
      <c r="J1199" s="31"/>
    </row>
    <row r="1200" s="12" customFormat="1" customHeight="1" spans="2:10">
      <c r="B1200" s="25"/>
      <c r="C1200" s="25"/>
      <c r="D1200" s="26" t="str" cm="1">
        <f t="array" ref="D1200">IF(C1200="","",IFERROR(INDEX(STPP!$D$6:$D$4207,MATCH(C1200,STPP!$C$6:$C$4207,0)),"Not Found"))</f>
        <v/>
      </c>
      <c r="E1200" s="27" t="str" cm="1">
        <f t="array" ref="E1200">IF(C1200="","",IFERROR(INDEX(STPP!$E$6:$E$4207,MATCH(C1200,STPP!$C$6:$C$4207,0)),"Not Found"))</f>
        <v/>
      </c>
      <c r="F1200" s="27" t="str" cm="1">
        <f t="array" ref="F1200">IF(C1200="","",IFERROR(INDEX(STPP!$F$6:$F$4207,MATCH(C1200,STPP!$C$6:$C$4207,0)),"Not Found"))</f>
        <v/>
      </c>
      <c r="G1200" s="25" t="str">
        <f>IF(表1[[#This Row],[No Seri]]="","",表1[[#This Row],[Deskripsi Barang]]+表1[[#This Row],[Kuantitas]]-表1[[#This Row],[Satuan]])</f>
        <v/>
      </c>
      <c r="H1200" s="28"/>
      <c r="I1200" s="25" t="str">
        <f>IF(表1[[#This Row],[Tgl NPBG]]&gt;表1[[#This Row],[Peminta]],表1[[#This Row],[Tgl NPBG]]-表1[[#This Row],[Peminta]],"")</f>
        <v/>
      </c>
      <c r="J1200" s="31"/>
    </row>
    <row r="1201" s="12" customFormat="1" customHeight="1" spans="2:10">
      <c r="B1201" s="25"/>
      <c r="C1201" s="25"/>
      <c r="D1201" s="26" t="str" cm="1">
        <f t="array" ref="D1201">IF(C1201="","",IFERROR(INDEX(STPP!$D$6:$D$4207,MATCH(C1201,STPP!$C$6:$C$4207,0)),"Not Found"))</f>
        <v/>
      </c>
      <c r="E1201" s="27" t="str" cm="1">
        <f t="array" ref="E1201">IF(C1201="","",IFERROR(INDEX(STPP!$E$6:$E$4207,MATCH(C1201,STPP!$C$6:$C$4207,0)),"Not Found"))</f>
        <v/>
      </c>
      <c r="F1201" s="27" t="str" cm="1">
        <f t="array" ref="F1201">IF(C1201="","",IFERROR(INDEX(STPP!$F$6:$F$4207,MATCH(C1201,STPP!$C$6:$C$4207,0)),"Not Found"))</f>
        <v/>
      </c>
      <c r="G1201" s="25" t="str">
        <f>IF(表1[[#This Row],[No Seri]]="","",表1[[#This Row],[Deskripsi Barang]]+表1[[#This Row],[Kuantitas]]-表1[[#This Row],[Satuan]])</f>
        <v/>
      </c>
      <c r="H1201" s="28"/>
      <c r="I1201" s="25" t="str">
        <f>IF(表1[[#This Row],[Tgl NPBG]]&gt;表1[[#This Row],[Peminta]],表1[[#This Row],[Tgl NPBG]]-表1[[#This Row],[Peminta]],"")</f>
        <v/>
      </c>
      <c r="J1201" s="31"/>
    </row>
    <row r="1202" s="12" customFormat="1" customHeight="1" spans="2:10">
      <c r="B1202" s="25"/>
      <c r="C1202" s="25"/>
      <c r="D1202" s="26" t="str" cm="1">
        <f t="array" ref="D1202">IF(C1202="","",IFERROR(INDEX(STPP!$D$6:$D$4207,MATCH(C1202,STPP!$C$6:$C$4207,0)),"Not Found"))</f>
        <v/>
      </c>
      <c r="E1202" s="27" t="str" cm="1">
        <f t="array" ref="E1202">IF(C1202="","",IFERROR(INDEX(STPP!$E$6:$E$4207,MATCH(C1202,STPP!$C$6:$C$4207,0)),"Not Found"))</f>
        <v/>
      </c>
      <c r="F1202" s="27" t="str" cm="1">
        <f t="array" ref="F1202">IF(C1202="","",IFERROR(INDEX(STPP!$F$6:$F$4207,MATCH(C1202,STPP!$C$6:$C$4207,0)),"Not Found"))</f>
        <v/>
      </c>
      <c r="G1202" s="25" t="str">
        <f>IF(表1[[#This Row],[No Seri]]="","",表1[[#This Row],[Deskripsi Barang]]+表1[[#This Row],[Kuantitas]]-表1[[#This Row],[Satuan]])</f>
        <v/>
      </c>
      <c r="H1202" s="28"/>
      <c r="I1202" s="25" t="str">
        <f>IF(表1[[#This Row],[Tgl NPBG]]&gt;表1[[#This Row],[Peminta]],表1[[#This Row],[Tgl NPBG]]-表1[[#This Row],[Peminta]],"")</f>
        <v/>
      </c>
      <c r="J1202" s="31"/>
    </row>
    <row r="1203" s="12" customFormat="1" customHeight="1" spans="2:10">
      <c r="B1203" s="25"/>
      <c r="C1203" s="25"/>
      <c r="D1203" s="26" t="str" cm="1">
        <f t="array" ref="D1203">IF(C1203="","",IFERROR(INDEX(STPP!$D$6:$D$4207,MATCH(C1203,STPP!$C$6:$C$4207,0)),"Not Found"))</f>
        <v/>
      </c>
      <c r="E1203" s="27" t="str" cm="1">
        <f t="array" ref="E1203">IF(C1203="","",IFERROR(INDEX(STPP!$E$6:$E$4207,MATCH(C1203,STPP!$C$6:$C$4207,0)),"Not Found"))</f>
        <v/>
      </c>
      <c r="F1203" s="27" t="str" cm="1">
        <f t="array" ref="F1203">IF(C1203="","",IFERROR(INDEX(STPP!$F$6:$F$4207,MATCH(C1203,STPP!$C$6:$C$4207,0)),"Not Found"))</f>
        <v/>
      </c>
      <c r="G1203" s="25" t="str">
        <f>IF(表1[[#This Row],[No Seri]]="","",表1[[#This Row],[Deskripsi Barang]]+表1[[#This Row],[Kuantitas]]-表1[[#This Row],[Satuan]])</f>
        <v/>
      </c>
      <c r="H1203" s="28"/>
      <c r="I1203" s="25" t="str">
        <f>IF(表1[[#This Row],[Tgl NPBG]]&gt;表1[[#This Row],[Peminta]],表1[[#This Row],[Tgl NPBG]]-表1[[#This Row],[Peminta]],"")</f>
        <v/>
      </c>
      <c r="J1203" s="31"/>
    </row>
    <row r="1204" s="12" customFormat="1" customHeight="1" spans="2:10">
      <c r="B1204" s="25"/>
      <c r="C1204" s="25"/>
      <c r="D1204" s="26" t="str" cm="1">
        <f t="array" ref="D1204">IF(C1204="","",IFERROR(INDEX(STPP!$D$6:$D$4207,MATCH(C1204,STPP!$C$6:$C$4207,0)),"Not Found"))</f>
        <v/>
      </c>
      <c r="E1204" s="27" t="str" cm="1">
        <f t="array" ref="E1204">IF(C1204="","",IFERROR(INDEX(STPP!$E$6:$E$4207,MATCH(C1204,STPP!$C$6:$C$4207,0)),"Not Found"))</f>
        <v/>
      </c>
      <c r="F1204" s="27" t="str" cm="1">
        <f t="array" ref="F1204">IF(C1204="","",IFERROR(INDEX(STPP!$F$6:$F$4207,MATCH(C1204,STPP!$C$6:$C$4207,0)),"Not Found"))</f>
        <v/>
      </c>
      <c r="G1204" s="25" t="str">
        <f>IF(表1[[#This Row],[No Seri]]="","",表1[[#This Row],[Deskripsi Barang]]+表1[[#This Row],[Kuantitas]]-表1[[#This Row],[Satuan]])</f>
        <v/>
      </c>
      <c r="H1204" s="28"/>
      <c r="I1204" s="25" t="str">
        <f>IF(表1[[#This Row],[Tgl NPBG]]&gt;表1[[#This Row],[Peminta]],表1[[#This Row],[Tgl NPBG]]-表1[[#This Row],[Peminta]],"")</f>
        <v/>
      </c>
      <c r="J1204" s="31"/>
    </row>
    <row r="1205" s="12" customFormat="1" customHeight="1" spans="2:10">
      <c r="B1205" s="25"/>
      <c r="C1205" s="25"/>
      <c r="D1205" s="26" t="str" cm="1">
        <f t="array" ref="D1205">IF(C1205="","",IFERROR(INDEX(STPP!$D$6:$D$4207,MATCH(C1205,STPP!$C$6:$C$4207,0)),"Not Found"))</f>
        <v/>
      </c>
      <c r="E1205" s="27" t="str" cm="1">
        <f t="array" ref="E1205">IF(C1205="","",IFERROR(INDEX(STPP!$E$6:$E$4207,MATCH(C1205,STPP!$C$6:$C$4207,0)),"Not Found"))</f>
        <v/>
      </c>
      <c r="F1205" s="27" t="str" cm="1">
        <f t="array" ref="F1205">IF(C1205="","",IFERROR(INDEX(STPP!$F$6:$F$4207,MATCH(C1205,STPP!$C$6:$C$4207,0)),"Not Found"))</f>
        <v/>
      </c>
      <c r="G1205" s="25" t="str">
        <f>IF(表1[[#This Row],[No Seri]]="","",表1[[#This Row],[Deskripsi Barang]]+表1[[#This Row],[Kuantitas]]-表1[[#This Row],[Satuan]])</f>
        <v/>
      </c>
      <c r="H1205" s="28"/>
      <c r="I1205" s="25" t="str">
        <f>IF(表1[[#This Row],[Tgl NPBG]]&gt;表1[[#This Row],[Peminta]],表1[[#This Row],[Tgl NPBG]]-表1[[#This Row],[Peminta]],"")</f>
        <v/>
      </c>
      <c r="J1205" s="31"/>
    </row>
    <row r="1206" s="12" customFormat="1" customHeight="1" spans="2:10">
      <c r="B1206" s="25"/>
      <c r="C1206" s="25"/>
      <c r="D1206" s="26" t="str" cm="1">
        <f t="array" ref="D1206">IF(C1206="","",IFERROR(INDEX(STPP!$D$6:$D$4207,MATCH(C1206,STPP!$C$6:$C$4207,0)),"Not Found"))</f>
        <v/>
      </c>
      <c r="E1206" s="27" t="str" cm="1">
        <f t="array" ref="E1206">IF(C1206="","",IFERROR(INDEX(STPP!$E$6:$E$4207,MATCH(C1206,STPP!$C$6:$C$4207,0)),"Not Found"))</f>
        <v/>
      </c>
      <c r="F1206" s="27" t="str" cm="1">
        <f t="array" ref="F1206">IF(C1206="","",IFERROR(INDEX(STPP!$F$6:$F$4207,MATCH(C1206,STPP!$C$6:$C$4207,0)),"Not Found"))</f>
        <v/>
      </c>
      <c r="G1206" s="25" t="str">
        <f>IF(表1[[#This Row],[No Seri]]="","",表1[[#This Row],[Deskripsi Barang]]+表1[[#This Row],[Kuantitas]]-表1[[#This Row],[Satuan]])</f>
        <v/>
      </c>
      <c r="H1206" s="28"/>
      <c r="I1206" s="25" t="str">
        <f>IF(表1[[#This Row],[Tgl NPBG]]&gt;表1[[#This Row],[Peminta]],表1[[#This Row],[Tgl NPBG]]-表1[[#This Row],[Peminta]],"")</f>
        <v/>
      </c>
      <c r="J1206" s="31"/>
    </row>
    <row r="1207" s="12" customFormat="1" customHeight="1" spans="2:10">
      <c r="B1207" s="25"/>
      <c r="C1207" s="25"/>
      <c r="D1207" s="26" t="str" cm="1">
        <f t="array" ref="D1207">IF(C1207="","",IFERROR(INDEX(STPP!$D$6:$D$4207,MATCH(C1207,STPP!$C$6:$C$4207,0)),"Not Found"))</f>
        <v/>
      </c>
      <c r="E1207" s="27" t="str" cm="1">
        <f t="array" ref="E1207">IF(C1207="","",IFERROR(INDEX(STPP!$E$6:$E$4207,MATCH(C1207,STPP!$C$6:$C$4207,0)),"Not Found"))</f>
        <v/>
      </c>
      <c r="F1207" s="27" t="str" cm="1">
        <f t="array" ref="F1207">IF(C1207="","",IFERROR(INDEX(STPP!$F$6:$F$4207,MATCH(C1207,STPP!$C$6:$C$4207,0)),"Not Found"))</f>
        <v/>
      </c>
      <c r="G1207" s="25" t="str">
        <f>IF(表1[[#This Row],[No Seri]]="","",表1[[#This Row],[Deskripsi Barang]]+表1[[#This Row],[Kuantitas]]-表1[[#This Row],[Satuan]])</f>
        <v/>
      </c>
      <c r="H1207" s="28"/>
      <c r="I1207" s="25" t="str">
        <f>IF(表1[[#This Row],[Tgl NPBG]]&gt;表1[[#This Row],[Peminta]],表1[[#This Row],[Tgl NPBG]]-表1[[#This Row],[Peminta]],"")</f>
        <v/>
      </c>
      <c r="J1207" s="31"/>
    </row>
    <row r="1208" s="12" customFormat="1" customHeight="1" spans="2:10">
      <c r="B1208" s="25"/>
      <c r="C1208" s="25"/>
      <c r="D1208" s="26" t="str" cm="1">
        <f t="array" ref="D1208">IF(C1208="","",IFERROR(INDEX(STPP!$D$6:$D$4207,MATCH(C1208,STPP!$C$6:$C$4207,0)),"Not Found"))</f>
        <v/>
      </c>
      <c r="E1208" s="27" t="str" cm="1">
        <f t="array" ref="E1208">IF(C1208="","",IFERROR(INDEX(STPP!$E$6:$E$4207,MATCH(C1208,STPP!$C$6:$C$4207,0)),"Not Found"))</f>
        <v/>
      </c>
      <c r="F1208" s="27" t="str" cm="1">
        <f t="array" ref="F1208">IF(C1208="","",IFERROR(INDEX(STPP!$F$6:$F$4207,MATCH(C1208,STPP!$C$6:$C$4207,0)),"Not Found"))</f>
        <v/>
      </c>
      <c r="G1208" s="25" t="str">
        <f>IF(表1[[#This Row],[No Seri]]="","",表1[[#This Row],[Deskripsi Barang]]+表1[[#This Row],[Kuantitas]]-表1[[#This Row],[Satuan]])</f>
        <v/>
      </c>
      <c r="H1208" s="28"/>
      <c r="I1208" s="25" t="str">
        <f>IF(表1[[#This Row],[Tgl NPBG]]&gt;表1[[#This Row],[Peminta]],表1[[#This Row],[Tgl NPBG]]-表1[[#This Row],[Peminta]],"")</f>
        <v/>
      </c>
      <c r="J1208" s="31"/>
    </row>
    <row r="1209" s="12" customFormat="1" customHeight="1" spans="2:10">
      <c r="B1209" s="25"/>
      <c r="C1209" s="25"/>
      <c r="D1209" s="26" t="str" cm="1">
        <f t="array" ref="D1209">IF(C1209="","",IFERROR(INDEX(STPP!$D$6:$D$4207,MATCH(C1209,STPP!$C$6:$C$4207,0)),"Not Found"))</f>
        <v/>
      </c>
      <c r="E1209" s="27" t="str" cm="1">
        <f t="array" ref="E1209">IF(C1209="","",IFERROR(INDEX(STPP!$E$6:$E$4207,MATCH(C1209,STPP!$C$6:$C$4207,0)),"Not Found"))</f>
        <v/>
      </c>
      <c r="F1209" s="27" t="str" cm="1">
        <f t="array" ref="F1209">IF(C1209="","",IFERROR(INDEX(STPP!$F$6:$F$4207,MATCH(C1209,STPP!$C$6:$C$4207,0)),"Not Found"))</f>
        <v/>
      </c>
      <c r="G1209" s="25" t="str">
        <f>IF(表1[[#This Row],[No Seri]]="","",表1[[#This Row],[Deskripsi Barang]]+表1[[#This Row],[Kuantitas]]-表1[[#This Row],[Satuan]])</f>
        <v/>
      </c>
      <c r="H1209" s="28"/>
      <c r="I1209" s="25" t="str">
        <f>IF(表1[[#This Row],[Tgl NPBG]]&gt;表1[[#This Row],[Peminta]],表1[[#This Row],[Tgl NPBG]]-表1[[#This Row],[Peminta]],"")</f>
        <v/>
      </c>
      <c r="J1209" s="31"/>
    </row>
    <row r="1210" s="12" customFormat="1" customHeight="1" spans="2:10">
      <c r="B1210" s="25"/>
      <c r="C1210" s="25"/>
      <c r="D1210" s="26" t="str" cm="1">
        <f t="array" ref="D1210">IF(C1210="","",IFERROR(INDEX(STPP!$D$6:$D$4207,MATCH(C1210,STPP!$C$6:$C$4207,0)),"Not Found"))</f>
        <v/>
      </c>
      <c r="E1210" s="27" t="str" cm="1">
        <f t="array" ref="E1210">IF(C1210="","",IFERROR(INDEX(STPP!$E$6:$E$4207,MATCH(C1210,STPP!$C$6:$C$4207,0)),"Not Found"))</f>
        <v/>
      </c>
      <c r="F1210" s="27" t="str" cm="1">
        <f t="array" ref="F1210">IF(C1210="","",IFERROR(INDEX(STPP!$F$6:$F$4207,MATCH(C1210,STPP!$C$6:$C$4207,0)),"Not Found"))</f>
        <v/>
      </c>
      <c r="G1210" s="25" t="str">
        <f>IF(表1[[#This Row],[No Seri]]="","",表1[[#This Row],[Deskripsi Barang]]+表1[[#This Row],[Kuantitas]]-表1[[#This Row],[Satuan]])</f>
        <v/>
      </c>
      <c r="H1210" s="28"/>
      <c r="I1210" s="25" t="str">
        <f>IF(表1[[#This Row],[Tgl NPBG]]&gt;表1[[#This Row],[Peminta]],表1[[#This Row],[Tgl NPBG]]-表1[[#This Row],[Peminta]],"")</f>
        <v/>
      </c>
      <c r="J1210" s="31"/>
    </row>
    <row r="1211" s="12" customFormat="1" customHeight="1" spans="2:10">
      <c r="B1211" s="25"/>
      <c r="C1211" s="25"/>
      <c r="D1211" s="26" t="str" cm="1">
        <f t="array" ref="D1211">IF(C1211="","",IFERROR(INDEX(STPP!$D$6:$D$4207,MATCH(C1211,STPP!$C$6:$C$4207,0)),"Not Found"))</f>
        <v/>
      </c>
      <c r="E1211" s="27" t="str" cm="1">
        <f t="array" ref="E1211">IF(C1211="","",IFERROR(INDEX(STPP!$E$6:$E$4207,MATCH(C1211,STPP!$C$6:$C$4207,0)),"Not Found"))</f>
        <v/>
      </c>
      <c r="F1211" s="27" t="str" cm="1">
        <f t="array" ref="F1211">IF(C1211="","",IFERROR(INDEX(STPP!$F$6:$F$4207,MATCH(C1211,STPP!$C$6:$C$4207,0)),"Not Found"))</f>
        <v/>
      </c>
      <c r="G1211" s="25" t="str">
        <f>IF(表1[[#This Row],[No Seri]]="","",表1[[#This Row],[Deskripsi Barang]]+表1[[#This Row],[Kuantitas]]-表1[[#This Row],[Satuan]])</f>
        <v/>
      </c>
      <c r="H1211" s="28"/>
      <c r="I1211" s="25" t="str">
        <f>IF(表1[[#This Row],[Tgl NPBG]]&gt;表1[[#This Row],[Peminta]],表1[[#This Row],[Tgl NPBG]]-表1[[#This Row],[Peminta]],"")</f>
        <v/>
      </c>
      <c r="J1211" s="31"/>
    </row>
    <row r="1212" s="12" customFormat="1" customHeight="1" spans="2:10">
      <c r="B1212" s="25"/>
      <c r="C1212" s="25"/>
      <c r="D1212" s="26" t="str" cm="1">
        <f t="array" ref="D1212">IF(C1212="","",IFERROR(INDEX(STPP!$D$6:$D$4207,MATCH(C1212,STPP!$C$6:$C$4207,0)),"Not Found"))</f>
        <v/>
      </c>
      <c r="E1212" s="27" t="str" cm="1">
        <f t="array" ref="E1212">IF(C1212="","",IFERROR(INDEX(STPP!$E$6:$E$4207,MATCH(C1212,STPP!$C$6:$C$4207,0)),"Not Found"))</f>
        <v/>
      </c>
      <c r="F1212" s="27" t="str" cm="1">
        <f t="array" ref="F1212">IF(C1212="","",IFERROR(INDEX(STPP!$F$6:$F$4207,MATCH(C1212,STPP!$C$6:$C$4207,0)),"Not Found"))</f>
        <v/>
      </c>
      <c r="G1212" s="25" t="str">
        <f>IF(表1[[#This Row],[No Seri]]="","",表1[[#This Row],[Deskripsi Barang]]+表1[[#This Row],[Kuantitas]]-表1[[#This Row],[Satuan]])</f>
        <v/>
      </c>
      <c r="H1212" s="28"/>
      <c r="I1212" s="25" t="str">
        <f>IF(表1[[#This Row],[Tgl NPBG]]&gt;表1[[#This Row],[Peminta]],表1[[#This Row],[Tgl NPBG]]-表1[[#This Row],[Peminta]],"")</f>
        <v/>
      </c>
      <c r="J1212" s="31"/>
    </row>
    <row r="1213" s="12" customFormat="1" customHeight="1" spans="2:10">
      <c r="B1213" s="25"/>
      <c r="C1213" s="25"/>
      <c r="D1213" s="26" t="str" cm="1">
        <f t="array" ref="D1213">IF(C1213="","",IFERROR(INDEX(STPP!$D$6:$D$4207,MATCH(C1213,STPP!$C$6:$C$4207,0)),"Not Found"))</f>
        <v/>
      </c>
      <c r="E1213" s="27" t="str" cm="1">
        <f t="array" ref="E1213">IF(C1213="","",IFERROR(INDEX(STPP!$E$6:$E$4207,MATCH(C1213,STPP!$C$6:$C$4207,0)),"Not Found"))</f>
        <v/>
      </c>
      <c r="F1213" s="27" t="str" cm="1">
        <f t="array" ref="F1213">IF(C1213="","",IFERROR(INDEX(STPP!$F$6:$F$4207,MATCH(C1213,STPP!$C$6:$C$4207,0)),"Not Found"))</f>
        <v/>
      </c>
      <c r="G1213" s="25" t="str">
        <f>IF(表1[[#This Row],[No Seri]]="","",表1[[#This Row],[Deskripsi Barang]]+表1[[#This Row],[Kuantitas]]-表1[[#This Row],[Satuan]])</f>
        <v/>
      </c>
      <c r="H1213" s="28"/>
      <c r="I1213" s="25" t="str">
        <f>IF(表1[[#This Row],[Tgl NPBG]]&gt;表1[[#This Row],[Peminta]],表1[[#This Row],[Tgl NPBG]]-表1[[#This Row],[Peminta]],"")</f>
        <v/>
      </c>
      <c r="J1213" s="31"/>
    </row>
    <row r="1214" s="12" customFormat="1" customHeight="1" spans="2:10">
      <c r="B1214" s="25"/>
      <c r="C1214" s="25"/>
      <c r="D1214" s="26" t="str" cm="1">
        <f t="array" ref="D1214">IF(C1214="","",IFERROR(INDEX(STPP!$D$6:$D$4207,MATCH(C1214,STPP!$C$6:$C$4207,0)),"Not Found"))</f>
        <v/>
      </c>
      <c r="E1214" s="27" t="str" cm="1">
        <f t="array" ref="E1214">IF(C1214="","",IFERROR(INDEX(STPP!$E$6:$E$4207,MATCH(C1214,STPP!$C$6:$C$4207,0)),"Not Found"))</f>
        <v/>
      </c>
      <c r="F1214" s="27" t="str" cm="1">
        <f t="array" ref="F1214">IF(C1214="","",IFERROR(INDEX(STPP!$F$6:$F$4207,MATCH(C1214,STPP!$C$6:$C$4207,0)),"Not Found"))</f>
        <v/>
      </c>
      <c r="G1214" s="25" t="str">
        <f>IF(表1[[#This Row],[No Seri]]="","",表1[[#This Row],[Deskripsi Barang]]+表1[[#This Row],[Kuantitas]]-表1[[#This Row],[Satuan]])</f>
        <v/>
      </c>
      <c r="H1214" s="28"/>
      <c r="I1214" s="25" t="str">
        <f>IF(表1[[#This Row],[Tgl NPBG]]&gt;表1[[#This Row],[Peminta]],表1[[#This Row],[Tgl NPBG]]-表1[[#This Row],[Peminta]],"")</f>
        <v/>
      </c>
      <c r="J1214" s="31"/>
    </row>
    <row r="1215" s="12" customFormat="1" customHeight="1" spans="2:10">
      <c r="B1215" s="25"/>
      <c r="C1215" s="25"/>
      <c r="D1215" s="26" t="str" cm="1">
        <f t="array" ref="D1215">IF(C1215="","",IFERROR(INDEX(STPP!$D$6:$D$4207,MATCH(C1215,STPP!$C$6:$C$4207,0)),"Not Found"))</f>
        <v/>
      </c>
      <c r="E1215" s="27" t="str" cm="1">
        <f t="array" ref="E1215">IF(C1215="","",IFERROR(INDEX(STPP!$E$6:$E$4207,MATCH(C1215,STPP!$C$6:$C$4207,0)),"Not Found"))</f>
        <v/>
      </c>
      <c r="F1215" s="27" t="str" cm="1">
        <f t="array" ref="F1215">IF(C1215="","",IFERROR(INDEX(STPP!$F$6:$F$4207,MATCH(C1215,STPP!$C$6:$C$4207,0)),"Not Found"))</f>
        <v/>
      </c>
      <c r="G1215" s="25" t="str">
        <f>IF(表1[[#This Row],[No Seri]]="","",表1[[#This Row],[Deskripsi Barang]]+表1[[#This Row],[Kuantitas]]-表1[[#This Row],[Satuan]])</f>
        <v/>
      </c>
      <c r="H1215" s="28"/>
      <c r="I1215" s="25" t="str">
        <f>IF(表1[[#This Row],[Tgl NPBG]]&gt;表1[[#This Row],[Peminta]],表1[[#This Row],[Tgl NPBG]]-表1[[#This Row],[Peminta]],"")</f>
        <v/>
      </c>
      <c r="J1215" s="31"/>
    </row>
    <row r="1216" s="12" customFormat="1" customHeight="1" spans="2:10">
      <c r="B1216" s="25"/>
      <c r="C1216" s="25"/>
      <c r="D1216" s="26" t="str" cm="1">
        <f t="array" ref="D1216">IF(C1216="","",IFERROR(INDEX(STPP!$D$6:$D$4207,MATCH(C1216,STPP!$C$6:$C$4207,0)),"Not Found"))</f>
        <v/>
      </c>
      <c r="E1216" s="27" t="str" cm="1">
        <f t="array" ref="E1216">IF(C1216="","",IFERROR(INDEX(STPP!$E$6:$E$4207,MATCH(C1216,STPP!$C$6:$C$4207,0)),"Not Found"))</f>
        <v/>
      </c>
      <c r="F1216" s="27" t="str" cm="1">
        <f t="array" ref="F1216">IF(C1216="","",IFERROR(INDEX(STPP!$F$6:$F$4207,MATCH(C1216,STPP!$C$6:$C$4207,0)),"Not Found"))</f>
        <v/>
      </c>
      <c r="G1216" s="25" t="str">
        <f>IF(表1[[#This Row],[No Seri]]="","",表1[[#This Row],[Deskripsi Barang]]+表1[[#This Row],[Kuantitas]]-表1[[#This Row],[Satuan]])</f>
        <v/>
      </c>
      <c r="H1216" s="28"/>
      <c r="I1216" s="25" t="str">
        <f>IF(表1[[#This Row],[Tgl NPBG]]&gt;表1[[#This Row],[Peminta]],表1[[#This Row],[Tgl NPBG]]-表1[[#This Row],[Peminta]],"")</f>
        <v/>
      </c>
      <c r="J1216" s="31"/>
    </row>
    <row r="1217" s="12" customFormat="1" customHeight="1" spans="2:10">
      <c r="B1217" s="25"/>
      <c r="C1217" s="25"/>
      <c r="D1217" s="26" t="str" cm="1">
        <f t="array" ref="D1217">IF(C1217="","",IFERROR(INDEX(STPP!$D$6:$D$4207,MATCH(C1217,STPP!$C$6:$C$4207,0)),"Not Found"))</f>
        <v/>
      </c>
      <c r="E1217" s="27" t="str" cm="1">
        <f t="array" ref="E1217">IF(C1217="","",IFERROR(INDEX(STPP!$E$6:$E$4207,MATCH(C1217,STPP!$C$6:$C$4207,0)),"Not Found"))</f>
        <v/>
      </c>
      <c r="F1217" s="27" t="str" cm="1">
        <f t="array" ref="F1217">IF(C1217="","",IFERROR(INDEX(STPP!$F$6:$F$4207,MATCH(C1217,STPP!$C$6:$C$4207,0)),"Not Found"))</f>
        <v/>
      </c>
      <c r="G1217" s="25" t="str">
        <f>IF(表1[[#This Row],[No Seri]]="","",表1[[#This Row],[Deskripsi Barang]]+表1[[#This Row],[Kuantitas]]-表1[[#This Row],[Satuan]])</f>
        <v/>
      </c>
      <c r="H1217" s="28"/>
      <c r="I1217" s="25" t="str">
        <f>IF(表1[[#This Row],[Tgl NPBG]]&gt;表1[[#This Row],[Peminta]],表1[[#This Row],[Tgl NPBG]]-表1[[#This Row],[Peminta]],"")</f>
        <v/>
      </c>
      <c r="J1217" s="31"/>
    </row>
    <row r="1218" s="12" customFormat="1" customHeight="1" spans="2:10">
      <c r="B1218" s="25"/>
      <c r="C1218" s="25"/>
      <c r="D1218" s="26" t="str" cm="1">
        <f t="array" ref="D1218">IF(C1218="","",IFERROR(INDEX(STPP!$D$6:$D$4207,MATCH(C1218,STPP!$C$6:$C$4207,0)),"Not Found"))</f>
        <v/>
      </c>
      <c r="E1218" s="27" t="str" cm="1">
        <f t="array" ref="E1218">IF(C1218="","",IFERROR(INDEX(STPP!$E$6:$E$4207,MATCH(C1218,STPP!$C$6:$C$4207,0)),"Not Found"))</f>
        <v/>
      </c>
      <c r="F1218" s="27" t="str" cm="1">
        <f t="array" ref="F1218">IF(C1218="","",IFERROR(INDEX(STPP!$F$6:$F$4207,MATCH(C1218,STPP!$C$6:$C$4207,0)),"Not Found"))</f>
        <v/>
      </c>
      <c r="G1218" s="25" t="str">
        <f>IF(表1[[#This Row],[No Seri]]="","",表1[[#This Row],[Deskripsi Barang]]+表1[[#This Row],[Kuantitas]]-表1[[#This Row],[Satuan]])</f>
        <v/>
      </c>
      <c r="H1218" s="28"/>
      <c r="I1218" s="25" t="str">
        <f>IF(表1[[#This Row],[Tgl NPBG]]&gt;表1[[#This Row],[Peminta]],表1[[#This Row],[Tgl NPBG]]-表1[[#This Row],[Peminta]],"")</f>
        <v/>
      </c>
      <c r="J1218" s="31"/>
    </row>
    <row r="1219" s="12" customFormat="1" customHeight="1" spans="2:10">
      <c r="B1219" s="25"/>
      <c r="C1219" s="25"/>
      <c r="D1219" s="26" t="str" cm="1">
        <f t="array" ref="D1219">IF(C1219="","",IFERROR(INDEX(STPP!$D$6:$D$4207,MATCH(C1219,STPP!$C$6:$C$4207,0)),"Not Found"))</f>
        <v/>
      </c>
      <c r="E1219" s="27" t="str" cm="1">
        <f t="array" ref="E1219">IF(C1219="","",IFERROR(INDEX(STPP!$E$6:$E$4207,MATCH(C1219,STPP!$C$6:$C$4207,0)),"Not Found"))</f>
        <v/>
      </c>
      <c r="F1219" s="27" t="str" cm="1">
        <f t="array" ref="F1219">IF(C1219="","",IFERROR(INDEX(STPP!$F$6:$F$4207,MATCH(C1219,STPP!$C$6:$C$4207,0)),"Not Found"))</f>
        <v/>
      </c>
      <c r="G1219" s="25" t="str">
        <f>IF(表1[[#This Row],[No Seri]]="","",表1[[#This Row],[Deskripsi Barang]]+表1[[#This Row],[Kuantitas]]-表1[[#This Row],[Satuan]])</f>
        <v/>
      </c>
      <c r="H1219" s="28"/>
      <c r="I1219" s="25" t="str">
        <f>IF(表1[[#This Row],[Tgl NPBG]]&gt;表1[[#This Row],[Peminta]],表1[[#This Row],[Tgl NPBG]]-表1[[#This Row],[Peminta]],"")</f>
        <v/>
      </c>
      <c r="J1219" s="31"/>
    </row>
    <row r="1220" s="12" customFormat="1" customHeight="1" spans="2:10">
      <c r="B1220" s="25"/>
      <c r="C1220" s="25"/>
      <c r="D1220" s="26" t="str" cm="1">
        <f t="array" ref="D1220">IF(C1220="","",IFERROR(INDEX(STPP!$D$6:$D$4207,MATCH(C1220,STPP!$C$6:$C$4207,0)),"Not Found"))</f>
        <v/>
      </c>
      <c r="E1220" s="27" t="str" cm="1">
        <f t="array" ref="E1220">IF(C1220="","",IFERROR(INDEX(STPP!$E$6:$E$4207,MATCH(C1220,STPP!$C$6:$C$4207,0)),"Not Found"))</f>
        <v/>
      </c>
      <c r="F1220" s="27" t="str" cm="1">
        <f t="array" ref="F1220">IF(C1220="","",IFERROR(INDEX(STPP!$F$6:$F$4207,MATCH(C1220,STPP!$C$6:$C$4207,0)),"Not Found"))</f>
        <v/>
      </c>
      <c r="G1220" s="25" t="str">
        <f>IF(表1[[#This Row],[No Seri]]="","",表1[[#This Row],[Deskripsi Barang]]+表1[[#This Row],[Kuantitas]]-表1[[#This Row],[Satuan]])</f>
        <v/>
      </c>
      <c r="H1220" s="28"/>
      <c r="I1220" s="25" t="str">
        <f>IF(表1[[#This Row],[Tgl NPBG]]&gt;表1[[#This Row],[Peminta]],表1[[#This Row],[Tgl NPBG]]-表1[[#This Row],[Peminta]],"")</f>
        <v/>
      </c>
      <c r="J1220" s="31"/>
    </row>
    <row r="1221" s="12" customFormat="1" customHeight="1" spans="2:10">
      <c r="B1221" s="25"/>
      <c r="C1221" s="25"/>
      <c r="D1221" s="26" t="str" cm="1">
        <f t="array" ref="D1221">IF(C1221="","",IFERROR(INDEX(STPP!$D$6:$D$4207,MATCH(C1221,STPP!$C$6:$C$4207,0)),"Not Found"))</f>
        <v/>
      </c>
      <c r="E1221" s="27" t="str" cm="1">
        <f t="array" ref="E1221">IF(C1221="","",IFERROR(INDEX(STPP!$E$6:$E$4207,MATCH(C1221,STPP!$C$6:$C$4207,0)),"Not Found"))</f>
        <v/>
      </c>
      <c r="F1221" s="27" t="str" cm="1">
        <f t="array" ref="F1221">IF(C1221="","",IFERROR(INDEX(STPP!$F$6:$F$4207,MATCH(C1221,STPP!$C$6:$C$4207,0)),"Not Found"))</f>
        <v/>
      </c>
      <c r="G1221" s="25" t="str">
        <f>IF(表1[[#This Row],[No Seri]]="","",表1[[#This Row],[Deskripsi Barang]]+表1[[#This Row],[Kuantitas]]-表1[[#This Row],[Satuan]])</f>
        <v/>
      </c>
      <c r="H1221" s="28"/>
      <c r="I1221" s="25" t="str">
        <f>IF(表1[[#This Row],[Tgl NPBG]]&gt;表1[[#This Row],[Peminta]],表1[[#This Row],[Tgl NPBG]]-表1[[#This Row],[Peminta]],"")</f>
        <v/>
      </c>
      <c r="J1221" s="31"/>
    </row>
    <row r="1222" s="12" customFormat="1" customHeight="1" spans="2:10">
      <c r="B1222" s="25"/>
      <c r="C1222" s="25"/>
      <c r="D1222" s="26" t="str" cm="1">
        <f t="array" ref="D1222">IF(C1222="","",IFERROR(INDEX(STPP!$D$6:$D$4207,MATCH(C1222,STPP!$C$6:$C$4207,0)),"Not Found"))</f>
        <v/>
      </c>
      <c r="E1222" s="27" t="str" cm="1">
        <f t="array" ref="E1222">IF(C1222="","",IFERROR(INDEX(STPP!$E$6:$E$4207,MATCH(C1222,STPP!$C$6:$C$4207,0)),"Not Found"))</f>
        <v/>
      </c>
      <c r="F1222" s="27" t="str" cm="1">
        <f t="array" ref="F1222">IF(C1222="","",IFERROR(INDEX(STPP!$F$6:$F$4207,MATCH(C1222,STPP!$C$6:$C$4207,0)),"Not Found"))</f>
        <v/>
      </c>
      <c r="G1222" s="25" t="str">
        <f>IF(表1[[#This Row],[No Seri]]="","",表1[[#This Row],[Deskripsi Barang]]+表1[[#This Row],[Kuantitas]]-表1[[#This Row],[Satuan]])</f>
        <v/>
      </c>
      <c r="H1222" s="28"/>
      <c r="I1222" s="25" t="str">
        <f>IF(表1[[#This Row],[Tgl NPBG]]&gt;表1[[#This Row],[Peminta]],表1[[#This Row],[Tgl NPBG]]-表1[[#This Row],[Peminta]],"")</f>
        <v/>
      </c>
      <c r="J1222" s="31"/>
    </row>
    <row r="1223" s="12" customFormat="1" customHeight="1" spans="2:10">
      <c r="B1223" s="25"/>
      <c r="C1223" s="25"/>
      <c r="D1223" s="26" t="str" cm="1">
        <f t="array" ref="D1223">IF(C1223="","",IFERROR(INDEX(STPP!$D$6:$D$4207,MATCH(C1223,STPP!$C$6:$C$4207,0)),"Not Found"))</f>
        <v/>
      </c>
      <c r="E1223" s="27" t="str" cm="1">
        <f t="array" ref="E1223">IF(C1223="","",IFERROR(INDEX(STPP!$E$6:$E$4207,MATCH(C1223,STPP!$C$6:$C$4207,0)),"Not Found"))</f>
        <v/>
      </c>
      <c r="F1223" s="27" t="str" cm="1">
        <f t="array" ref="F1223">IF(C1223="","",IFERROR(INDEX(STPP!$F$6:$F$4207,MATCH(C1223,STPP!$C$6:$C$4207,0)),"Not Found"))</f>
        <v/>
      </c>
      <c r="G1223" s="25" t="str">
        <f>IF(表1[[#This Row],[No Seri]]="","",表1[[#This Row],[Deskripsi Barang]]+表1[[#This Row],[Kuantitas]]-表1[[#This Row],[Satuan]])</f>
        <v/>
      </c>
      <c r="H1223" s="28"/>
      <c r="I1223" s="25" t="str">
        <f>IF(表1[[#This Row],[Tgl NPBG]]&gt;表1[[#This Row],[Peminta]],表1[[#This Row],[Tgl NPBG]]-表1[[#This Row],[Peminta]],"")</f>
        <v/>
      </c>
      <c r="J1223" s="31"/>
    </row>
    <row r="1224" s="12" customFormat="1" customHeight="1" spans="2:10">
      <c r="B1224" s="25"/>
      <c r="C1224" s="25"/>
      <c r="D1224" s="26" t="str" cm="1">
        <f t="array" ref="D1224">IF(C1224="","",IFERROR(INDEX(STPP!$D$6:$D$4207,MATCH(C1224,STPP!$C$6:$C$4207,0)),"Not Found"))</f>
        <v/>
      </c>
      <c r="E1224" s="27" t="str" cm="1">
        <f t="array" ref="E1224">IF(C1224="","",IFERROR(INDEX(STPP!$E$6:$E$4207,MATCH(C1224,STPP!$C$6:$C$4207,0)),"Not Found"))</f>
        <v/>
      </c>
      <c r="F1224" s="27" t="str" cm="1">
        <f t="array" ref="F1224">IF(C1224="","",IFERROR(INDEX(STPP!$F$6:$F$4207,MATCH(C1224,STPP!$C$6:$C$4207,0)),"Not Found"))</f>
        <v/>
      </c>
      <c r="G1224" s="25" t="str">
        <f>IF(表1[[#This Row],[No Seri]]="","",表1[[#This Row],[Deskripsi Barang]]+表1[[#This Row],[Kuantitas]]-表1[[#This Row],[Satuan]])</f>
        <v/>
      </c>
      <c r="H1224" s="28"/>
      <c r="I1224" s="25" t="str">
        <f>IF(表1[[#This Row],[Tgl NPBG]]&gt;表1[[#This Row],[Peminta]],表1[[#This Row],[Tgl NPBG]]-表1[[#This Row],[Peminta]],"")</f>
        <v/>
      </c>
      <c r="J1224" s="31"/>
    </row>
    <row r="1225" s="12" customFormat="1" customHeight="1" spans="2:10">
      <c r="B1225" s="25"/>
      <c r="C1225" s="25"/>
      <c r="D1225" s="26" t="str" cm="1">
        <f t="array" ref="D1225">IF(C1225="","",IFERROR(INDEX(STPP!$D$6:$D$4207,MATCH(C1225,STPP!$C$6:$C$4207,0)),"Not Found"))</f>
        <v/>
      </c>
      <c r="E1225" s="27" t="str" cm="1">
        <f t="array" ref="E1225">IF(C1225="","",IFERROR(INDEX(STPP!$E$6:$E$4207,MATCH(C1225,STPP!$C$6:$C$4207,0)),"Not Found"))</f>
        <v/>
      </c>
      <c r="F1225" s="27" t="str" cm="1">
        <f t="array" ref="F1225">IF(C1225="","",IFERROR(INDEX(STPP!$F$6:$F$4207,MATCH(C1225,STPP!$C$6:$C$4207,0)),"Not Found"))</f>
        <v/>
      </c>
      <c r="G1225" s="25" t="str">
        <f>IF(表1[[#This Row],[No Seri]]="","",表1[[#This Row],[Deskripsi Barang]]+表1[[#This Row],[Kuantitas]]-表1[[#This Row],[Satuan]])</f>
        <v/>
      </c>
      <c r="H1225" s="28"/>
      <c r="I1225" s="25" t="str">
        <f>IF(表1[[#This Row],[Tgl NPBG]]&gt;表1[[#This Row],[Peminta]],表1[[#This Row],[Tgl NPBG]]-表1[[#This Row],[Peminta]],"")</f>
        <v/>
      </c>
      <c r="J1225" s="31"/>
    </row>
    <row r="1226" s="12" customFormat="1" customHeight="1" spans="2:10">
      <c r="B1226" s="25"/>
      <c r="C1226" s="25"/>
      <c r="D1226" s="26" t="str" cm="1">
        <f t="array" ref="D1226">IF(C1226="","",IFERROR(INDEX(STPP!$D$6:$D$4207,MATCH(C1226,STPP!$C$6:$C$4207,0)),"Not Found"))</f>
        <v/>
      </c>
      <c r="E1226" s="27" t="str" cm="1">
        <f t="array" ref="E1226">IF(C1226="","",IFERROR(INDEX(STPP!$E$6:$E$4207,MATCH(C1226,STPP!$C$6:$C$4207,0)),"Not Found"))</f>
        <v/>
      </c>
      <c r="F1226" s="27" t="str" cm="1">
        <f t="array" ref="F1226">IF(C1226="","",IFERROR(INDEX(STPP!$F$6:$F$4207,MATCH(C1226,STPP!$C$6:$C$4207,0)),"Not Found"))</f>
        <v/>
      </c>
      <c r="G1226" s="25" t="str">
        <f>IF(表1[[#This Row],[No Seri]]="","",表1[[#This Row],[Deskripsi Barang]]+表1[[#This Row],[Kuantitas]]-表1[[#This Row],[Satuan]])</f>
        <v/>
      </c>
      <c r="H1226" s="28"/>
      <c r="I1226" s="25" t="str">
        <f>IF(表1[[#This Row],[Tgl NPBG]]&gt;表1[[#This Row],[Peminta]],表1[[#This Row],[Tgl NPBG]]-表1[[#This Row],[Peminta]],"")</f>
        <v/>
      </c>
      <c r="J1226" s="31"/>
    </row>
    <row r="1227" s="12" customFormat="1" customHeight="1" spans="2:10">
      <c r="B1227" s="25"/>
      <c r="C1227" s="25"/>
      <c r="D1227" s="26" t="str" cm="1">
        <f t="array" ref="D1227">IF(C1227="","",IFERROR(INDEX(STPP!$D$6:$D$4207,MATCH(C1227,STPP!$C$6:$C$4207,0)),"Not Found"))</f>
        <v/>
      </c>
      <c r="E1227" s="27" t="str" cm="1">
        <f t="array" ref="E1227">IF(C1227="","",IFERROR(INDEX(STPP!$E$6:$E$4207,MATCH(C1227,STPP!$C$6:$C$4207,0)),"Not Found"))</f>
        <v/>
      </c>
      <c r="F1227" s="27" t="str" cm="1">
        <f t="array" ref="F1227">IF(C1227="","",IFERROR(INDEX(STPP!$F$6:$F$4207,MATCH(C1227,STPP!$C$6:$C$4207,0)),"Not Found"))</f>
        <v/>
      </c>
      <c r="G1227" s="25" t="str">
        <f>IF(表1[[#This Row],[No Seri]]="","",表1[[#This Row],[Deskripsi Barang]]+表1[[#This Row],[Kuantitas]]-表1[[#This Row],[Satuan]])</f>
        <v/>
      </c>
      <c r="H1227" s="28"/>
      <c r="I1227" s="25" t="str">
        <f>IF(表1[[#This Row],[Tgl NPBG]]&gt;表1[[#This Row],[Peminta]],表1[[#This Row],[Tgl NPBG]]-表1[[#This Row],[Peminta]],"")</f>
        <v/>
      </c>
      <c r="J1227" s="31"/>
    </row>
    <row r="1228" s="12" customFormat="1" customHeight="1" spans="2:10">
      <c r="B1228" s="25"/>
      <c r="C1228" s="25"/>
      <c r="D1228" s="26" t="str" cm="1">
        <f t="array" ref="D1228">IF(C1228="","",IFERROR(INDEX(STPP!$D$6:$D$4207,MATCH(C1228,STPP!$C$6:$C$4207,0)),"Not Found"))</f>
        <v/>
      </c>
      <c r="E1228" s="27" t="str" cm="1">
        <f t="array" ref="E1228">IF(C1228="","",IFERROR(INDEX(STPP!$E$6:$E$4207,MATCH(C1228,STPP!$C$6:$C$4207,0)),"Not Found"))</f>
        <v/>
      </c>
      <c r="F1228" s="27" t="str" cm="1">
        <f t="array" ref="F1228">IF(C1228="","",IFERROR(INDEX(STPP!$F$6:$F$4207,MATCH(C1228,STPP!$C$6:$C$4207,0)),"Not Found"))</f>
        <v/>
      </c>
      <c r="G1228" s="25" t="str">
        <f>IF(表1[[#This Row],[No Seri]]="","",表1[[#This Row],[Deskripsi Barang]]+表1[[#This Row],[Kuantitas]]-表1[[#This Row],[Satuan]])</f>
        <v/>
      </c>
      <c r="H1228" s="28"/>
      <c r="I1228" s="25" t="str">
        <f>IF(表1[[#This Row],[Tgl NPBG]]&gt;表1[[#This Row],[Peminta]],表1[[#This Row],[Tgl NPBG]]-表1[[#This Row],[Peminta]],"")</f>
        <v/>
      </c>
      <c r="J1228" s="31"/>
    </row>
    <row r="1229" s="12" customFormat="1" customHeight="1" spans="2:10">
      <c r="B1229" s="25"/>
      <c r="C1229" s="25"/>
      <c r="D1229" s="26" t="str" cm="1">
        <f t="array" ref="D1229">IF(C1229="","",IFERROR(INDEX(STPP!$D$6:$D$4207,MATCH(C1229,STPP!$C$6:$C$4207,0)),"Not Found"))</f>
        <v/>
      </c>
      <c r="E1229" s="27" t="str" cm="1">
        <f t="array" ref="E1229">IF(C1229="","",IFERROR(INDEX(STPP!$E$6:$E$4207,MATCH(C1229,STPP!$C$6:$C$4207,0)),"Not Found"))</f>
        <v/>
      </c>
      <c r="F1229" s="27" t="str" cm="1">
        <f t="array" ref="F1229">IF(C1229="","",IFERROR(INDEX(STPP!$F$6:$F$4207,MATCH(C1229,STPP!$C$6:$C$4207,0)),"Not Found"))</f>
        <v/>
      </c>
      <c r="G1229" s="25" t="str">
        <f>IF(表1[[#This Row],[No Seri]]="","",表1[[#This Row],[Deskripsi Barang]]+表1[[#This Row],[Kuantitas]]-表1[[#This Row],[Satuan]])</f>
        <v/>
      </c>
      <c r="H1229" s="28"/>
      <c r="I1229" s="25" t="str">
        <f>IF(表1[[#This Row],[Tgl NPBG]]&gt;表1[[#This Row],[Peminta]],表1[[#This Row],[Tgl NPBG]]-表1[[#This Row],[Peminta]],"")</f>
        <v/>
      </c>
      <c r="J1229" s="31"/>
    </row>
    <row r="1230" s="12" customFormat="1" customHeight="1" spans="2:10">
      <c r="B1230" s="25"/>
      <c r="C1230" s="25"/>
      <c r="D1230" s="26" t="str" cm="1">
        <f t="array" ref="D1230">IF(C1230="","",IFERROR(INDEX(STPP!$D$6:$D$4207,MATCH(C1230,STPP!$C$6:$C$4207,0)),"Not Found"))</f>
        <v/>
      </c>
      <c r="E1230" s="27" t="str" cm="1">
        <f t="array" ref="E1230">IF(C1230="","",IFERROR(INDEX(STPP!$E$6:$E$4207,MATCH(C1230,STPP!$C$6:$C$4207,0)),"Not Found"))</f>
        <v/>
      </c>
      <c r="F1230" s="27" t="str" cm="1">
        <f t="array" ref="F1230">IF(C1230="","",IFERROR(INDEX(STPP!$F$6:$F$4207,MATCH(C1230,STPP!$C$6:$C$4207,0)),"Not Found"))</f>
        <v/>
      </c>
      <c r="G1230" s="25" t="str">
        <f>IF(表1[[#This Row],[No Seri]]="","",表1[[#This Row],[Deskripsi Barang]]+表1[[#This Row],[Kuantitas]]-表1[[#This Row],[Satuan]])</f>
        <v/>
      </c>
      <c r="H1230" s="28"/>
      <c r="I1230" s="25" t="str">
        <f>IF(表1[[#This Row],[Tgl NPBG]]&gt;表1[[#This Row],[Peminta]],表1[[#This Row],[Tgl NPBG]]-表1[[#This Row],[Peminta]],"")</f>
        <v/>
      </c>
      <c r="J1230" s="31"/>
    </row>
    <row r="1231" s="12" customFormat="1" customHeight="1" spans="2:10">
      <c r="B1231" s="25"/>
      <c r="C1231" s="25"/>
      <c r="D1231" s="26" t="str" cm="1">
        <f t="array" ref="D1231">IF(C1231="","",IFERROR(INDEX(STPP!$D$6:$D$4207,MATCH(C1231,STPP!$C$6:$C$4207,0)),"Not Found"))</f>
        <v/>
      </c>
      <c r="E1231" s="27" t="str" cm="1">
        <f t="array" ref="E1231">IF(C1231="","",IFERROR(INDEX(STPP!$E$6:$E$4207,MATCH(C1231,STPP!$C$6:$C$4207,0)),"Not Found"))</f>
        <v/>
      </c>
      <c r="F1231" s="27" t="str" cm="1">
        <f t="array" ref="F1231">IF(C1231="","",IFERROR(INDEX(STPP!$F$6:$F$4207,MATCH(C1231,STPP!$C$6:$C$4207,0)),"Not Found"))</f>
        <v/>
      </c>
      <c r="G1231" s="25" t="str">
        <f>IF(表1[[#This Row],[No Seri]]="","",表1[[#This Row],[Deskripsi Barang]]+表1[[#This Row],[Kuantitas]]-表1[[#This Row],[Satuan]])</f>
        <v/>
      </c>
      <c r="H1231" s="28"/>
      <c r="I1231" s="25" t="str">
        <f>IF(表1[[#This Row],[Tgl NPBG]]&gt;表1[[#This Row],[Peminta]],表1[[#This Row],[Tgl NPBG]]-表1[[#This Row],[Peminta]],"")</f>
        <v/>
      </c>
      <c r="J1231" s="31"/>
    </row>
    <row r="1232" s="12" customFormat="1" customHeight="1" spans="2:10">
      <c r="B1232" s="25"/>
      <c r="C1232" s="25"/>
      <c r="D1232" s="26" t="str" cm="1">
        <f t="array" ref="D1232">IF(C1232="","",IFERROR(INDEX(STPP!$D$6:$D$4207,MATCH(C1232,STPP!$C$6:$C$4207,0)),"Not Found"))</f>
        <v/>
      </c>
      <c r="E1232" s="27" t="str" cm="1">
        <f t="array" ref="E1232">IF(C1232="","",IFERROR(INDEX(STPP!$E$6:$E$4207,MATCH(C1232,STPP!$C$6:$C$4207,0)),"Not Found"))</f>
        <v/>
      </c>
      <c r="F1232" s="27" t="str" cm="1">
        <f t="array" ref="F1232">IF(C1232="","",IFERROR(INDEX(STPP!$F$6:$F$4207,MATCH(C1232,STPP!$C$6:$C$4207,0)),"Not Found"))</f>
        <v/>
      </c>
      <c r="G1232" s="25" t="str">
        <f>IF(表1[[#This Row],[No Seri]]="","",表1[[#This Row],[Deskripsi Barang]]+表1[[#This Row],[Kuantitas]]-表1[[#This Row],[Satuan]])</f>
        <v/>
      </c>
      <c r="H1232" s="28"/>
      <c r="I1232" s="25" t="str">
        <f>IF(表1[[#This Row],[Tgl NPBG]]&gt;表1[[#This Row],[Peminta]],表1[[#This Row],[Tgl NPBG]]-表1[[#This Row],[Peminta]],"")</f>
        <v/>
      </c>
      <c r="J1232" s="31"/>
    </row>
    <row r="1233" s="12" customFormat="1" customHeight="1" spans="2:10">
      <c r="B1233" s="25"/>
      <c r="C1233" s="25"/>
      <c r="D1233" s="26" t="str" cm="1">
        <f t="array" ref="D1233">IF(C1233="","",IFERROR(INDEX(STPP!$D$6:$D$4207,MATCH(C1233,STPP!$C$6:$C$4207,0)),"Not Found"))</f>
        <v/>
      </c>
      <c r="E1233" s="27" t="str" cm="1">
        <f t="array" ref="E1233">IF(C1233="","",IFERROR(INDEX(STPP!$E$6:$E$4207,MATCH(C1233,STPP!$C$6:$C$4207,0)),"Not Found"))</f>
        <v/>
      </c>
      <c r="F1233" s="27" t="str" cm="1">
        <f t="array" ref="F1233">IF(C1233="","",IFERROR(INDEX(STPP!$F$6:$F$4207,MATCH(C1233,STPP!$C$6:$C$4207,0)),"Not Found"))</f>
        <v/>
      </c>
      <c r="G1233" s="25" t="str">
        <f>IF(表1[[#This Row],[No Seri]]="","",表1[[#This Row],[Deskripsi Barang]]+表1[[#This Row],[Kuantitas]]-表1[[#This Row],[Satuan]])</f>
        <v/>
      </c>
      <c r="H1233" s="28"/>
      <c r="I1233" s="25" t="str">
        <f>IF(表1[[#This Row],[Tgl NPBG]]&gt;表1[[#This Row],[Peminta]],表1[[#This Row],[Tgl NPBG]]-表1[[#This Row],[Peminta]],"")</f>
        <v/>
      </c>
      <c r="J1233" s="31"/>
    </row>
    <row r="1234" s="12" customFormat="1" customHeight="1" spans="2:10">
      <c r="B1234" s="25"/>
      <c r="C1234" s="25"/>
      <c r="D1234" s="26" t="str" cm="1">
        <f t="array" ref="D1234">IF(C1234="","",IFERROR(INDEX(STPP!$D$6:$D$4207,MATCH(C1234,STPP!$C$6:$C$4207,0)),"Not Found"))</f>
        <v/>
      </c>
      <c r="E1234" s="27" t="str" cm="1">
        <f t="array" ref="E1234">IF(C1234="","",IFERROR(INDEX(STPP!$E$6:$E$4207,MATCH(C1234,STPP!$C$6:$C$4207,0)),"Not Found"))</f>
        <v/>
      </c>
      <c r="F1234" s="27" t="str" cm="1">
        <f t="array" ref="F1234">IF(C1234="","",IFERROR(INDEX(STPP!$F$6:$F$4207,MATCH(C1234,STPP!$C$6:$C$4207,0)),"Not Found"))</f>
        <v/>
      </c>
      <c r="G1234" s="25" t="str">
        <f>IF(表1[[#This Row],[No Seri]]="","",表1[[#This Row],[Deskripsi Barang]]+表1[[#This Row],[Kuantitas]]-表1[[#This Row],[Satuan]])</f>
        <v/>
      </c>
      <c r="H1234" s="28"/>
      <c r="I1234" s="25" t="str">
        <f>IF(表1[[#This Row],[Tgl NPBG]]&gt;表1[[#This Row],[Peminta]],表1[[#This Row],[Tgl NPBG]]-表1[[#This Row],[Peminta]],"")</f>
        <v/>
      </c>
      <c r="J1234" s="31"/>
    </row>
    <row r="1235" s="12" customFormat="1" customHeight="1" spans="2:10">
      <c r="B1235" s="25"/>
      <c r="C1235" s="25"/>
      <c r="D1235" s="26" t="str" cm="1">
        <f t="array" ref="D1235">IF(C1235="","",IFERROR(INDEX(STPP!$D$6:$D$4207,MATCH(C1235,STPP!$C$6:$C$4207,0)),"Not Found"))</f>
        <v/>
      </c>
      <c r="E1235" s="27" t="str" cm="1">
        <f t="array" ref="E1235">IF(C1235="","",IFERROR(INDEX(STPP!$E$6:$E$4207,MATCH(C1235,STPP!$C$6:$C$4207,0)),"Not Found"))</f>
        <v/>
      </c>
      <c r="F1235" s="27" t="str" cm="1">
        <f t="array" ref="F1235">IF(C1235="","",IFERROR(INDEX(STPP!$F$6:$F$4207,MATCH(C1235,STPP!$C$6:$C$4207,0)),"Not Found"))</f>
        <v/>
      </c>
      <c r="G1235" s="25" t="str">
        <f>IF(表1[[#This Row],[No Seri]]="","",表1[[#This Row],[Deskripsi Barang]]+表1[[#This Row],[Kuantitas]]-表1[[#This Row],[Satuan]])</f>
        <v/>
      </c>
      <c r="H1235" s="28"/>
      <c r="I1235" s="25" t="str">
        <f>IF(表1[[#This Row],[Tgl NPBG]]&gt;表1[[#This Row],[Peminta]],表1[[#This Row],[Tgl NPBG]]-表1[[#This Row],[Peminta]],"")</f>
        <v/>
      </c>
      <c r="J1235" s="31"/>
    </row>
    <row r="1236" s="12" customFormat="1" customHeight="1" spans="2:10">
      <c r="B1236" s="25"/>
      <c r="C1236" s="25"/>
      <c r="D1236" s="26" t="str" cm="1">
        <f t="array" ref="D1236">IF(C1236="","",IFERROR(INDEX(STPP!$D$6:$D$4207,MATCH(C1236,STPP!$C$6:$C$4207,0)),"Not Found"))</f>
        <v/>
      </c>
      <c r="E1236" s="27" t="str" cm="1">
        <f t="array" ref="E1236">IF(C1236="","",IFERROR(INDEX(STPP!$E$6:$E$4207,MATCH(C1236,STPP!$C$6:$C$4207,0)),"Not Found"))</f>
        <v/>
      </c>
      <c r="F1236" s="27" t="str" cm="1">
        <f t="array" ref="F1236">IF(C1236="","",IFERROR(INDEX(STPP!$F$6:$F$4207,MATCH(C1236,STPP!$C$6:$C$4207,0)),"Not Found"))</f>
        <v/>
      </c>
      <c r="G1236" s="25" t="str">
        <f>IF(表1[[#This Row],[No Seri]]="","",表1[[#This Row],[Deskripsi Barang]]+表1[[#This Row],[Kuantitas]]-表1[[#This Row],[Satuan]])</f>
        <v/>
      </c>
      <c r="H1236" s="28"/>
      <c r="I1236" s="25" t="str">
        <f>IF(表1[[#This Row],[Tgl NPBG]]&gt;表1[[#This Row],[Peminta]],表1[[#This Row],[Tgl NPBG]]-表1[[#This Row],[Peminta]],"")</f>
        <v/>
      </c>
      <c r="J1236" s="31"/>
    </row>
    <row r="1237" s="12" customFormat="1" customHeight="1" spans="2:10">
      <c r="B1237" s="25"/>
      <c r="C1237" s="25"/>
      <c r="D1237" s="26" t="str" cm="1">
        <f t="array" ref="D1237">IF(C1237="","",IFERROR(INDEX(STPP!$D$6:$D$4207,MATCH(C1237,STPP!$C$6:$C$4207,0)),"Not Found"))</f>
        <v/>
      </c>
      <c r="E1237" s="27" t="str" cm="1">
        <f t="array" ref="E1237">IF(C1237="","",IFERROR(INDEX(STPP!$E$6:$E$4207,MATCH(C1237,STPP!$C$6:$C$4207,0)),"Not Found"))</f>
        <v/>
      </c>
      <c r="F1237" s="27" t="str" cm="1">
        <f t="array" ref="F1237">IF(C1237="","",IFERROR(INDEX(STPP!$F$6:$F$4207,MATCH(C1237,STPP!$C$6:$C$4207,0)),"Not Found"))</f>
        <v/>
      </c>
      <c r="G1237" s="25" t="str">
        <f>IF(表1[[#This Row],[No Seri]]="","",表1[[#This Row],[Deskripsi Barang]]+表1[[#This Row],[Kuantitas]]-表1[[#This Row],[Satuan]])</f>
        <v/>
      </c>
      <c r="H1237" s="28"/>
      <c r="I1237" s="25" t="str">
        <f>IF(表1[[#This Row],[Tgl NPBG]]&gt;表1[[#This Row],[Peminta]],表1[[#This Row],[Tgl NPBG]]-表1[[#This Row],[Peminta]],"")</f>
        <v/>
      </c>
      <c r="J1237" s="31"/>
    </row>
    <row r="1238" s="12" customFormat="1" customHeight="1" spans="2:10">
      <c r="B1238" s="25"/>
      <c r="C1238" s="25"/>
      <c r="D1238" s="26" t="str" cm="1">
        <f t="array" ref="D1238">IF(C1238="","",IFERROR(INDEX(STPP!$D$6:$D$4207,MATCH(C1238,STPP!$C$6:$C$4207,0)),"Not Found"))</f>
        <v/>
      </c>
      <c r="E1238" s="27" t="str" cm="1">
        <f t="array" ref="E1238">IF(C1238="","",IFERROR(INDEX(STPP!$E$6:$E$4207,MATCH(C1238,STPP!$C$6:$C$4207,0)),"Not Found"))</f>
        <v/>
      </c>
      <c r="F1238" s="27" t="str" cm="1">
        <f t="array" ref="F1238">IF(C1238="","",IFERROR(INDEX(STPP!$F$6:$F$4207,MATCH(C1238,STPP!$C$6:$C$4207,0)),"Not Found"))</f>
        <v/>
      </c>
      <c r="G1238" s="25" t="str">
        <f>IF(表1[[#This Row],[No Seri]]="","",表1[[#This Row],[Deskripsi Barang]]+表1[[#This Row],[Kuantitas]]-表1[[#This Row],[Satuan]])</f>
        <v/>
      </c>
      <c r="H1238" s="28"/>
      <c r="I1238" s="25" t="str">
        <f>IF(表1[[#This Row],[Tgl NPBG]]&gt;表1[[#This Row],[Peminta]],表1[[#This Row],[Tgl NPBG]]-表1[[#This Row],[Peminta]],"")</f>
        <v/>
      </c>
      <c r="J1238" s="31"/>
    </row>
    <row r="1239" s="12" customFormat="1" customHeight="1" spans="2:10">
      <c r="B1239" s="25"/>
      <c r="C1239" s="25"/>
      <c r="D1239" s="26" t="str" cm="1">
        <f t="array" ref="D1239">IF(C1239="","",IFERROR(INDEX(STPP!$D$6:$D$4207,MATCH(C1239,STPP!$C$6:$C$4207,0)),"Not Found"))</f>
        <v/>
      </c>
      <c r="E1239" s="27" t="str" cm="1">
        <f t="array" ref="E1239">IF(C1239="","",IFERROR(INDEX(STPP!$E$6:$E$4207,MATCH(C1239,STPP!$C$6:$C$4207,0)),"Not Found"))</f>
        <v/>
      </c>
      <c r="F1239" s="27" t="str" cm="1">
        <f t="array" ref="F1239">IF(C1239="","",IFERROR(INDEX(STPP!$F$6:$F$4207,MATCH(C1239,STPP!$C$6:$C$4207,0)),"Not Found"))</f>
        <v/>
      </c>
      <c r="G1239" s="25" t="str">
        <f>IF(表1[[#This Row],[No Seri]]="","",表1[[#This Row],[Deskripsi Barang]]+表1[[#This Row],[Kuantitas]]-表1[[#This Row],[Satuan]])</f>
        <v/>
      </c>
      <c r="H1239" s="28"/>
      <c r="I1239" s="25" t="str">
        <f>IF(表1[[#This Row],[Tgl NPBG]]&gt;表1[[#This Row],[Peminta]],表1[[#This Row],[Tgl NPBG]]-表1[[#This Row],[Peminta]],"")</f>
        <v/>
      </c>
      <c r="J1239" s="31"/>
    </row>
    <row r="1240" s="12" customFormat="1" customHeight="1" spans="2:10">
      <c r="B1240" s="25"/>
      <c r="C1240" s="25"/>
      <c r="D1240" s="26" t="str" cm="1">
        <f t="array" ref="D1240">IF(C1240="","",IFERROR(INDEX(STPP!$D$6:$D$4207,MATCH(C1240,STPP!$C$6:$C$4207,0)),"Not Found"))</f>
        <v/>
      </c>
      <c r="E1240" s="27" t="str" cm="1">
        <f t="array" ref="E1240">IF(C1240="","",IFERROR(INDEX(STPP!$E$6:$E$4207,MATCH(C1240,STPP!$C$6:$C$4207,0)),"Not Found"))</f>
        <v/>
      </c>
      <c r="F1240" s="27" t="str" cm="1">
        <f t="array" ref="F1240">IF(C1240="","",IFERROR(INDEX(STPP!$F$6:$F$4207,MATCH(C1240,STPP!$C$6:$C$4207,0)),"Not Found"))</f>
        <v/>
      </c>
      <c r="G1240" s="25" t="str">
        <f>IF(表1[[#This Row],[No Seri]]="","",表1[[#This Row],[Deskripsi Barang]]+表1[[#This Row],[Kuantitas]]-表1[[#This Row],[Satuan]])</f>
        <v/>
      </c>
      <c r="H1240" s="28"/>
      <c r="I1240" s="25" t="str">
        <f>IF(表1[[#This Row],[Tgl NPBG]]&gt;表1[[#This Row],[Peminta]],表1[[#This Row],[Tgl NPBG]]-表1[[#This Row],[Peminta]],"")</f>
        <v/>
      </c>
      <c r="J1240" s="31"/>
    </row>
    <row r="1241" s="12" customFormat="1" customHeight="1" spans="2:10">
      <c r="B1241" s="25"/>
      <c r="C1241" s="25"/>
      <c r="D1241" s="26" t="str" cm="1">
        <f t="array" ref="D1241">IF(C1241="","",IFERROR(INDEX(STPP!$D$6:$D$4207,MATCH(C1241,STPP!$C$6:$C$4207,0)),"Not Found"))</f>
        <v/>
      </c>
      <c r="E1241" s="27" t="str" cm="1">
        <f t="array" ref="E1241">IF(C1241="","",IFERROR(INDEX(STPP!$E$6:$E$4207,MATCH(C1241,STPP!$C$6:$C$4207,0)),"Not Found"))</f>
        <v/>
      </c>
      <c r="F1241" s="27" t="str" cm="1">
        <f t="array" ref="F1241">IF(C1241="","",IFERROR(INDEX(STPP!$F$6:$F$4207,MATCH(C1241,STPP!$C$6:$C$4207,0)),"Not Found"))</f>
        <v/>
      </c>
      <c r="G1241" s="25" t="str">
        <f>IF(表1[[#This Row],[No Seri]]="","",表1[[#This Row],[Deskripsi Barang]]+表1[[#This Row],[Kuantitas]]-表1[[#This Row],[Satuan]])</f>
        <v/>
      </c>
      <c r="H1241" s="28"/>
      <c r="I1241" s="25" t="str">
        <f>IF(表1[[#This Row],[Tgl NPBG]]&gt;表1[[#This Row],[Peminta]],表1[[#This Row],[Tgl NPBG]]-表1[[#This Row],[Peminta]],"")</f>
        <v/>
      </c>
      <c r="J1241" s="31"/>
    </row>
    <row r="1242" s="12" customFormat="1" customHeight="1" spans="2:10">
      <c r="B1242" s="25"/>
      <c r="C1242" s="25"/>
      <c r="D1242" s="26" t="str" cm="1">
        <f t="array" ref="D1242">IF(C1242="","",IFERROR(INDEX(STPP!$D$6:$D$4207,MATCH(C1242,STPP!$C$6:$C$4207,0)),"Not Found"))</f>
        <v/>
      </c>
      <c r="E1242" s="27" t="str" cm="1">
        <f t="array" ref="E1242">IF(C1242="","",IFERROR(INDEX(STPP!$E$6:$E$4207,MATCH(C1242,STPP!$C$6:$C$4207,0)),"Not Found"))</f>
        <v/>
      </c>
      <c r="F1242" s="27" t="str" cm="1">
        <f t="array" ref="F1242">IF(C1242="","",IFERROR(INDEX(STPP!$F$6:$F$4207,MATCH(C1242,STPP!$C$6:$C$4207,0)),"Not Found"))</f>
        <v/>
      </c>
      <c r="G1242" s="25" t="str">
        <f>IF(表1[[#This Row],[No Seri]]="","",表1[[#This Row],[Deskripsi Barang]]+表1[[#This Row],[Kuantitas]]-表1[[#This Row],[Satuan]])</f>
        <v/>
      </c>
      <c r="H1242" s="28"/>
      <c r="I1242" s="25" t="str">
        <f>IF(表1[[#This Row],[Tgl NPBG]]&gt;表1[[#This Row],[Peminta]],表1[[#This Row],[Tgl NPBG]]-表1[[#This Row],[Peminta]],"")</f>
        <v/>
      </c>
      <c r="J1242" s="31"/>
    </row>
    <row r="1243" s="12" customFormat="1" customHeight="1" spans="2:10">
      <c r="B1243" s="25"/>
      <c r="C1243" s="25"/>
      <c r="D1243" s="26" t="str" cm="1">
        <f t="array" ref="D1243">IF(C1243="","",IFERROR(INDEX(STPP!$D$6:$D$4207,MATCH(C1243,STPP!$C$6:$C$4207,0)),"Not Found"))</f>
        <v/>
      </c>
      <c r="E1243" s="27" t="str" cm="1">
        <f t="array" ref="E1243">IF(C1243="","",IFERROR(INDEX(STPP!$E$6:$E$4207,MATCH(C1243,STPP!$C$6:$C$4207,0)),"Not Found"))</f>
        <v/>
      </c>
      <c r="F1243" s="27" t="str" cm="1">
        <f t="array" ref="F1243">IF(C1243="","",IFERROR(INDEX(STPP!$F$6:$F$4207,MATCH(C1243,STPP!$C$6:$C$4207,0)),"Not Found"))</f>
        <v/>
      </c>
      <c r="G1243" s="25" t="str">
        <f>IF(表1[[#This Row],[No Seri]]="","",表1[[#This Row],[Deskripsi Barang]]+表1[[#This Row],[Kuantitas]]-表1[[#This Row],[Satuan]])</f>
        <v/>
      </c>
      <c r="H1243" s="28"/>
      <c r="I1243" s="25" t="str">
        <f>IF(表1[[#This Row],[Tgl NPBG]]&gt;表1[[#This Row],[Peminta]],表1[[#This Row],[Tgl NPBG]]-表1[[#This Row],[Peminta]],"")</f>
        <v/>
      </c>
      <c r="J1243" s="31"/>
    </row>
    <row r="1244" s="12" customFormat="1" customHeight="1" spans="2:10">
      <c r="B1244" s="25"/>
      <c r="C1244" s="25"/>
      <c r="D1244" s="26" t="str" cm="1">
        <f t="array" ref="D1244">IF(C1244="","",IFERROR(INDEX(STPP!$D$6:$D$4207,MATCH(C1244,STPP!$C$6:$C$4207,0)),"Not Found"))</f>
        <v/>
      </c>
      <c r="E1244" s="27" t="str" cm="1">
        <f t="array" ref="E1244">IF(C1244="","",IFERROR(INDEX(STPP!$E$6:$E$4207,MATCH(C1244,STPP!$C$6:$C$4207,0)),"Not Found"))</f>
        <v/>
      </c>
      <c r="F1244" s="27" t="str" cm="1">
        <f t="array" ref="F1244">IF(C1244="","",IFERROR(INDEX(STPP!$F$6:$F$4207,MATCH(C1244,STPP!$C$6:$C$4207,0)),"Not Found"))</f>
        <v/>
      </c>
      <c r="G1244" s="25" t="str">
        <f>IF(表1[[#This Row],[No Seri]]="","",表1[[#This Row],[Deskripsi Barang]]+表1[[#This Row],[Kuantitas]]-表1[[#This Row],[Satuan]])</f>
        <v/>
      </c>
      <c r="H1244" s="28"/>
      <c r="I1244" s="25" t="str">
        <f>IF(表1[[#This Row],[Tgl NPBG]]&gt;表1[[#This Row],[Peminta]],表1[[#This Row],[Tgl NPBG]]-表1[[#This Row],[Peminta]],"")</f>
        <v/>
      </c>
      <c r="J1244" s="31"/>
    </row>
    <row r="1245" s="12" customFormat="1" customHeight="1" spans="2:10">
      <c r="B1245" s="25"/>
      <c r="C1245" s="25"/>
      <c r="D1245" s="26" t="str" cm="1">
        <f t="array" ref="D1245">IF(C1245="","",IFERROR(INDEX(STPP!$D$6:$D$4207,MATCH(C1245,STPP!$C$6:$C$4207,0)),"Not Found"))</f>
        <v/>
      </c>
      <c r="E1245" s="27" t="str" cm="1">
        <f t="array" ref="E1245">IF(C1245="","",IFERROR(INDEX(STPP!$E$6:$E$4207,MATCH(C1245,STPP!$C$6:$C$4207,0)),"Not Found"))</f>
        <v/>
      </c>
      <c r="F1245" s="27" t="str" cm="1">
        <f t="array" ref="F1245">IF(C1245="","",IFERROR(INDEX(STPP!$F$6:$F$4207,MATCH(C1245,STPP!$C$6:$C$4207,0)),"Not Found"))</f>
        <v/>
      </c>
      <c r="G1245" s="25" t="str">
        <f>IF(表1[[#This Row],[No Seri]]="","",表1[[#This Row],[Deskripsi Barang]]+表1[[#This Row],[Kuantitas]]-表1[[#This Row],[Satuan]])</f>
        <v/>
      </c>
      <c r="H1245" s="28"/>
      <c r="I1245" s="25" t="str">
        <f>IF(表1[[#This Row],[Tgl NPBG]]&gt;表1[[#This Row],[Peminta]],表1[[#This Row],[Tgl NPBG]]-表1[[#This Row],[Peminta]],"")</f>
        <v/>
      </c>
      <c r="J1245" s="31"/>
    </row>
    <row r="1246" s="12" customFormat="1" customHeight="1" spans="2:10">
      <c r="B1246" s="25"/>
      <c r="C1246" s="25"/>
      <c r="D1246" s="26" t="str" cm="1">
        <f t="array" ref="D1246">IF(C1246="","",IFERROR(INDEX(STPP!$D$6:$D$4207,MATCH(C1246,STPP!$C$6:$C$4207,0)),"Not Found"))</f>
        <v/>
      </c>
      <c r="E1246" s="27" t="str" cm="1">
        <f t="array" ref="E1246">IF(C1246="","",IFERROR(INDEX(STPP!$E$6:$E$4207,MATCH(C1246,STPP!$C$6:$C$4207,0)),"Not Found"))</f>
        <v/>
      </c>
      <c r="F1246" s="27" t="str" cm="1">
        <f t="array" ref="F1246">IF(C1246="","",IFERROR(INDEX(STPP!$F$6:$F$4207,MATCH(C1246,STPP!$C$6:$C$4207,0)),"Not Found"))</f>
        <v/>
      </c>
      <c r="G1246" s="25" t="str">
        <f>IF(表1[[#This Row],[No Seri]]="","",表1[[#This Row],[Deskripsi Barang]]+表1[[#This Row],[Kuantitas]]-表1[[#This Row],[Satuan]])</f>
        <v/>
      </c>
      <c r="H1246" s="28"/>
      <c r="I1246" s="25" t="str">
        <f>IF(表1[[#This Row],[Tgl NPBG]]&gt;表1[[#This Row],[Peminta]],表1[[#This Row],[Tgl NPBG]]-表1[[#This Row],[Peminta]],"")</f>
        <v/>
      </c>
      <c r="J1246" s="31"/>
    </row>
    <row r="1247" s="12" customFormat="1" customHeight="1" spans="2:10">
      <c r="B1247" s="25"/>
      <c r="C1247" s="25"/>
      <c r="D1247" s="26" t="str" cm="1">
        <f t="array" ref="D1247">IF(C1247="","",IFERROR(INDEX(STPP!$D$6:$D$4207,MATCH(C1247,STPP!$C$6:$C$4207,0)),"Not Found"))</f>
        <v/>
      </c>
      <c r="E1247" s="27" t="str" cm="1">
        <f t="array" ref="E1247">IF(C1247="","",IFERROR(INDEX(STPP!$E$6:$E$4207,MATCH(C1247,STPP!$C$6:$C$4207,0)),"Not Found"))</f>
        <v/>
      </c>
      <c r="F1247" s="27" t="str" cm="1">
        <f t="array" ref="F1247">IF(C1247="","",IFERROR(INDEX(STPP!$F$6:$F$4207,MATCH(C1247,STPP!$C$6:$C$4207,0)),"Not Found"))</f>
        <v/>
      </c>
      <c r="G1247" s="25" t="str">
        <f>IF(表1[[#This Row],[No Seri]]="","",表1[[#This Row],[Deskripsi Barang]]+表1[[#This Row],[Kuantitas]]-表1[[#This Row],[Satuan]])</f>
        <v/>
      </c>
      <c r="H1247" s="28"/>
      <c r="I1247" s="25" t="str">
        <f>IF(表1[[#This Row],[Tgl NPBG]]&gt;表1[[#This Row],[Peminta]],表1[[#This Row],[Tgl NPBG]]-表1[[#This Row],[Peminta]],"")</f>
        <v/>
      </c>
      <c r="J1247" s="31"/>
    </row>
    <row r="1248" s="12" customFormat="1" customHeight="1" spans="2:10">
      <c r="B1248" s="25"/>
      <c r="C1248" s="25"/>
      <c r="D1248" s="26" t="str" cm="1">
        <f t="array" ref="D1248">IF(C1248="","",IFERROR(INDEX(STPP!$D$6:$D$4207,MATCH(C1248,STPP!$C$6:$C$4207,0)),"Not Found"))</f>
        <v/>
      </c>
      <c r="E1248" s="27" t="str" cm="1">
        <f t="array" ref="E1248">IF(C1248="","",IFERROR(INDEX(STPP!$E$6:$E$4207,MATCH(C1248,STPP!$C$6:$C$4207,0)),"Not Found"))</f>
        <v/>
      </c>
      <c r="F1248" s="27" t="str" cm="1">
        <f t="array" ref="F1248">IF(C1248="","",IFERROR(INDEX(STPP!$F$6:$F$4207,MATCH(C1248,STPP!$C$6:$C$4207,0)),"Not Found"))</f>
        <v/>
      </c>
      <c r="G1248" s="25" t="str">
        <f>IF(表1[[#This Row],[No Seri]]="","",表1[[#This Row],[Deskripsi Barang]]+表1[[#This Row],[Kuantitas]]-表1[[#This Row],[Satuan]])</f>
        <v/>
      </c>
      <c r="H1248" s="28"/>
      <c r="I1248" s="25" t="str">
        <f>IF(表1[[#This Row],[Tgl NPBG]]&gt;表1[[#This Row],[Peminta]],表1[[#This Row],[Tgl NPBG]]-表1[[#This Row],[Peminta]],"")</f>
        <v/>
      </c>
      <c r="J1248" s="31"/>
    </row>
    <row r="1249" s="12" customFormat="1" customHeight="1" spans="2:10">
      <c r="B1249" s="25"/>
      <c r="C1249" s="25"/>
      <c r="D1249" s="26" t="str" cm="1">
        <f t="array" ref="D1249">IF(C1249="","",IFERROR(INDEX(STPP!$D$6:$D$4207,MATCH(C1249,STPP!$C$6:$C$4207,0)),"Not Found"))</f>
        <v/>
      </c>
      <c r="E1249" s="27" t="str" cm="1">
        <f t="array" ref="E1249">IF(C1249="","",IFERROR(INDEX(STPP!$E$6:$E$4207,MATCH(C1249,STPP!$C$6:$C$4207,0)),"Not Found"))</f>
        <v/>
      </c>
      <c r="F1249" s="27" t="str" cm="1">
        <f t="array" ref="F1249">IF(C1249="","",IFERROR(INDEX(STPP!$F$6:$F$4207,MATCH(C1249,STPP!$C$6:$C$4207,0)),"Not Found"))</f>
        <v/>
      </c>
      <c r="G1249" s="25" t="str">
        <f>IF(表1[[#This Row],[No Seri]]="","",表1[[#This Row],[Deskripsi Barang]]+表1[[#This Row],[Kuantitas]]-表1[[#This Row],[Satuan]])</f>
        <v/>
      </c>
      <c r="H1249" s="28"/>
      <c r="I1249" s="25" t="str">
        <f>IF(表1[[#This Row],[Tgl NPBG]]&gt;表1[[#This Row],[Peminta]],表1[[#This Row],[Tgl NPBG]]-表1[[#This Row],[Peminta]],"")</f>
        <v/>
      </c>
      <c r="J1249" s="31"/>
    </row>
    <row r="1250" s="12" customFormat="1" customHeight="1" spans="2:10">
      <c r="B1250" s="25"/>
      <c r="C1250" s="25"/>
      <c r="D1250" s="26" t="str" cm="1">
        <f t="array" ref="D1250">IF(C1250="","",IFERROR(INDEX(STPP!$D$6:$D$4207,MATCH(C1250,STPP!$C$6:$C$4207,0)),"Not Found"))</f>
        <v/>
      </c>
      <c r="E1250" s="27" t="str" cm="1">
        <f t="array" ref="E1250">IF(C1250="","",IFERROR(INDEX(STPP!$E$6:$E$4207,MATCH(C1250,STPP!$C$6:$C$4207,0)),"Not Found"))</f>
        <v/>
      </c>
      <c r="F1250" s="27" t="str" cm="1">
        <f t="array" ref="F1250">IF(C1250="","",IFERROR(INDEX(STPP!$F$6:$F$4207,MATCH(C1250,STPP!$C$6:$C$4207,0)),"Not Found"))</f>
        <v/>
      </c>
      <c r="G1250" s="25" t="str">
        <f>IF(表1[[#This Row],[No Seri]]="","",表1[[#This Row],[Deskripsi Barang]]+表1[[#This Row],[Kuantitas]]-表1[[#This Row],[Satuan]])</f>
        <v/>
      </c>
      <c r="H1250" s="28"/>
      <c r="I1250" s="25" t="str">
        <f>IF(表1[[#This Row],[Tgl NPBG]]&gt;表1[[#This Row],[Peminta]],表1[[#This Row],[Tgl NPBG]]-表1[[#This Row],[Peminta]],"")</f>
        <v/>
      </c>
      <c r="J1250" s="31"/>
    </row>
    <row r="1251" s="12" customFormat="1" customHeight="1" spans="2:10">
      <c r="B1251" s="25"/>
      <c r="C1251" s="25"/>
      <c r="D1251" s="26" t="str" cm="1">
        <f t="array" ref="D1251">IF(C1251="","",IFERROR(INDEX(STPP!$D$6:$D$4207,MATCH(C1251,STPP!$C$6:$C$4207,0)),"Not Found"))</f>
        <v/>
      </c>
      <c r="E1251" s="27" t="str" cm="1">
        <f t="array" ref="E1251">IF(C1251="","",IFERROR(INDEX(STPP!$E$6:$E$4207,MATCH(C1251,STPP!$C$6:$C$4207,0)),"Not Found"))</f>
        <v/>
      </c>
      <c r="F1251" s="27" t="str" cm="1">
        <f t="array" ref="F1251">IF(C1251="","",IFERROR(INDEX(STPP!$F$6:$F$4207,MATCH(C1251,STPP!$C$6:$C$4207,0)),"Not Found"))</f>
        <v/>
      </c>
      <c r="G1251" s="25" t="str">
        <f>IF(表1[[#This Row],[No Seri]]="","",表1[[#This Row],[Deskripsi Barang]]+表1[[#This Row],[Kuantitas]]-表1[[#This Row],[Satuan]])</f>
        <v/>
      </c>
      <c r="H1251" s="28"/>
      <c r="I1251" s="25" t="str">
        <f>IF(表1[[#This Row],[Tgl NPBG]]&gt;表1[[#This Row],[Peminta]],表1[[#This Row],[Tgl NPBG]]-表1[[#This Row],[Peminta]],"")</f>
        <v/>
      </c>
      <c r="J1251" s="31"/>
    </row>
    <row r="1252" s="12" customFormat="1" customHeight="1" spans="2:10">
      <c r="B1252" s="25"/>
      <c r="C1252" s="25"/>
      <c r="D1252" s="26" t="str" cm="1">
        <f t="array" ref="D1252">IF(C1252="","",IFERROR(INDEX(STPP!$D$6:$D$4207,MATCH(C1252,STPP!$C$6:$C$4207,0)),"Not Found"))</f>
        <v/>
      </c>
      <c r="E1252" s="27" t="str" cm="1">
        <f t="array" ref="E1252">IF(C1252="","",IFERROR(INDEX(STPP!$E$6:$E$4207,MATCH(C1252,STPP!$C$6:$C$4207,0)),"Not Found"))</f>
        <v/>
      </c>
      <c r="F1252" s="27" t="str" cm="1">
        <f t="array" ref="F1252">IF(C1252="","",IFERROR(INDEX(STPP!$F$6:$F$4207,MATCH(C1252,STPP!$C$6:$C$4207,0)),"Not Found"))</f>
        <v/>
      </c>
      <c r="G1252" s="25" t="str">
        <f>IF(表1[[#This Row],[No Seri]]="","",表1[[#This Row],[Deskripsi Barang]]+表1[[#This Row],[Kuantitas]]-表1[[#This Row],[Satuan]])</f>
        <v/>
      </c>
      <c r="H1252" s="28"/>
      <c r="I1252" s="25" t="str">
        <f>IF(表1[[#This Row],[Tgl NPBG]]&gt;表1[[#This Row],[Peminta]],表1[[#This Row],[Tgl NPBG]]-表1[[#This Row],[Peminta]],"")</f>
        <v/>
      </c>
      <c r="J1252" s="31"/>
    </row>
    <row r="1253" s="12" customFormat="1" customHeight="1" spans="2:10">
      <c r="B1253" s="25"/>
      <c r="C1253" s="25"/>
      <c r="D1253" s="26" t="str" cm="1">
        <f t="array" ref="D1253">IF(C1253="","",IFERROR(INDEX(STPP!$D$6:$D$4207,MATCH(C1253,STPP!$C$6:$C$4207,0)),"Not Found"))</f>
        <v/>
      </c>
      <c r="E1253" s="27" t="str" cm="1">
        <f t="array" ref="E1253">IF(C1253="","",IFERROR(INDEX(STPP!$E$6:$E$4207,MATCH(C1253,STPP!$C$6:$C$4207,0)),"Not Found"))</f>
        <v/>
      </c>
      <c r="F1253" s="27" t="str" cm="1">
        <f t="array" ref="F1253">IF(C1253="","",IFERROR(INDEX(STPP!$F$6:$F$4207,MATCH(C1253,STPP!$C$6:$C$4207,0)),"Not Found"))</f>
        <v/>
      </c>
      <c r="G1253" s="25" t="str">
        <f>IF(表1[[#This Row],[No Seri]]="","",表1[[#This Row],[Deskripsi Barang]]+表1[[#This Row],[Kuantitas]]-表1[[#This Row],[Satuan]])</f>
        <v/>
      </c>
      <c r="H1253" s="28"/>
      <c r="I1253" s="25" t="str">
        <f>IF(表1[[#This Row],[Tgl NPBG]]&gt;表1[[#This Row],[Peminta]],表1[[#This Row],[Tgl NPBG]]-表1[[#This Row],[Peminta]],"")</f>
        <v/>
      </c>
      <c r="J1253" s="31"/>
    </row>
    <row r="1254" s="12" customFormat="1" customHeight="1" spans="2:10">
      <c r="B1254" s="25"/>
      <c r="C1254" s="25"/>
      <c r="D1254" s="26" t="str" cm="1">
        <f t="array" ref="D1254">IF(C1254="","",IFERROR(INDEX(STPP!$D$6:$D$4207,MATCH(C1254,STPP!$C$6:$C$4207,0)),"Not Found"))</f>
        <v/>
      </c>
      <c r="E1254" s="27" t="str" cm="1">
        <f t="array" ref="E1254">IF(C1254="","",IFERROR(INDEX(STPP!$E$6:$E$4207,MATCH(C1254,STPP!$C$6:$C$4207,0)),"Not Found"))</f>
        <v/>
      </c>
      <c r="F1254" s="27" t="str" cm="1">
        <f t="array" ref="F1254">IF(C1254="","",IFERROR(INDEX(STPP!$F$6:$F$4207,MATCH(C1254,STPP!$C$6:$C$4207,0)),"Not Found"))</f>
        <v/>
      </c>
      <c r="G1254" s="25" t="str">
        <f>IF(表1[[#This Row],[No Seri]]="","",表1[[#This Row],[Deskripsi Barang]]+表1[[#This Row],[Kuantitas]]-表1[[#This Row],[Satuan]])</f>
        <v/>
      </c>
      <c r="H1254" s="28"/>
      <c r="I1254" s="25" t="str">
        <f>IF(表1[[#This Row],[Tgl NPBG]]&gt;表1[[#This Row],[Peminta]],表1[[#This Row],[Tgl NPBG]]-表1[[#This Row],[Peminta]],"")</f>
        <v/>
      </c>
      <c r="J1254" s="31"/>
    </row>
    <row r="1255" s="12" customFormat="1" customHeight="1" spans="2:10">
      <c r="B1255" s="25"/>
      <c r="C1255" s="25"/>
      <c r="D1255" s="26" t="str" cm="1">
        <f t="array" ref="D1255">IF(C1255="","",IFERROR(INDEX(STPP!$D$6:$D$4207,MATCH(C1255,STPP!$C$6:$C$4207,0)),"Not Found"))</f>
        <v/>
      </c>
      <c r="E1255" s="27" t="str" cm="1">
        <f t="array" ref="E1255">IF(C1255="","",IFERROR(INDEX(STPP!$E$6:$E$4207,MATCH(C1255,STPP!$C$6:$C$4207,0)),"Not Found"))</f>
        <v/>
      </c>
      <c r="F1255" s="27" t="str" cm="1">
        <f t="array" ref="F1255">IF(C1255="","",IFERROR(INDEX(STPP!$F$6:$F$4207,MATCH(C1255,STPP!$C$6:$C$4207,0)),"Not Found"))</f>
        <v/>
      </c>
      <c r="G1255" s="25" t="str">
        <f>IF(表1[[#This Row],[No Seri]]="","",表1[[#This Row],[Deskripsi Barang]]+表1[[#This Row],[Kuantitas]]-表1[[#This Row],[Satuan]])</f>
        <v/>
      </c>
      <c r="H1255" s="28"/>
      <c r="I1255" s="25" t="str">
        <f>IF(表1[[#This Row],[Tgl NPBG]]&gt;表1[[#This Row],[Peminta]],表1[[#This Row],[Tgl NPBG]]-表1[[#This Row],[Peminta]],"")</f>
        <v/>
      </c>
      <c r="J1255" s="31"/>
    </row>
    <row r="1256" s="12" customFormat="1" customHeight="1" spans="2:10">
      <c r="B1256" s="25"/>
      <c r="C1256" s="25"/>
      <c r="D1256" s="26" t="str" cm="1">
        <f t="array" ref="D1256">IF(C1256="","",IFERROR(INDEX(STPP!$D$6:$D$4207,MATCH(C1256,STPP!$C$6:$C$4207,0)),"Not Found"))</f>
        <v/>
      </c>
      <c r="E1256" s="27" t="str" cm="1">
        <f t="array" ref="E1256">IF(C1256="","",IFERROR(INDEX(STPP!$E$6:$E$4207,MATCH(C1256,STPP!$C$6:$C$4207,0)),"Not Found"))</f>
        <v/>
      </c>
      <c r="F1256" s="27" t="str" cm="1">
        <f t="array" ref="F1256">IF(C1256="","",IFERROR(INDEX(STPP!$F$6:$F$4207,MATCH(C1256,STPP!$C$6:$C$4207,0)),"Not Found"))</f>
        <v/>
      </c>
      <c r="G1256" s="25" t="str">
        <f>IF(表1[[#This Row],[No Seri]]="","",表1[[#This Row],[Deskripsi Barang]]+表1[[#This Row],[Kuantitas]]-表1[[#This Row],[Satuan]])</f>
        <v/>
      </c>
      <c r="H1256" s="28"/>
      <c r="I1256" s="25" t="str">
        <f>IF(表1[[#This Row],[Tgl NPBG]]&gt;表1[[#This Row],[Peminta]],表1[[#This Row],[Tgl NPBG]]-表1[[#This Row],[Peminta]],"")</f>
        <v/>
      </c>
      <c r="J1256" s="31"/>
    </row>
    <row r="1257" s="12" customFormat="1" customHeight="1" spans="2:10">
      <c r="B1257" s="25"/>
      <c r="C1257" s="25"/>
      <c r="D1257" s="26" t="str" cm="1">
        <f t="array" ref="D1257">IF(C1257="","",IFERROR(INDEX(STPP!$D$6:$D$4207,MATCH(C1257,STPP!$C$6:$C$4207,0)),"Not Found"))</f>
        <v/>
      </c>
      <c r="E1257" s="27" t="str" cm="1">
        <f t="array" ref="E1257">IF(C1257="","",IFERROR(INDEX(STPP!$E$6:$E$4207,MATCH(C1257,STPP!$C$6:$C$4207,0)),"Not Found"))</f>
        <v/>
      </c>
      <c r="F1257" s="27" t="str" cm="1">
        <f t="array" ref="F1257">IF(C1257="","",IFERROR(INDEX(STPP!$F$6:$F$4207,MATCH(C1257,STPP!$C$6:$C$4207,0)),"Not Found"))</f>
        <v/>
      </c>
      <c r="G1257" s="25" t="str">
        <f>IF(表1[[#This Row],[No Seri]]="","",表1[[#This Row],[Deskripsi Barang]]+表1[[#This Row],[Kuantitas]]-表1[[#This Row],[Satuan]])</f>
        <v/>
      </c>
      <c r="H1257" s="28"/>
      <c r="I1257" s="25" t="str">
        <f>IF(表1[[#This Row],[Tgl NPBG]]&gt;表1[[#This Row],[Peminta]],表1[[#This Row],[Tgl NPBG]]-表1[[#This Row],[Peminta]],"")</f>
        <v/>
      </c>
      <c r="J1257" s="31"/>
    </row>
    <row r="1258" s="12" customFormat="1" customHeight="1" spans="2:10">
      <c r="B1258" s="25"/>
      <c r="C1258" s="25"/>
      <c r="D1258" s="26" t="str" cm="1">
        <f t="array" ref="D1258">IF(C1258="","",IFERROR(INDEX(STPP!$D$6:$D$4207,MATCH(C1258,STPP!$C$6:$C$4207,0)),"Not Found"))</f>
        <v/>
      </c>
      <c r="E1258" s="27" t="str" cm="1">
        <f t="array" ref="E1258">IF(C1258="","",IFERROR(INDEX(STPP!$E$6:$E$4207,MATCH(C1258,STPP!$C$6:$C$4207,0)),"Not Found"))</f>
        <v/>
      </c>
      <c r="F1258" s="27" t="str" cm="1">
        <f t="array" ref="F1258">IF(C1258="","",IFERROR(INDEX(STPP!$F$6:$F$4207,MATCH(C1258,STPP!$C$6:$C$4207,0)),"Not Found"))</f>
        <v/>
      </c>
      <c r="G1258" s="25" t="str">
        <f>IF(表1[[#This Row],[No Seri]]="","",表1[[#This Row],[Deskripsi Barang]]+表1[[#This Row],[Kuantitas]]-表1[[#This Row],[Satuan]])</f>
        <v/>
      </c>
      <c r="H1258" s="28"/>
      <c r="I1258" s="25" t="str">
        <f>IF(表1[[#This Row],[Tgl NPBG]]&gt;表1[[#This Row],[Peminta]],表1[[#This Row],[Tgl NPBG]]-表1[[#This Row],[Peminta]],"")</f>
        <v/>
      </c>
      <c r="J1258" s="31"/>
    </row>
    <row r="1259" s="12" customFormat="1" customHeight="1" spans="2:10">
      <c r="B1259" s="25"/>
      <c r="C1259" s="25"/>
      <c r="D1259" s="26" t="str" cm="1">
        <f t="array" ref="D1259">IF(C1259="","",IFERROR(INDEX(STPP!$D$6:$D$4207,MATCH(C1259,STPP!$C$6:$C$4207,0)),"Not Found"))</f>
        <v/>
      </c>
      <c r="E1259" s="27" t="str" cm="1">
        <f t="array" ref="E1259">IF(C1259="","",IFERROR(INDEX(STPP!$E$6:$E$4207,MATCH(C1259,STPP!$C$6:$C$4207,0)),"Not Found"))</f>
        <v/>
      </c>
      <c r="F1259" s="27" t="str" cm="1">
        <f t="array" ref="F1259">IF(C1259="","",IFERROR(INDEX(STPP!$F$6:$F$4207,MATCH(C1259,STPP!$C$6:$C$4207,0)),"Not Found"))</f>
        <v/>
      </c>
      <c r="G1259" s="25" t="str">
        <f>IF(表1[[#This Row],[No Seri]]="","",表1[[#This Row],[Deskripsi Barang]]+表1[[#This Row],[Kuantitas]]-表1[[#This Row],[Satuan]])</f>
        <v/>
      </c>
      <c r="H1259" s="28"/>
      <c r="I1259" s="25" t="str">
        <f>IF(表1[[#This Row],[Tgl NPBG]]&gt;表1[[#This Row],[Peminta]],表1[[#This Row],[Tgl NPBG]]-表1[[#This Row],[Peminta]],"")</f>
        <v/>
      </c>
      <c r="J1259" s="31"/>
    </row>
    <row r="1260" s="12" customFormat="1" customHeight="1" spans="2:10">
      <c r="B1260" s="25"/>
      <c r="C1260" s="25"/>
      <c r="D1260" s="26" t="str" cm="1">
        <f t="array" ref="D1260">IF(C1260="","",IFERROR(INDEX(STPP!$D$6:$D$4207,MATCH(C1260,STPP!$C$6:$C$4207,0)),"Not Found"))</f>
        <v/>
      </c>
      <c r="E1260" s="27" t="str" cm="1">
        <f t="array" ref="E1260">IF(C1260="","",IFERROR(INDEX(STPP!$E$6:$E$4207,MATCH(C1260,STPP!$C$6:$C$4207,0)),"Not Found"))</f>
        <v/>
      </c>
      <c r="F1260" s="27" t="str" cm="1">
        <f t="array" ref="F1260">IF(C1260="","",IFERROR(INDEX(STPP!$F$6:$F$4207,MATCH(C1260,STPP!$C$6:$C$4207,0)),"Not Found"))</f>
        <v/>
      </c>
      <c r="G1260" s="25" t="str">
        <f>IF(表1[[#This Row],[No Seri]]="","",表1[[#This Row],[Deskripsi Barang]]+表1[[#This Row],[Kuantitas]]-表1[[#This Row],[Satuan]])</f>
        <v/>
      </c>
      <c r="H1260" s="28"/>
      <c r="I1260" s="25" t="str">
        <f>IF(表1[[#This Row],[Tgl NPBG]]&gt;表1[[#This Row],[Peminta]],表1[[#This Row],[Tgl NPBG]]-表1[[#This Row],[Peminta]],"")</f>
        <v/>
      </c>
      <c r="J1260" s="31"/>
    </row>
    <row r="1261" s="12" customFormat="1" customHeight="1" spans="2:10">
      <c r="B1261" s="25"/>
      <c r="C1261" s="25"/>
      <c r="D1261" s="26" t="str" cm="1">
        <f t="array" ref="D1261">IF(C1261="","",IFERROR(INDEX(STPP!$D$6:$D$4207,MATCH(C1261,STPP!$C$6:$C$4207,0)),"Not Found"))</f>
        <v/>
      </c>
      <c r="E1261" s="27" t="str" cm="1">
        <f t="array" ref="E1261">IF(C1261="","",IFERROR(INDEX(STPP!$E$6:$E$4207,MATCH(C1261,STPP!$C$6:$C$4207,0)),"Not Found"))</f>
        <v/>
      </c>
      <c r="F1261" s="27" t="str" cm="1">
        <f t="array" ref="F1261">IF(C1261="","",IFERROR(INDEX(STPP!$F$6:$F$4207,MATCH(C1261,STPP!$C$6:$C$4207,0)),"Not Found"))</f>
        <v/>
      </c>
      <c r="G1261" s="25" t="str">
        <f>IF(表1[[#This Row],[No Seri]]="","",表1[[#This Row],[Deskripsi Barang]]+表1[[#This Row],[Kuantitas]]-表1[[#This Row],[Satuan]])</f>
        <v/>
      </c>
      <c r="H1261" s="28"/>
      <c r="I1261" s="25" t="str">
        <f>IF(表1[[#This Row],[Tgl NPBG]]&gt;表1[[#This Row],[Peminta]],表1[[#This Row],[Tgl NPBG]]-表1[[#This Row],[Peminta]],"")</f>
        <v/>
      </c>
      <c r="J1261" s="31"/>
    </row>
    <row r="1262" s="12" customFormat="1" customHeight="1" spans="2:10">
      <c r="B1262" s="25"/>
      <c r="C1262" s="25"/>
      <c r="D1262" s="26" t="str" cm="1">
        <f t="array" ref="D1262">IF(C1262="","",IFERROR(INDEX(STPP!$D$6:$D$4207,MATCH(C1262,STPP!$C$6:$C$4207,0)),"Not Found"))</f>
        <v/>
      </c>
      <c r="E1262" s="27" t="str" cm="1">
        <f t="array" ref="E1262">IF(C1262="","",IFERROR(INDEX(STPP!$E$6:$E$4207,MATCH(C1262,STPP!$C$6:$C$4207,0)),"Not Found"))</f>
        <v/>
      </c>
      <c r="F1262" s="27" t="str" cm="1">
        <f t="array" ref="F1262">IF(C1262="","",IFERROR(INDEX(STPP!$F$6:$F$4207,MATCH(C1262,STPP!$C$6:$C$4207,0)),"Not Found"))</f>
        <v/>
      </c>
      <c r="G1262" s="25" t="str">
        <f>IF(表1[[#This Row],[No Seri]]="","",表1[[#This Row],[Deskripsi Barang]]+表1[[#This Row],[Kuantitas]]-表1[[#This Row],[Satuan]])</f>
        <v/>
      </c>
      <c r="H1262" s="28"/>
      <c r="I1262" s="25" t="str">
        <f>IF(表1[[#This Row],[Tgl NPBG]]&gt;表1[[#This Row],[Peminta]],表1[[#This Row],[Tgl NPBG]]-表1[[#This Row],[Peminta]],"")</f>
        <v/>
      </c>
      <c r="J1262" s="31"/>
    </row>
    <row r="1263" s="12" customFormat="1" customHeight="1" spans="2:10">
      <c r="B1263" s="25"/>
      <c r="C1263" s="25"/>
      <c r="D1263" s="26" t="str" cm="1">
        <f t="array" ref="D1263">IF(C1263="","",IFERROR(INDEX(STPP!$D$6:$D$4207,MATCH(C1263,STPP!$C$6:$C$4207,0)),"Not Found"))</f>
        <v/>
      </c>
      <c r="E1263" s="27" t="str" cm="1">
        <f t="array" ref="E1263">IF(C1263="","",IFERROR(INDEX(STPP!$E$6:$E$4207,MATCH(C1263,STPP!$C$6:$C$4207,0)),"Not Found"))</f>
        <v/>
      </c>
      <c r="F1263" s="27" t="str" cm="1">
        <f t="array" ref="F1263">IF(C1263="","",IFERROR(INDEX(STPP!$F$6:$F$4207,MATCH(C1263,STPP!$C$6:$C$4207,0)),"Not Found"))</f>
        <v/>
      </c>
      <c r="G1263" s="25" t="str">
        <f>IF(表1[[#This Row],[No Seri]]="","",表1[[#This Row],[Deskripsi Barang]]+表1[[#This Row],[Kuantitas]]-表1[[#This Row],[Satuan]])</f>
        <v/>
      </c>
      <c r="H1263" s="28"/>
      <c r="I1263" s="25" t="str">
        <f>IF(表1[[#This Row],[Tgl NPBG]]&gt;表1[[#This Row],[Peminta]],表1[[#This Row],[Tgl NPBG]]-表1[[#This Row],[Peminta]],"")</f>
        <v/>
      </c>
      <c r="J1263" s="31"/>
    </row>
    <row r="1264" s="12" customFormat="1" customHeight="1" spans="2:10">
      <c r="B1264" s="25"/>
      <c r="C1264" s="25"/>
      <c r="D1264" s="26" t="str" cm="1">
        <f t="array" ref="D1264">IF(C1264="","",IFERROR(INDEX(STPP!$D$6:$D$4207,MATCH(C1264,STPP!$C$6:$C$4207,0)),"Not Found"))</f>
        <v/>
      </c>
      <c r="E1264" s="27" t="str" cm="1">
        <f t="array" ref="E1264">IF(C1264="","",IFERROR(INDEX(STPP!$E$6:$E$4207,MATCH(C1264,STPP!$C$6:$C$4207,0)),"Not Found"))</f>
        <v/>
      </c>
      <c r="F1264" s="27" t="str" cm="1">
        <f t="array" ref="F1264">IF(C1264="","",IFERROR(INDEX(STPP!$F$6:$F$4207,MATCH(C1264,STPP!$C$6:$C$4207,0)),"Not Found"))</f>
        <v/>
      </c>
      <c r="G1264" s="25" t="str">
        <f>IF(表1[[#This Row],[No Seri]]="","",表1[[#This Row],[Deskripsi Barang]]+表1[[#This Row],[Kuantitas]]-表1[[#This Row],[Satuan]])</f>
        <v/>
      </c>
      <c r="H1264" s="28"/>
      <c r="I1264" s="25" t="str">
        <f>IF(表1[[#This Row],[Tgl NPBG]]&gt;表1[[#This Row],[Peminta]],表1[[#This Row],[Tgl NPBG]]-表1[[#This Row],[Peminta]],"")</f>
        <v/>
      </c>
      <c r="J1264" s="31"/>
    </row>
    <row r="1265" s="12" customFormat="1" customHeight="1" spans="2:10">
      <c r="B1265" s="25"/>
      <c r="C1265" s="25"/>
      <c r="D1265" s="26" t="str" cm="1">
        <f t="array" ref="D1265">IF(C1265="","",IFERROR(INDEX(STPP!$D$6:$D$4207,MATCH(C1265,STPP!$C$6:$C$4207,0)),"Not Found"))</f>
        <v/>
      </c>
      <c r="E1265" s="27" t="str" cm="1">
        <f t="array" ref="E1265">IF(C1265="","",IFERROR(INDEX(STPP!$E$6:$E$4207,MATCH(C1265,STPP!$C$6:$C$4207,0)),"Not Found"))</f>
        <v/>
      </c>
      <c r="F1265" s="27" t="str" cm="1">
        <f t="array" ref="F1265">IF(C1265="","",IFERROR(INDEX(STPP!$F$6:$F$4207,MATCH(C1265,STPP!$C$6:$C$4207,0)),"Not Found"))</f>
        <v/>
      </c>
      <c r="G1265" s="25" t="str">
        <f>IF(表1[[#This Row],[No Seri]]="","",表1[[#This Row],[Deskripsi Barang]]+表1[[#This Row],[Kuantitas]]-表1[[#This Row],[Satuan]])</f>
        <v/>
      </c>
      <c r="H1265" s="28"/>
      <c r="I1265" s="25" t="str">
        <f>IF(表1[[#This Row],[Tgl NPBG]]&gt;表1[[#This Row],[Peminta]],表1[[#This Row],[Tgl NPBG]]-表1[[#This Row],[Peminta]],"")</f>
        <v/>
      </c>
      <c r="J1265" s="31"/>
    </row>
    <row r="1266" s="12" customFormat="1" customHeight="1" spans="2:10">
      <c r="B1266" s="25"/>
      <c r="C1266" s="25"/>
      <c r="D1266" s="26" t="str" cm="1">
        <f t="array" ref="D1266">IF(C1266="","",IFERROR(INDEX(STPP!$D$6:$D$4207,MATCH(C1266,STPP!$C$6:$C$4207,0)),"Not Found"))</f>
        <v/>
      </c>
      <c r="E1266" s="27" t="str" cm="1">
        <f t="array" ref="E1266">IF(C1266="","",IFERROR(INDEX(STPP!$E$6:$E$4207,MATCH(C1266,STPP!$C$6:$C$4207,0)),"Not Found"))</f>
        <v/>
      </c>
      <c r="F1266" s="27" t="str" cm="1">
        <f t="array" ref="F1266">IF(C1266="","",IFERROR(INDEX(STPP!$F$6:$F$4207,MATCH(C1266,STPP!$C$6:$C$4207,0)),"Not Found"))</f>
        <v/>
      </c>
      <c r="G1266" s="25" t="str">
        <f>IF(表1[[#This Row],[No Seri]]="","",表1[[#This Row],[Deskripsi Barang]]+表1[[#This Row],[Kuantitas]]-表1[[#This Row],[Satuan]])</f>
        <v/>
      </c>
      <c r="H1266" s="28"/>
      <c r="I1266" s="25" t="str">
        <f>IF(表1[[#This Row],[Tgl NPBG]]&gt;表1[[#This Row],[Peminta]],表1[[#This Row],[Tgl NPBG]]-表1[[#This Row],[Peminta]],"")</f>
        <v/>
      </c>
      <c r="J1266" s="31"/>
    </row>
    <row r="1267" s="12" customFormat="1" customHeight="1" spans="2:10">
      <c r="B1267" s="25"/>
      <c r="C1267" s="25"/>
      <c r="D1267" s="26" t="str" cm="1">
        <f t="array" ref="D1267">IF(C1267="","",IFERROR(INDEX(STPP!$D$6:$D$4207,MATCH(C1267,STPP!$C$6:$C$4207,0)),"Not Found"))</f>
        <v/>
      </c>
      <c r="E1267" s="27" t="str" cm="1">
        <f t="array" ref="E1267">IF(C1267="","",IFERROR(INDEX(STPP!$E$6:$E$4207,MATCH(C1267,STPP!$C$6:$C$4207,0)),"Not Found"))</f>
        <v/>
      </c>
      <c r="F1267" s="27" t="str" cm="1">
        <f t="array" ref="F1267">IF(C1267="","",IFERROR(INDEX(STPP!$F$6:$F$4207,MATCH(C1267,STPP!$C$6:$C$4207,0)),"Not Found"))</f>
        <v/>
      </c>
      <c r="G1267" s="25" t="str">
        <f>IF(表1[[#This Row],[No Seri]]="","",表1[[#This Row],[Deskripsi Barang]]+表1[[#This Row],[Kuantitas]]-表1[[#This Row],[Satuan]])</f>
        <v/>
      </c>
      <c r="H1267" s="28"/>
      <c r="I1267" s="25" t="str">
        <f>IF(表1[[#This Row],[Tgl NPBG]]&gt;表1[[#This Row],[Peminta]],表1[[#This Row],[Tgl NPBG]]-表1[[#This Row],[Peminta]],"")</f>
        <v/>
      </c>
      <c r="J1267" s="31"/>
    </row>
    <row r="1268" s="12" customFormat="1" customHeight="1" spans="2:10">
      <c r="B1268" s="25"/>
      <c r="C1268" s="25"/>
      <c r="D1268" s="26" t="str" cm="1">
        <f t="array" ref="D1268">IF(C1268="","",IFERROR(INDEX(STPP!$D$6:$D$4207,MATCH(C1268,STPP!$C$6:$C$4207,0)),"Not Found"))</f>
        <v/>
      </c>
      <c r="E1268" s="27" t="str" cm="1">
        <f t="array" ref="E1268">IF(C1268="","",IFERROR(INDEX(STPP!$E$6:$E$4207,MATCH(C1268,STPP!$C$6:$C$4207,0)),"Not Found"))</f>
        <v/>
      </c>
      <c r="F1268" s="27" t="str" cm="1">
        <f t="array" ref="F1268">IF(C1268="","",IFERROR(INDEX(STPP!$F$6:$F$4207,MATCH(C1268,STPP!$C$6:$C$4207,0)),"Not Found"))</f>
        <v/>
      </c>
      <c r="G1268" s="25" t="str">
        <f>IF(表1[[#This Row],[No Seri]]="","",表1[[#This Row],[Deskripsi Barang]]+表1[[#This Row],[Kuantitas]]-表1[[#This Row],[Satuan]])</f>
        <v/>
      </c>
      <c r="H1268" s="28"/>
      <c r="I1268" s="25" t="str">
        <f>IF(表1[[#This Row],[Tgl NPBG]]&gt;表1[[#This Row],[Peminta]],表1[[#This Row],[Tgl NPBG]]-表1[[#This Row],[Peminta]],"")</f>
        <v/>
      </c>
      <c r="J1268" s="31"/>
    </row>
    <row r="1269" s="12" customFormat="1" customHeight="1" spans="2:10">
      <c r="B1269" s="25"/>
      <c r="C1269" s="25"/>
      <c r="D1269" s="26" t="str" cm="1">
        <f t="array" ref="D1269">IF(C1269="","",IFERROR(INDEX(STPP!$D$6:$D$4207,MATCH(C1269,STPP!$C$6:$C$4207,0)),"Not Found"))</f>
        <v/>
      </c>
      <c r="E1269" s="27" t="str" cm="1">
        <f t="array" ref="E1269">IF(C1269="","",IFERROR(INDEX(STPP!$E$6:$E$4207,MATCH(C1269,STPP!$C$6:$C$4207,0)),"Not Found"))</f>
        <v/>
      </c>
      <c r="F1269" s="27" t="str" cm="1">
        <f t="array" ref="F1269">IF(C1269="","",IFERROR(INDEX(STPP!$F$6:$F$4207,MATCH(C1269,STPP!$C$6:$C$4207,0)),"Not Found"))</f>
        <v/>
      </c>
      <c r="G1269" s="25" t="str">
        <f>IF(表1[[#This Row],[No Seri]]="","",表1[[#This Row],[Deskripsi Barang]]+表1[[#This Row],[Kuantitas]]-表1[[#This Row],[Satuan]])</f>
        <v/>
      </c>
      <c r="H1269" s="28"/>
      <c r="I1269" s="25" t="str">
        <f>IF(表1[[#This Row],[Tgl NPBG]]&gt;表1[[#This Row],[Peminta]],表1[[#This Row],[Tgl NPBG]]-表1[[#This Row],[Peminta]],"")</f>
        <v/>
      </c>
      <c r="J1269" s="31"/>
    </row>
    <row r="1270" s="12" customFormat="1" customHeight="1" spans="2:10">
      <c r="B1270" s="25"/>
      <c r="C1270" s="25"/>
      <c r="D1270" s="26" t="str" cm="1">
        <f t="array" ref="D1270">IF(C1270="","",IFERROR(INDEX(STPP!$D$6:$D$4207,MATCH(C1270,STPP!$C$6:$C$4207,0)),"Not Found"))</f>
        <v/>
      </c>
      <c r="E1270" s="27" t="str" cm="1">
        <f t="array" ref="E1270">IF(C1270="","",IFERROR(INDEX(STPP!$E$6:$E$4207,MATCH(C1270,STPP!$C$6:$C$4207,0)),"Not Found"))</f>
        <v/>
      </c>
      <c r="F1270" s="27" t="str" cm="1">
        <f t="array" ref="F1270">IF(C1270="","",IFERROR(INDEX(STPP!$F$6:$F$4207,MATCH(C1270,STPP!$C$6:$C$4207,0)),"Not Found"))</f>
        <v/>
      </c>
      <c r="G1270" s="25" t="str">
        <f>IF(表1[[#This Row],[No Seri]]="","",表1[[#This Row],[Deskripsi Barang]]+表1[[#This Row],[Kuantitas]]-表1[[#This Row],[Satuan]])</f>
        <v/>
      </c>
      <c r="H1270" s="28"/>
      <c r="I1270" s="25" t="str">
        <f>IF(表1[[#This Row],[Tgl NPBG]]&gt;表1[[#This Row],[Peminta]],表1[[#This Row],[Tgl NPBG]]-表1[[#This Row],[Peminta]],"")</f>
        <v/>
      </c>
      <c r="J1270" s="31"/>
    </row>
    <row r="1271" s="12" customFormat="1" customHeight="1" spans="2:10">
      <c r="B1271" s="25"/>
      <c r="C1271" s="25"/>
      <c r="D1271" s="26" t="str" cm="1">
        <f t="array" ref="D1271">IF(C1271="","",IFERROR(INDEX(STPP!$D$6:$D$4207,MATCH(C1271,STPP!$C$6:$C$4207,0)),"Not Found"))</f>
        <v/>
      </c>
      <c r="E1271" s="27" t="str" cm="1">
        <f t="array" ref="E1271">IF(C1271="","",IFERROR(INDEX(STPP!$E$6:$E$4207,MATCH(C1271,STPP!$C$6:$C$4207,0)),"Not Found"))</f>
        <v/>
      </c>
      <c r="F1271" s="27" t="str" cm="1">
        <f t="array" ref="F1271">IF(C1271="","",IFERROR(INDEX(STPP!$F$6:$F$4207,MATCH(C1271,STPP!$C$6:$C$4207,0)),"Not Found"))</f>
        <v/>
      </c>
      <c r="G1271" s="25" t="str">
        <f>IF(表1[[#This Row],[No Seri]]="","",表1[[#This Row],[Deskripsi Barang]]+表1[[#This Row],[Kuantitas]]-表1[[#This Row],[Satuan]])</f>
        <v/>
      </c>
      <c r="H1271" s="28"/>
      <c r="I1271" s="25" t="str">
        <f>IF(表1[[#This Row],[Tgl NPBG]]&gt;表1[[#This Row],[Peminta]],表1[[#This Row],[Tgl NPBG]]-表1[[#This Row],[Peminta]],"")</f>
        <v/>
      </c>
      <c r="J1271" s="31"/>
    </row>
    <row r="1272" s="12" customFormat="1" customHeight="1" spans="2:10">
      <c r="B1272" s="25"/>
      <c r="C1272" s="25"/>
      <c r="D1272" s="26" t="str" cm="1">
        <f t="array" ref="D1272">IF(C1272="","",IFERROR(INDEX(STPP!$D$6:$D$4207,MATCH(C1272,STPP!$C$6:$C$4207,0)),"Not Found"))</f>
        <v/>
      </c>
      <c r="E1272" s="27" t="str" cm="1">
        <f t="array" ref="E1272">IF(C1272="","",IFERROR(INDEX(STPP!$E$6:$E$4207,MATCH(C1272,STPP!$C$6:$C$4207,0)),"Not Found"))</f>
        <v/>
      </c>
      <c r="F1272" s="27" t="str" cm="1">
        <f t="array" ref="F1272">IF(C1272="","",IFERROR(INDEX(STPP!$F$6:$F$4207,MATCH(C1272,STPP!$C$6:$C$4207,0)),"Not Found"))</f>
        <v/>
      </c>
      <c r="G1272" s="25" t="str">
        <f>IF(表1[[#This Row],[No Seri]]="","",表1[[#This Row],[Deskripsi Barang]]+表1[[#This Row],[Kuantitas]]-表1[[#This Row],[Satuan]])</f>
        <v/>
      </c>
      <c r="H1272" s="28"/>
      <c r="I1272" s="25" t="str">
        <f>IF(表1[[#This Row],[Tgl NPBG]]&gt;表1[[#This Row],[Peminta]],表1[[#This Row],[Tgl NPBG]]-表1[[#This Row],[Peminta]],"")</f>
        <v/>
      </c>
      <c r="J1272" s="31"/>
    </row>
    <row r="1273" s="12" customFormat="1" customHeight="1" spans="2:10">
      <c r="B1273" s="25"/>
      <c r="C1273" s="25"/>
      <c r="D1273" s="26" t="str" cm="1">
        <f t="array" ref="D1273">IF(C1273="","",IFERROR(INDEX(STPP!$D$6:$D$4207,MATCH(C1273,STPP!$C$6:$C$4207,0)),"Not Found"))</f>
        <v/>
      </c>
      <c r="E1273" s="27" t="str" cm="1">
        <f t="array" ref="E1273">IF(C1273="","",IFERROR(INDEX(STPP!$E$6:$E$4207,MATCH(C1273,STPP!$C$6:$C$4207,0)),"Not Found"))</f>
        <v/>
      </c>
      <c r="F1273" s="27" t="str" cm="1">
        <f t="array" ref="F1273">IF(C1273="","",IFERROR(INDEX(STPP!$F$6:$F$4207,MATCH(C1273,STPP!$C$6:$C$4207,0)),"Not Found"))</f>
        <v/>
      </c>
      <c r="G1273" s="25" t="str">
        <f>IF(表1[[#This Row],[No Seri]]="","",表1[[#This Row],[Deskripsi Barang]]+表1[[#This Row],[Kuantitas]]-表1[[#This Row],[Satuan]])</f>
        <v/>
      </c>
      <c r="H1273" s="28"/>
      <c r="I1273" s="25" t="str">
        <f>IF(表1[[#This Row],[Tgl NPBG]]&gt;表1[[#This Row],[Peminta]],表1[[#This Row],[Tgl NPBG]]-表1[[#This Row],[Peminta]],"")</f>
        <v/>
      </c>
      <c r="J1273" s="31"/>
    </row>
    <row r="1274" s="12" customFormat="1" customHeight="1" spans="2:10">
      <c r="B1274" s="25"/>
      <c r="C1274" s="25"/>
      <c r="D1274" s="26" t="str" cm="1">
        <f t="array" ref="D1274">IF(C1274="","",IFERROR(INDEX(STPP!$D$6:$D$4207,MATCH(C1274,STPP!$C$6:$C$4207,0)),"Not Found"))</f>
        <v/>
      </c>
      <c r="E1274" s="27" t="str" cm="1">
        <f t="array" ref="E1274">IF(C1274="","",IFERROR(INDEX(STPP!$E$6:$E$4207,MATCH(C1274,STPP!$C$6:$C$4207,0)),"Not Found"))</f>
        <v/>
      </c>
      <c r="F1274" s="27" t="str" cm="1">
        <f t="array" ref="F1274">IF(C1274="","",IFERROR(INDEX(STPP!$F$6:$F$4207,MATCH(C1274,STPP!$C$6:$C$4207,0)),"Not Found"))</f>
        <v/>
      </c>
      <c r="G1274" s="25" t="str">
        <f>IF(表1[[#This Row],[No Seri]]="","",表1[[#This Row],[Deskripsi Barang]]+表1[[#This Row],[Kuantitas]]-表1[[#This Row],[Satuan]])</f>
        <v/>
      </c>
      <c r="H1274" s="28"/>
      <c r="I1274" s="25" t="str">
        <f>IF(表1[[#This Row],[Tgl NPBG]]&gt;表1[[#This Row],[Peminta]],表1[[#This Row],[Tgl NPBG]]-表1[[#This Row],[Peminta]],"")</f>
        <v/>
      </c>
      <c r="J1274" s="31"/>
    </row>
    <row r="1275" s="12" customFormat="1" customHeight="1" spans="2:10">
      <c r="B1275" s="25"/>
      <c r="C1275" s="25"/>
      <c r="D1275" s="26" t="str" cm="1">
        <f t="array" ref="D1275">IF(C1275="","",IFERROR(INDEX(STPP!$D$6:$D$4207,MATCH(C1275,STPP!$C$6:$C$4207,0)),"Not Found"))</f>
        <v/>
      </c>
      <c r="E1275" s="27" t="str" cm="1">
        <f t="array" ref="E1275">IF(C1275="","",IFERROR(INDEX(STPP!$E$6:$E$4207,MATCH(C1275,STPP!$C$6:$C$4207,0)),"Not Found"))</f>
        <v/>
      </c>
      <c r="F1275" s="27" t="str" cm="1">
        <f t="array" ref="F1275">IF(C1275="","",IFERROR(INDEX(STPP!$F$6:$F$4207,MATCH(C1275,STPP!$C$6:$C$4207,0)),"Not Found"))</f>
        <v/>
      </c>
      <c r="G1275" s="25" t="str">
        <f>IF(表1[[#This Row],[No Seri]]="","",表1[[#This Row],[Deskripsi Barang]]+表1[[#This Row],[Kuantitas]]-表1[[#This Row],[Satuan]])</f>
        <v/>
      </c>
      <c r="H1275" s="28"/>
      <c r="I1275" s="25" t="str">
        <f>IF(表1[[#This Row],[Tgl NPBG]]&gt;表1[[#This Row],[Peminta]],表1[[#This Row],[Tgl NPBG]]-表1[[#This Row],[Peminta]],"")</f>
        <v/>
      </c>
      <c r="J1275" s="31"/>
    </row>
    <row r="1276" s="12" customFormat="1" customHeight="1" spans="2:10">
      <c r="B1276" s="25"/>
      <c r="C1276" s="25"/>
      <c r="D1276" s="26" t="str" cm="1">
        <f t="array" ref="D1276">IF(C1276="","",IFERROR(INDEX(STPP!$D$6:$D$4207,MATCH(C1276,STPP!$C$6:$C$4207,0)),"Not Found"))</f>
        <v/>
      </c>
      <c r="E1276" s="27" t="str" cm="1">
        <f t="array" ref="E1276">IF(C1276="","",IFERROR(INDEX(STPP!$E$6:$E$4207,MATCH(C1276,STPP!$C$6:$C$4207,0)),"Not Found"))</f>
        <v/>
      </c>
      <c r="F1276" s="27" t="str" cm="1">
        <f t="array" ref="F1276">IF(C1276="","",IFERROR(INDEX(STPP!$F$6:$F$4207,MATCH(C1276,STPP!$C$6:$C$4207,0)),"Not Found"))</f>
        <v/>
      </c>
      <c r="G1276" s="25" t="str">
        <f>IF(表1[[#This Row],[No Seri]]="","",表1[[#This Row],[Deskripsi Barang]]+表1[[#This Row],[Kuantitas]]-表1[[#This Row],[Satuan]])</f>
        <v/>
      </c>
      <c r="H1276" s="28"/>
      <c r="I1276" s="25" t="str">
        <f>IF(表1[[#This Row],[Tgl NPBG]]&gt;表1[[#This Row],[Peminta]],表1[[#This Row],[Tgl NPBG]]-表1[[#This Row],[Peminta]],"")</f>
        <v/>
      </c>
      <c r="J1276" s="31"/>
    </row>
    <row r="1277" s="12" customFormat="1" customHeight="1" spans="2:10">
      <c r="B1277" s="25"/>
      <c r="C1277" s="25"/>
      <c r="D1277" s="26" t="str" cm="1">
        <f t="array" ref="D1277">IF(C1277="","",IFERROR(INDEX(STPP!$D$6:$D$4207,MATCH(C1277,STPP!$C$6:$C$4207,0)),"Not Found"))</f>
        <v/>
      </c>
      <c r="E1277" s="27" t="str" cm="1">
        <f t="array" ref="E1277">IF(C1277="","",IFERROR(INDEX(STPP!$E$6:$E$4207,MATCH(C1277,STPP!$C$6:$C$4207,0)),"Not Found"))</f>
        <v/>
      </c>
      <c r="F1277" s="27" t="str" cm="1">
        <f t="array" ref="F1277">IF(C1277="","",IFERROR(INDEX(STPP!$F$6:$F$4207,MATCH(C1277,STPP!$C$6:$C$4207,0)),"Not Found"))</f>
        <v/>
      </c>
      <c r="G1277" s="25" t="str">
        <f>IF(表1[[#This Row],[No Seri]]="","",表1[[#This Row],[Deskripsi Barang]]+表1[[#This Row],[Kuantitas]]-表1[[#This Row],[Satuan]])</f>
        <v/>
      </c>
      <c r="H1277" s="28"/>
      <c r="I1277" s="25" t="str">
        <f>IF(表1[[#This Row],[Tgl NPBG]]&gt;表1[[#This Row],[Peminta]],表1[[#This Row],[Tgl NPBG]]-表1[[#This Row],[Peminta]],"")</f>
        <v/>
      </c>
      <c r="J1277" s="31"/>
    </row>
    <row r="1278" s="12" customFormat="1" customHeight="1" spans="2:10">
      <c r="B1278" s="25"/>
      <c r="C1278" s="25"/>
      <c r="D1278" s="26" t="str" cm="1">
        <f t="array" ref="D1278">IF(C1278="","",IFERROR(INDEX(STPP!$D$6:$D$4207,MATCH(C1278,STPP!$C$6:$C$4207,0)),"Not Found"))</f>
        <v/>
      </c>
      <c r="E1278" s="27" t="str" cm="1">
        <f t="array" ref="E1278">IF(C1278="","",IFERROR(INDEX(STPP!$E$6:$E$4207,MATCH(C1278,STPP!$C$6:$C$4207,0)),"Not Found"))</f>
        <v/>
      </c>
      <c r="F1278" s="27" t="str" cm="1">
        <f t="array" ref="F1278">IF(C1278="","",IFERROR(INDEX(STPP!$F$6:$F$4207,MATCH(C1278,STPP!$C$6:$C$4207,0)),"Not Found"))</f>
        <v/>
      </c>
      <c r="G1278" s="25" t="str">
        <f>IF(表1[[#This Row],[No Seri]]="","",表1[[#This Row],[Deskripsi Barang]]+表1[[#This Row],[Kuantitas]]-表1[[#This Row],[Satuan]])</f>
        <v/>
      </c>
      <c r="H1278" s="28"/>
      <c r="I1278" s="25" t="str">
        <f>IF(表1[[#This Row],[Tgl NPBG]]&gt;表1[[#This Row],[Peminta]],表1[[#This Row],[Tgl NPBG]]-表1[[#This Row],[Peminta]],"")</f>
        <v/>
      </c>
      <c r="J1278" s="31"/>
    </row>
    <row r="1279" s="12" customFormat="1" customHeight="1" spans="2:10">
      <c r="B1279" s="25"/>
      <c r="C1279" s="25"/>
      <c r="D1279" s="26" t="str" cm="1">
        <f t="array" ref="D1279">IF(C1279="","",IFERROR(INDEX(STPP!$D$6:$D$4207,MATCH(C1279,STPP!$C$6:$C$4207,0)),"Not Found"))</f>
        <v/>
      </c>
      <c r="E1279" s="27" t="str" cm="1">
        <f t="array" ref="E1279">IF(C1279="","",IFERROR(INDEX(STPP!$E$6:$E$4207,MATCH(C1279,STPP!$C$6:$C$4207,0)),"Not Found"))</f>
        <v/>
      </c>
      <c r="F1279" s="27" t="str" cm="1">
        <f t="array" ref="F1279">IF(C1279="","",IFERROR(INDEX(STPP!$F$6:$F$4207,MATCH(C1279,STPP!$C$6:$C$4207,0)),"Not Found"))</f>
        <v/>
      </c>
      <c r="G1279" s="25" t="str">
        <f>IF(表1[[#This Row],[No Seri]]="","",表1[[#This Row],[Deskripsi Barang]]+表1[[#This Row],[Kuantitas]]-表1[[#This Row],[Satuan]])</f>
        <v/>
      </c>
      <c r="H1279" s="28"/>
      <c r="I1279" s="25" t="str">
        <f>IF(表1[[#This Row],[Tgl NPBG]]&gt;表1[[#This Row],[Peminta]],表1[[#This Row],[Tgl NPBG]]-表1[[#This Row],[Peminta]],"")</f>
        <v/>
      </c>
      <c r="J1279" s="31"/>
    </row>
    <row r="1280" s="12" customFormat="1" customHeight="1" spans="2:10">
      <c r="B1280" s="25"/>
      <c r="C1280" s="25"/>
      <c r="D1280" s="26" t="str" cm="1">
        <f t="array" ref="D1280">IF(C1280="","",IFERROR(INDEX(STPP!$D$6:$D$4207,MATCH(C1280,STPP!$C$6:$C$4207,0)),"Not Found"))</f>
        <v/>
      </c>
      <c r="E1280" s="27" t="str" cm="1">
        <f t="array" ref="E1280">IF(C1280="","",IFERROR(INDEX(STPP!$E$6:$E$4207,MATCH(C1280,STPP!$C$6:$C$4207,0)),"Not Found"))</f>
        <v/>
      </c>
      <c r="F1280" s="27" t="str" cm="1">
        <f t="array" ref="F1280">IF(C1280="","",IFERROR(INDEX(STPP!$F$6:$F$4207,MATCH(C1280,STPP!$C$6:$C$4207,0)),"Not Found"))</f>
        <v/>
      </c>
      <c r="G1280" s="25" t="str">
        <f>IF(表1[[#This Row],[No Seri]]="","",表1[[#This Row],[Deskripsi Barang]]+表1[[#This Row],[Kuantitas]]-表1[[#This Row],[Satuan]])</f>
        <v/>
      </c>
      <c r="H1280" s="28"/>
      <c r="I1280" s="25" t="str">
        <f>IF(表1[[#This Row],[Tgl NPBG]]&gt;表1[[#This Row],[Peminta]],表1[[#This Row],[Tgl NPBG]]-表1[[#This Row],[Peminta]],"")</f>
        <v/>
      </c>
      <c r="J1280" s="31"/>
    </row>
    <row r="1281" s="12" customFormat="1" customHeight="1" spans="2:10">
      <c r="B1281" s="25"/>
      <c r="C1281" s="25"/>
      <c r="D1281" s="26" t="str" cm="1">
        <f t="array" ref="D1281">IF(C1281="","",IFERROR(INDEX(STPP!$D$6:$D$4207,MATCH(C1281,STPP!$C$6:$C$4207,0)),"Not Found"))</f>
        <v/>
      </c>
      <c r="E1281" s="27" t="str" cm="1">
        <f t="array" ref="E1281">IF(C1281="","",IFERROR(INDEX(STPP!$E$6:$E$4207,MATCH(C1281,STPP!$C$6:$C$4207,0)),"Not Found"))</f>
        <v/>
      </c>
      <c r="F1281" s="27" t="str" cm="1">
        <f t="array" ref="F1281">IF(C1281="","",IFERROR(INDEX(STPP!$F$6:$F$4207,MATCH(C1281,STPP!$C$6:$C$4207,0)),"Not Found"))</f>
        <v/>
      </c>
      <c r="G1281" s="25" t="str">
        <f>IF(表1[[#This Row],[No Seri]]="","",表1[[#This Row],[Deskripsi Barang]]+表1[[#This Row],[Kuantitas]]-表1[[#This Row],[Satuan]])</f>
        <v/>
      </c>
      <c r="H1281" s="28"/>
      <c r="I1281" s="25" t="str">
        <f>IF(表1[[#This Row],[Tgl NPBG]]&gt;表1[[#This Row],[Peminta]],表1[[#This Row],[Tgl NPBG]]-表1[[#This Row],[Peminta]],"")</f>
        <v/>
      </c>
      <c r="J1281" s="31"/>
    </row>
    <row r="1282" s="12" customFormat="1" customHeight="1" spans="2:10">
      <c r="B1282" s="25"/>
      <c r="C1282" s="25"/>
      <c r="D1282" s="26" t="str" cm="1">
        <f t="array" ref="D1282">IF(C1282="","",IFERROR(INDEX(STPP!$D$6:$D$4207,MATCH(C1282,STPP!$C$6:$C$4207,0)),"Not Found"))</f>
        <v/>
      </c>
      <c r="E1282" s="27" t="str" cm="1">
        <f t="array" ref="E1282">IF(C1282="","",IFERROR(INDEX(STPP!$E$6:$E$4207,MATCH(C1282,STPP!$C$6:$C$4207,0)),"Not Found"))</f>
        <v/>
      </c>
      <c r="F1282" s="27" t="str" cm="1">
        <f t="array" ref="F1282">IF(C1282="","",IFERROR(INDEX(STPP!$F$6:$F$4207,MATCH(C1282,STPP!$C$6:$C$4207,0)),"Not Found"))</f>
        <v/>
      </c>
      <c r="G1282" s="25" t="str">
        <f>IF(表1[[#This Row],[No Seri]]="","",表1[[#This Row],[Deskripsi Barang]]+表1[[#This Row],[Kuantitas]]-表1[[#This Row],[Satuan]])</f>
        <v/>
      </c>
      <c r="H1282" s="28"/>
      <c r="I1282" s="25" t="str">
        <f>IF(表1[[#This Row],[Tgl NPBG]]&gt;表1[[#This Row],[Peminta]],表1[[#This Row],[Tgl NPBG]]-表1[[#This Row],[Peminta]],"")</f>
        <v/>
      </c>
      <c r="J1282" s="31"/>
    </row>
    <row r="1283" s="12" customFormat="1" customHeight="1" spans="2:10">
      <c r="B1283" s="25"/>
      <c r="C1283" s="25"/>
      <c r="D1283" s="26" t="str" cm="1">
        <f t="array" ref="D1283">IF(C1283="","",IFERROR(INDEX(STPP!$D$6:$D$4207,MATCH(C1283,STPP!$C$6:$C$4207,0)),"Not Found"))</f>
        <v/>
      </c>
      <c r="E1283" s="27" t="str" cm="1">
        <f t="array" ref="E1283">IF(C1283="","",IFERROR(INDEX(STPP!$E$6:$E$4207,MATCH(C1283,STPP!$C$6:$C$4207,0)),"Not Found"))</f>
        <v/>
      </c>
      <c r="F1283" s="27" t="str" cm="1">
        <f t="array" ref="F1283">IF(C1283="","",IFERROR(INDEX(STPP!$F$6:$F$4207,MATCH(C1283,STPP!$C$6:$C$4207,0)),"Not Found"))</f>
        <v/>
      </c>
      <c r="G1283" s="25" t="str">
        <f>IF(表1[[#This Row],[No Seri]]="","",表1[[#This Row],[Deskripsi Barang]]+表1[[#This Row],[Kuantitas]]-表1[[#This Row],[Satuan]])</f>
        <v/>
      </c>
      <c r="H1283" s="28"/>
      <c r="I1283" s="25" t="str">
        <f>IF(表1[[#This Row],[Tgl NPBG]]&gt;表1[[#This Row],[Peminta]],表1[[#This Row],[Tgl NPBG]]-表1[[#This Row],[Peminta]],"")</f>
        <v/>
      </c>
      <c r="J1283" s="31"/>
    </row>
    <row r="1284" s="12" customFormat="1" customHeight="1" spans="2:10">
      <c r="B1284" s="25"/>
      <c r="C1284" s="25"/>
      <c r="D1284" s="26" t="str" cm="1">
        <f t="array" ref="D1284">IF(C1284="","",IFERROR(INDEX(STPP!$D$6:$D$4207,MATCH(C1284,STPP!$C$6:$C$4207,0)),"Not Found"))</f>
        <v/>
      </c>
      <c r="E1284" s="27" t="str" cm="1">
        <f t="array" ref="E1284">IF(C1284="","",IFERROR(INDEX(STPP!$E$6:$E$4207,MATCH(C1284,STPP!$C$6:$C$4207,0)),"Not Found"))</f>
        <v/>
      </c>
      <c r="F1284" s="27" t="str" cm="1">
        <f t="array" ref="F1284">IF(C1284="","",IFERROR(INDEX(STPP!$F$6:$F$4207,MATCH(C1284,STPP!$C$6:$C$4207,0)),"Not Found"))</f>
        <v/>
      </c>
      <c r="G1284" s="25" t="str">
        <f>IF(表1[[#This Row],[No Seri]]="","",表1[[#This Row],[Deskripsi Barang]]+表1[[#This Row],[Kuantitas]]-表1[[#This Row],[Satuan]])</f>
        <v/>
      </c>
      <c r="H1284" s="28"/>
      <c r="I1284" s="25" t="str">
        <f>IF(表1[[#This Row],[Tgl NPBG]]&gt;表1[[#This Row],[Peminta]],表1[[#This Row],[Tgl NPBG]]-表1[[#This Row],[Peminta]],"")</f>
        <v/>
      </c>
      <c r="J1284" s="31"/>
    </row>
    <row r="1285" s="12" customFormat="1" customHeight="1" spans="2:10">
      <c r="B1285" s="25"/>
      <c r="C1285" s="25"/>
      <c r="D1285" s="26" t="str" cm="1">
        <f t="array" ref="D1285">IF(C1285="","",IFERROR(INDEX(STPP!$D$6:$D$4207,MATCH(C1285,STPP!$C$6:$C$4207,0)),"Not Found"))</f>
        <v/>
      </c>
      <c r="E1285" s="27" t="str" cm="1">
        <f t="array" ref="E1285">IF(C1285="","",IFERROR(INDEX(STPP!$E$6:$E$4207,MATCH(C1285,STPP!$C$6:$C$4207,0)),"Not Found"))</f>
        <v/>
      </c>
      <c r="F1285" s="27" t="str" cm="1">
        <f t="array" ref="F1285">IF(C1285="","",IFERROR(INDEX(STPP!$F$6:$F$4207,MATCH(C1285,STPP!$C$6:$C$4207,0)),"Not Found"))</f>
        <v/>
      </c>
      <c r="G1285" s="25" t="str">
        <f>IF(表1[[#This Row],[No Seri]]="","",表1[[#This Row],[Deskripsi Barang]]+表1[[#This Row],[Kuantitas]]-表1[[#This Row],[Satuan]])</f>
        <v/>
      </c>
      <c r="H1285" s="28"/>
      <c r="I1285" s="25" t="str">
        <f>IF(表1[[#This Row],[Tgl NPBG]]&gt;表1[[#This Row],[Peminta]],表1[[#This Row],[Tgl NPBG]]-表1[[#This Row],[Peminta]],"")</f>
        <v/>
      </c>
      <c r="J1285" s="31"/>
    </row>
    <row r="1286" s="12" customFormat="1" customHeight="1" spans="2:10">
      <c r="B1286" s="25"/>
      <c r="C1286" s="25"/>
      <c r="D1286" s="26" t="str" cm="1">
        <f t="array" ref="D1286">IF(C1286="","",IFERROR(INDEX(STPP!$D$6:$D$4207,MATCH(C1286,STPP!$C$6:$C$4207,0)),"Not Found"))</f>
        <v/>
      </c>
      <c r="E1286" s="27" t="str" cm="1">
        <f t="array" ref="E1286">IF(C1286="","",IFERROR(INDEX(STPP!$E$6:$E$4207,MATCH(C1286,STPP!$C$6:$C$4207,0)),"Not Found"))</f>
        <v/>
      </c>
      <c r="F1286" s="27" t="str" cm="1">
        <f t="array" ref="F1286">IF(C1286="","",IFERROR(INDEX(STPP!$F$6:$F$4207,MATCH(C1286,STPP!$C$6:$C$4207,0)),"Not Found"))</f>
        <v/>
      </c>
      <c r="G1286" s="25" t="str">
        <f>IF(表1[[#This Row],[No Seri]]="","",表1[[#This Row],[Deskripsi Barang]]+表1[[#This Row],[Kuantitas]]-表1[[#This Row],[Satuan]])</f>
        <v/>
      </c>
      <c r="H1286" s="28"/>
      <c r="I1286" s="25" t="str">
        <f>IF(表1[[#This Row],[Tgl NPBG]]&gt;表1[[#This Row],[Peminta]],表1[[#This Row],[Tgl NPBG]]-表1[[#This Row],[Peminta]],"")</f>
        <v/>
      </c>
      <c r="J1286" s="31"/>
    </row>
    <row r="1287" s="12" customFormat="1" customHeight="1" spans="2:10">
      <c r="B1287" s="25"/>
      <c r="C1287" s="25"/>
      <c r="D1287" s="26" t="str" cm="1">
        <f t="array" ref="D1287">IF(C1287="","",IFERROR(INDEX(STPP!$D$6:$D$4207,MATCH(C1287,STPP!$C$6:$C$4207,0)),"Not Found"))</f>
        <v/>
      </c>
      <c r="E1287" s="27" t="str" cm="1">
        <f t="array" ref="E1287">IF(C1287="","",IFERROR(INDEX(STPP!$E$6:$E$4207,MATCH(C1287,STPP!$C$6:$C$4207,0)),"Not Found"))</f>
        <v/>
      </c>
      <c r="F1287" s="27" t="str" cm="1">
        <f t="array" ref="F1287">IF(C1287="","",IFERROR(INDEX(STPP!$F$6:$F$4207,MATCH(C1287,STPP!$C$6:$C$4207,0)),"Not Found"))</f>
        <v/>
      </c>
      <c r="G1287" s="25" t="str">
        <f>IF(表1[[#This Row],[No Seri]]="","",表1[[#This Row],[Deskripsi Barang]]+表1[[#This Row],[Kuantitas]]-表1[[#This Row],[Satuan]])</f>
        <v/>
      </c>
      <c r="H1287" s="28"/>
      <c r="I1287" s="25" t="str">
        <f>IF(表1[[#This Row],[Tgl NPBG]]&gt;表1[[#This Row],[Peminta]],表1[[#This Row],[Tgl NPBG]]-表1[[#This Row],[Peminta]],"")</f>
        <v/>
      </c>
      <c r="J1287" s="31"/>
    </row>
    <row r="1288" s="12" customFormat="1" customHeight="1" spans="2:10">
      <c r="B1288" s="25"/>
      <c r="C1288" s="25"/>
      <c r="D1288" s="26" t="str" cm="1">
        <f t="array" ref="D1288">IF(C1288="","",IFERROR(INDEX(STPP!$D$6:$D$4207,MATCH(C1288,STPP!$C$6:$C$4207,0)),"Not Found"))</f>
        <v/>
      </c>
      <c r="E1288" s="27" t="str" cm="1">
        <f t="array" ref="E1288">IF(C1288="","",IFERROR(INDEX(STPP!$E$6:$E$4207,MATCH(C1288,STPP!$C$6:$C$4207,0)),"Not Found"))</f>
        <v/>
      </c>
      <c r="F1288" s="27" t="str" cm="1">
        <f t="array" ref="F1288">IF(C1288="","",IFERROR(INDEX(STPP!$F$6:$F$4207,MATCH(C1288,STPP!$C$6:$C$4207,0)),"Not Found"))</f>
        <v/>
      </c>
      <c r="G1288" s="25" t="str">
        <f>IF(表1[[#This Row],[No Seri]]="","",表1[[#This Row],[Deskripsi Barang]]+表1[[#This Row],[Kuantitas]]-表1[[#This Row],[Satuan]])</f>
        <v/>
      </c>
      <c r="H1288" s="28"/>
      <c r="I1288" s="25" t="str">
        <f>IF(表1[[#This Row],[Tgl NPBG]]&gt;表1[[#This Row],[Peminta]],表1[[#This Row],[Tgl NPBG]]-表1[[#This Row],[Peminta]],"")</f>
        <v/>
      </c>
      <c r="J1288" s="31"/>
    </row>
    <row r="1289" s="12" customFormat="1" customHeight="1" spans="2:10">
      <c r="B1289" s="25"/>
      <c r="C1289" s="25"/>
      <c r="D1289" s="26" t="str" cm="1">
        <f t="array" ref="D1289">IF(C1289="","",IFERROR(INDEX(STPP!$D$6:$D$4207,MATCH(C1289,STPP!$C$6:$C$4207,0)),"Not Found"))</f>
        <v/>
      </c>
      <c r="E1289" s="27" t="str" cm="1">
        <f t="array" ref="E1289">IF(C1289="","",IFERROR(INDEX(STPP!$E$6:$E$4207,MATCH(C1289,STPP!$C$6:$C$4207,0)),"Not Found"))</f>
        <v/>
      </c>
      <c r="F1289" s="27" t="str" cm="1">
        <f t="array" ref="F1289">IF(C1289="","",IFERROR(INDEX(STPP!$F$6:$F$4207,MATCH(C1289,STPP!$C$6:$C$4207,0)),"Not Found"))</f>
        <v/>
      </c>
      <c r="G1289" s="25" t="str">
        <f>IF(表1[[#This Row],[No Seri]]="","",表1[[#This Row],[Deskripsi Barang]]+表1[[#This Row],[Kuantitas]]-表1[[#This Row],[Satuan]])</f>
        <v/>
      </c>
      <c r="H1289" s="28"/>
      <c r="I1289" s="25" t="str">
        <f>IF(表1[[#This Row],[Tgl NPBG]]&gt;表1[[#This Row],[Peminta]],表1[[#This Row],[Tgl NPBG]]-表1[[#This Row],[Peminta]],"")</f>
        <v/>
      </c>
      <c r="J1289" s="31"/>
    </row>
    <row r="1290" s="12" customFormat="1" customHeight="1" spans="2:10">
      <c r="B1290" s="25"/>
      <c r="C1290" s="25"/>
      <c r="D1290" s="26" t="str" cm="1">
        <f t="array" ref="D1290">IF(C1290="","",IFERROR(INDEX(STPP!$D$6:$D$4207,MATCH(C1290,STPP!$C$6:$C$4207,0)),"Not Found"))</f>
        <v/>
      </c>
      <c r="E1290" s="27" t="str" cm="1">
        <f t="array" ref="E1290">IF(C1290="","",IFERROR(INDEX(STPP!$E$6:$E$4207,MATCH(C1290,STPP!$C$6:$C$4207,0)),"Not Found"))</f>
        <v/>
      </c>
      <c r="F1290" s="27" t="str" cm="1">
        <f t="array" ref="F1290">IF(C1290="","",IFERROR(INDEX(STPP!$F$6:$F$4207,MATCH(C1290,STPP!$C$6:$C$4207,0)),"Not Found"))</f>
        <v/>
      </c>
      <c r="G1290" s="25" t="str">
        <f>IF(表1[[#This Row],[No Seri]]="","",表1[[#This Row],[Deskripsi Barang]]+表1[[#This Row],[Kuantitas]]-表1[[#This Row],[Satuan]])</f>
        <v/>
      </c>
      <c r="H1290" s="28"/>
      <c r="I1290" s="25" t="str">
        <f>IF(表1[[#This Row],[Tgl NPBG]]&gt;表1[[#This Row],[Peminta]],表1[[#This Row],[Tgl NPBG]]-表1[[#This Row],[Peminta]],"")</f>
        <v/>
      </c>
      <c r="J1290" s="31"/>
    </row>
    <row r="1291" s="12" customFormat="1" customHeight="1" spans="2:10">
      <c r="B1291" s="25"/>
      <c r="C1291" s="25"/>
      <c r="D1291" s="26" t="str" cm="1">
        <f t="array" ref="D1291">IF(C1291="","",IFERROR(INDEX(STPP!$D$6:$D$4207,MATCH(C1291,STPP!$C$6:$C$4207,0)),"Not Found"))</f>
        <v/>
      </c>
      <c r="E1291" s="27" t="str" cm="1">
        <f t="array" ref="E1291">IF(C1291="","",IFERROR(INDEX(STPP!$E$6:$E$4207,MATCH(C1291,STPP!$C$6:$C$4207,0)),"Not Found"))</f>
        <v/>
      </c>
      <c r="F1291" s="27" t="str" cm="1">
        <f t="array" ref="F1291">IF(C1291="","",IFERROR(INDEX(STPP!$F$6:$F$4207,MATCH(C1291,STPP!$C$6:$C$4207,0)),"Not Found"))</f>
        <v/>
      </c>
      <c r="G1291" s="25" t="str">
        <f>IF(表1[[#This Row],[No Seri]]="","",表1[[#This Row],[Deskripsi Barang]]+表1[[#This Row],[Kuantitas]]-表1[[#This Row],[Satuan]])</f>
        <v/>
      </c>
      <c r="H1291" s="28"/>
      <c r="I1291" s="25" t="str">
        <f>IF(表1[[#This Row],[Tgl NPBG]]&gt;表1[[#This Row],[Peminta]],表1[[#This Row],[Tgl NPBG]]-表1[[#This Row],[Peminta]],"")</f>
        <v/>
      </c>
      <c r="J1291" s="31"/>
    </row>
    <row r="1292" s="12" customFormat="1" customHeight="1" spans="2:10">
      <c r="B1292" s="25"/>
      <c r="C1292" s="25"/>
      <c r="D1292" s="26" t="str" cm="1">
        <f t="array" ref="D1292">IF(C1292="","",IFERROR(INDEX(STPP!$D$6:$D$4207,MATCH(C1292,STPP!$C$6:$C$4207,0)),"Not Found"))</f>
        <v/>
      </c>
      <c r="E1292" s="27" t="str" cm="1">
        <f t="array" ref="E1292">IF(C1292="","",IFERROR(INDEX(STPP!$E$6:$E$4207,MATCH(C1292,STPP!$C$6:$C$4207,0)),"Not Found"))</f>
        <v/>
      </c>
      <c r="F1292" s="27" t="str" cm="1">
        <f t="array" ref="F1292">IF(C1292="","",IFERROR(INDEX(STPP!$F$6:$F$4207,MATCH(C1292,STPP!$C$6:$C$4207,0)),"Not Found"))</f>
        <v/>
      </c>
      <c r="G1292" s="25" t="str">
        <f>IF(表1[[#This Row],[No Seri]]="","",表1[[#This Row],[Deskripsi Barang]]+表1[[#This Row],[Kuantitas]]-表1[[#This Row],[Satuan]])</f>
        <v/>
      </c>
      <c r="H1292" s="28"/>
      <c r="I1292" s="25" t="str">
        <f>IF(表1[[#This Row],[Tgl NPBG]]&gt;表1[[#This Row],[Peminta]],表1[[#This Row],[Tgl NPBG]]-表1[[#This Row],[Peminta]],"")</f>
        <v/>
      </c>
      <c r="J1292" s="31"/>
    </row>
    <row r="1293" s="12" customFormat="1" customHeight="1" spans="2:10">
      <c r="B1293" s="25"/>
      <c r="C1293" s="25"/>
      <c r="D1293" s="26" t="str" cm="1">
        <f t="array" ref="D1293">IF(C1293="","",IFERROR(INDEX(STPP!$D$6:$D$4207,MATCH(C1293,STPP!$C$6:$C$4207,0)),"Not Found"))</f>
        <v/>
      </c>
      <c r="E1293" s="27" t="str" cm="1">
        <f t="array" ref="E1293">IF(C1293="","",IFERROR(INDEX(STPP!$E$6:$E$4207,MATCH(C1293,STPP!$C$6:$C$4207,0)),"Not Found"))</f>
        <v/>
      </c>
      <c r="F1293" s="27" t="str" cm="1">
        <f t="array" ref="F1293">IF(C1293="","",IFERROR(INDEX(STPP!$F$6:$F$4207,MATCH(C1293,STPP!$C$6:$C$4207,0)),"Not Found"))</f>
        <v/>
      </c>
      <c r="G1293" s="25" t="str">
        <f>IF(表1[[#This Row],[No Seri]]="","",表1[[#This Row],[Deskripsi Barang]]+表1[[#This Row],[Kuantitas]]-表1[[#This Row],[Satuan]])</f>
        <v/>
      </c>
      <c r="H1293" s="28"/>
      <c r="I1293" s="25" t="str">
        <f>IF(表1[[#This Row],[Tgl NPBG]]&gt;表1[[#This Row],[Peminta]],表1[[#This Row],[Tgl NPBG]]-表1[[#This Row],[Peminta]],"")</f>
        <v/>
      </c>
      <c r="J1293" s="31"/>
    </row>
    <row r="1294" s="12" customFormat="1" customHeight="1" spans="2:10">
      <c r="B1294" s="25"/>
      <c r="C1294" s="25"/>
      <c r="D1294" s="26" t="str" cm="1">
        <f t="array" ref="D1294">IF(C1294="","",IFERROR(INDEX(STPP!$D$6:$D$4207,MATCH(C1294,STPP!$C$6:$C$4207,0)),"Not Found"))</f>
        <v/>
      </c>
      <c r="E1294" s="27" t="str" cm="1">
        <f t="array" ref="E1294">IF(C1294="","",IFERROR(INDEX(STPP!$E$6:$E$4207,MATCH(C1294,STPP!$C$6:$C$4207,0)),"Not Found"))</f>
        <v/>
      </c>
      <c r="F1294" s="27" t="str" cm="1">
        <f t="array" ref="F1294">IF(C1294="","",IFERROR(INDEX(STPP!$F$6:$F$4207,MATCH(C1294,STPP!$C$6:$C$4207,0)),"Not Found"))</f>
        <v/>
      </c>
      <c r="G1294" s="25" t="str">
        <f>IF(表1[[#This Row],[No Seri]]="","",表1[[#This Row],[Deskripsi Barang]]+表1[[#This Row],[Kuantitas]]-表1[[#This Row],[Satuan]])</f>
        <v/>
      </c>
      <c r="H1294" s="28"/>
      <c r="I1294" s="25" t="str">
        <f>IF(表1[[#This Row],[Tgl NPBG]]&gt;表1[[#This Row],[Peminta]],表1[[#This Row],[Tgl NPBG]]-表1[[#This Row],[Peminta]],"")</f>
        <v/>
      </c>
      <c r="J1294" s="31"/>
    </row>
    <row r="1295" s="12" customFormat="1" customHeight="1" spans="2:10">
      <c r="B1295" s="25"/>
      <c r="C1295" s="25"/>
      <c r="D1295" s="26" t="str" cm="1">
        <f t="array" ref="D1295">IF(C1295="","",IFERROR(INDEX(STPP!$D$6:$D$4207,MATCH(C1295,STPP!$C$6:$C$4207,0)),"Not Found"))</f>
        <v/>
      </c>
      <c r="E1295" s="27" t="str" cm="1">
        <f t="array" ref="E1295">IF(C1295="","",IFERROR(INDEX(STPP!$E$6:$E$4207,MATCH(C1295,STPP!$C$6:$C$4207,0)),"Not Found"))</f>
        <v/>
      </c>
      <c r="F1295" s="27" t="str" cm="1">
        <f t="array" ref="F1295">IF(C1295="","",IFERROR(INDEX(STPP!$F$6:$F$4207,MATCH(C1295,STPP!$C$6:$C$4207,0)),"Not Found"))</f>
        <v/>
      </c>
      <c r="G1295" s="25" t="str">
        <f>IF(表1[[#This Row],[No Seri]]="","",表1[[#This Row],[Deskripsi Barang]]+表1[[#This Row],[Kuantitas]]-表1[[#This Row],[Satuan]])</f>
        <v/>
      </c>
      <c r="H1295" s="28"/>
      <c r="I1295" s="25" t="str">
        <f>IF(表1[[#This Row],[Tgl NPBG]]&gt;表1[[#This Row],[Peminta]],表1[[#This Row],[Tgl NPBG]]-表1[[#This Row],[Peminta]],"")</f>
        <v/>
      </c>
      <c r="J1295" s="31"/>
    </row>
    <row r="1296" s="12" customFormat="1" customHeight="1" spans="2:10">
      <c r="B1296" s="25"/>
      <c r="C1296" s="25"/>
      <c r="D1296" s="26" t="str" cm="1">
        <f t="array" ref="D1296">IF(C1296="","",IFERROR(INDEX(STPP!$D$6:$D$4207,MATCH(C1296,STPP!$C$6:$C$4207,0)),"Not Found"))</f>
        <v/>
      </c>
      <c r="E1296" s="27" t="str" cm="1">
        <f t="array" ref="E1296">IF(C1296="","",IFERROR(INDEX(STPP!$E$6:$E$4207,MATCH(C1296,STPP!$C$6:$C$4207,0)),"Not Found"))</f>
        <v/>
      </c>
      <c r="F1296" s="27" t="str" cm="1">
        <f t="array" ref="F1296">IF(C1296="","",IFERROR(INDEX(STPP!$F$6:$F$4207,MATCH(C1296,STPP!$C$6:$C$4207,0)),"Not Found"))</f>
        <v/>
      </c>
      <c r="G1296" s="25" t="str">
        <f>IF(表1[[#This Row],[No Seri]]="","",表1[[#This Row],[Deskripsi Barang]]+表1[[#This Row],[Kuantitas]]-表1[[#This Row],[Satuan]])</f>
        <v/>
      </c>
      <c r="H1296" s="28"/>
      <c r="I1296" s="25" t="str">
        <f>IF(表1[[#This Row],[Tgl NPBG]]&gt;表1[[#This Row],[Peminta]],表1[[#This Row],[Tgl NPBG]]-表1[[#This Row],[Peminta]],"")</f>
        <v/>
      </c>
      <c r="J1296" s="31"/>
    </row>
    <row r="1297" s="12" customFormat="1" customHeight="1" spans="2:10">
      <c r="B1297" s="25"/>
      <c r="C1297" s="25"/>
      <c r="D1297" s="26" t="str" cm="1">
        <f t="array" ref="D1297">IF(C1297="","",IFERROR(INDEX(STPP!$D$6:$D$4207,MATCH(C1297,STPP!$C$6:$C$4207,0)),"Not Found"))</f>
        <v/>
      </c>
      <c r="E1297" s="27" t="str" cm="1">
        <f t="array" ref="E1297">IF(C1297="","",IFERROR(INDEX(STPP!$E$6:$E$4207,MATCH(C1297,STPP!$C$6:$C$4207,0)),"Not Found"))</f>
        <v/>
      </c>
      <c r="F1297" s="27" t="str" cm="1">
        <f t="array" ref="F1297">IF(C1297="","",IFERROR(INDEX(STPP!$F$6:$F$4207,MATCH(C1297,STPP!$C$6:$C$4207,0)),"Not Found"))</f>
        <v/>
      </c>
      <c r="G1297" s="25" t="str">
        <f>IF(表1[[#This Row],[No Seri]]="","",表1[[#This Row],[Deskripsi Barang]]+表1[[#This Row],[Kuantitas]]-表1[[#This Row],[Satuan]])</f>
        <v/>
      </c>
      <c r="H1297" s="28"/>
      <c r="I1297" s="25" t="str">
        <f>IF(表1[[#This Row],[Tgl NPBG]]&gt;表1[[#This Row],[Peminta]],表1[[#This Row],[Tgl NPBG]]-表1[[#This Row],[Peminta]],"")</f>
        <v/>
      </c>
      <c r="J1297" s="31"/>
    </row>
    <row r="1298" s="12" customFormat="1" customHeight="1" spans="2:10">
      <c r="B1298" s="25"/>
      <c r="C1298" s="25"/>
      <c r="D1298" s="26" t="str" cm="1">
        <f t="array" ref="D1298">IF(C1298="","",IFERROR(INDEX(STPP!$D$6:$D$4207,MATCH(C1298,STPP!$C$6:$C$4207,0)),"Not Found"))</f>
        <v/>
      </c>
      <c r="E1298" s="27" t="str" cm="1">
        <f t="array" ref="E1298">IF(C1298="","",IFERROR(INDEX(STPP!$E$6:$E$4207,MATCH(C1298,STPP!$C$6:$C$4207,0)),"Not Found"))</f>
        <v/>
      </c>
      <c r="F1298" s="27" t="str" cm="1">
        <f t="array" ref="F1298">IF(C1298="","",IFERROR(INDEX(STPP!$F$6:$F$4207,MATCH(C1298,STPP!$C$6:$C$4207,0)),"Not Found"))</f>
        <v/>
      </c>
      <c r="G1298" s="25" t="str">
        <f>IF(表1[[#This Row],[No Seri]]="","",表1[[#This Row],[Deskripsi Barang]]+表1[[#This Row],[Kuantitas]]-表1[[#This Row],[Satuan]])</f>
        <v/>
      </c>
      <c r="H1298" s="28"/>
      <c r="I1298" s="25" t="str">
        <f>IF(表1[[#This Row],[Tgl NPBG]]&gt;表1[[#This Row],[Peminta]],表1[[#This Row],[Tgl NPBG]]-表1[[#This Row],[Peminta]],"")</f>
        <v/>
      </c>
      <c r="J1298" s="31"/>
    </row>
    <row r="1299" s="12" customFormat="1" customHeight="1" spans="2:10">
      <c r="B1299" s="25"/>
      <c r="C1299" s="25"/>
      <c r="D1299" s="26" t="str" cm="1">
        <f t="array" ref="D1299">IF(C1299="","",IFERROR(INDEX(STPP!$D$6:$D$4207,MATCH(C1299,STPP!$C$6:$C$4207,0)),"Not Found"))</f>
        <v/>
      </c>
      <c r="E1299" s="27" t="str" cm="1">
        <f t="array" ref="E1299">IF(C1299="","",IFERROR(INDEX(STPP!$E$6:$E$4207,MATCH(C1299,STPP!$C$6:$C$4207,0)),"Not Found"))</f>
        <v/>
      </c>
      <c r="F1299" s="27" t="str" cm="1">
        <f t="array" ref="F1299">IF(C1299="","",IFERROR(INDEX(STPP!$F$6:$F$4207,MATCH(C1299,STPP!$C$6:$C$4207,0)),"Not Found"))</f>
        <v/>
      </c>
      <c r="G1299" s="25" t="str">
        <f>IF(表1[[#This Row],[No Seri]]="","",表1[[#This Row],[Deskripsi Barang]]+表1[[#This Row],[Kuantitas]]-表1[[#This Row],[Satuan]])</f>
        <v/>
      </c>
      <c r="H1299" s="28"/>
      <c r="I1299" s="25" t="str">
        <f>IF(表1[[#This Row],[Tgl NPBG]]&gt;表1[[#This Row],[Peminta]],表1[[#This Row],[Tgl NPBG]]-表1[[#This Row],[Peminta]],"")</f>
        <v/>
      </c>
      <c r="J1299" s="31"/>
    </row>
    <row r="1300" s="12" customFormat="1" customHeight="1" spans="2:10">
      <c r="B1300" s="25"/>
      <c r="C1300" s="25"/>
      <c r="D1300" s="26" t="str" cm="1">
        <f t="array" ref="D1300">IF(C1300="","",IFERROR(INDEX(STPP!$D$6:$D$4207,MATCH(C1300,STPP!$C$6:$C$4207,0)),"Not Found"))</f>
        <v/>
      </c>
      <c r="E1300" s="27" t="str" cm="1">
        <f t="array" ref="E1300">IF(C1300="","",IFERROR(INDEX(STPP!$E$6:$E$4207,MATCH(C1300,STPP!$C$6:$C$4207,0)),"Not Found"))</f>
        <v/>
      </c>
      <c r="F1300" s="27" t="str" cm="1">
        <f t="array" ref="F1300">IF(C1300="","",IFERROR(INDEX(STPP!$F$6:$F$4207,MATCH(C1300,STPP!$C$6:$C$4207,0)),"Not Found"))</f>
        <v/>
      </c>
      <c r="G1300" s="25" t="str">
        <f>IF(表1[[#This Row],[No Seri]]="","",表1[[#This Row],[Deskripsi Barang]]+表1[[#This Row],[Kuantitas]]-表1[[#This Row],[Satuan]])</f>
        <v/>
      </c>
      <c r="H1300" s="28"/>
      <c r="I1300" s="25" t="str">
        <f>IF(表1[[#This Row],[Tgl NPBG]]&gt;表1[[#This Row],[Peminta]],表1[[#This Row],[Tgl NPBG]]-表1[[#This Row],[Peminta]],"")</f>
        <v/>
      </c>
      <c r="J1300" s="31"/>
    </row>
    <row r="1301" s="12" customFormat="1" customHeight="1" spans="2:10">
      <c r="B1301" s="25"/>
      <c r="C1301" s="25"/>
      <c r="D1301" s="26" t="str" cm="1">
        <f t="array" ref="D1301">IF(C1301="","",IFERROR(INDEX(STPP!$D$6:$D$4207,MATCH(C1301,STPP!$C$6:$C$4207,0)),"Not Found"))</f>
        <v/>
      </c>
      <c r="E1301" s="27" t="str" cm="1">
        <f t="array" ref="E1301">IF(C1301="","",IFERROR(INDEX(STPP!$E$6:$E$4207,MATCH(C1301,STPP!$C$6:$C$4207,0)),"Not Found"))</f>
        <v/>
      </c>
      <c r="F1301" s="27" t="str" cm="1">
        <f t="array" ref="F1301">IF(C1301="","",IFERROR(INDEX(STPP!$F$6:$F$4207,MATCH(C1301,STPP!$C$6:$C$4207,0)),"Not Found"))</f>
        <v/>
      </c>
      <c r="G1301" s="25" t="str">
        <f>IF(表1[[#This Row],[No Seri]]="","",表1[[#This Row],[Deskripsi Barang]]+表1[[#This Row],[Kuantitas]]-表1[[#This Row],[Satuan]])</f>
        <v/>
      </c>
      <c r="H1301" s="28"/>
      <c r="I1301" s="25" t="str">
        <f>IF(表1[[#This Row],[Tgl NPBG]]&gt;表1[[#This Row],[Peminta]],表1[[#This Row],[Tgl NPBG]]-表1[[#This Row],[Peminta]],"")</f>
        <v/>
      </c>
      <c r="J1301" s="31"/>
    </row>
    <row r="1302" s="12" customFormat="1" customHeight="1" spans="2:10">
      <c r="B1302" s="25"/>
      <c r="C1302" s="25"/>
      <c r="D1302" s="26" t="str" cm="1">
        <f t="array" ref="D1302">IF(C1302="","",IFERROR(INDEX(STPP!$D$6:$D$4207,MATCH(C1302,STPP!$C$6:$C$4207,0)),"Not Found"))</f>
        <v/>
      </c>
      <c r="E1302" s="27" t="str" cm="1">
        <f t="array" ref="E1302">IF(C1302="","",IFERROR(INDEX(STPP!$E$6:$E$4207,MATCH(C1302,STPP!$C$6:$C$4207,0)),"Not Found"))</f>
        <v/>
      </c>
      <c r="F1302" s="27" t="str" cm="1">
        <f t="array" ref="F1302">IF(C1302="","",IFERROR(INDEX(STPP!$F$6:$F$4207,MATCH(C1302,STPP!$C$6:$C$4207,0)),"Not Found"))</f>
        <v/>
      </c>
      <c r="G1302" s="25" t="str">
        <f>IF(表1[[#This Row],[No Seri]]="","",表1[[#This Row],[Deskripsi Barang]]+表1[[#This Row],[Kuantitas]]-表1[[#This Row],[Satuan]])</f>
        <v/>
      </c>
      <c r="H1302" s="28"/>
      <c r="I1302" s="25" t="str">
        <f>IF(表1[[#This Row],[Tgl NPBG]]&gt;表1[[#This Row],[Peminta]],表1[[#This Row],[Tgl NPBG]]-表1[[#This Row],[Peminta]],"")</f>
        <v/>
      </c>
      <c r="J1302" s="31"/>
    </row>
    <row r="1303" s="12" customFormat="1" customHeight="1" spans="2:10">
      <c r="B1303" s="25"/>
      <c r="C1303" s="25"/>
      <c r="D1303" s="26" t="str" cm="1">
        <f t="array" ref="D1303">IF(C1303="","",IFERROR(INDEX(STPP!$D$6:$D$4207,MATCH(C1303,STPP!$C$6:$C$4207,0)),"Not Found"))</f>
        <v/>
      </c>
      <c r="E1303" s="27" t="str" cm="1">
        <f t="array" ref="E1303">IF(C1303="","",IFERROR(INDEX(STPP!$E$6:$E$4207,MATCH(C1303,STPP!$C$6:$C$4207,0)),"Not Found"))</f>
        <v/>
      </c>
      <c r="F1303" s="27" t="str" cm="1">
        <f t="array" ref="F1303">IF(C1303="","",IFERROR(INDEX(STPP!$F$6:$F$4207,MATCH(C1303,STPP!$C$6:$C$4207,0)),"Not Found"))</f>
        <v/>
      </c>
      <c r="G1303" s="25" t="str">
        <f>IF(表1[[#This Row],[No Seri]]="","",表1[[#This Row],[Deskripsi Barang]]+表1[[#This Row],[Kuantitas]]-表1[[#This Row],[Satuan]])</f>
        <v/>
      </c>
      <c r="H1303" s="28"/>
      <c r="I1303" s="25" t="str">
        <f>IF(表1[[#This Row],[Tgl NPBG]]&gt;表1[[#This Row],[Peminta]],表1[[#This Row],[Tgl NPBG]]-表1[[#This Row],[Peminta]],"")</f>
        <v/>
      </c>
      <c r="J1303" s="31"/>
    </row>
    <row r="1304" s="12" customFormat="1" customHeight="1" spans="2:10">
      <c r="B1304" s="25"/>
      <c r="C1304" s="25"/>
      <c r="D1304" s="26" t="str" cm="1">
        <f t="array" ref="D1304">IF(C1304="","",IFERROR(INDEX(STPP!$D$6:$D$4207,MATCH(C1304,STPP!$C$6:$C$4207,0)),"Not Found"))</f>
        <v/>
      </c>
      <c r="E1304" s="27" t="str" cm="1">
        <f t="array" ref="E1304">IF(C1304="","",IFERROR(INDEX(STPP!$E$6:$E$4207,MATCH(C1304,STPP!$C$6:$C$4207,0)),"Not Found"))</f>
        <v/>
      </c>
      <c r="F1304" s="27" t="str" cm="1">
        <f t="array" ref="F1304">IF(C1304="","",IFERROR(INDEX(STPP!$F$6:$F$4207,MATCH(C1304,STPP!$C$6:$C$4207,0)),"Not Found"))</f>
        <v/>
      </c>
      <c r="G1304" s="25" t="str">
        <f>IF(表1[[#This Row],[No Seri]]="","",表1[[#This Row],[Deskripsi Barang]]+表1[[#This Row],[Kuantitas]]-表1[[#This Row],[Satuan]])</f>
        <v/>
      </c>
      <c r="H1304" s="28"/>
      <c r="I1304" s="25" t="str">
        <f>IF(表1[[#This Row],[Tgl NPBG]]&gt;表1[[#This Row],[Peminta]],表1[[#This Row],[Tgl NPBG]]-表1[[#This Row],[Peminta]],"")</f>
        <v/>
      </c>
      <c r="J1304" s="31"/>
    </row>
    <row r="1305" s="12" customFormat="1" customHeight="1" spans="2:10">
      <c r="B1305" s="25"/>
      <c r="C1305" s="25"/>
      <c r="D1305" s="26" t="str" cm="1">
        <f t="array" ref="D1305">IF(C1305="","",IFERROR(INDEX(STPP!$D$6:$D$4207,MATCH(C1305,STPP!$C$6:$C$4207,0)),"Not Found"))</f>
        <v/>
      </c>
      <c r="E1305" s="27" t="str" cm="1">
        <f t="array" ref="E1305">IF(C1305="","",IFERROR(INDEX(STPP!$E$6:$E$4207,MATCH(C1305,STPP!$C$6:$C$4207,0)),"Not Found"))</f>
        <v/>
      </c>
      <c r="F1305" s="27" t="str" cm="1">
        <f t="array" ref="F1305">IF(C1305="","",IFERROR(INDEX(STPP!$F$6:$F$4207,MATCH(C1305,STPP!$C$6:$C$4207,0)),"Not Found"))</f>
        <v/>
      </c>
      <c r="G1305" s="25" t="str">
        <f>IF(表1[[#This Row],[No Seri]]="","",表1[[#This Row],[Deskripsi Barang]]+表1[[#This Row],[Kuantitas]]-表1[[#This Row],[Satuan]])</f>
        <v/>
      </c>
      <c r="H1305" s="28"/>
      <c r="I1305" s="25" t="str">
        <f>IF(表1[[#This Row],[Tgl NPBG]]&gt;表1[[#This Row],[Peminta]],表1[[#This Row],[Tgl NPBG]]-表1[[#This Row],[Peminta]],"")</f>
        <v/>
      </c>
      <c r="J1305" s="31"/>
    </row>
    <row r="1306" s="12" customFormat="1" customHeight="1" spans="2:10">
      <c r="B1306" s="25"/>
      <c r="C1306" s="25"/>
      <c r="D1306" s="26" t="str" cm="1">
        <f t="array" ref="D1306">IF(C1306="","",IFERROR(INDEX(STPP!$D$6:$D$4207,MATCH(C1306,STPP!$C$6:$C$4207,0)),"Not Found"))</f>
        <v/>
      </c>
      <c r="E1306" s="27" t="str" cm="1">
        <f t="array" ref="E1306">IF(C1306="","",IFERROR(INDEX(STPP!$E$6:$E$4207,MATCH(C1306,STPP!$C$6:$C$4207,0)),"Not Found"))</f>
        <v/>
      </c>
      <c r="F1306" s="27" t="str" cm="1">
        <f t="array" ref="F1306">IF(C1306="","",IFERROR(INDEX(STPP!$F$6:$F$4207,MATCH(C1306,STPP!$C$6:$C$4207,0)),"Not Found"))</f>
        <v/>
      </c>
      <c r="G1306" s="25" t="str">
        <f>IF(表1[[#This Row],[No Seri]]="","",表1[[#This Row],[Deskripsi Barang]]+表1[[#This Row],[Kuantitas]]-表1[[#This Row],[Satuan]])</f>
        <v/>
      </c>
      <c r="H1306" s="28"/>
      <c r="I1306" s="25" t="str">
        <f>IF(表1[[#This Row],[Tgl NPBG]]&gt;表1[[#This Row],[Peminta]],表1[[#This Row],[Tgl NPBG]]-表1[[#This Row],[Peminta]],"")</f>
        <v/>
      </c>
      <c r="J1306" s="31"/>
    </row>
    <row r="1307" s="12" customFormat="1" customHeight="1" spans="2:10">
      <c r="B1307" s="25"/>
      <c r="C1307" s="25"/>
      <c r="D1307" s="26" t="str" cm="1">
        <f t="array" ref="D1307">IF(C1307="","",IFERROR(INDEX(STPP!$D$6:$D$4207,MATCH(C1307,STPP!$C$6:$C$4207,0)),"Not Found"))</f>
        <v/>
      </c>
      <c r="E1307" s="27" t="str" cm="1">
        <f t="array" ref="E1307">IF(C1307="","",IFERROR(INDEX(STPP!$E$6:$E$4207,MATCH(C1307,STPP!$C$6:$C$4207,0)),"Not Found"))</f>
        <v/>
      </c>
      <c r="F1307" s="27" t="str" cm="1">
        <f t="array" ref="F1307">IF(C1307="","",IFERROR(INDEX(STPP!$F$6:$F$4207,MATCH(C1307,STPP!$C$6:$C$4207,0)),"Not Found"))</f>
        <v/>
      </c>
      <c r="G1307" s="25" t="str">
        <f>IF(表1[[#This Row],[No Seri]]="","",表1[[#This Row],[Deskripsi Barang]]+表1[[#This Row],[Kuantitas]]-表1[[#This Row],[Satuan]])</f>
        <v/>
      </c>
      <c r="H1307" s="28"/>
      <c r="I1307" s="25" t="str">
        <f>IF(表1[[#This Row],[Tgl NPBG]]&gt;表1[[#This Row],[Peminta]],表1[[#This Row],[Tgl NPBG]]-表1[[#This Row],[Peminta]],"")</f>
        <v/>
      </c>
      <c r="J1307" s="31"/>
    </row>
    <row r="1308" s="12" customFormat="1" customHeight="1" spans="2:10">
      <c r="B1308" s="25"/>
      <c r="C1308" s="25"/>
      <c r="D1308" s="26" t="str" cm="1">
        <f t="array" ref="D1308">IF(C1308="","",IFERROR(INDEX(STPP!$D$6:$D$4207,MATCH(C1308,STPP!$C$6:$C$4207,0)),"Not Found"))</f>
        <v/>
      </c>
      <c r="E1308" s="27" t="str" cm="1">
        <f t="array" ref="E1308">IF(C1308="","",IFERROR(INDEX(STPP!$E$6:$E$4207,MATCH(C1308,STPP!$C$6:$C$4207,0)),"Not Found"))</f>
        <v/>
      </c>
      <c r="F1308" s="27" t="str" cm="1">
        <f t="array" ref="F1308">IF(C1308="","",IFERROR(INDEX(STPP!$F$6:$F$4207,MATCH(C1308,STPP!$C$6:$C$4207,0)),"Not Found"))</f>
        <v/>
      </c>
      <c r="G1308" s="25" t="str">
        <f>IF(表1[[#This Row],[No Seri]]="","",表1[[#This Row],[Deskripsi Barang]]+表1[[#This Row],[Kuantitas]]-表1[[#This Row],[Satuan]])</f>
        <v/>
      </c>
      <c r="H1308" s="28"/>
      <c r="I1308" s="25" t="str">
        <f>IF(表1[[#This Row],[Tgl NPBG]]&gt;表1[[#This Row],[Peminta]],表1[[#This Row],[Tgl NPBG]]-表1[[#This Row],[Peminta]],"")</f>
        <v/>
      </c>
      <c r="J1308" s="31"/>
    </row>
    <row r="1309" s="12" customFormat="1" customHeight="1" spans="2:10">
      <c r="B1309" s="25"/>
      <c r="C1309" s="25"/>
      <c r="D1309" s="26" t="str" cm="1">
        <f t="array" ref="D1309">IF(C1309="","",IFERROR(INDEX(STPP!$D$6:$D$4207,MATCH(C1309,STPP!$C$6:$C$4207,0)),"Not Found"))</f>
        <v/>
      </c>
      <c r="E1309" s="27" t="str" cm="1">
        <f t="array" ref="E1309">IF(C1309="","",IFERROR(INDEX(STPP!$E$6:$E$4207,MATCH(C1309,STPP!$C$6:$C$4207,0)),"Not Found"))</f>
        <v/>
      </c>
      <c r="F1309" s="27" t="str" cm="1">
        <f t="array" ref="F1309">IF(C1309="","",IFERROR(INDEX(STPP!$F$6:$F$4207,MATCH(C1309,STPP!$C$6:$C$4207,0)),"Not Found"))</f>
        <v/>
      </c>
      <c r="G1309" s="25" t="str">
        <f>IF(表1[[#This Row],[No Seri]]="","",表1[[#This Row],[Deskripsi Barang]]+表1[[#This Row],[Kuantitas]]-表1[[#This Row],[Satuan]])</f>
        <v/>
      </c>
      <c r="H1309" s="28"/>
      <c r="I1309" s="25" t="str">
        <f>IF(表1[[#This Row],[Tgl NPBG]]&gt;表1[[#This Row],[Peminta]],表1[[#This Row],[Tgl NPBG]]-表1[[#This Row],[Peminta]],"")</f>
        <v/>
      </c>
      <c r="J1309" s="31"/>
    </row>
    <row r="1310" s="12" customFormat="1" customHeight="1" spans="2:10">
      <c r="B1310" s="25"/>
      <c r="C1310" s="25"/>
      <c r="D1310" s="26" t="str" cm="1">
        <f t="array" ref="D1310">IF(C1310="","",IFERROR(INDEX(STPP!$D$6:$D$4207,MATCH(C1310,STPP!$C$6:$C$4207,0)),"Not Found"))</f>
        <v/>
      </c>
      <c r="E1310" s="27" t="str" cm="1">
        <f t="array" ref="E1310">IF(C1310="","",IFERROR(INDEX(STPP!$E$6:$E$4207,MATCH(C1310,STPP!$C$6:$C$4207,0)),"Not Found"))</f>
        <v/>
      </c>
      <c r="F1310" s="27" t="str" cm="1">
        <f t="array" ref="F1310">IF(C1310="","",IFERROR(INDEX(STPP!$F$6:$F$4207,MATCH(C1310,STPP!$C$6:$C$4207,0)),"Not Found"))</f>
        <v/>
      </c>
      <c r="G1310" s="25" t="str">
        <f>IF(表1[[#This Row],[No Seri]]="","",表1[[#This Row],[Deskripsi Barang]]+表1[[#This Row],[Kuantitas]]-表1[[#This Row],[Satuan]])</f>
        <v/>
      </c>
      <c r="H1310" s="28"/>
      <c r="I1310" s="25" t="str">
        <f>IF(表1[[#This Row],[Tgl NPBG]]&gt;表1[[#This Row],[Peminta]],表1[[#This Row],[Tgl NPBG]]-表1[[#This Row],[Peminta]],"")</f>
        <v/>
      </c>
      <c r="J1310" s="31"/>
    </row>
    <row r="1311" s="12" customFormat="1" customHeight="1" spans="2:10">
      <c r="B1311" s="25"/>
      <c r="C1311" s="25"/>
      <c r="D1311" s="26" t="str" cm="1">
        <f t="array" ref="D1311">IF(C1311="","",IFERROR(INDEX(STPP!$D$6:$D$4207,MATCH(C1311,STPP!$C$6:$C$4207,0)),"Not Found"))</f>
        <v/>
      </c>
      <c r="E1311" s="27" t="str" cm="1">
        <f t="array" ref="E1311">IF(C1311="","",IFERROR(INDEX(STPP!$E$6:$E$4207,MATCH(C1311,STPP!$C$6:$C$4207,0)),"Not Found"))</f>
        <v/>
      </c>
      <c r="F1311" s="27" t="str" cm="1">
        <f t="array" ref="F1311">IF(C1311="","",IFERROR(INDEX(STPP!$F$6:$F$4207,MATCH(C1311,STPP!$C$6:$C$4207,0)),"Not Found"))</f>
        <v/>
      </c>
      <c r="G1311" s="25" t="str">
        <f>IF(表1[[#This Row],[No Seri]]="","",表1[[#This Row],[Deskripsi Barang]]+表1[[#This Row],[Kuantitas]]-表1[[#This Row],[Satuan]])</f>
        <v/>
      </c>
      <c r="H1311" s="28"/>
      <c r="I1311" s="25" t="str">
        <f>IF(表1[[#This Row],[Tgl NPBG]]&gt;表1[[#This Row],[Peminta]],表1[[#This Row],[Tgl NPBG]]-表1[[#This Row],[Peminta]],"")</f>
        <v/>
      </c>
      <c r="J1311" s="31"/>
    </row>
    <row r="1312" s="12" customFormat="1" customHeight="1" spans="2:10">
      <c r="B1312" s="25"/>
      <c r="C1312" s="25"/>
      <c r="D1312" s="26" t="str" cm="1">
        <f t="array" ref="D1312">IF(C1312="","",IFERROR(INDEX(STPP!$D$6:$D$4207,MATCH(C1312,STPP!$C$6:$C$4207,0)),"Not Found"))</f>
        <v/>
      </c>
      <c r="E1312" s="27" t="str" cm="1">
        <f t="array" ref="E1312">IF(C1312="","",IFERROR(INDEX(STPP!$E$6:$E$4207,MATCH(C1312,STPP!$C$6:$C$4207,0)),"Not Found"))</f>
        <v/>
      </c>
      <c r="F1312" s="27" t="str" cm="1">
        <f t="array" ref="F1312">IF(C1312="","",IFERROR(INDEX(STPP!$F$6:$F$4207,MATCH(C1312,STPP!$C$6:$C$4207,0)),"Not Found"))</f>
        <v/>
      </c>
      <c r="G1312" s="25" t="str">
        <f>IF(表1[[#This Row],[No Seri]]="","",表1[[#This Row],[Deskripsi Barang]]+表1[[#This Row],[Kuantitas]]-表1[[#This Row],[Satuan]])</f>
        <v/>
      </c>
      <c r="H1312" s="28"/>
      <c r="I1312" s="25" t="str">
        <f>IF(表1[[#This Row],[Tgl NPBG]]&gt;表1[[#This Row],[Peminta]],表1[[#This Row],[Tgl NPBG]]-表1[[#This Row],[Peminta]],"")</f>
        <v/>
      </c>
      <c r="J1312" s="31"/>
    </row>
    <row r="1313" s="12" customFormat="1" customHeight="1" spans="2:10">
      <c r="B1313" s="25"/>
      <c r="C1313" s="25"/>
      <c r="D1313" s="26" t="str" cm="1">
        <f t="array" ref="D1313">IF(C1313="","",IFERROR(INDEX(STPP!$D$6:$D$4207,MATCH(C1313,STPP!$C$6:$C$4207,0)),"Not Found"))</f>
        <v/>
      </c>
      <c r="E1313" s="27" t="str" cm="1">
        <f t="array" ref="E1313">IF(C1313="","",IFERROR(INDEX(STPP!$E$6:$E$4207,MATCH(C1313,STPP!$C$6:$C$4207,0)),"Not Found"))</f>
        <v/>
      </c>
      <c r="F1313" s="27" t="str" cm="1">
        <f t="array" ref="F1313">IF(C1313="","",IFERROR(INDEX(STPP!$F$6:$F$4207,MATCH(C1313,STPP!$C$6:$C$4207,0)),"Not Found"))</f>
        <v/>
      </c>
      <c r="G1313" s="25" t="str">
        <f>IF(表1[[#This Row],[No Seri]]="","",表1[[#This Row],[Deskripsi Barang]]+表1[[#This Row],[Kuantitas]]-表1[[#This Row],[Satuan]])</f>
        <v/>
      </c>
      <c r="H1313" s="28"/>
      <c r="I1313" s="25" t="str">
        <f>IF(表1[[#This Row],[Tgl NPBG]]&gt;表1[[#This Row],[Peminta]],表1[[#This Row],[Tgl NPBG]]-表1[[#This Row],[Peminta]],"")</f>
        <v/>
      </c>
      <c r="J1313" s="31"/>
    </row>
    <row r="1314" s="12" customFormat="1" customHeight="1" spans="2:10">
      <c r="B1314" s="25"/>
      <c r="C1314" s="25"/>
      <c r="D1314" s="26" t="str" cm="1">
        <f t="array" ref="D1314">IF(C1314="","",IFERROR(INDEX(STPP!$D$6:$D$4207,MATCH(C1314,STPP!$C$6:$C$4207,0)),"Not Found"))</f>
        <v/>
      </c>
      <c r="E1314" s="27" t="str" cm="1">
        <f t="array" ref="E1314">IF(C1314="","",IFERROR(INDEX(STPP!$E$6:$E$4207,MATCH(C1314,STPP!$C$6:$C$4207,0)),"Not Found"))</f>
        <v/>
      </c>
      <c r="F1314" s="27" t="str" cm="1">
        <f t="array" ref="F1314">IF(C1314="","",IFERROR(INDEX(STPP!$F$6:$F$4207,MATCH(C1314,STPP!$C$6:$C$4207,0)),"Not Found"))</f>
        <v/>
      </c>
      <c r="G1314" s="25" t="str">
        <f>IF(表1[[#This Row],[No Seri]]="","",表1[[#This Row],[Deskripsi Barang]]+表1[[#This Row],[Kuantitas]]-表1[[#This Row],[Satuan]])</f>
        <v/>
      </c>
      <c r="H1314" s="28"/>
      <c r="I1314" s="25" t="str">
        <f>IF(表1[[#This Row],[Tgl NPBG]]&gt;表1[[#This Row],[Peminta]],表1[[#This Row],[Tgl NPBG]]-表1[[#This Row],[Peminta]],"")</f>
        <v/>
      </c>
      <c r="J1314" s="31"/>
    </row>
    <row r="1315" s="12" customFormat="1" customHeight="1" spans="2:10">
      <c r="B1315" s="25"/>
      <c r="C1315" s="25"/>
      <c r="D1315" s="26" t="str" cm="1">
        <f t="array" ref="D1315">IF(C1315="","",IFERROR(INDEX(STPP!$D$6:$D$4207,MATCH(C1315,STPP!$C$6:$C$4207,0)),"Not Found"))</f>
        <v/>
      </c>
      <c r="E1315" s="27" t="str" cm="1">
        <f t="array" ref="E1315">IF(C1315="","",IFERROR(INDEX(STPP!$E$6:$E$4207,MATCH(C1315,STPP!$C$6:$C$4207,0)),"Not Found"))</f>
        <v/>
      </c>
      <c r="F1315" s="27" t="str" cm="1">
        <f t="array" ref="F1315">IF(C1315="","",IFERROR(INDEX(STPP!$F$6:$F$4207,MATCH(C1315,STPP!$C$6:$C$4207,0)),"Not Found"))</f>
        <v/>
      </c>
      <c r="G1315" s="25" t="str">
        <f>IF(表1[[#This Row],[No Seri]]="","",表1[[#This Row],[Deskripsi Barang]]+表1[[#This Row],[Kuantitas]]-表1[[#This Row],[Satuan]])</f>
        <v/>
      </c>
      <c r="H1315" s="28"/>
      <c r="I1315" s="25" t="str">
        <f>IF(表1[[#This Row],[Tgl NPBG]]&gt;表1[[#This Row],[Peminta]],表1[[#This Row],[Tgl NPBG]]-表1[[#This Row],[Peminta]],"")</f>
        <v/>
      </c>
      <c r="J1315" s="31"/>
    </row>
    <row r="1316" s="12" customFormat="1" customHeight="1" spans="2:10">
      <c r="B1316" s="25"/>
      <c r="C1316" s="25"/>
      <c r="D1316" s="26" t="str" cm="1">
        <f t="array" ref="D1316">IF(C1316="","",IFERROR(INDEX(STPP!$D$6:$D$4207,MATCH(C1316,STPP!$C$6:$C$4207,0)),"Not Found"))</f>
        <v/>
      </c>
      <c r="E1316" s="27" t="str" cm="1">
        <f t="array" ref="E1316">IF(C1316="","",IFERROR(INDEX(STPP!$E$6:$E$4207,MATCH(C1316,STPP!$C$6:$C$4207,0)),"Not Found"))</f>
        <v/>
      </c>
      <c r="F1316" s="27" t="str" cm="1">
        <f t="array" ref="F1316">IF(C1316="","",IFERROR(INDEX(STPP!$F$6:$F$4207,MATCH(C1316,STPP!$C$6:$C$4207,0)),"Not Found"))</f>
        <v/>
      </c>
      <c r="G1316" s="25" t="str">
        <f>IF(表1[[#This Row],[No Seri]]="","",表1[[#This Row],[Deskripsi Barang]]+表1[[#This Row],[Kuantitas]]-表1[[#This Row],[Satuan]])</f>
        <v/>
      </c>
      <c r="H1316" s="28"/>
      <c r="I1316" s="25" t="str">
        <f>IF(表1[[#This Row],[Tgl NPBG]]&gt;表1[[#This Row],[Peminta]],表1[[#This Row],[Tgl NPBG]]-表1[[#This Row],[Peminta]],"")</f>
        <v/>
      </c>
      <c r="J1316" s="31"/>
    </row>
    <row r="1317" s="12" customFormat="1" customHeight="1" spans="2:10">
      <c r="B1317" s="25"/>
      <c r="C1317" s="25"/>
      <c r="D1317" s="26" t="str" cm="1">
        <f t="array" ref="D1317">IF(C1317="","",IFERROR(INDEX(STPP!$D$6:$D$4207,MATCH(C1317,STPP!$C$6:$C$4207,0)),"Not Found"))</f>
        <v/>
      </c>
      <c r="E1317" s="27" t="str" cm="1">
        <f t="array" ref="E1317">IF(C1317="","",IFERROR(INDEX(STPP!$E$6:$E$4207,MATCH(C1317,STPP!$C$6:$C$4207,0)),"Not Found"))</f>
        <v/>
      </c>
      <c r="F1317" s="27" t="str" cm="1">
        <f t="array" ref="F1317">IF(C1317="","",IFERROR(INDEX(STPP!$F$6:$F$4207,MATCH(C1317,STPP!$C$6:$C$4207,0)),"Not Found"))</f>
        <v/>
      </c>
      <c r="G1317" s="25" t="str">
        <f>IF(表1[[#This Row],[No Seri]]="","",表1[[#This Row],[Deskripsi Barang]]+表1[[#This Row],[Kuantitas]]-表1[[#This Row],[Satuan]])</f>
        <v/>
      </c>
      <c r="H1317" s="28"/>
      <c r="I1317" s="25" t="str">
        <f>IF(表1[[#This Row],[Tgl NPBG]]&gt;表1[[#This Row],[Peminta]],表1[[#This Row],[Tgl NPBG]]-表1[[#This Row],[Peminta]],"")</f>
        <v/>
      </c>
      <c r="J1317" s="31"/>
    </row>
    <row r="1318" s="12" customFormat="1" customHeight="1" spans="2:10">
      <c r="B1318" s="25"/>
      <c r="C1318" s="25"/>
      <c r="D1318" s="26" t="str" cm="1">
        <f t="array" ref="D1318">IF(C1318="","",IFERROR(INDEX(STPP!$D$6:$D$4207,MATCH(C1318,STPP!$C$6:$C$4207,0)),"Not Found"))</f>
        <v/>
      </c>
      <c r="E1318" s="27" t="str" cm="1">
        <f t="array" ref="E1318">IF(C1318="","",IFERROR(INDEX(STPP!$E$6:$E$4207,MATCH(C1318,STPP!$C$6:$C$4207,0)),"Not Found"))</f>
        <v/>
      </c>
      <c r="F1318" s="27" t="str" cm="1">
        <f t="array" ref="F1318">IF(C1318="","",IFERROR(INDEX(STPP!$F$6:$F$4207,MATCH(C1318,STPP!$C$6:$C$4207,0)),"Not Found"))</f>
        <v/>
      </c>
      <c r="G1318" s="25" t="str">
        <f>IF(表1[[#This Row],[No Seri]]="","",表1[[#This Row],[Deskripsi Barang]]+表1[[#This Row],[Kuantitas]]-表1[[#This Row],[Satuan]])</f>
        <v/>
      </c>
      <c r="H1318" s="28"/>
      <c r="I1318" s="25" t="str">
        <f>IF(表1[[#This Row],[Tgl NPBG]]&gt;表1[[#This Row],[Peminta]],表1[[#This Row],[Tgl NPBG]]-表1[[#This Row],[Peminta]],"")</f>
        <v/>
      </c>
      <c r="J1318" s="31"/>
    </row>
    <row r="1319" s="12" customFormat="1" customHeight="1" spans="2:10">
      <c r="B1319" s="25"/>
      <c r="C1319" s="25"/>
      <c r="D1319" s="26" t="str" cm="1">
        <f t="array" ref="D1319">IF(C1319="","",IFERROR(INDEX(STPP!$D$6:$D$4207,MATCH(C1319,STPP!$C$6:$C$4207,0)),"Not Found"))</f>
        <v/>
      </c>
      <c r="E1319" s="27" t="str" cm="1">
        <f t="array" ref="E1319">IF(C1319="","",IFERROR(INDEX(STPP!$E$6:$E$4207,MATCH(C1319,STPP!$C$6:$C$4207,0)),"Not Found"))</f>
        <v/>
      </c>
      <c r="F1319" s="27" t="str" cm="1">
        <f t="array" ref="F1319">IF(C1319="","",IFERROR(INDEX(STPP!$F$6:$F$4207,MATCH(C1319,STPP!$C$6:$C$4207,0)),"Not Found"))</f>
        <v/>
      </c>
      <c r="G1319" s="25" t="str">
        <f>IF(表1[[#This Row],[No Seri]]="","",表1[[#This Row],[Deskripsi Barang]]+表1[[#This Row],[Kuantitas]]-表1[[#This Row],[Satuan]])</f>
        <v/>
      </c>
      <c r="H1319" s="28"/>
      <c r="I1319" s="25" t="str">
        <f>IF(表1[[#This Row],[Tgl NPBG]]&gt;表1[[#This Row],[Peminta]],表1[[#This Row],[Tgl NPBG]]-表1[[#This Row],[Peminta]],"")</f>
        <v/>
      </c>
      <c r="J1319" s="31"/>
    </row>
    <row r="1320" s="12" customFormat="1" customHeight="1" spans="2:10">
      <c r="B1320" s="25"/>
      <c r="C1320" s="25"/>
      <c r="D1320" s="26" t="str" cm="1">
        <f t="array" ref="D1320">IF(C1320="","",IFERROR(INDEX(STPP!$D$6:$D$4207,MATCH(C1320,STPP!$C$6:$C$4207,0)),"Not Found"))</f>
        <v/>
      </c>
      <c r="E1320" s="27" t="str" cm="1">
        <f t="array" ref="E1320">IF(C1320="","",IFERROR(INDEX(STPP!$E$6:$E$4207,MATCH(C1320,STPP!$C$6:$C$4207,0)),"Not Found"))</f>
        <v/>
      </c>
      <c r="F1320" s="27" t="str" cm="1">
        <f t="array" ref="F1320">IF(C1320="","",IFERROR(INDEX(STPP!$F$6:$F$4207,MATCH(C1320,STPP!$C$6:$C$4207,0)),"Not Found"))</f>
        <v/>
      </c>
      <c r="G1320" s="25" t="str">
        <f>IF(表1[[#This Row],[No Seri]]="","",表1[[#This Row],[Deskripsi Barang]]+表1[[#This Row],[Kuantitas]]-表1[[#This Row],[Satuan]])</f>
        <v/>
      </c>
      <c r="H1320" s="28"/>
      <c r="I1320" s="25" t="str">
        <f>IF(表1[[#This Row],[Tgl NPBG]]&gt;表1[[#This Row],[Peminta]],表1[[#This Row],[Tgl NPBG]]-表1[[#This Row],[Peminta]],"")</f>
        <v/>
      </c>
      <c r="J1320" s="31"/>
    </row>
    <row r="1321" s="12" customFormat="1" customHeight="1" spans="2:10">
      <c r="B1321" s="25"/>
      <c r="C1321" s="25"/>
      <c r="D1321" s="26" t="str" cm="1">
        <f t="array" ref="D1321">IF(C1321="","",IFERROR(INDEX(STPP!$D$6:$D$4207,MATCH(C1321,STPP!$C$6:$C$4207,0)),"Not Found"))</f>
        <v/>
      </c>
      <c r="E1321" s="27" t="str" cm="1">
        <f t="array" ref="E1321">IF(C1321="","",IFERROR(INDEX(STPP!$E$6:$E$4207,MATCH(C1321,STPP!$C$6:$C$4207,0)),"Not Found"))</f>
        <v/>
      </c>
      <c r="F1321" s="27" t="str" cm="1">
        <f t="array" ref="F1321">IF(C1321="","",IFERROR(INDEX(STPP!$F$6:$F$4207,MATCH(C1321,STPP!$C$6:$C$4207,0)),"Not Found"))</f>
        <v/>
      </c>
      <c r="G1321" s="25" t="str">
        <f>IF(表1[[#This Row],[No Seri]]="","",表1[[#This Row],[Deskripsi Barang]]+表1[[#This Row],[Kuantitas]]-表1[[#This Row],[Satuan]])</f>
        <v/>
      </c>
      <c r="H1321" s="28"/>
      <c r="I1321" s="25" t="str">
        <f>IF(表1[[#This Row],[Tgl NPBG]]&gt;表1[[#This Row],[Peminta]],表1[[#This Row],[Tgl NPBG]]-表1[[#This Row],[Peminta]],"")</f>
        <v/>
      </c>
      <c r="J1321" s="31"/>
    </row>
    <row r="1322" s="12" customFormat="1" customHeight="1" spans="2:10">
      <c r="B1322" s="25"/>
      <c r="C1322" s="25"/>
      <c r="D1322" s="26" t="str" cm="1">
        <f t="array" ref="D1322">IF(C1322="","",IFERROR(INDEX(STPP!$D$6:$D$4207,MATCH(C1322,STPP!$C$6:$C$4207,0)),"Not Found"))</f>
        <v/>
      </c>
      <c r="E1322" s="27" t="str" cm="1">
        <f t="array" ref="E1322">IF(C1322="","",IFERROR(INDEX(STPP!$E$6:$E$4207,MATCH(C1322,STPP!$C$6:$C$4207,0)),"Not Found"))</f>
        <v/>
      </c>
      <c r="F1322" s="27" t="str" cm="1">
        <f t="array" ref="F1322">IF(C1322="","",IFERROR(INDEX(STPP!$F$6:$F$4207,MATCH(C1322,STPP!$C$6:$C$4207,0)),"Not Found"))</f>
        <v/>
      </c>
      <c r="G1322" s="25" t="str">
        <f>IF(表1[[#This Row],[No Seri]]="","",表1[[#This Row],[Deskripsi Barang]]+表1[[#This Row],[Kuantitas]]-表1[[#This Row],[Satuan]])</f>
        <v/>
      </c>
      <c r="H1322" s="28"/>
      <c r="I1322" s="25" t="str">
        <f>IF(表1[[#This Row],[Tgl NPBG]]&gt;表1[[#This Row],[Peminta]],表1[[#This Row],[Tgl NPBG]]-表1[[#This Row],[Peminta]],"")</f>
        <v/>
      </c>
      <c r="J1322" s="31"/>
    </row>
    <row r="1323" s="12" customFormat="1" customHeight="1" spans="2:10">
      <c r="B1323" s="25"/>
      <c r="C1323" s="25"/>
      <c r="D1323" s="26" t="str" cm="1">
        <f t="array" ref="D1323">IF(C1323="","",IFERROR(INDEX(STPP!$D$6:$D$4207,MATCH(C1323,STPP!$C$6:$C$4207,0)),"Not Found"))</f>
        <v/>
      </c>
      <c r="E1323" s="27" t="str" cm="1">
        <f t="array" ref="E1323">IF(C1323="","",IFERROR(INDEX(STPP!$E$6:$E$4207,MATCH(C1323,STPP!$C$6:$C$4207,0)),"Not Found"))</f>
        <v/>
      </c>
      <c r="F1323" s="27" t="str" cm="1">
        <f t="array" ref="F1323">IF(C1323="","",IFERROR(INDEX(STPP!$F$6:$F$4207,MATCH(C1323,STPP!$C$6:$C$4207,0)),"Not Found"))</f>
        <v/>
      </c>
      <c r="G1323" s="25" t="str">
        <f>IF(表1[[#This Row],[No Seri]]="","",表1[[#This Row],[Deskripsi Barang]]+表1[[#This Row],[Kuantitas]]-表1[[#This Row],[Satuan]])</f>
        <v/>
      </c>
      <c r="H1323" s="28"/>
      <c r="I1323" s="25" t="str">
        <f>IF(表1[[#This Row],[Tgl NPBG]]&gt;表1[[#This Row],[Peminta]],表1[[#This Row],[Tgl NPBG]]-表1[[#This Row],[Peminta]],"")</f>
        <v/>
      </c>
      <c r="J1323" s="31"/>
    </row>
    <row r="1324" s="12" customFormat="1" customHeight="1" spans="2:10">
      <c r="B1324" s="25"/>
      <c r="C1324" s="25"/>
      <c r="D1324" s="26" t="str" cm="1">
        <f t="array" ref="D1324">IF(C1324="","",IFERROR(INDEX(STPP!$D$6:$D$4207,MATCH(C1324,STPP!$C$6:$C$4207,0)),"Not Found"))</f>
        <v/>
      </c>
      <c r="E1324" s="27" t="str" cm="1">
        <f t="array" ref="E1324">IF(C1324="","",IFERROR(INDEX(STPP!$E$6:$E$4207,MATCH(C1324,STPP!$C$6:$C$4207,0)),"Not Found"))</f>
        <v/>
      </c>
      <c r="F1324" s="27" t="str" cm="1">
        <f t="array" ref="F1324">IF(C1324="","",IFERROR(INDEX(STPP!$F$6:$F$4207,MATCH(C1324,STPP!$C$6:$C$4207,0)),"Not Found"))</f>
        <v/>
      </c>
      <c r="G1324" s="25" t="str">
        <f>IF(表1[[#This Row],[No Seri]]="","",表1[[#This Row],[Deskripsi Barang]]+表1[[#This Row],[Kuantitas]]-表1[[#This Row],[Satuan]])</f>
        <v/>
      </c>
      <c r="H1324" s="28"/>
      <c r="I1324" s="25" t="str">
        <f>IF(表1[[#This Row],[Tgl NPBG]]&gt;表1[[#This Row],[Peminta]],表1[[#This Row],[Tgl NPBG]]-表1[[#This Row],[Peminta]],"")</f>
        <v/>
      </c>
      <c r="J1324" s="31"/>
    </row>
    <row r="1325" s="12" customFormat="1" customHeight="1" spans="2:10">
      <c r="B1325" s="25"/>
      <c r="C1325" s="25"/>
      <c r="D1325" s="26" t="str" cm="1">
        <f t="array" ref="D1325">IF(C1325="","",IFERROR(INDEX(STPP!$D$6:$D$4207,MATCH(C1325,STPP!$C$6:$C$4207,0)),"Not Found"))</f>
        <v/>
      </c>
      <c r="E1325" s="27" t="str" cm="1">
        <f t="array" ref="E1325">IF(C1325="","",IFERROR(INDEX(STPP!$E$6:$E$4207,MATCH(C1325,STPP!$C$6:$C$4207,0)),"Not Found"))</f>
        <v/>
      </c>
      <c r="F1325" s="27" t="str" cm="1">
        <f t="array" ref="F1325">IF(C1325="","",IFERROR(INDEX(STPP!$F$6:$F$4207,MATCH(C1325,STPP!$C$6:$C$4207,0)),"Not Found"))</f>
        <v/>
      </c>
      <c r="G1325" s="25" t="str">
        <f>IF(表1[[#This Row],[No Seri]]="","",表1[[#This Row],[Deskripsi Barang]]+表1[[#This Row],[Kuantitas]]-表1[[#This Row],[Satuan]])</f>
        <v/>
      </c>
      <c r="H1325" s="28"/>
      <c r="I1325" s="25" t="str">
        <f>IF(表1[[#This Row],[Tgl NPBG]]&gt;表1[[#This Row],[Peminta]],表1[[#This Row],[Tgl NPBG]]-表1[[#This Row],[Peminta]],"")</f>
        <v/>
      </c>
      <c r="J1325" s="31"/>
    </row>
    <row r="1326" s="12" customFormat="1" customHeight="1" spans="2:10">
      <c r="B1326" s="25"/>
      <c r="C1326" s="25"/>
      <c r="D1326" s="26" t="str" cm="1">
        <f t="array" ref="D1326">IF(C1326="","",IFERROR(INDEX(STPP!$D$6:$D$4207,MATCH(C1326,STPP!$C$6:$C$4207,0)),"Not Found"))</f>
        <v/>
      </c>
      <c r="E1326" s="27" t="str" cm="1">
        <f t="array" ref="E1326">IF(C1326="","",IFERROR(INDEX(STPP!$E$6:$E$4207,MATCH(C1326,STPP!$C$6:$C$4207,0)),"Not Found"))</f>
        <v/>
      </c>
      <c r="F1326" s="27" t="str" cm="1">
        <f t="array" ref="F1326">IF(C1326="","",IFERROR(INDEX(STPP!$F$6:$F$4207,MATCH(C1326,STPP!$C$6:$C$4207,0)),"Not Found"))</f>
        <v/>
      </c>
      <c r="G1326" s="25" t="str">
        <f>IF(表1[[#This Row],[No Seri]]="","",表1[[#This Row],[Deskripsi Barang]]+表1[[#This Row],[Kuantitas]]-表1[[#This Row],[Satuan]])</f>
        <v/>
      </c>
      <c r="H1326" s="28"/>
      <c r="I1326" s="25" t="str">
        <f>IF(表1[[#This Row],[Tgl NPBG]]&gt;表1[[#This Row],[Peminta]],表1[[#This Row],[Tgl NPBG]]-表1[[#This Row],[Peminta]],"")</f>
        <v/>
      </c>
      <c r="J1326" s="31"/>
    </row>
    <row r="1327" s="12" customFormat="1" customHeight="1" spans="2:10">
      <c r="B1327" s="25"/>
      <c r="C1327" s="25"/>
      <c r="D1327" s="26" t="str" cm="1">
        <f t="array" ref="D1327">IF(C1327="","",IFERROR(INDEX(STPP!$D$6:$D$4207,MATCH(C1327,STPP!$C$6:$C$4207,0)),"Not Found"))</f>
        <v/>
      </c>
      <c r="E1327" s="27" t="str" cm="1">
        <f t="array" ref="E1327">IF(C1327="","",IFERROR(INDEX(STPP!$E$6:$E$4207,MATCH(C1327,STPP!$C$6:$C$4207,0)),"Not Found"))</f>
        <v/>
      </c>
      <c r="F1327" s="27" t="str" cm="1">
        <f t="array" ref="F1327">IF(C1327="","",IFERROR(INDEX(STPP!$F$6:$F$4207,MATCH(C1327,STPP!$C$6:$C$4207,0)),"Not Found"))</f>
        <v/>
      </c>
      <c r="G1327" s="25" t="str">
        <f>IF(表1[[#This Row],[No Seri]]="","",表1[[#This Row],[Deskripsi Barang]]+表1[[#This Row],[Kuantitas]]-表1[[#This Row],[Satuan]])</f>
        <v/>
      </c>
      <c r="H1327" s="28"/>
      <c r="I1327" s="25" t="str">
        <f>IF(表1[[#This Row],[Tgl NPBG]]&gt;表1[[#This Row],[Peminta]],表1[[#This Row],[Tgl NPBG]]-表1[[#This Row],[Peminta]],"")</f>
        <v/>
      </c>
      <c r="J1327" s="31"/>
    </row>
    <row r="1328" s="12" customFormat="1" customHeight="1" spans="2:10">
      <c r="B1328" s="25"/>
      <c r="C1328" s="25"/>
      <c r="D1328" s="26" t="str" cm="1">
        <f t="array" ref="D1328">IF(C1328="","",IFERROR(INDEX(STPP!$D$6:$D$4207,MATCH(C1328,STPP!$C$6:$C$4207,0)),"Not Found"))</f>
        <v/>
      </c>
      <c r="E1328" s="27" t="str" cm="1">
        <f t="array" ref="E1328">IF(C1328="","",IFERROR(INDEX(STPP!$E$6:$E$4207,MATCH(C1328,STPP!$C$6:$C$4207,0)),"Not Found"))</f>
        <v/>
      </c>
      <c r="F1328" s="27" t="str" cm="1">
        <f t="array" ref="F1328">IF(C1328="","",IFERROR(INDEX(STPP!$F$6:$F$4207,MATCH(C1328,STPP!$C$6:$C$4207,0)),"Not Found"))</f>
        <v/>
      </c>
      <c r="G1328" s="25" t="str">
        <f>IF(表1[[#This Row],[No Seri]]="","",表1[[#This Row],[Deskripsi Barang]]+表1[[#This Row],[Kuantitas]]-表1[[#This Row],[Satuan]])</f>
        <v/>
      </c>
      <c r="H1328" s="28"/>
      <c r="I1328" s="25" t="str">
        <f>IF(表1[[#This Row],[Tgl NPBG]]&gt;表1[[#This Row],[Peminta]],表1[[#This Row],[Tgl NPBG]]-表1[[#This Row],[Peminta]],"")</f>
        <v/>
      </c>
      <c r="J1328" s="31"/>
    </row>
    <row r="1329" s="12" customFormat="1" customHeight="1" spans="2:10">
      <c r="B1329" s="25"/>
      <c r="C1329" s="25"/>
      <c r="D1329" s="26" t="str" cm="1">
        <f t="array" ref="D1329">IF(C1329="","",IFERROR(INDEX(STPP!$D$6:$D$4207,MATCH(C1329,STPP!$C$6:$C$4207,0)),"Not Found"))</f>
        <v/>
      </c>
      <c r="E1329" s="27" t="str" cm="1">
        <f t="array" ref="E1329">IF(C1329="","",IFERROR(INDEX(STPP!$E$6:$E$4207,MATCH(C1329,STPP!$C$6:$C$4207,0)),"Not Found"))</f>
        <v/>
      </c>
      <c r="F1329" s="27" t="str" cm="1">
        <f t="array" ref="F1329">IF(C1329="","",IFERROR(INDEX(STPP!$F$6:$F$4207,MATCH(C1329,STPP!$C$6:$C$4207,0)),"Not Found"))</f>
        <v/>
      </c>
      <c r="G1329" s="25" t="str">
        <f>IF(表1[[#This Row],[No Seri]]="","",表1[[#This Row],[Deskripsi Barang]]+表1[[#This Row],[Kuantitas]]-表1[[#This Row],[Satuan]])</f>
        <v/>
      </c>
      <c r="H1329" s="28"/>
      <c r="I1329" s="25" t="str">
        <f>IF(表1[[#This Row],[Tgl NPBG]]&gt;表1[[#This Row],[Peminta]],表1[[#This Row],[Tgl NPBG]]-表1[[#This Row],[Peminta]],"")</f>
        <v/>
      </c>
      <c r="J1329" s="31"/>
    </row>
    <row r="1330" s="12" customFormat="1" customHeight="1" spans="2:10">
      <c r="B1330" s="25"/>
      <c r="C1330" s="25"/>
      <c r="D1330" s="26" t="str" cm="1">
        <f t="array" ref="D1330">IF(C1330="","",IFERROR(INDEX(STPP!$D$6:$D$4207,MATCH(C1330,STPP!$C$6:$C$4207,0)),"Not Found"))</f>
        <v/>
      </c>
      <c r="E1330" s="27" t="str" cm="1">
        <f t="array" ref="E1330">IF(C1330="","",IFERROR(INDEX(STPP!$E$6:$E$4207,MATCH(C1330,STPP!$C$6:$C$4207,0)),"Not Found"))</f>
        <v/>
      </c>
      <c r="F1330" s="27" t="str" cm="1">
        <f t="array" ref="F1330">IF(C1330="","",IFERROR(INDEX(STPP!$F$6:$F$4207,MATCH(C1330,STPP!$C$6:$C$4207,0)),"Not Found"))</f>
        <v/>
      </c>
      <c r="G1330" s="25" t="str">
        <f>IF(表1[[#This Row],[No Seri]]="","",表1[[#This Row],[Deskripsi Barang]]+表1[[#This Row],[Kuantitas]]-表1[[#This Row],[Satuan]])</f>
        <v/>
      </c>
      <c r="H1330" s="28"/>
      <c r="I1330" s="25" t="str">
        <f>IF(表1[[#This Row],[Tgl NPBG]]&gt;表1[[#This Row],[Peminta]],表1[[#This Row],[Tgl NPBG]]-表1[[#This Row],[Peminta]],"")</f>
        <v/>
      </c>
      <c r="J1330" s="31"/>
    </row>
    <row r="1331" s="12" customFormat="1" customHeight="1" spans="2:10">
      <c r="B1331" s="25"/>
      <c r="C1331" s="25"/>
      <c r="D1331" s="26" t="str" cm="1">
        <f t="array" ref="D1331">IF(C1331="","",IFERROR(INDEX(STPP!$D$6:$D$4207,MATCH(C1331,STPP!$C$6:$C$4207,0)),"Not Found"))</f>
        <v/>
      </c>
      <c r="E1331" s="27" t="str" cm="1">
        <f t="array" ref="E1331">IF(C1331="","",IFERROR(INDEX(STPP!$E$6:$E$4207,MATCH(C1331,STPP!$C$6:$C$4207,0)),"Not Found"))</f>
        <v/>
      </c>
      <c r="F1331" s="27" t="str" cm="1">
        <f t="array" ref="F1331">IF(C1331="","",IFERROR(INDEX(STPP!$F$6:$F$4207,MATCH(C1331,STPP!$C$6:$C$4207,0)),"Not Found"))</f>
        <v/>
      </c>
      <c r="G1331" s="25" t="str">
        <f>IF(表1[[#This Row],[No Seri]]="","",表1[[#This Row],[Deskripsi Barang]]+表1[[#This Row],[Kuantitas]]-表1[[#This Row],[Satuan]])</f>
        <v/>
      </c>
      <c r="H1331" s="28"/>
      <c r="I1331" s="25" t="str">
        <f>IF(表1[[#This Row],[Tgl NPBG]]&gt;表1[[#This Row],[Peminta]],表1[[#This Row],[Tgl NPBG]]-表1[[#This Row],[Peminta]],"")</f>
        <v/>
      </c>
      <c r="J1331" s="31"/>
    </row>
    <row r="1332" s="12" customFormat="1" customHeight="1" spans="2:10">
      <c r="B1332" s="25"/>
      <c r="C1332" s="25"/>
      <c r="D1332" s="26" t="str" cm="1">
        <f t="array" ref="D1332">IF(C1332="","",IFERROR(INDEX(STPP!$D$6:$D$4207,MATCH(C1332,STPP!$C$6:$C$4207,0)),"Not Found"))</f>
        <v/>
      </c>
      <c r="E1332" s="27" t="str" cm="1">
        <f t="array" ref="E1332">IF(C1332="","",IFERROR(INDEX(STPP!$E$6:$E$4207,MATCH(C1332,STPP!$C$6:$C$4207,0)),"Not Found"))</f>
        <v/>
      </c>
      <c r="F1332" s="27" t="str" cm="1">
        <f t="array" ref="F1332">IF(C1332="","",IFERROR(INDEX(STPP!$F$6:$F$4207,MATCH(C1332,STPP!$C$6:$C$4207,0)),"Not Found"))</f>
        <v/>
      </c>
      <c r="G1332" s="25" t="str">
        <f>IF(表1[[#This Row],[No Seri]]="","",表1[[#This Row],[Deskripsi Barang]]+表1[[#This Row],[Kuantitas]]-表1[[#This Row],[Satuan]])</f>
        <v/>
      </c>
      <c r="H1332" s="28"/>
      <c r="I1332" s="25" t="str">
        <f>IF(表1[[#This Row],[Tgl NPBG]]&gt;表1[[#This Row],[Peminta]],表1[[#This Row],[Tgl NPBG]]-表1[[#This Row],[Peminta]],"")</f>
        <v/>
      </c>
      <c r="J1332" s="31"/>
    </row>
    <row r="1333" s="12" customFormat="1" customHeight="1" spans="2:10">
      <c r="B1333" s="25"/>
      <c r="C1333" s="25"/>
      <c r="D1333" s="26" t="str" cm="1">
        <f t="array" ref="D1333">IF(C1333="","",IFERROR(INDEX(STPP!$D$6:$D$4207,MATCH(C1333,STPP!$C$6:$C$4207,0)),"Not Found"))</f>
        <v/>
      </c>
      <c r="E1333" s="27" t="str" cm="1">
        <f t="array" ref="E1333">IF(C1333="","",IFERROR(INDEX(STPP!$E$6:$E$4207,MATCH(C1333,STPP!$C$6:$C$4207,0)),"Not Found"))</f>
        <v/>
      </c>
      <c r="F1333" s="27" t="str" cm="1">
        <f t="array" ref="F1333">IF(C1333="","",IFERROR(INDEX(STPP!$F$6:$F$4207,MATCH(C1333,STPP!$C$6:$C$4207,0)),"Not Found"))</f>
        <v/>
      </c>
      <c r="G1333" s="25" t="str">
        <f>IF(表1[[#This Row],[No Seri]]="","",表1[[#This Row],[Deskripsi Barang]]+表1[[#This Row],[Kuantitas]]-表1[[#This Row],[Satuan]])</f>
        <v/>
      </c>
      <c r="H1333" s="28"/>
      <c r="I1333" s="25" t="str">
        <f>IF(表1[[#This Row],[Tgl NPBG]]&gt;表1[[#This Row],[Peminta]],表1[[#This Row],[Tgl NPBG]]-表1[[#This Row],[Peminta]],"")</f>
        <v/>
      </c>
      <c r="J1333" s="31"/>
    </row>
    <row r="1334" s="12" customFormat="1" customHeight="1" spans="2:10">
      <c r="B1334" s="25"/>
      <c r="C1334" s="25"/>
      <c r="D1334" s="26" t="str" cm="1">
        <f t="array" ref="D1334">IF(C1334="","",IFERROR(INDEX(STPP!$D$6:$D$4207,MATCH(C1334,STPP!$C$6:$C$4207,0)),"Not Found"))</f>
        <v/>
      </c>
      <c r="E1334" s="27" t="str" cm="1">
        <f t="array" ref="E1334">IF(C1334="","",IFERROR(INDEX(STPP!$E$6:$E$4207,MATCH(C1334,STPP!$C$6:$C$4207,0)),"Not Found"))</f>
        <v/>
      </c>
      <c r="F1334" s="27" t="str" cm="1">
        <f t="array" ref="F1334">IF(C1334="","",IFERROR(INDEX(STPP!$F$6:$F$4207,MATCH(C1334,STPP!$C$6:$C$4207,0)),"Not Found"))</f>
        <v/>
      </c>
      <c r="G1334" s="25" t="str">
        <f>IF(表1[[#This Row],[No Seri]]="","",表1[[#This Row],[Deskripsi Barang]]+表1[[#This Row],[Kuantitas]]-表1[[#This Row],[Satuan]])</f>
        <v/>
      </c>
      <c r="H1334" s="28"/>
      <c r="I1334" s="25" t="str">
        <f>IF(表1[[#This Row],[Tgl NPBG]]&gt;表1[[#This Row],[Peminta]],表1[[#This Row],[Tgl NPBG]]-表1[[#This Row],[Peminta]],"")</f>
        <v/>
      </c>
      <c r="J1334" s="31"/>
    </row>
    <row r="1335" s="12" customFormat="1" customHeight="1" spans="2:10">
      <c r="B1335" s="25"/>
      <c r="C1335" s="25"/>
      <c r="D1335" s="26" t="str" cm="1">
        <f t="array" ref="D1335">IF(C1335="","",IFERROR(INDEX(STPP!$D$6:$D$4207,MATCH(C1335,STPP!$C$6:$C$4207,0)),"Not Found"))</f>
        <v/>
      </c>
      <c r="E1335" s="27" t="str" cm="1">
        <f t="array" ref="E1335">IF(C1335="","",IFERROR(INDEX(STPP!$E$6:$E$4207,MATCH(C1335,STPP!$C$6:$C$4207,0)),"Not Found"))</f>
        <v/>
      </c>
      <c r="F1335" s="27" t="str" cm="1">
        <f t="array" ref="F1335">IF(C1335="","",IFERROR(INDEX(STPP!$F$6:$F$4207,MATCH(C1335,STPP!$C$6:$C$4207,0)),"Not Found"))</f>
        <v/>
      </c>
      <c r="G1335" s="25" t="str">
        <f>IF(表1[[#This Row],[No Seri]]="","",表1[[#This Row],[Deskripsi Barang]]+表1[[#This Row],[Kuantitas]]-表1[[#This Row],[Satuan]])</f>
        <v/>
      </c>
      <c r="H1335" s="28"/>
      <c r="I1335" s="25" t="str">
        <f>IF(表1[[#This Row],[Tgl NPBG]]&gt;表1[[#This Row],[Peminta]],表1[[#This Row],[Tgl NPBG]]-表1[[#This Row],[Peminta]],"")</f>
        <v/>
      </c>
      <c r="J1335" s="31"/>
    </row>
    <row r="1336" s="12" customFormat="1" customHeight="1" spans="2:10">
      <c r="B1336" s="25"/>
      <c r="C1336" s="25"/>
      <c r="D1336" s="26" t="str" cm="1">
        <f t="array" ref="D1336">IF(C1336="","",IFERROR(INDEX(STPP!$D$6:$D$4207,MATCH(C1336,STPP!$C$6:$C$4207,0)),"Not Found"))</f>
        <v/>
      </c>
      <c r="E1336" s="27" t="str" cm="1">
        <f t="array" ref="E1336">IF(C1336="","",IFERROR(INDEX(STPP!$E$6:$E$4207,MATCH(C1336,STPP!$C$6:$C$4207,0)),"Not Found"))</f>
        <v/>
      </c>
      <c r="F1336" s="27" t="str" cm="1">
        <f t="array" ref="F1336">IF(C1336="","",IFERROR(INDEX(STPP!$F$6:$F$4207,MATCH(C1336,STPP!$C$6:$C$4207,0)),"Not Found"))</f>
        <v/>
      </c>
      <c r="G1336" s="25" t="str">
        <f>IF(表1[[#This Row],[No Seri]]="","",表1[[#This Row],[Deskripsi Barang]]+表1[[#This Row],[Kuantitas]]-表1[[#This Row],[Satuan]])</f>
        <v/>
      </c>
      <c r="H1336" s="28"/>
      <c r="I1336" s="25" t="str">
        <f>IF(表1[[#This Row],[Tgl NPBG]]&gt;表1[[#This Row],[Peminta]],表1[[#This Row],[Tgl NPBG]]-表1[[#This Row],[Peminta]],"")</f>
        <v/>
      </c>
      <c r="J1336" s="31"/>
    </row>
    <row r="1337" s="12" customFormat="1" customHeight="1" spans="2:10">
      <c r="B1337" s="25"/>
      <c r="C1337" s="25"/>
      <c r="D1337" s="26" t="str" cm="1">
        <f t="array" ref="D1337">IF(C1337="","",IFERROR(INDEX(STPP!$D$6:$D$4207,MATCH(C1337,STPP!$C$6:$C$4207,0)),"Not Found"))</f>
        <v/>
      </c>
      <c r="E1337" s="27" t="str" cm="1">
        <f t="array" ref="E1337">IF(C1337="","",IFERROR(INDEX(STPP!$E$6:$E$4207,MATCH(C1337,STPP!$C$6:$C$4207,0)),"Not Found"))</f>
        <v/>
      </c>
      <c r="F1337" s="27" t="str" cm="1">
        <f t="array" ref="F1337">IF(C1337="","",IFERROR(INDEX(STPP!$F$6:$F$4207,MATCH(C1337,STPP!$C$6:$C$4207,0)),"Not Found"))</f>
        <v/>
      </c>
      <c r="G1337" s="25" t="str">
        <f>IF(表1[[#This Row],[No Seri]]="","",表1[[#This Row],[Deskripsi Barang]]+表1[[#This Row],[Kuantitas]]-表1[[#This Row],[Satuan]])</f>
        <v/>
      </c>
      <c r="H1337" s="28"/>
      <c r="I1337" s="25" t="str">
        <f>IF(表1[[#This Row],[Tgl NPBG]]&gt;表1[[#This Row],[Peminta]],表1[[#This Row],[Tgl NPBG]]-表1[[#This Row],[Peminta]],"")</f>
        <v/>
      </c>
      <c r="J1337" s="31"/>
    </row>
    <row r="1338" s="12" customFormat="1" customHeight="1" spans="2:10">
      <c r="B1338" s="25"/>
      <c r="C1338" s="25"/>
      <c r="D1338" s="26" t="str" cm="1">
        <f t="array" ref="D1338">IF(C1338="","",IFERROR(INDEX(STPP!$D$6:$D$4207,MATCH(C1338,STPP!$C$6:$C$4207,0)),"Not Found"))</f>
        <v/>
      </c>
      <c r="E1338" s="27" t="str" cm="1">
        <f t="array" ref="E1338">IF(C1338="","",IFERROR(INDEX(STPP!$E$6:$E$4207,MATCH(C1338,STPP!$C$6:$C$4207,0)),"Not Found"))</f>
        <v/>
      </c>
      <c r="F1338" s="27" t="str" cm="1">
        <f t="array" ref="F1338">IF(C1338="","",IFERROR(INDEX(STPP!$F$6:$F$4207,MATCH(C1338,STPP!$C$6:$C$4207,0)),"Not Found"))</f>
        <v/>
      </c>
      <c r="G1338" s="25" t="str">
        <f>IF(表1[[#This Row],[No Seri]]="","",表1[[#This Row],[Deskripsi Barang]]+表1[[#This Row],[Kuantitas]]-表1[[#This Row],[Satuan]])</f>
        <v/>
      </c>
      <c r="H1338" s="28"/>
      <c r="I1338" s="25" t="str">
        <f>IF(表1[[#This Row],[Tgl NPBG]]&gt;表1[[#This Row],[Peminta]],表1[[#This Row],[Tgl NPBG]]-表1[[#This Row],[Peminta]],"")</f>
        <v/>
      </c>
      <c r="J1338" s="31"/>
    </row>
    <row r="1339" s="12" customFormat="1" customHeight="1" spans="2:10">
      <c r="B1339" s="25"/>
      <c r="C1339" s="25"/>
      <c r="D1339" s="26" t="str" cm="1">
        <f t="array" ref="D1339">IF(C1339="","",IFERROR(INDEX(STPP!$D$6:$D$4207,MATCH(C1339,STPP!$C$6:$C$4207,0)),"Not Found"))</f>
        <v/>
      </c>
      <c r="E1339" s="27" t="str" cm="1">
        <f t="array" ref="E1339">IF(C1339="","",IFERROR(INDEX(STPP!$E$6:$E$4207,MATCH(C1339,STPP!$C$6:$C$4207,0)),"Not Found"))</f>
        <v/>
      </c>
      <c r="F1339" s="27" t="str" cm="1">
        <f t="array" ref="F1339">IF(C1339="","",IFERROR(INDEX(STPP!$F$6:$F$4207,MATCH(C1339,STPP!$C$6:$C$4207,0)),"Not Found"))</f>
        <v/>
      </c>
      <c r="G1339" s="25" t="str">
        <f>IF(表1[[#This Row],[No Seri]]="","",表1[[#This Row],[Deskripsi Barang]]+表1[[#This Row],[Kuantitas]]-表1[[#This Row],[Satuan]])</f>
        <v/>
      </c>
      <c r="H1339" s="28"/>
      <c r="I1339" s="25" t="str">
        <f>IF(表1[[#This Row],[Tgl NPBG]]&gt;表1[[#This Row],[Peminta]],表1[[#This Row],[Tgl NPBG]]-表1[[#This Row],[Peminta]],"")</f>
        <v/>
      </c>
      <c r="J1339" s="31"/>
    </row>
    <row r="1340" s="12" customFormat="1" customHeight="1" spans="2:10">
      <c r="B1340" s="25"/>
      <c r="C1340" s="25"/>
      <c r="D1340" s="26" t="str" cm="1">
        <f t="array" ref="D1340">IF(C1340="","",IFERROR(INDEX(STPP!$D$6:$D$4207,MATCH(C1340,STPP!$C$6:$C$4207,0)),"Not Found"))</f>
        <v/>
      </c>
      <c r="E1340" s="27" t="str" cm="1">
        <f t="array" ref="E1340">IF(C1340="","",IFERROR(INDEX(STPP!$E$6:$E$4207,MATCH(C1340,STPP!$C$6:$C$4207,0)),"Not Found"))</f>
        <v/>
      </c>
      <c r="F1340" s="27" t="str" cm="1">
        <f t="array" ref="F1340">IF(C1340="","",IFERROR(INDEX(STPP!$F$6:$F$4207,MATCH(C1340,STPP!$C$6:$C$4207,0)),"Not Found"))</f>
        <v/>
      </c>
      <c r="G1340" s="25" t="str">
        <f>IF(表1[[#This Row],[No Seri]]="","",表1[[#This Row],[Deskripsi Barang]]+表1[[#This Row],[Kuantitas]]-表1[[#This Row],[Satuan]])</f>
        <v/>
      </c>
      <c r="H1340" s="28"/>
      <c r="I1340" s="25" t="str">
        <f>IF(表1[[#This Row],[Tgl NPBG]]&gt;表1[[#This Row],[Peminta]],表1[[#This Row],[Tgl NPBG]]-表1[[#This Row],[Peminta]],"")</f>
        <v/>
      </c>
      <c r="J1340" s="31"/>
    </row>
    <row r="1341" s="12" customFormat="1" customHeight="1" spans="2:10">
      <c r="B1341" s="25"/>
      <c r="C1341" s="25"/>
      <c r="D1341" s="26" t="str" cm="1">
        <f t="array" ref="D1341">IF(C1341="","",IFERROR(INDEX(STPP!$D$6:$D$4207,MATCH(C1341,STPP!$C$6:$C$4207,0)),"Not Found"))</f>
        <v/>
      </c>
      <c r="E1341" s="27" t="str" cm="1">
        <f t="array" ref="E1341">IF(C1341="","",IFERROR(INDEX(STPP!$E$6:$E$4207,MATCH(C1341,STPP!$C$6:$C$4207,0)),"Not Found"))</f>
        <v/>
      </c>
      <c r="F1341" s="27" t="str" cm="1">
        <f t="array" ref="F1341">IF(C1341="","",IFERROR(INDEX(STPP!$F$6:$F$4207,MATCH(C1341,STPP!$C$6:$C$4207,0)),"Not Found"))</f>
        <v/>
      </c>
      <c r="G1341" s="25" t="str">
        <f>IF(表1[[#This Row],[No Seri]]="","",表1[[#This Row],[Deskripsi Barang]]+表1[[#This Row],[Kuantitas]]-表1[[#This Row],[Satuan]])</f>
        <v/>
      </c>
      <c r="H1341" s="28"/>
      <c r="I1341" s="25" t="str">
        <f>IF(表1[[#This Row],[Tgl NPBG]]&gt;表1[[#This Row],[Peminta]],表1[[#This Row],[Tgl NPBG]]-表1[[#This Row],[Peminta]],"")</f>
        <v/>
      </c>
      <c r="J1341" s="31"/>
    </row>
    <row r="1342" s="12" customFormat="1" customHeight="1" spans="2:10">
      <c r="B1342" s="25"/>
      <c r="C1342" s="25"/>
      <c r="D1342" s="26" t="str" cm="1">
        <f t="array" ref="D1342">IF(C1342="","",IFERROR(INDEX(STPP!$D$6:$D$4207,MATCH(C1342,STPP!$C$6:$C$4207,0)),"Not Found"))</f>
        <v/>
      </c>
      <c r="E1342" s="27" t="str" cm="1">
        <f t="array" ref="E1342">IF(C1342="","",IFERROR(INDEX(STPP!$E$6:$E$4207,MATCH(C1342,STPP!$C$6:$C$4207,0)),"Not Found"))</f>
        <v/>
      </c>
      <c r="F1342" s="27" t="str" cm="1">
        <f t="array" ref="F1342">IF(C1342="","",IFERROR(INDEX(STPP!$F$6:$F$4207,MATCH(C1342,STPP!$C$6:$C$4207,0)),"Not Found"))</f>
        <v/>
      </c>
      <c r="G1342" s="25" t="str">
        <f>IF(表1[[#This Row],[No Seri]]="","",表1[[#This Row],[Deskripsi Barang]]+表1[[#This Row],[Kuantitas]]-表1[[#This Row],[Satuan]])</f>
        <v/>
      </c>
      <c r="H1342" s="28"/>
      <c r="I1342" s="25" t="str">
        <f>IF(表1[[#This Row],[Tgl NPBG]]&gt;表1[[#This Row],[Peminta]],表1[[#This Row],[Tgl NPBG]]-表1[[#This Row],[Peminta]],"")</f>
        <v/>
      </c>
      <c r="J1342" s="31"/>
    </row>
    <row r="1343" s="12" customFormat="1" customHeight="1" spans="2:10">
      <c r="B1343" s="25"/>
      <c r="C1343" s="25"/>
      <c r="D1343" s="26" t="str" cm="1">
        <f t="array" ref="D1343">IF(C1343="","",IFERROR(INDEX(STPP!$D$6:$D$4207,MATCH(C1343,STPP!$C$6:$C$4207,0)),"Not Found"))</f>
        <v/>
      </c>
      <c r="E1343" s="27" t="str" cm="1">
        <f t="array" ref="E1343">IF(C1343="","",IFERROR(INDEX(STPP!$E$6:$E$4207,MATCH(C1343,STPP!$C$6:$C$4207,0)),"Not Found"))</f>
        <v/>
      </c>
      <c r="F1343" s="27" t="str" cm="1">
        <f t="array" ref="F1343">IF(C1343="","",IFERROR(INDEX(STPP!$F$6:$F$4207,MATCH(C1343,STPP!$C$6:$C$4207,0)),"Not Found"))</f>
        <v/>
      </c>
      <c r="G1343" s="25" t="str">
        <f>IF(表1[[#This Row],[No Seri]]="","",表1[[#This Row],[Deskripsi Barang]]+表1[[#This Row],[Kuantitas]]-表1[[#This Row],[Satuan]])</f>
        <v/>
      </c>
      <c r="H1343" s="28"/>
      <c r="I1343" s="25" t="str">
        <f>IF(表1[[#This Row],[Tgl NPBG]]&gt;表1[[#This Row],[Peminta]],表1[[#This Row],[Tgl NPBG]]-表1[[#This Row],[Peminta]],"")</f>
        <v/>
      </c>
      <c r="J1343" s="31"/>
    </row>
    <row r="1344" s="12" customFormat="1" customHeight="1" spans="2:10">
      <c r="B1344" s="25"/>
      <c r="C1344" s="25"/>
      <c r="D1344" s="26" t="str" cm="1">
        <f t="array" ref="D1344">IF(C1344="","",IFERROR(INDEX(STPP!$D$6:$D$4207,MATCH(C1344,STPP!$C$6:$C$4207,0)),"Not Found"))</f>
        <v/>
      </c>
      <c r="E1344" s="27" t="str" cm="1">
        <f t="array" ref="E1344">IF(C1344="","",IFERROR(INDEX(STPP!$E$6:$E$4207,MATCH(C1344,STPP!$C$6:$C$4207,0)),"Not Found"))</f>
        <v/>
      </c>
      <c r="F1344" s="27" t="str" cm="1">
        <f t="array" ref="F1344">IF(C1344="","",IFERROR(INDEX(STPP!$F$6:$F$4207,MATCH(C1344,STPP!$C$6:$C$4207,0)),"Not Found"))</f>
        <v/>
      </c>
      <c r="G1344" s="25" t="str">
        <f>IF(表1[[#This Row],[No Seri]]="","",表1[[#This Row],[Deskripsi Barang]]+表1[[#This Row],[Kuantitas]]-表1[[#This Row],[Satuan]])</f>
        <v/>
      </c>
      <c r="H1344" s="28"/>
      <c r="I1344" s="25" t="str">
        <f>IF(表1[[#This Row],[Tgl NPBG]]&gt;表1[[#This Row],[Peminta]],表1[[#This Row],[Tgl NPBG]]-表1[[#This Row],[Peminta]],"")</f>
        <v/>
      </c>
      <c r="J1344" s="31"/>
    </row>
    <row r="1345" s="12" customFormat="1" customHeight="1" spans="2:10">
      <c r="B1345" s="25"/>
      <c r="C1345" s="25"/>
      <c r="D1345" s="26" t="str" cm="1">
        <f t="array" ref="D1345">IF(C1345="","",IFERROR(INDEX(STPP!$D$6:$D$4207,MATCH(C1345,STPP!$C$6:$C$4207,0)),"Not Found"))</f>
        <v/>
      </c>
      <c r="E1345" s="27" t="str" cm="1">
        <f t="array" ref="E1345">IF(C1345="","",IFERROR(INDEX(STPP!$E$6:$E$4207,MATCH(C1345,STPP!$C$6:$C$4207,0)),"Not Found"))</f>
        <v/>
      </c>
      <c r="F1345" s="27" t="str" cm="1">
        <f t="array" ref="F1345">IF(C1345="","",IFERROR(INDEX(STPP!$F$6:$F$4207,MATCH(C1345,STPP!$C$6:$C$4207,0)),"Not Found"))</f>
        <v/>
      </c>
      <c r="G1345" s="25" t="str">
        <f>IF(表1[[#This Row],[No Seri]]="","",表1[[#This Row],[Deskripsi Barang]]+表1[[#This Row],[Kuantitas]]-表1[[#This Row],[Satuan]])</f>
        <v/>
      </c>
      <c r="H1345" s="28"/>
      <c r="I1345" s="25" t="str">
        <f>IF(表1[[#This Row],[Tgl NPBG]]&gt;表1[[#This Row],[Peminta]],表1[[#This Row],[Tgl NPBG]]-表1[[#This Row],[Peminta]],"")</f>
        <v/>
      </c>
      <c r="J1345" s="31"/>
    </row>
    <row r="1346" s="12" customFormat="1" customHeight="1" spans="2:10">
      <c r="B1346" s="25"/>
      <c r="C1346" s="25"/>
      <c r="D1346" s="26" t="str" cm="1">
        <f t="array" ref="D1346">IF(C1346="","",IFERROR(INDEX(STPP!$D$6:$D$4207,MATCH(C1346,STPP!$C$6:$C$4207,0)),"Not Found"))</f>
        <v/>
      </c>
      <c r="E1346" s="27" t="str" cm="1">
        <f t="array" ref="E1346">IF(C1346="","",IFERROR(INDEX(STPP!$E$6:$E$4207,MATCH(C1346,STPP!$C$6:$C$4207,0)),"Not Found"))</f>
        <v/>
      </c>
      <c r="F1346" s="27" t="str" cm="1">
        <f t="array" ref="F1346">IF(C1346="","",IFERROR(INDEX(STPP!$F$6:$F$4207,MATCH(C1346,STPP!$C$6:$C$4207,0)),"Not Found"))</f>
        <v/>
      </c>
      <c r="G1346" s="25" t="str">
        <f>IF(表1[[#This Row],[No Seri]]="","",表1[[#This Row],[Deskripsi Barang]]+表1[[#This Row],[Kuantitas]]-表1[[#This Row],[Satuan]])</f>
        <v/>
      </c>
      <c r="H1346" s="28"/>
      <c r="I1346" s="25" t="str">
        <f>IF(表1[[#This Row],[Tgl NPBG]]&gt;表1[[#This Row],[Peminta]],表1[[#This Row],[Tgl NPBG]]-表1[[#This Row],[Peminta]],"")</f>
        <v/>
      </c>
      <c r="J1346" s="31"/>
    </row>
    <row r="1347" s="12" customFormat="1" customHeight="1" spans="2:10">
      <c r="B1347" s="25"/>
      <c r="C1347" s="25"/>
      <c r="D1347" s="26" t="str" cm="1">
        <f t="array" ref="D1347">IF(C1347="","",IFERROR(INDEX(STPP!$D$6:$D$4207,MATCH(C1347,STPP!$C$6:$C$4207,0)),"Not Found"))</f>
        <v/>
      </c>
      <c r="E1347" s="27" t="str" cm="1">
        <f t="array" ref="E1347">IF(C1347="","",IFERROR(INDEX(STPP!$E$6:$E$4207,MATCH(C1347,STPP!$C$6:$C$4207,0)),"Not Found"))</f>
        <v/>
      </c>
      <c r="F1347" s="27" t="str" cm="1">
        <f t="array" ref="F1347">IF(C1347="","",IFERROR(INDEX(STPP!$F$6:$F$4207,MATCH(C1347,STPP!$C$6:$C$4207,0)),"Not Found"))</f>
        <v/>
      </c>
      <c r="G1347" s="25" t="str">
        <f>IF(表1[[#This Row],[No Seri]]="","",表1[[#This Row],[Deskripsi Barang]]+表1[[#This Row],[Kuantitas]]-表1[[#This Row],[Satuan]])</f>
        <v/>
      </c>
      <c r="H1347" s="28"/>
      <c r="I1347" s="25" t="str">
        <f>IF(表1[[#This Row],[Tgl NPBG]]&gt;表1[[#This Row],[Peminta]],表1[[#This Row],[Tgl NPBG]]-表1[[#This Row],[Peminta]],"")</f>
        <v/>
      </c>
      <c r="J1347" s="31"/>
    </row>
    <row r="1348" s="12" customFormat="1" customHeight="1" spans="2:10">
      <c r="B1348" s="25"/>
      <c r="C1348" s="25"/>
      <c r="D1348" s="26" t="str" cm="1">
        <f t="array" ref="D1348">IF(C1348="","",IFERROR(INDEX(STPP!$D$6:$D$4207,MATCH(C1348,STPP!$C$6:$C$4207,0)),"Not Found"))</f>
        <v/>
      </c>
      <c r="E1348" s="27" t="str" cm="1">
        <f t="array" ref="E1348">IF(C1348="","",IFERROR(INDEX(STPP!$E$6:$E$4207,MATCH(C1348,STPP!$C$6:$C$4207,0)),"Not Found"))</f>
        <v/>
      </c>
      <c r="F1348" s="27" t="str" cm="1">
        <f t="array" ref="F1348">IF(C1348="","",IFERROR(INDEX(STPP!$F$6:$F$4207,MATCH(C1348,STPP!$C$6:$C$4207,0)),"Not Found"))</f>
        <v/>
      </c>
      <c r="G1348" s="25" t="str">
        <f>IF(表1[[#This Row],[No Seri]]="","",表1[[#This Row],[Deskripsi Barang]]+表1[[#This Row],[Kuantitas]]-表1[[#This Row],[Satuan]])</f>
        <v/>
      </c>
      <c r="H1348" s="28"/>
      <c r="I1348" s="25" t="str">
        <f>IF(表1[[#This Row],[Tgl NPBG]]&gt;表1[[#This Row],[Peminta]],表1[[#This Row],[Tgl NPBG]]-表1[[#This Row],[Peminta]],"")</f>
        <v/>
      </c>
      <c r="J1348" s="31"/>
    </row>
    <row r="1349" s="12" customFormat="1" customHeight="1" spans="2:10">
      <c r="B1349" s="25"/>
      <c r="C1349" s="25"/>
      <c r="D1349" s="26" t="str" cm="1">
        <f t="array" ref="D1349">IF(C1349="","",IFERROR(INDEX(STPP!$D$6:$D$4207,MATCH(C1349,STPP!$C$6:$C$4207,0)),"Not Found"))</f>
        <v/>
      </c>
      <c r="E1349" s="27" t="str" cm="1">
        <f t="array" ref="E1349">IF(C1349="","",IFERROR(INDEX(STPP!$E$6:$E$4207,MATCH(C1349,STPP!$C$6:$C$4207,0)),"Not Found"))</f>
        <v/>
      </c>
      <c r="F1349" s="27" t="str" cm="1">
        <f t="array" ref="F1349">IF(C1349="","",IFERROR(INDEX(STPP!$F$6:$F$4207,MATCH(C1349,STPP!$C$6:$C$4207,0)),"Not Found"))</f>
        <v/>
      </c>
      <c r="G1349" s="25" t="str">
        <f>IF(表1[[#This Row],[No Seri]]="","",表1[[#This Row],[Deskripsi Barang]]+表1[[#This Row],[Kuantitas]]-表1[[#This Row],[Satuan]])</f>
        <v/>
      </c>
      <c r="H1349" s="28"/>
      <c r="I1349" s="25" t="str">
        <f>IF(表1[[#This Row],[Tgl NPBG]]&gt;表1[[#This Row],[Peminta]],表1[[#This Row],[Tgl NPBG]]-表1[[#This Row],[Peminta]],"")</f>
        <v/>
      </c>
      <c r="J1349" s="31"/>
    </row>
    <row r="1350" s="12" customFormat="1" customHeight="1" spans="2:10">
      <c r="B1350" s="25"/>
      <c r="C1350" s="25"/>
      <c r="D1350" s="26" t="str" cm="1">
        <f t="array" ref="D1350">IF(C1350="","",IFERROR(INDEX(STPP!$D$6:$D$4207,MATCH(C1350,STPP!$C$6:$C$4207,0)),"Not Found"))</f>
        <v/>
      </c>
      <c r="E1350" s="27" t="str" cm="1">
        <f t="array" ref="E1350">IF(C1350="","",IFERROR(INDEX(STPP!$E$6:$E$4207,MATCH(C1350,STPP!$C$6:$C$4207,0)),"Not Found"))</f>
        <v/>
      </c>
      <c r="F1350" s="27" t="str" cm="1">
        <f t="array" ref="F1350">IF(C1350="","",IFERROR(INDEX(STPP!$F$6:$F$4207,MATCH(C1350,STPP!$C$6:$C$4207,0)),"Not Found"))</f>
        <v/>
      </c>
      <c r="G1350" s="25" t="str">
        <f>IF(表1[[#This Row],[No Seri]]="","",表1[[#This Row],[Deskripsi Barang]]+表1[[#This Row],[Kuantitas]]-表1[[#This Row],[Satuan]])</f>
        <v/>
      </c>
      <c r="H1350" s="28"/>
      <c r="I1350" s="25" t="str">
        <f>IF(表1[[#This Row],[Tgl NPBG]]&gt;表1[[#This Row],[Peminta]],表1[[#This Row],[Tgl NPBG]]-表1[[#This Row],[Peminta]],"")</f>
        <v/>
      </c>
      <c r="J1350" s="31"/>
    </row>
    <row r="1351" s="12" customFormat="1" customHeight="1" spans="2:10">
      <c r="B1351" s="25"/>
      <c r="C1351" s="25"/>
      <c r="D1351" s="26" t="str" cm="1">
        <f t="array" ref="D1351">IF(C1351="","",IFERROR(INDEX(STPP!$D$6:$D$4207,MATCH(C1351,STPP!$C$6:$C$4207,0)),"Not Found"))</f>
        <v/>
      </c>
      <c r="E1351" s="27" t="str" cm="1">
        <f t="array" ref="E1351">IF(C1351="","",IFERROR(INDEX(STPP!$E$6:$E$4207,MATCH(C1351,STPP!$C$6:$C$4207,0)),"Not Found"))</f>
        <v/>
      </c>
      <c r="F1351" s="27" t="str" cm="1">
        <f t="array" ref="F1351">IF(C1351="","",IFERROR(INDEX(STPP!$F$6:$F$4207,MATCH(C1351,STPP!$C$6:$C$4207,0)),"Not Found"))</f>
        <v/>
      </c>
      <c r="G1351" s="25" t="str">
        <f>IF(表1[[#This Row],[No Seri]]="","",表1[[#This Row],[Deskripsi Barang]]+表1[[#This Row],[Kuantitas]]-表1[[#This Row],[Satuan]])</f>
        <v/>
      </c>
      <c r="H1351" s="28"/>
      <c r="I1351" s="25" t="str">
        <f>IF(表1[[#This Row],[Tgl NPBG]]&gt;表1[[#This Row],[Peminta]],表1[[#This Row],[Tgl NPBG]]-表1[[#This Row],[Peminta]],"")</f>
        <v/>
      </c>
      <c r="J1351" s="31"/>
    </row>
    <row r="1352" s="12" customFormat="1" customHeight="1" spans="2:10">
      <c r="B1352" s="25"/>
      <c r="C1352" s="25"/>
      <c r="D1352" s="26" t="str" cm="1">
        <f t="array" ref="D1352">IF(C1352="","",IFERROR(INDEX(STPP!$D$6:$D$4207,MATCH(C1352,STPP!$C$6:$C$4207,0)),"Not Found"))</f>
        <v/>
      </c>
      <c r="E1352" s="27" t="str" cm="1">
        <f t="array" ref="E1352">IF(C1352="","",IFERROR(INDEX(STPP!$E$6:$E$4207,MATCH(C1352,STPP!$C$6:$C$4207,0)),"Not Found"))</f>
        <v/>
      </c>
      <c r="F1352" s="27" t="str" cm="1">
        <f t="array" ref="F1352">IF(C1352="","",IFERROR(INDEX(STPP!$F$6:$F$4207,MATCH(C1352,STPP!$C$6:$C$4207,0)),"Not Found"))</f>
        <v/>
      </c>
      <c r="G1352" s="25" t="str">
        <f>IF(表1[[#This Row],[No Seri]]="","",表1[[#This Row],[Deskripsi Barang]]+表1[[#This Row],[Kuantitas]]-表1[[#This Row],[Satuan]])</f>
        <v/>
      </c>
      <c r="H1352" s="28"/>
      <c r="I1352" s="25" t="str">
        <f>IF(表1[[#This Row],[Tgl NPBG]]&gt;表1[[#This Row],[Peminta]],表1[[#This Row],[Tgl NPBG]]-表1[[#This Row],[Peminta]],"")</f>
        <v/>
      </c>
      <c r="J1352" s="31"/>
    </row>
    <row r="1353" s="12" customFormat="1" customHeight="1" spans="2:10">
      <c r="B1353" s="25"/>
      <c r="C1353" s="25"/>
      <c r="D1353" s="26" t="str" cm="1">
        <f t="array" ref="D1353">IF(C1353="","",IFERROR(INDEX(STPP!$D$6:$D$4207,MATCH(C1353,STPP!$C$6:$C$4207,0)),"Not Found"))</f>
        <v/>
      </c>
      <c r="E1353" s="27" t="str" cm="1">
        <f t="array" ref="E1353">IF(C1353="","",IFERROR(INDEX(STPP!$E$6:$E$4207,MATCH(C1353,STPP!$C$6:$C$4207,0)),"Not Found"))</f>
        <v/>
      </c>
      <c r="F1353" s="27" t="str" cm="1">
        <f t="array" ref="F1353">IF(C1353="","",IFERROR(INDEX(STPP!$F$6:$F$4207,MATCH(C1353,STPP!$C$6:$C$4207,0)),"Not Found"))</f>
        <v/>
      </c>
      <c r="G1353" s="25" t="str">
        <f>IF(表1[[#This Row],[No Seri]]="","",表1[[#This Row],[Deskripsi Barang]]+表1[[#This Row],[Kuantitas]]-表1[[#This Row],[Satuan]])</f>
        <v/>
      </c>
      <c r="H1353" s="28"/>
      <c r="I1353" s="25" t="str">
        <f>IF(表1[[#This Row],[Tgl NPBG]]&gt;表1[[#This Row],[Peminta]],表1[[#This Row],[Tgl NPBG]]-表1[[#This Row],[Peminta]],"")</f>
        <v/>
      </c>
      <c r="J1353" s="31"/>
    </row>
    <row r="1354" s="12" customFormat="1" customHeight="1" spans="2:10">
      <c r="B1354" s="25"/>
      <c r="C1354" s="25"/>
      <c r="D1354" s="26" t="str" cm="1">
        <f t="array" ref="D1354">IF(C1354="","",IFERROR(INDEX(STPP!$D$6:$D$4207,MATCH(C1354,STPP!$C$6:$C$4207,0)),"Not Found"))</f>
        <v/>
      </c>
      <c r="E1354" s="27" t="str" cm="1">
        <f t="array" ref="E1354">IF(C1354="","",IFERROR(INDEX(STPP!$E$6:$E$4207,MATCH(C1354,STPP!$C$6:$C$4207,0)),"Not Found"))</f>
        <v/>
      </c>
      <c r="F1354" s="27" t="str" cm="1">
        <f t="array" ref="F1354">IF(C1354="","",IFERROR(INDEX(STPP!$F$6:$F$4207,MATCH(C1354,STPP!$C$6:$C$4207,0)),"Not Found"))</f>
        <v/>
      </c>
      <c r="G1354" s="25" t="str">
        <f>IF(表1[[#This Row],[No Seri]]="","",表1[[#This Row],[Deskripsi Barang]]+表1[[#This Row],[Kuantitas]]-表1[[#This Row],[Satuan]])</f>
        <v/>
      </c>
      <c r="H1354" s="28"/>
      <c r="I1354" s="25" t="str">
        <f>IF(表1[[#This Row],[Tgl NPBG]]&gt;表1[[#This Row],[Peminta]],表1[[#This Row],[Tgl NPBG]]-表1[[#This Row],[Peminta]],"")</f>
        <v/>
      </c>
      <c r="J1354" s="31"/>
    </row>
    <row r="1355" s="12" customFormat="1" customHeight="1" spans="2:10">
      <c r="B1355" s="25"/>
      <c r="C1355" s="25"/>
      <c r="D1355" s="26" t="str" cm="1">
        <f t="array" ref="D1355">IF(C1355="","",IFERROR(INDEX(STPP!$D$6:$D$4207,MATCH(C1355,STPP!$C$6:$C$4207,0)),"Not Found"))</f>
        <v/>
      </c>
      <c r="E1355" s="27" t="str" cm="1">
        <f t="array" ref="E1355">IF(C1355="","",IFERROR(INDEX(STPP!$E$6:$E$4207,MATCH(C1355,STPP!$C$6:$C$4207,0)),"Not Found"))</f>
        <v/>
      </c>
      <c r="F1355" s="27" t="str" cm="1">
        <f t="array" ref="F1355">IF(C1355="","",IFERROR(INDEX(STPP!$F$6:$F$4207,MATCH(C1355,STPP!$C$6:$C$4207,0)),"Not Found"))</f>
        <v/>
      </c>
      <c r="G1355" s="25" t="str">
        <f>IF(表1[[#This Row],[No Seri]]="","",表1[[#This Row],[Deskripsi Barang]]+表1[[#This Row],[Kuantitas]]-表1[[#This Row],[Satuan]])</f>
        <v/>
      </c>
      <c r="H1355" s="28"/>
      <c r="I1355" s="25" t="str">
        <f>IF(表1[[#This Row],[Tgl NPBG]]&gt;表1[[#This Row],[Peminta]],表1[[#This Row],[Tgl NPBG]]-表1[[#This Row],[Peminta]],"")</f>
        <v/>
      </c>
      <c r="J1355" s="31"/>
    </row>
    <row r="1356" s="12" customFormat="1" customHeight="1" spans="2:10">
      <c r="B1356" s="25"/>
      <c r="C1356" s="25"/>
      <c r="D1356" s="26" t="str" cm="1">
        <f t="array" ref="D1356">IF(C1356="","",IFERROR(INDEX(STPP!$D$6:$D$4207,MATCH(C1356,STPP!$C$6:$C$4207,0)),"Not Found"))</f>
        <v/>
      </c>
      <c r="E1356" s="27" t="str" cm="1">
        <f t="array" ref="E1356">IF(C1356="","",IFERROR(INDEX(STPP!$E$6:$E$4207,MATCH(C1356,STPP!$C$6:$C$4207,0)),"Not Found"))</f>
        <v/>
      </c>
      <c r="F1356" s="27" t="str" cm="1">
        <f t="array" ref="F1356">IF(C1356="","",IFERROR(INDEX(STPP!$F$6:$F$4207,MATCH(C1356,STPP!$C$6:$C$4207,0)),"Not Found"))</f>
        <v/>
      </c>
      <c r="G1356" s="25" t="str">
        <f>IF(表1[[#This Row],[No Seri]]="","",表1[[#This Row],[Deskripsi Barang]]+表1[[#This Row],[Kuantitas]]-表1[[#This Row],[Satuan]])</f>
        <v/>
      </c>
      <c r="H1356" s="28"/>
      <c r="I1356" s="25" t="str">
        <f>IF(表1[[#This Row],[Tgl NPBG]]&gt;表1[[#This Row],[Peminta]],表1[[#This Row],[Tgl NPBG]]-表1[[#This Row],[Peminta]],"")</f>
        <v/>
      </c>
      <c r="J1356" s="31"/>
    </row>
    <row r="1357" s="12" customFormat="1" customHeight="1" spans="2:10">
      <c r="B1357" s="25"/>
      <c r="C1357" s="25"/>
      <c r="D1357" s="26" t="str" cm="1">
        <f t="array" ref="D1357">IF(C1357="","",IFERROR(INDEX(STPP!$D$6:$D$4207,MATCH(C1357,STPP!$C$6:$C$4207,0)),"Not Found"))</f>
        <v/>
      </c>
      <c r="E1357" s="27" t="str" cm="1">
        <f t="array" ref="E1357">IF(C1357="","",IFERROR(INDEX(STPP!$E$6:$E$4207,MATCH(C1357,STPP!$C$6:$C$4207,0)),"Not Found"))</f>
        <v/>
      </c>
      <c r="F1357" s="27" t="str" cm="1">
        <f t="array" ref="F1357">IF(C1357="","",IFERROR(INDEX(STPP!$F$6:$F$4207,MATCH(C1357,STPP!$C$6:$C$4207,0)),"Not Found"))</f>
        <v/>
      </c>
      <c r="G1357" s="25" t="str">
        <f>IF(表1[[#This Row],[No Seri]]="","",表1[[#This Row],[Deskripsi Barang]]+表1[[#This Row],[Kuantitas]]-表1[[#This Row],[Satuan]])</f>
        <v/>
      </c>
      <c r="H1357" s="28"/>
      <c r="I1357" s="25" t="str">
        <f>IF(表1[[#This Row],[Tgl NPBG]]&gt;表1[[#This Row],[Peminta]],表1[[#This Row],[Tgl NPBG]]-表1[[#This Row],[Peminta]],"")</f>
        <v/>
      </c>
      <c r="J1357" s="31"/>
    </row>
    <row r="1358" s="12" customFormat="1" customHeight="1" spans="2:10">
      <c r="B1358" s="25"/>
      <c r="C1358" s="25"/>
      <c r="D1358" s="26" t="str" cm="1">
        <f t="array" ref="D1358">IF(C1358="","",IFERROR(INDEX(STPP!$D$6:$D$4207,MATCH(C1358,STPP!$C$6:$C$4207,0)),"Not Found"))</f>
        <v/>
      </c>
      <c r="E1358" s="27" t="str" cm="1">
        <f t="array" ref="E1358">IF(C1358="","",IFERROR(INDEX(STPP!$E$6:$E$4207,MATCH(C1358,STPP!$C$6:$C$4207,0)),"Not Found"))</f>
        <v/>
      </c>
      <c r="F1358" s="27" t="str" cm="1">
        <f t="array" ref="F1358">IF(C1358="","",IFERROR(INDEX(STPP!$F$6:$F$4207,MATCH(C1358,STPP!$C$6:$C$4207,0)),"Not Found"))</f>
        <v/>
      </c>
      <c r="G1358" s="25" t="str">
        <f>IF(表1[[#This Row],[No Seri]]="","",表1[[#This Row],[Deskripsi Barang]]+表1[[#This Row],[Kuantitas]]-表1[[#This Row],[Satuan]])</f>
        <v/>
      </c>
      <c r="H1358" s="28"/>
      <c r="I1358" s="25" t="str">
        <f>IF(表1[[#This Row],[Tgl NPBG]]&gt;表1[[#This Row],[Peminta]],表1[[#This Row],[Tgl NPBG]]-表1[[#This Row],[Peminta]],"")</f>
        <v/>
      </c>
      <c r="J1358" s="31"/>
    </row>
    <row r="1359" s="12" customFormat="1" customHeight="1" spans="2:10">
      <c r="B1359" s="25"/>
      <c r="C1359" s="25"/>
      <c r="D1359" s="26" t="str" cm="1">
        <f t="array" ref="D1359">IF(C1359="","",IFERROR(INDEX(STPP!$D$6:$D$4207,MATCH(C1359,STPP!$C$6:$C$4207,0)),"Not Found"))</f>
        <v/>
      </c>
      <c r="E1359" s="27" t="str" cm="1">
        <f t="array" ref="E1359">IF(C1359="","",IFERROR(INDEX(STPP!$E$6:$E$4207,MATCH(C1359,STPP!$C$6:$C$4207,0)),"Not Found"))</f>
        <v/>
      </c>
      <c r="F1359" s="27" t="str" cm="1">
        <f t="array" ref="F1359">IF(C1359="","",IFERROR(INDEX(STPP!$F$6:$F$4207,MATCH(C1359,STPP!$C$6:$C$4207,0)),"Not Found"))</f>
        <v/>
      </c>
      <c r="G1359" s="25" t="str">
        <f>IF(表1[[#This Row],[No Seri]]="","",表1[[#This Row],[Deskripsi Barang]]+表1[[#This Row],[Kuantitas]]-表1[[#This Row],[Satuan]])</f>
        <v/>
      </c>
      <c r="H1359" s="28"/>
      <c r="I1359" s="25" t="str">
        <f>IF(表1[[#This Row],[Tgl NPBG]]&gt;表1[[#This Row],[Peminta]],表1[[#This Row],[Tgl NPBG]]-表1[[#This Row],[Peminta]],"")</f>
        <v/>
      </c>
      <c r="J1359" s="31"/>
    </row>
    <row r="1360" s="12" customFormat="1" customHeight="1" spans="2:10">
      <c r="B1360" s="25"/>
      <c r="C1360" s="25"/>
      <c r="D1360" s="26" t="str" cm="1">
        <f t="array" ref="D1360">IF(C1360="","",IFERROR(INDEX(STPP!$D$6:$D$4207,MATCH(C1360,STPP!$C$6:$C$4207,0)),"Not Found"))</f>
        <v/>
      </c>
      <c r="E1360" s="27" t="str" cm="1">
        <f t="array" ref="E1360">IF(C1360="","",IFERROR(INDEX(STPP!$E$6:$E$4207,MATCH(C1360,STPP!$C$6:$C$4207,0)),"Not Found"))</f>
        <v/>
      </c>
      <c r="F1360" s="27" t="str" cm="1">
        <f t="array" ref="F1360">IF(C1360="","",IFERROR(INDEX(STPP!$F$6:$F$4207,MATCH(C1360,STPP!$C$6:$C$4207,0)),"Not Found"))</f>
        <v/>
      </c>
      <c r="G1360" s="25" t="str">
        <f>IF(表1[[#This Row],[No Seri]]="","",表1[[#This Row],[Deskripsi Barang]]+表1[[#This Row],[Kuantitas]]-表1[[#This Row],[Satuan]])</f>
        <v/>
      </c>
      <c r="H1360" s="28"/>
      <c r="I1360" s="25" t="str">
        <f>IF(表1[[#This Row],[Tgl NPBG]]&gt;表1[[#This Row],[Peminta]],表1[[#This Row],[Tgl NPBG]]-表1[[#This Row],[Peminta]],"")</f>
        <v/>
      </c>
      <c r="J1360" s="31"/>
    </row>
    <row r="1361" s="12" customFormat="1" customHeight="1" spans="2:10">
      <c r="B1361" s="25"/>
      <c r="C1361" s="25"/>
      <c r="D1361" s="26" t="str" cm="1">
        <f t="array" ref="D1361">IF(C1361="","",IFERROR(INDEX(STPP!$D$6:$D$4207,MATCH(C1361,STPP!$C$6:$C$4207,0)),"Not Found"))</f>
        <v/>
      </c>
      <c r="E1361" s="27" t="str" cm="1">
        <f t="array" ref="E1361">IF(C1361="","",IFERROR(INDEX(STPP!$E$6:$E$4207,MATCH(C1361,STPP!$C$6:$C$4207,0)),"Not Found"))</f>
        <v/>
      </c>
      <c r="F1361" s="27" t="str" cm="1">
        <f t="array" ref="F1361">IF(C1361="","",IFERROR(INDEX(STPP!$F$6:$F$4207,MATCH(C1361,STPP!$C$6:$C$4207,0)),"Not Found"))</f>
        <v/>
      </c>
      <c r="G1361" s="25" t="str">
        <f>IF(表1[[#This Row],[No Seri]]="","",表1[[#This Row],[Deskripsi Barang]]+表1[[#This Row],[Kuantitas]]-表1[[#This Row],[Satuan]])</f>
        <v/>
      </c>
      <c r="H1361" s="28"/>
      <c r="I1361" s="25" t="str">
        <f>IF(表1[[#This Row],[Tgl NPBG]]&gt;表1[[#This Row],[Peminta]],表1[[#This Row],[Tgl NPBG]]-表1[[#This Row],[Peminta]],"")</f>
        <v/>
      </c>
      <c r="J1361" s="31"/>
    </row>
    <row r="1362" s="12" customFormat="1" customHeight="1" spans="2:10">
      <c r="B1362" s="25"/>
      <c r="C1362" s="25"/>
      <c r="D1362" s="26" t="str" cm="1">
        <f t="array" ref="D1362">IF(C1362="","",IFERROR(INDEX(STPP!$D$6:$D$4207,MATCH(C1362,STPP!$C$6:$C$4207,0)),"Not Found"))</f>
        <v/>
      </c>
      <c r="E1362" s="27" t="str" cm="1">
        <f t="array" ref="E1362">IF(C1362="","",IFERROR(INDEX(STPP!$E$6:$E$4207,MATCH(C1362,STPP!$C$6:$C$4207,0)),"Not Found"))</f>
        <v/>
      </c>
      <c r="F1362" s="27" t="str" cm="1">
        <f t="array" ref="F1362">IF(C1362="","",IFERROR(INDEX(STPP!$F$6:$F$4207,MATCH(C1362,STPP!$C$6:$C$4207,0)),"Not Found"))</f>
        <v/>
      </c>
      <c r="G1362" s="25" t="str">
        <f>IF(表1[[#This Row],[No Seri]]="","",表1[[#This Row],[Deskripsi Barang]]+表1[[#This Row],[Kuantitas]]-表1[[#This Row],[Satuan]])</f>
        <v/>
      </c>
      <c r="H1362" s="28"/>
      <c r="I1362" s="25" t="str">
        <f>IF(表1[[#This Row],[Tgl NPBG]]&gt;表1[[#This Row],[Peminta]],表1[[#This Row],[Tgl NPBG]]-表1[[#This Row],[Peminta]],"")</f>
        <v/>
      </c>
      <c r="J1362" s="31"/>
    </row>
    <row r="1363" s="12" customFormat="1" customHeight="1" spans="2:10">
      <c r="B1363" s="25"/>
      <c r="C1363" s="25"/>
      <c r="D1363" s="26" t="str" cm="1">
        <f t="array" ref="D1363">IF(C1363="","",IFERROR(INDEX(STPP!$D$6:$D$4207,MATCH(C1363,STPP!$C$6:$C$4207,0)),"Not Found"))</f>
        <v/>
      </c>
      <c r="E1363" s="27" t="str" cm="1">
        <f t="array" ref="E1363">IF(C1363="","",IFERROR(INDEX(STPP!$E$6:$E$4207,MATCH(C1363,STPP!$C$6:$C$4207,0)),"Not Found"))</f>
        <v/>
      </c>
      <c r="F1363" s="27" t="str" cm="1">
        <f t="array" ref="F1363">IF(C1363="","",IFERROR(INDEX(STPP!$F$6:$F$4207,MATCH(C1363,STPP!$C$6:$C$4207,0)),"Not Found"))</f>
        <v/>
      </c>
      <c r="G1363" s="25" t="str">
        <f>IF(表1[[#This Row],[No Seri]]="","",表1[[#This Row],[Deskripsi Barang]]+表1[[#This Row],[Kuantitas]]-表1[[#This Row],[Satuan]])</f>
        <v/>
      </c>
      <c r="H1363" s="28"/>
      <c r="I1363" s="25" t="str">
        <f>IF(表1[[#This Row],[Tgl NPBG]]&gt;表1[[#This Row],[Peminta]],表1[[#This Row],[Tgl NPBG]]-表1[[#This Row],[Peminta]],"")</f>
        <v/>
      </c>
      <c r="J1363" s="31"/>
    </row>
    <row r="1364" s="12" customFormat="1" customHeight="1" spans="2:10">
      <c r="B1364" s="25"/>
      <c r="C1364" s="25"/>
      <c r="D1364" s="26" t="str" cm="1">
        <f t="array" ref="D1364">IF(C1364="","",IFERROR(INDEX(STPP!$D$6:$D$4207,MATCH(C1364,STPP!$C$6:$C$4207,0)),"Not Found"))</f>
        <v/>
      </c>
      <c r="E1364" s="27" t="str" cm="1">
        <f t="array" ref="E1364">IF(C1364="","",IFERROR(INDEX(STPP!$E$6:$E$4207,MATCH(C1364,STPP!$C$6:$C$4207,0)),"Not Found"))</f>
        <v/>
      </c>
      <c r="F1364" s="27" t="str" cm="1">
        <f t="array" ref="F1364">IF(C1364="","",IFERROR(INDEX(STPP!$F$6:$F$4207,MATCH(C1364,STPP!$C$6:$C$4207,0)),"Not Found"))</f>
        <v/>
      </c>
      <c r="G1364" s="25" t="str">
        <f>IF(表1[[#This Row],[No Seri]]="","",表1[[#This Row],[Deskripsi Barang]]+表1[[#This Row],[Kuantitas]]-表1[[#This Row],[Satuan]])</f>
        <v/>
      </c>
      <c r="H1364" s="28"/>
      <c r="I1364" s="25" t="str">
        <f>IF(表1[[#This Row],[Tgl NPBG]]&gt;表1[[#This Row],[Peminta]],表1[[#This Row],[Tgl NPBG]]-表1[[#This Row],[Peminta]],"")</f>
        <v/>
      </c>
      <c r="J1364" s="31"/>
    </row>
    <row r="1365" s="12" customFormat="1" customHeight="1" spans="2:10">
      <c r="B1365" s="25"/>
      <c r="C1365" s="25"/>
      <c r="D1365" s="26" t="str" cm="1">
        <f t="array" ref="D1365">IF(C1365="","",IFERROR(INDEX(STPP!$D$6:$D$4207,MATCH(C1365,STPP!$C$6:$C$4207,0)),"Not Found"))</f>
        <v/>
      </c>
      <c r="E1365" s="27" t="str" cm="1">
        <f t="array" ref="E1365">IF(C1365="","",IFERROR(INDEX(STPP!$E$6:$E$4207,MATCH(C1365,STPP!$C$6:$C$4207,0)),"Not Found"))</f>
        <v/>
      </c>
      <c r="F1365" s="27" t="str" cm="1">
        <f t="array" ref="F1365">IF(C1365="","",IFERROR(INDEX(STPP!$F$6:$F$4207,MATCH(C1365,STPP!$C$6:$C$4207,0)),"Not Found"))</f>
        <v/>
      </c>
      <c r="G1365" s="25" t="str">
        <f>IF(表1[[#This Row],[No Seri]]="","",表1[[#This Row],[Deskripsi Barang]]+表1[[#This Row],[Kuantitas]]-表1[[#This Row],[Satuan]])</f>
        <v/>
      </c>
      <c r="H1365" s="28"/>
      <c r="I1365" s="25" t="str">
        <f>IF(表1[[#This Row],[Tgl NPBG]]&gt;表1[[#This Row],[Peminta]],表1[[#This Row],[Tgl NPBG]]-表1[[#This Row],[Peminta]],"")</f>
        <v/>
      </c>
      <c r="J1365" s="31"/>
    </row>
    <row r="1366" s="12" customFormat="1" customHeight="1" spans="2:10">
      <c r="B1366" s="25"/>
      <c r="C1366" s="25"/>
      <c r="D1366" s="26" t="str" cm="1">
        <f t="array" ref="D1366">IF(C1366="","",IFERROR(INDEX(STPP!$D$6:$D$4207,MATCH(C1366,STPP!$C$6:$C$4207,0)),"Not Found"))</f>
        <v/>
      </c>
      <c r="E1366" s="27" t="str" cm="1">
        <f t="array" ref="E1366">IF(C1366="","",IFERROR(INDEX(STPP!$E$6:$E$4207,MATCH(C1366,STPP!$C$6:$C$4207,0)),"Not Found"))</f>
        <v/>
      </c>
      <c r="F1366" s="27" t="str" cm="1">
        <f t="array" ref="F1366">IF(C1366="","",IFERROR(INDEX(STPP!$F$6:$F$4207,MATCH(C1366,STPP!$C$6:$C$4207,0)),"Not Found"))</f>
        <v/>
      </c>
      <c r="G1366" s="25" t="str">
        <f>IF(表1[[#This Row],[No Seri]]="","",表1[[#This Row],[Deskripsi Barang]]+表1[[#This Row],[Kuantitas]]-表1[[#This Row],[Satuan]])</f>
        <v/>
      </c>
      <c r="H1366" s="28"/>
      <c r="I1366" s="25" t="str">
        <f>IF(表1[[#This Row],[Tgl NPBG]]&gt;表1[[#This Row],[Peminta]],表1[[#This Row],[Tgl NPBG]]-表1[[#This Row],[Peminta]],"")</f>
        <v/>
      </c>
      <c r="J1366" s="31"/>
    </row>
    <row r="1367" s="12" customFormat="1" customHeight="1" spans="2:10">
      <c r="B1367" s="25"/>
      <c r="C1367" s="25"/>
      <c r="D1367" s="26" t="str" cm="1">
        <f t="array" ref="D1367">IF(C1367="","",IFERROR(INDEX(STPP!$D$6:$D$4207,MATCH(C1367,STPP!$C$6:$C$4207,0)),"Not Found"))</f>
        <v/>
      </c>
      <c r="E1367" s="27" t="str" cm="1">
        <f t="array" ref="E1367">IF(C1367="","",IFERROR(INDEX(STPP!$E$6:$E$4207,MATCH(C1367,STPP!$C$6:$C$4207,0)),"Not Found"))</f>
        <v/>
      </c>
      <c r="F1367" s="27" t="str" cm="1">
        <f t="array" ref="F1367">IF(C1367="","",IFERROR(INDEX(STPP!$F$6:$F$4207,MATCH(C1367,STPP!$C$6:$C$4207,0)),"Not Found"))</f>
        <v/>
      </c>
      <c r="G1367" s="25" t="str">
        <f>IF(表1[[#This Row],[No Seri]]="","",表1[[#This Row],[Deskripsi Barang]]+表1[[#This Row],[Kuantitas]]-表1[[#This Row],[Satuan]])</f>
        <v/>
      </c>
      <c r="H1367" s="28"/>
      <c r="I1367" s="25" t="str">
        <f>IF(表1[[#This Row],[Tgl NPBG]]&gt;表1[[#This Row],[Peminta]],表1[[#This Row],[Tgl NPBG]]-表1[[#This Row],[Peminta]],"")</f>
        <v/>
      </c>
      <c r="J1367" s="31"/>
    </row>
    <row r="1368" s="12" customFormat="1" customHeight="1" spans="2:10">
      <c r="B1368" s="25"/>
      <c r="C1368" s="25"/>
      <c r="D1368" s="26" t="str" cm="1">
        <f t="array" ref="D1368">IF(C1368="","",IFERROR(INDEX(STPP!$D$6:$D$4207,MATCH(C1368,STPP!$C$6:$C$4207,0)),"Not Found"))</f>
        <v/>
      </c>
      <c r="E1368" s="27" t="str" cm="1">
        <f t="array" ref="E1368">IF(C1368="","",IFERROR(INDEX(STPP!$E$6:$E$4207,MATCH(C1368,STPP!$C$6:$C$4207,0)),"Not Found"))</f>
        <v/>
      </c>
      <c r="F1368" s="27" t="str" cm="1">
        <f t="array" ref="F1368">IF(C1368="","",IFERROR(INDEX(STPP!$F$6:$F$4207,MATCH(C1368,STPP!$C$6:$C$4207,0)),"Not Found"))</f>
        <v/>
      </c>
      <c r="G1368" s="25" t="str">
        <f>IF(表1[[#This Row],[No Seri]]="","",表1[[#This Row],[Deskripsi Barang]]+表1[[#This Row],[Kuantitas]]-表1[[#This Row],[Satuan]])</f>
        <v/>
      </c>
      <c r="H1368" s="28"/>
      <c r="I1368" s="25" t="str">
        <f>IF(表1[[#This Row],[Tgl NPBG]]&gt;表1[[#This Row],[Peminta]],表1[[#This Row],[Tgl NPBG]]-表1[[#This Row],[Peminta]],"")</f>
        <v/>
      </c>
      <c r="J1368" s="31"/>
    </row>
    <row r="1369" s="12" customFormat="1" customHeight="1" spans="2:10">
      <c r="B1369" s="25"/>
      <c r="C1369" s="25"/>
      <c r="D1369" s="26" t="str" cm="1">
        <f t="array" ref="D1369">IF(C1369="","",IFERROR(INDEX(STPP!$D$6:$D$4207,MATCH(C1369,STPP!$C$6:$C$4207,0)),"Not Found"))</f>
        <v/>
      </c>
      <c r="E1369" s="27" t="str" cm="1">
        <f t="array" ref="E1369">IF(C1369="","",IFERROR(INDEX(STPP!$E$6:$E$4207,MATCH(C1369,STPP!$C$6:$C$4207,0)),"Not Found"))</f>
        <v/>
      </c>
      <c r="F1369" s="27" t="str" cm="1">
        <f t="array" ref="F1369">IF(C1369="","",IFERROR(INDEX(STPP!$F$6:$F$4207,MATCH(C1369,STPP!$C$6:$C$4207,0)),"Not Found"))</f>
        <v/>
      </c>
      <c r="G1369" s="25" t="str">
        <f>IF(表1[[#This Row],[No Seri]]="","",表1[[#This Row],[Deskripsi Barang]]+表1[[#This Row],[Kuantitas]]-表1[[#This Row],[Satuan]])</f>
        <v/>
      </c>
      <c r="H1369" s="28"/>
      <c r="I1369" s="25" t="str">
        <f>IF(表1[[#This Row],[Tgl NPBG]]&gt;表1[[#This Row],[Peminta]],表1[[#This Row],[Tgl NPBG]]-表1[[#This Row],[Peminta]],"")</f>
        <v/>
      </c>
      <c r="J1369" s="31"/>
    </row>
    <row r="1370" s="12" customFormat="1" customHeight="1" spans="2:10">
      <c r="B1370" s="25"/>
      <c r="C1370" s="25"/>
      <c r="D1370" s="26" t="str" cm="1">
        <f t="array" ref="D1370">IF(C1370="","",IFERROR(INDEX(STPP!$D$6:$D$4207,MATCH(C1370,STPP!$C$6:$C$4207,0)),"Not Found"))</f>
        <v/>
      </c>
      <c r="E1370" s="27" t="str" cm="1">
        <f t="array" ref="E1370">IF(C1370="","",IFERROR(INDEX(STPP!$E$6:$E$4207,MATCH(C1370,STPP!$C$6:$C$4207,0)),"Not Found"))</f>
        <v/>
      </c>
      <c r="F1370" s="27" t="str" cm="1">
        <f t="array" ref="F1370">IF(C1370="","",IFERROR(INDEX(STPP!$F$6:$F$4207,MATCH(C1370,STPP!$C$6:$C$4207,0)),"Not Found"))</f>
        <v/>
      </c>
      <c r="G1370" s="25" t="str">
        <f>IF(表1[[#This Row],[No Seri]]="","",表1[[#This Row],[Deskripsi Barang]]+表1[[#This Row],[Kuantitas]]-表1[[#This Row],[Satuan]])</f>
        <v/>
      </c>
      <c r="H1370" s="28"/>
      <c r="I1370" s="25" t="str">
        <f>IF(表1[[#This Row],[Tgl NPBG]]&gt;表1[[#This Row],[Peminta]],表1[[#This Row],[Tgl NPBG]]-表1[[#This Row],[Peminta]],"")</f>
        <v/>
      </c>
      <c r="J1370" s="31"/>
    </row>
    <row r="1371" s="12" customFormat="1" customHeight="1" spans="2:10">
      <c r="B1371" s="25"/>
      <c r="C1371" s="25"/>
      <c r="D1371" s="26" t="str" cm="1">
        <f t="array" ref="D1371">IF(C1371="","",IFERROR(INDEX(STPP!$D$6:$D$4207,MATCH(C1371,STPP!$C$6:$C$4207,0)),"Not Found"))</f>
        <v/>
      </c>
      <c r="E1371" s="27" t="str" cm="1">
        <f t="array" ref="E1371">IF(C1371="","",IFERROR(INDEX(STPP!$E$6:$E$4207,MATCH(C1371,STPP!$C$6:$C$4207,0)),"Not Found"))</f>
        <v/>
      </c>
      <c r="F1371" s="27" t="str" cm="1">
        <f t="array" ref="F1371">IF(C1371="","",IFERROR(INDEX(STPP!$F$6:$F$4207,MATCH(C1371,STPP!$C$6:$C$4207,0)),"Not Found"))</f>
        <v/>
      </c>
      <c r="G1371" s="25" t="str">
        <f>IF(表1[[#This Row],[No Seri]]="","",表1[[#This Row],[Deskripsi Barang]]+表1[[#This Row],[Kuantitas]]-表1[[#This Row],[Satuan]])</f>
        <v/>
      </c>
      <c r="H1371" s="28"/>
      <c r="I1371" s="25" t="str">
        <f>IF(表1[[#This Row],[Tgl NPBG]]&gt;表1[[#This Row],[Peminta]],表1[[#This Row],[Tgl NPBG]]-表1[[#This Row],[Peminta]],"")</f>
        <v/>
      </c>
      <c r="J1371" s="31"/>
    </row>
    <row r="1372" s="12" customFormat="1" customHeight="1" spans="2:10">
      <c r="B1372" s="25"/>
      <c r="C1372" s="25"/>
      <c r="D1372" s="26" t="str" cm="1">
        <f t="array" ref="D1372">IF(C1372="","",IFERROR(INDEX(STPP!$D$6:$D$4207,MATCH(C1372,STPP!$C$6:$C$4207,0)),"Not Found"))</f>
        <v/>
      </c>
      <c r="E1372" s="27" t="str" cm="1">
        <f t="array" ref="E1372">IF(C1372="","",IFERROR(INDEX(STPP!$E$6:$E$4207,MATCH(C1372,STPP!$C$6:$C$4207,0)),"Not Found"))</f>
        <v/>
      </c>
      <c r="F1372" s="27" t="str" cm="1">
        <f t="array" ref="F1372">IF(C1372="","",IFERROR(INDEX(STPP!$F$6:$F$4207,MATCH(C1372,STPP!$C$6:$C$4207,0)),"Not Found"))</f>
        <v/>
      </c>
      <c r="G1372" s="25" t="str">
        <f>IF(表1[[#This Row],[No Seri]]="","",表1[[#This Row],[Deskripsi Barang]]+表1[[#This Row],[Kuantitas]]-表1[[#This Row],[Satuan]])</f>
        <v/>
      </c>
      <c r="H1372" s="28"/>
      <c r="I1372" s="25" t="str">
        <f>IF(表1[[#This Row],[Tgl NPBG]]&gt;表1[[#This Row],[Peminta]],表1[[#This Row],[Tgl NPBG]]-表1[[#This Row],[Peminta]],"")</f>
        <v/>
      </c>
      <c r="J1372" s="31"/>
    </row>
    <row r="1373" s="12" customFormat="1" customHeight="1" spans="2:10">
      <c r="B1373" s="25"/>
      <c r="C1373" s="25"/>
      <c r="D1373" s="26" t="str" cm="1">
        <f t="array" ref="D1373">IF(C1373="","",IFERROR(INDEX(STPP!$D$6:$D$4207,MATCH(C1373,STPP!$C$6:$C$4207,0)),"Not Found"))</f>
        <v/>
      </c>
      <c r="E1373" s="27" t="str" cm="1">
        <f t="array" ref="E1373">IF(C1373="","",IFERROR(INDEX(STPP!$E$6:$E$4207,MATCH(C1373,STPP!$C$6:$C$4207,0)),"Not Found"))</f>
        <v/>
      </c>
      <c r="F1373" s="27" t="str" cm="1">
        <f t="array" ref="F1373">IF(C1373="","",IFERROR(INDEX(STPP!$F$6:$F$4207,MATCH(C1373,STPP!$C$6:$C$4207,0)),"Not Found"))</f>
        <v/>
      </c>
      <c r="G1373" s="25" t="str">
        <f>IF(表1[[#This Row],[No Seri]]="","",表1[[#This Row],[Deskripsi Barang]]+表1[[#This Row],[Kuantitas]]-表1[[#This Row],[Satuan]])</f>
        <v/>
      </c>
      <c r="H1373" s="28"/>
      <c r="I1373" s="25" t="str">
        <f>IF(表1[[#This Row],[Tgl NPBG]]&gt;表1[[#This Row],[Peminta]],表1[[#This Row],[Tgl NPBG]]-表1[[#This Row],[Peminta]],"")</f>
        <v/>
      </c>
      <c r="J1373" s="31"/>
    </row>
    <row r="1374" s="12" customFormat="1" customHeight="1" spans="2:10">
      <c r="B1374" s="25"/>
      <c r="C1374" s="25"/>
      <c r="D1374" s="26" t="str" cm="1">
        <f t="array" ref="D1374">IF(C1374="","",IFERROR(INDEX(STPP!$D$6:$D$4207,MATCH(C1374,STPP!$C$6:$C$4207,0)),"Not Found"))</f>
        <v/>
      </c>
      <c r="E1374" s="27" t="str" cm="1">
        <f t="array" ref="E1374">IF(C1374="","",IFERROR(INDEX(STPP!$E$6:$E$4207,MATCH(C1374,STPP!$C$6:$C$4207,0)),"Not Found"))</f>
        <v/>
      </c>
      <c r="F1374" s="27" t="str" cm="1">
        <f t="array" ref="F1374">IF(C1374="","",IFERROR(INDEX(STPP!$F$6:$F$4207,MATCH(C1374,STPP!$C$6:$C$4207,0)),"Not Found"))</f>
        <v/>
      </c>
      <c r="G1374" s="25" t="str">
        <f>IF(表1[[#This Row],[No Seri]]="","",表1[[#This Row],[Deskripsi Barang]]+表1[[#This Row],[Kuantitas]]-表1[[#This Row],[Satuan]])</f>
        <v/>
      </c>
      <c r="H1374" s="28"/>
      <c r="I1374" s="25" t="str">
        <f>IF(表1[[#This Row],[Tgl NPBG]]&gt;表1[[#This Row],[Peminta]],表1[[#This Row],[Tgl NPBG]]-表1[[#This Row],[Peminta]],"")</f>
        <v/>
      </c>
      <c r="J1374" s="31"/>
    </row>
    <row r="1375" s="12" customFormat="1" customHeight="1" spans="2:10">
      <c r="B1375" s="25"/>
      <c r="C1375" s="25"/>
      <c r="D1375" s="26" t="str" cm="1">
        <f t="array" ref="D1375">IF(C1375="","",IFERROR(INDEX(STPP!$D$6:$D$4207,MATCH(C1375,STPP!$C$6:$C$4207,0)),"Not Found"))</f>
        <v/>
      </c>
      <c r="E1375" s="27" t="str" cm="1">
        <f t="array" ref="E1375">IF(C1375="","",IFERROR(INDEX(STPP!$E$6:$E$4207,MATCH(C1375,STPP!$C$6:$C$4207,0)),"Not Found"))</f>
        <v/>
      </c>
      <c r="F1375" s="27" t="str" cm="1">
        <f t="array" ref="F1375">IF(C1375="","",IFERROR(INDEX(STPP!$F$6:$F$4207,MATCH(C1375,STPP!$C$6:$C$4207,0)),"Not Found"))</f>
        <v/>
      </c>
      <c r="G1375" s="25" t="str">
        <f>IF(表1[[#This Row],[No Seri]]="","",表1[[#This Row],[Deskripsi Barang]]+表1[[#This Row],[Kuantitas]]-表1[[#This Row],[Satuan]])</f>
        <v/>
      </c>
      <c r="H1375" s="28"/>
      <c r="I1375" s="25" t="str">
        <f>IF(表1[[#This Row],[Tgl NPBG]]&gt;表1[[#This Row],[Peminta]],表1[[#This Row],[Tgl NPBG]]-表1[[#This Row],[Peminta]],"")</f>
        <v/>
      </c>
      <c r="J1375" s="31"/>
    </row>
    <row r="1376" s="12" customFormat="1" customHeight="1" spans="2:10">
      <c r="B1376" s="25"/>
      <c r="C1376" s="25"/>
      <c r="D1376" s="26" t="str" cm="1">
        <f t="array" ref="D1376">IF(C1376="","",IFERROR(INDEX(STPP!$D$6:$D$4207,MATCH(C1376,STPP!$C$6:$C$4207,0)),"Not Found"))</f>
        <v/>
      </c>
      <c r="E1376" s="27" t="str" cm="1">
        <f t="array" ref="E1376">IF(C1376="","",IFERROR(INDEX(STPP!$E$6:$E$4207,MATCH(C1376,STPP!$C$6:$C$4207,0)),"Not Found"))</f>
        <v/>
      </c>
      <c r="F1376" s="27" t="str" cm="1">
        <f t="array" ref="F1376">IF(C1376="","",IFERROR(INDEX(STPP!$F$6:$F$4207,MATCH(C1376,STPP!$C$6:$C$4207,0)),"Not Found"))</f>
        <v/>
      </c>
      <c r="G1376" s="25" t="str">
        <f>IF(表1[[#This Row],[No Seri]]="","",表1[[#This Row],[Deskripsi Barang]]+表1[[#This Row],[Kuantitas]]-表1[[#This Row],[Satuan]])</f>
        <v/>
      </c>
      <c r="H1376" s="28"/>
      <c r="I1376" s="25" t="str">
        <f>IF(表1[[#This Row],[Tgl NPBG]]&gt;表1[[#This Row],[Peminta]],表1[[#This Row],[Tgl NPBG]]-表1[[#This Row],[Peminta]],"")</f>
        <v/>
      </c>
      <c r="J1376" s="31"/>
    </row>
    <row r="1377" s="12" customFormat="1" customHeight="1" spans="2:10">
      <c r="B1377" s="25"/>
      <c r="C1377" s="25"/>
      <c r="D1377" s="26" t="str" cm="1">
        <f t="array" ref="D1377">IF(C1377="","",IFERROR(INDEX(STPP!$D$6:$D$4207,MATCH(C1377,STPP!$C$6:$C$4207,0)),"Not Found"))</f>
        <v/>
      </c>
      <c r="E1377" s="27" t="str" cm="1">
        <f t="array" ref="E1377">IF(C1377="","",IFERROR(INDEX(STPP!$E$6:$E$4207,MATCH(C1377,STPP!$C$6:$C$4207,0)),"Not Found"))</f>
        <v/>
      </c>
      <c r="F1377" s="27" t="str" cm="1">
        <f t="array" ref="F1377">IF(C1377="","",IFERROR(INDEX(STPP!$F$6:$F$4207,MATCH(C1377,STPP!$C$6:$C$4207,0)),"Not Found"))</f>
        <v/>
      </c>
      <c r="G1377" s="25" t="str">
        <f>IF(表1[[#This Row],[No Seri]]="","",表1[[#This Row],[Deskripsi Barang]]+表1[[#This Row],[Kuantitas]]-表1[[#This Row],[Satuan]])</f>
        <v/>
      </c>
      <c r="H1377" s="28"/>
      <c r="I1377" s="25" t="str">
        <f>IF(表1[[#This Row],[Tgl NPBG]]&gt;表1[[#This Row],[Peminta]],表1[[#This Row],[Tgl NPBG]]-表1[[#This Row],[Peminta]],"")</f>
        <v/>
      </c>
      <c r="J1377" s="31"/>
    </row>
    <row r="1378" s="12" customFormat="1" customHeight="1" spans="2:10">
      <c r="B1378" s="25"/>
      <c r="C1378" s="25"/>
      <c r="D1378" s="26" t="str" cm="1">
        <f t="array" ref="D1378">IF(C1378="","",IFERROR(INDEX(STPP!$D$6:$D$4207,MATCH(C1378,STPP!$C$6:$C$4207,0)),"Not Found"))</f>
        <v/>
      </c>
      <c r="E1378" s="27" t="str" cm="1">
        <f t="array" ref="E1378">IF(C1378="","",IFERROR(INDEX(STPP!$E$6:$E$4207,MATCH(C1378,STPP!$C$6:$C$4207,0)),"Not Found"))</f>
        <v/>
      </c>
      <c r="F1378" s="27" t="str" cm="1">
        <f t="array" ref="F1378">IF(C1378="","",IFERROR(INDEX(STPP!$F$6:$F$4207,MATCH(C1378,STPP!$C$6:$C$4207,0)),"Not Found"))</f>
        <v/>
      </c>
      <c r="G1378" s="25" t="str">
        <f>IF(表1[[#This Row],[No Seri]]="","",表1[[#This Row],[Deskripsi Barang]]+表1[[#This Row],[Kuantitas]]-表1[[#This Row],[Satuan]])</f>
        <v/>
      </c>
      <c r="H1378" s="28"/>
      <c r="I1378" s="25" t="str">
        <f>IF(表1[[#This Row],[Tgl NPBG]]&gt;表1[[#This Row],[Peminta]],表1[[#This Row],[Tgl NPBG]]-表1[[#This Row],[Peminta]],"")</f>
        <v/>
      </c>
      <c r="J1378" s="31"/>
    </row>
    <row r="1379" s="12" customFormat="1" customHeight="1" spans="2:10">
      <c r="B1379" s="25"/>
      <c r="C1379" s="25"/>
      <c r="D1379" s="26" t="str" cm="1">
        <f t="array" ref="D1379">IF(C1379="","",IFERROR(INDEX(STPP!$D$6:$D$4207,MATCH(C1379,STPP!$C$6:$C$4207,0)),"Not Found"))</f>
        <v/>
      </c>
      <c r="E1379" s="27" t="str" cm="1">
        <f t="array" ref="E1379">IF(C1379="","",IFERROR(INDEX(STPP!$E$6:$E$4207,MATCH(C1379,STPP!$C$6:$C$4207,0)),"Not Found"))</f>
        <v/>
      </c>
      <c r="F1379" s="27" t="str" cm="1">
        <f t="array" ref="F1379">IF(C1379="","",IFERROR(INDEX(STPP!$F$6:$F$4207,MATCH(C1379,STPP!$C$6:$C$4207,0)),"Not Found"))</f>
        <v/>
      </c>
      <c r="G1379" s="25" t="str">
        <f>IF(表1[[#This Row],[No Seri]]="","",表1[[#This Row],[Deskripsi Barang]]+表1[[#This Row],[Kuantitas]]-表1[[#This Row],[Satuan]])</f>
        <v/>
      </c>
      <c r="H1379" s="28"/>
      <c r="I1379" s="25" t="str">
        <f>IF(表1[[#This Row],[Tgl NPBG]]&gt;表1[[#This Row],[Peminta]],表1[[#This Row],[Tgl NPBG]]-表1[[#This Row],[Peminta]],"")</f>
        <v/>
      </c>
      <c r="J1379" s="31"/>
    </row>
    <row r="1380" s="12" customFormat="1" customHeight="1" spans="2:10">
      <c r="B1380" s="25"/>
      <c r="C1380" s="25"/>
      <c r="D1380" s="26" t="str" cm="1">
        <f t="array" ref="D1380">IF(C1380="","",IFERROR(INDEX(STPP!$D$6:$D$4207,MATCH(C1380,STPP!$C$6:$C$4207,0)),"Not Found"))</f>
        <v/>
      </c>
      <c r="E1380" s="27" t="str" cm="1">
        <f t="array" ref="E1380">IF(C1380="","",IFERROR(INDEX(STPP!$E$6:$E$4207,MATCH(C1380,STPP!$C$6:$C$4207,0)),"Not Found"))</f>
        <v/>
      </c>
      <c r="F1380" s="27" t="str" cm="1">
        <f t="array" ref="F1380">IF(C1380="","",IFERROR(INDEX(STPP!$F$6:$F$4207,MATCH(C1380,STPP!$C$6:$C$4207,0)),"Not Found"))</f>
        <v/>
      </c>
      <c r="G1380" s="25" t="str">
        <f>IF(表1[[#This Row],[No Seri]]="","",表1[[#This Row],[Deskripsi Barang]]+表1[[#This Row],[Kuantitas]]-表1[[#This Row],[Satuan]])</f>
        <v/>
      </c>
      <c r="H1380" s="28"/>
      <c r="I1380" s="25" t="str">
        <f>IF(表1[[#This Row],[Tgl NPBG]]&gt;表1[[#This Row],[Peminta]],表1[[#This Row],[Tgl NPBG]]-表1[[#This Row],[Peminta]],"")</f>
        <v/>
      </c>
      <c r="J1380" s="31"/>
    </row>
    <row r="1381" s="12" customFormat="1" customHeight="1" spans="2:10">
      <c r="B1381" s="25"/>
      <c r="C1381" s="25"/>
      <c r="D1381" s="26" t="str" cm="1">
        <f t="array" ref="D1381">IF(C1381="","",IFERROR(INDEX(STPP!$D$6:$D$4207,MATCH(C1381,STPP!$C$6:$C$4207,0)),"Not Found"))</f>
        <v/>
      </c>
      <c r="E1381" s="27" t="str" cm="1">
        <f t="array" ref="E1381">IF(C1381="","",IFERROR(INDEX(STPP!$E$6:$E$4207,MATCH(C1381,STPP!$C$6:$C$4207,0)),"Not Found"))</f>
        <v/>
      </c>
      <c r="F1381" s="27" t="str" cm="1">
        <f t="array" ref="F1381">IF(C1381="","",IFERROR(INDEX(STPP!$F$6:$F$4207,MATCH(C1381,STPP!$C$6:$C$4207,0)),"Not Found"))</f>
        <v/>
      </c>
      <c r="G1381" s="25" t="str">
        <f>IF(表1[[#This Row],[No Seri]]="","",表1[[#This Row],[Deskripsi Barang]]+表1[[#This Row],[Kuantitas]]-表1[[#This Row],[Satuan]])</f>
        <v/>
      </c>
      <c r="H1381" s="28"/>
      <c r="I1381" s="25" t="str">
        <f>IF(表1[[#This Row],[Tgl NPBG]]&gt;表1[[#This Row],[Peminta]],表1[[#This Row],[Tgl NPBG]]-表1[[#This Row],[Peminta]],"")</f>
        <v/>
      </c>
      <c r="J1381" s="31"/>
    </row>
    <row r="1382" s="12" customFormat="1" customHeight="1" spans="2:10">
      <c r="B1382" s="25"/>
      <c r="C1382" s="25"/>
      <c r="D1382" s="26" t="str" cm="1">
        <f t="array" ref="D1382">IF(C1382="","",IFERROR(INDEX(STPP!$D$6:$D$4207,MATCH(C1382,STPP!$C$6:$C$4207,0)),"Not Found"))</f>
        <v/>
      </c>
      <c r="E1382" s="27" t="str" cm="1">
        <f t="array" ref="E1382">IF(C1382="","",IFERROR(INDEX(STPP!$E$6:$E$4207,MATCH(C1382,STPP!$C$6:$C$4207,0)),"Not Found"))</f>
        <v/>
      </c>
      <c r="F1382" s="27" t="str" cm="1">
        <f t="array" ref="F1382">IF(C1382="","",IFERROR(INDEX(STPP!$F$6:$F$4207,MATCH(C1382,STPP!$C$6:$C$4207,0)),"Not Found"))</f>
        <v/>
      </c>
      <c r="G1382" s="25" t="str">
        <f>IF(表1[[#This Row],[No Seri]]="","",表1[[#This Row],[Deskripsi Barang]]+表1[[#This Row],[Kuantitas]]-表1[[#This Row],[Satuan]])</f>
        <v/>
      </c>
      <c r="H1382" s="28"/>
      <c r="I1382" s="25" t="str">
        <f>IF(表1[[#This Row],[Tgl NPBG]]&gt;表1[[#This Row],[Peminta]],表1[[#This Row],[Tgl NPBG]]-表1[[#This Row],[Peminta]],"")</f>
        <v/>
      </c>
      <c r="J1382" s="31"/>
    </row>
    <row r="1383" s="12" customFormat="1" customHeight="1" spans="2:10">
      <c r="B1383" s="25"/>
      <c r="C1383" s="25"/>
      <c r="D1383" s="26" t="str" cm="1">
        <f t="array" ref="D1383">IF(C1383="","",IFERROR(INDEX(STPP!$D$6:$D$4207,MATCH(C1383,STPP!$C$6:$C$4207,0)),"Not Found"))</f>
        <v/>
      </c>
      <c r="E1383" s="27" t="str" cm="1">
        <f t="array" ref="E1383">IF(C1383="","",IFERROR(INDEX(STPP!$E$6:$E$4207,MATCH(C1383,STPP!$C$6:$C$4207,0)),"Not Found"))</f>
        <v/>
      </c>
      <c r="F1383" s="27" t="str" cm="1">
        <f t="array" ref="F1383">IF(C1383="","",IFERROR(INDEX(STPP!$F$6:$F$4207,MATCH(C1383,STPP!$C$6:$C$4207,0)),"Not Found"))</f>
        <v/>
      </c>
      <c r="G1383" s="25" t="str">
        <f>IF(表1[[#This Row],[No Seri]]="","",表1[[#This Row],[Deskripsi Barang]]+表1[[#This Row],[Kuantitas]]-表1[[#This Row],[Satuan]])</f>
        <v/>
      </c>
      <c r="H1383" s="28"/>
      <c r="I1383" s="25" t="str">
        <f>IF(表1[[#This Row],[Tgl NPBG]]&gt;表1[[#This Row],[Peminta]],表1[[#This Row],[Tgl NPBG]]-表1[[#This Row],[Peminta]],"")</f>
        <v/>
      </c>
      <c r="J1383" s="31"/>
    </row>
    <row r="1384" s="12" customFormat="1" customHeight="1" spans="2:10">
      <c r="B1384" s="25"/>
      <c r="C1384" s="25"/>
      <c r="D1384" s="26" t="str" cm="1">
        <f t="array" ref="D1384">IF(C1384="","",IFERROR(INDEX(STPP!$D$6:$D$4207,MATCH(C1384,STPP!$C$6:$C$4207,0)),"Not Found"))</f>
        <v/>
      </c>
      <c r="E1384" s="27" t="str" cm="1">
        <f t="array" ref="E1384">IF(C1384="","",IFERROR(INDEX(STPP!$E$6:$E$4207,MATCH(C1384,STPP!$C$6:$C$4207,0)),"Not Found"))</f>
        <v/>
      </c>
      <c r="F1384" s="27" t="str" cm="1">
        <f t="array" ref="F1384">IF(C1384="","",IFERROR(INDEX(STPP!$F$6:$F$4207,MATCH(C1384,STPP!$C$6:$C$4207,0)),"Not Found"))</f>
        <v/>
      </c>
      <c r="G1384" s="25" t="str">
        <f>IF(表1[[#This Row],[No Seri]]="","",表1[[#This Row],[Deskripsi Barang]]+表1[[#This Row],[Kuantitas]]-表1[[#This Row],[Satuan]])</f>
        <v/>
      </c>
      <c r="H1384" s="28"/>
      <c r="I1384" s="25" t="str">
        <f>IF(表1[[#This Row],[Tgl NPBG]]&gt;表1[[#This Row],[Peminta]],表1[[#This Row],[Tgl NPBG]]-表1[[#This Row],[Peminta]],"")</f>
        <v/>
      </c>
      <c r="J1384" s="31"/>
    </row>
    <row r="1385" s="12" customFormat="1" customHeight="1" spans="2:10">
      <c r="B1385" s="25"/>
      <c r="C1385" s="25"/>
      <c r="D1385" s="26" t="str" cm="1">
        <f t="array" ref="D1385">IF(C1385="","",IFERROR(INDEX(STPP!$D$6:$D$4207,MATCH(C1385,STPP!$C$6:$C$4207,0)),"Not Found"))</f>
        <v/>
      </c>
      <c r="E1385" s="27" t="str" cm="1">
        <f t="array" ref="E1385">IF(C1385="","",IFERROR(INDEX(STPP!$E$6:$E$4207,MATCH(C1385,STPP!$C$6:$C$4207,0)),"Not Found"))</f>
        <v/>
      </c>
      <c r="F1385" s="27" t="str" cm="1">
        <f t="array" ref="F1385">IF(C1385="","",IFERROR(INDEX(STPP!$F$6:$F$4207,MATCH(C1385,STPP!$C$6:$C$4207,0)),"Not Found"))</f>
        <v/>
      </c>
      <c r="G1385" s="25" t="str">
        <f>IF(表1[[#This Row],[No Seri]]="","",表1[[#This Row],[Deskripsi Barang]]+表1[[#This Row],[Kuantitas]]-表1[[#This Row],[Satuan]])</f>
        <v/>
      </c>
      <c r="H1385" s="28"/>
      <c r="I1385" s="25" t="str">
        <f>IF(表1[[#This Row],[Tgl NPBG]]&gt;表1[[#This Row],[Peminta]],表1[[#This Row],[Tgl NPBG]]-表1[[#This Row],[Peminta]],"")</f>
        <v/>
      </c>
      <c r="J1385" s="31"/>
    </row>
    <row r="1386" s="12" customFormat="1" customHeight="1" spans="2:10">
      <c r="B1386" s="25"/>
      <c r="C1386" s="25"/>
      <c r="D1386" s="26" t="str" cm="1">
        <f t="array" ref="D1386">IF(C1386="","",IFERROR(INDEX(STPP!$D$6:$D$4207,MATCH(C1386,STPP!$C$6:$C$4207,0)),"Not Found"))</f>
        <v/>
      </c>
      <c r="E1386" s="27" t="str" cm="1">
        <f t="array" ref="E1386">IF(C1386="","",IFERROR(INDEX(STPP!$E$6:$E$4207,MATCH(C1386,STPP!$C$6:$C$4207,0)),"Not Found"))</f>
        <v/>
      </c>
      <c r="F1386" s="27" t="str" cm="1">
        <f t="array" ref="F1386">IF(C1386="","",IFERROR(INDEX(STPP!$F$6:$F$4207,MATCH(C1386,STPP!$C$6:$C$4207,0)),"Not Found"))</f>
        <v/>
      </c>
      <c r="G1386" s="25" t="str">
        <f>IF(表1[[#This Row],[No Seri]]="","",表1[[#This Row],[Deskripsi Barang]]+表1[[#This Row],[Kuantitas]]-表1[[#This Row],[Satuan]])</f>
        <v/>
      </c>
      <c r="H1386" s="28"/>
      <c r="I1386" s="25" t="str">
        <f>IF(表1[[#This Row],[Tgl NPBG]]&gt;表1[[#This Row],[Peminta]],表1[[#This Row],[Tgl NPBG]]-表1[[#This Row],[Peminta]],"")</f>
        <v/>
      </c>
      <c r="J1386" s="31"/>
    </row>
    <row r="1387" s="12" customFormat="1" customHeight="1" spans="2:10">
      <c r="B1387" s="25"/>
      <c r="C1387" s="25"/>
      <c r="D1387" s="26" t="str" cm="1">
        <f t="array" ref="D1387">IF(C1387="","",IFERROR(INDEX(STPP!$D$6:$D$4207,MATCH(C1387,STPP!$C$6:$C$4207,0)),"Not Found"))</f>
        <v/>
      </c>
      <c r="E1387" s="27" t="str" cm="1">
        <f t="array" ref="E1387">IF(C1387="","",IFERROR(INDEX(STPP!$E$6:$E$4207,MATCH(C1387,STPP!$C$6:$C$4207,0)),"Not Found"))</f>
        <v/>
      </c>
      <c r="F1387" s="27" t="str" cm="1">
        <f t="array" ref="F1387">IF(C1387="","",IFERROR(INDEX(STPP!$F$6:$F$4207,MATCH(C1387,STPP!$C$6:$C$4207,0)),"Not Found"))</f>
        <v/>
      </c>
      <c r="G1387" s="25" t="str">
        <f>IF(表1[[#This Row],[No Seri]]="","",表1[[#This Row],[Deskripsi Barang]]+表1[[#This Row],[Kuantitas]]-表1[[#This Row],[Satuan]])</f>
        <v/>
      </c>
      <c r="H1387" s="28"/>
      <c r="I1387" s="25" t="str">
        <f>IF(表1[[#This Row],[Tgl NPBG]]&gt;表1[[#This Row],[Peminta]],表1[[#This Row],[Tgl NPBG]]-表1[[#This Row],[Peminta]],"")</f>
        <v/>
      </c>
      <c r="J1387" s="31"/>
    </row>
    <row r="1388" s="12" customFormat="1" customHeight="1" spans="2:10">
      <c r="B1388" s="25"/>
      <c r="C1388" s="25"/>
      <c r="D1388" s="26" t="str" cm="1">
        <f t="array" ref="D1388">IF(C1388="","",IFERROR(INDEX(STPP!$D$6:$D$4207,MATCH(C1388,STPP!$C$6:$C$4207,0)),"Not Found"))</f>
        <v/>
      </c>
      <c r="E1388" s="27" t="str" cm="1">
        <f t="array" ref="E1388">IF(C1388="","",IFERROR(INDEX(STPP!$E$6:$E$4207,MATCH(C1388,STPP!$C$6:$C$4207,0)),"Not Found"))</f>
        <v/>
      </c>
      <c r="F1388" s="27" t="str" cm="1">
        <f t="array" ref="F1388">IF(C1388="","",IFERROR(INDEX(STPP!$F$6:$F$4207,MATCH(C1388,STPP!$C$6:$C$4207,0)),"Not Found"))</f>
        <v/>
      </c>
      <c r="G1388" s="25" t="str">
        <f>IF(表1[[#This Row],[No Seri]]="","",表1[[#This Row],[Deskripsi Barang]]+表1[[#This Row],[Kuantitas]]-表1[[#This Row],[Satuan]])</f>
        <v/>
      </c>
      <c r="H1388" s="28"/>
      <c r="I1388" s="25" t="str">
        <f>IF(表1[[#This Row],[Tgl NPBG]]&gt;表1[[#This Row],[Peminta]],表1[[#This Row],[Tgl NPBG]]-表1[[#This Row],[Peminta]],"")</f>
        <v/>
      </c>
      <c r="J1388" s="31"/>
    </row>
    <row r="1389" s="12" customFormat="1" customHeight="1" spans="2:10">
      <c r="B1389" s="25"/>
      <c r="C1389" s="25"/>
      <c r="D1389" s="26" t="str" cm="1">
        <f t="array" ref="D1389">IF(C1389="","",IFERROR(INDEX(STPP!$D$6:$D$4207,MATCH(C1389,STPP!$C$6:$C$4207,0)),"Not Found"))</f>
        <v/>
      </c>
      <c r="E1389" s="27" t="str" cm="1">
        <f t="array" ref="E1389">IF(C1389="","",IFERROR(INDEX(STPP!$E$6:$E$4207,MATCH(C1389,STPP!$C$6:$C$4207,0)),"Not Found"))</f>
        <v/>
      </c>
      <c r="F1389" s="27" t="str" cm="1">
        <f t="array" ref="F1389">IF(C1389="","",IFERROR(INDEX(STPP!$F$6:$F$4207,MATCH(C1389,STPP!$C$6:$C$4207,0)),"Not Found"))</f>
        <v/>
      </c>
      <c r="G1389" s="25" t="str">
        <f>IF(表1[[#This Row],[No Seri]]="","",表1[[#This Row],[Deskripsi Barang]]+表1[[#This Row],[Kuantitas]]-表1[[#This Row],[Satuan]])</f>
        <v/>
      </c>
      <c r="H1389" s="28"/>
      <c r="I1389" s="25" t="str">
        <f>IF(表1[[#This Row],[Tgl NPBG]]&gt;表1[[#This Row],[Peminta]],表1[[#This Row],[Tgl NPBG]]-表1[[#This Row],[Peminta]],"")</f>
        <v/>
      </c>
      <c r="J1389" s="31"/>
    </row>
    <row r="1390" s="12" customFormat="1" customHeight="1" spans="2:10">
      <c r="B1390" s="25"/>
      <c r="C1390" s="25"/>
      <c r="D1390" s="26" t="str" cm="1">
        <f t="array" ref="D1390">IF(C1390="","",IFERROR(INDEX(STPP!$D$6:$D$4207,MATCH(C1390,STPP!$C$6:$C$4207,0)),"Not Found"))</f>
        <v/>
      </c>
      <c r="E1390" s="27" t="str" cm="1">
        <f t="array" ref="E1390">IF(C1390="","",IFERROR(INDEX(STPP!$E$6:$E$4207,MATCH(C1390,STPP!$C$6:$C$4207,0)),"Not Found"))</f>
        <v/>
      </c>
      <c r="F1390" s="27" t="str" cm="1">
        <f t="array" ref="F1390">IF(C1390="","",IFERROR(INDEX(STPP!$F$6:$F$4207,MATCH(C1390,STPP!$C$6:$C$4207,0)),"Not Found"))</f>
        <v/>
      </c>
      <c r="G1390" s="25" t="str">
        <f>IF(表1[[#This Row],[No Seri]]="","",表1[[#This Row],[Deskripsi Barang]]+表1[[#This Row],[Kuantitas]]-表1[[#This Row],[Satuan]])</f>
        <v/>
      </c>
      <c r="H1390" s="28"/>
      <c r="I1390" s="25" t="str">
        <f>IF(表1[[#This Row],[Tgl NPBG]]&gt;表1[[#This Row],[Peminta]],表1[[#This Row],[Tgl NPBG]]-表1[[#This Row],[Peminta]],"")</f>
        <v/>
      </c>
      <c r="J1390" s="31"/>
    </row>
    <row r="1391" s="12" customFormat="1" customHeight="1" spans="2:10">
      <c r="B1391" s="25"/>
      <c r="C1391" s="25"/>
      <c r="D1391" s="26" t="str" cm="1">
        <f t="array" ref="D1391">IF(C1391="","",IFERROR(INDEX(STPP!$D$6:$D$4207,MATCH(C1391,STPP!$C$6:$C$4207,0)),"Not Found"))</f>
        <v/>
      </c>
      <c r="E1391" s="27" t="str" cm="1">
        <f t="array" ref="E1391">IF(C1391="","",IFERROR(INDEX(STPP!$E$6:$E$4207,MATCH(C1391,STPP!$C$6:$C$4207,0)),"Not Found"))</f>
        <v/>
      </c>
      <c r="F1391" s="27" t="str" cm="1">
        <f t="array" ref="F1391">IF(C1391="","",IFERROR(INDEX(STPP!$F$6:$F$4207,MATCH(C1391,STPP!$C$6:$C$4207,0)),"Not Found"))</f>
        <v/>
      </c>
      <c r="G1391" s="25" t="str">
        <f>IF(表1[[#This Row],[No Seri]]="","",表1[[#This Row],[Deskripsi Barang]]+表1[[#This Row],[Kuantitas]]-表1[[#This Row],[Satuan]])</f>
        <v/>
      </c>
      <c r="H1391" s="28"/>
      <c r="I1391" s="25" t="str">
        <f>IF(表1[[#This Row],[Tgl NPBG]]&gt;表1[[#This Row],[Peminta]],表1[[#This Row],[Tgl NPBG]]-表1[[#This Row],[Peminta]],"")</f>
        <v/>
      </c>
      <c r="J1391" s="31"/>
    </row>
    <row r="1392" s="12" customFormat="1" customHeight="1" spans="2:10">
      <c r="B1392" s="25"/>
      <c r="C1392" s="25"/>
      <c r="D1392" s="26" t="str" cm="1">
        <f t="array" ref="D1392">IF(C1392="","",IFERROR(INDEX(STPP!$D$6:$D$4207,MATCH(C1392,STPP!$C$6:$C$4207,0)),"Not Found"))</f>
        <v/>
      </c>
      <c r="E1392" s="27" t="str" cm="1">
        <f t="array" ref="E1392">IF(C1392="","",IFERROR(INDEX(STPP!$E$6:$E$4207,MATCH(C1392,STPP!$C$6:$C$4207,0)),"Not Found"))</f>
        <v/>
      </c>
      <c r="F1392" s="27" t="str" cm="1">
        <f t="array" ref="F1392">IF(C1392="","",IFERROR(INDEX(STPP!$F$6:$F$4207,MATCH(C1392,STPP!$C$6:$C$4207,0)),"Not Found"))</f>
        <v/>
      </c>
      <c r="G1392" s="25" t="str">
        <f>IF(表1[[#This Row],[No Seri]]="","",表1[[#This Row],[Deskripsi Barang]]+表1[[#This Row],[Kuantitas]]-表1[[#This Row],[Satuan]])</f>
        <v/>
      </c>
      <c r="H1392" s="28"/>
      <c r="I1392" s="25" t="str">
        <f>IF(表1[[#This Row],[Tgl NPBG]]&gt;表1[[#This Row],[Peminta]],表1[[#This Row],[Tgl NPBG]]-表1[[#This Row],[Peminta]],"")</f>
        <v/>
      </c>
      <c r="J1392" s="31"/>
    </row>
    <row r="1393" s="12" customFormat="1" customHeight="1" spans="2:10">
      <c r="B1393" s="25"/>
      <c r="C1393" s="25"/>
      <c r="D1393" s="26" t="str" cm="1">
        <f t="array" ref="D1393">IF(C1393="","",IFERROR(INDEX(STPP!$D$6:$D$4207,MATCH(C1393,STPP!$C$6:$C$4207,0)),"Not Found"))</f>
        <v/>
      </c>
      <c r="E1393" s="27" t="str" cm="1">
        <f t="array" ref="E1393">IF(C1393="","",IFERROR(INDEX(STPP!$E$6:$E$4207,MATCH(C1393,STPP!$C$6:$C$4207,0)),"Not Found"))</f>
        <v/>
      </c>
      <c r="F1393" s="27" t="str" cm="1">
        <f t="array" ref="F1393">IF(C1393="","",IFERROR(INDEX(STPP!$F$6:$F$4207,MATCH(C1393,STPP!$C$6:$C$4207,0)),"Not Found"))</f>
        <v/>
      </c>
      <c r="G1393" s="25" t="str">
        <f>IF(表1[[#This Row],[No Seri]]="","",表1[[#This Row],[Deskripsi Barang]]+表1[[#This Row],[Kuantitas]]-表1[[#This Row],[Satuan]])</f>
        <v/>
      </c>
      <c r="H1393" s="28"/>
      <c r="I1393" s="25" t="str">
        <f>IF(表1[[#This Row],[Tgl NPBG]]&gt;表1[[#This Row],[Peminta]],表1[[#This Row],[Tgl NPBG]]-表1[[#This Row],[Peminta]],"")</f>
        <v/>
      </c>
      <c r="J1393" s="31"/>
    </row>
    <row r="1394" s="12" customFormat="1" customHeight="1" spans="2:10">
      <c r="B1394" s="25"/>
      <c r="C1394" s="25"/>
      <c r="D1394" s="26" t="str" cm="1">
        <f t="array" ref="D1394">IF(C1394="","",IFERROR(INDEX(STPP!$D$6:$D$4207,MATCH(C1394,STPP!$C$6:$C$4207,0)),"Not Found"))</f>
        <v/>
      </c>
      <c r="E1394" s="27" t="str" cm="1">
        <f t="array" ref="E1394">IF(C1394="","",IFERROR(INDEX(STPP!$E$6:$E$4207,MATCH(C1394,STPP!$C$6:$C$4207,0)),"Not Found"))</f>
        <v/>
      </c>
      <c r="F1394" s="27" t="str" cm="1">
        <f t="array" ref="F1394">IF(C1394="","",IFERROR(INDEX(STPP!$F$6:$F$4207,MATCH(C1394,STPP!$C$6:$C$4207,0)),"Not Found"))</f>
        <v/>
      </c>
      <c r="G1394" s="25" t="str">
        <f>IF(表1[[#This Row],[No Seri]]="","",表1[[#This Row],[Deskripsi Barang]]+表1[[#This Row],[Kuantitas]]-表1[[#This Row],[Satuan]])</f>
        <v/>
      </c>
      <c r="H1394" s="28"/>
      <c r="I1394" s="25" t="str">
        <f>IF(表1[[#This Row],[Tgl NPBG]]&gt;表1[[#This Row],[Peminta]],表1[[#This Row],[Tgl NPBG]]-表1[[#This Row],[Peminta]],"")</f>
        <v/>
      </c>
      <c r="J1394" s="31"/>
    </row>
    <row r="1395" s="12" customFormat="1" customHeight="1" spans="2:10">
      <c r="B1395" s="25"/>
      <c r="C1395" s="25"/>
      <c r="D1395" s="26" t="str" cm="1">
        <f t="array" ref="D1395">IF(C1395="","",IFERROR(INDEX(STPP!$D$6:$D$4207,MATCH(C1395,STPP!$C$6:$C$4207,0)),"Not Found"))</f>
        <v/>
      </c>
      <c r="E1395" s="27" t="str" cm="1">
        <f t="array" ref="E1395">IF(C1395="","",IFERROR(INDEX(STPP!$E$6:$E$4207,MATCH(C1395,STPP!$C$6:$C$4207,0)),"Not Found"))</f>
        <v/>
      </c>
      <c r="F1395" s="27" t="str" cm="1">
        <f t="array" ref="F1395">IF(C1395="","",IFERROR(INDEX(STPP!$F$6:$F$4207,MATCH(C1395,STPP!$C$6:$C$4207,0)),"Not Found"))</f>
        <v/>
      </c>
      <c r="G1395" s="25" t="str">
        <f>IF(表1[[#This Row],[No Seri]]="","",表1[[#This Row],[Deskripsi Barang]]+表1[[#This Row],[Kuantitas]]-表1[[#This Row],[Satuan]])</f>
        <v/>
      </c>
      <c r="H1395" s="28"/>
      <c r="I1395" s="25" t="str">
        <f>IF(表1[[#This Row],[Tgl NPBG]]&gt;表1[[#This Row],[Peminta]],表1[[#This Row],[Tgl NPBG]]-表1[[#This Row],[Peminta]],"")</f>
        <v/>
      </c>
      <c r="J1395" s="31"/>
    </row>
    <row r="1396" s="12" customFormat="1" customHeight="1" spans="2:10">
      <c r="B1396" s="25"/>
      <c r="C1396" s="25"/>
      <c r="D1396" s="26" t="str" cm="1">
        <f t="array" ref="D1396">IF(C1396="","",IFERROR(INDEX(STPP!$D$6:$D$4207,MATCH(C1396,STPP!$C$6:$C$4207,0)),"Not Found"))</f>
        <v/>
      </c>
      <c r="E1396" s="27" t="str" cm="1">
        <f t="array" ref="E1396">IF(C1396="","",IFERROR(INDEX(STPP!$E$6:$E$4207,MATCH(C1396,STPP!$C$6:$C$4207,0)),"Not Found"))</f>
        <v/>
      </c>
      <c r="F1396" s="27" t="str" cm="1">
        <f t="array" ref="F1396">IF(C1396="","",IFERROR(INDEX(STPP!$F$6:$F$4207,MATCH(C1396,STPP!$C$6:$C$4207,0)),"Not Found"))</f>
        <v/>
      </c>
      <c r="G1396" s="25" t="str">
        <f>IF(表1[[#This Row],[No Seri]]="","",表1[[#This Row],[Deskripsi Barang]]+表1[[#This Row],[Kuantitas]]-表1[[#This Row],[Satuan]])</f>
        <v/>
      </c>
      <c r="H1396" s="28"/>
      <c r="I1396" s="25" t="str">
        <f>IF(表1[[#This Row],[Tgl NPBG]]&gt;表1[[#This Row],[Peminta]],表1[[#This Row],[Tgl NPBG]]-表1[[#This Row],[Peminta]],"")</f>
        <v/>
      </c>
      <c r="J1396" s="31"/>
    </row>
    <row r="1397" s="12" customFormat="1" customHeight="1" spans="2:10">
      <c r="B1397" s="25"/>
      <c r="C1397" s="25"/>
      <c r="D1397" s="26" t="str" cm="1">
        <f t="array" ref="D1397">IF(C1397="","",IFERROR(INDEX(STPP!$D$6:$D$4207,MATCH(C1397,STPP!$C$6:$C$4207,0)),"Not Found"))</f>
        <v/>
      </c>
      <c r="E1397" s="27" t="str" cm="1">
        <f t="array" ref="E1397">IF(C1397="","",IFERROR(INDEX(STPP!$E$6:$E$4207,MATCH(C1397,STPP!$C$6:$C$4207,0)),"Not Found"))</f>
        <v/>
      </c>
      <c r="F1397" s="27" t="str" cm="1">
        <f t="array" ref="F1397">IF(C1397="","",IFERROR(INDEX(STPP!$F$6:$F$4207,MATCH(C1397,STPP!$C$6:$C$4207,0)),"Not Found"))</f>
        <v/>
      </c>
      <c r="G1397" s="25" t="str">
        <f>IF(表1[[#This Row],[No Seri]]="","",表1[[#This Row],[Deskripsi Barang]]+表1[[#This Row],[Kuantitas]]-表1[[#This Row],[Satuan]])</f>
        <v/>
      </c>
      <c r="H1397" s="28"/>
      <c r="I1397" s="25" t="str">
        <f>IF(表1[[#This Row],[Tgl NPBG]]&gt;表1[[#This Row],[Peminta]],表1[[#This Row],[Tgl NPBG]]-表1[[#This Row],[Peminta]],"")</f>
        <v/>
      </c>
      <c r="J1397" s="31"/>
    </row>
    <row r="1398" s="12" customFormat="1" customHeight="1" spans="2:10">
      <c r="B1398" s="25"/>
      <c r="C1398" s="25"/>
      <c r="D1398" s="26" t="str" cm="1">
        <f t="array" ref="D1398">IF(C1398="","",IFERROR(INDEX(STPP!$D$6:$D$4207,MATCH(C1398,STPP!$C$6:$C$4207,0)),"Not Found"))</f>
        <v/>
      </c>
      <c r="E1398" s="27" t="str" cm="1">
        <f t="array" ref="E1398">IF(C1398="","",IFERROR(INDEX(STPP!$E$6:$E$4207,MATCH(C1398,STPP!$C$6:$C$4207,0)),"Not Found"))</f>
        <v/>
      </c>
      <c r="F1398" s="27" t="str" cm="1">
        <f t="array" ref="F1398">IF(C1398="","",IFERROR(INDEX(STPP!$F$6:$F$4207,MATCH(C1398,STPP!$C$6:$C$4207,0)),"Not Found"))</f>
        <v/>
      </c>
      <c r="G1398" s="25" t="str">
        <f>IF(表1[[#This Row],[No Seri]]="","",表1[[#This Row],[Deskripsi Barang]]+表1[[#This Row],[Kuantitas]]-表1[[#This Row],[Satuan]])</f>
        <v/>
      </c>
      <c r="H1398" s="28"/>
      <c r="I1398" s="25" t="str">
        <f>IF(表1[[#This Row],[Tgl NPBG]]&gt;表1[[#This Row],[Peminta]],表1[[#This Row],[Tgl NPBG]]-表1[[#This Row],[Peminta]],"")</f>
        <v/>
      </c>
      <c r="J1398" s="31"/>
    </row>
    <row r="1399" s="12" customFormat="1" customHeight="1" spans="2:10">
      <c r="B1399" s="25"/>
      <c r="C1399" s="25"/>
      <c r="D1399" s="26" t="str" cm="1">
        <f t="array" ref="D1399">IF(C1399="","",IFERROR(INDEX(STPP!$D$6:$D$4207,MATCH(C1399,STPP!$C$6:$C$4207,0)),"Not Found"))</f>
        <v/>
      </c>
      <c r="E1399" s="27" t="str" cm="1">
        <f t="array" ref="E1399">IF(C1399="","",IFERROR(INDEX(STPP!$E$6:$E$4207,MATCH(C1399,STPP!$C$6:$C$4207,0)),"Not Found"))</f>
        <v/>
      </c>
      <c r="F1399" s="27" t="str" cm="1">
        <f t="array" ref="F1399">IF(C1399="","",IFERROR(INDEX(STPP!$F$6:$F$4207,MATCH(C1399,STPP!$C$6:$C$4207,0)),"Not Found"))</f>
        <v/>
      </c>
      <c r="G1399" s="25" t="str">
        <f>IF(表1[[#This Row],[No Seri]]="","",表1[[#This Row],[Deskripsi Barang]]+表1[[#This Row],[Kuantitas]]-表1[[#This Row],[Satuan]])</f>
        <v/>
      </c>
      <c r="H1399" s="28"/>
      <c r="I1399" s="25" t="str">
        <f>IF(表1[[#This Row],[Tgl NPBG]]&gt;表1[[#This Row],[Peminta]],表1[[#This Row],[Tgl NPBG]]-表1[[#This Row],[Peminta]],"")</f>
        <v/>
      </c>
      <c r="J1399" s="31"/>
    </row>
    <row r="1400" s="12" customFormat="1" customHeight="1" spans="2:10">
      <c r="B1400" s="25"/>
      <c r="C1400" s="25"/>
      <c r="D1400" s="26" t="str" cm="1">
        <f t="array" ref="D1400">IF(C1400="","",IFERROR(INDEX(STPP!$D$6:$D$4207,MATCH(C1400,STPP!$C$6:$C$4207,0)),"Not Found"))</f>
        <v/>
      </c>
      <c r="E1400" s="27" t="str" cm="1">
        <f t="array" ref="E1400">IF(C1400="","",IFERROR(INDEX(STPP!$E$6:$E$4207,MATCH(C1400,STPP!$C$6:$C$4207,0)),"Not Found"))</f>
        <v/>
      </c>
      <c r="F1400" s="27" t="str" cm="1">
        <f t="array" ref="F1400">IF(C1400="","",IFERROR(INDEX(STPP!$F$6:$F$4207,MATCH(C1400,STPP!$C$6:$C$4207,0)),"Not Found"))</f>
        <v/>
      </c>
      <c r="G1400" s="25" t="str">
        <f>IF(表1[[#This Row],[No Seri]]="","",表1[[#This Row],[Deskripsi Barang]]+表1[[#This Row],[Kuantitas]]-表1[[#This Row],[Satuan]])</f>
        <v/>
      </c>
      <c r="H1400" s="28"/>
      <c r="I1400" s="25" t="str">
        <f>IF(表1[[#This Row],[Tgl NPBG]]&gt;表1[[#This Row],[Peminta]],表1[[#This Row],[Tgl NPBG]]-表1[[#This Row],[Peminta]],"")</f>
        <v/>
      </c>
      <c r="J1400" s="31"/>
    </row>
    <row r="1401" s="12" customFormat="1" customHeight="1" spans="2:10">
      <c r="B1401" s="25"/>
      <c r="C1401" s="25"/>
      <c r="D1401" s="26" t="str" cm="1">
        <f t="array" ref="D1401">IF(C1401="","",IFERROR(INDEX(STPP!$D$6:$D$4207,MATCH(C1401,STPP!$C$6:$C$4207,0)),"Not Found"))</f>
        <v/>
      </c>
      <c r="E1401" s="27" t="str" cm="1">
        <f t="array" ref="E1401">IF(C1401="","",IFERROR(INDEX(STPP!$E$6:$E$4207,MATCH(C1401,STPP!$C$6:$C$4207,0)),"Not Found"))</f>
        <v/>
      </c>
      <c r="F1401" s="27" t="str" cm="1">
        <f t="array" ref="F1401">IF(C1401="","",IFERROR(INDEX(STPP!$F$6:$F$4207,MATCH(C1401,STPP!$C$6:$C$4207,0)),"Not Found"))</f>
        <v/>
      </c>
      <c r="G1401" s="25" t="str">
        <f>IF(表1[[#This Row],[No Seri]]="","",表1[[#This Row],[Deskripsi Barang]]+表1[[#This Row],[Kuantitas]]-表1[[#This Row],[Satuan]])</f>
        <v/>
      </c>
      <c r="H1401" s="28"/>
      <c r="I1401" s="25" t="str">
        <f>IF(表1[[#This Row],[Tgl NPBG]]&gt;表1[[#This Row],[Peminta]],表1[[#This Row],[Tgl NPBG]]-表1[[#This Row],[Peminta]],"")</f>
        <v/>
      </c>
      <c r="J1401" s="31"/>
    </row>
    <row r="1402" s="12" customFormat="1" customHeight="1" spans="2:10">
      <c r="B1402" s="25"/>
      <c r="C1402" s="25"/>
      <c r="D1402" s="26" t="str" cm="1">
        <f t="array" ref="D1402">IF(C1402="","",IFERROR(INDEX(STPP!$D$6:$D$4207,MATCH(C1402,STPP!$C$6:$C$4207,0)),"Not Found"))</f>
        <v/>
      </c>
      <c r="E1402" s="27" t="str" cm="1">
        <f t="array" ref="E1402">IF(C1402="","",IFERROR(INDEX(STPP!$E$6:$E$4207,MATCH(C1402,STPP!$C$6:$C$4207,0)),"Not Found"))</f>
        <v/>
      </c>
      <c r="F1402" s="27" t="str" cm="1">
        <f t="array" ref="F1402">IF(C1402="","",IFERROR(INDEX(STPP!$F$6:$F$4207,MATCH(C1402,STPP!$C$6:$C$4207,0)),"Not Found"))</f>
        <v/>
      </c>
      <c r="G1402" s="25" t="str">
        <f>IF(表1[[#This Row],[No Seri]]="","",表1[[#This Row],[Deskripsi Barang]]+表1[[#This Row],[Kuantitas]]-表1[[#This Row],[Satuan]])</f>
        <v/>
      </c>
      <c r="H1402" s="28"/>
      <c r="I1402" s="25" t="str">
        <f>IF(表1[[#This Row],[Tgl NPBG]]&gt;表1[[#This Row],[Peminta]],表1[[#This Row],[Tgl NPBG]]-表1[[#This Row],[Peminta]],"")</f>
        <v/>
      </c>
      <c r="J1402" s="31"/>
    </row>
    <row r="1403" s="12" customFormat="1" customHeight="1" spans="2:10">
      <c r="B1403" s="25"/>
      <c r="C1403" s="25"/>
      <c r="D1403" s="26" t="str" cm="1">
        <f t="array" ref="D1403">IF(C1403="","",IFERROR(INDEX(STPP!$D$6:$D$4207,MATCH(C1403,STPP!$C$6:$C$4207,0)),"Not Found"))</f>
        <v/>
      </c>
      <c r="E1403" s="27" t="str" cm="1">
        <f t="array" ref="E1403">IF(C1403="","",IFERROR(INDEX(STPP!$E$6:$E$4207,MATCH(C1403,STPP!$C$6:$C$4207,0)),"Not Found"))</f>
        <v/>
      </c>
      <c r="F1403" s="27" t="str" cm="1">
        <f t="array" ref="F1403">IF(C1403="","",IFERROR(INDEX(STPP!$F$6:$F$4207,MATCH(C1403,STPP!$C$6:$C$4207,0)),"Not Found"))</f>
        <v/>
      </c>
      <c r="G1403" s="25" t="str">
        <f>IF(表1[[#This Row],[No Seri]]="","",表1[[#This Row],[Deskripsi Barang]]+表1[[#This Row],[Kuantitas]]-表1[[#This Row],[Satuan]])</f>
        <v/>
      </c>
      <c r="H1403" s="28"/>
      <c r="I1403" s="25" t="str">
        <f>IF(表1[[#This Row],[Tgl NPBG]]&gt;表1[[#This Row],[Peminta]],表1[[#This Row],[Tgl NPBG]]-表1[[#This Row],[Peminta]],"")</f>
        <v/>
      </c>
      <c r="J1403" s="31"/>
    </row>
    <row r="1404" s="12" customFormat="1" customHeight="1" spans="2:10">
      <c r="B1404" s="25"/>
      <c r="C1404" s="25"/>
      <c r="D1404" s="26" t="str" cm="1">
        <f t="array" ref="D1404">IF(C1404="","",IFERROR(INDEX(STPP!$D$6:$D$4207,MATCH(C1404,STPP!$C$6:$C$4207,0)),"Not Found"))</f>
        <v/>
      </c>
      <c r="E1404" s="27" t="str" cm="1">
        <f t="array" ref="E1404">IF(C1404="","",IFERROR(INDEX(STPP!$E$6:$E$4207,MATCH(C1404,STPP!$C$6:$C$4207,0)),"Not Found"))</f>
        <v/>
      </c>
      <c r="F1404" s="27" t="str" cm="1">
        <f t="array" ref="F1404">IF(C1404="","",IFERROR(INDEX(STPP!$F$6:$F$4207,MATCH(C1404,STPP!$C$6:$C$4207,0)),"Not Found"))</f>
        <v/>
      </c>
      <c r="G1404" s="25" t="str">
        <f>IF(表1[[#This Row],[No Seri]]="","",表1[[#This Row],[Deskripsi Barang]]+表1[[#This Row],[Kuantitas]]-表1[[#This Row],[Satuan]])</f>
        <v/>
      </c>
      <c r="H1404" s="28"/>
      <c r="I1404" s="25" t="str">
        <f>IF(表1[[#This Row],[Tgl NPBG]]&gt;表1[[#This Row],[Peminta]],表1[[#This Row],[Tgl NPBG]]-表1[[#This Row],[Peminta]],"")</f>
        <v/>
      </c>
      <c r="J1404" s="31"/>
    </row>
    <row r="1405" s="12" customFormat="1" customHeight="1" spans="2:10">
      <c r="B1405" s="25"/>
      <c r="C1405" s="25"/>
      <c r="D1405" s="26" t="str" cm="1">
        <f t="array" ref="D1405">IF(C1405="","",IFERROR(INDEX(STPP!$D$6:$D$4207,MATCH(C1405,STPP!$C$6:$C$4207,0)),"Not Found"))</f>
        <v/>
      </c>
      <c r="E1405" s="27" t="str" cm="1">
        <f t="array" ref="E1405">IF(C1405="","",IFERROR(INDEX(STPP!$E$6:$E$4207,MATCH(C1405,STPP!$C$6:$C$4207,0)),"Not Found"))</f>
        <v/>
      </c>
      <c r="F1405" s="27" t="str" cm="1">
        <f t="array" ref="F1405">IF(C1405="","",IFERROR(INDEX(STPP!$F$6:$F$4207,MATCH(C1405,STPP!$C$6:$C$4207,0)),"Not Found"))</f>
        <v/>
      </c>
      <c r="G1405" s="25" t="str">
        <f>IF(表1[[#This Row],[No Seri]]="","",表1[[#This Row],[Deskripsi Barang]]+表1[[#This Row],[Kuantitas]]-表1[[#This Row],[Satuan]])</f>
        <v/>
      </c>
      <c r="H1405" s="28"/>
      <c r="I1405" s="25" t="str">
        <f>IF(表1[[#This Row],[Tgl NPBG]]&gt;表1[[#This Row],[Peminta]],表1[[#This Row],[Tgl NPBG]]-表1[[#This Row],[Peminta]],"")</f>
        <v/>
      </c>
      <c r="J1405" s="31"/>
    </row>
    <row r="1406" s="12" customFormat="1" customHeight="1" spans="2:10">
      <c r="B1406" s="25"/>
      <c r="C1406" s="25"/>
      <c r="D1406" s="26" t="str" cm="1">
        <f t="array" ref="D1406">IF(C1406="","",IFERROR(INDEX(STPP!$D$6:$D$4207,MATCH(C1406,STPP!$C$6:$C$4207,0)),"Not Found"))</f>
        <v/>
      </c>
      <c r="E1406" s="27" t="str" cm="1">
        <f t="array" ref="E1406">IF(C1406="","",IFERROR(INDEX(STPP!$E$6:$E$4207,MATCH(C1406,STPP!$C$6:$C$4207,0)),"Not Found"))</f>
        <v/>
      </c>
      <c r="F1406" s="27" t="str" cm="1">
        <f t="array" ref="F1406">IF(C1406="","",IFERROR(INDEX(STPP!$F$6:$F$4207,MATCH(C1406,STPP!$C$6:$C$4207,0)),"Not Found"))</f>
        <v/>
      </c>
      <c r="G1406" s="25" t="str">
        <f>IF(表1[[#This Row],[No Seri]]="","",表1[[#This Row],[Deskripsi Barang]]+表1[[#This Row],[Kuantitas]]-表1[[#This Row],[Satuan]])</f>
        <v/>
      </c>
      <c r="H1406" s="28"/>
      <c r="I1406" s="25" t="str">
        <f>IF(表1[[#This Row],[Tgl NPBG]]&gt;表1[[#This Row],[Peminta]],表1[[#This Row],[Tgl NPBG]]-表1[[#This Row],[Peminta]],"")</f>
        <v/>
      </c>
      <c r="J1406" s="31"/>
    </row>
    <row r="1407" s="12" customFormat="1" customHeight="1" spans="2:10">
      <c r="B1407" s="25"/>
      <c r="C1407" s="25"/>
      <c r="D1407" s="26" t="str" cm="1">
        <f t="array" ref="D1407">IF(C1407="","",IFERROR(INDEX(STPP!$D$6:$D$4207,MATCH(C1407,STPP!$C$6:$C$4207,0)),"Not Found"))</f>
        <v/>
      </c>
      <c r="E1407" s="27" t="str" cm="1">
        <f t="array" ref="E1407">IF(C1407="","",IFERROR(INDEX(STPP!$E$6:$E$4207,MATCH(C1407,STPP!$C$6:$C$4207,0)),"Not Found"))</f>
        <v/>
      </c>
      <c r="F1407" s="27" t="str" cm="1">
        <f t="array" ref="F1407">IF(C1407="","",IFERROR(INDEX(STPP!$F$6:$F$4207,MATCH(C1407,STPP!$C$6:$C$4207,0)),"Not Found"))</f>
        <v/>
      </c>
      <c r="G1407" s="25" t="str">
        <f>IF(表1[[#This Row],[No Seri]]="","",表1[[#This Row],[Deskripsi Barang]]+表1[[#This Row],[Kuantitas]]-表1[[#This Row],[Satuan]])</f>
        <v/>
      </c>
      <c r="H1407" s="28"/>
      <c r="I1407" s="25" t="str">
        <f>IF(表1[[#This Row],[Tgl NPBG]]&gt;表1[[#This Row],[Peminta]],表1[[#This Row],[Tgl NPBG]]-表1[[#This Row],[Peminta]],"")</f>
        <v/>
      </c>
      <c r="J1407" s="31"/>
    </row>
    <row r="1408" s="12" customFormat="1" customHeight="1" spans="2:10">
      <c r="B1408" s="25"/>
      <c r="C1408" s="25"/>
      <c r="D1408" s="26" t="str" cm="1">
        <f t="array" ref="D1408">IF(C1408="","",IFERROR(INDEX(STPP!$D$6:$D$4207,MATCH(C1408,STPP!$C$6:$C$4207,0)),"Not Found"))</f>
        <v/>
      </c>
      <c r="E1408" s="27" t="str" cm="1">
        <f t="array" ref="E1408">IF(C1408="","",IFERROR(INDEX(STPP!$E$6:$E$4207,MATCH(C1408,STPP!$C$6:$C$4207,0)),"Not Found"))</f>
        <v/>
      </c>
      <c r="F1408" s="27" t="str" cm="1">
        <f t="array" ref="F1408">IF(C1408="","",IFERROR(INDEX(STPP!$F$6:$F$4207,MATCH(C1408,STPP!$C$6:$C$4207,0)),"Not Found"))</f>
        <v/>
      </c>
      <c r="G1408" s="25" t="str">
        <f>IF(表1[[#This Row],[No Seri]]="","",表1[[#This Row],[Deskripsi Barang]]+表1[[#This Row],[Kuantitas]]-表1[[#This Row],[Satuan]])</f>
        <v/>
      </c>
      <c r="H1408" s="28"/>
      <c r="I1408" s="25" t="str">
        <f>IF(表1[[#This Row],[Tgl NPBG]]&gt;表1[[#This Row],[Peminta]],表1[[#This Row],[Tgl NPBG]]-表1[[#This Row],[Peminta]],"")</f>
        <v/>
      </c>
      <c r="J1408" s="31"/>
    </row>
    <row r="1409" s="12" customFormat="1" customHeight="1" spans="2:10">
      <c r="B1409" s="25"/>
      <c r="C1409" s="25"/>
      <c r="D1409" s="26" t="str" cm="1">
        <f t="array" ref="D1409">IF(C1409="","",IFERROR(INDEX(STPP!$D$6:$D$4207,MATCH(C1409,STPP!$C$6:$C$4207,0)),"Not Found"))</f>
        <v/>
      </c>
      <c r="E1409" s="27" t="str" cm="1">
        <f t="array" ref="E1409">IF(C1409="","",IFERROR(INDEX(STPP!$E$6:$E$4207,MATCH(C1409,STPP!$C$6:$C$4207,0)),"Not Found"))</f>
        <v/>
      </c>
      <c r="F1409" s="27" t="str" cm="1">
        <f t="array" ref="F1409">IF(C1409="","",IFERROR(INDEX(STPP!$F$6:$F$4207,MATCH(C1409,STPP!$C$6:$C$4207,0)),"Not Found"))</f>
        <v/>
      </c>
      <c r="G1409" s="25" t="str">
        <f>IF(表1[[#This Row],[No Seri]]="","",表1[[#This Row],[Deskripsi Barang]]+表1[[#This Row],[Kuantitas]]-表1[[#This Row],[Satuan]])</f>
        <v/>
      </c>
      <c r="H1409" s="28"/>
      <c r="I1409" s="25" t="str">
        <f>IF(表1[[#This Row],[Tgl NPBG]]&gt;表1[[#This Row],[Peminta]],表1[[#This Row],[Tgl NPBG]]-表1[[#This Row],[Peminta]],"")</f>
        <v/>
      </c>
      <c r="J1409" s="31"/>
    </row>
    <row r="1410" s="12" customFormat="1" customHeight="1" spans="2:10">
      <c r="B1410" s="25"/>
      <c r="C1410" s="25"/>
      <c r="D1410" s="26" t="str" cm="1">
        <f t="array" ref="D1410">IF(C1410="","",IFERROR(INDEX(STPP!$D$6:$D$4207,MATCH(C1410,STPP!$C$6:$C$4207,0)),"Not Found"))</f>
        <v/>
      </c>
      <c r="E1410" s="27" t="str" cm="1">
        <f t="array" ref="E1410">IF(C1410="","",IFERROR(INDEX(STPP!$E$6:$E$4207,MATCH(C1410,STPP!$C$6:$C$4207,0)),"Not Found"))</f>
        <v/>
      </c>
      <c r="F1410" s="27" t="str" cm="1">
        <f t="array" ref="F1410">IF(C1410="","",IFERROR(INDEX(STPP!$F$6:$F$4207,MATCH(C1410,STPP!$C$6:$C$4207,0)),"Not Found"))</f>
        <v/>
      </c>
      <c r="G1410" s="25" t="str">
        <f>IF(表1[[#This Row],[No Seri]]="","",表1[[#This Row],[Deskripsi Barang]]+表1[[#This Row],[Kuantitas]]-表1[[#This Row],[Satuan]])</f>
        <v/>
      </c>
      <c r="H1410" s="28"/>
      <c r="I1410" s="25" t="str">
        <f>IF(表1[[#This Row],[Tgl NPBG]]&gt;表1[[#This Row],[Peminta]],表1[[#This Row],[Tgl NPBG]]-表1[[#This Row],[Peminta]],"")</f>
        <v/>
      </c>
      <c r="J1410" s="31"/>
    </row>
    <row r="1411" s="12" customFormat="1" customHeight="1" spans="2:10">
      <c r="B1411" s="25"/>
      <c r="C1411" s="25"/>
      <c r="D1411" s="26" t="str" cm="1">
        <f t="array" ref="D1411">IF(C1411="","",IFERROR(INDEX(STPP!$D$6:$D$4207,MATCH(C1411,STPP!$C$6:$C$4207,0)),"Not Found"))</f>
        <v/>
      </c>
      <c r="E1411" s="27" t="str" cm="1">
        <f t="array" ref="E1411">IF(C1411="","",IFERROR(INDEX(STPP!$E$6:$E$4207,MATCH(C1411,STPP!$C$6:$C$4207,0)),"Not Found"))</f>
        <v/>
      </c>
      <c r="F1411" s="27" t="str" cm="1">
        <f t="array" ref="F1411">IF(C1411="","",IFERROR(INDEX(STPP!$F$6:$F$4207,MATCH(C1411,STPP!$C$6:$C$4207,0)),"Not Found"))</f>
        <v/>
      </c>
      <c r="G1411" s="25" t="str">
        <f>IF(表1[[#This Row],[No Seri]]="","",表1[[#This Row],[Deskripsi Barang]]+表1[[#This Row],[Kuantitas]]-表1[[#This Row],[Satuan]])</f>
        <v/>
      </c>
      <c r="H1411" s="28"/>
      <c r="I1411" s="25" t="str">
        <f>IF(表1[[#This Row],[Tgl NPBG]]&gt;表1[[#This Row],[Peminta]],表1[[#This Row],[Tgl NPBG]]-表1[[#This Row],[Peminta]],"")</f>
        <v/>
      </c>
      <c r="J1411" s="31"/>
    </row>
    <row r="1412" s="12" customFormat="1" customHeight="1" spans="2:10">
      <c r="B1412" s="25"/>
      <c r="C1412" s="25"/>
      <c r="D1412" s="26" t="str" cm="1">
        <f t="array" ref="D1412">IF(C1412="","",IFERROR(INDEX(STPP!$D$6:$D$4207,MATCH(C1412,STPP!$C$6:$C$4207,0)),"Not Found"))</f>
        <v/>
      </c>
      <c r="E1412" s="27" t="str" cm="1">
        <f t="array" ref="E1412">IF(C1412="","",IFERROR(INDEX(STPP!$E$6:$E$4207,MATCH(C1412,STPP!$C$6:$C$4207,0)),"Not Found"))</f>
        <v/>
      </c>
      <c r="F1412" s="27" t="str" cm="1">
        <f t="array" ref="F1412">IF(C1412="","",IFERROR(INDEX(STPP!$F$6:$F$4207,MATCH(C1412,STPP!$C$6:$C$4207,0)),"Not Found"))</f>
        <v/>
      </c>
      <c r="G1412" s="25" t="str">
        <f>IF(表1[[#This Row],[No Seri]]="","",表1[[#This Row],[Deskripsi Barang]]+表1[[#This Row],[Kuantitas]]-表1[[#This Row],[Satuan]])</f>
        <v/>
      </c>
      <c r="H1412" s="28"/>
      <c r="I1412" s="25" t="str">
        <f>IF(表1[[#This Row],[Tgl NPBG]]&gt;表1[[#This Row],[Peminta]],表1[[#This Row],[Tgl NPBG]]-表1[[#This Row],[Peminta]],"")</f>
        <v/>
      </c>
      <c r="J1412" s="31"/>
    </row>
    <row r="1413" s="12" customFormat="1" customHeight="1" spans="2:10">
      <c r="B1413" s="25"/>
      <c r="C1413" s="25"/>
      <c r="D1413" s="26" t="str" cm="1">
        <f t="array" ref="D1413">IF(C1413="","",IFERROR(INDEX(STPP!$D$6:$D$4207,MATCH(C1413,STPP!$C$6:$C$4207,0)),"Not Found"))</f>
        <v/>
      </c>
      <c r="E1413" s="27" t="str" cm="1">
        <f t="array" ref="E1413">IF(C1413="","",IFERROR(INDEX(STPP!$E$6:$E$4207,MATCH(C1413,STPP!$C$6:$C$4207,0)),"Not Found"))</f>
        <v/>
      </c>
      <c r="F1413" s="27" t="str" cm="1">
        <f t="array" ref="F1413">IF(C1413="","",IFERROR(INDEX(STPP!$F$6:$F$4207,MATCH(C1413,STPP!$C$6:$C$4207,0)),"Not Found"))</f>
        <v/>
      </c>
      <c r="G1413" s="25" t="str">
        <f>IF(表1[[#This Row],[No Seri]]="","",表1[[#This Row],[Deskripsi Barang]]+表1[[#This Row],[Kuantitas]]-表1[[#This Row],[Satuan]])</f>
        <v/>
      </c>
      <c r="H1413" s="28"/>
      <c r="I1413" s="25" t="str">
        <f>IF(表1[[#This Row],[Tgl NPBG]]&gt;表1[[#This Row],[Peminta]],表1[[#This Row],[Tgl NPBG]]-表1[[#This Row],[Peminta]],"")</f>
        <v/>
      </c>
      <c r="J1413" s="31"/>
    </row>
    <row r="1414" s="12" customFormat="1" customHeight="1" spans="2:10">
      <c r="B1414" s="25"/>
      <c r="C1414" s="25"/>
      <c r="D1414" s="26" t="str" cm="1">
        <f t="array" ref="D1414">IF(C1414="","",IFERROR(INDEX(STPP!$D$6:$D$4207,MATCH(C1414,STPP!$C$6:$C$4207,0)),"Not Found"))</f>
        <v/>
      </c>
      <c r="E1414" s="27" t="str" cm="1">
        <f t="array" ref="E1414">IF(C1414="","",IFERROR(INDEX(STPP!$E$6:$E$4207,MATCH(C1414,STPP!$C$6:$C$4207,0)),"Not Found"))</f>
        <v/>
      </c>
      <c r="F1414" s="27" t="str" cm="1">
        <f t="array" ref="F1414">IF(C1414="","",IFERROR(INDEX(STPP!$F$6:$F$4207,MATCH(C1414,STPP!$C$6:$C$4207,0)),"Not Found"))</f>
        <v/>
      </c>
      <c r="G1414" s="25" t="str">
        <f>IF(表1[[#This Row],[No Seri]]="","",表1[[#This Row],[Deskripsi Barang]]+表1[[#This Row],[Kuantitas]]-表1[[#This Row],[Satuan]])</f>
        <v/>
      </c>
      <c r="H1414" s="28"/>
      <c r="I1414" s="25" t="str">
        <f>IF(表1[[#This Row],[Tgl NPBG]]&gt;表1[[#This Row],[Peminta]],表1[[#This Row],[Tgl NPBG]]-表1[[#This Row],[Peminta]],"")</f>
        <v/>
      </c>
      <c r="J1414" s="31"/>
    </row>
    <row r="1415" s="12" customFormat="1" customHeight="1" spans="2:10">
      <c r="B1415" s="25"/>
      <c r="C1415" s="25"/>
      <c r="D1415" s="26" t="str" cm="1">
        <f t="array" ref="D1415">IF(C1415="","",IFERROR(INDEX(STPP!$D$6:$D$4207,MATCH(C1415,STPP!$C$6:$C$4207,0)),"Not Found"))</f>
        <v/>
      </c>
      <c r="E1415" s="27" t="str" cm="1">
        <f t="array" ref="E1415">IF(C1415="","",IFERROR(INDEX(STPP!$E$6:$E$4207,MATCH(C1415,STPP!$C$6:$C$4207,0)),"Not Found"))</f>
        <v/>
      </c>
      <c r="F1415" s="27" t="str" cm="1">
        <f t="array" ref="F1415">IF(C1415="","",IFERROR(INDEX(STPP!$F$6:$F$4207,MATCH(C1415,STPP!$C$6:$C$4207,0)),"Not Found"))</f>
        <v/>
      </c>
      <c r="G1415" s="25" t="str">
        <f>IF(表1[[#This Row],[No Seri]]="","",表1[[#This Row],[Deskripsi Barang]]+表1[[#This Row],[Kuantitas]]-表1[[#This Row],[Satuan]])</f>
        <v/>
      </c>
      <c r="H1415" s="28"/>
      <c r="I1415" s="25" t="str">
        <f>IF(表1[[#This Row],[Tgl NPBG]]&gt;表1[[#This Row],[Peminta]],表1[[#This Row],[Tgl NPBG]]-表1[[#This Row],[Peminta]],"")</f>
        <v/>
      </c>
      <c r="J1415" s="31"/>
    </row>
    <row r="1416" s="12" customFormat="1" customHeight="1" spans="2:10">
      <c r="B1416" s="25"/>
      <c r="C1416" s="25"/>
      <c r="D1416" s="26" t="str" cm="1">
        <f t="array" ref="D1416">IF(C1416="","",IFERROR(INDEX(STPP!$D$6:$D$4207,MATCH(C1416,STPP!$C$6:$C$4207,0)),"Not Found"))</f>
        <v/>
      </c>
      <c r="E1416" s="27" t="str" cm="1">
        <f t="array" ref="E1416">IF(C1416="","",IFERROR(INDEX(STPP!$E$6:$E$4207,MATCH(C1416,STPP!$C$6:$C$4207,0)),"Not Found"))</f>
        <v/>
      </c>
      <c r="F1416" s="27" t="str" cm="1">
        <f t="array" ref="F1416">IF(C1416="","",IFERROR(INDEX(STPP!$F$6:$F$4207,MATCH(C1416,STPP!$C$6:$C$4207,0)),"Not Found"))</f>
        <v/>
      </c>
      <c r="G1416" s="25" t="str">
        <f>IF(表1[[#This Row],[No Seri]]="","",表1[[#This Row],[Deskripsi Barang]]+表1[[#This Row],[Kuantitas]]-表1[[#This Row],[Satuan]])</f>
        <v/>
      </c>
      <c r="H1416" s="28"/>
      <c r="I1416" s="25" t="str">
        <f>IF(表1[[#This Row],[Tgl NPBG]]&gt;表1[[#This Row],[Peminta]],表1[[#This Row],[Tgl NPBG]]-表1[[#This Row],[Peminta]],"")</f>
        <v/>
      </c>
      <c r="J1416" s="31"/>
    </row>
    <row r="1417" s="12" customFormat="1" customHeight="1" spans="2:10">
      <c r="B1417" s="25"/>
      <c r="C1417" s="25"/>
      <c r="D1417" s="26" t="str" cm="1">
        <f t="array" ref="D1417">IF(C1417="","",IFERROR(INDEX(STPP!$D$6:$D$4207,MATCH(C1417,STPP!$C$6:$C$4207,0)),"Not Found"))</f>
        <v/>
      </c>
      <c r="E1417" s="27" t="str" cm="1">
        <f t="array" ref="E1417">IF(C1417="","",IFERROR(INDEX(STPP!$E$6:$E$4207,MATCH(C1417,STPP!$C$6:$C$4207,0)),"Not Found"))</f>
        <v/>
      </c>
      <c r="F1417" s="27" t="str" cm="1">
        <f t="array" ref="F1417">IF(C1417="","",IFERROR(INDEX(STPP!$F$6:$F$4207,MATCH(C1417,STPP!$C$6:$C$4207,0)),"Not Found"))</f>
        <v/>
      </c>
      <c r="G1417" s="25" t="str">
        <f>IF(表1[[#This Row],[No Seri]]="","",表1[[#This Row],[Deskripsi Barang]]+表1[[#This Row],[Kuantitas]]-表1[[#This Row],[Satuan]])</f>
        <v/>
      </c>
      <c r="H1417" s="28"/>
      <c r="I1417" s="25" t="str">
        <f>IF(表1[[#This Row],[Tgl NPBG]]&gt;表1[[#This Row],[Peminta]],表1[[#This Row],[Tgl NPBG]]-表1[[#This Row],[Peminta]],"")</f>
        <v/>
      </c>
      <c r="J1417" s="31"/>
    </row>
    <row r="1418" s="12" customFormat="1" customHeight="1" spans="2:10">
      <c r="B1418" s="25"/>
      <c r="C1418" s="25"/>
      <c r="D1418" s="26" t="str" cm="1">
        <f t="array" ref="D1418">IF(C1418="","",IFERROR(INDEX(STPP!$D$6:$D$4207,MATCH(C1418,STPP!$C$6:$C$4207,0)),"Not Found"))</f>
        <v/>
      </c>
      <c r="E1418" s="27" t="str" cm="1">
        <f t="array" ref="E1418">IF(C1418="","",IFERROR(INDEX(STPP!$E$6:$E$4207,MATCH(C1418,STPP!$C$6:$C$4207,0)),"Not Found"))</f>
        <v/>
      </c>
      <c r="F1418" s="27" t="str" cm="1">
        <f t="array" ref="F1418">IF(C1418="","",IFERROR(INDEX(STPP!$F$6:$F$4207,MATCH(C1418,STPP!$C$6:$C$4207,0)),"Not Found"))</f>
        <v/>
      </c>
      <c r="G1418" s="25" t="str">
        <f>IF(表1[[#This Row],[No Seri]]="","",表1[[#This Row],[Deskripsi Barang]]+表1[[#This Row],[Kuantitas]]-表1[[#This Row],[Satuan]])</f>
        <v/>
      </c>
      <c r="H1418" s="28"/>
      <c r="I1418" s="25" t="str">
        <f>IF(表1[[#This Row],[Tgl NPBG]]&gt;表1[[#This Row],[Peminta]],表1[[#This Row],[Tgl NPBG]]-表1[[#This Row],[Peminta]],"")</f>
        <v/>
      </c>
      <c r="J1418" s="31"/>
    </row>
    <row r="1419" s="12" customFormat="1" customHeight="1" spans="2:10">
      <c r="B1419" s="25"/>
      <c r="C1419" s="25"/>
      <c r="D1419" s="26" t="str" cm="1">
        <f t="array" ref="D1419">IF(C1419="","",IFERROR(INDEX(STPP!$D$6:$D$4207,MATCH(C1419,STPP!$C$6:$C$4207,0)),"Not Found"))</f>
        <v/>
      </c>
      <c r="E1419" s="27" t="str" cm="1">
        <f t="array" ref="E1419">IF(C1419="","",IFERROR(INDEX(STPP!$E$6:$E$4207,MATCH(C1419,STPP!$C$6:$C$4207,0)),"Not Found"))</f>
        <v/>
      </c>
      <c r="F1419" s="27" t="str" cm="1">
        <f t="array" ref="F1419">IF(C1419="","",IFERROR(INDEX(STPP!$F$6:$F$4207,MATCH(C1419,STPP!$C$6:$C$4207,0)),"Not Found"))</f>
        <v/>
      </c>
      <c r="G1419" s="25" t="str">
        <f>IF(表1[[#This Row],[No Seri]]="","",表1[[#This Row],[Deskripsi Barang]]+表1[[#This Row],[Kuantitas]]-表1[[#This Row],[Satuan]])</f>
        <v/>
      </c>
      <c r="H1419" s="28"/>
      <c r="I1419" s="25" t="str">
        <f>IF(表1[[#This Row],[Tgl NPBG]]&gt;表1[[#This Row],[Peminta]],表1[[#This Row],[Tgl NPBG]]-表1[[#This Row],[Peminta]],"")</f>
        <v/>
      </c>
      <c r="J1419" s="31"/>
    </row>
    <row r="1420" s="12" customFormat="1" customHeight="1" spans="2:10">
      <c r="B1420" s="25"/>
      <c r="C1420" s="25"/>
      <c r="D1420" s="26" t="str" cm="1">
        <f t="array" ref="D1420">IF(C1420="","",IFERROR(INDEX(STPP!$D$6:$D$4207,MATCH(C1420,STPP!$C$6:$C$4207,0)),"Not Found"))</f>
        <v/>
      </c>
      <c r="E1420" s="27" t="str" cm="1">
        <f t="array" ref="E1420">IF(C1420="","",IFERROR(INDEX(STPP!$E$6:$E$4207,MATCH(C1420,STPP!$C$6:$C$4207,0)),"Not Found"))</f>
        <v/>
      </c>
      <c r="F1420" s="27" t="str" cm="1">
        <f t="array" ref="F1420">IF(C1420="","",IFERROR(INDEX(STPP!$F$6:$F$4207,MATCH(C1420,STPP!$C$6:$C$4207,0)),"Not Found"))</f>
        <v/>
      </c>
      <c r="G1420" s="25" t="str">
        <f>IF(表1[[#This Row],[No Seri]]="","",表1[[#This Row],[Deskripsi Barang]]+表1[[#This Row],[Kuantitas]]-表1[[#This Row],[Satuan]])</f>
        <v/>
      </c>
      <c r="H1420" s="28"/>
      <c r="I1420" s="25" t="str">
        <f>IF(表1[[#This Row],[Tgl NPBG]]&gt;表1[[#This Row],[Peminta]],表1[[#This Row],[Tgl NPBG]]-表1[[#This Row],[Peminta]],"")</f>
        <v/>
      </c>
      <c r="J1420" s="31"/>
    </row>
    <row r="1421" s="12" customFormat="1" customHeight="1" spans="2:10">
      <c r="B1421" s="25"/>
      <c r="C1421" s="25"/>
      <c r="D1421" s="26" t="str" cm="1">
        <f t="array" ref="D1421">IF(C1421="","",IFERROR(INDEX(STPP!$D$6:$D$4207,MATCH(C1421,STPP!$C$6:$C$4207,0)),"Not Found"))</f>
        <v/>
      </c>
      <c r="E1421" s="27" t="str" cm="1">
        <f t="array" ref="E1421">IF(C1421="","",IFERROR(INDEX(STPP!$E$6:$E$4207,MATCH(C1421,STPP!$C$6:$C$4207,0)),"Not Found"))</f>
        <v/>
      </c>
      <c r="F1421" s="27" t="str" cm="1">
        <f t="array" ref="F1421">IF(C1421="","",IFERROR(INDEX(STPP!$F$6:$F$4207,MATCH(C1421,STPP!$C$6:$C$4207,0)),"Not Found"))</f>
        <v/>
      </c>
      <c r="G1421" s="25" t="str">
        <f>IF(表1[[#This Row],[No Seri]]="","",表1[[#This Row],[Deskripsi Barang]]+表1[[#This Row],[Kuantitas]]-表1[[#This Row],[Satuan]])</f>
        <v/>
      </c>
      <c r="H1421" s="28"/>
      <c r="I1421" s="25" t="str">
        <f>IF(表1[[#This Row],[Tgl NPBG]]&gt;表1[[#This Row],[Peminta]],表1[[#This Row],[Tgl NPBG]]-表1[[#This Row],[Peminta]],"")</f>
        <v/>
      </c>
      <c r="J1421" s="31"/>
    </row>
    <row r="1422" s="12" customFormat="1" customHeight="1" spans="2:10">
      <c r="B1422" s="25"/>
      <c r="C1422" s="25"/>
      <c r="D1422" s="26" t="str" cm="1">
        <f t="array" ref="D1422">IF(C1422="","",IFERROR(INDEX(STPP!$D$6:$D$4207,MATCH(C1422,STPP!$C$6:$C$4207,0)),"Not Found"))</f>
        <v/>
      </c>
      <c r="E1422" s="27" t="str" cm="1">
        <f t="array" ref="E1422">IF(C1422="","",IFERROR(INDEX(STPP!$E$6:$E$4207,MATCH(C1422,STPP!$C$6:$C$4207,0)),"Not Found"))</f>
        <v/>
      </c>
      <c r="F1422" s="27" t="str" cm="1">
        <f t="array" ref="F1422">IF(C1422="","",IFERROR(INDEX(STPP!$F$6:$F$4207,MATCH(C1422,STPP!$C$6:$C$4207,0)),"Not Found"))</f>
        <v/>
      </c>
      <c r="G1422" s="25" t="str">
        <f>IF(表1[[#This Row],[No Seri]]="","",表1[[#This Row],[Deskripsi Barang]]+表1[[#This Row],[Kuantitas]]-表1[[#This Row],[Satuan]])</f>
        <v/>
      </c>
      <c r="H1422" s="28"/>
      <c r="I1422" s="25" t="str">
        <f>IF(表1[[#This Row],[Tgl NPBG]]&gt;表1[[#This Row],[Peminta]],表1[[#This Row],[Tgl NPBG]]-表1[[#This Row],[Peminta]],"")</f>
        <v/>
      </c>
      <c r="J1422" s="31"/>
    </row>
    <row r="1423" s="12" customFormat="1" customHeight="1" spans="2:10">
      <c r="B1423" s="25"/>
      <c r="C1423" s="25"/>
      <c r="D1423" s="26" t="str" cm="1">
        <f t="array" ref="D1423">IF(C1423="","",IFERROR(INDEX(STPP!$D$6:$D$4207,MATCH(C1423,STPP!$C$6:$C$4207,0)),"Not Found"))</f>
        <v/>
      </c>
      <c r="E1423" s="27" t="str" cm="1">
        <f t="array" ref="E1423">IF(C1423="","",IFERROR(INDEX(STPP!$E$6:$E$4207,MATCH(C1423,STPP!$C$6:$C$4207,0)),"Not Found"))</f>
        <v/>
      </c>
      <c r="F1423" s="27" t="str" cm="1">
        <f t="array" ref="F1423">IF(C1423="","",IFERROR(INDEX(STPP!$F$6:$F$4207,MATCH(C1423,STPP!$C$6:$C$4207,0)),"Not Found"))</f>
        <v/>
      </c>
      <c r="G1423" s="25" t="str">
        <f>IF(表1[[#This Row],[No Seri]]="","",表1[[#This Row],[Deskripsi Barang]]+表1[[#This Row],[Kuantitas]]-表1[[#This Row],[Satuan]])</f>
        <v/>
      </c>
      <c r="H1423" s="28"/>
      <c r="I1423" s="25" t="str">
        <f>IF(表1[[#This Row],[Tgl NPBG]]&gt;表1[[#This Row],[Peminta]],表1[[#This Row],[Tgl NPBG]]-表1[[#This Row],[Peminta]],"")</f>
        <v/>
      </c>
      <c r="J1423" s="31"/>
    </row>
    <row r="1424" s="12" customFormat="1" customHeight="1" spans="2:10">
      <c r="B1424" s="25"/>
      <c r="C1424" s="25"/>
      <c r="D1424" s="26" t="str" cm="1">
        <f t="array" ref="D1424">IF(C1424="","",IFERROR(INDEX(STPP!$D$6:$D$4207,MATCH(C1424,STPP!$C$6:$C$4207,0)),"Not Found"))</f>
        <v/>
      </c>
      <c r="E1424" s="27" t="str" cm="1">
        <f t="array" ref="E1424">IF(C1424="","",IFERROR(INDEX(STPP!$E$6:$E$4207,MATCH(C1424,STPP!$C$6:$C$4207,0)),"Not Found"))</f>
        <v/>
      </c>
      <c r="F1424" s="27" t="str" cm="1">
        <f t="array" ref="F1424">IF(C1424="","",IFERROR(INDEX(STPP!$F$6:$F$4207,MATCH(C1424,STPP!$C$6:$C$4207,0)),"Not Found"))</f>
        <v/>
      </c>
      <c r="G1424" s="25" t="str">
        <f>IF(表1[[#This Row],[No Seri]]="","",表1[[#This Row],[Deskripsi Barang]]+表1[[#This Row],[Kuantitas]]-表1[[#This Row],[Satuan]])</f>
        <v/>
      </c>
      <c r="H1424" s="28"/>
      <c r="I1424" s="25" t="str">
        <f>IF(表1[[#This Row],[Tgl NPBG]]&gt;表1[[#This Row],[Peminta]],表1[[#This Row],[Tgl NPBG]]-表1[[#This Row],[Peminta]],"")</f>
        <v/>
      </c>
      <c r="J1424" s="31"/>
    </row>
    <row r="1425" s="12" customFormat="1" customHeight="1" spans="2:10">
      <c r="B1425" s="25"/>
      <c r="C1425" s="25"/>
      <c r="D1425" s="26" t="str" cm="1">
        <f t="array" ref="D1425">IF(C1425="","",IFERROR(INDEX(STPP!$D$6:$D$4207,MATCH(C1425,STPP!$C$6:$C$4207,0)),"Not Found"))</f>
        <v/>
      </c>
      <c r="E1425" s="27" t="str" cm="1">
        <f t="array" ref="E1425">IF(C1425="","",IFERROR(INDEX(STPP!$E$6:$E$4207,MATCH(C1425,STPP!$C$6:$C$4207,0)),"Not Found"))</f>
        <v/>
      </c>
      <c r="F1425" s="27" t="str" cm="1">
        <f t="array" ref="F1425">IF(C1425="","",IFERROR(INDEX(STPP!$F$6:$F$4207,MATCH(C1425,STPP!$C$6:$C$4207,0)),"Not Found"))</f>
        <v/>
      </c>
      <c r="G1425" s="25" t="str">
        <f>IF(表1[[#This Row],[No Seri]]="","",表1[[#This Row],[Deskripsi Barang]]+表1[[#This Row],[Kuantitas]]-表1[[#This Row],[Satuan]])</f>
        <v/>
      </c>
      <c r="H1425" s="28"/>
      <c r="I1425" s="25" t="str">
        <f>IF(表1[[#This Row],[Tgl NPBG]]&gt;表1[[#This Row],[Peminta]],表1[[#This Row],[Tgl NPBG]]-表1[[#This Row],[Peminta]],"")</f>
        <v/>
      </c>
      <c r="J1425" s="31"/>
    </row>
    <row r="1426" s="12" customFormat="1" customHeight="1" spans="2:10">
      <c r="B1426" s="25"/>
      <c r="C1426" s="25"/>
      <c r="D1426" s="26" t="str" cm="1">
        <f t="array" ref="D1426">IF(C1426="","",IFERROR(INDEX(STPP!$D$6:$D$4207,MATCH(C1426,STPP!$C$6:$C$4207,0)),"Not Found"))</f>
        <v/>
      </c>
      <c r="E1426" s="27" t="str" cm="1">
        <f t="array" ref="E1426">IF(C1426="","",IFERROR(INDEX(STPP!$E$6:$E$4207,MATCH(C1426,STPP!$C$6:$C$4207,0)),"Not Found"))</f>
        <v/>
      </c>
      <c r="F1426" s="27" t="str" cm="1">
        <f t="array" ref="F1426">IF(C1426="","",IFERROR(INDEX(STPP!$F$6:$F$4207,MATCH(C1426,STPP!$C$6:$C$4207,0)),"Not Found"))</f>
        <v/>
      </c>
      <c r="G1426" s="25" t="str">
        <f>IF(表1[[#This Row],[No Seri]]="","",表1[[#This Row],[Deskripsi Barang]]+表1[[#This Row],[Kuantitas]]-表1[[#This Row],[Satuan]])</f>
        <v/>
      </c>
      <c r="H1426" s="28"/>
      <c r="I1426" s="25" t="str">
        <f>IF(表1[[#This Row],[Tgl NPBG]]&gt;表1[[#This Row],[Peminta]],表1[[#This Row],[Tgl NPBG]]-表1[[#This Row],[Peminta]],"")</f>
        <v/>
      </c>
      <c r="J1426" s="31"/>
    </row>
    <row r="1427" s="12" customFormat="1" customHeight="1" spans="2:10">
      <c r="B1427" s="25"/>
      <c r="C1427" s="25"/>
      <c r="D1427" s="26" t="str" cm="1">
        <f t="array" ref="D1427">IF(C1427="","",IFERROR(INDEX(STPP!$D$6:$D$4207,MATCH(C1427,STPP!$C$6:$C$4207,0)),"Not Found"))</f>
        <v/>
      </c>
      <c r="E1427" s="27" t="str" cm="1">
        <f t="array" ref="E1427">IF(C1427="","",IFERROR(INDEX(STPP!$E$6:$E$4207,MATCH(C1427,STPP!$C$6:$C$4207,0)),"Not Found"))</f>
        <v/>
      </c>
      <c r="F1427" s="27" t="str" cm="1">
        <f t="array" ref="F1427">IF(C1427="","",IFERROR(INDEX(STPP!$F$6:$F$4207,MATCH(C1427,STPP!$C$6:$C$4207,0)),"Not Found"))</f>
        <v/>
      </c>
      <c r="G1427" s="25" t="str">
        <f>IF(表1[[#This Row],[No Seri]]="","",表1[[#This Row],[Deskripsi Barang]]+表1[[#This Row],[Kuantitas]]-表1[[#This Row],[Satuan]])</f>
        <v/>
      </c>
      <c r="H1427" s="28"/>
      <c r="I1427" s="25" t="str">
        <f>IF(表1[[#This Row],[Tgl NPBG]]&gt;表1[[#This Row],[Peminta]],表1[[#This Row],[Tgl NPBG]]-表1[[#This Row],[Peminta]],"")</f>
        <v/>
      </c>
      <c r="J1427" s="31"/>
    </row>
    <row r="1428" s="12" customFormat="1" customHeight="1" spans="2:10">
      <c r="B1428" s="25"/>
      <c r="C1428" s="25"/>
      <c r="D1428" s="26" t="str" cm="1">
        <f t="array" ref="D1428">IF(C1428="","",IFERROR(INDEX(STPP!$D$6:$D$4207,MATCH(C1428,STPP!$C$6:$C$4207,0)),"Not Found"))</f>
        <v/>
      </c>
      <c r="E1428" s="27" t="str" cm="1">
        <f t="array" ref="E1428">IF(C1428="","",IFERROR(INDEX(STPP!$E$6:$E$4207,MATCH(C1428,STPP!$C$6:$C$4207,0)),"Not Found"))</f>
        <v/>
      </c>
      <c r="F1428" s="27" t="str" cm="1">
        <f t="array" ref="F1428">IF(C1428="","",IFERROR(INDEX(STPP!$F$6:$F$4207,MATCH(C1428,STPP!$C$6:$C$4207,0)),"Not Found"))</f>
        <v/>
      </c>
      <c r="G1428" s="25" t="str">
        <f>IF(表1[[#This Row],[No Seri]]="","",表1[[#This Row],[Deskripsi Barang]]+表1[[#This Row],[Kuantitas]]-表1[[#This Row],[Satuan]])</f>
        <v/>
      </c>
      <c r="H1428" s="28"/>
      <c r="I1428" s="25" t="str">
        <f>IF(表1[[#This Row],[Tgl NPBG]]&gt;表1[[#This Row],[Peminta]],表1[[#This Row],[Tgl NPBG]]-表1[[#This Row],[Peminta]],"")</f>
        <v/>
      </c>
      <c r="J1428" s="31"/>
    </row>
    <row r="1429" s="12" customFormat="1" customHeight="1" spans="2:10">
      <c r="B1429" s="25"/>
      <c r="C1429" s="25"/>
      <c r="D1429" s="26" t="str" cm="1">
        <f t="array" ref="D1429">IF(C1429="","",IFERROR(INDEX(STPP!$D$6:$D$4207,MATCH(C1429,STPP!$C$6:$C$4207,0)),"Not Found"))</f>
        <v/>
      </c>
      <c r="E1429" s="27" t="str" cm="1">
        <f t="array" ref="E1429">IF(C1429="","",IFERROR(INDEX(STPP!$E$6:$E$4207,MATCH(C1429,STPP!$C$6:$C$4207,0)),"Not Found"))</f>
        <v/>
      </c>
      <c r="F1429" s="27" t="str" cm="1">
        <f t="array" ref="F1429">IF(C1429="","",IFERROR(INDEX(STPP!$F$6:$F$4207,MATCH(C1429,STPP!$C$6:$C$4207,0)),"Not Found"))</f>
        <v/>
      </c>
      <c r="G1429" s="25" t="str">
        <f>IF(表1[[#This Row],[No Seri]]="","",表1[[#This Row],[Deskripsi Barang]]+表1[[#This Row],[Kuantitas]]-表1[[#This Row],[Satuan]])</f>
        <v/>
      </c>
      <c r="H1429" s="28"/>
      <c r="I1429" s="25" t="str">
        <f>IF(表1[[#This Row],[Tgl NPBG]]&gt;表1[[#This Row],[Peminta]],表1[[#This Row],[Tgl NPBG]]-表1[[#This Row],[Peminta]],"")</f>
        <v/>
      </c>
      <c r="J1429" s="31"/>
    </row>
    <row r="1430" s="12" customFormat="1" customHeight="1" spans="2:10">
      <c r="B1430" s="25"/>
      <c r="C1430" s="25"/>
      <c r="D1430" s="26" t="str" cm="1">
        <f t="array" ref="D1430">IF(C1430="","",IFERROR(INDEX(STPP!$D$6:$D$4207,MATCH(C1430,STPP!$C$6:$C$4207,0)),"Not Found"))</f>
        <v/>
      </c>
      <c r="E1430" s="27" t="str" cm="1">
        <f t="array" ref="E1430">IF(C1430="","",IFERROR(INDEX(STPP!$E$6:$E$4207,MATCH(C1430,STPP!$C$6:$C$4207,0)),"Not Found"))</f>
        <v/>
      </c>
      <c r="F1430" s="27" t="str" cm="1">
        <f t="array" ref="F1430">IF(C1430="","",IFERROR(INDEX(STPP!$F$6:$F$4207,MATCH(C1430,STPP!$C$6:$C$4207,0)),"Not Found"))</f>
        <v/>
      </c>
      <c r="G1430" s="25" t="str">
        <f>IF(表1[[#This Row],[No Seri]]="","",表1[[#This Row],[Deskripsi Barang]]+表1[[#This Row],[Kuantitas]]-表1[[#This Row],[Satuan]])</f>
        <v/>
      </c>
      <c r="H1430" s="28"/>
      <c r="I1430" s="25" t="str">
        <f>IF(表1[[#This Row],[Tgl NPBG]]&gt;表1[[#This Row],[Peminta]],表1[[#This Row],[Tgl NPBG]]-表1[[#This Row],[Peminta]],"")</f>
        <v/>
      </c>
      <c r="J1430" s="31"/>
    </row>
    <row r="1431" s="12" customFormat="1" customHeight="1" spans="2:10">
      <c r="B1431" s="25"/>
      <c r="C1431" s="25"/>
      <c r="D1431" s="26" t="str" cm="1">
        <f t="array" ref="D1431">IF(C1431="","",IFERROR(INDEX(STPP!$D$6:$D$4207,MATCH(C1431,STPP!$C$6:$C$4207,0)),"Not Found"))</f>
        <v/>
      </c>
      <c r="E1431" s="27" t="str" cm="1">
        <f t="array" ref="E1431">IF(C1431="","",IFERROR(INDEX(STPP!$E$6:$E$4207,MATCH(C1431,STPP!$C$6:$C$4207,0)),"Not Found"))</f>
        <v/>
      </c>
      <c r="F1431" s="27" t="str" cm="1">
        <f t="array" ref="F1431">IF(C1431="","",IFERROR(INDEX(STPP!$F$6:$F$4207,MATCH(C1431,STPP!$C$6:$C$4207,0)),"Not Found"))</f>
        <v/>
      </c>
      <c r="G1431" s="25" t="str">
        <f>IF(表1[[#This Row],[No Seri]]="","",表1[[#This Row],[Deskripsi Barang]]+表1[[#This Row],[Kuantitas]]-表1[[#This Row],[Satuan]])</f>
        <v/>
      </c>
      <c r="H1431" s="28"/>
      <c r="I1431" s="25" t="str">
        <f>IF(表1[[#This Row],[Tgl NPBG]]&gt;表1[[#This Row],[Peminta]],表1[[#This Row],[Tgl NPBG]]-表1[[#This Row],[Peminta]],"")</f>
        <v/>
      </c>
      <c r="J1431" s="31"/>
    </row>
    <row r="1432" s="12" customFormat="1" customHeight="1" spans="2:10">
      <c r="B1432" s="25"/>
      <c r="C1432" s="25"/>
      <c r="D1432" s="26" t="str" cm="1">
        <f t="array" ref="D1432">IF(C1432="","",IFERROR(INDEX(STPP!$D$6:$D$4207,MATCH(C1432,STPP!$C$6:$C$4207,0)),"Not Found"))</f>
        <v/>
      </c>
      <c r="E1432" s="27" t="str" cm="1">
        <f t="array" ref="E1432">IF(C1432="","",IFERROR(INDEX(STPP!$E$6:$E$4207,MATCH(C1432,STPP!$C$6:$C$4207,0)),"Not Found"))</f>
        <v/>
      </c>
      <c r="F1432" s="27" t="str" cm="1">
        <f t="array" ref="F1432">IF(C1432="","",IFERROR(INDEX(STPP!$F$6:$F$4207,MATCH(C1432,STPP!$C$6:$C$4207,0)),"Not Found"))</f>
        <v/>
      </c>
      <c r="G1432" s="25" t="str">
        <f>IF(表1[[#This Row],[No Seri]]="","",表1[[#This Row],[Deskripsi Barang]]+表1[[#This Row],[Kuantitas]]-表1[[#This Row],[Satuan]])</f>
        <v/>
      </c>
      <c r="H1432" s="28"/>
      <c r="I1432" s="25" t="str">
        <f>IF(表1[[#This Row],[Tgl NPBG]]&gt;表1[[#This Row],[Peminta]],表1[[#This Row],[Tgl NPBG]]-表1[[#This Row],[Peminta]],"")</f>
        <v/>
      </c>
      <c r="J1432" s="31"/>
    </row>
    <row r="1433" s="12" customFormat="1" customHeight="1" spans="2:10">
      <c r="B1433" s="25"/>
      <c r="C1433" s="25"/>
      <c r="D1433" s="26" t="str" cm="1">
        <f t="array" ref="D1433">IF(C1433="","",IFERROR(INDEX(STPP!$D$6:$D$4207,MATCH(C1433,STPP!$C$6:$C$4207,0)),"Not Found"))</f>
        <v/>
      </c>
      <c r="E1433" s="27" t="str" cm="1">
        <f t="array" ref="E1433">IF(C1433="","",IFERROR(INDEX(STPP!$E$6:$E$4207,MATCH(C1433,STPP!$C$6:$C$4207,0)),"Not Found"))</f>
        <v/>
      </c>
      <c r="F1433" s="27" t="str" cm="1">
        <f t="array" ref="F1433">IF(C1433="","",IFERROR(INDEX(STPP!$F$6:$F$4207,MATCH(C1433,STPP!$C$6:$C$4207,0)),"Not Found"))</f>
        <v/>
      </c>
      <c r="G1433" s="25" t="str">
        <f>IF(表1[[#This Row],[No Seri]]="","",表1[[#This Row],[Deskripsi Barang]]+表1[[#This Row],[Kuantitas]]-表1[[#This Row],[Satuan]])</f>
        <v/>
      </c>
      <c r="H1433" s="28"/>
      <c r="I1433" s="25" t="str">
        <f>IF(表1[[#This Row],[Tgl NPBG]]&gt;表1[[#This Row],[Peminta]],表1[[#This Row],[Tgl NPBG]]-表1[[#This Row],[Peminta]],"")</f>
        <v/>
      </c>
      <c r="J1433" s="31"/>
    </row>
    <row r="1434" s="12" customFormat="1" customHeight="1" spans="2:10">
      <c r="B1434" s="25"/>
      <c r="C1434" s="25"/>
      <c r="D1434" s="26" t="str" cm="1">
        <f t="array" ref="D1434">IF(C1434="","",IFERROR(INDEX(STPP!$D$6:$D$4207,MATCH(C1434,STPP!$C$6:$C$4207,0)),"Not Found"))</f>
        <v/>
      </c>
      <c r="E1434" s="27" t="str" cm="1">
        <f t="array" ref="E1434">IF(C1434="","",IFERROR(INDEX(STPP!$E$6:$E$4207,MATCH(C1434,STPP!$C$6:$C$4207,0)),"Not Found"))</f>
        <v/>
      </c>
      <c r="F1434" s="27" t="str" cm="1">
        <f t="array" ref="F1434">IF(C1434="","",IFERROR(INDEX(STPP!$F$6:$F$4207,MATCH(C1434,STPP!$C$6:$C$4207,0)),"Not Found"))</f>
        <v/>
      </c>
      <c r="G1434" s="25" t="str">
        <f>IF(表1[[#This Row],[No Seri]]="","",表1[[#This Row],[Deskripsi Barang]]+表1[[#This Row],[Kuantitas]]-表1[[#This Row],[Satuan]])</f>
        <v/>
      </c>
      <c r="H1434" s="28"/>
      <c r="I1434" s="25" t="str">
        <f>IF(表1[[#This Row],[Tgl NPBG]]&gt;表1[[#This Row],[Peminta]],表1[[#This Row],[Tgl NPBG]]-表1[[#This Row],[Peminta]],"")</f>
        <v/>
      </c>
      <c r="J1434" s="31"/>
    </row>
    <row r="1435" s="12" customFormat="1" customHeight="1" spans="2:10">
      <c r="B1435" s="25"/>
      <c r="C1435" s="25"/>
      <c r="D1435" s="26" t="str" cm="1">
        <f t="array" ref="D1435">IF(C1435="","",IFERROR(INDEX(STPP!$D$6:$D$4207,MATCH(C1435,STPP!$C$6:$C$4207,0)),"Not Found"))</f>
        <v/>
      </c>
      <c r="E1435" s="27" t="str" cm="1">
        <f t="array" ref="E1435">IF(C1435="","",IFERROR(INDEX(STPP!$E$6:$E$4207,MATCH(C1435,STPP!$C$6:$C$4207,0)),"Not Found"))</f>
        <v/>
      </c>
      <c r="F1435" s="27" t="str" cm="1">
        <f t="array" ref="F1435">IF(C1435="","",IFERROR(INDEX(STPP!$F$6:$F$4207,MATCH(C1435,STPP!$C$6:$C$4207,0)),"Not Found"))</f>
        <v/>
      </c>
      <c r="G1435" s="25" t="str">
        <f>IF(表1[[#This Row],[No Seri]]="","",表1[[#This Row],[Deskripsi Barang]]+表1[[#This Row],[Kuantitas]]-表1[[#This Row],[Satuan]])</f>
        <v/>
      </c>
      <c r="H1435" s="28"/>
      <c r="I1435" s="25" t="str">
        <f>IF(表1[[#This Row],[Tgl NPBG]]&gt;表1[[#This Row],[Peminta]],表1[[#This Row],[Tgl NPBG]]-表1[[#This Row],[Peminta]],"")</f>
        <v/>
      </c>
      <c r="J1435" s="31"/>
    </row>
    <row r="1436" s="12" customFormat="1" customHeight="1" spans="2:10">
      <c r="B1436" s="25"/>
      <c r="C1436" s="25"/>
      <c r="D1436" s="26" t="str" cm="1">
        <f t="array" ref="D1436">IF(C1436="","",IFERROR(INDEX(STPP!$D$6:$D$4207,MATCH(C1436,STPP!$C$6:$C$4207,0)),"Not Found"))</f>
        <v/>
      </c>
      <c r="E1436" s="27" t="str" cm="1">
        <f t="array" ref="E1436">IF(C1436="","",IFERROR(INDEX(STPP!$E$6:$E$4207,MATCH(C1436,STPP!$C$6:$C$4207,0)),"Not Found"))</f>
        <v/>
      </c>
      <c r="F1436" s="27" t="str" cm="1">
        <f t="array" ref="F1436">IF(C1436="","",IFERROR(INDEX(STPP!$F$6:$F$4207,MATCH(C1436,STPP!$C$6:$C$4207,0)),"Not Found"))</f>
        <v/>
      </c>
      <c r="G1436" s="25" t="str">
        <f>IF(表1[[#This Row],[No Seri]]="","",表1[[#This Row],[Deskripsi Barang]]+表1[[#This Row],[Kuantitas]]-表1[[#This Row],[Satuan]])</f>
        <v/>
      </c>
      <c r="H1436" s="28"/>
      <c r="I1436" s="25" t="str">
        <f>IF(表1[[#This Row],[Tgl NPBG]]&gt;表1[[#This Row],[Peminta]],表1[[#This Row],[Tgl NPBG]]-表1[[#This Row],[Peminta]],"")</f>
        <v/>
      </c>
      <c r="J1436" s="31"/>
    </row>
    <row r="1437" s="12" customFormat="1" customHeight="1" spans="2:10">
      <c r="B1437" s="25"/>
      <c r="C1437" s="25"/>
      <c r="D1437" s="26" t="str" cm="1">
        <f t="array" ref="D1437">IF(C1437="","",IFERROR(INDEX(STPP!$D$6:$D$4207,MATCH(C1437,STPP!$C$6:$C$4207,0)),"Not Found"))</f>
        <v/>
      </c>
      <c r="E1437" s="27" t="str" cm="1">
        <f t="array" ref="E1437">IF(C1437="","",IFERROR(INDEX(STPP!$E$6:$E$4207,MATCH(C1437,STPP!$C$6:$C$4207,0)),"Not Found"))</f>
        <v/>
      </c>
      <c r="F1437" s="27" t="str" cm="1">
        <f t="array" ref="F1437">IF(C1437="","",IFERROR(INDEX(STPP!$F$6:$F$4207,MATCH(C1437,STPP!$C$6:$C$4207,0)),"Not Found"))</f>
        <v/>
      </c>
      <c r="G1437" s="25" t="str">
        <f>IF(表1[[#This Row],[No Seri]]="","",表1[[#This Row],[Deskripsi Barang]]+表1[[#This Row],[Kuantitas]]-表1[[#This Row],[Satuan]])</f>
        <v/>
      </c>
      <c r="H1437" s="28"/>
      <c r="I1437" s="25" t="str">
        <f>IF(表1[[#This Row],[Tgl NPBG]]&gt;表1[[#This Row],[Peminta]],表1[[#This Row],[Tgl NPBG]]-表1[[#This Row],[Peminta]],"")</f>
        <v/>
      </c>
      <c r="J1437" s="31"/>
    </row>
    <row r="1438" s="12" customFormat="1" customHeight="1" spans="2:10">
      <c r="B1438" s="25"/>
      <c r="C1438" s="25"/>
      <c r="D1438" s="26" t="str" cm="1">
        <f t="array" ref="D1438">IF(C1438="","",IFERROR(INDEX(STPP!$D$6:$D$4207,MATCH(C1438,STPP!$C$6:$C$4207,0)),"Not Found"))</f>
        <v/>
      </c>
      <c r="E1438" s="27" t="str" cm="1">
        <f t="array" ref="E1438">IF(C1438="","",IFERROR(INDEX(STPP!$E$6:$E$4207,MATCH(C1438,STPP!$C$6:$C$4207,0)),"Not Found"))</f>
        <v/>
      </c>
      <c r="F1438" s="27" t="str" cm="1">
        <f t="array" ref="F1438">IF(C1438="","",IFERROR(INDEX(STPP!$F$6:$F$4207,MATCH(C1438,STPP!$C$6:$C$4207,0)),"Not Found"))</f>
        <v/>
      </c>
      <c r="G1438" s="25" t="str">
        <f>IF(表1[[#This Row],[No Seri]]="","",表1[[#This Row],[Deskripsi Barang]]+表1[[#This Row],[Kuantitas]]-表1[[#This Row],[Satuan]])</f>
        <v/>
      </c>
      <c r="H1438" s="28"/>
      <c r="I1438" s="25" t="str">
        <f>IF(表1[[#This Row],[Tgl NPBG]]&gt;表1[[#This Row],[Peminta]],表1[[#This Row],[Tgl NPBG]]-表1[[#This Row],[Peminta]],"")</f>
        <v/>
      </c>
      <c r="J1438" s="31"/>
    </row>
    <row r="1439" s="12" customFormat="1" customHeight="1" spans="2:10">
      <c r="B1439" s="25"/>
      <c r="C1439" s="25"/>
      <c r="D1439" s="26" t="str" cm="1">
        <f t="array" ref="D1439">IF(C1439="","",IFERROR(INDEX(STPP!$D$6:$D$4207,MATCH(C1439,STPP!$C$6:$C$4207,0)),"Not Found"))</f>
        <v/>
      </c>
      <c r="E1439" s="27" t="str" cm="1">
        <f t="array" ref="E1439">IF(C1439="","",IFERROR(INDEX(STPP!$E$6:$E$4207,MATCH(C1439,STPP!$C$6:$C$4207,0)),"Not Found"))</f>
        <v/>
      </c>
      <c r="F1439" s="27" t="str" cm="1">
        <f t="array" ref="F1439">IF(C1439="","",IFERROR(INDEX(STPP!$F$6:$F$4207,MATCH(C1439,STPP!$C$6:$C$4207,0)),"Not Found"))</f>
        <v/>
      </c>
      <c r="G1439" s="25" t="str">
        <f>IF(表1[[#This Row],[No Seri]]="","",表1[[#This Row],[Deskripsi Barang]]+表1[[#This Row],[Kuantitas]]-表1[[#This Row],[Satuan]])</f>
        <v/>
      </c>
      <c r="H1439" s="28"/>
      <c r="I1439" s="25" t="str">
        <f>IF(表1[[#This Row],[Tgl NPBG]]&gt;表1[[#This Row],[Peminta]],表1[[#This Row],[Tgl NPBG]]-表1[[#This Row],[Peminta]],"")</f>
        <v/>
      </c>
      <c r="J1439" s="31"/>
    </row>
    <row r="1440" s="12" customFormat="1" customHeight="1" spans="2:10">
      <c r="B1440" s="25"/>
      <c r="C1440" s="25"/>
      <c r="D1440" s="26" t="str" cm="1">
        <f t="array" ref="D1440">IF(C1440="","",IFERROR(INDEX(STPP!$D$6:$D$4207,MATCH(C1440,STPP!$C$6:$C$4207,0)),"Not Found"))</f>
        <v/>
      </c>
      <c r="E1440" s="27" t="str" cm="1">
        <f t="array" ref="E1440">IF(C1440="","",IFERROR(INDEX(STPP!$E$6:$E$4207,MATCH(C1440,STPP!$C$6:$C$4207,0)),"Not Found"))</f>
        <v/>
      </c>
      <c r="F1440" s="27" t="str" cm="1">
        <f t="array" ref="F1440">IF(C1440="","",IFERROR(INDEX(STPP!$F$6:$F$4207,MATCH(C1440,STPP!$C$6:$C$4207,0)),"Not Found"))</f>
        <v/>
      </c>
      <c r="G1440" s="25" t="str">
        <f>IF(表1[[#This Row],[No Seri]]="","",表1[[#This Row],[Deskripsi Barang]]+表1[[#This Row],[Kuantitas]]-表1[[#This Row],[Satuan]])</f>
        <v/>
      </c>
      <c r="H1440" s="28"/>
      <c r="I1440" s="25" t="str">
        <f>IF(表1[[#This Row],[Tgl NPBG]]&gt;表1[[#This Row],[Peminta]],表1[[#This Row],[Tgl NPBG]]-表1[[#This Row],[Peminta]],"")</f>
        <v/>
      </c>
      <c r="J1440" s="31"/>
    </row>
    <row r="1441" s="12" customFormat="1" customHeight="1" spans="2:10">
      <c r="B1441" s="25"/>
      <c r="C1441" s="25"/>
      <c r="D1441" s="26" t="str" cm="1">
        <f t="array" ref="D1441">IF(C1441="","",IFERROR(INDEX(STPP!$D$6:$D$4207,MATCH(C1441,STPP!$C$6:$C$4207,0)),"Not Found"))</f>
        <v/>
      </c>
      <c r="E1441" s="27" t="str" cm="1">
        <f t="array" ref="E1441">IF(C1441="","",IFERROR(INDEX(STPP!$E$6:$E$4207,MATCH(C1441,STPP!$C$6:$C$4207,0)),"Not Found"))</f>
        <v/>
      </c>
      <c r="F1441" s="27" t="str" cm="1">
        <f t="array" ref="F1441">IF(C1441="","",IFERROR(INDEX(STPP!$F$6:$F$4207,MATCH(C1441,STPP!$C$6:$C$4207,0)),"Not Found"))</f>
        <v/>
      </c>
      <c r="G1441" s="25" t="str">
        <f>IF(表1[[#This Row],[No Seri]]="","",表1[[#This Row],[Deskripsi Barang]]+表1[[#This Row],[Kuantitas]]-表1[[#This Row],[Satuan]])</f>
        <v/>
      </c>
      <c r="H1441" s="28"/>
      <c r="I1441" s="25" t="str">
        <f>IF(表1[[#This Row],[Tgl NPBG]]&gt;表1[[#This Row],[Peminta]],表1[[#This Row],[Tgl NPBG]]-表1[[#This Row],[Peminta]],"")</f>
        <v/>
      </c>
      <c r="J1441" s="31"/>
    </row>
    <row r="1442" s="12" customFormat="1" customHeight="1" spans="2:10">
      <c r="B1442" s="25"/>
      <c r="C1442" s="25"/>
      <c r="D1442" s="26" t="str" cm="1">
        <f t="array" ref="D1442">IF(C1442="","",IFERROR(INDEX(STPP!$D$6:$D$4207,MATCH(C1442,STPP!$C$6:$C$4207,0)),"Not Found"))</f>
        <v/>
      </c>
      <c r="E1442" s="27" t="str" cm="1">
        <f t="array" ref="E1442">IF(C1442="","",IFERROR(INDEX(STPP!$E$6:$E$4207,MATCH(C1442,STPP!$C$6:$C$4207,0)),"Not Found"))</f>
        <v/>
      </c>
      <c r="F1442" s="27" t="str" cm="1">
        <f t="array" ref="F1442">IF(C1442="","",IFERROR(INDEX(STPP!$F$6:$F$4207,MATCH(C1442,STPP!$C$6:$C$4207,0)),"Not Found"))</f>
        <v/>
      </c>
      <c r="G1442" s="25" t="str">
        <f>IF(表1[[#This Row],[No Seri]]="","",表1[[#This Row],[Deskripsi Barang]]+表1[[#This Row],[Kuantitas]]-表1[[#This Row],[Satuan]])</f>
        <v/>
      </c>
      <c r="H1442" s="28"/>
      <c r="I1442" s="25" t="str">
        <f>IF(表1[[#This Row],[Tgl NPBG]]&gt;表1[[#This Row],[Peminta]],表1[[#This Row],[Tgl NPBG]]-表1[[#This Row],[Peminta]],"")</f>
        <v/>
      </c>
      <c r="J1442" s="31"/>
    </row>
    <row r="1443" s="12" customFormat="1" customHeight="1" spans="2:10">
      <c r="B1443" s="25"/>
      <c r="C1443" s="25"/>
      <c r="D1443" s="26" t="str" cm="1">
        <f t="array" ref="D1443">IF(C1443="","",IFERROR(INDEX(STPP!$D$6:$D$4207,MATCH(C1443,STPP!$C$6:$C$4207,0)),"Not Found"))</f>
        <v/>
      </c>
      <c r="E1443" s="27" t="str" cm="1">
        <f t="array" ref="E1443">IF(C1443="","",IFERROR(INDEX(STPP!$E$6:$E$4207,MATCH(C1443,STPP!$C$6:$C$4207,0)),"Not Found"))</f>
        <v/>
      </c>
      <c r="F1443" s="27" t="str" cm="1">
        <f t="array" ref="F1443">IF(C1443="","",IFERROR(INDEX(STPP!$F$6:$F$4207,MATCH(C1443,STPP!$C$6:$C$4207,0)),"Not Found"))</f>
        <v/>
      </c>
      <c r="G1443" s="25" t="str">
        <f>IF(表1[[#This Row],[No Seri]]="","",表1[[#This Row],[Deskripsi Barang]]+表1[[#This Row],[Kuantitas]]-表1[[#This Row],[Satuan]])</f>
        <v/>
      </c>
      <c r="H1443" s="28"/>
      <c r="I1443" s="25" t="str">
        <f>IF(表1[[#This Row],[Tgl NPBG]]&gt;表1[[#This Row],[Peminta]],表1[[#This Row],[Tgl NPBG]]-表1[[#This Row],[Peminta]],"")</f>
        <v/>
      </c>
      <c r="J1443" s="31"/>
    </row>
    <row r="1444" s="12" customFormat="1" customHeight="1" spans="2:10">
      <c r="B1444" s="25"/>
      <c r="C1444" s="25"/>
      <c r="D1444" s="26" t="str" cm="1">
        <f t="array" ref="D1444">IF(C1444="","",IFERROR(INDEX(STPP!$D$6:$D$4207,MATCH(C1444,STPP!$C$6:$C$4207,0)),"Not Found"))</f>
        <v/>
      </c>
      <c r="E1444" s="27" t="str" cm="1">
        <f t="array" ref="E1444">IF(C1444="","",IFERROR(INDEX(STPP!$E$6:$E$4207,MATCH(C1444,STPP!$C$6:$C$4207,0)),"Not Found"))</f>
        <v/>
      </c>
      <c r="F1444" s="27" t="str" cm="1">
        <f t="array" ref="F1444">IF(C1444="","",IFERROR(INDEX(STPP!$F$6:$F$4207,MATCH(C1444,STPP!$C$6:$C$4207,0)),"Not Found"))</f>
        <v/>
      </c>
      <c r="G1444" s="25" t="str">
        <f>IF(表1[[#This Row],[No Seri]]="","",表1[[#This Row],[Deskripsi Barang]]+表1[[#This Row],[Kuantitas]]-表1[[#This Row],[Satuan]])</f>
        <v/>
      </c>
      <c r="H1444" s="28"/>
      <c r="I1444" s="25" t="str">
        <f>IF(表1[[#This Row],[Tgl NPBG]]&gt;表1[[#This Row],[Peminta]],表1[[#This Row],[Tgl NPBG]]-表1[[#This Row],[Peminta]],"")</f>
        <v/>
      </c>
      <c r="J1444" s="31"/>
    </row>
    <row r="1445" s="12" customFormat="1" customHeight="1" spans="2:10">
      <c r="B1445" s="25"/>
      <c r="C1445" s="25"/>
      <c r="D1445" s="26" t="str" cm="1">
        <f t="array" ref="D1445">IF(C1445="","",IFERROR(INDEX(STPP!$D$6:$D$4207,MATCH(C1445,STPP!$C$6:$C$4207,0)),"Not Found"))</f>
        <v/>
      </c>
      <c r="E1445" s="27" t="str" cm="1">
        <f t="array" ref="E1445">IF(C1445="","",IFERROR(INDEX(STPP!$E$6:$E$4207,MATCH(C1445,STPP!$C$6:$C$4207,0)),"Not Found"))</f>
        <v/>
      </c>
      <c r="F1445" s="27" t="str" cm="1">
        <f t="array" ref="F1445">IF(C1445="","",IFERROR(INDEX(STPP!$F$6:$F$4207,MATCH(C1445,STPP!$C$6:$C$4207,0)),"Not Found"))</f>
        <v/>
      </c>
      <c r="G1445" s="25" t="str">
        <f>IF(表1[[#This Row],[No Seri]]="","",表1[[#This Row],[Deskripsi Barang]]+表1[[#This Row],[Kuantitas]]-表1[[#This Row],[Satuan]])</f>
        <v/>
      </c>
      <c r="H1445" s="28"/>
      <c r="I1445" s="25" t="str">
        <f>IF(表1[[#This Row],[Tgl NPBG]]&gt;表1[[#This Row],[Peminta]],表1[[#This Row],[Tgl NPBG]]-表1[[#This Row],[Peminta]],"")</f>
        <v/>
      </c>
      <c r="J1445" s="31"/>
    </row>
    <row r="1446" s="12" customFormat="1" customHeight="1" spans="2:10">
      <c r="B1446" s="25"/>
      <c r="C1446" s="25"/>
      <c r="D1446" s="26" t="str" cm="1">
        <f t="array" ref="D1446">IF(C1446="","",IFERROR(INDEX(STPP!$D$6:$D$4207,MATCH(C1446,STPP!$C$6:$C$4207,0)),"Not Found"))</f>
        <v/>
      </c>
      <c r="E1446" s="27" t="str" cm="1">
        <f t="array" ref="E1446">IF(C1446="","",IFERROR(INDEX(STPP!$E$6:$E$4207,MATCH(C1446,STPP!$C$6:$C$4207,0)),"Not Found"))</f>
        <v/>
      </c>
      <c r="F1446" s="27" t="str" cm="1">
        <f t="array" ref="F1446">IF(C1446="","",IFERROR(INDEX(STPP!$F$6:$F$4207,MATCH(C1446,STPP!$C$6:$C$4207,0)),"Not Found"))</f>
        <v/>
      </c>
      <c r="G1446" s="25" t="str">
        <f>IF(表1[[#This Row],[No Seri]]="","",表1[[#This Row],[Deskripsi Barang]]+表1[[#This Row],[Kuantitas]]-表1[[#This Row],[Satuan]])</f>
        <v/>
      </c>
      <c r="H1446" s="28"/>
      <c r="I1446" s="25" t="str">
        <f>IF(表1[[#This Row],[Tgl NPBG]]&gt;表1[[#This Row],[Peminta]],表1[[#This Row],[Tgl NPBG]]-表1[[#This Row],[Peminta]],"")</f>
        <v/>
      </c>
      <c r="J1446" s="31"/>
    </row>
    <row r="1447" s="12" customFormat="1" customHeight="1" spans="2:10">
      <c r="B1447" s="25"/>
      <c r="C1447" s="25"/>
      <c r="D1447" s="26" t="str" cm="1">
        <f t="array" ref="D1447">IF(C1447="","",IFERROR(INDEX(STPP!$D$6:$D$4207,MATCH(C1447,STPP!$C$6:$C$4207,0)),"Not Found"))</f>
        <v/>
      </c>
      <c r="E1447" s="27" t="str" cm="1">
        <f t="array" ref="E1447">IF(C1447="","",IFERROR(INDEX(STPP!$E$6:$E$4207,MATCH(C1447,STPP!$C$6:$C$4207,0)),"Not Found"))</f>
        <v/>
      </c>
      <c r="F1447" s="27" t="str" cm="1">
        <f t="array" ref="F1447">IF(C1447="","",IFERROR(INDEX(STPP!$F$6:$F$4207,MATCH(C1447,STPP!$C$6:$C$4207,0)),"Not Found"))</f>
        <v/>
      </c>
      <c r="G1447" s="25" t="str">
        <f>IF(表1[[#This Row],[No Seri]]="","",表1[[#This Row],[Deskripsi Barang]]+表1[[#This Row],[Kuantitas]]-表1[[#This Row],[Satuan]])</f>
        <v/>
      </c>
      <c r="H1447" s="28"/>
      <c r="I1447" s="25" t="str">
        <f>IF(表1[[#This Row],[Tgl NPBG]]&gt;表1[[#This Row],[Peminta]],表1[[#This Row],[Tgl NPBG]]-表1[[#This Row],[Peminta]],"")</f>
        <v/>
      </c>
      <c r="J1447" s="31"/>
    </row>
    <row r="1448" s="12" customFormat="1" customHeight="1" spans="2:10">
      <c r="B1448" s="25"/>
      <c r="C1448" s="25"/>
      <c r="D1448" s="26" t="str" cm="1">
        <f t="array" ref="D1448">IF(C1448="","",IFERROR(INDEX(STPP!$D$6:$D$4207,MATCH(C1448,STPP!$C$6:$C$4207,0)),"Not Found"))</f>
        <v/>
      </c>
      <c r="E1448" s="27" t="str" cm="1">
        <f t="array" ref="E1448">IF(C1448="","",IFERROR(INDEX(STPP!$E$6:$E$4207,MATCH(C1448,STPP!$C$6:$C$4207,0)),"Not Found"))</f>
        <v/>
      </c>
      <c r="F1448" s="27" t="str" cm="1">
        <f t="array" ref="F1448">IF(C1448="","",IFERROR(INDEX(STPP!$F$6:$F$4207,MATCH(C1448,STPP!$C$6:$C$4207,0)),"Not Found"))</f>
        <v/>
      </c>
      <c r="G1448" s="25" t="str">
        <f>IF(表1[[#This Row],[No Seri]]="","",表1[[#This Row],[Deskripsi Barang]]+表1[[#This Row],[Kuantitas]]-表1[[#This Row],[Satuan]])</f>
        <v/>
      </c>
      <c r="H1448" s="28"/>
      <c r="I1448" s="25" t="str">
        <f>IF(表1[[#This Row],[Tgl NPBG]]&gt;表1[[#This Row],[Peminta]],表1[[#This Row],[Tgl NPBG]]-表1[[#This Row],[Peminta]],"")</f>
        <v/>
      </c>
      <c r="J1448" s="31"/>
    </row>
    <row r="1449" s="12" customFormat="1" customHeight="1" spans="2:10">
      <c r="B1449" s="25"/>
      <c r="C1449" s="25"/>
      <c r="D1449" s="26" t="str" cm="1">
        <f t="array" ref="D1449">IF(C1449="","",IFERROR(INDEX(STPP!$D$6:$D$4207,MATCH(C1449,STPP!$C$6:$C$4207,0)),"Not Found"))</f>
        <v/>
      </c>
      <c r="E1449" s="27" t="str" cm="1">
        <f t="array" ref="E1449">IF(C1449="","",IFERROR(INDEX(STPP!$E$6:$E$4207,MATCH(C1449,STPP!$C$6:$C$4207,0)),"Not Found"))</f>
        <v/>
      </c>
      <c r="F1449" s="27" t="str" cm="1">
        <f t="array" ref="F1449">IF(C1449="","",IFERROR(INDEX(STPP!$F$6:$F$4207,MATCH(C1449,STPP!$C$6:$C$4207,0)),"Not Found"))</f>
        <v/>
      </c>
      <c r="G1449" s="25" t="str">
        <f>IF(表1[[#This Row],[No Seri]]="","",表1[[#This Row],[Deskripsi Barang]]+表1[[#This Row],[Kuantitas]]-表1[[#This Row],[Satuan]])</f>
        <v/>
      </c>
      <c r="H1449" s="28"/>
      <c r="I1449" s="25" t="str">
        <f>IF(表1[[#This Row],[Tgl NPBG]]&gt;表1[[#This Row],[Peminta]],表1[[#This Row],[Tgl NPBG]]-表1[[#This Row],[Peminta]],"")</f>
        <v/>
      </c>
      <c r="J1449" s="31"/>
    </row>
    <row r="1450" s="12" customFormat="1" customHeight="1" spans="2:10">
      <c r="B1450" s="25"/>
      <c r="C1450" s="25"/>
      <c r="D1450" s="26" t="str" cm="1">
        <f t="array" ref="D1450">IF(C1450="","",IFERROR(INDEX(STPP!$D$6:$D$4207,MATCH(C1450,STPP!$C$6:$C$4207,0)),"Not Found"))</f>
        <v/>
      </c>
      <c r="E1450" s="27" t="str" cm="1">
        <f t="array" ref="E1450">IF(C1450="","",IFERROR(INDEX(STPP!$E$6:$E$4207,MATCH(C1450,STPP!$C$6:$C$4207,0)),"Not Found"))</f>
        <v/>
      </c>
      <c r="F1450" s="27" t="str" cm="1">
        <f t="array" ref="F1450">IF(C1450="","",IFERROR(INDEX(STPP!$F$6:$F$4207,MATCH(C1450,STPP!$C$6:$C$4207,0)),"Not Found"))</f>
        <v/>
      </c>
      <c r="G1450" s="25" t="str">
        <f>IF(表1[[#This Row],[No Seri]]="","",表1[[#This Row],[Deskripsi Barang]]+表1[[#This Row],[Kuantitas]]-表1[[#This Row],[Satuan]])</f>
        <v/>
      </c>
      <c r="H1450" s="28"/>
      <c r="I1450" s="25" t="str">
        <f>IF(表1[[#This Row],[Tgl NPBG]]&gt;表1[[#This Row],[Peminta]],表1[[#This Row],[Tgl NPBG]]-表1[[#This Row],[Peminta]],"")</f>
        <v/>
      </c>
      <c r="J1450" s="31"/>
    </row>
    <row r="1451" s="12" customFormat="1" customHeight="1" spans="2:10">
      <c r="B1451" s="25"/>
      <c r="C1451" s="25"/>
      <c r="D1451" s="26" t="str" cm="1">
        <f t="array" ref="D1451">IF(C1451="","",IFERROR(INDEX(STPP!$D$6:$D$4207,MATCH(C1451,STPP!$C$6:$C$4207,0)),"Not Found"))</f>
        <v/>
      </c>
      <c r="E1451" s="27" t="str" cm="1">
        <f t="array" ref="E1451">IF(C1451="","",IFERROR(INDEX(STPP!$E$6:$E$4207,MATCH(C1451,STPP!$C$6:$C$4207,0)),"Not Found"))</f>
        <v/>
      </c>
      <c r="F1451" s="27" t="str" cm="1">
        <f t="array" ref="F1451">IF(C1451="","",IFERROR(INDEX(STPP!$F$6:$F$4207,MATCH(C1451,STPP!$C$6:$C$4207,0)),"Not Found"))</f>
        <v/>
      </c>
      <c r="G1451" s="25" t="str">
        <f>IF(表1[[#This Row],[No Seri]]="","",表1[[#This Row],[Deskripsi Barang]]+表1[[#This Row],[Kuantitas]]-表1[[#This Row],[Satuan]])</f>
        <v/>
      </c>
      <c r="H1451" s="28"/>
      <c r="I1451" s="25" t="str">
        <f>IF(表1[[#This Row],[Tgl NPBG]]&gt;表1[[#This Row],[Peminta]],表1[[#This Row],[Tgl NPBG]]-表1[[#This Row],[Peminta]],"")</f>
        <v/>
      </c>
      <c r="J1451" s="31"/>
    </row>
    <row r="1452" s="12" customFormat="1" customHeight="1" spans="2:10">
      <c r="B1452" s="25"/>
      <c r="C1452" s="25"/>
      <c r="D1452" s="26" t="str" cm="1">
        <f t="array" ref="D1452">IF(C1452="","",IFERROR(INDEX(STPP!$D$6:$D$4207,MATCH(C1452,STPP!$C$6:$C$4207,0)),"Not Found"))</f>
        <v/>
      </c>
      <c r="E1452" s="27" t="str" cm="1">
        <f t="array" ref="E1452">IF(C1452="","",IFERROR(INDEX(STPP!$E$6:$E$4207,MATCH(C1452,STPP!$C$6:$C$4207,0)),"Not Found"))</f>
        <v/>
      </c>
      <c r="F1452" s="27" t="str" cm="1">
        <f t="array" ref="F1452">IF(C1452="","",IFERROR(INDEX(STPP!$F$6:$F$4207,MATCH(C1452,STPP!$C$6:$C$4207,0)),"Not Found"))</f>
        <v/>
      </c>
      <c r="G1452" s="25" t="str">
        <f>IF(表1[[#This Row],[No Seri]]="","",表1[[#This Row],[Deskripsi Barang]]+表1[[#This Row],[Kuantitas]]-表1[[#This Row],[Satuan]])</f>
        <v/>
      </c>
      <c r="H1452" s="28"/>
      <c r="I1452" s="25" t="str">
        <f>IF(表1[[#This Row],[Tgl NPBG]]&gt;表1[[#This Row],[Peminta]],表1[[#This Row],[Tgl NPBG]]-表1[[#This Row],[Peminta]],"")</f>
        <v/>
      </c>
      <c r="J1452" s="31"/>
    </row>
    <row r="1453" s="12" customFormat="1" customHeight="1" spans="2:10">
      <c r="B1453" s="25"/>
      <c r="C1453" s="25"/>
      <c r="D1453" s="26" t="str" cm="1">
        <f t="array" ref="D1453">IF(C1453="","",IFERROR(INDEX(STPP!$D$6:$D$4207,MATCH(C1453,STPP!$C$6:$C$4207,0)),"Not Found"))</f>
        <v/>
      </c>
      <c r="E1453" s="27" t="str" cm="1">
        <f t="array" ref="E1453">IF(C1453="","",IFERROR(INDEX(STPP!$E$6:$E$4207,MATCH(C1453,STPP!$C$6:$C$4207,0)),"Not Found"))</f>
        <v/>
      </c>
      <c r="F1453" s="27" t="str" cm="1">
        <f t="array" ref="F1453">IF(C1453="","",IFERROR(INDEX(STPP!$F$6:$F$4207,MATCH(C1453,STPP!$C$6:$C$4207,0)),"Not Found"))</f>
        <v/>
      </c>
      <c r="G1453" s="25" t="str">
        <f>IF(表1[[#This Row],[No Seri]]="","",表1[[#This Row],[Deskripsi Barang]]+表1[[#This Row],[Kuantitas]]-表1[[#This Row],[Satuan]])</f>
        <v/>
      </c>
      <c r="H1453" s="28"/>
      <c r="I1453" s="25" t="str">
        <f>IF(表1[[#This Row],[Tgl NPBG]]&gt;表1[[#This Row],[Peminta]],表1[[#This Row],[Tgl NPBG]]-表1[[#This Row],[Peminta]],"")</f>
        <v/>
      </c>
      <c r="J1453" s="31"/>
    </row>
    <row r="1454" s="12" customFormat="1" customHeight="1" spans="2:10">
      <c r="B1454" s="25"/>
      <c r="C1454" s="25"/>
      <c r="D1454" s="26" t="str" cm="1">
        <f t="array" ref="D1454">IF(C1454="","",IFERROR(INDEX(STPP!$D$6:$D$4207,MATCH(C1454,STPP!$C$6:$C$4207,0)),"Not Found"))</f>
        <v/>
      </c>
      <c r="E1454" s="27" t="str" cm="1">
        <f t="array" ref="E1454">IF(C1454="","",IFERROR(INDEX(STPP!$E$6:$E$4207,MATCH(C1454,STPP!$C$6:$C$4207,0)),"Not Found"))</f>
        <v/>
      </c>
      <c r="F1454" s="27" t="str" cm="1">
        <f t="array" ref="F1454">IF(C1454="","",IFERROR(INDEX(STPP!$F$6:$F$4207,MATCH(C1454,STPP!$C$6:$C$4207,0)),"Not Found"))</f>
        <v/>
      </c>
      <c r="G1454" s="25" t="str">
        <f>IF(表1[[#This Row],[No Seri]]="","",表1[[#This Row],[Deskripsi Barang]]+表1[[#This Row],[Kuantitas]]-表1[[#This Row],[Satuan]])</f>
        <v/>
      </c>
      <c r="H1454" s="28"/>
      <c r="I1454" s="25" t="str">
        <f>IF(表1[[#This Row],[Tgl NPBG]]&gt;表1[[#This Row],[Peminta]],表1[[#This Row],[Tgl NPBG]]-表1[[#This Row],[Peminta]],"")</f>
        <v/>
      </c>
      <c r="J1454" s="31"/>
    </row>
    <row r="1455" s="12" customFormat="1" customHeight="1" spans="2:10">
      <c r="B1455" s="25"/>
      <c r="C1455" s="25"/>
      <c r="D1455" s="26" t="str" cm="1">
        <f t="array" ref="D1455">IF(C1455="","",IFERROR(INDEX(STPP!$D$6:$D$4207,MATCH(C1455,STPP!$C$6:$C$4207,0)),"Not Found"))</f>
        <v/>
      </c>
      <c r="E1455" s="27" t="str" cm="1">
        <f t="array" ref="E1455">IF(C1455="","",IFERROR(INDEX(STPP!$E$6:$E$4207,MATCH(C1455,STPP!$C$6:$C$4207,0)),"Not Found"))</f>
        <v/>
      </c>
      <c r="F1455" s="27" t="str" cm="1">
        <f t="array" ref="F1455">IF(C1455="","",IFERROR(INDEX(STPP!$F$6:$F$4207,MATCH(C1455,STPP!$C$6:$C$4207,0)),"Not Found"))</f>
        <v/>
      </c>
      <c r="G1455" s="25" t="str">
        <f>IF(表1[[#This Row],[No Seri]]="","",表1[[#This Row],[Deskripsi Barang]]+表1[[#This Row],[Kuantitas]]-表1[[#This Row],[Satuan]])</f>
        <v/>
      </c>
      <c r="H1455" s="28"/>
      <c r="I1455" s="25" t="str">
        <f>IF(表1[[#This Row],[Tgl NPBG]]&gt;表1[[#This Row],[Peminta]],表1[[#This Row],[Tgl NPBG]]-表1[[#This Row],[Peminta]],"")</f>
        <v/>
      </c>
      <c r="J1455" s="31"/>
    </row>
    <row r="1456" s="12" customFormat="1" customHeight="1" spans="2:10">
      <c r="B1456" s="25"/>
      <c r="C1456" s="25"/>
      <c r="D1456" s="26" t="str" cm="1">
        <f t="array" ref="D1456">IF(C1456="","",IFERROR(INDEX(STPP!$D$6:$D$4207,MATCH(C1456,STPP!$C$6:$C$4207,0)),"Not Found"))</f>
        <v/>
      </c>
      <c r="E1456" s="27" t="str" cm="1">
        <f t="array" ref="E1456">IF(C1456="","",IFERROR(INDEX(STPP!$E$6:$E$4207,MATCH(C1456,STPP!$C$6:$C$4207,0)),"Not Found"))</f>
        <v/>
      </c>
      <c r="F1456" s="27" t="str" cm="1">
        <f t="array" ref="F1456">IF(C1456="","",IFERROR(INDEX(STPP!$F$6:$F$4207,MATCH(C1456,STPP!$C$6:$C$4207,0)),"Not Found"))</f>
        <v/>
      </c>
      <c r="G1456" s="25" t="str">
        <f>IF(表1[[#This Row],[No Seri]]="","",表1[[#This Row],[Deskripsi Barang]]+表1[[#This Row],[Kuantitas]]-表1[[#This Row],[Satuan]])</f>
        <v/>
      </c>
      <c r="H1456" s="28"/>
      <c r="I1456" s="25" t="str">
        <f>IF(表1[[#This Row],[Tgl NPBG]]&gt;表1[[#This Row],[Peminta]],表1[[#This Row],[Tgl NPBG]]-表1[[#This Row],[Peminta]],"")</f>
        <v/>
      </c>
      <c r="J1456" s="31"/>
    </row>
    <row r="1457" s="12" customFormat="1" customHeight="1" spans="2:10">
      <c r="B1457" s="25"/>
      <c r="C1457" s="25"/>
      <c r="D1457" s="26" t="str" cm="1">
        <f t="array" ref="D1457">IF(C1457="","",IFERROR(INDEX(STPP!$D$6:$D$4207,MATCH(C1457,STPP!$C$6:$C$4207,0)),"Not Found"))</f>
        <v/>
      </c>
      <c r="E1457" s="27" t="str" cm="1">
        <f t="array" ref="E1457">IF(C1457="","",IFERROR(INDEX(STPP!$E$6:$E$4207,MATCH(C1457,STPP!$C$6:$C$4207,0)),"Not Found"))</f>
        <v/>
      </c>
      <c r="F1457" s="27" t="str" cm="1">
        <f t="array" ref="F1457">IF(C1457="","",IFERROR(INDEX(STPP!$F$6:$F$4207,MATCH(C1457,STPP!$C$6:$C$4207,0)),"Not Found"))</f>
        <v/>
      </c>
      <c r="G1457" s="25" t="str">
        <f>IF(表1[[#This Row],[No Seri]]="","",表1[[#This Row],[Deskripsi Barang]]+表1[[#This Row],[Kuantitas]]-表1[[#This Row],[Satuan]])</f>
        <v/>
      </c>
      <c r="H1457" s="28"/>
      <c r="I1457" s="25" t="str">
        <f>IF(表1[[#This Row],[Tgl NPBG]]&gt;表1[[#This Row],[Peminta]],表1[[#This Row],[Tgl NPBG]]-表1[[#This Row],[Peminta]],"")</f>
        <v/>
      </c>
      <c r="J1457" s="31"/>
    </row>
    <row r="1458" s="12" customFormat="1" customHeight="1" spans="2:10">
      <c r="B1458" s="25"/>
      <c r="C1458" s="25"/>
      <c r="D1458" s="26" t="str" cm="1">
        <f t="array" ref="D1458">IF(C1458="","",IFERROR(INDEX(STPP!$D$6:$D$4207,MATCH(C1458,STPP!$C$6:$C$4207,0)),"Not Found"))</f>
        <v/>
      </c>
      <c r="E1458" s="27" t="str" cm="1">
        <f t="array" ref="E1458">IF(C1458="","",IFERROR(INDEX(STPP!$E$6:$E$4207,MATCH(C1458,STPP!$C$6:$C$4207,0)),"Not Found"))</f>
        <v/>
      </c>
      <c r="F1458" s="27" t="str" cm="1">
        <f t="array" ref="F1458">IF(C1458="","",IFERROR(INDEX(STPP!$F$6:$F$4207,MATCH(C1458,STPP!$C$6:$C$4207,0)),"Not Found"))</f>
        <v/>
      </c>
      <c r="G1458" s="25" t="str">
        <f>IF(表1[[#This Row],[No Seri]]="","",表1[[#This Row],[Deskripsi Barang]]+表1[[#This Row],[Kuantitas]]-表1[[#This Row],[Satuan]])</f>
        <v/>
      </c>
      <c r="H1458" s="28"/>
      <c r="I1458" s="25" t="str">
        <f>IF(表1[[#This Row],[Tgl NPBG]]&gt;表1[[#This Row],[Peminta]],表1[[#This Row],[Tgl NPBG]]-表1[[#This Row],[Peminta]],"")</f>
        <v/>
      </c>
      <c r="J1458" s="31"/>
    </row>
    <row r="1459" s="12" customFormat="1" customHeight="1" spans="2:10">
      <c r="B1459" s="25"/>
      <c r="C1459" s="25"/>
      <c r="D1459" s="26" t="str" cm="1">
        <f t="array" ref="D1459">IF(C1459="","",IFERROR(INDEX(STPP!$D$6:$D$4207,MATCH(C1459,STPP!$C$6:$C$4207,0)),"Not Found"))</f>
        <v/>
      </c>
      <c r="E1459" s="27" t="str" cm="1">
        <f t="array" ref="E1459">IF(C1459="","",IFERROR(INDEX(STPP!$E$6:$E$4207,MATCH(C1459,STPP!$C$6:$C$4207,0)),"Not Found"))</f>
        <v/>
      </c>
      <c r="F1459" s="27" t="str" cm="1">
        <f t="array" ref="F1459">IF(C1459="","",IFERROR(INDEX(STPP!$F$6:$F$4207,MATCH(C1459,STPP!$C$6:$C$4207,0)),"Not Found"))</f>
        <v/>
      </c>
      <c r="G1459" s="25" t="str">
        <f>IF(表1[[#This Row],[No Seri]]="","",表1[[#This Row],[Deskripsi Barang]]+表1[[#This Row],[Kuantitas]]-表1[[#This Row],[Satuan]])</f>
        <v/>
      </c>
      <c r="H1459" s="28"/>
      <c r="I1459" s="25" t="str">
        <f>IF(表1[[#This Row],[Tgl NPBG]]&gt;表1[[#This Row],[Peminta]],表1[[#This Row],[Tgl NPBG]]-表1[[#This Row],[Peminta]],"")</f>
        <v/>
      </c>
      <c r="J1459" s="31"/>
    </row>
    <row r="1460" s="12" customFormat="1" customHeight="1" spans="2:10">
      <c r="B1460" s="25"/>
      <c r="C1460" s="25"/>
      <c r="D1460" s="26" t="str" cm="1">
        <f t="array" ref="D1460">IF(C1460="","",IFERROR(INDEX(STPP!$D$6:$D$4207,MATCH(C1460,STPP!$C$6:$C$4207,0)),"Not Found"))</f>
        <v/>
      </c>
      <c r="E1460" s="27" t="str" cm="1">
        <f t="array" ref="E1460">IF(C1460="","",IFERROR(INDEX(STPP!$E$6:$E$4207,MATCH(C1460,STPP!$C$6:$C$4207,0)),"Not Found"))</f>
        <v/>
      </c>
      <c r="F1460" s="27" t="str" cm="1">
        <f t="array" ref="F1460">IF(C1460="","",IFERROR(INDEX(STPP!$F$6:$F$4207,MATCH(C1460,STPP!$C$6:$C$4207,0)),"Not Found"))</f>
        <v/>
      </c>
      <c r="G1460" s="25" t="str">
        <f>IF(表1[[#This Row],[No Seri]]="","",表1[[#This Row],[Deskripsi Barang]]+表1[[#This Row],[Kuantitas]]-表1[[#This Row],[Satuan]])</f>
        <v/>
      </c>
      <c r="H1460" s="28"/>
      <c r="I1460" s="25" t="str">
        <f>IF(表1[[#This Row],[Tgl NPBG]]&gt;表1[[#This Row],[Peminta]],表1[[#This Row],[Tgl NPBG]]-表1[[#This Row],[Peminta]],"")</f>
        <v/>
      </c>
      <c r="J1460" s="31"/>
    </row>
    <row r="1461" s="12" customFormat="1" customHeight="1" spans="2:10">
      <c r="B1461" s="25"/>
      <c r="C1461" s="25"/>
      <c r="D1461" s="26" t="str" cm="1">
        <f t="array" ref="D1461">IF(C1461="","",IFERROR(INDEX(STPP!$D$6:$D$4207,MATCH(C1461,STPP!$C$6:$C$4207,0)),"Not Found"))</f>
        <v/>
      </c>
      <c r="E1461" s="27" t="str" cm="1">
        <f t="array" ref="E1461">IF(C1461="","",IFERROR(INDEX(STPP!$E$6:$E$4207,MATCH(C1461,STPP!$C$6:$C$4207,0)),"Not Found"))</f>
        <v/>
      </c>
      <c r="F1461" s="27" t="str" cm="1">
        <f t="array" ref="F1461">IF(C1461="","",IFERROR(INDEX(STPP!$F$6:$F$4207,MATCH(C1461,STPP!$C$6:$C$4207,0)),"Not Found"))</f>
        <v/>
      </c>
      <c r="G1461" s="25" t="str">
        <f>IF(表1[[#This Row],[No Seri]]="","",表1[[#This Row],[Deskripsi Barang]]+表1[[#This Row],[Kuantitas]]-表1[[#This Row],[Satuan]])</f>
        <v/>
      </c>
      <c r="H1461" s="28"/>
      <c r="I1461" s="25" t="str">
        <f>IF(表1[[#This Row],[Tgl NPBG]]&gt;表1[[#This Row],[Peminta]],表1[[#This Row],[Tgl NPBG]]-表1[[#This Row],[Peminta]],"")</f>
        <v/>
      </c>
      <c r="J1461" s="31"/>
    </row>
    <row r="1462" s="12" customFormat="1" customHeight="1" spans="2:10">
      <c r="B1462" s="25"/>
      <c r="C1462" s="25"/>
      <c r="D1462" s="26" t="str" cm="1">
        <f t="array" ref="D1462">IF(C1462="","",IFERROR(INDEX(STPP!$D$6:$D$4207,MATCH(C1462,STPP!$C$6:$C$4207,0)),"Not Found"))</f>
        <v/>
      </c>
      <c r="E1462" s="27" t="str" cm="1">
        <f t="array" ref="E1462">IF(C1462="","",IFERROR(INDEX(STPP!$E$6:$E$4207,MATCH(C1462,STPP!$C$6:$C$4207,0)),"Not Found"))</f>
        <v/>
      </c>
      <c r="F1462" s="27" t="str" cm="1">
        <f t="array" ref="F1462">IF(C1462="","",IFERROR(INDEX(STPP!$F$6:$F$4207,MATCH(C1462,STPP!$C$6:$C$4207,0)),"Not Found"))</f>
        <v/>
      </c>
      <c r="G1462" s="25" t="str">
        <f>IF(表1[[#This Row],[No Seri]]="","",表1[[#This Row],[Deskripsi Barang]]+表1[[#This Row],[Kuantitas]]-表1[[#This Row],[Satuan]])</f>
        <v/>
      </c>
      <c r="H1462" s="28"/>
      <c r="I1462" s="25" t="str">
        <f>IF(表1[[#This Row],[Tgl NPBG]]&gt;表1[[#This Row],[Peminta]],表1[[#This Row],[Tgl NPBG]]-表1[[#This Row],[Peminta]],"")</f>
        <v/>
      </c>
      <c r="J1462" s="31"/>
    </row>
    <row r="1463" s="12" customFormat="1" customHeight="1" spans="2:10">
      <c r="B1463" s="25"/>
      <c r="C1463" s="25"/>
      <c r="D1463" s="26" t="str" cm="1">
        <f t="array" ref="D1463">IF(C1463="","",IFERROR(INDEX(STPP!$D$6:$D$4207,MATCH(C1463,STPP!$C$6:$C$4207,0)),"Not Found"))</f>
        <v/>
      </c>
      <c r="E1463" s="27" t="str" cm="1">
        <f t="array" ref="E1463">IF(C1463="","",IFERROR(INDEX(STPP!$E$6:$E$4207,MATCH(C1463,STPP!$C$6:$C$4207,0)),"Not Found"))</f>
        <v/>
      </c>
      <c r="F1463" s="27" t="str" cm="1">
        <f t="array" ref="F1463">IF(C1463="","",IFERROR(INDEX(STPP!$F$6:$F$4207,MATCH(C1463,STPP!$C$6:$C$4207,0)),"Not Found"))</f>
        <v/>
      </c>
      <c r="G1463" s="25" t="str">
        <f>IF(表1[[#This Row],[No Seri]]="","",表1[[#This Row],[Deskripsi Barang]]+表1[[#This Row],[Kuantitas]]-表1[[#This Row],[Satuan]])</f>
        <v/>
      </c>
      <c r="H1463" s="28"/>
      <c r="I1463" s="25" t="str">
        <f>IF(表1[[#This Row],[Tgl NPBG]]&gt;表1[[#This Row],[Peminta]],表1[[#This Row],[Tgl NPBG]]-表1[[#This Row],[Peminta]],"")</f>
        <v/>
      </c>
      <c r="J1463" s="31"/>
    </row>
    <row r="1464" s="12" customFormat="1" customHeight="1" spans="2:10">
      <c r="B1464" s="25"/>
      <c r="C1464" s="25"/>
      <c r="D1464" s="26" t="str" cm="1">
        <f t="array" ref="D1464">IF(C1464="","",IFERROR(INDEX(STPP!$D$6:$D$4207,MATCH(C1464,STPP!$C$6:$C$4207,0)),"Not Found"))</f>
        <v/>
      </c>
      <c r="E1464" s="27" t="str" cm="1">
        <f t="array" ref="E1464">IF(C1464="","",IFERROR(INDEX(STPP!$E$6:$E$4207,MATCH(C1464,STPP!$C$6:$C$4207,0)),"Not Found"))</f>
        <v/>
      </c>
      <c r="F1464" s="27" t="str" cm="1">
        <f t="array" ref="F1464">IF(C1464="","",IFERROR(INDEX(STPP!$F$6:$F$4207,MATCH(C1464,STPP!$C$6:$C$4207,0)),"Not Found"))</f>
        <v/>
      </c>
      <c r="G1464" s="25" t="str">
        <f>IF(表1[[#This Row],[No Seri]]="","",表1[[#This Row],[Deskripsi Barang]]+表1[[#This Row],[Kuantitas]]-表1[[#This Row],[Satuan]])</f>
        <v/>
      </c>
      <c r="H1464" s="28"/>
      <c r="I1464" s="25" t="str">
        <f>IF(表1[[#This Row],[Tgl NPBG]]&gt;表1[[#This Row],[Peminta]],表1[[#This Row],[Tgl NPBG]]-表1[[#This Row],[Peminta]],"")</f>
        <v/>
      </c>
      <c r="J1464" s="31"/>
    </row>
    <row r="1465" s="12" customFormat="1" customHeight="1" spans="2:10">
      <c r="B1465" s="25"/>
      <c r="C1465" s="25"/>
      <c r="D1465" s="26" t="str" cm="1">
        <f t="array" ref="D1465">IF(C1465="","",IFERROR(INDEX(STPP!$D$6:$D$4207,MATCH(C1465,STPP!$C$6:$C$4207,0)),"Not Found"))</f>
        <v/>
      </c>
      <c r="E1465" s="27" t="str" cm="1">
        <f t="array" ref="E1465">IF(C1465="","",IFERROR(INDEX(STPP!$E$6:$E$4207,MATCH(C1465,STPP!$C$6:$C$4207,0)),"Not Found"))</f>
        <v/>
      </c>
      <c r="F1465" s="27" t="str" cm="1">
        <f t="array" ref="F1465">IF(C1465="","",IFERROR(INDEX(STPP!$F$6:$F$4207,MATCH(C1465,STPP!$C$6:$C$4207,0)),"Not Found"))</f>
        <v/>
      </c>
      <c r="G1465" s="25" t="str">
        <f>IF(表1[[#This Row],[No Seri]]="","",表1[[#This Row],[Deskripsi Barang]]+表1[[#This Row],[Kuantitas]]-表1[[#This Row],[Satuan]])</f>
        <v/>
      </c>
      <c r="H1465" s="28"/>
      <c r="I1465" s="25" t="str">
        <f>IF(表1[[#This Row],[Tgl NPBG]]&gt;表1[[#This Row],[Peminta]],表1[[#This Row],[Tgl NPBG]]-表1[[#This Row],[Peminta]],"")</f>
        <v/>
      </c>
      <c r="J1465" s="31"/>
    </row>
    <row r="1466" s="12" customFormat="1" customHeight="1" spans="2:10">
      <c r="B1466" s="25"/>
      <c r="C1466" s="25"/>
      <c r="D1466" s="26" t="str" cm="1">
        <f t="array" ref="D1466">IF(C1466="","",IFERROR(INDEX(STPP!$D$6:$D$4207,MATCH(C1466,STPP!$C$6:$C$4207,0)),"Not Found"))</f>
        <v/>
      </c>
      <c r="E1466" s="27" t="str" cm="1">
        <f t="array" ref="E1466">IF(C1466="","",IFERROR(INDEX(STPP!$E$6:$E$4207,MATCH(C1466,STPP!$C$6:$C$4207,0)),"Not Found"))</f>
        <v/>
      </c>
      <c r="F1466" s="27" t="str" cm="1">
        <f t="array" ref="F1466">IF(C1466="","",IFERROR(INDEX(STPP!$F$6:$F$4207,MATCH(C1466,STPP!$C$6:$C$4207,0)),"Not Found"))</f>
        <v/>
      </c>
      <c r="G1466" s="25" t="str">
        <f>IF(表1[[#This Row],[No Seri]]="","",表1[[#This Row],[Deskripsi Barang]]+表1[[#This Row],[Kuantitas]]-表1[[#This Row],[Satuan]])</f>
        <v/>
      </c>
      <c r="H1466" s="28"/>
      <c r="I1466" s="25" t="str">
        <f>IF(表1[[#This Row],[Tgl NPBG]]&gt;表1[[#This Row],[Peminta]],表1[[#This Row],[Tgl NPBG]]-表1[[#This Row],[Peminta]],"")</f>
        <v/>
      </c>
      <c r="J1466" s="31"/>
    </row>
    <row r="1467" s="12" customFormat="1" customHeight="1" spans="2:10">
      <c r="B1467" s="25"/>
      <c r="C1467" s="25"/>
      <c r="D1467" s="26" t="str" cm="1">
        <f t="array" ref="D1467">IF(C1467="","",IFERROR(INDEX(STPP!$D$6:$D$4207,MATCH(C1467,STPP!$C$6:$C$4207,0)),"Not Found"))</f>
        <v/>
      </c>
      <c r="E1467" s="27" t="str" cm="1">
        <f t="array" ref="E1467">IF(C1467="","",IFERROR(INDEX(STPP!$E$6:$E$4207,MATCH(C1467,STPP!$C$6:$C$4207,0)),"Not Found"))</f>
        <v/>
      </c>
      <c r="F1467" s="27" t="str" cm="1">
        <f t="array" ref="F1467">IF(C1467="","",IFERROR(INDEX(STPP!$F$6:$F$4207,MATCH(C1467,STPP!$C$6:$C$4207,0)),"Not Found"))</f>
        <v/>
      </c>
      <c r="G1467" s="25" t="str">
        <f>IF(表1[[#This Row],[No Seri]]="","",表1[[#This Row],[Deskripsi Barang]]+表1[[#This Row],[Kuantitas]]-表1[[#This Row],[Satuan]])</f>
        <v/>
      </c>
      <c r="H1467" s="28"/>
      <c r="I1467" s="25" t="str">
        <f>IF(表1[[#This Row],[Tgl NPBG]]&gt;表1[[#This Row],[Peminta]],表1[[#This Row],[Tgl NPBG]]-表1[[#This Row],[Peminta]],"")</f>
        <v/>
      </c>
      <c r="J1467" s="31"/>
    </row>
    <row r="1468" s="12" customFormat="1" customHeight="1" spans="2:10">
      <c r="B1468" s="25"/>
      <c r="C1468" s="25"/>
      <c r="D1468" s="26" t="str" cm="1">
        <f t="array" ref="D1468">IF(C1468="","",IFERROR(INDEX(STPP!$D$6:$D$4207,MATCH(C1468,STPP!$C$6:$C$4207,0)),"Not Found"))</f>
        <v/>
      </c>
      <c r="E1468" s="27" t="str" cm="1">
        <f t="array" ref="E1468">IF(C1468="","",IFERROR(INDEX(STPP!$E$6:$E$4207,MATCH(C1468,STPP!$C$6:$C$4207,0)),"Not Found"))</f>
        <v/>
      </c>
      <c r="F1468" s="27" t="str" cm="1">
        <f t="array" ref="F1468">IF(C1468="","",IFERROR(INDEX(STPP!$F$6:$F$4207,MATCH(C1468,STPP!$C$6:$C$4207,0)),"Not Found"))</f>
        <v/>
      </c>
      <c r="G1468" s="25" t="str">
        <f>IF(表1[[#This Row],[No Seri]]="","",表1[[#This Row],[Deskripsi Barang]]+表1[[#This Row],[Kuantitas]]-表1[[#This Row],[Satuan]])</f>
        <v/>
      </c>
      <c r="H1468" s="28"/>
      <c r="I1468" s="25" t="str">
        <f>IF(表1[[#This Row],[Tgl NPBG]]&gt;表1[[#This Row],[Peminta]],表1[[#This Row],[Tgl NPBG]]-表1[[#This Row],[Peminta]],"")</f>
        <v/>
      </c>
      <c r="J1468" s="31"/>
    </row>
    <row r="1469" s="12" customFormat="1" customHeight="1" spans="2:10">
      <c r="B1469" s="25"/>
      <c r="C1469" s="25"/>
      <c r="D1469" s="26" t="str" cm="1">
        <f t="array" ref="D1469">IF(C1469="","",IFERROR(INDEX(STPP!$D$6:$D$4207,MATCH(C1469,STPP!$C$6:$C$4207,0)),"Not Found"))</f>
        <v/>
      </c>
      <c r="E1469" s="27" t="str" cm="1">
        <f t="array" ref="E1469">IF(C1469="","",IFERROR(INDEX(STPP!$E$6:$E$4207,MATCH(C1469,STPP!$C$6:$C$4207,0)),"Not Found"))</f>
        <v/>
      </c>
      <c r="F1469" s="27" t="str" cm="1">
        <f t="array" ref="F1469">IF(C1469="","",IFERROR(INDEX(STPP!$F$6:$F$4207,MATCH(C1469,STPP!$C$6:$C$4207,0)),"Not Found"))</f>
        <v/>
      </c>
      <c r="G1469" s="25" t="str">
        <f>IF(表1[[#This Row],[No Seri]]="","",表1[[#This Row],[Deskripsi Barang]]+表1[[#This Row],[Kuantitas]]-表1[[#This Row],[Satuan]])</f>
        <v/>
      </c>
      <c r="H1469" s="28"/>
      <c r="I1469" s="25" t="str">
        <f>IF(表1[[#This Row],[Tgl NPBG]]&gt;表1[[#This Row],[Peminta]],表1[[#This Row],[Tgl NPBG]]-表1[[#This Row],[Peminta]],"")</f>
        <v/>
      </c>
      <c r="J1469" s="31"/>
    </row>
    <row r="1470" s="12" customFormat="1" customHeight="1" spans="2:10">
      <c r="B1470" s="25"/>
      <c r="C1470" s="25"/>
      <c r="D1470" s="26" t="str" cm="1">
        <f t="array" ref="D1470">IF(C1470="","",IFERROR(INDEX(STPP!$D$6:$D$4207,MATCH(C1470,STPP!$C$6:$C$4207,0)),"Not Found"))</f>
        <v/>
      </c>
      <c r="E1470" s="27" t="str" cm="1">
        <f t="array" ref="E1470">IF(C1470="","",IFERROR(INDEX(STPP!$E$6:$E$4207,MATCH(C1470,STPP!$C$6:$C$4207,0)),"Not Found"))</f>
        <v/>
      </c>
      <c r="F1470" s="27" t="str" cm="1">
        <f t="array" ref="F1470">IF(C1470="","",IFERROR(INDEX(STPP!$F$6:$F$4207,MATCH(C1470,STPP!$C$6:$C$4207,0)),"Not Found"))</f>
        <v/>
      </c>
      <c r="G1470" s="25" t="str">
        <f>IF(表1[[#This Row],[No Seri]]="","",表1[[#This Row],[Deskripsi Barang]]+表1[[#This Row],[Kuantitas]]-表1[[#This Row],[Satuan]])</f>
        <v/>
      </c>
      <c r="H1470" s="28"/>
      <c r="I1470" s="25" t="str">
        <f>IF(表1[[#This Row],[Tgl NPBG]]&gt;表1[[#This Row],[Peminta]],表1[[#This Row],[Tgl NPBG]]-表1[[#This Row],[Peminta]],"")</f>
        <v/>
      </c>
      <c r="J1470" s="31"/>
    </row>
    <row r="1471" s="12" customFormat="1" customHeight="1" spans="2:10">
      <c r="B1471" s="25"/>
      <c r="C1471" s="25"/>
      <c r="D1471" s="26" t="str" cm="1">
        <f t="array" ref="D1471">IF(C1471="","",IFERROR(INDEX(STPP!$D$6:$D$4207,MATCH(C1471,STPP!$C$6:$C$4207,0)),"Not Found"))</f>
        <v/>
      </c>
      <c r="E1471" s="27" t="str" cm="1">
        <f t="array" ref="E1471">IF(C1471="","",IFERROR(INDEX(STPP!$E$6:$E$4207,MATCH(C1471,STPP!$C$6:$C$4207,0)),"Not Found"))</f>
        <v/>
      </c>
      <c r="F1471" s="27" t="str" cm="1">
        <f t="array" ref="F1471">IF(C1471="","",IFERROR(INDEX(STPP!$F$6:$F$4207,MATCH(C1471,STPP!$C$6:$C$4207,0)),"Not Found"))</f>
        <v/>
      </c>
      <c r="G1471" s="25" t="str">
        <f>IF(表1[[#This Row],[No Seri]]="","",表1[[#This Row],[Deskripsi Barang]]+表1[[#This Row],[Kuantitas]]-表1[[#This Row],[Satuan]])</f>
        <v/>
      </c>
      <c r="H1471" s="28"/>
      <c r="I1471" s="25" t="str">
        <f>IF(表1[[#This Row],[Tgl NPBG]]&gt;表1[[#This Row],[Peminta]],表1[[#This Row],[Tgl NPBG]]-表1[[#This Row],[Peminta]],"")</f>
        <v/>
      </c>
      <c r="J1471" s="31"/>
    </row>
    <row r="1472" s="12" customFormat="1" customHeight="1" spans="2:10">
      <c r="B1472" s="25"/>
      <c r="C1472" s="25"/>
      <c r="D1472" s="26" t="str" cm="1">
        <f t="array" ref="D1472">IF(C1472="","",IFERROR(INDEX(STPP!$D$6:$D$4207,MATCH(C1472,STPP!$C$6:$C$4207,0)),"Not Found"))</f>
        <v/>
      </c>
      <c r="E1472" s="27" t="str" cm="1">
        <f t="array" ref="E1472">IF(C1472="","",IFERROR(INDEX(STPP!$E$6:$E$4207,MATCH(C1472,STPP!$C$6:$C$4207,0)),"Not Found"))</f>
        <v/>
      </c>
      <c r="F1472" s="27" t="str" cm="1">
        <f t="array" ref="F1472">IF(C1472="","",IFERROR(INDEX(STPP!$F$6:$F$4207,MATCH(C1472,STPP!$C$6:$C$4207,0)),"Not Found"))</f>
        <v/>
      </c>
      <c r="G1472" s="25" t="str">
        <f>IF(表1[[#This Row],[No Seri]]="","",表1[[#This Row],[Deskripsi Barang]]+表1[[#This Row],[Kuantitas]]-表1[[#This Row],[Satuan]])</f>
        <v/>
      </c>
      <c r="H1472" s="28"/>
      <c r="I1472" s="25" t="str">
        <f>IF(表1[[#This Row],[Tgl NPBG]]&gt;表1[[#This Row],[Peminta]],表1[[#This Row],[Tgl NPBG]]-表1[[#This Row],[Peminta]],"")</f>
        <v/>
      </c>
      <c r="J1472" s="31"/>
    </row>
    <row r="1473" s="12" customFormat="1" customHeight="1" spans="2:10">
      <c r="B1473" s="25"/>
      <c r="C1473" s="25"/>
      <c r="D1473" s="26" t="str" cm="1">
        <f t="array" ref="D1473">IF(C1473="","",IFERROR(INDEX(STPP!$D$6:$D$4207,MATCH(C1473,STPP!$C$6:$C$4207,0)),"Not Found"))</f>
        <v/>
      </c>
      <c r="E1473" s="27" t="str" cm="1">
        <f t="array" ref="E1473">IF(C1473="","",IFERROR(INDEX(STPP!$E$6:$E$4207,MATCH(C1473,STPP!$C$6:$C$4207,0)),"Not Found"))</f>
        <v/>
      </c>
      <c r="F1473" s="27" t="str" cm="1">
        <f t="array" ref="F1473">IF(C1473="","",IFERROR(INDEX(STPP!$F$6:$F$4207,MATCH(C1473,STPP!$C$6:$C$4207,0)),"Not Found"))</f>
        <v/>
      </c>
      <c r="G1473" s="25" t="str">
        <f>IF(表1[[#This Row],[No Seri]]="","",表1[[#This Row],[Deskripsi Barang]]+表1[[#This Row],[Kuantitas]]-表1[[#This Row],[Satuan]])</f>
        <v/>
      </c>
      <c r="H1473" s="28"/>
      <c r="I1473" s="25" t="str">
        <f>IF(表1[[#This Row],[Tgl NPBG]]&gt;表1[[#This Row],[Peminta]],表1[[#This Row],[Tgl NPBG]]-表1[[#This Row],[Peminta]],"")</f>
        <v/>
      </c>
      <c r="J1473" s="31"/>
    </row>
    <row r="1474" s="12" customFormat="1" customHeight="1" spans="2:10">
      <c r="B1474" s="25"/>
      <c r="C1474" s="25"/>
      <c r="D1474" s="26" t="str" cm="1">
        <f t="array" ref="D1474">IF(C1474="","",IFERROR(INDEX(STPP!$D$6:$D$4207,MATCH(C1474,STPP!$C$6:$C$4207,0)),"Not Found"))</f>
        <v/>
      </c>
      <c r="E1474" s="27" t="str" cm="1">
        <f t="array" ref="E1474">IF(C1474="","",IFERROR(INDEX(STPP!$E$6:$E$4207,MATCH(C1474,STPP!$C$6:$C$4207,0)),"Not Found"))</f>
        <v/>
      </c>
      <c r="F1474" s="27" t="str" cm="1">
        <f t="array" ref="F1474">IF(C1474="","",IFERROR(INDEX(STPP!$F$6:$F$4207,MATCH(C1474,STPP!$C$6:$C$4207,0)),"Not Found"))</f>
        <v/>
      </c>
      <c r="G1474" s="25" t="str">
        <f>IF(表1[[#This Row],[No Seri]]="","",表1[[#This Row],[Deskripsi Barang]]+表1[[#This Row],[Kuantitas]]-表1[[#This Row],[Satuan]])</f>
        <v/>
      </c>
      <c r="H1474" s="28"/>
      <c r="I1474" s="25" t="str">
        <f>IF(表1[[#This Row],[Tgl NPBG]]&gt;表1[[#This Row],[Peminta]],表1[[#This Row],[Tgl NPBG]]-表1[[#This Row],[Peminta]],"")</f>
        <v/>
      </c>
      <c r="J1474" s="31"/>
    </row>
    <row r="1475" s="12" customFormat="1" customHeight="1" spans="2:10">
      <c r="B1475" s="25"/>
      <c r="C1475" s="25"/>
      <c r="D1475" s="26" t="str" cm="1">
        <f t="array" ref="D1475">IF(C1475="","",IFERROR(INDEX(STPP!$D$6:$D$4207,MATCH(C1475,STPP!$C$6:$C$4207,0)),"Not Found"))</f>
        <v/>
      </c>
      <c r="E1475" s="27" t="str" cm="1">
        <f t="array" ref="E1475">IF(C1475="","",IFERROR(INDEX(STPP!$E$6:$E$4207,MATCH(C1475,STPP!$C$6:$C$4207,0)),"Not Found"))</f>
        <v/>
      </c>
      <c r="F1475" s="27" t="str" cm="1">
        <f t="array" ref="F1475">IF(C1475="","",IFERROR(INDEX(STPP!$F$6:$F$4207,MATCH(C1475,STPP!$C$6:$C$4207,0)),"Not Found"))</f>
        <v/>
      </c>
      <c r="G1475" s="25" t="str">
        <f>IF(表1[[#This Row],[No Seri]]="","",表1[[#This Row],[Deskripsi Barang]]+表1[[#This Row],[Kuantitas]]-表1[[#This Row],[Satuan]])</f>
        <v/>
      </c>
      <c r="H1475" s="28"/>
      <c r="I1475" s="25" t="str">
        <f>IF(表1[[#This Row],[Tgl NPBG]]&gt;表1[[#This Row],[Peminta]],表1[[#This Row],[Tgl NPBG]]-表1[[#This Row],[Peminta]],"")</f>
        <v/>
      </c>
      <c r="J1475" s="31"/>
    </row>
    <row r="1476" s="12" customFormat="1" customHeight="1" spans="2:10">
      <c r="B1476" s="25"/>
      <c r="C1476" s="25"/>
      <c r="D1476" s="26" t="str" cm="1">
        <f t="array" ref="D1476">IF(C1476="","",IFERROR(INDEX(STPP!$D$6:$D$4207,MATCH(C1476,STPP!$C$6:$C$4207,0)),"Not Found"))</f>
        <v/>
      </c>
      <c r="E1476" s="27" t="str" cm="1">
        <f t="array" ref="E1476">IF(C1476="","",IFERROR(INDEX(STPP!$E$6:$E$4207,MATCH(C1476,STPP!$C$6:$C$4207,0)),"Not Found"))</f>
        <v/>
      </c>
      <c r="F1476" s="27" t="str" cm="1">
        <f t="array" ref="F1476">IF(C1476="","",IFERROR(INDEX(STPP!$F$6:$F$4207,MATCH(C1476,STPP!$C$6:$C$4207,0)),"Not Found"))</f>
        <v/>
      </c>
      <c r="G1476" s="25" t="str">
        <f>IF(表1[[#This Row],[No Seri]]="","",表1[[#This Row],[Deskripsi Barang]]+表1[[#This Row],[Kuantitas]]-表1[[#This Row],[Satuan]])</f>
        <v/>
      </c>
      <c r="H1476" s="28"/>
      <c r="I1476" s="25" t="str">
        <f>IF(表1[[#This Row],[Tgl NPBG]]&gt;表1[[#This Row],[Peminta]],表1[[#This Row],[Tgl NPBG]]-表1[[#This Row],[Peminta]],"")</f>
        <v/>
      </c>
      <c r="J1476" s="31"/>
    </row>
    <row r="1477" s="12" customFormat="1" customHeight="1" spans="2:10">
      <c r="B1477" s="25"/>
      <c r="C1477" s="25"/>
      <c r="D1477" s="26" t="str" cm="1">
        <f t="array" ref="D1477">IF(C1477="","",IFERROR(INDEX(STPP!$D$6:$D$4207,MATCH(C1477,STPP!$C$6:$C$4207,0)),"Not Found"))</f>
        <v/>
      </c>
      <c r="E1477" s="27" t="str" cm="1">
        <f t="array" ref="E1477">IF(C1477="","",IFERROR(INDEX(STPP!$E$6:$E$4207,MATCH(C1477,STPP!$C$6:$C$4207,0)),"Not Found"))</f>
        <v/>
      </c>
      <c r="F1477" s="27" t="str" cm="1">
        <f t="array" ref="F1477">IF(C1477="","",IFERROR(INDEX(STPP!$F$6:$F$4207,MATCH(C1477,STPP!$C$6:$C$4207,0)),"Not Found"))</f>
        <v/>
      </c>
      <c r="G1477" s="25" t="str">
        <f>IF(表1[[#This Row],[No Seri]]="","",表1[[#This Row],[Deskripsi Barang]]+表1[[#This Row],[Kuantitas]]-表1[[#This Row],[Satuan]])</f>
        <v/>
      </c>
      <c r="H1477" s="28"/>
      <c r="I1477" s="25" t="str">
        <f>IF(表1[[#This Row],[Tgl NPBG]]&gt;表1[[#This Row],[Peminta]],表1[[#This Row],[Tgl NPBG]]-表1[[#This Row],[Peminta]],"")</f>
        <v/>
      </c>
      <c r="J1477" s="31"/>
    </row>
    <row r="1478" s="12" customFormat="1" customHeight="1" spans="2:10">
      <c r="B1478" s="25"/>
      <c r="C1478" s="25"/>
      <c r="D1478" s="26" t="str" cm="1">
        <f t="array" ref="D1478">IF(C1478="","",IFERROR(INDEX(STPP!$D$6:$D$4207,MATCH(C1478,STPP!$C$6:$C$4207,0)),"Not Found"))</f>
        <v/>
      </c>
      <c r="E1478" s="27" t="str" cm="1">
        <f t="array" ref="E1478">IF(C1478="","",IFERROR(INDEX(STPP!$E$6:$E$4207,MATCH(C1478,STPP!$C$6:$C$4207,0)),"Not Found"))</f>
        <v/>
      </c>
      <c r="F1478" s="27" t="str" cm="1">
        <f t="array" ref="F1478">IF(C1478="","",IFERROR(INDEX(STPP!$F$6:$F$4207,MATCH(C1478,STPP!$C$6:$C$4207,0)),"Not Found"))</f>
        <v/>
      </c>
      <c r="G1478" s="25" t="str">
        <f>IF(表1[[#This Row],[No Seri]]="","",表1[[#This Row],[Deskripsi Barang]]+表1[[#This Row],[Kuantitas]]-表1[[#This Row],[Satuan]])</f>
        <v/>
      </c>
      <c r="H1478" s="28"/>
      <c r="I1478" s="25" t="str">
        <f>IF(表1[[#This Row],[Tgl NPBG]]&gt;表1[[#This Row],[Peminta]],表1[[#This Row],[Tgl NPBG]]-表1[[#This Row],[Peminta]],"")</f>
        <v/>
      </c>
      <c r="J1478" s="31"/>
    </row>
    <row r="1479" s="12" customFormat="1" customHeight="1" spans="2:10">
      <c r="B1479" s="25"/>
      <c r="C1479" s="25"/>
      <c r="D1479" s="26" t="str" cm="1">
        <f t="array" ref="D1479">IF(C1479="","",IFERROR(INDEX(STPP!$D$6:$D$4207,MATCH(C1479,STPP!$C$6:$C$4207,0)),"Not Found"))</f>
        <v/>
      </c>
      <c r="E1479" s="27" t="str" cm="1">
        <f t="array" ref="E1479">IF(C1479="","",IFERROR(INDEX(STPP!$E$6:$E$4207,MATCH(C1479,STPP!$C$6:$C$4207,0)),"Not Found"))</f>
        <v/>
      </c>
      <c r="F1479" s="27" t="str" cm="1">
        <f t="array" ref="F1479">IF(C1479="","",IFERROR(INDEX(STPP!$F$6:$F$4207,MATCH(C1479,STPP!$C$6:$C$4207,0)),"Not Found"))</f>
        <v/>
      </c>
      <c r="G1479" s="25" t="str">
        <f>IF(表1[[#This Row],[No Seri]]="","",表1[[#This Row],[Deskripsi Barang]]+表1[[#This Row],[Kuantitas]]-表1[[#This Row],[Satuan]])</f>
        <v/>
      </c>
      <c r="H1479" s="28"/>
      <c r="I1479" s="25" t="str">
        <f>IF(表1[[#This Row],[Tgl NPBG]]&gt;表1[[#This Row],[Peminta]],表1[[#This Row],[Tgl NPBG]]-表1[[#This Row],[Peminta]],"")</f>
        <v/>
      </c>
      <c r="J1479" s="31"/>
    </row>
    <row r="1480" s="12" customFormat="1" customHeight="1" spans="2:10">
      <c r="B1480" s="25"/>
      <c r="C1480" s="25"/>
      <c r="D1480" s="26" t="str" cm="1">
        <f t="array" ref="D1480">IF(C1480="","",IFERROR(INDEX(STPP!$D$6:$D$4207,MATCH(C1480,STPP!$C$6:$C$4207,0)),"Not Found"))</f>
        <v/>
      </c>
      <c r="E1480" s="27" t="str" cm="1">
        <f t="array" ref="E1480">IF(C1480="","",IFERROR(INDEX(STPP!$E$6:$E$4207,MATCH(C1480,STPP!$C$6:$C$4207,0)),"Not Found"))</f>
        <v/>
      </c>
      <c r="F1480" s="27" t="str" cm="1">
        <f t="array" ref="F1480">IF(C1480="","",IFERROR(INDEX(STPP!$F$6:$F$4207,MATCH(C1480,STPP!$C$6:$C$4207,0)),"Not Found"))</f>
        <v/>
      </c>
      <c r="G1480" s="25" t="str">
        <f>IF(表1[[#This Row],[No Seri]]="","",表1[[#This Row],[Deskripsi Barang]]+表1[[#This Row],[Kuantitas]]-表1[[#This Row],[Satuan]])</f>
        <v/>
      </c>
      <c r="H1480" s="28"/>
      <c r="I1480" s="25" t="str">
        <f>IF(表1[[#This Row],[Tgl NPBG]]&gt;表1[[#This Row],[Peminta]],表1[[#This Row],[Tgl NPBG]]-表1[[#This Row],[Peminta]],"")</f>
        <v/>
      </c>
      <c r="J1480" s="31"/>
    </row>
    <row r="1481" s="12" customFormat="1" customHeight="1" spans="2:10">
      <c r="B1481" s="25"/>
      <c r="C1481" s="25"/>
      <c r="D1481" s="26" t="str" cm="1">
        <f t="array" ref="D1481">IF(C1481="","",IFERROR(INDEX(STPP!$D$6:$D$4207,MATCH(C1481,STPP!$C$6:$C$4207,0)),"Not Found"))</f>
        <v/>
      </c>
      <c r="E1481" s="27" t="str" cm="1">
        <f t="array" ref="E1481">IF(C1481="","",IFERROR(INDEX(STPP!$E$6:$E$4207,MATCH(C1481,STPP!$C$6:$C$4207,0)),"Not Found"))</f>
        <v/>
      </c>
      <c r="F1481" s="27" t="str" cm="1">
        <f t="array" ref="F1481">IF(C1481="","",IFERROR(INDEX(STPP!$F$6:$F$4207,MATCH(C1481,STPP!$C$6:$C$4207,0)),"Not Found"))</f>
        <v/>
      </c>
      <c r="G1481" s="25" t="str">
        <f>IF(表1[[#This Row],[No Seri]]="","",表1[[#This Row],[Deskripsi Barang]]+表1[[#This Row],[Kuantitas]]-表1[[#This Row],[Satuan]])</f>
        <v/>
      </c>
      <c r="H1481" s="28"/>
      <c r="I1481" s="25" t="str">
        <f>IF(表1[[#This Row],[Tgl NPBG]]&gt;表1[[#This Row],[Peminta]],表1[[#This Row],[Tgl NPBG]]-表1[[#This Row],[Peminta]],"")</f>
        <v/>
      </c>
      <c r="J1481" s="31"/>
    </row>
    <row r="1482" s="12" customFormat="1" customHeight="1" spans="2:10">
      <c r="B1482" s="25"/>
      <c r="C1482" s="25"/>
      <c r="D1482" s="26" t="str" cm="1">
        <f t="array" ref="D1482">IF(C1482="","",IFERROR(INDEX(STPP!$D$6:$D$4207,MATCH(C1482,STPP!$C$6:$C$4207,0)),"Not Found"))</f>
        <v/>
      </c>
      <c r="E1482" s="27" t="str" cm="1">
        <f t="array" ref="E1482">IF(C1482="","",IFERROR(INDEX(STPP!$E$6:$E$4207,MATCH(C1482,STPP!$C$6:$C$4207,0)),"Not Found"))</f>
        <v/>
      </c>
      <c r="F1482" s="27" t="str" cm="1">
        <f t="array" ref="F1482">IF(C1482="","",IFERROR(INDEX(STPP!$F$6:$F$4207,MATCH(C1482,STPP!$C$6:$C$4207,0)),"Not Found"))</f>
        <v/>
      </c>
      <c r="G1482" s="25" t="str">
        <f>IF(表1[[#This Row],[No Seri]]="","",表1[[#This Row],[Deskripsi Barang]]+表1[[#This Row],[Kuantitas]]-表1[[#This Row],[Satuan]])</f>
        <v/>
      </c>
      <c r="H1482" s="28"/>
      <c r="I1482" s="25" t="str">
        <f>IF(表1[[#This Row],[Tgl NPBG]]&gt;表1[[#This Row],[Peminta]],表1[[#This Row],[Tgl NPBG]]-表1[[#This Row],[Peminta]],"")</f>
        <v/>
      </c>
      <c r="J1482" s="31"/>
    </row>
    <row r="1483" s="12" customFormat="1" customHeight="1" spans="2:10">
      <c r="B1483" s="25"/>
      <c r="C1483" s="25"/>
      <c r="D1483" s="26" t="str" cm="1">
        <f t="array" ref="D1483">IF(C1483="","",IFERROR(INDEX(STPP!$D$6:$D$4207,MATCH(C1483,STPP!$C$6:$C$4207,0)),"Not Found"))</f>
        <v/>
      </c>
      <c r="E1483" s="27" t="str" cm="1">
        <f t="array" ref="E1483">IF(C1483="","",IFERROR(INDEX(STPP!$E$6:$E$4207,MATCH(C1483,STPP!$C$6:$C$4207,0)),"Not Found"))</f>
        <v/>
      </c>
      <c r="F1483" s="27" t="str" cm="1">
        <f t="array" ref="F1483">IF(C1483="","",IFERROR(INDEX(STPP!$F$6:$F$4207,MATCH(C1483,STPP!$C$6:$C$4207,0)),"Not Found"))</f>
        <v/>
      </c>
      <c r="G1483" s="25" t="str">
        <f>IF(表1[[#This Row],[No Seri]]="","",表1[[#This Row],[Deskripsi Barang]]+表1[[#This Row],[Kuantitas]]-表1[[#This Row],[Satuan]])</f>
        <v/>
      </c>
      <c r="H1483" s="28"/>
      <c r="I1483" s="25" t="str">
        <f>IF(表1[[#This Row],[Tgl NPBG]]&gt;表1[[#This Row],[Peminta]],表1[[#This Row],[Tgl NPBG]]-表1[[#This Row],[Peminta]],"")</f>
        <v/>
      </c>
      <c r="J1483" s="31"/>
    </row>
    <row r="1484" s="12" customFormat="1" customHeight="1" spans="2:10">
      <c r="B1484" s="25"/>
      <c r="C1484" s="25"/>
      <c r="D1484" s="26" t="str" cm="1">
        <f t="array" ref="D1484">IF(C1484="","",IFERROR(INDEX(STPP!$D$6:$D$4207,MATCH(C1484,STPP!$C$6:$C$4207,0)),"Not Found"))</f>
        <v/>
      </c>
      <c r="E1484" s="27" t="str" cm="1">
        <f t="array" ref="E1484">IF(C1484="","",IFERROR(INDEX(STPP!$E$6:$E$4207,MATCH(C1484,STPP!$C$6:$C$4207,0)),"Not Found"))</f>
        <v/>
      </c>
      <c r="F1484" s="27" t="str" cm="1">
        <f t="array" ref="F1484">IF(C1484="","",IFERROR(INDEX(STPP!$F$6:$F$4207,MATCH(C1484,STPP!$C$6:$C$4207,0)),"Not Found"))</f>
        <v/>
      </c>
      <c r="G1484" s="25" t="str">
        <f>IF(表1[[#This Row],[No Seri]]="","",表1[[#This Row],[Deskripsi Barang]]+表1[[#This Row],[Kuantitas]]-表1[[#This Row],[Satuan]])</f>
        <v/>
      </c>
      <c r="H1484" s="28"/>
      <c r="I1484" s="25" t="str">
        <f>IF(表1[[#This Row],[Tgl NPBG]]&gt;表1[[#This Row],[Peminta]],表1[[#This Row],[Tgl NPBG]]-表1[[#This Row],[Peminta]],"")</f>
        <v/>
      </c>
      <c r="J1484" s="31"/>
    </row>
    <row r="1485" s="12" customFormat="1" customHeight="1" spans="2:10">
      <c r="B1485" s="25"/>
      <c r="C1485" s="25"/>
      <c r="D1485" s="26" t="str" cm="1">
        <f t="array" ref="D1485">IF(C1485="","",IFERROR(INDEX(STPP!$D$6:$D$4207,MATCH(C1485,STPP!$C$6:$C$4207,0)),"Not Found"))</f>
        <v/>
      </c>
      <c r="E1485" s="27" t="str" cm="1">
        <f t="array" ref="E1485">IF(C1485="","",IFERROR(INDEX(STPP!$E$6:$E$4207,MATCH(C1485,STPP!$C$6:$C$4207,0)),"Not Found"))</f>
        <v/>
      </c>
      <c r="F1485" s="27" t="str" cm="1">
        <f t="array" ref="F1485">IF(C1485="","",IFERROR(INDEX(STPP!$F$6:$F$4207,MATCH(C1485,STPP!$C$6:$C$4207,0)),"Not Found"))</f>
        <v/>
      </c>
      <c r="G1485" s="25" t="str">
        <f>IF(表1[[#This Row],[No Seri]]="","",表1[[#This Row],[Deskripsi Barang]]+表1[[#This Row],[Kuantitas]]-表1[[#This Row],[Satuan]])</f>
        <v/>
      </c>
      <c r="H1485" s="28"/>
      <c r="I1485" s="25" t="str">
        <f>IF(表1[[#This Row],[Tgl NPBG]]&gt;表1[[#This Row],[Peminta]],表1[[#This Row],[Tgl NPBG]]-表1[[#This Row],[Peminta]],"")</f>
        <v/>
      </c>
      <c r="J1485" s="31"/>
    </row>
    <row r="1486" s="12" customFormat="1" customHeight="1" spans="2:10">
      <c r="B1486" s="25"/>
      <c r="C1486" s="25"/>
      <c r="D1486" s="26" t="str" cm="1">
        <f t="array" ref="D1486">IF(C1486="","",IFERROR(INDEX(STPP!$D$6:$D$4207,MATCH(C1486,STPP!$C$6:$C$4207,0)),"Not Found"))</f>
        <v/>
      </c>
      <c r="E1486" s="27" t="str" cm="1">
        <f t="array" ref="E1486">IF(C1486="","",IFERROR(INDEX(STPP!$E$6:$E$4207,MATCH(C1486,STPP!$C$6:$C$4207,0)),"Not Found"))</f>
        <v/>
      </c>
      <c r="F1486" s="27" t="str" cm="1">
        <f t="array" ref="F1486">IF(C1486="","",IFERROR(INDEX(STPP!$F$6:$F$4207,MATCH(C1486,STPP!$C$6:$C$4207,0)),"Not Found"))</f>
        <v/>
      </c>
      <c r="G1486" s="25" t="str">
        <f>IF(表1[[#This Row],[No Seri]]="","",表1[[#This Row],[Deskripsi Barang]]+表1[[#This Row],[Kuantitas]]-表1[[#This Row],[Satuan]])</f>
        <v/>
      </c>
      <c r="H1486" s="28"/>
      <c r="I1486" s="25" t="str">
        <f>IF(表1[[#This Row],[Tgl NPBG]]&gt;表1[[#This Row],[Peminta]],表1[[#This Row],[Tgl NPBG]]-表1[[#This Row],[Peminta]],"")</f>
        <v/>
      </c>
      <c r="J1486" s="31"/>
    </row>
    <row r="1487" s="12" customFormat="1" customHeight="1" spans="2:10">
      <c r="B1487" s="25"/>
      <c r="C1487" s="25"/>
      <c r="D1487" s="26" t="str" cm="1">
        <f t="array" ref="D1487">IF(C1487="","",IFERROR(INDEX(STPP!$D$6:$D$4207,MATCH(C1487,STPP!$C$6:$C$4207,0)),"Not Found"))</f>
        <v/>
      </c>
      <c r="E1487" s="27" t="str" cm="1">
        <f t="array" ref="E1487">IF(C1487="","",IFERROR(INDEX(STPP!$E$6:$E$4207,MATCH(C1487,STPP!$C$6:$C$4207,0)),"Not Found"))</f>
        <v/>
      </c>
      <c r="F1487" s="27" t="str" cm="1">
        <f t="array" ref="F1487">IF(C1487="","",IFERROR(INDEX(STPP!$F$6:$F$4207,MATCH(C1487,STPP!$C$6:$C$4207,0)),"Not Found"))</f>
        <v/>
      </c>
      <c r="G1487" s="25" t="str">
        <f>IF(表1[[#This Row],[No Seri]]="","",表1[[#This Row],[Deskripsi Barang]]+表1[[#This Row],[Kuantitas]]-表1[[#This Row],[Satuan]])</f>
        <v/>
      </c>
      <c r="H1487" s="28"/>
      <c r="I1487" s="25" t="str">
        <f>IF(表1[[#This Row],[Tgl NPBG]]&gt;表1[[#This Row],[Peminta]],表1[[#This Row],[Tgl NPBG]]-表1[[#This Row],[Peminta]],"")</f>
        <v/>
      </c>
      <c r="J1487" s="31"/>
    </row>
    <row r="1488" s="12" customFormat="1" customHeight="1" spans="2:10">
      <c r="B1488" s="25"/>
      <c r="C1488" s="25"/>
      <c r="D1488" s="26" t="str" cm="1">
        <f t="array" ref="D1488">IF(C1488="","",IFERROR(INDEX(STPP!$D$6:$D$4207,MATCH(C1488,STPP!$C$6:$C$4207,0)),"Not Found"))</f>
        <v/>
      </c>
      <c r="E1488" s="27" t="str" cm="1">
        <f t="array" ref="E1488">IF(C1488="","",IFERROR(INDEX(STPP!$E$6:$E$4207,MATCH(C1488,STPP!$C$6:$C$4207,0)),"Not Found"))</f>
        <v/>
      </c>
      <c r="F1488" s="27" t="str" cm="1">
        <f t="array" ref="F1488">IF(C1488="","",IFERROR(INDEX(STPP!$F$6:$F$4207,MATCH(C1488,STPP!$C$6:$C$4207,0)),"Not Found"))</f>
        <v/>
      </c>
      <c r="G1488" s="25" t="str">
        <f>IF(表1[[#This Row],[No Seri]]="","",表1[[#This Row],[Deskripsi Barang]]+表1[[#This Row],[Kuantitas]]-表1[[#This Row],[Satuan]])</f>
        <v/>
      </c>
      <c r="H1488" s="28"/>
      <c r="I1488" s="25" t="str">
        <f>IF(表1[[#This Row],[Tgl NPBG]]&gt;表1[[#This Row],[Peminta]],表1[[#This Row],[Tgl NPBG]]-表1[[#This Row],[Peminta]],"")</f>
        <v/>
      </c>
      <c r="J1488" s="31"/>
    </row>
    <row r="1489" s="12" customFormat="1" customHeight="1" spans="2:10">
      <c r="B1489" s="25"/>
      <c r="C1489" s="25"/>
      <c r="D1489" s="26" t="str" cm="1">
        <f t="array" ref="D1489">IF(C1489="","",IFERROR(INDEX(STPP!$D$6:$D$4207,MATCH(C1489,STPP!$C$6:$C$4207,0)),"Not Found"))</f>
        <v/>
      </c>
      <c r="E1489" s="27" t="str" cm="1">
        <f t="array" ref="E1489">IF(C1489="","",IFERROR(INDEX(STPP!$E$6:$E$4207,MATCH(C1489,STPP!$C$6:$C$4207,0)),"Not Found"))</f>
        <v/>
      </c>
      <c r="F1489" s="27" t="str" cm="1">
        <f t="array" ref="F1489">IF(C1489="","",IFERROR(INDEX(STPP!$F$6:$F$4207,MATCH(C1489,STPP!$C$6:$C$4207,0)),"Not Found"))</f>
        <v/>
      </c>
      <c r="G1489" s="25" t="str">
        <f>IF(表1[[#This Row],[No Seri]]="","",表1[[#This Row],[Deskripsi Barang]]+表1[[#This Row],[Kuantitas]]-表1[[#This Row],[Satuan]])</f>
        <v/>
      </c>
      <c r="H1489" s="28"/>
      <c r="I1489" s="25" t="str">
        <f>IF(表1[[#This Row],[Tgl NPBG]]&gt;表1[[#This Row],[Peminta]],表1[[#This Row],[Tgl NPBG]]-表1[[#This Row],[Peminta]],"")</f>
        <v/>
      </c>
      <c r="J1489" s="31"/>
    </row>
    <row r="1490" s="12" customFormat="1" customHeight="1" spans="2:10">
      <c r="B1490" s="25"/>
      <c r="C1490" s="25"/>
      <c r="D1490" s="26" t="str" cm="1">
        <f t="array" ref="D1490">IF(C1490="","",IFERROR(INDEX(STPP!$D$6:$D$4207,MATCH(C1490,STPP!$C$6:$C$4207,0)),"Not Found"))</f>
        <v/>
      </c>
      <c r="E1490" s="27" t="str" cm="1">
        <f t="array" ref="E1490">IF(C1490="","",IFERROR(INDEX(STPP!$E$6:$E$4207,MATCH(C1490,STPP!$C$6:$C$4207,0)),"Not Found"))</f>
        <v/>
      </c>
      <c r="F1490" s="27" t="str" cm="1">
        <f t="array" ref="F1490">IF(C1490="","",IFERROR(INDEX(STPP!$F$6:$F$4207,MATCH(C1490,STPP!$C$6:$C$4207,0)),"Not Found"))</f>
        <v/>
      </c>
      <c r="G1490" s="25" t="str">
        <f>IF(表1[[#This Row],[No Seri]]="","",表1[[#This Row],[Deskripsi Barang]]+表1[[#This Row],[Kuantitas]]-表1[[#This Row],[Satuan]])</f>
        <v/>
      </c>
      <c r="H1490" s="28"/>
      <c r="I1490" s="25" t="str">
        <f>IF(表1[[#This Row],[Tgl NPBG]]&gt;表1[[#This Row],[Peminta]],表1[[#This Row],[Tgl NPBG]]-表1[[#This Row],[Peminta]],"")</f>
        <v/>
      </c>
      <c r="J1490" s="31"/>
    </row>
    <row r="1491" s="12" customFormat="1" customHeight="1" spans="2:10">
      <c r="B1491" s="25"/>
      <c r="C1491" s="25"/>
      <c r="D1491" s="26" t="str" cm="1">
        <f t="array" ref="D1491">IF(C1491="","",IFERROR(INDEX(STPP!$D$6:$D$4207,MATCH(C1491,STPP!$C$6:$C$4207,0)),"Not Found"))</f>
        <v/>
      </c>
      <c r="E1491" s="27" t="str" cm="1">
        <f t="array" ref="E1491">IF(C1491="","",IFERROR(INDEX(STPP!$E$6:$E$4207,MATCH(C1491,STPP!$C$6:$C$4207,0)),"Not Found"))</f>
        <v/>
      </c>
      <c r="F1491" s="27" t="str" cm="1">
        <f t="array" ref="F1491">IF(C1491="","",IFERROR(INDEX(STPP!$F$6:$F$4207,MATCH(C1491,STPP!$C$6:$C$4207,0)),"Not Found"))</f>
        <v/>
      </c>
      <c r="G1491" s="25" t="str">
        <f>IF(表1[[#This Row],[No Seri]]="","",表1[[#This Row],[Deskripsi Barang]]+表1[[#This Row],[Kuantitas]]-表1[[#This Row],[Satuan]])</f>
        <v/>
      </c>
      <c r="H1491" s="28"/>
      <c r="I1491" s="25" t="str">
        <f>IF(表1[[#This Row],[Tgl NPBG]]&gt;表1[[#This Row],[Peminta]],表1[[#This Row],[Tgl NPBG]]-表1[[#This Row],[Peminta]],"")</f>
        <v/>
      </c>
      <c r="J1491" s="31"/>
    </row>
    <row r="1492" s="12" customFormat="1" customHeight="1" spans="2:10">
      <c r="B1492" s="25"/>
      <c r="C1492" s="25"/>
      <c r="D1492" s="26" t="str" cm="1">
        <f t="array" ref="D1492">IF(C1492="","",IFERROR(INDEX(STPP!$D$6:$D$4207,MATCH(C1492,STPP!$C$6:$C$4207,0)),"Not Found"))</f>
        <v/>
      </c>
      <c r="E1492" s="27" t="str" cm="1">
        <f t="array" ref="E1492">IF(C1492="","",IFERROR(INDEX(STPP!$E$6:$E$4207,MATCH(C1492,STPP!$C$6:$C$4207,0)),"Not Found"))</f>
        <v/>
      </c>
      <c r="F1492" s="27" t="str" cm="1">
        <f t="array" ref="F1492">IF(C1492="","",IFERROR(INDEX(STPP!$F$6:$F$4207,MATCH(C1492,STPP!$C$6:$C$4207,0)),"Not Found"))</f>
        <v/>
      </c>
      <c r="G1492" s="25" t="str">
        <f>IF(表1[[#This Row],[No Seri]]="","",表1[[#This Row],[Deskripsi Barang]]+表1[[#This Row],[Kuantitas]]-表1[[#This Row],[Satuan]])</f>
        <v/>
      </c>
      <c r="H1492" s="28"/>
      <c r="I1492" s="25" t="str">
        <f>IF(表1[[#This Row],[Tgl NPBG]]&gt;表1[[#This Row],[Peminta]],表1[[#This Row],[Tgl NPBG]]-表1[[#This Row],[Peminta]],"")</f>
        <v/>
      </c>
      <c r="J1492" s="31"/>
    </row>
    <row r="1493" s="12" customFormat="1" customHeight="1" spans="2:10">
      <c r="B1493" s="25"/>
      <c r="C1493" s="25"/>
      <c r="D1493" s="26" t="str" cm="1">
        <f t="array" ref="D1493">IF(C1493="","",IFERROR(INDEX(STPP!$D$6:$D$4207,MATCH(C1493,STPP!$C$6:$C$4207,0)),"Not Found"))</f>
        <v/>
      </c>
      <c r="E1493" s="27" t="str" cm="1">
        <f t="array" ref="E1493">IF(C1493="","",IFERROR(INDEX(STPP!$E$6:$E$4207,MATCH(C1493,STPP!$C$6:$C$4207,0)),"Not Found"))</f>
        <v/>
      </c>
      <c r="F1493" s="27" t="str" cm="1">
        <f t="array" ref="F1493">IF(C1493="","",IFERROR(INDEX(STPP!$F$6:$F$4207,MATCH(C1493,STPP!$C$6:$C$4207,0)),"Not Found"))</f>
        <v/>
      </c>
      <c r="G1493" s="25" t="str">
        <f>IF(表1[[#This Row],[No Seri]]="","",表1[[#This Row],[Deskripsi Barang]]+表1[[#This Row],[Kuantitas]]-表1[[#This Row],[Satuan]])</f>
        <v/>
      </c>
      <c r="H1493" s="28"/>
      <c r="I1493" s="25" t="str">
        <f>IF(表1[[#This Row],[Tgl NPBG]]&gt;表1[[#This Row],[Peminta]],表1[[#This Row],[Tgl NPBG]]-表1[[#This Row],[Peminta]],"")</f>
        <v/>
      </c>
      <c r="J1493" s="31"/>
    </row>
    <row r="1494" s="12" customFormat="1" customHeight="1" spans="2:10">
      <c r="B1494" s="25"/>
      <c r="C1494" s="25"/>
      <c r="D1494" s="26" t="str" cm="1">
        <f t="array" ref="D1494">IF(C1494="","",IFERROR(INDEX(STPP!$D$6:$D$4207,MATCH(C1494,STPP!$C$6:$C$4207,0)),"Not Found"))</f>
        <v/>
      </c>
      <c r="E1494" s="27" t="str" cm="1">
        <f t="array" ref="E1494">IF(C1494="","",IFERROR(INDEX(STPP!$E$6:$E$4207,MATCH(C1494,STPP!$C$6:$C$4207,0)),"Not Found"))</f>
        <v/>
      </c>
      <c r="F1494" s="27" t="str" cm="1">
        <f t="array" ref="F1494">IF(C1494="","",IFERROR(INDEX(STPP!$F$6:$F$4207,MATCH(C1494,STPP!$C$6:$C$4207,0)),"Not Found"))</f>
        <v/>
      </c>
      <c r="G1494" s="25" t="str">
        <f>IF(表1[[#This Row],[No Seri]]="","",表1[[#This Row],[Deskripsi Barang]]+表1[[#This Row],[Kuantitas]]-表1[[#This Row],[Satuan]])</f>
        <v/>
      </c>
      <c r="H1494" s="28"/>
      <c r="I1494" s="25" t="str">
        <f>IF(表1[[#This Row],[Tgl NPBG]]&gt;表1[[#This Row],[Peminta]],表1[[#This Row],[Tgl NPBG]]-表1[[#This Row],[Peminta]],"")</f>
        <v/>
      </c>
      <c r="J1494" s="31"/>
    </row>
    <row r="1495" s="12" customFormat="1" customHeight="1" spans="2:10">
      <c r="B1495" s="25"/>
      <c r="C1495" s="25"/>
      <c r="D1495" s="26" t="str" cm="1">
        <f t="array" ref="D1495">IF(C1495="","",IFERROR(INDEX(STPP!$D$6:$D$4207,MATCH(C1495,STPP!$C$6:$C$4207,0)),"Not Found"))</f>
        <v/>
      </c>
      <c r="E1495" s="27" t="str" cm="1">
        <f t="array" ref="E1495">IF(C1495="","",IFERROR(INDEX(STPP!$E$6:$E$4207,MATCH(C1495,STPP!$C$6:$C$4207,0)),"Not Found"))</f>
        <v/>
      </c>
      <c r="F1495" s="27" t="str" cm="1">
        <f t="array" ref="F1495">IF(C1495="","",IFERROR(INDEX(STPP!$F$6:$F$4207,MATCH(C1495,STPP!$C$6:$C$4207,0)),"Not Found"))</f>
        <v/>
      </c>
      <c r="G1495" s="25" t="str">
        <f>IF(表1[[#This Row],[No Seri]]="","",表1[[#This Row],[Deskripsi Barang]]+表1[[#This Row],[Kuantitas]]-表1[[#This Row],[Satuan]])</f>
        <v/>
      </c>
      <c r="H1495" s="28"/>
      <c r="I1495" s="25" t="str">
        <f>IF(表1[[#This Row],[Tgl NPBG]]&gt;表1[[#This Row],[Peminta]],表1[[#This Row],[Tgl NPBG]]-表1[[#This Row],[Peminta]],"")</f>
        <v/>
      </c>
      <c r="J1495" s="31"/>
    </row>
    <row r="1496" s="12" customFormat="1" customHeight="1" spans="2:10">
      <c r="B1496" s="25"/>
      <c r="C1496" s="25"/>
      <c r="D1496" s="26" t="str" cm="1">
        <f t="array" ref="D1496">IF(C1496="","",IFERROR(INDEX(STPP!$D$6:$D$4207,MATCH(C1496,STPP!$C$6:$C$4207,0)),"Not Found"))</f>
        <v/>
      </c>
      <c r="E1496" s="27" t="str" cm="1">
        <f t="array" ref="E1496">IF(C1496="","",IFERROR(INDEX(STPP!$E$6:$E$4207,MATCH(C1496,STPP!$C$6:$C$4207,0)),"Not Found"))</f>
        <v/>
      </c>
      <c r="F1496" s="27" t="str" cm="1">
        <f t="array" ref="F1496">IF(C1496="","",IFERROR(INDEX(STPP!$F$6:$F$4207,MATCH(C1496,STPP!$C$6:$C$4207,0)),"Not Found"))</f>
        <v/>
      </c>
      <c r="G1496" s="25" t="str">
        <f>IF(表1[[#This Row],[No Seri]]="","",表1[[#This Row],[Deskripsi Barang]]+表1[[#This Row],[Kuantitas]]-表1[[#This Row],[Satuan]])</f>
        <v/>
      </c>
      <c r="H1496" s="28"/>
      <c r="I1496" s="25" t="str">
        <f>IF(表1[[#This Row],[Tgl NPBG]]&gt;表1[[#This Row],[Peminta]],表1[[#This Row],[Tgl NPBG]]-表1[[#This Row],[Peminta]],"")</f>
        <v/>
      </c>
      <c r="J1496" s="31"/>
    </row>
    <row r="1497" s="12" customFormat="1" customHeight="1" spans="2:10">
      <c r="B1497" s="25"/>
      <c r="C1497" s="25"/>
      <c r="D1497" s="26" t="str" cm="1">
        <f t="array" ref="D1497">IF(C1497="","",IFERROR(INDEX(STPP!$D$6:$D$4207,MATCH(C1497,STPP!$C$6:$C$4207,0)),"Not Found"))</f>
        <v/>
      </c>
      <c r="E1497" s="27" t="str" cm="1">
        <f t="array" ref="E1497">IF(C1497="","",IFERROR(INDEX(STPP!$E$6:$E$4207,MATCH(C1497,STPP!$C$6:$C$4207,0)),"Not Found"))</f>
        <v/>
      </c>
      <c r="F1497" s="27" t="str" cm="1">
        <f t="array" ref="F1497">IF(C1497="","",IFERROR(INDEX(STPP!$F$6:$F$4207,MATCH(C1497,STPP!$C$6:$C$4207,0)),"Not Found"))</f>
        <v/>
      </c>
      <c r="G1497" s="25" t="str">
        <f>IF(表1[[#This Row],[No Seri]]="","",表1[[#This Row],[Deskripsi Barang]]+表1[[#This Row],[Kuantitas]]-表1[[#This Row],[Satuan]])</f>
        <v/>
      </c>
      <c r="H1497" s="28"/>
      <c r="I1497" s="25" t="str">
        <f>IF(表1[[#This Row],[Tgl NPBG]]&gt;表1[[#This Row],[Peminta]],表1[[#This Row],[Tgl NPBG]]-表1[[#This Row],[Peminta]],"")</f>
        <v/>
      </c>
      <c r="J1497" s="31"/>
    </row>
    <row r="1498" s="12" customFormat="1" customHeight="1" spans="2:10">
      <c r="B1498" s="25"/>
      <c r="C1498" s="25"/>
      <c r="D1498" s="26" t="str" cm="1">
        <f t="array" ref="D1498">IF(C1498="","",IFERROR(INDEX(STPP!$D$6:$D$4207,MATCH(C1498,STPP!$C$6:$C$4207,0)),"Not Found"))</f>
        <v/>
      </c>
      <c r="E1498" s="27" t="str" cm="1">
        <f t="array" ref="E1498">IF(C1498="","",IFERROR(INDEX(STPP!$E$6:$E$4207,MATCH(C1498,STPP!$C$6:$C$4207,0)),"Not Found"))</f>
        <v/>
      </c>
      <c r="F1498" s="27" t="str" cm="1">
        <f t="array" ref="F1498">IF(C1498="","",IFERROR(INDEX(STPP!$F$6:$F$4207,MATCH(C1498,STPP!$C$6:$C$4207,0)),"Not Found"))</f>
        <v/>
      </c>
      <c r="G1498" s="25" t="str">
        <f>IF(表1[[#This Row],[No Seri]]="","",表1[[#This Row],[Deskripsi Barang]]+表1[[#This Row],[Kuantitas]]-表1[[#This Row],[Satuan]])</f>
        <v/>
      </c>
      <c r="H1498" s="28"/>
      <c r="I1498" s="25" t="str">
        <f>IF(表1[[#This Row],[Tgl NPBG]]&gt;表1[[#This Row],[Peminta]],表1[[#This Row],[Tgl NPBG]]-表1[[#This Row],[Peminta]],"")</f>
        <v/>
      </c>
      <c r="J1498" s="31"/>
    </row>
    <row r="1499" s="12" customFormat="1" customHeight="1" spans="2:10">
      <c r="B1499" s="25"/>
      <c r="C1499" s="25"/>
      <c r="D1499" s="26" t="str" cm="1">
        <f t="array" ref="D1499">IF(C1499="","",IFERROR(INDEX(STPP!$D$6:$D$4207,MATCH(C1499,STPP!$C$6:$C$4207,0)),"Not Found"))</f>
        <v/>
      </c>
      <c r="E1499" s="27" t="str" cm="1">
        <f t="array" ref="E1499">IF(C1499="","",IFERROR(INDEX(STPP!$E$6:$E$4207,MATCH(C1499,STPP!$C$6:$C$4207,0)),"Not Found"))</f>
        <v/>
      </c>
      <c r="F1499" s="27" t="str" cm="1">
        <f t="array" ref="F1499">IF(C1499="","",IFERROR(INDEX(STPP!$F$6:$F$4207,MATCH(C1499,STPP!$C$6:$C$4207,0)),"Not Found"))</f>
        <v/>
      </c>
      <c r="G1499" s="25" t="str">
        <f>IF(表1[[#This Row],[No Seri]]="","",表1[[#This Row],[Deskripsi Barang]]+表1[[#This Row],[Kuantitas]]-表1[[#This Row],[Satuan]])</f>
        <v/>
      </c>
      <c r="H1499" s="28"/>
      <c r="I1499" s="25" t="str">
        <f>IF(表1[[#This Row],[Tgl NPBG]]&gt;表1[[#This Row],[Peminta]],表1[[#This Row],[Tgl NPBG]]-表1[[#This Row],[Peminta]],"")</f>
        <v/>
      </c>
      <c r="J1499" s="31"/>
    </row>
    <row r="1500" s="12" customFormat="1" customHeight="1" spans="2:10">
      <c r="B1500" s="25"/>
      <c r="C1500" s="25"/>
      <c r="D1500" s="26" t="str" cm="1">
        <f t="array" ref="D1500">IF(C1500="","",IFERROR(INDEX(STPP!$D$6:$D$4207,MATCH(C1500,STPP!$C$6:$C$4207,0)),"Not Found"))</f>
        <v/>
      </c>
      <c r="E1500" s="27" t="str" cm="1">
        <f t="array" ref="E1500">IF(C1500="","",IFERROR(INDEX(STPP!$E$6:$E$4207,MATCH(C1500,STPP!$C$6:$C$4207,0)),"Not Found"))</f>
        <v/>
      </c>
      <c r="F1500" s="27" t="str" cm="1">
        <f t="array" ref="F1500">IF(C1500="","",IFERROR(INDEX(STPP!$F$6:$F$4207,MATCH(C1500,STPP!$C$6:$C$4207,0)),"Not Found"))</f>
        <v/>
      </c>
      <c r="G1500" s="25" t="str">
        <f>IF(表1[[#This Row],[No Seri]]="","",表1[[#This Row],[Deskripsi Barang]]+表1[[#This Row],[Kuantitas]]-表1[[#This Row],[Satuan]])</f>
        <v/>
      </c>
      <c r="H1500" s="28"/>
      <c r="I1500" s="25" t="str">
        <f>IF(表1[[#This Row],[Tgl NPBG]]&gt;表1[[#This Row],[Peminta]],表1[[#This Row],[Tgl NPBG]]-表1[[#This Row],[Peminta]],"")</f>
        <v/>
      </c>
      <c r="J1500" s="31"/>
    </row>
    <row r="1501" s="12" customFormat="1" customHeight="1" spans="2:10">
      <c r="B1501" s="25"/>
      <c r="C1501" s="25"/>
      <c r="D1501" s="26" t="str" cm="1">
        <f t="array" ref="D1501">IF(C1501="","",IFERROR(INDEX(STPP!$D$6:$D$4207,MATCH(C1501,STPP!$C$6:$C$4207,0)),"Not Found"))</f>
        <v/>
      </c>
      <c r="E1501" s="27" t="str" cm="1">
        <f t="array" ref="E1501">IF(C1501="","",IFERROR(INDEX(STPP!$E$6:$E$4207,MATCH(C1501,STPP!$C$6:$C$4207,0)),"Not Found"))</f>
        <v/>
      </c>
      <c r="F1501" s="27" t="str" cm="1">
        <f t="array" ref="F1501">IF(C1501="","",IFERROR(INDEX(STPP!$F$6:$F$4207,MATCH(C1501,STPP!$C$6:$C$4207,0)),"Not Found"))</f>
        <v/>
      </c>
      <c r="G1501" s="25" t="str">
        <f>IF(表1[[#This Row],[No Seri]]="","",表1[[#This Row],[Deskripsi Barang]]+表1[[#This Row],[Kuantitas]]-表1[[#This Row],[Satuan]])</f>
        <v/>
      </c>
      <c r="H1501" s="28"/>
      <c r="I1501" s="25" t="str">
        <f>IF(表1[[#This Row],[Tgl NPBG]]&gt;表1[[#This Row],[Peminta]],表1[[#This Row],[Tgl NPBG]]-表1[[#This Row],[Peminta]],"")</f>
        <v/>
      </c>
      <c r="J1501" s="31"/>
    </row>
    <row r="1502" s="12" customFormat="1" customHeight="1" spans="2:10">
      <c r="B1502" s="25"/>
      <c r="C1502" s="25"/>
      <c r="D1502" s="26" t="str" cm="1">
        <f t="array" ref="D1502">IF(C1502="","",IFERROR(INDEX(STPP!$D$6:$D$4207,MATCH(C1502,STPP!$C$6:$C$4207,0)),"Not Found"))</f>
        <v/>
      </c>
      <c r="E1502" s="27" t="str" cm="1">
        <f t="array" ref="E1502">IF(C1502="","",IFERROR(INDEX(STPP!$E$6:$E$4207,MATCH(C1502,STPP!$C$6:$C$4207,0)),"Not Found"))</f>
        <v/>
      </c>
      <c r="F1502" s="27" t="str" cm="1">
        <f t="array" ref="F1502">IF(C1502="","",IFERROR(INDEX(STPP!$F$6:$F$4207,MATCH(C1502,STPP!$C$6:$C$4207,0)),"Not Found"))</f>
        <v/>
      </c>
      <c r="G1502" s="25" t="str">
        <f>IF(表1[[#This Row],[No Seri]]="","",表1[[#This Row],[Deskripsi Barang]]+表1[[#This Row],[Kuantitas]]-表1[[#This Row],[Satuan]])</f>
        <v/>
      </c>
      <c r="H1502" s="28"/>
      <c r="I1502" s="25" t="str">
        <f>IF(表1[[#This Row],[Tgl NPBG]]&gt;表1[[#This Row],[Peminta]],表1[[#This Row],[Tgl NPBG]]-表1[[#This Row],[Peminta]],"")</f>
        <v/>
      </c>
      <c r="J1502" s="31"/>
    </row>
    <row r="1503" s="12" customFormat="1" customHeight="1" spans="2:10">
      <c r="B1503" s="25"/>
      <c r="C1503" s="25"/>
      <c r="D1503" s="26" t="str" cm="1">
        <f t="array" ref="D1503">IF(C1503="","",IFERROR(INDEX(STPP!$D$6:$D$4207,MATCH(C1503,STPP!$C$6:$C$4207,0)),"Not Found"))</f>
        <v/>
      </c>
      <c r="E1503" s="27" t="str" cm="1">
        <f t="array" ref="E1503">IF(C1503="","",IFERROR(INDEX(STPP!$E$6:$E$4207,MATCH(C1503,STPP!$C$6:$C$4207,0)),"Not Found"))</f>
        <v/>
      </c>
      <c r="F1503" s="27" t="str" cm="1">
        <f t="array" ref="F1503">IF(C1503="","",IFERROR(INDEX(STPP!$F$6:$F$4207,MATCH(C1503,STPP!$C$6:$C$4207,0)),"Not Found"))</f>
        <v/>
      </c>
      <c r="G1503" s="25" t="str">
        <f>IF(表1[[#This Row],[No Seri]]="","",表1[[#This Row],[Deskripsi Barang]]+表1[[#This Row],[Kuantitas]]-表1[[#This Row],[Satuan]])</f>
        <v/>
      </c>
      <c r="H1503" s="28"/>
      <c r="I1503" s="25" t="str">
        <f>IF(表1[[#This Row],[Tgl NPBG]]&gt;表1[[#This Row],[Peminta]],表1[[#This Row],[Tgl NPBG]]-表1[[#This Row],[Peminta]],"")</f>
        <v/>
      </c>
      <c r="J1503" s="31"/>
    </row>
    <row r="1504" s="12" customFormat="1" customHeight="1" spans="2:10">
      <c r="B1504" s="25"/>
      <c r="C1504" s="25"/>
      <c r="D1504" s="26" t="str" cm="1">
        <f t="array" ref="D1504">IF(C1504="","",IFERROR(INDEX(STPP!$D$6:$D$4207,MATCH(C1504,STPP!$C$6:$C$4207,0)),"Not Found"))</f>
        <v/>
      </c>
      <c r="E1504" s="27" t="str" cm="1">
        <f t="array" ref="E1504">IF(C1504="","",IFERROR(INDEX(STPP!$E$6:$E$4207,MATCH(C1504,STPP!$C$6:$C$4207,0)),"Not Found"))</f>
        <v/>
      </c>
      <c r="F1504" s="27" t="str" cm="1">
        <f t="array" ref="F1504">IF(C1504="","",IFERROR(INDEX(STPP!$F$6:$F$4207,MATCH(C1504,STPP!$C$6:$C$4207,0)),"Not Found"))</f>
        <v/>
      </c>
      <c r="G1504" s="25" t="str">
        <f>IF(表1[[#This Row],[No Seri]]="","",表1[[#This Row],[Deskripsi Barang]]+表1[[#This Row],[Kuantitas]]-表1[[#This Row],[Satuan]])</f>
        <v/>
      </c>
      <c r="H1504" s="28"/>
      <c r="I1504" s="25" t="str">
        <f>IF(表1[[#This Row],[Tgl NPBG]]&gt;表1[[#This Row],[Peminta]],表1[[#This Row],[Tgl NPBG]]-表1[[#This Row],[Peminta]],"")</f>
        <v/>
      </c>
      <c r="J1504" s="31"/>
    </row>
    <row r="1505" s="12" customFormat="1" customHeight="1" spans="2:10">
      <c r="B1505" s="25"/>
      <c r="C1505" s="25"/>
      <c r="D1505" s="26" t="str" cm="1">
        <f t="array" ref="D1505">IF(C1505="","",IFERROR(INDEX(STPP!$D$6:$D$4207,MATCH(C1505,STPP!$C$6:$C$4207,0)),"Not Found"))</f>
        <v/>
      </c>
      <c r="E1505" s="27" t="str" cm="1">
        <f t="array" ref="E1505">IF(C1505="","",IFERROR(INDEX(STPP!$E$6:$E$4207,MATCH(C1505,STPP!$C$6:$C$4207,0)),"Not Found"))</f>
        <v/>
      </c>
      <c r="F1505" s="27" t="str" cm="1">
        <f t="array" ref="F1505">IF(C1505="","",IFERROR(INDEX(STPP!$F$6:$F$4207,MATCH(C1505,STPP!$C$6:$C$4207,0)),"Not Found"))</f>
        <v/>
      </c>
      <c r="G1505" s="25" t="str">
        <f>IF(表1[[#This Row],[No Seri]]="","",表1[[#This Row],[Deskripsi Barang]]+表1[[#This Row],[Kuantitas]]-表1[[#This Row],[Satuan]])</f>
        <v/>
      </c>
      <c r="H1505" s="28"/>
      <c r="I1505" s="25" t="str">
        <f>IF(表1[[#This Row],[Tgl NPBG]]&gt;表1[[#This Row],[Peminta]],表1[[#This Row],[Tgl NPBG]]-表1[[#This Row],[Peminta]],"")</f>
        <v/>
      </c>
      <c r="J1505" s="31"/>
    </row>
    <row r="1506" s="12" customFormat="1" customHeight="1" spans="2:10">
      <c r="B1506" s="25"/>
      <c r="C1506" s="25"/>
      <c r="D1506" s="26" t="str" cm="1">
        <f t="array" ref="D1506">IF(C1506="","",IFERROR(INDEX(STPP!$D$6:$D$4207,MATCH(C1506,STPP!$C$6:$C$4207,0)),"Not Found"))</f>
        <v/>
      </c>
      <c r="E1506" s="27" t="str" cm="1">
        <f t="array" ref="E1506">IF(C1506="","",IFERROR(INDEX(STPP!$E$6:$E$4207,MATCH(C1506,STPP!$C$6:$C$4207,0)),"Not Found"))</f>
        <v/>
      </c>
      <c r="F1506" s="27" t="str" cm="1">
        <f t="array" ref="F1506">IF(C1506="","",IFERROR(INDEX(STPP!$F$6:$F$4207,MATCH(C1506,STPP!$C$6:$C$4207,0)),"Not Found"))</f>
        <v/>
      </c>
      <c r="G1506" s="25" t="str">
        <f>IF(表1[[#This Row],[No Seri]]="","",表1[[#This Row],[Deskripsi Barang]]+表1[[#This Row],[Kuantitas]]-表1[[#This Row],[Satuan]])</f>
        <v/>
      </c>
      <c r="H1506" s="28"/>
      <c r="I1506" s="25" t="str">
        <f>IF(表1[[#This Row],[Tgl NPBG]]&gt;表1[[#This Row],[Peminta]],表1[[#This Row],[Tgl NPBG]]-表1[[#This Row],[Peminta]],"")</f>
        <v/>
      </c>
      <c r="J1506" s="31"/>
    </row>
    <row r="1507" s="12" customFormat="1" customHeight="1" spans="2:10">
      <c r="B1507" s="25"/>
      <c r="C1507" s="25"/>
      <c r="D1507" s="26" t="str" cm="1">
        <f t="array" ref="D1507">IF(C1507="","",IFERROR(INDEX(STPP!$D$6:$D$4207,MATCH(C1507,STPP!$C$6:$C$4207,0)),"Not Found"))</f>
        <v/>
      </c>
      <c r="E1507" s="27" t="str" cm="1">
        <f t="array" ref="E1507">IF(C1507="","",IFERROR(INDEX(STPP!$E$6:$E$4207,MATCH(C1507,STPP!$C$6:$C$4207,0)),"Not Found"))</f>
        <v/>
      </c>
      <c r="F1507" s="27" t="str" cm="1">
        <f t="array" ref="F1507">IF(C1507="","",IFERROR(INDEX(STPP!$F$6:$F$4207,MATCH(C1507,STPP!$C$6:$C$4207,0)),"Not Found"))</f>
        <v/>
      </c>
      <c r="G1507" s="25" t="str">
        <f>IF(表1[[#This Row],[No Seri]]="","",表1[[#This Row],[Deskripsi Barang]]+表1[[#This Row],[Kuantitas]]-表1[[#This Row],[Satuan]])</f>
        <v/>
      </c>
      <c r="H1507" s="28"/>
      <c r="I1507" s="25" t="str">
        <f>IF(表1[[#This Row],[Tgl NPBG]]&gt;表1[[#This Row],[Peminta]],表1[[#This Row],[Tgl NPBG]]-表1[[#This Row],[Peminta]],"")</f>
        <v/>
      </c>
      <c r="J1507" s="31"/>
    </row>
    <row r="1508" s="12" customFormat="1" customHeight="1" spans="2:10">
      <c r="B1508" s="25"/>
      <c r="C1508" s="25"/>
      <c r="D1508" s="26" t="str" cm="1">
        <f t="array" ref="D1508">IF(C1508="","",IFERROR(INDEX(STPP!$D$6:$D$4207,MATCH(C1508,STPP!$C$6:$C$4207,0)),"Not Found"))</f>
        <v/>
      </c>
      <c r="E1508" s="27" t="str" cm="1">
        <f t="array" ref="E1508">IF(C1508="","",IFERROR(INDEX(STPP!$E$6:$E$4207,MATCH(C1508,STPP!$C$6:$C$4207,0)),"Not Found"))</f>
        <v/>
      </c>
      <c r="F1508" s="27" t="str" cm="1">
        <f t="array" ref="F1508">IF(C1508="","",IFERROR(INDEX(STPP!$F$6:$F$4207,MATCH(C1508,STPP!$C$6:$C$4207,0)),"Not Found"))</f>
        <v/>
      </c>
      <c r="G1508" s="25" t="str">
        <f>IF(表1[[#This Row],[No Seri]]="","",表1[[#This Row],[Deskripsi Barang]]+表1[[#This Row],[Kuantitas]]-表1[[#This Row],[Satuan]])</f>
        <v/>
      </c>
      <c r="H1508" s="28"/>
      <c r="I1508" s="25" t="str">
        <f>IF(表1[[#This Row],[Tgl NPBG]]&gt;表1[[#This Row],[Peminta]],表1[[#This Row],[Tgl NPBG]]-表1[[#This Row],[Peminta]],"")</f>
        <v/>
      </c>
      <c r="J1508" s="31"/>
    </row>
    <row r="1509" s="12" customFormat="1" customHeight="1" spans="2:10">
      <c r="B1509" s="25"/>
      <c r="C1509" s="25"/>
      <c r="D1509" s="26" t="str" cm="1">
        <f t="array" ref="D1509">IF(C1509="","",IFERROR(INDEX(STPP!$D$6:$D$4207,MATCH(C1509,STPP!$C$6:$C$4207,0)),"Not Found"))</f>
        <v/>
      </c>
      <c r="E1509" s="27" t="str" cm="1">
        <f t="array" ref="E1509">IF(C1509="","",IFERROR(INDEX(STPP!$E$6:$E$4207,MATCH(C1509,STPP!$C$6:$C$4207,0)),"Not Found"))</f>
        <v/>
      </c>
      <c r="F1509" s="27" t="str" cm="1">
        <f t="array" ref="F1509">IF(C1509="","",IFERROR(INDEX(STPP!$F$6:$F$4207,MATCH(C1509,STPP!$C$6:$C$4207,0)),"Not Found"))</f>
        <v/>
      </c>
      <c r="G1509" s="25" t="str">
        <f>IF(表1[[#This Row],[No Seri]]="","",表1[[#This Row],[Deskripsi Barang]]+表1[[#This Row],[Kuantitas]]-表1[[#This Row],[Satuan]])</f>
        <v/>
      </c>
      <c r="H1509" s="28"/>
      <c r="I1509" s="25" t="str">
        <f>IF(表1[[#This Row],[Tgl NPBG]]&gt;表1[[#This Row],[Peminta]],表1[[#This Row],[Tgl NPBG]]-表1[[#This Row],[Peminta]],"")</f>
        <v/>
      </c>
      <c r="J1509" s="31"/>
    </row>
    <row r="1510" s="12" customFormat="1" customHeight="1" spans="2:10">
      <c r="B1510" s="25"/>
      <c r="C1510" s="25"/>
      <c r="D1510" s="26" t="str" cm="1">
        <f t="array" ref="D1510">IF(C1510="","",IFERROR(INDEX(STPP!$D$6:$D$4207,MATCH(C1510,STPP!$C$6:$C$4207,0)),"Not Found"))</f>
        <v/>
      </c>
      <c r="E1510" s="27" t="str" cm="1">
        <f t="array" ref="E1510">IF(C1510="","",IFERROR(INDEX(STPP!$E$6:$E$4207,MATCH(C1510,STPP!$C$6:$C$4207,0)),"Not Found"))</f>
        <v/>
      </c>
      <c r="F1510" s="27" t="str" cm="1">
        <f t="array" ref="F1510">IF(C1510="","",IFERROR(INDEX(STPP!$F$6:$F$4207,MATCH(C1510,STPP!$C$6:$C$4207,0)),"Not Found"))</f>
        <v/>
      </c>
      <c r="G1510" s="25" t="str">
        <f>IF(表1[[#This Row],[No Seri]]="","",表1[[#This Row],[Deskripsi Barang]]+表1[[#This Row],[Kuantitas]]-表1[[#This Row],[Satuan]])</f>
        <v/>
      </c>
      <c r="H1510" s="28"/>
      <c r="I1510" s="25" t="str">
        <f>IF(表1[[#This Row],[Tgl NPBG]]&gt;表1[[#This Row],[Peminta]],表1[[#This Row],[Tgl NPBG]]-表1[[#This Row],[Peminta]],"")</f>
        <v/>
      </c>
      <c r="J1510" s="31"/>
    </row>
    <row r="1511" s="12" customFormat="1" customHeight="1" spans="2:10">
      <c r="B1511" s="25"/>
      <c r="C1511" s="25"/>
      <c r="D1511" s="26" t="str" cm="1">
        <f t="array" ref="D1511">IF(C1511="","",IFERROR(INDEX(STPP!$D$6:$D$4207,MATCH(C1511,STPP!$C$6:$C$4207,0)),"Not Found"))</f>
        <v/>
      </c>
      <c r="E1511" s="27" t="str" cm="1">
        <f t="array" ref="E1511">IF(C1511="","",IFERROR(INDEX(STPP!$E$6:$E$4207,MATCH(C1511,STPP!$C$6:$C$4207,0)),"Not Found"))</f>
        <v/>
      </c>
      <c r="F1511" s="27" t="str" cm="1">
        <f t="array" ref="F1511">IF(C1511="","",IFERROR(INDEX(STPP!$F$6:$F$4207,MATCH(C1511,STPP!$C$6:$C$4207,0)),"Not Found"))</f>
        <v/>
      </c>
      <c r="G1511" s="25" t="str">
        <f>IF(表1[[#This Row],[No Seri]]="","",表1[[#This Row],[Deskripsi Barang]]+表1[[#This Row],[Kuantitas]]-表1[[#This Row],[Satuan]])</f>
        <v/>
      </c>
      <c r="H1511" s="28"/>
      <c r="I1511" s="25" t="str">
        <f>IF(表1[[#This Row],[Tgl NPBG]]&gt;表1[[#This Row],[Peminta]],表1[[#This Row],[Tgl NPBG]]-表1[[#This Row],[Peminta]],"")</f>
        <v/>
      </c>
      <c r="J1511" s="31"/>
    </row>
    <row r="1512" s="12" customFormat="1" customHeight="1" spans="2:10">
      <c r="B1512" s="25"/>
      <c r="C1512" s="25"/>
      <c r="D1512" s="26" t="str" cm="1">
        <f t="array" ref="D1512">IF(C1512="","",IFERROR(INDEX(STPP!$D$6:$D$4207,MATCH(C1512,STPP!$C$6:$C$4207,0)),"Not Found"))</f>
        <v/>
      </c>
      <c r="E1512" s="27" t="str" cm="1">
        <f t="array" ref="E1512">IF(C1512="","",IFERROR(INDEX(STPP!$E$6:$E$4207,MATCH(C1512,STPP!$C$6:$C$4207,0)),"Not Found"))</f>
        <v/>
      </c>
      <c r="F1512" s="27" t="str" cm="1">
        <f t="array" ref="F1512">IF(C1512="","",IFERROR(INDEX(STPP!$F$6:$F$4207,MATCH(C1512,STPP!$C$6:$C$4207,0)),"Not Found"))</f>
        <v/>
      </c>
      <c r="G1512" s="25" t="str">
        <f>IF(表1[[#This Row],[No Seri]]="","",表1[[#This Row],[Deskripsi Barang]]+表1[[#This Row],[Kuantitas]]-表1[[#This Row],[Satuan]])</f>
        <v/>
      </c>
      <c r="H1512" s="28"/>
      <c r="I1512" s="25" t="str">
        <f>IF(表1[[#This Row],[Tgl NPBG]]&gt;表1[[#This Row],[Peminta]],表1[[#This Row],[Tgl NPBG]]-表1[[#This Row],[Peminta]],"")</f>
        <v/>
      </c>
      <c r="J1512" s="31"/>
    </row>
    <row r="1513" s="12" customFormat="1" customHeight="1" spans="2:10">
      <c r="B1513" s="25"/>
      <c r="C1513" s="25"/>
      <c r="D1513" s="26" t="str" cm="1">
        <f t="array" ref="D1513">IF(C1513="","",IFERROR(INDEX(STPP!$D$6:$D$4207,MATCH(C1513,STPP!$C$6:$C$4207,0)),"Not Found"))</f>
        <v/>
      </c>
      <c r="E1513" s="27" t="str" cm="1">
        <f t="array" ref="E1513">IF(C1513="","",IFERROR(INDEX(STPP!$E$6:$E$4207,MATCH(C1513,STPP!$C$6:$C$4207,0)),"Not Found"))</f>
        <v/>
      </c>
      <c r="F1513" s="27" t="str" cm="1">
        <f t="array" ref="F1513">IF(C1513="","",IFERROR(INDEX(STPP!$F$6:$F$4207,MATCH(C1513,STPP!$C$6:$C$4207,0)),"Not Found"))</f>
        <v/>
      </c>
      <c r="G1513" s="25" t="str">
        <f>IF(表1[[#This Row],[No Seri]]="","",表1[[#This Row],[Deskripsi Barang]]+表1[[#This Row],[Kuantitas]]-表1[[#This Row],[Satuan]])</f>
        <v/>
      </c>
      <c r="H1513" s="28"/>
      <c r="I1513" s="25" t="str">
        <f>IF(表1[[#This Row],[Tgl NPBG]]&gt;表1[[#This Row],[Peminta]],表1[[#This Row],[Tgl NPBG]]-表1[[#This Row],[Peminta]],"")</f>
        <v/>
      </c>
      <c r="J1513" s="31"/>
    </row>
    <row r="1514" s="12" customFormat="1" customHeight="1" spans="2:10">
      <c r="B1514" s="25"/>
      <c r="C1514" s="25"/>
      <c r="D1514" s="26" t="str" cm="1">
        <f t="array" ref="D1514">IF(C1514="","",IFERROR(INDEX(STPP!$D$6:$D$4207,MATCH(C1514,STPP!$C$6:$C$4207,0)),"Not Found"))</f>
        <v/>
      </c>
      <c r="E1514" s="27" t="str" cm="1">
        <f t="array" ref="E1514">IF(C1514="","",IFERROR(INDEX(STPP!$E$6:$E$4207,MATCH(C1514,STPP!$C$6:$C$4207,0)),"Not Found"))</f>
        <v/>
      </c>
      <c r="F1514" s="27" t="str" cm="1">
        <f t="array" ref="F1514">IF(C1514="","",IFERROR(INDEX(STPP!$F$6:$F$4207,MATCH(C1514,STPP!$C$6:$C$4207,0)),"Not Found"))</f>
        <v/>
      </c>
      <c r="G1514" s="25" t="str">
        <f>IF(表1[[#This Row],[No Seri]]="","",表1[[#This Row],[Deskripsi Barang]]+表1[[#This Row],[Kuantitas]]-表1[[#This Row],[Satuan]])</f>
        <v/>
      </c>
      <c r="H1514" s="28"/>
      <c r="I1514" s="25" t="str">
        <f>IF(表1[[#This Row],[Tgl NPBG]]&gt;表1[[#This Row],[Peminta]],表1[[#This Row],[Tgl NPBG]]-表1[[#This Row],[Peminta]],"")</f>
        <v/>
      </c>
      <c r="J1514" s="31"/>
    </row>
    <row r="1515" s="12" customFormat="1" customHeight="1" spans="2:10">
      <c r="B1515" s="25"/>
      <c r="C1515" s="25"/>
      <c r="D1515" s="26" t="str" cm="1">
        <f t="array" ref="D1515">IF(C1515="","",IFERROR(INDEX(STPP!$D$6:$D$4207,MATCH(C1515,STPP!$C$6:$C$4207,0)),"Not Found"))</f>
        <v/>
      </c>
      <c r="E1515" s="27" t="str" cm="1">
        <f t="array" ref="E1515">IF(C1515="","",IFERROR(INDEX(STPP!$E$6:$E$4207,MATCH(C1515,STPP!$C$6:$C$4207,0)),"Not Found"))</f>
        <v/>
      </c>
      <c r="F1515" s="27" t="str" cm="1">
        <f t="array" ref="F1515">IF(C1515="","",IFERROR(INDEX(STPP!$F$6:$F$4207,MATCH(C1515,STPP!$C$6:$C$4207,0)),"Not Found"))</f>
        <v/>
      </c>
      <c r="G1515" s="25" t="str">
        <f>IF(表1[[#This Row],[No Seri]]="","",表1[[#This Row],[Deskripsi Barang]]+表1[[#This Row],[Kuantitas]]-表1[[#This Row],[Satuan]])</f>
        <v/>
      </c>
      <c r="H1515" s="28"/>
      <c r="I1515" s="25" t="str">
        <f>IF(表1[[#This Row],[Tgl NPBG]]&gt;表1[[#This Row],[Peminta]],表1[[#This Row],[Tgl NPBG]]-表1[[#This Row],[Peminta]],"")</f>
        <v/>
      </c>
      <c r="J1515" s="31"/>
    </row>
    <row r="1516" s="12" customFormat="1" customHeight="1" spans="2:10">
      <c r="B1516" s="25"/>
      <c r="C1516" s="25"/>
      <c r="D1516" s="26" t="str" cm="1">
        <f t="array" ref="D1516">IF(C1516="","",IFERROR(INDEX(STPP!$D$6:$D$4207,MATCH(C1516,STPP!$C$6:$C$4207,0)),"Not Found"))</f>
        <v/>
      </c>
      <c r="E1516" s="27" t="str" cm="1">
        <f t="array" ref="E1516">IF(C1516="","",IFERROR(INDEX(STPP!$E$6:$E$4207,MATCH(C1516,STPP!$C$6:$C$4207,0)),"Not Found"))</f>
        <v/>
      </c>
      <c r="F1516" s="27" t="str" cm="1">
        <f t="array" ref="F1516">IF(C1516="","",IFERROR(INDEX(STPP!$F$6:$F$4207,MATCH(C1516,STPP!$C$6:$C$4207,0)),"Not Found"))</f>
        <v/>
      </c>
      <c r="G1516" s="25" t="str">
        <f>IF(表1[[#This Row],[No Seri]]="","",表1[[#This Row],[Deskripsi Barang]]+表1[[#This Row],[Kuantitas]]-表1[[#This Row],[Satuan]])</f>
        <v/>
      </c>
      <c r="H1516" s="28"/>
      <c r="I1516" s="25" t="str">
        <f>IF(表1[[#This Row],[Tgl NPBG]]&gt;表1[[#This Row],[Peminta]],表1[[#This Row],[Tgl NPBG]]-表1[[#This Row],[Peminta]],"")</f>
        <v/>
      </c>
      <c r="J1516" s="31"/>
    </row>
    <row r="1517" s="12" customFormat="1" customHeight="1" spans="2:10">
      <c r="B1517" s="25"/>
      <c r="C1517" s="25"/>
      <c r="D1517" s="26" t="str" cm="1">
        <f t="array" ref="D1517">IF(C1517="","",IFERROR(INDEX(STPP!$D$6:$D$4207,MATCH(C1517,STPP!$C$6:$C$4207,0)),"Not Found"))</f>
        <v/>
      </c>
      <c r="E1517" s="27" t="str" cm="1">
        <f t="array" ref="E1517">IF(C1517="","",IFERROR(INDEX(STPP!$E$6:$E$4207,MATCH(C1517,STPP!$C$6:$C$4207,0)),"Not Found"))</f>
        <v/>
      </c>
      <c r="F1517" s="27" t="str" cm="1">
        <f t="array" ref="F1517">IF(C1517="","",IFERROR(INDEX(STPP!$F$6:$F$4207,MATCH(C1517,STPP!$C$6:$C$4207,0)),"Not Found"))</f>
        <v/>
      </c>
      <c r="G1517" s="25" t="str">
        <f>IF(表1[[#This Row],[No Seri]]="","",表1[[#This Row],[Deskripsi Barang]]+表1[[#This Row],[Kuantitas]]-表1[[#This Row],[Satuan]])</f>
        <v/>
      </c>
      <c r="H1517" s="28"/>
      <c r="I1517" s="25" t="str">
        <f>IF(表1[[#This Row],[Tgl NPBG]]&gt;表1[[#This Row],[Peminta]],表1[[#This Row],[Tgl NPBG]]-表1[[#This Row],[Peminta]],"")</f>
        <v/>
      </c>
      <c r="J1517" s="31"/>
    </row>
    <row r="1518" s="12" customFormat="1" customHeight="1" spans="2:10">
      <c r="B1518" s="25"/>
      <c r="C1518" s="25"/>
      <c r="D1518" s="26" t="str" cm="1">
        <f t="array" ref="D1518">IF(C1518="","",IFERROR(INDEX(STPP!$D$6:$D$4207,MATCH(C1518,STPP!$C$6:$C$4207,0)),"Not Found"))</f>
        <v/>
      </c>
      <c r="E1518" s="27" t="str" cm="1">
        <f t="array" ref="E1518">IF(C1518="","",IFERROR(INDEX(STPP!$E$6:$E$4207,MATCH(C1518,STPP!$C$6:$C$4207,0)),"Not Found"))</f>
        <v/>
      </c>
      <c r="F1518" s="27" t="str" cm="1">
        <f t="array" ref="F1518">IF(C1518="","",IFERROR(INDEX(STPP!$F$6:$F$4207,MATCH(C1518,STPP!$C$6:$C$4207,0)),"Not Found"))</f>
        <v/>
      </c>
      <c r="G1518" s="25" t="str">
        <f>IF(表1[[#This Row],[No Seri]]="","",表1[[#This Row],[Deskripsi Barang]]+表1[[#This Row],[Kuantitas]]-表1[[#This Row],[Satuan]])</f>
        <v/>
      </c>
      <c r="H1518" s="28"/>
      <c r="I1518" s="25" t="str">
        <f>IF(表1[[#This Row],[Tgl NPBG]]&gt;表1[[#This Row],[Peminta]],表1[[#This Row],[Tgl NPBG]]-表1[[#This Row],[Peminta]],"")</f>
        <v/>
      </c>
      <c r="J1518" s="31"/>
    </row>
    <row r="1519" s="12" customFormat="1" customHeight="1" spans="2:10">
      <c r="B1519" s="25"/>
      <c r="C1519" s="25"/>
      <c r="D1519" s="26" t="str" cm="1">
        <f t="array" ref="D1519">IF(C1519="","",IFERROR(INDEX(STPP!$D$6:$D$4207,MATCH(C1519,STPP!$C$6:$C$4207,0)),"Not Found"))</f>
        <v/>
      </c>
      <c r="E1519" s="27" t="str" cm="1">
        <f t="array" ref="E1519">IF(C1519="","",IFERROR(INDEX(STPP!$E$6:$E$4207,MATCH(C1519,STPP!$C$6:$C$4207,0)),"Not Found"))</f>
        <v/>
      </c>
      <c r="F1519" s="27" t="str" cm="1">
        <f t="array" ref="F1519">IF(C1519="","",IFERROR(INDEX(STPP!$F$6:$F$4207,MATCH(C1519,STPP!$C$6:$C$4207,0)),"Not Found"))</f>
        <v/>
      </c>
      <c r="G1519" s="25" t="str">
        <f>IF(表1[[#This Row],[No Seri]]="","",表1[[#This Row],[Deskripsi Barang]]+表1[[#This Row],[Kuantitas]]-表1[[#This Row],[Satuan]])</f>
        <v/>
      </c>
      <c r="H1519" s="28"/>
      <c r="I1519" s="25" t="str">
        <f>IF(表1[[#This Row],[Tgl NPBG]]&gt;表1[[#This Row],[Peminta]],表1[[#This Row],[Tgl NPBG]]-表1[[#This Row],[Peminta]],"")</f>
        <v/>
      </c>
      <c r="J1519" s="31"/>
    </row>
    <row r="1520" s="12" customFormat="1" customHeight="1" spans="2:10">
      <c r="B1520" s="25"/>
      <c r="C1520" s="25"/>
      <c r="D1520" s="26" t="str" cm="1">
        <f t="array" ref="D1520">IF(C1520="","",IFERROR(INDEX(STPP!$D$6:$D$4207,MATCH(C1520,STPP!$C$6:$C$4207,0)),"Not Found"))</f>
        <v/>
      </c>
      <c r="E1520" s="27" t="str" cm="1">
        <f t="array" ref="E1520">IF(C1520="","",IFERROR(INDEX(STPP!$E$6:$E$4207,MATCH(C1520,STPP!$C$6:$C$4207,0)),"Not Found"))</f>
        <v/>
      </c>
      <c r="F1520" s="27" t="str" cm="1">
        <f t="array" ref="F1520">IF(C1520="","",IFERROR(INDEX(STPP!$F$6:$F$4207,MATCH(C1520,STPP!$C$6:$C$4207,0)),"Not Found"))</f>
        <v/>
      </c>
      <c r="G1520" s="25" t="str">
        <f>IF(表1[[#This Row],[No Seri]]="","",表1[[#This Row],[Deskripsi Barang]]+表1[[#This Row],[Kuantitas]]-表1[[#This Row],[Satuan]])</f>
        <v/>
      </c>
      <c r="H1520" s="28"/>
      <c r="I1520" s="25" t="str">
        <f>IF(表1[[#This Row],[Tgl NPBG]]&gt;表1[[#This Row],[Peminta]],表1[[#This Row],[Tgl NPBG]]-表1[[#This Row],[Peminta]],"")</f>
        <v/>
      </c>
      <c r="J1520" s="31"/>
    </row>
    <row r="1521" s="12" customFormat="1" customHeight="1" spans="2:10">
      <c r="B1521" s="25"/>
      <c r="C1521" s="25"/>
      <c r="D1521" s="26" t="str" cm="1">
        <f t="array" ref="D1521">IF(C1521="","",IFERROR(INDEX(STPP!$D$6:$D$4207,MATCH(C1521,STPP!$C$6:$C$4207,0)),"Not Found"))</f>
        <v/>
      </c>
      <c r="E1521" s="27" t="str" cm="1">
        <f t="array" ref="E1521">IF(C1521="","",IFERROR(INDEX(STPP!$E$6:$E$4207,MATCH(C1521,STPP!$C$6:$C$4207,0)),"Not Found"))</f>
        <v/>
      </c>
      <c r="F1521" s="27" t="str" cm="1">
        <f t="array" ref="F1521">IF(C1521="","",IFERROR(INDEX(STPP!$F$6:$F$4207,MATCH(C1521,STPP!$C$6:$C$4207,0)),"Not Found"))</f>
        <v/>
      </c>
      <c r="G1521" s="25" t="str">
        <f>IF(表1[[#This Row],[No Seri]]="","",表1[[#This Row],[Deskripsi Barang]]+表1[[#This Row],[Kuantitas]]-表1[[#This Row],[Satuan]])</f>
        <v/>
      </c>
      <c r="H1521" s="28"/>
      <c r="I1521" s="25" t="str">
        <f>IF(表1[[#This Row],[Tgl NPBG]]&gt;表1[[#This Row],[Peminta]],表1[[#This Row],[Tgl NPBG]]-表1[[#This Row],[Peminta]],"")</f>
        <v/>
      </c>
      <c r="J1521" s="31"/>
    </row>
    <row r="1522" s="12" customFormat="1" customHeight="1" spans="2:10">
      <c r="B1522" s="25"/>
      <c r="C1522" s="25"/>
      <c r="D1522" s="26" t="str" cm="1">
        <f t="array" ref="D1522">IF(C1522="","",IFERROR(INDEX(STPP!$D$6:$D$4207,MATCH(C1522,STPP!$C$6:$C$4207,0)),"Not Found"))</f>
        <v/>
      </c>
      <c r="E1522" s="27" t="str" cm="1">
        <f t="array" ref="E1522">IF(C1522="","",IFERROR(INDEX(STPP!$E$6:$E$4207,MATCH(C1522,STPP!$C$6:$C$4207,0)),"Not Found"))</f>
        <v/>
      </c>
      <c r="F1522" s="27" t="str" cm="1">
        <f t="array" ref="F1522">IF(C1522="","",IFERROR(INDEX(STPP!$F$6:$F$4207,MATCH(C1522,STPP!$C$6:$C$4207,0)),"Not Found"))</f>
        <v/>
      </c>
      <c r="G1522" s="25" t="str">
        <f>IF(表1[[#This Row],[No Seri]]="","",表1[[#This Row],[Deskripsi Barang]]+表1[[#This Row],[Kuantitas]]-表1[[#This Row],[Satuan]])</f>
        <v/>
      </c>
      <c r="H1522" s="28"/>
      <c r="I1522" s="25" t="str">
        <f>IF(表1[[#This Row],[Tgl NPBG]]&gt;表1[[#This Row],[Peminta]],表1[[#This Row],[Tgl NPBG]]-表1[[#This Row],[Peminta]],"")</f>
        <v/>
      </c>
      <c r="J1522" s="31"/>
    </row>
    <row r="1523" s="12" customFormat="1" customHeight="1" spans="2:10">
      <c r="B1523" s="25"/>
      <c r="C1523" s="25"/>
      <c r="D1523" s="26" t="str" cm="1">
        <f t="array" ref="D1523">IF(C1523="","",IFERROR(INDEX(STPP!$D$6:$D$4207,MATCH(C1523,STPP!$C$6:$C$4207,0)),"Not Found"))</f>
        <v/>
      </c>
      <c r="E1523" s="27" t="str" cm="1">
        <f t="array" ref="E1523">IF(C1523="","",IFERROR(INDEX(STPP!$E$6:$E$4207,MATCH(C1523,STPP!$C$6:$C$4207,0)),"Not Found"))</f>
        <v/>
      </c>
      <c r="F1523" s="27" t="str" cm="1">
        <f t="array" ref="F1523">IF(C1523="","",IFERROR(INDEX(STPP!$F$6:$F$4207,MATCH(C1523,STPP!$C$6:$C$4207,0)),"Not Found"))</f>
        <v/>
      </c>
      <c r="G1523" s="25" t="str">
        <f>IF(表1[[#This Row],[No Seri]]="","",表1[[#This Row],[Deskripsi Barang]]+表1[[#This Row],[Kuantitas]]-表1[[#This Row],[Satuan]])</f>
        <v/>
      </c>
      <c r="H1523" s="28"/>
      <c r="I1523" s="25" t="str">
        <f>IF(表1[[#This Row],[Tgl NPBG]]&gt;表1[[#This Row],[Peminta]],表1[[#This Row],[Tgl NPBG]]-表1[[#This Row],[Peminta]],"")</f>
        <v/>
      </c>
      <c r="J1523" s="31"/>
    </row>
    <row r="1524" s="12" customFormat="1" customHeight="1" spans="2:10">
      <c r="B1524" s="25"/>
      <c r="C1524" s="25"/>
      <c r="D1524" s="26" t="str" cm="1">
        <f t="array" ref="D1524">IF(C1524="","",IFERROR(INDEX(STPP!$D$6:$D$4207,MATCH(C1524,STPP!$C$6:$C$4207,0)),"Not Found"))</f>
        <v/>
      </c>
      <c r="E1524" s="27" t="str" cm="1">
        <f t="array" ref="E1524">IF(C1524="","",IFERROR(INDEX(STPP!$E$6:$E$4207,MATCH(C1524,STPP!$C$6:$C$4207,0)),"Not Found"))</f>
        <v/>
      </c>
      <c r="F1524" s="27" t="str" cm="1">
        <f t="array" ref="F1524">IF(C1524="","",IFERROR(INDEX(STPP!$F$6:$F$4207,MATCH(C1524,STPP!$C$6:$C$4207,0)),"Not Found"))</f>
        <v/>
      </c>
      <c r="G1524" s="25" t="str">
        <f>IF(表1[[#This Row],[No Seri]]="","",表1[[#This Row],[Deskripsi Barang]]+表1[[#This Row],[Kuantitas]]-表1[[#This Row],[Satuan]])</f>
        <v/>
      </c>
      <c r="H1524" s="28"/>
      <c r="I1524" s="25" t="str">
        <f>IF(表1[[#This Row],[Tgl NPBG]]&gt;表1[[#This Row],[Peminta]],表1[[#This Row],[Tgl NPBG]]-表1[[#This Row],[Peminta]],"")</f>
        <v/>
      </c>
      <c r="J1524" s="31"/>
    </row>
    <row r="1525" s="12" customFormat="1" customHeight="1" spans="2:10">
      <c r="B1525" s="25"/>
      <c r="C1525" s="25"/>
      <c r="D1525" s="26" t="str" cm="1">
        <f t="array" ref="D1525">IF(C1525="","",IFERROR(INDEX(STPP!$D$6:$D$4207,MATCH(C1525,STPP!$C$6:$C$4207,0)),"Not Found"))</f>
        <v/>
      </c>
      <c r="E1525" s="27" t="str" cm="1">
        <f t="array" ref="E1525">IF(C1525="","",IFERROR(INDEX(STPP!$E$6:$E$4207,MATCH(C1525,STPP!$C$6:$C$4207,0)),"Not Found"))</f>
        <v/>
      </c>
      <c r="F1525" s="27" t="str" cm="1">
        <f t="array" ref="F1525">IF(C1525="","",IFERROR(INDEX(STPP!$F$6:$F$4207,MATCH(C1525,STPP!$C$6:$C$4207,0)),"Not Found"))</f>
        <v/>
      </c>
      <c r="G1525" s="25" t="str">
        <f>IF(表1[[#This Row],[No Seri]]="","",表1[[#This Row],[Deskripsi Barang]]+表1[[#This Row],[Kuantitas]]-表1[[#This Row],[Satuan]])</f>
        <v/>
      </c>
      <c r="H1525" s="28"/>
      <c r="I1525" s="25" t="str">
        <f>IF(表1[[#This Row],[Tgl NPBG]]&gt;表1[[#This Row],[Peminta]],表1[[#This Row],[Tgl NPBG]]-表1[[#This Row],[Peminta]],"")</f>
        <v/>
      </c>
      <c r="J1525" s="31"/>
    </row>
    <row r="1526" s="12" customFormat="1" customHeight="1" spans="2:10">
      <c r="B1526" s="25"/>
      <c r="C1526" s="25"/>
      <c r="D1526" s="26" t="str" cm="1">
        <f t="array" ref="D1526">IF(C1526="","",IFERROR(INDEX(STPP!$D$6:$D$4207,MATCH(C1526,STPP!$C$6:$C$4207,0)),"Not Found"))</f>
        <v/>
      </c>
      <c r="E1526" s="27" t="str" cm="1">
        <f t="array" ref="E1526">IF(C1526="","",IFERROR(INDEX(STPP!$E$6:$E$4207,MATCH(C1526,STPP!$C$6:$C$4207,0)),"Not Found"))</f>
        <v/>
      </c>
      <c r="F1526" s="27" t="str" cm="1">
        <f t="array" ref="F1526">IF(C1526="","",IFERROR(INDEX(STPP!$F$6:$F$4207,MATCH(C1526,STPP!$C$6:$C$4207,0)),"Not Found"))</f>
        <v/>
      </c>
      <c r="G1526" s="25" t="str">
        <f>IF(表1[[#This Row],[No Seri]]="","",表1[[#This Row],[Deskripsi Barang]]+表1[[#This Row],[Kuantitas]]-表1[[#This Row],[Satuan]])</f>
        <v/>
      </c>
      <c r="H1526" s="28"/>
      <c r="I1526" s="25" t="str">
        <f>IF(表1[[#This Row],[Tgl NPBG]]&gt;表1[[#This Row],[Peminta]],表1[[#This Row],[Tgl NPBG]]-表1[[#This Row],[Peminta]],"")</f>
        <v/>
      </c>
      <c r="J1526" s="31"/>
    </row>
    <row r="1527" s="12" customFormat="1" customHeight="1" spans="2:10">
      <c r="B1527" s="25"/>
      <c r="C1527" s="25"/>
      <c r="D1527" s="26" t="str" cm="1">
        <f t="array" ref="D1527">IF(C1527="","",IFERROR(INDEX(STPP!$D$6:$D$4207,MATCH(C1527,STPP!$C$6:$C$4207,0)),"Not Found"))</f>
        <v/>
      </c>
      <c r="E1527" s="27" t="str" cm="1">
        <f t="array" ref="E1527">IF(C1527="","",IFERROR(INDEX(STPP!$E$6:$E$4207,MATCH(C1527,STPP!$C$6:$C$4207,0)),"Not Found"))</f>
        <v/>
      </c>
      <c r="F1527" s="27" t="str" cm="1">
        <f t="array" ref="F1527">IF(C1527="","",IFERROR(INDEX(STPP!$F$6:$F$4207,MATCH(C1527,STPP!$C$6:$C$4207,0)),"Not Found"))</f>
        <v/>
      </c>
      <c r="G1527" s="25" t="str">
        <f>IF(表1[[#This Row],[No Seri]]="","",表1[[#This Row],[Deskripsi Barang]]+表1[[#This Row],[Kuantitas]]-表1[[#This Row],[Satuan]])</f>
        <v/>
      </c>
      <c r="H1527" s="28"/>
      <c r="I1527" s="25" t="str">
        <f>IF(表1[[#This Row],[Tgl NPBG]]&gt;表1[[#This Row],[Peminta]],表1[[#This Row],[Tgl NPBG]]-表1[[#This Row],[Peminta]],"")</f>
        <v/>
      </c>
      <c r="J1527" s="31"/>
    </row>
    <row r="1528" s="12" customFormat="1" customHeight="1" spans="2:10">
      <c r="B1528" s="25"/>
      <c r="C1528" s="25"/>
      <c r="D1528" s="26" t="str" cm="1">
        <f t="array" ref="D1528">IF(C1528="","",IFERROR(INDEX(STPP!$D$6:$D$4207,MATCH(C1528,STPP!$C$6:$C$4207,0)),"Not Found"))</f>
        <v/>
      </c>
      <c r="E1528" s="27" t="str" cm="1">
        <f t="array" ref="E1528">IF(C1528="","",IFERROR(INDEX(STPP!$E$6:$E$4207,MATCH(C1528,STPP!$C$6:$C$4207,0)),"Not Found"))</f>
        <v/>
      </c>
      <c r="F1528" s="27" t="str" cm="1">
        <f t="array" ref="F1528">IF(C1528="","",IFERROR(INDEX(STPP!$F$6:$F$4207,MATCH(C1528,STPP!$C$6:$C$4207,0)),"Not Found"))</f>
        <v/>
      </c>
      <c r="G1528" s="25" t="str">
        <f>IF(表1[[#This Row],[No Seri]]="","",表1[[#This Row],[Deskripsi Barang]]+表1[[#This Row],[Kuantitas]]-表1[[#This Row],[Satuan]])</f>
        <v/>
      </c>
      <c r="H1528" s="28"/>
      <c r="I1528" s="25" t="str">
        <f>IF(表1[[#This Row],[Tgl NPBG]]&gt;表1[[#This Row],[Peminta]],表1[[#This Row],[Tgl NPBG]]-表1[[#This Row],[Peminta]],"")</f>
        <v/>
      </c>
      <c r="J1528" s="31"/>
    </row>
    <row r="1529" s="12" customFormat="1" customHeight="1" spans="2:10">
      <c r="B1529" s="25"/>
      <c r="C1529" s="25"/>
      <c r="D1529" s="26" t="str" cm="1">
        <f t="array" ref="D1529">IF(C1529="","",IFERROR(INDEX(STPP!$D$6:$D$4207,MATCH(C1529,STPP!$C$6:$C$4207,0)),"Not Found"))</f>
        <v/>
      </c>
      <c r="E1529" s="27" t="str" cm="1">
        <f t="array" ref="E1529">IF(C1529="","",IFERROR(INDEX(STPP!$E$6:$E$4207,MATCH(C1529,STPP!$C$6:$C$4207,0)),"Not Found"))</f>
        <v/>
      </c>
      <c r="F1529" s="27" t="str" cm="1">
        <f t="array" ref="F1529">IF(C1529="","",IFERROR(INDEX(STPP!$F$6:$F$4207,MATCH(C1529,STPP!$C$6:$C$4207,0)),"Not Found"))</f>
        <v/>
      </c>
      <c r="G1529" s="25" t="str">
        <f>IF(表1[[#This Row],[No Seri]]="","",表1[[#This Row],[Deskripsi Barang]]+表1[[#This Row],[Kuantitas]]-表1[[#This Row],[Satuan]])</f>
        <v/>
      </c>
      <c r="H1529" s="28"/>
      <c r="I1529" s="25" t="str">
        <f>IF(表1[[#This Row],[Tgl NPBG]]&gt;表1[[#This Row],[Peminta]],表1[[#This Row],[Tgl NPBG]]-表1[[#This Row],[Peminta]],"")</f>
        <v/>
      </c>
      <c r="J1529" s="31"/>
    </row>
    <row r="1530" s="12" customFormat="1" customHeight="1" spans="2:10">
      <c r="B1530" s="25"/>
      <c r="C1530" s="25"/>
      <c r="D1530" s="26" t="str" cm="1">
        <f t="array" ref="D1530">IF(C1530="","",IFERROR(INDEX(STPP!$D$6:$D$4207,MATCH(C1530,STPP!$C$6:$C$4207,0)),"Not Found"))</f>
        <v/>
      </c>
      <c r="E1530" s="27" t="str" cm="1">
        <f t="array" ref="E1530">IF(C1530="","",IFERROR(INDEX(STPP!$E$6:$E$4207,MATCH(C1530,STPP!$C$6:$C$4207,0)),"Not Found"))</f>
        <v/>
      </c>
      <c r="F1530" s="27" t="str" cm="1">
        <f t="array" ref="F1530">IF(C1530="","",IFERROR(INDEX(STPP!$F$6:$F$4207,MATCH(C1530,STPP!$C$6:$C$4207,0)),"Not Found"))</f>
        <v/>
      </c>
      <c r="G1530" s="25" t="str">
        <f>IF(表1[[#This Row],[No Seri]]="","",表1[[#This Row],[Deskripsi Barang]]+表1[[#This Row],[Kuantitas]]-表1[[#This Row],[Satuan]])</f>
        <v/>
      </c>
      <c r="H1530" s="28"/>
      <c r="I1530" s="25" t="str">
        <f>IF(表1[[#This Row],[Tgl NPBG]]&gt;表1[[#This Row],[Peminta]],表1[[#This Row],[Tgl NPBG]]-表1[[#This Row],[Peminta]],"")</f>
        <v/>
      </c>
      <c r="J1530" s="31"/>
    </row>
    <row r="1531" s="12" customFormat="1" customHeight="1" spans="2:10">
      <c r="B1531" s="25"/>
      <c r="C1531" s="25"/>
      <c r="D1531" s="26" t="str" cm="1">
        <f t="array" ref="D1531">IF(C1531="","",IFERROR(INDEX(STPP!$D$6:$D$4207,MATCH(C1531,STPP!$C$6:$C$4207,0)),"Not Found"))</f>
        <v/>
      </c>
      <c r="E1531" s="27" t="str" cm="1">
        <f t="array" ref="E1531">IF(C1531="","",IFERROR(INDEX(STPP!$E$6:$E$4207,MATCH(C1531,STPP!$C$6:$C$4207,0)),"Not Found"))</f>
        <v/>
      </c>
      <c r="F1531" s="27" t="str" cm="1">
        <f t="array" ref="F1531">IF(C1531="","",IFERROR(INDEX(STPP!$F$6:$F$4207,MATCH(C1531,STPP!$C$6:$C$4207,0)),"Not Found"))</f>
        <v/>
      </c>
      <c r="G1531" s="25" t="str">
        <f>IF(表1[[#This Row],[No Seri]]="","",表1[[#This Row],[Deskripsi Barang]]+表1[[#This Row],[Kuantitas]]-表1[[#This Row],[Satuan]])</f>
        <v/>
      </c>
      <c r="H1531" s="28"/>
      <c r="I1531" s="25" t="str">
        <f>IF(表1[[#This Row],[Tgl NPBG]]&gt;表1[[#This Row],[Peminta]],表1[[#This Row],[Tgl NPBG]]-表1[[#This Row],[Peminta]],"")</f>
        <v/>
      </c>
      <c r="J1531" s="31"/>
    </row>
    <row r="1532" s="12" customFormat="1" customHeight="1" spans="2:10">
      <c r="B1532" s="25"/>
      <c r="C1532" s="25"/>
      <c r="D1532" s="26" t="str" cm="1">
        <f t="array" ref="D1532">IF(C1532="","",IFERROR(INDEX(STPP!$D$6:$D$4207,MATCH(C1532,STPP!$C$6:$C$4207,0)),"Not Found"))</f>
        <v/>
      </c>
      <c r="E1532" s="27" t="str" cm="1">
        <f t="array" ref="E1532">IF(C1532="","",IFERROR(INDEX(STPP!$E$6:$E$4207,MATCH(C1532,STPP!$C$6:$C$4207,0)),"Not Found"))</f>
        <v/>
      </c>
      <c r="F1532" s="27" t="str" cm="1">
        <f t="array" ref="F1532">IF(C1532="","",IFERROR(INDEX(STPP!$F$6:$F$4207,MATCH(C1532,STPP!$C$6:$C$4207,0)),"Not Found"))</f>
        <v/>
      </c>
      <c r="G1532" s="25" t="str">
        <f>IF(表1[[#This Row],[No Seri]]="","",表1[[#This Row],[Deskripsi Barang]]+表1[[#This Row],[Kuantitas]]-表1[[#This Row],[Satuan]])</f>
        <v/>
      </c>
      <c r="H1532" s="28"/>
      <c r="I1532" s="25" t="str">
        <f>IF(表1[[#This Row],[Tgl NPBG]]&gt;表1[[#This Row],[Peminta]],表1[[#This Row],[Tgl NPBG]]-表1[[#This Row],[Peminta]],"")</f>
        <v/>
      </c>
      <c r="J1532" s="31"/>
    </row>
    <row r="1533" s="12" customFormat="1" customHeight="1" spans="2:10">
      <c r="B1533" s="25"/>
      <c r="C1533" s="25"/>
      <c r="D1533" s="26" t="str" cm="1">
        <f t="array" ref="D1533">IF(C1533="","",IFERROR(INDEX(STPP!$D$6:$D$4207,MATCH(C1533,STPP!$C$6:$C$4207,0)),"Not Found"))</f>
        <v/>
      </c>
      <c r="E1533" s="27" t="str" cm="1">
        <f t="array" ref="E1533">IF(C1533="","",IFERROR(INDEX(STPP!$E$6:$E$4207,MATCH(C1533,STPP!$C$6:$C$4207,0)),"Not Found"))</f>
        <v/>
      </c>
      <c r="F1533" s="27" t="str" cm="1">
        <f t="array" ref="F1533">IF(C1533="","",IFERROR(INDEX(STPP!$F$6:$F$4207,MATCH(C1533,STPP!$C$6:$C$4207,0)),"Not Found"))</f>
        <v/>
      </c>
      <c r="G1533" s="25" t="str">
        <f>IF(表1[[#This Row],[No Seri]]="","",表1[[#This Row],[Deskripsi Barang]]+表1[[#This Row],[Kuantitas]]-表1[[#This Row],[Satuan]])</f>
        <v/>
      </c>
      <c r="H1533" s="28"/>
      <c r="I1533" s="25" t="str">
        <f>IF(表1[[#This Row],[Tgl NPBG]]&gt;表1[[#This Row],[Peminta]],表1[[#This Row],[Tgl NPBG]]-表1[[#This Row],[Peminta]],"")</f>
        <v/>
      </c>
      <c r="J1533" s="31"/>
    </row>
    <row r="1534" s="12" customFormat="1" customHeight="1" spans="2:10">
      <c r="B1534" s="25"/>
      <c r="C1534" s="25"/>
      <c r="D1534" s="26" t="str" cm="1">
        <f t="array" ref="D1534">IF(C1534="","",IFERROR(INDEX(STPP!$D$6:$D$4207,MATCH(C1534,STPP!$C$6:$C$4207,0)),"Not Found"))</f>
        <v/>
      </c>
      <c r="E1534" s="27" t="str" cm="1">
        <f t="array" ref="E1534">IF(C1534="","",IFERROR(INDEX(STPP!$E$6:$E$4207,MATCH(C1534,STPP!$C$6:$C$4207,0)),"Not Found"))</f>
        <v/>
      </c>
      <c r="F1534" s="27" t="str" cm="1">
        <f t="array" ref="F1534">IF(C1534="","",IFERROR(INDEX(STPP!$F$6:$F$4207,MATCH(C1534,STPP!$C$6:$C$4207,0)),"Not Found"))</f>
        <v/>
      </c>
      <c r="G1534" s="25" t="str">
        <f>IF(表1[[#This Row],[No Seri]]="","",表1[[#This Row],[Deskripsi Barang]]+表1[[#This Row],[Kuantitas]]-表1[[#This Row],[Satuan]])</f>
        <v/>
      </c>
      <c r="H1534" s="28"/>
      <c r="I1534" s="25" t="str">
        <f>IF(表1[[#This Row],[Tgl NPBG]]&gt;表1[[#This Row],[Peminta]],表1[[#This Row],[Tgl NPBG]]-表1[[#This Row],[Peminta]],"")</f>
        <v/>
      </c>
      <c r="J1534" s="31"/>
    </row>
    <row r="1535" s="12" customFormat="1" customHeight="1" spans="2:10">
      <c r="B1535" s="25"/>
      <c r="C1535" s="25"/>
      <c r="D1535" s="26" t="str" cm="1">
        <f t="array" ref="D1535">IF(C1535="","",IFERROR(INDEX(STPP!$D$6:$D$4207,MATCH(C1535,STPP!$C$6:$C$4207,0)),"Not Found"))</f>
        <v/>
      </c>
      <c r="E1535" s="27" t="str" cm="1">
        <f t="array" ref="E1535">IF(C1535="","",IFERROR(INDEX(STPP!$E$6:$E$4207,MATCH(C1535,STPP!$C$6:$C$4207,0)),"Not Found"))</f>
        <v/>
      </c>
      <c r="F1535" s="27" t="str" cm="1">
        <f t="array" ref="F1535">IF(C1535="","",IFERROR(INDEX(STPP!$F$6:$F$4207,MATCH(C1535,STPP!$C$6:$C$4207,0)),"Not Found"))</f>
        <v/>
      </c>
      <c r="G1535" s="25" t="str">
        <f>IF(表1[[#This Row],[No Seri]]="","",表1[[#This Row],[Deskripsi Barang]]+表1[[#This Row],[Kuantitas]]-表1[[#This Row],[Satuan]])</f>
        <v/>
      </c>
      <c r="H1535" s="28"/>
      <c r="I1535" s="25" t="str">
        <f>IF(表1[[#This Row],[Tgl NPBG]]&gt;表1[[#This Row],[Peminta]],表1[[#This Row],[Tgl NPBG]]-表1[[#This Row],[Peminta]],"")</f>
        <v/>
      </c>
      <c r="J1535" s="31"/>
    </row>
    <row r="1536" s="12" customFormat="1" customHeight="1" spans="2:10">
      <c r="B1536" s="25"/>
      <c r="C1536" s="25"/>
      <c r="D1536" s="26" t="str" cm="1">
        <f t="array" ref="D1536">IF(C1536="","",IFERROR(INDEX(STPP!$D$6:$D$4207,MATCH(C1536,STPP!$C$6:$C$4207,0)),"Not Found"))</f>
        <v/>
      </c>
      <c r="E1536" s="27" t="str" cm="1">
        <f t="array" ref="E1536">IF(C1536="","",IFERROR(INDEX(STPP!$E$6:$E$4207,MATCH(C1536,STPP!$C$6:$C$4207,0)),"Not Found"))</f>
        <v/>
      </c>
      <c r="F1536" s="27" t="str" cm="1">
        <f t="array" ref="F1536">IF(C1536="","",IFERROR(INDEX(STPP!$F$6:$F$4207,MATCH(C1536,STPP!$C$6:$C$4207,0)),"Not Found"))</f>
        <v/>
      </c>
      <c r="G1536" s="25" t="str">
        <f>IF(表1[[#This Row],[No Seri]]="","",表1[[#This Row],[Deskripsi Barang]]+表1[[#This Row],[Kuantitas]]-表1[[#This Row],[Satuan]])</f>
        <v/>
      </c>
      <c r="H1536" s="28"/>
      <c r="I1536" s="25" t="str">
        <f>IF(表1[[#This Row],[Tgl NPBG]]&gt;表1[[#This Row],[Peminta]],表1[[#This Row],[Tgl NPBG]]-表1[[#This Row],[Peminta]],"")</f>
        <v/>
      </c>
      <c r="J1536" s="31"/>
    </row>
    <row r="1537" s="12" customFormat="1" customHeight="1" spans="2:10">
      <c r="B1537" s="25"/>
      <c r="C1537" s="25"/>
      <c r="D1537" s="26" t="str" cm="1">
        <f t="array" ref="D1537">IF(C1537="","",IFERROR(INDEX(STPP!$D$6:$D$4207,MATCH(C1537,STPP!$C$6:$C$4207,0)),"Not Found"))</f>
        <v/>
      </c>
      <c r="E1537" s="27" t="str" cm="1">
        <f t="array" ref="E1537">IF(C1537="","",IFERROR(INDEX(STPP!$E$6:$E$4207,MATCH(C1537,STPP!$C$6:$C$4207,0)),"Not Found"))</f>
        <v/>
      </c>
      <c r="F1537" s="27" t="str" cm="1">
        <f t="array" ref="F1537">IF(C1537="","",IFERROR(INDEX(STPP!$F$6:$F$4207,MATCH(C1537,STPP!$C$6:$C$4207,0)),"Not Found"))</f>
        <v/>
      </c>
      <c r="G1537" s="25" t="str">
        <f>IF(表1[[#This Row],[No Seri]]="","",表1[[#This Row],[Deskripsi Barang]]+表1[[#This Row],[Kuantitas]]-表1[[#This Row],[Satuan]])</f>
        <v/>
      </c>
      <c r="H1537" s="28"/>
      <c r="I1537" s="25" t="str">
        <f>IF(表1[[#This Row],[Tgl NPBG]]&gt;表1[[#This Row],[Peminta]],表1[[#This Row],[Tgl NPBG]]-表1[[#This Row],[Peminta]],"")</f>
        <v/>
      </c>
      <c r="J1537" s="31"/>
    </row>
    <row r="1538" s="12" customFormat="1" customHeight="1" spans="2:10">
      <c r="B1538" s="25"/>
      <c r="C1538" s="25"/>
      <c r="D1538" s="26" t="str" cm="1">
        <f t="array" ref="D1538">IF(C1538="","",IFERROR(INDEX(STPP!$D$6:$D$4207,MATCH(C1538,STPP!$C$6:$C$4207,0)),"Not Found"))</f>
        <v/>
      </c>
      <c r="E1538" s="27" t="str" cm="1">
        <f t="array" ref="E1538">IF(C1538="","",IFERROR(INDEX(STPP!$E$6:$E$4207,MATCH(C1538,STPP!$C$6:$C$4207,0)),"Not Found"))</f>
        <v/>
      </c>
      <c r="F1538" s="27" t="str" cm="1">
        <f t="array" ref="F1538">IF(C1538="","",IFERROR(INDEX(STPP!$F$6:$F$4207,MATCH(C1538,STPP!$C$6:$C$4207,0)),"Not Found"))</f>
        <v/>
      </c>
      <c r="G1538" s="25" t="str">
        <f>IF(表1[[#This Row],[No Seri]]="","",表1[[#This Row],[Deskripsi Barang]]+表1[[#This Row],[Kuantitas]]-表1[[#This Row],[Satuan]])</f>
        <v/>
      </c>
      <c r="H1538" s="28"/>
      <c r="I1538" s="25" t="str">
        <f>IF(表1[[#This Row],[Tgl NPBG]]&gt;表1[[#This Row],[Peminta]],表1[[#This Row],[Tgl NPBG]]-表1[[#This Row],[Peminta]],"")</f>
        <v/>
      </c>
      <c r="J1538" s="31"/>
    </row>
    <row r="1539" s="12" customFormat="1" customHeight="1" spans="2:10">
      <c r="B1539" s="25"/>
      <c r="C1539" s="25"/>
      <c r="D1539" s="26" t="str" cm="1">
        <f t="array" ref="D1539">IF(C1539="","",IFERROR(INDEX(STPP!$D$6:$D$4207,MATCH(C1539,STPP!$C$6:$C$4207,0)),"Not Found"))</f>
        <v/>
      </c>
      <c r="E1539" s="27" t="str" cm="1">
        <f t="array" ref="E1539">IF(C1539="","",IFERROR(INDEX(STPP!$E$6:$E$4207,MATCH(C1539,STPP!$C$6:$C$4207,0)),"Not Found"))</f>
        <v/>
      </c>
      <c r="F1539" s="27" t="str" cm="1">
        <f t="array" ref="F1539">IF(C1539="","",IFERROR(INDEX(STPP!$F$6:$F$4207,MATCH(C1539,STPP!$C$6:$C$4207,0)),"Not Found"))</f>
        <v/>
      </c>
      <c r="G1539" s="25" t="str">
        <f>IF(表1[[#This Row],[No Seri]]="","",表1[[#This Row],[Deskripsi Barang]]+表1[[#This Row],[Kuantitas]]-表1[[#This Row],[Satuan]])</f>
        <v/>
      </c>
      <c r="H1539" s="28"/>
      <c r="I1539" s="25" t="str">
        <f>IF(表1[[#This Row],[Tgl NPBG]]&gt;表1[[#This Row],[Peminta]],表1[[#This Row],[Tgl NPBG]]-表1[[#This Row],[Peminta]],"")</f>
        <v/>
      </c>
      <c r="J1539" s="31"/>
    </row>
    <row r="1540" s="12" customFormat="1" customHeight="1" spans="2:10">
      <c r="B1540" s="25"/>
      <c r="C1540" s="25"/>
      <c r="D1540" s="26" t="str" cm="1">
        <f t="array" ref="D1540">IF(C1540="","",IFERROR(INDEX(STPP!$D$6:$D$4207,MATCH(C1540,STPP!$C$6:$C$4207,0)),"Not Found"))</f>
        <v/>
      </c>
      <c r="E1540" s="27" t="str" cm="1">
        <f t="array" ref="E1540">IF(C1540="","",IFERROR(INDEX(STPP!$E$6:$E$4207,MATCH(C1540,STPP!$C$6:$C$4207,0)),"Not Found"))</f>
        <v/>
      </c>
      <c r="F1540" s="27" t="str" cm="1">
        <f t="array" ref="F1540">IF(C1540="","",IFERROR(INDEX(STPP!$F$6:$F$4207,MATCH(C1540,STPP!$C$6:$C$4207,0)),"Not Found"))</f>
        <v/>
      </c>
      <c r="G1540" s="25" t="str">
        <f>IF(表1[[#This Row],[No Seri]]="","",表1[[#This Row],[Deskripsi Barang]]+表1[[#This Row],[Kuantitas]]-表1[[#This Row],[Satuan]])</f>
        <v/>
      </c>
      <c r="H1540" s="28"/>
      <c r="I1540" s="25" t="str">
        <f>IF(表1[[#This Row],[Tgl NPBG]]&gt;表1[[#This Row],[Peminta]],表1[[#This Row],[Tgl NPBG]]-表1[[#This Row],[Peminta]],"")</f>
        <v/>
      </c>
      <c r="J1540" s="31"/>
    </row>
    <row r="1541" s="12" customFormat="1" customHeight="1" spans="2:10">
      <c r="B1541" s="25"/>
      <c r="C1541" s="25"/>
      <c r="D1541" s="26" t="str" cm="1">
        <f t="array" ref="D1541">IF(C1541="","",IFERROR(INDEX(STPP!$D$6:$D$4207,MATCH(C1541,STPP!$C$6:$C$4207,0)),"Not Found"))</f>
        <v/>
      </c>
      <c r="E1541" s="27" t="str" cm="1">
        <f t="array" ref="E1541">IF(C1541="","",IFERROR(INDEX(STPP!$E$6:$E$4207,MATCH(C1541,STPP!$C$6:$C$4207,0)),"Not Found"))</f>
        <v/>
      </c>
      <c r="F1541" s="27" t="str" cm="1">
        <f t="array" ref="F1541">IF(C1541="","",IFERROR(INDEX(STPP!$F$6:$F$4207,MATCH(C1541,STPP!$C$6:$C$4207,0)),"Not Found"))</f>
        <v/>
      </c>
      <c r="G1541" s="25" t="str">
        <f>IF(表1[[#This Row],[No Seri]]="","",表1[[#This Row],[Deskripsi Barang]]+表1[[#This Row],[Kuantitas]]-表1[[#This Row],[Satuan]])</f>
        <v/>
      </c>
      <c r="H1541" s="28"/>
      <c r="I1541" s="25" t="str">
        <f>IF(表1[[#This Row],[Tgl NPBG]]&gt;表1[[#This Row],[Peminta]],表1[[#This Row],[Tgl NPBG]]-表1[[#This Row],[Peminta]],"")</f>
        <v/>
      </c>
      <c r="J1541" s="31"/>
    </row>
    <row r="1542" s="12" customFormat="1" customHeight="1" spans="2:10">
      <c r="B1542" s="25"/>
      <c r="C1542" s="25"/>
      <c r="D1542" s="26" t="str" cm="1">
        <f t="array" ref="D1542">IF(C1542="","",IFERROR(INDEX(STPP!$D$6:$D$4207,MATCH(C1542,STPP!$C$6:$C$4207,0)),"Not Found"))</f>
        <v/>
      </c>
      <c r="E1542" s="27" t="str" cm="1">
        <f t="array" ref="E1542">IF(C1542="","",IFERROR(INDEX(STPP!$E$6:$E$4207,MATCH(C1542,STPP!$C$6:$C$4207,0)),"Not Found"))</f>
        <v/>
      </c>
      <c r="F1542" s="27" t="str" cm="1">
        <f t="array" ref="F1542">IF(C1542="","",IFERROR(INDEX(STPP!$F$6:$F$4207,MATCH(C1542,STPP!$C$6:$C$4207,0)),"Not Found"))</f>
        <v/>
      </c>
      <c r="G1542" s="25" t="str">
        <f>IF(表1[[#This Row],[No Seri]]="","",表1[[#This Row],[Deskripsi Barang]]+表1[[#This Row],[Kuantitas]]-表1[[#This Row],[Satuan]])</f>
        <v/>
      </c>
      <c r="H1542" s="28"/>
      <c r="I1542" s="25" t="str">
        <f>IF(表1[[#This Row],[Tgl NPBG]]&gt;表1[[#This Row],[Peminta]],表1[[#This Row],[Tgl NPBG]]-表1[[#This Row],[Peminta]],"")</f>
        <v/>
      </c>
      <c r="J1542" s="31"/>
    </row>
    <row r="1543" s="12" customFormat="1" customHeight="1" spans="2:10">
      <c r="B1543" s="25"/>
      <c r="C1543" s="25"/>
      <c r="D1543" s="26" t="str" cm="1">
        <f t="array" ref="D1543">IF(C1543="","",IFERROR(INDEX(STPP!$D$6:$D$4207,MATCH(C1543,STPP!$C$6:$C$4207,0)),"Not Found"))</f>
        <v/>
      </c>
      <c r="E1543" s="27" t="str" cm="1">
        <f t="array" ref="E1543">IF(C1543="","",IFERROR(INDEX(STPP!$E$6:$E$4207,MATCH(C1543,STPP!$C$6:$C$4207,0)),"Not Found"))</f>
        <v/>
      </c>
      <c r="F1543" s="27" t="str" cm="1">
        <f t="array" ref="F1543">IF(C1543="","",IFERROR(INDEX(STPP!$F$6:$F$4207,MATCH(C1543,STPP!$C$6:$C$4207,0)),"Not Found"))</f>
        <v/>
      </c>
      <c r="G1543" s="25" t="str">
        <f>IF(表1[[#This Row],[No Seri]]="","",表1[[#This Row],[Deskripsi Barang]]+表1[[#This Row],[Kuantitas]]-表1[[#This Row],[Satuan]])</f>
        <v/>
      </c>
      <c r="H1543" s="28"/>
      <c r="I1543" s="25" t="str">
        <f>IF(表1[[#This Row],[Tgl NPBG]]&gt;表1[[#This Row],[Peminta]],表1[[#This Row],[Tgl NPBG]]-表1[[#This Row],[Peminta]],"")</f>
        <v/>
      </c>
      <c r="J1543" s="31"/>
    </row>
    <row r="1544" s="12" customFormat="1" customHeight="1" spans="2:10">
      <c r="B1544" s="25"/>
      <c r="C1544" s="25"/>
      <c r="D1544" s="26" t="str" cm="1">
        <f t="array" ref="D1544">IF(C1544="","",IFERROR(INDEX(STPP!$D$6:$D$4207,MATCH(C1544,STPP!$C$6:$C$4207,0)),"Not Found"))</f>
        <v/>
      </c>
      <c r="E1544" s="27" t="str" cm="1">
        <f t="array" ref="E1544">IF(C1544="","",IFERROR(INDEX(STPP!$E$6:$E$4207,MATCH(C1544,STPP!$C$6:$C$4207,0)),"Not Found"))</f>
        <v/>
      </c>
      <c r="F1544" s="27" t="str" cm="1">
        <f t="array" ref="F1544">IF(C1544="","",IFERROR(INDEX(STPP!$F$6:$F$4207,MATCH(C1544,STPP!$C$6:$C$4207,0)),"Not Found"))</f>
        <v/>
      </c>
      <c r="G1544" s="25" t="str">
        <f>IF(表1[[#This Row],[No Seri]]="","",表1[[#This Row],[Deskripsi Barang]]+表1[[#This Row],[Kuantitas]]-表1[[#This Row],[Satuan]])</f>
        <v/>
      </c>
      <c r="H1544" s="28"/>
      <c r="I1544" s="25" t="str">
        <f>IF(表1[[#This Row],[Tgl NPBG]]&gt;表1[[#This Row],[Peminta]],表1[[#This Row],[Tgl NPBG]]-表1[[#This Row],[Peminta]],"")</f>
        <v/>
      </c>
      <c r="J1544" s="31"/>
    </row>
    <row r="1545" s="12" customFormat="1" customHeight="1" spans="2:10">
      <c r="B1545" s="25"/>
      <c r="C1545" s="25"/>
      <c r="D1545" s="26" t="str" cm="1">
        <f t="array" ref="D1545">IF(C1545="","",IFERROR(INDEX(STPP!$D$6:$D$4207,MATCH(C1545,STPP!$C$6:$C$4207,0)),"Not Found"))</f>
        <v/>
      </c>
      <c r="E1545" s="27" t="str" cm="1">
        <f t="array" ref="E1545">IF(C1545="","",IFERROR(INDEX(STPP!$E$6:$E$4207,MATCH(C1545,STPP!$C$6:$C$4207,0)),"Not Found"))</f>
        <v/>
      </c>
      <c r="F1545" s="27" t="str" cm="1">
        <f t="array" ref="F1545">IF(C1545="","",IFERROR(INDEX(STPP!$F$6:$F$4207,MATCH(C1545,STPP!$C$6:$C$4207,0)),"Not Found"))</f>
        <v/>
      </c>
      <c r="G1545" s="25" t="str">
        <f>IF(表1[[#This Row],[No Seri]]="","",表1[[#This Row],[Deskripsi Barang]]+表1[[#This Row],[Kuantitas]]-表1[[#This Row],[Satuan]])</f>
        <v/>
      </c>
      <c r="H1545" s="28"/>
      <c r="I1545" s="25" t="str">
        <f>IF(表1[[#This Row],[Tgl NPBG]]&gt;表1[[#This Row],[Peminta]],表1[[#This Row],[Tgl NPBG]]-表1[[#This Row],[Peminta]],"")</f>
        <v/>
      </c>
      <c r="J1545" s="31"/>
    </row>
    <row r="1546" s="12" customFormat="1" customHeight="1" spans="2:10">
      <c r="B1546" s="25"/>
      <c r="C1546" s="25"/>
      <c r="D1546" s="26" t="str" cm="1">
        <f t="array" ref="D1546">IF(C1546="","",IFERROR(INDEX(STPP!$D$6:$D$4207,MATCH(C1546,STPP!$C$6:$C$4207,0)),"Not Found"))</f>
        <v/>
      </c>
      <c r="E1546" s="27" t="str" cm="1">
        <f t="array" ref="E1546">IF(C1546="","",IFERROR(INDEX(STPP!$E$6:$E$4207,MATCH(C1546,STPP!$C$6:$C$4207,0)),"Not Found"))</f>
        <v/>
      </c>
      <c r="F1546" s="27" t="str" cm="1">
        <f t="array" ref="F1546">IF(C1546="","",IFERROR(INDEX(STPP!$F$6:$F$4207,MATCH(C1546,STPP!$C$6:$C$4207,0)),"Not Found"))</f>
        <v/>
      </c>
      <c r="G1546" s="25" t="str">
        <f>IF(表1[[#This Row],[No Seri]]="","",表1[[#This Row],[Deskripsi Barang]]+表1[[#This Row],[Kuantitas]]-表1[[#This Row],[Satuan]])</f>
        <v/>
      </c>
      <c r="H1546" s="28"/>
      <c r="I1546" s="25" t="str">
        <f>IF(表1[[#This Row],[Tgl NPBG]]&gt;表1[[#This Row],[Peminta]],表1[[#This Row],[Tgl NPBG]]-表1[[#This Row],[Peminta]],"")</f>
        <v/>
      </c>
      <c r="J1546" s="31"/>
    </row>
    <row r="1547" s="12" customFormat="1" customHeight="1" spans="2:10">
      <c r="B1547" s="25"/>
      <c r="C1547" s="25"/>
      <c r="D1547" s="26" t="str" cm="1">
        <f t="array" ref="D1547">IF(C1547="","",IFERROR(INDEX(STPP!$D$6:$D$4207,MATCH(C1547,STPP!$C$6:$C$4207,0)),"Not Found"))</f>
        <v/>
      </c>
      <c r="E1547" s="27" t="str" cm="1">
        <f t="array" ref="E1547">IF(C1547="","",IFERROR(INDEX(STPP!$E$6:$E$4207,MATCH(C1547,STPP!$C$6:$C$4207,0)),"Not Found"))</f>
        <v/>
      </c>
      <c r="F1547" s="27" t="str" cm="1">
        <f t="array" ref="F1547">IF(C1547="","",IFERROR(INDEX(STPP!$F$6:$F$4207,MATCH(C1547,STPP!$C$6:$C$4207,0)),"Not Found"))</f>
        <v/>
      </c>
      <c r="G1547" s="25" t="str">
        <f>IF(表1[[#This Row],[No Seri]]="","",表1[[#This Row],[Deskripsi Barang]]+表1[[#This Row],[Kuantitas]]-表1[[#This Row],[Satuan]])</f>
        <v/>
      </c>
      <c r="H1547" s="28"/>
      <c r="I1547" s="25" t="str">
        <f>IF(表1[[#This Row],[Tgl NPBG]]&gt;表1[[#This Row],[Peminta]],表1[[#This Row],[Tgl NPBG]]-表1[[#This Row],[Peminta]],"")</f>
        <v/>
      </c>
      <c r="J1547" s="31"/>
    </row>
    <row r="1548" s="12" customFormat="1" customHeight="1" spans="2:10">
      <c r="B1548" s="25"/>
      <c r="C1548" s="25"/>
      <c r="D1548" s="26" t="str" cm="1">
        <f t="array" ref="D1548">IF(C1548="","",IFERROR(INDEX(STPP!$D$6:$D$4207,MATCH(C1548,STPP!$C$6:$C$4207,0)),"Not Found"))</f>
        <v/>
      </c>
      <c r="E1548" s="27" t="str" cm="1">
        <f t="array" ref="E1548">IF(C1548="","",IFERROR(INDEX(STPP!$E$6:$E$4207,MATCH(C1548,STPP!$C$6:$C$4207,0)),"Not Found"))</f>
        <v/>
      </c>
      <c r="F1548" s="27" t="str" cm="1">
        <f t="array" ref="F1548">IF(C1548="","",IFERROR(INDEX(STPP!$F$6:$F$4207,MATCH(C1548,STPP!$C$6:$C$4207,0)),"Not Found"))</f>
        <v/>
      </c>
      <c r="G1548" s="25" t="str">
        <f>IF(表1[[#This Row],[No Seri]]="","",表1[[#This Row],[Deskripsi Barang]]+表1[[#This Row],[Kuantitas]]-表1[[#This Row],[Satuan]])</f>
        <v/>
      </c>
      <c r="H1548" s="28"/>
      <c r="I1548" s="25" t="str">
        <f>IF(表1[[#This Row],[Tgl NPBG]]&gt;表1[[#This Row],[Peminta]],表1[[#This Row],[Tgl NPBG]]-表1[[#This Row],[Peminta]],"")</f>
        <v/>
      </c>
      <c r="J1548" s="31"/>
    </row>
    <row r="1549" s="12" customFormat="1" customHeight="1" spans="2:10">
      <c r="B1549" s="25"/>
      <c r="C1549" s="25"/>
      <c r="D1549" s="26" t="str" cm="1">
        <f t="array" ref="D1549">IF(C1549="","",IFERROR(INDEX(STPP!$D$6:$D$4207,MATCH(C1549,STPP!$C$6:$C$4207,0)),"Not Found"))</f>
        <v/>
      </c>
      <c r="E1549" s="27" t="str" cm="1">
        <f t="array" ref="E1549">IF(C1549="","",IFERROR(INDEX(STPP!$E$6:$E$4207,MATCH(C1549,STPP!$C$6:$C$4207,0)),"Not Found"))</f>
        <v/>
      </c>
      <c r="F1549" s="27" t="str" cm="1">
        <f t="array" ref="F1549">IF(C1549="","",IFERROR(INDEX(STPP!$F$6:$F$4207,MATCH(C1549,STPP!$C$6:$C$4207,0)),"Not Found"))</f>
        <v/>
      </c>
      <c r="G1549" s="25" t="str">
        <f>IF(表1[[#This Row],[No Seri]]="","",表1[[#This Row],[Deskripsi Barang]]+表1[[#This Row],[Kuantitas]]-表1[[#This Row],[Satuan]])</f>
        <v/>
      </c>
      <c r="H1549" s="28"/>
      <c r="I1549" s="25" t="str">
        <f>IF(表1[[#This Row],[Tgl NPBG]]&gt;表1[[#This Row],[Peminta]],表1[[#This Row],[Tgl NPBG]]-表1[[#This Row],[Peminta]],"")</f>
        <v/>
      </c>
      <c r="J1549" s="31"/>
    </row>
    <row r="1550" s="12" customFormat="1" customHeight="1" spans="2:10">
      <c r="B1550" s="25"/>
      <c r="C1550" s="25"/>
      <c r="D1550" s="26" t="str" cm="1">
        <f t="array" ref="D1550">IF(C1550="","",IFERROR(INDEX(STPP!$D$6:$D$4207,MATCH(C1550,STPP!$C$6:$C$4207,0)),"Not Found"))</f>
        <v/>
      </c>
      <c r="E1550" s="27" t="str" cm="1">
        <f t="array" ref="E1550">IF(C1550="","",IFERROR(INDEX(STPP!$E$6:$E$4207,MATCH(C1550,STPP!$C$6:$C$4207,0)),"Not Found"))</f>
        <v/>
      </c>
      <c r="F1550" s="27" t="str" cm="1">
        <f t="array" ref="F1550">IF(C1550="","",IFERROR(INDEX(STPP!$F$6:$F$4207,MATCH(C1550,STPP!$C$6:$C$4207,0)),"Not Found"))</f>
        <v/>
      </c>
      <c r="G1550" s="25" t="str">
        <f>IF(表1[[#This Row],[No Seri]]="","",表1[[#This Row],[Deskripsi Barang]]+表1[[#This Row],[Kuantitas]]-表1[[#This Row],[Satuan]])</f>
        <v/>
      </c>
      <c r="H1550" s="28"/>
      <c r="I1550" s="25" t="str">
        <f>IF(表1[[#This Row],[Tgl NPBG]]&gt;表1[[#This Row],[Peminta]],表1[[#This Row],[Tgl NPBG]]-表1[[#This Row],[Peminta]],"")</f>
        <v/>
      </c>
      <c r="J1550" s="31"/>
    </row>
    <row r="1551" s="12" customFormat="1" customHeight="1" spans="2:10">
      <c r="B1551" s="25"/>
      <c r="C1551" s="25"/>
      <c r="D1551" s="26" t="str" cm="1">
        <f t="array" ref="D1551">IF(C1551="","",IFERROR(INDEX(STPP!$D$6:$D$4207,MATCH(C1551,STPP!$C$6:$C$4207,0)),"Not Found"))</f>
        <v/>
      </c>
      <c r="E1551" s="27" t="str" cm="1">
        <f t="array" ref="E1551">IF(C1551="","",IFERROR(INDEX(STPP!$E$6:$E$4207,MATCH(C1551,STPP!$C$6:$C$4207,0)),"Not Found"))</f>
        <v/>
      </c>
      <c r="F1551" s="27" t="str" cm="1">
        <f t="array" ref="F1551">IF(C1551="","",IFERROR(INDEX(STPP!$F$6:$F$4207,MATCH(C1551,STPP!$C$6:$C$4207,0)),"Not Found"))</f>
        <v/>
      </c>
      <c r="G1551" s="25" t="str">
        <f>IF(表1[[#This Row],[No Seri]]="","",表1[[#This Row],[Deskripsi Barang]]+表1[[#This Row],[Kuantitas]]-表1[[#This Row],[Satuan]])</f>
        <v/>
      </c>
      <c r="H1551" s="28"/>
      <c r="I1551" s="25" t="str">
        <f>IF(表1[[#This Row],[Tgl NPBG]]&gt;表1[[#This Row],[Peminta]],表1[[#This Row],[Tgl NPBG]]-表1[[#This Row],[Peminta]],"")</f>
        <v/>
      </c>
      <c r="J1551" s="31"/>
    </row>
    <row r="1552" s="12" customFormat="1" customHeight="1" spans="2:10">
      <c r="B1552" s="25"/>
      <c r="C1552" s="25"/>
      <c r="D1552" s="26" t="str" cm="1">
        <f t="array" ref="D1552">IF(C1552="","",IFERROR(INDEX(STPP!$D$6:$D$4207,MATCH(C1552,STPP!$C$6:$C$4207,0)),"Not Found"))</f>
        <v/>
      </c>
      <c r="E1552" s="27" t="str" cm="1">
        <f t="array" ref="E1552">IF(C1552="","",IFERROR(INDEX(STPP!$E$6:$E$4207,MATCH(C1552,STPP!$C$6:$C$4207,0)),"Not Found"))</f>
        <v/>
      </c>
      <c r="F1552" s="27" t="str" cm="1">
        <f t="array" ref="F1552">IF(C1552="","",IFERROR(INDEX(STPP!$F$6:$F$4207,MATCH(C1552,STPP!$C$6:$C$4207,0)),"Not Found"))</f>
        <v/>
      </c>
      <c r="G1552" s="25" t="str">
        <f>IF(表1[[#This Row],[No Seri]]="","",表1[[#This Row],[Deskripsi Barang]]+表1[[#This Row],[Kuantitas]]-表1[[#This Row],[Satuan]])</f>
        <v/>
      </c>
      <c r="H1552" s="28"/>
      <c r="I1552" s="25" t="str">
        <f>IF(表1[[#This Row],[Tgl NPBG]]&gt;表1[[#This Row],[Peminta]],表1[[#This Row],[Tgl NPBG]]-表1[[#This Row],[Peminta]],"")</f>
        <v/>
      </c>
      <c r="J1552" s="31"/>
    </row>
    <row r="1553" s="12" customFormat="1" customHeight="1" spans="2:10">
      <c r="B1553" s="25"/>
      <c r="C1553" s="25"/>
      <c r="D1553" s="26" t="str" cm="1">
        <f t="array" ref="D1553">IF(C1553="","",IFERROR(INDEX(STPP!$D$6:$D$4207,MATCH(C1553,STPP!$C$6:$C$4207,0)),"Not Found"))</f>
        <v/>
      </c>
      <c r="E1553" s="27" t="str" cm="1">
        <f t="array" ref="E1553">IF(C1553="","",IFERROR(INDEX(STPP!$E$6:$E$4207,MATCH(C1553,STPP!$C$6:$C$4207,0)),"Not Found"))</f>
        <v/>
      </c>
      <c r="F1553" s="27" t="str" cm="1">
        <f t="array" ref="F1553">IF(C1553="","",IFERROR(INDEX(STPP!$F$6:$F$4207,MATCH(C1553,STPP!$C$6:$C$4207,0)),"Not Found"))</f>
        <v/>
      </c>
      <c r="G1553" s="25" t="str">
        <f>IF(表1[[#This Row],[No Seri]]="","",表1[[#This Row],[Deskripsi Barang]]+表1[[#This Row],[Kuantitas]]-表1[[#This Row],[Satuan]])</f>
        <v/>
      </c>
      <c r="H1553" s="28"/>
      <c r="I1553" s="25" t="str">
        <f>IF(表1[[#This Row],[Tgl NPBG]]&gt;表1[[#This Row],[Peminta]],表1[[#This Row],[Tgl NPBG]]-表1[[#This Row],[Peminta]],"")</f>
        <v/>
      </c>
      <c r="J1553" s="31"/>
    </row>
    <row r="1554" s="12" customFormat="1" customHeight="1" spans="2:10">
      <c r="B1554" s="25"/>
      <c r="C1554" s="25"/>
      <c r="D1554" s="26" t="str" cm="1">
        <f t="array" ref="D1554">IF(C1554="","",IFERROR(INDEX(STPP!$D$6:$D$4207,MATCH(C1554,STPP!$C$6:$C$4207,0)),"Not Found"))</f>
        <v/>
      </c>
      <c r="E1554" s="27" t="str" cm="1">
        <f t="array" ref="E1554">IF(C1554="","",IFERROR(INDEX(STPP!$E$6:$E$4207,MATCH(C1554,STPP!$C$6:$C$4207,0)),"Not Found"))</f>
        <v/>
      </c>
      <c r="F1554" s="27" t="str" cm="1">
        <f t="array" ref="F1554">IF(C1554="","",IFERROR(INDEX(STPP!$F$6:$F$4207,MATCH(C1554,STPP!$C$6:$C$4207,0)),"Not Found"))</f>
        <v/>
      </c>
      <c r="G1554" s="25" t="str">
        <f>IF(表1[[#This Row],[No Seri]]="","",表1[[#This Row],[Deskripsi Barang]]+表1[[#This Row],[Kuantitas]]-表1[[#This Row],[Satuan]])</f>
        <v/>
      </c>
      <c r="H1554" s="28"/>
      <c r="I1554" s="25" t="str">
        <f>IF(表1[[#This Row],[Tgl NPBG]]&gt;表1[[#This Row],[Peminta]],表1[[#This Row],[Tgl NPBG]]-表1[[#This Row],[Peminta]],"")</f>
        <v/>
      </c>
      <c r="J1554" s="31"/>
    </row>
    <row r="1555" s="12" customFormat="1" customHeight="1" spans="2:10">
      <c r="B1555" s="25"/>
      <c r="C1555" s="25"/>
      <c r="D1555" s="26" t="str" cm="1">
        <f t="array" ref="D1555">IF(C1555="","",IFERROR(INDEX(STPP!$D$6:$D$4207,MATCH(C1555,STPP!$C$6:$C$4207,0)),"Not Found"))</f>
        <v/>
      </c>
      <c r="E1555" s="27" t="str" cm="1">
        <f t="array" ref="E1555">IF(C1555="","",IFERROR(INDEX(STPP!$E$6:$E$4207,MATCH(C1555,STPP!$C$6:$C$4207,0)),"Not Found"))</f>
        <v/>
      </c>
      <c r="F1555" s="27" t="str" cm="1">
        <f t="array" ref="F1555">IF(C1555="","",IFERROR(INDEX(STPP!$F$6:$F$4207,MATCH(C1555,STPP!$C$6:$C$4207,0)),"Not Found"))</f>
        <v/>
      </c>
      <c r="G1555" s="25" t="str">
        <f>IF(表1[[#This Row],[No Seri]]="","",表1[[#This Row],[Deskripsi Barang]]+表1[[#This Row],[Kuantitas]]-表1[[#This Row],[Satuan]])</f>
        <v/>
      </c>
      <c r="H1555" s="28"/>
      <c r="I1555" s="25" t="str">
        <f>IF(表1[[#This Row],[Tgl NPBG]]&gt;表1[[#This Row],[Peminta]],表1[[#This Row],[Tgl NPBG]]-表1[[#This Row],[Peminta]],"")</f>
        <v/>
      </c>
      <c r="J1555" s="31"/>
    </row>
    <row r="1556" s="12" customFormat="1" customHeight="1" spans="2:10">
      <c r="B1556" s="25"/>
      <c r="C1556" s="25"/>
      <c r="D1556" s="26" t="str" cm="1">
        <f t="array" ref="D1556">IF(C1556="","",IFERROR(INDEX(STPP!$D$6:$D$4207,MATCH(C1556,STPP!$C$6:$C$4207,0)),"Not Found"))</f>
        <v/>
      </c>
      <c r="E1556" s="27" t="str" cm="1">
        <f t="array" ref="E1556">IF(C1556="","",IFERROR(INDEX(STPP!$E$6:$E$4207,MATCH(C1556,STPP!$C$6:$C$4207,0)),"Not Found"))</f>
        <v/>
      </c>
      <c r="F1556" s="27" t="str" cm="1">
        <f t="array" ref="F1556">IF(C1556="","",IFERROR(INDEX(STPP!$F$6:$F$4207,MATCH(C1556,STPP!$C$6:$C$4207,0)),"Not Found"))</f>
        <v/>
      </c>
      <c r="G1556" s="25" t="str">
        <f>IF(表1[[#This Row],[No Seri]]="","",表1[[#This Row],[Deskripsi Barang]]+表1[[#This Row],[Kuantitas]]-表1[[#This Row],[Satuan]])</f>
        <v/>
      </c>
      <c r="H1556" s="28"/>
      <c r="I1556" s="25" t="str">
        <f>IF(表1[[#This Row],[Tgl NPBG]]&gt;表1[[#This Row],[Peminta]],表1[[#This Row],[Tgl NPBG]]-表1[[#This Row],[Peminta]],"")</f>
        <v/>
      </c>
      <c r="J1556" s="31"/>
    </row>
    <row r="1557" s="12" customFormat="1" customHeight="1" spans="2:10">
      <c r="B1557" s="25"/>
      <c r="C1557" s="25"/>
      <c r="D1557" s="26" t="str" cm="1">
        <f t="array" ref="D1557">IF(C1557="","",IFERROR(INDEX(STPP!$D$6:$D$4207,MATCH(C1557,STPP!$C$6:$C$4207,0)),"Not Found"))</f>
        <v/>
      </c>
      <c r="E1557" s="27" t="str" cm="1">
        <f t="array" ref="E1557">IF(C1557="","",IFERROR(INDEX(STPP!$E$6:$E$4207,MATCH(C1557,STPP!$C$6:$C$4207,0)),"Not Found"))</f>
        <v/>
      </c>
      <c r="F1557" s="27" t="str" cm="1">
        <f t="array" ref="F1557">IF(C1557="","",IFERROR(INDEX(STPP!$F$6:$F$4207,MATCH(C1557,STPP!$C$6:$C$4207,0)),"Not Found"))</f>
        <v/>
      </c>
      <c r="G1557" s="25" t="str">
        <f>IF(表1[[#This Row],[No Seri]]="","",表1[[#This Row],[Deskripsi Barang]]+表1[[#This Row],[Kuantitas]]-表1[[#This Row],[Satuan]])</f>
        <v/>
      </c>
      <c r="H1557" s="28"/>
      <c r="I1557" s="25" t="str">
        <f>IF(表1[[#This Row],[Tgl NPBG]]&gt;表1[[#This Row],[Peminta]],表1[[#This Row],[Tgl NPBG]]-表1[[#This Row],[Peminta]],"")</f>
        <v/>
      </c>
      <c r="J1557" s="31"/>
    </row>
    <row r="1558" s="12" customFormat="1" customHeight="1" spans="2:10">
      <c r="B1558" s="25"/>
      <c r="C1558" s="25"/>
      <c r="D1558" s="26" t="str" cm="1">
        <f t="array" ref="D1558">IF(C1558="","",IFERROR(INDEX(STPP!$D$6:$D$4207,MATCH(C1558,STPP!$C$6:$C$4207,0)),"Not Found"))</f>
        <v/>
      </c>
      <c r="E1558" s="27" t="str" cm="1">
        <f t="array" ref="E1558">IF(C1558="","",IFERROR(INDEX(STPP!$E$6:$E$4207,MATCH(C1558,STPP!$C$6:$C$4207,0)),"Not Found"))</f>
        <v/>
      </c>
      <c r="F1558" s="27" t="str" cm="1">
        <f t="array" ref="F1558">IF(C1558="","",IFERROR(INDEX(STPP!$F$6:$F$4207,MATCH(C1558,STPP!$C$6:$C$4207,0)),"Not Found"))</f>
        <v/>
      </c>
      <c r="G1558" s="25" t="str">
        <f>IF(表1[[#This Row],[No Seri]]="","",表1[[#This Row],[Deskripsi Barang]]+表1[[#This Row],[Kuantitas]]-表1[[#This Row],[Satuan]])</f>
        <v/>
      </c>
      <c r="H1558" s="28"/>
      <c r="I1558" s="25" t="str">
        <f>IF(表1[[#This Row],[Tgl NPBG]]&gt;表1[[#This Row],[Peminta]],表1[[#This Row],[Tgl NPBG]]-表1[[#This Row],[Peminta]],"")</f>
        <v/>
      </c>
      <c r="J1558" s="31"/>
    </row>
    <row r="1559" s="12" customFormat="1" customHeight="1" spans="2:10">
      <c r="B1559" s="25"/>
      <c r="C1559" s="25"/>
      <c r="D1559" s="26" t="str" cm="1">
        <f t="array" ref="D1559">IF(C1559="","",IFERROR(INDEX(STPP!$D$6:$D$4207,MATCH(C1559,STPP!$C$6:$C$4207,0)),"Not Found"))</f>
        <v/>
      </c>
      <c r="E1559" s="27" t="str" cm="1">
        <f t="array" ref="E1559">IF(C1559="","",IFERROR(INDEX(STPP!$E$6:$E$4207,MATCH(C1559,STPP!$C$6:$C$4207,0)),"Not Found"))</f>
        <v/>
      </c>
      <c r="F1559" s="27" t="str" cm="1">
        <f t="array" ref="F1559">IF(C1559="","",IFERROR(INDEX(STPP!$F$6:$F$4207,MATCH(C1559,STPP!$C$6:$C$4207,0)),"Not Found"))</f>
        <v/>
      </c>
      <c r="G1559" s="25" t="str">
        <f>IF(表1[[#This Row],[No Seri]]="","",表1[[#This Row],[Deskripsi Barang]]+表1[[#This Row],[Kuantitas]]-表1[[#This Row],[Satuan]])</f>
        <v/>
      </c>
      <c r="H1559" s="28"/>
      <c r="I1559" s="25" t="str">
        <f>IF(表1[[#This Row],[Tgl NPBG]]&gt;表1[[#This Row],[Peminta]],表1[[#This Row],[Tgl NPBG]]-表1[[#This Row],[Peminta]],"")</f>
        <v/>
      </c>
      <c r="J1559" s="31"/>
    </row>
    <row r="1560" s="12" customFormat="1" customHeight="1" spans="2:10">
      <c r="B1560" s="25"/>
      <c r="C1560" s="25"/>
      <c r="D1560" s="26" t="str" cm="1">
        <f t="array" ref="D1560">IF(C1560="","",IFERROR(INDEX(STPP!$D$6:$D$4207,MATCH(C1560,STPP!$C$6:$C$4207,0)),"Not Found"))</f>
        <v/>
      </c>
      <c r="E1560" s="27" t="str" cm="1">
        <f t="array" ref="E1560">IF(C1560="","",IFERROR(INDEX(STPP!$E$6:$E$4207,MATCH(C1560,STPP!$C$6:$C$4207,0)),"Not Found"))</f>
        <v/>
      </c>
      <c r="F1560" s="27" t="str" cm="1">
        <f t="array" ref="F1560">IF(C1560="","",IFERROR(INDEX(STPP!$F$6:$F$4207,MATCH(C1560,STPP!$C$6:$C$4207,0)),"Not Found"))</f>
        <v/>
      </c>
      <c r="G1560" s="25" t="str">
        <f>IF(表1[[#This Row],[No Seri]]="","",表1[[#This Row],[Deskripsi Barang]]+表1[[#This Row],[Kuantitas]]-表1[[#This Row],[Satuan]])</f>
        <v/>
      </c>
      <c r="H1560" s="28"/>
      <c r="I1560" s="25" t="str">
        <f>IF(表1[[#This Row],[Tgl NPBG]]&gt;表1[[#This Row],[Peminta]],表1[[#This Row],[Tgl NPBG]]-表1[[#This Row],[Peminta]],"")</f>
        <v/>
      </c>
      <c r="J1560" s="31"/>
    </row>
    <row r="1561" s="12" customFormat="1" customHeight="1" spans="2:10">
      <c r="B1561" s="25"/>
      <c r="C1561" s="25"/>
      <c r="D1561" s="26" t="str" cm="1">
        <f t="array" ref="D1561">IF(C1561="","",IFERROR(INDEX(STPP!$D$6:$D$4207,MATCH(C1561,STPP!$C$6:$C$4207,0)),"Not Found"))</f>
        <v/>
      </c>
      <c r="E1561" s="27" t="str" cm="1">
        <f t="array" ref="E1561">IF(C1561="","",IFERROR(INDEX(STPP!$E$6:$E$4207,MATCH(C1561,STPP!$C$6:$C$4207,0)),"Not Found"))</f>
        <v/>
      </c>
      <c r="F1561" s="27" t="str" cm="1">
        <f t="array" ref="F1561">IF(C1561="","",IFERROR(INDEX(STPP!$F$6:$F$4207,MATCH(C1561,STPP!$C$6:$C$4207,0)),"Not Found"))</f>
        <v/>
      </c>
      <c r="G1561" s="25" t="str">
        <f>IF(表1[[#This Row],[No Seri]]="","",表1[[#This Row],[Deskripsi Barang]]+表1[[#This Row],[Kuantitas]]-表1[[#This Row],[Satuan]])</f>
        <v/>
      </c>
      <c r="H1561" s="28"/>
      <c r="I1561" s="25" t="str">
        <f>IF(表1[[#This Row],[Tgl NPBG]]&gt;表1[[#This Row],[Peminta]],表1[[#This Row],[Tgl NPBG]]-表1[[#This Row],[Peminta]],"")</f>
        <v/>
      </c>
      <c r="J1561" s="31"/>
    </row>
    <row r="1562" s="12" customFormat="1" customHeight="1" spans="2:10">
      <c r="B1562" s="25"/>
      <c r="C1562" s="25"/>
      <c r="D1562" s="26" t="str" cm="1">
        <f t="array" ref="D1562">IF(C1562="","",IFERROR(INDEX(STPP!$D$6:$D$4207,MATCH(C1562,STPP!$C$6:$C$4207,0)),"Not Found"))</f>
        <v/>
      </c>
      <c r="E1562" s="27" t="str" cm="1">
        <f t="array" ref="E1562">IF(C1562="","",IFERROR(INDEX(STPP!$E$6:$E$4207,MATCH(C1562,STPP!$C$6:$C$4207,0)),"Not Found"))</f>
        <v/>
      </c>
      <c r="F1562" s="27" t="str" cm="1">
        <f t="array" ref="F1562">IF(C1562="","",IFERROR(INDEX(STPP!$F$6:$F$4207,MATCH(C1562,STPP!$C$6:$C$4207,0)),"Not Found"))</f>
        <v/>
      </c>
      <c r="G1562" s="25" t="str">
        <f>IF(表1[[#This Row],[No Seri]]="","",表1[[#This Row],[Deskripsi Barang]]+表1[[#This Row],[Kuantitas]]-表1[[#This Row],[Satuan]])</f>
        <v/>
      </c>
      <c r="H1562" s="28"/>
      <c r="I1562" s="25" t="str">
        <f>IF(表1[[#This Row],[Tgl NPBG]]&gt;表1[[#This Row],[Peminta]],表1[[#This Row],[Tgl NPBG]]-表1[[#This Row],[Peminta]],"")</f>
        <v/>
      </c>
      <c r="J1562" s="31"/>
    </row>
    <row r="1563" s="12" customFormat="1" customHeight="1" spans="2:10">
      <c r="B1563" s="25"/>
      <c r="C1563" s="25"/>
      <c r="D1563" s="26" t="str" cm="1">
        <f t="array" ref="D1563">IF(C1563="","",IFERROR(INDEX(STPP!$D$6:$D$4207,MATCH(C1563,STPP!$C$6:$C$4207,0)),"Not Found"))</f>
        <v/>
      </c>
      <c r="E1563" s="27" t="str" cm="1">
        <f t="array" ref="E1563">IF(C1563="","",IFERROR(INDEX(STPP!$E$6:$E$4207,MATCH(C1563,STPP!$C$6:$C$4207,0)),"Not Found"))</f>
        <v/>
      </c>
      <c r="F1563" s="27" t="str" cm="1">
        <f t="array" ref="F1563">IF(C1563="","",IFERROR(INDEX(STPP!$F$6:$F$4207,MATCH(C1563,STPP!$C$6:$C$4207,0)),"Not Found"))</f>
        <v/>
      </c>
      <c r="G1563" s="25" t="str">
        <f>IF(表1[[#This Row],[No Seri]]="","",表1[[#This Row],[Deskripsi Barang]]+表1[[#This Row],[Kuantitas]]-表1[[#This Row],[Satuan]])</f>
        <v/>
      </c>
      <c r="H1563" s="28"/>
      <c r="I1563" s="25" t="str">
        <f>IF(表1[[#This Row],[Tgl NPBG]]&gt;表1[[#This Row],[Peminta]],表1[[#This Row],[Tgl NPBG]]-表1[[#This Row],[Peminta]],"")</f>
        <v/>
      </c>
      <c r="J1563" s="31"/>
    </row>
    <row r="1564" s="12" customFormat="1" customHeight="1" spans="2:10">
      <c r="B1564" s="25"/>
      <c r="C1564" s="25"/>
      <c r="D1564" s="26" t="str" cm="1">
        <f t="array" ref="D1564">IF(C1564="","",IFERROR(INDEX(STPP!$D$6:$D$4207,MATCH(C1564,STPP!$C$6:$C$4207,0)),"Not Found"))</f>
        <v/>
      </c>
      <c r="E1564" s="27" t="str" cm="1">
        <f t="array" ref="E1564">IF(C1564="","",IFERROR(INDEX(STPP!$E$6:$E$4207,MATCH(C1564,STPP!$C$6:$C$4207,0)),"Not Found"))</f>
        <v/>
      </c>
      <c r="F1564" s="27" t="str" cm="1">
        <f t="array" ref="F1564">IF(C1564="","",IFERROR(INDEX(STPP!$F$6:$F$4207,MATCH(C1564,STPP!$C$6:$C$4207,0)),"Not Found"))</f>
        <v/>
      </c>
      <c r="G1564" s="25" t="str">
        <f>IF(表1[[#This Row],[No Seri]]="","",表1[[#This Row],[Deskripsi Barang]]+表1[[#This Row],[Kuantitas]]-表1[[#This Row],[Satuan]])</f>
        <v/>
      </c>
      <c r="H1564" s="28"/>
      <c r="I1564" s="25" t="str">
        <f>IF(表1[[#This Row],[Tgl NPBG]]&gt;表1[[#This Row],[Peminta]],表1[[#This Row],[Tgl NPBG]]-表1[[#This Row],[Peminta]],"")</f>
        <v/>
      </c>
      <c r="J1564" s="31"/>
    </row>
    <row r="1565" s="12" customFormat="1" customHeight="1" spans="2:10">
      <c r="B1565" s="25"/>
      <c r="C1565" s="25"/>
      <c r="D1565" s="26" t="str" cm="1">
        <f t="array" ref="D1565">IF(C1565="","",IFERROR(INDEX(STPP!$D$6:$D$4207,MATCH(C1565,STPP!$C$6:$C$4207,0)),"Not Found"))</f>
        <v/>
      </c>
      <c r="E1565" s="27" t="str" cm="1">
        <f t="array" ref="E1565">IF(C1565="","",IFERROR(INDEX(STPP!$E$6:$E$4207,MATCH(C1565,STPP!$C$6:$C$4207,0)),"Not Found"))</f>
        <v/>
      </c>
      <c r="F1565" s="27" t="str" cm="1">
        <f t="array" ref="F1565">IF(C1565="","",IFERROR(INDEX(STPP!$F$6:$F$4207,MATCH(C1565,STPP!$C$6:$C$4207,0)),"Not Found"))</f>
        <v/>
      </c>
      <c r="G1565" s="25" t="str">
        <f>IF(表1[[#This Row],[No Seri]]="","",表1[[#This Row],[Deskripsi Barang]]+表1[[#This Row],[Kuantitas]]-表1[[#This Row],[Satuan]])</f>
        <v/>
      </c>
      <c r="H1565" s="28"/>
      <c r="I1565" s="25" t="str">
        <f>IF(表1[[#This Row],[Tgl NPBG]]&gt;表1[[#This Row],[Peminta]],表1[[#This Row],[Tgl NPBG]]-表1[[#This Row],[Peminta]],"")</f>
        <v/>
      </c>
      <c r="J1565" s="31"/>
    </row>
    <row r="1566" s="12" customFormat="1" customHeight="1" spans="2:10">
      <c r="B1566" s="25"/>
      <c r="C1566" s="25"/>
      <c r="D1566" s="26" t="str" cm="1">
        <f t="array" ref="D1566">IF(C1566="","",IFERROR(INDEX(STPP!$D$6:$D$4207,MATCH(C1566,STPP!$C$6:$C$4207,0)),"Not Found"))</f>
        <v/>
      </c>
      <c r="E1566" s="27" t="str" cm="1">
        <f t="array" ref="E1566">IF(C1566="","",IFERROR(INDEX(STPP!$E$6:$E$4207,MATCH(C1566,STPP!$C$6:$C$4207,0)),"Not Found"))</f>
        <v/>
      </c>
      <c r="F1566" s="27" t="str" cm="1">
        <f t="array" ref="F1566">IF(C1566="","",IFERROR(INDEX(STPP!$F$6:$F$4207,MATCH(C1566,STPP!$C$6:$C$4207,0)),"Not Found"))</f>
        <v/>
      </c>
      <c r="G1566" s="25" t="str">
        <f>IF(表1[[#This Row],[No Seri]]="","",表1[[#This Row],[Deskripsi Barang]]+表1[[#This Row],[Kuantitas]]-表1[[#This Row],[Satuan]])</f>
        <v/>
      </c>
      <c r="H1566" s="28"/>
      <c r="I1566" s="25" t="str">
        <f>IF(表1[[#This Row],[Tgl NPBG]]&gt;表1[[#This Row],[Peminta]],表1[[#This Row],[Tgl NPBG]]-表1[[#This Row],[Peminta]],"")</f>
        <v/>
      </c>
      <c r="J1566" s="31"/>
    </row>
    <row r="1567" s="12" customFormat="1" customHeight="1" spans="2:10">
      <c r="B1567" s="25"/>
      <c r="C1567" s="25"/>
      <c r="D1567" s="26" t="str" cm="1">
        <f t="array" ref="D1567">IF(C1567="","",IFERROR(INDEX(STPP!$D$6:$D$4207,MATCH(C1567,STPP!$C$6:$C$4207,0)),"Not Found"))</f>
        <v/>
      </c>
      <c r="E1567" s="27" t="str" cm="1">
        <f t="array" ref="E1567">IF(C1567="","",IFERROR(INDEX(STPP!$E$6:$E$4207,MATCH(C1567,STPP!$C$6:$C$4207,0)),"Not Found"))</f>
        <v/>
      </c>
      <c r="F1567" s="27" t="str" cm="1">
        <f t="array" ref="F1567">IF(C1567="","",IFERROR(INDEX(STPP!$F$6:$F$4207,MATCH(C1567,STPP!$C$6:$C$4207,0)),"Not Found"))</f>
        <v/>
      </c>
      <c r="G1567" s="25" t="str">
        <f>IF(表1[[#This Row],[No Seri]]="","",表1[[#This Row],[Deskripsi Barang]]+表1[[#This Row],[Kuantitas]]-表1[[#This Row],[Satuan]])</f>
        <v/>
      </c>
      <c r="H1567" s="28"/>
      <c r="I1567" s="25" t="str">
        <f>IF(表1[[#This Row],[Tgl NPBG]]&gt;表1[[#This Row],[Peminta]],表1[[#This Row],[Tgl NPBG]]-表1[[#This Row],[Peminta]],"")</f>
        <v/>
      </c>
      <c r="J1567" s="31"/>
    </row>
    <row r="1568" s="12" customFormat="1" customHeight="1" spans="2:10">
      <c r="B1568" s="25"/>
      <c r="C1568" s="25"/>
      <c r="D1568" s="26" t="str" cm="1">
        <f t="array" ref="D1568">IF(C1568="","",IFERROR(INDEX(STPP!$D$6:$D$4207,MATCH(C1568,STPP!$C$6:$C$4207,0)),"Not Found"))</f>
        <v/>
      </c>
      <c r="E1568" s="27" t="str" cm="1">
        <f t="array" ref="E1568">IF(C1568="","",IFERROR(INDEX(STPP!$E$6:$E$4207,MATCH(C1568,STPP!$C$6:$C$4207,0)),"Not Found"))</f>
        <v/>
      </c>
      <c r="F1568" s="27" t="str" cm="1">
        <f t="array" ref="F1568">IF(C1568="","",IFERROR(INDEX(STPP!$F$6:$F$4207,MATCH(C1568,STPP!$C$6:$C$4207,0)),"Not Found"))</f>
        <v/>
      </c>
      <c r="G1568" s="25" t="str">
        <f>IF(表1[[#This Row],[No Seri]]="","",表1[[#This Row],[Deskripsi Barang]]+表1[[#This Row],[Kuantitas]]-表1[[#This Row],[Satuan]])</f>
        <v/>
      </c>
      <c r="H1568" s="28"/>
      <c r="I1568" s="25" t="str">
        <f>IF(表1[[#This Row],[Tgl NPBG]]&gt;表1[[#This Row],[Peminta]],表1[[#This Row],[Tgl NPBG]]-表1[[#This Row],[Peminta]],"")</f>
        <v/>
      </c>
      <c r="J1568" s="31"/>
    </row>
    <row r="1569" s="12" customFormat="1" customHeight="1" spans="2:10">
      <c r="B1569" s="25"/>
      <c r="C1569" s="25"/>
      <c r="D1569" s="26" t="str" cm="1">
        <f t="array" ref="D1569">IF(C1569="","",IFERROR(INDEX(STPP!$D$6:$D$4207,MATCH(C1569,STPP!$C$6:$C$4207,0)),"Not Found"))</f>
        <v/>
      </c>
      <c r="E1569" s="27" t="str" cm="1">
        <f t="array" ref="E1569">IF(C1569="","",IFERROR(INDEX(STPP!$E$6:$E$4207,MATCH(C1569,STPP!$C$6:$C$4207,0)),"Not Found"))</f>
        <v/>
      </c>
      <c r="F1569" s="27" t="str" cm="1">
        <f t="array" ref="F1569">IF(C1569="","",IFERROR(INDEX(STPP!$F$6:$F$4207,MATCH(C1569,STPP!$C$6:$C$4207,0)),"Not Found"))</f>
        <v/>
      </c>
      <c r="G1569" s="25" t="str">
        <f>IF(表1[[#This Row],[No Seri]]="","",表1[[#This Row],[Deskripsi Barang]]+表1[[#This Row],[Kuantitas]]-表1[[#This Row],[Satuan]])</f>
        <v/>
      </c>
      <c r="H1569" s="28"/>
      <c r="I1569" s="25" t="str">
        <f>IF(表1[[#This Row],[Tgl NPBG]]&gt;表1[[#This Row],[Peminta]],表1[[#This Row],[Tgl NPBG]]-表1[[#This Row],[Peminta]],"")</f>
        <v/>
      </c>
      <c r="J1569" s="31"/>
    </row>
    <row r="1570" s="12" customFormat="1" customHeight="1" spans="2:10">
      <c r="B1570" s="25"/>
      <c r="C1570" s="25"/>
      <c r="D1570" s="26" t="str" cm="1">
        <f t="array" ref="D1570">IF(C1570="","",IFERROR(INDEX(STPP!$D$6:$D$4207,MATCH(C1570,STPP!$C$6:$C$4207,0)),"Not Found"))</f>
        <v/>
      </c>
      <c r="E1570" s="27" t="str" cm="1">
        <f t="array" ref="E1570">IF(C1570="","",IFERROR(INDEX(STPP!$E$6:$E$4207,MATCH(C1570,STPP!$C$6:$C$4207,0)),"Not Found"))</f>
        <v/>
      </c>
      <c r="F1570" s="27" t="str" cm="1">
        <f t="array" ref="F1570">IF(C1570="","",IFERROR(INDEX(STPP!$F$6:$F$4207,MATCH(C1570,STPP!$C$6:$C$4207,0)),"Not Found"))</f>
        <v/>
      </c>
      <c r="G1570" s="25" t="str">
        <f>IF(表1[[#This Row],[No Seri]]="","",表1[[#This Row],[Deskripsi Barang]]+表1[[#This Row],[Kuantitas]]-表1[[#This Row],[Satuan]])</f>
        <v/>
      </c>
      <c r="H1570" s="28"/>
      <c r="I1570" s="25" t="str">
        <f>IF(表1[[#This Row],[Tgl NPBG]]&gt;表1[[#This Row],[Peminta]],表1[[#This Row],[Tgl NPBG]]-表1[[#This Row],[Peminta]],"")</f>
        <v/>
      </c>
      <c r="J1570" s="31"/>
    </row>
    <row r="1571" s="12" customFormat="1" customHeight="1" spans="2:10">
      <c r="B1571" s="25"/>
      <c r="C1571" s="25"/>
      <c r="D1571" s="26" t="str" cm="1">
        <f t="array" ref="D1571">IF(C1571="","",IFERROR(INDEX(STPP!$D$6:$D$4207,MATCH(C1571,STPP!$C$6:$C$4207,0)),"Not Found"))</f>
        <v/>
      </c>
      <c r="E1571" s="27" t="str" cm="1">
        <f t="array" ref="E1571">IF(C1571="","",IFERROR(INDEX(STPP!$E$6:$E$4207,MATCH(C1571,STPP!$C$6:$C$4207,0)),"Not Found"))</f>
        <v/>
      </c>
      <c r="F1571" s="27" t="str" cm="1">
        <f t="array" ref="F1571">IF(C1571="","",IFERROR(INDEX(STPP!$F$6:$F$4207,MATCH(C1571,STPP!$C$6:$C$4207,0)),"Not Found"))</f>
        <v/>
      </c>
      <c r="G1571" s="25" t="str">
        <f>IF(表1[[#This Row],[No Seri]]="","",表1[[#This Row],[Deskripsi Barang]]+表1[[#This Row],[Kuantitas]]-表1[[#This Row],[Satuan]])</f>
        <v/>
      </c>
      <c r="H1571" s="28"/>
      <c r="I1571" s="25" t="str">
        <f>IF(表1[[#This Row],[Tgl NPBG]]&gt;表1[[#This Row],[Peminta]],表1[[#This Row],[Tgl NPBG]]-表1[[#This Row],[Peminta]],"")</f>
        <v/>
      </c>
      <c r="J1571" s="31"/>
    </row>
    <row r="1572" s="12" customFormat="1" customHeight="1" spans="2:10">
      <c r="B1572" s="25"/>
      <c r="C1572" s="25"/>
      <c r="D1572" s="26" t="str" cm="1">
        <f t="array" ref="D1572">IF(C1572="","",IFERROR(INDEX(STPP!$D$6:$D$4207,MATCH(C1572,STPP!$C$6:$C$4207,0)),"Not Found"))</f>
        <v/>
      </c>
      <c r="E1572" s="27" t="str" cm="1">
        <f t="array" ref="E1572">IF(C1572="","",IFERROR(INDEX(STPP!$E$6:$E$4207,MATCH(C1572,STPP!$C$6:$C$4207,0)),"Not Found"))</f>
        <v/>
      </c>
      <c r="F1572" s="27" t="str" cm="1">
        <f t="array" ref="F1572">IF(C1572="","",IFERROR(INDEX(STPP!$F$6:$F$4207,MATCH(C1572,STPP!$C$6:$C$4207,0)),"Not Found"))</f>
        <v/>
      </c>
      <c r="G1572" s="25" t="str">
        <f>IF(表1[[#This Row],[No Seri]]="","",表1[[#This Row],[Deskripsi Barang]]+表1[[#This Row],[Kuantitas]]-表1[[#This Row],[Satuan]])</f>
        <v/>
      </c>
      <c r="H1572" s="28"/>
      <c r="I1572" s="25" t="str">
        <f>IF(表1[[#This Row],[Tgl NPBG]]&gt;表1[[#This Row],[Peminta]],表1[[#This Row],[Tgl NPBG]]-表1[[#This Row],[Peminta]],"")</f>
        <v/>
      </c>
      <c r="J1572" s="31"/>
    </row>
    <row r="1573" s="12" customFormat="1" customHeight="1" spans="2:10">
      <c r="B1573" s="25"/>
      <c r="C1573" s="25"/>
      <c r="D1573" s="26" t="str" cm="1">
        <f t="array" ref="D1573">IF(C1573="","",IFERROR(INDEX(STPP!$D$6:$D$4207,MATCH(C1573,STPP!$C$6:$C$4207,0)),"Not Found"))</f>
        <v/>
      </c>
      <c r="E1573" s="27" t="str" cm="1">
        <f t="array" ref="E1573">IF(C1573="","",IFERROR(INDEX(STPP!$E$6:$E$4207,MATCH(C1573,STPP!$C$6:$C$4207,0)),"Not Found"))</f>
        <v/>
      </c>
      <c r="F1573" s="27" t="str" cm="1">
        <f t="array" ref="F1573">IF(C1573="","",IFERROR(INDEX(STPP!$F$6:$F$4207,MATCH(C1573,STPP!$C$6:$C$4207,0)),"Not Found"))</f>
        <v/>
      </c>
      <c r="G1573" s="25" t="str">
        <f>IF(表1[[#This Row],[No Seri]]="","",表1[[#This Row],[Deskripsi Barang]]+表1[[#This Row],[Kuantitas]]-表1[[#This Row],[Satuan]])</f>
        <v/>
      </c>
      <c r="H1573" s="28"/>
      <c r="I1573" s="25" t="str">
        <f>IF(表1[[#This Row],[Tgl NPBG]]&gt;表1[[#This Row],[Peminta]],表1[[#This Row],[Tgl NPBG]]-表1[[#This Row],[Peminta]],"")</f>
        <v/>
      </c>
      <c r="J1573" s="31"/>
    </row>
    <row r="1574" s="12" customFormat="1" customHeight="1" spans="2:10">
      <c r="B1574" s="25"/>
      <c r="C1574" s="25"/>
      <c r="D1574" s="26" t="str" cm="1">
        <f t="array" ref="D1574">IF(C1574="","",IFERROR(INDEX(STPP!$D$6:$D$4207,MATCH(C1574,STPP!$C$6:$C$4207,0)),"Not Found"))</f>
        <v/>
      </c>
      <c r="E1574" s="27" t="str" cm="1">
        <f t="array" ref="E1574">IF(C1574="","",IFERROR(INDEX(STPP!$E$6:$E$4207,MATCH(C1574,STPP!$C$6:$C$4207,0)),"Not Found"))</f>
        <v/>
      </c>
      <c r="F1574" s="27" t="str" cm="1">
        <f t="array" ref="F1574">IF(C1574="","",IFERROR(INDEX(STPP!$F$6:$F$4207,MATCH(C1574,STPP!$C$6:$C$4207,0)),"Not Found"))</f>
        <v/>
      </c>
      <c r="G1574" s="25" t="str">
        <f>IF(表1[[#This Row],[No Seri]]="","",表1[[#This Row],[Deskripsi Barang]]+表1[[#This Row],[Kuantitas]]-表1[[#This Row],[Satuan]])</f>
        <v/>
      </c>
      <c r="H1574" s="28"/>
      <c r="I1574" s="25" t="str">
        <f>IF(表1[[#This Row],[Tgl NPBG]]&gt;表1[[#This Row],[Peminta]],表1[[#This Row],[Tgl NPBG]]-表1[[#This Row],[Peminta]],"")</f>
        <v/>
      </c>
      <c r="J1574" s="31"/>
    </row>
    <row r="1575" s="12" customFormat="1" customHeight="1" spans="2:10">
      <c r="B1575" s="25"/>
      <c r="C1575" s="25"/>
      <c r="D1575" s="26" t="str" cm="1">
        <f t="array" ref="D1575">IF(C1575="","",IFERROR(INDEX(STPP!$D$6:$D$4207,MATCH(C1575,STPP!$C$6:$C$4207,0)),"Not Found"))</f>
        <v/>
      </c>
      <c r="E1575" s="27" t="str" cm="1">
        <f t="array" ref="E1575">IF(C1575="","",IFERROR(INDEX(STPP!$E$6:$E$4207,MATCH(C1575,STPP!$C$6:$C$4207,0)),"Not Found"))</f>
        <v/>
      </c>
      <c r="F1575" s="27" t="str" cm="1">
        <f t="array" ref="F1575">IF(C1575="","",IFERROR(INDEX(STPP!$F$6:$F$4207,MATCH(C1575,STPP!$C$6:$C$4207,0)),"Not Found"))</f>
        <v/>
      </c>
      <c r="G1575" s="25" t="str">
        <f>IF(表1[[#This Row],[No Seri]]="","",表1[[#This Row],[Deskripsi Barang]]+表1[[#This Row],[Kuantitas]]-表1[[#This Row],[Satuan]])</f>
        <v/>
      </c>
      <c r="H1575" s="28"/>
      <c r="I1575" s="25" t="str">
        <f>IF(表1[[#This Row],[Tgl NPBG]]&gt;表1[[#This Row],[Peminta]],表1[[#This Row],[Tgl NPBG]]-表1[[#This Row],[Peminta]],"")</f>
        <v/>
      </c>
      <c r="J1575" s="31"/>
    </row>
    <row r="1576" s="12" customFormat="1" customHeight="1" spans="2:10">
      <c r="B1576" s="25"/>
      <c r="C1576" s="25"/>
      <c r="D1576" s="26" t="str" cm="1">
        <f t="array" ref="D1576">IF(C1576="","",IFERROR(INDEX(STPP!$D$6:$D$4207,MATCH(C1576,STPP!$C$6:$C$4207,0)),"Not Found"))</f>
        <v/>
      </c>
      <c r="E1576" s="27" t="str" cm="1">
        <f t="array" ref="E1576">IF(C1576="","",IFERROR(INDEX(STPP!$E$6:$E$4207,MATCH(C1576,STPP!$C$6:$C$4207,0)),"Not Found"))</f>
        <v/>
      </c>
      <c r="F1576" s="27" t="str" cm="1">
        <f t="array" ref="F1576">IF(C1576="","",IFERROR(INDEX(STPP!$F$6:$F$4207,MATCH(C1576,STPP!$C$6:$C$4207,0)),"Not Found"))</f>
        <v/>
      </c>
      <c r="G1576" s="25" t="str">
        <f>IF(表1[[#This Row],[No Seri]]="","",表1[[#This Row],[Deskripsi Barang]]+表1[[#This Row],[Kuantitas]]-表1[[#This Row],[Satuan]])</f>
        <v/>
      </c>
      <c r="H1576" s="28"/>
      <c r="I1576" s="25" t="str">
        <f>IF(表1[[#This Row],[Tgl NPBG]]&gt;表1[[#This Row],[Peminta]],表1[[#This Row],[Tgl NPBG]]-表1[[#This Row],[Peminta]],"")</f>
        <v/>
      </c>
      <c r="J1576" s="31"/>
    </row>
    <row r="1577" s="12" customFormat="1" customHeight="1" spans="2:10">
      <c r="B1577" s="25"/>
      <c r="C1577" s="25"/>
      <c r="D1577" s="26" t="str" cm="1">
        <f t="array" ref="D1577">IF(C1577="","",IFERROR(INDEX(STPP!$D$6:$D$4207,MATCH(C1577,STPP!$C$6:$C$4207,0)),"Not Found"))</f>
        <v/>
      </c>
      <c r="E1577" s="27" t="str" cm="1">
        <f t="array" ref="E1577">IF(C1577="","",IFERROR(INDEX(STPP!$E$6:$E$4207,MATCH(C1577,STPP!$C$6:$C$4207,0)),"Not Found"))</f>
        <v/>
      </c>
      <c r="F1577" s="27" t="str" cm="1">
        <f t="array" ref="F1577">IF(C1577="","",IFERROR(INDEX(STPP!$F$6:$F$4207,MATCH(C1577,STPP!$C$6:$C$4207,0)),"Not Found"))</f>
        <v/>
      </c>
      <c r="G1577" s="25" t="str">
        <f>IF(表1[[#This Row],[No Seri]]="","",表1[[#This Row],[Deskripsi Barang]]+表1[[#This Row],[Kuantitas]]-表1[[#This Row],[Satuan]])</f>
        <v/>
      </c>
      <c r="H1577" s="28"/>
      <c r="I1577" s="25" t="str">
        <f>IF(表1[[#This Row],[Tgl NPBG]]&gt;表1[[#This Row],[Peminta]],表1[[#This Row],[Tgl NPBG]]-表1[[#This Row],[Peminta]],"")</f>
        <v/>
      </c>
      <c r="J1577" s="31"/>
    </row>
    <row r="1578" s="12" customFormat="1" customHeight="1" spans="2:10">
      <c r="B1578" s="25"/>
      <c r="C1578" s="25"/>
      <c r="D1578" s="26" t="str" cm="1">
        <f t="array" ref="D1578">IF(C1578="","",IFERROR(INDEX(STPP!$D$6:$D$4207,MATCH(C1578,STPP!$C$6:$C$4207,0)),"Not Found"))</f>
        <v/>
      </c>
      <c r="E1578" s="27" t="str" cm="1">
        <f t="array" ref="E1578">IF(C1578="","",IFERROR(INDEX(STPP!$E$6:$E$4207,MATCH(C1578,STPP!$C$6:$C$4207,0)),"Not Found"))</f>
        <v/>
      </c>
      <c r="F1578" s="27" t="str" cm="1">
        <f t="array" ref="F1578">IF(C1578="","",IFERROR(INDEX(STPP!$F$6:$F$4207,MATCH(C1578,STPP!$C$6:$C$4207,0)),"Not Found"))</f>
        <v/>
      </c>
      <c r="G1578" s="25" t="str">
        <f>IF(表1[[#This Row],[No Seri]]="","",表1[[#This Row],[Deskripsi Barang]]+表1[[#This Row],[Kuantitas]]-表1[[#This Row],[Satuan]])</f>
        <v/>
      </c>
      <c r="H1578" s="28"/>
      <c r="I1578" s="25" t="str">
        <f>IF(表1[[#This Row],[Tgl NPBG]]&gt;表1[[#This Row],[Peminta]],表1[[#This Row],[Tgl NPBG]]-表1[[#This Row],[Peminta]],"")</f>
        <v/>
      </c>
      <c r="J1578" s="31"/>
    </row>
    <row r="1579" s="12" customFormat="1" customHeight="1" spans="2:10">
      <c r="B1579" s="25"/>
      <c r="C1579" s="25"/>
      <c r="D1579" s="26" t="str" cm="1">
        <f t="array" ref="D1579">IF(C1579="","",IFERROR(INDEX(STPP!$D$6:$D$4207,MATCH(C1579,STPP!$C$6:$C$4207,0)),"Not Found"))</f>
        <v/>
      </c>
      <c r="E1579" s="27" t="str" cm="1">
        <f t="array" ref="E1579">IF(C1579="","",IFERROR(INDEX(STPP!$E$6:$E$4207,MATCH(C1579,STPP!$C$6:$C$4207,0)),"Not Found"))</f>
        <v/>
      </c>
      <c r="F1579" s="27" t="str" cm="1">
        <f t="array" ref="F1579">IF(C1579="","",IFERROR(INDEX(STPP!$F$6:$F$4207,MATCH(C1579,STPP!$C$6:$C$4207,0)),"Not Found"))</f>
        <v/>
      </c>
      <c r="G1579" s="25" t="str">
        <f>IF(表1[[#This Row],[No Seri]]="","",表1[[#This Row],[Deskripsi Barang]]+表1[[#This Row],[Kuantitas]]-表1[[#This Row],[Satuan]])</f>
        <v/>
      </c>
      <c r="H1579" s="28"/>
      <c r="I1579" s="25" t="str">
        <f>IF(表1[[#This Row],[Tgl NPBG]]&gt;表1[[#This Row],[Peminta]],表1[[#This Row],[Tgl NPBG]]-表1[[#This Row],[Peminta]],"")</f>
        <v/>
      </c>
      <c r="J1579" s="31"/>
    </row>
    <row r="1580" s="12" customFormat="1" customHeight="1" spans="2:10">
      <c r="B1580" s="25"/>
      <c r="C1580" s="25"/>
      <c r="D1580" s="26" t="str" cm="1">
        <f t="array" ref="D1580">IF(C1580="","",IFERROR(INDEX(STPP!$D$6:$D$4207,MATCH(C1580,STPP!$C$6:$C$4207,0)),"Not Found"))</f>
        <v/>
      </c>
      <c r="E1580" s="27" t="str" cm="1">
        <f t="array" ref="E1580">IF(C1580="","",IFERROR(INDEX(STPP!$E$6:$E$4207,MATCH(C1580,STPP!$C$6:$C$4207,0)),"Not Found"))</f>
        <v/>
      </c>
      <c r="F1580" s="27" t="str" cm="1">
        <f t="array" ref="F1580">IF(C1580="","",IFERROR(INDEX(STPP!$F$6:$F$4207,MATCH(C1580,STPP!$C$6:$C$4207,0)),"Not Found"))</f>
        <v/>
      </c>
      <c r="G1580" s="25" t="str">
        <f>IF(表1[[#This Row],[No Seri]]="","",表1[[#This Row],[Deskripsi Barang]]+表1[[#This Row],[Kuantitas]]-表1[[#This Row],[Satuan]])</f>
        <v/>
      </c>
      <c r="H1580" s="28"/>
      <c r="I1580" s="25" t="str">
        <f>IF(表1[[#This Row],[Tgl NPBG]]&gt;表1[[#This Row],[Peminta]],表1[[#This Row],[Tgl NPBG]]-表1[[#This Row],[Peminta]],"")</f>
        <v/>
      </c>
      <c r="J1580" s="31"/>
    </row>
    <row r="1581" s="12" customFormat="1" customHeight="1" spans="2:10">
      <c r="B1581" s="25"/>
      <c r="C1581" s="25"/>
      <c r="D1581" s="26" t="str" cm="1">
        <f t="array" ref="D1581">IF(C1581="","",IFERROR(INDEX(STPP!$D$6:$D$4207,MATCH(C1581,STPP!$C$6:$C$4207,0)),"Not Found"))</f>
        <v/>
      </c>
      <c r="E1581" s="27" t="str" cm="1">
        <f t="array" ref="E1581">IF(C1581="","",IFERROR(INDEX(STPP!$E$6:$E$4207,MATCH(C1581,STPP!$C$6:$C$4207,0)),"Not Found"))</f>
        <v/>
      </c>
      <c r="F1581" s="27" t="str" cm="1">
        <f t="array" ref="F1581">IF(C1581="","",IFERROR(INDEX(STPP!$F$6:$F$4207,MATCH(C1581,STPP!$C$6:$C$4207,0)),"Not Found"))</f>
        <v/>
      </c>
      <c r="G1581" s="25" t="str">
        <f>IF(表1[[#This Row],[No Seri]]="","",表1[[#This Row],[Deskripsi Barang]]+表1[[#This Row],[Kuantitas]]-表1[[#This Row],[Satuan]])</f>
        <v/>
      </c>
      <c r="H1581" s="28"/>
      <c r="I1581" s="25" t="str">
        <f>IF(表1[[#This Row],[Tgl NPBG]]&gt;表1[[#This Row],[Peminta]],表1[[#This Row],[Tgl NPBG]]-表1[[#This Row],[Peminta]],"")</f>
        <v/>
      </c>
      <c r="J1581" s="31"/>
    </row>
    <row r="1582" s="12" customFormat="1" customHeight="1" spans="2:10">
      <c r="B1582" s="25"/>
      <c r="C1582" s="25"/>
      <c r="D1582" s="26" t="str" cm="1">
        <f t="array" ref="D1582">IF(C1582="","",IFERROR(INDEX(STPP!$D$6:$D$4207,MATCH(C1582,STPP!$C$6:$C$4207,0)),"Not Found"))</f>
        <v/>
      </c>
      <c r="E1582" s="27" t="str" cm="1">
        <f t="array" ref="E1582">IF(C1582="","",IFERROR(INDEX(STPP!$E$6:$E$4207,MATCH(C1582,STPP!$C$6:$C$4207,0)),"Not Found"))</f>
        <v/>
      </c>
      <c r="F1582" s="27" t="str" cm="1">
        <f t="array" ref="F1582">IF(C1582="","",IFERROR(INDEX(STPP!$F$6:$F$4207,MATCH(C1582,STPP!$C$6:$C$4207,0)),"Not Found"))</f>
        <v/>
      </c>
      <c r="G1582" s="25" t="str">
        <f>IF(表1[[#This Row],[No Seri]]="","",表1[[#This Row],[Deskripsi Barang]]+表1[[#This Row],[Kuantitas]]-表1[[#This Row],[Satuan]])</f>
        <v/>
      </c>
      <c r="H1582" s="28"/>
      <c r="I1582" s="25" t="str">
        <f>IF(表1[[#This Row],[Tgl NPBG]]&gt;表1[[#This Row],[Peminta]],表1[[#This Row],[Tgl NPBG]]-表1[[#This Row],[Peminta]],"")</f>
        <v/>
      </c>
      <c r="J1582" s="31"/>
    </row>
    <row r="1583" s="12" customFormat="1" customHeight="1" spans="2:10">
      <c r="B1583" s="25"/>
      <c r="C1583" s="25"/>
      <c r="D1583" s="26" t="str" cm="1">
        <f t="array" ref="D1583">IF(C1583="","",IFERROR(INDEX(STPP!$D$6:$D$4207,MATCH(C1583,STPP!$C$6:$C$4207,0)),"Not Found"))</f>
        <v/>
      </c>
      <c r="E1583" s="27" t="str" cm="1">
        <f t="array" ref="E1583">IF(C1583="","",IFERROR(INDEX(STPP!$E$6:$E$4207,MATCH(C1583,STPP!$C$6:$C$4207,0)),"Not Found"))</f>
        <v/>
      </c>
      <c r="F1583" s="27" t="str" cm="1">
        <f t="array" ref="F1583">IF(C1583="","",IFERROR(INDEX(STPP!$F$6:$F$4207,MATCH(C1583,STPP!$C$6:$C$4207,0)),"Not Found"))</f>
        <v/>
      </c>
      <c r="G1583" s="25" t="str">
        <f>IF(表1[[#This Row],[No Seri]]="","",表1[[#This Row],[Deskripsi Barang]]+表1[[#This Row],[Kuantitas]]-表1[[#This Row],[Satuan]])</f>
        <v/>
      </c>
      <c r="H1583" s="28"/>
      <c r="I1583" s="25" t="str">
        <f>IF(表1[[#This Row],[Tgl NPBG]]&gt;表1[[#This Row],[Peminta]],表1[[#This Row],[Tgl NPBG]]-表1[[#This Row],[Peminta]],"")</f>
        <v/>
      </c>
      <c r="J1583" s="31"/>
    </row>
    <row r="1584" s="12" customFormat="1" customHeight="1" spans="2:10">
      <c r="B1584" s="25"/>
      <c r="C1584" s="25"/>
      <c r="D1584" s="26" t="str" cm="1">
        <f t="array" ref="D1584">IF(C1584="","",IFERROR(INDEX(STPP!$D$6:$D$4207,MATCH(C1584,STPP!$C$6:$C$4207,0)),"Not Found"))</f>
        <v/>
      </c>
      <c r="E1584" s="27" t="str" cm="1">
        <f t="array" ref="E1584">IF(C1584="","",IFERROR(INDEX(STPP!$E$6:$E$4207,MATCH(C1584,STPP!$C$6:$C$4207,0)),"Not Found"))</f>
        <v/>
      </c>
      <c r="F1584" s="27" t="str" cm="1">
        <f t="array" ref="F1584">IF(C1584="","",IFERROR(INDEX(STPP!$F$6:$F$4207,MATCH(C1584,STPP!$C$6:$C$4207,0)),"Not Found"))</f>
        <v/>
      </c>
      <c r="G1584" s="25" t="str">
        <f>IF(表1[[#This Row],[No Seri]]="","",表1[[#This Row],[Deskripsi Barang]]+表1[[#This Row],[Kuantitas]]-表1[[#This Row],[Satuan]])</f>
        <v/>
      </c>
      <c r="H1584" s="28"/>
      <c r="I1584" s="25" t="str">
        <f>IF(表1[[#This Row],[Tgl NPBG]]&gt;表1[[#This Row],[Peminta]],表1[[#This Row],[Tgl NPBG]]-表1[[#This Row],[Peminta]],"")</f>
        <v/>
      </c>
      <c r="J1584" s="31"/>
    </row>
    <row r="1585" s="12" customFormat="1" customHeight="1" spans="2:10">
      <c r="B1585" s="25"/>
      <c r="C1585" s="25"/>
      <c r="D1585" s="26" t="str" cm="1">
        <f t="array" ref="D1585">IF(C1585="","",IFERROR(INDEX(STPP!$D$6:$D$4207,MATCH(C1585,STPP!$C$6:$C$4207,0)),"Not Found"))</f>
        <v/>
      </c>
      <c r="E1585" s="27" t="str" cm="1">
        <f t="array" ref="E1585">IF(C1585="","",IFERROR(INDEX(STPP!$E$6:$E$4207,MATCH(C1585,STPP!$C$6:$C$4207,0)),"Not Found"))</f>
        <v/>
      </c>
      <c r="F1585" s="27" t="str" cm="1">
        <f t="array" ref="F1585">IF(C1585="","",IFERROR(INDEX(STPP!$F$6:$F$4207,MATCH(C1585,STPP!$C$6:$C$4207,0)),"Not Found"))</f>
        <v/>
      </c>
      <c r="G1585" s="25" t="str">
        <f>IF(表1[[#This Row],[No Seri]]="","",表1[[#This Row],[Deskripsi Barang]]+表1[[#This Row],[Kuantitas]]-表1[[#This Row],[Satuan]])</f>
        <v/>
      </c>
      <c r="H1585" s="28"/>
      <c r="I1585" s="25" t="str">
        <f>IF(表1[[#This Row],[Tgl NPBG]]&gt;表1[[#This Row],[Peminta]],表1[[#This Row],[Tgl NPBG]]-表1[[#This Row],[Peminta]],"")</f>
        <v/>
      </c>
      <c r="J1585" s="31"/>
    </row>
    <row r="1586" s="12" customFormat="1" customHeight="1" spans="2:10">
      <c r="B1586" s="25"/>
      <c r="C1586" s="25"/>
      <c r="D1586" s="26" t="str" cm="1">
        <f t="array" ref="D1586">IF(C1586="","",IFERROR(INDEX(STPP!$D$6:$D$4207,MATCH(C1586,STPP!$C$6:$C$4207,0)),"Not Found"))</f>
        <v/>
      </c>
      <c r="E1586" s="27" t="str" cm="1">
        <f t="array" ref="E1586">IF(C1586="","",IFERROR(INDEX(STPP!$E$6:$E$4207,MATCH(C1586,STPP!$C$6:$C$4207,0)),"Not Found"))</f>
        <v/>
      </c>
      <c r="F1586" s="27" t="str" cm="1">
        <f t="array" ref="F1586">IF(C1586="","",IFERROR(INDEX(STPP!$F$6:$F$4207,MATCH(C1586,STPP!$C$6:$C$4207,0)),"Not Found"))</f>
        <v/>
      </c>
      <c r="G1586" s="25" t="str">
        <f>IF(表1[[#This Row],[No Seri]]="","",表1[[#This Row],[Deskripsi Barang]]+表1[[#This Row],[Kuantitas]]-表1[[#This Row],[Satuan]])</f>
        <v/>
      </c>
      <c r="H1586" s="28"/>
      <c r="I1586" s="25" t="str">
        <f>IF(表1[[#This Row],[Tgl NPBG]]&gt;表1[[#This Row],[Peminta]],表1[[#This Row],[Tgl NPBG]]-表1[[#This Row],[Peminta]],"")</f>
        <v/>
      </c>
      <c r="J1586" s="31"/>
    </row>
    <row r="1587" s="12" customFormat="1" customHeight="1" spans="2:10">
      <c r="B1587" s="25"/>
      <c r="C1587" s="25"/>
      <c r="D1587" s="26" t="str" cm="1">
        <f t="array" ref="D1587">IF(C1587="","",IFERROR(INDEX(STPP!$D$6:$D$4207,MATCH(C1587,STPP!$C$6:$C$4207,0)),"Not Found"))</f>
        <v/>
      </c>
      <c r="E1587" s="27" t="str" cm="1">
        <f t="array" ref="E1587">IF(C1587="","",IFERROR(INDEX(STPP!$E$6:$E$4207,MATCH(C1587,STPP!$C$6:$C$4207,0)),"Not Found"))</f>
        <v/>
      </c>
      <c r="F1587" s="27" t="str" cm="1">
        <f t="array" ref="F1587">IF(C1587="","",IFERROR(INDEX(STPP!$F$6:$F$4207,MATCH(C1587,STPP!$C$6:$C$4207,0)),"Not Found"))</f>
        <v/>
      </c>
      <c r="G1587" s="25" t="str">
        <f>IF(表1[[#This Row],[No Seri]]="","",表1[[#This Row],[Deskripsi Barang]]+表1[[#This Row],[Kuantitas]]-表1[[#This Row],[Satuan]])</f>
        <v/>
      </c>
      <c r="H1587" s="28"/>
      <c r="I1587" s="25" t="str">
        <f>IF(表1[[#This Row],[Tgl NPBG]]&gt;表1[[#This Row],[Peminta]],表1[[#This Row],[Tgl NPBG]]-表1[[#This Row],[Peminta]],"")</f>
        <v/>
      </c>
      <c r="J1587" s="31"/>
    </row>
    <row r="1588" s="12" customFormat="1" customHeight="1" spans="2:10">
      <c r="B1588" s="25"/>
      <c r="C1588" s="25"/>
      <c r="D1588" s="26" t="str" cm="1">
        <f t="array" ref="D1588">IF(C1588="","",IFERROR(INDEX(STPP!$D$6:$D$4207,MATCH(C1588,STPP!$C$6:$C$4207,0)),"Not Found"))</f>
        <v/>
      </c>
      <c r="E1588" s="27" t="str" cm="1">
        <f t="array" ref="E1588">IF(C1588="","",IFERROR(INDEX(STPP!$E$6:$E$4207,MATCH(C1588,STPP!$C$6:$C$4207,0)),"Not Found"))</f>
        <v/>
      </c>
      <c r="F1588" s="27" t="str" cm="1">
        <f t="array" ref="F1588">IF(C1588="","",IFERROR(INDEX(STPP!$F$6:$F$4207,MATCH(C1588,STPP!$C$6:$C$4207,0)),"Not Found"))</f>
        <v/>
      </c>
      <c r="G1588" s="25" t="str">
        <f>IF(表1[[#This Row],[No Seri]]="","",表1[[#This Row],[Deskripsi Barang]]+表1[[#This Row],[Kuantitas]]-表1[[#This Row],[Satuan]])</f>
        <v/>
      </c>
      <c r="H1588" s="28"/>
      <c r="I1588" s="25" t="str">
        <f>IF(表1[[#This Row],[Tgl NPBG]]&gt;表1[[#This Row],[Peminta]],表1[[#This Row],[Tgl NPBG]]-表1[[#This Row],[Peminta]],"")</f>
        <v/>
      </c>
      <c r="J1588" s="31"/>
    </row>
    <row r="1589" s="12" customFormat="1" customHeight="1" spans="2:10">
      <c r="B1589" s="25"/>
      <c r="C1589" s="25"/>
      <c r="D1589" s="26" t="str" cm="1">
        <f t="array" ref="D1589">IF(C1589="","",IFERROR(INDEX(STPP!$D$6:$D$4207,MATCH(C1589,STPP!$C$6:$C$4207,0)),"Not Found"))</f>
        <v/>
      </c>
      <c r="E1589" s="27" t="str" cm="1">
        <f t="array" ref="E1589">IF(C1589="","",IFERROR(INDEX(STPP!$E$6:$E$4207,MATCH(C1589,STPP!$C$6:$C$4207,0)),"Not Found"))</f>
        <v/>
      </c>
      <c r="F1589" s="27" t="str" cm="1">
        <f t="array" ref="F1589">IF(C1589="","",IFERROR(INDEX(STPP!$F$6:$F$4207,MATCH(C1589,STPP!$C$6:$C$4207,0)),"Not Found"))</f>
        <v/>
      </c>
      <c r="G1589" s="25" t="str">
        <f>IF(表1[[#This Row],[No Seri]]="","",表1[[#This Row],[Deskripsi Barang]]+表1[[#This Row],[Kuantitas]]-表1[[#This Row],[Satuan]])</f>
        <v/>
      </c>
      <c r="H1589" s="28"/>
      <c r="I1589" s="25" t="str">
        <f>IF(表1[[#This Row],[Tgl NPBG]]&gt;表1[[#This Row],[Peminta]],表1[[#This Row],[Tgl NPBG]]-表1[[#This Row],[Peminta]],"")</f>
        <v/>
      </c>
      <c r="J1589" s="31"/>
    </row>
    <row r="1590" s="12" customFormat="1" customHeight="1" spans="2:10">
      <c r="B1590" s="25"/>
      <c r="C1590" s="25"/>
      <c r="D1590" s="26" t="str" cm="1">
        <f t="array" ref="D1590">IF(C1590="","",IFERROR(INDEX(STPP!$D$6:$D$4207,MATCH(C1590,STPP!$C$6:$C$4207,0)),"Not Found"))</f>
        <v/>
      </c>
      <c r="E1590" s="27" t="str" cm="1">
        <f t="array" ref="E1590">IF(C1590="","",IFERROR(INDEX(STPP!$E$6:$E$4207,MATCH(C1590,STPP!$C$6:$C$4207,0)),"Not Found"))</f>
        <v/>
      </c>
      <c r="F1590" s="27" t="str" cm="1">
        <f t="array" ref="F1590">IF(C1590="","",IFERROR(INDEX(STPP!$F$6:$F$4207,MATCH(C1590,STPP!$C$6:$C$4207,0)),"Not Found"))</f>
        <v/>
      </c>
      <c r="G1590" s="25" t="str">
        <f>IF(表1[[#This Row],[No Seri]]="","",表1[[#This Row],[Deskripsi Barang]]+表1[[#This Row],[Kuantitas]]-表1[[#This Row],[Satuan]])</f>
        <v/>
      </c>
      <c r="H1590" s="28"/>
      <c r="I1590" s="25" t="str">
        <f>IF(表1[[#This Row],[Tgl NPBG]]&gt;表1[[#This Row],[Peminta]],表1[[#This Row],[Tgl NPBG]]-表1[[#This Row],[Peminta]],"")</f>
        <v/>
      </c>
      <c r="J1590" s="31"/>
    </row>
    <row r="1591" s="12" customFormat="1" customHeight="1" spans="2:10">
      <c r="B1591" s="25"/>
      <c r="C1591" s="25"/>
      <c r="D1591" s="26" t="str" cm="1">
        <f t="array" ref="D1591">IF(C1591="","",IFERROR(INDEX(STPP!$D$6:$D$4207,MATCH(C1591,STPP!$C$6:$C$4207,0)),"Not Found"))</f>
        <v/>
      </c>
      <c r="E1591" s="27" t="str" cm="1">
        <f t="array" ref="E1591">IF(C1591="","",IFERROR(INDEX(STPP!$E$6:$E$4207,MATCH(C1591,STPP!$C$6:$C$4207,0)),"Not Found"))</f>
        <v/>
      </c>
      <c r="F1591" s="27" t="str" cm="1">
        <f t="array" ref="F1591">IF(C1591="","",IFERROR(INDEX(STPP!$F$6:$F$4207,MATCH(C1591,STPP!$C$6:$C$4207,0)),"Not Found"))</f>
        <v/>
      </c>
      <c r="G1591" s="25" t="str">
        <f>IF(表1[[#This Row],[No Seri]]="","",表1[[#This Row],[Deskripsi Barang]]+表1[[#This Row],[Kuantitas]]-表1[[#This Row],[Satuan]])</f>
        <v/>
      </c>
      <c r="H1591" s="28"/>
      <c r="I1591" s="25" t="str">
        <f>IF(表1[[#This Row],[Tgl NPBG]]&gt;表1[[#This Row],[Peminta]],表1[[#This Row],[Tgl NPBG]]-表1[[#This Row],[Peminta]],"")</f>
        <v/>
      </c>
      <c r="J1591" s="31"/>
    </row>
    <row r="1592" s="12" customFormat="1" customHeight="1" spans="2:10">
      <c r="B1592" s="25"/>
      <c r="C1592" s="25"/>
      <c r="D1592" s="26" t="str" cm="1">
        <f t="array" ref="D1592">IF(C1592="","",IFERROR(INDEX(STPP!$D$6:$D$4207,MATCH(C1592,STPP!$C$6:$C$4207,0)),"Not Found"))</f>
        <v/>
      </c>
      <c r="E1592" s="27" t="str" cm="1">
        <f t="array" ref="E1592">IF(C1592="","",IFERROR(INDEX(STPP!$E$6:$E$4207,MATCH(C1592,STPP!$C$6:$C$4207,0)),"Not Found"))</f>
        <v/>
      </c>
      <c r="F1592" s="27" t="str" cm="1">
        <f t="array" ref="F1592">IF(C1592="","",IFERROR(INDEX(STPP!$F$6:$F$4207,MATCH(C1592,STPP!$C$6:$C$4207,0)),"Not Found"))</f>
        <v/>
      </c>
      <c r="G1592" s="25" t="str">
        <f>IF(表1[[#This Row],[No Seri]]="","",表1[[#This Row],[Deskripsi Barang]]+表1[[#This Row],[Kuantitas]]-表1[[#This Row],[Satuan]])</f>
        <v/>
      </c>
      <c r="H1592" s="28"/>
      <c r="I1592" s="25" t="str">
        <f>IF(表1[[#This Row],[Tgl NPBG]]&gt;表1[[#This Row],[Peminta]],表1[[#This Row],[Tgl NPBG]]-表1[[#This Row],[Peminta]],"")</f>
        <v/>
      </c>
      <c r="J1592" s="31"/>
    </row>
    <row r="1593" s="12" customFormat="1" customHeight="1" spans="2:10">
      <c r="B1593" s="25"/>
      <c r="C1593" s="25"/>
      <c r="D1593" s="26" t="str" cm="1">
        <f t="array" ref="D1593">IF(C1593="","",IFERROR(INDEX(STPP!$D$6:$D$4207,MATCH(C1593,STPP!$C$6:$C$4207,0)),"Not Found"))</f>
        <v/>
      </c>
      <c r="E1593" s="27" t="str" cm="1">
        <f t="array" ref="E1593">IF(C1593="","",IFERROR(INDEX(STPP!$E$6:$E$4207,MATCH(C1593,STPP!$C$6:$C$4207,0)),"Not Found"))</f>
        <v/>
      </c>
      <c r="F1593" s="27" t="str" cm="1">
        <f t="array" ref="F1593">IF(C1593="","",IFERROR(INDEX(STPP!$F$6:$F$4207,MATCH(C1593,STPP!$C$6:$C$4207,0)),"Not Found"))</f>
        <v/>
      </c>
      <c r="G1593" s="25" t="str">
        <f>IF(表1[[#This Row],[No Seri]]="","",表1[[#This Row],[Deskripsi Barang]]+表1[[#This Row],[Kuantitas]]-表1[[#This Row],[Satuan]])</f>
        <v/>
      </c>
      <c r="H1593" s="28"/>
      <c r="I1593" s="25" t="str">
        <f>IF(表1[[#This Row],[Tgl NPBG]]&gt;表1[[#This Row],[Peminta]],表1[[#This Row],[Tgl NPBG]]-表1[[#This Row],[Peminta]],"")</f>
        <v/>
      </c>
      <c r="J1593" s="31"/>
    </row>
    <row r="1594" s="12" customFormat="1" customHeight="1" spans="2:10">
      <c r="B1594" s="25"/>
      <c r="C1594" s="25"/>
      <c r="D1594" s="26" t="str" cm="1">
        <f t="array" ref="D1594">IF(C1594="","",IFERROR(INDEX(STPP!$D$6:$D$4207,MATCH(C1594,STPP!$C$6:$C$4207,0)),"Not Found"))</f>
        <v/>
      </c>
      <c r="E1594" s="27" t="str" cm="1">
        <f t="array" ref="E1594">IF(C1594="","",IFERROR(INDEX(STPP!$E$6:$E$4207,MATCH(C1594,STPP!$C$6:$C$4207,0)),"Not Found"))</f>
        <v/>
      </c>
      <c r="F1594" s="27" t="str" cm="1">
        <f t="array" ref="F1594">IF(C1594="","",IFERROR(INDEX(STPP!$F$6:$F$4207,MATCH(C1594,STPP!$C$6:$C$4207,0)),"Not Found"))</f>
        <v/>
      </c>
      <c r="G1594" s="25" t="str">
        <f>IF(表1[[#This Row],[No Seri]]="","",表1[[#This Row],[Deskripsi Barang]]+表1[[#This Row],[Kuantitas]]-表1[[#This Row],[Satuan]])</f>
        <v/>
      </c>
      <c r="H1594" s="28"/>
      <c r="I1594" s="25" t="str">
        <f>IF(表1[[#This Row],[Tgl NPBG]]&gt;表1[[#This Row],[Peminta]],表1[[#This Row],[Tgl NPBG]]-表1[[#This Row],[Peminta]],"")</f>
        <v/>
      </c>
      <c r="J1594" s="31"/>
    </row>
    <row r="1595" s="12" customFormat="1" customHeight="1" spans="2:10">
      <c r="B1595" s="25"/>
      <c r="C1595" s="25"/>
      <c r="D1595" s="26" t="str" cm="1">
        <f t="array" ref="D1595">IF(C1595="","",IFERROR(INDEX(STPP!$D$6:$D$4207,MATCH(C1595,STPP!$C$6:$C$4207,0)),"Not Found"))</f>
        <v/>
      </c>
      <c r="E1595" s="27" t="str" cm="1">
        <f t="array" ref="E1595">IF(C1595="","",IFERROR(INDEX(STPP!$E$6:$E$4207,MATCH(C1595,STPP!$C$6:$C$4207,0)),"Not Found"))</f>
        <v/>
      </c>
      <c r="F1595" s="27" t="str" cm="1">
        <f t="array" ref="F1595">IF(C1595="","",IFERROR(INDEX(STPP!$F$6:$F$4207,MATCH(C1595,STPP!$C$6:$C$4207,0)),"Not Found"))</f>
        <v/>
      </c>
      <c r="G1595" s="25" t="str">
        <f>IF(表1[[#This Row],[No Seri]]="","",表1[[#This Row],[Deskripsi Barang]]+表1[[#This Row],[Kuantitas]]-表1[[#This Row],[Satuan]])</f>
        <v/>
      </c>
      <c r="H1595" s="28"/>
      <c r="I1595" s="25" t="str">
        <f>IF(表1[[#This Row],[Tgl NPBG]]&gt;表1[[#This Row],[Peminta]],表1[[#This Row],[Tgl NPBG]]-表1[[#This Row],[Peminta]],"")</f>
        <v/>
      </c>
      <c r="J1595" s="31"/>
    </row>
    <row r="1596" s="12" customFormat="1" customHeight="1" spans="2:10">
      <c r="B1596" s="25"/>
      <c r="C1596" s="25"/>
      <c r="D1596" s="26" t="str" cm="1">
        <f t="array" ref="D1596">IF(C1596="","",IFERROR(INDEX(STPP!$D$6:$D$4207,MATCH(C1596,STPP!$C$6:$C$4207,0)),"Not Found"))</f>
        <v/>
      </c>
      <c r="E1596" s="27" t="str" cm="1">
        <f t="array" ref="E1596">IF(C1596="","",IFERROR(INDEX(STPP!$E$6:$E$4207,MATCH(C1596,STPP!$C$6:$C$4207,0)),"Not Found"))</f>
        <v/>
      </c>
      <c r="F1596" s="27" t="str" cm="1">
        <f t="array" ref="F1596">IF(C1596="","",IFERROR(INDEX(STPP!$F$6:$F$4207,MATCH(C1596,STPP!$C$6:$C$4207,0)),"Not Found"))</f>
        <v/>
      </c>
      <c r="G1596" s="25" t="str">
        <f>IF(表1[[#This Row],[No Seri]]="","",表1[[#This Row],[Deskripsi Barang]]+表1[[#This Row],[Kuantitas]]-表1[[#This Row],[Satuan]])</f>
        <v/>
      </c>
      <c r="H1596" s="28"/>
      <c r="I1596" s="25" t="str">
        <f>IF(表1[[#This Row],[Tgl NPBG]]&gt;表1[[#This Row],[Peminta]],表1[[#This Row],[Tgl NPBG]]-表1[[#This Row],[Peminta]],"")</f>
        <v/>
      </c>
      <c r="J1596" s="31"/>
    </row>
    <row r="1597" s="12" customFormat="1" customHeight="1" spans="2:10">
      <c r="B1597" s="25"/>
      <c r="C1597" s="25"/>
      <c r="D1597" s="26" t="str" cm="1">
        <f t="array" ref="D1597">IF(C1597="","",IFERROR(INDEX(STPP!$D$6:$D$4207,MATCH(C1597,STPP!$C$6:$C$4207,0)),"Not Found"))</f>
        <v/>
      </c>
      <c r="E1597" s="27" t="str" cm="1">
        <f t="array" ref="E1597">IF(C1597="","",IFERROR(INDEX(STPP!$E$6:$E$4207,MATCH(C1597,STPP!$C$6:$C$4207,0)),"Not Found"))</f>
        <v/>
      </c>
      <c r="F1597" s="27" t="str" cm="1">
        <f t="array" ref="F1597">IF(C1597="","",IFERROR(INDEX(STPP!$F$6:$F$4207,MATCH(C1597,STPP!$C$6:$C$4207,0)),"Not Found"))</f>
        <v/>
      </c>
      <c r="G1597" s="25" t="str">
        <f>IF(表1[[#This Row],[No Seri]]="","",表1[[#This Row],[Deskripsi Barang]]+表1[[#This Row],[Kuantitas]]-表1[[#This Row],[Satuan]])</f>
        <v/>
      </c>
      <c r="H1597" s="28"/>
      <c r="I1597" s="25" t="str">
        <f>IF(表1[[#This Row],[Tgl NPBG]]&gt;表1[[#This Row],[Peminta]],表1[[#This Row],[Tgl NPBG]]-表1[[#This Row],[Peminta]],"")</f>
        <v/>
      </c>
      <c r="J1597" s="31"/>
    </row>
    <row r="1598" s="12" customFormat="1" customHeight="1" spans="2:10">
      <c r="B1598" s="25"/>
      <c r="C1598" s="25"/>
      <c r="D1598" s="26" t="str" cm="1">
        <f t="array" ref="D1598">IF(C1598="","",IFERROR(INDEX(STPP!$D$6:$D$4207,MATCH(C1598,STPP!$C$6:$C$4207,0)),"Not Found"))</f>
        <v/>
      </c>
      <c r="E1598" s="27" t="str" cm="1">
        <f t="array" ref="E1598">IF(C1598="","",IFERROR(INDEX(STPP!$E$6:$E$4207,MATCH(C1598,STPP!$C$6:$C$4207,0)),"Not Found"))</f>
        <v/>
      </c>
      <c r="F1598" s="27" t="str" cm="1">
        <f t="array" ref="F1598">IF(C1598="","",IFERROR(INDEX(STPP!$F$6:$F$4207,MATCH(C1598,STPP!$C$6:$C$4207,0)),"Not Found"))</f>
        <v/>
      </c>
      <c r="G1598" s="25" t="str">
        <f>IF(表1[[#This Row],[No Seri]]="","",表1[[#This Row],[Deskripsi Barang]]+表1[[#This Row],[Kuantitas]]-表1[[#This Row],[Satuan]])</f>
        <v/>
      </c>
      <c r="H1598" s="28"/>
      <c r="I1598" s="25" t="str">
        <f>IF(表1[[#This Row],[Tgl NPBG]]&gt;表1[[#This Row],[Peminta]],表1[[#This Row],[Tgl NPBG]]-表1[[#This Row],[Peminta]],"")</f>
        <v/>
      </c>
      <c r="J1598" s="31"/>
    </row>
    <row r="1599" s="12" customFormat="1" customHeight="1" spans="2:10">
      <c r="B1599" s="25"/>
      <c r="C1599" s="25"/>
      <c r="D1599" s="26" t="str" cm="1">
        <f t="array" ref="D1599">IF(C1599="","",IFERROR(INDEX(STPP!$D$6:$D$4207,MATCH(C1599,STPP!$C$6:$C$4207,0)),"Not Found"))</f>
        <v/>
      </c>
      <c r="E1599" s="27" t="str" cm="1">
        <f t="array" ref="E1599">IF(C1599="","",IFERROR(INDEX(STPP!$E$6:$E$4207,MATCH(C1599,STPP!$C$6:$C$4207,0)),"Not Found"))</f>
        <v/>
      </c>
      <c r="F1599" s="27" t="str" cm="1">
        <f t="array" ref="F1599">IF(C1599="","",IFERROR(INDEX(STPP!$F$6:$F$4207,MATCH(C1599,STPP!$C$6:$C$4207,0)),"Not Found"))</f>
        <v/>
      </c>
      <c r="G1599" s="25" t="str">
        <f>IF(表1[[#This Row],[No Seri]]="","",表1[[#This Row],[Deskripsi Barang]]+表1[[#This Row],[Kuantitas]]-表1[[#This Row],[Satuan]])</f>
        <v/>
      </c>
      <c r="H1599" s="28"/>
      <c r="I1599" s="25" t="str">
        <f>IF(表1[[#This Row],[Tgl NPBG]]&gt;表1[[#This Row],[Peminta]],表1[[#This Row],[Tgl NPBG]]-表1[[#This Row],[Peminta]],"")</f>
        <v/>
      </c>
      <c r="J1599" s="31"/>
    </row>
    <row r="1600" s="12" customFormat="1" customHeight="1" spans="2:10">
      <c r="B1600" s="25"/>
      <c r="C1600" s="25"/>
      <c r="D1600" s="26" t="str" cm="1">
        <f t="array" ref="D1600">IF(C1600="","",IFERROR(INDEX(STPP!$D$6:$D$4207,MATCH(C1600,STPP!$C$6:$C$4207,0)),"Not Found"))</f>
        <v/>
      </c>
      <c r="E1600" s="27" t="str" cm="1">
        <f t="array" ref="E1600">IF(C1600="","",IFERROR(INDEX(STPP!$E$6:$E$4207,MATCH(C1600,STPP!$C$6:$C$4207,0)),"Not Found"))</f>
        <v/>
      </c>
      <c r="F1600" s="27" t="str" cm="1">
        <f t="array" ref="F1600">IF(C1600="","",IFERROR(INDEX(STPP!$F$6:$F$4207,MATCH(C1600,STPP!$C$6:$C$4207,0)),"Not Found"))</f>
        <v/>
      </c>
      <c r="G1600" s="25" t="str">
        <f>IF(表1[[#This Row],[No Seri]]="","",表1[[#This Row],[Deskripsi Barang]]+表1[[#This Row],[Kuantitas]]-表1[[#This Row],[Satuan]])</f>
        <v/>
      </c>
      <c r="H1600" s="28"/>
      <c r="I1600" s="25" t="str">
        <f>IF(表1[[#This Row],[Tgl NPBG]]&gt;表1[[#This Row],[Peminta]],表1[[#This Row],[Tgl NPBG]]-表1[[#This Row],[Peminta]],"")</f>
        <v/>
      </c>
      <c r="J1600" s="31"/>
    </row>
    <row r="1601" s="12" customFormat="1" customHeight="1" spans="2:10">
      <c r="B1601" s="25"/>
      <c r="C1601" s="25"/>
      <c r="D1601" s="26" t="str" cm="1">
        <f t="array" ref="D1601">IF(C1601="","",IFERROR(INDEX(STPP!$D$6:$D$4207,MATCH(C1601,STPP!$C$6:$C$4207,0)),"Not Found"))</f>
        <v/>
      </c>
      <c r="E1601" s="27" t="str" cm="1">
        <f t="array" ref="E1601">IF(C1601="","",IFERROR(INDEX(STPP!$E$6:$E$4207,MATCH(C1601,STPP!$C$6:$C$4207,0)),"Not Found"))</f>
        <v/>
      </c>
      <c r="F1601" s="27" t="str" cm="1">
        <f t="array" ref="F1601">IF(C1601="","",IFERROR(INDEX(STPP!$F$6:$F$4207,MATCH(C1601,STPP!$C$6:$C$4207,0)),"Not Found"))</f>
        <v/>
      </c>
      <c r="G1601" s="25" t="str">
        <f>IF(表1[[#This Row],[No Seri]]="","",表1[[#This Row],[Deskripsi Barang]]+表1[[#This Row],[Kuantitas]]-表1[[#This Row],[Satuan]])</f>
        <v/>
      </c>
      <c r="H1601" s="28"/>
      <c r="I1601" s="25" t="str">
        <f>IF(表1[[#This Row],[Tgl NPBG]]&gt;表1[[#This Row],[Peminta]],表1[[#This Row],[Tgl NPBG]]-表1[[#This Row],[Peminta]],"")</f>
        <v/>
      </c>
      <c r="J1601" s="31"/>
    </row>
    <row r="1602" s="12" customFormat="1" customHeight="1" spans="2:10">
      <c r="B1602" s="25"/>
      <c r="C1602" s="25"/>
      <c r="D1602" s="26" t="str" cm="1">
        <f t="array" ref="D1602">IF(C1602="","",IFERROR(INDEX(STPP!$D$6:$D$4207,MATCH(C1602,STPP!$C$6:$C$4207,0)),"Not Found"))</f>
        <v/>
      </c>
      <c r="E1602" s="27" t="str" cm="1">
        <f t="array" ref="E1602">IF(C1602="","",IFERROR(INDEX(STPP!$E$6:$E$4207,MATCH(C1602,STPP!$C$6:$C$4207,0)),"Not Found"))</f>
        <v/>
      </c>
      <c r="F1602" s="27" t="str" cm="1">
        <f t="array" ref="F1602">IF(C1602="","",IFERROR(INDEX(STPP!$F$6:$F$4207,MATCH(C1602,STPP!$C$6:$C$4207,0)),"Not Found"))</f>
        <v/>
      </c>
      <c r="G1602" s="25" t="str">
        <f>IF(表1[[#This Row],[No Seri]]="","",表1[[#This Row],[Deskripsi Barang]]+表1[[#This Row],[Kuantitas]]-表1[[#This Row],[Satuan]])</f>
        <v/>
      </c>
      <c r="H1602" s="28"/>
      <c r="I1602" s="25" t="str">
        <f>IF(表1[[#This Row],[Tgl NPBG]]&gt;表1[[#This Row],[Peminta]],表1[[#This Row],[Tgl NPBG]]-表1[[#This Row],[Peminta]],"")</f>
        <v/>
      </c>
      <c r="J1602" s="31"/>
    </row>
    <row r="1603" s="12" customFormat="1" customHeight="1" spans="2:10">
      <c r="B1603" s="25"/>
      <c r="C1603" s="25"/>
      <c r="D1603" s="26" t="str" cm="1">
        <f t="array" ref="D1603">IF(C1603="","",IFERROR(INDEX(STPP!$D$6:$D$4207,MATCH(C1603,STPP!$C$6:$C$4207,0)),"Not Found"))</f>
        <v/>
      </c>
      <c r="E1603" s="27" t="str" cm="1">
        <f t="array" ref="E1603">IF(C1603="","",IFERROR(INDEX(STPP!$E$6:$E$4207,MATCH(C1603,STPP!$C$6:$C$4207,0)),"Not Found"))</f>
        <v/>
      </c>
      <c r="F1603" s="27" t="str" cm="1">
        <f t="array" ref="F1603">IF(C1603="","",IFERROR(INDEX(STPP!$F$6:$F$4207,MATCH(C1603,STPP!$C$6:$C$4207,0)),"Not Found"))</f>
        <v/>
      </c>
      <c r="G1603" s="25" t="str">
        <f>IF(表1[[#This Row],[No Seri]]="","",表1[[#This Row],[Deskripsi Barang]]+表1[[#This Row],[Kuantitas]]-表1[[#This Row],[Satuan]])</f>
        <v/>
      </c>
      <c r="H1603" s="28"/>
      <c r="I1603" s="25" t="str">
        <f>IF(表1[[#This Row],[Tgl NPBG]]&gt;表1[[#This Row],[Peminta]],表1[[#This Row],[Tgl NPBG]]-表1[[#This Row],[Peminta]],"")</f>
        <v/>
      </c>
      <c r="J1603" s="31"/>
    </row>
    <row r="1604" s="12" customFormat="1" customHeight="1" spans="2:10">
      <c r="B1604" s="25"/>
      <c r="C1604" s="25"/>
      <c r="D1604" s="26" t="str" cm="1">
        <f t="array" ref="D1604">IF(C1604="","",IFERROR(INDEX(STPP!$D$6:$D$4207,MATCH(C1604,STPP!$C$6:$C$4207,0)),"Not Found"))</f>
        <v/>
      </c>
      <c r="E1604" s="27" t="str" cm="1">
        <f t="array" ref="E1604">IF(C1604="","",IFERROR(INDEX(STPP!$E$6:$E$4207,MATCH(C1604,STPP!$C$6:$C$4207,0)),"Not Found"))</f>
        <v/>
      </c>
      <c r="F1604" s="27" t="str" cm="1">
        <f t="array" ref="F1604">IF(C1604="","",IFERROR(INDEX(STPP!$F$6:$F$4207,MATCH(C1604,STPP!$C$6:$C$4207,0)),"Not Found"))</f>
        <v/>
      </c>
      <c r="G1604" s="25" t="str">
        <f>IF(表1[[#This Row],[No Seri]]="","",表1[[#This Row],[Deskripsi Barang]]+表1[[#This Row],[Kuantitas]]-表1[[#This Row],[Satuan]])</f>
        <v/>
      </c>
      <c r="H1604" s="28"/>
      <c r="I1604" s="25" t="str">
        <f>IF(表1[[#This Row],[Tgl NPBG]]&gt;表1[[#This Row],[Peminta]],表1[[#This Row],[Tgl NPBG]]-表1[[#This Row],[Peminta]],"")</f>
        <v/>
      </c>
      <c r="J1604" s="31"/>
    </row>
    <row r="1605" s="12" customFormat="1" customHeight="1" spans="2:10">
      <c r="B1605" s="25"/>
      <c r="C1605" s="25"/>
      <c r="D1605" s="26" t="str" cm="1">
        <f t="array" ref="D1605">IF(C1605="","",IFERROR(INDEX(STPP!$D$6:$D$4207,MATCH(C1605,STPP!$C$6:$C$4207,0)),"Not Found"))</f>
        <v/>
      </c>
      <c r="E1605" s="27" t="str" cm="1">
        <f t="array" ref="E1605">IF(C1605="","",IFERROR(INDEX(STPP!$E$6:$E$4207,MATCH(C1605,STPP!$C$6:$C$4207,0)),"Not Found"))</f>
        <v/>
      </c>
      <c r="F1605" s="27" t="str" cm="1">
        <f t="array" ref="F1605">IF(C1605="","",IFERROR(INDEX(STPP!$F$6:$F$4207,MATCH(C1605,STPP!$C$6:$C$4207,0)),"Not Found"))</f>
        <v/>
      </c>
      <c r="G1605" s="25" t="str">
        <f>IF(表1[[#This Row],[No Seri]]="","",表1[[#This Row],[Deskripsi Barang]]+表1[[#This Row],[Kuantitas]]-表1[[#This Row],[Satuan]])</f>
        <v/>
      </c>
      <c r="H1605" s="28"/>
      <c r="I1605" s="25" t="str">
        <f>IF(表1[[#This Row],[Tgl NPBG]]&gt;表1[[#This Row],[Peminta]],表1[[#This Row],[Tgl NPBG]]-表1[[#This Row],[Peminta]],"")</f>
        <v/>
      </c>
      <c r="J1605" s="31"/>
    </row>
    <row r="1606" s="12" customFormat="1" customHeight="1" spans="2:10">
      <c r="B1606" s="25"/>
      <c r="C1606" s="25"/>
      <c r="D1606" s="26" t="str" cm="1">
        <f t="array" ref="D1606">IF(C1606="","",IFERROR(INDEX(STPP!$D$6:$D$4207,MATCH(C1606,STPP!$C$6:$C$4207,0)),"Not Found"))</f>
        <v/>
      </c>
      <c r="E1606" s="27" t="str" cm="1">
        <f t="array" ref="E1606">IF(C1606="","",IFERROR(INDEX(STPP!$E$6:$E$4207,MATCH(C1606,STPP!$C$6:$C$4207,0)),"Not Found"))</f>
        <v/>
      </c>
      <c r="F1606" s="27" t="str" cm="1">
        <f t="array" ref="F1606">IF(C1606="","",IFERROR(INDEX(STPP!$F$6:$F$4207,MATCH(C1606,STPP!$C$6:$C$4207,0)),"Not Found"))</f>
        <v/>
      </c>
      <c r="G1606" s="25" t="str">
        <f>IF(表1[[#This Row],[No Seri]]="","",表1[[#This Row],[Deskripsi Barang]]+表1[[#This Row],[Kuantitas]]-表1[[#This Row],[Satuan]])</f>
        <v/>
      </c>
      <c r="H1606" s="28"/>
      <c r="I1606" s="25" t="str">
        <f>IF(表1[[#This Row],[Tgl NPBG]]&gt;表1[[#This Row],[Peminta]],表1[[#This Row],[Tgl NPBG]]-表1[[#This Row],[Peminta]],"")</f>
        <v/>
      </c>
      <c r="J1606" s="31"/>
    </row>
    <row r="1607" s="12" customFormat="1" customHeight="1" spans="2:10">
      <c r="B1607" s="25"/>
      <c r="C1607" s="25"/>
      <c r="D1607" s="26" t="str" cm="1">
        <f t="array" ref="D1607">IF(C1607="","",IFERROR(INDEX(STPP!$D$6:$D$4207,MATCH(C1607,STPP!$C$6:$C$4207,0)),"Not Found"))</f>
        <v/>
      </c>
      <c r="E1607" s="27" t="str" cm="1">
        <f t="array" ref="E1607">IF(C1607="","",IFERROR(INDEX(STPP!$E$6:$E$4207,MATCH(C1607,STPP!$C$6:$C$4207,0)),"Not Found"))</f>
        <v/>
      </c>
      <c r="F1607" s="27" t="str" cm="1">
        <f t="array" ref="F1607">IF(C1607="","",IFERROR(INDEX(STPP!$F$6:$F$4207,MATCH(C1607,STPP!$C$6:$C$4207,0)),"Not Found"))</f>
        <v/>
      </c>
      <c r="G1607" s="25" t="str">
        <f>IF(表1[[#This Row],[No Seri]]="","",表1[[#This Row],[Deskripsi Barang]]+表1[[#This Row],[Kuantitas]]-表1[[#This Row],[Satuan]])</f>
        <v/>
      </c>
      <c r="H1607" s="28"/>
      <c r="I1607" s="25" t="str">
        <f>IF(表1[[#This Row],[Tgl NPBG]]&gt;表1[[#This Row],[Peminta]],表1[[#This Row],[Tgl NPBG]]-表1[[#This Row],[Peminta]],"")</f>
        <v/>
      </c>
      <c r="J1607" s="31"/>
    </row>
    <row r="1608" s="12" customFormat="1" customHeight="1" spans="2:10">
      <c r="B1608" s="25"/>
      <c r="C1608" s="25"/>
      <c r="D1608" s="26" t="str" cm="1">
        <f t="array" ref="D1608">IF(C1608="","",IFERROR(INDEX(STPP!$D$6:$D$4207,MATCH(C1608,STPP!$C$6:$C$4207,0)),"Not Found"))</f>
        <v/>
      </c>
      <c r="E1608" s="27" t="str" cm="1">
        <f t="array" ref="E1608">IF(C1608="","",IFERROR(INDEX(STPP!$E$6:$E$4207,MATCH(C1608,STPP!$C$6:$C$4207,0)),"Not Found"))</f>
        <v/>
      </c>
      <c r="F1608" s="27" t="str" cm="1">
        <f t="array" ref="F1608">IF(C1608="","",IFERROR(INDEX(STPP!$F$6:$F$4207,MATCH(C1608,STPP!$C$6:$C$4207,0)),"Not Found"))</f>
        <v/>
      </c>
      <c r="G1608" s="25" t="str">
        <f>IF(表1[[#This Row],[No Seri]]="","",表1[[#This Row],[Deskripsi Barang]]+表1[[#This Row],[Kuantitas]]-表1[[#This Row],[Satuan]])</f>
        <v/>
      </c>
      <c r="H1608" s="28"/>
      <c r="I1608" s="25" t="str">
        <f>IF(表1[[#This Row],[Tgl NPBG]]&gt;表1[[#This Row],[Peminta]],表1[[#This Row],[Tgl NPBG]]-表1[[#This Row],[Peminta]],"")</f>
        <v/>
      </c>
      <c r="J1608" s="31"/>
    </row>
    <row r="1609" s="12" customFormat="1" customHeight="1" spans="2:10">
      <c r="B1609" s="25"/>
      <c r="C1609" s="25"/>
      <c r="D1609" s="26" t="str" cm="1">
        <f t="array" ref="D1609">IF(C1609="","",IFERROR(INDEX(STPP!$D$6:$D$4207,MATCH(C1609,STPP!$C$6:$C$4207,0)),"Not Found"))</f>
        <v/>
      </c>
      <c r="E1609" s="27" t="str" cm="1">
        <f t="array" ref="E1609">IF(C1609="","",IFERROR(INDEX(STPP!$E$6:$E$4207,MATCH(C1609,STPP!$C$6:$C$4207,0)),"Not Found"))</f>
        <v/>
      </c>
      <c r="F1609" s="27" t="str" cm="1">
        <f t="array" ref="F1609">IF(C1609="","",IFERROR(INDEX(STPP!$F$6:$F$4207,MATCH(C1609,STPP!$C$6:$C$4207,0)),"Not Found"))</f>
        <v/>
      </c>
      <c r="G1609" s="25" t="str">
        <f>IF(表1[[#This Row],[No Seri]]="","",表1[[#This Row],[Deskripsi Barang]]+表1[[#This Row],[Kuantitas]]-表1[[#This Row],[Satuan]])</f>
        <v/>
      </c>
      <c r="H1609" s="28"/>
      <c r="I1609" s="25" t="str">
        <f>IF(表1[[#This Row],[Tgl NPBG]]&gt;表1[[#This Row],[Peminta]],表1[[#This Row],[Tgl NPBG]]-表1[[#This Row],[Peminta]],"")</f>
        <v/>
      </c>
      <c r="J1609" s="31"/>
    </row>
    <row r="1610" s="12" customFormat="1" customHeight="1" spans="2:10">
      <c r="B1610" s="25"/>
      <c r="C1610" s="25"/>
      <c r="D1610" s="26" t="str" cm="1">
        <f t="array" ref="D1610">IF(C1610="","",IFERROR(INDEX(STPP!$D$6:$D$4207,MATCH(C1610,STPP!$C$6:$C$4207,0)),"Not Found"))</f>
        <v/>
      </c>
      <c r="E1610" s="27" t="str" cm="1">
        <f t="array" ref="E1610">IF(C1610="","",IFERROR(INDEX(STPP!$E$6:$E$4207,MATCH(C1610,STPP!$C$6:$C$4207,0)),"Not Found"))</f>
        <v/>
      </c>
      <c r="F1610" s="27" t="str" cm="1">
        <f t="array" ref="F1610">IF(C1610="","",IFERROR(INDEX(STPP!$F$6:$F$4207,MATCH(C1610,STPP!$C$6:$C$4207,0)),"Not Found"))</f>
        <v/>
      </c>
      <c r="G1610" s="25" t="str">
        <f>IF(表1[[#This Row],[No Seri]]="","",表1[[#This Row],[Deskripsi Barang]]+表1[[#This Row],[Kuantitas]]-表1[[#This Row],[Satuan]])</f>
        <v/>
      </c>
      <c r="H1610" s="28"/>
      <c r="I1610" s="25" t="str">
        <f>IF(表1[[#This Row],[Tgl NPBG]]&gt;表1[[#This Row],[Peminta]],表1[[#This Row],[Tgl NPBG]]-表1[[#This Row],[Peminta]],"")</f>
        <v/>
      </c>
      <c r="J1610" s="31"/>
    </row>
    <row r="1611" s="12" customFormat="1" customHeight="1" spans="2:10">
      <c r="B1611" s="25"/>
      <c r="C1611" s="25"/>
      <c r="D1611" s="26" t="str" cm="1">
        <f t="array" ref="D1611">IF(C1611="","",IFERROR(INDEX(STPP!$D$6:$D$4207,MATCH(C1611,STPP!$C$6:$C$4207,0)),"Not Found"))</f>
        <v/>
      </c>
      <c r="E1611" s="27" t="str" cm="1">
        <f t="array" ref="E1611">IF(C1611="","",IFERROR(INDEX(STPP!$E$6:$E$4207,MATCH(C1611,STPP!$C$6:$C$4207,0)),"Not Found"))</f>
        <v/>
      </c>
      <c r="F1611" s="27" t="str" cm="1">
        <f t="array" ref="F1611">IF(C1611="","",IFERROR(INDEX(STPP!$F$6:$F$4207,MATCH(C1611,STPP!$C$6:$C$4207,0)),"Not Found"))</f>
        <v/>
      </c>
      <c r="G1611" s="25" t="str">
        <f>IF(表1[[#This Row],[No Seri]]="","",表1[[#This Row],[Deskripsi Barang]]+表1[[#This Row],[Kuantitas]]-表1[[#This Row],[Satuan]])</f>
        <v/>
      </c>
      <c r="H1611" s="28"/>
      <c r="I1611" s="25" t="str">
        <f>IF(表1[[#This Row],[Tgl NPBG]]&gt;表1[[#This Row],[Peminta]],表1[[#This Row],[Tgl NPBG]]-表1[[#This Row],[Peminta]],"")</f>
        <v/>
      </c>
      <c r="J1611" s="31"/>
    </row>
    <row r="1612" s="12" customFormat="1" customHeight="1" spans="2:10">
      <c r="B1612" s="25"/>
      <c r="C1612" s="25"/>
      <c r="D1612" s="26" t="str" cm="1">
        <f t="array" ref="D1612">IF(C1612="","",IFERROR(INDEX(STPP!$D$6:$D$4207,MATCH(C1612,STPP!$C$6:$C$4207,0)),"Not Found"))</f>
        <v/>
      </c>
      <c r="E1612" s="27" t="str" cm="1">
        <f t="array" ref="E1612">IF(C1612="","",IFERROR(INDEX(STPP!$E$6:$E$4207,MATCH(C1612,STPP!$C$6:$C$4207,0)),"Not Found"))</f>
        <v/>
      </c>
      <c r="F1612" s="27" t="str" cm="1">
        <f t="array" ref="F1612">IF(C1612="","",IFERROR(INDEX(STPP!$F$6:$F$4207,MATCH(C1612,STPP!$C$6:$C$4207,0)),"Not Found"))</f>
        <v/>
      </c>
      <c r="G1612" s="25" t="str">
        <f>IF(表1[[#This Row],[No Seri]]="","",表1[[#This Row],[Deskripsi Barang]]+表1[[#This Row],[Kuantitas]]-表1[[#This Row],[Satuan]])</f>
        <v/>
      </c>
      <c r="H1612" s="28"/>
      <c r="I1612" s="25" t="str">
        <f>IF(表1[[#This Row],[Tgl NPBG]]&gt;表1[[#This Row],[Peminta]],表1[[#This Row],[Tgl NPBG]]-表1[[#This Row],[Peminta]],"")</f>
        <v/>
      </c>
      <c r="J1612" s="31"/>
    </row>
    <row r="1613" s="12" customFormat="1" customHeight="1" spans="2:10">
      <c r="B1613" s="25"/>
      <c r="C1613" s="25"/>
      <c r="D1613" s="26" t="str" cm="1">
        <f t="array" ref="D1613">IF(C1613="","",IFERROR(INDEX(STPP!$D$6:$D$4207,MATCH(C1613,STPP!$C$6:$C$4207,0)),"Not Found"))</f>
        <v/>
      </c>
      <c r="E1613" s="27" t="str" cm="1">
        <f t="array" ref="E1613">IF(C1613="","",IFERROR(INDEX(STPP!$E$6:$E$4207,MATCH(C1613,STPP!$C$6:$C$4207,0)),"Not Found"))</f>
        <v/>
      </c>
      <c r="F1613" s="27" t="str" cm="1">
        <f t="array" ref="F1613">IF(C1613="","",IFERROR(INDEX(STPP!$F$6:$F$4207,MATCH(C1613,STPP!$C$6:$C$4207,0)),"Not Found"))</f>
        <v/>
      </c>
      <c r="G1613" s="25" t="str">
        <f>IF(表1[[#This Row],[No Seri]]="","",表1[[#This Row],[Deskripsi Barang]]+表1[[#This Row],[Kuantitas]]-表1[[#This Row],[Satuan]])</f>
        <v/>
      </c>
      <c r="H1613" s="28"/>
      <c r="I1613" s="25" t="str">
        <f>IF(表1[[#This Row],[Tgl NPBG]]&gt;表1[[#This Row],[Peminta]],表1[[#This Row],[Tgl NPBG]]-表1[[#This Row],[Peminta]],"")</f>
        <v/>
      </c>
      <c r="J1613" s="31"/>
    </row>
    <row r="1614" s="12" customFormat="1" customHeight="1" spans="2:10">
      <c r="B1614" s="25"/>
      <c r="C1614" s="25"/>
      <c r="D1614" s="26" t="str" cm="1">
        <f t="array" ref="D1614">IF(C1614="","",IFERROR(INDEX(STPP!$D$6:$D$4207,MATCH(C1614,STPP!$C$6:$C$4207,0)),"Not Found"))</f>
        <v/>
      </c>
      <c r="E1614" s="27" t="str" cm="1">
        <f t="array" ref="E1614">IF(C1614="","",IFERROR(INDEX(STPP!$E$6:$E$4207,MATCH(C1614,STPP!$C$6:$C$4207,0)),"Not Found"))</f>
        <v/>
      </c>
      <c r="F1614" s="27" t="str" cm="1">
        <f t="array" ref="F1614">IF(C1614="","",IFERROR(INDEX(STPP!$F$6:$F$4207,MATCH(C1614,STPP!$C$6:$C$4207,0)),"Not Found"))</f>
        <v/>
      </c>
      <c r="G1614" s="25" t="str">
        <f>IF(表1[[#This Row],[No Seri]]="","",表1[[#This Row],[Deskripsi Barang]]+表1[[#This Row],[Kuantitas]]-表1[[#This Row],[Satuan]])</f>
        <v/>
      </c>
      <c r="H1614" s="28"/>
      <c r="I1614" s="25" t="str">
        <f>IF(表1[[#This Row],[Tgl NPBG]]&gt;表1[[#This Row],[Peminta]],表1[[#This Row],[Tgl NPBG]]-表1[[#This Row],[Peminta]],"")</f>
        <v/>
      </c>
      <c r="J1614" s="31"/>
    </row>
    <row r="1615" s="12" customFormat="1" customHeight="1" spans="2:10">
      <c r="B1615" s="25"/>
      <c r="C1615" s="25"/>
      <c r="D1615" s="26" t="str" cm="1">
        <f t="array" ref="D1615">IF(C1615="","",IFERROR(INDEX(STPP!$D$6:$D$4207,MATCH(C1615,STPP!$C$6:$C$4207,0)),"Not Found"))</f>
        <v/>
      </c>
      <c r="E1615" s="27" t="str" cm="1">
        <f t="array" ref="E1615">IF(C1615="","",IFERROR(INDEX(STPP!$E$6:$E$4207,MATCH(C1615,STPP!$C$6:$C$4207,0)),"Not Found"))</f>
        <v/>
      </c>
      <c r="F1615" s="27" t="str" cm="1">
        <f t="array" ref="F1615">IF(C1615="","",IFERROR(INDEX(STPP!$F$6:$F$4207,MATCH(C1615,STPP!$C$6:$C$4207,0)),"Not Found"))</f>
        <v/>
      </c>
      <c r="G1615" s="25" t="str">
        <f>IF(表1[[#This Row],[No Seri]]="","",表1[[#This Row],[Deskripsi Barang]]+表1[[#This Row],[Kuantitas]]-表1[[#This Row],[Satuan]])</f>
        <v/>
      </c>
      <c r="H1615" s="28"/>
      <c r="I1615" s="25" t="str">
        <f>IF(表1[[#This Row],[Tgl NPBG]]&gt;表1[[#This Row],[Peminta]],表1[[#This Row],[Tgl NPBG]]-表1[[#This Row],[Peminta]],"")</f>
        <v/>
      </c>
      <c r="J1615" s="31"/>
    </row>
    <row r="1616" s="12" customFormat="1" customHeight="1" spans="2:10">
      <c r="B1616" s="25"/>
      <c r="C1616" s="25"/>
      <c r="D1616" s="26" t="str" cm="1">
        <f t="array" ref="D1616">IF(C1616="","",IFERROR(INDEX(STPP!$D$6:$D$4207,MATCH(C1616,STPP!$C$6:$C$4207,0)),"Not Found"))</f>
        <v/>
      </c>
      <c r="E1616" s="27" t="str" cm="1">
        <f t="array" ref="E1616">IF(C1616="","",IFERROR(INDEX(STPP!$E$6:$E$4207,MATCH(C1616,STPP!$C$6:$C$4207,0)),"Not Found"))</f>
        <v/>
      </c>
      <c r="F1616" s="27" t="str" cm="1">
        <f t="array" ref="F1616">IF(C1616="","",IFERROR(INDEX(STPP!$F$6:$F$4207,MATCH(C1616,STPP!$C$6:$C$4207,0)),"Not Found"))</f>
        <v/>
      </c>
      <c r="G1616" s="25" t="str">
        <f>IF(表1[[#This Row],[No Seri]]="","",表1[[#This Row],[Deskripsi Barang]]+表1[[#This Row],[Kuantitas]]-表1[[#This Row],[Satuan]])</f>
        <v/>
      </c>
      <c r="H1616" s="28"/>
      <c r="I1616" s="25" t="str">
        <f>IF(表1[[#This Row],[Tgl NPBG]]&gt;表1[[#This Row],[Peminta]],表1[[#This Row],[Tgl NPBG]]-表1[[#This Row],[Peminta]],"")</f>
        <v/>
      </c>
      <c r="J1616" s="31"/>
    </row>
    <row r="1617" s="12" customFormat="1" customHeight="1" spans="2:10">
      <c r="B1617" s="25"/>
      <c r="C1617" s="25"/>
      <c r="D1617" s="26" t="str" cm="1">
        <f t="array" ref="D1617">IF(C1617="","",IFERROR(INDEX(STPP!$D$6:$D$4207,MATCH(C1617,STPP!$C$6:$C$4207,0)),"Not Found"))</f>
        <v/>
      </c>
      <c r="E1617" s="27" t="str" cm="1">
        <f t="array" ref="E1617">IF(C1617="","",IFERROR(INDEX(STPP!$E$6:$E$4207,MATCH(C1617,STPP!$C$6:$C$4207,0)),"Not Found"))</f>
        <v/>
      </c>
      <c r="F1617" s="27" t="str" cm="1">
        <f t="array" ref="F1617">IF(C1617="","",IFERROR(INDEX(STPP!$F$6:$F$4207,MATCH(C1617,STPP!$C$6:$C$4207,0)),"Not Found"))</f>
        <v/>
      </c>
      <c r="G1617" s="25" t="str">
        <f>IF(表1[[#This Row],[No Seri]]="","",表1[[#This Row],[Deskripsi Barang]]+表1[[#This Row],[Kuantitas]]-表1[[#This Row],[Satuan]])</f>
        <v/>
      </c>
      <c r="H1617" s="28"/>
      <c r="I1617" s="25" t="str">
        <f>IF(表1[[#This Row],[Tgl NPBG]]&gt;表1[[#This Row],[Peminta]],表1[[#This Row],[Tgl NPBG]]-表1[[#This Row],[Peminta]],"")</f>
        <v/>
      </c>
      <c r="J1617" s="31"/>
    </row>
    <row r="1618" s="12" customFormat="1" customHeight="1" spans="2:10">
      <c r="B1618" s="25"/>
      <c r="C1618" s="25"/>
      <c r="D1618" s="26" t="str" cm="1">
        <f t="array" ref="D1618">IF(C1618="","",IFERROR(INDEX(STPP!$D$6:$D$4207,MATCH(C1618,STPP!$C$6:$C$4207,0)),"Not Found"))</f>
        <v/>
      </c>
      <c r="E1618" s="27" t="str" cm="1">
        <f t="array" ref="E1618">IF(C1618="","",IFERROR(INDEX(STPP!$E$6:$E$4207,MATCH(C1618,STPP!$C$6:$C$4207,0)),"Not Found"))</f>
        <v/>
      </c>
      <c r="F1618" s="27" t="str" cm="1">
        <f t="array" ref="F1618">IF(C1618="","",IFERROR(INDEX(STPP!$F$6:$F$4207,MATCH(C1618,STPP!$C$6:$C$4207,0)),"Not Found"))</f>
        <v/>
      </c>
      <c r="G1618" s="25" t="str">
        <f>IF(表1[[#This Row],[No Seri]]="","",表1[[#This Row],[Deskripsi Barang]]+表1[[#This Row],[Kuantitas]]-表1[[#This Row],[Satuan]])</f>
        <v/>
      </c>
      <c r="H1618" s="28"/>
      <c r="I1618" s="25" t="str">
        <f>IF(表1[[#This Row],[Tgl NPBG]]&gt;表1[[#This Row],[Peminta]],表1[[#This Row],[Tgl NPBG]]-表1[[#This Row],[Peminta]],"")</f>
        <v/>
      </c>
      <c r="J1618" s="31"/>
    </row>
    <row r="1619" s="12" customFormat="1" customHeight="1" spans="2:10">
      <c r="B1619" s="25"/>
      <c r="C1619" s="25"/>
      <c r="D1619" s="26" t="str" cm="1">
        <f t="array" ref="D1619">IF(C1619="","",IFERROR(INDEX(STPP!$D$6:$D$4207,MATCH(C1619,STPP!$C$6:$C$4207,0)),"Not Found"))</f>
        <v/>
      </c>
      <c r="E1619" s="27" t="str" cm="1">
        <f t="array" ref="E1619">IF(C1619="","",IFERROR(INDEX(STPP!$E$6:$E$4207,MATCH(C1619,STPP!$C$6:$C$4207,0)),"Not Found"))</f>
        <v/>
      </c>
      <c r="F1619" s="27" t="str" cm="1">
        <f t="array" ref="F1619">IF(C1619="","",IFERROR(INDEX(STPP!$F$6:$F$4207,MATCH(C1619,STPP!$C$6:$C$4207,0)),"Not Found"))</f>
        <v/>
      </c>
      <c r="G1619" s="25" t="str">
        <f>IF(表1[[#This Row],[No Seri]]="","",表1[[#This Row],[Deskripsi Barang]]+表1[[#This Row],[Kuantitas]]-表1[[#This Row],[Satuan]])</f>
        <v/>
      </c>
      <c r="H1619" s="28"/>
      <c r="I1619" s="25" t="str">
        <f>IF(表1[[#This Row],[Tgl NPBG]]&gt;表1[[#This Row],[Peminta]],表1[[#This Row],[Tgl NPBG]]-表1[[#This Row],[Peminta]],"")</f>
        <v/>
      </c>
      <c r="J1619" s="31"/>
    </row>
    <row r="1620" s="12" customFormat="1" customHeight="1" spans="2:10">
      <c r="B1620" s="25"/>
      <c r="C1620" s="25"/>
      <c r="D1620" s="26" t="str" cm="1">
        <f t="array" ref="D1620">IF(C1620="","",IFERROR(INDEX(STPP!$D$6:$D$4207,MATCH(C1620,STPP!$C$6:$C$4207,0)),"Not Found"))</f>
        <v/>
      </c>
      <c r="E1620" s="27" t="str" cm="1">
        <f t="array" ref="E1620">IF(C1620="","",IFERROR(INDEX(STPP!$E$6:$E$4207,MATCH(C1620,STPP!$C$6:$C$4207,0)),"Not Found"))</f>
        <v/>
      </c>
      <c r="F1620" s="27" t="str" cm="1">
        <f t="array" ref="F1620">IF(C1620="","",IFERROR(INDEX(STPP!$F$6:$F$4207,MATCH(C1620,STPP!$C$6:$C$4207,0)),"Not Found"))</f>
        <v/>
      </c>
      <c r="G1620" s="25" t="str">
        <f>IF(表1[[#This Row],[No Seri]]="","",表1[[#This Row],[Deskripsi Barang]]+表1[[#This Row],[Kuantitas]]-表1[[#This Row],[Satuan]])</f>
        <v/>
      </c>
      <c r="H1620" s="28"/>
      <c r="I1620" s="25" t="str">
        <f>IF(表1[[#This Row],[Tgl NPBG]]&gt;表1[[#This Row],[Peminta]],表1[[#This Row],[Tgl NPBG]]-表1[[#This Row],[Peminta]],"")</f>
        <v/>
      </c>
      <c r="J1620" s="31"/>
    </row>
    <row r="1621" s="12" customFormat="1" customHeight="1" spans="2:10">
      <c r="B1621" s="25"/>
      <c r="C1621" s="25"/>
      <c r="D1621" s="26" t="str" cm="1">
        <f t="array" ref="D1621">IF(C1621="","",IFERROR(INDEX(STPP!$D$6:$D$4207,MATCH(C1621,STPP!$C$6:$C$4207,0)),"Not Found"))</f>
        <v/>
      </c>
      <c r="E1621" s="27" t="str" cm="1">
        <f t="array" ref="E1621">IF(C1621="","",IFERROR(INDEX(STPP!$E$6:$E$4207,MATCH(C1621,STPP!$C$6:$C$4207,0)),"Not Found"))</f>
        <v/>
      </c>
      <c r="F1621" s="27" t="str" cm="1">
        <f t="array" ref="F1621">IF(C1621="","",IFERROR(INDEX(STPP!$F$6:$F$4207,MATCH(C1621,STPP!$C$6:$C$4207,0)),"Not Found"))</f>
        <v/>
      </c>
      <c r="G1621" s="25" t="str">
        <f>IF(表1[[#This Row],[No Seri]]="","",表1[[#This Row],[Deskripsi Barang]]+表1[[#This Row],[Kuantitas]]-表1[[#This Row],[Satuan]])</f>
        <v/>
      </c>
      <c r="H1621" s="28"/>
      <c r="I1621" s="25" t="str">
        <f>IF(表1[[#This Row],[Tgl NPBG]]&gt;表1[[#This Row],[Peminta]],表1[[#This Row],[Tgl NPBG]]-表1[[#This Row],[Peminta]],"")</f>
        <v/>
      </c>
      <c r="J1621" s="31"/>
    </row>
    <row r="1622" s="12" customFormat="1" customHeight="1" spans="2:10">
      <c r="B1622" s="25"/>
      <c r="C1622" s="25"/>
      <c r="D1622" s="26" t="str" cm="1">
        <f t="array" ref="D1622">IF(C1622="","",IFERROR(INDEX(STPP!$D$6:$D$4207,MATCH(C1622,STPP!$C$6:$C$4207,0)),"Not Found"))</f>
        <v/>
      </c>
      <c r="E1622" s="27" t="str" cm="1">
        <f t="array" ref="E1622">IF(C1622="","",IFERROR(INDEX(STPP!$E$6:$E$4207,MATCH(C1622,STPP!$C$6:$C$4207,0)),"Not Found"))</f>
        <v/>
      </c>
      <c r="F1622" s="27" t="str" cm="1">
        <f t="array" ref="F1622">IF(C1622="","",IFERROR(INDEX(STPP!$F$6:$F$4207,MATCH(C1622,STPP!$C$6:$C$4207,0)),"Not Found"))</f>
        <v/>
      </c>
      <c r="G1622" s="25" t="str">
        <f>IF(表1[[#This Row],[No Seri]]="","",表1[[#This Row],[Deskripsi Barang]]+表1[[#This Row],[Kuantitas]]-表1[[#This Row],[Satuan]])</f>
        <v/>
      </c>
      <c r="H1622" s="28"/>
      <c r="I1622" s="25" t="str">
        <f>IF(表1[[#This Row],[Tgl NPBG]]&gt;表1[[#This Row],[Peminta]],表1[[#This Row],[Tgl NPBG]]-表1[[#This Row],[Peminta]],"")</f>
        <v/>
      </c>
      <c r="J1622" s="31"/>
    </row>
    <row r="1623" s="12" customFormat="1" customHeight="1" spans="2:10">
      <c r="B1623" s="25"/>
      <c r="C1623" s="25"/>
      <c r="D1623" s="26" t="str" cm="1">
        <f t="array" ref="D1623">IF(C1623="","",IFERROR(INDEX(STPP!$D$6:$D$4207,MATCH(C1623,STPP!$C$6:$C$4207,0)),"Not Found"))</f>
        <v/>
      </c>
      <c r="E1623" s="27" t="str" cm="1">
        <f t="array" ref="E1623">IF(C1623="","",IFERROR(INDEX(STPP!$E$6:$E$4207,MATCH(C1623,STPP!$C$6:$C$4207,0)),"Not Found"))</f>
        <v/>
      </c>
      <c r="F1623" s="27" t="str" cm="1">
        <f t="array" ref="F1623">IF(C1623="","",IFERROR(INDEX(STPP!$F$6:$F$4207,MATCH(C1623,STPP!$C$6:$C$4207,0)),"Not Found"))</f>
        <v/>
      </c>
      <c r="G1623" s="25" t="str">
        <f>IF(表1[[#This Row],[No Seri]]="","",表1[[#This Row],[Deskripsi Barang]]+表1[[#This Row],[Kuantitas]]-表1[[#This Row],[Satuan]])</f>
        <v/>
      </c>
      <c r="H1623" s="28"/>
      <c r="I1623" s="25" t="str">
        <f>IF(表1[[#This Row],[Tgl NPBG]]&gt;表1[[#This Row],[Peminta]],表1[[#This Row],[Tgl NPBG]]-表1[[#This Row],[Peminta]],"")</f>
        <v/>
      </c>
      <c r="J1623" s="31"/>
    </row>
    <row r="1624" s="12" customFormat="1" customHeight="1" spans="2:10">
      <c r="B1624" s="25"/>
      <c r="C1624" s="25"/>
      <c r="D1624" s="26" t="str" cm="1">
        <f t="array" ref="D1624">IF(C1624="","",IFERROR(INDEX(STPP!$D$6:$D$4207,MATCH(C1624,STPP!$C$6:$C$4207,0)),"Not Found"))</f>
        <v/>
      </c>
      <c r="E1624" s="27" t="str" cm="1">
        <f t="array" ref="E1624">IF(C1624="","",IFERROR(INDEX(STPP!$E$6:$E$4207,MATCH(C1624,STPP!$C$6:$C$4207,0)),"Not Found"))</f>
        <v/>
      </c>
      <c r="F1624" s="27" t="str" cm="1">
        <f t="array" ref="F1624">IF(C1624="","",IFERROR(INDEX(STPP!$F$6:$F$4207,MATCH(C1624,STPP!$C$6:$C$4207,0)),"Not Found"))</f>
        <v/>
      </c>
      <c r="G1624" s="25" t="str">
        <f>IF(表1[[#This Row],[No Seri]]="","",表1[[#This Row],[Deskripsi Barang]]+表1[[#This Row],[Kuantitas]]-表1[[#This Row],[Satuan]])</f>
        <v/>
      </c>
      <c r="H1624" s="28"/>
      <c r="I1624" s="25" t="str">
        <f>IF(表1[[#This Row],[Tgl NPBG]]&gt;表1[[#This Row],[Peminta]],表1[[#This Row],[Tgl NPBG]]-表1[[#This Row],[Peminta]],"")</f>
        <v/>
      </c>
      <c r="J1624" s="31"/>
    </row>
    <row r="1625" s="12" customFormat="1" customHeight="1" spans="2:10">
      <c r="B1625" s="25"/>
      <c r="C1625" s="25"/>
      <c r="D1625" s="26" t="str" cm="1">
        <f t="array" ref="D1625">IF(C1625="","",IFERROR(INDEX(STPP!$D$6:$D$4207,MATCH(C1625,STPP!$C$6:$C$4207,0)),"Not Found"))</f>
        <v/>
      </c>
      <c r="E1625" s="27" t="str" cm="1">
        <f t="array" ref="E1625">IF(C1625="","",IFERROR(INDEX(STPP!$E$6:$E$4207,MATCH(C1625,STPP!$C$6:$C$4207,0)),"Not Found"))</f>
        <v/>
      </c>
      <c r="F1625" s="27" t="str" cm="1">
        <f t="array" ref="F1625">IF(C1625="","",IFERROR(INDEX(STPP!$F$6:$F$4207,MATCH(C1625,STPP!$C$6:$C$4207,0)),"Not Found"))</f>
        <v/>
      </c>
      <c r="G1625" s="25" t="str">
        <f>IF(表1[[#This Row],[No Seri]]="","",表1[[#This Row],[Deskripsi Barang]]+表1[[#This Row],[Kuantitas]]-表1[[#This Row],[Satuan]])</f>
        <v/>
      </c>
      <c r="H1625" s="28"/>
      <c r="I1625" s="25" t="str">
        <f>IF(表1[[#This Row],[Tgl NPBG]]&gt;表1[[#This Row],[Peminta]],表1[[#This Row],[Tgl NPBG]]-表1[[#This Row],[Peminta]],"")</f>
        <v/>
      </c>
      <c r="J1625" s="31"/>
    </row>
    <row r="1626" s="12" customFormat="1" customHeight="1" spans="2:10">
      <c r="B1626" s="25"/>
      <c r="C1626" s="25"/>
      <c r="D1626" s="26" t="str" cm="1">
        <f t="array" ref="D1626">IF(C1626="","",IFERROR(INDEX(STPP!$D$6:$D$4207,MATCH(C1626,STPP!$C$6:$C$4207,0)),"Not Found"))</f>
        <v/>
      </c>
      <c r="E1626" s="27" t="str" cm="1">
        <f t="array" ref="E1626">IF(C1626="","",IFERROR(INDEX(STPP!$E$6:$E$4207,MATCH(C1626,STPP!$C$6:$C$4207,0)),"Not Found"))</f>
        <v/>
      </c>
      <c r="F1626" s="27" t="str" cm="1">
        <f t="array" ref="F1626">IF(C1626="","",IFERROR(INDEX(STPP!$F$6:$F$4207,MATCH(C1626,STPP!$C$6:$C$4207,0)),"Not Found"))</f>
        <v/>
      </c>
      <c r="G1626" s="25" t="str">
        <f>IF(表1[[#This Row],[No Seri]]="","",表1[[#This Row],[Deskripsi Barang]]+表1[[#This Row],[Kuantitas]]-表1[[#This Row],[Satuan]])</f>
        <v/>
      </c>
      <c r="H1626" s="28"/>
      <c r="I1626" s="25" t="str">
        <f>IF(表1[[#This Row],[Tgl NPBG]]&gt;表1[[#This Row],[Peminta]],表1[[#This Row],[Tgl NPBG]]-表1[[#This Row],[Peminta]],"")</f>
        <v/>
      </c>
      <c r="J1626" s="31"/>
    </row>
    <row r="1627" s="12" customFormat="1" customHeight="1" spans="2:10">
      <c r="B1627" s="25"/>
      <c r="C1627" s="25"/>
      <c r="D1627" s="26" t="str" cm="1">
        <f t="array" ref="D1627">IF(C1627="","",IFERROR(INDEX(STPP!$D$6:$D$4207,MATCH(C1627,STPP!$C$6:$C$4207,0)),"Not Found"))</f>
        <v/>
      </c>
      <c r="E1627" s="27" t="str" cm="1">
        <f t="array" ref="E1627">IF(C1627="","",IFERROR(INDEX(STPP!$E$6:$E$4207,MATCH(C1627,STPP!$C$6:$C$4207,0)),"Not Found"))</f>
        <v/>
      </c>
      <c r="F1627" s="27" t="str" cm="1">
        <f t="array" ref="F1627">IF(C1627="","",IFERROR(INDEX(STPP!$F$6:$F$4207,MATCH(C1627,STPP!$C$6:$C$4207,0)),"Not Found"))</f>
        <v/>
      </c>
      <c r="G1627" s="25" t="str">
        <f>IF(表1[[#This Row],[No Seri]]="","",表1[[#This Row],[Deskripsi Barang]]+表1[[#This Row],[Kuantitas]]-表1[[#This Row],[Satuan]])</f>
        <v/>
      </c>
      <c r="H1627" s="28"/>
      <c r="I1627" s="25" t="str">
        <f>IF(表1[[#This Row],[Tgl NPBG]]&gt;表1[[#This Row],[Peminta]],表1[[#This Row],[Tgl NPBG]]-表1[[#This Row],[Peminta]],"")</f>
        <v/>
      </c>
      <c r="J1627" s="31"/>
    </row>
    <row r="1628" s="12" customFormat="1" customHeight="1" spans="2:10">
      <c r="B1628" s="25"/>
      <c r="C1628" s="25"/>
      <c r="D1628" s="26" t="str" cm="1">
        <f t="array" ref="D1628">IF(C1628="","",IFERROR(INDEX(STPP!$D$6:$D$4207,MATCH(C1628,STPP!$C$6:$C$4207,0)),"Not Found"))</f>
        <v/>
      </c>
      <c r="E1628" s="27" t="str" cm="1">
        <f t="array" ref="E1628">IF(C1628="","",IFERROR(INDEX(STPP!$E$6:$E$4207,MATCH(C1628,STPP!$C$6:$C$4207,0)),"Not Found"))</f>
        <v/>
      </c>
      <c r="F1628" s="27" t="str" cm="1">
        <f t="array" ref="F1628">IF(C1628="","",IFERROR(INDEX(STPP!$F$6:$F$4207,MATCH(C1628,STPP!$C$6:$C$4207,0)),"Not Found"))</f>
        <v/>
      </c>
      <c r="G1628" s="25" t="str">
        <f>IF(表1[[#This Row],[No Seri]]="","",表1[[#This Row],[Deskripsi Barang]]+表1[[#This Row],[Kuantitas]]-表1[[#This Row],[Satuan]])</f>
        <v/>
      </c>
      <c r="H1628" s="28"/>
      <c r="I1628" s="25" t="str">
        <f>IF(表1[[#This Row],[Tgl NPBG]]&gt;表1[[#This Row],[Peminta]],表1[[#This Row],[Tgl NPBG]]-表1[[#This Row],[Peminta]],"")</f>
        <v/>
      </c>
      <c r="J1628" s="31"/>
    </row>
    <row r="1629" s="12" customFormat="1" customHeight="1" spans="2:10">
      <c r="B1629" s="25"/>
      <c r="C1629" s="25"/>
      <c r="D1629" s="26" t="str" cm="1">
        <f t="array" ref="D1629">IF(C1629="","",IFERROR(INDEX(STPP!$D$6:$D$4207,MATCH(C1629,STPP!$C$6:$C$4207,0)),"Not Found"))</f>
        <v/>
      </c>
      <c r="E1629" s="27" t="str" cm="1">
        <f t="array" ref="E1629">IF(C1629="","",IFERROR(INDEX(STPP!$E$6:$E$4207,MATCH(C1629,STPP!$C$6:$C$4207,0)),"Not Found"))</f>
        <v/>
      </c>
      <c r="F1629" s="27" t="str" cm="1">
        <f t="array" ref="F1629">IF(C1629="","",IFERROR(INDEX(STPP!$F$6:$F$4207,MATCH(C1629,STPP!$C$6:$C$4207,0)),"Not Found"))</f>
        <v/>
      </c>
      <c r="G1629" s="25" t="str">
        <f>IF(表1[[#This Row],[No Seri]]="","",表1[[#This Row],[Deskripsi Barang]]+表1[[#This Row],[Kuantitas]]-表1[[#This Row],[Satuan]])</f>
        <v/>
      </c>
      <c r="H1629" s="28"/>
      <c r="I1629" s="25" t="str">
        <f>IF(表1[[#This Row],[Tgl NPBG]]&gt;表1[[#This Row],[Peminta]],表1[[#This Row],[Tgl NPBG]]-表1[[#This Row],[Peminta]],"")</f>
        <v/>
      </c>
      <c r="J1629" s="31"/>
    </row>
    <row r="1630" s="12" customFormat="1" customHeight="1" spans="2:10">
      <c r="B1630" s="25"/>
      <c r="C1630" s="25"/>
      <c r="D1630" s="26" t="str" cm="1">
        <f t="array" ref="D1630">IF(C1630="","",IFERROR(INDEX(STPP!$D$6:$D$4207,MATCH(C1630,STPP!$C$6:$C$4207,0)),"Not Found"))</f>
        <v/>
      </c>
      <c r="E1630" s="27" t="str" cm="1">
        <f t="array" ref="E1630">IF(C1630="","",IFERROR(INDEX(STPP!$E$6:$E$4207,MATCH(C1630,STPP!$C$6:$C$4207,0)),"Not Found"))</f>
        <v/>
      </c>
      <c r="F1630" s="27" t="str" cm="1">
        <f t="array" ref="F1630">IF(C1630="","",IFERROR(INDEX(STPP!$F$6:$F$4207,MATCH(C1630,STPP!$C$6:$C$4207,0)),"Not Found"))</f>
        <v/>
      </c>
      <c r="G1630" s="25" t="str">
        <f>IF(表1[[#This Row],[No Seri]]="","",表1[[#This Row],[Deskripsi Barang]]+表1[[#This Row],[Kuantitas]]-表1[[#This Row],[Satuan]])</f>
        <v/>
      </c>
      <c r="H1630" s="28"/>
      <c r="I1630" s="25" t="str">
        <f>IF(表1[[#This Row],[Tgl NPBG]]&gt;表1[[#This Row],[Peminta]],表1[[#This Row],[Tgl NPBG]]-表1[[#This Row],[Peminta]],"")</f>
        <v/>
      </c>
      <c r="J1630" s="31"/>
    </row>
    <row r="1631" s="12" customFormat="1" customHeight="1" spans="2:10">
      <c r="B1631" s="25"/>
      <c r="C1631" s="25"/>
      <c r="D1631" s="26" t="str" cm="1">
        <f t="array" ref="D1631">IF(C1631="","",IFERROR(INDEX(STPP!$D$6:$D$4207,MATCH(C1631,STPP!$C$6:$C$4207,0)),"Not Found"))</f>
        <v/>
      </c>
      <c r="E1631" s="27" t="str" cm="1">
        <f t="array" ref="E1631">IF(C1631="","",IFERROR(INDEX(STPP!$E$6:$E$4207,MATCH(C1631,STPP!$C$6:$C$4207,0)),"Not Found"))</f>
        <v/>
      </c>
      <c r="F1631" s="27" t="str" cm="1">
        <f t="array" ref="F1631">IF(C1631="","",IFERROR(INDEX(STPP!$F$6:$F$4207,MATCH(C1631,STPP!$C$6:$C$4207,0)),"Not Found"))</f>
        <v/>
      </c>
      <c r="G1631" s="25" t="str">
        <f>IF(表1[[#This Row],[No Seri]]="","",表1[[#This Row],[Deskripsi Barang]]+表1[[#This Row],[Kuantitas]]-表1[[#This Row],[Satuan]])</f>
        <v/>
      </c>
      <c r="H1631" s="28"/>
      <c r="I1631" s="25" t="str">
        <f>IF(表1[[#This Row],[Tgl NPBG]]&gt;表1[[#This Row],[Peminta]],表1[[#This Row],[Tgl NPBG]]-表1[[#This Row],[Peminta]],"")</f>
        <v/>
      </c>
      <c r="J1631" s="31"/>
    </row>
    <row r="1632" s="12" customFormat="1" customHeight="1" spans="2:10">
      <c r="B1632" s="25"/>
      <c r="C1632" s="25"/>
      <c r="D1632" s="26" t="str" cm="1">
        <f t="array" ref="D1632">IF(C1632="","",IFERROR(INDEX(STPP!$D$6:$D$4207,MATCH(C1632,STPP!$C$6:$C$4207,0)),"Not Found"))</f>
        <v/>
      </c>
      <c r="E1632" s="27" t="str" cm="1">
        <f t="array" ref="E1632">IF(C1632="","",IFERROR(INDEX(STPP!$E$6:$E$4207,MATCH(C1632,STPP!$C$6:$C$4207,0)),"Not Found"))</f>
        <v/>
      </c>
      <c r="F1632" s="27" t="str" cm="1">
        <f t="array" ref="F1632">IF(C1632="","",IFERROR(INDEX(STPP!$F$6:$F$4207,MATCH(C1632,STPP!$C$6:$C$4207,0)),"Not Found"))</f>
        <v/>
      </c>
      <c r="G1632" s="25" t="str">
        <f>IF(表1[[#This Row],[No Seri]]="","",表1[[#This Row],[Deskripsi Barang]]+表1[[#This Row],[Kuantitas]]-表1[[#This Row],[Satuan]])</f>
        <v/>
      </c>
      <c r="H1632" s="28"/>
      <c r="I1632" s="25" t="str">
        <f>IF(表1[[#This Row],[Tgl NPBG]]&gt;表1[[#This Row],[Peminta]],表1[[#This Row],[Tgl NPBG]]-表1[[#This Row],[Peminta]],"")</f>
        <v/>
      </c>
      <c r="J1632" s="31"/>
    </row>
    <row r="1633" s="12" customFormat="1" customHeight="1" spans="2:10">
      <c r="B1633" s="25"/>
      <c r="C1633" s="25"/>
      <c r="D1633" s="26" t="str" cm="1">
        <f t="array" ref="D1633">IF(C1633="","",IFERROR(INDEX(STPP!$D$6:$D$4207,MATCH(C1633,STPP!$C$6:$C$4207,0)),"Not Found"))</f>
        <v/>
      </c>
      <c r="E1633" s="27" t="str" cm="1">
        <f t="array" ref="E1633">IF(C1633="","",IFERROR(INDEX(STPP!$E$6:$E$4207,MATCH(C1633,STPP!$C$6:$C$4207,0)),"Not Found"))</f>
        <v/>
      </c>
      <c r="F1633" s="27" t="str" cm="1">
        <f t="array" ref="F1633">IF(C1633="","",IFERROR(INDEX(STPP!$F$6:$F$4207,MATCH(C1633,STPP!$C$6:$C$4207,0)),"Not Found"))</f>
        <v/>
      </c>
      <c r="G1633" s="25" t="str">
        <f>IF(表1[[#This Row],[No Seri]]="","",表1[[#This Row],[Deskripsi Barang]]+表1[[#This Row],[Kuantitas]]-表1[[#This Row],[Satuan]])</f>
        <v/>
      </c>
      <c r="H1633" s="28"/>
      <c r="I1633" s="25" t="str">
        <f>IF(表1[[#This Row],[Tgl NPBG]]&gt;表1[[#This Row],[Peminta]],表1[[#This Row],[Tgl NPBG]]-表1[[#This Row],[Peminta]],"")</f>
        <v/>
      </c>
      <c r="J1633" s="31"/>
    </row>
    <row r="1634" s="12" customFormat="1" customHeight="1" spans="2:10">
      <c r="B1634" s="25"/>
      <c r="C1634" s="25"/>
      <c r="D1634" s="26" t="str" cm="1">
        <f t="array" ref="D1634">IF(C1634="","",IFERROR(INDEX(STPP!$D$6:$D$4207,MATCH(C1634,STPP!$C$6:$C$4207,0)),"Not Found"))</f>
        <v/>
      </c>
      <c r="E1634" s="27" t="str" cm="1">
        <f t="array" ref="E1634">IF(C1634="","",IFERROR(INDEX(STPP!$E$6:$E$4207,MATCH(C1634,STPP!$C$6:$C$4207,0)),"Not Found"))</f>
        <v/>
      </c>
      <c r="F1634" s="27" t="str" cm="1">
        <f t="array" ref="F1634">IF(C1634="","",IFERROR(INDEX(STPP!$F$6:$F$4207,MATCH(C1634,STPP!$C$6:$C$4207,0)),"Not Found"))</f>
        <v/>
      </c>
      <c r="G1634" s="25" t="str">
        <f>IF(表1[[#This Row],[No Seri]]="","",表1[[#This Row],[Deskripsi Barang]]+表1[[#This Row],[Kuantitas]]-表1[[#This Row],[Satuan]])</f>
        <v/>
      </c>
      <c r="H1634" s="28"/>
      <c r="I1634" s="25" t="str">
        <f>IF(表1[[#This Row],[Tgl NPBG]]&gt;表1[[#This Row],[Peminta]],表1[[#This Row],[Tgl NPBG]]-表1[[#This Row],[Peminta]],"")</f>
        <v/>
      </c>
      <c r="J1634" s="31"/>
    </row>
    <row r="1635" s="12" customFormat="1" customHeight="1" spans="2:10">
      <c r="B1635" s="25"/>
      <c r="C1635" s="25"/>
      <c r="D1635" s="26" t="str" cm="1">
        <f t="array" ref="D1635">IF(C1635="","",IFERROR(INDEX(STPP!$D$6:$D$4207,MATCH(C1635,STPP!$C$6:$C$4207,0)),"Not Found"))</f>
        <v/>
      </c>
      <c r="E1635" s="27" t="str" cm="1">
        <f t="array" ref="E1635">IF(C1635="","",IFERROR(INDEX(STPP!$E$6:$E$4207,MATCH(C1635,STPP!$C$6:$C$4207,0)),"Not Found"))</f>
        <v/>
      </c>
      <c r="F1635" s="27" t="str" cm="1">
        <f t="array" ref="F1635">IF(C1635="","",IFERROR(INDEX(STPP!$F$6:$F$4207,MATCH(C1635,STPP!$C$6:$C$4207,0)),"Not Found"))</f>
        <v/>
      </c>
      <c r="G1635" s="25" t="str">
        <f>IF(表1[[#This Row],[No Seri]]="","",表1[[#This Row],[Deskripsi Barang]]+表1[[#This Row],[Kuantitas]]-表1[[#This Row],[Satuan]])</f>
        <v/>
      </c>
      <c r="H1635" s="28"/>
      <c r="I1635" s="25" t="str">
        <f>IF(表1[[#This Row],[Tgl NPBG]]&gt;表1[[#This Row],[Peminta]],表1[[#This Row],[Tgl NPBG]]-表1[[#This Row],[Peminta]],"")</f>
        <v/>
      </c>
      <c r="J1635" s="31"/>
    </row>
    <row r="1636" s="12" customFormat="1" customHeight="1" spans="2:10">
      <c r="B1636" s="25"/>
      <c r="C1636" s="25"/>
      <c r="D1636" s="26" t="str" cm="1">
        <f t="array" ref="D1636">IF(C1636="","",IFERROR(INDEX(STPP!$D$6:$D$4207,MATCH(C1636,STPP!$C$6:$C$4207,0)),"Not Found"))</f>
        <v/>
      </c>
      <c r="E1636" s="27" t="str" cm="1">
        <f t="array" ref="E1636">IF(C1636="","",IFERROR(INDEX(STPP!$E$6:$E$4207,MATCH(C1636,STPP!$C$6:$C$4207,0)),"Not Found"))</f>
        <v/>
      </c>
      <c r="F1636" s="27" t="str" cm="1">
        <f t="array" ref="F1636">IF(C1636="","",IFERROR(INDEX(STPP!$F$6:$F$4207,MATCH(C1636,STPP!$C$6:$C$4207,0)),"Not Found"))</f>
        <v/>
      </c>
      <c r="G1636" s="25" t="str">
        <f>IF(表1[[#This Row],[No Seri]]="","",表1[[#This Row],[Deskripsi Barang]]+表1[[#This Row],[Kuantitas]]-表1[[#This Row],[Satuan]])</f>
        <v/>
      </c>
      <c r="H1636" s="28"/>
      <c r="I1636" s="25" t="str">
        <f>IF(表1[[#This Row],[Tgl NPBG]]&gt;表1[[#This Row],[Peminta]],表1[[#This Row],[Tgl NPBG]]-表1[[#This Row],[Peminta]],"")</f>
        <v/>
      </c>
      <c r="J1636" s="31"/>
    </row>
    <row r="1637" s="12" customFormat="1" customHeight="1" spans="2:10">
      <c r="B1637" s="25"/>
      <c r="C1637" s="25"/>
      <c r="D1637" s="26" t="str" cm="1">
        <f t="array" ref="D1637">IF(C1637="","",IFERROR(INDEX(STPP!$D$6:$D$4207,MATCH(C1637,STPP!$C$6:$C$4207,0)),"Not Found"))</f>
        <v/>
      </c>
      <c r="E1637" s="27" t="str" cm="1">
        <f t="array" ref="E1637">IF(C1637="","",IFERROR(INDEX(STPP!$E$6:$E$4207,MATCH(C1637,STPP!$C$6:$C$4207,0)),"Not Found"))</f>
        <v/>
      </c>
      <c r="F1637" s="27" t="str" cm="1">
        <f t="array" ref="F1637">IF(C1637="","",IFERROR(INDEX(STPP!$F$6:$F$4207,MATCH(C1637,STPP!$C$6:$C$4207,0)),"Not Found"))</f>
        <v/>
      </c>
      <c r="G1637" s="25" t="str">
        <f>IF(表1[[#This Row],[No Seri]]="","",表1[[#This Row],[Deskripsi Barang]]+表1[[#This Row],[Kuantitas]]-表1[[#This Row],[Satuan]])</f>
        <v/>
      </c>
      <c r="H1637" s="28"/>
      <c r="I1637" s="25" t="str">
        <f>IF(表1[[#This Row],[Tgl NPBG]]&gt;表1[[#This Row],[Peminta]],表1[[#This Row],[Tgl NPBG]]-表1[[#This Row],[Peminta]],"")</f>
        <v/>
      </c>
      <c r="J1637" s="31"/>
    </row>
    <row r="1638" s="12" customFormat="1" customHeight="1" spans="2:10">
      <c r="B1638" s="25"/>
      <c r="C1638" s="25"/>
      <c r="D1638" s="26" t="str" cm="1">
        <f t="array" ref="D1638">IF(C1638="","",IFERROR(INDEX(STPP!$D$6:$D$4207,MATCH(C1638,STPP!$C$6:$C$4207,0)),"Not Found"))</f>
        <v/>
      </c>
      <c r="E1638" s="27" t="str" cm="1">
        <f t="array" ref="E1638">IF(C1638="","",IFERROR(INDEX(STPP!$E$6:$E$4207,MATCH(C1638,STPP!$C$6:$C$4207,0)),"Not Found"))</f>
        <v/>
      </c>
      <c r="F1638" s="27" t="str" cm="1">
        <f t="array" ref="F1638">IF(C1638="","",IFERROR(INDEX(STPP!$F$6:$F$4207,MATCH(C1638,STPP!$C$6:$C$4207,0)),"Not Found"))</f>
        <v/>
      </c>
      <c r="G1638" s="25" t="str">
        <f>IF(表1[[#This Row],[No Seri]]="","",表1[[#This Row],[Deskripsi Barang]]+表1[[#This Row],[Kuantitas]]-表1[[#This Row],[Satuan]])</f>
        <v/>
      </c>
      <c r="H1638" s="28"/>
      <c r="I1638" s="25" t="str">
        <f>IF(表1[[#This Row],[Tgl NPBG]]&gt;表1[[#This Row],[Peminta]],表1[[#This Row],[Tgl NPBG]]-表1[[#This Row],[Peminta]],"")</f>
        <v/>
      </c>
      <c r="J1638" s="31"/>
    </row>
    <row r="1639" s="12" customFormat="1" customHeight="1" spans="2:10">
      <c r="B1639" s="25"/>
      <c r="C1639" s="25"/>
      <c r="D1639" s="26" t="str" cm="1">
        <f t="array" ref="D1639">IF(C1639="","",IFERROR(INDEX(STPP!$D$6:$D$4207,MATCH(C1639,STPP!$C$6:$C$4207,0)),"Not Found"))</f>
        <v/>
      </c>
      <c r="E1639" s="27" t="str" cm="1">
        <f t="array" ref="E1639">IF(C1639="","",IFERROR(INDEX(STPP!$E$6:$E$4207,MATCH(C1639,STPP!$C$6:$C$4207,0)),"Not Found"))</f>
        <v/>
      </c>
      <c r="F1639" s="27" t="str" cm="1">
        <f t="array" ref="F1639">IF(C1639="","",IFERROR(INDEX(STPP!$F$6:$F$4207,MATCH(C1639,STPP!$C$6:$C$4207,0)),"Not Found"))</f>
        <v/>
      </c>
      <c r="G1639" s="25" t="str">
        <f>IF(表1[[#This Row],[No Seri]]="","",表1[[#This Row],[Deskripsi Barang]]+表1[[#This Row],[Kuantitas]]-表1[[#This Row],[Satuan]])</f>
        <v/>
      </c>
      <c r="H1639" s="28"/>
      <c r="I1639" s="25" t="str">
        <f>IF(表1[[#This Row],[Tgl NPBG]]&gt;表1[[#This Row],[Peminta]],表1[[#This Row],[Tgl NPBG]]-表1[[#This Row],[Peminta]],"")</f>
        <v/>
      </c>
      <c r="J1639" s="31"/>
    </row>
    <row r="1640" s="12" customFormat="1" customHeight="1" spans="2:10">
      <c r="B1640" s="25"/>
      <c r="C1640" s="25"/>
      <c r="D1640" s="26" t="str" cm="1">
        <f t="array" ref="D1640">IF(C1640="","",IFERROR(INDEX(STPP!$D$6:$D$4207,MATCH(C1640,STPP!$C$6:$C$4207,0)),"Not Found"))</f>
        <v/>
      </c>
      <c r="E1640" s="27" t="str" cm="1">
        <f t="array" ref="E1640">IF(C1640="","",IFERROR(INDEX(STPP!$E$6:$E$4207,MATCH(C1640,STPP!$C$6:$C$4207,0)),"Not Found"))</f>
        <v/>
      </c>
      <c r="F1640" s="27" t="str" cm="1">
        <f t="array" ref="F1640">IF(C1640="","",IFERROR(INDEX(STPP!$F$6:$F$4207,MATCH(C1640,STPP!$C$6:$C$4207,0)),"Not Found"))</f>
        <v/>
      </c>
      <c r="G1640" s="25" t="str">
        <f>IF(表1[[#This Row],[No Seri]]="","",表1[[#This Row],[Deskripsi Barang]]+表1[[#This Row],[Kuantitas]]-表1[[#This Row],[Satuan]])</f>
        <v/>
      </c>
      <c r="H1640" s="28"/>
      <c r="I1640" s="25" t="str">
        <f>IF(表1[[#This Row],[Tgl NPBG]]&gt;表1[[#This Row],[Peminta]],表1[[#This Row],[Tgl NPBG]]-表1[[#This Row],[Peminta]],"")</f>
        <v/>
      </c>
      <c r="J1640" s="31"/>
    </row>
    <row r="1641" s="12" customFormat="1" customHeight="1" spans="2:10">
      <c r="B1641" s="25"/>
      <c r="C1641" s="25"/>
      <c r="D1641" s="26" t="str" cm="1">
        <f t="array" ref="D1641">IF(C1641="","",IFERROR(INDEX(STPP!$D$6:$D$4207,MATCH(C1641,STPP!$C$6:$C$4207,0)),"Not Found"))</f>
        <v/>
      </c>
      <c r="E1641" s="27" t="str" cm="1">
        <f t="array" ref="E1641">IF(C1641="","",IFERROR(INDEX(STPP!$E$6:$E$4207,MATCH(C1641,STPP!$C$6:$C$4207,0)),"Not Found"))</f>
        <v/>
      </c>
      <c r="F1641" s="27" t="str" cm="1">
        <f t="array" ref="F1641">IF(C1641="","",IFERROR(INDEX(STPP!$F$6:$F$4207,MATCH(C1641,STPP!$C$6:$C$4207,0)),"Not Found"))</f>
        <v/>
      </c>
      <c r="G1641" s="25" t="str">
        <f>IF(表1[[#This Row],[No Seri]]="","",表1[[#This Row],[Deskripsi Barang]]+表1[[#This Row],[Kuantitas]]-表1[[#This Row],[Satuan]])</f>
        <v/>
      </c>
      <c r="H1641" s="28"/>
      <c r="I1641" s="25" t="str">
        <f>IF(表1[[#This Row],[Tgl NPBG]]&gt;表1[[#This Row],[Peminta]],表1[[#This Row],[Tgl NPBG]]-表1[[#This Row],[Peminta]],"")</f>
        <v/>
      </c>
      <c r="J1641" s="31"/>
    </row>
    <row r="1642" s="12" customFormat="1" customHeight="1" spans="2:10">
      <c r="B1642" s="25"/>
      <c r="C1642" s="25"/>
      <c r="D1642" s="26" t="str" cm="1">
        <f t="array" ref="D1642">IF(C1642="","",IFERROR(INDEX(STPP!$D$6:$D$4207,MATCH(C1642,STPP!$C$6:$C$4207,0)),"Not Found"))</f>
        <v/>
      </c>
      <c r="E1642" s="27" t="str" cm="1">
        <f t="array" ref="E1642">IF(C1642="","",IFERROR(INDEX(STPP!$E$6:$E$4207,MATCH(C1642,STPP!$C$6:$C$4207,0)),"Not Found"))</f>
        <v/>
      </c>
      <c r="F1642" s="27" t="str" cm="1">
        <f t="array" ref="F1642">IF(C1642="","",IFERROR(INDEX(STPP!$F$6:$F$4207,MATCH(C1642,STPP!$C$6:$C$4207,0)),"Not Found"))</f>
        <v/>
      </c>
      <c r="G1642" s="25" t="str">
        <f>IF(表1[[#This Row],[No Seri]]="","",表1[[#This Row],[Deskripsi Barang]]+表1[[#This Row],[Kuantitas]]-表1[[#This Row],[Satuan]])</f>
        <v/>
      </c>
      <c r="H1642" s="28"/>
      <c r="I1642" s="25" t="str">
        <f>IF(表1[[#This Row],[Tgl NPBG]]&gt;表1[[#This Row],[Peminta]],表1[[#This Row],[Tgl NPBG]]-表1[[#This Row],[Peminta]],"")</f>
        <v/>
      </c>
      <c r="J1642" s="31"/>
    </row>
    <row r="1643" s="12" customFormat="1" customHeight="1" spans="2:10">
      <c r="B1643" s="25"/>
      <c r="C1643" s="25"/>
      <c r="D1643" s="26" t="str" cm="1">
        <f t="array" ref="D1643">IF(C1643="","",IFERROR(INDEX(STPP!$D$6:$D$4207,MATCH(C1643,STPP!$C$6:$C$4207,0)),"Not Found"))</f>
        <v/>
      </c>
      <c r="E1643" s="27" t="str" cm="1">
        <f t="array" ref="E1643">IF(C1643="","",IFERROR(INDEX(STPP!$E$6:$E$4207,MATCH(C1643,STPP!$C$6:$C$4207,0)),"Not Found"))</f>
        <v/>
      </c>
      <c r="F1643" s="27" t="str" cm="1">
        <f t="array" ref="F1643">IF(C1643="","",IFERROR(INDEX(STPP!$F$6:$F$4207,MATCH(C1643,STPP!$C$6:$C$4207,0)),"Not Found"))</f>
        <v/>
      </c>
      <c r="G1643" s="25" t="str">
        <f>IF(表1[[#This Row],[No Seri]]="","",表1[[#This Row],[Deskripsi Barang]]+表1[[#This Row],[Kuantitas]]-表1[[#This Row],[Satuan]])</f>
        <v/>
      </c>
      <c r="H1643" s="28"/>
      <c r="I1643" s="25" t="str">
        <f>IF(表1[[#This Row],[Tgl NPBG]]&gt;表1[[#This Row],[Peminta]],表1[[#This Row],[Tgl NPBG]]-表1[[#This Row],[Peminta]],"")</f>
        <v/>
      </c>
      <c r="J1643" s="31"/>
    </row>
    <row r="1644" s="12" customFormat="1" customHeight="1" spans="2:10">
      <c r="B1644" s="25"/>
      <c r="C1644" s="25"/>
      <c r="D1644" s="26" t="str" cm="1">
        <f t="array" ref="D1644">IF(C1644="","",IFERROR(INDEX(STPP!$D$6:$D$4207,MATCH(C1644,STPP!$C$6:$C$4207,0)),"Not Found"))</f>
        <v/>
      </c>
      <c r="E1644" s="27" t="str" cm="1">
        <f t="array" ref="E1644">IF(C1644="","",IFERROR(INDEX(STPP!$E$6:$E$4207,MATCH(C1644,STPP!$C$6:$C$4207,0)),"Not Found"))</f>
        <v/>
      </c>
      <c r="F1644" s="27" t="str" cm="1">
        <f t="array" ref="F1644">IF(C1644="","",IFERROR(INDEX(STPP!$F$6:$F$4207,MATCH(C1644,STPP!$C$6:$C$4207,0)),"Not Found"))</f>
        <v/>
      </c>
      <c r="G1644" s="25" t="str">
        <f>IF(表1[[#This Row],[No Seri]]="","",表1[[#This Row],[Deskripsi Barang]]+表1[[#This Row],[Kuantitas]]-表1[[#This Row],[Satuan]])</f>
        <v/>
      </c>
      <c r="H1644" s="28"/>
      <c r="I1644" s="25" t="str">
        <f>IF(表1[[#This Row],[Tgl NPBG]]&gt;表1[[#This Row],[Peminta]],表1[[#This Row],[Tgl NPBG]]-表1[[#This Row],[Peminta]],"")</f>
        <v/>
      </c>
      <c r="J1644" s="31"/>
    </row>
    <row r="1645" s="12" customFormat="1" customHeight="1" spans="2:10">
      <c r="B1645" s="25"/>
      <c r="C1645" s="25"/>
      <c r="D1645" s="26" t="str" cm="1">
        <f t="array" ref="D1645">IF(C1645="","",IFERROR(INDEX(STPP!$D$6:$D$4207,MATCH(C1645,STPP!$C$6:$C$4207,0)),"Not Found"))</f>
        <v/>
      </c>
      <c r="E1645" s="27" t="str" cm="1">
        <f t="array" ref="E1645">IF(C1645="","",IFERROR(INDEX(STPP!$E$6:$E$4207,MATCH(C1645,STPP!$C$6:$C$4207,0)),"Not Found"))</f>
        <v/>
      </c>
      <c r="F1645" s="27" t="str" cm="1">
        <f t="array" ref="F1645">IF(C1645="","",IFERROR(INDEX(STPP!$F$6:$F$4207,MATCH(C1645,STPP!$C$6:$C$4207,0)),"Not Found"))</f>
        <v/>
      </c>
      <c r="G1645" s="25" t="str">
        <f>IF(表1[[#This Row],[No Seri]]="","",表1[[#This Row],[Deskripsi Barang]]+表1[[#This Row],[Kuantitas]]-表1[[#This Row],[Satuan]])</f>
        <v/>
      </c>
      <c r="H1645" s="28"/>
      <c r="I1645" s="25" t="str">
        <f>IF(表1[[#This Row],[Tgl NPBG]]&gt;表1[[#This Row],[Peminta]],表1[[#This Row],[Tgl NPBG]]-表1[[#This Row],[Peminta]],"")</f>
        <v/>
      </c>
      <c r="J1645" s="31"/>
    </row>
    <row r="1646" s="12" customFormat="1" customHeight="1" spans="2:10">
      <c r="B1646" s="25"/>
      <c r="C1646" s="25"/>
      <c r="D1646" s="26" t="str" cm="1">
        <f t="array" ref="D1646">IF(C1646="","",IFERROR(INDEX(STPP!$D$6:$D$4207,MATCH(C1646,STPP!$C$6:$C$4207,0)),"Not Found"))</f>
        <v/>
      </c>
      <c r="E1646" s="27" t="str" cm="1">
        <f t="array" ref="E1646">IF(C1646="","",IFERROR(INDEX(STPP!$E$6:$E$4207,MATCH(C1646,STPP!$C$6:$C$4207,0)),"Not Found"))</f>
        <v/>
      </c>
      <c r="F1646" s="27" t="str" cm="1">
        <f t="array" ref="F1646">IF(C1646="","",IFERROR(INDEX(STPP!$F$6:$F$4207,MATCH(C1646,STPP!$C$6:$C$4207,0)),"Not Found"))</f>
        <v/>
      </c>
      <c r="G1646" s="25" t="str">
        <f>IF(表1[[#This Row],[No Seri]]="","",表1[[#This Row],[Deskripsi Barang]]+表1[[#This Row],[Kuantitas]]-表1[[#This Row],[Satuan]])</f>
        <v/>
      </c>
      <c r="H1646" s="28"/>
      <c r="I1646" s="25" t="str">
        <f>IF(表1[[#This Row],[Tgl NPBG]]&gt;表1[[#This Row],[Peminta]],表1[[#This Row],[Tgl NPBG]]-表1[[#This Row],[Peminta]],"")</f>
        <v/>
      </c>
      <c r="J1646" s="31"/>
    </row>
    <row r="1647" s="12" customFormat="1" customHeight="1" spans="2:10">
      <c r="B1647" s="25"/>
      <c r="C1647" s="25"/>
      <c r="D1647" s="26" t="str" cm="1">
        <f t="array" ref="D1647">IF(C1647="","",IFERROR(INDEX(STPP!$D$6:$D$4207,MATCH(C1647,STPP!$C$6:$C$4207,0)),"Not Found"))</f>
        <v/>
      </c>
      <c r="E1647" s="27" t="str" cm="1">
        <f t="array" ref="E1647">IF(C1647="","",IFERROR(INDEX(STPP!$E$6:$E$4207,MATCH(C1647,STPP!$C$6:$C$4207,0)),"Not Found"))</f>
        <v/>
      </c>
      <c r="F1647" s="27" t="str" cm="1">
        <f t="array" ref="F1647">IF(C1647="","",IFERROR(INDEX(STPP!$F$6:$F$4207,MATCH(C1647,STPP!$C$6:$C$4207,0)),"Not Found"))</f>
        <v/>
      </c>
      <c r="G1647" s="25" t="str">
        <f>IF(表1[[#This Row],[No Seri]]="","",表1[[#This Row],[Deskripsi Barang]]+表1[[#This Row],[Kuantitas]]-表1[[#This Row],[Satuan]])</f>
        <v/>
      </c>
      <c r="H1647" s="28"/>
      <c r="I1647" s="25" t="str">
        <f>IF(表1[[#This Row],[Tgl NPBG]]&gt;表1[[#This Row],[Peminta]],表1[[#This Row],[Tgl NPBG]]-表1[[#This Row],[Peminta]],"")</f>
        <v/>
      </c>
      <c r="J1647" s="31"/>
    </row>
    <row r="1648" s="12" customFormat="1" customHeight="1" spans="2:10">
      <c r="B1648" s="25"/>
      <c r="C1648" s="25"/>
      <c r="D1648" s="26" t="str" cm="1">
        <f t="array" ref="D1648">IF(C1648="","",IFERROR(INDEX(STPP!$D$6:$D$4207,MATCH(C1648,STPP!$C$6:$C$4207,0)),"Not Found"))</f>
        <v/>
      </c>
      <c r="E1648" s="27" t="str" cm="1">
        <f t="array" ref="E1648">IF(C1648="","",IFERROR(INDEX(STPP!$E$6:$E$4207,MATCH(C1648,STPP!$C$6:$C$4207,0)),"Not Found"))</f>
        <v/>
      </c>
      <c r="F1648" s="27" t="str" cm="1">
        <f t="array" ref="F1648">IF(C1648="","",IFERROR(INDEX(STPP!$F$6:$F$4207,MATCH(C1648,STPP!$C$6:$C$4207,0)),"Not Found"))</f>
        <v/>
      </c>
      <c r="G1648" s="25" t="str">
        <f>IF(表1[[#This Row],[No Seri]]="","",表1[[#This Row],[Deskripsi Barang]]+表1[[#This Row],[Kuantitas]]-表1[[#This Row],[Satuan]])</f>
        <v/>
      </c>
      <c r="H1648" s="28"/>
      <c r="I1648" s="25" t="str">
        <f>IF(表1[[#This Row],[Tgl NPBG]]&gt;表1[[#This Row],[Peminta]],表1[[#This Row],[Tgl NPBG]]-表1[[#This Row],[Peminta]],"")</f>
        <v/>
      </c>
      <c r="J1648" s="31"/>
    </row>
    <row r="1649" s="12" customFormat="1" customHeight="1" spans="2:10">
      <c r="B1649" s="25"/>
      <c r="C1649" s="25"/>
      <c r="D1649" s="26" t="str" cm="1">
        <f t="array" ref="D1649">IF(C1649="","",IFERROR(INDEX(STPP!$D$6:$D$4207,MATCH(C1649,STPP!$C$6:$C$4207,0)),"Not Found"))</f>
        <v/>
      </c>
      <c r="E1649" s="27" t="str" cm="1">
        <f t="array" ref="E1649">IF(C1649="","",IFERROR(INDEX(STPP!$E$6:$E$4207,MATCH(C1649,STPP!$C$6:$C$4207,0)),"Not Found"))</f>
        <v/>
      </c>
      <c r="F1649" s="27" t="str" cm="1">
        <f t="array" ref="F1649">IF(C1649="","",IFERROR(INDEX(STPP!$F$6:$F$4207,MATCH(C1649,STPP!$C$6:$C$4207,0)),"Not Found"))</f>
        <v/>
      </c>
      <c r="G1649" s="25" t="str">
        <f>IF(表1[[#This Row],[No Seri]]="","",表1[[#This Row],[Deskripsi Barang]]+表1[[#This Row],[Kuantitas]]-表1[[#This Row],[Satuan]])</f>
        <v/>
      </c>
      <c r="H1649" s="28"/>
      <c r="I1649" s="25" t="str">
        <f>IF(表1[[#This Row],[Tgl NPBG]]&gt;表1[[#This Row],[Peminta]],表1[[#This Row],[Tgl NPBG]]-表1[[#This Row],[Peminta]],"")</f>
        <v/>
      </c>
      <c r="J1649" s="31"/>
    </row>
    <row r="1650" s="12" customFormat="1" customHeight="1" spans="2:10">
      <c r="B1650" s="25"/>
      <c r="C1650" s="25"/>
      <c r="D1650" s="26" t="str" cm="1">
        <f t="array" ref="D1650">IF(C1650="","",IFERROR(INDEX(STPP!$D$6:$D$4207,MATCH(C1650,STPP!$C$6:$C$4207,0)),"Not Found"))</f>
        <v/>
      </c>
      <c r="E1650" s="27" t="str" cm="1">
        <f t="array" ref="E1650">IF(C1650="","",IFERROR(INDEX(STPP!$E$6:$E$4207,MATCH(C1650,STPP!$C$6:$C$4207,0)),"Not Found"))</f>
        <v/>
      </c>
      <c r="F1650" s="27" t="str" cm="1">
        <f t="array" ref="F1650">IF(C1650="","",IFERROR(INDEX(STPP!$F$6:$F$4207,MATCH(C1650,STPP!$C$6:$C$4207,0)),"Not Found"))</f>
        <v/>
      </c>
      <c r="G1650" s="25" t="str">
        <f>IF(表1[[#This Row],[No Seri]]="","",表1[[#This Row],[Deskripsi Barang]]+表1[[#This Row],[Kuantitas]]-表1[[#This Row],[Satuan]])</f>
        <v/>
      </c>
      <c r="H1650" s="28"/>
      <c r="I1650" s="25" t="str">
        <f>IF(表1[[#This Row],[Tgl NPBG]]&gt;表1[[#This Row],[Peminta]],表1[[#This Row],[Tgl NPBG]]-表1[[#This Row],[Peminta]],"")</f>
        <v/>
      </c>
      <c r="J1650" s="31"/>
    </row>
    <row r="1651" s="12" customFormat="1" customHeight="1" spans="2:10">
      <c r="B1651" s="25"/>
      <c r="C1651" s="25"/>
      <c r="D1651" s="26" t="str" cm="1">
        <f t="array" ref="D1651">IF(C1651="","",IFERROR(INDEX(STPP!$D$6:$D$4207,MATCH(C1651,STPP!$C$6:$C$4207,0)),"Not Found"))</f>
        <v/>
      </c>
      <c r="E1651" s="27" t="str" cm="1">
        <f t="array" ref="E1651">IF(C1651="","",IFERROR(INDEX(STPP!$E$6:$E$4207,MATCH(C1651,STPP!$C$6:$C$4207,0)),"Not Found"))</f>
        <v/>
      </c>
      <c r="F1651" s="27" t="str" cm="1">
        <f t="array" ref="F1651">IF(C1651="","",IFERROR(INDEX(STPP!$F$6:$F$4207,MATCH(C1651,STPP!$C$6:$C$4207,0)),"Not Found"))</f>
        <v/>
      </c>
      <c r="G1651" s="25" t="str">
        <f>IF(表1[[#This Row],[No Seri]]="","",表1[[#This Row],[Deskripsi Barang]]+表1[[#This Row],[Kuantitas]]-表1[[#This Row],[Satuan]])</f>
        <v/>
      </c>
      <c r="H1651" s="28"/>
      <c r="I1651" s="25" t="str">
        <f>IF(表1[[#This Row],[Tgl NPBG]]&gt;表1[[#This Row],[Peminta]],表1[[#This Row],[Tgl NPBG]]-表1[[#This Row],[Peminta]],"")</f>
        <v/>
      </c>
      <c r="J1651" s="31"/>
    </row>
    <row r="1652" s="12" customFormat="1" customHeight="1" spans="2:10">
      <c r="B1652" s="25"/>
      <c r="C1652" s="25"/>
      <c r="D1652" s="26" t="str" cm="1">
        <f t="array" ref="D1652">IF(C1652="","",IFERROR(INDEX(STPP!$D$6:$D$4207,MATCH(C1652,STPP!$C$6:$C$4207,0)),"Not Found"))</f>
        <v/>
      </c>
      <c r="E1652" s="27" t="str" cm="1">
        <f t="array" ref="E1652">IF(C1652="","",IFERROR(INDEX(STPP!$E$6:$E$4207,MATCH(C1652,STPP!$C$6:$C$4207,0)),"Not Found"))</f>
        <v/>
      </c>
      <c r="F1652" s="27" t="str" cm="1">
        <f t="array" ref="F1652">IF(C1652="","",IFERROR(INDEX(STPP!$F$6:$F$4207,MATCH(C1652,STPP!$C$6:$C$4207,0)),"Not Found"))</f>
        <v/>
      </c>
      <c r="G1652" s="25" t="str">
        <f>IF(表1[[#This Row],[No Seri]]="","",表1[[#This Row],[Deskripsi Barang]]+表1[[#This Row],[Kuantitas]]-表1[[#This Row],[Satuan]])</f>
        <v/>
      </c>
      <c r="H1652" s="28"/>
      <c r="I1652" s="25" t="str">
        <f>IF(表1[[#This Row],[Tgl NPBG]]&gt;表1[[#This Row],[Peminta]],表1[[#This Row],[Tgl NPBG]]-表1[[#This Row],[Peminta]],"")</f>
        <v/>
      </c>
      <c r="J1652" s="31"/>
    </row>
    <row r="1653" s="12" customFormat="1" customHeight="1" spans="2:10">
      <c r="B1653" s="25"/>
      <c r="C1653" s="25"/>
      <c r="D1653" s="26" t="str" cm="1">
        <f t="array" ref="D1653">IF(C1653="","",IFERROR(INDEX(STPP!$D$6:$D$4207,MATCH(C1653,STPP!$C$6:$C$4207,0)),"Not Found"))</f>
        <v/>
      </c>
      <c r="E1653" s="27" t="str" cm="1">
        <f t="array" ref="E1653">IF(C1653="","",IFERROR(INDEX(STPP!$E$6:$E$4207,MATCH(C1653,STPP!$C$6:$C$4207,0)),"Not Found"))</f>
        <v/>
      </c>
      <c r="F1653" s="27" t="str" cm="1">
        <f t="array" ref="F1653">IF(C1653="","",IFERROR(INDEX(STPP!$F$6:$F$4207,MATCH(C1653,STPP!$C$6:$C$4207,0)),"Not Found"))</f>
        <v/>
      </c>
      <c r="G1653" s="25" t="str">
        <f>IF(表1[[#This Row],[No Seri]]="","",表1[[#This Row],[Deskripsi Barang]]+表1[[#This Row],[Kuantitas]]-表1[[#This Row],[Satuan]])</f>
        <v/>
      </c>
      <c r="H1653" s="28"/>
      <c r="I1653" s="25" t="str">
        <f>IF(表1[[#This Row],[Tgl NPBG]]&gt;表1[[#This Row],[Peminta]],表1[[#This Row],[Tgl NPBG]]-表1[[#This Row],[Peminta]],"")</f>
        <v/>
      </c>
      <c r="J1653" s="31"/>
    </row>
    <row r="1654" s="12" customFormat="1" customHeight="1" spans="2:10">
      <c r="B1654" s="25"/>
      <c r="C1654" s="25"/>
      <c r="D1654" s="26" t="str" cm="1">
        <f t="array" ref="D1654">IF(C1654="","",IFERROR(INDEX(STPP!$D$6:$D$4207,MATCH(C1654,STPP!$C$6:$C$4207,0)),"Not Found"))</f>
        <v/>
      </c>
      <c r="E1654" s="27" t="str" cm="1">
        <f t="array" ref="E1654">IF(C1654="","",IFERROR(INDEX(STPP!$E$6:$E$4207,MATCH(C1654,STPP!$C$6:$C$4207,0)),"Not Found"))</f>
        <v/>
      </c>
      <c r="F1654" s="27" t="str" cm="1">
        <f t="array" ref="F1654">IF(C1654="","",IFERROR(INDEX(STPP!$F$6:$F$4207,MATCH(C1654,STPP!$C$6:$C$4207,0)),"Not Found"))</f>
        <v/>
      </c>
      <c r="G1654" s="25" t="str">
        <f>IF(表1[[#This Row],[No Seri]]="","",表1[[#This Row],[Deskripsi Barang]]+表1[[#This Row],[Kuantitas]]-表1[[#This Row],[Satuan]])</f>
        <v/>
      </c>
      <c r="H1654" s="28"/>
      <c r="I1654" s="25" t="str">
        <f>IF(表1[[#This Row],[Tgl NPBG]]&gt;表1[[#This Row],[Peminta]],表1[[#This Row],[Tgl NPBG]]-表1[[#This Row],[Peminta]],"")</f>
        <v/>
      </c>
      <c r="J1654" s="31"/>
    </row>
    <row r="1655" s="12" customFormat="1" customHeight="1" spans="2:10">
      <c r="B1655" s="25"/>
      <c r="C1655" s="25"/>
      <c r="D1655" s="26" t="str" cm="1">
        <f t="array" ref="D1655">IF(C1655="","",IFERROR(INDEX(STPP!$D$6:$D$4207,MATCH(C1655,STPP!$C$6:$C$4207,0)),"Not Found"))</f>
        <v/>
      </c>
      <c r="E1655" s="27" t="str" cm="1">
        <f t="array" ref="E1655">IF(C1655="","",IFERROR(INDEX(STPP!$E$6:$E$4207,MATCH(C1655,STPP!$C$6:$C$4207,0)),"Not Found"))</f>
        <v/>
      </c>
      <c r="F1655" s="27" t="str" cm="1">
        <f t="array" ref="F1655">IF(C1655="","",IFERROR(INDEX(STPP!$F$6:$F$4207,MATCH(C1655,STPP!$C$6:$C$4207,0)),"Not Found"))</f>
        <v/>
      </c>
      <c r="G1655" s="25" t="str">
        <f>IF(表1[[#This Row],[No Seri]]="","",表1[[#This Row],[Deskripsi Barang]]+表1[[#This Row],[Kuantitas]]-表1[[#This Row],[Satuan]])</f>
        <v/>
      </c>
      <c r="H1655" s="28"/>
      <c r="I1655" s="25" t="str">
        <f>IF(表1[[#This Row],[Tgl NPBG]]&gt;表1[[#This Row],[Peminta]],表1[[#This Row],[Tgl NPBG]]-表1[[#This Row],[Peminta]],"")</f>
        <v/>
      </c>
      <c r="J1655" s="31"/>
    </row>
    <row r="1656" s="12" customFormat="1" customHeight="1" spans="2:10">
      <c r="B1656" s="25"/>
      <c r="C1656" s="25"/>
      <c r="D1656" s="26" t="str" cm="1">
        <f t="array" ref="D1656">IF(C1656="","",IFERROR(INDEX(STPP!$D$6:$D$4207,MATCH(C1656,STPP!$C$6:$C$4207,0)),"Not Found"))</f>
        <v/>
      </c>
      <c r="E1656" s="27" t="str" cm="1">
        <f t="array" ref="E1656">IF(C1656="","",IFERROR(INDEX(STPP!$E$6:$E$4207,MATCH(C1656,STPP!$C$6:$C$4207,0)),"Not Found"))</f>
        <v/>
      </c>
      <c r="F1656" s="27" t="str" cm="1">
        <f t="array" ref="F1656">IF(C1656="","",IFERROR(INDEX(STPP!$F$6:$F$4207,MATCH(C1656,STPP!$C$6:$C$4207,0)),"Not Found"))</f>
        <v/>
      </c>
      <c r="G1656" s="25" t="str">
        <f>IF(表1[[#This Row],[No Seri]]="","",表1[[#This Row],[Deskripsi Barang]]+表1[[#This Row],[Kuantitas]]-表1[[#This Row],[Satuan]])</f>
        <v/>
      </c>
      <c r="H1656" s="28"/>
      <c r="I1656" s="25" t="str">
        <f>IF(表1[[#This Row],[Tgl NPBG]]&gt;表1[[#This Row],[Peminta]],表1[[#This Row],[Tgl NPBG]]-表1[[#This Row],[Peminta]],"")</f>
        <v/>
      </c>
      <c r="J1656" s="31"/>
    </row>
    <row r="1657" s="12" customFormat="1" customHeight="1" spans="2:10">
      <c r="B1657" s="25"/>
      <c r="C1657" s="25"/>
      <c r="D1657" s="26" t="str" cm="1">
        <f t="array" ref="D1657">IF(C1657="","",IFERROR(INDEX(STPP!$D$6:$D$4207,MATCH(C1657,STPP!$C$6:$C$4207,0)),"Not Found"))</f>
        <v/>
      </c>
      <c r="E1657" s="27" t="str" cm="1">
        <f t="array" ref="E1657">IF(C1657="","",IFERROR(INDEX(STPP!$E$6:$E$4207,MATCH(C1657,STPP!$C$6:$C$4207,0)),"Not Found"))</f>
        <v/>
      </c>
      <c r="F1657" s="27" t="str" cm="1">
        <f t="array" ref="F1657">IF(C1657="","",IFERROR(INDEX(STPP!$F$6:$F$4207,MATCH(C1657,STPP!$C$6:$C$4207,0)),"Not Found"))</f>
        <v/>
      </c>
      <c r="G1657" s="25" t="str">
        <f>IF(表1[[#This Row],[No Seri]]="","",表1[[#This Row],[Deskripsi Barang]]+表1[[#This Row],[Kuantitas]]-表1[[#This Row],[Satuan]])</f>
        <v/>
      </c>
      <c r="H1657" s="28"/>
      <c r="I1657" s="25" t="str">
        <f>IF(表1[[#This Row],[Tgl NPBG]]&gt;表1[[#This Row],[Peminta]],表1[[#This Row],[Tgl NPBG]]-表1[[#This Row],[Peminta]],"")</f>
        <v/>
      </c>
      <c r="J1657" s="31"/>
    </row>
    <row r="1658" s="12" customFormat="1" customHeight="1" spans="2:10">
      <c r="B1658" s="25"/>
      <c r="C1658" s="25"/>
      <c r="D1658" s="26" t="str" cm="1">
        <f t="array" ref="D1658">IF(C1658="","",IFERROR(INDEX(STPP!$D$6:$D$4207,MATCH(C1658,STPP!$C$6:$C$4207,0)),"Not Found"))</f>
        <v/>
      </c>
      <c r="E1658" s="27" t="str" cm="1">
        <f t="array" ref="E1658">IF(C1658="","",IFERROR(INDEX(STPP!$E$6:$E$4207,MATCH(C1658,STPP!$C$6:$C$4207,0)),"Not Found"))</f>
        <v/>
      </c>
      <c r="F1658" s="27" t="str" cm="1">
        <f t="array" ref="F1658">IF(C1658="","",IFERROR(INDEX(STPP!$F$6:$F$4207,MATCH(C1658,STPP!$C$6:$C$4207,0)),"Not Found"))</f>
        <v/>
      </c>
      <c r="G1658" s="25" t="str">
        <f>IF(表1[[#This Row],[No Seri]]="","",表1[[#This Row],[Deskripsi Barang]]+表1[[#This Row],[Kuantitas]]-表1[[#This Row],[Satuan]])</f>
        <v/>
      </c>
      <c r="H1658" s="28"/>
      <c r="I1658" s="25" t="str">
        <f>IF(表1[[#This Row],[Tgl NPBG]]&gt;表1[[#This Row],[Peminta]],表1[[#This Row],[Tgl NPBG]]-表1[[#This Row],[Peminta]],"")</f>
        <v/>
      </c>
      <c r="J1658" s="31"/>
    </row>
    <row r="1659" s="12" customFormat="1" customHeight="1" spans="2:10">
      <c r="B1659" s="25"/>
      <c r="C1659" s="25"/>
      <c r="D1659" s="26" t="str" cm="1">
        <f t="array" ref="D1659">IF(C1659="","",IFERROR(INDEX(STPP!$D$6:$D$4207,MATCH(C1659,STPP!$C$6:$C$4207,0)),"Not Found"))</f>
        <v/>
      </c>
      <c r="E1659" s="27" t="str" cm="1">
        <f t="array" ref="E1659">IF(C1659="","",IFERROR(INDEX(STPP!$E$6:$E$4207,MATCH(C1659,STPP!$C$6:$C$4207,0)),"Not Found"))</f>
        <v/>
      </c>
      <c r="F1659" s="27" t="str" cm="1">
        <f t="array" ref="F1659">IF(C1659="","",IFERROR(INDEX(STPP!$F$6:$F$4207,MATCH(C1659,STPP!$C$6:$C$4207,0)),"Not Found"))</f>
        <v/>
      </c>
      <c r="G1659" s="25" t="str">
        <f>IF(表1[[#This Row],[No Seri]]="","",表1[[#This Row],[Deskripsi Barang]]+表1[[#This Row],[Kuantitas]]-表1[[#This Row],[Satuan]])</f>
        <v/>
      </c>
      <c r="H1659" s="28"/>
      <c r="I1659" s="25" t="str">
        <f>IF(表1[[#This Row],[Tgl NPBG]]&gt;表1[[#This Row],[Peminta]],表1[[#This Row],[Tgl NPBG]]-表1[[#This Row],[Peminta]],"")</f>
        <v/>
      </c>
      <c r="J1659" s="31"/>
    </row>
    <row r="1660" s="12" customFormat="1" customHeight="1" spans="2:10">
      <c r="B1660" s="25"/>
      <c r="C1660" s="25"/>
      <c r="D1660" s="26" t="str" cm="1">
        <f t="array" ref="D1660">IF(C1660="","",IFERROR(INDEX(STPP!$D$6:$D$4207,MATCH(C1660,STPP!$C$6:$C$4207,0)),"Not Found"))</f>
        <v/>
      </c>
      <c r="E1660" s="27" t="str" cm="1">
        <f t="array" ref="E1660">IF(C1660="","",IFERROR(INDEX(STPP!$E$6:$E$4207,MATCH(C1660,STPP!$C$6:$C$4207,0)),"Not Found"))</f>
        <v/>
      </c>
      <c r="F1660" s="27" t="str" cm="1">
        <f t="array" ref="F1660">IF(C1660="","",IFERROR(INDEX(STPP!$F$6:$F$4207,MATCH(C1660,STPP!$C$6:$C$4207,0)),"Not Found"))</f>
        <v/>
      </c>
      <c r="G1660" s="25" t="str">
        <f>IF(表1[[#This Row],[No Seri]]="","",表1[[#This Row],[Deskripsi Barang]]+表1[[#This Row],[Kuantitas]]-表1[[#This Row],[Satuan]])</f>
        <v/>
      </c>
      <c r="H1660" s="28"/>
      <c r="I1660" s="25" t="str">
        <f>IF(表1[[#This Row],[Tgl NPBG]]&gt;表1[[#This Row],[Peminta]],表1[[#This Row],[Tgl NPBG]]-表1[[#This Row],[Peminta]],"")</f>
        <v/>
      </c>
      <c r="J1660" s="31"/>
    </row>
    <row r="1661" s="12" customFormat="1" customHeight="1" spans="2:10">
      <c r="B1661" s="25"/>
      <c r="C1661" s="25"/>
      <c r="D1661" s="26" t="str" cm="1">
        <f t="array" ref="D1661">IF(C1661="","",IFERROR(INDEX(STPP!$D$6:$D$4207,MATCH(C1661,STPP!$C$6:$C$4207,0)),"Not Found"))</f>
        <v/>
      </c>
      <c r="E1661" s="27" t="str" cm="1">
        <f t="array" ref="E1661">IF(C1661="","",IFERROR(INDEX(STPP!$E$6:$E$4207,MATCH(C1661,STPP!$C$6:$C$4207,0)),"Not Found"))</f>
        <v/>
      </c>
      <c r="F1661" s="27" t="str" cm="1">
        <f t="array" ref="F1661">IF(C1661="","",IFERROR(INDEX(STPP!$F$6:$F$4207,MATCH(C1661,STPP!$C$6:$C$4207,0)),"Not Found"))</f>
        <v/>
      </c>
      <c r="G1661" s="25" t="str">
        <f>IF(表1[[#This Row],[No Seri]]="","",表1[[#This Row],[Deskripsi Barang]]+表1[[#This Row],[Kuantitas]]-表1[[#This Row],[Satuan]])</f>
        <v/>
      </c>
      <c r="H1661" s="28"/>
      <c r="I1661" s="25" t="str">
        <f>IF(表1[[#This Row],[Tgl NPBG]]&gt;表1[[#This Row],[Peminta]],表1[[#This Row],[Tgl NPBG]]-表1[[#This Row],[Peminta]],"")</f>
        <v/>
      </c>
      <c r="J1661" s="31"/>
    </row>
    <row r="1662" s="12" customFormat="1" customHeight="1" spans="2:10">
      <c r="B1662" s="25"/>
      <c r="C1662" s="25"/>
      <c r="D1662" s="26" t="str" cm="1">
        <f t="array" ref="D1662">IF(C1662="","",IFERROR(INDEX(STPP!$D$6:$D$4207,MATCH(C1662,STPP!$C$6:$C$4207,0)),"Not Found"))</f>
        <v/>
      </c>
      <c r="E1662" s="27" t="str" cm="1">
        <f t="array" ref="E1662">IF(C1662="","",IFERROR(INDEX(STPP!$E$6:$E$4207,MATCH(C1662,STPP!$C$6:$C$4207,0)),"Not Found"))</f>
        <v/>
      </c>
      <c r="F1662" s="27" t="str" cm="1">
        <f t="array" ref="F1662">IF(C1662="","",IFERROR(INDEX(STPP!$F$6:$F$4207,MATCH(C1662,STPP!$C$6:$C$4207,0)),"Not Found"))</f>
        <v/>
      </c>
      <c r="G1662" s="25" t="str">
        <f>IF(表1[[#This Row],[No Seri]]="","",表1[[#This Row],[Deskripsi Barang]]+表1[[#This Row],[Kuantitas]]-表1[[#This Row],[Satuan]])</f>
        <v/>
      </c>
      <c r="H1662" s="28"/>
      <c r="I1662" s="25" t="str">
        <f>IF(表1[[#This Row],[Tgl NPBG]]&gt;表1[[#This Row],[Peminta]],表1[[#This Row],[Tgl NPBG]]-表1[[#This Row],[Peminta]],"")</f>
        <v/>
      </c>
      <c r="J1662" s="31"/>
    </row>
    <row r="1663" s="12" customFormat="1" customHeight="1" spans="2:10">
      <c r="B1663" s="25"/>
      <c r="C1663" s="25"/>
      <c r="D1663" s="26" t="str" cm="1">
        <f t="array" ref="D1663">IF(C1663="","",IFERROR(INDEX(STPP!$D$6:$D$4207,MATCH(C1663,STPP!$C$6:$C$4207,0)),"Not Found"))</f>
        <v/>
      </c>
      <c r="E1663" s="27" t="str" cm="1">
        <f t="array" ref="E1663">IF(C1663="","",IFERROR(INDEX(STPP!$E$6:$E$4207,MATCH(C1663,STPP!$C$6:$C$4207,0)),"Not Found"))</f>
        <v/>
      </c>
      <c r="F1663" s="27" t="str" cm="1">
        <f t="array" ref="F1663">IF(C1663="","",IFERROR(INDEX(STPP!$F$6:$F$4207,MATCH(C1663,STPP!$C$6:$C$4207,0)),"Not Found"))</f>
        <v/>
      </c>
      <c r="G1663" s="25" t="str">
        <f>IF(表1[[#This Row],[No Seri]]="","",表1[[#This Row],[Deskripsi Barang]]+表1[[#This Row],[Kuantitas]]-表1[[#This Row],[Satuan]])</f>
        <v/>
      </c>
      <c r="H1663" s="28"/>
      <c r="I1663" s="25" t="str">
        <f>IF(表1[[#This Row],[Tgl NPBG]]&gt;表1[[#This Row],[Peminta]],表1[[#This Row],[Tgl NPBG]]-表1[[#This Row],[Peminta]],"")</f>
        <v/>
      </c>
      <c r="J1663" s="31"/>
    </row>
    <row r="1664" s="12" customFormat="1" customHeight="1" spans="2:10">
      <c r="B1664" s="25"/>
      <c r="C1664" s="25"/>
      <c r="D1664" s="26" t="str" cm="1">
        <f t="array" ref="D1664">IF(C1664="","",IFERROR(INDEX(STPP!$D$6:$D$4207,MATCH(C1664,STPP!$C$6:$C$4207,0)),"Not Found"))</f>
        <v/>
      </c>
      <c r="E1664" s="27" t="str" cm="1">
        <f t="array" ref="E1664">IF(C1664="","",IFERROR(INDEX(STPP!$E$6:$E$4207,MATCH(C1664,STPP!$C$6:$C$4207,0)),"Not Found"))</f>
        <v/>
      </c>
      <c r="F1664" s="27" t="str" cm="1">
        <f t="array" ref="F1664">IF(C1664="","",IFERROR(INDEX(STPP!$F$6:$F$4207,MATCH(C1664,STPP!$C$6:$C$4207,0)),"Not Found"))</f>
        <v/>
      </c>
      <c r="G1664" s="25" t="str">
        <f>IF(表1[[#This Row],[No Seri]]="","",表1[[#This Row],[Deskripsi Barang]]+表1[[#This Row],[Kuantitas]]-表1[[#This Row],[Satuan]])</f>
        <v/>
      </c>
      <c r="H1664" s="28"/>
      <c r="I1664" s="25" t="str">
        <f>IF(表1[[#This Row],[Tgl NPBG]]&gt;表1[[#This Row],[Peminta]],表1[[#This Row],[Tgl NPBG]]-表1[[#This Row],[Peminta]],"")</f>
        <v/>
      </c>
      <c r="J1664" s="31"/>
    </row>
    <row r="1665" s="12" customFormat="1" customHeight="1" spans="2:10">
      <c r="B1665" s="25"/>
      <c r="C1665" s="25"/>
      <c r="D1665" s="26" t="str" cm="1">
        <f t="array" ref="D1665">IF(C1665="","",IFERROR(INDEX(STPP!$D$6:$D$4207,MATCH(C1665,STPP!$C$6:$C$4207,0)),"Not Found"))</f>
        <v/>
      </c>
      <c r="E1665" s="27" t="str" cm="1">
        <f t="array" ref="E1665">IF(C1665="","",IFERROR(INDEX(STPP!$E$6:$E$4207,MATCH(C1665,STPP!$C$6:$C$4207,0)),"Not Found"))</f>
        <v/>
      </c>
      <c r="F1665" s="27" t="str" cm="1">
        <f t="array" ref="F1665">IF(C1665="","",IFERROR(INDEX(STPP!$F$6:$F$4207,MATCH(C1665,STPP!$C$6:$C$4207,0)),"Not Found"))</f>
        <v/>
      </c>
      <c r="G1665" s="25" t="str">
        <f>IF(表1[[#This Row],[No Seri]]="","",表1[[#This Row],[Deskripsi Barang]]+表1[[#This Row],[Kuantitas]]-表1[[#This Row],[Satuan]])</f>
        <v/>
      </c>
      <c r="H1665" s="28"/>
      <c r="I1665" s="25" t="str">
        <f>IF(表1[[#This Row],[Tgl NPBG]]&gt;表1[[#This Row],[Peminta]],表1[[#This Row],[Tgl NPBG]]-表1[[#This Row],[Peminta]],"")</f>
        <v/>
      </c>
      <c r="J1665" s="31"/>
    </row>
    <row r="1666" s="12" customFormat="1" customHeight="1" spans="2:10">
      <c r="B1666" s="25"/>
      <c r="C1666" s="25"/>
      <c r="D1666" s="26" t="str" cm="1">
        <f t="array" ref="D1666">IF(C1666="","",IFERROR(INDEX(STPP!$D$6:$D$4207,MATCH(C1666,STPP!$C$6:$C$4207,0)),"Not Found"))</f>
        <v/>
      </c>
      <c r="E1666" s="27" t="str" cm="1">
        <f t="array" ref="E1666">IF(C1666="","",IFERROR(INDEX(STPP!$E$6:$E$4207,MATCH(C1666,STPP!$C$6:$C$4207,0)),"Not Found"))</f>
        <v/>
      </c>
      <c r="F1666" s="27" t="str" cm="1">
        <f t="array" ref="F1666">IF(C1666="","",IFERROR(INDEX(STPP!$F$6:$F$4207,MATCH(C1666,STPP!$C$6:$C$4207,0)),"Not Found"))</f>
        <v/>
      </c>
      <c r="G1666" s="25" t="str">
        <f>IF(表1[[#This Row],[No Seri]]="","",表1[[#This Row],[Deskripsi Barang]]+表1[[#This Row],[Kuantitas]]-表1[[#This Row],[Satuan]])</f>
        <v/>
      </c>
      <c r="H1666" s="28"/>
      <c r="I1666" s="25" t="str">
        <f>IF(表1[[#This Row],[Tgl NPBG]]&gt;表1[[#This Row],[Peminta]],表1[[#This Row],[Tgl NPBG]]-表1[[#This Row],[Peminta]],"")</f>
        <v/>
      </c>
      <c r="J1666" s="31"/>
    </row>
    <row r="1667" s="12" customFormat="1" customHeight="1" spans="2:10">
      <c r="B1667" s="25"/>
      <c r="C1667" s="25"/>
      <c r="D1667" s="26" t="str" cm="1">
        <f t="array" ref="D1667">IF(C1667="","",IFERROR(INDEX(STPP!$D$6:$D$4207,MATCH(C1667,STPP!$C$6:$C$4207,0)),"Not Found"))</f>
        <v/>
      </c>
      <c r="E1667" s="27" t="str" cm="1">
        <f t="array" ref="E1667">IF(C1667="","",IFERROR(INDEX(STPP!$E$6:$E$4207,MATCH(C1667,STPP!$C$6:$C$4207,0)),"Not Found"))</f>
        <v/>
      </c>
      <c r="F1667" s="27" t="str" cm="1">
        <f t="array" ref="F1667">IF(C1667="","",IFERROR(INDEX(STPP!$F$6:$F$4207,MATCH(C1667,STPP!$C$6:$C$4207,0)),"Not Found"))</f>
        <v/>
      </c>
      <c r="G1667" s="25" t="str">
        <f>IF(表1[[#This Row],[No Seri]]="","",表1[[#This Row],[Deskripsi Barang]]+表1[[#This Row],[Kuantitas]]-表1[[#This Row],[Satuan]])</f>
        <v/>
      </c>
      <c r="H1667" s="28"/>
      <c r="I1667" s="25" t="str">
        <f>IF(表1[[#This Row],[Tgl NPBG]]&gt;表1[[#This Row],[Peminta]],表1[[#This Row],[Tgl NPBG]]-表1[[#This Row],[Peminta]],"")</f>
        <v/>
      </c>
      <c r="J1667" s="31"/>
    </row>
    <row r="1668" s="12" customFormat="1" customHeight="1" spans="2:10">
      <c r="B1668" s="25"/>
      <c r="C1668" s="25"/>
      <c r="D1668" s="26" t="str" cm="1">
        <f t="array" ref="D1668">IF(C1668="","",IFERROR(INDEX(STPP!$D$6:$D$4207,MATCH(C1668,STPP!$C$6:$C$4207,0)),"Not Found"))</f>
        <v/>
      </c>
      <c r="E1668" s="27" t="str" cm="1">
        <f t="array" ref="E1668">IF(C1668="","",IFERROR(INDEX(STPP!$E$6:$E$4207,MATCH(C1668,STPP!$C$6:$C$4207,0)),"Not Found"))</f>
        <v/>
      </c>
      <c r="F1668" s="27" t="str" cm="1">
        <f t="array" ref="F1668">IF(C1668="","",IFERROR(INDEX(STPP!$F$6:$F$4207,MATCH(C1668,STPP!$C$6:$C$4207,0)),"Not Found"))</f>
        <v/>
      </c>
      <c r="G1668" s="25" t="str">
        <f>IF(表1[[#This Row],[No Seri]]="","",表1[[#This Row],[Deskripsi Barang]]+表1[[#This Row],[Kuantitas]]-表1[[#This Row],[Satuan]])</f>
        <v/>
      </c>
      <c r="H1668" s="28"/>
      <c r="I1668" s="25" t="str">
        <f>IF(表1[[#This Row],[Tgl NPBG]]&gt;表1[[#This Row],[Peminta]],表1[[#This Row],[Tgl NPBG]]-表1[[#This Row],[Peminta]],"")</f>
        <v/>
      </c>
      <c r="J1668" s="31"/>
    </row>
    <row r="1669" s="12" customFormat="1" customHeight="1" spans="2:10">
      <c r="B1669" s="25"/>
      <c r="C1669" s="25"/>
      <c r="D1669" s="26" t="str" cm="1">
        <f t="array" ref="D1669">IF(C1669="","",IFERROR(INDEX(STPP!$D$6:$D$4207,MATCH(C1669,STPP!$C$6:$C$4207,0)),"Not Found"))</f>
        <v/>
      </c>
      <c r="E1669" s="27" t="str" cm="1">
        <f t="array" ref="E1669">IF(C1669="","",IFERROR(INDEX(STPP!$E$6:$E$4207,MATCH(C1669,STPP!$C$6:$C$4207,0)),"Not Found"))</f>
        <v/>
      </c>
      <c r="F1669" s="27" t="str" cm="1">
        <f t="array" ref="F1669">IF(C1669="","",IFERROR(INDEX(STPP!$F$6:$F$4207,MATCH(C1669,STPP!$C$6:$C$4207,0)),"Not Found"))</f>
        <v/>
      </c>
      <c r="G1669" s="25" t="str">
        <f>IF(表1[[#This Row],[No Seri]]="","",表1[[#This Row],[Deskripsi Barang]]+表1[[#This Row],[Kuantitas]]-表1[[#This Row],[Satuan]])</f>
        <v/>
      </c>
      <c r="H1669" s="28"/>
      <c r="I1669" s="25" t="str">
        <f>IF(表1[[#This Row],[Tgl NPBG]]&gt;表1[[#This Row],[Peminta]],表1[[#This Row],[Tgl NPBG]]-表1[[#This Row],[Peminta]],"")</f>
        <v/>
      </c>
      <c r="J1669" s="31"/>
    </row>
    <row r="1670" s="12" customFormat="1" customHeight="1" spans="2:10">
      <c r="B1670" s="25"/>
      <c r="C1670" s="25"/>
      <c r="D1670" s="26" t="str" cm="1">
        <f t="array" ref="D1670">IF(C1670="","",IFERROR(INDEX(STPP!$D$6:$D$4207,MATCH(C1670,STPP!$C$6:$C$4207,0)),"Not Found"))</f>
        <v/>
      </c>
      <c r="E1670" s="27" t="str" cm="1">
        <f t="array" ref="E1670">IF(C1670="","",IFERROR(INDEX(STPP!$E$6:$E$4207,MATCH(C1670,STPP!$C$6:$C$4207,0)),"Not Found"))</f>
        <v/>
      </c>
      <c r="F1670" s="27" t="str" cm="1">
        <f t="array" ref="F1670">IF(C1670="","",IFERROR(INDEX(STPP!$F$6:$F$4207,MATCH(C1670,STPP!$C$6:$C$4207,0)),"Not Found"))</f>
        <v/>
      </c>
      <c r="G1670" s="25" t="str">
        <f>IF(表1[[#This Row],[No Seri]]="","",表1[[#This Row],[Deskripsi Barang]]+表1[[#This Row],[Kuantitas]]-表1[[#This Row],[Satuan]])</f>
        <v/>
      </c>
      <c r="H1670" s="28"/>
      <c r="I1670" s="25" t="str">
        <f>IF(表1[[#This Row],[Tgl NPBG]]&gt;表1[[#This Row],[Peminta]],表1[[#This Row],[Tgl NPBG]]-表1[[#This Row],[Peminta]],"")</f>
        <v/>
      </c>
      <c r="J1670" s="31"/>
    </row>
    <row r="1671" s="12" customFormat="1" customHeight="1" spans="2:10">
      <c r="B1671" s="25"/>
      <c r="C1671" s="25"/>
      <c r="D1671" s="26" t="str" cm="1">
        <f t="array" ref="D1671">IF(C1671="","",IFERROR(INDEX(STPP!$D$6:$D$4207,MATCH(C1671,STPP!$C$6:$C$4207,0)),"Not Found"))</f>
        <v/>
      </c>
      <c r="E1671" s="27" t="str" cm="1">
        <f t="array" ref="E1671">IF(C1671="","",IFERROR(INDEX(STPP!$E$6:$E$4207,MATCH(C1671,STPP!$C$6:$C$4207,0)),"Not Found"))</f>
        <v/>
      </c>
      <c r="F1671" s="27" t="str" cm="1">
        <f t="array" ref="F1671">IF(C1671="","",IFERROR(INDEX(STPP!$F$6:$F$4207,MATCH(C1671,STPP!$C$6:$C$4207,0)),"Not Found"))</f>
        <v/>
      </c>
      <c r="G1671" s="25" t="str">
        <f>IF(表1[[#This Row],[No Seri]]="","",表1[[#This Row],[Deskripsi Barang]]+表1[[#This Row],[Kuantitas]]-表1[[#This Row],[Satuan]])</f>
        <v/>
      </c>
      <c r="H1671" s="28"/>
      <c r="I1671" s="25" t="str">
        <f>IF(表1[[#This Row],[Tgl NPBG]]&gt;表1[[#This Row],[Peminta]],表1[[#This Row],[Tgl NPBG]]-表1[[#This Row],[Peminta]],"")</f>
        <v/>
      </c>
      <c r="J1671" s="31"/>
    </row>
    <row r="1672" s="12" customFormat="1" customHeight="1" spans="2:10">
      <c r="B1672" s="25"/>
      <c r="C1672" s="25"/>
      <c r="D1672" s="26" t="str" cm="1">
        <f t="array" ref="D1672">IF(C1672="","",IFERROR(INDEX(STPP!$D$6:$D$4207,MATCH(C1672,STPP!$C$6:$C$4207,0)),"Not Found"))</f>
        <v/>
      </c>
      <c r="E1672" s="27" t="str" cm="1">
        <f t="array" ref="E1672">IF(C1672="","",IFERROR(INDEX(STPP!$E$6:$E$4207,MATCH(C1672,STPP!$C$6:$C$4207,0)),"Not Found"))</f>
        <v/>
      </c>
      <c r="F1672" s="27" t="str" cm="1">
        <f t="array" ref="F1672">IF(C1672="","",IFERROR(INDEX(STPP!$F$6:$F$4207,MATCH(C1672,STPP!$C$6:$C$4207,0)),"Not Found"))</f>
        <v/>
      </c>
      <c r="G1672" s="25" t="str">
        <f>IF(表1[[#This Row],[No Seri]]="","",表1[[#This Row],[Deskripsi Barang]]+表1[[#This Row],[Kuantitas]]-表1[[#This Row],[Satuan]])</f>
        <v/>
      </c>
      <c r="H1672" s="28"/>
      <c r="I1672" s="25" t="str">
        <f>IF(表1[[#This Row],[Tgl NPBG]]&gt;表1[[#This Row],[Peminta]],表1[[#This Row],[Tgl NPBG]]-表1[[#This Row],[Peminta]],"")</f>
        <v/>
      </c>
      <c r="J1672" s="31"/>
    </row>
    <row r="1673" s="12" customFormat="1" customHeight="1" spans="2:10">
      <c r="B1673" s="25"/>
      <c r="C1673" s="25"/>
      <c r="D1673" s="26" t="str" cm="1">
        <f t="array" ref="D1673">IF(C1673="","",IFERROR(INDEX(STPP!$D$6:$D$4207,MATCH(C1673,STPP!$C$6:$C$4207,0)),"Not Found"))</f>
        <v/>
      </c>
      <c r="E1673" s="27" t="str" cm="1">
        <f t="array" ref="E1673">IF(C1673="","",IFERROR(INDEX(STPP!$E$6:$E$4207,MATCH(C1673,STPP!$C$6:$C$4207,0)),"Not Found"))</f>
        <v/>
      </c>
      <c r="F1673" s="27" t="str" cm="1">
        <f t="array" ref="F1673">IF(C1673="","",IFERROR(INDEX(STPP!$F$6:$F$4207,MATCH(C1673,STPP!$C$6:$C$4207,0)),"Not Found"))</f>
        <v/>
      </c>
      <c r="G1673" s="25" t="str">
        <f>IF(表1[[#This Row],[No Seri]]="","",表1[[#This Row],[Deskripsi Barang]]+表1[[#This Row],[Kuantitas]]-表1[[#This Row],[Satuan]])</f>
        <v/>
      </c>
      <c r="H1673" s="28"/>
      <c r="I1673" s="25" t="str">
        <f>IF(表1[[#This Row],[Tgl NPBG]]&gt;表1[[#This Row],[Peminta]],表1[[#This Row],[Tgl NPBG]]-表1[[#This Row],[Peminta]],"")</f>
        <v/>
      </c>
      <c r="J1673" s="31"/>
    </row>
    <row r="1674" s="12" customFormat="1" customHeight="1" spans="2:10">
      <c r="B1674" s="25"/>
      <c r="C1674" s="25"/>
      <c r="D1674" s="26" t="str" cm="1">
        <f t="array" ref="D1674">IF(C1674="","",IFERROR(INDEX(STPP!$D$6:$D$4207,MATCH(C1674,STPP!$C$6:$C$4207,0)),"Not Found"))</f>
        <v/>
      </c>
      <c r="E1674" s="27" t="str" cm="1">
        <f t="array" ref="E1674">IF(C1674="","",IFERROR(INDEX(STPP!$E$6:$E$4207,MATCH(C1674,STPP!$C$6:$C$4207,0)),"Not Found"))</f>
        <v/>
      </c>
      <c r="F1674" s="27" t="str" cm="1">
        <f t="array" ref="F1674">IF(C1674="","",IFERROR(INDEX(STPP!$F$6:$F$4207,MATCH(C1674,STPP!$C$6:$C$4207,0)),"Not Found"))</f>
        <v/>
      </c>
      <c r="G1674" s="25" t="str">
        <f>IF(表1[[#This Row],[No Seri]]="","",表1[[#This Row],[Deskripsi Barang]]+表1[[#This Row],[Kuantitas]]-表1[[#This Row],[Satuan]])</f>
        <v/>
      </c>
      <c r="H1674" s="28"/>
      <c r="I1674" s="25" t="str">
        <f>IF(表1[[#This Row],[Tgl NPBG]]&gt;表1[[#This Row],[Peminta]],表1[[#This Row],[Tgl NPBG]]-表1[[#This Row],[Peminta]],"")</f>
        <v/>
      </c>
      <c r="J1674" s="31"/>
    </row>
    <row r="1675" s="12" customFormat="1" customHeight="1" spans="2:10">
      <c r="B1675" s="25"/>
      <c r="C1675" s="25"/>
      <c r="D1675" s="26" t="str" cm="1">
        <f t="array" ref="D1675">IF(C1675="","",IFERROR(INDEX(STPP!$D$6:$D$4207,MATCH(C1675,STPP!$C$6:$C$4207,0)),"Not Found"))</f>
        <v/>
      </c>
      <c r="E1675" s="27" t="str" cm="1">
        <f t="array" ref="E1675">IF(C1675="","",IFERROR(INDEX(STPP!$E$6:$E$4207,MATCH(C1675,STPP!$C$6:$C$4207,0)),"Not Found"))</f>
        <v/>
      </c>
      <c r="F1675" s="27" t="str" cm="1">
        <f t="array" ref="F1675">IF(C1675="","",IFERROR(INDEX(STPP!$F$6:$F$4207,MATCH(C1675,STPP!$C$6:$C$4207,0)),"Not Found"))</f>
        <v/>
      </c>
      <c r="G1675" s="25" t="str">
        <f>IF(表1[[#This Row],[No Seri]]="","",表1[[#This Row],[Deskripsi Barang]]+表1[[#This Row],[Kuantitas]]-表1[[#This Row],[Satuan]])</f>
        <v/>
      </c>
      <c r="H1675" s="28"/>
      <c r="I1675" s="25" t="str">
        <f>IF(表1[[#This Row],[Tgl NPBG]]&gt;表1[[#This Row],[Peminta]],表1[[#This Row],[Tgl NPBG]]-表1[[#This Row],[Peminta]],"")</f>
        <v/>
      </c>
      <c r="J1675" s="31"/>
    </row>
    <row r="1676" s="12" customFormat="1" customHeight="1" spans="2:10">
      <c r="B1676" s="25"/>
      <c r="C1676" s="25"/>
      <c r="D1676" s="26" t="str" cm="1">
        <f t="array" ref="D1676">IF(C1676="","",IFERROR(INDEX(STPP!$D$6:$D$4207,MATCH(C1676,STPP!$C$6:$C$4207,0)),"Not Found"))</f>
        <v/>
      </c>
      <c r="E1676" s="27" t="str" cm="1">
        <f t="array" ref="E1676">IF(C1676="","",IFERROR(INDEX(STPP!$E$6:$E$4207,MATCH(C1676,STPP!$C$6:$C$4207,0)),"Not Found"))</f>
        <v/>
      </c>
      <c r="F1676" s="27" t="str" cm="1">
        <f t="array" ref="F1676">IF(C1676="","",IFERROR(INDEX(STPP!$F$6:$F$4207,MATCH(C1676,STPP!$C$6:$C$4207,0)),"Not Found"))</f>
        <v/>
      </c>
      <c r="G1676" s="25" t="str">
        <f>IF(表1[[#This Row],[No Seri]]="","",表1[[#This Row],[Deskripsi Barang]]+表1[[#This Row],[Kuantitas]]-表1[[#This Row],[Satuan]])</f>
        <v/>
      </c>
      <c r="H1676" s="28"/>
      <c r="I1676" s="25" t="str">
        <f>IF(表1[[#This Row],[Tgl NPBG]]&gt;表1[[#This Row],[Peminta]],表1[[#This Row],[Tgl NPBG]]-表1[[#This Row],[Peminta]],"")</f>
        <v/>
      </c>
      <c r="J1676" s="31"/>
    </row>
    <row r="1677" s="12" customFormat="1" customHeight="1" spans="2:10">
      <c r="B1677" s="25"/>
      <c r="C1677" s="25"/>
      <c r="D1677" s="26" t="str" cm="1">
        <f t="array" ref="D1677">IF(C1677="","",IFERROR(INDEX(STPP!$D$6:$D$4207,MATCH(C1677,STPP!$C$6:$C$4207,0)),"Not Found"))</f>
        <v/>
      </c>
      <c r="E1677" s="27" t="str" cm="1">
        <f t="array" ref="E1677">IF(C1677="","",IFERROR(INDEX(STPP!$E$6:$E$4207,MATCH(C1677,STPP!$C$6:$C$4207,0)),"Not Found"))</f>
        <v/>
      </c>
      <c r="F1677" s="27" t="str" cm="1">
        <f t="array" ref="F1677">IF(C1677="","",IFERROR(INDEX(STPP!$F$6:$F$4207,MATCH(C1677,STPP!$C$6:$C$4207,0)),"Not Found"))</f>
        <v/>
      </c>
      <c r="G1677" s="25" t="str">
        <f>IF(表1[[#This Row],[No Seri]]="","",表1[[#This Row],[Deskripsi Barang]]+表1[[#This Row],[Kuantitas]]-表1[[#This Row],[Satuan]])</f>
        <v/>
      </c>
      <c r="H1677" s="28"/>
      <c r="I1677" s="25" t="str">
        <f>IF(表1[[#This Row],[Tgl NPBG]]&gt;表1[[#This Row],[Peminta]],表1[[#This Row],[Tgl NPBG]]-表1[[#This Row],[Peminta]],"")</f>
        <v/>
      </c>
      <c r="J1677" s="31"/>
    </row>
    <row r="1678" s="12" customFormat="1" customHeight="1" spans="2:10">
      <c r="B1678" s="25"/>
      <c r="C1678" s="25"/>
      <c r="D1678" s="26" t="str" cm="1">
        <f t="array" ref="D1678">IF(C1678="","",IFERROR(INDEX(STPP!$D$6:$D$4207,MATCH(C1678,STPP!$C$6:$C$4207,0)),"Not Found"))</f>
        <v/>
      </c>
      <c r="E1678" s="27" t="str" cm="1">
        <f t="array" ref="E1678">IF(C1678="","",IFERROR(INDEX(STPP!$E$6:$E$4207,MATCH(C1678,STPP!$C$6:$C$4207,0)),"Not Found"))</f>
        <v/>
      </c>
      <c r="F1678" s="27" t="str" cm="1">
        <f t="array" ref="F1678">IF(C1678="","",IFERROR(INDEX(STPP!$F$6:$F$4207,MATCH(C1678,STPP!$C$6:$C$4207,0)),"Not Found"))</f>
        <v/>
      </c>
      <c r="G1678" s="25" t="str">
        <f>IF(表1[[#This Row],[No Seri]]="","",表1[[#This Row],[Deskripsi Barang]]+表1[[#This Row],[Kuantitas]]-表1[[#This Row],[Satuan]])</f>
        <v/>
      </c>
      <c r="H1678" s="28"/>
      <c r="I1678" s="25" t="str">
        <f>IF(表1[[#This Row],[Tgl NPBG]]&gt;表1[[#This Row],[Peminta]],表1[[#This Row],[Tgl NPBG]]-表1[[#This Row],[Peminta]],"")</f>
        <v/>
      </c>
      <c r="J1678" s="31"/>
    </row>
    <row r="1679" s="12" customFormat="1" customHeight="1" spans="2:10">
      <c r="B1679" s="25"/>
      <c r="C1679" s="25"/>
      <c r="D1679" s="26" t="str" cm="1">
        <f t="array" ref="D1679">IF(C1679="","",IFERROR(INDEX(STPP!$D$6:$D$4207,MATCH(C1679,STPP!$C$6:$C$4207,0)),"Not Found"))</f>
        <v/>
      </c>
      <c r="E1679" s="27" t="str" cm="1">
        <f t="array" ref="E1679">IF(C1679="","",IFERROR(INDEX(STPP!$E$6:$E$4207,MATCH(C1679,STPP!$C$6:$C$4207,0)),"Not Found"))</f>
        <v/>
      </c>
      <c r="F1679" s="27" t="str" cm="1">
        <f t="array" ref="F1679">IF(C1679="","",IFERROR(INDEX(STPP!$F$6:$F$4207,MATCH(C1679,STPP!$C$6:$C$4207,0)),"Not Found"))</f>
        <v/>
      </c>
      <c r="G1679" s="25" t="str">
        <f>IF(表1[[#This Row],[No Seri]]="","",表1[[#This Row],[Deskripsi Barang]]+表1[[#This Row],[Kuantitas]]-表1[[#This Row],[Satuan]])</f>
        <v/>
      </c>
      <c r="H1679" s="28"/>
      <c r="I1679" s="25" t="str">
        <f>IF(表1[[#This Row],[Tgl NPBG]]&gt;表1[[#This Row],[Peminta]],表1[[#This Row],[Tgl NPBG]]-表1[[#This Row],[Peminta]],"")</f>
        <v/>
      </c>
      <c r="J1679" s="31"/>
    </row>
    <row r="1680" s="12" customFormat="1" customHeight="1" spans="2:10">
      <c r="B1680" s="25"/>
      <c r="C1680" s="25"/>
      <c r="D1680" s="26" t="str" cm="1">
        <f t="array" ref="D1680">IF(C1680="","",IFERROR(INDEX(STPP!$D$6:$D$4207,MATCH(C1680,STPP!$C$6:$C$4207,0)),"Not Found"))</f>
        <v/>
      </c>
      <c r="E1680" s="27" t="str" cm="1">
        <f t="array" ref="E1680">IF(C1680="","",IFERROR(INDEX(STPP!$E$6:$E$4207,MATCH(C1680,STPP!$C$6:$C$4207,0)),"Not Found"))</f>
        <v/>
      </c>
      <c r="F1680" s="27" t="str" cm="1">
        <f t="array" ref="F1680">IF(C1680="","",IFERROR(INDEX(STPP!$F$6:$F$4207,MATCH(C1680,STPP!$C$6:$C$4207,0)),"Not Found"))</f>
        <v/>
      </c>
      <c r="G1680" s="25" t="str">
        <f>IF(表1[[#This Row],[No Seri]]="","",表1[[#This Row],[Deskripsi Barang]]+表1[[#This Row],[Kuantitas]]-表1[[#This Row],[Satuan]])</f>
        <v/>
      </c>
      <c r="H1680" s="28"/>
      <c r="I1680" s="25" t="str">
        <f>IF(表1[[#This Row],[Tgl NPBG]]&gt;表1[[#This Row],[Peminta]],表1[[#This Row],[Tgl NPBG]]-表1[[#This Row],[Peminta]],"")</f>
        <v/>
      </c>
      <c r="J1680" s="31"/>
    </row>
    <row r="1681" s="12" customFormat="1" customHeight="1" spans="2:10">
      <c r="B1681" s="25"/>
      <c r="C1681" s="25"/>
      <c r="D1681" s="26" t="str" cm="1">
        <f t="array" ref="D1681">IF(C1681="","",IFERROR(INDEX(STPP!$D$6:$D$4207,MATCH(C1681,STPP!$C$6:$C$4207,0)),"Not Found"))</f>
        <v/>
      </c>
      <c r="E1681" s="27" t="str" cm="1">
        <f t="array" ref="E1681">IF(C1681="","",IFERROR(INDEX(STPP!$E$6:$E$4207,MATCH(C1681,STPP!$C$6:$C$4207,0)),"Not Found"))</f>
        <v/>
      </c>
      <c r="F1681" s="27" t="str" cm="1">
        <f t="array" ref="F1681">IF(C1681="","",IFERROR(INDEX(STPP!$F$6:$F$4207,MATCH(C1681,STPP!$C$6:$C$4207,0)),"Not Found"))</f>
        <v/>
      </c>
      <c r="G1681" s="25" t="str">
        <f>IF(表1[[#This Row],[No Seri]]="","",表1[[#This Row],[Deskripsi Barang]]+表1[[#This Row],[Kuantitas]]-表1[[#This Row],[Satuan]])</f>
        <v/>
      </c>
      <c r="H1681" s="28"/>
      <c r="I1681" s="25" t="str">
        <f>IF(表1[[#This Row],[Tgl NPBG]]&gt;表1[[#This Row],[Peminta]],表1[[#This Row],[Tgl NPBG]]-表1[[#This Row],[Peminta]],"")</f>
        <v/>
      </c>
      <c r="J1681" s="31"/>
    </row>
    <row r="1682" s="12" customFormat="1" customHeight="1" spans="2:10">
      <c r="B1682" s="25"/>
      <c r="C1682" s="25"/>
      <c r="D1682" s="26" t="str" cm="1">
        <f t="array" ref="D1682">IF(C1682="","",IFERROR(INDEX(STPP!$D$6:$D$4207,MATCH(C1682,STPP!$C$6:$C$4207,0)),"Not Found"))</f>
        <v/>
      </c>
      <c r="E1682" s="27" t="str" cm="1">
        <f t="array" ref="E1682">IF(C1682="","",IFERROR(INDEX(STPP!$E$6:$E$4207,MATCH(C1682,STPP!$C$6:$C$4207,0)),"Not Found"))</f>
        <v/>
      </c>
      <c r="F1682" s="27" t="str" cm="1">
        <f t="array" ref="F1682">IF(C1682="","",IFERROR(INDEX(STPP!$F$6:$F$4207,MATCH(C1682,STPP!$C$6:$C$4207,0)),"Not Found"))</f>
        <v/>
      </c>
      <c r="G1682" s="25" t="str">
        <f>IF(表1[[#This Row],[No Seri]]="","",表1[[#This Row],[Deskripsi Barang]]+表1[[#This Row],[Kuantitas]]-表1[[#This Row],[Satuan]])</f>
        <v/>
      </c>
      <c r="H1682" s="28"/>
      <c r="I1682" s="25" t="str">
        <f>IF(表1[[#This Row],[Tgl NPBG]]&gt;表1[[#This Row],[Peminta]],表1[[#This Row],[Tgl NPBG]]-表1[[#This Row],[Peminta]],"")</f>
        <v/>
      </c>
      <c r="J1682" s="31"/>
    </row>
    <row r="1683" s="12" customFormat="1" customHeight="1" spans="2:10">
      <c r="B1683" s="25"/>
      <c r="C1683" s="25"/>
      <c r="D1683" s="26" t="str" cm="1">
        <f t="array" ref="D1683">IF(C1683="","",IFERROR(INDEX(STPP!$D$6:$D$4207,MATCH(C1683,STPP!$C$6:$C$4207,0)),"Not Found"))</f>
        <v/>
      </c>
      <c r="E1683" s="27" t="str" cm="1">
        <f t="array" ref="E1683">IF(C1683="","",IFERROR(INDEX(STPP!$E$6:$E$4207,MATCH(C1683,STPP!$C$6:$C$4207,0)),"Not Found"))</f>
        <v/>
      </c>
      <c r="F1683" s="27" t="str" cm="1">
        <f t="array" ref="F1683">IF(C1683="","",IFERROR(INDEX(STPP!$F$6:$F$4207,MATCH(C1683,STPP!$C$6:$C$4207,0)),"Not Found"))</f>
        <v/>
      </c>
      <c r="G1683" s="25" t="str">
        <f>IF(表1[[#This Row],[No Seri]]="","",表1[[#This Row],[Deskripsi Barang]]+表1[[#This Row],[Kuantitas]]-表1[[#This Row],[Satuan]])</f>
        <v/>
      </c>
      <c r="H1683" s="28"/>
      <c r="I1683" s="25" t="str">
        <f>IF(表1[[#This Row],[Tgl NPBG]]&gt;表1[[#This Row],[Peminta]],表1[[#This Row],[Tgl NPBG]]-表1[[#This Row],[Peminta]],"")</f>
        <v/>
      </c>
      <c r="J1683" s="31"/>
    </row>
    <row r="1684" s="12" customFormat="1" customHeight="1" spans="2:10">
      <c r="B1684" s="25"/>
      <c r="C1684" s="25"/>
      <c r="D1684" s="26" t="str" cm="1">
        <f t="array" ref="D1684">IF(C1684="","",IFERROR(INDEX(STPP!$D$6:$D$4207,MATCH(C1684,STPP!$C$6:$C$4207,0)),"Not Found"))</f>
        <v/>
      </c>
      <c r="E1684" s="27" t="str" cm="1">
        <f t="array" ref="E1684">IF(C1684="","",IFERROR(INDEX(STPP!$E$6:$E$4207,MATCH(C1684,STPP!$C$6:$C$4207,0)),"Not Found"))</f>
        <v/>
      </c>
      <c r="F1684" s="27" t="str" cm="1">
        <f t="array" ref="F1684">IF(C1684="","",IFERROR(INDEX(STPP!$F$6:$F$4207,MATCH(C1684,STPP!$C$6:$C$4207,0)),"Not Found"))</f>
        <v/>
      </c>
      <c r="G1684" s="25" t="str">
        <f>IF(表1[[#This Row],[No Seri]]="","",表1[[#This Row],[Deskripsi Barang]]+表1[[#This Row],[Kuantitas]]-表1[[#This Row],[Satuan]])</f>
        <v/>
      </c>
      <c r="H1684" s="28"/>
      <c r="I1684" s="25" t="str">
        <f>IF(表1[[#This Row],[Tgl NPBG]]&gt;表1[[#This Row],[Peminta]],表1[[#This Row],[Tgl NPBG]]-表1[[#This Row],[Peminta]],"")</f>
        <v/>
      </c>
      <c r="J1684" s="31"/>
    </row>
    <row r="1685" s="12" customFormat="1" customHeight="1" spans="2:10">
      <c r="B1685" s="25"/>
      <c r="C1685" s="25"/>
      <c r="D1685" s="26" t="str" cm="1">
        <f t="array" ref="D1685">IF(C1685="","",IFERROR(INDEX(STPP!$D$6:$D$4207,MATCH(C1685,STPP!$C$6:$C$4207,0)),"Not Found"))</f>
        <v/>
      </c>
      <c r="E1685" s="27" t="str" cm="1">
        <f t="array" ref="E1685">IF(C1685="","",IFERROR(INDEX(STPP!$E$6:$E$4207,MATCH(C1685,STPP!$C$6:$C$4207,0)),"Not Found"))</f>
        <v/>
      </c>
      <c r="F1685" s="27" t="str" cm="1">
        <f t="array" ref="F1685">IF(C1685="","",IFERROR(INDEX(STPP!$F$6:$F$4207,MATCH(C1685,STPP!$C$6:$C$4207,0)),"Not Found"))</f>
        <v/>
      </c>
      <c r="G1685" s="25" t="str">
        <f>IF(表1[[#This Row],[No Seri]]="","",表1[[#This Row],[Deskripsi Barang]]+表1[[#This Row],[Kuantitas]]-表1[[#This Row],[Satuan]])</f>
        <v/>
      </c>
      <c r="H1685" s="28"/>
      <c r="I1685" s="25" t="str">
        <f>IF(表1[[#This Row],[Tgl NPBG]]&gt;表1[[#This Row],[Peminta]],表1[[#This Row],[Tgl NPBG]]-表1[[#This Row],[Peminta]],"")</f>
        <v/>
      </c>
      <c r="J1685" s="31"/>
    </row>
    <row r="1686" s="12" customFormat="1" customHeight="1" spans="2:10">
      <c r="B1686" s="25"/>
      <c r="C1686" s="25"/>
      <c r="D1686" s="26" t="str" cm="1">
        <f t="array" ref="D1686">IF(C1686="","",IFERROR(INDEX(STPP!$D$6:$D$4207,MATCH(C1686,STPP!$C$6:$C$4207,0)),"Not Found"))</f>
        <v/>
      </c>
      <c r="E1686" s="27" t="str" cm="1">
        <f t="array" ref="E1686">IF(C1686="","",IFERROR(INDEX(STPP!$E$6:$E$4207,MATCH(C1686,STPP!$C$6:$C$4207,0)),"Not Found"))</f>
        <v/>
      </c>
      <c r="F1686" s="27" t="str" cm="1">
        <f t="array" ref="F1686">IF(C1686="","",IFERROR(INDEX(STPP!$F$6:$F$4207,MATCH(C1686,STPP!$C$6:$C$4207,0)),"Not Found"))</f>
        <v/>
      </c>
      <c r="G1686" s="25" t="str">
        <f>IF(表1[[#This Row],[No Seri]]="","",表1[[#This Row],[Deskripsi Barang]]+表1[[#This Row],[Kuantitas]]-表1[[#This Row],[Satuan]])</f>
        <v/>
      </c>
      <c r="H1686" s="28"/>
      <c r="I1686" s="25" t="str">
        <f>IF(表1[[#This Row],[Tgl NPBG]]&gt;表1[[#This Row],[Peminta]],表1[[#This Row],[Tgl NPBG]]-表1[[#This Row],[Peminta]],"")</f>
        <v/>
      </c>
      <c r="J1686" s="31"/>
    </row>
    <row r="1687" s="12" customFormat="1" customHeight="1" spans="2:10">
      <c r="B1687" s="25"/>
      <c r="C1687" s="25"/>
      <c r="D1687" s="26" t="str" cm="1">
        <f t="array" ref="D1687">IF(C1687="","",IFERROR(INDEX(STPP!$D$6:$D$4207,MATCH(C1687,STPP!$C$6:$C$4207,0)),"Not Found"))</f>
        <v/>
      </c>
      <c r="E1687" s="27" t="str" cm="1">
        <f t="array" ref="E1687">IF(C1687="","",IFERROR(INDEX(STPP!$E$6:$E$4207,MATCH(C1687,STPP!$C$6:$C$4207,0)),"Not Found"))</f>
        <v/>
      </c>
      <c r="F1687" s="27" t="str" cm="1">
        <f t="array" ref="F1687">IF(C1687="","",IFERROR(INDEX(STPP!$F$6:$F$4207,MATCH(C1687,STPP!$C$6:$C$4207,0)),"Not Found"))</f>
        <v/>
      </c>
      <c r="G1687" s="25" t="str">
        <f>IF(表1[[#This Row],[No Seri]]="","",表1[[#This Row],[Deskripsi Barang]]+表1[[#This Row],[Kuantitas]]-表1[[#This Row],[Satuan]])</f>
        <v/>
      </c>
      <c r="H1687" s="28"/>
      <c r="I1687" s="25" t="str">
        <f>IF(表1[[#This Row],[Tgl NPBG]]&gt;表1[[#This Row],[Peminta]],表1[[#This Row],[Tgl NPBG]]-表1[[#This Row],[Peminta]],"")</f>
        <v/>
      </c>
      <c r="J1687" s="31"/>
    </row>
    <row r="1688" s="12" customFormat="1" customHeight="1" spans="2:10">
      <c r="B1688" s="25"/>
      <c r="C1688" s="25"/>
      <c r="D1688" s="26" t="str" cm="1">
        <f t="array" ref="D1688">IF(C1688="","",IFERROR(INDEX(STPP!$D$6:$D$4207,MATCH(C1688,STPP!$C$6:$C$4207,0)),"Not Found"))</f>
        <v/>
      </c>
      <c r="E1688" s="27" t="str" cm="1">
        <f t="array" ref="E1688">IF(C1688="","",IFERROR(INDEX(STPP!$E$6:$E$4207,MATCH(C1688,STPP!$C$6:$C$4207,0)),"Not Found"))</f>
        <v/>
      </c>
      <c r="F1688" s="27" t="str" cm="1">
        <f t="array" ref="F1688">IF(C1688="","",IFERROR(INDEX(STPP!$F$6:$F$4207,MATCH(C1688,STPP!$C$6:$C$4207,0)),"Not Found"))</f>
        <v/>
      </c>
      <c r="G1688" s="25" t="str">
        <f>IF(表1[[#This Row],[No Seri]]="","",表1[[#This Row],[Deskripsi Barang]]+表1[[#This Row],[Kuantitas]]-表1[[#This Row],[Satuan]])</f>
        <v/>
      </c>
      <c r="H1688" s="28"/>
      <c r="I1688" s="25" t="str">
        <f>IF(表1[[#This Row],[Tgl NPBG]]&gt;表1[[#This Row],[Peminta]],表1[[#This Row],[Tgl NPBG]]-表1[[#This Row],[Peminta]],"")</f>
        <v/>
      </c>
      <c r="J1688" s="31"/>
    </row>
    <row r="1689" s="12" customFormat="1" customHeight="1" spans="2:10">
      <c r="B1689" s="25"/>
      <c r="C1689" s="25"/>
      <c r="D1689" s="26" t="str" cm="1">
        <f t="array" ref="D1689">IF(C1689="","",IFERROR(INDEX(STPP!$D$6:$D$4207,MATCH(C1689,STPP!$C$6:$C$4207,0)),"Not Found"))</f>
        <v/>
      </c>
      <c r="E1689" s="27" t="str" cm="1">
        <f t="array" ref="E1689">IF(C1689="","",IFERROR(INDEX(STPP!$E$6:$E$4207,MATCH(C1689,STPP!$C$6:$C$4207,0)),"Not Found"))</f>
        <v/>
      </c>
      <c r="F1689" s="27" t="str" cm="1">
        <f t="array" ref="F1689">IF(C1689="","",IFERROR(INDEX(STPP!$F$6:$F$4207,MATCH(C1689,STPP!$C$6:$C$4207,0)),"Not Found"))</f>
        <v/>
      </c>
      <c r="G1689" s="25" t="str">
        <f>IF(表1[[#This Row],[No Seri]]="","",表1[[#This Row],[Deskripsi Barang]]+表1[[#This Row],[Kuantitas]]-表1[[#This Row],[Satuan]])</f>
        <v/>
      </c>
      <c r="H1689" s="28"/>
      <c r="I1689" s="25" t="str">
        <f>IF(表1[[#This Row],[Tgl NPBG]]&gt;表1[[#This Row],[Peminta]],表1[[#This Row],[Tgl NPBG]]-表1[[#This Row],[Peminta]],"")</f>
        <v/>
      </c>
      <c r="J1689" s="31"/>
    </row>
    <row r="1690" s="12" customFormat="1" customHeight="1" spans="2:10">
      <c r="B1690" s="25"/>
      <c r="C1690" s="25"/>
      <c r="D1690" s="26" t="str" cm="1">
        <f t="array" ref="D1690">IF(C1690="","",IFERROR(INDEX(STPP!$D$6:$D$4207,MATCH(C1690,STPP!$C$6:$C$4207,0)),"Not Found"))</f>
        <v/>
      </c>
      <c r="E1690" s="27" t="str" cm="1">
        <f t="array" ref="E1690">IF(C1690="","",IFERROR(INDEX(STPP!$E$6:$E$4207,MATCH(C1690,STPP!$C$6:$C$4207,0)),"Not Found"))</f>
        <v/>
      </c>
      <c r="F1690" s="27" t="str" cm="1">
        <f t="array" ref="F1690">IF(C1690="","",IFERROR(INDEX(STPP!$F$6:$F$4207,MATCH(C1690,STPP!$C$6:$C$4207,0)),"Not Found"))</f>
        <v/>
      </c>
      <c r="G1690" s="25" t="str">
        <f>IF(表1[[#This Row],[No Seri]]="","",表1[[#This Row],[Deskripsi Barang]]+表1[[#This Row],[Kuantitas]]-表1[[#This Row],[Satuan]])</f>
        <v/>
      </c>
      <c r="H1690" s="28"/>
      <c r="I1690" s="25" t="str">
        <f>IF(表1[[#This Row],[Tgl NPBG]]&gt;表1[[#This Row],[Peminta]],表1[[#This Row],[Tgl NPBG]]-表1[[#This Row],[Peminta]],"")</f>
        <v/>
      </c>
      <c r="J1690" s="31"/>
    </row>
    <row r="1691" s="12" customFormat="1" customHeight="1" spans="2:10">
      <c r="B1691" s="25"/>
      <c r="C1691" s="25"/>
      <c r="D1691" s="26" t="str" cm="1">
        <f t="array" ref="D1691">IF(C1691="","",IFERROR(INDEX(STPP!$D$6:$D$4207,MATCH(C1691,STPP!$C$6:$C$4207,0)),"Not Found"))</f>
        <v/>
      </c>
      <c r="E1691" s="27" t="str" cm="1">
        <f t="array" ref="E1691">IF(C1691="","",IFERROR(INDEX(STPP!$E$6:$E$4207,MATCH(C1691,STPP!$C$6:$C$4207,0)),"Not Found"))</f>
        <v/>
      </c>
      <c r="F1691" s="27" t="str" cm="1">
        <f t="array" ref="F1691">IF(C1691="","",IFERROR(INDEX(STPP!$F$6:$F$4207,MATCH(C1691,STPP!$C$6:$C$4207,0)),"Not Found"))</f>
        <v/>
      </c>
      <c r="G1691" s="25" t="str">
        <f>IF(表1[[#This Row],[No Seri]]="","",表1[[#This Row],[Deskripsi Barang]]+表1[[#This Row],[Kuantitas]]-表1[[#This Row],[Satuan]])</f>
        <v/>
      </c>
      <c r="H1691" s="28"/>
      <c r="I1691" s="25" t="str">
        <f>IF(表1[[#This Row],[Tgl NPBG]]&gt;表1[[#This Row],[Peminta]],表1[[#This Row],[Tgl NPBG]]-表1[[#This Row],[Peminta]],"")</f>
        <v/>
      </c>
      <c r="J1691" s="31"/>
    </row>
    <row r="1692" s="12" customFormat="1" customHeight="1" spans="2:10">
      <c r="B1692" s="25"/>
      <c r="C1692" s="25"/>
      <c r="D1692" s="26" t="str" cm="1">
        <f t="array" ref="D1692">IF(C1692="","",IFERROR(INDEX(STPP!$D$6:$D$4207,MATCH(C1692,STPP!$C$6:$C$4207,0)),"Not Found"))</f>
        <v/>
      </c>
      <c r="E1692" s="27" t="str" cm="1">
        <f t="array" ref="E1692">IF(C1692="","",IFERROR(INDEX(STPP!$E$6:$E$4207,MATCH(C1692,STPP!$C$6:$C$4207,0)),"Not Found"))</f>
        <v/>
      </c>
      <c r="F1692" s="27" t="str" cm="1">
        <f t="array" ref="F1692">IF(C1692="","",IFERROR(INDEX(STPP!$F$6:$F$4207,MATCH(C1692,STPP!$C$6:$C$4207,0)),"Not Found"))</f>
        <v/>
      </c>
      <c r="G1692" s="25" t="str">
        <f>IF(表1[[#This Row],[No Seri]]="","",表1[[#This Row],[Deskripsi Barang]]+表1[[#This Row],[Kuantitas]]-表1[[#This Row],[Satuan]])</f>
        <v/>
      </c>
      <c r="H1692" s="28"/>
      <c r="I1692" s="25" t="str">
        <f>IF(表1[[#This Row],[Tgl NPBG]]&gt;表1[[#This Row],[Peminta]],表1[[#This Row],[Tgl NPBG]]-表1[[#This Row],[Peminta]],"")</f>
        <v/>
      </c>
      <c r="J1692" s="31"/>
    </row>
    <row r="1693" s="12" customFormat="1" customHeight="1" spans="2:10">
      <c r="B1693" s="25"/>
      <c r="C1693" s="25"/>
      <c r="D1693" s="26" t="str" cm="1">
        <f t="array" ref="D1693">IF(C1693="","",IFERROR(INDEX(STPP!$D$6:$D$4207,MATCH(C1693,STPP!$C$6:$C$4207,0)),"Not Found"))</f>
        <v/>
      </c>
      <c r="E1693" s="27" t="str" cm="1">
        <f t="array" ref="E1693">IF(C1693="","",IFERROR(INDEX(STPP!$E$6:$E$4207,MATCH(C1693,STPP!$C$6:$C$4207,0)),"Not Found"))</f>
        <v/>
      </c>
      <c r="F1693" s="27" t="str" cm="1">
        <f t="array" ref="F1693">IF(C1693="","",IFERROR(INDEX(STPP!$F$6:$F$4207,MATCH(C1693,STPP!$C$6:$C$4207,0)),"Not Found"))</f>
        <v/>
      </c>
      <c r="G1693" s="25" t="str">
        <f>IF(表1[[#This Row],[No Seri]]="","",表1[[#This Row],[Deskripsi Barang]]+表1[[#This Row],[Kuantitas]]-表1[[#This Row],[Satuan]])</f>
        <v/>
      </c>
      <c r="H1693" s="28"/>
      <c r="I1693" s="25" t="str">
        <f>IF(表1[[#This Row],[Tgl NPBG]]&gt;表1[[#This Row],[Peminta]],表1[[#This Row],[Tgl NPBG]]-表1[[#This Row],[Peminta]],"")</f>
        <v/>
      </c>
      <c r="J1693" s="31"/>
    </row>
    <row r="1694" s="12" customFormat="1" customHeight="1" spans="2:10">
      <c r="B1694" s="25"/>
      <c r="C1694" s="25"/>
      <c r="D1694" s="26" t="str" cm="1">
        <f t="array" ref="D1694">IF(C1694="","",IFERROR(INDEX(STPP!$D$6:$D$4207,MATCH(C1694,STPP!$C$6:$C$4207,0)),"Not Found"))</f>
        <v/>
      </c>
      <c r="E1694" s="27" t="str" cm="1">
        <f t="array" ref="E1694">IF(C1694="","",IFERROR(INDEX(STPP!$E$6:$E$4207,MATCH(C1694,STPP!$C$6:$C$4207,0)),"Not Found"))</f>
        <v/>
      </c>
      <c r="F1694" s="27" t="str" cm="1">
        <f t="array" ref="F1694">IF(C1694="","",IFERROR(INDEX(STPP!$F$6:$F$4207,MATCH(C1694,STPP!$C$6:$C$4207,0)),"Not Found"))</f>
        <v/>
      </c>
      <c r="G1694" s="25" t="str">
        <f>IF(表1[[#This Row],[No Seri]]="","",表1[[#This Row],[Deskripsi Barang]]+表1[[#This Row],[Kuantitas]]-表1[[#This Row],[Satuan]])</f>
        <v/>
      </c>
      <c r="H1694" s="28"/>
      <c r="I1694" s="25" t="str">
        <f>IF(表1[[#This Row],[Tgl NPBG]]&gt;表1[[#This Row],[Peminta]],表1[[#This Row],[Tgl NPBG]]-表1[[#This Row],[Peminta]],"")</f>
        <v/>
      </c>
      <c r="J1694" s="31"/>
    </row>
    <row r="1695" s="12" customFormat="1" customHeight="1" spans="2:10">
      <c r="B1695" s="25"/>
      <c r="C1695" s="25"/>
      <c r="D1695" s="26" t="str" cm="1">
        <f t="array" ref="D1695">IF(C1695="","",IFERROR(INDEX(STPP!$D$6:$D$4207,MATCH(C1695,STPP!$C$6:$C$4207,0)),"Not Found"))</f>
        <v/>
      </c>
      <c r="E1695" s="27" t="str" cm="1">
        <f t="array" ref="E1695">IF(C1695="","",IFERROR(INDEX(STPP!$E$6:$E$4207,MATCH(C1695,STPP!$C$6:$C$4207,0)),"Not Found"))</f>
        <v/>
      </c>
      <c r="F1695" s="27" t="str" cm="1">
        <f t="array" ref="F1695">IF(C1695="","",IFERROR(INDEX(STPP!$F$6:$F$4207,MATCH(C1695,STPP!$C$6:$C$4207,0)),"Not Found"))</f>
        <v/>
      </c>
      <c r="G1695" s="25" t="str">
        <f>IF(表1[[#This Row],[No Seri]]="","",表1[[#This Row],[Deskripsi Barang]]+表1[[#This Row],[Kuantitas]]-表1[[#This Row],[Satuan]])</f>
        <v/>
      </c>
      <c r="H1695" s="28"/>
      <c r="I1695" s="25" t="str">
        <f>IF(表1[[#This Row],[Tgl NPBG]]&gt;表1[[#This Row],[Peminta]],表1[[#This Row],[Tgl NPBG]]-表1[[#This Row],[Peminta]],"")</f>
        <v/>
      </c>
      <c r="J1695" s="31"/>
    </row>
    <row r="1696" s="12" customFormat="1" customHeight="1" spans="2:10">
      <c r="B1696" s="25"/>
      <c r="C1696" s="25"/>
      <c r="D1696" s="26" t="str" cm="1">
        <f t="array" ref="D1696">IF(C1696="","",IFERROR(INDEX(STPP!$D$6:$D$4207,MATCH(C1696,STPP!$C$6:$C$4207,0)),"Not Found"))</f>
        <v/>
      </c>
      <c r="E1696" s="27" t="str" cm="1">
        <f t="array" ref="E1696">IF(C1696="","",IFERROR(INDEX(STPP!$E$6:$E$4207,MATCH(C1696,STPP!$C$6:$C$4207,0)),"Not Found"))</f>
        <v/>
      </c>
      <c r="F1696" s="27" t="str" cm="1">
        <f t="array" ref="F1696">IF(C1696="","",IFERROR(INDEX(STPP!$F$6:$F$4207,MATCH(C1696,STPP!$C$6:$C$4207,0)),"Not Found"))</f>
        <v/>
      </c>
      <c r="G1696" s="25" t="str">
        <f>IF(表1[[#This Row],[No Seri]]="","",表1[[#This Row],[Deskripsi Barang]]+表1[[#This Row],[Kuantitas]]-表1[[#This Row],[Satuan]])</f>
        <v/>
      </c>
      <c r="H1696" s="28"/>
      <c r="I1696" s="25" t="str">
        <f>IF(表1[[#This Row],[Tgl NPBG]]&gt;表1[[#This Row],[Peminta]],表1[[#This Row],[Tgl NPBG]]-表1[[#This Row],[Peminta]],"")</f>
        <v/>
      </c>
      <c r="J1696" s="31"/>
    </row>
    <row r="1697" s="12" customFormat="1" customHeight="1" spans="2:10">
      <c r="B1697" s="25"/>
      <c r="C1697" s="25"/>
      <c r="D1697" s="26" t="str" cm="1">
        <f t="array" ref="D1697">IF(C1697="","",IFERROR(INDEX(STPP!$D$6:$D$4207,MATCH(C1697,STPP!$C$6:$C$4207,0)),"Not Found"))</f>
        <v/>
      </c>
      <c r="E1697" s="27" t="str" cm="1">
        <f t="array" ref="E1697">IF(C1697="","",IFERROR(INDEX(STPP!$E$6:$E$4207,MATCH(C1697,STPP!$C$6:$C$4207,0)),"Not Found"))</f>
        <v/>
      </c>
      <c r="F1697" s="27" t="str" cm="1">
        <f t="array" ref="F1697">IF(C1697="","",IFERROR(INDEX(STPP!$F$6:$F$4207,MATCH(C1697,STPP!$C$6:$C$4207,0)),"Not Found"))</f>
        <v/>
      </c>
      <c r="G1697" s="25" t="str">
        <f>IF(表1[[#This Row],[No Seri]]="","",表1[[#This Row],[Deskripsi Barang]]+表1[[#This Row],[Kuantitas]]-表1[[#This Row],[Satuan]])</f>
        <v/>
      </c>
      <c r="H1697" s="28"/>
      <c r="I1697" s="25" t="str">
        <f>IF(表1[[#This Row],[Tgl NPBG]]&gt;表1[[#This Row],[Peminta]],表1[[#This Row],[Tgl NPBG]]-表1[[#This Row],[Peminta]],"")</f>
        <v/>
      </c>
      <c r="J1697" s="31"/>
    </row>
    <row r="1698" s="12" customFormat="1" customHeight="1" spans="2:10">
      <c r="B1698" s="25"/>
      <c r="C1698" s="25"/>
      <c r="D1698" s="26" t="str" cm="1">
        <f t="array" ref="D1698">IF(C1698="","",IFERROR(INDEX(STPP!$D$6:$D$4207,MATCH(C1698,STPP!$C$6:$C$4207,0)),"Not Found"))</f>
        <v/>
      </c>
      <c r="E1698" s="27" t="str" cm="1">
        <f t="array" ref="E1698">IF(C1698="","",IFERROR(INDEX(STPP!$E$6:$E$4207,MATCH(C1698,STPP!$C$6:$C$4207,0)),"Not Found"))</f>
        <v/>
      </c>
      <c r="F1698" s="27" t="str" cm="1">
        <f t="array" ref="F1698">IF(C1698="","",IFERROR(INDEX(STPP!$F$6:$F$4207,MATCH(C1698,STPP!$C$6:$C$4207,0)),"Not Found"))</f>
        <v/>
      </c>
      <c r="G1698" s="25" t="str">
        <f>IF(表1[[#This Row],[No Seri]]="","",表1[[#This Row],[Deskripsi Barang]]+表1[[#This Row],[Kuantitas]]-表1[[#This Row],[Satuan]])</f>
        <v/>
      </c>
      <c r="H1698" s="28"/>
      <c r="I1698" s="25" t="str">
        <f>IF(表1[[#This Row],[Tgl NPBG]]&gt;表1[[#This Row],[Peminta]],表1[[#This Row],[Tgl NPBG]]-表1[[#This Row],[Peminta]],"")</f>
        <v/>
      </c>
      <c r="J1698" s="31"/>
    </row>
    <row r="1699" s="12" customFormat="1" customHeight="1" spans="2:10">
      <c r="B1699" s="25"/>
      <c r="C1699" s="25"/>
      <c r="D1699" s="26" t="str" cm="1">
        <f t="array" ref="D1699">IF(C1699="","",IFERROR(INDEX(STPP!$D$6:$D$4207,MATCH(C1699,STPP!$C$6:$C$4207,0)),"Not Found"))</f>
        <v/>
      </c>
      <c r="E1699" s="27" t="str" cm="1">
        <f t="array" ref="E1699">IF(C1699="","",IFERROR(INDEX(STPP!$E$6:$E$4207,MATCH(C1699,STPP!$C$6:$C$4207,0)),"Not Found"))</f>
        <v/>
      </c>
      <c r="F1699" s="27" t="str" cm="1">
        <f t="array" ref="F1699">IF(C1699="","",IFERROR(INDEX(STPP!$F$6:$F$4207,MATCH(C1699,STPP!$C$6:$C$4207,0)),"Not Found"))</f>
        <v/>
      </c>
      <c r="G1699" s="25" t="str">
        <f>IF(表1[[#This Row],[No Seri]]="","",表1[[#This Row],[Deskripsi Barang]]+表1[[#This Row],[Kuantitas]]-表1[[#This Row],[Satuan]])</f>
        <v/>
      </c>
      <c r="H1699" s="28"/>
      <c r="I1699" s="25" t="str">
        <f>IF(表1[[#This Row],[Tgl NPBG]]&gt;表1[[#This Row],[Peminta]],表1[[#This Row],[Tgl NPBG]]-表1[[#This Row],[Peminta]],"")</f>
        <v/>
      </c>
      <c r="J1699" s="31"/>
    </row>
    <row r="1700" s="12" customFormat="1" customHeight="1" spans="2:10">
      <c r="B1700" s="25"/>
      <c r="C1700" s="25"/>
      <c r="D1700" s="26" t="str" cm="1">
        <f t="array" ref="D1700">IF(C1700="","",IFERROR(INDEX(STPP!$D$6:$D$4207,MATCH(C1700,STPP!$C$6:$C$4207,0)),"Not Found"))</f>
        <v/>
      </c>
      <c r="E1700" s="27" t="str" cm="1">
        <f t="array" ref="E1700">IF(C1700="","",IFERROR(INDEX(STPP!$E$6:$E$4207,MATCH(C1700,STPP!$C$6:$C$4207,0)),"Not Found"))</f>
        <v/>
      </c>
      <c r="F1700" s="27" t="str" cm="1">
        <f t="array" ref="F1700">IF(C1700="","",IFERROR(INDEX(STPP!$F$6:$F$4207,MATCH(C1700,STPP!$C$6:$C$4207,0)),"Not Found"))</f>
        <v/>
      </c>
      <c r="G1700" s="25" t="str">
        <f>IF(表1[[#This Row],[No Seri]]="","",表1[[#This Row],[Deskripsi Barang]]+表1[[#This Row],[Kuantitas]]-表1[[#This Row],[Satuan]])</f>
        <v/>
      </c>
      <c r="H1700" s="28"/>
      <c r="I1700" s="25" t="str">
        <f>IF(表1[[#This Row],[Tgl NPBG]]&gt;表1[[#This Row],[Peminta]],表1[[#This Row],[Tgl NPBG]]-表1[[#This Row],[Peminta]],"")</f>
        <v/>
      </c>
      <c r="J1700" s="31"/>
    </row>
    <row r="1701" s="12" customFormat="1" customHeight="1" spans="2:10">
      <c r="B1701" s="25"/>
      <c r="C1701" s="25"/>
      <c r="D1701" s="26" t="str" cm="1">
        <f t="array" ref="D1701">IF(C1701="","",IFERROR(INDEX(STPP!$D$6:$D$4207,MATCH(C1701,STPP!$C$6:$C$4207,0)),"Not Found"))</f>
        <v/>
      </c>
      <c r="E1701" s="27" t="str" cm="1">
        <f t="array" ref="E1701">IF(C1701="","",IFERROR(INDEX(STPP!$E$6:$E$4207,MATCH(C1701,STPP!$C$6:$C$4207,0)),"Not Found"))</f>
        <v/>
      </c>
      <c r="F1701" s="27" t="str" cm="1">
        <f t="array" ref="F1701">IF(C1701="","",IFERROR(INDEX(STPP!$F$6:$F$4207,MATCH(C1701,STPP!$C$6:$C$4207,0)),"Not Found"))</f>
        <v/>
      </c>
      <c r="G1701" s="25" t="str">
        <f>IF(表1[[#This Row],[No Seri]]="","",表1[[#This Row],[Deskripsi Barang]]+表1[[#This Row],[Kuantitas]]-表1[[#This Row],[Satuan]])</f>
        <v/>
      </c>
      <c r="H1701" s="28"/>
      <c r="I1701" s="25" t="str">
        <f>IF(表1[[#This Row],[Tgl NPBG]]&gt;表1[[#This Row],[Peminta]],表1[[#This Row],[Tgl NPBG]]-表1[[#This Row],[Peminta]],"")</f>
        <v/>
      </c>
      <c r="J1701" s="31"/>
    </row>
    <row r="1702" s="12" customFormat="1" customHeight="1" spans="2:10">
      <c r="B1702" s="25"/>
      <c r="C1702" s="25"/>
      <c r="D1702" s="26" t="str" cm="1">
        <f t="array" ref="D1702">IF(C1702="","",IFERROR(INDEX(STPP!$D$6:$D$4207,MATCH(C1702,STPP!$C$6:$C$4207,0)),"Not Found"))</f>
        <v/>
      </c>
      <c r="E1702" s="27" t="str" cm="1">
        <f t="array" ref="E1702">IF(C1702="","",IFERROR(INDEX(STPP!$E$6:$E$4207,MATCH(C1702,STPP!$C$6:$C$4207,0)),"Not Found"))</f>
        <v/>
      </c>
      <c r="F1702" s="27" t="str" cm="1">
        <f t="array" ref="F1702">IF(C1702="","",IFERROR(INDEX(STPP!$F$6:$F$4207,MATCH(C1702,STPP!$C$6:$C$4207,0)),"Not Found"))</f>
        <v/>
      </c>
      <c r="G1702" s="25" t="str">
        <f>IF(表1[[#This Row],[No Seri]]="","",表1[[#This Row],[Deskripsi Barang]]+表1[[#This Row],[Kuantitas]]-表1[[#This Row],[Satuan]])</f>
        <v/>
      </c>
      <c r="H1702" s="28"/>
      <c r="I1702" s="25" t="str">
        <f>IF(表1[[#This Row],[Tgl NPBG]]&gt;表1[[#This Row],[Peminta]],表1[[#This Row],[Tgl NPBG]]-表1[[#This Row],[Peminta]],"")</f>
        <v/>
      </c>
      <c r="J1702" s="31"/>
    </row>
    <row r="1703" s="12" customFormat="1" customHeight="1" spans="2:10">
      <c r="B1703" s="25"/>
      <c r="C1703" s="25"/>
      <c r="D1703" s="26" t="str" cm="1">
        <f t="array" ref="D1703">IF(C1703="","",IFERROR(INDEX(STPP!$D$6:$D$4207,MATCH(C1703,STPP!$C$6:$C$4207,0)),"Not Found"))</f>
        <v/>
      </c>
      <c r="E1703" s="27" t="str" cm="1">
        <f t="array" ref="E1703">IF(C1703="","",IFERROR(INDEX(STPP!$E$6:$E$4207,MATCH(C1703,STPP!$C$6:$C$4207,0)),"Not Found"))</f>
        <v/>
      </c>
      <c r="F1703" s="27" t="str" cm="1">
        <f t="array" ref="F1703">IF(C1703="","",IFERROR(INDEX(STPP!$F$6:$F$4207,MATCH(C1703,STPP!$C$6:$C$4207,0)),"Not Found"))</f>
        <v/>
      </c>
      <c r="G1703" s="25" t="str">
        <f>IF(表1[[#This Row],[No Seri]]="","",表1[[#This Row],[Deskripsi Barang]]+表1[[#This Row],[Kuantitas]]-表1[[#This Row],[Satuan]])</f>
        <v/>
      </c>
      <c r="H1703" s="28"/>
      <c r="I1703" s="25" t="str">
        <f>IF(表1[[#This Row],[Tgl NPBG]]&gt;表1[[#This Row],[Peminta]],表1[[#This Row],[Tgl NPBG]]-表1[[#This Row],[Peminta]],"")</f>
        <v/>
      </c>
      <c r="J1703" s="31"/>
    </row>
    <row r="1704" s="12" customFormat="1" customHeight="1" spans="2:10">
      <c r="B1704" s="25"/>
      <c r="C1704" s="25"/>
      <c r="D1704" s="26" t="str" cm="1">
        <f t="array" ref="D1704">IF(C1704="","",IFERROR(INDEX(STPP!$D$6:$D$4207,MATCH(C1704,STPP!$C$6:$C$4207,0)),"Not Found"))</f>
        <v/>
      </c>
      <c r="E1704" s="27" t="str" cm="1">
        <f t="array" ref="E1704">IF(C1704="","",IFERROR(INDEX(STPP!$E$6:$E$4207,MATCH(C1704,STPP!$C$6:$C$4207,0)),"Not Found"))</f>
        <v/>
      </c>
      <c r="F1704" s="27" t="str" cm="1">
        <f t="array" ref="F1704">IF(C1704="","",IFERROR(INDEX(STPP!$F$6:$F$4207,MATCH(C1704,STPP!$C$6:$C$4207,0)),"Not Found"))</f>
        <v/>
      </c>
      <c r="G1704" s="25" t="str">
        <f>IF(表1[[#This Row],[No Seri]]="","",表1[[#This Row],[Deskripsi Barang]]+表1[[#This Row],[Kuantitas]]-表1[[#This Row],[Satuan]])</f>
        <v/>
      </c>
      <c r="H1704" s="28"/>
      <c r="I1704" s="25" t="str">
        <f>IF(表1[[#This Row],[Tgl NPBG]]&gt;表1[[#This Row],[Peminta]],表1[[#This Row],[Tgl NPBG]]-表1[[#This Row],[Peminta]],"")</f>
        <v/>
      </c>
      <c r="J1704" s="31"/>
    </row>
    <row r="1705" s="12" customFormat="1" customHeight="1" spans="2:10">
      <c r="B1705" s="25"/>
      <c r="C1705" s="25"/>
      <c r="D1705" s="26" t="str" cm="1">
        <f t="array" ref="D1705">IF(C1705="","",IFERROR(INDEX(STPP!$D$6:$D$4207,MATCH(C1705,STPP!$C$6:$C$4207,0)),"Not Found"))</f>
        <v/>
      </c>
      <c r="E1705" s="27" t="str" cm="1">
        <f t="array" ref="E1705">IF(C1705="","",IFERROR(INDEX(STPP!$E$6:$E$4207,MATCH(C1705,STPP!$C$6:$C$4207,0)),"Not Found"))</f>
        <v/>
      </c>
      <c r="F1705" s="27" t="str" cm="1">
        <f t="array" ref="F1705">IF(C1705="","",IFERROR(INDEX(STPP!$F$6:$F$4207,MATCH(C1705,STPP!$C$6:$C$4207,0)),"Not Found"))</f>
        <v/>
      </c>
      <c r="G1705" s="25" t="str">
        <f>IF(表1[[#This Row],[No Seri]]="","",表1[[#This Row],[Deskripsi Barang]]+表1[[#This Row],[Kuantitas]]-表1[[#This Row],[Satuan]])</f>
        <v/>
      </c>
      <c r="H1705" s="28"/>
      <c r="I1705" s="25" t="str">
        <f>IF(表1[[#This Row],[Tgl NPBG]]&gt;表1[[#This Row],[Peminta]],表1[[#This Row],[Tgl NPBG]]-表1[[#This Row],[Peminta]],"")</f>
        <v/>
      </c>
      <c r="J1705" s="31"/>
    </row>
    <row r="1706" s="12" customFormat="1" customHeight="1" spans="2:10">
      <c r="B1706" s="25"/>
      <c r="C1706" s="25"/>
      <c r="D1706" s="26" t="str" cm="1">
        <f t="array" ref="D1706">IF(C1706="","",IFERROR(INDEX(STPP!$D$6:$D$4207,MATCH(C1706,STPP!$C$6:$C$4207,0)),"Not Found"))</f>
        <v/>
      </c>
      <c r="E1706" s="27" t="str" cm="1">
        <f t="array" ref="E1706">IF(C1706="","",IFERROR(INDEX(STPP!$E$6:$E$4207,MATCH(C1706,STPP!$C$6:$C$4207,0)),"Not Found"))</f>
        <v/>
      </c>
      <c r="F1706" s="27" t="str" cm="1">
        <f t="array" ref="F1706">IF(C1706="","",IFERROR(INDEX(STPP!$F$6:$F$4207,MATCH(C1706,STPP!$C$6:$C$4207,0)),"Not Found"))</f>
        <v/>
      </c>
      <c r="G1706" s="25" t="str">
        <f>IF(表1[[#This Row],[No Seri]]="","",表1[[#This Row],[Deskripsi Barang]]+表1[[#This Row],[Kuantitas]]-表1[[#This Row],[Satuan]])</f>
        <v/>
      </c>
      <c r="H1706" s="28"/>
      <c r="I1706" s="25" t="str">
        <f>IF(表1[[#This Row],[Tgl NPBG]]&gt;表1[[#This Row],[Peminta]],表1[[#This Row],[Tgl NPBG]]-表1[[#This Row],[Peminta]],"")</f>
        <v/>
      </c>
      <c r="J1706" s="31"/>
    </row>
    <row r="1707" s="12" customFormat="1" customHeight="1" spans="2:10">
      <c r="B1707" s="25"/>
      <c r="C1707" s="25"/>
      <c r="D1707" s="26" t="str" cm="1">
        <f t="array" ref="D1707">IF(C1707="","",IFERROR(INDEX(STPP!$D$6:$D$4207,MATCH(C1707,STPP!$C$6:$C$4207,0)),"Not Found"))</f>
        <v/>
      </c>
      <c r="E1707" s="27" t="str" cm="1">
        <f t="array" ref="E1707">IF(C1707="","",IFERROR(INDEX(STPP!$E$6:$E$4207,MATCH(C1707,STPP!$C$6:$C$4207,0)),"Not Found"))</f>
        <v/>
      </c>
      <c r="F1707" s="27" t="str" cm="1">
        <f t="array" ref="F1707">IF(C1707="","",IFERROR(INDEX(STPP!$F$6:$F$4207,MATCH(C1707,STPP!$C$6:$C$4207,0)),"Not Found"))</f>
        <v/>
      </c>
      <c r="G1707" s="25" t="str">
        <f>IF(表1[[#This Row],[No Seri]]="","",表1[[#This Row],[Deskripsi Barang]]+表1[[#This Row],[Kuantitas]]-表1[[#This Row],[Satuan]])</f>
        <v/>
      </c>
      <c r="H1707" s="28"/>
      <c r="I1707" s="25" t="str">
        <f>IF(表1[[#This Row],[Tgl NPBG]]&gt;表1[[#This Row],[Peminta]],表1[[#This Row],[Tgl NPBG]]-表1[[#This Row],[Peminta]],"")</f>
        <v/>
      </c>
      <c r="J1707" s="31"/>
    </row>
    <row r="1708" s="12" customFormat="1" customHeight="1" spans="2:10">
      <c r="B1708" s="25"/>
      <c r="C1708" s="25"/>
      <c r="D1708" s="26" t="str" cm="1">
        <f t="array" ref="D1708">IF(C1708="","",IFERROR(INDEX(STPP!$D$6:$D$4207,MATCH(C1708,STPP!$C$6:$C$4207,0)),"Not Found"))</f>
        <v/>
      </c>
      <c r="E1708" s="27" t="str" cm="1">
        <f t="array" ref="E1708">IF(C1708="","",IFERROR(INDEX(STPP!$E$6:$E$4207,MATCH(C1708,STPP!$C$6:$C$4207,0)),"Not Found"))</f>
        <v/>
      </c>
      <c r="F1708" s="27" t="str" cm="1">
        <f t="array" ref="F1708">IF(C1708="","",IFERROR(INDEX(STPP!$F$6:$F$4207,MATCH(C1708,STPP!$C$6:$C$4207,0)),"Not Found"))</f>
        <v/>
      </c>
      <c r="G1708" s="25" t="str">
        <f>IF(表1[[#This Row],[No Seri]]="","",表1[[#This Row],[Deskripsi Barang]]+表1[[#This Row],[Kuantitas]]-表1[[#This Row],[Satuan]])</f>
        <v/>
      </c>
      <c r="H1708" s="28"/>
      <c r="I1708" s="25" t="str">
        <f>IF(表1[[#This Row],[Tgl NPBG]]&gt;表1[[#This Row],[Peminta]],表1[[#This Row],[Tgl NPBG]]-表1[[#This Row],[Peminta]],"")</f>
        <v/>
      </c>
      <c r="J1708" s="31"/>
    </row>
    <row r="1709" s="12" customFormat="1" customHeight="1" spans="2:10">
      <c r="B1709" s="25"/>
      <c r="C1709" s="25"/>
      <c r="D1709" s="26" t="str" cm="1">
        <f t="array" ref="D1709">IF(C1709="","",IFERROR(INDEX(STPP!$D$6:$D$4207,MATCH(C1709,STPP!$C$6:$C$4207,0)),"Not Found"))</f>
        <v/>
      </c>
      <c r="E1709" s="27" t="str" cm="1">
        <f t="array" ref="E1709">IF(C1709="","",IFERROR(INDEX(STPP!$E$6:$E$4207,MATCH(C1709,STPP!$C$6:$C$4207,0)),"Not Found"))</f>
        <v/>
      </c>
      <c r="F1709" s="27" t="str" cm="1">
        <f t="array" ref="F1709">IF(C1709="","",IFERROR(INDEX(STPP!$F$6:$F$4207,MATCH(C1709,STPP!$C$6:$C$4207,0)),"Not Found"))</f>
        <v/>
      </c>
      <c r="G1709" s="25" t="str">
        <f>IF(表1[[#This Row],[No Seri]]="","",表1[[#This Row],[Deskripsi Barang]]+表1[[#This Row],[Kuantitas]]-表1[[#This Row],[Satuan]])</f>
        <v/>
      </c>
      <c r="H1709" s="28"/>
      <c r="I1709" s="25" t="str">
        <f>IF(表1[[#This Row],[Tgl NPBG]]&gt;表1[[#This Row],[Peminta]],表1[[#This Row],[Tgl NPBG]]-表1[[#This Row],[Peminta]],"")</f>
        <v/>
      </c>
      <c r="J1709" s="31"/>
    </row>
    <row r="1710" s="12" customFormat="1" customHeight="1" spans="2:10">
      <c r="B1710" s="25"/>
      <c r="C1710" s="25"/>
      <c r="D1710" s="26" t="str" cm="1">
        <f t="array" ref="D1710">IF(C1710="","",IFERROR(INDEX(STPP!$D$6:$D$4207,MATCH(C1710,STPP!$C$6:$C$4207,0)),"Not Found"))</f>
        <v/>
      </c>
      <c r="E1710" s="27" t="str" cm="1">
        <f t="array" ref="E1710">IF(C1710="","",IFERROR(INDEX(STPP!$E$6:$E$4207,MATCH(C1710,STPP!$C$6:$C$4207,0)),"Not Found"))</f>
        <v/>
      </c>
      <c r="F1710" s="27" t="str" cm="1">
        <f t="array" ref="F1710">IF(C1710="","",IFERROR(INDEX(STPP!$F$6:$F$4207,MATCH(C1710,STPP!$C$6:$C$4207,0)),"Not Found"))</f>
        <v/>
      </c>
      <c r="G1710" s="25" t="str">
        <f>IF(表1[[#This Row],[No Seri]]="","",表1[[#This Row],[Deskripsi Barang]]+表1[[#This Row],[Kuantitas]]-表1[[#This Row],[Satuan]])</f>
        <v/>
      </c>
      <c r="H1710" s="28"/>
      <c r="I1710" s="25" t="str">
        <f>IF(表1[[#This Row],[Tgl NPBG]]&gt;表1[[#This Row],[Peminta]],表1[[#This Row],[Tgl NPBG]]-表1[[#This Row],[Peminta]],"")</f>
        <v/>
      </c>
      <c r="J1710" s="31"/>
    </row>
    <row r="1711" s="12" customFormat="1" customHeight="1" spans="2:10">
      <c r="B1711" s="25"/>
      <c r="C1711" s="25"/>
      <c r="D1711" s="26" t="str" cm="1">
        <f t="array" ref="D1711">IF(C1711="","",IFERROR(INDEX(STPP!$D$6:$D$4207,MATCH(C1711,STPP!$C$6:$C$4207,0)),"Not Found"))</f>
        <v/>
      </c>
      <c r="E1711" s="27" t="str" cm="1">
        <f t="array" ref="E1711">IF(C1711="","",IFERROR(INDEX(STPP!$E$6:$E$4207,MATCH(C1711,STPP!$C$6:$C$4207,0)),"Not Found"))</f>
        <v/>
      </c>
      <c r="F1711" s="27" t="str" cm="1">
        <f t="array" ref="F1711">IF(C1711="","",IFERROR(INDEX(STPP!$F$6:$F$4207,MATCH(C1711,STPP!$C$6:$C$4207,0)),"Not Found"))</f>
        <v/>
      </c>
      <c r="G1711" s="25" t="str">
        <f>IF(表1[[#This Row],[No Seri]]="","",表1[[#This Row],[Deskripsi Barang]]+表1[[#This Row],[Kuantitas]]-表1[[#This Row],[Satuan]])</f>
        <v/>
      </c>
      <c r="H1711" s="28"/>
      <c r="I1711" s="25" t="str">
        <f>IF(表1[[#This Row],[Tgl NPBG]]&gt;表1[[#This Row],[Peminta]],表1[[#This Row],[Tgl NPBG]]-表1[[#This Row],[Peminta]],"")</f>
        <v/>
      </c>
      <c r="J1711" s="31"/>
    </row>
    <row r="1712" s="12" customFormat="1" customHeight="1" spans="2:10">
      <c r="B1712" s="25"/>
      <c r="C1712" s="25"/>
      <c r="D1712" s="26" t="str" cm="1">
        <f t="array" ref="D1712">IF(C1712="","",IFERROR(INDEX(STPP!$D$6:$D$4207,MATCH(C1712,STPP!$C$6:$C$4207,0)),"Not Found"))</f>
        <v/>
      </c>
      <c r="E1712" s="27" t="str" cm="1">
        <f t="array" ref="E1712">IF(C1712="","",IFERROR(INDEX(STPP!$E$6:$E$4207,MATCH(C1712,STPP!$C$6:$C$4207,0)),"Not Found"))</f>
        <v/>
      </c>
      <c r="F1712" s="27" t="str" cm="1">
        <f t="array" ref="F1712">IF(C1712="","",IFERROR(INDEX(STPP!$F$6:$F$4207,MATCH(C1712,STPP!$C$6:$C$4207,0)),"Not Found"))</f>
        <v/>
      </c>
      <c r="G1712" s="25" t="str">
        <f>IF(表1[[#This Row],[No Seri]]="","",表1[[#This Row],[Deskripsi Barang]]+表1[[#This Row],[Kuantitas]]-表1[[#This Row],[Satuan]])</f>
        <v/>
      </c>
      <c r="H1712" s="28"/>
      <c r="I1712" s="25" t="str">
        <f>IF(表1[[#This Row],[Tgl NPBG]]&gt;表1[[#This Row],[Peminta]],表1[[#This Row],[Tgl NPBG]]-表1[[#This Row],[Peminta]],"")</f>
        <v/>
      </c>
      <c r="J1712" s="31"/>
    </row>
    <row r="1713" s="12" customFormat="1" customHeight="1" spans="2:10">
      <c r="B1713" s="25"/>
      <c r="C1713" s="25"/>
      <c r="D1713" s="26" t="str" cm="1">
        <f t="array" ref="D1713">IF(C1713="","",IFERROR(INDEX(STPP!$D$6:$D$4207,MATCH(C1713,STPP!$C$6:$C$4207,0)),"Not Found"))</f>
        <v/>
      </c>
      <c r="E1713" s="27" t="str" cm="1">
        <f t="array" ref="E1713">IF(C1713="","",IFERROR(INDEX(STPP!$E$6:$E$4207,MATCH(C1713,STPP!$C$6:$C$4207,0)),"Not Found"))</f>
        <v/>
      </c>
      <c r="F1713" s="27" t="str" cm="1">
        <f t="array" ref="F1713">IF(C1713="","",IFERROR(INDEX(STPP!$F$6:$F$4207,MATCH(C1713,STPP!$C$6:$C$4207,0)),"Not Found"))</f>
        <v/>
      </c>
      <c r="G1713" s="25" t="str">
        <f>IF(表1[[#This Row],[No Seri]]="","",表1[[#This Row],[Deskripsi Barang]]+表1[[#This Row],[Kuantitas]]-表1[[#This Row],[Satuan]])</f>
        <v/>
      </c>
      <c r="H1713" s="28"/>
      <c r="I1713" s="25" t="str">
        <f>IF(表1[[#This Row],[Tgl NPBG]]&gt;表1[[#This Row],[Peminta]],表1[[#This Row],[Tgl NPBG]]-表1[[#This Row],[Peminta]],"")</f>
        <v/>
      </c>
      <c r="J1713" s="31"/>
    </row>
    <row r="1714" s="12" customFormat="1" customHeight="1" spans="2:10">
      <c r="B1714" s="25"/>
      <c r="C1714" s="25"/>
      <c r="D1714" s="26" t="str" cm="1">
        <f t="array" ref="D1714">IF(C1714="","",IFERROR(INDEX(STPP!$D$6:$D$4207,MATCH(C1714,STPP!$C$6:$C$4207,0)),"Not Found"))</f>
        <v/>
      </c>
      <c r="E1714" s="27" t="str" cm="1">
        <f t="array" ref="E1714">IF(C1714="","",IFERROR(INDEX(STPP!$E$6:$E$4207,MATCH(C1714,STPP!$C$6:$C$4207,0)),"Not Found"))</f>
        <v/>
      </c>
      <c r="F1714" s="27" t="str" cm="1">
        <f t="array" ref="F1714">IF(C1714="","",IFERROR(INDEX(STPP!$F$6:$F$4207,MATCH(C1714,STPP!$C$6:$C$4207,0)),"Not Found"))</f>
        <v/>
      </c>
      <c r="G1714" s="25" t="str">
        <f>IF(表1[[#This Row],[No Seri]]="","",表1[[#This Row],[Deskripsi Barang]]+表1[[#This Row],[Kuantitas]]-表1[[#This Row],[Satuan]])</f>
        <v/>
      </c>
      <c r="H1714" s="28"/>
      <c r="I1714" s="25" t="str">
        <f>IF(表1[[#This Row],[Tgl NPBG]]&gt;表1[[#This Row],[Peminta]],表1[[#This Row],[Tgl NPBG]]-表1[[#This Row],[Peminta]],"")</f>
        <v/>
      </c>
      <c r="J1714" s="31"/>
    </row>
    <row r="1715" s="12" customFormat="1" customHeight="1" spans="2:10">
      <c r="B1715" s="25"/>
      <c r="C1715" s="25"/>
      <c r="D1715" s="26" t="str" cm="1">
        <f t="array" ref="D1715">IF(C1715="","",IFERROR(INDEX(STPP!$D$6:$D$4207,MATCH(C1715,STPP!$C$6:$C$4207,0)),"Not Found"))</f>
        <v/>
      </c>
      <c r="E1715" s="27" t="str" cm="1">
        <f t="array" ref="E1715">IF(C1715="","",IFERROR(INDEX(STPP!$E$6:$E$4207,MATCH(C1715,STPP!$C$6:$C$4207,0)),"Not Found"))</f>
        <v/>
      </c>
      <c r="F1715" s="27" t="str" cm="1">
        <f t="array" ref="F1715">IF(C1715="","",IFERROR(INDEX(STPP!$F$6:$F$4207,MATCH(C1715,STPP!$C$6:$C$4207,0)),"Not Found"))</f>
        <v/>
      </c>
      <c r="G1715" s="25" t="str">
        <f>IF(表1[[#This Row],[No Seri]]="","",表1[[#This Row],[Deskripsi Barang]]+表1[[#This Row],[Kuantitas]]-表1[[#This Row],[Satuan]])</f>
        <v/>
      </c>
      <c r="H1715" s="28"/>
      <c r="I1715" s="25" t="str">
        <f>IF(表1[[#This Row],[Tgl NPBG]]&gt;表1[[#This Row],[Peminta]],表1[[#This Row],[Tgl NPBG]]-表1[[#This Row],[Peminta]],"")</f>
        <v/>
      </c>
      <c r="J1715" s="31"/>
    </row>
    <row r="1716" s="12" customFormat="1" customHeight="1" spans="2:10">
      <c r="B1716" s="25"/>
      <c r="C1716" s="25"/>
      <c r="D1716" s="26" t="str" cm="1">
        <f t="array" ref="D1716">IF(C1716="","",IFERROR(INDEX(STPP!$D$6:$D$4207,MATCH(C1716,STPP!$C$6:$C$4207,0)),"Not Found"))</f>
        <v/>
      </c>
      <c r="E1716" s="27" t="str" cm="1">
        <f t="array" ref="E1716">IF(C1716="","",IFERROR(INDEX(STPP!$E$6:$E$4207,MATCH(C1716,STPP!$C$6:$C$4207,0)),"Not Found"))</f>
        <v/>
      </c>
      <c r="F1716" s="27" t="str" cm="1">
        <f t="array" ref="F1716">IF(C1716="","",IFERROR(INDEX(STPP!$F$6:$F$4207,MATCH(C1716,STPP!$C$6:$C$4207,0)),"Not Found"))</f>
        <v/>
      </c>
      <c r="G1716" s="25" t="str">
        <f>IF(表1[[#This Row],[No Seri]]="","",表1[[#This Row],[Deskripsi Barang]]+表1[[#This Row],[Kuantitas]]-表1[[#This Row],[Satuan]])</f>
        <v/>
      </c>
      <c r="H1716" s="28"/>
      <c r="I1716" s="25" t="str">
        <f>IF(表1[[#This Row],[Tgl NPBG]]&gt;表1[[#This Row],[Peminta]],表1[[#This Row],[Tgl NPBG]]-表1[[#This Row],[Peminta]],"")</f>
        <v/>
      </c>
      <c r="J1716" s="31"/>
    </row>
    <row r="1717" s="12" customFormat="1" customHeight="1" spans="2:10">
      <c r="B1717" s="25"/>
      <c r="C1717" s="25"/>
      <c r="D1717" s="26" t="str" cm="1">
        <f t="array" ref="D1717">IF(C1717="","",IFERROR(INDEX(STPP!$D$6:$D$4207,MATCH(C1717,STPP!$C$6:$C$4207,0)),"Not Found"))</f>
        <v/>
      </c>
      <c r="E1717" s="27" t="str" cm="1">
        <f t="array" ref="E1717">IF(C1717="","",IFERROR(INDEX(STPP!$E$6:$E$4207,MATCH(C1717,STPP!$C$6:$C$4207,0)),"Not Found"))</f>
        <v/>
      </c>
      <c r="F1717" s="27" t="str" cm="1">
        <f t="array" ref="F1717">IF(C1717="","",IFERROR(INDEX(STPP!$F$6:$F$4207,MATCH(C1717,STPP!$C$6:$C$4207,0)),"Not Found"))</f>
        <v/>
      </c>
      <c r="G1717" s="25" t="str">
        <f>IF(表1[[#This Row],[No Seri]]="","",表1[[#This Row],[Deskripsi Barang]]+表1[[#This Row],[Kuantitas]]-表1[[#This Row],[Satuan]])</f>
        <v/>
      </c>
      <c r="H1717" s="28"/>
      <c r="I1717" s="25" t="str">
        <f>IF(表1[[#This Row],[Tgl NPBG]]&gt;表1[[#This Row],[Peminta]],表1[[#This Row],[Tgl NPBG]]-表1[[#This Row],[Peminta]],"")</f>
        <v/>
      </c>
      <c r="J1717" s="31"/>
    </row>
    <row r="1718" s="12" customFormat="1" customHeight="1" spans="2:10">
      <c r="B1718" s="25"/>
      <c r="C1718" s="25"/>
      <c r="D1718" s="26" t="str" cm="1">
        <f t="array" ref="D1718">IF(C1718="","",IFERROR(INDEX(STPP!$D$6:$D$4207,MATCH(C1718,STPP!$C$6:$C$4207,0)),"Not Found"))</f>
        <v/>
      </c>
      <c r="E1718" s="27" t="str" cm="1">
        <f t="array" ref="E1718">IF(C1718="","",IFERROR(INDEX(STPP!$E$6:$E$4207,MATCH(C1718,STPP!$C$6:$C$4207,0)),"Not Found"))</f>
        <v/>
      </c>
      <c r="F1718" s="27" t="str" cm="1">
        <f t="array" ref="F1718">IF(C1718="","",IFERROR(INDEX(STPP!$F$6:$F$4207,MATCH(C1718,STPP!$C$6:$C$4207,0)),"Not Found"))</f>
        <v/>
      </c>
      <c r="G1718" s="25" t="str">
        <f>IF(表1[[#This Row],[No Seri]]="","",表1[[#This Row],[Deskripsi Barang]]+表1[[#This Row],[Kuantitas]]-表1[[#This Row],[Satuan]])</f>
        <v/>
      </c>
      <c r="H1718" s="28"/>
      <c r="I1718" s="25" t="str">
        <f>IF(表1[[#This Row],[Tgl NPBG]]&gt;表1[[#This Row],[Peminta]],表1[[#This Row],[Tgl NPBG]]-表1[[#This Row],[Peminta]],"")</f>
        <v/>
      </c>
      <c r="J1718" s="31"/>
    </row>
    <row r="1719" s="12" customFormat="1" customHeight="1" spans="2:10">
      <c r="B1719" s="25"/>
      <c r="C1719" s="25"/>
      <c r="D1719" s="26" t="str" cm="1">
        <f t="array" ref="D1719">IF(C1719="","",IFERROR(INDEX(STPP!$D$6:$D$4207,MATCH(C1719,STPP!$C$6:$C$4207,0)),"Not Found"))</f>
        <v/>
      </c>
      <c r="E1719" s="27" t="str" cm="1">
        <f t="array" ref="E1719">IF(C1719="","",IFERROR(INDEX(STPP!$E$6:$E$4207,MATCH(C1719,STPP!$C$6:$C$4207,0)),"Not Found"))</f>
        <v/>
      </c>
      <c r="F1719" s="27" t="str" cm="1">
        <f t="array" ref="F1719">IF(C1719="","",IFERROR(INDEX(STPP!$F$6:$F$4207,MATCH(C1719,STPP!$C$6:$C$4207,0)),"Not Found"))</f>
        <v/>
      </c>
      <c r="G1719" s="25" t="str">
        <f>IF(表1[[#This Row],[No Seri]]="","",表1[[#This Row],[Deskripsi Barang]]+表1[[#This Row],[Kuantitas]]-表1[[#This Row],[Satuan]])</f>
        <v/>
      </c>
      <c r="H1719" s="28"/>
      <c r="I1719" s="25" t="str">
        <f>IF(表1[[#This Row],[Tgl NPBG]]&gt;表1[[#This Row],[Peminta]],表1[[#This Row],[Tgl NPBG]]-表1[[#This Row],[Peminta]],"")</f>
        <v/>
      </c>
      <c r="J1719" s="31"/>
    </row>
    <row r="1720" s="12" customFormat="1" customHeight="1" spans="2:10">
      <c r="B1720" s="25"/>
      <c r="C1720" s="25"/>
      <c r="D1720" s="26" t="str" cm="1">
        <f t="array" ref="D1720">IF(C1720="","",IFERROR(INDEX(STPP!$D$6:$D$4207,MATCH(C1720,STPP!$C$6:$C$4207,0)),"Not Found"))</f>
        <v/>
      </c>
      <c r="E1720" s="27" t="str" cm="1">
        <f t="array" ref="E1720">IF(C1720="","",IFERROR(INDEX(STPP!$E$6:$E$4207,MATCH(C1720,STPP!$C$6:$C$4207,0)),"Not Found"))</f>
        <v/>
      </c>
      <c r="F1720" s="27" t="str" cm="1">
        <f t="array" ref="F1720">IF(C1720="","",IFERROR(INDEX(STPP!$F$6:$F$4207,MATCH(C1720,STPP!$C$6:$C$4207,0)),"Not Found"))</f>
        <v/>
      </c>
      <c r="G1720" s="25" t="str">
        <f>IF(表1[[#This Row],[No Seri]]="","",表1[[#This Row],[Deskripsi Barang]]+表1[[#This Row],[Kuantitas]]-表1[[#This Row],[Satuan]])</f>
        <v/>
      </c>
      <c r="H1720" s="28"/>
      <c r="I1720" s="25" t="str">
        <f>IF(表1[[#This Row],[Tgl NPBG]]&gt;表1[[#This Row],[Peminta]],表1[[#This Row],[Tgl NPBG]]-表1[[#This Row],[Peminta]],"")</f>
        <v/>
      </c>
      <c r="J1720" s="31"/>
    </row>
    <row r="1721" s="12" customFormat="1" customHeight="1" spans="2:10">
      <c r="B1721" s="25"/>
      <c r="C1721" s="25"/>
      <c r="D1721" s="26" t="str" cm="1">
        <f t="array" ref="D1721">IF(C1721="","",IFERROR(INDEX(STPP!$D$6:$D$4207,MATCH(C1721,STPP!$C$6:$C$4207,0)),"Not Found"))</f>
        <v/>
      </c>
      <c r="E1721" s="27" t="str" cm="1">
        <f t="array" ref="E1721">IF(C1721="","",IFERROR(INDEX(STPP!$E$6:$E$4207,MATCH(C1721,STPP!$C$6:$C$4207,0)),"Not Found"))</f>
        <v/>
      </c>
      <c r="F1721" s="27" t="str" cm="1">
        <f t="array" ref="F1721">IF(C1721="","",IFERROR(INDEX(STPP!$F$6:$F$4207,MATCH(C1721,STPP!$C$6:$C$4207,0)),"Not Found"))</f>
        <v/>
      </c>
      <c r="G1721" s="25" t="str">
        <f>IF(表1[[#This Row],[No Seri]]="","",表1[[#This Row],[Deskripsi Barang]]+表1[[#This Row],[Kuantitas]]-表1[[#This Row],[Satuan]])</f>
        <v/>
      </c>
      <c r="H1721" s="28"/>
      <c r="I1721" s="25" t="str">
        <f>IF(表1[[#This Row],[Tgl NPBG]]&gt;表1[[#This Row],[Peminta]],表1[[#This Row],[Tgl NPBG]]-表1[[#This Row],[Peminta]],"")</f>
        <v/>
      </c>
      <c r="J1721" s="31"/>
    </row>
    <row r="1722" s="12" customFormat="1" customHeight="1" spans="2:10">
      <c r="B1722" s="25"/>
      <c r="C1722" s="25"/>
      <c r="D1722" s="26" t="str" cm="1">
        <f t="array" ref="D1722">IF(C1722="","",IFERROR(INDEX(STPP!$D$6:$D$4207,MATCH(C1722,STPP!$C$6:$C$4207,0)),"Not Found"))</f>
        <v/>
      </c>
      <c r="E1722" s="27" t="str" cm="1">
        <f t="array" ref="E1722">IF(C1722="","",IFERROR(INDEX(STPP!$E$6:$E$4207,MATCH(C1722,STPP!$C$6:$C$4207,0)),"Not Found"))</f>
        <v/>
      </c>
      <c r="F1722" s="27" t="str" cm="1">
        <f t="array" ref="F1722">IF(C1722="","",IFERROR(INDEX(STPP!$F$6:$F$4207,MATCH(C1722,STPP!$C$6:$C$4207,0)),"Not Found"))</f>
        <v/>
      </c>
      <c r="G1722" s="25" t="str">
        <f>IF(表1[[#This Row],[No Seri]]="","",表1[[#This Row],[Deskripsi Barang]]+表1[[#This Row],[Kuantitas]]-表1[[#This Row],[Satuan]])</f>
        <v/>
      </c>
      <c r="H1722" s="28"/>
      <c r="I1722" s="25" t="str">
        <f>IF(表1[[#This Row],[Tgl NPBG]]&gt;表1[[#This Row],[Peminta]],表1[[#This Row],[Tgl NPBG]]-表1[[#This Row],[Peminta]],"")</f>
        <v/>
      </c>
      <c r="J1722" s="31"/>
    </row>
    <row r="1723" s="12" customFormat="1" customHeight="1" spans="2:10">
      <c r="B1723" s="25"/>
      <c r="C1723" s="25"/>
      <c r="D1723" s="26" t="str" cm="1">
        <f t="array" ref="D1723">IF(C1723="","",IFERROR(INDEX(STPP!$D$6:$D$4207,MATCH(C1723,STPP!$C$6:$C$4207,0)),"Not Found"))</f>
        <v/>
      </c>
      <c r="E1723" s="27" t="str" cm="1">
        <f t="array" ref="E1723">IF(C1723="","",IFERROR(INDEX(STPP!$E$6:$E$4207,MATCH(C1723,STPP!$C$6:$C$4207,0)),"Not Found"))</f>
        <v/>
      </c>
      <c r="F1723" s="27" t="str" cm="1">
        <f t="array" ref="F1723">IF(C1723="","",IFERROR(INDEX(STPP!$F$6:$F$4207,MATCH(C1723,STPP!$C$6:$C$4207,0)),"Not Found"))</f>
        <v/>
      </c>
      <c r="G1723" s="25" t="str">
        <f>IF(表1[[#This Row],[No Seri]]="","",表1[[#This Row],[Deskripsi Barang]]+表1[[#This Row],[Kuantitas]]-表1[[#This Row],[Satuan]])</f>
        <v/>
      </c>
      <c r="H1723" s="28"/>
      <c r="I1723" s="25" t="str">
        <f>IF(表1[[#This Row],[Tgl NPBG]]&gt;表1[[#This Row],[Peminta]],表1[[#This Row],[Tgl NPBG]]-表1[[#This Row],[Peminta]],"")</f>
        <v/>
      </c>
      <c r="J1723" s="31"/>
    </row>
    <row r="1724" s="12" customFormat="1" customHeight="1" spans="2:10">
      <c r="B1724" s="25"/>
      <c r="C1724" s="25"/>
      <c r="D1724" s="26" t="str" cm="1">
        <f t="array" ref="D1724">IF(C1724="","",IFERROR(INDEX(STPP!$D$6:$D$4207,MATCH(C1724,STPP!$C$6:$C$4207,0)),"Not Found"))</f>
        <v/>
      </c>
      <c r="E1724" s="27" t="str" cm="1">
        <f t="array" ref="E1724">IF(C1724="","",IFERROR(INDEX(STPP!$E$6:$E$4207,MATCH(C1724,STPP!$C$6:$C$4207,0)),"Not Found"))</f>
        <v/>
      </c>
      <c r="F1724" s="27" t="str" cm="1">
        <f t="array" ref="F1724">IF(C1724="","",IFERROR(INDEX(STPP!$F$6:$F$4207,MATCH(C1724,STPP!$C$6:$C$4207,0)),"Not Found"))</f>
        <v/>
      </c>
      <c r="G1724" s="25" t="str">
        <f>IF(表1[[#This Row],[No Seri]]="","",表1[[#This Row],[Deskripsi Barang]]+表1[[#This Row],[Kuantitas]]-表1[[#This Row],[Satuan]])</f>
        <v/>
      </c>
      <c r="H1724" s="28"/>
      <c r="I1724" s="25" t="str">
        <f>IF(表1[[#This Row],[Tgl NPBG]]&gt;表1[[#This Row],[Peminta]],表1[[#This Row],[Tgl NPBG]]-表1[[#This Row],[Peminta]],"")</f>
        <v/>
      </c>
      <c r="J1724" s="31"/>
    </row>
    <row r="1725" s="12" customFormat="1" customHeight="1" spans="2:10">
      <c r="B1725" s="25"/>
      <c r="C1725" s="25"/>
      <c r="D1725" s="26" t="str" cm="1">
        <f t="array" ref="D1725">IF(C1725="","",IFERROR(INDEX(STPP!$D$6:$D$4207,MATCH(C1725,STPP!$C$6:$C$4207,0)),"Not Found"))</f>
        <v/>
      </c>
      <c r="E1725" s="27" t="str" cm="1">
        <f t="array" ref="E1725">IF(C1725="","",IFERROR(INDEX(STPP!$E$6:$E$4207,MATCH(C1725,STPP!$C$6:$C$4207,0)),"Not Found"))</f>
        <v/>
      </c>
      <c r="F1725" s="27" t="str" cm="1">
        <f t="array" ref="F1725">IF(C1725="","",IFERROR(INDEX(STPP!$F$6:$F$4207,MATCH(C1725,STPP!$C$6:$C$4207,0)),"Not Found"))</f>
        <v/>
      </c>
      <c r="G1725" s="25" t="str">
        <f>IF(表1[[#This Row],[No Seri]]="","",表1[[#This Row],[Deskripsi Barang]]+表1[[#This Row],[Kuantitas]]-表1[[#This Row],[Satuan]])</f>
        <v/>
      </c>
      <c r="H1725" s="28"/>
      <c r="I1725" s="25" t="str">
        <f>IF(表1[[#This Row],[Tgl NPBG]]&gt;表1[[#This Row],[Peminta]],表1[[#This Row],[Tgl NPBG]]-表1[[#This Row],[Peminta]],"")</f>
        <v/>
      </c>
      <c r="J1725" s="31"/>
    </row>
    <row r="1726" s="12" customFormat="1" customHeight="1" spans="2:10">
      <c r="B1726" s="25"/>
      <c r="C1726" s="25"/>
      <c r="D1726" s="26" t="str" cm="1">
        <f t="array" ref="D1726">IF(C1726="","",IFERROR(INDEX(STPP!$D$6:$D$4207,MATCH(C1726,STPP!$C$6:$C$4207,0)),"Not Found"))</f>
        <v/>
      </c>
      <c r="E1726" s="27" t="str" cm="1">
        <f t="array" ref="E1726">IF(C1726="","",IFERROR(INDEX(STPP!$E$6:$E$4207,MATCH(C1726,STPP!$C$6:$C$4207,0)),"Not Found"))</f>
        <v/>
      </c>
      <c r="F1726" s="27" t="str" cm="1">
        <f t="array" ref="F1726">IF(C1726="","",IFERROR(INDEX(STPP!$F$6:$F$4207,MATCH(C1726,STPP!$C$6:$C$4207,0)),"Not Found"))</f>
        <v/>
      </c>
      <c r="G1726" s="25" t="str">
        <f>IF(表1[[#This Row],[No Seri]]="","",表1[[#This Row],[Deskripsi Barang]]+表1[[#This Row],[Kuantitas]]-表1[[#This Row],[Satuan]])</f>
        <v/>
      </c>
      <c r="H1726" s="28"/>
      <c r="I1726" s="25" t="str">
        <f>IF(表1[[#This Row],[Tgl NPBG]]&gt;表1[[#This Row],[Peminta]],表1[[#This Row],[Tgl NPBG]]-表1[[#This Row],[Peminta]],"")</f>
        <v/>
      </c>
      <c r="J1726" s="31"/>
    </row>
    <row r="1727" s="12" customFormat="1" customHeight="1" spans="2:10">
      <c r="B1727" s="25"/>
      <c r="C1727" s="25"/>
      <c r="D1727" s="26" t="str" cm="1">
        <f t="array" ref="D1727">IF(C1727="","",IFERROR(INDEX(STPP!$D$6:$D$4207,MATCH(C1727,STPP!$C$6:$C$4207,0)),"Not Found"))</f>
        <v/>
      </c>
      <c r="E1727" s="27" t="str" cm="1">
        <f t="array" ref="E1727">IF(C1727="","",IFERROR(INDEX(STPP!$E$6:$E$4207,MATCH(C1727,STPP!$C$6:$C$4207,0)),"Not Found"))</f>
        <v/>
      </c>
      <c r="F1727" s="27" t="str" cm="1">
        <f t="array" ref="F1727">IF(C1727="","",IFERROR(INDEX(STPP!$F$6:$F$4207,MATCH(C1727,STPP!$C$6:$C$4207,0)),"Not Found"))</f>
        <v/>
      </c>
      <c r="G1727" s="25" t="str">
        <f>IF(表1[[#This Row],[No Seri]]="","",表1[[#This Row],[Deskripsi Barang]]+表1[[#This Row],[Kuantitas]]-表1[[#This Row],[Satuan]])</f>
        <v/>
      </c>
      <c r="H1727" s="28"/>
      <c r="I1727" s="25" t="str">
        <f>IF(表1[[#This Row],[Tgl NPBG]]&gt;表1[[#This Row],[Peminta]],表1[[#This Row],[Tgl NPBG]]-表1[[#This Row],[Peminta]],"")</f>
        <v/>
      </c>
      <c r="J1727" s="31"/>
    </row>
    <row r="1728" s="12" customFormat="1" customHeight="1" spans="2:10">
      <c r="B1728" s="25"/>
      <c r="C1728" s="25"/>
      <c r="D1728" s="26" t="str" cm="1">
        <f t="array" ref="D1728">IF(C1728="","",IFERROR(INDEX(STPP!$D$6:$D$4207,MATCH(C1728,STPP!$C$6:$C$4207,0)),"Not Found"))</f>
        <v/>
      </c>
      <c r="E1728" s="27" t="str" cm="1">
        <f t="array" ref="E1728">IF(C1728="","",IFERROR(INDEX(STPP!$E$6:$E$4207,MATCH(C1728,STPP!$C$6:$C$4207,0)),"Not Found"))</f>
        <v/>
      </c>
      <c r="F1728" s="27" t="str" cm="1">
        <f t="array" ref="F1728">IF(C1728="","",IFERROR(INDEX(STPP!$F$6:$F$4207,MATCH(C1728,STPP!$C$6:$C$4207,0)),"Not Found"))</f>
        <v/>
      </c>
      <c r="G1728" s="25" t="str">
        <f>IF(表1[[#This Row],[No Seri]]="","",表1[[#This Row],[Deskripsi Barang]]+表1[[#This Row],[Kuantitas]]-表1[[#This Row],[Satuan]])</f>
        <v/>
      </c>
      <c r="H1728" s="28"/>
      <c r="I1728" s="25" t="str">
        <f>IF(表1[[#This Row],[Tgl NPBG]]&gt;表1[[#This Row],[Peminta]],表1[[#This Row],[Tgl NPBG]]-表1[[#This Row],[Peminta]],"")</f>
        <v/>
      </c>
      <c r="J1728" s="31"/>
    </row>
    <row r="1729" s="12" customFormat="1" customHeight="1" spans="2:10">
      <c r="B1729" s="25"/>
      <c r="C1729" s="25"/>
      <c r="D1729" s="26" t="str" cm="1">
        <f t="array" ref="D1729">IF(C1729="","",IFERROR(INDEX(STPP!$D$6:$D$4207,MATCH(C1729,STPP!$C$6:$C$4207,0)),"Not Found"))</f>
        <v/>
      </c>
      <c r="E1729" s="27" t="str" cm="1">
        <f t="array" ref="E1729">IF(C1729="","",IFERROR(INDEX(STPP!$E$6:$E$4207,MATCH(C1729,STPP!$C$6:$C$4207,0)),"Not Found"))</f>
        <v/>
      </c>
      <c r="F1729" s="27" t="str" cm="1">
        <f t="array" ref="F1729">IF(C1729="","",IFERROR(INDEX(STPP!$F$6:$F$4207,MATCH(C1729,STPP!$C$6:$C$4207,0)),"Not Found"))</f>
        <v/>
      </c>
      <c r="G1729" s="25" t="str">
        <f>IF(表1[[#This Row],[No Seri]]="","",表1[[#This Row],[Deskripsi Barang]]+表1[[#This Row],[Kuantitas]]-表1[[#This Row],[Satuan]])</f>
        <v/>
      </c>
      <c r="H1729" s="28"/>
      <c r="I1729" s="25" t="str">
        <f>IF(表1[[#This Row],[Tgl NPBG]]&gt;表1[[#This Row],[Peminta]],表1[[#This Row],[Tgl NPBG]]-表1[[#This Row],[Peminta]],"")</f>
        <v/>
      </c>
      <c r="J1729" s="31"/>
    </row>
    <row r="1730" s="12" customFormat="1" customHeight="1" spans="2:10">
      <c r="B1730" s="25"/>
      <c r="C1730" s="25"/>
      <c r="D1730" s="26" t="str" cm="1">
        <f t="array" ref="D1730">IF(C1730="","",IFERROR(INDEX(STPP!$D$6:$D$4207,MATCH(C1730,STPP!$C$6:$C$4207,0)),"Not Found"))</f>
        <v/>
      </c>
      <c r="E1730" s="27" t="str" cm="1">
        <f t="array" ref="E1730">IF(C1730="","",IFERROR(INDEX(STPP!$E$6:$E$4207,MATCH(C1730,STPP!$C$6:$C$4207,0)),"Not Found"))</f>
        <v/>
      </c>
      <c r="F1730" s="27" t="str" cm="1">
        <f t="array" ref="F1730">IF(C1730="","",IFERROR(INDEX(STPP!$F$6:$F$4207,MATCH(C1730,STPP!$C$6:$C$4207,0)),"Not Found"))</f>
        <v/>
      </c>
      <c r="G1730" s="25" t="str">
        <f>IF(表1[[#This Row],[No Seri]]="","",表1[[#This Row],[Deskripsi Barang]]+表1[[#This Row],[Kuantitas]]-表1[[#This Row],[Satuan]])</f>
        <v/>
      </c>
      <c r="H1730" s="28"/>
      <c r="I1730" s="25" t="str">
        <f>IF(表1[[#This Row],[Tgl NPBG]]&gt;表1[[#This Row],[Peminta]],表1[[#This Row],[Tgl NPBG]]-表1[[#This Row],[Peminta]],"")</f>
        <v/>
      </c>
      <c r="J1730" s="31"/>
    </row>
    <row r="1731" s="12" customFormat="1" customHeight="1" spans="2:10">
      <c r="B1731" s="25"/>
      <c r="C1731" s="25"/>
      <c r="D1731" s="26" t="str" cm="1">
        <f t="array" ref="D1731">IF(C1731="","",IFERROR(INDEX(STPP!$D$6:$D$4207,MATCH(C1731,STPP!$C$6:$C$4207,0)),"Not Found"))</f>
        <v/>
      </c>
      <c r="E1731" s="27" t="str" cm="1">
        <f t="array" ref="E1731">IF(C1731="","",IFERROR(INDEX(STPP!$E$6:$E$4207,MATCH(C1731,STPP!$C$6:$C$4207,0)),"Not Found"))</f>
        <v/>
      </c>
      <c r="F1731" s="27" t="str" cm="1">
        <f t="array" ref="F1731">IF(C1731="","",IFERROR(INDEX(STPP!$F$6:$F$4207,MATCH(C1731,STPP!$C$6:$C$4207,0)),"Not Found"))</f>
        <v/>
      </c>
      <c r="G1731" s="25" t="str">
        <f>IF(表1[[#This Row],[No Seri]]="","",表1[[#This Row],[Deskripsi Barang]]+表1[[#This Row],[Kuantitas]]-表1[[#This Row],[Satuan]])</f>
        <v/>
      </c>
      <c r="H1731" s="28"/>
      <c r="I1731" s="25" t="str">
        <f>IF(表1[[#This Row],[Tgl NPBG]]&gt;表1[[#This Row],[Peminta]],表1[[#This Row],[Tgl NPBG]]-表1[[#This Row],[Peminta]],"")</f>
        <v/>
      </c>
      <c r="J1731" s="31"/>
    </row>
    <row r="1732" s="12" customFormat="1" customHeight="1" spans="2:10">
      <c r="B1732" s="25"/>
      <c r="C1732" s="25"/>
      <c r="D1732" s="26" t="str" cm="1">
        <f t="array" ref="D1732">IF(C1732="","",IFERROR(INDEX(STPP!$D$6:$D$4207,MATCH(C1732,STPP!$C$6:$C$4207,0)),"Not Found"))</f>
        <v/>
      </c>
      <c r="E1732" s="27" t="str" cm="1">
        <f t="array" ref="E1732">IF(C1732="","",IFERROR(INDEX(STPP!$E$6:$E$4207,MATCH(C1732,STPP!$C$6:$C$4207,0)),"Not Found"))</f>
        <v/>
      </c>
      <c r="F1732" s="27" t="str" cm="1">
        <f t="array" ref="F1732">IF(C1732="","",IFERROR(INDEX(STPP!$F$6:$F$4207,MATCH(C1732,STPP!$C$6:$C$4207,0)),"Not Found"))</f>
        <v/>
      </c>
      <c r="G1732" s="25" t="str">
        <f>IF(表1[[#This Row],[No Seri]]="","",表1[[#This Row],[Deskripsi Barang]]+表1[[#This Row],[Kuantitas]]-表1[[#This Row],[Satuan]])</f>
        <v/>
      </c>
      <c r="H1732" s="28"/>
      <c r="I1732" s="25" t="str">
        <f>IF(表1[[#This Row],[Tgl NPBG]]&gt;表1[[#This Row],[Peminta]],表1[[#This Row],[Tgl NPBG]]-表1[[#This Row],[Peminta]],"")</f>
        <v/>
      </c>
      <c r="J1732" s="31"/>
    </row>
    <row r="1733" s="12" customFormat="1" customHeight="1" spans="2:10">
      <c r="B1733" s="25"/>
      <c r="C1733" s="25"/>
      <c r="D1733" s="26" t="str" cm="1">
        <f t="array" ref="D1733">IF(C1733="","",IFERROR(INDEX(STPP!$D$6:$D$4207,MATCH(C1733,STPP!$C$6:$C$4207,0)),"Not Found"))</f>
        <v/>
      </c>
      <c r="E1733" s="27" t="str" cm="1">
        <f t="array" ref="E1733">IF(C1733="","",IFERROR(INDEX(STPP!$E$6:$E$4207,MATCH(C1733,STPP!$C$6:$C$4207,0)),"Not Found"))</f>
        <v/>
      </c>
      <c r="F1733" s="27" t="str" cm="1">
        <f t="array" ref="F1733">IF(C1733="","",IFERROR(INDEX(STPP!$F$6:$F$4207,MATCH(C1733,STPP!$C$6:$C$4207,0)),"Not Found"))</f>
        <v/>
      </c>
      <c r="G1733" s="25" t="str">
        <f>IF(表1[[#This Row],[No Seri]]="","",表1[[#This Row],[Deskripsi Barang]]+表1[[#This Row],[Kuantitas]]-表1[[#This Row],[Satuan]])</f>
        <v/>
      </c>
      <c r="H1733" s="28"/>
      <c r="I1733" s="25" t="str">
        <f>IF(表1[[#This Row],[Tgl NPBG]]&gt;表1[[#This Row],[Peminta]],表1[[#This Row],[Tgl NPBG]]-表1[[#This Row],[Peminta]],"")</f>
        <v/>
      </c>
      <c r="J1733" s="31"/>
    </row>
    <row r="1734" s="12" customFormat="1" customHeight="1" spans="2:10">
      <c r="B1734" s="25"/>
      <c r="C1734" s="25"/>
      <c r="D1734" s="26" t="str" cm="1">
        <f t="array" ref="D1734">IF(C1734="","",IFERROR(INDEX(STPP!$D$6:$D$4207,MATCH(C1734,STPP!$C$6:$C$4207,0)),"Not Found"))</f>
        <v/>
      </c>
      <c r="E1734" s="27" t="str" cm="1">
        <f t="array" ref="E1734">IF(C1734="","",IFERROR(INDEX(STPP!$E$6:$E$4207,MATCH(C1734,STPP!$C$6:$C$4207,0)),"Not Found"))</f>
        <v/>
      </c>
      <c r="F1734" s="27" t="str" cm="1">
        <f t="array" ref="F1734">IF(C1734="","",IFERROR(INDEX(STPP!$F$6:$F$4207,MATCH(C1734,STPP!$C$6:$C$4207,0)),"Not Found"))</f>
        <v/>
      </c>
      <c r="G1734" s="25" t="str">
        <f>IF(表1[[#This Row],[No Seri]]="","",表1[[#This Row],[Deskripsi Barang]]+表1[[#This Row],[Kuantitas]]-表1[[#This Row],[Satuan]])</f>
        <v/>
      </c>
      <c r="H1734" s="28"/>
      <c r="I1734" s="25" t="str">
        <f>IF(表1[[#This Row],[Tgl NPBG]]&gt;表1[[#This Row],[Peminta]],表1[[#This Row],[Tgl NPBG]]-表1[[#This Row],[Peminta]],"")</f>
        <v/>
      </c>
      <c r="J1734" s="31"/>
    </row>
    <row r="1735" s="12" customFormat="1" customHeight="1" spans="2:10">
      <c r="B1735" s="25"/>
      <c r="C1735" s="25"/>
      <c r="D1735" s="26" t="str" cm="1">
        <f t="array" ref="D1735">IF(C1735="","",IFERROR(INDEX(STPP!$D$6:$D$4207,MATCH(C1735,STPP!$C$6:$C$4207,0)),"Not Found"))</f>
        <v/>
      </c>
      <c r="E1735" s="27" t="str" cm="1">
        <f t="array" ref="E1735">IF(C1735="","",IFERROR(INDEX(STPP!$E$6:$E$4207,MATCH(C1735,STPP!$C$6:$C$4207,0)),"Not Found"))</f>
        <v/>
      </c>
      <c r="F1735" s="27" t="str" cm="1">
        <f t="array" ref="F1735">IF(C1735="","",IFERROR(INDEX(STPP!$F$6:$F$4207,MATCH(C1735,STPP!$C$6:$C$4207,0)),"Not Found"))</f>
        <v/>
      </c>
      <c r="G1735" s="25" t="str">
        <f>IF(表1[[#This Row],[No Seri]]="","",表1[[#This Row],[Deskripsi Barang]]+表1[[#This Row],[Kuantitas]]-表1[[#This Row],[Satuan]])</f>
        <v/>
      </c>
      <c r="H1735" s="28"/>
      <c r="I1735" s="25" t="str">
        <f>IF(表1[[#This Row],[Tgl NPBG]]&gt;表1[[#This Row],[Peminta]],表1[[#This Row],[Tgl NPBG]]-表1[[#This Row],[Peminta]],"")</f>
        <v/>
      </c>
      <c r="J1735" s="31"/>
    </row>
    <row r="1736" s="12" customFormat="1" customHeight="1" spans="2:10">
      <c r="B1736" s="25"/>
      <c r="C1736" s="25"/>
      <c r="D1736" s="26" t="str" cm="1">
        <f t="array" ref="D1736">IF(C1736="","",IFERROR(INDEX(STPP!$D$6:$D$4207,MATCH(C1736,STPP!$C$6:$C$4207,0)),"Not Found"))</f>
        <v/>
      </c>
      <c r="E1736" s="27" t="str" cm="1">
        <f t="array" ref="E1736">IF(C1736="","",IFERROR(INDEX(STPP!$E$6:$E$4207,MATCH(C1736,STPP!$C$6:$C$4207,0)),"Not Found"))</f>
        <v/>
      </c>
      <c r="F1736" s="27" t="str" cm="1">
        <f t="array" ref="F1736">IF(C1736="","",IFERROR(INDEX(STPP!$F$6:$F$4207,MATCH(C1736,STPP!$C$6:$C$4207,0)),"Not Found"))</f>
        <v/>
      </c>
      <c r="G1736" s="25" t="str">
        <f>IF(表1[[#This Row],[No Seri]]="","",表1[[#This Row],[Deskripsi Barang]]+表1[[#This Row],[Kuantitas]]-表1[[#This Row],[Satuan]])</f>
        <v/>
      </c>
      <c r="H1736" s="28"/>
      <c r="I1736" s="25" t="str">
        <f>IF(表1[[#This Row],[Tgl NPBG]]&gt;表1[[#This Row],[Peminta]],表1[[#This Row],[Tgl NPBG]]-表1[[#This Row],[Peminta]],"")</f>
        <v/>
      </c>
      <c r="J1736" s="31"/>
    </row>
    <row r="1737" s="12" customFormat="1" customHeight="1" spans="2:10">
      <c r="B1737" s="25"/>
      <c r="C1737" s="25"/>
      <c r="D1737" s="26" t="str" cm="1">
        <f t="array" ref="D1737">IF(C1737="","",IFERROR(INDEX(STPP!$D$6:$D$4207,MATCH(C1737,STPP!$C$6:$C$4207,0)),"Not Found"))</f>
        <v/>
      </c>
      <c r="E1737" s="27" t="str" cm="1">
        <f t="array" ref="E1737">IF(C1737="","",IFERROR(INDEX(STPP!$E$6:$E$4207,MATCH(C1737,STPP!$C$6:$C$4207,0)),"Not Found"))</f>
        <v/>
      </c>
      <c r="F1737" s="27" t="str" cm="1">
        <f t="array" ref="F1737">IF(C1737="","",IFERROR(INDEX(STPP!$F$6:$F$4207,MATCH(C1737,STPP!$C$6:$C$4207,0)),"Not Found"))</f>
        <v/>
      </c>
      <c r="G1737" s="25" t="str">
        <f>IF(表1[[#This Row],[No Seri]]="","",表1[[#This Row],[Deskripsi Barang]]+表1[[#This Row],[Kuantitas]]-表1[[#This Row],[Satuan]])</f>
        <v/>
      </c>
      <c r="H1737" s="28"/>
      <c r="I1737" s="25" t="str">
        <f>IF(表1[[#This Row],[Tgl NPBG]]&gt;表1[[#This Row],[Peminta]],表1[[#This Row],[Tgl NPBG]]-表1[[#This Row],[Peminta]],"")</f>
        <v/>
      </c>
      <c r="J1737" s="31"/>
    </row>
    <row r="1738" s="12" customFormat="1" customHeight="1" spans="2:10">
      <c r="B1738" s="25"/>
      <c r="C1738" s="25"/>
      <c r="D1738" s="26" t="str" cm="1">
        <f t="array" ref="D1738">IF(C1738="","",IFERROR(INDEX(STPP!$D$6:$D$4207,MATCH(C1738,STPP!$C$6:$C$4207,0)),"Not Found"))</f>
        <v/>
      </c>
      <c r="E1738" s="27" t="str" cm="1">
        <f t="array" ref="E1738">IF(C1738="","",IFERROR(INDEX(STPP!$E$6:$E$4207,MATCH(C1738,STPP!$C$6:$C$4207,0)),"Not Found"))</f>
        <v/>
      </c>
      <c r="F1738" s="27" t="str" cm="1">
        <f t="array" ref="F1738">IF(C1738="","",IFERROR(INDEX(STPP!$F$6:$F$4207,MATCH(C1738,STPP!$C$6:$C$4207,0)),"Not Found"))</f>
        <v/>
      </c>
      <c r="G1738" s="25" t="str">
        <f>IF(表1[[#This Row],[No Seri]]="","",表1[[#This Row],[Deskripsi Barang]]+表1[[#This Row],[Kuantitas]]-表1[[#This Row],[Satuan]])</f>
        <v/>
      </c>
      <c r="H1738" s="28"/>
      <c r="I1738" s="25" t="str">
        <f>IF(表1[[#This Row],[Tgl NPBG]]&gt;表1[[#This Row],[Peminta]],表1[[#This Row],[Tgl NPBG]]-表1[[#This Row],[Peminta]],"")</f>
        <v/>
      </c>
      <c r="J1738" s="31"/>
    </row>
    <row r="1739" s="12" customFormat="1" customHeight="1" spans="2:10">
      <c r="B1739" s="25"/>
      <c r="C1739" s="25"/>
      <c r="D1739" s="26" t="str" cm="1">
        <f t="array" ref="D1739">IF(C1739="","",IFERROR(INDEX(STPP!$D$6:$D$4207,MATCH(C1739,STPP!$C$6:$C$4207,0)),"Not Found"))</f>
        <v/>
      </c>
      <c r="E1739" s="27" t="str" cm="1">
        <f t="array" ref="E1739">IF(C1739="","",IFERROR(INDEX(STPP!$E$6:$E$4207,MATCH(C1739,STPP!$C$6:$C$4207,0)),"Not Found"))</f>
        <v/>
      </c>
      <c r="F1739" s="27" t="str" cm="1">
        <f t="array" ref="F1739">IF(C1739="","",IFERROR(INDEX(STPP!$F$6:$F$4207,MATCH(C1739,STPP!$C$6:$C$4207,0)),"Not Found"))</f>
        <v/>
      </c>
      <c r="G1739" s="25" t="str">
        <f>IF(表1[[#This Row],[No Seri]]="","",表1[[#This Row],[Deskripsi Barang]]+表1[[#This Row],[Kuantitas]]-表1[[#This Row],[Satuan]])</f>
        <v/>
      </c>
      <c r="H1739" s="28"/>
      <c r="I1739" s="25" t="str">
        <f>IF(表1[[#This Row],[Tgl NPBG]]&gt;表1[[#This Row],[Peminta]],表1[[#This Row],[Tgl NPBG]]-表1[[#This Row],[Peminta]],"")</f>
        <v/>
      </c>
      <c r="J1739" s="31"/>
    </row>
    <row r="1740" s="12" customFormat="1" customHeight="1" spans="2:10">
      <c r="B1740" s="25"/>
      <c r="C1740" s="25"/>
      <c r="D1740" s="26" t="str" cm="1">
        <f t="array" ref="D1740">IF(C1740="","",IFERROR(INDEX(STPP!$D$6:$D$4207,MATCH(C1740,STPP!$C$6:$C$4207,0)),"Not Found"))</f>
        <v/>
      </c>
      <c r="E1740" s="27" t="str" cm="1">
        <f t="array" ref="E1740">IF(C1740="","",IFERROR(INDEX(STPP!$E$6:$E$4207,MATCH(C1740,STPP!$C$6:$C$4207,0)),"Not Found"))</f>
        <v/>
      </c>
      <c r="F1740" s="27" t="str" cm="1">
        <f t="array" ref="F1740">IF(C1740="","",IFERROR(INDEX(STPP!$F$6:$F$4207,MATCH(C1740,STPP!$C$6:$C$4207,0)),"Not Found"))</f>
        <v/>
      </c>
      <c r="G1740" s="25" t="str">
        <f>IF(表1[[#This Row],[No Seri]]="","",表1[[#This Row],[Deskripsi Barang]]+表1[[#This Row],[Kuantitas]]-表1[[#This Row],[Satuan]])</f>
        <v/>
      </c>
      <c r="H1740" s="28"/>
      <c r="I1740" s="25" t="str">
        <f>IF(表1[[#This Row],[Tgl NPBG]]&gt;表1[[#This Row],[Peminta]],表1[[#This Row],[Tgl NPBG]]-表1[[#This Row],[Peminta]],"")</f>
        <v/>
      </c>
      <c r="J1740" s="31"/>
    </row>
    <row r="1741" s="12" customFormat="1" customHeight="1" spans="2:10">
      <c r="B1741" s="25"/>
      <c r="C1741" s="25"/>
      <c r="D1741" s="26" t="str" cm="1">
        <f t="array" ref="D1741">IF(C1741="","",IFERROR(INDEX(STPP!$D$6:$D$4207,MATCH(C1741,STPP!$C$6:$C$4207,0)),"Not Found"))</f>
        <v/>
      </c>
      <c r="E1741" s="27" t="str" cm="1">
        <f t="array" ref="E1741">IF(C1741="","",IFERROR(INDEX(STPP!$E$6:$E$4207,MATCH(C1741,STPP!$C$6:$C$4207,0)),"Not Found"))</f>
        <v/>
      </c>
      <c r="F1741" s="27" t="str" cm="1">
        <f t="array" ref="F1741">IF(C1741="","",IFERROR(INDEX(STPP!$F$6:$F$4207,MATCH(C1741,STPP!$C$6:$C$4207,0)),"Not Found"))</f>
        <v/>
      </c>
      <c r="G1741" s="25" t="str">
        <f>IF(表1[[#This Row],[No Seri]]="","",表1[[#This Row],[Deskripsi Barang]]+表1[[#This Row],[Kuantitas]]-表1[[#This Row],[Satuan]])</f>
        <v/>
      </c>
      <c r="H1741" s="28"/>
      <c r="I1741" s="25" t="str">
        <f>IF(表1[[#This Row],[Tgl NPBG]]&gt;表1[[#This Row],[Peminta]],表1[[#This Row],[Tgl NPBG]]-表1[[#This Row],[Peminta]],"")</f>
        <v/>
      </c>
      <c r="J1741" s="31"/>
    </row>
    <row r="1742" s="12" customFormat="1" customHeight="1" spans="2:10">
      <c r="B1742" s="25"/>
      <c r="C1742" s="25"/>
      <c r="D1742" s="26" t="str" cm="1">
        <f t="array" ref="D1742">IF(C1742="","",IFERROR(INDEX(STPP!$D$6:$D$4207,MATCH(C1742,STPP!$C$6:$C$4207,0)),"Not Found"))</f>
        <v/>
      </c>
      <c r="E1742" s="27" t="str" cm="1">
        <f t="array" ref="E1742">IF(C1742="","",IFERROR(INDEX(STPP!$E$6:$E$4207,MATCH(C1742,STPP!$C$6:$C$4207,0)),"Not Found"))</f>
        <v/>
      </c>
      <c r="F1742" s="27" t="str" cm="1">
        <f t="array" ref="F1742">IF(C1742="","",IFERROR(INDEX(STPP!$F$6:$F$4207,MATCH(C1742,STPP!$C$6:$C$4207,0)),"Not Found"))</f>
        <v/>
      </c>
      <c r="G1742" s="25" t="str">
        <f>IF(表1[[#This Row],[No Seri]]="","",表1[[#This Row],[Deskripsi Barang]]+表1[[#This Row],[Kuantitas]]-表1[[#This Row],[Satuan]])</f>
        <v/>
      </c>
      <c r="H1742" s="28"/>
      <c r="I1742" s="25" t="str">
        <f>IF(表1[[#This Row],[Tgl NPBG]]&gt;表1[[#This Row],[Peminta]],表1[[#This Row],[Tgl NPBG]]-表1[[#This Row],[Peminta]],"")</f>
        <v/>
      </c>
      <c r="J1742" s="31"/>
    </row>
    <row r="1743" s="12" customFormat="1" customHeight="1" spans="2:10">
      <c r="B1743" s="25"/>
      <c r="C1743" s="25"/>
      <c r="D1743" s="26" t="str" cm="1">
        <f t="array" ref="D1743">IF(C1743="","",IFERROR(INDEX(STPP!$D$6:$D$4207,MATCH(C1743,STPP!$C$6:$C$4207,0)),"Not Found"))</f>
        <v/>
      </c>
      <c r="E1743" s="27" t="str" cm="1">
        <f t="array" ref="E1743">IF(C1743="","",IFERROR(INDEX(STPP!$E$6:$E$4207,MATCH(C1743,STPP!$C$6:$C$4207,0)),"Not Found"))</f>
        <v/>
      </c>
      <c r="F1743" s="27" t="str" cm="1">
        <f t="array" ref="F1743">IF(C1743="","",IFERROR(INDEX(STPP!$F$6:$F$4207,MATCH(C1743,STPP!$C$6:$C$4207,0)),"Not Found"))</f>
        <v/>
      </c>
      <c r="G1743" s="25" t="str">
        <f>IF(表1[[#This Row],[No Seri]]="","",表1[[#This Row],[Deskripsi Barang]]+表1[[#This Row],[Kuantitas]]-表1[[#This Row],[Satuan]])</f>
        <v/>
      </c>
      <c r="H1743" s="28"/>
      <c r="I1743" s="25" t="str">
        <f>IF(表1[[#This Row],[Tgl NPBG]]&gt;表1[[#This Row],[Peminta]],表1[[#This Row],[Tgl NPBG]]-表1[[#This Row],[Peminta]],"")</f>
        <v/>
      </c>
      <c r="J1743" s="31"/>
    </row>
    <row r="1744" s="12" customFormat="1" customHeight="1" spans="2:10">
      <c r="B1744" s="25"/>
      <c r="C1744" s="25"/>
      <c r="D1744" s="26" t="str" cm="1">
        <f t="array" ref="D1744">IF(C1744="","",IFERROR(INDEX(STPP!$D$6:$D$4207,MATCH(C1744,STPP!$C$6:$C$4207,0)),"Not Found"))</f>
        <v/>
      </c>
      <c r="E1744" s="27" t="str" cm="1">
        <f t="array" ref="E1744">IF(C1744="","",IFERROR(INDEX(STPP!$E$6:$E$4207,MATCH(C1744,STPP!$C$6:$C$4207,0)),"Not Found"))</f>
        <v/>
      </c>
      <c r="F1744" s="27" t="str" cm="1">
        <f t="array" ref="F1744">IF(C1744="","",IFERROR(INDEX(STPP!$F$6:$F$4207,MATCH(C1744,STPP!$C$6:$C$4207,0)),"Not Found"))</f>
        <v/>
      </c>
      <c r="G1744" s="25" t="str">
        <f>IF(表1[[#This Row],[No Seri]]="","",表1[[#This Row],[Deskripsi Barang]]+表1[[#This Row],[Kuantitas]]-表1[[#This Row],[Satuan]])</f>
        <v/>
      </c>
      <c r="H1744" s="28"/>
      <c r="I1744" s="25" t="str">
        <f>IF(表1[[#This Row],[Tgl NPBG]]&gt;表1[[#This Row],[Peminta]],表1[[#This Row],[Tgl NPBG]]-表1[[#This Row],[Peminta]],"")</f>
        <v/>
      </c>
      <c r="J1744" s="31"/>
    </row>
    <row r="1745" s="12" customFormat="1" customHeight="1" spans="2:10">
      <c r="B1745" s="25"/>
      <c r="C1745" s="25"/>
      <c r="D1745" s="26" t="str" cm="1">
        <f t="array" ref="D1745">IF(C1745="","",IFERROR(INDEX(STPP!$D$6:$D$4207,MATCH(C1745,STPP!$C$6:$C$4207,0)),"Not Found"))</f>
        <v/>
      </c>
      <c r="E1745" s="27" t="str" cm="1">
        <f t="array" ref="E1745">IF(C1745="","",IFERROR(INDEX(STPP!$E$6:$E$4207,MATCH(C1745,STPP!$C$6:$C$4207,0)),"Not Found"))</f>
        <v/>
      </c>
      <c r="F1745" s="27" t="str" cm="1">
        <f t="array" ref="F1745">IF(C1745="","",IFERROR(INDEX(STPP!$F$6:$F$4207,MATCH(C1745,STPP!$C$6:$C$4207,0)),"Not Found"))</f>
        <v/>
      </c>
      <c r="G1745" s="25" t="str">
        <f>IF(表1[[#This Row],[No Seri]]="","",表1[[#This Row],[Deskripsi Barang]]+表1[[#This Row],[Kuantitas]]-表1[[#This Row],[Satuan]])</f>
        <v/>
      </c>
      <c r="H1745" s="28"/>
      <c r="I1745" s="25" t="str">
        <f>IF(表1[[#This Row],[Tgl NPBG]]&gt;表1[[#This Row],[Peminta]],表1[[#This Row],[Tgl NPBG]]-表1[[#This Row],[Peminta]],"")</f>
        <v/>
      </c>
      <c r="J1745" s="31"/>
    </row>
    <row r="1746" s="12" customFormat="1" customHeight="1" spans="2:10">
      <c r="B1746" s="25"/>
      <c r="C1746" s="25"/>
      <c r="D1746" s="26" t="str" cm="1">
        <f t="array" ref="D1746">IF(C1746="","",IFERROR(INDEX(STPP!$D$6:$D$4207,MATCH(C1746,STPP!$C$6:$C$4207,0)),"Not Found"))</f>
        <v/>
      </c>
      <c r="E1746" s="27" t="str" cm="1">
        <f t="array" ref="E1746">IF(C1746="","",IFERROR(INDEX(STPP!$E$6:$E$4207,MATCH(C1746,STPP!$C$6:$C$4207,0)),"Not Found"))</f>
        <v/>
      </c>
      <c r="F1746" s="27" t="str" cm="1">
        <f t="array" ref="F1746">IF(C1746="","",IFERROR(INDEX(STPP!$F$6:$F$4207,MATCH(C1746,STPP!$C$6:$C$4207,0)),"Not Found"))</f>
        <v/>
      </c>
      <c r="G1746" s="25" t="str">
        <f>IF(表1[[#This Row],[No Seri]]="","",表1[[#This Row],[Deskripsi Barang]]+表1[[#This Row],[Kuantitas]]-表1[[#This Row],[Satuan]])</f>
        <v/>
      </c>
      <c r="H1746" s="28"/>
      <c r="I1746" s="25" t="str">
        <f>IF(表1[[#This Row],[Tgl NPBG]]&gt;表1[[#This Row],[Peminta]],表1[[#This Row],[Tgl NPBG]]-表1[[#This Row],[Peminta]],"")</f>
        <v/>
      </c>
      <c r="J1746" s="31"/>
    </row>
    <row r="1747" s="12" customFormat="1" customHeight="1" spans="2:10">
      <c r="B1747" s="25"/>
      <c r="C1747" s="25"/>
      <c r="D1747" s="26" t="str" cm="1">
        <f t="array" ref="D1747">IF(C1747="","",IFERROR(INDEX(STPP!$D$6:$D$4207,MATCH(C1747,STPP!$C$6:$C$4207,0)),"Not Found"))</f>
        <v/>
      </c>
      <c r="E1747" s="27" t="str" cm="1">
        <f t="array" ref="E1747">IF(C1747="","",IFERROR(INDEX(STPP!$E$6:$E$4207,MATCH(C1747,STPP!$C$6:$C$4207,0)),"Not Found"))</f>
        <v/>
      </c>
      <c r="F1747" s="27" t="str" cm="1">
        <f t="array" ref="F1747">IF(C1747="","",IFERROR(INDEX(STPP!$F$6:$F$4207,MATCH(C1747,STPP!$C$6:$C$4207,0)),"Not Found"))</f>
        <v/>
      </c>
      <c r="G1747" s="25" t="str">
        <f>IF(表1[[#This Row],[No Seri]]="","",表1[[#This Row],[Deskripsi Barang]]+表1[[#This Row],[Kuantitas]]-表1[[#This Row],[Satuan]])</f>
        <v/>
      </c>
      <c r="H1747" s="28"/>
      <c r="I1747" s="25" t="str">
        <f>IF(表1[[#This Row],[Tgl NPBG]]&gt;表1[[#This Row],[Peminta]],表1[[#This Row],[Tgl NPBG]]-表1[[#This Row],[Peminta]],"")</f>
        <v/>
      </c>
      <c r="J1747" s="31"/>
    </row>
    <row r="1748" s="12" customFormat="1" customHeight="1" spans="2:10">
      <c r="B1748" s="25"/>
      <c r="C1748" s="25"/>
      <c r="D1748" s="26" t="str" cm="1">
        <f t="array" ref="D1748">IF(C1748="","",IFERROR(INDEX(STPP!$D$6:$D$4207,MATCH(C1748,STPP!$C$6:$C$4207,0)),"Not Found"))</f>
        <v/>
      </c>
      <c r="E1748" s="27" t="str" cm="1">
        <f t="array" ref="E1748">IF(C1748="","",IFERROR(INDEX(STPP!$E$6:$E$4207,MATCH(C1748,STPP!$C$6:$C$4207,0)),"Not Found"))</f>
        <v/>
      </c>
      <c r="F1748" s="27" t="str" cm="1">
        <f t="array" ref="F1748">IF(C1748="","",IFERROR(INDEX(STPP!$F$6:$F$4207,MATCH(C1748,STPP!$C$6:$C$4207,0)),"Not Found"))</f>
        <v/>
      </c>
      <c r="G1748" s="25" t="str">
        <f>IF(表1[[#This Row],[No Seri]]="","",表1[[#This Row],[Deskripsi Barang]]+表1[[#This Row],[Kuantitas]]-表1[[#This Row],[Satuan]])</f>
        <v/>
      </c>
      <c r="H1748" s="28"/>
      <c r="I1748" s="25" t="str">
        <f>IF(表1[[#This Row],[Tgl NPBG]]&gt;表1[[#This Row],[Peminta]],表1[[#This Row],[Tgl NPBG]]-表1[[#This Row],[Peminta]],"")</f>
        <v/>
      </c>
      <c r="J1748" s="31"/>
    </row>
    <row r="1749" s="12" customFormat="1" customHeight="1" spans="2:10">
      <c r="B1749" s="25"/>
      <c r="C1749" s="25"/>
      <c r="D1749" s="26" t="str" cm="1">
        <f t="array" ref="D1749">IF(C1749="","",IFERROR(INDEX(STPP!$D$6:$D$4207,MATCH(C1749,STPP!$C$6:$C$4207,0)),"Not Found"))</f>
        <v/>
      </c>
      <c r="E1749" s="27" t="str" cm="1">
        <f t="array" ref="E1749">IF(C1749="","",IFERROR(INDEX(STPP!$E$6:$E$4207,MATCH(C1749,STPP!$C$6:$C$4207,0)),"Not Found"))</f>
        <v/>
      </c>
      <c r="F1749" s="27" t="str" cm="1">
        <f t="array" ref="F1749">IF(C1749="","",IFERROR(INDEX(STPP!$F$6:$F$4207,MATCH(C1749,STPP!$C$6:$C$4207,0)),"Not Found"))</f>
        <v/>
      </c>
      <c r="G1749" s="25" t="str">
        <f>IF(表1[[#This Row],[No Seri]]="","",表1[[#This Row],[Deskripsi Barang]]+表1[[#This Row],[Kuantitas]]-表1[[#This Row],[Satuan]])</f>
        <v/>
      </c>
      <c r="H1749" s="28"/>
      <c r="I1749" s="25" t="str">
        <f>IF(表1[[#This Row],[Tgl NPBG]]&gt;表1[[#This Row],[Peminta]],表1[[#This Row],[Tgl NPBG]]-表1[[#This Row],[Peminta]],"")</f>
        <v/>
      </c>
      <c r="J1749" s="31"/>
    </row>
    <row r="1750" s="12" customFormat="1" customHeight="1" spans="2:10">
      <c r="B1750" s="25"/>
      <c r="C1750" s="25"/>
      <c r="D1750" s="26" t="str" cm="1">
        <f t="array" ref="D1750">IF(C1750="","",IFERROR(INDEX(STPP!$D$6:$D$4207,MATCH(C1750,STPP!$C$6:$C$4207,0)),"Not Found"))</f>
        <v/>
      </c>
      <c r="E1750" s="27" t="str" cm="1">
        <f t="array" ref="E1750">IF(C1750="","",IFERROR(INDEX(STPP!$E$6:$E$4207,MATCH(C1750,STPP!$C$6:$C$4207,0)),"Not Found"))</f>
        <v/>
      </c>
      <c r="F1750" s="27" t="str" cm="1">
        <f t="array" ref="F1750">IF(C1750="","",IFERROR(INDEX(STPP!$F$6:$F$4207,MATCH(C1750,STPP!$C$6:$C$4207,0)),"Not Found"))</f>
        <v/>
      </c>
      <c r="G1750" s="25" t="str">
        <f>IF(表1[[#This Row],[No Seri]]="","",表1[[#This Row],[Deskripsi Barang]]+表1[[#This Row],[Kuantitas]]-表1[[#This Row],[Satuan]])</f>
        <v/>
      </c>
      <c r="H1750" s="28"/>
      <c r="I1750" s="25" t="str">
        <f>IF(表1[[#This Row],[Tgl NPBG]]&gt;表1[[#This Row],[Peminta]],表1[[#This Row],[Tgl NPBG]]-表1[[#This Row],[Peminta]],"")</f>
        <v/>
      </c>
      <c r="J1750" s="31"/>
    </row>
    <row r="1751" s="12" customFormat="1" customHeight="1" spans="2:10">
      <c r="B1751" s="25"/>
      <c r="C1751" s="25"/>
      <c r="D1751" s="26" t="str" cm="1">
        <f t="array" ref="D1751">IF(C1751="","",IFERROR(INDEX(STPP!$D$6:$D$4207,MATCH(C1751,STPP!$C$6:$C$4207,0)),"Not Found"))</f>
        <v/>
      </c>
      <c r="E1751" s="27" t="str" cm="1">
        <f t="array" ref="E1751">IF(C1751="","",IFERROR(INDEX(STPP!$E$6:$E$4207,MATCH(C1751,STPP!$C$6:$C$4207,0)),"Not Found"))</f>
        <v/>
      </c>
      <c r="F1751" s="27" t="str" cm="1">
        <f t="array" ref="F1751">IF(C1751="","",IFERROR(INDEX(STPP!$F$6:$F$4207,MATCH(C1751,STPP!$C$6:$C$4207,0)),"Not Found"))</f>
        <v/>
      </c>
      <c r="G1751" s="25" t="str">
        <f>IF(表1[[#This Row],[No Seri]]="","",表1[[#This Row],[Deskripsi Barang]]+表1[[#This Row],[Kuantitas]]-表1[[#This Row],[Satuan]])</f>
        <v/>
      </c>
      <c r="H1751" s="28"/>
      <c r="I1751" s="25" t="str">
        <f>IF(表1[[#This Row],[Tgl NPBG]]&gt;表1[[#This Row],[Peminta]],表1[[#This Row],[Tgl NPBG]]-表1[[#This Row],[Peminta]],"")</f>
        <v/>
      </c>
      <c r="J1751" s="31"/>
    </row>
    <row r="1752" s="12" customFormat="1" customHeight="1" spans="2:10">
      <c r="B1752" s="25"/>
      <c r="C1752" s="25"/>
      <c r="D1752" s="26" t="str" cm="1">
        <f t="array" ref="D1752">IF(C1752="","",IFERROR(INDEX(STPP!$D$6:$D$4207,MATCH(C1752,STPP!$C$6:$C$4207,0)),"Not Found"))</f>
        <v/>
      </c>
      <c r="E1752" s="27" t="str" cm="1">
        <f t="array" ref="E1752">IF(C1752="","",IFERROR(INDEX(STPP!$E$6:$E$4207,MATCH(C1752,STPP!$C$6:$C$4207,0)),"Not Found"))</f>
        <v/>
      </c>
      <c r="F1752" s="27" t="str" cm="1">
        <f t="array" ref="F1752">IF(C1752="","",IFERROR(INDEX(STPP!$F$6:$F$4207,MATCH(C1752,STPP!$C$6:$C$4207,0)),"Not Found"))</f>
        <v/>
      </c>
      <c r="G1752" s="25" t="str">
        <f>IF(表1[[#This Row],[No Seri]]="","",表1[[#This Row],[Deskripsi Barang]]+表1[[#This Row],[Kuantitas]]-表1[[#This Row],[Satuan]])</f>
        <v/>
      </c>
      <c r="H1752" s="28"/>
      <c r="I1752" s="25" t="str">
        <f>IF(表1[[#This Row],[Tgl NPBG]]&gt;表1[[#This Row],[Peminta]],表1[[#This Row],[Tgl NPBG]]-表1[[#This Row],[Peminta]],"")</f>
        <v/>
      </c>
      <c r="J1752" s="31"/>
    </row>
    <row r="1753" s="12" customFormat="1" customHeight="1" spans="2:10">
      <c r="B1753" s="25"/>
      <c r="C1753" s="25"/>
      <c r="D1753" s="26" t="str" cm="1">
        <f t="array" ref="D1753">IF(C1753="","",IFERROR(INDEX(STPP!$D$6:$D$4207,MATCH(C1753,STPP!$C$6:$C$4207,0)),"Not Found"))</f>
        <v/>
      </c>
      <c r="E1753" s="27" t="str" cm="1">
        <f t="array" ref="E1753">IF(C1753="","",IFERROR(INDEX(STPP!$E$6:$E$4207,MATCH(C1753,STPP!$C$6:$C$4207,0)),"Not Found"))</f>
        <v/>
      </c>
      <c r="F1753" s="27" t="str" cm="1">
        <f t="array" ref="F1753">IF(C1753="","",IFERROR(INDEX(STPP!$F$6:$F$4207,MATCH(C1753,STPP!$C$6:$C$4207,0)),"Not Found"))</f>
        <v/>
      </c>
      <c r="G1753" s="25" t="str">
        <f>IF(表1[[#This Row],[No Seri]]="","",表1[[#This Row],[Deskripsi Barang]]+表1[[#This Row],[Kuantitas]]-表1[[#This Row],[Satuan]])</f>
        <v/>
      </c>
      <c r="H1753" s="28"/>
      <c r="I1753" s="25" t="str">
        <f>IF(表1[[#This Row],[Tgl NPBG]]&gt;表1[[#This Row],[Peminta]],表1[[#This Row],[Tgl NPBG]]-表1[[#This Row],[Peminta]],"")</f>
        <v/>
      </c>
      <c r="J1753" s="31"/>
    </row>
    <row r="1754" s="12" customFormat="1" customHeight="1" spans="2:10">
      <c r="B1754" s="25"/>
      <c r="C1754" s="25"/>
      <c r="D1754" s="26" t="str" cm="1">
        <f t="array" ref="D1754">IF(C1754="","",IFERROR(INDEX(STPP!$D$6:$D$4207,MATCH(C1754,STPP!$C$6:$C$4207,0)),"Not Found"))</f>
        <v/>
      </c>
      <c r="E1754" s="27" t="str" cm="1">
        <f t="array" ref="E1754">IF(C1754="","",IFERROR(INDEX(STPP!$E$6:$E$4207,MATCH(C1754,STPP!$C$6:$C$4207,0)),"Not Found"))</f>
        <v/>
      </c>
      <c r="F1754" s="27" t="str" cm="1">
        <f t="array" ref="F1754">IF(C1754="","",IFERROR(INDEX(STPP!$F$6:$F$4207,MATCH(C1754,STPP!$C$6:$C$4207,0)),"Not Found"))</f>
        <v/>
      </c>
      <c r="G1754" s="25" t="str">
        <f>IF(表1[[#This Row],[No Seri]]="","",表1[[#This Row],[Deskripsi Barang]]+表1[[#This Row],[Kuantitas]]-表1[[#This Row],[Satuan]])</f>
        <v/>
      </c>
      <c r="H1754" s="28"/>
      <c r="I1754" s="25" t="str">
        <f>IF(表1[[#This Row],[Tgl NPBG]]&gt;表1[[#This Row],[Peminta]],表1[[#This Row],[Tgl NPBG]]-表1[[#This Row],[Peminta]],"")</f>
        <v/>
      </c>
      <c r="J1754" s="31"/>
    </row>
    <row r="1755" s="12" customFormat="1" customHeight="1" spans="2:10">
      <c r="B1755" s="25"/>
      <c r="C1755" s="25"/>
      <c r="D1755" s="26" t="str" cm="1">
        <f t="array" ref="D1755">IF(C1755="","",IFERROR(INDEX(STPP!$D$6:$D$4207,MATCH(C1755,STPP!$C$6:$C$4207,0)),"Not Found"))</f>
        <v/>
      </c>
      <c r="E1755" s="27" t="str" cm="1">
        <f t="array" ref="E1755">IF(C1755="","",IFERROR(INDEX(STPP!$E$6:$E$4207,MATCH(C1755,STPP!$C$6:$C$4207,0)),"Not Found"))</f>
        <v/>
      </c>
      <c r="F1755" s="27" t="str" cm="1">
        <f t="array" ref="F1755">IF(C1755="","",IFERROR(INDEX(STPP!$F$6:$F$4207,MATCH(C1755,STPP!$C$6:$C$4207,0)),"Not Found"))</f>
        <v/>
      </c>
      <c r="G1755" s="25" t="str">
        <f>IF(表1[[#This Row],[No Seri]]="","",表1[[#This Row],[Deskripsi Barang]]+表1[[#This Row],[Kuantitas]]-表1[[#This Row],[Satuan]])</f>
        <v/>
      </c>
      <c r="H1755" s="28"/>
      <c r="I1755" s="25" t="str">
        <f>IF(表1[[#This Row],[Tgl NPBG]]&gt;表1[[#This Row],[Peminta]],表1[[#This Row],[Tgl NPBG]]-表1[[#This Row],[Peminta]],"")</f>
        <v/>
      </c>
      <c r="J1755" s="31"/>
    </row>
    <row r="1756" s="12" customFormat="1" customHeight="1" spans="2:10">
      <c r="B1756" s="25"/>
      <c r="C1756" s="25"/>
      <c r="D1756" s="26" t="str" cm="1">
        <f t="array" ref="D1756">IF(C1756="","",IFERROR(INDEX(STPP!$D$6:$D$4207,MATCH(C1756,STPP!$C$6:$C$4207,0)),"Not Found"))</f>
        <v/>
      </c>
      <c r="E1756" s="27" t="str" cm="1">
        <f t="array" ref="E1756">IF(C1756="","",IFERROR(INDEX(STPP!$E$6:$E$4207,MATCH(C1756,STPP!$C$6:$C$4207,0)),"Not Found"))</f>
        <v/>
      </c>
      <c r="F1756" s="27" t="str" cm="1">
        <f t="array" ref="F1756">IF(C1756="","",IFERROR(INDEX(STPP!$F$6:$F$4207,MATCH(C1756,STPP!$C$6:$C$4207,0)),"Not Found"))</f>
        <v/>
      </c>
      <c r="G1756" s="25" t="str">
        <f>IF(表1[[#This Row],[No Seri]]="","",表1[[#This Row],[Deskripsi Barang]]+表1[[#This Row],[Kuantitas]]-表1[[#This Row],[Satuan]])</f>
        <v/>
      </c>
      <c r="H1756" s="28"/>
      <c r="I1756" s="25" t="str">
        <f>IF(表1[[#This Row],[Tgl NPBG]]&gt;表1[[#This Row],[Peminta]],表1[[#This Row],[Tgl NPBG]]-表1[[#This Row],[Peminta]],"")</f>
        <v/>
      </c>
      <c r="J1756" s="31"/>
    </row>
    <row r="1757" s="12" customFormat="1" customHeight="1" spans="2:10">
      <c r="B1757" s="25"/>
      <c r="C1757" s="25"/>
      <c r="D1757" s="26" t="str" cm="1">
        <f t="array" ref="D1757">IF(C1757="","",IFERROR(INDEX(STPP!$D$6:$D$4207,MATCH(C1757,STPP!$C$6:$C$4207,0)),"Not Found"))</f>
        <v/>
      </c>
      <c r="E1757" s="27" t="str" cm="1">
        <f t="array" ref="E1757">IF(C1757="","",IFERROR(INDEX(STPP!$E$6:$E$4207,MATCH(C1757,STPP!$C$6:$C$4207,0)),"Not Found"))</f>
        <v/>
      </c>
      <c r="F1757" s="27" t="str" cm="1">
        <f t="array" ref="F1757">IF(C1757="","",IFERROR(INDEX(STPP!$F$6:$F$4207,MATCH(C1757,STPP!$C$6:$C$4207,0)),"Not Found"))</f>
        <v/>
      </c>
      <c r="G1757" s="25" t="str">
        <f>IF(表1[[#This Row],[No Seri]]="","",表1[[#This Row],[Deskripsi Barang]]+表1[[#This Row],[Kuantitas]]-表1[[#This Row],[Satuan]])</f>
        <v/>
      </c>
      <c r="H1757" s="28"/>
      <c r="I1757" s="25" t="str">
        <f>IF(表1[[#This Row],[Tgl NPBG]]&gt;表1[[#This Row],[Peminta]],表1[[#This Row],[Tgl NPBG]]-表1[[#This Row],[Peminta]],"")</f>
        <v/>
      </c>
      <c r="J1757" s="31"/>
    </row>
    <row r="1758" s="12" customFormat="1" customHeight="1" spans="2:10">
      <c r="B1758" s="25"/>
      <c r="C1758" s="25"/>
      <c r="D1758" s="26" t="str" cm="1">
        <f t="array" ref="D1758">IF(C1758="","",IFERROR(INDEX(STPP!$D$6:$D$4207,MATCH(C1758,STPP!$C$6:$C$4207,0)),"Not Found"))</f>
        <v/>
      </c>
      <c r="E1758" s="27" t="str" cm="1">
        <f t="array" ref="E1758">IF(C1758="","",IFERROR(INDEX(STPP!$E$6:$E$4207,MATCH(C1758,STPP!$C$6:$C$4207,0)),"Not Found"))</f>
        <v/>
      </c>
      <c r="F1758" s="27" t="str" cm="1">
        <f t="array" ref="F1758">IF(C1758="","",IFERROR(INDEX(STPP!$F$6:$F$4207,MATCH(C1758,STPP!$C$6:$C$4207,0)),"Not Found"))</f>
        <v/>
      </c>
      <c r="G1758" s="25" t="str">
        <f>IF(表1[[#This Row],[No Seri]]="","",表1[[#This Row],[Deskripsi Barang]]+表1[[#This Row],[Kuantitas]]-表1[[#This Row],[Satuan]])</f>
        <v/>
      </c>
      <c r="H1758" s="28"/>
      <c r="I1758" s="25" t="str">
        <f>IF(表1[[#This Row],[Tgl NPBG]]&gt;表1[[#This Row],[Peminta]],表1[[#This Row],[Tgl NPBG]]-表1[[#This Row],[Peminta]],"")</f>
        <v/>
      </c>
      <c r="J1758" s="31"/>
    </row>
    <row r="1759" s="12" customFormat="1" customHeight="1" spans="2:10">
      <c r="B1759" s="25"/>
      <c r="C1759" s="25"/>
      <c r="D1759" s="26" t="str" cm="1">
        <f t="array" ref="D1759">IF(C1759="","",IFERROR(INDEX(STPP!$D$6:$D$4207,MATCH(C1759,STPP!$C$6:$C$4207,0)),"Not Found"))</f>
        <v/>
      </c>
      <c r="E1759" s="27" t="str" cm="1">
        <f t="array" ref="E1759">IF(C1759="","",IFERROR(INDEX(STPP!$E$6:$E$4207,MATCH(C1759,STPP!$C$6:$C$4207,0)),"Not Found"))</f>
        <v/>
      </c>
      <c r="F1759" s="27" t="str" cm="1">
        <f t="array" ref="F1759">IF(C1759="","",IFERROR(INDEX(STPP!$F$6:$F$4207,MATCH(C1759,STPP!$C$6:$C$4207,0)),"Not Found"))</f>
        <v/>
      </c>
      <c r="G1759" s="25" t="str">
        <f>IF(表1[[#This Row],[No Seri]]="","",表1[[#This Row],[Deskripsi Barang]]+表1[[#This Row],[Kuantitas]]-表1[[#This Row],[Satuan]])</f>
        <v/>
      </c>
      <c r="H1759" s="28"/>
      <c r="I1759" s="25" t="str">
        <f>IF(表1[[#This Row],[Tgl NPBG]]&gt;表1[[#This Row],[Peminta]],表1[[#This Row],[Tgl NPBG]]-表1[[#This Row],[Peminta]],"")</f>
        <v/>
      </c>
      <c r="J1759" s="31"/>
    </row>
    <row r="1760" s="12" customFormat="1" customHeight="1" spans="2:10">
      <c r="B1760" s="25"/>
      <c r="C1760" s="25"/>
      <c r="D1760" s="26" t="str" cm="1">
        <f t="array" ref="D1760">IF(C1760="","",IFERROR(INDEX(STPP!$D$6:$D$4207,MATCH(C1760,STPP!$C$6:$C$4207,0)),"Not Found"))</f>
        <v/>
      </c>
      <c r="E1760" s="27" t="str" cm="1">
        <f t="array" ref="E1760">IF(C1760="","",IFERROR(INDEX(STPP!$E$6:$E$4207,MATCH(C1760,STPP!$C$6:$C$4207,0)),"Not Found"))</f>
        <v/>
      </c>
      <c r="F1760" s="27" t="str" cm="1">
        <f t="array" ref="F1760">IF(C1760="","",IFERROR(INDEX(STPP!$F$6:$F$4207,MATCH(C1760,STPP!$C$6:$C$4207,0)),"Not Found"))</f>
        <v/>
      </c>
      <c r="G1760" s="25" t="str">
        <f>IF(表1[[#This Row],[No Seri]]="","",表1[[#This Row],[Deskripsi Barang]]+表1[[#This Row],[Kuantitas]]-表1[[#This Row],[Satuan]])</f>
        <v/>
      </c>
      <c r="H1760" s="28"/>
      <c r="I1760" s="25" t="str">
        <f>IF(表1[[#This Row],[Tgl NPBG]]&gt;表1[[#This Row],[Peminta]],表1[[#This Row],[Tgl NPBG]]-表1[[#This Row],[Peminta]],"")</f>
        <v/>
      </c>
      <c r="J1760" s="31"/>
    </row>
    <row r="1761" s="12" customFormat="1" customHeight="1" spans="2:10">
      <c r="B1761" s="25"/>
      <c r="C1761" s="25"/>
      <c r="D1761" s="26" t="str" cm="1">
        <f t="array" ref="D1761">IF(C1761="","",IFERROR(INDEX(STPP!$D$6:$D$4207,MATCH(C1761,STPP!$C$6:$C$4207,0)),"Not Found"))</f>
        <v/>
      </c>
      <c r="E1761" s="27" t="str" cm="1">
        <f t="array" ref="E1761">IF(C1761="","",IFERROR(INDEX(STPP!$E$6:$E$4207,MATCH(C1761,STPP!$C$6:$C$4207,0)),"Not Found"))</f>
        <v/>
      </c>
      <c r="F1761" s="27" t="str" cm="1">
        <f t="array" ref="F1761">IF(C1761="","",IFERROR(INDEX(STPP!$F$6:$F$4207,MATCH(C1761,STPP!$C$6:$C$4207,0)),"Not Found"))</f>
        <v/>
      </c>
      <c r="G1761" s="25" t="str">
        <f>IF(表1[[#This Row],[No Seri]]="","",表1[[#This Row],[Deskripsi Barang]]+表1[[#This Row],[Kuantitas]]-表1[[#This Row],[Satuan]])</f>
        <v/>
      </c>
      <c r="H1761" s="28"/>
      <c r="I1761" s="25" t="str">
        <f>IF(表1[[#This Row],[Tgl NPBG]]&gt;表1[[#This Row],[Peminta]],表1[[#This Row],[Tgl NPBG]]-表1[[#This Row],[Peminta]],"")</f>
        <v/>
      </c>
      <c r="J1761" s="31"/>
    </row>
    <row r="1762" s="12" customFormat="1" customHeight="1" spans="2:10">
      <c r="B1762" s="25"/>
      <c r="C1762" s="25"/>
      <c r="D1762" s="26" t="str" cm="1">
        <f t="array" ref="D1762">IF(C1762="","",IFERROR(INDEX(STPP!$D$6:$D$4207,MATCH(C1762,STPP!$C$6:$C$4207,0)),"Not Found"))</f>
        <v/>
      </c>
      <c r="E1762" s="27" t="str" cm="1">
        <f t="array" ref="E1762">IF(C1762="","",IFERROR(INDEX(STPP!$E$6:$E$4207,MATCH(C1762,STPP!$C$6:$C$4207,0)),"Not Found"))</f>
        <v/>
      </c>
      <c r="F1762" s="27" t="str" cm="1">
        <f t="array" ref="F1762">IF(C1762="","",IFERROR(INDEX(STPP!$F$6:$F$4207,MATCH(C1762,STPP!$C$6:$C$4207,0)),"Not Found"))</f>
        <v/>
      </c>
      <c r="G1762" s="25" t="str">
        <f>IF(表1[[#This Row],[No Seri]]="","",表1[[#This Row],[Deskripsi Barang]]+表1[[#This Row],[Kuantitas]]-表1[[#This Row],[Satuan]])</f>
        <v/>
      </c>
      <c r="H1762" s="28"/>
      <c r="I1762" s="25" t="str">
        <f>IF(表1[[#This Row],[Tgl NPBG]]&gt;表1[[#This Row],[Peminta]],表1[[#This Row],[Tgl NPBG]]-表1[[#This Row],[Peminta]],"")</f>
        <v/>
      </c>
      <c r="J1762" s="31"/>
    </row>
    <row r="1763" s="12" customFormat="1" customHeight="1" spans="2:10">
      <c r="B1763" s="25"/>
      <c r="C1763" s="25"/>
      <c r="D1763" s="26" t="str" cm="1">
        <f t="array" ref="D1763">IF(C1763="","",IFERROR(INDEX(STPP!$D$6:$D$4207,MATCH(C1763,STPP!$C$6:$C$4207,0)),"Not Found"))</f>
        <v/>
      </c>
      <c r="E1763" s="27" t="str" cm="1">
        <f t="array" ref="E1763">IF(C1763="","",IFERROR(INDEX(STPP!$E$6:$E$4207,MATCH(C1763,STPP!$C$6:$C$4207,0)),"Not Found"))</f>
        <v/>
      </c>
      <c r="F1763" s="27" t="str" cm="1">
        <f t="array" ref="F1763">IF(C1763="","",IFERROR(INDEX(STPP!$F$6:$F$4207,MATCH(C1763,STPP!$C$6:$C$4207,0)),"Not Found"))</f>
        <v/>
      </c>
      <c r="G1763" s="25" t="str">
        <f>IF(表1[[#This Row],[No Seri]]="","",表1[[#This Row],[Deskripsi Barang]]+表1[[#This Row],[Kuantitas]]-表1[[#This Row],[Satuan]])</f>
        <v/>
      </c>
      <c r="H1763" s="28"/>
      <c r="I1763" s="25" t="str">
        <f>IF(表1[[#This Row],[Tgl NPBG]]&gt;表1[[#This Row],[Peminta]],表1[[#This Row],[Tgl NPBG]]-表1[[#This Row],[Peminta]],"")</f>
        <v/>
      </c>
      <c r="J1763" s="31"/>
    </row>
    <row r="1764" s="12" customFormat="1" customHeight="1" spans="2:10">
      <c r="B1764" s="25"/>
      <c r="C1764" s="25"/>
      <c r="D1764" s="26" t="str" cm="1">
        <f t="array" ref="D1764">IF(C1764="","",IFERROR(INDEX(STPP!$D$6:$D$4207,MATCH(C1764,STPP!$C$6:$C$4207,0)),"Not Found"))</f>
        <v/>
      </c>
      <c r="E1764" s="27" t="str" cm="1">
        <f t="array" ref="E1764">IF(C1764="","",IFERROR(INDEX(STPP!$E$6:$E$4207,MATCH(C1764,STPP!$C$6:$C$4207,0)),"Not Found"))</f>
        <v/>
      </c>
      <c r="F1764" s="27" t="str" cm="1">
        <f t="array" ref="F1764">IF(C1764="","",IFERROR(INDEX(STPP!$F$6:$F$4207,MATCH(C1764,STPP!$C$6:$C$4207,0)),"Not Found"))</f>
        <v/>
      </c>
      <c r="G1764" s="25" t="str">
        <f>IF(表1[[#This Row],[No Seri]]="","",表1[[#This Row],[Deskripsi Barang]]+表1[[#This Row],[Kuantitas]]-表1[[#This Row],[Satuan]])</f>
        <v/>
      </c>
      <c r="H1764" s="28"/>
      <c r="I1764" s="25" t="str">
        <f>IF(表1[[#This Row],[Tgl NPBG]]&gt;表1[[#This Row],[Peminta]],表1[[#This Row],[Tgl NPBG]]-表1[[#This Row],[Peminta]],"")</f>
        <v/>
      </c>
      <c r="J1764" s="31"/>
    </row>
    <row r="1765" s="12" customFormat="1" customHeight="1" spans="2:10">
      <c r="B1765" s="25"/>
      <c r="C1765" s="25"/>
      <c r="D1765" s="26" t="str" cm="1">
        <f t="array" ref="D1765">IF(C1765="","",IFERROR(INDEX(STPP!$D$6:$D$4207,MATCH(C1765,STPP!$C$6:$C$4207,0)),"Not Found"))</f>
        <v/>
      </c>
      <c r="E1765" s="27" t="str" cm="1">
        <f t="array" ref="E1765">IF(C1765="","",IFERROR(INDEX(STPP!$E$6:$E$4207,MATCH(C1765,STPP!$C$6:$C$4207,0)),"Not Found"))</f>
        <v/>
      </c>
      <c r="F1765" s="27" t="str" cm="1">
        <f t="array" ref="F1765">IF(C1765="","",IFERROR(INDEX(STPP!$F$6:$F$4207,MATCH(C1765,STPP!$C$6:$C$4207,0)),"Not Found"))</f>
        <v/>
      </c>
      <c r="G1765" s="25" t="str">
        <f>IF(表1[[#This Row],[No Seri]]="","",表1[[#This Row],[Deskripsi Barang]]+表1[[#This Row],[Kuantitas]]-表1[[#This Row],[Satuan]])</f>
        <v/>
      </c>
      <c r="H1765" s="28"/>
      <c r="I1765" s="25" t="str">
        <f>IF(表1[[#This Row],[Tgl NPBG]]&gt;表1[[#This Row],[Peminta]],表1[[#This Row],[Tgl NPBG]]-表1[[#This Row],[Peminta]],"")</f>
        <v/>
      </c>
      <c r="J1765" s="31"/>
    </row>
    <row r="1766" s="12" customFormat="1" customHeight="1" spans="2:10">
      <c r="B1766" s="25"/>
      <c r="C1766" s="25"/>
      <c r="D1766" s="26" t="str" cm="1">
        <f t="array" ref="D1766">IF(C1766="","",IFERROR(INDEX(STPP!$D$6:$D$4207,MATCH(C1766,STPP!$C$6:$C$4207,0)),"Not Found"))</f>
        <v/>
      </c>
      <c r="E1766" s="27" t="str" cm="1">
        <f t="array" ref="E1766">IF(C1766="","",IFERROR(INDEX(STPP!$E$6:$E$4207,MATCH(C1766,STPP!$C$6:$C$4207,0)),"Not Found"))</f>
        <v/>
      </c>
      <c r="F1766" s="27" t="str" cm="1">
        <f t="array" ref="F1766">IF(C1766="","",IFERROR(INDEX(STPP!$F$6:$F$4207,MATCH(C1766,STPP!$C$6:$C$4207,0)),"Not Found"))</f>
        <v/>
      </c>
      <c r="G1766" s="25" t="str">
        <f>IF(表1[[#This Row],[No Seri]]="","",表1[[#This Row],[Deskripsi Barang]]+表1[[#This Row],[Kuantitas]]-表1[[#This Row],[Satuan]])</f>
        <v/>
      </c>
      <c r="H1766" s="28"/>
      <c r="I1766" s="25" t="str">
        <f>IF(表1[[#This Row],[Tgl NPBG]]&gt;表1[[#This Row],[Peminta]],表1[[#This Row],[Tgl NPBG]]-表1[[#This Row],[Peminta]],"")</f>
        <v/>
      </c>
      <c r="J1766" s="31"/>
    </row>
    <row r="1767" s="12" customFormat="1" customHeight="1" spans="2:10">
      <c r="B1767" s="25"/>
      <c r="C1767" s="25"/>
      <c r="D1767" s="26" t="str" cm="1">
        <f t="array" ref="D1767">IF(C1767="","",IFERROR(INDEX(STPP!$D$6:$D$4207,MATCH(C1767,STPP!$C$6:$C$4207,0)),"Not Found"))</f>
        <v/>
      </c>
      <c r="E1767" s="27" t="str" cm="1">
        <f t="array" ref="E1767">IF(C1767="","",IFERROR(INDEX(STPP!$E$6:$E$4207,MATCH(C1767,STPP!$C$6:$C$4207,0)),"Not Found"))</f>
        <v/>
      </c>
      <c r="F1767" s="27" t="str" cm="1">
        <f t="array" ref="F1767">IF(C1767="","",IFERROR(INDEX(STPP!$F$6:$F$4207,MATCH(C1767,STPP!$C$6:$C$4207,0)),"Not Found"))</f>
        <v/>
      </c>
      <c r="G1767" s="25" t="str">
        <f>IF(表1[[#This Row],[No Seri]]="","",表1[[#This Row],[Deskripsi Barang]]+表1[[#This Row],[Kuantitas]]-表1[[#This Row],[Satuan]])</f>
        <v/>
      </c>
      <c r="H1767" s="28"/>
      <c r="I1767" s="25" t="str">
        <f>IF(表1[[#This Row],[Tgl NPBG]]&gt;表1[[#This Row],[Peminta]],表1[[#This Row],[Tgl NPBG]]-表1[[#This Row],[Peminta]],"")</f>
        <v/>
      </c>
      <c r="J1767" s="31"/>
    </row>
    <row r="1768" s="12" customFormat="1" customHeight="1" spans="2:10">
      <c r="B1768" s="25"/>
      <c r="C1768" s="25"/>
      <c r="D1768" s="26" t="str" cm="1">
        <f t="array" ref="D1768">IF(C1768="","",IFERROR(INDEX(STPP!$D$6:$D$4207,MATCH(C1768,STPP!$C$6:$C$4207,0)),"Not Found"))</f>
        <v/>
      </c>
      <c r="E1768" s="27" t="str" cm="1">
        <f t="array" ref="E1768">IF(C1768="","",IFERROR(INDEX(STPP!$E$6:$E$4207,MATCH(C1768,STPP!$C$6:$C$4207,0)),"Not Found"))</f>
        <v/>
      </c>
      <c r="F1768" s="27" t="str" cm="1">
        <f t="array" ref="F1768">IF(C1768="","",IFERROR(INDEX(STPP!$F$6:$F$4207,MATCH(C1768,STPP!$C$6:$C$4207,0)),"Not Found"))</f>
        <v/>
      </c>
      <c r="G1768" s="25" t="str">
        <f>IF(表1[[#This Row],[No Seri]]="","",表1[[#This Row],[Deskripsi Barang]]+表1[[#This Row],[Kuantitas]]-表1[[#This Row],[Satuan]])</f>
        <v/>
      </c>
      <c r="H1768" s="28"/>
      <c r="I1768" s="25" t="str">
        <f>IF(表1[[#This Row],[Tgl NPBG]]&gt;表1[[#This Row],[Peminta]],表1[[#This Row],[Tgl NPBG]]-表1[[#This Row],[Peminta]],"")</f>
        <v/>
      </c>
      <c r="J1768" s="31"/>
    </row>
    <row r="1769" s="12" customFormat="1" customHeight="1" spans="2:10">
      <c r="B1769" s="25"/>
      <c r="C1769" s="25"/>
      <c r="D1769" s="26" t="str" cm="1">
        <f t="array" ref="D1769">IF(C1769="","",IFERROR(INDEX(STPP!$D$6:$D$4207,MATCH(C1769,STPP!$C$6:$C$4207,0)),"Not Found"))</f>
        <v/>
      </c>
      <c r="E1769" s="27" t="str" cm="1">
        <f t="array" ref="E1769">IF(C1769="","",IFERROR(INDEX(STPP!$E$6:$E$4207,MATCH(C1769,STPP!$C$6:$C$4207,0)),"Not Found"))</f>
        <v/>
      </c>
      <c r="F1769" s="27" t="str" cm="1">
        <f t="array" ref="F1769">IF(C1769="","",IFERROR(INDEX(STPP!$F$6:$F$4207,MATCH(C1769,STPP!$C$6:$C$4207,0)),"Not Found"))</f>
        <v/>
      </c>
      <c r="G1769" s="25" t="str">
        <f>IF(表1[[#This Row],[No Seri]]="","",表1[[#This Row],[Deskripsi Barang]]+表1[[#This Row],[Kuantitas]]-表1[[#This Row],[Satuan]])</f>
        <v/>
      </c>
      <c r="H1769" s="28"/>
      <c r="I1769" s="25" t="str">
        <f>IF(表1[[#This Row],[Tgl NPBG]]&gt;表1[[#This Row],[Peminta]],表1[[#This Row],[Tgl NPBG]]-表1[[#This Row],[Peminta]],"")</f>
        <v/>
      </c>
      <c r="J1769" s="31"/>
    </row>
    <row r="1770" s="12" customFormat="1" customHeight="1" spans="2:10">
      <c r="B1770" s="25"/>
      <c r="C1770" s="25"/>
      <c r="D1770" s="26" t="str" cm="1">
        <f t="array" ref="D1770">IF(C1770="","",IFERROR(INDEX(STPP!$D$6:$D$4207,MATCH(C1770,STPP!$C$6:$C$4207,0)),"Not Found"))</f>
        <v/>
      </c>
      <c r="E1770" s="27" t="str" cm="1">
        <f t="array" ref="E1770">IF(C1770="","",IFERROR(INDEX(STPP!$E$6:$E$4207,MATCH(C1770,STPP!$C$6:$C$4207,0)),"Not Found"))</f>
        <v/>
      </c>
      <c r="F1770" s="27" t="str" cm="1">
        <f t="array" ref="F1770">IF(C1770="","",IFERROR(INDEX(STPP!$F$6:$F$4207,MATCH(C1770,STPP!$C$6:$C$4207,0)),"Not Found"))</f>
        <v/>
      </c>
      <c r="G1770" s="25" t="str">
        <f>IF(表1[[#This Row],[No Seri]]="","",表1[[#This Row],[Deskripsi Barang]]+表1[[#This Row],[Kuantitas]]-表1[[#This Row],[Satuan]])</f>
        <v/>
      </c>
      <c r="H1770" s="28"/>
      <c r="I1770" s="25" t="str">
        <f>IF(表1[[#This Row],[Tgl NPBG]]&gt;表1[[#This Row],[Peminta]],表1[[#This Row],[Tgl NPBG]]-表1[[#This Row],[Peminta]],"")</f>
        <v/>
      </c>
      <c r="J1770" s="31"/>
    </row>
    <row r="1771" s="12" customFormat="1" customHeight="1" spans="2:10">
      <c r="B1771" s="25"/>
      <c r="C1771" s="25"/>
      <c r="D1771" s="26" t="str" cm="1">
        <f t="array" ref="D1771">IF(C1771="","",IFERROR(INDEX(STPP!$D$6:$D$4207,MATCH(C1771,STPP!$C$6:$C$4207,0)),"Not Found"))</f>
        <v/>
      </c>
      <c r="E1771" s="27" t="str" cm="1">
        <f t="array" ref="E1771">IF(C1771="","",IFERROR(INDEX(STPP!$E$6:$E$4207,MATCH(C1771,STPP!$C$6:$C$4207,0)),"Not Found"))</f>
        <v/>
      </c>
      <c r="F1771" s="27" t="str" cm="1">
        <f t="array" ref="F1771">IF(C1771="","",IFERROR(INDEX(STPP!$F$6:$F$4207,MATCH(C1771,STPP!$C$6:$C$4207,0)),"Not Found"))</f>
        <v/>
      </c>
      <c r="G1771" s="25" t="str">
        <f>IF(表1[[#This Row],[No Seri]]="","",表1[[#This Row],[Deskripsi Barang]]+表1[[#This Row],[Kuantitas]]-表1[[#This Row],[Satuan]])</f>
        <v/>
      </c>
      <c r="H1771" s="28"/>
      <c r="I1771" s="25" t="str">
        <f>IF(表1[[#This Row],[Tgl NPBG]]&gt;表1[[#This Row],[Peminta]],表1[[#This Row],[Tgl NPBG]]-表1[[#This Row],[Peminta]],"")</f>
        <v/>
      </c>
      <c r="J1771" s="31"/>
    </row>
    <row r="1772" s="12" customFormat="1" customHeight="1" spans="2:10">
      <c r="B1772" s="25"/>
      <c r="C1772" s="25"/>
      <c r="D1772" s="26" t="str" cm="1">
        <f t="array" ref="D1772">IF(C1772="","",IFERROR(INDEX(STPP!$D$6:$D$4207,MATCH(C1772,STPP!$C$6:$C$4207,0)),"Not Found"))</f>
        <v/>
      </c>
      <c r="E1772" s="27" t="str" cm="1">
        <f t="array" ref="E1772">IF(C1772="","",IFERROR(INDEX(STPP!$E$6:$E$4207,MATCH(C1772,STPP!$C$6:$C$4207,0)),"Not Found"))</f>
        <v/>
      </c>
      <c r="F1772" s="27" t="str" cm="1">
        <f t="array" ref="F1772">IF(C1772="","",IFERROR(INDEX(STPP!$F$6:$F$4207,MATCH(C1772,STPP!$C$6:$C$4207,0)),"Not Found"))</f>
        <v/>
      </c>
      <c r="G1772" s="25" t="str">
        <f>IF(表1[[#This Row],[No Seri]]="","",表1[[#This Row],[Deskripsi Barang]]+表1[[#This Row],[Kuantitas]]-表1[[#This Row],[Satuan]])</f>
        <v/>
      </c>
      <c r="H1772" s="28"/>
      <c r="I1772" s="25" t="str">
        <f>IF(表1[[#This Row],[Tgl NPBG]]&gt;表1[[#This Row],[Peminta]],表1[[#This Row],[Tgl NPBG]]-表1[[#This Row],[Peminta]],"")</f>
        <v/>
      </c>
      <c r="J1772" s="31"/>
    </row>
    <row r="1773" s="12" customFormat="1" customHeight="1" spans="2:10">
      <c r="B1773" s="25"/>
      <c r="C1773" s="25"/>
      <c r="D1773" s="26" t="str" cm="1">
        <f t="array" ref="D1773">IF(C1773="","",IFERROR(INDEX(STPP!$D$6:$D$4207,MATCH(C1773,STPP!$C$6:$C$4207,0)),"Not Found"))</f>
        <v/>
      </c>
      <c r="E1773" s="27" t="str" cm="1">
        <f t="array" ref="E1773">IF(C1773="","",IFERROR(INDEX(STPP!$E$6:$E$4207,MATCH(C1773,STPP!$C$6:$C$4207,0)),"Not Found"))</f>
        <v/>
      </c>
      <c r="F1773" s="27" t="str" cm="1">
        <f t="array" ref="F1773">IF(C1773="","",IFERROR(INDEX(STPP!$F$6:$F$4207,MATCH(C1773,STPP!$C$6:$C$4207,0)),"Not Found"))</f>
        <v/>
      </c>
      <c r="G1773" s="25" t="str">
        <f>IF(表1[[#This Row],[No Seri]]="","",表1[[#This Row],[Deskripsi Barang]]+表1[[#This Row],[Kuantitas]]-表1[[#This Row],[Satuan]])</f>
        <v/>
      </c>
      <c r="H1773" s="28"/>
      <c r="I1773" s="25" t="str">
        <f>IF(表1[[#This Row],[Tgl NPBG]]&gt;表1[[#This Row],[Peminta]],表1[[#This Row],[Tgl NPBG]]-表1[[#This Row],[Peminta]],"")</f>
        <v/>
      </c>
      <c r="J1773" s="31"/>
    </row>
    <row r="1774" s="12" customFormat="1" customHeight="1" spans="2:10">
      <c r="B1774" s="25"/>
      <c r="C1774" s="25"/>
      <c r="D1774" s="26" t="str" cm="1">
        <f t="array" ref="D1774">IF(C1774="","",IFERROR(INDEX(STPP!$D$6:$D$4207,MATCH(C1774,STPP!$C$6:$C$4207,0)),"Not Found"))</f>
        <v/>
      </c>
      <c r="E1774" s="27" t="str" cm="1">
        <f t="array" ref="E1774">IF(C1774="","",IFERROR(INDEX(STPP!$E$6:$E$4207,MATCH(C1774,STPP!$C$6:$C$4207,0)),"Not Found"))</f>
        <v/>
      </c>
      <c r="F1774" s="27" t="str" cm="1">
        <f t="array" ref="F1774">IF(C1774="","",IFERROR(INDEX(STPP!$F$6:$F$4207,MATCH(C1774,STPP!$C$6:$C$4207,0)),"Not Found"))</f>
        <v/>
      </c>
      <c r="G1774" s="25" t="str">
        <f>IF(表1[[#This Row],[No Seri]]="","",表1[[#This Row],[Deskripsi Barang]]+表1[[#This Row],[Kuantitas]]-表1[[#This Row],[Satuan]])</f>
        <v/>
      </c>
      <c r="H1774" s="28"/>
      <c r="I1774" s="25" t="str">
        <f>IF(表1[[#This Row],[Tgl NPBG]]&gt;表1[[#This Row],[Peminta]],表1[[#This Row],[Tgl NPBG]]-表1[[#This Row],[Peminta]],"")</f>
        <v/>
      </c>
      <c r="J1774" s="31"/>
    </row>
    <row r="1775" s="12" customFormat="1" customHeight="1" spans="2:10">
      <c r="B1775" s="25"/>
      <c r="C1775" s="25"/>
      <c r="D1775" s="26" t="str" cm="1">
        <f t="array" ref="D1775">IF(C1775="","",IFERROR(INDEX(STPP!$D$6:$D$4207,MATCH(C1775,STPP!$C$6:$C$4207,0)),"Not Found"))</f>
        <v/>
      </c>
      <c r="E1775" s="27" t="str" cm="1">
        <f t="array" ref="E1775">IF(C1775="","",IFERROR(INDEX(STPP!$E$6:$E$4207,MATCH(C1775,STPP!$C$6:$C$4207,0)),"Not Found"))</f>
        <v/>
      </c>
      <c r="F1775" s="27" t="str" cm="1">
        <f t="array" ref="F1775">IF(C1775="","",IFERROR(INDEX(STPP!$F$6:$F$4207,MATCH(C1775,STPP!$C$6:$C$4207,0)),"Not Found"))</f>
        <v/>
      </c>
      <c r="G1775" s="25" t="str">
        <f>IF(表1[[#This Row],[No Seri]]="","",表1[[#This Row],[Deskripsi Barang]]+表1[[#This Row],[Kuantitas]]-表1[[#This Row],[Satuan]])</f>
        <v/>
      </c>
      <c r="H1775" s="28"/>
      <c r="I1775" s="25" t="str">
        <f>IF(表1[[#This Row],[Tgl NPBG]]&gt;表1[[#This Row],[Peminta]],表1[[#This Row],[Tgl NPBG]]-表1[[#This Row],[Peminta]],"")</f>
        <v/>
      </c>
      <c r="J1775" s="31"/>
    </row>
    <row r="1776" s="12" customFormat="1" customHeight="1" spans="2:10">
      <c r="B1776" s="25"/>
      <c r="C1776" s="25"/>
      <c r="D1776" s="26" t="str" cm="1">
        <f t="array" ref="D1776">IF(C1776="","",IFERROR(INDEX(STPP!$D$6:$D$4207,MATCH(C1776,STPP!$C$6:$C$4207,0)),"Not Found"))</f>
        <v/>
      </c>
      <c r="E1776" s="27" t="str" cm="1">
        <f t="array" ref="E1776">IF(C1776="","",IFERROR(INDEX(STPP!$E$6:$E$4207,MATCH(C1776,STPP!$C$6:$C$4207,0)),"Not Found"))</f>
        <v/>
      </c>
      <c r="F1776" s="27" t="str" cm="1">
        <f t="array" ref="F1776">IF(C1776="","",IFERROR(INDEX(STPP!$F$6:$F$4207,MATCH(C1776,STPP!$C$6:$C$4207,0)),"Not Found"))</f>
        <v/>
      </c>
      <c r="G1776" s="25" t="str">
        <f>IF(表1[[#This Row],[No Seri]]="","",表1[[#This Row],[Deskripsi Barang]]+表1[[#This Row],[Kuantitas]]-表1[[#This Row],[Satuan]])</f>
        <v/>
      </c>
      <c r="H1776" s="28"/>
      <c r="I1776" s="25" t="str">
        <f>IF(表1[[#This Row],[Tgl NPBG]]&gt;表1[[#This Row],[Peminta]],表1[[#This Row],[Tgl NPBG]]-表1[[#This Row],[Peminta]],"")</f>
        <v/>
      </c>
      <c r="J1776" s="31"/>
    </row>
    <row r="1777" s="12" customFormat="1" customHeight="1" spans="2:10">
      <c r="B1777" s="25"/>
      <c r="C1777" s="25"/>
      <c r="D1777" s="26" t="str" cm="1">
        <f t="array" ref="D1777">IF(C1777="","",IFERROR(INDEX(STPP!$D$6:$D$4207,MATCH(C1777,STPP!$C$6:$C$4207,0)),"Not Found"))</f>
        <v/>
      </c>
      <c r="E1777" s="27" t="str" cm="1">
        <f t="array" ref="E1777">IF(C1777="","",IFERROR(INDEX(STPP!$E$6:$E$4207,MATCH(C1777,STPP!$C$6:$C$4207,0)),"Not Found"))</f>
        <v/>
      </c>
      <c r="F1777" s="27" t="str" cm="1">
        <f t="array" ref="F1777">IF(C1777="","",IFERROR(INDEX(STPP!$F$6:$F$4207,MATCH(C1777,STPP!$C$6:$C$4207,0)),"Not Found"))</f>
        <v/>
      </c>
      <c r="G1777" s="25" t="str">
        <f>IF(表1[[#This Row],[No Seri]]="","",表1[[#This Row],[Deskripsi Barang]]+表1[[#This Row],[Kuantitas]]-表1[[#This Row],[Satuan]])</f>
        <v/>
      </c>
      <c r="H1777" s="28"/>
      <c r="I1777" s="25" t="str">
        <f>IF(表1[[#This Row],[Tgl NPBG]]&gt;表1[[#This Row],[Peminta]],表1[[#This Row],[Tgl NPBG]]-表1[[#This Row],[Peminta]],"")</f>
        <v/>
      </c>
      <c r="J1777" s="31"/>
    </row>
    <row r="1778" s="12" customFormat="1" customHeight="1" spans="2:10">
      <c r="B1778" s="25"/>
      <c r="C1778" s="25"/>
      <c r="D1778" s="26" t="str" cm="1">
        <f t="array" ref="D1778">IF(C1778="","",IFERROR(INDEX(STPP!$D$6:$D$4207,MATCH(C1778,STPP!$C$6:$C$4207,0)),"Not Found"))</f>
        <v/>
      </c>
      <c r="E1778" s="27" t="str" cm="1">
        <f t="array" ref="E1778">IF(C1778="","",IFERROR(INDEX(STPP!$E$6:$E$4207,MATCH(C1778,STPP!$C$6:$C$4207,0)),"Not Found"))</f>
        <v/>
      </c>
      <c r="F1778" s="27" t="str" cm="1">
        <f t="array" ref="F1778">IF(C1778="","",IFERROR(INDEX(STPP!$F$6:$F$4207,MATCH(C1778,STPP!$C$6:$C$4207,0)),"Not Found"))</f>
        <v/>
      </c>
      <c r="G1778" s="25" t="str">
        <f>IF(表1[[#This Row],[No Seri]]="","",表1[[#This Row],[Deskripsi Barang]]+表1[[#This Row],[Kuantitas]]-表1[[#This Row],[Satuan]])</f>
        <v/>
      </c>
      <c r="H1778" s="28"/>
      <c r="I1778" s="25" t="str">
        <f>IF(表1[[#This Row],[Tgl NPBG]]&gt;表1[[#This Row],[Peminta]],表1[[#This Row],[Tgl NPBG]]-表1[[#This Row],[Peminta]],"")</f>
        <v/>
      </c>
      <c r="J1778" s="31"/>
    </row>
    <row r="1779" s="12" customFormat="1" customHeight="1" spans="2:10">
      <c r="B1779" s="25"/>
      <c r="C1779" s="25"/>
      <c r="D1779" s="26" t="str" cm="1">
        <f t="array" ref="D1779">IF(C1779="","",IFERROR(INDEX(STPP!$D$6:$D$4207,MATCH(C1779,STPP!$C$6:$C$4207,0)),"Not Found"))</f>
        <v/>
      </c>
      <c r="E1779" s="27" t="str" cm="1">
        <f t="array" ref="E1779">IF(C1779="","",IFERROR(INDEX(STPP!$E$6:$E$4207,MATCH(C1779,STPP!$C$6:$C$4207,0)),"Not Found"))</f>
        <v/>
      </c>
      <c r="F1779" s="27" t="str" cm="1">
        <f t="array" ref="F1779">IF(C1779="","",IFERROR(INDEX(STPP!$F$6:$F$4207,MATCH(C1779,STPP!$C$6:$C$4207,0)),"Not Found"))</f>
        <v/>
      </c>
      <c r="G1779" s="25" t="str">
        <f>IF(表1[[#This Row],[No Seri]]="","",表1[[#This Row],[Deskripsi Barang]]+表1[[#This Row],[Kuantitas]]-表1[[#This Row],[Satuan]])</f>
        <v/>
      </c>
      <c r="H1779" s="28"/>
      <c r="I1779" s="25" t="str">
        <f>IF(表1[[#This Row],[Tgl NPBG]]&gt;表1[[#This Row],[Peminta]],表1[[#This Row],[Tgl NPBG]]-表1[[#This Row],[Peminta]],"")</f>
        <v/>
      </c>
      <c r="J1779" s="31"/>
    </row>
    <row r="1780" s="12" customFormat="1" customHeight="1" spans="2:10">
      <c r="B1780" s="25"/>
      <c r="C1780" s="25"/>
      <c r="D1780" s="26" t="str" cm="1">
        <f t="array" ref="D1780">IF(C1780="","",IFERROR(INDEX(STPP!$D$6:$D$4207,MATCH(C1780,STPP!$C$6:$C$4207,0)),"Not Found"))</f>
        <v/>
      </c>
      <c r="E1780" s="27" t="str" cm="1">
        <f t="array" ref="E1780">IF(C1780="","",IFERROR(INDEX(STPP!$E$6:$E$4207,MATCH(C1780,STPP!$C$6:$C$4207,0)),"Not Found"))</f>
        <v/>
      </c>
      <c r="F1780" s="27" t="str" cm="1">
        <f t="array" ref="F1780">IF(C1780="","",IFERROR(INDEX(STPP!$F$6:$F$4207,MATCH(C1780,STPP!$C$6:$C$4207,0)),"Not Found"))</f>
        <v/>
      </c>
      <c r="G1780" s="25" t="str">
        <f>IF(表1[[#This Row],[No Seri]]="","",表1[[#This Row],[Deskripsi Barang]]+表1[[#This Row],[Kuantitas]]-表1[[#This Row],[Satuan]])</f>
        <v/>
      </c>
      <c r="H1780" s="28"/>
      <c r="I1780" s="25" t="str">
        <f>IF(表1[[#This Row],[Tgl NPBG]]&gt;表1[[#This Row],[Peminta]],表1[[#This Row],[Tgl NPBG]]-表1[[#This Row],[Peminta]],"")</f>
        <v/>
      </c>
      <c r="J1780" s="31"/>
    </row>
    <row r="1781" s="12" customFormat="1" customHeight="1" spans="2:10">
      <c r="B1781" s="25"/>
      <c r="C1781" s="25"/>
      <c r="D1781" s="26" t="str" cm="1">
        <f t="array" ref="D1781">IF(C1781="","",IFERROR(INDEX(STPP!$D$6:$D$4207,MATCH(C1781,STPP!$C$6:$C$4207,0)),"Not Found"))</f>
        <v/>
      </c>
      <c r="E1781" s="27" t="str" cm="1">
        <f t="array" ref="E1781">IF(C1781="","",IFERROR(INDEX(STPP!$E$6:$E$4207,MATCH(C1781,STPP!$C$6:$C$4207,0)),"Not Found"))</f>
        <v/>
      </c>
      <c r="F1781" s="27" t="str" cm="1">
        <f t="array" ref="F1781">IF(C1781="","",IFERROR(INDEX(STPP!$F$6:$F$4207,MATCH(C1781,STPP!$C$6:$C$4207,0)),"Not Found"))</f>
        <v/>
      </c>
      <c r="G1781" s="25" t="str">
        <f>IF(表1[[#This Row],[No Seri]]="","",表1[[#This Row],[Deskripsi Barang]]+表1[[#This Row],[Kuantitas]]-表1[[#This Row],[Satuan]])</f>
        <v/>
      </c>
      <c r="H1781" s="28"/>
      <c r="I1781" s="25" t="str">
        <f>IF(表1[[#This Row],[Tgl NPBG]]&gt;表1[[#This Row],[Peminta]],表1[[#This Row],[Tgl NPBG]]-表1[[#This Row],[Peminta]],"")</f>
        <v/>
      </c>
      <c r="J1781" s="31"/>
    </row>
    <row r="1782" s="12" customFormat="1" customHeight="1" spans="2:10">
      <c r="B1782" s="25"/>
      <c r="C1782" s="25"/>
      <c r="D1782" s="26" t="str" cm="1">
        <f t="array" ref="D1782">IF(C1782="","",IFERROR(INDEX(STPP!$D$6:$D$4207,MATCH(C1782,STPP!$C$6:$C$4207,0)),"Not Found"))</f>
        <v/>
      </c>
      <c r="E1782" s="27" t="str" cm="1">
        <f t="array" ref="E1782">IF(C1782="","",IFERROR(INDEX(STPP!$E$6:$E$4207,MATCH(C1782,STPP!$C$6:$C$4207,0)),"Not Found"))</f>
        <v/>
      </c>
      <c r="F1782" s="27" t="str" cm="1">
        <f t="array" ref="F1782">IF(C1782="","",IFERROR(INDEX(STPP!$F$6:$F$4207,MATCH(C1782,STPP!$C$6:$C$4207,0)),"Not Found"))</f>
        <v/>
      </c>
      <c r="G1782" s="25" t="str">
        <f>IF(表1[[#This Row],[No Seri]]="","",表1[[#This Row],[Deskripsi Barang]]+表1[[#This Row],[Kuantitas]]-表1[[#This Row],[Satuan]])</f>
        <v/>
      </c>
      <c r="H1782" s="28"/>
      <c r="I1782" s="25" t="str">
        <f>IF(表1[[#This Row],[Tgl NPBG]]&gt;表1[[#This Row],[Peminta]],表1[[#This Row],[Tgl NPBG]]-表1[[#This Row],[Peminta]],"")</f>
        <v/>
      </c>
      <c r="J1782" s="31"/>
    </row>
    <row r="1783" s="12" customFormat="1" customHeight="1" spans="2:10">
      <c r="B1783" s="25"/>
      <c r="C1783" s="25"/>
      <c r="D1783" s="26" t="str" cm="1">
        <f t="array" ref="D1783">IF(C1783="","",IFERROR(INDEX(STPP!$D$6:$D$4207,MATCH(C1783,STPP!$C$6:$C$4207,0)),"Not Found"))</f>
        <v/>
      </c>
      <c r="E1783" s="27" t="str" cm="1">
        <f t="array" ref="E1783">IF(C1783="","",IFERROR(INDEX(STPP!$E$6:$E$4207,MATCH(C1783,STPP!$C$6:$C$4207,0)),"Not Found"))</f>
        <v/>
      </c>
      <c r="F1783" s="27" t="str" cm="1">
        <f t="array" ref="F1783">IF(C1783="","",IFERROR(INDEX(STPP!$F$6:$F$4207,MATCH(C1783,STPP!$C$6:$C$4207,0)),"Not Found"))</f>
        <v/>
      </c>
      <c r="G1783" s="25" t="str">
        <f>IF(表1[[#This Row],[No Seri]]="","",表1[[#This Row],[Deskripsi Barang]]+表1[[#This Row],[Kuantitas]]-表1[[#This Row],[Satuan]])</f>
        <v/>
      </c>
      <c r="H1783" s="28"/>
      <c r="I1783" s="25" t="str">
        <f>IF(表1[[#This Row],[Tgl NPBG]]&gt;表1[[#This Row],[Peminta]],表1[[#This Row],[Tgl NPBG]]-表1[[#This Row],[Peminta]],"")</f>
        <v/>
      </c>
      <c r="J1783" s="31"/>
    </row>
    <row r="1784" s="12" customFormat="1" customHeight="1" spans="2:10">
      <c r="B1784" s="25"/>
      <c r="C1784" s="25"/>
      <c r="D1784" s="26" t="str" cm="1">
        <f t="array" ref="D1784">IF(C1784="","",IFERROR(INDEX(STPP!$D$6:$D$4207,MATCH(C1784,STPP!$C$6:$C$4207,0)),"Not Found"))</f>
        <v/>
      </c>
      <c r="E1784" s="27" t="str" cm="1">
        <f t="array" ref="E1784">IF(C1784="","",IFERROR(INDEX(STPP!$E$6:$E$4207,MATCH(C1784,STPP!$C$6:$C$4207,0)),"Not Found"))</f>
        <v/>
      </c>
      <c r="F1784" s="27" t="str" cm="1">
        <f t="array" ref="F1784">IF(C1784="","",IFERROR(INDEX(STPP!$F$6:$F$4207,MATCH(C1784,STPP!$C$6:$C$4207,0)),"Not Found"))</f>
        <v/>
      </c>
      <c r="G1784" s="25" t="str">
        <f>IF(表1[[#This Row],[No Seri]]="","",表1[[#This Row],[Deskripsi Barang]]+表1[[#This Row],[Kuantitas]]-表1[[#This Row],[Satuan]])</f>
        <v/>
      </c>
      <c r="H1784" s="28"/>
      <c r="I1784" s="25" t="str">
        <f>IF(表1[[#This Row],[Tgl NPBG]]&gt;表1[[#This Row],[Peminta]],表1[[#This Row],[Tgl NPBG]]-表1[[#This Row],[Peminta]],"")</f>
        <v/>
      </c>
      <c r="J1784" s="31"/>
    </row>
    <row r="1785" s="12" customFormat="1" customHeight="1" spans="2:10">
      <c r="B1785" s="25"/>
      <c r="C1785" s="25"/>
      <c r="D1785" s="26" t="str" cm="1">
        <f t="array" ref="D1785">IF(C1785="","",IFERROR(INDEX(STPP!$D$6:$D$4207,MATCH(C1785,STPP!$C$6:$C$4207,0)),"Not Found"))</f>
        <v/>
      </c>
      <c r="E1785" s="27" t="str" cm="1">
        <f t="array" ref="E1785">IF(C1785="","",IFERROR(INDEX(STPP!$E$6:$E$4207,MATCH(C1785,STPP!$C$6:$C$4207,0)),"Not Found"))</f>
        <v/>
      </c>
      <c r="F1785" s="27" t="str" cm="1">
        <f t="array" ref="F1785">IF(C1785="","",IFERROR(INDEX(STPP!$F$6:$F$4207,MATCH(C1785,STPP!$C$6:$C$4207,0)),"Not Found"))</f>
        <v/>
      </c>
      <c r="G1785" s="25" t="str">
        <f>IF(表1[[#This Row],[No Seri]]="","",表1[[#This Row],[Deskripsi Barang]]+表1[[#This Row],[Kuantitas]]-表1[[#This Row],[Satuan]])</f>
        <v/>
      </c>
      <c r="H1785" s="28"/>
      <c r="I1785" s="25" t="str">
        <f>IF(表1[[#This Row],[Tgl NPBG]]&gt;表1[[#This Row],[Peminta]],表1[[#This Row],[Tgl NPBG]]-表1[[#This Row],[Peminta]],"")</f>
        <v/>
      </c>
      <c r="J1785" s="31"/>
    </row>
    <row r="1786" s="12" customFormat="1" customHeight="1" spans="2:10">
      <c r="B1786" s="25"/>
      <c r="C1786" s="25"/>
      <c r="D1786" s="26" t="str" cm="1">
        <f t="array" ref="D1786">IF(C1786="","",IFERROR(INDEX(STPP!$D$6:$D$4207,MATCH(C1786,STPP!$C$6:$C$4207,0)),"Not Found"))</f>
        <v/>
      </c>
      <c r="E1786" s="27" t="str" cm="1">
        <f t="array" ref="E1786">IF(C1786="","",IFERROR(INDEX(STPP!$E$6:$E$4207,MATCH(C1786,STPP!$C$6:$C$4207,0)),"Not Found"))</f>
        <v/>
      </c>
      <c r="F1786" s="27" t="str" cm="1">
        <f t="array" ref="F1786">IF(C1786="","",IFERROR(INDEX(STPP!$F$6:$F$4207,MATCH(C1786,STPP!$C$6:$C$4207,0)),"Not Found"))</f>
        <v/>
      </c>
      <c r="G1786" s="25" t="str">
        <f>IF(表1[[#This Row],[No Seri]]="","",表1[[#This Row],[Deskripsi Barang]]+表1[[#This Row],[Kuantitas]]-表1[[#This Row],[Satuan]])</f>
        <v/>
      </c>
      <c r="H1786" s="28"/>
      <c r="I1786" s="25" t="str">
        <f>IF(表1[[#This Row],[Tgl NPBG]]&gt;表1[[#This Row],[Peminta]],表1[[#This Row],[Tgl NPBG]]-表1[[#This Row],[Peminta]],"")</f>
        <v/>
      </c>
      <c r="J1786" s="31"/>
    </row>
    <row r="1787" s="12" customFormat="1" customHeight="1" spans="2:10">
      <c r="B1787" s="25"/>
      <c r="C1787" s="25"/>
      <c r="D1787" s="26" t="str" cm="1">
        <f t="array" ref="D1787">IF(C1787="","",IFERROR(INDEX(STPP!$D$6:$D$4207,MATCH(C1787,STPP!$C$6:$C$4207,0)),"Not Found"))</f>
        <v/>
      </c>
      <c r="E1787" s="27" t="str" cm="1">
        <f t="array" ref="E1787">IF(C1787="","",IFERROR(INDEX(STPP!$E$6:$E$4207,MATCH(C1787,STPP!$C$6:$C$4207,0)),"Not Found"))</f>
        <v/>
      </c>
      <c r="F1787" s="27" t="str" cm="1">
        <f t="array" ref="F1787">IF(C1787="","",IFERROR(INDEX(STPP!$F$6:$F$4207,MATCH(C1787,STPP!$C$6:$C$4207,0)),"Not Found"))</f>
        <v/>
      </c>
      <c r="G1787" s="25" t="str">
        <f>IF(表1[[#This Row],[No Seri]]="","",表1[[#This Row],[Deskripsi Barang]]+表1[[#This Row],[Kuantitas]]-表1[[#This Row],[Satuan]])</f>
        <v/>
      </c>
      <c r="H1787" s="28"/>
      <c r="I1787" s="25" t="str">
        <f>IF(表1[[#This Row],[Tgl NPBG]]&gt;表1[[#This Row],[Peminta]],表1[[#This Row],[Tgl NPBG]]-表1[[#This Row],[Peminta]],"")</f>
        <v/>
      </c>
      <c r="J1787" s="31"/>
    </row>
    <row r="1788" s="12" customFormat="1" customHeight="1" spans="2:10">
      <c r="B1788" s="25"/>
      <c r="C1788" s="25"/>
      <c r="D1788" s="26" t="str" cm="1">
        <f t="array" ref="D1788">IF(C1788="","",IFERROR(INDEX(STPP!$D$6:$D$4207,MATCH(C1788,STPP!$C$6:$C$4207,0)),"Not Found"))</f>
        <v/>
      </c>
      <c r="E1788" s="27" t="str" cm="1">
        <f t="array" ref="E1788">IF(C1788="","",IFERROR(INDEX(STPP!$E$6:$E$4207,MATCH(C1788,STPP!$C$6:$C$4207,0)),"Not Found"))</f>
        <v/>
      </c>
      <c r="F1788" s="27" t="str" cm="1">
        <f t="array" ref="F1788">IF(C1788="","",IFERROR(INDEX(STPP!$F$6:$F$4207,MATCH(C1788,STPP!$C$6:$C$4207,0)),"Not Found"))</f>
        <v/>
      </c>
      <c r="G1788" s="25" t="str">
        <f>IF(表1[[#This Row],[No Seri]]="","",表1[[#This Row],[Deskripsi Barang]]+表1[[#This Row],[Kuantitas]]-表1[[#This Row],[Satuan]])</f>
        <v/>
      </c>
      <c r="H1788" s="28"/>
      <c r="I1788" s="25" t="str">
        <f>IF(表1[[#This Row],[Tgl NPBG]]&gt;表1[[#This Row],[Peminta]],表1[[#This Row],[Tgl NPBG]]-表1[[#This Row],[Peminta]],"")</f>
        <v/>
      </c>
      <c r="J1788" s="31"/>
    </row>
    <row r="1789" s="12" customFormat="1" customHeight="1" spans="2:10">
      <c r="B1789" s="25"/>
      <c r="C1789" s="25"/>
      <c r="D1789" s="26" t="str" cm="1">
        <f t="array" ref="D1789">IF(C1789="","",IFERROR(INDEX(STPP!$D$6:$D$4207,MATCH(C1789,STPP!$C$6:$C$4207,0)),"Not Found"))</f>
        <v/>
      </c>
      <c r="E1789" s="27" t="str" cm="1">
        <f t="array" ref="E1789">IF(C1789="","",IFERROR(INDEX(STPP!$E$6:$E$4207,MATCH(C1789,STPP!$C$6:$C$4207,0)),"Not Found"))</f>
        <v/>
      </c>
      <c r="F1789" s="27" t="str" cm="1">
        <f t="array" ref="F1789">IF(C1789="","",IFERROR(INDEX(STPP!$F$6:$F$4207,MATCH(C1789,STPP!$C$6:$C$4207,0)),"Not Found"))</f>
        <v/>
      </c>
      <c r="G1789" s="25" t="str">
        <f>IF(表1[[#This Row],[No Seri]]="","",表1[[#This Row],[Deskripsi Barang]]+表1[[#This Row],[Kuantitas]]-表1[[#This Row],[Satuan]])</f>
        <v/>
      </c>
      <c r="H1789" s="28"/>
      <c r="I1789" s="25" t="str">
        <f>IF(表1[[#This Row],[Tgl NPBG]]&gt;表1[[#This Row],[Peminta]],表1[[#This Row],[Tgl NPBG]]-表1[[#This Row],[Peminta]],"")</f>
        <v/>
      </c>
      <c r="J1789" s="31"/>
    </row>
    <row r="1790" s="12" customFormat="1" customHeight="1" spans="2:10">
      <c r="B1790" s="25"/>
      <c r="C1790" s="25"/>
      <c r="D1790" s="26" t="str" cm="1">
        <f t="array" ref="D1790">IF(C1790="","",IFERROR(INDEX(STPP!$D$6:$D$4207,MATCH(C1790,STPP!$C$6:$C$4207,0)),"Not Found"))</f>
        <v/>
      </c>
      <c r="E1790" s="27" t="str" cm="1">
        <f t="array" ref="E1790">IF(C1790="","",IFERROR(INDEX(STPP!$E$6:$E$4207,MATCH(C1790,STPP!$C$6:$C$4207,0)),"Not Found"))</f>
        <v/>
      </c>
      <c r="F1790" s="27" t="str" cm="1">
        <f t="array" ref="F1790">IF(C1790="","",IFERROR(INDEX(STPP!$F$6:$F$4207,MATCH(C1790,STPP!$C$6:$C$4207,0)),"Not Found"))</f>
        <v/>
      </c>
      <c r="G1790" s="25" t="str">
        <f>IF(表1[[#This Row],[No Seri]]="","",表1[[#This Row],[Deskripsi Barang]]+表1[[#This Row],[Kuantitas]]-表1[[#This Row],[Satuan]])</f>
        <v/>
      </c>
      <c r="H1790" s="28"/>
      <c r="I1790" s="25" t="str">
        <f>IF(表1[[#This Row],[Tgl NPBG]]&gt;表1[[#This Row],[Peminta]],表1[[#This Row],[Tgl NPBG]]-表1[[#This Row],[Peminta]],"")</f>
        <v/>
      </c>
      <c r="J1790" s="31"/>
    </row>
    <row r="1791" s="12" customFormat="1" customHeight="1" spans="2:10">
      <c r="B1791" s="25"/>
      <c r="C1791" s="25"/>
      <c r="D1791" s="26" t="str" cm="1">
        <f t="array" ref="D1791">IF(C1791="","",IFERROR(INDEX(STPP!$D$6:$D$4207,MATCH(C1791,STPP!$C$6:$C$4207,0)),"Not Found"))</f>
        <v/>
      </c>
      <c r="E1791" s="27" t="str" cm="1">
        <f t="array" ref="E1791">IF(C1791="","",IFERROR(INDEX(STPP!$E$6:$E$4207,MATCH(C1791,STPP!$C$6:$C$4207,0)),"Not Found"))</f>
        <v/>
      </c>
      <c r="F1791" s="27" t="str" cm="1">
        <f t="array" ref="F1791">IF(C1791="","",IFERROR(INDEX(STPP!$F$6:$F$4207,MATCH(C1791,STPP!$C$6:$C$4207,0)),"Not Found"))</f>
        <v/>
      </c>
      <c r="G1791" s="25" t="str">
        <f>IF(表1[[#This Row],[No Seri]]="","",表1[[#This Row],[Deskripsi Barang]]+表1[[#This Row],[Kuantitas]]-表1[[#This Row],[Satuan]])</f>
        <v/>
      </c>
      <c r="H1791" s="28"/>
      <c r="I1791" s="25" t="str">
        <f>IF(表1[[#This Row],[Tgl NPBG]]&gt;表1[[#This Row],[Peminta]],表1[[#This Row],[Tgl NPBG]]-表1[[#This Row],[Peminta]],"")</f>
        <v/>
      </c>
      <c r="J1791" s="31"/>
    </row>
    <row r="1792" s="12" customFormat="1" customHeight="1" spans="2:10">
      <c r="B1792" s="25"/>
      <c r="C1792" s="25"/>
      <c r="D1792" s="26" t="str" cm="1">
        <f t="array" ref="D1792">IF(C1792="","",IFERROR(INDEX(STPP!$D$6:$D$4207,MATCH(C1792,STPP!$C$6:$C$4207,0)),"Not Found"))</f>
        <v/>
      </c>
      <c r="E1792" s="27" t="str" cm="1">
        <f t="array" ref="E1792">IF(C1792="","",IFERROR(INDEX(STPP!$E$6:$E$4207,MATCH(C1792,STPP!$C$6:$C$4207,0)),"Not Found"))</f>
        <v/>
      </c>
      <c r="F1792" s="27" t="str" cm="1">
        <f t="array" ref="F1792">IF(C1792="","",IFERROR(INDEX(STPP!$F$6:$F$4207,MATCH(C1792,STPP!$C$6:$C$4207,0)),"Not Found"))</f>
        <v/>
      </c>
      <c r="G1792" s="25" t="str">
        <f>IF(表1[[#This Row],[No Seri]]="","",表1[[#This Row],[Deskripsi Barang]]+表1[[#This Row],[Kuantitas]]-表1[[#This Row],[Satuan]])</f>
        <v/>
      </c>
      <c r="H1792" s="28"/>
      <c r="I1792" s="25" t="str">
        <f>IF(表1[[#This Row],[Tgl NPBG]]&gt;表1[[#This Row],[Peminta]],表1[[#This Row],[Tgl NPBG]]-表1[[#This Row],[Peminta]],"")</f>
        <v/>
      </c>
      <c r="J1792" s="31"/>
    </row>
    <row r="1793" s="12" customFormat="1" customHeight="1" spans="2:10">
      <c r="B1793" s="25"/>
      <c r="C1793" s="25"/>
      <c r="D1793" s="26" t="str" cm="1">
        <f t="array" ref="D1793">IF(C1793="","",IFERROR(INDEX(STPP!$D$6:$D$4207,MATCH(C1793,STPP!$C$6:$C$4207,0)),"Not Found"))</f>
        <v/>
      </c>
      <c r="E1793" s="27" t="str" cm="1">
        <f t="array" ref="E1793">IF(C1793="","",IFERROR(INDEX(STPP!$E$6:$E$4207,MATCH(C1793,STPP!$C$6:$C$4207,0)),"Not Found"))</f>
        <v/>
      </c>
      <c r="F1793" s="27" t="str" cm="1">
        <f t="array" ref="F1793">IF(C1793="","",IFERROR(INDEX(STPP!$F$6:$F$4207,MATCH(C1793,STPP!$C$6:$C$4207,0)),"Not Found"))</f>
        <v/>
      </c>
      <c r="G1793" s="25" t="str">
        <f>IF(表1[[#This Row],[No Seri]]="","",表1[[#This Row],[Deskripsi Barang]]+表1[[#This Row],[Kuantitas]]-表1[[#This Row],[Satuan]])</f>
        <v/>
      </c>
      <c r="H1793" s="28"/>
      <c r="I1793" s="25" t="str">
        <f>IF(表1[[#This Row],[Tgl NPBG]]&gt;表1[[#This Row],[Peminta]],表1[[#This Row],[Tgl NPBG]]-表1[[#This Row],[Peminta]],"")</f>
        <v/>
      </c>
      <c r="J1793" s="31"/>
    </row>
    <row r="1794" s="12" customFormat="1" customHeight="1" spans="2:10">
      <c r="B1794" s="25"/>
      <c r="C1794" s="25"/>
      <c r="D1794" s="26" t="str" cm="1">
        <f t="array" ref="D1794">IF(C1794="","",IFERROR(INDEX(STPP!$D$6:$D$4207,MATCH(C1794,STPP!$C$6:$C$4207,0)),"Not Found"))</f>
        <v/>
      </c>
      <c r="E1794" s="27" t="str" cm="1">
        <f t="array" ref="E1794">IF(C1794="","",IFERROR(INDEX(STPP!$E$6:$E$4207,MATCH(C1794,STPP!$C$6:$C$4207,0)),"Not Found"))</f>
        <v/>
      </c>
      <c r="F1794" s="27" t="str" cm="1">
        <f t="array" ref="F1794">IF(C1794="","",IFERROR(INDEX(STPP!$F$6:$F$4207,MATCH(C1794,STPP!$C$6:$C$4207,0)),"Not Found"))</f>
        <v/>
      </c>
      <c r="G1794" s="25" t="str">
        <f>IF(表1[[#This Row],[No Seri]]="","",表1[[#This Row],[Deskripsi Barang]]+表1[[#This Row],[Kuantitas]]-表1[[#This Row],[Satuan]])</f>
        <v/>
      </c>
      <c r="H1794" s="28"/>
      <c r="I1794" s="25" t="str">
        <f>IF(表1[[#This Row],[Tgl NPBG]]&gt;表1[[#This Row],[Peminta]],表1[[#This Row],[Tgl NPBG]]-表1[[#This Row],[Peminta]],"")</f>
        <v/>
      </c>
      <c r="J1794" s="31"/>
    </row>
    <row r="1795" s="12" customFormat="1" customHeight="1" spans="2:10">
      <c r="B1795" s="25"/>
      <c r="C1795" s="25"/>
      <c r="D1795" s="26" t="str" cm="1">
        <f t="array" ref="D1795">IF(C1795="","",IFERROR(INDEX(STPP!$D$6:$D$4207,MATCH(C1795,STPP!$C$6:$C$4207,0)),"Not Found"))</f>
        <v/>
      </c>
      <c r="E1795" s="27" t="str" cm="1">
        <f t="array" ref="E1795">IF(C1795="","",IFERROR(INDEX(STPP!$E$6:$E$4207,MATCH(C1795,STPP!$C$6:$C$4207,0)),"Not Found"))</f>
        <v/>
      </c>
      <c r="F1795" s="27" t="str" cm="1">
        <f t="array" ref="F1795">IF(C1795="","",IFERROR(INDEX(STPP!$F$6:$F$4207,MATCH(C1795,STPP!$C$6:$C$4207,0)),"Not Found"))</f>
        <v/>
      </c>
      <c r="G1795" s="25" t="str">
        <f>IF(表1[[#This Row],[No Seri]]="","",表1[[#This Row],[Deskripsi Barang]]+表1[[#This Row],[Kuantitas]]-表1[[#This Row],[Satuan]])</f>
        <v/>
      </c>
      <c r="H1795" s="28"/>
      <c r="I1795" s="25" t="str">
        <f>IF(表1[[#This Row],[Tgl NPBG]]&gt;表1[[#This Row],[Peminta]],表1[[#This Row],[Tgl NPBG]]-表1[[#This Row],[Peminta]],"")</f>
        <v/>
      </c>
      <c r="J1795" s="31"/>
    </row>
    <row r="1796" s="12" customFormat="1" customHeight="1" spans="2:10">
      <c r="B1796" s="25"/>
      <c r="C1796" s="25"/>
      <c r="D1796" s="26" t="str" cm="1">
        <f t="array" ref="D1796">IF(C1796="","",IFERROR(INDEX(STPP!$D$6:$D$4207,MATCH(C1796,STPP!$C$6:$C$4207,0)),"Not Found"))</f>
        <v/>
      </c>
      <c r="E1796" s="27" t="str" cm="1">
        <f t="array" ref="E1796">IF(C1796="","",IFERROR(INDEX(STPP!$E$6:$E$4207,MATCH(C1796,STPP!$C$6:$C$4207,0)),"Not Found"))</f>
        <v/>
      </c>
      <c r="F1796" s="27" t="str" cm="1">
        <f t="array" ref="F1796">IF(C1796="","",IFERROR(INDEX(STPP!$F$6:$F$4207,MATCH(C1796,STPP!$C$6:$C$4207,0)),"Not Found"))</f>
        <v/>
      </c>
      <c r="G1796" s="25" t="str">
        <f>IF(表1[[#This Row],[No Seri]]="","",表1[[#This Row],[Deskripsi Barang]]+表1[[#This Row],[Kuantitas]]-表1[[#This Row],[Satuan]])</f>
        <v/>
      </c>
      <c r="H1796" s="28"/>
      <c r="I1796" s="25" t="str">
        <f>IF(表1[[#This Row],[Tgl NPBG]]&gt;表1[[#This Row],[Peminta]],表1[[#This Row],[Tgl NPBG]]-表1[[#This Row],[Peminta]],"")</f>
        <v/>
      </c>
      <c r="J1796" s="31"/>
    </row>
    <row r="1797" s="12" customFormat="1" customHeight="1" spans="2:10">
      <c r="B1797" s="25"/>
      <c r="C1797" s="25"/>
      <c r="D1797" s="26" t="str" cm="1">
        <f t="array" ref="D1797">IF(C1797="","",IFERROR(INDEX(STPP!$D$6:$D$4207,MATCH(C1797,STPP!$C$6:$C$4207,0)),"Not Found"))</f>
        <v/>
      </c>
      <c r="E1797" s="27" t="str" cm="1">
        <f t="array" ref="E1797">IF(C1797="","",IFERROR(INDEX(STPP!$E$6:$E$4207,MATCH(C1797,STPP!$C$6:$C$4207,0)),"Not Found"))</f>
        <v/>
      </c>
      <c r="F1797" s="27" t="str" cm="1">
        <f t="array" ref="F1797">IF(C1797="","",IFERROR(INDEX(STPP!$F$6:$F$4207,MATCH(C1797,STPP!$C$6:$C$4207,0)),"Not Found"))</f>
        <v/>
      </c>
      <c r="G1797" s="25" t="str">
        <f>IF(表1[[#This Row],[No Seri]]="","",表1[[#This Row],[Deskripsi Barang]]+表1[[#This Row],[Kuantitas]]-表1[[#This Row],[Satuan]])</f>
        <v/>
      </c>
      <c r="H1797" s="28"/>
      <c r="I1797" s="25" t="str">
        <f>IF(表1[[#This Row],[Tgl NPBG]]&gt;表1[[#This Row],[Peminta]],表1[[#This Row],[Tgl NPBG]]-表1[[#This Row],[Peminta]],"")</f>
        <v/>
      </c>
      <c r="J1797" s="31"/>
    </row>
    <row r="1798" s="12" customFormat="1" customHeight="1" spans="2:10">
      <c r="B1798" s="25"/>
      <c r="C1798" s="25"/>
      <c r="D1798" s="26" t="str" cm="1">
        <f t="array" ref="D1798">IF(C1798="","",IFERROR(INDEX(STPP!$D$6:$D$4207,MATCH(C1798,STPP!$C$6:$C$4207,0)),"Not Found"))</f>
        <v/>
      </c>
      <c r="E1798" s="27" t="str" cm="1">
        <f t="array" ref="E1798">IF(C1798="","",IFERROR(INDEX(STPP!$E$6:$E$4207,MATCH(C1798,STPP!$C$6:$C$4207,0)),"Not Found"))</f>
        <v/>
      </c>
      <c r="F1798" s="27" t="str" cm="1">
        <f t="array" ref="F1798">IF(C1798="","",IFERROR(INDEX(STPP!$F$6:$F$4207,MATCH(C1798,STPP!$C$6:$C$4207,0)),"Not Found"))</f>
        <v/>
      </c>
      <c r="G1798" s="25" t="str">
        <f>IF(表1[[#This Row],[No Seri]]="","",表1[[#This Row],[Deskripsi Barang]]+表1[[#This Row],[Kuantitas]]-表1[[#This Row],[Satuan]])</f>
        <v/>
      </c>
      <c r="H1798" s="28"/>
      <c r="I1798" s="25" t="str">
        <f>IF(表1[[#This Row],[Tgl NPBG]]&gt;表1[[#This Row],[Peminta]],表1[[#This Row],[Tgl NPBG]]-表1[[#This Row],[Peminta]],"")</f>
        <v/>
      </c>
      <c r="J1798" s="31"/>
    </row>
    <row r="1799" s="12" customFormat="1" customHeight="1" spans="2:10">
      <c r="B1799" s="25"/>
      <c r="C1799" s="25"/>
      <c r="D1799" s="26" t="str" cm="1">
        <f t="array" ref="D1799">IF(C1799="","",IFERROR(INDEX(STPP!$D$6:$D$4207,MATCH(C1799,STPP!$C$6:$C$4207,0)),"Not Found"))</f>
        <v/>
      </c>
      <c r="E1799" s="27" t="str" cm="1">
        <f t="array" ref="E1799">IF(C1799="","",IFERROR(INDEX(STPP!$E$6:$E$4207,MATCH(C1799,STPP!$C$6:$C$4207,0)),"Not Found"))</f>
        <v/>
      </c>
      <c r="F1799" s="27" t="str" cm="1">
        <f t="array" ref="F1799">IF(C1799="","",IFERROR(INDEX(STPP!$F$6:$F$4207,MATCH(C1799,STPP!$C$6:$C$4207,0)),"Not Found"))</f>
        <v/>
      </c>
      <c r="G1799" s="25" t="str">
        <f>IF(表1[[#This Row],[No Seri]]="","",表1[[#This Row],[Deskripsi Barang]]+表1[[#This Row],[Kuantitas]]-表1[[#This Row],[Satuan]])</f>
        <v/>
      </c>
      <c r="H1799" s="28"/>
      <c r="I1799" s="25" t="str">
        <f>IF(表1[[#This Row],[Tgl NPBG]]&gt;表1[[#This Row],[Peminta]],表1[[#This Row],[Tgl NPBG]]-表1[[#This Row],[Peminta]],"")</f>
        <v/>
      </c>
      <c r="J1799" s="31"/>
    </row>
    <row r="1800" s="12" customFormat="1" customHeight="1" spans="2:10">
      <c r="B1800" s="25"/>
      <c r="C1800" s="25"/>
      <c r="D1800" s="26" t="str" cm="1">
        <f t="array" ref="D1800">IF(C1800="","",IFERROR(INDEX(STPP!$D$6:$D$4207,MATCH(C1800,STPP!$C$6:$C$4207,0)),"Not Found"))</f>
        <v/>
      </c>
      <c r="E1800" s="27" t="str" cm="1">
        <f t="array" ref="E1800">IF(C1800="","",IFERROR(INDEX(STPP!$E$6:$E$4207,MATCH(C1800,STPP!$C$6:$C$4207,0)),"Not Found"))</f>
        <v/>
      </c>
      <c r="F1800" s="27" t="str" cm="1">
        <f t="array" ref="F1800">IF(C1800="","",IFERROR(INDEX(STPP!$F$6:$F$4207,MATCH(C1800,STPP!$C$6:$C$4207,0)),"Not Found"))</f>
        <v/>
      </c>
      <c r="G1800" s="25" t="str">
        <f>IF(表1[[#This Row],[No Seri]]="","",表1[[#This Row],[Deskripsi Barang]]+表1[[#This Row],[Kuantitas]]-表1[[#This Row],[Satuan]])</f>
        <v/>
      </c>
      <c r="H1800" s="28"/>
      <c r="I1800" s="25" t="str">
        <f>IF(表1[[#This Row],[Tgl NPBG]]&gt;表1[[#This Row],[Peminta]],表1[[#This Row],[Tgl NPBG]]-表1[[#This Row],[Peminta]],"")</f>
        <v/>
      </c>
      <c r="J1800" s="31"/>
    </row>
    <row r="1801" s="12" customFormat="1" customHeight="1" spans="2:10">
      <c r="B1801" s="25"/>
      <c r="C1801" s="25"/>
      <c r="D1801" s="26" t="str" cm="1">
        <f t="array" ref="D1801">IF(C1801="","",IFERROR(INDEX(STPP!$D$6:$D$4207,MATCH(C1801,STPP!$C$6:$C$4207,0)),"Not Found"))</f>
        <v/>
      </c>
      <c r="E1801" s="27" t="str" cm="1">
        <f t="array" ref="E1801">IF(C1801="","",IFERROR(INDEX(STPP!$E$6:$E$4207,MATCH(C1801,STPP!$C$6:$C$4207,0)),"Not Found"))</f>
        <v/>
      </c>
      <c r="F1801" s="27" t="str" cm="1">
        <f t="array" ref="F1801">IF(C1801="","",IFERROR(INDEX(STPP!$F$6:$F$4207,MATCH(C1801,STPP!$C$6:$C$4207,0)),"Not Found"))</f>
        <v/>
      </c>
      <c r="G1801" s="25" t="str">
        <f>IF(表1[[#This Row],[No Seri]]="","",表1[[#This Row],[Deskripsi Barang]]+表1[[#This Row],[Kuantitas]]-表1[[#This Row],[Satuan]])</f>
        <v/>
      </c>
      <c r="H1801" s="28"/>
      <c r="I1801" s="25" t="str">
        <f>IF(表1[[#This Row],[Tgl NPBG]]&gt;表1[[#This Row],[Peminta]],表1[[#This Row],[Tgl NPBG]]-表1[[#This Row],[Peminta]],"")</f>
        <v/>
      </c>
      <c r="J1801" s="31"/>
    </row>
    <row r="1802" s="12" customFormat="1" customHeight="1" spans="2:10">
      <c r="B1802" s="25"/>
      <c r="C1802" s="25"/>
      <c r="D1802" s="26" t="str" cm="1">
        <f t="array" ref="D1802">IF(C1802="","",IFERROR(INDEX(STPP!$D$6:$D$4207,MATCH(C1802,STPP!$C$6:$C$4207,0)),"Not Found"))</f>
        <v/>
      </c>
      <c r="E1802" s="27" t="str" cm="1">
        <f t="array" ref="E1802">IF(C1802="","",IFERROR(INDEX(STPP!$E$6:$E$4207,MATCH(C1802,STPP!$C$6:$C$4207,0)),"Not Found"))</f>
        <v/>
      </c>
      <c r="F1802" s="27" t="str" cm="1">
        <f t="array" ref="F1802">IF(C1802="","",IFERROR(INDEX(STPP!$F$6:$F$4207,MATCH(C1802,STPP!$C$6:$C$4207,0)),"Not Found"))</f>
        <v/>
      </c>
      <c r="G1802" s="25" t="str">
        <f>IF(表1[[#This Row],[No Seri]]="","",表1[[#This Row],[Deskripsi Barang]]+表1[[#This Row],[Kuantitas]]-表1[[#This Row],[Satuan]])</f>
        <v/>
      </c>
      <c r="H1802" s="28"/>
      <c r="I1802" s="25" t="str">
        <f>IF(表1[[#This Row],[Tgl NPBG]]&gt;表1[[#This Row],[Peminta]],表1[[#This Row],[Tgl NPBG]]-表1[[#This Row],[Peminta]],"")</f>
        <v/>
      </c>
      <c r="J1802" s="31"/>
    </row>
    <row r="1803" s="12" customFormat="1" customHeight="1" spans="2:10">
      <c r="B1803" s="25"/>
      <c r="C1803" s="25"/>
      <c r="D1803" s="26" t="str" cm="1">
        <f t="array" ref="D1803">IF(C1803="","",IFERROR(INDEX(STPP!$D$6:$D$4207,MATCH(C1803,STPP!$C$6:$C$4207,0)),"Not Found"))</f>
        <v/>
      </c>
      <c r="E1803" s="27" t="str" cm="1">
        <f t="array" ref="E1803">IF(C1803="","",IFERROR(INDEX(STPP!$E$6:$E$4207,MATCH(C1803,STPP!$C$6:$C$4207,0)),"Not Found"))</f>
        <v/>
      </c>
      <c r="F1803" s="27" t="str" cm="1">
        <f t="array" ref="F1803">IF(C1803="","",IFERROR(INDEX(STPP!$F$6:$F$4207,MATCH(C1803,STPP!$C$6:$C$4207,0)),"Not Found"))</f>
        <v/>
      </c>
      <c r="G1803" s="25" t="str">
        <f>IF(表1[[#This Row],[No Seri]]="","",表1[[#This Row],[Deskripsi Barang]]+表1[[#This Row],[Kuantitas]]-表1[[#This Row],[Satuan]])</f>
        <v/>
      </c>
      <c r="H1803" s="28"/>
      <c r="I1803" s="25" t="str">
        <f>IF(表1[[#This Row],[Tgl NPBG]]&gt;表1[[#This Row],[Peminta]],表1[[#This Row],[Tgl NPBG]]-表1[[#This Row],[Peminta]],"")</f>
        <v/>
      </c>
      <c r="J1803" s="31"/>
    </row>
    <row r="1804" s="12" customFormat="1" customHeight="1" spans="2:10">
      <c r="B1804" s="25"/>
      <c r="C1804" s="25"/>
      <c r="D1804" s="26" t="str" cm="1">
        <f t="array" ref="D1804">IF(C1804="","",IFERROR(INDEX(STPP!$D$6:$D$4207,MATCH(C1804,STPP!$C$6:$C$4207,0)),"Not Found"))</f>
        <v/>
      </c>
      <c r="E1804" s="27" t="str" cm="1">
        <f t="array" ref="E1804">IF(C1804="","",IFERROR(INDEX(STPP!$E$6:$E$4207,MATCH(C1804,STPP!$C$6:$C$4207,0)),"Not Found"))</f>
        <v/>
      </c>
      <c r="F1804" s="27" t="str" cm="1">
        <f t="array" ref="F1804">IF(C1804="","",IFERROR(INDEX(STPP!$F$6:$F$4207,MATCH(C1804,STPP!$C$6:$C$4207,0)),"Not Found"))</f>
        <v/>
      </c>
      <c r="G1804" s="25" t="str">
        <f>IF(表1[[#This Row],[No Seri]]="","",表1[[#This Row],[Deskripsi Barang]]+表1[[#This Row],[Kuantitas]]-表1[[#This Row],[Satuan]])</f>
        <v/>
      </c>
      <c r="H1804" s="28"/>
      <c r="I1804" s="25" t="str">
        <f>IF(表1[[#This Row],[Tgl NPBG]]&gt;表1[[#This Row],[Peminta]],表1[[#This Row],[Tgl NPBG]]-表1[[#This Row],[Peminta]],"")</f>
        <v/>
      </c>
      <c r="J1804" s="31"/>
    </row>
    <row r="1805" s="12" customFormat="1" customHeight="1" spans="2:10">
      <c r="B1805" s="25"/>
      <c r="C1805" s="25"/>
      <c r="D1805" s="26" t="str" cm="1">
        <f t="array" ref="D1805">IF(C1805="","",IFERROR(INDEX(STPP!$D$6:$D$4207,MATCH(C1805,STPP!$C$6:$C$4207,0)),"Not Found"))</f>
        <v/>
      </c>
      <c r="E1805" s="27" t="str" cm="1">
        <f t="array" ref="E1805">IF(C1805="","",IFERROR(INDEX(STPP!$E$6:$E$4207,MATCH(C1805,STPP!$C$6:$C$4207,0)),"Not Found"))</f>
        <v/>
      </c>
      <c r="F1805" s="27" t="str" cm="1">
        <f t="array" ref="F1805">IF(C1805="","",IFERROR(INDEX(STPP!$F$6:$F$4207,MATCH(C1805,STPP!$C$6:$C$4207,0)),"Not Found"))</f>
        <v/>
      </c>
      <c r="G1805" s="25" t="str">
        <f>IF(表1[[#This Row],[No Seri]]="","",表1[[#This Row],[Deskripsi Barang]]+表1[[#This Row],[Kuantitas]]-表1[[#This Row],[Satuan]])</f>
        <v/>
      </c>
      <c r="H1805" s="28"/>
      <c r="I1805" s="25" t="str">
        <f>IF(表1[[#This Row],[Tgl NPBG]]&gt;表1[[#This Row],[Peminta]],表1[[#This Row],[Tgl NPBG]]-表1[[#This Row],[Peminta]],"")</f>
        <v/>
      </c>
      <c r="J1805" s="31"/>
    </row>
    <row r="1806" s="12" customFormat="1" customHeight="1" spans="2:10">
      <c r="B1806" s="25"/>
      <c r="C1806" s="25"/>
      <c r="D1806" s="26" t="str" cm="1">
        <f t="array" ref="D1806">IF(C1806="","",IFERROR(INDEX(STPP!$D$6:$D$4207,MATCH(C1806,STPP!$C$6:$C$4207,0)),"Not Found"))</f>
        <v/>
      </c>
      <c r="E1806" s="27" t="str" cm="1">
        <f t="array" ref="E1806">IF(C1806="","",IFERROR(INDEX(STPP!$E$6:$E$4207,MATCH(C1806,STPP!$C$6:$C$4207,0)),"Not Found"))</f>
        <v/>
      </c>
      <c r="F1806" s="27" t="str" cm="1">
        <f t="array" ref="F1806">IF(C1806="","",IFERROR(INDEX(STPP!$F$6:$F$4207,MATCH(C1806,STPP!$C$6:$C$4207,0)),"Not Found"))</f>
        <v/>
      </c>
      <c r="G1806" s="25" t="str">
        <f>IF(表1[[#This Row],[No Seri]]="","",表1[[#This Row],[Deskripsi Barang]]+表1[[#This Row],[Kuantitas]]-表1[[#This Row],[Satuan]])</f>
        <v/>
      </c>
      <c r="H1806" s="28"/>
      <c r="I1806" s="25" t="str">
        <f>IF(表1[[#This Row],[Tgl NPBG]]&gt;表1[[#This Row],[Peminta]],表1[[#This Row],[Tgl NPBG]]-表1[[#This Row],[Peminta]],"")</f>
        <v/>
      </c>
      <c r="J1806" s="31"/>
    </row>
    <row r="1807" s="12" customFormat="1" customHeight="1" spans="2:10">
      <c r="B1807" s="25"/>
      <c r="C1807" s="25"/>
      <c r="D1807" s="26" t="str" cm="1">
        <f t="array" ref="D1807">IF(C1807="","",IFERROR(INDEX(STPP!$D$6:$D$4207,MATCH(C1807,STPP!$C$6:$C$4207,0)),"Not Found"))</f>
        <v/>
      </c>
      <c r="E1807" s="27" t="str" cm="1">
        <f t="array" ref="E1807">IF(C1807="","",IFERROR(INDEX(STPP!$E$6:$E$4207,MATCH(C1807,STPP!$C$6:$C$4207,0)),"Not Found"))</f>
        <v/>
      </c>
      <c r="F1807" s="27" t="str" cm="1">
        <f t="array" ref="F1807">IF(C1807="","",IFERROR(INDEX(STPP!$F$6:$F$4207,MATCH(C1807,STPP!$C$6:$C$4207,0)),"Not Found"))</f>
        <v/>
      </c>
      <c r="G1807" s="25" t="str">
        <f>IF(表1[[#This Row],[No Seri]]="","",表1[[#This Row],[Deskripsi Barang]]+表1[[#This Row],[Kuantitas]]-表1[[#This Row],[Satuan]])</f>
        <v/>
      </c>
      <c r="H1807" s="28"/>
      <c r="I1807" s="25" t="str">
        <f>IF(表1[[#This Row],[Tgl NPBG]]&gt;表1[[#This Row],[Peminta]],表1[[#This Row],[Tgl NPBG]]-表1[[#This Row],[Peminta]],"")</f>
        <v/>
      </c>
      <c r="J1807" s="31"/>
    </row>
    <row r="1808" s="12" customFormat="1" customHeight="1" spans="2:10">
      <c r="B1808" s="25"/>
      <c r="C1808" s="25"/>
      <c r="D1808" s="26" t="str" cm="1">
        <f t="array" ref="D1808">IF(C1808="","",IFERROR(INDEX(STPP!$D$6:$D$4207,MATCH(C1808,STPP!$C$6:$C$4207,0)),"Not Found"))</f>
        <v/>
      </c>
      <c r="E1808" s="27" t="str" cm="1">
        <f t="array" ref="E1808">IF(C1808="","",IFERROR(INDEX(STPP!$E$6:$E$4207,MATCH(C1808,STPP!$C$6:$C$4207,0)),"Not Found"))</f>
        <v/>
      </c>
      <c r="F1808" s="27" t="str" cm="1">
        <f t="array" ref="F1808">IF(C1808="","",IFERROR(INDEX(STPP!$F$6:$F$4207,MATCH(C1808,STPP!$C$6:$C$4207,0)),"Not Found"))</f>
        <v/>
      </c>
      <c r="G1808" s="25" t="str">
        <f>IF(表1[[#This Row],[No Seri]]="","",表1[[#This Row],[Deskripsi Barang]]+表1[[#This Row],[Kuantitas]]-表1[[#This Row],[Satuan]])</f>
        <v/>
      </c>
      <c r="H1808" s="28"/>
      <c r="I1808" s="25" t="str">
        <f>IF(表1[[#This Row],[Tgl NPBG]]&gt;表1[[#This Row],[Peminta]],表1[[#This Row],[Tgl NPBG]]-表1[[#This Row],[Peminta]],"")</f>
        <v/>
      </c>
      <c r="J1808" s="31"/>
    </row>
    <row r="1809" s="12" customFormat="1" customHeight="1" spans="2:10">
      <c r="B1809" s="25"/>
      <c r="C1809" s="25"/>
      <c r="D1809" s="26" t="str" cm="1">
        <f t="array" ref="D1809">IF(C1809="","",IFERROR(INDEX(STPP!$D$6:$D$4207,MATCH(C1809,STPP!$C$6:$C$4207,0)),"Not Found"))</f>
        <v/>
      </c>
      <c r="E1809" s="27" t="str" cm="1">
        <f t="array" ref="E1809">IF(C1809="","",IFERROR(INDEX(STPP!$E$6:$E$4207,MATCH(C1809,STPP!$C$6:$C$4207,0)),"Not Found"))</f>
        <v/>
      </c>
      <c r="F1809" s="27" t="str" cm="1">
        <f t="array" ref="F1809">IF(C1809="","",IFERROR(INDEX(STPP!$F$6:$F$4207,MATCH(C1809,STPP!$C$6:$C$4207,0)),"Not Found"))</f>
        <v/>
      </c>
      <c r="G1809" s="25" t="str">
        <f>IF(表1[[#This Row],[No Seri]]="","",表1[[#This Row],[Deskripsi Barang]]+表1[[#This Row],[Kuantitas]]-表1[[#This Row],[Satuan]])</f>
        <v/>
      </c>
      <c r="H1809" s="28"/>
      <c r="I1809" s="25" t="str">
        <f>IF(表1[[#This Row],[Tgl NPBG]]&gt;表1[[#This Row],[Peminta]],表1[[#This Row],[Tgl NPBG]]-表1[[#This Row],[Peminta]],"")</f>
        <v/>
      </c>
      <c r="J1809" s="31"/>
    </row>
    <row r="1810" s="12" customFormat="1" customHeight="1" spans="2:10">
      <c r="B1810" s="25"/>
      <c r="C1810" s="25"/>
      <c r="D1810" s="26" t="str" cm="1">
        <f t="array" ref="D1810">IF(C1810="","",IFERROR(INDEX(STPP!$D$6:$D$4207,MATCH(C1810,STPP!$C$6:$C$4207,0)),"Not Found"))</f>
        <v/>
      </c>
      <c r="E1810" s="27" t="str" cm="1">
        <f t="array" ref="E1810">IF(C1810="","",IFERROR(INDEX(STPP!$E$6:$E$4207,MATCH(C1810,STPP!$C$6:$C$4207,0)),"Not Found"))</f>
        <v/>
      </c>
      <c r="F1810" s="27" t="str" cm="1">
        <f t="array" ref="F1810">IF(C1810="","",IFERROR(INDEX(STPP!$F$6:$F$4207,MATCH(C1810,STPP!$C$6:$C$4207,0)),"Not Found"))</f>
        <v/>
      </c>
      <c r="G1810" s="25" t="str">
        <f>IF(表1[[#This Row],[No Seri]]="","",表1[[#This Row],[Deskripsi Barang]]+表1[[#This Row],[Kuantitas]]-表1[[#This Row],[Satuan]])</f>
        <v/>
      </c>
      <c r="H1810" s="28"/>
      <c r="I1810" s="25" t="str">
        <f>IF(表1[[#This Row],[Tgl NPBG]]&gt;表1[[#This Row],[Peminta]],表1[[#This Row],[Tgl NPBG]]-表1[[#This Row],[Peminta]],"")</f>
        <v/>
      </c>
      <c r="J1810" s="31"/>
    </row>
    <row r="1811" s="12" customFormat="1" customHeight="1" spans="2:10">
      <c r="B1811" s="25"/>
      <c r="C1811" s="25"/>
      <c r="D1811" s="26" t="str" cm="1">
        <f t="array" ref="D1811">IF(C1811="","",IFERROR(INDEX(STPP!$D$6:$D$4207,MATCH(C1811,STPP!$C$6:$C$4207,0)),"Not Found"))</f>
        <v/>
      </c>
      <c r="E1811" s="27" t="str" cm="1">
        <f t="array" ref="E1811">IF(C1811="","",IFERROR(INDEX(STPP!$E$6:$E$4207,MATCH(C1811,STPP!$C$6:$C$4207,0)),"Not Found"))</f>
        <v/>
      </c>
      <c r="F1811" s="27" t="str" cm="1">
        <f t="array" ref="F1811">IF(C1811="","",IFERROR(INDEX(STPP!$F$6:$F$4207,MATCH(C1811,STPP!$C$6:$C$4207,0)),"Not Found"))</f>
        <v/>
      </c>
      <c r="G1811" s="25" t="str">
        <f>IF(表1[[#This Row],[No Seri]]="","",表1[[#This Row],[Deskripsi Barang]]+表1[[#This Row],[Kuantitas]]-表1[[#This Row],[Satuan]])</f>
        <v/>
      </c>
      <c r="H1811" s="28"/>
      <c r="I1811" s="25" t="str">
        <f>IF(表1[[#This Row],[Tgl NPBG]]&gt;表1[[#This Row],[Peminta]],表1[[#This Row],[Tgl NPBG]]-表1[[#This Row],[Peminta]],"")</f>
        <v/>
      </c>
      <c r="J1811" s="31"/>
    </row>
    <row r="1812" s="12" customFormat="1" customHeight="1" spans="2:10">
      <c r="B1812" s="25"/>
      <c r="C1812" s="25"/>
      <c r="D1812" s="26" t="str" cm="1">
        <f t="array" ref="D1812">IF(C1812="","",IFERROR(INDEX(STPP!$D$6:$D$4207,MATCH(C1812,STPP!$C$6:$C$4207,0)),"Not Found"))</f>
        <v/>
      </c>
      <c r="E1812" s="27" t="str" cm="1">
        <f t="array" ref="E1812">IF(C1812="","",IFERROR(INDEX(STPP!$E$6:$E$4207,MATCH(C1812,STPP!$C$6:$C$4207,0)),"Not Found"))</f>
        <v/>
      </c>
      <c r="F1812" s="27" t="str" cm="1">
        <f t="array" ref="F1812">IF(C1812="","",IFERROR(INDEX(STPP!$F$6:$F$4207,MATCH(C1812,STPP!$C$6:$C$4207,0)),"Not Found"))</f>
        <v/>
      </c>
      <c r="G1812" s="25" t="str">
        <f>IF(表1[[#This Row],[No Seri]]="","",表1[[#This Row],[Deskripsi Barang]]+表1[[#This Row],[Kuantitas]]-表1[[#This Row],[Satuan]])</f>
        <v/>
      </c>
      <c r="H1812" s="28"/>
      <c r="I1812" s="25" t="str">
        <f>IF(表1[[#This Row],[Tgl NPBG]]&gt;表1[[#This Row],[Peminta]],表1[[#This Row],[Tgl NPBG]]-表1[[#This Row],[Peminta]],"")</f>
        <v/>
      </c>
      <c r="J1812" s="31"/>
    </row>
    <row r="1813" s="12" customFormat="1" customHeight="1" spans="2:10">
      <c r="B1813" s="25"/>
      <c r="C1813" s="25"/>
      <c r="D1813" s="26" t="str" cm="1">
        <f t="array" ref="D1813">IF(C1813="","",IFERROR(INDEX(STPP!$D$6:$D$4207,MATCH(C1813,STPP!$C$6:$C$4207,0)),"Not Found"))</f>
        <v/>
      </c>
      <c r="E1813" s="27" t="str" cm="1">
        <f t="array" ref="E1813">IF(C1813="","",IFERROR(INDEX(STPP!$E$6:$E$4207,MATCH(C1813,STPP!$C$6:$C$4207,0)),"Not Found"))</f>
        <v/>
      </c>
      <c r="F1813" s="27" t="str" cm="1">
        <f t="array" ref="F1813">IF(C1813="","",IFERROR(INDEX(STPP!$F$6:$F$4207,MATCH(C1813,STPP!$C$6:$C$4207,0)),"Not Found"))</f>
        <v/>
      </c>
      <c r="G1813" s="25" t="str">
        <f>IF(表1[[#This Row],[No Seri]]="","",表1[[#This Row],[Deskripsi Barang]]+表1[[#This Row],[Kuantitas]]-表1[[#This Row],[Satuan]])</f>
        <v/>
      </c>
      <c r="H1813" s="28"/>
      <c r="I1813" s="25" t="str">
        <f>IF(表1[[#This Row],[Tgl NPBG]]&gt;表1[[#This Row],[Peminta]],表1[[#This Row],[Tgl NPBG]]-表1[[#This Row],[Peminta]],"")</f>
        <v/>
      </c>
      <c r="J1813" s="31"/>
    </row>
    <row r="1814" s="12" customFormat="1" customHeight="1" spans="2:10">
      <c r="B1814" s="25"/>
      <c r="C1814" s="25"/>
      <c r="D1814" s="26" t="str" cm="1">
        <f t="array" ref="D1814">IF(C1814="","",IFERROR(INDEX(STPP!$D$6:$D$4207,MATCH(C1814,STPP!$C$6:$C$4207,0)),"Not Found"))</f>
        <v/>
      </c>
      <c r="E1814" s="27" t="str" cm="1">
        <f t="array" ref="E1814">IF(C1814="","",IFERROR(INDEX(STPP!$E$6:$E$4207,MATCH(C1814,STPP!$C$6:$C$4207,0)),"Not Found"))</f>
        <v/>
      </c>
      <c r="F1814" s="27" t="str" cm="1">
        <f t="array" ref="F1814">IF(C1814="","",IFERROR(INDEX(STPP!$F$6:$F$4207,MATCH(C1814,STPP!$C$6:$C$4207,0)),"Not Found"))</f>
        <v/>
      </c>
      <c r="G1814" s="25" t="str">
        <f>IF(表1[[#This Row],[No Seri]]="","",表1[[#This Row],[Deskripsi Barang]]+表1[[#This Row],[Kuantitas]]-表1[[#This Row],[Satuan]])</f>
        <v/>
      </c>
      <c r="H1814" s="28"/>
      <c r="I1814" s="25" t="str">
        <f>IF(表1[[#This Row],[Tgl NPBG]]&gt;表1[[#This Row],[Peminta]],表1[[#This Row],[Tgl NPBG]]-表1[[#This Row],[Peminta]],"")</f>
        <v/>
      </c>
      <c r="J1814" s="31"/>
    </row>
    <row r="1815" s="12" customFormat="1" customHeight="1" spans="2:10">
      <c r="B1815" s="25"/>
      <c r="C1815" s="25"/>
      <c r="D1815" s="26" t="str" cm="1">
        <f t="array" ref="D1815">IF(C1815="","",IFERROR(INDEX(STPP!$D$6:$D$4207,MATCH(C1815,STPP!$C$6:$C$4207,0)),"Not Found"))</f>
        <v/>
      </c>
      <c r="E1815" s="27" t="str" cm="1">
        <f t="array" ref="E1815">IF(C1815="","",IFERROR(INDEX(STPP!$E$6:$E$4207,MATCH(C1815,STPP!$C$6:$C$4207,0)),"Not Found"))</f>
        <v/>
      </c>
      <c r="F1815" s="27" t="str" cm="1">
        <f t="array" ref="F1815">IF(C1815="","",IFERROR(INDEX(STPP!$F$6:$F$4207,MATCH(C1815,STPP!$C$6:$C$4207,0)),"Not Found"))</f>
        <v/>
      </c>
      <c r="G1815" s="25" t="str">
        <f>IF(表1[[#This Row],[No Seri]]="","",表1[[#This Row],[Deskripsi Barang]]+表1[[#This Row],[Kuantitas]]-表1[[#This Row],[Satuan]])</f>
        <v/>
      </c>
      <c r="H1815" s="28"/>
      <c r="I1815" s="25" t="str">
        <f>IF(表1[[#This Row],[Tgl NPBG]]&gt;表1[[#This Row],[Peminta]],表1[[#This Row],[Tgl NPBG]]-表1[[#This Row],[Peminta]],"")</f>
        <v/>
      </c>
      <c r="J1815" s="31"/>
    </row>
    <row r="1816" s="12" customFormat="1" customHeight="1" spans="2:10">
      <c r="B1816" s="25"/>
      <c r="C1816" s="25"/>
      <c r="D1816" s="26" t="str" cm="1">
        <f t="array" ref="D1816">IF(C1816="","",IFERROR(INDEX(STPP!$D$6:$D$4207,MATCH(C1816,STPP!$C$6:$C$4207,0)),"Not Found"))</f>
        <v/>
      </c>
      <c r="E1816" s="27" t="str" cm="1">
        <f t="array" ref="E1816">IF(C1816="","",IFERROR(INDEX(STPP!$E$6:$E$4207,MATCH(C1816,STPP!$C$6:$C$4207,0)),"Not Found"))</f>
        <v/>
      </c>
      <c r="F1816" s="27" t="str" cm="1">
        <f t="array" ref="F1816">IF(C1816="","",IFERROR(INDEX(STPP!$F$6:$F$4207,MATCH(C1816,STPP!$C$6:$C$4207,0)),"Not Found"))</f>
        <v/>
      </c>
      <c r="G1816" s="25" t="str">
        <f>IF(表1[[#This Row],[No Seri]]="","",表1[[#This Row],[Deskripsi Barang]]+表1[[#This Row],[Kuantitas]]-表1[[#This Row],[Satuan]])</f>
        <v/>
      </c>
      <c r="H1816" s="28"/>
      <c r="I1816" s="25" t="str">
        <f>IF(表1[[#This Row],[Tgl NPBG]]&gt;表1[[#This Row],[Peminta]],表1[[#This Row],[Tgl NPBG]]-表1[[#This Row],[Peminta]],"")</f>
        <v/>
      </c>
      <c r="J1816" s="31"/>
    </row>
    <row r="1817" s="12" customFormat="1" customHeight="1" spans="2:10">
      <c r="B1817" s="25"/>
      <c r="C1817" s="25"/>
      <c r="D1817" s="26" t="str" cm="1">
        <f t="array" ref="D1817">IF(C1817="","",IFERROR(INDEX(STPP!$D$6:$D$4207,MATCH(C1817,STPP!$C$6:$C$4207,0)),"Not Found"))</f>
        <v/>
      </c>
      <c r="E1817" s="27" t="str" cm="1">
        <f t="array" ref="E1817">IF(C1817="","",IFERROR(INDEX(STPP!$E$6:$E$4207,MATCH(C1817,STPP!$C$6:$C$4207,0)),"Not Found"))</f>
        <v/>
      </c>
      <c r="F1817" s="27" t="str" cm="1">
        <f t="array" ref="F1817">IF(C1817="","",IFERROR(INDEX(STPP!$F$6:$F$4207,MATCH(C1817,STPP!$C$6:$C$4207,0)),"Not Found"))</f>
        <v/>
      </c>
      <c r="G1817" s="25" t="str">
        <f>IF(表1[[#This Row],[No Seri]]="","",表1[[#This Row],[Deskripsi Barang]]+表1[[#This Row],[Kuantitas]]-表1[[#This Row],[Satuan]])</f>
        <v/>
      </c>
      <c r="H1817" s="28"/>
      <c r="I1817" s="25" t="str">
        <f>IF(表1[[#This Row],[Tgl NPBG]]&gt;表1[[#This Row],[Peminta]],表1[[#This Row],[Tgl NPBG]]-表1[[#This Row],[Peminta]],"")</f>
        <v/>
      </c>
      <c r="J1817" s="31"/>
    </row>
    <row r="1818" s="12" customFormat="1" customHeight="1" spans="2:10">
      <c r="B1818" s="25"/>
      <c r="C1818" s="25"/>
      <c r="D1818" s="26" t="str" cm="1">
        <f t="array" ref="D1818">IF(C1818="","",IFERROR(INDEX(STPP!$D$6:$D$4207,MATCH(C1818,STPP!$C$6:$C$4207,0)),"Not Found"))</f>
        <v/>
      </c>
      <c r="E1818" s="27" t="str" cm="1">
        <f t="array" ref="E1818">IF(C1818="","",IFERROR(INDEX(STPP!$E$6:$E$4207,MATCH(C1818,STPP!$C$6:$C$4207,0)),"Not Found"))</f>
        <v/>
      </c>
      <c r="F1818" s="27" t="str" cm="1">
        <f t="array" ref="F1818">IF(C1818="","",IFERROR(INDEX(STPP!$F$6:$F$4207,MATCH(C1818,STPP!$C$6:$C$4207,0)),"Not Found"))</f>
        <v/>
      </c>
      <c r="G1818" s="25" t="str">
        <f>IF(表1[[#This Row],[No Seri]]="","",表1[[#This Row],[Deskripsi Barang]]+表1[[#This Row],[Kuantitas]]-表1[[#This Row],[Satuan]])</f>
        <v/>
      </c>
      <c r="H1818" s="28"/>
      <c r="I1818" s="25" t="str">
        <f>IF(表1[[#This Row],[Tgl NPBG]]&gt;表1[[#This Row],[Peminta]],表1[[#This Row],[Tgl NPBG]]-表1[[#This Row],[Peminta]],"")</f>
        <v/>
      </c>
      <c r="J1818" s="31"/>
    </row>
    <row r="1819" s="12" customFormat="1" customHeight="1" spans="2:10">
      <c r="B1819" s="25"/>
      <c r="C1819" s="25"/>
      <c r="D1819" s="26" t="str" cm="1">
        <f t="array" ref="D1819">IF(C1819="","",IFERROR(INDEX(STPP!$D$6:$D$4207,MATCH(C1819,STPP!$C$6:$C$4207,0)),"Not Found"))</f>
        <v/>
      </c>
      <c r="E1819" s="27" t="str" cm="1">
        <f t="array" ref="E1819">IF(C1819="","",IFERROR(INDEX(STPP!$E$6:$E$4207,MATCH(C1819,STPP!$C$6:$C$4207,0)),"Not Found"))</f>
        <v/>
      </c>
      <c r="F1819" s="27" t="str" cm="1">
        <f t="array" ref="F1819">IF(C1819="","",IFERROR(INDEX(STPP!$F$6:$F$4207,MATCH(C1819,STPP!$C$6:$C$4207,0)),"Not Found"))</f>
        <v/>
      </c>
      <c r="G1819" s="25" t="str">
        <f>IF(表1[[#This Row],[No Seri]]="","",表1[[#This Row],[Deskripsi Barang]]+表1[[#This Row],[Kuantitas]]-表1[[#This Row],[Satuan]])</f>
        <v/>
      </c>
      <c r="H1819" s="28"/>
      <c r="I1819" s="25" t="str">
        <f>IF(表1[[#This Row],[Tgl NPBG]]&gt;表1[[#This Row],[Peminta]],表1[[#This Row],[Tgl NPBG]]-表1[[#This Row],[Peminta]],"")</f>
        <v/>
      </c>
      <c r="J1819" s="31"/>
    </row>
    <row r="1820" s="12" customFormat="1" customHeight="1" spans="2:10">
      <c r="B1820" s="25"/>
      <c r="C1820" s="25"/>
      <c r="D1820" s="26" t="str" cm="1">
        <f t="array" ref="D1820">IF(C1820="","",IFERROR(INDEX(STPP!$D$6:$D$4207,MATCH(C1820,STPP!$C$6:$C$4207,0)),"Not Found"))</f>
        <v/>
      </c>
      <c r="E1820" s="27" t="str" cm="1">
        <f t="array" ref="E1820">IF(C1820="","",IFERROR(INDEX(STPP!$E$6:$E$4207,MATCH(C1820,STPP!$C$6:$C$4207,0)),"Not Found"))</f>
        <v/>
      </c>
      <c r="F1820" s="27" t="str" cm="1">
        <f t="array" ref="F1820">IF(C1820="","",IFERROR(INDEX(STPP!$F$6:$F$4207,MATCH(C1820,STPP!$C$6:$C$4207,0)),"Not Found"))</f>
        <v/>
      </c>
      <c r="G1820" s="25" t="str">
        <f>IF(表1[[#This Row],[No Seri]]="","",表1[[#This Row],[Deskripsi Barang]]+表1[[#This Row],[Kuantitas]]-表1[[#This Row],[Satuan]])</f>
        <v/>
      </c>
      <c r="H1820" s="28"/>
      <c r="I1820" s="25" t="str">
        <f>IF(表1[[#This Row],[Tgl NPBG]]&gt;表1[[#This Row],[Peminta]],表1[[#This Row],[Tgl NPBG]]-表1[[#This Row],[Peminta]],"")</f>
        <v/>
      </c>
      <c r="J1820" s="31"/>
    </row>
    <row r="1821" s="12" customFormat="1" customHeight="1" spans="2:10">
      <c r="B1821" s="25"/>
      <c r="C1821" s="25"/>
      <c r="D1821" s="26" t="str" cm="1">
        <f t="array" ref="D1821">IF(C1821="","",IFERROR(INDEX(STPP!$D$6:$D$4207,MATCH(C1821,STPP!$C$6:$C$4207,0)),"Not Found"))</f>
        <v/>
      </c>
      <c r="E1821" s="27" t="str" cm="1">
        <f t="array" ref="E1821">IF(C1821="","",IFERROR(INDEX(STPP!$E$6:$E$4207,MATCH(C1821,STPP!$C$6:$C$4207,0)),"Not Found"))</f>
        <v/>
      </c>
      <c r="F1821" s="27" t="str" cm="1">
        <f t="array" ref="F1821">IF(C1821="","",IFERROR(INDEX(STPP!$F$6:$F$4207,MATCH(C1821,STPP!$C$6:$C$4207,0)),"Not Found"))</f>
        <v/>
      </c>
      <c r="G1821" s="25" t="str">
        <f>IF(表1[[#This Row],[No Seri]]="","",表1[[#This Row],[Deskripsi Barang]]+表1[[#This Row],[Kuantitas]]-表1[[#This Row],[Satuan]])</f>
        <v/>
      </c>
      <c r="H1821" s="28"/>
      <c r="I1821" s="25" t="str">
        <f>IF(表1[[#This Row],[Tgl NPBG]]&gt;表1[[#This Row],[Peminta]],表1[[#This Row],[Tgl NPBG]]-表1[[#This Row],[Peminta]],"")</f>
        <v/>
      </c>
      <c r="J1821" s="31"/>
    </row>
    <row r="1822" s="12" customFormat="1" customHeight="1" spans="2:10">
      <c r="B1822" s="25"/>
      <c r="C1822" s="25"/>
      <c r="D1822" s="26" t="str" cm="1">
        <f t="array" ref="D1822">IF(C1822="","",IFERROR(INDEX(STPP!$D$6:$D$4207,MATCH(C1822,STPP!$C$6:$C$4207,0)),"Not Found"))</f>
        <v/>
      </c>
      <c r="E1822" s="27" t="str" cm="1">
        <f t="array" ref="E1822">IF(C1822="","",IFERROR(INDEX(STPP!$E$6:$E$4207,MATCH(C1822,STPP!$C$6:$C$4207,0)),"Not Found"))</f>
        <v/>
      </c>
      <c r="F1822" s="27" t="str" cm="1">
        <f t="array" ref="F1822">IF(C1822="","",IFERROR(INDEX(STPP!$F$6:$F$4207,MATCH(C1822,STPP!$C$6:$C$4207,0)),"Not Found"))</f>
        <v/>
      </c>
      <c r="G1822" s="25" t="str">
        <f>IF(表1[[#This Row],[No Seri]]="","",表1[[#This Row],[Deskripsi Barang]]+表1[[#This Row],[Kuantitas]]-表1[[#This Row],[Satuan]])</f>
        <v/>
      </c>
      <c r="H1822" s="28"/>
      <c r="I1822" s="25" t="str">
        <f>IF(表1[[#This Row],[Tgl NPBG]]&gt;表1[[#This Row],[Peminta]],表1[[#This Row],[Tgl NPBG]]-表1[[#This Row],[Peminta]],"")</f>
        <v/>
      </c>
      <c r="J1822" s="31"/>
    </row>
    <row r="1823" s="12" customFormat="1" customHeight="1" spans="2:10">
      <c r="B1823" s="25"/>
      <c r="C1823" s="25"/>
      <c r="D1823" s="26" t="str" cm="1">
        <f t="array" ref="D1823">IF(C1823="","",IFERROR(INDEX(STPP!$D$6:$D$4207,MATCH(C1823,STPP!$C$6:$C$4207,0)),"Not Found"))</f>
        <v/>
      </c>
      <c r="E1823" s="27" t="str" cm="1">
        <f t="array" ref="E1823">IF(C1823="","",IFERROR(INDEX(STPP!$E$6:$E$4207,MATCH(C1823,STPP!$C$6:$C$4207,0)),"Not Found"))</f>
        <v/>
      </c>
      <c r="F1823" s="27" t="str" cm="1">
        <f t="array" ref="F1823">IF(C1823="","",IFERROR(INDEX(STPP!$F$6:$F$4207,MATCH(C1823,STPP!$C$6:$C$4207,0)),"Not Found"))</f>
        <v/>
      </c>
      <c r="G1823" s="25" t="str">
        <f>IF(表1[[#This Row],[No Seri]]="","",表1[[#This Row],[Deskripsi Barang]]+表1[[#This Row],[Kuantitas]]-表1[[#This Row],[Satuan]])</f>
        <v/>
      </c>
      <c r="H1823" s="28"/>
      <c r="I1823" s="25" t="str">
        <f>IF(表1[[#This Row],[Tgl NPBG]]&gt;表1[[#This Row],[Peminta]],表1[[#This Row],[Tgl NPBG]]-表1[[#This Row],[Peminta]],"")</f>
        <v/>
      </c>
      <c r="J1823" s="31"/>
    </row>
    <row r="1824" s="12" customFormat="1" customHeight="1" spans="2:10">
      <c r="B1824" s="25"/>
      <c r="C1824" s="25"/>
      <c r="D1824" s="26" t="str" cm="1">
        <f t="array" ref="D1824">IF(C1824="","",IFERROR(INDEX(STPP!$D$6:$D$4207,MATCH(C1824,STPP!$C$6:$C$4207,0)),"Not Found"))</f>
        <v/>
      </c>
      <c r="E1824" s="27" t="str" cm="1">
        <f t="array" ref="E1824">IF(C1824="","",IFERROR(INDEX(STPP!$E$6:$E$4207,MATCH(C1824,STPP!$C$6:$C$4207,0)),"Not Found"))</f>
        <v/>
      </c>
      <c r="F1824" s="27" t="str" cm="1">
        <f t="array" ref="F1824">IF(C1824="","",IFERROR(INDEX(STPP!$F$6:$F$4207,MATCH(C1824,STPP!$C$6:$C$4207,0)),"Not Found"))</f>
        <v/>
      </c>
      <c r="G1824" s="25" t="str">
        <f>IF(表1[[#This Row],[No Seri]]="","",表1[[#This Row],[Deskripsi Barang]]+表1[[#This Row],[Kuantitas]]-表1[[#This Row],[Satuan]])</f>
        <v/>
      </c>
      <c r="H1824" s="28"/>
      <c r="I1824" s="25" t="str">
        <f>IF(表1[[#This Row],[Tgl NPBG]]&gt;表1[[#This Row],[Peminta]],表1[[#This Row],[Tgl NPBG]]-表1[[#This Row],[Peminta]],"")</f>
        <v/>
      </c>
      <c r="J1824" s="31"/>
    </row>
    <row r="1825" s="12" customFormat="1" customHeight="1" spans="2:10">
      <c r="B1825" s="25"/>
      <c r="C1825" s="25"/>
      <c r="D1825" s="26" t="str" cm="1">
        <f t="array" ref="D1825">IF(C1825="","",IFERROR(INDEX(STPP!$D$6:$D$4207,MATCH(C1825,STPP!$C$6:$C$4207,0)),"Not Found"))</f>
        <v/>
      </c>
      <c r="E1825" s="27" t="str" cm="1">
        <f t="array" ref="E1825">IF(C1825="","",IFERROR(INDEX(STPP!$E$6:$E$4207,MATCH(C1825,STPP!$C$6:$C$4207,0)),"Not Found"))</f>
        <v/>
      </c>
      <c r="F1825" s="27" t="str" cm="1">
        <f t="array" ref="F1825">IF(C1825="","",IFERROR(INDEX(STPP!$F$6:$F$4207,MATCH(C1825,STPP!$C$6:$C$4207,0)),"Not Found"))</f>
        <v/>
      </c>
      <c r="G1825" s="25" t="str">
        <f>IF(表1[[#This Row],[No Seri]]="","",表1[[#This Row],[Deskripsi Barang]]+表1[[#This Row],[Kuantitas]]-表1[[#This Row],[Satuan]])</f>
        <v/>
      </c>
      <c r="H1825" s="28"/>
      <c r="I1825" s="25" t="str">
        <f>IF(表1[[#This Row],[Tgl NPBG]]&gt;表1[[#This Row],[Peminta]],表1[[#This Row],[Tgl NPBG]]-表1[[#This Row],[Peminta]],"")</f>
        <v/>
      </c>
      <c r="J1825" s="31"/>
    </row>
    <row r="1826" s="12" customFormat="1" customHeight="1" spans="2:10">
      <c r="B1826" s="25"/>
      <c r="C1826" s="25"/>
      <c r="D1826" s="26" t="str" cm="1">
        <f t="array" ref="D1826">IF(C1826="","",IFERROR(INDEX(STPP!$D$6:$D$4207,MATCH(C1826,STPP!$C$6:$C$4207,0)),"Not Found"))</f>
        <v/>
      </c>
      <c r="E1826" s="27" t="str" cm="1">
        <f t="array" ref="E1826">IF(C1826="","",IFERROR(INDEX(STPP!$E$6:$E$4207,MATCH(C1826,STPP!$C$6:$C$4207,0)),"Not Found"))</f>
        <v/>
      </c>
      <c r="F1826" s="27" t="str" cm="1">
        <f t="array" ref="F1826">IF(C1826="","",IFERROR(INDEX(STPP!$F$6:$F$4207,MATCH(C1826,STPP!$C$6:$C$4207,0)),"Not Found"))</f>
        <v/>
      </c>
      <c r="G1826" s="25" t="str">
        <f>IF(表1[[#This Row],[No Seri]]="","",表1[[#This Row],[Deskripsi Barang]]+表1[[#This Row],[Kuantitas]]-表1[[#This Row],[Satuan]])</f>
        <v/>
      </c>
      <c r="H1826" s="28"/>
      <c r="I1826" s="25" t="str">
        <f>IF(表1[[#This Row],[Tgl NPBG]]&gt;表1[[#This Row],[Peminta]],表1[[#This Row],[Tgl NPBG]]-表1[[#This Row],[Peminta]],"")</f>
        <v/>
      </c>
      <c r="J1826" s="31"/>
    </row>
    <row r="1827" s="12" customFormat="1" customHeight="1" spans="2:10">
      <c r="B1827" s="25"/>
      <c r="C1827" s="25"/>
      <c r="D1827" s="26" t="str" cm="1">
        <f t="array" ref="D1827">IF(C1827="","",IFERROR(INDEX(STPP!$D$6:$D$4207,MATCH(C1827,STPP!$C$6:$C$4207,0)),"Not Found"))</f>
        <v/>
      </c>
      <c r="E1827" s="27" t="str" cm="1">
        <f t="array" ref="E1827">IF(C1827="","",IFERROR(INDEX(STPP!$E$6:$E$4207,MATCH(C1827,STPP!$C$6:$C$4207,0)),"Not Found"))</f>
        <v/>
      </c>
      <c r="F1827" s="27" t="str" cm="1">
        <f t="array" ref="F1827">IF(C1827="","",IFERROR(INDEX(STPP!$F$6:$F$4207,MATCH(C1827,STPP!$C$6:$C$4207,0)),"Not Found"))</f>
        <v/>
      </c>
      <c r="G1827" s="25" t="str">
        <f>IF(表1[[#This Row],[No Seri]]="","",表1[[#This Row],[Deskripsi Barang]]+表1[[#This Row],[Kuantitas]]-表1[[#This Row],[Satuan]])</f>
        <v/>
      </c>
      <c r="H1827" s="28"/>
      <c r="I1827" s="25" t="str">
        <f>IF(表1[[#This Row],[Tgl NPBG]]&gt;表1[[#This Row],[Peminta]],表1[[#This Row],[Tgl NPBG]]-表1[[#This Row],[Peminta]],"")</f>
        <v/>
      </c>
      <c r="J1827" s="31"/>
    </row>
    <row r="1828" s="12" customFormat="1" customHeight="1" spans="2:10">
      <c r="B1828" s="25"/>
      <c r="C1828" s="25"/>
      <c r="D1828" s="26" t="str" cm="1">
        <f t="array" ref="D1828">IF(C1828="","",IFERROR(INDEX(STPP!$D$6:$D$4207,MATCH(C1828,STPP!$C$6:$C$4207,0)),"Not Found"))</f>
        <v/>
      </c>
      <c r="E1828" s="27" t="str" cm="1">
        <f t="array" ref="E1828">IF(C1828="","",IFERROR(INDEX(STPP!$E$6:$E$4207,MATCH(C1828,STPP!$C$6:$C$4207,0)),"Not Found"))</f>
        <v/>
      </c>
      <c r="F1828" s="27" t="str" cm="1">
        <f t="array" ref="F1828">IF(C1828="","",IFERROR(INDEX(STPP!$F$6:$F$4207,MATCH(C1828,STPP!$C$6:$C$4207,0)),"Not Found"))</f>
        <v/>
      </c>
      <c r="G1828" s="25" t="str">
        <f>IF(表1[[#This Row],[No Seri]]="","",表1[[#This Row],[Deskripsi Barang]]+表1[[#This Row],[Kuantitas]]-表1[[#This Row],[Satuan]])</f>
        <v/>
      </c>
      <c r="H1828" s="28"/>
      <c r="I1828" s="25" t="str">
        <f>IF(表1[[#This Row],[Tgl NPBG]]&gt;表1[[#This Row],[Peminta]],表1[[#This Row],[Tgl NPBG]]-表1[[#This Row],[Peminta]],"")</f>
        <v/>
      </c>
      <c r="J1828" s="31"/>
    </row>
    <row r="1829" s="12" customFormat="1" customHeight="1" spans="2:10">
      <c r="B1829" s="25"/>
      <c r="C1829" s="25"/>
      <c r="D1829" s="26" t="str" cm="1">
        <f t="array" ref="D1829">IF(C1829="","",IFERROR(INDEX(STPP!$D$6:$D$4207,MATCH(C1829,STPP!$C$6:$C$4207,0)),"Not Found"))</f>
        <v/>
      </c>
      <c r="E1829" s="27" t="str" cm="1">
        <f t="array" ref="E1829">IF(C1829="","",IFERROR(INDEX(STPP!$E$6:$E$4207,MATCH(C1829,STPP!$C$6:$C$4207,0)),"Not Found"))</f>
        <v/>
      </c>
      <c r="F1829" s="27" t="str" cm="1">
        <f t="array" ref="F1829">IF(C1829="","",IFERROR(INDEX(STPP!$F$6:$F$4207,MATCH(C1829,STPP!$C$6:$C$4207,0)),"Not Found"))</f>
        <v/>
      </c>
      <c r="G1829" s="25" t="str">
        <f>IF(表1[[#This Row],[No Seri]]="","",表1[[#This Row],[Deskripsi Barang]]+表1[[#This Row],[Kuantitas]]-表1[[#This Row],[Satuan]])</f>
        <v/>
      </c>
      <c r="H1829" s="28"/>
      <c r="I1829" s="25" t="str">
        <f>IF(表1[[#This Row],[Tgl NPBG]]&gt;表1[[#This Row],[Peminta]],表1[[#This Row],[Tgl NPBG]]-表1[[#This Row],[Peminta]],"")</f>
        <v/>
      </c>
      <c r="J1829" s="31"/>
    </row>
    <row r="1830" s="12" customFormat="1" customHeight="1" spans="2:10">
      <c r="B1830" s="25"/>
      <c r="C1830" s="25"/>
      <c r="D1830" s="26" t="str" cm="1">
        <f t="array" ref="D1830">IF(C1830="","",IFERROR(INDEX(STPP!$D$6:$D$4207,MATCH(C1830,STPP!$C$6:$C$4207,0)),"Not Found"))</f>
        <v/>
      </c>
      <c r="E1830" s="27" t="str" cm="1">
        <f t="array" ref="E1830">IF(C1830="","",IFERROR(INDEX(STPP!$E$6:$E$4207,MATCH(C1830,STPP!$C$6:$C$4207,0)),"Not Found"))</f>
        <v/>
      </c>
      <c r="F1830" s="27" t="str" cm="1">
        <f t="array" ref="F1830">IF(C1830="","",IFERROR(INDEX(STPP!$F$6:$F$4207,MATCH(C1830,STPP!$C$6:$C$4207,0)),"Not Found"))</f>
        <v/>
      </c>
      <c r="G1830" s="25" t="str">
        <f>IF(表1[[#This Row],[No Seri]]="","",表1[[#This Row],[Deskripsi Barang]]+表1[[#This Row],[Kuantitas]]-表1[[#This Row],[Satuan]])</f>
        <v/>
      </c>
      <c r="H1830" s="28"/>
      <c r="I1830" s="25" t="str">
        <f>IF(表1[[#This Row],[Tgl NPBG]]&gt;表1[[#This Row],[Peminta]],表1[[#This Row],[Tgl NPBG]]-表1[[#This Row],[Peminta]],"")</f>
        <v/>
      </c>
      <c r="J1830" s="31"/>
    </row>
    <row r="1831" s="12" customFormat="1" customHeight="1" spans="2:10">
      <c r="B1831" s="25"/>
      <c r="C1831" s="25"/>
      <c r="D1831" s="26" t="str" cm="1">
        <f t="array" ref="D1831">IF(C1831="","",IFERROR(INDEX(STPP!$D$6:$D$4207,MATCH(C1831,STPP!$C$6:$C$4207,0)),"Not Found"))</f>
        <v/>
      </c>
      <c r="E1831" s="27" t="str" cm="1">
        <f t="array" ref="E1831">IF(C1831="","",IFERROR(INDEX(STPP!$E$6:$E$4207,MATCH(C1831,STPP!$C$6:$C$4207,0)),"Not Found"))</f>
        <v/>
      </c>
      <c r="F1831" s="27" t="str" cm="1">
        <f t="array" ref="F1831">IF(C1831="","",IFERROR(INDEX(STPP!$F$6:$F$4207,MATCH(C1831,STPP!$C$6:$C$4207,0)),"Not Found"))</f>
        <v/>
      </c>
      <c r="G1831" s="25" t="str">
        <f>IF(表1[[#This Row],[No Seri]]="","",表1[[#This Row],[Deskripsi Barang]]+表1[[#This Row],[Kuantitas]]-表1[[#This Row],[Satuan]])</f>
        <v/>
      </c>
      <c r="H1831" s="28"/>
      <c r="I1831" s="25" t="str">
        <f>IF(表1[[#This Row],[Tgl NPBG]]&gt;表1[[#This Row],[Peminta]],表1[[#This Row],[Tgl NPBG]]-表1[[#This Row],[Peminta]],"")</f>
        <v/>
      </c>
      <c r="J1831" s="31"/>
    </row>
    <row r="1832" s="12" customFormat="1" customHeight="1" spans="2:10">
      <c r="B1832" s="25"/>
      <c r="C1832" s="25"/>
      <c r="D1832" s="26" t="str" cm="1">
        <f t="array" ref="D1832">IF(C1832="","",IFERROR(INDEX(STPP!$D$6:$D$4207,MATCH(C1832,STPP!$C$6:$C$4207,0)),"Not Found"))</f>
        <v/>
      </c>
      <c r="E1832" s="27" t="str" cm="1">
        <f t="array" ref="E1832">IF(C1832="","",IFERROR(INDEX(STPP!$E$6:$E$4207,MATCH(C1832,STPP!$C$6:$C$4207,0)),"Not Found"))</f>
        <v/>
      </c>
      <c r="F1832" s="27" t="str" cm="1">
        <f t="array" ref="F1832">IF(C1832="","",IFERROR(INDEX(STPP!$F$6:$F$4207,MATCH(C1832,STPP!$C$6:$C$4207,0)),"Not Found"))</f>
        <v/>
      </c>
      <c r="G1832" s="25" t="str">
        <f>IF(表1[[#This Row],[No Seri]]="","",表1[[#This Row],[Deskripsi Barang]]+表1[[#This Row],[Kuantitas]]-表1[[#This Row],[Satuan]])</f>
        <v/>
      </c>
      <c r="H1832" s="28"/>
      <c r="I1832" s="25" t="str">
        <f>IF(表1[[#This Row],[Tgl NPBG]]&gt;表1[[#This Row],[Peminta]],表1[[#This Row],[Tgl NPBG]]-表1[[#This Row],[Peminta]],"")</f>
        <v/>
      </c>
      <c r="J1832" s="31"/>
    </row>
    <row r="1833" s="12" customFormat="1" customHeight="1" spans="2:10">
      <c r="B1833" s="25"/>
      <c r="C1833" s="25"/>
      <c r="D1833" s="26" t="str" cm="1">
        <f t="array" ref="D1833">IF(C1833="","",IFERROR(INDEX(STPP!$D$6:$D$4207,MATCH(C1833,STPP!$C$6:$C$4207,0)),"Not Found"))</f>
        <v/>
      </c>
      <c r="E1833" s="27" t="str" cm="1">
        <f t="array" ref="E1833">IF(C1833="","",IFERROR(INDEX(STPP!$E$6:$E$4207,MATCH(C1833,STPP!$C$6:$C$4207,0)),"Not Found"))</f>
        <v/>
      </c>
      <c r="F1833" s="27" t="str" cm="1">
        <f t="array" ref="F1833">IF(C1833="","",IFERROR(INDEX(STPP!$F$6:$F$4207,MATCH(C1833,STPP!$C$6:$C$4207,0)),"Not Found"))</f>
        <v/>
      </c>
      <c r="G1833" s="25" t="str">
        <f>IF(表1[[#This Row],[No Seri]]="","",表1[[#This Row],[Deskripsi Barang]]+表1[[#This Row],[Kuantitas]]-表1[[#This Row],[Satuan]])</f>
        <v/>
      </c>
      <c r="H1833" s="28"/>
      <c r="I1833" s="25" t="str">
        <f>IF(表1[[#This Row],[Tgl NPBG]]&gt;表1[[#This Row],[Peminta]],表1[[#This Row],[Tgl NPBG]]-表1[[#This Row],[Peminta]],"")</f>
        <v/>
      </c>
      <c r="J1833" s="31"/>
    </row>
    <row r="1834" s="12" customFormat="1" customHeight="1" spans="2:10">
      <c r="B1834" s="25"/>
      <c r="C1834" s="25"/>
      <c r="D1834" s="26" t="str" cm="1">
        <f t="array" ref="D1834">IF(C1834="","",IFERROR(INDEX(STPP!$D$6:$D$4207,MATCH(C1834,STPP!$C$6:$C$4207,0)),"Not Found"))</f>
        <v/>
      </c>
      <c r="E1834" s="27" t="str" cm="1">
        <f t="array" ref="E1834">IF(C1834="","",IFERROR(INDEX(STPP!$E$6:$E$4207,MATCH(C1834,STPP!$C$6:$C$4207,0)),"Not Found"))</f>
        <v/>
      </c>
      <c r="F1834" s="27" t="str" cm="1">
        <f t="array" ref="F1834">IF(C1834="","",IFERROR(INDEX(STPP!$F$6:$F$4207,MATCH(C1834,STPP!$C$6:$C$4207,0)),"Not Found"))</f>
        <v/>
      </c>
      <c r="G1834" s="25" t="str">
        <f>IF(表1[[#This Row],[No Seri]]="","",表1[[#This Row],[Deskripsi Barang]]+表1[[#This Row],[Kuantitas]]-表1[[#This Row],[Satuan]])</f>
        <v/>
      </c>
      <c r="H1834" s="28"/>
      <c r="I1834" s="25" t="str">
        <f>IF(表1[[#This Row],[Tgl NPBG]]&gt;表1[[#This Row],[Peminta]],表1[[#This Row],[Tgl NPBG]]-表1[[#This Row],[Peminta]],"")</f>
        <v/>
      </c>
      <c r="J1834" s="31"/>
    </row>
    <row r="1835" s="12" customFormat="1" customHeight="1" spans="2:10">
      <c r="B1835" s="25"/>
      <c r="C1835" s="25"/>
      <c r="D1835" s="26" t="str" cm="1">
        <f t="array" ref="D1835">IF(C1835="","",IFERROR(INDEX(STPP!$D$6:$D$4207,MATCH(C1835,STPP!$C$6:$C$4207,0)),"Not Found"))</f>
        <v/>
      </c>
      <c r="E1835" s="27" t="str" cm="1">
        <f t="array" ref="E1835">IF(C1835="","",IFERROR(INDEX(STPP!$E$6:$E$4207,MATCH(C1835,STPP!$C$6:$C$4207,0)),"Not Found"))</f>
        <v/>
      </c>
      <c r="F1835" s="27" t="str" cm="1">
        <f t="array" ref="F1835">IF(C1835="","",IFERROR(INDEX(STPP!$F$6:$F$4207,MATCH(C1835,STPP!$C$6:$C$4207,0)),"Not Found"))</f>
        <v/>
      </c>
      <c r="G1835" s="25" t="str">
        <f>IF(表1[[#This Row],[No Seri]]="","",表1[[#This Row],[Deskripsi Barang]]+表1[[#This Row],[Kuantitas]]-表1[[#This Row],[Satuan]])</f>
        <v/>
      </c>
      <c r="H1835" s="28"/>
      <c r="I1835" s="25" t="str">
        <f>IF(表1[[#This Row],[Tgl NPBG]]&gt;表1[[#This Row],[Peminta]],表1[[#This Row],[Tgl NPBG]]-表1[[#This Row],[Peminta]],"")</f>
        <v/>
      </c>
      <c r="J1835" s="31"/>
    </row>
    <row r="1836" s="12" customFormat="1" customHeight="1" spans="2:10">
      <c r="B1836" s="25"/>
      <c r="C1836" s="25"/>
      <c r="D1836" s="26" t="str" cm="1">
        <f t="array" ref="D1836">IF(C1836="","",IFERROR(INDEX(STPP!$D$6:$D$4207,MATCH(C1836,STPP!$C$6:$C$4207,0)),"Not Found"))</f>
        <v/>
      </c>
      <c r="E1836" s="27" t="str" cm="1">
        <f t="array" ref="E1836">IF(C1836="","",IFERROR(INDEX(STPP!$E$6:$E$4207,MATCH(C1836,STPP!$C$6:$C$4207,0)),"Not Found"))</f>
        <v/>
      </c>
      <c r="F1836" s="27" t="str" cm="1">
        <f t="array" ref="F1836">IF(C1836="","",IFERROR(INDEX(STPP!$F$6:$F$4207,MATCH(C1836,STPP!$C$6:$C$4207,0)),"Not Found"))</f>
        <v/>
      </c>
      <c r="G1836" s="25" t="str">
        <f>IF(表1[[#This Row],[No Seri]]="","",表1[[#This Row],[Deskripsi Barang]]+表1[[#This Row],[Kuantitas]]-表1[[#This Row],[Satuan]])</f>
        <v/>
      </c>
      <c r="H1836" s="28"/>
      <c r="I1836" s="25" t="str">
        <f>IF(表1[[#This Row],[Tgl NPBG]]&gt;表1[[#This Row],[Peminta]],表1[[#This Row],[Tgl NPBG]]-表1[[#This Row],[Peminta]],"")</f>
        <v/>
      </c>
      <c r="J1836" s="31"/>
    </row>
    <row r="1837" s="12" customFormat="1" customHeight="1" spans="2:10">
      <c r="B1837" s="25"/>
      <c r="C1837" s="25"/>
      <c r="D1837" s="26" t="str" cm="1">
        <f t="array" ref="D1837">IF(C1837="","",IFERROR(INDEX(STPP!$D$6:$D$4207,MATCH(C1837,STPP!$C$6:$C$4207,0)),"Not Found"))</f>
        <v/>
      </c>
      <c r="E1837" s="27" t="str" cm="1">
        <f t="array" ref="E1837">IF(C1837="","",IFERROR(INDEX(STPP!$E$6:$E$4207,MATCH(C1837,STPP!$C$6:$C$4207,0)),"Not Found"))</f>
        <v/>
      </c>
      <c r="F1837" s="27" t="str" cm="1">
        <f t="array" ref="F1837">IF(C1837="","",IFERROR(INDEX(STPP!$F$6:$F$4207,MATCH(C1837,STPP!$C$6:$C$4207,0)),"Not Found"))</f>
        <v/>
      </c>
      <c r="G1837" s="25" t="str">
        <f>IF(表1[[#This Row],[No Seri]]="","",表1[[#This Row],[Deskripsi Barang]]+表1[[#This Row],[Kuantitas]]-表1[[#This Row],[Satuan]])</f>
        <v/>
      </c>
      <c r="H1837" s="28"/>
      <c r="I1837" s="25" t="str">
        <f>IF(表1[[#This Row],[Tgl NPBG]]&gt;表1[[#This Row],[Peminta]],表1[[#This Row],[Tgl NPBG]]-表1[[#This Row],[Peminta]],"")</f>
        <v/>
      </c>
      <c r="J1837" s="31"/>
    </row>
    <row r="1838" s="12" customFormat="1" customHeight="1" spans="2:10">
      <c r="B1838" s="25"/>
      <c r="C1838" s="25"/>
      <c r="D1838" s="26" t="str" cm="1">
        <f t="array" ref="D1838">IF(C1838="","",IFERROR(INDEX(STPP!$D$6:$D$4207,MATCH(C1838,STPP!$C$6:$C$4207,0)),"Not Found"))</f>
        <v/>
      </c>
      <c r="E1838" s="27" t="str" cm="1">
        <f t="array" ref="E1838">IF(C1838="","",IFERROR(INDEX(STPP!$E$6:$E$4207,MATCH(C1838,STPP!$C$6:$C$4207,0)),"Not Found"))</f>
        <v/>
      </c>
      <c r="F1838" s="27" t="str" cm="1">
        <f t="array" ref="F1838">IF(C1838="","",IFERROR(INDEX(STPP!$F$6:$F$4207,MATCH(C1838,STPP!$C$6:$C$4207,0)),"Not Found"))</f>
        <v/>
      </c>
      <c r="G1838" s="25" t="str">
        <f>IF(表1[[#This Row],[No Seri]]="","",表1[[#This Row],[Deskripsi Barang]]+表1[[#This Row],[Kuantitas]]-表1[[#This Row],[Satuan]])</f>
        <v/>
      </c>
      <c r="H1838" s="28"/>
      <c r="I1838" s="25" t="str">
        <f>IF(表1[[#This Row],[Tgl NPBG]]&gt;表1[[#This Row],[Peminta]],表1[[#This Row],[Tgl NPBG]]-表1[[#This Row],[Peminta]],"")</f>
        <v/>
      </c>
      <c r="J1838" s="31"/>
    </row>
    <row r="1839" s="12" customFormat="1" customHeight="1" spans="2:10">
      <c r="B1839" s="25"/>
      <c r="C1839" s="25"/>
      <c r="D1839" s="26" t="str" cm="1">
        <f t="array" ref="D1839">IF(C1839="","",IFERROR(INDEX(STPP!$D$6:$D$4207,MATCH(C1839,STPP!$C$6:$C$4207,0)),"Not Found"))</f>
        <v/>
      </c>
      <c r="E1839" s="27" t="str" cm="1">
        <f t="array" ref="E1839">IF(C1839="","",IFERROR(INDEX(STPP!$E$6:$E$4207,MATCH(C1839,STPP!$C$6:$C$4207,0)),"Not Found"))</f>
        <v/>
      </c>
      <c r="F1839" s="27" t="str" cm="1">
        <f t="array" ref="F1839">IF(C1839="","",IFERROR(INDEX(STPP!$F$6:$F$4207,MATCH(C1839,STPP!$C$6:$C$4207,0)),"Not Found"))</f>
        <v/>
      </c>
      <c r="G1839" s="25" t="str">
        <f>IF(表1[[#This Row],[No Seri]]="","",表1[[#This Row],[Deskripsi Barang]]+表1[[#This Row],[Kuantitas]]-表1[[#This Row],[Satuan]])</f>
        <v/>
      </c>
      <c r="H1839" s="28"/>
      <c r="I1839" s="25" t="str">
        <f>IF(表1[[#This Row],[Tgl NPBG]]&gt;表1[[#This Row],[Peminta]],表1[[#This Row],[Tgl NPBG]]-表1[[#This Row],[Peminta]],"")</f>
        <v/>
      </c>
      <c r="J1839" s="31"/>
    </row>
    <row r="1840" s="12" customFormat="1" customHeight="1" spans="2:10">
      <c r="B1840" s="25"/>
      <c r="C1840" s="25"/>
      <c r="D1840" s="26" t="str" cm="1">
        <f t="array" ref="D1840">IF(C1840="","",IFERROR(INDEX(STPP!$D$6:$D$4207,MATCH(C1840,STPP!$C$6:$C$4207,0)),"Not Found"))</f>
        <v/>
      </c>
      <c r="E1840" s="27" t="str" cm="1">
        <f t="array" ref="E1840">IF(C1840="","",IFERROR(INDEX(STPP!$E$6:$E$4207,MATCH(C1840,STPP!$C$6:$C$4207,0)),"Not Found"))</f>
        <v/>
      </c>
      <c r="F1840" s="27" t="str" cm="1">
        <f t="array" ref="F1840">IF(C1840="","",IFERROR(INDEX(STPP!$F$6:$F$4207,MATCH(C1840,STPP!$C$6:$C$4207,0)),"Not Found"))</f>
        <v/>
      </c>
      <c r="G1840" s="25" t="str">
        <f>IF(表1[[#This Row],[No Seri]]="","",表1[[#This Row],[Deskripsi Barang]]+表1[[#This Row],[Kuantitas]]-表1[[#This Row],[Satuan]])</f>
        <v/>
      </c>
      <c r="H1840" s="28"/>
      <c r="I1840" s="25" t="str">
        <f>IF(表1[[#This Row],[Tgl NPBG]]&gt;表1[[#This Row],[Peminta]],表1[[#This Row],[Tgl NPBG]]-表1[[#This Row],[Peminta]],"")</f>
        <v/>
      </c>
      <c r="J1840" s="31"/>
    </row>
    <row r="1841" s="12" customFormat="1" customHeight="1" spans="2:10">
      <c r="B1841" s="25"/>
      <c r="C1841" s="25"/>
      <c r="D1841" s="26" t="str" cm="1">
        <f t="array" ref="D1841">IF(C1841="","",IFERROR(INDEX(STPP!$D$6:$D$4207,MATCH(C1841,STPP!$C$6:$C$4207,0)),"Not Found"))</f>
        <v/>
      </c>
      <c r="E1841" s="27" t="str" cm="1">
        <f t="array" ref="E1841">IF(C1841="","",IFERROR(INDEX(STPP!$E$6:$E$4207,MATCH(C1841,STPP!$C$6:$C$4207,0)),"Not Found"))</f>
        <v/>
      </c>
      <c r="F1841" s="27" t="str" cm="1">
        <f t="array" ref="F1841">IF(C1841="","",IFERROR(INDEX(STPP!$F$6:$F$4207,MATCH(C1841,STPP!$C$6:$C$4207,0)),"Not Found"))</f>
        <v/>
      </c>
      <c r="G1841" s="25" t="str">
        <f>IF(表1[[#This Row],[No Seri]]="","",表1[[#This Row],[Deskripsi Barang]]+表1[[#This Row],[Kuantitas]]-表1[[#This Row],[Satuan]])</f>
        <v/>
      </c>
      <c r="H1841" s="28"/>
      <c r="I1841" s="25" t="str">
        <f>IF(表1[[#This Row],[Tgl NPBG]]&gt;表1[[#This Row],[Peminta]],表1[[#This Row],[Tgl NPBG]]-表1[[#This Row],[Peminta]],"")</f>
        <v/>
      </c>
      <c r="J1841" s="31"/>
    </row>
    <row r="1842" s="12" customFormat="1" customHeight="1" spans="2:10">
      <c r="B1842" s="25"/>
      <c r="C1842" s="25"/>
      <c r="D1842" s="26" t="str" cm="1">
        <f t="array" ref="D1842">IF(C1842="","",IFERROR(INDEX(STPP!$D$6:$D$4207,MATCH(C1842,STPP!$C$6:$C$4207,0)),"Not Found"))</f>
        <v/>
      </c>
      <c r="E1842" s="27" t="str" cm="1">
        <f t="array" ref="E1842">IF(C1842="","",IFERROR(INDEX(STPP!$E$6:$E$4207,MATCH(C1842,STPP!$C$6:$C$4207,0)),"Not Found"))</f>
        <v/>
      </c>
      <c r="F1842" s="27" t="str" cm="1">
        <f t="array" ref="F1842">IF(C1842="","",IFERROR(INDEX(STPP!$F$6:$F$4207,MATCH(C1842,STPP!$C$6:$C$4207,0)),"Not Found"))</f>
        <v/>
      </c>
      <c r="G1842" s="25" t="str">
        <f>IF(表1[[#This Row],[No Seri]]="","",表1[[#This Row],[Deskripsi Barang]]+表1[[#This Row],[Kuantitas]]-表1[[#This Row],[Satuan]])</f>
        <v/>
      </c>
      <c r="H1842" s="28"/>
      <c r="I1842" s="25" t="str">
        <f>IF(表1[[#This Row],[Tgl NPBG]]&gt;表1[[#This Row],[Peminta]],表1[[#This Row],[Tgl NPBG]]-表1[[#This Row],[Peminta]],"")</f>
        <v/>
      </c>
      <c r="J1842" s="31"/>
    </row>
    <row r="1843" s="12" customFormat="1" customHeight="1" spans="2:10">
      <c r="B1843" s="25"/>
      <c r="C1843" s="25"/>
      <c r="D1843" s="26" t="str" cm="1">
        <f t="array" ref="D1843">IF(C1843="","",IFERROR(INDEX(STPP!$D$6:$D$4207,MATCH(C1843,STPP!$C$6:$C$4207,0)),"Not Found"))</f>
        <v/>
      </c>
      <c r="E1843" s="27" t="str" cm="1">
        <f t="array" ref="E1843">IF(C1843="","",IFERROR(INDEX(STPP!$E$6:$E$4207,MATCH(C1843,STPP!$C$6:$C$4207,0)),"Not Found"))</f>
        <v/>
      </c>
      <c r="F1843" s="27" t="str" cm="1">
        <f t="array" ref="F1843">IF(C1843="","",IFERROR(INDEX(STPP!$F$6:$F$4207,MATCH(C1843,STPP!$C$6:$C$4207,0)),"Not Found"))</f>
        <v/>
      </c>
      <c r="G1843" s="25" t="str">
        <f>IF(表1[[#This Row],[No Seri]]="","",表1[[#This Row],[Deskripsi Barang]]+表1[[#This Row],[Kuantitas]]-表1[[#This Row],[Satuan]])</f>
        <v/>
      </c>
      <c r="H1843" s="28"/>
      <c r="I1843" s="25" t="str">
        <f>IF(表1[[#This Row],[Tgl NPBG]]&gt;表1[[#This Row],[Peminta]],表1[[#This Row],[Tgl NPBG]]-表1[[#This Row],[Peminta]],"")</f>
        <v/>
      </c>
      <c r="J1843" s="31"/>
    </row>
    <row r="1844" s="12" customFormat="1" customHeight="1" spans="2:10">
      <c r="B1844" s="25"/>
      <c r="C1844" s="25"/>
      <c r="D1844" s="26" t="str" cm="1">
        <f t="array" ref="D1844">IF(C1844="","",IFERROR(INDEX(STPP!$D$6:$D$4207,MATCH(C1844,STPP!$C$6:$C$4207,0)),"Not Found"))</f>
        <v/>
      </c>
      <c r="E1844" s="27" t="str" cm="1">
        <f t="array" ref="E1844">IF(C1844="","",IFERROR(INDEX(STPP!$E$6:$E$4207,MATCH(C1844,STPP!$C$6:$C$4207,0)),"Not Found"))</f>
        <v/>
      </c>
      <c r="F1844" s="27" t="str" cm="1">
        <f t="array" ref="F1844">IF(C1844="","",IFERROR(INDEX(STPP!$F$6:$F$4207,MATCH(C1844,STPP!$C$6:$C$4207,0)),"Not Found"))</f>
        <v/>
      </c>
      <c r="G1844" s="25" t="str">
        <f>IF(表1[[#This Row],[No Seri]]="","",表1[[#This Row],[Deskripsi Barang]]+表1[[#This Row],[Kuantitas]]-表1[[#This Row],[Satuan]])</f>
        <v/>
      </c>
      <c r="H1844" s="28"/>
      <c r="I1844" s="25" t="str">
        <f>IF(表1[[#This Row],[Tgl NPBG]]&gt;表1[[#This Row],[Peminta]],表1[[#This Row],[Tgl NPBG]]-表1[[#This Row],[Peminta]],"")</f>
        <v/>
      </c>
      <c r="J1844" s="31"/>
    </row>
    <row r="1845" s="12" customFormat="1" customHeight="1" spans="2:10">
      <c r="B1845" s="25"/>
      <c r="C1845" s="25"/>
      <c r="D1845" s="26" t="str" cm="1">
        <f t="array" ref="D1845">IF(C1845="","",IFERROR(INDEX(STPP!$D$6:$D$4207,MATCH(C1845,STPP!$C$6:$C$4207,0)),"Not Found"))</f>
        <v/>
      </c>
      <c r="E1845" s="27" t="str" cm="1">
        <f t="array" ref="E1845">IF(C1845="","",IFERROR(INDEX(STPP!$E$6:$E$4207,MATCH(C1845,STPP!$C$6:$C$4207,0)),"Not Found"))</f>
        <v/>
      </c>
      <c r="F1845" s="27" t="str" cm="1">
        <f t="array" ref="F1845">IF(C1845="","",IFERROR(INDEX(STPP!$F$6:$F$4207,MATCH(C1845,STPP!$C$6:$C$4207,0)),"Not Found"))</f>
        <v/>
      </c>
      <c r="G1845" s="25" t="str">
        <f>IF(表1[[#This Row],[No Seri]]="","",表1[[#This Row],[Deskripsi Barang]]+表1[[#This Row],[Kuantitas]]-表1[[#This Row],[Satuan]])</f>
        <v/>
      </c>
      <c r="H1845" s="28"/>
      <c r="I1845" s="25" t="str">
        <f>IF(表1[[#This Row],[Tgl NPBG]]&gt;表1[[#This Row],[Peminta]],表1[[#This Row],[Tgl NPBG]]-表1[[#This Row],[Peminta]],"")</f>
        <v/>
      </c>
      <c r="J1845" s="31"/>
    </row>
    <row r="1846" s="12" customFormat="1" customHeight="1" spans="2:10">
      <c r="B1846" s="25"/>
      <c r="C1846" s="25"/>
      <c r="D1846" s="26" t="str" cm="1">
        <f t="array" ref="D1846">IF(C1846="","",IFERROR(INDEX(STPP!$D$6:$D$4207,MATCH(C1846,STPP!$C$6:$C$4207,0)),"Not Found"))</f>
        <v/>
      </c>
      <c r="E1846" s="27" t="str" cm="1">
        <f t="array" ref="E1846">IF(C1846="","",IFERROR(INDEX(STPP!$E$6:$E$4207,MATCH(C1846,STPP!$C$6:$C$4207,0)),"Not Found"))</f>
        <v/>
      </c>
      <c r="F1846" s="27" t="str" cm="1">
        <f t="array" ref="F1846">IF(C1846="","",IFERROR(INDEX(STPP!$F$6:$F$4207,MATCH(C1846,STPP!$C$6:$C$4207,0)),"Not Found"))</f>
        <v/>
      </c>
      <c r="G1846" s="25" t="str">
        <f>IF(表1[[#This Row],[No Seri]]="","",表1[[#This Row],[Deskripsi Barang]]+表1[[#This Row],[Kuantitas]]-表1[[#This Row],[Satuan]])</f>
        <v/>
      </c>
      <c r="H1846" s="28"/>
      <c r="I1846" s="25" t="str">
        <f>IF(表1[[#This Row],[Tgl NPBG]]&gt;表1[[#This Row],[Peminta]],表1[[#This Row],[Tgl NPBG]]-表1[[#This Row],[Peminta]],"")</f>
        <v/>
      </c>
      <c r="J1846" s="31"/>
    </row>
    <row r="1847" s="12" customFormat="1" customHeight="1" spans="2:10">
      <c r="B1847" s="25"/>
      <c r="C1847" s="25"/>
      <c r="D1847" s="26" t="str" cm="1">
        <f t="array" ref="D1847">IF(C1847="","",IFERROR(INDEX(STPP!$D$6:$D$4207,MATCH(C1847,STPP!$C$6:$C$4207,0)),"Not Found"))</f>
        <v/>
      </c>
      <c r="E1847" s="27" t="str" cm="1">
        <f t="array" ref="E1847">IF(C1847="","",IFERROR(INDEX(STPP!$E$6:$E$4207,MATCH(C1847,STPP!$C$6:$C$4207,0)),"Not Found"))</f>
        <v/>
      </c>
      <c r="F1847" s="27" t="str" cm="1">
        <f t="array" ref="F1847">IF(C1847="","",IFERROR(INDEX(STPP!$F$6:$F$4207,MATCH(C1847,STPP!$C$6:$C$4207,0)),"Not Found"))</f>
        <v/>
      </c>
      <c r="G1847" s="25" t="str">
        <f>IF(表1[[#This Row],[No Seri]]="","",表1[[#This Row],[Deskripsi Barang]]+表1[[#This Row],[Kuantitas]]-表1[[#This Row],[Satuan]])</f>
        <v/>
      </c>
      <c r="H1847" s="28"/>
      <c r="I1847" s="25" t="str">
        <f>IF(表1[[#This Row],[Tgl NPBG]]&gt;表1[[#This Row],[Peminta]],表1[[#This Row],[Tgl NPBG]]-表1[[#This Row],[Peminta]],"")</f>
        <v/>
      </c>
      <c r="J1847" s="31"/>
    </row>
    <row r="1848" s="12" customFormat="1" customHeight="1" spans="2:10">
      <c r="B1848" s="25"/>
      <c r="C1848" s="25"/>
      <c r="D1848" s="26" t="str" cm="1">
        <f t="array" ref="D1848">IF(C1848="","",IFERROR(INDEX(STPP!$D$6:$D$4207,MATCH(C1848,STPP!$C$6:$C$4207,0)),"Not Found"))</f>
        <v/>
      </c>
      <c r="E1848" s="27" t="str" cm="1">
        <f t="array" ref="E1848">IF(C1848="","",IFERROR(INDEX(STPP!$E$6:$E$4207,MATCH(C1848,STPP!$C$6:$C$4207,0)),"Not Found"))</f>
        <v/>
      </c>
      <c r="F1848" s="27" t="str" cm="1">
        <f t="array" ref="F1848">IF(C1848="","",IFERROR(INDEX(STPP!$F$6:$F$4207,MATCH(C1848,STPP!$C$6:$C$4207,0)),"Not Found"))</f>
        <v/>
      </c>
      <c r="G1848" s="25" t="str">
        <f>IF(表1[[#This Row],[No Seri]]="","",表1[[#This Row],[Deskripsi Barang]]+表1[[#This Row],[Kuantitas]]-表1[[#This Row],[Satuan]])</f>
        <v/>
      </c>
      <c r="H1848" s="28"/>
      <c r="I1848" s="25" t="str">
        <f>IF(表1[[#This Row],[Tgl NPBG]]&gt;表1[[#This Row],[Peminta]],表1[[#This Row],[Tgl NPBG]]-表1[[#This Row],[Peminta]],"")</f>
        <v/>
      </c>
      <c r="J1848" s="31"/>
    </row>
    <row r="1849" s="12" customFormat="1" customHeight="1" spans="2:10">
      <c r="B1849" s="25"/>
      <c r="C1849" s="25"/>
      <c r="D1849" s="26" t="str" cm="1">
        <f t="array" ref="D1849">IF(C1849="","",IFERROR(INDEX(STPP!$D$6:$D$4207,MATCH(C1849,STPP!$C$6:$C$4207,0)),"Not Found"))</f>
        <v/>
      </c>
      <c r="E1849" s="27" t="str" cm="1">
        <f t="array" ref="E1849">IF(C1849="","",IFERROR(INDEX(STPP!$E$6:$E$4207,MATCH(C1849,STPP!$C$6:$C$4207,0)),"Not Found"))</f>
        <v/>
      </c>
      <c r="F1849" s="27" t="str" cm="1">
        <f t="array" ref="F1849">IF(C1849="","",IFERROR(INDEX(STPP!$F$6:$F$4207,MATCH(C1849,STPP!$C$6:$C$4207,0)),"Not Found"))</f>
        <v/>
      </c>
      <c r="G1849" s="25" t="str">
        <f>IF(表1[[#This Row],[No Seri]]="","",表1[[#This Row],[Deskripsi Barang]]+表1[[#This Row],[Kuantitas]]-表1[[#This Row],[Satuan]])</f>
        <v/>
      </c>
      <c r="H1849" s="28"/>
      <c r="I1849" s="25" t="str">
        <f>IF(表1[[#This Row],[Tgl NPBG]]&gt;表1[[#This Row],[Peminta]],表1[[#This Row],[Tgl NPBG]]-表1[[#This Row],[Peminta]],"")</f>
        <v/>
      </c>
      <c r="J1849" s="31"/>
    </row>
    <row r="1850" s="12" customFormat="1" customHeight="1" spans="2:10">
      <c r="B1850" s="25"/>
      <c r="C1850" s="25"/>
      <c r="D1850" s="26" t="str" cm="1">
        <f t="array" ref="D1850">IF(C1850="","",IFERROR(INDEX(STPP!$D$6:$D$4207,MATCH(C1850,STPP!$C$6:$C$4207,0)),"Not Found"))</f>
        <v/>
      </c>
      <c r="E1850" s="27" t="str" cm="1">
        <f t="array" ref="E1850">IF(C1850="","",IFERROR(INDEX(STPP!$E$6:$E$4207,MATCH(C1850,STPP!$C$6:$C$4207,0)),"Not Found"))</f>
        <v/>
      </c>
      <c r="F1850" s="27" t="str" cm="1">
        <f t="array" ref="F1850">IF(C1850="","",IFERROR(INDEX(STPP!$F$6:$F$4207,MATCH(C1850,STPP!$C$6:$C$4207,0)),"Not Found"))</f>
        <v/>
      </c>
      <c r="G1850" s="25" t="str">
        <f>IF(表1[[#This Row],[No Seri]]="","",表1[[#This Row],[Deskripsi Barang]]+表1[[#This Row],[Kuantitas]]-表1[[#This Row],[Satuan]])</f>
        <v/>
      </c>
      <c r="H1850" s="28"/>
      <c r="I1850" s="25" t="str">
        <f>IF(表1[[#This Row],[Tgl NPBG]]&gt;表1[[#This Row],[Peminta]],表1[[#This Row],[Tgl NPBG]]-表1[[#This Row],[Peminta]],"")</f>
        <v/>
      </c>
      <c r="J1850" s="31"/>
    </row>
    <row r="1851" s="12" customFormat="1" customHeight="1" spans="2:10">
      <c r="B1851" s="25"/>
      <c r="C1851" s="25"/>
      <c r="D1851" s="26" t="str" cm="1">
        <f t="array" ref="D1851">IF(C1851="","",IFERROR(INDEX(STPP!$D$6:$D$4207,MATCH(C1851,STPP!$C$6:$C$4207,0)),"Not Found"))</f>
        <v/>
      </c>
      <c r="E1851" s="27" t="str" cm="1">
        <f t="array" ref="E1851">IF(C1851="","",IFERROR(INDEX(STPP!$E$6:$E$4207,MATCH(C1851,STPP!$C$6:$C$4207,0)),"Not Found"))</f>
        <v/>
      </c>
      <c r="F1851" s="27" t="str" cm="1">
        <f t="array" ref="F1851">IF(C1851="","",IFERROR(INDEX(STPP!$F$6:$F$4207,MATCH(C1851,STPP!$C$6:$C$4207,0)),"Not Found"))</f>
        <v/>
      </c>
      <c r="G1851" s="25" t="str">
        <f>IF(表1[[#This Row],[No Seri]]="","",表1[[#This Row],[Deskripsi Barang]]+表1[[#This Row],[Kuantitas]]-表1[[#This Row],[Satuan]])</f>
        <v/>
      </c>
      <c r="H1851" s="28"/>
      <c r="I1851" s="25" t="str">
        <f>IF(表1[[#This Row],[Tgl NPBG]]&gt;表1[[#This Row],[Peminta]],表1[[#This Row],[Tgl NPBG]]-表1[[#This Row],[Peminta]],"")</f>
        <v/>
      </c>
      <c r="J1851" s="31"/>
    </row>
    <row r="1852" s="12" customFormat="1" customHeight="1" spans="2:10">
      <c r="B1852" s="25"/>
      <c r="C1852" s="25"/>
      <c r="D1852" s="26" t="str" cm="1">
        <f t="array" ref="D1852">IF(C1852="","",IFERROR(INDEX(STPP!$D$6:$D$4207,MATCH(C1852,STPP!$C$6:$C$4207,0)),"Not Found"))</f>
        <v/>
      </c>
      <c r="E1852" s="27" t="str" cm="1">
        <f t="array" ref="E1852">IF(C1852="","",IFERROR(INDEX(STPP!$E$6:$E$4207,MATCH(C1852,STPP!$C$6:$C$4207,0)),"Not Found"))</f>
        <v/>
      </c>
      <c r="F1852" s="27" t="str" cm="1">
        <f t="array" ref="F1852">IF(C1852="","",IFERROR(INDEX(STPP!$F$6:$F$4207,MATCH(C1852,STPP!$C$6:$C$4207,0)),"Not Found"))</f>
        <v/>
      </c>
      <c r="G1852" s="25" t="str">
        <f>IF(表1[[#This Row],[No Seri]]="","",表1[[#This Row],[Deskripsi Barang]]+表1[[#This Row],[Kuantitas]]-表1[[#This Row],[Satuan]])</f>
        <v/>
      </c>
      <c r="H1852" s="28"/>
      <c r="I1852" s="25" t="str">
        <f>IF(表1[[#This Row],[Tgl NPBG]]&gt;表1[[#This Row],[Peminta]],表1[[#This Row],[Tgl NPBG]]-表1[[#This Row],[Peminta]],"")</f>
        <v/>
      </c>
      <c r="J1852" s="31"/>
    </row>
    <row r="1853" s="12" customFormat="1" customHeight="1" spans="2:10">
      <c r="B1853" s="25"/>
      <c r="C1853" s="25"/>
      <c r="D1853" s="26" t="str" cm="1">
        <f t="array" ref="D1853">IF(C1853="","",IFERROR(INDEX(STPP!$D$6:$D$4207,MATCH(C1853,STPP!$C$6:$C$4207,0)),"Not Found"))</f>
        <v/>
      </c>
      <c r="E1853" s="27" t="str" cm="1">
        <f t="array" ref="E1853">IF(C1853="","",IFERROR(INDEX(STPP!$E$6:$E$4207,MATCH(C1853,STPP!$C$6:$C$4207,0)),"Not Found"))</f>
        <v/>
      </c>
      <c r="F1853" s="27" t="str" cm="1">
        <f t="array" ref="F1853">IF(C1853="","",IFERROR(INDEX(STPP!$F$6:$F$4207,MATCH(C1853,STPP!$C$6:$C$4207,0)),"Not Found"))</f>
        <v/>
      </c>
      <c r="G1853" s="25" t="str">
        <f>IF(表1[[#This Row],[No Seri]]="","",表1[[#This Row],[Deskripsi Barang]]+表1[[#This Row],[Kuantitas]]-表1[[#This Row],[Satuan]])</f>
        <v/>
      </c>
      <c r="H1853" s="28"/>
      <c r="I1853" s="25" t="str">
        <f>IF(表1[[#This Row],[Tgl NPBG]]&gt;表1[[#This Row],[Peminta]],表1[[#This Row],[Tgl NPBG]]-表1[[#This Row],[Peminta]],"")</f>
        <v/>
      </c>
      <c r="J1853" s="31"/>
    </row>
    <row r="1854" s="12" customFormat="1" customHeight="1" spans="2:10">
      <c r="B1854" s="25"/>
      <c r="C1854" s="25"/>
      <c r="D1854" s="26" t="str" cm="1">
        <f t="array" ref="D1854">IF(C1854="","",IFERROR(INDEX(STPP!$D$6:$D$4207,MATCH(C1854,STPP!$C$6:$C$4207,0)),"Not Found"))</f>
        <v/>
      </c>
      <c r="E1854" s="27" t="str" cm="1">
        <f t="array" ref="E1854">IF(C1854="","",IFERROR(INDEX(STPP!$E$6:$E$4207,MATCH(C1854,STPP!$C$6:$C$4207,0)),"Not Found"))</f>
        <v/>
      </c>
      <c r="F1854" s="27" t="str" cm="1">
        <f t="array" ref="F1854">IF(C1854="","",IFERROR(INDEX(STPP!$F$6:$F$4207,MATCH(C1854,STPP!$C$6:$C$4207,0)),"Not Found"))</f>
        <v/>
      </c>
      <c r="G1854" s="25" t="str">
        <f>IF(表1[[#This Row],[No Seri]]="","",表1[[#This Row],[Deskripsi Barang]]+表1[[#This Row],[Kuantitas]]-表1[[#This Row],[Satuan]])</f>
        <v/>
      </c>
      <c r="H1854" s="28"/>
      <c r="I1854" s="25" t="str">
        <f>IF(表1[[#This Row],[Tgl NPBG]]&gt;表1[[#This Row],[Peminta]],表1[[#This Row],[Tgl NPBG]]-表1[[#This Row],[Peminta]],"")</f>
        <v/>
      </c>
      <c r="J1854" s="31"/>
    </row>
    <row r="1855" s="12" customFormat="1" customHeight="1" spans="2:10">
      <c r="B1855" s="25"/>
      <c r="C1855" s="25"/>
      <c r="D1855" s="26" t="str" cm="1">
        <f t="array" ref="D1855">IF(C1855="","",IFERROR(INDEX(STPP!$D$6:$D$4207,MATCH(C1855,STPP!$C$6:$C$4207,0)),"Not Found"))</f>
        <v/>
      </c>
      <c r="E1855" s="27" t="str" cm="1">
        <f t="array" ref="E1855">IF(C1855="","",IFERROR(INDEX(STPP!$E$6:$E$4207,MATCH(C1855,STPP!$C$6:$C$4207,0)),"Not Found"))</f>
        <v/>
      </c>
      <c r="F1855" s="27" t="str" cm="1">
        <f t="array" ref="F1855">IF(C1855="","",IFERROR(INDEX(STPP!$F$6:$F$4207,MATCH(C1855,STPP!$C$6:$C$4207,0)),"Not Found"))</f>
        <v/>
      </c>
      <c r="G1855" s="25" t="str">
        <f>IF(表1[[#This Row],[No Seri]]="","",表1[[#This Row],[Deskripsi Barang]]+表1[[#This Row],[Kuantitas]]-表1[[#This Row],[Satuan]])</f>
        <v/>
      </c>
      <c r="H1855" s="28"/>
      <c r="I1855" s="25" t="str">
        <f>IF(表1[[#This Row],[Tgl NPBG]]&gt;表1[[#This Row],[Peminta]],表1[[#This Row],[Tgl NPBG]]-表1[[#This Row],[Peminta]],"")</f>
        <v/>
      </c>
      <c r="J1855" s="31"/>
    </row>
    <row r="1856" s="12" customFormat="1" customHeight="1" spans="2:10">
      <c r="B1856" s="25"/>
      <c r="C1856" s="25"/>
      <c r="D1856" s="26" t="str" cm="1">
        <f t="array" ref="D1856">IF(C1856="","",IFERROR(INDEX(STPP!$D$6:$D$4207,MATCH(C1856,STPP!$C$6:$C$4207,0)),"Not Found"))</f>
        <v/>
      </c>
      <c r="E1856" s="27" t="str" cm="1">
        <f t="array" ref="E1856">IF(C1856="","",IFERROR(INDEX(STPP!$E$6:$E$4207,MATCH(C1856,STPP!$C$6:$C$4207,0)),"Not Found"))</f>
        <v/>
      </c>
      <c r="F1856" s="27" t="str" cm="1">
        <f t="array" ref="F1856">IF(C1856="","",IFERROR(INDEX(STPP!$F$6:$F$4207,MATCH(C1856,STPP!$C$6:$C$4207,0)),"Not Found"))</f>
        <v/>
      </c>
      <c r="G1856" s="25" t="str">
        <f>IF(表1[[#This Row],[No Seri]]="","",表1[[#This Row],[Deskripsi Barang]]+表1[[#This Row],[Kuantitas]]-表1[[#This Row],[Satuan]])</f>
        <v/>
      </c>
      <c r="H1856" s="28"/>
      <c r="I1856" s="25" t="str">
        <f>IF(表1[[#This Row],[Tgl NPBG]]&gt;表1[[#This Row],[Peminta]],表1[[#This Row],[Tgl NPBG]]-表1[[#This Row],[Peminta]],"")</f>
        <v/>
      </c>
      <c r="J1856" s="31"/>
    </row>
    <row r="1857" s="12" customFormat="1" customHeight="1" spans="2:10">
      <c r="B1857" s="25"/>
      <c r="C1857" s="25"/>
      <c r="D1857" s="26" t="str" cm="1">
        <f t="array" ref="D1857">IF(C1857="","",IFERROR(INDEX(STPP!$D$6:$D$4207,MATCH(C1857,STPP!$C$6:$C$4207,0)),"Not Found"))</f>
        <v/>
      </c>
      <c r="E1857" s="27" t="str" cm="1">
        <f t="array" ref="E1857">IF(C1857="","",IFERROR(INDEX(STPP!$E$6:$E$4207,MATCH(C1857,STPP!$C$6:$C$4207,0)),"Not Found"))</f>
        <v/>
      </c>
      <c r="F1857" s="27" t="str" cm="1">
        <f t="array" ref="F1857">IF(C1857="","",IFERROR(INDEX(STPP!$F$6:$F$4207,MATCH(C1857,STPP!$C$6:$C$4207,0)),"Not Found"))</f>
        <v/>
      </c>
      <c r="G1857" s="25" t="str">
        <f>IF(表1[[#This Row],[No Seri]]="","",表1[[#This Row],[Deskripsi Barang]]+表1[[#This Row],[Kuantitas]]-表1[[#This Row],[Satuan]])</f>
        <v/>
      </c>
      <c r="H1857" s="28"/>
      <c r="I1857" s="25" t="str">
        <f>IF(表1[[#This Row],[Tgl NPBG]]&gt;表1[[#This Row],[Peminta]],表1[[#This Row],[Tgl NPBG]]-表1[[#This Row],[Peminta]],"")</f>
        <v/>
      </c>
      <c r="J1857" s="31"/>
    </row>
    <row r="1858" s="12" customFormat="1" customHeight="1" spans="2:10">
      <c r="B1858" s="25"/>
      <c r="C1858" s="25"/>
      <c r="D1858" s="26" t="str" cm="1">
        <f t="array" ref="D1858">IF(C1858="","",IFERROR(INDEX(STPP!$D$6:$D$4207,MATCH(C1858,STPP!$C$6:$C$4207,0)),"Not Found"))</f>
        <v/>
      </c>
      <c r="E1858" s="27" t="str" cm="1">
        <f t="array" ref="E1858">IF(C1858="","",IFERROR(INDEX(STPP!$E$6:$E$4207,MATCH(C1858,STPP!$C$6:$C$4207,0)),"Not Found"))</f>
        <v/>
      </c>
      <c r="F1858" s="27" t="str" cm="1">
        <f t="array" ref="F1858">IF(C1858="","",IFERROR(INDEX(STPP!$F$6:$F$4207,MATCH(C1858,STPP!$C$6:$C$4207,0)),"Not Found"))</f>
        <v/>
      </c>
      <c r="G1858" s="25" t="str">
        <f>IF(表1[[#This Row],[No Seri]]="","",表1[[#This Row],[Deskripsi Barang]]+表1[[#This Row],[Kuantitas]]-表1[[#This Row],[Satuan]])</f>
        <v/>
      </c>
      <c r="H1858" s="28"/>
      <c r="I1858" s="25" t="str">
        <f>IF(表1[[#This Row],[Tgl NPBG]]&gt;表1[[#This Row],[Peminta]],表1[[#This Row],[Tgl NPBG]]-表1[[#This Row],[Peminta]],"")</f>
        <v/>
      </c>
      <c r="J1858" s="31"/>
    </row>
    <row r="1859" s="12" customFormat="1" customHeight="1" spans="2:10">
      <c r="B1859" s="25"/>
      <c r="C1859" s="25"/>
      <c r="D1859" s="26" t="str" cm="1">
        <f t="array" ref="D1859">IF(C1859="","",IFERROR(INDEX(STPP!$D$6:$D$4207,MATCH(C1859,STPP!$C$6:$C$4207,0)),"Not Found"))</f>
        <v/>
      </c>
      <c r="E1859" s="27" t="str" cm="1">
        <f t="array" ref="E1859">IF(C1859="","",IFERROR(INDEX(STPP!$E$6:$E$4207,MATCH(C1859,STPP!$C$6:$C$4207,0)),"Not Found"))</f>
        <v/>
      </c>
      <c r="F1859" s="27" t="str" cm="1">
        <f t="array" ref="F1859">IF(C1859="","",IFERROR(INDEX(STPP!$F$6:$F$4207,MATCH(C1859,STPP!$C$6:$C$4207,0)),"Not Found"))</f>
        <v/>
      </c>
      <c r="G1859" s="25" t="str">
        <f>IF(表1[[#This Row],[No Seri]]="","",表1[[#This Row],[Deskripsi Barang]]+表1[[#This Row],[Kuantitas]]-表1[[#This Row],[Satuan]])</f>
        <v/>
      </c>
      <c r="H1859" s="28"/>
      <c r="I1859" s="25" t="str">
        <f>IF(表1[[#This Row],[Tgl NPBG]]&gt;表1[[#This Row],[Peminta]],表1[[#This Row],[Tgl NPBG]]-表1[[#This Row],[Peminta]],"")</f>
        <v/>
      </c>
      <c r="J1859" s="31"/>
    </row>
    <row r="1860" s="12" customFormat="1" customHeight="1" spans="2:10">
      <c r="B1860" s="25"/>
      <c r="C1860" s="25"/>
      <c r="D1860" s="26" t="str" cm="1">
        <f t="array" ref="D1860">IF(C1860="","",IFERROR(INDEX(STPP!$D$6:$D$4207,MATCH(C1860,STPP!$C$6:$C$4207,0)),"Not Found"))</f>
        <v/>
      </c>
      <c r="E1860" s="27" t="str" cm="1">
        <f t="array" ref="E1860">IF(C1860="","",IFERROR(INDEX(STPP!$E$6:$E$4207,MATCH(C1860,STPP!$C$6:$C$4207,0)),"Not Found"))</f>
        <v/>
      </c>
      <c r="F1860" s="27" t="str" cm="1">
        <f t="array" ref="F1860">IF(C1860="","",IFERROR(INDEX(STPP!$F$6:$F$4207,MATCH(C1860,STPP!$C$6:$C$4207,0)),"Not Found"))</f>
        <v/>
      </c>
      <c r="G1860" s="25" t="str">
        <f>IF(表1[[#This Row],[No Seri]]="","",表1[[#This Row],[Deskripsi Barang]]+表1[[#This Row],[Kuantitas]]-表1[[#This Row],[Satuan]])</f>
        <v/>
      </c>
      <c r="H1860" s="28"/>
      <c r="I1860" s="25" t="str">
        <f>IF(表1[[#This Row],[Tgl NPBG]]&gt;表1[[#This Row],[Peminta]],表1[[#This Row],[Tgl NPBG]]-表1[[#This Row],[Peminta]],"")</f>
        <v/>
      </c>
      <c r="J1860" s="31"/>
    </row>
    <row r="1861" s="12" customFormat="1" customHeight="1" spans="2:10">
      <c r="B1861" s="25"/>
      <c r="C1861" s="25"/>
      <c r="D1861" s="26" t="str" cm="1">
        <f t="array" ref="D1861">IF(C1861="","",IFERROR(INDEX(STPP!$D$6:$D$4207,MATCH(C1861,STPP!$C$6:$C$4207,0)),"Not Found"))</f>
        <v/>
      </c>
      <c r="E1861" s="27" t="str" cm="1">
        <f t="array" ref="E1861">IF(C1861="","",IFERROR(INDEX(STPP!$E$6:$E$4207,MATCH(C1861,STPP!$C$6:$C$4207,0)),"Not Found"))</f>
        <v/>
      </c>
      <c r="F1861" s="27" t="str" cm="1">
        <f t="array" ref="F1861">IF(C1861="","",IFERROR(INDEX(STPP!$F$6:$F$4207,MATCH(C1861,STPP!$C$6:$C$4207,0)),"Not Found"))</f>
        <v/>
      </c>
      <c r="G1861" s="25" t="str">
        <f>IF(表1[[#This Row],[No Seri]]="","",表1[[#This Row],[Deskripsi Barang]]+表1[[#This Row],[Kuantitas]]-表1[[#This Row],[Satuan]])</f>
        <v/>
      </c>
      <c r="H1861" s="28"/>
      <c r="I1861" s="25" t="str">
        <f>IF(表1[[#This Row],[Tgl NPBG]]&gt;表1[[#This Row],[Peminta]],表1[[#This Row],[Tgl NPBG]]-表1[[#This Row],[Peminta]],"")</f>
        <v/>
      </c>
      <c r="J1861" s="31"/>
    </row>
    <row r="1862" s="12" customFormat="1" customHeight="1" spans="2:10">
      <c r="B1862" s="25"/>
      <c r="C1862" s="25"/>
      <c r="D1862" s="26" t="str" cm="1">
        <f t="array" ref="D1862">IF(C1862="","",IFERROR(INDEX(STPP!$D$6:$D$4207,MATCH(C1862,STPP!$C$6:$C$4207,0)),"Not Found"))</f>
        <v/>
      </c>
      <c r="E1862" s="27" t="str" cm="1">
        <f t="array" ref="E1862">IF(C1862="","",IFERROR(INDEX(STPP!$E$6:$E$4207,MATCH(C1862,STPP!$C$6:$C$4207,0)),"Not Found"))</f>
        <v/>
      </c>
      <c r="F1862" s="27" t="str" cm="1">
        <f t="array" ref="F1862">IF(C1862="","",IFERROR(INDEX(STPP!$F$6:$F$4207,MATCH(C1862,STPP!$C$6:$C$4207,0)),"Not Found"))</f>
        <v/>
      </c>
      <c r="G1862" s="25" t="str">
        <f>IF(表1[[#This Row],[No Seri]]="","",表1[[#This Row],[Deskripsi Barang]]+表1[[#This Row],[Kuantitas]]-表1[[#This Row],[Satuan]])</f>
        <v/>
      </c>
      <c r="H1862" s="28"/>
      <c r="I1862" s="25" t="str">
        <f>IF(表1[[#This Row],[Tgl NPBG]]&gt;表1[[#This Row],[Peminta]],表1[[#This Row],[Tgl NPBG]]-表1[[#This Row],[Peminta]],"")</f>
        <v/>
      </c>
      <c r="J1862" s="31"/>
    </row>
    <row r="1863" s="12" customFormat="1" customHeight="1" spans="2:10">
      <c r="B1863" s="25"/>
      <c r="C1863" s="25"/>
      <c r="D1863" s="26" t="str" cm="1">
        <f t="array" ref="D1863">IF(C1863="","",IFERROR(INDEX(STPP!$D$6:$D$4207,MATCH(C1863,STPP!$C$6:$C$4207,0)),"Not Found"))</f>
        <v/>
      </c>
      <c r="E1863" s="27" t="str" cm="1">
        <f t="array" ref="E1863">IF(C1863="","",IFERROR(INDEX(STPP!$E$6:$E$4207,MATCH(C1863,STPP!$C$6:$C$4207,0)),"Not Found"))</f>
        <v/>
      </c>
      <c r="F1863" s="27" t="str" cm="1">
        <f t="array" ref="F1863">IF(C1863="","",IFERROR(INDEX(STPP!$F$6:$F$4207,MATCH(C1863,STPP!$C$6:$C$4207,0)),"Not Found"))</f>
        <v/>
      </c>
      <c r="G1863" s="25" t="str">
        <f>IF(表1[[#This Row],[No Seri]]="","",表1[[#This Row],[Deskripsi Barang]]+表1[[#This Row],[Kuantitas]]-表1[[#This Row],[Satuan]])</f>
        <v/>
      </c>
      <c r="H1863" s="28"/>
      <c r="I1863" s="25" t="str">
        <f>IF(表1[[#This Row],[Tgl NPBG]]&gt;表1[[#This Row],[Peminta]],表1[[#This Row],[Tgl NPBG]]-表1[[#This Row],[Peminta]],"")</f>
        <v/>
      </c>
      <c r="J1863" s="31"/>
    </row>
    <row r="1864" s="12" customFormat="1" customHeight="1" spans="2:10">
      <c r="B1864" s="25"/>
      <c r="C1864" s="25"/>
      <c r="D1864" s="26" t="str" cm="1">
        <f t="array" ref="D1864">IF(C1864="","",IFERROR(INDEX(STPP!$D$6:$D$4207,MATCH(C1864,STPP!$C$6:$C$4207,0)),"Not Found"))</f>
        <v/>
      </c>
      <c r="E1864" s="27" t="str" cm="1">
        <f t="array" ref="E1864">IF(C1864="","",IFERROR(INDEX(STPP!$E$6:$E$4207,MATCH(C1864,STPP!$C$6:$C$4207,0)),"Not Found"))</f>
        <v/>
      </c>
      <c r="F1864" s="27" t="str" cm="1">
        <f t="array" ref="F1864">IF(C1864="","",IFERROR(INDEX(STPP!$F$6:$F$4207,MATCH(C1864,STPP!$C$6:$C$4207,0)),"Not Found"))</f>
        <v/>
      </c>
      <c r="G1864" s="25" t="str">
        <f>IF(表1[[#This Row],[No Seri]]="","",表1[[#This Row],[Deskripsi Barang]]+表1[[#This Row],[Kuantitas]]-表1[[#This Row],[Satuan]])</f>
        <v/>
      </c>
      <c r="H1864" s="28"/>
      <c r="I1864" s="25" t="str">
        <f>IF(表1[[#This Row],[Tgl NPBG]]&gt;表1[[#This Row],[Peminta]],表1[[#This Row],[Tgl NPBG]]-表1[[#This Row],[Peminta]],"")</f>
        <v/>
      </c>
      <c r="J1864" s="31"/>
    </row>
    <row r="1865" s="12" customFormat="1" customHeight="1" spans="2:10">
      <c r="B1865" s="25"/>
      <c r="C1865" s="25"/>
      <c r="D1865" s="26" t="str" cm="1">
        <f t="array" ref="D1865">IF(C1865="","",IFERROR(INDEX(STPP!$D$6:$D$4207,MATCH(C1865,STPP!$C$6:$C$4207,0)),"Not Found"))</f>
        <v/>
      </c>
      <c r="E1865" s="27" t="str" cm="1">
        <f t="array" ref="E1865">IF(C1865="","",IFERROR(INDEX(STPP!$E$6:$E$4207,MATCH(C1865,STPP!$C$6:$C$4207,0)),"Not Found"))</f>
        <v/>
      </c>
      <c r="F1865" s="27" t="str" cm="1">
        <f t="array" ref="F1865">IF(C1865="","",IFERROR(INDEX(STPP!$F$6:$F$4207,MATCH(C1865,STPP!$C$6:$C$4207,0)),"Not Found"))</f>
        <v/>
      </c>
      <c r="G1865" s="25" t="str">
        <f>IF(表1[[#This Row],[No Seri]]="","",表1[[#This Row],[Deskripsi Barang]]+表1[[#This Row],[Kuantitas]]-表1[[#This Row],[Satuan]])</f>
        <v/>
      </c>
      <c r="H1865" s="28"/>
      <c r="I1865" s="25" t="str">
        <f>IF(表1[[#This Row],[Tgl NPBG]]&gt;表1[[#This Row],[Peminta]],表1[[#This Row],[Tgl NPBG]]-表1[[#This Row],[Peminta]],"")</f>
        <v/>
      </c>
      <c r="J1865" s="31"/>
    </row>
    <row r="1866" s="12" customFormat="1" customHeight="1" spans="2:10">
      <c r="B1866" s="25"/>
      <c r="C1866" s="25"/>
      <c r="D1866" s="26" t="str" cm="1">
        <f t="array" ref="D1866">IF(C1866="","",IFERROR(INDEX(STPP!$D$6:$D$4207,MATCH(C1866,STPP!$C$6:$C$4207,0)),"Not Found"))</f>
        <v/>
      </c>
      <c r="E1866" s="27" t="str" cm="1">
        <f t="array" ref="E1866">IF(C1866="","",IFERROR(INDEX(STPP!$E$6:$E$4207,MATCH(C1866,STPP!$C$6:$C$4207,0)),"Not Found"))</f>
        <v/>
      </c>
      <c r="F1866" s="27" t="str" cm="1">
        <f t="array" ref="F1866">IF(C1866="","",IFERROR(INDEX(STPP!$F$6:$F$4207,MATCH(C1866,STPP!$C$6:$C$4207,0)),"Not Found"))</f>
        <v/>
      </c>
      <c r="G1866" s="25" t="str">
        <f>IF(表1[[#This Row],[No Seri]]="","",表1[[#This Row],[Deskripsi Barang]]+表1[[#This Row],[Kuantitas]]-表1[[#This Row],[Satuan]])</f>
        <v/>
      </c>
      <c r="H1866" s="28"/>
      <c r="I1866" s="25" t="str">
        <f>IF(表1[[#This Row],[Tgl NPBG]]&gt;表1[[#This Row],[Peminta]],表1[[#This Row],[Tgl NPBG]]-表1[[#This Row],[Peminta]],"")</f>
        <v/>
      </c>
      <c r="J1866" s="31"/>
    </row>
    <row r="1867" s="12" customFormat="1" customHeight="1" spans="2:10">
      <c r="B1867" s="25"/>
      <c r="C1867" s="25"/>
      <c r="D1867" s="26" t="str" cm="1">
        <f t="array" ref="D1867">IF(C1867="","",IFERROR(INDEX(STPP!$D$6:$D$4207,MATCH(C1867,STPP!$C$6:$C$4207,0)),"Not Found"))</f>
        <v/>
      </c>
      <c r="E1867" s="27" t="str" cm="1">
        <f t="array" ref="E1867">IF(C1867="","",IFERROR(INDEX(STPP!$E$6:$E$4207,MATCH(C1867,STPP!$C$6:$C$4207,0)),"Not Found"))</f>
        <v/>
      </c>
      <c r="F1867" s="27" t="str" cm="1">
        <f t="array" ref="F1867">IF(C1867="","",IFERROR(INDEX(STPP!$F$6:$F$4207,MATCH(C1867,STPP!$C$6:$C$4207,0)),"Not Found"))</f>
        <v/>
      </c>
      <c r="G1867" s="25" t="str">
        <f>IF(表1[[#This Row],[No Seri]]="","",表1[[#This Row],[Deskripsi Barang]]+表1[[#This Row],[Kuantitas]]-表1[[#This Row],[Satuan]])</f>
        <v/>
      </c>
      <c r="H1867" s="28"/>
      <c r="I1867" s="25" t="str">
        <f>IF(表1[[#This Row],[Tgl NPBG]]&gt;表1[[#This Row],[Peminta]],表1[[#This Row],[Tgl NPBG]]-表1[[#This Row],[Peminta]],"")</f>
        <v/>
      </c>
      <c r="J1867" s="31"/>
    </row>
    <row r="1868" s="12" customFormat="1" customHeight="1" spans="2:10">
      <c r="B1868" s="25"/>
      <c r="C1868" s="25"/>
      <c r="D1868" s="26" t="str" cm="1">
        <f t="array" ref="D1868">IF(C1868="","",IFERROR(INDEX(STPP!$D$6:$D$4207,MATCH(C1868,STPP!$C$6:$C$4207,0)),"Not Found"))</f>
        <v/>
      </c>
      <c r="E1868" s="27" t="str" cm="1">
        <f t="array" ref="E1868">IF(C1868="","",IFERROR(INDEX(STPP!$E$6:$E$4207,MATCH(C1868,STPP!$C$6:$C$4207,0)),"Not Found"))</f>
        <v/>
      </c>
      <c r="F1868" s="27" t="str" cm="1">
        <f t="array" ref="F1868">IF(C1868="","",IFERROR(INDEX(STPP!$F$6:$F$4207,MATCH(C1868,STPP!$C$6:$C$4207,0)),"Not Found"))</f>
        <v/>
      </c>
      <c r="G1868" s="25" t="str">
        <f>IF(表1[[#This Row],[No Seri]]="","",表1[[#This Row],[Deskripsi Barang]]+表1[[#This Row],[Kuantitas]]-表1[[#This Row],[Satuan]])</f>
        <v/>
      </c>
      <c r="H1868" s="28"/>
      <c r="I1868" s="25" t="str">
        <f>IF(表1[[#This Row],[Tgl NPBG]]&gt;表1[[#This Row],[Peminta]],表1[[#This Row],[Tgl NPBG]]-表1[[#This Row],[Peminta]],"")</f>
        <v/>
      </c>
      <c r="J1868" s="31"/>
    </row>
    <row r="1869" s="12" customFormat="1" customHeight="1" spans="2:10">
      <c r="B1869" s="25"/>
      <c r="C1869" s="25"/>
      <c r="D1869" s="26" t="str" cm="1">
        <f t="array" ref="D1869">IF(C1869="","",IFERROR(INDEX(STPP!$D$6:$D$4207,MATCH(C1869,STPP!$C$6:$C$4207,0)),"Not Found"))</f>
        <v/>
      </c>
      <c r="E1869" s="27" t="str" cm="1">
        <f t="array" ref="E1869">IF(C1869="","",IFERROR(INDEX(STPP!$E$6:$E$4207,MATCH(C1869,STPP!$C$6:$C$4207,0)),"Not Found"))</f>
        <v/>
      </c>
      <c r="F1869" s="27" t="str" cm="1">
        <f t="array" ref="F1869">IF(C1869="","",IFERROR(INDEX(STPP!$F$6:$F$4207,MATCH(C1869,STPP!$C$6:$C$4207,0)),"Not Found"))</f>
        <v/>
      </c>
      <c r="G1869" s="25" t="str">
        <f>IF(表1[[#This Row],[No Seri]]="","",表1[[#This Row],[Deskripsi Barang]]+表1[[#This Row],[Kuantitas]]-表1[[#This Row],[Satuan]])</f>
        <v/>
      </c>
      <c r="H1869" s="28"/>
      <c r="I1869" s="25" t="str">
        <f>IF(表1[[#This Row],[Tgl NPBG]]&gt;表1[[#This Row],[Peminta]],表1[[#This Row],[Tgl NPBG]]-表1[[#This Row],[Peminta]],"")</f>
        <v/>
      </c>
      <c r="J1869" s="31"/>
    </row>
    <row r="1870" s="12" customFormat="1" customHeight="1" spans="2:10">
      <c r="B1870" s="25"/>
      <c r="C1870" s="25"/>
      <c r="D1870" s="26" t="str" cm="1">
        <f t="array" ref="D1870">IF(C1870="","",IFERROR(INDEX(STPP!$D$6:$D$4207,MATCH(C1870,STPP!$C$6:$C$4207,0)),"Not Found"))</f>
        <v/>
      </c>
      <c r="E1870" s="27" t="str" cm="1">
        <f t="array" ref="E1870">IF(C1870="","",IFERROR(INDEX(STPP!$E$6:$E$4207,MATCH(C1870,STPP!$C$6:$C$4207,0)),"Not Found"))</f>
        <v/>
      </c>
      <c r="F1870" s="27" t="str" cm="1">
        <f t="array" ref="F1870">IF(C1870="","",IFERROR(INDEX(STPP!$F$6:$F$4207,MATCH(C1870,STPP!$C$6:$C$4207,0)),"Not Found"))</f>
        <v/>
      </c>
      <c r="G1870" s="25" t="str">
        <f>IF(表1[[#This Row],[No Seri]]="","",表1[[#This Row],[Deskripsi Barang]]+表1[[#This Row],[Kuantitas]]-表1[[#This Row],[Satuan]])</f>
        <v/>
      </c>
      <c r="H1870" s="28"/>
      <c r="I1870" s="25" t="str">
        <f>IF(表1[[#This Row],[Tgl NPBG]]&gt;表1[[#This Row],[Peminta]],表1[[#This Row],[Tgl NPBG]]-表1[[#This Row],[Peminta]],"")</f>
        <v/>
      </c>
      <c r="J1870" s="31"/>
    </row>
    <row r="1871" s="12" customFormat="1" customHeight="1" spans="2:10">
      <c r="B1871" s="25"/>
      <c r="C1871" s="25"/>
      <c r="D1871" s="26" t="str" cm="1">
        <f t="array" ref="D1871">IF(C1871="","",IFERROR(INDEX(STPP!$D$6:$D$4207,MATCH(C1871,STPP!$C$6:$C$4207,0)),"Not Found"))</f>
        <v/>
      </c>
      <c r="E1871" s="27" t="str" cm="1">
        <f t="array" ref="E1871">IF(C1871="","",IFERROR(INDEX(STPP!$E$6:$E$4207,MATCH(C1871,STPP!$C$6:$C$4207,0)),"Not Found"))</f>
        <v/>
      </c>
      <c r="F1871" s="27" t="str" cm="1">
        <f t="array" ref="F1871">IF(C1871="","",IFERROR(INDEX(STPP!$F$6:$F$4207,MATCH(C1871,STPP!$C$6:$C$4207,0)),"Not Found"))</f>
        <v/>
      </c>
      <c r="G1871" s="25" t="str">
        <f>IF(表1[[#This Row],[No Seri]]="","",表1[[#This Row],[Deskripsi Barang]]+表1[[#This Row],[Kuantitas]]-表1[[#This Row],[Satuan]])</f>
        <v/>
      </c>
      <c r="H1871" s="28"/>
      <c r="I1871" s="25" t="str">
        <f>IF(表1[[#This Row],[Tgl NPBG]]&gt;表1[[#This Row],[Peminta]],表1[[#This Row],[Tgl NPBG]]-表1[[#This Row],[Peminta]],"")</f>
        <v/>
      </c>
      <c r="J1871" s="31"/>
    </row>
    <row r="1872" s="12" customFormat="1" customHeight="1" spans="2:10">
      <c r="B1872" s="25"/>
      <c r="C1872" s="25"/>
      <c r="D1872" s="26" t="str" cm="1">
        <f t="array" ref="D1872">IF(C1872="","",IFERROR(INDEX(STPP!$D$6:$D$4207,MATCH(C1872,STPP!$C$6:$C$4207,0)),"Not Found"))</f>
        <v/>
      </c>
      <c r="E1872" s="27" t="str" cm="1">
        <f t="array" ref="E1872">IF(C1872="","",IFERROR(INDEX(STPP!$E$6:$E$4207,MATCH(C1872,STPP!$C$6:$C$4207,0)),"Not Found"))</f>
        <v/>
      </c>
      <c r="F1872" s="27" t="str" cm="1">
        <f t="array" ref="F1872">IF(C1872="","",IFERROR(INDEX(STPP!$F$6:$F$4207,MATCH(C1872,STPP!$C$6:$C$4207,0)),"Not Found"))</f>
        <v/>
      </c>
      <c r="G1872" s="25" t="str">
        <f>IF(表1[[#This Row],[No Seri]]="","",表1[[#This Row],[Deskripsi Barang]]+表1[[#This Row],[Kuantitas]]-表1[[#This Row],[Satuan]])</f>
        <v/>
      </c>
      <c r="H1872" s="28"/>
      <c r="I1872" s="25" t="str">
        <f>IF(表1[[#This Row],[Tgl NPBG]]&gt;表1[[#This Row],[Peminta]],表1[[#This Row],[Tgl NPBG]]-表1[[#This Row],[Peminta]],"")</f>
        <v/>
      </c>
      <c r="J1872" s="31"/>
    </row>
    <row r="1873" s="12" customFormat="1" customHeight="1" spans="2:10">
      <c r="B1873" s="25"/>
      <c r="C1873" s="25"/>
      <c r="D1873" s="26" t="str" cm="1">
        <f t="array" ref="D1873">IF(C1873="","",IFERROR(INDEX(STPP!$D$6:$D$4207,MATCH(C1873,STPP!$C$6:$C$4207,0)),"Not Found"))</f>
        <v/>
      </c>
      <c r="E1873" s="27" t="str" cm="1">
        <f t="array" ref="E1873">IF(C1873="","",IFERROR(INDEX(STPP!$E$6:$E$4207,MATCH(C1873,STPP!$C$6:$C$4207,0)),"Not Found"))</f>
        <v/>
      </c>
      <c r="F1873" s="27" t="str" cm="1">
        <f t="array" ref="F1873">IF(C1873="","",IFERROR(INDEX(STPP!$F$6:$F$4207,MATCH(C1873,STPP!$C$6:$C$4207,0)),"Not Found"))</f>
        <v/>
      </c>
      <c r="G1873" s="25" t="str">
        <f>IF(表1[[#This Row],[No Seri]]="","",表1[[#This Row],[Deskripsi Barang]]+表1[[#This Row],[Kuantitas]]-表1[[#This Row],[Satuan]])</f>
        <v/>
      </c>
      <c r="H1873" s="28"/>
      <c r="I1873" s="25" t="str">
        <f>IF(表1[[#This Row],[Tgl NPBG]]&gt;表1[[#This Row],[Peminta]],表1[[#This Row],[Tgl NPBG]]-表1[[#This Row],[Peminta]],"")</f>
        <v/>
      </c>
      <c r="J1873" s="31"/>
    </row>
    <row r="1874" s="12" customFormat="1" customHeight="1" spans="2:10">
      <c r="B1874" s="25"/>
      <c r="C1874" s="25"/>
      <c r="D1874" s="26" t="str" cm="1">
        <f t="array" ref="D1874">IF(C1874="","",IFERROR(INDEX(STPP!$D$6:$D$4207,MATCH(C1874,STPP!$C$6:$C$4207,0)),"Not Found"))</f>
        <v/>
      </c>
      <c r="E1874" s="27" t="str" cm="1">
        <f t="array" ref="E1874">IF(C1874="","",IFERROR(INDEX(STPP!$E$6:$E$4207,MATCH(C1874,STPP!$C$6:$C$4207,0)),"Not Found"))</f>
        <v/>
      </c>
      <c r="F1874" s="27" t="str" cm="1">
        <f t="array" ref="F1874">IF(C1874="","",IFERROR(INDEX(STPP!$F$6:$F$4207,MATCH(C1874,STPP!$C$6:$C$4207,0)),"Not Found"))</f>
        <v/>
      </c>
      <c r="G1874" s="25" t="str">
        <f>IF(表1[[#This Row],[No Seri]]="","",表1[[#This Row],[Deskripsi Barang]]+表1[[#This Row],[Kuantitas]]-表1[[#This Row],[Satuan]])</f>
        <v/>
      </c>
      <c r="H1874" s="28"/>
      <c r="I1874" s="25" t="str">
        <f>IF(表1[[#This Row],[Tgl NPBG]]&gt;表1[[#This Row],[Peminta]],表1[[#This Row],[Tgl NPBG]]-表1[[#This Row],[Peminta]],"")</f>
        <v/>
      </c>
      <c r="J1874" s="31"/>
    </row>
    <row r="1875" s="12" customFormat="1" customHeight="1" spans="2:10">
      <c r="B1875" s="25"/>
      <c r="C1875" s="25"/>
      <c r="D1875" s="26" t="str" cm="1">
        <f t="array" ref="D1875">IF(C1875="","",IFERROR(INDEX(STPP!$D$6:$D$4207,MATCH(C1875,STPP!$C$6:$C$4207,0)),"Not Found"))</f>
        <v/>
      </c>
      <c r="E1875" s="27" t="str" cm="1">
        <f t="array" ref="E1875">IF(C1875="","",IFERROR(INDEX(STPP!$E$6:$E$4207,MATCH(C1875,STPP!$C$6:$C$4207,0)),"Not Found"))</f>
        <v/>
      </c>
      <c r="F1875" s="27" t="str" cm="1">
        <f t="array" ref="F1875">IF(C1875="","",IFERROR(INDEX(STPP!$F$6:$F$4207,MATCH(C1875,STPP!$C$6:$C$4207,0)),"Not Found"))</f>
        <v/>
      </c>
      <c r="G1875" s="25" t="str">
        <f>IF(表1[[#This Row],[No Seri]]="","",表1[[#This Row],[Deskripsi Barang]]+表1[[#This Row],[Kuantitas]]-表1[[#This Row],[Satuan]])</f>
        <v/>
      </c>
      <c r="H1875" s="28"/>
      <c r="I1875" s="25" t="str">
        <f>IF(表1[[#This Row],[Tgl NPBG]]&gt;表1[[#This Row],[Peminta]],表1[[#This Row],[Tgl NPBG]]-表1[[#This Row],[Peminta]],"")</f>
        <v/>
      </c>
      <c r="J1875" s="31"/>
    </row>
    <row r="1876" s="12" customFormat="1" customHeight="1" spans="2:10">
      <c r="B1876" s="25"/>
      <c r="C1876" s="25"/>
      <c r="D1876" s="26" t="str" cm="1">
        <f t="array" ref="D1876">IF(C1876="","",IFERROR(INDEX(STPP!$D$6:$D$4207,MATCH(C1876,STPP!$C$6:$C$4207,0)),"Not Found"))</f>
        <v/>
      </c>
      <c r="E1876" s="27" t="str" cm="1">
        <f t="array" ref="E1876">IF(C1876="","",IFERROR(INDEX(STPP!$E$6:$E$4207,MATCH(C1876,STPP!$C$6:$C$4207,0)),"Not Found"))</f>
        <v/>
      </c>
      <c r="F1876" s="27" t="str" cm="1">
        <f t="array" ref="F1876">IF(C1876="","",IFERROR(INDEX(STPP!$F$6:$F$4207,MATCH(C1876,STPP!$C$6:$C$4207,0)),"Not Found"))</f>
        <v/>
      </c>
      <c r="G1876" s="25" t="str">
        <f>IF(表1[[#This Row],[No Seri]]="","",表1[[#This Row],[Deskripsi Barang]]+表1[[#This Row],[Kuantitas]]-表1[[#This Row],[Satuan]])</f>
        <v/>
      </c>
      <c r="H1876" s="28"/>
      <c r="I1876" s="25" t="str">
        <f>IF(表1[[#This Row],[Tgl NPBG]]&gt;表1[[#This Row],[Peminta]],表1[[#This Row],[Tgl NPBG]]-表1[[#This Row],[Peminta]],"")</f>
        <v/>
      </c>
      <c r="J1876" s="31"/>
    </row>
    <row r="1877" s="12" customFormat="1" customHeight="1" spans="2:10">
      <c r="B1877" s="25"/>
      <c r="C1877" s="25"/>
      <c r="D1877" s="26" t="str" cm="1">
        <f t="array" ref="D1877">IF(C1877="","",IFERROR(INDEX(STPP!$D$6:$D$4207,MATCH(C1877,STPP!$C$6:$C$4207,0)),"Not Found"))</f>
        <v/>
      </c>
      <c r="E1877" s="27" t="str" cm="1">
        <f t="array" ref="E1877">IF(C1877="","",IFERROR(INDEX(STPP!$E$6:$E$4207,MATCH(C1877,STPP!$C$6:$C$4207,0)),"Not Found"))</f>
        <v/>
      </c>
      <c r="F1877" s="27" t="str" cm="1">
        <f t="array" ref="F1877">IF(C1877="","",IFERROR(INDEX(STPP!$F$6:$F$4207,MATCH(C1877,STPP!$C$6:$C$4207,0)),"Not Found"))</f>
        <v/>
      </c>
      <c r="G1877" s="25" t="str">
        <f>IF(表1[[#This Row],[No Seri]]="","",表1[[#This Row],[Deskripsi Barang]]+表1[[#This Row],[Kuantitas]]-表1[[#This Row],[Satuan]])</f>
        <v/>
      </c>
      <c r="H1877" s="28"/>
      <c r="I1877" s="25" t="str">
        <f>IF(表1[[#This Row],[Tgl NPBG]]&gt;表1[[#This Row],[Peminta]],表1[[#This Row],[Tgl NPBG]]-表1[[#This Row],[Peminta]],"")</f>
        <v/>
      </c>
      <c r="J1877" s="31"/>
    </row>
    <row r="1878" s="12" customFormat="1" customHeight="1" spans="2:10">
      <c r="B1878" s="25"/>
      <c r="C1878" s="25"/>
      <c r="D1878" s="26" t="str" cm="1">
        <f t="array" ref="D1878">IF(C1878="","",IFERROR(INDEX(STPP!$D$6:$D$4207,MATCH(C1878,STPP!$C$6:$C$4207,0)),"Not Found"))</f>
        <v/>
      </c>
      <c r="E1878" s="27" t="str" cm="1">
        <f t="array" ref="E1878">IF(C1878="","",IFERROR(INDEX(STPP!$E$6:$E$4207,MATCH(C1878,STPP!$C$6:$C$4207,0)),"Not Found"))</f>
        <v/>
      </c>
      <c r="F1878" s="27" t="str" cm="1">
        <f t="array" ref="F1878">IF(C1878="","",IFERROR(INDEX(STPP!$F$6:$F$4207,MATCH(C1878,STPP!$C$6:$C$4207,0)),"Not Found"))</f>
        <v/>
      </c>
      <c r="G1878" s="25" t="str">
        <f>IF(表1[[#This Row],[No Seri]]="","",表1[[#This Row],[Deskripsi Barang]]+表1[[#This Row],[Kuantitas]]-表1[[#This Row],[Satuan]])</f>
        <v/>
      </c>
      <c r="H1878" s="28"/>
      <c r="I1878" s="25" t="str">
        <f>IF(表1[[#This Row],[Tgl NPBG]]&gt;表1[[#This Row],[Peminta]],表1[[#This Row],[Tgl NPBG]]-表1[[#This Row],[Peminta]],"")</f>
        <v/>
      </c>
      <c r="J1878" s="31"/>
    </row>
    <row r="1879" s="12" customFormat="1" customHeight="1" spans="2:10">
      <c r="B1879" s="25"/>
      <c r="C1879" s="25"/>
      <c r="D1879" s="26" t="str" cm="1">
        <f t="array" ref="D1879">IF(C1879="","",IFERROR(INDEX(STPP!$D$6:$D$4207,MATCH(C1879,STPP!$C$6:$C$4207,0)),"Not Found"))</f>
        <v/>
      </c>
      <c r="E1879" s="27" t="str" cm="1">
        <f t="array" ref="E1879">IF(C1879="","",IFERROR(INDEX(STPP!$E$6:$E$4207,MATCH(C1879,STPP!$C$6:$C$4207,0)),"Not Found"))</f>
        <v/>
      </c>
      <c r="F1879" s="27" t="str" cm="1">
        <f t="array" ref="F1879">IF(C1879="","",IFERROR(INDEX(STPP!$F$6:$F$4207,MATCH(C1879,STPP!$C$6:$C$4207,0)),"Not Found"))</f>
        <v/>
      </c>
      <c r="G1879" s="25" t="str">
        <f>IF(表1[[#This Row],[No Seri]]="","",表1[[#This Row],[Deskripsi Barang]]+表1[[#This Row],[Kuantitas]]-表1[[#This Row],[Satuan]])</f>
        <v/>
      </c>
      <c r="H1879" s="28"/>
      <c r="I1879" s="25" t="str">
        <f>IF(表1[[#This Row],[Tgl NPBG]]&gt;表1[[#This Row],[Peminta]],表1[[#This Row],[Tgl NPBG]]-表1[[#This Row],[Peminta]],"")</f>
        <v/>
      </c>
      <c r="J1879" s="31"/>
    </row>
    <row r="1880" s="12" customFormat="1" customHeight="1" spans="2:10">
      <c r="B1880" s="25"/>
      <c r="C1880" s="25"/>
      <c r="D1880" s="26" t="str" cm="1">
        <f t="array" ref="D1880">IF(C1880="","",IFERROR(INDEX(STPP!$D$6:$D$4207,MATCH(C1880,STPP!$C$6:$C$4207,0)),"Not Found"))</f>
        <v/>
      </c>
      <c r="E1880" s="27" t="str" cm="1">
        <f t="array" ref="E1880">IF(C1880="","",IFERROR(INDEX(STPP!$E$6:$E$4207,MATCH(C1880,STPP!$C$6:$C$4207,0)),"Not Found"))</f>
        <v/>
      </c>
      <c r="F1880" s="27" t="str" cm="1">
        <f t="array" ref="F1880">IF(C1880="","",IFERROR(INDEX(STPP!$F$6:$F$4207,MATCH(C1880,STPP!$C$6:$C$4207,0)),"Not Found"))</f>
        <v/>
      </c>
      <c r="G1880" s="25" t="str">
        <f>IF(表1[[#This Row],[No Seri]]="","",表1[[#This Row],[Deskripsi Barang]]+表1[[#This Row],[Kuantitas]]-表1[[#This Row],[Satuan]])</f>
        <v/>
      </c>
      <c r="H1880" s="28"/>
      <c r="I1880" s="25" t="str">
        <f>IF(表1[[#This Row],[Tgl NPBG]]&gt;表1[[#This Row],[Peminta]],表1[[#This Row],[Tgl NPBG]]-表1[[#This Row],[Peminta]],"")</f>
        <v/>
      </c>
      <c r="J1880" s="31"/>
    </row>
    <row r="1881" s="12" customFormat="1" customHeight="1" spans="2:10">
      <c r="B1881" s="25"/>
      <c r="C1881" s="25"/>
      <c r="D1881" s="26" t="str" cm="1">
        <f t="array" ref="D1881">IF(C1881="","",IFERROR(INDEX(STPP!$D$6:$D$4207,MATCH(C1881,STPP!$C$6:$C$4207,0)),"Not Found"))</f>
        <v/>
      </c>
      <c r="E1881" s="27" t="str" cm="1">
        <f t="array" ref="E1881">IF(C1881="","",IFERROR(INDEX(STPP!$E$6:$E$4207,MATCH(C1881,STPP!$C$6:$C$4207,0)),"Not Found"))</f>
        <v/>
      </c>
      <c r="F1881" s="27" t="str" cm="1">
        <f t="array" ref="F1881">IF(C1881="","",IFERROR(INDEX(STPP!$F$6:$F$4207,MATCH(C1881,STPP!$C$6:$C$4207,0)),"Not Found"))</f>
        <v/>
      </c>
      <c r="G1881" s="25" t="str">
        <f>IF(表1[[#This Row],[No Seri]]="","",表1[[#This Row],[Deskripsi Barang]]+表1[[#This Row],[Kuantitas]]-表1[[#This Row],[Satuan]])</f>
        <v/>
      </c>
      <c r="H1881" s="28"/>
      <c r="I1881" s="25" t="str">
        <f>IF(表1[[#This Row],[Tgl NPBG]]&gt;表1[[#This Row],[Peminta]],表1[[#This Row],[Tgl NPBG]]-表1[[#This Row],[Peminta]],"")</f>
        <v/>
      </c>
      <c r="J1881" s="31"/>
    </row>
    <row r="1882" s="12" customFormat="1" customHeight="1" spans="2:10">
      <c r="B1882" s="25"/>
      <c r="C1882" s="25"/>
      <c r="D1882" s="26" t="str" cm="1">
        <f t="array" ref="D1882">IF(C1882="","",IFERROR(INDEX(STPP!$D$6:$D$4207,MATCH(C1882,STPP!$C$6:$C$4207,0)),"Not Found"))</f>
        <v/>
      </c>
      <c r="E1882" s="27" t="str" cm="1">
        <f t="array" ref="E1882">IF(C1882="","",IFERROR(INDEX(STPP!$E$6:$E$4207,MATCH(C1882,STPP!$C$6:$C$4207,0)),"Not Found"))</f>
        <v/>
      </c>
      <c r="F1882" s="27" t="str" cm="1">
        <f t="array" ref="F1882">IF(C1882="","",IFERROR(INDEX(STPP!$F$6:$F$4207,MATCH(C1882,STPP!$C$6:$C$4207,0)),"Not Found"))</f>
        <v/>
      </c>
      <c r="G1882" s="25" t="str">
        <f>IF(表1[[#This Row],[No Seri]]="","",表1[[#This Row],[Deskripsi Barang]]+表1[[#This Row],[Kuantitas]]-表1[[#This Row],[Satuan]])</f>
        <v/>
      </c>
      <c r="H1882" s="28"/>
      <c r="I1882" s="25" t="str">
        <f>IF(表1[[#This Row],[Tgl NPBG]]&gt;表1[[#This Row],[Peminta]],表1[[#This Row],[Tgl NPBG]]-表1[[#This Row],[Peminta]],"")</f>
        <v/>
      </c>
      <c r="J1882" s="31"/>
    </row>
    <row r="1883" s="12" customFormat="1" customHeight="1" spans="2:10">
      <c r="B1883" s="25"/>
      <c r="C1883" s="25"/>
      <c r="D1883" s="26" t="str" cm="1">
        <f t="array" ref="D1883">IF(C1883="","",IFERROR(INDEX(STPP!$D$6:$D$4207,MATCH(C1883,STPP!$C$6:$C$4207,0)),"Not Found"))</f>
        <v/>
      </c>
      <c r="E1883" s="27" t="str" cm="1">
        <f t="array" ref="E1883">IF(C1883="","",IFERROR(INDEX(STPP!$E$6:$E$4207,MATCH(C1883,STPP!$C$6:$C$4207,0)),"Not Found"))</f>
        <v/>
      </c>
      <c r="F1883" s="27" t="str" cm="1">
        <f t="array" ref="F1883">IF(C1883="","",IFERROR(INDEX(STPP!$F$6:$F$4207,MATCH(C1883,STPP!$C$6:$C$4207,0)),"Not Found"))</f>
        <v/>
      </c>
      <c r="G1883" s="25" t="str">
        <f>IF(表1[[#This Row],[No Seri]]="","",表1[[#This Row],[Deskripsi Barang]]+表1[[#This Row],[Kuantitas]]-表1[[#This Row],[Satuan]])</f>
        <v/>
      </c>
      <c r="H1883" s="28"/>
      <c r="I1883" s="25" t="str">
        <f>IF(表1[[#This Row],[Tgl NPBG]]&gt;表1[[#This Row],[Peminta]],表1[[#This Row],[Tgl NPBG]]-表1[[#This Row],[Peminta]],"")</f>
        <v/>
      </c>
      <c r="J1883" s="31"/>
    </row>
    <row r="1884" s="12" customFormat="1" customHeight="1" spans="2:10">
      <c r="B1884" s="25"/>
      <c r="C1884" s="25"/>
      <c r="D1884" s="26" t="str" cm="1">
        <f t="array" ref="D1884">IF(C1884="","",IFERROR(INDEX(STPP!$D$6:$D$4207,MATCH(C1884,STPP!$C$6:$C$4207,0)),"Not Found"))</f>
        <v/>
      </c>
      <c r="E1884" s="27" t="str" cm="1">
        <f t="array" ref="E1884">IF(C1884="","",IFERROR(INDEX(STPP!$E$6:$E$4207,MATCH(C1884,STPP!$C$6:$C$4207,0)),"Not Found"))</f>
        <v/>
      </c>
      <c r="F1884" s="27" t="str" cm="1">
        <f t="array" ref="F1884">IF(C1884="","",IFERROR(INDEX(STPP!$F$6:$F$4207,MATCH(C1884,STPP!$C$6:$C$4207,0)),"Not Found"))</f>
        <v/>
      </c>
      <c r="G1884" s="25" t="str">
        <f>IF(表1[[#This Row],[No Seri]]="","",表1[[#This Row],[Deskripsi Barang]]+表1[[#This Row],[Kuantitas]]-表1[[#This Row],[Satuan]])</f>
        <v/>
      </c>
      <c r="H1884" s="28"/>
      <c r="I1884" s="25" t="str">
        <f>IF(表1[[#This Row],[Tgl NPBG]]&gt;表1[[#This Row],[Peminta]],表1[[#This Row],[Tgl NPBG]]-表1[[#This Row],[Peminta]],"")</f>
        <v/>
      </c>
      <c r="J1884" s="31"/>
    </row>
    <row r="1885" s="12" customFormat="1" customHeight="1" spans="2:10">
      <c r="B1885" s="25"/>
      <c r="C1885" s="25"/>
      <c r="D1885" s="26" t="str" cm="1">
        <f t="array" ref="D1885">IF(C1885="","",IFERROR(INDEX(STPP!$D$6:$D$4207,MATCH(C1885,STPP!$C$6:$C$4207,0)),"Not Found"))</f>
        <v/>
      </c>
      <c r="E1885" s="27" t="str" cm="1">
        <f t="array" ref="E1885">IF(C1885="","",IFERROR(INDEX(STPP!$E$6:$E$4207,MATCH(C1885,STPP!$C$6:$C$4207,0)),"Not Found"))</f>
        <v/>
      </c>
      <c r="F1885" s="27" t="str" cm="1">
        <f t="array" ref="F1885">IF(C1885="","",IFERROR(INDEX(STPP!$F$6:$F$4207,MATCH(C1885,STPP!$C$6:$C$4207,0)),"Not Found"))</f>
        <v/>
      </c>
      <c r="G1885" s="25" t="str">
        <f>IF(表1[[#This Row],[No Seri]]="","",表1[[#This Row],[Deskripsi Barang]]+表1[[#This Row],[Kuantitas]]-表1[[#This Row],[Satuan]])</f>
        <v/>
      </c>
      <c r="H1885" s="28"/>
      <c r="I1885" s="25" t="str">
        <f>IF(表1[[#This Row],[Tgl NPBG]]&gt;表1[[#This Row],[Peminta]],表1[[#This Row],[Tgl NPBG]]-表1[[#This Row],[Peminta]],"")</f>
        <v/>
      </c>
      <c r="J1885" s="31"/>
    </row>
    <row r="1886" s="12" customFormat="1" customHeight="1" spans="2:10">
      <c r="B1886" s="25"/>
      <c r="C1886" s="25"/>
      <c r="D1886" s="26" t="str" cm="1">
        <f t="array" ref="D1886">IF(C1886="","",IFERROR(INDEX(STPP!$D$6:$D$4207,MATCH(C1886,STPP!$C$6:$C$4207,0)),"Not Found"))</f>
        <v/>
      </c>
      <c r="E1886" s="27" t="str" cm="1">
        <f t="array" ref="E1886">IF(C1886="","",IFERROR(INDEX(STPP!$E$6:$E$4207,MATCH(C1886,STPP!$C$6:$C$4207,0)),"Not Found"))</f>
        <v/>
      </c>
      <c r="F1886" s="27" t="str" cm="1">
        <f t="array" ref="F1886">IF(C1886="","",IFERROR(INDEX(STPP!$F$6:$F$4207,MATCH(C1886,STPP!$C$6:$C$4207,0)),"Not Found"))</f>
        <v/>
      </c>
      <c r="G1886" s="25" t="str">
        <f>IF(表1[[#This Row],[No Seri]]="","",表1[[#This Row],[Deskripsi Barang]]+表1[[#This Row],[Kuantitas]]-表1[[#This Row],[Satuan]])</f>
        <v/>
      </c>
      <c r="H1886" s="28"/>
      <c r="I1886" s="25" t="str">
        <f>IF(表1[[#This Row],[Tgl NPBG]]&gt;表1[[#This Row],[Peminta]],表1[[#This Row],[Tgl NPBG]]-表1[[#This Row],[Peminta]],"")</f>
        <v/>
      </c>
      <c r="J1886" s="31"/>
    </row>
    <row r="1887" s="12" customFormat="1" customHeight="1" spans="2:10">
      <c r="B1887" s="25"/>
      <c r="C1887" s="25"/>
      <c r="D1887" s="26" t="str" cm="1">
        <f t="array" ref="D1887">IF(C1887="","",IFERROR(INDEX(STPP!$D$6:$D$4207,MATCH(C1887,STPP!$C$6:$C$4207,0)),"Not Found"))</f>
        <v/>
      </c>
      <c r="E1887" s="27" t="str" cm="1">
        <f t="array" ref="E1887">IF(C1887="","",IFERROR(INDEX(STPP!$E$6:$E$4207,MATCH(C1887,STPP!$C$6:$C$4207,0)),"Not Found"))</f>
        <v/>
      </c>
      <c r="F1887" s="27" t="str" cm="1">
        <f t="array" ref="F1887">IF(C1887="","",IFERROR(INDEX(STPP!$F$6:$F$4207,MATCH(C1887,STPP!$C$6:$C$4207,0)),"Not Found"))</f>
        <v/>
      </c>
      <c r="G1887" s="25" t="str">
        <f>IF(表1[[#This Row],[No Seri]]="","",表1[[#This Row],[Deskripsi Barang]]+表1[[#This Row],[Kuantitas]]-表1[[#This Row],[Satuan]])</f>
        <v/>
      </c>
      <c r="H1887" s="28"/>
      <c r="I1887" s="25" t="str">
        <f>IF(表1[[#This Row],[Tgl NPBG]]&gt;表1[[#This Row],[Peminta]],表1[[#This Row],[Tgl NPBG]]-表1[[#This Row],[Peminta]],"")</f>
        <v/>
      </c>
      <c r="J1887" s="31"/>
    </row>
    <row r="1888" s="12" customFormat="1" customHeight="1" spans="2:10">
      <c r="B1888" s="25"/>
      <c r="C1888" s="25"/>
      <c r="D1888" s="26" t="str" cm="1">
        <f t="array" ref="D1888">IF(C1888="","",IFERROR(INDEX(STPP!$D$6:$D$4207,MATCH(C1888,STPP!$C$6:$C$4207,0)),"Not Found"))</f>
        <v/>
      </c>
      <c r="E1888" s="27" t="str" cm="1">
        <f t="array" ref="E1888">IF(C1888="","",IFERROR(INDEX(STPP!$E$6:$E$4207,MATCH(C1888,STPP!$C$6:$C$4207,0)),"Not Found"))</f>
        <v/>
      </c>
      <c r="F1888" s="27" t="str" cm="1">
        <f t="array" ref="F1888">IF(C1888="","",IFERROR(INDEX(STPP!$F$6:$F$4207,MATCH(C1888,STPP!$C$6:$C$4207,0)),"Not Found"))</f>
        <v/>
      </c>
      <c r="G1888" s="25" t="str">
        <f>IF(表1[[#This Row],[No Seri]]="","",表1[[#This Row],[Deskripsi Barang]]+表1[[#This Row],[Kuantitas]]-表1[[#This Row],[Satuan]])</f>
        <v/>
      </c>
      <c r="H1888" s="28"/>
      <c r="I1888" s="25" t="str">
        <f>IF(表1[[#This Row],[Tgl NPBG]]&gt;表1[[#This Row],[Peminta]],表1[[#This Row],[Tgl NPBG]]-表1[[#This Row],[Peminta]],"")</f>
        <v/>
      </c>
      <c r="J1888" s="31"/>
    </row>
    <row r="1889" s="12" customFormat="1" customHeight="1" spans="2:10">
      <c r="B1889" s="25"/>
      <c r="C1889" s="25"/>
      <c r="D1889" s="26" t="str" cm="1">
        <f t="array" ref="D1889">IF(C1889="","",IFERROR(INDEX(STPP!$D$6:$D$4207,MATCH(C1889,STPP!$C$6:$C$4207,0)),"Not Found"))</f>
        <v/>
      </c>
      <c r="E1889" s="27" t="str" cm="1">
        <f t="array" ref="E1889">IF(C1889="","",IFERROR(INDEX(STPP!$E$6:$E$4207,MATCH(C1889,STPP!$C$6:$C$4207,0)),"Not Found"))</f>
        <v/>
      </c>
      <c r="F1889" s="27" t="str" cm="1">
        <f t="array" ref="F1889">IF(C1889="","",IFERROR(INDEX(STPP!$F$6:$F$4207,MATCH(C1889,STPP!$C$6:$C$4207,0)),"Not Found"))</f>
        <v/>
      </c>
      <c r="G1889" s="25" t="str">
        <f>IF(表1[[#This Row],[No Seri]]="","",表1[[#This Row],[Deskripsi Barang]]+表1[[#This Row],[Kuantitas]]-表1[[#This Row],[Satuan]])</f>
        <v/>
      </c>
      <c r="H1889" s="28"/>
      <c r="I1889" s="25" t="str">
        <f>IF(表1[[#This Row],[Tgl NPBG]]&gt;表1[[#This Row],[Peminta]],表1[[#This Row],[Tgl NPBG]]-表1[[#This Row],[Peminta]],"")</f>
        <v/>
      </c>
      <c r="J1889" s="31"/>
    </row>
    <row r="1890" s="12" customFormat="1" customHeight="1" spans="2:10">
      <c r="B1890" s="25"/>
      <c r="C1890" s="25"/>
      <c r="D1890" s="26" t="str" cm="1">
        <f t="array" ref="D1890">IF(C1890="","",IFERROR(INDEX(STPP!$D$6:$D$4207,MATCH(C1890,STPP!$C$6:$C$4207,0)),"Not Found"))</f>
        <v/>
      </c>
      <c r="E1890" s="27" t="str" cm="1">
        <f t="array" ref="E1890">IF(C1890="","",IFERROR(INDEX(STPP!$E$6:$E$4207,MATCH(C1890,STPP!$C$6:$C$4207,0)),"Not Found"))</f>
        <v/>
      </c>
      <c r="F1890" s="27" t="str" cm="1">
        <f t="array" ref="F1890">IF(C1890="","",IFERROR(INDEX(STPP!$F$6:$F$4207,MATCH(C1890,STPP!$C$6:$C$4207,0)),"Not Found"))</f>
        <v/>
      </c>
      <c r="G1890" s="25" t="str">
        <f>IF(表1[[#This Row],[No Seri]]="","",表1[[#This Row],[Deskripsi Barang]]+表1[[#This Row],[Kuantitas]]-表1[[#This Row],[Satuan]])</f>
        <v/>
      </c>
      <c r="H1890" s="28"/>
      <c r="I1890" s="25" t="str">
        <f>IF(表1[[#This Row],[Tgl NPBG]]&gt;表1[[#This Row],[Peminta]],表1[[#This Row],[Tgl NPBG]]-表1[[#This Row],[Peminta]],"")</f>
        <v/>
      </c>
      <c r="J1890" s="31"/>
    </row>
    <row r="1891" s="12" customFormat="1" customHeight="1" spans="2:10">
      <c r="B1891" s="25"/>
      <c r="C1891" s="25"/>
      <c r="D1891" s="26" t="str" cm="1">
        <f t="array" ref="D1891">IF(C1891="","",IFERROR(INDEX(STPP!$D$6:$D$4207,MATCH(C1891,STPP!$C$6:$C$4207,0)),"Not Found"))</f>
        <v/>
      </c>
      <c r="E1891" s="27" t="str" cm="1">
        <f t="array" ref="E1891">IF(C1891="","",IFERROR(INDEX(STPP!$E$6:$E$4207,MATCH(C1891,STPP!$C$6:$C$4207,0)),"Not Found"))</f>
        <v/>
      </c>
      <c r="F1891" s="27" t="str" cm="1">
        <f t="array" ref="F1891">IF(C1891="","",IFERROR(INDEX(STPP!$F$6:$F$4207,MATCH(C1891,STPP!$C$6:$C$4207,0)),"Not Found"))</f>
        <v/>
      </c>
      <c r="G1891" s="25" t="str">
        <f>IF(表1[[#This Row],[No Seri]]="","",表1[[#This Row],[Deskripsi Barang]]+表1[[#This Row],[Kuantitas]]-表1[[#This Row],[Satuan]])</f>
        <v/>
      </c>
      <c r="H1891" s="28"/>
      <c r="I1891" s="25" t="str">
        <f>IF(表1[[#This Row],[Tgl NPBG]]&gt;表1[[#This Row],[Peminta]],表1[[#This Row],[Tgl NPBG]]-表1[[#This Row],[Peminta]],"")</f>
        <v/>
      </c>
      <c r="J1891" s="31"/>
    </row>
    <row r="1892" s="12" customFormat="1" customHeight="1" spans="2:10">
      <c r="B1892" s="25"/>
      <c r="C1892" s="25"/>
      <c r="D1892" s="26" t="str" cm="1">
        <f t="array" ref="D1892">IF(C1892="","",IFERROR(INDEX(STPP!$D$6:$D$4207,MATCH(C1892,STPP!$C$6:$C$4207,0)),"Not Found"))</f>
        <v/>
      </c>
      <c r="E1892" s="27" t="str" cm="1">
        <f t="array" ref="E1892">IF(C1892="","",IFERROR(INDEX(STPP!$E$6:$E$4207,MATCH(C1892,STPP!$C$6:$C$4207,0)),"Not Found"))</f>
        <v/>
      </c>
      <c r="F1892" s="27" t="str" cm="1">
        <f t="array" ref="F1892">IF(C1892="","",IFERROR(INDEX(STPP!$F$6:$F$4207,MATCH(C1892,STPP!$C$6:$C$4207,0)),"Not Found"))</f>
        <v/>
      </c>
      <c r="G1892" s="25" t="str">
        <f>IF(表1[[#This Row],[No Seri]]="","",表1[[#This Row],[Deskripsi Barang]]+表1[[#This Row],[Kuantitas]]-表1[[#This Row],[Satuan]])</f>
        <v/>
      </c>
      <c r="H1892" s="28"/>
      <c r="I1892" s="25" t="str">
        <f>IF(表1[[#This Row],[Tgl NPBG]]&gt;表1[[#This Row],[Peminta]],表1[[#This Row],[Tgl NPBG]]-表1[[#This Row],[Peminta]],"")</f>
        <v/>
      </c>
      <c r="J1892" s="31"/>
    </row>
    <row r="1893" s="12" customFormat="1" customHeight="1" spans="2:10">
      <c r="B1893" s="25"/>
      <c r="C1893" s="25"/>
      <c r="D1893" s="26" t="str" cm="1">
        <f t="array" ref="D1893">IF(C1893="","",IFERROR(INDEX(STPP!$D$6:$D$4207,MATCH(C1893,STPP!$C$6:$C$4207,0)),"Not Found"))</f>
        <v/>
      </c>
      <c r="E1893" s="27" t="str" cm="1">
        <f t="array" ref="E1893">IF(C1893="","",IFERROR(INDEX(STPP!$E$6:$E$4207,MATCH(C1893,STPP!$C$6:$C$4207,0)),"Not Found"))</f>
        <v/>
      </c>
      <c r="F1893" s="27" t="str" cm="1">
        <f t="array" ref="F1893">IF(C1893="","",IFERROR(INDEX(STPP!$F$6:$F$4207,MATCH(C1893,STPP!$C$6:$C$4207,0)),"Not Found"))</f>
        <v/>
      </c>
      <c r="G1893" s="25" t="str">
        <f>IF(表1[[#This Row],[No Seri]]="","",表1[[#This Row],[Deskripsi Barang]]+表1[[#This Row],[Kuantitas]]-表1[[#This Row],[Satuan]])</f>
        <v/>
      </c>
      <c r="H1893" s="28"/>
      <c r="I1893" s="25" t="str">
        <f>IF(表1[[#This Row],[Tgl NPBG]]&gt;表1[[#This Row],[Peminta]],表1[[#This Row],[Tgl NPBG]]-表1[[#This Row],[Peminta]],"")</f>
        <v/>
      </c>
      <c r="J1893" s="31"/>
    </row>
    <row r="1894" s="12" customFormat="1" customHeight="1" spans="2:10">
      <c r="B1894" s="25"/>
      <c r="C1894" s="25"/>
      <c r="D1894" s="26" t="str" cm="1">
        <f t="array" ref="D1894">IF(C1894="","",IFERROR(INDEX(STPP!$D$6:$D$4207,MATCH(C1894,STPP!$C$6:$C$4207,0)),"Not Found"))</f>
        <v/>
      </c>
      <c r="E1894" s="27" t="str" cm="1">
        <f t="array" ref="E1894">IF(C1894="","",IFERROR(INDEX(STPP!$E$6:$E$4207,MATCH(C1894,STPP!$C$6:$C$4207,0)),"Not Found"))</f>
        <v/>
      </c>
      <c r="F1894" s="27" t="str" cm="1">
        <f t="array" ref="F1894">IF(C1894="","",IFERROR(INDEX(STPP!$F$6:$F$4207,MATCH(C1894,STPP!$C$6:$C$4207,0)),"Not Found"))</f>
        <v/>
      </c>
      <c r="G1894" s="25" t="str">
        <f>IF(表1[[#This Row],[No Seri]]="","",表1[[#This Row],[Deskripsi Barang]]+表1[[#This Row],[Kuantitas]]-表1[[#This Row],[Satuan]])</f>
        <v/>
      </c>
      <c r="H1894" s="28"/>
      <c r="I1894" s="25" t="str">
        <f>IF(表1[[#This Row],[Tgl NPBG]]&gt;表1[[#This Row],[Peminta]],表1[[#This Row],[Tgl NPBG]]-表1[[#This Row],[Peminta]],"")</f>
        <v/>
      </c>
      <c r="J1894" s="31"/>
    </row>
    <row r="1895" s="12" customFormat="1" customHeight="1" spans="2:10">
      <c r="B1895" s="25"/>
      <c r="C1895" s="25"/>
      <c r="D1895" s="26" t="str" cm="1">
        <f t="array" ref="D1895">IF(C1895="","",IFERROR(INDEX(STPP!$D$6:$D$4207,MATCH(C1895,STPP!$C$6:$C$4207,0)),"Not Found"))</f>
        <v/>
      </c>
      <c r="E1895" s="27" t="str" cm="1">
        <f t="array" ref="E1895">IF(C1895="","",IFERROR(INDEX(STPP!$E$6:$E$4207,MATCH(C1895,STPP!$C$6:$C$4207,0)),"Not Found"))</f>
        <v/>
      </c>
      <c r="F1895" s="27" t="str" cm="1">
        <f t="array" ref="F1895">IF(C1895="","",IFERROR(INDEX(STPP!$F$6:$F$4207,MATCH(C1895,STPP!$C$6:$C$4207,0)),"Not Found"))</f>
        <v/>
      </c>
      <c r="G1895" s="25" t="str">
        <f>IF(表1[[#This Row],[No Seri]]="","",表1[[#This Row],[Deskripsi Barang]]+表1[[#This Row],[Kuantitas]]-表1[[#This Row],[Satuan]])</f>
        <v/>
      </c>
      <c r="H1895" s="28"/>
      <c r="I1895" s="25" t="str">
        <f>IF(表1[[#This Row],[Tgl NPBG]]&gt;表1[[#This Row],[Peminta]],表1[[#This Row],[Tgl NPBG]]-表1[[#This Row],[Peminta]],"")</f>
        <v/>
      </c>
      <c r="J1895" s="31"/>
    </row>
    <row r="1896" s="12" customFormat="1" customHeight="1" spans="2:10">
      <c r="B1896" s="25"/>
      <c r="C1896" s="25"/>
      <c r="D1896" s="26" t="str" cm="1">
        <f t="array" ref="D1896">IF(C1896="","",IFERROR(INDEX(STPP!$D$6:$D$4207,MATCH(C1896,STPP!$C$6:$C$4207,0)),"Not Found"))</f>
        <v/>
      </c>
      <c r="E1896" s="27" t="str" cm="1">
        <f t="array" ref="E1896">IF(C1896="","",IFERROR(INDEX(STPP!$E$6:$E$4207,MATCH(C1896,STPP!$C$6:$C$4207,0)),"Not Found"))</f>
        <v/>
      </c>
      <c r="F1896" s="27" t="str" cm="1">
        <f t="array" ref="F1896">IF(C1896="","",IFERROR(INDEX(STPP!$F$6:$F$4207,MATCH(C1896,STPP!$C$6:$C$4207,0)),"Not Found"))</f>
        <v/>
      </c>
      <c r="G1896" s="25" t="str">
        <f>IF(表1[[#This Row],[No Seri]]="","",表1[[#This Row],[Deskripsi Barang]]+表1[[#This Row],[Kuantitas]]-表1[[#This Row],[Satuan]])</f>
        <v/>
      </c>
      <c r="H1896" s="28"/>
      <c r="I1896" s="25" t="str">
        <f>IF(表1[[#This Row],[Tgl NPBG]]&gt;表1[[#This Row],[Peminta]],表1[[#This Row],[Tgl NPBG]]-表1[[#This Row],[Peminta]],"")</f>
        <v/>
      </c>
      <c r="J1896" s="31"/>
    </row>
    <row r="1897" s="12" customFormat="1" customHeight="1" spans="2:10">
      <c r="B1897" s="25"/>
      <c r="C1897" s="25"/>
      <c r="D1897" s="26" t="str" cm="1">
        <f t="array" ref="D1897">IF(C1897="","",IFERROR(INDEX(STPP!$D$6:$D$4207,MATCH(C1897,STPP!$C$6:$C$4207,0)),"Not Found"))</f>
        <v/>
      </c>
      <c r="E1897" s="27" t="str" cm="1">
        <f t="array" ref="E1897">IF(C1897="","",IFERROR(INDEX(STPP!$E$6:$E$4207,MATCH(C1897,STPP!$C$6:$C$4207,0)),"Not Found"))</f>
        <v/>
      </c>
      <c r="F1897" s="27" t="str" cm="1">
        <f t="array" ref="F1897">IF(C1897="","",IFERROR(INDEX(STPP!$F$6:$F$4207,MATCH(C1897,STPP!$C$6:$C$4207,0)),"Not Found"))</f>
        <v/>
      </c>
      <c r="G1897" s="25" t="str">
        <f>IF(表1[[#This Row],[No Seri]]="","",表1[[#This Row],[Deskripsi Barang]]+表1[[#This Row],[Kuantitas]]-表1[[#This Row],[Satuan]])</f>
        <v/>
      </c>
      <c r="H1897" s="28"/>
      <c r="I1897" s="25" t="str">
        <f>IF(表1[[#This Row],[Tgl NPBG]]&gt;表1[[#This Row],[Peminta]],表1[[#This Row],[Tgl NPBG]]-表1[[#This Row],[Peminta]],"")</f>
        <v/>
      </c>
      <c r="J1897" s="31"/>
    </row>
    <row r="1898" s="12" customFormat="1" customHeight="1" spans="2:10">
      <c r="B1898" s="25"/>
      <c r="C1898" s="25"/>
      <c r="D1898" s="26" t="str" cm="1">
        <f t="array" ref="D1898">IF(C1898="","",IFERROR(INDEX(STPP!$D$6:$D$4207,MATCH(C1898,STPP!$C$6:$C$4207,0)),"Not Found"))</f>
        <v/>
      </c>
      <c r="E1898" s="27" t="str" cm="1">
        <f t="array" ref="E1898">IF(C1898="","",IFERROR(INDEX(STPP!$E$6:$E$4207,MATCH(C1898,STPP!$C$6:$C$4207,0)),"Not Found"))</f>
        <v/>
      </c>
      <c r="F1898" s="27" t="str" cm="1">
        <f t="array" ref="F1898">IF(C1898="","",IFERROR(INDEX(STPP!$F$6:$F$4207,MATCH(C1898,STPP!$C$6:$C$4207,0)),"Not Found"))</f>
        <v/>
      </c>
      <c r="G1898" s="25" t="str">
        <f>IF(表1[[#This Row],[No Seri]]="","",表1[[#This Row],[Deskripsi Barang]]+表1[[#This Row],[Kuantitas]]-表1[[#This Row],[Satuan]])</f>
        <v/>
      </c>
      <c r="H1898" s="28"/>
      <c r="I1898" s="25" t="str">
        <f>IF(表1[[#This Row],[Tgl NPBG]]&gt;表1[[#This Row],[Peminta]],表1[[#This Row],[Tgl NPBG]]-表1[[#This Row],[Peminta]],"")</f>
        <v/>
      </c>
      <c r="J1898" s="31"/>
    </row>
    <row r="1899" s="12" customFormat="1" customHeight="1" spans="2:10">
      <c r="B1899" s="25"/>
      <c r="C1899" s="25"/>
      <c r="D1899" s="26" t="str" cm="1">
        <f t="array" ref="D1899">IF(C1899="","",IFERROR(INDEX(STPP!$D$6:$D$4207,MATCH(C1899,STPP!$C$6:$C$4207,0)),"Not Found"))</f>
        <v/>
      </c>
      <c r="E1899" s="27" t="str" cm="1">
        <f t="array" ref="E1899">IF(C1899="","",IFERROR(INDEX(STPP!$E$6:$E$4207,MATCH(C1899,STPP!$C$6:$C$4207,0)),"Not Found"))</f>
        <v/>
      </c>
      <c r="F1899" s="27" t="str" cm="1">
        <f t="array" ref="F1899">IF(C1899="","",IFERROR(INDEX(STPP!$F$6:$F$4207,MATCH(C1899,STPP!$C$6:$C$4207,0)),"Not Found"))</f>
        <v/>
      </c>
      <c r="G1899" s="25" t="str">
        <f>IF(表1[[#This Row],[No Seri]]="","",表1[[#This Row],[Deskripsi Barang]]+表1[[#This Row],[Kuantitas]]-表1[[#This Row],[Satuan]])</f>
        <v/>
      </c>
      <c r="H1899" s="28"/>
      <c r="I1899" s="25" t="str">
        <f>IF(表1[[#This Row],[Tgl NPBG]]&gt;表1[[#This Row],[Peminta]],表1[[#This Row],[Tgl NPBG]]-表1[[#This Row],[Peminta]],"")</f>
        <v/>
      </c>
      <c r="J1899" s="31"/>
    </row>
    <row r="1900" s="12" customFormat="1" customHeight="1" spans="2:10">
      <c r="B1900" s="25"/>
      <c r="C1900" s="25"/>
      <c r="D1900" s="26" t="str" cm="1">
        <f t="array" ref="D1900">IF(C1900="","",IFERROR(INDEX(STPP!$D$6:$D$4207,MATCH(C1900,STPP!$C$6:$C$4207,0)),"Not Found"))</f>
        <v/>
      </c>
      <c r="E1900" s="27" t="str" cm="1">
        <f t="array" ref="E1900">IF(C1900="","",IFERROR(INDEX(STPP!$E$6:$E$4207,MATCH(C1900,STPP!$C$6:$C$4207,0)),"Not Found"))</f>
        <v/>
      </c>
      <c r="F1900" s="27" t="str" cm="1">
        <f t="array" ref="F1900">IF(C1900="","",IFERROR(INDEX(STPP!$F$6:$F$4207,MATCH(C1900,STPP!$C$6:$C$4207,0)),"Not Found"))</f>
        <v/>
      </c>
      <c r="G1900" s="25" t="str">
        <f>IF(表1[[#This Row],[No Seri]]="","",表1[[#This Row],[Deskripsi Barang]]+表1[[#This Row],[Kuantitas]]-表1[[#This Row],[Satuan]])</f>
        <v/>
      </c>
      <c r="H1900" s="28"/>
      <c r="I1900" s="25" t="str">
        <f>IF(表1[[#This Row],[Tgl NPBG]]&gt;表1[[#This Row],[Peminta]],表1[[#This Row],[Tgl NPBG]]-表1[[#This Row],[Peminta]],"")</f>
        <v/>
      </c>
      <c r="J1900" s="31"/>
    </row>
    <row r="1901" s="12" customFormat="1" customHeight="1" spans="2:10">
      <c r="B1901" s="25"/>
      <c r="C1901" s="25"/>
      <c r="D1901" s="26" t="str" cm="1">
        <f t="array" ref="D1901">IF(C1901="","",IFERROR(INDEX(STPP!$D$6:$D$4207,MATCH(C1901,STPP!$C$6:$C$4207,0)),"Not Found"))</f>
        <v/>
      </c>
      <c r="E1901" s="27" t="str" cm="1">
        <f t="array" ref="E1901">IF(C1901="","",IFERROR(INDEX(STPP!$E$6:$E$4207,MATCH(C1901,STPP!$C$6:$C$4207,0)),"Not Found"))</f>
        <v/>
      </c>
      <c r="F1901" s="27" t="str" cm="1">
        <f t="array" ref="F1901">IF(C1901="","",IFERROR(INDEX(STPP!$F$6:$F$4207,MATCH(C1901,STPP!$C$6:$C$4207,0)),"Not Found"))</f>
        <v/>
      </c>
      <c r="G1901" s="25" t="str">
        <f>IF(表1[[#This Row],[No Seri]]="","",表1[[#This Row],[Deskripsi Barang]]+表1[[#This Row],[Kuantitas]]-表1[[#This Row],[Satuan]])</f>
        <v/>
      </c>
      <c r="H1901" s="28"/>
      <c r="I1901" s="25" t="str">
        <f>IF(表1[[#This Row],[Tgl NPBG]]&gt;表1[[#This Row],[Peminta]],表1[[#This Row],[Tgl NPBG]]-表1[[#This Row],[Peminta]],"")</f>
        <v/>
      </c>
      <c r="J1901" s="31"/>
    </row>
    <row r="1902" s="12" customFormat="1" customHeight="1" spans="2:10">
      <c r="B1902" s="25"/>
      <c r="C1902" s="25"/>
      <c r="D1902" s="26" t="str" cm="1">
        <f t="array" ref="D1902">IF(C1902="","",IFERROR(INDEX(STPP!$D$6:$D$4207,MATCH(C1902,STPP!$C$6:$C$4207,0)),"Not Found"))</f>
        <v/>
      </c>
      <c r="E1902" s="27" t="str" cm="1">
        <f t="array" ref="E1902">IF(C1902="","",IFERROR(INDEX(STPP!$E$6:$E$4207,MATCH(C1902,STPP!$C$6:$C$4207,0)),"Not Found"))</f>
        <v/>
      </c>
      <c r="F1902" s="27" t="str" cm="1">
        <f t="array" ref="F1902">IF(C1902="","",IFERROR(INDEX(STPP!$F$6:$F$4207,MATCH(C1902,STPP!$C$6:$C$4207,0)),"Not Found"))</f>
        <v/>
      </c>
      <c r="G1902" s="25" t="str">
        <f>IF(表1[[#This Row],[No Seri]]="","",表1[[#This Row],[Deskripsi Barang]]+表1[[#This Row],[Kuantitas]]-表1[[#This Row],[Satuan]])</f>
        <v/>
      </c>
      <c r="H1902" s="28"/>
      <c r="I1902" s="25" t="str">
        <f>IF(表1[[#This Row],[Tgl NPBG]]&gt;表1[[#This Row],[Peminta]],表1[[#This Row],[Tgl NPBG]]-表1[[#This Row],[Peminta]],"")</f>
        <v/>
      </c>
      <c r="J1902" s="31"/>
    </row>
    <row r="1903" s="12" customFormat="1" customHeight="1" spans="2:10">
      <c r="B1903" s="25"/>
      <c r="C1903" s="25"/>
      <c r="D1903" s="26" t="str" cm="1">
        <f t="array" ref="D1903">IF(C1903="","",IFERROR(INDEX(STPP!$D$6:$D$4207,MATCH(C1903,STPP!$C$6:$C$4207,0)),"Not Found"))</f>
        <v/>
      </c>
      <c r="E1903" s="27" t="str" cm="1">
        <f t="array" ref="E1903">IF(C1903="","",IFERROR(INDEX(STPP!$E$6:$E$4207,MATCH(C1903,STPP!$C$6:$C$4207,0)),"Not Found"))</f>
        <v/>
      </c>
      <c r="F1903" s="27" t="str" cm="1">
        <f t="array" ref="F1903">IF(C1903="","",IFERROR(INDEX(STPP!$F$6:$F$4207,MATCH(C1903,STPP!$C$6:$C$4207,0)),"Not Found"))</f>
        <v/>
      </c>
      <c r="G1903" s="25" t="str">
        <f>IF(表1[[#This Row],[No Seri]]="","",表1[[#This Row],[Deskripsi Barang]]+表1[[#This Row],[Kuantitas]]-表1[[#This Row],[Satuan]])</f>
        <v/>
      </c>
      <c r="H1903" s="28"/>
      <c r="I1903" s="25" t="str">
        <f>IF(表1[[#This Row],[Tgl NPBG]]&gt;表1[[#This Row],[Peminta]],表1[[#This Row],[Tgl NPBG]]-表1[[#This Row],[Peminta]],"")</f>
        <v/>
      </c>
      <c r="J1903" s="31"/>
    </row>
    <row r="1904" s="12" customFormat="1" customHeight="1" spans="2:10">
      <c r="B1904" s="25"/>
      <c r="C1904" s="25"/>
      <c r="D1904" s="26" t="str" cm="1">
        <f t="array" ref="D1904">IF(C1904="","",IFERROR(INDEX(STPP!$D$6:$D$4207,MATCH(C1904,STPP!$C$6:$C$4207,0)),"Not Found"))</f>
        <v/>
      </c>
      <c r="E1904" s="27" t="str" cm="1">
        <f t="array" ref="E1904">IF(C1904="","",IFERROR(INDEX(STPP!$E$6:$E$4207,MATCH(C1904,STPP!$C$6:$C$4207,0)),"Not Found"))</f>
        <v/>
      </c>
      <c r="F1904" s="27" t="str" cm="1">
        <f t="array" ref="F1904">IF(C1904="","",IFERROR(INDEX(STPP!$F$6:$F$4207,MATCH(C1904,STPP!$C$6:$C$4207,0)),"Not Found"))</f>
        <v/>
      </c>
      <c r="G1904" s="25" t="str">
        <f>IF(表1[[#This Row],[No Seri]]="","",表1[[#This Row],[Deskripsi Barang]]+表1[[#This Row],[Kuantitas]]-表1[[#This Row],[Satuan]])</f>
        <v/>
      </c>
      <c r="H1904" s="28"/>
      <c r="I1904" s="25" t="str">
        <f>IF(表1[[#This Row],[Tgl NPBG]]&gt;表1[[#This Row],[Peminta]],表1[[#This Row],[Tgl NPBG]]-表1[[#This Row],[Peminta]],"")</f>
        <v/>
      </c>
      <c r="J1904" s="31"/>
    </row>
    <row r="1905" s="12" customFormat="1" customHeight="1" spans="2:10">
      <c r="B1905" s="25"/>
      <c r="C1905" s="25"/>
      <c r="D1905" s="26" t="str" cm="1">
        <f t="array" ref="D1905">IF(C1905="","",IFERROR(INDEX(STPP!$D$6:$D$4207,MATCH(C1905,STPP!$C$6:$C$4207,0)),"Not Found"))</f>
        <v/>
      </c>
      <c r="E1905" s="27" t="str" cm="1">
        <f t="array" ref="E1905">IF(C1905="","",IFERROR(INDEX(STPP!$E$6:$E$4207,MATCH(C1905,STPP!$C$6:$C$4207,0)),"Not Found"))</f>
        <v/>
      </c>
      <c r="F1905" s="27" t="str" cm="1">
        <f t="array" ref="F1905">IF(C1905="","",IFERROR(INDEX(STPP!$F$6:$F$4207,MATCH(C1905,STPP!$C$6:$C$4207,0)),"Not Found"))</f>
        <v/>
      </c>
      <c r="G1905" s="25" t="str">
        <f>IF(表1[[#This Row],[No Seri]]="","",表1[[#This Row],[Deskripsi Barang]]+表1[[#This Row],[Kuantitas]]-表1[[#This Row],[Satuan]])</f>
        <v/>
      </c>
      <c r="H1905" s="28"/>
      <c r="I1905" s="25" t="str">
        <f>IF(表1[[#This Row],[Tgl NPBG]]&gt;表1[[#This Row],[Peminta]],表1[[#This Row],[Tgl NPBG]]-表1[[#This Row],[Peminta]],"")</f>
        <v/>
      </c>
      <c r="J1905" s="31"/>
    </row>
    <row r="1906" s="12" customFormat="1" customHeight="1" spans="2:10">
      <c r="B1906" s="25"/>
      <c r="C1906" s="25"/>
      <c r="D1906" s="26" t="str" cm="1">
        <f t="array" ref="D1906">IF(C1906="","",IFERROR(INDEX(STPP!$D$6:$D$4207,MATCH(C1906,STPP!$C$6:$C$4207,0)),"Not Found"))</f>
        <v/>
      </c>
      <c r="E1906" s="27" t="str" cm="1">
        <f t="array" ref="E1906">IF(C1906="","",IFERROR(INDEX(STPP!$E$6:$E$4207,MATCH(C1906,STPP!$C$6:$C$4207,0)),"Not Found"))</f>
        <v/>
      </c>
      <c r="F1906" s="27" t="str" cm="1">
        <f t="array" ref="F1906">IF(C1906="","",IFERROR(INDEX(STPP!$F$6:$F$4207,MATCH(C1906,STPP!$C$6:$C$4207,0)),"Not Found"))</f>
        <v/>
      </c>
      <c r="G1906" s="25" t="str">
        <f>IF(表1[[#This Row],[No Seri]]="","",表1[[#This Row],[Deskripsi Barang]]+表1[[#This Row],[Kuantitas]]-表1[[#This Row],[Satuan]])</f>
        <v/>
      </c>
      <c r="H1906" s="28"/>
      <c r="I1906" s="25" t="str">
        <f>IF(表1[[#This Row],[Tgl NPBG]]&gt;表1[[#This Row],[Peminta]],表1[[#This Row],[Tgl NPBG]]-表1[[#This Row],[Peminta]],"")</f>
        <v/>
      </c>
      <c r="J1906" s="31"/>
    </row>
    <row r="1907" s="12" customFormat="1" customHeight="1" spans="2:10">
      <c r="B1907" s="25"/>
      <c r="C1907" s="25"/>
      <c r="D1907" s="26" t="str" cm="1">
        <f t="array" ref="D1907">IF(C1907="","",IFERROR(INDEX(STPP!$D$6:$D$4207,MATCH(C1907,STPP!$C$6:$C$4207,0)),"Not Found"))</f>
        <v/>
      </c>
      <c r="E1907" s="27" t="str" cm="1">
        <f t="array" ref="E1907">IF(C1907="","",IFERROR(INDEX(STPP!$E$6:$E$4207,MATCH(C1907,STPP!$C$6:$C$4207,0)),"Not Found"))</f>
        <v/>
      </c>
      <c r="F1907" s="27" t="str" cm="1">
        <f t="array" ref="F1907">IF(C1907="","",IFERROR(INDEX(STPP!$F$6:$F$4207,MATCH(C1907,STPP!$C$6:$C$4207,0)),"Not Found"))</f>
        <v/>
      </c>
      <c r="G1907" s="25" t="str">
        <f>IF(表1[[#This Row],[No Seri]]="","",表1[[#This Row],[Deskripsi Barang]]+表1[[#This Row],[Kuantitas]]-表1[[#This Row],[Satuan]])</f>
        <v/>
      </c>
      <c r="H1907" s="28"/>
      <c r="I1907" s="25" t="str">
        <f>IF(表1[[#This Row],[Tgl NPBG]]&gt;表1[[#This Row],[Peminta]],表1[[#This Row],[Tgl NPBG]]-表1[[#This Row],[Peminta]],"")</f>
        <v/>
      </c>
      <c r="J1907" s="31"/>
    </row>
    <row r="1908" s="12" customFormat="1" customHeight="1" spans="2:10">
      <c r="B1908" s="25"/>
      <c r="C1908" s="25"/>
      <c r="D1908" s="26" t="str" cm="1">
        <f t="array" ref="D1908">IF(C1908="","",IFERROR(INDEX(STPP!$D$6:$D$4207,MATCH(C1908,STPP!$C$6:$C$4207,0)),"Not Found"))</f>
        <v/>
      </c>
      <c r="E1908" s="27" t="str" cm="1">
        <f t="array" ref="E1908">IF(C1908="","",IFERROR(INDEX(STPP!$E$6:$E$4207,MATCH(C1908,STPP!$C$6:$C$4207,0)),"Not Found"))</f>
        <v/>
      </c>
      <c r="F1908" s="27" t="str" cm="1">
        <f t="array" ref="F1908">IF(C1908="","",IFERROR(INDEX(STPP!$F$6:$F$4207,MATCH(C1908,STPP!$C$6:$C$4207,0)),"Not Found"))</f>
        <v/>
      </c>
      <c r="G1908" s="25" t="str">
        <f>IF(表1[[#This Row],[No Seri]]="","",表1[[#This Row],[Deskripsi Barang]]+表1[[#This Row],[Kuantitas]]-表1[[#This Row],[Satuan]])</f>
        <v/>
      </c>
      <c r="H1908" s="28"/>
      <c r="I1908" s="25" t="str">
        <f>IF(表1[[#This Row],[Tgl NPBG]]&gt;表1[[#This Row],[Peminta]],表1[[#This Row],[Tgl NPBG]]-表1[[#This Row],[Peminta]],"")</f>
        <v/>
      </c>
      <c r="J1908" s="31"/>
    </row>
    <row r="1909" s="12" customFormat="1" customHeight="1" spans="2:10">
      <c r="B1909" s="25"/>
      <c r="C1909" s="25"/>
      <c r="D1909" s="26" t="str" cm="1">
        <f t="array" ref="D1909">IF(C1909="","",IFERROR(INDEX(STPP!$D$6:$D$4207,MATCH(C1909,STPP!$C$6:$C$4207,0)),"Not Found"))</f>
        <v/>
      </c>
      <c r="E1909" s="27" t="str" cm="1">
        <f t="array" ref="E1909">IF(C1909="","",IFERROR(INDEX(STPP!$E$6:$E$4207,MATCH(C1909,STPP!$C$6:$C$4207,0)),"Not Found"))</f>
        <v/>
      </c>
      <c r="F1909" s="27" t="str" cm="1">
        <f t="array" ref="F1909">IF(C1909="","",IFERROR(INDEX(STPP!$F$6:$F$4207,MATCH(C1909,STPP!$C$6:$C$4207,0)),"Not Found"))</f>
        <v/>
      </c>
      <c r="G1909" s="25" t="str">
        <f>IF(表1[[#This Row],[No Seri]]="","",表1[[#This Row],[Deskripsi Barang]]+表1[[#This Row],[Kuantitas]]-表1[[#This Row],[Satuan]])</f>
        <v/>
      </c>
      <c r="H1909" s="28"/>
      <c r="I1909" s="25" t="str">
        <f>IF(表1[[#This Row],[Tgl NPBG]]&gt;表1[[#This Row],[Peminta]],表1[[#This Row],[Tgl NPBG]]-表1[[#This Row],[Peminta]],"")</f>
        <v/>
      </c>
      <c r="J1909" s="31"/>
    </row>
    <row r="1910" s="12" customFormat="1" customHeight="1" spans="2:10">
      <c r="B1910" s="25"/>
      <c r="C1910" s="25"/>
      <c r="D1910" s="26" t="str" cm="1">
        <f t="array" ref="D1910">IF(C1910="","",IFERROR(INDEX(STPP!$D$6:$D$4207,MATCH(C1910,STPP!$C$6:$C$4207,0)),"Not Found"))</f>
        <v/>
      </c>
      <c r="E1910" s="27" t="str" cm="1">
        <f t="array" ref="E1910">IF(C1910="","",IFERROR(INDEX(STPP!$E$6:$E$4207,MATCH(C1910,STPP!$C$6:$C$4207,0)),"Not Found"))</f>
        <v/>
      </c>
      <c r="F1910" s="27" t="str" cm="1">
        <f t="array" ref="F1910">IF(C1910="","",IFERROR(INDEX(STPP!$F$6:$F$4207,MATCH(C1910,STPP!$C$6:$C$4207,0)),"Not Found"))</f>
        <v/>
      </c>
      <c r="G1910" s="25" t="str">
        <f>IF(表1[[#This Row],[No Seri]]="","",表1[[#This Row],[Deskripsi Barang]]+表1[[#This Row],[Kuantitas]]-表1[[#This Row],[Satuan]])</f>
        <v/>
      </c>
      <c r="H1910" s="28"/>
      <c r="I1910" s="25" t="str">
        <f>IF(表1[[#This Row],[Tgl NPBG]]&gt;表1[[#This Row],[Peminta]],表1[[#This Row],[Tgl NPBG]]-表1[[#This Row],[Peminta]],"")</f>
        <v/>
      </c>
      <c r="J1910" s="31"/>
    </row>
    <row r="1911" s="12" customFormat="1" customHeight="1" spans="2:10">
      <c r="B1911" s="25"/>
      <c r="C1911" s="25"/>
      <c r="D1911" s="26" t="str" cm="1">
        <f t="array" ref="D1911">IF(C1911="","",IFERROR(INDEX(STPP!$D$6:$D$4207,MATCH(C1911,STPP!$C$6:$C$4207,0)),"Not Found"))</f>
        <v/>
      </c>
      <c r="E1911" s="27" t="str" cm="1">
        <f t="array" ref="E1911">IF(C1911="","",IFERROR(INDEX(STPP!$E$6:$E$4207,MATCH(C1911,STPP!$C$6:$C$4207,0)),"Not Found"))</f>
        <v/>
      </c>
      <c r="F1911" s="27" t="str" cm="1">
        <f t="array" ref="F1911">IF(C1911="","",IFERROR(INDEX(STPP!$F$6:$F$4207,MATCH(C1911,STPP!$C$6:$C$4207,0)),"Not Found"))</f>
        <v/>
      </c>
      <c r="G1911" s="25" t="str">
        <f>IF(表1[[#This Row],[No Seri]]="","",表1[[#This Row],[Deskripsi Barang]]+表1[[#This Row],[Kuantitas]]-表1[[#This Row],[Satuan]])</f>
        <v/>
      </c>
      <c r="H1911" s="28"/>
      <c r="I1911" s="25" t="str">
        <f>IF(表1[[#This Row],[Tgl NPBG]]&gt;表1[[#This Row],[Peminta]],表1[[#This Row],[Tgl NPBG]]-表1[[#This Row],[Peminta]],"")</f>
        <v/>
      </c>
      <c r="J1911" s="31"/>
    </row>
    <row r="1912" s="12" customFormat="1" customHeight="1" spans="2:10">
      <c r="B1912" s="25"/>
      <c r="C1912" s="25"/>
      <c r="D1912" s="26" t="str" cm="1">
        <f t="array" ref="D1912">IF(C1912="","",IFERROR(INDEX(STPP!$D$6:$D$4207,MATCH(C1912,STPP!$C$6:$C$4207,0)),"Not Found"))</f>
        <v/>
      </c>
      <c r="E1912" s="27" t="str" cm="1">
        <f t="array" ref="E1912">IF(C1912="","",IFERROR(INDEX(STPP!$E$6:$E$4207,MATCH(C1912,STPP!$C$6:$C$4207,0)),"Not Found"))</f>
        <v/>
      </c>
      <c r="F1912" s="27" t="str" cm="1">
        <f t="array" ref="F1912">IF(C1912="","",IFERROR(INDEX(STPP!$F$6:$F$4207,MATCH(C1912,STPP!$C$6:$C$4207,0)),"Not Found"))</f>
        <v/>
      </c>
      <c r="G1912" s="25" t="str">
        <f>IF(表1[[#This Row],[No Seri]]="","",表1[[#This Row],[Deskripsi Barang]]+表1[[#This Row],[Kuantitas]]-表1[[#This Row],[Satuan]])</f>
        <v/>
      </c>
      <c r="H1912" s="28"/>
      <c r="I1912" s="25" t="str">
        <f>IF(表1[[#This Row],[Tgl NPBG]]&gt;表1[[#This Row],[Peminta]],表1[[#This Row],[Tgl NPBG]]-表1[[#This Row],[Peminta]],"")</f>
        <v/>
      </c>
      <c r="J1912" s="31"/>
    </row>
    <row r="1913" s="12" customFormat="1" customHeight="1" spans="2:10">
      <c r="B1913" s="25"/>
      <c r="C1913" s="25"/>
      <c r="D1913" s="26" t="str" cm="1">
        <f t="array" ref="D1913">IF(C1913="","",IFERROR(INDEX(STPP!$D$6:$D$4207,MATCH(C1913,STPP!$C$6:$C$4207,0)),"Not Found"))</f>
        <v/>
      </c>
      <c r="E1913" s="27" t="str" cm="1">
        <f t="array" ref="E1913">IF(C1913="","",IFERROR(INDEX(STPP!$E$6:$E$4207,MATCH(C1913,STPP!$C$6:$C$4207,0)),"Not Found"))</f>
        <v/>
      </c>
      <c r="F1913" s="27" t="str" cm="1">
        <f t="array" ref="F1913">IF(C1913="","",IFERROR(INDEX(STPP!$F$6:$F$4207,MATCH(C1913,STPP!$C$6:$C$4207,0)),"Not Found"))</f>
        <v/>
      </c>
      <c r="G1913" s="25" t="str">
        <f>IF(表1[[#This Row],[No Seri]]="","",表1[[#This Row],[Deskripsi Barang]]+表1[[#This Row],[Kuantitas]]-表1[[#This Row],[Satuan]])</f>
        <v/>
      </c>
      <c r="H1913" s="28"/>
      <c r="I1913" s="25" t="str">
        <f>IF(表1[[#This Row],[Tgl NPBG]]&gt;表1[[#This Row],[Peminta]],表1[[#This Row],[Tgl NPBG]]-表1[[#This Row],[Peminta]],"")</f>
        <v/>
      </c>
      <c r="J1913" s="31"/>
    </row>
    <row r="1914" s="12" customFormat="1" customHeight="1" spans="2:10">
      <c r="B1914" s="25"/>
      <c r="C1914" s="25"/>
      <c r="D1914" s="26" t="str" cm="1">
        <f t="array" ref="D1914">IF(C1914="","",IFERROR(INDEX(STPP!$D$6:$D$4207,MATCH(C1914,STPP!$C$6:$C$4207,0)),"Not Found"))</f>
        <v/>
      </c>
      <c r="E1914" s="27" t="str" cm="1">
        <f t="array" ref="E1914">IF(C1914="","",IFERROR(INDEX(STPP!$E$6:$E$4207,MATCH(C1914,STPP!$C$6:$C$4207,0)),"Not Found"))</f>
        <v/>
      </c>
      <c r="F1914" s="27" t="str" cm="1">
        <f t="array" ref="F1914">IF(C1914="","",IFERROR(INDEX(STPP!$F$6:$F$4207,MATCH(C1914,STPP!$C$6:$C$4207,0)),"Not Found"))</f>
        <v/>
      </c>
      <c r="G1914" s="25" t="str">
        <f>IF(表1[[#This Row],[No Seri]]="","",表1[[#This Row],[Deskripsi Barang]]+表1[[#This Row],[Kuantitas]]-表1[[#This Row],[Satuan]])</f>
        <v/>
      </c>
      <c r="H1914" s="28"/>
      <c r="I1914" s="25" t="str">
        <f>IF(表1[[#This Row],[Tgl NPBG]]&gt;表1[[#This Row],[Peminta]],表1[[#This Row],[Tgl NPBG]]-表1[[#This Row],[Peminta]],"")</f>
        <v/>
      </c>
      <c r="J1914" s="31"/>
    </row>
    <row r="1915" s="12" customFormat="1" customHeight="1" spans="2:10">
      <c r="B1915" s="25"/>
      <c r="C1915" s="25"/>
      <c r="D1915" s="26" t="str" cm="1">
        <f t="array" ref="D1915">IF(C1915="","",IFERROR(INDEX(STPP!$D$6:$D$4207,MATCH(C1915,STPP!$C$6:$C$4207,0)),"Not Found"))</f>
        <v/>
      </c>
      <c r="E1915" s="27" t="str" cm="1">
        <f t="array" ref="E1915">IF(C1915="","",IFERROR(INDEX(STPP!$E$6:$E$4207,MATCH(C1915,STPP!$C$6:$C$4207,0)),"Not Found"))</f>
        <v/>
      </c>
      <c r="F1915" s="27" t="str" cm="1">
        <f t="array" ref="F1915">IF(C1915="","",IFERROR(INDEX(STPP!$F$6:$F$4207,MATCH(C1915,STPP!$C$6:$C$4207,0)),"Not Found"))</f>
        <v/>
      </c>
      <c r="G1915" s="25" t="str">
        <f>IF(表1[[#This Row],[No Seri]]="","",表1[[#This Row],[Deskripsi Barang]]+表1[[#This Row],[Kuantitas]]-表1[[#This Row],[Satuan]])</f>
        <v/>
      </c>
      <c r="H1915" s="28"/>
      <c r="I1915" s="25" t="str">
        <f>IF(表1[[#This Row],[Tgl NPBG]]&gt;表1[[#This Row],[Peminta]],表1[[#This Row],[Tgl NPBG]]-表1[[#This Row],[Peminta]],"")</f>
        <v/>
      </c>
      <c r="J1915" s="31"/>
    </row>
    <row r="1916" s="12" customFormat="1" customHeight="1" spans="2:10">
      <c r="B1916" s="25"/>
      <c r="C1916" s="25"/>
      <c r="D1916" s="26" t="str" cm="1">
        <f t="array" ref="D1916">IF(C1916="","",IFERROR(INDEX(STPP!$D$6:$D$4207,MATCH(C1916,STPP!$C$6:$C$4207,0)),"Not Found"))</f>
        <v/>
      </c>
      <c r="E1916" s="27" t="str" cm="1">
        <f t="array" ref="E1916">IF(C1916="","",IFERROR(INDEX(STPP!$E$6:$E$4207,MATCH(C1916,STPP!$C$6:$C$4207,0)),"Not Found"))</f>
        <v/>
      </c>
      <c r="F1916" s="27" t="str" cm="1">
        <f t="array" ref="F1916">IF(C1916="","",IFERROR(INDEX(STPP!$F$6:$F$4207,MATCH(C1916,STPP!$C$6:$C$4207,0)),"Not Found"))</f>
        <v/>
      </c>
      <c r="G1916" s="25" t="str">
        <f>IF(表1[[#This Row],[No Seri]]="","",表1[[#This Row],[Deskripsi Barang]]+表1[[#This Row],[Kuantitas]]-表1[[#This Row],[Satuan]])</f>
        <v/>
      </c>
      <c r="H1916" s="28"/>
      <c r="I1916" s="25" t="str">
        <f>IF(表1[[#This Row],[Tgl NPBG]]&gt;表1[[#This Row],[Peminta]],表1[[#This Row],[Tgl NPBG]]-表1[[#This Row],[Peminta]],"")</f>
        <v/>
      </c>
      <c r="J1916" s="31"/>
    </row>
    <row r="1917" s="12" customFormat="1" customHeight="1" spans="2:10">
      <c r="B1917" s="25"/>
      <c r="C1917" s="25"/>
      <c r="D1917" s="26" t="str" cm="1">
        <f t="array" ref="D1917">IF(C1917="","",IFERROR(INDEX(STPP!$D$6:$D$4207,MATCH(C1917,STPP!$C$6:$C$4207,0)),"Not Found"))</f>
        <v/>
      </c>
      <c r="E1917" s="27" t="str" cm="1">
        <f t="array" ref="E1917">IF(C1917="","",IFERROR(INDEX(STPP!$E$6:$E$4207,MATCH(C1917,STPP!$C$6:$C$4207,0)),"Not Found"))</f>
        <v/>
      </c>
      <c r="F1917" s="27" t="str" cm="1">
        <f t="array" ref="F1917">IF(C1917="","",IFERROR(INDEX(STPP!$F$6:$F$4207,MATCH(C1917,STPP!$C$6:$C$4207,0)),"Not Found"))</f>
        <v/>
      </c>
      <c r="G1917" s="25" t="str">
        <f>IF(表1[[#This Row],[No Seri]]="","",表1[[#This Row],[Deskripsi Barang]]+表1[[#This Row],[Kuantitas]]-表1[[#This Row],[Satuan]])</f>
        <v/>
      </c>
      <c r="H1917" s="28"/>
      <c r="I1917" s="25" t="str">
        <f>IF(表1[[#This Row],[Tgl NPBG]]&gt;表1[[#This Row],[Peminta]],表1[[#This Row],[Tgl NPBG]]-表1[[#This Row],[Peminta]],"")</f>
        <v/>
      </c>
      <c r="J1917" s="31"/>
    </row>
    <row r="1918" s="12" customFormat="1" customHeight="1" spans="2:10">
      <c r="B1918" s="25"/>
      <c r="C1918" s="25"/>
      <c r="D1918" s="26" t="str" cm="1">
        <f t="array" ref="D1918">IF(C1918="","",IFERROR(INDEX(STPP!$D$6:$D$4207,MATCH(C1918,STPP!$C$6:$C$4207,0)),"Not Found"))</f>
        <v/>
      </c>
      <c r="E1918" s="27" t="str" cm="1">
        <f t="array" ref="E1918">IF(C1918="","",IFERROR(INDEX(STPP!$E$6:$E$4207,MATCH(C1918,STPP!$C$6:$C$4207,0)),"Not Found"))</f>
        <v/>
      </c>
      <c r="F1918" s="27" t="str" cm="1">
        <f t="array" ref="F1918">IF(C1918="","",IFERROR(INDEX(STPP!$F$6:$F$4207,MATCH(C1918,STPP!$C$6:$C$4207,0)),"Not Found"))</f>
        <v/>
      </c>
      <c r="G1918" s="25" t="str">
        <f>IF(表1[[#This Row],[No Seri]]="","",表1[[#This Row],[Deskripsi Barang]]+表1[[#This Row],[Kuantitas]]-表1[[#This Row],[Satuan]])</f>
        <v/>
      </c>
      <c r="H1918" s="28"/>
      <c r="I1918" s="25" t="str">
        <f>IF(表1[[#This Row],[Tgl NPBG]]&gt;表1[[#This Row],[Peminta]],表1[[#This Row],[Tgl NPBG]]-表1[[#This Row],[Peminta]],"")</f>
        <v/>
      </c>
      <c r="J1918" s="31"/>
    </row>
    <row r="1919" s="12" customFormat="1" customHeight="1" spans="2:10">
      <c r="B1919" s="25"/>
      <c r="C1919" s="25"/>
      <c r="D1919" s="26" t="str" cm="1">
        <f t="array" ref="D1919">IF(C1919="","",IFERROR(INDEX(STPP!$D$6:$D$4207,MATCH(C1919,STPP!$C$6:$C$4207,0)),"Not Found"))</f>
        <v/>
      </c>
      <c r="E1919" s="27" t="str" cm="1">
        <f t="array" ref="E1919">IF(C1919="","",IFERROR(INDEX(STPP!$E$6:$E$4207,MATCH(C1919,STPP!$C$6:$C$4207,0)),"Not Found"))</f>
        <v/>
      </c>
      <c r="F1919" s="27" t="str" cm="1">
        <f t="array" ref="F1919">IF(C1919="","",IFERROR(INDEX(STPP!$F$6:$F$4207,MATCH(C1919,STPP!$C$6:$C$4207,0)),"Not Found"))</f>
        <v/>
      </c>
      <c r="G1919" s="25" t="str">
        <f>IF(表1[[#This Row],[No Seri]]="","",表1[[#This Row],[Deskripsi Barang]]+表1[[#This Row],[Kuantitas]]-表1[[#This Row],[Satuan]])</f>
        <v/>
      </c>
      <c r="H1919" s="28"/>
      <c r="I1919" s="25" t="str">
        <f>IF(表1[[#This Row],[Tgl NPBG]]&gt;表1[[#This Row],[Peminta]],表1[[#This Row],[Tgl NPBG]]-表1[[#This Row],[Peminta]],"")</f>
        <v/>
      </c>
      <c r="J1919" s="31"/>
    </row>
    <row r="1920" s="12" customFormat="1" customHeight="1" spans="2:10">
      <c r="B1920" s="25"/>
      <c r="C1920" s="25"/>
      <c r="D1920" s="26" t="str" cm="1">
        <f t="array" ref="D1920">IF(C1920="","",IFERROR(INDEX(STPP!$D$6:$D$4207,MATCH(C1920,STPP!$C$6:$C$4207,0)),"Not Found"))</f>
        <v/>
      </c>
      <c r="E1920" s="27" t="str" cm="1">
        <f t="array" ref="E1920">IF(C1920="","",IFERROR(INDEX(STPP!$E$6:$E$4207,MATCH(C1920,STPP!$C$6:$C$4207,0)),"Not Found"))</f>
        <v/>
      </c>
      <c r="F1920" s="27" t="str" cm="1">
        <f t="array" ref="F1920">IF(C1920="","",IFERROR(INDEX(STPP!$F$6:$F$4207,MATCH(C1920,STPP!$C$6:$C$4207,0)),"Not Found"))</f>
        <v/>
      </c>
      <c r="G1920" s="25" t="str">
        <f>IF(表1[[#This Row],[No Seri]]="","",表1[[#This Row],[Deskripsi Barang]]+表1[[#This Row],[Kuantitas]]-表1[[#This Row],[Satuan]])</f>
        <v/>
      </c>
      <c r="H1920" s="28"/>
      <c r="I1920" s="25" t="str">
        <f>IF(表1[[#This Row],[Tgl NPBG]]&gt;表1[[#This Row],[Peminta]],表1[[#This Row],[Tgl NPBG]]-表1[[#This Row],[Peminta]],"")</f>
        <v/>
      </c>
      <c r="J1920" s="31"/>
    </row>
    <row r="1921" s="12" customFormat="1" customHeight="1" spans="2:10">
      <c r="B1921" s="25"/>
      <c r="C1921" s="25"/>
      <c r="D1921" s="26" t="str" cm="1">
        <f t="array" ref="D1921">IF(C1921="","",IFERROR(INDEX(STPP!$D$6:$D$4207,MATCH(C1921,STPP!$C$6:$C$4207,0)),"Not Found"))</f>
        <v/>
      </c>
      <c r="E1921" s="27" t="str" cm="1">
        <f t="array" ref="E1921">IF(C1921="","",IFERROR(INDEX(STPP!$E$6:$E$4207,MATCH(C1921,STPP!$C$6:$C$4207,0)),"Not Found"))</f>
        <v/>
      </c>
      <c r="F1921" s="27" t="str" cm="1">
        <f t="array" ref="F1921">IF(C1921="","",IFERROR(INDEX(STPP!$F$6:$F$4207,MATCH(C1921,STPP!$C$6:$C$4207,0)),"Not Found"))</f>
        <v/>
      </c>
      <c r="G1921" s="25" t="str">
        <f>IF(表1[[#This Row],[No Seri]]="","",表1[[#This Row],[Deskripsi Barang]]+表1[[#This Row],[Kuantitas]]-表1[[#This Row],[Satuan]])</f>
        <v/>
      </c>
      <c r="H1921" s="28"/>
      <c r="I1921" s="25" t="str">
        <f>IF(表1[[#This Row],[Tgl NPBG]]&gt;表1[[#This Row],[Peminta]],表1[[#This Row],[Tgl NPBG]]-表1[[#This Row],[Peminta]],"")</f>
        <v/>
      </c>
      <c r="J1921" s="31"/>
    </row>
    <row r="1922" s="12" customFormat="1" customHeight="1" spans="2:10">
      <c r="B1922" s="25"/>
      <c r="C1922" s="25"/>
      <c r="D1922" s="26" t="str" cm="1">
        <f t="array" ref="D1922">IF(C1922="","",IFERROR(INDEX(STPP!$D$6:$D$4207,MATCH(C1922,STPP!$C$6:$C$4207,0)),"Not Found"))</f>
        <v/>
      </c>
      <c r="E1922" s="27" t="str" cm="1">
        <f t="array" ref="E1922">IF(C1922="","",IFERROR(INDEX(STPP!$E$6:$E$4207,MATCH(C1922,STPP!$C$6:$C$4207,0)),"Not Found"))</f>
        <v/>
      </c>
      <c r="F1922" s="27" t="str" cm="1">
        <f t="array" ref="F1922">IF(C1922="","",IFERROR(INDEX(STPP!$F$6:$F$4207,MATCH(C1922,STPP!$C$6:$C$4207,0)),"Not Found"))</f>
        <v/>
      </c>
      <c r="G1922" s="25" t="str">
        <f>IF(表1[[#This Row],[No Seri]]="","",表1[[#This Row],[Deskripsi Barang]]+表1[[#This Row],[Kuantitas]]-表1[[#This Row],[Satuan]])</f>
        <v/>
      </c>
      <c r="H1922" s="28"/>
      <c r="I1922" s="25" t="str">
        <f>IF(表1[[#This Row],[Tgl NPBG]]&gt;表1[[#This Row],[Peminta]],表1[[#This Row],[Tgl NPBG]]-表1[[#This Row],[Peminta]],"")</f>
        <v/>
      </c>
      <c r="J1922" s="31"/>
    </row>
    <row r="1923" s="12" customFormat="1" customHeight="1" spans="2:10">
      <c r="B1923" s="25"/>
      <c r="C1923" s="25"/>
      <c r="D1923" s="26" t="str" cm="1">
        <f t="array" ref="D1923">IF(C1923="","",IFERROR(INDEX(STPP!$D$6:$D$4207,MATCH(C1923,STPP!$C$6:$C$4207,0)),"Not Found"))</f>
        <v/>
      </c>
      <c r="E1923" s="27" t="str" cm="1">
        <f t="array" ref="E1923">IF(C1923="","",IFERROR(INDEX(STPP!$E$6:$E$4207,MATCH(C1923,STPP!$C$6:$C$4207,0)),"Not Found"))</f>
        <v/>
      </c>
      <c r="F1923" s="27" t="str" cm="1">
        <f t="array" ref="F1923">IF(C1923="","",IFERROR(INDEX(STPP!$F$6:$F$4207,MATCH(C1923,STPP!$C$6:$C$4207,0)),"Not Found"))</f>
        <v/>
      </c>
      <c r="G1923" s="25" t="str">
        <f>IF(表1[[#This Row],[No Seri]]="","",表1[[#This Row],[Deskripsi Barang]]+表1[[#This Row],[Kuantitas]]-表1[[#This Row],[Satuan]])</f>
        <v/>
      </c>
      <c r="H1923" s="28"/>
      <c r="I1923" s="25" t="str">
        <f>IF(表1[[#This Row],[Tgl NPBG]]&gt;表1[[#This Row],[Peminta]],表1[[#This Row],[Tgl NPBG]]-表1[[#This Row],[Peminta]],"")</f>
        <v/>
      </c>
      <c r="J1923" s="31"/>
    </row>
    <row r="1924" s="12" customFormat="1" customHeight="1" spans="2:10">
      <c r="B1924" s="25"/>
      <c r="C1924" s="25"/>
      <c r="D1924" s="26" t="str" cm="1">
        <f t="array" ref="D1924">IF(C1924="","",IFERROR(INDEX(STPP!$D$6:$D$4207,MATCH(C1924,STPP!$C$6:$C$4207,0)),"Not Found"))</f>
        <v/>
      </c>
      <c r="E1924" s="27" t="str" cm="1">
        <f t="array" ref="E1924">IF(C1924="","",IFERROR(INDEX(STPP!$E$6:$E$4207,MATCH(C1924,STPP!$C$6:$C$4207,0)),"Not Found"))</f>
        <v/>
      </c>
      <c r="F1924" s="27" t="str" cm="1">
        <f t="array" ref="F1924">IF(C1924="","",IFERROR(INDEX(STPP!$F$6:$F$4207,MATCH(C1924,STPP!$C$6:$C$4207,0)),"Not Found"))</f>
        <v/>
      </c>
      <c r="G1924" s="25" t="str">
        <f>IF(表1[[#This Row],[No Seri]]="","",表1[[#This Row],[Deskripsi Barang]]+表1[[#This Row],[Kuantitas]]-表1[[#This Row],[Satuan]])</f>
        <v/>
      </c>
      <c r="H1924" s="28"/>
      <c r="I1924" s="25" t="str">
        <f>IF(表1[[#This Row],[Tgl NPBG]]&gt;表1[[#This Row],[Peminta]],表1[[#This Row],[Tgl NPBG]]-表1[[#This Row],[Peminta]],"")</f>
        <v/>
      </c>
      <c r="J1924" s="31"/>
    </row>
    <row r="1925" s="12" customFormat="1" customHeight="1" spans="2:10">
      <c r="B1925" s="25"/>
      <c r="C1925" s="25"/>
      <c r="D1925" s="26" t="str" cm="1">
        <f t="array" ref="D1925">IF(C1925="","",IFERROR(INDEX(STPP!$D$6:$D$4207,MATCH(C1925,STPP!$C$6:$C$4207,0)),"Not Found"))</f>
        <v/>
      </c>
      <c r="E1925" s="27" t="str" cm="1">
        <f t="array" ref="E1925">IF(C1925="","",IFERROR(INDEX(STPP!$E$6:$E$4207,MATCH(C1925,STPP!$C$6:$C$4207,0)),"Not Found"))</f>
        <v/>
      </c>
      <c r="F1925" s="27" t="str" cm="1">
        <f t="array" ref="F1925">IF(C1925="","",IFERROR(INDEX(STPP!$F$6:$F$4207,MATCH(C1925,STPP!$C$6:$C$4207,0)),"Not Found"))</f>
        <v/>
      </c>
      <c r="G1925" s="25" t="str">
        <f>IF(表1[[#This Row],[No Seri]]="","",表1[[#This Row],[Deskripsi Barang]]+表1[[#This Row],[Kuantitas]]-表1[[#This Row],[Satuan]])</f>
        <v/>
      </c>
      <c r="H1925" s="28"/>
      <c r="I1925" s="25" t="str">
        <f>IF(表1[[#This Row],[Tgl NPBG]]&gt;表1[[#This Row],[Peminta]],表1[[#This Row],[Tgl NPBG]]-表1[[#This Row],[Peminta]],"")</f>
        <v/>
      </c>
      <c r="J1925" s="31"/>
    </row>
    <row r="1926" s="12" customFormat="1" customHeight="1" spans="2:10">
      <c r="B1926" s="25"/>
      <c r="C1926" s="25"/>
      <c r="D1926" s="26" t="str" cm="1">
        <f t="array" ref="D1926">IF(C1926="","",IFERROR(INDEX(STPP!$D$6:$D$4207,MATCH(C1926,STPP!$C$6:$C$4207,0)),"Not Found"))</f>
        <v/>
      </c>
      <c r="E1926" s="27" t="str" cm="1">
        <f t="array" ref="E1926">IF(C1926="","",IFERROR(INDEX(STPP!$E$6:$E$4207,MATCH(C1926,STPP!$C$6:$C$4207,0)),"Not Found"))</f>
        <v/>
      </c>
      <c r="F1926" s="27" t="str" cm="1">
        <f t="array" ref="F1926">IF(C1926="","",IFERROR(INDEX(STPP!$F$6:$F$4207,MATCH(C1926,STPP!$C$6:$C$4207,0)),"Not Found"))</f>
        <v/>
      </c>
      <c r="G1926" s="25" t="str">
        <f>IF(表1[[#This Row],[No Seri]]="","",表1[[#This Row],[Deskripsi Barang]]+表1[[#This Row],[Kuantitas]]-表1[[#This Row],[Satuan]])</f>
        <v/>
      </c>
      <c r="H1926" s="28"/>
      <c r="I1926" s="25" t="str">
        <f>IF(表1[[#This Row],[Tgl NPBG]]&gt;表1[[#This Row],[Peminta]],表1[[#This Row],[Tgl NPBG]]-表1[[#This Row],[Peminta]],"")</f>
        <v/>
      </c>
      <c r="J1926" s="31"/>
    </row>
    <row r="1927" s="12" customFormat="1" customHeight="1" spans="2:10">
      <c r="B1927" s="25"/>
      <c r="C1927" s="25"/>
      <c r="D1927" s="26" t="str" cm="1">
        <f t="array" ref="D1927">IF(C1927="","",IFERROR(INDEX(STPP!$D$6:$D$4207,MATCH(C1927,STPP!$C$6:$C$4207,0)),"Not Found"))</f>
        <v/>
      </c>
      <c r="E1927" s="27" t="str" cm="1">
        <f t="array" ref="E1927">IF(C1927="","",IFERROR(INDEX(STPP!$E$6:$E$4207,MATCH(C1927,STPP!$C$6:$C$4207,0)),"Not Found"))</f>
        <v/>
      </c>
      <c r="F1927" s="27" t="str" cm="1">
        <f t="array" ref="F1927">IF(C1927="","",IFERROR(INDEX(STPP!$F$6:$F$4207,MATCH(C1927,STPP!$C$6:$C$4207,0)),"Not Found"))</f>
        <v/>
      </c>
      <c r="G1927" s="25" t="str">
        <f>IF(表1[[#This Row],[No Seri]]="","",表1[[#This Row],[Deskripsi Barang]]+表1[[#This Row],[Kuantitas]]-表1[[#This Row],[Satuan]])</f>
        <v/>
      </c>
      <c r="H1927" s="28"/>
      <c r="I1927" s="25" t="str">
        <f>IF(表1[[#This Row],[Tgl NPBG]]&gt;表1[[#This Row],[Peminta]],表1[[#This Row],[Tgl NPBG]]-表1[[#This Row],[Peminta]],"")</f>
        <v/>
      </c>
      <c r="J1927" s="31"/>
    </row>
    <row r="1928" s="12" customFormat="1" customHeight="1" spans="2:10">
      <c r="B1928" s="25"/>
      <c r="C1928" s="25"/>
      <c r="D1928" s="26" t="str" cm="1">
        <f t="array" ref="D1928">IF(C1928="","",IFERROR(INDEX(STPP!$D$6:$D$4207,MATCH(C1928,STPP!$C$6:$C$4207,0)),"Not Found"))</f>
        <v/>
      </c>
      <c r="E1928" s="27" t="str" cm="1">
        <f t="array" ref="E1928">IF(C1928="","",IFERROR(INDEX(STPP!$E$6:$E$4207,MATCH(C1928,STPP!$C$6:$C$4207,0)),"Not Found"))</f>
        <v/>
      </c>
      <c r="F1928" s="27" t="str" cm="1">
        <f t="array" ref="F1928">IF(C1928="","",IFERROR(INDEX(STPP!$F$6:$F$4207,MATCH(C1928,STPP!$C$6:$C$4207,0)),"Not Found"))</f>
        <v/>
      </c>
      <c r="G1928" s="25" t="str">
        <f>IF(表1[[#This Row],[No Seri]]="","",表1[[#This Row],[Deskripsi Barang]]+表1[[#This Row],[Kuantitas]]-表1[[#This Row],[Satuan]])</f>
        <v/>
      </c>
      <c r="H1928" s="28"/>
      <c r="I1928" s="25" t="str">
        <f>IF(表1[[#This Row],[Tgl NPBG]]&gt;表1[[#This Row],[Peminta]],表1[[#This Row],[Tgl NPBG]]-表1[[#This Row],[Peminta]],"")</f>
        <v/>
      </c>
      <c r="J1928" s="31"/>
    </row>
    <row r="1929" s="12" customFormat="1" customHeight="1" spans="2:10">
      <c r="B1929" s="25"/>
      <c r="C1929" s="25"/>
      <c r="D1929" s="26" t="str" cm="1">
        <f t="array" ref="D1929">IF(C1929="","",IFERROR(INDEX(STPP!$D$6:$D$4207,MATCH(C1929,STPP!$C$6:$C$4207,0)),"Not Found"))</f>
        <v/>
      </c>
      <c r="E1929" s="27" t="str" cm="1">
        <f t="array" ref="E1929">IF(C1929="","",IFERROR(INDEX(STPP!$E$6:$E$4207,MATCH(C1929,STPP!$C$6:$C$4207,0)),"Not Found"))</f>
        <v/>
      </c>
      <c r="F1929" s="27" t="str" cm="1">
        <f t="array" ref="F1929">IF(C1929="","",IFERROR(INDEX(STPP!$F$6:$F$4207,MATCH(C1929,STPP!$C$6:$C$4207,0)),"Not Found"))</f>
        <v/>
      </c>
      <c r="G1929" s="25" t="str">
        <f>IF(表1[[#This Row],[No Seri]]="","",表1[[#This Row],[Deskripsi Barang]]+表1[[#This Row],[Kuantitas]]-表1[[#This Row],[Satuan]])</f>
        <v/>
      </c>
      <c r="H1929" s="28"/>
      <c r="I1929" s="25" t="str">
        <f>IF(表1[[#This Row],[Tgl NPBG]]&gt;表1[[#This Row],[Peminta]],表1[[#This Row],[Tgl NPBG]]-表1[[#This Row],[Peminta]],"")</f>
        <v/>
      </c>
      <c r="J1929" s="31"/>
    </row>
    <row r="1930" s="12" customFormat="1" customHeight="1" spans="2:10">
      <c r="B1930" s="25"/>
      <c r="C1930" s="25"/>
      <c r="D1930" s="26" t="str" cm="1">
        <f t="array" ref="D1930">IF(C1930="","",IFERROR(INDEX(STPP!$D$6:$D$4207,MATCH(C1930,STPP!$C$6:$C$4207,0)),"Not Found"))</f>
        <v/>
      </c>
      <c r="E1930" s="27" t="str" cm="1">
        <f t="array" ref="E1930">IF(C1930="","",IFERROR(INDEX(STPP!$E$6:$E$4207,MATCH(C1930,STPP!$C$6:$C$4207,0)),"Not Found"))</f>
        <v/>
      </c>
      <c r="F1930" s="27" t="str" cm="1">
        <f t="array" ref="F1930">IF(C1930="","",IFERROR(INDEX(STPP!$F$6:$F$4207,MATCH(C1930,STPP!$C$6:$C$4207,0)),"Not Found"))</f>
        <v/>
      </c>
      <c r="G1930" s="25" t="str">
        <f>IF(表1[[#This Row],[No Seri]]="","",表1[[#This Row],[Deskripsi Barang]]+表1[[#This Row],[Kuantitas]]-表1[[#This Row],[Satuan]])</f>
        <v/>
      </c>
      <c r="H1930" s="28"/>
      <c r="I1930" s="25" t="str">
        <f>IF(表1[[#This Row],[Tgl NPBG]]&gt;表1[[#This Row],[Peminta]],表1[[#This Row],[Tgl NPBG]]-表1[[#This Row],[Peminta]],"")</f>
        <v/>
      </c>
      <c r="J1930" s="31"/>
    </row>
    <row r="1931" s="12" customFormat="1" customHeight="1" spans="2:10">
      <c r="B1931" s="25"/>
      <c r="C1931" s="25"/>
      <c r="D1931" s="26" t="str" cm="1">
        <f t="array" ref="D1931">IF(C1931="","",IFERROR(INDEX(STPP!$D$6:$D$4207,MATCH(C1931,STPP!$C$6:$C$4207,0)),"Not Found"))</f>
        <v/>
      </c>
      <c r="E1931" s="27" t="str" cm="1">
        <f t="array" ref="E1931">IF(C1931="","",IFERROR(INDEX(STPP!$E$6:$E$4207,MATCH(C1931,STPP!$C$6:$C$4207,0)),"Not Found"))</f>
        <v/>
      </c>
      <c r="F1931" s="27" t="str" cm="1">
        <f t="array" ref="F1931">IF(C1931="","",IFERROR(INDEX(STPP!$F$6:$F$4207,MATCH(C1931,STPP!$C$6:$C$4207,0)),"Not Found"))</f>
        <v/>
      </c>
      <c r="G1931" s="25" t="str">
        <f>IF(表1[[#This Row],[No Seri]]="","",表1[[#This Row],[Deskripsi Barang]]+表1[[#This Row],[Kuantitas]]-表1[[#This Row],[Satuan]])</f>
        <v/>
      </c>
      <c r="H1931" s="28"/>
      <c r="I1931" s="25" t="str">
        <f>IF(表1[[#This Row],[Tgl NPBG]]&gt;表1[[#This Row],[Peminta]],表1[[#This Row],[Tgl NPBG]]-表1[[#This Row],[Peminta]],"")</f>
        <v/>
      </c>
      <c r="J1931" s="31"/>
    </row>
    <row r="1932" s="12" customFormat="1" customHeight="1" spans="2:10">
      <c r="B1932" s="25"/>
      <c r="C1932" s="25"/>
      <c r="D1932" s="26" t="str" cm="1">
        <f t="array" ref="D1932">IF(C1932="","",IFERROR(INDEX(STPP!$D$6:$D$4207,MATCH(C1932,STPP!$C$6:$C$4207,0)),"Not Found"))</f>
        <v/>
      </c>
      <c r="E1932" s="27" t="str" cm="1">
        <f t="array" ref="E1932">IF(C1932="","",IFERROR(INDEX(STPP!$E$6:$E$4207,MATCH(C1932,STPP!$C$6:$C$4207,0)),"Not Found"))</f>
        <v/>
      </c>
      <c r="F1932" s="27" t="str" cm="1">
        <f t="array" ref="F1932">IF(C1932="","",IFERROR(INDEX(STPP!$F$6:$F$4207,MATCH(C1932,STPP!$C$6:$C$4207,0)),"Not Found"))</f>
        <v/>
      </c>
      <c r="G1932" s="25" t="str">
        <f>IF(表1[[#This Row],[No Seri]]="","",表1[[#This Row],[Deskripsi Barang]]+表1[[#This Row],[Kuantitas]]-表1[[#This Row],[Satuan]])</f>
        <v/>
      </c>
      <c r="H1932" s="28"/>
      <c r="I1932" s="25" t="str">
        <f>IF(表1[[#This Row],[Tgl NPBG]]&gt;表1[[#This Row],[Peminta]],表1[[#This Row],[Tgl NPBG]]-表1[[#This Row],[Peminta]],"")</f>
        <v/>
      </c>
      <c r="J1932" s="31"/>
    </row>
    <row r="1933" s="12" customFormat="1" customHeight="1" spans="2:10">
      <c r="B1933" s="25"/>
      <c r="C1933" s="25"/>
      <c r="D1933" s="26" t="str" cm="1">
        <f t="array" ref="D1933">IF(C1933="","",IFERROR(INDEX(STPP!$D$6:$D$4207,MATCH(C1933,STPP!$C$6:$C$4207,0)),"Not Found"))</f>
        <v/>
      </c>
      <c r="E1933" s="27" t="str" cm="1">
        <f t="array" ref="E1933">IF(C1933="","",IFERROR(INDEX(STPP!$E$6:$E$4207,MATCH(C1933,STPP!$C$6:$C$4207,0)),"Not Found"))</f>
        <v/>
      </c>
      <c r="F1933" s="27" t="str" cm="1">
        <f t="array" ref="F1933">IF(C1933="","",IFERROR(INDEX(STPP!$F$6:$F$4207,MATCH(C1933,STPP!$C$6:$C$4207,0)),"Not Found"))</f>
        <v/>
      </c>
      <c r="G1933" s="25" t="str">
        <f>IF(表1[[#This Row],[No Seri]]="","",表1[[#This Row],[Deskripsi Barang]]+表1[[#This Row],[Kuantitas]]-表1[[#This Row],[Satuan]])</f>
        <v/>
      </c>
      <c r="H1933" s="28"/>
      <c r="I1933" s="25" t="str">
        <f>IF(表1[[#This Row],[Tgl NPBG]]&gt;表1[[#This Row],[Peminta]],表1[[#This Row],[Tgl NPBG]]-表1[[#This Row],[Peminta]],"")</f>
        <v/>
      </c>
      <c r="J1933" s="31"/>
    </row>
    <row r="1934" s="12" customFormat="1" customHeight="1" spans="2:10">
      <c r="B1934" s="25"/>
      <c r="C1934" s="25"/>
      <c r="D1934" s="26" t="str" cm="1">
        <f t="array" ref="D1934">IF(C1934="","",IFERROR(INDEX(STPP!$D$6:$D$4207,MATCH(C1934,STPP!$C$6:$C$4207,0)),"Not Found"))</f>
        <v/>
      </c>
      <c r="E1934" s="27" t="str" cm="1">
        <f t="array" ref="E1934">IF(C1934="","",IFERROR(INDEX(STPP!$E$6:$E$4207,MATCH(C1934,STPP!$C$6:$C$4207,0)),"Not Found"))</f>
        <v/>
      </c>
      <c r="F1934" s="27" t="str" cm="1">
        <f t="array" ref="F1934">IF(C1934="","",IFERROR(INDEX(STPP!$F$6:$F$4207,MATCH(C1934,STPP!$C$6:$C$4207,0)),"Not Found"))</f>
        <v/>
      </c>
      <c r="G1934" s="25" t="str">
        <f>IF(表1[[#This Row],[No Seri]]="","",表1[[#This Row],[Deskripsi Barang]]+表1[[#This Row],[Kuantitas]]-表1[[#This Row],[Satuan]])</f>
        <v/>
      </c>
      <c r="H1934" s="28"/>
      <c r="I1934" s="25" t="str">
        <f>IF(表1[[#This Row],[Tgl NPBG]]&gt;表1[[#This Row],[Peminta]],表1[[#This Row],[Tgl NPBG]]-表1[[#This Row],[Peminta]],"")</f>
        <v/>
      </c>
      <c r="J1934" s="31"/>
    </row>
    <row r="1935" s="12" customFormat="1" customHeight="1" spans="2:10">
      <c r="B1935" s="25"/>
      <c r="C1935" s="25"/>
      <c r="D1935" s="26" t="str" cm="1">
        <f t="array" ref="D1935">IF(C1935="","",IFERROR(INDEX(STPP!$D$6:$D$4207,MATCH(C1935,STPP!$C$6:$C$4207,0)),"Not Found"))</f>
        <v/>
      </c>
      <c r="E1935" s="27" t="str" cm="1">
        <f t="array" ref="E1935">IF(C1935="","",IFERROR(INDEX(STPP!$E$6:$E$4207,MATCH(C1935,STPP!$C$6:$C$4207,0)),"Not Found"))</f>
        <v/>
      </c>
      <c r="F1935" s="27" t="str" cm="1">
        <f t="array" ref="F1935">IF(C1935="","",IFERROR(INDEX(STPP!$F$6:$F$4207,MATCH(C1935,STPP!$C$6:$C$4207,0)),"Not Found"))</f>
        <v/>
      </c>
      <c r="G1935" s="25" t="str">
        <f>IF(表1[[#This Row],[No Seri]]="","",表1[[#This Row],[Deskripsi Barang]]+表1[[#This Row],[Kuantitas]]-表1[[#This Row],[Satuan]])</f>
        <v/>
      </c>
      <c r="H1935" s="28"/>
      <c r="I1935" s="25" t="str">
        <f>IF(表1[[#This Row],[Tgl NPBG]]&gt;表1[[#This Row],[Peminta]],表1[[#This Row],[Tgl NPBG]]-表1[[#This Row],[Peminta]],"")</f>
        <v/>
      </c>
      <c r="J1935" s="31"/>
    </row>
    <row r="1936" s="12" customFormat="1" customHeight="1" spans="2:10">
      <c r="B1936" s="25"/>
      <c r="C1936" s="25"/>
      <c r="D1936" s="26" t="str" cm="1">
        <f t="array" ref="D1936">IF(C1936="","",IFERROR(INDEX(STPP!$D$6:$D$4207,MATCH(C1936,STPP!$C$6:$C$4207,0)),"Not Found"))</f>
        <v/>
      </c>
      <c r="E1936" s="27" t="str" cm="1">
        <f t="array" ref="E1936">IF(C1936="","",IFERROR(INDEX(STPP!$E$6:$E$4207,MATCH(C1936,STPP!$C$6:$C$4207,0)),"Not Found"))</f>
        <v/>
      </c>
      <c r="F1936" s="27" t="str" cm="1">
        <f t="array" ref="F1936">IF(C1936="","",IFERROR(INDEX(STPP!$F$6:$F$4207,MATCH(C1936,STPP!$C$6:$C$4207,0)),"Not Found"))</f>
        <v/>
      </c>
      <c r="G1936" s="25" t="str">
        <f>IF(表1[[#This Row],[No Seri]]="","",表1[[#This Row],[Deskripsi Barang]]+表1[[#This Row],[Kuantitas]]-表1[[#This Row],[Satuan]])</f>
        <v/>
      </c>
      <c r="H1936" s="28"/>
      <c r="I1936" s="25" t="str">
        <f>IF(表1[[#This Row],[Tgl NPBG]]&gt;表1[[#This Row],[Peminta]],表1[[#This Row],[Tgl NPBG]]-表1[[#This Row],[Peminta]],"")</f>
        <v/>
      </c>
      <c r="J1936" s="31"/>
    </row>
    <row r="1937" s="12" customFormat="1" customHeight="1" spans="2:10">
      <c r="B1937" s="25"/>
      <c r="C1937" s="25"/>
      <c r="D1937" s="26" t="str" cm="1">
        <f t="array" ref="D1937">IF(C1937="","",IFERROR(INDEX(STPP!$D$6:$D$4207,MATCH(C1937,STPP!$C$6:$C$4207,0)),"Not Found"))</f>
        <v/>
      </c>
      <c r="E1937" s="27" t="str" cm="1">
        <f t="array" ref="E1937">IF(C1937="","",IFERROR(INDEX(STPP!$E$6:$E$4207,MATCH(C1937,STPP!$C$6:$C$4207,0)),"Not Found"))</f>
        <v/>
      </c>
      <c r="F1937" s="27" t="str" cm="1">
        <f t="array" ref="F1937">IF(C1937="","",IFERROR(INDEX(STPP!$F$6:$F$4207,MATCH(C1937,STPP!$C$6:$C$4207,0)),"Not Found"))</f>
        <v/>
      </c>
      <c r="G1937" s="25" t="str">
        <f>IF(表1[[#This Row],[No Seri]]="","",表1[[#This Row],[Deskripsi Barang]]+表1[[#This Row],[Kuantitas]]-表1[[#This Row],[Satuan]])</f>
        <v/>
      </c>
      <c r="H1937" s="28"/>
      <c r="I1937" s="25" t="str">
        <f>IF(表1[[#This Row],[Tgl NPBG]]&gt;表1[[#This Row],[Peminta]],表1[[#This Row],[Tgl NPBG]]-表1[[#This Row],[Peminta]],"")</f>
        <v/>
      </c>
      <c r="J1937" s="31"/>
    </row>
    <row r="1938" s="12" customFormat="1" customHeight="1" spans="2:10">
      <c r="B1938" s="25"/>
      <c r="C1938" s="25"/>
      <c r="D1938" s="26" t="str" cm="1">
        <f t="array" ref="D1938">IF(C1938="","",IFERROR(INDEX(STPP!$D$6:$D$4207,MATCH(C1938,STPP!$C$6:$C$4207,0)),"Not Found"))</f>
        <v/>
      </c>
      <c r="E1938" s="27" t="str" cm="1">
        <f t="array" ref="E1938">IF(C1938="","",IFERROR(INDEX(STPP!$E$6:$E$4207,MATCH(C1938,STPP!$C$6:$C$4207,0)),"Not Found"))</f>
        <v/>
      </c>
      <c r="F1938" s="27" t="str" cm="1">
        <f t="array" ref="F1938">IF(C1938="","",IFERROR(INDEX(STPP!$F$6:$F$4207,MATCH(C1938,STPP!$C$6:$C$4207,0)),"Not Found"))</f>
        <v/>
      </c>
      <c r="G1938" s="25" t="str">
        <f>IF(表1[[#This Row],[No Seri]]="","",表1[[#This Row],[Deskripsi Barang]]+表1[[#This Row],[Kuantitas]]-表1[[#This Row],[Satuan]])</f>
        <v/>
      </c>
      <c r="H1938" s="28"/>
      <c r="I1938" s="25" t="str">
        <f>IF(表1[[#This Row],[Tgl NPBG]]&gt;表1[[#This Row],[Peminta]],表1[[#This Row],[Tgl NPBG]]-表1[[#This Row],[Peminta]],"")</f>
        <v/>
      </c>
      <c r="J1938" s="31"/>
    </row>
    <row r="1939" s="12" customFormat="1" customHeight="1" spans="2:10">
      <c r="B1939" s="25"/>
      <c r="C1939" s="25"/>
      <c r="D1939" s="26" t="str" cm="1">
        <f t="array" ref="D1939">IF(C1939="","",IFERROR(INDEX(STPP!$D$6:$D$4207,MATCH(C1939,STPP!$C$6:$C$4207,0)),"Not Found"))</f>
        <v/>
      </c>
      <c r="E1939" s="27" t="str" cm="1">
        <f t="array" ref="E1939">IF(C1939="","",IFERROR(INDEX(STPP!$E$6:$E$4207,MATCH(C1939,STPP!$C$6:$C$4207,0)),"Not Found"))</f>
        <v/>
      </c>
      <c r="F1939" s="27" t="str" cm="1">
        <f t="array" ref="F1939">IF(C1939="","",IFERROR(INDEX(STPP!$F$6:$F$4207,MATCH(C1939,STPP!$C$6:$C$4207,0)),"Not Found"))</f>
        <v/>
      </c>
      <c r="G1939" s="25" t="str">
        <f>IF(表1[[#This Row],[No Seri]]="","",表1[[#This Row],[Deskripsi Barang]]+表1[[#This Row],[Kuantitas]]-表1[[#This Row],[Satuan]])</f>
        <v/>
      </c>
      <c r="H1939" s="28"/>
      <c r="I1939" s="25" t="str">
        <f>IF(表1[[#This Row],[Tgl NPBG]]&gt;表1[[#This Row],[Peminta]],表1[[#This Row],[Tgl NPBG]]-表1[[#This Row],[Peminta]],"")</f>
        <v/>
      </c>
      <c r="J1939" s="31"/>
    </row>
    <row r="1940" s="12" customFormat="1" customHeight="1" spans="2:10">
      <c r="B1940" s="25"/>
      <c r="C1940" s="25"/>
      <c r="D1940" s="26" t="str" cm="1">
        <f t="array" ref="D1940">IF(C1940="","",IFERROR(INDEX(STPP!$D$6:$D$4207,MATCH(C1940,STPP!$C$6:$C$4207,0)),"Not Found"))</f>
        <v/>
      </c>
      <c r="E1940" s="27" t="str" cm="1">
        <f t="array" ref="E1940">IF(C1940="","",IFERROR(INDEX(STPP!$E$6:$E$4207,MATCH(C1940,STPP!$C$6:$C$4207,0)),"Not Found"))</f>
        <v/>
      </c>
      <c r="F1940" s="27" t="str" cm="1">
        <f t="array" ref="F1940">IF(C1940="","",IFERROR(INDEX(STPP!$F$6:$F$4207,MATCH(C1940,STPP!$C$6:$C$4207,0)),"Not Found"))</f>
        <v/>
      </c>
      <c r="G1940" s="25" t="str">
        <f>IF(表1[[#This Row],[No Seri]]="","",表1[[#This Row],[Deskripsi Barang]]+表1[[#This Row],[Kuantitas]]-表1[[#This Row],[Satuan]])</f>
        <v/>
      </c>
      <c r="H1940" s="28"/>
      <c r="I1940" s="25" t="str">
        <f>IF(表1[[#This Row],[Tgl NPBG]]&gt;表1[[#This Row],[Peminta]],表1[[#This Row],[Tgl NPBG]]-表1[[#This Row],[Peminta]],"")</f>
        <v/>
      </c>
      <c r="J1940" s="31"/>
    </row>
    <row r="1941" s="12" customFormat="1" customHeight="1" spans="2:10">
      <c r="B1941" s="25"/>
      <c r="C1941" s="25"/>
      <c r="D1941" s="26" t="str" cm="1">
        <f t="array" ref="D1941">IF(C1941="","",IFERROR(INDEX(STPP!$D$6:$D$4207,MATCH(C1941,STPP!$C$6:$C$4207,0)),"Not Found"))</f>
        <v/>
      </c>
      <c r="E1941" s="27" t="str" cm="1">
        <f t="array" ref="E1941">IF(C1941="","",IFERROR(INDEX(STPP!$E$6:$E$4207,MATCH(C1941,STPP!$C$6:$C$4207,0)),"Not Found"))</f>
        <v/>
      </c>
      <c r="F1941" s="27" t="str" cm="1">
        <f t="array" ref="F1941">IF(C1941="","",IFERROR(INDEX(STPP!$F$6:$F$4207,MATCH(C1941,STPP!$C$6:$C$4207,0)),"Not Found"))</f>
        <v/>
      </c>
      <c r="G1941" s="25" t="str">
        <f>IF(表1[[#This Row],[No Seri]]="","",表1[[#This Row],[Deskripsi Barang]]+表1[[#This Row],[Kuantitas]]-表1[[#This Row],[Satuan]])</f>
        <v/>
      </c>
      <c r="H1941" s="28"/>
      <c r="I1941" s="25" t="str">
        <f>IF(表1[[#This Row],[Tgl NPBG]]&gt;表1[[#This Row],[Peminta]],表1[[#This Row],[Tgl NPBG]]-表1[[#This Row],[Peminta]],"")</f>
        <v/>
      </c>
      <c r="J1941" s="31"/>
    </row>
    <row r="1942" s="12" customFormat="1" customHeight="1" spans="2:10">
      <c r="B1942" s="25"/>
      <c r="C1942" s="25"/>
      <c r="D1942" s="26" t="str" cm="1">
        <f t="array" ref="D1942">IF(C1942="","",IFERROR(INDEX(STPP!$D$6:$D$4207,MATCH(C1942,STPP!$C$6:$C$4207,0)),"Not Found"))</f>
        <v/>
      </c>
      <c r="E1942" s="27" t="str" cm="1">
        <f t="array" ref="E1942">IF(C1942="","",IFERROR(INDEX(STPP!$E$6:$E$4207,MATCH(C1942,STPP!$C$6:$C$4207,0)),"Not Found"))</f>
        <v/>
      </c>
      <c r="F1942" s="27" t="str" cm="1">
        <f t="array" ref="F1942">IF(C1942="","",IFERROR(INDEX(STPP!$F$6:$F$4207,MATCH(C1942,STPP!$C$6:$C$4207,0)),"Not Found"))</f>
        <v/>
      </c>
      <c r="G1942" s="25" t="str">
        <f>IF(表1[[#This Row],[No Seri]]="","",表1[[#This Row],[Deskripsi Barang]]+表1[[#This Row],[Kuantitas]]-表1[[#This Row],[Satuan]])</f>
        <v/>
      </c>
      <c r="H1942" s="28"/>
      <c r="I1942" s="25" t="str">
        <f>IF(表1[[#This Row],[Tgl NPBG]]&gt;表1[[#This Row],[Peminta]],表1[[#This Row],[Tgl NPBG]]-表1[[#This Row],[Peminta]],"")</f>
        <v/>
      </c>
      <c r="J1942" s="31"/>
    </row>
    <row r="1943" s="12" customFormat="1" customHeight="1" spans="2:10">
      <c r="B1943" s="25"/>
      <c r="C1943" s="25"/>
      <c r="D1943" s="26" t="str" cm="1">
        <f t="array" ref="D1943">IF(C1943="","",IFERROR(INDEX(STPP!$D$6:$D$4207,MATCH(C1943,STPP!$C$6:$C$4207,0)),"Not Found"))</f>
        <v/>
      </c>
      <c r="E1943" s="27" t="str" cm="1">
        <f t="array" ref="E1943">IF(C1943="","",IFERROR(INDEX(STPP!$E$6:$E$4207,MATCH(C1943,STPP!$C$6:$C$4207,0)),"Not Found"))</f>
        <v/>
      </c>
      <c r="F1943" s="27" t="str" cm="1">
        <f t="array" ref="F1943">IF(C1943="","",IFERROR(INDEX(STPP!$F$6:$F$4207,MATCH(C1943,STPP!$C$6:$C$4207,0)),"Not Found"))</f>
        <v/>
      </c>
      <c r="G1943" s="25" t="str">
        <f>IF(表1[[#This Row],[No Seri]]="","",表1[[#This Row],[Deskripsi Barang]]+表1[[#This Row],[Kuantitas]]-表1[[#This Row],[Satuan]])</f>
        <v/>
      </c>
      <c r="H1943" s="28"/>
      <c r="I1943" s="25" t="str">
        <f>IF(表1[[#This Row],[Tgl NPBG]]&gt;表1[[#This Row],[Peminta]],表1[[#This Row],[Tgl NPBG]]-表1[[#This Row],[Peminta]],"")</f>
        <v/>
      </c>
      <c r="J1943" s="31"/>
    </row>
    <row r="1944" s="12" customFormat="1" customHeight="1" spans="2:10">
      <c r="B1944" s="25"/>
      <c r="C1944" s="25"/>
      <c r="D1944" s="26" t="str" cm="1">
        <f t="array" ref="D1944">IF(C1944="","",IFERROR(INDEX(STPP!$D$6:$D$4207,MATCH(C1944,STPP!$C$6:$C$4207,0)),"Not Found"))</f>
        <v/>
      </c>
      <c r="E1944" s="27" t="str" cm="1">
        <f t="array" ref="E1944">IF(C1944="","",IFERROR(INDEX(STPP!$E$6:$E$4207,MATCH(C1944,STPP!$C$6:$C$4207,0)),"Not Found"))</f>
        <v/>
      </c>
      <c r="F1944" s="27" t="str" cm="1">
        <f t="array" ref="F1944">IF(C1944="","",IFERROR(INDEX(STPP!$F$6:$F$4207,MATCH(C1944,STPP!$C$6:$C$4207,0)),"Not Found"))</f>
        <v/>
      </c>
      <c r="G1944" s="25" t="str">
        <f>IF(表1[[#This Row],[No Seri]]="","",表1[[#This Row],[Deskripsi Barang]]+表1[[#This Row],[Kuantitas]]-表1[[#This Row],[Satuan]])</f>
        <v/>
      </c>
      <c r="H1944" s="28"/>
      <c r="I1944" s="25" t="str">
        <f>IF(表1[[#This Row],[Tgl NPBG]]&gt;表1[[#This Row],[Peminta]],表1[[#This Row],[Tgl NPBG]]-表1[[#This Row],[Peminta]],"")</f>
        <v/>
      </c>
      <c r="J1944" s="31"/>
    </row>
    <row r="1945" s="12" customFormat="1" customHeight="1" spans="2:10">
      <c r="B1945" s="25"/>
      <c r="C1945" s="25"/>
      <c r="D1945" s="26" t="str" cm="1">
        <f t="array" ref="D1945">IF(C1945="","",IFERROR(INDEX(STPP!$D$6:$D$4207,MATCH(C1945,STPP!$C$6:$C$4207,0)),"Not Found"))</f>
        <v/>
      </c>
      <c r="E1945" s="27" t="str" cm="1">
        <f t="array" ref="E1945">IF(C1945="","",IFERROR(INDEX(STPP!$E$6:$E$4207,MATCH(C1945,STPP!$C$6:$C$4207,0)),"Not Found"))</f>
        <v/>
      </c>
      <c r="F1945" s="27" t="str" cm="1">
        <f t="array" ref="F1945">IF(C1945="","",IFERROR(INDEX(STPP!$F$6:$F$4207,MATCH(C1945,STPP!$C$6:$C$4207,0)),"Not Found"))</f>
        <v/>
      </c>
      <c r="G1945" s="25" t="str">
        <f>IF(表1[[#This Row],[No Seri]]="","",表1[[#This Row],[Deskripsi Barang]]+表1[[#This Row],[Kuantitas]]-表1[[#This Row],[Satuan]])</f>
        <v/>
      </c>
      <c r="H1945" s="28"/>
      <c r="I1945" s="25" t="str">
        <f>IF(表1[[#This Row],[Tgl NPBG]]&gt;表1[[#This Row],[Peminta]],表1[[#This Row],[Tgl NPBG]]-表1[[#This Row],[Peminta]],"")</f>
        <v/>
      </c>
      <c r="J1945" s="31"/>
    </row>
    <row r="1946" s="12" customFormat="1" customHeight="1" spans="2:10">
      <c r="B1946" s="25"/>
      <c r="C1946" s="25"/>
      <c r="D1946" s="26" t="str" cm="1">
        <f t="array" ref="D1946">IF(C1946="","",IFERROR(INDEX(STPP!$D$6:$D$4207,MATCH(C1946,STPP!$C$6:$C$4207,0)),"Not Found"))</f>
        <v/>
      </c>
      <c r="E1946" s="27" t="str" cm="1">
        <f t="array" ref="E1946">IF(C1946="","",IFERROR(INDEX(STPP!$E$6:$E$4207,MATCH(C1946,STPP!$C$6:$C$4207,0)),"Not Found"))</f>
        <v/>
      </c>
      <c r="F1946" s="27" t="str" cm="1">
        <f t="array" ref="F1946">IF(C1946="","",IFERROR(INDEX(STPP!$F$6:$F$4207,MATCH(C1946,STPP!$C$6:$C$4207,0)),"Not Found"))</f>
        <v/>
      </c>
      <c r="G1946" s="25" t="str">
        <f>IF(表1[[#This Row],[No Seri]]="","",表1[[#This Row],[Deskripsi Barang]]+表1[[#This Row],[Kuantitas]]-表1[[#This Row],[Satuan]])</f>
        <v/>
      </c>
      <c r="H1946" s="28"/>
      <c r="I1946" s="25" t="str">
        <f>IF(表1[[#This Row],[Tgl NPBG]]&gt;表1[[#This Row],[Peminta]],表1[[#This Row],[Tgl NPBG]]-表1[[#This Row],[Peminta]],"")</f>
        <v/>
      </c>
      <c r="J1946" s="31"/>
    </row>
    <row r="1947" s="12" customFormat="1" customHeight="1" spans="2:10">
      <c r="B1947" s="25"/>
      <c r="C1947" s="25"/>
      <c r="D1947" s="26" t="str" cm="1">
        <f t="array" ref="D1947">IF(C1947="","",IFERROR(INDEX(STPP!$D$6:$D$4207,MATCH(C1947,STPP!$C$6:$C$4207,0)),"Not Found"))</f>
        <v/>
      </c>
      <c r="E1947" s="27" t="str" cm="1">
        <f t="array" ref="E1947">IF(C1947="","",IFERROR(INDEX(STPP!$E$6:$E$4207,MATCH(C1947,STPP!$C$6:$C$4207,0)),"Not Found"))</f>
        <v/>
      </c>
      <c r="F1947" s="27" t="str" cm="1">
        <f t="array" ref="F1947">IF(C1947="","",IFERROR(INDEX(STPP!$F$6:$F$4207,MATCH(C1947,STPP!$C$6:$C$4207,0)),"Not Found"))</f>
        <v/>
      </c>
      <c r="G1947" s="25" t="str">
        <f>IF(表1[[#This Row],[No Seri]]="","",表1[[#This Row],[Deskripsi Barang]]+表1[[#This Row],[Kuantitas]]-表1[[#This Row],[Satuan]])</f>
        <v/>
      </c>
      <c r="H1947" s="28"/>
      <c r="I1947" s="25" t="str">
        <f>IF(表1[[#This Row],[Tgl NPBG]]&gt;表1[[#This Row],[Peminta]],表1[[#This Row],[Tgl NPBG]]-表1[[#This Row],[Peminta]],"")</f>
        <v/>
      </c>
      <c r="J1947" s="31"/>
    </row>
    <row r="1948" s="12" customFormat="1" customHeight="1" spans="2:10">
      <c r="B1948" s="25"/>
      <c r="C1948" s="25"/>
      <c r="D1948" s="26" t="str" cm="1">
        <f t="array" ref="D1948">IF(C1948="","",IFERROR(INDEX(STPP!$D$6:$D$4207,MATCH(C1948,STPP!$C$6:$C$4207,0)),"Not Found"))</f>
        <v/>
      </c>
      <c r="E1948" s="27" t="str" cm="1">
        <f t="array" ref="E1948">IF(C1948="","",IFERROR(INDEX(STPP!$E$6:$E$4207,MATCH(C1948,STPP!$C$6:$C$4207,0)),"Not Found"))</f>
        <v/>
      </c>
      <c r="F1948" s="27" t="str" cm="1">
        <f t="array" ref="F1948">IF(C1948="","",IFERROR(INDEX(STPP!$F$6:$F$4207,MATCH(C1948,STPP!$C$6:$C$4207,0)),"Not Found"))</f>
        <v/>
      </c>
      <c r="G1948" s="25" t="str">
        <f>IF(表1[[#This Row],[No Seri]]="","",表1[[#This Row],[Deskripsi Barang]]+表1[[#This Row],[Kuantitas]]-表1[[#This Row],[Satuan]])</f>
        <v/>
      </c>
      <c r="H1948" s="28"/>
      <c r="I1948" s="25" t="str">
        <f>IF(表1[[#This Row],[Tgl NPBG]]&gt;表1[[#This Row],[Peminta]],表1[[#This Row],[Tgl NPBG]]-表1[[#This Row],[Peminta]],"")</f>
        <v/>
      </c>
      <c r="J1948" s="31"/>
    </row>
    <row r="1949" s="12" customFormat="1" customHeight="1" spans="2:10">
      <c r="B1949" s="25"/>
      <c r="C1949" s="25"/>
      <c r="D1949" s="26" t="str" cm="1">
        <f t="array" ref="D1949">IF(C1949="","",IFERROR(INDEX(STPP!$D$6:$D$4207,MATCH(C1949,STPP!$C$6:$C$4207,0)),"Not Found"))</f>
        <v/>
      </c>
      <c r="E1949" s="27" t="str" cm="1">
        <f t="array" ref="E1949">IF(C1949="","",IFERROR(INDEX(STPP!$E$6:$E$4207,MATCH(C1949,STPP!$C$6:$C$4207,0)),"Not Found"))</f>
        <v/>
      </c>
      <c r="F1949" s="27" t="str" cm="1">
        <f t="array" ref="F1949">IF(C1949="","",IFERROR(INDEX(STPP!$F$6:$F$4207,MATCH(C1949,STPP!$C$6:$C$4207,0)),"Not Found"))</f>
        <v/>
      </c>
      <c r="G1949" s="25" t="str">
        <f>IF(表1[[#This Row],[No Seri]]="","",表1[[#This Row],[Deskripsi Barang]]+表1[[#This Row],[Kuantitas]]-表1[[#This Row],[Satuan]])</f>
        <v/>
      </c>
      <c r="H1949" s="28"/>
      <c r="I1949" s="25" t="str">
        <f>IF(表1[[#This Row],[Tgl NPBG]]&gt;表1[[#This Row],[Peminta]],表1[[#This Row],[Tgl NPBG]]-表1[[#This Row],[Peminta]],"")</f>
        <v/>
      </c>
      <c r="J1949" s="31"/>
    </row>
    <row r="1950" s="12" customFormat="1" customHeight="1" spans="2:10">
      <c r="B1950" s="25"/>
      <c r="C1950" s="25"/>
      <c r="D1950" s="26" t="str" cm="1">
        <f t="array" ref="D1950">IF(C1950="","",IFERROR(INDEX(STPP!$D$6:$D$4207,MATCH(C1950,STPP!$C$6:$C$4207,0)),"Not Found"))</f>
        <v/>
      </c>
      <c r="E1950" s="27" t="str" cm="1">
        <f t="array" ref="E1950">IF(C1950="","",IFERROR(INDEX(STPP!$E$6:$E$4207,MATCH(C1950,STPP!$C$6:$C$4207,0)),"Not Found"))</f>
        <v/>
      </c>
      <c r="F1950" s="27" t="str" cm="1">
        <f t="array" ref="F1950">IF(C1950="","",IFERROR(INDEX(STPP!$F$6:$F$4207,MATCH(C1950,STPP!$C$6:$C$4207,0)),"Not Found"))</f>
        <v/>
      </c>
      <c r="G1950" s="25" t="str">
        <f>IF(表1[[#This Row],[No Seri]]="","",表1[[#This Row],[Deskripsi Barang]]+表1[[#This Row],[Kuantitas]]-表1[[#This Row],[Satuan]])</f>
        <v/>
      </c>
      <c r="H1950" s="28"/>
      <c r="I1950" s="25" t="str">
        <f>IF(表1[[#This Row],[Tgl NPBG]]&gt;表1[[#This Row],[Peminta]],表1[[#This Row],[Tgl NPBG]]-表1[[#This Row],[Peminta]],"")</f>
        <v/>
      </c>
      <c r="J1950" s="31"/>
    </row>
    <row r="1951" s="12" customFormat="1" customHeight="1" spans="2:10">
      <c r="B1951" s="25"/>
      <c r="C1951" s="25"/>
      <c r="D1951" s="26" t="str" cm="1">
        <f t="array" ref="D1951">IF(C1951="","",IFERROR(INDEX(STPP!$D$6:$D$4207,MATCH(C1951,STPP!$C$6:$C$4207,0)),"Not Found"))</f>
        <v/>
      </c>
      <c r="E1951" s="27" t="str" cm="1">
        <f t="array" ref="E1951">IF(C1951="","",IFERROR(INDEX(STPP!$E$6:$E$4207,MATCH(C1951,STPP!$C$6:$C$4207,0)),"Not Found"))</f>
        <v/>
      </c>
      <c r="F1951" s="27" t="str" cm="1">
        <f t="array" ref="F1951">IF(C1951="","",IFERROR(INDEX(STPP!$F$6:$F$4207,MATCH(C1951,STPP!$C$6:$C$4207,0)),"Not Found"))</f>
        <v/>
      </c>
      <c r="G1951" s="25" t="str">
        <f>IF(表1[[#This Row],[No Seri]]="","",表1[[#This Row],[Deskripsi Barang]]+表1[[#This Row],[Kuantitas]]-表1[[#This Row],[Satuan]])</f>
        <v/>
      </c>
      <c r="H1951" s="28"/>
      <c r="I1951" s="25" t="str">
        <f>IF(表1[[#This Row],[Tgl NPBG]]&gt;表1[[#This Row],[Peminta]],表1[[#This Row],[Tgl NPBG]]-表1[[#This Row],[Peminta]],"")</f>
        <v/>
      </c>
      <c r="J1951" s="31"/>
    </row>
    <row r="1952" s="12" customFormat="1" customHeight="1" spans="2:10">
      <c r="B1952" s="25"/>
      <c r="C1952" s="25"/>
      <c r="D1952" s="26" t="str" cm="1">
        <f t="array" ref="D1952">IF(C1952="","",IFERROR(INDEX(STPP!$D$6:$D$4207,MATCH(C1952,STPP!$C$6:$C$4207,0)),"Not Found"))</f>
        <v/>
      </c>
      <c r="E1952" s="27" t="str" cm="1">
        <f t="array" ref="E1952">IF(C1952="","",IFERROR(INDEX(STPP!$E$6:$E$4207,MATCH(C1952,STPP!$C$6:$C$4207,0)),"Not Found"))</f>
        <v/>
      </c>
      <c r="F1952" s="27" t="str" cm="1">
        <f t="array" ref="F1952">IF(C1952="","",IFERROR(INDEX(STPP!$F$6:$F$4207,MATCH(C1952,STPP!$C$6:$C$4207,0)),"Not Found"))</f>
        <v/>
      </c>
      <c r="G1952" s="25" t="str">
        <f>IF(表1[[#This Row],[No Seri]]="","",表1[[#This Row],[Deskripsi Barang]]+表1[[#This Row],[Kuantitas]]-表1[[#This Row],[Satuan]])</f>
        <v/>
      </c>
      <c r="H1952" s="28"/>
      <c r="I1952" s="25" t="str">
        <f>IF(表1[[#This Row],[Tgl NPBG]]&gt;表1[[#This Row],[Peminta]],表1[[#This Row],[Tgl NPBG]]-表1[[#This Row],[Peminta]],"")</f>
        <v/>
      </c>
      <c r="J1952" s="31"/>
    </row>
    <row r="1953" s="12" customFormat="1" customHeight="1" spans="2:10">
      <c r="B1953" s="25"/>
      <c r="C1953" s="25"/>
      <c r="D1953" s="26" t="str" cm="1">
        <f t="array" ref="D1953">IF(C1953="","",IFERROR(INDEX(STPP!$D$6:$D$4207,MATCH(C1953,STPP!$C$6:$C$4207,0)),"Not Found"))</f>
        <v/>
      </c>
      <c r="E1953" s="27" t="str" cm="1">
        <f t="array" ref="E1953">IF(C1953="","",IFERROR(INDEX(STPP!$E$6:$E$4207,MATCH(C1953,STPP!$C$6:$C$4207,0)),"Not Found"))</f>
        <v/>
      </c>
      <c r="F1953" s="27" t="str" cm="1">
        <f t="array" ref="F1953">IF(C1953="","",IFERROR(INDEX(STPP!$F$6:$F$4207,MATCH(C1953,STPP!$C$6:$C$4207,0)),"Not Found"))</f>
        <v/>
      </c>
      <c r="G1953" s="25" t="str">
        <f>IF(表1[[#This Row],[No Seri]]="","",表1[[#This Row],[Deskripsi Barang]]+表1[[#This Row],[Kuantitas]]-表1[[#This Row],[Satuan]])</f>
        <v/>
      </c>
      <c r="H1953" s="28"/>
      <c r="I1953" s="25" t="str">
        <f>IF(表1[[#This Row],[Tgl NPBG]]&gt;表1[[#This Row],[Peminta]],表1[[#This Row],[Tgl NPBG]]-表1[[#This Row],[Peminta]],"")</f>
        <v/>
      </c>
      <c r="J1953" s="31"/>
    </row>
    <row r="1954" s="12" customFormat="1" customHeight="1" spans="2:10">
      <c r="B1954" s="25"/>
      <c r="C1954" s="25"/>
      <c r="D1954" s="26" t="str" cm="1">
        <f t="array" ref="D1954">IF(C1954="","",IFERROR(INDEX(STPP!$D$6:$D$4207,MATCH(C1954,STPP!$C$6:$C$4207,0)),"Not Found"))</f>
        <v/>
      </c>
      <c r="E1954" s="27" t="str" cm="1">
        <f t="array" ref="E1954">IF(C1954="","",IFERROR(INDEX(STPP!$E$6:$E$4207,MATCH(C1954,STPP!$C$6:$C$4207,0)),"Not Found"))</f>
        <v/>
      </c>
      <c r="F1954" s="27" t="str" cm="1">
        <f t="array" ref="F1954">IF(C1954="","",IFERROR(INDEX(STPP!$F$6:$F$4207,MATCH(C1954,STPP!$C$6:$C$4207,0)),"Not Found"))</f>
        <v/>
      </c>
      <c r="G1954" s="25" t="str">
        <f>IF(表1[[#This Row],[No Seri]]="","",表1[[#This Row],[Deskripsi Barang]]+表1[[#This Row],[Kuantitas]]-表1[[#This Row],[Satuan]])</f>
        <v/>
      </c>
      <c r="H1954" s="28"/>
      <c r="I1954" s="25" t="str">
        <f>IF(表1[[#This Row],[Tgl NPBG]]&gt;表1[[#This Row],[Peminta]],表1[[#This Row],[Tgl NPBG]]-表1[[#This Row],[Peminta]],"")</f>
        <v/>
      </c>
      <c r="J1954" s="31"/>
    </row>
    <row r="1955" s="12" customFormat="1" customHeight="1" spans="2:10">
      <c r="B1955" s="25"/>
      <c r="C1955" s="25"/>
      <c r="D1955" s="26" t="str" cm="1">
        <f t="array" ref="D1955">IF(C1955="","",IFERROR(INDEX(STPP!$D$6:$D$4207,MATCH(C1955,STPP!$C$6:$C$4207,0)),"Not Found"))</f>
        <v/>
      </c>
      <c r="E1955" s="27" t="str" cm="1">
        <f t="array" ref="E1955">IF(C1955="","",IFERROR(INDEX(STPP!$E$6:$E$4207,MATCH(C1955,STPP!$C$6:$C$4207,0)),"Not Found"))</f>
        <v/>
      </c>
      <c r="F1955" s="27" t="str" cm="1">
        <f t="array" ref="F1955">IF(C1955="","",IFERROR(INDEX(STPP!$F$6:$F$4207,MATCH(C1955,STPP!$C$6:$C$4207,0)),"Not Found"))</f>
        <v/>
      </c>
      <c r="G1955" s="25" t="str">
        <f>IF(表1[[#This Row],[No Seri]]="","",表1[[#This Row],[Deskripsi Barang]]+表1[[#This Row],[Kuantitas]]-表1[[#This Row],[Satuan]])</f>
        <v/>
      </c>
      <c r="H1955" s="28"/>
      <c r="I1955" s="25" t="str">
        <f>IF(表1[[#This Row],[Tgl NPBG]]&gt;表1[[#This Row],[Peminta]],表1[[#This Row],[Tgl NPBG]]-表1[[#This Row],[Peminta]],"")</f>
        <v/>
      </c>
      <c r="J1955" s="31"/>
    </row>
    <row r="1956" s="12" customFormat="1" customHeight="1" spans="2:10">
      <c r="B1956" s="25"/>
      <c r="C1956" s="25"/>
      <c r="D1956" s="26" t="str" cm="1">
        <f t="array" ref="D1956">IF(C1956="","",IFERROR(INDEX(STPP!$D$6:$D$4207,MATCH(C1956,STPP!$C$6:$C$4207,0)),"Not Found"))</f>
        <v/>
      </c>
      <c r="E1956" s="27" t="str" cm="1">
        <f t="array" ref="E1956">IF(C1956="","",IFERROR(INDEX(STPP!$E$6:$E$4207,MATCH(C1956,STPP!$C$6:$C$4207,0)),"Not Found"))</f>
        <v/>
      </c>
      <c r="F1956" s="27" t="str" cm="1">
        <f t="array" ref="F1956">IF(C1956="","",IFERROR(INDEX(STPP!$F$6:$F$4207,MATCH(C1956,STPP!$C$6:$C$4207,0)),"Not Found"))</f>
        <v/>
      </c>
      <c r="G1956" s="25" t="str">
        <f>IF(表1[[#This Row],[No Seri]]="","",表1[[#This Row],[Deskripsi Barang]]+表1[[#This Row],[Kuantitas]]-表1[[#This Row],[Satuan]])</f>
        <v/>
      </c>
      <c r="H1956" s="28"/>
      <c r="I1956" s="25" t="str">
        <f>IF(表1[[#This Row],[Tgl NPBG]]&gt;表1[[#This Row],[Peminta]],表1[[#This Row],[Tgl NPBG]]-表1[[#This Row],[Peminta]],"")</f>
        <v/>
      </c>
      <c r="J1956" s="31"/>
    </row>
    <row r="1957" s="12" customFormat="1" customHeight="1" spans="2:10">
      <c r="B1957" s="25"/>
      <c r="C1957" s="25"/>
      <c r="D1957" s="26" t="str" cm="1">
        <f t="array" ref="D1957">IF(C1957="","",IFERROR(INDEX(STPP!$D$6:$D$4207,MATCH(C1957,STPP!$C$6:$C$4207,0)),"Not Found"))</f>
        <v/>
      </c>
      <c r="E1957" s="27" t="str" cm="1">
        <f t="array" ref="E1957">IF(C1957="","",IFERROR(INDEX(STPP!$E$6:$E$4207,MATCH(C1957,STPP!$C$6:$C$4207,0)),"Not Found"))</f>
        <v/>
      </c>
      <c r="F1957" s="27" t="str" cm="1">
        <f t="array" ref="F1957">IF(C1957="","",IFERROR(INDEX(STPP!$F$6:$F$4207,MATCH(C1957,STPP!$C$6:$C$4207,0)),"Not Found"))</f>
        <v/>
      </c>
      <c r="G1957" s="25" t="str">
        <f>IF(表1[[#This Row],[No Seri]]="","",表1[[#This Row],[Deskripsi Barang]]+表1[[#This Row],[Kuantitas]]-表1[[#This Row],[Satuan]])</f>
        <v/>
      </c>
      <c r="H1957" s="28"/>
      <c r="I1957" s="25" t="str">
        <f>IF(表1[[#This Row],[Tgl NPBG]]&gt;表1[[#This Row],[Peminta]],表1[[#This Row],[Tgl NPBG]]-表1[[#This Row],[Peminta]],"")</f>
        <v/>
      </c>
      <c r="J1957" s="31"/>
    </row>
    <row r="1958" s="12" customFormat="1" customHeight="1" spans="2:10">
      <c r="B1958" s="25"/>
      <c r="C1958" s="25"/>
      <c r="D1958" s="26" t="str" cm="1">
        <f t="array" ref="D1958">IF(C1958="","",IFERROR(INDEX(STPP!$D$6:$D$4207,MATCH(C1958,STPP!$C$6:$C$4207,0)),"Not Found"))</f>
        <v/>
      </c>
      <c r="E1958" s="27" t="str" cm="1">
        <f t="array" ref="E1958">IF(C1958="","",IFERROR(INDEX(STPP!$E$6:$E$4207,MATCH(C1958,STPP!$C$6:$C$4207,0)),"Not Found"))</f>
        <v/>
      </c>
      <c r="F1958" s="27" t="str" cm="1">
        <f t="array" ref="F1958">IF(C1958="","",IFERROR(INDEX(STPP!$F$6:$F$4207,MATCH(C1958,STPP!$C$6:$C$4207,0)),"Not Found"))</f>
        <v/>
      </c>
      <c r="G1958" s="25" t="str">
        <f>IF(表1[[#This Row],[No Seri]]="","",表1[[#This Row],[Deskripsi Barang]]+表1[[#This Row],[Kuantitas]]-表1[[#This Row],[Satuan]])</f>
        <v/>
      </c>
      <c r="H1958" s="28"/>
      <c r="I1958" s="25" t="str">
        <f>IF(表1[[#This Row],[Tgl NPBG]]&gt;表1[[#This Row],[Peminta]],表1[[#This Row],[Tgl NPBG]]-表1[[#This Row],[Peminta]],"")</f>
        <v/>
      </c>
      <c r="J1958" s="31"/>
    </row>
    <row r="1959" s="12" customFormat="1" customHeight="1" spans="2:10">
      <c r="B1959" s="25"/>
      <c r="C1959" s="25"/>
      <c r="D1959" s="26" t="str" cm="1">
        <f t="array" ref="D1959">IF(C1959="","",IFERROR(INDEX(STPP!$D$6:$D$4207,MATCH(C1959,STPP!$C$6:$C$4207,0)),"Not Found"))</f>
        <v/>
      </c>
      <c r="E1959" s="27" t="str" cm="1">
        <f t="array" ref="E1959">IF(C1959="","",IFERROR(INDEX(STPP!$E$6:$E$4207,MATCH(C1959,STPP!$C$6:$C$4207,0)),"Not Found"))</f>
        <v/>
      </c>
      <c r="F1959" s="27" t="str" cm="1">
        <f t="array" ref="F1959">IF(C1959="","",IFERROR(INDEX(STPP!$F$6:$F$4207,MATCH(C1959,STPP!$C$6:$C$4207,0)),"Not Found"))</f>
        <v/>
      </c>
      <c r="G1959" s="25" t="str">
        <f>IF(表1[[#This Row],[No Seri]]="","",表1[[#This Row],[Deskripsi Barang]]+表1[[#This Row],[Kuantitas]]-表1[[#This Row],[Satuan]])</f>
        <v/>
      </c>
      <c r="H1959" s="28"/>
      <c r="I1959" s="25" t="str">
        <f>IF(表1[[#This Row],[Tgl NPBG]]&gt;表1[[#This Row],[Peminta]],表1[[#This Row],[Tgl NPBG]]-表1[[#This Row],[Peminta]],"")</f>
        <v/>
      </c>
      <c r="J1959" s="31"/>
    </row>
    <row r="1960" s="12" customFormat="1" customHeight="1" spans="2:10">
      <c r="B1960" s="25"/>
      <c r="C1960" s="25"/>
      <c r="D1960" s="26" t="str" cm="1">
        <f t="array" ref="D1960">IF(C1960="","",IFERROR(INDEX(STPP!$D$6:$D$4207,MATCH(C1960,STPP!$C$6:$C$4207,0)),"Not Found"))</f>
        <v/>
      </c>
      <c r="E1960" s="27" t="str" cm="1">
        <f t="array" ref="E1960">IF(C1960="","",IFERROR(INDEX(STPP!$E$6:$E$4207,MATCH(C1960,STPP!$C$6:$C$4207,0)),"Not Found"))</f>
        <v/>
      </c>
      <c r="F1960" s="27" t="str" cm="1">
        <f t="array" ref="F1960">IF(C1960="","",IFERROR(INDEX(STPP!$F$6:$F$4207,MATCH(C1960,STPP!$C$6:$C$4207,0)),"Not Found"))</f>
        <v/>
      </c>
      <c r="G1960" s="25" t="str">
        <f>IF(表1[[#This Row],[No Seri]]="","",表1[[#This Row],[Deskripsi Barang]]+表1[[#This Row],[Kuantitas]]-表1[[#This Row],[Satuan]])</f>
        <v/>
      </c>
      <c r="H1960" s="28"/>
      <c r="I1960" s="25" t="str">
        <f>IF(表1[[#This Row],[Tgl NPBG]]&gt;表1[[#This Row],[Peminta]],表1[[#This Row],[Tgl NPBG]]-表1[[#This Row],[Peminta]],"")</f>
        <v/>
      </c>
      <c r="J1960" s="31"/>
    </row>
    <row r="1961" s="12" customFormat="1" customHeight="1" spans="2:10">
      <c r="B1961" s="25"/>
      <c r="C1961" s="25"/>
      <c r="D1961" s="26" t="str" cm="1">
        <f t="array" ref="D1961">IF(C1961="","",IFERROR(INDEX(STPP!$D$6:$D$4207,MATCH(C1961,STPP!$C$6:$C$4207,0)),"Not Found"))</f>
        <v/>
      </c>
      <c r="E1961" s="27" t="str" cm="1">
        <f t="array" ref="E1961">IF(C1961="","",IFERROR(INDEX(STPP!$E$6:$E$4207,MATCH(C1961,STPP!$C$6:$C$4207,0)),"Not Found"))</f>
        <v/>
      </c>
      <c r="F1961" s="27" t="str" cm="1">
        <f t="array" ref="F1961">IF(C1961="","",IFERROR(INDEX(STPP!$F$6:$F$4207,MATCH(C1961,STPP!$C$6:$C$4207,0)),"Not Found"))</f>
        <v/>
      </c>
      <c r="G1961" s="25" t="str">
        <f>IF(表1[[#This Row],[No Seri]]="","",表1[[#This Row],[Deskripsi Barang]]+表1[[#This Row],[Kuantitas]]-表1[[#This Row],[Satuan]])</f>
        <v/>
      </c>
      <c r="H1961" s="28"/>
      <c r="I1961" s="25" t="str">
        <f>IF(表1[[#This Row],[Tgl NPBG]]&gt;表1[[#This Row],[Peminta]],表1[[#This Row],[Tgl NPBG]]-表1[[#This Row],[Peminta]],"")</f>
        <v/>
      </c>
      <c r="J1961" s="31"/>
    </row>
    <row r="1962" s="12" customFormat="1" customHeight="1" spans="2:10">
      <c r="B1962" s="25"/>
      <c r="C1962" s="25"/>
      <c r="D1962" s="26" t="str" cm="1">
        <f t="array" ref="D1962">IF(C1962="","",IFERROR(INDEX(STPP!$D$6:$D$4207,MATCH(C1962,STPP!$C$6:$C$4207,0)),"Not Found"))</f>
        <v/>
      </c>
      <c r="E1962" s="27" t="str" cm="1">
        <f t="array" ref="E1962">IF(C1962="","",IFERROR(INDEX(STPP!$E$6:$E$4207,MATCH(C1962,STPP!$C$6:$C$4207,0)),"Not Found"))</f>
        <v/>
      </c>
      <c r="F1962" s="27" t="str" cm="1">
        <f t="array" ref="F1962">IF(C1962="","",IFERROR(INDEX(STPP!$F$6:$F$4207,MATCH(C1962,STPP!$C$6:$C$4207,0)),"Not Found"))</f>
        <v/>
      </c>
      <c r="G1962" s="25" t="str">
        <f>IF(表1[[#This Row],[No Seri]]="","",表1[[#This Row],[Deskripsi Barang]]+表1[[#This Row],[Kuantitas]]-表1[[#This Row],[Satuan]])</f>
        <v/>
      </c>
      <c r="H1962" s="28"/>
      <c r="I1962" s="25" t="str">
        <f>IF(表1[[#This Row],[Tgl NPBG]]&gt;表1[[#This Row],[Peminta]],表1[[#This Row],[Tgl NPBG]]-表1[[#This Row],[Peminta]],"")</f>
        <v/>
      </c>
      <c r="J1962" s="31"/>
    </row>
    <row r="1963" s="12" customFormat="1" customHeight="1" spans="2:10">
      <c r="B1963" s="25"/>
      <c r="C1963" s="25"/>
      <c r="D1963" s="26" t="str" cm="1">
        <f t="array" ref="D1963">IF(C1963="","",IFERROR(INDEX(STPP!$D$6:$D$4207,MATCH(C1963,STPP!$C$6:$C$4207,0)),"Not Found"))</f>
        <v/>
      </c>
      <c r="E1963" s="27" t="str" cm="1">
        <f t="array" ref="E1963">IF(C1963="","",IFERROR(INDEX(STPP!$E$6:$E$4207,MATCH(C1963,STPP!$C$6:$C$4207,0)),"Not Found"))</f>
        <v/>
      </c>
      <c r="F1963" s="27" t="str" cm="1">
        <f t="array" ref="F1963">IF(C1963="","",IFERROR(INDEX(STPP!$F$6:$F$4207,MATCH(C1963,STPP!$C$6:$C$4207,0)),"Not Found"))</f>
        <v/>
      </c>
      <c r="G1963" s="25" t="str">
        <f>IF(表1[[#This Row],[No Seri]]="","",表1[[#This Row],[Deskripsi Barang]]+表1[[#This Row],[Kuantitas]]-表1[[#This Row],[Satuan]])</f>
        <v/>
      </c>
      <c r="H1963" s="28"/>
      <c r="I1963" s="25" t="str">
        <f>IF(表1[[#This Row],[Tgl NPBG]]&gt;表1[[#This Row],[Peminta]],表1[[#This Row],[Tgl NPBG]]-表1[[#This Row],[Peminta]],"")</f>
        <v/>
      </c>
      <c r="J1963" s="31"/>
    </row>
    <row r="1964" s="12" customFormat="1" customHeight="1" spans="2:10">
      <c r="B1964" s="25"/>
      <c r="C1964" s="25"/>
      <c r="D1964" s="26" t="str" cm="1">
        <f t="array" ref="D1964">IF(C1964="","",IFERROR(INDEX(STPP!$D$6:$D$4207,MATCH(C1964,STPP!$C$6:$C$4207,0)),"Not Found"))</f>
        <v/>
      </c>
      <c r="E1964" s="27" t="str" cm="1">
        <f t="array" ref="E1964">IF(C1964="","",IFERROR(INDEX(STPP!$E$6:$E$4207,MATCH(C1964,STPP!$C$6:$C$4207,0)),"Not Found"))</f>
        <v/>
      </c>
      <c r="F1964" s="27" t="str" cm="1">
        <f t="array" ref="F1964">IF(C1964="","",IFERROR(INDEX(STPP!$F$6:$F$4207,MATCH(C1964,STPP!$C$6:$C$4207,0)),"Not Found"))</f>
        <v/>
      </c>
      <c r="G1964" s="25" t="str">
        <f>IF(表1[[#This Row],[No Seri]]="","",表1[[#This Row],[Deskripsi Barang]]+表1[[#This Row],[Kuantitas]]-表1[[#This Row],[Satuan]])</f>
        <v/>
      </c>
      <c r="H1964" s="28"/>
      <c r="I1964" s="25" t="str">
        <f>IF(表1[[#This Row],[Tgl NPBG]]&gt;表1[[#This Row],[Peminta]],表1[[#This Row],[Tgl NPBG]]-表1[[#This Row],[Peminta]],"")</f>
        <v/>
      </c>
      <c r="J1964" s="31"/>
    </row>
    <row r="1965" s="12" customFormat="1" customHeight="1" spans="2:10">
      <c r="B1965" s="25"/>
      <c r="C1965" s="25"/>
      <c r="D1965" s="26" t="str" cm="1">
        <f t="array" ref="D1965">IF(C1965="","",IFERROR(INDEX(STPP!$D$6:$D$4207,MATCH(C1965,STPP!$C$6:$C$4207,0)),"Not Found"))</f>
        <v/>
      </c>
      <c r="E1965" s="27" t="str" cm="1">
        <f t="array" ref="E1965">IF(C1965="","",IFERROR(INDEX(STPP!$E$6:$E$4207,MATCH(C1965,STPP!$C$6:$C$4207,0)),"Not Found"))</f>
        <v/>
      </c>
      <c r="F1965" s="27" t="str" cm="1">
        <f t="array" ref="F1965">IF(C1965="","",IFERROR(INDEX(STPP!$F$6:$F$4207,MATCH(C1965,STPP!$C$6:$C$4207,0)),"Not Found"))</f>
        <v/>
      </c>
      <c r="G1965" s="25" t="str">
        <f>IF(表1[[#This Row],[No Seri]]="","",表1[[#This Row],[Deskripsi Barang]]+表1[[#This Row],[Kuantitas]]-表1[[#This Row],[Satuan]])</f>
        <v/>
      </c>
      <c r="H1965" s="28"/>
      <c r="I1965" s="25" t="str">
        <f>IF(表1[[#This Row],[Tgl NPBG]]&gt;表1[[#This Row],[Peminta]],表1[[#This Row],[Tgl NPBG]]-表1[[#This Row],[Peminta]],"")</f>
        <v/>
      </c>
      <c r="J1965" s="31"/>
    </row>
    <row r="1966" s="12" customFormat="1" customHeight="1" spans="2:10">
      <c r="B1966" s="25"/>
      <c r="C1966" s="25"/>
      <c r="D1966" s="26" t="str" cm="1">
        <f t="array" ref="D1966">IF(C1966="","",IFERROR(INDEX(STPP!$D$6:$D$4207,MATCH(C1966,STPP!$C$6:$C$4207,0)),"Not Found"))</f>
        <v/>
      </c>
      <c r="E1966" s="27" t="str" cm="1">
        <f t="array" ref="E1966">IF(C1966="","",IFERROR(INDEX(STPP!$E$6:$E$4207,MATCH(C1966,STPP!$C$6:$C$4207,0)),"Not Found"))</f>
        <v/>
      </c>
      <c r="F1966" s="27" t="str" cm="1">
        <f t="array" ref="F1966">IF(C1966="","",IFERROR(INDEX(STPP!$F$6:$F$4207,MATCH(C1966,STPP!$C$6:$C$4207,0)),"Not Found"))</f>
        <v/>
      </c>
      <c r="G1966" s="25" t="str">
        <f>IF(表1[[#This Row],[No Seri]]="","",表1[[#This Row],[Deskripsi Barang]]+表1[[#This Row],[Kuantitas]]-表1[[#This Row],[Satuan]])</f>
        <v/>
      </c>
      <c r="H1966" s="28"/>
      <c r="I1966" s="25" t="str">
        <f>IF(表1[[#This Row],[Tgl NPBG]]&gt;表1[[#This Row],[Peminta]],表1[[#This Row],[Tgl NPBG]]-表1[[#This Row],[Peminta]],"")</f>
        <v/>
      </c>
      <c r="J1966" s="31"/>
    </row>
    <row r="1967" s="12" customFormat="1" customHeight="1" spans="2:10">
      <c r="B1967" s="25"/>
      <c r="C1967" s="25"/>
      <c r="D1967" s="26" t="str" cm="1">
        <f t="array" ref="D1967">IF(C1967="","",IFERROR(INDEX(STPP!$D$6:$D$4207,MATCH(C1967,STPP!$C$6:$C$4207,0)),"Not Found"))</f>
        <v/>
      </c>
      <c r="E1967" s="27" t="str" cm="1">
        <f t="array" ref="E1967">IF(C1967="","",IFERROR(INDEX(STPP!$E$6:$E$4207,MATCH(C1967,STPP!$C$6:$C$4207,0)),"Not Found"))</f>
        <v/>
      </c>
      <c r="F1967" s="27" t="str" cm="1">
        <f t="array" ref="F1967">IF(C1967="","",IFERROR(INDEX(STPP!$F$6:$F$4207,MATCH(C1967,STPP!$C$6:$C$4207,0)),"Not Found"))</f>
        <v/>
      </c>
      <c r="G1967" s="25" t="str">
        <f>IF(表1[[#This Row],[No Seri]]="","",表1[[#This Row],[Deskripsi Barang]]+表1[[#This Row],[Kuantitas]]-表1[[#This Row],[Satuan]])</f>
        <v/>
      </c>
      <c r="H1967" s="28"/>
      <c r="I1967" s="25" t="str">
        <f>IF(表1[[#This Row],[Tgl NPBG]]&gt;表1[[#This Row],[Peminta]],表1[[#This Row],[Tgl NPBG]]-表1[[#This Row],[Peminta]],"")</f>
        <v/>
      </c>
      <c r="J1967" s="31"/>
    </row>
    <row r="1968" s="12" customFormat="1" customHeight="1" spans="2:10">
      <c r="B1968" s="25"/>
      <c r="C1968" s="25"/>
      <c r="D1968" s="26" t="str" cm="1">
        <f t="array" ref="D1968">IF(C1968="","",IFERROR(INDEX(STPP!$D$6:$D$4207,MATCH(C1968,STPP!$C$6:$C$4207,0)),"Not Found"))</f>
        <v/>
      </c>
      <c r="E1968" s="27" t="str" cm="1">
        <f t="array" ref="E1968">IF(C1968="","",IFERROR(INDEX(STPP!$E$6:$E$4207,MATCH(C1968,STPP!$C$6:$C$4207,0)),"Not Found"))</f>
        <v/>
      </c>
      <c r="F1968" s="27" t="str" cm="1">
        <f t="array" ref="F1968">IF(C1968="","",IFERROR(INDEX(STPP!$F$6:$F$4207,MATCH(C1968,STPP!$C$6:$C$4207,0)),"Not Found"))</f>
        <v/>
      </c>
      <c r="G1968" s="25" t="str">
        <f>IF(表1[[#This Row],[No Seri]]="","",表1[[#This Row],[Deskripsi Barang]]+表1[[#This Row],[Kuantitas]]-表1[[#This Row],[Satuan]])</f>
        <v/>
      </c>
      <c r="H1968" s="28"/>
      <c r="I1968" s="25" t="str">
        <f>IF(表1[[#This Row],[Tgl NPBG]]&gt;表1[[#This Row],[Peminta]],表1[[#This Row],[Tgl NPBG]]-表1[[#This Row],[Peminta]],"")</f>
        <v/>
      </c>
      <c r="J1968" s="31"/>
    </row>
    <row r="1969" s="12" customFormat="1" customHeight="1" spans="2:10">
      <c r="B1969" s="25"/>
      <c r="C1969" s="25"/>
      <c r="D1969" s="26" t="str" cm="1">
        <f t="array" ref="D1969">IF(C1969="","",IFERROR(INDEX(STPP!$D$6:$D$4207,MATCH(C1969,STPP!$C$6:$C$4207,0)),"Not Found"))</f>
        <v/>
      </c>
      <c r="E1969" s="27" t="str" cm="1">
        <f t="array" ref="E1969">IF(C1969="","",IFERROR(INDEX(STPP!$E$6:$E$4207,MATCH(C1969,STPP!$C$6:$C$4207,0)),"Not Found"))</f>
        <v/>
      </c>
      <c r="F1969" s="27" t="str" cm="1">
        <f t="array" ref="F1969">IF(C1969="","",IFERROR(INDEX(STPP!$F$6:$F$4207,MATCH(C1969,STPP!$C$6:$C$4207,0)),"Not Found"))</f>
        <v/>
      </c>
      <c r="G1969" s="25" t="str">
        <f>IF(表1[[#This Row],[No Seri]]="","",表1[[#This Row],[Deskripsi Barang]]+表1[[#This Row],[Kuantitas]]-表1[[#This Row],[Satuan]])</f>
        <v/>
      </c>
      <c r="H1969" s="28"/>
      <c r="I1969" s="25" t="str">
        <f>IF(表1[[#This Row],[Tgl NPBG]]&gt;表1[[#This Row],[Peminta]],表1[[#This Row],[Tgl NPBG]]-表1[[#This Row],[Peminta]],"")</f>
        <v/>
      </c>
      <c r="J1969" s="31"/>
    </row>
    <row r="1970" s="12" customFormat="1" customHeight="1" spans="2:10">
      <c r="B1970" s="25"/>
      <c r="C1970" s="25"/>
      <c r="D1970" s="26" t="str" cm="1">
        <f t="array" ref="D1970">IF(C1970="","",IFERROR(INDEX(STPP!$D$6:$D$4207,MATCH(C1970,STPP!$C$6:$C$4207,0)),"Not Found"))</f>
        <v/>
      </c>
      <c r="E1970" s="27" t="str" cm="1">
        <f t="array" ref="E1970">IF(C1970="","",IFERROR(INDEX(STPP!$E$6:$E$4207,MATCH(C1970,STPP!$C$6:$C$4207,0)),"Not Found"))</f>
        <v/>
      </c>
      <c r="F1970" s="27" t="str" cm="1">
        <f t="array" ref="F1970">IF(C1970="","",IFERROR(INDEX(STPP!$F$6:$F$4207,MATCH(C1970,STPP!$C$6:$C$4207,0)),"Not Found"))</f>
        <v/>
      </c>
      <c r="G1970" s="25" t="str">
        <f>IF(表1[[#This Row],[No Seri]]="","",表1[[#This Row],[Deskripsi Barang]]+表1[[#This Row],[Kuantitas]]-表1[[#This Row],[Satuan]])</f>
        <v/>
      </c>
      <c r="H1970" s="28"/>
      <c r="I1970" s="25" t="str">
        <f>IF(表1[[#This Row],[Tgl NPBG]]&gt;表1[[#This Row],[Peminta]],表1[[#This Row],[Tgl NPBG]]-表1[[#This Row],[Peminta]],"")</f>
        <v/>
      </c>
      <c r="J1970" s="31"/>
    </row>
    <row r="1971" s="12" customFormat="1" customHeight="1" spans="2:10">
      <c r="B1971" s="25"/>
      <c r="C1971" s="25"/>
      <c r="D1971" s="26" t="str" cm="1">
        <f t="array" ref="D1971">IF(C1971="","",IFERROR(INDEX(STPP!$D$6:$D$4207,MATCH(C1971,STPP!$C$6:$C$4207,0)),"Not Found"))</f>
        <v/>
      </c>
      <c r="E1971" s="27" t="str" cm="1">
        <f t="array" ref="E1971">IF(C1971="","",IFERROR(INDEX(STPP!$E$6:$E$4207,MATCH(C1971,STPP!$C$6:$C$4207,0)),"Not Found"))</f>
        <v/>
      </c>
      <c r="F1971" s="27" t="str" cm="1">
        <f t="array" ref="F1971">IF(C1971="","",IFERROR(INDEX(STPP!$F$6:$F$4207,MATCH(C1971,STPP!$C$6:$C$4207,0)),"Not Found"))</f>
        <v/>
      </c>
      <c r="G1971" s="25" t="str">
        <f>IF(表1[[#This Row],[No Seri]]="","",表1[[#This Row],[Deskripsi Barang]]+表1[[#This Row],[Kuantitas]]-表1[[#This Row],[Satuan]])</f>
        <v/>
      </c>
      <c r="H1971" s="28"/>
      <c r="I1971" s="25" t="str">
        <f>IF(表1[[#This Row],[Tgl NPBG]]&gt;表1[[#This Row],[Peminta]],表1[[#This Row],[Tgl NPBG]]-表1[[#This Row],[Peminta]],"")</f>
        <v/>
      </c>
      <c r="J1971" s="31"/>
    </row>
    <row r="1972" s="12" customFormat="1" customHeight="1" spans="2:10">
      <c r="B1972" s="25"/>
      <c r="C1972" s="25"/>
      <c r="D1972" s="26" t="str" cm="1">
        <f t="array" ref="D1972">IF(C1972="","",IFERROR(INDEX(STPP!$D$6:$D$4207,MATCH(C1972,STPP!$C$6:$C$4207,0)),"Not Found"))</f>
        <v/>
      </c>
      <c r="E1972" s="27" t="str" cm="1">
        <f t="array" ref="E1972">IF(C1972="","",IFERROR(INDEX(STPP!$E$6:$E$4207,MATCH(C1972,STPP!$C$6:$C$4207,0)),"Not Found"))</f>
        <v/>
      </c>
      <c r="F1972" s="27" t="str" cm="1">
        <f t="array" ref="F1972">IF(C1972="","",IFERROR(INDEX(STPP!$F$6:$F$4207,MATCH(C1972,STPP!$C$6:$C$4207,0)),"Not Found"))</f>
        <v/>
      </c>
      <c r="G1972" s="25" t="str">
        <f>IF(表1[[#This Row],[No Seri]]="","",表1[[#This Row],[Deskripsi Barang]]+表1[[#This Row],[Kuantitas]]-表1[[#This Row],[Satuan]])</f>
        <v/>
      </c>
      <c r="H1972" s="28"/>
      <c r="I1972" s="25" t="str">
        <f>IF(表1[[#This Row],[Tgl NPBG]]&gt;表1[[#This Row],[Peminta]],表1[[#This Row],[Tgl NPBG]]-表1[[#This Row],[Peminta]],"")</f>
        <v/>
      </c>
      <c r="J1972" s="31"/>
    </row>
    <row r="1973" s="12" customFormat="1" customHeight="1" spans="2:10">
      <c r="B1973" s="25"/>
      <c r="C1973" s="25"/>
      <c r="D1973" s="26" t="str" cm="1">
        <f t="array" ref="D1973">IF(C1973="","",IFERROR(INDEX(STPP!$D$6:$D$4207,MATCH(C1973,STPP!$C$6:$C$4207,0)),"Not Found"))</f>
        <v/>
      </c>
      <c r="E1973" s="27" t="str" cm="1">
        <f t="array" ref="E1973">IF(C1973="","",IFERROR(INDEX(STPP!$E$6:$E$4207,MATCH(C1973,STPP!$C$6:$C$4207,0)),"Not Found"))</f>
        <v/>
      </c>
      <c r="F1973" s="27" t="str" cm="1">
        <f t="array" ref="F1973">IF(C1973="","",IFERROR(INDEX(STPP!$F$6:$F$4207,MATCH(C1973,STPP!$C$6:$C$4207,0)),"Not Found"))</f>
        <v/>
      </c>
      <c r="G1973" s="25" t="str">
        <f>IF(表1[[#This Row],[No Seri]]="","",表1[[#This Row],[Deskripsi Barang]]+表1[[#This Row],[Kuantitas]]-表1[[#This Row],[Satuan]])</f>
        <v/>
      </c>
      <c r="H1973" s="28"/>
      <c r="I1973" s="25" t="str">
        <f>IF(表1[[#This Row],[Tgl NPBG]]&gt;表1[[#This Row],[Peminta]],表1[[#This Row],[Tgl NPBG]]-表1[[#This Row],[Peminta]],"")</f>
        <v/>
      </c>
      <c r="J1973" s="31"/>
    </row>
    <row r="1974" s="12" customFormat="1" customHeight="1" spans="2:10">
      <c r="B1974" s="25"/>
      <c r="C1974" s="25"/>
      <c r="D1974" s="26" t="str" cm="1">
        <f t="array" ref="D1974">IF(C1974="","",IFERROR(INDEX(STPP!$D$6:$D$4207,MATCH(C1974,STPP!$C$6:$C$4207,0)),"Not Found"))</f>
        <v/>
      </c>
      <c r="E1974" s="27" t="str" cm="1">
        <f t="array" ref="E1974">IF(C1974="","",IFERROR(INDEX(STPP!$E$6:$E$4207,MATCH(C1974,STPP!$C$6:$C$4207,0)),"Not Found"))</f>
        <v/>
      </c>
      <c r="F1974" s="27" t="str" cm="1">
        <f t="array" ref="F1974">IF(C1974="","",IFERROR(INDEX(STPP!$F$6:$F$4207,MATCH(C1974,STPP!$C$6:$C$4207,0)),"Not Found"))</f>
        <v/>
      </c>
      <c r="G1974" s="25" t="str">
        <f>IF(表1[[#This Row],[No Seri]]="","",表1[[#This Row],[Deskripsi Barang]]+表1[[#This Row],[Kuantitas]]-表1[[#This Row],[Satuan]])</f>
        <v/>
      </c>
      <c r="H1974" s="28"/>
      <c r="I1974" s="25" t="str">
        <f>IF(表1[[#This Row],[Tgl NPBG]]&gt;表1[[#This Row],[Peminta]],表1[[#This Row],[Tgl NPBG]]-表1[[#This Row],[Peminta]],"")</f>
        <v/>
      </c>
      <c r="J1974" s="31"/>
    </row>
    <row r="1975" s="12" customFormat="1" customHeight="1" spans="2:10">
      <c r="B1975" s="25"/>
      <c r="C1975" s="25"/>
      <c r="D1975" s="26" t="str" cm="1">
        <f t="array" ref="D1975">IF(C1975="","",IFERROR(INDEX(STPP!$D$6:$D$4207,MATCH(C1975,STPP!$C$6:$C$4207,0)),"Not Found"))</f>
        <v/>
      </c>
      <c r="E1975" s="27" t="str" cm="1">
        <f t="array" ref="E1975">IF(C1975="","",IFERROR(INDEX(STPP!$E$6:$E$4207,MATCH(C1975,STPP!$C$6:$C$4207,0)),"Not Found"))</f>
        <v/>
      </c>
      <c r="F1975" s="27" t="str" cm="1">
        <f t="array" ref="F1975">IF(C1975="","",IFERROR(INDEX(STPP!$F$6:$F$4207,MATCH(C1975,STPP!$C$6:$C$4207,0)),"Not Found"))</f>
        <v/>
      </c>
      <c r="G1975" s="25" t="str">
        <f>IF(表1[[#This Row],[No Seri]]="","",表1[[#This Row],[Deskripsi Barang]]+表1[[#This Row],[Kuantitas]]-表1[[#This Row],[Satuan]])</f>
        <v/>
      </c>
      <c r="H1975" s="28"/>
      <c r="I1975" s="25" t="str">
        <f>IF(表1[[#This Row],[Tgl NPBG]]&gt;表1[[#This Row],[Peminta]],表1[[#This Row],[Tgl NPBG]]-表1[[#This Row],[Peminta]],"")</f>
        <v/>
      </c>
      <c r="J1975" s="31"/>
    </row>
    <row r="1976" s="12" customFormat="1" customHeight="1" spans="2:10">
      <c r="B1976" s="25"/>
      <c r="C1976" s="25"/>
      <c r="D1976" s="26" t="str" cm="1">
        <f t="array" ref="D1976">IF(C1976="","",IFERROR(INDEX(STPP!$D$6:$D$4207,MATCH(C1976,STPP!$C$6:$C$4207,0)),"Not Found"))</f>
        <v/>
      </c>
      <c r="E1976" s="27" t="str" cm="1">
        <f t="array" ref="E1976">IF(C1976="","",IFERROR(INDEX(STPP!$E$6:$E$4207,MATCH(C1976,STPP!$C$6:$C$4207,0)),"Not Found"))</f>
        <v/>
      </c>
      <c r="F1976" s="27" t="str" cm="1">
        <f t="array" ref="F1976">IF(C1976="","",IFERROR(INDEX(STPP!$F$6:$F$4207,MATCH(C1976,STPP!$C$6:$C$4207,0)),"Not Found"))</f>
        <v/>
      </c>
      <c r="G1976" s="25" t="str">
        <f>IF(表1[[#This Row],[No Seri]]="","",表1[[#This Row],[Deskripsi Barang]]+表1[[#This Row],[Kuantitas]]-表1[[#This Row],[Satuan]])</f>
        <v/>
      </c>
      <c r="H1976" s="28"/>
      <c r="I1976" s="25" t="str">
        <f>IF(表1[[#This Row],[Tgl NPBG]]&gt;表1[[#This Row],[Peminta]],表1[[#This Row],[Tgl NPBG]]-表1[[#This Row],[Peminta]],"")</f>
        <v/>
      </c>
      <c r="J1976" s="31"/>
    </row>
    <row r="1977" s="12" customFormat="1" customHeight="1" spans="2:10">
      <c r="B1977" s="25"/>
      <c r="C1977" s="25"/>
      <c r="D1977" s="26" t="str" cm="1">
        <f t="array" ref="D1977">IF(C1977="","",IFERROR(INDEX(STPP!$D$6:$D$4207,MATCH(C1977,STPP!$C$6:$C$4207,0)),"Not Found"))</f>
        <v/>
      </c>
      <c r="E1977" s="27" t="str" cm="1">
        <f t="array" ref="E1977">IF(C1977="","",IFERROR(INDEX(STPP!$E$6:$E$4207,MATCH(C1977,STPP!$C$6:$C$4207,0)),"Not Found"))</f>
        <v/>
      </c>
      <c r="F1977" s="27" t="str" cm="1">
        <f t="array" ref="F1977">IF(C1977="","",IFERROR(INDEX(STPP!$F$6:$F$4207,MATCH(C1977,STPP!$C$6:$C$4207,0)),"Not Found"))</f>
        <v/>
      </c>
      <c r="G1977" s="25" t="str">
        <f>IF(表1[[#This Row],[No Seri]]="","",表1[[#This Row],[Deskripsi Barang]]+表1[[#This Row],[Kuantitas]]-表1[[#This Row],[Satuan]])</f>
        <v/>
      </c>
      <c r="H1977" s="28"/>
      <c r="I1977" s="25" t="str">
        <f>IF(表1[[#This Row],[Tgl NPBG]]&gt;表1[[#This Row],[Peminta]],表1[[#This Row],[Tgl NPBG]]-表1[[#This Row],[Peminta]],"")</f>
        <v/>
      </c>
      <c r="J1977" s="31"/>
    </row>
    <row r="1978" s="12" customFormat="1" customHeight="1" spans="2:10">
      <c r="B1978" s="25"/>
      <c r="C1978" s="25"/>
      <c r="D1978" s="26" t="str" cm="1">
        <f t="array" ref="D1978">IF(C1978="","",IFERROR(INDEX(STPP!$D$6:$D$4207,MATCH(C1978,STPP!$C$6:$C$4207,0)),"Not Found"))</f>
        <v/>
      </c>
      <c r="E1978" s="27" t="str" cm="1">
        <f t="array" ref="E1978">IF(C1978="","",IFERROR(INDEX(STPP!$E$6:$E$4207,MATCH(C1978,STPP!$C$6:$C$4207,0)),"Not Found"))</f>
        <v/>
      </c>
      <c r="F1978" s="27" t="str" cm="1">
        <f t="array" ref="F1978">IF(C1978="","",IFERROR(INDEX(STPP!$F$6:$F$4207,MATCH(C1978,STPP!$C$6:$C$4207,0)),"Not Found"))</f>
        <v/>
      </c>
      <c r="G1978" s="25" t="str">
        <f>IF(表1[[#This Row],[No Seri]]="","",表1[[#This Row],[Deskripsi Barang]]+表1[[#This Row],[Kuantitas]]-表1[[#This Row],[Satuan]])</f>
        <v/>
      </c>
      <c r="H1978" s="28"/>
      <c r="I1978" s="25" t="str">
        <f>IF(表1[[#This Row],[Tgl NPBG]]&gt;表1[[#This Row],[Peminta]],表1[[#This Row],[Tgl NPBG]]-表1[[#This Row],[Peminta]],"")</f>
        <v/>
      </c>
      <c r="J1978" s="31"/>
    </row>
    <row r="1979" s="12" customFormat="1" customHeight="1" spans="2:10">
      <c r="B1979" s="25"/>
      <c r="C1979" s="25"/>
      <c r="D1979" s="26" t="str" cm="1">
        <f t="array" ref="D1979">IF(C1979="","",IFERROR(INDEX(STPP!$D$6:$D$4207,MATCH(C1979,STPP!$C$6:$C$4207,0)),"Not Found"))</f>
        <v/>
      </c>
      <c r="E1979" s="27" t="str" cm="1">
        <f t="array" ref="E1979">IF(C1979="","",IFERROR(INDEX(STPP!$E$6:$E$4207,MATCH(C1979,STPP!$C$6:$C$4207,0)),"Not Found"))</f>
        <v/>
      </c>
      <c r="F1979" s="27" t="str" cm="1">
        <f t="array" ref="F1979">IF(C1979="","",IFERROR(INDEX(STPP!$F$6:$F$4207,MATCH(C1979,STPP!$C$6:$C$4207,0)),"Not Found"))</f>
        <v/>
      </c>
      <c r="G1979" s="25" t="str">
        <f>IF(表1[[#This Row],[No Seri]]="","",表1[[#This Row],[Deskripsi Barang]]+表1[[#This Row],[Kuantitas]]-表1[[#This Row],[Satuan]])</f>
        <v/>
      </c>
      <c r="H1979" s="28"/>
      <c r="I1979" s="25" t="str">
        <f>IF(表1[[#This Row],[Tgl NPBG]]&gt;表1[[#This Row],[Peminta]],表1[[#This Row],[Tgl NPBG]]-表1[[#This Row],[Peminta]],"")</f>
        <v/>
      </c>
      <c r="J1979" s="31"/>
    </row>
    <row r="1980" s="12" customFormat="1" customHeight="1" spans="2:10">
      <c r="B1980" s="25"/>
      <c r="C1980" s="25"/>
      <c r="D1980" s="26" t="str" cm="1">
        <f t="array" ref="D1980">IF(C1980="","",IFERROR(INDEX(STPP!$D$6:$D$4207,MATCH(C1980,STPP!$C$6:$C$4207,0)),"Not Found"))</f>
        <v/>
      </c>
      <c r="E1980" s="27" t="str" cm="1">
        <f t="array" ref="E1980">IF(C1980="","",IFERROR(INDEX(STPP!$E$6:$E$4207,MATCH(C1980,STPP!$C$6:$C$4207,0)),"Not Found"))</f>
        <v/>
      </c>
      <c r="F1980" s="27" t="str" cm="1">
        <f t="array" ref="F1980">IF(C1980="","",IFERROR(INDEX(STPP!$F$6:$F$4207,MATCH(C1980,STPP!$C$6:$C$4207,0)),"Not Found"))</f>
        <v/>
      </c>
      <c r="G1980" s="25" t="str">
        <f>IF(表1[[#This Row],[No Seri]]="","",表1[[#This Row],[Deskripsi Barang]]+表1[[#This Row],[Kuantitas]]-表1[[#This Row],[Satuan]])</f>
        <v/>
      </c>
      <c r="H1980" s="28"/>
      <c r="I1980" s="25" t="str">
        <f>IF(表1[[#This Row],[Tgl NPBG]]&gt;表1[[#This Row],[Peminta]],表1[[#This Row],[Tgl NPBG]]-表1[[#This Row],[Peminta]],"")</f>
        <v/>
      </c>
      <c r="J1980" s="31"/>
    </row>
    <row r="1981" s="12" customFormat="1" customHeight="1" spans="2:10">
      <c r="B1981" s="25"/>
      <c r="C1981" s="25"/>
      <c r="D1981" s="26" t="str" cm="1">
        <f t="array" ref="D1981">IF(C1981="","",IFERROR(INDEX(STPP!$D$6:$D$4207,MATCH(C1981,STPP!$C$6:$C$4207,0)),"Not Found"))</f>
        <v/>
      </c>
      <c r="E1981" s="27" t="str" cm="1">
        <f t="array" ref="E1981">IF(C1981="","",IFERROR(INDEX(STPP!$E$6:$E$4207,MATCH(C1981,STPP!$C$6:$C$4207,0)),"Not Found"))</f>
        <v/>
      </c>
      <c r="F1981" s="27" t="str" cm="1">
        <f t="array" ref="F1981">IF(C1981="","",IFERROR(INDEX(STPP!$F$6:$F$4207,MATCH(C1981,STPP!$C$6:$C$4207,0)),"Not Found"))</f>
        <v/>
      </c>
      <c r="G1981" s="25" t="str">
        <f>IF(表1[[#This Row],[No Seri]]="","",表1[[#This Row],[Deskripsi Barang]]+表1[[#This Row],[Kuantitas]]-表1[[#This Row],[Satuan]])</f>
        <v/>
      </c>
      <c r="H1981" s="28"/>
      <c r="I1981" s="25" t="str">
        <f>IF(表1[[#This Row],[Tgl NPBG]]&gt;表1[[#This Row],[Peminta]],表1[[#This Row],[Tgl NPBG]]-表1[[#This Row],[Peminta]],"")</f>
        <v/>
      </c>
      <c r="J1981" s="31"/>
    </row>
    <row r="1982" s="12" customFormat="1" customHeight="1" spans="2:10">
      <c r="B1982" s="25"/>
      <c r="C1982" s="25"/>
      <c r="D1982" s="26" t="str" cm="1">
        <f t="array" ref="D1982">IF(C1982="","",IFERROR(INDEX(STPP!$D$6:$D$4207,MATCH(C1982,STPP!$C$6:$C$4207,0)),"Not Found"))</f>
        <v/>
      </c>
      <c r="E1982" s="27" t="str" cm="1">
        <f t="array" ref="E1982">IF(C1982="","",IFERROR(INDEX(STPP!$E$6:$E$4207,MATCH(C1982,STPP!$C$6:$C$4207,0)),"Not Found"))</f>
        <v/>
      </c>
      <c r="F1982" s="27" t="str" cm="1">
        <f t="array" ref="F1982">IF(C1982="","",IFERROR(INDEX(STPP!$F$6:$F$4207,MATCH(C1982,STPP!$C$6:$C$4207,0)),"Not Found"))</f>
        <v/>
      </c>
      <c r="G1982" s="25" t="str">
        <f>IF(表1[[#This Row],[No Seri]]="","",表1[[#This Row],[Deskripsi Barang]]+表1[[#This Row],[Kuantitas]]-表1[[#This Row],[Satuan]])</f>
        <v/>
      </c>
      <c r="H1982" s="28"/>
      <c r="I1982" s="25" t="str">
        <f>IF(表1[[#This Row],[Tgl NPBG]]&gt;表1[[#This Row],[Peminta]],表1[[#This Row],[Tgl NPBG]]-表1[[#This Row],[Peminta]],"")</f>
        <v/>
      </c>
      <c r="J1982" s="31"/>
    </row>
    <row r="1983" s="12" customFormat="1" customHeight="1" spans="2:10">
      <c r="B1983" s="25"/>
      <c r="C1983" s="25"/>
      <c r="D1983" s="26" t="str" cm="1">
        <f t="array" ref="D1983">IF(C1983="","",IFERROR(INDEX(STPP!$D$6:$D$4207,MATCH(C1983,STPP!$C$6:$C$4207,0)),"Not Found"))</f>
        <v/>
      </c>
      <c r="E1983" s="27" t="str" cm="1">
        <f t="array" ref="E1983">IF(C1983="","",IFERROR(INDEX(STPP!$E$6:$E$4207,MATCH(C1983,STPP!$C$6:$C$4207,0)),"Not Found"))</f>
        <v/>
      </c>
      <c r="F1983" s="27" t="str" cm="1">
        <f t="array" ref="F1983">IF(C1983="","",IFERROR(INDEX(STPP!$F$6:$F$4207,MATCH(C1983,STPP!$C$6:$C$4207,0)),"Not Found"))</f>
        <v/>
      </c>
      <c r="G1983" s="25" t="str">
        <f>IF(表1[[#This Row],[No Seri]]="","",表1[[#This Row],[Deskripsi Barang]]+表1[[#This Row],[Kuantitas]]-表1[[#This Row],[Satuan]])</f>
        <v/>
      </c>
      <c r="H1983" s="28"/>
      <c r="I1983" s="25" t="str">
        <f>IF(表1[[#This Row],[Tgl NPBG]]&gt;表1[[#This Row],[Peminta]],表1[[#This Row],[Tgl NPBG]]-表1[[#This Row],[Peminta]],"")</f>
        <v/>
      </c>
      <c r="J1983" s="31"/>
    </row>
    <row r="1984" s="12" customFormat="1" customHeight="1" spans="2:10">
      <c r="B1984" s="25"/>
      <c r="C1984" s="25"/>
      <c r="D1984" s="26" t="str" cm="1">
        <f t="array" ref="D1984">IF(C1984="","",IFERROR(INDEX(STPP!$D$6:$D$4207,MATCH(C1984,STPP!$C$6:$C$4207,0)),"Not Found"))</f>
        <v/>
      </c>
      <c r="E1984" s="27" t="str" cm="1">
        <f t="array" ref="E1984">IF(C1984="","",IFERROR(INDEX(STPP!$E$6:$E$4207,MATCH(C1984,STPP!$C$6:$C$4207,0)),"Not Found"))</f>
        <v/>
      </c>
      <c r="F1984" s="27" t="str" cm="1">
        <f t="array" ref="F1984">IF(C1984="","",IFERROR(INDEX(STPP!$F$6:$F$4207,MATCH(C1984,STPP!$C$6:$C$4207,0)),"Not Found"))</f>
        <v/>
      </c>
      <c r="G1984" s="25" t="str">
        <f>IF(表1[[#This Row],[No Seri]]="","",表1[[#This Row],[Deskripsi Barang]]+表1[[#This Row],[Kuantitas]]-表1[[#This Row],[Satuan]])</f>
        <v/>
      </c>
      <c r="H1984" s="28"/>
      <c r="I1984" s="25" t="str">
        <f>IF(表1[[#This Row],[Tgl NPBG]]&gt;表1[[#This Row],[Peminta]],表1[[#This Row],[Tgl NPBG]]-表1[[#This Row],[Peminta]],"")</f>
        <v/>
      </c>
      <c r="J1984" s="31"/>
    </row>
    <row r="1985" s="12" customFormat="1" customHeight="1" spans="2:10">
      <c r="B1985" s="25"/>
      <c r="C1985" s="25"/>
      <c r="D1985" s="26" t="str" cm="1">
        <f t="array" ref="D1985">IF(C1985="","",IFERROR(INDEX(STPP!$D$6:$D$4207,MATCH(C1985,STPP!$C$6:$C$4207,0)),"Not Found"))</f>
        <v/>
      </c>
      <c r="E1985" s="27" t="str" cm="1">
        <f t="array" ref="E1985">IF(C1985="","",IFERROR(INDEX(STPP!$E$6:$E$4207,MATCH(C1985,STPP!$C$6:$C$4207,0)),"Not Found"))</f>
        <v/>
      </c>
      <c r="F1985" s="27" t="str" cm="1">
        <f t="array" ref="F1985">IF(C1985="","",IFERROR(INDEX(STPP!$F$6:$F$4207,MATCH(C1985,STPP!$C$6:$C$4207,0)),"Not Found"))</f>
        <v/>
      </c>
      <c r="G1985" s="25" t="str">
        <f>IF(表1[[#This Row],[No Seri]]="","",表1[[#This Row],[Deskripsi Barang]]+表1[[#This Row],[Kuantitas]]-表1[[#This Row],[Satuan]])</f>
        <v/>
      </c>
      <c r="H1985" s="28"/>
      <c r="I1985" s="25" t="str">
        <f>IF(表1[[#This Row],[Tgl NPBG]]&gt;表1[[#This Row],[Peminta]],表1[[#This Row],[Tgl NPBG]]-表1[[#This Row],[Peminta]],"")</f>
        <v/>
      </c>
      <c r="J1985" s="31"/>
    </row>
    <row r="1986" s="12" customFormat="1" customHeight="1" spans="2:10">
      <c r="B1986" s="25"/>
      <c r="C1986" s="25"/>
      <c r="D1986" s="26" t="str" cm="1">
        <f t="array" ref="D1986">IF(C1986="","",IFERROR(INDEX(STPP!$D$6:$D$4207,MATCH(C1986,STPP!$C$6:$C$4207,0)),"Not Found"))</f>
        <v/>
      </c>
      <c r="E1986" s="27" t="str" cm="1">
        <f t="array" ref="E1986">IF(C1986="","",IFERROR(INDEX(STPP!$E$6:$E$4207,MATCH(C1986,STPP!$C$6:$C$4207,0)),"Not Found"))</f>
        <v/>
      </c>
      <c r="F1986" s="27" t="str" cm="1">
        <f t="array" ref="F1986">IF(C1986="","",IFERROR(INDEX(STPP!$F$6:$F$4207,MATCH(C1986,STPP!$C$6:$C$4207,0)),"Not Found"))</f>
        <v/>
      </c>
      <c r="G1986" s="25" t="str">
        <f>IF(表1[[#This Row],[No Seri]]="","",表1[[#This Row],[Deskripsi Barang]]+表1[[#This Row],[Kuantitas]]-表1[[#This Row],[Satuan]])</f>
        <v/>
      </c>
      <c r="H1986" s="28"/>
      <c r="I1986" s="25" t="str">
        <f>IF(表1[[#This Row],[Tgl NPBG]]&gt;表1[[#This Row],[Peminta]],表1[[#This Row],[Tgl NPBG]]-表1[[#This Row],[Peminta]],"")</f>
        <v/>
      </c>
      <c r="J1986" s="31"/>
    </row>
    <row r="1987" s="12" customFormat="1" customHeight="1" spans="2:10">
      <c r="B1987" s="25"/>
      <c r="C1987" s="25"/>
      <c r="D1987" s="26" t="str" cm="1">
        <f t="array" ref="D1987">IF(C1987="","",IFERROR(INDEX(STPP!$D$6:$D$4207,MATCH(C1987,STPP!$C$6:$C$4207,0)),"Not Found"))</f>
        <v/>
      </c>
      <c r="E1987" s="27" t="str" cm="1">
        <f t="array" ref="E1987">IF(C1987="","",IFERROR(INDEX(STPP!$E$6:$E$4207,MATCH(C1987,STPP!$C$6:$C$4207,0)),"Not Found"))</f>
        <v/>
      </c>
      <c r="F1987" s="27" t="str" cm="1">
        <f t="array" ref="F1987">IF(C1987="","",IFERROR(INDEX(STPP!$F$6:$F$4207,MATCH(C1987,STPP!$C$6:$C$4207,0)),"Not Found"))</f>
        <v/>
      </c>
      <c r="G1987" s="25" t="str">
        <f>IF(表1[[#This Row],[No Seri]]="","",表1[[#This Row],[Deskripsi Barang]]+表1[[#This Row],[Kuantitas]]-表1[[#This Row],[Satuan]])</f>
        <v/>
      </c>
      <c r="H1987" s="28"/>
      <c r="I1987" s="25" t="str">
        <f>IF(表1[[#This Row],[Tgl NPBG]]&gt;表1[[#This Row],[Peminta]],表1[[#This Row],[Tgl NPBG]]-表1[[#This Row],[Peminta]],"")</f>
        <v/>
      </c>
      <c r="J1987" s="31"/>
    </row>
    <row r="1988" s="12" customFormat="1" customHeight="1" spans="2:10">
      <c r="B1988" s="25"/>
      <c r="C1988" s="25"/>
      <c r="D1988" s="26" t="str" cm="1">
        <f t="array" ref="D1988">IF(C1988="","",IFERROR(INDEX(STPP!$D$6:$D$4207,MATCH(C1988,STPP!$C$6:$C$4207,0)),"Not Found"))</f>
        <v/>
      </c>
      <c r="E1988" s="27" t="str" cm="1">
        <f t="array" ref="E1988">IF(C1988="","",IFERROR(INDEX(STPP!$E$6:$E$4207,MATCH(C1988,STPP!$C$6:$C$4207,0)),"Not Found"))</f>
        <v/>
      </c>
      <c r="F1988" s="27" t="str" cm="1">
        <f t="array" ref="F1988">IF(C1988="","",IFERROR(INDEX(STPP!$F$6:$F$4207,MATCH(C1988,STPP!$C$6:$C$4207,0)),"Not Found"))</f>
        <v/>
      </c>
      <c r="G1988" s="25" t="str">
        <f>IF(表1[[#This Row],[No Seri]]="","",表1[[#This Row],[Deskripsi Barang]]+表1[[#This Row],[Kuantitas]]-表1[[#This Row],[Satuan]])</f>
        <v/>
      </c>
      <c r="H1988" s="28"/>
      <c r="I1988" s="25" t="str">
        <f>IF(表1[[#This Row],[Tgl NPBG]]&gt;表1[[#This Row],[Peminta]],表1[[#This Row],[Tgl NPBG]]-表1[[#This Row],[Peminta]],"")</f>
        <v/>
      </c>
      <c r="J1988" s="31"/>
    </row>
    <row r="1989" s="12" customFormat="1" customHeight="1" spans="2:10">
      <c r="B1989" s="25"/>
      <c r="C1989" s="25"/>
      <c r="D1989" s="26" t="str" cm="1">
        <f t="array" ref="D1989">IF(C1989="","",IFERROR(INDEX(STPP!$D$6:$D$4207,MATCH(C1989,STPP!$C$6:$C$4207,0)),"Not Found"))</f>
        <v/>
      </c>
      <c r="E1989" s="27" t="str" cm="1">
        <f t="array" ref="E1989">IF(C1989="","",IFERROR(INDEX(STPP!$E$6:$E$4207,MATCH(C1989,STPP!$C$6:$C$4207,0)),"Not Found"))</f>
        <v/>
      </c>
      <c r="F1989" s="27" t="str" cm="1">
        <f t="array" ref="F1989">IF(C1989="","",IFERROR(INDEX(STPP!$F$6:$F$4207,MATCH(C1989,STPP!$C$6:$C$4207,0)),"Not Found"))</f>
        <v/>
      </c>
      <c r="G1989" s="25" t="str">
        <f>IF(表1[[#This Row],[No Seri]]="","",表1[[#This Row],[Deskripsi Barang]]+表1[[#This Row],[Kuantitas]]-表1[[#This Row],[Satuan]])</f>
        <v/>
      </c>
      <c r="H1989" s="28"/>
      <c r="I1989" s="25" t="str">
        <f>IF(表1[[#This Row],[Tgl NPBG]]&gt;表1[[#This Row],[Peminta]],表1[[#This Row],[Tgl NPBG]]-表1[[#This Row],[Peminta]],"")</f>
        <v/>
      </c>
      <c r="J1989" s="31"/>
    </row>
    <row r="1990" s="12" customFormat="1" customHeight="1" spans="2:10">
      <c r="B1990" s="25"/>
      <c r="C1990" s="25"/>
      <c r="D1990" s="26" t="str" cm="1">
        <f t="array" ref="D1990">IF(C1990="","",IFERROR(INDEX(STPP!$D$6:$D$4207,MATCH(C1990,STPP!$C$6:$C$4207,0)),"Not Found"))</f>
        <v/>
      </c>
      <c r="E1990" s="27" t="str" cm="1">
        <f t="array" ref="E1990">IF(C1990="","",IFERROR(INDEX(STPP!$E$6:$E$4207,MATCH(C1990,STPP!$C$6:$C$4207,0)),"Not Found"))</f>
        <v/>
      </c>
      <c r="F1990" s="27" t="str" cm="1">
        <f t="array" ref="F1990">IF(C1990="","",IFERROR(INDEX(STPP!$F$6:$F$4207,MATCH(C1990,STPP!$C$6:$C$4207,0)),"Not Found"))</f>
        <v/>
      </c>
      <c r="G1990" s="25" t="str">
        <f>IF(表1[[#This Row],[No Seri]]="","",表1[[#This Row],[Deskripsi Barang]]+表1[[#This Row],[Kuantitas]]-表1[[#This Row],[Satuan]])</f>
        <v/>
      </c>
      <c r="H1990" s="28"/>
      <c r="I1990" s="25" t="str">
        <f>IF(表1[[#This Row],[Tgl NPBG]]&gt;表1[[#This Row],[Peminta]],表1[[#This Row],[Tgl NPBG]]-表1[[#This Row],[Peminta]],"")</f>
        <v/>
      </c>
      <c r="J1990" s="31"/>
    </row>
    <row r="1991" s="12" customFormat="1" customHeight="1" spans="2:10">
      <c r="B1991" s="25"/>
      <c r="C1991" s="25"/>
      <c r="D1991" s="26" t="str" cm="1">
        <f t="array" ref="D1991">IF(C1991="","",IFERROR(INDEX(STPP!$D$6:$D$4207,MATCH(C1991,STPP!$C$6:$C$4207,0)),"Not Found"))</f>
        <v/>
      </c>
      <c r="E1991" s="27" t="str" cm="1">
        <f t="array" ref="E1991">IF(C1991="","",IFERROR(INDEX(STPP!$E$6:$E$4207,MATCH(C1991,STPP!$C$6:$C$4207,0)),"Not Found"))</f>
        <v/>
      </c>
      <c r="F1991" s="27" t="str" cm="1">
        <f t="array" ref="F1991">IF(C1991="","",IFERROR(INDEX(STPP!$F$6:$F$4207,MATCH(C1991,STPP!$C$6:$C$4207,0)),"Not Found"))</f>
        <v/>
      </c>
      <c r="G1991" s="25" t="str">
        <f>IF(表1[[#This Row],[No Seri]]="","",表1[[#This Row],[Deskripsi Barang]]+表1[[#This Row],[Kuantitas]]-表1[[#This Row],[Satuan]])</f>
        <v/>
      </c>
      <c r="H1991" s="28"/>
      <c r="I1991" s="25" t="str">
        <f>IF(表1[[#This Row],[Tgl NPBG]]&gt;表1[[#This Row],[Peminta]],表1[[#This Row],[Tgl NPBG]]-表1[[#This Row],[Peminta]],"")</f>
        <v/>
      </c>
      <c r="J1991" s="31"/>
    </row>
    <row r="1992" s="12" customFormat="1" customHeight="1" spans="2:10">
      <c r="B1992" s="25"/>
      <c r="C1992" s="25"/>
      <c r="D1992" s="26" t="str" cm="1">
        <f t="array" ref="D1992">IF(C1992="","",IFERROR(INDEX(STPP!$D$6:$D$4207,MATCH(C1992,STPP!$C$6:$C$4207,0)),"Not Found"))</f>
        <v/>
      </c>
      <c r="E1992" s="27" t="str" cm="1">
        <f t="array" ref="E1992">IF(C1992="","",IFERROR(INDEX(STPP!$E$6:$E$4207,MATCH(C1992,STPP!$C$6:$C$4207,0)),"Not Found"))</f>
        <v/>
      </c>
      <c r="F1992" s="27" t="str" cm="1">
        <f t="array" ref="F1992">IF(C1992="","",IFERROR(INDEX(STPP!$F$6:$F$4207,MATCH(C1992,STPP!$C$6:$C$4207,0)),"Not Found"))</f>
        <v/>
      </c>
      <c r="G1992" s="25" t="str">
        <f>IF(表1[[#This Row],[No Seri]]="","",表1[[#This Row],[Deskripsi Barang]]+表1[[#This Row],[Kuantitas]]-表1[[#This Row],[Satuan]])</f>
        <v/>
      </c>
      <c r="H1992" s="28"/>
      <c r="I1992" s="25" t="str">
        <f>IF(表1[[#This Row],[Tgl NPBG]]&gt;表1[[#This Row],[Peminta]],表1[[#This Row],[Tgl NPBG]]-表1[[#This Row],[Peminta]],"")</f>
        <v/>
      </c>
      <c r="J1992" s="31"/>
    </row>
    <row r="1993" s="12" customFormat="1" customHeight="1" spans="2:10">
      <c r="B1993" s="25"/>
      <c r="C1993" s="25"/>
      <c r="D1993" s="26" t="str" cm="1">
        <f t="array" ref="D1993">IF(C1993="","",IFERROR(INDEX(STPP!$D$6:$D$4207,MATCH(C1993,STPP!$C$6:$C$4207,0)),"Not Found"))</f>
        <v/>
      </c>
      <c r="E1993" s="27" t="str" cm="1">
        <f t="array" ref="E1993">IF(C1993="","",IFERROR(INDEX(STPP!$E$6:$E$4207,MATCH(C1993,STPP!$C$6:$C$4207,0)),"Not Found"))</f>
        <v/>
      </c>
      <c r="F1993" s="27" t="str" cm="1">
        <f t="array" ref="F1993">IF(C1993="","",IFERROR(INDEX(STPP!$F$6:$F$4207,MATCH(C1993,STPP!$C$6:$C$4207,0)),"Not Found"))</f>
        <v/>
      </c>
      <c r="G1993" s="25" t="str">
        <f>IF(表1[[#This Row],[No Seri]]="","",表1[[#This Row],[Deskripsi Barang]]+表1[[#This Row],[Kuantitas]]-表1[[#This Row],[Satuan]])</f>
        <v/>
      </c>
      <c r="H1993" s="28"/>
      <c r="I1993" s="25" t="str">
        <f>IF(表1[[#This Row],[Tgl NPBG]]&gt;表1[[#This Row],[Peminta]],表1[[#This Row],[Tgl NPBG]]-表1[[#This Row],[Peminta]],"")</f>
        <v/>
      </c>
      <c r="J1993" s="31"/>
    </row>
    <row r="1994" s="12" customFormat="1" customHeight="1" spans="2:10">
      <c r="B1994" s="25"/>
      <c r="C1994" s="25"/>
      <c r="D1994" s="26" t="str" cm="1">
        <f t="array" ref="D1994">IF(C1994="","",IFERROR(INDEX(STPP!$D$6:$D$4207,MATCH(C1994,STPP!$C$6:$C$4207,0)),"Not Found"))</f>
        <v/>
      </c>
      <c r="E1994" s="27" t="str" cm="1">
        <f t="array" ref="E1994">IF(C1994="","",IFERROR(INDEX(STPP!$E$6:$E$4207,MATCH(C1994,STPP!$C$6:$C$4207,0)),"Not Found"))</f>
        <v/>
      </c>
      <c r="F1994" s="27" t="str" cm="1">
        <f t="array" ref="F1994">IF(C1994="","",IFERROR(INDEX(STPP!$F$6:$F$4207,MATCH(C1994,STPP!$C$6:$C$4207,0)),"Not Found"))</f>
        <v/>
      </c>
      <c r="G1994" s="25" t="str">
        <f>IF(表1[[#This Row],[No Seri]]="","",表1[[#This Row],[Deskripsi Barang]]+表1[[#This Row],[Kuantitas]]-表1[[#This Row],[Satuan]])</f>
        <v/>
      </c>
      <c r="H1994" s="28"/>
      <c r="I1994" s="25" t="str">
        <f>IF(表1[[#This Row],[Tgl NPBG]]&gt;表1[[#This Row],[Peminta]],表1[[#This Row],[Tgl NPBG]]-表1[[#This Row],[Peminta]],"")</f>
        <v/>
      </c>
      <c r="J1994" s="31"/>
    </row>
    <row r="1995" s="12" customFormat="1" customHeight="1" spans="2:10">
      <c r="B1995" s="25"/>
      <c r="C1995" s="25"/>
      <c r="D1995" s="26" t="str" cm="1">
        <f t="array" ref="D1995">IF(C1995="","",IFERROR(INDEX(STPP!$D$6:$D$4207,MATCH(C1995,STPP!$C$6:$C$4207,0)),"Not Found"))</f>
        <v/>
      </c>
      <c r="E1995" s="27" t="str" cm="1">
        <f t="array" ref="E1995">IF(C1995="","",IFERROR(INDEX(STPP!$E$6:$E$4207,MATCH(C1995,STPP!$C$6:$C$4207,0)),"Not Found"))</f>
        <v/>
      </c>
      <c r="F1995" s="27" t="str" cm="1">
        <f t="array" ref="F1995">IF(C1995="","",IFERROR(INDEX(STPP!$F$6:$F$4207,MATCH(C1995,STPP!$C$6:$C$4207,0)),"Not Found"))</f>
        <v/>
      </c>
      <c r="G1995" s="25" t="str">
        <f>IF(表1[[#This Row],[No Seri]]="","",表1[[#This Row],[Deskripsi Barang]]+表1[[#This Row],[Kuantitas]]-表1[[#This Row],[Satuan]])</f>
        <v/>
      </c>
      <c r="H1995" s="28"/>
      <c r="I1995" s="25" t="str">
        <f>IF(表1[[#This Row],[Tgl NPBG]]&gt;表1[[#This Row],[Peminta]],表1[[#This Row],[Tgl NPBG]]-表1[[#This Row],[Peminta]],"")</f>
        <v/>
      </c>
      <c r="J1995" s="31"/>
    </row>
    <row r="1996" s="12" customFormat="1" customHeight="1" spans="2:10">
      <c r="B1996" s="25"/>
      <c r="C1996" s="25"/>
      <c r="D1996" s="26" t="str" cm="1">
        <f t="array" ref="D1996">IF(C1996="","",IFERROR(INDEX(STPP!$D$6:$D$4207,MATCH(C1996,STPP!$C$6:$C$4207,0)),"Not Found"))</f>
        <v/>
      </c>
      <c r="E1996" s="27" t="str" cm="1">
        <f t="array" ref="E1996">IF(C1996="","",IFERROR(INDEX(STPP!$E$6:$E$4207,MATCH(C1996,STPP!$C$6:$C$4207,0)),"Not Found"))</f>
        <v/>
      </c>
      <c r="F1996" s="27" t="str" cm="1">
        <f t="array" ref="F1996">IF(C1996="","",IFERROR(INDEX(STPP!$F$6:$F$4207,MATCH(C1996,STPP!$C$6:$C$4207,0)),"Not Found"))</f>
        <v/>
      </c>
      <c r="G1996" s="25" t="str">
        <f>IF(表1[[#This Row],[No Seri]]="","",表1[[#This Row],[Deskripsi Barang]]+表1[[#This Row],[Kuantitas]]-表1[[#This Row],[Satuan]])</f>
        <v/>
      </c>
      <c r="H1996" s="28"/>
      <c r="I1996" s="25" t="str">
        <f>IF(表1[[#This Row],[Tgl NPBG]]&gt;表1[[#This Row],[Peminta]],表1[[#This Row],[Tgl NPBG]]-表1[[#This Row],[Peminta]],"")</f>
        <v/>
      </c>
      <c r="J1996" s="31"/>
    </row>
    <row r="1997" s="12" customFormat="1" customHeight="1" spans="2:10">
      <c r="B1997" s="25"/>
      <c r="C1997" s="25"/>
      <c r="D1997" s="26" t="str" cm="1">
        <f t="array" ref="D1997">IF(C1997="","",IFERROR(INDEX(STPP!$D$6:$D$4207,MATCH(C1997,STPP!$C$6:$C$4207,0)),"Not Found"))</f>
        <v/>
      </c>
      <c r="E1997" s="27" t="str" cm="1">
        <f t="array" ref="E1997">IF(C1997="","",IFERROR(INDEX(STPP!$E$6:$E$4207,MATCH(C1997,STPP!$C$6:$C$4207,0)),"Not Found"))</f>
        <v/>
      </c>
      <c r="F1997" s="27" t="str" cm="1">
        <f t="array" ref="F1997">IF(C1997="","",IFERROR(INDEX(STPP!$F$6:$F$4207,MATCH(C1997,STPP!$C$6:$C$4207,0)),"Not Found"))</f>
        <v/>
      </c>
      <c r="G1997" s="25" t="str">
        <f>IF(表1[[#This Row],[No Seri]]="","",表1[[#This Row],[Deskripsi Barang]]+表1[[#This Row],[Kuantitas]]-表1[[#This Row],[Satuan]])</f>
        <v/>
      </c>
      <c r="H1997" s="28"/>
      <c r="I1997" s="25" t="str">
        <f>IF(表1[[#This Row],[Tgl NPBG]]&gt;表1[[#This Row],[Peminta]],表1[[#This Row],[Tgl NPBG]]-表1[[#This Row],[Peminta]],"")</f>
        <v/>
      </c>
      <c r="J1997" s="31"/>
    </row>
    <row r="1998" s="12" customFormat="1" customHeight="1" spans="2:10">
      <c r="B1998" s="25"/>
      <c r="C1998" s="25"/>
      <c r="D1998" s="26" t="str" cm="1">
        <f t="array" ref="D1998">IF(C1998="","",IFERROR(INDEX(STPP!$D$6:$D$4207,MATCH(C1998,STPP!$C$6:$C$4207,0)),"Not Found"))</f>
        <v/>
      </c>
      <c r="E1998" s="27" t="str" cm="1">
        <f t="array" ref="E1998">IF(C1998="","",IFERROR(INDEX(STPP!$E$6:$E$4207,MATCH(C1998,STPP!$C$6:$C$4207,0)),"Not Found"))</f>
        <v/>
      </c>
      <c r="F1998" s="27" t="str" cm="1">
        <f t="array" ref="F1998">IF(C1998="","",IFERROR(INDEX(STPP!$F$6:$F$4207,MATCH(C1998,STPP!$C$6:$C$4207,0)),"Not Found"))</f>
        <v/>
      </c>
      <c r="G1998" s="25" t="str">
        <f>IF(表1[[#This Row],[No Seri]]="","",表1[[#This Row],[Deskripsi Barang]]+表1[[#This Row],[Kuantitas]]-表1[[#This Row],[Satuan]])</f>
        <v/>
      </c>
      <c r="H1998" s="28"/>
      <c r="I1998" s="25" t="str">
        <f>IF(表1[[#This Row],[Tgl NPBG]]&gt;表1[[#This Row],[Peminta]],表1[[#This Row],[Tgl NPBG]]-表1[[#This Row],[Peminta]],"")</f>
        <v/>
      </c>
      <c r="J1998" s="31"/>
    </row>
    <row r="1999" s="12" customFormat="1" customHeight="1" spans="2:10">
      <c r="B1999" s="25"/>
      <c r="C1999" s="25"/>
      <c r="D1999" s="26" t="str" cm="1">
        <f t="array" ref="D1999">IF(C1999="","",IFERROR(INDEX(STPP!$D$6:$D$4207,MATCH(C1999,STPP!$C$6:$C$4207,0)),"Not Found"))</f>
        <v/>
      </c>
      <c r="E1999" s="27" t="str" cm="1">
        <f t="array" ref="E1999">IF(C1999="","",IFERROR(INDEX(STPP!$E$6:$E$4207,MATCH(C1999,STPP!$C$6:$C$4207,0)),"Not Found"))</f>
        <v/>
      </c>
      <c r="F1999" s="27" t="str" cm="1">
        <f t="array" ref="F1999">IF(C1999="","",IFERROR(INDEX(STPP!$F$6:$F$4207,MATCH(C1999,STPP!$C$6:$C$4207,0)),"Not Found"))</f>
        <v/>
      </c>
      <c r="G1999" s="25" t="str">
        <f>IF(表1[[#This Row],[No Seri]]="","",表1[[#This Row],[Deskripsi Barang]]+表1[[#This Row],[Kuantitas]]-表1[[#This Row],[Satuan]])</f>
        <v/>
      </c>
      <c r="H1999" s="28"/>
      <c r="I1999" s="25" t="str">
        <f>IF(表1[[#This Row],[Tgl NPBG]]&gt;表1[[#This Row],[Peminta]],表1[[#This Row],[Tgl NPBG]]-表1[[#This Row],[Peminta]],"")</f>
        <v/>
      </c>
      <c r="J1999" s="31"/>
    </row>
    <row r="2000" s="12" customFormat="1" customHeight="1" spans="2:10">
      <c r="B2000" s="25"/>
      <c r="C2000" s="25"/>
      <c r="D2000" s="26" t="str" cm="1">
        <f t="array" ref="D2000">IF(C2000="","",IFERROR(INDEX(STPP!$D$6:$D$4207,MATCH(C2000,STPP!$C$6:$C$4207,0)),"Not Found"))</f>
        <v/>
      </c>
      <c r="E2000" s="27" t="str" cm="1">
        <f t="array" ref="E2000">IF(C2000="","",IFERROR(INDEX(STPP!$E$6:$E$4207,MATCH(C2000,STPP!$C$6:$C$4207,0)),"Not Found"))</f>
        <v/>
      </c>
      <c r="F2000" s="27" t="str" cm="1">
        <f t="array" ref="F2000">IF(C2000="","",IFERROR(INDEX(STPP!$F$6:$F$4207,MATCH(C2000,STPP!$C$6:$C$4207,0)),"Not Found"))</f>
        <v/>
      </c>
      <c r="G2000" s="25" t="str">
        <f>IF(表1[[#This Row],[No Seri]]="","",表1[[#This Row],[Deskripsi Barang]]+表1[[#This Row],[Kuantitas]]-表1[[#This Row],[Satuan]])</f>
        <v/>
      </c>
      <c r="H2000" s="28"/>
      <c r="I2000" s="25" t="str">
        <f>IF(表1[[#This Row],[Tgl NPBG]]&gt;表1[[#This Row],[Peminta]],表1[[#This Row],[Tgl NPBG]]-表1[[#This Row],[Peminta]],"")</f>
        <v/>
      </c>
      <c r="J2000" s="31"/>
    </row>
    <row r="2001" s="12" customFormat="1" customHeight="1" spans="2:10">
      <c r="B2001" s="25"/>
      <c r="C2001" s="25"/>
      <c r="D2001" s="26" t="str" cm="1">
        <f t="array" ref="D2001">IF(C2001="","",IFERROR(INDEX(STPP!$D$6:$D$4207,MATCH(C2001,STPP!$C$6:$C$4207,0)),"Not Found"))</f>
        <v/>
      </c>
      <c r="E2001" s="27" t="str" cm="1">
        <f t="array" ref="E2001">IF(C2001="","",IFERROR(INDEX(STPP!$E$6:$E$4207,MATCH(C2001,STPP!$C$6:$C$4207,0)),"Not Found"))</f>
        <v/>
      </c>
      <c r="F2001" s="27" t="str" cm="1">
        <f t="array" ref="F2001">IF(C2001="","",IFERROR(INDEX(STPP!$F$6:$F$4207,MATCH(C2001,STPP!$C$6:$C$4207,0)),"Not Found"))</f>
        <v/>
      </c>
      <c r="G2001" s="25" t="str">
        <f>IF(表1[[#This Row],[No Seri]]="","",表1[[#This Row],[Deskripsi Barang]]+表1[[#This Row],[Kuantitas]]-表1[[#This Row],[Satuan]])</f>
        <v/>
      </c>
      <c r="H2001" s="28"/>
      <c r="I2001" s="25" t="str">
        <f>IF(表1[[#This Row],[Tgl NPBG]]&gt;表1[[#This Row],[Peminta]],表1[[#This Row],[Tgl NPBG]]-表1[[#This Row],[Peminta]],"")</f>
        <v/>
      </c>
      <c r="J2001" s="31"/>
    </row>
    <row r="2002" s="12" customFormat="1" customHeight="1" spans="2:10">
      <c r="B2002" s="25"/>
      <c r="C2002" s="25"/>
      <c r="D2002" s="26" t="str" cm="1">
        <f t="array" ref="D2002">IF(C2002="","",IFERROR(INDEX(STPP!$D$6:$D$4207,MATCH(C2002,STPP!$C$6:$C$4207,0)),"Not Found"))</f>
        <v/>
      </c>
      <c r="E2002" s="27" t="str" cm="1">
        <f t="array" ref="E2002">IF(C2002="","",IFERROR(INDEX(STPP!$E$6:$E$4207,MATCH(C2002,STPP!$C$6:$C$4207,0)),"Not Found"))</f>
        <v/>
      </c>
      <c r="F2002" s="27" t="str" cm="1">
        <f t="array" ref="F2002">IF(C2002="","",IFERROR(INDEX(STPP!$F$6:$F$4207,MATCH(C2002,STPP!$C$6:$C$4207,0)),"Not Found"))</f>
        <v/>
      </c>
      <c r="G2002" s="25" t="str">
        <f>IF(表1[[#This Row],[No Seri]]="","",表1[[#This Row],[Deskripsi Barang]]+表1[[#This Row],[Kuantitas]]-表1[[#This Row],[Satuan]])</f>
        <v/>
      </c>
      <c r="H2002" s="28"/>
      <c r="I2002" s="25" t="str">
        <f>IF(表1[[#This Row],[Tgl NPBG]]&gt;表1[[#This Row],[Peminta]],表1[[#This Row],[Tgl NPBG]]-表1[[#This Row],[Peminta]],"")</f>
        <v/>
      </c>
      <c r="J2002" s="31"/>
    </row>
    <row r="2003" s="12" customFormat="1" customHeight="1" spans="2:10">
      <c r="B2003" s="25"/>
      <c r="C2003" s="25"/>
      <c r="D2003" s="26" t="str" cm="1">
        <f t="array" ref="D2003">IF(C2003="","",IFERROR(INDEX(STPP!$D$6:$D$4207,MATCH(C2003,STPP!$C$6:$C$4207,0)),"Not Found"))</f>
        <v/>
      </c>
      <c r="E2003" s="27" t="str" cm="1">
        <f t="array" ref="E2003">IF(C2003="","",IFERROR(INDEX(STPP!$E$6:$E$4207,MATCH(C2003,STPP!$C$6:$C$4207,0)),"Not Found"))</f>
        <v/>
      </c>
      <c r="F2003" s="27" t="str" cm="1">
        <f t="array" ref="F2003">IF(C2003="","",IFERROR(INDEX(STPP!$F$6:$F$4207,MATCH(C2003,STPP!$C$6:$C$4207,0)),"Not Found"))</f>
        <v/>
      </c>
      <c r="G2003" s="25" t="str">
        <f>IF(表1[[#This Row],[No Seri]]="","",表1[[#This Row],[Deskripsi Barang]]+表1[[#This Row],[Kuantitas]]-表1[[#This Row],[Satuan]])</f>
        <v/>
      </c>
      <c r="H2003" s="28"/>
      <c r="I2003" s="25" t="str">
        <f>IF(表1[[#This Row],[Tgl NPBG]]&gt;表1[[#This Row],[Peminta]],表1[[#This Row],[Tgl NPBG]]-表1[[#This Row],[Peminta]],"")</f>
        <v/>
      </c>
      <c r="J2003" s="31"/>
    </row>
    <row r="2004" s="12" customFormat="1" customHeight="1" spans="2:10">
      <c r="B2004" s="25"/>
      <c r="C2004" s="25"/>
      <c r="D2004" s="26" t="str" cm="1">
        <f t="array" ref="D2004">IF(C2004="","",IFERROR(INDEX(STPP!$D$6:$D$4207,MATCH(C2004,STPP!$C$6:$C$4207,0)),"Not Found"))</f>
        <v/>
      </c>
      <c r="E2004" s="27" t="str" cm="1">
        <f t="array" ref="E2004">IF(C2004="","",IFERROR(INDEX(STPP!$E$6:$E$4207,MATCH(C2004,STPP!$C$6:$C$4207,0)),"Not Found"))</f>
        <v/>
      </c>
      <c r="F2004" s="27" t="str" cm="1">
        <f t="array" ref="F2004">IF(C2004="","",IFERROR(INDEX(STPP!$F$6:$F$4207,MATCH(C2004,STPP!$C$6:$C$4207,0)),"Not Found"))</f>
        <v/>
      </c>
      <c r="G2004" s="25" t="str">
        <f>IF(表1[[#This Row],[No Seri]]="","",表1[[#This Row],[Deskripsi Barang]]+表1[[#This Row],[Kuantitas]]-表1[[#This Row],[Satuan]])</f>
        <v/>
      </c>
      <c r="H2004" s="28"/>
      <c r="I2004" s="25" t="str">
        <f>IF(表1[[#This Row],[Tgl NPBG]]&gt;表1[[#This Row],[Peminta]],表1[[#This Row],[Tgl NPBG]]-表1[[#This Row],[Peminta]],"")</f>
        <v/>
      </c>
      <c r="J2004" s="31"/>
    </row>
    <row r="2005" s="12" customFormat="1" customHeight="1" spans="2:10">
      <c r="B2005" s="25"/>
      <c r="C2005" s="25"/>
      <c r="D2005" s="26" t="str" cm="1">
        <f t="array" ref="D2005">IF(C2005="","",IFERROR(INDEX(STPP!$D$6:$D$4207,MATCH(C2005,STPP!$C$6:$C$4207,0)),"Not Found"))</f>
        <v/>
      </c>
      <c r="E2005" s="27" t="str" cm="1">
        <f t="array" ref="E2005">IF(C2005="","",IFERROR(INDEX(STPP!$E$6:$E$4207,MATCH(C2005,STPP!$C$6:$C$4207,0)),"Not Found"))</f>
        <v/>
      </c>
      <c r="F2005" s="27" t="str" cm="1">
        <f t="array" ref="F2005">IF(C2005="","",IFERROR(INDEX(STPP!$F$6:$F$4207,MATCH(C2005,STPP!$C$6:$C$4207,0)),"Not Found"))</f>
        <v/>
      </c>
      <c r="G2005" s="25" t="str">
        <f>IF(表1[[#This Row],[No Seri]]="","",表1[[#This Row],[Deskripsi Barang]]+表1[[#This Row],[Kuantitas]]-表1[[#This Row],[Satuan]])</f>
        <v/>
      </c>
      <c r="H2005" s="28"/>
      <c r="I2005" s="25" t="str">
        <f>IF(表1[[#This Row],[Tgl NPBG]]&gt;表1[[#This Row],[Peminta]],表1[[#This Row],[Tgl NPBG]]-表1[[#This Row],[Peminta]],"")</f>
        <v/>
      </c>
      <c r="J2005" s="31"/>
    </row>
    <row r="2006" s="12" customFormat="1" customHeight="1" spans="2:10">
      <c r="B2006" s="25"/>
      <c r="C2006" s="25"/>
      <c r="D2006" s="26" t="str" cm="1">
        <f t="array" ref="D2006">IF(C2006="","",IFERROR(INDEX(STPP!$D$6:$D$4207,MATCH(C2006,STPP!$C$6:$C$4207,0)),"Not Found"))</f>
        <v/>
      </c>
      <c r="E2006" s="27" t="str" cm="1">
        <f t="array" ref="E2006">IF(C2006="","",IFERROR(INDEX(STPP!$E$6:$E$4207,MATCH(C2006,STPP!$C$6:$C$4207,0)),"Not Found"))</f>
        <v/>
      </c>
      <c r="F2006" s="27" t="str" cm="1">
        <f t="array" ref="F2006">IF(C2006="","",IFERROR(INDEX(STPP!$F$6:$F$4207,MATCH(C2006,STPP!$C$6:$C$4207,0)),"Not Found"))</f>
        <v/>
      </c>
      <c r="G2006" s="25" t="str">
        <f>IF(表1[[#This Row],[No Seri]]="","",表1[[#This Row],[Deskripsi Barang]]+表1[[#This Row],[Kuantitas]]-表1[[#This Row],[Satuan]])</f>
        <v/>
      </c>
      <c r="H2006" s="28"/>
      <c r="I2006" s="25" t="str">
        <f>IF(表1[[#This Row],[Tgl NPBG]]&gt;表1[[#This Row],[Peminta]],表1[[#This Row],[Tgl NPBG]]-表1[[#This Row],[Peminta]],"")</f>
        <v/>
      </c>
      <c r="J2006" s="31"/>
    </row>
    <row r="2007" s="12" customFormat="1" customHeight="1" spans="2:10">
      <c r="B2007" s="25"/>
      <c r="C2007" s="25"/>
      <c r="D2007" s="26" t="str" cm="1">
        <f t="array" ref="D2007">IF(C2007="","",IFERROR(INDEX(STPP!$D$6:$D$4207,MATCH(C2007,STPP!$C$6:$C$4207,0)),"Not Found"))</f>
        <v/>
      </c>
      <c r="E2007" s="27" t="str" cm="1">
        <f t="array" ref="E2007">IF(C2007="","",IFERROR(INDEX(STPP!$E$6:$E$4207,MATCH(C2007,STPP!$C$6:$C$4207,0)),"Not Found"))</f>
        <v/>
      </c>
      <c r="F2007" s="27" t="str" cm="1">
        <f t="array" ref="F2007">IF(C2007="","",IFERROR(INDEX(STPP!$F$6:$F$4207,MATCH(C2007,STPP!$C$6:$C$4207,0)),"Not Found"))</f>
        <v/>
      </c>
      <c r="G2007" s="25" t="str">
        <f>IF(表1[[#This Row],[No Seri]]="","",表1[[#This Row],[Deskripsi Barang]]+表1[[#This Row],[Kuantitas]]-表1[[#This Row],[Satuan]])</f>
        <v/>
      </c>
      <c r="H2007" s="28"/>
      <c r="I2007" s="25" t="str">
        <f>IF(表1[[#This Row],[Tgl NPBG]]&gt;表1[[#This Row],[Peminta]],表1[[#This Row],[Tgl NPBG]]-表1[[#This Row],[Peminta]],"")</f>
        <v/>
      </c>
      <c r="J2007" s="31"/>
    </row>
    <row r="2008" s="12" customFormat="1" customHeight="1" spans="2:10">
      <c r="B2008" s="25"/>
      <c r="C2008" s="25"/>
      <c r="D2008" s="26" t="str" cm="1">
        <f t="array" ref="D2008">IF(C2008="","",IFERROR(INDEX(STPP!$D$6:$D$4207,MATCH(C2008,STPP!$C$6:$C$4207,0)),"Not Found"))</f>
        <v/>
      </c>
      <c r="E2008" s="27" t="str" cm="1">
        <f t="array" ref="E2008">IF(C2008="","",IFERROR(INDEX(STPP!$E$6:$E$4207,MATCH(C2008,STPP!$C$6:$C$4207,0)),"Not Found"))</f>
        <v/>
      </c>
      <c r="F2008" s="27" t="str" cm="1">
        <f t="array" ref="F2008">IF(C2008="","",IFERROR(INDEX(STPP!$F$6:$F$4207,MATCH(C2008,STPP!$C$6:$C$4207,0)),"Not Found"))</f>
        <v/>
      </c>
      <c r="G2008" s="25" t="str">
        <f>IF(表1[[#This Row],[No Seri]]="","",表1[[#This Row],[Deskripsi Barang]]+表1[[#This Row],[Kuantitas]]-表1[[#This Row],[Satuan]])</f>
        <v/>
      </c>
      <c r="H2008" s="28"/>
      <c r="I2008" s="25" t="str">
        <f>IF(表1[[#This Row],[Tgl NPBG]]&gt;表1[[#This Row],[Peminta]],表1[[#This Row],[Tgl NPBG]]-表1[[#This Row],[Peminta]],"")</f>
        <v/>
      </c>
      <c r="J2008" s="31"/>
    </row>
    <row r="2009" s="12" customFormat="1" customHeight="1" spans="2:10">
      <c r="B2009" s="25"/>
      <c r="C2009" s="25"/>
      <c r="D2009" s="26" t="str" cm="1">
        <f t="array" ref="D2009">IF(C2009="","",IFERROR(INDEX(STPP!$D$6:$D$4207,MATCH(C2009,STPP!$C$6:$C$4207,0)),"Not Found"))</f>
        <v/>
      </c>
      <c r="E2009" s="27" t="str" cm="1">
        <f t="array" ref="E2009">IF(C2009="","",IFERROR(INDEX(STPP!$E$6:$E$4207,MATCH(C2009,STPP!$C$6:$C$4207,0)),"Not Found"))</f>
        <v/>
      </c>
      <c r="F2009" s="27" t="str" cm="1">
        <f t="array" ref="F2009">IF(C2009="","",IFERROR(INDEX(STPP!$F$6:$F$4207,MATCH(C2009,STPP!$C$6:$C$4207,0)),"Not Found"))</f>
        <v/>
      </c>
      <c r="G2009" s="25" t="str">
        <f>IF(表1[[#This Row],[No Seri]]="","",表1[[#This Row],[Deskripsi Barang]]+表1[[#This Row],[Kuantitas]]-表1[[#This Row],[Satuan]])</f>
        <v/>
      </c>
      <c r="H2009" s="28"/>
      <c r="I2009" s="25" t="str">
        <f>IF(表1[[#This Row],[Tgl NPBG]]&gt;表1[[#This Row],[Peminta]],表1[[#This Row],[Tgl NPBG]]-表1[[#This Row],[Peminta]],"")</f>
        <v/>
      </c>
      <c r="J2009" s="31"/>
    </row>
    <row r="2010" s="12" customFormat="1" customHeight="1" spans="2:10">
      <c r="B2010" s="25"/>
      <c r="C2010" s="25"/>
      <c r="D2010" s="26" t="str" cm="1">
        <f t="array" ref="D2010">IF(C2010="","",IFERROR(INDEX(STPP!$D$6:$D$4207,MATCH(C2010,STPP!$C$6:$C$4207,0)),"Not Found"))</f>
        <v/>
      </c>
      <c r="E2010" s="27" t="str" cm="1">
        <f t="array" ref="E2010">IF(C2010="","",IFERROR(INDEX(STPP!$E$6:$E$4207,MATCH(C2010,STPP!$C$6:$C$4207,0)),"Not Found"))</f>
        <v/>
      </c>
      <c r="F2010" s="27" t="str" cm="1">
        <f t="array" ref="F2010">IF(C2010="","",IFERROR(INDEX(STPP!$F$6:$F$4207,MATCH(C2010,STPP!$C$6:$C$4207,0)),"Not Found"))</f>
        <v/>
      </c>
      <c r="G2010" s="25" t="str">
        <f>IF(表1[[#This Row],[No Seri]]="","",表1[[#This Row],[Deskripsi Barang]]+表1[[#This Row],[Kuantitas]]-表1[[#This Row],[Satuan]])</f>
        <v/>
      </c>
      <c r="H2010" s="28"/>
      <c r="I2010" s="25" t="str">
        <f>IF(表1[[#This Row],[Tgl NPBG]]&gt;表1[[#This Row],[Peminta]],表1[[#This Row],[Tgl NPBG]]-表1[[#This Row],[Peminta]],"")</f>
        <v/>
      </c>
      <c r="J2010" s="31"/>
    </row>
    <row r="2011" s="12" customFormat="1" customHeight="1" spans="2:10">
      <c r="B2011" s="25"/>
      <c r="C2011" s="25"/>
      <c r="D2011" s="26" t="str" cm="1">
        <f t="array" ref="D2011">IF(C2011="","",IFERROR(INDEX(STPP!$D$6:$D$4207,MATCH(C2011,STPP!$C$6:$C$4207,0)),"Not Found"))</f>
        <v/>
      </c>
      <c r="E2011" s="27" t="str" cm="1">
        <f t="array" ref="E2011">IF(C2011="","",IFERROR(INDEX(STPP!$E$6:$E$4207,MATCH(C2011,STPP!$C$6:$C$4207,0)),"Not Found"))</f>
        <v/>
      </c>
      <c r="F2011" s="27" t="str" cm="1">
        <f t="array" ref="F2011">IF(C2011="","",IFERROR(INDEX(STPP!$F$6:$F$4207,MATCH(C2011,STPP!$C$6:$C$4207,0)),"Not Found"))</f>
        <v/>
      </c>
      <c r="G2011" s="25" t="str">
        <f>IF(表1[[#This Row],[No Seri]]="","",表1[[#This Row],[Deskripsi Barang]]+表1[[#This Row],[Kuantitas]]-表1[[#This Row],[Satuan]])</f>
        <v/>
      </c>
      <c r="H2011" s="28"/>
      <c r="I2011" s="25" t="str">
        <f>IF(表1[[#This Row],[Tgl NPBG]]&gt;表1[[#This Row],[Peminta]],表1[[#This Row],[Tgl NPBG]]-表1[[#This Row],[Peminta]],"")</f>
        <v/>
      </c>
      <c r="J2011" s="31"/>
    </row>
    <row r="2012" s="12" customFormat="1" customHeight="1" spans="2:10">
      <c r="B2012" s="25"/>
      <c r="C2012" s="25"/>
      <c r="D2012" s="26" t="str" cm="1">
        <f t="array" ref="D2012">IF(C2012="","",IFERROR(INDEX(STPP!$D$6:$D$4207,MATCH(C2012,STPP!$C$6:$C$4207,0)),"Not Found"))</f>
        <v/>
      </c>
      <c r="E2012" s="27" t="str" cm="1">
        <f t="array" ref="E2012">IF(C2012="","",IFERROR(INDEX(STPP!$E$6:$E$4207,MATCH(C2012,STPP!$C$6:$C$4207,0)),"Not Found"))</f>
        <v/>
      </c>
      <c r="F2012" s="27" t="str" cm="1">
        <f t="array" ref="F2012">IF(C2012="","",IFERROR(INDEX(STPP!$F$6:$F$4207,MATCH(C2012,STPP!$C$6:$C$4207,0)),"Not Found"))</f>
        <v/>
      </c>
      <c r="G2012" s="25" t="str">
        <f>IF(表1[[#This Row],[No Seri]]="","",表1[[#This Row],[Deskripsi Barang]]+表1[[#This Row],[Kuantitas]]-表1[[#This Row],[Satuan]])</f>
        <v/>
      </c>
      <c r="H2012" s="28"/>
      <c r="I2012" s="25" t="str">
        <f>IF(表1[[#This Row],[Tgl NPBG]]&gt;表1[[#This Row],[Peminta]],表1[[#This Row],[Tgl NPBG]]-表1[[#This Row],[Peminta]],"")</f>
        <v/>
      </c>
      <c r="J2012" s="31"/>
    </row>
    <row r="2013" s="12" customFormat="1" customHeight="1" spans="2:10">
      <c r="B2013" s="25"/>
      <c r="C2013" s="25"/>
      <c r="D2013" s="26" t="str" cm="1">
        <f t="array" ref="D2013">IF(C2013="","",IFERROR(INDEX(STPP!$D$6:$D$4207,MATCH(C2013,STPP!$C$6:$C$4207,0)),"Not Found"))</f>
        <v/>
      </c>
      <c r="E2013" s="27" t="str" cm="1">
        <f t="array" ref="E2013">IF(C2013="","",IFERROR(INDEX(STPP!$E$6:$E$4207,MATCH(C2013,STPP!$C$6:$C$4207,0)),"Not Found"))</f>
        <v/>
      </c>
      <c r="F2013" s="27" t="str" cm="1">
        <f t="array" ref="F2013">IF(C2013="","",IFERROR(INDEX(STPP!$F$6:$F$4207,MATCH(C2013,STPP!$C$6:$C$4207,0)),"Not Found"))</f>
        <v/>
      </c>
      <c r="G2013" s="25" t="str">
        <f>IF(表1[[#This Row],[No Seri]]="","",表1[[#This Row],[Deskripsi Barang]]+表1[[#This Row],[Kuantitas]]-表1[[#This Row],[Satuan]])</f>
        <v/>
      </c>
      <c r="H2013" s="28"/>
      <c r="I2013" s="25" t="str">
        <f>IF(表1[[#This Row],[Tgl NPBG]]&gt;表1[[#This Row],[Peminta]],表1[[#This Row],[Tgl NPBG]]-表1[[#This Row],[Peminta]],"")</f>
        <v/>
      </c>
      <c r="J2013" s="31"/>
    </row>
    <row r="2014" s="12" customFormat="1" customHeight="1" spans="2:10">
      <c r="B2014" s="25"/>
      <c r="C2014" s="25"/>
      <c r="D2014" s="26" t="str" cm="1">
        <f t="array" ref="D2014">IF(C2014="","",IFERROR(INDEX(STPP!$D$6:$D$4207,MATCH(C2014,STPP!$C$6:$C$4207,0)),"Not Found"))</f>
        <v/>
      </c>
      <c r="E2014" s="27" t="str" cm="1">
        <f t="array" ref="E2014">IF(C2014="","",IFERROR(INDEX(STPP!$E$6:$E$4207,MATCH(C2014,STPP!$C$6:$C$4207,0)),"Not Found"))</f>
        <v/>
      </c>
      <c r="F2014" s="27" t="str" cm="1">
        <f t="array" ref="F2014">IF(C2014="","",IFERROR(INDEX(STPP!$F$6:$F$4207,MATCH(C2014,STPP!$C$6:$C$4207,0)),"Not Found"))</f>
        <v/>
      </c>
      <c r="G2014" s="25" t="str">
        <f>IF(表1[[#This Row],[No Seri]]="","",表1[[#This Row],[Deskripsi Barang]]+表1[[#This Row],[Kuantitas]]-表1[[#This Row],[Satuan]])</f>
        <v/>
      </c>
      <c r="H2014" s="28"/>
      <c r="I2014" s="25" t="str">
        <f>IF(表1[[#This Row],[Tgl NPBG]]&gt;表1[[#This Row],[Peminta]],表1[[#This Row],[Tgl NPBG]]-表1[[#This Row],[Peminta]],"")</f>
        <v/>
      </c>
      <c r="J2014" s="31"/>
    </row>
    <row r="2015" s="12" customFormat="1" customHeight="1" spans="2:10">
      <c r="B2015" s="25"/>
      <c r="C2015" s="25"/>
      <c r="D2015" s="26" t="str" cm="1">
        <f t="array" ref="D2015">IF(C2015="","",IFERROR(INDEX(STPP!$D$6:$D$4207,MATCH(C2015,STPP!$C$6:$C$4207,0)),"Not Found"))</f>
        <v/>
      </c>
      <c r="E2015" s="27" t="str" cm="1">
        <f t="array" ref="E2015">IF(C2015="","",IFERROR(INDEX(STPP!$E$6:$E$4207,MATCH(C2015,STPP!$C$6:$C$4207,0)),"Not Found"))</f>
        <v/>
      </c>
      <c r="F2015" s="27" t="str" cm="1">
        <f t="array" ref="F2015">IF(C2015="","",IFERROR(INDEX(STPP!$F$6:$F$4207,MATCH(C2015,STPP!$C$6:$C$4207,0)),"Not Found"))</f>
        <v/>
      </c>
      <c r="G2015" s="25" t="str">
        <f>IF(表1[[#This Row],[No Seri]]="","",表1[[#This Row],[Deskripsi Barang]]+表1[[#This Row],[Kuantitas]]-表1[[#This Row],[Satuan]])</f>
        <v/>
      </c>
      <c r="H2015" s="28"/>
      <c r="I2015" s="25" t="str">
        <f>IF(表1[[#This Row],[Tgl NPBG]]&gt;表1[[#This Row],[Peminta]],表1[[#This Row],[Tgl NPBG]]-表1[[#This Row],[Peminta]],"")</f>
        <v/>
      </c>
      <c r="J2015" s="31"/>
    </row>
    <row r="2016" s="12" customFormat="1" customHeight="1" spans="2:10">
      <c r="B2016" s="25"/>
      <c r="C2016" s="25"/>
      <c r="D2016" s="26" t="str" cm="1">
        <f t="array" ref="D2016">IF(C2016="","",IFERROR(INDEX(STPP!$D$6:$D$4207,MATCH(C2016,STPP!$C$6:$C$4207,0)),"Not Found"))</f>
        <v/>
      </c>
      <c r="E2016" s="27" t="str" cm="1">
        <f t="array" ref="E2016">IF(C2016="","",IFERROR(INDEX(STPP!$E$6:$E$4207,MATCH(C2016,STPP!$C$6:$C$4207,0)),"Not Found"))</f>
        <v/>
      </c>
      <c r="F2016" s="27" t="str" cm="1">
        <f t="array" ref="F2016">IF(C2016="","",IFERROR(INDEX(STPP!$F$6:$F$4207,MATCH(C2016,STPP!$C$6:$C$4207,0)),"Not Found"))</f>
        <v/>
      </c>
      <c r="G2016" s="25" t="str">
        <f>IF(表1[[#This Row],[No Seri]]="","",表1[[#This Row],[Deskripsi Barang]]+表1[[#This Row],[Kuantitas]]-表1[[#This Row],[Satuan]])</f>
        <v/>
      </c>
      <c r="H2016" s="28"/>
      <c r="I2016" s="25" t="str">
        <f>IF(表1[[#This Row],[Tgl NPBG]]&gt;表1[[#This Row],[Peminta]],表1[[#This Row],[Tgl NPBG]]-表1[[#This Row],[Peminta]],"")</f>
        <v/>
      </c>
      <c r="J2016" s="31"/>
    </row>
    <row r="2017" s="12" customFormat="1" customHeight="1" spans="2:10">
      <c r="B2017" s="25"/>
      <c r="C2017" s="25"/>
      <c r="D2017" s="26" t="str" cm="1">
        <f t="array" ref="D2017">IF(C2017="","",IFERROR(INDEX(STPP!$D$6:$D$4207,MATCH(C2017,STPP!$C$6:$C$4207,0)),"Not Found"))</f>
        <v/>
      </c>
      <c r="E2017" s="27" t="str" cm="1">
        <f t="array" ref="E2017">IF(C2017="","",IFERROR(INDEX(STPP!$E$6:$E$4207,MATCH(C2017,STPP!$C$6:$C$4207,0)),"Not Found"))</f>
        <v/>
      </c>
      <c r="F2017" s="27" t="str" cm="1">
        <f t="array" ref="F2017">IF(C2017="","",IFERROR(INDEX(STPP!$F$6:$F$4207,MATCH(C2017,STPP!$C$6:$C$4207,0)),"Not Found"))</f>
        <v/>
      </c>
      <c r="G2017" s="25" t="str">
        <f>IF(表1[[#This Row],[No Seri]]="","",表1[[#This Row],[Deskripsi Barang]]+表1[[#This Row],[Kuantitas]]-表1[[#This Row],[Satuan]])</f>
        <v/>
      </c>
      <c r="H2017" s="28"/>
      <c r="I2017" s="25" t="str">
        <f>IF(表1[[#This Row],[Tgl NPBG]]&gt;表1[[#This Row],[Peminta]],表1[[#This Row],[Tgl NPBG]]-表1[[#This Row],[Peminta]],"")</f>
        <v/>
      </c>
      <c r="J2017" s="31"/>
    </row>
    <row r="2018" s="12" customFormat="1" customHeight="1" spans="2:10">
      <c r="B2018" s="25"/>
      <c r="C2018" s="25"/>
      <c r="D2018" s="26" t="str" cm="1">
        <f t="array" ref="D2018">IF(C2018="","",IFERROR(INDEX(STPP!$D$6:$D$4207,MATCH(C2018,STPP!$C$6:$C$4207,0)),"Not Found"))</f>
        <v/>
      </c>
      <c r="E2018" s="27" t="str" cm="1">
        <f t="array" ref="E2018">IF(C2018="","",IFERROR(INDEX(STPP!$E$6:$E$4207,MATCH(C2018,STPP!$C$6:$C$4207,0)),"Not Found"))</f>
        <v/>
      </c>
      <c r="F2018" s="27" t="str" cm="1">
        <f t="array" ref="F2018">IF(C2018="","",IFERROR(INDEX(STPP!$F$6:$F$4207,MATCH(C2018,STPP!$C$6:$C$4207,0)),"Not Found"))</f>
        <v/>
      </c>
      <c r="G2018" s="25" t="str">
        <f>IF(表1[[#This Row],[No Seri]]="","",表1[[#This Row],[Deskripsi Barang]]+表1[[#This Row],[Kuantitas]]-表1[[#This Row],[Satuan]])</f>
        <v/>
      </c>
      <c r="H2018" s="28"/>
      <c r="I2018" s="25" t="str">
        <f>IF(表1[[#This Row],[Tgl NPBG]]&gt;表1[[#This Row],[Peminta]],表1[[#This Row],[Tgl NPBG]]-表1[[#This Row],[Peminta]],"")</f>
        <v/>
      </c>
      <c r="J2018" s="31"/>
    </row>
    <row r="2019" s="12" customFormat="1" customHeight="1" spans="2:10">
      <c r="B2019" s="25"/>
      <c r="C2019" s="25"/>
      <c r="D2019" s="26" t="str" cm="1">
        <f t="array" ref="D2019">IF(C2019="","",IFERROR(INDEX(STPP!$D$6:$D$4207,MATCH(C2019,STPP!$C$6:$C$4207,0)),"Not Found"))</f>
        <v/>
      </c>
      <c r="E2019" s="27" t="str" cm="1">
        <f t="array" ref="E2019">IF(C2019="","",IFERROR(INDEX(STPP!$E$6:$E$4207,MATCH(C2019,STPP!$C$6:$C$4207,0)),"Not Found"))</f>
        <v/>
      </c>
      <c r="F2019" s="27" t="str" cm="1">
        <f t="array" ref="F2019">IF(C2019="","",IFERROR(INDEX(STPP!$F$6:$F$4207,MATCH(C2019,STPP!$C$6:$C$4207,0)),"Not Found"))</f>
        <v/>
      </c>
      <c r="G2019" s="25" t="str">
        <f>IF(表1[[#This Row],[No Seri]]="","",表1[[#This Row],[Deskripsi Barang]]+表1[[#This Row],[Kuantitas]]-表1[[#This Row],[Satuan]])</f>
        <v/>
      </c>
      <c r="H2019" s="28"/>
      <c r="I2019" s="25" t="str">
        <f>IF(表1[[#This Row],[Tgl NPBG]]&gt;表1[[#This Row],[Peminta]],表1[[#This Row],[Tgl NPBG]]-表1[[#This Row],[Peminta]],"")</f>
        <v/>
      </c>
      <c r="J2019" s="31"/>
    </row>
    <row r="2020" s="12" customFormat="1" customHeight="1" spans="2:10">
      <c r="B2020" s="25"/>
      <c r="C2020" s="25"/>
      <c r="D2020" s="26" t="str" cm="1">
        <f t="array" ref="D2020">IF(C2020="","",IFERROR(INDEX(STPP!$D$6:$D$4207,MATCH(C2020,STPP!$C$6:$C$4207,0)),"Not Found"))</f>
        <v/>
      </c>
      <c r="E2020" s="27" t="str" cm="1">
        <f t="array" ref="E2020">IF(C2020="","",IFERROR(INDEX(STPP!$E$6:$E$4207,MATCH(C2020,STPP!$C$6:$C$4207,0)),"Not Found"))</f>
        <v/>
      </c>
      <c r="F2020" s="27" t="str" cm="1">
        <f t="array" ref="F2020">IF(C2020="","",IFERROR(INDEX(STPP!$F$6:$F$4207,MATCH(C2020,STPP!$C$6:$C$4207,0)),"Not Found"))</f>
        <v/>
      </c>
      <c r="G2020" s="25" t="str">
        <f>IF(表1[[#This Row],[No Seri]]="","",表1[[#This Row],[Deskripsi Barang]]+表1[[#This Row],[Kuantitas]]-表1[[#This Row],[Satuan]])</f>
        <v/>
      </c>
      <c r="H2020" s="28"/>
      <c r="I2020" s="25" t="str">
        <f>IF(表1[[#This Row],[Tgl NPBG]]&gt;表1[[#This Row],[Peminta]],表1[[#This Row],[Tgl NPBG]]-表1[[#This Row],[Peminta]],"")</f>
        <v/>
      </c>
      <c r="J2020" s="31"/>
    </row>
    <row r="2021" s="12" customFormat="1" customHeight="1" spans="2:10">
      <c r="B2021" s="25"/>
      <c r="C2021" s="25"/>
      <c r="D2021" s="26" t="str" cm="1">
        <f t="array" ref="D2021">IF(C2021="","",IFERROR(INDEX(STPP!$D$6:$D$4207,MATCH(C2021,STPP!$C$6:$C$4207,0)),"Not Found"))</f>
        <v/>
      </c>
      <c r="E2021" s="27" t="str" cm="1">
        <f t="array" ref="E2021">IF(C2021="","",IFERROR(INDEX(STPP!$E$6:$E$4207,MATCH(C2021,STPP!$C$6:$C$4207,0)),"Not Found"))</f>
        <v/>
      </c>
      <c r="F2021" s="27" t="str" cm="1">
        <f t="array" ref="F2021">IF(C2021="","",IFERROR(INDEX(STPP!$F$6:$F$4207,MATCH(C2021,STPP!$C$6:$C$4207,0)),"Not Found"))</f>
        <v/>
      </c>
      <c r="G2021" s="25" t="str">
        <f>IF(表1[[#This Row],[No Seri]]="","",表1[[#This Row],[Deskripsi Barang]]+表1[[#This Row],[Kuantitas]]-表1[[#This Row],[Satuan]])</f>
        <v/>
      </c>
      <c r="H2021" s="28"/>
      <c r="I2021" s="25" t="str">
        <f>IF(表1[[#This Row],[Tgl NPBG]]&gt;表1[[#This Row],[Peminta]],表1[[#This Row],[Tgl NPBG]]-表1[[#This Row],[Peminta]],"")</f>
        <v/>
      </c>
      <c r="J2021" s="31"/>
    </row>
    <row r="2022" s="12" customFormat="1" customHeight="1" spans="2:10">
      <c r="B2022" s="25"/>
      <c r="C2022" s="25"/>
      <c r="D2022" s="26" t="str" cm="1">
        <f t="array" ref="D2022">IF(C2022="","",IFERROR(INDEX(STPP!$D$6:$D$4207,MATCH(C2022,STPP!$C$6:$C$4207,0)),"Not Found"))</f>
        <v/>
      </c>
      <c r="E2022" s="27" t="str" cm="1">
        <f t="array" ref="E2022">IF(C2022="","",IFERROR(INDEX(STPP!$E$6:$E$4207,MATCH(C2022,STPP!$C$6:$C$4207,0)),"Not Found"))</f>
        <v/>
      </c>
      <c r="F2022" s="27" t="str" cm="1">
        <f t="array" ref="F2022">IF(C2022="","",IFERROR(INDEX(STPP!$F$6:$F$4207,MATCH(C2022,STPP!$C$6:$C$4207,0)),"Not Found"))</f>
        <v/>
      </c>
      <c r="G2022" s="25" t="str">
        <f>IF(表1[[#This Row],[No Seri]]="","",表1[[#This Row],[Deskripsi Barang]]+表1[[#This Row],[Kuantitas]]-表1[[#This Row],[Satuan]])</f>
        <v/>
      </c>
      <c r="H2022" s="28"/>
      <c r="I2022" s="25" t="str">
        <f>IF(表1[[#This Row],[Tgl NPBG]]&gt;表1[[#This Row],[Peminta]],表1[[#This Row],[Tgl NPBG]]-表1[[#This Row],[Peminta]],"")</f>
        <v/>
      </c>
      <c r="J2022" s="31"/>
    </row>
    <row r="2023" s="12" customFormat="1" customHeight="1" spans="2:10">
      <c r="B2023" s="25"/>
      <c r="C2023" s="25"/>
      <c r="D2023" s="26" t="str" cm="1">
        <f t="array" ref="D2023">IF(C2023="","",IFERROR(INDEX(STPP!$D$6:$D$4207,MATCH(C2023,STPP!$C$6:$C$4207,0)),"Not Found"))</f>
        <v/>
      </c>
      <c r="E2023" s="27" t="str" cm="1">
        <f t="array" ref="E2023">IF(C2023="","",IFERROR(INDEX(STPP!$E$6:$E$4207,MATCH(C2023,STPP!$C$6:$C$4207,0)),"Not Found"))</f>
        <v/>
      </c>
      <c r="F2023" s="27" t="str" cm="1">
        <f t="array" ref="F2023">IF(C2023="","",IFERROR(INDEX(STPP!$F$6:$F$4207,MATCH(C2023,STPP!$C$6:$C$4207,0)),"Not Found"))</f>
        <v/>
      </c>
      <c r="G2023" s="25" t="str">
        <f>IF(表1[[#This Row],[No Seri]]="","",表1[[#This Row],[Deskripsi Barang]]+表1[[#This Row],[Kuantitas]]-表1[[#This Row],[Satuan]])</f>
        <v/>
      </c>
      <c r="H2023" s="28"/>
      <c r="I2023" s="25" t="str">
        <f>IF(表1[[#This Row],[Tgl NPBG]]&gt;表1[[#This Row],[Peminta]],表1[[#This Row],[Tgl NPBG]]-表1[[#This Row],[Peminta]],"")</f>
        <v/>
      </c>
      <c r="J2023" s="31"/>
    </row>
    <row r="2024" s="12" customFormat="1" customHeight="1" spans="2:10">
      <c r="B2024" s="25"/>
      <c r="C2024" s="25"/>
      <c r="D2024" s="26" t="str" cm="1">
        <f t="array" ref="D2024">IF(C2024="","",IFERROR(INDEX(STPP!$D$6:$D$4207,MATCH(C2024,STPP!$C$6:$C$4207,0)),"Not Found"))</f>
        <v/>
      </c>
      <c r="E2024" s="27" t="str" cm="1">
        <f t="array" ref="E2024">IF(C2024="","",IFERROR(INDEX(STPP!$E$6:$E$4207,MATCH(C2024,STPP!$C$6:$C$4207,0)),"Not Found"))</f>
        <v/>
      </c>
      <c r="F2024" s="27" t="str" cm="1">
        <f t="array" ref="F2024">IF(C2024="","",IFERROR(INDEX(STPP!$F$6:$F$4207,MATCH(C2024,STPP!$C$6:$C$4207,0)),"Not Found"))</f>
        <v/>
      </c>
      <c r="G2024" s="25" t="str">
        <f>IF(表1[[#This Row],[No Seri]]="","",表1[[#This Row],[Deskripsi Barang]]+表1[[#This Row],[Kuantitas]]-表1[[#This Row],[Satuan]])</f>
        <v/>
      </c>
      <c r="H2024" s="28"/>
      <c r="I2024" s="25" t="str">
        <f>IF(表1[[#This Row],[Tgl NPBG]]&gt;表1[[#This Row],[Peminta]],表1[[#This Row],[Tgl NPBG]]-表1[[#This Row],[Peminta]],"")</f>
        <v/>
      </c>
      <c r="J2024" s="31"/>
    </row>
    <row r="2025" s="12" customFormat="1" customHeight="1" spans="2:10">
      <c r="B2025" s="25"/>
      <c r="C2025" s="25"/>
      <c r="D2025" s="26" t="str" cm="1">
        <f t="array" ref="D2025">IF(C2025="","",IFERROR(INDEX(STPP!$D$6:$D$4207,MATCH(C2025,STPP!$C$6:$C$4207,0)),"Not Found"))</f>
        <v/>
      </c>
      <c r="E2025" s="27" t="str" cm="1">
        <f t="array" ref="E2025">IF(C2025="","",IFERROR(INDEX(STPP!$E$6:$E$4207,MATCH(C2025,STPP!$C$6:$C$4207,0)),"Not Found"))</f>
        <v/>
      </c>
      <c r="F2025" s="27" t="str" cm="1">
        <f t="array" ref="F2025">IF(C2025="","",IFERROR(INDEX(STPP!$F$6:$F$4207,MATCH(C2025,STPP!$C$6:$C$4207,0)),"Not Found"))</f>
        <v/>
      </c>
      <c r="G2025" s="25" t="str">
        <f>IF(表1[[#This Row],[No Seri]]="","",表1[[#This Row],[Deskripsi Barang]]+表1[[#This Row],[Kuantitas]]-表1[[#This Row],[Satuan]])</f>
        <v/>
      </c>
      <c r="H2025" s="28"/>
      <c r="I2025" s="25" t="str">
        <f>IF(表1[[#This Row],[Tgl NPBG]]&gt;表1[[#This Row],[Peminta]],表1[[#This Row],[Tgl NPBG]]-表1[[#This Row],[Peminta]],"")</f>
        <v/>
      </c>
      <c r="J2025" s="31"/>
    </row>
    <row r="2026" s="12" customFormat="1" customHeight="1" spans="2:10">
      <c r="B2026" s="25"/>
      <c r="C2026" s="25"/>
      <c r="D2026" s="26" t="str" cm="1">
        <f t="array" ref="D2026">IF(C2026="","",IFERROR(INDEX(STPP!$D$6:$D$4207,MATCH(C2026,STPP!$C$6:$C$4207,0)),"Not Found"))</f>
        <v/>
      </c>
      <c r="E2026" s="27" t="str" cm="1">
        <f t="array" ref="E2026">IF(C2026="","",IFERROR(INDEX(STPP!$E$6:$E$4207,MATCH(C2026,STPP!$C$6:$C$4207,0)),"Not Found"))</f>
        <v/>
      </c>
      <c r="F2026" s="27" t="str" cm="1">
        <f t="array" ref="F2026">IF(C2026="","",IFERROR(INDEX(STPP!$F$6:$F$4207,MATCH(C2026,STPP!$C$6:$C$4207,0)),"Not Found"))</f>
        <v/>
      </c>
      <c r="G2026" s="25" t="str">
        <f>IF(表1[[#This Row],[No Seri]]="","",表1[[#This Row],[Deskripsi Barang]]+表1[[#This Row],[Kuantitas]]-表1[[#This Row],[Satuan]])</f>
        <v/>
      </c>
      <c r="H2026" s="28"/>
      <c r="I2026" s="25" t="str">
        <f>IF(表1[[#This Row],[Tgl NPBG]]&gt;表1[[#This Row],[Peminta]],表1[[#This Row],[Tgl NPBG]]-表1[[#This Row],[Peminta]],"")</f>
        <v/>
      </c>
      <c r="J2026" s="31"/>
    </row>
    <row r="2027" s="12" customFormat="1" customHeight="1" spans="2:10">
      <c r="B2027" s="25"/>
      <c r="C2027" s="25"/>
      <c r="D2027" s="26" t="str" cm="1">
        <f t="array" ref="D2027">IF(C2027="","",IFERROR(INDEX(STPP!$D$6:$D$4207,MATCH(C2027,STPP!$C$6:$C$4207,0)),"Not Found"))</f>
        <v/>
      </c>
      <c r="E2027" s="27" t="str" cm="1">
        <f t="array" ref="E2027">IF(C2027="","",IFERROR(INDEX(STPP!$E$6:$E$4207,MATCH(C2027,STPP!$C$6:$C$4207,0)),"Not Found"))</f>
        <v/>
      </c>
      <c r="F2027" s="27" t="str" cm="1">
        <f t="array" ref="F2027">IF(C2027="","",IFERROR(INDEX(STPP!$F$6:$F$4207,MATCH(C2027,STPP!$C$6:$C$4207,0)),"Not Found"))</f>
        <v/>
      </c>
      <c r="G2027" s="25" t="str">
        <f>IF(表1[[#This Row],[No Seri]]="","",表1[[#This Row],[Deskripsi Barang]]+表1[[#This Row],[Kuantitas]]-表1[[#This Row],[Satuan]])</f>
        <v/>
      </c>
      <c r="H2027" s="28"/>
      <c r="I2027" s="25" t="str">
        <f>IF(表1[[#This Row],[Tgl NPBG]]&gt;表1[[#This Row],[Peminta]],表1[[#This Row],[Tgl NPBG]]-表1[[#This Row],[Peminta]],"")</f>
        <v/>
      </c>
      <c r="J2027" s="31"/>
    </row>
    <row r="2028" s="12" customFormat="1" customHeight="1" spans="2:10">
      <c r="B2028" s="25"/>
      <c r="C2028" s="25"/>
      <c r="D2028" s="26" t="str" cm="1">
        <f t="array" ref="D2028">IF(C2028="","",IFERROR(INDEX(STPP!$D$6:$D$4207,MATCH(C2028,STPP!$C$6:$C$4207,0)),"Not Found"))</f>
        <v/>
      </c>
      <c r="E2028" s="27" t="str" cm="1">
        <f t="array" ref="E2028">IF(C2028="","",IFERROR(INDEX(STPP!$E$6:$E$4207,MATCH(C2028,STPP!$C$6:$C$4207,0)),"Not Found"))</f>
        <v/>
      </c>
      <c r="F2028" s="27" t="str" cm="1">
        <f t="array" ref="F2028">IF(C2028="","",IFERROR(INDEX(STPP!$F$6:$F$4207,MATCH(C2028,STPP!$C$6:$C$4207,0)),"Not Found"))</f>
        <v/>
      </c>
      <c r="G2028" s="25" t="str">
        <f>IF(表1[[#This Row],[No Seri]]="","",表1[[#This Row],[Deskripsi Barang]]+表1[[#This Row],[Kuantitas]]-表1[[#This Row],[Satuan]])</f>
        <v/>
      </c>
      <c r="H2028" s="28"/>
      <c r="I2028" s="25" t="str">
        <f>IF(表1[[#This Row],[Tgl NPBG]]&gt;表1[[#This Row],[Peminta]],表1[[#This Row],[Tgl NPBG]]-表1[[#This Row],[Peminta]],"")</f>
        <v/>
      </c>
      <c r="J2028" s="31"/>
    </row>
    <row r="2029" s="12" customFormat="1" customHeight="1" spans="2:10">
      <c r="B2029" s="25"/>
      <c r="C2029" s="25"/>
      <c r="D2029" s="26" t="str" cm="1">
        <f t="array" ref="D2029">IF(C2029="","",IFERROR(INDEX(STPP!$D$6:$D$4207,MATCH(C2029,STPP!$C$6:$C$4207,0)),"Not Found"))</f>
        <v/>
      </c>
      <c r="E2029" s="27" t="str" cm="1">
        <f t="array" ref="E2029">IF(C2029="","",IFERROR(INDEX(STPP!$E$6:$E$4207,MATCH(C2029,STPP!$C$6:$C$4207,0)),"Not Found"))</f>
        <v/>
      </c>
      <c r="F2029" s="27" t="str" cm="1">
        <f t="array" ref="F2029">IF(C2029="","",IFERROR(INDEX(STPP!$F$6:$F$4207,MATCH(C2029,STPP!$C$6:$C$4207,0)),"Not Found"))</f>
        <v/>
      </c>
      <c r="G2029" s="25" t="str">
        <f>IF(表1[[#This Row],[No Seri]]="","",表1[[#This Row],[Deskripsi Barang]]+表1[[#This Row],[Kuantitas]]-表1[[#This Row],[Satuan]])</f>
        <v/>
      </c>
      <c r="H2029" s="28"/>
      <c r="I2029" s="25" t="str">
        <f>IF(表1[[#This Row],[Tgl NPBG]]&gt;表1[[#This Row],[Peminta]],表1[[#This Row],[Tgl NPBG]]-表1[[#This Row],[Peminta]],"")</f>
        <v/>
      </c>
      <c r="J2029" s="31"/>
    </row>
    <row r="2030" s="12" customFormat="1" customHeight="1" spans="2:10">
      <c r="B2030" s="25"/>
      <c r="C2030" s="25"/>
      <c r="D2030" s="26" t="str" cm="1">
        <f t="array" ref="D2030">IF(C2030="","",IFERROR(INDEX(STPP!$D$6:$D$4207,MATCH(C2030,STPP!$C$6:$C$4207,0)),"Not Found"))</f>
        <v/>
      </c>
      <c r="E2030" s="27" t="str" cm="1">
        <f t="array" ref="E2030">IF(C2030="","",IFERROR(INDEX(STPP!$E$6:$E$4207,MATCH(C2030,STPP!$C$6:$C$4207,0)),"Not Found"))</f>
        <v/>
      </c>
      <c r="F2030" s="27" t="str" cm="1">
        <f t="array" ref="F2030">IF(C2030="","",IFERROR(INDEX(STPP!$F$6:$F$4207,MATCH(C2030,STPP!$C$6:$C$4207,0)),"Not Found"))</f>
        <v/>
      </c>
      <c r="G2030" s="25" t="str">
        <f>IF(表1[[#This Row],[No Seri]]="","",表1[[#This Row],[Deskripsi Barang]]+表1[[#This Row],[Kuantitas]]-表1[[#This Row],[Satuan]])</f>
        <v/>
      </c>
      <c r="H2030" s="28"/>
      <c r="I2030" s="25" t="str">
        <f>IF(表1[[#This Row],[Tgl NPBG]]&gt;表1[[#This Row],[Peminta]],表1[[#This Row],[Tgl NPBG]]-表1[[#This Row],[Peminta]],"")</f>
        <v/>
      </c>
      <c r="J2030" s="31"/>
    </row>
    <row r="2031" s="12" customFormat="1" customHeight="1" spans="2:10">
      <c r="B2031" s="25"/>
      <c r="C2031" s="25"/>
      <c r="D2031" s="26" t="str" cm="1">
        <f t="array" ref="D2031">IF(C2031="","",IFERROR(INDEX(STPP!$D$6:$D$4207,MATCH(C2031,STPP!$C$6:$C$4207,0)),"Not Found"))</f>
        <v/>
      </c>
      <c r="E2031" s="27" t="str" cm="1">
        <f t="array" ref="E2031">IF(C2031="","",IFERROR(INDEX(STPP!$E$6:$E$4207,MATCH(C2031,STPP!$C$6:$C$4207,0)),"Not Found"))</f>
        <v/>
      </c>
      <c r="F2031" s="27" t="str" cm="1">
        <f t="array" ref="F2031">IF(C2031="","",IFERROR(INDEX(STPP!$F$6:$F$4207,MATCH(C2031,STPP!$C$6:$C$4207,0)),"Not Found"))</f>
        <v/>
      </c>
      <c r="G2031" s="25" t="str">
        <f>IF(表1[[#This Row],[No Seri]]="","",表1[[#This Row],[Deskripsi Barang]]+表1[[#This Row],[Kuantitas]]-表1[[#This Row],[Satuan]])</f>
        <v/>
      </c>
      <c r="H2031" s="28"/>
      <c r="I2031" s="25" t="str">
        <f>IF(表1[[#This Row],[Tgl NPBG]]&gt;表1[[#This Row],[Peminta]],表1[[#This Row],[Tgl NPBG]]-表1[[#This Row],[Peminta]],"")</f>
        <v/>
      </c>
      <c r="J2031" s="31"/>
    </row>
    <row r="2032" s="12" customFormat="1" customHeight="1" spans="2:10">
      <c r="B2032" s="25"/>
      <c r="C2032" s="25"/>
      <c r="D2032" s="26" t="str" cm="1">
        <f t="array" ref="D2032">IF(C2032="","",IFERROR(INDEX(STPP!$D$6:$D$4207,MATCH(C2032,STPP!$C$6:$C$4207,0)),"Not Found"))</f>
        <v/>
      </c>
      <c r="E2032" s="27" t="str" cm="1">
        <f t="array" ref="E2032">IF(C2032="","",IFERROR(INDEX(STPP!$E$6:$E$4207,MATCH(C2032,STPP!$C$6:$C$4207,0)),"Not Found"))</f>
        <v/>
      </c>
      <c r="F2032" s="27" t="str" cm="1">
        <f t="array" ref="F2032">IF(C2032="","",IFERROR(INDEX(STPP!$F$6:$F$4207,MATCH(C2032,STPP!$C$6:$C$4207,0)),"Not Found"))</f>
        <v/>
      </c>
      <c r="G2032" s="25" t="str">
        <f>IF(表1[[#This Row],[No Seri]]="","",表1[[#This Row],[Deskripsi Barang]]+表1[[#This Row],[Kuantitas]]-表1[[#This Row],[Satuan]])</f>
        <v/>
      </c>
      <c r="H2032" s="28"/>
      <c r="I2032" s="25" t="str">
        <f>IF(表1[[#This Row],[Tgl NPBG]]&gt;表1[[#This Row],[Peminta]],表1[[#This Row],[Tgl NPBG]]-表1[[#This Row],[Peminta]],"")</f>
        <v/>
      </c>
      <c r="J2032" s="31"/>
    </row>
    <row r="2033" s="12" customFormat="1" customHeight="1" spans="2:10">
      <c r="B2033" s="25"/>
      <c r="C2033" s="25"/>
      <c r="D2033" s="26" t="str" cm="1">
        <f t="array" ref="D2033">IF(C2033="","",IFERROR(INDEX(STPP!$D$6:$D$4207,MATCH(C2033,STPP!$C$6:$C$4207,0)),"Not Found"))</f>
        <v/>
      </c>
      <c r="E2033" s="27" t="str" cm="1">
        <f t="array" ref="E2033">IF(C2033="","",IFERROR(INDEX(STPP!$E$6:$E$4207,MATCH(C2033,STPP!$C$6:$C$4207,0)),"Not Found"))</f>
        <v/>
      </c>
      <c r="F2033" s="27" t="str" cm="1">
        <f t="array" ref="F2033">IF(C2033="","",IFERROR(INDEX(STPP!$F$6:$F$4207,MATCH(C2033,STPP!$C$6:$C$4207,0)),"Not Found"))</f>
        <v/>
      </c>
      <c r="G2033" s="25" t="str">
        <f>IF(表1[[#This Row],[No Seri]]="","",表1[[#This Row],[Deskripsi Barang]]+表1[[#This Row],[Kuantitas]]-表1[[#This Row],[Satuan]])</f>
        <v/>
      </c>
      <c r="H2033" s="28"/>
      <c r="I2033" s="25" t="str">
        <f>IF(表1[[#This Row],[Tgl NPBG]]&gt;表1[[#This Row],[Peminta]],表1[[#This Row],[Tgl NPBG]]-表1[[#This Row],[Peminta]],"")</f>
        <v/>
      </c>
      <c r="J2033" s="31"/>
    </row>
    <row r="2034" s="12" customFormat="1" customHeight="1" spans="2:10">
      <c r="B2034" s="25"/>
      <c r="C2034" s="25"/>
      <c r="D2034" s="26" t="str" cm="1">
        <f t="array" ref="D2034">IF(C2034="","",IFERROR(INDEX(STPP!$D$6:$D$4207,MATCH(C2034,STPP!$C$6:$C$4207,0)),"Not Found"))</f>
        <v/>
      </c>
      <c r="E2034" s="27" t="str" cm="1">
        <f t="array" ref="E2034">IF(C2034="","",IFERROR(INDEX(STPP!$E$6:$E$4207,MATCH(C2034,STPP!$C$6:$C$4207,0)),"Not Found"))</f>
        <v/>
      </c>
      <c r="F2034" s="27" t="str" cm="1">
        <f t="array" ref="F2034">IF(C2034="","",IFERROR(INDEX(STPP!$F$6:$F$4207,MATCH(C2034,STPP!$C$6:$C$4207,0)),"Not Found"))</f>
        <v/>
      </c>
      <c r="G2034" s="25" t="str">
        <f>IF(表1[[#This Row],[No Seri]]="","",表1[[#This Row],[Deskripsi Barang]]+表1[[#This Row],[Kuantitas]]-表1[[#This Row],[Satuan]])</f>
        <v/>
      </c>
      <c r="H2034" s="28"/>
      <c r="I2034" s="25" t="str">
        <f>IF(表1[[#This Row],[Tgl NPBG]]&gt;表1[[#This Row],[Peminta]],表1[[#This Row],[Tgl NPBG]]-表1[[#This Row],[Peminta]],"")</f>
        <v/>
      </c>
      <c r="J2034" s="31"/>
    </row>
    <row r="2035" s="12" customFormat="1" customHeight="1" spans="2:10">
      <c r="B2035" s="25"/>
      <c r="C2035" s="25"/>
      <c r="D2035" s="26" t="str" cm="1">
        <f t="array" ref="D2035">IF(C2035="","",IFERROR(INDEX(STPP!$D$6:$D$4207,MATCH(C2035,STPP!$C$6:$C$4207,0)),"Not Found"))</f>
        <v/>
      </c>
      <c r="E2035" s="27" t="str" cm="1">
        <f t="array" ref="E2035">IF(C2035="","",IFERROR(INDEX(STPP!$E$6:$E$4207,MATCH(C2035,STPP!$C$6:$C$4207,0)),"Not Found"))</f>
        <v/>
      </c>
      <c r="F2035" s="27" t="str" cm="1">
        <f t="array" ref="F2035">IF(C2035="","",IFERROR(INDEX(STPP!$F$6:$F$4207,MATCH(C2035,STPP!$C$6:$C$4207,0)),"Not Found"))</f>
        <v/>
      </c>
      <c r="G2035" s="25" t="str">
        <f>IF(表1[[#This Row],[No Seri]]="","",表1[[#This Row],[Deskripsi Barang]]+表1[[#This Row],[Kuantitas]]-表1[[#This Row],[Satuan]])</f>
        <v/>
      </c>
      <c r="H2035" s="28"/>
      <c r="I2035" s="25" t="str">
        <f>IF(表1[[#This Row],[Tgl NPBG]]&gt;表1[[#This Row],[Peminta]],表1[[#This Row],[Tgl NPBG]]-表1[[#This Row],[Peminta]],"")</f>
        <v/>
      </c>
      <c r="J2035" s="31"/>
    </row>
    <row r="2036" s="12" customFormat="1" customHeight="1" spans="2:10">
      <c r="B2036" s="25"/>
      <c r="C2036" s="25"/>
      <c r="D2036" s="26" t="str" cm="1">
        <f t="array" ref="D2036">IF(C2036="","",IFERROR(INDEX(STPP!$D$6:$D$4207,MATCH(C2036,STPP!$C$6:$C$4207,0)),"Not Found"))</f>
        <v/>
      </c>
      <c r="E2036" s="27" t="str" cm="1">
        <f t="array" ref="E2036">IF(C2036="","",IFERROR(INDEX(STPP!$E$6:$E$4207,MATCH(C2036,STPP!$C$6:$C$4207,0)),"Not Found"))</f>
        <v/>
      </c>
      <c r="F2036" s="27" t="str" cm="1">
        <f t="array" ref="F2036">IF(C2036="","",IFERROR(INDEX(STPP!$F$6:$F$4207,MATCH(C2036,STPP!$C$6:$C$4207,0)),"Not Found"))</f>
        <v/>
      </c>
      <c r="G2036" s="25" t="str">
        <f>IF(表1[[#This Row],[No Seri]]="","",表1[[#This Row],[Deskripsi Barang]]+表1[[#This Row],[Kuantitas]]-表1[[#This Row],[Satuan]])</f>
        <v/>
      </c>
      <c r="H2036" s="28"/>
      <c r="I2036" s="25" t="str">
        <f>IF(表1[[#This Row],[Tgl NPBG]]&gt;表1[[#This Row],[Peminta]],表1[[#This Row],[Tgl NPBG]]-表1[[#This Row],[Peminta]],"")</f>
        <v/>
      </c>
      <c r="J2036" s="31"/>
    </row>
    <row r="2037" s="12" customFormat="1" customHeight="1" spans="2:10">
      <c r="B2037" s="25"/>
      <c r="C2037" s="25"/>
      <c r="D2037" s="26" t="str" cm="1">
        <f t="array" ref="D2037">IF(C2037="","",IFERROR(INDEX(STPP!$D$6:$D$4207,MATCH(C2037,STPP!$C$6:$C$4207,0)),"Not Found"))</f>
        <v/>
      </c>
      <c r="E2037" s="27" t="str" cm="1">
        <f t="array" ref="E2037">IF(C2037="","",IFERROR(INDEX(STPP!$E$6:$E$4207,MATCH(C2037,STPP!$C$6:$C$4207,0)),"Not Found"))</f>
        <v/>
      </c>
      <c r="F2037" s="27" t="str" cm="1">
        <f t="array" ref="F2037">IF(C2037="","",IFERROR(INDEX(STPP!$F$6:$F$4207,MATCH(C2037,STPP!$C$6:$C$4207,0)),"Not Found"))</f>
        <v/>
      </c>
      <c r="G2037" s="25" t="str">
        <f>IF(表1[[#This Row],[No Seri]]="","",表1[[#This Row],[Deskripsi Barang]]+表1[[#This Row],[Kuantitas]]-表1[[#This Row],[Satuan]])</f>
        <v/>
      </c>
      <c r="H2037" s="28"/>
      <c r="I2037" s="25" t="str">
        <f>IF(表1[[#This Row],[Tgl NPBG]]&gt;表1[[#This Row],[Peminta]],表1[[#This Row],[Tgl NPBG]]-表1[[#This Row],[Peminta]],"")</f>
        <v/>
      </c>
      <c r="J2037" s="31"/>
    </row>
    <row r="2038" s="12" customFormat="1" customHeight="1" spans="2:10">
      <c r="B2038" s="25"/>
      <c r="C2038" s="25"/>
      <c r="D2038" s="26" t="str" cm="1">
        <f t="array" ref="D2038">IF(C2038="","",IFERROR(INDEX(STPP!$D$6:$D$4207,MATCH(C2038,STPP!$C$6:$C$4207,0)),"Not Found"))</f>
        <v/>
      </c>
      <c r="E2038" s="27" t="str" cm="1">
        <f t="array" ref="E2038">IF(C2038="","",IFERROR(INDEX(STPP!$E$6:$E$4207,MATCH(C2038,STPP!$C$6:$C$4207,0)),"Not Found"))</f>
        <v/>
      </c>
      <c r="F2038" s="27" t="str" cm="1">
        <f t="array" ref="F2038">IF(C2038="","",IFERROR(INDEX(STPP!$F$6:$F$4207,MATCH(C2038,STPP!$C$6:$C$4207,0)),"Not Found"))</f>
        <v/>
      </c>
      <c r="G2038" s="25" t="str">
        <f>IF(表1[[#This Row],[No Seri]]="","",表1[[#This Row],[Deskripsi Barang]]+表1[[#This Row],[Kuantitas]]-表1[[#This Row],[Satuan]])</f>
        <v/>
      </c>
      <c r="H2038" s="28"/>
      <c r="I2038" s="25" t="str">
        <f>IF(表1[[#This Row],[Tgl NPBG]]&gt;表1[[#This Row],[Peminta]],表1[[#This Row],[Tgl NPBG]]-表1[[#This Row],[Peminta]],"")</f>
        <v/>
      </c>
      <c r="J2038" s="31"/>
    </row>
    <row r="2039" s="12" customFormat="1" customHeight="1" spans="2:10">
      <c r="B2039" s="25"/>
      <c r="C2039" s="25"/>
      <c r="D2039" s="26" t="str" cm="1">
        <f t="array" ref="D2039">IF(C2039="","",IFERROR(INDEX(STPP!$D$6:$D$4207,MATCH(C2039,STPP!$C$6:$C$4207,0)),"Not Found"))</f>
        <v/>
      </c>
      <c r="E2039" s="27" t="str" cm="1">
        <f t="array" ref="E2039">IF(C2039="","",IFERROR(INDEX(STPP!$E$6:$E$4207,MATCH(C2039,STPP!$C$6:$C$4207,0)),"Not Found"))</f>
        <v/>
      </c>
      <c r="F2039" s="27" t="str" cm="1">
        <f t="array" ref="F2039">IF(C2039="","",IFERROR(INDEX(STPP!$F$6:$F$4207,MATCH(C2039,STPP!$C$6:$C$4207,0)),"Not Found"))</f>
        <v/>
      </c>
      <c r="G2039" s="25" t="str">
        <f>IF(表1[[#This Row],[No Seri]]="","",表1[[#This Row],[Deskripsi Barang]]+表1[[#This Row],[Kuantitas]]-表1[[#This Row],[Satuan]])</f>
        <v/>
      </c>
      <c r="H2039" s="28"/>
      <c r="I2039" s="25" t="str">
        <f>IF(表1[[#This Row],[Tgl NPBG]]&gt;表1[[#This Row],[Peminta]],表1[[#This Row],[Tgl NPBG]]-表1[[#This Row],[Peminta]],"")</f>
        <v/>
      </c>
      <c r="J2039" s="31"/>
    </row>
    <row r="2040" s="12" customFormat="1" customHeight="1" spans="2:10">
      <c r="B2040" s="25"/>
      <c r="C2040" s="25"/>
      <c r="D2040" s="26" t="str" cm="1">
        <f t="array" ref="D2040">IF(C2040="","",IFERROR(INDEX(STPP!$D$6:$D$4207,MATCH(C2040,STPP!$C$6:$C$4207,0)),"Not Found"))</f>
        <v/>
      </c>
      <c r="E2040" s="27" t="str" cm="1">
        <f t="array" ref="E2040">IF(C2040="","",IFERROR(INDEX(STPP!$E$6:$E$4207,MATCH(C2040,STPP!$C$6:$C$4207,0)),"Not Found"))</f>
        <v/>
      </c>
      <c r="F2040" s="27" t="str" cm="1">
        <f t="array" ref="F2040">IF(C2040="","",IFERROR(INDEX(STPP!$F$6:$F$4207,MATCH(C2040,STPP!$C$6:$C$4207,0)),"Not Found"))</f>
        <v/>
      </c>
      <c r="G2040" s="25" t="str">
        <f>IF(表1[[#This Row],[No Seri]]="","",表1[[#This Row],[Deskripsi Barang]]+表1[[#This Row],[Kuantitas]]-表1[[#This Row],[Satuan]])</f>
        <v/>
      </c>
      <c r="H2040" s="28"/>
      <c r="I2040" s="25" t="str">
        <f>IF(表1[[#This Row],[Tgl NPBG]]&gt;表1[[#This Row],[Peminta]],表1[[#This Row],[Tgl NPBG]]-表1[[#This Row],[Peminta]],"")</f>
        <v/>
      </c>
      <c r="J2040" s="31"/>
    </row>
    <row r="2041" s="12" customFormat="1" customHeight="1" spans="2:10">
      <c r="B2041" s="25"/>
      <c r="C2041" s="25"/>
      <c r="D2041" s="26" t="str" cm="1">
        <f t="array" ref="D2041">IF(C2041="","",IFERROR(INDEX(STPP!$D$6:$D$4207,MATCH(C2041,STPP!$C$6:$C$4207,0)),"Not Found"))</f>
        <v/>
      </c>
      <c r="E2041" s="27" t="str" cm="1">
        <f t="array" ref="E2041">IF(C2041="","",IFERROR(INDEX(STPP!$E$6:$E$4207,MATCH(C2041,STPP!$C$6:$C$4207,0)),"Not Found"))</f>
        <v/>
      </c>
      <c r="F2041" s="27" t="str" cm="1">
        <f t="array" ref="F2041">IF(C2041="","",IFERROR(INDEX(STPP!$F$6:$F$4207,MATCH(C2041,STPP!$C$6:$C$4207,0)),"Not Found"))</f>
        <v/>
      </c>
      <c r="G2041" s="25" t="str">
        <f>IF(表1[[#This Row],[No Seri]]="","",表1[[#This Row],[Deskripsi Barang]]+表1[[#This Row],[Kuantitas]]-表1[[#This Row],[Satuan]])</f>
        <v/>
      </c>
      <c r="H2041" s="28"/>
      <c r="I2041" s="25" t="str">
        <f>IF(表1[[#This Row],[Tgl NPBG]]&gt;表1[[#This Row],[Peminta]],表1[[#This Row],[Tgl NPBG]]-表1[[#This Row],[Peminta]],"")</f>
        <v/>
      </c>
      <c r="J2041" s="31"/>
    </row>
    <row r="2042" s="12" customFormat="1" customHeight="1" spans="2:10">
      <c r="B2042" s="25"/>
      <c r="C2042" s="25"/>
      <c r="D2042" s="26" t="str" cm="1">
        <f t="array" ref="D2042">IF(C2042="","",IFERROR(INDEX(STPP!$D$6:$D$4207,MATCH(C2042,STPP!$C$6:$C$4207,0)),"Not Found"))</f>
        <v/>
      </c>
      <c r="E2042" s="27" t="str" cm="1">
        <f t="array" ref="E2042">IF(C2042="","",IFERROR(INDEX(STPP!$E$6:$E$4207,MATCH(C2042,STPP!$C$6:$C$4207,0)),"Not Found"))</f>
        <v/>
      </c>
      <c r="F2042" s="27" t="str" cm="1">
        <f t="array" ref="F2042">IF(C2042="","",IFERROR(INDEX(STPP!$F$6:$F$4207,MATCH(C2042,STPP!$C$6:$C$4207,0)),"Not Found"))</f>
        <v/>
      </c>
      <c r="G2042" s="25" t="str">
        <f>IF(表1[[#This Row],[No Seri]]="","",表1[[#This Row],[Deskripsi Barang]]+表1[[#This Row],[Kuantitas]]-表1[[#This Row],[Satuan]])</f>
        <v/>
      </c>
      <c r="H2042" s="28"/>
      <c r="I2042" s="25" t="str">
        <f>IF(表1[[#This Row],[Tgl NPBG]]&gt;表1[[#This Row],[Peminta]],表1[[#This Row],[Tgl NPBG]]-表1[[#This Row],[Peminta]],"")</f>
        <v/>
      </c>
      <c r="J2042" s="31"/>
    </row>
    <row r="2043" s="12" customFormat="1" customHeight="1" spans="2:10">
      <c r="B2043" s="25"/>
      <c r="C2043" s="25"/>
      <c r="D2043" s="26" t="str" cm="1">
        <f t="array" ref="D2043">IF(C2043="","",IFERROR(INDEX(STPP!$D$6:$D$4207,MATCH(C2043,STPP!$C$6:$C$4207,0)),"Not Found"))</f>
        <v/>
      </c>
      <c r="E2043" s="27" t="str" cm="1">
        <f t="array" ref="E2043">IF(C2043="","",IFERROR(INDEX(STPP!$E$6:$E$4207,MATCH(C2043,STPP!$C$6:$C$4207,0)),"Not Found"))</f>
        <v/>
      </c>
      <c r="F2043" s="27" t="str" cm="1">
        <f t="array" ref="F2043">IF(C2043="","",IFERROR(INDEX(STPP!$F$6:$F$4207,MATCH(C2043,STPP!$C$6:$C$4207,0)),"Not Found"))</f>
        <v/>
      </c>
      <c r="G2043" s="25" t="str">
        <f>IF(表1[[#This Row],[No Seri]]="","",表1[[#This Row],[Deskripsi Barang]]+表1[[#This Row],[Kuantitas]]-表1[[#This Row],[Satuan]])</f>
        <v/>
      </c>
      <c r="H2043" s="28"/>
      <c r="I2043" s="25" t="str">
        <f>IF(表1[[#This Row],[Tgl NPBG]]&gt;表1[[#This Row],[Peminta]],表1[[#This Row],[Tgl NPBG]]-表1[[#This Row],[Peminta]],"")</f>
        <v/>
      </c>
      <c r="J2043" s="31"/>
    </row>
    <row r="2044" s="12" customFormat="1" customHeight="1" spans="2:10">
      <c r="B2044" s="25"/>
      <c r="C2044" s="25"/>
      <c r="D2044" s="26" t="str" cm="1">
        <f t="array" ref="D2044">IF(C2044="","",IFERROR(INDEX(STPP!$D$6:$D$4207,MATCH(C2044,STPP!$C$6:$C$4207,0)),"Not Found"))</f>
        <v/>
      </c>
      <c r="E2044" s="27" t="str" cm="1">
        <f t="array" ref="E2044">IF(C2044="","",IFERROR(INDEX(STPP!$E$6:$E$4207,MATCH(C2044,STPP!$C$6:$C$4207,0)),"Not Found"))</f>
        <v/>
      </c>
      <c r="F2044" s="27" t="str" cm="1">
        <f t="array" ref="F2044">IF(C2044="","",IFERROR(INDEX(STPP!$F$6:$F$4207,MATCH(C2044,STPP!$C$6:$C$4207,0)),"Not Found"))</f>
        <v/>
      </c>
      <c r="G2044" s="25" t="str">
        <f>IF(表1[[#This Row],[No Seri]]="","",表1[[#This Row],[Deskripsi Barang]]+表1[[#This Row],[Kuantitas]]-表1[[#This Row],[Satuan]])</f>
        <v/>
      </c>
      <c r="H2044" s="28"/>
      <c r="I2044" s="25" t="str">
        <f>IF(表1[[#This Row],[Tgl NPBG]]&gt;表1[[#This Row],[Peminta]],表1[[#This Row],[Tgl NPBG]]-表1[[#This Row],[Peminta]],"")</f>
        <v/>
      </c>
      <c r="J2044" s="31"/>
    </row>
    <row r="2045" s="12" customFormat="1" customHeight="1" spans="2:10">
      <c r="B2045" s="25"/>
      <c r="C2045" s="25"/>
      <c r="D2045" s="26" t="str" cm="1">
        <f t="array" ref="D2045">IF(C2045="","",IFERROR(INDEX(STPP!$D$6:$D$4207,MATCH(C2045,STPP!$C$6:$C$4207,0)),"Not Found"))</f>
        <v/>
      </c>
      <c r="E2045" s="27" t="str" cm="1">
        <f t="array" ref="E2045">IF(C2045="","",IFERROR(INDEX(STPP!$E$6:$E$4207,MATCH(C2045,STPP!$C$6:$C$4207,0)),"Not Found"))</f>
        <v/>
      </c>
      <c r="F2045" s="27" t="str" cm="1">
        <f t="array" ref="F2045">IF(C2045="","",IFERROR(INDEX(STPP!$F$6:$F$4207,MATCH(C2045,STPP!$C$6:$C$4207,0)),"Not Found"))</f>
        <v/>
      </c>
      <c r="G2045" s="25" t="str">
        <f>IF(表1[[#This Row],[No Seri]]="","",表1[[#This Row],[Deskripsi Barang]]+表1[[#This Row],[Kuantitas]]-表1[[#This Row],[Satuan]])</f>
        <v/>
      </c>
      <c r="H2045" s="28"/>
      <c r="I2045" s="25" t="str">
        <f>IF(表1[[#This Row],[Tgl NPBG]]&gt;表1[[#This Row],[Peminta]],表1[[#This Row],[Tgl NPBG]]-表1[[#This Row],[Peminta]],"")</f>
        <v/>
      </c>
      <c r="J2045" s="31"/>
    </row>
    <row r="2046" s="12" customFormat="1" customHeight="1" spans="2:10">
      <c r="B2046" s="25"/>
      <c r="C2046" s="25"/>
      <c r="D2046" s="26" t="str" cm="1">
        <f t="array" ref="D2046">IF(C2046="","",IFERROR(INDEX(STPP!$D$6:$D$4207,MATCH(C2046,STPP!$C$6:$C$4207,0)),"Not Found"))</f>
        <v/>
      </c>
      <c r="E2046" s="27" t="str" cm="1">
        <f t="array" ref="E2046">IF(C2046="","",IFERROR(INDEX(STPP!$E$6:$E$4207,MATCH(C2046,STPP!$C$6:$C$4207,0)),"Not Found"))</f>
        <v/>
      </c>
      <c r="F2046" s="27" t="str" cm="1">
        <f t="array" ref="F2046">IF(C2046="","",IFERROR(INDEX(STPP!$F$6:$F$4207,MATCH(C2046,STPP!$C$6:$C$4207,0)),"Not Found"))</f>
        <v/>
      </c>
      <c r="G2046" s="25" t="str">
        <f>IF(表1[[#This Row],[No Seri]]="","",表1[[#This Row],[Deskripsi Barang]]+表1[[#This Row],[Kuantitas]]-表1[[#This Row],[Satuan]])</f>
        <v/>
      </c>
      <c r="H2046" s="28"/>
      <c r="I2046" s="25" t="str">
        <f>IF(表1[[#This Row],[Tgl NPBG]]&gt;表1[[#This Row],[Peminta]],表1[[#This Row],[Tgl NPBG]]-表1[[#This Row],[Peminta]],"")</f>
        <v/>
      </c>
      <c r="J2046" s="31"/>
    </row>
    <row r="2047" s="12" customFormat="1" customHeight="1" spans="2:10">
      <c r="B2047" s="25"/>
      <c r="C2047" s="25"/>
      <c r="D2047" s="26" t="str" cm="1">
        <f t="array" ref="D2047">IF(C2047="","",IFERROR(INDEX(STPP!$D$6:$D$4207,MATCH(C2047,STPP!$C$6:$C$4207,0)),"Not Found"))</f>
        <v/>
      </c>
      <c r="E2047" s="27" t="str" cm="1">
        <f t="array" ref="E2047">IF(C2047="","",IFERROR(INDEX(STPP!$E$6:$E$4207,MATCH(C2047,STPP!$C$6:$C$4207,0)),"Not Found"))</f>
        <v/>
      </c>
      <c r="F2047" s="27" t="str" cm="1">
        <f t="array" ref="F2047">IF(C2047="","",IFERROR(INDEX(STPP!$F$6:$F$4207,MATCH(C2047,STPP!$C$6:$C$4207,0)),"Not Found"))</f>
        <v/>
      </c>
      <c r="G2047" s="25" t="str">
        <f>IF(表1[[#This Row],[No Seri]]="","",表1[[#This Row],[Deskripsi Barang]]+表1[[#This Row],[Kuantitas]]-表1[[#This Row],[Satuan]])</f>
        <v/>
      </c>
      <c r="H2047" s="28"/>
      <c r="I2047" s="25" t="str">
        <f>IF(表1[[#This Row],[Tgl NPBG]]&gt;表1[[#This Row],[Peminta]],表1[[#This Row],[Tgl NPBG]]-表1[[#This Row],[Peminta]],"")</f>
        <v/>
      </c>
      <c r="J2047" s="31"/>
    </row>
    <row r="2048" s="12" customFormat="1" customHeight="1" spans="2:10">
      <c r="B2048" s="25"/>
      <c r="C2048" s="25"/>
      <c r="D2048" s="26" t="str" cm="1">
        <f t="array" ref="D2048">IF(C2048="","",IFERROR(INDEX(STPP!$D$6:$D$4207,MATCH(C2048,STPP!$C$6:$C$4207,0)),"Not Found"))</f>
        <v/>
      </c>
      <c r="E2048" s="27" t="str" cm="1">
        <f t="array" ref="E2048">IF(C2048="","",IFERROR(INDEX(STPP!$E$6:$E$4207,MATCH(C2048,STPP!$C$6:$C$4207,0)),"Not Found"))</f>
        <v/>
      </c>
      <c r="F2048" s="27" t="str" cm="1">
        <f t="array" ref="F2048">IF(C2048="","",IFERROR(INDEX(STPP!$F$6:$F$4207,MATCH(C2048,STPP!$C$6:$C$4207,0)),"Not Found"))</f>
        <v/>
      </c>
      <c r="G2048" s="25" t="str">
        <f>IF(表1[[#This Row],[No Seri]]="","",表1[[#This Row],[Deskripsi Barang]]+表1[[#This Row],[Kuantitas]]-表1[[#This Row],[Satuan]])</f>
        <v/>
      </c>
      <c r="H2048" s="28"/>
      <c r="I2048" s="25" t="str">
        <f>IF(表1[[#This Row],[Tgl NPBG]]&gt;表1[[#This Row],[Peminta]],表1[[#This Row],[Tgl NPBG]]-表1[[#This Row],[Peminta]],"")</f>
        <v/>
      </c>
      <c r="J2048" s="31"/>
    </row>
    <row r="2049" s="12" customFormat="1" customHeight="1" spans="2:10">
      <c r="B2049" s="25"/>
      <c r="C2049" s="25"/>
      <c r="D2049" s="26" t="str" cm="1">
        <f t="array" ref="D2049">IF(C2049="","",IFERROR(INDEX(STPP!$D$6:$D$4207,MATCH(C2049,STPP!$C$6:$C$4207,0)),"Not Found"))</f>
        <v/>
      </c>
      <c r="E2049" s="27" t="str" cm="1">
        <f t="array" ref="E2049">IF(C2049="","",IFERROR(INDEX(STPP!$E$6:$E$4207,MATCH(C2049,STPP!$C$6:$C$4207,0)),"Not Found"))</f>
        <v/>
      </c>
      <c r="F2049" s="27" t="str" cm="1">
        <f t="array" ref="F2049">IF(C2049="","",IFERROR(INDEX(STPP!$F$6:$F$4207,MATCH(C2049,STPP!$C$6:$C$4207,0)),"Not Found"))</f>
        <v/>
      </c>
      <c r="G2049" s="25" t="str">
        <f>IF(表1[[#This Row],[No Seri]]="","",表1[[#This Row],[Deskripsi Barang]]+表1[[#This Row],[Kuantitas]]-表1[[#This Row],[Satuan]])</f>
        <v/>
      </c>
      <c r="H2049" s="28"/>
      <c r="I2049" s="25" t="str">
        <f>IF(表1[[#This Row],[Tgl NPBG]]&gt;表1[[#This Row],[Peminta]],表1[[#This Row],[Tgl NPBG]]-表1[[#This Row],[Peminta]],"")</f>
        <v/>
      </c>
      <c r="J2049" s="31"/>
    </row>
    <row r="2050" s="12" customFormat="1" customHeight="1" spans="2:10">
      <c r="B2050" s="25"/>
      <c r="C2050" s="25"/>
      <c r="D2050" s="26" t="str" cm="1">
        <f t="array" ref="D2050">IF(C2050="","",IFERROR(INDEX(STPP!$D$6:$D$4207,MATCH(C2050,STPP!$C$6:$C$4207,0)),"Not Found"))</f>
        <v/>
      </c>
      <c r="E2050" s="27" t="str" cm="1">
        <f t="array" ref="E2050">IF(C2050="","",IFERROR(INDEX(STPP!$E$6:$E$4207,MATCH(C2050,STPP!$C$6:$C$4207,0)),"Not Found"))</f>
        <v/>
      </c>
      <c r="F2050" s="27" t="str" cm="1">
        <f t="array" ref="F2050">IF(C2050="","",IFERROR(INDEX(STPP!$F$6:$F$4207,MATCH(C2050,STPP!$C$6:$C$4207,0)),"Not Found"))</f>
        <v/>
      </c>
      <c r="G2050" s="25" t="str">
        <f>IF(表1[[#This Row],[No Seri]]="","",表1[[#This Row],[Deskripsi Barang]]+表1[[#This Row],[Kuantitas]]-表1[[#This Row],[Satuan]])</f>
        <v/>
      </c>
      <c r="H2050" s="28"/>
      <c r="I2050" s="25" t="str">
        <f>IF(表1[[#This Row],[Tgl NPBG]]&gt;表1[[#This Row],[Peminta]],表1[[#This Row],[Tgl NPBG]]-表1[[#This Row],[Peminta]],"")</f>
        <v/>
      </c>
      <c r="J2050" s="31"/>
    </row>
    <row r="2051" s="12" customFormat="1" customHeight="1" spans="2:10">
      <c r="B2051" s="25"/>
      <c r="C2051" s="25"/>
      <c r="D2051" s="26" t="str" cm="1">
        <f t="array" ref="D2051">IF(C2051="","",IFERROR(INDEX(STPP!$D$6:$D$4207,MATCH(C2051,STPP!$C$6:$C$4207,0)),"Not Found"))</f>
        <v/>
      </c>
      <c r="E2051" s="27" t="str" cm="1">
        <f t="array" ref="E2051">IF(C2051="","",IFERROR(INDEX(STPP!$E$6:$E$4207,MATCH(C2051,STPP!$C$6:$C$4207,0)),"Not Found"))</f>
        <v/>
      </c>
      <c r="F2051" s="27" t="str" cm="1">
        <f t="array" ref="F2051">IF(C2051="","",IFERROR(INDEX(STPP!$F$6:$F$4207,MATCH(C2051,STPP!$C$6:$C$4207,0)),"Not Found"))</f>
        <v/>
      </c>
      <c r="G2051" s="25" t="str">
        <f>IF(表1[[#This Row],[No Seri]]="","",表1[[#This Row],[Deskripsi Barang]]+表1[[#This Row],[Kuantitas]]-表1[[#This Row],[Satuan]])</f>
        <v/>
      </c>
      <c r="H2051" s="28"/>
      <c r="I2051" s="25" t="str">
        <f>IF(表1[[#This Row],[Tgl NPBG]]&gt;表1[[#This Row],[Peminta]],表1[[#This Row],[Tgl NPBG]]-表1[[#This Row],[Peminta]],"")</f>
        <v/>
      </c>
      <c r="J2051" s="31"/>
    </row>
    <row r="2052" s="12" customFormat="1" customHeight="1" spans="2:10">
      <c r="B2052" s="25"/>
      <c r="C2052" s="25"/>
      <c r="D2052" s="26" t="str" cm="1">
        <f t="array" ref="D2052">IF(C2052="","",IFERROR(INDEX(STPP!$D$6:$D$4207,MATCH(C2052,STPP!$C$6:$C$4207,0)),"Not Found"))</f>
        <v/>
      </c>
      <c r="E2052" s="27" t="str" cm="1">
        <f t="array" ref="E2052">IF(C2052="","",IFERROR(INDEX(STPP!$E$6:$E$4207,MATCH(C2052,STPP!$C$6:$C$4207,0)),"Not Found"))</f>
        <v/>
      </c>
      <c r="F2052" s="27" t="str" cm="1">
        <f t="array" ref="F2052">IF(C2052="","",IFERROR(INDEX(STPP!$F$6:$F$4207,MATCH(C2052,STPP!$C$6:$C$4207,0)),"Not Found"))</f>
        <v/>
      </c>
      <c r="G2052" s="25" t="str">
        <f>IF(表1[[#This Row],[No Seri]]="","",表1[[#This Row],[Deskripsi Barang]]+表1[[#This Row],[Kuantitas]]-表1[[#This Row],[Satuan]])</f>
        <v/>
      </c>
      <c r="H2052" s="28"/>
      <c r="I2052" s="25" t="str">
        <f>IF(表1[[#This Row],[Tgl NPBG]]&gt;表1[[#This Row],[Peminta]],表1[[#This Row],[Tgl NPBG]]-表1[[#This Row],[Peminta]],"")</f>
        <v/>
      </c>
      <c r="J2052" s="31"/>
    </row>
    <row r="2053" s="12" customFormat="1" customHeight="1" spans="2:10">
      <c r="B2053" s="25"/>
      <c r="C2053" s="25"/>
      <c r="D2053" s="26" t="str" cm="1">
        <f t="array" ref="D2053">IF(C2053="","",IFERROR(INDEX(STPP!$D$6:$D$4207,MATCH(C2053,STPP!$C$6:$C$4207,0)),"Not Found"))</f>
        <v/>
      </c>
      <c r="E2053" s="27" t="str" cm="1">
        <f t="array" ref="E2053">IF(C2053="","",IFERROR(INDEX(STPP!$E$6:$E$4207,MATCH(C2053,STPP!$C$6:$C$4207,0)),"Not Found"))</f>
        <v/>
      </c>
      <c r="F2053" s="27" t="str" cm="1">
        <f t="array" ref="F2053">IF(C2053="","",IFERROR(INDEX(STPP!$F$6:$F$4207,MATCH(C2053,STPP!$C$6:$C$4207,0)),"Not Found"))</f>
        <v/>
      </c>
      <c r="G2053" s="25" t="str">
        <f>IF(表1[[#This Row],[No Seri]]="","",表1[[#This Row],[Deskripsi Barang]]+表1[[#This Row],[Kuantitas]]-表1[[#This Row],[Satuan]])</f>
        <v/>
      </c>
      <c r="H2053" s="28"/>
      <c r="I2053" s="25" t="str">
        <f>IF(表1[[#This Row],[Tgl NPBG]]&gt;表1[[#This Row],[Peminta]],表1[[#This Row],[Tgl NPBG]]-表1[[#This Row],[Peminta]],"")</f>
        <v/>
      </c>
      <c r="J2053" s="31"/>
    </row>
    <row r="2054" s="12" customFormat="1" customHeight="1" spans="2:10">
      <c r="B2054" s="25"/>
      <c r="C2054" s="25"/>
      <c r="D2054" s="26" t="str" cm="1">
        <f t="array" ref="D2054">IF(C2054="","",IFERROR(INDEX(STPP!$D$6:$D$4207,MATCH(C2054,STPP!$C$6:$C$4207,0)),"Not Found"))</f>
        <v/>
      </c>
      <c r="E2054" s="27" t="str" cm="1">
        <f t="array" ref="E2054">IF(C2054="","",IFERROR(INDEX(STPP!$E$6:$E$4207,MATCH(C2054,STPP!$C$6:$C$4207,0)),"Not Found"))</f>
        <v/>
      </c>
      <c r="F2054" s="27" t="str" cm="1">
        <f t="array" ref="F2054">IF(C2054="","",IFERROR(INDEX(STPP!$F$6:$F$4207,MATCH(C2054,STPP!$C$6:$C$4207,0)),"Not Found"))</f>
        <v/>
      </c>
      <c r="G2054" s="25" t="str">
        <f>IF(表1[[#This Row],[No Seri]]="","",表1[[#This Row],[Deskripsi Barang]]+表1[[#This Row],[Kuantitas]]-表1[[#This Row],[Satuan]])</f>
        <v/>
      </c>
      <c r="H2054" s="28"/>
      <c r="I2054" s="25" t="str">
        <f>IF(表1[[#This Row],[Tgl NPBG]]&gt;表1[[#This Row],[Peminta]],表1[[#This Row],[Tgl NPBG]]-表1[[#This Row],[Peminta]],"")</f>
        <v/>
      </c>
      <c r="J2054" s="31"/>
    </row>
    <row r="2055" s="12" customFormat="1" customHeight="1" spans="2:10">
      <c r="B2055" s="25"/>
      <c r="C2055" s="25"/>
      <c r="D2055" s="26" t="str" cm="1">
        <f t="array" ref="D2055">IF(C2055="","",IFERROR(INDEX(STPP!$D$6:$D$4207,MATCH(C2055,STPP!$C$6:$C$4207,0)),"Not Found"))</f>
        <v/>
      </c>
      <c r="E2055" s="27" t="str" cm="1">
        <f t="array" ref="E2055">IF(C2055="","",IFERROR(INDEX(STPP!$E$6:$E$4207,MATCH(C2055,STPP!$C$6:$C$4207,0)),"Not Found"))</f>
        <v/>
      </c>
      <c r="F2055" s="27" t="str" cm="1">
        <f t="array" ref="F2055">IF(C2055="","",IFERROR(INDEX(STPP!$F$6:$F$4207,MATCH(C2055,STPP!$C$6:$C$4207,0)),"Not Found"))</f>
        <v/>
      </c>
      <c r="G2055" s="25" t="str">
        <f>IF(表1[[#This Row],[No Seri]]="","",表1[[#This Row],[Deskripsi Barang]]+表1[[#This Row],[Kuantitas]]-表1[[#This Row],[Satuan]])</f>
        <v/>
      </c>
      <c r="H2055" s="28"/>
      <c r="I2055" s="25" t="str">
        <f>IF(表1[[#This Row],[Tgl NPBG]]&gt;表1[[#This Row],[Peminta]],表1[[#This Row],[Tgl NPBG]]-表1[[#This Row],[Peminta]],"")</f>
        <v/>
      </c>
      <c r="J2055" s="31"/>
    </row>
    <row r="2056" s="12" customFormat="1" customHeight="1" spans="2:10">
      <c r="B2056" s="25"/>
      <c r="C2056" s="25"/>
      <c r="D2056" s="26" t="str" cm="1">
        <f t="array" ref="D2056">IF(C2056="","",IFERROR(INDEX(STPP!$D$6:$D$4207,MATCH(C2056,STPP!$C$6:$C$4207,0)),"Not Found"))</f>
        <v/>
      </c>
      <c r="E2056" s="27" t="str" cm="1">
        <f t="array" ref="E2056">IF(C2056="","",IFERROR(INDEX(STPP!$E$6:$E$4207,MATCH(C2056,STPP!$C$6:$C$4207,0)),"Not Found"))</f>
        <v/>
      </c>
      <c r="F2056" s="27" t="str" cm="1">
        <f t="array" ref="F2056">IF(C2056="","",IFERROR(INDEX(STPP!$F$6:$F$4207,MATCH(C2056,STPP!$C$6:$C$4207,0)),"Not Found"))</f>
        <v/>
      </c>
      <c r="G2056" s="25" t="str">
        <f>IF(表1[[#This Row],[No Seri]]="","",表1[[#This Row],[Deskripsi Barang]]+表1[[#This Row],[Kuantitas]]-表1[[#This Row],[Satuan]])</f>
        <v/>
      </c>
      <c r="H2056" s="28"/>
      <c r="I2056" s="25" t="str">
        <f>IF(表1[[#This Row],[Tgl NPBG]]&gt;表1[[#This Row],[Peminta]],表1[[#This Row],[Tgl NPBG]]-表1[[#This Row],[Peminta]],"")</f>
        <v/>
      </c>
      <c r="J2056" s="31"/>
    </row>
    <row r="2057" s="12" customFormat="1" customHeight="1" spans="2:10">
      <c r="B2057" s="25"/>
      <c r="C2057" s="25"/>
      <c r="D2057" s="26" t="str" cm="1">
        <f t="array" ref="D2057">IF(C2057="","",IFERROR(INDEX(STPP!$D$6:$D$4207,MATCH(C2057,STPP!$C$6:$C$4207,0)),"Not Found"))</f>
        <v/>
      </c>
      <c r="E2057" s="27" t="str" cm="1">
        <f t="array" ref="E2057">IF(C2057="","",IFERROR(INDEX(STPP!$E$6:$E$4207,MATCH(C2057,STPP!$C$6:$C$4207,0)),"Not Found"))</f>
        <v/>
      </c>
      <c r="F2057" s="27" t="str" cm="1">
        <f t="array" ref="F2057">IF(C2057="","",IFERROR(INDEX(STPP!$F$6:$F$4207,MATCH(C2057,STPP!$C$6:$C$4207,0)),"Not Found"))</f>
        <v/>
      </c>
      <c r="G2057" s="25" t="str">
        <f>IF(表1[[#This Row],[No Seri]]="","",表1[[#This Row],[Deskripsi Barang]]+表1[[#This Row],[Kuantitas]]-表1[[#This Row],[Satuan]])</f>
        <v/>
      </c>
      <c r="H2057" s="28"/>
      <c r="I2057" s="25" t="str">
        <f>IF(表1[[#This Row],[Tgl NPBG]]&gt;表1[[#This Row],[Peminta]],表1[[#This Row],[Tgl NPBG]]-表1[[#This Row],[Peminta]],"")</f>
        <v/>
      </c>
      <c r="J2057" s="31"/>
    </row>
    <row r="2058" s="12" customFormat="1" customHeight="1" spans="2:10">
      <c r="B2058" s="25"/>
      <c r="C2058" s="25"/>
      <c r="D2058" s="26" t="str" cm="1">
        <f t="array" ref="D2058">IF(C2058="","",IFERROR(INDEX(STPP!$D$6:$D$4207,MATCH(C2058,STPP!$C$6:$C$4207,0)),"Not Found"))</f>
        <v/>
      </c>
      <c r="E2058" s="27" t="str" cm="1">
        <f t="array" ref="E2058">IF(C2058="","",IFERROR(INDEX(STPP!$E$6:$E$4207,MATCH(C2058,STPP!$C$6:$C$4207,0)),"Not Found"))</f>
        <v/>
      </c>
      <c r="F2058" s="27" t="str" cm="1">
        <f t="array" ref="F2058">IF(C2058="","",IFERROR(INDEX(STPP!$F$6:$F$4207,MATCH(C2058,STPP!$C$6:$C$4207,0)),"Not Found"))</f>
        <v/>
      </c>
      <c r="G2058" s="25" t="str">
        <f>IF(表1[[#This Row],[No Seri]]="","",表1[[#This Row],[Deskripsi Barang]]+表1[[#This Row],[Kuantitas]]-表1[[#This Row],[Satuan]])</f>
        <v/>
      </c>
      <c r="H2058" s="28"/>
      <c r="I2058" s="25" t="str">
        <f>IF(表1[[#This Row],[Tgl NPBG]]&gt;表1[[#This Row],[Peminta]],表1[[#This Row],[Tgl NPBG]]-表1[[#This Row],[Peminta]],"")</f>
        <v/>
      </c>
      <c r="J2058" s="31"/>
    </row>
    <row r="2059" s="12" customFormat="1" customHeight="1" spans="2:10">
      <c r="B2059" s="25"/>
      <c r="C2059" s="25"/>
      <c r="D2059" s="26" t="str" cm="1">
        <f t="array" ref="D2059">IF(C2059="","",IFERROR(INDEX(STPP!$D$6:$D$4207,MATCH(C2059,STPP!$C$6:$C$4207,0)),"Not Found"))</f>
        <v/>
      </c>
      <c r="E2059" s="27" t="str" cm="1">
        <f t="array" ref="E2059">IF(C2059="","",IFERROR(INDEX(STPP!$E$6:$E$4207,MATCH(C2059,STPP!$C$6:$C$4207,0)),"Not Found"))</f>
        <v/>
      </c>
      <c r="F2059" s="27" t="str" cm="1">
        <f t="array" ref="F2059">IF(C2059="","",IFERROR(INDEX(STPP!$F$6:$F$4207,MATCH(C2059,STPP!$C$6:$C$4207,0)),"Not Found"))</f>
        <v/>
      </c>
      <c r="G2059" s="25" t="str">
        <f>IF(表1[[#This Row],[No Seri]]="","",表1[[#This Row],[Deskripsi Barang]]+表1[[#This Row],[Kuantitas]]-表1[[#This Row],[Satuan]])</f>
        <v/>
      </c>
      <c r="H2059" s="28"/>
      <c r="I2059" s="25" t="str">
        <f>IF(表1[[#This Row],[Tgl NPBG]]&gt;表1[[#This Row],[Peminta]],表1[[#This Row],[Tgl NPBG]]-表1[[#This Row],[Peminta]],"")</f>
        <v/>
      </c>
      <c r="J2059" s="31"/>
    </row>
    <row r="2060" s="12" customFormat="1" customHeight="1" spans="2:10">
      <c r="B2060" s="25"/>
      <c r="C2060" s="25"/>
      <c r="D2060" s="26" t="str" cm="1">
        <f t="array" ref="D2060">IF(C2060="","",IFERROR(INDEX(STPP!$D$6:$D$4207,MATCH(C2060,STPP!$C$6:$C$4207,0)),"Not Found"))</f>
        <v/>
      </c>
      <c r="E2060" s="27" t="str" cm="1">
        <f t="array" ref="E2060">IF(C2060="","",IFERROR(INDEX(STPP!$E$6:$E$4207,MATCH(C2060,STPP!$C$6:$C$4207,0)),"Not Found"))</f>
        <v/>
      </c>
      <c r="F2060" s="27" t="str" cm="1">
        <f t="array" ref="F2060">IF(C2060="","",IFERROR(INDEX(STPP!$F$6:$F$4207,MATCH(C2060,STPP!$C$6:$C$4207,0)),"Not Found"))</f>
        <v/>
      </c>
      <c r="G2060" s="25" t="str">
        <f>IF(表1[[#This Row],[No Seri]]="","",表1[[#This Row],[Deskripsi Barang]]+表1[[#This Row],[Kuantitas]]-表1[[#This Row],[Satuan]])</f>
        <v/>
      </c>
      <c r="H2060" s="28"/>
      <c r="I2060" s="25" t="str">
        <f>IF(表1[[#This Row],[Tgl NPBG]]&gt;表1[[#This Row],[Peminta]],表1[[#This Row],[Tgl NPBG]]-表1[[#This Row],[Peminta]],"")</f>
        <v/>
      </c>
      <c r="J2060" s="31"/>
    </row>
    <row r="2061" s="12" customFormat="1" customHeight="1" spans="2:10">
      <c r="B2061" s="25"/>
      <c r="C2061" s="25"/>
      <c r="D2061" s="26" t="str" cm="1">
        <f t="array" ref="D2061">IF(C2061="","",IFERROR(INDEX(STPP!$D$6:$D$4207,MATCH(C2061,STPP!$C$6:$C$4207,0)),"Not Found"))</f>
        <v/>
      </c>
      <c r="E2061" s="27" t="str" cm="1">
        <f t="array" ref="E2061">IF(C2061="","",IFERROR(INDEX(STPP!$E$6:$E$4207,MATCH(C2061,STPP!$C$6:$C$4207,0)),"Not Found"))</f>
        <v/>
      </c>
      <c r="F2061" s="27" t="str" cm="1">
        <f t="array" ref="F2061">IF(C2061="","",IFERROR(INDEX(STPP!$F$6:$F$4207,MATCH(C2061,STPP!$C$6:$C$4207,0)),"Not Found"))</f>
        <v/>
      </c>
      <c r="G2061" s="25" t="str">
        <f>IF(表1[[#This Row],[No Seri]]="","",表1[[#This Row],[Deskripsi Barang]]+表1[[#This Row],[Kuantitas]]-表1[[#This Row],[Satuan]])</f>
        <v/>
      </c>
      <c r="H2061" s="28"/>
      <c r="I2061" s="25" t="str">
        <f>IF(表1[[#This Row],[Tgl NPBG]]&gt;表1[[#This Row],[Peminta]],表1[[#This Row],[Tgl NPBG]]-表1[[#This Row],[Peminta]],"")</f>
        <v/>
      </c>
      <c r="J2061" s="31"/>
    </row>
    <row r="2062" s="12" customFormat="1" customHeight="1" spans="2:10">
      <c r="B2062" s="25"/>
      <c r="C2062" s="25"/>
      <c r="D2062" s="26" t="str" cm="1">
        <f t="array" ref="D2062">IF(C2062="","",IFERROR(INDEX(STPP!$D$6:$D$4207,MATCH(C2062,STPP!$C$6:$C$4207,0)),"Not Found"))</f>
        <v/>
      </c>
      <c r="E2062" s="27" t="str" cm="1">
        <f t="array" ref="E2062">IF(C2062="","",IFERROR(INDEX(STPP!$E$6:$E$4207,MATCH(C2062,STPP!$C$6:$C$4207,0)),"Not Found"))</f>
        <v/>
      </c>
      <c r="F2062" s="27" t="str" cm="1">
        <f t="array" ref="F2062">IF(C2062="","",IFERROR(INDEX(STPP!$F$6:$F$4207,MATCH(C2062,STPP!$C$6:$C$4207,0)),"Not Found"))</f>
        <v/>
      </c>
      <c r="G2062" s="25" t="str">
        <f>IF(表1[[#This Row],[No Seri]]="","",表1[[#This Row],[Deskripsi Barang]]+表1[[#This Row],[Kuantitas]]-表1[[#This Row],[Satuan]])</f>
        <v/>
      </c>
      <c r="H2062" s="28"/>
      <c r="I2062" s="25" t="str">
        <f>IF(表1[[#This Row],[Tgl NPBG]]&gt;表1[[#This Row],[Peminta]],表1[[#This Row],[Tgl NPBG]]-表1[[#This Row],[Peminta]],"")</f>
        <v/>
      </c>
      <c r="J2062" s="31"/>
    </row>
    <row r="2063" s="12" customFormat="1" customHeight="1" spans="2:10">
      <c r="B2063" s="25"/>
      <c r="C2063" s="25"/>
      <c r="D2063" s="26" t="str" cm="1">
        <f t="array" ref="D2063">IF(C2063="","",IFERROR(INDEX(STPP!$D$6:$D$4207,MATCH(C2063,STPP!$C$6:$C$4207,0)),"Not Found"))</f>
        <v/>
      </c>
      <c r="E2063" s="27" t="str" cm="1">
        <f t="array" ref="E2063">IF(C2063="","",IFERROR(INDEX(STPP!$E$6:$E$4207,MATCH(C2063,STPP!$C$6:$C$4207,0)),"Not Found"))</f>
        <v/>
      </c>
      <c r="F2063" s="27" t="str" cm="1">
        <f t="array" ref="F2063">IF(C2063="","",IFERROR(INDEX(STPP!$F$6:$F$4207,MATCH(C2063,STPP!$C$6:$C$4207,0)),"Not Found"))</f>
        <v/>
      </c>
      <c r="G2063" s="25" t="str">
        <f>IF(表1[[#This Row],[No Seri]]="","",表1[[#This Row],[Deskripsi Barang]]+表1[[#This Row],[Kuantitas]]-表1[[#This Row],[Satuan]])</f>
        <v/>
      </c>
      <c r="H2063" s="28"/>
      <c r="I2063" s="25" t="str">
        <f>IF(表1[[#This Row],[Tgl NPBG]]&gt;表1[[#This Row],[Peminta]],表1[[#This Row],[Tgl NPBG]]-表1[[#This Row],[Peminta]],"")</f>
        <v/>
      </c>
      <c r="J2063" s="31"/>
    </row>
    <row r="2064" s="12" customFormat="1" customHeight="1" spans="2:10">
      <c r="B2064" s="25"/>
      <c r="C2064" s="25"/>
      <c r="D2064" s="26" t="str" cm="1">
        <f t="array" ref="D2064">IF(C2064="","",IFERROR(INDEX(STPP!$D$6:$D$4207,MATCH(C2064,STPP!$C$6:$C$4207,0)),"Not Found"))</f>
        <v/>
      </c>
      <c r="E2064" s="27" t="str" cm="1">
        <f t="array" ref="E2064">IF(C2064="","",IFERROR(INDEX(STPP!$E$6:$E$4207,MATCH(C2064,STPP!$C$6:$C$4207,0)),"Not Found"))</f>
        <v/>
      </c>
      <c r="F2064" s="27" t="str" cm="1">
        <f t="array" ref="F2064">IF(C2064="","",IFERROR(INDEX(STPP!$F$6:$F$4207,MATCH(C2064,STPP!$C$6:$C$4207,0)),"Not Found"))</f>
        <v/>
      </c>
      <c r="G2064" s="25" t="str">
        <f>IF(表1[[#This Row],[No Seri]]="","",表1[[#This Row],[Deskripsi Barang]]+表1[[#This Row],[Kuantitas]]-表1[[#This Row],[Satuan]])</f>
        <v/>
      </c>
      <c r="H2064" s="28"/>
      <c r="I2064" s="25" t="str">
        <f>IF(表1[[#This Row],[Tgl NPBG]]&gt;表1[[#This Row],[Peminta]],表1[[#This Row],[Tgl NPBG]]-表1[[#This Row],[Peminta]],"")</f>
        <v/>
      </c>
      <c r="J2064" s="31"/>
    </row>
    <row r="2065" s="12" customFormat="1" customHeight="1" spans="2:10">
      <c r="B2065" s="25"/>
      <c r="C2065" s="25"/>
      <c r="D2065" s="26" t="str" cm="1">
        <f t="array" ref="D2065">IF(C2065="","",IFERROR(INDEX(STPP!$D$6:$D$4207,MATCH(C2065,STPP!$C$6:$C$4207,0)),"Not Found"))</f>
        <v/>
      </c>
      <c r="E2065" s="27" t="str" cm="1">
        <f t="array" ref="E2065">IF(C2065="","",IFERROR(INDEX(STPP!$E$6:$E$4207,MATCH(C2065,STPP!$C$6:$C$4207,0)),"Not Found"))</f>
        <v/>
      </c>
      <c r="F2065" s="27" t="str" cm="1">
        <f t="array" ref="F2065">IF(C2065="","",IFERROR(INDEX(STPP!$F$6:$F$4207,MATCH(C2065,STPP!$C$6:$C$4207,0)),"Not Found"))</f>
        <v/>
      </c>
      <c r="G2065" s="25" t="str">
        <f>IF(表1[[#This Row],[No Seri]]="","",表1[[#This Row],[Deskripsi Barang]]+表1[[#This Row],[Kuantitas]]-表1[[#This Row],[Satuan]])</f>
        <v/>
      </c>
      <c r="H2065" s="28"/>
      <c r="I2065" s="25" t="str">
        <f>IF(表1[[#This Row],[Tgl NPBG]]&gt;表1[[#This Row],[Peminta]],表1[[#This Row],[Tgl NPBG]]-表1[[#This Row],[Peminta]],"")</f>
        <v/>
      </c>
      <c r="J2065" s="31"/>
    </row>
    <row r="2066" s="12" customFormat="1" customHeight="1" spans="2:10">
      <c r="B2066" s="25"/>
      <c r="C2066" s="25"/>
      <c r="D2066" s="26" t="str" cm="1">
        <f t="array" ref="D2066">IF(C2066="","",IFERROR(INDEX(STPP!$D$6:$D$4207,MATCH(C2066,STPP!$C$6:$C$4207,0)),"Not Found"))</f>
        <v/>
      </c>
      <c r="E2066" s="27" t="str" cm="1">
        <f t="array" ref="E2066">IF(C2066="","",IFERROR(INDEX(STPP!$E$6:$E$4207,MATCH(C2066,STPP!$C$6:$C$4207,0)),"Not Found"))</f>
        <v/>
      </c>
      <c r="F2066" s="27" t="str" cm="1">
        <f t="array" ref="F2066">IF(C2066="","",IFERROR(INDEX(STPP!$F$6:$F$4207,MATCH(C2066,STPP!$C$6:$C$4207,0)),"Not Found"))</f>
        <v/>
      </c>
      <c r="G2066" s="25" t="str">
        <f>IF(表1[[#This Row],[No Seri]]="","",表1[[#This Row],[Deskripsi Barang]]+表1[[#This Row],[Kuantitas]]-表1[[#This Row],[Satuan]])</f>
        <v/>
      </c>
      <c r="H2066" s="28"/>
      <c r="I2066" s="25" t="str">
        <f>IF(表1[[#This Row],[Tgl NPBG]]&gt;表1[[#This Row],[Peminta]],表1[[#This Row],[Tgl NPBG]]-表1[[#This Row],[Peminta]],"")</f>
        <v/>
      </c>
      <c r="J2066" s="31"/>
    </row>
    <row r="2067" s="12" customFormat="1" customHeight="1" spans="2:10">
      <c r="B2067" s="25"/>
      <c r="C2067" s="25"/>
      <c r="D2067" s="26" t="str" cm="1">
        <f t="array" ref="D2067">IF(C2067="","",IFERROR(INDEX(STPP!$D$6:$D$4207,MATCH(C2067,STPP!$C$6:$C$4207,0)),"Not Found"))</f>
        <v/>
      </c>
      <c r="E2067" s="27" t="str" cm="1">
        <f t="array" ref="E2067">IF(C2067="","",IFERROR(INDEX(STPP!$E$6:$E$4207,MATCH(C2067,STPP!$C$6:$C$4207,0)),"Not Found"))</f>
        <v/>
      </c>
      <c r="F2067" s="27" t="str" cm="1">
        <f t="array" ref="F2067">IF(C2067="","",IFERROR(INDEX(STPP!$F$6:$F$4207,MATCH(C2067,STPP!$C$6:$C$4207,0)),"Not Found"))</f>
        <v/>
      </c>
      <c r="G2067" s="25" t="str">
        <f>IF(表1[[#This Row],[No Seri]]="","",表1[[#This Row],[Deskripsi Barang]]+表1[[#This Row],[Kuantitas]]-表1[[#This Row],[Satuan]])</f>
        <v/>
      </c>
      <c r="H2067" s="28"/>
      <c r="I2067" s="25" t="str">
        <f>IF(表1[[#This Row],[Tgl NPBG]]&gt;表1[[#This Row],[Peminta]],表1[[#This Row],[Tgl NPBG]]-表1[[#This Row],[Peminta]],"")</f>
        <v/>
      </c>
      <c r="J2067" s="31"/>
    </row>
    <row r="2068" s="12" customFormat="1" customHeight="1" spans="2:10">
      <c r="B2068" s="25"/>
      <c r="C2068" s="25"/>
      <c r="D2068" s="26" t="str" cm="1">
        <f t="array" ref="D2068">IF(C2068="","",IFERROR(INDEX(STPP!$D$6:$D$4207,MATCH(C2068,STPP!$C$6:$C$4207,0)),"Not Found"))</f>
        <v/>
      </c>
      <c r="E2068" s="27" t="str" cm="1">
        <f t="array" ref="E2068">IF(C2068="","",IFERROR(INDEX(STPP!$E$6:$E$4207,MATCH(C2068,STPP!$C$6:$C$4207,0)),"Not Found"))</f>
        <v/>
      </c>
      <c r="F2068" s="27" t="str" cm="1">
        <f t="array" ref="F2068">IF(C2068="","",IFERROR(INDEX(STPP!$F$6:$F$4207,MATCH(C2068,STPP!$C$6:$C$4207,0)),"Not Found"))</f>
        <v/>
      </c>
      <c r="G2068" s="25" t="str">
        <f>IF(表1[[#This Row],[No Seri]]="","",表1[[#This Row],[Deskripsi Barang]]+表1[[#This Row],[Kuantitas]]-表1[[#This Row],[Satuan]])</f>
        <v/>
      </c>
      <c r="H2068" s="28"/>
      <c r="I2068" s="25" t="str">
        <f>IF(表1[[#This Row],[Tgl NPBG]]&gt;表1[[#This Row],[Peminta]],表1[[#This Row],[Tgl NPBG]]-表1[[#This Row],[Peminta]],"")</f>
        <v/>
      </c>
      <c r="J2068" s="31"/>
    </row>
    <row r="2069" s="12" customFormat="1" customHeight="1" spans="2:10">
      <c r="B2069" s="25"/>
      <c r="C2069" s="25"/>
      <c r="D2069" s="26" t="str" cm="1">
        <f t="array" ref="D2069">IF(C2069="","",IFERROR(INDEX(STPP!$D$6:$D$4207,MATCH(C2069,STPP!$C$6:$C$4207,0)),"Not Found"))</f>
        <v/>
      </c>
      <c r="E2069" s="27" t="str" cm="1">
        <f t="array" ref="E2069">IF(C2069="","",IFERROR(INDEX(STPP!$E$6:$E$4207,MATCH(C2069,STPP!$C$6:$C$4207,0)),"Not Found"))</f>
        <v/>
      </c>
      <c r="F2069" s="27" t="str" cm="1">
        <f t="array" ref="F2069">IF(C2069="","",IFERROR(INDEX(STPP!$F$6:$F$4207,MATCH(C2069,STPP!$C$6:$C$4207,0)),"Not Found"))</f>
        <v/>
      </c>
      <c r="G2069" s="25" t="str">
        <f>IF(表1[[#This Row],[No Seri]]="","",表1[[#This Row],[Deskripsi Barang]]+表1[[#This Row],[Kuantitas]]-表1[[#This Row],[Satuan]])</f>
        <v/>
      </c>
      <c r="H2069" s="28"/>
      <c r="I2069" s="25" t="str">
        <f>IF(表1[[#This Row],[Tgl NPBG]]&gt;表1[[#This Row],[Peminta]],表1[[#This Row],[Tgl NPBG]]-表1[[#This Row],[Peminta]],"")</f>
        <v/>
      </c>
      <c r="J2069" s="31"/>
    </row>
    <row r="2070" s="12" customFormat="1" customHeight="1" spans="2:10">
      <c r="B2070" s="25"/>
      <c r="C2070" s="25"/>
      <c r="D2070" s="26" t="str" cm="1">
        <f t="array" ref="D2070">IF(C2070="","",IFERROR(INDEX(STPP!$D$6:$D$4207,MATCH(C2070,STPP!$C$6:$C$4207,0)),"Not Found"))</f>
        <v/>
      </c>
      <c r="E2070" s="27" t="str" cm="1">
        <f t="array" ref="E2070">IF(C2070="","",IFERROR(INDEX(STPP!$E$6:$E$4207,MATCH(C2070,STPP!$C$6:$C$4207,0)),"Not Found"))</f>
        <v/>
      </c>
      <c r="F2070" s="27" t="str" cm="1">
        <f t="array" ref="F2070">IF(C2070="","",IFERROR(INDEX(STPP!$F$6:$F$4207,MATCH(C2070,STPP!$C$6:$C$4207,0)),"Not Found"))</f>
        <v/>
      </c>
      <c r="G2070" s="25" t="str">
        <f>IF(表1[[#This Row],[No Seri]]="","",表1[[#This Row],[Deskripsi Barang]]+表1[[#This Row],[Kuantitas]]-表1[[#This Row],[Satuan]])</f>
        <v/>
      </c>
      <c r="H2070" s="28"/>
      <c r="I2070" s="25" t="str">
        <f>IF(表1[[#This Row],[Tgl NPBG]]&gt;表1[[#This Row],[Peminta]],表1[[#This Row],[Tgl NPBG]]-表1[[#This Row],[Peminta]],"")</f>
        <v/>
      </c>
      <c r="J2070" s="31"/>
    </row>
    <row r="2071" s="12" customFormat="1" customHeight="1" spans="2:10">
      <c r="B2071" s="25"/>
      <c r="C2071" s="25"/>
      <c r="D2071" s="26" t="str" cm="1">
        <f t="array" ref="D2071">IF(C2071="","",IFERROR(INDEX(STPP!$D$6:$D$4207,MATCH(C2071,STPP!$C$6:$C$4207,0)),"Not Found"))</f>
        <v/>
      </c>
      <c r="E2071" s="27" t="str" cm="1">
        <f t="array" ref="E2071">IF(C2071="","",IFERROR(INDEX(STPP!$E$6:$E$4207,MATCH(C2071,STPP!$C$6:$C$4207,0)),"Not Found"))</f>
        <v/>
      </c>
      <c r="F2071" s="27" t="str" cm="1">
        <f t="array" ref="F2071">IF(C2071="","",IFERROR(INDEX(STPP!$F$6:$F$4207,MATCH(C2071,STPP!$C$6:$C$4207,0)),"Not Found"))</f>
        <v/>
      </c>
      <c r="G2071" s="25" t="str">
        <f>IF(表1[[#This Row],[No Seri]]="","",表1[[#This Row],[Deskripsi Barang]]+表1[[#This Row],[Kuantitas]]-表1[[#This Row],[Satuan]])</f>
        <v/>
      </c>
      <c r="H2071" s="28"/>
      <c r="I2071" s="25" t="str">
        <f>IF(表1[[#This Row],[Tgl NPBG]]&gt;表1[[#This Row],[Peminta]],表1[[#This Row],[Tgl NPBG]]-表1[[#This Row],[Peminta]],"")</f>
        <v/>
      </c>
      <c r="J2071" s="31"/>
    </row>
    <row r="2072" s="12" customFormat="1" customHeight="1" spans="2:10">
      <c r="B2072" s="25"/>
      <c r="C2072" s="25"/>
      <c r="D2072" s="26" t="str" cm="1">
        <f t="array" ref="D2072">IF(C2072="","",IFERROR(INDEX(STPP!$D$6:$D$4207,MATCH(C2072,STPP!$C$6:$C$4207,0)),"Not Found"))</f>
        <v/>
      </c>
      <c r="E2072" s="27" t="str" cm="1">
        <f t="array" ref="E2072">IF(C2072="","",IFERROR(INDEX(STPP!$E$6:$E$4207,MATCH(C2072,STPP!$C$6:$C$4207,0)),"Not Found"))</f>
        <v/>
      </c>
      <c r="F2072" s="27" t="str" cm="1">
        <f t="array" ref="F2072">IF(C2072="","",IFERROR(INDEX(STPP!$F$6:$F$4207,MATCH(C2072,STPP!$C$6:$C$4207,0)),"Not Found"))</f>
        <v/>
      </c>
      <c r="G2072" s="25" t="str">
        <f>IF(表1[[#This Row],[No Seri]]="","",表1[[#This Row],[Deskripsi Barang]]+表1[[#This Row],[Kuantitas]]-表1[[#This Row],[Satuan]])</f>
        <v/>
      </c>
      <c r="H2072" s="28"/>
      <c r="I2072" s="25" t="str">
        <f>IF(表1[[#This Row],[Tgl NPBG]]&gt;表1[[#This Row],[Peminta]],表1[[#This Row],[Tgl NPBG]]-表1[[#This Row],[Peminta]],"")</f>
        <v/>
      </c>
      <c r="J2072" s="31"/>
    </row>
    <row r="2073" s="12" customFormat="1" customHeight="1" spans="2:10">
      <c r="B2073" s="25"/>
      <c r="C2073" s="25"/>
      <c r="D2073" s="26" t="str" cm="1">
        <f t="array" ref="D2073">IF(C2073="","",IFERROR(INDEX(STPP!$D$6:$D$4207,MATCH(C2073,STPP!$C$6:$C$4207,0)),"Not Found"))</f>
        <v/>
      </c>
      <c r="E2073" s="27" t="str" cm="1">
        <f t="array" ref="E2073">IF(C2073="","",IFERROR(INDEX(STPP!$E$6:$E$4207,MATCH(C2073,STPP!$C$6:$C$4207,0)),"Not Found"))</f>
        <v/>
      </c>
      <c r="F2073" s="27" t="str" cm="1">
        <f t="array" ref="F2073">IF(C2073="","",IFERROR(INDEX(STPP!$F$6:$F$4207,MATCH(C2073,STPP!$C$6:$C$4207,0)),"Not Found"))</f>
        <v/>
      </c>
      <c r="G2073" s="25" t="str">
        <f>IF(表1[[#This Row],[No Seri]]="","",表1[[#This Row],[Deskripsi Barang]]+表1[[#This Row],[Kuantitas]]-表1[[#This Row],[Satuan]])</f>
        <v/>
      </c>
      <c r="H2073" s="28"/>
      <c r="I2073" s="25" t="str">
        <f>IF(表1[[#This Row],[Tgl NPBG]]&gt;表1[[#This Row],[Peminta]],表1[[#This Row],[Tgl NPBG]]-表1[[#This Row],[Peminta]],"")</f>
        <v/>
      </c>
      <c r="J2073" s="31"/>
    </row>
    <row r="2074" s="12" customFormat="1" customHeight="1" spans="2:10">
      <c r="B2074" s="25"/>
      <c r="C2074" s="25"/>
      <c r="D2074" s="26" t="str" cm="1">
        <f t="array" ref="D2074">IF(C2074="","",IFERROR(INDEX(STPP!$D$6:$D$4207,MATCH(C2074,STPP!$C$6:$C$4207,0)),"Not Found"))</f>
        <v/>
      </c>
      <c r="E2074" s="27" t="str" cm="1">
        <f t="array" ref="E2074">IF(C2074="","",IFERROR(INDEX(STPP!$E$6:$E$4207,MATCH(C2074,STPP!$C$6:$C$4207,0)),"Not Found"))</f>
        <v/>
      </c>
      <c r="F2074" s="27" t="str" cm="1">
        <f t="array" ref="F2074">IF(C2074="","",IFERROR(INDEX(STPP!$F$6:$F$4207,MATCH(C2074,STPP!$C$6:$C$4207,0)),"Not Found"))</f>
        <v/>
      </c>
      <c r="G2074" s="25" t="str">
        <f>IF(表1[[#This Row],[No Seri]]="","",表1[[#This Row],[Deskripsi Barang]]+表1[[#This Row],[Kuantitas]]-表1[[#This Row],[Satuan]])</f>
        <v/>
      </c>
      <c r="H2074" s="28"/>
      <c r="I2074" s="25" t="str">
        <f>IF(表1[[#This Row],[Tgl NPBG]]&gt;表1[[#This Row],[Peminta]],表1[[#This Row],[Tgl NPBG]]-表1[[#This Row],[Peminta]],"")</f>
        <v/>
      </c>
      <c r="J2074" s="31"/>
    </row>
    <row r="2075" s="12" customFormat="1" customHeight="1" spans="2:10">
      <c r="B2075" s="25"/>
      <c r="C2075" s="25"/>
      <c r="D2075" s="26" t="str" cm="1">
        <f t="array" ref="D2075">IF(C2075="","",IFERROR(INDEX(STPP!$D$6:$D$4207,MATCH(C2075,STPP!$C$6:$C$4207,0)),"Not Found"))</f>
        <v/>
      </c>
      <c r="E2075" s="27" t="str" cm="1">
        <f t="array" ref="E2075">IF(C2075="","",IFERROR(INDEX(STPP!$E$6:$E$4207,MATCH(C2075,STPP!$C$6:$C$4207,0)),"Not Found"))</f>
        <v/>
      </c>
      <c r="F2075" s="27" t="str" cm="1">
        <f t="array" ref="F2075">IF(C2075="","",IFERROR(INDEX(STPP!$F$6:$F$4207,MATCH(C2075,STPP!$C$6:$C$4207,0)),"Not Found"))</f>
        <v/>
      </c>
      <c r="G2075" s="25" t="str">
        <f>IF(表1[[#This Row],[No Seri]]="","",表1[[#This Row],[Deskripsi Barang]]+表1[[#This Row],[Kuantitas]]-表1[[#This Row],[Satuan]])</f>
        <v/>
      </c>
      <c r="H2075" s="28"/>
      <c r="I2075" s="25" t="str">
        <f>IF(表1[[#This Row],[Tgl NPBG]]&gt;表1[[#This Row],[Peminta]],表1[[#This Row],[Tgl NPBG]]-表1[[#This Row],[Peminta]],"")</f>
        <v/>
      </c>
      <c r="J2075" s="31"/>
    </row>
    <row r="2076" s="12" customFormat="1" customHeight="1" spans="2:10">
      <c r="B2076" s="25"/>
      <c r="C2076" s="25"/>
      <c r="D2076" s="26" t="str" cm="1">
        <f t="array" ref="D2076">IF(C2076="","",IFERROR(INDEX(STPP!$D$6:$D$4207,MATCH(C2076,STPP!$C$6:$C$4207,0)),"Not Found"))</f>
        <v/>
      </c>
      <c r="E2076" s="27" t="str" cm="1">
        <f t="array" ref="E2076">IF(C2076="","",IFERROR(INDEX(STPP!$E$6:$E$4207,MATCH(C2076,STPP!$C$6:$C$4207,0)),"Not Found"))</f>
        <v/>
      </c>
      <c r="F2076" s="27" t="str" cm="1">
        <f t="array" ref="F2076">IF(C2076="","",IFERROR(INDEX(STPP!$F$6:$F$4207,MATCH(C2076,STPP!$C$6:$C$4207,0)),"Not Found"))</f>
        <v/>
      </c>
      <c r="G2076" s="25" t="str">
        <f>IF(表1[[#This Row],[No Seri]]="","",表1[[#This Row],[Deskripsi Barang]]+表1[[#This Row],[Kuantitas]]-表1[[#This Row],[Satuan]])</f>
        <v/>
      </c>
      <c r="H2076" s="28"/>
      <c r="I2076" s="25" t="str">
        <f>IF(表1[[#This Row],[Tgl NPBG]]&gt;表1[[#This Row],[Peminta]],表1[[#This Row],[Tgl NPBG]]-表1[[#This Row],[Peminta]],"")</f>
        <v/>
      </c>
      <c r="J2076" s="31"/>
    </row>
    <row r="2077" s="12" customFormat="1" customHeight="1" spans="2:10">
      <c r="B2077" s="25"/>
      <c r="C2077" s="25"/>
      <c r="D2077" s="26" t="str" cm="1">
        <f t="array" ref="D2077">IF(C2077="","",IFERROR(INDEX(STPP!$D$6:$D$4207,MATCH(C2077,STPP!$C$6:$C$4207,0)),"Not Found"))</f>
        <v/>
      </c>
      <c r="E2077" s="27" t="str" cm="1">
        <f t="array" ref="E2077">IF(C2077="","",IFERROR(INDEX(STPP!$E$6:$E$4207,MATCH(C2077,STPP!$C$6:$C$4207,0)),"Not Found"))</f>
        <v/>
      </c>
      <c r="F2077" s="27" t="str" cm="1">
        <f t="array" ref="F2077">IF(C2077="","",IFERROR(INDEX(STPP!$F$6:$F$4207,MATCH(C2077,STPP!$C$6:$C$4207,0)),"Not Found"))</f>
        <v/>
      </c>
      <c r="G2077" s="25" t="str">
        <f>IF(表1[[#This Row],[No Seri]]="","",表1[[#This Row],[Deskripsi Barang]]+表1[[#This Row],[Kuantitas]]-表1[[#This Row],[Satuan]])</f>
        <v/>
      </c>
      <c r="H2077" s="28"/>
      <c r="I2077" s="25" t="str">
        <f>IF(表1[[#This Row],[Tgl NPBG]]&gt;表1[[#This Row],[Peminta]],表1[[#This Row],[Tgl NPBG]]-表1[[#This Row],[Peminta]],"")</f>
        <v/>
      </c>
      <c r="J2077" s="31"/>
    </row>
    <row r="2078" s="12" customFormat="1" customHeight="1" spans="2:10">
      <c r="B2078" s="25"/>
      <c r="C2078" s="25"/>
      <c r="D2078" s="26" t="str" cm="1">
        <f t="array" ref="D2078">IF(C2078="","",IFERROR(INDEX(STPP!$D$6:$D$4207,MATCH(C2078,STPP!$C$6:$C$4207,0)),"Not Found"))</f>
        <v/>
      </c>
      <c r="E2078" s="27" t="str" cm="1">
        <f t="array" ref="E2078">IF(C2078="","",IFERROR(INDEX(STPP!$E$6:$E$4207,MATCH(C2078,STPP!$C$6:$C$4207,0)),"Not Found"))</f>
        <v/>
      </c>
      <c r="F2078" s="27" t="str" cm="1">
        <f t="array" ref="F2078">IF(C2078="","",IFERROR(INDEX(STPP!$F$6:$F$4207,MATCH(C2078,STPP!$C$6:$C$4207,0)),"Not Found"))</f>
        <v/>
      </c>
      <c r="G2078" s="25" t="str">
        <f>IF(表1[[#This Row],[No Seri]]="","",表1[[#This Row],[Deskripsi Barang]]+表1[[#This Row],[Kuantitas]]-表1[[#This Row],[Satuan]])</f>
        <v/>
      </c>
      <c r="H2078" s="28"/>
      <c r="I2078" s="25" t="str">
        <f>IF(表1[[#This Row],[Tgl NPBG]]&gt;表1[[#This Row],[Peminta]],表1[[#This Row],[Tgl NPBG]]-表1[[#This Row],[Peminta]],"")</f>
        <v/>
      </c>
      <c r="J2078" s="31"/>
    </row>
    <row r="2079" s="12" customFormat="1" customHeight="1" spans="2:10">
      <c r="B2079" s="25"/>
      <c r="C2079" s="25"/>
      <c r="D2079" s="26" t="str" cm="1">
        <f t="array" ref="D2079">IF(C2079="","",IFERROR(INDEX(STPP!$D$6:$D$4207,MATCH(C2079,STPP!$C$6:$C$4207,0)),"Not Found"))</f>
        <v/>
      </c>
      <c r="E2079" s="27" t="str" cm="1">
        <f t="array" ref="E2079">IF(C2079="","",IFERROR(INDEX(STPP!$E$6:$E$4207,MATCH(C2079,STPP!$C$6:$C$4207,0)),"Not Found"))</f>
        <v/>
      </c>
      <c r="F2079" s="27" t="str" cm="1">
        <f t="array" ref="F2079">IF(C2079="","",IFERROR(INDEX(STPP!$F$6:$F$4207,MATCH(C2079,STPP!$C$6:$C$4207,0)),"Not Found"))</f>
        <v/>
      </c>
      <c r="G2079" s="25" t="str">
        <f>IF(表1[[#This Row],[No Seri]]="","",表1[[#This Row],[Deskripsi Barang]]+表1[[#This Row],[Kuantitas]]-表1[[#This Row],[Satuan]])</f>
        <v/>
      </c>
      <c r="H2079" s="28"/>
      <c r="I2079" s="25" t="str">
        <f>IF(表1[[#This Row],[Tgl NPBG]]&gt;表1[[#This Row],[Peminta]],表1[[#This Row],[Tgl NPBG]]-表1[[#This Row],[Peminta]],"")</f>
        <v/>
      </c>
      <c r="J2079" s="31"/>
    </row>
    <row r="2080" s="12" customFormat="1" customHeight="1" spans="2:10">
      <c r="B2080" s="25"/>
      <c r="C2080" s="25"/>
      <c r="D2080" s="26" t="str" cm="1">
        <f t="array" ref="D2080">IF(C2080="","",IFERROR(INDEX(STPP!$D$6:$D$4207,MATCH(C2080,STPP!$C$6:$C$4207,0)),"Not Found"))</f>
        <v/>
      </c>
      <c r="E2080" s="27" t="str" cm="1">
        <f t="array" ref="E2080">IF(C2080="","",IFERROR(INDEX(STPP!$E$6:$E$4207,MATCH(C2080,STPP!$C$6:$C$4207,0)),"Not Found"))</f>
        <v/>
      </c>
      <c r="F2080" s="27" t="str" cm="1">
        <f t="array" ref="F2080">IF(C2080="","",IFERROR(INDEX(STPP!$F$6:$F$4207,MATCH(C2080,STPP!$C$6:$C$4207,0)),"Not Found"))</f>
        <v/>
      </c>
      <c r="G2080" s="25" t="str">
        <f>IF(表1[[#This Row],[No Seri]]="","",表1[[#This Row],[Deskripsi Barang]]+表1[[#This Row],[Kuantitas]]-表1[[#This Row],[Satuan]])</f>
        <v/>
      </c>
      <c r="H2080" s="28"/>
      <c r="I2080" s="25" t="str">
        <f>IF(表1[[#This Row],[Tgl NPBG]]&gt;表1[[#This Row],[Peminta]],表1[[#This Row],[Tgl NPBG]]-表1[[#This Row],[Peminta]],"")</f>
        <v/>
      </c>
      <c r="J2080" s="31"/>
    </row>
    <row r="2081" s="12" customFormat="1" customHeight="1" spans="2:10">
      <c r="B2081" s="25"/>
      <c r="C2081" s="25"/>
      <c r="D2081" s="26" t="str" cm="1">
        <f t="array" ref="D2081">IF(C2081="","",IFERROR(INDEX(STPP!$D$6:$D$4207,MATCH(C2081,STPP!$C$6:$C$4207,0)),"Not Found"))</f>
        <v/>
      </c>
      <c r="E2081" s="27" t="str" cm="1">
        <f t="array" ref="E2081">IF(C2081="","",IFERROR(INDEX(STPP!$E$6:$E$4207,MATCH(C2081,STPP!$C$6:$C$4207,0)),"Not Found"))</f>
        <v/>
      </c>
      <c r="F2081" s="27" t="str" cm="1">
        <f t="array" ref="F2081">IF(C2081="","",IFERROR(INDEX(STPP!$F$6:$F$4207,MATCH(C2081,STPP!$C$6:$C$4207,0)),"Not Found"))</f>
        <v/>
      </c>
      <c r="G2081" s="25" t="str">
        <f>IF(表1[[#This Row],[No Seri]]="","",表1[[#This Row],[Deskripsi Barang]]+表1[[#This Row],[Kuantitas]]-表1[[#This Row],[Satuan]])</f>
        <v/>
      </c>
      <c r="H2081" s="28"/>
      <c r="I2081" s="25" t="str">
        <f>IF(表1[[#This Row],[Tgl NPBG]]&gt;表1[[#This Row],[Peminta]],表1[[#This Row],[Tgl NPBG]]-表1[[#This Row],[Peminta]],"")</f>
        <v/>
      </c>
      <c r="J2081" s="31"/>
    </row>
    <row r="2082" s="12" customFormat="1" customHeight="1" spans="2:10">
      <c r="B2082" s="25"/>
      <c r="C2082" s="25"/>
      <c r="D2082" s="26" t="str" cm="1">
        <f t="array" ref="D2082">IF(C2082="","",IFERROR(INDEX(STPP!$D$6:$D$4207,MATCH(C2082,STPP!$C$6:$C$4207,0)),"Not Found"))</f>
        <v/>
      </c>
      <c r="E2082" s="27" t="str" cm="1">
        <f t="array" ref="E2082">IF(C2082="","",IFERROR(INDEX(STPP!$E$6:$E$4207,MATCH(C2082,STPP!$C$6:$C$4207,0)),"Not Found"))</f>
        <v/>
      </c>
      <c r="F2082" s="27" t="str" cm="1">
        <f t="array" ref="F2082">IF(C2082="","",IFERROR(INDEX(STPP!$F$6:$F$4207,MATCH(C2082,STPP!$C$6:$C$4207,0)),"Not Found"))</f>
        <v/>
      </c>
      <c r="G2082" s="25" t="str">
        <f>IF(表1[[#This Row],[No Seri]]="","",表1[[#This Row],[Deskripsi Barang]]+表1[[#This Row],[Kuantitas]]-表1[[#This Row],[Satuan]])</f>
        <v/>
      </c>
      <c r="H2082" s="28"/>
      <c r="I2082" s="25" t="str">
        <f>IF(表1[[#This Row],[Tgl NPBG]]&gt;表1[[#This Row],[Peminta]],表1[[#This Row],[Tgl NPBG]]-表1[[#This Row],[Peminta]],"")</f>
        <v/>
      </c>
      <c r="J2082" s="31"/>
    </row>
    <row r="2083" s="12" customFormat="1" customHeight="1" spans="2:10">
      <c r="B2083" s="25"/>
      <c r="C2083" s="25"/>
      <c r="D2083" s="26" t="str" cm="1">
        <f t="array" ref="D2083">IF(C2083="","",IFERROR(INDEX(STPP!$D$6:$D$4207,MATCH(C2083,STPP!$C$6:$C$4207,0)),"Not Found"))</f>
        <v/>
      </c>
      <c r="E2083" s="27" t="str" cm="1">
        <f t="array" ref="E2083">IF(C2083="","",IFERROR(INDEX(STPP!$E$6:$E$4207,MATCH(C2083,STPP!$C$6:$C$4207,0)),"Not Found"))</f>
        <v/>
      </c>
      <c r="F2083" s="27" t="str" cm="1">
        <f t="array" ref="F2083">IF(C2083="","",IFERROR(INDEX(STPP!$F$6:$F$4207,MATCH(C2083,STPP!$C$6:$C$4207,0)),"Not Found"))</f>
        <v/>
      </c>
      <c r="G2083" s="25" t="str">
        <f>IF(表1[[#This Row],[No Seri]]="","",表1[[#This Row],[Deskripsi Barang]]+表1[[#This Row],[Kuantitas]]-表1[[#This Row],[Satuan]])</f>
        <v/>
      </c>
      <c r="H2083" s="28"/>
      <c r="I2083" s="25" t="str">
        <f>IF(表1[[#This Row],[Tgl NPBG]]&gt;表1[[#This Row],[Peminta]],表1[[#This Row],[Tgl NPBG]]-表1[[#This Row],[Peminta]],"")</f>
        <v/>
      </c>
      <c r="J2083" s="31"/>
    </row>
    <row r="2084" s="12" customFormat="1" customHeight="1" spans="2:10">
      <c r="B2084" s="25"/>
      <c r="C2084" s="25"/>
      <c r="D2084" s="26" t="str" cm="1">
        <f t="array" ref="D2084">IF(C2084="","",IFERROR(INDEX(STPP!$D$6:$D$4207,MATCH(C2084,STPP!$C$6:$C$4207,0)),"Not Found"))</f>
        <v/>
      </c>
      <c r="E2084" s="27" t="str" cm="1">
        <f t="array" ref="E2084">IF(C2084="","",IFERROR(INDEX(STPP!$E$6:$E$4207,MATCH(C2084,STPP!$C$6:$C$4207,0)),"Not Found"))</f>
        <v/>
      </c>
      <c r="F2084" s="27" t="str" cm="1">
        <f t="array" ref="F2084">IF(C2084="","",IFERROR(INDEX(STPP!$F$6:$F$4207,MATCH(C2084,STPP!$C$6:$C$4207,0)),"Not Found"))</f>
        <v/>
      </c>
      <c r="G2084" s="25" t="str">
        <f>IF(表1[[#This Row],[No Seri]]="","",表1[[#This Row],[Deskripsi Barang]]+表1[[#This Row],[Kuantitas]]-表1[[#This Row],[Satuan]])</f>
        <v/>
      </c>
      <c r="H2084" s="28"/>
      <c r="I2084" s="25" t="str">
        <f>IF(表1[[#This Row],[Tgl NPBG]]&gt;表1[[#This Row],[Peminta]],表1[[#This Row],[Tgl NPBG]]-表1[[#This Row],[Peminta]],"")</f>
        <v/>
      </c>
      <c r="J2084" s="31"/>
    </row>
    <row r="2085" s="12" customFormat="1" customHeight="1" spans="2:10">
      <c r="B2085" s="25"/>
      <c r="C2085" s="25"/>
      <c r="D2085" s="26" t="str" cm="1">
        <f t="array" ref="D2085">IF(C2085="","",IFERROR(INDEX(STPP!$D$6:$D$4207,MATCH(C2085,STPP!$C$6:$C$4207,0)),"Not Found"))</f>
        <v/>
      </c>
      <c r="E2085" s="27" t="str" cm="1">
        <f t="array" ref="E2085">IF(C2085="","",IFERROR(INDEX(STPP!$E$6:$E$4207,MATCH(C2085,STPP!$C$6:$C$4207,0)),"Not Found"))</f>
        <v/>
      </c>
      <c r="F2085" s="27" t="str" cm="1">
        <f t="array" ref="F2085">IF(C2085="","",IFERROR(INDEX(STPP!$F$6:$F$4207,MATCH(C2085,STPP!$C$6:$C$4207,0)),"Not Found"))</f>
        <v/>
      </c>
      <c r="G2085" s="25" t="str">
        <f>IF(表1[[#This Row],[No Seri]]="","",表1[[#This Row],[Deskripsi Barang]]+表1[[#This Row],[Kuantitas]]-表1[[#This Row],[Satuan]])</f>
        <v/>
      </c>
      <c r="H2085" s="28"/>
      <c r="I2085" s="25" t="str">
        <f>IF(表1[[#This Row],[Tgl NPBG]]&gt;表1[[#This Row],[Peminta]],表1[[#This Row],[Tgl NPBG]]-表1[[#This Row],[Peminta]],"")</f>
        <v/>
      </c>
      <c r="J2085" s="31"/>
    </row>
    <row r="2086" s="12" customFormat="1" customHeight="1" spans="2:10">
      <c r="B2086" s="25"/>
      <c r="C2086" s="25"/>
      <c r="D2086" s="26" t="str" cm="1">
        <f t="array" ref="D2086">IF(C2086="","",IFERROR(INDEX(STPP!$D$6:$D$4207,MATCH(C2086,STPP!$C$6:$C$4207,0)),"Not Found"))</f>
        <v/>
      </c>
      <c r="E2086" s="27" t="str" cm="1">
        <f t="array" ref="E2086">IF(C2086="","",IFERROR(INDEX(STPP!$E$6:$E$4207,MATCH(C2086,STPP!$C$6:$C$4207,0)),"Not Found"))</f>
        <v/>
      </c>
      <c r="F2086" s="27" t="str" cm="1">
        <f t="array" ref="F2086">IF(C2086="","",IFERROR(INDEX(STPP!$F$6:$F$4207,MATCH(C2086,STPP!$C$6:$C$4207,0)),"Not Found"))</f>
        <v/>
      </c>
      <c r="G2086" s="25" t="str">
        <f>IF(表1[[#This Row],[No Seri]]="","",表1[[#This Row],[Deskripsi Barang]]+表1[[#This Row],[Kuantitas]]-表1[[#This Row],[Satuan]])</f>
        <v/>
      </c>
      <c r="H2086" s="28"/>
      <c r="I2086" s="25" t="str">
        <f>IF(表1[[#This Row],[Tgl NPBG]]&gt;表1[[#This Row],[Peminta]],表1[[#This Row],[Tgl NPBG]]-表1[[#This Row],[Peminta]],"")</f>
        <v/>
      </c>
      <c r="J2086" s="31"/>
    </row>
    <row r="2087" s="12" customFormat="1" customHeight="1" spans="2:10">
      <c r="B2087" s="25"/>
      <c r="C2087" s="25"/>
      <c r="D2087" s="26" t="str" cm="1">
        <f t="array" ref="D2087">IF(C2087="","",IFERROR(INDEX(STPP!$D$6:$D$4207,MATCH(C2087,STPP!$C$6:$C$4207,0)),"Not Found"))</f>
        <v/>
      </c>
      <c r="E2087" s="27" t="str" cm="1">
        <f t="array" ref="E2087">IF(C2087="","",IFERROR(INDEX(STPP!$E$6:$E$4207,MATCH(C2087,STPP!$C$6:$C$4207,0)),"Not Found"))</f>
        <v/>
      </c>
      <c r="F2087" s="27" t="str" cm="1">
        <f t="array" ref="F2087">IF(C2087="","",IFERROR(INDEX(STPP!$F$6:$F$4207,MATCH(C2087,STPP!$C$6:$C$4207,0)),"Not Found"))</f>
        <v/>
      </c>
      <c r="G2087" s="25" t="str">
        <f>IF(表1[[#This Row],[No Seri]]="","",表1[[#This Row],[Deskripsi Barang]]+表1[[#This Row],[Kuantitas]]-表1[[#This Row],[Satuan]])</f>
        <v/>
      </c>
      <c r="H2087" s="28"/>
      <c r="I2087" s="25" t="str">
        <f>IF(表1[[#This Row],[Tgl NPBG]]&gt;表1[[#This Row],[Peminta]],表1[[#This Row],[Tgl NPBG]]-表1[[#This Row],[Peminta]],"")</f>
        <v/>
      </c>
      <c r="J2087" s="31"/>
    </row>
    <row r="2088" s="12" customFormat="1" customHeight="1" spans="2:10">
      <c r="B2088" s="25"/>
      <c r="C2088" s="25"/>
      <c r="D2088" s="26" t="str" cm="1">
        <f t="array" ref="D2088">IF(C2088="","",IFERROR(INDEX(STPP!$D$6:$D$4207,MATCH(C2088,STPP!$C$6:$C$4207,0)),"Not Found"))</f>
        <v/>
      </c>
      <c r="E2088" s="27" t="str" cm="1">
        <f t="array" ref="E2088">IF(C2088="","",IFERROR(INDEX(STPP!$E$6:$E$4207,MATCH(C2088,STPP!$C$6:$C$4207,0)),"Not Found"))</f>
        <v/>
      </c>
      <c r="F2088" s="27" t="str" cm="1">
        <f t="array" ref="F2088">IF(C2088="","",IFERROR(INDEX(STPP!$F$6:$F$4207,MATCH(C2088,STPP!$C$6:$C$4207,0)),"Not Found"))</f>
        <v/>
      </c>
      <c r="G2088" s="25" t="str">
        <f>IF(表1[[#This Row],[No Seri]]="","",表1[[#This Row],[Deskripsi Barang]]+表1[[#This Row],[Kuantitas]]-表1[[#This Row],[Satuan]])</f>
        <v/>
      </c>
      <c r="H2088" s="28"/>
      <c r="I2088" s="25" t="str">
        <f>IF(表1[[#This Row],[Tgl NPBG]]&gt;表1[[#This Row],[Peminta]],表1[[#This Row],[Tgl NPBG]]-表1[[#This Row],[Peminta]],"")</f>
        <v/>
      </c>
      <c r="J2088" s="31"/>
    </row>
    <row r="2089" s="12" customFormat="1" customHeight="1" spans="2:10">
      <c r="B2089" s="25"/>
      <c r="C2089" s="25"/>
      <c r="D2089" s="26" t="str" cm="1">
        <f t="array" ref="D2089">IF(C2089="","",IFERROR(INDEX(STPP!$D$6:$D$4207,MATCH(C2089,STPP!$C$6:$C$4207,0)),"Not Found"))</f>
        <v/>
      </c>
      <c r="E2089" s="27" t="str" cm="1">
        <f t="array" ref="E2089">IF(C2089="","",IFERROR(INDEX(STPP!$E$6:$E$4207,MATCH(C2089,STPP!$C$6:$C$4207,0)),"Not Found"))</f>
        <v/>
      </c>
      <c r="F2089" s="27" t="str" cm="1">
        <f t="array" ref="F2089">IF(C2089="","",IFERROR(INDEX(STPP!$F$6:$F$4207,MATCH(C2089,STPP!$C$6:$C$4207,0)),"Not Found"))</f>
        <v/>
      </c>
      <c r="G2089" s="25" t="str">
        <f>IF(表1[[#This Row],[No Seri]]="","",表1[[#This Row],[Deskripsi Barang]]+表1[[#This Row],[Kuantitas]]-表1[[#This Row],[Satuan]])</f>
        <v/>
      </c>
      <c r="H2089" s="28"/>
      <c r="I2089" s="25" t="str">
        <f>IF(表1[[#This Row],[Tgl NPBG]]&gt;表1[[#This Row],[Peminta]],表1[[#This Row],[Tgl NPBG]]-表1[[#This Row],[Peminta]],"")</f>
        <v/>
      </c>
      <c r="J2089" s="31"/>
    </row>
    <row r="2090" s="12" customFormat="1" customHeight="1" spans="2:10">
      <c r="B2090" s="25"/>
      <c r="C2090" s="25"/>
      <c r="D2090" s="26" t="str" cm="1">
        <f t="array" ref="D2090">IF(C2090="","",IFERROR(INDEX(STPP!$D$6:$D$4207,MATCH(C2090,STPP!$C$6:$C$4207,0)),"Not Found"))</f>
        <v/>
      </c>
      <c r="E2090" s="27" t="str" cm="1">
        <f t="array" ref="E2090">IF(C2090="","",IFERROR(INDEX(STPP!$E$6:$E$4207,MATCH(C2090,STPP!$C$6:$C$4207,0)),"Not Found"))</f>
        <v/>
      </c>
      <c r="F2090" s="27" t="str" cm="1">
        <f t="array" ref="F2090">IF(C2090="","",IFERROR(INDEX(STPP!$F$6:$F$4207,MATCH(C2090,STPP!$C$6:$C$4207,0)),"Not Found"))</f>
        <v/>
      </c>
      <c r="G2090" s="25" t="str">
        <f>IF(表1[[#This Row],[No Seri]]="","",表1[[#This Row],[Deskripsi Barang]]+表1[[#This Row],[Kuantitas]]-表1[[#This Row],[Satuan]])</f>
        <v/>
      </c>
      <c r="H2090" s="28"/>
      <c r="I2090" s="25" t="str">
        <f>IF(表1[[#This Row],[Tgl NPBG]]&gt;表1[[#This Row],[Peminta]],表1[[#This Row],[Tgl NPBG]]-表1[[#This Row],[Peminta]],"")</f>
        <v/>
      </c>
      <c r="J2090" s="31"/>
    </row>
    <row r="2091" s="12" customFormat="1" customHeight="1" spans="2:10">
      <c r="B2091" s="25"/>
      <c r="C2091" s="25"/>
      <c r="D2091" s="26" t="str" cm="1">
        <f t="array" ref="D2091">IF(C2091="","",IFERROR(INDEX(STPP!$D$6:$D$4207,MATCH(C2091,STPP!$C$6:$C$4207,0)),"Not Found"))</f>
        <v/>
      </c>
      <c r="E2091" s="27" t="str" cm="1">
        <f t="array" ref="E2091">IF(C2091="","",IFERROR(INDEX(STPP!$E$6:$E$4207,MATCH(C2091,STPP!$C$6:$C$4207,0)),"Not Found"))</f>
        <v/>
      </c>
      <c r="F2091" s="27" t="str" cm="1">
        <f t="array" ref="F2091">IF(C2091="","",IFERROR(INDEX(STPP!$F$6:$F$4207,MATCH(C2091,STPP!$C$6:$C$4207,0)),"Not Found"))</f>
        <v/>
      </c>
      <c r="G2091" s="25" t="str">
        <f>IF(表1[[#This Row],[No Seri]]="","",表1[[#This Row],[Deskripsi Barang]]+表1[[#This Row],[Kuantitas]]-表1[[#This Row],[Satuan]])</f>
        <v/>
      </c>
      <c r="H2091" s="28"/>
      <c r="I2091" s="25" t="str">
        <f>IF(表1[[#This Row],[Tgl NPBG]]&gt;表1[[#This Row],[Peminta]],表1[[#This Row],[Tgl NPBG]]-表1[[#This Row],[Peminta]],"")</f>
        <v/>
      </c>
      <c r="J2091" s="31"/>
    </row>
    <row r="2092" s="12" customFormat="1" customHeight="1" spans="2:10">
      <c r="B2092" s="25"/>
      <c r="C2092" s="25"/>
      <c r="D2092" s="26" t="str" cm="1">
        <f t="array" ref="D2092">IF(C2092="","",IFERROR(INDEX(STPP!$D$6:$D$4207,MATCH(C2092,STPP!$C$6:$C$4207,0)),"Not Found"))</f>
        <v/>
      </c>
      <c r="E2092" s="27" t="str" cm="1">
        <f t="array" ref="E2092">IF(C2092="","",IFERROR(INDEX(STPP!$E$6:$E$4207,MATCH(C2092,STPP!$C$6:$C$4207,0)),"Not Found"))</f>
        <v/>
      </c>
      <c r="F2092" s="27" t="str" cm="1">
        <f t="array" ref="F2092">IF(C2092="","",IFERROR(INDEX(STPP!$F$6:$F$4207,MATCH(C2092,STPP!$C$6:$C$4207,0)),"Not Found"))</f>
        <v/>
      </c>
      <c r="G2092" s="25" t="str">
        <f>IF(表1[[#This Row],[No Seri]]="","",表1[[#This Row],[Deskripsi Barang]]+表1[[#This Row],[Kuantitas]]-表1[[#This Row],[Satuan]])</f>
        <v/>
      </c>
      <c r="H2092" s="28"/>
      <c r="I2092" s="25" t="str">
        <f>IF(表1[[#This Row],[Tgl NPBG]]&gt;表1[[#This Row],[Peminta]],表1[[#This Row],[Tgl NPBG]]-表1[[#This Row],[Peminta]],"")</f>
        <v/>
      </c>
      <c r="J2092" s="31"/>
    </row>
    <row r="2093" s="12" customFormat="1" customHeight="1" spans="2:10">
      <c r="B2093" s="25"/>
      <c r="C2093" s="25"/>
      <c r="D2093" s="26" t="str" cm="1">
        <f t="array" ref="D2093">IF(C2093="","",IFERROR(INDEX(STPP!$D$6:$D$4207,MATCH(C2093,STPP!$C$6:$C$4207,0)),"Not Found"))</f>
        <v/>
      </c>
      <c r="E2093" s="27" t="str" cm="1">
        <f t="array" ref="E2093">IF(C2093="","",IFERROR(INDEX(STPP!$E$6:$E$4207,MATCH(C2093,STPP!$C$6:$C$4207,0)),"Not Found"))</f>
        <v/>
      </c>
      <c r="F2093" s="27" t="str" cm="1">
        <f t="array" ref="F2093">IF(C2093="","",IFERROR(INDEX(STPP!$F$6:$F$4207,MATCH(C2093,STPP!$C$6:$C$4207,0)),"Not Found"))</f>
        <v/>
      </c>
      <c r="G2093" s="25" t="str">
        <f>IF(表1[[#This Row],[No Seri]]="","",表1[[#This Row],[Deskripsi Barang]]+表1[[#This Row],[Kuantitas]]-表1[[#This Row],[Satuan]])</f>
        <v/>
      </c>
      <c r="H2093" s="28"/>
      <c r="I2093" s="25" t="str">
        <f>IF(表1[[#This Row],[Tgl NPBG]]&gt;表1[[#This Row],[Peminta]],表1[[#This Row],[Tgl NPBG]]-表1[[#This Row],[Peminta]],"")</f>
        <v/>
      </c>
      <c r="J2093" s="31"/>
    </row>
    <row r="2094" s="12" customFormat="1" customHeight="1" spans="2:10">
      <c r="B2094" s="25"/>
      <c r="C2094" s="25"/>
      <c r="D2094" s="26" t="str" cm="1">
        <f t="array" ref="D2094">IF(C2094="","",IFERROR(INDEX(STPP!$D$6:$D$4207,MATCH(C2094,STPP!$C$6:$C$4207,0)),"Not Found"))</f>
        <v/>
      </c>
      <c r="E2094" s="27" t="str" cm="1">
        <f t="array" ref="E2094">IF(C2094="","",IFERROR(INDEX(STPP!$E$6:$E$4207,MATCH(C2094,STPP!$C$6:$C$4207,0)),"Not Found"))</f>
        <v/>
      </c>
      <c r="F2094" s="27" t="str" cm="1">
        <f t="array" ref="F2094">IF(C2094="","",IFERROR(INDEX(STPP!$F$6:$F$4207,MATCH(C2094,STPP!$C$6:$C$4207,0)),"Not Found"))</f>
        <v/>
      </c>
      <c r="G2094" s="25" t="str">
        <f>IF(表1[[#This Row],[No Seri]]="","",表1[[#This Row],[Deskripsi Barang]]+表1[[#This Row],[Kuantitas]]-表1[[#This Row],[Satuan]])</f>
        <v/>
      </c>
      <c r="H2094" s="28"/>
      <c r="I2094" s="25" t="str">
        <f>IF(表1[[#This Row],[Tgl NPBG]]&gt;表1[[#This Row],[Peminta]],表1[[#This Row],[Tgl NPBG]]-表1[[#This Row],[Peminta]],"")</f>
        <v/>
      </c>
      <c r="J2094" s="31"/>
    </row>
    <row r="2095" s="12" customFormat="1" customHeight="1" spans="2:10">
      <c r="B2095" s="25"/>
      <c r="C2095" s="25"/>
      <c r="D2095" s="26" t="str" cm="1">
        <f t="array" ref="D2095">IF(C2095="","",IFERROR(INDEX(STPP!$D$6:$D$4207,MATCH(C2095,STPP!$C$6:$C$4207,0)),"Not Found"))</f>
        <v/>
      </c>
      <c r="E2095" s="27" t="str" cm="1">
        <f t="array" ref="E2095">IF(C2095="","",IFERROR(INDEX(STPP!$E$6:$E$4207,MATCH(C2095,STPP!$C$6:$C$4207,0)),"Not Found"))</f>
        <v/>
      </c>
      <c r="F2095" s="27" t="str" cm="1">
        <f t="array" ref="F2095">IF(C2095="","",IFERROR(INDEX(STPP!$F$6:$F$4207,MATCH(C2095,STPP!$C$6:$C$4207,0)),"Not Found"))</f>
        <v/>
      </c>
      <c r="G2095" s="25" t="str">
        <f>IF(表1[[#This Row],[No Seri]]="","",表1[[#This Row],[Deskripsi Barang]]+表1[[#This Row],[Kuantitas]]-表1[[#This Row],[Satuan]])</f>
        <v/>
      </c>
      <c r="H2095" s="28"/>
      <c r="I2095" s="25" t="str">
        <f>IF(表1[[#This Row],[Tgl NPBG]]&gt;表1[[#This Row],[Peminta]],表1[[#This Row],[Tgl NPBG]]-表1[[#This Row],[Peminta]],"")</f>
        <v/>
      </c>
      <c r="J2095" s="31"/>
    </row>
    <row r="2096" s="12" customFormat="1" customHeight="1" spans="2:10">
      <c r="B2096" s="25"/>
      <c r="C2096" s="25"/>
      <c r="D2096" s="26" t="str" cm="1">
        <f t="array" ref="D2096">IF(C2096="","",IFERROR(INDEX(STPP!$D$6:$D$4207,MATCH(C2096,STPP!$C$6:$C$4207,0)),"Not Found"))</f>
        <v/>
      </c>
      <c r="E2096" s="27" t="str" cm="1">
        <f t="array" ref="E2096">IF(C2096="","",IFERROR(INDEX(STPP!$E$6:$E$4207,MATCH(C2096,STPP!$C$6:$C$4207,0)),"Not Found"))</f>
        <v/>
      </c>
      <c r="F2096" s="27" t="str" cm="1">
        <f t="array" ref="F2096">IF(C2096="","",IFERROR(INDEX(STPP!$F$6:$F$4207,MATCH(C2096,STPP!$C$6:$C$4207,0)),"Not Found"))</f>
        <v/>
      </c>
      <c r="G2096" s="25" t="str">
        <f>IF(表1[[#This Row],[No Seri]]="","",表1[[#This Row],[Deskripsi Barang]]+表1[[#This Row],[Kuantitas]]-表1[[#This Row],[Satuan]])</f>
        <v/>
      </c>
      <c r="H2096" s="28"/>
      <c r="I2096" s="25" t="str">
        <f>IF(表1[[#This Row],[Tgl NPBG]]&gt;表1[[#This Row],[Peminta]],表1[[#This Row],[Tgl NPBG]]-表1[[#This Row],[Peminta]],"")</f>
        <v/>
      </c>
      <c r="J2096" s="31"/>
    </row>
    <row r="2097" s="12" customFormat="1" customHeight="1" spans="2:10">
      <c r="B2097" s="25"/>
      <c r="C2097" s="25"/>
      <c r="D2097" s="26" t="str" cm="1">
        <f t="array" ref="D2097">IF(C2097="","",IFERROR(INDEX(STPP!$D$6:$D$4207,MATCH(C2097,STPP!$C$6:$C$4207,0)),"Not Found"))</f>
        <v/>
      </c>
      <c r="E2097" s="27" t="str" cm="1">
        <f t="array" ref="E2097">IF(C2097="","",IFERROR(INDEX(STPP!$E$6:$E$4207,MATCH(C2097,STPP!$C$6:$C$4207,0)),"Not Found"))</f>
        <v/>
      </c>
      <c r="F2097" s="27" t="str" cm="1">
        <f t="array" ref="F2097">IF(C2097="","",IFERROR(INDEX(STPP!$F$6:$F$4207,MATCH(C2097,STPP!$C$6:$C$4207,0)),"Not Found"))</f>
        <v/>
      </c>
      <c r="G2097" s="25" t="str">
        <f>IF(表1[[#This Row],[No Seri]]="","",表1[[#This Row],[Deskripsi Barang]]+表1[[#This Row],[Kuantitas]]-表1[[#This Row],[Satuan]])</f>
        <v/>
      </c>
      <c r="H2097" s="28"/>
      <c r="I2097" s="25" t="str">
        <f>IF(表1[[#This Row],[Tgl NPBG]]&gt;表1[[#This Row],[Peminta]],表1[[#This Row],[Tgl NPBG]]-表1[[#This Row],[Peminta]],"")</f>
        <v/>
      </c>
      <c r="J2097" s="31"/>
    </row>
    <row r="2098" s="12" customFormat="1" customHeight="1" spans="2:10">
      <c r="B2098" s="25"/>
      <c r="C2098" s="25"/>
      <c r="D2098" s="26" t="str" cm="1">
        <f t="array" ref="D2098">IF(C2098="","",IFERROR(INDEX(STPP!$D$6:$D$4207,MATCH(C2098,STPP!$C$6:$C$4207,0)),"Not Found"))</f>
        <v/>
      </c>
      <c r="E2098" s="27" t="str" cm="1">
        <f t="array" ref="E2098">IF(C2098="","",IFERROR(INDEX(STPP!$E$6:$E$4207,MATCH(C2098,STPP!$C$6:$C$4207,0)),"Not Found"))</f>
        <v/>
      </c>
      <c r="F2098" s="27" t="str" cm="1">
        <f t="array" ref="F2098">IF(C2098="","",IFERROR(INDEX(STPP!$F$6:$F$4207,MATCH(C2098,STPP!$C$6:$C$4207,0)),"Not Found"))</f>
        <v/>
      </c>
      <c r="G2098" s="25" t="str">
        <f>IF(表1[[#This Row],[No Seri]]="","",表1[[#This Row],[Deskripsi Barang]]+表1[[#This Row],[Kuantitas]]-表1[[#This Row],[Satuan]])</f>
        <v/>
      </c>
      <c r="H2098" s="28"/>
      <c r="I2098" s="25" t="str">
        <f>IF(表1[[#This Row],[Tgl NPBG]]&gt;表1[[#This Row],[Peminta]],表1[[#This Row],[Tgl NPBG]]-表1[[#This Row],[Peminta]],"")</f>
        <v/>
      </c>
      <c r="J2098" s="31"/>
    </row>
    <row r="2099" s="12" customFormat="1" customHeight="1" spans="2:10">
      <c r="B2099" s="25"/>
      <c r="C2099" s="25"/>
      <c r="D2099" s="26" t="str" cm="1">
        <f t="array" ref="D2099">IF(C2099="","",IFERROR(INDEX(STPP!$D$6:$D$4207,MATCH(C2099,STPP!$C$6:$C$4207,0)),"Not Found"))</f>
        <v/>
      </c>
      <c r="E2099" s="27" t="str" cm="1">
        <f t="array" ref="E2099">IF(C2099="","",IFERROR(INDEX(STPP!$E$6:$E$4207,MATCH(C2099,STPP!$C$6:$C$4207,0)),"Not Found"))</f>
        <v/>
      </c>
      <c r="F2099" s="27" t="str" cm="1">
        <f t="array" ref="F2099">IF(C2099="","",IFERROR(INDEX(STPP!$F$6:$F$4207,MATCH(C2099,STPP!$C$6:$C$4207,0)),"Not Found"))</f>
        <v/>
      </c>
      <c r="G2099" s="25" t="str">
        <f>IF(表1[[#This Row],[No Seri]]="","",表1[[#This Row],[Deskripsi Barang]]+表1[[#This Row],[Kuantitas]]-表1[[#This Row],[Satuan]])</f>
        <v/>
      </c>
      <c r="H2099" s="28"/>
      <c r="I2099" s="25" t="str">
        <f>IF(表1[[#This Row],[Tgl NPBG]]&gt;表1[[#This Row],[Peminta]],表1[[#This Row],[Tgl NPBG]]-表1[[#This Row],[Peminta]],"")</f>
        <v/>
      </c>
      <c r="J2099" s="31"/>
    </row>
    <row r="2100" s="12" customFormat="1" customHeight="1" spans="2:10">
      <c r="B2100" s="25"/>
      <c r="C2100" s="25"/>
      <c r="D2100" s="26" t="str" cm="1">
        <f t="array" ref="D2100">IF(C2100="","",IFERROR(INDEX(STPP!$D$6:$D$4207,MATCH(C2100,STPP!$C$6:$C$4207,0)),"Not Found"))</f>
        <v/>
      </c>
      <c r="E2100" s="27" t="str" cm="1">
        <f t="array" ref="E2100">IF(C2100="","",IFERROR(INDEX(STPP!$E$6:$E$4207,MATCH(C2100,STPP!$C$6:$C$4207,0)),"Not Found"))</f>
        <v/>
      </c>
      <c r="F2100" s="27" t="str" cm="1">
        <f t="array" ref="F2100">IF(C2100="","",IFERROR(INDEX(STPP!$F$6:$F$4207,MATCH(C2100,STPP!$C$6:$C$4207,0)),"Not Found"))</f>
        <v/>
      </c>
      <c r="G2100" s="25" t="str">
        <f>IF(表1[[#This Row],[No Seri]]="","",表1[[#This Row],[Deskripsi Barang]]+表1[[#This Row],[Kuantitas]]-表1[[#This Row],[Satuan]])</f>
        <v/>
      </c>
      <c r="H2100" s="28"/>
      <c r="I2100" s="25" t="str">
        <f>IF(表1[[#This Row],[Tgl NPBG]]&gt;表1[[#This Row],[Peminta]],表1[[#This Row],[Tgl NPBG]]-表1[[#This Row],[Peminta]],"")</f>
        <v/>
      </c>
      <c r="J2100" s="31"/>
    </row>
    <row r="2101" s="12" customFormat="1" customHeight="1" spans="2:10">
      <c r="B2101" s="25"/>
      <c r="C2101" s="25"/>
      <c r="D2101" s="26" t="str" cm="1">
        <f t="array" ref="D2101">IF(C2101="","",IFERROR(INDEX(STPP!$D$6:$D$4207,MATCH(C2101,STPP!$C$6:$C$4207,0)),"Not Found"))</f>
        <v/>
      </c>
      <c r="E2101" s="27" t="str" cm="1">
        <f t="array" ref="E2101">IF(C2101="","",IFERROR(INDEX(STPP!$E$6:$E$4207,MATCH(C2101,STPP!$C$6:$C$4207,0)),"Not Found"))</f>
        <v/>
      </c>
      <c r="F2101" s="27" t="str" cm="1">
        <f t="array" ref="F2101">IF(C2101="","",IFERROR(INDEX(STPP!$F$6:$F$4207,MATCH(C2101,STPP!$C$6:$C$4207,0)),"Not Found"))</f>
        <v/>
      </c>
      <c r="G2101" s="25" t="str">
        <f>IF(表1[[#This Row],[No Seri]]="","",表1[[#This Row],[Deskripsi Barang]]+表1[[#This Row],[Kuantitas]]-表1[[#This Row],[Satuan]])</f>
        <v/>
      </c>
      <c r="H2101" s="28"/>
      <c r="I2101" s="25" t="str">
        <f>IF(表1[[#This Row],[Tgl NPBG]]&gt;表1[[#This Row],[Peminta]],表1[[#This Row],[Tgl NPBG]]-表1[[#This Row],[Peminta]],"")</f>
        <v/>
      </c>
      <c r="J2101" s="31"/>
    </row>
    <row r="2102" s="12" customFormat="1" customHeight="1" spans="2:10">
      <c r="B2102" s="25"/>
      <c r="C2102" s="25"/>
      <c r="D2102" s="26" t="str" cm="1">
        <f t="array" ref="D2102">IF(C2102="","",IFERROR(INDEX(STPP!$D$6:$D$4207,MATCH(C2102,STPP!$C$6:$C$4207,0)),"Not Found"))</f>
        <v/>
      </c>
      <c r="E2102" s="27" t="str" cm="1">
        <f t="array" ref="E2102">IF(C2102="","",IFERROR(INDEX(STPP!$E$6:$E$4207,MATCH(C2102,STPP!$C$6:$C$4207,0)),"Not Found"))</f>
        <v/>
      </c>
      <c r="F2102" s="27" t="str" cm="1">
        <f t="array" ref="F2102">IF(C2102="","",IFERROR(INDEX(STPP!$F$6:$F$4207,MATCH(C2102,STPP!$C$6:$C$4207,0)),"Not Found"))</f>
        <v/>
      </c>
      <c r="G2102" s="25" t="str">
        <f>IF(表1[[#This Row],[No Seri]]="","",表1[[#This Row],[Deskripsi Barang]]+表1[[#This Row],[Kuantitas]]-表1[[#This Row],[Satuan]])</f>
        <v/>
      </c>
      <c r="H2102" s="28"/>
      <c r="I2102" s="25" t="str">
        <f>IF(表1[[#This Row],[Tgl NPBG]]&gt;表1[[#This Row],[Peminta]],表1[[#This Row],[Tgl NPBG]]-表1[[#This Row],[Peminta]],"")</f>
        <v/>
      </c>
      <c r="J2102" s="31"/>
    </row>
    <row r="2103" s="12" customFormat="1" customHeight="1" spans="2:10">
      <c r="B2103" s="25"/>
      <c r="C2103" s="25"/>
      <c r="D2103" s="26" t="str" cm="1">
        <f t="array" ref="D2103">IF(C2103="","",IFERROR(INDEX(STPP!$D$6:$D$4207,MATCH(C2103,STPP!$C$6:$C$4207,0)),"Not Found"))</f>
        <v/>
      </c>
      <c r="E2103" s="27" t="str" cm="1">
        <f t="array" ref="E2103">IF(C2103="","",IFERROR(INDEX(STPP!$E$6:$E$4207,MATCH(C2103,STPP!$C$6:$C$4207,0)),"Not Found"))</f>
        <v/>
      </c>
      <c r="F2103" s="27" t="str" cm="1">
        <f t="array" ref="F2103">IF(C2103="","",IFERROR(INDEX(STPP!$F$6:$F$4207,MATCH(C2103,STPP!$C$6:$C$4207,0)),"Not Found"))</f>
        <v/>
      </c>
      <c r="G2103" s="25" t="str">
        <f>IF(表1[[#This Row],[No Seri]]="","",表1[[#This Row],[Deskripsi Barang]]+表1[[#This Row],[Kuantitas]]-表1[[#This Row],[Satuan]])</f>
        <v/>
      </c>
      <c r="H2103" s="28"/>
      <c r="I2103" s="25" t="str">
        <f>IF(表1[[#This Row],[Tgl NPBG]]&gt;表1[[#This Row],[Peminta]],表1[[#This Row],[Tgl NPBG]]-表1[[#This Row],[Peminta]],"")</f>
        <v/>
      </c>
      <c r="J2103" s="31"/>
    </row>
    <row r="2104" s="12" customFormat="1" customHeight="1" spans="2:10">
      <c r="B2104" s="25"/>
      <c r="C2104" s="25"/>
      <c r="D2104" s="26" t="str" cm="1">
        <f t="array" ref="D2104">IF(C2104="","",IFERROR(INDEX(STPP!$D$6:$D$4207,MATCH(C2104,STPP!$C$6:$C$4207,0)),"Not Found"))</f>
        <v/>
      </c>
      <c r="E2104" s="27" t="str" cm="1">
        <f t="array" ref="E2104">IF(C2104="","",IFERROR(INDEX(STPP!$E$6:$E$4207,MATCH(C2104,STPP!$C$6:$C$4207,0)),"Not Found"))</f>
        <v/>
      </c>
      <c r="F2104" s="27" t="str" cm="1">
        <f t="array" ref="F2104">IF(C2104="","",IFERROR(INDEX(STPP!$F$6:$F$4207,MATCH(C2104,STPP!$C$6:$C$4207,0)),"Not Found"))</f>
        <v/>
      </c>
      <c r="G2104" s="25" t="str">
        <f>IF(表1[[#This Row],[No Seri]]="","",表1[[#This Row],[Deskripsi Barang]]+表1[[#This Row],[Kuantitas]]-表1[[#This Row],[Satuan]])</f>
        <v/>
      </c>
      <c r="H2104" s="28"/>
      <c r="I2104" s="25" t="str">
        <f>IF(表1[[#This Row],[Tgl NPBG]]&gt;表1[[#This Row],[Peminta]],表1[[#This Row],[Tgl NPBG]]-表1[[#This Row],[Peminta]],"")</f>
        <v/>
      </c>
      <c r="J2104" s="31"/>
    </row>
    <row r="2105" s="12" customFormat="1" customHeight="1" spans="2:10">
      <c r="B2105" s="25"/>
      <c r="C2105" s="25"/>
      <c r="D2105" s="26" t="str" cm="1">
        <f t="array" ref="D2105">IF(C2105="","",IFERROR(INDEX(STPP!$D$6:$D$4207,MATCH(C2105,STPP!$C$6:$C$4207,0)),"Not Found"))</f>
        <v/>
      </c>
      <c r="E2105" s="27" t="str" cm="1">
        <f t="array" ref="E2105">IF(C2105="","",IFERROR(INDEX(STPP!$E$6:$E$4207,MATCH(C2105,STPP!$C$6:$C$4207,0)),"Not Found"))</f>
        <v/>
      </c>
      <c r="F2105" s="27" t="str" cm="1">
        <f t="array" ref="F2105">IF(C2105="","",IFERROR(INDEX(STPP!$F$6:$F$4207,MATCH(C2105,STPP!$C$6:$C$4207,0)),"Not Found"))</f>
        <v/>
      </c>
      <c r="G2105" s="25" t="str">
        <f>IF(表1[[#This Row],[No Seri]]="","",表1[[#This Row],[Deskripsi Barang]]+表1[[#This Row],[Kuantitas]]-表1[[#This Row],[Satuan]])</f>
        <v/>
      </c>
      <c r="H2105" s="28"/>
      <c r="I2105" s="25" t="str">
        <f>IF(表1[[#This Row],[Tgl NPBG]]&gt;表1[[#This Row],[Peminta]],表1[[#This Row],[Tgl NPBG]]-表1[[#This Row],[Peminta]],"")</f>
        <v/>
      </c>
      <c r="J2105" s="31"/>
    </row>
    <row r="2106" s="12" customFormat="1" customHeight="1" spans="2:10">
      <c r="B2106" s="25"/>
      <c r="C2106" s="25"/>
      <c r="D2106" s="26" t="str" cm="1">
        <f t="array" ref="D2106">IF(C2106="","",IFERROR(INDEX(STPP!$D$6:$D$4207,MATCH(C2106,STPP!$C$6:$C$4207,0)),"Not Found"))</f>
        <v/>
      </c>
      <c r="E2106" s="27" t="str" cm="1">
        <f t="array" ref="E2106">IF(C2106="","",IFERROR(INDEX(STPP!$E$6:$E$4207,MATCH(C2106,STPP!$C$6:$C$4207,0)),"Not Found"))</f>
        <v/>
      </c>
      <c r="F2106" s="27" t="str" cm="1">
        <f t="array" ref="F2106">IF(C2106="","",IFERROR(INDEX(STPP!$F$6:$F$4207,MATCH(C2106,STPP!$C$6:$C$4207,0)),"Not Found"))</f>
        <v/>
      </c>
      <c r="G2106" s="25" t="str">
        <f>IF(表1[[#This Row],[No Seri]]="","",表1[[#This Row],[Deskripsi Barang]]+表1[[#This Row],[Kuantitas]]-表1[[#This Row],[Satuan]])</f>
        <v/>
      </c>
      <c r="H2106" s="28"/>
      <c r="I2106" s="25" t="str">
        <f>IF(表1[[#This Row],[Tgl NPBG]]&gt;表1[[#This Row],[Peminta]],表1[[#This Row],[Tgl NPBG]]-表1[[#This Row],[Peminta]],"")</f>
        <v/>
      </c>
      <c r="J2106" s="31"/>
    </row>
    <row r="2107" s="12" customFormat="1" customHeight="1" spans="2:10">
      <c r="B2107" s="25"/>
      <c r="C2107" s="25"/>
      <c r="D2107" s="26" t="str" cm="1">
        <f t="array" ref="D2107">IF(C2107="","",IFERROR(INDEX(STPP!$D$6:$D$4207,MATCH(C2107,STPP!$C$6:$C$4207,0)),"Not Found"))</f>
        <v/>
      </c>
      <c r="E2107" s="27" t="str" cm="1">
        <f t="array" ref="E2107">IF(C2107="","",IFERROR(INDEX(STPP!$E$6:$E$4207,MATCH(C2107,STPP!$C$6:$C$4207,0)),"Not Found"))</f>
        <v/>
      </c>
      <c r="F2107" s="27" t="str" cm="1">
        <f t="array" ref="F2107">IF(C2107="","",IFERROR(INDEX(STPP!$F$6:$F$4207,MATCH(C2107,STPP!$C$6:$C$4207,0)),"Not Found"))</f>
        <v/>
      </c>
      <c r="G2107" s="25" t="str">
        <f>IF(表1[[#This Row],[No Seri]]="","",表1[[#This Row],[Deskripsi Barang]]+表1[[#This Row],[Kuantitas]]-表1[[#This Row],[Satuan]])</f>
        <v/>
      </c>
      <c r="H2107" s="28"/>
      <c r="I2107" s="25" t="str">
        <f>IF(表1[[#This Row],[Tgl NPBG]]&gt;表1[[#This Row],[Peminta]],表1[[#This Row],[Tgl NPBG]]-表1[[#This Row],[Peminta]],"")</f>
        <v/>
      </c>
      <c r="J2107" s="31"/>
    </row>
    <row r="2108" s="12" customFormat="1" customHeight="1" spans="2:10">
      <c r="B2108" s="25"/>
      <c r="C2108" s="25"/>
      <c r="D2108" s="26" t="str" cm="1">
        <f t="array" ref="D2108">IF(C2108="","",IFERROR(INDEX(STPP!$D$6:$D$4207,MATCH(C2108,STPP!$C$6:$C$4207,0)),"Not Found"))</f>
        <v/>
      </c>
      <c r="E2108" s="27" t="str" cm="1">
        <f t="array" ref="E2108">IF(C2108="","",IFERROR(INDEX(STPP!$E$6:$E$4207,MATCH(C2108,STPP!$C$6:$C$4207,0)),"Not Found"))</f>
        <v/>
      </c>
      <c r="F2108" s="27" t="str" cm="1">
        <f t="array" ref="F2108">IF(C2108="","",IFERROR(INDEX(STPP!$F$6:$F$4207,MATCH(C2108,STPP!$C$6:$C$4207,0)),"Not Found"))</f>
        <v/>
      </c>
      <c r="G2108" s="25" t="str">
        <f>IF(表1[[#This Row],[No Seri]]="","",表1[[#This Row],[Deskripsi Barang]]+表1[[#This Row],[Kuantitas]]-表1[[#This Row],[Satuan]])</f>
        <v/>
      </c>
      <c r="H2108" s="28"/>
      <c r="I2108" s="25" t="str">
        <f>IF(表1[[#This Row],[Tgl NPBG]]&gt;表1[[#This Row],[Peminta]],表1[[#This Row],[Tgl NPBG]]-表1[[#This Row],[Peminta]],"")</f>
        <v/>
      </c>
      <c r="J2108" s="31"/>
    </row>
    <row r="2109" s="12" customFormat="1" customHeight="1" spans="2:10">
      <c r="B2109" s="25"/>
      <c r="C2109" s="25"/>
      <c r="D2109" s="26" t="str" cm="1">
        <f t="array" ref="D2109">IF(C2109="","",IFERROR(INDEX(STPP!$D$6:$D$4207,MATCH(C2109,STPP!$C$6:$C$4207,0)),"Not Found"))</f>
        <v/>
      </c>
      <c r="E2109" s="27" t="str" cm="1">
        <f t="array" ref="E2109">IF(C2109="","",IFERROR(INDEX(STPP!$E$6:$E$4207,MATCH(C2109,STPP!$C$6:$C$4207,0)),"Not Found"))</f>
        <v/>
      </c>
      <c r="F2109" s="27" t="str" cm="1">
        <f t="array" ref="F2109">IF(C2109="","",IFERROR(INDEX(STPP!$F$6:$F$4207,MATCH(C2109,STPP!$C$6:$C$4207,0)),"Not Found"))</f>
        <v/>
      </c>
      <c r="G2109" s="25" t="str">
        <f>IF(表1[[#This Row],[No Seri]]="","",表1[[#This Row],[Deskripsi Barang]]+表1[[#This Row],[Kuantitas]]-表1[[#This Row],[Satuan]])</f>
        <v/>
      </c>
      <c r="H2109" s="28"/>
      <c r="I2109" s="25" t="str">
        <f>IF(表1[[#This Row],[Tgl NPBG]]&gt;表1[[#This Row],[Peminta]],表1[[#This Row],[Tgl NPBG]]-表1[[#This Row],[Peminta]],"")</f>
        <v/>
      </c>
      <c r="J2109" s="31"/>
    </row>
    <row r="2110" s="12" customFormat="1" customHeight="1" spans="2:10">
      <c r="B2110" s="25"/>
      <c r="C2110" s="25"/>
      <c r="D2110" s="26" t="str" cm="1">
        <f t="array" ref="D2110">IF(C2110="","",IFERROR(INDEX(STPP!$D$6:$D$4207,MATCH(C2110,STPP!$C$6:$C$4207,0)),"Not Found"))</f>
        <v/>
      </c>
      <c r="E2110" s="27" t="str" cm="1">
        <f t="array" ref="E2110">IF(C2110="","",IFERROR(INDEX(STPP!$E$6:$E$4207,MATCH(C2110,STPP!$C$6:$C$4207,0)),"Not Found"))</f>
        <v/>
      </c>
      <c r="F2110" s="27" t="str" cm="1">
        <f t="array" ref="F2110">IF(C2110="","",IFERROR(INDEX(STPP!$F$6:$F$4207,MATCH(C2110,STPP!$C$6:$C$4207,0)),"Not Found"))</f>
        <v/>
      </c>
      <c r="G2110" s="25" t="str">
        <f>IF(表1[[#This Row],[No Seri]]="","",表1[[#This Row],[Deskripsi Barang]]+表1[[#This Row],[Kuantitas]]-表1[[#This Row],[Satuan]])</f>
        <v/>
      </c>
      <c r="H2110" s="28"/>
      <c r="I2110" s="25" t="str">
        <f>IF(表1[[#This Row],[Tgl NPBG]]&gt;表1[[#This Row],[Peminta]],表1[[#This Row],[Tgl NPBG]]-表1[[#This Row],[Peminta]],"")</f>
        <v/>
      </c>
      <c r="J2110" s="31"/>
    </row>
    <row r="2111" s="12" customFormat="1" customHeight="1" spans="2:10">
      <c r="B2111" s="25"/>
      <c r="C2111" s="25"/>
      <c r="D2111" s="26" t="str" cm="1">
        <f t="array" ref="D2111">IF(C2111="","",IFERROR(INDEX(STPP!$D$6:$D$4207,MATCH(C2111,STPP!$C$6:$C$4207,0)),"Not Found"))</f>
        <v/>
      </c>
      <c r="E2111" s="27" t="str" cm="1">
        <f t="array" ref="E2111">IF(C2111="","",IFERROR(INDEX(STPP!$E$6:$E$4207,MATCH(C2111,STPP!$C$6:$C$4207,0)),"Not Found"))</f>
        <v/>
      </c>
      <c r="F2111" s="27" t="str" cm="1">
        <f t="array" ref="F2111">IF(C2111="","",IFERROR(INDEX(STPP!$F$6:$F$4207,MATCH(C2111,STPP!$C$6:$C$4207,0)),"Not Found"))</f>
        <v/>
      </c>
      <c r="G2111" s="25" t="str">
        <f>IF(表1[[#This Row],[No Seri]]="","",表1[[#This Row],[Deskripsi Barang]]+表1[[#This Row],[Kuantitas]]-表1[[#This Row],[Satuan]])</f>
        <v/>
      </c>
      <c r="H2111" s="28"/>
      <c r="I2111" s="25" t="str">
        <f>IF(表1[[#This Row],[Tgl NPBG]]&gt;表1[[#This Row],[Peminta]],表1[[#This Row],[Tgl NPBG]]-表1[[#This Row],[Peminta]],"")</f>
        <v/>
      </c>
      <c r="J2111" s="31"/>
    </row>
    <row r="2112" s="12" customFormat="1" customHeight="1" spans="2:10">
      <c r="B2112" s="25"/>
      <c r="C2112" s="25"/>
      <c r="D2112" s="26" t="str" cm="1">
        <f t="array" ref="D2112">IF(C2112="","",IFERROR(INDEX(STPP!$D$6:$D$4207,MATCH(C2112,STPP!$C$6:$C$4207,0)),"Not Found"))</f>
        <v/>
      </c>
      <c r="E2112" s="27" t="str" cm="1">
        <f t="array" ref="E2112">IF(C2112="","",IFERROR(INDEX(STPP!$E$6:$E$4207,MATCH(C2112,STPP!$C$6:$C$4207,0)),"Not Found"))</f>
        <v/>
      </c>
      <c r="F2112" s="27" t="str" cm="1">
        <f t="array" ref="F2112">IF(C2112="","",IFERROR(INDEX(STPP!$F$6:$F$4207,MATCH(C2112,STPP!$C$6:$C$4207,0)),"Not Found"))</f>
        <v/>
      </c>
      <c r="G2112" s="25" t="str">
        <f>IF(表1[[#This Row],[No Seri]]="","",表1[[#This Row],[Deskripsi Barang]]+表1[[#This Row],[Kuantitas]]-表1[[#This Row],[Satuan]])</f>
        <v/>
      </c>
      <c r="H2112" s="28"/>
      <c r="I2112" s="25" t="str">
        <f>IF(表1[[#This Row],[Tgl NPBG]]&gt;表1[[#This Row],[Peminta]],表1[[#This Row],[Tgl NPBG]]-表1[[#This Row],[Peminta]],"")</f>
        <v/>
      </c>
      <c r="J2112" s="31"/>
    </row>
    <row r="2113" s="12" customFormat="1" customHeight="1" spans="2:10">
      <c r="B2113" s="25"/>
      <c r="C2113" s="25"/>
      <c r="D2113" s="26" t="str" cm="1">
        <f t="array" ref="D2113">IF(C2113="","",IFERROR(INDEX(STPP!$D$6:$D$4207,MATCH(C2113,STPP!$C$6:$C$4207,0)),"Not Found"))</f>
        <v/>
      </c>
      <c r="E2113" s="27" t="str" cm="1">
        <f t="array" ref="E2113">IF(C2113="","",IFERROR(INDEX(STPP!$E$6:$E$4207,MATCH(C2113,STPP!$C$6:$C$4207,0)),"Not Found"))</f>
        <v/>
      </c>
      <c r="F2113" s="27" t="str" cm="1">
        <f t="array" ref="F2113">IF(C2113="","",IFERROR(INDEX(STPP!$F$6:$F$4207,MATCH(C2113,STPP!$C$6:$C$4207,0)),"Not Found"))</f>
        <v/>
      </c>
      <c r="G2113" s="25" t="str">
        <f>IF(表1[[#This Row],[No Seri]]="","",表1[[#This Row],[Deskripsi Barang]]+表1[[#This Row],[Kuantitas]]-表1[[#This Row],[Satuan]])</f>
        <v/>
      </c>
      <c r="H2113" s="28"/>
      <c r="I2113" s="25" t="str">
        <f>IF(表1[[#This Row],[Tgl NPBG]]&gt;表1[[#This Row],[Peminta]],表1[[#This Row],[Tgl NPBG]]-表1[[#This Row],[Peminta]],"")</f>
        <v/>
      </c>
      <c r="J2113" s="31"/>
    </row>
    <row r="2114" s="12" customFormat="1" customHeight="1" spans="2:10">
      <c r="B2114" s="25"/>
      <c r="C2114" s="25"/>
      <c r="D2114" s="26" t="str" cm="1">
        <f t="array" ref="D2114">IF(C2114="","",IFERROR(INDEX(STPP!$D$6:$D$4207,MATCH(C2114,STPP!$C$6:$C$4207,0)),"Not Found"))</f>
        <v/>
      </c>
      <c r="E2114" s="27" t="str" cm="1">
        <f t="array" ref="E2114">IF(C2114="","",IFERROR(INDEX(STPP!$E$6:$E$4207,MATCH(C2114,STPP!$C$6:$C$4207,0)),"Not Found"))</f>
        <v/>
      </c>
      <c r="F2114" s="27" t="str" cm="1">
        <f t="array" ref="F2114">IF(C2114="","",IFERROR(INDEX(STPP!$F$6:$F$4207,MATCH(C2114,STPP!$C$6:$C$4207,0)),"Not Found"))</f>
        <v/>
      </c>
      <c r="G2114" s="25" t="str">
        <f>IF(表1[[#This Row],[No Seri]]="","",表1[[#This Row],[Deskripsi Barang]]+表1[[#This Row],[Kuantitas]]-表1[[#This Row],[Satuan]])</f>
        <v/>
      </c>
      <c r="H2114" s="28"/>
      <c r="I2114" s="25" t="str">
        <f>IF(表1[[#This Row],[Tgl NPBG]]&gt;表1[[#This Row],[Peminta]],表1[[#This Row],[Tgl NPBG]]-表1[[#This Row],[Peminta]],"")</f>
        <v/>
      </c>
      <c r="J2114" s="31"/>
    </row>
    <row r="2115" s="12" customFormat="1" customHeight="1" spans="2:10">
      <c r="B2115" s="25"/>
      <c r="C2115" s="25"/>
      <c r="D2115" s="26" t="str" cm="1">
        <f t="array" ref="D2115">IF(C2115="","",IFERROR(INDEX(STPP!$D$6:$D$4207,MATCH(C2115,STPP!$C$6:$C$4207,0)),"Not Found"))</f>
        <v/>
      </c>
      <c r="E2115" s="27" t="str" cm="1">
        <f t="array" ref="E2115">IF(C2115="","",IFERROR(INDEX(STPP!$E$6:$E$4207,MATCH(C2115,STPP!$C$6:$C$4207,0)),"Not Found"))</f>
        <v/>
      </c>
      <c r="F2115" s="27" t="str" cm="1">
        <f t="array" ref="F2115">IF(C2115="","",IFERROR(INDEX(STPP!$F$6:$F$4207,MATCH(C2115,STPP!$C$6:$C$4207,0)),"Not Found"))</f>
        <v/>
      </c>
      <c r="G2115" s="25" t="str">
        <f>IF(表1[[#This Row],[No Seri]]="","",表1[[#This Row],[Deskripsi Barang]]+表1[[#This Row],[Kuantitas]]-表1[[#This Row],[Satuan]])</f>
        <v/>
      </c>
      <c r="H2115" s="28"/>
      <c r="I2115" s="25" t="str">
        <f>IF(表1[[#This Row],[Tgl NPBG]]&gt;表1[[#This Row],[Peminta]],表1[[#This Row],[Tgl NPBG]]-表1[[#This Row],[Peminta]],"")</f>
        <v/>
      </c>
      <c r="J2115" s="31"/>
    </row>
    <row r="2116" s="12" customFormat="1" customHeight="1" spans="2:10">
      <c r="B2116" s="25"/>
      <c r="C2116" s="25"/>
      <c r="D2116" s="26" t="str" cm="1">
        <f t="array" ref="D2116">IF(C2116="","",IFERROR(INDEX(STPP!$D$6:$D$4207,MATCH(C2116,STPP!$C$6:$C$4207,0)),"Not Found"))</f>
        <v/>
      </c>
      <c r="E2116" s="27" t="str" cm="1">
        <f t="array" ref="E2116">IF(C2116="","",IFERROR(INDEX(STPP!$E$6:$E$4207,MATCH(C2116,STPP!$C$6:$C$4207,0)),"Not Found"))</f>
        <v/>
      </c>
      <c r="F2116" s="27" t="str" cm="1">
        <f t="array" ref="F2116">IF(C2116="","",IFERROR(INDEX(STPP!$F$6:$F$4207,MATCH(C2116,STPP!$C$6:$C$4207,0)),"Not Found"))</f>
        <v/>
      </c>
      <c r="G2116" s="25" t="str">
        <f>IF(表1[[#This Row],[No Seri]]="","",表1[[#This Row],[Deskripsi Barang]]+表1[[#This Row],[Kuantitas]]-表1[[#This Row],[Satuan]])</f>
        <v/>
      </c>
      <c r="H2116" s="28"/>
      <c r="I2116" s="25" t="str">
        <f>IF(表1[[#This Row],[Tgl NPBG]]&gt;表1[[#This Row],[Peminta]],表1[[#This Row],[Tgl NPBG]]-表1[[#This Row],[Peminta]],"")</f>
        <v/>
      </c>
      <c r="J2116" s="31"/>
    </row>
    <row r="2117" s="12" customFormat="1" customHeight="1" spans="2:10">
      <c r="B2117" s="25"/>
      <c r="C2117" s="25"/>
      <c r="D2117" s="26" t="str" cm="1">
        <f t="array" ref="D2117">IF(C2117="","",IFERROR(INDEX(STPP!$D$6:$D$4207,MATCH(C2117,STPP!$C$6:$C$4207,0)),"Not Found"))</f>
        <v/>
      </c>
      <c r="E2117" s="27" t="str" cm="1">
        <f t="array" ref="E2117">IF(C2117="","",IFERROR(INDEX(STPP!$E$6:$E$4207,MATCH(C2117,STPP!$C$6:$C$4207,0)),"Not Found"))</f>
        <v/>
      </c>
      <c r="F2117" s="27" t="str" cm="1">
        <f t="array" ref="F2117">IF(C2117="","",IFERROR(INDEX(STPP!$F$6:$F$4207,MATCH(C2117,STPP!$C$6:$C$4207,0)),"Not Found"))</f>
        <v/>
      </c>
      <c r="G2117" s="25" t="str">
        <f>IF(表1[[#This Row],[No Seri]]="","",表1[[#This Row],[Deskripsi Barang]]+表1[[#This Row],[Kuantitas]]-表1[[#This Row],[Satuan]])</f>
        <v/>
      </c>
      <c r="H2117" s="28"/>
      <c r="I2117" s="25" t="str">
        <f>IF(表1[[#This Row],[Tgl NPBG]]&gt;表1[[#This Row],[Peminta]],表1[[#This Row],[Tgl NPBG]]-表1[[#This Row],[Peminta]],"")</f>
        <v/>
      </c>
      <c r="J2117" s="31"/>
    </row>
    <row r="2118" s="12" customFormat="1" customHeight="1" spans="2:10">
      <c r="B2118" s="25"/>
      <c r="C2118" s="25"/>
      <c r="D2118" s="26" t="str" cm="1">
        <f t="array" ref="D2118">IF(C2118="","",IFERROR(INDEX(STPP!$D$6:$D$4207,MATCH(C2118,STPP!$C$6:$C$4207,0)),"Not Found"))</f>
        <v/>
      </c>
      <c r="E2118" s="27" t="str" cm="1">
        <f t="array" ref="E2118">IF(C2118="","",IFERROR(INDEX(STPP!$E$6:$E$4207,MATCH(C2118,STPP!$C$6:$C$4207,0)),"Not Found"))</f>
        <v/>
      </c>
      <c r="F2118" s="27" t="str" cm="1">
        <f t="array" ref="F2118">IF(C2118="","",IFERROR(INDEX(STPP!$F$6:$F$4207,MATCH(C2118,STPP!$C$6:$C$4207,0)),"Not Found"))</f>
        <v/>
      </c>
      <c r="G2118" s="25" t="str">
        <f>IF(表1[[#This Row],[No Seri]]="","",表1[[#This Row],[Deskripsi Barang]]+表1[[#This Row],[Kuantitas]]-表1[[#This Row],[Satuan]])</f>
        <v/>
      </c>
      <c r="H2118" s="28"/>
      <c r="I2118" s="25" t="str">
        <f>IF(表1[[#This Row],[Tgl NPBG]]&gt;表1[[#This Row],[Peminta]],表1[[#This Row],[Tgl NPBG]]-表1[[#This Row],[Peminta]],"")</f>
        <v/>
      </c>
      <c r="J2118" s="31"/>
    </row>
    <row r="2119" s="12" customFormat="1" customHeight="1" spans="2:10">
      <c r="B2119" s="25"/>
      <c r="C2119" s="25"/>
      <c r="D2119" s="26" t="str" cm="1">
        <f t="array" ref="D2119">IF(C2119="","",IFERROR(INDEX(STPP!$D$6:$D$4207,MATCH(C2119,STPP!$C$6:$C$4207,0)),"Not Found"))</f>
        <v/>
      </c>
      <c r="E2119" s="27" t="str" cm="1">
        <f t="array" ref="E2119">IF(C2119="","",IFERROR(INDEX(STPP!$E$6:$E$4207,MATCH(C2119,STPP!$C$6:$C$4207,0)),"Not Found"))</f>
        <v/>
      </c>
      <c r="F2119" s="27" t="str" cm="1">
        <f t="array" ref="F2119">IF(C2119="","",IFERROR(INDEX(STPP!$F$6:$F$4207,MATCH(C2119,STPP!$C$6:$C$4207,0)),"Not Found"))</f>
        <v/>
      </c>
      <c r="G2119" s="25" t="str">
        <f>IF(表1[[#This Row],[No Seri]]="","",表1[[#This Row],[Deskripsi Barang]]+表1[[#This Row],[Kuantitas]]-表1[[#This Row],[Satuan]])</f>
        <v/>
      </c>
      <c r="H2119" s="28"/>
      <c r="I2119" s="25" t="str">
        <f>IF(表1[[#This Row],[Tgl NPBG]]&gt;表1[[#This Row],[Peminta]],表1[[#This Row],[Tgl NPBG]]-表1[[#This Row],[Peminta]],"")</f>
        <v/>
      </c>
      <c r="J2119" s="31"/>
    </row>
    <row r="2120" s="12" customFormat="1" customHeight="1" spans="2:10">
      <c r="B2120" s="25"/>
      <c r="C2120" s="25"/>
      <c r="D2120" s="26" t="str" cm="1">
        <f t="array" ref="D2120">IF(C2120="","",IFERROR(INDEX(STPP!$D$6:$D$4207,MATCH(C2120,STPP!$C$6:$C$4207,0)),"Not Found"))</f>
        <v/>
      </c>
      <c r="E2120" s="27" t="str" cm="1">
        <f t="array" ref="E2120">IF(C2120="","",IFERROR(INDEX(STPP!$E$6:$E$4207,MATCH(C2120,STPP!$C$6:$C$4207,0)),"Not Found"))</f>
        <v/>
      </c>
      <c r="F2120" s="27" t="str" cm="1">
        <f t="array" ref="F2120">IF(C2120="","",IFERROR(INDEX(STPP!$F$6:$F$4207,MATCH(C2120,STPP!$C$6:$C$4207,0)),"Not Found"))</f>
        <v/>
      </c>
      <c r="G2120" s="25" t="str">
        <f>IF(表1[[#This Row],[No Seri]]="","",表1[[#This Row],[Deskripsi Barang]]+表1[[#This Row],[Kuantitas]]-表1[[#This Row],[Satuan]])</f>
        <v/>
      </c>
      <c r="H2120" s="28"/>
      <c r="I2120" s="25" t="str">
        <f>IF(表1[[#This Row],[Tgl NPBG]]&gt;表1[[#This Row],[Peminta]],表1[[#This Row],[Tgl NPBG]]-表1[[#This Row],[Peminta]],"")</f>
        <v/>
      </c>
      <c r="J2120" s="31"/>
    </row>
    <row r="2121" s="12" customFormat="1" customHeight="1" spans="2:10">
      <c r="B2121" s="25"/>
      <c r="C2121" s="25"/>
      <c r="D2121" s="26" t="str" cm="1">
        <f t="array" ref="D2121">IF(C2121="","",IFERROR(INDEX(STPP!$D$6:$D$4207,MATCH(C2121,STPP!$C$6:$C$4207,0)),"Not Found"))</f>
        <v/>
      </c>
      <c r="E2121" s="27" t="str" cm="1">
        <f t="array" ref="E2121">IF(C2121="","",IFERROR(INDEX(STPP!$E$6:$E$4207,MATCH(C2121,STPP!$C$6:$C$4207,0)),"Not Found"))</f>
        <v/>
      </c>
      <c r="F2121" s="27" t="str" cm="1">
        <f t="array" ref="F2121">IF(C2121="","",IFERROR(INDEX(STPP!$F$6:$F$4207,MATCH(C2121,STPP!$C$6:$C$4207,0)),"Not Found"))</f>
        <v/>
      </c>
      <c r="G2121" s="25" t="str">
        <f>IF(表1[[#This Row],[No Seri]]="","",表1[[#This Row],[Deskripsi Barang]]+表1[[#This Row],[Kuantitas]]-表1[[#This Row],[Satuan]])</f>
        <v/>
      </c>
      <c r="H2121" s="28"/>
      <c r="I2121" s="25" t="str">
        <f>IF(表1[[#This Row],[Tgl NPBG]]&gt;表1[[#This Row],[Peminta]],表1[[#This Row],[Tgl NPBG]]-表1[[#This Row],[Peminta]],"")</f>
        <v/>
      </c>
      <c r="J2121" s="31"/>
    </row>
    <row r="2122" s="12" customFormat="1" customHeight="1" spans="2:10">
      <c r="B2122" s="25"/>
      <c r="C2122" s="25"/>
      <c r="D2122" s="26" t="str" cm="1">
        <f t="array" ref="D2122">IF(C2122="","",IFERROR(INDEX(STPP!$D$6:$D$4207,MATCH(C2122,STPP!$C$6:$C$4207,0)),"Not Found"))</f>
        <v/>
      </c>
      <c r="E2122" s="27" t="str" cm="1">
        <f t="array" ref="E2122">IF(C2122="","",IFERROR(INDEX(STPP!$E$6:$E$4207,MATCH(C2122,STPP!$C$6:$C$4207,0)),"Not Found"))</f>
        <v/>
      </c>
      <c r="F2122" s="27" t="str" cm="1">
        <f t="array" ref="F2122">IF(C2122="","",IFERROR(INDEX(STPP!$F$6:$F$4207,MATCH(C2122,STPP!$C$6:$C$4207,0)),"Not Found"))</f>
        <v/>
      </c>
      <c r="G2122" s="25" t="str">
        <f>IF(表1[[#This Row],[No Seri]]="","",表1[[#This Row],[Deskripsi Barang]]+表1[[#This Row],[Kuantitas]]-表1[[#This Row],[Satuan]])</f>
        <v/>
      </c>
      <c r="H2122" s="28"/>
      <c r="I2122" s="25" t="str">
        <f>IF(表1[[#This Row],[Tgl NPBG]]&gt;表1[[#This Row],[Peminta]],表1[[#This Row],[Tgl NPBG]]-表1[[#This Row],[Peminta]],"")</f>
        <v/>
      </c>
      <c r="J2122" s="31"/>
    </row>
    <row r="2123" s="12" customFormat="1" customHeight="1" spans="2:10">
      <c r="B2123" s="25"/>
      <c r="C2123" s="25"/>
      <c r="D2123" s="26" t="str" cm="1">
        <f t="array" ref="D2123">IF(C2123="","",IFERROR(INDEX(STPP!$D$6:$D$4207,MATCH(C2123,STPP!$C$6:$C$4207,0)),"Not Found"))</f>
        <v/>
      </c>
      <c r="E2123" s="27" t="str" cm="1">
        <f t="array" ref="E2123">IF(C2123="","",IFERROR(INDEX(STPP!$E$6:$E$4207,MATCH(C2123,STPP!$C$6:$C$4207,0)),"Not Found"))</f>
        <v/>
      </c>
      <c r="F2123" s="27" t="str" cm="1">
        <f t="array" ref="F2123">IF(C2123="","",IFERROR(INDEX(STPP!$F$6:$F$4207,MATCH(C2123,STPP!$C$6:$C$4207,0)),"Not Found"))</f>
        <v/>
      </c>
      <c r="G2123" s="25" t="str">
        <f>IF(表1[[#This Row],[No Seri]]="","",表1[[#This Row],[Deskripsi Barang]]+表1[[#This Row],[Kuantitas]]-表1[[#This Row],[Satuan]])</f>
        <v/>
      </c>
      <c r="H2123" s="28"/>
      <c r="I2123" s="25" t="str">
        <f>IF(表1[[#This Row],[Tgl NPBG]]&gt;表1[[#This Row],[Peminta]],表1[[#This Row],[Tgl NPBG]]-表1[[#This Row],[Peminta]],"")</f>
        <v/>
      </c>
      <c r="J2123" s="31"/>
    </row>
    <row r="2124" s="12" customFormat="1" customHeight="1" spans="2:10">
      <c r="B2124" s="25"/>
      <c r="C2124" s="25"/>
      <c r="D2124" s="26" t="str" cm="1">
        <f t="array" ref="D2124">IF(C2124="","",IFERROR(INDEX(STPP!$D$6:$D$4207,MATCH(C2124,STPP!$C$6:$C$4207,0)),"Not Found"))</f>
        <v/>
      </c>
      <c r="E2124" s="27" t="str" cm="1">
        <f t="array" ref="E2124">IF(C2124="","",IFERROR(INDEX(STPP!$E$6:$E$4207,MATCH(C2124,STPP!$C$6:$C$4207,0)),"Not Found"))</f>
        <v/>
      </c>
      <c r="F2124" s="27" t="str" cm="1">
        <f t="array" ref="F2124">IF(C2124="","",IFERROR(INDEX(STPP!$F$6:$F$4207,MATCH(C2124,STPP!$C$6:$C$4207,0)),"Not Found"))</f>
        <v/>
      </c>
      <c r="G2124" s="25" t="str">
        <f>IF(表1[[#This Row],[No Seri]]="","",表1[[#This Row],[Deskripsi Barang]]+表1[[#This Row],[Kuantitas]]-表1[[#This Row],[Satuan]])</f>
        <v/>
      </c>
      <c r="H2124" s="28"/>
      <c r="I2124" s="25" t="str">
        <f>IF(表1[[#This Row],[Tgl NPBG]]&gt;表1[[#This Row],[Peminta]],表1[[#This Row],[Tgl NPBG]]-表1[[#This Row],[Peminta]],"")</f>
        <v/>
      </c>
      <c r="J2124" s="31"/>
    </row>
    <row r="2125" s="12" customFormat="1" customHeight="1" spans="2:10">
      <c r="B2125" s="25"/>
      <c r="C2125" s="25"/>
      <c r="D2125" s="26" t="str" cm="1">
        <f t="array" ref="D2125">IF(C2125="","",IFERROR(INDEX(STPP!$D$6:$D$4207,MATCH(C2125,STPP!$C$6:$C$4207,0)),"Not Found"))</f>
        <v/>
      </c>
      <c r="E2125" s="27" t="str" cm="1">
        <f t="array" ref="E2125">IF(C2125="","",IFERROR(INDEX(STPP!$E$6:$E$4207,MATCH(C2125,STPP!$C$6:$C$4207,0)),"Not Found"))</f>
        <v/>
      </c>
      <c r="F2125" s="27" t="str" cm="1">
        <f t="array" ref="F2125">IF(C2125="","",IFERROR(INDEX(STPP!$F$6:$F$4207,MATCH(C2125,STPP!$C$6:$C$4207,0)),"Not Found"))</f>
        <v/>
      </c>
      <c r="G2125" s="25" t="str">
        <f>IF(表1[[#This Row],[No Seri]]="","",表1[[#This Row],[Deskripsi Barang]]+表1[[#This Row],[Kuantitas]]-表1[[#This Row],[Satuan]])</f>
        <v/>
      </c>
      <c r="H2125" s="28"/>
      <c r="I2125" s="25" t="str">
        <f>IF(表1[[#This Row],[Tgl NPBG]]&gt;表1[[#This Row],[Peminta]],表1[[#This Row],[Tgl NPBG]]-表1[[#This Row],[Peminta]],"")</f>
        <v/>
      </c>
      <c r="J2125" s="31"/>
    </row>
    <row r="2126" s="12" customFormat="1" customHeight="1" spans="2:10">
      <c r="B2126" s="25"/>
      <c r="C2126" s="25"/>
      <c r="D2126" s="26" t="str" cm="1">
        <f t="array" ref="D2126">IF(C2126="","",IFERROR(INDEX(STPP!$D$6:$D$4207,MATCH(C2126,STPP!$C$6:$C$4207,0)),"Not Found"))</f>
        <v/>
      </c>
      <c r="E2126" s="27" t="str" cm="1">
        <f t="array" ref="E2126">IF(C2126="","",IFERROR(INDEX(STPP!$E$6:$E$4207,MATCH(C2126,STPP!$C$6:$C$4207,0)),"Not Found"))</f>
        <v/>
      </c>
      <c r="F2126" s="27" t="str" cm="1">
        <f t="array" ref="F2126">IF(C2126="","",IFERROR(INDEX(STPP!$F$6:$F$4207,MATCH(C2126,STPP!$C$6:$C$4207,0)),"Not Found"))</f>
        <v/>
      </c>
      <c r="G2126" s="25" t="str">
        <f>IF(表1[[#This Row],[No Seri]]="","",表1[[#This Row],[Deskripsi Barang]]+表1[[#This Row],[Kuantitas]]-表1[[#This Row],[Satuan]])</f>
        <v/>
      </c>
      <c r="H2126" s="28"/>
      <c r="I2126" s="25" t="str">
        <f>IF(表1[[#This Row],[Tgl NPBG]]&gt;表1[[#This Row],[Peminta]],表1[[#This Row],[Tgl NPBG]]-表1[[#This Row],[Peminta]],"")</f>
        <v/>
      </c>
      <c r="J2126" s="31"/>
    </row>
    <row r="2127" s="12" customFormat="1" customHeight="1" spans="2:10">
      <c r="B2127" s="25"/>
      <c r="C2127" s="25"/>
      <c r="D2127" s="26" t="str" cm="1">
        <f t="array" ref="D2127">IF(C2127="","",IFERROR(INDEX(STPP!$D$6:$D$4207,MATCH(C2127,STPP!$C$6:$C$4207,0)),"Not Found"))</f>
        <v/>
      </c>
      <c r="E2127" s="27" t="str" cm="1">
        <f t="array" ref="E2127">IF(C2127="","",IFERROR(INDEX(STPP!$E$6:$E$4207,MATCH(C2127,STPP!$C$6:$C$4207,0)),"Not Found"))</f>
        <v/>
      </c>
      <c r="F2127" s="27" t="str" cm="1">
        <f t="array" ref="F2127">IF(C2127="","",IFERROR(INDEX(STPP!$F$6:$F$4207,MATCH(C2127,STPP!$C$6:$C$4207,0)),"Not Found"))</f>
        <v/>
      </c>
      <c r="G2127" s="25" t="str">
        <f>IF(表1[[#This Row],[No Seri]]="","",表1[[#This Row],[Deskripsi Barang]]+表1[[#This Row],[Kuantitas]]-表1[[#This Row],[Satuan]])</f>
        <v/>
      </c>
      <c r="H2127" s="28"/>
      <c r="I2127" s="25" t="str">
        <f>IF(表1[[#This Row],[Tgl NPBG]]&gt;表1[[#This Row],[Peminta]],表1[[#This Row],[Tgl NPBG]]-表1[[#This Row],[Peminta]],"")</f>
        <v/>
      </c>
      <c r="J2127" s="31"/>
    </row>
    <row r="2128" s="12" customFormat="1" customHeight="1" spans="2:10">
      <c r="B2128" s="25"/>
      <c r="C2128" s="25"/>
      <c r="D2128" s="26" t="str" cm="1">
        <f t="array" ref="D2128">IF(C2128="","",IFERROR(INDEX(STPP!$D$6:$D$4207,MATCH(C2128,STPP!$C$6:$C$4207,0)),"Not Found"))</f>
        <v/>
      </c>
      <c r="E2128" s="27" t="str" cm="1">
        <f t="array" ref="E2128">IF(C2128="","",IFERROR(INDEX(STPP!$E$6:$E$4207,MATCH(C2128,STPP!$C$6:$C$4207,0)),"Not Found"))</f>
        <v/>
      </c>
      <c r="F2128" s="27" t="str" cm="1">
        <f t="array" ref="F2128">IF(C2128="","",IFERROR(INDEX(STPP!$F$6:$F$4207,MATCH(C2128,STPP!$C$6:$C$4207,0)),"Not Found"))</f>
        <v/>
      </c>
      <c r="G2128" s="25" t="str">
        <f>IF(表1[[#This Row],[No Seri]]="","",表1[[#This Row],[Deskripsi Barang]]+表1[[#This Row],[Kuantitas]]-表1[[#This Row],[Satuan]])</f>
        <v/>
      </c>
      <c r="H2128" s="28"/>
      <c r="I2128" s="25" t="str">
        <f>IF(表1[[#This Row],[Tgl NPBG]]&gt;表1[[#This Row],[Peminta]],表1[[#This Row],[Tgl NPBG]]-表1[[#This Row],[Peminta]],"")</f>
        <v/>
      </c>
      <c r="J2128" s="31"/>
    </row>
    <row r="2129" s="12" customFormat="1" customHeight="1" spans="2:10">
      <c r="B2129" s="25"/>
      <c r="C2129" s="25"/>
      <c r="D2129" s="26" t="str" cm="1">
        <f t="array" ref="D2129">IF(C2129="","",IFERROR(INDEX(STPP!$D$6:$D$4207,MATCH(C2129,STPP!$C$6:$C$4207,0)),"Not Found"))</f>
        <v/>
      </c>
      <c r="E2129" s="27" t="str" cm="1">
        <f t="array" ref="E2129">IF(C2129="","",IFERROR(INDEX(STPP!$E$6:$E$4207,MATCH(C2129,STPP!$C$6:$C$4207,0)),"Not Found"))</f>
        <v/>
      </c>
      <c r="F2129" s="27" t="str" cm="1">
        <f t="array" ref="F2129">IF(C2129="","",IFERROR(INDEX(STPP!$F$6:$F$4207,MATCH(C2129,STPP!$C$6:$C$4207,0)),"Not Found"))</f>
        <v/>
      </c>
      <c r="G2129" s="25" t="str">
        <f>IF(表1[[#This Row],[No Seri]]="","",表1[[#This Row],[Deskripsi Barang]]+表1[[#This Row],[Kuantitas]]-表1[[#This Row],[Satuan]])</f>
        <v/>
      </c>
      <c r="H2129" s="28"/>
      <c r="I2129" s="25" t="str">
        <f>IF(表1[[#This Row],[Tgl NPBG]]&gt;表1[[#This Row],[Peminta]],表1[[#This Row],[Tgl NPBG]]-表1[[#This Row],[Peminta]],"")</f>
        <v/>
      </c>
      <c r="J2129" s="31"/>
    </row>
    <row r="2130" s="12" customFormat="1" customHeight="1" spans="2:10">
      <c r="B2130" s="25"/>
      <c r="C2130" s="25"/>
      <c r="D2130" s="26" t="str" cm="1">
        <f t="array" ref="D2130">IF(C2130="","",IFERROR(INDEX(STPP!$D$6:$D$4207,MATCH(C2130,STPP!$C$6:$C$4207,0)),"Not Found"))</f>
        <v/>
      </c>
      <c r="E2130" s="27" t="str" cm="1">
        <f t="array" ref="E2130">IF(C2130="","",IFERROR(INDEX(STPP!$E$6:$E$4207,MATCH(C2130,STPP!$C$6:$C$4207,0)),"Not Found"))</f>
        <v/>
      </c>
      <c r="F2130" s="27" t="str" cm="1">
        <f t="array" ref="F2130">IF(C2130="","",IFERROR(INDEX(STPP!$F$6:$F$4207,MATCH(C2130,STPP!$C$6:$C$4207,0)),"Not Found"))</f>
        <v/>
      </c>
      <c r="G2130" s="25" t="str">
        <f>IF(表1[[#This Row],[No Seri]]="","",表1[[#This Row],[Deskripsi Barang]]+表1[[#This Row],[Kuantitas]]-表1[[#This Row],[Satuan]])</f>
        <v/>
      </c>
      <c r="H2130" s="28"/>
      <c r="I2130" s="25" t="str">
        <f>IF(表1[[#This Row],[Tgl NPBG]]&gt;表1[[#This Row],[Peminta]],表1[[#This Row],[Tgl NPBG]]-表1[[#This Row],[Peminta]],"")</f>
        <v/>
      </c>
      <c r="J2130" s="31"/>
    </row>
    <row r="2131" s="12" customFormat="1" customHeight="1" spans="2:10">
      <c r="B2131" s="25"/>
      <c r="C2131" s="25"/>
      <c r="D2131" s="26" t="str" cm="1">
        <f t="array" ref="D2131">IF(C2131="","",IFERROR(INDEX(STPP!$D$6:$D$4207,MATCH(C2131,STPP!$C$6:$C$4207,0)),"Not Found"))</f>
        <v/>
      </c>
      <c r="E2131" s="27" t="str" cm="1">
        <f t="array" ref="E2131">IF(C2131="","",IFERROR(INDEX(STPP!$E$6:$E$4207,MATCH(C2131,STPP!$C$6:$C$4207,0)),"Not Found"))</f>
        <v/>
      </c>
      <c r="F2131" s="27" t="str" cm="1">
        <f t="array" ref="F2131">IF(C2131="","",IFERROR(INDEX(STPP!$F$6:$F$4207,MATCH(C2131,STPP!$C$6:$C$4207,0)),"Not Found"))</f>
        <v/>
      </c>
      <c r="G2131" s="25" t="str">
        <f>IF(表1[[#This Row],[No Seri]]="","",表1[[#This Row],[Deskripsi Barang]]+表1[[#This Row],[Kuantitas]]-表1[[#This Row],[Satuan]])</f>
        <v/>
      </c>
      <c r="H2131" s="28"/>
      <c r="I2131" s="25" t="str">
        <f>IF(表1[[#This Row],[Tgl NPBG]]&gt;表1[[#This Row],[Peminta]],表1[[#This Row],[Tgl NPBG]]-表1[[#This Row],[Peminta]],"")</f>
        <v/>
      </c>
      <c r="J2131" s="31"/>
    </row>
    <row r="2132" s="12" customFormat="1" customHeight="1" spans="2:10">
      <c r="B2132" s="25"/>
      <c r="C2132" s="25"/>
      <c r="D2132" s="26" t="str" cm="1">
        <f t="array" ref="D2132">IF(C2132="","",IFERROR(INDEX(STPP!$D$6:$D$4207,MATCH(C2132,STPP!$C$6:$C$4207,0)),"Not Found"))</f>
        <v/>
      </c>
      <c r="E2132" s="27" t="str" cm="1">
        <f t="array" ref="E2132">IF(C2132="","",IFERROR(INDEX(STPP!$E$6:$E$4207,MATCH(C2132,STPP!$C$6:$C$4207,0)),"Not Found"))</f>
        <v/>
      </c>
      <c r="F2132" s="27" t="str" cm="1">
        <f t="array" ref="F2132">IF(C2132="","",IFERROR(INDEX(STPP!$F$6:$F$4207,MATCH(C2132,STPP!$C$6:$C$4207,0)),"Not Found"))</f>
        <v/>
      </c>
      <c r="G2132" s="25" t="str">
        <f>IF(表1[[#This Row],[No Seri]]="","",表1[[#This Row],[Deskripsi Barang]]+表1[[#This Row],[Kuantitas]]-表1[[#This Row],[Satuan]])</f>
        <v/>
      </c>
      <c r="H2132" s="28"/>
      <c r="I2132" s="25" t="str">
        <f>IF(表1[[#This Row],[Tgl NPBG]]&gt;表1[[#This Row],[Peminta]],表1[[#This Row],[Tgl NPBG]]-表1[[#This Row],[Peminta]],"")</f>
        <v/>
      </c>
      <c r="J2132" s="31"/>
    </row>
    <row r="2133" s="12" customFormat="1" customHeight="1" spans="2:10">
      <c r="B2133" s="25"/>
      <c r="C2133" s="25"/>
      <c r="D2133" s="26" t="str" cm="1">
        <f t="array" ref="D2133">IF(C2133="","",IFERROR(INDEX(STPP!$D$6:$D$4207,MATCH(C2133,STPP!$C$6:$C$4207,0)),"Not Found"))</f>
        <v/>
      </c>
      <c r="E2133" s="27" t="str" cm="1">
        <f t="array" ref="E2133">IF(C2133="","",IFERROR(INDEX(STPP!$E$6:$E$4207,MATCH(C2133,STPP!$C$6:$C$4207,0)),"Not Found"))</f>
        <v/>
      </c>
      <c r="F2133" s="27" t="str" cm="1">
        <f t="array" ref="F2133">IF(C2133="","",IFERROR(INDEX(STPP!$F$6:$F$4207,MATCH(C2133,STPP!$C$6:$C$4207,0)),"Not Found"))</f>
        <v/>
      </c>
      <c r="G2133" s="25" t="str">
        <f>IF(表1[[#This Row],[No Seri]]="","",表1[[#This Row],[Deskripsi Barang]]+表1[[#This Row],[Kuantitas]]-表1[[#This Row],[Satuan]])</f>
        <v/>
      </c>
      <c r="H2133" s="28"/>
      <c r="I2133" s="25" t="str">
        <f>IF(表1[[#This Row],[Tgl NPBG]]&gt;表1[[#This Row],[Peminta]],表1[[#This Row],[Tgl NPBG]]-表1[[#This Row],[Peminta]],"")</f>
        <v/>
      </c>
      <c r="J2133" s="31"/>
    </row>
    <row r="2134" s="12" customFormat="1" customHeight="1" spans="2:10">
      <c r="B2134" s="25"/>
      <c r="C2134" s="25"/>
      <c r="D2134" s="26" t="str" cm="1">
        <f t="array" ref="D2134">IF(C2134="","",IFERROR(INDEX(STPP!$D$6:$D$4207,MATCH(C2134,STPP!$C$6:$C$4207,0)),"Not Found"))</f>
        <v/>
      </c>
      <c r="E2134" s="27" t="str" cm="1">
        <f t="array" ref="E2134">IF(C2134="","",IFERROR(INDEX(STPP!$E$6:$E$4207,MATCH(C2134,STPP!$C$6:$C$4207,0)),"Not Found"))</f>
        <v/>
      </c>
      <c r="F2134" s="27" t="str" cm="1">
        <f t="array" ref="F2134">IF(C2134="","",IFERROR(INDEX(STPP!$F$6:$F$4207,MATCH(C2134,STPP!$C$6:$C$4207,0)),"Not Found"))</f>
        <v/>
      </c>
      <c r="G2134" s="25" t="str">
        <f>IF(表1[[#This Row],[No Seri]]="","",表1[[#This Row],[Deskripsi Barang]]+表1[[#This Row],[Kuantitas]]-表1[[#This Row],[Satuan]])</f>
        <v/>
      </c>
      <c r="H2134" s="28"/>
      <c r="I2134" s="25" t="str">
        <f>IF(表1[[#This Row],[Tgl NPBG]]&gt;表1[[#This Row],[Peminta]],表1[[#This Row],[Tgl NPBG]]-表1[[#This Row],[Peminta]],"")</f>
        <v/>
      </c>
      <c r="J2134" s="31"/>
    </row>
    <row r="2135" s="12" customFormat="1" customHeight="1" spans="2:10">
      <c r="B2135" s="25"/>
      <c r="C2135" s="25"/>
      <c r="D2135" s="26" t="str" cm="1">
        <f t="array" ref="D2135">IF(C2135="","",IFERROR(INDEX(STPP!$D$6:$D$4207,MATCH(C2135,STPP!$C$6:$C$4207,0)),"Not Found"))</f>
        <v/>
      </c>
      <c r="E2135" s="27" t="str" cm="1">
        <f t="array" ref="E2135">IF(C2135="","",IFERROR(INDEX(STPP!$E$6:$E$4207,MATCH(C2135,STPP!$C$6:$C$4207,0)),"Not Found"))</f>
        <v/>
      </c>
      <c r="F2135" s="27" t="str" cm="1">
        <f t="array" ref="F2135">IF(C2135="","",IFERROR(INDEX(STPP!$F$6:$F$4207,MATCH(C2135,STPP!$C$6:$C$4207,0)),"Not Found"))</f>
        <v/>
      </c>
      <c r="G2135" s="25" t="str">
        <f>IF(表1[[#This Row],[No Seri]]="","",表1[[#This Row],[Deskripsi Barang]]+表1[[#This Row],[Kuantitas]]-表1[[#This Row],[Satuan]])</f>
        <v/>
      </c>
      <c r="H2135" s="28"/>
      <c r="I2135" s="25" t="str">
        <f>IF(表1[[#This Row],[Tgl NPBG]]&gt;表1[[#This Row],[Peminta]],表1[[#This Row],[Tgl NPBG]]-表1[[#This Row],[Peminta]],"")</f>
        <v/>
      </c>
      <c r="J2135" s="31"/>
    </row>
    <row r="2136" s="12" customFormat="1" customHeight="1" spans="2:10">
      <c r="B2136" s="25"/>
      <c r="C2136" s="25"/>
      <c r="D2136" s="26" t="str" cm="1">
        <f t="array" ref="D2136">IF(C2136="","",IFERROR(INDEX(STPP!$D$6:$D$4207,MATCH(C2136,STPP!$C$6:$C$4207,0)),"Not Found"))</f>
        <v/>
      </c>
      <c r="E2136" s="27" t="str" cm="1">
        <f t="array" ref="E2136">IF(C2136="","",IFERROR(INDEX(STPP!$E$6:$E$4207,MATCH(C2136,STPP!$C$6:$C$4207,0)),"Not Found"))</f>
        <v/>
      </c>
      <c r="F2136" s="27" t="str" cm="1">
        <f t="array" ref="F2136">IF(C2136="","",IFERROR(INDEX(STPP!$F$6:$F$4207,MATCH(C2136,STPP!$C$6:$C$4207,0)),"Not Found"))</f>
        <v/>
      </c>
      <c r="G2136" s="25" t="str">
        <f>IF(表1[[#This Row],[No Seri]]="","",表1[[#This Row],[Deskripsi Barang]]+表1[[#This Row],[Kuantitas]]-表1[[#This Row],[Satuan]])</f>
        <v/>
      </c>
      <c r="H2136" s="28"/>
      <c r="I2136" s="25" t="str">
        <f>IF(表1[[#This Row],[Tgl NPBG]]&gt;表1[[#This Row],[Peminta]],表1[[#This Row],[Tgl NPBG]]-表1[[#This Row],[Peminta]],"")</f>
        <v/>
      </c>
      <c r="J2136" s="31"/>
    </row>
    <row r="2137" s="12" customFormat="1" customHeight="1" spans="2:10">
      <c r="B2137" s="25"/>
      <c r="C2137" s="25"/>
      <c r="D2137" s="26" t="str" cm="1">
        <f t="array" ref="D2137">IF(C2137="","",IFERROR(INDEX(STPP!$D$6:$D$4207,MATCH(C2137,STPP!$C$6:$C$4207,0)),"Not Found"))</f>
        <v/>
      </c>
      <c r="E2137" s="27" t="str" cm="1">
        <f t="array" ref="E2137">IF(C2137="","",IFERROR(INDEX(STPP!$E$6:$E$4207,MATCH(C2137,STPP!$C$6:$C$4207,0)),"Not Found"))</f>
        <v/>
      </c>
      <c r="F2137" s="27" t="str" cm="1">
        <f t="array" ref="F2137">IF(C2137="","",IFERROR(INDEX(STPP!$F$6:$F$4207,MATCH(C2137,STPP!$C$6:$C$4207,0)),"Not Found"))</f>
        <v/>
      </c>
      <c r="G2137" s="25" t="str">
        <f>IF(表1[[#This Row],[No Seri]]="","",表1[[#This Row],[Deskripsi Barang]]+表1[[#This Row],[Kuantitas]]-表1[[#This Row],[Satuan]])</f>
        <v/>
      </c>
      <c r="H2137" s="28"/>
      <c r="I2137" s="25" t="str">
        <f>IF(表1[[#This Row],[Tgl NPBG]]&gt;表1[[#This Row],[Peminta]],表1[[#This Row],[Tgl NPBG]]-表1[[#This Row],[Peminta]],"")</f>
        <v/>
      </c>
      <c r="J2137" s="31"/>
    </row>
    <row r="2138" s="12" customFormat="1" customHeight="1" spans="2:10">
      <c r="B2138" s="25"/>
      <c r="C2138" s="25"/>
      <c r="D2138" s="26" t="str" cm="1">
        <f t="array" ref="D2138">IF(C2138="","",IFERROR(INDEX(STPP!$D$6:$D$4207,MATCH(C2138,STPP!$C$6:$C$4207,0)),"Not Found"))</f>
        <v/>
      </c>
      <c r="E2138" s="27" t="str" cm="1">
        <f t="array" ref="E2138">IF(C2138="","",IFERROR(INDEX(STPP!$E$6:$E$4207,MATCH(C2138,STPP!$C$6:$C$4207,0)),"Not Found"))</f>
        <v/>
      </c>
      <c r="F2138" s="27" t="str" cm="1">
        <f t="array" ref="F2138">IF(C2138="","",IFERROR(INDEX(STPP!$F$6:$F$4207,MATCH(C2138,STPP!$C$6:$C$4207,0)),"Not Found"))</f>
        <v/>
      </c>
      <c r="G2138" s="25" t="str">
        <f>IF(表1[[#This Row],[No Seri]]="","",表1[[#This Row],[Deskripsi Barang]]+表1[[#This Row],[Kuantitas]]-表1[[#This Row],[Satuan]])</f>
        <v/>
      </c>
      <c r="H2138" s="28"/>
      <c r="I2138" s="25" t="str">
        <f>IF(表1[[#This Row],[Tgl NPBG]]&gt;表1[[#This Row],[Peminta]],表1[[#This Row],[Tgl NPBG]]-表1[[#This Row],[Peminta]],"")</f>
        <v/>
      </c>
      <c r="J2138" s="31"/>
    </row>
    <row r="2139" s="12" customFormat="1" customHeight="1" spans="2:10">
      <c r="B2139" s="25"/>
      <c r="C2139" s="25"/>
      <c r="D2139" s="26" t="str" cm="1">
        <f t="array" ref="D2139">IF(C2139="","",IFERROR(INDEX(STPP!$D$6:$D$4207,MATCH(C2139,STPP!$C$6:$C$4207,0)),"Not Found"))</f>
        <v/>
      </c>
      <c r="E2139" s="27" t="str" cm="1">
        <f t="array" ref="E2139">IF(C2139="","",IFERROR(INDEX(STPP!$E$6:$E$4207,MATCH(C2139,STPP!$C$6:$C$4207,0)),"Not Found"))</f>
        <v/>
      </c>
      <c r="F2139" s="27" t="str" cm="1">
        <f t="array" ref="F2139">IF(C2139="","",IFERROR(INDEX(STPP!$F$6:$F$4207,MATCH(C2139,STPP!$C$6:$C$4207,0)),"Not Found"))</f>
        <v/>
      </c>
      <c r="G2139" s="25" t="str">
        <f>IF(表1[[#This Row],[No Seri]]="","",表1[[#This Row],[Deskripsi Barang]]+表1[[#This Row],[Kuantitas]]-表1[[#This Row],[Satuan]])</f>
        <v/>
      </c>
      <c r="H2139" s="28"/>
      <c r="I2139" s="25" t="str">
        <f>IF(表1[[#This Row],[Tgl NPBG]]&gt;表1[[#This Row],[Peminta]],表1[[#This Row],[Tgl NPBG]]-表1[[#This Row],[Peminta]],"")</f>
        <v/>
      </c>
      <c r="J2139" s="31"/>
    </row>
    <row r="2140" s="12" customFormat="1" customHeight="1" spans="2:10">
      <c r="B2140" s="25"/>
      <c r="C2140" s="25"/>
      <c r="D2140" s="26" t="str" cm="1">
        <f t="array" ref="D2140">IF(C2140="","",IFERROR(INDEX(STPP!$D$6:$D$4207,MATCH(C2140,STPP!$C$6:$C$4207,0)),"Not Found"))</f>
        <v/>
      </c>
      <c r="E2140" s="27" t="str" cm="1">
        <f t="array" ref="E2140">IF(C2140="","",IFERROR(INDEX(STPP!$E$6:$E$4207,MATCH(C2140,STPP!$C$6:$C$4207,0)),"Not Found"))</f>
        <v/>
      </c>
      <c r="F2140" s="27" t="str" cm="1">
        <f t="array" ref="F2140">IF(C2140="","",IFERROR(INDEX(STPP!$F$6:$F$4207,MATCH(C2140,STPP!$C$6:$C$4207,0)),"Not Found"))</f>
        <v/>
      </c>
      <c r="G2140" s="25" t="str">
        <f>IF(表1[[#This Row],[No Seri]]="","",表1[[#This Row],[Deskripsi Barang]]+表1[[#This Row],[Kuantitas]]-表1[[#This Row],[Satuan]])</f>
        <v/>
      </c>
      <c r="H2140" s="28"/>
      <c r="I2140" s="25" t="str">
        <f>IF(表1[[#This Row],[Tgl NPBG]]&gt;表1[[#This Row],[Peminta]],表1[[#This Row],[Tgl NPBG]]-表1[[#This Row],[Peminta]],"")</f>
        <v/>
      </c>
      <c r="J2140" s="31"/>
    </row>
    <row r="2141" s="12" customFormat="1" customHeight="1" spans="2:10">
      <c r="B2141" s="25"/>
      <c r="C2141" s="25"/>
      <c r="D2141" s="26" t="str" cm="1">
        <f t="array" ref="D2141">IF(C2141="","",IFERROR(INDEX(STPP!$D$6:$D$4207,MATCH(C2141,STPP!$C$6:$C$4207,0)),"Not Found"))</f>
        <v/>
      </c>
      <c r="E2141" s="27" t="str" cm="1">
        <f t="array" ref="E2141">IF(C2141="","",IFERROR(INDEX(STPP!$E$6:$E$4207,MATCH(C2141,STPP!$C$6:$C$4207,0)),"Not Found"))</f>
        <v/>
      </c>
      <c r="F2141" s="27" t="str" cm="1">
        <f t="array" ref="F2141">IF(C2141="","",IFERROR(INDEX(STPP!$F$6:$F$4207,MATCH(C2141,STPP!$C$6:$C$4207,0)),"Not Found"))</f>
        <v/>
      </c>
      <c r="G2141" s="25" t="str">
        <f>IF(表1[[#This Row],[No Seri]]="","",表1[[#This Row],[Deskripsi Barang]]+表1[[#This Row],[Kuantitas]]-表1[[#This Row],[Satuan]])</f>
        <v/>
      </c>
      <c r="H2141" s="28"/>
      <c r="I2141" s="25" t="str">
        <f>IF(表1[[#This Row],[Tgl NPBG]]&gt;表1[[#This Row],[Peminta]],表1[[#This Row],[Tgl NPBG]]-表1[[#This Row],[Peminta]],"")</f>
        <v/>
      </c>
      <c r="J2141" s="31"/>
    </row>
    <row r="2142" s="12" customFormat="1" customHeight="1" spans="2:10">
      <c r="B2142" s="25"/>
      <c r="C2142" s="25"/>
      <c r="D2142" s="26" t="str" cm="1">
        <f t="array" ref="D2142">IF(C2142="","",IFERROR(INDEX(STPP!$D$6:$D$4207,MATCH(C2142,STPP!$C$6:$C$4207,0)),"Not Found"))</f>
        <v/>
      </c>
      <c r="E2142" s="27" t="str" cm="1">
        <f t="array" ref="E2142">IF(C2142="","",IFERROR(INDEX(STPP!$E$6:$E$4207,MATCH(C2142,STPP!$C$6:$C$4207,0)),"Not Found"))</f>
        <v/>
      </c>
      <c r="F2142" s="27" t="str" cm="1">
        <f t="array" ref="F2142">IF(C2142="","",IFERROR(INDEX(STPP!$F$6:$F$4207,MATCH(C2142,STPP!$C$6:$C$4207,0)),"Not Found"))</f>
        <v/>
      </c>
      <c r="G2142" s="25" t="str">
        <f>IF(表1[[#This Row],[No Seri]]="","",表1[[#This Row],[Deskripsi Barang]]+表1[[#This Row],[Kuantitas]]-表1[[#This Row],[Satuan]])</f>
        <v/>
      </c>
      <c r="H2142" s="28"/>
      <c r="I2142" s="25" t="str">
        <f>IF(表1[[#This Row],[Tgl NPBG]]&gt;表1[[#This Row],[Peminta]],表1[[#This Row],[Tgl NPBG]]-表1[[#This Row],[Peminta]],"")</f>
        <v/>
      </c>
      <c r="J2142" s="31"/>
    </row>
    <row r="2143" s="12" customFormat="1" customHeight="1" spans="2:10">
      <c r="B2143" s="25"/>
      <c r="C2143" s="25"/>
      <c r="D2143" s="26" t="str" cm="1">
        <f t="array" ref="D2143">IF(C2143="","",IFERROR(INDEX(STPP!$D$6:$D$4207,MATCH(C2143,STPP!$C$6:$C$4207,0)),"Not Found"))</f>
        <v/>
      </c>
      <c r="E2143" s="27" t="str" cm="1">
        <f t="array" ref="E2143">IF(C2143="","",IFERROR(INDEX(STPP!$E$6:$E$4207,MATCH(C2143,STPP!$C$6:$C$4207,0)),"Not Found"))</f>
        <v/>
      </c>
      <c r="F2143" s="27" t="str" cm="1">
        <f t="array" ref="F2143">IF(C2143="","",IFERROR(INDEX(STPP!$F$6:$F$4207,MATCH(C2143,STPP!$C$6:$C$4207,0)),"Not Found"))</f>
        <v/>
      </c>
      <c r="G2143" s="25" t="str">
        <f>IF(表1[[#This Row],[No Seri]]="","",表1[[#This Row],[Deskripsi Barang]]+表1[[#This Row],[Kuantitas]]-表1[[#This Row],[Satuan]])</f>
        <v/>
      </c>
      <c r="H2143" s="28"/>
      <c r="I2143" s="25" t="str">
        <f>IF(表1[[#This Row],[Tgl NPBG]]&gt;表1[[#This Row],[Peminta]],表1[[#This Row],[Tgl NPBG]]-表1[[#This Row],[Peminta]],"")</f>
        <v/>
      </c>
      <c r="J2143" s="31"/>
    </row>
    <row r="2144" s="12" customFormat="1" customHeight="1" spans="2:10">
      <c r="B2144" s="25"/>
      <c r="C2144" s="25"/>
      <c r="D2144" s="26" t="str" cm="1">
        <f t="array" ref="D2144">IF(C2144="","",IFERROR(INDEX(STPP!$D$6:$D$4207,MATCH(C2144,STPP!$C$6:$C$4207,0)),"Not Found"))</f>
        <v/>
      </c>
      <c r="E2144" s="27" t="str" cm="1">
        <f t="array" ref="E2144">IF(C2144="","",IFERROR(INDEX(STPP!$E$6:$E$4207,MATCH(C2144,STPP!$C$6:$C$4207,0)),"Not Found"))</f>
        <v/>
      </c>
      <c r="F2144" s="27" t="str" cm="1">
        <f t="array" ref="F2144">IF(C2144="","",IFERROR(INDEX(STPP!$F$6:$F$4207,MATCH(C2144,STPP!$C$6:$C$4207,0)),"Not Found"))</f>
        <v/>
      </c>
      <c r="G2144" s="25" t="str">
        <f>IF(表1[[#This Row],[No Seri]]="","",表1[[#This Row],[Deskripsi Barang]]+表1[[#This Row],[Kuantitas]]-表1[[#This Row],[Satuan]])</f>
        <v/>
      </c>
      <c r="H2144" s="28"/>
      <c r="I2144" s="25" t="str">
        <f>IF(表1[[#This Row],[Tgl NPBG]]&gt;表1[[#This Row],[Peminta]],表1[[#This Row],[Tgl NPBG]]-表1[[#This Row],[Peminta]],"")</f>
        <v/>
      </c>
      <c r="J2144" s="31"/>
    </row>
    <row r="2145" s="12" customFormat="1" customHeight="1" spans="2:10">
      <c r="B2145" s="25"/>
      <c r="C2145" s="25"/>
      <c r="D2145" s="26" t="str" cm="1">
        <f t="array" ref="D2145">IF(C2145="","",IFERROR(INDEX(STPP!$D$6:$D$4207,MATCH(C2145,STPP!$C$6:$C$4207,0)),"Not Found"))</f>
        <v/>
      </c>
      <c r="E2145" s="27" t="str" cm="1">
        <f t="array" ref="E2145">IF(C2145="","",IFERROR(INDEX(STPP!$E$6:$E$4207,MATCH(C2145,STPP!$C$6:$C$4207,0)),"Not Found"))</f>
        <v/>
      </c>
      <c r="F2145" s="27" t="str" cm="1">
        <f t="array" ref="F2145">IF(C2145="","",IFERROR(INDEX(STPP!$F$6:$F$4207,MATCH(C2145,STPP!$C$6:$C$4207,0)),"Not Found"))</f>
        <v/>
      </c>
      <c r="G2145" s="25" t="str">
        <f>IF(表1[[#This Row],[No Seri]]="","",表1[[#This Row],[Deskripsi Barang]]+表1[[#This Row],[Kuantitas]]-表1[[#This Row],[Satuan]])</f>
        <v/>
      </c>
      <c r="H2145" s="28"/>
      <c r="I2145" s="25" t="str">
        <f>IF(表1[[#This Row],[Tgl NPBG]]&gt;表1[[#This Row],[Peminta]],表1[[#This Row],[Tgl NPBG]]-表1[[#This Row],[Peminta]],"")</f>
        <v/>
      </c>
      <c r="J2145" s="31"/>
    </row>
    <row r="2146" s="12" customFormat="1" customHeight="1" spans="2:10">
      <c r="B2146" s="25"/>
      <c r="C2146" s="25"/>
      <c r="D2146" s="26" t="str" cm="1">
        <f t="array" ref="D2146">IF(C2146="","",IFERROR(INDEX(STPP!$D$6:$D$4207,MATCH(C2146,STPP!$C$6:$C$4207,0)),"Not Found"))</f>
        <v/>
      </c>
      <c r="E2146" s="27" t="str" cm="1">
        <f t="array" ref="E2146">IF(C2146="","",IFERROR(INDEX(STPP!$E$6:$E$4207,MATCH(C2146,STPP!$C$6:$C$4207,0)),"Not Found"))</f>
        <v/>
      </c>
      <c r="F2146" s="27" t="str" cm="1">
        <f t="array" ref="F2146">IF(C2146="","",IFERROR(INDEX(STPP!$F$6:$F$4207,MATCH(C2146,STPP!$C$6:$C$4207,0)),"Not Found"))</f>
        <v/>
      </c>
      <c r="G2146" s="25" t="str">
        <f>IF(表1[[#This Row],[No Seri]]="","",表1[[#This Row],[Deskripsi Barang]]+表1[[#This Row],[Kuantitas]]-表1[[#This Row],[Satuan]])</f>
        <v/>
      </c>
      <c r="H2146" s="28"/>
      <c r="I2146" s="25" t="str">
        <f>IF(表1[[#This Row],[Tgl NPBG]]&gt;表1[[#This Row],[Peminta]],表1[[#This Row],[Tgl NPBG]]-表1[[#This Row],[Peminta]],"")</f>
        <v/>
      </c>
      <c r="J2146" s="31"/>
    </row>
    <row r="2147" s="12" customFormat="1" customHeight="1" spans="2:10">
      <c r="B2147" s="25"/>
      <c r="C2147" s="25"/>
      <c r="D2147" s="26" t="str" cm="1">
        <f t="array" ref="D2147">IF(C2147="","",IFERROR(INDEX(STPP!$D$6:$D$4207,MATCH(C2147,STPP!$C$6:$C$4207,0)),"Not Found"))</f>
        <v/>
      </c>
      <c r="E2147" s="27" t="str" cm="1">
        <f t="array" ref="E2147">IF(C2147="","",IFERROR(INDEX(STPP!$E$6:$E$4207,MATCH(C2147,STPP!$C$6:$C$4207,0)),"Not Found"))</f>
        <v/>
      </c>
      <c r="F2147" s="27" t="str" cm="1">
        <f t="array" ref="F2147">IF(C2147="","",IFERROR(INDEX(STPP!$F$6:$F$4207,MATCH(C2147,STPP!$C$6:$C$4207,0)),"Not Found"))</f>
        <v/>
      </c>
      <c r="G2147" s="25" t="str">
        <f>IF(表1[[#This Row],[No Seri]]="","",表1[[#This Row],[Deskripsi Barang]]+表1[[#This Row],[Kuantitas]]-表1[[#This Row],[Satuan]])</f>
        <v/>
      </c>
      <c r="H2147" s="28"/>
      <c r="I2147" s="25" t="str">
        <f>IF(表1[[#This Row],[Tgl NPBG]]&gt;表1[[#This Row],[Peminta]],表1[[#This Row],[Tgl NPBG]]-表1[[#This Row],[Peminta]],"")</f>
        <v/>
      </c>
      <c r="J2147" s="31"/>
    </row>
    <row r="2148" s="12" customFormat="1" customHeight="1" spans="2:10">
      <c r="B2148" s="25"/>
      <c r="C2148" s="25"/>
      <c r="D2148" s="26" t="str" cm="1">
        <f t="array" ref="D2148">IF(C2148="","",IFERROR(INDEX(STPP!$D$6:$D$4207,MATCH(C2148,STPP!$C$6:$C$4207,0)),"Not Found"))</f>
        <v/>
      </c>
      <c r="E2148" s="27" t="str" cm="1">
        <f t="array" ref="E2148">IF(C2148="","",IFERROR(INDEX(STPP!$E$6:$E$4207,MATCH(C2148,STPP!$C$6:$C$4207,0)),"Not Found"))</f>
        <v/>
      </c>
      <c r="F2148" s="27" t="str" cm="1">
        <f t="array" ref="F2148">IF(C2148="","",IFERROR(INDEX(STPP!$F$6:$F$4207,MATCH(C2148,STPP!$C$6:$C$4207,0)),"Not Found"))</f>
        <v/>
      </c>
      <c r="G2148" s="25" t="str">
        <f>IF(表1[[#This Row],[No Seri]]="","",表1[[#This Row],[Deskripsi Barang]]+表1[[#This Row],[Kuantitas]]-表1[[#This Row],[Satuan]])</f>
        <v/>
      </c>
      <c r="H2148" s="28"/>
      <c r="I2148" s="25" t="str">
        <f>IF(表1[[#This Row],[Tgl NPBG]]&gt;表1[[#This Row],[Peminta]],表1[[#This Row],[Tgl NPBG]]-表1[[#This Row],[Peminta]],"")</f>
        <v/>
      </c>
      <c r="J2148" s="31"/>
    </row>
    <row r="2149" s="12" customFormat="1" customHeight="1" spans="2:10">
      <c r="B2149" s="25"/>
      <c r="C2149" s="25"/>
      <c r="D2149" s="26" t="str" cm="1">
        <f t="array" ref="D2149">IF(C2149="","",IFERROR(INDEX(STPP!$D$6:$D$4207,MATCH(C2149,STPP!$C$6:$C$4207,0)),"Not Found"))</f>
        <v/>
      </c>
      <c r="E2149" s="27" t="str" cm="1">
        <f t="array" ref="E2149">IF(C2149="","",IFERROR(INDEX(STPP!$E$6:$E$4207,MATCH(C2149,STPP!$C$6:$C$4207,0)),"Not Found"))</f>
        <v/>
      </c>
      <c r="F2149" s="27" t="str" cm="1">
        <f t="array" ref="F2149">IF(C2149="","",IFERROR(INDEX(STPP!$F$6:$F$4207,MATCH(C2149,STPP!$C$6:$C$4207,0)),"Not Found"))</f>
        <v/>
      </c>
      <c r="G2149" s="25" t="str">
        <f>IF(表1[[#This Row],[No Seri]]="","",表1[[#This Row],[Deskripsi Barang]]+表1[[#This Row],[Kuantitas]]-表1[[#This Row],[Satuan]])</f>
        <v/>
      </c>
      <c r="H2149" s="28"/>
      <c r="I2149" s="25" t="str">
        <f>IF(表1[[#This Row],[Tgl NPBG]]&gt;表1[[#This Row],[Peminta]],表1[[#This Row],[Tgl NPBG]]-表1[[#This Row],[Peminta]],"")</f>
        <v/>
      </c>
      <c r="J2149" s="31"/>
    </row>
    <row r="2150" s="12" customFormat="1" customHeight="1" spans="2:10">
      <c r="B2150" s="25"/>
      <c r="C2150" s="25"/>
      <c r="D2150" s="26" t="str" cm="1">
        <f t="array" ref="D2150">IF(C2150="","",IFERROR(INDEX(STPP!$D$6:$D$4207,MATCH(C2150,STPP!$C$6:$C$4207,0)),"Not Found"))</f>
        <v/>
      </c>
      <c r="E2150" s="27" t="str" cm="1">
        <f t="array" ref="E2150">IF(C2150="","",IFERROR(INDEX(STPP!$E$6:$E$4207,MATCH(C2150,STPP!$C$6:$C$4207,0)),"Not Found"))</f>
        <v/>
      </c>
      <c r="F2150" s="27" t="str" cm="1">
        <f t="array" ref="F2150">IF(C2150="","",IFERROR(INDEX(STPP!$F$6:$F$4207,MATCH(C2150,STPP!$C$6:$C$4207,0)),"Not Found"))</f>
        <v/>
      </c>
      <c r="G2150" s="25" t="str">
        <f>IF(表1[[#This Row],[No Seri]]="","",表1[[#This Row],[Deskripsi Barang]]+表1[[#This Row],[Kuantitas]]-表1[[#This Row],[Satuan]])</f>
        <v/>
      </c>
      <c r="H2150" s="28"/>
      <c r="I2150" s="25" t="str">
        <f>IF(表1[[#This Row],[Tgl NPBG]]&gt;表1[[#This Row],[Peminta]],表1[[#This Row],[Tgl NPBG]]-表1[[#This Row],[Peminta]],"")</f>
        <v/>
      </c>
      <c r="J2150" s="31"/>
    </row>
    <row r="2151" s="12" customFormat="1" customHeight="1" spans="2:10">
      <c r="B2151" s="25"/>
      <c r="C2151" s="25"/>
      <c r="D2151" s="26" t="str" cm="1">
        <f t="array" ref="D2151">IF(C2151="","",IFERROR(INDEX(STPP!$D$6:$D$4207,MATCH(C2151,STPP!$C$6:$C$4207,0)),"Not Found"))</f>
        <v/>
      </c>
      <c r="E2151" s="27" t="str" cm="1">
        <f t="array" ref="E2151">IF(C2151="","",IFERROR(INDEX(STPP!$E$6:$E$4207,MATCH(C2151,STPP!$C$6:$C$4207,0)),"Not Found"))</f>
        <v/>
      </c>
      <c r="F2151" s="27" t="str" cm="1">
        <f t="array" ref="F2151">IF(C2151="","",IFERROR(INDEX(STPP!$F$6:$F$4207,MATCH(C2151,STPP!$C$6:$C$4207,0)),"Not Found"))</f>
        <v/>
      </c>
      <c r="G2151" s="25" t="str">
        <f>IF(表1[[#This Row],[No Seri]]="","",表1[[#This Row],[Deskripsi Barang]]+表1[[#This Row],[Kuantitas]]-表1[[#This Row],[Satuan]])</f>
        <v/>
      </c>
      <c r="H2151" s="28"/>
      <c r="I2151" s="25" t="str">
        <f>IF(表1[[#This Row],[Tgl NPBG]]&gt;表1[[#This Row],[Peminta]],表1[[#This Row],[Tgl NPBG]]-表1[[#This Row],[Peminta]],"")</f>
        <v/>
      </c>
      <c r="J2151" s="31"/>
    </row>
    <row r="2152" s="12" customFormat="1" customHeight="1" spans="2:10">
      <c r="B2152" s="25"/>
      <c r="C2152" s="25"/>
      <c r="D2152" s="26" t="str" cm="1">
        <f t="array" ref="D2152">IF(C2152="","",IFERROR(INDEX(STPP!$D$6:$D$4207,MATCH(C2152,STPP!$C$6:$C$4207,0)),"Not Found"))</f>
        <v/>
      </c>
      <c r="E2152" s="27" t="str" cm="1">
        <f t="array" ref="E2152">IF(C2152="","",IFERROR(INDEX(STPP!$E$6:$E$4207,MATCH(C2152,STPP!$C$6:$C$4207,0)),"Not Found"))</f>
        <v/>
      </c>
      <c r="F2152" s="27" t="str" cm="1">
        <f t="array" ref="F2152">IF(C2152="","",IFERROR(INDEX(STPP!$F$6:$F$4207,MATCH(C2152,STPP!$C$6:$C$4207,0)),"Not Found"))</f>
        <v/>
      </c>
      <c r="G2152" s="25" t="str">
        <f>IF(表1[[#This Row],[No Seri]]="","",表1[[#This Row],[Deskripsi Barang]]+表1[[#This Row],[Kuantitas]]-表1[[#This Row],[Satuan]])</f>
        <v/>
      </c>
      <c r="H2152" s="28"/>
      <c r="I2152" s="25" t="str">
        <f>IF(表1[[#This Row],[Tgl NPBG]]&gt;表1[[#This Row],[Peminta]],表1[[#This Row],[Tgl NPBG]]-表1[[#This Row],[Peminta]],"")</f>
        <v/>
      </c>
      <c r="J2152" s="31"/>
    </row>
    <row r="2153" s="12" customFormat="1" customHeight="1" spans="2:10">
      <c r="B2153" s="25"/>
      <c r="C2153" s="25"/>
      <c r="D2153" s="26" t="str" cm="1">
        <f t="array" ref="D2153">IF(C2153="","",IFERROR(INDEX(STPP!$D$6:$D$4207,MATCH(C2153,STPP!$C$6:$C$4207,0)),"Not Found"))</f>
        <v/>
      </c>
      <c r="E2153" s="27" t="str" cm="1">
        <f t="array" ref="E2153">IF(C2153="","",IFERROR(INDEX(STPP!$E$6:$E$4207,MATCH(C2153,STPP!$C$6:$C$4207,0)),"Not Found"))</f>
        <v/>
      </c>
      <c r="F2153" s="27" t="str" cm="1">
        <f t="array" ref="F2153">IF(C2153="","",IFERROR(INDEX(STPP!$F$6:$F$4207,MATCH(C2153,STPP!$C$6:$C$4207,0)),"Not Found"))</f>
        <v/>
      </c>
      <c r="G2153" s="25" t="str">
        <f>IF(表1[[#This Row],[No Seri]]="","",表1[[#This Row],[Deskripsi Barang]]+表1[[#This Row],[Kuantitas]]-表1[[#This Row],[Satuan]])</f>
        <v/>
      </c>
      <c r="H2153" s="28"/>
      <c r="I2153" s="25" t="str">
        <f>IF(表1[[#This Row],[Tgl NPBG]]&gt;表1[[#This Row],[Peminta]],表1[[#This Row],[Tgl NPBG]]-表1[[#This Row],[Peminta]],"")</f>
        <v/>
      </c>
      <c r="J2153" s="31"/>
    </row>
    <row r="2154" s="12" customFormat="1" customHeight="1" spans="2:10">
      <c r="B2154" s="25"/>
      <c r="C2154" s="25"/>
      <c r="D2154" s="26" t="str" cm="1">
        <f t="array" ref="D2154">IF(C2154="","",IFERROR(INDEX(STPP!$D$6:$D$4207,MATCH(C2154,STPP!$C$6:$C$4207,0)),"Not Found"))</f>
        <v/>
      </c>
      <c r="E2154" s="27" t="str" cm="1">
        <f t="array" ref="E2154">IF(C2154="","",IFERROR(INDEX(STPP!$E$6:$E$4207,MATCH(C2154,STPP!$C$6:$C$4207,0)),"Not Found"))</f>
        <v/>
      </c>
      <c r="F2154" s="27" t="str" cm="1">
        <f t="array" ref="F2154">IF(C2154="","",IFERROR(INDEX(STPP!$F$6:$F$4207,MATCH(C2154,STPP!$C$6:$C$4207,0)),"Not Found"))</f>
        <v/>
      </c>
      <c r="G2154" s="25" t="str">
        <f>IF(表1[[#This Row],[No Seri]]="","",表1[[#This Row],[Deskripsi Barang]]+表1[[#This Row],[Kuantitas]]-表1[[#This Row],[Satuan]])</f>
        <v/>
      </c>
      <c r="H2154" s="28"/>
      <c r="I2154" s="25" t="str">
        <f>IF(表1[[#This Row],[Tgl NPBG]]&gt;表1[[#This Row],[Peminta]],表1[[#This Row],[Tgl NPBG]]-表1[[#This Row],[Peminta]],"")</f>
        <v/>
      </c>
      <c r="J2154" s="31"/>
    </row>
    <row r="2155" s="12" customFormat="1" customHeight="1" spans="2:10">
      <c r="B2155" s="25"/>
      <c r="C2155" s="25"/>
      <c r="D2155" s="26" t="str" cm="1">
        <f t="array" ref="D2155">IF(C2155="","",IFERROR(INDEX(STPP!$D$6:$D$4207,MATCH(C2155,STPP!$C$6:$C$4207,0)),"Not Found"))</f>
        <v/>
      </c>
      <c r="E2155" s="27" t="str" cm="1">
        <f t="array" ref="E2155">IF(C2155="","",IFERROR(INDEX(STPP!$E$6:$E$4207,MATCH(C2155,STPP!$C$6:$C$4207,0)),"Not Found"))</f>
        <v/>
      </c>
      <c r="F2155" s="27" t="str" cm="1">
        <f t="array" ref="F2155">IF(C2155="","",IFERROR(INDEX(STPP!$F$6:$F$4207,MATCH(C2155,STPP!$C$6:$C$4207,0)),"Not Found"))</f>
        <v/>
      </c>
      <c r="G2155" s="25" t="str">
        <f>IF(表1[[#This Row],[No Seri]]="","",表1[[#This Row],[Deskripsi Barang]]+表1[[#This Row],[Kuantitas]]-表1[[#This Row],[Satuan]])</f>
        <v/>
      </c>
      <c r="H2155" s="28"/>
      <c r="I2155" s="25" t="str">
        <f>IF(表1[[#This Row],[Tgl NPBG]]&gt;表1[[#This Row],[Peminta]],表1[[#This Row],[Tgl NPBG]]-表1[[#This Row],[Peminta]],"")</f>
        <v/>
      </c>
      <c r="J2155" s="31"/>
    </row>
    <row r="2156" s="12" customFormat="1" customHeight="1" spans="2:10">
      <c r="B2156" s="25"/>
      <c r="C2156" s="25"/>
      <c r="D2156" s="26" t="str" cm="1">
        <f t="array" ref="D2156">IF(C2156="","",IFERROR(INDEX(STPP!$D$6:$D$4207,MATCH(C2156,STPP!$C$6:$C$4207,0)),"Not Found"))</f>
        <v/>
      </c>
      <c r="E2156" s="27" t="str" cm="1">
        <f t="array" ref="E2156">IF(C2156="","",IFERROR(INDEX(STPP!$E$6:$E$4207,MATCH(C2156,STPP!$C$6:$C$4207,0)),"Not Found"))</f>
        <v/>
      </c>
      <c r="F2156" s="27" t="str" cm="1">
        <f t="array" ref="F2156">IF(C2156="","",IFERROR(INDEX(STPP!$F$6:$F$4207,MATCH(C2156,STPP!$C$6:$C$4207,0)),"Not Found"))</f>
        <v/>
      </c>
      <c r="G2156" s="25" t="str">
        <f>IF(表1[[#This Row],[No Seri]]="","",表1[[#This Row],[Deskripsi Barang]]+表1[[#This Row],[Kuantitas]]-表1[[#This Row],[Satuan]])</f>
        <v/>
      </c>
      <c r="H2156" s="28"/>
      <c r="I2156" s="25" t="str">
        <f>IF(表1[[#This Row],[Tgl NPBG]]&gt;表1[[#This Row],[Peminta]],表1[[#This Row],[Tgl NPBG]]-表1[[#This Row],[Peminta]],"")</f>
        <v/>
      </c>
      <c r="J2156" s="31"/>
    </row>
    <row r="2157" s="12" customFormat="1" customHeight="1" spans="2:10">
      <c r="B2157" s="25"/>
      <c r="C2157" s="25"/>
      <c r="D2157" s="26" t="str" cm="1">
        <f t="array" ref="D2157">IF(C2157="","",IFERROR(INDEX(STPP!$D$6:$D$4207,MATCH(C2157,STPP!$C$6:$C$4207,0)),"Not Found"))</f>
        <v/>
      </c>
      <c r="E2157" s="27" t="str" cm="1">
        <f t="array" ref="E2157">IF(C2157="","",IFERROR(INDEX(STPP!$E$6:$E$4207,MATCH(C2157,STPP!$C$6:$C$4207,0)),"Not Found"))</f>
        <v/>
      </c>
      <c r="F2157" s="27" t="str" cm="1">
        <f t="array" ref="F2157">IF(C2157="","",IFERROR(INDEX(STPP!$F$6:$F$4207,MATCH(C2157,STPP!$C$6:$C$4207,0)),"Not Found"))</f>
        <v/>
      </c>
      <c r="G2157" s="25" t="str">
        <f>IF(表1[[#This Row],[No Seri]]="","",表1[[#This Row],[Deskripsi Barang]]+表1[[#This Row],[Kuantitas]]-表1[[#This Row],[Satuan]])</f>
        <v/>
      </c>
      <c r="H2157" s="28"/>
      <c r="I2157" s="25" t="str">
        <f>IF(表1[[#This Row],[Tgl NPBG]]&gt;表1[[#This Row],[Peminta]],表1[[#This Row],[Tgl NPBG]]-表1[[#This Row],[Peminta]],"")</f>
        <v/>
      </c>
      <c r="J2157" s="31"/>
    </row>
    <row r="2158" s="12" customFormat="1" customHeight="1" spans="2:10">
      <c r="B2158" s="25"/>
      <c r="C2158" s="25"/>
      <c r="D2158" s="26" t="str" cm="1">
        <f t="array" ref="D2158">IF(C2158="","",IFERROR(INDEX(STPP!$D$6:$D$4207,MATCH(C2158,STPP!$C$6:$C$4207,0)),"Not Found"))</f>
        <v/>
      </c>
      <c r="E2158" s="27" t="str" cm="1">
        <f t="array" ref="E2158">IF(C2158="","",IFERROR(INDEX(STPP!$E$6:$E$4207,MATCH(C2158,STPP!$C$6:$C$4207,0)),"Not Found"))</f>
        <v/>
      </c>
      <c r="F2158" s="27" t="str" cm="1">
        <f t="array" ref="F2158">IF(C2158="","",IFERROR(INDEX(STPP!$F$6:$F$4207,MATCH(C2158,STPP!$C$6:$C$4207,0)),"Not Found"))</f>
        <v/>
      </c>
      <c r="G2158" s="25" t="str">
        <f>IF(表1[[#This Row],[No Seri]]="","",表1[[#This Row],[Deskripsi Barang]]+表1[[#This Row],[Kuantitas]]-表1[[#This Row],[Satuan]])</f>
        <v/>
      </c>
      <c r="H2158" s="28"/>
      <c r="I2158" s="25" t="str">
        <f>IF(表1[[#This Row],[Tgl NPBG]]&gt;表1[[#This Row],[Peminta]],表1[[#This Row],[Tgl NPBG]]-表1[[#This Row],[Peminta]],"")</f>
        <v/>
      </c>
      <c r="J2158" s="31"/>
    </row>
    <row r="2159" s="12" customFormat="1" customHeight="1" spans="2:10">
      <c r="B2159" s="25"/>
      <c r="C2159" s="25"/>
      <c r="D2159" s="26" t="str" cm="1">
        <f t="array" ref="D2159">IF(C2159="","",IFERROR(INDEX(STPP!$D$6:$D$4207,MATCH(C2159,STPP!$C$6:$C$4207,0)),"Not Found"))</f>
        <v/>
      </c>
      <c r="E2159" s="27" t="str" cm="1">
        <f t="array" ref="E2159">IF(C2159="","",IFERROR(INDEX(STPP!$E$6:$E$4207,MATCH(C2159,STPP!$C$6:$C$4207,0)),"Not Found"))</f>
        <v/>
      </c>
      <c r="F2159" s="27" t="str" cm="1">
        <f t="array" ref="F2159">IF(C2159="","",IFERROR(INDEX(STPP!$F$6:$F$4207,MATCH(C2159,STPP!$C$6:$C$4207,0)),"Not Found"))</f>
        <v/>
      </c>
      <c r="G2159" s="25" t="str">
        <f>IF(表1[[#This Row],[No Seri]]="","",表1[[#This Row],[Deskripsi Barang]]+表1[[#This Row],[Kuantitas]]-表1[[#This Row],[Satuan]])</f>
        <v/>
      </c>
      <c r="H2159" s="28"/>
      <c r="I2159" s="25" t="str">
        <f>IF(表1[[#This Row],[Tgl NPBG]]&gt;表1[[#This Row],[Peminta]],表1[[#This Row],[Tgl NPBG]]-表1[[#This Row],[Peminta]],"")</f>
        <v/>
      </c>
      <c r="J2159" s="31"/>
    </row>
    <row r="2160" s="12" customFormat="1" customHeight="1" spans="2:10">
      <c r="B2160" s="25"/>
      <c r="C2160" s="25"/>
      <c r="D2160" s="26" t="str" cm="1">
        <f t="array" ref="D2160">IF(C2160="","",IFERROR(INDEX(STPP!$D$6:$D$4207,MATCH(C2160,STPP!$C$6:$C$4207,0)),"Not Found"))</f>
        <v/>
      </c>
      <c r="E2160" s="27" t="str" cm="1">
        <f t="array" ref="E2160">IF(C2160="","",IFERROR(INDEX(STPP!$E$6:$E$4207,MATCH(C2160,STPP!$C$6:$C$4207,0)),"Not Found"))</f>
        <v/>
      </c>
      <c r="F2160" s="27" t="str" cm="1">
        <f t="array" ref="F2160">IF(C2160="","",IFERROR(INDEX(STPP!$F$6:$F$4207,MATCH(C2160,STPP!$C$6:$C$4207,0)),"Not Found"))</f>
        <v/>
      </c>
      <c r="G2160" s="25" t="str">
        <f>IF(表1[[#This Row],[No Seri]]="","",表1[[#This Row],[Deskripsi Barang]]+表1[[#This Row],[Kuantitas]]-表1[[#This Row],[Satuan]])</f>
        <v/>
      </c>
      <c r="H2160" s="28"/>
      <c r="I2160" s="25" t="str">
        <f>IF(表1[[#This Row],[Tgl NPBG]]&gt;表1[[#This Row],[Peminta]],表1[[#This Row],[Tgl NPBG]]-表1[[#This Row],[Peminta]],"")</f>
        <v/>
      </c>
      <c r="J2160" s="31"/>
    </row>
    <row r="2161" s="12" customFormat="1" customHeight="1" spans="2:10">
      <c r="B2161" s="25"/>
      <c r="C2161" s="25"/>
      <c r="D2161" s="26" t="str" cm="1">
        <f t="array" ref="D2161">IF(C2161="","",IFERROR(INDEX(STPP!$D$6:$D$4207,MATCH(C2161,STPP!$C$6:$C$4207,0)),"Not Found"))</f>
        <v/>
      </c>
      <c r="E2161" s="27" t="str" cm="1">
        <f t="array" ref="E2161">IF(C2161="","",IFERROR(INDEX(STPP!$E$6:$E$4207,MATCH(C2161,STPP!$C$6:$C$4207,0)),"Not Found"))</f>
        <v/>
      </c>
      <c r="F2161" s="27" t="str" cm="1">
        <f t="array" ref="F2161">IF(C2161="","",IFERROR(INDEX(STPP!$F$6:$F$4207,MATCH(C2161,STPP!$C$6:$C$4207,0)),"Not Found"))</f>
        <v/>
      </c>
      <c r="G2161" s="25" t="str">
        <f>IF(表1[[#This Row],[No Seri]]="","",表1[[#This Row],[Deskripsi Barang]]+表1[[#This Row],[Kuantitas]]-表1[[#This Row],[Satuan]])</f>
        <v/>
      </c>
      <c r="H2161" s="28"/>
      <c r="I2161" s="25" t="str">
        <f>IF(表1[[#This Row],[Tgl NPBG]]&gt;表1[[#This Row],[Peminta]],表1[[#This Row],[Tgl NPBG]]-表1[[#This Row],[Peminta]],"")</f>
        <v/>
      </c>
      <c r="J2161" s="31"/>
    </row>
    <row r="2162" s="12" customFormat="1" customHeight="1" spans="2:10">
      <c r="B2162" s="25"/>
      <c r="C2162" s="25"/>
      <c r="D2162" s="26" t="str" cm="1">
        <f t="array" ref="D2162">IF(C2162="","",IFERROR(INDEX(STPP!$D$6:$D$4207,MATCH(C2162,STPP!$C$6:$C$4207,0)),"Not Found"))</f>
        <v/>
      </c>
      <c r="E2162" s="27" t="str" cm="1">
        <f t="array" ref="E2162">IF(C2162="","",IFERROR(INDEX(STPP!$E$6:$E$4207,MATCH(C2162,STPP!$C$6:$C$4207,0)),"Not Found"))</f>
        <v/>
      </c>
      <c r="F2162" s="27" t="str" cm="1">
        <f t="array" ref="F2162">IF(C2162="","",IFERROR(INDEX(STPP!$F$6:$F$4207,MATCH(C2162,STPP!$C$6:$C$4207,0)),"Not Found"))</f>
        <v/>
      </c>
      <c r="G2162" s="25" t="str">
        <f>IF(表1[[#This Row],[No Seri]]="","",表1[[#This Row],[Deskripsi Barang]]+表1[[#This Row],[Kuantitas]]-表1[[#This Row],[Satuan]])</f>
        <v/>
      </c>
      <c r="H2162" s="28"/>
      <c r="I2162" s="25" t="str">
        <f>IF(表1[[#This Row],[Tgl NPBG]]&gt;表1[[#This Row],[Peminta]],表1[[#This Row],[Tgl NPBG]]-表1[[#This Row],[Peminta]],"")</f>
        <v/>
      </c>
      <c r="J2162" s="31"/>
    </row>
    <row r="2163" s="12" customFormat="1" customHeight="1" spans="2:10">
      <c r="B2163" s="25"/>
      <c r="C2163" s="25"/>
      <c r="D2163" s="26" t="str" cm="1">
        <f t="array" ref="D2163">IF(C2163="","",IFERROR(INDEX(STPP!$D$6:$D$4207,MATCH(C2163,STPP!$C$6:$C$4207,0)),"Not Found"))</f>
        <v/>
      </c>
      <c r="E2163" s="27" t="str" cm="1">
        <f t="array" ref="E2163">IF(C2163="","",IFERROR(INDEX(STPP!$E$6:$E$4207,MATCH(C2163,STPP!$C$6:$C$4207,0)),"Not Found"))</f>
        <v/>
      </c>
      <c r="F2163" s="27" t="str" cm="1">
        <f t="array" ref="F2163">IF(C2163="","",IFERROR(INDEX(STPP!$F$6:$F$4207,MATCH(C2163,STPP!$C$6:$C$4207,0)),"Not Found"))</f>
        <v/>
      </c>
      <c r="G2163" s="25" t="str">
        <f>IF(表1[[#This Row],[No Seri]]="","",表1[[#This Row],[Deskripsi Barang]]+表1[[#This Row],[Kuantitas]]-表1[[#This Row],[Satuan]])</f>
        <v/>
      </c>
      <c r="H2163" s="28"/>
      <c r="I2163" s="25" t="str">
        <f>IF(表1[[#This Row],[Tgl NPBG]]&gt;表1[[#This Row],[Peminta]],表1[[#This Row],[Tgl NPBG]]-表1[[#This Row],[Peminta]],"")</f>
        <v/>
      </c>
      <c r="J2163" s="31"/>
    </row>
    <row r="2164" s="12" customFormat="1" customHeight="1" spans="2:10">
      <c r="B2164" s="25"/>
      <c r="C2164" s="25"/>
      <c r="D2164" s="26" t="str" cm="1">
        <f t="array" ref="D2164">IF(C2164="","",IFERROR(INDEX(STPP!$D$6:$D$4207,MATCH(C2164,STPP!$C$6:$C$4207,0)),"Not Found"))</f>
        <v/>
      </c>
      <c r="E2164" s="27" t="str" cm="1">
        <f t="array" ref="E2164">IF(C2164="","",IFERROR(INDEX(STPP!$E$6:$E$4207,MATCH(C2164,STPP!$C$6:$C$4207,0)),"Not Found"))</f>
        <v/>
      </c>
      <c r="F2164" s="27" t="str" cm="1">
        <f t="array" ref="F2164">IF(C2164="","",IFERROR(INDEX(STPP!$F$6:$F$4207,MATCH(C2164,STPP!$C$6:$C$4207,0)),"Not Found"))</f>
        <v/>
      </c>
      <c r="G2164" s="25" t="str">
        <f>IF(表1[[#This Row],[No Seri]]="","",表1[[#This Row],[Deskripsi Barang]]+表1[[#This Row],[Kuantitas]]-表1[[#This Row],[Satuan]])</f>
        <v/>
      </c>
      <c r="H2164" s="28"/>
      <c r="I2164" s="25" t="str">
        <f>IF(表1[[#This Row],[Tgl NPBG]]&gt;表1[[#This Row],[Peminta]],表1[[#This Row],[Tgl NPBG]]-表1[[#This Row],[Peminta]],"")</f>
        <v/>
      </c>
      <c r="J2164" s="31"/>
    </row>
    <row r="2165" s="12" customFormat="1" customHeight="1" spans="2:10">
      <c r="B2165" s="25"/>
      <c r="C2165" s="25"/>
      <c r="D2165" s="26" t="str" cm="1">
        <f t="array" ref="D2165">IF(C2165="","",IFERROR(INDEX(STPP!$D$6:$D$4207,MATCH(C2165,STPP!$C$6:$C$4207,0)),"Not Found"))</f>
        <v/>
      </c>
      <c r="E2165" s="27" t="str" cm="1">
        <f t="array" ref="E2165">IF(C2165="","",IFERROR(INDEX(STPP!$E$6:$E$4207,MATCH(C2165,STPP!$C$6:$C$4207,0)),"Not Found"))</f>
        <v/>
      </c>
      <c r="F2165" s="27" t="str" cm="1">
        <f t="array" ref="F2165">IF(C2165="","",IFERROR(INDEX(STPP!$F$6:$F$4207,MATCH(C2165,STPP!$C$6:$C$4207,0)),"Not Found"))</f>
        <v/>
      </c>
      <c r="G2165" s="25" t="str">
        <f>IF(表1[[#This Row],[No Seri]]="","",表1[[#This Row],[Deskripsi Barang]]+表1[[#This Row],[Kuantitas]]-表1[[#This Row],[Satuan]])</f>
        <v/>
      </c>
      <c r="H2165" s="28"/>
      <c r="I2165" s="25" t="str">
        <f>IF(表1[[#This Row],[Tgl NPBG]]&gt;表1[[#This Row],[Peminta]],表1[[#This Row],[Tgl NPBG]]-表1[[#This Row],[Peminta]],"")</f>
        <v/>
      </c>
      <c r="J2165" s="31"/>
    </row>
    <row r="2166" s="12" customFormat="1" customHeight="1" spans="2:10">
      <c r="B2166" s="25"/>
      <c r="C2166" s="25"/>
      <c r="D2166" s="26" t="str" cm="1">
        <f t="array" ref="D2166">IF(C2166="","",IFERROR(INDEX(STPP!$D$6:$D$4207,MATCH(C2166,STPP!$C$6:$C$4207,0)),"Not Found"))</f>
        <v/>
      </c>
      <c r="E2166" s="27" t="str" cm="1">
        <f t="array" ref="E2166">IF(C2166="","",IFERROR(INDEX(STPP!$E$6:$E$4207,MATCH(C2166,STPP!$C$6:$C$4207,0)),"Not Found"))</f>
        <v/>
      </c>
      <c r="F2166" s="27" t="str" cm="1">
        <f t="array" ref="F2166">IF(C2166="","",IFERROR(INDEX(STPP!$F$6:$F$4207,MATCH(C2166,STPP!$C$6:$C$4207,0)),"Not Found"))</f>
        <v/>
      </c>
      <c r="G2166" s="25" t="str">
        <f>IF(表1[[#This Row],[No Seri]]="","",表1[[#This Row],[Deskripsi Barang]]+表1[[#This Row],[Kuantitas]]-表1[[#This Row],[Satuan]])</f>
        <v/>
      </c>
      <c r="H2166" s="28"/>
      <c r="I2166" s="25" t="str">
        <f>IF(表1[[#This Row],[Tgl NPBG]]&gt;表1[[#This Row],[Peminta]],表1[[#This Row],[Tgl NPBG]]-表1[[#This Row],[Peminta]],"")</f>
        <v/>
      </c>
      <c r="J2166" s="31"/>
    </row>
    <row r="2167" s="12" customFormat="1" customHeight="1" spans="2:10">
      <c r="B2167" s="25"/>
      <c r="C2167" s="25"/>
      <c r="D2167" s="26" t="str" cm="1">
        <f t="array" ref="D2167">IF(C2167="","",IFERROR(INDEX(STPP!$D$6:$D$4207,MATCH(C2167,STPP!$C$6:$C$4207,0)),"Not Found"))</f>
        <v/>
      </c>
      <c r="E2167" s="27" t="str" cm="1">
        <f t="array" ref="E2167">IF(C2167="","",IFERROR(INDEX(STPP!$E$6:$E$4207,MATCH(C2167,STPP!$C$6:$C$4207,0)),"Not Found"))</f>
        <v/>
      </c>
      <c r="F2167" s="27" t="str" cm="1">
        <f t="array" ref="F2167">IF(C2167="","",IFERROR(INDEX(STPP!$F$6:$F$4207,MATCH(C2167,STPP!$C$6:$C$4207,0)),"Not Found"))</f>
        <v/>
      </c>
      <c r="G2167" s="25" t="str">
        <f>IF(表1[[#This Row],[No Seri]]="","",表1[[#This Row],[Deskripsi Barang]]+表1[[#This Row],[Kuantitas]]-表1[[#This Row],[Satuan]])</f>
        <v/>
      </c>
      <c r="H2167" s="28"/>
      <c r="I2167" s="25" t="str">
        <f>IF(表1[[#This Row],[Tgl NPBG]]&gt;表1[[#This Row],[Peminta]],表1[[#This Row],[Tgl NPBG]]-表1[[#This Row],[Peminta]],"")</f>
        <v/>
      </c>
      <c r="J2167" s="31"/>
    </row>
    <row r="2168" s="12" customFormat="1" customHeight="1" spans="2:10">
      <c r="B2168" s="25"/>
      <c r="C2168" s="25"/>
      <c r="D2168" s="26" t="str" cm="1">
        <f t="array" ref="D2168">IF(C2168="","",IFERROR(INDEX(STPP!$D$6:$D$4207,MATCH(C2168,STPP!$C$6:$C$4207,0)),"Not Found"))</f>
        <v/>
      </c>
      <c r="E2168" s="27" t="str" cm="1">
        <f t="array" ref="E2168">IF(C2168="","",IFERROR(INDEX(STPP!$E$6:$E$4207,MATCH(C2168,STPP!$C$6:$C$4207,0)),"Not Found"))</f>
        <v/>
      </c>
      <c r="F2168" s="27" t="str" cm="1">
        <f t="array" ref="F2168">IF(C2168="","",IFERROR(INDEX(STPP!$F$6:$F$4207,MATCH(C2168,STPP!$C$6:$C$4207,0)),"Not Found"))</f>
        <v/>
      </c>
      <c r="G2168" s="25" t="str">
        <f>IF(表1[[#This Row],[No Seri]]="","",表1[[#This Row],[Deskripsi Barang]]+表1[[#This Row],[Kuantitas]]-表1[[#This Row],[Satuan]])</f>
        <v/>
      </c>
      <c r="H2168" s="28"/>
      <c r="I2168" s="25" t="str">
        <f>IF(表1[[#This Row],[Tgl NPBG]]&gt;表1[[#This Row],[Peminta]],表1[[#This Row],[Tgl NPBG]]-表1[[#This Row],[Peminta]],"")</f>
        <v/>
      </c>
      <c r="J2168" s="31"/>
    </row>
    <row r="2169" s="12" customFormat="1" customHeight="1" spans="2:10">
      <c r="B2169" s="25"/>
      <c r="C2169" s="25"/>
      <c r="D2169" s="26" t="str" cm="1">
        <f t="array" ref="D2169">IF(C2169="","",IFERROR(INDEX(STPP!$D$6:$D$4207,MATCH(C2169,STPP!$C$6:$C$4207,0)),"Not Found"))</f>
        <v/>
      </c>
      <c r="E2169" s="27" t="str" cm="1">
        <f t="array" ref="E2169">IF(C2169="","",IFERROR(INDEX(STPP!$E$6:$E$4207,MATCH(C2169,STPP!$C$6:$C$4207,0)),"Not Found"))</f>
        <v/>
      </c>
      <c r="F2169" s="27" t="str" cm="1">
        <f t="array" ref="F2169">IF(C2169="","",IFERROR(INDEX(STPP!$F$6:$F$4207,MATCH(C2169,STPP!$C$6:$C$4207,0)),"Not Found"))</f>
        <v/>
      </c>
      <c r="G2169" s="25" t="str">
        <f>IF(表1[[#This Row],[No Seri]]="","",表1[[#This Row],[Deskripsi Barang]]+表1[[#This Row],[Kuantitas]]-表1[[#This Row],[Satuan]])</f>
        <v/>
      </c>
      <c r="H2169" s="28"/>
      <c r="I2169" s="25" t="str">
        <f>IF(表1[[#This Row],[Tgl NPBG]]&gt;表1[[#This Row],[Peminta]],表1[[#This Row],[Tgl NPBG]]-表1[[#This Row],[Peminta]],"")</f>
        <v/>
      </c>
      <c r="J2169" s="31"/>
    </row>
    <row r="2170" s="12" customFormat="1" customHeight="1" spans="2:10">
      <c r="B2170" s="25"/>
      <c r="C2170" s="25"/>
      <c r="D2170" s="26" t="str" cm="1">
        <f t="array" ref="D2170">IF(C2170="","",IFERROR(INDEX(STPP!$D$6:$D$4207,MATCH(C2170,STPP!$C$6:$C$4207,0)),"Not Found"))</f>
        <v/>
      </c>
      <c r="E2170" s="27" t="str" cm="1">
        <f t="array" ref="E2170">IF(C2170="","",IFERROR(INDEX(STPP!$E$6:$E$4207,MATCH(C2170,STPP!$C$6:$C$4207,0)),"Not Found"))</f>
        <v/>
      </c>
      <c r="F2170" s="27" t="str" cm="1">
        <f t="array" ref="F2170">IF(C2170="","",IFERROR(INDEX(STPP!$F$6:$F$4207,MATCH(C2170,STPP!$C$6:$C$4207,0)),"Not Found"))</f>
        <v/>
      </c>
      <c r="G2170" s="25" t="str">
        <f>IF(表1[[#This Row],[No Seri]]="","",表1[[#This Row],[Deskripsi Barang]]+表1[[#This Row],[Kuantitas]]-表1[[#This Row],[Satuan]])</f>
        <v/>
      </c>
      <c r="H2170" s="28"/>
      <c r="I2170" s="25" t="str">
        <f>IF(表1[[#This Row],[Tgl NPBG]]&gt;表1[[#This Row],[Peminta]],表1[[#This Row],[Tgl NPBG]]-表1[[#This Row],[Peminta]],"")</f>
        <v/>
      </c>
      <c r="J2170" s="31"/>
    </row>
    <row r="2171" s="12" customFormat="1" customHeight="1" spans="2:10">
      <c r="B2171" s="25"/>
      <c r="C2171" s="25"/>
      <c r="D2171" s="26" t="str" cm="1">
        <f t="array" ref="D2171">IF(C2171="","",IFERROR(INDEX(STPP!$D$6:$D$4207,MATCH(C2171,STPP!$C$6:$C$4207,0)),"Not Found"))</f>
        <v/>
      </c>
      <c r="E2171" s="27" t="str" cm="1">
        <f t="array" ref="E2171">IF(C2171="","",IFERROR(INDEX(STPP!$E$6:$E$4207,MATCH(C2171,STPP!$C$6:$C$4207,0)),"Not Found"))</f>
        <v/>
      </c>
      <c r="F2171" s="27" t="str" cm="1">
        <f t="array" ref="F2171">IF(C2171="","",IFERROR(INDEX(STPP!$F$6:$F$4207,MATCH(C2171,STPP!$C$6:$C$4207,0)),"Not Found"))</f>
        <v/>
      </c>
      <c r="G2171" s="25" t="str">
        <f>IF(表1[[#This Row],[No Seri]]="","",表1[[#This Row],[Deskripsi Barang]]+表1[[#This Row],[Kuantitas]]-表1[[#This Row],[Satuan]])</f>
        <v/>
      </c>
      <c r="H2171" s="28"/>
      <c r="I2171" s="25" t="str">
        <f>IF(表1[[#This Row],[Tgl NPBG]]&gt;表1[[#This Row],[Peminta]],表1[[#This Row],[Tgl NPBG]]-表1[[#This Row],[Peminta]],"")</f>
        <v/>
      </c>
      <c r="J2171" s="31"/>
    </row>
    <row r="2172" s="12" customFormat="1" customHeight="1" spans="2:10">
      <c r="B2172" s="25"/>
      <c r="C2172" s="25"/>
      <c r="D2172" s="26" t="str" cm="1">
        <f t="array" ref="D2172">IF(C2172="","",IFERROR(INDEX(STPP!$D$6:$D$4207,MATCH(C2172,STPP!$C$6:$C$4207,0)),"Not Found"))</f>
        <v/>
      </c>
      <c r="E2172" s="27" t="str" cm="1">
        <f t="array" ref="E2172">IF(C2172="","",IFERROR(INDEX(STPP!$E$6:$E$4207,MATCH(C2172,STPP!$C$6:$C$4207,0)),"Not Found"))</f>
        <v/>
      </c>
      <c r="F2172" s="27" t="str" cm="1">
        <f t="array" ref="F2172">IF(C2172="","",IFERROR(INDEX(STPP!$F$6:$F$4207,MATCH(C2172,STPP!$C$6:$C$4207,0)),"Not Found"))</f>
        <v/>
      </c>
      <c r="G2172" s="25" t="str">
        <f>IF(表1[[#This Row],[No Seri]]="","",表1[[#This Row],[Deskripsi Barang]]+表1[[#This Row],[Kuantitas]]-表1[[#This Row],[Satuan]])</f>
        <v/>
      </c>
      <c r="H2172" s="28"/>
      <c r="I2172" s="25" t="str">
        <f>IF(表1[[#This Row],[Tgl NPBG]]&gt;表1[[#This Row],[Peminta]],表1[[#This Row],[Tgl NPBG]]-表1[[#This Row],[Peminta]],"")</f>
        <v/>
      </c>
      <c r="J2172" s="31"/>
    </row>
    <row r="2173" s="12" customFormat="1" customHeight="1" spans="2:10">
      <c r="B2173" s="25"/>
      <c r="C2173" s="25"/>
      <c r="D2173" s="26" t="str" cm="1">
        <f t="array" ref="D2173">IF(C2173="","",IFERROR(INDEX(STPP!$D$6:$D$4207,MATCH(C2173,STPP!$C$6:$C$4207,0)),"Not Found"))</f>
        <v/>
      </c>
      <c r="E2173" s="27" t="str" cm="1">
        <f t="array" ref="E2173">IF(C2173="","",IFERROR(INDEX(STPP!$E$6:$E$4207,MATCH(C2173,STPP!$C$6:$C$4207,0)),"Not Found"))</f>
        <v/>
      </c>
      <c r="F2173" s="27" t="str" cm="1">
        <f t="array" ref="F2173">IF(C2173="","",IFERROR(INDEX(STPP!$F$6:$F$4207,MATCH(C2173,STPP!$C$6:$C$4207,0)),"Not Found"))</f>
        <v/>
      </c>
      <c r="G2173" s="25" t="str">
        <f>IF(表1[[#This Row],[No Seri]]="","",表1[[#This Row],[Deskripsi Barang]]+表1[[#This Row],[Kuantitas]]-表1[[#This Row],[Satuan]])</f>
        <v/>
      </c>
      <c r="H2173" s="28"/>
      <c r="I2173" s="25" t="str">
        <f>IF(表1[[#This Row],[Tgl NPBG]]&gt;表1[[#This Row],[Peminta]],表1[[#This Row],[Tgl NPBG]]-表1[[#This Row],[Peminta]],"")</f>
        <v/>
      </c>
      <c r="J2173" s="31"/>
    </row>
    <row r="2174" s="12" customFormat="1" customHeight="1" spans="2:10">
      <c r="B2174" s="25"/>
      <c r="C2174" s="25"/>
      <c r="D2174" s="26" t="str" cm="1">
        <f t="array" ref="D2174">IF(C2174="","",IFERROR(INDEX(STPP!$D$6:$D$4207,MATCH(C2174,STPP!$C$6:$C$4207,0)),"Not Found"))</f>
        <v/>
      </c>
      <c r="E2174" s="27" t="str" cm="1">
        <f t="array" ref="E2174">IF(C2174="","",IFERROR(INDEX(STPP!$E$6:$E$4207,MATCH(C2174,STPP!$C$6:$C$4207,0)),"Not Found"))</f>
        <v/>
      </c>
      <c r="F2174" s="27" t="str" cm="1">
        <f t="array" ref="F2174">IF(C2174="","",IFERROR(INDEX(STPP!$F$6:$F$4207,MATCH(C2174,STPP!$C$6:$C$4207,0)),"Not Found"))</f>
        <v/>
      </c>
      <c r="G2174" s="25" t="str">
        <f>IF(表1[[#This Row],[No Seri]]="","",表1[[#This Row],[Deskripsi Barang]]+表1[[#This Row],[Kuantitas]]-表1[[#This Row],[Satuan]])</f>
        <v/>
      </c>
      <c r="H2174" s="28"/>
      <c r="I2174" s="25" t="str">
        <f>IF(表1[[#This Row],[Tgl NPBG]]&gt;表1[[#This Row],[Peminta]],表1[[#This Row],[Tgl NPBG]]-表1[[#This Row],[Peminta]],"")</f>
        <v/>
      </c>
      <c r="J2174" s="31"/>
    </row>
    <row r="2175" s="12" customFormat="1" customHeight="1" spans="2:10">
      <c r="B2175" s="25"/>
      <c r="C2175" s="25"/>
      <c r="D2175" s="26" t="str" cm="1">
        <f t="array" ref="D2175">IF(C2175="","",IFERROR(INDEX(STPP!$D$6:$D$4207,MATCH(C2175,STPP!$C$6:$C$4207,0)),"Not Found"))</f>
        <v/>
      </c>
      <c r="E2175" s="27" t="str" cm="1">
        <f t="array" ref="E2175">IF(C2175="","",IFERROR(INDEX(STPP!$E$6:$E$4207,MATCH(C2175,STPP!$C$6:$C$4207,0)),"Not Found"))</f>
        <v/>
      </c>
      <c r="F2175" s="27" t="str" cm="1">
        <f t="array" ref="F2175">IF(C2175="","",IFERROR(INDEX(STPP!$F$6:$F$4207,MATCH(C2175,STPP!$C$6:$C$4207,0)),"Not Found"))</f>
        <v/>
      </c>
      <c r="G2175" s="25" t="str">
        <f>IF(表1[[#This Row],[No Seri]]="","",表1[[#This Row],[Deskripsi Barang]]+表1[[#This Row],[Kuantitas]]-表1[[#This Row],[Satuan]])</f>
        <v/>
      </c>
      <c r="H2175" s="28"/>
      <c r="I2175" s="25" t="str">
        <f>IF(表1[[#This Row],[Tgl NPBG]]&gt;表1[[#This Row],[Peminta]],表1[[#This Row],[Tgl NPBG]]-表1[[#This Row],[Peminta]],"")</f>
        <v/>
      </c>
      <c r="J2175" s="31"/>
    </row>
    <row r="2176" s="12" customFormat="1" customHeight="1" spans="2:10">
      <c r="B2176" s="25"/>
      <c r="C2176" s="25"/>
      <c r="D2176" s="26" t="str" cm="1">
        <f t="array" ref="D2176">IF(C2176="","",IFERROR(INDEX(STPP!$D$6:$D$4207,MATCH(C2176,STPP!$C$6:$C$4207,0)),"Not Found"))</f>
        <v/>
      </c>
      <c r="E2176" s="27" t="str" cm="1">
        <f t="array" ref="E2176">IF(C2176="","",IFERROR(INDEX(STPP!$E$6:$E$4207,MATCH(C2176,STPP!$C$6:$C$4207,0)),"Not Found"))</f>
        <v/>
      </c>
      <c r="F2176" s="27" t="str" cm="1">
        <f t="array" ref="F2176">IF(C2176="","",IFERROR(INDEX(STPP!$F$6:$F$4207,MATCH(C2176,STPP!$C$6:$C$4207,0)),"Not Found"))</f>
        <v/>
      </c>
      <c r="G2176" s="25" t="str">
        <f>IF(表1[[#This Row],[No Seri]]="","",表1[[#This Row],[Deskripsi Barang]]+表1[[#This Row],[Kuantitas]]-表1[[#This Row],[Satuan]])</f>
        <v/>
      </c>
      <c r="H2176" s="28"/>
      <c r="I2176" s="25" t="str">
        <f>IF(表1[[#This Row],[Tgl NPBG]]&gt;表1[[#This Row],[Peminta]],表1[[#This Row],[Tgl NPBG]]-表1[[#This Row],[Peminta]],"")</f>
        <v/>
      </c>
      <c r="J2176" s="31"/>
    </row>
    <row r="2177" s="12" customFormat="1" customHeight="1" spans="2:10">
      <c r="B2177" s="25"/>
      <c r="C2177" s="25"/>
      <c r="D2177" s="26" t="str" cm="1">
        <f t="array" ref="D2177">IF(C2177="","",IFERROR(INDEX(STPP!$D$6:$D$4207,MATCH(C2177,STPP!$C$6:$C$4207,0)),"Not Found"))</f>
        <v/>
      </c>
      <c r="E2177" s="27" t="str" cm="1">
        <f t="array" ref="E2177">IF(C2177="","",IFERROR(INDEX(STPP!$E$6:$E$4207,MATCH(C2177,STPP!$C$6:$C$4207,0)),"Not Found"))</f>
        <v/>
      </c>
      <c r="F2177" s="27" t="str" cm="1">
        <f t="array" ref="F2177">IF(C2177="","",IFERROR(INDEX(STPP!$F$6:$F$4207,MATCH(C2177,STPP!$C$6:$C$4207,0)),"Not Found"))</f>
        <v/>
      </c>
      <c r="G2177" s="25" t="str">
        <f>IF(表1[[#This Row],[No Seri]]="","",表1[[#This Row],[Deskripsi Barang]]+表1[[#This Row],[Kuantitas]]-表1[[#This Row],[Satuan]])</f>
        <v/>
      </c>
      <c r="H2177" s="28"/>
      <c r="I2177" s="25" t="str">
        <f>IF(表1[[#This Row],[Tgl NPBG]]&gt;表1[[#This Row],[Peminta]],表1[[#This Row],[Tgl NPBG]]-表1[[#This Row],[Peminta]],"")</f>
        <v/>
      </c>
      <c r="J2177" s="31"/>
    </row>
    <row r="2178" s="12" customFormat="1" customHeight="1" spans="2:10">
      <c r="B2178" s="25"/>
      <c r="C2178" s="25"/>
      <c r="D2178" s="26" t="str" cm="1">
        <f t="array" ref="D2178">IF(C2178="","",IFERROR(INDEX(STPP!$D$6:$D$4207,MATCH(C2178,STPP!$C$6:$C$4207,0)),"Not Found"))</f>
        <v/>
      </c>
      <c r="E2178" s="27" t="str" cm="1">
        <f t="array" ref="E2178">IF(C2178="","",IFERROR(INDEX(STPP!$E$6:$E$4207,MATCH(C2178,STPP!$C$6:$C$4207,0)),"Not Found"))</f>
        <v/>
      </c>
      <c r="F2178" s="27" t="str" cm="1">
        <f t="array" ref="F2178">IF(C2178="","",IFERROR(INDEX(STPP!$F$6:$F$4207,MATCH(C2178,STPP!$C$6:$C$4207,0)),"Not Found"))</f>
        <v/>
      </c>
      <c r="G2178" s="25" t="str">
        <f>IF(表1[[#This Row],[No Seri]]="","",表1[[#This Row],[Deskripsi Barang]]+表1[[#This Row],[Kuantitas]]-表1[[#This Row],[Satuan]])</f>
        <v/>
      </c>
      <c r="H2178" s="28"/>
      <c r="I2178" s="25" t="str">
        <f>IF(表1[[#This Row],[Tgl NPBG]]&gt;表1[[#This Row],[Peminta]],表1[[#This Row],[Tgl NPBG]]-表1[[#This Row],[Peminta]],"")</f>
        <v/>
      </c>
      <c r="J2178" s="31"/>
    </row>
    <row r="2179" s="12" customFormat="1" customHeight="1" spans="2:10">
      <c r="B2179" s="25"/>
      <c r="C2179" s="25"/>
      <c r="D2179" s="26" t="str" cm="1">
        <f t="array" ref="D2179">IF(C2179="","",IFERROR(INDEX(STPP!$D$6:$D$4207,MATCH(C2179,STPP!$C$6:$C$4207,0)),"Not Found"))</f>
        <v/>
      </c>
      <c r="E2179" s="27" t="str" cm="1">
        <f t="array" ref="E2179">IF(C2179="","",IFERROR(INDEX(STPP!$E$6:$E$4207,MATCH(C2179,STPP!$C$6:$C$4207,0)),"Not Found"))</f>
        <v/>
      </c>
      <c r="F2179" s="27" t="str" cm="1">
        <f t="array" ref="F2179">IF(C2179="","",IFERROR(INDEX(STPP!$F$6:$F$4207,MATCH(C2179,STPP!$C$6:$C$4207,0)),"Not Found"))</f>
        <v/>
      </c>
      <c r="G2179" s="25" t="str">
        <f>IF(表1[[#This Row],[No Seri]]="","",表1[[#This Row],[Deskripsi Barang]]+表1[[#This Row],[Kuantitas]]-表1[[#This Row],[Satuan]])</f>
        <v/>
      </c>
      <c r="H2179" s="28"/>
      <c r="I2179" s="25" t="str">
        <f>IF(表1[[#This Row],[Tgl NPBG]]&gt;表1[[#This Row],[Peminta]],表1[[#This Row],[Tgl NPBG]]-表1[[#This Row],[Peminta]],"")</f>
        <v/>
      </c>
      <c r="J2179" s="31"/>
    </row>
    <row r="2180" s="12" customFormat="1" customHeight="1" spans="2:10">
      <c r="B2180" s="25"/>
      <c r="C2180" s="25"/>
      <c r="D2180" s="26" t="str" cm="1">
        <f t="array" ref="D2180">IF(C2180="","",IFERROR(INDEX(STPP!$D$6:$D$4207,MATCH(C2180,STPP!$C$6:$C$4207,0)),"Not Found"))</f>
        <v/>
      </c>
      <c r="E2180" s="27" t="str" cm="1">
        <f t="array" ref="E2180">IF(C2180="","",IFERROR(INDEX(STPP!$E$6:$E$4207,MATCH(C2180,STPP!$C$6:$C$4207,0)),"Not Found"))</f>
        <v/>
      </c>
      <c r="F2180" s="27" t="str" cm="1">
        <f t="array" ref="F2180">IF(C2180="","",IFERROR(INDEX(STPP!$F$6:$F$4207,MATCH(C2180,STPP!$C$6:$C$4207,0)),"Not Found"))</f>
        <v/>
      </c>
      <c r="G2180" s="25" t="str">
        <f>IF(表1[[#This Row],[No Seri]]="","",表1[[#This Row],[Deskripsi Barang]]+表1[[#This Row],[Kuantitas]]-表1[[#This Row],[Satuan]])</f>
        <v/>
      </c>
      <c r="H2180" s="28"/>
      <c r="I2180" s="25" t="str">
        <f>IF(表1[[#This Row],[Tgl NPBG]]&gt;表1[[#This Row],[Peminta]],表1[[#This Row],[Tgl NPBG]]-表1[[#This Row],[Peminta]],"")</f>
        <v/>
      </c>
      <c r="J2180" s="31"/>
    </row>
    <row r="2181" s="12" customFormat="1" customHeight="1" spans="2:10">
      <c r="B2181" s="25"/>
      <c r="C2181" s="25"/>
      <c r="D2181" s="26" t="str" cm="1">
        <f t="array" ref="D2181">IF(C2181="","",IFERROR(INDEX(STPP!$D$6:$D$4207,MATCH(C2181,STPP!$C$6:$C$4207,0)),"Not Found"))</f>
        <v/>
      </c>
      <c r="E2181" s="27" t="str" cm="1">
        <f t="array" ref="E2181">IF(C2181="","",IFERROR(INDEX(STPP!$E$6:$E$4207,MATCH(C2181,STPP!$C$6:$C$4207,0)),"Not Found"))</f>
        <v/>
      </c>
      <c r="F2181" s="27" t="str" cm="1">
        <f t="array" ref="F2181">IF(C2181="","",IFERROR(INDEX(STPP!$F$6:$F$4207,MATCH(C2181,STPP!$C$6:$C$4207,0)),"Not Found"))</f>
        <v/>
      </c>
      <c r="G2181" s="25" t="str">
        <f>IF(表1[[#This Row],[No Seri]]="","",表1[[#This Row],[Deskripsi Barang]]+表1[[#This Row],[Kuantitas]]-表1[[#This Row],[Satuan]])</f>
        <v/>
      </c>
      <c r="H2181" s="28"/>
      <c r="I2181" s="25" t="str">
        <f>IF(表1[[#This Row],[Tgl NPBG]]&gt;表1[[#This Row],[Peminta]],表1[[#This Row],[Tgl NPBG]]-表1[[#This Row],[Peminta]],"")</f>
        <v/>
      </c>
      <c r="J2181" s="31"/>
    </row>
    <row r="2182" s="12" customFormat="1" customHeight="1" spans="2:10">
      <c r="B2182" s="25"/>
      <c r="C2182" s="25"/>
      <c r="D2182" s="26" t="str" cm="1">
        <f t="array" ref="D2182">IF(C2182="","",IFERROR(INDEX(STPP!$D$6:$D$4207,MATCH(C2182,STPP!$C$6:$C$4207,0)),"Not Found"))</f>
        <v/>
      </c>
      <c r="E2182" s="27" t="str" cm="1">
        <f t="array" ref="E2182">IF(C2182="","",IFERROR(INDEX(STPP!$E$6:$E$4207,MATCH(C2182,STPP!$C$6:$C$4207,0)),"Not Found"))</f>
        <v/>
      </c>
      <c r="F2182" s="27" t="str" cm="1">
        <f t="array" ref="F2182">IF(C2182="","",IFERROR(INDEX(STPP!$F$6:$F$4207,MATCH(C2182,STPP!$C$6:$C$4207,0)),"Not Found"))</f>
        <v/>
      </c>
      <c r="G2182" s="25" t="str">
        <f>IF(表1[[#This Row],[No Seri]]="","",表1[[#This Row],[Deskripsi Barang]]+表1[[#This Row],[Kuantitas]]-表1[[#This Row],[Satuan]])</f>
        <v/>
      </c>
      <c r="H2182" s="28"/>
      <c r="I2182" s="25" t="str">
        <f>IF(表1[[#This Row],[Tgl NPBG]]&gt;表1[[#This Row],[Peminta]],表1[[#This Row],[Tgl NPBG]]-表1[[#This Row],[Peminta]],"")</f>
        <v/>
      </c>
      <c r="J2182" s="31"/>
    </row>
    <row r="2183" s="12" customFormat="1" customHeight="1" spans="2:10">
      <c r="B2183" s="25"/>
      <c r="C2183" s="25"/>
      <c r="D2183" s="26" t="str" cm="1">
        <f t="array" ref="D2183">IF(C2183="","",IFERROR(INDEX(STPP!$D$6:$D$4207,MATCH(C2183,STPP!$C$6:$C$4207,0)),"Not Found"))</f>
        <v/>
      </c>
      <c r="E2183" s="27" t="str" cm="1">
        <f t="array" ref="E2183">IF(C2183="","",IFERROR(INDEX(STPP!$E$6:$E$4207,MATCH(C2183,STPP!$C$6:$C$4207,0)),"Not Found"))</f>
        <v/>
      </c>
      <c r="F2183" s="27" t="str" cm="1">
        <f t="array" ref="F2183">IF(C2183="","",IFERROR(INDEX(STPP!$F$6:$F$4207,MATCH(C2183,STPP!$C$6:$C$4207,0)),"Not Found"))</f>
        <v/>
      </c>
      <c r="G2183" s="25" t="str">
        <f>IF(表1[[#This Row],[No Seri]]="","",表1[[#This Row],[Deskripsi Barang]]+表1[[#This Row],[Kuantitas]]-表1[[#This Row],[Satuan]])</f>
        <v/>
      </c>
      <c r="H2183" s="28"/>
      <c r="I2183" s="25" t="str">
        <f>IF(表1[[#This Row],[Tgl NPBG]]&gt;表1[[#This Row],[Peminta]],表1[[#This Row],[Tgl NPBG]]-表1[[#This Row],[Peminta]],"")</f>
        <v/>
      </c>
      <c r="J2183" s="31"/>
    </row>
    <row r="2184" s="12" customFormat="1" customHeight="1" spans="2:10">
      <c r="B2184" s="25"/>
      <c r="C2184" s="25"/>
      <c r="D2184" s="26" t="str" cm="1">
        <f t="array" ref="D2184">IF(C2184="","",IFERROR(INDEX(STPP!$D$6:$D$4207,MATCH(C2184,STPP!$C$6:$C$4207,0)),"Not Found"))</f>
        <v/>
      </c>
      <c r="E2184" s="27" t="str" cm="1">
        <f t="array" ref="E2184">IF(C2184="","",IFERROR(INDEX(STPP!$E$6:$E$4207,MATCH(C2184,STPP!$C$6:$C$4207,0)),"Not Found"))</f>
        <v/>
      </c>
      <c r="F2184" s="27" t="str" cm="1">
        <f t="array" ref="F2184">IF(C2184="","",IFERROR(INDEX(STPP!$F$6:$F$4207,MATCH(C2184,STPP!$C$6:$C$4207,0)),"Not Found"))</f>
        <v/>
      </c>
      <c r="G2184" s="25" t="str">
        <f>IF(表1[[#This Row],[No Seri]]="","",表1[[#This Row],[Deskripsi Barang]]+表1[[#This Row],[Kuantitas]]-表1[[#This Row],[Satuan]])</f>
        <v/>
      </c>
      <c r="H2184" s="28"/>
      <c r="I2184" s="25" t="str">
        <f>IF(表1[[#This Row],[Tgl NPBG]]&gt;表1[[#This Row],[Peminta]],表1[[#This Row],[Tgl NPBG]]-表1[[#This Row],[Peminta]],"")</f>
        <v/>
      </c>
      <c r="J2184" s="31"/>
    </row>
    <row r="2185" s="12" customFormat="1" customHeight="1" spans="2:10">
      <c r="B2185" s="25"/>
      <c r="C2185" s="25"/>
      <c r="D2185" s="26" t="str" cm="1">
        <f t="array" ref="D2185">IF(C2185="","",IFERROR(INDEX(STPP!$D$6:$D$4207,MATCH(C2185,STPP!$C$6:$C$4207,0)),"Not Found"))</f>
        <v/>
      </c>
      <c r="E2185" s="27" t="str" cm="1">
        <f t="array" ref="E2185">IF(C2185="","",IFERROR(INDEX(STPP!$E$6:$E$4207,MATCH(C2185,STPP!$C$6:$C$4207,0)),"Not Found"))</f>
        <v/>
      </c>
      <c r="F2185" s="27" t="str" cm="1">
        <f t="array" ref="F2185">IF(C2185="","",IFERROR(INDEX(STPP!$F$6:$F$4207,MATCH(C2185,STPP!$C$6:$C$4207,0)),"Not Found"))</f>
        <v/>
      </c>
      <c r="G2185" s="25" t="str">
        <f>IF(表1[[#This Row],[No Seri]]="","",表1[[#This Row],[Deskripsi Barang]]+表1[[#This Row],[Kuantitas]]-表1[[#This Row],[Satuan]])</f>
        <v/>
      </c>
      <c r="H2185" s="28"/>
      <c r="I2185" s="25" t="str">
        <f>IF(表1[[#This Row],[Tgl NPBG]]&gt;表1[[#This Row],[Peminta]],表1[[#This Row],[Tgl NPBG]]-表1[[#This Row],[Peminta]],"")</f>
        <v/>
      </c>
      <c r="J2185" s="31"/>
    </row>
    <row r="2186" s="12" customFormat="1" customHeight="1" spans="2:10">
      <c r="B2186" s="25"/>
      <c r="C2186" s="25"/>
      <c r="D2186" s="26" t="str" cm="1">
        <f t="array" ref="D2186">IF(C2186="","",IFERROR(INDEX(STPP!$D$6:$D$4207,MATCH(C2186,STPP!$C$6:$C$4207,0)),"Not Found"))</f>
        <v/>
      </c>
      <c r="E2186" s="27" t="str" cm="1">
        <f t="array" ref="E2186">IF(C2186="","",IFERROR(INDEX(STPP!$E$6:$E$4207,MATCH(C2186,STPP!$C$6:$C$4207,0)),"Not Found"))</f>
        <v/>
      </c>
      <c r="F2186" s="27" t="str" cm="1">
        <f t="array" ref="F2186">IF(C2186="","",IFERROR(INDEX(STPP!$F$6:$F$4207,MATCH(C2186,STPP!$C$6:$C$4207,0)),"Not Found"))</f>
        <v/>
      </c>
      <c r="G2186" s="25" t="str">
        <f>IF(表1[[#This Row],[No Seri]]="","",表1[[#This Row],[Deskripsi Barang]]+表1[[#This Row],[Kuantitas]]-表1[[#This Row],[Satuan]])</f>
        <v/>
      </c>
      <c r="H2186" s="28"/>
      <c r="I2186" s="25" t="str">
        <f>IF(表1[[#This Row],[Tgl NPBG]]&gt;表1[[#This Row],[Peminta]],表1[[#This Row],[Tgl NPBG]]-表1[[#This Row],[Peminta]],"")</f>
        <v/>
      </c>
      <c r="J2186" s="31"/>
    </row>
    <row r="2187" s="12" customFormat="1" customHeight="1" spans="2:10">
      <c r="B2187" s="25"/>
      <c r="C2187" s="25"/>
      <c r="D2187" s="26" t="str" cm="1">
        <f t="array" ref="D2187">IF(C2187="","",IFERROR(INDEX(STPP!$D$6:$D$4207,MATCH(C2187,STPP!$C$6:$C$4207,0)),"Not Found"))</f>
        <v/>
      </c>
      <c r="E2187" s="27" t="str" cm="1">
        <f t="array" ref="E2187">IF(C2187="","",IFERROR(INDEX(STPP!$E$6:$E$4207,MATCH(C2187,STPP!$C$6:$C$4207,0)),"Not Found"))</f>
        <v/>
      </c>
      <c r="F2187" s="27" t="str" cm="1">
        <f t="array" ref="F2187">IF(C2187="","",IFERROR(INDEX(STPP!$F$6:$F$4207,MATCH(C2187,STPP!$C$6:$C$4207,0)),"Not Found"))</f>
        <v/>
      </c>
      <c r="G2187" s="25" t="str">
        <f>IF(表1[[#This Row],[No Seri]]="","",表1[[#This Row],[Deskripsi Barang]]+表1[[#This Row],[Kuantitas]]-表1[[#This Row],[Satuan]])</f>
        <v/>
      </c>
      <c r="H2187" s="28"/>
      <c r="I2187" s="25" t="str">
        <f>IF(表1[[#This Row],[Tgl NPBG]]&gt;表1[[#This Row],[Peminta]],表1[[#This Row],[Tgl NPBG]]-表1[[#This Row],[Peminta]],"")</f>
        <v/>
      </c>
      <c r="J2187" s="31"/>
    </row>
    <row r="2188" s="12" customFormat="1" customHeight="1" spans="2:10">
      <c r="B2188" s="25"/>
      <c r="C2188" s="25"/>
      <c r="D2188" s="26" t="str" cm="1">
        <f t="array" ref="D2188">IF(C2188="","",IFERROR(INDEX(STPP!$D$6:$D$4207,MATCH(C2188,STPP!$C$6:$C$4207,0)),"Not Found"))</f>
        <v/>
      </c>
      <c r="E2188" s="27" t="str" cm="1">
        <f t="array" ref="E2188">IF(C2188="","",IFERROR(INDEX(STPP!$E$6:$E$4207,MATCH(C2188,STPP!$C$6:$C$4207,0)),"Not Found"))</f>
        <v/>
      </c>
      <c r="F2188" s="27" t="str" cm="1">
        <f t="array" ref="F2188">IF(C2188="","",IFERROR(INDEX(STPP!$F$6:$F$4207,MATCH(C2188,STPP!$C$6:$C$4207,0)),"Not Found"))</f>
        <v/>
      </c>
      <c r="G2188" s="25" t="str">
        <f>IF(表1[[#This Row],[No Seri]]="","",表1[[#This Row],[Deskripsi Barang]]+表1[[#This Row],[Kuantitas]]-表1[[#This Row],[Satuan]])</f>
        <v/>
      </c>
      <c r="H2188" s="28"/>
      <c r="I2188" s="25" t="str">
        <f>IF(表1[[#This Row],[Tgl NPBG]]&gt;表1[[#This Row],[Peminta]],表1[[#This Row],[Tgl NPBG]]-表1[[#This Row],[Peminta]],"")</f>
        <v/>
      </c>
      <c r="J2188" s="31"/>
    </row>
    <row r="2189" s="12" customFormat="1" customHeight="1" spans="2:10">
      <c r="B2189" s="25"/>
      <c r="C2189" s="25"/>
      <c r="D2189" s="26" t="str" cm="1">
        <f t="array" ref="D2189">IF(C2189="","",IFERROR(INDEX(STPP!$D$6:$D$4207,MATCH(C2189,STPP!$C$6:$C$4207,0)),"Not Found"))</f>
        <v/>
      </c>
      <c r="E2189" s="27" t="str" cm="1">
        <f t="array" ref="E2189">IF(C2189="","",IFERROR(INDEX(STPP!$E$6:$E$4207,MATCH(C2189,STPP!$C$6:$C$4207,0)),"Not Found"))</f>
        <v/>
      </c>
      <c r="F2189" s="27" t="str" cm="1">
        <f t="array" ref="F2189">IF(C2189="","",IFERROR(INDEX(STPP!$F$6:$F$4207,MATCH(C2189,STPP!$C$6:$C$4207,0)),"Not Found"))</f>
        <v/>
      </c>
      <c r="G2189" s="25" t="str">
        <f>IF(表1[[#This Row],[No Seri]]="","",表1[[#This Row],[Deskripsi Barang]]+表1[[#This Row],[Kuantitas]]-表1[[#This Row],[Satuan]])</f>
        <v/>
      </c>
      <c r="H2189" s="28"/>
      <c r="I2189" s="25" t="str">
        <f>IF(表1[[#This Row],[Tgl NPBG]]&gt;表1[[#This Row],[Peminta]],表1[[#This Row],[Tgl NPBG]]-表1[[#This Row],[Peminta]],"")</f>
        <v/>
      </c>
      <c r="J2189" s="31"/>
    </row>
    <row r="2190" s="12" customFormat="1" customHeight="1" spans="2:10">
      <c r="B2190" s="25"/>
      <c r="C2190" s="25"/>
      <c r="D2190" s="26" t="str" cm="1">
        <f t="array" ref="D2190">IF(C2190="","",IFERROR(INDEX(STPP!$D$6:$D$4207,MATCH(C2190,STPP!$C$6:$C$4207,0)),"Not Found"))</f>
        <v/>
      </c>
      <c r="E2190" s="27" t="str" cm="1">
        <f t="array" ref="E2190">IF(C2190="","",IFERROR(INDEX(STPP!$E$6:$E$4207,MATCH(C2190,STPP!$C$6:$C$4207,0)),"Not Found"))</f>
        <v/>
      </c>
      <c r="F2190" s="27" t="str" cm="1">
        <f t="array" ref="F2190">IF(C2190="","",IFERROR(INDEX(STPP!$F$6:$F$4207,MATCH(C2190,STPP!$C$6:$C$4207,0)),"Not Found"))</f>
        <v/>
      </c>
      <c r="G2190" s="25" t="str">
        <f>IF(表1[[#This Row],[No Seri]]="","",表1[[#This Row],[Deskripsi Barang]]+表1[[#This Row],[Kuantitas]]-表1[[#This Row],[Satuan]])</f>
        <v/>
      </c>
      <c r="H2190" s="28"/>
      <c r="I2190" s="25" t="str">
        <f>IF(表1[[#This Row],[Tgl NPBG]]&gt;表1[[#This Row],[Peminta]],表1[[#This Row],[Tgl NPBG]]-表1[[#This Row],[Peminta]],"")</f>
        <v/>
      </c>
      <c r="J2190" s="31"/>
    </row>
    <row r="2191" s="12" customFormat="1" customHeight="1" spans="2:10">
      <c r="B2191" s="25"/>
      <c r="C2191" s="25"/>
      <c r="D2191" s="26" t="str" cm="1">
        <f t="array" ref="D2191">IF(C2191="","",IFERROR(INDEX(STPP!$D$6:$D$4207,MATCH(C2191,STPP!$C$6:$C$4207,0)),"Not Found"))</f>
        <v/>
      </c>
      <c r="E2191" s="27" t="str" cm="1">
        <f t="array" ref="E2191">IF(C2191="","",IFERROR(INDEX(STPP!$E$6:$E$4207,MATCH(C2191,STPP!$C$6:$C$4207,0)),"Not Found"))</f>
        <v/>
      </c>
      <c r="F2191" s="27" t="str" cm="1">
        <f t="array" ref="F2191">IF(C2191="","",IFERROR(INDEX(STPP!$F$6:$F$4207,MATCH(C2191,STPP!$C$6:$C$4207,0)),"Not Found"))</f>
        <v/>
      </c>
      <c r="G2191" s="25" t="str">
        <f>IF(表1[[#This Row],[No Seri]]="","",表1[[#This Row],[Deskripsi Barang]]+表1[[#This Row],[Kuantitas]]-表1[[#This Row],[Satuan]])</f>
        <v/>
      </c>
      <c r="H2191" s="28"/>
      <c r="I2191" s="25" t="str">
        <f>IF(表1[[#This Row],[Tgl NPBG]]&gt;表1[[#This Row],[Peminta]],表1[[#This Row],[Tgl NPBG]]-表1[[#This Row],[Peminta]],"")</f>
        <v/>
      </c>
      <c r="J2191" s="31"/>
    </row>
    <row r="2192" s="12" customFormat="1" customHeight="1" spans="2:10">
      <c r="B2192" s="25"/>
      <c r="C2192" s="25"/>
      <c r="D2192" s="26" t="str" cm="1">
        <f t="array" ref="D2192">IF(C2192="","",IFERROR(INDEX(STPP!$D$6:$D$4207,MATCH(C2192,STPP!$C$6:$C$4207,0)),"Not Found"))</f>
        <v/>
      </c>
      <c r="E2192" s="27" t="str" cm="1">
        <f t="array" ref="E2192">IF(C2192="","",IFERROR(INDEX(STPP!$E$6:$E$4207,MATCH(C2192,STPP!$C$6:$C$4207,0)),"Not Found"))</f>
        <v/>
      </c>
      <c r="F2192" s="27" t="str" cm="1">
        <f t="array" ref="F2192">IF(C2192="","",IFERROR(INDEX(STPP!$F$6:$F$4207,MATCH(C2192,STPP!$C$6:$C$4207,0)),"Not Found"))</f>
        <v/>
      </c>
      <c r="G2192" s="25" t="str">
        <f>IF(表1[[#This Row],[No Seri]]="","",表1[[#This Row],[Deskripsi Barang]]+表1[[#This Row],[Kuantitas]]-表1[[#This Row],[Satuan]])</f>
        <v/>
      </c>
      <c r="H2192" s="28"/>
      <c r="I2192" s="25" t="str">
        <f>IF(表1[[#This Row],[Tgl NPBG]]&gt;表1[[#This Row],[Peminta]],表1[[#This Row],[Tgl NPBG]]-表1[[#This Row],[Peminta]],"")</f>
        <v/>
      </c>
      <c r="J2192" s="31"/>
    </row>
    <row r="2193" s="12" customFormat="1" customHeight="1" spans="2:10">
      <c r="B2193" s="25"/>
      <c r="C2193" s="25"/>
      <c r="D2193" s="26" t="str" cm="1">
        <f t="array" ref="D2193">IF(C2193="","",IFERROR(INDEX(STPP!$D$6:$D$4207,MATCH(C2193,STPP!$C$6:$C$4207,0)),"Not Found"))</f>
        <v/>
      </c>
      <c r="E2193" s="27" t="str" cm="1">
        <f t="array" ref="E2193">IF(C2193="","",IFERROR(INDEX(STPP!$E$6:$E$4207,MATCH(C2193,STPP!$C$6:$C$4207,0)),"Not Found"))</f>
        <v/>
      </c>
      <c r="F2193" s="27" t="str" cm="1">
        <f t="array" ref="F2193">IF(C2193="","",IFERROR(INDEX(STPP!$F$6:$F$4207,MATCH(C2193,STPP!$C$6:$C$4207,0)),"Not Found"))</f>
        <v/>
      </c>
      <c r="G2193" s="25" t="str">
        <f>IF(表1[[#This Row],[No Seri]]="","",表1[[#This Row],[Deskripsi Barang]]+表1[[#This Row],[Kuantitas]]-表1[[#This Row],[Satuan]])</f>
        <v/>
      </c>
      <c r="H2193" s="28"/>
      <c r="I2193" s="25" t="str">
        <f>IF(表1[[#This Row],[Tgl NPBG]]&gt;表1[[#This Row],[Peminta]],表1[[#This Row],[Tgl NPBG]]-表1[[#This Row],[Peminta]],"")</f>
        <v/>
      </c>
      <c r="J2193" s="31"/>
    </row>
    <row r="2194" s="12" customFormat="1" customHeight="1" spans="2:10">
      <c r="B2194" s="25"/>
      <c r="C2194" s="25"/>
      <c r="D2194" s="26" t="str" cm="1">
        <f t="array" ref="D2194">IF(C2194="","",IFERROR(INDEX(STPP!$D$6:$D$4207,MATCH(C2194,STPP!$C$6:$C$4207,0)),"Not Found"))</f>
        <v/>
      </c>
      <c r="E2194" s="27" t="str" cm="1">
        <f t="array" ref="E2194">IF(C2194="","",IFERROR(INDEX(STPP!$E$6:$E$4207,MATCH(C2194,STPP!$C$6:$C$4207,0)),"Not Found"))</f>
        <v/>
      </c>
      <c r="F2194" s="27" t="str" cm="1">
        <f t="array" ref="F2194">IF(C2194="","",IFERROR(INDEX(STPP!$F$6:$F$4207,MATCH(C2194,STPP!$C$6:$C$4207,0)),"Not Found"))</f>
        <v/>
      </c>
      <c r="G2194" s="25" t="str">
        <f>IF(表1[[#This Row],[No Seri]]="","",表1[[#This Row],[Deskripsi Barang]]+表1[[#This Row],[Kuantitas]]-表1[[#This Row],[Satuan]])</f>
        <v/>
      </c>
      <c r="H2194" s="28"/>
      <c r="I2194" s="25" t="str">
        <f>IF(表1[[#This Row],[Tgl NPBG]]&gt;表1[[#This Row],[Peminta]],表1[[#This Row],[Tgl NPBG]]-表1[[#This Row],[Peminta]],"")</f>
        <v/>
      </c>
      <c r="J2194" s="31"/>
    </row>
    <row r="2195" s="12" customFormat="1" customHeight="1" spans="2:10">
      <c r="B2195" s="25"/>
      <c r="C2195" s="25"/>
      <c r="D2195" s="26" t="str" cm="1">
        <f t="array" ref="D2195">IF(C2195="","",IFERROR(INDEX(STPP!$D$6:$D$4207,MATCH(C2195,STPP!$C$6:$C$4207,0)),"Not Found"))</f>
        <v/>
      </c>
      <c r="E2195" s="27" t="str" cm="1">
        <f t="array" ref="E2195">IF(C2195="","",IFERROR(INDEX(STPP!$E$6:$E$4207,MATCH(C2195,STPP!$C$6:$C$4207,0)),"Not Found"))</f>
        <v/>
      </c>
      <c r="F2195" s="27" t="str" cm="1">
        <f t="array" ref="F2195">IF(C2195="","",IFERROR(INDEX(STPP!$F$6:$F$4207,MATCH(C2195,STPP!$C$6:$C$4207,0)),"Not Found"))</f>
        <v/>
      </c>
      <c r="G2195" s="25" t="str">
        <f>IF(表1[[#This Row],[No Seri]]="","",表1[[#This Row],[Deskripsi Barang]]+表1[[#This Row],[Kuantitas]]-表1[[#This Row],[Satuan]])</f>
        <v/>
      </c>
      <c r="H2195" s="28"/>
      <c r="I2195" s="25" t="str">
        <f>IF(表1[[#This Row],[Tgl NPBG]]&gt;表1[[#This Row],[Peminta]],表1[[#This Row],[Tgl NPBG]]-表1[[#This Row],[Peminta]],"")</f>
        <v/>
      </c>
      <c r="J2195" s="31"/>
    </row>
    <row r="2196" s="12" customFormat="1" customHeight="1" spans="2:10">
      <c r="B2196" s="25"/>
      <c r="C2196" s="25"/>
      <c r="D2196" s="26" t="str" cm="1">
        <f t="array" ref="D2196">IF(C2196="","",IFERROR(INDEX(STPP!$D$6:$D$4207,MATCH(C2196,STPP!$C$6:$C$4207,0)),"Not Found"))</f>
        <v/>
      </c>
      <c r="E2196" s="27" t="str" cm="1">
        <f t="array" ref="E2196">IF(C2196="","",IFERROR(INDEX(STPP!$E$6:$E$4207,MATCH(C2196,STPP!$C$6:$C$4207,0)),"Not Found"))</f>
        <v/>
      </c>
      <c r="F2196" s="27" t="str" cm="1">
        <f t="array" ref="F2196">IF(C2196="","",IFERROR(INDEX(STPP!$F$6:$F$4207,MATCH(C2196,STPP!$C$6:$C$4207,0)),"Not Found"))</f>
        <v/>
      </c>
      <c r="G2196" s="25" t="str">
        <f>IF(表1[[#This Row],[No Seri]]="","",表1[[#This Row],[Deskripsi Barang]]+表1[[#This Row],[Kuantitas]]-表1[[#This Row],[Satuan]])</f>
        <v/>
      </c>
      <c r="H2196" s="28"/>
      <c r="I2196" s="25" t="str">
        <f>IF(表1[[#This Row],[Tgl NPBG]]&gt;表1[[#This Row],[Peminta]],表1[[#This Row],[Tgl NPBG]]-表1[[#This Row],[Peminta]],"")</f>
        <v/>
      </c>
      <c r="J2196" s="31"/>
    </row>
    <row r="2197" s="12" customFormat="1" customHeight="1" spans="2:10">
      <c r="B2197" s="25"/>
      <c r="C2197" s="25"/>
      <c r="D2197" s="26" t="str" cm="1">
        <f t="array" ref="D2197">IF(C2197="","",IFERROR(INDEX(STPP!$D$6:$D$4207,MATCH(C2197,STPP!$C$6:$C$4207,0)),"Not Found"))</f>
        <v/>
      </c>
      <c r="E2197" s="27" t="str" cm="1">
        <f t="array" ref="E2197">IF(C2197="","",IFERROR(INDEX(STPP!$E$6:$E$4207,MATCH(C2197,STPP!$C$6:$C$4207,0)),"Not Found"))</f>
        <v/>
      </c>
      <c r="F2197" s="27" t="str" cm="1">
        <f t="array" ref="F2197">IF(C2197="","",IFERROR(INDEX(STPP!$F$6:$F$4207,MATCH(C2197,STPP!$C$6:$C$4207,0)),"Not Found"))</f>
        <v/>
      </c>
      <c r="G2197" s="25" t="str">
        <f>IF(表1[[#This Row],[No Seri]]="","",表1[[#This Row],[Deskripsi Barang]]+表1[[#This Row],[Kuantitas]]-表1[[#This Row],[Satuan]])</f>
        <v/>
      </c>
      <c r="H2197" s="28"/>
      <c r="I2197" s="25" t="str">
        <f>IF(表1[[#This Row],[Tgl NPBG]]&gt;表1[[#This Row],[Peminta]],表1[[#This Row],[Tgl NPBG]]-表1[[#This Row],[Peminta]],"")</f>
        <v/>
      </c>
      <c r="J2197" s="31"/>
    </row>
    <row r="2198" s="12" customFormat="1" customHeight="1" spans="2:10">
      <c r="B2198" s="25"/>
      <c r="C2198" s="25"/>
      <c r="D2198" s="26" t="str" cm="1">
        <f t="array" ref="D2198">IF(C2198="","",IFERROR(INDEX(STPP!$D$6:$D$4207,MATCH(C2198,STPP!$C$6:$C$4207,0)),"Not Found"))</f>
        <v/>
      </c>
      <c r="E2198" s="27" t="str" cm="1">
        <f t="array" ref="E2198">IF(C2198="","",IFERROR(INDEX(STPP!$E$6:$E$4207,MATCH(C2198,STPP!$C$6:$C$4207,0)),"Not Found"))</f>
        <v/>
      </c>
      <c r="F2198" s="27" t="str" cm="1">
        <f t="array" ref="F2198">IF(C2198="","",IFERROR(INDEX(STPP!$F$6:$F$4207,MATCH(C2198,STPP!$C$6:$C$4207,0)),"Not Found"))</f>
        <v/>
      </c>
      <c r="G2198" s="25" t="str">
        <f>IF(表1[[#This Row],[No Seri]]="","",表1[[#This Row],[Deskripsi Barang]]+表1[[#This Row],[Kuantitas]]-表1[[#This Row],[Satuan]])</f>
        <v/>
      </c>
      <c r="H2198" s="28"/>
      <c r="I2198" s="25" t="str">
        <f>IF(表1[[#This Row],[Tgl NPBG]]&gt;表1[[#This Row],[Peminta]],表1[[#This Row],[Tgl NPBG]]-表1[[#This Row],[Peminta]],"")</f>
        <v/>
      </c>
      <c r="J2198" s="31"/>
    </row>
    <row r="2199" s="12" customFormat="1" customHeight="1" spans="2:10">
      <c r="B2199" s="25"/>
      <c r="C2199" s="25"/>
      <c r="D2199" s="26" t="str" cm="1">
        <f t="array" ref="D2199">IF(C2199="","",IFERROR(INDEX(STPP!$D$6:$D$4207,MATCH(C2199,STPP!$C$6:$C$4207,0)),"Not Found"))</f>
        <v/>
      </c>
      <c r="E2199" s="27" t="str" cm="1">
        <f t="array" ref="E2199">IF(C2199="","",IFERROR(INDEX(STPP!$E$6:$E$4207,MATCH(C2199,STPP!$C$6:$C$4207,0)),"Not Found"))</f>
        <v/>
      </c>
      <c r="F2199" s="27" t="str" cm="1">
        <f t="array" ref="F2199">IF(C2199="","",IFERROR(INDEX(STPP!$F$6:$F$4207,MATCH(C2199,STPP!$C$6:$C$4207,0)),"Not Found"))</f>
        <v/>
      </c>
      <c r="G2199" s="25" t="str">
        <f>IF(表1[[#This Row],[No Seri]]="","",表1[[#This Row],[Deskripsi Barang]]+表1[[#This Row],[Kuantitas]]-表1[[#This Row],[Satuan]])</f>
        <v/>
      </c>
      <c r="H2199" s="28"/>
      <c r="I2199" s="25" t="str">
        <f>IF(表1[[#This Row],[Tgl NPBG]]&gt;表1[[#This Row],[Peminta]],表1[[#This Row],[Tgl NPBG]]-表1[[#This Row],[Peminta]],"")</f>
        <v/>
      </c>
      <c r="J2199" s="31"/>
    </row>
    <row r="2200" s="12" customFormat="1" customHeight="1" spans="2:10">
      <c r="B2200" s="25"/>
      <c r="C2200" s="25"/>
      <c r="D2200" s="26" t="str" cm="1">
        <f t="array" ref="D2200">IF(C2200="","",IFERROR(INDEX(STPP!$D$6:$D$4207,MATCH(C2200,STPP!$C$6:$C$4207,0)),"Not Found"))</f>
        <v/>
      </c>
      <c r="E2200" s="27" t="str" cm="1">
        <f t="array" ref="E2200">IF(C2200="","",IFERROR(INDEX(STPP!$E$6:$E$4207,MATCH(C2200,STPP!$C$6:$C$4207,0)),"Not Found"))</f>
        <v/>
      </c>
      <c r="F2200" s="27" t="str" cm="1">
        <f t="array" ref="F2200">IF(C2200="","",IFERROR(INDEX(STPP!$F$6:$F$4207,MATCH(C2200,STPP!$C$6:$C$4207,0)),"Not Found"))</f>
        <v/>
      </c>
      <c r="G2200" s="25" t="str">
        <f>IF(表1[[#This Row],[No Seri]]="","",表1[[#This Row],[Deskripsi Barang]]+表1[[#This Row],[Kuantitas]]-表1[[#This Row],[Satuan]])</f>
        <v/>
      </c>
      <c r="H2200" s="28"/>
      <c r="I2200" s="25" t="str">
        <f>IF(表1[[#This Row],[Tgl NPBG]]&gt;表1[[#This Row],[Peminta]],表1[[#This Row],[Tgl NPBG]]-表1[[#This Row],[Peminta]],"")</f>
        <v/>
      </c>
      <c r="J2200" s="31"/>
    </row>
    <row r="2201" s="12" customFormat="1" customHeight="1" spans="2:10">
      <c r="B2201" s="25"/>
      <c r="C2201" s="25"/>
      <c r="D2201" s="26" t="str" cm="1">
        <f t="array" ref="D2201">IF(C2201="","",IFERROR(INDEX(STPP!$D$6:$D$4207,MATCH(C2201,STPP!$C$6:$C$4207,0)),"Not Found"))</f>
        <v/>
      </c>
      <c r="E2201" s="27" t="str" cm="1">
        <f t="array" ref="E2201">IF(C2201="","",IFERROR(INDEX(STPP!$E$6:$E$4207,MATCH(C2201,STPP!$C$6:$C$4207,0)),"Not Found"))</f>
        <v/>
      </c>
      <c r="F2201" s="27" t="str" cm="1">
        <f t="array" ref="F2201">IF(C2201="","",IFERROR(INDEX(STPP!$F$6:$F$4207,MATCH(C2201,STPP!$C$6:$C$4207,0)),"Not Found"))</f>
        <v/>
      </c>
      <c r="G2201" s="25" t="str">
        <f>IF(表1[[#This Row],[No Seri]]="","",表1[[#This Row],[Deskripsi Barang]]+表1[[#This Row],[Kuantitas]]-表1[[#This Row],[Satuan]])</f>
        <v/>
      </c>
      <c r="H2201" s="28"/>
      <c r="I2201" s="25" t="str">
        <f>IF(表1[[#This Row],[Tgl NPBG]]&gt;表1[[#This Row],[Peminta]],表1[[#This Row],[Tgl NPBG]]-表1[[#This Row],[Peminta]],"")</f>
        <v/>
      </c>
      <c r="J2201" s="31"/>
    </row>
    <row r="2202" s="12" customFormat="1" customHeight="1" spans="2:10">
      <c r="B2202" s="25"/>
      <c r="C2202" s="25"/>
      <c r="D2202" s="26" t="str" cm="1">
        <f t="array" ref="D2202">IF(C2202="","",IFERROR(INDEX(STPP!$D$6:$D$4207,MATCH(C2202,STPP!$C$6:$C$4207,0)),"Not Found"))</f>
        <v/>
      </c>
      <c r="E2202" s="27" t="str" cm="1">
        <f t="array" ref="E2202">IF(C2202="","",IFERROR(INDEX(STPP!$E$6:$E$4207,MATCH(C2202,STPP!$C$6:$C$4207,0)),"Not Found"))</f>
        <v/>
      </c>
      <c r="F2202" s="27" t="str" cm="1">
        <f t="array" ref="F2202">IF(C2202="","",IFERROR(INDEX(STPP!$F$6:$F$4207,MATCH(C2202,STPP!$C$6:$C$4207,0)),"Not Found"))</f>
        <v/>
      </c>
      <c r="G2202" s="25" t="str">
        <f>IF(表1[[#This Row],[No Seri]]="","",表1[[#This Row],[Deskripsi Barang]]+表1[[#This Row],[Kuantitas]]-表1[[#This Row],[Satuan]])</f>
        <v/>
      </c>
      <c r="H2202" s="28"/>
      <c r="I2202" s="25" t="str">
        <f>IF(表1[[#This Row],[Tgl NPBG]]&gt;表1[[#This Row],[Peminta]],表1[[#This Row],[Tgl NPBG]]-表1[[#This Row],[Peminta]],"")</f>
        <v/>
      </c>
      <c r="J2202" s="31"/>
    </row>
    <row r="2203" s="12" customFormat="1" customHeight="1" spans="2:10">
      <c r="B2203" s="25"/>
      <c r="C2203" s="25"/>
      <c r="D2203" s="26" t="str" cm="1">
        <f t="array" ref="D2203">IF(C2203="","",IFERROR(INDEX(STPP!$D$6:$D$4207,MATCH(C2203,STPP!$C$6:$C$4207,0)),"Not Found"))</f>
        <v/>
      </c>
      <c r="E2203" s="27" t="str" cm="1">
        <f t="array" ref="E2203">IF(C2203="","",IFERROR(INDEX(STPP!$E$6:$E$4207,MATCH(C2203,STPP!$C$6:$C$4207,0)),"Not Found"))</f>
        <v/>
      </c>
      <c r="F2203" s="27" t="str" cm="1">
        <f t="array" ref="F2203">IF(C2203="","",IFERROR(INDEX(STPP!$F$6:$F$4207,MATCH(C2203,STPP!$C$6:$C$4207,0)),"Not Found"))</f>
        <v/>
      </c>
      <c r="G2203" s="25" t="str">
        <f>IF(表1[[#This Row],[No Seri]]="","",表1[[#This Row],[Deskripsi Barang]]+表1[[#This Row],[Kuantitas]]-表1[[#This Row],[Satuan]])</f>
        <v/>
      </c>
      <c r="H2203" s="28"/>
      <c r="I2203" s="25" t="str">
        <f>IF(表1[[#This Row],[Tgl NPBG]]&gt;表1[[#This Row],[Peminta]],表1[[#This Row],[Tgl NPBG]]-表1[[#This Row],[Peminta]],"")</f>
        <v/>
      </c>
      <c r="J2203" s="31"/>
    </row>
    <row r="2204" s="12" customFormat="1" customHeight="1" spans="2:10">
      <c r="B2204" s="25"/>
      <c r="C2204" s="25"/>
      <c r="D2204" s="26" t="str" cm="1">
        <f t="array" ref="D2204">IF(C2204="","",IFERROR(INDEX(STPP!$D$6:$D$4207,MATCH(C2204,STPP!$C$6:$C$4207,0)),"Not Found"))</f>
        <v/>
      </c>
      <c r="E2204" s="27" t="str" cm="1">
        <f t="array" ref="E2204">IF(C2204="","",IFERROR(INDEX(STPP!$E$6:$E$4207,MATCH(C2204,STPP!$C$6:$C$4207,0)),"Not Found"))</f>
        <v/>
      </c>
      <c r="F2204" s="27" t="str" cm="1">
        <f t="array" ref="F2204">IF(C2204="","",IFERROR(INDEX(STPP!$F$6:$F$4207,MATCH(C2204,STPP!$C$6:$C$4207,0)),"Not Found"))</f>
        <v/>
      </c>
      <c r="G2204" s="25" t="str">
        <f>IF(表1[[#This Row],[No Seri]]="","",表1[[#This Row],[Deskripsi Barang]]+表1[[#This Row],[Kuantitas]]-表1[[#This Row],[Satuan]])</f>
        <v/>
      </c>
      <c r="H2204" s="28"/>
      <c r="I2204" s="25" t="str">
        <f>IF(表1[[#This Row],[Tgl NPBG]]&gt;表1[[#This Row],[Peminta]],表1[[#This Row],[Tgl NPBG]]-表1[[#This Row],[Peminta]],"")</f>
        <v/>
      </c>
      <c r="J2204" s="31"/>
    </row>
    <row r="2205" s="12" customFormat="1" customHeight="1" spans="2:10">
      <c r="B2205" s="25"/>
      <c r="C2205" s="25"/>
      <c r="D2205" s="26" t="str" cm="1">
        <f t="array" ref="D2205">IF(C2205="","",IFERROR(INDEX(STPP!$D$6:$D$4207,MATCH(C2205,STPP!$C$6:$C$4207,0)),"Not Found"))</f>
        <v/>
      </c>
      <c r="E2205" s="27" t="str" cm="1">
        <f t="array" ref="E2205">IF(C2205="","",IFERROR(INDEX(STPP!$E$6:$E$4207,MATCH(C2205,STPP!$C$6:$C$4207,0)),"Not Found"))</f>
        <v/>
      </c>
      <c r="F2205" s="27" t="str" cm="1">
        <f t="array" ref="F2205">IF(C2205="","",IFERROR(INDEX(STPP!$F$6:$F$4207,MATCH(C2205,STPP!$C$6:$C$4207,0)),"Not Found"))</f>
        <v/>
      </c>
      <c r="G2205" s="25" t="str">
        <f>IF(表1[[#This Row],[No Seri]]="","",表1[[#This Row],[Deskripsi Barang]]+表1[[#This Row],[Kuantitas]]-表1[[#This Row],[Satuan]])</f>
        <v/>
      </c>
      <c r="H2205" s="28"/>
      <c r="I2205" s="25" t="str">
        <f>IF(表1[[#This Row],[Tgl NPBG]]&gt;表1[[#This Row],[Peminta]],表1[[#This Row],[Tgl NPBG]]-表1[[#This Row],[Peminta]],"")</f>
        <v/>
      </c>
      <c r="J2205" s="31"/>
    </row>
    <row r="2206" s="12" customFormat="1" customHeight="1" spans="2:10">
      <c r="B2206" s="25"/>
      <c r="C2206" s="25"/>
      <c r="D2206" s="26" t="str" cm="1">
        <f t="array" ref="D2206">IF(C2206="","",IFERROR(INDEX(STPP!$D$6:$D$4207,MATCH(C2206,STPP!$C$6:$C$4207,0)),"Not Found"))</f>
        <v/>
      </c>
      <c r="E2206" s="27" t="str" cm="1">
        <f t="array" ref="E2206">IF(C2206="","",IFERROR(INDEX(STPP!$E$6:$E$4207,MATCH(C2206,STPP!$C$6:$C$4207,0)),"Not Found"))</f>
        <v/>
      </c>
      <c r="F2206" s="27" t="str" cm="1">
        <f t="array" ref="F2206">IF(C2206="","",IFERROR(INDEX(STPP!$F$6:$F$4207,MATCH(C2206,STPP!$C$6:$C$4207,0)),"Not Found"))</f>
        <v/>
      </c>
      <c r="G2206" s="25" t="str">
        <f>IF(表1[[#This Row],[No Seri]]="","",表1[[#This Row],[Deskripsi Barang]]+表1[[#This Row],[Kuantitas]]-表1[[#This Row],[Satuan]])</f>
        <v/>
      </c>
      <c r="H2206" s="28"/>
      <c r="I2206" s="25" t="str">
        <f>IF(表1[[#This Row],[Tgl NPBG]]&gt;表1[[#This Row],[Peminta]],表1[[#This Row],[Tgl NPBG]]-表1[[#This Row],[Peminta]],"")</f>
        <v/>
      </c>
      <c r="J2206" s="31"/>
    </row>
    <row r="2207" s="12" customFormat="1" customHeight="1" spans="2:10">
      <c r="B2207" s="25"/>
      <c r="C2207" s="25"/>
      <c r="D2207" s="26" t="str" cm="1">
        <f t="array" ref="D2207">IF(C2207="","",IFERROR(INDEX(STPP!$D$6:$D$4207,MATCH(C2207,STPP!$C$6:$C$4207,0)),"Not Found"))</f>
        <v/>
      </c>
      <c r="E2207" s="27" t="str" cm="1">
        <f t="array" ref="E2207">IF(C2207="","",IFERROR(INDEX(STPP!$E$6:$E$4207,MATCH(C2207,STPP!$C$6:$C$4207,0)),"Not Found"))</f>
        <v/>
      </c>
      <c r="F2207" s="27" t="str" cm="1">
        <f t="array" ref="F2207">IF(C2207="","",IFERROR(INDEX(STPP!$F$6:$F$4207,MATCH(C2207,STPP!$C$6:$C$4207,0)),"Not Found"))</f>
        <v/>
      </c>
      <c r="G2207" s="25" t="str">
        <f>IF(表1[[#This Row],[No Seri]]="","",表1[[#This Row],[Deskripsi Barang]]+表1[[#This Row],[Kuantitas]]-表1[[#This Row],[Satuan]])</f>
        <v/>
      </c>
      <c r="H2207" s="28"/>
      <c r="I2207" s="25" t="str">
        <f>IF(表1[[#This Row],[Tgl NPBG]]&gt;表1[[#This Row],[Peminta]],表1[[#This Row],[Tgl NPBG]]-表1[[#This Row],[Peminta]],"")</f>
        <v/>
      </c>
      <c r="J2207" s="31"/>
    </row>
    <row r="2208" s="12" customFormat="1" customHeight="1" spans="2:10">
      <c r="B2208" s="25"/>
      <c r="C2208" s="25"/>
      <c r="D2208" s="26" t="str" cm="1">
        <f t="array" ref="D2208">IF(C2208="","",IFERROR(INDEX(STPP!$D$6:$D$4207,MATCH(C2208,STPP!$C$6:$C$4207,0)),"Not Found"))</f>
        <v/>
      </c>
      <c r="E2208" s="27" t="str" cm="1">
        <f t="array" ref="E2208">IF(C2208="","",IFERROR(INDEX(STPP!$E$6:$E$4207,MATCH(C2208,STPP!$C$6:$C$4207,0)),"Not Found"))</f>
        <v/>
      </c>
      <c r="F2208" s="27" t="str" cm="1">
        <f t="array" ref="F2208">IF(C2208="","",IFERROR(INDEX(STPP!$F$6:$F$4207,MATCH(C2208,STPP!$C$6:$C$4207,0)),"Not Found"))</f>
        <v/>
      </c>
      <c r="G2208" s="25" t="str">
        <f>IF(表1[[#This Row],[No Seri]]="","",表1[[#This Row],[Deskripsi Barang]]+表1[[#This Row],[Kuantitas]]-表1[[#This Row],[Satuan]])</f>
        <v/>
      </c>
      <c r="H2208" s="28"/>
      <c r="I2208" s="25" t="str">
        <f>IF(表1[[#This Row],[Tgl NPBG]]&gt;表1[[#This Row],[Peminta]],表1[[#This Row],[Tgl NPBG]]-表1[[#This Row],[Peminta]],"")</f>
        <v/>
      </c>
      <c r="J2208" s="31"/>
    </row>
    <row r="2209" s="12" customFormat="1" customHeight="1" spans="2:10">
      <c r="B2209" s="25"/>
      <c r="C2209" s="25"/>
      <c r="D2209" s="26" t="str" cm="1">
        <f t="array" ref="D2209">IF(C2209="","",IFERROR(INDEX(STPP!$D$6:$D$4207,MATCH(C2209,STPP!$C$6:$C$4207,0)),"Not Found"))</f>
        <v/>
      </c>
      <c r="E2209" s="27" t="str" cm="1">
        <f t="array" ref="E2209">IF(C2209="","",IFERROR(INDEX(STPP!$E$6:$E$4207,MATCH(C2209,STPP!$C$6:$C$4207,0)),"Not Found"))</f>
        <v/>
      </c>
      <c r="F2209" s="27" t="str" cm="1">
        <f t="array" ref="F2209">IF(C2209="","",IFERROR(INDEX(STPP!$F$6:$F$4207,MATCH(C2209,STPP!$C$6:$C$4207,0)),"Not Found"))</f>
        <v/>
      </c>
      <c r="G2209" s="25" t="str">
        <f>IF(表1[[#This Row],[No Seri]]="","",表1[[#This Row],[Deskripsi Barang]]+表1[[#This Row],[Kuantitas]]-表1[[#This Row],[Satuan]])</f>
        <v/>
      </c>
      <c r="H2209" s="28"/>
      <c r="I2209" s="25" t="str">
        <f>IF(表1[[#This Row],[Tgl NPBG]]&gt;表1[[#This Row],[Peminta]],表1[[#This Row],[Tgl NPBG]]-表1[[#This Row],[Peminta]],"")</f>
        <v/>
      </c>
      <c r="J2209" s="31"/>
    </row>
    <row r="2210" s="12" customFormat="1" customHeight="1" spans="2:10">
      <c r="B2210" s="25"/>
      <c r="C2210" s="25"/>
      <c r="D2210" s="26" t="str" cm="1">
        <f t="array" ref="D2210">IF(C2210="","",IFERROR(INDEX(STPP!$D$6:$D$4207,MATCH(C2210,STPP!$C$6:$C$4207,0)),"Not Found"))</f>
        <v/>
      </c>
      <c r="E2210" s="27" t="str" cm="1">
        <f t="array" ref="E2210">IF(C2210="","",IFERROR(INDEX(STPP!$E$6:$E$4207,MATCH(C2210,STPP!$C$6:$C$4207,0)),"Not Found"))</f>
        <v/>
      </c>
      <c r="F2210" s="27" t="str" cm="1">
        <f t="array" ref="F2210">IF(C2210="","",IFERROR(INDEX(STPP!$F$6:$F$4207,MATCH(C2210,STPP!$C$6:$C$4207,0)),"Not Found"))</f>
        <v/>
      </c>
      <c r="G2210" s="25" t="str">
        <f>IF(表1[[#This Row],[No Seri]]="","",表1[[#This Row],[Deskripsi Barang]]+表1[[#This Row],[Kuantitas]]-表1[[#This Row],[Satuan]])</f>
        <v/>
      </c>
      <c r="H2210" s="28"/>
      <c r="I2210" s="25" t="str">
        <f>IF(表1[[#This Row],[Tgl NPBG]]&gt;表1[[#This Row],[Peminta]],表1[[#This Row],[Tgl NPBG]]-表1[[#This Row],[Peminta]],"")</f>
        <v/>
      </c>
      <c r="J2210" s="31"/>
    </row>
    <row r="2211" s="12" customFormat="1" customHeight="1" spans="2:10">
      <c r="B2211" s="25"/>
      <c r="C2211" s="25"/>
      <c r="D2211" s="26" t="str" cm="1">
        <f t="array" ref="D2211">IF(C2211="","",IFERROR(INDEX(STPP!$D$6:$D$4207,MATCH(C2211,STPP!$C$6:$C$4207,0)),"Not Found"))</f>
        <v/>
      </c>
      <c r="E2211" s="27" t="str" cm="1">
        <f t="array" ref="E2211">IF(C2211="","",IFERROR(INDEX(STPP!$E$6:$E$4207,MATCH(C2211,STPP!$C$6:$C$4207,0)),"Not Found"))</f>
        <v/>
      </c>
      <c r="F2211" s="27" t="str" cm="1">
        <f t="array" ref="F2211">IF(C2211="","",IFERROR(INDEX(STPP!$F$6:$F$4207,MATCH(C2211,STPP!$C$6:$C$4207,0)),"Not Found"))</f>
        <v/>
      </c>
      <c r="G2211" s="25" t="str">
        <f>IF(表1[[#This Row],[No Seri]]="","",表1[[#This Row],[Deskripsi Barang]]+表1[[#This Row],[Kuantitas]]-表1[[#This Row],[Satuan]])</f>
        <v/>
      </c>
      <c r="H2211" s="28"/>
      <c r="I2211" s="25" t="str">
        <f>IF(表1[[#This Row],[Tgl NPBG]]&gt;表1[[#This Row],[Peminta]],表1[[#This Row],[Tgl NPBG]]-表1[[#This Row],[Peminta]],"")</f>
        <v/>
      </c>
      <c r="J2211" s="31"/>
    </row>
    <row r="2212" s="12" customFormat="1" customHeight="1" spans="2:10">
      <c r="B2212" s="25"/>
      <c r="C2212" s="25"/>
      <c r="D2212" s="26" t="str" cm="1">
        <f t="array" ref="D2212">IF(C2212="","",IFERROR(INDEX(STPP!$D$6:$D$4207,MATCH(C2212,STPP!$C$6:$C$4207,0)),"Not Found"))</f>
        <v/>
      </c>
      <c r="E2212" s="27" t="str" cm="1">
        <f t="array" ref="E2212">IF(C2212="","",IFERROR(INDEX(STPP!$E$6:$E$4207,MATCH(C2212,STPP!$C$6:$C$4207,0)),"Not Found"))</f>
        <v/>
      </c>
      <c r="F2212" s="27" t="str" cm="1">
        <f t="array" ref="F2212">IF(C2212="","",IFERROR(INDEX(STPP!$F$6:$F$4207,MATCH(C2212,STPP!$C$6:$C$4207,0)),"Not Found"))</f>
        <v/>
      </c>
      <c r="G2212" s="25" t="str">
        <f>IF(表1[[#This Row],[No Seri]]="","",表1[[#This Row],[Deskripsi Barang]]+表1[[#This Row],[Kuantitas]]-表1[[#This Row],[Satuan]])</f>
        <v/>
      </c>
      <c r="H2212" s="28"/>
      <c r="I2212" s="25" t="str">
        <f>IF(表1[[#This Row],[Tgl NPBG]]&gt;表1[[#This Row],[Peminta]],表1[[#This Row],[Tgl NPBG]]-表1[[#This Row],[Peminta]],"")</f>
        <v/>
      </c>
      <c r="J2212" s="31"/>
    </row>
    <row r="2213" s="12" customFormat="1" customHeight="1" spans="2:10">
      <c r="B2213" s="25"/>
      <c r="C2213" s="25"/>
      <c r="D2213" s="26" t="str" cm="1">
        <f t="array" ref="D2213">IF(C2213="","",IFERROR(INDEX(STPP!$D$6:$D$4207,MATCH(C2213,STPP!$C$6:$C$4207,0)),"Not Found"))</f>
        <v/>
      </c>
      <c r="E2213" s="27" t="str" cm="1">
        <f t="array" ref="E2213">IF(C2213="","",IFERROR(INDEX(STPP!$E$6:$E$4207,MATCH(C2213,STPP!$C$6:$C$4207,0)),"Not Found"))</f>
        <v/>
      </c>
      <c r="F2213" s="27" t="str" cm="1">
        <f t="array" ref="F2213">IF(C2213="","",IFERROR(INDEX(STPP!$F$6:$F$4207,MATCH(C2213,STPP!$C$6:$C$4207,0)),"Not Found"))</f>
        <v/>
      </c>
      <c r="G2213" s="25" t="str">
        <f>IF(表1[[#This Row],[No Seri]]="","",表1[[#This Row],[Deskripsi Barang]]+表1[[#This Row],[Kuantitas]]-表1[[#This Row],[Satuan]])</f>
        <v/>
      </c>
      <c r="H2213" s="28"/>
      <c r="I2213" s="25" t="str">
        <f>IF(表1[[#This Row],[Tgl NPBG]]&gt;表1[[#This Row],[Peminta]],表1[[#This Row],[Tgl NPBG]]-表1[[#This Row],[Peminta]],"")</f>
        <v/>
      </c>
      <c r="J2213" s="31"/>
    </row>
    <row r="2214" s="12" customFormat="1" customHeight="1" spans="2:10">
      <c r="B2214" s="25"/>
      <c r="C2214" s="25"/>
      <c r="D2214" s="26" t="str" cm="1">
        <f t="array" ref="D2214">IF(C2214="","",IFERROR(INDEX(STPP!$D$6:$D$4207,MATCH(C2214,STPP!$C$6:$C$4207,0)),"Not Found"))</f>
        <v/>
      </c>
      <c r="E2214" s="27" t="str" cm="1">
        <f t="array" ref="E2214">IF(C2214="","",IFERROR(INDEX(STPP!$E$6:$E$4207,MATCH(C2214,STPP!$C$6:$C$4207,0)),"Not Found"))</f>
        <v/>
      </c>
      <c r="F2214" s="27" t="str" cm="1">
        <f t="array" ref="F2214">IF(C2214="","",IFERROR(INDEX(STPP!$F$6:$F$4207,MATCH(C2214,STPP!$C$6:$C$4207,0)),"Not Found"))</f>
        <v/>
      </c>
      <c r="G2214" s="25" t="str">
        <f>IF(表1[[#This Row],[No Seri]]="","",表1[[#This Row],[Deskripsi Barang]]+表1[[#This Row],[Kuantitas]]-表1[[#This Row],[Satuan]])</f>
        <v/>
      </c>
      <c r="H2214" s="28"/>
      <c r="I2214" s="25" t="str">
        <f>IF(表1[[#This Row],[Tgl NPBG]]&gt;表1[[#This Row],[Peminta]],表1[[#This Row],[Tgl NPBG]]-表1[[#This Row],[Peminta]],"")</f>
        <v/>
      </c>
      <c r="J2214" s="31"/>
    </row>
    <row r="2215" s="12" customFormat="1" customHeight="1" spans="2:10">
      <c r="B2215" s="25"/>
      <c r="C2215" s="25"/>
      <c r="D2215" s="26" t="str" cm="1">
        <f t="array" ref="D2215">IF(C2215="","",IFERROR(INDEX(STPP!$D$6:$D$4207,MATCH(C2215,STPP!$C$6:$C$4207,0)),"Not Found"))</f>
        <v/>
      </c>
      <c r="E2215" s="27" t="str" cm="1">
        <f t="array" ref="E2215">IF(C2215="","",IFERROR(INDEX(STPP!$E$6:$E$4207,MATCH(C2215,STPP!$C$6:$C$4207,0)),"Not Found"))</f>
        <v/>
      </c>
      <c r="F2215" s="27" t="str" cm="1">
        <f t="array" ref="F2215">IF(C2215="","",IFERROR(INDEX(STPP!$F$6:$F$4207,MATCH(C2215,STPP!$C$6:$C$4207,0)),"Not Found"))</f>
        <v/>
      </c>
      <c r="G2215" s="25" t="str">
        <f>IF(表1[[#This Row],[No Seri]]="","",表1[[#This Row],[Deskripsi Barang]]+表1[[#This Row],[Kuantitas]]-表1[[#This Row],[Satuan]])</f>
        <v/>
      </c>
      <c r="H2215" s="28"/>
      <c r="I2215" s="25" t="str">
        <f>IF(表1[[#This Row],[Tgl NPBG]]&gt;表1[[#This Row],[Peminta]],表1[[#This Row],[Tgl NPBG]]-表1[[#This Row],[Peminta]],"")</f>
        <v/>
      </c>
      <c r="J2215" s="31"/>
    </row>
    <row r="2216" s="12" customFormat="1" customHeight="1" spans="2:10">
      <c r="B2216" s="25"/>
      <c r="C2216" s="25"/>
      <c r="D2216" s="26" t="str" cm="1">
        <f t="array" ref="D2216">IF(C2216="","",IFERROR(INDEX(STPP!$D$6:$D$4207,MATCH(C2216,STPP!$C$6:$C$4207,0)),"Not Found"))</f>
        <v/>
      </c>
      <c r="E2216" s="27" t="str" cm="1">
        <f t="array" ref="E2216">IF(C2216="","",IFERROR(INDEX(STPP!$E$6:$E$4207,MATCH(C2216,STPP!$C$6:$C$4207,0)),"Not Found"))</f>
        <v/>
      </c>
      <c r="F2216" s="27" t="str" cm="1">
        <f t="array" ref="F2216">IF(C2216="","",IFERROR(INDEX(STPP!$F$6:$F$4207,MATCH(C2216,STPP!$C$6:$C$4207,0)),"Not Found"))</f>
        <v/>
      </c>
      <c r="G2216" s="25" t="str">
        <f>IF(表1[[#This Row],[No Seri]]="","",表1[[#This Row],[Deskripsi Barang]]+表1[[#This Row],[Kuantitas]]-表1[[#This Row],[Satuan]])</f>
        <v/>
      </c>
      <c r="H2216" s="28"/>
      <c r="I2216" s="25" t="str">
        <f>IF(表1[[#This Row],[Tgl NPBG]]&gt;表1[[#This Row],[Peminta]],表1[[#This Row],[Tgl NPBG]]-表1[[#This Row],[Peminta]],"")</f>
        <v/>
      </c>
      <c r="J2216" s="31"/>
    </row>
    <row r="2217" s="12" customFormat="1" customHeight="1" spans="2:10">
      <c r="B2217" s="25"/>
      <c r="C2217" s="25"/>
      <c r="D2217" s="26" t="str" cm="1">
        <f t="array" ref="D2217">IF(C2217="","",IFERROR(INDEX(STPP!$D$6:$D$4207,MATCH(C2217,STPP!$C$6:$C$4207,0)),"Not Found"))</f>
        <v/>
      </c>
      <c r="E2217" s="27" t="str" cm="1">
        <f t="array" ref="E2217">IF(C2217="","",IFERROR(INDEX(STPP!$E$6:$E$4207,MATCH(C2217,STPP!$C$6:$C$4207,0)),"Not Found"))</f>
        <v/>
      </c>
      <c r="F2217" s="27" t="str" cm="1">
        <f t="array" ref="F2217">IF(C2217="","",IFERROR(INDEX(STPP!$F$6:$F$4207,MATCH(C2217,STPP!$C$6:$C$4207,0)),"Not Found"))</f>
        <v/>
      </c>
      <c r="G2217" s="25" t="str">
        <f>IF(表1[[#This Row],[No Seri]]="","",表1[[#This Row],[Deskripsi Barang]]+表1[[#This Row],[Kuantitas]]-表1[[#This Row],[Satuan]])</f>
        <v/>
      </c>
      <c r="H2217" s="28"/>
      <c r="I2217" s="25" t="str">
        <f>IF(表1[[#This Row],[Tgl NPBG]]&gt;表1[[#This Row],[Peminta]],表1[[#This Row],[Tgl NPBG]]-表1[[#This Row],[Peminta]],"")</f>
        <v/>
      </c>
      <c r="J2217" s="31"/>
    </row>
    <row r="2218" s="12" customFormat="1" customHeight="1" spans="2:10">
      <c r="B2218" s="25"/>
      <c r="C2218" s="25"/>
      <c r="D2218" s="26" t="str" cm="1">
        <f t="array" ref="D2218">IF(C2218="","",IFERROR(INDEX(STPP!$D$6:$D$4207,MATCH(C2218,STPP!$C$6:$C$4207,0)),"Not Found"))</f>
        <v/>
      </c>
      <c r="E2218" s="27" t="str" cm="1">
        <f t="array" ref="E2218">IF(C2218="","",IFERROR(INDEX(STPP!$E$6:$E$4207,MATCH(C2218,STPP!$C$6:$C$4207,0)),"Not Found"))</f>
        <v/>
      </c>
      <c r="F2218" s="27" t="str" cm="1">
        <f t="array" ref="F2218">IF(C2218="","",IFERROR(INDEX(STPP!$F$6:$F$4207,MATCH(C2218,STPP!$C$6:$C$4207,0)),"Not Found"))</f>
        <v/>
      </c>
      <c r="G2218" s="25" t="str">
        <f>IF(表1[[#This Row],[No Seri]]="","",表1[[#This Row],[Deskripsi Barang]]+表1[[#This Row],[Kuantitas]]-表1[[#This Row],[Satuan]])</f>
        <v/>
      </c>
      <c r="H2218" s="28"/>
      <c r="I2218" s="25" t="str">
        <f>IF(表1[[#This Row],[Tgl NPBG]]&gt;表1[[#This Row],[Peminta]],表1[[#This Row],[Tgl NPBG]]-表1[[#This Row],[Peminta]],"")</f>
        <v/>
      </c>
      <c r="J2218" s="31"/>
    </row>
    <row r="2219" s="12" customFormat="1" customHeight="1" spans="2:10">
      <c r="B2219" s="25"/>
      <c r="C2219" s="25"/>
      <c r="D2219" s="26" t="str" cm="1">
        <f t="array" ref="D2219">IF(C2219="","",IFERROR(INDEX(STPP!$D$6:$D$4207,MATCH(C2219,STPP!$C$6:$C$4207,0)),"Not Found"))</f>
        <v/>
      </c>
      <c r="E2219" s="27" t="str" cm="1">
        <f t="array" ref="E2219">IF(C2219="","",IFERROR(INDEX(STPP!$E$6:$E$4207,MATCH(C2219,STPP!$C$6:$C$4207,0)),"Not Found"))</f>
        <v/>
      </c>
      <c r="F2219" s="27" t="str" cm="1">
        <f t="array" ref="F2219">IF(C2219="","",IFERROR(INDEX(STPP!$F$6:$F$4207,MATCH(C2219,STPP!$C$6:$C$4207,0)),"Not Found"))</f>
        <v/>
      </c>
      <c r="G2219" s="25" t="str">
        <f>IF(表1[[#This Row],[No Seri]]="","",表1[[#This Row],[Deskripsi Barang]]+表1[[#This Row],[Kuantitas]]-表1[[#This Row],[Satuan]])</f>
        <v/>
      </c>
      <c r="H2219" s="28"/>
      <c r="I2219" s="25" t="str">
        <f>IF(表1[[#This Row],[Tgl NPBG]]&gt;表1[[#This Row],[Peminta]],表1[[#This Row],[Tgl NPBG]]-表1[[#This Row],[Peminta]],"")</f>
        <v/>
      </c>
      <c r="J2219" s="31"/>
    </row>
    <row r="2220" s="12" customFormat="1" customHeight="1" spans="2:10">
      <c r="B2220" s="25"/>
      <c r="C2220" s="25"/>
      <c r="D2220" s="26" t="str" cm="1">
        <f t="array" ref="D2220">IF(C2220="","",IFERROR(INDEX(STPP!$D$6:$D$4207,MATCH(C2220,STPP!$C$6:$C$4207,0)),"Not Found"))</f>
        <v/>
      </c>
      <c r="E2220" s="27" t="str" cm="1">
        <f t="array" ref="E2220">IF(C2220="","",IFERROR(INDEX(STPP!$E$6:$E$4207,MATCH(C2220,STPP!$C$6:$C$4207,0)),"Not Found"))</f>
        <v/>
      </c>
      <c r="F2220" s="27" t="str" cm="1">
        <f t="array" ref="F2220">IF(C2220="","",IFERROR(INDEX(STPP!$F$6:$F$4207,MATCH(C2220,STPP!$C$6:$C$4207,0)),"Not Found"))</f>
        <v/>
      </c>
      <c r="G2220" s="25" t="str">
        <f>IF(表1[[#This Row],[No Seri]]="","",表1[[#This Row],[Deskripsi Barang]]+表1[[#This Row],[Kuantitas]]-表1[[#This Row],[Satuan]])</f>
        <v/>
      </c>
      <c r="H2220" s="28"/>
      <c r="I2220" s="25" t="str">
        <f>IF(表1[[#This Row],[Tgl NPBG]]&gt;表1[[#This Row],[Peminta]],表1[[#This Row],[Tgl NPBG]]-表1[[#This Row],[Peminta]],"")</f>
        <v/>
      </c>
      <c r="J2220" s="31"/>
    </row>
    <row r="2221" s="12" customFormat="1" customHeight="1" spans="2:10">
      <c r="B2221" s="25"/>
      <c r="C2221" s="25"/>
      <c r="D2221" s="26" t="str" cm="1">
        <f t="array" ref="D2221">IF(C2221="","",IFERROR(INDEX(STPP!$D$6:$D$4207,MATCH(C2221,STPP!$C$6:$C$4207,0)),"Not Found"))</f>
        <v/>
      </c>
      <c r="E2221" s="27" t="str" cm="1">
        <f t="array" ref="E2221">IF(C2221="","",IFERROR(INDEX(STPP!$E$6:$E$4207,MATCH(C2221,STPP!$C$6:$C$4207,0)),"Not Found"))</f>
        <v/>
      </c>
      <c r="F2221" s="27" t="str" cm="1">
        <f t="array" ref="F2221">IF(C2221="","",IFERROR(INDEX(STPP!$F$6:$F$4207,MATCH(C2221,STPP!$C$6:$C$4207,0)),"Not Found"))</f>
        <v/>
      </c>
      <c r="G2221" s="25" t="str">
        <f>IF(表1[[#This Row],[No Seri]]="","",表1[[#This Row],[Deskripsi Barang]]+表1[[#This Row],[Kuantitas]]-表1[[#This Row],[Satuan]])</f>
        <v/>
      </c>
      <c r="H2221" s="28"/>
      <c r="I2221" s="25" t="str">
        <f>IF(表1[[#This Row],[Tgl NPBG]]&gt;表1[[#This Row],[Peminta]],表1[[#This Row],[Tgl NPBG]]-表1[[#This Row],[Peminta]],"")</f>
        <v/>
      </c>
      <c r="J2221" s="31"/>
    </row>
    <row r="2222" s="12" customFormat="1" customHeight="1" spans="2:10">
      <c r="B2222" s="25"/>
      <c r="C2222" s="25"/>
      <c r="D2222" s="26" t="str" cm="1">
        <f t="array" ref="D2222">IF(C2222="","",IFERROR(INDEX(STPP!$D$6:$D$4207,MATCH(C2222,STPP!$C$6:$C$4207,0)),"Not Found"))</f>
        <v/>
      </c>
      <c r="E2222" s="27" t="str" cm="1">
        <f t="array" ref="E2222">IF(C2222="","",IFERROR(INDEX(STPP!$E$6:$E$4207,MATCH(C2222,STPP!$C$6:$C$4207,0)),"Not Found"))</f>
        <v/>
      </c>
      <c r="F2222" s="27" t="str" cm="1">
        <f t="array" ref="F2222">IF(C2222="","",IFERROR(INDEX(STPP!$F$6:$F$4207,MATCH(C2222,STPP!$C$6:$C$4207,0)),"Not Found"))</f>
        <v/>
      </c>
      <c r="G2222" s="25" t="str">
        <f>IF(表1[[#This Row],[No Seri]]="","",表1[[#This Row],[Deskripsi Barang]]+表1[[#This Row],[Kuantitas]]-表1[[#This Row],[Satuan]])</f>
        <v/>
      </c>
      <c r="H2222" s="28"/>
      <c r="I2222" s="25" t="str">
        <f>IF(表1[[#This Row],[Tgl NPBG]]&gt;表1[[#This Row],[Peminta]],表1[[#This Row],[Tgl NPBG]]-表1[[#This Row],[Peminta]],"")</f>
        <v/>
      </c>
      <c r="J2222" s="31"/>
    </row>
    <row r="2223" s="12" customFormat="1" customHeight="1" spans="2:10">
      <c r="B2223" s="25"/>
      <c r="C2223" s="25"/>
      <c r="D2223" s="26" t="str" cm="1">
        <f t="array" ref="D2223">IF(C2223="","",IFERROR(INDEX(STPP!$D$6:$D$4207,MATCH(C2223,STPP!$C$6:$C$4207,0)),"Not Found"))</f>
        <v/>
      </c>
      <c r="E2223" s="27" t="str" cm="1">
        <f t="array" ref="E2223">IF(C2223="","",IFERROR(INDEX(STPP!$E$6:$E$4207,MATCH(C2223,STPP!$C$6:$C$4207,0)),"Not Found"))</f>
        <v/>
      </c>
      <c r="F2223" s="27" t="str" cm="1">
        <f t="array" ref="F2223">IF(C2223="","",IFERROR(INDEX(STPP!$F$6:$F$4207,MATCH(C2223,STPP!$C$6:$C$4207,0)),"Not Found"))</f>
        <v/>
      </c>
      <c r="G2223" s="25" t="str">
        <f>IF(表1[[#This Row],[No Seri]]="","",表1[[#This Row],[Deskripsi Barang]]+表1[[#This Row],[Kuantitas]]-表1[[#This Row],[Satuan]])</f>
        <v/>
      </c>
      <c r="H2223" s="28"/>
      <c r="I2223" s="25" t="str">
        <f>IF(表1[[#This Row],[Tgl NPBG]]&gt;表1[[#This Row],[Peminta]],表1[[#This Row],[Tgl NPBG]]-表1[[#This Row],[Peminta]],"")</f>
        <v/>
      </c>
      <c r="J2223" s="31"/>
    </row>
    <row r="2224" s="12" customFormat="1" customHeight="1" spans="2:10">
      <c r="B2224" s="25"/>
      <c r="C2224" s="25"/>
      <c r="D2224" s="26" t="str" cm="1">
        <f t="array" ref="D2224">IF(C2224="","",IFERROR(INDEX(STPP!$D$6:$D$4207,MATCH(C2224,STPP!$C$6:$C$4207,0)),"Not Found"))</f>
        <v/>
      </c>
      <c r="E2224" s="27" t="str" cm="1">
        <f t="array" ref="E2224">IF(C2224="","",IFERROR(INDEX(STPP!$E$6:$E$4207,MATCH(C2224,STPP!$C$6:$C$4207,0)),"Not Found"))</f>
        <v/>
      </c>
      <c r="F2224" s="27" t="str" cm="1">
        <f t="array" ref="F2224">IF(C2224="","",IFERROR(INDEX(STPP!$F$6:$F$4207,MATCH(C2224,STPP!$C$6:$C$4207,0)),"Not Found"))</f>
        <v/>
      </c>
      <c r="G2224" s="25" t="str">
        <f>IF(表1[[#This Row],[No Seri]]="","",表1[[#This Row],[Deskripsi Barang]]+表1[[#This Row],[Kuantitas]]-表1[[#This Row],[Satuan]])</f>
        <v/>
      </c>
      <c r="H2224" s="28"/>
      <c r="I2224" s="25" t="str">
        <f>IF(表1[[#This Row],[Tgl NPBG]]&gt;表1[[#This Row],[Peminta]],表1[[#This Row],[Tgl NPBG]]-表1[[#This Row],[Peminta]],"")</f>
        <v/>
      </c>
      <c r="J2224" s="31"/>
    </row>
    <row r="2225" s="12" customFormat="1" customHeight="1" spans="2:10">
      <c r="B2225" s="25"/>
      <c r="C2225" s="25"/>
      <c r="D2225" s="26" t="str" cm="1">
        <f t="array" ref="D2225">IF(C2225="","",IFERROR(INDEX(STPP!$D$6:$D$4207,MATCH(C2225,STPP!$C$6:$C$4207,0)),"Not Found"))</f>
        <v/>
      </c>
      <c r="E2225" s="27" t="str" cm="1">
        <f t="array" ref="E2225">IF(C2225="","",IFERROR(INDEX(STPP!$E$6:$E$4207,MATCH(C2225,STPP!$C$6:$C$4207,0)),"Not Found"))</f>
        <v/>
      </c>
      <c r="F2225" s="27" t="str" cm="1">
        <f t="array" ref="F2225">IF(C2225="","",IFERROR(INDEX(STPP!$F$6:$F$4207,MATCH(C2225,STPP!$C$6:$C$4207,0)),"Not Found"))</f>
        <v/>
      </c>
      <c r="G2225" s="25" t="str">
        <f>IF(表1[[#This Row],[No Seri]]="","",表1[[#This Row],[Deskripsi Barang]]+表1[[#This Row],[Kuantitas]]-表1[[#This Row],[Satuan]])</f>
        <v/>
      </c>
      <c r="H2225" s="28"/>
      <c r="I2225" s="25" t="str">
        <f>IF(表1[[#This Row],[Tgl NPBG]]&gt;表1[[#This Row],[Peminta]],表1[[#This Row],[Tgl NPBG]]-表1[[#This Row],[Peminta]],"")</f>
        <v/>
      </c>
      <c r="J2225" s="31"/>
    </row>
    <row r="2226" s="12" customFormat="1" customHeight="1" spans="2:10">
      <c r="B2226" s="25"/>
      <c r="C2226" s="25"/>
      <c r="D2226" s="26" t="str" cm="1">
        <f t="array" ref="D2226">IF(C2226="","",IFERROR(INDEX(STPP!$D$6:$D$4207,MATCH(C2226,STPP!$C$6:$C$4207,0)),"Not Found"))</f>
        <v/>
      </c>
      <c r="E2226" s="27" t="str" cm="1">
        <f t="array" ref="E2226">IF(C2226="","",IFERROR(INDEX(STPP!$E$6:$E$4207,MATCH(C2226,STPP!$C$6:$C$4207,0)),"Not Found"))</f>
        <v/>
      </c>
      <c r="F2226" s="27" t="str" cm="1">
        <f t="array" ref="F2226">IF(C2226="","",IFERROR(INDEX(STPP!$F$6:$F$4207,MATCH(C2226,STPP!$C$6:$C$4207,0)),"Not Found"))</f>
        <v/>
      </c>
      <c r="G2226" s="25" t="str">
        <f>IF(表1[[#This Row],[No Seri]]="","",表1[[#This Row],[Deskripsi Barang]]+表1[[#This Row],[Kuantitas]]-表1[[#This Row],[Satuan]])</f>
        <v/>
      </c>
      <c r="H2226" s="28"/>
      <c r="I2226" s="25" t="str">
        <f>IF(表1[[#This Row],[Tgl NPBG]]&gt;表1[[#This Row],[Peminta]],表1[[#This Row],[Tgl NPBG]]-表1[[#This Row],[Peminta]],"")</f>
        <v/>
      </c>
      <c r="J2226" s="31"/>
    </row>
    <row r="2227" s="12" customFormat="1" customHeight="1" spans="2:10">
      <c r="B2227" s="25"/>
      <c r="C2227" s="25"/>
      <c r="D2227" s="26" t="str" cm="1">
        <f t="array" ref="D2227">IF(C2227="","",IFERROR(INDEX(STPP!$D$6:$D$4207,MATCH(C2227,STPP!$C$6:$C$4207,0)),"Not Found"))</f>
        <v/>
      </c>
      <c r="E2227" s="27" t="str" cm="1">
        <f t="array" ref="E2227">IF(C2227="","",IFERROR(INDEX(STPP!$E$6:$E$4207,MATCH(C2227,STPP!$C$6:$C$4207,0)),"Not Found"))</f>
        <v/>
      </c>
      <c r="F2227" s="27" t="str" cm="1">
        <f t="array" ref="F2227">IF(C2227="","",IFERROR(INDEX(STPP!$F$6:$F$4207,MATCH(C2227,STPP!$C$6:$C$4207,0)),"Not Found"))</f>
        <v/>
      </c>
      <c r="G2227" s="25" t="str">
        <f>IF(表1[[#This Row],[No Seri]]="","",表1[[#This Row],[Deskripsi Barang]]+表1[[#This Row],[Kuantitas]]-表1[[#This Row],[Satuan]])</f>
        <v/>
      </c>
      <c r="H2227" s="28"/>
      <c r="I2227" s="25" t="str">
        <f>IF(表1[[#This Row],[Tgl NPBG]]&gt;表1[[#This Row],[Peminta]],表1[[#This Row],[Tgl NPBG]]-表1[[#This Row],[Peminta]],"")</f>
        <v/>
      </c>
      <c r="J2227" s="31"/>
    </row>
    <row r="2228" s="12" customFormat="1" customHeight="1" spans="2:10">
      <c r="B2228" s="25"/>
      <c r="C2228" s="25"/>
      <c r="D2228" s="26" t="str" cm="1">
        <f t="array" ref="D2228">IF(C2228="","",IFERROR(INDEX(STPP!$D$6:$D$4207,MATCH(C2228,STPP!$C$6:$C$4207,0)),"Not Found"))</f>
        <v/>
      </c>
      <c r="E2228" s="27" t="str" cm="1">
        <f t="array" ref="E2228">IF(C2228="","",IFERROR(INDEX(STPP!$E$6:$E$4207,MATCH(C2228,STPP!$C$6:$C$4207,0)),"Not Found"))</f>
        <v/>
      </c>
      <c r="F2228" s="27" t="str" cm="1">
        <f t="array" ref="F2228">IF(C2228="","",IFERROR(INDEX(STPP!$F$6:$F$4207,MATCH(C2228,STPP!$C$6:$C$4207,0)),"Not Found"))</f>
        <v/>
      </c>
      <c r="G2228" s="25" t="str">
        <f>IF(表1[[#This Row],[No Seri]]="","",表1[[#This Row],[Deskripsi Barang]]+表1[[#This Row],[Kuantitas]]-表1[[#This Row],[Satuan]])</f>
        <v/>
      </c>
      <c r="H2228" s="28"/>
      <c r="I2228" s="25" t="str">
        <f>IF(表1[[#This Row],[Tgl NPBG]]&gt;表1[[#This Row],[Peminta]],表1[[#This Row],[Tgl NPBG]]-表1[[#This Row],[Peminta]],"")</f>
        <v/>
      </c>
      <c r="J2228" s="31"/>
    </row>
    <row r="2229" s="12" customFormat="1" customHeight="1" spans="2:10">
      <c r="B2229" s="25"/>
      <c r="C2229" s="25"/>
      <c r="D2229" s="26" t="str" cm="1">
        <f t="array" ref="D2229">IF(C2229="","",IFERROR(INDEX(STPP!$D$6:$D$4207,MATCH(C2229,STPP!$C$6:$C$4207,0)),"Not Found"))</f>
        <v/>
      </c>
      <c r="E2229" s="27" t="str" cm="1">
        <f t="array" ref="E2229">IF(C2229="","",IFERROR(INDEX(STPP!$E$6:$E$4207,MATCH(C2229,STPP!$C$6:$C$4207,0)),"Not Found"))</f>
        <v/>
      </c>
      <c r="F2229" s="27" t="str" cm="1">
        <f t="array" ref="F2229">IF(C2229="","",IFERROR(INDEX(STPP!$F$6:$F$4207,MATCH(C2229,STPP!$C$6:$C$4207,0)),"Not Found"))</f>
        <v/>
      </c>
      <c r="G2229" s="25" t="str">
        <f>IF(表1[[#This Row],[No Seri]]="","",表1[[#This Row],[Deskripsi Barang]]+表1[[#This Row],[Kuantitas]]-表1[[#This Row],[Satuan]])</f>
        <v/>
      </c>
      <c r="H2229" s="28"/>
      <c r="I2229" s="25" t="str">
        <f>IF(表1[[#This Row],[Tgl NPBG]]&gt;表1[[#This Row],[Peminta]],表1[[#This Row],[Tgl NPBG]]-表1[[#This Row],[Peminta]],"")</f>
        <v/>
      </c>
      <c r="J2229" s="31"/>
    </row>
    <row r="2230" s="12" customFormat="1" customHeight="1" spans="2:10">
      <c r="B2230" s="25"/>
      <c r="C2230" s="25"/>
      <c r="D2230" s="26" t="str" cm="1">
        <f t="array" ref="D2230">IF(C2230="","",IFERROR(INDEX(STPP!$D$6:$D$4207,MATCH(C2230,STPP!$C$6:$C$4207,0)),"Not Found"))</f>
        <v/>
      </c>
      <c r="E2230" s="27" t="str" cm="1">
        <f t="array" ref="E2230">IF(C2230="","",IFERROR(INDEX(STPP!$E$6:$E$4207,MATCH(C2230,STPP!$C$6:$C$4207,0)),"Not Found"))</f>
        <v/>
      </c>
      <c r="F2230" s="27" t="str" cm="1">
        <f t="array" ref="F2230">IF(C2230="","",IFERROR(INDEX(STPP!$F$6:$F$4207,MATCH(C2230,STPP!$C$6:$C$4207,0)),"Not Found"))</f>
        <v/>
      </c>
      <c r="G2230" s="25" t="str">
        <f>IF(表1[[#This Row],[No Seri]]="","",表1[[#This Row],[Deskripsi Barang]]+表1[[#This Row],[Kuantitas]]-表1[[#This Row],[Satuan]])</f>
        <v/>
      </c>
      <c r="H2230" s="28"/>
      <c r="I2230" s="25" t="str">
        <f>IF(表1[[#This Row],[Tgl NPBG]]&gt;表1[[#This Row],[Peminta]],表1[[#This Row],[Tgl NPBG]]-表1[[#This Row],[Peminta]],"")</f>
        <v/>
      </c>
      <c r="J2230" s="31"/>
    </row>
    <row r="2231" s="12" customFormat="1" customHeight="1" spans="2:10">
      <c r="B2231" s="25"/>
      <c r="C2231" s="25"/>
      <c r="D2231" s="26" t="str" cm="1">
        <f t="array" ref="D2231">IF(C2231="","",IFERROR(INDEX(STPP!$D$6:$D$4207,MATCH(C2231,STPP!$C$6:$C$4207,0)),"Not Found"))</f>
        <v/>
      </c>
      <c r="E2231" s="27" t="str" cm="1">
        <f t="array" ref="E2231">IF(C2231="","",IFERROR(INDEX(STPP!$E$6:$E$4207,MATCH(C2231,STPP!$C$6:$C$4207,0)),"Not Found"))</f>
        <v/>
      </c>
      <c r="F2231" s="27" t="str" cm="1">
        <f t="array" ref="F2231">IF(C2231="","",IFERROR(INDEX(STPP!$F$6:$F$4207,MATCH(C2231,STPP!$C$6:$C$4207,0)),"Not Found"))</f>
        <v/>
      </c>
      <c r="G2231" s="25" t="str">
        <f>IF(表1[[#This Row],[No Seri]]="","",表1[[#This Row],[Deskripsi Barang]]+表1[[#This Row],[Kuantitas]]-表1[[#This Row],[Satuan]])</f>
        <v/>
      </c>
      <c r="H2231" s="28"/>
      <c r="I2231" s="25" t="str">
        <f>IF(表1[[#This Row],[Tgl NPBG]]&gt;表1[[#This Row],[Peminta]],表1[[#This Row],[Tgl NPBG]]-表1[[#This Row],[Peminta]],"")</f>
        <v/>
      </c>
      <c r="J2231" s="31"/>
    </row>
    <row r="2232" s="12" customFormat="1" customHeight="1" spans="2:10">
      <c r="B2232" s="25"/>
      <c r="C2232" s="25"/>
      <c r="D2232" s="26" t="str" cm="1">
        <f t="array" ref="D2232">IF(C2232="","",IFERROR(INDEX(STPP!$D$6:$D$4207,MATCH(C2232,STPP!$C$6:$C$4207,0)),"Not Found"))</f>
        <v/>
      </c>
      <c r="E2232" s="27" t="str" cm="1">
        <f t="array" ref="E2232">IF(C2232="","",IFERROR(INDEX(STPP!$E$6:$E$4207,MATCH(C2232,STPP!$C$6:$C$4207,0)),"Not Found"))</f>
        <v/>
      </c>
      <c r="F2232" s="27" t="str" cm="1">
        <f t="array" ref="F2232">IF(C2232="","",IFERROR(INDEX(STPP!$F$6:$F$4207,MATCH(C2232,STPP!$C$6:$C$4207,0)),"Not Found"))</f>
        <v/>
      </c>
      <c r="G2232" s="25" t="str">
        <f>IF(表1[[#This Row],[No Seri]]="","",表1[[#This Row],[Deskripsi Barang]]+表1[[#This Row],[Kuantitas]]-表1[[#This Row],[Satuan]])</f>
        <v/>
      </c>
      <c r="H2232" s="28"/>
      <c r="I2232" s="25" t="str">
        <f>IF(表1[[#This Row],[Tgl NPBG]]&gt;表1[[#This Row],[Peminta]],表1[[#This Row],[Tgl NPBG]]-表1[[#This Row],[Peminta]],"")</f>
        <v/>
      </c>
      <c r="J2232" s="31"/>
    </row>
    <row r="2233" s="12" customFormat="1" customHeight="1" spans="2:10">
      <c r="B2233" s="25"/>
      <c r="C2233" s="25"/>
      <c r="D2233" s="26" t="str" cm="1">
        <f t="array" ref="D2233">IF(C2233="","",IFERROR(INDEX(STPP!$D$6:$D$4207,MATCH(C2233,STPP!$C$6:$C$4207,0)),"Not Found"))</f>
        <v/>
      </c>
      <c r="E2233" s="27" t="str" cm="1">
        <f t="array" ref="E2233">IF(C2233="","",IFERROR(INDEX(STPP!$E$6:$E$4207,MATCH(C2233,STPP!$C$6:$C$4207,0)),"Not Found"))</f>
        <v/>
      </c>
      <c r="F2233" s="27" t="str" cm="1">
        <f t="array" ref="F2233">IF(C2233="","",IFERROR(INDEX(STPP!$F$6:$F$4207,MATCH(C2233,STPP!$C$6:$C$4207,0)),"Not Found"))</f>
        <v/>
      </c>
      <c r="G2233" s="25" t="str">
        <f>IF(表1[[#This Row],[No Seri]]="","",表1[[#This Row],[Deskripsi Barang]]+表1[[#This Row],[Kuantitas]]-表1[[#This Row],[Satuan]])</f>
        <v/>
      </c>
      <c r="H2233" s="28"/>
      <c r="I2233" s="25" t="str">
        <f>IF(表1[[#This Row],[Tgl NPBG]]&gt;表1[[#This Row],[Peminta]],表1[[#This Row],[Tgl NPBG]]-表1[[#This Row],[Peminta]],"")</f>
        <v/>
      </c>
      <c r="J2233" s="31"/>
    </row>
    <row r="2234" s="12" customFormat="1" customHeight="1" spans="2:10">
      <c r="B2234" s="25"/>
      <c r="C2234" s="25"/>
      <c r="D2234" s="26" t="str" cm="1">
        <f t="array" ref="D2234">IF(C2234="","",IFERROR(INDEX(STPP!$D$6:$D$4207,MATCH(C2234,STPP!$C$6:$C$4207,0)),"Not Found"))</f>
        <v/>
      </c>
      <c r="E2234" s="27" t="str" cm="1">
        <f t="array" ref="E2234">IF(C2234="","",IFERROR(INDEX(STPP!$E$6:$E$4207,MATCH(C2234,STPP!$C$6:$C$4207,0)),"Not Found"))</f>
        <v/>
      </c>
      <c r="F2234" s="27" t="str" cm="1">
        <f t="array" ref="F2234">IF(C2234="","",IFERROR(INDEX(STPP!$F$6:$F$4207,MATCH(C2234,STPP!$C$6:$C$4207,0)),"Not Found"))</f>
        <v/>
      </c>
      <c r="G2234" s="25" t="str">
        <f>IF(表1[[#This Row],[No Seri]]="","",表1[[#This Row],[Deskripsi Barang]]+表1[[#This Row],[Kuantitas]]-表1[[#This Row],[Satuan]])</f>
        <v/>
      </c>
      <c r="H2234" s="28"/>
      <c r="I2234" s="25" t="str">
        <f>IF(表1[[#This Row],[Tgl NPBG]]&gt;表1[[#This Row],[Peminta]],表1[[#This Row],[Tgl NPBG]]-表1[[#This Row],[Peminta]],"")</f>
        <v/>
      </c>
      <c r="J2234" s="31"/>
    </row>
    <row r="2235" s="12" customFormat="1" customHeight="1" spans="2:10">
      <c r="B2235" s="25"/>
      <c r="C2235" s="25"/>
      <c r="D2235" s="26" t="str" cm="1">
        <f t="array" ref="D2235">IF(C2235="","",IFERROR(INDEX(STPP!$D$6:$D$4207,MATCH(C2235,STPP!$C$6:$C$4207,0)),"Not Found"))</f>
        <v/>
      </c>
      <c r="E2235" s="27" t="str" cm="1">
        <f t="array" ref="E2235">IF(C2235="","",IFERROR(INDEX(STPP!$E$6:$E$4207,MATCH(C2235,STPP!$C$6:$C$4207,0)),"Not Found"))</f>
        <v/>
      </c>
      <c r="F2235" s="27" t="str" cm="1">
        <f t="array" ref="F2235">IF(C2235="","",IFERROR(INDEX(STPP!$F$6:$F$4207,MATCH(C2235,STPP!$C$6:$C$4207,0)),"Not Found"))</f>
        <v/>
      </c>
      <c r="G2235" s="25" t="str">
        <f>IF(表1[[#This Row],[No Seri]]="","",表1[[#This Row],[Deskripsi Barang]]+表1[[#This Row],[Kuantitas]]-表1[[#This Row],[Satuan]])</f>
        <v/>
      </c>
      <c r="H2235" s="28"/>
      <c r="I2235" s="25" t="str">
        <f>IF(表1[[#This Row],[Tgl NPBG]]&gt;表1[[#This Row],[Peminta]],表1[[#This Row],[Tgl NPBG]]-表1[[#This Row],[Peminta]],"")</f>
        <v/>
      </c>
      <c r="J2235" s="31"/>
    </row>
    <row r="2236" s="12" customFormat="1" customHeight="1" spans="2:10">
      <c r="B2236" s="25"/>
      <c r="C2236" s="25"/>
      <c r="D2236" s="26" t="str" cm="1">
        <f t="array" ref="D2236">IF(C2236="","",IFERROR(INDEX(STPP!$D$6:$D$4207,MATCH(C2236,STPP!$C$6:$C$4207,0)),"Not Found"))</f>
        <v/>
      </c>
      <c r="E2236" s="27" t="str" cm="1">
        <f t="array" ref="E2236">IF(C2236="","",IFERROR(INDEX(STPP!$E$6:$E$4207,MATCH(C2236,STPP!$C$6:$C$4207,0)),"Not Found"))</f>
        <v/>
      </c>
      <c r="F2236" s="27" t="str" cm="1">
        <f t="array" ref="F2236">IF(C2236="","",IFERROR(INDEX(STPP!$F$6:$F$4207,MATCH(C2236,STPP!$C$6:$C$4207,0)),"Not Found"))</f>
        <v/>
      </c>
      <c r="G2236" s="25" t="str">
        <f>IF(表1[[#This Row],[No Seri]]="","",表1[[#This Row],[Deskripsi Barang]]+表1[[#This Row],[Kuantitas]]-表1[[#This Row],[Satuan]])</f>
        <v/>
      </c>
      <c r="H2236" s="28"/>
      <c r="I2236" s="25" t="str">
        <f>IF(表1[[#This Row],[Tgl NPBG]]&gt;表1[[#This Row],[Peminta]],表1[[#This Row],[Tgl NPBG]]-表1[[#This Row],[Peminta]],"")</f>
        <v/>
      </c>
      <c r="J2236" s="31"/>
    </row>
    <row r="2237" s="12" customFormat="1" customHeight="1" spans="2:10">
      <c r="B2237" s="25"/>
      <c r="C2237" s="25"/>
      <c r="D2237" s="26" t="str" cm="1">
        <f t="array" ref="D2237">IF(C2237="","",IFERROR(INDEX(STPP!$D$6:$D$4207,MATCH(C2237,STPP!$C$6:$C$4207,0)),"Not Found"))</f>
        <v/>
      </c>
      <c r="E2237" s="27" t="str" cm="1">
        <f t="array" ref="E2237">IF(C2237="","",IFERROR(INDEX(STPP!$E$6:$E$4207,MATCH(C2237,STPP!$C$6:$C$4207,0)),"Not Found"))</f>
        <v/>
      </c>
      <c r="F2237" s="27" t="str" cm="1">
        <f t="array" ref="F2237">IF(C2237="","",IFERROR(INDEX(STPP!$F$6:$F$4207,MATCH(C2237,STPP!$C$6:$C$4207,0)),"Not Found"))</f>
        <v/>
      </c>
      <c r="G2237" s="25" t="str">
        <f>IF(表1[[#This Row],[No Seri]]="","",表1[[#This Row],[Deskripsi Barang]]+表1[[#This Row],[Kuantitas]]-表1[[#This Row],[Satuan]])</f>
        <v/>
      </c>
      <c r="H2237" s="28"/>
      <c r="I2237" s="25" t="str">
        <f>IF(表1[[#This Row],[Tgl NPBG]]&gt;表1[[#This Row],[Peminta]],表1[[#This Row],[Tgl NPBG]]-表1[[#This Row],[Peminta]],"")</f>
        <v/>
      </c>
      <c r="J2237" s="31"/>
    </row>
    <row r="2238" s="12" customFormat="1" customHeight="1" spans="2:10">
      <c r="B2238" s="25"/>
      <c r="C2238" s="25"/>
      <c r="D2238" s="26" t="str" cm="1">
        <f t="array" ref="D2238">IF(C2238="","",IFERROR(INDEX(STPP!$D$6:$D$4207,MATCH(C2238,STPP!$C$6:$C$4207,0)),"Not Found"))</f>
        <v/>
      </c>
      <c r="E2238" s="27" t="str" cm="1">
        <f t="array" ref="E2238">IF(C2238="","",IFERROR(INDEX(STPP!$E$6:$E$4207,MATCH(C2238,STPP!$C$6:$C$4207,0)),"Not Found"))</f>
        <v/>
      </c>
      <c r="F2238" s="27" t="str" cm="1">
        <f t="array" ref="F2238">IF(C2238="","",IFERROR(INDEX(STPP!$F$6:$F$4207,MATCH(C2238,STPP!$C$6:$C$4207,0)),"Not Found"))</f>
        <v/>
      </c>
      <c r="G2238" s="25" t="str">
        <f>IF(表1[[#This Row],[No Seri]]="","",表1[[#This Row],[Deskripsi Barang]]+表1[[#This Row],[Kuantitas]]-表1[[#This Row],[Satuan]])</f>
        <v/>
      </c>
      <c r="H2238" s="28"/>
      <c r="I2238" s="25" t="str">
        <f>IF(表1[[#This Row],[Tgl NPBG]]&gt;表1[[#This Row],[Peminta]],表1[[#This Row],[Tgl NPBG]]-表1[[#This Row],[Peminta]],"")</f>
        <v/>
      </c>
      <c r="J2238" s="31"/>
    </row>
    <row r="2239" s="12" customFormat="1" customHeight="1" spans="2:10">
      <c r="B2239" s="25"/>
      <c r="C2239" s="25"/>
      <c r="D2239" s="26" t="str" cm="1">
        <f t="array" ref="D2239">IF(C2239="","",IFERROR(INDEX(STPP!$D$6:$D$4207,MATCH(C2239,STPP!$C$6:$C$4207,0)),"Not Found"))</f>
        <v/>
      </c>
      <c r="E2239" s="27" t="str" cm="1">
        <f t="array" ref="E2239">IF(C2239="","",IFERROR(INDEX(STPP!$E$6:$E$4207,MATCH(C2239,STPP!$C$6:$C$4207,0)),"Not Found"))</f>
        <v/>
      </c>
      <c r="F2239" s="27" t="str" cm="1">
        <f t="array" ref="F2239">IF(C2239="","",IFERROR(INDEX(STPP!$F$6:$F$4207,MATCH(C2239,STPP!$C$6:$C$4207,0)),"Not Found"))</f>
        <v/>
      </c>
      <c r="G2239" s="25" t="str">
        <f>IF(表1[[#This Row],[No Seri]]="","",表1[[#This Row],[Deskripsi Barang]]+表1[[#This Row],[Kuantitas]]-表1[[#This Row],[Satuan]])</f>
        <v/>
      </c>
      <c r="H2239" s="28"/>
      <c r="I2239" s="25" t="str">
        <f>IF(表1[[#This Row],[Tgl NPBG]]&gt;表1[[#This Row],[Peminta]],表1[[#This Row],[Tgl NPBG]]-表1[[#This Row],[Peminta]],"")</f>
        <v/>
      </c>
      <c r="J2239" s="31"/>
    </row>
    <row r="2240" s="12" customFormat="1" customHeight="1" spans="2:10">
      <c r="B2240" s="25"/>
      <c r="C2240" s="25"/>
      <c r="D2240" s="26" t="str" cm="1">
        <f t="array" ref="D2240">IF(C2240="","",IFERROR(INDEX(STPP!$D$6:$D$4207,MATCH(C2240,STPP!$C$6:$C$4207,0)),"Not Found"))</f>
        <v/>
      </c>
      <c r="E2240" s="27" t="str" cm="1">
        <f t="array" ref="E2240">IF(C2240="","",IFERROR(INDEX(STPP!$E$6:$E$4207,MATCH(C2240,STPP!$C$6:$C$4207,0)),"Not Found"))</f>
        <v/>
      </c>
      <c r="F2240" s="27" t="str" cm="1">
        <f t="array" ref="F2240">IF(C2240="","",IFERROR(INDEX(STPP!$F$6:$F$4207,MATCH(C2240,STPP!$C$6:$C$4207,0)),"Not Found"))</f>
        <v/>
      </c>
      <c r="G2240" s="25" t="str">
        <f>IF(表1[[#This Row],[No Seri]]="","",表1[[#This Row],[Deskripsi Barang]]+表1[[#This Row],[Kuantitas]]-表1[[#This Row],[Satuan]])</f>
        <v/>
      </c>
      <c r="H2240" s="28"/>
      <c r="I2240" s="25" t="str">
        <f>IF(表1[[#This Row],[Tgl NPBG]]&gt;表1[[#This Row],[Peminta]],表1[[#This Row],[Tgl NPBG]]-表1[[#This Row],[Peminta]],"")</f>
        <v/>
      </c>
      <c r="J2240" s="31"/>
    </row>
    <row r="2241" s="12" customFormat="1" customHeight="1" spans="2:10">
      <c r="B2241" s="25"/>
      <c r="C2241" s="25"/>
      <c r="D2241" s="26" t="str" cm="1">
        <f t="array" ref="D2241">IF(C2241="","",IFERROR(INDEX(STPP!$D$6:$D$4207,MATCH(C2241,STPP!$C$6:$C$4207,0)),"Not Found"))</f>
        <v/>
      </c>
      <c r="E2241" s="27" t="str" cm="1">
        <f t="array" ref="E2241">IF(C2241="","",IFERROR(INDEX(STPP!$E$6:$E$4207,MATCH(C2241,STPP!$C$6:$C$4207,0)),"Not Found"))</f>
        <v/>
      </c>
      <c r="F2241" s="27" t="str" cm="1">
        <f t="array" ref="F2241">IF(C2241="","",IFERROR(INDEX(STPP!$F$6:$F$4207,MATCH(C2241,STPP!$C$6:$C$4207,0)),"Not Found"))</f>
        <v/>
      </c>
      <c r="G2241" s="25" t="str">
        <f>IF(表1[[#This Row],[No Seri]]="","",表1[[#This Row],[Deskripsi Barang]]+表1[[#This Row],[Kuantitas]]-表1[[#This Row],[Satuan]])</f>
        <v/>
      </c>
      <c r="H2241" s="28"/>
      <c r="I2241" s="25" t="str">
        <f>IF(表1[[#This Row],[Tgl NPBG]]&gt;表1[[#This Row],[Peminta]],表1[[#This Row],[Tgl NPBG]]-表1[[#This Row],[Peminta]],"")</f>
        <v/>
      </c>
      <c r="J2241" s="31"/>
    </row>
    <row r="2242" s="12" customFormat="1" customHeight="1" spans="2:10">
      <c r="B2242" s="25"/>
      <c r="C2242" s="25"/>
      <c r="D2242" s="26" t="str" cm="1">
        <f t="array" ref="D2242">IF(C2242="","",IFERROR(INDEX(STPP!$D$6:$D$4207,MATCH(C2242,STPP!$C$6:$C$4207,0)),"Not Found"))</f>
        <v/>
      </c>
      <c r="E2242" s="27" t="str" cm="1">
        <f t="array" ref="E2242">IF(C2242="","",IFERROR(INDEX(STPP!$E$6:$E$4207,MATCH(C2242,STPP!$C$6:$C$4207,0)),"Not Found"))</f>
        <v/>
      </c>
      <c r="F2242" s="27" t="str" cm="1">
        <f t="array" ref="F2242">IF(C2242="","",IFERROR(INDEX(STPP!$F$6:$F$4207,MATCH(C2242,STPP!$C$6:$C$4207,0)),"Not Found"))</f>
        <v/>
      </c>
      <c r="G2242" s="25" t="str">
        <f>IF(表1[[#This Row],[No Seri]]="","",表1[[#This Row],[Deskripsi Barang]]+表1[[#This Row],[Kuantitas]]-表1[[#This Row],[Satuan]])</f>
        <v/>
      </c>
      <c r="H2242" s="28"/>
      <c r="I2242" s="25" t="str">
        <f>IF(表1[[#This Row],[Tgl NPBG]]&gt;表1[[#This Row],[Peminta]],表1[[#This Row],[Tgl NPBG]]-表1[[#This Row],[Peminta]],"")</f>
        <v/>
      </c>
      <c r="J2242" s="31"/>
    </row>
    <row r="2243" s="12" customFormat="1" customHeight="1" spans="2:10">
      <c r="B2243" s="25"/>
      <c r="C2243" s="25"/>
      <c r="D2243" s="26" t="str" cm="1">
        <f t="array" ref="D2243">IF(C2243="","",IFERROR(INDEX(STPP!$D$6:$D$4207,MATCH(C2243,STPP!$C$6:$C$4207,0)),"Not Found"))</f>
        <v/>
      </c>
      <c r="E2243" s="27" t="str" cm="1">
        <f t="array" ref="E2243">IF(C2243="","",IFERROR(INDEX(STPP!$E$6:$E$4207,MATCH(C2243,STPP!$C$6:$C$4207,0)),"Not Found"))</f>
        <v/>
      </c>
      <c r="F2243" s="27" t="str" cm="1">
        <f t="array" ref="F2243">IF(C2243="","",IFERROR(INDEX(STPP!$F$6:$F$4207,MATCH(C2243,STPP!$C$6:$C$4207,0)),"Not Found"))</f>
        <v/>
      </c>
      <c r="G2243" s="25" t="str">
        <f>IF(表1[[#This Row],[No Seri]]="","",表1[[#This Row],[Deskripsi Barang]]+表1[[#This Row],[Kuantitas]]-表1[[#This Row],[Satuan]])</f>
        <v/>
      </c>
      <c r="H2243" s="28"/>
      <c r="I2243" s="25" t="str">
        <f>IF(表1[[#This Row],[Tgl NPBG]]&gt;表1[[#This Row],[Peminta]],表1[[#This Row],[Tgl NPBG]]-表1[[#This Row],[Peminta]],"")</f>
        <v/>
      </c>
      <c r="J2243" s="31"/>
    </row>
    <row r="2244" s="12" customFormat="1" customHeight="1" spans="2:10">
      <c r="B2244" s="25"/>
      <c r="C2244" s="25"/>
      <c r="D2244" s="26" t="str" cm="1">
        <f t="array" ref="D2244">IF(C2244="","",IFERROR(INDEX(STPP!$D$6:$D$4207,MATCH(C2244,STPP!$C$6:$C$4207,0)),"Not Found"))</f>
        <v/>
      </c>
      <c r="E2244" s="27" t="str" cm="1">
        <f t="array" ref="E2244">IF(C2244="","",IFERROR(INDEX(STPP!$E$6:$E$4207,MATCH(C2244,STPP!$C$6:$C$4207,0)),"Not Found"))</f>
        <v/>
      </c>
      <c r="F2244" s="27" t="str" cm="1">
        <f t="array" ref="F2244">IF(C2244="","",IFERROR(INDEX(STPP!$F$6:$F$4207,MATCH(C2244,STPP!$C$6:$C$4207,0)),"Not Found"))</f>
        <v/>
      </c>
      <c r="G2244" s="25" t="str">
        <f>IF(表1[[#This Row],[No Seri]]="","",表1[[#This Row],[Deskripsi Barang]]+表1[[#This Row],[Kuantitas]]-表1[[#This Row],[Satuan]])</f>
        <v/>
      </c>
      <c r="H2244" s="28"/>
      <c r="I2244" s="25" t="str">
        <f>IF(表1[[#This Row],[Tgl NPBG]]&gt;表1[[#This Row],[Peminta]],表1[[#This Row],[Tgl NPBG]]-表1[[#This Row],[Peminta]],"")</f>
        <v/>
      </c>
      <c r="J2244" s="31"/>
    </row>
    <row r="2245" s="12" customFormat="1" customHeight="1" spans="2:10">
      <c r="B2245" s="25"/>
      <c r="C2245" s="25"/>
      <c r="D2245" s="26" t="str" cm="1">
        <f t="array" ref="D2245">IF(C2245="","",IFERROR(INDEX(STPP!$D$6:$D$4207,MATCH(C2245,STPP!$C$6:$C$4207,0)),"Not Found"))</f>
        <v/>
      </c>
      <c r="E2245" s="27" t="str" cm="1">
        <f t="array" ref="E2245">IF(C2245="","",IFERROR(INDEX(STPP!$E$6:$E$4207,MATCH(C2245,STPP!$C$6:$C$4207,0)),"Not Found"))</f>
        <v/>
      </c>
      <c r="F2245" s="27" t="str" cm="1">
        <f t="array" ref="F2245">IF(C2245="","",IFERROR(INDEX(STPP!$F$6:$F$4207,MATCH(C2245,STPP!$C$6:$C$4207,0)),"Not Found"))</f>
        <v/>
      </c>
      <c r="G2245" s="25" t="str">
        <f>IF(表1[[#This Row],[No Seri]]="","",表1[[#This Row],[Deskripsi Barang]]+表1[[#This Row],[Kuantitas]]-表1[[#This Row],[Satuan]])</f>
        <v/>
      </c>
      <c r="H2245" s="28"/>
      <c r="I2245" s="25" t="str">
        <f>IF(表1[[#This Row],[Tgl NPBG]]&gt;表1[[#This Row],[Peminta]],表1[[#This Row],[Tgl NPBG]]-表1[[#This Row],[Peminta]],"")</f>
        <v/>
      </c>
      <c r="J2245" s="31"/>
    </row>
    <row r="2246" s="12" customFormat="1" customHeight="1" spans="2:10">
      <c r="B2246" s="25"/>
      <c r="C2246" s="25"/>
      <c r="D2246" s="26" t="str" cm="1">
        <f t="array" ref="D2246">IF(C2246="","",IFERROR(INDEX(STPP!$D$6:$D$4207,MATCH(C2246,STPP!$C$6:$C$4207,0)),"Not Found"))</f>
        <v/>
      </c>
      <c r="E2246" s="27" t="str" cm="1">
        <f t="array" ref="E2246">IF(C2246="","",IFERROR(INDEX(STPP!$E$6:$E$4207,MATCH(C2246,STPP!$C$6:$C$4207,0)),"Not Found"))</f>
        <v/>
      </c>
      <c r="F2246" s="27" t="str" cm="1">
        <f t="array" ref="F2246">IF(C2246="","",IFERROR(INDEX(STPP!$F$6:$F$4207,MATCH(C2246,STPP!$C$6:$C$4207,0)),"Not Found"))</f>
        <v/>
      </c>
      <c r="G2246" s="25" t="str">
        <f>IF(表1[[#This Row],[No Seri]]="","",表1[[#This Row],[Deskripsi Barang]]+表1[[#This Row],[Kuantitas]]-表1[[#This Row],[Satuan]])</f>
        <v/>
      </c>
      <c r="H2246" s="28"/>
      <c r="I2246" s="25" t="str">
        <f>IF(表1[[#This Row],[Tgl NPBG]]&gt;表1[[#This Row],[Peminta]],表1[[#This Row],[Tgl NPBG]]-表1[[#This Row],[Peminta]],"")</f>
        <v/>
      </c>
      <c r="J2246" s="31"/>
    </row>
    <row r="2247" s="12" customFormat="1" customHeight="1" spans="2:10">
      <c r="B2247" s="25"/>
      <c r="C2247" s="25"/>
      <c r="D2247" s="26" t="str" cm="1">
        <f t="array" ref="D2247">IF(C2247="","",IFERROR(INDEX(STPP!$D$6:$D$4207,MATCH(C2247,STPP!$C$6:$C$4207,0)),"Not Found"))</f>
        <v/>
      </c>
      <c r="E2247" s="27" t="str" cm="1">
        <f t="array" ref="E2247">IF(C2247="","",IFERROR(INDEX(STPP!$E$6:$E$4207,MATCH(C2247,STPP!$C$6:$C$4207,0)),"Not Found"))</f>
        <v/>
      </c>
      <c r="F2247" s="27" t="str" cm="1">
        <f t="array" ref="F2247">IF(C2247="","",IFERROR(INDEX(STPP!$F$6:$F$4207,MATCH(C2247,STPP!$C$6:$C$4207,0)),"Not Found"))</f>
        <v/>
      </c>
      <c r="G2247" s="25" t="str">
        <f>IF(表1[[#This Row],[No Seri]]="","",表1[[#This Row],[Deskripsi Barang]]+表1[[#This Row],[Kuantitas]]-表1[[#This Row],[Satuan]])</f>
        <v/>
      </c>
      <c r="H2247" s="28"/>
      <c r="I2247" s="25" t="str">
        <f>IF(表1[[#This Row],[Tgl NPBG]]&gt;表1[[#This Row],[Peminta]],表1[[#This Row],[Tgl NPBG]]-表1[[#This Row],[Peminta]],"")</f>
        <v/>
      </c>
      <c r="J2247" s="31"/>
    </row>
    <row r="2248" s="12" customFormat="1" customHeight="1" spans="2:10">
      <c r="B2248" s="25"/>
      <c r="C2248" s="25"/>
      <c r="D2248" s="26" t="str" cm="1">
        <f t="array" ref="D2248">IF(C2248="","",IFERROR(INDEX(STPP!$D$6:$D$4207,MATCH(C2248,STPP!$C$6:$C$4207,0)),"Not Found"))</f>
        <v/>
      </c>
      <c r="E2248" s="27" t="str" cm="1">
        <f t="array" ref="E2248">IF(C2248="","",IFERROR(INDEX(STPP!$E$6:$E$4207,MATCH(C2248,STPP!$C$6:$C$4207,0)),"Not Found"))</f>
        <v/>
      </c>
      <c r="F2248" s="27" t="str" cm="1">
        <f t="array" ref="F2248">IF(C2248="","",IFERROR(INDEX(STPP!$F$6:$F$4207,MATCH(C2248,STPP!$C$6:$C$4207,0)),"Not Found"))</f>
        <v/>
      </c>
      <c r="G2248" s="25" t="str">
        <f>IF(表1[[#This Row],[No Seri]]="","",表1[[#This Row],[Deskripsi Barang]]+表1[[#This Row],[Kuantitas]]-表1[[#This Row],[Satuan]])</f>
        <v/>
      </c>
      <c r="H2248" s="28"/>
      <c r="I2248" s="25" t="str">
        <f>IF(表1[[#This Row],[Tgl NPBG]]&gt;表1[[#This Row],[Peminta]],表1[[#This Row],[Tgl NPBG]]-表1[[#This Row],[Peminta]],"")</f>
        <v/>
      </c>
      <c r="J2248" s="31"/>
    </row>
    <row r="2249" s="12" customFormat="1" customHeight="1" spans="2:10">
      <c r="B2249" s="25"/>
      <c r="C2249" s="25"/>
      <c r="D2249" s="26" t="str" cm="1">
        <f t="array" ref="D2249">IF(C2249="","",IFERROR(INDEX(STPP!$D$6:$D$4207,MATCH(C2249,STPP!$C$6:$C$4207,0)),"Not Found"))</f>
        <v/>
      </c>
      <c r="E2249" s="27" t="str" cm="1">
        <f t="array" ref="E2249">IF(C2249="","",IFERROR(INDEX(STPP!$E$6:$E$4207,MATCH(C2249,STPP!$C$6:$C$4207,0)),"Not Found"))</f>
        <v/>
      </c>
      <c r="F2249" s="27" t="str" cm="1">
        <f t="array" ref="F2249">IF(C2249="","",IFERROR(INDEX(STPP!$F$6:$F$4207,MATCH(C2249,STPP!$C$6:$C$4207,0)),"Not Found"))</f>
        <v/>
      </c>
      <c r="G2249" s="25" t="str">
        <f>IF(表1[[#This Row],[No Seri]]="","",表1[[#This Row],[Deskripsi Barang]]+表1[[#This Row],[Kuantitas]]-表1[[#This Row],[Satuan]])</f>
        <v/>
      </c>
      <c r="H2249" s="28"/>
      <c r="I2249" s="25" t="str">
        <f>IF(表1[[#This Row],[Tgl NPBG]]&gt;表1[[#This Row],[Peminta]],表1[[#This Row],[Tgl NPBG]]-表1[[#This Row],[Peminta]],"")</f>
        <v/>
      </c>
      <c r="J2249" s="31"/>
    </row>
    <row r="2250" s="12" customFormat="1" customHeight="1" spans="2:10">
      <c r="B2250" s="25"/>
      <c r="C2250" s="25"/>
      <c r="D2250" s="26" t="str" cm="1">
        <f t="array" ref="D2250">IF(C2250="","",IFERROR(INDEX(STPP!$D$6:$D$4207,MATCH(C2250,STPP!$C$6:$C$4207,0)),"Not Found"))</f>
        <v/>
      </c>
      <c r="E2250" s="27" t="str" cm="1">
        <f t="array" ref="E2250">IF(C2250="","",IFERROR(INDEX(STPP!$E$6:$E$4207,MATCH(C2250,STPP!$C$6:$C$4207,0)),"Not Found"))</f>
        <v/>
      </c>
      <c r="F2250" s="27" t="str" cm="1">
        <f t="array" ref="F2250">IF(C2250="","",IFERROR(INDEX(STPP!$F$6:$F$4207,MATCH(C2250,STPP!$C$6:$C$4207,0)),"Not Found"))</f>
        <v/>
      </c>
      <c r="G2250" s="25" t="str">
        <f>IF(表1[[#This Row],[No Seri]]="","",表1[[#This Row],[Deskripsi Barang]]+表1[[#This Row],[Kuantitas]]-表1[[#This Row],[Satuan]])</f>
        <v/>
      </c>
      <c r="H2250" s="28"/>
      <c r="I2250" s="25" t="str">
        <f>IF(表1[[#This Row],[Tgl NPBG]]&gt;表1[[#This Row],[Peminta]],表1[[#This Row],[Tgl NPBG]]-表1[[#This Row],[Peminta]],"")</f>
        <v/>
      </c>
      <c r="J2250" s="31"/>
    </row>
    <row r="2251" s="12" customFormat="1" customHeight="1" spans="2:10">
      <c r="B2251" s="25"/>
      <c r="C2251" s="25"/>
      <c r="D2251" s="26" t="str" cm="1">
        <f t="array" ref="D2251">IF(C2251="","",IFERROR(INDEX(STPP!$D$6:$D$4207,MATCH(C2251,STPP!$C$6:$C$4207,0)),"Not Found"))</f>
        <v/>
      </c>
      <c r="E2251" s="27" t="str" cm="1">
        <f t="array" ref="E2251">IF(C2251="","",IFERROR(INDEX(STPP!$E$6:$E$4207,MATCH(C2251,STPP!$C$6:$C$4207,0)),"Not Found"))</f>
        <v/>
      </c>
      <c r="F2251" s="27" t="str" cm="1">
        <f t="array" ref="F2251">IF(C2251="","",IFERROR(INDEX(STPP!$F$6:$F$4207,MATCH(C2251,STPP!$C$6:$C$4207,0)),"Not Found"))</f>
        <v/>
      </c>
      <c r="G2251" s="25" t="str">
        <f>IF(表1[[#This Row],[No Seri]]="","",表1[[#This Row],[Deskripsi Barang]]+表1[[#This Row],[Kuantitas]]-表1[[#This Row],[Satuan]])</f>
        <v/>
      </c>
      <c r="H2251" s="28"/>
      <c r="I2251" s="25" t="str">
        <f>IF(表1[[#This Row],[Tgl NPBG]]&gt;表1[[#This Row],[Peminta]],表1[[#This Row],[Tgl NPBG]]-表1[[#This Row],[Peminta]],"")</f>
        <v/>
      </c>
      <c r="J2251" s="31"/>
    </row>
    <row r="2252" s="12" customFormat="1" customHeight="1" spans="2:10">
      <c r="B2252" s="25"/>
      <c r="C2252" s="25"/>
      <c r="D2252" s="26" t="str" cm="1">
        <f t="array" ref="D2252">IF(C2252="","",IFERROR(INDEX(STPP!$D$6:$D$4207,MATCH(C2252,STPP!$C$6:$C$4207,0)),"Not Found"))</f>
        <v/>
      </c>
      <c r="E2252" s="27" t="str" cm="1">
        <f t="array" ref="E2252">IF(C2252="","",IFERROR(INDEX(STPP!$E$6:$E$4207,MATCH(C2252,STPP!$C$6:$C$4207,0)),"Not Found"))</f>
        <v/>
      </c>
      <c r="F2252" s="27" t="str" cm="1">
        <f t="array" ref="F2252">IF(C2252="","",IFERROR(INDEX(STPP!$F$6:$F$4207,MATCH(C2252,STPP!$C$6:$C$4207,0)),"Not Found"))</f>
        <v/>
      </c>
      <c r="G2252" s="25" t="str">
        <f>IF(表1[[#This Row],[No Seri]]="","",表1[[#This Row],[Deskripsi Barang]]+表1[[#This Row],[Kuantitas]]-表1[[#This Row],[Satuan]])</f>
        <v/>
      </c>
      <c r="H2252" s="28"/>
      <c r="I2252" s="25" t="str">
        <f>IF(表1[[#This Row],[Tgl NPBG]]&gt;表1[[#This Row],[Peminta]],表1[[#This Row],[Tgl NPBG]]-表1[[#This Row],[Peminta]],"")</f>
        <v/>
      </c>
      <c r="J2252" s="31"/>
    </row>
    <row r="2253" s="12" customFormat="1" customHeight="1" spans="2:10">
      <c r="B2253" s="25"/>
      <c r="C2253" s="25"/>
      <c r="D2253" s="26" t="str" cm="1">
        <f t="array" ref="D2253">IF(C2253="","",IFERROR(INDEX(STPP!$D$6:$D$4207,MATCH(C2253,STPP!$C$6:$C$4207,0)),"Not Found"))</f>
        <v/>
      </c>
      <c r="E2253" s="27" t="str" cm="1">
        <f t="array" ref="E2253">IF(C2253="","",IFERROR(INDEX(STPP!$E$6:$E$4207,MATCH(C2253,STPP!$C$6:$C$4207,0)),"Not Found"))</f>
        <v/>
      </c>
      <c r="F2253" s="27" t="str" cm="1">
        <f t="array" ref="F2253">IF(C2253="","",IFERROR(INDEX(STPP!$F$6:$F$4207,MATCH(C2253,STPP!$C$6:$C$4207,0)),"Not Found"))</f>
        <v/>
      </c>
      <c r="G2253" s="25" t="str">
        <f>IF(表1[[#This Row],[No Seri]]="","",表1[[#This Row],[Deskripsi Barang]]+表1[[#This Row],[Kuantitas]]-表1[[#This Row],[Satuan]])</f>
        <v/>
      </c>
      <c r="H2253" s="28"/>
      <c r="I2253" s="25" t="str">
        <f>IF(表1[[#This Row],[Tgl NPBG]]&gt;表1[[#This Row],[Peminta]],表1[[#This Row],[Tgl NPBG]]-表1[[#This Row],[Peminta]],"")</f>
        <v/>
      </c>
      <c r="J2253" s="31"/>
    </row>
    <row r="2254" s="12" customFormat="1" customHeight="1" spans="2:10">
      <c r="B2254" s="25"/>
      <c r="C2254" s="25"/>
      <c r="D2254" s="26" t="str" cm="1">
        <f t="array" ref="D2254">IF(C2254="","",IFERROR(INDEX(STPP!$D$6:$D$4207,MATCH(C2254,STPP!$C$6:$C$4207,0)),"Not Found"))</f>
        <v/>
      </c>
      <c r="E2254" s="27" t="str" cm="1">
        <f t="array" ref="E2254">IF(C2254="","",IFERROR(INDEX(STPP!$E$6:$E$4207,MATCH(C2254,STPP!$C$6:$C$4207,0)),"Not Found"))</f>
        <v/>
      </c>
      <c r="F2254" s="27" t="str" cm="1">
        <f t="array" ref="F2254">IF(C2254="","",IFERROR(INDEX(STPP!$F$6:$F$4207,MATCH(C2254,STPP!$C$6:$C$4207,0)),"Not Found"))</f>
        <v/>
      </c>
      <c r="G2254" s="25" t="str">
        <f>IF(表1[[#This Row],[No Seri]]="","",表1[[#This Row],[Deskripsi Barang]]+表1[[#This Row],[Kuantitas]]-表1[[#This Row],[Satuan]])</f>
        <v/>
      </c>
      <c r="H2254" s="28"/>
      <c r="I2254" s="25" t="str">
        <f>IF(表1[[#This Row],[Tgl NPBG]]&gt;表1[[#This Row],[Peminta]],表1[[#This Row],[Tgl NPBG]]-表1[[#This Row],[Peminta]],"")</f>
        <v/>
      </c>
      <c r="J2254" s="31"/>
    </row>
    <row r="2255" s="12" customFormat="1" customHeight="1" spans="2:10">
      <c r="B2255" s="25"/>
      <c r="C2255" s="25"/>
      <c r="D2255" s="26" t="str" cm="1">
        <f t="array" ref="D2255">IF(C2255="","",IFERROR(INDEX(STPP!$D$6:$D$4207,MATCH(C2255,STPP!$C$6:$C$4207,0)),"Not Found"))</f>
        <v/>
      </c>
      <c r="E2255" s="27" t="str" cm="1">
        <f t="array" ref="E2255">IF(C2255="","",IFERROR(INDEX(STPP!$E$6:$E$4207,MATCH(C2255,STPP!$C$6:$C$4207,0)),"Not Found"))</f>
        <v/>
      </c>
      <c r="F2255" s="27" t="str" cm="1">
        <f t="array" ref="F2255">IF(C2255="","",IFERROR(INDEX(STPP!$F$6:$F$4207,MATCH(C2255,STPP!$C$6:$C$4207,0)),"Not Found"))</f>
        <v/>
      </c>
      <c r="G2255" s="25" t="str">
        <f>IF(表1[[#This Row],[No Seri]]="","",表1[[#This Row],[Deskripsi Barang]]+表1[[#This Row],[Kuantitas]]-表1[[#This Row],[Satuan]])</f>
        <v/>
      </c>
      <c r="H2255" s="28"/>
      <c r="I2255" s="25" t="str">
        <f>IF(表1[[#This Row],[Tgl NPBG]]&gt;表1[[#This Row],[Peminta]],表1[[#This Row],[Tgl NPBG]]-表1[[#This Row],[Peminta]],"")</f>
        <v/>
      </c>
      <c r="J2255" s="31"/>
    </row>
    <row r="2256" s="12" customFormat="1" customHeight="1" spans="2:10">
      <c r="B2256" s="25"/>
      <c r="C2256" s="25"/>
      <c r="D2256" s="26" t="str" cm="1">
        <f t="array" ref="D2256">IF(C2256="","",IFERROR(INDEX(STPP!$D$6:$D$4207,MATCH(C2256,STPP!$C$6:$C$4207,0)),"Not Found"))</f>
        <v/>
      </c>
      <c r="E2256" s="27" t="str" cm="1">
        <f t="array" ref="E2256">IF(C2256="","",IFERROR(INDEX(STPP!$E$6:$E$4207,MATCH(C2256,STPP!$C$6:$C$4207,0)),"Not Found"))</f>
        <v/>
      </c>
      <c r="F2256" s="27" t="str" cm="1">
        <f t="array" ref="F2256">IF(C2256="","",IFERROR(INDEX(STPP!$F$6:$F$4207,MATCH(C2256,STPP!$C$6:$C$4207,0)),"Not Found"))</f>
        <v/>
      </c>
      <c r="G2256" s="25" t="str">
        <f>IF(表1[[#This Row],[No Seri]]="","",表1[[#This Row],[Deskripsi Barang]]+表1[[#This Row],[Kuantitas]]-表1[[#This Row],[Satuan]])</f>
        <v/>
      </c>
      <c r="H2256" s="28"/>
      <c r="I2256" s="25" t="str">
        <f>IF(表1[[#This Row],[Tgl NPBG]]&gt;表1[[#This Row],[Peminta]],表1[[#This Row],[Tgl NPBG]]-表1[[#This Row],[Peminta]],"")</f>
        <v/>
      </c>
      <c r="J2256" s="31"/>
    </row>
    <row r="2257" s="12" customFormat="1" customHeight="1" spans="2:10">
      <c r="B2257" s="25"/>
      <c r="C2257" s="25"/>
      <c r="D2257" s="26" t="str" cm="1">
        <f t="array" ref="D2257">IF(C2257="","",IFERROR(INDEX(STPP!$D$6:$D$4207,MATCH(C2257,STPP!$C$6:$C$4207,0)),"Not Found"))</f>
        <v/>
      </c>
      <c r="E2257" s="27" t="str" cm="1">
        <f t="array" ref="E2257">IF(C2257="","",IFERROR(INDEX(STPP!$E$6:$E$4207,MATCH(C2257,STPP!$C$6:$C$4207,0)),"Not Found"))</f>
        <v/>
      </c>
      <c r="F2257" s="27" t="str" cm="1">
        <f t="array" ref="F2257">IF(C2257="","",IFERROR(INDEX(STPP!$F$6:$F$4207,MATCH(C2257,STPP!$C$6:$C$4207,0)),"Not Found"))</f>
        <v/>
      </c>
      <c r="G2257" s="25" t="str">
        <f>IF(表1[[#This Row],[No Seri]]="","",表1[[#This Row],[Deskripsi Barang]]+表1[[#This Row],[Kuantitas]]-表1[[#This Row],[Satuan]])</f>
        <v/>
      </c>
      <c r="H2257" s="28"/>
      <c r="I2257" s="25" t="str">
        <f>IF(表1[[#This Row],[Tgl NPBG]]&gt;表1[[#This Row],[Peminta]],表1[[#This Row],[Tgl NPBG]]-表1[[#This Row],[Peminta]],"")</f>
        <v/>
      </c>
      <c r="J2257" s="31"/>
    </row>
    <row r="2258" s="12" customFormat="1" customHeight="1" spans="2:10">
      <c r="B2258" s="25"/>
      <c r="C2258" s="25"/>
      <c r="D2258" s="26" t="str" cm="1">
        <f t="array" ref="D2258">IF(C2258="","",IFERROR(INDEX(STPP!$D$6:$D$4207,MATCH(C2258,STPP!$C$6:$C$4207,0)),"Not Found"))</f>
        <v/>
      </c>
      <c r="E2258" s="27" t="str" cm="1">
        <f t="array" ref="E2258">IF(C2258="","",IFERROR(INDEX(STPP!$E$6:$E$4207,MATCH(C2258,STPP!$C$6:$C$4207,0)),"Not Found"))</f>
        <v/>
      </c>
      <c r="F2258" s="27" t="str" cm="1">
        <f t="array" ref="F2258">IF(C2258="","",IFERROR(INDEX(STPP!$F$6:$F$4207,MATCH(C2258,STPP!$C$6:$C$4207,0)),"Not Found"))</f>
        <v/>
      </c>
      <c r="G2258" s="25" t="str">
        <f>IF(表1[[#This Row],[No Seri]]="","",表1[[#This Row],[Deskripsi Barang]]+表1[[#This Row],[Kuantitas]]-表1[[#This Row],[Satuan]])</f>
        <v/>
      </c>
      <c r="H2258" s="28"/>
      <c r="I2258" s="25" t="str">
        <f>IF(表1[[#This Row],[Tgl NPBG]]&gt;表1[[#This Row],[Peminta]],表1[[#This Row],[Tgl NPBG]]-表1[[#This Row],[Peminta]],"")</f>
        <v/>
      </c>
      <c r="J2258" s="31"/>
    </row>
    <row r="2259" s="12" customFormat="1" customHeight="1" spans="2:10">
      <c r="B2259" s="25"/>
      <c r="C2259" s="25"/>
      <c r="D2259" s="26" t="str" cm="1">
        <f t="array" ref="D2259">IF(C2259="","",IFERROR(INDEX(STPP!$D$6:$D$4207,MATCH(C2259,STPP!$C$6:$C$4207,0)),"Not Found"))</f>
        <v/>
      </c>
      <c r="E2259" s="27" t="str" cm="1">
        <f t="array" ref="E2259">IF(C2259="","",IFERROR(INDEX(STPP!$E$6:$E$4207,MATCH(C2259,STPP!$C$6:$C$4207,0)),"Not Found"))</f>
        <v/>
      </c>
      <c r="F2259" s="27" t="str" cm="1">
        <f t="array" ref="F2259">IF(C2259="","",IFERROR(INDEX(STPP!$F$6:$F$4207,MATCH(C2259,STPP!$C$6:$C$4207,0)),"Not Found"))</f>
        <v/>
      </c>
      <c r="G2259" s="25" t="str">
        <f>IF(表1[[#This Row],[No Seri]]="","",表1[[#This Row],[Deskripsi Barang]]+表1[[#This Row],[Kuantitas]]-表1[[#This Row],[Satuan]])</f>
        <v/>
      </c>
      <c r="H2259" s="28"/>
      <c r="I2259" s="25" t="str">
        <f>IF(表1[[#This Row],[Tgl NPBG]]&gt;表1[[#This Row],[Peminta]],表1[[#This Row],[Tgl NPBG]]-表1[[#This Row],[Peminta]],"")</f>
        <v/>
      </c>
      <c r="J2259" s="31"/>
    </row>
    <row r="2260" s="12" customFormat="1" customHeight="1" spans="2:10">
      <c r="B2260" s="25"/>
      <c r="C2260" s="25"/>
      <c r="D2260" s="26" t="str" cm="1">
        <f t="array" ref="D2260">IF(C2260="","",IFERROR(INDEX(STPP!$D$6:$D$4207,MATCH(C2260,STPP!$C$6:$C$4207,0)),"Not Found"))</f>
        <v/>
      </c>
      <c r="E2260" s="27" t="str" cm="1">
        <f t="array" ref="E2260">IF(C2260="","",IFERROR(INDEX(STPP!$E$6:$E$4207,MATCH(C2260,STPP!$C$6:$C$4207,0)),"Not Found"))</f>
        <v/>
      </c>
      <c r="F2260" s="27" t="str" cm="1">
        <f t="array" ref="F2260">IF(C2260="","",IFERROR(INDEX(STPP!$F$6:$F$4207,MATCH(C2260,STPP!$C$6:$C$4207,0)),"Not Found"))</f>
        <v/>
      </c>
      <c r="G2260" s="25" t="str">
        <f>IF(表1[[#This Row],[No Seri]]="","",表1[[#This Row],[Deskripsi Barang]]+表1[[#This Row],[Kuantitas]]-表1[[#This Row],[Satuan]])</f>
        <v/>
      </c>
      <c r="H2260" s="28"/>
      <c r="I2260" s="25" t="str">
        <f>IF(表1[[#This Row],[Tgl NPBG]]&gt;表1[[#This Row],[Peminta]],表1[[#This Row],[Tgl NPBG]]-表1[[#This Row],[Peminta]],"")</f>
        <v/>
      </c>
      <c r="J2260" s="31"/>
    </row>
    <row r="2261" s="12" customFormat="1" customHeight="1" spans="2:10">
      <c r="B2261" s="25"/>
      <c r="C2261" s="25"/>
      <c r="D2261" s="26" t="str" cm="1">
        <f t="array" ref="D2261">IF(C2261="","",IFERROR(INDEX(STPP!$D$6:$D$4207,MATCH(C2261,STPP!$C$6:$C$4207,0)),"Not Found"))</f>
        <v/>
      </c>
      <c r="E2261" s="27" t="str" cm="1">
        <f t="array" ref="E2261">IF(C2261="","",IFERROR(INDEX(STPP!$E$6:$E$4207,MATCH(C2261,STPP!$C$6:$C$4207,0)),"Not Found"))</f>
        <v/>
      </c>
      <c r="F2261" s="27" t="str" cm="1">
        <f t="array" ref="F2261">IF(C2261="","",IFERROR(INDEX(STPP!$F$6:$F$4207,MATCH(C2261,STPP!$C$6:$C$4207,0)),"Not Found"))</f>
        <v/>
      </c>
      <c r="G2261" s="25" t="str">
        <f>IF(表1[[#This Row],[No Seri]]="","",表1[[#This Row],[Deskripsi Barang]]+表1[[#This Row],[Kuantitas]]-表1[[#This Row],[Satuan]])</f>
        <v/>
      </c>
      <c r="H2261" s="28"/>
      <c r="I2261" s="25" t="str">
        <f>IF(表1[[#This Row],[Tgl NPBG]]&gt;表1[[#This Row],[Peminta]],表1[[#This Row],[Tgl NPBG]]-表1[[#This Row],[Peminta]],"")</f>
        <v/>
      </c>
      <c r="J2261" s="31"/>
    </row>
    <row r="2262" s="12" customFormat="1" customHeight="1" spans="2:10">
      <c r="B2262" s="25"/>
      <c r="C2262" s="25"/>
      <c r="D2262" s="26" t="str" cm="1">
        <f t="array" ref="D2262">IF(C2262="","",IFERROR(INDEX(STPP!$D$6:$D$4207,MATCH(C2262,STPP!$C$6:$C$4207,0)),"Not Found"))</f>
        <v/>
      </c>
      <c r="E2262" s="27" t="str" cm="1">
        <f t="array" ref="E2262">IF(C2262="","",IFERROR(INDEX(STPP!$E$6:$E$4207,MATCH(C2262,STPP!$C$6:$C$4207,0)),"Not Found"))</f>
        <v/>
      </c>
      <c r="F2262" s="27" t="str" cm="1">
        <f t="array" ref="F2262">IF(C2262="","",IFERROR(INDEX(STPP!$F$6:$F$4207,MATCH(C2262,STPP!$C$6:$C$4207,0)),"Not Found"))</f>
        <v/>
      </c>
      <c r="G2262" s="25" t="str">
        <f>IF(表1[[#This Row],[No Seri]]="","",表1[[#This Row],[Deskripsi Barang]]+表1[[#This Row],[Kuantitas]]-表1[[#This Row],[Satuan]])</f>
        <v/>
      </c>
      <c r="H2262" s="28"/>
      <c r="I2262" s="25" t="str">
        <f>IF(表1[[#This Row],[Tgl NPBG]]&gt;表1[[#This Row],[Peminta]],表1[[#This Row],[Tgl NPBG]]-表1[[#This Row],[Peminta]],"")</f>
        <v/>
      </c>
      <c r="J2262" s="31"/>
    </row>
    <row r="2263" s="12" customFormat="1" customHeight="1" spans="2:10">
      <c r="B2263" s="25"/>
      <c r="C2263" s="25"/>
      <c r="D2263" s="26" t="str" cm="1">
        <f t="array" ref="D2263">IF(C2263="","",IFERROR(INDEX(STPP!$D$6:$D$4207,MATCH(C2263,STPP!$C$6:$C$4207,0)),"Not Found"))</f>
        <v/>
      </c>
      <c r="E2263" s="27" t="str" cm="1">
        <f t="array" ref="E2263">IF(C2263="","",IFERROR(INDEX(STPP!$E$6:$E$4207,MATCH(C2263,STPP!$C$6:$C$4207,0)),"Not Found"))</f>
        <v/>
      </c>
      <c r="F2263" s="27" t="str" cm="1">
        <f t="array" ref="F2263">IF(C2263="","",IFERROR(INDEX(STPP!$F$6:$F$4207,MATCH(C2263,STPP!$C$6:$C$4207,0)),"Not Found"))</f>
        <v/>
      </c>
      <c r="G2263" s="25" t="str">
        <f>IF(表1[[#This Row],[No Seri]]="","",表1[[#This Row],[Deskripsi Barang]]+表1[[#This Row],[Kuantitas]]-表1[[#This Row],[Satuan]])</f>
        <v/>
      </c>
      <c r="H2263" s="28"/>
      <c r="I2263" s="25" t="str">
        <f>IF(表1[[#This Row],[Tgl NPBG]]&gt;表1[[#This Row],[Peminta]],表1[[#This Row],[Tgl NPBG]]-表1[[#This Row],[Peminta]],"")</f>
        <v/>
      </c>
      <c r="J2263" s="31"/>
    </row>
    <row r="2264" s="12" customFormat="1" customHeight="1" spans="2:10">
      <c r="B2264" s="25"/>
      <c r="C2264" s="25"/>
      <c r="D2264" s="26" t="str" cm="1">
        <f t="array" ref="D2264">IF(C2264="","",IFERROR(INDEX(STPP!$D$6:$D$4207,MATCH(C2264,STPP!$C$6:$C$4207,0)),"Not Found"))</f>
        <v/>
      </c>
      <c r="E2264" s="27" t="str" cm="1">
        <f t="array" ref="E2264">IF(C2264="","",IFERROR(INDEX(STPP!$E$6:$E$4207,MATCH(C2264,STPP!$C$6:$C$4207,0)),"Not Found"))</f>
        <v/>
      </c>
      <c r="F2264" s="27" t="str" cm="1">
        <f t="array" ref="F2264">IF(C2264="","",IFERROR(INDEX(STPP!$F$6:$F$4207,MATCH(C2264,STPP!$C$6:$C$4207,0)),"Not Found"))</f>
        <v/>
      </c>
      <c r="G2264" s="25" t="str">
        <f>IF(表1[[#This Row],[No Seri]]="","",表1[[#This Row],[Deskripsi Barang]]+表1[[#This Row],[Kuantitas]]-表1[[#This Row],[Satuan]])</f>
        <v/>
      </c>
      <c r="H2264" s="28"/>
      <c r="I2264" s="25" t="str">
        <f>IF(表1[[#This Row],[Tgl NPBG]]&gt;表1[[#This Row],[Peminta]],表1[[#This Row],[Tgl NPBG]]-表1[[#This Row],[Peminta]],"")</f>
        <v/>
      </c>
      <c r="J2264" s="31"/>
    </row>
    <row r="2265" s="12" customFormat="1" customHeight="1" spans="2:10">
      <c r="B2265" s="25"/>
      <c r="C2265" s="25"/>
      <c r="D2265" s="26" t="str" cm="1">
        <f t="array" ref="D2265">IF(C2265="","",IFERROR(INDEX(STPP!$D$6:$D$4207,MATCH(C2265,STPP!$C$6:$C$4207,0)),"Not Found"))</f>
        <v/>
      </c>
      <c r="E2265" s="27" t="str" cm="1">
        <f t="array" ref="E2265">IF(C2265="","",IFERROR(INDEX(STPP!$E$6:$E$4207,MATCH(C2265,STPP!$C$6:$C$4207,0)),"Not Found"))</f>
        <v/>
      </c>
      <c r="F2265" s="27" t="str" cm="1">
        <f t="array" ref="F2265">IF(C2265="","",IFERROR(INDEX(STPP!$F$6:$F$4207,MATCH(C2265,STPP!$C$6:$C$4207,0)),"Not Found"))</f>
        <v/>
      </c>
      <c r="G2265" s="25" t="str">
        <f>IF(表1[[#This Row],[No Seri]]="","",表1[[#This Row],[Deskripsi Barang]]+表1[[#This Row],[Kuantitas]]-表1[[#This Row],[Satuan]])</f>
        <v/>
      </c>
      <c r="H2265" s="28"/>
      <c r="I2265" s="25" t="str">
        <f>IF(表1[[#This Row],[Tgl NPBG]]&gt;表1[[#This Row],[Peminta]],表1[[#This Row],[Tgl NPBG]]-表1[[#This Row],[Peminta]],"")</f>
        <v/>
      </c>
      <c r="J2265" s="31"/>
    </row>
    <row r="2266" s="12" customFormat="1" customHeight="1" spans="2:10">
      <c r="B2266" s="25"/>
      <c r="C2266" s="25"/>
      <c r="D2266" s="26" t="str" cm="1">
        <f t="array" ref="D2266">IF(C2266="","",IFERROR(INDEX(STPP!$D$6:$D$4207,MATCH(C2266,STPP!$C$6:$C$4207,0)),"Not Found"))</f>
        <v/>
      </c>
      <c r="E2266" s="27" t="str" cm="1">
        <f t="array" ref="E2266">IF(C2266="","",IFERROR(INDEX(STPP!$E$6:$E$4207,MATCH(C2266,STPP!$C$6:$C$4207,0)),"Not Found"))</f>
        <v/>
      </c>
      <c r="F2266" s="27" t="str" cm="1">
        <f t="array" ref="F2266">IF(C2266="","",IFERROR(INDEX(STPP!$F$6:$F$4207,MATCH(C2266,STPP!$C$6:$C$4207,0)),"Not Found"))</f>
        <v/>
      </c>
      <c r="G2266" s="25" t="str">
        <f>IF(表1[[#This Row],[No Seri]]="","",表1[[#This Row],[Deskripsi Barang]]+表1[[#This Row],[Kuantitas]]-表1[[#This Row],[Satuan]])</f>
        <v/>
      </c>
      <c r="H2266" s="28"/>
      <c r="I2266" s="25" t="str">
        <f>IF(表1[[#This Row],[Tgl NPBG]]&gt;表1[[#This Row],[Peminta]],表1[[#This Row],[Tgl NPBG]]-表1[[#This Row],[Peminta]],"")</f>
        <v/>
      </c>
      <c r="J2266" s="31"/>
    </row>
    <row r="2267" s="12" customFormat="1" customHeight="1" spans="2:10">
      <c r="B2267" s="25"/>
      <c r="C2267" s="25"/>
      <c r="D2267" s="26" t="str" cm="1">
        <f t="array" ref="D2267">IF(C2267="","",IFERROR(INDEX(STPP!$D$6:$D$4207,MATCH(C2267,STPP!$C$6:$C$4207,0)),"Not Found"))</f>
        <v/>
      </c>
      <c r="E2267" s="27" t="str" cm="1">
        <f t="array" ref="E2267">IF(C2267="","",IFERROR(INDEX(STPP!$E$6:$E$4207,MATCH(C2267,STPP!$C$6:$C$4207,0)),"Not Found"))</f>
        <v/>
      </c>
      <c r="F2267" s="27" t="str" cm="1">
        <f t="array" ref="F2267">IF(C2267="","",IFERROR(INDEX(STPP!$F$6:$F$4207,MATCH(C2267,STPP!$C$6:$C$4207,0)),"Not Found"))</f>
        <v/>
      </c>
      <c r="G2267" s="25" t="str">
        <f>IF(表1[[#This Row],[No Seri]]="","",表1[[#This Row],[Deskripsi Barang]]+表1[[#This Row],[Kuantitas]]-表1[[#This Row],[Satuan]])</f>
        <v/>
      </c>
      <c r="H2267" s="28"/>
      <c r="I2267" s="25" t="str">
        <f>IF(表1[[#This Row],[Tgl NPBG]]&gt;表1[[#This Row],[Peminta]],表1[[#This Row],[Tgl NPBG]]-表1[[#This Row],[Peminta]],"")</f>
        <v/>
      </c>
      <c r="J2267" s="31"/>
    </row>
    <row r="2268" s="12" customFormat="1" customHeight="1" spans="2:10">
      <c r="B2268" s="25"/>
      <c r="C2268" s="25"/>
      <c r="D2268" s="26" t="str" cm="1">
        <f t="array" ref="D2268">IF(C2268="","",IFERROR(INDEX(STPP!$D$6:$D$4207,MATCH(C2268,STPP!$C$6:$C$4207,0)),"Not Found"))</f>
        <v/>
      </c>
      <c r="E2268" s="27" t="str" cm="1">
        <f t="array" ref="E2268">IF(C2268="","",IFERROR(INDEX(STPP!$E$6:$E$4207,MATCH(C2268,STPP!$C$6:$C$4207,0)),"Not Found"))</f>
        <v/>
      </c>
      <c r="F2268" s="27" t="str" cm="1">
        <f t="array" ref="F2268">IF(C2268="","",IFERROR(INDEX(STPP!$F$6:$F$4207,MATCH(C2268,STPP!$C$6:$C$4207,0)),"Not Found"))</f>
        <v/>
      </c>
      <c r="G2268" s="25" t="str">
        <f>IF(表1[[#This Row],[No Seri]]="","",表1[[#This Row],[Deskripsi Barang]]+表1[[#This Row],[Kuantitas]]-表1[[#This Row],[Satuan]])</f>
        <v/>
      </c>
      <c r="H2268" s="28"/>
      <c r="I2268" s="25" t="str">
        <f>IF(表1[[#This Row],[Tgl NPBG]]&gt;表1[[#This Row],[Peminta]],表1[[#This Row],[Tgl NPBG]]-表1[[#This Row],[Peminta]],"")</f>
        <v/>
      </c>
      <c r="J2268" s="31"/>
    </row>
    <row r="2269" s="12" customFormat="1" customHeight="1" spans="2:10">
      <c r="B2269" s="25"/>
      <c r="C2269" s="25"/>
      <c r="D2269" s="26" t="str" cm="1">
        <f t="array" ref="D2269">IF(C2269="","",IFERROR(INDEX(STPP!$D$6:$D$4207,MATCH(C2269,STPP!$C$6:$C$4207,0)),"Not Found"))</f>
        <v/>
      </c>
      <c r="E2269" s="27" t="str" cm="1">
        <f t="array" ref="E2269">IF(C2269="","",IFERROR(INDEX(STPP!$E$6:$E$4207,MATCH(C2269,STPP!$C$6:$C$4207,0)),"Not Found"))</f>
        <v/>
      </c>
      <c r="F2269" s="27" t="str" cm="1">
        <f t="array" ref="F2269">IF(C2269="","",IFERROR(INDEX(STPP!$F$6:$F$4207,MATCH(C2269,STPP!$C$6:$C$4207,0)),"Not Found"))</f>
        <v/>
      </c>
      <c r="G2269" s="25" t="str">
        <f>IF(表1[[#This Row],[No Seri]]="","",表1[[#This Row],[Deskripsi Barang]]+表1[[#This Row],[Kuantitas]]-表1[[#This Row],[Satuan]])</f>
        <v/>
      </c>
      <c r="H2269" s="28"/>
      <c r="I2269" s="25" t="str">
        <f>IF(表1[[#This Row],[Tgl NPBG]]&gt;表1[[#This Row],[Peminta]],表1[[#This Row],[Tgl NPBG]]-表1[[#This Row],[Peminta]],"")</f>
        <v/>
      </c>
      <c r="J2269" s="31"/>
    </row>
    <row r="2270" s="12" customFormat="1" customHeight="1" spans="2:10">
      <c r="B2270" s="25"/>
      <c r="C2270" s="25"/>
      <c r="D2270" s="26" t="str" cm="1">
        <f t="array" ref="D2270">IF(C2270="","",IFERROR(INDEX(STPP!$D$6:$D$4207,MATCH(C2270,STPP!$C$6:$C$4207,0)),"Not Found"))</f>
        <v/>
      </c>
      <c r="E2270" s="27" t="str" cm="1">
        <f t="array" ref="E2270">IF(C2270="","",IFERROR(INDEX(STPP!$E$6:$E$4207,MATCH(C2270,STPP!$C$6:$C$4207,0)),"Not Found"))</f>
        <v/>
      </c>
      <c r="F2270" s="27" t="str" cm="1">
        <f t="array" ref="F2270">IF(C2270="","",IFERROR(INDEX(STPP!$F$6:$F$4207,MATCH(C2270,STPP!$C$6:$C$4207,0)),"Not Found"))</f>
        <v/>
      </c>
      <c r="G2270" s="25" t="str">
        <f>IF(表1[[#This Row],[No Seri]]="","",表1[[#This Row],[Deskripsi Barang]]+表1[[#This Row],[Kuantitas]]-表1[[#This Row],[Satuan]])</f>
        <v/>
      </c>
      <c r="H2270" s="28"/>
      <c r="I2270" s="25" t="str">
        <f>IF(表1[[#This Row],[Tgl NPBG]]&gt;表1[[#This Row],[Peminta]],表1[[#This Row],[Tgl NPBG]]-表1[[#This Row],[Peminta]],"")</f>
        <v/>
      </c>
      <c r="J2270" s="31"/>
    </row>
    <row r="2271" s="12" customFormat="1" customHeight="1" spans="2:10">
      <c r="B2271" s="25"/>
      <c r="C2271" s="25"/>
      <c r="D2271" s="26" t="str" cm="1">
        <f t="array" ref="D2271">IF(C2271="","",IFERROR(INDEX(STPP!$D$6:$D$4207,MATCH(C2271,STPP!$C$6:$C$4207,0)),"Not Found"))</f>
        <v/>
      </c>
      <c r="E2271" s="27" t="str" cm="1">
        <f t="array" ref="E2271">IF(C2271="","",IFERROR(INDEX(STPP!$E$6:$E$4207,MATCH(C2271,STPP!$C$6:$C$4207,0)),"Not Found"))</f>
        <v/>
      </c>
      <c r="F2271" s="27" t="str" cm="1">
        <f t="array" ref="F2271">IF(C2271="","",IFERROR(INDEX(STPP!$F$6:$F$4207,MATCH(C2271,STPP!$C$6:$C$4207,0)),"Not Found"))</f>
        <v/>
      </c>
      <c r="G2271" s="25" t="str">
        <f>IF(表1[[#This Row],[No Seri]]="","",表1[[#This Row],[Deskripsi Barang]]+表1[[#This Row],[Kuantitas]]-表1[[#This Row],[Satuan]])</f>
        <v/>
      </c>
      <c r="H2271" s="28"/>
      <c r="I2271" s="25" t="str">
        <f>IF(表1[[#This Row],[Tgl NPBG]]&gt;表1[[#This Row],[Peminta]],表1[[#This Row],[Tgl NPBG]]-表1[[#This Row],[Peminta]],"")</f>
        <v/>
      </c>
      <c r="J2271" s="31"/>
    </row>
    <row r="2272" s="12" customFormat="1" customHeight="1" spans="2:10">
      <c r="B2272" s="25"/>
      <c r="C2272" s="25"/>
      <c r="D2272" s="26" t="str" cm="1">
        <f t="array" ref="D2272">IF(C2272="","",IFERROR(INDEX(STPP!$D$6:$D$4207,MATCH(C2272,STPP!$C$6:$C$4207,0)),"Not Found"))</f>
        <v/>
      </c>
      <c r="E2272" s="27" t="str" cm="1">
        <f t="array" ref="E2272">IF(C2272="","",IFERROR(INDEX(STPP!$E$6:$E$4207,MATCH(C2272,STPP!$C$6:$C$4207,0)),"Not Found"))</f>
        <v/>
      </c>
      <c r="F2272" s="27" t="str" cm="1">
        <f t="array" ref="F2272">IF(C2272="","",IFERROR(INDEX(STPP!$F$6:$F$4207,MATCH(C2272,STPP!$C$6:$C$4207,0)),"Not Found"))</f>
        <v/>
      </c>
      <c r="G2272" s="25" t="str">
        <f>IF(表1[[#This Row],[No Seri]]="","",表1[[#This Row],[Deskripsi Barang]]+表1[[#This Row],[Kuantitas]]-表1[[#This Row],[Satuan]])</f>
        <v/>
      </c>
      <c r="H2272" s="28"/>
      <c r="I2272" s="25" t="str">
        <f>IF(表1[[#This Row],[Tgl NPBG]]&gt;表1[[#This Row],[Peminta]],表1[[#This Row],[Tgl NPBG]]-表1[[#This Row],[Peminta]],"")</f>
        <v/>
      </c>
      <c r="J2272" s="31"/>
    </row>
    <row r="2273" s="12" customFormat="1" customHeight="1" spans="2:10">
      <c r="B2273" s="25"/>
      <c r="C2273" s="25"/>
      <c r="D2273" s="26" t="str" cm="1">
        <f t="array" ref="D2273">IF(C2273="","",IFERROR(INDEX(STPP!$D$6:$D$4207,MATCH(C2273,STPP!$C$6:$C$4207,0)),"Not Found"))</f>
        <v/>
      </c>
      <c r="E2273" s="27" t="str" cm="1">
        <f t="array" ref="E2273">IF(C2273="","",IFERROR(INDEX(STPP!$E$6:$E$4207,MATCH(C2273,STPP!$C$6:$C$4207,0)),"Not Found"))</f>
        <v/>
      </c>
      <c r="F2273" s="27" t="str" cm="1">
        <f t="array" ref="F2273">IF(C2273="","",IFERROR(INDEX(STPP!$F$6:$F$4207,MATCH(C2273,STPP!$C$6:$C$4207,0)),"Not Found"))</f>
        <v/>
      </c>
      <c r="G2273" s="25" t="str">
        <f>IF(表1[[#This Row],[No Seri]]="","",表1[[#This Row],[Deskripsi Barang]]+表1[[#This Row],[Kuantitas]]-表1[[#This Row],[Satuan]])</f>
        <v/>
      </c>
      <c r="H2273" s="28"/>
      <c r="I2273" s="25" t="str">
        <f>IF(表1[[#This Row],[Tgl NPBG]]&gt;表1[[#This Row],[Peminta]],表1[[#This Row],[Tgl NPBG]]-表1[[#This Row],[Peminta]],"")</f>
        <v/>
      </c>
      <c r="J2273" s="31"/>
    </row>
    <row r="2274" s="12" customFormat="1" customHeight="1" spans="2:10">
      <c r="B2274" s="25"/>
      <c r="C2274" s="25"/>
      <c r="D2274" s="26" t="str" cm="1">
        <f t="array" ref="D2274">IF(C2274="","",IFERROR(INDEX(STPP!$D$6:$D$4207,MATCH(C2274,STPP!$C$6:$C$4207,0)),"Not Found"))</f>
        <v/>
      </c>
      <c r="E2274" s="27" t="str" cm="1">
        <f t="array" ref="E2274">IF(C2274="","",IFERROR(INDEX(STPP!$E$6:$E$4207,MATCH(C2274,STPP!$C$6:$C$4207,0)),"Not Found"))</f>
        <v/>
      </c>
      <c r="F2274" s="27" t="str" cm="1">
        <f t="array" ref="F2274">IF(C2274="","",IFERROR(INDEX(STPP!$F$6:$F$4207,MATCH(C2274,STPP!$C$6:$C$4207,0)),"Not Found"))</f>
        <v/>
      </c>
      <c r="G2274" s="25" t="str">
        <f>IF(表1[[#This Row],[No Seri]]="","",表1[[#This Row],[Deskripsi Barang]]+表1[[#This Row],[Kuantitas]]-表1[[#This Row],[Satuan]])</f>
        <v/>
      </c>
      <c r="H2274" s="28"/>
      <c r="I2274" s="25" t="str">
        <f>IF(表1[[#This Row],[Tgl NPBG]]&gt;表1[[#This Row],[Peminta]],表1[[#This Row],[Tgl NPBG]]-表1[[#This Row],[Peminta]],"")</f>
        <v/>
      </c>
      <c r="J2274" s="31"/>
    </row>
    <row r="2275" s="12" customFormat="1" customHeight="1" spans="2:10">
      <c r="B2275" s="25"/>
      <c r="C2275" s="25"/>
      <c r="D2275" s="26" t="str" cm="1">
        <f t="array" ref="D2275">IF(C2275="","",IFERROR(INDEX(STPP!$D$6:$D$4207,MATCH(C2275,STPP!$C$6:$C$4207,0)),"Not Found"))</f>
        <v/>
      </c>
      <c r="E2275" s="27" t="str" cm="1">
        <f t="array" ref="E2275">IF(C2275="","",IFERROR(INDEX(STPP!$E$6:$E$4207,MATCH(C2275,STPP!$C$6:$C$4207,0)),"Not Found"))</f>
        <v/>
      </c>
      <c r="F2275" s="27" t="str" cm="1">
        <f t="array" ref="F2275">IF(C2275="","",IFERROR(INDEX(STPP!$F$6:$F$4207,MATCH(C2275,STPP!$C$6:$C$4207,0)),"Not Found"))</f>
        <v/>
      </c>
      <c r="G2275" s="25" t="str">
        <f>IF(表1[[#This Row],[No Seri]]="","",表1[[#This Row],[Deskripsi Barang]]+表1[[#This Row],[Kuantitas]]-表1[[#This Row],[Satuan]])</f>
        <v/>
      </c>
      <c r="H2275" s="28"/>
      <c r="I2275" s="25" t="str">
        <f>IF(表1[[#This Row],[Tgl NPBG]]&gt;表1[[#This Row],[Peminta]],表1[[#This Row],[Tgl NPBG]]-表1[[#This Row],[Peminta]],"")</f>
        <v/>
      </c>
      <c r="J2275" s="31"/>
    </row>
    <row r="2276" s="12" customFormat="1" customHeight="1" spans="2:10">
      <c r="B2276" s="25"/>
      <c r="C2276" s="25"/>
      <c r="D2276" s="26" t="str" cm="1">
        <f t="array" ref="D2276">IF(C2276="","",IFERROR(INDEX(STPP!$D$6:$D$4207,MATCH(C2276,STPP!$C$6:$C$4207,0)),"Not Found"))</f>
        <v/>
      </c>
      <c r="E2276" s="27" t="str" cm="1">
        <f t="array" ref="E2276">IF(C2276="","",IFERROR(INDEX(STPP!$E$6:$E$4207,MATCH(C2276,STPP!$C$6:$C$4207,0)),"Not Found"))</f>
        <v/>
      </c>
      <c r="F2276" s="27" t="str" cm="1">
        <f t="array" ref="F2276">IF(C2276="","",IFERROR(INDEX(STPP!$F$6:$F$4207,MATCH(C2276,STPP!$C$6:$C$4207,0)),"Not Found"))</f>
        <v/>
      </c>
      <c r="G2276" s="25" t="str">
        <f>IF(表1[[#This Row],[No Seri]]="","",表1[[#This Row],[Deskripsi Barang]]+表1[[#This Row],[Kuantitas]]-表1[[#This Row],[Satuan]])</f>
        <v/>
      </c>
      <c r="H2276" s="28"/>
      <c r="I2276" s="25" t="str">
        <f>IF(表1[[#This Row],[Tgl NPBG]]&gt;表1[[#This Row],[Peminta]],表1[[#This Row],[Tgl NPBG]]-表1[[#This Row],[Peminta]],"")</f>
        <v/>
      </c>
      <c r="J2276" s="31"/>
    </row>
    <row r="2277" s="12" customFormat="1" customHeight="1" spans="2:10">
      <c r="B2277" s="25"/>
      <c r="C2277" s="25"/>
      <c r="D2277" s="26" t="str" cm="1">
        <f t="array" ref="D2277">IF(C2277="","",IFERROR(INDEX(STPP!$D$6:$D$4207,MATCH(C2277,STPP!$C$6:$C$4207,0)),"Not Found"))</f>
        <v/>
      </c>
      <c r="E2277" s="27" t="str" cm="1">
        <f t="array" ref="E2277">IF(C2277="","",IFERROR(INDEX(STPP!$E$6:$E$4207,MATCH(C2277,STPP!$C$6:$C$4207,0)),"Not Found"))</f>
        <v/>
      </c>
      <c r="F2277" s="27" t="str" cm="1">
        <f t="array" ref="F2277">IF(C2277="","",IFERROR(INDEX(STPP!$F$6:$F$4207,MATCH(C2277,STPP!$C$6:$C$4207,0)),"Not Found"))</f>
        <v/>
      </c>
      <c r="G2277" s="25" t="str">
        <f>IF(表1[[#This Row],[No Seri]]="","",表1[[#This Row],[Deskripsi Barang]]+表1[[#This Row],[Kuantitas]]-表1[[#This Row],[Satuan]])</f>
        <v/>
      </c>
      <c r="H2277" s="28"/>
      <c r="I2277" s="25" t="str">
        <f>IF(表1[[#This Row],[Tgl NPBG]]&gt;表1[[#This Row],[Peminta]],表1[[#This Row],[Tgl NPBG]]-表1[[#This Row],[Peminta]],"")</f>
        <v/>
      </c>
      <c r="J2277" s="31"/>
    </row>
    <row r="2278" s="12" customFormat="1" customHeight="1" spans="2:10">
      <c r="B2278" s="25"/>
      <c r="C2278" s="25"/>
      <c r="D2278" s="26" t="str" cm="1">
        <f t="array" ref="D2278">IF(C2278="","",IFERROR(INDEX(STPP!$D$6:$D$4207,MATCH(C2278,STPP!$C$6:$C$4207,0)),"Not Found"))</f>
        <v/>
      </c>
      <c r="E2278" s="27" t="str" cm="1">
        <f t="array" ref="E2278">IF(C2278="","",IFERROR(INDEX(STPP!$E$6:$E$4207,MATCH(C2278,STPP!$C$6:$C$4207,0)),"Not Found"))</f>
        <v/>
      </c>
      <c r="F2278" s="27" t="str" cm="1">
        <f t="array" ref="F2278">IF(C2278="","",IFERROR(INDEX(STPP!$F$6:$F$4207,MATCH(C2278,STPP!$C$6:$C$4207,0)),"Not Found"))</f>
        <v/>
      </c>
      <c r="G2278" s="25" t="str">
        <f>IF(表1[[#This Row],[No Seri]]="","",表1[[#This Row],[Deskripsi Barang]]+表1[[#This Row],[Kuantitas]]-表1[[#This Row],[Satuan]])</f>
        <v/>
      </c>
      <c r="H2278" s="28"/>
      <c r="I2278" s="25" t="str">
        <f>IF(表1[[#This Row],[Tgl NPBG]]&gt;表1[[#This Row],[Peminta]],表1[[#This Row],[Tgl NPBG]]-表1[[#This Row],[Peminta]],"")</f>
        <v/>
      </c>
      <c r="J2278" s="31"/>
    </row>
    <row r="2279" s="12" customFormat="1" customHeight="1" spans="2:10">
      <c r="B2279" s="25"/>
      <c r="C2279" s="25"/>
      <c r="D2279" s="26" t="str" cm="1">
        <f t="array" ref="D2279">IF(C2279="","",IFERROR(INDEX(STPP!$D$6:$D$4207,MATCH(C2279,STPP!$C$6:$C$4207,0)),"Not Found"))</f>
        <v/>
      </c>
      <c r="E2279" s="27" t="str" cm="1">
        <f t="array" ref="E2279">IF(C2279="","",IFERROR(INDEX(STPP!$E$6:$E$4207,MATCH(C2279,STPP!$C$6:$C$4207,0)),"Not Found"))</f>
        <v/>
      </c>
      <c r="F2279" s="27" t="str" cm="1">
        <f t="array" ref="F2279">IF(C2279="","",IFERROR(INDEX(STPP!$F$6:$F$4207,MATCH(C2279,STPP!$C$6:$C$4207,0)),"Not Found"))</f>
        <v/>
      </c>
      <c r="G2279" s="25" t="str">
        <f>IF(表1[[#This Row],[No Seri]]="","",表1[[#This Row],[Deskripsi Barang]]+表1[[#This Row],[Kuantitas]]-表1[[#This Row],[Satuan]])</f>
        <v/>
      </c>
      <c r="H2279" s="28"/>
      <c r="I2279" s="25" t="str">
        <f>IF(表1[[#This Row],[Tgl NPBG]]&gt;表1[[#This Row],[Peminta]],表1[[#This Row],[Tgl NPBG]]-表1[[#This Row],[Peminta]],"")</f>
        <v/>
      </c>
      <c r="J2279" s="31"/>
    </row>
    <row r="2280" s="12" customFormat="1" customHeight="1" spans="2:10">
      <c r="B2280" s="25"/>
      <c r="C2280" s="25"/>
      <c r="D2280" s="26" t="str" cm="1">
        <f t="array" ref="D2280">IF(C2280="","",IFERROR(INDEX(STPP!$D$6:$D$4207,MATCH(C2280,STPP!$C$6:$C$4207,0)),"Not Found"))</f>
        <v/>
      </c>
      <c r="E2280" s="27" t="str" cm="1">
        <f t="array" ref="E2280">IF(C2280="","",IFERROR(INDEX(STPP!$E$6:$E$4207,MATCH(C2280,STPP!$C$6:$C$4207,0)),"Not Found"))</f>
        <v/>
      </c>
      <c r="F2280" s="27" t="str" cm="1">
        <f t="array" ref="F2280">IF(C2280="","",IFERROR(INDEX(STPP!$F$6:$F$4207,MATCH(C2280,STPP!$C$6:$C$4207,0)),"Not Found"))</f>
        <v/>
      </c>
      <c r="G2280" s="25" t="str">
        <f>IF(表1[[#This Row],[No Seri]]="","",表1[[#This Row],[Deskripsi Barang]]+表1[[#This Row],[Kuantitas]]-表1[[#This Row],[Satuan]])</f>
        <v/>
      </c>
      <c r="H2280" s="28"/>
      <c r="I2280" s="25" t="str">
        <f>IF(表1[[#This Row],[Tgl NPBG]]&gt;表1[[#This Row],[Peminta]],表1[[#This Row],[Tgl NPBG]]-表1[[#This Row],[Peminta]],"")</f>
        <v/>
      </c>
      <c r="J2280" s="31"/>
    </row>
    <row r="2281" s="12" customFormat="1" customHeight="1" spans="2:10">
      <c r="B2281" s="25"/>
      <c r="C2281" s="25"/>
      <c r="D2281" s="26" t="str" cm="1">
        <f t="array" ref="D2281">IF(C2281="","",IFERROR(INDEX(STPP!$D$6:$D$4207,MATCH(C2281,STPP!$C$6:$C$4207,0)),"Not Found"))</f>
        <v/>
      </c>
      <c r="E2281" s="27" t="str" cm="1">
        <f t="array" ref="E2281">IF(C2281="","",IFERROR(INDEX(STPP!$E$6:$E$4207,MATCH(C2281,STPP!$C$6:$C$4207,0)),"Not Found"))</f>
        <v/>
      </c>
      <c r="F2281" s="27" t="str" cm="1">
        <f t="array" ref="F2281">IF(C2281="","",IFERROR(INDEX(STPP!$F$6:$F$4207,MATCH(C2281,STPP!$C$6:$C$4207,0)),"Not Found"))</f>
        <v/>
      </c>
      <c r="G2281" s="25" t="str">
        <f>IF(表1[[#This Row],[No Seri]]="","",表1[[#This Row],[Deskripsi Barang]]+表1[[#This Row],[Kuantitas]]-表1[[#This Row],[Satuan]])</f>
        <v/>
      </c>
      <c r="H2281" s="28"/>
      <c r="I2281" s="25" t="str">
        <f>IF(表1[[#This Row],[Tgl NPBG]]&gt;表1[[#This Row],[Peminta]],表1[[#This Row],[Tgl NPBG]]-表1[[#This Row],[Peminta]],"")</f>
        <v/>
      </c>
      <c r="J2281" s="31"/>
    </row>
    <row r="2282" s="12" customFormat="1" customHeight="1" spans="2:10">
      <c r="B2282" s="25"/>
      <c r="C2282" s="25"/>
      <c r="D2282" s="26" t="str" cm="1">
        <f t="array" ref="D2282">IF(C2282="","",IFERROR(INDEX(STPP!$D$6:$D$4207,MATCH(C2282,STPP!$C$6:$C$4207,0)),"Not Found"))</f>
        <v/>
      </c>
      <c r="E2282" s="27" t="str" cm="1">
        <f t="array" ref="E2282">IF(C2282="","",IFERROR(INDEX(STPP!$E$6:$E$4207,MATCH(C2282,STPP!$C$6:$C$4207,0)),"Not Found"))</f>
        <v/>
      </c>
      <c r="F2282" s="27" t="str" cm="1">
        <f t="array" ref="F2282">IF(C2282="","",IFERROR(INDEX(STPP!$F$6:$F$4207,MATCH(C2282,STPP!$C$6:$C$4207,0)),"Not Found"))</f>
        <v/>
      </c>
      <c r="G2282" s="25" t="str">
        <f>IF(表1[[#This Row],[No Seri]]="","",表1[[#This Row],[Deskripsi Barang]]+表1[[#This Row],[Kuantitas]]-表1[[#This Row],[Satuan]])</f>
        <v/>
      </c>
      <c r="H2282" s="28"/>
      <c r="I2282" s="25" t="str">
        <f>IF(表1[[#This Row],[Tgl NPBG]]&gt;表1[[#This Row],[Peminta]],表1[[#This Row],[Tgl NPBG]]-表1[[#This Row],[Peminta]],"")</f>
        <v/>
      </c>
      <c r="J2282" s="31"/>
    </row>
    <row r="2283" s="12" customFormat="1" customHeight="1" spans="2:10">
      <c r="B2283" s="25"/>
      <c r="C2283" s="25"/>
      <c r="D2283" s="26" t="str" cm="1">
        <f t="array" ref="D2283">IF(C2283="","",IFERROR(INDEX(STPP!$D$6:$D$4207,MATCH(C2283,STPP!$C$6:$C$4207,0)),"Not Found"))</f>
        <v/>
      </c>
      <c r="E2283" s="27" t="str" cm="1">
        <f t="array" ref="E2283">IF(C2283="","",IFERROR(INDEX(STPP!$E$6:$E$4207,MATCH(C2283,STPP!$C$6:$C$4207,0)),"Not Found"))</f>
        <v/>
      </c>
      <c r="F2283" s="27" t="str" cm="1">
        <f t="array" ref="F2283">IF(C2283="","",IFERROR(INDEX(STPP!$F$6:$F$4207,MATCH(C2283,STPP!$C$6:$C$4207,0)),"Not Found"))</f>
        <v/>
      </c>
      <c r="G2283" s="25" t="str">
        <f>IF(表1[[#This Row],[No Seri]]="","",表1[[#This Row],[Deskripsi Barang]]+表1[[#This Row],[Kuantitas]]-表1[[#This Row],[Satuan]])</f>
        <v/>
      </c>
      <c r="H2283" s="28"/>
      <c r="I2283" s="25" t="str">
        <f>IF(表1[[#This Row],[Tgl NPBG]]&gt;表1[[#This Row],[Peminta]],表1[[#This Row],[Tgl NPBG]]-表1[[#This Row],[Peminta]],"")</f>
        <v/>
      </c>
      <c r="J2283" s="31"/>
    </row>
    <row r="2284" s="12" customFormat="1" customHeight="1" spans="2:10">
      <c r="B2284" s="25"/>
      <c r="C2284" s="25"/>
      <c r="D2284" s="26" t="str" cm="1">
        <f t="array" ref="D2284">IF(C2284="","",IFERROR(INDEX(STPP!$D$6:$D$4207,MATCH(C2284,STPP!$C$6:$C$4207,0)),"Not Found"))</f>
        <v/>
      </c>
      <c r="E2284" s="27" t="str" cm="1">
        <f t="array" ref="E2284">IF(C2284="","",IFERROR(INDEX(STPP!$E$6:$E$4207,MATCH(C2284,STPP!$C$6:$C$4207,0)),"Not Found"))</f>
        <v/>
      </c>
      <c r="F2284" s="27" t="str" cm="1">
        <f t="array" ref="F2284">IF(C2284="","",IFERROR(INDEX(STPP!$F$6:$F$4207,MATCH(C2284,STPP!$C$6:$C$4207,0)),"Not Found"))</f>
        <v/>
      </c>
      <c r="G2284" s="25" t="str">
        <f>IF(表1[[#This Row],[No Seri]]="","",表1[[#This Row],[Deskripsi Barang]]+表1[[#This Row],[Kuantitas]]-表1[[#This Row],[Satuan]])</f>
        <v/>
      </c>
      <c r="H2284" s="28"/>
      <c r="I2284" s="25" t="str">
        <f>IF(表1[[#This Row],[Tgl NPBG]]&gt;表1[[#This Row],[Peminta]],表1[[#This Row],[Tgl NPBG]]-表1[[#This Row],[Peminta]],"")</f>
        <v/>
      </c>
      <c r="J2284" s="31"/>
    </row>
    <row r="2285" s="12" customFormat="1" customHeight="1" spans="2:10">
      <c r="B2285" s="25"/>
      <c r="C2285" s="25"/>
      <c r="D2285" s="26" t="str" cm="1">
        <f t="array" ref="D2285">IF(C2285="","",IFERROR(INDEX(STPP!$D$6:$D$4207,MATCH(C2285,STPP!$C$6:$C$4207,0)),"Not Found"))</f>
        <v/>
      </c>
      <c r="E2285" s="27" t="str" cm="1">
        <f t="array" ref="E2285">IF(C2285="","",IFERROR(INDEX(STPP!$E$6:$E$4207,MATCH(C2285,STPP!$C$6:$C$4207,0)),"Not Found"))</f>
        <v/>
      </c>
      <c r="F2285" s="27" t="str" cm="1">
        <f t="array" ref="F2285">IF(C2285="","",IFERROR(INDEX(STPP!$F$6:$F$4207,MATCH(C2285,STPP!$C$6:$C$4207,0)),"Not Found"))</f>
        <v/>
      </c>
      <c r="G2285" s="25" t="str">
        <f>IF(表1[[#This Row],[No Seri]]="","",表1[[#This Row],[Deskripsi Barang]]+表1[[#This Row],[Kuantitas]]-表1[[#This Row],[Satuan]])</f>
        <v/>
      </c>
      <c r="H2285" s="28"/>
      <c r="I2285" s="25" t="str">
        <f>IF(表1[[#This Row],[Tgl NPBG]]&gt;表1[[#This Row],[Peminta]],表1[[#This Row],[Tgl NPBG]]-表1[[#This Row],[Peminta]],"")</f>
        <v/>
      </c>
      <c r="J2285" s="31"/>
    </row>
    <row r="2286" s="12" customFormat="1" customHeight="1" spans="2:10">
      <c r="B2286" s="25"/>
      <c r="C2286" s="25"/>
      <c r="D2286" s="26" t="str" cm="1">
        <f t="array" ref="D2286">IF(C2286="","",IFERROR(INDEX(STPP!$D$6:$D$4207,MATCH(C2286,STPP!$C$6:$C$4207,0)),"Not Found"))</f>
        <v/>
      </c>
      <c r="E2286" s="27" t="str" cm="1">
        <f t="array" ref="E2286">IF(C2286="","",IFERROR(INDEX(STPP!$E$6:$E$4207,MATCH(C2286,STPP!$C$6:$C$4207,0)),"Not Found"))</f>
        <v/>
      </c>
      <c r="F2286" s="27" t="str" cm="1">
        <f t="array" ref="F2286">IF(C2286="","",IFERROR(INDEX(STPP!$F$6:$F$4207,MATCH(C2286,STPP!$C$6:$C$4207,0)),"Not Found"))</f>
        <v/>
      </c>
      <c r="G2286" s="25" t="str">
        <f>IF(表1[[#This Row],[No Seri]]="","",表1[[#This Row],[Deskripsi Barang]]+表1[[#This Row],[Kuantitas]]-表1[[#This Row],[Satuan]])</f>
        <v/>
      </c>
      <c r="H2286" s="28"/>
      <c r="I2286" s="25" t="str">
        <f>IF(表1[[#This Row],[Tgl NPBG]]&gt;表1[[#This Row],[Peminta]],表1[[#This Row],[Tgl NPBG]]-表1[[#This Row],[Peminta]],"")</f>
        <v/>
      </c>
      <c r="J2286" s="31"/>
    </row>
    <row r="2287" s="12" customFormat="1" customHeight="1" spans="2:10">
      <c r="B2287" s="25"/>
      <c r="C2287" s="25"/>
      <c r="D2287" s="26" t="str" cm="1">
        <f t="array" ref="D2287">IF(C2287="","",IFERROR(INDEX(STPP!$D$6:$D$4207,MATCH(C2287,STPP!$C$6:$C$4207,0)),"Not Found"))</f>
        <v/>
      </c>
      <c r="E2287" s="27" t="str" cm="1">
        <f t="array" ref="E2287">IF(C2287="","",IFERROR(INDEX(STPP!$E$6:$E$4207,MATCH(C2287,STPP!$C$6:$C$4207,0)),"Not Found"))</f>
        <v/>
      </c>
      <c r="F2287" s="27" t="str" cm="1">
        <f t="array" ref="F2287">IF(C2287="","",IFERROR(INDEX(STPP!$F$6:$F$4207,MATCH(C2287,STPP!$C$6:$C$4207,0)),"Not Found"))</f>
        <v/>
      </c>
      <c r="G2287" s="25" t="str">
        <f>IF(表1[[#This Row],[No Seri]]="","",表1[[#This Row],[Deskripsi Barang]]+表1[[#This Row],[Kuantitas]]-表1[[#This Row],[Satuan]])</f>
        <v/>
      </c>
      <c r="H2287" s="28"/>
      <c r="I2287" s="25" t="str">
        <f>IF(表1[[#This Row],[Tgl NPBG]]&gt;表1[[#This Row],[Peminta]],表1[[#This Row],[Tgl NPBG]]-表1[[#This Row],[Peminta]],"")</f>
        <v/>
      </c>
      <c r="J2287" s="31"/>
    </row>
    <row r="2288" s="12" customFormat="1" customHeight="1" spans="2:10">
      <c r="B2288" s="25"/>
      <c r="C2288" s="25"/>
      <c r="D2288" s="26" t="str" cm="1">
        <f t="array" ref="D2288">IF(C2288="","",IFERROR(INDEX(STPP!$D$6:$D$4207,MATCH(C2288,STPP!$C$6:$C$4207,0)),"Not Found"))</f>
        <v/>
      </c>
      <c r="E2288" s="27" t="str" cm="1">
        <f t="array" ref="E2288">IF(C2288="","",IFERROR(INDEX(STPP!$E$6:$E$4207,MATCH(C2288,STPP!$C$6:$C$4207,0)),"Not Found"))</f>
        <v/>
      </c>
      <c r="F2288" s="27" t="str" cm="1">
        <f t="array" ref="F2288">IF(C2288="","",IFERROR(INDEX(STPP!$F$6:$F$4207,MATCH(C2288,STPP!$C$6:$C$4207,0)),"Not Found"))</f>
        <v/>
      </c>
      <c r="G2288" s="25" t="str">
        <f>IF(表1[[#This Row],[No Seri]]="","",表1[[#This Row],[Deskripsi Barang]]+表1[[#This Row],[Kuantitas]]-表1[[#This Row],[Satuan]])</f>
        <v/>
      </c>
      <c r="H2288" s="28"/>
      <c r="I2288" s="25" t="str">
        <f>IF(表1[[#This Row],[Tgl NPBG]]&gt;表1[[#This Row],[Peminta]],表1[[#This Row],[Tgl NPBG]]-表1[[#This Row],[Peminta]],"")</f>
        <v/>
      </c>
      <c r="J2288" s="31"/>
    </row>
    <row r="2289" s="12" customFormat="1" customHeight="1" spans="2:10">
      <c r="B2289" s="25"/>
      <c r="C2289" s="25"/>
      <c r="D2289" s="26" t="str" cm="1">
        <f t="array" ref="D2289">IF(C2289="","",IFERROR(INDEX(STPP!$D$6:$D$4207,MATCH(C2289,STPP!$C$6:$C$4207,0)),"Not Found"))</f>
        <v/>
      </c>
      <c r="E2289" s="27" t="str" cm="1">
        <f t="array" ref="E2289">IF(C2289="","",IFERROR(INDEX(STPP!$E$6:$E$4207,MATCH(C2289,STPP!$C$6:$C$4207,0)),"Not Found"))</f>
        <v/>
      </c>
      <c r="F2289" s="27" t="str" cm="1">
        <f t="array" ref="F2289">IF(C2289="","",IFERROR(INDEX(STPP!$F$6:$F$4207,MATCH(C2289,STPP!$C$6:$C$4207,0)),"Not Found"))</f>
        <v/>
      </c>
      <c r="G2289" s="25" t="str">
        <f>IF(表1[[#This Row],[No Seri]]="","",表1[[#This Row],[Deskripsi Barang]]+表1[[#This Row],[Kuantitas]]-表1[[#This Row],[Satuan]])</f>
        <v/>
      </c>
      <c r="H2289" s="28"/>
      <c r="I2289" s="25" t="str">
        <f>IF(表1[[#This Row],[Tgl NPBG]]&gt;表1[[#This Row],[Peminta]],表1[[#This Row],[Tgl NPBG]]-表1[[#This Row],[Peminta]],"")</f>
        <v/>
      </c>
      <c r="J2289" s="31"/>
    </row>
    <row r="2290" s="12" customFormat="1" customHeight="1" spans="2:10">
      <c r="B2290" s="25"/>
      <c r="C2290" s="25"/>
      <c r="D2290" s="26" t="str" cm="1">
        <f t="array" ref="D2290">IF(C2290="","",IFERROR(INDEX(STPP!$D$6:$D$4207,MATCH(C2290,STPP!$C$6:$C$4207,0)),"Not Found"))</f>
        <v/>
      </c>
      <c r="E2290" s="27" t="str" cm="1">
        <f t="array" ref="E2290">IF(C2290="","",IFERROR(INDEX(STPP!$E$6:$E$4207,MATCH(C2290,STPP!$C$6:$C$4207,0)),"Not Found"))</f>
        <v/>
      </c>
      <c r="F2290" s="27" t="str" cm="1">
        <f t="array" ref="F2290">IF(C2290="","",IFERROR(INDEX(STPP!$F$6:$F$4207,MATCH(C2290,STPP!$C$6:$C$4207,0)),"Not Found"))</f>
        <v/>
      </c>
      <c r="G2290" s="25" t="str">
        <f>IF(表1[[#This Row],[No Seri]]="","",表1[[#This Row],[Deskripsi Barang]]+表1[[#This Row],[Kuantitas]]-表1[[#This Row],[Satuan]])</f>
        <v/>
      </c>
      <c r="H2290" s="28"/>
      <c r="I2290" s="25" t="str">
        <f>IF(表1[[#This Row],[Tgl NPBG]]&gt;表1[[#This Row],[Peminta]],表1[[#This Row],[Tgl NPBG]]-表1[[#This Row],[Peminta]],"")</f>
        <v/>
      </c>
      <c r="J2290" s="31"/>
    </row>
    <row r="2291" s="12" customFormat="1" customHeight="1" spans="2:10">
      <c r="B2291" s="25"/>
      <c r="C2291" s="25"/>
      <c r="D2291" s="26" t="str" cm="1">
        <f t="array" ref="D2291">IF(C2291="","",IFERROR(INDEX(STPP!$D$6:$D$4207,MATCH(C2291,STPP!$C$6:$C$4207,0)),"Not Found"))</f>
        <v/>
      </c>
      <c r="E2291" s="27" t="str" cm="1">
        <f t="array" ref="E2291">IF(C2291="","",IFERROR(INDEX(STPP!$E$6:$E$4207,MATCH(C2291,STPP!$C$6:$C$4207,0)),"Not Found"))</f>
        <v/>
      </c>
      <c r="F2291" s="27" t="str" cm="1">
        <f t="array" ref="F2291">IF(C2291="","",IFERROR(INDEX(STPP!$F$6:$F$4207,MATCH(C2291,STPP!$C$6:$C$4207,0)),"Not Found"))</f>
        <v/>
      </c>
      <c r="G2291" s="25" t="str">
        <f>IF(表1[[#This Row],[No Seri]]="","",表1[[#This Row],[Deskripsi Barang]]+表1[[#This Row],[Kuantitas]]-表1[[#This Row],[Satuan]])</f>
        <v/>
      </c>
      <c r="H2291" s="28"/>
      <c r="I2291" s="25" t="str">
        <f>IF(表1[[#This Row],[Tgl NPBG]]&gt;表1[[#This Row],[Peminta]],表1[[#This Row],[Tgl NPBG]]-表1[[#This Row],[Peminta]],"")</f>
        <v/>
      </c>
      <c r="J2291" s="31"/>
    </row>
    <row r="2292" s="12" customFormat="1" customHeight="1" spans="2:10">
      <c r="B2292" s="25"/>
      <c r="C2292" s="25"/>
      <c r="D2292" s="26" t="str" cm="1">
        <f t="array" ref="D2292">IF(C2292="","",IFERROR(INDEX(STPP!$D$6:$D$4207,MATCH(C2292,STPP!$C$6:$C$4207,0)),"Not Found"))</f>
        <v/>
      </c>
      <c r="E2292" s="27" t="str" cm="1">
        <f t="array" ref="E2292">IF(C2292="","",IFERROR(INDEX(STPP!$E$6:$E$4207,MATCH(C2292,STPP!$C$6:$C$4207,0)),"Not Found"))</f>
        <v/>
      </c>
      <c r="F2292" s="27" t="str" cm="1">
        <f t="array" ref="F2292">IF(C2292="","",IFERROR(INDEX(STPP!$F$6:$F$4207,MATCH(C2292,STPP!$C$6:$C$4207,0)),"Not Found"))</f>
        <v/>
      </c>
      <c r="G2292" s="25" t="str">
        <f>IF(表1[[#This Row],[No Seri]]="","",表1[[#This Row],[Deskripsi Barang]]+表1[[#This Row],[Kuantitas]]-表1[[#This Row],[Satuan]])</f>
        <v/>
      </c>
      <c r="H2292" s="28"/>
      <c r="I2292" s="25" t="str">
        <f>IF(表1[[#This Row],[Tgl NPBG]]&gt;表1[[#This Row],[Peminta]],表1[[#This Row],[Tgl NPBG]]-表1[[#This Row],[Peminta]],"")</f>
        <v/>
      </c>
      <c r="J2292" s="31"/>
    </row>
    <row r="2293" s="12" customFormat="1" customHeight="1" spans="2:10">
      <c r="B2293" s="25"/>
      <c r="C2293" s="25"/>
      <c r="D2293" s="26" t="str" cm="1">
        <f t="array" ref="D2293">IF(C2293="","",IFERROR(INDEX(STPP!$D$6:$D$4207,MATCH(C2293,STPP!$C$6:$C$4207,0)),"Not Found"))</f>
        <v/>
      </c>
      <c r="E2293" s="27" t="str" cm="1">
        <f t="array" ref="E2293">IF(C2293="","",IFERROR(INDEX(STPP!$E$6:$E$4207,MATCH(C2293,STPP!$C$6:$C$4207,0)),"Not Found"))</f>
        <v/>
      </c>
      <c r="F2293" s="27" t="str" cm="1">
        <f t="array" ref="F2293">IF(C2293="","",IFERROR(INDEX(STPP!$F$6:$F$4207,MATCH(C2293,STPP!$C$6:$C$4207,0)),"Not Found"))</f>
        <v/>
      </c>
      <c r="G2293" s="25" t="str">
        <f>IF(表1[[#This Row],[No Seri]]="","",表1[[#This Row],[Deskripsi Barang]]+表1[[#This Row],[Kuantitas]]-表1[[#This Row],[Satuan]])</f>
        <v/>
      </c>
      <c r="H2293" s="28"/>
      <c r="I2293" s="25" t="str">
        <f>IF(表1[[#This Row],[Tgl NPBG]]&gt;表1[[#This Row],[Peminta]],表1[[#This Row],[Tgl NPBG]]-表1[[#This Row],[Peminta]],"")</f>
        <v/>
      </c>
      <c r="J2293" s="31"/>
    </row>
    <row r="2294" s="12" customFormat="1" customHeight="1" spans="2:10">
      <c r="B2294" s="25"/>
      <c r="C2294" s="25"/>
      <c r="D2294" s="26" t="str" cm="1">
        <f t="array" ref="D2294">IF(C2294="","",IFERROR(INDEX(STPP!$D$6:$D$4207,MATCH(C2294,STPP!$C$6:$C$4207,0)),"Not Found"))</f>
        <v/>
      </c>
      <c r="E2294" s="27" t="str" cm="1">
        <f t="array" ref="E2294">IF(C2294="","",IFERROR(INDEX(STPP!$E$6:$E$4207,MATCH(C2294,STPP!$C$6:$C$4207,0)),"Not Found"))</f>
        <v/>
      </c>
      <c r="F2294" s="27" t="str" cm="1">
        <f t="array" ref="F2294">IF(C2294="","",IFERROR(INDEX(STPP!$F$6:$F$4207,MATCH(C2294,STPP!$C$6:$C$4207,0)),"Not Found"))</f>
        <v/>
      </c>
      <c r="G2294" s="25" t="str">
        <f>IF(表1[[#This Row],[No Seri]]="","",表1[[#This Row],[Deskripsi Barang]]+表1[[#This Row],[Kuantitas]]-表1[[#This Row],[Satuan]])</f>
        <v/>
      </c>
      <c r="H2294" s="28"/>
      <c r="I2294" s="25" t="str">
        <f>IF(表1[[#This Row],[Tgl NPBG]]&gt;表1[[#This Row],[Peminta]],表1[[#This Row],[Tgl NPBG]]-表1[[#This Row],[Peminta]],"")</f>
        <v/>
      </c>
      <c r="J2294" s="31"/>
    </row>
    <row r="2295" s="12" customFormat="1" customHeight="1" spans="2:10">
      <c r="B2295" s="25"/>
      <c r="C2295" s="25"/>
      <c r="D2295" s="26" t="str" cm="1">
        <f t="array" ref="D2295">IF(C2295="","",IFERROR(INDEX(STPP!$D$6:$D$4207,MATCH(C2295,STPP!$C$6:$C$4207,0)),"Not Found"))</f>
        <v/>
      </c>
      <c r="E2295" s="27" t="str" cm="1">
        <f t="array" ref="E2295">IF(C2295="","",IFERROR(INDEX(STPP!$E$6:$E$4207,MATCH(C2295,STPP!$C$6:$C$4207,0)),"Not Found"))</f>
        <v/>
      </c>
      <c r="F2295" s="27" t="str" cm="1">
        <f t="array" ref="F2295">IF(C2295="","",IFERROR(INDEX(STPP!$F$6:$F$4207,MATCH(C2295,STPP!$C$6:$C$4207,0)),"Not Found"))</f>
        <v/>
      </c>
      <c r="G2295" s="25" t="str">
        <f>IF(表1[[#This Row],[No Seri]]="","",表1[[#This Row],[Deskripsi Barang]]+表1[[#This Row],[Kuantitas]]-表1[[#This Row],[Satuan]])</f>
        <v/>
      </c>
      <c r="H2295" s="28"/>
      <c r="I2295" s="25" t="str">
        <f>IF(表1[[#This Row],[Tgl NPBG]]&gt;表1[[#This Row],[Peminta]],表1[[#This Row],[Tgl NPBG]]-表1[[#This Row],[Peminta]],"")</f>
        <v/>
      </c>
      <c r="J2295" s="31"/>
    </row>
    <row r="2296" s="12" customFormat="1" customHeight="1" spans="2:10">
      <c r="B2296" s="25"/>
      <c r="C2296" s="25"/>
      <c r="D2296" s="26" t="str" cm="1">
        <f t="array" ref="D2296">IF(C2296="","",IFERROR(INDEX(STPP!$D$6:$D$4207,MATCH(C2296,STPP!$C$6:$C$4207,0)),"Not Found"))</f>
        <v/>
      </c>
      <c r="E2296" s="27" t="str" cm="1">
        <f t="array" ref="E2296">IF(C2296="","",IFERROR(INDEX(STPP!$E$6:$E$4207,MATCH(C2296,STPP!$C$6:$C$4207,0)),"Not Found"))</f>
        <v/>
      </c>
      <c r="F2296" s="27" t="str" cm="1">
        <f t="array" ref="F2296">IF(C2296="","",IFERROR(INDEX(STPP!$F$6:$F$4207,MATCH(C2296,STPP!$C$6:$C$4207,0)),"Not Found"))</f>
        <v/>
      </c>
      <c r="G2296" s="25" t="str">
        <f>IF(表1[[#This Row],[No Seri]]="","",表1[[#This Row],[Deskripsi Barang]]+表1[[#This Row],[Kuantitas]]-表1[[#This Row],[Satuan]])</f>
        <v/>
      </c>
      <c r="H2296" s="28"/>
      <c r="I2296" s="25" t="str">
        <f>IF(表1[[#This Row],[Tgl NPBG]]&gt;表1[[#This Row],[Peminta]],表1[[#This Row],[Tgl NPBG]]-表1[[#This Row],[Peminta]],"")</f>
        <v/>
      </c>
      <c r="J2296" s="31"/>
    </row>
    <row r="2297" s="12" customFormat="1" customHeight="1" spans="2:10">
      <c r="B2297" s="25"/>
      <c r="C2297" s="25"/>
      <c r="D2297" s="26" t="str" cm="1">
        <f t="array" ref="D2297">IF(C2297="","",IFERROR(INDEX(STPP!$D$6:$D$4207,MATCH(C2297,STPP!$C$6:$C$4207,0)),"Not Found"))</f>
        <v/>
      </c>
      <c r="E2297" s="27" t="str" cm="1">
        <f t="array" ref="E2297">IF(C2297="","",IFERROR(INDEX(STPP!$E$6:$E$4207,MATCH(C2297,STPP!$C$6:$C$4207,0)),"Not Found"))</f>
        <v/>
      </c>
      <c r="F2297" s="27" t="str" cm="1">
        <f t="array" ref="F2297">IF(C2297="","",IFERROR(INDEX(STPP!$F$6:$F$4207,MATCH(C2297,STPP!$C$6:$C$4207,0)),"Not Found"))</f>
        <v/>
      </c>
      <c r="G2297" s="25" t="str">
        <f>IF(表1[[#This Row],[No Seri]]="","",表1[[#This Row],[Deskripsi Barang]]+表1[[#This Row],[Kuantitas]]-表1[[#This Row],[Satuan]])</f>
        <v/>
      </c>
      <c r="H2297" s="28"/>
      <c r="I2297" s="25" t="str">
        <f>IF(表1[[#This Row],[Tgl NPBG]]&gt;表1[[#This Row],[Peminta]],表1[[#This Row],[Tgl NPBG]]-表1[[#This Row],[Peminta]],"")</f>
        <v/>
      </c>
      <c r="J2297" s="31"/>
    </row>
    <row r="2298" s="12" customFormat="1" customHeight="1" spans="2:10">
      <c r="B2298" s="25"/>
      <c r="C2298" s="25"/>
      <c r="D2298" s="26" t="str" cm="1">
        <f t="array" ref="D2298">IF(C2298="","",IFERROR(INDEX(STPP!$D$6:$D$4207,MATCH(C2298,STPP!$C$6:$C$4207,0)),"Not Found"))</f>
        <v/>
      </c>
      <c r="E2298" s="27" t="str" cm="1">
        <f t="array" ref="E2298">IF(C2298="","",IFERROR(INDEX(STPP!$E$6:$E$4207,MATCH(C2298,STPP!$C$6:$C$4207,0)),"Not Found"))</f>
        <v/>
      </c>
      <c r="F2298" s="27" t="str" cm="1">
        <f t="array" ref="F2298">IF(C2298="","",IFERROR(INDEX(STPP!$F$6:$F$4207,MATCH(C2298,STPP!$C$6:$C$4207,0)),"Not Found"))</f>
        <v/>
      </c>
      <c r="G2298" s="25" t="str">
        <f>IF(表1[[#This Row],[No Seri]]="","",表1[[#This Row],[Deskripsi Barang]]+表1[[#This Row],[Kuantitas]]-表1[[#This Row],[Satuan]])</f>
        <v/>
      </c>
      <c r="H2298" s="28"/>
      <c r="I2298" s="25" t="str">
        <f>IF(表1[[#This Row],[Tgl NPBG]]&gt;表1[[#This Row],[Peminta]],表1[[#This Row],[Tgl NPBG]]-表1[[#This Row],[Peminta]],"")</f>
        <v/>
      </c>
      <c r="J2298" s="31"/>
    </row>
    <row r="2299" s="12" customFormat="1" customHeight="1" spans="2:10">
      <c r="B2299" s="25"/>
      <c r="C2299" s="25"/>
      <c r="D2299" s="26" t="str" cm="1">
        <f t="array" ref="D2299">IF(C2299="","",IFERROR(INDEX(STPP!$D$6:$D$4207,MATCH(C2299,STPP!$C$6:$C$4207,0)),"Not Found"))</f>
        <v/>
      </c>
      <c r="E2299" s="27" t="str" cm="1">
        <f t="array" ref="E2299">IF(C2299="","",IFERROR(INDEX(STPP!$E$6:$E$4207,MATCH(C2299,STPP!$C$6:$C$4207,0)),"Not Found"))</f>
        <v/>
      </c>
      <c r="F2299" s="27" t="str" cm="1">
        <f t="array" ref="F2299">IF(C2299="","",IFERROR(INDEX(STPP!$F$6:$F$4207,MATCH(C2299,STPP!$C$6:$C$4207,0)),"Not Found"))</f>
        <v/>
      </c>
      <c r="G2299" s="25" t="str">
        <f>IF(表1[[#This Row],[No Seri]]="","",表1[[#This Row],[Deskripsi Barang]]+表1[[#This Row],[Kuantitas]]-表1[[#This Row],[Satuan]])</f>
        <v/>
      </c>
      <c r="H2299" s="28"/>
      <c r="I2299" s="25" t="str">
        <f>IF(表1[[#This Row],[Tgl NPBG]]&gt;表1[[#This Row],[Peminta]],表1[[#This Row],[Tgl NPBG]]-表1[[#This Row],[Peminta]],"")</f>
        <v/>
      </c>
      <c r="J2299" s="31"/>
    </row>
    <row r="2300" s="12" customFormat="1" customHeight="1" spans="2:10">
      <c r="B2300" s="25"/>
      <c r="C2300" s="25"/>
      <c r="D2300" s="26" t="str" cm="1">
        <f t="array" ref="D2300">IF(C2300="","",IFERROR(INDEX(STPP!$D$6:$D$4207,MATCH(C2300,STPP!$C$6:$C$4207,0)),"Not Found"))</f>
        <v/>
      </c>
      <c r="E2300" s="27" t="str" cm="1">
        <f t="array" ref="E2300">IF(C2300="","",IFERROR(INDEX(STPP!$E$6:$E$4207,MATCH(C2300,STPP!$C$6:$C$4207,0)),"Not Found"))</f>
        <v/>
      </c>
      <c r="F2300" s="27" t="str" cm="1">
        <f t="array" ref="F2300">IF(C2300="","",IFERROR(INDEX(STPP!$F$6:$F$4207,MATCH(C2300,STPP!$C$6:$C$4207,0)),"Not Found"))</f>
        <v/>
      </c>
      <c r="G2300" s="25" t="str">
        <f>IF(表1[[#This Row],[No Seri]]="","",表1[[#This Row],[Deskripsi Barang]]+表1[[#This Row],[Kuantitas]]-表1[[#This Row],[Satuan]])</f>
        <v/>
      </c>
      <c r="H2300" s="28"/>
      <c r="I2300" s="25" t="str">
        <f>IF(表1[[#This Row],[Tgl NPBG]]&gt;表1[[#This Row],[Peminta]],表1[[#This Row],[Tgl NPBG]]-表1[[#This Row],[Peminta]],"")</f>
        <v/>
      </c>
      <c r="J2300" s="31"/>
    </row>
    <row r="2301" s="12" customFormat="1" customHeight="1" spans="2:10">
      <c r="B2301" s="25"/>
      <c r="C2301" s="25"/>
      <c r="D2301" s="26" t="str" cm="1">
        <f t="array" ref="D2301">IF(C2301="","",IFERROR(INDEX(STPP!$D$6:$D$4207,MATCH(C2301,STPP!$C$6:$C$4207,0)),"Not Found"))</f>
        <v/>
      </c>
      <c r="E2301" s="27" t="str" cm="1">
        <f t="array" ref="E2301">IF(C2301="","",IFERROR(INDEX(STPP!$E$6:$E$4207,MATCH(C2301,STPP!$C$6:$C$4207,0)),"Not Found"))</f>
        <v/>
      </c>
      <c r="F2301" s="27" t="str" cm="1">
        <f t="array" ref="F2301">IF(C2301="","",IFERROR(INDEX(STPP!$F$6:$F$4207,MATCH(C2301,STPP!$C$6:$C$4207,0)),"Not Found"))</f>
        <v/>
      </c>
      <c r="G2301" s="25" t="str">
        <f>IF(表1[[#This Row],[No Seri]]="","",表1[[#This Row],[Deskripsi Barang]]+表1[[#This Row],[Kuantitas]]-表1[[#This Row],[Satuan]])</f>
        <v/>
      </c>
      <c r="H2301" s="28"/>
      <c r="I2301" s="25" t="str">
        <f>IF(表1[[#This Row],[Tgl NPBG]]&gt;表1[[#This Row],[Peminta]],表1[[#This Row],[Tgl NPBG]]-表1[[#This Row],[Peminta]],"")</f>
        <v/>
      </c>
      <c r="J2301" s="31"/>
    </row>
    <row r="2302" s="12" customFormat="1" customHeight="1" spans="2:10">
      <c r="B2302" s="25"/>
      <c r="C2302" s="25"/>
      <c r="D2302" s="26" t="str" cm="1">
        <f t="array" ref="D2302">IF(C2302="","",IFERROR(INDEX(STPP!$D$6:$D$4207,MATCH(C2302,STPP!$C$6:$C$4207,0)),"Not Found"))</f>
        <v/>
      </c>
      <c r="E2302" s="27" t="str" cm="1">
        <f t="array" ref="E2302">IF(C2302="","",IFERROR(INDEX(STPP!$E$6:$E$4207,MATCH(C2302,STPP!$C$6:$C$4207,0)),"Not Found"))</f>
        <v/>
      </c>
      <c r="F2302" s="27" t="str" cm="1">
        <f t="array" ref="F2302">IF(C2302="","",IFERROR(INDEX(STPP!$F$6:$F$4207,MATCH(C2302,STPP!$C$6:$C$4207,0)),"Not Found"))</f>
        <v/>
      </c>
      <c r="G2302" s="25" t="str">
        <f>IF(表1[[#This Row],[No Seri]]="","",表1[[#This Row],[Deskripsi Barang]]+表1[[#This Row],[Kuantitas]]-表1[[#This Row],[Satuan]])</f>
        <v/>
      </c>
      <c r="H2302" s="28"/>
      <c r="I2302" s="25" t="str">
        <f>IF(表1[[#This Row],[Tgl NPBG]]&gt;表1[[#This Row],[Peminta]],表1[[#This Row],[Tgl NPBG]]-表1[[#This Row],[Peminta]],"")</f>
        <v/>
      </c>
      <c r="J2302" s="31"/>
    </row>
    <row r="2303" s="12" customFormat="1" customHeight="1" spans="2:10">
      <c r="B2303" s="25"/>
      <c r="C2303" s="25"/>
      <c r="D2303" s="26" t="str" cm="1">
        <f t="array" ref="D2303">IF(C2303="","",IFERROR(INDEX(STPP!$D$6:$D$4207,MATCH(C2303,STPP!$C$6:$C$4207,0)),"Not Found"))</f>
        <v/>
      </c>
      <c r="E2303" s="27" t="str" cm="1">
        <f t="array" ref="E2303">IF(C2303="","",IFERROR(INDEX(STPP!$E$6:$E$4207,MATCH(C2303,STPP!$C$6:$C$4207,0)),"Not Found"))</f>
        <v/>
      </c>
      <c r="F2303" s="27" t="str" cm="1">
        <f t="array" ref="F2303">IF(C2303="","",IFERROR(INDEX(STPP!$F$6:$F$4207,MATCH(C2303,STPP!$C$6:$C$4207,0)),"Not Found"))</f>
        <v/>
      </c>
      <c r="G2303" s="25" t="str">
        <f>IF(表1[[#This Row],[No Seri]]="","",表1[[#This Row],[Deskripsi Barang]]+表1[[#This Row],[Kuantitas]]-表1[[#This Row],[Satuan]])</f>
        <v/>
      </c>
      <c r="H2303" s="28"/>
      <c r="I2303" s="25" t="str">
        <f>IF(表1[[#This Row],[Tgl NPBG]]&gt;表1[[#This Row],[Peminta]],表1[[#This Row],[Tgl NPBG]]-表1[[#This Row],[Peminta]],"")</f>
        <v/>
      </c>
      <c r="J2303" s="31"/>
    </row>
    <row r="2304" s="12" customFormat="1" customHeight="1" spans="2:10">
      <c r="B2304" s="25"/>
      <c r="C2304" s="25"/>
      <c r="D2304" s="26" t="str" cm="1">
        <f t="array" ref="D2304">IF(C2304="","",IFERROR(INDEX(STPP!$D$6:$D$4207,MATCH(C2304,STPP!$C$6:$C$4207,0)),"Not Found"))</f>
        <v/>
      </c>
      <c r="E2304" s="27" t="str" cm="1">
        <f t="array" ref="E2304">IF(C2304="","",IFERROR(INDEX(STPP!$E$6:$E$4207,MATCH(C2304,STPP!$C$6:$C$4207,0)),"Not Found"))</f>
        <v/>
      </c>
      <c r="F2304" s="27" t="str" cm="1">
        <f t="array" ref="F2304">IF(C2304="","",IFERROR(INDEX(STPP!$F$6:$F$4207,MATCH(C2304,STPP!$C$6:$C$4207,0)),"Not Found"))</f>
        <v/>
      </c>
      <c r="G2304" s="25" t="str">
        <f>IF(表1[[#This Row],[No Seri]]="","",表1[[#This Row],[Deskripsi Barang]]+表1[[#This Row],[Kuantitas]]-表1[[#This Row],[Satuan]])</f>
        <v/>
      </c>
      <c r="H2304" s="28"/>
      <c r="I2304" s="25" t="str">
        <f>IF(表1[[#This Row],[Tgl NPBG]]&gt;表1[[#This Row],[Peminta]],表1[[#This Row],[Tgl NPBG]]-表1[[#This Row],[Peminta]],"")</f>
        <v/>
      </c>
      <c r="J2304" s="31"/>
    </row>
    <row r="2305" s="12" customFormat="1" customHeight="1" spans="2:10">
      <c r="B2305" s="25"/>
      <c r="C2305" s="25"/>
      <c r="D2305" s="26" t="str" cm="1">
        <f t="array" ref="D2305">IF(C2305="","",IFERROR(INDEX(STPP!$D$6:$D$4207,MATCH(C2305,STPP!$C$6:$C$4207,0)),"Not Found"))</f>
        <v/>
      </c>
      <c r="E2305" s="27" t="str" cm="1">
        <f t="array" ref="E2305">IF(C2305="","",IFERROR(INDEX(STPP!$E$6:$E$4207,MATCH(C2305,STPP!$C$6:$C$4207,0)),"Not Found"))</f>
        <v/>
      </c>
      <c r="F2305" s="27" t="str" cm="1">
        <f t="array" ref="F2305">IF(C2305="","",IFERROR(INDEX(STPP!$F$6:$F$4207,MATCH(C2305,STPP!$C$6:$C$4207,0)),"Not Found"))</f>
        <v/>
      </c>
      <c r="G2305" s="25" t="str">
        <f>IF(表1[[#This Row],[No Seri]]="","",表1[[#This Row],[Deskripsi Barang]]+表1[[#This Row],[Kuantitas]]-表1[[#This Row],[Satuan]])</f>
        <v/>
      </c>
      <c r="H2305" s="28"/>
      <c r="I2305" s="25" t="str">
        <f>IF(表1[[#This Row],[Tgl NPBG]]&gt;表1[[#This Row],[Peminta]],表1[[#This Row],[Tgl NPBG]]-表1[[#This Row],[Peminta]],"")</f>
        <v/>
      </c>
      <c r="J2305" s="31"/>
    </row>
    <row r="2306" s="12" customFormat="1" customHeight="1" spans="2:10">
      <c r="B2306" s="25"/>
      <c r="C2306" s="25"/>
      <c r="D2306" s="26" t="str" cm="1">
        <f t="array" ref="D2306">IF(C2306="","",IFERROR(INDEX(STPP!$D$6:$D$4207,MATCH(C2306,STPP!$C$6:$C$4207,0)),"Not Found"))</f>
        <v/>
      </c>
      <c r="E2306" s="27" t="str" cm="1">
        <f t="array" ref="E2306">IF(C2306="","",IFERROR(INDEX(STPP!$E$6:$E$4207,MATCH(C2306,STPP!$C$6:$C$4207,0)),"Not Found"))</f>
        <v/>
      </c>
      <c r="F2306" s="27" t="str" cm="1">
        <f t="array" ref="F2306">IF(C2306="","",IFERROR(INDEX(STPP!$F$6:$F$4207,MATCH(C2306,STPP!$C$6:$C$4207,0)),"Not Found"))</f>
        <v/>
      </c>
      <c r="G2306" s="25" t="str">
        <f>IF(表1[[#This Row],[No Seri]]="","",表1[[#This Row],[Deskripsi Barang]]+表1[[#This Row],[Kuantitas]]-表1[[#This Row],[Satuan]])</f>
        <v/>
      </c>
      <c r="H2306" s="28"/>
      <c r="I2306" s="25" t="str">
        <f>IF(表1[[#This Row],[Tgl NPBG]]&gt;表1[[#This Row],[Peminta]],表1[[#This Row],[Tgl NPBG]]-表1[[#This Row],[Peminta]],"")</f>
        <v/>
      </c>
      <c r="J2306" s="31"/>
    </row>
    <row r="2307" s="12" customFormat="1" customHeight="1" spans="2:10">
      <c r="B2307" s="25"/>
      <c r="C2307" s="25"/>
      <c r="D2307" s="26" t="str" cm="1">
        <f t="array" ref="D2307">IF(C2307="","",IFERROR(INDEX(STPP!$D$6:$D$4207,MATCH(C2307,STPP!$C$6:$C$4207,0)),"Not Found"))</f>
        <v/>
      </c>
      <c r="E2307" s="27" t="str" cm="1">
        <f t="array" ref="E2307">IF(C2307="","",IFERROR(INDEX(STPP!$E$6:$E$4207,MATCH(C2307,STPP!$C$6:$C$4207,0)),"Not Found"))</f>
        <v/>
      </c>
      <c r="F2307" s="27" t="str" cm="1">
        <f t="array" ref="F2307">IF(C2307="","",IFERROR(INDEX(STPP!$F$6:$F$4207,MATCH(C2307,STPP!$C$6:$C$4207,0)),"Not Found"))</f>
        <v/>
      </c>
      <c r="G2307" s="25" t="str">
        <f>IF(表1[[#This Row],[No Seri]]="","",表1[[#This Row],[Deskripsi Barang]]+表1[[#This Row],[Kuantitas]]-表1[[#This Row],[Satuan]])</f>
        <v/>
      </c>
      <c r="H2307" s="28"/>
      <c r="I2307" s="25" t="str">
        <f>IF(表1[[#This Row],[Tgl NPBG]]&gt;表1[[#This Row],[Peminta]],表1[[#This Row],[Tgl NPBG]]-表1[[#This Row],[Peminta]],"")</f>
        <v/>
      </c>
      <c r="J2307" s="31"/>
    </row>
    <row r="2308" s="12" customFormat="1" customHeight="1" spans="2:10">
      <c r="B2308" s="25"/>
      <c r="C2308" s="25"/>
      <c r="D2308" s="26" t="str" cm="1">
        <f t="array" ref="D2308">IF(C2308="","",IFERROR(INDEX(STPP!$D$6:$D$4207,MATCH(C2308,STPP!$C$6:$C$4207,0)),"Not Found"))</f>
        <v/>
      </c>
      <c r="E2308" s="27" t="str" cm="1">
        <f t="array" ref="E2308">IF(C2308="","",IFERROR(INDEX(STPP!$E$6:$E$4207,MATCH(C2308,STPP!$C$6:$C$4207,0)),"Not Found"))</f>
        <v/>
      </c>
      <c r="F2308" s="27" t="str" cm="1">
        <f t="array" ref="F2308">IF(C2308="","",IFERROR(INDEX(STPP!$F$6:$F$4207,MATCH(C2308,STPP!$C$6:$C$4207,0)),"Not Found"))</f>
        <v/>
      </c>
      <c r="G2308" s="25" t="str">
        <f>IF(表1[[#This Row],[No Seri]]="","",表1[[#This Row],[Deskripsi Barang]]+表1[[#This Row],[Kuantitas]]-表1[[#This Row],[Satuan]])</f>
        <v/>
      </c>
      <c r="H2308" s="28"/>
      <c r="I2308" s="25" t="str">
        <f>IF(表1[[#This Row],[Tgl NPBG]]&gt;表1[[#This Row],[Peminta]],表1[[#This Row],[Tgl NPBG]]-表1[[#This Row],[Peminta]],"")</f>
        <v/>
      </c>
      <c r="J2308" s="31"/>
    </row>
    <row r="2309" s="12" customFormat="1" customHeight="1" spans="2:10">
      <c r="B2309" s="25"/>
      <c r="C2309" s="25"/>
      <c r="D2309" s="26" t="str" cm="1">
        <f t="array" ref="D2309">IF(C2309="","",IFERROR(INDEX(STPP!$D$6:$D$4207,MATCH(C2309,STPP!$C$6:$C$4207,0)),"Not Found"))</f>
        <v/>
      </c>
      <c r="E2309" s="27" t="str" cm="1">
        <f t="array" ref="E2309">IF(C2309="","",IFERROR(INDEX(STPP!$E$6:$E$4207,MATCH(C2309,STPP!$C$6:$C$4207,0)),"Not Found"))</f>
        <v/>
      </c>
      <c r="F2309" s="27" t="str" cm="1">
        <f t="array" ref="F2309">IF(C2309="","",IFERROR(INDEX(STPP!$F$6:$F$4207,MATCH(C2309,STPP!$C$6:$C$4207,0)),"Not Found"))</f>
        <v/>
      </c>
      <c r="G2309" s="25" t="str">
        <f>IF(表1[[#This Row],[No Seri]]="","",表1[[#This Row],[Deskripsi Barang]]+表1[[#This Row],[Kuantitas]]-表1[[#This Row],[Satuan]])</f>
        <v/>
      </c>
      <c r="H2309" s="28"/>
      <c r="I2309" s="25" t="str">
        <f>IF(表1[[#This Row],[Tgl NPBG]]&gt;表1[[#This Row],[Peminta]],表1[[#This Row],[Tgl NPBG]]-表1[[#This Row],[Peminta]],"")</f>
        <v/>
      </c>
      <c r="J2309" s="31"/>
    </row>
    <row r="2310" s="12" customFormat="1" customHeight="1" spans="2:10">
      <c r="B2310" s="25"/>
      <c r="C2310" s="25"/>
      <c r="D2310" s="26" t="str" cm="1">
        <f t="array" ref="D2310">IF(C2310="","",IFERROR(INDEX(STPP!$D$6:$D$4207,MATCH(C2310,STPP!$C$6:$C$4207,0)),"Not Found"))</f>
        <v/>
      </c>
      <c r="E2310" s="27" t="str" cm="1">
        <f t="array" ref="E2310">IF(C2310="","",IFERROR(INDEX(STPP!$E$6:$E$4207,MATCH(C2310,STPP!$C$6:$C$4207,0)),"Not Found"))</f>
        <v/>
      </c>
      <c r="F2310" s="27" t="str" cm="1">
        <f t="array" ref="F2310">IF(C2310="","",IFERROR(INDEX(STPP!$F$6:$F$4207,MATCH(C2310,STPP!$C$6:$C$4207,0)),"Not Found"))</f>
        <v/>
      </c>
      <c r="G2310" s="25" t="str">
        <f>IF(表1[[#This Row],[No Seri]]="","",表1[[#This Row],[Deskripsi Barang]]+表1[[#This Row],[Kuantitas]]-表1[[#This Row],[Satuan]])</f>
        <v/>
      </c>
      <c r="H2310" s="28"/>
      <c r="I2310" s="25" t="str">
        <f>IF(表1[[#This Row],[Tgl NPBG]]&gt;表1[[#This Row],[Peminta]],表1[[#This Row],[Tgl NPBG]]-表1[[#This Row],[Peminta]],"")</f>
        <v/>
      </c>
      <c r="J2310" s="31"/>
    </row>
    <row r="2311" s="12" customFormat="1" customHeight="1" spans="2:10">
      <c r="B2311" s="25"/>
      <c r="C2311" s="25"/>
      <c r="D2311" s="26" t="str" cm="1">
        <f t="array" ref="D2311">IF(C2311="","",IFERROR(INDEX(STPP!$D$6:$D$4207,MATCH(C2311,STPP!$C$6:$C$4207,0)),"Not Found"))</f>
        <v/>
      </c>
      <c r="E2311" s="27" t="str" cm="1">
        <f t="array" ref="E2311">IF(C2311="","",IFERROR(INDEX(STPP!$E$6:$E$4207,MATCH(C2311,STPP!$C$6:$C$4207,0)),"Not Found"))</f>
        <v/>
      </c>
      <c r="F2311" s="27" t="str" cm="1">
        <f t="array" ref="F2311">IF(C2311="","",IFERROR(INDEX(STPP!$F$6:$F$4207,MATCH(C2311,STPP!$C$6:$C$4207,0)),"Not Found"))</f>
        <v/>
      </c>
      <c r="G2311" s="25" t="str">
        <f>IF(表1[[#This Row],[No Seri]]="","",表1[[#This Row],[Deskripsi Barang]]+表1[[#This Row],[Kuantitas]]-表1[[#This Row],[Satuan]])</f>
        <v/>
      </c>
      <c r="H2311" s="28"/>
      <c r="I2311" s="25" t="str">
        <f>IF(表1[[#This Row],[Tgl NPBG]]&gt;表1[[#This Row],[Peminta]],表1[[#This Row],[Tgl NPBG]]-表1[[#This Row],[Peminta]],"")</f>
        <v/>
      </c>
      <c r="J2311" s="31"/>
    </row>
    <row r="2312" s="12" customFormat="1" customHeight="1" spans="2:10">
      <c r="B2312" s="25"/>
      <c r="C2312" s="25"/>
      <c r="D2312" s="26" t="str" cm="1">
        <f t="array" ref="D2312">IF(C2312="","",IFERROR(INDEX(STPP!$D$6:$D$4207,MATCH(C2312,STPP!$C$6:$C$4207,0)),"Not Found"))</f>
        <v/>
      </c>
      <c r="E2312" s="27" t="str" cm="1">
        <f t="array" ref="E2312">IF(C2312="","",IFERROR(INDEX(STPP!$E$6:$E$4207,MATCH(C2312,STPP!$C$6:$C$4207,0)),"Not Found"))</f>
        <v/>
      </c>
      <c r="F2312" s="27" t="str" cm="1">
        <f t="array" ref="F2312">IF(C2312="","",IFERROR(INDEX(STPP!$F$6:$F$4207,MATCH(C2312,STPP!$C$6:$C$4207,0)),"Not Found"))</f>
        <v/>
      </c>
      <c r="G2312" s="25" t="str">
        <f>IF(表1[[#This Row],[No Seri]]="","",表1[[#This Row],[Deskripsi Barang]]+表1[[#This Row],[Kuantitas]]-表1[[#This Row],[Satuan]])</f>
        <v/>
      </c>
      <c r="H2312" s="28"/>
      <c r="I2312" s="25" t="str">
        <f>IF(表1[[#This Row],[Tgl NPBG]]&gt;表1[[#This Row],[Peminta]],表1[[#This Row],[Tgl NPBG]]-表1[[#This Row],[Peminta]],"")</f>
        <v/>
      </c>
      <c r="J2312" s="31"/>
    </row>
    <row r="2313" s="12" customFormat="1" customHeight="1" spans="2:10">
      <c r="B2313" s="25"/>
      <c r="C2313" s="25"/>
      <c r="D2313" s="26" t="str" cm="1">
        <f t="array" ref="D2313">IF(C2313="","",IFERROR(INDEX(STPP!$D$6:$D$4207,MATCH(C2313,STPP!$C$6:$C$4207,0)),"Not Found"))</f>
        <v/>
      </c>
      <c r="E2313" s="27" t="str" cm="1">
        <f t="array" ref="E2313">IF(C2313="","",IFERROR(INDEX(STPP!$E$6:$E$4207,MATCH(C2313,STPP!$C$6:$C$4207,0)),"Not Found"))</f>
        <v/>
      </c>
      <c r="F2313" s="27" t="str" cm="1">
        <f t="array" ref="F2313">IF(C2313="","",IFERROR(INDEX(STPP!$F$6:$F$4207,MATCH(C2313,STPP!$C$6:$C$4207,0)),"Not Found"))</f>
        <v/>
      </c>
      <c r="G2313" s="25" t="str">
        <f>IF(表1[[#This Row],[No Seri]]="","",表1[[#This Row],[Deskripsi Barang]]+表1[[#This Row],[Kuantitas]]-表1[[#This Row],[Satuan]])</f>
        <v/>
      </c>
      <c r="H2313" s="28"/>
      <c r="I2313" s="25" t="str">
        <f>IF(表1[[#This Row],[Tgl NPBG]]&gt;表1[[#This Row],[Peminta]],表1[[#This Row],[Tgl NPBG]]-表1[[#This Row],[Peminta]],"")</f>
        <v/>
      </c>
      <c r="J2313" s="31"/>
    </row>
    <row r="2314" s="12" customFormat="1" customHeight="1" spans="2:10">
      <c r="B2314" s="25"/>
      <c r="C2314" s="25"/>
      <c r="D2314" s="26" t="str" cm="1">
        <f t="array" ref="D2314">IF(C2314="","",IFERROR(INDEX(STPP!$D$6:$D$4207,MATCH(C2314,STPP!$C$6:$C$4207,0)),"Not Found"))</f>
        <v/>
      </c>
      <c r="E2314" s="27" t="str" cm="1">
        <f t="array" ref="E2314">IF(C2314="","",IFERROR(INDEX(STPP!$E$6:$E$4207,MATCH(C2314,STPP!$C$6:$C$4207,0)),"Not Found"))</f>
        <v/>
      </c>
      <c r="F2314" s="27" t="str" cm="1">
        <f t="array" ref="F2314">IF(C2314="","",IFERROR(INDEX(STPP!$F$6:$F$4207,MATCH(C2314,STPP!$C$6:$C$4207,0)),"Not Found"))</f>
        <v/>
      </c>
      <c r="G2314" s="25" t="str">
        <f>IF(表1[[#This Row],[No Seri]]="","",表1[[#This Row],[Deskripsi Barang]]+表1[[#This Row],[Kuantitas]]-表1[[#This Row],[Satuan]])</f>
        <v/>
      </c>
      <c r="H2314" s="28"/>
      <c r="I2314" s="25" t="str">
        <f>IF(表1[[#This Row],[Tgl NPBG]]&gt;表1[[#This Row],[Peminta]],表1[[#This Row],[Tgl NPBG]]-表1[[#This Row],[Peminta]],"")</f>
        <v/>
      </c>
      <c r="J2314" s="31"/>
    </row>
    <row r="2315" s="12" customFormat="1" customHeight="1" spans="2:10">
      <c r="B2315" s="25"/>
      <c r="C2315" s="25"/>
      <c r="D2315" s="26" t="str" cm="1">
        <f t="array" ref="D2315">IF(C2315="","",IFERROR(INDEX(STPP!$D$6:$D$4207,MATCH(C2315,STPP!$C$6:$C$4207,0)),"Not Found"))</f>
        <v/>
      </c>
      <c r="E2315" s="27" t="str" cm="1">
        <f t="array" ref="E2315">IF(C2315="","",IFERROR(INDEX(STPP!$E$6:$E$4207,MATCH(C2315,STPP!$C$6:$C$4207,0)),"Not Found"))</f>
        <v/>
      </c>
      <c r="F2315" s="27" t="str" cm="1">
        <f t="array" ref="F2315">IF(C2315="","",IFERROR(INDEX(STPP!$F$6:$F$4207,MATCH(C2315,STPP!$C$6:$C$4207,0)),"Not Found"))</f>
        <v/>
      </c>
      <c r="G2315" s="25" t="str">
        <f>IF(表1[[#This Row],[No Seri]]="","",表1[[#This Row],[Deskripsi Barang]]+表1[[#This Row],[Kuantitas]]-表1[[#This Row],[Satuan]])</f>
        <v/>
      </c>
      <c r="H2315" s="28"/>
      <c r="I2315" s="25" t="str">
        <f>IF(表1[[#This Row],[Tgl NPBG]]&gt;表1[[#This Row],[Peminta]],表1[[#This Row],[Tgl NPBG]]-表1[[#This Row],[Peminta]],"")</f>
        <v/>
      </c>
      <c r="J2315" s="31"/>
    </row>
    <row r="2316" s="12" customFormat="1" customHeight="1" spans="2:10">
      <c r="B2316" s="25"/>
      <c r="C2316" s="25"/>
      <c r="D2316" s="26" t="str" cm="1">
        <f t="array" ref="D2316">IF(C2316="","",IFERROR(INDEX(STPP!$D$6:$D$4207,MATCH(C2316,STPP!$C$6:$C$4207,0)),"Not Found"))</f>
        <v/>
      </c>
      <c r="E2316" s="27" t="str" cm="1">
        <f t="array" ref="E2316">IF(C2316="","",IFERROR(INDEX(STPP!$E$6:$E$4207,MATCH(C2316,STPP!$C$6:$C$4207,0)),"Not Found"))</f>
        <v/>
      </c>
      <c r="F2316" s="27" t="str" cm="1">
        <f t="array" ref="F2316">IF(C2316="","",IFERROR(INDEX(STPP!$F$6:$F$4207,MATCH(C2316,STPP!$C$6:$C$4207,0)),"Not Found"))</f>
        <v/>
      </c>
      <c r="G2316" s="25" t="str">
        <f>IF(表1[[#This Row],[No Seri]]="","",表1[[#This Row],[Deskripsi Barang]]+表1[[#This Row],[Kuantitas]]-表1[[#This Row],[Satuan]])</f>
        <v/>
      </c>
      <c r="H2316" s="28"/>
      <c r="I2316" s="25" t="str">
        <f>IF(表1[[#This Row],[Tgl NPBG]]&gt;表1[[#This Row],[Peminta]],表1[[#This Row],[Tgl NPBG]]-表1[[#This Row],[Peminta]],"")</f>
        <v/>
      </c>
      <c r="J2316" s="31"/>
    </row>
    <row r="2317" s="12" customFormat="1" customHeight="1" spans="2:10">
      <c r="B2317" s="25"/>
      <c r="C2317" s="25"/>
      <c r="D2317" s="26" t="str" cm="1">
        <f t="array" ref="D2317">IF(C2317="","",IFERROR(INDEX(STPP!$D$6:$D$4207,MATCH(C2317,STPP!$C$6:$C$4207,0)),"Not Found"))</f>
        <v/>
      </c>
      <c r="E2317" s="27" t="str" cm="1">
        <f t="array" ref="E2317">IF(C2317="","",IFERROR(INDEX(STPP!$E$6:$E$4207,MATCH(C2317,STPP!$C$6:$C$4207,0)),"Not Found"))</f>
        <v/>
      </c>
      <c r="F2317" s="27" t="str" cm="1">
        <f t="array" ref="F2317">IF(C2317="","",IFERROR(INDEX(STPP!$F$6:$F$4207,MATCH(C2317,STPP!$C$6:$C$4207,0)),"Not Found"))</f>
        <v/>
      </c>
      <c r="G2317" s="25" t="str">
        <f>IF(表1[[#This Row],[No Seri]]="","",表1[[#This Row],[Deskripsi Barang]]+表1[[#This Row],[Kuantitas]]-表1[[#This Row],[Satuan]])</f>
        <v/>
      </c>
      <c r="H2317" s="28"/>
      <c r="I2317" s="25" t="str">
        <f>IF(表1[[#This Row],[Tgl NPBG]]&gt;表1[[#This Row],[Peminta]],表1[[#This Row],[Tgl NPBG]]-表1[[#This Row],[Peminta]],"")</f>
        <v/>
      </c>
      <c r="J2317" s="31"/>
    </row>
    <row r="2318" s="12" customFormat="1" customHeight="1" spans="2:10">
      <c r="B2318" s="25"/>
      <c r="C2318" s="25"/>
      <c r="D2318" s="26" t="str" cm="1">
        <f t="array" ref="D2318">IF(C2318="","",IFERROR(INDEX(STPP!$D$6:$D$4207,MATCH(C2318,STPP!$C$6:$C$4207,0)),"Not Found"))</f>
        <v/>
      </c>
      <c r="E2318" s="27" t="str" cm="1">
        <f t="array" ref="E2318">IF(C2318="","",IFERROR(INDEX(STPP!$E$6:$E$4207,MATCH(C2318,STPP!$C$6:$C$4207,0)),"Not Found"))</f>
        <v/>
      </c>
      <c r="F2318" s="27" t="str" cm="1">
        <f t="array" ref="F2318">IF(C2318="","",IFERROR(INDEX(STPP!$F$6:$F$4207,MATCH(C2318,STPP!$C$6:$C$4207,0)),"Not Found"))</f>
        <v/>
      </c>
      <c r="G2318" s="25" t="str">
        <f>IF(表1[[#This Row],[No Seri]]="","",表1[[#This Row],[Deskripsi Barang]]+表1[[#This Row],[Kuantitas]]-表1[[#This Row],[Satuan]])</f>
        <v/>
      </c>
      <c r="H2318" s="28"/>
      <c r="I2318" s="25" t="str">
        <f>IF(表1[[#This Row],[Tgl NPBG]]&gt;表1[[#This Row],[Peminta]],表1[[#This Row],[Tgl NPBG]]-表1[[#This Row],[Peminta]],"")</f>
        <v/>
      </c>
      <c r="J2318" s="31"/>
    </row>
    <row r="2319" s="12" customFormat="1" customHeight="1" spans="2:10">
      <c r="B2319" s="25"/>
      <c r="C2319" s="25"/>
      <c r="D2319" s="26" t="str" cm="1">
        <f t="array" ref="D2319">IF(C2319="","",IFERROR(INDEX(STPP!$D$6:$D$4207,MATCH(C2319,STPP!$C$6:$C$4207,0)),"Not Found"))</f>
        <v/>
      </c>
      <c r="E2319" s="27" t="str" cm="1">
        <f t="array" ref="E2319">IF(C2319="","",IFERROR(INDEX(STPP!$E$6:$E$4207,MATCH(C2319,STPP!$C$6:$C$4207,0)),"Not Found"))</f>
        <v/>
      </c>
      <c r="F2319" s="27" t="str" cm="1">
        <f t="array" ref="F2319">IF(C2319="","",IFERROR(INDEX(STPP!$F$6:$F$4207,MATCH(C2319,STPP!$C$6:$C$4207,0)),"Not Found"))</f>
        <v/>
      </c>
      <c r="G2319" s="25" t="str">
        <f>IF(表1[[#This Row],[No Seri]]="","",表1[[#This Row],[Deskripsi Barang]]+表1[[#This Row],[Kuantitas]]-表1[[#This Row],[Satuan]])</f>
        <v/>
      </c>
      <c r="H2319" s="28"/>
      <c r="I2319" s="25" t="str">
        <f>IF(表1[[#This Row],[Tgl NPBG]]&gt;表1[[#This Row],[Peminta]],表1[[#This Row],[Tgl NPBG]]-表1[[#This Row],[Peminta]],"")</f>
        <v/>
      </c>
      <c r="J2319" s="31"/>
    </row>
    <row r="2320" s="12" customFormat="1" customHeight="1" spans="2:10">
      <c r="B2320" s="25"/>
      <c r="C2320" s="25"/>
      <c r="D2320" s="26" t="str" cm="1">
        <f t="array" ref="D2320">IF(C2320="","",IFERROR(INDEX(STPP!$D$6:$D$4207,MATCH(C2320,STPP!$C$6:$C$4207,0)),"Not Found"))</f>
        <v/>
      </c>
      <c r="E2320" s="27" t="str" cm="1">
        <f t="array" ref="E2320">IF(C2320="","",IFERROR(INDEX(STPP!$E$6:$E$4207,MATCH(C2320,STPP!$C$6:$C$4207,0)),"Not Found"))</f>
        <v/>
      </c>
      <c r="F2320" s="27" t="str" cm="1">
        <f t="array" ref="F2320">IF(C2320="","",IFERROR(INDEX(STPP!$F$6:$F$4207,MATCH(C2320,STPP!$C$6:$C$4207,0)),"Not Found"))</f>
        <v/>
      </c>
      <c r="G2320" s="25" t="str">
        <f>IF(表1[[#This Row],[No Seri]]="","",表1[[#This Row],[Deskripsi Barang]]+表1[[#This Row],[Kuantitas]]-表1[[#This Row],[Satuan]])</f>
        <v/>
      </c>
      <c r="H2320" s="28"/>
      <c r="I2320" s="25" t="str">
        <f>IF(表1[[#This Row],[Tgl NPBG]]&gt;表1[[#This Row],[Peminta]],表1[[#This Row],[Tgl NPBG]]-表1[[#This Row],[Peminta]],"")</f>
        <v/>
      </c>
      <c r="J2320" s="31"/>
    </row>
    <row r="2321" s="12" customFormat="1" customHeight="1" spans="2:10">
      <c r="B2321" s="25"/>
      <c r="C2321" s="25"/>
      <c r="D2321" s="26" t="str" cm="1">
        <f t="array" ref="D2321">IF(C2321="","",IFERROR(INDEX(STPP!$D$6:$D$4207,MATCH(C2321,STPP!$C$6:$C$4207,0)),"Not Found"))</f>
        <v/>
      </c>
      <c r="E2321" s="27" t="str" cm="1">
        <f t="array" ref="E2321">IF(C2321="","",IFERROR(INDEX(STPP!$E$6:$E$4207,MATCH(C2321,STPP!$C$6:$C$4207,0)),"Not Found"))</f>
        <v/>
      </c>
      <c r="F2321" s="27" t="str" cm="1">
        <f t="array" ref="F2321">IF(C2321="","",IFERROR(INDEX(STPP!$F$6:$F$4207,MATCH(C2321,STPP!$C$6:$C$4207,0)),"Not Found"))</f>
        <v/>
      </c>
      <c r="G2321" s="25" t="str">
        <f>IF(表1[[#This Row],[No Seri]]="","",表1[[#This Row],[Deskripsi Barang]]+表1[[#This Row],[Kuantitas]]-表1[[#This Row],[Satuan]])</f>
        <v/>
      </c>
      <c r="H2321" s="28"/>
      <c r="I2321" s="25" t="str">
        <f>IF(表1[[#This Row],[Tgl NPBG]]&gt;表1[[#This Row],[Peminta]],表1[[#This Row],[Tgl NPBG]]-表1[[#This Row],[Peminta]],"")</f>
        <v/>
      </c>
      <c r="J2321" s="31"/>
    </row>
    <row r="2322" s="12" customFormat="1" customHeight="1" spans="2:10">
      <c r="B2322" s="25"/>
      <c r="C2322" s="25"/>
      <c r="D2322" s="26" t="str" cm="1">
        <f t="array" ref="D2322">IF(C2322="","",IFERROR(INDEX(STPP!$D$6:$D$4207,MATCH(C2322,STPP!$C$6:$C$4207,0)),"Not Found"))</f>
        <v/>
      </c>
      <c r="E2322" s="27" t="str" cm="1">
        <f t="array" ref="E2322">IF(C2322="","",IFERROR(INDEX(STPP!$E$6:$E$4207,MATCH(C2322,STPP!$C$6:$C$4207,0)),"Not Found"))</f>
        <v/>
      </c>
      <c r="F2322" s="27" t="str" cm="1">
        <f t="array" ref="F2322">IF(C2322="","",IFERROR(INDEX(STPP!$F$6:$F$4207,MATCH(C2322,STPP!$C$6:$C$4207,0)),"Not Found"))</f>
        <v/>
      </c>
      <c r="G2322" s="25" t="str">
        <f>IF(表1[[#This Row],[No Seri]]="","",表1[[#This Row],[Deskripsi Barang]]+表1[[#This Row],[Kuantitas]]-表1[[#This Row],[Satuan]])</f>
        <v/>
      </c>
      <c r="H2322" s="28"/>
      <c r="I2322" s="25" t="str">
        <f>IF(表1[[#This Row],[Tgl NPBG]]&gt;表1[[#This Row],[Peminta]],表1[[#This Row],[Tgl NPBG]]-表1[[#This Row],[Peminta]],"")</f>
        <v/>
      </c>
      <c r="J2322" s="31"/>
    </row>
    <row r="2323" s="12" customFormat="1" customHeight="1" spans="2:10">
      <c r="B2323" s="25"/>
      <c r="C2323" s="25"/>
      <c r="D2323" s="26" t="str" cm="1">
        <f t="array" ref="D2323">IF(C2323="","",IFERROR(INDEX(STPP!$D$6:$D$4207,MATCH(C2323,STPP!$C$6:$C$4207,0)),"Not Found"))</f>
        <v/>
      </c>
      <c r="E2323" s="27" t="str" cm="1">
        <f t="array" ref="E2323">IF(C2323="","",IFERROR(INDEX(STPP!$E$6:$E$4207,MATCH(C2323,STPP!$C$6:$C$4207,0)),"Not Found"))</f>
        <v/>
      </c>
      <c r="F2323" s="27" t="str" cm="1">
        <f t="array" ref="F2323">IF(C2323="","",IFERROR(INDEX(STPP!$F$6:$F$4207,MATCH(C2323,STPP!$C$6:$C$4207,0)),"Not Found"))</f>
        <v/>
      </c>
      <c r="G2323" s="25" t="str">
        <f>IF(表1[[#This Row],[No Seri]]="","",表1[[#This Row],[Deskripsi Barang]]+表1[[#This Row],[Kuantitas]]-表1[[#This Row],[Satuan]])</f>
        <v/>
      </c>
      <c r="H2323" s="28"/>
      <c r="I2323" s="25" t="str">
        <f>IF(表1[[#This Row],[Tgl NPBG]]&gt;表1[[#This Row],[Peminta]],表1[[#This Row],[Tgl NPBG]]-表1[[#This Row],[Peminta]],"")</f>
        <v/>
      </c>
      <c r="J2323" s="31"/>
    </row>
    <row r="2324" s="12" customFormat="1" customHeight="1" spans="2:10">
      <c r="B2324" s="25"/>
      <c r="C2324" s="25"/>
      <c r="D2324" s="26" t="str" cm="1">
        <f t="array" ref="D2324">IF(C2324="","",IFERROR(INDEX(STPP!$D$6:$D$4207,MATCH(C2324,STPP!$C$6:$C$4207,0)),"Not Found"))</f>
        <v/>
      </c>
      <c r="E2324" s="27" t="str" cm="1">
        <f t="array" ref="E2324">IF(C2324="","",IFERROR(INDEX(STPP!$E$6:$E$4207,MATCH(C2324,STPP!$C$6:$C$4207,0)),"Not Found"))</f>
        <v/>
      </c>
      <c r="F2324" s="27" t="str" cm="1">
        <f t="array" ref="F2324">IF(C2324="","",IFERROR(INDEX(STPP!$F$6:$F$4207,MATCH(C2324,STPP!$C$6:$C$4207,0)),"Not Found"))</f>
        <v/>
      </c>
      <c r="G2324" s="25" t="str">
        <f>IF(表1[[#This Row],[No Seri]]="","",表1[[#This Row],[Deskripsi Barang]]+表1[[#This Row],[Kuantitas]]-表1[[#This Row],[Satuan]])</f>
        <v/>
      </c>
      <c r="H2324" s="28"/>
      <c r="I2324" s="25" t="str">
        <f>IF(表1[[#This Row],[Tgl NPBG]]&gt;表1[[#This Row],[Peminta]],表1[[#This Row],[Tgl NPBG]]-表1[[#This Row],[Peminta]],"")</f>
        <v/>
      </c>
      <c r="J2324" s="31"/>
    </row>
    <row r="2325" s="12" customFormat="1" customHeight="1" spans="2:10">
      <c r="B2325" s="25"/>
      <c r="C2325" s="25"/>
      <c r="D2325" s="26" t="str" cm="1">
        <f t="array" ref="D2325">IF(C2325="","",IFERROR(INDEX(STPP!$D$6:$D$4207,MATCH(C2325,STPP!$C$6:$C$4207,0)),"Not Found"))</f>
        <v/>
      </c>
      <c r="E2325" s="27" t="str" cm="1">
        <f t="array" ref="E2325">IF(C2325="","",IFERROR(INDEX(STPP!$E$6:$E$4207,MATCH(C2325,STPP!$C$6:$C$4207,0)),"Not Found"))</f>
        <v/>
      </c>
      <c r="F2325" s="27" t="str" cm="1">
        <f t="array" ref="F2325">IF(C2325="","",IFERROR(INDEX(STPP!$F$6:$F$4207,MATCH(C2325,STPP!$C$6:$C$4207,0)),"Not Found"))</f>
        <v/>
      </c>
      <c r="G2325" s="25" t="str">
        <f>IF(表1[[#This Row],[No Seri]]="","",表1[[#This Row],[Deskripsi Barang]]+表1[[#This Row],[Kuantitas]]-表1[[#This Row],[Satuan]])</f>
        <v/>
      </c>
      <c r="H2325" s="28"/>
      <c r="I2325" s="25" t="str">
        <f>IF(表1[[#This Row],[Tgl NPBG]]&gt;表1[[#This Row],[Peminta]],表1[[#This Row],[Tgl NPBG]]-表1[[#This Row],[Peminta]],"")</f>
        <v/>
      </c>
      <c r="J2325" s="31"/>
    </row>
    <row r="2326" s="12" customFormat="1" customHeight="1" spans="2:10">
      <c r="B2326" s="25"/>
      <c r="C2326" s="25"/>
      <c r="D2326" s="26" t="str" cm="1">
        <f t="array" ref="D2326">IF(C2326="","",IFERROR(INDEX(STPP!$D$6:$D$4207,MATCH(C2326,STPP!$C$6:$C$4207,0)),"Not Found"))</f>
        <v/>
      </c>
      <c r="E2326" s="27" t="str" cm="1">
        <f t="array" ref="E2326">IF(C2326="","",IFERROR(INDEX(STPP!$E$6:$E$4207,MATCH(C2326,STPP!$C$6:$C$4207,0)),"Not Found"))</f>
        <v/>
      </c>
      <c r="F2326" s="27" t="str" cm="1">
        <f t="array" ref="F2326">IF(C2326="","",IFERROR(INDEX(STPP!$F$6:$F$4207,MATCH(C2326,STPP!$C$6:$C$4207,0)),"Not Found"))</f>
        <v/>
      </c>
      <c r="G2326" s="25" t="str">
        <f>IF(表1[[#This Row],[No Seri]]="","",表1[[#This Row],[Deskripsi Barang]]+表1[[#This Row],[Kuantitas]]-表1[[#This Row],[Satuan]])</f>
        <v/>
      </c>
      <c r="H2326" s="28"/>
      <c r="I2326" s="25" t="str">
        <f>IF(表1[[#This Row],[Tgl NPBG]]&gt;表1[[#This Row],[Peminta]],表1[[#This Row],[Tgl NPBG]]-表1[[#This Row],[Peminta]],"")</f>
        <v/>
      </c>
      <c r="J2326" s="31"/>
    </row>
    <row r="2327" s="12" customFormat="1" customHeight="1" spans="2:10">
      <c r="B2327" s="25"/>
      <c r="C2327" s="25"/>
      <c r="D2327" s="26" t="str" cm="1">
        <f t="array" ref="D2327">IF(C2327="","",IFERROR(INDEX(STPP!$D$6:$D$4207,MATCH(C2327,STPP!$C$6:$C$4207,0)),"Not Found"))</f>
        <v/>
      </c>
      <c r="E2327" s="27" t="str" cm="1">
        <f t="array" ref="E2327">IF(C2327="","",IFERROR(INDEX(STPP!$E$6:$E$4207,MATCH(C2327,STPP!$C$6:$C$4207,0)),"Not Found"))</f>
        <v/>
      </c>
      <c r="F2327" s="27" t="str" cm="1">
        <f t="array" ref="F2327">IF(C2327="","",IFERROR(INDEX(STPP!$F$6:$F$4207,MATCH(C2327,STPP!$C$6:$C$4207,0)),"Not Found"))</f>
        <v/>
      </c>
      <c r="G2327" s="25" t="str">
        <f>IF(表1[[#This Row],[No Seri]]="","",表1[[#This Row],[Deskripsi Barang]]+表1[[#This Row],[Kuantitas]]-表1[[#This Row],[Satuan]])</f>
        <v/>
      </c>
      <c r="H2327" s="28"/>
      <c r="I2327" s="25" t="str">
        <f>IF(表1[[#This Row],[Tgl NPBG]]&gt;表1[[#This Row],[Peminta]],表1[[#This Row],[Tgl NPBG]]-表1[[#This Row],[Peminta]],"")</f>
        <v/>
      </c>
      <c r="J2327" s="31"/>
    </row>
    <row r="2328" s="12" customFormat="1" customHeight="1" spans="2:10">
      <c r="B2328" s="25"/>
      <c r="C2328" s="25"/>
      <c r="D2328" s="26" t="str" cm="1">
        <f t="array" ref="D2328">IF(C2328="","",IFERROR(INDEX(STPP!$D$6:$D$4207,MATCH(C2328,STPP!$C$6:$C$4207,0)),"Not Found"))</f>
        <v/>
      </c>
      <c r="E2328" s="27" t="str" cm="1">
        <f t="array" ref="E2328">IF(C2328="","",IFERROR(INDEX(STPP!$E$6:$E$4207,MATCH(C2328,STPP!$C$6:$C$4207,0)),"Not Found"))</f>
        <v/>
      </c>
      <c r="F2328" s="27" t="str" cm="1">
        <f t="array" ref="F2328">IF(C2328="","",IFERROR(INDEX(STPP!$F$6:$F$4207,MATCH(C2328,STPP!$C$6:$C$4207,0)),"Not Found"))</f>
        <v/>
      </c>
      <c r="G2328" s="25" t="str">
        <f>IF(表1[[#This Row],[No Seri]]="","",表1[[#This Row],[Deskripsi Barang]]+表1[[#This Row],[Kuantitas]]-表1[[#This Row],[Satuan]])</f>
        <v/>
      </c>
      <c r="H2328" s="28"/>
      <c r="I2328" s="25" t="str">
        <f>IF(表1[[#This Row],[Tgl NPBG]]&gt;表1[[#This Row],[Peminta]],表1[[#This Row],[Tgl NPBG]]-表1[[#This Row],[Peminta]],"")</f>
        <v/>
      </c>
      <c r="J2328" s="31"/>
    </row>
    <row r="2329" s="12" customFormat="1" customHeight="1" spans="2:10">
      <c r="B2329" s="25"/>
      <c r="C2329" s="25"/>
      <c r="D2329" s="26" t="str" cm="1">
        <f t="array" ref="D2329">IF(C2329="","",IFERROR(INDEX(STPP!$D$6:$D$4207,MATCH(C2329,STPP!$C$6:$C$4207,0)),"Not Found"))</f>
        <v/>
      </c>
      <c r="E2329" s="27" t="str" cm="1">
        <f t="array" ref="E2329">IF(C2329="","",IFERROR(INDEX(STPP!$E$6:$E$4207,MATCH(C2329,STPP!$C$6:$C$4207,0)),"Not Found"))</f>
        <v/>
      </c>
      <c r="F2329" s="27" t="str" cm="1">
        <f t="array" ref="F2329">IF(C2329="","",IFERROR(INDEX(STPP!$F$6:$F$4207,MATCH(C2329,STPP!$C$6:$C$4207,0)),"Not Found"))</f>
        <v/>
      </c>
      <c r="G2329" s="25" t="str">
        <f>IF(表1[[#This Row],[No Seri]]="","",表1[[#This Row],[Deskripsi Barang]]+表1[[#This Row],[Kuantitas]]-表1[[#This Row],[Satuan]])</f>
        <v/>
      </c>
      <c r="H2329" s="28"/>
      <c r="I2329" s="25" t="str">
        <f>IF(表1[[#This Row],[Tgl NPBG]]&gt;表1[[#This Row],[Peminta]],表1[[#This Row],[Tgl NPBG]]-表1[[#This Row],[Peminta]],"")</f>
        <v/>
      </c>
      <c r="J2329" s="31"/>
    </row>
    <row r="2330" s="12" customFormat="1" customHeight="1" spans="2:10">
      <c r="B2330" s="25"/>
      <c r="C2330" s="25"/>
      <c r="D2330" s="26" t="str" cm="1">
        <f t="array" ref="D2330">IF(C2330="","",IFERROR(INDEX(STPP!$D$6:$D$4207,MATCH(C2330,STPP!$C$6:$C$4207,0)),"Not Found"))</f>
        <v/>
      </c>
      <c r="E2330" s="27" t="str" cm="1">
        <f t="array" ref="E2330">IF(C2330="","",IFERROR(INDEX(STPP!$E$6:$E$4207,MATCH(C2330,STPP!$C$6:$C$4207,0)),"Not Found"))</f>
        <v/>
      </c>
      <c r="F2330" s="27" t="str" cm="1">
        <f t="array" ref="F2330">IF(C2330="","",IFERROR(INDEX(STPP!$F$6:$F$4207,MATCH(C2330,STPP!$C$6:$C$4207,0)),"Not Found"))</f>
        <v/>
      </c>
      <c r="G2330" s="25" t="str">
        <f>IF(表1[[#This Row],[No Seri]]="","",表1[[#This Row],[Deskripsi Barang]]+表1[[#This Row],[Kuantitas]]-表1[[#This Row],[Satuan]])</f>
        <v/>
      </c>
      <c r="H2330" s="28"/>
      <c r="I2330" s="25" t="str">
        <f>IF(表1[[#This Row],[Tgl NPBG]]&gt;表1[[#This Row],[Peminta]],表1[[#This Row],[Tgl NPBG]]-表1[[#This Row],[Peminta]],"")</f>
        <v/>
      </c>
      <c r="J2330" s="31"/>
    </row>
    <row r="2331" s="12" customFormat="1" customHeight="1" spans="2:10">
      <c r="B2331" s="25"/>
      <c r="C2331" s="25"/>
      <c r="D2331" s="26" t="str" cm="1">
        <f t="array" ref="D2331">IF(C2331="","",IFERROR(INDEX(STPP!$D$6:$D$4207,MATCH(C2331,STPP!$C$6:$C$4207,0)),"Not Found"))</f>
        <v/>
      </c>
      <c r="E2331" s="27" t="str" cm="1">
        <f t="array" ref="E2331">IF(C2331="","",IFERROR(INDEX(STPP!$E$6:$E$4207,MATCH(C2331,STPP!$C$6:$C$4207,0)),"Not Found"))</f>
        <v/>
      </c>
      <c r="F2331" s="27" t="str" cm="1">
        <f t="array" ref="F2331">IF(C2331="","",IFERROR(INDEX(STPP!$F$6:$F$4207,MATCH(C2331,STPP!$C$6:$C$4207,0)),"Not Found"))</f>
        <v/>
      </c>
      <c r="G2331" s="25" t="str">
        <f>IF(表1[[#This Row],[No Seri]]="","",表1[[#This Row],[Deskripsi Barang]]+表1[[#This Row],[Kuantitas]]-表1[[#This Row],[Satuan]])</f>
        <v/>
      </c>
      <c r="H2331" s="28"/>
      <c r="I2331" s="25" t="str">
        <f>IF(表1[[#This Row],[Tgl NPBG]]&gt;表1[[#This Row],[Peminta]],表1[[#This Row],[Tgl NPBG]]-表1[[#This Row],[Peminta]],"")</f>
        <v/>
      </c>
      <c r="J2331" s="31"/>
    </row>
    <row r="2332" s="12" customFormat="1" customHeight="1" spans="2:10">
      <c r="B2332" s="25"/>
      <c r="C2332" s="25"/>
      <c r="D2332" s="26" t="str" cm="1">
        <f t="array" ref="D2332">IF(C2332="","",IFERROR(INDEX(STPP!$D$6:$D$4207,MATCH(C2332,STPP!$C$6:$C$4207,0)),"Not Found"))</f>
        <v/>
      </c>
      <c r="E2332" s="27" t="str" cm="1">
        <f t="array" ref="E2332">IF(C2332="","",IFERROR(INDEX(STPP!$E$6:$E$4207,MATCH(C2332,STPP!$C$6:$C$4207,0)),"Not Found"))</f>
        <v/>
      </c>
      <c r="F2332" s="27" t="str" cm="1">
        <f t="array" ref="F2332">IF(C2332="","",IFERROR(INDEX(STPP!$F$6:$F$4207,MATCH(C2332,STPP!$C$6:$C$4207,0)),"Not Found"))</f>
        <v/>
      </c>
      <c r="G2332" s="25" t="str">
        <f>IF(表1[[#This Row],[No Seri]]="","",表1[[#This Row],[Deskripsi Barang]]+表1[[#This Row],[Kuantitas]]-表1[[#This Row],[Satuan]])</f>
        <v/>
      </c>
      <c r="H2332" s="28"/>
      <c r="I2332" s="25" t="str">
        <f>IF(表1[[#This Row],[Tgl NPBG]]&gt;表1[[#This Row],[Peminta]],表1[[#This Row],[Tgl NPBG]]-表1[[#This Row],[Peminta]],"")</f>
        <v/>
      </c>
      <c r="J2332" s="31"/>
    </row>
    <row r="2333" s="12" customFormat="1" customHeight="1" spans="2:10">
      <c r="B2333" s="25"/>
      <c r="C2333" s="25"/>
      <c r="D2333" s="26" t="str" cm="1">
        <f t="array" ref="D2333">IF(C2333="","",IFERROR(INDEX(STPP!$D$6:$D$4207,MATCH(C2333,STPP!$C$6:$C$4207,0)),"Not Found"))</f>
        <v/>
      </c>
      <c r="E2333" s="27" t="str" cm="1">
        <f t="array" ref="E2333">IF(C2333="","",IFERROR(INDEX(STPP!$E$6:$E$4207,MATCH(C2333,STPP!$C$6:$C$4207,0)),"Not Found"))</f>
        <v/>
      </c>
      <c r="F2333" s="27" t="str" cm="1">
        <f t="array" ref="F2333">IF(C2333="","",IFERROR(INDEX(STPP!$F$6:$F$4207,MATCH(C2333,STPP!$C$6:$C$4207,0)),"Not Found"))</f>
        <v/>
      </c>
      <c r="G2333" s="25" t="str">
        <f>IF(表1[[#This Row],[No Seri]]="","",表1[[#This Row],[Deskripsi Barang]]+表1[[#This Row],[Kuantitas]]-表1[[#This Row],[Satuan]])</f>
        <v/>
      </c>
      <c r="H2333" s="28"/>
      <c r="I2333" s="25" t="str">
        <f>IF(表1[[#This Row],[Tgl NPBG]]&gt;表1[[#This Row],[Peminta]],表1[[#This Row],[Tgl NPBG]]-表1[[#This Row],[Peminta]],"")</f>
        <v/>
      </c>
      <c r="J2333" s="31"/>
    </row>
    <row r="2334" s="12" customFormat="1" customHeight="1" spans="2:10">
      <c r="B2334" s="25"/>
      <c r="C2334" s="25"/>
      <c r="D2334" s="26" t="str" cm="1">
        <f t="array" ref="D2334">IF(C2334="","",IFERROR(INDEX(STPP!$D$6:$D$4207,MATCH(C2334,STPP!$C$6:$C$4207,0)),"Not Found"))</f>
        <v/>
      </c>
      <c r="E2334" s="27" t="str" cm="1">
        <f t="array" ref="E2334">IF(C2334="","",IFERROR(INDEX(STPP!$E$6:$E$4207,MATCH(C2334,STPP!$C$6:$C$4207,0)),"Not Found"))</f>
        <v/>
      </c>
      <c r="F2334" s="27" t="str" cm="1">
        <f t="array" ref="F2334">IF(C2334="","",IFERROR(INDEX(STPP!$F$6:$F$4207,MATCH(C2334,STPP!$C$6:$C$4207,0)),"Not Found"))</f>
        <v/>
      </c>
      <c r="G2334" s="25" t="str">
        <f>IF(表1[[#This Row],[No Seri]]="","",表1[[#This Row],[Deskripsi Barang]]+表1[[#This Row],[Kuantitas]]-表1[[#This Row],[Satuan]])</f>
        <v/>
      </c>
      <c r="H2334" s="28"/>
      <c r="I2334" s="25" t="str">
        <f>IF(表1[[#This Row],[Tgl NPBG]]&gt;表1[[#This Row],[Peminta]],表1[[#This Row],[Tgl NPBG]]-表1[[#This Row],[Peminta]],"")</f>
        <v/>
      </c>
      <c r="J2334" s="31"/>
    </row>
    <row r="2335" s="12" customFormat="1" customHeight="1" spans="2:10">
      <c r="B2335" s="25"/>
      <c r="C2335" s="25"/>
      <c r="D2335" s="26" t="str" cm="1">
        <f t="array" ref="D2335">IF(C2335="","",IFERROR(INDEX(STPP!$D$6:$D$4207,MATCH(C2335,STPP!$C$6:$C$4207,0)),"Not Found"))</f>
        <v/>
      </c>
      <c r="E2335" s="27" t="str" cm="1">
        <f t="array" ref="E2335">IF(C2335="","",IFERROR(INDEX(STPP!$E$6:$E$4207,MATCH(C2335,STPP!$C$6:$C$4207,0)),"Not Found"))</f>
        <v/>
      </c>
      <c r="F2335" s="27" t="str" cm="1">
        <f t="array" ref="F2335">IF(C2335="","",IFERROR(INDEX(STPP!$F$6:$F$4207,MATCH(C2335,STPP!$C$6:$C$4207,0)),"Not Found"))</f>
        <v/>
      </c>
      <c r="G2335" s="25" t="str">
        <f>IF(表1[[#This Row],[No Seri]]="","",表1[[#This Row],[Deskripsi Barang]]+表1[[#This Row],[Kuantitas]]-表1[[#This Row],[Satuan]])</f>
        <v/>
      </c>
      <c r="H2335" s="28"/>
      <c r="I2335" s="25" t="str">
        <f>IF(表1[[#This Row],[Tgl NPBG]]&gt;表1[[#This Row],[Peminta]],表1[[#This Row],[Tgl NPBG]]-表1[[#This Row],[Peminta]],"")</f>
        <v/>
      </c>
      <c r="J2335" s="31"/>
    </row>
    <row r="2336" s="12" customFormat="1" customHeight="1" spans="2:10">
      <c r="B2336" s="25"/>
      <c r="C2336" s="25"/>
      <c r="D2336" s="26" t="str" cm="1">
        <f t="array" ref="D2336">IF(C2336="","",IFERROR(INDEX(STPP!$D$6:$D$4207,MATCH(C2336,STPP!$C$6:$C$4207,0)),"Not Found"))</f>
        <v/>
      </c>
      <c r="E2336" s="27" t="str" cm="1">
        <f t="array" ref="E2336">IF(C2336="","",IFERROR(INDEX(STPP!$E$6:$E$4207,MATCH(C2336,STPP!$C$6:$C$4207,0)),"Not Found"))</f>
        <v/>
      </c>
      <c r="F2336" s="27" t="str" cm="1">
        <f t="array" ref="F2336">IF(C2336="","",IFERROR(INDEX(STPP!$F$6:$F$4207,MATCH(C2336,STPP!$C$6:$C$4207,0)),"Not Found"))</f>
        <v/>
      </c>
      <c r="G2336" s="25" t="str">
        <f>IF(表1[[#This Row],[No Seri]]="","",表1[[#This Row],[Deskripsi Barang]]+表1[[#This Row],[Kuantitas]]-表1[[#This Row],[Satuan]])</f>
        <v/>
      </c>
      <c r="H2336" s="28"/>
      <c r="I2336" s="25" t="str">
        <f>IF(表1[[#This Row],[Tgl NPBG]]&gt;表1[[#This Row],[Peminta]],表1[[#This Row],[Tgl NPBG]]-表1[[#This Row],[Peminta]],"")</f>
        <v/>
      </c>
      <c r="J2336" s="31"/>
    </row>
    <row r="2337" s="12" customFormat="1" customHeight="1" spans="2:10">
      <c r="B2337" s="25"/>
      <c r="C2337" s="25"/>
      <c r="D2337" s="26" t="str" cm="1">
        <f t="array" ref="D2337">IF(C2337="","",IFERROR(INDEX(STPP!$D$6:$D$4207,MATCH(C2337,STPP!$C$6:$C$4207,0)),"Not Found"))</f>
        <v/>
      </c>
      <c r="E2337" s="27" t="str" cm="1">
        <f t="array" ref="E2337">IF(C2337="","",IFERROR(INDEX(STPP!$E$6:$E$4207,MATCH(C2337,STPP!$C$6:$C$4207,0)),"Not Found"))</f>
        <v/>
      </c>
      <c r="F2337" s="27" t="str" cm="1">
        <f t="array" ref="F2337">IF(C2337="","",IFERROR(INDEX(STPP!$F$6:$F$4207,MATCH(C2337,STPP!$C$6:$C$4207,0)),"Not Found"))</f>
        <v/>
      </c>
      <c r="G2337" s="25" t="str">
        <f>IF(表1[[#This Row],[No Seri]]="","",表1[[#This Row],[Deskripsi Barang]]+表1[[#This Row],[Kuantitas]]-表1[[#This Row],[Satuan]])</f>
        <v/>
      </c>
      <c r="H2337" s="28"/>
      <c r="I2337" s="25" t="str">
        <f>IF(表1[[#This Row],[Tgl NPBG]]&gt;表1[[#This Row],[Peminta]],表1[[#This Row],[Tgl NPBG]]-表1[[#This Row],[Peminta]],"")</f>
        <v/>
      </c>
      <c r="J2337" s="31"/>
    </row>
    <row r="2338" s="12" customFormat="1" customHeight="1" spans="2:10">
      <c r="B2338" s="25"/>
      <c r="C2338" s="25"/>
      <c r="D2338" s="26" t="str" cm="1">
        <f t="array" ref="D2338">IF(C2338="","",IFERROR(INDEX(STPP!$D$6:$D$4207,MATCH(C2338,STPP!$C$6:$C$4207,0)),"Not Found"))</f>
        <v/>
      </c>
      <c r="E2338" s="27" t="str" cm="1">
        <f t="array" ref="E2338">IF(C2338="","",IFERROR(INDEX(STPP!$E$6:$E$4207,MATCH(C2338,STPP!$C$6:$C$4207,0)),"Not Found"))</f>
        <v/>
      </c>
      <c r="F2338" s="27" t="str" cm="1">
        <f t="array" ref="F2338">IF(C2338="","",IFERROR(INDEX(STPP!$F$6:$F$4207,MATCH(C2338,STPP!$C$6:$C$4207,0)),"Not Found"))</f>
        <v/>
      </c>
      <c r="G2338" s="25" t="str">
        <f>IF(表1[[#This Row],[No Seri]]="","",表1[[#This Row],[Deskripsi Barang]]+表1[[#This Row],[Kuantitas]]-表1[[#This Row],[Satuan]])</f>
        <v/>
      </c>
      <c r="H2338" s="28"/>
      <c r="I2338" s="25" t="str">
        <f>IF(表1[[#This Row],[Tgl NPBG]]&gt;表1[[#This Row],[Peminta]],表1[[#This Row],[Tgl NPBG]]-表1[[#This Row],[Peminta]],"")</f>
        <v/>
      </c>
      <c r="J2338" s="31"/>
    </row>
    <row r="2339" s="12" customFormat="1" customHeight="1" spans="2:10">
      <c r="B2339" s="25"/>
      <c r="C2339" s="25"/>
      <c r="D2339" s="26" t="str" cm="1">
        <f t="array" ref="D2339">IF(C2339="","",IFERROR(INDEX(STPP!$D$6:$D$4207,MATCH(C2339,STPP!$C$6:$C$4207,0)),"Not Found"))</f>
        <v/>
      </c>
      <c r="E2339" s="27" t="str" cm="1">
        <f t="array" ref="E2339">IF(C2339="","",IFERROR(INDEX(STPP!$E$6:$E$4207,MATCH(C2339,STPP!$C$6:$C$4207,0)),"Not Found"))</f>
        <v/>
      </c>
      <c r="F2339" s="27" t="str" cm="1">
        <f t="array" ref="F2339">IF(C2339="","",IFERROR(INDEX(STPP!$F$6:$F$4207,MATCH(C2339,STPP!$C$6:$C$4207,0)),"Not Found"))</f>
        <v/>
      </c>
      <c r="G2339" s="25" t="str">
        <f>IF(表1[[#This Row],[No Seri]]="","",表1[[#This Row],[Deskripsi Barang]]+表1[[#This Row],[Kuantitas]]-表1[[#This Row],[Satuan]])</f>
        <v/>
      </c>
      <c r="H2339" s="28"/>
      <c r="I2339" s="25" t="str">
        <f>IF(表1[[#This Row],[Tgl NPBG]]&gt;表1[[#This Row],[Peminta]],表1[[#This Row],[Tgl NPBG]]-表1[[#This Row],[Peminta]],"")</f>
        <v/>
      </c>
      <c r="J2339" s="31"/>
    </row>
    <row r="2340" s="12" customFormat="1" customHeight="1" spans="2:10">
      <c r="B2340" s="25"/>
      <c r="C2340" s="25"/>
      <c r="D2340" s="26" t="str" cm="1">
        <f t="array" ref="D2340">IF(C2340="","",IFERROR(INDEX(STPP!$D$6:$D$4207,MATCH(C2340,STPP!$C$6:$C$4207,0)),"Not Found"))</f>
        <v/>
      </c>
      <c r="E2340" s="27" t="str" cm="1">
        <f t="array" ref="E2340">IF(C2340="","",IFERROR(INDEX(STPP!$E$6:$E$4207,MATCH(C2340,STPP!$C$6:$C$4207,0)),"Not Found"))</f>
        <v/>
      </c>
      <c r="F2340" s="27" t="str" cm="1">
        <f t="array" ref="F2340">IF(C2340="","",IFERROR(INDEX(STPP!$F$6:$F$4207,MATCH(C2340,STPP!$C$6:$C$4207,0)),"Not Found"))</f>
        <v/>
      </c>
      <c r="G2340" s="25" t="str">
        <f>IF(表1[[#This Row],[No Seri]]="","",表1[[#This Row],[Deskripsi Barang]]+表1[[#This Row],[Kuantitas]]-表1[[#This Row],[Satuan]])</f>
        <v/>
      </c>
      <c r="H2340" s="28"/>
      <c r="I2340" s="25" t="str">
        <f>IF(表1[[#This Row],[Tgl NPBG]]&gt;表1[[#This Row],[Peminta]],表1[[#This Row],[Tgl NPBG]]-表1[[#This Row],[Peminta]],"")</f>
        <v/>
      </c>
      <c r="J2340" s="31"/>
    </row>
    <row r="2341" s="12" customFormat="1" customHeight="1" spans="2:10">
      <c r="B2341" s="25"/>
      <c r="C2341" s="25"/>
      <c r="D2341" s="26" t="str" cm="1">
        <f t="array" ref="D2341">IF(C2341="","",IFERROR(INDEX(STPP!$D$6:$D$4207,MATCH(C2341,STPP!$C$6:$C$4207,0)),"Not Found"))</f>
        <v/>
      </c>
      <c r="E2341" s="27" t="str" cm="1">
        <f t="array" ref="E2341">IF(C2341="","",IFERROR(INDEX(STPP!$E$6:$E$4207,MATCH(C2341,STPP!$C$6:$C$4207,0)),"Not Found"))</f>
        <v/>
      </c>
      <c r="F2341" s="27" t="str" cm="1">
        <f t="array" ref="F2341">IF(C2341="","",IFERROR(INDEX(STPP!$F$6:$F$4207,MATCH(C2341,STPP!$C$6:$C$4207,0)),"Not Found"))</f>
        <v/>
      </c>
      <c r="G2341" s="25" t="str">
        <f>IF(表1[[#This Row],[No Seri]]="","",表1[[#This Row],[Deskripsi Barang]]+表1[[#This Row],[Kuantitas]]-表1[[#This Row],[Satuan]])</f>
        <v/>
      </c>
      <c r="H2341" s="28"/>
      <c r="I2341" s="25" t="str">
        <f>IF(表1[[#This Row],[Tgl NPBG]]&gt;表1[[#This Row],[Peminta]],表1[[#This Row],[Tgl NPBG]]-表1[[#This Row],[Peminta]],"")</f>
        <v/>
      </c>
      <c r="J2341" s="31"/>
    </row>
    <row r="2342" s="12" customFormat="1" customHeight="1" spans="2:10">
      <c r="B2342" s="25"/>
      <c r="C2342" s="25"/>
      <c r="D2342" s="26" t="str" cm="1">
        <f t="array" ref="D2342">IF(C2342="","",IFERROR(INDEX(STPP!$D$6:$D$4207,MATCH(C2342,STPP!$C$6:$C$4207,0)),"Not Found"))</f>
        <v/>
      </c>
      <c r="E2342" s="27" t="str" cm="1">
        <f t="array" ref="E2342">IF(C2342="","",IFERROR(INDEX(STPP!$E$6:$E$4207,MATCH(C2342,STPP!$C$6:$C$4207,0)),"Not Found"))</f>
        <v/>
      </c>
      <c r="F2342" s="27" t="str" cm="1">
        <f t="array" ref="F2342">IF(C2342="","",IFERROR(INDEX(STPP!$F$6:$F$4207,MATCH(C2342,STPP!$C$6:$C$4207,0)),"Not Found"))</f>
        <v/>
      </c>
      <c r="G2342" s="25" t="str">
        <f>IF(表1[[#This Row],[No Seri]]="","",表1[[#This Row],[Deskripsi Barang]]+表1[[#This Row],[Kuantitas]]-表1[[#This Row],[Satuan]])</f>
        <v/>
      </c>
      <c r="H2342" s="28"/>
      <c r="I2342" s="25" t="str">
        <f>IF(表1[[#This Row],[Tgl NPBG]]&gt;表1[[#This Row],[Peminta]],表1[[#This Row],[Tgl NPBG]]-表1[[#This Row],[Peminta]],"")</f>
        <v/>
      </c>
      <c r="J2342" s="31"/>
    </row>
    <row r="2343" s="12" customFormat="1" customHeight="1" spans="2:10">
      <c r="B2343" s="25"/>
      <c r="C2343" s="25"/>
      <c r="D2343" s="26" t="str" cm="1">
        <f t="array" ref="D2343">IF(C2343="","",IFERROR(INDEX(STPP!$D$6:$D$4207,MATCH(C2343,STPP!$C$6:$C$4207,0)),"Not Found"))</f>
        <v/>
      </c>
      <c r="E2343" s="27" t="str" cm="1">
        <f t="array" ref="E2343">IF(C2343="","",IFERROR(INDEX(STPP!$E$6:$E$4207,MATCH(C2343,STPP!$C$6:$C$4207,0)),"Not Found"))</f>
        <v/>
      </c>
      <c r="F2343" s="27" t="str" cm="1">
        <f t="array" ref="F2343">IF(C2343="","",IFERROR(INDEX(STPP!$F$6:$F$4207,MATCH(C2343,STPP!$C$6:$C$4207,0)),"Not Found"))</f>
        <v/>
      </c>
      <c r="G2343" s="25" t="str">
        <f>IF(表1[[#This Row],[No Seri]]="","",表1[[#This Row],[Deskripsi Barang]]+表1[[#This Row],[Kuantitas]]-表1[[#This Row],[Satuan]])</f>
        <v/>
      </c>
      <c r="H2343" s="28"/>
      <c r="I2343" s="25" t="str">
        <f>IF(表1[[#This Row],[Tgl NPBG]]&gt;表1[[#This Row],[Peminta]],表1[[#This Row],[Tgl NPBG]]-表1[[#This Row],[Peminta]],"")</f>
        <v/>
      </c>
      <c r="J2343" s="31"/>
    </row>
    <row r="2344" s="12" customFormat="1" customHeight="1" spans="2:10">
      <c r="B2344" s="25"/>
      <c r="C2344" s="25"/>
      <c r="D2344" s="26" t="str" cm="1">
        <f t="array" ref="D2344">IF(C2344="","",IFERROR(INDEX(STPP!$D$6:$D$4207,MATCH(C2344,STPP!$C$6:$C$4207,0)),"Not Found"))</f>
        <v/>
      </c>
      <c r="E2344" s="27" t="str" cm="1">
        <f t="array" ref="E2344">IF(C2344="","",IFERROR(INDEX(STPP!$E$6:$E$4207,MATCH(C2344,STPP!$C$6:$C$4207,0)),"Not Found"))</f>
        <v/>
      </c>
      <c r="F2344" s="27" t="str" cm="1">
        <f t="array" ref="F2344">IF(C2344="","",IFERROR(INDEX(STPP!$F$6:$F$4207,MATCH(C2344,STPP!$C$6:$C$4207,0)),"Not Found"))</f>
        <v/>
      </c>
      <c r="G2344" s="25" t="str">
        <f>IF(表1[[#This Row],[No Seri]]="","",表1[[#This Row],[Deskripsi Barang]]+表1[[#This Row],[Kuantitas]]-表1[[#This Row],[Satuan]])</f>
        <v/>
      </c>
      <c r="H2344" s="28"/>
      <c r="I2344" s="25" t="str">
        <f>IF(表1[[#This Row],[Tgl NPBG]]&gt;表1[[#This Row],[Peminta]],表1[[#This Row],[Tgl NPBG]]-表1[[#This Row],[Peminta]],"")</f>
        <v/>
      </c>
      <c r="J2344" s="31"/>
    </row>
    <row r="2345" s="12" customFormat="1" customHeight="1" spans="2:10">
      <c r="B2345" s="25"/>
      <c r="C2345" s="25"/>
      <c r="D2345" s="26" t="str" cm="1">
        <f t="array" ref="D2345">IF(C2345="","",IFERROR(INDEX(STPP!$D$6:$D$4207,MATCH(C2345,STPP!$C$6:$C$4207,0)),"Not Found"))</f>
        <v/>
      </c>
      <c r="E2345" s="27" t="str" cm="1">
        <f t="array" ref="E2345">IF(C2345="","",IFERROR(INDEX(STPP!$E$6:$E$4207,MATCH(C2345,STPP!$C$6:$C$4207,0)),"Not Found"))</f>
        <v/>
      </c>
      <c r="F2345" s="27" t="str" cm="1">
        <f t="array" ref="F2345">IF(C2345="","",IFERROR(INDEX(STPP!$F$6:$F$4207,MATCH(C2345,STPP!$C$6:$C$4207,0)),"Not Found"))</f>
        <v/>
      </c>
      <c r="G2345" s="25" t="str">
        <f>IF(表1[[#This Row],[No Seri]]="","",表1[[#This Row],[Deskripsi Barang]]+表1[[#This Row],[Kuantitas]]-表1[[#This Row],[Satuan]])</f>
        <v/>
      </c>
      <c r="H2345" s="28"/>
      <c r="I2345" s="25" t="str">
        <f>IF(表1[[#This Row],[Tgl NPBG]]&gt;表1[[#This Row],[Peminta]],表1[[#This Row],[Tgl NPBG]]-表1[[#This Row],[Peminta]],"")</f>
        <v/>
      </c>
      <c r="J2345" s="31"/>
    </row>
    <row r="2346" s="12" customFormat="1" customHeight="1" spans="2:10">
      <c r="B2346" s="25"/>
      <c r="C2346" s="25"/>
      <c r="D2346" s="26" t="str" cm="1">
        <f t="array" ref="D2346">IF(C2346="","",IFERROR(INDEX(STPP!$D$6:$D$4207,MATCH(C2346,STPP!$C$6:$C$4207,0)),"Not Found"))</f>
        <v/>
      </c>
      <c r="E2346" s="27" t="str" cm="1">
        <f t="array" ref="E2346">IF(C2346="","",IFERROR(INDEX(STPP!$E$6:$E$4207,MATCH(C2346,STPP!$C$6:$C$4207,0)),"Not Found"))</f>
        <v/>
      </c>
      <c r="F2346" s="27" t="str" cm="1">
        <f t="array" ref="F2346">IF(C2346="","",IFERROR(INDEX(STPP!$F$6:$F$4207,MATCH(C2346,STPP!$C$6:$C$4207,0)),"Not Found"))</f>
        <v/>
      </c>
      <c r="G2346" s="25" t="str">
        <f>IF(表1[[#This Row],[No Seri]]="","",表1[[#This Row],[Deskripsi Barang]]+表1[[#This Row],[Kuantitas]]-表1[[#This Row],[Satuan]])</f>
        <v/>
      </c>
      <c r="H2346" s="28"/>
      <c r="I2346" s="25" t="str">
        <f>IF(表1[[#This Row],[Tgl NPBG]]&gt;表1[[#This Row],[Peminta]],表1[[#This Row],[Tgl NPBG]]-表1[[#This Row],[Peminta]],"")</f>
        <v/>
      </c>
      <c r="J2346" s="31"/>
    </row>
    <row r="2347" s="12" customFormat="1" customHeight="1" spans="2:10">
      <c r="B2347" s="25"/>
      <c r="C2347" s="25"/>
      <c r="D2347" s="26" t="str" cm="1">
        <f t="array" ref="D2347">IF(C2347="","",IFERROR(INDEX(STPP!$D$6:$D$4207,MATCH(C2347,STPP!$C$6:$C$4207,0)),"Not Found"))</f>
        <v/>
      </c>
      <c r="E2347" s="27" t="str" cm="1">
        <f t="array" ref="E2347">IF(C2347="","",IFERROR(INDEX(STPP!$E$6:$E$4207,MATCH(C2347,STPP!$C$6:$C$4207,0)),"Not Found"))</f>
        <v/>
      </c>
      <c r="F2347" s="27" t="str" cm="1">
        <f t="array" ref="F2347">IF(C2347="","",IFERROR(INDEX(STPP!$F$6:$F$4207,MATCH(C2347,STPP!$C$6:$C$4207,0)),"Not Found"))</f>
        <v/>
      </c>
      <c r="G2347" s="25" t="str">
        <f>IF(表1[[#This Row],[No Seri]]="","",表1[[#This Row],[Deskripsi Barang]]+表1[[#This Row],[Kuantitas]]-表1[[#This Row],[Satuan]])</f>
        <v/>
      </c>
      <c r="H2347" s="28"/>
      <c r="I2347" s="25" t="str">
        <f>IF(表1[[#This Row],[Tgl NPBG]]&gt;表1[[#This Row],[Peminta]],表1[[#This Row],[Tgl NPBG]]-表1[[#This Row],[Peminta]],"")</f>
        <v/>
      </c>
      <c r="J2347" s="31"/>
    </row>
    <row r="2348" s="12" customFormat="1" customHeight="1" spans="2:10">
      <c r="B2348" s="25"/>
      <c r="C2348" s="25"/>
      <c r="D2348" s="26" t="str" cm="1">
        <f t="array" ref="D2348">IF(C2348="","",IFERROR(INDEX(STPP!$D$6:$D$4207,MATCH(C2348,STPP!$C$6:$C$4207,0)),"Not Found"))</f>
        <v/>
      </c>
      <c r="E2348" s="27" t="str" cm="1">
        <f t="array" ref="E2348">IF(C2348="","",IFERROR(INDEX(STPP!$E$6:$E$4207,MATCH(C2348,STPP!$C$6:$C$4207,0)),"Not Found"))</f>
        <v/>
      </c>
      <c r="F2348" s="27" t="str" cm="1">
        <f t="array" ref="F2348">IF(C2348="","",IFERROR(INDEX(STPP!$F$6:$F$4207,MATCH(C2348,STPP!$C$6:$C$4207,0)),"Not Found"))</f>
        <v/>
      </c>
      <c r="G2348" s="25" t="str">
        <f>IF(表1[[#This Row],[No Seri]]="","",表1[[#This Row],[Deskripsi Barang]]+表1[[#This Row],[Kuantitas]]-表1[[#This Row],[Satuan]])</f>
        <v/>
      </c>
      <c r="H2348" s="28"/>
      <c r="I2348" s="25" t="str">
        <f>IF(表1[[#This Row],[Tgl NPBG]]&gt;表1[[#This Row],[Peminta]],表1[[#This Row],[Tgl NPBG]]-表1[[#This Row],[Peminta]],"")</f>
        <v/>
      </c>
      <c r="J2348" s="31"/>
    </row>
    <row r="2349" s="12" customFormat="1" customHeight="1" spans="2:10">
      <c r="B2349" s="25"/>
      <c r="C2349" s="25"/>
      <c r="D2349" s="26" t="str" cm="1">
        <f t="array" ref="D2349">IF(C2349="","",IFERROR(INDEX(STPP!$D$6:$D$4207,MATCH(C2349,STPP!$C$6:$C$4207,0)),"Not Found"))</f>
        <v/>
      </c>
      <c r="E2349" s="27" t="str" cm="1">
        <f t="array" ref="E2349">IF(C2349="","",IFERROR(INDEX(STPP!$E$6:$E$4207,MATCH(C2349,STPP!$C$6:$C$4207,0)),"Not Found"))</f>
        <v/>
      </c>
      <c r="F2349" s="27" t="str" cm="1">
        <f t="array" ref="F2349">IF(C2349="","",IFERROR(INDEX(STPP!$F$6:$F$4207,MATCH(C2349,STPP!$C$6:$C$4207,0)),"Not Found"))</f>
        <v/>
      </c>
      <c r="G2349" s="25" t="str">
        <f>IF(表1[[#This Row],[No Seri]]="","",表1[[#This Row],[Deskripsi Barang]]+表1[[#This Row],[Kuantitas]]-表1[[#This Row],[Satuan]])</f>
        <v/>
      </c>
      <c r="H2349" s="28"/>
      <c r="I2349" s="25" t="str">
        <f>IF(表1[[#This Row],[Tgl NPBG]]&gt;表1[[#This Row],[Peminta]],表1[[#This Row],[Tgl NPBG]]-表1[[#This Row],[Peminta]],"")</f>
        <v/>
      </c>
      <c r="J2349" s="31"/>
    </row>
    <row r="2350" s="12" customFormat="1" customHeight="1" spans="2:10">
      <c r="B2350" s="25"/>
      <c r="C2350" s="25"/>
      <c r="D2350" s="26" t="str" cm="1">
        <f t="array" ref="D2350">IF(C2350="","",IFERROR(INDEX(STPP!$D$6:$D$4207,MATCH(C2350,STPP!$C$6:$C$4207,0)),"Not Found"))</f>
        <v/>
      </c>
      <c r="E2350" s="27" t="str" cm="1">
        <f t="array" ref="E2350">IF(C2350="","",IFERROR(INDEX(STPP!$E$6:$E$4207,MATCH(C2350,STPP!$C$6:$C$4207,0)),"Not Found"))</f>
        <v/>
      </c>
      <c r="F2350" s="27" t="str" cm="1">
        <f t="array" ref="F2350">IF(C2350="","",IFERROR(INDEX(STPP!$F$6:$F$4207,MATCH(C2350,STPP!$C$6:$C$4207,0)),"Not Found"))</f>
        <v/>
      </c>
      <c r="G2350" s="25" t="str">
        <f>IF(表1[[#This Row],[No Seri]]="","",表1[[#This Row],[Deskripsi Barang]]+表1[[#This Row],[Kuantitas]]-表1[[#This Row],[Satuan]])</f>
        <v/>
      </c>
      <c r="H2350" s="28"/>
      <c r="I2350" s="25" t="str">
        <f>IF(表1[[#This Row],[Tgl NPBG]]&gt;表1[[#This Row],[Peminta]],表1[[#This Row],[Tgl NPBG]]-表1[[#This Row],[Peminta]],"")</f>
        <v/>
      </c>
      <c r="J2350" s="31"/>
    </row>
    <row r="2351" s="12" customFormat="1" customHeight="1" spans="2:10">
      <c r="B2351" s="25"/>
      <c r="C2351" s="25"/>
      <c r="D2351" s="26" t="str" cm="1">
        <f t="array" ref="D2351">IF(C2351="","",IFERROR(INDEX(STPP!$D$6:$D$4207,MATCH(C2351,STPP!$C$6:$C$4207,0)),"Not Found"))</f>
        <v/>
      </c>
      <c r="E2351" s="27" t="str" cm="1">
        <f t="array" ref="E2351">IF(C2351="","",IFERROR(INDEX(STPP!$E$6:$E$4207,MATCH(C2351,STPP!$C$6:$C$4207,0)),"Not Found"))</f>
        <v/>
      </c>
      <c r="F2351" s="27" t="str" cm="1">
        <f t="array" ref="F2351">IF(C2351="","",IFERROR(INDEX(STPP!$F$6:$F$4207,MATCH(C2351,STPP!$C$6:$C$4207,0)),"Not Found"))</f>
        <v/>
      </c>
      <c r="G2351" s="25" t="str">
        <f>IF(表1[[#This Row],[No Seri]]="","",表1[[#This Row],[Deskripsi Barang]]+表1[[#This Row],[Kuantitas]]-表1[[#This Row],[Satuan]])</f>
        <v/>
      </c>
      <c r="H2351" s="28"/>
      <c r="I2351" s="25" t="str">
        <f>IF(表1[[#This Row],[Tgl NPBG]]&gt;表1[[#This Row],[Peminta]],表1[[#This Row],[Tgl NPBG]]-表1[[#This Row],[Peminta]],"")</f>
        <v/>
      </c>
      <c r="J2351" s="31"/>
    </row>
    <row r="2352" s="12" customFormat="1" customHeight="1" spans="2:10">
      <c r="B2352" s="25"/>
      <c r="C2352" s="25"/>
      <c r="D2352" s="26" t="str" cm="1">
        <f t="array" ref="D2352">IF(C2352="","",IFERROR(INDEX(STPP!$D$6:$D$4207,MATCH(C2352,STPP!$C$6:$C$4207,0)),"Not Found"))</f>
        <v/>
      </c>
      <c r="E2352" s="27" t="str" cm="1">
        <f t="array" ref="E2352">IF(C2352="","",IFERROR(INDEX(STPP!$E$6:$E$4207,MATCH(C2352,STPP!$C$6:$C$4207,0)),"Not Found"))</f>
        <v/>
      </c>
      <c r="F2352" s="27" t="str" cm="1">
        <f t="array" ref="F2352">IF(C2352="","",IFERROR(INDEX(STPP!$F$6:$F$4207,MATCH(C2352,STPP!$C$6:$C$4207,0)),"Not Found"))</f>
        <v/>
      </c>
      <c r="G2352" s="25" t="str">
        <f>IF(表1[[#This Row],[No Seri]]="","",表1[[#This Row],[Deskripsi Barang]]+表1[[#This Row],[Kuantitas]]-表1[[#This Row],[Satuan]])</f>
        <v/>
      </c>
      <c r="H2352" s="28"/>
      <c r="I2352" s="25" t="str">
        <f>IF(表1[[#This Row],[Tgl NPBG]]&gt;表1[[#This Row],[Peminta]],表1[[#This Row],[Tgl NPBG]]-表1[[#This Row],[Peminta]],"")</f>
        <v/>
      </c>
      <c r="J2352" s="31"/>
    </row>
    <row r="2353" s="12" customFormat="1" customHeight="1" spans="2:10">
      <c r="B2353" s="25"/>
      <c r="C2353" s="25"/>
      <c r="D2353" s="26" t="str" cm="1">
        <f t="array" ref="D2353">IF(C2353="","",IFERROR(INDEX(STPP!$D$6:$D$4207,MATCH(C2353,STPP!$C$6:$C$4207,0)),"Not Found"))</f>
        <v/>
      </c>
      <c r="E2353" s="27" t="str" cm="1">
        <f t="array" ref="E2353">IF(C2353="","",IFERROR(INDEX(STPP!$E$6:$E$4207,MATCH(C2353,STPP!$C$6:$C$4207,0)),"Not Found"))</f>
        <v/>
      </c>
      <c r="F2353" s="27" t="str" cm="1">
        <f t="array" ref="F2353">IF(C2353="","",IFERROR(INDEX(STPP!$F$6:$F$4207,MATCH(C2353,STPP!$C$6:$C$4207,0)),"Not Found"))</f>
        <v/>
      </c>
      <c r="G2353" s="25" t="str">
        <f>IF(表1[[#This Row],[No Seri]]="","",表1[[#This Row],[Deskripsi Barang]]+表1[[#This Row],[Kuantitas]]-表1[[#This Row],[Satuan]])</f>
        <v/>
      </c>
      <c r="H2353" s="28"/>
      <c r="I2353" s="25" t="str">
        <f>IF(表1[[#This Row],[Tgl NPBG]]&gt;表1[[#This Row],[Peminta]],表1[[#This Row],[Tgl NPBG]]-表1[[#This Row],[Peminta]],"")</f>
        <v/>
      </c>
      <c r="J2353" s="31"/>
    </row>
    <row r="2354" s="12" customFormat="1" customHeight="1" spans="2:10">
      <c r="B2354" s="25"/>
      <c r="C2354" s="25"/>
      <c r="D2354" s="26" t="str" cm="1">
        <f t="array" ref="D2354">IF(C2354="","",IFERROR(INDEX(STPP!$D$6:$D$4207,MATCH(C2354,STPP!$C$6:$C$4207,0)),"Not Found"))</f>
        <v/>
      </c>
      <c r="E2354" s="27" t="str" cm="1">
        <f t="array" ref="E2354">IF(C2354="","",IFERROR(INDEX(STPP!$E$6:$E$4207,MATCH(C2354,STPP!$C$6:$C$4207,0)),"Not Found"))</f>
        <v/>
      </c>
      <c r="F2354" s="27" t="str" cm="1">
        <f t="array" ref="F2354">IF(C2354="","",IFERROR(INDEX(STPP!$F$6:$F$4207,MATCH(C2354,STPP!$C$6:$C$4207,0)),"Not Found"))</f>
        <v/>
      </c>
      <c r="G2354" s="25" t="str">
        <f>IF(表1[[#This Row],[No Seri]]="","",表1[[#This Row],[Deskripsi Barang]]+表1[[#This Row],[Kuantitas]]-表1[[#This Row],[Satuan]])</f>
        <v/>
      </c>
      <c r="H2354" s="28"/>
      <c r="I2354" s="25" t="str">
        <f>IF(表1[[#This Row],[Tgl NPBG]]&gt;表1[[#This Row],[Peminta]],表1[[#This Row],[Tgl NPBG]]-表1[[#This Row],[Peminta]],"")</f>
        <v/>
      </c>
      <c r="J2354" s="31"/>
    </row>
    <row r="2355" s="12" customFormat="1" customHeight="1" spans="2:10">
      <c r="B2355" s="25"/>
      <c r="C2355" s="25"/>
      <c r="D2355" s="26" t="str" cm="1">
        <f t="array" ref="D2355">IF(C2355="","",IFERROR(INDEX(STPP!$D$6:$D$4207,MATCH(C2355,STPP!$C$6:$C$4207,0)),"Not Found"))</f>
        <v/>
      </c>
      <c r="E2355" s="27" t="str" cm="1">
        <f t="array" ref="E2355">IF(C2355="","",IFERROR(INDEX(STPP!$E$6:$E$4207,MATCH(C2355,STPP!$C$6:$C$4207,0)),"Not Found"))</f>
        <v/>
      </c>
      <c r="F2355" s="27" t="str" cm="1">
        <f t="array" ref="F2355">IF(C2355="","",IFERROR(INDEX(STPP!$F$6:$F$4207,MATCH(C2355,STPP!$C$6:$C$4207,0)),"Not Found"))</f>
        <v/>
      </c>
      <c r="G2355" s="25" t="str">
        <f>IF(表1[[#This Row],[No Seri]]="","",表1[[#This Row],[Deskripsi Barang]]+表1[[#This Row],[Kuantitas]]-表1[[#This Row],[Satuan]])</f>
        <v/>
      </c>
      <c r="H2355" s="28"/>
      <c r="I2355" s="25" t="str">
        <f>IF(表1[[#This Row],[Tgl NPBG]]&gt;表1[[#This Row],[Peminta]],表1[[#This Row],[Tgl NPBG]]-表1[[#This Row],[Peminta]],"")</f>
        <v/>
      </c>
      <c r="J2355" s="31"/>
    </row>
    <row r="2356" s="12" customFormat="1" customHeight="1" spans="2:10">
      <c r="B2356" s="25"/>
      <c r="C2356" s="25"/>
      <c r="D2356" s="26" t="str" cm="1">
        <f t="array" ref="D2356">IF(C2356="","",IFERROR(INDEX(STPP!$D$6:$D$4207,MATCH(C2356,STPP!$C$6:$C$4207,0)),"Not Found"))</f>
        <v/>
      </c>
      <c r="E2356" s="27" t="str" cm="1">
        <f t="array" ref="E2356">IF(C2356="","",IFERROR(INDEX(STPP!$E$6:$E$4207,MATCH(C2356,STPP!$C$6:$C$4207,0)),"Not Found"))</f>
        <v/>
      </c>
      <c r="F2356" s="27" t="str" cm="1">
        <f t="array" ref="F2356">IF(C2356="","",IFERROR(INDEX(STPP!$F$6:$F$4207,MATCH(C2356,STPP!$C$6:$C$4207,0)),"Not Found"))</f>
        <v/>
      </c>
      <c r="G2356" s="25" t="str">
        <f>IF(表1[[#This Row],[No Seri]]="","",表1[[#This Row],[Deskripsi Barang]]+表1[[#This Row],[Kuantitas]]-表1[[#This Row],[Satuan]])</f>
        <v/>
      </c>
      <c r="H2356" s="28"/>
      <c r="I2356" s="25" t="str">
        <f>IF(表1[[#This Row],[Tgl NPBG]]&gt;表1[[#This Row],[Peminta]],表1[[#This Row],[Tgl NPBG]]-表1[[#This Row],[Peminta]],"")</f>
        <v/>
      </c>
      <c r="J2356" s="31"/>
    </row>
    <row r="2357" s="12" customFormat="1" customHeight="1" spans="2:10">
      <c r="B2357" s="25"/>
      <c r="C2357" s="25"/>
      <c r="D2357" s="26" t="str" cm="1">
        <f t="array" ref="D2357">IF(C2357="","",IFERROR(INDEX(STPP!$D$6:$D$4207,MATCH(C2357,STPP!$C$6:$C$4207,0)),"Not Found"))</f>
        <v/>
      </c>
      <c r="E2357" s="27" t="str" cm="1">
        <f t="array" ref="E2357">IF(C2357="","",IFERROR(INDEX(STPP!$E$6:$E$4207,MATCH(C2357,STPP!$C$6:$C$4207,0)),"Not Found"))</f>
        <v/>
      </c>
      <c r="F2357" s="27" t="str" cm="1">
        <f t="array" ref="F2357">IF(C2357="","",IFERROR(INDEX(STPP!$F$6:$F$4207,MATCH(C2357,STPP!$C$6:$C$4207,0)),"Not Found"))</f>
        <v/>
      </c>
      <c r="G2357" s="25" t="str">
        <f>IF(表1[[#This Row],[No Seri]]="","",表1[[#This Row],[Deskripsi Barang]]+表1[[#This Row],[Kuantitas]]-表1[[#This Row],[Satuan]])</f>
        <v/>
      </c>
      <c r="H2357" s="28"/>
      <c r="I2357" s="25" t="str">
        <f>IF(表1[[#This Row],[Tgl NPBG]]&gt;表1[[#This Row],[Peminta]],表1[[#This Row],[Tgl NPBG]]-表1[[#This Row],[Peminta]],"")</f>
        <v/>
      </c>
      <c r="J2357" s="31"/>
    </row>
    <row r="2358" s="12" customFormat="1" customHeight="1" spans="2:10">
      <c r="B2358" s="25"/>
      <c r="C2358" s="25"/>
      <c r="D2358" s="26" t="str" cm="1">
        <f t="array" ref="D2358">IF(C2358="","",IFERROR(INDEX(STPP!$D$6:$D$4207,MATCH(C2358,STPP!$C$6:$C$4207,0)),"Not Found"))</f>
        <v/>
      </c>
      <c r="E2358" s="27" t="str" cm="1">
        <f t="array" ref="E2358">IF(C2358="","",IFERROR(INDEX(STPP!$E$6:$E$4207,MATCH(C2358,STPP!$C$6:$C$4207,0)),"Not Found"))</f>
        <v/>
      </c>
      <c r="F2358" s="27" t="str" cm="1">
        <f t="array" ref="F2358">IF(C2358="","",IFERROR(INDEX(STPP!$F$6:$F$4207,MATCH(C2358,STPP!$C$6:$C$4207,0)),"Not Found"))</f>
        <v/>
      </c>
      <c r="G2358" s="25" t="str">
        <f>IF(表1[[#This Row],[No Seri]]="","",表1[[#This Row],[Deskripsi Barang]]+表1[[#This Row],[Kuantitas]]-表1[[#This Row],[Satuan]])</f>
        <v/>
      </c>
      <c r="H2358" s="28"/>
      <c r="I2358" s="25" t="str">
        <f>IF(表1[[#This Row],[Tgl NPBG]]&gt;表1[[#This Row],[Peminta]],表1[[#This Row],[Tgl NPBG]]-表1[[#This Row],[Peminta]],"")</f>
        <v/>
      </c>
      <c r="J2358" s="31"/>
    </row>
    <row r="2359" s="12" customFormat="1" customHeight="1" spans="2:10">
      <c r="B2359" s="25"/>
      <c r="C2359" s="25"/>
      <c r="D2359" s="26" t="str" cm="1">
        <f t="array" ref="D2359">IF(C2359="","",IFERROR(INDEX(STPP!$D$6:$D$4207,MATCH(C2359,STPP!$C$6:$C$4207,0)),"Not Found"))</f>
        <v/>
      </c>
      <c r="E2359" s="27" t="str" cm="1">
        <f t="array" ref="E2359">IF(C2359="","",IFERROR(INDEX(STPP!$E$6:$E$4207,MATCH(C2359,STPP!$C$6:$C$4207,0)),"Not Found"))</f>
        <v/>
      </c>
      <c r="F2359" s="27" t="str" cm="1">
        <f t="array" ref="F2359">IF(C2359="","",IFERROR(INDEX(STPP!$F$6:$F$4207,MATCH(C2359,STPP!$C$6:$C$4207,0)),"Not Found"))</f>
        <v/>
      </c>
      <c r="G2359" s="25" t="str">
        <f>IF(表1[[#This Row],[No Seri]]="","",表1[[#This Row],[Deskripsi Barang]]+表1[[#This Row],[Kuantitas]]-表1[[#This Row],[Satuan]])</f>
        <v/>
      </c>
      <c r="H2359" s="28"/>
      <c r="I2359" s="25" t="str">
        <f>IF(表1[[#This Row],[Tgl NPBG]]&gt;表1[[#This Row],[Peminta]],表1[[#This Row],[Tgl NPBG]]-表1[[#This Row],[Peminta]],"")</f>
        <v/>
      </c>
      <c r="J2359" s="31"/>
    </row>
    <row r="2360" s="12" customFormat="1" customHeight="1" spans="2:10">
      <c r="B2360" s="25"/>
      <c r="C2360" s="25"/>
      <c r="D2360" s="26" t="str" cm="1">
        <f t="array" ref="D2360">IF(C2360="","",IFERROR(INDEX(STPP!$D$6:$D$4207,MATCH(C2360,STPP!$C$6:$C$4207,0)),"Not Found"))</f>
        <v/>
      </c>
      <c r="E2360" s="27" t="str" cm="1">
        <f t="array" ref="E2360">IF(C2360="","",IFERROR(INDEX(STPP!$E$6:$E$4207,MATCH(C2360,STPP!$C$6:$C$4207,0)),"Not Found"))</f>
        <v/>
      </c>
      <c r="F2360" s="27" t="str" cm="1">
        <f t="array" ref="F2360">IF(C2360="","",IFERROR(INDEX(STPP!$F$6:$F$4207,MATCH(C2360,STPP!$C$6:$C$4207,0)),"Not Found"))</f>
        <v/>
      </c>
      <c r="G2360" s="25" t="str">
        <f>IF(表1[[#This Row],[No Seri]]="","",表1[[#This Row],[Deskripsi Barang]]+表1[[#This Row],[Kuantitas]]-表1[[#This Row],[Satuan]])</f>
        <v/>
      </c>
      <c r="H2360" s="28"/>
      <c r="I2360" s="25" t="str">
        <f>IF(表1[[#This Row],[Tgl NPBG]]&gt;表1[[#This Row],[Peminta]],表1[[#This Row],[Tgl NPBG]]-表1[[#This Row],[Peminta]],"")</f>
        <v/>
      </c>
      <c r="J2360" s="31"/>
    </row>
    <row r="2361" s="12" customFormat="1" customHeight="1" spans="2:10">
      <c r="B2361" s="25"/>
      <c r="C2361" s="25"/>
      <c r="D2361" s="26" t="str" cm="1">
        <f t="array" ref="D2361">IF(C2361="","",IFERROR(INDEX(STPP!$D$6:$D$4207,MATCH(C2361,STPP!$C$6:$C$4207,0)),"Not Found"))</f>
        <v/>
      </c>
      <c r="E2361" s="27" t="str" cm="1">
        <f t="array" ref="E2361">IF(C2361="","",IFERROR(INDEX(STPP!$E$6:$E$4207,MATCH(C2361,STPP!$C$6:$C$4207,0)),"Not Found"))</f>
        <v/>
      </c>
      <c r="F2361" s="27" t="str" cm="1">
        <f t="array" ref="F2361">IF(C2361="","",IFERROR(INDEX(STPP!$F$6:$F$4207,MATCH(C2361,STPP!$C$6:$C$4207,0)),"Not Found"))</f>
        <v/>
      </c>
      <c r="G2361" s="25" t="str">
        <f>IF(表1[[#This Row],[No Seri]]="","",表1[[#This Row],[Deskripsi Barang]]+表1[[#This Row],[Kuantitas]]-表1[[#This Row],[Satuan]])</f>
        <v/>
      </c>
      <c r="H2361" s="28"/>
      <c r="I2361" s="25" t="str">
        <f>IF(表1[[#This Row],[Tgl NPBG]]&gt;表1[[#This Row],[Peminta]],表1[[#This Row],[Tgl NPBG]]-表1[[#This Row],[Peminta]],"")</f>
        <v/>
      </c>
      <c r="J2361" s="31"/>
    </row>
    <row r="2362" s="12" customFormat="1" customHeight="1" spans="2:10">
      <c r="B2362" s="25"/>
      <c r="C2362" s="25"/>
      <c r="D2362" s="26" t="str" cm="1">
        <f t="array" ref="D2362">IF(C2362="","",IFERROR(INDEX(STPP!$D$6:$D$4207,MATCH(C2362,STPP!$C$6:$C$4207,0)),"Not Found"))</f>
        <v/>
      </c>
      <c r="E2362" s="27" t="str" cm="1">
        <f t="array" ref="E2362">IF(C2362="","",IFERROR(INDEX(STPP!$E$6:$E$4207,MATCH(C2362,STPP!$C$6:$C$4207,0)),"Not Found"))</f>
        <v/>
      </c>
      <c r="F2362" s="27" t="str" cm="1">
        <f t="array" ref="F2362">IF(C2362="","",IFERROR(INDEX(STPP!$F$6:$F$4207,MATCH(C2362,STPP!$C$6:$C$4207,0)),"Not Found"))</f>
        <v/>
      </c>
      <c r="G2362" s="25" t="str">
        <f>IF(表1[[#This Row],[No Seri]]="","",表1[[#This Row],[Deskripsi Barang]]+表1[[#This Row],[Kuantitas]]-表1[[#This Row],[Satuan]])</f>
        <v/>
      </c>
      <c r="H2362" s="28"/>
      <c r="I2362" s="25" t="str">
        <f>IF(表1[[#This Row],[Tgl NPBG]]&gt;表1[[#This Row],[Peminta]],表1[[#This Row],[Tgl NPBG]]-表1[[#This Row],[Peminta]],"")</f>
        <v/>
      </c>
      <c r="J2362" s="31"/>
    </row>
    <row r="2363" s="12" customFormat="1" customHeight="1" spans="2:10">
      <c r="B2363" s="25"/>
      <c r="C2363" s="25"/>
      <c r="D2363" s="26" t="str" cm="1">
        <f t="array" ref="D2363">IF(C2363="","",IFERROR(INDEX(STPP!$D$6:$D$4207,MATCH(C2363,STPP!$C$6:$C$4207,0)),"Not Found"))</f>
        <v/>
      </c>
      <c r="E2363" s="27" t="str" cm="1">
        <f t="array" ref="E2363">IF(C2363="","",IFERROR(INDEX(STPP!$E$6:$E$4207,MATCH(C2363,STPP!$C$6:$C$4207,0)),"Not Found"))</f>
        <v/>
      </c>
      <c r="F2363" s="27" t="str" cm="1">
        <f t="array" ref="F2363">IF(C2363="","",IFERROR(INDEX(STPP!$F$6:$F$4207,MATCH(C2363,STPP!$C$6:$C$4207,0)),"Not Found"))</f>
        <v/>
      </c>
      <c r="G2363" s="25" t="str">
        <f>IF(表1[[#This Row],[No Seri]]="","",表1[[#This Row],[Deskripsi Barang]]+表1[[#This Row],[Kuantitas]]-表1[[#This Row],[Satuan]])</f>
        <v/>
      </c>
      <c r="H2363" s="28"/>
      <c r="I2363" s="25" t="str">
        <f>IF(表1[[#This Row],[Tgl NPBG]]&gt;表1[[#This Row],[Peminta]],表1[[#This Row],[Tgl NPBG]]-表1[[#This Row],[Peminta]],"")</f>
        <v/>
      </c>
      <c r="J2363" s="31"/>
    </row>
    <row r="2364" s="12" customFormat="1" customHeight="1" spans="2:10">
      <c r="B2364" s="25"/>
      <c r="C2364" s="25"/>
      <c r="D2364" s="26" t="str" cm="1">
        <f t="array" ref="D2364">IF(C2364="","",IFERROR(INDEX(STPP!$D$6:$D$4207,MATCH(C2364,STPP!$C$6:$C$4207,0)),"Not Found"))</f>
        <v/>
      </c>
      <c r="E2364" s="27" t="str" cm="1">
        <f t="array" ref="E2364">IF(C2364="","",IFERROR(INDEX(STPP!$E$6:$E$4207,MATCH(C2364,STPP!$C$6:$C$4207,0)),"Not Found"))</f>
        <v/>
      </c>
      <c r="F2364" s="27" t="str" cm="1">
        <f t="array" ref="F2364">IF(C2364="","",IFERROR(INDEX(STPP!$F$6:$F$4207,MATCH(C2364,STPP!$C$6:$C$4207,0)),"Not Found"))</f>
        <v/>
      </c>
      <c r="G2364" s="25" t="str">
        <f>IF(表1[[#This Row],[No Seri]]="","",表1[[#This Row],[Deskripsi Barang]]+表1[[#This Row],[Kuantitas]]-表1[[#This Row],[Satuan]])</f>
        <v/>
      </c>
      <c r="H2364" s="28"/>
      <c r="I2364" s="25" t="str">
        <f>IF(表1[[#This Row],[Tgl NPBG]]&gt;表1[[#This Row],[Peminta]],表1[[#This Row],[Tgl NPBG]]-表1[[#This Row],[Peminta]],"")</f>
        <v/>
      </c>
      <c r="J2364" s="31"/>
    </row>
    <row r="2365" s="12" customFormat="1" customHeight="1" spans="2:10">
      <c r="B2365" s="25"/>
      <c r="C2365" s="25"/>
      <c r="D2365" s="26" t="str" cm="1">
        <f t="array" ref="D2365">IF(C2365="","",IFERROR(INDEX(STPP!$D$6:$D$4207,MATCH(C2365,STPP!$C$6:$C$4207,0)),"Not Found"))</f>
        <v/>
      </c>
      <c r="E2365" s="27" t="str" cm="1">
        <f t="array" ref="E2365">IF(C2365="","",IFERROR(INDEX(STPP!$E$6:$E$4207,MATCH(C2365,STPP!$C$6:$C$4207,0)),"Not Found"))</f>
        <v/>
      </c>
      <c r="F2365" s="27" t="str" cm="1">
        <f t="array" ref="F2365">IF(C2365="","",IFERROR(INDEX(STPP!$F$6:$F$4207,MATCH(C2365,STPP!$C$6:$C$4207,0)),"Not Found"))</f>
        <v/>
      </c>
      <c r="G2365" s="25" t="str">
        <f>IF(表1[[#This Row],[No Seri]]="","",表1[[#This Row],[Deskripsi Barang]]+表1[[#This Row],[Kuantitas]]-表1[[#This Row],[Satuan]])</f>
        <v/>
      </c>
      <c r="H2365" s="28"/>
      <c r="I2365" s="25" t="str">
        <f>IF(表1[[#This Row],[Tgl NPBG]]&gt;表1[[#This Row],[Peminta]],表1[[#This Row],[Tgl NPBG]]-表1[[#This Row],[Peminta]],"")</f>
        <v/>
      </c>
      <c r="J2365" s="31"/>
    </row>
    <row r="2366" s="12" customFormat="1" customHeight="1" spans="2:10">
      <c r="B2366" s="25"/>
      <c r="C2366" s="25"/>
      <c r="D2366" s="26" t="str" cm="1">
        <f t="array" ref="D2366">IF(C2366="","",IFERROR(INDEX(STPP!$D$6:$D$4207,MATCH(C2366,STPP!$C$6:$C$4207,0)),"Not Found"))</f>
        <v/>
      </c>
      <c r="E2366" s="27" t="str" cm="1">
        <f t="array" ref="E2366">IF(C2366="","",IFERROR(INDEX(STPP!$E$6:$E$4207,MATCH(C2366,STPP!$C$6:$C$4207,0)),"Not Found"))</f>
        <v/>
      </c>
      <c r="F2366" s="27" t="str" cm="1">
        <f t="array" ref="F2366">IF(C2366="","",IFERROR(INDEX(STPP!$F$6:$F$4207,MATCH(C2366,STPP!$C$6:$C$4207,0)),"Not Found"))</f>
        <v/>
      </c>
      <c r="G2366" s="25" t="str">
        <f>IF(表1[[#This Row],[No Seri]]="","",表1[[#This Row],[Deskripsi Barang]]+表1[[#This Row],[Kuantitas]]-表1[[#This Row],[Satuan]])</f>
        <v/>
      </c>
      <c r="H2366" s="28"/>
      <c r="I2366" s="25" t="str">
        <f>IF(表1[[#This Row],[Tgl NPBG]]&gt;表1[[#This Row],[Peminta]],表1[[#This Row],[Tgl NPBG]]-表1[[#This Row],[Peminta]],"")</f>
        <v/>
      </c>
      <c r="J2366" s="31"/>
    </row>
    <row r="2367" s="12" customFormat="1" customHeight="1" spans="2:10">
      <c r="B2367" s="25"/>
      <c r="C2367" s="25"/>
      <c r="D2367" s="26" t="str" cm="1">
        <f t="array" ref="D2367">IF(C2367="","",IFERROR(INDEX(STPP!$D$6:$D$4207,MATCH(C2367,STPP!$C$6:$C$4207,0)),"Not Found"))</f>
        <v/>
      </c>
      <c r="E2367" s="27" t="str" cm="1">
        <f t="array" ref="E2367">IF(C2367="","",IFERROR(INDEX(STPP!$E$6:$E$4207,MATCH(C2367,STPP!$C$6:$C$4207,0)),"Not Found"))</f>
        <v/>
      </c>
      <c r="F2367" s="27" t="str" cm="1">
        <f t="array" ref="F2367">IF(C2367="","",IFERROR(INDEX(STPP!$F$6:$F$4207,MATCH(C2367,STPP!$C$6:$C$4207,0)),"Not Found"))</f>
        <v/>
      </c>
      <c r="G2367" s="25" t="str">
        <f>IF(表1[[#This Row],[No Seri]]="","",表1[[#This Row],[Deskripsi Barang]]+表1[[#This Row],[Kuantitas]]-表1[[#This Row],[Satuan]])</f>
        <v/>
      </c>
      <c r="H2367" s="28"/>
      <c r="I2367" s="25" t="str">
        <f>IF(表1[[#This Row],[Tgl NPBG]]&gt;表1[[#This Row],[Peminta]],表1[[#This Row],[Tgl NPBG]]-表1[[#This Row],[Peminta]],"")</f>
        <v/>
      </c>
      <c r="J2367" s="31"/>
    </row>
    <row r="2368" s="12" customFormat="1" customHeight="1" spans="2:10">
      <c r="B2368" s="25"/>
      <c r="C2368" s="25"/>
      <c r="D2368" s="26" t="str" cm="1">
        <f t="array" ref="D2368">IF(C2368="","",IFERROR(INDEX(STPP!$D$6:$D$4207,MATCH(C2368,STPP!$C$6:$C$4207,0)),"Not Found"))</f>
        <v/>
      </c>
      <c r="E2368" s="27" t="str" cm="1">
        <f t="array" ref="E2368">IF(C2368="","",IFERROR(INDEX(STPP!$E$6:$E$4207,MATCH(C2368,STPP!$C$6:$C$4207,0)),"Not Found"))</f>
        <v/>
      </c>
      <c r="F2368" s="27" t="str" cm="1">
        <f t="array" ref="F2368">IF(C2368="","",IFERROR(INDEX(STPP!$F$6:$F$4207,MATCH(C2368,STPP!$C$6:$C$4207,0)),"Not Found"))</f>
        <v/>
      </c>
      <c r="G2368" s="25" t="str">
        <f>IF(表1[[#This Row],[No Seri]]="","",表1[[#This Row],[Deskripsi Barang]]+表1[[#This Row],[Kuantitas]]-表1[[#This Row],[Satuan]])</f>
        <v/>
      </c>
      <c r="H2368" s="28"/>
      <c r="I2368" s="25" t="str">
        <f>IF(表1[[#This Row],[Tgl NPBG]]&gt;表1[[#This Row],[Peminta]],表1[[#This Row],[Tgl NPBG]]-表1[[#This Row],[Peminta]],"")</f>
        <v/>
      </c>
      <c r="J2368" s="31"/>
    </row>
    <row r="2369" s="12" customFormat="1" customHeight="1" spans="2:10">
      <c r="B2369" s="25"/>
      <c r="C2369" s="25"/>
      <c r="D2369" s="26" t="str" cm="1">
        <f t="array" ref="D2369">IF(C2369="","",IFERROR(INDEX(STPP!$D$6:$D$4207,MATCH(C2369,STPP!$C$6:$C$4207,0)),"Not Found"))</f>
        <v/>
      </c>
      <c r="E2369" s="27" t="str" cm="1">
        <f t="array" ref="E2369">IF(C2369="","",IFERROR(INDEX(STPP!$E$6:$E$4207,MATCH(C2369,STPP!$C$6:$C$4207,0)),"Not Found"))</f>
        <v/>
      </c>
      <c r="F2369" s="27" t="str" cm="1">
        <f t="array" ref="F2369">IF(C2369="","",IFERROR(INDEX(STPP!$F$6:$F$4207,MATCH(C2369,STPP!$C$6:$C$4207,0)),"Not Found"))</f>
        <v/>
      </c>
      <c r="G2369" s="25" t="str">
        <f>IF(表1[[#This Row],[No Seri]]="","",表1[[#This Row],[Deskripsi Barang]]+表1[[#This Row],[Kuantitas]]-表1[[#This Row],[Satuan]])</f>
        <v/>
      </c>
      <c r="H2369" s="28"/>
      <c r="I2369" s="25" t="str">
        <f>IF(表1[[#This Row],[Tgl NPBG]]&gt;表1[[#This Row],[Peminta]],表1[[#This Row],[Tgl NPBG]]-表1[[#This Row],[Peminta]],"")</f>
        <v/>
      </c>
      <c r="J2369" s="31"/>
    </row>
    <row r="2370" s="12" customFormat="1" customHeight="1" spans="2:10">
      <c r="B2370" s="25"/>
      <c r="C2370" s="25"/>
      <c r="D2370" s="26" t="str" cm="1">
        <f t="array" ref="D2370">IF(C2370="","",IFERROR(INDEX(STPP!$D$6:$D$4207,MATCH(C2370,STPP!$C$6:$C$4207,0)),"Not Found"))</f>
        <v/>
      </c>
      <c r="E2370" s="27" t="str" cm="1">
        <f t="array" ref="E2370">IF(C2370="","",IFERROR(INDEX(STPP!$E$6:$E$4207,MATCH(C2370,STPP!$C$6:$C$4207,0)),"Not Found"))</f>
        <v/>
      </c>
      <c r="F2370" s="27" t="str" cm="1">
        <f t="array" ref="F2370">IF(C2370="","",IFERROR(INDEX(STPP!$F$6:$F$4207,MATCH(C2370,STPP!$C$6:$C$4207,0)),"Not Found"))</f>
        <v/>
      </c>
      <c r="G2370" s="25" t="str">
        <f>IF(表1[[#This Row],[No Seri]]="","",表1[[#This Row],[Deskripsi Barang]]+表1[[#This Row],[Kuantitas]]-表1[[#This Row],[Satuan]])</f>
        <v/>
      </c>
      <c r="H2370" s="28"/>
      <c r="I2370" s="25" t="str">
        <f>IF(表1[[#This Row],[Tgl NPBG]]&gt;表1[[#This Row],[Peminta]],表1[[#This Row],[Tgl NPBG]]-表1[[#This Row],[Peminta]],"")</f>
        <v/>
      </c>
      <c r="J2370" s="31"/>
    </row>
    <row r="2371" s="12" customFormat="1" customHeight="1" spans="2:10">
      <c r="B2371" s="25"/>
      <c r="C2371" s="25"/>
      <c r="D2371" s="26" t="str" cm="1">
        <f t="array" ref="D2371">IF(C2371="","",IFERROR(INDEX(STPP!$D$6:$D$4207,MATCH(C2371,STPP!$C$6:$C$4207,0)),"Not Found"))</f>
        <v/>
      </c>
      <c r="E2371" s="27" t="str" cm="1">
        <f t="array" ref="E2371">IF(C2371="","",IFERROR(INDEX(STPP!$E$6:$E$4207,MATCH(C2371,STPP!$C$6:$C$4207,0)),"Not Found"))</f>
        <v/>
      </c>
      <c r="F2371" s="27" t="str" cm="1">
        <f t="array" ref="F2371">IF(C2371="","",IFERROR(INDEX(STPP!$F$6:$F$4207,MATCH(C2371,STPP!$C$6:$C$4207,0)),"Not Found"))</f>
        <v/>
      </c>
      <c r="G2371" s="25" t="str">
        <f>IF(表1[[#This Row],[No Seri]]="","",表1[[#This Row],[Deskripsi Barang]]+表1[[#This Row],[Kuantitas]]-表1[[#This Row],[Satuan]])</f>
        <v/>
      </c>
      <c r="H2371" s="28"/>
      <c r="I2371" s="25" t="str">
        <f>IF(表1[[#This Row],[Tgl NPBG]]&gt;表1[[#This Row],[Peminta]],表1[[#This Row],[Tgl NPBG]]-表1[[#This Row],[Peminta]],"")</f>
        <v/>
      </c>
      <c r="J2371" s="31"/>
    </row>
    <row r="2372" s="12" customFormat="1" customHeight="1" spans="2:10">
      <c r="B2372" s="25"/>
      <c r="C2372" s="25"/>
      <c r="D2372" s="26" t="str" cm="1">
        <f t="array" ref="D2372">IF(C2372="","",IFERROR(INDEX(STPP!$D$6:$D$4207,MATCH(C2372,STPP!$C$6:$C$4207,0)),"Not Found"))</f>
        <v/>
      </c>
      <c r="E2372" s="27" t="str" cm="1">
        <f t="array" ref="E2372">IF(C2372="","",IFERROR(INDEX(STPP!$E$6:$E$4207,MATCH(C2372,STPP!$C$6:$C$4207,0)),"Not Found"))</f>
        <v/>
      </c>
      <c r="F2372" s="27" t="str" cm="1">
        <f t="array" ref="F2372">IF(C2372="","",IFERROR(INDEX(STPP!$F$6:$F$4207,MATCH(C2372,STPP!$C$6:$C$4207,0)),"Not Found"))</f>
        <v/>
      </c>
      <c r="G2372" s="25" t="str">
        <f>IF(表1[[#This Row],[No Seri]]="","",表1[[#This Row],[Deskripsi Barang]]+表1[[#This Row],[Kuantitas]]-表1[[#This Row],[Satuan]])</f>
        <v/>
      </c>
      <c r="H2372" s="28"/>
      <c r="I2372" s="25" t="str">
        <f>IF(表1[[#This Row],[Tgl NPBG]]&gt;表1[[#This Row],[Peminta]],表1[[#This Row],[Tgl NPBG]]-表1[[#This Row],[Peminta]],"")</f>
        <v/>
      </c>
      <c r="J2372" s="31"/>
    </row>
    <row r="2373" s="12" customFormat="1" customHeight="1" spans="2:10">
      <c r="B2373" s="25"/>
      <c r="C2373" s="25"/>
      <c r="D2373" s="26" t="str" cm="1">
        <f t="array" ref="D2373">IF(C2373="","",IFERROR(INDEX(STPP!$D$6:$D$4207,MATCH(C2373,STPP!$C$6:$C$4207,0)),"Not Found"))</f>
        <v/>
      </c>
      <c r="E2373" s="27" t="str" cm="1">
        <f t="array" ref="E2373">IF(C2373="","",IFERROR(INDEX(STPP!$E$6:$E$4207,MATCH(C2373,STPP!$C$6:$C$4207,0)),"Not Found"))</f>
        <v/>
      </c>
      <c r="F2373" s="27" t="str" cm="1">
        <f t="array" ref="F2373">IF(C2373="","",IFERROR(INDEX(STPP!$F$6:$F$4207,MATCH(C2373,STPP!$C$6:$C$4207,0)),"Not Found"))</f>
        <v/>
      </c>
      <c r="G2373" s="25" t="str">
        <f>IF(表1[[#This Row],[No Seri]]="","",表1[[#This Row],[Deskripsi Barang]]+表1[[#This Row],[Kuantitas]]-表1[[#This Row],[Satuan]])</f>
        <v/>
      </c>
      <c r="H2373" s="28"/>
      <c r="I2373" s="25" t="str">
        <f>IF(表1[[#This Row],[Tgl NPBG]]&gt;表1[[#This Row],[Peminta]],表1[[#This Row],[Tgl NPBG]]-表1[[#This Row],[Peminta]],"")</f>
        <v/>
      </c>
      <c r="J2373" s="31"/>
    </row>
    <row r="2374" s="12" customFormat="1" customHeight="1" spans="2:10">
      <c r="B2374" s="25"/>
      <c r="C2374" s="25"/>
      <c r="D2374" s="26" t="str" cm="1">
        <f t="array" ref="D2374">IF(C2374="","",IFERROR(INDEX(STPP!$D$6:$D$4207,MATCH(C2374,STPP!$C$6:$C$4207,0)),"Not Found"))</f>
        <v/>
      </c>
      <c r="E2374" s="27" t="str" cm="1">
        <f t="array" ref="E2374">IF(C2374="","",IFERROR(INDEX(STPP!$E$6:$E$4207,MATCH(C2374,STPP!$C$6:$C$4207,0)),"Not Found"))</f>
        <v/>
      </c>
      <c r="F2374" s="27" t="str" cm="1">
        <f t="array" ref="F2374">IF(C2374="","",IFERROR(INDEX(STPP!$F$6:$F$4207,MATCH(C2374,STPP!$C$6:$C$4207,0)),"Not Found"))</f>
        <v/>
      </c>
      <c r="G2374" s="25" t="str">
        <f>IF(表1[[#This Row],[No Seri]]="","",表1[[#This Row],[Deskripsi Barang]]+表1[[#This Row],[Kuantitas]]-表1[[#This Row],[Satuan]])</f>
        <v/>
      </c>
      <c r="H2374" s="28"/>
      <c r="I2374" s="25" t="str">
        <f>IF(表1[[#This Row],[Tgl NPBG]]&gt;表1[[#This Row],[Peminta]],表1[[#This Row],[Tgl NPBG]]-表1[[#This Row],[Peminta]],"")</f>
        <v/>
      </c>
      <c r="J2374" s="31"/>
    </row>
    <row r="2375" s="12" customFormat="1" customHeight="1" spans="2:10">
      <c r="B2375" s="25"/>
      <c r="C2375" s="25"/>
      <c r="D2375" s="26" t="str" cm="1">
        <f t="array" ref="D2375">IF(C2375="","",IFERROR(INDEX(STPP!$D$6:$D$4207,MATCH(C2375,STPP!$C$6:$C$4207,0)),"Not Found"))</f>
        <v/>
      </c>
      <c r="E2375" s="27" t="str" cm="1">
        <f t="array" ref="E2375">IF(C2375="","",IFERROR(INDEX(STPP!$E$6:$E$4207,MATCH(C2375,STPP!$C$6:$C$4207,0)),"Not Found"))</f>
        <v/>
      </c>
      <c r="F2375" s="27" t="str" cm="1">
        <f t="array" ref="F2375">IF(C2375="","",IFERROR(INDEX(STPP!$F$6:$F$4207,MATCH(C2375,STPP!$C$6:$C$4207,0)),"Not Found"))</f>
        <v/>
      </c>
      <c r="G2375" s="25" t="str">
        <f>IF(表1[[#This Row],[No Seri]]="","",表1[[#This Row],[Deskripsi Barang]]+表1[[#This Row],[Kuantitas]]-表1[[#This Row],[Satuan]])</f>
        <v/>
      </c>
      <c r="H2375" s="28"/>
      <c r="I2375" s="25" t="str">
        <f>IF(表1[[#This Row],[Tgl NPBG]]&gt;表1[[#This Row],[Peminta]],表1[[#This Row],[Tgl NPBG]]-表1[[#This Row],[Peminta]],"")</f>
        <v/>
      </c>
      <c r="J2375" s="31"/>
    </row>
    <row r="2376" s="12" customFormat="1" customHeight="1" spans="2:10">
      <c r="B2376" s="25"/>
      <c r="C2376" s="25"/>
      <c r="D2376" s="26" t="str" cm="1">
        <f t="array" ref="D2376">IF(C2376="","",IFERROR(INDEX(STPP!$D$6:$D$4207,MATCH(C2376,STPP!$C$6:$C$4207,0)),"Not Found"))</f>
        <v/>
      </c>
      <c r="E2376" s="27" t="str" cm="1">
        <f t="array" ref="E2376">IF(C2376="","",IFERROR(INDEX(STPP!$E$6:$E$4207,MATCH(C2376,STPP!$C$6:$C$4207,0)),"Not Found"))</f>
        <v/>
      </c>
      <c r="F2376" s="27" t="str" cm="1">
        <f t="array" ref="F2376">IF(C2376="","",IFERROR(INDEX(STPP!$F$6:$F$4207,MATCH(C2376,STPP!$C$6:$C$4207,0)),"Not Found"))</f>
        <v/>
      </c>
      <c r="G2376" s="25" t="str">
        <f>IF(表1[[#This Row],[No Seri]]="","",表1[[#This Row],[Deskripsi Barang]]+表1[[#This Row],[Kuantitas]]-表1[[#This Row],[Satuan]])</f>
        <v/>
      </c>
      <c r="H2376" s="28"/>
      <c r="I2376" s="25" t="str">
        <f>IF(表1[[#This Row],[Tgl NPBG]]&gt;表1[[#This Row],[Peminta]],表1[[#This Row],[Tgl NPBG]]-表1[[#This Row],[Peminta]],"")</f>
        <v/>
      </c>
      <c r="J2376" s="31"/>
    </row>
    <row r="2377" s="12" customFormat="1" customHeight="1" spans="2:10">
      <c r="B2377" s="25"/>
      <c r="C2377" s="25"/>
      <c r="D2377" s="26" t="str" cm="1">
        <f t="array" ref="D2377">IF(C2377="","",IFERROR(INDEX(STPP!$D$6:$D$4207,MATCH(C2377,STPP!$C$6:$C$4207,0)),"Not Found"))</f>
        <v/>
      </c>
      <c r="E2377" s="27" t="str" cm="1">
        <f t="array" ref="E2377">IF(C2377="","",IFERROR(INDEX(STPP!$E$6:$E$4207,MATCH(C2377,STPP!$C$6:$C$4207,0)),"Not Found"))</f>
        <v/>
      </c>
      <c r="F2377" s="27" t="str" cm="1">
        <f t="array" ref="F2377">IF(C2377="","",IFERROR(INDEX(STPP!$F$6:$F$4207,MATCH(C2377,STPP!$C$6:$C$4207,0)),"Not Found"))</f>
        <v/>
      </c>
      <c r="G2377" s="25" t="str">
        <f>IF(表1[[#This Row],[No Seri]]="","",表1[[#This Row],[Deskripsi Barang]]+表1[[#This Row],[Kuantitas]]-表1[[#This Row],[Satuan]])</f>
        <v/>
      </c>
      <c r="H2377" s="28"/>
      <c r="I2377" s="25" t="str">
        <f>IF(表1[[#This Row],[Tgl NPBG]]&gt;表1[[#This Row],[Peminta]],表1[[#This Row],[Tgl NPBG]]-表1[[#This Row],[Peminta]],"")</f>
        <v/>
      </c>
      <c r="J2377" s="31"/>
    </row>
    <row r="2378" s="12" customFormat="1" customHeight="1" spans="2:10">
      <c r="B2378" s="25"/>
      <c r="C2378" s="25"/>
      <c r="D2378" s="26" t="str" cm="1">
        <f t="array" ref="D2378">IF(C2378="","",IFERROR(INDEX(STPP!$D$6:$D$4207,MATCH(C2378,STPP!$C$6:$C$4207,0)),"Not Found"))</f>
        <v/>
      </c>
      <c r="E2378" s="27" t="str" cm="1">
        <f t="array" ref="E2378">IF(C2378="","",IFERROR(INDEX(STPP!$E$6:$E$4207,MATCH(C2378,STPP!$C$6:$C$4207,0)),"Not Found"))</f>
        <v/>
      </c>
      <c r="F2378" s="27" t="str" cm="1">
        <f t="array" ref="F2378">IF(C2378="","",IFERROR(INDEX(STPP!$F$6:$F$4207,MATCH(C2378,STPP!$C$6:$C$4207,0)),"Not Found"))</f>
        <v/>
      </c>
      <c r="G2378" s="25" t="str">
        <f>IF(表1[[#This Row],[No Seri]]="","",表1[[#This Row],[Deskripsi Barang]]+表1[[#This Row],[Kuantitas]]-表1[[#This Row],[Satuan]])</f>
        <v/>
      </c>
      <c r="H2378" s="28"/>
      <c r="I2378" s="25" t="str">
        <f>IF(表1[[#This Row],[Tgl NPBG]]&gt;表1[[#This Row],[Peminta]],表1[[#This Row],[Tgl NPBG]]-表1[[#This Row],[Peminta]],"")</f>
        <v/>
      </c>
      <c r="J2378" s="31"/>
    </row>
    <row r="2379" s="12" customFormat="1" customHeight="1" spans="2:10">
      <c r="B2379" s="25"/>
      <c r="C2379" s="25"/>
      <c r="D2379" s="26" t="str" cm="1">
        <f t="array" ref="D2379">IF(C2379="","",IFERROR(INDEX(STPP!$D$6:$D$4207,MATCH(C2379,STPP!$C$6:$C$4207,0)),"Not Found"))</f>
        <v/>
      </c>
      <c r="E2379" s="27" t="str" cm="1">
        <f t="array" ref="E2379">IF(C2379="","",IFERROR(INDEX(STPP!$E$6:$E$4207,MATCH(C2379,STPP!$C$6:$C$4207,0)),"Not Found"))</f>
        <v/>
      </c>
      <c r="F2379" s="27" t="str" cm="1">
        <f t="array" ref="F2379">IF(C2379="","",IFERROR(INDEX(STPP!$F$6:$F$4207,MATCH(C2379,STPP!$C$6:$C$4207,0)),"Not Found"))</f>
        <v/>
      </c>
      <c r="G2379" s="25" t="str">
        <f>IF(表1[[#This Row],[No Seri]]="","",表1[[#This Row],[Deskripsi Barang]]+表1[[#This Row],[Kuantitas]]-表1[[#This Row],[Satuan]])</f>
        <v/>
      </c>
      <c r="H2379" s="28"/>
      <c r="I2379" s="25" t="str">
        <f>IF(表1[[#This Row],[Tgl NPBG]]&gt;表1[[#This Row],[Peminta]],表1[[#This Row],[Tgl NPBG]]-表1[[#This Row],[Peminta]],"")</f>
        <v/>
      </c>
      <c r="J2379" s="31"/>
    </row>
    <row r="2380" s="12" customFormat="1" customHeight="1" spans="2:10">
      <c r="B2380" s="25"/>
      <c r="C2380" s="25"/>
      <c r="D2380" s="26" t="str" cm="1">
        <f t="array" ref="D2380">IF(C2380="","",IFERROR(INDEX(STPP!$D$6:$D$4207,MATCH(C2380,STPP!$C$6:$C$4207,0)),"Not Found"))</f>
        <v/>
      </c>
      <c r="E2380" s="27" t="str" cm="1">
        <f t="array" ref="E2380">IF(C2380="","",IFERROR(INDEX(STPP!$E$6:$E$4207,MATCH(C2380,STPP!$C$6:$C$4207,0)),"Not Found"))</f>
        <v/>
      </c>
      <c r="F2380" s="27" t="str" cm="1">
        <f t="array" ref="F2380">IF(C2380="","",IFERROR(INDEX(STPP!$F$6:$F$4207,MATCH(C2380,STPP!$C$6:$C$4207,0)),"Not Found"))</f>
        <v/>
      </c>
      <c r="G2380" s="25" t="str">
        <f>IF(表1[[#This Row],[No Seri]]="","",表1[[#This Row],[Deskripsi Barang]]+表1[[#This Row],[Kuantitas]]-表1[[#This Row],[Satuan]])</f>
        <v/>
      </c>
      <c r="H2380" s="28"/>
      <c r="I2380" s="25" t="str">
        <f>IF(表1[[#This Row],[Tgl NPBG]]&gt;表1[[#This Row],[Peminta]],表1[[#This Row],[Tgl NPBG]]-表1[[#This Row],[Peminta]],"")</f>
        <v/>
      </c>
      <c r="J2380" s="31"/>
    </row>
    <row r="2381" s="12" customFormat="1" customHeight="1" spans="2:10">
      <c r="B2381" s="25"/>
      <c r="C2381" s="25"/>
      <c r="D2381" s="26" t="str" cm="1">
        <f t="array" ref="D2381">IF(C2381="","",IFERROR(INDEX(STPP!$D$6:$D$4207,MATCH(C2381,STPP!$C$6:$C$4207,0)),"Not Found"))</f>
        <v/>
      </c>
      <c r="E2381" s="27" t="str" cm="1">
        <f t="array" ref="E2381">IF(C2381="","",IFERROR(INDEX(STPP!$E$6:$E$4207,MATCH(C2381,STPP!$C$6:$C$4207,0)),"Not Found"))</f>
        <v/>
      </c>
      <c r="F2381" s="27" t="str" cm="1">
        <f t="array" ref="F2381">IF(C2381="","",IFERROR(INDEX(STPP!$F$6:$F$4207,MATCH(C2381,STPP!$C$6:$C$4207,0)),"Not Found"))</f>
        <v/>
      </c>
      <c r="G2381" s="25" t="str">
        <f>IF(表1[[#This Row],[No Seri]]="","",表1[[#This Row],[Deskripsi Barang]]+表1[[#This Row],[Kuantitas]]-表1[[#This Row],[Satuan]])</f>
        <v/>
      </c>
      <c r="H2381" s="28"/>
      <c r="I2381" s="25" t="str">
        <f>IF(表1[[#This Row],[Tgl NPBG]]&gt;表1[[#This Row],[Peminta]],表1[[#This Row],[Tgl NPBG]]-表1[[#This Row],[Peminta]],"")</f>
        <v/>
      </c>
      <c r="J2381" s="31"/>
    </row>
    <row r="2382" s="12" customFormat="1" customHeight="1" spans="2:10">
      <c r="B2382" s="25"/>
      <c r="C2382" s="25"/>
      <c r="D2382" s="26" t="str" cm="1">
        <f t="array" ref="D2382">IF(C2382="","",IFERROR(INDEX(STPP!$D$6:$D$4207,MATCH(C2382,STPP!$C$6:$C$4207,0)),"Not Found"))</f>
        <v/>
      </c>
      <c r="E2382" s="27" t="str" cm="1">
        <f t="array" ref="E2382">IF(C2382="","",IFERROR(INDEX(STPP!$E$6:$E$4207,MATCH(C2382,STPP!$C$6:$C$4207,0)),"Not Found"))</f>
        <v/>
      </c>
      <c r="F2382" s="27" t="str" cm="1">
        <f t="array" ref="F2382">IF(C2382="","",IFERROR(INDEX(STPP!$F$6:$F$4207,MATCH(C2382,STPP!$C$6:$C$4207,0)),"Not Found"))</f>
        <v/>
      </c>
      <c r="G2382" s="25" t="str">
        <f>IF(表1[[#This Row],[No Seri]]="","",表1[[#This Row],[Deskripsi Barang]]+表1[[#This Row],[Kuantitas]]-表1[[#This Row],[Satuan]])</f>
        <v/>
      </c>
      <c r="H2382" s="28"/>
      <c r="I2382" s="25" t="str">
        <f>IF(表1[[#This Row],[Tgl NPBG]]&gt;表1[[#This Row],[Peminta]],表1[[#This Row],[Tgl NPBG]]-表1[[#This Row],[Peminta]],"")</f>
        <v/>
      </c>
      <c r="J2382" s="31"/>
    </row>
    <row r="2383" s="12" customFormat="1" customHeight="1" spans="2:10">
      <c r="B2383" s="25"/>
      <c r="C2383" s="25"/>
      <c r="D2383" s="26" t="str" cm="1">
        <f t="array" ref="D2383">IF(C2383="","",IFERROR(INDEX(STPP!$D$6:$D$4207,MATCH(C2383,STPP!$C$6:$C$4207,0)),"Not Found"))</f>
        <v/>
      </c>
      <c r="E2383" s="27" t="str" cm="1">
        <f t="array" ref="E2383">IF(C2383="","",IFERROR(INDEX(STPP!$E$6:$E$4207,MATCH(C2383,STPP!$C$6:$C$4207,0)),"Not Found"))</f>
        <v/>
      </c>
      <c r="F2383" s="27" t="str" cm="1">
        <f t="array" ref="F2383">IF(C2383="","",IFERROR(INDEX(STPP!$F$6:$F$4207,MATCH(C2383,STPP!$C$6:$C$4207,0)),"Not Found"))</f>
        <v/>
      </c>
      <c r="G2383" s="25" t="str">
        <f>IF(表1[[#This Row],[No Seri]]="","",表1[[#This Row],[Deskripsi Barang]]+表1[[#This Row],[Kuantitas]]-表1[[#This Row],[Satuan]])</f>
        <v/>
      </c>
      <c r="H2383" s="28"/>
      <c r="I2383" s="25" t="str">
        <f>IF(表1[[#This Row],[Tgl NPBG]]&gt;表1[[#This Row],[Peminta]],表1[[#This Row],[Tgl NPBG]]-表1[[#This Row],[Peminta]],"")</f>
        <v/>
      </c>
      <c r="J2383" s="31"/>
    </row>
    <row r="2384" s="12" customFormat="1" customHeight="1" spans="2:10">
      <c r="B2384" s="25"/>
      <c r="C2384" s="25"/>
      <c r="D2384" s="26" t="str" cm="1">
        <f t="array" ref="D2384">IF(C2384="","",IFERROR(INDEX(STPP!$D$6:$D$4207,MATCH(C2384,STPP!$C$6:$C$4207,0)),"Not Found"))</f>
        <v/>
      </c>
      <c r="E2384" s="27" t="str" cm="1">
        <f t="array" ref="E2384">IF(C2384="","",IFERROR(INDEX(STPP!$E$6:$E$4207,MATCH(C2384,STPP!$C$6:$C$4207,0)),"Not Found"))</f>
        <v/>
      </c>
      <c r="F2384" s="27" t="str" cm="1">
        <f t="array" ref="F2384">IF(C2384="","",IFERROR(INDEX(STPP!$F$6:$F$4207,MATCH(C2384,STPP!$C$6:$C$4207,0)),"Not Found"))</f>
        <v/>
      </c>
      <c r="G2384" s="25" t="str">
        <f>IF(表1[[#This Row],[No Seri]]="","",表1[[#This Row],[Deskripsi Barang]]+表1[[#This Row],[Kuantitas]]-表1[[#This Row],[Satuan]])</f>
        <v/>
      </c>
      <c r="H2384" s="28"/>
      <c r="I2384" s="25" t="str">
        <f>IF(表1[[#This Row],[Tgl NPBG]]&gt;表1[[#This Row],[Peminta]],表1[[#This Row],[Tgl NPBG]]-表1[[#This Row],[Peminta]],"")</f>
        <v/>
      </c>
      <c r="J2384" s="31"/>
    </row>
    <row r="2385" s="12" customFormat="1" customHeight="1" spans="2:10">
      <c r="B2385" s="25"/>
      <c r="C2385" s="25"/>
      <c r="D2385" s="26" t="str" cm="1">
        <f t="array" ref="D2385">IF(C2385="","",IFERROR(INDEX(STPP!$D$6:$D$4207,MATCH(C2385,STPP!$C$6:$C$4207,0)),"Not Found"))</f>
        <v/>
      </c>
      <c r="E2385" s="27" t="str" cm="1">
        <f t="array" ref="E2385">IF(C2385="","",IFERROR(INDEX(STPP!$E$6:$E$4207,MATCH(C2385,STPP!$C$6:$C$4207,0)),"Not Found"))</f>
        <v/>
      </c>
      <c r="F2385" s="27" t="str" cm="1">
        <f t="array" ref="F2385">IF(C2385="","",IFERROR(INDEX(STPP!$F$6:$F$4207,MATCH(C2385,STPP!$C$6:$C$4207,0)),"Not Found"))</f>
        <v/>
      </c>
      <c r="G2385" s="25" t="str">
        <f>IF(表1[[#This Row],[No Seri]]="","",表1[[#This Row],[Deskripsi Barang]]+表1[[#This Row],[Kuantitas]]-表1[[#This Row],[Satuan]])</f>
        <v/>
      </c>
      <c r="H2385" s="28"/>
      <c r="I2385" s="25" t="str">
        <f>IF(表1[[#This Row],[Tgl NPBG]]&gt;表1[[#This Row],[Peminta]],表1[[#This Row],[Tgl NPBG]]-表1[[#This Row],[Peminta]],"")</f>
        <v/>
      </c>
      <c r="J2385" s="31"/>
    </row>
    <row r="2386" s="12" customFormat="1" customHeight="1" spans="2:10">
      <c r="B2386" s="25"/>
      <c r="C2386" s="25"/>
      <c r="D2386" s="26" t="str" cm="1">
        <f t="array" ref="D2386">IF(C2386="","",IFERROR(INDEX(STPP!$D$6:$D$4207,MATCH(C2386,STPP!$C$6:$C$4207,0)),"Not Found"))</f>
        <v/>
      </c>
      <c r="E2386" s="27" t="str" cm="1">
        <f t="array" ref="E2386">IF(C2386="","",IFERROR(INDEX(STPP!$E$6:$E$4207,MATCH(C2386,STPP!$C$6:$C$4207,0)),"Not Found"))</f>
        <v/>
      </c>
      <c r="F2386" s="27" t="str" cm="1">
        <f t="array" ref="F2386">IF(C2386="","",IFERROR(INDEX(STPP!$F$6:$F$4207,MATCH(C2386,STPP!$C$6:$C$4207,0)),"Not Found"))</f>
        <v/>
      </c>
      <c r="G2386" s="25" t="str">
        <f>IF(表1[[#This Row],[No Seri]]="","",表1[[#This Row],[Deskripsi Barang]]+表1[[#This Row],[Kuantitas]]-表1[[#This Row],[Satuan]])</f>
        <v/>
      </c>
      <c r="H2386" s="28"/>
      <c r="I2386" s="25" t="str">
        <f>IF(表1[[#This Row],[Tgl NPBG]]&gt;表1[[#This Row],[Peminta]],表1[[#This Row],[Tgl NPBG]]-表1[[#This Row],[Peminta]],"")</f>
        <v/>
      </c>
      <c r="J2386" s="31"/>
    </row>
    <row r="2387" s="12" customFormat="1" customHeight="1" spans="2:10">
      <c r="B2387" s="25"/>
      <c r="C2387" s="25"/>
      <c r="D2387" s="26" t="str" cm="1">
        <f t="array" ref="D2387">IF(C2387="","",IFERROR(INDEX(STPP!$D$6:$D$4207,MATCH(C2387,STPP!$C$6:$C$4207,0)),"Not Found"))</f>
        <v/>
      </c>
      <c r="E2387" s="27" t="str" cm="1">
        <f t="array" ref="E2387">IF(C2387="","",IFERROR(INDEX(STPP!$E$6:$E$4207,MATCH(C2387,STPP!$C$6:$C$4207,0)),"Not Found"))</f>
        <v/>
      </c>
      <c r="F2387" s="27" t="str" cm="1">
        <f t="array" ref="F2387">IF(C2387="","",IFERROR(INDEX(STPP!$F$6:$F$4207,MATCH(C2387,STPP!$C$6:$C$4207,0)),"Not Found"))</f>
        <v/>
      </c>
      <c r="G2387" s="25" t="str">
        <f>IF(表1[[#This Row],[No Seri]]="","",表1[[#This Row],[Deskripsi Barang]]+表1[[#This Row],[Kuantitas]]-表1[[#This Row],[Satuan]])</f>
        <v/>
      </c>
      <c r="H2387" s="28"/>
      <c r="I2387" s="25" t="str">
        <f>IF(表1[[#This Row],[Tgl NPBG]]&gt;表1[[#This Row],[Peminta]],表1[[#This Row],[Tgl NPBG]]-表1[[#This Row],[Peminta]],"")</f>
        <v/>
      </c>
      <c r="J2387" s="31"/>
    </row>
    <row r="2388" s="12" customFormat="1" customHeight="1" spans="2:10">
      <c r="B2388" s="25"/>
      <c r="C2388" s="25"/>
      <c r="D2388" s="26" t="str" cm="1">
        <f t="array" ref="D2388">IF(C2388="","",IFERROR(INDEX(STPP!$D$6:$D$4207,MATCH(C2388,STPP!$C$6:$C$4207,0)),"Not Found"))</f>
        <v/>
      </c>
      <c r="E2388" s="27" t="str" cm="1">
        <f t="array" ref="E2388">IF(C2388="","",IFERROR(INDEX(STPP!$E$6:$E$4207,MATCH(C2388,STPP!$C$6:$C$4207,0)),"Not Found"))</f>
        <v/>
      </c>
      <c r="F2388" s="27" t="str" cm="1">
        <f t="array" ref="F2388">IF(C2388="","",IFERROR(INDEX(STPP!$F$6:$F$4207,MATCH(C2388,STPP!$C$6:$C$4207,0)),"Not Found"))</f>
        <v/>
      </c>
      <c r="G2388" s="25" t="str">
        <f>IF(表1[[#This Row],[No Seri]]="","",表1[[#This Row],[Deskripsi Barang]]+表1[[#This Row],[Kuantitas]]-表1[[#This Row],[Satuan]])</f>
        <v/>
      </c>
      <c r="H2388" s="28"/>
      <c r="I2388" s="25" t="str">
        <f>IF(表1[[#This Row],[Tgl NPBG]]&gt;表1[[#This Row],[Peminta]],表1[[#This Row],[Tgl NPBG]]-表1[[#This Row],[Peminta]],"")</f>
        <v/>
      </c>
      <c r="J2388" s="31"/>
    </row>
    <row r="2389" s="12" customFormat="1" customHeight="1" spans="2:10">
      <c r="B2389" s="25"/>
      <c r="C2389" s="25"/>
      <c r="D2389" s="26" t="str" cm="1">
        <f t="array" ref="D2389">IF(C2389="","",IFERROR(INDEX(STPP!$D$6:$D$4207,MATCH(C2389,STPP!$C$6:$C$4207,0)),"Not Found"))</f>
        <v/>
      </c>
      <c r="E2389" s="27" t="str" cm="1">
        <f t="array" ref="E2389">IF(C2389="","",IFERROR(INDEX(STPP!$E$6:$E$4207,MATCH(C2389,STPP!$C$6:$C$4207,0)),"Not Found"))</f>
        <v/>
      </c>
      <c r="F2389" s="27" t="str" cm="1">
        <f t="array" ref="F2389">IF(C2389="","",IFERROR(INDEX(STPP!$F$6:$F$4207,MATCH(C2389,STPP!$C$6:$C$4207,0)),"Not Found"))</f>
        <v/>
      </c>
      <c r="G2389" s="25" t="str">
        <f>IF(表1[[#This Row],[No Seri]]="","",表1[[#This Row],[Deskripsi Barang]]+表1[[#This Row],[Kuantitas]]-表1[[#This Row],[Satuan]])</f>
        <v/>
      </c>
      <c r="H2389" s="28"/>
      <c r="I2389" s="25" t="str">
        <f>IF(表1[[#This Row],[Tgl NPBG]]&gt;表1[[#This Row],[Peminta]],表1[[#This Row],[Tgl NPBG]]-表1[[#This Row],[Peminta]],"")</f>
        <v/>
      </c>
      <c r="J2389" s="31"/>
    </row>
    <row r="2390" s="12" customFormat="1" customHeight="1" spans="2:10">
      <c r="B2390" s="25"/>
      <c r="C2390" s="25"/>
      <c r="D2390" s="26" t="str" cm="1">
        <f t="array" ref="D2390">IF(C2390="","",IFERROR(INDEX(STPP!$D$6:$D$4207,MATCH(C2390,STPP!$C$6:$C$4207,0)),"Not Found"))</f>
        <v/>
      </c>
      <c r="E2390" s="27" t="str" cm="1">
        <f t="array" ref="E2390">IF(C2390="","",IFERROR(INDEX(STPP!$E$6:$E$4207,MATCH(C2390,STPP!$C$6:$C$4207,0)),"Not Found"))</f>
        <v/>
      </c>
      <c r="F2390" s="27" t="str" cm="1">
        <f t="array" ref="F2390">IF(C2390="","",IFERROR(INDEX(STPP!$F$6:$F$4207,MATCH(C2390,STPP!$C$6:$C$4207,0)),"Not Found"))</f>
        <v/>
      </c>
      <c r="G2390" s="25" t="str">
        <f>IF(表1[[#This Row],[No Seri]]="","",表1[[#This Row],[Deskripsi Barang]]+表1[[#This Row],[Kuantitas]]-表1[[#This Row],[Satuan]])</f>
        <v/>
      </c>
      <c r="H2390" s="28"/>
      <c r="I2390" s="25" t="str">
        <f>IF(表1[[#This Row],[Tgl NPBG]]&gt;表1[[#This Row],[Peminta]],表1[[#This Row],[Tgl NPBG]]-表1[[#This Row],[Peminta]],"")</f>
        <v/>
      </c>
      <c r="J2390" s="31"/>
    </row>
    <row r="2391" s="12" customFormat="1" customHeight="1" spans="2:10">
      <c r="B2391" s="25"/>
      <c r="C2391" s="25"/>
      <c r="D2391" s="26" t="str" cm="1">
        <f t="array" ref="D2391">IF(C2391="","",IFERROR(INDEX(STPP!$D$6:$D$4207,MATCH(C2391,STPP!$C$6:$C$4207,0)),"Not Found"))</f>
        <v/>
      </c>
      <c r="E2391" s="27" t="str" cm="1">
        <f t="array" ref="E2391">IF(C2391="","",IFERROR(INDEX(STPP!$E$6:$E$4207,MATCH(C2391,STPP!$C$6:$C$4207,0)),"Not Found"))</f>
        <v/>
      </c>
      <c r="F2391" s="27" t="str" cm="1">
        <f t="array" ref="F2391">IF(C2391="","",IFERROR(INDEX(STPP!$F$6:$F$4207,MATCH(C2391,STPP!$C$6:$C$4207,0)),"Not Found"))</f>
        <v/>
      </c>
      <c r="G2391" s="25" t="str">
        <f>IF(表1[[#This Row],[No Seri]]="","",表1[[#This Row],[Deskripsi Barang]]+表1[[#This Row],[Kuantitas]]-表1[[#This Row],[Satuan]])</f>
        <v/>
      </c>
      <c r="H2391" s="28"/>
      <c r="I2391" s="25" t="str">
        <f>IF(表1[[#This Row],[Tgl NPBG]]&gt;表1[[#This Row],[Peminta]],表1[[#This Row],[Tgl NPBG]]-表1[[#This Row],[Peminta]],"")</f>
        <v/>
      </c>
      <c r="J2391" s="31"/>
    </row>
    <row r="2392" s="12" customFormat="1" customHeight="1" spans="2:10">
      <c r="B2392" s="25"/>
      <c r="C2392" s="25"/>
      <c r="D2392" s="26" t="str" cm="1">
        <f t="array" ref="D2392">IF(C2392="","",IFERROR(INDEX(STPP!$D$6:$D$4207,MATCH(C2392,STPP!$C$6:$C$4207,0)),"Not Found"))</f>
        <v/>
      </c>
      <c r="E2392" s="27" t="str" cm="1">
        <f t="array" ref="E2392">IF(C2392="","",IFERROR(INDEX(STPP!$E$6:$E$4207,MATCH(C2392,STPP!$C$6:$C$4207,0)),"Not Found"))</f>
        <v/>
      </c>
      <c r="F2392" s="27" t="str" cm="1">
        <f t="array" ref="F2392">IF(C2392="","",IFERROR(INDEX(STPP!$F$6:$F$4207,MATCH(C2392,STPP!$C$6:$C$4207,0)),"Not Found"))</f>
        <v/>
      </c>
      <c r="G2392" s="25" t="str">
        <f>IF(表1[[#This Row],[No Seri]]="","",表1[[#This Row],[Deskripsi Barang]]+表1[[#This Row],[Kuantitas]]-表1[[#This Row],[Satuan]])</f>
        <v/>
      </c>
      <c r="H2392" s="28"/>
      <c r="I2392" s="25" t="str">
        <f>IF(表1[[#This Row],[Tgl NPBG]]&gt;表1[[#This Row],[Peminta]],表1[[#This Row],[Tgl NPBG]]-表1[[#This Row],[Peminta]],"")</f>
        <v/>
      </c>
      <c r="J2392" s="31"/>
    </row>
    <row r="2393" s="12" customFormat="1" customHeight="1" spans="2:10">
      <c r="B2393" s="25"/>
      <c r="C2393" s="25"/>
      <c r="D2393" s="26" t="str" cm="1">
        <f t="array" ref="D2393">IF(C2393="","",IFERROR(INDEX(STPP!$D$6:$D$4207,MATCH(C2393,STPP!$C$6:$C$4207,0)),"Not Found"))</f>
        <v/>
      </c>
      <c r="E2393" s="27" t="str" cm="1">
        <f t="array" ref="E2393">IF(C2393="","",IFERROR(INDEX(STPP!$E$6:$E$4207,MATCH(C2393,STPP!$C$6:$C$4207,0)),"Not Found"))</f>
        <v/>
      </c>
      <c r="F2393" s="27" t="str" cm="1">
        <f t="array" ref="F2393">IF(C2393="","",IFERROR(INDEX(STPP!$F$6:$F$4207,MATCH(C2393,STPP!$C$6:$C$4207,0)),"Not Found"))</f>
        <v/>
      </c>
      <c r="G2393" s="25" t="str">
        <f>IF(表1[[#This Row],[No Seri]]="","",表1[[#This Row],[Deskripsi Barang]]+表1[[#This Row],[Kuantitas]]-表1[[#This Row],[Satuan]])</f>
        <v/>
      </c>
      <c r="H2393" s="28"/>
      <c r="I2393" s="25" t="str">
        <f>IF(表1[[#This Row],[Tgl NPBG]]&gt;表1[[#This Row],[Peminta]],表1[[#This Row],[Tgl NPBG]]-表1[[#This Row],[Peminta]],"")</f>
        <v/>
      </c>
      <c r="J2393" s="31"/>
    </row>
    <row r="2394" s="12" customFormat="1" customHeight="1" spans="2:10">
      <c r="B2394" s="25"/>
      <c r="C2394" s="25"/>
      <c r="D2394" s="26" t="str" cm="1">
        <f t="array" ref="D2394">IF(C2394="","",IFERROR(INDEX(STPP!$D$6:$D$4207,MATCH(C2394,STPP!$C$6:$C$4207,0)),"Not Found"))</f>
        <v/>
      </c>
      <c r="E2394" s="27" t="str" cm="1">
        <f t="array" ref="E2394">IF(C2394="","",IFERROR(INDEX(STPP!$E$6:$E$4207,MATCH(C2394,STPP!$C$6:$C$4207,0)),"Not Found"))</f>
        <v/>
      </c>
      <c r="F2394" s="27" t="str" cm="1">
        <f t="array" ref="F2394">IF(C2394="","",IFERROR(INDEX(STPP!$F$6:$F$4207,MATCH(C2394,STPP!$C$6:$C$4207,0)),"Not Found"))</f>
        <v/>
      </c>
      <c r="G2394" s="25" t="str">
        <f>IF(表1[[#This Row],[No Seri]]="","",表1[[#This Row],[Deskripsi Barang]]+表1[[#This Row],[Kuantitas]]-表1[[#This Row],[Satuan]])</f>
        <v/>
      </c>
      <c r="H2394" s="28"/>
      <c r="I2394" s="25" t="str">
        <f>IF(表1[[#This Row],[Tgl NPBG]]&gt;表1[[#This Row],[Peminta]],表1[[#This Row],[Tgl NPBG]]-表1[[#This Row],[Peminta]],"")</f>
        <v/>
      </c>
      <c r="J2394" s="31"/>
    </row>
    <row r="2395" s="12" customFormat="1" customHeight="1" spans="2:10">
      <c r="B2395" s="25"/>
      <c r="C2395" s="25"/>
      <c r="D2395" s="26" t="str" cm="1">
        <f t="array" ref="D2395">IF(C2395="","",IFERROR(INDEX(STPP!$D$6:$D$4207,MATCH(C2395,STPP!$C$6:$C$4207,0)),"Not Found"))</f>
        <v/>
      </c>
      <c r="E2395" s="27" t="str" cm="1">
        <f t="array" ref="E2395">IF(C2395="","",IFERROR(INDEX(STPP!$E$6:$E$4207,MATCH(C2395,STPP!$C$6:$C$4207,0)),"Not Found"))</f>
        <v/>
      </c>
      <c r="F2395" s="27" t="str" cm="1">
        <f t="array" ref="F2395">IF(C2395="","",IFERROR(INDEX(STPP!$F$6:$F$4207,MATCH(C2395,STPP!$C$6:$C$4207,0)),"Not Found"))</f>
        <v/>
      </c>
      <c r="G2395" s="25" t="str">
        <f>IF(表1[[#This Row],[No Seri]]="","",表1[[#This Row],[Deskripsi Barang]]+表1[[#This Row],[Kuantitas]]-表1[[#This Row],[Satuan]])</f>
        <v/>
      </c>
      <c r="H2395" s="28"/>
      <c r="I2395" s="25" t="str">
        <f>IF(表1[[#This Row],[Tgl NPBG]]&gt;表1[[#This Row],[Peminta]],表1[[#This Row],[Tgl NPBG]]-表1[[#This Row],[Peminta]],"")</f>
        <v/>
      </c>
      <c r="J2395" s="31"/>
    </row>
    <row r="2396" s="12" customFormat="1" customHeight="1" spans="2:10">
      <c r="B2396" s="25"/>
      <c r="C2396" s="25"/>
      <c r="D2396" s="26" t="str" cm="1">
        <f t="array" ref="D2396">IF(C2396="","",IFERROR(INDEX(STPP!$D$6:$D$4207,MATCH(C2396,STPP!$C$6:$C$4207,0)),"Not Found"))</f>
        <v/>
      </c>
      <c r="E2396" s="27" t="str" cm="1">
        <f t="array" ref="E2396">IF(C2396="","",IFERROR(INDEX(STPP!$E$6:$E$4207,MATCH(C2396,STPP!$C$6:$C$4207,0)),"Not Found"))</f>
        <v/>
      </c>
      <c r="F2396" s="27" t="str" cm="1">
        <f t="array" ref="F2396">IF(C2396="","",IFERROR(INDEX(STPP!$F$6:$F$4207,MATCH(C2396,STPP!$C$6:$C$4207,0)),"Not Found"))</f>
        <v/>
      </c>
      <c r="G2396" s="25" t="str">
        <f>IF(表1[[#This Row],[No Seri]]="","",表1[[#This Row],[Deskripsi Barang]]+表1[[#This Row],[Kuantitas]]-表1[[#This Row],[Satuan]])</f>
        <v/>
      </c>
      <c r="H2396" s="28"/>
      <c r="I2396" s="25" t="str">
        <f>IF(表1[[#This Row],[Tgl NPBG]]&gt;表1[[#This Row],[Peminta]],表1[[#This Row],[Tgl NPBG]]-表1[[#This Row],[Peminta]],"")</f>
        <v/>
      </c>
      <c r="J2396" s="31"/>
    </row>
    <row r="2397" s="12" customFormat="1" customHeight="1" spans="2:10">
      <c r="B2397" s="25"/>
      <c r="C2397" s="25"/>
      <c r="D2397" s="26" t="str" cm="1">
        <f t="array" ref="D2397">IF(C2397="","",IFERROR(INDEX(STPP!$D$6:$D$4207,MATCH(C2397,STPP!$C$6:$C$4207,0)),"Not Found"))</f>
        <v/>
      </c>
      <c r="E2397" s="27" t="str" cm="1">
        <f t="array" ref="E2397">IF(C2397="","",IFERROR(INDEX(STPP!$E$6:$E$4207,MATCH(C2397,STPP!$C$6:$C$4207,0)),"Not Found"))</f>
        <v/>
      </c>
      <c r="F2397" s="27" t="str" cm="1">
        <f t="array" ref="F2397">IF(C2397="","",IFERROR(INDEX(STPP!$F$6:$F$4207,MATCH(C2397,STPP!$C$6:$C$4207,0)),"Not Found"))</f>
        <v/>
      </c>
      <c r="G2397" s="25" t="str">
        <f>IF(表1[[#This Row],[No Seri]]="","",表1[[#This Row],[Deskripsi Barang]]+表1[[#This Row],[Kuantitas]]-表1[[#This Row],[Satuan]])</f>
        <v/>
      </c>
      <c r="H2397" s="28"/>
      <c r="I2397" s="25" t="str">
        <f>IF(表1[[#This Row],[Tgl NPBG]]&gt;表1[[#This Row],[Peminta]],表1[[#This Row],[Tgl NPBG]]-表1[[#This Row],[Peminta]],"")</f>
        <v/>
      </c>
      <c r="J2397" s="31"/>
    </row>
    <row r="2398" s="12" customFormat="1" customHeight="1" spans="2:10">
      <c r="B2398" s="25"/>
      <c r="C2398" s="25"/>
      <c r="D2398" s="26" t="str" cm="1">
        <f t="array" ref="D2398">IF(C2398="","",IFERROR(INDEX(STPP!$D$6:$D$4207,MATCH(C2398,STPP!$C$6:$C$4207,0)),"Not Found"))</f>
        <v/>
      </c>
      <c r="E2398" s="27" t="str" cm="1">
        <f t="array" ref="E2398">IF(C2398="","",IFERROR(INDEX(STPP!$E$6:$E$4207,MATCH(C2398,STPP!$C$6:$C$4207,0)),"Not Found"))</f>
        <v/>
      </c>
      <c r="F2398" s="27" t="str" cm="1">
        <f t="array" ref="F2398">IF(C2398="","",IFERROR(INDEX(STPP!$F$6:$F$4207,MATCH(C2398,STPP!$C$6:$C$4207,0)),"Not Found"))</f>
        <v/>
      </c>
      <c r="G2398" s="25" t="str">
        <f>IF(表1[[#This Row],[No Seri]]="","",表1[[#This Row],[Deskripsi Barang]]+表1[[#This Row],[Kuantitas]]-表1[[#This Row],[Satuan]])</f>
        <v/>
      </c>
      <c r="H2398" s="28"/>
      <c r="I2398" s="25" t="str">
        <f>IF(表1[[#This Row],[Tgl NPBG]]&gt;表1[[#This Row],[Peminta]],表1[[#This Row],[Tgl NPBG]]-表1[[#This Row],[Peminta]],"")</f>
        <v/>
      </c>
      <c r="J2398" s="31"/>
    </row>
    <row r="2399" s="12" customFormat="1" customHeight="1" spans="2:10">
      <c r="B2399" s="25"/>
      <c r="C2399" s="25"/>
      <c r="D2399" s="26" t="str" cm="1">
        <f t="array" ref="D2399">IF(C2399="","",IFERROR(INDEX(STPP!$D$6:$D$4207,MATCH(C2399,STPP!$C$6:$C$4207,0)),"Not Found"))</f>
        <v/>
      </c>
      <c r="E2399" s="27" t="str" cm="1">
        <f t="array" ref="E2399">IF(C2399="","",IFERROR(INDEX(STPP!$E$6:$E$4207,MATCH(C2399,STPP!$C$6:$C$4207,0)),"Not Found"))</f>
        <v/>
      </c>
      <c r="F2399" s="27" t="str" cm="1">
        <f t="array" ref="F2399">IF(C2399="","",IFERROR(INDEX(STPP!$F$6:$F$4207,MATCH(C2399,STPP!$C$6:$C$4207,0)),"Not Found"))</f>
        <v/>
      </c>
      <c r="G2399" s="25" t="str">
        <f>IF(表1[[#This Row],[No Seri]]="","",表1[[#This Row],[Deskripsi Barang]]+表1[[#This Row],[Kuantitas]]-表1[[#This Row],[Satuan]])</f>
        <v/>
      </c>
      <c r="H2399" s="28"/>
      <c r="I2399" s="25" t="str">
        <f>IF(表1[[#This Row],[Tgl NPBG]]&gt;表1[[#This Row],[Peminta]],表1[[#This Row],[Tgl NPBG]]-表1[[#This Row],[Peminta]],"")</f>
        <v/>
      </c>
      <c r="J2399" s="31"/>
    </row>
    <row r="2400" s="12" customFormat="1" customHeight="1" spans="2:10">
      <c r="B2400" s="25"/>
      <c r="C2400" s="25"/>
      <c r="D2400" s="26" t="str" cm="1">
        <f t="array" ref="D2400">IF(C2400="","",IFERROR(INDEX(STPP!$D$6:$D$4207,MATCH(C2400,STPP!$C$6:$C$4207,0)),"Not Found"))</f>
        <v/>
      </c>
      <c r="E2400" s="27" t="str" cm="1">
        <f t="array" ref="E2400">IF(C2400="","",IFERROR(INDEX(STPP!$E$6:$E$4207,MATCH(C2400,STPP!$C$6:$C$4207,0)),"Not Found"))</f>
        <v/>
      </c>
      <c r="F2400" s="27" t="str" cm="1">
        <f t="array" ref="F2400">IF(C2400="","",IFERROR(INDEX(STPP!$F$6:$F$4207,MATCH(C2400,STPP!$C$6:$C$4207,0)),"Not Found"))</f>
        <v/>
      </c>
      <c r="G2400" s="25" t="str">
        <f>IF(表1[[#This Row],[No Seri]]="","",表1[[#This Row],[Deskripsi Barang]]+表1[[#This Row],[Kuantitas]]-表1[[#This Row],[Satuan]])</f>
        <v/>
      </c>
      <c r="H2400" s="28"/>
      <c r="I2400" s="25" t="str">
        <f>IF(表1[[#This Row],[Tgl NPBG]]&gt;表1[[#This Row],[Peminta]],表1[[#This Row],[Tgl NPBG]]-表1[[#This Row],[Peminta]],"")</f>
        <v/>
      </c>
      <c r="J2400" s="31"/>
    </row>
    <row r="2401" s="12" customFormat="1" customHeight="1" spans="2:10">
      <c r="B2401" s="25"/>
      <c r="C2401" s="25"/>
      <c r="D2401" s="26" t="str" cm="1">
        <f t="array" ref="D2401">IF(C2401="","",IFERROR(INDEX(STPP!$D$6:$D$4207,MATCH(C2401,STPP!$C$6:$C$4207,0)),"Not Found"))</f>
        <v/>
      </c>
      <c r="E2401" s="27" t="str" cm="1">
        <f t="array" ref="E2401">IF(C2401="","",IFERROR(INDEX(STPP!$E$6:$E$4207,MATCH(C2401,STPP!$C$6:$C$4207,0)),"Not Found"))</f>
        <v/>
      </c>
      <c r="F2401" s="27" t="str" cm="1">
        <f t="array" ref="F2401">IF(C2401="","",IFERROR(INDEX(STPP!$F$6:$F$4207,MATCH(C2401,STPP!$C$6:$C$4207,0)),"Not Found"))</f>
        <v/>
      </c>
      <c r="G2401" s="25" t="str">
        <f>IF(表1[[#This Row],[No Seri]]="","",表1[[#This Row],[Deskripsi Barang]]+表1[[#This Row],[Kuantitas]]-表1[[#This Row],[Satuan]])</f>
        <v/>
      </c>
      <c r="H2401" s="28"/>
      <c r="I2401" s="25" t="str">
        <f>IF(表1[[#This Row],[Tgl NPBG]]&gt;表1[[#This Row],[Peminta]],表1[[#This Row],[Tgl NPBG]]-表1[[#This Row],[Peminta]],"")</f>
        <v/>
      </c>
      <c r="J2401" s="31"/>
    </row>
    <row r="2402" s="12" customFormat="1" customHeight="1" spans="2:10">
      <c r="B2402" s="25"/>
      <c r="C2402" s="25"/>
      <c r="D2402" s="26" t="str" cm="1">
        <f t="array" ref="D2402">IF(C2402="","",IFERROR(INDEX(STPP!$D$6:$D$4207,MATCH(C2402,STPP!$C$6:$C$4207,0)),"Not Found"))</f>
        <v/>
      </c>
      <c r="E2402" s="27" t="str" cm="1">
        <f t="array" ref="E2402">IF(C2402="","",IFERROR(INDEX(STPP!$E$6:$E$4207,MATCH(C2402,STPP!$C$6:$C$4207,0)),"Not Found"))</f>
        <v/>
      </c>
      <c r="F2402" s="27" t="str" cm="1">
        <f t="array" ref="F2402">IF(C2402="","",IFERROR(INDEX(STPP!$F$6:$F$4207,MATCH(C2402,STPP!$C$6:$C$4207,0)),"Not Found"))</f>
        <v/>
      </c>
      <c r="G2402" s="25" t="str">
        <f>IF(表1[[#This Row],[No Seri]]="","",表1[[#This Row],[Deskripsi Barang]]+表1[[#This Row],[Kuantitas]]-表1[[#This Row],[Satuan]])</f>
        <v/>
      </c>
      <c r="H2402" s="28"/>
      <c r="I2402" s="25" t="str">
        <f>IF(表1[[#This Row],[Tgl NPBG]]&gt;表1[[#This Row],[Peminta]],表1[[#This Row],[Tgl NPBG]]-表1[[#This Row],[Peminta]],"")</f>
        <v/>
      </c>
      <c r="J2402" s="31"/>
    </row>
    <row r="2403" s="12" customFormat="1" customHeight="1" spans="2:10">
      <c r="B2403" s="25"/>
      <c r="C2403" s="25"/>
      <c r="D2403" s="26" t="str" cm="1">
        <f t="array" ref="D2403">IF(C2403="","",IFERROR(INDEX(STPP!$D$6:$D$4207,MATCH(C2403,STPP!$C$6:$C$4207,0)),"Not Found"))</f>
        <v/>
      </c>
      <c r="E2403" s="27" t="str" cm="1">
        <f t="array" ref="E2403">IF(C2403="","",IFERROR(INDEX(STPP!$E$6:$E$4207,MATCH(C2403,STPP!$C$6:$C$4207,0)),"Not Found"))</f>
        <v/>
      </c>
      <c r="F2403" s="27" t="str" cm="1">
        <f t="array" ref="F2403">IF(C2403="","",IFERROR(INDEX(STPP!$F$6:$F$4207,MATCH(C2403,STPP!$C$6:$C$4207,0)),"Not Found"))</f>
        <v/>
      </c>
      <c r="G2403" s="25" t="str">
        <f>IF(表1[[#This Row],[No Seri]]="","",表1[[#This Row],[Deskripsi Barang]]+表1[[#This Row],[Kuantitas]]-表1[[#This Row],[Satuan]])</f>
        <v/>
      </c>
      <c r="H2403" s="28"/>
      <c r="I2403" s="25" t="str">
        <f>IF(表1[[#This Row],[Tgl NPBG]]&gt;表1[[#This Row],[Peminta]],表1[[#This Row],[Tgl NPBG]]-表1[[#This Row],[Peminta]],"")</f>
        <v/>
      </c>
      <c r="J2403" s="31"/>
    </row>
    <row r="2404" s="12" customFormat="1" customHeight="1" spans="2:10">
      <c r="B2404" s="25"/>
      <c r="C2404" s="25"/>
      <c r="D2404" s="26" t="str" cm="1">
        <f t="array" ref="D2404">IF(C2404="","",IFERROR(INDEX(STPP!$D$6:$D$4207,MATCH(C2404,STPP!$C$6:$C$4207,0)),"Not Found"))</f>
        <v/>
      </c>
      <c r="E2404" s="27" t="str" cm="1">
        <f t="array" ref="E2404">IF(C2404="","",IFERROR(INDEX(STPP!$E$6:$E$4207,MATCH(C2404,STPP!$C$6:$C$4207,0)),"Not Found"))</f>
        <v/>
      </c>
      <c r="F2404" s="27" t="str" cm="1">
        <f t="array" ref="F2404">IF(C2404="","",IFERROR(INDEX(STPP!$F$6:$F$4207,MATCH(C2404,STPP!$C$6:$C$4207,0)),"Not Found"))</f>
        <v/>
      </c>
      <c r="G2404" s="25" t="str">
        <f>IF(表1[[#This Row],[No Seri]]="","",表1[[#This Row],[Deskripsi Barang]]+表1[[#This Row],[Kuantitas]]-表1[[#This Row],[Satuan]])</f>
        <v/>
      </c>
      <c r="H2404" s="28"/>
      <c r="I2404" s="25" t="str">
        <f>IF(表1[[#This Row],[Tgl NPBG]]&gt;表1[[#This Row],[Peminta]],表1[[#This Row],[Tgl NPBG]]-表1[[#This Row],[Peminta]],"")</f>
        <v/>
      </c>
      <c r="J2404" s="31"/>
    </row>
    <row r="2405" s="12" customFormat="1" customHeight="1" spans="2:10">
      <c r="B2405" s="25"/>
      <c r="C2405" s="25"/>
      <c r="D2405" s="26" t="str" cm="1">
        <f t="array" ref="D2405">IF(C2405="","",IFERROR(INDEX(STPP!$D$6:$D$4207,MATCH(C2405,STPP!$C$6:$C$4207,0)),"Not Found"))</f>
        <v/>
      </c>
      <c r="E2405" s="27" t="str" cm="1">
        <f t="array" ref="E2405">IF(C2405="","",IFERROR(INDEX(STPP!$E$6:$E$4207,MATCH(C2405,STPP!$C$6:$C$4207,0)),"Not Found"))</f>
        <v/>
      </c>
      <c r="F2405" s="27" t="str" cm="1">
        <f t="array" ref="F2405">IF(C2405="","",IFERROR(INDEX(STPP!$F$6:$F$4207,MATCH(C2405,STPP!$C$6:$C$4207,0)),"Not Found"))</f>
        <v/>
      </c>
      <c r="G2405" s="25" t="str">
        <f>IF(表1[[#This Row],[No Seri]]="","",表1[[#This Row],[Deskripsi Barang]]+表1[[#This Row],[Kuantitas]]-表1[[#This Row],[Satuan]])</f>
        <v/>
      </c>
      <c r="H2405" s="28"/>
      <c r="I2405" s="25" t="str">
        <f>IF(表1[[#This Row],[Tgl NPBG]]&gt;表1[[#This Row],[Peminta]],表1[[#This Row],[Tgl NPBG]]-表1[[#This Row],[Peminta]],"")</f>
        <v/>
      </c>
      <c r="J2405" s="31"/>
    </row>
    <row r="2406" s="12" customFormat="1" customHeight="1" spans="2:10">
      <c r="B2406" s="25"/>
      <c r="C2406" s="25"/>
      <c r="D2406" s="26" t="str" cm="1">
        <f t="array" ref="D2406">IF(C2406="","",IFERROR(INDEX(STPP!$D$6:$D$4207,MATCH(C2406,STPP!$C$6:$C$4207,0)),"Not Found"))</f>
        <v/>
      </c>
      <c r="E2406" s="27" t="str" cm="1">
        <f t="array" ref="E2406">IF(C2406="","",IFERROR(INDEX(STPP!$E$6:$E$4207,MATCH(C2406,STPP!$C$6:$C$4207,0)),"Not Found"))</f>
        <v/>
      </c>
      <c r="F2406" s="27" t="str" cm="1">
        <f t="array" ref="F2406">IF(C2406="","",IFERROR(INDEX(STPP!$F$6:$F$4207,MATCH(C2406,STPP!$C$6:$C$4207,0)),"Not Found"))</f>
        <v/>
      </c>
      <c r="G2406" s="25" t="str">
        <f>IF(表1[[#This Row],[No Seri]]="","",表1[[#This Row],[Deskripsi Barang]]+表1[[#This Row],[Kuantitas]]-表1[[#This Row],[Satuan]])</f>
        <v/>
      </c>
      <c r="H2406" s="28"/>
      <c r="I2406" s="25" t="str">
        <f>IF(表1[[#This Row],[Tgl NPBG]]&gt;表1[[#This Row],[Peminta]],表1[[#This Row],[Tgl NPBG]]-表1[[#This Row],[Peminta]],"")</f>
        <v/>
      </c>
      <c r="J2406" s="31"/>
    </row>
    <row r="2407" s="12" customFormat="1" customHeight="1" spans="2:10">
      <c r="B2407" s="25"/>
      <c r="C2407" s="25"/>
      <c r="D2407" s="26" t="str" cm="1">
        <f t="array" ref="D2407">IF(C2407="","",IFERROR(INDEX(STPP!$D$6:$D$4207,MATCH(C2407,STPP!$C$6:$C$4207,0)),"Not Found"))</f>
        <v/>
      </c>
      <c r="E2407" s="27" t="str" cm="1">
        <f t="array" ref="E2407">IF(C2407="","",IFERROR(INDEX(STPP!$E$6:$E$4207,MATCH(C2407,STPP!$C$6:$C$4207,0)),"Not Found"))</f>
        <v/>
      </c>
      <c r="F2407" s="27" t="str" cm="1">
        <f t="array" ref="F2407">IF(C2407="","",IFERROR(INDEX(STPP!$F$6:$F$4207,MATCH(C2407,STPP!$C$6:$C$4207,0)),"Not Found"))</f>
        <v/>
      </c>
      <c r="G2407" s="25" t="str">
        <f>IF(表1[[#This Row],[No Seri]]="","",表1[[#This Row],[Deskripsi Barang]]+表1[[#This Row],[Kuantitas]]-表1[[#This Row],[Satuan]])</f>
        <v/>
      </c>
      <c r="H2407" s="28"/>
      <c r="I2407" s="25" t="str">
        <f>IF(表1[[#This Row],[Tgl NPBG]]&gt;表1[[#This Row],[Peminta]],表1[[#This Row],[Tgl NPBG]]-表1[[#This Row],[Peminta]],"")</f>
        <v/>
      </c>
      <c r="J2407" s="31"/>
    </row>
    <row r="2408" s="12" customFormat="1" customHeight="1" spans="2:10">
      <c r="B2408" s="25"/>
      <c r="C2408" s="25"/>
      <c r="D2408" s="26" t="str" cm="1">
        <f t="array" ref="D2408">IF(C2408="","",IFERROR(INDEX(STPP!$D$6:$D$4207,MATCH(C2408,STPP!$C$6:$C$4207,0)),"Not Found"))</f>
        <v/>
      </c>
      <c r="E2408" s="27" t="str" cm="1">
        <f t="array" ref="E2408">IF(C2408="","",IFERROR(INDEX(STPP!$E$6:$E$4207,MATCH(C2408,STPP!$C$6:$C$4207,0)),"Not Found"))</f>
        <v/>
      </c>
      <c r="F2408" s="27" t="str" cm="1">
        <f t="array" ref="F2408">IF(C2408="","",IFERROR(INDEX(STPP!$F$6:$F$4207,MATCH(C2408,STPP!$C$6:$C$4207,0)),"Not Found"))</f>
        <v/>
      </c>
      <c r="G2408" s="25" t="str">
        <f>IF(表1[[#This Row],[No Seri]]="","",表1[[#This Row],[Deskripsi Barang]]+表1[[#This Row],[Kuantitas]]-表1[[#This Row],[Satuan]])</f>
        <v/>
      </c>
      <c r="H2408" s="28"/>
      <c r="I2408" s="25" t="str">
        <f>IF(表1[[#This Row],[Tgl NPBG]]&gt;表1[[#This Row],[Peminta]],表1[[#This Row],[Tgl NPBG]]-表1[[#This Row],[Peminta]],"")</f>
        <v/>
      </c>
      <c r="J2408" s="31"/>
    </row>
    <row r="2409" s="12" customFormat="1" customHeight="1" spans="2:10">
      <c r="B2409" s="25"/>
      <c r="C2409" s="25"/>
      <c r="D2409" s="26" t="str" cm="1">
        <f t="array" ref="D2409">IF(C2409="","",IFERROR(INDEX(STPP!$D$6:$D$4207,MATCH(C2409,STPP!$C$6:$C$4207,0)),"Not Found"))</f>
        <v/>
      </c>
      <c r="E2409" s="27" t="str" cm="1">
        <f t="array" ref="E2409">IF(C2409="","",IFERROR(INDEX(STPP!$E$6:$E$4207,MATCH(C2409,STPP!$C$6:$C$4207,0)),"Not Found"))</f>
        <v/>
      </c>
      <c r="F2409" s="27" t="str" cm="1">
        <f t="array" ref="F2409">IF(C2409="","",IFERROR(INDEX(STPP!$F$6:$F$4207,MATCH(C2409,STPP!$C$6:$C$4207,0)),"Not Found"))</f>
        <v/>
      </c>
      <c r="G2409" s="25" t="str">
        <f>IF(表1[[#This Row],[No Seri]]="","",表1[[#This Row],[Deskripsi Barang]]+表1[[#This Row],[Kuantitas]]-表1[[#This Row],[Satuan]])</f>
        <v/>
      </c>
      <c r="H2409" s="28"/>
      <c r="I2409" s="25" t="str">
        <f>IF(表1[[#This Row],[Tgl NPBG]]&gt;表1[[#This Row],[Peminta]],表1[[#This Row],[Tgl NPBG]]-表1[[#This Row],[Peminta]],"")</f>
        <v/>
      </c>
      <c r="J2409" s="31"/>
    </row>
    <row r="2410" s="12" customFormat="1" customHeight="1" spans="2:10">
      <c r="B2410" s="25"/>
      <c r="C2410" s="25"/>
      <c r="D2410" s="26" t="str" cm="1">
        <f t="array" ref="D2410">IF(C2410="","",IFERROR(INDEX(STPP!$D$6:$D$4207,MATCH(C2410,STPP!$C$6:$C$4207,0)),"Not Found"))</f>
        <v/>
      </c>
      <c r="E2410" s="27" t="str" cm="1">
        <f t="array" ref="E2410">IF(C2410="","",IFERROR(INDEX(STPP!$E$6:$E$4207,MATCH(C2410,STPP!$C$6:$C$4207,0)),"Not Found"))</f>
        <v/>
      </c>
      <c r="F2410" s="27" t="str" cm="1">
        <f t="array" ref="F2410">IF(C2410="","",IFERROR(INDEX(STPP!$F$6:$F$4207,MATCH(C2410,STPP!$C$6:$C$4207,0)),"Not Found"))</f>
        <v/>
      </c>
      <c r="G2410" s="25" t="str">
        <f>IF(表1[[#This Row],[No Seri]]="","",表1[[#This Row],[Deskripsi Barang]]+表1[[#This Row],[Kuantitas]]-表1[[#This Row],[Satuan]])</f>
        <v/>
      </c>
      <c r="H2410" s="28"/>
      <c r="I2410" s="25" t="str">
        <f>IF(表1[[#This Row],[Tgl NPBG]]&gt;表1[[#This Row],[Peminta]],表1[[#This Row],[Tgl NPBG]]-表1[[#This Row],[Peminta]],"")</f>
        <v/>
      </c>
      <c r="J2410" s="31"/>
    </row>
    <row r="2411" s="12" customFormat="1" customHeight="1" spans="2:10">
      <c r="B2411" s="25"/>
      <c r="C2411" s="25"/>
      <c r="D2411" s="26" t="str" cm="1">
        <f t="array" ref="D2411">IF(C2411="","",IFERROR(INDEX(STPP!$D$6:$D$4207,MATCH(C2411,STPP!$C$6:$C$4207,0)),"Not Found"))</f>
        <v/>
      </c>
      <c r="E2411" s="27" t="str" cm="1">
        <f t="array" ref="E2411">IF(C2411="","",IFERROR(INDEX(STPP!$E$6:$E$4207,MATCH(C2411,STPP!$C$6:$C$4207,0)),"Not Found"))</f>
        <v/>
      </c>
      <c r="F2411" s="27" t="str" cm="1">
        <f t="array" ref="F2411">IF(C2411="","",IFERROR(INDEX(STPP!$F$6:$F$4207,MATCH(C2411,STPP!$C$6:$C$4207,0)),"Not Found"))</f>
        <v/>
      </c>
      <c r="G2411" s="25" t="str">
        <f>IF(表1[[#This Row],[No Seri]]="","",表1[[#This Row],[Deskripsi Barang]]+表1[[#This Row],[Kuantitas]]-表1[[#This Row],[Satuan]])</f>
        <v/>
      </c>
      <c r="H2411" s="28"/>
      <c r="I2411" s="25" t="str">
        <f>IF(表1[[#This Row],[Tgl NPBG]]&gt;表1[[#This Row],[Peminta]],表1[[#This Row],[Tgl NPBG]]-表1[[#This Row],[Peminta]],"")</f>
        <v/>
      </c>
      <c r="J2411" s="31"/>
    </row>
    <row r="2412" s="12" customFormat="1" customHeight="1" spans="2:10">
      <c r="B2412" s="25"/>
      <c r="C2412" s="25"/>
      <c r="D2412" s="26" t="str" cm="1">
        <f t="array" ref="D2412">IF(C2412="","",IFERROR(INDEX(STPP!$D$6:$D$4207,MATCH(C2412,STPP!$C$6:$C$4207,0)),"Not Found"))</f>
        <v/>
      </c>
      <c r="E2412" s="27" t="str" cm="1">
        <f t="array" ref="E2412">IF(C2412="","",IFERROR(INDEX(STPP!$E$6:$E$4207,MATCH(C2412,STPP!$C$6:$C$4207,0)),"Not Found"))</f>
        <v/>
      </c>
      <c r="F2412" s="27" t="str" cm="1">
        <f t="array" ref="F2412">IF(C2412="","",IFERROR(INDEX(STPP!$F$6:$F$4207,MATCH(C2412,STPP!$C$6:$C$4207,0)),"Not Found"))</f>
        <v/>
      </c>
      <c r="G2412" s="25" t="str">
        <f>IF(表1[[#This Row],[No Seri]]="","",表1[[#This Row],[Deskripsi Barang]]+表1[[#This Row],[Kuantitas]]-表1[[#This Row],[Satuan]])</f>
        <v/>
      </c>
      <c r="H2412" s="28"/>
      <c r="I2412" s="25" t="str">
        <f>IF(表1[[#This Row],[Tgl NPBG]]&gt;表1[[#This Row],[Peminta]],表1[[#This Row],[Tgl NPBG]]-表1[[#This Row],[Peminta]],"")</f>
        <v/>
      </c>
      <c r="J2412" s="31"/>
    </row>
    <row r="2413" s="12" customFormat="1" customHeight="1" spans="2:10">
      <c r="B2413" s="25"/>
      <c r="C2413" s="25"/>
      <c r="D2413" s="26" t="str" cm="1">
        <f t="array" ref="D2413">IF(C2413="","",IFERROR(INDEX(STPP!$D$6:$D$4207,MATCH(C2413,STPP!$C$6:$C$4207,0)),"Not Found"))</f>
        <v/>
      </c>
      <c r="E2413" s="27" t="str" cm="1">
        <f t="array" ref="E2413">IF(C2413="","",IFERROR(INDEX(STPP!$E$6:$E$4207,MATCH(C2413,STPP!$C$6:$C$4207,0)),"Not Found"))</f>
        <v/>
      </c>
      <c r="F2413" s="27" t="str" cm="1">
        <f t="array" ref="F2413">IF(C2413="","",IFERROR(INDEX(STPP!$F$6:$F$4207,MATCH(C2413,STPP!$C$6:$C$4207,0)),"Not Found"))</f>
        <v/>
      </c>
      <c r="G2413" s="25" t="str">
        <f>IF(表1[[#This Row],[No Seri]]="","",表1[[#This Row],[Deskripsi Barang]]+表1[[#This Row],[Kuantitas]]-表1[[#This Row],[Satuan]])</f>
        <v/>
      </c>
      <c r="H2413" s="28"/>
      <c r="I2413" s="25" t="str">
        <f>IF(表1[[#This Row],[Tgl NPBG]]&gt;表1[[#This Row],[Peminta]],表1[[#This Row],[Tgl NPBG]]-表1[[#This Row],[Peminta]],"")</f>
        <v/>
      </c>
      <c r="J2413" s="31"/>
    </row>
    <row r="2414" s="12" customFormat="1" customHeight="1" spans="2:10">
      <c r="B2414" s="25"/>
      <c r="C2414" s="25"/>
      <c r="D2414" s="26" t="str" cm="1">
        <f t="array" ref="D2414">IF(C2414="","",IFERROR(INDEX(STPP!$D$6:$D$4207,MATCH(C2414,STPP!$C$6:$C$4207,0)),"Not Found"))</f>
        <v/>
      </c>
      <c r="E2414" s="27" t="str" cm="1">
        <f t="array" ref="E2414">IF(C2414="","",IFERROR(INDEX(STPP!$E$6:$E$4207,MATCH(C2414,STPP!$C$6:$C$4207,0)),"Not Found"))</f>
        <v/>
      </c>
      <c r="F2414" s="27" t="str" cm="1">
        <f t="array" ref="F2414">IF(C2414="","",IFERROR(INDEX(STPP!$F$6:$F$4207,MATCH(C2414,STPP!$C$6:$C$4207,0)),"Not Found"))</f>
        <v/>
      </c>
      <c r="G2414" s="25" t="str">
        <f>IF(表1[[#This Row],[No Seri]]="","",表1[[#This Row],[Deskripsi Barang]]+表1[[#This Row],[Kuantitas]]-表1[[#This Row],[Satuan]])</f>
        <v/>
      </c>
      <c r="H2414" s="28"/>
      <c r="I2414" s="25" t="str">
        <f>IF(表1[[#This Row],[Tgl NPBG]]&gt;表1[[#This Row],[Peminta]],表1[[#This Row],[Tgl NPBG]]-表1[[#This Row],[Peminta]],"")</f>
        <v/>
      </c>
      <c r="J2414" s="31"/>
    </row>
    <row r="2415" s="12" customFormat="1" customHeight="1" spans="2:10">
      <c r="B2415" s="25"/>
      <c r="C2415" s="25"/>
      <c r="D2415" s="26" t="str" cm="1">
        <f t="array" ref="D2415">IF(C2415="","",IFERROR(INDEX(STPP!$D$6:$D$4207,MATCH(C2415,STPP!$C$6:$C$4207,0)),"Not Found"))</f>
        <v/>
      </c>
      <c r="E2415" s="27" t="str" cm="1">
        <f t="array" ref="E2415">IF(C2415="","",IFERROR(INDEX(STPP!$E$6:$E$4207,MATCH(C2415,STPP!$C$6:$C$4207,0)),"Not Found"))</f>
        <v/>
      </c>
      <c r="F2415" s="27" t="str" cm="1">
        <f t="array" ref="F2415">IF(C2415="","",IFERROR(INDEX(STPP!$F$6:$F$4207,MATCH(C2415,STPP!$C$6:$C$4207,0)),"Not Found"))</f>
        <v/>
      </c>
      <c r="G2415" s="25" t="str">
        <f>IF(表1[[#This Row],[No Seri]]="","",表1[[#This Row],[Deskripsi Barang]]+表1[[#This Row],[Kuantitas]]-表1[[#This Row],[Satuan]])</f>
        <v/>
      </c>
      <c r="H2415" s="28"/>
      <c r="I2415" s="25" t="str">
        <f>IF(表1[[#This Row],[Tgl NPBG]]&gt;表1[[#This Row],[Peminta]],表1[[#This Row],[Tgl NPBG]]-表1[[#This Row],[Peminta]],"")</f>
        <v/>
      </c>
      <c r="J2415" s="31"/>
    </row>
    <row r="2416" s="12" customFormat="1" customHeight="1" spans="2:10">
      <c r="B2416" s="25"/>
      <c r="C2416" s="25"/>
      <c r="D2416" s="26" t="str" cm="1">
        <f t="array" ref="D2416">IF(C2416="","",IFERROR(INDEX(STPP!$D$6:$D$4207,MATCH(C2416,STPP!$C$6:$C$4207,0)),"Not Found"))</f>
        <v/>
      </c>
      <c r="E2416" s="27" t="str" cm="1">
        <f t="array" ref="E2416">IF(C2416="","",IFERROR(INDEX(STPP!$E$6:$E$4207,MATCH(C2416,STPP!$C$6:$C$4207,0)),"Not Found"))</f>
        <v/>
      </c>
      <c r="F2416" s="27" t="str" cm="1">
        <f t="array" ref="F2416">IF(C2416="","",IFERROR(INDEX(STPP!$F$6:$F$4207,MATCH(C2416,STPP!$C$6:$C$4207,0)),"Not Found"))</f>
        <v/>
      </c>
      <c r="G2416" s="25" t="str">
        <f>IF(表1[[#This Row],[No Seri]]="","",表1[[#This Row],[Deskripsi Barang]]+表1[[#This Row],[Kuantitas]]-表1[[#This Row],[Satuan]])</f>
        <v/>
      </c>
      <c r="H2416" s="28"/>
      <c r="I2416" s="25" t="str">
        <f>IF(表1[[#This Row],[Tgl NPBG]]&gt;表1[[#This Row],[Peminta]],表1[[#This Row],[Tgl NPBG]]-表1[[#This Row],[Peminta]],"")</f>
        <v/>
      </c>
      <c r="J2416" s="31"/>
    </row>
    <row r="2417" s="12" customFormat="1" customHeight="1" spans="2:10">
      <c r="B2417" s="25"/>
      <c r="C2417" s="25"/>
      <c r="D2417" s="26" t="str" cm="1">
        <f t="array" ref="D2417">IF(C2417="","",IFERROR(INDEX(STPP!$D$6:$D$4207,MATCH(C2417,STPP!$C$6:$C$4207,0)),"Not Found"))</f>
        <v/>
      </c>
      <c r="E2417" s="27" t="str" cm="1">
        <f t="array" ref="E2417">IF(C2417="","",IFERROR(INDEX(STPP!$E$6:$E$4207,MATCH(C2417,STPP!$C$6:$C$4207,0)),"Not Found"))</f>
        <v/>
      </c>
      <c r="F2417" s="27" t="str" cm="1">
        <f t="array" ref="F2417">IF(C2417="","",IFERROR(INDEX(STPP!$F$6:$F$4207,MATCH(C2417,STPP!$C$6:$C$4207,0)),"Not Found"))</f>
        <v/>
      </c>
      <c r="G2417" s="25" t="str">
        <f>IF(表1[[#This Row],[No Seri]]="","",表1[[#This Row],[Deskripsi Barang]]+表1[[#This Row],[Kuantitas]]-表1[[#This Row],[Satuan]])</f>
        <v/>
      </c>
      <c r="H2417" s="28"/>
      <c r="I2417" s="25" t="str">
        <f>IF(表1[[#This Row],[Tgl NPBG]]&gt;表1[[#This Row],[Peminta]],表1[[#This Row],[Tgl NPBG]]-表1[[#This Row],[Peminta]],"")</f>
        <v/>
      </c>
      <c r="J2417" s="31"/>
    </row>
    <row r="2418" s="12" customFormat="1" customHeight="1" spans="2:10">
      <c r="B2418" s="25"/>
      <c r="C2418" s="25"/>
      <c r="D2418" s="26" t="str" cm="1">
        <f t="array" ref="D2418">IF(C2418="","",IFERROR(INDEX(STPP!$D$6:$D$4207,MATCH(C2418,STPP!$C$6:$C$4207,0)),"Not Found"))</f>
        <v/>
      </c>
      <c r="E2418" s="27" t="str" cm="1">
        <f t="array" ref="E2418">IF(C2418="","",IFERROR(INDEX(STPP!$E$6:$E$4207,MATCH(C2418,STPP!$C$6:$C$4207,0)),"Not Found"))</f>
        <v/>
      </c>
      <c r="F2418" s="27" t="str" cm="1">
        <f t="array" ref="F2418">IF(C2418="","",IFERROR(INDEX(STPP!$F$6:$F$4207,MATCH(C2418,STPP!$C$6:$C$4207,0)),"Not Found"))</f>
        <v/>
      </c>
      <c r="G2418" s="25" t="str">
        <f>IF(表1[[#This Row],[No Seri]]="","",表1[[#This Row],[Deskripsi Barang]]+表1[[#This Row],[Kuantitas]]-表1[[#This Row],[Satuan]])</f>
        <v/>
      </c>
      <c r="H2418" s="28"/>
      <c r="I2418" s="25" t="str">
        <f>IF(表1[[#This Row],[Tgl NPBG]]&gt;表1[[#This Row],[Peminta]],表1[[#This Row],[Tgl NPBG]]-表1[[#This Row],[Peminta]],"")</f>
        <v/>
      </c>
      <c r="J2418" s="31"/>
    </row>
    <row r="2419" s="12" customFormat="1" customHeight="1" spans="2:10">
      <c r="B2419" s="25"/>
      <c r="C2419" s="25"/>
      <c r="D2419" s="26" t="str" cm="1">
        <f t="array" ref="D2419">IF(C2419="","",IFERROR(INDEX(STPP!$D$6:$D$4207,MATCH(C2419,STPP!$C$6:$C$4207,0)),"Not Found"))</f>
        <v/>
      </c>
      <c r="E2419" s="27" t="str" cm="1">
        <f t="array" ref="E2419">IF(C2419="","",IFERROR(INDEX(STPP!$E$6:$E$4207,MATCH(C2419,STPP!$C$6:$C$4207,0)),"Not Found"))</f>
        <v/>
      </c>
      <c r="F2419" s="27" t="str" cm="1">
        <f t="array" ref="F2419">IF(C2419="","",IFERROR(INDEX(STPP!$F$6:$F$4207,MATCH(C2419,STPP!$C$6:$C$4207,0)),"Not Found"))</f>
        <v/>
      </c>
      <c r="G2419" s="25" t="str">
        <f>IF(表1[[#This Row],[No Seri]]="","",表1[[#This Row],[Deskripsi Barang]]+表1[[#This Row],[Kuantitas]]-表1[[#This Row],[Satuan]])</f>
        <v/>
      </c>
      <c r="H2419" s="28"/>
      <c r="I2419" s="25" t="str">
        <f>IF(表1[[#This Row],[Tgl NPBG]]&gt;表1[[#This Row],[Peminta]],表1[[#This Row],[Tgl NPBG]]-表1[[#This Row],[Peminta]],"")</f>
        <v/>
      </c>
      <c r="J2419" s="31"/>
    </row>
    <row r="2420" s="12" customFormat="1" customHeight="1" spans="2:10">
      <c r="B2420" s="25"/>
      <c r="C2420" s="25"/>
      <c r="D2420" s="26" t="str" cm="1">
        <f t="array" ref="D2420">IF(C2420="","",IFERROR(INDEX(STPP!$D$6:$D$4207,MATCH(C2420,STPP!$C$6:$C$4207,0)),"Not Found"))</f>
        <v/>
      </c>
      <c r="E2420" s="27" t="str" cm="1">
        <f t="array" ref="E2420">IF(C2420="","",IFERROR(INDEX(STPP!$E$6:$E$4207,MATCH(C2420,STPP!$C$6:$C$4207,0)),"Not Found"))</f>
        <v/>
      </c>
      <c r="F2420" s="27" t="str" cm="1">
        <f t="array" ref="F2420">IF(C2420="","",IFERROR(INDEX(STPP!$F$6:$F$4207,MATCH(C2420,STPP!$C$6:$C$4207,0)),"Not Found"))</f>
        <v/>
      </c>
      <c r="G2420" s="25" t="str">
        <f>IF(表1[[#This Row],[No Seri]]="","",表1[[#This Row],[Deskripsi Barang]]+表1[[#This Row],[Kuantitas]]-表1[[#This Row],[Satuan]])</f>
        <v/>
      </c>
      <c r="H2420" s="28"/>
      <c r="I2420" s="25" t="str">
        <f>IF(表1[[#This Row],[Tgl NPBG]]&gt;表1[[#This Row],[Peminta]],表1[[#This Row],[Tgl NPBG]]-表1[[#This Row],[Peminta]],"")</f>
        <v/>
      </c>
      <c r="J2420" s="31"/>
    </row>
    <row r="2421" s="12" customFormat="1" customHeight="1" spans="2:10">
      <c r="B2421" s="25"/>
      <c r="C2421" s="25"/>
      <c r="D2421" s="26" t="str" cm="1">
        <f t="array" ref="D2421">IF(C2421="","",IFERROR(INDEX(STPP!$D$6:$D$4207,MATCH(C2421,STPP!$C$6:$C$4207,0)),"Not Found"))</f>
        <v/>
      </c>
      <c r="E2421" s="27" t="str" cm="1">
        <f t="array" ref="E2421">IF(C2421="","",IFERROR(INDEX(STPP!$E$6:$E$4207,MATCH(C2421,STPP!$C$6:$C$4207,0)),"Not Found"))</f>
        <v/>
      </c>
      <c r="F2421" s="27" t="str" cm="1">
        <f t="array" ref="F2421">IF(C2421="","",IFERROR(INDEX(STPP!$F$6:$F$4207,MATCH(C2421,STPP!$C$6:$C$4207,0)),"Not Found"))</f>
        <v/>
      </c>
      <c r="G2421" s="25" t="str">
        <f>IF(表1[[#This Row],[No Seri]]="","",表1[[#This Row],[Deskripsi Barang]]+表1[[#This Row],[Kuantitas]]-表1[[#This Row],[Satuan]])</f>
        <v/>
      </c>
      <c r="H2421" s="28"/>
      <c r="I2421" s="25" t="str">
        <f>IF(表1[[#This Row],[Tgl NPBG]]&gt;表1[[#This Row],[Peminta]],表1[[#This Row],[Tgl NPBG]]-表1[[#This Row],[Peminta]],"")</f>
        <v/>
      </c>
      <c r="J2421" s="31"/>
    </row>
    <row r="2422" s="12" customFormat="1" customHeight="1" spans="2:10">
      <c r="B2422" s="25"/>
      <c r="C2422" s="25"/>
      <c r="D2422" s="26" t="str" cm="1">
        <f t="array" ref="D2422">IF(C2422="","",IFERROR(INDEX(STPP!$D$6:$D$4207,MATCH(C2422,STPP!$C$6:$C$4207,0)),"Not Found"))</f>
        <v/>
      </c>
      <c r="E2422" s="27" t="str" cm="1">
        <f t="array" ref="E2422">IF(C2422="","",IFERROR(INDEX(STPP!$E$6:$E$4207,MATCH(C2422,STPP!$C$6:$C$4207,0)),"Not Found"))</f>
        <v/>
      </c>
      <c r="F2422" s="27" t="str" cm="1">
        <f t="array" ref="F2422">IF(C2422="","",IFERROR(INDEX(STPP!$F$6:$F$4207,MATCH(C2422,STPP!$C$6:$C$4207,0)),"Not Found"))</f>
        <v/>
      </c>
      <c r="G2422" s="25" t="str">
        <f>IF(表1[[#This Row],[No Seri]]="","",表1[[#This Row],[Deskripsi Barang]]+表1[[#This Row],[Kuantitas]]-表1[[#This Row],[Satuan]])</f>
        <v/>
      </c>
      <c r="H2422" s="28"/>
      <c r="I2422" s="25" t="str">
        <f>IF(表1[[#This Row],[Tgl NPBG]]&gt;表1[[#This Row],[Peminta]],表1[[#This Row],[Tgl NPBG]]-表1[[#This Row],[Peminta]],"")</f>
        <v/>
      </c>
      <c r="J2422" s="31"/>
    </row>
    <row r="2423" s="12" customFormat="1" customHeight="1" spans="2:10">
      <c r="B2423" s="25"/>
      <c r="C2423" s="25"/>
      <c r="D2423" s="26" t="str" cm="1">
        <f t="array" ref="D2423">IF(C2423="","",IFERROR(INDEX(STPP!$D$6:$D$4207,MATCH(C2423,STPP!$C$6:$C$4207,0)),"Not Found"))</f>
        <v/>
      </c>
      <c r="E2423" s="27" t="str" cm="1">
        <f t="array" ref="E2423">IF(C2423="","",IFERROR(INDEX(STPP!$E$6:$E$4207,MATCH(C2423,STPP!$C$6:$C$4207,0)),"Not Found"))</f>
        <v/>
      </c>
      <c r="F2423" s="27" t="str" cm="1">
        <f t="array" ref="F2423">IF(C2423="","",IFERROR(INDEX(STPP!$F$6:$F$4207,MATCH(C2423,STPP!$C$6:$C$4207,0)),"Not Found"))</f>
        <v/>
      </c>
      <c r="G2423" s="25" t="str">
        <f>IF(表1[[#This Row],[No Seri]]="","",表1[[#This Row],[Deskripsi Barang]]+表1[[#This Row],[Kuantitas]]-表1[[#This Row],[Satuan]])</f>
        <v/>
      </c>
      <c r="H2423" s="28"/>
      <c r="I2423" s="25" t="str">
        <f>IF(表1[[#This Row],[Tgl NPBG]]&gt;表1[[#This Row],[Peminta]],表1[[#This Row],[Tgl NPBG]]-表1[[#This Row],[Peminta]],"")</f>
        <v/>
      </c>
      <c r="J2423" s="31"/>
    </row>
    <row r="2424" s="12" customFormat="1" customHeight="1" spans="2:10">
      <c r="B2424" s="25"/>
      <c r="C2424" s="25"/>
      <c r="D2424" s="26" t="str" cm="1">
        <f t="array" ref="D2424">IF(C2424="","",IFERROR(INDEX(STPP!$D$6:$D$4207,MATCH(C2424,STPP!$C$6:$C$4207,0)),"Not Found"))</f>
        <v/>
      </c>
      <c r="E2424" s="27" t="str" cm="1">
        <f t="array" ref="E2424">IF(C2424="","",IFERROR(INDEX(STPP!$E$6:$E$4207,MATCH(C2424,STPP!$C$6:$C$4207,0)),"Not Found"))</f>
        <v/>
      </c>
      <c r="F2424" s="27" t="str" cm="1">
        <f t="array" ref="F2424">IF(C2424="","",IFERROR(INDEX(STPP!$F$6:$F$4207,MATCH(C2424,STPP!$C$6:$C$4207,0)),"Not Found"))</f>
        <v/>
      </c>
      <c r="G2424" s="25" t="str">
        <f>IF(表1[[#This Row],[No Seri]]="","",表1[[#This Row],[Deskripsi Barang]]+表1[[#This Row],[Kuantitas]]-表1[[#This Row],[Satuan]])</f>
        <v/>
      </c>
      <c r="H2424" s="28"/>
      <c r="I2424" s="25" t="str">
        <f>IF(表1[[#This Row],[Tgl NPBG]]&gt;表1[[#This Row],[Peminta]],表1[[#This Row],[Tgl NPBG]]-表1[[#This Row],[Peminta]],"")</f>
        <v/>
      </c>
      <c r="J2424" s="31"/>
    </row>
    <row r="2425" s="12" customFormat="1" customHeight="1" spans="2:10">
      <c r="B2425" s="25"/>
      <c r="C2425" s="25"/>
      <c r="D2425" s="26" t="str" cm="1">
        <f t="array" ref="D2425">IF(C2425="","",IFERROR(INDEX(STPP!$D$6:$D$4207,MATCH(C2425,STPP!$C$6:$C$4207,0)),"Not Found"))</f>
        <v/>
      </c>
      <c r="E2425" s="27" t="str" cm="1">
        <f t="array" ref="E2425">IF(C2425="","",IFERROR(INDEX(STPP!$E$6:$E$4207,MATCH(C2425,STPP!$C$6:$C$4207,0)),"Not Found"))</f>
        <v/>
      </c>
      <c r="F2425" s="27" t="str" cm="1">
        <f t="array" ref="F2425">IF(C2425="","",IFERROR(INDEX(STPP!$F$6:$F$4207,MATCH(C2425,STPP!$C$6:$C$4207,0)),"Not Found"))</f>
        <v/>
      </c>
      <c r="G2425" s="25" t="str">
        <f>IF(表1[[#This Row],[No Seri]]="","",表1[[#This Row],[Deskripsi Barang]]+表1[[#This Row],[Kuantitas]]-表1[[#This Row],[Satuan]])</f>
        <v/>
      </c>
      <c r="H2425" s="28"/>
      <c r="I2425" s="25" t="str">
        <f>IF(表1[[#This Row],[Tgl NPBG]]&gt;表1[[#This Row],[Peminta]],表1[[#This Row],[Tgl NPBG]]-表1[[#This Row],[Peminta]],"")</f>
        <v/>
      </c>
      <c r="J2425" s="31"/>
    </row>
    <row r="2426" s="12" customFormat="1" customHeight="1" spans="2:10">
      <c r="B2426" s="25"/>
      <c r="C2426" s="25"/>
      <c r="D2426" s="26" t="str" cm="1">
        <f t="array" ref="D2426">IF(C2426="","",IFERROR(INDEX(STPP!$D$6:$D$4207,MATCH(C2426,STPP!$C$6:$C$4207,0)),"Not Found"))</f>
        <v/>
      </c>
      <c r="E2426" s="27" t="str" cm="1">
        <f t="array" ref="E2426">IF(C2426="","",IFERROR(INDEX(STPP!$E$6:$E$4207,MATCH(C2426,STPP!$C$6:$C$4207,0)),"Not Found"))</f>
        <v/>
      </c>
      <c r="F2426" s="27" t="str" cm="1">
        <f t="array" ref="F2426">IF(C2426="","",IFERROR(INDEX(STPP!$F$6:$F$4207,MATCH(C2426,STPP!$C$6:$C$4207,0)),"Not Found"))</f>
        <v/>
      </c>
      <c r="G2426" s="25" t="str">
        <f>IF(表1[[#This Row],[No Seri]]="","",表1[[#This Row],[Deskripsi Barang]]+表1[[#This Row],[Kuantitas]]-表1[[#This Row],[Satuan]])</f>
        <v/>
      </c>
      <c r="H2426" s="28"/>
      <c r="I2426" s="25" t="str">
        <f>IF(表1[[#This Row],[Tgl NPBG]]&gt;表1[[#This Row],[Peminta]],表1[[#This Row],[Tgl NPBG]]-表1[[#This Row],[Peminta]],"")</f>
        <v/>
      </c>
      <c r="J2426" s="31"/>
    </row>
    <row r="2427" s="12" customFormat="1" customHeight="1" spans="2:10">
      <c r="B2427" s="25"/>
      <c r="C2427" s="25"/>
      <c r="D2427" s="26" t="str" cm="1">
        <f t="array" ref="D2427">IF(C2427="","",IFERROR(INDEX(STPP!$D$6:$D$4207,MATCH(C2427,STPP!$C$6:$C$4207,0)),"Not Found"))</f>
        <v/>
      </c>
      <c r="E2427" s="27" t="str" cm="1">
        <f t="array" ref="E2427">IF(C2427="","",IFERROR(INDEX(STPP!$E$6:$E$4207,MATCH(C2427,STPP!$C$6:$C$4207,0)),"Not Found"))</f>
        <v/>
      </c>
      <c r="F2427" s="27" t="str" cm="1">
        <f t="array" ref="F2427">IF(C2427="","",IFERROR(INDEX(STPP!$F$6:$F$4207,MATCH(C2427,STPP!$C$6:$C$4207,0)),"Not Found"))</f>
        <v/>
      </c>
      <c r="G2427" s="25" t="str">
        <f>IF(表1[[#This Row],[No Seri]]="","",表1[[#This Row],[Deskripsi Barang]]+表1[[#This Row],[Kuantitas]]-表1[[#This Row],[Satuan]])</f>
        <v/>
      </c>
      <c r="H2427" s="28"/>
      <c r="I2427" s="25" t="str">
        <f>IF(表1[[#This Row],[Tgl NPBG]]&gt;表1[[#This Row],[Peminta]],表1[[#This Row],[Tgl NPBG]]-表1[[#This Row],[Peminta]],"")</f>
        <v/>
      </c>
      <c r="J2427" s="31"/>
    </row>
    <row r="2428" s="12" customFormat="1" customHeight="1" spans="2:10">
      <c r="B2428" s="25"/>
      <c r="C2428" s="25"/>
      <c r="D2428" s="26" t="str" cm="1">
        <f t="array" ref="D2428">IF(C2428="","",IFERROR(INDEX(STPP!$D$6:$D$4207,MATCH(C2428,STPP!$C$6:$C$4207,0)),"Not Found"))</f>
        <v/>
      </c>
      <c r="E2428" s="27" t="str" cm="1">
        <f t="array" ref="E2428">IF(C2428="","",IFERROR(INDEX(STPP!$E$6:$E$4207,MATCH(C2428,STPP!$C$6:$C$4207,0)),"Not Found"))</f>
        <v/>
      </c>
      <c r="F2428" s="27" t="str" cm="1">
        <f t="array" ref="F2428">IF(C2428="","",IFERROR(INDEX(STPP!$F$6:$F$4207,MATCH(C2428,STPP!$C$6:$C$4207,0)),"Not Found"))</f>
        <v/>
      </c>
      <c r="G2428" s="25" t="str">
        <f>IF(表1[[#This Row],[No Seri]]="","",表1[[#This Row],[Deskripsi Barang]]+表1[[#This Row],[Kuantitas]]-表1[[#This Row],[Satuan]])</f>
        <v/>
      </c>
      <c r="H2428" s="28"/>
      <c r="I2428" s="25" t="str">
        <f>IF(表1[[#This Row],[Tgl NPBG]]&gt;表1[[#This Row],[Peminta]],表1[[#This Row],[Tgl NPBG]]-表1[[#This Row],[Peminta]],"")</f>
        <v/>
      </c>
      <c r="J2428" s="31"/>
    </row>
    <row r="2429" s="12" customFormat="1" customHeight="1" spans="2:10">
      <c r="B2429" s="25"/>
      <c r="C2429" s="25"/>
      <c r="D2429" s="26" t="str" cm="1">
        <f t="array" ref="D2429">IF(C2429="","",IFERROR(INDEX(STPP!$D$6:$D$4207,MATCH(C2429,STPP!$C$6:$C$4207,0)),"Not Found"))</f>
        <v/>
      </c>
      <c r="E2429" s="27" t="str" cm="1">
        <f t="array" ref="E2429">IF(C2429="","",IFERROR(INDEX(STPP!$E$6:$E$4207,MATCH(C2429,STPP!$C$6:$C$4207,0)),"Not Found"))</f>
        <v/>
      </c>
      <c r="F2429" s="27" t="str" cm="1">
        <f t="array" ref="F2429">IF(C2429="","",IFERROR(INDEX(STPP!$F$6:$F$4207,MATCH(C2429,STPP!$C$6:$C$4207,0)),"Not Found"))</f>
        <v/>
      </c>
      <c r="G2429" s="25" t="str">
        <f>IF(表1[[#This Row],[No Seri]]="","",表1[[#This Row],[Deskripsi Barang]]+表1[[#This Row],[Kuantitas]]-表1[[#This Row],[Satuan]])</f>
        <v/>
      </c>
      <c r="H2429" s="28"/>
      <c r="I2429" s="25" t="str">
        <f>IF(表1[[#This Row],[Tgl NPBG]]&gt;表1[[#This Row],[Peminta]],表1[[#This Row],[Tgl NPBG]]-表1[[#This Row],[Peminta]],"")</f>
        <v/>
      </c>
      <c r="J2429" s="31"/>
    </row>
    <row r="2430" s="12" customFormat="1" customHeight="1" spans="2:10">
      <c r="B2430" s="25"/>
      <c r="C2430" s="25"/>
      <c r="D2430" s="26" t="str" cm="1">
        <f t="array" ref="D2430">IF(C2430="","",IFERROR(INDEX(STPP!$D$6:$D$4207,MATCH(C2430,STPP!$C$6:$C$4207,0)),"Not Found"))</f>
        <v/>
      </c>
      <c r="E2430" s="27" t="str" cm="1">
        <f t="array" ref="E2430">IF(C2430="","",IFERROR(INDEX(STPP!$E$6:$E$4207,MATCH(C2430,STPP!$C$6:$C$4207,0)),"Not Found"))</f>
        <v/>
      </c>
      <c r="F2430" s="27" t="str" cm="1">
        <f t="array" ref="F2430">IF(C2430="","",IFERROR(INDEX(STPP!$F$6:$F$4207,MATCH(C2430,STPP!$C$6:$C$4207,0)),"Not Found"))</f>
        <v/>
      </c>
      <c r="G2430" s="25" t="str">
        <f>IF(表1[[#This Row],[No Seri]]="","",表1[[#This Row],[Deskripsi Barang]]+表1[[#This Row],[Kuantitas]]-表1[[#This Row],[Satuan]])</f>
        <v/>
      </c>
      <c r="H2430" s="28"/>
      <c r="I2430" s="25" t="str">
        <f>IF(表1[[#This Row],[Tgl NPBG]]&gt;表1[[#This Row],[Peminta]],表1[[#This Row],[Tgl NPBG]]-表1[[#This Row],[Peminta]],"")</f>
        <v/>
      </c>
      <c r="J2430" s="31"/>
    </row>
    <row r="2431" s="12" customFormat="1" customHeight="1" spans="2:10">
      <c r="B2431" s="25"/>
      <c r="C2431" s="25"/>
      <c r="D2431" s="26" t="str" cm="1">
        <f t="array" ref="D2431">IF(C2431="","",IFERROR(INDEX(STPP!$D$6:$D$4207,MATCH(C2431,STPP!$C$6:$C$4207,0)),"Not Found"))</f>
        <v/>
      </c>
      <c r="E2431" s="27" t="str" cm="1">
        <f t="array" ref="E2431">IF(C2431="","",IFERROR(INDEX(STPP!$E$6:$E$4207,MATCH(C2431,STPP!$C$6:$C$4207,0)),"Not Found"))</f>
        <v/>
      </c>
      <c r="F2431" s="27" t="str" cm="1">
        <f t="array" ref="F2431">IF(C2431="","",IFERROR(INDEX(STPP!$F$6:$F$4207,MATCH(C2431,STPP!$C$6:$C$4207,0)),"Not Found"))</f>
        <v/>
      </c>
      <c r="G2431" s="25" t="str">
        <f>IF(表1[[#This Row],[No Seri]]="","",表1[[#This Row],[Deskripsi Barang]]+表1[[#This Row],[Kuantitas]]-表1[[#This Row],[Satuan]])</f>
        <v/>
      </c>
      <c r="H2431" s="28"/>
      <c r="I2431" s="25" t="str">
        <f>IF(表1[[#This Row],[Tgl NPBG]]&gt;表1[[#This Row],[Peminta]],表1[[#This Row],[Tgl NPBG]]-表1[[#This Row],[Peminta]],"")</f>
        <v/>
      </c>
      <c r="J2431" s="31"/>
    </row>
    <row r="2432" s="12" customFormat="1" customHeight="1" spans="2:10">
      <c r="B2432" s="25"/>
      <c r="C2432" s="25"/>
      <c r="D2432" s="26" t="str" cm="1">
        <f t="array" ref="D2432">IF(C2432="","",IFERROR(INDEX(STPP!$D$6:$D$4207,MATCH(C2432,STPP!$C$6:$C$4207,0)),"Not Found"))</f>
        <v/>
      </c>
      <c r="E2432" s="27" t="str" cm="1">
        <f t="array" ref="E2432">IF(C2432="","",IFERROR(INDEX(STPP!$E$6:$E$4207,MATCH(C2432,STPP!$C$6:$C$4207,0)),"Not Found"))</f>
        <v/>
      </c>
      <c r="F2432" s="27" t="str" cm="1">
        <f t="array" ref="F2432">IF(C2432="","",IFERROR(INDEX(STPP!$F$6:$F$4207,MATCH(C2432,STPP!$C$6:$C$4207,0)),"Not Found"))</f>
        <v/>
      </c>
      <c r="G2432" s="25" t="str">
        <f>IF(表1[[#This Row],[No Seri]]="","",表1[[#This Row],[Deskripsi Barang]]+表1[[#This Row],[Kuantitas]]-表1[[#This Row],[Satuan]])</f>
        <v/>
      </c>
      <c r="H2432" s="28"/>
      <c r="I2432" s="25" t="str">
        <f>IF(表1[[#This Row],[Tgl NPBG]]&gt;表1[[#This Row],[Peminta]],表1[[#This Row],[Tgl NPBG]]-表1[[#This Row],[Peminta]],"")</f>
        <v/>
      </c>
      <c r="J2432" s="31"/>
    </row>
    <row r="2433" s="12" customFormat="1" customHeight="1" spans="2:10">
      <c r="B2433" s="25"/>
      <c r="C2433" s="25"/>
      <c r="D2433" s="26" t="str" cm="1">
        <f t="array" ref="D2433">IF(C2433="","",IFERROR(INDEX(STPP!$D$6:$D$4207,MATCH(C2433,STPP!$C$6:$C$4207,0)),"Not Found"))</f>
        <v/>
      </c>
      <c r="E2433" s="27" t="str" cm="1">
        <f t="array" ref="E2433">IF(C2433="","",IFERROR(INDEX(STPP!$E$6:$E$4207,MATCH(C2433,STPP!$C$6:$C$4207,0)),"Not Found"))</f>
        <v/>
      </c>
      <c r="F2433" s="27" t="str" cm="1">
        <f t="array" ref="F2433">IF(C2433="","",IFERROR(INDEX(STPP!$F$6:$F$4207,MATCH(C2433,STPP!$C$6:$C$4207,0)),"Not Found"))</f>
        <v/>
      </c>
      <c r="G2433" s="25" t="str">
        <f>IF(表1[[#This Row],[No Seri]]="","",表1[[#This Row],[Deskripsi Barang]]+表1[[#This Row],[Kuantitas]]-表1[[#This Row],[Satuan]])</f>
        <v/>
      </c>
      <c r="H2433" s="28"/>
      <c r="I2433" s="25" t="str">
        <f>IF(表1[[#This Row],[Tgl NPBG]]&gt;表1[[#This Row],[Peminta]],表1[[#This Row],[Tgl NPBG]]-表1[[#This Row],[Peminta]],"")</f>
        <v/>
      </c>
      <c r="J2433" s="31"/>
    </row>
    <row r="2434" s="12" customFormat="1" customHeight="1" spans="2:10">
      <c r="B2434" s="25"/>
      <c r="C2434" s="25"/>
      <c r="D2434" s="26" t="str" cm="1">
        <f t="array" ref="D2434">IF(C2434="","",IFERROR(INDEX(STPP!$D$6:$D$4207,MATCH(C2434,STPP!$C$6:$C$4207,0)),"Not Found"))</f>
        <v/>
      </c>
      <c r="E2434" s="27" t="str" cm="1">
        <f t="array" ref="E2434">IF(C2434="","",IFERROR(INDEX(STPP!$E$6:$E$4207,MATCH(C2434,STPP!$C$6:$C$4207,0)),"Not Found"))</f>
        <v/>
      </c>
      <c r="F2434" s="27" t="str" cm="1">
        <f t="array" ref="F2434">IF(C2434="","",IFERROR(INDEX(STPP!$F$6:$F$4207,MATCH(C2434,STPP!$C$6:$C$4207,0)),"Not Found"))</f>
        <v/>
      </c>
      <c r="G2434" s="25" t="str">
        <f>IF(表1[[#This Row],[No Seri]]="","",表1[[#This Row],[Deskripsi Barang]]+表1[[#This Row],[Kuantitas]]-表1[[#This Row],[Satuan]])</f>
        <v/>
      </c>
      <c r="H2434" s="28"/>
      <c r="I2434" s="25" t="str">
        <f>IF(表1[[#This Row],[Tgl NPBG]]&gt;表1[[#This Row],[Peminta]],表1[[#This Row],[Tgl NPBG]]-表1[[#This Row],[Peminta]],"")</f>
        <v/>
      </c>
      <c r="J2434" s="31"/>
    </row>
    <row r="2435" s="12" customFormat="1" customHeight="1" spans="2:10">
      <c r="B2435" s="25"/>
      <c r="C2435" s="25"/>
      <c r="D2435" s="26" t="str" cm="1">
        <f t="array" ref="D2435">IF(C2435="","",IFERROR(INDEX(STPP!$D$6:$D$4207,MATCH(C2435,STPP!$C$6:$C$4207,0)),"Not Found"))</f>
        <v/>
      </c>
      <c r="E2435" s="27" t="str" cm="1">
        <f t="array" ref="E2435">IF(C2435="","",IFERROR(INDEX(STPP!$E$6:$E$4207,MATCH(C2435,STPP!$C$6:$C$4207,0)),"Not Found"))</f>
        <v/>
      </c>
      <c r="F2435" s="27" t="str" cm="1">
        <f t="array" ref="F2435">IF(C2435="","",IFERROR(INDEX(STPP!$F$6:$F$4207,MATCH(C2435,STPP!$C$6:$C$4207,0)),"Not Found"))</f>
        <v/>
      </c>
      <c r="G2435" s="25" t="str">
        <f>IF(表1[[#This Row],[No Seri]]="","",表1[[#This Row],[Deskripsi Barang]]+表1[[#This Row],[Kuantitas]]-表1[[#This Row],[Satuan]])</f>
        <v/>
      </c>
      <c r="H2435" s="28"/>
      <c r="I2435" s="25" t="str">
        <f>IF(表1[[#This Row],[Tgl NPBG]]&gt;表1[[#This Row],[Peminta]],表1[[#This Row],[Tgl NPBG]]-表1[[#This Row],[Peminta]],"")</f>
        <v/>
      </c>
      <c r="J2435" s="31"/>
    </row>
    <row r="2436" s="12" customFormat="1" customHeight="1" spans="2:10">
      <c r="B2436" s="25"/>
      <c r="C2436" s="25"/>
      <c r="D2436" s="26" t="str" cm="1">
        <f t="array" ref="D2436">IF(C2436="","",IFERROR(INDEX(STPP!$D$6:$D$4207,MATCH(C2436,STPP!$C$6:$C$4207,0)),"Not Found"))</f>
        <v/>
      </c>
      <c r="E2436" s="27" t="str" cm="1">
        <f t="array" ref="E2436">IF(C2436="","",IFERROR(INDEX(STPP!$E$6:$E$4207,MATCH(C2436,STPP!$C$6:$C$4207,0)),"Not Found"))</f>
        <v/>
      </c>
      <c r="F2436" s="27" t="str" cm="1">
        <f t="array" ref="F2436">IF(C2436="","",IFERROR(INDEX(STPP!$F$6:$F$4207,MATCH(C2436,STPP!$C$6:$C$4207,0)),"Not Found"))</f>
        <v/>
      </c>
      <c r="G2436" s="25" t="str">
        <f>IF(表1[[#This Row],[No Seri]]="","",表1[[#This Row],[Deskripsi Barang]]+表1[[#This Row],[Kuantitas]]-表1[[#This Row],[Satuan]])</f>
        <v/>
      </c>
      <c r="H2436" s="28"/>
      <c r="I2436" s="25" t="str">
        <f>IF(表1[[#This Row],[Tgl NPBG]]&gt;表1[[#This Row],[Peminta]],表1[[#This Row],[Tgl NPBG]]-表1[[#This Row],[Peminta]],"")</f>
        <v/>
      </c>
      <c r="J2436" s="31"/>
    </row>
    <row r="2437" s="12" customFormat="1" customHeight="1" spans="2:10">
      <c r="B2437" s="25"/>
      <c r="C2437" s="25"/>
      <c r="D2437" s="26" t="str" cm="1">
        <f t="array" ref="D2437">IF(C2437="","",IFERROR(INDEX(STPP!$D$6:$D$4207,MATCH(C2437,STPP!$C$6:$C$4207,0)),"Not Found"))</f>
        <v/>
      </c>
      <c r="E2437" s="27" t="str" cm="1">
        <f t="array" ref="E2437">IF(C2437="","",IFERROR(INDEX(STPP!$E$6:$E$4207,MATCH(C2437,STPP!$C$6:$C$4207,0)),"Not Found"))</f>
        <v/>
      </c>
      <c r="F2437" s="27" t="str" cm="1">
        <f t="array" ref="F2437">IF(C2437="","",IFERROR(INDEX(STPP!$F$6:$F$4207,MATCH(C2437,STPP!$C$6:$C$4207,0)),"Not Found"))</f>
        <v/>
      </c>
      <c r="G2437" s="25" t="str">
        <f>IF(表1[[#This Row],[No Seri]]="","",表1[[#This Row],[Deskripsi Barang]]+表1[[#This Row],[Kuantitas]]-表1[[#This Row],[Satuan]])</f>
        <v/>
      </c>
      <c r="H2437" s="28"/>
      <c r="I2437" s="25" t="str">
        <f>IF(表1[[#This Row],[Tgl NPBG]]&gt;表1[[#This Row],[Peminta]],表1[[#This Row],[Tgl NPBG]]-表1[[#This Row],[Peminta]],"")</f>
        <v/>
      </c>
      <c r="J2437" s="31"/>
    </row>
    <row r="2438" s="12" customFormat="1" customHeight="1" spans="2:10">
      <c r="B2438" s="25"/>
      <c r="C2438" s="25"/>
      <c r="D2438" s="26" t="str" cm="1">
        <f t="array" ref="D2438">IF(C2438="","",IFERROR(INDEX(STPP!$D$6:$D$4207,MATCH(C2438,STPP!$C$6:$C$4207,0)),"Not Found"))</f>
        <v/>
      </c>
      <c r="E2438" s="27" t="str" cm="1">
        <f t="array" ref="E2438">IF(C2438="","",IFERROR(INDEX(STPP!$E$6:$E$4207,MATCH(C2438,STPP!$C$6:$C$4207,0)),"Not Found"))</f>
        <v/>
      </c>
      <c r="F2438" s="27" t="str" cm="1">
        <f t="array" ref="F2438">IF(C2438="","",IFERROR(INDEX(STPP!$F$6:$F$4207,MATCH(C2438,STPP!$C$6:$C$4207,0)),"Not Found"))</f>
        <v/>
      </c>
      <c r="G2438" s="25" t="str">
        <f>IF(表1[[#This Row],[No Seri]]="","",表1[[#This Row],[Deskripsi Barang]]+表1[[#This Row],[Kuantitas]]-表1[[#This Row],[Satuan]])</f>
        <v/>
      </c>
      <c r="H2438" s="28"/>
      <c r="I2438" s="25" t="str">
        <f>IF(表1[[#This Row],[Tgl NPBG]]&gt;表1[[#This Row],[Peminta]],表1[[#This Row],[Tgl NPBG]]-表1[[#This Row],[Peminta]],"")</f>
        <v/>
      </c>
      <c r="J2438" s="31"/>
    </row>
    <row r="2439" s="12" customFormat="1" customHeight="1" spans="2:10">
      <c r="B2439" s="25"/>
      <c r="C2439" s="25"/>
      <c r="D2439" s="26" t="str" cm="1">
        <f t="array" ref="D2439">IF(C2439="","",IFERROR(INDEX(STPP!$D$6:$D$4207,MATCH(C2439,STPP!$C$6:$C$4207,0)),"Not Found"))</f>
        <v/>
      </c>
      <c r="E2439" s="27" t="str" cm="1">
        <f t="array" ref="E2439">IF(C2439="","",IFERROR(INDEX(STPP!$E$6:$E$4207,MATCH(C2439,STPP!$C$6:$C$4207,0)),"Not Found"))</f>
        <v/>
      </c>
      <c r="F2439" s="27" t="str" cm="1">
        <f t="array" ref="F2439">IF(C2439="","",IFERROR(INDEX(STPP!$F$6:$F$4207,MATCH(C2439,STPP!$C$6:$C$4207,0)),"Not Found"))</f>
        <v/>
      </c>
      <c r="G2439" s="25" t="str">
        <f>IF(表1[[#This Row],[No Seri]]="","",表1[[#This Row],[Deskripsi Barang]]+表1[[#This Row],[Kuantitas]]-表1[[#This Row],[Satuan]])</f>
        <v/>
      </c>
      <c r="H2439" s="28"/>
      <c r="I2439" s="25" t="str">
        <f>IF(表1[[#This Row],[Tgl NPBG]]&gt;表1[[#This Row],[Peminta]],表1[[#This Row],[Tgl NPBG]]-表1[[#This Row],[Peminta]],"")</f>
        <v/>
      </c>
      <c r="J2439" s="31"/>
    </row>
    <row r="2440" s="12" customFormat="1" customHeight="1" spans="2:10">
      <c r="B2440" s="25"/>
      <c r="C2440" s="25"/>
      <c r="D2440" s="26" t="str" cm="1">
        <f t="array" ref="D2440">IF(C2440="","",IFERROR(INDEX(STPP!$D$6:$D$4207,MATCH(C2440,STPP!$C$6:$C$4207,0)),"Not Found"))</f>
        <v/>
      </c>
      <c r="E2440" s="27" t="str" cm="1">
        <f t="array" ref="E2440">IF(C2440="","",IFERROR(INDEX(STPP!$E$6:$E$4207,MATCH(C2440,STPP!$C$6:$C$4207,0)),"Not Found"))</f>
        <v/>
      </c>
      <c r="F2440" s="27" t="str" cm="1">
        <f t="array" ref="F2440">IF(C2440="","",IFERROR(INDEX(STPP!$F$6:$F$4207,MATCH(C2440,STPP!$C$6:$C$4207,0)),"Not Found"))</f>
        <v/>
      </c>
      <c r="G2440" s="25" t="str">
        <f>IF(表1[[#This Row],[No Seri]]="","",表1[[#This Row],[Deskripsi Barang]]+表1[[#This Row],[Kuantitas]]-表1[[#This Row],[Satuan]])</f>
        <v/>
      </c>
      <c r="H2440" s="28"/>
      <c r="I2440" s="25" t="str">
        <f>IF(表1[[#This Row],[Tgl NPBG]]&gt;表1[[#This Row],[Peminta]],表1[[#This Row],[Tgl NPBG]]-表1[[#This Row],[Peminta]],"")</f>
        <v/>
      </c>
      <c r="J2440" s="31"/>
    </row>
    <row r="2441" s="12" customFormat="1" customHeight="1" spans="2:10">
      <c r="B2441" s="25"/>
      <c r="C2441" s="25"/>
      <c r="D2441" s="26" t="str" cm="1">
        <f t="array" ref="D2441">IF(C2441="","",IFERROR(INDEX(STPP!$D$6:$D$4207,MATCH(C2441,STPP!$C$6:$C$4207,0)),"Not Found"))</f>
        <v/>
      </c>
      <c r="E2441" s="27" t="str" cm="1">
        <f t="array" ref="E2441">IF(C2441="","",IFERROR(INDEX(STPP!$E$6:$E$4207,MATCH(C2441,STPP!$C$6:$C$4207,0)),"Not Found"))</f>
        <v/>
      </c>
      <c r="F2441" s="27" t="str" cm="1">
        <f t="array" ref="F2441">IF(C2441="","",IFERROR(INDEX(STPP!$F$6:$F$4207,MATCH(C2441,STPP!$C$6:$C$4207,0)),"Not Found"))</f>
        <v/>
      </c>
      <c r="G2441" s="25" t="str">
        <f>IF(表1[[#This Row],[No Seri]]="","",表1[[#This Row],[Deskripsi Barang]]+表1[[#This Row],[Kuantitas]]-表1[[#This Row],[Satuan]])</f>
        <v/>
      </c>
      <c r="H2441" s="28"/>
      <c r="I2441" s="25" t="str">
        <f>IF(表1[[#This Row],[Tgl NPBG]]&gt;表1[[#This Row],[Peminta]],表1[[#This Row],[Tgl NPBG]]-表1[[#This Row],[Peminta]],"")</f>
        <v/>
      </c>
      <c r="J2441" s="31"/>
    </row>
    <row r="2442" s="12" customFormat="1" customHeight="1" spans="2:10">
      <c r="B2442" s="25"/>
      <c r="C2442" s="25"/>
      <c r="D2442" s="26" t="str" cm="1">
        <f t="array" ref="D2442">IF(C2442="","",IFERROR(INDEX(STPP!$D$6:$D$4207,MATCH(C2442,STPP!$C$6:$C$4207,0)),"Not Found"))</f>
        <v/>
      </c>
      <c r="E2442" s="27" t="str" cm="1">
        <f t="array" ref="E2442">IF(C2442="","",IFERROR(INDEX(STPP!$E$6:$E$4207,MATCH(C2442,STPP!$C$6:$C$4207,0)),"Not Found"))</f>
        <v/>
      </c>
      <c r="F2442" s="27" t="str" cm="1">
        <f t="array" ref="F2442">IF(C2442="","",IFERROR(INDEX(STPP!$F$6:$F$4207,MATCH(C2442,STPP!$C$6:$C$4207,0)),"Not Found"))</f>
        <v/>
      </c>
      <c r="G2442" s="25" t="str">
        <f>IF(表1[[#This Row],[No Seri]]="","",表1[[#This Row],[Deskripsi Barang]]+表1[[#This Row],[Kuantitas]]-表1[[#This Row],[Satuan]])</f>
        <v/>
      </c>
      <c r="H2442" s="28"/>
      <c r="I2442" s="25" t="str">
        <f>IF(表1[[#This Row],[Tgl NPBG]]&gt;表1[[#This Row],[Peminta]],表1[[#This Row],[Tgl NPBG]]-表1[[#This Row],[Peminta]],"")</f>
        <v/>
      </c>
      <c r="J2442" s="31"/>
    </row>
    <row r="2443" s="12" customFormat="1" customHeight="1" spans="2:10">
      <c r="B2443" s="25"/>
      <c r="C2443" s="25"/>
      <c r="D2443" s="26" t="str" cm="1">
        <f t="array" ref="D2443">IF(C2443="","",IFERROR(INDEX(STPP!$D$6:$D$4207,MATCH(C2443,STPP!$C$6:$C$4207,0)),"Not Found"))</f>
        <v/>
      </c>
      <c r="E2443" s="27" t="str" cm="1">
        <f t="array" ref="E2443">IF(C2443="","",IFERROR(INDEX(STPP!$E$6:$E$4207,MATCH(C2443,STPP!$C$6:$C$4207,0)),"Not Found"))</f>
        <v/>
      </c>
      <c r="F2443" s="27" t="str" cm="1">
        <f t="array" ref="F2443">IF(C2443="","",IFERROR(INDEX(STPP!$F$6:$F$4207,MATCH(C2443,STPP!$C$6:$C$4207,0)),"Not Found"))</f>
        <v/>
      </c>
      <c r="G2443" s="25" t="str">
        <f>IF(表1[[#This Row],[No Seri]]="","",表1[[#This Row],[Deskripsi Barang]]+表1[[#This Row],[Kuantitas]]-表1[[#This Row],[Satuan]])</f>
        <v/>
      </c>
      <c r="H2443" s="28"/>
      <c r="I2443" s="25" t="str">
        <f>IF(表1[[#This Row],[Tgl NPBG]]&gt;表1[[#This Row],[Peminta]],表1[[#This Row],[Tgl NPBG]]-表1[[#This Row],[Peminta]],"")</f>
        <v/>
      </c>
      <c r="J2443" s="31"/>
    </row>
    <row r="2444" s="12" customFormat="1" customHeight="1" spans="2:10">
      <c r="B2444" s="25"/>
      <c r="C2444" s="25"/>
      <c r="D2444" s="26" t="str" cm="1">
        <f t="array" ref="D2444">IF(C2444="","",IFERROR(INDEX(STPP!$D$6:$D$4207,MATCH(C2444,STPP!$C$6:$C$4207,0)),"Not Found"))</f>
        <v/>
      </c>
      <c r="E2444" s="27" t="str" cm="1">
        <f t="array" ref="E2444">IF(C2444="","",IFERROR(INDEX(STPP!$E$6:$E$4207,MATCH(C2444,STPP!$C$6:$C$4207,0)),"Not Found"))</f>
        <v/>
      </c>
      <c r="F2444" s="27" t="str" cm="1">
        <f t="array" ref="F2444">IF(C2444="","",IFERROR(INDEX(STPP!$F$6:$F$4207,MATCH(C2444,STPP!$C$6:$C$4207,0)),"Not Found"))</f>
        <v/>
      </c>
      <c r="G2444" s="25" t="str">
        <f>IF(表1[[#This Row],[No Seri]]="","",表1[[#This Row],[Deskripsi Barang]]+表1[[#This Row],[Kuantitas]]-表1[[#This Row],[Satuan]])</f>
        <v/>
      </c>
      <c r="H2444" s="28"/>
      <c r="I2444" s="25" t="str">
        <f>IF(表1[[#This Row],[Tgl NPBG]]&gt;表1[[#This Row],[Peminta]],表1[[#This Row],[Tgl NPBG]]-表1[[#This Row],[Peminta]],"")</f>
        <v/>
      </c>
      <c r="J2444" s="31"/>
    </row>
    <row r="2445" s="12" customFormat="1" customHeight="1" spans="2:10">
      <c r="B2445" s="25"/>
      <c r="C2445" s="25"/>
      <c r="D2445" s="26" t="str" cm="1">
        <f t="array" ref="D2445">IF(C2445="","",IFERROR(INDEX(STPP!$D$6:$D$4207,MATCH(C2445,STPP!$C$6:$C$4207,0)),"Not Found"))</f>
        <v/>
      </c>
      <c r="E2445" s="27" t="str" cm="1">
        <f t="array" ref="E2445">IF(C2445="","",IFERROR(INDEX(STPP!$E$6:$E$4207,MATCH(C2445,STPP!$C$6:$C$4207,0)),"Not Found"))</f>
        <v/>
      </c>
      <c r="F2445" s="27" t="str" cm="1">
        <f t="array" ref="F2445">IF(C2445="","",IFERROR(INDEX(STPP!$F$6:$F$4207,MATCH(C2445,STPP!$C$6:$C$4207,0)),"Not Found"))</f>
        <v/>
      </c>
      <c r="G2445" s="25" t="str">
        <f>IF(表1[[#This Row],[No Seri]]="","",表1[[#This Row],[Deskripsi Barang]]+表1[[#This Row],[Kuantitas]]-表1[[#This Row],[Satuan]])</f>
        <v/>
      </c>
      <c r="H2445" s="28"/>
      <c r="I2445" s="25" t="str">
        <f>IF(表1[[#This Row],[Tgl NPBG]]&gt;表1[[#This Row],[Peminta]],表1[[#This Row],[Tgl NPBG]]-表1[[#This Row],[Peminta]],"")</f>
        <v/>
      </c>
      <c r="J2445" s="31"/>
    </row>
    <row r="2446" s="12" customFormat="1" customHeight="1" spans="2:10">
      <c r="B2446" s="25"/>
      <c r="C2446" s="25"/>
      <c r="D2446" s="26" t="str" cm="1">
        <f t="array" ref="D2446">IF(C2446="","",IFERROR(INDEX(STPP!$D$6:$D$4207,MATCH(C2446,STPP!$C$6:$C$4207,0)),"Not Found"))</f>
        <v/>
      </c>
      <c r="E2446" s="27" t="str" cm="1">
        <f t="array" ref="E2446">IF(C2446="","",IFERROR(INDEX(STPP!$E$6:$E$4207,MATCH(C2446,STPP!$C$6:$C$4207,0)),"Not Found"))</f>
        <v/>
      </c>
      <c r="F2446" s="27" t="str" cm="1">
        <f t="array" ref="F2446">IF(C2446="","",IFERROR(INDEX(STPP!$F$6:$F$4207,MATCH(C2446,STPP!$C$6:$C$4207,0)),"Not Found"))</f>
        <v/>
      </c>
      <c r="G2446" s="25" t="str">
        <f>IF(表1[[#This Row],[No Seri]]="","",表1[[#This Row],[Deskripsi Barang]]+表1[[#This Row],[Kuantitas]]-表1[[#This Row],[Satuan]])</f>
        <v/>
      </c>
      <c r="H2446" s="28"/>
      <c r="I2446" s="25" t="str">
        <f>IF(表1[[#This Row],[Tgl NPBG]]&gt;表1[[#This Row],[Peminta]],表1[[#This Row],[Tgl NPBG]]-表1[[#This Row],[Peminta]],"")</f>
        <v/>
      </c>
      <c r="J2446" s="31"/>
    </row>
    <row r="2447" s="12" customFormat="1" customHeight="1" spans="2:10">
      <c r="B2447" s="25"/>
      <c r="C2447" s="25"/>
      <c r="D2447" s="26" t="str" cm="1">
        <f t="array" ref="D2447">IF(C2447="","",IFERROR(INDEX(STPP!$D$6:$D$4207,MATCH(C2447,STPP!$C$6:$C$4207,0)),"Not Found"))</f>
        <v/>
      </c>
      <c r="E2447" s="27" t="str" cm="1">
        <f t="array" ref="E2447">IF(C2447="","",IFERROR(INDEX(STPP!$E$6:$E$4207,MATCH(C2447,STPP!$C$6:$C$4207,0)),"Not Found"))</f>
        <v/>
      </c>
      <c r="F2447" s="27" t="str" cm="1">
        <f t="array" ref="F2447">IF(C2447="","",IFERROR(INDEX(STPP!$F$6:$F$4207,MATCH(C2447,STPP!$C$6:$C$4207,0)),"Not Found"))</f>
        <v/>
      </c>
      <c r="G2447" s="25" t="str">
        <f>IF(表1[[#This Row],[No Seri]]="","",表1[[#This Row],[Deskripsi Barang]]+表1[[#This Row],[Kuantitas]]-表1[[#This Row],[Satuan]])</f>
        <v/>
      </c>
      <c r="H2447" s="28"/>
      <c r="I2447" s="25" t="str">
        <f>IF(表1[[#This Row],[Tgl NPBG]]&gt;表1[[#This Row],[Peminta]],表1[[#This Row],[Tgl NPBG]]-表1[[#This Row],[Peminta]],"")</f>
        <v/>
      </c>
      <c r="J2447" s="31"/>
    </row>
    <row r="2448" s="12" customFormat="1" customHeight="1" spans="2:10">
      <c r="B2448" s="25"/>
      <c r="C2448" s="25"/>
      <c r="D2448" s="26" t="str" cm="1">
        <f t="array" ref="D2448">IF(C2448="","",IFERROR(INDEX(STPP!$D$6:$D$4207,MATCH(C2448,STPP!$C$6:$C$4207,0)),"Not Found"))</f>
        <v/>
      </c>
      <c r="E2448" s="27" t="str" cm="1">
        <f t="array" ref="E2448">IF(C2448="","",IFERROR(INDEX(STPP!$E$6:$E$4207,MATCH(C2448,STPP!$C$6:$C$4207,0)),"Not Found"))</f>
        <v/>
      </c>
      <c r="F2448" s="27" t="str" cm="1">
        <f t="array" ref="F2448">IF(C2448="","",IFERROR(INDEX(STPP!$F$6:$F$4207,MATCH(C2448,STPP!$C$6:$C$4207,0)),"Not Found"))</f>
        <v/>
      </c>
      <c r="G2448" s="25" t="str">
        <f>IF(表1[[#This Row],[No Seri]]="","",表1[[#This Row],[Deskripsi Barang]]+表1[[#This Row],[Kuantitas]]-表1[[#This Row],[Satuan]])</f>
        <v/>
      </c>
      <c r="H2448" s="28"/>
      <c r="I2448" s="25" t="str">
        <f>IF(表1[[#This Row],[Tgl NPBG]]&gt;表1[[#This Row],[Peminta]],表1[[#This Row],[Tgl NPBG]]-表1[[#This Row],[Peminta]],"")</f>
        <v/>
      </c>
      <c r="J2448" s="31"/>
    </row>
    <row r="2449" s="12" customFormat="1" customHeight="1" spans="2:10">
      <c r="B2449" s="25"/>
      <c r="C2449" s="25"/>
      <c r="D2449" s="26" t="str" cm="1">
        <f t="array" ref="D2449">IF(C2449="","",IFERROR(INDEX(STPP!$D$6:$D$4207,MATCH(C2449,STPP!$C$6:$C$4207,0)),"Not Found"))</f>
        <v/>
      </c>
      <c r="E2449" s="27" t="str" cm="1">
        <f t="array" ref="E2449">IF(C2449="","",IFERROR(INDEX(STPP!$E$6:$E$4207,MATCH(C2449,STPP!$C$6:$C$4207,0)),"Not Found"))</f>
        <v/>
      </c>
      <c r="F2449" s="27" t="str" cm="1">
        <f t="array" ref="F2449">IF(C2449="","",IFERROR(INDEX(STPP!$F$6:$F$4207,MATCH(C2449,STPP!$C$6:$C$4207,0)),"Not Found"))</f>
        <v/>
      </c>
      <c r="G2449" s="25" t="str">
        <f>IF(表1[[#This Row],[No Seri]]="","",表1[[#This Row],[Deskripsi Barang]]+表1[[#This Row],[Kuantitas]]-表1[[#This Row],[Satuan]])</f>
        <v/>
      </c>
      <c r="H2449" s="28"/>
      <c r="I2449" s="25" t="str">
        <f>IF(表1[[#This Row],[Tgl NPBG]]&gt;表1[[#This Row],[Peminta]],表1[[#This Row],[Tgl NPBG]]-表1[[#This Row],[Peminta]],"")</f>
        <v/>
      </c>
      <c r="J2449" s="31"/>
    </row>
    <row r="2450" s="12" customFormat="1" customHeight="1" spans="2:10">
      <c r="B2450" s="25"/>
      <c r="C2450" s="25"/>
      <c r="D2450" s="26" t="str" cm="1">
        <f t="array" ref="D2450">IF(C2450="","",IFERROR(INDEX(STPP!$D$6:$D$4207,MATCH(C2450,STPP!$C$6:$C$4207,0)),"Not Found"))</f>
        <v/>
      </c>
      <c r="E2450" s="27" t="str" cm="1">
        <f t="array" ref="E2450">IF(C2450="","",IFERROR(INDEX(STPP!$E$6:$E$4207,MATCH(C2450,STPP!$C$6:$C$4207,0)),"Not Found"))</f>
        <v/>
      </c>
      <c r="F2450" s="27" t="str" cm="1">
        <f t="array" ref="F2450">IF(C2450="","",IFERROR(INDEX(STPP!$F$6:$F$4207,MATCH(C2450,STPP!$C$6:$C$4207,0)),"Not Found"))</f>
        <v/>
      </c>
      <c r="G2450" s="25" t="str">
        <f>IF(表1[[#This Row],[No Seri]]="","",表1[[#This Row],[Deskripsi Barang]]+表1[[#This Row],[Kuantitas]]-表1[[#This Row],[Satuan]])</f>
        <v/>
      </c>
      <c r="H2450" s="28"/>
      <c r="I2450" s="25" t="str">
        <f>IF(表1[[#This Row],[Tgl NPBG]]&gt;表1[[#This Row],[Peminta]],表1[[#This Row],[Tgl NPBG]]-表1[[#This Row],[Peminta]],"")</f>
        <v/>
      </c>
      <c r="J2450" s="31"/>
    </row>
    <row r="2451" s="12" customFormat="1" customHeight="1" spans="2:10">
      <c r="B2451" s="25"/>
      <c r="C2451" s="25"/>
      <c r="D2451" s="26" t="str" cm="1">
        <f t="array" ref="D2451">IF(C2451="","",IFERROR(INDEX(STPP!$D$6:$D$4207,MATCH(C2451,STPP!$C$6:$C$4207,0)),"Not Found"))</f>
        <v/>
      </c>
      <c r="E2451" s="27" t="str" cm="1">
        <f t="array" ref="E2451">IF(C2451="","",IFERROR(INDEX(STPP!$E$6:$E$4207,MATCH(C2451,STPP!$C$6:$C$4207,0)),"Not Found"))</f>
        <v/>
      </c>
      <c r="F2451" s="27" t="str" cm="1">
        <f t="array" ref="F2451">IF(C2451="","",IFERROR(INDEX(STPP!$F$6:$F$4207,MATCH(C2451,STPP!$C$6:$C$4207,0)),"Not Found"))</f>
        <v/>
      </c>
      <c r="G2451" s="25" t="str">
        <f>IF(表1[[#This Row],[No Seri]]="","",表1[[#This Row],[Deskripsi Barang]]+表1[[#This Row],[Kuantitas]]-表1[[#This Row],[Satuan]])</f>
        <v/>
      </c>
      <c r="H2451" s="28"/>
      <c r="I2451" s="25" t="str">
        <f>IF(表1[[#This Row],[Tgl NPBG]]&gt;表1[[#This Row],[Peminta]],表1[[#This Row],[Tgl NPBG]]-表1[[#This Row],[Peminta]],"")</f>
        <v/>
      </c>
      <c r="J2451" s="31"/>
    </row>
    <row r="2452" s="12" customFormat="1" customHeight="1" spans="2:10">
      <c r="B2452" s="25"/>
      <c r="C2452" s="25"/>
      <c r="D2452" s="26" t="str" cm="1">
        <f t="array" ref="D2452">IF(C2452="","",IFERROR(INDEX(STPP!$D$6:$D$4207,MATCH(C2452,STPP!$C$6:$C$4207,0)),"Not Found"))</f>
        <v/>
      </c>
      <c r="E2452" s="27" t="str" cm="1">
        <f t="array" ref="E2452">IF(C2452="","",IFERROR(INDEX(STPP!$E$6:$E$4207,MATCH(C2452,STPP!$C$6:$C$4207,0)),"Not Found"))</f>
        <v/>
      </c>
      <c r="F2452" s="27" t="str" cm="1">
        <f t="array" ref="F2452">IF(C2452="","",IFERROR(INDEX(STPP!$F$6:$F$4207,MATCH(C2452,STPP!$C$6:$C$4207,0)),"Not Found"))</f>
        <v/>
      </c>
      <c r="G2452" s="25" t="str">
        <f>IF(表1[[#This Row],[No Seri]]="","",表1[[#This Row],[Deskripsi Barang]]+表1[[#This Row],[Kuantitas]]-表1[[#This Row],[Satuan]])</f>
        <v/>
      </c>
      <c r="H2452" s="28"/>
      <c r="I2452" s="25" t="str">
        <f>IF(表1[[#This Row],[Tgl NPBG]]&gt;表1[[#This Row],[Peminta]],表1[[#This Row],[Tgl NPBG]]-表1[[#This Row],[Peminta]],"")</f>
        <v/>
      </c>
      <c r="J2452" s="31"/>
    </row>
    <row r="2453" s="12" customFormat="1" customHeight="1" spans="2:10">
      <c r="B2453" s="25"/>
      <c r="C2453" s="25"/>
      <c r="D2453" s="26" t="str" cm="1">
        <f t="array" ref="D2453">IF(C2453="","",IFERROR(INDEX(STPP!$D$6:$D$4207,MATCH(C2453,STPP!$C$6:$C$4207,0)),"Not Found"))</f>
        <v/>
      </c>
      <c r="E2453" s="27" t="str" cm="1">
        <f t="array" ref="E2453">IF(C2453="","",IFERROR(INDEX(STPP!$E$6:$E$4207,MATCH(C2453,STPP!$C$6:$C$4207,0)),"Not Found"))</f>
        <v/>
      </c>
      <c r="F2453" s="27" t="str" cm="1">
        <f t="array" ref="F2453">IF(C2453="","",IFERROR(INDEX(STPP!$F$6:$F$4207,MATCH(C2453,STPP!$C$6:$C$4207,0)),"Not Found"))</f>
        <v/>
      </c>
      <c r="G2453" s="25" t="str">
        <f>IF(表1[[#This Row],[No Seri]]="","",表1[[#This Row],[Deskripsi Barang]]+表1[[#This Row],[Kuantitas]]-表1[[#This Row],[Satuan]])</f>
        <v/>
      </c>
      <c r="H2453" s="28"/>
      <c r="I2453" s="25" t="str">
        <f>IF(表1[[#This Row],[Tgl NPBG]]&gt;表1[[#This Row],[Peminta]],表1[[#This Row],[Tgl NPBG]]-表1[[#This Row],[Peminta]],"")</f>
        <v/>
      </c>
      <c r="J2453" s="31"/>
    </row>
    <row r="2454" s="12" customFormat="1" customHeight="1" spans="2:10">
      <c r="B2454" s="25"/>
      <c r="C2454" s="25"/>
      <c r="D2454" s="26" t="str" cm="1">
        <f t="array" ref="D2454">IF(C2454="","",IFERROR(INDEX(STPP!$D$6:$D$4207,MATCH(C2454,STPP!$C$6:$C$4207,0)),"Not Found"))</f>
        <v/>
      </c>
      <c r="E2454" s="27" t="str" cm="1">
        <f t="array" ref="E2454">IF(C2454="","",IFERROR(INDEX(STPP!$E$6:$E$4207,MATCH(C2454,STPP!$C$6:$C$4207,0)),"Not Found"))</f>
        <v/>
      </c>
      <c r="F2454" s="27" t="str" cm="1">
        <f t="array" ref="F2454">IF(C2454="","",IFERROR(INDEX(STPP!$F$6:$F$4207,MATCH(C2454,STPP!$C$6:$C$4207,0)),"Not Found"))</f>
        <v/>
      </c>
      <c r="G2454" s="25" t="str">
        <f>IF(表1[[#This Row],[No Seri]]="","",表1[[#This Row],[Deskripsi Barang]]+表1[[#This Row],[Kuantitas]]-表1[[#This Row],[Satuan]])</f>
        <v/>
      </c>
      <c r="H2454" s="28"/>
      <c r="I2454" s="25" t="str">
        <f>IF(表1[[#This Row],[Tgl NPBG]]&gt;表1[[#This Row],[Peminta]],表1[[#This Row],[Tgl NPBG]]-表1[[#This Row],[Peminta]],"")</f>
        <v/>
      </c>
      <c r="J2454" s="31"/>
    </row>
    <row r="2455" s="12" customFormat="1" customHeight="1" spans="2:10">
      <c r="B2455" s="25"/>
      <c r="C2455" s="25"/>
      <c r="D2455" s="26" t="str" cm="1">
        <f t="array" ref="D2455">IF(C2455="","",IFERROR(INDEX(STPP!$D$6:$D$4207,MATCH(C2455,STPP!$C$6:$C$4207,0)),"Not Found"))</f>
        <v/>
      </c>
      <c r="E2455" s="27" t="str" cm="1">
        <f t="array" ref="E2455">IF(C2455="","",IFERROR(INDEX(STPP!$E$6:$E$4207,MATCH(C2455,STPP!$C$6:$C$4207,0)),"Not Found"))</f>
        <v/>
      </c>
      <c r="F2455" s="27" t="str" cm="1">
        <f t="array" ref="F2455">IF(C2455="","",IFERROR(INDEX(STPP!$F$6:$F$4207,MATCH(C2455,STPP!$C$6:$C$4207,0)),"Not Found"))</f>
        <v/>
      </c>
      <c r="G2455" s="25" t="str">
        <f>IF(表1[[#This Row],[No Seri]]="","",表1[[#This Row],[Deskripsi Barang]]+表1[[#This Row],[Kuantitas]]-表1[[#This Row],[Satuan]])</f>
        <v/>
      </c>
      <c r="H2455" s="28"/>
      <c r="I2455" s="25" t="str">
        <f>IF(表1[[#This Row],[Tgl NPBG]]&gt;表1[[#This Row],[Peminta]],表1[[#This Row],[Tgl NPBG]]-表1[[#This Row],[Peminta]],"")</f>
        <v/>
      </c>
      <c r="J2455" s="31"/>
    </row>
    <row r="2456" s="12" customFormat="1" customHeight="1" spans="2:10">
      <c r="B2456" s="25"/>
      <c r="C2456" s="25"/>
      <c r="D2456" s="26" t="str" cm="1">
        <f t="array" ref="D2456">IF(C2456="","",IFERROR(INDEX(STPP!$D$6:$D$4207,MATCH(C2456,STPP!$C$6:$C$4207,0)),"Not Found"))</f>
        <v/>
      </c>
      <c r="E2456" s="27" t="str" cm="1">
        <f t="array" ref="E2456">IF(C2456="","",IFERROR(INDEX(STPP!$E$6:$E$4207,MATCH(C2456,STPP!$C$6:$C$4207,0)),"Not Found"))</f>
        <v/>
      </c>
      <c r="F2456" s="27" t="str" cm="1">
        <f t="array" ref="F2456">IF(C2456="","",IFERROR(INDEX(STPP!$F$6:$F$4207,MATCH(C2456,STPP!$C$6:$C$4207,0)),"Not Found"))</f>
        <v/>
      </c>
      <c r="G2456" s="25" t="str">
        <f>IF(表1[[#This Row],[No Seri]]="","",表1[[#This Row],[Deskripsi Barang]]+表1[[#This Row],[Kuantitas]]-表1[[#This Row],[Satuan]])</f>
        <v/>
      </c>
      <c r="H2456" s="28"/>
      <c r="I2456" s="25" t="str">
        <f>IF(表1[[#This Row],[Tgl NPBG]]&gt;表1[[#This Row],[Peminta]],表1[[#This Row],[Tgl NPBG]]-表1[[#This Row],[Peminta]],"")</f>
        <v/>
      </c>
      <c r="J2456" s="31"/>
    </row>
    <row r="2457" s="12" customFormat="1" customHeight="1" spans="2:10">
      <c r="B2457" s="25"/>
      <c r="C2457" s="25"/>
      <c r="D2457" s="26" t="str" cm="1">
        <f t="array" ref="D2457">IF(C2457="","",IFERROR(INDEX(STPP!$D$6:$D$4207,MATCH(C2457,STPP!$C$6:$C$4207,0)),"Not Found"))</f>
        <v/>
      </c>
      <c r="E2457" s="27" t="str" cm="1">
        <f t="array" ref="E2457">IF(C2457="","",IFERROR(INDEX(STPP!$E$6:$E$4207,MATCH(C2457,STPP!$C$6:$C$4207,0)),"Not Found"))</f>
        <v/>
      </c>
      <c r="F2457" s="27" t="str" cm="1">
        <f t="array" ref="F2457">IF(C2457="","",IFERROR(INDEX(STPP!$F$6:$F$4207,MATCH(C2457,STPP!$C$6:$C$4207,0)),"Not Found"))</f>
        <v/>
      </c>
      <c r="G2457" s="25" t="str">
        <f>IF(表1[[#This Row],[No Seri]]="","",表1[[#This Row],[Deskripsi Barang]]+表1[[#This Row],[Kuantitas]]-表1[[#This Row],[Satuan]])</f>
        <v/>
      </c>
      <c r="H2457" s="28"/>
      <c r="I2457" s="25" t="str">
        <f>IF(表1[[#This Row],[Tgl NPBG]]&gt;表1[[#This Row],[Peminta]],表1[[#This Row],[Tgl NPBG]]-表1[[#This Row],[Peminta]],"")</f>
        <v/>
      </c>
      <c r="J2457" s="31"/>
    </row>
    <row r="2458" s="12" customFormat="1" customHeight="1" spans="2:10">
      <c r="B2458" s="25"/>
      <c r="C2458" s="25"/>
      <c r="D2458" s="26" t="str" cm="1">
        <f t="array" ref="D2458">IF(C2458="","",IFERROR(INDEX(STPP!$D$6:$D$4207,MATCH(C2458,STPP!$C$6:$C$4207,0)),"Not Found"))</f>
        <v/>
      </c>
      <c r="E2458" s="27" t="str" cm="1">
        <f t="array" ref="E2458">IF(C2458="","",IFERROR(INDEX(STPP!$E$6:$E$4207,MATCH(C2458,STPP!$C$6:$C$4207,0)),"Not Found"))</f>
        <v/>
      </c>
      <c r="F2458" s="27" t="str" cm="1">
        <f t="array" ref="F2458">IF(C2458="","",IFERROR(INDEX(STPP!$F$6:$F$4207,MATCH(C2458,STPP!$C$6:$C$4207,0)),"Not Found"))</f>
        <v/>
      </c>
      <c r="G2458" s="25" t="str">
        <f>IF(表1[[#This Row],[No Seri]]="","",表1[[#This Row],[Deskripsi Barang]]+表1[[#This Row],[Kuantitas]]-表1[[#This Row],[Satuan]])</f>
        <v/>
      </c>
      <c r="H2458" s="28"/>
      <c r="I2458" s="25" t="str">
        <f>IF(表1[[#This Row],[Tgl NPBG]]&gt;表1[[#This Row],[Peminta]],表1[[#This Row],[Tgl NPBG]]-表1[[#This Row],[Peminta]],"")</f>
        <v/>
      </c>
      <c r="J2458" s="31"/>
    </row>
    <row r="2459" s="12" customFormat="1" customHeight="1" spans="2:10">
      <c r="B2459" s="25"/>
      <c r="C2459" s="25"/>
      <c r="D2459" s="26" t="str" cm="1">
        <f t="array" ref="D2459">IF(C2459="","",IFERROR(INDEX(STPP!$D$6:$D$4207,MATCH(C2459,STPP!$C$6:$C$4207,0)),"Not Found"))</f>
        <v/>
      </c>
      <c r="E2459" s="27" t="str" cm="1">
        <f t="array" ref="E2459">IF(C2459="","",IFERROR(INDEX(STPP!$E$6:$E$4207,MATCH(C2459,STPP!$C$6:$C$4207,0)),"Not Found"))</f>
        <v/>
      </c>
      <c r="F2459" s="27" t="str" cm="1">
        <f t="array" ref="F2459">IF(C2459="","",IFERROR(INDEX(STPP!$F$6:$F$4207,MATCH(C2459,STPP!$C$6:$C$4207,0)),"Not Found"))</f>
        <v/>
      </c>
      <c r="G2459" s="25" t="str">
        <f>IF(表1[[#This Row],[No Seri]]="","",表1[[#This Row],[Deskripsi Barang]]+表1[[#This Row],[Kuantitas]]-表1[[#This Row],[Satuan]])</f>
        <v/>
      </c>
      <c r="H2459" s="28"/>
      <c r="I2459" s="25" t="str">
        <f>IF(表1[[#This Row],[Tgl NPBG]]&gt;表1[[#This Row],[Peminta]],表1[[#This Row],[Tgl NPBG]]-表1[[#This Row],[Peminta]],"")</f>
        <v/>
      </c>
      <c r="J2459" s="31"/>
    </row>
    <row r="2460" s="12" customFormat="1" customHeight="1" spans="2:10">
      <c r="B2460" s="25"/>
      <c r="C2460" s="25"/>
      <c r="D2460" s="26" t="str" cm="1">
        <f t="array" ref="D2460">IF(C2460="","",IFERROR(INDEX(STPP!$D$6:$D$4207,MATCH(C2460,STPP!$C$6:$C$4207,0)),"Not Found"))</f>
        <v/>
      </c>
      <c r="E2460" s="27" t="str" cm="1">
        <f t="array" ref="E2460">IF(C2460="","",IFERROR(INDEX(STPP!$E$6:$E$4207,MATCH(C2460,STPP!$C$6:$C$4207,0)),"Not Found"))</f>
        <v/>
      </c>
      <c r="F2460" s="27" t="str" cm="1">
        <f t="array" ref="F2460">IF(C2460="","",IFERROR(INDEX(STPP!$F$6:$F$4207,MATCH(C2460,STPP!$C$6:$C$4207,0)),"Not Found"))</f>
        <v/>
      </c>
      <c r="G2460" s="25" t="str">
        <f>IF(表1[[#This Row],[No Seri]]="","",表1[[#This Row],[Deskripsi Barang]]+表1[[#This Row],[Kuantitas]]-表1[[#This Row],[Satuan]])</f>
        <v/>
      </c>
      <c r="H2460" s="28"/>
      <c r="I2460" s="25" t="str">
        <f>IF(表1[[#This Row],[Tgl NPBG]]&gt;表1[[#This Row],[Peminta]],表1[[#This Row],[Tgl NPBG]]-表1[[#This Row],[Peminta]],"")</f>
        <v/>
      </c>
      <c r="J2460" s="31"/>
    </row>
    <row r="2461" s="12" customFormat="1" customHeight="1" spans="2:10">
      <c r="B2461" s="25"/>
      <c r="C2461" s="25"/>
      <c r="D2461" s="26" t="str" cm="1">
        <f t="array" ref="D2461">IF(C2461="","",IFERROR(INDEX(STPP!$D$6:$D$4207,MATCH(C2461,STPP!$C$6:$C$4207,0)),"Not Found"))</f>
        <v/>
      </c>
      <c r="E2461" s="27" t="str" cm="1">
        <f t="array" ref="E2461">IF(C2461="","",IFERROR(INDEX(STPP!$E$6:$E$4207,MATCH(C2461,STPP!$C$6:$C$4207,0)),"Not Found"))</f>
        <v/>
      </c>
      <c r="F2461" s="27" t="str" cm="1">
        <f t="array" ref="F2461">IF(C2461="","",IFERROR(INDEX(STPP!$F$6:$F$4207,MATCH(C2461,STPP!$C$6:$C$4207,0)),"Not Found"))</f>
        <v/>
      </c>
      <c r="G2461" s="25" t="str">
        <f>IF(表1[[#This Row],[No Seri]]="","",表1[[#This Row],[Deskripsi Barang]]+表1[[#This Row],[Kuantitas]]-表1[[#This Row],[Satuan]])</f>
        <v/>
      </c>
      <c r="H2461" s="28"/>
      <c r="I2461" s="25" t="str">
        <f>IF(表1[[#This Row],[Tgl NPBG]]&gt;表1[[#This Row],[Peminta]],表1[[#This Row],[Tgl NPBG]]-表1[[#This Row],[Peminta]],"")</f>
        <v/>
      </c>
      <c r="J2461" s="31"/>
    </row>
    <row r="2462" s="12" customFormat="1" customHeight="1" spans="2:10">
      <c r="B2462" s="25"/>
      <c r="C2462" s="25"/>
      <c r="D2462" s="26" t="str" cm="1">
        <f t="array" ref="D2462">IF(C2462="","",IFERROR(INDEX(STPP!$D$6:$D$4207,MATCH(C2462,STPP!$C$6:$C$4207,0)),"Not Found"))</f>
        <v/>
      </c>
      <c r="E2462" s="27" t="str" cm="1">
        <f t="array" ref="E2462">IF(C2462="","",IFERROR(INDEX(STPP!$E$6:$E$4207,MATCH(C2462,STPP!$C$6:$C$4207,0)),"Not Found"))</f>
        <v/>
      </c>
      <c r="F2462" s="27" t="str" cm="1">
        <f t="array" ref="F2462">IF(C2462="","",IFERROR(INDEX(STPP!$F$6:$F$4207,MATCH(C2462,STPP!$C$6:$C$4207,0)),"Not Found"))</f>
        <v/>
      </c>
      <c r="G2462" s="25" t="str">
        <f>IF(表1[[#This Row],[No Seri]]="","",表1[[#This Row],[Deskripsi Barang]]+表1[[#This Row],[Kuantitas]]-表1[[#This Row],[Satuan]])</f>
        <v/>
      </c>
      <c r="H2462" s="28"/>
      <c r="I2462" s="25" t="str">
        <f>IF(表1[[#This Row],[Tgl NPBG]]&gt;表1[[#This Row],[Peminta]],表1[[#This Row],[Tgl NPBG]]-表1[[#This Row],[Peminta]],"")</f>
        <v/>
      </c>
      <c r="J2462" s="31"/>
    </row>
    <row r="2463" s="12" customFormat="1" customHeight="1" spans="2:10">
      <c r="B2463" s="25"/>
      <c r="C2463" s="25"/>
      <c r="D2463" s="26" t="str" cm="1">
        <f t="array" ref="D2463">IF(C2463="","",IFERROR(INDEX(STPP!$D$6:$D$4207,MATCH(C2463,STPP!$C$6:$C$4207,0)),"Not Found"))</f>
        <v/>
      </c>
      <c r="E2463" s="27" t="str" cm="1">
        <f t="array" ref="E2463">IF(C2463="","",IFERROR(INDEX(STPP!$E$6:$E$4207,MATCH(C2463,STPP!$C$6:$C$4207,0)),"Not Found"))</f>
        <v/>
      </c>
      <c r="F2463" s="27" t="str" cm="1">
        <f t="array" ref="F2463">IF(C2463="","",IFERROR(INDEX(STPP!$F$6:$F$4207,MATCH(C2463,STPP!$C$6:$C$4207,0)),"Not Found"))</f>
        <v/>
      </c>
      <c r="G2463" s="25" t="str">
        <f>IF(表1[[#This Row],[No Seri]]="","",表1[[#This Row],[Deskripsi Barang]]+表1[[#This Row],[Kuantitas]]-表1[[#This Row],[Satuan]])</f>
        <v/>
      </c>
      <c r="H2463" s="28"/>
      <c r="I2463" s="25" t="str">
        <f>IF(表1[[#This Row],[Tgl NPBG]]&gt;表1[[#This Row],[Peminta]],表1[[#This Row],[Tgl NPBG]]-表1[[#This Row],[Peminta]],"")</f>
        <v/>
      </c>
      <c r="J2463" s="31"/>
    </row>
    <row r="2464" s="12" customFormat="1" customHeight="1" spans="2:10">
      <c r="B2464" s="25"/>
      <c r="C2464" s="25"/>
      <c r="D2464" s="26" t="str" cm="1">
        <f t="array" ref="D2464">IF(C2464="","",IFERROR(INDEX(STPP!$D$6:$D$4207,MATCH(C2464,STPP!$C$6:$C$4207,0)),"Not Found"))</f>
        <v/>
      </c>
      <c r="E2464" s="27" t="str" cm="1">
        <f t="array" ref="E2464">IF(C2464="","",IFERROR(INDEX(STPP!$E$6:$E$4207,MATCH(C2464,STPP!$C$6:$C$4207,0)),"Not Found"))</f>
        <v/>
      </c>
      <c r="F2464" s="27" t="str" cm="1">
        <f t="array" ref="F2464">IF(C2464="","",IFERROR(INDEX(STPP!$F$6:$F$4207,MATCH(C2464,STPP!$C$6:$C$4207,0)),"Not Found"))</f>
        <v/>
      </c>
      <c r="G2464" s="25" t="str">
        <f>IF(表1[[#This Row],[No Seri]]="","",表1[[#This Row],[Deskripsi Barang]]+表1[[#This Row],[Kuantitas]]-表1[[#This Row],[Satuan]])</f>
        <v/>
      </c>
      <c r="H2464" s="28"/>
      <c r="I2464" s="25" t="str">
        <f>IF(表1[[#This Row],[Tgl NPBG]]&gt;表1[[#This Row],[Peminta]],表1[[#This Row],[Tgl NPBG]]-表1[[#This Row],[Peminta]],"")</f>
        <v/>
      </c>
      <c r="J2464" s="31"/>
    </row>
    <row r="2465" s="12" customFormat="1" customHeight="1" spans="2:10">
      <c r="B2465" s="25"/>
      <c r="C2465" s="25"/>
      <c r="D2465" s="26" t="str" cm="1">
        <f t="array" ref="D2465">IF(C2465="","",IFERROR(INDEX(STPP!$D$6:$D$4207,MATCH(C2465,STPP!$C$6:$C$4207,0)),"Not Found"))</f>
        <v/>
      </c>
      <c r="E2465" s="27" t="str" cm="1">
        <f t="array" ref="E2465">IF(C2465="","",IFERROR(INDEX(STPP!$E$6:$E$4207,MATCH(C2465,STPP!$C$6:$C$4207,0)),"Not Found"))</f>
        <v/>
      </c>
      <c r="F2465" s="27" t="str" cm="1">
        <f t="array" ref="F2465">IF(C2465="","",IFERROR(INDEX(STPP!$F$6:$F$4207,MATCH(C2465,STPP!$C$6:$C$4207,0)),"Not Found"))</f>
        <v/>
      </c>
      <c r="G2465" s="25" t="str">
        <f>IF(表1[[#This Row],[No Seri]]="","",表1[[#This Row],[Deskripsi Barang]]+表1[[#This Row],[Kuantitas]]-表1[[#This Row],[Satuan]])</f>
        <v/>
      </c>
      <c r="H2465" s="28"/>
      <c r="I2465" s="25" t="str">
        <f>IF(表1[[#This Row],[Tgl NPBG]]&gt;表1[[#This Row],[Peminta]],表1[[#This Row],[Tgl NPBG]]-表1[[#This Row],[Peminta]],"")</f>
        <v/>
      </c>
      <c r="J2465" s="31"/>
    </row>
    <row r="2466" s="12" customFormat="1" customHeight="1" spans="2:10">
      <c r="B2466" s="25"/>
      <c r="C2466" s="25"/>
      <c r="D2466" s="26" t="str" cm="1">
        <f t="array" ref="D2466">IF(C2466="","",IFERROR(INDEX(STPP!$D$6:$D$4207,MATCH(C2466,STPP!$C$6:$C$4207,0)),"Not Found"))</f>
        <v/>
      </c>
      <c r="E2466" s="27" t="str" cm="1">
        <f t="array" ref="E2466">IF(C2466="","",IFERROR(INDEX(STPP!$E$6:$E$4207,MATCH(C2466,STPP!$C$6:$C$4207,0)),"Not Found"))</f>
        <v/>
      </c>
      <c r="F2466" s="27" t="str" cm="1">
        <f t="array" ref="F2466">IF(C2466="","",IFERROR(INDEX(STPP!$F$6:$F$4207,MATCH(C2466,STPP!$C$6:$C$4207,0)),"Not Found"))</f>
        <v/>
      </c>
      <c r="G2466" s="25" t="str">
        <f>IF(表1[[#This Row],[No Seri]]="","",表1[[#This Row],[Deskripsi Barang]]+表1[[#This Row],[Kuantitas]]-表1[[#This Row],[Satuan]])</f>
        <v/>
      </c>
      <c r="H2466" s="28"/>
      <c r="I2466" s="25" t="str">
        <f>IF(表1[[#This Row],[Tgl NPBG]]&gt;表1[[#This Row],[Peminta]],表1[[#This Row],[Tgl NPBG]]-表1[[#This Row],[Peminta]],"")</f>
        <v/>
      </c>
      <c r="J2466" s="31"/>
    </row>
    <row r="2467" s="12" customFormat="1" customHeight="1" spans="2:10">
      <c r="B2467" s="25"/>
      <c r="C2467" s="25"/>
      <c r="D2467" s="26" t="str" cm="1">
        <f t="array" ref="D2467">IF(C2467="","",IFERROR(INDEX(STPP!$D$6:$D$4207,MATCH(C2467,STPP!$C$6:$C$4207,0)),"Not Found"))</f>
        <v/>
      </c>
      <c r="E2467" s="27" t="str" cm="1">
        <f t="array" ref="E2467">IF(C2467="","",IFERROR(INDEX(STPP!$E$6:$E$4207,MATCH(C2467,STPP!$C$6:$C$4207,0)),"Not Found"))</f>
        <v/>
      </c>
      <c r="F2467" s="27" t="str" cm="1">
        <f t="array" ref="F2467">IF(C2467="","",IFERROR(INDEX(STPP!$F$6:$F$4207,MATCH(C2467,STPP!$C$6:$C$4207,0)),"Not Found"))</f>
        <v/>
      </c>
      <c r="G2467" s="25" t="str">
        <f>IF(表1[[#This Row],[No Seri]]="","",表1[[#This Row],[Deskripsi Barang]]+表1[[#This Row],[Kuantitas]]-表1[[#This Row],[Satuan]])</f>
        <v/>
      </c>
      <c r="H2467" s="28"/>
      <c r="I2467" s="25" t="str">
        <f>IF(表1[[#This Row],[Tgl NPBG]]&gt;表1[[#This Row],[Peminta]],表1[[#This Row],[Tgl NPBG]]-表1[[#This Row],[Peminta]],"")</f>
        <v/>
      </c>
      <c r="J2467" s="31"/>
    </row>
    <row r="2468" s="12" customFormat="1" customHeight="1" spans="2:10">
      <c r="B2468" s="25"/>
      <c r="C2468" s="25"/>
      <c r="D2468" s="26" t="str" cm="1">
        <f t="array" ref="D2468">IF(C2468="","",IFERROR(INDEX(STPP!$D$6:$D$4207,MATCH(C2468,STPP!$C$6:$C$4207,0)),"Not Found"))</f>
        <v/>
      </c>
      <c r="E2468" s="27" t="str" cm="1">
        <f t="array" ref="E2468">IF(C2468="","",IFERROR(INDEX(STPP!$E$6:$E$4207,MATCH(C2468,STPP!$C$6:$C$4207,0)),"Not Found"))</f>
        <v/>
      </c>
      <c r="F2468" s="27" t="str" cm="1">
        <f t="array" ref="F2468">IF(C2468="","",IFERROR(INDEX(STPP!$F$6:$F$4207,MATCH(C2468,STPP!$C$6:$C$4207,0)),"Not Found"))</f>
        <v/>
      </c>
      <c r="G2468" s="25" t="str">
        <f>IF(表1[[#This Row],[No Seri]]="","",表1[[#This Row],[Deskripsi Barang]]+表1[[#This Row],[Kuantitas]]-表1[[#This Row],[Satuan]])</f>
        <v/>
      </c>
      <c r="H2468" s="28"/>
      <c r="I2468" s="25" t="str">
        <f>IF(表1[[#This Row],[Tgl NPBG]]&gt;表1[[#This Row],[Peminta]],表1[[#This Row],[Tgl NPBG]]-表1[[#This Row],[Peminta]],"")</f>
        <v/>
      </c>
      <c r="J2468" s="31"/>
    </row>
    <row r="2469" s="12" customFormat="1" customHeight="1" spans="2:10">
      <c r="B2469" s="25"/>
      <c r="C2469" s="25"/>
      <c r="D2469" s="26" t="str" cm="1">
        <f t="array" ref="D2469">IF(C2469="","",IFERROR(INDEX(STPP!$D$6:$D$4207,MATCH(C2469,STPP!$C$6:$C$4207,0)),"Not Found"))</f>
        <v/>
      </c>
      <c r="E2469" s="27" t="str" cm="1">
        <f t="array" ref="E2469">IF(C2469="","",IFERROR(INDEX(STPP!$E$6:$E$4207,MATCH(C2469,STPP!$C$6:$C$4207,0)),"Not Found"))</f>
        <v/>
      </c>
      <c r="F2469" s="27" t="str" cm="1">
        <f t="array" ref="F2469">IF(C2469="","",IFERROR(INDEX(STPP!$F$6:$F$4207,MATCH(C2469,STPP!$C$6:$C$4207,0)),"Not Found"))</f>
        <v/>
      </c>
      <c r="G2469" s="25" t="str">
        <f>IF(表1[[#This Row],[No Seri]]="","",表1[[#This Row],[Deskripsi Barang]]+表1[[#This Row],[Kuantitas]]-表1[[#This Row],[Satuan]])</f>
        <v/>
      </c>
      <c r="H2469" s="28"/>
      <c r="I2469" s="25" t="str">
        <f>IF(表1[[#This Row],[Tgl NPBG]]&gt;表1[[#This Row],[Peminta]],表1[[#This Row],[Tgl NPBG]]-表1[[#This Row],[Peminta]],"")</f>
        <v/>
      </c>
      <c r="J2469" s="31"/>
    </row>
    <row r="2470" s="12" customFormat="1" customHeight="1" spans="2:10">
      <c r="B2470" s="25"/>
      <c r="C2470" s="25"/>
      <c r="D2470" s="26" t="str" cm="1">
        <f t="array" ref="D2470">IF(C2470="","",IFERROR(INDEX(STPP!$D$6:$D$4207,MATCH(C2470,STPP!$C$6:$C$4207,0)),"Not Found"))</f>
        <v/>
      </c>
      <c r="E2470" s="27" t="str" cm="1">
        <f t="array" ref="E2470">IF(C2470="","",IFERROR(INDEX(STPP!$E$6:$E$4207,MATCH(C2470,STPP!$C$6:$C$4207,0)),"Not Found"))</f>
        <v/>
      </c>
      <c r="F2470" s="27" t="str" cm="1">
        <f t="array" ref="F2470">IF(C2470="","",IFERROR(INDEX(STPP!$F$6:$F$4207,MATCH(C2470,STPP!$C$6:$C$4207,0)),"Not Found"))</f>
        <v/>
      </c>
      <c r="G2470" s="25" t="str">
        <f>IF(表1[[#This Row],[No Seri]]="","",表1[[#This Row],[Deskripsi Barang]]+表1[[#This Row],[Kuantitas]]-表1[[#This Row],[Satuan]])</f>
        <v/>
      </c>
      <c r="H2470" s="28"/>
      <c r="I2470" s="25" t="str">
        <f>IF(表1[[#This Row],[Tgl NPBG]]&gt;表1[[#This Row],[Peminta]],表1[[#This Row],[Tgl NPBG]]-表1[[#This Row],[Peminta]],"")</f>
        <v/>
      </c>
      <c r="J2470" s="31"/>
    </row>
    <row r="2471" s="12" customFormat="1" customHeight="1" spans="2:10">
      <c r="B2471" s="25"/>
      <c r="C2471" s="25"/>
      <c r="D2471" s="26" t="str" cm="1">
        <f t="array" ref="D2471">IF(C2471="","",IFERROR(INDEX(STPP!$D$6:$D$4207,MATCH(C2471,STPP!$C$6:$C$4207,0)),"Not Found"))</f>
        <v/>
      </c>
      <c r="E2471" s="27" t="str" cm="1">
        <f t="array" ref="E2471">IF(C2471="","",IFERROR(INDEX(STPP!$E$6:$E$4207,MATCH(C2471,STPP!$C$6:$C$4207,0)),"Not Found"))</f>
        <v/>
      </c>
      <c r="F2471" s="27" t="str" cm="1">
        <f t="array" ref="F2471">IF(C2471="","",IFERROR(INDEX(STPP!$F$6:$F$4207,MATCH(C2471,STPP!$C$6:$C$4207,0)),"Not Found"))</f>
        <v/>
      </c>
      <c r="G2471" s="25" t="str">
        <f>IF(表1[[#This Row],[No Seri]]="","",表1[[#This Row],[Deskripsi Barang]]+表1[[#This Row],[Kuantitas]]-表1[[#This Row],[Satuan]])</f>
        <v/>
      </c>
      <c r="H2471" s="28"/>
      <c r="I2471" s="25" t="str">
        <f>IF(表1[[#This Row],[Tgl NPBG]]&gt;表1[[#This Row],[Peminta]],表1[[#This Row],[Tgl NPBG]]-表1[[#This Row],[Peminta]],"")</f>
        <v/>
      </c>
      <c r="J2471" s="31"/>
    </row>
    <row r="2472" s="12" customFormat="1" customHeight="1" spans="2:10">
      <c r="B2472" s="25"/>
      <c r="C2472" s="25"/>
      <c r="D2472" s="26" t="str" cm="1">
        <f t="array" ref="D2472">IF(C2472="","",IFERROR(INDEX(STPP!$D$6:$D$4207,MATCH(C2472,STPP!$C$6:$C$4207,0)),"Not Found"))</f>
        <v/>
      </c>
      <c r="E2472" s="27" t="str" cm="1">
        <f t="array" ref="E2472">IF(C2472="","",IFERROR(INDEX(STPP!$E$6:$E$4207,MATCH(C2472,STPP!$C$6:$C$4207,0)),"Not Found"))</f>
        <v/>
      </c>
      <c r="F2472" s="27" t="str" cm="1">
        <f t="array" ref="F2472">IF(C2472="","",IFERROR(INDEX(STPP!$F$6:$F$4207,MATCH(C2472,STPP!$C$6:$C$4207,0)),"Not Found"))</f>
        <v/>
      </c>
      <c r="G2472" s="25" t="str">
        <f>IF(表1[[#This Row],[No Seri]]="","",表1[[#This Row],[Deskripsi Barang]]+表1[[#This Row],[Kuantitas]]-表1[[#This Row],[Satuan]])</f>
        <v/>
      </c>
      <c r="H2472" s="28"/>
      <c r="I2472" s="25" t="str">
        <f>IF(表1[[#This Row],[Tgl NPBG]]&gt;表1[[#This Row],[Peminta]],表1[[#This Row],[Tgl NPBG]]-表1[[#This Row],[Peminta]],"")</f>
        <v/>
      </c>
      <c r="J2472" s="31"/>
    </row>
    <row r="2473" s="12" customFormat="1" customHeight="1" spans="2:10">
      <c r="B2473" s="25"/>
      <c r="C2473" s="25"/>
      <c r="D2473" s="26" t="str" cm="1">
        <f t="array" ref="D2473">IF(C2473="","",IFERROR(INDEX(STPP!$D$6:$D$4207,MATCH(C2473,STPP!$C$6:$C$4207,0)),"Not Found"))</f>
        <v/>
      </c>
      <c r="E2473" s="27" t="str" cm="1">
        <f t="array" ref="E2473">IF(C2473="","",IFERROR(INDEX(STPP!$E$6:$E$4207,MATCH(C2473,STPP!$C$6:$C$4207,0)),"Not Found"))</f>
        <v/>
      </c>
      <c r="F2473" s="27" t="str" cm="1">
        <f t="array" ref="F2473">IF(C2473="","",IFERROR(INDEX(STPP!$F$6:$F$4207,MATCH(C2473,STPP!$C$6:$C$4207,0)),"Not Found"))</f>
        <v/>
      </c>
      <c r="G2473" s="25" t="str">
        <f>IF(表1[[#This Row],[No Seri]]="","",表1[[#This Row],[Deskripsi Barang]]+表1[[#This Row],[Kuantitas]]-表1[[#This Row],[Satuan]])</f>
        <v/>
      </c>
      <c r="H2473" s="28"/>
      <c r="I2473" s="25" t="str">
        <f>IF(表1[[#This Row],[Tgl NPBG]]&gt;表1[[#This Row],[Peminta]],表1[[#This Row],[Tgl NPBG]]-表1[[#This Row],[Peminta]],"")</f>
        <v/>
      </c>
      <c r="J2473" s="31"/>
    </row>
    <row r="2474" s="12" customFormat="1" customHeight="1" spans="2:10">
      <c r="B2474" s="25"/>
      <c r="C2474" s="25"/>
      <c r="D2474" s="26" t="str" cm="1">
        <f t="array" ref="D2474">IF(C2474="","",IFERROR(INDEX(STPP!$D$6:$D$4207,MATCH(C2474,STPP!$C$6:$C$4207,0)),"Not Found"))</f>
        <v/>
      </c>
      <c r="E2474" s="27" t="str" cm="1">
        <f t="array" ref="E2474">IF(C2474="","",IFERROR(INDEX(STPP!$E$6:$E$4207,MATCH(C2474,STPP!$C$6:$C$4207,0)),"Not Found"))</f>
        <v/>
      </c>
      <c r="F2474" s="27" t="str" cm="1">
        <f t="array" ref="F2474">IF(C2474="","",IFERROR(INDEX(STPP!$F$6:$F$4207,MATCH(C2474,STPP!$C$6:$C$4207,0)),"Not Found"))</f>
        <v/>
      </c>
      <c r="G2474" s="25" t="str">
        <f>IF(表1[[#This Row],[No Seri]]="","",表1[[#This Row],[Deskripsi Barang]]+表1[[#This Row],[Kuantitas]]-表1[[#This Row],[Satuan]])</f>
        <v/>
      </c>
      <c r="H2474" s="28"/>
      <c r="I2474" s="25" t="str">
        <f>IF(表1[[#This Row],[Tgl NPBG]]&gt;表1[[#This Row],[Peminta]],表1[[#This Row],[Tgl NPBG]]-表1[[#This Row],[Peminta]],"")</f>
        <v/>
      </c>
      <c r="J2474" s="31"/>
    </row>
    <row r="2475" s="12" customFormat="1" customHeight="1" spans="2:10">
      <c r="B2475" s="25"/>
      <c r="C2475" s="25"/>
      <c r="D2475" s="26" t="str" cm="1">
        <f t="array" ref="D2475">IF(C2475="","",IFERROR(INDEX(STPP!$D$6:$D$4207,MATCH(C2475,STPP!$C$6:$C$4207,0)),"Not Found"))</f>
        <v/>
      </c>
      <c r="E2475" s="27" t="str" cm="1">
        <f t="array" ref="E2475">IF(C2475="","",IFERROR(INDEX(STPP!$E$6:$E$4207,MATCH(C2475,STPP!$C$6:$C$4207,0)),"Not Found"))</f>
        <v/>
      </c>
      <c r="F2475" s="27" t="str" cm="1">
        <f t="array" ref="F2475">IF(C2475="","",IFERROR(INDEX(STPP!$F$6:$F$4207,MATCH(C2475,STPP!$C$6:$C$4207,0)),"Not Found"))</f>
        <v/>
      </c>
      <c r="G2475" s="25" t="str">
        <f>IF(表1[[#This Row],[No Seri]]="","",表1[[#This Row],[Deskripsi Barang]]+表1[[#This Row],[Kuantitas]]-表1[[#This Row],[Satuan]])</f>
        <v/>
      </c>
      <c r="H2475" s="28"/>
      <c r="I2475" s="25" t="str">
        <f>IF(表1[[#This Row],[Tgl NPBG]]&gt;表1[[#This Row],[Peminta]],表1[[#This Row],[Tgl NPBG]]-表1[[#This Row],[Peminta]],"")</f>
        <v/>
      </c>
      <c r="J2475" s="31"/>
    </row>
    <row r="2476" s="12" customFormat="1" customHeight="1" spans="2:10">
      <c r="B2476" s="25"/>
      <c r="C2476" s="25"/>
      <c r="D2476" s="26" t="str" cm="1">
        <f t="array" ref="D2476">IF(C2476="","",IFERROR(INDEX(STPP!$D$6:$D$4207,MATCH(C2476,STPP!$C$6:$C$4207,0)),"Not Found"))</f>
        <v/>
      </c>
      <c r="E2476" s="27" t="str" cm="1">
        <f t="array" ref="E2476">IF(C2476="","",IFERROR(INDEX(STPP!$E$6:$E$4207,MATCH(C2476,STPP!$C$6:$C$4207,0)),"Not Found"))</f>
        <v/>
      </c>
      <c r="F2476" s="27" t="str" cm="1">
        <f t="array" ref="F2476">IF(C2476="","",IFERROR(INDEX(STPP!$F$6:$F$4207,MATCH(C2476,STPP!$C$6:$C$4207,0)),"Not Found"))</f>
        <v/>
      </c>
      <c r="G2476" s="25" t="str">
        <f>IF(表1[[#This Row],[No Seri]]="","",表1[[#This Row],[Deskripsi Barang]]+表1[[#This Row],[Kuantitas]]-表1[[#This Row],[Satuan]])</f>
        <v/>
      </c>
      <c r="H2476" s="28"/>
      <c r="I2476" s="25" t="str">
        <f>IF(表1[[#This Row],[Tgl NPBG]]&gt;表1[[#This Row],[Peminta]],表1[[#This Row],[Tgl NPBG]]-表1[[#This Row],[Peminta]],"")</f>
        <v/>
      </c>
      <c r="J2476" s="31"/>
    </row>
    <row r="2477" s="12" customFormat="1" customHeight="1" spans="2:10">
      <c r="B2477" s="25"/>
      <c r="C2477" s="25"/>
      <c r="D2477" s="26" t="str" cm="1">
        <f t="array" ref="D2477">IF(C2477="","",IFERROR(INDEX(STPP!$D$6:$D$4207,MATCH(C2477,STPP!$C$6:$C$4207,0)),"Not Found"))</f>
        <v/>
      </c>
      <c r="E2477" s="27" t="str" cm="1">
        <f t="array" ref="E2477">IF(C2477="","",IFERROR(INDEX(STPP!$E$6:$E$4207,MATCH(C2477,STPP!$C$6:$C$4207,0)),"Not Found"))</f>
        <v/>
      </c>
      <c r="F2477" s="27" t="str" cm="1">
        <f t="array" ref="F2477">IF(C2477="","",IFERROR(INDEX(STPP!$F$6:$F$4207,MATCH(C2477,STPP!$C$6:$C$4207,0)),"Not Found"))</f>
        <v/>
      </c>
      <c r="G2477" s="25" t="str">
        <f>IF(表1[[#This Row],[No Seri]]="","",表1[[#This Row],[Deskripsi Barang]]+表1[[#This Row],[Kuantitas]]-表1[[#This Row],[Satuan]])</f>
        <v/>
      </c>
      <c r="H2477" s="28"/>
      <c r="I2477" s="25" t="str">
        <f>IF(表1[[#This Row],[Tgl NPBG]]&gt;表1[[#This Row],[Peminta]],表1[[#This Row],[Tgl NPBG]]-表1[[#This Row],[Peminta]],"")</f>
        <v/>
      </c>
      <c r="J2477" s="31"/>
    </row>
    <row r="2478" s="12" customFormat="1" customHeight="1" spans="2:10">
      <c r="B2478" s="25"/>
      <c r="C2478" s="25"/>
      <c r="D2478" s="26" t="str" cm="1">
        <f t="array" ref="D2478">IF(C2478="","",IFERROR(INDEX(STPP!$D$6:$D$4207,MATCH(C2478,STPP!$C$6:$C$4207,0)),"Not Found"))</f>
        <v/>
      </c>
      <c r="E2478" s="27" t="str" cm="1">
        <f t="array" ref="E2478">IF(C2478="","",IFERROR(INDEX(STPP!$E$6:$E$4207,MATCH(C2478,STPP!$C$6:$C$4207,0)),"Not Found"))</f>
        <v/>
      </c>
      <c r="F2478" s="27" t="str" cm="1">
        <f t="array" ref="F2478">IF(C2478="","",IFERROR(INDEX(STPP!$F$6:$F$4207,MATCH(C2478,STPP!$C$6:$C$4207,0)),"Not Found"))</f>
        <v/>
      </c>
      <c r="G2478" s="25" t="str">
        <f>IF(表1[[#This Row],[No Seri]]="","",表1[[#This Row],[Deskripsi Barang]]+表1[[#This Row],[Kuantitas]]-表1[[#This Row],[Satuan]])</f>
        <v/>
      </c>
      <c r="H2478" s="28"/>
      <c r="I2478" s="25" t="str">
        <f>IF(表1[[#This Row],[Tgl NPBG]]&gt;表1[[#This Row],[Peminta]],表1[[#This Row],[Tgl NPBG]]-表1[[#This Row],[Peminta]],"")</f>
        <v/>
      </c>
      <c r="J2478" s="31"/>
    </row>
    <row r="2479" s="12" customFormat="1" customHeight="1" spans="2:10">
      <c r="B2479" s="25"/>
      <c r="C2479" s="25"/>
      <c r="D2479" s="26" t="str" cm="1">
        <f t="array" ref="D2479">IF(C2479="","",IFERROR(INDEX(STPP!$D$6:$D$4207,MATCH(C2479,STPP!$C$6:$C$4207,0)),"Not Found"))</f>
        <v/>
      </c>
      <c r="E2479" s="27" t="str" cm="1">
        <f t="array" ref="E2479">IF(C2479="","",IFERROR(INDEX(STPP!$E$6:$E$4207,MATCH(C2479,STPP!$C$6:$C$4207,0)),"Not Found"))</f>
        <v/>
      </c>
      <c r="F2479" s="27" t="str" cm="1">
        <f t="array" ref="F2479">IF(C2479="","",IFERROR(INDEX(STPP!$F$6:$F$4207,MATCH(C2479,STPP!$C$6:$C$4207,0)),"Not Found"))</f>
        <v/>
      </c>
      <c r="G2479" s="25" t="str">
        <f>IF(表1[[#This Row],[No Seri]]="","",表1[[#This Row],[Deskripsi Barang]]+表1[[#This Row],[Kuantitas]]-表1[[#This Row],[Satuan]])</f>
        <v/>
      </c>
      <c r="H2479" s="28"/>
      <c r="I2479" s="25" t="str">
        <f>IF(表1[[#This Row],[Tgl NPBG]]&gt;表1[[#This Row],[Peminta]],表1[[#This Row],[Tgl NPBG]]-表1[[#This Row],[Peminta]],"")</f>
        <v/>
      </c>
      <c r="J2479" s="31"/>
    </row>
    <row r="2480" s="12" customFormat="1" customHeight="1" spans="2:10">
      <c r="B2480" s="25"/>
      <c r="C2480" s="25"/>
      <c r="D2480" s="26" t="str" cm="1">
        <f t="array" ref="D2480">IF(C2480="","",IFERROR(INDEX(STPP!$D$6:$D$4207,MATCH(C2480,STPP!$C$6:$C$4207,0)),"Not Found"))</f>
        <v/>
      </c>
      <c r="E2480" s="27" t="str" cm="1">
        <f t="array" ref="E2480">IF(C2480="","",IFERROR(INDEX(STPP!$E$6:$E$4207,MATCH(C2480,STPP!$C$6:$C$4207,0)),"Not Found"))</f>
        <v/>
      </c>
      <c r="F2480" s="27" t="str" cm="1">
        <f t="array" ref="F2480">IF(C2480="","",IFERROR(INDEX(STPP!$F$6:$F$4207,MATCH(C2480,STPP!$C$6:$C$4207,0)),"Not Found"))</f>
        <v/>
      </c>
      <c r="G2480" s="25" t="str">
        <f>IF(表1[[#This Row],[No Seri]]="","",表1[[#This Row],[Deskripsi Barang]]+表1[[#This Row],[Kuantitas]]-表1[[#This Row],[Satuan]])</f>
        <v/>
      </c>
      <c r="H2480" s="28"/>
      <c r="I2480" s="25" t="str">
        <f>IF(表1[[#This Row],[Tgl NPBG]]&gt;表1[[#This Row],[Peminta]],表1[[#This Row],[Tgl NPBG]]-表1[[#This Row],[Peminta]],"")</f>
        <v/>
      </c>
      <c r="J2480" s="31"/>
    </row>
    <row r="2481" s="12" customFormat="1" customHeight="1" spans="2:10">
      <c r="B2481" s="25"/>
      <c r="C2481" s="25"/>
      <c r="D2481" s="26" t="str" cm="1">
        <f t="array" ref="D2481">IF(C2481="","",IFERROR(INDEX(STPP!$D$6:$D$4207,MATCH(C2481,STPP!$C$6:$C$4207,0)),"Not Found"))</f>
        <v/>
      </c>
      <c r="E2481" s="27" t="str" cm="1">
        <f t="array" ref="E2481">IF(C2481="","",IFERROR(INDEX(STPP!$E$6:$E$4207,MATCH(C2481,STPP!$C$6:$C$4207,0)),"Not Found"))</f>
        <v/>
      </c>
      <c r="F2481" s="27" t="str" cm="1">
        <f t="array" ref="F2481">IF(C2481="","",IFERROR(INDEX(STPP!$F$6:$F$4207,MATCH(C2481,STPP!$C$6:$C$4207,0)),"Not Found"))</f>
        <v/>
      </c>
      <c r="G2481" s="25" t="str">
        <f>IF(表1[[#This Row],[No Seri]]="","",表1[[#This Row],[Deskripsi Barang]]+表1[[#This Row],[Kuantitas]]-表1[[#This Row],[Satuan]])</f>
        <v/>
      </c>
      <c r="H2481" s="28"/>
      <c r="I2481" s="25" t="str">
        <f>IF(表1[[#This Row],[Tgl NPBG]]&gt;表1[[#This Row],[Peminta]],表1[[#This Row],[Tgl NPBG]]-表1[[#This Row],[Peminta]],"")</f>
        <v/>
      </c>
      <c r="J2481" s="31"/>
    </row>
    <row r="2482" s="12" customFormat="1" customHeight="1" spans="2:10">
      <c r="B2482" s="25"/>
      <c r="C2482" s="25"/>
      <c r="D2482" s="26" t="str" cm="1">
        <f t="array" ref="D2482">IF(C2482="","",IFERROR(INDEX(STPP!$D$6:$D$4207,MATCH(C2482,STPP!$C$6:$C$4207,0)),"Not Found"))</f>
        <v/>
      </c>
      <c r="E2482" s="27" t="str" cm="1">
        <f t="array" ref="E2482">IF(C2482="","",IFERROR(INDEX(STPP!$E$6:$E$4207,MATCH(C2482,STPP!$C$6:$C$4207,0)),"Not Found"))</f>
        <v/>
      </c>
      <c r="F2482" s="27" t="str" cm="1">
        <f t="array" ref="F2482">IF(C2482="","",IFERROR(INDEX(STPP!$F$6:$F$4207,MATCH(C2482,STPP!$C$6:$C$4207,0)),"Not Found"))</f>
        <v/>
      </c>
      <c r="G2482" s="25" t="str">
        <f>IF(表1[[#This Row],[No Seri]]="","",表1[[#This Row],[Deskripsi Barang]]+表1[[#This Row],[Kuantitas]]-表1[[#This Row],[Satuan]])</f>
        <v/>
      </c>
      <c r="H2482" s="28"/>
      <c r="I2482" s="25" t="str">
        <f>IF(表1[[#This Row],[Tgl NPBG]]&gt;表1[[#This Row],[Peminta]],表1[[#This Row],[Tgl NPBG]]-表1[[#This Row],[Peminta]],"")</f>
        <v/>
      </c>
      <c r="J2482" s="31"/>
    </row>
    <row r="2483" s="12" customFormat="1" customHeight="1" spans="2:10">
      <c r="B2483" s="25"/>
      <c r="C2483" s="25"/>
      <c r="D2483" s="26" t="str" cm="1">
        <f t="array" ref="D2483">IF(C2483="","",IFERROR(INDEX(STPP!$D$6:$D$4207,MATCH(C2483,STPP!$C$6:$C$4207,0)),"Not Found"))</f>
        <v/>
      </c>
      <c r="E2483" s="27" t="str" cm="1">
        <f t="array" ref="E2483">IF(C2483="","",IFERROR(INDEX(STPP!$E$6:$E$4207,MATCH(C2483,STPP!$C$6:$C$4207,0)),"Not Found"))</f>
        <v/>
      </c>
      <c r="F2483" s="27" t="str" cm="1">
        <f t="array" ref="F2483">IF(C2483="","",IFERROR(INDEX(STPP!$F$6:$F$4207,MATCH(C2483,STPP!$C$6:$C$4207,0)),"Not Found"))</f>
        <v/>
      </c>
      <c r="G2483" s="25" t="str">
        <f>IF(表1[[#This Row],[No Seri]]="","",表1[[#This Row],[Deskripsi Barang]]+表1[[#This Row],[Kuantitas]]-表1[[#This Row],[Satuan]])</f>
        <v/>
      </c>
      <c r="H2483" s="28"/>
      <c r="I2483" s="25" t="str">
        <f>IF(表1[[#This Row],[Tgl NPBG]]&gt;表1[[#This Row],[Peminta]],表1[[#This Row],[Tgl NPBG]]-表1[[#This Row],[Peminta]],"")</f>
        <v/>
      </c>
      <c r="J2483" s="31"/>
    </row>
    <row r="2484" s="12" customFormat="1" customHeight="1" spans="2:10">
      <c r="B2484" s="25"/>
      <c r="C2484" s="25"/>
      <c r="D2484" s="26" t="str" cm="1">
        <f t="array" ref="D2484">IF(C2484="","",IFERROR(INDEX(STPP!$D$6:$D$4207,MATCH(C2484,STPP!$C$6:$C$4207,0)),"Not Found"))</f>
        <v/>
      </c>
      <c r="E2484" s="27" t="str" cm="1">
        <f t="array" ref="E2484">IF(C2484="","",IFERROR(INDEX(STPP!$E$6:$E$4207,MATCH(C2484,STPP!$C$6:$C$4207,0)),"Not Found"))</f>
        <v/>
      </c>
      <c r="F2484" s="27" t="str" cm="1">
        <f t="array" ref="F2484">IF(C2484="","",IFERROR(INDEX(STPP!$F$6:$F$4207,MATCH(C2484,STPP!$C$6:$C$4207,0)),"Not Found"))</f>
        <v/>
      </c>
      <c r="G2484" s="25" t="str">
        <f>IF(表1[[#This Row],[No Seri]]="","",表1[[#This Row],[Deskripsi Barang]]+表1[[#This Row],[Kuantitas]]-表1[[#This Row],[Satuan]])</f>
        <v/>
      </c>
      <c r="H2484" s="28"/>
      <c r="I2484" s="25" t="str">
        <f>IF(表1[[#This Row],[Tgl NPBG]]&gt;表1[[#This Row],[Peminta]],表1[[#This Row],[Tgl NPBG]]-表1[[#This Row],[Peminta]],"")</f>
        <v/>
      </c>
      <c r="J2484" s="31"/>
    </row>
    <row r="2485" s="12" customFormat="1" customHeight="1" spans="2:10">
      <c r="B2485" s="25"/>
      <c r="C2485" s="25"/>
      <c r="D2485" s="26" t="str" cm="1">
        <f t="array" ref="D2485">IF(C2485="","",IFERROR(INDEX(STPP!$D$6:$D$4207,MATCH(C2485,STPP!$C$6:$C$4207,0)),"Not Found"))</f>
        <v/>
      </c>
      <c r="E2485" s="27" t="str" cm="1">
        <f t="array" ref="E2485">IF(C2485="","",IFERROR(INDEX(STPP!$E$6:$E$4207,MATCH(C2485,STPP!$C$6:$C$4207,0)),"Not Found"))</f>
        <v/>
      </c>
      <c r="F2485" s="27" t="str" cm="1">
        <f t="array" ref="F2485">IF(C2485="","",IFERROR(INDEX(STPP!$F$6:$F$4207,MATCH(C2485,STPP!$C$6:$C$4207,0)),"Not Found"))</f>
        <v/>
      </c>
      <c r="G2485" s="25" t="str">
        <f>IF(表1[[#This Row],[No Seri]]="","",表1[[#This Row],[Deskripsi Barang]]+表1[[#This Row],[Kuantitas]]-表1[[#This Row],[Satuan]])</f>
        <v/>
      </c>
      <c r="H2485" s="28"/>
      <c r="I2485" s="25" t="str">
        <f>IF(表1[[#This Row],[Tgl NPBG]]&gt;表1[[#This Row],[Peminta]],表1[[#This Row],[Tgl NPBG]]-表1[[#This Row],[Peminta]],"")</f>
        <v/>
      </c>
      <c r="J2485" s="31"/>
    </row>
    <row r="2486" s="12" customFormat="1" customHeight="1" spans="2:10">
      <c r="B2486" s="25"/>
      <c r="C2486" s="25"/>
      <c r="D2486" s="26" t="str" cm="1">
        <f t="array" ref="D2486">IF(C2486="","",IFERROR(INDEX(STPP!$D$6:$D$4207,MATCH(C2486,STPP!$C$6:$C$4207,0)),"Not Found"))</f>
        <v/>
      </c>
      <c r="E2486" s="27" t="str" cm="1">
        <f t="array" ref="E2486">IF(C2486="","",IFERROR(INDEX(STPP!$E$6:$E$4207,MATCH(C2486,STPP!$C$6:$C$4207,0)),"Not Found"))</f>
        <v/>
      </c>
      <c r="F2486" s="27" t="str" cm="1">
        <f t="array" ref="F2486">IF(C2486="","",IFERROR(INDEX(STPP!$F$6:$F$4207,MATCH(C2486,STPP!$C$6:$C$4207,0)),"Not Found"))</f>
        <v/>
      </c>
      <c r="G2486" s="25" t="str">
        <f>IF(表1[[#This Row],[No Seri]]="","",表1[[#This Row],[Deskripsi Barang]]+表1[[#This Row],[Kuantitas]]-表1[[#This Row],[Satuan]])</f>
        <v/>
      </c>
      <c r="H2486" s="28"/>
      <c r="I2486" s="25" t="str">
        <f>IF(表1[[#This Row],[Tgl NPBG]]&gt;表1[[#This Row],[Peminta]],表1[[#This Row],[Tgl NPBG]]-表1[[#This Row],[Peminta]],"")</f>
        <v/>
      </c>
      <c r="J2486" s="31"/>
    </row>
    <row r="2487" s="12" customFormat="1" customHeight="1" spans="2:10">
      <c r="B2487" s="25"/>
      <c r="C2487" s="25"/>
      <c r="D2487" s="26" t="str" cm="1">
        <f t="array" ref="D2487">IF(C2487="","",IFERROR(INDEX(STPP!$D$6:$D$4207,MATCH(C2487,STPP!$C$6:$C$4207,0)),"Not Found"))</f>
        <v/>
      </c>
      <c r="E2487" s="27" t="str" cm="1">
        <f t="array" ref="E2487">IF(C2487="","",IFERROR(INDEX(STPP!$E$6:$E$4207,MATCH(C2487,STPP!$C$6:$C$4207,0)),"Not Found"))</f>
        <v/>
      </c>
      <c r="F2487" s="27" t="str" cm="1">
        <f t="array" ref="F2487">IF(C2487="","",IFERROR(INDEX(STPP!$F$6:$F$4207,MATCH(C2487,STPP!$C$6:$C$4207,0)),"Not Found"))</f>
        <v/>
      </c>
      <c r="G2487" s="25" t="str">
        <f>IF(表1[[#This Row],[No Seri]]="","",表1[[#This Row],[Deskripsi Barang]]+表1[[#This Row],[Kuantitas]]-表1[[#This Row],[Satuan]])</f>
        <v/>
      </c>
      <c r="H2487" s="28"/>
      <c r="I2487" s="25" t="str">
        <f>IF(表1[[#This Row],[Tgl NPBG]]&gt;表1[[#This Row],[Peminta]],表1[[#This Row],[Tgl NPBG]]-表1[[#This Row],[Peminta]],"")</f>
        <v/>
      </c>
      <c r="J2487" s="31"/>
    </row>
    <row r="2488" s="12" customFormat="1" customHeight="1" spans="2:10">
      <c r="B2488" s="25"/>
      <c r="C2488" s="25"/>
      <c r="D2488" s="26" t="str" cm="1">
        <f t="array" ref="D2488">IF(C2488="","",IFERROR(INDEX(STPP!$D$6:$D$4207,MATCH(C2488,STPP!$C$6:$C$4207,0)),"Not Found"))</f>
        <v/>
      </c>
      <c r="E2488" s="27" t="str" cm="1">
        <f t="array" ref="E2488">IF(C2488="","",IFERROR(INDEX(STPP!$E$6:$E$4207,MATCH(C2488,STPP!$C$6:$C$4207,0)),"Not Found"))</f>
        <v/>
      </c>
      <c r="F2488" s="27" t="str" cm="1">
        <f t="array" ref="F2488">IF(C2488="","",IFERROR(INDEX(STPP!$F$6:$F$4207,MATCH(C2488,STPP!$C$6:$C$4207,0)),"Not Found"))</f>
        <v/>
      </c>
      <c r="G2488" s="25" t="str">
        <f>IF(表1[[#This Row],[No Seri]]="","",表1[[#This Row],[Deskripsi Barang]]+表1[[#This Row],[Kuantitas]]-表1[[#This Row],[Satuan]])</f>
        <v/>
      </c>
      <c r="H2488" s="28"/>
      <c r="I2488" s="25" t="str">
        <f>IF(表1[[#This Row],[Tgl NPBG]]&gt;表1[[#This Row],[Peminta]],表1[[#This Row],[Tgl NPBG]]-表1[[#This Row],[Peminta]],"")</f>
        <v/>
      </c>
      <c r="J2488" s="31"/>
    </row>
    <row r="2489" s="12" customFormat="1" customHeight="1" spans="2:10">
      <c r="B2489" s="25"/>
      <c r="C2489" s="25"/>
      <c r="D2489" s="26" t="str" cm="1">
        <f t="array" ref="D2489">IF(C2489="","",IFERROR(INDEX(STPP!$D$6:$D$4207,MATCH(C2489,STPP!$C$6:$C$4207,0)),"Not Found"))</f>
        <v/>
      </c>
      <c r="E2489" s="27" t="str" cm="1">
        <f t="array" ref="E2489">IF(C2489="","",IFERROR(INDEX(STPP!$E$6:$E$4207,MATCH(C2489,STPP!$C$6:$C$4207,0)),"Not Found"))</f>
        <v/>
      </c>
      <c r="F2489" s="27" t="str" cm="1">
        <f t="array" ref="F2489">IF(C2489="","",IFERROR(INDEX(STPP!$F$6:$F$4207,MATCH(C2489,STPP!$C$6:$C$4207,0)),"Not Found"))</f>
        <v/>
      </c>
      <c r="G2489" s="25" t="str">
        <f>IF(表1[[#This Row],[No Seri]]="","",表1[[#This Row],[Deskripsi Barang]]+表1[[#This Row],[Kuantitas]]-表1[[#This Row],[Satuan]])</f>
        <v/>
      </c>
      <c r="H2489" s="28"/>
      <c r="I2489" s="25" t="str">
        <f>IF(表1[[#This Row],[Tgl NPBG]]&gt;表1[[#This Row],[Peminta]],表1[[#This Row],[Tgl NPBG]]-表1[[#This Row],[Peminta]],"")</f>
        <v/>
      </c>
      <c r="J2489" s="31"/>
    </row>
    <row r="2490" s="12" customFormat="1" customHeight="1" spans="2:10">
      <c r="B2490" s="25"/>
      <c r="C2490" s="25"/>
      <c r="D2490" s="26" t="str" cm="1">
        <f t="array" ref="D2490">IF(C2490="","",IFERROR(INDEX(STPP!$D$6:$D$4207,MATCH(C2490,STPP!$C$6:$C$4207,0)),"Not Found"))</f>
        <v/>
      </c>
      <c r="E2490" s="27" t="str" cm="1">
        <f t="array" ref="E2490">IF(C2490="","",IFERROR(INDEX(STPP!$E$6:$E$4207,MATCH(C2490,STPP!$C$6:$C$4207,0)),"Not Found"))</f>
        <v/>
      </c>
      <c r="F2490" s="27" t="str" cm="1">
        <f t="array" ref="F2490">IF(C2490="","",IFERROR(INDEX(STPP!$F$6:$F$4207,MATCH(C2490,STPP!$C$6:$C$4207,0)),"Not Found"))</f>
        <v/>
      </c>
      <c r="G2490" s="25" t="str">
        <f>IF(表1[[#This Row],[No Seri]]="","",表1[[#This Row],[Deskripsi Barang]]+表1[[#This Row],[Kuantitas]]-表1[[#This Row],[Satuan]])</f>
        <v/>
      </c>
      <c r="H2490" s="28"/>
      <c r="I2490" s="25" t="str">
        <f>IF(表1[[#This Row],[Tgl NPBG]]&gt;表1[[#This Row],[Peminta]],表1[[#This Row],[Tgl NPBG]]-表1[[#This Row],[Peminta]],"")</f>
        <v/>
      </c>
      <c r="J2490" s="31"/>
    </row>
    <row r="2491" s="12" customFormat="1" customHeight="1" spans="2:10">
      <c r="B2491" s="25"/>
      <c r="C2491" s="25"/>
      <c r="D2491" s="26" t="str" cm="1">
        <f t="array" ref="D2491">IF(C2491="","",IFERROR(INDEX(STPP!$D$6:$D$4207,MATCH(C2491,STPP!$C$6:$C$4207,0)),"Not Found"))</f>
        <v/>
      </c>
      <c r="E2491" s="27" t="str" cm="1">
        <f t="array" ref="E2491">IF(C2491="","",IFERROR(INDEX(STPP!$E$6:$E$4207,MATCH(C2491,STPP!$C$6:$C$4207,0)),"Not Found"))</f>
        <v/>
      </c>
      <c r="F2491" s="27" t="str" cm="1">
        <f t="array" ref="F2491">IF(C2491="","",IFERROR(INDEX(STPP!$F$6:$F$4207,MATCH(C2491,STPP!$C$6:$C$4207,0)),"Not Found"))</f>
        <v/>
      </c>
      <c r="G2491" s="25" t="str">
        <f>IF(表1[[#This Row],[No Seri]]="","",表1[[#This Row],[Deskripsi Barang]]+表1[[#This Row],[Kuantitas]]-表1[[#This Row],[Satuan]])</f>
        <v/>
      </c>
      <c r="H2491" s="28"/>
      <c r="I2491" s="25" t="str">
        <f>IF(表1[[#This Row],[Tgl NPBG]]&gt;表1[[#This Row],[Peminta]],表1[[#This Row],[Tgl NPBG]]-表1[[#This Row],[Peminta]],"")</f>
        <v/>
      </c>
      <c r="J2491" s="31"/>
    </row>
    <row r="2492" s="12" customFormat="1" customHeight="1" spans="2:10">
      <c r="B2492" s="25"/>
      <c r="C2492" s="25"/>
      <c r="D2492" s="26" t="str" cm="1">
        <f t="array" ref="D2492">IF(C2492="","",IFERROR(INDEX(STPP!$D$6:$D$4207,MATCH(C2492,STPP!$C$6:$C$4207,0)),"Not Found"))</f>
        <v/>
      </c>
      <c r="E2492" s="27" t="str" cm="1">
        <f t="array" ref="E2492">IF(C2492="","",IFERROR(INDEX(STPP!$E$6:$E$4207,MATCH(C2492,STPP!$C$6:$C$4207,0)),"Not Found"))</f>
        <v/>
      </c>
      <c r="F2492" s="27" t="str" cm="1">
        <f t="array" ref="F2492">IF(C2492="","",IFERROR(INDEX(STPP!$F$6:$F$4207,MATCH(C2492,STPP!$C$6:$C$4207,0)),"Not Found"))</f>
        <v/>
      </c>
      <c r="G2492" s="25" t="str">
        <f>IF(表1[[#This Row],[No Seri]]="","",表1[[#This Row],[Deskripsi Barang]]+表1[[#This Row],[Kuantitas]]-表1[[#This Row],[Satuan]])</f>
        <v/>
      </c>
      <c r="H2492" s="28"/>
      <c r="I2492" s="25" t="str">
        <f>IF(表1[[#This Row],[Tgl NPBG]]&gt;表1[[#This Row],[Peminta]],表1[[#This Row],[Tgl NPBG]]-表1[[#This Row],[Peminta]],"")</f>
        <v/>
      </c>
      <c r="J2492" s="31"/>
    </row>
    <row r="2493" s="12" customFormat="1" customHeight="1" spans="2:10">
      <c r="B2493" s="25"/>
      <c r="C2493" s="25"/>
      <c r="D2493" s="26" t="str" cm="1">
        <f t="array" ref="D2493">IF(C2493="","",IFERROR(INDEX(STPP!$D$6:$D$4207,MATCH(C2493,STPP!$C$6:$C$4207,0)),"Not Found"))</f>
        <v/>
      </c>
      <c r="E2493" s="27" t="str" cm="1">
        <f t="array" ref="E2493">IF(C2493="","",IFERROR(INDEX(STPP!$E$6:$E$4207,MATCH(C2493,STPP!$C$6:$C$4207,0)),"Not Found"))</f>
        <v/>
      </c>
      <c r="F2493" s="27" t="str" cm="1">
        <f t="array" ref="F2493">IF(C2493="","",IFERROR(INDEX(STPP!$F$6:$F$4207,MATCH(C2493,STPP!$C$6:$C$4207,0)),"Not Found"))</f>
        <v/>
      </c>
      <c r="G2493" s="25" t="str">
        <f>IF(表1[[#This Row],[No Seri]]="","",表1[[#This Row],[Deskripsi Barang]]+表1[[#This Row],[Kuantitas]]-表1[[#This Row],[Satuan]])</f>
        <v/>
      </c>
      <c r="H2493" s="28"/>
      <c r="I2493" s="25" t="str">
        <f>IF(表1[[#This Row],[Tgl NPBG]]&gt;表1[[#This Row],[Peminta]],表1[[#This Row],[Tgl NPBG]]-表1[[#This Row],[Peminta]],"")</f>
        <v/>
      </c>
      <c r="J2493" s="31"/>
    </row>
    <row r="2494" s="12" customFormat="1" customHeight="1" spans="2:10">
      <c r="B2494" s="25"/>
      <c r="C2494" s="25"/>
      <c r="D2494" s="26" t="str" cm="1">
        <f t="array" ref="D2494">IF(C2494="","",IFERROR(INDEX(STPP!$D$6:$D$4207,MATCH(C2494,STPP!$C$6:$C$4207,0)),"Not Found"))</f>
        <v/>
      </c>
      <c r="E2494" s="27" t="str" cm="1">
        <f t="array" ref="E2494">IF(C2494="","",IFERROR(INDEX(STPP!$E$6:$E$4207,MATCH(C2494,STPP!$C$6:$C$4207,0)),"Not Found"))</f>
        <v/>
      </c>
      <c r="F2494" s="27" t="str" cm="1">
        <f t="array" ref="F2494">IF(C2494="","",IFERROR(INDEX(STPP!$F$6:$F$4207,MATCH(C2494,STPP!$C$6:$C$4207,0)),"Not Found"))</f>
        <v/>
      </c>
      <c r="G2494" s="25" t="str">
        <f>IF(表1[[#This Row],[No Seri]]="","",表1[[#This Row],[Deskripsi Barang]]+表1[[#This Row],[Kuantitas]]-表1[[#This Row],[Satuan]])</f>
        <v/>
      </c>
      <c r="H2494" s="28"/>
      <c r="I2494" s="25" t="str">
        <f>IF(表1[[#This Row],[Tgl NPBG]]&gt;表1[[#This Row],[Peminta]],表1[[#This Row],[Tgl NPBG]]-表1[[#This Row],[Peminta]],"")</f>
        <v/>
      </c>
      <c r="J2494" s="31"/>
    </row>
    <row r="2495" s="12" customFormat="1" customHeight="1" spans="2:10">
      <c r="B2495" s="25"/>
      <c r="C2495" s="25"/>
      <c r="D2495" s="26" t="str" cm="1">
        <f t="array" ref="D2495">IF(C2495="","",IFERROR(INDEX(STPP!$D$6:$D$4207,MATCH(C2495,STPP!$C$6:$C$4207,0)),"Not Found"))</f>
        <v/>
      </c>
      <c r="E2495" s="27" t="str" cm="1">
        <f t="array" ref="E2495">IF(C2495="","",IFERROR(INDEX(STPP!$E$6:$E$4207,MATCH(C2495,STPP!$C$6:$C$4207,0)),"Not Found"))</f>
        <v/>
      </c>
      <c r="F2495" s="27" t="str" cm="1">
        <f t="array" ref="F2495">IF(C2495="","",IFERROR(INDEX(STPP!$F$6:$F$4207,MATCH(C2495,STPP!$C$6:$C$4207,0)),"Not Found"))</f>
        <v/>
      </c>
      <c r="G2495" s="25" t="str">
        <f>IF(表1[[#This Row],[No Seri]]="","",表1[[#This Row],[Deskripsi Barang]]+表1[[#This Row],[Kuantitas]]-表1[[#This Row],[Satuan]])</f>
        <v/>
      </c>
      <c r="H2495" s="28"/>
      <c r="I2495" s="25" t="str">
        <f>IF(表1[[#This Row],[Tgl NPBG]]&gt;表1[[#This Row],[Peminta]],表1[[#This Row],[Tgl NPBG]]-表1[[#This Row],[Peminta]],"")</f>
        <v/>
      </c>
      <c r="J2495" s="31"/>
    </row>
    <row r="2496" s="12" customFormat="1" customHeight="1" spans="2:10">
      <c r="B2496" s="25"/>
      <c r="C2496" s="25"/>
      <c r="D2496" s="26" t="str" cm="1">
        <f t="array" ref="D2496">IF(C2496="","",IFERROR(INDEX(STPP!$D$6:$D$4207,MATCH(C2496,STPP!$C$6:$C$4207,0)),"Not Found"))</f>
        <v/>
      </c>
      <c r="E2496" s="27" t="str" cm="1">
        <f t="array" ref="E2496">IF(C2496="","",IFERROR(INDEX(STPP!$E$6:$E$4207,MATCH(C2496,STPP!$C$6:$C$4207,0)),"Not Found"))</f>
        <v/>
      </c>
      <c r="F2496" s="27" t="str" cm="1">
        <f t="array" ref="F2496">IF(C2496="","",IFERROR(INDEX(STPP!$F$6:$F$4207,MATCH(C2496,STPP!$C$6:$C$4207,0)),"Not Found"))</f>
        <v/>
      </c>
      <c r="G2496" s="25" t="str">
        <f>IF(表1[[#This Row],[No Seri]]="","",表1[[#This Row],[Deskripsi Barang]]+表1[[#This Row],[Kuantitas]]-表1[[#This Row],[Satuan]])</f>
        <v/>
      </c>
      <c r="H2496" s="28"/>
      <c r="I2496" s="25" t="str">
        <f>IF(表1[[#This Row],[Tgl NPBG]]&gt;表1[[#This Row],[Peminta]],表1[[#This Row],[Tgl NPBG]]-表1[[#This Row],[Peminta]],"")</f>
        <v/>
      </c>
      <c r="J2496" s="31"/>
    </row>
    <row r="2497" s="12" customFormat="1" customHeight="1" spans="2:10">
      <c r="B2497" s="25"/>
      <c r="C2497" s="25"/>
      <c r="D2497" s="26" t="str" cm="1">
        <f t="array" ref="D2497">IF(C2497="","",IFERROR(INDEX(STPP!$D$6:$D$4207,MATCH(C2497,STPP!$C$6:$C$4207,0)),"Not Found"))</f>
        <v/>
      </c>
      <c r="E2497" s="27" t="str" cm="1">
        <f t="array" ref="E2497">IF(C2497="","",IFERROR(INDEX(STPP!$E$6:$E$4207,MATCH(C2497,STPP!$C$6:$C$4207,0)),"Not Found"))</f>
        <v/>
      </c>
      <c r="F2497" s="27" t="str" cm="1">
        <f t="array" ref="F2497">IF(C2497="","",IFERROR(INDEX(STPP!$F$6:$F$4207,MATCH(C2497,STPP!$C$6:$C$4207,0)),"Not Found"))</f>
        <v/>
      </c>
      <c r="G2497" s="25" t="str">
        <f>IF(表1[[#This Row],[No Seri]]="","",表1[[#This Row],[Deskripsi Barang]]+表1[[#This Row],[Kuantitas]]-表1[[#This Row],[Satuan]])</f>
        <v/>
      </c>
      <c r="H2497" s="28"/>
      <c r="I2497" s="25" t="str">
        <f>IF(表1[[#This Row],[Tgl NPBG]]&gt;表1[[#This Row],[Peminta]],表1[[#This Row],[Tgl NPBG]]-表1[[#This Row],[Peminta]],"")</f>
        <v/>
      </c>
      <c r="J2497" s="31"/>
    </row>
    <row r="2498" s="12" customFormat="1" customHeight="1" spans="2:10">
      <c r="B2498" s="25"/>
      <c r="C2498" s="25"/>
      <c r="D2498" s="26" t="str" cm="1">
        <f t="array" ref="D2498">IF(C2498="","",IFERROR(INDEX(STPP!$D$6:$D$4207,MATCH(C2498,STPP!$C$6:$C$4207,0)),"Not Found"))</f>
        <v/>
      </c>
      <c r="E2498" s="27" t="str" cm="1">
        <f t="array" ref="E2498">IF(C2498="","",IFERROR(INDEX(STPP!$E$6:$E$4207,MATCH(C2498,STPP!$C$6:$C$4207,0)),"Not Found"))</f>
        <v/>
      </c>
      <c r="F2498" s="27" t="str" cm="1">
        <f t="array" ref="F2498">IF(C2498="","",IFERROR(INDEX(STPP!$F$6:$F$4207,MATCH(C2498,STPP!$C$6:$C$4207,0)),"Not Found"))</f>
        <v/>
      </c>
      <c r="G2498" s="25" t="str">
        <f>IF(表1[[#This Row],[No Seri]]="","",表1[[#This Row],[Deskripsi Barang]]+表1[[#This Row],[Kuantitas]]-表1[[#This Row],[Satuan]])</f>
        <v/>
      </c>
      <c r="H2498" s="28"/>
      <c r="I2498" s="25" t="str">
        <f>IF(表1[[#This Row],[Tgl NPBG]]&gt;表1[[#This Row],[Peminta]],表1[[#This Row],[Tgl NPBG]]-表1[[#This Row],[Peminta]],"")</f>
        <v/>
      </c>
      <c r="J2498" s="31"/>
    </row>
    <row r="2499" s="12" customFormat="1" customHeight="1" spans="2:10">
      <c r="B2499" s="25"/>
      <c r="C2499" s="25"/>
      <c r="D2499" s="26" t="str" cm="1">
        <f t="array" ref="D2499">IF(C2499="","",IFERROR(INDEX(STPP!$D$6:$D$4207,MATCH(C2499,STPP!$C$6:$C$4207,0)),"Not Found"))</f>
        <v/>
      </c>
      <c r="E2499" s="27" t="str" cm="1">
        <f t="array" ref="E2499">IF(C2499="","",IFERROR(INDEX(STPP!$E$6:$E$4207,MATCH(C2499,STPP!$C$6:$C$4207,0)),"Not Found"))</f>
        <v/>
      </c>
      <c r="F2499" s="27" t="str" cm="1">
        <f t="array" ref="F2499">IF(C2499="","",IFERROR(INDEX(STPP!$F$6:$F$4207,MATCH(C2499,STPP!$C$6:$C$4207,0)),"Not Found"))</f>
        <v/>
      </c>
      <c r="G2499" s="25" t="str">
        <f>IF(表1[[#This Row],[No Seri]]="","",表1[[#This Row],[Deskripsi Barang]]+表1[[#This Row],[Kuantitas]]-表1[[#This Row],[Satuan]])</f>
        <v/>
      </c>
      <c r="H2499" s="28"/>
      <c r="I2499" s="25" t="str">
        <f>IF(表1[[#This Row],[Tgl NPBG]]&gt;表1[[#This Row],[Peminta]],表1[[#This Row],[Tgl NPBG]]-表1[[#This Row],[Peminta]],"")</f>
        <v/>
      </c>
      <c r="J2499" s="31"/>
    </row>
    <row r="2500" s="12" customFormat="1" customHeight="1" spans="2:10">
      <c r="B2500" s="25"/>
      <c r="C2500" s="25"/>
      <c r="D2500" s="26" t="str" cm="1">
        <f t="array" ref="D2500">IF(C2500="","",IFERROR(INDEX(STPP!$D$6:$D$4207,MATCH(C2500,STPP!$C$6:$C$4207,0)),"Not Found"))</f>
        <v/>
      </c>
      <c r="E2500" s="27" t="str" cm="1">
        <f t="array" ref="E2500">IF(C2500="","",IFERROR(INDEX(STPP!$E$6:$E$4207,MATCH(C2500,STPP!$C$6:$C$4207,0)),"Not Found"))</f>
        <v/>
      </c>
      <c r="F2500" s="27" t="str" cm="1">
        <f t="array" ref="F2500">IF(C2500="","",IFERROR(INDEX(STPP!$F$6:$F$4207,MATCH(C2500,STPP!$C$6:$C$4207,0)),"Not Found"))</f>
        <v/>
      </c>
      <c r="G2500" s="25" t="str">
        <f>IF(表1[[#This Row],[No Seri]]="","",表1[[#This Row],[Deskripsi Barang]]+表1[[#This Row],[Kuantitas]]-表1[[#This Row],[Satuan]])</f>
        <v/>
      </c>
      <c r="H2500" s="28"/>
      <c r="I2500" s="25" t="str">
        <f>IF(表1[[#This Row],[Tgl NPBG]]&gt;表1[[#This Row],[Peminta]],表1[[#This Row],[Tgl NPBG]]-表1[[#This Row],[Peminta]],"")</f>
        <v/>
      </c>
      <c r="J2500" s="31"/>
    </row>
    <row r="2501" s="12" customFormat="1" customHeight="1" spans="2:10">
      <c r="B2501" s="25"/>
      <c r="C2501" s="25"/>
      <c r="D2501" s="26" t="str" cm="1">
        <f t="array" ref="D2501">IF(C2501="","",IFERROR(INDEX(STPP!$D$6:$D$4207,MATCH(C2501,STPP!$C$6:$C$4207,0)),"Not Found"))</f>
        <v/>
      </c>
      <c r="E2501" s="27" t="str" cm="1">
        <f t="array" ref="E2501">IF(C2501="","",IFERROR(INDEX(STPP!$E$6:$E$4207,MATCH(C2501,STPP!$C$6:$C$4207,0)),"Not Found"))</f>
        <v/>
      </c>
      <c r="F2501" s="27" t="str" cm="1">
        <f t="array" ref="F2501">IF(C2501="","",IFERROR(INDEX(STPP!$F$6:$F$4207,MATCH(C2501,STPP!$C$6:$C$4207,0)),"Not Found"))</f>
        <v/>
      </c>
      <c r="G2501" s="25" t="str">
        <f>IF(表1[[#This Row],[No Seri]]="","",表1[[#This Row],[Deskripsi Barang]]+表1[[#This Row],[Kuantitas]]-表1[[#This Row],[Satuan]])</f>
        <v/>
      </c>
      <c r="H2501" s="28"/>
      <c r="I2501" s="25" t="str">
        <f>IF(表1[[#This Row],[Tgl NPBG]]&gt;表1[[#This Row],[Peminta]],表1[[#This Row],[Tgl NPBG]]-表1[[#This Row],[Peminta]],"")</f>
        <v/>
      </c>
      <c r="J2501" s="31"/>
    </row>
    <row r="2502" s="12" customFormat="1" customHeight="1" spans="2:10">
      <c r="B2502" s="25"/>
      <c r="C2502" s="25"/>
      <c r="D2502" s="26" t="str" cm="1">
        <f t="array" ref="D2502">IF(C2502="","",IFERROR(INDEX(STPP!$D$6:$D$4207,MATCH(C2502,STPP!$C$6:$C$4207,0)),"Not Found"))</f>
        <v/>
      </c>
      <c r="E2502" s="27" t="str" cm="1">
        <f t="array" ref="E2502">IF(C2502="","",IFERROR(INDEX(STPP!$E$6:$E$4207,MATCH(C2502,STPP!$C$6:$C$4207,0)),"Not Found"))</f>
        <v/>
      </c>
      <c r="F2502" s="27" t="str" cm="1">
        <f t="array" ref="F2502">IF(C2502="","",IFERROR(INDEX(STPP!$F$6:$F$4207,MATCH(C2502,STPP!$C$6:$C$4207,0)),"Not Found"))</f>
        <v/>
      </c>
      <c r="G2502" s="25" t="str">
        <f>IF(表1[[#This Row],[No Seri]]="","",表1[[#This Row],[Deskripsi Barang]]+表1[[#This Row],[Kuantitas]]-表1[[#This Row],[Satuan]])</f>
        <v/>
      </c>
      <c r="H2502" s="28"/>
      <c r="I2502" s="25" t="str">
        <f>IF(表1[[#This Row],[Tgl NPBG]]&gt;表1[[#This Row],[Peminta]],表1[[#This Row],[Tgl NPBG]]-表1[[#This Row],[Peminta]],"")</f>
        <v/>
      </c>
      <c r="J2502" s="31"/>
    </row>
    <row r="2503" s="12" customFormat="1" customHeight="1" spans="2:10">
      <c r="B2503" s="25"/>
      <c r="C2503" s="25"/>
      <c r="D2503" s="26" t="str" cm="1">
        <f t="array" ref="D2503">IF(C2503="","",IFERROR(INDEX(STPP!$D$6:$D$4207,MATCH(C2503,STPP!$C$6:$C$4207,0)),"Not Found"))</f>
        <v/>
      </c>
      <c r="E2503" s="27" t="str" cm="1">
        <f t="array" ref="E2503">IF(C2503="","",IFERROR(INDEX(STPP!$E$6:$E$4207,MATCH(C2503,STPP!$C$6:$C$4207,0)),"Not Found"))</f>
        <v/>
      </c>
      <c r="F2503" s="27" t="str" cm="1">
        <f t="array" ref="F2503">IF(C2503="","",IFERROR(INDEX(STPP!$F$6:$F$4207,MATCH(C2503,STPP!$C$6:$C$4207,0)),"Not Found"))</f>
        <v/>
      </c>
      <c r="G2503" s="25" t="str">
        <f>IF(表1[[#This Row],[No Seri]]="","",表1[[#This Row],[Deskripsi Barang]]+表1[[#This Row],[Kuantitas]]-表1[[#This Row],[Satuan]])</f>
        <v/>
      </c>
      <c r="H2503" s="28"/>
      <c r="I2503" s="25" t="str">
        <f>IF(表1[[#This Row],[Tgl NPBG]]&gt;表1[[#This Row],[Peminta]],表1[[#This Row],[Tgl NPBG]]-表1[[#This Row],[Peminta]],"")</f>
        <v/>
      </c>
      <c r="J2503" s="31"/>
    </row>
    <row r="2504" s="12" customFormat="1" customHeight="1" spans="2:10">
      <c r="B2504" s="25"/>
      <c r="C2504" s="25"/>
      <c r="D2504" s="26" t="str" cm="1">
        <f t="array" ref="D2504">IF(C2504="","",IFERROR(INDEX(STPP!$D$6:$D$4207,MATCH(C2504,STPP!$C$6:$C$4207,0)),"Not Found"))</f>
        <v/>
      </c>
      <c r="E2504" s="27" t="str" cm="1">
        <f t="array" ref="E2504">IF(C2504="","",IFERROR(INDEX(STPP!$E$6:$E$4207,MATCH(C2504,STPP!$C$6:$C$4207,0)),"Not Found"))</f>
        <v/>
      </c>
      <c r="F2504" s="27" t="str" cm="1">
        <f t="array" ref="F2504">IF(C2504="","",IFERROR(INDEX(STPP!$F$6:$F$4207,MATCH(C2504,STPP!$C$6:$C$4207,0)),"Not Found"))</f>
        <v/>
      </c>
      <c r="G2504" s="25" t="str">
        <f>IF(表1[[#This Row],[No Seri]]="","",表1[[#This Row],[Deskripsi Barang]]+表1[[#This Row],[Kuantitas]]-表1[[#This Row],[Satuan]])</f>
        <v/>
      </c>
      <c r="H2504" s="28"/>
      <c r="I2504" s="25" t="str">
        <f>IF(表1[[#This Row],[Tgl NPBG]]&gt;表1[[#This Row],[Peminta]],表1[[#This Row],[Tgl NPBG]]-表1[[#This Row],[Peminta]],"")</f>
        <v/>
      </c>
      <c r="J2504" s="31"/>
    </row>
    <row r="2505" s="12" customFormat="1" customHeight="1" spans="2:10">
      <c r="B2505" s="25"/>
      <c r="C2505" s="25"/>
      <c r="D2505" s="26" t="str" cm="1">
        <f t="array" ref="D2505">IF(C2505="","",IFERROR(INDEX(STPP!$D$6:$D$4207,MATCH(C2505,STPP!$C$6:$C$4207,0)),"Not Found"))</f>
        <v/>
      </c>
      <c r="E2505" s="27" t="str" cm="1">
        <f t="array" ref="E2505">IF(C2505="","",IFERROR(INDEX(STPP!$E$6:$E$4207,MATCH(C2505,STPP!$C$6:$C$4207,0)),"Not Found"))</f>
        <v/>
      </c>
      <c r="F2505" s="27" t="str" cm="1">
        <f t="array" ref="F2505">IF(C2505="","",IFERROR(INDEX(STPP!$F$6:$F$4207,MATCH(C2505,STPP!$C$6:$C$4207,0)),"Not Found"))</f>
        <v/>
      </c>
      <c r="G2505" s="25" t="str">
        <f>IF(表1[[#This Row],[No Seri]]="","",表1[[#This Row],[Deskripsi Barang]]+表1[[#This Row],[Kuantitas]]-表1[[#This Row],[Satuan]])</f>
        <v/>
      </c>
      <c r="H2505" s="28"/>
      <c r="I2505" s="25" t="str">
        <f>IF(表1[[#This Row],[Tgl NPBG]]&gt;表1[[#This Row],[Peminta]],表1[[#This Row],[Tgl NPBG]]-表1[[#This Row],[Peminta]],"")</f>
        <v/>
      </c>
      <c r="J2505" s="31"/>
    </row>
    <row r="2506" s="12" customFormat="1" customHeight="1" spans="2:10">
      <c r="B2506" s="25"/>
      <c r="C2506" s="25"/>
      <c r="D2506" s="26" t="str" cm="1">
        <f t="array" ref="D2506">IF(C2506="","",IFERROR(INDEX(STPP!$D$6:$D$4207,MATCH(C2506,STPP!$C$6:$C$4207,0)),"Not Found"))</f>
        <v/>
      </c>
      <c r="E2506" s="27" t="str" cm="1">
        <f t="array" ref="E2506">IF(C2506="","",IFERROR(INDEX(STPP!$E$6:$E$4207,MATCH(C2506,STPP!$C$6:$C$4207,0)),"Not Found"))</f>
        <v/>
      </c>
      <c r="F2506" s="27" t="str" cm="1">
        <f t="array" ref="F2506">IF(C2506="","",IFERROR(INDEX(STPP!$F$6:$F$4207,MATCH(C2506,STPP!$C$6:$C$4207,0)),"Not Found"))</f>
        <v/>
      </c>
      <c r="G2506" s="25" t="str">
        <f>IF(表1[[#This Row],[No Seri]]="","",表1[[#This Row],[Deskripsi Barang]]+表1[[#This Row],[Kuantitas]]-表1[[#This Row],[Satuan]])</f>
        <v/>
      </c>
      <c r="H2506" s="28"/>
      <c r="I2506" s="25" t="str">
        <f>IF(表1[[#This Row],[Tgl NPBG]]&gt;表1[[#This Row],[Peminta]],表1[[#This Row],[Tgl NPBG]]-表1[[#This Row],[Peminta]],"")</f>
        <v/>
      </c>
      <c r="J2506" s="31"/>
    </row>
    <row r="2507" s="12" customFormat="1" customHeight="1" spans="2:10">
      <c r="B2507" s="25"/>
      <c r="C2507" s="25"/>
      <c r="D2507" s="26" t="str" cm="1">
        <f t="array" ref="D2507">IF(C2507="","",IFERROR(INDEX(STPP!$D$6:$D$4207,MATCH(C2507,STPP!$C$6:$C$4207,0)),"Not Found"))</f>
        <v/>
      </c>
      <c r="E2507" s="27" t="str" cm="1">
        <f t="array" ref="E2507">IF(C2507="","",IFERROR(INDEX(STPP!$E$6:$E$4207,MATCH(C2507,STPP!$C$6:$C$4207,0)),"Not Found"))</f>
        <v/>
      </c>
      <c r="F2507" s="27" t="str" cm="1">
        <f t="array" ref="F2507">IF(C2507="","",IFERROR(INDEX(STPP!$F$6:$F$4207,MATCH(C2507,STPP!$C$6:$C$4207,0)),"Not Found"))</f>
        <v/>
      </c>
      <c r="G2507" s="25" t="str">
        <f>IF(表1[[#This Row],[No Seri]]="","",表1[[#This Row],[Deskripsi Barang]]+表1[[#This Row],[Kuantitas]]-表1[[#This Row],[Satuan]])</f>
        <v/>
      </c>
      <c r="H2507" s="28"/>
      <c r="I2507" s="25" t="str">
        <f>IF(表1[[#This Row],[Tgl NPBG]]&gt;表1[[#This Row],[Peminta]],表1[[#This Row],[Tgl NPBG]]-表1[[#This Row],[Peminta]],"")</f>
        <v/>
      </c>
      <c r="J2507" s="31"/>
    </row>
    <row r="2508" s="12" customFormat="1" customHeight="1" spans="2:10">
      <c r="B2508" s="25"/>
      <c r="C2508" s="25"/>
      <c r="D2508" s="26" t="str" cm="1">
        <f t="array" ref="D2508">IF(C2508="","",IFERROR(INDEX(STPP!$D$6:$D$4207,MATCH(C2508,STPP!$C$6:$C$4207,0)),"Not Found"))</f>
        <v/>
      </c>
      <c r="E2508" s="27" t="str" cm="1">
        <f t="array" ref="E2508">IF(C2508="","",IFERROR(INDEX(STPP!$E$6:$E$4207,MATCH(C2508,STPP!$C$6:$C$4207,0)),"Not Found"))</f>
        <v/>
      </c>
      <c r="F2508" s="27" t="str" cm="1">
        <f t="array" ref="F2508">IF(C2508="","",IFERROR(INDEX(STPP!$F$6:$F$4207,MATCH(C2508,STPP!$C$6:$C$4207,0)),"Not Found"))</f>
        <v/>
      </c>
      <c r="G2508" s="25" t="str">
        <f>IF(表1[[#This Row],[No Seri]]="","",表1[[#This Row],[Deskripsi Barang]]+表1[[#This Row],[Kuantitas]]-表1[[#This Row],[Satuan]])</f>
        <v/>
      </c>
      <c r="H2508" s="28"/>
      <c r="I2508" s="25" t="str">
        <f>IF(表1[[#This Row],[Tgl NPBG]]&gt;表1[[#This Row],[Peminta]],表1[[#This Row],[Tgl NPBG]]-表1[[#This Row],[Peminta]],"")</f>
        <v/>
      </c>
      <c r="J2508" s="31"/>
    </row>
    <row r="2509" s="12" customFormat="1" customHeight="1" spans="2:10">
      <c r="B2509" s="25"/>
      <c r="C2509" s="25"/>
      <c r="D2509" s="26" t="str" cm="1">
        <f t="array" ref="D2509">IF(C2509="","",IFERROR(INDEX(STPP!$D$6:$D$4207,MATCH(C2509,STPP!$C$6:$C$4207,0)),"Not Found"))</f>
        <v/>
      </c>
      <c r="E2509" s="27" t="str" cm="1">
        <f t="array" ref="E2509">IF(C2509="","",IFERROR(INDEX(STPP!$E$6:$E$4207,MATCH(C2509,STPP!$C$6:$C$4207,0)),"Not Found"))</f>
        <v/>
      </c>
      <c r="F2509" s="27" t="str" cm="1">
        <f t="array" ref="F2509">IF(C2509="","",IFERROR(INDEX(STPP!$F$6:$F$4207,MATCH(C2509,STPP!$C$6:$C$4207,0)),"Not Found"))</f>
        <v/>
      </c>
      <c r="G2509" s="25" t="str">
        <f>IF(表1[[#This Row],[No Seri]]="","",表1[[#This Row],[Deskripsi Barang]]+表1[[#This Row],[Kuantitas]]-表1[[#This Row],[Satuan]])</f>
        <v/>
      </c>
      <c r="H2509" s="28"/>
      <c r="I2509" s="25" t="str">
        <f>IF(表1[[#This Row],[Tgl NPBG]]&gt;表1[[#This Row],[Peminta]],表1[[#This Row],[Tgl NPBG]]-表1[[#This Row],[Peminta]],"")</f>
        <v/>
      </c>
      <c r="J2509" s="31"/>
    </row>
    <row r="2510" s="12" customFormat="1" customHeight="1" spans="2:10">
      <c r="B2510" s="25"/>
      <c r="C2510" s="25"/>
      <c r="D2510" s="26" t="str" cm="1">
        <f t="array" ref="D2510">IF(C2510="","",IFERROR(INDEX(STPP!$D$6:$D$4207,MATCH(C2510,STPP!$C$6:$C$4207,0)),"Not Found"))</f>
        <v/>
      </c>
      <c r="E2510" s="27" t="str" cm="1">
        <f t="array" ref="E2510">IF(C2510="","",IFERROR(INDEX(STPP!$E$6:$E$4207,MATCH(C2510,STPP!$C$6:$C$4207,0)),"Not Found"))</f>
        <v/>
      </c>
      <c r="F2510" s="27" t="str" cm="1">
        <f t="array" ref="F2510">IF(C2510="","",IFERROR(INDEX(STPP!$F$6:$F$4207,MATCH(C2510,STPP!$C$6:$C$4207,0)),"Not Found"))</f>
        <v/>
      </c>
      <c r="G2510" s="25" t="str">
        <f>IF(表1[[#This Row],[No Seri]]="","",表1[[#This Row],[Deskripsi Barang]]+表1[[#This Row],[Kuantitas]]-表1[[#This Row],[Satuan]])</f>
        <v/>
      </c>
      <c r="H2510" s="28"/>
      <c r="I2510" s="25" t="str">
        <f>IF(表1[[#This Row],[Tgl NPBG]]&gt;表1[[#This Row],[Peminta]],表1[[#This Row],[Tgl NPBG]]-表1[[#This Row],[Peminta]],"")</f>
        <v/>
      </c>
      <c r="J2510" s="31"/>
    </row>
    <row r="2511" s="12" customFormat="1" customHeight="1" spans="2:10">
      <c r="B2511" s="25"/>
      <c r="C2511" s="25"/>
      <c r="D2511" s="26" t="str" cm="1">
        <f t="array" ref="D2511">IF(C2511="","",IFERROR(INDEX(STPP!$D$6:$D$4207,MATCH(C2511,STPP!$C$6:$C$4207,0)),"Not Found"))</f>
        <v/>
      </c>
      <c r="E2511" s="27" t="str" cm="1">
        <f t="array" ref="E2511">IF(C2511="","",IFERROR(INDEX(STPP!$E$6:$E$4207,MATCH(C2511,STPP!$C$6:$C$4207,0)),"Not Found"))</f>
        <v/>
      </c>
      <c r="F2511" s="27" t="str" cm="1">
        <f t="array" ref="F2511">IF(C2511="","",IFERROR(INDEX(STPP!$F$6:$F$4207,MATCH(C2511,STPP!$C$6:$C$4207,0)),"Not Found"))</f>
        <v/>
      </c>
      <c r="G2511" s="25" t="str">
        <f>IF(表1[[#This Row],[No Seri]]="","",表1[[#This Row],[Deskripsi Barang]]+表1[[#This Row],[Kuantitas]]-表1[[#This Row],[Satuan]])</f>
        <v/>
      </c>
      <c r="H2511" s="28"/>
      <c r="I2511" s="25" t="str">
        <f>IF(表1[[#This Row],[Tgl NPBG]]&gt;表1[[#This Row],[Peminta]],表1[[#This Row],[Tgl NPBG]]-表1[[#This Row],[Peminta]],"")</f>
        <v/>
      </c>
      <c r="J2511" s="31"/>
    </row>
    <row r="2512" s="12" customFormat="1" customHeight="1" spans="2:10">
      <c r="B2512" s="25"/>
      <c r="C2512" s="25"/>
      <c r="D2512" s="26" t="str" cm="1">
        <f t="array" ref="D2512">IF(C2512="","",IFERROR(INDEX(STPP!$D$6:$D$4207,MATCH(C2512,STPP!$C$6:$C$4207,0)),"Not Found"))</f>
        <v/>
      </c>
      <c r="E2512" s="27" t="str" cm="1">
        <f t="array" ref="E2512">IF(C2512="","",IFERROR(INDEX(STPP!$E$6:$E$4207,MATCH(C2512,STPP!$C$6:$C$4207,0)),"Not Found"))</f>
        <v/>
      </c>
      <c r="F2512" s="27" t="str" cm="1">
        <f t="array" ref="F2512">IF(C2512="","",IFERROR(INDEX(STPP!$F$6:$F$4207,MATCH(C2512,STPP!$C$6:$C$4207,0)),"Not Found"))</f>
        <v/>
      </c>
      <c r="G2512" s="25" t="str">
        <f>IF(表1[[#This Row],[No Seri]]="","",表1[[#This Row],[Deskripsi Barang]]+表1[[#This Row],[Kuantitas]]-表1[[#This Row],[Satuan]])</f>
        <v/>
      </c>
      <c r="H2512" s="28"/>
      <c r="I2512" s="25" t="str">
        <f>IF(表1[[#This Row],[Tgl NPBG]]&gt;表1[[#This Row],[Peminta]],表1[[#This Row],[Tgl NPBG]]-表1[[#This Row],[Peminta]],"")</f>
        <v/>
      </c>
      <c r="J2512" s="31"/>
    </row>
    <row r="2513" s="12" customFormat="1" customHeight="1" spans="2:10">
      <c r="B2513" s="25"/>
      <c r="C2513" s="25"/>
      <c r="D2513" s="26" t="str" cm="1">
        <f t="array" ref="D2513">IF(C2513="","",IFERROR(INDEX(STPP!$D$6:$D$4207,MATCH(C2513,STPP!$C$6:$C$4207,0)),"Not Found"))</f>
        <v/>
      </c>
      <c r="E2513" s="27" t="str" cm="1">
        <f t="array" ref="E2513">IF(C2513="","",IFERROR(INDEX(STPP!$E$6:$E$4207,MATCH(C2513,STPP!$C$6:$C$4207,0)),"Not Found"))</f>
        <v/>
      </c>
      <c r="F2513" s="27" t="str" cm="1">
        <f t="array" ref="F2513">IF(C2513="","",IFERROR(INDEX(STPP!$F$6:$F$4207,MATCH(C2513,STPP!$C$6:$C$4207,0)),"Not Found"))</f>
        <v/>
      </c>
      <c r="G2513" s="25" t="str">
        <f>IF(表1[[#This Row],[No Seri]]="","",表1[[#This Row],[Deskripsi Barang]]+表1[[#This Row],[Kuantitas]]-表1[[#This Row],[Satuan]])</f>
        <v/>
      </c>
      <c r="H2513" s="28"/>
      <c r="I2513" s="25" t="str">
        <f>IF(表1[[#This Row],[Tgl NPBG]]&gt;表1[[#This Row],[Peminta]],表1[[#This Row],[Tgl NPBG]]-表1[[#This Row],[Peminta]],"")</f>
        <v/>
      </c>
      <c r="J2513" s="31"/>
    </row>
    <row r="2514" s="12" customFormat="1" customHeight="1" spans="2:10">
      <c r="B2514" s="25"/>
      <c r="C2514" s="25"/>
      <c r="D2514" s="26" t="str" cm="1">
        <f t="array" ref="D2514">IF(C2514="","",IFERROR(INDEX(STPP!$D$6:$D$4207,MATCH(C2514,STPP!$C$6:$C$4207,0)),"Not Found"))</f>
        <v/>
      </c>
      <c r="E2514" s="27" t="str" cm="1">
        <f t="array" ref="E2514">IF(C2514="","",IFERROR(INDEX(STPP!$E$6:$E$4207,MATCH(C2514,STPP!$C$6:$C$4207,0)),"Not Found"))</f>
        <v/>
      </c>
      <c r="F2514" s="27" t="str" cm="1">
        <f t="array" ref="F2514">IF(C2514="","",IFERROR(INDEX(STPP!$F$6:$F$4207,MATCH(C2514,STPP!$C$6:$C$4207,0)),"Not Found"))</f>
        <v/>
      </c>
      <c r="G2514" s="25" t="str">
        <f>IF(表1[[#This Row],[No Seri]]="","",表1[[#This Row],[Deskripsi Barang]]+表1[[#This Row],[Kuantitas]]-表1[[#This Row],[Satuan]])</f>
        <v/>
      </c>
      <c r="H2514" s="28"/>
      <c r="I2514" s="25" t="str">
        <f>IF(表1[[#This Row],[Tgl NPBG]]&gt;表1[[#This Row],[Peminta]],表1[[#This Row],[Tgl NPBG]]-表1[[#This Row],[Peminta]],"")</f>
        <v/>
      </c>
      <c r="J2514" s="31"/>
    </row>
    <row r="2515" s="12" customFormat="1" customHeight="1" spans="2:10">
      <c r="B2515" s="25"/>
      <c r="C2515" s="25"/>
      <c r="D2515" s="26" t="str" cm="1">
        <f t="array" ref="D2515">IF(C2515="","",IFERROR(INDEX(STPP!$D$6:$D$4207,MATCH(C2515,STPP!$C$6:$C$4207,0)),"Not Found"))</f>
        <v/>
      </c>
      <c r="E2515" s="27" t="str" cm="1">
        <f t="array" ref="E2515">IF(C2515="","",IFERROR(INDEX(STPP!$E$6:$E$4207,MATCH(C2515,STPP!$C$6:$C$4207,0)),"Not Found"))</f>
        <v/>
      </c>
      <c r="F2515" s="27" t="str" cm="1">
        <f t="array" ref="F2515">IF(C2515="","",IFERROR(INDEX(STPP!$F$6:$F$4207,MATCH(C2515,STPP!$C$6:$C$4207,0)),"Not Found"))</f>
        <v/>
      </c>
      <c r="G2515" s="25" t="str">
        <f>IF(表1[[#This Row],[No Seri]]="","",表1[[#This Row],[Deskripsi Barang]]+表1[[#This Row],[Kuantitas]]-表1[[#This Row],[Satuan]])</f>
        <v/>
      </c>
      <c r="H2515" s="28"/>
      <c r="I2515" s="25" t="str">
        <f>IF(表1[[#This Row],[Tgl NPBG]]&gt;表1[[#This Row],[Peminta]],表1[[#This Row],[Tgl NPBG]]-表1[[#This Row],[Peminta]],"")</f>
        <v/>
      </c>
      <c r="J2515" s="31"/>
    </row>
    <row r="2516" s="12" customFormat="1" customHeight="1" spans="2:10">
      <c r="B2516" s="25"/>
      <c r="C2516" s="25"/>
      <c r="D2516" s="26" t="str" cm="1">
        <f t="array" ref="D2516">IF(C2516="","",IFERROR(INDEX(STPP!$D$6:$D$4207,MATCH(C2516,STPP!$C$6:$C$4207,0)),"Not Found"))</f>
        <v/>
      </c>
      <c r="E2516" s="27" t="str" cm="1">
        <f t="array" ref="E2516">IF(C2516="","",IFERROR(INDEX(STPP!$E$6:$E$4207,MATCH(C2516,STPP!$C$6:$C$4207,0)),"Not Found"))</f>
        <v/>
      </c>
      <c r="F2516" s="27" t="str" cm="1">
        <f t="array" ref="F2516">IF(C2516="","",IFERROR(INDEX(STPP!$F$6:$F$4207,MATCH(C2516,STPP!$C$6:$C$4207,0)),"Not Found"))</f>
        <v/>
      </c>
      <c r="G2516" s="25" t="str">
        <f>IF(表1[[#This Row],[No Seri]]="","",表1[[#This Row],[Deskripsi Barang]]+表1[[#This Row],[Kuantitas]]-表1[[#This Row],[Satuan]])</f>
        <v/>
      </c>
      <c r="H2516" s="28"/>
      <c r="I2516" s="25" t="str">
        <f>IF(表1[[#This Row],[Tgl NPBG]]&gt;表1[[#This Row],[Peminta]],表1[[#This Row],[Tgl NPBG]]-表1[[#This Row],[Peminta]],"")</f>
        <v/>
      </c>
      <c r="J2516" s="31"/>
    </row>
    <row r="2517" s="12" customFormat="1" customHeight="1" spans="2:10">
      <c r="B2517" s="25"/>
      <c r="C2517" s="25"/>
      <c r="D2517" s="26" t="str" cm="1">
        <f t="array" ref="D2517">IF(C2517="","",IFERROR(INDEX(STPP!$D$6:$D$4207,MATCH(C2517,STPP!$C$6:$C$4207,0)),"Not Found"))</f>
        <v/>
      </c>
      <c r="E2517" s="27" t="str" cm="1">
        <f t="array" ref="E2517">IF(C2517="","",IFERROR(INDEX(STPP!$E$6:$E$4207,MATCH(C2517,STPP!$C$6:$C$4207,0)),"Not Found"))</f>
        <v/>
      </c>
      <c r="F2517" s="27" t="str" cm="1">
        <f t="array" ref="F2517">IF(C2517="","",IFERROR(INDEX(STPP!$F$6:$F$4207,MATCH(C2517,STPP!$C$6:$C$4207,0)),"Not Found"))</f>
        <v/>
      </c>
      <c r="G2517" s="25" t="str">
        <f>IF(表1[[#This Row],[No Seri]]="","",表1[[#This Row],[Deskripsi Barang]]+表1[[#This Row],[Kuantitas]]-表1[[#This Row],[Satuan]])</f>
        <v/>
      </c>
      <c r="H2517" s="28"/>
      <c r="I2517" s="25" t="str">
        <f>IF(表1[[#This Row],[Tgl NPBG]]&gt;表1[[#This Row],[Peminta]],表1[[#This Row],[Tgl NPBG]]-表1[[#This Row],[Peminta]],"")</f>
        <v/>
      </c>
      <c r="J2517" s="31"/>
    </row>
    <row r="2518" s="12" customFormat="1" customHeight="1" spans="2:10">
      <c r="B2518" s="25"/>
      <c r="C2518" s="25"/>
      <c r="D2518" s="26" t="str" cm="1">
        <f t="array" ref="D2518">IF(C2518="","",IFERROR(INDEX(STPP!$D$6:$D$4207,MATCH(C2518,STPP!$C$6:$C$4207,0)),"Not Found"))</f>
        <v/>
      </c>
      <c r="E2518" s="27" t="str" cm="1">
        <f t="array" ref="E2518">IF(C2518="","",IFERROR(INDEX(STPP!$E$6:$E$4207,MATCH(C2518,STPP!$C$6:$C$4207,0)),"Not Found"))</f>
        <v/>
      </c>
      <c r="F2518" s="27" t="str" cm="1">
        <f t="array" ref="F2518">IF(C2518="","",IFERROR(INDEX(STPP!$F$6:$F$4207,MATCH(C2518,STPP!$C$6:$C$4207,0)),"Not Found"))</f>
        <v/>
      </c>
      <c r="G2518" s="25" t="str">
        <f>IF(表1[[#This Row],[No Seri]]="","",表1[[#This Row],[Deskripsi Barang]]+表1[[#This Row],[Kuantitas]]-表1[[#This Row],[Satuan]])</f>
        <v/>
      </c>
      <c r="H2518" s="28"/>
      <c r="I2518" s="25" t="str">
        <f>IF(表1[[#This Row],[Tgl NPBG]]&gt;表1[[#This Row],[Peminta]],表1[[#This Row],[Tgl NPBG]]-表1[[#This Row],[Peminta]],"")</f>
        <v/>
      </c>
      <c r="J2518" s="31"/>
    </row>
    <row r="2519" s="12" customFormat="1" customHeight="1" spans="2:10">
      <c r="B2519" s="25"/>
      <c r="C2519" s="25"/>
      <c r="D2519" s="26" t="str" cm="1">
        <f t="array" ref="D2519">IF(C2519="","",IFERROR(INDEX(STPP!$D$6:$D$4207,MATCH(C2519,STPP!$C$6:$C$4207,0)),"Not Found"))</f>
        <v/>
      </c>
      <c r="E2519" s="27" t="str" cm="1">
        <f t="array" ref="E2519">IF(C2519="","",IFERROR(INDEX(STPP!$E$6:$E$4207,MATCH(C2519,STPP!$C$6:$C$4207,0)),"Not Found"))</f>
        <v/>
      </c>
      <c r="F2519" s="27" t="str" cm="1">
        <f t="array" ref="F2519">IF(C2519="","",IFERROR(INDEX(STPP!$F$6:$F$4207,MATCH(C2519,STPP!$C$6:$C$4207,0)),"Not Found"))</f>
        <v/>
      </c>
      <c r="G2519" s="25" t="str">
        <f>IF(表1[[#This Row],[No Seri]]="","",表1[[#This Row],[Deskripsi Barang]]+表1[[#This Row],[Kuantitas]]-表1[[#This Row],[Satuan]])</f>
        <v/>
      </c>
      <c r="H2519" s="28"/>
      <c r="I2519" s="25" t="str">
        <f>IF(表1[[#This Row],[Tgl NPBG]]&gt;表1[[#This Row],[Peminta]],表1[[#This Row],[Tgl NPBG]]-表1[[#This Row],[Peminta]],"")</f>
        <v/>
      </c>
      <c r="J2519" s="31"/>
    </row>
    <row r="2520" s="12" customFormat="1" customHeight="1" spans="2:10">
      <c r="B2520" s="25"/>
      <c r="C2520" s="25"/>
      <c r="D2520" s="26" t="str" cm="1">
        <f t="array" ref="D2520">IF(C2520="","",IFERROR(INDEX(STPP!$D$6:$D$4207,MATCH(C2520,STPP!$C$6:$C$4207,0)),"Not Found"))</f>
        <v/>
      </c>
      <c r="E2520" s="27" t="str" cm="1">
        <f t="array" ref="E2520">IF(C2520="","",IFERROR(INDEX(STPP!$E$6:$E$4207,MATCH(C2520,STPP!$C$6:$C$4207,0)),"Not Found"))</f>
        <v/>
      </c>
      <c r="F2520" s="27" t="str" cm="1">
        <f t="array" ref="F2520">IF(C2520="","",IFERROR(INDEX(STPP!$F$6:$F$4207,MATCH(C2520,STPP!$C$6:$C$4207,0)),"Not Found"))</f>
        <v/>
      </c>
      <c r="G2520" s="25" t="str">
        <f>IF(表1[[#This Row],[No Seri]]="","",表1[[#This Row],[Deskripsi Barang]]+表1[[#This Row],[Kuantitas]]-表1[[#This Row],[Satuan]])</f>
        <v/>
      </c>
      <c r="H2520" s="28"/>
      <c r="I2520" s="25" t="str">
        <f>IF(表1[[#This Row],[Tgl NPBG]]&gt;表1[[#This Row],[Peminta]],表1[[#This Row],[Tgl NPBG]]-表1[[#This Row],[Peminta]],"")</f>
        <v/>
      </c>
      <c r="J2520" s="31"/>
    </row>
    <row r="2521" s="12" customFormat="1" customHeight="1" spans="2:10">
      <c r="B2521" s="25"/>
      <c r="C2521" s="25"/>
      <c r="D2521" s="26" t="str" cm="1">
        <f t="array" ref="D2521">IF(C2521="","",IFERROR(INDEX(STPP!$D$6:$D$4207,MATCH(C2521,STPP!$C$6:$C$4207,0)),"Not Found"))</f>
        <v/>
      </c>
      <c r="E2521" s="27" t="str" cm="1">
        <f t="array" ref="E2521">IF(C2521="","",IFERROR(INDEX(STPP!$E$6:$E$4207,MATCH(C2521,STPP!$C$6:$C$4207,0)),"Not Found"))</f>
        <v/>
      </c>
      <c r="F2521" s="27" t="str" cm="1">
        <f t="array" ref="F2521">IF(C2521="","",IFERROR(INDEX(STPP!$F$6:$F$4207,MATCH(C2521,STPP!$C$6:$C$4207,0)),"Not Found"))</f>
        <v/>
      </c>
      <c r="G2521" s="25" t="str">
        <f>IF(表1[[#This Row],[No Seri]]="","",表1[[#This Row],[Deskripsi Barang]]+表1[[#This Row],[Kuantitas]]-表1[[#This Row],[Satuan]])</f>
        <v/>
      </c>
      <c r="H2521" s="28"/>
      <c r="I2521" s="25" t="str">
        <f>IF(表1[[#This Row],[Tgl NPBG]]&gt;表1[[#This Row],[Peminta]],表1[[#This Row],[Tgl NPBG]]-表1[[#This Row],[Peminta]],"")</f>
        <v/>
      </c>
      <c r="J2521" s="31"/>
    </row>
    <row r="2522" s="12" customFormat="1" customHeight="1" spans="2:10">
      <c r="B2522" s="25"/>
      <c r="C2522" s="25"/>
      <c r="D2522" s="26" t="str" cm="1">
        <f t="array" ref="D2522">IF(C2522="","",IFERROR(INDEX(STPP!$D$6:$D$4207,MATCH(C2522,STPP!$C$6:$C$4207,0)),"Not Found"))</f>
        <v/>
      </c>
      <c r="E2522" s="27" t="str" cm="1">
        <f t="array" ref="E2522">IF(C2522="","",IFERROR(INDEX(STPP!$E$6:$E$4207,MATCH(C2522,STPP!$C$6:$C$4207,0)),"Not Found"))</f>
        <v/>
      </c>
      <c r="F2522" s="27" t="str" cm="1">
        <f t="array" ref="F2522">IF(C2522="","",IFERROR(INDEX(STPP!$F$6:$F$4207,MATCH(C2522,STPP!$C$6:$C$4207,0)),"Not Found"))</f>
        <v/>
      </c>
      <c r="G2522" s="25" t="str">
        <f>IF(表1[[#This Row],[No Seri]]="","",表1[[#This Row],[Deskripsi Barang]]+表1[[#This Row],[Kuantitas]]-表1[[#This Row],[Satuan]])</f>
        <v/>
      </c>
      <c r="H2522" s="28"/>
      <c r="I2522" s="25" t="str">
        <f>IF(表1[[#This Row],[Tgl NPBG]]&gt;表1[[#This Row],[Peminta]],表1[[#This Row],[Tgl NPBG]]-表1[[#This Row],[Peminta]],"")</f>
        <v/>
      </c>
      <c r="J2522" s="31"/>
    </row>
    <row r="2523" s="12" customFormat="1" customHeight="1" spans="2:10">
      <c r="B2523" s="25"/>
      <c r="C2523" s="25"/>
      <c r="D2523" s="26" t="str" cm="1">
        <f t="array" ref="D2523">IF(C2523="","",IFERROR(INDEX(STPP!$D$6:$D$4207,MATCH(C2523,STPP!$C$6:$C$4207,0)),"Not Found"))</f>
        <v/>
      </c>
      <c r="E2523" s="27" t="str" cm="1">
        <f t="array" ref="E2523">IF(C2523="","",IFERROR(INDEX(STPP!$E$6:$E$4207,MATCH(C2523,STPP!$C$6:$C$4207,0)),"Not Found"))</f>
        <v/>
      </c>
      <c r="F2523" s="27" t="str" cm="1">
        <f t="array" ref="F2523">IF(C2523="","",IFERROR(INDEX(STPP!$F$6:$F$4207,MATCH(C2523,STPP!$C$6:$C$4207,0)),"Not Found"))</f>
        <v/>
      </c>
      <c r="G2523" s="25" t="str">
        <f>IF(表1[[#This Row],[No Seri]]="","",表1[[#This Row],[Deskripsi Barang]]+表1[[#This Row],[Kuantitas]]-表1[[#This Row],[Satuan]])</f>
        <v/>
      </c>
      <c r="H2523" s="28"/>
      <c r="I2523" s="25" t="str">
        <f>IF(表1[[#This Row],[Tgl NPBG]]&gt;表1[[#This Row],[Peminta]],表1[[#This Row],[Tgl NPBG]]-表1[[#This Row],[Peminta]],"")</f>
        <v/>
      </c>
      <c r="J2523" s="31"/>
    </row>
    <row r="2524" s="12" customFormat="1" customHeight="1" spans="2:10">
      <c r="B2524" s="25"/>
      <c r="C2524" s="25"/>
      <c r="D2524" s="26" t="str" cm="1">
        <f t="array" ref="D2524">IF(C2524="","",IFERROR(INDEX(STPP!$D$6:$D$4207,MATCH(C2524,STPP!$C$6:$C$4207,0)),"Not Found"))</f>
        <v/>
      </c>
      <c r="E2524" s="27" t="str" cm="1">
        <f t="array" ref="E2524">IF(C2524="","",IFERROR(INDEX(STPP!$E$6:$E$4207,MATCH(C2524,STPP!$C$6:$C$4207,0)),"Not Found"))</f>
        <v/>
      </c>
      <c r="F2524" s="27" t="str" cm="1">
        <f t="array" ref="F2524">IF(C2524="","",IFERROR(INDEX(STPP!$F$6:$F$4207,MATCH(C2524,STPP!$C$6:$C$4207,0)),"Not Found"))</f>
        <v/>
      </c>
      <c r="G2524" s="25" t="str">
        <f>IF(表1[[#This Row],[No Seri]]="","",表1[[#This Row],[Deskripsi Barang]]+表1[[#This Row],[Kuantitas]]-表1[[#This Row],[Satuan]])</f>
        <v/>
      </c>
      <c r="H2524" s="28"/>
      <c r="I2524" s="25" t="str">
        <f>IF(表1[[#This Row],[Tgl NPBG]]&gt;表1[[#This Row],[Peminta]],表1[[#This Row],[Tgl NPBG]]-表1[[#This Row],[Peminta]],"")</f>
        <v/>
      </c>
      <c r="J2524" s="31"/>
    </row>
    <row r="2525" s="12" customFormat="1" customHeight="1" spans="2:10">
      <c r="B2525" s="25"/>
      <c r="C2525" s="25"/>
      <c r="D2525" s="26" t="str" cm="1">
        <f t="array" ref="D2525">IF(C2525="","",IFERROR(INDEX(STPP!$D$6:$D$4207,MATCH(C2525,STPP!$C$6:$C$4207,0)),"Not Found"))</f>
        <v/>
      </c>
      <c r="E2525" s="27" t="str" cm="1">
        <f t="array" ref="E2525">IF(C2525="","",IFERROR(INDEX(STPP!$E$6:$E$4207,MATCH(C2525,STPP!$C$6:$C$4207,0)),"Not Found"))</f>
        <v/>
      </c>
      <c r="F2525" s="27" t="str" cm="1">
        <f t="array" ref="F2525">IF(C2525="","",IFERROR(INDEX(STPP!$F$6:$F$4207,MATCH(C2525,STPP!$C$6:$C$4207,0)),"Not Found"))</f>
        <v/>
      </c>
      <c r="G2525" s="25" t="str">
        <f>IF(表1[[#This Row],[No Seri]]="","",表1[[#This Row],[Deskripsi Barang]]+表1[[#This Row],[Kuantitas]]-表1[[#This Row],[Satuan]])</f>
        <v/>
      </c>
      <c r="H2525" s="28"/>
      <c r="I2525" s="25" t="str">
        <f>IF(表1[[#This Row],[Tgl NPBG]]&gt;表1[[#This Row],[Peminta]],表1[[#This Row],[Tgl NPBG]]-表1[[#This Row],[Peminta]],"")</f>
        <v/>
      </c>
      <c r="J2525" s="31"/>
    </row>
    <row r="2526" s="12" customFormat="1" customHeight="1" spans="2:10">
      <c r="B2526" s="25"/>
      <c r="C2526" s="25"/>
      <c r="D2526" s="26" t="str" cm="1">
        <f t="array" ref="D2526">IF(C2526="","",IFERROR(INDEX(STPP!$D$6:$D$4207,MATCH(C2526,STPP!$C$6:$C$4207,0)),"Not Found"))</f>
        <v/>
      </c>
      <c r="E2526" s="27" t="str" cm="1">
        <f t="array" ref="E2526">IF(C2526="","",IFERROR(INDEX(STPP!$E$6:$E$4207,MATCH(C2526,STPP!$C$6:$C$4207,0)),"Not Found"))</f>
        <v/>
      </c>
      <c r="F2526" s="27" t="str" cm="1">
        <f t="array" ref="F2526">IF(C2526="","",IFERROR(INDEX(STPP!$F$6:$F$4207,MATCH(C2526,STPP!$C$6:$C$4207,0)),"Not Found"))</f>
        <v/>
      </c>
      <c r="G2526" s="25" t="str">
        <f>IF(表1[[#This Row],[No Seri]]="","",表1[[#This Row],[Deskripsi Barang]]+表1[[#This Row],[Kuantitas]]-表1[[#This Row],[Satuan]])</f>
        <v/>
      </c>
      <c r="H2526" s="28"/>
      <c r="I2526" s="25" t="str">
        <f>IF(表1[[#This Row],[Tgl NPBG]]&gt;表1[[#This Row],[Peminta]],表1[[#This Row],[Tgl NPBG]]-表1[[#This Row],[Peminta]],"")</f>
        <v/>
      </c>
      <c r="J2526" s="31"/>
    </row>
    <row r="2527" s="12" customFormat="1" customHeight="1" spans="2:10">
      <c r="B2527" s="25"/>
      <c r="C2527" s="25"/>
      <c r="D2527" s="26" t="str" cm="1">
        <f t="array" ref="D2527">IF(C2527="","",IFERROR(INDEX(STPP!$D$6:$D$4207,MATCH(C2527,STPP!$C$6:$C$4207,0)),"Not Found"))</f>
        <v/>
      </c>
      <c r="E2527" s="27" t="str" cm="1">
        <f t="array" ref="E2527">IF(C2527="","",IFERROR(INDEX(STPP!$E$6:$E$4207,MATCH(C2527,STPP!$C$6:$C$4207,0)),"Not Found"))</f>
        <v/>
      </c>
      <c r="F2527" s="27" t="str" cm="1">
        <f t="array" ref="F2527">IF(C2527="","",IFERROR(INDEX(STPP!$F$6:$F$4207,MATCH(C2527,STPP!$C$6:$C$4207,0)),"Not Found"))</f>
        <v/>
      </c>
      <c r="G2527" s="25" t="str">
        <f>IF(表1[[#This Row],[No Seri]]="","",表1[[#This Row],[Deskripsi Barang]]+表1[[#This Row],[Kuantitas]]-表1[[#This Row],[Satuan]])</f>
        <v/>
      </c>
      <c r="H2527" s="28"/>
      <c r="I2527" s="25" t="str">
        <f>IF(表1[[#This Row],[Tgl NPBG]]&gt;表1[[#This Row],[Peminta]],表1[[#This Row],[Tgl NPBG]]-表1[[#This Row],[Peminta]],"")</f>
        <v/>
      </c>
      <c r="J2527" s="31"/>
    </row>
    <row r="2528" s="12" customFormat="1" customHeight="1" spans="2:10">
      <c r="B2528" s="25"/>
      <c r="C2528" s="25"/>
      <c r="D2528" s="26" t="str" cm="1">
        <f t="array" ref="D2528">IF(C2528="","",IFERROR(INDEX(STPP!$D$6:$D$4207,MATCH(C2528,STPP!$C$6:$C$4207,0)),"Not Found"))</f>
        <v/>
      </c>
      <c r="E2528" s="27" t="str" cm="1">
        <f t="array" ref="E2528">IF(C2528="","",IFERROR(INDEX(STPP!$E$6:$E$4207,MATCH(C2528,STPP!$C$6:$C$4207,0)),"Not Found"))</f>
        <v/>
      </c>
      <c r="F2528" s="27" t="str" cm="1">
        <f t="array" ref="F2528">IF(C2528="","",IFERROR(INDEX(STPP!$F$6:$F$4207,MATCH(C2528,STPP!$C$6:$C$4207,0)),"Not Found"))</f>
        <v/>
      </c>
      <c r="G2528" s="25" t="str">
        <f>IF(表1[[#This Row],[No Seri]]="","",表1[[#This Row],[Deskripsi Barang]]+表1[[#This Row],[Kuantitas]]-表1[[#This Row],[Satuan]])</f>
        <v/>
      </c>
      <c r="H2528" s="28"/>
      <c r="I2528" s="25" t="str">
        <f>IF(表1[[#This Row],[Tgl NPBG]]&gt;表1[[#This Row],[Peminta]],表1[[#This Row],[Tgl NPBG]]-表1[[#This Row],[Peminta]],"")</f>
        <v/>
      </c>
      <c r="J2528" s="31"/>
    </row>
    <row r="2529" s="12" customFormat="1" customHeight="1" spans="2:10">
      <c r="B2529" s="25"/>
      <c r="C2529" s="25"/>
      <c r="D2529" s="26" t="str" cm="1">
        <f t="array" ref="D2529">IF(C2529="","",IFERROR(INDEX(STPP!$D$6:$D$4207,MATCH(C2529,STPP!$C$6:$C$4207,0)),"Not Found"))</f>
        <v/>
      </c>
      <c r="E2529" s="27" t="str" cm="1">
        <f t="array" ref="E2529">IF(C2529="","",IFERROR(INDEX(STPP!$E$6:$E$4207,MATCH(C2529,STPP!$C$6:$C$4207,0)),"Not Found"))</f>
        <v/>
      </c>
      <c r="F2529" s="27" t="str" cm="1">
        <f t="array" ref="F2529">IF(C2529="","",IFERROR(INDEX(STPP!$F$6:$F$4207,MATCH(C2529,STPP!$C$6:$C$4207,0)),"Not Found"))</f>
        <v/>
      </c>
      <c r="G2529" s="25" t="str">
        <f>IF(表1[[#This Row],[No Seri]]="","",表1[[#This Row],[Deskripsi Barang]]+表1[[#This Row],[Kuantitas]]-表1[[#This Row],[Satuan]])</f>
        <v/>
      </c>
      <c r="H2529" s="28"/>
      <c r="I2529" s="25" t="str">
        <f>IF(表1[[#This Row],[Tgl NPBG]]&gt;表1[[#This Row],[Peminta]],表1[[#This Row],[Tgl NPBG]]-表1[[#This Row],[Peminta]],"")</f>
        <v/>
      </c>
      <c r="J2529" s="31"/>
    </row>
    <row r="2530" s="12" customFormat="1" customHeight="1" spans="2:10">
      <c r="B2530" s="25"/>
      <c r="C2530" s="25"/>
      <c r="D2530" s="26" t="str" cm="1">
        <f t="array" ref="D2530">IF(C2530="","",IFERROR(INDEX(STPP!$D$6:$D$4207,MATCH(C2530,STPP!$C$6:$C$4207,0)),"Not Found"))</f>
        <v/>
      </c>
      <c r="E2530" s="27" t="str" cm="1">
        <f t="array" ref="E2530">IF(C2530="","",IFERROR(INDEX(STPP!$E$6:$E$4207,MATCH(C2530,STPP!$C$6:$C$4207,0)),"Not Found"))</f>
        <v/>
      </c>
      <c r="F2530" s="27" t="str" cm="1">
        <f t="array" ref="F2530">IF(C2530="","",IFERROR(INDEX(STPP!$F$6:$F$4207,MATCH(C2530,STPP!$C$6:$C$4207,0)),"Not Found"))</f>
        <v/>
      </c>
      <c r="G2530" s="25" t="str">
        <f>IF(表1[[#This Row],[No Seri]]="","",表1[[#This Row],[Deskripsi Barang]]+表1[[#This Row],[Kuantitas]]-表1[[#This Row],[Satuan]])</f>
        <v/>
      </c>
      <c r="H2530" s="28"/>
      <c r="I2530" s="25" t="str">
        <f>IF(表1[[#This Row],[Tgl NPBG]]&gt;表1[[#This Row],[Peminta]],表1[[#This Row],[Tgl NPBG]]-表1[[#This Row],[Peminta]],"")</f>
        <v/>
      </c>
      <c r="J2530" s="31"/>
    </row>
    <row r="2531" s="12" customFormat="1" customHeight="1" spans="2:10">
      <c r="B2531" s="25"/>
      <c r="C2531" s="25"/>
      <c r="D2531" s="26" t="str" cm="1">
        <f t="array" ref="D2531">IF(C2531="","",IFERROR(INDEX(STPP!$D$6:$D$4207,MATCH(C2531,STPP!$C$6:$C$4207,0)),"Not Found"))</f>
        <v/>
      </c>
      <c r="E2531" s="27" t="str" cm="1">
        <f t="array" ref="E2531">IF(C2531="","",IFERROR(INDEX(STPP!$E$6:$E$4207,MATCH(C2531,STPP!$C$6:$C$4207,0)),"Not Found"))</f>
        <v/>
      </c>
      <c r="F2531" s="27" t="str" cm="1">
        <f t="array" ref="F2531">IF(C2531="","",IFERROR(INDEX(STPP!$F$6:$F$4207,MATCH(C2531,STPP!$C$6:$C$4207,0)),"Not Found"))</f>
        <v/>
      </c>
      <c r="G2531" s="25" t="str">
        <f>IF(表1[[#This Row],[No Seri]]="","",表1[[#This Row],[Deskripsi Barang]]+表1[[#This Row],[Kuantitas]]-表1[[#This Row],[Satuan]])</f>
        <v/>
      </c>
      <c r="H2531" s="28"/>
      <c r="I2531" s="25" t="str">
        <f>IF(表1[[#This Row],[Tgl NPBG]]&gt;表1[[#This Row],[Peminta]],表1[[#This Row],[Tgl NPBG]]-表1[[#This Row],[Peminta]],"")</f>
        <v/>
      </c>
      <c r="J2531" s="31"/>
    </row>
    <row r="2532" s="12" customFormat="1" customHeight="1" spans="2:10">
      <c r="B2532" s="25"/>
      <c r="C2532" s="25"/>
      <c r="D2532" s="26" t="str" cm="1">
        <f t="array" ref="D2532">IF(C2532="","",IFERROR(INDEX(STPP!$D$6:$D$4207,MATCH(C2532,STPP!$C$6:$C$4207,0)),"Not Found"))</f>
        <v/>
      </c>
      <c r="E2532" s="27" t="str" cm="1">
        <f t="array" ref="E2532">IF(C2532="","",IFERROR(INDEX(STPP!$E$6:$E$4207,MATCH(C2532,STPP!$C$6:$C$4207,0)),"Not Found"))</f>
        <v/>
      </c>
      <c r="F2532" s="27" t="str" cm="1">
        <f t="array" ref="F2532">IF(C2532="","",IFERROR(INDEX(STPP!$F$6:$F$4207,MATCH(C2532,STPP!$C$6:$C$4207,0)),"Not Found"))</f>
        <v/>
      </c>
      <c r="G2532" s="25" t="str">
        <f>IF(表1[[#This Row],[No Seri]]="","",表1[[#This Row],[Deskripsi Barang]]+表1[[#This Row],[Kuantitas]]-表1[[#This Row],[Satuan]])</f>
        <v/>
      </c>
      <c r="H2532" s="28"/>
      <c r="I2532" s="25" t="str">
        <f>IF(表1[[#This Row],[Tgl NPBG]]&gt;表1[[#This Row],[Peminta]],表1[[#This Row],[Tgl NPBG]]-表1[[#This Row],[Peminta]],"")</f>
        <v/>
      </c>
      <c r="J2532" s="31"/>
    </row>
    <row r="2533" s="12" customFormat="1" customHeight="1" spans="2:10">
      <c r="B2533" s="25"/>
      <c r="C2533" s="25"/>
      <c r="D2533" s="26" t="str" cm="1">
        <f t="array" ref="D2533">IF(C2533="","",IFERROR(INDEX(STPP!$D$6:$D$4207,MATCH(C2533,STPP!$C$6:$C$4207,0)),"Not Found"))</f>
        <v/>
      </c>
      <c r="E2533" s="27" t="str" cm="1">
        <f t="array" ref="E2533">IF(C2533="","",IFERROR(INDEX(STPP!$E$6:$E$4207,MATCH(C2533,STPP!$C$6:$C$4207,0)),"Not Found"))</f>
        <v/>
      </c>
      <c r="F2533" s="27" t="str" cm="1">
        <f t="array" ref="F2533">IF(C2533="","",IFERROR(INDEX(STPP!$F$6:$F$4207,MATCH(C2533,STPP!$C$6:$C$4207,0)),"Not Found"))</f>
        <v/>
      </c>
      <c r="G2533" s="25" t="str">
        <f>IF(表1[[#This Row],[No Seri]]="","",表1[[#This Row],[Deskripsi Barang]]+表1[[#This Row],[Kuantitas]]-表1[[#This Row],[Satuan]])</f>
        <v/>
      </c>
      <c r="H2533" s="28"/>
      <c r="I2533" s="25" t="str">
        <f>IF(表1[[#This Row],[Tgl NPBG]]&gt;表1[[#This Row],[Peminta]],表1[[#This Row],[Tgl NPBG]]-表1[[#This Row],[Peminta]],"")</f>
        <v/>
      </c>
      <c r="J2533" s="31"/>
    </row>
    <row r="2534" s="12" customFormat="1" customHeight="1" spans="2:10">
      <c r="B2534" s="25"/>
      <c r="C2534" s="25"/>
      <c r="D2534" s="26" t="str" cm="1">
        <f t="array" ref="D2534">IF(C2534="","",IFERROR(INDEX(STPP!$D$6:$D$4207,MATCH(C2534,STPP!$C$6:$C$4207,0)),"Not Found"))</f>
        <v/>
      </c>
      <c r="E2534" s="27" t="str" cm="1">
        <f t="array" ref="E2534">IF(C2534="","",IFERROR(INDEX(STPP!$E$6:$E$4207,MATCH(C2534,STPP!$C$6:$C$4207,0)),"Not Found"))</f>
        <v/>
      </c>
      <c r="F2534" s="27" t="str" cm="1">
        <f t="array" ref="F2534">IF(C2534="","",IFERROR(INDEX(STPP!$F$6:$F$4207,MATCH(C2534,STPP!$C$6:$C$4207,0)),"Not Found"))</f>
        <v/>
      </c>
      <c r="G2534" s="25" t="str">
        <f>IF(表1[[#This Row],[No Seri]]="","",表1[[#This Row],[Deskripsi Barang]]+表1[[#This Row],[Kuantitas]]-表1[[#This Row],[Satuan]])</f>
        <v/>
      </c>
      <c r="H2534" s="28"/>
      <c r="I2534" s="25" t="str">
        <f>IF(表1[[#This Row],[Tgl NPBG]]&gt;表1[[#This Row],[Peminta]],表1[[#This Row],[Tgl NPBG]]-表1[[#This Row],[Peminta]],"")</f>
        <v/>
      </c>
      <c r="J2534" s="31"/>
    </row>
    <row r="2535" s="12" customFormat="1" customHeight="1" spans="2:10">
      <c r="B2535" s="25"/>
      <c r="C2535" s="25"/>
      <c r="D2535" s="26" t="str" cm="1">
        <f t="array" ref="D2535">IF(C2535="","",IFERROR(INDEX(STPP!$D$6:$D$4207,MATCH(C2535,STPP!$C$6:$C$4207,0)),"Not Found"))</f>
        <v/>
      </c>
      <c r="E2535" s="27" t="str" cm="1">
        <f t="array" ref="E2535">IF(C2535="","",IFERROR(INDEX(STPP!$E$6:$E$4207,MATCH(C2535,STPP!$C$6:$C$4207,0)),"Not Found"))</f>
        <v/>
      </c>
      <c r="F2535" s="27" t="str" cm="1">
        <f t="array" ref="F2535">IF(C2535="","",IFERROR(INDEX(STPP!$F$6:$F$4207,MATCH(C2535,STPP!$C$6:$C$4207,0)),"Not Found"))</f>
        <v/>
      </c>
      <c r="G2535" s="25" t="str">
        <f>IF(表1[[#This Row],[No Seri]]="","",表1[[#This Row],[Deskripsi Barang]]+表1[[#This Row],[Kuantitas]]-表1[[#This Row],[Satuan]])</f>
        <v/>
      </c>
      <c r="H2535" s="28"/>
      <c r="I2535" s="25" t="str">
        <f>IF(表1[[#This Row],[Tgl NPBG]]&gt;表1[[#This Row],[Peminta]],表1[[#This Row],[Tgl NPBG]]-表1[[#This Row],[Peminta]],"")</f>
        <v/>
      </c>
      <c r="J2535" s="31"/>
    </row>
    <row r="2536" s="12" customFormat="1" customHeight="1" spans="2:10">
      <c r="B2536" s="25"/>
      <c r="C2536" s="25"/>
      <c r="D2536" s="26" t="str" cm="1">
        <f t="array" ref="D2536">IF(C2536="","",IFERROR(INDEX(STPP!$D$6:$D$4207,MATCH(C2536,STPP!$C$6:$C$4207,0)),"Not Found"))</f>
        <v/>
      </c>
      <c r="E2536" s="27" t="str" cm="1">
        <f t="array" ref="E2536">IF(C2536="","",IFERROR(INDEX(STPP!$E$6:$E$4207,MATCH(C2536,STPP!$C$6:$C$4207,0)),"Not Found"))</f>
        <v/>
      </c>
      <c r="F2536" s="27" t="str" cm="1">
        <f t="array" ref="F2536">IF(C2536="","",IFERROR(INDEX(STPP!$F$6:$F$4207,MATCH(C2536,STPP!$C$6:$C$4207,0)),"Not Found"))</f>
        <v/>
      </c>
      <c r="G2536" s="25" t="str">
        <f>IF(表1[[#This Row],[No Seri]]="","",表1[[#This Row],[Deskripsi Barang]]+表1[[#This Row],[Kuantitas]]-表1[[#This Row],[Satuan]])</f>
        <v/>
      </c>
      <c r="H2536" s="28"/>
      <c r="I2536" s="25" t="str">
        <f>IF(表1[[#This Row],[Tgl NPBG]]&gt;表1[[#This Row],[Peminta]],表1[[#This Row],[Tgl NPBG]]-表1[[#This Row],[Peminta]],"")</f>
        <v/>
      </c>
      <c r="J2536" s="31"/>
    </row>
    <row r="2537" s="12" customFormat="1" customHeight="1" spans="2:10">
      <c r="B2537" s="25"/>
      <c r="C2537" s="25"/>
      <c r="D2537" s="26" t="str" cm="1">
        <f t="array" ref="D2537">IF(C2537="","",IFERROR(INDEX(STPP!$D$6:$D$4207,MATCH(C2537,STPP!$C$6:$C$4207,0)),"Not Found"))</f>
        <v/>
      </c>
      <c r="E2537" s="27" t="str" cm="1">
        <f t="array" ref="E2537">IF(C2537="","",IFERROR(INDEX(STPP!$E$6:$E$4207,MATCH(C2537,STPP!$C$6:$C$4207,0)),"Not Found"))</f>
        <v/>
      </c>
      <c r="F2537" s="27" t="str" cm="1">
        <f t="array" ref="F2537">IF(C2537="","",IFERROR(INDEX(STPP!$F$6:$F$4207,MATCH(C2537,STPP!$C$6:$C$4207,0)),"Not Found"))</f>
        <v/>
      </c>
      <c r="G2537" s="25" t="str">
        <f>IF(表1[[#This Row],[No Seri]]="","",表1[[#This Row],[Deskripsi Barang]]+表1[[#This Row],[Kuantitas]]-表1[[#This Row],[Satuan]])</f>
        <v/>
      </c>
      <c r="H2537" s="28"/>
      <c r="I2537" s="25" t="str">
        <f>IF(表1[[#This Row],[Tgl NPBG]]&gt;表1[[#This Row],[Peminta]],表1[[#This Row],[Tgl NPBG]]-表1[[#This Row],[Peminta]],"")</f>
        <v/>
      </c>
      <c r="J2537" s="31"/>
    </row>
    <row r="2538" s="12" customFormat="1" customHeight="1" spans="2:10">
      <c r="B2538" s="25"/>
      <c r="C2538" s="25"/>
      <c r="D2538" s="26" t="str" cm="1">
        <f t="array" ref="D2538">IF(C2538="","",IFERROR(INDEX(STPP!$D$6:$D$4207,MATCH(C2538,STPP!$C$6:$C$4207,0)),"Not Found"))</f>
        <v/>
      </c>
      <c r="E2538" s="27" t="str" cm="1">
        <f t="array" ref="E2538">IF(C2538="","",IFERROR(INDEX(STPP!$E$6:$E$4207,MATCH(C2538,STPP!$C$6:$C$4207,0)),"Not Found"))</f>
        <v/>
      </c>
      <c r="F2538" s="27" t="str" cm="1">
        <f t="array" ref="F2538">IF(C2538="","",IFERROR(INDEX(STPP!$F$6:$F$4207,MATCH(C2538,STPP!$C$6:$C$4207,0)),"Not Found"))</f>
        <v/>
      </c>
      <c r="G2538" s="25" t="str">
        <f>IF(表1[[#This Row],[No Seri]]="","",表1[[#This Row],[Deskripsi Barang]]+表1[[#This Row],[Kuantitas]]-表1[[#This Row],[Satuan]])</f>
        <v/>
      </c>
      <c r="H2538" s="28"/>
      <c r="I2538" s="25" t="str">
        <f>IF(表1[[#This Row],[Tgl NPBG]]&gt;表1[[#This Row],[Peminta]],表1[[#This Row],[Tgl NPBG]]-表1[[#This Row],[Peminta]],"")</f>
        <v/>
      </c>
      <c r="J2538" s="31"/>
    </row>
    <row r="2539" s="12" customFormat="1" customHeight="1" spans="2:10">
      <c r="B2539" s="25"/>
      <c r="C2539" s="25"/>
      <c r="D2539" s="26" t="str" cm="1">
        <f t="array" ref="D2539">IF(C2539="","",IFERROR(INDEX(STPP!$D$6:$D$4207,MATCH(C2539,STPP!$C$6:$C$4207,0)),"Not Found"))</f>
        <v/>
      </c>
      <c r="E2539" s="27" t="str" cm="1">
        <f t="array" ref="E2539">IF(C2539="","",IFERROR(INDEX(STPP!$E$6:$E$4207,MATCH(C2539,STPP!$C$6:$C$4207,0)),"Not Found"))</f>
        <v/>
      </c>
      <c r="F2539" s="27" t="str" cm="1">
        <f t="array" ref="F2539">IF(C2539="","",IFERROR(INDEX(STPP!$F$6:$F$4207,MATCH(C2539,STPP!$C$6:$C$4207,0)),"Not Found"))</f>
        <v/>
      </c>
      <c r="G2539" s="25" t="str">
        <f>IF(表1[[#This Row],[No Seri]]="","",表1[[#This Row],[Deskripsi Barang]]+表1[[#This Row],[Kuantitas]]-表1[[#This Row],[Satuan]])</f>
        <v/>
      </c>
      <c r="H2539" s="28"/>
      <c r="I2539" s="25" t="str">
        <f>IF(表1[[#This Row],[Tgl NPBG]]&gt;表1[[#This Row],[Peminta]],表1[[#This Row],[Tgl NPBG]]-表1[[#This Row],[Peminta]],"")</f>
        <v/>
      </c>
      <c r="J2539" s="31"/>
    </row>
    <row r="2540" s="12" customFormat="1" customHeight="1" spans="2:10">
      <c r="B2540" s="25"/>
      <c r="C2540" s="25"/>
      <c r="D2540" s="26" t="str" cm="1">
        <f t="array" ref="D2540">IF(C2540="","",IFERROR(INDEX(STPP!$D$6:$D$4207,MATCH(C2540,STPP!$C$6:$C$4207,0)),"Not Found"))</f>
        <v/>
      </c>
      <c r="E2540" s="27" t="str" cm="1">
        <f t="array" ref="E2540">IF(C2540="","",IFERROR(INDEX(STPP!$E$6:$E$4207,MATCH(C2540,STPP!$C$6:$C$4207,0)),"Not Found"))</f>
        <v/>
      </c>
      <c r="F2540" s="27" t="str" cm="1">
        <f t="array" ref="F2540">IF(C2540="","",IFERROR(INDEX(STPP!$F$6:$F$4207,MATCH(C2540,STPP!$C$6:$C$4207,0)),"Not Found"))</f>
        <v/>
      </c>
      <c r="G2540" s="25" t="str">
        <f>IF(表1[[#This Row],[No Seri]]="","",表1[[#This Row],[Deskripsi Barang]]+表1[[#This Row],[Kuantitas]]-表1[[#This Row],[Satuan]])</f>
        <v/>
      </c>
      <c r="H2540" s="28"/>
      <c r="I2540" s="25" t="str">
        <f>IF(表1[[#This Row],[Tgl NPBG]]&gt;表1[[#This Row],[Peminta]],表1[[#This Row],[Tgl NPBG]]-表1[[#This Row],[Peminta]],"")</f>
        <v/>
      </c>
      <c r="J2540" s="31"/>
    </row>
    <row r="2541" s="12" customFormat="1" customHeight="1" spans="2:10">
      <c r="B2541" s="25"/>
      <c r="C2541" s="25"/>
      <c r="D2541" s="26" t="str" cm="1">
        <f t="array" ref="D2541">IF(C2541="","",IFERROR(INDEX(STPP!$D$6:$D$4207,MATCH(C2541,STPP!$C$6:$C$4207,0)),"Not Found"))</f>
        <v/>
      </c>
      <c r="E2541" s="27" t="str" cm="1">
        <f t="array" ref="E2541">IF(C2541="","",IFERROR(INDEX(STPP!$E$6:$E$4207,MATCH(C2541,STPP!$C$6:$C$4207,0)),"Not Found"))</f>
        <v/>
      </c>
      <c r="F2541" s="27" t="str" cm="1">
        <f t="array" ref="F2541">IF(C2541="","",IFERROR(INDEX(STPP!$F$6:$F$4207,MATCH(C2541,STPP!$C$6:$C$4207,0)),"Not Found"))</f>
        <v/>
      </c>
      <c r="G2541" s="25" t="str">
        <f>IF(表1[[#This Row],[No Seri]]="","",表1[[#This Row],[Deskripsi Barang]]+表1[[#This Row],[Kuantitas]]-表1[[#This Row],[Satuan]])</f>
        <v/>
      </c>
      <c r="H2541" s="28"/>
      <c r="I2541" s="25" t="str">
        <f>IF(表1[[#This Row],[Tgl NPBG]]&gt;表1[[#This Row],[Peminta]],表1[[#This Row],[Tgl NPBG]]-表1[[#This Row],[Peminta]],"")</f>
        <v/>
      </c>
      <c r="J2541" s="31"/>
    </row>
    <row r="2542" s="12" customFormat="1" customHeight="1" spans="2:10">
      <c r="B2542" s="25"/>
      <c r="C2542" s="25"/>
      <c r="D2542" s="26" t="str" cm="1">
        <f t="array" ref="D2542">IF(C2542="","",IFERROR(INDEX(STPP!$D$6:$D$4207,MATCH(C2542,STPP!$C$6:$C$4207,0)),"Not Found"))</f>
        <v/>
      </c>
      <c r="E2542" s="27" t="str" cm="1">
        <f t="array" ref="E2542">IF(C2542="","",IFERROR(INDEX(STPP!$E$6:$E$4207,MATCH(C2542,STPP!$C$6:$C$4207,0)),"Not Found"))</f>
        <v/>
      </c>
      <c r="F2542" s="27" t="str" cm="1">
        <f t="array" ref="F2542">IF(C2542="","",IFERROR(INDEX(STPP!$F$6:$F$4207,MATCH(C2542,STPP!$C$6:$C$4207,0)),"Not Found"))</f>
        <v/>
      </c>
      <c r="G2542" s="25" t="str">
        <f>IF(表1[[#This Row],[No Seri]]="","",表1[[#This Row],[Deskripsi Barang]]+表1[[#This Row],[Kuantitas]]-表1[[#This Row],[Satuan]])</f>
        <v/>
      </c>
      <c r="H2542" s="28"/>
      <c r="I2542" s="25" t="str">
        <f>IF(表1[[#This Row],[Tgl NPBG]]&gt;表1[[#This Row],[Peminta]],表1[[#This Row],[Tgl NPBG]]-表1[[#This Row],[Peminta]],"")</f>
        <v/>
      </c>
      <c r="J2542" s="31"/>
    </row>
    <row r="2543" s="12" customFormat="1" customHeight="1" spans="2:10">
      <c r="B2543" s="25"/>
      <c r="C2543" s="25"/>
      <c r="D2543" s="26" t="str" cm="1">
        <f t="array" ref="D2543">IF(C2543="","",IFERROR(INDEX(STPP!$D$6:$D$4207,MATCH(C2543,STPP!$C$6:$C$4207,0)),"Not Found"))</f>
        <v/>
      </c>
      <c r="E2543" s="27" t="str" cm="1">
        <f t="array" ref="E2543">IF(C2543="","",IFERROR(INDEX(STPP!$E$6:$E$4207,MATCH(C2543,STPP!$C$6:$C$4207,0)),"Not Found"))</f>
        <v/>
      </c>
      <c r="F2543" s="27" t="str" cm="1">
        <f t="array" ref="F2543">IF(C2543="","",IFERROR(INDEX(STPP!$F$6:$F$4207,MATCH(C2543,STPP!$C$6:$C$4207,0)),"Not Found"))</f>
        <v/>
      </c>
      <c r="G2543" s="25" t="str">
        <f>IF(表1[[#This Row],[No Seri]]="","",表1[[#This Row],[Deskripsi Barang]]+表1[[#This Row],[Kuantitas]]-表1[[#This Row],[Satuan]])</f>
        <v/>
      </c>
      <c r="H2543" s="28"/>
      <c r="I2543" s="25" t="str">
        <f>IF(表1[[#This Row],[Tgl NPBG]]&gt;表1[[#This Row],[Peminta]],表1[[#This Row],[Tgl NPBG]]-表1[[#This Row],[Peminta]],"")</f>
        <v/>
      </c>
      <c r="J2543" s="31"/>
    </row>
    <row r="2544" s="12" customFormat="1" customHeight="1" spans="2:10">
      <c r="B2544" s="25"/>
      <c r="C2544" s="25"/>
      <c r="D2544" s="26" t="str" cm="1">
        <f t="array" ref="D2544">IF(C2544="","",IFERROR(INDEX(STPP!$D$6:$D$4207,MATCH(C2544,STPP!$C$6:$C$4207,0)),"Not Found"))</f>
        <v/>
      </c>
      <c r="E2544" s="27" t="str" cm="1">
        <f t="array" ref="E2544">IF(C2544="","",IFERROR(INDEX(STPP!$E$6:$E$4207,MATCH(C2544,STPP!$C$6:$C$4207,0)),"Not Found"))</f>
        <v/>
      </c>
      <c r="F2544" s="27" t="str" cm="1">
        <f t="array" ref="F2544">IF(C2544="","",IFERROR(INDEX(STPP!$F$6:$F$4207,MATCH(C2544,STPP!$C$6:$C$4207,0)),"Not Found"))</f>
        <v/>
      </c>
      <c r="G2544" s="25" t="str">
        <f>IF(表1[[#This Row],[No Seri]]="","",表1[[#This Row],[Deskripsi Barang]]+表1[[#This Row],[Kuantitas]]-表1[[#This Row],[Satuan]])</f>
        <v/>
      </c>
      <c r="H2544" s="28"/>
      <c r="I2544" s="25" t="str">
        <f>IF(表1[[#This Row],[Tgl NPBG]]&gt;表1[[#This Row],[Peminta]],表1[[#This Row],[Tgl NPBG]]-表1[[#This Row],[Peminta]],"")</f>
        <v/>
      </c>
      <c r="J2544" s="31"/>
    </row>
    <row r="2545" s="12" customFormat="1" customHeight="1" spans="2:10">
      <c r="B2545" s="25"/>
      <c r="C2545" s="25"/>
      <c r="D2545" s="26" t="str" cm="1">
        <f t="array" ref="D2545">IF(C2545="","",IFERROR(INDEX(STPP!$D$6:$D$4207,MATCH(C2545,STPP!$C$6:$C$4207,0)),"Not Found"))</f>
        <v/>
      </c>
      <c r="E2545" s="27" t="str" cm="1">
        <f t="array" ref="E2545">IF(C2545="","",IFERROR(INDEX(STPP!$E$6:$E$4207,MATCH(C2545,STPP!$C$6:$C$4207,0)),"Not Found"))</f>
        <v/>
      </c>
      <c r="F2545" s="27" t="str" cm="1">
        <f t="array" ref="F2545">IF(C2545="","",IFERROR(INDEX(STPP!$F$6:$F$4207,MATCH(C2545,STPP!$C$6:$C$4207,0)),"Not Found"))</f>
        <v/>
      </c>
      <c r="G2545" s="25" t="str">
        <f>IF(表1[[#This Row],[No Seri]]="","",表1[[#This Row],[Deskripsi Barang]]+表1[[#This Row],[Kuantitas]]-表1[[#This Row],[Satuan]])</f>
        <v/>
      </c>
      <c r="H2545" s="28"/>
      <c r="I2545" s="25" t="str">
        <f>IF(表1[[#This Row],[Tgl NPBG]]&gt;表1[[#This Row],[Peminta]],表1[[#This Row],[Tgl NPBG]]-表1[[#This Row],[Peminta]],"")</f>
        <v/>
      </c>
      <c r="J2545" s="31"/>
    </row>
    <row r="2546" s="12" customFormat="1" customHeight="1" spans="2:10">
      <c r="B2546" s="25"/>
      <c r="C2546" s="25"/>
      <c r="D2546" s="26" t="str" cm="1">
        <f t="array" ref="D2546">IF(C2546="","",IFERROR(INDEX(STPP!$D$6:$D$4207,MATCH(C2546,STPP!$C$6:$C$4207,0)),"Not Found"))</f>
        <v/>
      </c>
      <c r="E2546" s="27" t="str" cm="1">
        <f t="array" ref="E2546">IF(C2546="","",IFERROR(INDEX(STPP!$E$6:$E$4207,MATCH(C2546,STPP!$C$6:$C$4207,0)),"Not Found"))</f>
        <v/>
      </c>
      <c r="F2546" s="27" t="str" cm="1">
        <f t="array" ref="F2546">IF(C2546="","",IFERROR(INDEX(STPP!$F$6:$F$4207,MATCH(C2546,STPP!$C$6:$C$4207,0)),"Not Found"))</f>
        <v/>
      </c>
      <c r="G2546" s="25" t="str">
        <f>IF(表1[[#This Row],[No Seri]]="","",表1[[#This Row],[Deskripsi Barang]]+表1[[#This Row],[Kuantitas]]-表1[[#This Row],[Satuan]])</f>
        <v/>
      </c>
      <c r="H2546" s="28"/>
      <c r="I2546" s="25" t="str">
        <f>IF(表1[[#This Row],[Tgl NPBG]]&gt;表1[[#This Row],[Peminta]],表1[[#This Row],[Tgl NPBG]]-表1[[#This Row],[Peminta]],"")</f>
        <v/>
      </c>
      <c r="J2546" s="31"/>
    </row>
    <row r="2547" s="12" customFormat="1" customHeight="1" spans="2:10">
      <c r="B2547" s="25"/>
      <c r="C2547" s="25"/>
      <c r="D2547" s="26" t="str" cm="1">
        <f t="array" ref="D2547">IF(C2547="","",IFERROR(INDEX(STPP!$D$6:$D$4207,MATCH(C2547,STPP!$C$6:$C$4207,0)),"Not Found"))</f>
        <v/>
      </c>
      <c r="E2547" s="27" t="str" cm="1">
        <f t="array" ref="E2547">IF(C2547="","",IFERROR(INDEX(STPP!$E$6:$E$4207,MATCH(C2547,STPP!$C$6:$C$4207,0)),"Not Found"))</f>
        <v/>
      </c>
      <c r="F2547" s="27" t="str" cm="1">
        <f t="array" ref="F2547">IF(C2547="","",IFERROR(INDEX(STPP!$F$6:$F$4207,MATCH(C2547,STPP!$C$6:$C$4207,0)),"Not Found"))</f>
        <v/>
      </c>
      <c r="G2547" s="25" t="str">
        <f>IF(表1[[#This Row],[No Seri]]="","",表1[[#This Row],[Deskripsi Barang]]+表1[[#This Row],[Kuantitas]]-表1[[#This Row],[Satuan]])</f>
        <v/>
      </c>
      <c r="H2547" s="28"/>
      <c r="I2547" s="25" t="str">
        <f>IF(表1[[#This Row],[Tgl NPBG]]&gt;表1[[#This Row],[Peminta]],表1[[#This Row],[Tgl NPBG]]-表1[[#This Row],[Peminta]],"")</f>
        <v/>
      </c>
      <c r="J2547" s="31"/>
    </row>
    <row r="2548" s="12" customFormat="1" customHeight="1" spans="2:10">
      <c r="B2548" s="25"/>
      <c r="C2548" s="25"/>
      <c r="D2548" s="26" t="str" cm="1">
        <f t="array" ref="D2548">IF(C2548="","",IFERROR(INDEX(STPP!$D$6:$D$4207,MATCH(C2548,STPP!$C$6:$C$4207,0)),"Not Found"))</f>
        <v/>
      </c>
      <c r="E2548" s="27" t="str" cm="1">
        <f t="array" ref="E2548">IF(C2548="","",IFERROR(INDEX(STPP!$E$6:$E$4207,MATCH(C2548,STPP!$C$6:$C$4207,0)),"Not Found"))</f>
        <v/>
      </c>
      <c r="F2548" s="27" t="str" cm="1">
        <f t="array" ref="F2548">IF(C2548="","",IFERROR(INDEX(STPP!$F$6:$F$4207,MATCH(C2548,STPP!$C$6:$C$4207,0)),"Not Found"))</f>
        <v/>
      </c>
      <c r="G2548" s="25" t="str">
        <f>IF(表1[[#This Row],[No Seri]]="","",表1[[#This Row],[Deskripsi Barang]]+表1[[#This Row],[Kuantitas]]-表1[[#This Row],[Satuan]])</f>
        <v/>
      </c>
      <c r="H2548" s="28"/>
      <c r="I2548" s="25" t="str">
        <f>IF(表1[[#This Row],[Tgl NPBG]]&gt;表1[[#This Row],[Peminta]],表1[[#This Row],[Tgl NPBG]]-表1[[#This Row],[Peminta]],"")</f>
        <v/>
      </c>
      <c r="J2548" s="31"/>
    </row>
    <row r="2549" s="12" customFormat="1" customHeight="1" spans="2:10">
      <c r="B2549" s="25"/>
      <c r="C2549" s="25"/>
      <c r="D2549" s="26" t="str" cm="1">
        <f t="array" ref="D2549">IF(C2549="","",IFERROR(INDEX(STPP!$D$6:$D$4207,MATCH(C2549,STPP!$C$6:$C$4207,0)),"Not Found"))</f>
        <v/>
      </c>
      <c r="E2549" s="27" t="str" cm="1">
        <f t="array" ref="E2549">IF(C2549="","",IFERROR(INDEX(STPP!$E$6:$E$4207,MATCH(C2549,STPP!$C$6:$C$4207,0)),"Not Found"))</f>
        <v/>
      </c>
      <c r="F2549" s="27" t="str" cm="1">
        <f t="array" ref="F2549">IF(C2549="","",IFERROR(INDEX(STPP!$F$6:$F$4207,MATCH(C2549,STPP!$C$6:$C$4207,0)),"Not Found"))</f>
        <v/>
      </c>
      <c r="G2549" s="25" t="str">
        <f>IF(表1[[#This Row],[No Seri]]="","",表1[[#This Row],[Deskripsi Barang]]+表1[[#This Row],[Kuantitas]]-表1[[#This Row],[Satuan]])</f>
        <v/>
      </c>
      <c r="H2549" s="28"/>
      <c r="I2549" s="25" t="str">
        <f>IF(表1[[#This Row],[Tgl NPBG]]&gt;表1[[#This Row],[Peminta]],表1[[#This Row],[Tgl NPBG]]-表1[[#This Row],[Peminta]],"")</f>
        <v/>
      </c>
      <c r="J2549" s="31"/>
    </row>
    <row r="2550" s="12" customFormat="1" customHeight="1" spans="2:10">
      <c r="B2550" s="25"/>
      <c r="C2550" s="25"/>
      <c r="D2550" s="26" t="str" cm="1">
        <f t="array" ref="D2550">IF(C2550="","",IFERROR(INDEX(STPP!$D$6:$D$4207,MATCH(C2550,STPP!$C$6:$C$4207,0)),"Not Found"))</f>
        <v/>
      </c>
      <c r="E2550" s="27" t="str" cm="1">
        <f t="array" ref="E2550">IF(C2550="","",IFERROR(INDEX(STPP!$E$6:$E$4207,MATCH(C2550,STPP!$C$6:$C$4207,0)),"Not Found"))</f>
        <v/>
      </c>
      <c r="F2550" s="27" t="str" cm="1">
        <f t="array" ref="F2550">IF(C2550="","",IFERROR(INDEX(STPP!$F$6:$F$4207,MATCH(C2550,STPP!$C$6:$C$4207,0)),"Not Found"))</f>
        <v/>
      </c>
      <c r="G2550" s="25" t="str">
        <f>IF(表1[[#This Row],[No Seri]]="","",表1[[#This Row],[Deskripsi Barang]]+表1[[#This Row],[Kuantitas]]-表1[[#This Row],[Satuan]])</f>
        <v/>
      </c>
      <c r="H2550" s="28"/>
      <c r="I2550" s="25" t="str">
        <f>IF(表1[[#This Row],[Tgl NPBG]]&gt;表1[[#This Row],[Peminta]],表1[[#This Row],[Tgl NPBG]]-表1[[#This Row],[Peminta]],"")</f>
        <v/>
      </c>
      <c r="J2550" s="31"/>
    </row>
    <row r="2551" s="12" customFormat="1" customHeight="1" spans="2:10">
      <c r="B2551" s="25"/>
      <c r="C2551" s="25"/>
      <c r="D2551" s="26" t="str" cm="1">
        <f t="array" ref="D2551">IF(C2551="","",IFERROR(INDEX(STPP!$D$6:$D$4207,MATCH(C2551,STPP!$C$6:$C$4207,0)),"Not Found"))</f>
        <v/>
      </c>
      <c r="E2551" s="27" t="str" cm="1">
        <f t="array" ref="E2551">IF(C2551="","",IFERROR(INDEX(STPP!$E$6:$E$4207,MATCH(C2551,STPP!$C$6:$C$4207,0)),"Not Found"))</f>
        <v/>
      </c>
      <c r="F2551" s="27" t="str" cm="1">
        <f t="array" ref="F2551">IF(C2551="","",IFERROR(INDEX(STPP!$F$6:$F$4207,MATCH(C2551,STPP!$C$6:$C$4207,0)),"Not Found"))</f>
        <v/>
      </c>
      <c r="G2551" s="25" t="str">
        <f>IF(表1[[#This Row],[No Seri]]="","",表1[[#This Row],[Deskripsi Barang]]+表1[[#This Row],[Kuantitas]]-表1[[#This Row],[Satuan]])</f>
        <v/>
      </c>
      <c r="H2551" s="28"/>
      <c r="I2551" s="25" t="str">
        <f>IF(表1[[#This Row],[Tgl NPBG]]&gt;表1[[#This Row],[Peminta]],表1[[#This Row],[Tgl NPBG]]-表1[[#This Row],[Peminta]],"")</f>
        <v/>
      </c>
      <c r="J2551" s="31"/>
    </row>
    <row r="2552" s="12" customFormat="1" customHeight="1" spans="2:10">
      <c r="B2552" s="25"/>
      <c r="C2552" s="25"/>
      <c r="D2552" s="26" t="str" cm="1">
        <f t="array" ref="D2552">IF(C2552="","",IFERROR(INDEX(STPP!$D$6:$D$4207,MATCH(C2552,STPP!$C$6:$C$4207,0)),"Not Found"))</f>
        <v/>
      </c>
      <c r="E2552" s="27" t="str" cm="1">
        <f t="array" ref="E2552">IF(C2552="","",IFERROR(INDEX(STPP!$E$6:$E$4207,MATCH(C2552,STPP!$C$6:$C$4207,0)),"Not Found"))</f>
        <v/>
      </c>
      <c r="F2552" s="27" t="str" cm="1">
        <f t="array" ref="F2552">IF(C2552="","",IFERROR(INDEX(STPP!$F$6:$F$4207,MATCH(C2552,STPP!$C$6:$C$4207,0)),"Not Found"))</f>
        <v/>
      </c>
      <c r="G2552" s="25" t="str">
        <f>IF(表1[[#This Row],[No Seri]]="","",表1[[#This Row],[Deskripsi Barang]]+表1[[#This Row],[Kuantitas]]-表1[[#This Row],[Satuan]])</f>
        <v/>
      </c>
      <c r="H2552" s="28"/>
      <c r="I2552" s="25" t="str">
        <f>IF(表1[[#This Row],[Tgl NPBG]]&gt;表1[[#This Row],[Peminta]],表1[[#This Row],[Tgl NPBG]]-表1[[#This Row],[Peminta]],"")</f>
        <v/>
      </c>
      <c r="J2552" s="31"/>
    </row>
    <row r="2553" s="12" customFormat="1" customHeight="1" spans="2:10">
      <c r="B2553" s="25"/>
      <c r="C2553" s="25"/>
      <c r="D2553" s="26" t="str" cm="1">
        <f t="array" ref="D2553">IF(C2553="","",IFERROR(INDEX(STPP!$D$6:$D$4207,MATCH(C2553,STPP!$C$6:$C$4207,0)),"Not Found"))</f>
        <v/>
      </c>
      <c r="E2553" s="27" t="str" cm="1">
        <f t="array" ref="E2553">IF(C2553="","",IFERROR(INDEX(STPP!$E$6:$E$4207,MATCH(C2553,STPP!$C$6:$C$4207,0)),"Not Found"))</f>
        <v/>
      </c>
      <c r="F2553" s="27" t="str" cm="1">
        <f t="array" ref="F2553">IF(C2553="","",IFERROR(INDEX(STPP!$F$6:$F$4207,MATCH(C2553,STPP!$C$6:$C$4207,0)),"Not Found"))</f>
        <v/>
      </c>
      <c r="G2553" s="25" t="str">
        <f>IF(表1[[#This Row],[No Seri]]="","",表1[[#This Row],[Deskripsi Barang]]+表1[[#This Row],[Kuantitas]]-表1[[#This Row],[Satuan]])</f>
        <v/>
      </c>
      <c r="H2553" s="28"/>
      <c r="I2553" s="25" t="str">
        <f>IF(表1[[#This Row],[Tgl NPBG]]&gt;表1[[#This Row],[Peminta]],表1[[#This Row],[Tgl NPBG]]-表1[[#This Row],[Peminta]],"")</f>
        <v/>
      </c>
      <c r="J2553" s="31"/>
    </row>
    <row r="2554" s="12" customFormat="1" customHeight="1" spans="2:10">
      <c r="B2554" s="25"/>
      <c r="C2554" s="25"/>
      <c r="D2554" s="26" t="str" cm="1">
        <f t="array" ref="D2554">IF(C2554="","",IFERROR(INDEX(STPP!$D$6:$D$4207,MATCH(C2554,STPP!$C$6:$C$4207,0)),"Not Found"))</f>
        <v/>
      </c>
      <c r="E2554" s="27" t="str" cm="1">
        <f t="array" ref="E2554">IF(C2554="","",IFERROR(INDEX(STPP!$E$6:$E$4207,MATCH(C2554,STPP!$C$6:$C$4207,0)),"Not Found"))</f>
        <v/>
      </c>
      <c r="F2554" s="27" t="str" cm="1">
        <f t="array" ref="F2554">IF(C2554="","",IFERROR(INDEX(STPP!$F$6:$F$4207,MATCH(C2554,STPP!$C$6:$C$4207,0)),"Not Found"))</f>
        <v/>
      </c>
      <c r="G2554" s="25" t="str">
        <f>IF(表1[[#This Row],[No Seri]]="","",表1[[#This Row],[Deskripsi Barang]]+表1[[#This Row],[Kuantitas]]-表1[[#This Row],[Satuan]])</f>
        <v/>
      </c>
      <c r="H2554" s="28"/>
      <c r="I2554" s="25" t="str">
        <f>IF(表1[[#This Row],[Tgl NPBG]]&gt;表1[[#This Row],[Peminta]],表1[[#This Row],[Tgl NPBG]]-表1[[#This Row],[Peminta]],"")</f>
        <v/>
      </c>
      <c r="J2554" s="31"/>
    </row>
    <row r="2555" s="12" customFormat="1" customHeight="1" spans="2:10">
      <c r="B2555" s="25"/>
      <c r="C2555" s="25"/>
      <c r="D2555" s="26" t="str" cm="1">
        <f t="array" ref="D2555">IF(C2555="","",IFERROR(INDEX(STPP!$D$6:$D$4207,MATCH(C2555,STPP!$C$6:$C$4207,0)),"Not Found"))</f>
        <v/>
      </c>
      <c r="E2555" s="27" t="str" cm="1">
        <f t="array" ref="E2555">IF(C2555="","",IFERROR(INDEX(STPP!$E$6:$E$4207,MATCH(C2555,STPP!$C$6:$C$4207,0)),"Not Found"))</f>
        <v/>
      </c>
      <c r="F2555" s="27" t="str" cm="1">
        <f t="array" ref="F2555">IF(C2555="","",IFERROR(INDEX(STPP!$F$6:$F$4207,MATCH(C2555,STPP!$C$6:$C$4207,0)),"Not Found"))</f>
        <v/>
      </c>
      <c r="G2555" s="25" t="str">
        <f>IF(表1[[#This Row],[No Seri]]="","",表1[[#This Row],[Deskripsi Barang]]+表1[[#This Row],[Kuantitas]]-表1[[#This Row],[Satuan]])</f>
        <v/>
      </c>
      <c r="H2555" s="28"/>
      <c r="I2555" s="25" t="str">
        <f>IF(表1[[#This Row],[Tgl NPBG]]&gt;表1[[#This Row],[Peminta]],表1[[#This Row],[Tgl NPBG]]-表1[[#This Row],[Peminta]],"")</f>
        <v/>
      </c>
      <c r="J2555" s="31"/>
    </row>
    <row r="2556" s="12" customFormat="1" customHeight="1" spans="2:10">
      <c r="B2556" s="25"/>
      <c r="C2556" s="25"/>
      <c r="D2556" s="26" t="str" cm="1">
        <f t="array" ref="D2556">IF(C2556="","",IFERROR(INDEX(STPP!$D$6:$D$4207,MATCH(C2556,STPP!$C$6:$C$4207,0)),"Not Found"))</f>
        <v/>
      </c>
      <c r="E2556" s="27" t="str" cm="1">
        <f t="array" ref="E2556">IF(C2556="","",IFERROR(INDEX(STPP!$E$6:$E$4207,MATCH(C2556,STPP!$C$6:$C$4207,0)),"Not Found"))</f>
        <v/>
      </c>
      <c r="F2556" s="27" t="str" cm="1">
        <f t="array" ref="F2556">IF(C2556="","",IFERROR(INDEX(STPP!$F$6:$F$4207,MATCH(C2556,STPP!$C$6:$C$4207,0)),"Not Found"))</f>
        <v/>
      </c>
      <c r="G2556" s="25" t="str">
        <f>IF(表1[[#This Row],[No Seri]]="","",表1[[#This Row],[Deskripsi Barang]]+表1[[#This Row],[Kuantitas]]-表1[[#This Row],[Satuan]])</f>
        <v/>
      </c>
      <c r="H2556" s="28"/>
      <c r="I2556" s="25" t="str">
        <f>IF(表1[[#This Row],[Tgl NPBG]]&gt;表1[[#This Row],[Peminta]],表1[[#This Row],[Tgl NPBG]]-表1[[#This Row],[Peminta]],"")</f>
        <v/>
      </c>
      <c r="J2556" s="31"/>
    </row>
    <row r="2557" s="12" customFormat="1" customHeight="1" spans="2:10">
      <c r="B2557" s="25"/>
      <c r="C2557" s="25"/>
      <c r="D2557" s="26" t="str" cm="1">
        <f t="array" ref="D2557">IF(C2557="","",IFERROR(INDEX(STPP!$D$6:$D$4207,MATCH(C2557,STPP!$C$6:$C$4207,0)),"Not Found"))</f>
        <v/>
      </c>
      <c r="E2557" s="27" t="str" cm="1">
        <f t="array" ref="E2557">IF(C2557="","",IFERROR(INDEX(STPP!$E$6:$E$4207,MATCH(C2557,STPP!$C$6:$C$4207,0)),"Not Found"))</f>
        <v/>
      </c>
      <c r="F2557" s="27" t="str" cm="1">
        <f t="array" ref="F2557">IF(C2557="","",IFERROR(INDEX(STPP!$F$6:$F$4207,MATCH(C2557,STPP!$C$6:$C$4207,0)),"Not Found"))</f>
        <v/>
      </c>
      <c r="G2557" s="25" t="str">
        <f>IF(表1[[#This Row],[No Seri]]="","",表1[[#This Row],[Deskripsi Barang]]+表1[[#This Row],[Kuantitas]]-表1[[#This Row],[Satuan]])</f>
        <v/>
      </c>
      <c r="H2557" s="28"/>
      <c r="I2557" s="25" t="str">
        <f>IF(表1[[#This Row],[Tgl NPBG]]&gt;表1[[#This Row],[Peminta]],表1[[#This Row],[Tgl NPBG]]-表1[[#This Row],[Peminta]],"")</f>
        <v/>
      </c>
      <c r="J2557" s="31"/>
    </row>
    <row r="2558" s="12" customFormat="1" customHeight="1" spans="2:10">
      <c r="B2558" s="25"/>
      <c r="C2558" s="25"/>
      <c r="D2558" s="26" t="str" cm="1">
        <f t="array" ref="D2558">IF(C2558="","",IFERROR(INDEX(STPP!$D$6:$D$4207,MATCH(C2558,STPP!$C$6:$C$4207,0)),"Not Found"))</f>
        <v/>
      </c>
      <c r="E2558" s="27" t="str" cm="1">
        <f t="array" ref="E2558">IF(C2558="","",IFERROR(INDEX(STPP!$E$6:$E$4207,MATCH(C2558,STPP!$C$6:$C$4207,0)),"Not Found"))</f>
        <v/>
      </c>
      <c r="F2558" s="27" t="str" cm="1">
        <f t="array" ref="F2558">IF(C2558="","",IFERROR(INDEX(STPP!$F$6:$F$4207,MATCH(C2558,STPP!$C$6:$C$4207,0)),"Not Found"))</f>
        <v/>
      </c>
      <c r="G2558" s="25" t="str">
        <f>IF(表1[[#This Row],[No Seri]]="","",表1[[#This Row],[Deskripsi Barang]]+表1[[#This Row],[Kuantitas]]-表1[[#This Row],[Satuan]])</f>
        <v/>
      </c>
      <c r="H2558" s="28"/>
      <c r="I2558" s="25" t="str">
        <f>IF(表1[[#This Row],[Tgl NPBG]]&gt;表1[[#This Row],[Peminta]],表1[[#This Row],[Tgl NPBG]]-表1[[#This Row],[Peminta]],"")</f>
        <v/>
      </c>
      <c r="J2558" s="31"/>
    </row>
    <row r="2559" s="12" customFormat="1" customHeight="1" spans="2:10">
      <c r="B2559" s="25"/>
      <c r="C2559" s="25"/>
      <c r="D2559" s="26" t="str" cm="1">
        <f t="array" ref="D2559">IF(C2559="","",IFERROR(INDEX(STPP!$D$6:$D$4207,MATCH(C2559,STPP!$C$6:$C$4207,0)),"Not Found"))</f>
        <v/>
      </c>
      <c r="E2559" s="27" t="str" cm="1">
        <f t="array" ref="E2559">IF(C2559="","",IFERROR(INDEX(STPP!$E$6:$E$4207,MATCH(C2559,STPP!$C$6:$C$4207,0)),"Not Found"))</f>
        <v/>
      </c>
      <c r="F2559" s="27" t="str" cm="1">
        <f t="array" ref="F2559">IF(C2559="","",IFERROR(INDEX(STPP!$F$6:$F$4207,MATCH(C2559,STPP!$C$6:$C$4207,0)),"Not Found"))</f>
        <v/>
      </c>
      <c r="G2559" s="25" t="str">
        <f>IF(表1[[#This Row],[No Seri]]="","",表1[[#This Row],[Deskripsi Barang]]+表1[[#This Row],[Kuantitas]]-表1[[#This Row],[Satuan]])</f>
        <v/>
      </c>
      <c r="H2559" s="28"/>
      <c r="I2559" s="25" t="str">
        <f>IF(表1[[#This Row],[Tgl NPBG]]&gt;表1[[#This Row],[Peminta]],表1[[#This Row],[Tgl NPBG]]-表1[[#This Row],[Peminta]],"")</f>
        <v/>
      </c>
      <c r="J2559" s="31"/>
    </row>
    <row r="2560" s="12" customFormat="1" customHeight="1" spans="2:10">
      <c r="B2560" s="25"/>
      <c r="C2560" s="25"/>
      <c r="D2560" s="26" t="str" cm="1">
        <f t="array" ref="D2560">IF(C2560="","",IFERROR(INDEX(STPP!$D$6:$D$4207,MATCH(C2560,STPP!$C$6:$C$4207,0)),"Not Found"))</f>
        <v/>
      </c>
      <c r="E2560" s="27" t="str" cm="1">
        <f t="array" ref="E2560">IF(C2560="","",IFERROR(INDEX(STPP!$E$6:$E$4207,MATCH(C2560,STPP!$C$6:$C$4207,0)),"Not Found"))</f>
        <v/>
      </c>
      <c r="F2560" s="27" t="str" cm="1">
        <f t="array" ref="F2560">IF(C2560="","",IFERROR(INDEX(STPP!$F$6:$F$4207,MATCH(C2560,STPP!$C$6:$C$4207,0)),"Not Found"))</f>
        <v/>
      </c>
      <c r="G2560" s="25" t="str">
        <f>IF(表1[[#This Row],[No Seri]]="","",表1[[#This Row],[Deskripsi Barang]]+表1[[#This Row],[Kuantitas]]-表1[[#This Row],[Satuan]])</f>
        <v/>
      </c>
      <c r="H2560" s="28"/>
      <c r="I2560" s="25" t="str">
        <f>IF(表1[[#This Row],[Tgl NPBG]]&gt;表1[[#This Row],[Peminta]],表1[[#This Row],[Tgl NPBG]]-表1[[#This Row],[Peminta]],"")</f>
        <v/>
      </c>
      <c r="J2560" s="31"/>
    </row>
    <row r="2561" s="12" customFormat="1" customHeight="1" spans="2:10">
      <c r="B2561" s="25"/>
      <c r="C2561" s="25"/>
      <c r="D2561" s="26" t="str" cm="1">
        <f t="array" ref="D2561">IF(C2561="","",IFERROR(INDEX(STPP!$D$6:$D$4207,MATCH(C2561,STPP!$C$6:$C$4207,0)),"Not Found"))</f>
        <v/>
      </c>
      <c r="E2561" s="27" t="str" cm="1">
        <f t="array" ref="E2561">IF(C2561="","",IFERROR(INDEX(STPP!$E$6:$E$4207,MATCH(C2561,STPP!$C$6:$C$4207,0)),"Not Found"))</f>
        <v/>
      </c>
      <c r="F2561" s="27" t="str" cm="1">
        <f t="array" ref="F2561">IF(C2561="","",IFERROR(INDEX(STPP!$F$6:$F$4207,MATCH(C2561,STPP!$C$6:$C$4207,0)),"Not Found"))</f>
        <v/>
      </c>
      <c r="G2561" s="25" t="str">
        <f>IF(表1[[#This Row],[No Seri]]="","",表1[[#This Row],[Deskripsi Barang]]+表1[[#This Row],[Kuantitas]]-表1[[#This Row],[Satuan]])</f>
        <v/>
      </c>
      <c r="H2561" s="28"/>
      <c r="I2561" s="25" t="str">
        <f>IF(表1[[#This Row],[Tgl NPBG]]&gt;表1[[#This Row],[Peminta]],表1[[#This Row],[Tgl NPBG]]-表1[[#This Row],[Peminta]],"")</f>
        <v/>
      </c>
      <c r="J2561" s="31"/>
    </row>
    <row r="2562" s="12" customFormat="1" customHeight="1" spans="2:10">
      <c r="B2562" s="25"/>
      <c r="C2562" s="25"/>
      <c r="D2562" s="26" t="str" cm="1">
        <f t="array" ref="D2562">IF(C2562="","",IFERROR(INDEX(STPP!$D$6:$D$4207,MATCH(C2562,STPP!$C$6:$C$4207,0)),"Not Found"))</f>
        <v/>
      </c>
      <c r="E2562" s="27" t="str" cm="1">
        <f t="array" ref="E2562">IF(C2562="","",IFERROR(INDEX(STPP!$E$6:$E$4207,MATCH(C2562,STPP!$C$6:$C$4207,0)),"Not Found"))</f>
        <v/>
      </c>
      <c r="F2562" s="27" t="str" cm="1">
        <f t="array" ref="F2562">IF(C2562="","",IFERROR(INDEX(STPP!$F$6:$F$4207,MATCH(C2562,STPP!$C$6:$C$4207,0)),"Not Found"))</f>
        <v/>
      </c>
      <c r="G2562" s="25" t="str">
        <f>IF(表1[[#This Row],[No Seri]]="","",表1[[#This Row],[Deskripsi Barang]]+表1[[#This Row],[Kuantitas]]-表1[[#This Row],[Satuan]])</f>
        <v/>
      </c>
      <c r="H2562" s="28"/>
      <c r="I2562" s="25" t="str">
        <f>IF(表1[[#This Row],[Tgl NPBG]]&gt;表1[[#This Row],[Peminta]],表1[[#This Row],[Tgl NPBG]]-表1[[#This Row],[Peminta]],"")</f>
        <v/>
      </c>
      <c r="J2562" s="31"/>
    </row>
    <row r="2563" s="12" customFormat="1" customHeight="1" spans="2:10">
      <c r="B2563" s="25"/>
      <c r="C2563" s="25"/>
      <c r="D2563" s="26" t="str" cm="1">
        <f t="array" ref="D2563">IF(C2563="","",IFERROR(INDEX(STPP!$D$6:$D$4207,MATCH(C2563,STPP!$C$6:$C$4207,0)),"Not Found"))</f>
        <v/>
      </c>
      <c r="E2563" s="27" t="str" cm="1">
        <f t="array" ref="E2563">IF(C2563="","",IFERROR(INDEX(STPP!$E$6:$E$4207,MATCH(C2563,STPP!$C$6:$C$4207,0)),"Not Found"))</f>
        <v/>
      </c>
      <c r="F2563" s="27" t="str" cm="1">
        <f t="array" ref="F2563">IF(C2563="","",IFERROR(INDEX(STPP!$F$6:$F$4207,MATCH(C2563,STPP!$C$6:$C$4207,0)),"Not Found"))</f>
        <v/>
      </c>
      <c r="G2563" s="25" t="str">
        <f>IF(表1[[#This Row],[No Seri]]="","",表1[[#This Row],[Deskripsi Barang]]+表1[[#This Row],[Kuantitas]]-表1[[#This Row],[Satuan]])</f>
        <v/>
      </c>
      <c r="H2563" s="28"/>
      <c r="I2563" s="25" t="str">
        <f>IF(表1[[#This Row],[Tgl NPBG]]&gt;表1[[#This Row],[Peminta]],表1[[#This Row],[Tgl NPBG]]-表1[[#This Row],[Peminta]],"")</f>
        <v/>
      </c>
      <c r="J2563" s="31"/>
    </row>
    <row r="2564" s="12" customFormat="1" customHeight="1" spans="2:10">
      <c r="B2564" s="25"/>
      <c r="C2564" s="25"/>
      <c r="D2564" s="26" t="str" cm="1">
        <f t="array" ref="D2564">IF(C2564="","",IFERROR(INDEX(STPP!$D$6:$D$4207,MATCH(C2564,STPP!$C$6:$C$4207,0)),"Not Found"))</f>
        <v/>
      </c>
      <c r="E2564" s="27" t="str" cm="1">
        <f t="array" ref="E2564">IF(C2564="","",IFERROR(INDEX(STPP!$E$6:$E$4207,MATCH(C2564,STPP!$C$6:$C$4207,0)),"Not Found"))</f>
        <v/>
      </c>
      <c r="F2564" s="27" t="str" cm="1">
        <f t="array" ref="F2564">IF(C2564="","",IFERROR(INDEX(STPP!$F$6:$F$4207,MATCH(C2564,STPP!$C$6:$C$4207,0)),"Not Found"))</f>
        <v/>
      </c>
      <c r="G2564" s="25" t="str">
        <f>IF(表1[[#This Row],[No Seri]]="","",表1[[#This Row],[Deskripsi Barang]]+表1[[#This Row],[Kuantitas]]-表1[[#This Row],[Satuan]])</f>
        <v/>
      </c>
      <c r="H2564" s="28"/>
      <c r="I2564" s="25" t="str">
        <f>IF(表1[[#This Row],[Tgl NPBG]]&gt;表1[[#This Row],[Peminta]],表1[[#This Row],[Tgl NPBG]]-表1[[#This Row],[Peminta]],"")</f>
        <v/>
      </c>
      <c r="J2564" s="31"/>
    </row>
    <row r="2565" s="12" customFormat="1" customHeight="1" spans="2:10">
      <c r="B2565" s="25"/>
      <c r="C2565" s="25"/>
      <c r="D2565" s="26" t="str" cm="1">
        <f t="array" ref="D2565">IF(C2565="","",IFERROR(INDEX(STPP!$D$6:$D$4207,MATCH(C2565,STPP!$C$6:$C$4207,0)),"Not Found"))</f>
        <v/>
      </c>
      <c r="E2565" s="27" t="str" cm="1">
        <f t="array" ref="E2565">IF(C2565="","",IFERROR(INDEX(STPP!$E$6:$E$4207,MATCH(C2565,STPP!$C$6:$C$4207,0)),"Not Found"))</f>
        <v/>
      </c>
      <c r="F2565" s="27" t="str" cm="1">
        <f t="array" ref="F2565">IF(C2565="","",IFERROR(INDEX(STPP!$F$6:$F$4207,MATCH(C2565,STPP!$C$6:$C$4207,0)),"Not Found"))</f>
        <v/>
      </c>
      <c r="G2565" s="25" t="str">
        <f>IF(表1[[#This Row],[No Seri]]="","",表1[[#This Row],[Deskripsi Barang]]+表1[[#This Row],[Kuantitas]]-表1[[#This Row],[Satuan]])</f>
        <v/>
      </c>
      <c r="H2565" s="28"/>
      <c r="I2565" s="25" t="str">
        <f>IF(表1[[#This Row],[Tgl NPBG]]&gt;表1[[#This Row],[Peminta]],表1[[#This Row],[Tgl NPBG]]-表1[[#This Row],[Peminta]],"")</f>
        <v/>
      </c>
      <c r="J2565" s="31"/>
    </row>
    <row r="2566" s="12" customFormat="1" customHeight="1" spans="2:10">
      <c r="B2566" s="25"/>
      <c r="C2566" s="25"/>
      <c r="D2566" s="26" t="str" cm="1">
        <f t="array" ref="D2566">IF(C2566="","",IFERROR(INDEX(STPP!$D$6:$D$4207,MATCH(C2566,STPP!$C$6:$C$4207,0)),"Not Found"))</f>
        <v/>
      </c>
      <c r="E2566" s="27" t="str" cm="1">
        <f t="array" ref="E2566">IF(C2566="","",IFERROR(INDEX(STPP!$E$6:$E$4207,MATCH(C2566,STPP!$C$6:$C$4207,0)),"Not Found"))</f>
        <v/>
      </c>
      <c r="F2566" s="27" t="str" cm="1">
        <f t="array" ref="F2566">IF(C2566="","",IFERROR(INDEX(STPP!$F$6:$F$4207,MATCH(C2566,STPP!$C$6:$C$4207,0)),"Not Found"))</f>
        <v/>
      </c>
      <c r="G2566" s="25" t="str">
        <f>IF(表1[[#This Row],[No Seri]]="","",表1[[#This Row],[Deskripsi Barang]]+表1[[#This Row],[Kuantitas]]-表1[[#This Row],[Satuan]])</f>
        <v/>
      </c>
      <c r="H2566" s="28"/>
      <c r="I2566" s="25" t="str">
        <f>IF(表1[[#This Row],[Tgl NPBG]]&gt;表1[[#This Row],[Peminta]],表1[[#This Row],[Tgl NPBG]]-表1[[#This Row],[Peminta]],"")</f>
        <v/>
      </c>
      <c r="J2566" s="31"/>
    </row>
    <row r="2567" s="12" customFormat="1" customHeight="1" spans="2:10">
      <c r="B2567" s="25"/>
      <c r="C2567" s="25"/>
      <c r="D2567" s="26" t="str" cm="1">
        <f t="array" ref="D2567">IF(C2567="","",IFERROR(INDEX(STPP!$D$6:$D$4207,MATCH(C2567,STPP!$C$6:$C$4207,0)),"Not Found"))</f>
        <v/>
      </c>
      <c r="E2567" s="27" t="str" cm="1">
        <f t="array" ref="E2567">IF(C2567="","",IFERROR(INDEX(STPP!$E$6:$E$4207,MATCH(C2567,STPP!$C$6:$C$4207,0)),"Not Found"))</f>
        <v/>
      </c>
      <c r="F2567" s="27" t="str" cm="1">
        <f t="array" ref="F2567">IF(C2567="","",IFERROR(INDEX(STPP!$F$6:$F$4207,MATCH(C2567,STPP!$C$6:$C$4207,0)),"Not Found"))</f>
        <v/>
      </c>
      <c r="G2567" s="25" t="str">
        <f>IF(表1[[#This Row],[No Seri]]="","",表1[[#This Row],[Deskripsi Barang]]+表1[[#This Row],[Kuantitas]]-表1[[#This Row],[Satuan]])</f>
        <v/>
      </c>
      <c r="H2567" s="28"/>
      <c r="I2567" s="25" t="str">
        <f>IF(表1[[#This Row],[Tgl NPBG]]&gt;表1[[#This Row],[Peminta]],表1[[#This Row],[Tgl NPBG]]-表1[[#This Row],[Peminta]],"")</f>
        <v/>
      </c>
      <c r="J2567" s="31"/>
    </row>
    <row r="2568" s="12" customFormat="1" customHeight="1" spans="2:10">
      <c r="B2568" s="25"/>
      <c r="C2568" s="25"/>
      <c r="D2568" s="26" t="str" cm="1">
        <f t="array" ref="D2568">IF(C2568="","",IFERROR(INDEX(STPP!$D$6:$D$4207,MATCH(C2568,STPP!$C$6:$C$4207,0)),"Not Found"))</f>
        <v/>
      </c>
      <c r="E2568" s="27" t="str" cm="1">
        <f t="array" ref="E2568">IF(C2568="","",IFERROR(INDEX(STPP!$E$6:$E$4207,MATCH(C2568,STPP!$C$6:$C$4207,0)),"Not Found"))</f>
        <v/>
      </c>
      <c r="F2568" s="27" t="str" cm="1">
        <f t="array" ref="F2568">IF(C2568="","",IFERROR(INDEX(STPP!$F$6:$F$4207,MATCH(C2568,STPP!$C$6:$C$4207,0)),"Not Found"))</f>
        <v/>
      </c>
      <c r="G2568" s="25" t="str">
        <f>IF(表1[[#This Row],[No Seri]]="","",表1[[#This Row],[Deskripsi Barang]]+表1[[#This Row],[Kuantitas]]-表1[[#This Row],[Satuan]])</f>
        <v/>
      </c>
      <c r="H2568" s="28"/>
      <c r="I2568" s="25" t="str">
        <f>IF(表1[[#This Row],[Tgl NPBG]]&gt;表1[[#This Row],[Peminta]],表1[[#This Row],[Tgl NPBG]]-表1[[#This Row],[Peminta]],"")</f>
        <v/>
      </c>
      <c r="J2568" s="31"/>
    </row>
    <row r="2569" s="12" customFormat="1" customHeight="1" spans="2:10">
      <c r="B2569" s="25"/>
      <c r="C2569" s="25"/>
      <c r="D2569" s="26" t="str" cm="1">
        <f t="array" ref="D2569">IF(C2569="","",IFERROR(INDEX(STPP!$D$6:$D$4207,MATCH(C2569,STPP!$C$6:$C$4207,0)),"Not Found"))</f>
        <v/>
      </c>
      <c r="E2569" s="27" t="str" cm="1">
        <f t="array" ref="E2569">IF(C2569="","",IFERROR(INDEX(STPP!$E$6:$E$4207,MATCH(C2569,STPP!$C$6:$C$4207,0)),"Not Found"))</f>
        <v/>
      </c>
      <c r="F2569" s="27" t="str" cm="1">
        <f t="array" ref="F2569">IF(C2569="","",IFERROR(INDEX(STPP!$F$6:$F$4207,MATCH(C2569,STPP!$C$6:$C$4207,0)),"Not Found"))</f>
        <v/>
      </c>
      <c r="G2569" s="25" t="str">
        <f>IF(表1[[#This Row],[No Seri]]="","",表1[[#This Row],[Deskripsi Barang]]+表1[[#This Row],[Kuantitas]]-表1[[#This Row],[Satuan]])</f>
        <v/>
      </c>
      <c r="H2569" s="28"/>
      <c r="I2569" s="25" t="str">
        <f>IF(表1[[#This Row],[Tgl NPBG]]&gt;表1[[#This Row],[Peminta]],表1[[#This Row],[Tgl NPBG]]-表1[[#This Row],[Peminta]],"")</f>
        <v/>
      </c>
      <c r="J2569" s="31"/>
    </row>
    <row r="2570" s="12" customFormat="1" customHeight="1" spans="2:10">
      <c r="B2570" s="25"/>
      <c r="C2570" s="25"/>
      <c r="D2570" s="26" t="str" cm="1">
        <f t="array" ref="D2570">IF(C2570="","",IFERROR(INDEX(STPP!$D$6:$D$4207,MATCH(C2570,STPP!$C$6:$C$4207,0)),"Not Found"))</f>
        <v/>
      </c>
      <c r="E2570" s="27" t="str" cm="1">
        <f t="array" ref="E2570">IF(C2570="","",IFERROR(INDEX(STPP!$E$6:$E$4207,MATCH(C2570,STPP!$C$6:$C$4207,0)),"Not Found"))</f>
        <v/>
      </c>
      <c r="F2570" s="27" t="str" cm="1">
        <f t="array" ref="F2570">IF(C2570="","",IFERROR(INDEX(STPP!$F$6:$F$4207,MATCH(C2570,STPP!$C$6:$C$4207,0)),"Not Found"))</f>
        <v/>
      </c>
      <c r="G2570" s="25" t="str">
        <f>IF(表1[[#This Row],[No Seri]]="","",表1[[#This Row],[Deskripsi Barang]]+表1[[#This Row],[Kuantitas]]-表1[[#This Row],[Satuan]])</f>
        <v/>
      </c>
      <c r="H2570" s="28"/>
      <c r="I2570" s="25" t="str">
        <f>IF(表1[[#This Row],[Tgl NPBG]]&gt;表1[[#This Row],[Peminta]],表1[[#This Row],[Tgl NPBG]]-表1[[#This Row],[Peminta]],"")</f>
        <v/>
      </c>
      <c r="J2570" s="31"/>
    </row>
    <row r="2571" s="12" customFormat="1" customHeight="1" spans="2:10">
      <c r="B2571" s="25"/>
      <c r="C2571" s="25"/>
      <c r="D2571" s="26" t="str" cm="1">
        <f t="array" ref="D2571">IF(C2571="","",IFERROR(INDEX(STPP!$D$6:$D$4207,MATCH(C2571,STPP!$C$6:$C$4207,0)),"Not Found"))</f>
        <v/>
      </c>
      <c r="E2571" s="27" t="str" cm="1">
        <f t="array" ref="E2571">IF(C2571="","",IFERROR(INDEX(STPP!$E$6:$E$4207,MATCH(C2571,STPP!$C$6:$C$4207,0)),"Not Found"))</f>
        <v/>
      </c>
      <c r="F2571" s="27" t="str" cm="1">
        <f t="array" ref="F2571">IF(C2571="","",IFERROR(INDEX(STPP!$F$6:$F$4207,MATCH(C2571,STPP!$C$6:$C$4207,0)),"Not Found"))</f>
        <v/>
      </c>
      <c r="G2571" s="25" t="str">
        <f>IF(表1[[#This Row],[No Seri]]="","",表1[[#This Row],[Deskripsi Barang]]+表1[[#This Row],[Kuantitas]]-表1[[#This Row],[Satuan]])</f>
        <v/>
      </c>
      <c r="H2571" s="28"/>
      <c r="I2571" s="25" t="str">
        <f>IF(表1[[#This Row],[Tgl NPBG]]&gt;表1[[#This Row],[Peminta]],表1[[#This Row],[Tgl NPBG]]-表1[[#This Row],[Peminta]],"")</f>
        <v/>
      </c>
      <c r="J2571" s="31"/>
    </row>
    <row r="2572" s="12" customFormat="1" customHeight="1" spans="2:10">
      <c r="B2572" s="25"/>
      <c r="C2572" s="25"/>
      <c r="D2572" s="26" t="str" cm="1">
        <f t="array" ref="D2572">IF(C2572="","",IFERROR(INDEX(STPP!$D$6:$D$4207,MATCH(C2572,STPP!$C$6:$C$4207,0)),"Not Found"))</f>
        <v/>
      </c>
      <c r="E2572" s="27" t="str" cm="1">
        <f t="array" ref="E2572">IF(C2572="","",IFERROR(INDEX(STPP!$E$6:$E$4207,MATCH(C2572,STPP!$C$6:$C$4207,0)),"Not Found"))</f>
        <v/>
      </c>
      <c r="F2572" s="27" t="str" cm="1">
        <f t="array" ref="F2572">IF(C2572="","",IFERROR(INDEX(STPP!$F$6:$F$4207,MATCH(C2572,STPP!$C$6:$C$4207,0)),"Not Found"))</f>
        <v/>
      </c>
      <c r="G2572" s="25" t="str">
        <f>IF(表1[[#This Row],[No Seri]]="","",表1[[#This Row],[Deskripsi Barang]]+表1[[#This Row],[Kuantitas]]-表1[[#This Row],[Satuan]])</f>
        <v/>
      </c>
      <c r="H2572" s="28"/>
      <c r="I2572" s="25" t="str">
        <f>IF(表1[[#This Row],[Tgl NPBG]]&gt;表1[[#This Row],[Peminta]],表1[[#This Row],[Tgl NPBG]]-表1[[#This Row],[Peminta]],"")</f>
        <v/>
      </c>
      <c r="J2572" s="31"/>
    </row>
    <row r="2573" s="12" customFormat="1" customHeight="1" spans="2:10">
      <c r="B2573" s="25"/>
      <c r="C2573" s="25"/>
      <c r="D2573" s="26" t="str" cm="1">
        <f t="array" ref="D2573">IF(C2573="","",IFERROR(INDEX(STPP!$D$6:$D$4207,MATCH(C2573,STPP!$C$6:$C$4207,0)),"Not Found"))</f>
        <v/>
      </c>
      <c r="E2573" s="27" t="str" cm="1">
        <f t="array" ref="E2573">IF(C2573="","",IFERROR(INDEX(STPP!$E$6:$E$4207,MATCH(C2573,STPP!$C$6:$C$4207,0)),"Not Found"))</f>
        <v/>
      </c>
      <c r="F2573" s="27" t="str" cm="1">
        <f t="array" ref="F2573">IF(C2573="","",IFERROR(INDEX(STPP!$F$6:$F$4207,MATCH(C2573,STPP!$C$6:$C$4207,0)),"Not Found"))</f>
        <v/>
      </c>
      <c r="G2573" s="25" t="str">
        <f>IF(表1[[#This Row],[No Seri]]="","",表1[[#This Row],[Deskripsi Barang]]+表1[[#This Row],[Kuantitas]]-表1[[#This Row],[Satuan]])</f>
        <v/>
      </c>
      <c r="H2573" s="28"/>
      <c r="I2573" s="25" t="str">
        <f>IF(表1[[#This Row],[Tgl NPBG]]&gt;表1[[#This Row],[Peminta]],表1[[#This Row],[Tgl NPBG]]-表1[[#This Row],[Peminta]],"")</f>
        <v/>
      </c>
      <c r="J2573" s="31"/>
    </row>
    <row r="2574" s="12" customFormat="1" customHeight="1" spans="2:10">
      <c r="B2574" s="25"/>
      <c r="C2574" s="25"/>
      <c r="D2574" s="26" t="str" cm="1">
        <f t="array" ref="D2574">IF(C2574="","",IFERROR(INDEX(STPP!$D$6:$D$4207,MATCH(C2574,STPP!$C$6:$C$4207,0)),"Not Found"))</f>
        <v/>
      </c>
      <c r="E2574" s="27" t="str" cm="1">
        <f t="array" ref="E2574">IF(C2574="","",IFERROR(INDEX(STPP!$E$6:$E$4207,MATCH(C2574,STPP!$C$6:$C$4207,0)),"Not Found"))</f>
        <v/>
      </c>
      <c r="F2574" s="27" t="str" cm="1">
        <f t="array" ref="F2574">IF(C2574="","",IFERROR(INDEX(STPP!$F$6:$F$4207,MATCH(C2574,STPP!$C$6:$C$4207,0)),"Not Found"))</f>
        <v/>
      </c>
      <c r="G2574" s="25" t="str">
        <f>IF(表1[[#This Row],[No Seri]]="","",表1[[#This Row],[Deskripsi Barang]]+表1[[#This Row],[Kuantitas]]-表1[[#This Row],[Satuan]])</f>
        <v/>
      </c>
      <c r="H2574" s="28"/>
      <c r="I2574" s="25" t="str">
        <f>IF(表1[[#This Row],[Tgl NPBG]]&gt;表1[[#This Row],[Peminta]],表1[[#This Row],[Tgl NPBG]]-表1[[#This Row],[Peminta]],"")</f>
        <v/>
      </c>
      <c r="J2574" s="31"/>
    </row>
    <row r="2575" s="12" customFormat="1" customHeight="1" spans="2:10">
      <c r="B2575" s="25"/>
      <c r="C2575" s="25"/>
      <c r="D2575" s="26" t="str" cm="1">
        <f t="array" ref="D2575">IF(C2575="","",IFERROR(INDEX(STPP!$D$6:$D$4207,MATCH(C2575,STPP!$C$6:$C$4207,0)),"Not Found"))</f>
        <v/>
      </c>
      <c r="E2575" s="27" t="str" cm="1">
        <f t="array" ref="E2575">IF(C2575="","",IFERROR(INDEX(STPP!$E$6:$E$4207,MATCH(C2575,STPP!$C$6:$C$4207,0)),"Not Found"))</f>
        <v/>
      </c>
      <c r="F2575" s="27" t="str" cm="1">
        <f t="array" ref="F2575">IF(C2575="","",IFERROR(INDEX(STPP!$F$6:$F$4207,MATCH(C2575,STPP!$C$6:$C$4207,0)),"Not Found"))</f>
        <v/>
      </c>
      <c r="G2575" s="25" t="str">
        <f>IF(表1[[#This Row],[No Seri]]="","",表1[[#This Row],[Deskripsi Barang]]+表1[[#This Row],[Kuantitas]]-表1[[#This Row],[Satuan]])</f>
        <v/>
      </c>
      <c r="H2575" s="28"/>
      <c r="I2575" s="25" t="str">
        <f>IF(表1[[#This Row],[Tgl NPBG]]&gt;表1[[#This Row],[Peminta]],表1[[#This Row],[Tgl NPBG]]-表1[[#This Row],[Peminta]],"")</f>
        <v/>
      </c>
      <c r="J2575" s="31"/>
    </row>
    <row r="2576" s="12" customFormat="1" customHeight="1" spans="2:10">
      <c r="B2576" s="25"/>
      <c r="C2576" s="25"/>
      <c r="D2576" s="26" t="str" cm="1">
        <f t="array" ref="D2576">IF(C2576="","",IFERROR(INDEX(STPP!$D$6:$D$4207,MATCH(C2576,STPP!$C$6:$C$4207,0)),"Not Found"))</f>
        <v/>
      </c>
      <c r="E2576" s="27" t="str" cm="1">
        <f t="array" ref="E2576">IF(C2576="","",IFERROR(INDEX(STPP!$E$6:$E$4207,MATCH(C2576,STPP!$C$6:$C$4207,0)),"Not Found"))</f>
        <v/>
      </c>
      <c r="F2576" s="27" t="str" cm="1">
        <f t="array" ref="F2576">IF(C2576="","",IFERROR(INDEX(STPP!$F$6:$F$4207,MATCH(C2576,STPP!$C$6:$C$4207,0)),"Not Found"))</f>
        <v/>
      </c>
      <c r="G2576" s="25" t="str">
        <f>IF(表1[[#This Row],[No Seri]]="","",表1[[#This Row],[Deskripsi Barang]]+表1[[#This Row],[Kuantitas]]-表1[[#This Row],[Satuan]])</f>
        <v/>
      </c>
      <c r="H2576" s="28"/>
      <c r="I2576" s="25" t="str">
        <f>IF(表1[[#This Row],[Tgl NPBG]]&gt;表1[[#This Row],[Peminta]],表1[[#This Row],[Tgl NPBG]]-表1[[#This Row],[Peminta]],"")</f>
        <v/>
      </c>
      <c r="J2576" s="31"/>
    </row>
    <row r="2577" s="12" customFormat="1" customHeight="1" spans="2:10">
      <c r="B2577" s="25"/>
      <c r="C2577" s="25"/>
      <c r="D2577" s="26" t="str" cm="1">
        <f t="array" ref="D2577">IF(C2577="","",IFERROR(INDEX(STPP!$D$6:$D$4207,MATCH(C2577,STPP!$C$6:$C$4207,0)),"Not Found"))</f>
        <v/>
      </c>
      <c r="E2577" s="27" t="str" cm="1">
        <f t="array" ref="E2577">IF(C2577="","",IFERROR(INDEX(STPP!$E$6:$E$4207,MATCH(C2577,STPP!$C$6:$C$4207,0)),"Not Found"))</f>
        <v/>
      </c>
      <c r="F2577" s="27" t="str" cm="1">
        <f t="array" ref="F2577">IF(C2577="","",IFERROR(INDEX(STPP!$F$6:$F$4207,MATCH(C2577,STPP!$C$6:$C$4207,0)),"Not Found"))</f>
        <v/>
      </c>
      <c r="G2577" s="25" t="str">
        <f>IF(表1[[#This Row],[No Seri]]="","",表1[[#This Row],[Deskripsi Barang]]+表1[[#This Row],[Kuantitas]]-表1[[#This Row],[Satuan]])</f>
        <v/>
      </c>
      <c r="H2577" s="28"/>
      <c r="I2577" s="25" t="str">
        <f>IF(表1[[#This Row],[Tgl NPBG]]&gt;表1[[#This Row],[Peminta]],表1[[#This Row],[Tgl NPBG]]-表1[[#This Row],[Peminta]],"")</f>
        <v/>
      </c>
      <c r="J2577" s="31"/>
    </row>
    <row r="2578" s="12" customFormat="1" customHeight="1" spans="2:10">
      <c r="B2578" s="25"/>
      <c r="C2578" s="25"/>
      <c r="D2578" s="26" t="str" cm="1">
        <f t="array" ref="D2578">IF(C2578="","",IFERROR(INDEX(STPP!$D$6:$D$4207,MATCH(C2578,STPP!$C$6:$C$4207,0)),"Not Found"))</f>
        <v/>
      </c>
      <c r="E2578" s="27" t="str" cm="1">
        <f t="array" ref="E2578">IF(C2578="","",IFERROR(INDEX(STPP!$E$6:$E$4207,MATCH(C2578,STPP!$C$6:$C$4207,0)),"Not Found"))</f>
        <v/>
      </c>
      <c r="F2578" s="27" t="str" cm="1">
        <f t="array" ref="F2578">IF(C2578="","",IFERROR(INDEX(STPP!$F$6:$F$4207,MATCH(C2578,STPP!$C$6:$C$4207,0)),"Not Found"))</f>
        <v/>
      </c>
      <c r="G2578" s="25" t="str">
        <f>IF(表1[[#This Row],[No Seri]]="","",表1[[#This Row],[Deskripsi Barang]]+表1[[#This Row],[Kuantitas]]-表1[[#This Row],[Satuan]])</f>
        <v/>
      </c>
      <c r="H2578" s="28"/>
      <c r="I2578" s="25" t="str">
        <f>IF(表1[[#This Row],[Tgl NPBG]]&gt;表1[[#This Row],[Peminta]],表1[[#This Row],[Tgl NPBG]]-表1[[#This Row],[Peminta]],"")</f>
        <v/>
      </c>
      <c r="J2578" s="31"/>
    </row>
    <row r="2579" s="12" customFormat="1" customHeight="1" spans="2:10">
      <c r="B2579" s="25"/>
      <c r="C2579" s="25"/>
      <c r="D2579" s="26" t="str" cm="1">
        <f t="array" ref="D2579">IF(C2579="","",IFERROR(INDEX(STPP!$D$6:$D$4207,MATCH(C2579,STPP!$C$6:$C$4207,0)),"Not Found"))</f>
        <v/>
      </c>
      <c r="E2579" s="27" t="str" cm="1">
        <f t="array" ref="E2579">IF(C2579="","",IFERROR(INDEX(STPP!$E$6:$E$4207,MATCH(C2579,STPP!$C$6:$C$4207,0)),"Not Found"))</f>
        <v/>
      </c>
      <c r="F2579" s="27" t="str" cm="1">
        <f t="array" ref="F2579">IF(C2579="","",IFERROR(INDEX(STPP!$F$6:$F$4207,MATCH(C2579,STPP!$C$6:$C$4207,0)),"Not Found"))</f>
        <v/>
      </c>
      <c r="G2579" s="25" t="str">
        <f>IF(表1[[#This Row],[No Seri]]="","",表1[[#This Row],[Deskripsi Barang]]+表1[[#This Row],[Kuantitas]]-表1[[#This Row],[Satuan]])</f>
        <v/>
      </c>
      <c r="H2579" s="28"/>
      <c r="I2579" s="25" t="str">
        <f>IF(表1[[#This Row],[Tgl NPBG]]&gt;表1[[#This Row],[Peminta]],表1[[#This Row],[Tgl NPBG]]-表1[[#This Row],[Peminta]],"")</f>
        <v/>
      </c>
      <c r="J2579" s="31"/>
    </row>
    <row r="2580" s="12" customFormat="1" customHeight="1" spans="2:10">
      <c r="B2580" s="25"/>
      <c r="C2580" s="25"/>
      <c r="D2580" s="26" t="str" cm="1">
        <f t="array" ref="D2580">IF(C2580="","",IFERROR(INDEX(STPP!$D$6:$D$4207,MATCH(C2580,STPP!$C$6:$C$4207,0)),"Not Found"))</f>
        <v/>
      </c>
      <c r="E2580" s="27" t="str" cm="1">
        <f t="array" ref="E2580">IF(C2580="","",IFERROR(INDEX(STPP!$E$6:$E$4207,MATCH(C2580,STPP!$C$6:$C$4207,0)),"Not Found"))</f>
        <v/>
      </c>
      <c r="F2580" s="27" t="str" cm="1">
        <f t="array" ref="F2580">IF(C2580="","",IFERROR(INDEX(STPP!$F$6:$F$4207,MATCH(C2580,STPP!$C$6:$C$4207,0)),"Not Found"))</f>
        <v/>
      </c>
      <c r="G2580" s="25" t="str">
        <f>IF(表1[[#This Row],[No Seri]]="","",表1[[#This Row],[Deskripsi Barang]]+表1[[#This Row],[Kuantitas]]-表1[[#This Row],[Satuan]])</f>
        <v/>
      </c>
      <c r="H2580" s="28"/>
      <c r="I2580" s="25" t="str">
        <f>IF(表1[[#This Row],[Tgl NPBG]]&gt;表1[[#This Row],[Peminta]],表1[[#This Row],[Tgl NPBG]]-表1[[#This Row],[Peminta]],"")</f>
        <v/>
      </c>
      <c r="J2580" s="31"/>
    </row>
    <row r="2581" s="12" customFormat="1" customHeight="1" spans="2:10">
      <c r="B2581" s="25"/>
      <c r="C2581" s="25"/>
      <c r="D2581" s="26" t="str" cm="1">
        <f t="array" ref="D2581">IF(C2581="","",IFERROR(INDEX(STPP!$D$6:$D$4207,MATCH(C2581,STPP!$C$6:$C$4207,0)),"Not Found"))</f>
        <v/>
      </c>
      <c r="E2581" s="27" t="str" cm="1">
        <f t="array" ref="E2581">IF(C2581="","",IFERROR(INDEX(STPP!$E$6:$E$4207,MATCH(C2581,STPP!$C$6:$C$4207,0)),"Not Found"))</f>
        <v/>
      </c>
      <c r="F2581" s="27" t="str" cm="1">
        <f t="array" ref="F2581">IF(C2581="","",IFERROR(INDEX(STPP!$F$6:$F$4207,MATCH(C2581,STPP!$C$6:$C$4207,0)),"Not Found"))</f>
        <v/>
      </c>
      <c r="G2581" s="25" t="str">
        <f>IF(表1[[#This Row],[No Seri]]="","",表1[[#This Row],[Deskripsi Barang]]+表1[[#This Row],[Kuantitas]]-表1[[#This Row],[Satuan]])</f>
        <v/>
      </c>
      <c r="H2581" s="28"/>
      <c r="I2581" s="25" t="str">
        <f>IF(表1[[#This Row],[Tgl NPBG]]&gt;表1[[#This Row],[Peminta]],表1[[#This Row],[Tgl NPBG]]-表1[[#This Row],[Peminta]],"")</f>
        <v/>
      </c>
      <c r="J2581" s="31"/>
    </row>
    <row r="2582" s="12" customFormat="1" customHeight="1" spans="2:10">
      <c r="B2582" s="25"/>
      <c r="C2582" s="25"/>
      <c r="D2582" s="26" t="str" cm="1">
        <f t="array" ref="D2582">IF(C2582="","",IFERROR(INDEX(STPP!$D$6:$D$4207,MATCH(C2582,STPP!$C$6:$C$4207,0)),"Not Found"))</f>
        <v/>
      </c>
      <c r="E2582" s="27" t="str" cm="1">
        <f t="array" ref="E2582">IF(C2582="","",IFERROR(INDEX(STPP!$E$6:$E$4207,MATCH(C2582,STPP!$C$6:$C$4207,0)),"Not Found"))</f>
        <v/>
      </c>
      <c r="F2582" s="27" t="str" cm="1">
        <f t="array" ref="F2582">IF(C2582="","",IFERROR(INDEX(STPP!$F$6:$F$4207,MATCH(C2582,STPP!$C$6:$C$4207,0)),"Not Found"))</f>
        <v/>
      </c>
      <c r="G2582" s="25" t="str">
        <f>IF(表1[[#This Row],[No Seri]]="","",表1[[#This Row],[Deskripsi Barang]]+表1[[#This Row],[Kuantitas]]-表1[[#This Row],[Satuan]])</f>
        <v/>
      </c>
      <c r="H2582" s="28"/>
      <c r="I2582" s="25" t="str">
        <f>IF(表1[[#This Row],[Tgl NPBG]]&gt;表1[[#This Row],[Peminta]],表1[[#This Row],[Tgl NPBG]]-表1[[#This Row],[Peminta]],"")</f>
        <v/>
      </c>
      <c r="J2582" s="31"/>
    </row>
    <row r="2583" s="12" customFormat="1" customHeight="1" spans="2:10">
      <c r="B2583" s="25"/>
      <c r="C2583" s="25"/>
      <c r="D2583" s="26" t="str" cm="1">
        <f t="array" ref="D2583">IF(C2583="","",IFERROR(INDEX(STPP!$D$6:$D$4207,MATCH(C2583,STPP!$C$6:$C$4207,0)),"Not Found"))</f>
        <v/>
      </c>
      <c r="E2583" s="27" t="str" cm="1">
        <f t="array" ref="E2583">IF(C2583="","",IFERROR(INDEX(STPP!$E$6:$E$4207,MATCH(C2583,STPP!$C$6:$C$4207,0)),"Not Found"))</f>
        <v/>
      </c>
      <c r="F2583" s="27" t="str" cm="1">
        <f t="array" ref="F2583">IF(C2583="","",IFERROR(INDEX(STPP!$F$6:$F$4207,MATCH(C2583,STPP!$C$6:$C$4207,0)),"Not Found"))</f>
        <v/>
      </c>
      <c r="G2583" s="25" t="str">
        <f>IF(表1[[#This Row],[No Seri]]="","",表1[[#This Row],[Deskripsi Barang]]+表1[[#This Row],[Kuantitas]]-表1[[#This Row],[Satuan]])</f>
        <v/>
      </c>
      <c r="H2583" s="28"/>
      <c r="I2583" s="25" t="str">
        <f>IF(表1[[#This Row],[Tgl NPBG]]&gt;表1[[#This Row],[Peminta]],表1[[#This Row],[Tgl NPBG]]-表1[[#This Row],[Peminta]],"")</f>
        <v/>
      </c>
      <c r="J2583" s="31"/>
    </row>
    <row r="2584" s="12" customFormat="1" customHeight="1" spans="2:10">
      <c r="B2584" s="25"/>
      <c r="C2584" s="25"/>
      <c r="D2584" s="26" t="str" cm="1">
        <f t="array" ref="D2584">IF(C2584="","",IFERROR(INDEX(STPP!$D$6:$D$4207,MATCH(C2584,STPP!$C$6:$C$4207,0)),"Not Found"))</f>
        <v/>
      </c>
      <c r="E2584" s="27" t="str" cm="1">
        <f t="array" ref="E2584">IF(C2584="","",IFERROR(INDEX(STPP!$E$6:$E$4207,MATCH(C2584,STPP!$C$6:$C$4207,0)),"Not Found"))</f>
        <v/>
      </c>
      <c r="F2584" s="27" t="str" cm="1">
        <f t="array" ref="F2584">IF(C2584="","",IFERROR(INDEX(STPP!$F$6:$F$4207,MATCH(C2584,STPP!$C$6:$C$4207,0)),"Not Found"))</f>
        <v/>
      </c>
      <c r="G2584" s="25" t="str">
        <f>IF(表1[[#This Row],[No Seri]]="","",表1[[#This Row],[Deskripsi Barang]]+表1[[#This Row],[Kuantitas]]-表1[[#This Row],[Satuan]])</f>
        <v/>
      </c>
      <c r="H2584" s="28"/>
      <c r="I2584" s="25" t="str">
        <f>IF(表1[[#This Row],[Tgl NPBG]]&gt;表1[[#This Row],[Peminta]],表1[[#This Row],[Tgl NPBG]]-表1[[#This Row],[Peminta]],"")</f>
        <v/>
      </c>
      <c r="J2584" s="31"/>
    </row>
    <row r="2585" s="12" customFormat="1" customHeight="1" spans="2:10">
      <c r="B2585" s="25"/>
      <c r="C2585" s="25"/>
      <c r="D2585" s="26" t="str" cm="1">
        <f t="array" ref="D2585">IF(C2585="","",IFERROR(INDEX(STPP!$D$6:$D$4207,MATCH(C2585,STPP!$C$6:$C$4207,0)),"Not Found"))</f>
        <v/>
      </c>
      <c r="E2585" s="27" t="str" cm="1">
        <f t="array" ref="E2585">IF(C2585="","",IFERROR(INDEX(STPP!$E$6:$E$4207,MATCH(C2585,STPP!$C$6:$C$4207,0)),"Not Found"))</f>
        <v/>
      </c>
      <c r="F2585" s="27" t="str" cm="1">
        <f t="array" ref="F2585">IF(C2585="","",IFERROR(INDEX(STPP!$F$6:$F$4207,MATCH(C2585,STPP!$C$6:$C$4207,0)),"Not Found"))</f>
        <v/>
      </c>
      <c r="G2585" s="25" t="str">
        <f>IF(表1[[#This Row],[No Seri]]="","",表1[[#This Row],[Deskripsi Barang]]+表1[[#This Row],[Kuantitas]]-表1[[#This Row],[Satuan]])</f>
        <v/>
      </c>
      <c r="H2585" s="28"/>
      <c r="I2585" s="25" t="str">
        <f>IF(表1[[#This Row],[Tgl NPBG]]&gt;表1[[#This Row],[Peminta]],表1[[#This Row],[Tgl NPBG]]-表1[[#This Row],[Peminta]],"")</f>
        <v/>
      </c>
      <c r="J2585" s="31"/>
    </row>
    <row r="2586" s="12" customFormat="1" customHeight="1" spans="2:10">
      <c r="B2586" s="25"/>
      <c r="C2586" s="25"/>
      <c r="D2586" s="26" t="str" cm="1">
        <f t="array" ref="D2586">IF(C2586="","",IFERROR(INDEX(STPP!$D$6:$D$4207,MATCH(C2586,STPP!$C$6:$C$4207,0)),"Not Found"))</f>
        <v/>
      </c>
      <c r="E2586" s="27" t="str" cm="1">
        <f t="array" ref="E2586">IF(C2586="","",IFERROR(INDEX(STPP!$E$6:$E$4207,MATCH(C2586,STPP!$C$6:$C$4207,0)),"Not Found"))</f>
        <v/>
      </c>
      <c r="F2586" s="27" t="str" cm="1">
        <f t="array" ref="F2586">IF(C2586="","",IFERROR(INDEX(STPP!$F$6:$F$4207,MATCH(C2586,STPP!$C$6:$C$4207,0)),"Not Found"))</f>
        <v/>
      </c>
      <c r="G2586" s="25" t="str">
        <f>IF(表1[[#This Row],[No Seri]]="","",表1[[#This Row],[Deskripsi Barang]]+表1[[#This Row],[Kuantitas]]-表1[[#This Row],[Satuan]])</f>
        <v/>
      </c>
      <c r="H2586" s="28"/>
      <c r="I2586" s="25" t="str">
        <f>IF(表1[[#This Row],[Tgl NPBG]]&gt;表1[[#This Row],[Peminta]],表1[[#This Row],[Tgl NPBG]]-表1[[#This Row],[Peminta]],"")</f>
        <v/>
      </c>
      <c r="J2586" s="31"/>
    </row>
    <row r="2587" s="12" customFormat="1" customHeight="1" spans="2:10">
      <c r="B2587" s="25"/>
      <c r="C2587" s="25"/>
      <c r="D2587" s="26" t="str" cm="1">
        <f t="array" ref="D2587">IF(C2587="","",IFERROR(INDEX(STPP!$D$6:$D$4207,MATCH(C2587,STPP!$C$6:$C$4207,0)),"Not Found"))</f>
        <v/>
      </c>
      <c r="E2587" s="27" t="str" cm="1">
        <f t="array" ref="E2587">IF(C2587="","",IFERROR(INDEX(STPP!$E$6:$E$4207,MATCH(C2587,STPP!$C$6:$C$4207,0)),"Not Found"))</f>
        <v/>
      </c>
      <c r="F2587" s="27" t="str" cm="1">
        <f t="array" ref="F2587">IF(C2587="","",IFERROR(INDEX(STPP!$F$6:$F$4207,MATCH(C2587,STPP!$C$6:$C$4207,0)),"Not Found"))</f>
        <v/>
      </c>
      <c r="G2587" s="25" t="str">
        <f>IF(表1[[#This Row],[No Seri]]="","",表1[[#This Row],[Deskripsi Barang]]+表1[[#This Row],[Kuantitas]]-表1[[#This Row],[Satuan]])</f>
        <v/>
      </c>
      <c r="H2587" s="28"/>
      <c r="I2587" s="25" t="str">
        <f>IF(表1[[#This Row],[Tgl NPBG]]&gt;表1[[#This Row],[Peminta]],表1[[#This Row],[Tgl NPBG]]-表1[[#This Row],[Peminta]],"")</f>
        <v/>
      </c>
      <c r="J2587" s="31"/>
    </row>
    <row r="2588" s="12" customFormat="1" customHeight="1" spans="2:10">
      <c r="B2588" s="25"/>
      <c r="C2588" s="25"/>
      <c r="D2588" s="26" t="str" cm="1">
        <f t="array" ref="D2588">IF(C2588="","",IFERROR(INDEX(STPP!$D$6:$D$4207,MATCH(C2588,STPP!$C$6:$C$4207,0)),"Not Found"))</f>
        <v/>
      </c>
      <c r="E2588" s="27" t="str" cm="1">
        <f t="array" ref="E2588">IF(C2588="","",IFERROR(INDEX(STPP!$E$6:$E$4207,MATCH(C2588,STPP!$C$6:$C$4207,0)),"Not Found"))</f>
        <v/>
      </c>
      <c r="F2588" s="27" t="str" cm="1">
        <f t="array" ref="F2588">IF(C2588="","",IFERROR(INDEX(STPP!$F$6:$F$4207,MATCH(C2588,STPP!$C$6:$C$4207,0)),"Not Found"))</f>
        <v/>
      </c>
      <c r="G2588" s="25" t="str">
        <f>IF(表1[[#This Row],[No Seri]]="","",表1[[#This Row],[Deskripsi Barang]]+表1[[#This Row],[Kuantitas]]-表1[[#This Row],[Satuan]])</f>
        <v/>
      </c>
      <c r="H2588" s="28"/>
      <c r="I2588" s="25" t="str">
        <f>IF(表1[[#This Row],[Tgl NPBG]]&gt;表1[[#This Row],[Peminta]],表1[[#This Row],[Tgl NPBG]]-表1[[#This Row],[Peminta]],"")</f>
        <v/>
      </c>
      <c r="J2588" s="31"/>
    </row>
    <row r="2589" s="12" customFormat="1" customHeight="1" spans="2:10">
      <c r="B2589" s="25"/>
      <c r="C2589" s="25"/>
      <c r="D2589" s="26" t="str" cm="1">
        <f t="array" ref="D2589">IF(C2589="","",IFERROR(INDEX(STPP!$D$6:$D$4207,MATCH(C2589,STPP!$C$6:$C$4207,0)),"Not Found"))</f>
        <v/>
      </c>
      <c r="E2589" s="27" t="str" cm="1">
        <f t="array" ref="E2589">IF(C2589="","",IFERROR(INDEX(STPP!$E$6:$E$4207,MATCH(C2589,STPP!$C$6:$C$4207,0)),"Not Found"))</f>
        <v/>
      </c>
      <c r="F2589" s="27" t="str" cm="1">
        <f t="array" ref="F2589">IF(C2589="","",IFERROR(INDEX(STPP!$F$6:$F$4207,MATCH(C2589,STPP!$C$6:$C$4207,0)),"Not Found"))</f>
        <v/>
      </c>
      <c r="G2589" s="25" t="str">
        <f>IF(表1[[#This Row],[No Seri]]="","",表1[[#This Row],[Deskripsi Barang]]+表1[[#This Row],[Kuantitas]]-表1[[#This Row],[Satuan]])</f>
        <v/>
      </c>
      <c r="H2589" s="28"/>
      <c r="I2589" s="25" t="str">
        <f>IF(表1[[#This Row],[Tgl NPBG]]&gt;表1[[#This Row],[Peminta]],表1[[#This Row],[Tgl NPBG]]-表1[[#This Row],[Peminta]],"")</f>
        <v/>
      </c>
      <c r="J2589" s="31"/>
    </row>
    <row r="2590" s="12" customFormat="1" customHeight="1" spans="2:10">
      <c r="B2590" s="25"/>
      <c r="C2590" s="25"/>
      <c r="D2590" s="26" t="str" cm="1">
        <f t="array" ref="D2590">IF(C2590="","",IFERROR(INDEX(STPP!$D$6:$D$4207,MATCH(C2590,STPP!$C$6:$C$4207,0)),"Not Found"))</f>
        <v/>
      </c>
      <c r="E2590" s="27" t="str" cm="1">
        <f t="array" ref="E2590">IF(C2590="","",IFERROR(INDEX(STPP!$E$6:$E$4207,MATCH(C2590,STPP!$C$6:$C$4207,0)),"Not Found"))</f>
        <v/>
      </c>
      <c r="F2590" s="27" t="str" cm="1">
        <f t="array" ref="F2590">IF(C2590="","",IFERROR(INDEX(STPP!$F$6:$F$4207,MATCH(C2590,STPP!$C$6:$C$4207,0)),"Not Found"))</f>
        <v/>
      </c>
      <c r="G2590" s="25" t="str">
        <f>IF(表1[[#This Row],[No Seri]]="","",表1[[#This Row],[Deskripsi Barang]]+表1[[#This Row],[Kuantitas]]-表1[[#This Row],[Satuan]])</f>
        <v/>
      </c>
      <c r="H2590" s="28"/>
      <c r="I2590" s="25" t="str">
        <f>IF(表1[[#This Row],[Tgl NPBG]]&gt;表1[[#This Row],[Peminta]],表1[[#This Row],[Tgl NPBG]]-表1[[#This Row],[Peminta]],"")</f>
        <v/>
      </c>
      <c r="J2590" s="31"/>
    </row>
    <row r="2591" s="12" customFormat="1" customHeight="1" spans="2:10">
      <c r="B2591" s="25"/>
      <c r="C2591" s="25"/>
      <c r="D2591" s="26" t="str" cm="1">
        <f t="array" ref="D2591">IF(C2591="","",IFERROR(INDEX(STPP!$D$6:$D$4207,MATCH(C2591,STPP!$C$6:$C$4207,0)),"Not Found"))</f>
        <v/>
      </c>
      <c r="E2591" s="27" t="str" cm="1">
        <f t="array" ref="E2591">IF(C2591="","",IFERROR(INDEX(STPP!$E$6:$E$4207,MATCH(C2591,STPP!$C$6:$C$4207,0)),"Not Found"))</f>
        <v/>
      </c>
      <c r="F2591" s="27" t="str" cm="1">
        <f t="array" ref="F2591">IF(C2591="","",IFERROR(INDEX(STPP!$F$6:$F$4207,MATCH(C2591,STPP!$C$6:$C$4207,0)),"Not Found"))</f>
        <v/>
      </c>
      <c r="G2591" s="25" t="str">
        <f>IF(表1[[#This Row],[No Seri]]="","",表1[[#This Row],[Deskripsi Barang]]+表1[[#This Row],[Kuantitas]]-表1[[#This Row],[Satuan]])</f>
        <v/>
      </c>
      <c r="H2591" s="28"/>
      <c r="I2591" s="25" t="str">
        <f>IF(表1[[#This Row],[Tgl NPBG]]&gt;表1[[#This Row],[Peminta]],表1[[#This Row],[Tgl NPBG]]-表1[[#This Row],[Peminta]],"")</f>
        <v/>
      </c>
      <c r="J2591" s="31"/>
    </row>
    <row r="2592" s="12" customFormat="1" customHeight="1" spans="2:10">
      <c r="B2592" s="25"/>
      <c r="C2592" s="25"/>
      <c r="D2592" s="26" t="str" cm="1">
        <f t="array" ref="D2592">IF(C2592="","",IFERROR(INDEX(STPP!$D$6:$D$4207,MATCH(C2592,STPP!$C$6:$C$4207,0)),"Not Found"))</f>
        <v/>
      </c>
      <c r="E2592" s="27" t="str" cm="1">
        <f t="array" ref="E2592">IF(C2592="","",IFERROR(INDEX(STPP!$E$6:$E$4207,MATCH(C2592,STPP!$C$6:$C$4207,0)),"Not Found"))</f>
        <v/>
      </c>
      <c r="F2592" s="27" t="str" cm="1">
        <f t="array" ref="F2592">IF(C2592="","",IFERROR(INDEX(STPP!$F$6:$F$4207,MATCH(C2592,STPP!$C$6:$C$4207,0)),"Not Found"))</f>
        <v/>
      </c>
      <c r="G2592" s="25" t="str">
        <f>IF(表1[[#This Row],[No Seri]]="","",表1[[#This Row],[Deskripsi Barang]]+表1[[#This Row],[Kuantitas]]-表1[[#This Row],[Satuan]])</f>
        <v/>
      </c>
      <c r="H2592" s="28"/>
      <c r="I2592" s="25" t="str">
        <f>IF(表1[[#This Row],[Tgl NPBG]]&gt;表1[[#This Row],[Peminta]],表1[[#This Row],[Tgl NPBG]]-表1[[#This Row],[Peminta]],"")</f>
        <v/>
      </c>
      <c r="J2592" s="31"/>
    </row>
    <row r="2593" s="12" customFormat="1" customHeight="1" spans="2:10">
      <c r="B2593" s="25"/>
      <c r="C2593" s="25"/>
      <c r="D2593" s="26" t="str" cm="1">
        <f t="array" ref="D2593">IF(C2593="","",IFERROR(INDEX(STPP!$D$6:$D$4207,MATCH(C2593,STPP!$C$6:$C$4207,0)),"Not Found"))</f>
        <v/>
      </c>
      <c r="E2593" s="27" t="str" cm="1">
        <f t="array" ref="E2593">IF(C2593="","",IFERROR(INDEX(STPP!$E$6:$E$4207,MATCH(C2593,STPP!$C$6:$C$4207,0)),"Not Found"))</f>
        <v/>
      </c>
      <c r="F2593" s="27" t="str" cm="1">
        <f t="array" ref="F2593">IF(C2593="","",IFERROR(INDEX(STPP!$F$6:$F$4207,MATCH(C2593,STPP!$C$6:$C$4207,0)),"Not Found"))</f>
        <v/>
      </c>
      <c r="G2593" s="25" t="str">
        <f>IF(表1[[#This Row],[No Seri]]="","",表1[[#This Row],[Deskripsi Barang]]+表1[[#This Row],[Kuantitas]]-表1[[#This Row],[Satuan]])</f>
        <v/>
      </c>
      <c r="H2593" s="28"/>
      <c r="I2593" s="25" t="str">
        <f>IF(表1[[#This Row],[Tgl NPBG]]&gt;表1[[#This Row],[Peminta]],表1[[#This Row],[Tgl NPBG]]-表1[[#This Row],[Peminta]],"")</f>
        <v/>
      </c>
      <c r="J2593" s="31"/>
    </row>
    <row r="2594" s="12" customFormat="1" customHeight="1" spans="2:10">
      <c r="B2594" s="25"/>
      <c r="C2594" s="25"/>
      <c r="D2594" s="26" t="str" cm="1">
        <f t="array" ref="D2594">IF(C2594="","",IFERROR(INDEX(STPP!$D$6:$D$4207,MATCH(C2594,STPP!$C$6:$C$4207,0)),"Not Found"))</f>
        <v/>
      </c>
      <c r="E2594" s="27" t="str" cm="1">
        <f t="array" ref="E2594">IF(C2594="","",IFERROR(INDEX(STPP!$E$6:$E$4207,MATCH(C2594,STPP!$C$6:$C$4207,0)),"Not Found"))</f>
        <v/>
      </c>
      <c r="F2594" s="27" t="str" cm="1">
        <f t="array" ref="F2594">IF(C2594="","",IFERROR(INDEX(STPP!$F$6:$F$4207,MATCH(C2594,STPP!$C$6:$C$4207,0)),"Not Found"))</f>
        <v/>
      </c>
      <c r="G2594" s="25" t="str">
        <f>IF(表1[[#This Row],[No Seri]]="","",表1[[#This Row],[Deskripsi Barang]]+表1[[#This Row],[Kuantitas]]-表1[[#This Row],[Satuan]])</f>
        <v/>
      </c>
      <c r="H2594" s="28"/>
      <c r="I2594" s="25" t="str">
        <f>IF(表1[[#This Row],[Tgl NPBG]]&gt;表1[[#This Row],[Peminta]],表1[[#This Row],[Tgl NPBG]]-表1[[#This Row],[Peminta]],"")</f>
        <v/>
      </c>
      <c r="J2594" s="31"/>
    </row>
    <row r="2595" s="12" customFormat="1" customHeight="1" spans="2:10">
      <c r="B2595" s="25"/>
      <c r="C2595" s="25"/>
      <c r="D2595" s="26" t="str" cm="1">
        <f t="array" ref="D2595">IF(C2595="","",IFERROR(INDEX(STPP!$D$6:$D$4207,MATCH(C2595,STPP!$C$6:$C$4207,0)),"Not Found"))</f>
        <v/>
      </c>
      <c r="E2595" s="27" t="str" cm="1">
        <f t="array" ref="E2595">IF(C2595="","",IFERROR(INDEX(STPP!$E$6:$E$4207,MATCH(C2595,STPP!$C$6:$C$4207,0)),"Not Found"))</f>
        <v/>
      </c>
      <c r="F2595" s="27" t="str" cm="1">
        <f t="array" ref="F2595">IF(C2595="","",IFERROR(INDEX(STPP!$F$6:$F$4207,MATCH(C2595,STPP!$C$6:$C$4207,0)),"Not Found"))</f>
        <v/>
      </c>
      <c r="G2595" s="25" t="str">
        <f>IF(表1[[#This Row],[No Seri]]="","",表1[[#This Row],[Deskripsi Barang]]+表1[[#This Row],[Kuantitas]]-表1[[#This Row],[Satuan]])</f>
        <v/>
      </c>
      <c r="H2595" s="28"/>
      <c r="I2595" s="25" t="str">
        <f>IF(表1[[#This Row],[Tgl NPBG]]&gt;表1[[#This Row],[Peminta]],表1[[#This Row],[Tgl NPBG]]-表1[[#This Row],[Peminta]],"")</f>
        <v/>
      </c>
      <c r="J2595" s="31"/>
    </row>
    <row r="2596" s="12" customFormat="1" customHeight="1" spans="2:10">
      <c r="B2596" s="25"/>
      <c r="C2596" s="25"/>
      <c r="D2596" s="26" t="str" cm="1">
        <f t="array" ref="D2596">IF(C2596="","",IFERROR(INDEX(STPP!$D$6:$D$4207,MATCH(C2596,STPP!$C$6:$C$4207,0)),"Not Found"))</f>
        <v/>
      </c>
      <c r="E2596" s="27" t="str" cm="1">
        <f t="array" ref="E2596">IF(C2596="","",IFERROR(INDEX(STPP!$E$6:$E$4207,MATCH(C2596,STPP!$C$6:$C$4207,0)),"Not Found"))</f>
        <v/>
      </c>
      <c r="F2596" s="27" t="str" cm="1">
        <f t="array" ref="F2596">IF(C2596="","",IFERROR(INDEX(STPP!$F$6:$F$4207,MATCH(C2596,STPP!$C$6:$C$4207,0)),"Not Found"))</f>
        <v/>
      </c>
      <c r="G2596" s="25" t="str">
        <f>IF(表1[[#This Row],[No Seri]]="","",表1[[#This Row],[Deskripsi Barang]]+表1[[#This Row],[Kuantitas]]-表1[[#This Row],[Satuan]])</f>
        <v/>
      </c>
      <c r="H2596" s="28"/>
      <c r="I2596" s="25" t="str">
        <f>IF(表1[[#This Row],[Tgl NPBG]]&gt;表1[[#This Row],[Peminta]],表1[[#This Row],[Tgl NPBG]]-表1[[#This Row],[Peminta]],"")</f>
        <v/>
      </c>
      <c r="J2596" s="31"/>
    </row>
    <row r="2597" s="12" customFormat="1" customHeight="1" spans="2:10">
      <c r="B2597" s="25"/>
      <c r="C2597" s="25"/>
      <c r="D2597" s="26" t="str" cm="1">
        <f t="array" ref="D2597">IF(C2597="","",IFERROR(INDEX(STPP!$D$6:$D$4207,MATCH(C2597,STPP!$C$6:$C$4207,0)),"Not Found"))</f>
        <v/>
      </c>
      <c r="E2597" s="27" t="str" cm="1">
        <f t="array" ref="E2597">IF(C2597="","",IFERROR(INDEX(STPP!$E$6:$E$4207,MATCH(C2597,STPP!$C$6:$C$4207,0)),"Not Found"))</f>
        <v/>
      </c>
      <c r="F2597" s="27" t="str" cm="1">
        <f t="array" ref="F2597">IF(C2597="","",IFERROR(INDEX(STPP!$F$6:$F$4207,MATCH(C2597,STPP!$C$6:$C$4207,0)),"Not Found"))</f>
        <v/>
      </c>
      <c r="G2597" s="25" t="str">
        <f>IF(表1[[#This Row],[No Seri]]="","",表1[[#This Row],[Deskripsi Barang]]+表1[[#This Row],[Kuantitas]]-表1[[#This Row],[Satuan]])</f>
        <v/>
      </c>
      <c r="H2597" s="28"/>
      <c r="I2597" s="25" t="str">
        <f>IF(表1[[#This Row],[Tgl NPBG]]&gt;表1[[#This Row],[Peminta]],表1[[#This Row],[Tgl NPBG]]-表1[[#This Row],[Peminta]],"")</f>
        <v/>
      </c>
      <c r="J2597" s="31"/>
    </row>
    <row r="2598" s="12" customFormat="1" customHeight="1" spans="2:10">
      <c r="B2598" s="25"/>
      <c r="C2598" s="25"/>
      <c r="D2598" s="26" t="str" cm="1">
        <f t="array" ref="D2598">IF(C2598="","",IFERROR(INDEX(STPP!$D$6:$D$4207,MATCH(C2598,STPP!$C$6:$C$4207,0)),"Not Found"))</f>
        <v/>
      </c>
      <c r="E2598" s="27" t="str" cm="1">
        <f t="array" ref="E2598">IF(C2598="","",IFERROR(INDEX(STPP!$E$6:$E$4207,MATCH(C2598,STPP!$C$6:$C$4207,0)),"Not Found"))</f>
        <v/>
      </c>
      <c r="F2598" s="27" t="str" cm="1">
        <f t="array" ref="F2598">IF(C2598="","",IFERROR(INDEX(STPP!$F$6:$F$4207,MATCH(C2598,STPP!$C$6:$C$4207,0)),"Not Found"))</f>
        <v/>
      </c>
      <c r="G2598" s="25" t="str">
        <f>IF(表1[[#This Row],[No Seri]]="","",表1[[#This Row],[Deskripsi Barang]]+表1[[#This Row],[Kuantitas]]-表1[[#This Row],[Satuan]])</f>
        <v/>
      </c>
      <c r="H2598" s="28"/>
      <c r="I2598" s="25" t="str">
        <f>IF(表1[[#This Row],[Tgl NPBG]]&gt;表1[[#This Row],[Peminta]],表1[[#This Row],[Tgl NPBG]]-表1[[#This Row],[Peminta]],"")</f>
        <v/>
      </c>
      <c r="J2598" s="31"/>
    </row>
    <row r="2599" s="12" customFormat="1" customHeight="1" spans="2:10">
      <c r="B2599" s="25"/>
      <c r="C2599" s="25"/>
      <c r="D2599" s="26" t="str" cm="1">
        <f t="array" ref="D2599">IF(C2599="","",IFERROR(INDEX(STPP!$D$6:$D$4207,MATCH(C2599,STPP!$C$6:$C$4207,0)),"Not Found"))</f>
        <v/>
      </c>
      <c r="E2599" s="27" t="str" cm="1">
        <f t="array" ref="E2599">IF(C2599="","",IFERROR(INDEX(STPP!$E$6:$E$4207,MATCH(C2599,STPP!$C$6:$C$4207,0)),"Not Found"))</f>
        <v/>
      </c>
      <c r="F2599" s="27" t="str" cm="1">
        <f t="array" ref="F2599">IF(C2599="","",IFERROR(INDEX(STPP!$F$6:$F$4207,MATCH(C2599,STPP!$C$6:$C$4207,0)),"Not Found"))</f>
        <v/>
      </c>
      <c r="G2599" s="25" t="str">
        <f>IF(表1[[#This Row],[No Seri]]="","",表1[[#This Row],[Deskripsi Barang]]+表1[[#This Row],[Kuantitas]]-表1[[#This Row],[Satuan]])</f>
        <v/>
      </c>
      <c r="H2599" s="28"/>
      <c r="I2599" s="25" t="str">
        <f>IF(表1[[#This Row],[Tgl NPBG]]&gt;表1[[#This Row],[Peminta]],表1[[#This Row],[Tgl NPBG]]-表1[[#This Row],[Peminta]],"")</f>
        <v/>
      </c>
      <c r="J2599" s="31"/>
    </row>
    <row r="2600" s="12" customFormat="1" customHeight="1" spans="2:10">
      <c r="B2600" s="25"/>
      <c r="C2600" s="25"/>
      <c r="D2600" s="26" t="str" cm="1">
        <f t="array" ref="D2600">IF(C2600="","",IFERROR(INDEX(STPP!$D$6:$D$4207,MATCH(C2600,STPP!$C$6:$C$4207,0)),"Not Found"))</f>
        <v/>
      </c>
      <c r="E2600" s="27" t="str" cm="1">
        <f t="array" ref="E2600">IF(C2600="","",IFERROR(INDEX(STPP!$E$6:$E$4207,MATCH(C2600,STPP!$C$6:$C$4207,0)),"Not Found"))</f>
        <v/>
      </c>
      <c r="F2600" s="27" t="str" cm="1">
        <f t="array" ref="F2600">IF(C2600="","",IFERROR(INDEX(STPP!$F$6:$F$4207,MATCH(C2600,STPP!$C$6:$C$4207,0)),"Not Found"))</f>
        <v/>
      </c>
      <c r="G2600" s="25" t="str">
        <f>IF(表1[[#This Row],[No Seri]]="","",表1[[#This Row],[Deskripsi Barang]]+表1[[#This Row],[Kuantitas]]-表1[[#This Row],[Satuan]])</f>
        <v/>
      </c>
      <c r="H2600" s="28"/>
      <c r="I2600" s="25" t="str">
        <f>IF(表1[[#This Row],[Tgl NPBG]]&gt;表1[[#This Row],[Peminta]],表1[[#This Row],[Tgl NPBG]]-表1[[#This Row],[Peminta]],"")</f>
        <v/>
      </c>
      <c r="J2600" s="31"/>
    </row>
    <row r="2601" s="12" customFormat="1" customHeight="1" spans="2:10">
      <c r="B2601" s="25"/>
      <c r="C2601" s="25"/>
      <c r="D2601" s="26" t="str" cm="1">
        <f t="array" ref="D2601">IF(C2601="","",IFERROR(INDEX(STPP!$D$6:$D$4207,MATCH(C2601,STPP!$C$6:$C$4207,0)),"Not Found"))</f>
        <v/>
      </c>
      <c r="E2601" s="27" t="str" cm="1">
        <f t="array" ref="E2601">IF(C2601="","",IFERROR(INDEX(STPP!$E$6:$E$4207,MATCH(C2601,STPP!$C$6:$C$4207,0)),"Not Found"))</f>
        <v/>
      </c>
      <c r="F2601" s="27" t="str" cm="1">
        <f t="array" ref="F2601">IF(C2601="","",IFERROR(INDEX(STPP!$F$6:$F$4207,MATCH(C2601,STPP!$C$6:$C$4207,0)),"Not Found"))</f>
        <v/>
      </c>
      <c r="G2601" s="25" t="str">
        <f>IF(表1[[#This Row],[No Seri]]="","",表1[[#This Row],[Deskripsi Barang]]+表1[[#This Row],[Kuantitas]]-表1[[#This Row],[Satuan]])</f>
        <v/>
      </c>
      <c r="H2601" s="28"/>
      <c r="I2601" s="25" t="str">
        <f>IF(表1[[#This Row],[Tgl NPBG]]&gt;表1[[#This Row],[Peminta]],表1[[#This Row],[Tgl NPBG]]-表1[[#This Row],[Peminta]],"")</f>
        <v/>
      </c>
      <c r="J2601" s="31"/>
    </row>
    <row r="2602" s="12" customFormat="1" customHeight="1" spans="2:10">
      <c r="B2602" s="25"/>
      <c r="C2602" s="25"/>
      <c r="D2602" s="26" t="str" cm="1">
        <f t="array" ref="D2602">IF(C2602="","",IFERROR(INDEX(STPP!$D$6:$D$4207,MATCH(C2602,STPP!$C$6:$C$4207,0)),"Not Found"))</f>
        <v/>
      </c>
      <c r="E2602" s="27" t="str" cm="1">
        <f t="array" ref="E2602">IF(C2602="","",IFERROR(INDEX(STPP!$E$6:$E$4207,MATCH(C2602,STPP!$C$6:$C$4207,0)),"Not Found"))</f>
        <v/>
      </c>
      <c r="F2602" s="27" t="str" cm="1">
        <f t="array" ref="F2602">IF(C2602="","",IFERROR(INDEX(STPP!$F$6:$F$4207,MATCH(C2602,STPP!$C$6:$C$4207,0)),"Not Found"))</f>
        <v/>
      </c>
      <c r="G2602" s="25" t="str">
        <f>IF(表1[[#This Row],[No Seri]]="","",表1[[#This Row],[Deskripsi Barang]]+表1[[#This Row],[Kuantitas]]-表1[[#This Row],[Satuan]])</f>
        <v/>
      </c>
      <c r="H2602" s="28"/>
      <c r="I2602" s="25" t="str">
        <f>IF(表1[[#This Row],[Tgl NPBG]]&gt;表1[[#This Row],[Peminta]],表1[[#This Row],[Tgl NPBG]]-表1[[#This Row],[Peminta]],"")</f>
        <v/>
      </c>
      <c r="J2602" s="31"/>
    </row>
    <row r="2603" s="12" customFormat="1" customHeight="1" spans="2:10">
      <c r="B2603" s="25"/>
      <c r="C2603" s="25"/>
      <c r="D2603" s="26" t="str" cm="1">
        <f t="array" ref="D2603">IF(C2603="","",IFERROR(INDEX(STPP!$D$6:$D$4207,MATCH(C2603,STPP!$C$6:$C$4207,0)),"Not Found"))</f>
        <v/>
      </c>
      <c r="E2603" s="27" t="str" cm="1">
        <f t="array" ref="E2603">IF(C2603="","",IFERROR(INDEX(STPP!$E$6:$E$4207,MATCH(C2603,STPP!$C$6:$C$4207,0)),"Not Found"))</f>
        <v/>
      </c>
      <c r="F2603" s="27" t="str" cm="1">
        <f t="array" ref="F2603">IF(C2603="","",IFERROR(INDEX(STPP!$F$6:$F$4207,MATCH(C2603,STPP!$C$6:$C$4207,0)),"Not Found"))</f>
        <v/>
      </c>
      <c r="G2603" s="25" t="str">
        <f>IF(表1[[#This Row],[No Seri]]="","",表1[[#This Row],[Deskripsi Barang]]+表1[[#This Row],[Kuantitas]]-表1[[#This Row],[Satuan]])</f>
        <v/>
      </c>
      <c r="H2603" s="28"/>
      <c r="I2603" s="25" t="str">
        <f>IF(表1[[#This Row],[Tgl NPBG]]&gt;表1[[#This Row],[Peminta]],表1[[#This Row],[Tgl NPBG]]-表1[[#This Row],[Peminta]],"")</f>
        <v/>
      </c>
      <c r="J2603" s="31"/>
    </row>
    <row r="2604" s="12" customFormat="1" customHeight="1" spans="2:10">
      <c r="B2604" s="25"/>
      <c r="C2604" s="25"/>
      <c r="D2604" s="26" t="str" cm="1">
        <f t="array" ref="D2604">IF(C2604="","",IFERROR(INDEX(STPP!$D$6:$D$4207,MATCH(C2604,STPP!$C$6:$C$4207,0)),"Not Found"))</f>
        <v/>
      </c>
      <c r="E2604" s="27" t="str" cm="1">
        <f t="array" ref="E2604">IF(C2604="","",IFERROR(INDEX(STPP!$E$6:$E$4207,MATCH(C2604,STPP!$C$6:$C$4207,0)),"Not Found"))</f>
        <v/>
      </c>
      <c r="F2604" s="27" t="str" cm="1">
        <f t="array" ref="F2604">IF(C2604="","",IFERROR(INDEX(STPP!$F$6:$F$4207,MATCH(C2604,STPP!$C$6:$C$4207,0)),"Not Found"))</f>
        <v/>
      </c>
      <c r="G2604" s="25" t="str">
        <f>IF(表1[[#This Row],[No Seri]]="","",表1[[#This Row],[Deskripsi Barang]]+表1[[#This Row],[Kuantitas]]-表1[[#This Row],[Satuan]])</f>
        <v/>
      </c>
      <c r="H2604" s="28"/>
      <c r="I2604" s="25" t="str">
        <f>IF(表1[[#This Row],[Tgl NPBG]]&gt;表1[[#This Row],[Peminta]],表1[[#This Row],[Tgl NPBG]]-表1[[#This Row],[Peminta]],"")</f>
        <v/>
      </c>
      <c r="J2604" s="31"/>
    </row>
    <row r="2605" s="12" customFormat="1" customHeight="1" spans="2:10">
      <c r="B2605" s="25"/>
      <c r="C2605" s="25"/>
      <c r="D2605" s="26" t="str" cm="1">
        <f t="array" ref="D2605">IF(C2605="","",IFERROR(INDEX(STPP!$D$6:$D$4207,MATCH(C2605,STPP!$C$6:$C$4207,0)),"Not Found"))</f>
        <v/>
      </c>
      <c r="E2605" s="27" t="str" cm="1">
        <f t="array" ref="E2605">IF(C2605="","",IFERROR(INDEX(STPP!$E$6:$E$4207,MATCH(C2605,STPP!$C$6:$C$4207,0)),"Not Found"))</f>
        <v/>
      </c>
      <c r="F2605" s="27" t="str" cm="1">
        <f t="array" ref="F2605">IF(C2605="","",IFERROR(INDEX(STPP!$F$6:$F$4207,MATCH(C2605,STPP!$C$6:$C$4207,0)),"Not Found"))</f>
        <v/>
      </c>
      <c r="G2605" s="25" t="str">
        <f>IF(表1[[#This Row],[No Seri]]="","",表1[[#This Row],[Deskripsi Barang]]+表1[[#This Row],[Kuantitas]]-表1[[#This Row],[Satuan]])</f>
        <v/>
      </c>
      <c r="H2605" s="28"/>
      <c r="I2605" s="25" t="str">
        <f>IF(表1[[#This Row],[Tgl NPBG]]&gt;表1[[#This Row],[Peminta]],表1[[#This Row],[Tgl NPBG]]-表1[[#This Row],[Peminta]],"")</f>
        <v/>
      </c>
      <c r="J2605" s="31"/>
    </row>
    <row r="2606" s="12" customFormat="1" customHeight="1" spans="2:10">
      <c r="B2606" s="25"/>
      <c r="C2606" s="25"/>
      <c r="D2606" s="26" t="str" cm="1">
        <f t="array" ref="D2606">IF(C2606="","",IFERROR(INDEX(STPP!$D$6:$D$4207,MATCH(C2606,STPP!$C$6:$C$4207,0)),"Not Found"))</f>
        <v/>
      </c>
      <c r="E2606" s="27" t="str" cm="1">
        <f t="array" ref="E2606">IF(C2606="","",IFERROR(INDEX(STPP!$E$6:$E$4207,MATCH(C2606,STPP!$C$6:$C$4207,0)),"Not Found"))</f>
        <v/>
      </c>
      <c r="F2606" s="27" t="str" cm="1">
        <f t="array" ref="F2606">IF(C2606="","",IFERROR(INDEX(STPP!$F$6:$F$4207,MATCH(C2606,STPP!$C$6:$C$4207,0)),"Not Found"))</f>
        <v/>
      </c>
      <c r="G2606" s="25" t="str">
        <f>IF(表1[[#This Row],[No Seri]]="","",表1[[#This Row],[Deskripsi Barang]]+表1[[#This Row],[Kuantitas]]-表1[[#This Row],[Satuan]])</f>
        <v/>
      </c>
      <c r="H2606" s="28"/>
      <c r="I2606" s="25" t="str">
        <f>IF(表1[[#This Row],[Tgl NPBG]]&gt;表1[[#This Row],[Peminta]],表1[[#This Row],[Tgl NPBG]]-表1[[#This Row],[Peminta]],"")</f>
        <v/>
      </c>
      <c r="J2606" s="31"/>
    </row>
    <row r="2607" s="12" customFormat="1" customHeight="1" spans="2:10">
      <c r="B2607" s="25"/>
      <c r="C2607" s="25"/>
      <c r="D2607" s="26" t="str" cm="1">
        <f t="array" ref="D2607">IF(C2607="","",IFERROR(INDEX(STPP!$D$6:$D$4207,MATCH(C2607,STPP!$C$6:$C$4207,0)),"Not Found"))</f>
        <v/>
      </c>
      <c r="E2607" s="27" t="str" cm="1">
        <f t="array" ref="E2607">IF(C2607="","",IFERROR(INDEX(STPP!$E$6:$E$4207,MATCH(C2607,STPP!$C$6:$C$4207,0)),"Not Found"))</f>
        <v/>
      </c>
      <c r="F2607" s="27" t="str" cm="1">
        <f t="array" ref="F2607">IF(C2607="","",IFERROR(INDEX(STPP!$F$6:$F$4207,MATCH(C2607,STPP!$C$6:$C$4207,0)),"Not Found"))</f>
        <v/>
      </c>
      <c r="G2607" s="25" t="str">
        <f>IF(表1[[#This Row],[No Seri]]="","",表1[[#This Row],[Deskripsi Barang]]+表1[[#This Row],[Kuantitas]]-表1[[#This Row],[Satuan]])</f>
        <v/>
      </c>
      <c r="H2607" s="28"/>
      <c r="I2607" s="25" t="str">
        <f>IF(表1[[#This Row],[Tgl NPBG]]&gt;表1[[#This Row],[Peminta]],表1[[#This Row],[Tgl NPBG]]-表1[[#This Row],[Peminta]],"")</f>
        <v/>
      </c>
      <c r="J2607" s="31"/>
    </row>
    <row r="2608" s="12" customFormat="1" customHeight="1" spans="2:10">
      <c r="B2608" s="25"/>
      <c r="C2608" s="25"/>
      <c r="D2608" s="26" t="str" cm="1">
        <f t="array" ref="D2608">IF(C2608="","",IFERROR(INDEX(STPP!$D$6:$D$4207,MATCH(C2608,STPP!$C$6:$C$4207,0)),"Not Found"))</f>
        <v/>
      </c>
      <c r="E2608" s="27" t="str" cm="1">
        <f t="array" ref="E2608">IF(C2608="","",IFERROR(INDEX(STPP!$E$6:$E$4207,MATCH(C2608,STPP!$C$6:$C$4207,0)),"Not Found"))</f>
        <v/>
      </c>
      <c r="F2608" s="27" t="str" cm="1">
        <f t="array" ref="F2608">IF(C2608="","",IFERROR(INDEX(STPP!$F$6:$F$4207,MATCH(C2608,STPP!$C$6:$C$4207,0)),"Not Found"))</f>
        <v/>
      </c>
      <c r="G2608" s="25" t="str">
        <f>IF(表1[[#This Row],[No Seri]]="","",表1[[#This Row],[Deskripsi Barang]]+表1[[#This Row],[Kuantitas]]-表1[[#This Row],[Satuan]])</f>
        <v/>
      </c>
      <c r="H2608" s="28"/>
      <c r="I2608" s="25" t="str">
        <f>IF(表1[[#This Row],[Tgl NPBG]]&gt;表1[[#This Row],[Peminta]],表1[[#This Row],[Tgl NPBG]]-表1[[#This Row],[Peminta]],"")</f>
        <v/>
      </c>
      <c r="J2608" s="31"/>
    </row>
    <row r="2609" s="12" customFormat="1" customHeight="1" spans="2:10">
      <c r="B2609" s="25"/>
      <c r="C2609" s="25"/>
      <c r="D2609" s="26" t="str" cm="1">
        <f t="array" ref="D2609">IF(C2609="","",IFERROR(INDEX(STPP!$D$6:$D$4207,MATCH(C2609,STPP!$C$6:$C$4207,0)),"Not Found"))</f>
        <v/>
      </c>
      <c r="E2609" s="27" t="str" cm="1">
        <f t="array" ref="E2609">IF(C2609="","",IFERROR(INDEX(STPP!$E$6:$E$4207,MATCH(C2609,STPP!$C$6:$C$4207,0)),"Not Found"))</f>
        <v/>
      </c>
      <c r="F2609" s="27" t="str" cm="1">
        <f t="array" ref="F2609">IF(C2609="","",IFERROR(INDEX(STPP!$F$6:$F$4207,MATCH(C2609,STPP!$C$6:$C$4207,0)),"Not Found"))</f>
        <v/>
      </c>
      <c r="G2609" s="25" t="str">
        <f>IF(表1[[#This Row],[No Seri]]="","",表1[[#This Row],[Deskripsi Barang]]+表1[[#This Row],[Kuantitas]]-表1[[#This Row],[Satuan]])</f>
        <v/>
      </c>
      <c r="H2609" s="28"/>
      <c r="I2609" s="25" t="str">
        <f>IF(表1[[#This Row],[Tgl NPBG]]&gt;表1[[#This Row],[Peminta]],表1[[#This Row],[Tgl NPBG]]-表1[[#This Row],[Peminta]],"")</f>
        <v/>
      </c>
      <c r="J2609" s="31"/>
    </row>
    <row r="2610" s="12" customFormat="1" customHeight="1" spans="2:10">
      <c r="B2610" s="25"/>
      <c r="C2610" s="25"/>
      <c r="D2610" s="26" t="str" cm="1">
        <f t="array" ref="D2610">IF(C2610="","",IFERROR(INDEX(STPP!$D$6:$D$4207,MATCH(C2610,STPP!$C$6:$C$4207,0)),"Not Found"))</f>
        <v/>
      </c>
      <c r="E2610" s="27" t="str" cm="1">
        <f t="array" ref="E2610">IF(C2610="","",IFERROR(INDEX(STPP!$E$6:$E$4207,MATCH(C2610,STPP!$C$6:$C$4207,0)),"Not Found"))</f>
        <v/>
      </c>
      <c r="F2610" s="27" t="str" cm="1">
        <f t="array" ref="F2610">IF(C2610="","",IFERROR(INDEX(STPP!$F$6:$F$4207,MATCH(C2610,STPP!$C$6:$C$4207,0)),"Not Found"))</f>
        <v/>
      </c>
      <c r="G2610" s="25" t="str">
        <f>IF(表1[[#This Row],[No Seri]]="","",表1[[#This Row],[Deskripsi Barang]]+表1[[#This Row],[Kuantitas]]-表1[[#This Row],[Satuan]])</f>
        <v/>
      </c>
      <c r="H2610" s="28"/>
      <c r="I2610" s="25" t="str">
        <f>IF(表1[[#This Row],[Tgl NPBG]]&gt;表1[[#This Row],[Peminta]],表1[[#This Row],[Tgl NPBG]]-表1[[#This Row],[Peminta]],"")</f>
        <v/>
      </c>
      <c r="J2610" s="31"/>
    </row>
    <row r="2611" s="12" customFormat="1" customHeight="1" spans="2:10">
      <c r="B2611" s="25"/>
      <c r="C2611" s="25"/>
      <c r="D2611" s="26" t="str" cm="1">
        <f t="array" ref="D2611">IF(C2611="","",IFERROR(INDEX(STPP!$D$6:$D$4207,MATCH(C2611,STPP!$C$6:$C$4207,0)),"Not Found"))</f>
        <v/>
      </c>
      <c r="E2611" s="27" t="str" cm="1">
        <f t="array" ref="E2611">IF(C2611="","",IFERROR(INDEX(STPP!$E$6:$E$4207,MATCH(C2611,STPP!$C$6:$C$4207,0)),"Not Found"))</f>
        <v/>
      </c>
      <c r="F2611" s="27" t="str" cm="1">
        <f t="array" ref="F2611">IF(C2611="","",IFERROR(INDEX(STPP!$F$6:$F$4207,MATCH(C2611,STPP!$C$6:$C$4207,0)),"Not Found"))</f>
        <v/>
      </c>
      <c r="G2611" s="25" t="str">
        <f>IF(表1[[#This Row],[No Seri]]="","",表1[[#This Row],[Deskripsi Barang]]+表1[[#This Row],[Kuantitas]]-表1[[#This Row],[Satuan]])</f>
        <v/>
      </c>
      <c r="H2611" s="28"/>
      <c r="I2611" s="25" t="str">
        <f>IF(表1[[#This Row],[Tgl NPBG]]&gt;表1[[#This Row],[Peminta]],表1[[#This Row],[Tgl NPBG]]-表1[[#This Row],[Peminta]],"")</f>
        <v/>
      </c>
      <c r="J2611" s="31"/>
    </row>
    <row r="2612" s="12" customFormat="1" customHeight="1" spans="2:10">
      <c r="B2612" s="25"/>
      <c r="C2612" s="25"/>
      <c r="D2612" s="26" t="str" cm="1">
        <f t="array" ref="D2612">IF(C2612="","",IFERROR(INDEX(STPP!$D$6:$D$4207,MATCH(C2612,STPP!$C$6:$C$4207,0)),"Not Found"))</f>
        <v/>
      </c>
      <c r="E2612" s="27" t="str" cm="1">
        <f t="array" ref="E2612">IF(C2612="","",IFERROR(INDEX(STPP!$E$6:$E$4207,MATCH(C2612,STPP!$C$6:$C$4207,0)),"Not Found"))</f>
        <v/>
      </c>
      <c r="F2612" s="27" t="str" cm="1">
        <f t="array" ref="F2612">IF(C2612="","",IFERROR(INDEX(STPP!$F$6:$F$4207,MATCH(C2612,STPP!$C$6:$C$4207,0)),"Not Found"))</f>
        <v/>
      </c>
      <c r="G2612" s="25" t="str">
        <f>IF(表1[[#This Row],[No Seri]]="","",表1[[#This Row],[Deskripsi Barang]]+表1[[#This Row],[Kuantitas]]-表1[[#This Row],[Satuan]])</f>
        <v/>
      </c>
      <c r="H2612" s="28"/>
      <c r="I2612" s="25" t="str">
        <f>IF(表1[[#This Row],[Tgl NPBG]]&gt;表1[[#This Row],[Peminta]],表1[[#This Row],[Tgl NPBG]]-表1[[#This Row],[Peminta]],"")</f>
        <v/>
      </c>
      <c r="J2612" s="31"/>
    </row>
    <row r="2613" s="12" customFormat="1" customHeight="1" spans="2:10">
      <c r="B2613" s="25"/>
      <c r="C2613" s="25"/>
      <c r="D2613" s="26" t="str" cm="1">
        <f t="array" ref="D2613">IF(C2613="","",IFERROR(INDEX(STPP!$D$6:$D$4207,MATCH(C2613,STPP!$C$6:$C$4207,0)),"Not Found"))</f>
        <v/>
      </c>
      <c r="E2613" s="27" t="str" cm="1">
        <f t="array" ref="E2613">IF(C2613="","",IFERROR(INDEX(STPP!$E$6:$E$4207,MATCH(C2613,STPP!$C$6:$C$4207,0)),"Not Found"))</f>
        <v/>
      </c>
      <c r="F2613" s="27" t="str" cm="1">
        <f t="array" ref="F2613">IF(C2613="","",IFERROR(INDEX(STPP!$F$6:$F$4207,MATCH(C2613,STPP!$C$6:$C$4207,0)),"Not Found"))</f>
        <v/>
      </c>
      <c r="G2613" s="25" t="str">
        <f>IF(表1[[#This Row],[No Seri]]="","",表1[[#This Row],[Deskripsi Barang]]+表1[[#This Row],[Kuantitas]]-表1[[#This Row],[Satuan]])</f>
        <v/>
      </c>
      <c r="H2613" s="28"/>
      <c r="I2613" s="25" t="str">
        <f>IF(表1[[#This Row],[Tgl NPBG]]&gt;表1[[#This Row],[Peminta]],表1[[#This Row],[Tgl NPBG]]-表1[[#This Row],[Peminta]],"")</f>
        <v/>
      </c>
      <c r="J2613" s="31"/>
    </row>
    <row r="2614" s="12" customFormat="1" customHeight="1" spans="2:10">
      <c r="B2614" s="25"/>
      <c r="C2614" s="25"/>
      <c r="D2614" s="26" t="str" cm="1">
        <f t="array" ref="D2614">IF(C2614="","",IFERROR(INDEX(STPP!$D$6:$D$4207,MATCH(C2614,STPP!$C$6:$C$4207,0)),"Not Found"))</f>
        <v/>
      </c>
      <c r="E2614" s="27" t="str" cm="1">
        <f t="array" ref="E2614">IF(C2614="","",IFERROR(INDEX(STPP!$E$6:$E$4207,MATCH(C2614,STPP!$C$6:$C$4207,0)),"Not Found"))</f>
        <v/>
      </c>
      <c r="F2614" s="27" t="str" cm="1">
        <f t="array" ref="F2614">IF(C2614="","",IFERROR(INDEX(STPP!$F$6:$F$4207,MATCH(C2614,STPP!$C$6:$C$4207,0)),"Not Found"))</f>
        <v/>
      </c>
      <c r="G2614" s="25" t="str">
        <f>IF(表1[[#This Row],[No Seri]]="","",表1[[#This Row],[Deskripsi Barang]]+表1[[#This Row],[Kuantitas]]-表1[[#This Row],[Satuan]])</f>
        <v/>
      </c>
      <c r="H2614" s="28"/>
      <c r="I2614" s="25" t="str">
        <f>IF(表1[[#This Row],[Tgl NPBG]]&gt;表1[[#This Row],[Peminta]],表1[[#This Row],[Tgl NPBG]]-表1[[#This Row],[Peminta]],"")</f>
        <v/>
      </c>
      <c r="J2614" s="31"/>
    </row>
    <row r="2615" s="12" customFormat="1" customHeight="1" spans="2:10">
      <c r="B2615" s="25"/>
      <c r="C2615" s="25"/>
      <c r="D2615" s="26" t="str" cm="1">
        <f t="array" ref="D2615">IF(C2615="","",IFERROR(INDEX(STPP!$D$6:$D$4207,MATCH(C2615,STPP!$C$6:$C$4207,0)),"Not Found"))</f>
        <v/>
      </c>
      <c r="E2615" s="27" t="str" cm="1">
        <f t="array" ref="E2615">IF(C2615="","",IFERROR(INDEX(STPP!$E$6:$E$4207,MATCH(C2615,STPP!$C$6:$C$4207,0)),"Not Found"))</f>
        <v/>
      </c>
      <c r="F2615" s="27" t="str" cm="1">
        <f t="array" ref="F2615">IF(C2615="","",IFERROR(INDEX(STPP!$F$6:$F$4207,MATCH(C2615,STPP!$C$6:$C$4207,0)),"Not Found"))</f>
        <v/>
      </c>
      <c r="G2615" s="25" t="str">
        <f>IF(表1[[#This Row],[No Seri]]="","",表1[[#This Row],[Deskripsi Barang]]+表1[[#This Row],[Kuantitas]]-表1[[#This Row],[Satuan]])</f>
        <v/>
      </c>
      <c r="H2615" s="28"/>
      <c r="I2615" s="25" t="str">
        <f>IF(表1[[#This Row],[Tgl NPBG]]&gt;表1[[#This Row],[Peminta]],表1[[#This Row],[Tgl NPBG]]-表1[[#This Row],[Peminta]],"")</f>
        <v/>
      </c>
      <c r="J2615" s="31"/>
    </row>
    <row r="2616" s="12" customFormat="1" customHeight="1" spans="2:10">
      <c r="B2616" s="25"/>
      <c r="C2616" s="25"/>
      <c r="D2616" s="26" t="str" cm="1">
        <f t="array" ref="D2616">IF(C2616="","",IFERROR(INDEX(STPP!$D$6:$D$4207,MATCH(C2616,STPP!$C$6:$C$4207,0)),"Not Found"))</f>
        <v/>
      </c>
      <c r="E2616" s="27" t="str" cm="1">
        <f t="array" ref="E2616">IF(C2616="","",IFERROR(INDEX(STPP!$E$6:$E$4207,MATCH(C2616,STPP!$C$6:$C$4207,0)),"Not Found"))</f>
        <v/>
      </c>
      <c r="F2616" s="27" t="str" cm="1">
        <f t="array" ref="F2616">IF(C2616="","",IFERROR(INDEX(STPP!$F$6:$F$4207,MATCH(C2616,STPP!$C$6:$C$4207,0)),"Not Found"))</f>
        <v/>
      </c>
      <c r="G2616" s="25" t="str">
        <f>IF(表1[[#This Row],[No Seri]]="","",表1[[#This Row],[Deskripsi Barang]]+表1[[#This Row],[Kuantitas]]-表1[[#This Row],[Satuan]])</f>
        <v/>
      </c>
      <c r="H2616" s="28"/>
      <c r="I2616" s="25" t="str">
        <f>IF(表1[[#This Row],[Tgl NPBG]]&gt;表1[[#This Row],[Peminta]],表1[[#This Row],[Tgl NPBG]]-表1[[#This Row],[Peminta]],"")</f>
        <v/>
      </c>
      <c r="J2616" s="31"/>
    </row>
    <row r="2617" s="12" customFormat="1" customHeight="1" spans="2:10">
      <c r="B2617" s="25"/>
      <c r="C2617" s="25"/>
      <c r="D2617" s="26" t="str" cm="1">
        <f t="array" ref="D2617">IF(C2617="","",IFERROR(INDEX(STPP!$D$6:$D$4207,MATCH(C2617,STPP!$C$6:$C$4207,0)),"Not Found"))</f>
        <v/>
      </c>
      <c r="E2617" s="27" t="str" cm="1">
        <f t="array" ref="E2617">IF(C2617="","",IFERROR(INDEX(STPP!$E$6:$E$4207,MATCH(C2617,STPP!$C$6:$C$4207,0)),"Not Found"))</f>
        <v/>
      </c>
      <c r="F2617" s="27" t="str" cm="1">
        <f t="array" ref="F2617">IF(C2617="","",IFERROR(INDEX(STPP!$F$6:$F$4207,MATCH(C2617,STPP!$C$6:$C$4207,0)),"Not Found"))</f>
        <v/>
      </c>
      <c r="G2617" s="25" t="str">
        <f>IF(表1[[#This Row],[No Seri]]="","",表1[[#This Row],[Deskripsi Barang]]+表1[[#This Row],[Kuantitas]]-表1[[#This Row],[Satuan]])</f>
        <v/>
      </c>
      <c r="H2617" s="28"/>
      <c r="I2617" s="25" t="str">
        <f>IF(表1[[#This Row],[Tgl NPBG]]&gt;表1[[#This Row],[Peminta]],表1[[#This Row],[Tgl NPBG]]-表1[[#This Row],[Peminta]],"")</f>
        <v/>
      </c>
      <c r="J2617" s="31"/>
    </row>
    <row r="2618" s="12" customFormat="1" customHeight="1" spans="2:10">
      <c r="B2618" s="25"/>
      <c r="C2618" s="25"/>
      <c r="D2618" s="26" t="str" cm="1">
        <f t="array" ref="D2618">IF(C2618="","",IFERROR(INDEX(STPP!$D$6:$D$4207,MATCH(C2618,STPP!$C$6:$C$4207,0)),"Not Found"))</f>
        <v/>
      </c>
      <c r="E2618" s="27" t="str" cm="1">
        <f t="array" ref="E2618">IF(C2618="","",IFERROR(INDEX(STPP!$E$6:$E$4207,MATCH(C2618,STPP!$C$6:$C$4207,0)),"Not Found"))</f>
        <v/>
      </c>
      <c r="F2618" s="27" t="str" cm="1">
        <f t="array" ref="F2618">IF(C2618="","",IFERROR(INDEX(STPP!$F$6:$F$4207,MATCH(C2618,STPP!$C$6:$C$4207,0)),"Not Found"))</f>
        <v/>
      </c>
      <c r="G2618" s="25" t="str">
        <f>IF(表1[[#This Row],[No Seri]]="","",表1[[#This Row],[Deskripsi Barang]]+表1[[#This Row],[Kuantitas]]-表1[[#This Row],[Satuan]])</f>
        <v/>
      </c>
      <c r="H2618" s="28"/>
      <c r="I2618" s="25" t="str">
        <f>IF(表1[[#This Row],[Tgl NPBG]]&gt;表1[[#This Row],[Peminta]],表1[[#This Row],[Tgl NPBG]]-表1[[#This Row],[Peminta]],"")</f>
        <v/>
      </c>
      <c r="J2618" s="31"/>
    </row>
    <row r="2619" s="12" customFormat="1" customHeight="1" spans="2:10">
      <c r="B2619" s="25"/>
      <c r="C2619" s="25"/>
      <c r="D2619" s="26" t="str" cm="1">
        <f t="array" ref="D2619">IF(C2619="","",IFERROR(INDEX(STPP!$D$6:$D$4207,MATCH(C2619,STPP!$C$6:$C$4207,0)),"Not Found"))</f>
        <v/>
      </c>
      <c r="E2619" s="27" t="str" cm="1">
        <f t="array" ref="E2619">IF(C2619="","",IFERROR(INDEX(STPP!$E$6:$E$4207,MATCH(C2619,STPP!$C$6:$C$4207,0)),"Not Found"))</f>
        <v/>
      </c>
      <c r="F2619" s="27" t="str" cm="1">
        <f t="array" ref="F2619">IF(C2619="","",IFERROR(INDEX(STPP!$F$6:$F$4207,MATCH(C2619,STPP!$C$6:$C$4207,0)),"Not Found"))</f>
        <v/>
      </c>
      <c r="G2619" s="25" t="str">
        <f>IF(表1[[#This Row],[No Seri]]="","",表1[[#This Row],[Deskripsi Barang]]+表1[[#This Row],[Kuantitas]]-表1[[#This Row],[Satuan]])</f>
        <v/>
      </c>
      <c r="H2619" s="28"/>
      <c r="I2619" s="25" t="str">
        <f>IF(表1[[#This Row],[Tgl NPBG]]&gt;表1[[#This Row],[Peminta]],表1[[#This Row],[Tgl NPBG]]-表1[[#This Row],[Peminta]],"")</f>
        <v/>
      </c>
      <c r="J2619" s="31"/>
    </row>
    <row r="2620" s="12" customFormat="1" customHeight="1" spans="2:10">
      <c r="B2620" s="25"/>
      <c r="C2620" s="25"/>
      <c r="D2620" s="26" t="str" cm="1">
        <f t="array" ref="D2620">IF(C2620="","",IFERROR(INDEX(STPP!$D$6:$D$4207,MATCH(C2620,STPP!$C$6:$C$4207,0)),"Not Found"))</f>
        <v/>
      </c>
      <c r="E2620" s="27" t="str" cm="1">
        <f t="array" ref="E2620">IF(C2620="","",IFERROR(INDEX(STPP!$E$6:$E$4207,MATCH(C2620,STPP!$C$6:$C$4207,0)),"Not Found"))</f>
        <v/>
      </c>
      <c r="F2620" s="27" t="str" cm="1">
        <f t="array" ref="F2620">IF(C2620="","",IFERROR(INDEX(STPP!$F$6:$F$4207,MATCH(C2620,STPP!$C$6:$C$4207,0)),"Not Found"))</f>
        <v/>
      </c>
      <c r="G2620" s="25" t="str">
        <f>IF(表1[[#This Row],[No Seri]]="","",表1[[#This Row],[Deskripsi Barang]]+表1[[#This Row],[Kuantitas]]-表1[[#This Row],[Satuan]])</f>
        <v/>
      </c>
      <c r="H2620" s="28"/>
      <c r="I2620" s="25" t="str">
        <f>IF(表1[[#This Row],[Tgl NPBG]]&gt;表1[[#This Row],[Peminta]],表1[[#This Row],[Tgl NPBG]]-表1[[#This Row],[Peminta]],"")</f>
        <v/>
      </c>
      <c r="J2620" s="31"/>
    </row>
    <row r="2621" s="12" customFormat="1" customHeight="1" spans="2:10">
      <c r="B2621" s="25"/>
      <c r="C2621" s="25"/>
      <c r="D2621" s="26" t="str" cm="1">
        <f t="array" ref="D2621">IF(C2621="","",IFERROR(INDEX(STPP!$D$6:$D$4207,MATCH(C2621,STPP!$C$6:$C$4207,0)),"Not Found"))</f>
        <v/>
      </c>
      <c r="E2621" s="27" t="str" cm="1">
        <f t="array" ref="E2621">IF(C2621="","",IFERROR(INDEX(STPP!$E$6:$E$4207,MATCH(C2621,STPP!$C$6:$C$4207,0)),"Not Found"))</f>
        <v/>
      </c>
      <c r="F2621" s="27" t="str" cm="1">
        <f t="array" ref="F2621">IF(C2621="","",IFERROR(INDEX(STPP!$F$6:$F$4207,MATCH(C2621,STPP!$C$6:$C$4207,0)),"Not Found"))</f>
        <v/>
      </c>
      <c r="G2621" s="25" t="str">
        <f>IF(表1[[#This Row],[No Seri]]="","",表1[[#This Row],[Deskripsi Barang]]+表1[[#This Row],[Kuantitas]]-表1[[#This Row],[Satuan]])</f>
        <v/>
      </c>
      <c r="H2621" s="28"/>
      <c r="I2621" s="25" t="str">
        <f>IF(表1[[#This Row],[Tgl NPBG]]&gt;表1[[#This Row],[Peminta]],表1[[#This Row],[Tgl NPBG]]-表1[[#This Row],[Peminta]],"")</f>
        <v/>
      </c>
      <c r="J2621" s="31"/>
    </row>
    <row r="2622" s="12" customFormat="1" customHeight="1" spans="2:10">
      <c r="B2622" s="25"/>
      <c r="C2622" s="25"/>
      <c r="D2622" s="26" t="str" cm="1">
        <f t="array" ref="D2622">IF(C2622="","",IFERROR(INDEX(STPP!$D$6:$D$4207,MATCH(C2622,STPP!$C$6:$C$4207,0)),"Not Found"))</f>
        <v/>
      </c>
      <c r="E2622" s="27" t="str" cm="1">
        <f t="array" ref="E2622">IF(C2622="","",IFERROR(INDEX(STPP!$E$6:$E$4207,MATCH(C2622,STPP!$C$6:$C$4207,0)),"Not Found"))</f>
        <v/>
      </c>
      <c r="F2622" s="27" t="str" cm="1">
        <f t="array" ref="F2622">IF(C2622="","",IFERROR(INDEX(STPP!$F$6:$F$4207,MATCH(C2622,STPP!$C$6:$C$4207,0)),"Not Found"))</f>
        <v/>
      </c>
      <c r="G2622" s="25" t="str">
        <f>IF(表1[[#This Row],[No Seri]]="","",表1[[#This Row],[Deskripsi Barang]]+表1[[#This Row],[Kuantitas]]-表1[[#This Row],[Satuan]])</f>
        <v/>
      </c>
      <c r="H2622" s="28"/>
      <c r="I2622" s="25" t="str">
        <f>IF(表1[[#This Row],[Tgl NPBG]]&gt;表1[[#This Row],[Peminta]],表1[[#This Row],[Tgl NPBG]]-表1[[#This Row],[Peminta]],"")</f>
        <v/>
      </c>
      <c r="J2622" s="31"/>
    </row>
    <row r="2623" s="12" customFormat="1" customHeight="1" spans="2:10">
      <c r="B2623" s="25"/>
      <c r="C2623" s="25"/>
      <c r="D2623" s="26" t="str" cm="1">
        <f t="array" ref="D2623">IF(C2623="","",IFERROR(INDEX(STPP!$D$6:$D$4207,MATCH(C2623,STPP!$C$6:$C$4207,0)),"Not Found"))</f>
        <v/>
      </c>
      <c r="E2623" s="27" t="str" cm="1">
        <f t="array" ref="E2623">IF(C2623="","",IFERROR(INDEX(STPP!$E$6:$E$4207,MATCH(C2623,STPP!$C$6:$C$4207,0)),"Not Found"))</f>
        <v/>
      </c>
      <c r="F2623" s="27" t="str" cm="1">
        <f t="array" ref="F2623">IF(C2623="","",IFERROR(INDEX(STPP!$F$6:$F$4207,MATCH(C2623,STPP!$C$6:$C$4207,0)),"Not Found"))</f>
        <v/>
      </c>
      <c r="G2623" s="25" t="str">
        <f>IF(表1[[#This Row],[No Seri]]="","",表1[[#This Row],[Deskripsi Barang]]+表1[[#This Row],[Kuantitas]]-表1[[#This Row],[Satuan]])</f>
        <v/>
      </c>
      <c r="H2623" s="28"/>
      <c r="I2623" s="25" t="str">
        <f>IF(表1[[#This Row],[Tgl NPBG]]&gt;表1[[#This Row],[Peminta]],表1[[#This Row],[Tgl NPBG]]-表1[[#This Row],[Peminta]],"")</f>
        <v/>
      </c>
      <c r="J2623" s="31"/>
    </row>
    <row r="2624" s="12" customFormat="1" customHeight="1" spans="2:10">
      <c r="B2624" s="25"/>
      <c r="C2624" s="25"/>
      <c r="D2624" s="26" t="str" cm="1">
        <f t="array" ref="D2624">IF(C2624="","",IFERROR(INDEX(STPP!$D$6:$D$4207,MATCH(C2624,STPP!$C$6:$C$4207,0)),"Not Found"))</f>
        <v/>
      </c>
      <c r="E2624" s="27" t="str" cm="1">
        <f t="array" ref="E2624">IF(C2624="","",IFERROR(INDEX(STPP!$E$6:$E$4207,MATCH(C2624,STPP!$C$6:$C$4207,0)),"Not Found"))</f>
        <v/>
      </c>
      <c r="F2624" s="27" t="str" cm="1">
        <f t="array" ref="F2624">IF(C2624="","",IFERROR(INDEX(STPP!$F$6:$F$4207,MATCH(C2624,STPP!$C$6:$C$4207,0)),"Not Found"))</f>
        <v/>
      </c>
      <c r="G2624" s="25" t="str">
        <f>IF(表1[[#This Row],[No Seri]]="","",表1[[#This Row],[Deskripsi Barang]]+表1[[#This Row],[Kuantitas]]-表1[[#This Row],[Satuan]])</f>
        <v/>
      </c>
      <c r="H2624" s="28"/>
      <c r="I2624" s="25" t="str">
        <f>IF(表1[[#This Row],[Tgl NPBG]]&gt;表1[[#This Row],[Peminta]],表1[[#This Row],[Tgl NPBG]]-表1[[#This Row],[Peminta]],"")</f>
        <v/>
      </c>
      <c r="J2624" s="31"/>
    </row>
    <row r="2625" s="12" customFormat="1" customHeight="1" spans="2:10">
      <c r="B2625" s="25"/>
      <c r="C2625" s="25"/>
      <c r="D2625" s="26" t="str" cm="1">
        <f t="array" ref="D2625">IF(C2625="","",IFERROR(INDEX(STPP!$D$6:$D$4207,MATCH(C2625,STPP!$C$6:$C$4207,0)),"Not Found"))</f>
        <v/>
      </c>
      <c r="E2625" s="27" t="str" cm="1">
        <f t="array" ref="E2625">IF(C2625="","",IFERROR(INDEX(STPP!$E$6:$E$4207,MATCH(C2625,STPP!$C$6:$C$4207,0)),"Not Found"))</f>
        <v/>
      </c>
      <c r="F2625" s="27" t="str" cm="1">
        <f t="array" ref="F2625">IF(C2625="","",IFERROR(INDEX(STPP!$F$6:$F$4207,MATCH(C2625,STPP!$C$6:$C$4207,0)),"Not Found"))</f>
        <v/>
      </c>
      <c r="G2625" s="25" t="str">
        <f>IF(表1[[#This Row],[No Seri]]="","",表1[[#This Row],[Deskripsi Barang]]+表1[[#This Row],[Kuantitas]]-表1[[#This Row],[Satuan]])</f>
        <v/>
      </c>
      <c r="H2625" s="28"/>
      <c r="I2625" s="25" t="str">
        <f>IF(表1[[#This Row],[Tgl NPBG]]&gt;表1[[#This Row],[Peminta]],表1[[#This Row],[Tgl NPBG]]-表1[[#This Row],[Peminta]],"")</f>
        <v/>
      </c>
      <c r="J2625" s="31"/>
    </row>
    <row r="2626" s="12" customFormat="1" customHeight="1" spans="2:10">
      <c r="B2626" s="25"/>
      <c r="C2626" s="25"/>
      <c r="D2626" s="26" t="str" cm="1">
        <f t="array" ref="D2626">IF(C2626="","",IFERROR(INDEX(STPP!$D$6:$D$4207,MATCH(C2626,STPP!$C$6:$C$4207,0)),"Not Found"))</f>
        <v/>
      </c>
      <c r="E2626" s="27" t="str" cm="1">
        <f t="array" ref="E2626">IF(C2626="","",IFERROR(INDEX(STPP!$E$6:$E$4207,MATCH(C2626,STPP!$C$6:$C$4207,0)),"Not Found"))</f>
        <v/>
      </c>
      <c r="F2626" s="27" t="str" cm="1">
        <f t="array" ref="F2626">IF(C2626="","",IFERROR(INDEX(STPP!$F$6:$F$4207,MATCH(C2626,STPP!$C$6:$C$4207,0)),"Not Found"))</f>
        <v/>
      </c>
      <c r="G2626" s="25" t="str">
        <f>IF(表1[[#This Row],[No Seri]]="","",表1[[#This Row],[Deskripsi Barang]]+表1[[#This Row],[Kuantitas]]-表1[[#This Row],[Satuan]])</f>
        <v/>
      </c>
      <c r="H2626" s="28"/>
      <c r="I2626" s="25" t="str">
        <f>IF(表1[[#This Row],[Tgl NPBG]]&gt;表1[[#This Row],[Peminta]],表1[[#This Row],[Tgl NPBG]]-表1[[#This Row],[Peminta]],"")</f>
        <v/>
      </c>
      <c r="J2626" s="31"/>
    </row>
    <row r="2627" s="12" customFormat="1" customHeight="1" spans="2:10">
      <c r="B2627" s="25"/>
      <c r="C2627" s="25"/>
      <c r="D2627" s="26" t="str" cm="1">
        <f t="array" ref="D2627">IF(C2627="","",IFERROR(INDEX(STPP!$D$6:$D$4207,MATCH(C2627,STPP!$C$6:$C$4207,0)),"Not Found"))</f>
        <v/>
      </c>
      <c r="E2627" s="27" t="str" cm="1">
        <f t="array" ref="E2627">IF(C2627="","",IFERROR(INDEX(STPP!$E$6:$E$4207,MATCH(C2627,STPP!$C$6:$C$4207,0)),"Not Found"))</f>
        <v/>
      </c>
      <c r="F2627" s="27" t="str" cm="1">
        <f t="array" ref="F2627">IF(C2627="","",IFERROR(INDEX(STPP!$F$6:$F$4207,MATCH(C2627,STPP!$C$6:$C$4207,0)),"Not Found"))</f>
        <v/>
      </c>
      <c r="G2627" s="25" t="str">
        <f>IF(表1[[#This Row],[No Seri]]="","",表1[[#This Row],[Deskripsi Barang]]+表1[[#This Row],[Kuantitas]]-表1[[#This Row],[Satuan]])</f>
        <v/>
      </c>
      <c r="H2627" s="28"/>
      <c r="I2627" s="25" t="str">
        <f>IF(表1[[#This Row],[Tgl NPBG]]&gt;表1[[#This Row],[Peminta]],表1[[#This Row],[Tgl NPBG]]-表1[[#This Row],[Peminta]],"")</f>
        <v/>
      </c>
      <c r="J2627" s="31"/>
    </row>
    <row r="2628" s="12" customFormat="1" customHeight="1" spans="2:10">
      <c r="B2628" s="25"/>
      <c r="C2628" s="25"/>
      <c r="D2628" s="26" t="str" cm="1">
        <f t="array" ref="D2628">IF(C2628="","",IFERROR(INDEX(STPP!$D$6:$D$4207,MATCH(C2628,STPP!$C$6:$C$4207,0)),"Not Found"))</f>
        <v/>
      </c>
      <c r="E2628" s="27" t="str" cm="1">
        <f t="array" ref="E2628">IF(C2628="","",IFERROR(INDEX(STPP!$E$6:$E$4207,MATCH(C2628,STPP!$C$6:$C$4207,0)),"Not Found"))</f>
        <v/>
      </c>
      <c r="F2628" s="27" t="str" cm="1">
        <f t="array" ref="F2628">IF(C2628="","",IFERROR(INDEX(STPP!$F$6:$F$4207,MATCH(C2628,STPP!$C$6:$C$4207,0)),"Not Found"))</f>
        <v/>
      </c>
      <c r="G2628" s="25" t="str">
        <f>IF(表1[[#This Row],[No Seri]]="","",表1[[#This Row],[Deskripsi Barang]]+表1[[#This Row],[Kuantitas]]-表1[[#This Row],[Satuan]])</f>
        <v/>
      </c>
      <c r="H2628" s="28"/>
      <c r="I2628" s="25" t="str">
        <f>IF(表1[[#This Row],[Tgl NPBG]]&gt;表1[[#This Row],[Peminta]],表1[[#This Row],[Tgl NPBG]]-表1[[#This Row],[Peminta]],"")</f>
        <v/>
      </c>
      <c r="J2628" s="31"/>
    </row>
    <row r="2629" s="12" customFormat="1" customHeight="1" spans="2:10">
      <c r="B2629" s="25"/>
      <c r="C2629" s="25"/>
      <c r="D2629" s="26" t="str" cm="1">
        <f t="array" ref="D2629">IF(C2629="","",IFERROR(INDEX(STPP!$D$6:$D$4207,MATCH(C2629,STPP!$C$6:$C$4207,0)),"Not Found"))</f>
        <v/>
      </c>
      <c r="E2629" s="27" t="str" cm="1">
        <f t="array" ref="E2629">IF(C2629="","",IFERROR(INDEX(STPP!$E$6:$E$4207,MATCH(C2629,STPP!$C$6:$C$4207,0)),"Not Found"))</f>
        <v/>
      </c>
      <c r="F2629" s="27" t="str" cm="1">
        <f t="array" ref="F2629">IF(C2629="","",IFERROR(INDEX(STPP!$F$6:$F$4207,MATCH(C2629,STPP!$C$6:$C$4207,0)),"Not Found"))</f>
        <v/>
      </c>
      <c r="G2629" s="25" t="str">
        <f>IF(表1[[#This Row],[No Seri]]="","",表1[[#This Row],[Deskripsi Barang]]+表1[[#This Row],[Kuantitas]]-表1[[#This Row],[Satuan]])</f>
        <v/>
      </c>
      <c r="H2629" s="28"/>
      <c r="I2629" s="25" t="str">
        <f>IF(表1[[#This Row],[Tgl NPBG]]&gt;表1[[#This Row],[Peminta]],表1[[#This Row],[Tgl NPBG]]-表1[[#This Row],[Peminta]],"")</f>
        <v/>
      </c>
      <c r="J2629" s="31"/>
    </row>
    <row r="2630" s="12" customFormat="1" customHeight="1" spans="2:10">
      <c r="B2630" s="25"/>
      <c r="C2630" s="25"/>
      <c r="D2630" s="26" t="str" cm="1">
        <f t="array" ref="D2630">IF(C2630="","",IFERROR(INDEX(STPP!$D$6:$D$4207,MATCH(C2630,STPP!$C$6:$C$4207,0)),"Not Found"))</f>
        <v/>
      </c>
      <c r="E2630" s="27" t="str" cm="1">
        <f t="array" ref="E2630">IF(C2630="","",IFERROR(INDEX(STPP!$E$6:$E$4207,MATCH(C2630,STPP!$C$6:$C$4207,0)),"Not Found"))</f>
        <v/>
      </c>
      <c r="F2630" s="27" t="str" cm="1">
        <f t="array" ref="F2630">IF(C2630="","",IFERROR(INDEX(STPP!$F$6:$F$4207,MATCH(C2630,STPP!$C$6:$C$4207,0)),"Not Found"))</f>
        <v/>
      </c>
      <c r="G2630" s="25" t="str">
        <f>IF(表1[[#This Row],[No Seri]]="","",表1[[#This Row],[Deskripsi Barang]]+表1[[#This Row],[Kuantitas]]-表1[[#This Row],[Satuan]])</f>
        <v/>
      </c>
      <c r="H2630" s="28"/>
      <c r="I2630" s="25" t="str">
        <f>IF(表1[[#This Row],[Tgl NPBG]]&gt;表1[[#This Row],[Peminta]],表1[[#This Row],[Tgl NPBG]]-表1[[#This Row],[Peminta]],"")</f>
        <v/>
      </c>
      <c r="J2630" s="31"/>
    </row>
    <row r="2631" s="12" customFormat="1" customHeight="1" spans="2:10">
      <c r="B2631" s="25"/>
      <c r="C2631" s="25"/>
      <c r="D2631" s="26" t="str" cm="1">
        <f t="array" ref="D2631">IF(C2631="","",IFERROR(INDEX(STPP!$D$6:$D$4207,MATCH(C2631,STPP!$C$6:$C$4207,0)),"Not Found"))</f>
        <v/>
      </c>
      <c r="E2631" s="27" t="str" cm="1">
        <f t="array" ref="E2631">IF(C2631="","",IFERROR(INDEX(STPP!$E$6:$E$4207,MATCH(C2631,STPP!$C$6:$C$4207,0)),"Not Found"))</f>
        <v/>
      </c>
      <c r="F2631" s="27" t="str" cm="1">
        <f t="array" ref="F2631">IF(C2631="","",IFERROR(INDEX(STPP!$F$6:$F$4207,MATCH(C2631,STPP!$C$6:$C$4207,0)),"Not Found"))</f>
        <v/>
      </c>
      <c r="G2631" s="25" t="str">
        <f>IF(表1[[#This Row],[No Seri]]="","",表1[[#This Row],[Deskripsi Barang]]+表1[[#This Row],[Kuantitas]]-表1[[#This Row],[Satuan]])</f>
        <v/>
      </c>
      <c r="H2631" s="28"/>
      <c r="I2631" s="25" t="str">
        <f>IF(表1[[#This Row],[Tgl NPBG]]&gt;表1[[#This Row],[Peminta]],表1[[#This Row],[Tgl NPBG]]-表1[[#This Row],[Peminta]],"")</f>
        <v/>
      </c>
      <c r="J2631" s="31"/>
    </row>
    <row r="2632" s="12" customFormat="1" customHeight="1" spans="2:10">
      <c r="B2632" s="25"/>
      <c r="C2632" s="25"/>
      <c r="D2632" s="26" t="str" cm="1">
        <f t="array" ref="D2632">IF(C2632="","",IFERROR(INDEX(STPP!$D$6:$D$4207,MATCH(C2632,STPP!$C$6:$C$4207,0)),"Not Found"))</f>
        <v/>
      </c>
      <c r="E2632" s="27" t="str" cm="1">
        <f t="array" ref="E2632">IF(C2632="","",IFERROR(INDEX(STPP!$E$6:$E$4207,MATCH(C2632,STPP!$C$6:$C$4207,0)),"Not Found"))</f>
        <v/>
      </c>
      <c r="F2632" s="27" t="str" cm="1">
        <f t="array" ref="F2632">IF(C2632="","",IFERROR(INDEX(STPP!$F$6:$F$4207,MATCH(C2632,STPP!$C$6:$C$4207,0)),"Not Found"))</f>
        <v/>
      </c>
      <c r="G2632" s="25" t="str">
        <f>IF(表1[[#This Row],[No Seri]]="","",表1[[#This Row],[Deskripsi Barang]]+表1[[#This Row],[Kuantitas]]-表1[[#This Row],[Satuan]])</f>
        <v/>
      </c>
      <c r="H2632" s="28"/>
      <c r="I2632" s="25" t="str">
        <f>IF(表1[[#This Row],[Tgl NPBG]]&gt;表1[[#This Row],[Peminta]],表1[[#This Row],[Tgl NPBG]]-表1[[#This Row],[Peminta]],"")</f>
        <v/>
      </c>
      <c r="J2632" s="31"/>
    </row>
    <row r="2633" s="12" customFormat="1" customHeight="1" spans="2:10">
      <c r="B2633" s="25"/>
      <c r="C2633" s="25"/>
      <c r="D2633" s="26" t="str" cm="1">
        <f t="array" ref="D2633">IF(C2633="","",IFERROR(INDEX(STPP!$D$6:$D$4207,MATCH(C2633,STPP!$C$6:$C$4207,0)),"Not Found"))</f>
        <v/>
      </c>
      <c r="E2633" s="27" t="str" cm="1">
        <f t="array" ref="E2633">IF(C2633="","",IFERROR(INDEX(STPP!$E$6:$E$4207,MATCH(C2633,STPP!$C$6:$C$4207,0)),"Not Found"))</f>
        <v/>
      </c>
      <c r="F2633" s="27" t="str" cm="1">
        <f t="array" ref="F2633">IF(C2633="","",IFERROR(INDEX(STPP!$F$6:$F$4207,MATCH(C2633,STPP!$C$6:$C$4207,0)),"Not Found"))</f>
        <v/>
      </c>
      <c r="G2633" s="25" t="str">
        <f>IF(表1[[#This Row],[No Seri]]="","",表1[[#This Row],[Deskripsi Barang]]+表1[[#This Row],[Kuantitas]]-表1[[#This Row],[Satuan]])</f>
        <v/>
      </c>
      <c r="H2633" s="28"/>
      <c r="I2633" s="25" t="str">
        <f>IF(表1[[#This Row],[Tgl NPBG]]&gt;表1[[#This Row],[Peminta]],表1[[#This Row],[Tgl NPBG]]-表1[[#This Row],[Peminta]],"")</f>
        <v/>
      </c>
      <c r="J2633" s="31"/>
    </row>
    <row r="2634" s="12" customFormat="1" customHeight="1" spans="2:10">
      <c r="B2634" s="25"/>
      <c r="C2634" s="25"/>
      <c r="D2634" s="26" t="str" cm="1">
        <f t="array" ref="D2634">IF(C2634="","",IFERROR(INDEX(STPP!$D$6:$D$4207,MATCH(C2634,STPP!$C$6:$C$4207,0)),"Not Found"))</f>
        <v/>
      </c>
      <c r="E2634" s="27" t="str" cm="1">
        <f t="array" ref="E2634">IF(C2634="","",IFERROR(INDEX(STPP!$E$6:$E$4207,MATCH(C2634,STPP!$C$6:$C$4207,0)),"Not Found"))</f>
        <v/>
      </c>
      <c r="F2634" s="27" t="str" cm="1">
        <f t="array" ref="F2634">IF(C2634="","",IFERROR(INDEX(STPP!$F$6:$F$4207,MATCH(C2634,STPP!$C$6:$C$4207,0)),"Not Found"))</f>
        <v/>
      </c>
      <c r="G2634" s="25" t="str">
        <f>IF(表1[[#This Row],[No Seri]]="","",表1[[#This Row],[Deskripsi Barang]]+表1[[#This Row],[Kuantitas]]-表1[[#This Row],[Satuan]])</f>
        <v/>
      </c>
      <c r="H2634" s="28"/>
      <c r="I2634" s="25" t="str">
        <f>IF(表1[[#This Row],[Tgl NPBG]]&gt;表1[[#This Row],[Peminta]],表1[[#This Row],[Tgl NPBG]]-表1[[#This Row],[Peminta]],"")</f>
        <v/>
      </c>
      <c r="J2634" s="31"/>
    </row>
    <row r="2635" s="12" customFormat="1" customHeight="1" spans="2:10">
      <c r="B2635" s="25"/>
      <c r="C2635" s="25"/>
      <c r="D2635" s="26" t="str" cm="1">
        <f t="array" ref="D2635">IF(C2635="","",IFERROR(INDEX(STPP!$D$6:$D$4207,MATCH(C2635,STPP!$C$6:$C$4207,0)),"Not Found"))</f>
        <v/>
      </c>
      <c r="E2635" s="27" t="str" cm="1">
        <f t="array" ref="E2635">IF(C2635="","",IFERROR(INDEX(STPP!$E$6:$E$4207,MATCH(C2635,STPP!$C$6:$C$4207,0)),"Not Found"))</f>
        <v/>
      </c>
      <c r="F2635" s="27" t="str" cm="1">
        <f t="array" ref="F2635">IF(C2635="","",IFERROR(INDEX(STPP!$F$6:$F$4207,MATCH(C2635,STPP!$C$6:$C$4207,0)),"Not Found"))</f>
        <v/>
      </c>
      <c r="G2635" s="25" t="str">
        <f>IF(表1[[#This Row],[No Seri]]="","",表1[[#This Row],[Deskripsi Barang]]+表1[[#This Row],[Kuantitas]]-表1[[#This Row],[Satuan]])</f>
        <v/>
      </c>
      <c r="H2635" s="28"/>
      <c r="I2635" s="25" t="str">
        <f>IF(表1[[#This Row],[Tgl NPBG]]&gt;表1[[#This Row],[Peminta]],表1[[#This Row],[Tgl NPBG]]-表1[[#This Row],[Peminta]],"")</f>
        <v/>
      </c>
      <c r="J2635" s="31"/>
    </row>
    <row r="2636" s="12" customFormat="1" customHeight="1" spans="2:10">
      <c r="B2636" s="25"/>
      <c r="C2636" s="25"/>
      <c r="D2636" s="26" t="str" cm="1">
        <f t="array" ref="D2636">IF(C2636="","",IFERROR(INDEX(STPP!$D$6:$D$4207,MATCH(C2636,STPP!$C$6:$C$4207,0)),"Not Found"))</f>
        <v/>
      </c>
      <c r="E2636" s="27" t="str" cm="1">
        <f t="array" ref="E2636">IF(C2636="","",IFERROR(INDEX(STPP!$E$6:$E$4207,MATCH(C2636,STPP!$C$6:$C$4207,0)),"Not Found"))</f>
        <v/>
      </c>
      <c r="F2636" s="27" t="str" cm="1">
        <f t="array" ref="F2636">IF(C2636="","",IFERROR(INDEX(STPP!$F$6:$F$4207,MATCH(C2636,STPP!$C$6:$C$4207,0)),"Not Found"))</f>
        <v/>
      </c>
      <c r="G2636" s="25" t="str">
        <f>IF(表1[[#This Row],[No Seri]]="","",表1[[#This Row],[Deskripsi Barang]]+表1[[#This Row],[Kuantitas]]-表1[[#This Row],[Satuan]])</f>
        <v/>
      </c>
      <c r="H2636" s="28"/>
      <c r="I2636" s="25" t="str">
        <f>IF(表1[[#This Row],[Tgl NPBG]]&gt;表1[[#This Row],[Peminta]],表1[[#This Row],[Tgl NPBG]]-表1[[#This Row],[Peminta]],"")</f>
        <v/>
      </c>
      <c r="J2636" s="31"/>
    </row>
    <row r="2637" s="12" customFormat="1" customHeight="1" spans="2:10">
      <c r="B2637" s="25"/>
      <c r="C2637" s="25"/>
      <c r="D2637" s="26" t="str" cm="1">
        <f t="array" ref="D2637">IF(C2637="","",IFERROR(INDEX(STPP!$D$6:$D$4207,MATCH(C2637,STPP!$C$6:$C$4207,0)),"Not Found"))</f>
        <v/>
      </c>
      <c r="E2637" s="27" t="str" cm="1">
        <f t="array" ref="E2637">IF(C2637="","",IFERROR(INDEX(STPP!$E$6:$E$4207,MATCH(C2637,STPP!$C$6:$C$4207,0)),"Not Found"))</f>
        <v/>
      </c>
      <c r="F2637" s="27" t="str" cm="1">
        <f t="array" ref="F2637">IF(C2637="","",IFERROR(INDEX(STPP!$F$6:$F$4207,MATCH(C2637,STPP!$C$6:$C$4207,0)),"Not Found"))</f>
        <v/>
      </c>
      <c r="G2637" s="25" t="str">
        <f>IF(表1[[#This Row],[No Seri]]="","",表1[[#This Row],[Deskripsi Barang]]+表1[[#This Row],[Kuantitas]]-表1[[#This Row],[Satuan]])</f>
        <v/>
      </c>
      <c r="H2637" s="28"/>
      <c r="I2637" s="25" t="str">
        <f>IF(表1[[#This Row],[Tgl NPBG]]&gt;表1[[#This Row],[Peminta]],表1[[#This Row],[Tgl NPBG]]-表1[[#This Row],[Peminta]],"")</f>
        <v/>
      </c>
      <c r="J2637" s="31"/>
    </row>
    <row r="2638" s="12" customFormat="1" customHeight="1" spans="2:10">
      <c r="B2638" s="25"/>
      <c r="C2638" s="25"/>
      <c r="D2638" s="26" t="str" cm="1">
        <f t="array" ref="D2638">IF(C2638="","",IFERROR(INDEX(STPP!$D$6:$D$4207,MATCH(C2638,STPP!$C$6:$C$4207,0)),"Not Found"))</f>
        <v/>
      </c>
      <c r="E2638" s="27" t="str" cm="1">
        <f t="array" ref="E2638">IF(C2638="","",IFERROR(INDEX(STPP!$E$6:$E$4207,MATCH(C2638,STPP!$C$6:$C$4207,0)),"Not Found"))</f>
        <v/>
      </c>
      <c r="F2638" s="27" t="str" cm="1">
        <f t="array" ref="F2638">IF(C2638="","",IFERROR(INDEX(STPP!$F$6:$F$4207,MATCH(C2638,STPP!$C$6:$C$4207,0)),"Not Found"))</f>
        <v/>
      </c>
      <c r="G2638" s="25" t="str">
        <f>IF(表1[[#This Row],[No Seri]]="","",表1[[#This Row],[Deskripsi Barang]]+表1[[#This Row],[Kuantitas]]-表1[[#This Row],[Satuan]])</f>
        <v/>
      </c>
      <c r="H2638" s="28"/>
      <c r="I2638" s="25" t="str">
        <f>IF(表1[[#This Row],[Tgl NPBG]]&gt;表1[[#This Row],[Peminta]],表1[[#This Row],[Tgl NPBG]]-表1[[#This Row],[Peminta]],"")</f>
        <v/>
      </c>
      <c r="J2638" s="31"/>
    </row>
    <row r="2639" s="12" customFormat="1" customHeight="1" spans="2:10">
      <c r="B2639" s="25"/>
      <c r="C2639" s="25"/>
      <c r="D2639" s="26" t="str" cm="1">
        <f t="array" ref="D2639">IF(C2639="","",IFERROR(INDEX(STPP!$D$6:$D$4207,MATCH(C2639,STPP!$C$6:$C$4207,0)),"Not Found"))</f>
        <v/>
      </c>
      <c r="E2639" s="27" t="str" cm="1">
        <f t="array" ref="E2639">IF(C2639="","",IFERROR(INDEX(STPP!$E$6:$E$4207,MATCH(C2639,STPP!$C$6:$C$4207,0)),"Not Found"))</f>
        <v/>
      </c>
      <c r="F2639" s="27" t="str" cm="1">
        <f t="array" ref="F2639">IF(C2639="","",IFERROR(INDEX(STPP!$F$6:$F$4207,MATCH(C2639,STPP!$C$6:$C$4207,0)),"Not Found"))</f>
        <v/>
      </c>
      <c r="G2639" s="25" t="str">
        <f>IF(表1[[#This Row],[No Seri]]="","",表1[[#This Row],[Deskripsi Barang]]+表1[[#This Row],[Kuantitas]]-表1[[#This Row],[Satuan]])</f>
        <v/>
      </c>
      <c r="H2639" s="28"/>
      <c r="I2639" s="25" t="str">
        <f>IF(表1[[#This Row],[Tgl NPBG]]&gt;表1[[#This Row],[Peminta]],表1[[#This Row],[Tgl NPBG]]-表1[[#This Row],[Peminta]],"")</f>
        <v/>
      </c>
      <c r="J2639" s="31"/>
    </row>
    <row r="2640" s="12" customFormat="1" customHeight="1" spans="2:10">
      <c r="B2640" s="25"/>
      <c r="C2640" s="25"/>
      <c r="D2640" s="26" t="str" cm="1">
        <f t="array" ref="D2640">IF(C2640="","",IFERROR(INDEX(STPP!$D$6:$D$4207,MATCH(C2640,STPP!$C$6:$C$4207,0)),"Not Found"))</f>
        <v/>
      </c>
      <c r="E2640" s="27" t="str" cm="1">
        <f t="array" ref="E2640">IF(C2640="","",IFERROR(INDEX(STPP!$E$6:$E$4207,MATCH(C2640,STPP!$C$6:$C$4207,0)),"Not Found"))</f>
        <v/>
      </c>
      <c r="F2640" s="27" t="str" cm="1">
        <f t="array" ref="F2640">IF(C2640="","",IFERROR(INDEX(STPP!$F$6:$F$4207,MATCH(C2640,STPP!$C$6:$C$4207,0)),"Not Found"))</f>
        <v/>
      </c>
      <c r="G2640" s="25" t="str">
        <f>IF(表1[[#This Row],[No Seri]]="","",表1[[#This Row],[Deskripsi Barang]]+表1[[#This Row],[Kuantitas]]-表1[[#This Row],[Satuan]])</f>
        <v/>
      </c>
      <c r="H2640" s="28"/>
      <c r="I2640" s="25" t="str">
        <f>IF(表1[[#This Row],[Tgl NPBG]]&gt;表1[[#This Row],[Peminta]],表1[[#This Row],[Tgl NPBG]]-表1[[#This Row],[Peminta]],"")</f>
        <v/>
      </c>
      <c r="J2640" s="31"/>
    </row>
    <row r="2641" s="12" customFormat="1" customHeight="1" spans="2:10">
      <c r="B2641" s="25"/>
      <c r="C2641" s="25"/>
      <c r="D2641" s="26" t="str" cm="1">
        <f t="array" ref="D2641">IF(C2641="","",IFERROR(INDEX(STPP!$D$6:$D$4207,MATCH(C2641,STPP!$C$6:$C$4207,0)),"Not Found"))</f>
        <v/>
      </c>
      <c r="E2641" s="27" t="str" cm="1">
        <f t="array" ref="E2641">IF(C2641="","",IFERROR(INDEX(STPP!$E$6:$E$4207,MATCH(C2641,STPP!$C$6:$C$4207,0)),"Not Found"))</f>
        <v/>
      </c>
      <c r="F2641" s="27" t="str" cm="1">
        <f t="array" ref="F2641">IF(C2641="","",IFERROR(INDEX(STPP!$F$6:$F$4207,MATCH(C2641,STPP!$C$6:$C$4207,0)),"Not Found"))</f>
        <v/>
      </c>
      <c r="G2641" s="25" t="str">
        <f>IF(表1[[#This Row],[No Seri]]="","",表1[[#This Row],[Deskripsi Barang]]+表1[[#This Row],[Kuantitas]]-表1[[#This Row],[Satuan]])</f>
        <v/>
      </c>
      <c r="H2641" s="28"/>
      <c r="I2641" s="25" t="str">
        <f>IF(表1[[#This Row],[Tgl NPBG]]&gt;表1[[#This Row],[Peminta]],表1[[#This Row],[Tgl NPBG]]-表1[[#This Row],[Peminta]],"")</f>
        <v/>
      </c>
      <c r="J2641" s="31"/>
    </row>
    <row r="2642" s="12" customFormat="1" customHeight="1" spans="2:10">
      <c r="B2642" s="25"/>
      <c r="C2642" s="25"/>
      <c r="D2642" s="26" t="str" cm="1">
        <f t="array" ref="D2642">IF(C2642="","",IFERROR(INDEX(STPP!$D$6:$D$4207,MATCH(C2642,STPP!$C$6:$C$4207,0)),"Not Found"))</f>
        <v/>
      </c>
      <c r="E2642" s="27" t="str" cm="1">
        <f t="array" ref="E2642">IF(C2642="","",IFERROR(INDEX(STPP!$E$6:$E$4207,MATCH(C2642,STPP!$C$6:$C$4207,0)),"Not Found"))</f>
        <v/>
      </c>
      <c r="F2642" s="27" t="str" cm="1">
        <f t="array" ref="F2642">IF(C2642="","",IFERROR(INDEX(STPP!$F$6:$F$4207,MATCH(C2642,STPP!$C$6:$C$4207,0)),"Not Found"))</f>
        <v/>
      </c>
      <c r="G2642" s="25" t="str">
        <f>IF(表1[[#This Row],[No Seri]]="","",表1[[#This Row],[Deskripsi Barang]]+表1[[#This Row],[Kuantitas]]-表1[[#This Row],[Satuan]])</f>
        <v/>
      </c>
      <c r="H2642" s="28"/>
      <c r="I2642" s="25" t="str">
        <f>IF(表1[[#This Row],[Tgl NPBG]]&gt;表1[[#This Row],[Peminta]],表1[[#This Row],[Tgl NPBG]]-表1[[#This Row],[Peminta]],"")</f>
        <v/>
      </c>
      <c r="J2642" s="31"/>
    </row>
    <row r="2643" s="12" customFormat="1" customHeight="1" spans="2:10">
      <c r="B2643" s="25"/>
      <c r="C2643" s="25"/>
      <c r="D2643" s="26" t="str" cm="1">
        <f t="array" ref="D2643">IF(C2643="","",IFERROR(INDEX(STPP!$D$6:$D$4207,MATCH(C2643,STPP!$C$6:$C$4207,0)),"Not Found"))</f>
        <v/>
      </c>
      <c r="E2643" s="27" t="str" cm="1">
        <f t="array" ref="E2643">IF(C2643="","",IFERROR(INDEX(STPP!$E$6:$E$4207,MATCH(C2643,STPP!$C$6:$C$4207,0)),"Not Found"))</f>
        <v/>
      </c>
      <c r="F2643" s="27" t="str" cm="1">
        <f t="array" ref="F2643">IF(C2643="","",IFERROR(INDEX(STPP!$F$6:$F$4207,MATCH(C2643,STPP!$C$6:$C$4207,0)),"Not Found"))</f>
        <v/>
      </c>
      <c r="G2643" s="25" t="str">
        <f>IF(表1[[#This Row],[No Seri]]="","",表1[[#This Row],[Deskripsi Barang]]+表1[[#This Row],[Kuantitas]]-表1[[#This Row],[Satuan]])</f>
        <v/>
      </c>
      <c r="H2643" s="28"/>
      <c r="I2643" s="25" t="str">
        <f>IF(表1[[#This Row],[Tgl NPBG]]&gt;表1[[#This Row],[Peminta]],表1[[#This Row],[Tgl NPBG]]-表1[[#This Row],[Peminta]],"")</f>
        <v/>
      </c>
      <c r="J2643" s="31"/>
    </row>
    <row r="2644" s="12" customFormat="1" customHeight="1" spans="2:10">
      <c r="B2644" s="25"/>
      <c r="C2644" s="25"/>
      <c r="D2644" s="26" t="str" cm="1">
        <f t="array" ref="D2644">IF(C2644="","",IFERROR(INDEX(STPP!$D$6:$D$4207,MATCH(C2644,STPP!$C$6:$C$4207,0)),"Not Found"))</f>
        <v/>
      </c>
      <c r="E2644" s="27" t="str" cm="1">
        <f t="array" ref="E2644">IF(C2644="","",IFERROR(INDEX(STPP!$E$6:$E$4207,MATCH(C2644,STPP!$C$6:$C$4207,0)),"Not Found"))</f>
        <v/>
      </c>
      <c r="F2644" s="27" t="str" cm="1">
        <f t="array" ref="F2644">IF(C2644="","",IFERROR(INDEX(STPP!$F$6:$F$4207,MATCH(C2644,STPP!$C$6:$C$4207,0)),"Not Found"))</f>
        <v/>
      </c>
      <c r="G2644" s="25" t="str">
        <f>IF(表1[[#This Row],[No Seri]]="","",表1[[#This Row],[Deskripsi Barang]]+表1[[#This Row],[Kuantitas]]-表1[[#This Row],[Satuan]])</f>
        <v/>
      </c>
      <c r="H2644" s="28"/>
      <c r="I2644" s="25" t="str">
        <f>IF(表1[[#This Row],[Tgl NPBG]]&gt;表1[[#This Row],[Peminta]],表1[[#This Row],[Tgl NPBG]]-表1[[#This Row],[Peminta]],"")</f>
        <v/>
      </c>
      <c r="J2644" s="31"/>
    </row>
    <row r="2645" s="12" customFormat="1" customHeight="1" spans="2:10">
      <c r="B2645" s="25"/>
      <c r="C2645" s="25"/>
      <c r="D2645" s="26" t="str" cm="1">
        <f t="array" ref="D2645">IF(C2645="","",IFERROR(INDEX(STPP!$D$6:$D$4207,MATCH(C2645,STPP!$C$6:$C$4207,0)),"Not Found"))</f>
        <v/>
      </c>
      <c r="E2645" s="27" t="str" cm="1">
        <f t="array" ref="E2645">IF(C2645="","",IFERROR(INDEX(STPP!$E$6:$E$4207,MATCH(C2645,STPP!$C$6:$C$4207,0)),"Not Found"))</f>
        <v/>
      </c>
      <c r="F2645" s="27" t="str" cm="1">
        <f t="array" ref="F2645">IF(C2645="","",IFERROR(INDEX(STPP!$F$6:$F$4207,MATCH(C2645,STPP!$C$6:$C$4207,0)),"Not Found"))</f>
        <v/>
      </c>
      <c r="G2645" s="25" t="str">
        <f>IF(表1[[#This Row],[No Seri]]="","",表1[[#This Row],[Deskripsi Barang]]+表1[[#This Row],[Kuantitas]]-表1[[#This Row],[Satuan]])</f>
        <v/>
      </c>
      <c r="H2645" s="28"/>
      <c r="I2645" s="25" t="str">
        <f>IF(表1[[#This Row],[Tgl NPBG]]&gt;表1[[#This Row],[Peminta]],表1[[#This Row],[Tgl NPBG]]-表1[[#This Row],[Peminta]],"")</f>
        <v/>
      </c>
      <c r="J2645" s="31"/>
    </row>
    <row r="2646" s="12" customFormat="1" customHeight="1" spans="2:10">
      <c r="B2646" s="25"/>
      <c r="C2646" s="25"/>
      <c r="D2646" s="26" t="str" cm="1">
        <f t="array" ref="D2646">IF(C2646="","",IFERROR(INDEX(STPP!$D$6:$D$4207,MATCH(C2646,STPP!$C$6:$C$4207,0)),"Not Found"))</f>
        <v/>
      </c>
      <c r="E2646" s="27" t="str" cm="1">
        <f t="array" ref="E2646">IF(C2646="","",IFERROR(INDEX(STPP!$E$6:$E$4207,MATCH(C2646,STPP!$C$6:$C$4207,0)),"Not Found"))</f>
        <v/>
      </c>
      <c r="F2646" s="27" t="str" cm="1">
        <f t="array" ref="F2646">IF(C2646="","",IFERROR(INDEX(STPP!$F$6:$F$4207,MATCH(C2646,STPP!$C$6:$C$4207,0)),"Not Found"))</f>
        <v/>
      </c>
      <c r="G2646" s="25" t="str">
        <f>IF(表1[[#This Row],[No Seri]]="","",表1[[#This Row],[Deskripsi Barang]]+表1[[#This Row],[Kuantitas]]-表1[[#This Row],[Satuan]])</f>
        <v/>
      </c>
      <c r="H2646" s="28"/>
      <c r="I2646" s="25" t="str">
        <f>IF(表1[[#This Row],[Tgl NPBG]]&gt;表1[[#This Row],[Peminta]],表1[[#This Row],[Tgl NPBG]]-表1[[#This Row],[Peminta]],"")</f>
        <v/>
      </c>
      <c r="J2646" s="31"/>
    </row>
    <row r="2647" s="12" customFormat="1" customHeight="1" spans="2:10">
      <c r="B2647" s="25"/>
      <c r="C2647" s="25"/>
      <c r="D2647" s="26" t="str" cm="1">
        <f t="array" ref="D2647">IF(C2647="","",IFERROR(INDEX(STPP!$D$6:$D$4207,MATCH(C2647,STPP!$C$6:$C$4207,0)),"Not Found"))</f>
        <v/>
      </c>
      <c r="E2647" s="27" t="str" cm="1">
        <f t="array" ref="E2647">IF(C2647="","",IFERROR(INDEX(STPP!$E$6:$E$4207,MATCH(C2647,STPP!$C$6:$C$4207,0)),"Not Found"))</f>
        <v/>
      </c>
      <c r="F2647" s="27" t="str" cm="1">
        <f t="array" ref="F2647">IF(C2647="","",IFERROR(INDEX(STPP!$F$6:$F$4207,MATCH(C2647,STPP!$C$6:$C$4207,0)),"Not Found"))</f>
        <v/>
      </c>
      <c r="G2647" s="25" t="str">
        <f>IF(表1[[#This Row],[No Seri]]="","",表1[[#This Row],[Deskripsi Barang]]+表1[[#This Row],[Kuantitas]]-表1[[#This Row],[Satuan]])</f>
        <v/>
      </c>
      <c r="H2647" s="28"/>
      <c r="I2647" s="25" t="str">
        <f>IF(表1[[#This Row],[Tgl NPBG]]&gt;表1[[#This Row],[Peminta]],表1[[#This Row],[Tgl NPBG]]-表1[[#This Row],[Peminta]],"")</f>
        <v/>
      </c>
      <c r="J2647" s="31"/>
    </row>
    <row r="2648" s="12" customFormat="1" customHeight="1" spans="2:10">
      <c r="B2648" s="25"/>
      <c r="C2648" s="25"/>
      <c r="D2648" s="26" t="str" cm="1">
        <f t="array" ref="D2648">IF(C2648="","",IFERROR(INDEX(STPP!$D$6:$D$4207,MATCH(C2648,STPP!$C$6:$C$4207,0)),"Not Found"))</f>
        <v/>
      </c>
      <c r="E2648" s="27" t="str" cm="1">
        <f t="array" ref="E2648">IF(C2648="","",IFERROR(INDEX(STPP!$E$6:$E$4207,MATCH(C2648,STPP!$C$6:$C$4207,0)),"Not Found"))</f>
        <v/>
      </c>
      <c r="F2648" s="27" t="str" cm="1">
        <f t="array" ref="F2648">IF(C2648="","",IFERROR(INDEX(STPP!$F$6:$F$4207,MATCH(C2648,STPP!$C$6:$C$4207,0)),"Not Found"))</f>
        <v/>
      </c>
      <c r="G2648" s="25" t="str">
        <f>IF(表1[[#This Row],[No Seri]]="","",表1[[#This Row],[Deskripsi Barang]]+表1[[#This Row],[Kuantitas]]-表1[[#This Row],[Satuan]])</f>
        <v/>
      </c>
      <c r="H2648" s="28"/>
      <c r="I2648" s="25" t="str">
        <f>IF(表1[[#This Row],[Tgl NPBG]]&gt;表1[[#This Row],[Peminta]],表1[[#This Row],[Tgl NPBG]]-表1[[#This Row],[Peminta]],"")</f>
        <v/>
      </c>
      <c r="J2648" s="31"/>
    </row>
    <row r="2649" s="12" customFormat="1" customHeight="1" spans="2:10">
      <c r="B2649" s="25"/>
      <c r="C2649" s="25"/>
      <c r="D2649" s="26" t="str" cm="1">
        <f t="array" ref="D2649">IF(C2649="","",IFERROR(INDEX(STPP!$D$6:$D$4207,MATCH(C2649,STPP!$C$6:$C$4207,0)),"Not Found"))</f>
        <v/>
      </c>
      <c r="E2649" s="27" t="str" cm="1">
        <f t="array" ref="E2649">IF(C2649="","",IFERROR(INDEX(STPP!$E$6:$E$4207,MATCH(C2649,STPP!$C$6:$C$4207,0)),"Not Found"))</f>
        <v/>
      </c>
      <c r="F2649" s="27" t="str" cm="1">
        <f t="array" ref="F2649">IF(C2649="","",IFERROR(INDEX(STPP!$F$6:$F$4207,MATCH(C2649,STPP!$C$6:$C$4207,0)),"Not Found"))</f>
        <v/>
      </c>
      <c r="G2649" s="25" t="str">
        <f>IF(表1[[#This Row],[No Seri]]="","",表1[[#This Row],[Deskripsi Barang]]+表1[[#This Row],[Kuantitas]]-表1[[#This Row],[Satuan]])</f>
        <v/>
      </c>
      <c r="H2649" s="28"/>
      <c r="I2649" s="25" t="str">
        <f>IF(表1[[#This Row],[Tgl NPBG]]&gt;表1[[#This Row],[Peminta]],表1[[#This Row],[Tgl NPBG]]-表1[[#This Row],[Peminta]],"")</f>
        <v/>
      </c>
      <c r="J2649" s="31"/>
    </row>
    <row r="2650" s="12" customFormat="1" customHeight="1" spans="2:10">
      <c r="B2650" s="25"/>
      <c r="C2650" s="25"/>
      <c r="D2650" s="26" t="str" cm="1">
        <f t="array" ref="D2650">IF(C2650="","",IFERROR(INDEX(STPP!$D$6:$D$4207,MATCH(C2650,STPP!$C$6:$C$4207,0)),"Not Found"))</f>
        <v/>
      </c>
      <c r="E2650" s="27" t="str" cm="1">
        <f t="array" ref="E2650">IF(C2650="","",IFERROR(INDEX(STPP!$E$6:$E$4207,MATCH(C2650,STPP!$C$6:$C$4207,0)),"Not Found"))</f>
        <v/>
      </c>
      <c r="F2650" s="27" t="str" cm="1">
        <f t="array" ref="F2650">IF(C2650="","",IFERROR(INDEX(STPP!$F$6:$F$4207,MATCH(C2650,STPP!$C$6:$C$4207,0)),"Not Found"))</f>
        <v/>
      </c>
      <c r="G2650" s="25" t="str">
        <f>IF(表1[[#This Row],[No Seri]]="","",表1[[#This Row],[Deskripsi Barang]]+表1[[#This Row],[Kuantitas]]-表1[[#This Row],[Satuan]])</f>
        <v/>
      </c>
      <c r="H2650" s="28"/>
      <c r="I2650" s="25" t="str">
        <f>IF(表1[[#This Row],[Tgl NPBG]]&gt;表1[[#This Row],[Peminta]],表1[[#This Row],[Tgl NPBG]]-表1[[#This Row],[Peminta]],"")</f>
        <v/>
      </c>
      <c r="J2650" s="31"/>
    </row>
    <row r="2651" s="12" customFormat="1" customHeight="1" spans="2:10">
      <c r="B2651" s="25"/>
      <c r="C2651" s="25"/>
      <c r="D2651" s="26" t="str" cm="1">
        <f t="array" ref="D2651">IF(C2651="","",IFERROR(INDEX(STPP!$D$6:$D$4207,MATCH(C2651,STPP!$C$6:$C$4207,0)),"Not Found"))</f>
        <v/>
      </c>
      <c r="E2651" s="27" t="str" cm="1">
        <f t="array" ref="E2651">IF(C2651="","",IFERROR(INDEX(STPP!$E$6:$E$4207,MATCH(C2651,STPP!$C$6:$C$4207,0)),"Not Found"))</f>
        <v/>
      </c>
      <c r="F2651" s="27" t="str" cm="1">
        <f t="array" ref="F2651">IF(C2651="","",IFERROR(INDEX(STPP!$F$6:$F$4207,MATCH(C2651,STPP!$C$6:$C$4207,0)),"Not Found"))</f>
        <v/>
      </c>
      <c r="G2651" s="25" t="str">
        <f>IF(表1[[#This Row],[No Seri]]="","",表1[[#This Row],[Deskripsi Barang]]+表1[[#This Row],[Kuantitas]]-表1[[#This Row],[Satuan]])</f>
        <v/>
      </c>
      <c r="H2651" s="28"/>
      <c r="I2651" s="25" t="str">
        <f>IF(表1[[#This Row],[Tgl NPBG]]&gt;表1[[#This Row],[Peminta]],表1[[#This Row],[Tgl NPBG]]-表1[[#This Row],[Peminta]],"")</f>
        <v/>
      </c>
      <c r="J2651" s="31"/>
    </row>
    <row r="2652" s="12" customFormat="1" customHeight="1" spans="2:10">
      <c r="B2652" s="25"/>
      <c r="C2652" s="25"/>
      <c r="D2652" s="26" t="str" cm="1">
        <f t="array" ref="D2652">IF(C2652="","",IFERROR(INDEX(STPP!$D$6:$D$4207,MATCH(C2652,STPP!$C$6:$C$4207,0)),"Not Found"))</f>
        <v/>
      </c>
      <c r="E2652" s="27" t="str" cm="1">
        <f t="array" ref="E2652">IF(C2652="","",IFERROR(INDEX(STPP!$E$6:$E$4207,MATCH(C2652,STPP!$C$6:$C$4207,0)),"Not Found"))</f>
        <v/>
      </c>
      <c r="F2652" s="27" t="str" cm="1">
        <f t="array" ref="F2652">IF(C2652="","",IFERROR(INDEX(STPP!$F$6:$F$4207,MATCH(C2652,STPP!$C$6:$C$4207,0)),"Not Found"))</f>
        <v/>
      </c>
      <c r="G2652" s="25" t="str">
        <f>IF(表1[[#This Row],[No Seri]]="","",表1[[#This Row],[Deskripsi Barang]]+表1[[#This Row],[Kuantitas]]-表1[[#This Row],[Satuan]])</f>
        <v/>
      </c>
      <c r="H2652" s="28"/>
      <c r="I2652" s="25" t="str">
        <f>IF(表1[[#This Row],[Tgl NPBG]]&gt;表1[[#This Row],[Peminta]],表1[[#This Row],[Tgl NPBG]]-表1[[#This Row],[Peminta]],"")</f>
        <v/>
      </c>
      <c r="J2652" s="31"/>
    </row>
    <row r="2653" s="12" customFormat="1" customHeight="1" spans="2:10">
      <c r="B2653" s="25"/>
      <c r="C2653" s="25"/>
      <c r="D2653" s="26" t="str" cm="1">
        <f t="array" ref="D2653">IF(C2653="","",IFERROR(INDEX(STPP!$D$6:$D$4207,MATCH(C2653,STPP!$C$6:$C$4207,0)),"Not Found"))</f>
        <v/>
      </c>
      <c r="E2653" s="27" t="str" cm="1">
        <f t="array" ref="E2653">IF(C2653="","",IFERROR(INDEX(STPP!$E$6:$E$4207,MATCH(C2653,STPP!$C$6:$C$4207,0)),"Not Found"))</f>
        <v/>
      </c>
      <c r="F2653" s="27" t="str" cm="1">
        <f t="array" ref="F2653">IF(C2653="","",IFERROR(INDEX(STPP!$F$6:$F$4207,MATCH(C2653,STPP!$C$6:$C$4207,0)),"Not Found"))</f>
        <v/>
      </c>
      <c r="G2653" s="25" t="str">
        <f>IF(表1[[#This Row],[No Seri]]="","",表1[[#This Row],[Deskripsi Barang]]+表1[[#This Row],[Kuantitas]]-表1[[#This Row],[Satuan]])</f>
        <v/>
      </c>
      <c r="H2653" s="28"/>
      <c r="I2653" s="25" t="str">
        <f>IF(表1[[#This Row],[Tgl NPBG]]&gt;表1[[#This Row],[Peminta]],表1[[#This Row],[Tgl NPBG]]-表1[[#This Row],[Peminta]],"")</f>
        <v/>
      </c>
      <c r="J2653" s="31"/>
    </row>
    <row r="2654" s="12" customFormat="1" customHeight="1" spans="2:10">
      <c r="B2654" s="25"/>
      <c r="C2654" s="25"/>
      <c r="D2654" s="26" t="str" cm="1">
        <f t="array" ref="D2654">IF(C2654="","",IFERROR(INDEX(STPP!$D$6:$D$4207,MATCH(C2654,STPP!$C$6:$C$4207,0)),"Not Found"))</f>
        <v/>
      </c>
      <c r="E2654" s="27" t="str" cm="1">
        <f t="array" ref="E2654">IF(C2654="","",IFERROR(INDEX(STPP!$E$6:$E$4207,MATCH(C2654,STPP!$C$6:$C$4207,0)),"Not Found"))</f>
        <v/>
      </c>
      <c r="F2654" s="27" t="str" cm="1">
        <f t="array" ref="F2654">IF(C2654="","",IFERROR(INDEX(STPP!$F$6:$F$4207,MATCH(C2654,STPP!$C$6:$C$4207,0)),"Not Found"))</f>
        <v/>
      </c>
      <c r="G2654" s="25" t="str">
        <f>IF(表1[[#This Row],[No Seri]]="","",表1[[#This Row],[Deskripsi Barang]]+表1[[#This Row],[Kuantitas]]-表1[[#This Row],[Satuan]])</f>
        <v/>
      </c>
      <c r="H2654" s="28"/>
      <c r="I2654" s="25" t="str">
        <f>IF(表1[[#This Row],[Tgl NPBG]]&gt;表1[[#This Row],[Peminta]],表1[[#This Row],[Tgl NPBG]]-表1[[#This Row],[Peminta]],"")</f>
        <v/>
      </c>
      <c r="J2654" s="31"/>
    </row>
    <row r="2655" s="12" customFormat="1" customHeight="1" spans="2:10">
      <c r="B2655" s="25"/>
      <c r="C2655" s="25"/>
      <c r="D2655" s="26" t="str" cm="1">
        <f t="array" ref="D2655">IF(C2655="","",IFERROR(INDEX(STPP!$D$6:$D$4207,MATCH(C2655,STPP!$C$6:$C$4207,0)),"Not Found"))</f>
        <v/>
      </c>
      <c r="E2655" s="27" t="str" cm="1">
        <f t="array" ref="E2655">IF(C2655="","",IFERROR(INDEX(STPP!$E$6:$E$4207,MATCH(C2655,STPP!$C$6:$C$4207,0)),"Not Found"))</f>
        <v/>
      </c>
      <c r="F2655" s="27" t="str" cm="1">
        <f t="array" ref="F2655">IF(C2655="","",IFERROR(INDEX(STPP!$F$6:$F$4207,MATCH(C2655,STPP!$C$6:$C$4207,0)),"Not Found"))</f>
        <v/>
      </c>
      <c r="G2655" s="25" t="str">
        <f>IF(表1[[#This Row],[No Seri]]="","",表1[[#This Row],[Deskripsi Barang]]+表1[[#This Row],[Kuantitas]]-表1[[#This Row],[Satuan]])</f>
        <v/>
      </c>
      <c r="H2655" s="28"/>
      <c r="I2655" s="25" t="str">
        <f>IF(表1[[#This Row],[Tgl NPBG]]&gt;表1[[#This Row],[Peminta]],表1[[#This Row],[Tgl NPBG]]-表1[[#This Row],[Peminta]],"")</f>
        <v/>
      </c>
      <c r="J2655" s="31"/>
    </row>
    <row r="2656" s="12" customFormat="1" customHeight="1" spans="2:10">
      <c r="B2656" s="25"/>
      <c r="C2656" s="25"/>
      <c r="D2656" s="26" t="str" cm="1">
        <f t="array" ref="D2656">IF(C2656="","",IFERROR(INDEX(STPP!$D$6:$D$4207,MATCH(C2656,STPP!$C$6:$C$4207,0)),"Not Found"))</f>
        <v/>
      </c>
      <c r="E2656" s="27" t="str" cm="1">
        <f t="array" ref="E2656">IF(C2656="","",IFERROR(INDEX(STPP!$E$6:$E$4207,MATCH(C2656,STPP!$C$6:$C$4207,0)),"Not Found"))</f>
        <v/>
      </c>
      <c r="F2656" s="27" t="str" cm="1">
        <f t="array" ref="F2656">IF(C2656="","",IFERROR(INDEX(STPP!$F$6:$F$4207,MATCH(C2656,STPP!$C$6:$C$4207,0)),"Not Found"))</f>
        <v/>
      </c>
      <c r="G2656" s="25" t="str">
        <f>IF(表1[[#This Row],[No Seri]]="","",表1[[#This Row],[Deskripsi Barang]]+表1[[#This Row],[Kuantitas]]-表1[[#This Row],[Satuan]])</f>
        <v/>
      </c>
      <c r="H2656" s="28"/>
      <c r="I2656" s="25" t="str">
        <f>IF(表1[[#This Row],[Tgl NPBG]]&gt;表1[[#This Row],[Peminta]],表1[[#This Row],[Tgl NPBG]]-表1[[#This Row],[Peminta]],"")</f>
        <v/>
      </c>
      <c r="J2656" s="31"/>
    </row>
    <row r="2657" s="12" customFormat="1" customHeight="1" spans="2:10">
      <c r="B2657" s="25"/>
      <c r="C2657" s="25"/>
      <c r="D2657" s="26" t="str" cm="1">
        <f t="array" ref="D2657">IF(C2657="","",IFERROR(INDEX(STPP!$D$6:$D$4207,MATCH(C2657,STPP!$C$6:$C$4207,0)),"Not Found"))</f>
        <v/>
      </c>
      <c r="E2657" s="27" t="str" cm="1">
        <f t="array" ref="E2657">IF(C2657="","",IFERROR(INDEX(STPP!$E$6:$E$4207,MATCH(C2657,STPP!$C$6:$C$4207,0)),"Not Found"))</f>
        <v/>
      </c>
      <c r="F2657" s="27" t="str" cm="1">
        <f t="array" ref="F2657">IF(C2657="","",IFERROR(INDEX(STPP!$F$6:$F$4207,MATCH(C2657,STPP!$C$6:$C$4207,0)),"Not Found"))</f>
        <v/>
      </c>
      <c r="G2657" s="25" t="str">
        <f>IF(表1[[#This Row],[No Seri]]="","",表1[[#This Row],[Deskripsi Barang]]+表1[[#This Row],[Kuantitas]]-表1[[#This Row],[Satuan]])</f>
        <v/>
      </c>
      <c r="H2657" s="28"/>
      <c r="I2657" s="25" t="str">
        <f>IF(表1[[#This Row],[Tgl NPBG]]&gt;表1[[#This Row],[Peminta]],表1[[#This Row],[Tgl NPBG]]-表1[[#This Row],[Peminta]],"")</f>
        <v/>
      </c>
      <c r="J2657" s="31"/>
    </row>
    <row r="2658" s="12" customFormat="1" customHeight="1" spans="2:10">
      <c r="B2658" s="25"/>
      <c r="C2658" s="25"/>
      <c r="D2658" s="26" t="str" cm="1">
        <f t="array" ref="D2658">IF(C2658="","",IFERROR(INDEX(STPP!$D$6:$D$4207,MATCH(C2658,STPP!$C$6:$C$4207,0)),"Not Found"))</f>
        <v/>
      </c>
      <c r="E2658" s="27" t="str" cm="1">
        <f t="array" ref="E2658">IF(C2658="","",IFERROR(INDEX(STPP!$E$6:$E$4207,MATCH(C2658,STPP!$C$6:$C$4207,0)),"Not Found"))</f>
        <v/>
      </c>
      <c r="F2658" s="27" t="str" cm="1">
        <f t="array" ref="F2658">IF(C2658="","",IFERROR(INDEX(STPP!$F$6:$F$4207,MATCH(C2658,STPP!$C$6:$C$4207,0)),"Not Found"))</f>
        <v/>
      </c>
      <c r="G2658" s="25" t="str">
        <f>IF(表1[[#This Row],[No Seri]]="","",表1[[#This Row],[Deskripsi Barang]]+表1[[#This Row],[Kuantitas]]-表1[[#This Row],[Satuan]])</f>
        <v/>
      </c>
      <c r="H2658" s="28"/>
      <c r="I2658" s="25" t="str">
        <f>IF(表1[[#This Row],[Tgl NPBG]]&gt;表1[[#This Row],[Peminta]],表1[[#This Row],[Tgl NPBG]]-表1[[#This Row],[Peminta]],"")</f>
        <v/>
      </c>
      <c r="J2658" s="31"/>
    </row>
    <row r="2659" s="12" customFormat="1" customHeight="1" spans="2:10">
      <c r="B2659" s="25"/>
      <c r="C2659" s="25"/>
      <c r="D2659" s="26" t="str" cm="1">
        <f t="array" ref="D2659">IF(C2659="","",IFERROR(INDEX(STPP!$D$6:$D$4207,MATCH(C2659,STPP!$C$6:$C$4207,0)),"Not Found"))</f>
        <v/>
      </c>
      <c r="E2659" s="27" t="str" cm="1">
        <f t="array" ref="E2659">IF(C2659="","",IFERROR(INDEX(STPP!$E$6:$E$4207,MATCH(C2659,STPP!$C$6:$C$4207,0)),"Not Found"))</f>
        <v/>
      </c>
      <c r="F2659" s="27" t="str" cm="1">
        <f t="array" ref="F2659">IF(C2659="","",IFERROR(INDEX(STPP!$F$6:$F$4207,MATCH(C2659,STPP!$C$6:$C$4207,0)),"Not Found"))</f>
        <v/>
      </c>
      <c r="G2659" s="25" t="str">
        <f>IF(表1[[#This Row],[No Seri]]="","",表1[[#This Row],[Deskripsi Barang]]+表1[[#This Row],[Kuantitas]]-表1[[#This Row],[Satuan]])</f>
        <v/>
      </c>
      <c r="H2659" s="28"/>
      <c r="I2659" s="25" t="str">
        <f>IF(表1[[#This Row],[Tgl NPBG]]&gt;表1[[#This Row],[Peminta]],表1[[#This Row],[Tgl NPBG]]-表1[[#This Row],[Peminta]],"")</f>
        <v/>
      </c>
      <c r="J2659" s="31"/>
    </row>
    <row r="2660" s="12" customFormat="1" customHeight="1" spans="2:10">
      <c r="B2660" s="25"/>
      <c r="C2660" s="25"/>
      <c r="D2660" s="26" t="str" cm="1">
        <f t="array" ref="D2660">IF(C2660="","",IFERROR(INDEX(STPP!$D$6:$D$4207,MATCH(C2660,STPP!$C$6:$C$4207,0)),"Not Found"))</f>
        <v/>
      </c>
      <c r="E2660" s="27" t="str" cm="1">
        <f t="array" ref="E2660">IF(C2660="","",IFERROR(INDEX(STPP!$E$6:$E$4207,MATCH(C2660,STPP!$C$6:$C$4207,0)),"Not Found"))</f>
        <v/>
      </c>
      <c r="F2660" s="27" t="str" cm="1">
        <f t="array" ref="F2660">IF(C2660="","",IFERROR(INDEX(STPP!$F$6:$F$4207,MATCH(C2660,STPP!$C$6:$C$4207,0)),"Not Found"))</f>
        <v/>
      </c>
      <c r="G2660" s="25" t="str">
        <f>IF(表1[[#This Row],[No Seri]]="","",表1[[#This Row],[Deskripsi Barang]]+表1[[#This Row],[Kuantitas]]-表1[[#This Row],[Satuan]])</f>
        <v/>
      </c>
      <c r="H2660" s="28"/>
      <c r="I2660" s="25" t="str">
        <f>IF(表1[[#This Row],[Tgl NPBG]]&gt;表1[[#This Row],[Peminta]],表1[[#This Row],[Tgl NPBG]]-表1[[#This Row],[Peminta]],"")</f>
        <v/>
      </c>
      <c r="J2660" s="31"/>
    </row>
    <row r="2661" s="12" customFormat="1" customHeight="1" spans="2:10">
      <c r="B2661" s="25"/>
      <c r="C2661" s="25"/>
      <c r="D2661" s="26" t="str" cm="1">
        <f t="array" ref="D2661">IF(C2661="","",IFERROR(INDEX(STPP!$D$6:$D$4207,MATCH(C2661,STPP!$C$6:$C$4207,0)),"Not Found"))</f>
        <v/>
      </c>
      <c r="E2661" s="27" t="str" cm="1">
        <f t="array" ref="E2661">IF(C2661="","",IFERROR(INDEX(STPP!$E$6:$E$4207,MATCH(C2661,STPP!$C$6:$C$4207,0)),"Not Found"))</f>
        <v/>
      </c>
      <c r="F2661" s="27" t="str" cm="1">
        <f t="array" ref="F2661">IF(C2661="","",IFERROR(INDEX(STPP!$F$6:$F$4207,MATCH(C2661,STPP!$C$6:$C$4207,0)),"Not Found"))</f>
        <v/>
      </c>
      <c r="G2661" s="25" t="str">
        <f>IF(表1[[#This Row],[No Seri]]="","",表1[[#This Row],[Deskripsi Barang]]+表1[[#This Row],[Kuantitas]]-表1[[#This Row],[Satuan]])</f>
        <v/>
      </c>
      <c r="H2661" s="28"/>
      <c r="I2661" s="25" t="str">
        <f>IF(表1[[#This Row],[Tgl NPBG]]&gt;表1[[#This Row],[Peminta]],表1[[#This Row],[Tgl NPBG]]-表1[[#This Row],[Peminta]],"")</f>
        <v/>
      </c>
      <c r="J2661" s="31"/>
    </row>
    <row r="2662" s="12" customFormat="1" customHeight="1" spans="2:10">
      <c r="B2662" s="25"/>
      <c r="C2662" s="25"/>
      <c r="D2662" s="26" t="str" cm="1">
        <f t="array" ref="D2662">IF(C2662="","",IFERROR(INDEX(STPP!$D$6:$D$4207,MATCH(C2662,STPP!$C$6:$C$4207,0)),"Not Found"))</f>
        <v/>
      </c>
      <c r="E2662" s="27" t="str" cm="1">
        <f t="array" ref="E2662">IF(C2662="","",IFERROR(INDEX(STPP!$E$6:$E$4207,MATCH(C2662,STPP!$C$6:$C$4207,0)),"Not Found"))</f>
        <v/>
      </c>
      <c r="F2662" s="27" t="str" cm="1">
        <f t="array" ref="F2662">IF(C2662="","",IFERROR(INDEX(STPP!$F$6:$F$4207,MATCH(C2662,STPP!$C$6:$C$4207,0)),"Not Found"))</f>
        <v/>
      </c>
      <c r="G2662" s="25" t="str">
        <f>IF(表1[[#This Row],[No Seri]]="","",表1[[#This Row],[Deskripsi Barang]]+表1[[#This Row],[Kuantitas]]-表1[[#This Row],[Satuan]])</f>
        <v/>
      </c>
      <c r="H2662" s="28"/>
      <c r="I2662" s="25" t="str">
        <f>IF(表1[[#This Row],[Tgl NPBG]]&gt;表1[[#This Row],[Peminta]],表1[[#This Row],[Tgl NPBG]]-表1[[#This Row],[Peminta]],"")</f>
        <v/>
      </c>
      <c r="J2662" s="31"/>
    </row>
    <row r="2663" s="12" customFormat="1" customHeight="1" spans="2:10">
      <c r="B2663" s="25"/>
      <c r="C2663" s="25"/>
      <c r="D2663" s="26" t="str" cm="1">
        <f t="array" ref="D2663">IF(C2663="","",IFERROR(INDEX(STPP!$D$6:$D$4207,MATCH(C2663,STPP!$C$6:$C$4207,0)),"Not Found"))</f>
        <v/>
      </c>
      <c r="E2663" s="27" t="str" cm="1">
        <f t="array" ref="E2663">IF(C2663="","",IFERROR(INDEX(STPP!$E$6:$E$4207,MATCH(C2663,STPP!$C$6:$C$4207,0)),"Not Found"))</f>
        <v/>
      </c>
      <c r="F2663" s="27" t="str" cm="1">
        <f t="array" ref="F2663">IF(C2663="","",IFERROR(INDEX(STPP!$F$6:$F$4207,MATCH(C2663,STPP!$C$6:$C$4207,0)),"Not Found"))</f>
        <v/>
      </c>
      <c r="G2663" s="25" t="str">
        <f>IF(表1[[#This Row],[No Seri]]="","",表1[[#This Row],[Deskripsi Barang]]+表1[[#This Row],[Kuantitas]]-表1[[#This Row],[Satuan]])</f>
        <v/>
      </c>
      <c r="H2663" s="28"/>
      <c r="I2663" s="25" t="str">
        <f>IF(表1[[#This Row],[Tgl NPBG]]&gt;表1[[#This Row],[Peminta]],表1[[#This Row],[Tgl NPBG]]-表1[[#This Row],[Peminta]],"")</f>
        <v/>
      </c>
      <c r="J2663" s="31"/>
    </row>
    <row r="2664" s="12" customFormat="1" customHeight="1" spans="2:10">
      <c r="B2664" s="25"/>
      <c r="C2664" s="25"/>
      <c r="D2664" s="26" t="str" cm="1">
        <f t="array" ref="D2664">IF(C2664="","",IFERROR(INDEX(STPP!$D$6:$D$4207,MATCH(C2664,STPP!$C$6:$C$4207,0)),"Not Found"))</f>
        <v/>
      </c>
      <c r="E2664" s="27" t="str" cm="1">
        <f t="array" ref="E2664">IF(C2664="","",IFERROR(INDEX(STPP!$E$6:$E$4207,MATCH(C2664,STPP!$C$6:$C$4207,0)),"Not Found"))</f>
        <v/>
      </c>
      <c r="F2664" s="27" t="str" cm="1">
        <f t="array" ref="F2664">IF(C2664="","",IFERROR(INDEX(STPP!$F$6:$F$4207,MATCH(C2664,STPP!$C$6:$C$4207,0)),"Not Found"))</f>
        <v/>
      </c>
      <c r="G2664" s="25" t="str">
        <f>IF(表1[[#This Row],[No Seri]]="","",表1[[#This Row],[Deskripsi Barang]]+表1[[#This Row],[Kuantitas]]-表1[[#This Row],[Satuan]])</f>
        <v/>
      </c>
      <c r="H2664" s="28"/>
      <c r="I2664" s="25" t="str">
        <f>IF(表1[[#This Row],[Tgl NPBG]]&gt;表1[[#This Row],[Peminta]],表1[[#This Row],[Tgl NPBG]]-表1[[#This Row],[Peminta]],"")</f>
        <v/>
      </c>
      <c r="J2664" s="31"/>
    </row>
    <row r="2665" s="12" customFormat="1" customHeight="1" spans="2:10">
      <c r="B2665" s="25"/>
      <c r="C2665" s="25"/>
      <c r="D2665" s="26" t="str" cm="1">
        <f t="array" ref="D2665">IF(C2665="","",IFERROR(INDEX(STPP!$D$6:$D$4207,MATCH(C2665,STPP!$C$6:$C$4207,0)),"Not Found"))</f>
        <v/>
      </c>
      <c r="E2665" s="27" t="str" cm="1">
        <f t="array" ref="E2665">IF(C2665="","",IFERROR(INDEX(STPP!$E$6:$E$4207,MATCH(C2665,STPP!$C$6:$C$4207,0)),"Not Found"))</f>
        <v/>
      </c>
      <c r="F2665" s="27" t="str" cm="1">
        <f t="array" ref="F2665">IF(C2665="","",IFERROR(INDEX(STPP!$F$6:$F$4207,MATCH(C2665,STPP!$C$6:$C$4207,0)),"Not Found"))</f>
        <v/>
      </c>
      <c r="G2665" s="25" t="str">
        <f>IF(表1[[#This Row],[No Seri]]="","",表1[[#This Row],[Deskripsi Barang]]+表1[[#This Row],[Kuantitas]]-表1[[#This Row],[Satuan]])</f>
        <v/>
      </c>
      <c r="H2665" s="28"/>
      <c r="I2665" s="25" t="str">
        <f>IF(表1[[#This Row],[Tgl NPBG]]&gt;表1[[#This Row],[Peminta]],表1[[#This Row],[Tgl NPBG]]-表1[[#This Row],[Peminta]],"")</f>
        <v/>
      </c>
      <c r="J2665" s="31"/>
    </row>
    <row r="2666" s="12" customFormat="1" customHeight="1" spans="2:10">
      <c r="B2666" s="25"/>
      <c r="C2666" s="25"/>
      <c r="D2666" s="26" t="str" cm="1">
        <f t="array" ref="D2666">IF(C2666="","",IFERROR(INDEX(STPP!$D$6:$D$4207,MATCH(C2666,STPP!$C$6:$C$4207,0)),"Not Found"))</f>
        <v/>
      </c>
      <c r="E2666" s="27" t="str" cm="1">
        <f t="array" ref="E2666">IF(C2666="","",IFERROR(INDEX(STPP!$E$6:$E$4207,MATCH(C2666,STPP!$C$6:$C$4207,0)),"Not Found"))</f>
        <v/>
      </c>
      <c r="F2666" s="27" t="str" cm="1">
        <f t="array" ref="F2666">IF(C2666="","",IFERROR(INDEX(STPP!$F$6:$F$4207,MATCH(C2666,STPP!$C$6:$C$4207,0)),"Not Found"))</f>
        <v/>
      </c>
      <c r="G2666" s="25" t="str">
        <f>IF(表1[[#This Row],[No Seri]]="","",表1[[#This Row],[Deskripsi Barang]]+表1[[#This Row],[Kuantitas]]-表1[[#This Row],[Satuan]])</f>
        <v/>
      </c>
      <c r="H2666" s="28"/>
      <c r="I2666" s="25" t="str">
        <f>IF(表1[[#This Row],[Tgl NPBG]]&gt;表1[[#This Row],[Peminta]],表1[[#This Row],[Tgl NPBG]]-表1[[#This Row],[Peminta]],"")</f>
        <v/>
      </c>
      <c r="J2666" s="31"/>
    </row>
    <row r="2667" s="12" customFormat="1" customHeight="1" spans="2:10">
      <c r="B2667" s="25"/>
      <c r="C2667" s="25"/>
      <c r="D2667" s="26" t="str" cm="1">
        <f t="array" ref="D2667">IF(C2667="","",IFERROR(INDEX(STPP!$D$6:$D$4207,MATCH(C2667,STPP!$C$6:$C$4207,0)),"Not Found"))</f>
        <v/>
      </c>
      <c r="E2667" s="27" t="str" cm="1">
        <f t="array" ref="E2667">IF(C2667="","",IFERROR(INDEX(STPP!$E$6:$E$4207,MATCH(C2667,STPP!$C$6:$C$4207,0)),"Not Found"))</f>
        <v/>
      </c>
      <c r="F2667" s="27" t="str" cm="1">
        <f t="array" ref="F2667">IF(C2667="","",IFERROR(INDEX(STPP!$F$6:$F$4207,MATCH(C2667,STPP!$C$6:$C$4207,0)),"Not Found"))</f>
        <v/>
      </c>
      <c r="G2667" s="25" t="str">
        <f>IF(表1[[#This Row],[No Seri]]="","",表1[[#This Row],[Deskripsi Barang]]+表1[[#This Row],[Kuantitas]]-表1[[#This Row],[Satuan]])</f>
        <v/>
      </c>
      <c r="H2667" s="28"/>
      <c r="I2667" s="25" t="str">
        <f>IF(表1[[#This Row],[Tgl NPBG]]&gt;表1[[#This Row],[Peminta]],表1[[#This Row],[Tgl NPBG]]-表1[[#This Row],[Peminta]],"")</f>
        <v/>
      </c>
      <c r="J2667" s="31"/>
    </row>
    <row r="2668" s="12" customFormat="1" customHeight="1" spans="2:10">
      <c r="B2668" s="25"/>
      <c r="C2668" s="25"/>
      <c r="D2668" s="26" t="str" cm="1">
        <f t="array" ref="D2668">IF(C2668="","",IFERROR(INDEX(STPP!$D$6:$D$4207,MATCH(C2668,STPP!$C$6:$C$4207,0)),"Not Found"))</f>
        <v/>
      </c>
      <c r="E2668" s="27" t="str" cm="1">
        <f t="array" ref="E2668">IF(C2668="","",IFERROR(INDEX(STPP!$E$6:$E$4207,MATCH(C2668,STPP!$C$6:$C$4207,0)),"Not Found"))</f>
        <v/>
      </c>
      <c r="F2668" s="27" t="str" cm="1">
        <f t="array" ref="F2668">IF(C2668="","",IFERROR(INDEX(STPP!$F$6:$F$4207,MATCH(C2668,STPP!$C$6:$C$4207,0)),"Not Found"))</f>
        <v/>
      </c>
      <c r="G2668" s="25" t="str">
        <f>IF(表1[[#This Row],[No Seri]]="","",表1[[#This Row],[Deskripsi Barang]]+表1[[#This Row],[Kuantitas]]-表1[[#This Row],[Satuan]])</f>
        <v/>
      </c>
      <c r="H2668" s="28"/>
      <c r="I2668" s="25" t="str">
        <f>IF(表1[[#This Row],[Tgl NPBG]]&gt;表1[[#This Row],[Peminta]],表1[[#This Row],[Tgl NPBG]]-表1[[#This Row],[Peminta]],"")</f>
        <v/>
      </c>
      <c r="J2668" s="31"/>
    </row>
    <row r="2669" s="12" customFormat="1" customHeight="1" spans="2:10">
      <c r="B2669" s="25"/>
      <c r="C2669" s="25"/>
      <c r="D2669" s="26" t="str" cm="1">
        <f t="array" ref="D2669">IF(C2669="","",IFERROR(INDEX(STPP!$D$6:$D$4207,MATCH(C2669,STPP!$C$6:$C$4207,0)),"Not Found"))</f>
        <v/>
      </c>
      <c r="E2669" s="27" t="str" cm="1">
        <f t="array" ref="E2669">IF(C2669="","",IFERROR(INDEX(STPP!$E$6:$E$4207,MATCH(C2669,STPP!$C$6:$C$4207,0)),"Not Found"))</f>
        <v/>
      </c>
      <c r="F2669" s="27" t="str" cm="1">
        <f t="array" ref="F2669">IF(C2669="","",IFERROR(INDEX(STPP!$F$6:$F$4207,MATCH(C2669,STPP!$C$6:$C$4207,0)),"Not Found"))</f>
        <v/>
      </c>
      <c r="G2669" s="25" t="str">
        <f>IF(表1[[#This Row],[No Seri]]="","",表1[[#This Row],[Deskripsi Barang]]+表1[[#This Row],[Kuantitas]]-表1[[#This Row],[Satuan]])</f>
        <v/>
      </c>
      <c r="H2669" s="28"/>
      <c r="I2669" s="25" t="str">
        <f>IF(表1[[#This Row],[Tgl NPBG]]&gt;表1[[#This Row],[Peminta]],表1[[#This Row],[Tgl NPBG]]-表1[[#This Row],[Peminta]],"")</f>
        <v/>
      </c>
      <c r="J2669" s="31"/>
    </row>
    <row r="2670" s="12" customFormat="1" customHeight="1" spans="2:10">
      <c r="B2670" s="25"/>
      <c r="C2670" s="25"/>
      <c r="D2670" s="26" t="str" cm="1">
        <f t="array" ref="D2670">IF(C2670="","",IFERROR(INDEX(STPP!$D$6:$D$4207,MATCH(C2670,STPP!$C$6:$C$4207,0)),"Not Found"))</f>
        <v/>
      </c>
      <c r="E2670" s="27" t="str" cm="1">
        <f t="array" ref="E2670">IF(C2670="","",IFERROR(INDEX(STPP!$E$6:$E$4207,MATCH(C2670,STPP!$C$6:$C$4207,0)),"Not Found"))</f>
        <v/>
      </c>
      <c r="F2670" s="27" t="str" cm="1">
        <f t="array" ref="F2670">IF(C2670="","",IFERROR(INDEX(STPP!$F$6:$F$4207,MATCH(C2670,STPP!$C$6:$C$4207,0)),"Not Found"))</f>
        <v/>
      </c>
      <c r="G2670" s="25" t="str">
        <f>IF(表1[[#This Row],[No Seri]]="","",表1[[#This Row],[Deskripsi Barang]]+表1[[#This Row],[Kuantitas]]-表1[[#This Row],[Satuan]])</f>
        <v/>
      </c>
      <c r="H2670" s="28"/>
      <c r="I2670" s="25" t="str">
        <f>IF(表1[[#This Row],[Tgl NPBG]]&gt;表1[[#This Row],[Peminta]],表1[[#This Row],[Tgl NPBG]]-表1[[#This Row],[Peminta]],"")</f>
        <v/>
      </c>
      <c r="J2670" s="31"/>
    </row>
    <row r="2671" s="12" customFormat="1" customHeight="1" spans="2:10">
      <c r="B2671" s="25"/>
      <c r="C2671" s="25"/>
      <c r="D2671" s="26" t="str" cm="1">
        <f t="array" ref="D2671">IF(C2671="","",IFERROR(INDEX(STPP!$D$6:$D$4207,MATCH(C2671,STPP!$C$6:$C$4207,0)),"Not Found"))</f>
        <v/>
      </c>
      <c r="E2671" s="27" t="str" cm="1">
        <f t="array" ref="E2671">IF(C2671="","",IFERROR(INDEX(STPP!$E$6:$E$4207,MATCH(C2671,STPP!$C$6:$C$4207,0)),"Not Found"))</f>
        <v/>
      </c>
      <c r="F2671" s="27" t="str" cm="1">
        <f t="array" ref="F2671">IF(C2671="","",IFERROR(INDEX(STPP!$F$6:$F$4207,MATCH(C2671,STPP!$C$6:$C$4207,0)),"Not Found"))</f>
        <v/>
      </c>
      <c r="G2671" s="25" t="str">
        <f>IF(表1[[#This Row],[No Seri]]="","",表1[[#This Row],[Deskripsi Barang]]+表1[[#This Row],[Kuantitas]]-表1[[#This Row],[Satuan]])</f>
        <v/>
      </c>
      <c r="H2671" s="28"/>
      <c r="I2671" s="25" t="str">
        <f>IF(表1[[#This Row],[Tgl NPBG]]&gt;表1[[#This Row],[Peminta]],表1[[#This Row],[Tgl NPBG]]-表1[[#This Row],[Peminta]],"")</f>
        <v/>
      </c>
      <c r="J2671" s="31"/>
    </row>
    <row r="2672" s="12" customFormat="1" customHeight="1" spans="2:10">
      <c r="B2672" s="25"/>
      <c r="C2672" s="25"/>
      <c r="D2672" s="26" t="str" cm="1">
        <f t="array" ref="D2672">IF(C2672="","",IFERROR(INDEX(STPP!$D$6:$D$4207,MATCH(C2672,STPP!$C$6:$C$4207,0)),"Not Found"))</f>
        <v/>
      </c>
      <c r="E2672" s="27" t="str" cm="1">
        <f t="array" ref="E2672">IF(C2672="","",IFERROR(INDEX(STPP!$E$6:$E$4207,MATCH(C2672,STPP!$C$6:$C$4207,0)),"Not Found"))</f>
        <v/>
      </c>
      <c r="F2672" s="27" t="str" cm="1">
        <f t="array" ref="F2672">IF(C2672="","",IFERROR(INDEX(STPP!$F$6:$F$4207,MATCH(C2672,STPP!$C$6:$C$4207,0)),"Not Found"))</f>
        <v/>
      </c>
      <c r="G2672" s="25" t="str">
        <f>IF(表1[[#This Row],[No Seri]]="","",表1[[#This Row],[Deskripsi Barang]]+表1[[#This Row],[Kuantitas]]-表1[[#This Row],[Satuan]])</f>
        <v/>
      </c>
      <c r="H2672" s="28"/>
      <c r="I2672" s="25" t="str">
        <f>IF(表1[[#This Row],[Tgl NPBG]]&gt;表1[[#This Row],[Peminta]],表1[[#This Row],[Tgl NPBG]]-表1[[#This Row],[Peminta]],"")</f>
        <v/>
      </c>
      <c r="J2672" s="31"/>
    </row>
    <row r="2673" s="12" customFormat="1" customHeight="1" spans="2:10">
      <c r="B2673" s="25"/>
      <c r="C2673" s="25"/>
      <c r="D2673" s="26" t="str" cm="1">
        <f t="array" ref="D2673">IF(C2673="","",IFERROR(INDEX(STPP!$D$6:$D$4207,MATCH(C2673,STPP!$C$6:$C$4207,0)),"Not Found"))</f>
        <v/>
      </c>
      <c r="E2673" s="27" t="str" cm="1">
        <f t="array" ref="E2673">IF(C2673="","",IFERROR(INDEX(STPP!$E$6:$E$4207,MATCH(C2673,STPP!$C$6:$C$4207,0)),"Not Found"))</f>
        <v/>
      </c>
      <c r="F2673" s="27" t="str" cm="1">
        <f t="array" ref="F2673">IF(C2673="","",IFERROR(INDEX(STPP!$F$6:$F$4207,MATCH(C2673,STPP!$C$6:$C$4207,0)),"Not Found"))</f>
        <v/>
      </c>
      <c r="G2673" s="25" t="str">
        <f>IF(表1[[#This Row],[No Seri]]="","",表1[[#This Row],[Deskripsi Barang]]+表1[[#This Row],[Kuantitas]]-表1[[#This Row],[Satuan]])</f>
        <v/>
      </c>
      <c r="H2673" s="28"/>
      <c r="I2673" s="25" t="str">
        <f>IF(表1[[#This Row],[Tgl NPBG]]&gt;表1[[#This Row],[Peminta]],表1[[#This Row],[Tgl NPBG]]-表1[[#This Row],[Peminta]],"")</f>
        <v/>
      </c>
      <c r="J2673" s="31"/>
    </row>
    <row r="2674" s="12" customFormat="1" customHeight="1" spans="2:10">
      <c r="B2674" s="25"/>
      <c r="C2674" s="25"/>
      <c r="D2674" s="26" t="str" cm="1">
        <f t="array" ref="D2674">IF(C2674="","",IFERROR(INDEX(STPP!$D$6:$D$4207,MATCH(C2674,STPP!$C$6:$C$4207,0)),"Not Found"))</f>
        <v/>
      </c>
      <c r="E2674" s="27" t="str" cm="1">
        <f t="array" ref="E2674">IF(C2674="","",IFERROR(INDEX(STPP!$E$6:$E$4207,MATCH(C2674,STPP!$C$6:$C$4207,0)),"Not Found"))</f>
        <v/>
      </c>
      <c r="F2674" s="27" t="str" cm="1">
        <f t="array" ref="F2674">IF(C2674="","",IFERROR(INDEX(STPP!$F$6:$F$4207,MATCH(C2674,STPP!$C$6:$C$4207,0)),"Not Found"))</f>
        <v/>
      </c>
      <c r="G2674" s="25" t="str">
        <f>IF(表1[[#This Row],[No Seri]]="","",表1[[#This Row],[Deskripsi Barang]]+表1[[#This Row],[Kuantitas]]-表1[[#This Row],[Satuan]])</f>
        <v/>
      </c>
      <c r="H2674" s="28"/>
      <c r="I2674" s="25" t="str">
        <f>IF(表1[[#This Row],[Tgl NPBG]]&gt;表1[[#This Row],[Peminta]],表1[[#This Row],[Tgl NPBG]]-表1[[#This Row],[Peminta]],"")</f>
        <v/>
      </c>
      <c r="J2674" s="31"/>
    </row>
    <row r="2675" s="12" customFormat="1" customHeight="1" spans="2:10">
      <c r="B2675" s="25"/>
      <c r="C2675" s="25"/>
      <c r="D2675" s="26" t="str" cm="1">
        <f t="array" ref="D2675">IF(C2675="","",IFERROR(INDEX(STPP!$D$6:$D$4207,MATCH(C2675,STPP!$C$6:$C$4207,0)),"Not Found"))</f>
        <v/>
      </c>
      <c r="E2675" s="27" t="str" cm="1">
        <f t="array" ref="E2675">IF(C2675="","",IFERROR(INDEX(STPP!$E$6:$E$4207,MATCH(C2675,STPP!$C$6:$C$4207,0)),"Not Found"))</f>
        <v/>
      </c>
      <c r="F2675" s="27" t="str" cm="1">
        <f t="array" ref="F2675">IF(C2675="","",IFERROR(INDEX(STPP!$F$6:$F$4207,MATCH(C2675,STPP!$C$6:$C$4207,0)),"Not Found"))</f>
        <v/>
      </c>
      <c r="G2675" s="25" t="str">
        <f>IF(表1[[#This Row],[No Seri]]="","",表1[[#This Row],[Deskripsi Barang]]+表1[[#This Row],[Kuantitas]]-表1[[#This Row],[Satuan]])</f>
        <v/>
      </c>
      <c r="H2675" s="28"/>
      <c r="I2675" s="25" t="str">
        <f>IF(表1[[#This Row],[Tgl NPBG]]&gt;表1[[#This Row],[Peminta]],表1[[#This Row],[Tgl NPBG]]-表1[[#This Row],[Peminta]],"")</f>
        <v/>
      </c>
      <c r="J2675" s="31"/>
    </row>
    <row r="2676" s="12" customFormat="1" customHeight="1" spans="2:10">
      <c r="B2676" s="25"/>
      <c r="C2676" s="25"/>
      <c r="D2676" s="26" t="str" cm="1">
        <f t="array" ref="D2676">IF(C2676="","",IFERROR(INDEX(STPP!$D$6:$D$4207,MATCH(C2676,STPP!$C$6:$C$4207,0)),"Not Found"))</f>
        <v/>
      </c>
      <c r="E2676" s="27" t="str" cm="1">
        <f t="array" ref="E2676">IF(C2676="","",IFERROR(INDEX(STPP!$E$6:$E$4207,MATCH(C2676,STPP!$C$6:$C$4207,0)),"Not Found"))</f>
        <v/>
      </c>
      <c r="F2676" s="27" t="str" cm="1">
        <f t="array" ref="F2676">IF(C2676="","",IFERROR(INDEX(STPP!$F$6:$F$4207,MATCH(C2676,STPP!$C$6:$C$4207,0)),"Not Found"))</f>
        <v/>
      </c>
      <c r="G2676" s="25" t="str">
        <f>IF(表1[[#This Row],[No Seri]]="","",表1[[#This Row],[Deskripsi Barang]]+表1[[#This Row],[Kuantitas]]-表1[[#This Row],[Satuan]])</f>
        <v/>
      </c>
      <c r="H2676" s="28"/>
      <c r="I2676" s="25" t="str">
        <f>IF(表1[[#This Row],[Tgl NPBG]]&gt;表1[[#This Row],[Peminta]],表1[[#This Row],[Tgl NPBG]]-表1[[#This Row],[Peminta]],"")</f>
        <v/>
      </c>
      <c r="J2676" s="31"/>
    </row>
    <row r="2677" s="12" customFormat="1" customHeight="1" spans="2:10">
      <c r="B2677" s="25"/>
      <c r="C2677" s="25"/>
      <c r="D2677" s="26" t="str" cm="1">
        <f t="array" ref="D2677">IF(C2677="","",IFERROR(INDEX(STPP!$D$6:$D$4207,MATCH(C2677,STPP!$C$6:$C$4207,0)),"Not Found"))</f>
        <v/>
      </c>
      <c r="E2677" s="27" t="str" cm="1">
        <f t="array" ref="E2677">IF(C2677="","",IFERROR(INDEX(STPP!$E$6:$E$4207,MATCH(C2677,STPP!$C$6:$C$4207,0)),"Not Found"))</f>
        <v/>
      </c>
      <c r="F2677" s="27" t="str" cm="1">
        <f t="array" ref="F2677">IF(C2677="","",IFERROR(INDEX(STPP!$F$6:$F$4207,MATCH(C2677,STPP!$C$6:$C$4207,0)),"Not Found"))</f>
        <v/>
      </c>
      <c r="G2677" s="25" t="str">
        <f>IF(表1[[#This Row],[No Seri]]="","",表1[[#This Row],[Deskripsi Barang]]+表1[[#This Row],[Kuantitas]]-表1[[#This Row],[Satuan]])</f>
        <v/>
      </c>
      <c r="H2677" s="28"/>
      <c r="I2677" s="25" t="str">
        <f>IF(表1[[#This Row],[Tgl NPBG]]&gt;表1[[#This Row],[Peminta]],表1[[#This Row],[Tgl NPBG]]-表1[[#This Row],[Peminta]],"")</f>
        <v/>
      </c>
      <c r="J2677" s="31"/>
    </row>
    <row r="2678" s="12" customFormat="1" customHeight="1" spans="2:10">
      <c r="B2678" s="25"/>
      <c r="C2678" s="25"/>
      <c r="D2678" s="26" t="str" cm="1">
        <f t="array" ref="D2678">IF(C2678="","",IFERROR(INDEX(STPP!$D$6:$D$4207,MATCH(C2678,STPP!$C$6:$C$4207,0)),"Not Found"))</f>
        <v/>
      </c>
      <c r="E2678" s="27" t="str" cm="1">
        <f t="array" ref="E2678">IF(C2678="","",IFERROR(INDEX(STPP!$E$6:$E$4207,MATCH(C2678,STPP!$C$6:$C$4207,0)),"Not Found"))</f>
        <v/>
      </c>
      <c r="F2678" s="27" t="str" cm="1">
        <f t="array" ref="F2678">IF(C2678="","",IFERROR(INDEX(STPP!$F$6:$F$4207,MATCH(C2678,STPP!$C$6:$C$4207,0)),"Not Found"))</f>
        <v/>
      </c>
      <c r="G2678" s="25" t="str">
        <f>IF(表1[[#This Row],[No Seri]]="","",表1[[#This Row],[Deskripsi Barang]]+表1[[#This Row],[Kuantitas]]-表1[[#This Row],[Satuan]])</f>
        <v/>
      </c>
      <c r="H2678" s="28"/>
      <c r="I2678" s="25" t="str">
        <f>IF(表1[[#This Row],[Tgl NPBG]]&gt;表1[[#This Row],[Peminta]],表1[[#This Row],[Tgl NPBG]]-表1[[#This Row],[Peminta]],"")</f>
        <v/>
      </c>
      <c r="J2678" s="31"/>
    </row>
    <row r="2679" s="12" customFormat="1" customHeight="1" spans="2:10">
      <c r="B2679" s="25"/>
      <c r="C2679" s="25"/>
      <c r="D2679" s="26" t="str" cm="1">
        <f t="array" ref="D2679">IF(C2679="","",IFERROR(INDEX(STPP!$D$6:$D$4207,MATCH(C2679,STPP!$C$6:$C$4207,0)),"Not Found"))</f>
        <v/>
      </c>
      <c r="E2679" s="27" t="str" cm="1">
        <f t="array" ref="E2679">IF(C2679="","",IFERROR(INDEX(STPP!$E$6:$E$4207,MATCH(C2679,STPP!$C$6:$C$4207,0)),"Not Found"))</f>
        <v/>
      </c>
      <c r="F2679" s="27" t="str" cm="1">
        <f t="array" ref="F2679">IF(C2679="","",IFERROR(INDEX(STPP!$F$6:$F$4207,MATCH(C2679,STPP!$C$6:$C$4207,0)),"Not Found"))</f>
        <v/>
      </c>
      <c r="G2679" s="25" t="str">
        <f>IF(表1[[#This Row],[No Seri]]="","",表1[[#This Row],[Deskripsi Barang]]+表1[[#This Row],[Kuantitas]]-表1[[#This Row],[Satuan]])</f>
        <v/>
      </c>
      <c r="H2679" s="28"/>
      <c r="I2679" s="25" t="str">
        <f>IF(表1[[#This Row],[Tgl NPBG]]&gt;表1[[#This Row],[Peminta]],表1[[#This Row],[Tgl NPBG]]-表1[[#This Row],[Peminta]],"")</f>
        <v/>
      </c>
      <c r="J2679" s="31"/>
    </row>
    <row r="2680" s="12" customFormat="1" customHeight="1" spans="2:10">
      <c r="B2680" s="25"/>
      <c r="C2680" s="25"/>
      <c r="D2680" s="26" t="str" cm="1">
        <f t="array" ref="D2680">IF(C2680="","",IFERROR(INDEX(STPP!$D$6:$D$4207,MATCH(C2680,STPP!$C$6:$C$4207,0)),"Not Found"))</f>
        <v/>
      </c>
      <c r="E2680" s="27" t="str" cm="1">
        <f t="array" ref="E2680">IF(C2680="","",IFERROR(INDEX(STPP!$E$6:$E$4207,MATCH(C2680,STPP!$C$6:$C$4207,0)),"Not Found"))</f>
        <v/>
      </c>
      <c r="F2680" s="27" t="str" cm="1">
        <f t="array" ref="F2680">IF(C2680="","",IFERROR(INDEX(STPP!$F$6:$F$4207,MATCH(C2680,STPP!$C$6:$C$4207,0)),"Not Found"))</f>
        <v/>
      </c>
      <c r="G2680" s="25" t="str">
        <f>IF(表1[[#This Row],[No Seri]]="","",表1[[#This Row],[Deskripsi Barang]]+表1[[#This Row],[Kuantitas]]-表1[[#This Row],[Satuan]])</f>
        <v/>
      </c>
      <c r="H2680" s="28"/>
      <c r="I2680" s="25" t="str">
        <f>IF(表1[[#This Row],[Tgl NPBG]]&gt;表1[[#This Row],[Peminta]],表1[[#This Row],[Tgl NPBG]]-表1[[#This Row],[Peminta]],"")</f>
        <v/>
      </c>
      <c r="J2680" s="31"/>
    </row>
    <row r="2681" s="12" customFormat="1" customHeight="1" spans="2:10">
      <c r="B2681" s="25"/>
      <c r="C2681" s="25"/>
      <c r="D2681" s="26" t="str" cm="1">
        <f t="array" ref="D2681">IF(C2681="","",IFERROR(INDEX(STPP!$D$6:$D$4207,MATCH(C2681,STPP!$C$6:$C$4207,0)),"Not Found"))</f>
        <v/>
      </c>
      <c r="E2681" s="27" t="str" cm="1">
        <f t="array" ref="E2681">IF(C2681="","",IFERROR(INDEX(STPP!$E$6:$E$4207,MATCH(C2681,STPP!$C$6:$C$4207,0)),"Not Found"))</f>
        <v/>
      </c>
      <c r="F2681" s="27" t="str" cm="1">
        <f t="array" ref="F2681">IF(C2681="","",IFERROR(INDEX(STPP!$F$6:$F$4207,MATCH(C2681,STPP!$C$6:$C$4207,0)),"Not Found"))</f>
        <v/>
      </c>
      <c r="G2681" s="25" t="str">
        <f>IF(表1[[#This Row],[No Seri]]="","",表1[[#This Row],[Deskripsi Barang]]+表1[[#This Row],[Kuantitas]]-表1[[#This Row],[Satuan]])</f>
        <v/>
      </c>
      <c r="H2681" s="28"/>
      <c r="I2681" s="25" t="str">
        <f>IF(表1[[#This Row],[Tgl NPBG]]&gt;表1[[#This Row],[Peminta]],表1[[#This Row],[Tgl NPBG]]-表1[[#This Row],[Peminta]],"")</f>
        <v/>
      </c>
      <c r="J2681" s="31"/>
    </row>
    <row r="2682" s="12" customFormat="1" customHeight="1" spans="2:10">
      <c r="B2682" s="25"/>
      <c r="C2682" s="25"/>
      <c r="D2682" s="26" t="str" cm="1">
        <f t="array" ref="D2682">IF(C2682="","",IFERROR(INDEX(STPP!$D$6:$D$4207,MATCH(C2682,STPP!$C$6:$C$4207,0)),"Not Found"))</f>
        <v/>
      </c>
      <c r="E2682" s="27" t="str" cm="1">
        <f t="array" ref="E2682">IF(C2682="","",IFERROR(INDEX(STPP!$E$6:$E$4207,MATCH(C2682,STPP!$C$6:$C$4207,0)),"Not Found"))</f>
        <v/>
      </c>
      <c r="F2682" s="27" t="str" cm="1">
        <f t="array" ref="F2682">IF(C2682="","",IFERROR(INDEX(STPP!$F$6:$F$4207,MATCH(C2682,STPP!$C$6:$C$4207,0)),"Not Found"))</f>
        <v/>
      </c>
      <c r="G2682" s="25" t="str">
        <f>IF(表1[[#This Row],[No Seri]]="","",表1[[#This Row],[Deskripsi Barang]]+表1[[#This Row],[Kuantitas]]-表1[[#This Row],[Satuan]])</f>
        <v/>
      </c>
      <c r="H2682" s="28"/>
      <c r="I2682" s="25" t="str">
        <f>IF(表1[[#This Row],[Tgl NPBG]]&gt;表1[[#This Row],[Peminta]],表1[[#This Row],[Tgl NPBG]]-表1[[#This Row],[Peminta]],"")</f>
        <v/>
      </c>
      <c r="J2682" s="31"/>
    </row>
    <row r="2683" s="12" customFormat="1" customHeight="1" spans="2:10">
      <c r="B2683" s="25"/>
      <c r="C2683" s="25"/>
      <c r="D2683" s="26" t="str" cm="1">
        <f t="array" ref="D2683">IF(C2683="","",IFERROR(INDEX(STPP!$D$6:$D$4207,MATCH(C2683,STPP!$C$6:$C$4207,0)),"Not Found"))</f>
        <v/>
      </c>
      <c r="E2683" s="27" t="str" cm="1">
        <f t="array" ref="E2683">IF(C2683="","",IFERROR(INDEX(STPP!$E$6:$E$4207,MATCH(C2683,STPP!$C$6:$C$4207,0)),"Not Found"))</f>
        <v/>
      </c>
      <c r="F2683" s="27" t="str" cm="1">
        <f t="array" ref="F2683">IF(C2683="","",IFERROR(INDEX(STPP!$F$6:$F$4207,MATCH(C2683,STPP!$C$6:$C$4207,0)),"Not Found"))</f>
        <v/>
      </c>
      <c r="G2683" s="25" t="str">
        <f>IF(表1[[#This Row],[No Seri]]="","",表1[[#This Row],[Deskripsi Barang]]+表1[[#This Row],[Kuantitas]]-表1[[#This Row],[Satuan]])</f>
        <v/>
      </c>
      <c r="H2683" s="28"/>
      <c r="I2683" s="25" t="str">
        <f>IF(表1[[#This Row],[Tgl NPBG]]&gt;表1[[#This Row],[Peminta]],表1[[#This Row],[Tgl NPBG]]-表1[[#This Row],[Peminta]],"")</f>
        <v/>
      </c>
      <c r="J2683" s="31"/>
    </row>
    <row r="2684" s="12" customFormat="1" customHeight="1" spans="2:10">
      <c r="B2684" s="25"/>
      <c r="C2684" s="25"/>
      <c r="D2684" s="26" t="str" cm="1">
        <f t="array" ref="D2684">IF(C2684="","",IFERROR(INDEX(STPP!$D$6:$D$4207,MATCH(C2684,STPP!$C$6:$C$4207,0)),"Not Found"))</f>
        <v/>
      </c>
      <c r="E2684" s="27" t="str" cm="1">
        <f t="array" ref="E2684">IF(C2684="","",IFERROR(INDEX(STPP!$E$6:$E$4207,MATCH(C2684,STPP!$C$6:$C$4207,0)),"Not Found"))</f>
        <v/>
      </c>
      <c r="F2684" s="27" t="str" cm="1">
        <f t="array" ref="F2684">IF(C2684="","",IFERROR(INDEX(STPP!$F$6:$F$4207,MATCH(C2684,STPP!$C$6:$C$4207,0)),"Not Found"))</f>
        <v/>
      </c>
      <c r="G2684" s="25" t="str">
        <f>IF(表1[[#This Row],[No Seri]]="","",表1[[#This Row],[Deskripsi Barang]]+表1[[#This Row],[Kuantitas]]-表1[[#This Row],[Satuan]])</f>
        <v/>
      </c>
      <c r="H2684" s="28"/>
      <c r="I2684" s="25" t="str">
        <f>IF(表1[[#This Row],[Tgl NPBG]]&gt;表1[[#This Row],[Peminta]],表1[[#This Row],[Tgl NPBG]]-表1[[#This Row],[Peminta]],"")</f>
        <v/>
      </c>
      <c r="J2684" s="31"/>
    </row>
    <row r="2685" s="12" customFormat="1" customHeight="1" spans="2:10">
      <c r="B2685" s="25"/>
      <c r="C2685" s="25"/>
      <c r="D2685" s="26" t="str" cm="1">
        <f t="array" ref="D2685">IF(C2685="","",IFERROR(INDEX(STPP!$D$6:$D$4207,MATCH(C2685,STPP!$C$6:$C$4207,0)),"Not Found"))</f>
        <v/>
      </c>
      <c r="E2685" s="27" t="str" cm="1">
        <f t="array" ref="E2685">IF(C2685="","",IFERROR(INDEX(STPP!$E$6:$E$4207,MATCH(C2685,STPP!$C$6:$C$4207,0)),"Not Found"))</f>
        <v/>
      </c>
      <c r="F2685" s="27" t="str" cm="1">
        <f t="array" ref="F2685">IF(C2685="","",IFERROR(INDEX(STPP!$F$6:$F$4207,MATCH(C2685,STPP!$C$6:$C$4207,0)),"Not Found"))</f>
        <v/>
      </c>
      <c r="G2685" s="25" t="str">
        <f>IF(表1[[#This Row],[No Seri]]="","",表1[[#This Row],[Deskripsi Barang]]+表1[[#This Row],[Kuantitas]]-表1[[#This Row],[Satuan]])</f>
        <v/>
      </c>
      <c r="H2685" s="28"/>
      <c r="I2685" s="25" t="str">
        <f>IF(表1[[#This Row],[Tgl NPBG]]&gt;表1[[#This Row],[Peminta]],表1[[#This Row],[Tgl NPBG]]-表1[[#This Row],[Peminta]],"")</f>
        <v/>
      </c>
      <c r="J2685" s="31"/>
    </row>
    <row r="2686" s="12" customFormat="1" customHeight="1" spans="2:10">
      <c r="B2686" s="25"/>
      <c r="C2686" s="25"/>
      <c r="D2686" s="26" t="str" cm="1">
        <f t="array" ref="D2686">IF(C2686="","",IFERROR(INDEX(STPP!$D$6:$D$4207,MATCH(C2686,STPP!$C$6:$C$4207,0)),"Not Found"))</f>
        <v/>
      </c>
      <c r="E2686" s="27" t="str" cm="1">
        <f t="array" ref="E2686">IF(C2686="","",IFERROR(INDEX(STPP!$E$6:$E$4207,MATCH(C2686,STPP!$C$6:$C$4207,0)),"Not Found"))</f>
        <v/>
      </c>
      <c r="F2686" s="27" t="str" cm="1">
        <f t="array" ref="F2686">IF(C2686="","",IFERROR(INDEX(STPP!$F$6:$F$4207,MATCH(C2686,STPP!$C$6:$C$4207,0)),"Not Found"))</f>
        <v/>
      </c>
      <c r="G2686" s="25" t="str">
        <f>IF(表1[[#This Row],[No Seri]]="","",表1[[#This Row],[Deskripsi Barang]]+表1[[#This Row],[Kuantitas]]-表1[[#This Row],[Satuan]])</f>
        <v/>
      </c>
      <c r="H2686" s="28"/>
      <c r="I2686" s="25" t="str">
        <f>IF(表1[[#This Row],[Tgl NPBG]]&gt;表1[[#This Row],[Peminta]],表1[[#This Row],[Tgl NPBG]]-表1[[#This Row],[Peminta]],"")</f>
        <v/>
      </c>
      <c r="J2686" s="31"/>
    </row>
    <row r="2687" s="12" customFormat="1" customHeight="1" spans="2:10">
      <c r="B2687" s="25"/>
      <c r="C2687" s="25"/>
      <c r="D2687" s="26" t="str" cm="1">
        <f t="array" ref="D2687">IF(C2687="","",IFERROR(INDEX(STPP!$D$6:$D$4207,MATCH(C2687,STPP!$C$6:$C$4207,0)),"Not Found"))</f>
        <v/>
      </c>
      <c r="E2687" s="27" t="str" cm="1">
        <f t="array" ref="E2687">IF(C2687="","",IFERROR(INDEX(STPP!$E$6:$E$4207,MATCH(C2687,STPP!$C$6:$C$4207,0)),"Not Found"))</f>
        <v/>
      </c>
      <c r="F2687" s="27" t="str" cm="1">
        <f t="array" ref="F2687">IF(C2687="","",IFERROR(INDEX(STPP!$F$6:$F$4207,MATCH(C2687,STPP!$C$6:$C$4207,0)),"Not Found"))</f>
        <v/>
      </c>
      <c r="G2687" s="25" t="str">
        <f>IF(表1[[#This Row],[No Seri]]="","",表1[[#This Row],[Deskripsi Barang]]+表1[[#This Row],[Kuantitas]]-表1[[#This Row],[Satuan]])</f>
        <v/>
      </c>
      <c r="H2687" s="28"/>
      <c r="I2687" s="25" t="str">
        <f>IF(表1[[#This Row],[Tgl NPBG]]&gt;表1[[#This Row],[Peminta]],表1[[#This Row],[Tgl NPBG]]-表1[[#This Row],[Peminta]],"")</f>
        <v/>
      </c>
      <c r="J2687" s="31"/>
    </row>
    <row r="2688" s="12" customFormat="1" customHeight="1" spans="2:10">
      <c r="B2688" s="25"/>
      <c r="C2688" s="25"/>
      <c r="D2688" s="26" t="str" cm="1">
        <f t="array" ref="D2688">IF(C2688="","",IFERROR(INDEX(STPP!$D$6:$D$4207,MATCH(C2688,STPP!$C$6:$C$4207,0)),"Not Found"))</f>
        <v/>
      </c>
      <c r="E2688" s="27" t="str" cm="1">
        <f t="array" ref="E2688">IF(C2688="","",IFERROR(INDEX(STPP!$E$6:$E$4207,MATCH(C2688,STPP!$C$6:$C$4207,0)),"Not Found"))</f>
        <v/>
      </c>
      <c r="F2688" s="27" t="str" cm="1">
        <f t="array" ref="F2688">IF(C2688="","",IFERROR(INDEX(STPP!$F$6:$F$4207,MATCH(C2688,STPP!$C$6:$C$4207,0)),"Not Found"))</f>
        <v/>
      </c>
      <c r="G2688" s="25" t="str">
        <f>IF(表1[[#This Row],[No Seri]]="","",表1[[#This Row],[Deskripsi Barang]]+表1[[#This Row],[Kuantitas]]-表1[[#This Row],[Satuan]])</f>
        <v/>
      </c>
      <c r="H2688" s="28"/>
      <c r="I2688" s="25" t="str">
        <f>IF(表1[[#This Row],[Tgl NPBG]]&gt;表1[[#This Row],[Peminta]],表1[[#This Row],[Tgl NPBG]]-表1[[#This Row],[Peminta]],"")</f>
        <v/>
      </c>
      <c r="J2688" s="31"/>
    </row>
    <row r="2689" s="12" customFormat="1" customHeight="1" spans="2:10">
      <c r="B2689" s="25"/>
      <c r="C2689" s="25"/>
      <c r="D2689" s="26" t="str" cm="1">
        <f t="array" ref="D2689">IF(C2689="","",IFERROR(INDEX(STPP!$D$6:$D$4207,MATCH(C2689,STPP!$C$6:$C$4207,0)),"Not Found"))</f>
        <v/>
      </c>
      <c r="E2689" s="27" t="str" cm="1">
        <f t="array" ref="E2689">IF(C2689="","",IFERROR(INDEX(STPP!$E$6:$E$4207,MATCH(C2689,STPP!$C$6:$C$4207,0)),"Not Found"))</f>
        <v/>
      </c>
      <c r="F2689" s="27" t="str" cm="1">
        <f t="array" ref="F2689">IF(C2689="","",IFERROR(INDEX(STPP!$F$6:$F$4207,MATCH(C2689,STPP!$C$6:$C$4207,0)),"Not Found"))</f>
        <v/>
      </c>
      <c r="G2689" s="25" t="str">
        <f>IF(表1[[#This Row],[No Seri]]="","",表1[[#This Row],[Deskripsi Barang]]+表1[[#This Row],[Kuantitas]]-表1[[#This Row],[Satuan]])</f>
        <v/>
      </c>
      <c r="H2689" s="28"/>
      <c r="I2689" s="25" t="str">
        <f>IF(表1[[#This Row],[Tgl NPBG]]&gt;表1[[#This Row],[Peminta]],表1[[#This Row],[Tgl NPBG]]-表1[[#This Row],[Peminta]],"")</f>
        <v/>
      </c>
      <c r="J2689" s="31"/>
    </row>
    <row r="2690" s="12" customFormat="1" customHeight="1" spans="2:10">
      <c r="B2690" s="25"/>
      <c r="C2690" s="25"/>
      <c r="D2690" s="26" t="str" cm="1">
        <f t="array" ref="D2690">IF(C2690="","",IFERROR(INDEX(STPP!$D$6:$D$4207,MATCH(C2690,STPP!$C$6:$C$4207,0)),"Not Found"))</f>
        <v/>
      </c>
      <c r="E2690" s="27" t="str" cm="1">
        <f t="array" ref="E2690">IF(C2690="","",IFERROR(INDEX(STPP!$E$6:$E$4207,MATCH(C2690,STPP!$C$6:$C$4207,0)),"Not Found"))</f>
        <v/>
      </c>
      <c r="F2690" s="27" t="str" cm="1">
        <f t="array" ref="F2690">IF(C2690="","",IFERROR(INDEX(STPP!$F$6:$F$4207,MATCH(C2690,STPP!$C$6:$C$4207,0)),"Not Found"))</f>
        <v/>
      </c>
      <c r="G2690" s="25" t="str">
        <f>IF(表1[[#This Row],[No Seri]]="","",表1[[#This Row],[Deskripsi Barang]]+表1[[#This Row],[Kuantitas]]-表1[[#This Row],[Satuan]])</f>
        <v/>
      </c>
      <c r="H2690" s="28"/>
      <c r="I2690" s="25" t="str">
        <f>IF(表1[[#This Row],[Tgl NPBG]]&gt;表1[[#This Row],[Peminta]],表1[[#This Row],[Tgl NPBG]]-表1[[#This Row],[Peminta]],"")</f>
        <v/>
      </c>
      <c r="J2690" s="31"/>
    </row>
    <row r="2691" s="12" customFormat="1" customHeight="1" spans="2:10">
      <c r="B2691" s="25"/>
      <c r="C2691" s="25"/>
      <c r="D2691" s="26" t="str" cm="1">
        <f t="array" ref="D2691">IF(C2691="","",IFERROR(INDEX(STPP!$D$6:$D$4207,MATCH(C2691,STPP!$C$6:$C$4207,0)),"Not Found"))</f>
        <v/>
      </c>
      <c r="E2691" s="27" t="str" cm="1">
        <f t="array" ref="E2691">IF(C2691="","",IFERROR(INDEX(STPP!$E$6:$E$4207,MATCH(C2691,STPP!$C$6:$C$4207,0)),"Not Found"))</f>
        <v/>
      </c>
      <c r="F2691" s="27" t="str" cm="1">
        <f t="array" ref="F2691">IF(C2691="","",IFERROR(INDEX(STPP!$F$6:$F$4207,MATCH(C2691,STPP!$C$6:$C$4207,0)),"Not Found"))</f>
        <v/>
      </c>
      <c r="G2691" s="25" t="str">
        <f>IF(表1[[#This Row],[No Seri]]="","",表1[[#This Row],[Deskripsi Barang]]+表1[[#This Row],[Kuantitas]]-表1[[#This Row],[Satuan]])</f>
        <v/>
      </c>
      <c r="H2691" s="28"/>
      <c r="I2691" s="25" t="str">
        <f>IF(表1[[#This Row],[Tgl NPBG]]&gt;表1[[#This Row],[Peminta]],表1[[#This Row],[Tgl NPBG]]-表1[[#This Row],[Peminta]],"")</f>
        <v/>
      </c>
      <c r="J2691" s="31"/>
    </row>
    <row r="2692" s="12" customFormat="1" customHeight="1" spans="2:10">
      <c r="B2692" s="25"/>
      <c r="C2692" s="25"/>
      <c r="D2692" s="26" t="str" cm="1">
        <f t="array" ref="D2692">IF(C2692="","",IFERROR(INDEX(STPP!$D$6:$D$4207,MATCH(C2692,STPP!$C$6:$C$4207,0)),"Not Found"))</f>
        <v/>
      </c>
      <c r="E2692" s="27" t="str" cm="1">
        <f t="array" ref="E2692">IF(C2692="","",IFERROR(INDEX(STPP!$E$6:$E$4207,MATCH(C2692,STPP!$C$6:$C$4207,0)),"Not Found"))</f>
        <v/>
      </c>
      <c r="F2692" s="27" t="str" cm="1">
        <f t="array" ref="F2692">IF(C2692="","",IFERROR(INDEX(STPP!$F$6:$F$4207,MATCH(C2692,STPP!$C$6:$C$4207,0)),"Not Found"))</f>
        <v/>
      </c>
      <c r="G2692" s="25" t="str">
        <f>IF(表1[[#This Row],[No Seri]]="","",表1[[#This Row],[Deskripsi Barang]]+表1[[#This Row],[Kuantitas]]-表1[[#This Row],[Satuan]])</f>
        <v/>
      </c>
      <c r="H2692" s="28"/>
      <c r="I2692" s="25" t="str">
        <f>IF(表1[[#This Row],[Tgl NPBG]]&gt;表1[[#This Row],[Peminta]],表1[[#This Row],[Tgl NPBG]]-表1[[#This Row],[Peminta]],"")</f>
        <v/>
      </c>
      <c r="J2692" s="31"/>
    </row>
    <row r="2693" s="12" customFormat="1" customHeight="1" spans="2:10">
      <c r="B2693" s="25"/>
      <c r="C2693" s="25"/>
      <c r="D2693" s="26" t="str" cm="1">
        <f t="array" ref="D2693">IF(C2693="","",IFERROR(INDEX(STPP!$D$6:$D$4207,MATCH(C2693,STPP!$C$6:$C$4207,0)),"Not Found"))</f>
        <v/>
      </c>
      <c r="E2693" s="27" t="str" cm="1">
        <f t="array" ref="E2693">IF(C2693="","",IFERROR(INDEX(STPP!$E$6:$E$4207,MATCH(C2693,STPP!$C$6:$C$4207,0)),"Not Found"))</f>
        <v/>
      </c>
      <c r="F2693" s="27" t="str" cm="1">
        <f t="array" ref="F2693">IF(C2693="","",IFERROR(INDEX(STPP!$F$6:$F$4207,MATCH(C2693,STPP!$C$6:$C$4207,0)),"Not Found"))</f>
        <v/>
      </c>
      <c r="G2693" s="25" t="str">
        <f>IF(表1[[#This Row],[No Seri]]="","",表1[[#This Row],[Deskripsi Barang]]+表1[[#This Row],[Kuantitas]]-表1[[#This Row],[Satuan]])</f>
        <v/>
      </c>
      <c r="H2693" s="28"/>
      <c r="I2693" s="25" t="str">
        <f>IF(表1[[#This Row],[Tgl NPBG]]&gt;表1[[#This Row],[Peminta]],表1[[#This Row],[Tgl NPBG]]-表1[[#This Row],[Peminta]],"")</f>
        <v/>
      </c>
      <c r="J2693" s="31"/>
    </row>
    <row r="2694" s="12" customFormat="1" customHeight="1" spans="2:10">
      <c r="B2694" s="25"/>
      <c r="C2694" s="25"/>
      <c r="D2694" s="26" t="str" cm="1">
        <f t="array" ref="D2694">IF(C2694="","",IFERROR(INDEX(STPP!$D$6:$D$4207,MATCH(C2694,STPP!$C$6:$C$4207,0)),"Not Found"))</f>
        <v/>
      </c>
      <c r="E2694" s="27" t="str" cm="1">
        <f t="array" ref="E2694">IF(C2694="","",IFERROR(INDEX(STPP!$E$6:$E$4207,MATCH(C2694,STPP!$C$6:$C$4207,0)),"Not Found"))</f>
        <v/>
      </c>
      <c r="F2694" s="27" t="str" cm="1">
        <f t="array" ref="F2694">IF(C2694="","",IFERROR(INDEX(STPP!$F$6:$F$4207,MATCH(C2694,STPP!$C$6:$C$4207,0)),"Not Found"))</f>
        <v/>
      </c>
      <c r="G2694" s="25" t="str">
        <f>IF(表1[[#This Row],[No Seri]]="","",表1[[#This Row],[Deskripsi Barang]]+表1[[#This Row],[Kuantitas]]-表1[[#This Row],[Satuan]])</f>
        <v/>
      </c>
      <c r="H2694" s="28"/>
      <c r="I2694" s="25" t="str">
        <f>IF(表1[[#This Row],[Tgl NPBG]]&gt;表1[[#This Row],[Peminta]],表1[[#This Row],[Tgl NPBG]]-表1[[#This Row],[Peminta]],"")</f>
        <v/>
      </c>
      <c r="J2694" s="31"/>
    </row>
    <row r="2695" s="12" customFormat="1" customHeight="1" spans="2:10">
      <c r="B2695" s="25"/>
      <c r="C2695" s="25"/>
      <c r="D2695" s="26" t="str" cm="1">
        <f t="array" ref="D2695">IF(C2695="","",IFERROR(INDEX(STPP!$D$6:$D$4207,MATCH(C2695,STPP!$C$6:$C$4207,0)),"Not Found"))</f>
        <v/>
      </c>
      <c r="E2695" s="27" t="str" cm="1">
        <f t="array" ref="E2695">IF(C2695="","",IFERROR(INDEX(STPP!$E$6:$E$4207,MATCH(C2695,STPP!$C$6:$C$4207,0)),"Not Found"))</f>
        <v/>
      </c>
      <c r="F2695" s="27" t="str" cm="1">
        <f t="array" ref="F2695">IF(C2695="","",IFERROR(INDEX(STPP!$F$6:$F$4207,MATCH(C2695,STPP!$C$6:$C$4207,0)),"Not Found"))</f>
        <v/>
      </c>
      <c r="G2695" s="25" t="str">
        <f>IF(表1[[#This Row],[No Seri]]="","",表1[[#This Row],[Deskripsi Barang]]+表1[[#This Row],[Kuantitas]]-表1[[#This Row],[Satuan]])</f>
        <v/>
      </c>
      <c r="H2695" s="28"/>
      <c r="I2695" s="25" t="str">
        <f>IF(表1[[#This Row],[Tgl NPBG]]&gt;表1[[#This Row],[Peminta]],表1[[#This Row],[Tgl NPBG]]-表1[[#This Row],[Peminta]],"")</f>
        <v/>
      </c>
      <c r="J2695" s="31"/>
    </row>
    <row r="2696" s="12" customFormat="1" customHeight="1" spans="2:10">
      <c r="B2696" s="25"/>
      <c r="C2696" s="25"/>
      <c r="D2696" s="26" t="str" cm="1">
        <f t="array" ref="D2696">IF(C2696="","",IFERROR(INDEX(STPP!$D$6:$D$4207,MATCH(C2696,STPP!$C$6:$C$4207,0)),"Not Found"))</f>
        <v/>
      </c>
      <c r="E2696" s="27" t="str" cm="1">
        <f t="array" ref="E2696">IF(C2696="","",IFERROR(INDEX(STPP!$E$6:$E$4207,MATCH(C2696,STPP!$C$6:$C$4207,0)),"Not Found"))</f>
        <v/>
      </c>
      <c r="F2696" s="27" t="str" cm="1">
        <f t="array" ref="F2696">IF(C2696="","",IFERROR(INDEX(STPP!$F$6:$F$4207,MATCH(C2696,STPP!$C$6:$C$4207,0)),"Not Found"))</f>
        <v/>
      </c>
      <c r="G2696" s="25" t="str">
        <f>IF(表1[[#This Row],[No Seri]]="","",表1[[#This Row],[Deskripsi Barang]]+表1[[#This Row],[Kuantitas]]-表1[[#This Row],[Satuan]])</f>
        <v/>
      </c>
      <c r="H2696" s="28"/>
      <c r="I2696" s="25" t="str">
        <f>IF(表1[[#This Row],[Tgl NPBG]]&gt;表1[[#This Row],[Peminta]],表1[[#This Row],[Tgl NPBG]]-表1[[#This Row],[Peminta]],"")</f>
        <v/>
      </c>
      <c r="J2696" s="31"/>
    </row>
    <row r="2697" s="12" customFormat="1" customHeight="1" spans="2:10">
      <c r="B2697" s="25"/>
      <c r="C2697" s="25"/>
      <c r="D2697" s="26" t="str" cm="1">
        <f t="array" ref="D2697">IF(C2697="","",IFERROR(INDEX(STPP!$D$6:$D$4207,MATCH(C2697,STPP!$C$6:$C$4207,0)),"Not Found"))</f>
        <v/>
      </c>
      <c r="E2697" s="27" t="str" cm="1">
        <f t="array" ref="E2697">IF(C2697="","",IFERROR(INDEX(STPP!$E$6:$E$4207,MATCH(C2697,STPP!$C$6:$C$4207,0)),"Not Found"))</f>
        <v/>
      </c>
      <c r="F2697" s="27" t="str" cm="1">
        <f t="array" ref="F2697">IF(C2697="","",IFERROR(INDEX(STPP!$F$6:$F$4207,MATCH(C2697,STPP!$C$6:$C$4207,0)),"Not Found"))</f>
        <v/>
      </c>
      <c r="G2697" s="25" t="str">
        <f>IF(表1[[#This Row],[No Seri]]="","",表1[[#This Row],[Deskripsi Barang]]+表1[[#This Row],[Kuantitas]]-表1[[#This Row],[Satuan]])</f>
        <v/>
      </c>
      <c r="H2697" s="28"/>
      <c r="I2697" s="25" t="str">
        <f>IF(表1[[#This Row],[Tgl NPBG]]&gt;表1[[#This Row],[Peminta]],表1[[#This Row],[Tgl NPBG]]-表1[[#This Row],[Peminta]],"")</f>
        <v/>
      </c>
      <c r="J2697" s="31"/>
    </row>
    <row r="2698" s="12" customFormat="1" customHeight="1" spans="2:10">
      <c r="B2698" s="25"/>
      <c r="C2698" s="25"/>
      <c r="D2698" s="26" t="str" cm="1">
        <f t="array" ref="D2698">IF(C2698="","",IFERROR(INDEX(STPP!$D$6:$D$4207,MATCH(C2698,STPP!$C$6:$C$4207,0)),"Not Found"))</f>
        <v/>
      </c>
      <c r="E2698" s="27" t="str" cm="1">
        <f t="array" ref="E2698">IF(C2698="","",IFERROR(INDEX(STPP!$E$6:$E$4207,MATCH(C2698,STPP!$C$6:$C$4207,0)),"Not Found"))</f>
        <v/>
      </c>
      <c r="F2698" s="27" t="str" cm="1">
        <f t="array" ref="F2698">IF(C2698="","",IFERROR(INDEX(STPP!$F$6:$F$4207,MATCH(C2698,STPP!$C$6:$C$4207,0)),"Not Found"))</f>
        <v/>
      </c>
      <c r="G2698" s="25" t="str">
        <f>IF(表1[[#This Row],[No Seri]]="","",表1[[#This Row],[Deskripsi Barang]]+表1[[#This Row],[Kuantitas]]-表1[[#This Row],[Satuan]])</f>
        <v/>
      </c>
      <c r="H2698" s="28"/>
      <c r="I2698" s="25" t="str">
        <f>IF(表1[[#This Row],[Tgl NPBG]]&gt;表1[[#This Row],[Peminta]],表1[[#This Row],[Tgl NPBG]]-表1[[#This Row],[Peminta]],"")</f>
        <v/>
      </c>
      <c r="J2698" s="31"/>
    </row>
    <row r="2699" s="12" customFormat="1" customHeight="1" spans="2:10">
      <c r="B2699" s="25"/>
      <c r="C2699" s="25"/>
      <c r="D2699" s="26" t="str" cm="1">
        <f t="array" ref="D2699">IF(C2699="","",IFERROR(INDEX(STPP!$D$6:$D$4207,MATCH(C2699,STPP!$C$6:$C$4207,0)),"Not Found"))</f>
        <v/>
      </c>
      <c r="E2699" s="27" t="str" cm="1">
        <f t="array" ref="E2699">IF(C2699="","",IFERROR(INDEX(STPP!$E$6:$E$4207,MATCH(C2699,STPP!$C$6:$C$4207,0)),"Not Found"))</f>
        <v/>
      </c>
      <c r="F2699" s="27" t="str" cm="1">
        <f t="array" ref="F2699">IF(C2699="","",IFERROR(INDEX(STPP!$F$6:$F$4207,MATCH(C2699,STPP!$C$6:$C$4207,0)),"Not Found"))</f>
        <v/>
      </c>
      <c r="G2699" s="25" t="str">
        <f>IF(表1[[#This Row],[No Seri]]="","",表1[[#This Row],[Deskripsi Barang]]+表1[[#This Row],[Kuantitas]]-表1[[#This Row],[Satuan]])</f>
        <v/>
      </c>
      <c r="H2699" s="28"/>
      <c r="I2699" s="25" t="str">
        <f>IF(表1[[#This Row],[Tgl NPBG]]&gt;表1[[#This Row],[Peminta]],表1[[#This Row],[Tgl NPBG]]-表1[[#This Row],[Peminta]],"")</f>
        <v/>
      </c>
      <c r="J2699" s="31"/>
    </row>
    <row r="2700" s="12" customFormat="1" customHeight="1" spans="2:10">
      <c r="B2700" s="25"/>
      <c r="C2700" s="25"/>
      <c r="D2700" s="26" t="str" cm="1">
        <f t="array" ref="D2700">IF(C2700="","",IFERROR(INDEX(STPP!$D$6:$D$4207,MATCH(C2700,STPP!$C$6:$C$4207,0)),"Not Found"))</f>
        <v/>
      </c>
      <c r="E2700" s="27" t="str" cm="1">
        <f t="array" ref="E2700">IF(C2700="","",IFERROR(INDEX(STPP!$E$6:$E$4207,MATCH(C2700,STPP!$C$6:$C$4207,0)),"Not Found"))</f>
        <v/>
      </c>
      <c r="F2700" s="27" t="str" cm="1">
        <f t="array" ref="F2700">IF(C2700="","",IFERROR(INDEX(STPP!$F$6:$F$4207,MATCH(C2700,STPP!$C$6:$C$4207,0)),"Not Found"))</f>
        <v/>
      </c>
      <c r="G2700" s="25" t="str">
        <f>IF(表1[[#This Row],[No Seri]]="","",表1[[#This Row],[Deskripsi Barang]]+表1[[#This Row],[Kuantitas]]-表1[[#This Row],[Satuan]])</f>
        <v/>
      </c>
      <c r="H2700" s="28"/>
      <c r="I2700" s="25" t="str">
        <f>IF(表1[[#This Row],[Tgl NPBG]]&gt;表1[[#This Row],[Peminta]],表1[[#This Row],[Tgl NPBG]]-表1[[#This Row],[Peminta]],"")</f>
        <v/>
      </c>
      <c r="J2700" s="31"/>
    </row>
    <row r="2701" s="12" customFormat="1" customHeight="1" spans="2:10">
      <c r="B2701" s="25"/>
      <c r="C2701" s="25"/>
      <c r="D2701" s="26" t="str" cm="1">
        <f t="array" ref="D2701">IF(C2701="","",IFERROR(INDEX(STPP!$D$6:$D$4207,MATCH(C2701,STPP!$C$6:$C$4207,0)),"Not Found"))</f>
        <v/>
      </c>
      <c r="E2701" s="27" t="str" cm="1">
        <f t="array" ref="E2701">IF(C2701="","",IFERROR(INDEX(STPP!$E$6:$E$4207,MATCH(C2701,STPP!$C$6:$C$4207,0)),"Not Found"))</f>
        <v/>
      </c>
      <c r="F2701" s="27" t="str" cm="1">
        <f t="array" ref="F2701">IF(C2701="","",IFERROR(INDEX(STPP!$F$6:$F$4207,MATCH(C2701,STPP!$C$6:$C$4207,0)),"Not Found"))</f>
        <v/>
      </c>
      <c r="G2701" s="25" t="str">
        <f>IF(表1[[#This Row],[No Seri]]="","",表1[[#This Row],[Deskripsi Barang]]+表1[[#This Row],[Kuantitas]]-表1[[#This Row],[Satuan]])</f>
        <v/>
      </c>
      <c r="H2701" s="28"/>
      <c r="I2701" s="25" t="str">
        <f>IF(表1[[#This Row],[Tgl NPBG]]&gt;表1[[#This Row],[Peminta]],表1[[#This Row],[Tgl NPBG]]-表1[[#This Row],[Peminta]],"")</f>
        <v/>
      </c>
      <c r="J2701" s="31"/>
    </row>
    <row r="2702" s="12" customFormat="1" customHeight="1" spans="2:10">
      <c r="B2702" s="25"/>
      <c r="C2702" s="25"/>
      <c r="D2702" s="26" t="str" cm="1">
        <f t="array" ref="D2702">IF(C2702="","",IFERROR(INDEX(STPP!$D$6:$D$4207,MATCH(C2702,STPP!$C$6:$C$4207,0)),"Not Found"))</f>
        <v/>
      </c>
      <c r="E2702" s="27" t="str" cm="1">
        <f t="array" ref="E2702">IF(C2702="","",IFERROR(INDEX(STPP!$E$6:$E$4207,MATCH(C2702,STPP!$C$6:$C$4207,0)),"Not Found"))</f>
        <v/>
      </c>
      <c r="F2702" s="27" t="str" cm="1">
        <f t="array" ref="F2702">IF(C2702="","",IFERROR(INDEX(STPP!$F$6:$F$4207,MATCH(C2702,STPP!$C$6:$C$4207,0)),"Not Found"))</f>
        <v/>
      </c>
      <c r="G2702" s="25" t="str">
        <f>IF(表1[[#This Row],[No Seri]]="","",表1[[#This Row],[Deskripsi Barang]]+表1[[#This Row],[Kuantitas]]-表1[[#This Row],[Satuan]])</f>
        <v/>
      </c>
      <c r="H2702" s="28"/>
      <c r="I2702" s="25" t="str">
        <f>IF(表1[[#This Row],[Tgl NPBG]]&gt;表1[[#This Row],[Peminta]],表1[[#This Row],[Tgl NPBG]]-表1[[#This Row],[Peminta]],"")</f>
        <v/>
      </c>
      <c r="J2702" s="31"/>
    </row>
    <row r="2703" s="12" customFormat="1" customHeight="1" spans="2:10">
      <c r="B2703" s="25"/>
      <c r="C2703" s="25"/>
      <c r="D2703" s="26" t="str" cm="1">
        <f t="array" ref="D2703">IF(C2703="","",IFERROR(INDEX(STPP!$D$6:$D$4207,MATCH(C2703,STPP!$C$6:$C$4207,0)),"Not Found"))</f>
        <v/>
      </c>
      <c r="E2703" s="27" t="str" cm="1">
        <f t="array" ref="E2703">IF(C2703="","",IFERROR(INDEX(STPP!$E$6:$E$4207,MATCH(C2703,STPP!$C$6:$C$4207,0)),"Not Found"))</f>
        <v/>
      </c>
      <c r="F2703" s="27" t="str" cm="1">
        <f t="array" ref="F2703">IF(C2703="","",IFERROR(INDEX(STPP!$F$6:$F$4207,MATCH(C2703,STPP!$C$6:$C$4207,0)),"Not Found"))</f>
        <v/>
      </c>
      <c r="G2703" s="25" t="str">
        <f>IF(表1[[#This Row],[No Seri]]="","",表1[[#This Row],[Deskripsi Barang]]+表1[[#This Row],[Kuantitas]]-表1[[#This Row],[Satuan]])</f>
        <v/>
      </c>
      <c r="H2703" s="28"/>
      <c r="I2703" s="25" t="str">
        <f>IF(表1[[#This Row],[Tgl NPBG]]&gt;表1[[#This Row],[Peminta]],表1[[#This Row],[Tgl NPBG]]-表1[[#This Row],[Peminta]],"")</f>
        <v/>
      </c>
      <c r="J2703" s="31"/>
    </row>
    <row r="2704" s="12" customFormat="1" customHeight="1" spans="2:10">
      <c r="B2704" s="25"/>
      <c r="C2704" s="25"/>
      <c r="D2704" s="26" t="str" cm="1">
        <f t="array" ref="D2704">IF(C2704="","",IFERROR(INDEX(STPP!$D$6:$D$4207,MATCH(C2704,STPP!$C$6:$C$4207,0)),"Not Found"))</f>
        <v/>
      </c>
      <c r="E2704" s="27" t="str" cm="1">
        <f t="array" ref="E2704">IF(C2704="","",IFERROR(INDEX(STPP!$E$6:$E$4207,MATCH(C2704,STPP!$C$6:$C$4207,0)),"Not Found"))</f>
        <v/>
      </c>
      <c r="F2704" s="27" t="str" cm="1">
        <f t="array" ref="F2704">IF(C2704="","",IFERROR(INDEX(STPP!$F$6:$F$4207,MATCH(C2704,STPP!$C$6:$C$4207,0)),"Not Found"))</f>
        <v/>
      </c>
      <c r="G2704" s="25" t="str">
        <f>IF(表1[[#This Row],[No Seri]]="","",表1[[#This Row],[Deskripsi Barang]]+表1[[#This Row],[Kuantitas]]-表1[[#This Row],[Satuan]])</f>
        <v/>
      </c>
      <c r="H2704" s="28"/>
      <c r="I2704" s="25" t="str">
        <f>IF(表1[[#This Row],[Tgl NPBG]]&gt;表1[[#This Row],[Peminta]],表1[[#This Row],[Tgl NPBG]]-表1[[#This Row],[Peminta]],"")</f>
        <v/>
      </c>
      <c r="J2704" s="31"/>
    </row>
    <row r="2705" s="12" customFormat="1" customHeight="1" spans="2:10">
      <c r="B2705" s="25"/>
      <c r="C2705" s="25"/>
      <c r="D2705" s="26" t="str" cm="1">
        <f t="array" ref="D2705">IF(C2705="","",IFERROR(INDEX(STPP!$D$6:$D$4207,MATCH(C2705,STPP!$C$6:$C$4207,0)),"Not Found"))</f>
        <v/>
      </c>
      <c r="E2705" s="27" t="str" cm="1">
        <f t="array" ref="E2705">IF(C2705="","",IFERROR(INDEX(STPP!$E$6:$E$4207,MATCH(C2705,STPP!$C$6:$C$4207,0)),"Not Found"))</f>
        <v/>
      </c>
      <c r="F2705" s="27" t="str" cm="1">
        <f t="array" ref="F2705">IF(C2705="","",IFERROR(INDEX(STPP!$F$6:$F$4207,MATCH(C2705,STPP!$C$6:$C$4207,0)),"Not Found"))</f>
        <v/>
      </c>
      <c r="G2705" s="25" t="str">
        <f>IF(表1[[#This Row],[No Seri]]="","",表1[[#This Row],[Deskripsi Barang]]+表1[[#This Row],[Kuantitas]]-表1[[#This Row],[Satuan]])</f>
        <v/>
      </c>
      <c r="H2705" s="28"/>
      <c r="I2705" s="25" t="str">
        <f>IF(表1[[#This Row],[Tgl NPBG]]&gt;表1[[#This Row],[Peminta]],表1[[#This Row],[Tgl NPBG]]-表1[[#This Row],[Peminta]],"")</f>
        <v/>
      </c>
      <c r="J2705" s="31"/>
    </row>
    <row r="2706" s="12" customFormat="1" customHeight="1" spans="2:10">
      <c r="B2706" s="25"/>
      <c r="C2706" s="25"/>
      <c r="D2706" s="26" t="str" cm="1">
        <f t="array" ref="D2706">IF(C2706="","",IFERROR(INDEX(STPP!$D$6:$D$4207,MATCH(C2706,STPP!$C$6:$C$4207,0)),"Not Found"))</f>
        <v/>
      </c>
      <c r="E2706" s="27" t="str" cm="1">
        <f t="array" ref="E2706">IF(C2706="","",IFERROR(INDEX(STPP!$E$6:$E$4207,MATCH(C2706,STPP!$C$6:$C$4207,0)),"Not Found"))</f>
        <v/>
      </c>
      <c r="F2706" s="27" t="str" cm="1">
        <f t="array" ref="F2706">IF(C2706="","",IFERROR(INDEX(STPP!$F$6:$F$4207,MATCH(C2706,STPP!$C$6:$C$4207,0)),"Not Found"))</f>
        <v/>
      </c>
      <c r="G2706" s="25" t="str">
        <f>IF(表1[[#This Row],[No Seri]]="","",表1[[#This Row],[Deskripsi Barang]]+表1[[#This Row],[Kuantitas]]-表1[[#This Row],[Satuan]])</f>
        <v/>
      </c>
      <c r="H2706" s="28"/>
      <c r="I2706" s="25" t="str">
        <f>IF(表1[[#This Row],[Tgl NPBG]]&gt;表1[[#This Row],[Peminta]],表1[[#This Row],[Tgl NPBG]]-表1[[#This Row],[Peminta]],"")</f>
        <v/>
      </c>
      <c r="J2706" s="31"/>
    </row>
    <row r="2707" s="12" customFormat="1" customHeight="1" spans="2:10">
      <c r="B2707" s="25"/>
      <c r="C2707" s="25"/>
      <c r="D2707" s="26" t="str" cm="1">
        <f t="array" ref="D2707">IF(C2707="","",IFERROR(INDEX(STPP!$D$6:$D$4207,MATCH(C2707,STPP!$C$6:$C$4207,0)),"Not Found"))</f>
        <v/>
      </c>
      <c r="E2707" s="27" t="str" cm="1">
        <f t="array" ref="E2707">IF(C2707="","",IFERROR(INDEX(STPP!$E$6:$E$4207,MATCH(C2707,STPP!$C$6:$C$4207,0)),"Not Found"))</f>
        <v/>
      </c>
      <c r="F2707" s="27" t="str" cm="1">
        <f t="array" ref="F2707">IF(C2707="","",IFERROR(INDEX(STPP!$F$6:$F$4207,MATCH(C2707,STPP!$C$6:$C$4207,0)),"Not Found"))</f>
        <v/>
      </c>
      <c r="G2707" s="25" t="str">
        <f>IF(表1[[#This Row],[No Seri]]="","",表1[[#This Row],[Deskripsi Barang]]+表1[[#This Row],[Kuantitas]]-表1[[#This Row],[Satuan]])</f>
        <v/>
      </c>
      <c r="H2707" s="28"/>
      <c r="I2707" s="25" t="str">
        <f>IF(表1[[#This Row],[Tgl NPBG]]&gt;表1[[#This Row],[Peminta]],表1[[#This Row],[Tgl NPBG]]-表1[[#This Row],[Peminta]],"")</f>
        <v/>
      </c>
      <c r="J2707" s="31"/>
    </row>
    <row r="2708" s="12" customFormat="1" customHeight="1" spans="2:10">
      <c r="B2708" s="25"/>
      <c r="C2708" s="25"/>
      <c r="D2708" s="26" t="str" cm="1">
        <f t="array" ref="D2708">IF(C2708="","",IFERROR(INDEX(STPP!$D$6:$D$4207,MATCH(C2708,STPP!$C$6:$C$4207,0)),"Not Found"))</f>
        <v/>
      </c>
      <c r="E2708" s="27" t="str" cm="1">
        <f t="array" ref="E2708">IF(C2708="","",IFERROR(INDEX(STPP!$E$6:$E$4207,MATCH(C2708,STPP!$C$6:$C$4207,0)),"Not Found"))</f>
        <v/>
      </c>
      <c r="F2708" s="27" t="str" cm="1">
        <f t="array" ref="F2708">IF(C2708="","",IFERROR(INDEX(STPP!$F$6:$F$4207,MATCH(C2708,STPP!$C$6:$C$4207,0)),"Not Found"))</f>
        <v/>
      </c>
      <c r="G2708" s="25" t="str">
        <f>IF(表1[[#This Row],[No Seri]]="","",表1[[#This Row],[Deskripsi Barang]]+表1[[#This Row],[Kuantitas]]-表1[[#This Row],[Satuan]])</f>
        <v/>
      </c>
      <c r="H2708" s="28"/>
      <c r="I2708" s="25" t="str">
        <f>IF(表1[[#This Row],[Tgl NPBG]]&gt;表1[[#This Row],[Peminta]],表1[[#This Row],[Tgl NPBG]]-表1[[#This Row],[Peminta]],"")</f>
        <v/>
      </c>
      <c r="J2708" s="31"/>
    </row>
    <row r="2709" s="12" customFormat="1" customHeight="1" spans="2:10">
      <c r="B2709" s="25"/>
      <c r="C2709" s="25"/>
      <c r="D2709" s="26" t="str" cm="1">
        <f t="array" ref="D2709">IF(C2709="","",IFERROR(INDEX(STPP!$D$6:$D$4207,MATCH(C2709,STPP!$C$6:$C$4207,0)),"Not Found"))</f>
        <v/>
      </c>
      <c r="E2709" s="27" t="str" cm="1">
        <f t="array" ref="E2709">IF(C2709="","",IFERROR(INDEX(STPP!$E$6:$E$4207,MATCH(C2709,STPP!$C$6:$C$4207,0)),"Not Found"))</f>
        <v/>
      </c>
      <c r="F2709" s="27" t="str" cm="1">
        <f t="array" ref="F2709">IF(C2709="","",IFERROR(INDEX(STPP!$F$6:$F$4207,MATCH(C2709,STPP!$C$6:$C$4207,0)),"Not Found"))</f>
        <v/>
      </c>
      <c r="G2709" s="25" t="str">
        <f>IF(表1[[#This Row],[No Seri]]="","",表1[[#This Row],[Deskripsi Barang]]+表1[[#This Row],[Kuantitas]]-表1[[#This Row],[Satuan]])</f>
        <v/>
      </c>
      <c r="H2709" s="28"/>
      <c r="I2709" s="25" t="str">
        <f>IF(表1[[#This Row],[Tgl NPBG]]&gt;表1[[#This Row],[Peminta]],表1[[#This Row],[Tgl NPBG]]-表1[[#This Row],[Peminta]],"")</f>
        <v/>
      </c>
      <c r="J2709" s="31"/>
    </row>
    <row r="2710" s="12" customFormat="1" customHeight="1" spans="2:10">
      <c r="B2710" s="25"/>
      <c r="C2710" s="25"/>
      <c r="D2710" s="26" t="str" cm="1">
        <f t="array" ref="D2710">IF(C2710="","",IFERROR(INDEX(STPP!$D$6:$D$4207,MATCH(C2710,STPP!$C$6:$C$4207,0)),"Not Found"))</f>
        <v/>
      </c>
      <c r="E2710" s="27" t="str" cm="1">
        <f t="array" ref="E2710">IF(C2710="","",IFERROR(INDEX(STPP!$E$6:$E$4207,MATCH(C2710,STPP!$C$6:$C$4207,0)),"Not Found"))</f>
        <v/>
      </c>
      <c r="F2710" s="27" t="str" cm="1">
        <f t="array" ref="F2710">IF(C2710="","",IFERROR(INDEX(STPP!$F$6:$F$4207,MATCH(C2710,STPP!$C$6:$C$4207,0)),"Not Found"))</f>
        <v/>
      </c>
      <c r="G2710" s="25" t="str">
        <f>IF(表1[[#This Row],[No Seri]]="","",表1[[#This Row],[Deskripsi Barang]]+表1[[#This Row],[Kuantitas]]-表1[[#This Row],[Satuan]])</f>
        <v/>
      </c>
      <c r="H2710" s="28"/>
      <c r="I2710" s="25" t="str">
        <f>IF(表1[[#This Row],[Tgl NPBG]]&gt;表1[[#This Row],[Peminta]],表1[[#This Row],[Tgl NPBG]]-表1[[#This Row],[Peminta]],"")</f>
        <v/>
      </c>
      <c r="J2710" s="31"/>
    </row>
    <row r="2711" s="12" customFormat="1" customHeight="1" spans="2:10">
      <c r="B2711" s="25"/>
      <c r="C2711" s="25"/>
      <c r="D2711" s="26" t="str" cm="1">
        <f t="array" ref="D2711">IF(C2711="","",IFERROR(INDEX(STPP!$D$6:$D$4207,MATCH(C2711,STPP!$C$6:$C$4207,0)),"Not Found"))</f>
        <v/>
      </c>
      <c r="E2711" s="27" t="str" cm="1">
        <f t="array" ref="E2711">IF(C2711="","",IFERROR(INDEX(STPP!$E$6:$E$4207,MATCH(C2711,STPP!$C$6:$C$4207,0)),"Not Found"))</f>
        <v/>
      </c>
      <c r="F2711" s="27" t="str" cm="1">
        <f t="array" ref="F2711">IF(C2711="","",IFERROR(INDEX(STPP!$F$6:$F$4207,MATCH(C2711,STPP!$C$6:$C$4207,0)),"Not Found"))</f>
        <v/>
      </c>
      <c r="G2711" s="25" t="str">
        <f>IF(表1[[#This Row],[No Seri]]="","",表1[[#This Row],[Deskripsi Barang]]+表1[[#This Row],[Kuantitas]]-表1[[#This Row],[Satuan]])</f>
        <v/>
      </c>
      <c r="H2711" s="28"/>
      <c r="I2711" s="25" t="str">
        <f>IF(表1[[#This Row],[Tgl NPBG]]&gt;表1[[#This Row],[Peminta]],表1[[#This Row],[Tgl NPBG]]-表1[[#This Row],[Peminta]],"")</f>
        <v/>
      </c>
      <c r="J2711" s="31"/>
    </row>
    <row r="2712" s="12" customFormat="1" customHeight="1" spans="2:10">
      <c r="B2712" s="25"/>
      <c r="C2712" s="25"/>
      <c r="D2712" s="26" t="str" cm="1">
        <f t="array" ref="D2712">IF(C2712="","",IFERROR(INDEX(STPP!$D$6:$D$4207,MATCH(C2712,STPP!$C$6:$C$4207,0)),"Not Found"))</f>
        <v/>
      </c>
      <c r="E2712" s="27" t="str" cm="1">
        <f t="array" ref="E2712">IF(C2712="","",IFERROR(INDEX(STPP!$E$6:$E$4207,MATCH(C2712,STPP!$C$6:$C$4207,0)),"Not Found"))</f>
        <v/>
      </c>
      <c r="F2712" s="27" t="str" cm="1">
        <f t="array" ref="F2712">IF(C2712="","",IFERROR(INDEX(STPP!$F$6:$F$4207,MATCH(C2712,STPP!$C$6:$C$4207,0)),"Not Found"))</f>
        <v/>
      </c>
      <c r="G2712" s="25" t="str">
        <f>IF(表1[[#This Row],[No Seri]]="","",表1[[#This Row],[Deskripsi Barang]]+表1[[#This Row],[Kuantitas]]-表1[[#This Row],[Satuan]])</f>
        <v/>
      </c>
      <c r="H2712" s="28"/>
      <c r="I2712" s="25" t="str">
        <f>IF(表1[[#This Row],[Tgl NPBG]]&gt;表1[[#This Row],[Peminta]],表1[[#This Row],[Tgl NPBG]]-表1[[#This Row],[Peminta]],"")</f>
        <v/>
      </c>
      <c r="J2712" s="31"/>
    </row>
    <row r="2713" s="12" customFormat="1" customHeight="1" spans="2:10">
      <c r="B2713" s="25"/>
      <c r="C2713" s="25"/>
      <c r="D2713" s="26" t="str" cm="1">
        <f t="array" ref="D2713">IF(C2713="","",IFERROR(INDEX(STPP!$D$6:$D$4207,MATCH(C2713,STPP!$C$6:$C$4207,0)),"Not Found"))</f>
        <v/>
      </c>
      <c r="E2713" s="27" t="str" cm="1">
        <f t="array" ref="E2713">IF(C2713="","",IFERROR(INDEX(STPP!$E$6:$E$4207,MATCH(C2713,STPP!$C$6:$C$4207,0)),"Not Found"))</f>
        <v/>
      </c>
      <c r="F2713" s="27" t="str" cm="1">
        <f t="array" ref="F2713">IF(C2713="","",IFERROR(INDEX(STPP!$F$6:$F$4207,MATCH(C2713,STPP!$C$6:$C$4207,0)),"Not Found"))</f>
        <v/>
      </c>
      <c r="G2713" s="25" t="str">
        <f>IF(表1[[#This Row],[No Seri]]="","",表1[[#This Row],[Deskripsi Barang]]+表1[[#This Row],[Kuantitas]]-表1[[#This Row],[Satuan]])</f>
        <v/>
      </c>
      <c r="H2713" s="28"/>
      <c r="I2713" s="25" t="str">
        <f>IF(表1[[#This Row],[Tgl NPBG]]&gt;表1[[#This Row],[Peminta]],表1[[#This Row],[Tgl NPBG]]-表1[[#This Row],[Peminta]],"")</f>
        <v/>
      </c>
      <c r="J2713" s="31"/>
    </row>
    <row r="2714" s="12" customFormat="1" customHeight="1" spans="2:10">
      <c r="B2714" s="25"/>
      <c r="C2714" s="25"/>
      <c r="D2714" s="26" t="str" cm="1">
        <f t="array" ref="D2714">IF(C2714="","",IFERROR(INDEX(STPP!$D$6:$D$4207,MATCH(C2714,STPP!$C$6:$C$4207,0)),"Not Found"))</f>
        <v/>
      </c>
      <c r="E2714" s="27" t="str" cm="1">
        <f t="array" ref="E2714">IF(C2714="","",IFERROR(INDEX(STPP!$E$6:$E$4207,MATCH(C2714,STPP!$C$6:$C$4207,0)),"Not Found"))</f>
        <v/>
      </c>
      <c r="F2714" s="27" t="str" cm="1">
        <f t="array" ref="F2714">IF(C2714="","",IFERROR(INDEX(STPP!$F$6:$F$4207,MATCH(C2714,STPP!$C$6:$C$4207,0)),"Not Found"))</f>
        <v/>
      </c>
      <c r="G2714" s="25" t="str">
        <f>IF(表1[[#This Row],[No Seri]]="","",表1[[#This Row],[Deskripsi Barang]]+表1[[#This Row],[Kuantitas]]-表1[[#This Row],[Satuan]])</f>
        <v/>
      </c>
      <c r="H2714" s="28"/>
      <c r="I2714" s="25" t="str">
        <f>IF(表1[[#This Row],[Tgl NPBG]]&gt;表1[[#This Row],[Peminta]],表1[[#This Row],[Tgl NPBG]]-表1[[#This Row],[Peminta]],"")</f>
        <v/>
      </c>
      <c r="J2714" s="31"/>
    </row>
    <row r="2715" s="12" customFormat="1" customHeight="1" spans="2:10">
      <c r="B2715" s="25"/>
      <c r="C2715" s="25"/>
      <c r="D2715" s="26" t="str" cm="1">
        <f t="array" ref="D2715">IF(C2715="","",IFERROR(INDEX(STPP!$D$6:$D$4207,MATCH(C2715,STPP!$C$6:$C$4207,0)),"Not Found"))</f>
        <v/>
      </c>
      <c r="E2715" s="27" t="str" cm="1">
        <f t="array" ref="E2715">IF(C2715="","",IFERROR(INDEX(STPP!$E$6:$E$4207,MATCH(C2715,STPP!$C$6:$C$4207,0)),"Not Found"))</f>
        <v/>
      </c>
      <c r="F2715" s="27" t="str" cm="1">
        <f t="array" ref="F2715">IF(C2715="","",IFERROR(INDEX(STPP!$F$6:$F$4207,MATCH(C2715,STPP!$C$6:$C$4207,0)),"Not Found"))</f>
        <v/>
      </c>
      <c r="G2715" s="25" t="str">
        <f>IF(表1[[#This Row],[No Seri]]="","",表1[[#This Row],[Deskripsi Barang]]+表1[[#This Row],[Kuantitas]]-表1[[#This Row],[Satuan]])</f>
        <v/>
      </c>
      <c r="H2715" s="28"/>
      <c r="I2715" s="25" t="str">
        <f>IF(表1[[#This Row],[Tgl NPBG]]&gt;表1[[#This Row],[Peminta]],表1[[#This Row],[Tgl NPBG]]-表1[[#This Row],[Peminta]],"")</f>
        <v/>
      </c>
      <c r="J2715" s="31"/>
    </row>
    <row r="2716" s="12" customFormat="1" customHeight="1" spans="2:10">
      <c r="B2716" s="25"/>
      <c r="C2716" s="25"/>
      <c r="D2716" s="26" t="str" cm="1">
        <f t="array" ref="D2716">IF(C2716="","",IFERROR(INDEX(STPP!$D$6:$D$4207,MATCH(C2716,STPP!$C$6:$C$4207,0)),"Not Found"))</f>
        <v/>
      </c>
      <c r="E2716" s="27" t="str" cm="1">
        <f t="array" ref="E2716">IF(C2716="","",IFERROR(INDEX(STPP!$E$6:$E$4207,MATCH(C2716,STPP!$C$6:$C$4207,0)),"Not Found"))</f>
        <v/>
      </c>
      <c r="F2716" s="27" t="str" cm="1">
        <f t="array" ref="F2716">IF(C2716="","",IFERROR(INDEX(STPP!$F$6:$F$4207,MATCH(C2716,STPP!$C$6:$C$4207,0)),"Not Found"))</f>
        <v/>
      </c>
      <c r="G2716" s="25" t="str">
        <f>IF(表1[[#This Row],[No Seri]]="","",表1[[#This Row],[Deskripsi Barang]]+表1[[#This Row],[Kuantitas]]-表1[[#This Row],[Satuan]])</f>
        <v/>
      </c>
      <c r="H2716" s="28"/>
      <c r="I2716" s="25" t="str">
        <f>IF(表1[[#This Row],[Tgl NPBG]]&gt;表1[[#This Row],[Peminta]],表1[[#This Row],[Tgl NPBG]]-表1[[#This Row],[Peminta]],"")</f>
        <v/>
      </c>
      <c r="J2716" s="31"/>
    </row>
    <row r="2717" s="12" customFormat="1" customHeight="1" spans="2:10">
      <c r="B2717" s="25"/>
      <c r="C2717" s="25"/>
      <c r="D2717" s="26" t="str" cm="1">
        <f t="array" ref="D2717">IF(C2717="","",IFERROR(INDEX(STPP!$D$6:$D$4207,MATCH(C2717,STPP!$C$6:$C$4207,0)),"Not Found"))</f>
        <v/>
      </c>
      <c r="E2717" s="27" t="str" cm="1">
        <f t="array" ref="E2717">IF(C2717="","",IFERROR(INDEX(STPP!$E$6:$E$4207,MATCH(C2717,STPP!$C$6:$C$4207,0)),"Not Found"))</f>
        <v/>
      </c>
      <c r="F2717" s="27" t="str" cm="1">
        <f t="array" ref="F2717">IF(C2717="","",IFERROR(INDEX(STPP!$F$6:$F$4207,MATCH(C2717,STPP!$C$6:$C$4207,0)),"Not Found"))</f>
        <v/>
      </c>
      <c r="G2717" s="25" t="str">
        <f>IF(表1[[#This Row],[No Seri]]="","",表1[[#This Row],[Deskripsi Barang]]+表1[[#This Row],[Kuantitas]]-表1[[#This Row],[Satuan]])</f>
        <v/>
      </c>
      <c r="H2717" s="28"/>
      <c r="I2717" s="25" t="str">
        <f>IF(表1[[#This Row],[Tgl NPBG]]&gt;表1[[#This Row],[Peminta]],表1[[#This Row],[Tgl NPBG]]-表1[[#This Row],[Peminta]],"")</f>
        <v/>
      </c>
      <c r="J2717" s="31"/>
    </row>
    <row r="2718" s="12" customFormat="1" customHeight="1" spans="2:10">
      <c r="B2718" s="25"/>
      <c r="C2718" s="25"/>
      <c r="D2718" s="26" t="str" cm="1">
        <f t="array" ref="D2718">IF(C2718="","",IFERROR(INDEX(STPP!$D$6:$D$4207,MATCH(C2718,STPP!$C$6:$C$4207,0)),"Not Found"))</f>
        <v/>
      </c>
      <c r="E2718" s="27" t="str" cm="1">
        <f t="array" ref="E2718">IF(C2718="","",IFERROR(INDEX(STPP!$E$6:$E$4207,MATCH(C2718,STPP!$C$6:$C$4207,0)),"Not Found"))</f>
        <v/>
      </c>
      <c r="F2718" s="27" t="str" cm="1">
        <f t="array" ref="F2718">IF(C2718="","",IFERROR(INDEX(STPP!$F$6:$F$4207,MATCH(C2718,STPP!$C$6:$C$4207,0)),"Not Found"))</f>
        <v/>
      </c>
      <c r="G2718" s="25" t="str">
        <f>IF(表1[[#This Row],[No Seri]]="","",表1[[#This Row],[Deskripsi Barang]]+表1[[#This Row],[Kuantitas]]-表1[[#This Row],[Satuan]])</f>
        <v/>
      </c>
      <c r="H2718" s="28"/>
      <c r="I2718" s="25" t="str">
        <f>IF(表1[[#This Row],[Tgl NPBG]]&gt;表1[[#This Row],[Peminta]],表1[[#This Row],[Tgl NPBG]]-表1[[#This Row],[Peminta]],"")</f>
        <v/>
      </c>
      <c r="J2718" s="31"/>
    </row>
    <row r="2719" s="12" customFormat="1" customHeight="1" spans="2:10">
      <c r="B2719" s="25"/>
      <c r="C2719" s="25"/>
      <c r="D2719" s="26" t="str" cm="1">
        <f t="array" ref="D2719">IF(C2719="","",IFERROR(INDEX(STPP!$D$6:$D$4207,MATCH(C2719,STPP!$C$6:$C$4207,0)),"Not Found"))</f>
        <v/>
      </c>
      <c r="E2719" s="27" t="str" cm="1">
        <f t="array" ref="E2719">IF(C2719="","",IFERROR(INDEX(STPP!$E$6:$E$4207,MATCH(C2719,STPP!$C$6:$C$4207,0)),"Not Found"))</f>
        <v/>
      </c>
      <c r="F2719" s="27" t="str" cm="1">
        <f t="array" ref="F2719">IF(C2719="","",IFERROR(INDEX(STPP!$F$6:$F$4207,MATCH(C2719,STPP!$C$6:$C$4207,0)),"Not Found"))</f>
        <v/>
      </c>
      <c r="G2719" s="25" t="str">
        <f>IF(表1[[#This Row],[No Seri]]="","",表1[[#This Row],[Deskripsi Barang]]+表1[[#This Row],[Kuantitas]]-表1[[#This Row],[Satuan]])</f>
        <v/>
      </c>
      <c r="H2719" s="28"/>
      <c r="I2719" s="25" t="str">
        <f>IF(表1[[#This Row],[Tgl NPBG]]&gt;表1[[#This Row],[Peminta]],表1[[#This Row],[Tgl NPBG]]-表1[[#This Row],[Peminta]],"")</f>
        <v/>
      </c>
      <c r="J2719" s="31"/>
    </row>
    <row r="2720" s="12" customFormat="1" customHeight="1" spans="2:10">
      <c r="B2720" s="25"/>
      <c r="C2720" s="25"/>
      <c r="D2720" s="26" t="str" cm="1">
        <f t="array" ref="D2720">IF(C2720="","",IFERROR(INDEX(STPP!$D$6:$D$4207,MATCH(C2720,STPP!$C$6:$C$4207,0)),"Not Found"))</f>
        <v/>
      </c>
      <c r="E2720" s="27" t="str" cm="1">
        <f t="array" ref="E2720">IF(C2720="","",IFERROR(INDEX(STPP!$E$6:$E$4207,MATCH(C2720,STPP!$C$6:$C$4207,0)),"Not Found"))</f>
        <v/>
      </c>
      <c r="F2720" s="27" t="str" cm="1">
        <f t="array" ref="F2720">IF(C2720="","",IFERROR(INDEX(STPP!$F$6:$F$4207,MATCH(C2720,STPP!$C$6:$C$4207,0)),"Not Found"))</f>
        <v/>
      </c>
      <c r="G2720" s="25" t="str">
        <f>IF(表1[[#This Row],[No Seri]]="","",表1[[#This Row],[Deskripsi Barang]]+表1[[#This Row],[Kuantitas]]-表1[[#This Row],[Satuan]])</f>
        <v/>
      </c>
      <c r="H2720" s="28"/>
      <c r="I2720" s="25" t="str">
        <f>IF(表1[[#This Row],[Tgl NPBG]]&gt;表1[[#This Row],[Peminta]],表1[[#This Row],[Tgl NPBG]]-表1[[#This Row],[Peminta]],"")</f>
        <v/>
      </c>
      <c r="J2720" s="31"/>
    </row>
    <row r="2721" s="12" customFormat="1" customHeight="1" spans="2:10">
      <c r="B2721" s="25"/>
      <c r="C2721" s="25"/>
      <c r="D2721" s="26" t="str" cm="1">
        <f t="array" ref="D2721">IF(C2721="","",IFERROR(INDEX(STPP!$D$6:$D$4207,MATCH(C2721,STPP!$C$6:$C$4207,0)),"Not Found"))</f>
        <v/>
      </c>
      <c r="E2721" s="27" t="str" cm="1">
        <f t="array" ref="E2721">IF(C2721="","",IFERROR(INDEX(STPP!$E$6:$E$4207,MATCH(C2721,STPP!$C$6:$C$4207,0)),"Not Found"))</f>
        <v/>
      </c>
      <c r="F2721" s="27" t="str" cm="1">
        <f t="array" ref="F2721">IF(C2721="","",IFERROR(INDEX(STPP!$F$6:$F$4207,MATCH(C2721,STPP!$C$6:$C$4207,0)),"Not Found"))</f>
        <v/>
      </c>
      <c r="G2721" s="25" t="str">
        <f>IF(表1[[#This Row],[No Seri]]="","",表1[[#This Row],[Deskripsi Barang]]+表1[[#This Row],[Kuantitas]]-表1[[#This Row],[Satuan]])</f>
        <v/>
      </c>
      <c r="H2721" s="28"/>
      <c r="I2721" s="25" t="str">
        <f>IF(表1[[#This Row],[Tgl NPBG]]&gt;表1[[#This Row],[Peminta]],表1[[#This Row],[Tgl NPBG]]-表1[[#This Row],[Peminta]],"")</f>
        <v/>
      </c>
      <c r="J2721" s="31"/>
    </row>
    <row r="2722" s="12" customFormat="1" customHeight="1" spans="2:10">
      <c r="B2722" s="25"/>
      <c r="C2722" s="25"/>
      <c r="D2722" s="26" t="str" cm="1">
        <f t="array" ref="D2722">IF(C2722="","",IFERROR(INDEX(STPP!$D$6:$D$4207,MATCH(C2722,STPP!$C$6:$C$4207,0)),"Not Found"))</f>
        <v/>
      </c>
      <c r="E2722" s="27" t="str" cm="1">
        <f t="array" ref="E2722">IF(C2722="","",IFERROR(INDEX(STPP!$E$6:$E$4207,MATCH(C2722,STPP!$C$6:$C$4207,0)),"Not Found"))</f>
        <v/>
      </c>
      <c r="F2722" s="27" t="str" cm="1">
        <f t="array" ref="F2722">IF(C2722="","",IFERROR(INDEX(STPP!$F$6:$F$4207,MATCH(C2722,STPP!$C$6:$C$4207,0)),"Not Found"))</f>
        <v/>
      </c>
      <c r="G2722" s="25" t="str">
        <f>IF(表1[[#This Row],[No Seri]]="","",表1[[#This Row],[Deskripsi Barang]]+表1[[#This Row],[Kuantitas]]-表1[[#This Row],[Satuan]])</f>
        <v/>
      </c>
      <c r="H2722" s="28"/>
      <c r="I2722" s="25" t="str">
        <f>IF(表1[[#This Row],[Tgl NPBG]]&gt;表1[[#This Row],[Peminta]],表1[[#This Row],[Tgl NPBG]]-表1[[#This Row],[Peminta]],"")</f>
        <v/>
      </c>
      <c r="J2722" s="31"/>
    </row>
    <row r="2723" s="12" customFormat="1" customHeight="1" spans="2:10">
      <c r="B2723" s="25"/>
      <c r="C2723" s="25"/>
      <c r="D2723" s="26" t="str" cm="1">
        <f t="array" ref="D2723">IF(C2723="","",IFERROR(INDEX(STPP!$D$6:$D$4207,MATCH(C2723,STPP!$C$6:$C$4207,0)),"Not Found"))</f>
        <v/>
      </c>
      <c r="E2723" s="27" t="str" cm="1">
        <f t="array" ref="E2723">IF(C2723="","",IFERROR(INDEX(STPP!$E$6:$E$4207,MATCH(C2723,STPP!$C$6:$C$4207,0)),"Not Found"))</f>
        <v/>
      </c>
      <c r="F2723" s="27" t="str" cm="1">
        <f t="array" ref="F2723">IF(C2723="","",IFERROR(INDEX(STPP!$F$6:$F$4207,MATCH(C2723,STPP!$C$6:$C$4207,0)),"Not Found"))</f>
        <v/>
      </c>
      <c r="G2723" s="25" t="str">
        <f>IF(表1[[#This Row],[No Seri]]="","",表1[[#This Row],[Deskripsi Barang]]+表1[[#This Row],[Kuantitas]]-表1[[#This Row],[Satuan]])</f>
        <v/>
      </c>
      <c r="H2723" s="28"/>
      <c r="I2723" s="25" t="str">
        <f>IF(表1[[#This Row],[Tgl NPBG]]&gt;表1[[#This Row],[Peminta]],表1[[#This Row],[Tgl NPBG]]-表1[[#This Row],[Peminta]],"")</f>
        <v/>
      </c>
      <c r="J2723" s="31"/>
    </row>
    <row r="2724" s="12" customFormat="1" customHeight="1" spans="2:10">
      <c r="B2724" s="25"/>
      <c r="C2724" s="25"/>
      <c r="D2724" s="26" t="str" cm="1">
        <f t="array" ref="D2724">IF(C2724="","",IFERROR(INDEX(STPP!$D$6:$D$4207,MATCH(C2724,STPP!$C$6:$C$4207,0)),"Not Found"))</f>
        <v/>
      </c>
      <c r="E2724" s="27" t="str" cm="1">
        <f t="array" ref="E2724">IF(C2724="","",IFERROR(INDEX(STPP!$E$6:$E$4207,MATCH(C2724,STPP!$C$6:$C$4207,0)),"Not Found"))</f>
        <v/>
      </c>
      <c r="F2724" s="27" t="str" cm="1">
        <f t="array" ref="F2724">IF(C2724="","",IFERROR(INDEX(STPP!$F$6:$F$4207,MATCH(C2724,STPP!$C$6:$C$4207,0)),"Not Found"))</f>
        <v/>
      </c>
      <c r="G2724" s="25" t="str">
        <f>IF(表1[[#This Row],[No Seri]]="","",表1[[#This Row],[Deskripsi Barang]]+表1[[#This Row],[Kuantitas]]-表1[[#This Row],[Satuan]])</f>
        <v/>
      </c>
      <c r="H2724" s="28"/>
      <c r="I2724" s="25" t="str">
        <f>IF(表1[[#This Row],[Tgl NPBG]]&gt;表1[[#This Row],[Peminta]],表1[[#This Row],[Tgl NPBG]]-表1[[#This Row],[Peminta]],"")</f>
        <v/>
      </c>
      <c r="J2724" s="31"/>
    </row>
    <row r="2725" s="12" customFormat="1" customHeight="1" spans="2:10">
      <c r="B2725" s="25"/>
      <c r="C2725" s="25"/>
      <c r="D2725" s="26" t="str" cm="1">
        <f t="array" ref="D2725">IF(C2725="","",IFERROR(INDEX(STPP!$D$6:$D$4207,MATCH(C2725,STPP!$C$6:$C$4207,0)),"Not Found"))</f>
        <v/>
      </c>
      <c r="E2725" s="27" t="str" cm="1">
        <f t="array" ref="E2725">IF(C2725="","",IFERROR(INDEX(STPP!$E$6:$E$4207,MATCH(C2725,STPP!$C$6:$C$4207,0)),"Not Found"))</f>
        <v/>
      </c>
      <c r="F2725" s="27" t="str" cm="1">
        <f t="array" ref="F2725">IF(C2725="","",IFERROR(INDEX(STPP!$F$6:$F$4207,MATCH(C2725,STPP!$C$6:$C$4207,0)),"Not Found"))</f>
        <v/>
      </c>
      <c r="G2725" s="25" t="str">
        <f>IF(表1[[#This Row],[No Seri]]="","",表1[[#This Row],[Deskripsi Barang]]+表1[[#This Row],[Kuantitas]]-表1[[#This Row],[Satuan]])</f>
        <v/>
      </c>
      <c r="H2725" s="28"/>
      <c r="I2725" s="25" t="str">
        <f>IF(表1[[#This Row],[Tgl NPBG]]&gt;表1[[#This Row],[Peminta]],表1[[#This Row],[Tgl NPBG]]-表1[[#This Row],[Peminta]],"")</f>
        <v/>
      </c>
      <c r="J2725" s="31"/>
    </row>
    <row r="2726" s="12" customFormat="1" customHeight="1" spans="2:10">
      <c r="B2726" s="25"/>
      <c r="C2726" s="25"/>
      <c r="D2726" s="26" t="str" cm="1">
        <f t="array" ref="D2726">IF(C2726="","",IFERROR(INDEX(STPP!$D$6:$D$4207,MATCH(C2726,STPP!$C$6:$C$4207,0)),"Not Found"))</f>
        <v/>
      </c>
      <c r="E2726" s="27" t="str" cm="1">
        <f t="array" ref="E2726">IF(C2726="","",IFERROR(INDEX(STPP!$E$6:$E$4207,MATCH(C2726,STPP!$C$6:$C$4207,0)),"Not Found"))</f>
        <v/>
      </c>
      <c r="F2726" s="27" t="str" cm="1">
        <f t="array" ref="F2726">IF(C2726="","",IFERROR(INDEX(STPP!$F$6:$F$4207,MATCH(C2726,STPP!$C$6:$C$4207,0)),"Not Found"))</f>
        <v/>
      </c>
      <c r="G2726" s="25" t="str">
        <f>IF(表1[[#This Row],[No Seri]]="","",表1[[#This Row],[Deskripsi Barang]]+表1[[#This Row],[Kuantitas]]-表1[[#This Row],[Satuan]])</f>
        <v/>
      </c>
      <c r="H2726" s="28"/>
      <c r="I2726" s="25" t="str">
        <f>IF(表1[[#This Row],[Tgl NPBG]]&gt;表1[[#This Row],[Peminta]],表1[[#This Row],[Tgl NPBG]]-表1[[#This Row],[Peminta]],"")</f>
        <v/>
      </c>
      <c r="J2726" s="31"/>
    </row>
    <row r="2727" s="12" customFormat="1" customHeight="1" spans="2:10">
      <c r="B2727" s="25"/>
      <c r="C2727" s="25"/>
      <c r="D2727" s="26" t="str" cm="1">
        <f t="array" ref="D2727">IF(C2727="","",IFERROR(INDEX(STPP!$D$6:$D$4207,MATCH(C2727,STPP!$C$6:$C$4207,0)),"Not Found"))</f>
        <v/>
      </c>
      <c r="E2727" s="27" t="str" cm="1">
        <f t="array" ref="E2727">IF(C2727="","",IFERROR(INDEX(STPP!$E$6:$E$4207,MATCH(C2727,STPP!$C$6:$C$4207,0)),"Not Found"))</f>
        <v/>
      </c>
      <c r="F2727" s="27" t="str" cm="1">
        <f t="array" ref="F2727">IF(C2727="","",IFERROR(INDEX(STPP!$F$6:$F$4207,MATCH(C2727,STPP!$C$6:$C$4207,0)),"Not Found"))</f>
        <v/>
      </c>
      <c r="G2727" s="25" t="str">
        <f>IF(表1[[#This Row],[No Seri]]="","",表1[[#This Row],[Deskripsi Barang]]+表1[[#This Row],[Kuantitas]]-表1[[#This Row],[Satuan]])</f>
        <v/>
      </c>
      <c r="H2727" s="28"/>
      <c r="I2727" s="25" t="str">
        <f>IF(表1[[#This Row],[Tgl NPBG]]&gt;表1[[#This Row],[Peminta]],表1[[#This Row],[Tgl NPBG]]-表1[[#This Row],[Peminta]],"")</f>
        <v/>
      </c>
      <c r="J2727" s="31"/>
    </row>
    <row r="2728" s="12" customFormat="1" customHeight="1" spans="2:10">
      <c r="B2728" s="25"/>
      <c r="C2728" s="25"/>
      <c r="D2728" s="26" t="str" cm="1">
        <f t="array" ref="D2728">IF(C2728="","",IFERROR(INDEX(STPP!$D$6:$D$4207,MATCH(C2728,STPP!$C$6:$C$4207,0)),"Not Found"))</f>
        <v/>
      </c>
      <c r="E2728" s="27" t="str" cm="1">
        <f t="array" ref="E2728">IF(C2728="","",IFERROR(INDEX(STPP!$E$6:$E$4207,MATCH(C2728,STPP!$C$6:$C$4207,0)),"Not Found"))</f>
        <v/>
      </c>
      <c r="F2728" s="27" t="str" cm="1">
        <f t="array" ref="F2728">IF(C2728="","",IFERROR(INDEX(STPP!$F$6:$F$4207,MATCH(C2728,STPP!$C$6:$C$4207,0)),"Not Found"))</f>
        <v/>
      </c>
      <c r="G2728" s="25" t="str">
        <f>IF(表1[[#This Row],[No Seri]]="","",表1[[#This Row],[Deskripsi Barang]]+表1[[#This Row],[Kuantitas]]-表1[[#This Row],[Satuan]])</f>
        <v/>
      </c>
      <c r="H2728" s="28"/>
      <c r="I2728" s="25" t="str">
        <f>IF(表1[[#This Row],[Tgl NPBG]]&gt;表1[[#This Row],[Peminta]],表1[[#This Row],[Tgl NPBG]]-表1[[#This Row],[Peminta]],"")</f>
        <v/>
      </c>
      <c r="J2728" s="31"/>
    </row>
    <row r="2729" s="12" customFormat="1" customHeight="1" spans="2:10">
      <c r="B2729" s="25"/>
      <c r="C2729" s="25"/>
      <c r="D2729" s="26" t="str" cm="1">
        <f t="array" ref="D2729">IF(C2729="","",IFERROR(INDEX(STPP!$D$6:$D$4207,MATCH(C2729,STPP!$C$6:$C$4207,0)),"Not Found"))</f>
        <v/>
      </c>
      <c r="E2729" s="27" t="str" cm="1">
        <f t="array" ref="E2729">IF(C2729="","",IFERROR(INDEX(STPP!$E$6:$E$4207,MATCH(C2729,STPP!$C$6:$C$4207,0)),"Not Found"))</f>
        <v/>
      </c>
      <c r="F2729" s="27" t="str" cm="1">
        <f t="array" ref="F2729">IF(C2729="","",IFERROR(INDEX(STPP!$F$6:$F$4207,MATCH(C2729,STPP!$C$6:$C$4207,0)),"Not Found"))</f>
        <v/>
      </c>
      <c r="G2729" s="25" t="str">
        <f>IF(表1[[#This Row],[No Seri]]="","",表1[[#This Row],[Deskripsi Barang]]+表1[[#This Row],[Kuantitas]]-表1[[#This Row],[Satuan]])</f>
        <v/>
      </c>
      <c r="H2729" s="28"/>
      <c r="I2729" s="25" t="str">
        <f>IF(表1[[#This Row],[Tgl NPBG]]&gt;表1[[#This Row],[Peminta]],表1[[#This Row],[Tgl NPBG]]-表1[[#This Row],[Peminta]],"")</f>
        <v/>
      </c>
      <c r="J2729" s="31"/>
    </row>
    <row r="2730" s="12" customFormat="1" customHeight="1" spans="2:10">
      <c r="B2730" s="25"/>
      <c r="C2730" s="25"/>
      <c r="D2730" s="26" t="str" cm="1">
        <f t="array" ref="D2730">IF(C2730="","",IFERROR(INDEX(STPP!$D$6:$D$4207,MATCH(C2730,STPP!$C$6:$C$4207,0)),"Not Found"))</f>
        <v/>
      </c>
      <c r="E2730" s="27" t="str" cm="1">
        <f t="array" ref="E2730">IF(C2730="","",IFERROR(INDEX(STPP!$E$6:$E$4207,MATCH(C2730,STPP!$C$6:$C$4207,0)),"Not Found"))</f>
        <v/>
      </c>
      <c r="F2730" s="27" t="str" cm="1">
        <f t="array" ref="F2730">IF(C2730="","",IFERROR(INDEX(STPP!$F$6:$F$4207,MATCH(C2730,STPP!$C$6:$C$4207,0)),"Not Found"))</f>
        <v/>
      </c>
      <c r="G2730" s="25" t="str">
        <f>IF(表1[[#This Row],[No Seri]]="","",表1[[#This Row],[Deskripsi Barang]]+表1[[#This Row],[Kuantitas]]-表1[[#This Row],[Satuan]])</f>
        <v/>
      </c>
      <c r="H2730" s="28"/>
      <c r="I2730" s="25" t="str">
        <f>IF(表1[[#This Row],[Tgl NPBG]]&gt;表1[[#This Row],[Peminta]],表1[[#This Row],[Tgl NPBG]]-表1[[#This Row],[Peminta]],"")</f>
        <v/>
      </c>
      <c r="J2730" s="31"/>
    </row>
    <row r="2731" s="12" customFormat="1" customHeight="1" spans="2:10">
      <c r="B2731" s="25"/>
      <c r="C2731" s="25"/>
      <c r="D2731" s="26" t="str" cm="1">
        <f t="array" ref="D2731">IF(C2731="","",IFERROR(INDEX(STPP!$D$6:$D$4207,MATCH(C2731,STPP!$C$6:$C$4207,0)),"Not Found"))</f>
        <v/>
      </c>
      <c r="E2731" s="27" t="str" cm="1">
        <f t="array" ref="E2731">IF(C2731="","",IFERROR(INDEX(STPP!$E$6:$E$4207,MATCH(C2731,STPP!$C$6:$C$4207,0)),"Not Found"))</f>
        <v/>
      </c>
      <c r="F2731" s="27" t="str" cm="1">
        <f t="array" ref="F2731">IF(C2731="","",IFERROR(INDEX(STPP!$F$6:$F$4207,MATCH(C2731,STPP!$C$6:$C$4207,0)),"Not Found"))</f>
        <v/>
      </c>
      <c r="G2731" s="25" t="str">
        <f>IF(表1[[#This Row],[No Seri]]="","",表1[[#This Row],[Deskripsi Barang]]+表1[[#This Row],[Kuantitas]]-表1[[#This Row],[Satuan]])</f>
        <v/>
      </c>
      <c r="H2731" s="28"/>
      <c r="I2731" s="25" t="str">
        <f>IF(表1[[#This Row],[Tgl NPBG]]&gt;表1[[#This Row],[Peminta]],表1[[#This Row],[Tgl NPBG]]-表1[[#This Row],[Peminta]],"")</f>
        <v/>
      </c>
      <c r="J2731" s="31"/>
    </row>
    <row r="2732" s="12" customFormat="1" customHeight="1" spans="2:10">
      <c r="B2732" s="25"/>
      <c r="C2732" s="25"/>
      <c r="D2732" s="26" t="str" cm="1">
        <f t="array" ref="D2732">IF(C2732="","",IFERROR(INDEX(STPP!$D$6:$D$4207,MATCH(C2732,STPP!$C$6:$C$4207,0)),"Not Found"))</f>
        <v/>
      </c>
      <c r="E2732" s="27" t="str" cm="1">
        <f t="array" ref="E2732">IF(C2732="","",IFERROR(INDEX(STPP!$E$6:$E$4207,MATCH(C2732,STPP!$C$6:$C$4207,0)),"Not Found"))</f>
        <v/>
      </c>
      <c r="F2732" s="27" t="str" cm="1">
        <f t="array" ref="F2732">IF(C2732="","",IFERROR(INDEX(STPP!$F$6:$F$4207,MATCH(C2732,STPP!$C$6:$C$4207,0)),"Not Found"))</f>
        <v/>
      </c>
      <c r="G2732" s="25" t="str">
        <f>IF(表1[[#This Row],[No Seri]]="","",表1[[#This Row],[Deskripsi Barang]]+表1[[#This Row],[Kuantitas]]-表1[[#This Row],[Satuan]])</f>
        <v/>
      </c>
      <c r="H2732" s="28"/>
      <c r="I2732" s="25" t="str">
        <f>IF(表1[[#This Row],[Tgl NPBG]]&gt;表1[[#This Row],[Peminta]],表1[[#This Row],[Tgl NPBG]]-表1[[#This Row],[Peminta]],"")</f>
        <v/>
      </c>
      <c r="J2732" s="31"/>
    </row>
    <row r="2733" s="12" customFormat="1" customHeight="1" spans="2:10">
      <c r="B2733" s="25"/>
      <c r="C2733" s="25"/>
      <c r="D2733" s="26" t="str" cm="1">
        <f t="array" ref="D2733">IF(C2733="","",IFERROR(INDEX(STPP!$D$6:$D$4207,MATCH(C2733,STPP!$C$6:$C$4207,0)),"Not Found"))</f>
        <v/>
      </c>
      <c r="E2733" s="27" t="str" cm="1">
        <f t="array" ref="E2733">IF(C2733="","",IFERROR(INDEX(STPP!$E$6:$E$4207,MATCH(C2733,STPP!$C$6:$C$4207,0)),"Not Found"))</f>
        <v/>
      </c>
      <c r="F2733" s="27" t="str" cm="1">
        <f t="array" ref="F2733">IF(C2733="","",IFERROR(INDEX(STPP!$F$6:$F$4207,MATCH(C2733,STPP!$C$6:$C$4207,0)),"Not Found"))</f>
        <v/>
      </c>
      <c r="G2733" s="25" t="str">
        <f>IF(表1[[#This Row],[No Seri]]="","",表1[[#This Row],[Deskripsi Barang]]+表1[[#This Row],[Kuantitas]]-表1[[#This Row],[Satuan]])</f>
        <v/>
      </c>
      <c r="H2733" s="28"/>
      <c r="I2733" s="25" t="str">
        <f>IF(表1[[#This Row],[Tgl NPBG]]&gt;表1[[#This Row],[Peminta]],表1[[#This Row],[Tgl NPBG]]-表1[[#This Row],[Peminta]],"")</f>
        <v/>
      </c>
      <c r="J2733" s="31"/>
    </row>
    <row r="2734" s="12" customFormat="1" customHeight="1" spans="2:10">
      <c r="B2734" s="25"/>
      <c r="C2734" s="25"/>
      <c r="D2734" s="26" t="str" cm="1">
        <f t="array" ref="D2734">IF(C2734="","",IFERROR(INDEX(STPP!$D$6:$D$4207,MATCH(C2734,STPP!$C$6:$C$4207,0)),"Not Found"))</f>
        <v/>
      </c>
      <c r="E2734" s="27" t="str" cm="1">
        <f t="array" ref="E2734">IF(C2734="","",IFERROR(INDEX(STPP!$E$6:$E$4207,MATCH(C2734,STPP!$C$6:$C$4207,0)),"Not Found"))</f>
        <v/>
      </c>
      <c r="F2734" s="27" t="str" cm="1">
        <f t="array" ref="F2734">IF(C2734="","",IFERROR(INDEX(STPP!$F$6:$F$4207,MATCH(C2734,STPP!$C$6:$C$4207,0)),"Not Found"))</f>
        <v/>
      </c>
      <c r="G2734" s="25" t="str">
        <f>IF(表1[[#This Row],[No Seri]]="","",表1[[#This Row],[Deskripsi Barang]]+表1[[#This Row],[Kuantitas]]-表1[[#This Row],[Satuan]])</f>
        <v/>
      </c>
      <c r="H2734" s="28"/>
      <c r="I2734" s="25" t="str">
        <f>IF(表1[[#This Row],[Tgl NPBG]]&gt;表1[[#This Row],[Peminta]],表1[[#This Row],[Tgl NPBG]]-表1[[#This Row],[Peminta]],"")</f>
        <v/>
      </c>
      <c r="J2734" s="31"/>
    </row>
    <row r="2735" s="12" customFormat="1" customHeight="1" spans="2:10">
      <c r="B2735" s="25"/>
      <c r="C2735" s="25"/>
      <c r="D2735" s="26" t="str" cm="1">
        <f t="array" ref="D2735">IF(C2735="","",IFERROR(INDEX(STPP!$D$6:$D$4207,MATCH(C2735,STPP!$C$6:$C$4207,0)),"Not Found"))</f>
        <v/>
      </c>
      <c r="E2735" s="27" t="str" cm="1">
        <f t="array" ref="E2735">IF(C2735="","",IFERROR(INDEX(STPP!$E$6:$E$4207,MATCH(C2735,STPP!$C$6:$C$4207,0)),"Not Found"))</f>
        <v/>
      </c>
      <c r="F2735" s="27" t="str" cm="1">
        <f t="array" ref="F2735">IF(C2735="","",IFERROR(INDEX(STPP!$F$6:$F$4207,MATCH(C2735,STPP!$C$6:$C$4207,0)),"Not Found"))</f>
        <v/>
      </c>
      <c r="G2735" s="25" t="str">
        <f>IF(表1[[#This Row],[No Seri]]="","",表1[[#This Row],[Deskripsi Barang]]+表1[[#This Row],[Kuantitas]]-表1[[#This Row],[Satuan]])</f>
        <v/>
      </c>
      <c r="H2735" s="28"/>
      <c r="I2735" s="25" t="str">
        <f>IF(表1[[#This Row],[Tgl NPBG]]&gt;表1[[#This Row],[Peminta]],表1[[#This Row],[Tgl NPBG]]-表1[[#This Row],[Peminta]],"")</f>
        <v/>
      </c>
      <c r="J2735" s="31"/>
    </row>
    <row r="2736" s="12" customFormat="1" customHeight="1" spans="2:10">
      <c r="B2736" s="25"/>
      <c r="C2736" s="25"/>
      <c r="D2736" s="26" t="str" cm="1">
        <f t="array" ref="D2736">IF(C2736="","",IFERROR(INDEX(STPP!$D$6:$D$4207,MATCH(C2736,STPP!$C$6:$C$4207,0)),"Not Found"))</f>
        <v/>
      </c>
      <c r="E2736" s="27" t="str" cm="1">
        <f t="array" ref="E2736">IF(C2736="","",IFERROR(INDEX(STPP!$E$6:$E$4207,MATCH(C2736,STPP!$C$6:$C$4207,0)),"Not Found"))</f>
        <v/>
      </c>
      <c r="F2736" s="27" t="str" cm="1">
        <f t="array" ref="F2736">IF(C2736="","",IFERROR(INDEX(STPP!$F$6:$F$4207,MATCH(C2736,STPP!$C$6:$C$4207,0)),"Not Found"))</f>
        <v/>
      </c>
      <c r="G2736" s="25" t="str">
        <f>IF(表1[[#This Row],[No Seri]]="","",表1[[#This Row],[Deskripsi Barang]]+表1[[#This Row],[Kuantitas]]-表1[[#This Row],[Satuan]])</f>
        <v/>
      </c>
      <c r="H2736" s="28"/>
      <c r="I2736" s="25" t="str">
        <f>IF(表1[[#This Row],[Tgl NPBG]]&gt;表1[[#This Row],[Peminta]],表1[[#This Row],[Tgl NPBG]]-表1[[#This Row],[Peminta]],"")</f>
        <v/>
      </c>
      <c r="J2736" s="31"/>
    </row>
    <row r="2737" s="12" customFormat="1" customHeight="1" spans="2:10">
      <c r="B2737" s="25"/>
      <c r="C2737" s="25"/>
      <c r="D2737" s="26" t="str" cm="1">
        <f t="array" ref="D2737">IF(C2737="","",IFERROR(INDEX(STPP!$D$6:$D$4207,MATCH(C2737,STPP!$C$6:$C$4207,0)),"Not Found"))</f>
        <v/>
      </c>
      <c r="E2737" s="27" t="str" cm="1">
        <f t="array" ref="E2737">IF(C2737="","",IFERROR(INDEX(STPP!$E$6:$E$4207,MATCH(C2737,STPP!$C$6:$C$4207,0)),"Not Found"))</f>
        <v/>
      </c>
      <c r="F2737" s="27" t="str" cm="1">
        <f t="array" ref="F2737">IF(C2737="","",IFERROR(INDEX(STPP!$F$6:$F$4207,MATCH(C2737,STPP!$C$6:$C$4207,0)),"Not Found"))</f>
        <v/>
      </c>
      <c r="G2737" s="25" t="str">
        <f>IF(表1[[#This Row],[No Seri]]="","",表1[[#This Row],[Deskripsi Barang]]+表1[[#This Row],[Kuantitas]]-表1[[#This Row],[Satuan]])</f>
        <v/>
      </c>
      <c r="H2737" s="28"/>
      <c r="I2737" s="25" t="str">
        <f>IF(表1[[#This Row],[Tgl NPBG]]&gt;表1[[#This Row],[Peminta]],表1[[#This Row],[Tgl NPBG]]-表1[[#This Row],[Peminta]],"")</f>
        <v/>
      </c>
      <c r="J2737" s="31"/>
    </row>
    <row r="2738" s="12" customFormat="1" customHeight="1" spans="2:10">
      <c r="B2738" s="25"/>
      <c r="C2738" s="25"/>
      <c r="D2738" s="26" t="str" cm="1">
        <f t="array" ref="D2738">IF(C2738="","",IFERROR(INDEX(STPP!$D$6:$D$4207,MATCH(C2738,STPP!$C$6:$C$4207,0)),"Not Found"))</f>
        <v/>
      </c>
      <c r="E2738" s="27" t="str" cm="1">
        <f t="array" ref="E2738">IF(C2738="","",IFERROR(INDEX(STPP!$E$6:$E$4207,MATCH(C2738,STPP!$C$6:$C$4207,0)),"Not Found"))</f>
        <v/>
      </c>
      <c r="F2738" s="27" t="str" cm="1">
        <f t="array" ref="F2738">IF(C2738="","",IFERROR(INDEX(STPP!$F$6:$F$4207,MATCH(C2738,STPP!$C$6:$C$4207,0)),"Not Found"))</f>
        <v/>
      </c>
      <c r="G2738" s="25" t="str">
        <f>IF(表1[[#This Row],[No Seri]]="","",表1[[#This Row],[Deskripsi Barang]]+表1[[#This Row],[Kuantitas]]-表1[[#This Row],[Satuan]])</f>
        <v/>
      </c>
      <c r="H2738" s="28"/>
      <c r="I2738" s="25" t="str">
        <f>IF(表1[[#This Row],[Tgl NPBG]]&gt;表1[[#This Row],[Peminta]],表1[[#This Row],[Tgl NPBG]]-表1[[#This Row],[Peminta]],"")</f>
        <v/>
      </c>
      <c r="J2738" s="31"/>
    </row>
    <row r="2739" s="12" customFormat="1" customHeight="1" spans="2:10">
      <c r="B2739" s="25"/>
      <c r="C2739" s="25"/>
      <c r="D2739" s="26" t="str" cm="1">
        <f t="array" ref="D2739">IF(C2739="","",IFERROR(INDEX(STPP!$D$6:$D$4207,MATCH(C2739,STPP!$C$6:$C$4207,0)),"Not Found"))</f>
        <v/>
      </c>
      <c r="E2739" s="27" t="str" cm="1">
        <f t="array" ref="E2739">IF(C2739="","",IFERROR(INDEX(STPP!$E$6:$E$4207,MATCH(C2739,STPP!$C$6:$C$4207,0)),"Not Found"))</f>
        <v/>
      </c>
      <c r="F2739" s="27" t="str" cm="1">
        <f t="array" ref="F2739">IF(C2739="","",IFERROR(INDEX(STPP!$F$6:$F$4207,MATCH(C2739,STPP!$C$6:$C$4207,0)),"Not Found"))</f>
        <v/>
      </c>
      <c r="G2739" s="25" t="str">
        <f>IF(表1[[#This Row],[No Seri]]="","",表1[[#This Row],[Deskripsi Barang]]+表1[[#This Row],[Kuantitas]]-表1[[#This Row],[Satuan]])</f>
        <v/>
      </c>
      <c r="H2739" s="28"/>
      <c r="I2739" s="25" t="str">
        <f>IF(表1[[#This Row],[Tgl NPBG]]&gt;表1[[#This Row],[Peminta]],表1[[#This Row],[Tgl NPBG]]-表1[[#This Row],[Peminta]],"")</f>
        <v/>
      </c>
      <c r="J2739" s="31"/>
    </row>
    <row r="2740" s="12" customFormat="1" customHeight="1" spans="2:10">
      <c r="B2740" s="25"/>
      <c r="C2740" s="25"/>
      <c r="D2740" s="26" t="str" cm="1">
        <f t="array" ref="D2740">IF(C2740="","",IFERROR(INDEX(STPP!$D$6:$D$4207,MATCH(C2740,STPP!$C$6:$C$4207,0)),"Not Found"))</f>
        <v/>
      </c>
      <c r="E2740" s="27" t="str" cm="1">
        <f t="array" ref="E2740">IF(C2740="","",IFERROR(INDEX(STPP!$E$6:$E$4207,MATCH(C2740,STPP!$C$6:$C$4207,0)),"Not Found"))</f>
        <v/>
      </c>
      <c r="F2740" s="27" t="str" cm="1">
        <f t="array" ref="F2740">IF(C2740="","",IFERROR(INDEX(STPP!$F$6:$F$4207,MATCH(C2740,STPP!$C$6:$C$4207,0)),"Not Found"))</f>
        <v/>
      </c>
      <c r="G2740" s="25" t="str">
        <f>IF(表1[[#This Row],[No Seri]]="","",表1[[#This Row],[Deskripsi Barang]]+表1[[#This Row],[Kuantitas]]-表1[[#This Row],[Satuan]])</f>
        <v/>
      </c>
      <c r="H2740" s="28"/>
      <c r="I2740" s="25" t="str">
        <f>IF(表1[[#This Row],[Tgl NPBG]]&gt;表1[[#This Row],[Peminta]],表1[[#This Row],[Tgl NPBG]]-表1[[#This Row],[Peminta]],"")</f>
        <v/>
      </c>
      <c r="J2740" s="31"/>
    </row>
    <row r="2741" s="12" customFormat="1" customHeight="1" spans="2:10">
      <c r="B2741" s="25"/>
      <c r="C2741" s="25"/>
      <c r="D2741" s="26" t="str" cm="1">
        <f t="array" ref="D2741">IF(C2741="","",IFERROR(INDEX(STPP!$D$6:$D$4207,MATCH(C2741,STPP!$C$6:$C$4207,0)),"Not Found"))</f>
        <v/>
      </c>
      <c r="E2741" s="27" t="str" cm="1">
        <f t="array" ref="E2741">IF(C2741="","",IFERROR(INDEX(STPP!$E$6:$E$4207,MATCH(C2741,STPP!$C$6:$C$4207,0)),"Not Found"))</f>
        <v/>
      </c>
      <c r="F2741" s="27" t="str" cm="1">
        <f t="array" ref="F2741">IF(C2741="","",IFERROR(INDEX(STPP!$F$6:$F$4207,MATCH(C2741,STPP!$C$6:$C$4207,0)),"Not Found"))</f>
        <v/>
      </c>
      <c r="G2741" s="25" t="str">
        <f>IF(表1[[#This Row],[No Seri]]="","",表1[[#This Row],[Deskripsi Barang]]+表1[[#This Row],[Kuantitas]]-表1[[#This Row],[Satuan]])</f>
        <v/>
      </c>
      <c r="H2741" s="28"/>
      <c r="I2741" s="25" t="str">
        <f>IF(表1[[#This Row],[Tgl NPBG]]&gt;表1[[#This Row],[Peminta]],表1[[#This Row],[Tgl NPBG]]-表1[[#This Row],[Peminta]],"")</f>
        <v/>
      </c>
      <c r="J2741" s="31"/>
    </row>
    <row r="2742" s="12" customFormat="1" customHeight="1" spans="2:10">
      <c r="B2742" s="25"/>
      <c r="C2742" s="25"/>
      <c r="D2742" s="26" t="str" cm="1">
        <f t="array" ref="D2742">IF(C2742="","",IFERROR(INDEX(STPP!$D$6:$D$4207,MATCH(C2742,STPP!$C$6:$C$4207,0)),"Not Found"))</f>
        <v/>
      </c>
      <c r="E2742" s="27" t="str" cm="1">
        <f t="array" ref="E2742">IF(C2742="","",IFERROR(INDEX(STPP!$E$6:$E$4207,MATCH(C2742,STPP!$C$6:$C$4207,0)),"Not Found"))</f>
        <v/>
      </c>
      <c r="F2742" s="27" t="str" cm="1">
        <f t="array" ref="F2742">IF(C2742="","",IFERROR(INDEX(STPP!$F$6:$F$4207,MATCH(C2742,STPP!$C$6:$C$4207,0)),"Not Found"))</f>
        <v/>
      </c>
      <c r="G2742" s="25" t="str">
        <f>IF(表1[[#This Row],[No Seri]]="","",表1[[#This Row],[Deskripsi Barang]]+表1[[#This Row],[Kuantitas]]-表1[[#This Row],[Satuan]])</f>
        <v/>
      </c>
      <c r="H2742" s="28"/>
      <c r="I2742" s="25" t="str">
        <f>IF(表1[[#This Row],[Tgl NPBG]]&gt;表1[[#This Row],[Peminta]],表1[[#This Row],[Tgl NPBG]]-表1[[#This Row],[Peminta]],"")</f>
        <v/>
      </c>
      <c r="J2742" s="31"/>
    </row>
    <row r="2743" s="12" customFormat="1" customHeight="1" spans="2:10">
      <c r="B2743" s="25"/>
      <c r="C2743" s="25"/>
      <c r="D2743" s="26" t="str" cm="1">
        <f t="array" ref="D2743">IF(C2743="","",IFERROR(INDEX(STPP!$D$6:$D$4207,MATCH(C2743,STPP!$C$6:$C$4207,0)),"Not Found"))</f>
        <v/>
      </c>
      <c r="E2743" s="27" t="str" cm="1">
        <f t="array" ref="E2743">IF(C2743="","",IFERROR(INDEX(STPP!$E$6:$E$4207,MATCH(C2743,STPP!$C$6:$C$4207,0)),"Not Found"))</f>
        <v/>
      </c>
      <c r="F2743" s="27" t="str" cm="1">
        <f t="array" ref="F2743">IF(C2743="","",IFERROR(INDEX(STPP!$F$6:$F$4207,MATCH(C2743,STPP!$C$6:$C$4207,0)),"Not Found"))</f>
        <v/>
      </c>
      <c r="G2743" s="25" t="str">
        <f>IF(表1[[#This Row],[No Seri]]="","",表1[[#This Row],[Deskripsi Barang]]+表1[[#This Row],[Kuantitas]]-表1[[#This Row],[Satuan]])</f>
        <v/>
      </c>
      <c r="H2743" s="28"/>
      <c r="I2743" s="25" t="str">
        <f>IF(表1[[#This Row],[Tgl NPBG]]&gt;表1[[#This Row],[Peminta]],表1[[#This Row],[Tgl NPBG]]-表1[[#This Row],[Peminta]],"")</f>
        <v/>
      </c>
      <c r="J2743" s="31"/>
    </row>
    <row r="2744" s="12" customFormat="1" customHeight="1" spans="2:10">
      <c r="B2744" s="25"/>
      <c r="C2744" s="25"/>
      <c r="D2744" s="26" t="str" cm="1">
        <f t="array" ref="D2744">IF(C2744="","",IFERROR(INDEX(STPP!$D$6:$D$4207,MATCH(C2744,STPP!$C$6:$C$4207,0)),"Not Found"))</f>
        <v/>
      </c>
      <c r="E2744" s="27" t="str" cm="1">
        <f t="array" ref="E2744">IF(C2744="","",IFERROR(INDEX(STPP!$E$6:$E$4207,MATCH(C2744,STPP!$C$6:$C$4207,0)),"Not Found"))</f>
        <v/>
      </c>
      <c r="F2744" s="27" t="str" cm="1">
        <f t="array" ref="F2744">IF(C2744="","",IFERROR(INDEX(STPP!$F$6:$F$4207,MATCH(C2744,STPP!$C$6:$C$4207,0)),"Not Found"))</f>
        <v/>
      </c>
      <c r="G2744" s="25" t="str">
        <f>IF(表1[[#This Row],[No Seri]]="","",表1[[#This Row],[Deskripsi Barang]]+表1[[#This Row],[Kuantitas]]-表1[[#This Row],[Satuan]])</f>
        <v/>
      </c>
      <c r="H2744" s="28"/>
      <c r="I2744" s="25" t="str">
        <f>IF(表1[[#This Row],[Tgl NPBG]]&gt;表1[[#This Row],[Peminta]],表1[[#This Row],[Tgl NPBG]]-表1[[#This Row],[Peminta]],"")</f>
        <v/>
      </c>
      <c r="J2744" s="31"/>
    </row>
    <row r="2745" s="12" customFormat="1" customHeight="1" spans="2:10">
      <c r="B2745" s="25"/>
      <c r="C2745" s="25"/>
      <c r="D2745" s="26" t="str" cm="1">
        <f t="array" ref="D2745">IF(C2745="","",IFERROR(INDEX(STPP!$D$6:$D$4207,MATCH(C2745,STPP!$C$6:$C$4207,0)),"Not Found"))</f>
        <v/>
      </c>
      <c r="E2745" s="27" t="str" cm="1">
        <f t="array" ref="E2745">IF(C2745="","",IFERROR(INDEX(STPP!$E$6:$E$4207,MATCH(C2745,STPP!$C$6:$C$4207,0)),"Not Found"))</f>
        <v/>
      </c>
      <c r="F2745" s="27" t="str" cm="1">
        <f t="array" ref="F2745">IF(C2745="","",IFERROR(INDEX(STPP!$F$6:$F$4207,MATCH(C2745,STPP!$C$6:$C$4207,0)),"Not Found"))</f>
        <v/>
      </c>
      <c r="G2745" s="25" t="str">
        <f>IF(表1[[#This Row],[No Seri]]="","",表1[[#This Row],[Deskripsi Barang]]+表1[[#This Row],[Kuantitas]]-表1[[#This Row],[Satuan]])</f>
        <v/>
      </c>
      <c r="H2745" s="28"/>
      <c r="I2745" s="25" t="str">
        <f>IF(表1[[#This Row],[Tgl NPBG]]&gt;表1[[#This Row],[Peminta]],表1[[#This Row],[Tgl NPBG]]-表1[[#This Row],[Peminta]],"")</f>
        <v/>
      </c>
      <c r="J2745" s="31"/>
    </row>
    <row r="2746" s="12" customFormat="1" customHeight="1" spans="2:10">
      <c r="B2746" s="25"/>
      <c r="C2746" s="25"/>
      <c r="D2746" s="26" t="str" cm="1">
        <f t="array" ref="D2746">IF(C2746="","",IFERROR(INDEX(STPP!$D$6:$D$4207,MATCH(C2746,STPP!$C$6:$C$4207,0)),"Not Found"))</f>
        <v/>
      </c>
      <c r="E2746" s="27" t="str" cm="1">
        <f t="array" ref="E2746">IF(C2746="","",IFERROR(INDEX(STPP!$E$6:$E$4207,MATCH(C2746,STPP!$C$6:$C$4207,0)),"Not Found"))</f>
        <v/>
      </c>
      <c r="F2746" s="27" t="str" cm="1">
        <f t="array" ref="F2746">IF(C2746="","",IFERROR(INDEX(STPP!$F$6:$F$4207,MATCH(C2746,STPP!$C$6:$C$4207,0)),"Not Found"))</f>
        <v/>
      </c>
      <c r="G2746" s="25" t="str">
        <f>IF(表1[[#This Row],[No Seri]]="","",表1[[#This Row],[Deskripsi Barang]]+表1[[#This Row],[Kuantitas]]-表1[[#This Row],[Satuan]])</f>
        <v/>
      </c>
      <c r="H2746" s="28"/>
      <c r="I2746" s="25" t="str">
        <f>IF(表1[[#This Row],[Tgl NPBG]]&gt;表1[[#This Row],[Peminta]],表1[[#This Row],[Tgl NPBG]]-表1[[#This Row],[Peminta]],"")</f>
        <v/>
      </c>
      <c r="J2746" s="31"/>
    </row>
    <row r="2747" s="12" customFormat="1" customHeight="1" spans="2:10">
      <c r="B2747" s="25"/>
      <c r="C2747" s="25"/>
      <c r="D2747" s="26" t="str" cm="1">
        <f t="array" ref="D2747">IF(C2747="","",IFERROR(INDEX(STPP!$D$6:$D$4207,MATCH(C2747,STPP!$C$6:$C$4207,0)),"Not Found"))</f>
        <v/>
      </c>
      <c r="E2747" s="27" t="str" cm="1">
        <f t="array" ref="E2747">IF(C2747="","",IFERROR(INDEX(STPP!$E$6:$E$4207,MATCH(C2747,STPP!$C$6:$C$4207,0)),"Not Found"))</f>
        <v/>
      </c>
      <c r="F2747" s="27" t="str" cm="1">
        <f t="array" ref="F2747">IF(C2747="","",IFERROR(INDEX(STPP!$F$6:$F$4207,MATCH(C2747,STPP!$C$6:$C$4207,0)),"Not Found"))</f>
        <v/>
      </c>
      <c r="G2747" s="25" t="str">
        <f>IF(表1[[#This Row],[No Seri]]="","",表1[[#This Row],[Deskripsi Barang]]+表1[[#This Row],[Kuantitas]]-表1[[#This Row],[Satuan]])</f>
        <v/>
      </c>
      <c r="H2747" s="28"/>
      <c r="I2747" s="25" t="str">
        <f>IF(表1[[#This Row],[Tgl NPBG]]&gt;表1[[#This Row],[Peminta]],表1[[#This Row],[Tgl NPBG]]-表1[[#This Row],[Peminta]],"")</f>
        <v/>
      </c>
      <c r="J2747" s="31"/>
    </row>
    <row r="2748" s="12" customFormat="1" customHeight="1" spans="2:10">
      <c r="B2748" s="25"/>
      <c r="C2748" s="25"/>
      <c r="D2748" s="26" t="str" cm="1">
        <f t="array" ref="D2748">IF(C2748="","",IFERROR(INDEX(STPP!$D$6:$D$4207,MATCH(C2748,STPP!$C$6:$C$4207,0)),"Not Found"))</f>
        <v/>
      </c>
      <c r="E2748" s="27" t="str" cm="1">
        <f t="array" ref="E2748">IF(C2748="","",IFERROR(INDEX(STPP!$E$6:$E$4207,MATCH(C2748,STPP!$C$6:$C$4207,0)),"Not Found"))</f>
        <v/>
      </c>
      <c r="F2748" s="27" t="str" cm="1">
        <f t="array" ref="F2748">IF(C2748="","",IFERROR(INDEX(STPP!$F$6:$F$4207,MATCH(C2748,STPP!$C$6:$C$4207,0)),"Not Found"))</f>
        <v/>
      </c>
      <c r="G2748" s="25" t="str">
        <f>IF(表1[[#This Row],[No Seri]]="","",表1[[#This Row],[Deskripsi Barang]]+表1[[#This Row],[Kuantitas]]-表1[[#This Row],[Satuan]])</f>
        <v/>
      </c>
      <c r="H2748" s="28"/>
      <c r="I2748" s="25" t="str">
        <f>IF(表1[[#This Row],[Tgl NPBG]]&gt;表1[[#This Row],[Peminta]],表1[[#This Row],[Tgl NPBG]]-表1[[#This Row],[Peminta]],"")</f>
        <v/>
      </c>
      <c r="J2748" s="31"/>
    </row>
    <row r="2749" s="12" customFormat="1" customHeight="1" spans="2:10">
      <c r="B2749" s="25"/>
      <c r="C2749" s="25"/>
      <c r="D2749" s="26" t="str" cm="1">
        <f t="array" ref="D2749">IF(C2749="","",IFERROR(INDEX(STPP!$D$6:$D$4207,MATCH(C2749,STPP!$C$6:$C$4207,0)),"Not Found"))</f>
        <v/>
      </c>
      <c r="E2749" s="27" t="str" cm="1">
        <f t="array" ref="E2749">IF(C2749="","",IFERROR(INDEX(STPP!$E$6:$E$4207,MATCH(C2749,STPP!$C$6:$C$4207,0)),"Not Found"))</f>
        <v/>
      </c>
      <c r="F2749" s="27" t="str" cm="1">
        <f t="array" ref="F2749">IF(C2749="","",IFERROR(INDEX(STPP!$F$6:$F$4207,MATCH(C2749,STPP!$C$6:$C$4207,0)),"Not Found"))</f>
        <v/>
      </c>
      <c r="G2749" s="25" t="str">
        <f>IF(表1[[#This Row],[No Seri]]="","",表1[[#This Row],[Deskripsi Barang]]+表1[[#This Row],[Kuantitas]]-表1[[#This Row],[Satuan]])</f>
        <v/>
      </c>
      <c r="H2749" s="28"/>
      <c r="I2749" s="25" t="str">
        <f>IF(表1[[#This Row],[Tgl NPBG]]&gt;表1[[#This Row],[Peminta]],表1[[#This Row],[Tgl NPBG]]-表1[[#This Row],[Peminta]],"")</f>
        <v/>
      </c>
      <c r="J2749" s="31"/>
    </row>
    <row r="2750" s="12" customFormat="1" customHeight="1" spans="2:10">
      <c r="B2750" s="25"/>
      <c r="C2750" s="25"/>
      <c r="D2750" s="26" t="str" cm="1">
        <f t="array" ref="D2750">IF(C2750="","",IFERROR(INDEX(STPP!$D$6:$D$4207,MATCH(C2750,STPP!$C$6:$C$4207,0)),"Not Found"))</f>
        <v/>
      </c>
      <c r="E2750" s="27" t="str" cm="1">
        <f t="array" ref="E2750">IF(C2750="","",IFERROR(INDEX(STPP!$E$6:$E$4207,MATCH(C2750,STPP!$C$6:$C$4207,0)),"Not Found"))</f>
        <v/>
      </c>
      <c r="F2750" s="27" t="str" cm="1">
        <f t="array" ref="F2750">IF(C2750="","",IFERROR(INDEX(STPP!$F$6:$F$4207,MATCH(C2750,STPP!$C$6:$C$4207,0)),"Not Found"))</f>
        <v/>
      </c>
      <c r="G2750" s="25" t="str">
        <f>IF(表1[[#This Row],[No Seri]]="","",表1[[#This Row],[Deskripsi Barang]]+表1[[#This Row],[Kuantitas]]-表1[[#This Row],[Satuan]])</f>
        <v/>
      </c>
      <c r="H2750" s="28"/>
      <c r="I2750" s="25" t="str">
        <f>IF(表1[[#This Row],[Tgl NPBG]]&gt;表1[[#This Row],[Peminta]],表1[[#This Row],[Tgl NPBG]]-表1[[#This Row],[Peminta]],"")</f>
        <v/>
      </c>
      <c r="J2750" s="31"/>
    </row>
    <row r="2751" s="12" customFormat="1" customHeight="1" spans="2:10">
      <c r="B2751" s="25"/>
      <c r="C2751" s="25"/>
      <c r="D2751" s="26" t="str" cm="1">
        <f t="array" ref="D2751">IF(C2751="","",IFERROR(INDEX(STPP!$D$6:$D$4207,MATCH(C2751,STPP!$C$6:$C$4207,0)),"Not Found"))</f>
        <v/>
      </c>
      <c r="E2751" s="27" t="str" cm="1">
        <f t="array" ref="E2751">IF(C2751="","",IFERROR(INDEX(STPP!$E$6:$E$4207,MATCH(C2751,STPP!$C$6:$C$4207,0)),"Not Found"))</f>
        <v/>
      </c>
      <c r="F2751" s="27" t="str" cm="1">
        <f t="array" ref="F2751">IF(C2751="","",IFERROR(INDEX(STPP!$F$6:$F$4207,MATCH(C2751,STPP!$C$6:$C$4207,0)),"Not Found"))</f>
        <v/>
      </c>
      <c r="G2751" s="25" t="str">
        <f>IF(表1[[#This Row],[No Seri]]="","",表1[[#This Row],[Deskripsi Barang]]+表1[[#This Row],[Kuantitas]]-表1[[#This Row],[Satuan]])</f>
        <v/>
      </c>
      <c r="H2751" s="28"/>
      <c r="I2751" s="25" t="str">
        <f>IF(表1[[#This Row],[Tgl NPBG]]&gt;表1[[#This Row],[Peminta]],表1[[#This Row],[Tgl NPBG]]-表1[[#This Row],[Peminta]],"")</f>
        <v/>
      </c>
      <c r="J2751" s="31"/>
    </row>
    <row r="2752" s="12" customFormat="1" customHeight="1" spans="2:10">
      <c r="B2752" s="25"/>
      <c r="C2752" s="25"/>
      <c r="D2752" s="26" t="str" cm="1">
        <f t="array" ref="D2752">IF(C2752="","",IFERROR(INDEX(STPP!$D$6:$D$4207,MATCH(C2752,STPP!$C$6:$C$4207,0)),"Not Found"))</f>
        <v/>
      </c>
      <c r="E2752" s="27" t="str" cm="1">
        <f t="array" ref="E2752">IF(C2752="","",IFERROR(INDEX(STPP!$E$6:$E$4207,MATCH(C2752,STPP!$C$6:$C$4207,0)),"Not Found"))</f>
        <v/>
      </c>
      <c r="F2752" s="27" t="str" cm="1">
        <f t="array" ref="F2752">IF(C2752="","",IFERROR(INDEX(STPP!$F$6:$F$4207,MATCH(C2752,STPP!$C$6:$C$4207,0)),"Not Found"))</f>
        <v/>
      </c>
      <c r="G2752" s="25" t="str">
        <f>IF(表1[[#This Row],[No Seri]]="","",表1[[#This Row],[Deskripsi Barang]]+表1[[#This Row],[Kuantitas]]-表1[[#This Row],[Satuan]])</f>
        <v/>
      </c>
      <c r="H2752" s="28"/>
      <c r="I2752" s="25" t="str">
        <f>IF(表1[[#This Row],[Tgl NPBG]]&gt;表1[[#This Row],[Peminta]],表1[[#This Row],[Tgl NPBG]]-表1[[#This Row],[Peminta]],"")</f>
        <v/>
      </c>
      <c r="J2752" s="31"/>
    </row>
    <row r="2753" s="12" customFormat="1" customHeight="1" spans="2:10">
      <c r="B2753" s="25"/>
      <c r="C2753" s="25"/>
      <c r="D2753" s="26" t="str" cm="1">
        <f t="array" ref="D2753">IF(C2753="","",IFERROR(INDEX(STPP!$D$6:$D$4207,MATCH(C2753,STPP!$C$6:$C$4207,0)),"Not Found"))</f>
        <v/>
      </c>
      <c r="E2753" s="27" t="str" cm="1">
        <f t="array" ref="E2753">IF(C2753="","",IFERROR(INDEX(STPP!$E$6:$E$4207,MATCH(C2753,STPP!$C$6:$C$4207,0)),"Not Found"))</f>
        <v/>
      </c>
      <c r="F2753" s="27" t="str" cm="1">
        <f t="array" ref="F2753">IF(C2753="","",IFERROR(INDEX(STPP!$F$6:$F$4207,MATCH(C2753,STPP!$C$6:$C$4207,0)),"Not Found"))</f>
        <v/>
      </c>
      <c r="G2753" s="25" t="str">
        <f>IF(表1[[#This Row],[No Seri]]="","",表1[[#This Row],[Deskripsi Barang]]+表1[[#This Row],[Kuantitas]]-表1[[#This Row],[Satuan]])</f>
        <v/>
      </c>
      <c r="H2753" s="28"/>
      <c r="I2753" s="25" t="str">
        <f>IF(表1[[#This Row],[Tgl NPBG]]&gt;表1[[#This Row],[Peminta]],表1[[#This Row],[Tgl NPBG]]-表1[[#This Row],[Peminta]],"")</f>
        <v/>
      </c>
      <c r="J2753" s="31"/>
    </row>
    <row r="2754" s="12" customFormat="1" customHeight="1" spans="2:10">
      <c r="B2754" s="25"/>
      <c r="C2754" s="25"/>
      <c r="D2754" s="26" t="str" cm="1">
        <f t="array" ref="D2754">IF(C2754="","",IFERROR(INDEX(STPP!$D$6:$D$4207,MATCH(C2754,STPP!$C$6:$C$4207,0)),"Not Found"))</f>
        <v/>
      </c>
      <c r="E2754" s="27" t="str" cm="1">
        <f t="array" ref="E2754">IF(C2754="","",IFERROR(INDEX(STPP!$E$6:$E$4207,MATCH(C2754,STPP!$C$6:$C$4207,0)),"Not Found"))</f>
        <v/>
      </c>
      <c r="F2754" s="27" t="str" cm="1">
        <f t="array" ref="F2754">IF(C2754="","",IFERROR(INDEX(STPP!$F$6:$F$4207,MATCH(C2754,STPP!$C$6:$C$4207,0)),"Not Found"))</f>
        <v/>
      </c>
      <c r="G2754" s="25" t="str">
        <f>IF(表1[[#This Row],[No Seri]]="","",表1[[#This Row],[Deskripsi Barang]]+表1[[#This Row],[Kuantitas]]-表1[[#This Row],[Satuan]])</f>
        <v/>
      </c>
      <c r="H2754" s="28"/>
      <c r="I2754" s="25" t="str">
        <f>IF(表1[[#This Row],[Tgl NPBG]]&gt;表1[[#This Row],[Peminta]],表1[[#This Row],[Tgl NPBG]]-表1[[#This Row],[Peminta]],"")</f>
        <v/>
      </c>
      <c r="J2754" s="31"/>
    </row>
    <row r="2755" s="12" customFormat="1" customHeight="1" spans="2:10">
      <c r="B2755" s="25"/>
      <c r="C2755" s="25"/>
      <c r="D2755" s="26" t="str" cm="1">
        <f t="array" ref="D2755">IF(C2755="","",IFERROR(INDEX(STPP!$D$6:$D$4207,MATCH(C2755,STPP!$C$6:$C$4207,0)),"Not Found"))</f>
        <v/>
      </c>
      <c r="E2755" s="27" t="str" cm="1">
        <f t="array" ref="E2755">IF(C2755="","",IFERROR(INDEX(STPP!$E$6:$E$4207,MATCH(C2755,STPP!$C$6:$C$4207,0)),"Not Found"))</f>
        <v/>
      </c>
      <c r="F2755" s="27" t="str" cm="1">
        <f t="array" ref="F2755">IF(C2755="","",IFERROR(INDEX(STPP!$F$6:$F$4207,MATCH(C2755,STPP!$C$6:$C$4207,0)),"Not Found"))</f>
        <v/>
      </c>
      <c r="G2755" s="25" t="str">
        <f>IF(表1[[#This Row],[No Seri]]="","",表1[[#This Row],[Deskripsi Barang]]+表1[[#This Row],[Kuantitas]]-表1[[#This Row],[Satuan]])</f>
        <v/>
      </c>
      <c r="H2755" s="28"/>
      <c r="I2755" s="25" t="str">
        <f>IF(表1[[#This Row],[Tgl NPBG]]&gt;表1[[#This Row],[Peminta]],表1[[#This Row],[Tgl NPBG]]-表1[[#This Row],[Peminta]],"")</f>
        <v/>
      </c>
      <c r="J2755" s="31"/>
    </row>
    <row r="2756" s="12" customFormat="1" customHeight="1" spans="2:10">
      <c r="B2756" s="25"/>
      <c r="C2756" s="25"/>
      <c r="D2756" s="26" t="str" cm="1">
        <f t="array" ref="D2756">IF(C2756="","",IFERROR(INDEX(STPP!$D$6:$D$4207,MATCH(C2756,STPP!$C$6:$C$4207,0)),"Not Found"))</f>
        <v/>
      </c>
      <c r="E2756" s="27" t="str" cm="1">
        <f t="array" ref="E2756">IF(C2756="","",IFERROR(INDEX(STPP!$E$6:$E$4207,MATCH(C2756,STPP!$C$6:$C$4207,0)),"Not Found"))</f>
        <v/>
      </c>
      <c r="F2756" s="27" t="str" cm="1">
        <f t="array" ref="F2756">IF(C2756="","",IFERROR(INDEX(STPP!$F$6:$F$4207,MATCH(C2756,STPP!$C$6:$C$4207,0)),"Not Found"))</f>
        <v/>
      </c>
      <c r="G2756" s="25" t="str">
        <f>IF(表1[[#This Row],[No Seri]]="","",表1[[#This Row],[Deskripsi Barang]]+表1[[#This Row],[Kuantitas]]-表1[[#This Row],[Satuan]])</f>
        <v/>
      </c>
      <c r="H2756" s="28"/>
      <c r="I2756" s="25" t="str">
        <f>IF(表1[[#This Row],[Tgl NPBG]]&gt;表1[[#This Row],[Peminta]],表1[[#This Row],[Tgl NPBG]]-表1[[#This Row],[Peminta]],"")</f>
        <v/>
      </c>
      <c r="J2756" s="31"/>
    </row>
    <row r="2757" s="12" customFormat="1" customHeight="1" spans="2:10">
      <c r="B2757" s="25"/>
      <c r="C2757" s="25"/>
      <c r="D2757" s="26" t="str" cm="1">
        <f t="array" ref="D2757">IF(C2757="","",IFERROR(INDEX(STPP!$D$6:$D$4207,MATCH(C2757,STPP!$C$6:$C$4207,0)),"Not Found"))</f>
        <v/>
      </c>
      <c r="E2757" s="27" t="str" cm="1">
        <f t="array" ref="E2757">IF(C2757="","",IFERROR(INDEX(STPP!$E$6:$E$4207,MATCH(C2757,STPP!$C$6:$C$4207,0)),"Not Found"))</f>
        <v/>
      </c>
      <c r="F2757" s="27" t="str" cm="1">
        <f t="array" ref="F2757">IF(C2757="","",IFERROR(INDEX(STPP!$F$6:$F$4207,MATCH(C2757,STPP!$C$6:$C$4207,0)),"Not Found"))</f>
        <v/>
      </c>
      <c r="G2757" s="25" t="str">
        <f>IF(表1[[#This Row],[No Seri]]="","",表1[[#This Row],[Deskripsi Barang]]+表1[[#This Row],[Kuantitas]]-表1[[#This Row],[Satuan]])</f>
        <v/>
      </c>
      <c r="H2757" s="28"/>
      <c r="I2757" s="25" t="str">
        <f>IF(表1[[#This Row],[Tgl NPBG]]&gt;表1[[#This Row],[Peminta]],表1[[#This Row],[Tgl NPBG]]-表1[[#This Row],[Peminta]],"")</f>
        <v/>
      </c>
      <c r="J2757" s="31"/>
    </row>
    <row r="2758" s="12" customFormat="1" customHeight="1" spans="2:10">
      <c r="B2758" s="25"/>
      <c r="C2758" s="25"/>
      <c r="D2758" s="26" t="str" cm="1">
        <f t="array" ref="D2758">IF(C2758="","",IFERROR(INDEX(STPP!$D$6:$D$4207,MATCH(C2758,STPP!$C$6:$C$4207,0)),"Not Found"))</f>
        <v/>
      </c>
      <c r="E2758" s="27" t="str" cm="1">
        <f t="array" ref="E2758">IF(C2758="","",IFERROR(INDEX(STPP!$E$6:$E$4207,MATCH(C2758,STPP!$C$6:$C$4207,0)),"Not Found"))</f>
        <v/>
      </c>
      <c r="F2758" s="27" t="str" cm="1">
        <f t="array" ref="F2758">IF(C2758="","",IFERROR(INDEX(STPP!$F$6:$F$4207,MATCH(C2758,STPP!$C$6:$C$4207,0)),"Not Found"))</f>
        <v/>
      </c>
      <c r="G2758" s="25" t="str">
        <f>IF(表1[[#This Row],[No Seri]]="","",表1[[#This Row],[Deskripsi Barang]]+表1[[#This Row],[Kuantitas]]-表1[[#This Row],[Satuan]])</f>
        <v/>
      </c>
      <c r="H2758" s="28"/>
      <c r="I2758" s="25" t="str">
        <f>IF(表1[[#This Row],[Tgl NPBG]]&gt;表1[[#This Row],[Peminta]],表1[[#This Row],[Tgl NPBG]]-表1[[#This Row],[Peminta]],"")</f>
        <v/>
      </c>
      <c r="J2758" s="31"/>
    </row>
    <row r="2759" s="12" customFormat="1" customHeight="1" spans="2:10">
      <c r="B2759" s="25"/>
      <c r="C2759" s="25"/>
      <c r="D2759" s="26" t="str" cm="1">
        <f t="array" ref="D2759">IF(C2759="","",IFERROR(INDEX(STPP!$D$6:$D$4207,MATCH(C2759,STPP!$C$6:$C$4207,0)),"Not Found"))</f>
        <v/>
      </c>
      <c r="E2759" s="27" t="str" cm="1">
        <f t="array" ref="E2759">IF(C2759="","",IFERROR(INDEX(STPP!$E$6:$E$4207,MATCH(C2759,STPP!$C$6:$C$4207,0)),"Not Found"))</f>
        <v/>
      </c>
      <c r="F2759" s="27" t="str" cm="1">
        <f t="array" ref="F2759">IF(C2759="","",IFERROR(INDEX(STPP!$F$6:$F$4207,MATCH(C2759,STPP!$C$6:$C$4207,0)),"Not Found"))</f>
        <v/>
      </c>
      <c r="G2759" s="25" t="str">
        <f>IF(表1[[#This Row],[No Seri]]="","",表1[[#This Row],[Deskripsi Barang]]+表1[[#This Row],[Kuantitas]]-表1[[#This Row],[Satuan]])</f>
        <v/>
      </c>
      <c r="H2759" s="28"/>
      <c r="I2759" s="25" t="str">
        <f>IF(表1[[#This Row],[Tgl NPBG]]&gt;表1[[#This Row],[Peminta]],表1[[#This Row],[Tgl NPBG]]-表1[[#This Row],[Peminta]],"")</f>
        <v/>
      </c>
      <c r="J2759" s="31"/>
    </row>
    <row r="2760" s="12" customFormat="1" customHeight="1" spans="2:10">
      <c r="B2760" s="25"/>
      <c r="C2760" s="25"/>
      <c r="D2760" s="26" t="str" cm="1">
        <f t="array" ref="D2760">IF(C2760="","",IFERROR(INDEX(STPP!$D$6:$D$4207,MATCH(C2760,STPP!$C$6:$C$4207,0)),"Not Found"))</f>
        <v/>
      </c>
      <c r="E2760" s="27" t="str" cm="1">
        <f t="array" ref="E2760">IF(C2760="","",IFERROR(INDEX(STPP!$E$6:$E$4207,MATCH(C2760,STPP!$C$6:$C$4207,0)),"Not Found"))</f>
        <v/>
      </c>
      <c r="F2760" s="27" t="str" cm="1">
        <f t="array" ref="F2760">IF(C2760="","",IFERROR(INDEX(STPP!$F$6:$F$4207,MATCH(C2760,STPP!$C$6:$C$4207,0)),"Not Found"))</f>
        <v/>
      </c>
      <c r="G2760" s="25" t="str">
        <f>IF(表1[[#This Row],[No Seri]]="","",表1[[#This Row],[Deskripsi Barang]]+表1[[#This Row],[Kuantitas]]-表1[[#This Row],[Satuan]])</f>
        <v/>
      </c>
      <c r="H2760" s="28"/>
      <c r="I2760" s="25" t="str">
        <f>IF(表1[[#This Row],[Tgl NPBG]]&gt;表1[[#This Row],[Peminta]],表1[[#This Row],[Tgl NPBG]]-表1[[#This Row],[Peminta]],"")</f>
        <v/>
      </c>
      <c r="J2760" s="31"/>
    </row>
    <row r="2761" s="12" customFormat="1" customHeight="1" spans="2:10">
      <c r="B2761" s="25"/>
      <c r="C2761" s="25"/>
      <c r="D2761" s="26" t="str" cm="1">
        <f t="array" ref="D2761">IF(C2761="","",IFERROR(INDEX(STPP!$D$6:$D$4207,MATCH(C2761,STPP!$C$6:$C$4207,0)),"Not Found"))</f>
        <v/>
      </c>
      <c r="E2761" s="27" t="str" cm="1">
        <f t="array" ref="E2761">IF(C2761="","",IFERROR(INDEX(STPP!$E$6:$E$4207,MATCH(C2761,STPP!$C$6:$C$4207,0)),"Not Found"))</f>
        <v/>
      </c>
      <c r="F2761" s="27" t="str" cm="1">
        <f t="array" ref="F2761">IF(C2761="","",IFERROR(INDEX(STPP!$F$6:$F$4207,MATCH(C2761,STPP!$C$6:$C$4207,0)),"Not Found"))</f>
        <v/>
      </c>
      <c r="G2761" s="25" t="str">
        <f>IF(表1[[#This Row],[No Seri]]="","",表1[[#This Row],[Deskripsi Barang]]+表1[[#This Row],[Kuantitas]]-表1[[#This Row],[Satuan]])</f>
        <v/>
      </c>
      <c r="H2761" s="28"/>
      <c r="I2761" s="25" t="str">
        <f>IF(表1[[#This Row],[Tgl NPBG]]&gt;表1[[#This Row],[Peminta]],表1[[#This Row],[Tgl NPBG]]-表1[[#This Row],[Peminta]],"")</f>
        <v/>
      </c>
      <c r="J2761" s="31"/>
    </row>
    <row r="2762" s="12" customFormat="1" customHeight="1" spans="2:10">
      <c r="B2762" s="25"/>
      <c r="C2762" s="25"/>
      <c r="D2762" s="26" t="str" cm="1">
        <f t="array" ref="D2762">IF(C2762="","",IFERROR(INDEX(STPP!$D$6:$D$4207,MATCH(C2762,STPP!$C$6:$C$4207,0)),"Not Found"))</f>
        <v/>
      </c>
      <c r="E2762" s="27" t="str" cm="1">
        <f t="array" ref="E2762">IF(C2762="","",IFERROR(INDEX(STPP!$E$6:$E$4207,MATCH(C2762,STPP!$C$6:$C$4207,0)),"Not Found"))</f>
        <v/>
      </c>
      <c r="F2762" s="27" t="str" cm="1">
        <f t="array" ref="F2762">IF(C2762="","",IFERROR(INDEX(STPP!$F$6:$F$4207,MATCH(C2762,STPP!$C$6:$C$4207,0)),"Not Found"))</f>
        <v/>
      </c>
      <c r="G2762" s="25" t="str">
        <f>IF(表1[[#This Row],[No Seri]]="","",表1[[#This Row],[Deskripsi Barang]]+表1[[#This Row],[Kuantitas]]-表1[[#This Row],[Satuan]])</f>
        <v/>
      </c>
      <c r="H2762" s="28"/>
      <c r="I2762" s="25" t="str">
        <f>IF(表1[[#This Row],[Tgl NPBG]]&gt;表1[[#This Row],[Peminta]],表1[[#This Row],[Tgl NPBG]]-表1[[#This Row],[Peminta]],"")</f>
        <v/>
      </c>
      <c r="J2762" s="31"/>
    </row>
    <row r="2763" s="12" customFormat="1" customHeight="1" spans="2:10">
      <c r="B2763" s="25"/>
      <c r="C2763" s="25"/>
      <c r="D2763" s="26" t="str" cm="1">
        <f t="array" ref="D2763">IF(C2763="","",IFERROR(INDEX(STPP!$D$6:$D$4207,MATCH(C2763,STPP!$C$6:$C$4207,0)),"Not Found"))</f>
        <v/>
      </c>
      <c r="E2763" s="27" t="str" cm="1">
        <f t="array" ref="E2763">IF(C2763="","",IFERROR(INDEX(STPP!$E$6:$E$4207,MATCH(C2763,STPP!$C$6:$C$4207,0)),"Not Found"))</f>
        <v/>
      </c>
      <c r="F2763" s="27" t="str" cm="1">
        <f t="array" ref="F2763">IF(C2763="","",IFERROR(INDEX(STPP!$F$6:$F$4207,MATCH(C2763,STPP!$C$6:$C$4207,0)),"Not Found"))</f>
        <v/>
      </c>
      <c r="G2763" s="25" t="str">
        <f>IF(表1[[#This Row],[No Seri]]="","",表1[[#This Row],[Deskripsi Barang]]+表1[[#This Row],[Kuantitas]]-表1[[#This Row],[Satuan]])</f>
        <v/>
      </c>
      <c r="H2763" s="28"/>
      <c r="I2763" s="25" t="str">
        <f>IF(表1[[#This Row],[Tgl NPBG]]&gt;表1[[#This Row],[Peminta]],表1[[#This Row],[Tgl NPBG]]-表1[[#This Row],[Peminta]],"")</f>
        <v/>
      </c>
      <c r="J2763" s="31"/>
    </row>
    <row r="2764" s="12" customFormat="1" customHeight="1" spans="2:10">
      <c r="B2764" s="25"/>
      <c r="C2764" s="25"/>
      <c r="D2764" s="26" t="str" cm="1">
        <f t="array" ref="D2764">IF(C2764="","",IFERROR(INDEX(STPP!$D$6:$D$4207,MATCH(C2764,STPP!$C$6:$C$4207,0)),"Not Found"))</f>
        <v/>
      </c>
      <c r="E2764" s="27" t="str" cm="1">
        <f t="array" ref="E2764">IF(C2764="","",IFERROR(INDEX(STPP!$E$6:$E$4207,MATCH(C2764,STPP!$C$6:$C$4207,0)),"Not Found"))</f>
        <v/>
      </c>
      <c r="F2764" s="27" t="str" cm="1">
        <f t="array" ref="F2764">IF(C2764="","",IFERROR(INDEX(STPP!$F$6:$F$4207,MATCH(C2764,STPP!$C$6:$C$4207,0)),"Not Found"))</f>
        <v/>
      </c>
      <c r="G2764" s="25" t="str">
        <f>IF(表1[[#This Row],[No Seri]]="","",表1[[#This Row],[Deskripsi Barang]]+表1[[#This Row],[Kuantitas]]-表1[[#This Row],[Satuan]])</f>
        <v/>
      </c>
      <c r="H2764" s="28"/>
      <c r="I2764" s="25" t="str">
        <f>IF(表1[[#This Row],[Tgl NPBG]]&gt;表1[[#This Row],[Peminta]],表1[[#This Row],[Tgl NPBG]]-表1[[#This Row],[Peminta]],"")</f>
        <v/>
      </c>
      <c r="J2764" s="31"/>
    </row>
    <row r="2765" s="12" customFormat="1" customHeight="1" spans="2:10">
      <c r="B2765" s="25"/>
      <c r="C2765" s="25"/>
      <c r="D2765" s="26" t="str" cm="1">
        <f t="array" ref="D2765">IF(C2765="","",IFERROR(INDEX(STPP!$D$6:$D$4207,MATCH(C2765,STPP!$C$6:$C$4207,0)),"Not Found"))</f>
        <v/>
      </c>
      <c r="E2765" s="27" t="str" cm="1">
        <f t="array" ref="E2765">IF(C2765="","",IFERROR(INDEX(STPP!$E$6:$E$4207,MATCH(C2765,STPP!$C$6:$C$4207,0)),"Not Found"))</f>
        <v/>
      </c>
      <c r="F2765" s="27" t="str" cm="1">
        <f t="array" ref="F2765">IF(C2765="","",IFERROR(INDEX(STPP!$F$6:$F$4207,MATCH(C2765,STPP!$C$6:$C$4207,0)),"Not Found"))</f>
        <v/>
      </c>
      <c r="G2765" s="25" t="str">
        <f>IF(表1[[#This Row],[No Seri]]="","",表1[[#This Row],[Deskripsi Barang]]+表1[[#This Row],[Kuantitas]]-表1[[#This Row],[Satuan]])</f>
        <v/>
      </c>
      <c r="H2765" s="28"/>
      <c r="I2765" s="25" t="str">
        <f>IF(表1[[#This Row],[Tgl NPBG]]&gt;表1[[#This Row],[Peminta]],表1[[#This Row],[Tgl NPBG]]-表1[[#This Row],[Peminta]],"")</f>
        <v/>
      </c>
      <c r="J2765" s="31"/>
    </row>
    <row r="2766" s="12" customFormat="1" customHeight="1" spans="2:10">
      <c r="B2766" s="25"/>
      <c r="C2766" s="25"/>
      <c r="D2766" s="26" t="str" cm="1">
        <f t="array" ref="D2766">IF(C2766="","",IFERROR(INDEX(STPP!$D$6:$D$4207,MATCH(C2766,STPP!$C$6:$C$4207,0)),"Not Found"))</f>
        <v/>
      </c>
      <c r="E2766" s="27" t="str" cm="1">
        <f t="array" ref="E2766">IF(C2766="","",IFERROR(INDEX(STPP!$E$6:$E$4207,MATCH(C2766,STPP!$C$6:$C$4207,0)),"Not Found"))</f>
        <v/>
      </c>
      <c r="F2766" s="27" t="str" cm="1">
        <f t="array" ref="F2766">IF(C2766="","",IFERROR(INDEX(STPP!$F$6:$F$4207,MATCH(C2766,STPP!$C$6:$C$4207,0)),"Not Found"))</f>
        <v/>
      </c>
      <c r="G2766" s="25" t="str">
        <f>IF(表1[[#This Row],[No Seri]]="","",表1[[#This Row],[Deskripsi Barang]]+表1[[#This Row],[Kuantitas]]-表1[[#This Row],[Satuan]])</f>
        <v/>
      </c>
      <c r="H2766" s="28"/>
      <c r="I2766" s="25" t="str">
        <f>IF(表1[[#This Row],[Tgl NPBG]]&gt;表1[[#This Row],[Peminta]],表1[[#This Row],[Tgl NPBG]]-表1[[#This Row],[Peminta]],"")</f>
        <v/>
      </c>
      <c r="J2766" s="31"/>
    </row>
    <row r="2767" s="12" customFormat="1" customHeight="1" spans="2:10">
      <c r="B2767" s="25"/>
      <c r="C2767" s="25"/>
      <c r="D2767" s="26" t="str" cm="1">
        <f t="array" ref="D2767">IF(C2767="","",IFERROR(INDEX(STPP!$D$6:$D$4207,MATCH(C2767,STPP!$C$6:$C$4207,0)),"Not Found"))</f>
        <v/>
      </c>
      <c r="E2767" s="27" t="str" cm="1">
        <f t="array" ref="E2767">IF(C2767="","",IFERROR(INDEX(STPP!$E$6:$E$4207,MATCH(C2767,STPP!$C$6:$C$4207,0)),"Not Found"))</f>
        <v/>
      </c>
      <c r="F2767" s="27" t="str" cm="1">
        <f t="array" ref="F2767">IF(C2767="","",IFERROR(INDEX(STPP!$F$6:$F$4207,MATCH(C2767,STPP!$C$6:$C$4207,0)),"Not Found"))</f>
        <v/>
      </c>
      <c r="G2767" s="25" t="str">
        <f>IF(表1[[#This Row],[No Seri]]="","",表1[[#This Row],[Deskripsi Barang]]+表1[[#This Row],[Kuantitas]]-表1[[#This Row],[Satuan]])</f>
        <v/>
      </c>
      <c r="H2767" s="28"/>
      <c r="I2767" s="25" t="str">
        <f>IF(表1[[#This Row],[Tgl NPBG]]&gt;表1[[#This Row],[Peminta]],表1[[#This Row],[Tgl NPBG]]-表1[[#This Row],[Peminta]],"")</f>
        <v/>
      </c>
      <c r="J2767" s="31"/>
    </row>
    <row r="2768" s="12" customFormat="1" customHeight="1" spans="2:10">
      <c r="B2768" s="25"/>
      <c r="C2768" s="25"/>
      <c r="D2768" s="26" t="str" cm="1">
        <f t="array" ref="D2768">IF(C2768="","",IFERROR(INDEX(STPP!$D$6:$D$4207,MATCH(C2768,STPP!$C$6:$C$4207,0)),"Not Found"))</f>
        <v/>
      </c>
      <c r="E2768" s="27" t="str" cm="1">
        <f t="array" ref="E2768">IF(C2768="","",IFERROR(INDEX(STPP!$E$6:$E$4207,MATCH(C2768,STPP!$C$6:$C$4207,0)),"Not Found"))</f>
        <v/>
      </c>
      <c r="F2768" s="27" t="str" cm="1">
        <f t="array" ref="F2768">IF(C2768="","",IFERROR(INDEX(STPP!$F$6:$F$4207,MATCH(C2768,STPP!$C$6:$C$4207,0)),"Not Found"))</f>
        <v/>
      </c>
      <c r="G2768" s="25" t="str">
        <f>IF(表1[[#This Row],[No Seri]]="","",表1[[#This Row],[Deskripsi Barang]]+表1[[#This Row],[Kuantitas]]-表1[[#This Row],[Satuan]])</f>
        <v/>
      </c>
      <c r="H2768" s="28"/>
      <c r="I2768" s="25" t="str">
        <f>IF(表1[[#This Row],[Tgl NPBG]]&gt;表1[[#This Row],[Peminta]],表1[[#This Row],[Tgl NPBG]]-表1[[#This Row],[Peminta]],"")</f>
        <v/>
      </c>
      <c r="J2768" s="31"/>
    </row>
    <row r="2769" s="12" customFormat="1" customHeight="1" spans="2:10">
      <c r="B2769" s="25"/>
      <c r="C2769" s="25"/>
      <c r="D2769" s="26" t="str" cm="1">
        <f t="array" ref="D2769">IF(C2769="","",IFERROR(INDEX(STPP!$D$6:$D$4207,MATCH(C2769,STPP!$C$6:$C$4207,0)),"Not Found"))</f>
        <v/>
      </c>
      <c r="E2769" s="27" t="str" cm="1">
        <f t="array" ref="E2769">IF(C2769="","",IFERROR(INDEX(STPP!$E$6:$E$4207,MATCH(C2769,STPP!$C$6:$C$4207,0)),"Not Found"))</f>
        <v/>
      </c>
      <c r="F2769" s="27" t="str" cm="1">
        <f t="array" ref="F2769">IF(C2769="","",IFERROR(INDEX(STPP!$F$6:$F$4207,MATCH(C2769,STPP!$C$6:$C$4207,0)),"Not Found"))</f>
        <v/>
      </c>
      <c r="G2769" s="25" t="str">
        <f>IF(表1[[#This Row],[No Seri]]="","",表1[[#This Row],[Deskripsi Barang]]+表1[[#This Row],[Kuantitas]]-表1[[#This Row],[Satuan]])</f>
        <v/>
      </c>
      <c r="H2769" s="28"/>
      <c r="I2769" s="25" t="str">
        <f>IF(表1[[#This Row],[Tgl NPBG]]&gt;表1[[#This Row],[Peminta]],表1[[#This Row],[Tgl NPBG]]-表1[[#This Row],[Peminta]],"")</f>
        <v/>
      </c>
      <c r="J2769" s="31"/>
    </row>
    <row r="2770" s="12" customFormat="1" customHeight="1" spans="2:10">
      <c r="B2770" s="25"/>
      <c r="C2770" s="25"/>
      <c r="D2770" s="26" t="str" cm="1">
        <f t="array" ref="D2770">IF(C2770="","",IFERROR(INDEX(STPP!$D$6:$D$4207,MATCH(C2770,STPP!$C$6:$C$4207,0)),"Not Found"))</f>
        <v/>
      </c>
      <c r="E2770" s="27" t="str" cm="1">
        <f t="array" ref="E2770">IF(C2770="","",IFERROR(INDEX(STPP!$E$6:$E$4207,MATCH(C2770,STPP!$C$6:$C$4207,0)),"Not Found"))</f>
        <v/>
      </c>
      <c r="F2770" s="27" t="str" cm="1">
        <f t="array" ref="F2770">IF(C2770="","",IFERROR(INDEX(STPP!$F$6:$F$4207,MATCH(C2770,STPP!$C$6:$C$4207,0)),"Not Found"))</f>
        <v/>
      </c>
      <c r="G2770" s="25" t="str">
        <f>IF(表1[[#This Row],[No Seri]]="","",表1[[#This Row],[Deskripsi Barang]]+表1[[#This Row],[Kuantitas]]-表1[[#This Row],[Satuan]])</f>
        <v/>
      </c>
      <c r="H2770" s="28"/>
      <c r="I2770" s="25" t="str">
        <f>IF(表1[[#This Row],[Tgl NPBG]]&gt;表1[[#This Row],[Peminta]],表1[[#This Row],[Tgl NPBG]]-表1[[#This Row],[Peminta]],"")</f>
        <v/>
      </c>
      <c r="J2770" s="31"/>
    </row>
    <row r="2771" s="12" customFormat="1" customHeight="1" spans="2:10">
      <c r="B2771" s="25"/>
      <c r="C2771" s="25"/>
      <c r="D2771" s="26" t="str" cm="1">
        <f t="array" ref="D2771">IF(C2771="","",IFERROR(INDEX(STPP!$D$6:$D$4207,MATCH(C2771,STPP!$C$6:$C$4207,0)),"Not Found"))</f>
        <v/>
      </c>
      <c r="E2771" s="27" t="str" cm="1">
        <f t="array" ref="E2771">IF(C2771="","",IFERROR(INDEX(STPP!$E$6:$E$4207,MATCH(C2771,STPP!$C$6:$C$4207,0)),"Not Found"))</f>
        <v/>
      </c>
      <c r="F2771" s="27" t="str" cm="1">
        <f t="array" ref="F2771">IF(C2771="","",IFERROR(INDEX(STPP!$F$6:$F$4207,MATCH(C2771,STPP!$C$6:$C$4207,0)),"Not Found"))</f>
        <v/>
      </c>
      <c r="G2771" s="25" t="str">
        <f>IF(表1[[#This Row],[No Seri]]="","",表1[[#This Row],[Deskripsi Barang]]+表1[[#This Row],[Kuantitas]]-表1[[#This Row],[Satuan]])</f>
        <v/>
      </c>
      <c r="H2771" s="28"/>
      <c r="I2771" s="25" t="str">
        <f>IF(表1[[#This Row],[Tgl NPBG]]&gt;表1[[#This Row],[Peminta]],表1[[#This Row],[Tgl NPBG]]-表1[[#This Row],[Peminta]],"")</f>
        <v/>
      </c>
      <c r="J2771" s="31"/>
    </row>
    <row r="2772" s="12" customFormat="1" customHeight="1" spans="2:10">
      <c r="B2772" s="25"/>
      <c r="C2772" s="25"/>
      <c r="D2772" s="26" t="str" cm="1">
        <f t="array" ref="D2772">IF(C2772="","",IFERROR(INDEX(STPP!$D$6:$D$4207,MATCH(C2772,STPP!$C$6:$C$4207,0)),"Not Found"))</f>
        <v/>
      </c>
      <c r="E2772" s="27" t="str" cm="1">
        <f t="array" ref="E2772">IF(C2772="","",IFERROR(INDEX(STPP!$E$6:$E$4207,MATCH(C2772,STPP!$C$6:$C$4207,0)),"Not Found"))</f>
        <v/>
      </c>
      <c r="F2772" s="27" t="str" cm="1">
        <f t="array" ref="F2772">IF(C2772="","",IFERROR(INDEX(STPP!$F$6:$F$4207,MATCH(C2772,STPP!$C$6:$C$4207,0)),"Not Found"))</f>
        <v/>
      </c>
      <c r="G2772" s="25" t="str">
        <f>IF(表1[[#This Row],[No Seri]]="","",表1[[#This Row],[Deskripsi Barang]]+表1[[#This Row],[Kuantitas]]-表1[[#This Row],[Satuan]])</f>
        <v/>
      </c>
      <c r="H2772" s="28"/>
      <c r="I2772" s="25" t="str">
        <f>IF(表1[[#This Row],[Tgl NPBG]]&gt;表1[[#This Row],[Peminta]],表1[[#This Row],[Tgl NPBG]]-表1[[#This Row],[Peminta]],"")</f>
        <v/>
      </c>
      <c r="J2772" s="31"/>
    </row>
    <row r="2773" s="12" customFormat="1" customHeight="1" spans="2:10">
      <c r="B2773" s="25"/>
      <c r="C2773" s="25"/>
      <c r="D2773" s="26" t="str" cm="1">
        <f t="array" ref="D2773">IF(C2773="","",IFERROR(INDEX(STPP!$D$6:$D$4207,MATCH(C2773,STPP!$C$6:$C$4207,0)),"Not Found"))</f>
        <v/>
      </c>
      <c r="E2773" s="27" t="str" cm="1">
        <f t="array" ref="E2773">IF(C2773="","",IFERROR(INDEX(STPP!$E$6:$E$4207,MATCH(C2773,STPP!$C$6:$C$4207,0)),"Not Found"))</f>
        <v/>
      </c>
      <c r="F2773" s="27" t="str" cm="1">
        <f t="array" ref="F2773">IF(C2773="","",IFERROR(INDEX(STPP!$F$6:$F$4207,MATCH(C2773,STPP!$C$6:$C$4207,0)),"Not Found"))</f>
        <v/>
      </c>
      <c r="G2773" s="25" t="str">
        <f>IF(表1[[#This Row],[No Seri]]="","",表1[[#This Row],[Deskripsi Barang]]+表1[[#This Row],[Kuantitas]]-表1[[#This Row],[Satuan]])</f>
        <v/>
      </c>
      <c r="H2773" s="28"/>
      <c r="I2773" s="25" t="str">
        <f>IF(表1[[#This Row],[Tgl NPBG]]&gt;表1[[#This Row],[Peminta]],表1[[#This Row],[Tgl NPBG]]-表1[[#This Row],[Peminta]],"")</f>
        <v/>
      </c>
      <c r="J2773" s="31"/>
    </row>
    <row r="2774" s="12" customFormat="1" customHeight="1" spans="2:10">
      <c r="B2774" s="25"/>
      <c r="C2774" s="25"/>
      <c r="D2774" s="26" t="str" cm="1">
        <f t="array" ref="D2774">IF(C2774="","",IFERROR(INDEX(STPP!$D$6:$D$4207,MATCH(C2774,STPP!$C$6:$C$4207,0)),"Not Found"))</f>
        <v/>
      </c>
      <c r="E2774" s="27" t="str" cm="1">
        <f t="array" ref="E2774">IF(C2774="","",IFERROR(INDEX(STPP!$E$6:$E$4207,MATCH(C2774,STPP!$C$6:$C$4207,0)),"Not Found"))</f>
        <v/>
      </c>
      <c r="F2774" s="27" t="str" cm="1">
        <f t="array" ref="F2774">IF(C2774="","",IFERROR(INDEX(STPP!$F$6:$F$4207,MATCH(C2774,STPP!$C$6:$C$4207,0)),"Not Found"))</f>
        <v/>
      </c>
      <c r="G2774" s="25" t="str">
        <f>IF(表1[[#This Row],[No Seri]]="","",表1[[#This Row],[Deskripsi Barang]]+表1[[#This Row],[Kuantitas]]-表1[[#This Row],[Satuan]])</f>
        <v/>
      </c>
      <c r="H2774" s="28"/>
      <c r="I2774" s="25" t="str">
        <f>IF(表1[[#This Row],[Tgl NPBG]]&gt;表1[[#This Row],[Peminta]],表1[[#This Row],[Tgl NPBG]]-表1[[#This Row],[Peminta]],"")</f>
        <v/>
      </c>
      <c r="J2774" s="31"/>
    </row>
    <row r="2775" s="12" customFormat="1" customHeight="1" spans="2:10">
      <c r="B2775" s="25"/>
      <c r="C2775" s="25"/>
      <c r="D2775" s="26" t="str" cm="1">
        <f t="array" ref="D2775">IF(C2775="","",IFERROR(INDEX(STPP!$D$6:$D$4207,MATCH(C2775,STPP!$C$6:$C$4207,0)),"Not Found"))</f>
        <v/>
      </c>
      <c r="E2775" s="27" t="str" cm="1">
        <f t="array" ref="E2775">IF(C2775="","",IFERROR(INDEX(STPP!$E$6:$E$4207,MATCH(C2775,STPP!$C$6:$C$4207,0)),"Not Found"))</f>
        <v/>
      </c>
      <c r="F2775" s="27" t="str" cm="1">
        <f t="array" ref="F2775">IF(C2775="","",IFERROR(INDEX(STPP!$F$6:$F$4207,MATCH(C2775,STPP!$C$6:$C$4207,0)),"Not Found"))</f>
        <v/>
      </c>
      <c r="G2775" s="25" t="str">
        <f>IF(表1[[#This Row],[No Seri]]="","",表1[[#This Row],[Deskripsi Barang]]+表1[[#This Row],[Kuantitas]]-表1[[#This Row],[Satuan]])</f>
        <v/>
      </c>
      <c r="H2775" s="28"/>
      <c r="I2775" s="25" t="str">
        <f>IF(表1[[#This Row],[Tgl NPBG]]&gt;表1[[#This Row],[Peminta]],表1[[#This Row],[Tgl NPBG]]-表1[[#This Row],[Peminta]],"")</f>
        <v/>
      </c>
      <c r="J2775" s="31"/>
    </row>
    <row r="2776" s="12" customFormat="1" customHeight="1" spans="2:10">
      <c r="B2776" s="25"/>
      <c r="C2776" s="25"/>
      <c r="D2776" s="26" t="str" cm="1">
        <f t="array" ref="D2776">IF(C2776="","",IFERROR(INDEX(STPP!$D$6:$D$4207,MATCH(C2776,STPP!$C$6:$C$4207,0)),"Not Found"))</f>
        <v/>
      </c>
      <c r="E2776" s="27" t="str" cm="1">
        <f t="array" ref="E2776">IF(C2776="","",IFERROR(INDEX(STPP!$E$6:$E$4207,MATCH(C2776,STPP!$C$6:$C$4207,0)),"Not Found"))</f>
        <v/>
      </c>
      <c r="F2776" s="27" t="str" cm="1">
        <f t="array" ref="F2776">IF(C2776="","",IFERROR(INDEX(STPP!$F$6:$F$4207,MATCH(C2776,STPP!$C$6:$C$4207,0)),"Not Found"))</f>
        <v/>
      </c>
      <c r="G2776" s="25" t="str">
        <f>IF(表1[[#This Row],[No Seri]]="","",表1[[#This Row],[Deskripsi Barang]]+表1[[#This Row],[Kuantitas]]-表1[[#This Row],[Satuan]])</f>
        <v/>
      </c>
      <c r="H2776" s="28"/>
      <c r="I2776" s="25" t="str">
        <f>IF(表1[[#This Row],[Tgl NPBG]]&gt;表1[[#This Row],[Peminta]],表1[[#This Row],[Tgl NPBG]]-表1[[#This Row],[Peminta]],"")</f>
        <v/>
      </c>
      <c r="J2776" s="31"/>
    </row>
    <row r="2777" s="12" customFormat="1" customHeight="1" spans="2:10">
      <c r="B2777" s="25"/>
      <c r="C2777" s="25"/>
      <c r="D2777" s="26" t="str" cm="1">
        <f t="array" ref="D2777">IF(C2777="","",IFERROR(INDEX(STPP!$D$6:$D$4207,MATCH(C2777,STPP!$C$6:$C$4207,0)),"Not Found"))</f>
        <v/>
      </c>
      <c r="E2777" s="27" t="str" cm="1">
        <f t="array" ref="E2777">IF(C2777="","",IFERROR(INDEX(STPP!$E$6:$E$4207,MATCH(C2777,STPP!$C$6:$C$4207,0)),"Not Found"))</f>
        <v/>
      </c>
      <c r="F2777" s="27" t="str" cm="1">
        <f t="array" ref="F2777">IF(C2777="","",IFERROR(INDEX(STPP!$F$6:$F$4207,MATCH(C2777,STPP!$C$6:$C$4207,0)),"Not Found"))</f>
        <v/>
      </c>
      <c r="G2777" s="25" t="str">
        <f>IF(表1[[#This Row],[No Seri]]="","",表1[[#This Row],[Deskripsi Barang]]+表1[[#This Row],[Kuantitas]]-表1[[#This Row],[Satuan]])</f>
        <v/>
      </c>
      <c r="H2777" s="28"/>
      <c r="I2777" s="25" t="str">
        <f>IF(表1[[#This Row],[Tgl NPBG]]&gt;表1[[#This Row],[Peminta]],表1[[#This Row],[Tgl NPBG]]-表1[[#This Row],[Peminta]],"")</f>
        <v/>
      </c>
      <c r="J2777" s="31"/>
    </row>
    <row r="2778" s="12" customFormat="1" customHeight="1" spans="2:10">
      <c r="B2778" s="25"/>
      <c r="C2778" s="25"/>
      <c r="D2778" s="26" t="str" cm="1">
        <f t="array" ref="D2778">IF(C2778="","",IFERROR(INDEX(STPP!$D$6:$D$4207,MATCH(C2778,STPP!$C$6:$C$4207,0)),"Not Found"))</f>
        <v/>
      </c>
      <c r="E2778" s="27" t="str" cm="1">
        <f t="array" ref="E2778">IF(C2778="","",IFERROR(INDEX(STPP!$E$6:$E$4207,MATCH(C2778,STPP!$C$6:$C$4207,0)),"Not Found"))</f>
        <v/>
      </c>
      <c r="F2778" s="27" t="str" cm="1">
        <f t="array" ref="F2778">IF(C2778="","",IFERROR(INDEX(STPP!$F$6:$F$4207,MATCH(C2778,STPP!$C$6:$C$4207,0)),"Not Found"))</f>
        <v/>
      </c>
      <c r="G2778" s="25" t="str">
        <f>IF(表1[[#This Row],[No Seri]]="","",表1[[#This Row],[Deskripsi Barang]]+表1[[#This Row],[Kuantitas]]-表1[[#This Row],[Satuan]])</f>
        <v/>
      </c>
      <c r="H2778" s="28"/>
      <c r="I2778" s="25" t="str">
        <f>IF(表1[[#This Row],[Tgl NPBG]]&gt;表1[[#This Row],[Peminta]],表1[[#This Row],[Tgl NPBG]]-表1[[#This Row],[Peminta]],"")</f>
        <v/>
      </c>
      <c r="J2778" s="31"/>
    </row>
    <row r="2779" s="12" customFormat="1" customHeight="1" spans="2:10">
      <c r="B2779" s="25"/>
      <c r="C2779" s="25"/>
      <c r="D2779" s="26" t="str" cm="1">
        <f t="array" ref="D2779">IF(C2779="","",IFERROR(INDEX(STPP!$D$6:$D$4207,MATCH(C2779,STPP!$C$6:$C$4207,0)),"Not Found"))</f>
        <v/>
      </c>
      <c r="E2779" s="27" t="str" cm="1">
        <f t="array" ref="E2779">IF(C2779="","",IFERROR(INDEX(STPP!$E$6:$E$4207,MATCH(C2779,STPP!$C$6:$C$4207,0)),"Not Found"))</f>
        <v/>
      </c>
      <c r="F2779" s="27" t="str" cm="1">
        <f t="array" ref="F2779">IF(C2779="","",IFERROR(INDEX(STPP!$F$6:$F$4207,MATCH(C2779,STPP!$C$6:$C$4207,0)),"Not Found"))</f>
        <v/>
      </c>
      <c r="G2779" s="25" t="str">
        <f>IF(表1[[#This Row],[No Seri]]="","",表1[[#This Row],[Deskripsi Barang]]+表1[[#This Row],[Kuantitas]]-表1[[#This Row],[Satuan]])</f>
        <v/>
      </c>
      <c r="H2779" s="28"/>
      <c r="I2779" s="25" t="str">
        <f>IF(表1[[#This Row],[Tgl NPBG]]&gt;表1[[#This Row],[Peminta]],表1[[#This Row],[Tgl NPBG]]-表1[[#This Row],[Peminta]],"")</f>
        <v/>
      </c>
      <c r="J2779" s="31"/>
    </row>
    <row r="2780" s="12" customFormat="1" customHeight="1" spans="2:10">
      <c r="B2780" s="25"/>
      <c r="C2780" s="25"/>
      <c r="D2780" s="26" t="str" cm="1">
        <f t="array" ref="D2780">IF(C2780="","",IFERROR(INDEX(STPP!$D$6:$D$4207,MATCH(C2780,STPP!$C$6:$C$4207,0)),"Not Found"))</f>
        <v/>
      </c>
      <c r="E2780" s="27" t="str" cm="1">
        <f t="array" ref="E2780">IF(C2780="","",IFERROR(INDEX(STPP!$E$6:$E$4207,MATCH(C2780,STPP!$C$6:$C$4207,0)),"Not Found"))</f>
        <v/>
      </c>
      <c r="F2780" s="27" t="str" cm="1">
        <f t="array" ref="F2780">IF(C2780="","",IFERROR(INDEX(STPP!$F$6:$F$4207,MATCH(C2780,STPP!$C$6:$C$4207,0)),"Not Found"))</f>
        <v/>
      </c>
      <c r="G2780" s="25" t="str">
        <f>IF(表1[[#This Row],[No Seri]]="","",表1[[#This Row],[Deskripsi Barang]]+表1[[#This Row],[Kuantitas]]-表1[[#This Row],[Satuan]])</f>
        <v/>
      </c>
      <c r="H2780" s="28"/>
      <c r="I2780" s="25" t="str">
        <f>IF(表1[[#This Row],[Tgl NPBG]]&gt;表1[[#This Row],[Peminta]],表1[[#This Row],[Tgl NPBG]]-表1[[#This Row],[Peminta]],"")</f>
        <v/>
      </c>
      <c r="J2780" s="31"/>
    </row>
    <row r="2781" s="12" customFormat="1" customHeight="1" spans="2:10">
      <c r="B2781" s="25"/>
      <c r="C2781" s="25"/>
      <c r="D2781" s="26" t="str" cm="1">
        <f t="array" ref="D2781">IF(C2781="","",IFERROR(INDEX(STPP!$D$6:$D$4207,MATCH(C2781,STPP!$C$6:$C$4207,0)),"Not Found"))</f>
        <v/>
      </c>
      <c r="E2781" s="27" t="str" cm="1">
        <f t="array" ref="E2781">IF(C2781="","",IFERROR(INDEX(STPP!$E$6:$E$4207,MATCH(C2781,STPP!$C$6:$C$4207,0)),"Not Found"))</f>
        <v/>
      </c>
      <c r="F2781" s="27" t="str" cm="1">
        <f t="array" ref="F2781">IF(C2781="","",IFERROR(INDEX(STPP!$F$6:$F$4207,MATCH(C2781,STPP!$C$6:$C$4207,0)),"Not Found"))</f>
        <v/>
      </c>
      <c r="G2781" s="25" t="str">
        <f>IF(表1[[#This Row],[No Seri]]="","",表1[[#This Row],[Deskripsi Barang]]+表1[[#This Row],[Kuantitas]]-表1[[#This Row],[Satuan]])</f>
        <v/>
      </c>
      <c r="H2781" s="28"/>
      <c r="I2781" s="25" t="str">
        <f>IF(表1[[#This Row],[Tgl NPBG]]&gt;表1[[#This Row],[Peminta]],表1[[#This Row],[Tgl NPBG]]-表1[[#This Row],[Peminta]],"")</f>
        <v/>
      </c>
      <c r="J2781" s="31"/>
    </row>
    <row r="2782" s="12" customFormat="1" customHeight="1" spans="2:10">
      <c r="B2782" s="25"/>
      <c r="C2782" s="25"/>
      <c r="D2782" s="26" t="str" cm="1">
        <f t="array" ref="D2782">IF(C2782="","",IFERROR(INDEX(STPP!$D$6:$D$4207,MATCH(C2782,STPP!$C$6:$C$4207,0)),"Not Found"))</f>
        <v/>
      </c>
      <c r="E2782" s="27" t="str" cm="1">
        <f t="array" ref="E2782">IF(C2782="","",IFERROR(INDEX(STPP!$E$6:$E$4207,MATCH(C2782,STPP!$C$6:$C$4207,0)),"Not Found"))</f>
        <v/>
      </c>
      <c r="F2782" s="27" t="str" cm="1">
        <f t="array" ref="F2782">IF(C2782="","",IFERROR(INDEX(STPP!$F$6:$F$4207,MATCH(C2782,STPP!$C$6:$C$4207,0)),"Not Found"))</f>
        <v/>
      </c>
      <c r="G2782" s="25" t="str">
        <f>IF(表1[[#This Row],[No Seri]]="","",表1[[#This Row],[Deskripsi Barang]]+表1[[#This Row],[Kuantitas]]-表1[[#This Row],[Satuan]])</f>
        <v/>
      </c>
      <c r="H2782" s="28"/>
      <c r="I2782" s="25" t="str">
        <f>IF(表1[[#This Row],[Tgl NPBG]]&gt;表1[[#This Row],[Peminta]],表1[[#This Row],[Tgl NPBG]]-表1[[#This Row],[Peminta]],"")</f>
        <v/>
      </c>
      <c r="J2782" s="31"/>
    </row>
    <row r="2783" s="12" customFormat="1" customHeight="1" spans="2:10">
      <c r="B2783" s="25"/>
      <c r="C2783" s="25"/>
      <c r="D2783" s="26" t="str" cm="1">
        <f t="array" ref="D2783">IF(C2783="","",IFERROR(INDEX(STPP!$D$6:$D$4207,MATCH(C2783,STPP!$C$6:$C$4207,0)),"Not Found"))</f>
        <v/>
      </c>
      <c r="E2783" s="27" t="str" cm="1">
        <f t="array" ref="E2783">IF(C2783="","",IFERROR(INDEX(STPP!$E$6:$E$4207,MATCH(C2783,STPP!$C$6:$C$4207,0)),"Not Found"))</f>
        <v/>
      </c>
      <c r="F2783" s="27" t="str" cm="1">
        <f t="array" ref="F2783">IF(C2783="","",IFERROR(INDEX(STPP!$F$6:$F$4207,MATCH(C2783,STPP!$C$6:$C$4207,0)),"Not Found"))</f>
        <v/>
      </c>
      <c r="G2783" s="25" t="str">
        <f>IF(表1[[#This Row],[No Seri]]="","",表1[[#This Row],[Deskripsi Barang]]+表1[[#This Row],[Kuantitas]]-表1[[#This Row],[Satuan]])</f>
        <v/>
      </c>
      <c r="H2783" s="28"/>
      <c r="I2783" s="25" t="str">
        <f>IF(表1[[#This Row],[Tgl NPBG]]&gt;表1[[#This Row],[Peminta]],表1[[#This Row],[Tgl NPBG]]-表1[[#This Row],[Peminta]],"")</f>
        <v/>
      </c>
      <c r="J2783" s="31"/>
    </row>
    <row r="2784" s="12" customFormat="1" customHeight="1" spans="2:10">
      <c r="B2784" s="25"/>
      <c r="C2784" s="25"/>
      <c r="D2784" s="26" t="str" cm="1">
        <f t="array" ref="D2784">IF(C2784="","",IFERROR(INDEX(STPP!$D$6:$D$4207,MATCH(C2784,STPP!$C$6:$C$4207,0)),"Not Found"))</f>
        <v/>
      </c>
      <c r="E2784" s="27" t="str" cm="1">
        <f t="array" ref="E2784">IF(C2784="","",IFERROR(INDEX(STPP!$E$6:$E$4207,MATCH(C2784,STPP!$C$6:$C$4207,0)),"Not Found"))</f>
        <v/>
      </c>
      <c r="F2784" s="27" t="str" cm="1">
        <f t="array" ref="F2784">IF(C2784="","",IFERROR(INDEX(STPP!$F$6:$F$4207,MATCH(C2784,STPP!$C$6:$C$4207,0)),"Not Found"))</f>
        <v/>
      </c>
      <c r="G2784" s="25" t="str">
        <f>IF(表1[[#This Row],[No Seri]]="","",表1[[#This Row],[Deskripsi Barang]]+表1[[#This Row],[Kuantitas]]-表1[[#This Row],[Satuan]])</f>
        <v/>
      </c>
      <c r="H2784" s="28"/>
      <c r="I2784" s="25" t="str">
        <f>IF(表1[[#This Row],[Tgl NPBG]]&gt;表1[[#This Row],[Peminta]],表1[[#This Row],[Tgl NPBG]]-表1[[#This Row],[Peminta]],"")</f>
        <v/>
      </c>
      <c r="J2784" s="31"/>
    </row>
    <row r="2785" s="12" customFormat="1" customHeight="1" spans="2:10">
      <c r="B2785" s="25"/>
      <c r="C2785" s="25"/>
      <c r="D2785" s="26" t="str" cm="1">
        <f t="array" ref="D2785">IF(C2785="","",IFERROR(INDEX(STPP!$D$6:$D$4207,MATCH(C2785,STPP!$C$6:$C$4207,0)),"Not Found"))</f>
        <v/>
      </c>
      <c r="E2785" s="27" t="str" cm="1">
        <f t="array" ref="E2785">IF(C2785="","",IFERROR(INDEX(STPP!$E$6:$E$4207,MATCH(C2785,STPP!$C$6:$C$4207,0)),"Not Found"))</f>
        <v/>
      </c>
      <c r="F2785" s="27" t="str" cm="1">
        <f t="array" ref="F2785">IF(C2785="","",IFERROR(INDEX(STPP!$F$6:$F$4207,MATCH(C2785,STPP!$C$6:$C$4207,0)),"Not Found"))</f>
        <v/>
      </c>
      <c r="G2785" s="25" t="str">
        <f>IF(表1[[#This Row],[No Seri]]="","",表1[[#This Row],[Deskripsi Barang]]+表1[[#This Row],[Kuantitas]]-表1[[#This Row],[Satuan]])</f>
        <v/>
      </c>
      <c r="H2785" s="28"/>
      <c r="I2785" s="25" t="str">
        <f>IF(表1[[#This Row],[Tgl NPBG]]&gt;表1[[#This Row],[Peminta]],表1[[#This Row],[Tgl NPBG]]-表1[[#This Row],[Peminta]],"")</f>
        <v/>
      </c>
      <c r="J2785" s="31"/>
    </row>
    <row r="2786" s="12" customFormat="1" customHeight="1" spans="2:10">
      <c r="B2786" s="25"/>
      <c r="C2786" s="25"/>
      <c r="D2786" s="26" t="str" cm="1">
        <f t="array" ref="D2786">IF(C2786="","",IFERROR(INDEX(STPP!$D$6:$D$4207,MATCH(C2786,STPP!$C$6:$C$4207,0)),"Not Found"))</f>
        <v/>
      </c>
      <c r="E2786" s="27" t="str" cm="1">
        <f t="array" ref="E2786">IF(C2786="","",IFERROR(INDEX(STPP!$E$6:$E$4207,MATCH(C2786,STPP!$C$6:$C$4207,0)),"Not Found"))</f>
        <v/>
      </c>
      <c r="F2786" s="27" t="str" cm="1">
        <f t="array" ref="F2786">IF(C2786="","",IFERROR(INDEX(STPP!$F$6:$F$4207,MATCH(C2786,STPP!$C$6:$C$4207,0)),"Not Found"))</f>
        <v/>
      </c>
      <c r="G2786" s="25" t="str">
        <f>IF(表1[[#This Row],[No Seri]]="","",表1[[#This Row],[Deskripsi Barang]]+表1[[#This Row],[Kuantitas]]-表1[[#This Row],[Satuan]])</f>
        <v/>
      </c>
      <c r="H2786" s="28"/>
      <c r="I2786" s="25" t="str">
        <f>IF(表1[[#This Row],[Tgl NPBG]]&gt;表1[[#This Row],[Peminta]],表1[[#This Row],[Tgl NPBG]]-表1[[#This Row],[Peminta]],"")</f>
        <v/>
      </c>
      <c r="J2786" s="31"/>
    </row>
    <row r="2787" s="12" customFormat="1" customHeight="1" spans="2:10">
      <c r="B2787" s="25"/>
      <c r="C2787" s="25"/>
      <c r="D2787" s="26" t="str" cm="1">
        <f t="array" ref="D2787">IF(C2787="","",IFERROR(INDEX(STPP!$D$6:$D$4207,MATCH(C2787,STPP!$C$6:$C$4207,0)),"Not Found"))</f>
        <v/>
      </c>
      <c r="E2787" s="27" t="str" cm="1">
        <f t="array" ref="E2787">IF(C2787="","",IFERROR(INDEX(STPP!$E$6:$E$4207,MATCH(C2787,STPP!$C$6:$C$4207,0)),"Not Found"))</f>
        <v/>
      </c>
      <c r="F2787" s="27" t="str" cm="1">
        <f t="array" ref="F2787">IF(C2787="","",IFERROR(INDEX(STPP!$F$6:$F$4207,MATCH(C2787,STPP!$C$6:$C$4207,0)),"Not Found"))</f>
        <v/>
      </c>
      <c r="G2787" s="25" t="str">
        <f>IF(表1[[#This Row],[No Seri]]="","",表1[[#This Row],[Deskripsi Barang]]+表1[[#This Row],[Kuantitas]]-表1[[#This Row],[Satuan]])</f>
        <v/>
      </c>
      <c r="H2787" s="28"/>
      <c r="I2787" s="25" t="str">
        <f>IF(表1[[#This Row],[Tgl NPBG]]&gt;表1[[#This Row],[Peminta]],表1[[#This Row],[Tgl NPBG]]-表1[[#This Row],[Peminta]],"")</f>
        <v/>
      </c>
      <c r="J2787" s="31"/>
    </row>
    <row r="2788" s="12" customFormat="1" customHeight="1" spans="2:10">
      <c r="B2788" s="25"/>
      <c r="C2788" s="25"/>
      <c r="D2788" s="26" t="str" cm="1">
        <f t="array" ref="D2788">IF(C2788="","",IFERROR(INDEX(STPP!$D$6:$D$4207,MATCH(C2788,STPP!$C$6:$C$4207,0)),"Not Found"))</f>
        <v/>
      </c>
      <c r="E2788" s="27" t="str" cm="1">
        <f t="array" ref="E2788">IF(C2788="","",IFERROR(INDEX(STPP!$E$6:$E$4207,MATCH(C2788,STPP!$C$6:$C$4207,0)),"Not Found"))</f>
        <v/>
      </c>
      <c r="F2788" s="27" t="str" cm="1">
        <f t="array" ref="F2788">IF(C2788="","",IFERROR(INDEX(STPP!$F$6:$F$4207,MATCH(C2788,STPP!$C$6:$C$4207,0)),"Not Found"))</f>
        <v/>
      </c>
      <c r="G2788" s="25" t="str">
        <f>IF(表1[[#This Row],[No Seri]]="","",表1[[#This Row],[Deskripsi Barang]]+表1[[#This Row],[Kuantitas]]-表1[[#This Row],[Satuan]])</f>
        <v/>
      </c>
      <c r="H2788" s="28"/>
      <c r="I2788" s="25" t="str">
        <f>IF(表1[[#This Row],[Tgl NPBG]]&gt;表1[[#This Row],[Peminta]],表1[[#This Row],[Tgl NPBG]]-表1[[#This Row],[Peminta]],"")</f>
        <v/>
      </c>
      <c r="J2788" s="31"/>
    </row>
    <row r="2789" s="12" customFormat="1" customHeight="1" spans="2:10">
      <c r="B2789" s="25"/>
      <c r="C2789" s="25"/>
      <c r="D2789" s="26" t="str" cm="1">
        <f t="array" ref="D2789">IF(C2789="","",IFERROR(INDEX(STPP!$D$6:$D$4207,MATCH(C2789,STPP!$C$6:$C$4207,0)),"Not Found"))</f>
        <v/>
      </c>
      <c r="E2789" s="27" t="str" cm="1">
        <f t="array" ref="E2789">IF(C2789="","",IFERROR(INDEX(STPP!$E$6:$E$4207,MATCH(C2789,STPP!$C$6:$C$4207,0)),"Not Found"))</f>
        <v/>
      </c>
      <c r="F2789" s="27" t="str" cm="1">
        <f t="array" ref="F2789">IF(C2789="","",IFERROR(INDEX(STPP!$F$6:$F$4207,MATCH(C2789,STPP!$C$6:$C$4207,0)),"Not Found"))</f>
        <v/>
      </c>
      <c r="G2789" s="25" t="str">
        <f>IF(表1[[#This Row],[No Seri]]="","",表1[[#This Row],[Deskripsi Barang]]+表1[[#This Row],[Kuantitas]]-表1[[#This Row],[Satuan]])</f>
        <v/>
      </c>
      <c r="H2789" s="28"/>
      <c r="I2789" s="25" t="str">
        <f>IF(表1[[#This Row],[Tgl NPBG]]&gt;表1[[#This Row],[Peminta]],表1[[#This Row],[Tgl NPBG]]-表1[[#This Row],[Peminta]],"")</f>
        <v/>
      </c>
      <c r="J2789" s="31"/>
    </row>
    <row r="2790" s="12" customFormat="1" customHeight="1" spans="2:10">
      <c r="B2790" s="25"/>
      <c r="C2790" s="25"/>
      <c r="D2790" s="26" t="str" cm="1">
        <f t="array" ref="D2790">IF(C2790="","",IFERROR(INDEX(STPP!$D$6:$D$4207,MATCH(C2790,STPP!$C$6:$C$4207,0)),"Not Found"))</f>
        <v/>
      </c>
      <c r="E2790" s="27" t="str" cm="1">
        <f t="array" ref="E2790">IF(C2790="","",IFERROR(INDEX(STPP!$E$6:$E$4207,MATCH(C2790,STPP!$C$6:$C$4207,0)),"Not Found"))</f>
        <v/>
      </c>
      <c r="F2790" s="27" t="str" cm="1">
        <f t="array" ref="F2790">IF(C2790="","",IFERROR(INDEX(STPP!$F$6:$F$4207,MATCH(C2790,STPP!$C$6:$C$4207,0)),"Not Found"))</f>
        <v/>
      </c>
      <c r="G2790" s="25" t="str">
        <f>IF(表1[[#This Row],[No Seri]]="","",表1[[#This Row],[Deskripsi Barang]]+表1[[#This Row],[Kuantitas]]-表1[[#This Row],[Satuan]])</f>
        <v/>
      </c>
      <c r="H2790" s="28"/>
      <c r="I2790" s="25" t="str">
        <f>IF(表1[[#This Row],[Tgl NPBG]]&gt;表1[[#This Row],[Peminta]],表1[[#This Row],[Tgl NPBG]]-表1[[#This Row],[Peminta]],"")</f>
        <v/>
      </c>
      <c r="J2790" s="31"/>
    </row>
    <row r="2791" s="12" customFormat="1" customHeight="1" spans="2:10">
      <c r="B2791" s="25"/>
      <c r="C2791" s="25"/>
      <c r="D2791" s="26" t="str" cm="1">
        <f t="array" ref="D2791">IF(C2791="","",IFERROR(INDEX(STPP!$D$6:$D$4207,MATCH(C2791,STPP!$C$6:$C$4207,0)),"Not Found"))</f>
        <v/>
      </c>
      <c r="E2791" s="27" t="str" cm="1">
        <f t="array" ref="E2791">IF(C2791="","",IFERROR(INDEX(STPP!$E$6:$E$4207,MATCH(C2791,STPP!$C$6:$C$4207,0)),"Not Found"))</f>
        <v/>
      </c>
      <c r="F2791" s="27" t="str" cm="1">
        <f t="array" ref="F2791">IF(C2791="","",IFERROR(INDEX(STPP!$F$6:$F$4207,MATCH(C2791,STPP!$C$6:$C$4207,0)),"Not Found"))</f>
        <v/>
      </c>
      <c r="G2791" s="25" t="str">
        <f>IF(表1[[#This Row],[No Seri]]="","",表1[[#This Row],[Deskripsi Barang]]+表1[[#This Row],[Kuantitas]]-表1[[#This Row],[Satuan]])</f>
        <v/>
      </c>
      <c r="H2791" s="28"/>
      <c r="I2791" s="25" t="str">
        <f>IF(表1[[#This Row],[Tgl NPBG]]&gt;表1[[#This Row],[Peminta]],表1[[#This Row],[Tgl NPBG]]-表1[[#This Row],[Peminta]],"")</f>
        <v/>
      </c>
      <c r="J2791" s="31"/>
    </row>
    <row r="2792" s="12" customFormat="1" customHeight="1" spans="2:10">
      <c r="B2792" s="25"/>
      <c r="C2792" s="25"/>
      <c r="D2792" s="26" t="str" cm="1">
        <f t="array" ref="D2792">IF(C2792="","",IFERROR(INDEX(STPP!$D$6:$D$4207,MATCH(C2792,STPP!$C$6:$C$4207,0)),"Not Found"))</f>
        <v/>
      </c>
      <c r="E2792" s="27" t="str" cm="1">
        <f t="array" ref="E2792">IF(C2792="","",IFERROR(INDEX(STPP!$E$6:$E$4207,MATCH(C2792,STPP!$C$6:$C$4207,0)),"Not Found"))</f>
        <v/>
      </c>
      <c r="F2792" s="27" t="str" cm="1">
        <f t="array" ref="F2792">IF(C2792="","",IFERROR(INDEX(STPP!$F$6:$F$4207,MATCH(C2792,STPP!$C$6:$C$4207,0)),"Not Found"))</f>
        <v/>
      </c>
      <c r="G2792" s="25" t="str">
        <f>IF(表1[[#This Row],[No Seri]]="","",表1[[#This Row],[Deskripsi Barang]]+表1[[#This Row],[Kuantitas]]-表1[[#This Row],[Satuan]])</f>
        <v/>
      </c>
      <c r="H2792" s="28"/>
      <c r="I2792" s="25" t="str">
        <f>IF(表1[[#This Row],[Tgl NPBG]]&gt;表1[[#This Row],[Peminta]],表1[[#This Row],[Tgl NPBG]]-表1[[#This Row],[Peminta]],"")</f>
        <v/>
      </c>
      <c r="J2792" s="31"/>
    </row>
    <row r="2793" s="12" customFormat="1" customHeight="1" spans="2:10">
      <c r="B2793" s="25"/>
      <c r="C2793" s="25"/>
      <c r="D2793" s="26" t="str" cm="1">
        <f t="array" ref="D2793">IF(C2793="","",IFERROR(INDEX(STPP!$D$6:$D$4207,MATCH(C2793,STPP!$C$6:$C$4207,0)),"Not Found"))</f>
        <v/>
      </c>
      <c r="E2793" s="27" t="str" cm="1">
        <f t="array" ref="E2793">IF(C2793="","",IFERROR(INDEX(STPP!$E$6:$E$4207,MATCH(C2793,STPP!$C$6:$C$4207,0)),"Not Found"))</f>
        <v/>
      </c>
      <c r="F2793" s="27" t="str" cm="1">
        <f t="array" ref="F2793">IF(C2793="","",IFERROR(INDEX(STPP!$F$6:$F$4207,MATCH(C2793,STPP!$C$6:$C$4207,0)),"Not Found"))</f>
        <v/>
      </c>
      <c r="G2793" s="25" t="str">
        <f>IF(表1[[#This Row],[No Seri]]="","",表1[[#This Row],[Deskripsi Barang]]+表1[[#This Row],[Kuantitas]]-表1[[#This Row],[Satuan]])</f>
        <v/>
      </c>
      <c r="H2793" s="28"/>
      <c r="I2793" s="25" t="str">
        <f>IF(表1[[#This Row],[Tgl NPBG]]&gt;表1[[#This Row],[Peminta]],表1[[#This Row],[Tgl NPBG]]-表1[[#This Row],[Peminta]],"")</f>
        <v/>
      </c>
      <c r="J2793" s="31"/>
    </row>
    <row r="2794" s="12" customFormat="1" customHeight="1" spans="2:10">
      <c r="B2794" s="25"/>
      <c r="C2794" s="25"/>
      <c r="D2794" s="26" t="str" cm="1">
        <f t="array" ref="D2794">IF(C2794="","",IFERROR(INDEX(STPP!$D$6:$D$4207,MATCH(C2794,STPP!$C$6:$C$4207,0)),"Not Found"))</f>
        <v/>
      </c>
      <c r="E2794" s="27" t="str" cm="1">
        <f t="array" ref="E2794">IF(C2794="","",IFERROR(INDEX(STPP!$E$6:$E$4207,MATCH(C2794,STPP!$C$6:$C$4207,0)),"Not Found"))</f>
        <v/>
      </c>
      <c r="F2794" s="27" t="str" cm="1">
        <f t="array" ref="F2794">IF(C2794="","",IFERROR(INDEX(STPP!$F$6:$F$4207,MATCH(C2794,STPP!$C$6:$C$4207,0)),"Not Found"))</f>
        <v/>
      </c>
      <c r="G2794" s="25" t="str">
        <f>IF(表1[[#This Row],[No Seri]]="","",表1[[#This Row],[Deskripsi Barang]]+表1[[#This Row],[Kuantitas]]-表1[[#This Row],[Satuan]])</f>
        <v/>
      </c>
      <c r="H2794" s="28"/>
      <c r="I2794" s="25" t="str">
        <f>IF(表1[[#This Row],[Tgl NPBG]]&gt;表1[[#This Row],[Peminta]],表1[[#This Row],[Tgl NPBG]]-表1[[#This Row],[Peminta]],"")</f>
        <v/>
      </c>
      <c r="J2794" s="31"/>
    </row>
    <row r="2795" s="12" customFormat="1" customHeight="1" spans="2:10">
      <c r="B2795" s="25"/>
      <c r="C2795" s="25"/>
      <c r="D2795" s="26" t="str" cm="1">
        <f t="array" ref="D2795">IF(C2795="","",IFERROR(INDEX(STPP!$D$6:$D$4207,MATCH(C2795,STPP!$C$6:$C$4207,0)),"Not Found"))</f>
        <v/>
      </c>
      <c r="E2795" s="27" t="str" cm="1">
        <f t="array" ref="E2795">IF(C2795="","",IFERROR(INDEX(STPP!$E$6:$E$4207,MATCH(C2795,STPP!$C$6:$C$4207,0)),"Not Found"))</f>
        <v/>
      </c>
      <c r="F2795" s="27" t="str" cm="1">
        <f t="array" ref="F2795">IF(C2795="","",IFERROR(INDEX(STPP!$F$6:$F$4207,MATCH(C2795,STPP!$C$6:$C$4207,0)),"Not Found"))</f>
        <v/>
      </c>
      <c r="G2795" s="25" t="str">
        <f>IF(表1[[#This Row],[No Seri]]="","",表1[[#This Row],[Deskripsi Barang]]+表1[[#This Row],[Kuantitas]]-表1[[#This Row],[Satuan]])</f>
        <v/>
      </c>
      <c r="H2795" s="28"/>
      <c r="I2795" s="25" t="str">
        <f>IF(表1[[#This Row],[Tgl NPBG]]&gt;表1[[#This Row],[Peminta]],表1[[#This Row],[Tgl NPBG]]-表1[[#This Row],[Peminta]],"")</f>
        <v/>
      </c>
      <c r="J2795" s="31"/>
    </row>
    <row r="2796" s="12" customFormat="1" customHeight="1" spans="2:10">
      <c r="B2796" s="25"/>
      <c r="C2796" s="25"/>
      <c r="D2796" s="26" t="str" cm="1">
        <f t="array" ref="D2796">IF(C2796="","",IFERROR(INDEX(STPP!$D$6:$D$4207,MATCH(C2796,STPP!$C$6:$C$4207,0)),"Not Found"))</f>
        <v/>
      </c>
      <c r="E2796" s="27" t="str" cm="1">
        <f t="array" ref="E2796">IF(C2796="","",IFERROR(INDEX(STPP!$E$6:$E$4207,MATCH(C2796,STPP!$C$6:$C$4207,0)),"Not Found"))</f>
        <v/>
      </c>
      <c r="F2796" s="27" t="str" cm="1">
        <f t="array" ref="F2796">IF(C2796="","",IFERROR(INDEX(STPP!$F$6:$F$4207,MATCH(C2796,STPP!$C$6:$C$4207,0)),"Not Found"))</f>
        <v/>
      </c>
      <c r="G2796" s="25" t="str">
        <f>IF(表1[[#This Row],[No Seri]]="","",表1[[#This Row],[Deskripsi Barang]]+表1[[#This Row],[Kuantitas]]-表1[[#This Row],[Satuan]])</f>
        <v/>
      </c>
      <c r="H2796" s="28"/>
      <c r="I2796" s="25" t="str">
        <f>IF(表1[[#This Row],[Tgl NPBG]]&gt;表1[[#This Row],[Peminta]],表1[[#This Row],[Tgl NPBG]]-表1[[#This Row],[Peminta]],"")</f>
        <v/>
      </c>
      <c r="J2796" s="31"/>
    </row>
    <row r="2797" s="12" customFormat="1" customHeight="1" spans="2:10">
      <c r="B2797" s="25"/>
      <c r="C2797" s="25"/>
      <c r="D2797" s="26" t="str" cm="1">
        <f t="array" ref="D2797">IF(C2797="","",IFERROR(INDEX(STPP!$D$6:$D$4207,MATCH(C2797,STPP!$C$6:$C$4207,0)),"Not Found"))</f>
        <v/>
      </c>
      <c r="E2797" s="27" t="str" cm="1">
        <f t="array" ref="E2797">IF(C2797="","",IFERROR(INDEX(STPP!$E$6:$E$4207,MATCH(C2797,STPP!$C$6:$C$4207,0)),"Not Found"))</f>
        <v/>
      </c>
      <c r="F2797" s="27" t="str" cm="1">
        <f t="array" ref="F2797">IF(C2797="","",IFERROR(INDEX(STPP!$F$6:$F$4207,MATCH(C2797,STPP!$C$6:$C$4207,0)),"Not Found"))</f>
        <v/>
      </c>
      <c r="G2797" s="25" t="str">
        <f>IF(表1[[#This Row],[No Seri]]="","",表1[[#This Row],[Deskripsi Barang]]+表1[[#This Row],[Kuantitas]]-表1[[#This Row],[Satuan]])</f>
        <v/>
      </c>
      <c r="H2797" s="28"/>
      <c r="I2797" s="25" t="str">
        <f>IF(表1[[#This Row],[Tgl NPBG]]&gt;表1[[#This Row],[Peminta]],表1[[#This Row],[Tgl NPBG]]-表1[[#This Row],[Peminta]],"")</f>
        <v/>
      </c>
      <c r="J2797" s="31"/>
    </row>
    <row r="2798" s="12" customFormat="1" customHeight="1" spans="2:10">
      <c r="B2798" s="25"/>
      <c r="C2798" s="25"/>
      <c r="D2798" s="26" t="str" cm="1">
        <f t="array" ref="D2798">IF(C2798="","",IFERROR(INDEX(STPP!$D$6:$D$4207,MATCH(C2798,STPP!$C$6:$C$4207,0)),"Not Found"))</f>
        <v/>
      </c>
      <c r="E2798" s="27" t="str" cm="1">
        <f t="array" ref="E2798">IF(C2798="","",IFERROR(INDEX(STPP!$E$6:$E$4207,MATCH(C2798,STPP!$C$6:$C$4207,0)),"Not Found"))</f>
        <v/>
      </c>
      <c r="F2798" s="27" t="str" cm="1">
        <f t="array" ref="F2798">IF(C2798="","",IFERROR(INDEX(STPP!$F$6:$F$4207,MATCH(C2798,STPP!$C$6:$C$4207,0)),"Not Found"))</f>
        <v/>
      </c>
      <c r="G2798" s="25" t="str">
        <f>IF(表1[[#This Row],[No Seri]]="","",表1[[#This Row],[Deskripsi Barang]]+表1[[#This Row],[Kuantitas]]-表1[[#This Row],[Satuan]])</f>
        <v/>
      </c>
      <c r="H2798" s="28"/>
      <c r="I2798" s="25" t="str">
        <f>IF(表1[[#This Row],[Tgl NPBG]]&gt;表1[[#This Row],[Peminta]],表1[[#This Row],[Tgl NPBG]]-表1[[#This Row],[Peminta]],"")</f>
        <v/>
      </c>
      <c r="J2798" s="31"/>
    </row>
    <row r="2799" s="12" customFormat="1" customHeight="1" spans="2:10">
      <c r="B2799" s="25"/>
      <c r="C2799" s="25"/>
      <c r="D2799" s="26" t="str" cm="1">
        <f t="array" ref="D2799">IF(C2799="","",IFERROR(INDEX(STPP!$D$6:$D$4207,MATCH(C2799,STPP!$C$6:$C$4207,0)),"Not Found"))</f>
        <v/>
      </c>
      <c r="E2799" s="27" t="str" cm="1">
        <f t="array" ref="E2799">IF(C2799="","",IFERROR(INDEX(STPP!$E$6:$E$4207,MATCH(C2799,STPP!$C$6:$C$4207,0)),"Not Found"))</f>
        <v/>
      </c>
      <c r="F2799" s="27" t="str" cm="1">
        <f t="array" ref="F2799">IF(C2799="","",IFERROR(INDEX(STPP!$F$6:$F$4207,MATCH(C2799,STPP!$C$6:$C$4207,0)),"Not Found"))</f>
        <v/>
      </c>
      <c r="G2799" s="25" t="str">
        <f>IF(表1[[#This Row],[No Seri]]="","",表1[[#This Row],[Deskripsi Barang]]+表1[[#This Row],[Kuantitas]]-表1[[#This Row],[Satuan]])</f>
        <v/>
      </c>
      <c r="H2799" s="28"/>
      <c r="I2799" s="25" t="str">
        <f>IF(表1[[#This Row],[Tgl NPBG]]&gt;表1[[#This Row],[Peminta]],表1[[#This Row],[Tgl NPBG]]-表1[[#This Row],[Peminta]],"")</f>
        <v/>
      </c>
      <c r="J2799" s="31"/>
    </row>
    <row r="2800" s="12" customFormat="1" customHeight="1" spans="2:10">
      <c r="B2800" s="25"/>
      <c r="C2800" s="25"/>
      <c r="D2800" s="26" t="str" cm="1">
        <f t="array" ref="D2800">IF(C2800="","",IFERROR(INDEX(STPP!$D$6:$D$4207,MATCH(C2800,STPP!$C$6:$C$4207,0)),"Not Found"))</f>
        <v/>
      </c>
      <c r="E2800" s="27" t="str" cm="1">
        <f t="array" ref="E2800">IF(C2800="","",IFERROR(INDEX(STPP!$E$6:$E$4207,MATCH(C2800,STPP!$C$6:$C$4207,0)),"Not Found"))</f>
        <v/>
      </c>
      <c r="F2800" s="27" t="str" cm="1">
        <f t="array" ref="F2800">IF(C2800="","",IFERROR(INDEX(STPP!$F$6:$F$4207,MATCH(C2800,STPP!$C$6:$C$4207,0)),"Not Found"))</f>
        <v/>
      </c>
      <c r="G2800" s="25" t="str">
        <f>IF(表1[[#This Row],[No Seri]]="","",表1[[#This Row],[Deskripsi Barang]]+表1[[#This Row],[Kuantitas]]-表1[[#This Row],[Satuan]])</f>
        <v/>
      </c>
      <c r="H2800" s="28"/>
      <c r="I2800" s="25" t="str">
        <f>IF(表1[[#This Row],[Tgl NPBG]]&gt;表1[[#This Row],[Peminta]],表1[[#This Row],[Tgl NPBG]]-表1[[#This Row],[Peminta]],"")</f>
        <v/>
      </c>
      <c r="J2800" s="31"/>
    </row>
    <row r="2801" s="12" customFormat="1" customHeight="1" spans="2:10">
      <c r="B2801" s="25"/>
      <c r="C2801" s="25"/>
      <c r="D2801" s="26" t="str" cm="1">
        <f t="array" ref="D2801">IF(C2801="","",IFERROR(INDEX(STPP!$D$6:$D$4207,MATCH(C2801,STPP!$C$6:$C$4207,0)),"Not Found"))</f>
        <v/>
      </c>
      <c r="E2801" s="27" t="str" cm="1">
        <f t="array" ref="E2801">IF(C2801="","",IFERROR(INDEX(STPP!$E$6:$E$4207,MATCH(C2801,STPP!$C$6:$C$4207,0)),"Not Found"))</f>
        <v/>
      </c>
      <c r="F2801" s="27" t="str" cm="1">
        <f t="array" ref="F2801">IF(C2801="","",IFERROR(INDEX(STPP!$F$6:$F$4207,MATCH(C2801,STPP!$C$6:$C$4207,0)),"Not Found"))</f>
        <v/>
      </c>
      <c r="G2801" s="25" t="str">
        <f>IF(表1[[#This Row],[No Seri]]="","",表1[[#This Row],[Deskripsi Barang]]+表1[[#This Row],[Kuantitas]]-表1[[#This Row],[Satuan]])</f>
        <v/>
      </c>
      <c r="H2801" s="28"/>
      <c r="I2801" s="25" t="str">
        <f>IF(表1[[#This Row],[Tgl NPBG]]&gt;表1[[#This Row],[Peminta]],表1[[#This Row],[Tgl NPBG]]-表1[[#This Row],[Peminta]],"")</f>
        <v/>
      </c>
      <c r="J2801" s="31"/>
    </row>
    <row r="2802" s="12" customFormat="1" customHeight="1" spans="2:10">
      <c r="B2802" s="25"/>
      <c r="C2802" s="25"/>
      <c r="D2802" s="26" t="str" cm="1">
        <f t="array" ref="D2802">IF(C2802="","",IFERROR(INDEX(STPP!$D$6:$D$4207,MATCH(C2802,STPP!$C$6:$C$4207,0)),"Not Found"))</f>
        <v/>
      </c>
      <c r="E2802" s="27" t="str" cm="1">
        <f t="array" ref="E2802">IF(C2802="","",IFERROR(INDEX(STPP!$E$6:$E$4207,MATCH(C2802,STPP!$C$6:$C$4207,0)),"Not Found"))</f>
        <v/>
      </c>
      <c r="F2802" s="27" t="str" cm="1">
        <f t="array" ref="F2802">IF(C2802="","",IFERROR(INDEX(STPP!$F$6:$F$4207,MATCH(C2802,STPP!$C$6:$C$4207,0)),"Not Found"))</f>
        <v/>
      </c>
      <c r="G2802" s="25" t="str">
        <f>IF(表1[[#This Row],[No Seri]]="","",表1[[#This Row],[Deskripsi Barang]]+表1[[#This Row],[Kuantitas]]-表1[[#This Row],[Satuan]])</f>
        <v/>
      </c>
      <c r="H2802" s="28"/>
      <c r="I2802" s="25" t="str">
        <f>IF(表1[[#This Row],[Tgl NPBG]]&gt;表1[[#This Row],[Peminta]],表1[[#This Row],[Tgl NPBG]]-表1[[#This Row],[Peminta]],"")</f>
        <v/>
      </c>
      <c r="J2802" s="31"/>
    </row>
    <row r="2803" s="12" customFormat="1" customHeight="1" spans="2:10">
      <c r="B2803" s="25"/>
      <c r="C2803" s="25"/>
      <c r="D2803" s="26" t="str" cm="1">
        <f t="array" ref="D2803">IF(C2803="","",IFERROR(INDEX(STPP!$D$6:$D$4207,MATCH(C2803,STPP!$C$6:$C$4207,0)),"Not Found"))</f>
        <v/>
      </c>
      <c r="E2803" s="27" t="str" cm="1">
        <f t="array" ref="E2803">IF(C2803="","",IFERROR(INDEX(STPP!$E$6:$E$4207,MATCH(C2803,STPP!$C$6:$C$4207,0)),"Not Found"))</f>
        <v/>
      </c>
      <c r="F2803" s="27" t="str" cm="1">
        <f t="array" ref="F2803">IF(C2803="","",IFERROR(INDEX(STPP!$F$6:$F$4207,MATCH(C2803,STPP!$C$6:$C$4207,0)),"Not Found"))</f>
        <v/>
      </c>
      <c r="G2803" s="25" t="str">
        <f>IF(表1[[#This Row],[No Seri]]="","",表1[[#This Row],[Deskripsi Barang]]+表1[[#This Row],[Kuantitas]]-表1[[#This Row],[Satuan]])</f>
        <v/>
      </c>
      <c r="H2803" s="28"/>
      <c r="I2803" s="25" t="str">
        <f>IF(表1[[#This Row],[Tgl NPBG]]&gt;表1[[#This Row],[Peminta]],表1[[#This Row],[Tgl NPBG]]-表1[[#This Row],[Peminta]],"")</f>
        <v/>
      </c>
      <c r="J2803" s="31"/>
    </row>
    <row r="2804" s="12" customFormat="1" customHeight="1" spans="2:10">
      <c r="B2804" s="25"/>
      <c r="C2804" s="25"/>
      <c r="D2804" s="26" t="str" cm="1">
        <f t="array" ref="D2804">IF(C2804="","",IFERROR(INDEX(STPP!$D$6:$D$4207,MATCH(C2804,STPP!$C$6:$C$4207,0)),"Not Found"))</f>
        <v/>
      </c>
      <c r="E2804" s="27" t="str" cm="1">
        <f t="array" ref="E2804">IF(C2804="","",IFERROR(INDEX(STPP!$E$6:$E$4207,MATCH(C2804,STPP!$C$6:$C$4207,0)),"Not Found"))</f>
        <v/>
      </c>
      <c r="F2804" s="27" t="str" cm="1">
        <f t="array" ref="F2804">IF(C2804="","",IFERROR(INDEX(STPP!$F$6:$F$4207,MATCH(C2804,STPP!$C$6:$C$4207,0)),"Not Found"))</f>
        <v/>
      </c>
      <c r="G2804" s="25" t="str">
        <f>IF(表1[[#This Row],[No Seri]]="","",表1[[#This Row],[Deskripsi Barang]]+表1[[#This Row],[Kuantitas]]-表1[[#This Row],[Satuan]])</f>
        <v/>
      </c>
      <c r="H2804" s="28"/>
      <c r="I2804" s="25" t="str">
        <f>IF(表1[[#This Row],[Tgl NPBG]]&gt;表1[[#This Row],[Peminta]],表1[[#This Row],[Tgl NPBG]]-表1[[#This Row],[Peminta]],"")</f>
        <v/>
      </c>
      <c r="J2804" s="31"/>
    </row>
    <row r="2805" s="12" customFormat="1" customHeight="1" spans="2:10">
      <c r="B2805" s="25"/>
      <c r="C2805" s="25"/>
      <c r="D2805" s="26" t="str" cm="1">
        <f t="array" ref="D2805">IF(C2805="","",IFERROR(INDEX(STPP!$D$6:$D$4207,MATCH(C2805,STPP!$C$6:$C$4207,0)),"Not Found"))</f>
        <v/>
      </c>
      <c r="E2805" s="27" t="str" cm="1">
        <f t="array" ref="E2805">IF(C2805="","",IFERROR(INDEX(STPP!$E$6:$E$4207,MATCH(C2805,STPP!$C$6:$C$4207,0)),"Not Found"))</f>
        <v/>
      </c>
      <c r="F2805" s="27" t="str" cm="1">
        <f t="array" ref="F2805">IF(C2805="","",IFERROR(INDEX(STPP!$F$6:$F$4207,MATCH(C2805,STPP!$C$6:$C$4207,0)),"Not Found"))</f>
        <v/>
      </c>
      <c r="G2805" s="25" t="str">
        <f>IF(表1[[#This Row],[No Seri]]="","",表1[[#This Row],[Deskripsi Barang]]+表1[[#This Row],[Kuantitas]]-表1[[#This Row],[Satuan]])</f>
        <v/>
      </c>
      <c r="H2805" s="28"/>
      <c r="I2805" s="25" t="str">
        <f>IF(表1[[#This Row],[Tgl NPBG]]&gt;表1[[#This Row],[Peminta]],表1[[#This Row],[Tgl NPBG]]-表1[[#This Row],[Peminta]],"")</f>
        <v/>
      </c>
      <c r="J2805" s="31"/>
    </row>
    <row r="2806" s="12" customFormat="1" customHeight="1" spans="2:10">
      <c r="B2806" s="25"/>
      <c r="C2806" s="25"/>
      <c r="D2806" s="26" t="str" cm="1">
        <f t="array" ref="D2806">IF(C2806="","",IFERROR(INDEX(STPP!$D$6:$D$4207,MATCH(C2806,STPP!$C$6:$C$4207,0)),"Not Found"))</f>
        <v/>
      </c>
      <c r="E2806" s="27" t="str" cm="1">
        <f t="array" ref="E2806">IF(C2806="","",IFERROR(INDEX(STPP!$E$6:$E$4207,MATCH(C2806,STPP!$C$6:$C$4207,0)),"Not Found"))</f>
        <v/>
      </c>
      <c r="F2806" s="27" t="str" cm="1">
        <f t="array" ref="F2806">IF(C2806="","",IFERROR(INDEX(STPP!$F$6:$F$4207,MATCH(C2806,STPP!$C$6:$C$4207,0)),"Not Found"))</f>
        <v/>
      </c>
      <c r="G2806" s="25" t="str">
        <f>IF(表1[[#This Row],[No Seri]]="","",表1[[#This Row],[Deskripsi Barang]]+表1[[#This Row],[Kuantitas]]-表1[[#This Row],[Satuan]])</f>
        <v/>
      </c>
      <c r="H2806" s="28"/>
      <c r="I2806" s="25" t="str">
        <f>IF(表1[[#This Row],[Tgl NPBG]]&gt;表1[[#This Row],[Peminta]],表1[[#This Row],[Tgl NPBG]]-表1[[#This Row],[Peminta]],"")</f>
        <v/>
      </c>
      <c r="J2806" s="31"/>
    </row>
    <row r="2807" s="12" customFormat="1" customHeight="1" spans="2:10">
      <c r="B2807" s="25"/>
      <c r="C2807" s="25"/>
      <c r="D2807" s="26" t="str" cm="1">
        <f t="array" ref="D2807">IF(C2807="","",IFERROR(INDEX(STPP!$D$6:$D$4207,MATCH(C2807,STPP!$C$6:$C$4207,0)),"Not Found"))</f>
        <v/>
      </c>
      <c r="E2807" s="27" t="str" cm="1">
        <f t="array" ref="E2807">IF(C2807="","",IFERROR(INDEX(STPP!$E$6:$E$4207,MATCH(C2807,STPP!$C$6:$C$4207,0)),"Not Found"))</f>
        <v/>
      </c>
      <c r="F2807" s="27" t="str" cm="1">
        <f t="array" ref="F2807">IF(C2807="","",IFERROR(INDEX(STPP!$F$6:$F$4207,MATCH(C2807,STPP!$C$6:$C$4207,0)),"Not Found"))</f>
        <v/>
      </c>
      <c r="G2807" s="25" t="str">
        <f>IF(表1[[#This Row],[No Seri]]="","",表1[[#This Row],[Deskripsi Barang]]+表1[[#This Row],[Kuantitas]]-表1[[#This Row],[Satuan]])</f>
        <v/>
      </c>
      <c r="H2807" s="28"/>
      <c r="I2807" s="25" t="str">
        <f>IF(表1[[#This Row],[Tgl NPBG]]&gt;表1[[#This Row],[Peminta]],表1[[#This Row],[Tgl NPBG]]-表1[[#This Row],[Peminta]],"")</f>
        <v/>
      </c>
      <c r="J2807" s="31"/>
    </row>
    <row r="2808" s="12" customFormat="1" customHeight="1" spans="2:10">
      <c r="B2808" s="25"/>
      <c r="C2808" s="25"/>
      <c r="D2808" s="26" t="str" cm="1">
        <f t="array" ref="D2808">IF(C2808="","",IFERROR(INDEX(STPP!$D$6:$D$4207,MATCH(C2808,STPP!$C$6:$C$4207,0)),"Not Found"))</f>
        <v/>
      </c>
      <c r="E2808" s="27" t="str" cm="1">
        <f t="array" ref="E2808">IF(C2808="","",IFERROR(INDEX(STPP!$E$6:$E$4207,MATCH(C2808,STPP!$C$6:$C$4207,0)),"Not Found"))</f>
        <v/>
      </c>
      <c r="F2808" s="27" t="str" cm="1">
        <f t="array" ref="F2808">IF(C2808="","",IFERROR(INDEX(STPP!$F$6:$F$4207,MATCH(C2808,STPP!$C$6:$C$4207,0)),"Not Found"))</f>
        <v/>
      </c>
      <c r="G2808" s="25" t="str">
        <f>IF(表1[[#This Row],[No Seri]]="","",表1[[#This Row],[Deskripsi Barang]]+表1[[#This Row],[Kuantitas]]-表1[[#This Row],[Satuan]])</f>
        <v/>
      </c>
      <c r="H2808" s="28"/>
      <c r="I2808" s="25" t="str">
        <f>IF(表1[[#This Row],[Tgl NPBG]]&gt;表1[[#This Row],[Peminta]],表1[[#This Row],[Tgl NPBG]]-表1[[#This Row],[Peminta]],"")</f>
        <v/>
      </c>
      <c r="J2808" s="31"/>
    </row>
    <row r="2809" s="12" customFormat="1" customHeight="1" spans="2:10">
      <c r="B2809" s="25"/>
      <c r="C2809" s="25"/>
      <c r="D2809" s="26" t="str" cm="1">
        <f t="array" ref="D2809">IF(C2809="","",IFERROR(INDEX(STPP!$D$6:$D$4207,MATCH(C2809,STPP!$C$6:$C$4207,0)),"Not Found"))</f>
        <v/>
      </c>
      <c r="E2809" s="27" t="str" cm="1">
        <f t="array" ref="E2809">IF(C2809="","",IFERROR(INDEX(STPP!$E$6:$E$4207,MATCH(C2809,STPP!$C$6:$C$4207,0)),"Not Found"))</f>
        <v/>
      </c>
      <c r="F2809" s="27" t="str" cm="1">
        <f t="array" ref="F2809">IF(C2809="","",IFERROR(INDEX(STPP!$F$6:$F$4207,MATCH(C2809,STPP!$C$6:$C$4207,0)),"Not Found"))</f>
        <v/>
      </c>
      <c r="G2809" s="25" t="str">
        <f>IF(表1[[#This Row],[No Seri]]="","",表1[[#This Row],[Deskripsi Barang]]+表1[[#This Row],[Kuantitas]]-表1[[#This Row],[Satuan]])</f>
        <v/>
      </c>
      <c r="H2809" s="28"/>
      <c r="I2809" s="25" t="str">
        <f>IF(表1[[#This Row],[Tgl NPBG]]&gt;表1[[#This Row],[Peminta]],表1[[#This Row],[Tgl NPBG]]-表1[[#This Row],[Peminta]],"")</f>
        <v/>
      </c>
      <c r="J2809" s="31"/>
    </row>
    <row r="2810" s="12" customFormat="1" customHeight="1" spans="2:10">
      <c r="B2810" s="25"/>
      <c r="C2810" s="25"/>
      <c r="D2810" s="26" t="str" cm="1">
        <f t="array" ref="D2810">IF(C2810="","",IFERROR(INDEX(STPP!$D$6:$D$4207,MATCH(C2810,STPP!$C$6:$C$4207,0)),"Not Found"))</f>
        <v/>
      </c>
      <c r="E2810" s="27" t="str" cm="1">
        <f t="array" ref="E2810">IF(C2810="","",IFERROR(INDEX(STPP!$E$6:$E$4207,MATCH(C2810,STPP!$C$6:$C$4207,0)),"Not Found"))</f>
        <v/>
      </c>
      <c r="F2810" s="27" t="str" cm="1">
        <f t="array" ref="F2810">IF(C2810="","",IFERROR(INDEX(STPP!$F$6:$F$4207,MATCH(C2810,STPP!$C$6:$C$4207,0)),"Not Found"))</f>
        <v/>
      </c>
      <c r="G2810" s="25" t="str">
        <f>IF(表1[[#This Row],[No Seri]]="","",表1[[#This Row],[Deskripsi Barang]]+表1[[#This Row],[Kuantitas]]-表1[[#This Row],[Satuan]])</f>
        <v/>
      </c>
      <c r="H2810" s="28"/>
      <c r="I2810" s="25" t="str">
        <f>IF(表1[[#This Row],[Tgl NPBG]]&gt;表1[[#This Row],[Peminta]],表1[[#This Row],[Tgl NPBG]]-表1[[#This Row],[Peminta]],"")</f>
        <v/>
      </c>
      <c r="J2810" s="31"/>
    </row>
    <row r="2811" s="12" customFormat="1" customHeight="1" spans="2:10">
      <c r="B2811" s="25"/>
      <c r="C2811" s="25"/>
      <c r="D2811" s="26" t="str" cm="1">
        <f t="array" ref="D2811">IF(C2811="","",IFERROR(INDEX(STPP!$D$6:$D$4207,MATCH(C2811,STPP!$C$6:$C$4207,0)),"Not Found"))</f>
        <v/>
      </c>
      <c r="E2811" s="27" t="str" cm="1">
        <f t="array" ref="E2811">IF(C2811="","",IFERROR(INDEX(STPP!$E$6:$E$4207,MATCH(C2811,STPP!$C$6:$C$4207,0)),"Not Found"))</f>
        <v/>
      </c>
      <c r="F2811" s="27" t="str" cm="1">
        <f t="array" ref="F2811">IF(C2811="","",IFERROR(INDEX(STPP!$F$6:$F$4207,MATCH(C2811,STPP!$C$6:$C$4207,0)),"Not Found"))</f>
        <v/>
      </c>
      <c r="G2811" s="25" t="str">
        <f>IF(表1[[#This Row],[No Seri]]="","",表1[[#This Row],[Deskripsi Barang]]+表1[[#This Row],[Kuantitas]]-表1[[#This Row],[Satuan]])</f>
        <v/>
      </c>
      <c r="H2811" s="28"/>
      <c r="I2811" s="25" t="str">
        <f>IF(表1[[#This Row],[Tgl NPBG]]&gt;表1[[#This Row],[Peminta]],表1[[#This Row],[Tgl NPBG]]-表1[[#This Row],[Peminta]],"")</f>
        <v/>
      </c>
      <c r="J2811" s="31"/>
    </row>
    <row r="2812" s="12" customFormat="1" customHeight="1" spans="2:10">
      <c r="B2812" s="25"/>
      <c r="C2812" s="25"/>
      <c r="D2812" s="26" t="str" cm="1">
        <f t="array" ref="D2812">IF(C2812="","",IFERROR(INDEX(STPP!$D$6:$D$4207,MATCH(C2812,STPP!$C$6:$C$4207,0)),"Not Found"))</f>
        <v/>
      </c>
      <c r="E2812" s="27" t="str" cm="1">
        <f t="array" ref="E2812">IF(C2812="","",IFERROR(INDEX(STPP!$E$6:$E$4207,MATCH(C2812,STPP!$C$6:$C$4207,0)),"Not Found"))</f>
        <v/>
      </c>
      <c r="F2812" s="27" t="str" cm="1">
        <f t="array" ref="F2812">IF(C2812="","",IFERROR(INDEX(STPP!$F$6:$F$4207,MATCH(C2812,STPP!$C$6:$C$4207,0)),"Not Found"))</f>
        <v/>
      </c>
      <c r="G2812" s="25" t="str">
        <f>IF(表1[[#This Row],[No Seri]]="","",表1[[#This Row],[Deskripsi Barang]]+表1[[#This Row],[Kuantitas]]-表1[[#This Row],[Satuan]])</f>
        <v/>
      </c>
      <c r="H2812" s="28"/>
      <c r="I2812" s="25" t="str">
        <f>IF(表1[[#This Row],[Tgl NPBG]]&gt;表1[[#This Row],[Peminta]],表1[[#This Row],[Tgl NPBG]]-表1[[#This Row],[Peminta]],"")</f>
        <v/>
      </c>
      <c r="J2812" s="31"/>
    </row>
    <row r="2813" s="12" customFormat="1" customHeight="1" spans="2:10">
      <c r="B2813" s="25"/>
      <c r="C2813" s="25"/>
      <c r="D2813" s="26" t="str" cm="1">
        <f t="array" ref="D2813">IF(C2813="","",IFERROR(INDEX(STPP!$D$6:$D$4207,MATCH(C2813,STPP!$C$6:$C$4207,0)),"Not Found"))</f>
        <v/>
      </c>
      <c r="E2813" s="27" t="str" cm="1">
        <f t="array" ref="E2813">IF(C2813="","",IFERROR(INDEX(STPP!$E$6:$E$4207,MATCH(C2813,STPP!$C$6:$C$4207,0)),"Not Found"))</f>
        <v/>
      </c>
      <c r="F2813" s="27" t="str" cm="1">
        <f t="array" ref="F2813">IF(C2813="","",IFERROR(INDEX(STPP!$F$6:$F$4207,MATCH(C2813,STPP!$C$6:$C$4207,0)),"Not Found"))</f>
        <v/>
      </c>
      <c r="G2813" s="25" t="str">
        <f>IF(表1[[#This Row],[No Seri]]="","",表1[[#This Row],[Deskripsi Barang]]+表1[[#This Row],[Kuantitas]]-表1[[#This Row],[Satuan]])</f>
        <v/>
      </c>
      <c r="H2813" s="28"/>
      <c r="I2813" s="25" t="str">
        <f>IF(表1[[#This Row],[Tgl NPBG]]&gt;表1[[#This Row],[Peminta]],表1[[#This Row],[Tgl NPBG]]-表1[[#This Row],[Peminta]],"")</f>
        <v/>
      </c>
      <c r="J2813" s="31"/>
    </row>
    <row r="2814" s="12" customFormat="1" customHeight="1" spans="2:10">
      <c r="B2814" s="25"/>
      <c r="C2814" s="25"/>
      <c r="D2814" s="26" t="str" cm="1">
        <f t="array" ref="D2814">IF(C2814="","",IFERROR(INDEX(STPP!$D$6:$D$4207,MATCH(C2814,STPP!$C$6:$C$4207,0)),"Not Found"))</f>
        <v/>
      </c>
      <c r="E2814" s="27" t="str" cm="1">
        <f t="array" ref="E2814">IF(C2814="","",IFERROR(INDEX(STPP!$E$6:$E$4207,MATCH(C2814,STPP!$C$6:$C$4207,0)),"Not Found"))</f>
        <v/>
      </c>
      <c r="F2814" s="27" t="str" cm="1">
        <f t="array" ref="F2814">IF(C2814="","",IFERROR(INDEX(STPP!$F$6:$F$4207,MATCH(C2814,STPP!$C$6:$C$4207,0)),"Not Found"))</f>
        <v/>
      </c>
      <c r="G2814" s="25" t="str">
        <f>IF(表1[[#This Row],[No Seri]]="","",表1[[#This Row],[Deskripsi Barang]]+表1[[#This Row],[Kuantitas]]-表1[[#This Row],[Satuan]])</f>
        <v/>
      </c>
      <c r="H2814" s="28"/>
      <c r="I2814" s="25" t="str">
        <f>IF(表1[[#This Row],[Tgl NPBG]]&gt;表1[[#This Row],[Peminta]],表1[[#This Row],[Tgl NPBG]]-表1[[#This Row],[Peminta]],"")</f>
        <v/>
      </c>
      <c r="J2814" s="31"/>
    </row>
    <row r="2815" s="12" customFormat="1" customHeight="1" spans="2:10">
      <c r="B2815" s="25"/>
      <c r="C2815" s="25"/>
      <c r="D2815" s="26" t="str" cm="1">
        <f t="array" ref="D2815">IF(C2815="","",IFERROR(INDEX(STPP!$D$6:$D$4207,MATCH(C2815,STPP!$C$6:$C$4207,0)),"Not Found"))</f>
        <v/>
      </c>
      <c r="E2815" s="27" t="str" cm="1">
        <f t="array" ref="E2815">IF(C2815="","",IFERROR(INDEX(STPP!$E$6:$E$4207,MATCH(C2815,STPP!$C$6:$C$4207,0)),"Not Found"))</f>
        <v/>
      </c>
      <c r="F2815" s="27" t="str" cm="1">
        <f t="array" ref="F2815">IF(C2815="","",IFERROR(INDEX(STPP!$F$6:$F$4207,MATCH(C2815,STPP!$C$6:$C$4207,0)),"Not Found"))</f>
        <v/>
      </c>
      <c r="G2815" s="25" t="str">
        <f>IF(表1[[#This Row],[No Seri]]="","",表1[[#This Row],[Deskripsi Barang]]+表1[[#This Row],[Kuantitas]]-表1[[#This Row],[Satuan]])</f>
        <v/>
      </c>
      <c r="H2815" s="28"/>
      <c r="I2815" s="25" t="str">
        <f>IF(表1[[#This Row],[Tgl NPBG]]&gt;表1[[#This Row],[Peminta]],表1[[#This Row],[Tgl NPBG]]-表1[[#This Row],[Peminta]],"")</f>
        <v/>
      </c>
      <c r="J2815" s="31"/>
    </row>
    <row r="2816" s="12" customFormat="1" customHeight="1" spans="2:10">
      <c r="B2816" s="25"/>
      <c r="C2816" s="25"/>
      <c r="D2816" s="26" t="str" cm="1">
        <f t="array" ref="D2816">IF(C2816="","",IFERROR(INDEX(STPP!$D$6:$D$4207,MATCH(C2816,STPP!$C$6:$C$4207,0)),"Not Found"))</f>
        <v/>
      </c>
      <c r="E2816" s="27" t="str" cm="1">
        <f t="array" ref="E2816">IF(C2816="","",IFERROR(INDEX(STPP!$E$6:$E$4207,MATCH(C2816,STPP!$C$6:$C$4207,0)),"Not Found"))</f>
        <v/>
      </c>
      <c r="F2816" s="27" t="str" cm="1">
        <f t="array" ref="F2816">IF(C2816="","",IFERROR(INDEX(STPP!$F$6:$F$4207,MATCH(C2816,STPP!$C$6:$C$4207,0)),"Not Found"))</f>
        <v/>
      </c>
      <c r="G2816" s="25" t="str">
        <f>IF(表1[[#This Row],[No Seri]]="","",表1[[#This Row],[Deskripsi Barang]]+表1[[#This Row],[Kuantitas]]-表1[[#This Row],[Satuan]])</f>
        <v/>
      </c>
      <c r="H2816" s="28"/>
      <c r="I2816" s="25" t="str">
        <f>IF(表1[[#This Row],[Tgl NPBG]]&gt;表1[[#This Row],[Peminta]],表1[[#This Row],[Tgl NPBG]]-表1[[#This Row],[Peminta]],"")</f>
        <v/>
      </c>
      <c r="J2816" s="31"/>
    </row>
    <row r="2817" s="12" customFormat="1" customHeight="1" spans="2:10">
      <c r="B2817" s="25"/>
      <c r="C2817" s="25"/>
      <c r="D2817" s="26" t="str" cm="1">
        <f t="array" ref="D2817">IF(C2817="","",IFERROR(INDEX(STPP!$D$6:$D$4207,MATCH(C2817,STPP!$C$6:$C$4207,0)),"Not Found"))</f>
        <v/>
      </c>
      <c r="E2817" s="27" t="str" cm="1">
        <f t="array" ref="E2817">IF(C2817="","",IFERROR(INDEX(STPP!$E$6:$E$4207,MATCH(C2817,STPP!$C$6:$C$4207,0)),"Not Found"))</f>
        <v/>
      </c>
      <c r="F2817" s="27" t="str" cm="1">
        <f t="array" ref="F2817">IF(C2817="","",IFERROR(INDEX(STPP!$F$6:$F$4207,MATCH(C2817,STPP!$C$6:$C$4207,0)),"Not Found"))</f>
        <v/>
      </c>
      <c r="G2817" s="25" t="str">
        <f>IF(表1[[#This Row],[No Seri]]="","",表1[[#This Row],[Deskripsi Barang]]+表1[[#This Row],[Kuantitas]]-表1[[#This Row],[Satuan]])</f>
        <v/>
      </c>
      <c r="H2817" s="28"/>
      <c r="I2817" s="25" t="str">
        <f>IF(表1[[#This Row],[Tgl NPBG]]&gt;表1[[#This Row],[Peminta]],表1[[#This Row],[Tgl NPBG]]-表1[[#This Row],[Peminta]],"")</f>
        <v/>
      </c>
      <c r="J2817" s="31"/>
    </row>
    <row r="2818" s="12" customFormat="1" customHeight="1" spans="2:10">
      <c r="B2818" s="25"/>
      <c r="C2818" s="25"/>
      <c r="D2818" s="26" t="str" cm="1">
        <f t="array" ref="D2818">IF(C2818="","",IFERROR(INDEX(STPP!$D$6:$D$4207,MATCH(C2818,STPP!$C$6:$C$4207,0)),"Not Found"))</f>
        <v/>
      </c>
      <c r="E2818" s="27" t="str" cm="1">
        <f t="array" ref="E2818">IF(C2818="","",IFERROR(INDEX(STPP!$E$6:$E$4207,MATCH(C2818,STPP!$C$6:$C$4207,0)),"Not Found"))</f>
        <v/>
      </c>
      <c r="F2818" s="27" t="str" cm="1">
        <f t="array" ref="F2818">IF(C2818="","",IFERROR(INDEX(STPP!$F$6:$F$4207,MATCH(C2818,STPP!$C$6:$C$4207,0)),"Not Found"))</f>
        <v/>
      </c>
      <c r="G2818" s="25" t="str">
        <f>IF(表1[[#This Row],[No Seri]]="","",表1[[#This Row],[Deskripsi Barang]]+表1[[#This Row],[Kuantitas]]-表1[[#This Row],[Satuan]])</f>
        <v/>
      </c>
      <c r="H2818" s="28"/>
      <c r="I2818" s="25" t="str">
        <f>IF(表1[[#This Row],[Tgl NPBG]]&gt;表1[[#This Row],[Peminta]],表1[[#This Row],[Tgl NPBG]]-表1[[#This Row],[Peminta]],"")</f>
        <v/>
      </c>
      <c r="J2818" s="31"/>
    </row>
    <row r="2819" s="12" customFormat="1" customHeight="1" spans="2:10">
      <c r="B2819" s="25"/>
      <c r="C2819" s="25"/>
      <c r="D2819" s="26" t="str" cm="1">
        <f t="array" ref="D2819">IF(C2819="","",IFERROR(INDEX(STPP!$D$6:$D$4207,MATCH(C2819,STPP!$C$6:$C$4207,0)),"Not Found"))</f>
        <v/>
      </c>
      <c r="E2819" s="27" t="str" cm="1">
        <f t="array" ref="E2819">IF(C2819="","",IFERROR(INDEX(STPP!$E$6:$E$4207,MATCH(C2819,STPP!$C$6:$C$4207,0)),"Not Found"))</f>
        <v/>
      </c>
      <c r="F2819" s="27" t="str" cm="1">
        <f t="array" ref="F2819">IF(C2819="","",IFERROR(INDEX(STPP!$F$6:$F$4207,MATCH(C2819,STPP!$C$6:$C$4207,0)),"Not Found"))</f>
        <v/>
      </c>
      <c r="G2819" s="25" t="str">
        <f>IF(表1[[#This Row],[No Seri]]="","",表1[[#This Row],[Deskripsi Barang]]+表1[[#This Row],[Kuantitas]]-表1[[#This Row],[Satuan]])</f>
        <v/>
      </c>
      <c r="H2819" s="28"/>
      <c r="I2819" s="25" t="str">
        <f>IF(表1[[#This Row],[Tgl NPBG]]&gt;表1[[#This Row],[Peminta]],表1[[#This Row],[Tgl NPBG]]-表1[[#This Row],[Peminta]],"")</f>
        <v/>
      </c>
      <c r="J2819" s="31"/>
    </row>
    <row r="2820" s="12" customFormat="1" customHeight="1" spans="2:10">
      <c r="B2820" s="25"/>
      <c r="C2820" s="25"/>
      <c r="D2820" s="26" t="str" cm="1">
        <f t="array" ref="D2820">IF(C2820="","",IFERROR(INDEX(STPP!$D$6:$D$4207,MATCH(C2820,STPP!$C$6:$C$4207,0)),"Not Found"))</f>
        <v/>
      </c>
      <c r="E2820" s="27" t="str" cm="1">
        <f t="array" ref="E2820">IF(C2820="","",IFERROR(INDEX(STPP!$E$6:$E$4207,MATCH(C2820,STPP!$C$6:$C$4207,0)),"Not Found"))</f>
        <v/>
      </c>
      <c r="F2820" s="27" t="str" cm="1">
        <f t="array" ref="F2820">IF(C2820="","",IFERROR(INDEX(STPP!$F$6:$F$4207,MATCH(C2820,STPP!$C$6:$C$4207,0)),"Not Found"))</f>
        <v/>
      </c>
      <c r="G2820" s="25" t="str">
        <f>IF(表1[[#This Row],[No Seri]]="","",表1[[#This Row],[Deskripsi Barang]]+表1[[#This Row],[Kuantitas]]-表1[[#This Row],[Satuan]])</f>
        <v/>
      </c>
      <c r="H2820" s="28"/>
      <c r="I2820" s="25" t="str">
        <f>IF(表1[[#This Row],[Tgl NPBG]]&gt;表1[[#This Row],[Peminta]],表1[[#This Row],[Tgl NPBG]]-表1[[#This Row],[Peminta]],"")</f>
        <v/>
      </c>
      <c r="J2820" s="31"/>
    </row>
    <row r="2821" s="12" customFormat="1" customHeight="1" spans="2:10">
      <c r="B2821" s="25"/>
      <c r="C2821" s="25"/>
      <c r="D2821" s="26" t="str" cm="1">
        <f t="array" ref="D2821">IF(C2821="","",IFERROR(INDEX(STPP!$D$6:$D$4207,MATCH(C2821,STPP!$C$6:$C$4207,0)),"Not Found"))</f>
        <v/>
      </c>
      <c r="E2821" s="27" t="str" cm="1">
        <f t="array" ref="E2821">IF(C2821="","",IFERROR(INDEX(STPP!$E$6:$E$4207,MATCH(C2821,STPP!$C$6:$C$4207,0)),"Not Found"))</f>
        <v/>
      </c>
      <c r="F2821" s="27" t="str" cm="1">
        <f t="array" ref="F2821">IF(C2821="","",IFERROR(INDEX(STPP!$F$6:$F$4207,MATCH(C2821,STPP!$C$6:$C$4207,0)),"Not Found"))</f>
        <v/>
      </c>
      <c r="G2821" s="25" t="str">
        <f>IF(表1[[#This Row],[No Seri]]="","",表1[[#This Row],[Deskripsi Barang]]+表1[[#This Row],[Kuantitas]]-表1[[#This Row],[Satuan]])</f>
        <v/>
      </c>
      <c r="H2821" s="28"/>
      <c r="I2821" s="25" t="str">
        <f>IF(表1[[#This Row],[Tgl NPBG]]&gt;表1[[#This Row],[Peminta]],表1[[#This Row],[Tgl NPBG]]-表1[[#This Row],[Peminta]],"")</f>
        <v/>
      </c>
      <c r="J2821" s="31"/>
    </row>
    <row r="2822" s="12" customFormat="1" customHeight="1" spans="2:10">
      <c r="B2822" s="25"/>
      <c r="C2822" s="25"/>
      <c r="D2822" s="26" t="str" cm="1">
        <f t="array" ref="D2822">IF(C2822="","",IFERROR(INDEX(STPP!$D$6:$D$4207,MATCH(C2822,STPP!$C$6:$C$4207,0)),"Not Found"))</f>
        <v/>
      </c>
      <c r="E2822" s="27" t="str" cm="1">
        <f t="array" ref="E2822">IF(C2822="","",IFERROR(INDEX(STPP!$E$6:$E$4207,MATCH(C2822,STPP!$C$6:$C$4207,0)),"Not Found"))</f>
        <v/>
      </c>
      <c r="F2822" s="27" t="str" cm="1">
        <f t="array" ref="F2822">IF(C2822="","",IFERROR(INDEX(STPP!$F$6:$F$4207,MATCH(C2822,STPP!$C$6:$C$4207,0)),"Not Found"))</f>
        <v/>
      </c>
      <c r="G2822" s="25" t="str">
        <f>IF(表1[[#This Row],[No Seri]]="","",表1[[#This Row],[Deskripsi Barang]]+表1[[#This Row],[Kuantitas]]-表1[[#This Row],[Satuan]])</f>
        <v/>
      </c>
      <c r="H2822" s="28"/>
      <c r="I2822" s="25" t="str">
        <f>IF(表1[[#This Row],[Tgl NPBG]]&gt;表1[[#This Row],[Peminta]],表1[[#This Row],[Tgl NPBG]]-表1[[#This Row],[Peminta]],"")</f>
        <v/>
      </c>
      <c r="J2822" s="31"/>
    </row>
    <row r="2823" s="12" customFormat="1" customHeight="1" spans="2:10">
      <c r="B2823" s="25"/>
      <c r="C2823" s="25"/>
      <c r="D2823" s="26" t="str" cm="1">
        <f t="array" ref="D2823">IF(C2823="","",IFERROR(INDEX(STPP!$D$6:$D$4207,MATCH(C2823,STPP!$C$6:$C$4207,0)),"Not Found"))</f>
        <v/>
      </c>
      <c r="E2823" s="27" t="str" cm="1">
        <f t="array" ref="E2823">IF(C2823="","",IFERROR(INDEX(STPP!$E$6:$E$4207,MATCH(C2823,STPP!$C$6:$C$4207,0)),"Not Found"))</f>
        <v/>
      </c>
      <c r="F2823" s="27" t="str" cm="1">
        <f t="array" ref="F2823">IF(C2823="","",IFERROR(INDEX(STPP!$F$6:$F$4207,MATCH(C2823,STPP!$C$6:$C$4207,0)),"Not Found"))</f>
        <v/>
      </c>
      <c r="G2823" s="25" t="str">
        <f>IF(表1[[#This Row],[No Seri]]="","",表1[[#This Row],[Deskripsi Barang]]+表1[[#This Row],[Kuantitas]]-表1[[#This Row],[Satuan]])</f>
        <v/>
      </c>
      <c r="H2823" s="28"/>
      <c r="I2823" s="25" t="str">
        <f>IF(表1[[#This Row],[Tgl NPBG]]&gt;表1[[#This Row],[Peminta]],表1[[#This Row],[Tgl NPBG]]-表1[[#This Row],[Peminta]],"")</f>
        <v/>
      </c>
      <c r="J2823" s="31"/>
    </row>
    <row r="2824" s="12" customFormat="1" customHeight="1" spans="2:10">
      <c r="B2824" s="25"/>
      <c r="C2824" s="25"/>
      <c r="D2824" s="26" t="str" cm="1">
        <f t="array" ref="D2824">IF(C2824="","",IFERROR(INDEX(STPP!$D$6:$D$4207,MATCH(C2824,STPP!$C$6:$C$4207,0)),"Not Found"))</f>
        <v/>
      </c>
      <c r="E2824" s="27" t="str" cm="1">
        <f t="array" ref="E2824">IF(C2824="","",IFERROR(INDEX(STPP!$E$6:$E$4207,MATCH(C2824,STPP!$C$6:$C$4207,0)),"Not Found"))</f>
        <v/>
      </c>
      <c r="F2824" s="27" t="str" cm="1">
        <f t="array" ref="F2824">IF(C2824="","",IFERROR(INDEX(STPP!$F$6:$F$4207,MATCH(C2824,STPP!$C$6:$C$4207,0)),"Not Found"))</f>
        <v/>
      </c>
      <c r="G2824" s="25" t="str">
        <f>IF(表1[[#This Row],[No Seri]]="","",表1[[#This Row],[Deskripsi Barang]]+表1[[#This Row],[Kuantitas]]-表1[[#This Row],[Satuan]])</f>
        <v/>
      </c>
      <c r="H2824" s="28"/>
      <c r="I2824" s="25" t="str">
        <f>IF(表1[[#This Row],[Tgl NPBG]]&gt;表1[[#This Row],[Peminta]],表1[[#This Row],[Tgl NPBG]]-表1[[#This Row],[Peminta]],"")</f>
        <v/>
      </c>
      <c r="J2824" s="31"/>
    </row>
    <row r="2825" s="12" customFormat="1" customHeight="1" spans="2:10">
      <c r="B2825" s="25"/>
      <c r="C2825" s="25"/>
      <c r="D2825" s="26" t="str" cm="1">
        <f t="array" ref="D2825">IF(C2825="","",IFERROR(INDEX(STPP!$D$6:$D$4207,MATCH(C2825,STPP!$C$6:$C$4207,0)),"Not Found"))</f>
        <v/>
      </c>
      <c r="E2825" s="27" t="str" cm="1">
        <f t="array" ref="E2825">IF(C2825="","",IFERROR(INDEX(STPP!$E$6:$E$4207,MATCH(C2825,STPP!$C$6:$C$4207,0)),"Not Found"))</f>
        <v/>
      </c>
      <c r="F2825" s="27" t="str" cm="1">
        <f t="array" ref="F2825">IF(C2825="","",IFERROR(INDEX(STPP!$F$6:$F$4207,MATCH(C2825,STPP!$C$6:$C$4207,0)),"Not Found"))</f>
        <v/>
      </c>
      <c r="G2825" s="25" t="str">
        <f>IF(表1[[#This Row],[No Seri]]="","",表1[[#This Row],[Deskripsi Barang]]+表1[[#This Row],[Kuantitas]]-表1[[#This Row],[Satuan]])</f>
        <v/>
      </c>
      <c r="H2825" s="28"/>
      <c r="I2825" s="25" t="str">
        <f>IF(表1[[#This Row],[Tgl NPBG]]&gt;表1[[#This Row],[Peminta]],表1[[#This Row],[Tgl NPBG]]-表1[[#This Row],[Peminta]],"")</f>
        <v/>
      </c>
      <c r="J2825" s="31"/>
    </row>
    <row r="2826" s="12" customFormat="1" customHeight="1" spans="2:10">
      <c r="B2826" s="25"/>
      <c r="C2826" s="25"/>
      <c r="D2826" s="26" t="str" cm="1">
        <f t="array" ref="D2826">IF(C2826="","",IFERROR(INDEX(STPP!$D$6:$D$4207,MATCH(C2826,STPP!$C$6:$C$4207,0)),"Not Found"))</f>
        <v/>
      </c>
      <c r="E2826" s="27" t="str" cm="1">
        <f t="array" ref="E2826">IF(C2826="","",IFERROR(INDEX(STPP!$E$6:$E$4207,MATCH(C2826,STPP!$C$6:$C$4207,0)),"Not Found"))</f>
        <v/>
      </c>
      <c r="F2826" s="27" t="str" cm="1">
        <f t="array" ref="F2826">IF(C2826="","",IFERROR(INDEX(STPP!$F$6:$F$4207,MATCH(C2826,STPP!$C$6:$C$4207,0)),"Not Found"))</f>
        <v/>
      </c>
      <c r="G2826" s="25" t="str">
        <f>IF(表1[[#This Row],[No Seri]]="","",表1[[#This Row],[Deskripsi Barang]]+表1[[#This Row],[Kuantitas]]-表1[[#This Row],[Satuan]])</f>
        <v/>
      </c>
      <c r="H2826" s="28"/>
      <c r="I2826" s="25" t="str">
        <f>IF(表1[[#This Row],[Tgl NPBG]]&gt;表1[[#This Row],[Peminta]],表1[[#This Row],[Tgl NPBG]]-表1[[#This Row],[Peminta]],"")</f>
        <v/>
      </c>
      <c r="J2826" s="31"/>
    </row>
    <row r="2827" s="12" customFormat="1" customHeight="1" spans="2:10">
      <c r="B2827" s="25"/>
      <c r="C2827" s="25"/>
      <c r="D2827" s="26" t="str" cm="1">
        <f t="array" ref="D2827">IF(C2827="","",IFERROR(INDEX(STPP!$D$6:$D$4207,MATCH(C2827,STPP!$C$6:$C$4207,0)),"Not Found"))</f>
        <v/>
      </c>
      <c r="E2827" s="27" t="str" cm="1">
        <f t="array" ref="E2827">IF(C2827="","",IFERROR(INDEX(STPP!$E$6:$E$4207,MATCH(C2827,STPP!$C$6:$C$4207,0)),"Not Found"))</f>
        <v/>
      </c>
      <c r="F2827" s="27" t="str" cm="1">
        <f t="array" ref="F2827">IF(C2827="","",IFERROR(INDEX(STPP!$F$6:$F$4207,MATCH(C2827,STPP!$C$6:$C$4207,0)),"Not Found"))</f>
        <v/>
      </c>
      <c r="G2827" s="25" t="str">
        <f>IF(表1[[#This Row],[No Seri]]="","",表1[[#This Row],[Deskripsi Barang]]+表1[[#This Row],[Kuantitas]]-表1[[#This Row],[Satuan]])</f>
        <v/>
      </c>
      <c r="H2827" s="28"/>
      <c r="I2827" s="25" t="str">
        <f>IF(表1[[#This Row],[Tgl NPBG]]&gt;表1[[#This Row],[Peminta]],表1[[#This Row],[Tgl NPBG]]-表1[[#This Row],[Peminta]],"")</f>
        <v/>
      </c>
      <c r="J2827" s="31"/>
    </row>
    <row r="2828" s="12" customFormat="1" customHeight="1" spans="2:10">
      <c r="B2828" s="25"/>
      <c r="C2828" s="25"/>
      <c r="D2828" s="26" t="str" cm="1">
        <f t="array" ref="D2828">IF(C2828="","",IFERROR(INDEX(STPP!$D$6:$D$4207,MATCH(C2828,STPP!$C$6:$C$4207,0)),"Not Found"))</f>
        <v/>
      </c>
      <c r="E2828" s="27" t="str" cm="1">
        <f t="array" ref="E2828">IF(C2828="","",IFERROR(INDEX(STPP!$E$6:$E$4207,MATCH(C2828,STPP!$C$6:$C$4207,0)),"Not Found"))</f>
        <v/>
      </c>
      <c r="F2828" s="27" t="str" cm="1">
        <f t="array" ref="F2828">IF(C2828="","",IFERROR(INDEX(STPP!$F$6:$F$4207,MATCH(C2828,STPP!$C$6:$C$4207,0)),"Not Found"))</f>
        <v/>
      </c>
      <c r="G2828" s="25" t="str">
        <f>IF(表1[[#This Row],[No Seri]]="","",表1[[#This Row],[Deskripsi Barang]]+表1[[#This Row],[Kuantitas]]-表1[[#This Row],[Satuan]])</f>
        <v/>
      </c>
      <c r="H2828" s="28"/>
      <c r="I2828" s="25" t="str">
        <f>IF(表1[[#This Row],[Tgl NPBG]]&gt;表1[[#This Row],[Peminta]],表1[[#This Row],[Tgl NPBG]]-表1[[#This Row],[Peminta]],"")</f>
        <v/>
      </c>
      <c r="J2828" s="31"/>
    </row>
    <row r="2829" s="12" customFormat="1" customHeight="1" spans="2:10">
      <c r="B2829" s="25"/>
      <c r="C2829" s="25"/>
      <c r="D2829" s="26" t="str" cm="1">
        <f t="array" ref="D2829">IF(C2829="","",IFERROR(INDEX(STPP!$D$6:$D$4207,MATCH(C2829,STPP!$C$6:$C$4207,0)),"Not Found"))</f>
        <v/>
      </c>
      <c r="E2829" s="27" t="str" cm="1">
        <f t="array" ref="E2829">IF(C2829="","",IFERROR(INDEX(STPP!$E$6:$E$4207,MATCH(C2829,STPP!$C$6:$C$4207,0)),"Not Found"))</f>
        <v/>
      </c>
      <c r="F2829" s="27" t="str" cm="1">
        <f t="array" ref="F2829">IF(C2829="","",IFERROR(INDEX(STPP!$F$6:$F$4207,MATCH(C2829,STPP!$C$6:$C$4207,0)),"Not Found"))</f>
        <v/>
      </c>
      <c r="G2829" s="25" t="str">
        <f>IF(表1[[#This Row],[No Seri]]="","",表1[[#This Row],[Deskripsi Barang]]+表1[[#This Row],[Kuantitas]]-表1[[#This Row],[Satuan]])</f>
        <v/>
      </c>
      <c r="H2829" s="28"/>
      <c r="I2829" s="25" t="str">
        <f>IF(表1[[#This Row],[Tgl NPBG]]&gt;表1[[#This Row],[Peminta]],表1[[#This Row],[Tgl NPBG]]-表1[[#This Row],[Peminta]],"")</f>
        <v/>
      </c>
      <c r="J2829" s="31"/>
    </row>
    <row r="2830" s="12" customFormat="1" customHeight="1" spans="2:10">
      <c r="B2830" s="25"/>
      <c r="C2830" s="25"/>
      <c r="D2830" s="26" t="str" cm="1">
        <f t="array" ref="D2830">IF(C2830="","",IFERROR(INDEX(STPP!$D$6:$D$4207,MATCH(C2830,STPP!$C$6:$C$4207,0)),"Not Found"))</f>
        <v/>
      </c>
      <c r="E2830" s="27" t="str" cm="1">
        <f t="array" ref="E2830">IF(C2830="","",IFERROR(INDEX(STPP!$E$6:$E$4207,MATCH(C2830,STPP!$C$6:$C$4207,0)),"Not Found"))</f>
        <v/>
      </c>
      <c r="F2830" s="27" t="str" cm="1">
        <f t="array" ref="F2830">IF(C2830="","",IFERROR(INDEX(STPP!$F$6:$F$4207,MATCH(C2830,STPP!$C$6:$C$4207,0)),"Not Found"))</f>
        <v/>
      </c>
      <c r="G2830" s="25" t="str">
        <f>IF(表1[[#This Row],[No Seri]]="","",表1[[#This Row],[Deskripsi Barang]]+表1[[#This Row],[Kuantitas]]-表1[[#This Row],[Satuan]])</f>
        <v/>
      </c>
      <c r="H2830" s="28"/>
      <c r="I2830" s="25" t="str">
        <f>IF(表1[[#This Row],[Tgl NPBG]]&gt;表1[[#This Row],[Peminta]],表1[[#This Row],[Tgl NPBG]]-表1[[#This Row],[Peminta]],"")</f>
        <v/>
      </c>
      <c r="J2830" s="31"/>
    </row>
    <row r="2831" s="12" customFormat="1" customHeight="1" spans="2:10">
      <c r="B2831" s="25"/>
      <c r="C2831" s="25"/>
      <c r="D2831" s="26" t="str" cm="1">
        <f t="array" ref="D2831">IF(C2831="","",IFERROR(INDEX(STPP!$D$6:$D$4207,MATCH(C2831,STPP!$C$6:$C$4207,0)),"Not Found"))</f>
        <v/>
      </c>
      <c r="E2831" s="27" t="str" cm="1">
        <f t="array" ref="E2831">IF(C2831="","",IFERROR(INDEX(STPP!$E$6:$E$4207,MATCH(C2831,STPP!$C$6:$C$4207,0)),"Not Found"))</f>
        <v/>
      </c>
      <c r="F2831" s="27" t="str" cm="1">
        <f t="array" ref="F2831">IF(C2831="","",IFERROR(INDEX(STPP!$F$6:$F$4207,MATCH(C2831,STPP!$C$6:$C$4207,0)),"Not Found"))</f>
        <v/>
      </c>
      <c r="G2831" s="25" t="str">
        <f>IF(表1[[#This Row],[No Seri]]="","",表1[[#This Row],[Deskripsi Barang]]+表1[[#This Row],[Kuantitas]]-表1[[#This Row],[Satuan]])</f>
        <v/>
      </c>
      <c r="H2831" s="28"/>
      <c r="I2831" s="25" t="str">
        <f>IF(表1[[#This Row],[Tgl NPBG]]&gt;表1[[#This Row],[Peminta]],表1[[#This Row],[Tgl NPBG]]-表1[[#This Row],[Peminta]],"")</f>
        <v/>
      </c>
      <c r="J2831" s="31"/>
    </row>
    <row r="2832" s="12" customFormat="1" customHeight="1" spans="2:10">
      <c r="B2832" s="25"/>
      <c r="C2832" s="25"/>
      <c r="D2832" s="26" t="str" cm="1">
        <f t="array" ref="D2832">IF(C2832="","",IFERROR(INDEX(STPP!$D$6:$D$4207,MATCH(C2832,STPP!$C$6:$C$4207,0)),"Not Found"))</f>
        <v/>
      </c>
      <c r="E2832" s="27" t="str" cm="1">
        <f t="array" ref="E2832">IF(C2832="","",IFERROR(INDEX(STPP!$E$6:$E$4207,MATCH(C2832,STPP!$C$6:$C$4207,0)),"Not Found"))</f>
        <v/>
      </c>
      <c r="F2832" s="27" t="str" cm="1">
        <f t="array" ref="F2832">IF(C2832="","",IFERROR(INDEX(STPP!$F$6:$F$4207,MATCH(C2832,STPP!$C$6:$C$4207,0)),"Not Found"))</f>
        <v/>
      </c>
      <c r="G2832" s="25" t="str">
        <f>IF(表1[[#This Row],[No Seri]]="","",表1[[#This Row],[Deskripsi Barang]]+表1[[#This Row],[Kuantitas]]-表1[[#This Row],[Satuan]])</f>
        <v/>
      </c>
      <c r="H2832" s="28"/>
      <c r="I2832" s="25" t="str">
        <f>IF(表1[[#This Row],[Tgl NPBG]]&gt;表1[[#This Row],[Peminta]],表1[[#This Row],[Tgl NPBG]]-表1[[#This Row],[Peminta]],"")</f>
        <v/>
      </c>
      <c r="J2832" s="31"/>
    </row>
    <row r="2833" s="12" customFormat="1" customHeight="1" spans="2:10">
      <c r="B2833" s="25"/>
      <c r="C2833" s="25"/>
      <c r="D2833" s="26" t="str" cm="1">
        <f t="array" ref="D2833">IF(C2833="","",IFERROR(INDEX(STPP!$D$6:$D$4207,MATCH(C2833,STPP!$C$6:$C$4207,0)),"Not Found"))</f>
        <v/>
      </c>
      <c r="E2833" s="27" t="str" cm="1">
        <f t="array" ref="E2833">IF(C2833="","",IFERROR(INDEX(STPP!$E$6:$E$4207,MATCH(C2833,STPP!$C$6:$C$4207,0)),"Not Found"))</f>
        <v/>
      </c>
      <c r="F2833" s="27" t="str" cm="1">
        <f t="array" ref="F2833">IF(C2833="","",IFERROR(INDEX(STPP!$F$6:$F$4207,MATCH(C2833,STPP!$C$6:$C$4207,0)),"Not Found"))</f>
        <v/>
      </c>
      <c r="G2833" s="25" t="str">
        <f>IF(表1[[#This Row],[No Seri]]="","",表1[[#This Row],[Deskripsi Barang]]+表1[[#This Row],[Kuantitas]]-表1[[#This Row],[Satuan]])</f>
        <v/>
      </c>
      <c r="H2833" s="28"/>
      <c r="I2833" s="25" t="str">
        <f>IF(表1[[#This Row],[Tgl NPBG]]&gt;表1[[#This Row],[Peminta]],表1[[#This Row],[Tgl NPBG]]-表1[[#This Row],[Peminta]],"")</f>
        <v/>
      </c>
      <c r="J2833" s="31"/>
    </row>
    <row r="2834" s="12" customFormat="1" customHeight="1" spans="2:10">
      <c r="B2834" s="25"/>
      <c r="C2834" s="25"/>
      <c r="D2834" s="26" t="str" cm="1">
        <f t="array" ref="D2834">IF(C2834="","",IFERROR(INDEX(STPP!$D$6:$D$4207,MATCH(C2834,STPP!$C$6:$C$4207,0)),"Not Found"))</f>
        <v/>
      </c>
      <c r="E2834" s="27" t="str" cm="1">
        <f t="array" ref="E2834">IF(C2834="","",IFERROR(INDEX(STPP!$E$6:$E$4207,MATCH(C2834,STPP!$C$6:$C$4207,0)),"Not Found"))</f>
        <v/>
      </c>
      <c r="F2834" s="27" t="str" cm="1">
        <f t="array" ref="F2834">IF(C2834="","",IFERROR(INDEX(STPP!$F$6:$F$4207,MATCH(C2834,STPP!$C$6:$C$4207,0)),"Not Found"))</f>
        <v/>
      </c>
      <c r="G2834" s="25" t="str">
        <f>IF(表1[[#This Row],[No Seri]]="","",表1[[#This Row],[Deskripsi Barang]]+表1[[#This Row],[Kuantitas]]-表1[[#This Row],[Satuan]])</f>
        <v/>
      </c>
      <c r="H2834" s="28"/>
      <c r="I2834" s="25" t="str">
        <f>IF(表1[[#This Row],[Tgl NPBG]]&gt;表1[[#This Row],[Peminta]],表1[[#This Row],[Tgl NPBG]]-表1[[#This Row],[Peminta]],"")</f>
        <v/>
      </c>
      <c r="J2834" s="31"/>
    </row>
    <row r="2835" s="12" customFormat="1" customHeight="1" spans="2:10">
      <c r="B2835" s="25"/>
      <c r="C2835" s="25"/>
      <c r="D2835" s="26" t="str" cm="1">
        <f t="array" ref="D2835">IF(C2835="","",IFERROR(INDEX(STPP!$D$6:$D$4207,MATCH(C2835,STPP!$C$6:$C$4207,0)),"Not Found"))</f>
        <v/>
      </c>
      <c r="E2835" s="27" t="str" cm="1">
        <f t="array" ref="E2835">IF(C2835="","",IFERROR(INDEX(STPP!$E$6:$E$4207,MATCH(C2835,STPP!$C$6:$C$4207,0)),"Not Found"))</f>
        <v/>
      </c>
      <c r="F2835" s="27" t="str" cm="1">
        <f t="array" ref="F2835">IF(C2835="","",IFERROR(INDEX(STPP!$F$6:$F$4207,MATCH(C2835,STPP!$C$6:$C$4207,0)),"Not Found"))</f>
        <v/>
      </c>
      <c r="G2835" s="25" t="str">
        <f>IF(表1[[#This Row],[No Seri]]="","",表1[[#This Row],[Deskripsi Barang]]+表1[[#This Row],[Kuantitas]]-表1[[#This Row],[Satuan]])</f>
        <v/>
      </c>
      <c r="H2835" s="28"/>
      <c r="I2835" s="25" t="str">
        <f>IF(表1[[#This Row],[Tgl NPBG]]&gt;表1[[#This Row],[Peminta]],表1[[#This Row],[Tgl NPBG]]-表1[[#This Row],[Peminta]],"")</f>
        <v/>
      </c>
      <c r="J2835" s="31"/>
    </row>
    <row r="2836" s="12" customFormat="1" customHeight="1" spans="2:10">
      <c r="B2836" s="25"/>
      <c r="C2836" s="25"/>
      <c r="D2836" s="26" t="str" cm="1">
        <f t="array" ref="D2836">IF(C2836="","",IFERROR(INDEX(STPP!$D$6:$D$4207,MATCH(C2836,STPP!$C$6:$C$4207,0)),"Not Found"))</f>
        <v/>
      </c>
      <c r="E2836" s="27" t="str" cm="1">
        <f t="array" ref="E2836">IF(C2836="","",IFERROR(INDEX(STPP!$E$6:$E$4207,MATCH(C2836,STPP!$C$6:$C$4207,0)),"Not Found"))</f>
        <v/>
      </c>
      <c r="F2836" s="27" t="str" cm="1">
        <f t="array" ref="F2836">IF(C2836="","",IFERROR(INDEX(STPP!$F$6:$F$4207,MATCH(C2836,STPP!$C$6:$C$4207,0)),"Not Found"))</f>
        <v/>
      </c>
      <c r="G2836" s="25" t="str">
        <f>IF(表1[[#This Row],[No Seri]]="","",表1[[#This Row],[Deskripsi Barang]]+表1[[#This Row],[Kuantitas]]-表1[[#This Row],[Satuan]])</f>
        <v/>
      </c>
      <c r="H2836" s="28"/>
      <c r="I2836" s="25" t="str">
        <f>IF(表1[[#This Row],[Tgl NPBG]]&gt;表1[[#This Row],[Peminta]],表1[[#This Row],[Tgl NPBG]]-表1[[#This Row],[Peminta]],"")</f>
        <v/>
      </c>
      <c r="J2836" s="31"/>
    </row>
    <row r="2837" s="12" customFormat="1" customHeight="1" spans="2:10">
      <c r="B2837" s="25"/>
      <c r="C2837" s="25"/>
      <c r="D2837" s="26" t="str" cm="1">
        <f t="array" ref="D2837">IF(C2837="","",IFERROR(INDEX(STPP!$D$6:$D$4207,MATCH(C2837,STPP!$C$6:$C$4207,0)),"Not Found"))</f>
        <v/>
      </c>
      <c r="E2837" s="27" t="str" cm="1">
        <f t="array" ref="E2837">IF(C2837="","",IFERROR(INDEX(STPP!$E$6:$E$4207,MATCH(C2837,STPP!$C$6:$C$4207,0)),"Not Found"))</f>
        <v/>
      </c>
      <c r="F2837" s="27" t="str" cm="1">
        <f t="array" ref="F2837">IF(C2837="","",IFERROR(INDEX(STPP!$F$6:$F$4207,MATCH(C2837,STPP!$C$6:$C$4207,0)),"Not Found"))</f>
        <v/>
      </c>
      <c r="G2837" s="25" t="str">
        <f>IF(表1[[#This Row],[No Seri]]="","",表1[[#This Row],[Deskripsi Barang]]+表1[[#This Row],[Kuantitas]]-表1[[#This Row],[Satuan]])</f>
        <v/>
      </c>
      <c r="H2837" s="28"/>
      <c r="I2837" s="25" t="str">
        <f>IF(表1[[#This Row],[Tgl NPBG]]&gt;表1[[#This Row],[Peminta]],表1[[#This Row],[Tgl NPBG]]-表1[[#This Row],[Peminta]],"")</f>
        <v/>
      </c>
      <c r="J2837" s="31"/>
    </row>
    <row r="2838" s="12" customFormat="1" customHeight="1" spans="2:10">
      <c r="B2838" s="25"/>
      <c r="C2838" s="25"/>
      <c r="D2838" s="26" t="str" cm="1">
        <f t="array" ref="D2838">IF(C2838="","",IFERROR(INDEX(STPP!$D$6:$D$4207,MATCH(C2838,STPP!$C$6:$C$4207,0)),"Not Found"))</f>
        <v/>
      </c>
      <c r="E2838" s="27" t="str" cm="1">
        <f t="array" ref="E2838">IF(C2838="","",IFERROR(INDEX(STPP!$E$6:$E$4207,MATCH(C2838,STPP!$C$6:$C$4207,0)),"Not Found"))</f>
        <v/>
      </c>
      <c r="F2838" s="27" t="str" cm="1">
        <f t="array" ref="F2838">IF(C2838="","",IFERROR(INDEX(STPP!$F$6:$F$4207,MATCH(C2838,STPP!$C$6:$C$4207,0)),"Not Found"))</f>
        <v/>
      </c>
      <c r="G2838" s="25" t="str">
        <f>IF(表1[[#This Row],[No Seri]]="","",表1[[#This Row],[Deskripsi Barang]]+表1[[#This Row],[Kuantitas]]-表1[[#This Row],[Satuan]])</f>
        <v/>
      </c>
      <c r="H2838" s="28"/>
      <c r="I2838" s="25" t="str">
        <f>IF(表1[[#This Row],[Tgl NPBG]]&gt;表1[[#This Row],[Peminta]],表1[[#This Row],[Tgl NPBG]]-表1[[#This Row],[Peminta]],"")</f>
        <v/>
      </c>
      <c r="J2838" s="31"/>
    </row>
    <row r="2839" s="12" customFormat="1" customHeight="1" spans="2:10">
      <c r="B2839" s="25"/>
      <c r="C2839" s="25"/>
      <c r="D2839" s="26" t="str" cm="1">
        <f t="array" ref="D2839">IF(C2839="","",IFERROR(INDEX(STPP!$D$6:$D$4207,MATCH(C2839,STPP!$C$6:$C$4207,0)),"Not Found"))</f>
        <v/>
      </c>
      <c r="E2839" s="27" t="str" cm="1">
        <f t="array" ref="E2839">IF(C2839="","",IFERROR(INDEX(STPP!$E$6:$E$4207,MATCH(C2839,STPP!$C$6:$C$4207,0)),"Not Found"))</f>
        <v/>
      </c>
      <c r="F2839" s="27" t="str" cm="1">
        <f t="array" ref="F2839">IF(C2839="","",IFERROR(INDEX(STPP!$F$6:$F$4207,MATCH(C2839,STPP!$C$6:$C$4207,0)),"Not Found"))</f>
        <v/>
      </c>
      <c r="G2839" s="25" t="str">
        <f>IF(表1[[#This Row],[No Seri]]="","",表1[[#This Row],[Deskripsi Barang]]+表1[[#This Row],[Kuantitas]]-表1[[#This Row],[Satuan]])</f>
        <v/>
      </c>
      <c r="H2839" s="28"/>
      <c r="I2839" s="25" t="str">
        <f>IF(表1[[#This Row],[Tgl NPBG]]&gt;表1[[#This Row],[Peminta]],表1[[#This Row],[Tgl NPBG]]-表1[[#This Row],[Peminta]],"")</f>
        <v/>
      </c>
      <c r="J2839" s="31"/>
    </row>
    <row r="2840" s="12" customFormat="1" customHeight="1" spans="2:10">
      <c r="B2840" s="25"/>
      <c r="C2840" s="25"/>
      <c r="D2840" s="26" t="str" cm="1">
        <f t="array" ref="D2840">IF(C2840="","",IFERROR(INDEX(STPP!$D$6:$D$4207,MATCH(C2840,STPP!$C$6:$C$4207,0)),"Not Found"))</f>
        <v/>
      </c>
      <c r="E2840" s="27" t="str" cm="1">
        <f t="array" ref="E2840">IF(C2840="","",IFERROR(INDEX(STPP!$E$6:$E$4207,MATCH(C2840,STPP!$C$6:$C$4207,0)),"Not Found"))</f>
        <v/>
      </c>
      <c r="F2840" s="27" t="str" cm="1">
        <f t="array" ref="F2840">IF(C2840="","",IFERROR(INDEX(STPP!$F$6:$F$4207,MATCH(C2840,STPP!$C$6:$C$4207,0)),"Not Found"))</f>
        <v/>
      </c>
      <c r="G2840" s="25" t="str">
        <f>IF(表1[[#This Row],[No Seri]]="","",表1[[#This Row],[Deskripsi Barang]]+表1[[#This Row],[Kuantitas]]-表1[[#This Row],[Satuan]])</f>
        <v/>
      </c>
      <c r="H2840" s="28"/>
      <c r="I2840" s="25" t="str">
        <f>IF(表1[[#This Row],[Tgl NPBG]]&gt;表1[[#This Row],[Peminta]],表1[[#This Row],[Tgl NPBG]]-表1[[#This Row],[Peminta]],"")</f>
        <v/>
      </c>
      <c r="J2840" s="31"/>
    </row>
    <row r="2841" s="12" customFormat="1" customHeight="1" spans="2:10">
      <c r="B2841" s="25"/>
      <c r="C2841" s="25"/>
      <c r="D2841" s="26" t="str" cm="1">
        <f t="array" ref="D2841">IF(C2841="","",IFERROR(INDEX(STPP!$D$6:$D$4207,MATCH(C2841,STPP!$C$6:$C$4207,0)),"Not Found"))</f>
        <v/>
      </c>
      <c r="E2841" s="27" t="str" cm="1">
        <f t="array" ref="E2841">IF(C2841="","",IFERROR(INDEX(STPP!$E$6:$E$4207,MATCH(C2841,STPP!$C$6:$C$4207,0)),"Not Found"))</f>
        <v/>
      </c>
      <c r="F2841" s="27" t="str" cm="1">
        <f t="array" ref="F2841">IF(C2841="","",IFERROR(INDEX(STPP!$F$6:$F$4207,MATCH(C2841,STPP!$C$6:$C$4207,0)),"Not Found"))</f>
        <v/>
      </c>
      <c r="G2841" s="25" t="str">
        <f>IF(表1[[#This Row],[No Seri]]="","",表1[[#This Row],[Deskripsi Barang]]+表1[[#This Row],[Kuantitas]]-表1[[#This Row],[Satuan]])</f>
        <v/>
      </c>
      <c r="H2841" s="28"/>
      <c r="I2841" s="25" t="str">
        <f>IF(表1[[#This Row],[Tgl NPBG]]&gt;表1[[#This Row],[Peminta]],表1[[#This Row],[Tgl NPBG]]-表1[[#This Row],[Peminta]],"")</f>
        <v/>
      </c>
      <c r="J2841" s="31"/>
    </row>
    <row r="2842" s="12" customFormat="1" customHeight="1" spans="2:10">
      <c r="B2842" s="25"/>
      <c r="C2842" s="25"/>
      <c r="D2842" s="26" t="str" cm="1">
        <f t="array" ref="D2842">IF(C2842="","",IFERROR(INDEX(STPP!$D$6:$D$4207,MATCH(C2842,STPP!$C$6:$C$4207,0)),"Not Found"))</f>
        <v/>
      </c>
      <c r="E2842" s="27" t="str" cm="1">
        <f t="array" ref="E2842">IF(C2842="","",IFERROR(INDEX(STPP!$E$6:$E$4207,MATCH(C2842,STPP!$C$6:$C$4207,0)),"Not Found"))</f>
        <v/>
      </c>
      <c r="F2842" s="27" t="str" cm="1">
        <f t="array" ref="F2842">IF(C2842="","",IFERROR(INDEX(STPP!$F$6:$F$4207,MATCH(C2842,STPP!$C$6:$C$4207,0)),"Not Found"))</f>
        <v/>
      </c>
      <c r="G2842" s="25" t="str">
        <f>IF(表1[[#This Row],[No Seri]]="","",表1[[#This Row],[Deskripsi Barang]]+表1[[#This Row],[Kuantitas]]-表1[[#This Row],[Satuan]])</f>
        <v/>
      </c>
      <c r="H2842" s="28"/>
      <c r="I2842" s="25" t="str">
        <f>IF(表1[[#This Row],[Tgl NPBG]]&gt;表1[[#This Row],[Peminta]],表1[[#This Row],[Tgl NPBG]]-表1[[#This Row],[Peminta]],"")</f>
        <v/>
      </c>
      <c r="J2842" s="31"/>
    </row>
    <row r="2843" s="12" customFormat="1" customHeight="1" spans="2:10">
      <c r="B2843" s="25"/>
      <c r="C2843" s="25"/>
      <c r="D2843" s="26" t="str" cm="1">
        <f t="array" ref="D2843">IF(C2843="","",IFERROR(INDEX(STPP!$D$6:$D$4207,MATCH(C2843,STPP!$C$6:$C$4207,0)),"Not Found"))</f>
        <v/>
      </c>
      <c r="E2843" s="27" t="str" cm="1">
        <f t="array" ref="E2843">IF(C2843="","",IFERROR(INDEX(STPP!$E$6:$E$4207,MATCH(C2843,STPP!$C$6:$C$4207,0)),"Not Found"))</f>
        <v/>
      </c>
      <c r="F2843" s="27" t="str" cm="1">
        <f t="array" ref="F2843">IF(C2843="","",IFERROR(INDEX(STPP!$F$6:$F$4207,MATCH(C2843,STPP!$C$6:$C$4207,0)),"Not Found"))</f>
        <v/>
      </c>
      <c r="G2843" s="25" t="str">
        <f>IF(表1[[#This Row],[No Seri]]="","",表1[[#This Row],[Deskripsi Barang]]+表1[[#This Row],[Kuantitas]]-表1[[#This Row],[Satuan]])</f>
        <v/>
      </c>
      <c r="H2843" s="28"/>
      <c r="I2843" s="25" t="str">
        <f>IF(表1[[#This Row],[Tgl NPBG]]&gt;表1[[#This Row],[Peminta]],表1[[#This Row],[Tgl NPBG]]-表1[[#This Row],[Peminta]],"")</f>
        <v/>
      </c>
      <c r="J2843" s="31"/>
    </row>
    <row r="2844" s="12" customFormat="1" customHeight="1" spans="2:10">
      <c r="B2844" s="25"/>
      <c r="C2844" s="25"/>
      <c r="D2844" s="26" t="str" cm="1">
        <f t="array" ref="D2844">IF(C2844="","",IFERROR(INDEX(STPP!$D$6:$D$4207,MATCH(C2844,STPP!$C$6:$C$4207,0)),"Not Found"))</f>
        <v/>
      </c>
      <c r="E2844" s="27" t="str" cm="1">
        <f t="array" ref="E2844">IF(C2844="","",IFERROR(INDEX(STPP!$E$6:$E$4207,MATCH(C2844,STPP!$C$6:$C$4207,0)),"Not Found"))</f>
        <v/>
      </c>
      <c r="F2844" s="27" t="str" cm="1">
        <f t="array" ref="F2844">IF(C2844="","",IFERROR(INDEX(STPP!$F$6:$F$4207,MATCH(C2844,STPP!$C$6:$C$4207,0)),"Not Found"))</f>
        <v/>
      </c>
      <c r="G2844" s="25" t="str">
        <f>IF(表1[[#This Row],[No Seri]]="","",表1[[#This Row],[Deskripsi Barang]]+表1[[#This Row],[Kuantitas]]-表1[[#This Row],[Satuan]])</f>
        <v/>
      </c>
      <c r="H2844" s="28"/>
      <c r="I2844" s="25" t="str">
        <f>IF(表1[[#This Row],[Tgl NPBG]]&gt;表1[[#This Row],[Peminta]],表1[[#This Row],[Tgl NPBG]]-表1[[#This Row],[Peminta]],"")</f>
        <v/>
      </c>
      <c r="J2844" s="31"/>
    </row>
    <row r="2845" s="12" customFormat="1" customHeight="1" spans="2:10">
      <c r="B2845" s="25"/>
      <c r="C2845" s="25"/>
      <c r="D2845" s="26" t="str" cm="1">
        <f t="array" ref="D2845">IF(C2845="","",IFERROR(INDEX(STPP!$D$6:$D$4207,MATCH(C2845,STPP!$C$6:$C$4207,0)),"Not Found"))</f>
        <v/>
      </c>
      <c r="E2845" s="27" t="str" cm="1">
        <f t="array" ref="E2845">IF(C2845="","",IFERROR(INDEX(STPP!$E$6:$E$4207,MATCH(C2845,STPP!$C$6:$C$4207,0)),"Not Found"))</f>
        <v/>
      </c>
      <c r="F2845" s="27" t="str" cm="1">
        <f t="array" ref="F2845">IF(C2845="","",IFERROR(INDEX(STPP!$F$6:$F$4207,MATCH(C2845,STPP!$C$6:$C$4207,0)),"Not Found"))</f>
        <v/>
      </c>
      <c r="G2845" s="25" t="str">
        <f>IF(表1[[#This Row],[No Seri]]="","",表1[[#This Row],[Deskripsi Barang]]+表1[[#This Row],[Kuantitas]]-表1[[#This Row],[Satuan]])</f>
        <v/>
      </c>
      <c r="H2845" s="28"/>
      <c r="I2845" s="25" t="str">
        <f>IF(表1[[#This Row],[Tgl NPBG]]&gt;表1[[#This Row],[Peminta]],表1[[#This Row],[Tgl NPBG]]-表1[[#This Row],[Peminta]],"")</f>
        <v/>
      </c>
      <c r="J2845" s="31"/>
    </row>
    <row r="2846" s="12" customFormat="1" customHeight="1" spans="2:10">
      <c r="B2846" s="25"/>
      <c r="C2846" s="25"/>
      <c r="D2846" s="26" t="str" cm="1">
        <f t="array" ref="D2846">IF(C2846="","",IFERROR(INDEX(STPP!$D$6:$D$4207,MATCH(C2846,STPP!$C$6:$C$4207,0)),"Not Found"))</f>
        <v/>
      </c>
      <c r="E2846" s="27" t="str" cm="1">
        <f t="array" ref="E2846">IF(C2846="","",IFERROR(INDEX(STPP!$E$6:$E$4207,MATCH(C2846,STPP!$C$6:$C$4207,0)),"Not Found"))</f>
        <v/>
      </c>
      <c r="F2846" s="27" t="str" cm="1">
        <f t="array" ref="F2846">IF(C2846="","",IFERROR(INDEX(STPP!$F$6:$F$4207,MATCH(C2846,STPP!$C$6:$C$4207,0)),"Not Found"))</f>
        <v/>
      </c>
      <c r="G2846" s="25" t="str">
        <f>IF(表1[[#This Row],[No Seri]]="","",表1[[#This Row],[Deskripsi Barang]]+表1[[#This Row],[Kuantitas]]-表1[[#This Row],[Satuan]])</f>
        <v/>
      </c>
      <c r="H2846" s="28"/>
      <c r="I2846" s="25" t="str">
        <f>IF(表1[[#This Row],[Tgl NPBG]]&gt;表1[[#This Row],[Peminta]],表1[[#This Row],[Tgl NPBG]]-表1[[#This Row],[Peminta]],"")</f>
        <v/>
      </c>
      <c r="J2846" s="31"/>
    </row>
    <row r="2847" s="12" customFormat="1" customHeight="1" spans="2:10">
      <c r="B2847" s="25"/>
      <c r="C2847" s="25"/>
      <c r="D2847" s="26" t="str" cm="1">
        <f t="array" ref="D2847">IF(C2847="","",IFERROR(INDEX(STPP!$D$6:$D$4207,MATCH(C2847,STPP!$C$6:$C$4207,0)),"Not Found"))</f>
        <v/>
      </c>
      <c r="E2847" s="27" t="str" cm="1">
        <f t="array" ref="E2847">IF(C2847="","",IFERROR(INDEX(STPP!$E$6:$E$4207,MATCH(C2847,STPP!$C$6:$C$4207,0)),"Not Found"))</f>
        <v/>
      </c>
      <c r="F2847" s="27" t="str" cm="1">
        <f t="array" ref="F2847">IF(C2847="","",IFERROR(INDEX(STPP!$F$6:$F$4207,MATCH(C2847,STPP!$C$6:$C$4207,0)),"Not Found"))</f>
        <v/>
      </c>
      <c r="G2847" s="25" t="str">
        <f>IF(表1[[#This Row],[No Seri]]="","",表1[[#This Row],[Deskripsi Barang]]+表1[[#This Row],[Kuantitas]]-表1[[#This Row],[Satuan]])</f>
        <v/>
      </c>
      <c r="H2847" s="28"/>
      <c r="I2847" s="25" t="str">
        <f>IF(表1[[#This Row],[Tgl NPBG]]&gt;表1[[#This Row],[Peminta]],表1[[#This Row],[Tgl NPBG]]-表1[[#This Row],[Peminta]],"")</f>
        <v/>
      </c>
      <c r="J2847" s="31"/>
    </row>
    <row r="2848" s="12" customFormat="1" customHeight="1" spans="2:10">
      <c r="B2848" s="25"/>
      <c r="C2848" s="25"/>
      <c r="D2848" s="26" t="str" cm="1">
        <f t="array" ref="D2848">IF(C2848="","",IFERROR(INDEX(STPP!$D$6:$D$4207,MATCH(C2848,STPP!$C$6:$C$4207,0)),"Not Found"))</f>
        <v/>
      </c>
      <c r="E2848" s="27" t="str" cm="1">
        <f t="array" ref="E2848">IF(C2848="","",IFERROR(INDEX(STPP!$E$6:$E$4207,MATCH(C2848,STPP!$C$6:$C$4207,0)),"Not Found"))</f>
        <v/>
      </c>
      <c r="F2848" s="27" t="str" cm="1">
        <f t="array" ref="F2848">IF(C2848="","",IFERROR(INDEX(STPP!$F$6:$F$4207,MATCH(C2848,STPP!$C$6:$C$4207,0)),"Not Found"))</f>
        <v/>
      </c>
      <c r="G2848" s="25" t="str">
        <f>IF(表1[[#This Row],[No Seri]]="","",表1[[#This Row],[Deskripsi Barang]]+表1[[#This Row],[Kuantitas]]-表1[[#This Row],[Satuan]])</f>
        <v/>
      </c>
      <c r="H2848" s="28"/>
      <c r="I2848" s="25" t="str">
        <f>IF(表1[[#This Row],[Tgl NPBG]]&gt;表1[[#This Row],[Peminta]],表1[[#This Row],[Tgl NPBG]]-表1[[#This Row],[Peminta]],"")</f>
        <v/>
      </c>
      <c r="J2848" s="31"/>
    </row>
    <row r="2849" s="12" customFormat="1" customHeight="1" spans="2:10">
      <c r="B2849" s="25"/>
      <c r="C2849" s="25"/>
      <c r="D2849" s="26" t="str" cm="1">
        <f t="array" ref="D2849">IF(C2849="","",IFERROR(INDEX(STPP!$D$6:$D$4207,MATCH(C2849,STPP!$C$6:$C$4207,0)),"Not Found"))</f>
        <v/>
      </c>
      <c r="E2849" s="27" t="str" cm="1">
        <f t="array" ref="E2849">IF(C2849="","",IFERROR(INDEX(STPP!$E$6:$E$4207,MATCH(C2849,STPP!$C$6:$C$4207,0)),"Not Found"))</f>
        <v/>
      </c>
      <c r="F2849" s="27" t="str" cm="1">
        <f t="array" ref="F2849">IF(C2849="","",IFERROR(INDEX(STPP!$F$6:$F$4207,MATCH(C2849,STPP!$C$6:$C$4207,0)),"Not Found"))</f>
        <v/>
      </c>
      <c r="G2849" s="25" t="str">
        <f>IF(表1[[#This Row],[No Seri]]="","",表1[[#This Row],[Deskripsi Barang]]+表1[[#This Row],[Kuantitas]]-表1[[#This Row],[Satuan]])</f>
        <v/>
      </c>
      <c r="H2849" s="28"/>
      <c r="I2849" s="25" t="str">
        <f>IF(表1[[#This Row],[Tgl NPBG]]&gt;表1[[#This Row],[Peminta]],表1[[#This Row],[Tgl NPBG]]-表1[[#This Row],[Peminta]],"")</f>
        <v/>
      </c>
      <c r="J2849" s="31"/>
    </row>
    <row r="2850" s="12" customFormat="1" customHeight="1" spans="2:10">
      <c r="B2850" s="25"/>
      <c r="C2850" s="25"/>
      <c r="D2850" s="26" t="str" cm="1">
        <f t="array" ref="D2850">IF(C2850="","",IFERROR(INDEX(STPP!$D$6:$D$4207,MATCH(C2850,STPP!$C$6:$C$4207,0)),"Not Found"))</f>
        <v/>
      </c>
      <c r="E2850" s="27" t="str" cm="1">
        <f t="array" ref="E2850">IF(C2850="","",IFERROR(INDEX(STPP!$E$6:$E$4207,MATCH(C2850,STPP!$C$6:$C$4207,0)),"Not Found"))</f>
        <v/>
      </c>
      <c r="F2850" s="27" t="str" cm="1">
        <f t="array" ref="F2850">IF(C2850="","",IFERROR(INDEX(STPP!$F$6:$F$4207,MATCH(C2850,STPP!$C$6:$C$4207,0)),"Not Found"))</f>
        <v/>
      </c>
      <c r="G2850" s="25" t="str">
        <f>IF(表1[[#This Row],[No Seri]]="","",表1[[#This Row],[Deskripsi Barang]]+表1[[#This Row],[Kuantitas]]-表1[[#This Row],[Satuan]])</f>
        <v/>
      </c>
      <c r="H2850" s="28"/>
      <c r="I2850" s="25" t="str">
        <f>IF(表1[[#This Row],[Tgl NPBG]]&gt;表1[[#This Row],[Peminta]],表1[[#This Row],[Tgl NPBG]]-表1[[#This Row],[Peminta]],"")</f>
        <v/>
      </c>
      <c r="J2850" s="31"/>
    </row>
    <row r="2851" s="12" customFormat="1" customHeight="1" spans="2:10">
      <c r="B2851" s="25"/>
      <c r="C2851" s="25"/>
      <c r="D2851" s="26" t="str" cm="1">
        <f t="array" ref="D2851">IF(C2851="","",IFERROR(INDEX(STPP!$D$6:$D$4207,MATCH(C2851,STPP!$C$6:$C$4207,0)),"Not Found"))</f>
        <v/>
      </c>
      <c r="E2851" s="27" t="str" cm="1">
        <f t="array" ref="E2851">IF(C2851="","",IFERROR(INDEX(STPP!$E$6:$E$4207,MATCH(C2851,STPP!$C$6:$C$4207,0)),"Not Found"))</f>
        <v/>
      </c>
      <c r="F2851" s="27" t="str" cm="1">
        <f t="array" ref="F2851">IF(C2851="","",IFERROR(INDEX(STPP!$F$6:$F$4207,MATCH(C2851,STPP!$C$6:$C$4207,0)),"Not Found"))</f>
        <v/>
      </c>
      <c r="G2851" s="25" t="str">
        <f>IF(表1[[#This Row],[No Seri]]="","",表1[[#This Row],[Deskripsi Barang]]+表1[[#This Row],[Kuantitas]]-表1[[#This Row],[Satuan]])</f>
        <v/>
      </c>
      <c r="H2851" s="28"/>
      <c r="I2851" s="25" t="str">
        <f>IF(表1[[#This Row],[Tgl NPBG]]&gt;表1[[#This Row],[Peminta]],表1[[#This Row],[Tgl NPBG]]-表1[[#This Row],[Peminta]],"")</f>
        <v/>
      </c>
      <c r="J2851" s="31"/>
    </row>
    <row r="2852" s="12" customFormat="1" customHeight="1" spans="2:10">
      <c r="B2852" s="25"/>
      <c r="C2852" s="25"/>
      <c r="D2852" s="26" t="str" cm="1">
        <f t="array" ref="D2852">IF(C2852="","",IFERROR(INDEX(STPP!$D$6:$D$4207,MATCH(C2852,STPP!$C$6:$C$4207,0)),"Not Found"))</f>
        <v/>
      </c>
      <c r="E2852" s="27" t="str" cm="1">
        <f t="array" ref="E2852">IF(C2852="","",IFERROR(INDEX(STPP!$E$6:$E$4207,MATCH(C2852,STPP!$C$6:$C$4207,0)),"Not Found"))</f>
        <v/>
      </c>
      <c r="F2852" s="27" t="str" cm="1">
        <f t="array" ref="F2852">IF(C2852="","",IFERROR(INDEX(STPP!$F$6:$F$4207,MATCH(C2852,STPP!$C$6:$C$4207,0)),"Not Found"))</f>
        <v/>
      </c>
      <c r="G2852" s="25" t="str">
        <f>IF(表1[[#This Row],[No Seri]]="","",表1[[#This Row],[Deskripsi Barang]]+表1[[#This Row],[Kuantitas]]-表1[[#This Row],[Satuan]])</f>
        <v/>
      </c>
      <c r="H2852" s="28"/>
      <c r="I2852" s="25" t="str">
        <f>IF(表1[[#This Row],[Tgl NPBG]]&gt;表1[[#This Row],[Peminta]],表1[[#This Row],[Tgl NPBG]]-表1[[#This Row],[Peminta]],"")</f>
        <v/>
      </c>
      <c r="J2852" s="31"/>
    </row>
    <row r="2853" s="12" customFormat="1" customHeight="1" spans="2:10">
      <c r="B2853" s="25"/>
      <c r="C2853" s="25"/>
      <c r="D2853" s="26" t="str" cm="1">
        <f t="array" ref="D2853">IF(C2853="","",IFERROR(INDEX(STPP!$D$6:$D$4207,MATCH(C2853,STPP!$C$6:$C$4207,0)),"Not Found"))</f>
        <v/>
      </c>
      <c r="E2853" s="27" t="str" cm="1">
        <f t="array" ref="E2853">IF(C2853="","",IFERROR(INDEX(STPP!$E$6:$E$4207,MATCH(C2853,STPP!$C$6:$C$4207,0)),"Not Found"))</f>
        <v/>
      </c>
      <c r="F2853" s="27" t="str" cm="1">
        <f t="array" ref="F2853">IF(C2853="","",IFERROR(INDEX(STPP!$F$6:$F$4207,MATCH(C2853,STPP!$C$6:$C$4207,0)),"Not Found"))</f>
        <v/>
      </c>
      <c r="G2853" s="25" t="str">
        <f>IF(表1[[#This Row],[No Seri]]="","",表1[[#This Row],[Deskripsi Barang]]+表1[[#This Row],[Kuantitas]]-表1[[#This Row],[Satuan]])</f>
        <v/>
      </c>
      <c r="H2853" s="28"/>
      <c r="I2853" s="25" t="str">
        <f>IF(表1[[#This Row],[Tgl NPBG]]&gt;表1[[#This Row],[Peminta]],表1[[#This Row],[Tgl NPBG]]-表1[[#This Row],[Peminta]],"")</f>
        <v/>
      </c>
      <c r="J2853" s="31"/>
    </row>
    <row r="2854" s="12" customFormat="1" customHeight="1" spans="2:10">
      <c r="B2854" s="25"/>
      <c r="C2854" s="25"/>
      <c r="D2854" s="26" t="str" cm="1">
        <f t="array" ref="D2854">IF(C2854="","",IFERROR(INDEX(STPP!$D$6:$D$4207,MATCH(C2854,STPP!$C$6:$C$4207,0)),"Not Found"))</f>
        <v/>
      </c>
      <c r="E2854" s="27" t="str" cm="1">
        <f t="array" ref="E2854">IF(C2854="","",IFERROR(INDEX(STPP!$E$6:$E$4207,MATCH(C2854,STPP!$C$6:$C$4207,0)),"Not Found"))</f>
        <v/>
      </c>
      <c r="F2854" s="27" t="str" cm="1">
        <f t="array" ref="F2854">IF(C2854="","",IFERROR(INDEX(STPP!$F$6:$F$4207,MATCH(C2854,STPP!$C$6:$C$4207,0)),"Not Found"))</f>
        <v/>
      </c>
      <c r="G2854" s="25" t="str">
        <f>IF(表1[[#This Row],[No Seri]]="","",表1[[#This Row],[Deskripsi Barang]]+表1[[#This Row],[Kuantitas]]-表1[[#This Row],[Satuan]])</f>
        <v/>
      </c>
      <c r="H2854" s="28"/>
      <c r="I2854" s="25" t="str">
        <f>IF(表1[[#This Row],[Tgl NPBG]]&gt;表1[[#This Row],[Peminta]],表1[[#This Row],[Tgl NPBG]]-表1[[#This Row],[Peminta]],"")</f>
        <v/>
      </c>
      <c r="J2854" s="31"/>
    </row>
    <row r="2855" s="12" customFormat="1" customHeight="1" spans="2:10">
      <c r="B2855" s="25"/>
      <c r="C2855" s="25"/>
      <c r="D2855" s="26" t="str" cm="1">
        <f t="array" ref="D2855">IF(C2855="","",IFERROR(INDEX(STPP!$D$6:$D$4207,MATCH(C2855,STPP!$C$6:$C$4207,0)),"Not Found"))</f>
        <v/>
      </c>
      <c r="E2855" s="27" t="str" cm="1">
        <f t="array" ref="E2855">IF(C2855="","",IFERROR(INDEX(STPP!$E$6:$E$4207,MATCH(C2855,STPP!$C$6:$C$4207,0)),"Not Found"))</f>
        <v/>
      </c>
      <c r="F2855" s="27" t="str" cm="1">
        <f t="array" ref="F2855">IF(C2855="","",IFERROR(INDEX(STPP!$F$6:$F$4207,MATCH(C2855,STPP!$C$6:$C$4207,0)),"Not Found"))</f>
        <v/>
      </c>
      <c r="G2855" s="25" t="str">
        <f>IF(表1[[#This Row],[No Seri]]="","",表1[[#This Row],[Deskripsi Barang]]+表1[[#This Row],[Kuantitas]]-表1[[#This Row],[Satuan]])</f>
        <v/>
      </c>
      <c r="H2855" s="28"/>
      <c r="I2855" s="25" t="str">
        <f>IF(表1[[#This Row],[Tgl NPBG]]&gt;表1[[#This Row],[Peminta]],表1[[#This Row],[Tgl NPBG]]-表1[[#This Row],[Peminta]],"")</f>
        <v/>
      </c>
      <c r="J2855" s="31"/>
    </row>
    <row r="2856" s="12" customFormat="1" customHeight="1" spans="2:10">
      <c r="B2856" s="25"/>
      <c r="C2856" s="25"/>
      <c r="D2856" s="26" t="str" cm="1">
        <f t="array" ref="D2856">IF(C2856="","",IFERROR(INDEX(STPP!$D$6:$D$4207,MATCH(C2856,STPP!$C$6:$C$4207,0)),"Not Found"))</f>
        <v/>
      </c>
      <c r="E2856" s="27" t="str" cm="1">
        <f t="array" ref="E2856">IF(C2856="","",IFERROR(INDEX(STPP!$E$6:$E$4207,MATCH(C2856,STPP!$C$6:$C$4207,0)),"Not Found"))</f>
        <v/>
      </c>
      <c r="F2856" s="27" t="str" cm="1">
        <f t="array" ref="F2856">IF(C2856="","",IFERROR(INDEX(STPP!$F$6:$F$4207,MATCH(C2856,STPP!$C$6:$C$4207,0)),"Not Found"))</f>
        <v/>
      </c>
      <c r="G2856" s="25" t="str">
        <f>IF(表1[[#This Row],[No Seri]]="","",表1[[#This Row],[Deskripsi Barang]]+表1[[#This Row],[Kuantitas]]-表1[[#This Row],[Satuan]])</f>
        <v/>
      </c>
      <c r="H2856" s="28"/>
      <c r="I2856" s="25" t="str">
        <f>IF(表1[[#This Row],[Tgl NPBG]]&gt;表1[[#This Row],[Peminta]],表1[[#This Row],[Tgl NPBG]]-表1[[#This Row],[Peminta]],"")</f>
        <v/>
      </c>
      <c r="J2856" s="31"/>
    </row>
    <row r="2857" s="12" customFormat="1" customHeight="1" spans="2:10">
      <c r="B2857" s="25"/>
      <c r="C2857" s="25"/>
      <c r="D2857" s="26" t="str" cm="1">
        <f t="array" ref="D2857">IF(C2857="","",IFERROR(INDEX(STPP!$D$6:$D$4207,MATCH(C2857,STPP!$C$6:$C$4207,0)),"Not Found"))</f>
        <v/>
      </c>
      <c r="E2857" s="27" t="str" cm="1">
        <f t="array" ref="E2857">IF(C2857="","",IFERROR(INDEX(STPP!$E$6:$E$4207,MATCH(C2857,STPP!$C$6:$C$4207,0)),"Not Found"))</f>
        <v/>
      </c>
      <c r="F2857" s="27" t="str" cm="1">
        <f t="array" ref="F2857">IF(C2857="","",IFERROR(INDEX(STPP!$F$6:$F$4207,MATCH(C2857,STPP!$C$6:$C$4207,0)),"Not Found"))</f>
        <v/>
      </c>
      <c r="G2857" s="25" t="str">
        <f>IF(表1[[#This Row],[No Seri]]="","",表1[[#This Row],[Deskripsi Barang]]+表1[[#This Row],[Kuantitas]]-表1[[#This Row],[Satuan]])</f>
        <v/>
      </c>
      <c r="H2857" s="28"/>
      <c r="I2857" s="25" t="str">
        <f>IF(表1[[#This Row],[Tgl NPBG]]&gt;表1[[#This Row],[Peminta]],表1[[#This Row],[Tgl NPBG]]-表1[[#This Row],[Peminta]],"")</f>
        <v/>
      </c>
      <c r="J2857" s="31"/>
    </row>
    <row r="2858" s="12" customFormat="1" customHeight="1" spans="2:10">
      <c r="B2858" s="25"/>
      <c r="C2858" s="25"/>
      <c r="D2858" s="26" t="str" cm="1">
        <f t="array" ref="D2858">IF(C2858="","",IFERROR(INDEX(STPP!$D$6:$D$4207,MATCH(C2858,STPP!$C$6:$C$4207,0)),"Not Found"))</f>
        <v/>
      </c>
      <c r="E2858" s="27" t="str" cm="1">
        <f t="array" ref="E2858">IF(C2858="","",IFERROR(INDEX(STPP!$E$6:$E$4207,MATCH(C2858,STPP!$C$6:$C$4207,0)),"Not Found"))</f>
        <v/>
      </c>
      <c r="F2858" s="27" t="str" cm="1">
        <f t="array" ref="F2858">IF(C2858="","",IFERROR(INDEX(STPP!$F$6:$F$4207,MATCH(C2858,STPP!$C$6:$C$4207,0)),"Not Found"))</f>
        <v/>
      </c>
      <c r="G2858" s="25" t="str">
        <f>IF(表1[[#This Row],[No Seri]]="","",表1[[#This Row],[Deskripsi Barang]]+表1[[#This Row],[Kuantitas]]-表1[[#This Row],[Satuan]])</f>
        <v/>
      </c>
      <c r="H2858" s="28"/>
      <c r="I2858" s="25" t="str">
        <f>IF(表1[[#This Row],[Tgl NPBG]]&gt;表1[[#This Row],[Peminta]],表1[[#This Row],[Tgl NPBG]]-表1[[#This Row],[Peminta]],"")</f>
        <v/>
      </c>
      <c r="J2858" s="31"/>
    </row>
    <row r="2859" s="12" customFormat="1" customHeight="1" spans="2:10">
      <c r="B2859" s="25"/>
      <c r="C2859" s="25"/>
      <c r="D2859" s="26" t="str" cm="1">
        <f t="array" ref="D2859">IF(C2859="","",IFERROR(INDEX(STPP!$D$6:$D$4207,MATCH(C2859,STPP!$C$6:$C$4207,0)),"Not Found"))</f>
        <v/>
      </c>
      <c r="E2859" s="27" t="str" cm="1">
        <f t="array" ref="E2859">IF(C2859="","",IFERROR(INDEX(STPP!$E$6:$E$4207,MATCH(C2859,STPP!$C$6:$C$4207,0)),"Not Found"))</f>
        <v/>
      </c>
      <c r="F2859" s="27" t="str" cm="1">
        <f t="array" ref="F2859">IF(C2859="","",IFERROR(INDEX(STPP!$F$6:$F$4207,MATCH(C2859,STPP!$C$6:$C$4207,0)),"Not Found"))</f>
        <v/>
      </c>
      <c r="G2859" s="25" t="str">
        <f>IF(表1[[#This Row],[No Seri]]="","",表1[[#This Row],[Deskripsi Barang]]+表1[[#This Row],[Kuantitas]]-表1[[#This Row],[Satuan]])</f>
        <v/>
      </c>
      <c r="H2859" s="28"/>
      <c r="I2859" s="25" t="str">
        <f>IF(表1[[#This Row],[Tgl NPBG]]&gt;表1[[#This Row],[Peminta]],表1[[#This Row],[Tgl NPBG]]-表1[[#This Row],[Peminta]],"")</f>
        <v/>
      </c>
      <c r="J2859" s="31"/>
    </row>
    <row r="2860" s="12" customFormat="1" customHeight="1" spans="2:10">
      <c r="B2860" s="25"/>
      <c r="C2860" s="25"/>
      <c r="D2860" s="26" t="str" cm="1">
        <f t="array" ref="D2860">IF(C2860="","",IFERROR(INDEX(STPP!$D$6:$D$4207,MATCH(C2860,STPP!$C$6:$C$4207,0)),"Not Found"))</f>
        <v/>
      </c>
      <c r="E2860" s="27" t="str" cm="1">
        <f t="array" ref="E2860">IF(C2860="","",IFERROR(INDEX(STPP!$E$6:$E$4207,MATCH(C2860,STPP!$C$6:$C$4207,0)),"Not Found"))</f>
        <v/>
      </c>
      <c r="F2860" s="27" t="str" cm="1">
        <f t="array" ref="F2860">IF(C2860="","",IFERROR(INDEX(STPP!$F$6:$F$4207,MATCH(C2860,STPP!$C$6:$C$4207,0)),"Not Found"))</f>
        <v/>
      </c>
      <c r="G2860" s="25" t="str">
        <f>IF(表1[[#This Row],[No Seri]]="","",表1[[#This Row],[Deskripsi Barang]]+表1[[#This Row],[Kuantitas]]-表1[[#This Row],[Satuan]])</f>
        <v/>
      </c>
      <c r="H2860" s="28"/>
      <c r="I2860" s="25" t="str">
        <f>IF(表1[[#This Row],[Tgl NPBG]]&gt;表1[[#This Row],[Peminta]],表1[[#This Row],[Tgl NPBG]]-表1[[#This Row],[Peminta]],"")</f>
        <v/>
      </c>
      <c r="J2860" s="31"/>
    </row>
    <row r="2861" s="12" customFormat="1" customHeight="1" spans="2:10">
      <c r="B2861" s="25"/>
      <c r="C2861" s="25"/>
      <c r="D2861" s="26" t="str" cm="1">
        <f t="array" ref="D2861">IF(C2861="","",IFERROR(INDEX(STPP!$D$6:$D$4207,MATCH(C2861,STPP!$C$6:$C$4207,0)),"Not Found"))</f>
        <v/>
      </c>
      <c r="E2861" s="27" t="str" cm="1">
        <f t="array" ref="E2861">IF(C2861="","",IFERROR(INDEX(STPP!$E$6:$E$4207,MATCH(C2861,STPP!$C$6:$C$4207,0)),"Not Found"))</f>
        <v/>
      </c>
      <c r="F2861" s="27" t="str" cm="1">
        <f t="array" ref="F2861">IF(C2861="","",IFERROR(INDEX(STPP!$F$6:$F$4207,MATCH(C2861,STPP!$C$6:$C$4207,0)),"Not Found"))</f>
        <v/>
      </c>
      <c r="G2861" s="25" t="str">
        <f>IF(表1[[#This Row],[No Seri]]="","",表1[[#This Row],[Deskripsi Barang]]+表1[[#This Row],[Kuantitas]]-表1[[#This Row],[Satuan]])</f>
        <v/>
      </c>
      <c r="H2861" s="28"/>
      <c r="I2861" s="25" t="str">
        <f>IF(表1[[#This Row],[Tgl NPBG]]&gt;表1[[#This Row],[Peminta]],表1[[#This Row],[Tgl NPBG]]-表1[[#This Row],[Peminta]],"")</f>
        <v/>
      </c>
      <c r="J2861" s="31"/>
    </row>
    <row r="2862" s="12" customFormat="1" customHeight="1" spans="2:10">
      <c r="B2862" s="25"/>
      <c r="C2862" s="25"/>
      <c r="D2862" s="26" t="str" cm="1">
        <f t="array" ref="D2862">IF(C2862="","",IFERROR(INDEX(STPP!$D$6:$D$4207,MATCH(C2862,STPP!$C$6:$C$4207,0)),"Not Found"))</f>
        <v/>
      </c>
      <c r="E2862" s="27" t="str" cm="1">
        <f t="array" ref="E2862">IF(C2862="","",IFERROR(INDEX(STPP!$E$6:$E$4207,MATCH(C2862,STPP!$C$6:$C$4207,0)),"Not Found"))</f>
        <v/>
      </c>
      <c r="F2862" s="27" t="str" cm="1">
        <f t="array" ref="F2862">IF(C2862="","",IFERROR(INDEX(STPP!$F$6:$F$4207,MATCH(C2862,STPP!$C$6:$C$4207,0)),"Not Found"))</f>
        <v/>
      </c>
      <c r="G2862" s="25" t="str">
        <f>IF(表1[[#This Row],[No Seri]]="","",表1[[#This Row],[Deskripsi Barang]]+表1[[#This Row],[Kuantitas]]-表1[[#This Row],[Satuan]])</f>
        <v/>
      </c>
      <c r="H2862" s="28"/>
      <c r="I2862" s="25" t="str">
        <f>IF(表1[[#This Row],[Tgl NPBG]]&gt;表1[[#This Row],[Peminta]],表1[[#This Row],[Tgl NPBG]]-表1[[#This Row],[Peminta]],"")</f>
        <v/>
      </c>
      <c r="J2862" s="31"/>
    </row>
    <row r="2863" s="12" customFormat="1" customHeight="1" spans="2:10">
      <c r="B2863" s="25"/>
      <c r="C2863" s="25"/>
      <c r="D2863" s="26" t="str" cm="1">
        <f t="array" ref="D2863">IF(C2863="","",IFERROR(INDEX(STPP!$D$6:$D$4207,MATCH(C2863,STPP!$C$6:$C$4207,0)),"Not Found"))</f>
        <v/>
      </c>
      <c r="E2863" s="27" t="str" cm="1">
        <f t="array" ref="E2863">IF(C2863="","",IFERROR(INDEX(STPP!$E$6:$E$4207,MATCH(C2863,STPP!$C$6:$C$4207,0)),"Not Found"))</f>
        <v/>
      </c>
      <c r="F2863" s="27" t="str" cm="1">
        <f t="array" ref="F2863">IF(C2863="","",IFERROR(INDEX(STPP!$F$6:$F$4207,MATCH(C2863,STPP!$C$6:$C$4207,0)),"Not Found"))</f>
        <v/>
      </c>
      <c r="G2863" s="25" t="str">
        <f>IF(表1[[#This Row],[No Seri]]="","",表1[[#This Row],[Deskripsi Barang]]+表1[[#This Row],[Kuantitas]]-表1[[#This Row],[Satuan]])</f>
        <v/>
      </c>
      <c r="H2863" s="28"/>
      <c r="I2863" s="25" t="str">
        <f>IF(表1[[#This Row],[Tgl NPBG]]&gt;表1[[#This Row],[Peminta]],表1[[#This Row],[Tgl NPBG]]-表1[[#This Row],[Peminta]],"")</f>
        <v/>
      </c>
      <c r="J2863" s="31"/>
    </row>
    <row r="2864" s="12" customFormat="1" customHeight="1" spans="2:10">
      <c r="B2864" s="25"/>
      <c r="C2864" s="25"/>
      <c r="D2864" s="26" t="str" cm="1">
        <f t="array" ref="D2864">IF(C2864="","",IFERROR(INDEX(STPP!$D$6:$D$4207,MATCH(C2864,STPP!$C$6:$C$4207,0)),"Not Found"))</f>
        <v/>
      </c>
      <c r="E2864" s="27" t="str" cm="1">
        <f t="array" ref="E2864">IF(C2864="","",IFERROR(INDEX(STPP!$E$6:$E$4207,MATCH(C2864,STPP!$C$6:$C$4207,0)),"Not Found"))</f>
        <v/>
      </c>
      <c r="F2864" s="27" t="str" cm="1">
        <f t="array" ref="F2864">IF(C2864="","",IFERROR(INDEX(STPP!$F$6:$F$4207,MATCH(C2864,STPP!$C$6:$C$4207,0)),"Not Found"))</f>
        <v/>
      </c>
      <c r="G2864" s="25" t="str">
        <f>IF(表1[[#This Row],[No Seri]]="","",表1[[#This Row],[Deskripsi Barang]]+表1[[#This Row],[Kuantitas]]-表1[[#This Row],[Satuan]])</f>
        <v/>
      </c>
      <c r="H2864" s="28"/>
      <c r="I2864" s="25" t="str">
        <f>IF(表1[[#This Row],[Tgl NPBG]]&gt;表1[[#This Row],[Peminta]],表1[[#This Row],[Tgl NPBG]]-表1[[#This Row],[Peminta]],"")</f>
        <v/>
      </c>
      <c r="J2864" s="31"/>
    </row>
    <row r="2865" s="12" customFormat="1" customHeight="1" spans="2:10">
      <c r="B2865" s="25"/>
      <c r="C2865" s="25"/>
      <c r="D2865" s="26" t="str" cm="1">
        <f t="array" ref="D2865">IF(C2865="","",IFERROR(INDEX(STPP!$D$6:$D$4207,MATCH(C2865,STPP!$C$6:$C$4207,0)),"Not Found"))</f>
        <v/>
      </c>
      <c r="E2865" s="27" t="str" cm="1">
        <f t="array" ref="E2865">IF(C2865="","",IFERROR(INDEX(STPP!$E$6:$E$4207,MATCH(C2865,STPP!$C$6:$C$4207,0)),"Not Found"))</f>
        <v/>
      </c>
      <c r="F2865" s="27" t="str" cm="1">
        <f t="array" ref="F2865">IF(C2865="","",IFERROR(INDEX(STPP!$F$6:$F$4207,MATCH(C2865,STPP!$C$6:$C$4207,0)),"Not Found"))</f>
        <v/>
      </c>
      <c r="G2865" s="25" t="str">
        <f>IF(表1[[#This Row],[No Seri]]="","",表1[[#This Row],[Deskripsi Barang]]+表1[[#This Row],[Kuantitas]]-表1[[#This Row],[Satuan]])</f>
        <v/>
      </c>
      <c r="H2865" s="28"/>
      <c r="I2865" s="25" t="str">
        <f>IF(表1[[#This Row],[Tgl NPBG]]&gt;表1[[#This Row],[Peminta]],表1[[#This Row],[Tgl NPBG]]-表1[[#This Row],[Peminta]],"")</f>
        <v/>
      </c>
      <c r="J2865" s="31"/>
    </row>
    <row r="2866" s="12" customFormat="1" customHeight="1" spans="2:10">
      <c r="B2866" s="25"/>
      <c r="C2866" s="25"/>
      <c r="D2866" s="26" t="str" cm="1">
        <f t="array" ref="D2866">IF(C2866="","",IFERROR(INDEX(STPP!$D$6:$D$4207,MATCH(C2866,STPP!$C$6:$C$4207,0)),"Not Found"))</f>
        <v/>
      </c>
      <c r="E2866" s="27" t="str" cm="1">
        <f t="array" ref="E2866">IF(C2866="","",IFERROR(INDEX(STPP!$E$6:$E$4207,MATCH(C2866,STPP!$C$6:$C$4207,0)),"Not Found"))</f>
        <v/>
      </c>
      <c r="F2866" s="27" t="str" cm="1">
        <f t="array" ref="F2866">IF(C2866="","",IFERROR(INDEX(STPP!$F$6:$F$4207,MATCH(C2866,STPP!$C$6:$C$4207,0)),"Not Found"))</f>
        <v/>
      </c>
      <c r="G2866" s="25" t="str">
        <f>IF(表1[[#This Row],[No Seri]]="","",表1[[#This Row],[Deskripsi Barang]]+表1[[#This Row],[Kuantitas]]-表1[[#This Row],[Satuan]])</f>
        <v/>
      </c>
      <c r="H2866" s="28"/>
      <c r="I2866" s="25" t="str">
        <f>IF(表1[[#This Row],[Tgl NPBG]]&gt;表1[[#This Row],[Peminta]],表1[[#This Row],[Tgl NPBG]]-表1[[#This Row],[Peminta]],"")</f>
        <v/>
      </c>
      <c r="J2866" s="31"/>
    </row>
    <row r="2867" s="12" customFormat="1" customHeight="1" spans="2:10">
      <c r="B2867" s="25"/>
      <c r="C2867" s="25"/>
      <c r="D2867" s="26" t="str" cm="1">
        <f t="array" ref="D2867">IF(C2867="","",IFERROR(INDEX(STPP!$D$6:$D$4207,MATCH(C2867,STPP!$C$6:$C$4207,0)),"Not Found"))</f>
        <v/>
      </c>
      <c r="E2867" s="27" t="str" cm="1">
        <f t="array" ref="E2867">IF(C2867="","",IFERROR(INDEX(STPP!$E$6:$E$4207,MATCH(C2867,STPP!$C$6:$C$4207,0)),"Not Found"))</f>
        <v/>
      </c>
      <c r="F2867" s="27" t="str" cm="1">
        <f t="array" ref="F2867">IF(C2867="","",IFERROR(INDEX(STPP!$F$6:$F$4207,MATCH(C2867,STPP!$C$6:$C$4207,0)),"Not Found"))</f>
        <v/>
      </c>
      <c r="G2867" s="25" t="str">
        <f>IF(表1[[#This Row],[No Seri]]="","",表1[[#This Row],[Deskripsi Barang]]+表1[[#This Row],[Kuantitas]]-表1[[#This Row],[Satuan]])</f>
        <v/>
      </c>
      <c r="H2867" s="28"/>
      <c r="I2867" s="25" t="str">
        <f>IF(表1[[#This Row],[Tgl NPBG]]&gt;表1[[#This Row],[Peminta]],表1[[#This Row],[Tgl NPBG]]-表1[[#This Row],[Peminta]],"")</f>
        <v/>
      </c>
      <c r="J2867" s="31"/>
    </row>
    <row r="2868" s="12" customFormat="1" customHeight="1" spans="2:10">
      <c r="B2868" s="25"/>
      <c r="C2868" s="25"/>
      <c r="D2868" s="26" t="str" cm="1">
        <f t="array" ref="D2868">IF(C2868="","",IFERROR(INDEX(STPP!$D$6:$D$4207,MATCH(C2868,STPP!$C$6:$C$4207,0)),"Not Found"))</f>
        <v/>
      </c>
      <c r="E2868" s="27" t="str" cm="1">
        <f t="array" ref="E2868">IF(C2868="","",IFERROR(INDEX(STPP!$E$6:$E$4207,MATCH(C2868,STPP!$C$6:$C$4207,0)),"Not Found"))</f>
        <v/>
      </c>
      <c r="F2868" s="27" t="str" cm="1">
        <f t="array" ref="F2868">IF(C2868="","",IFERROR(INDEX(STPP!$F$6:$F$4207,MATCH(C2868,STPP!$C$6:$C$4207,0)),"Not Found"))</f>
        <v/>
      </c>
      <c r="G2868" s="25" t="str">
        <f>IF(表1[[#This Row],[No Seri]]="","",表1[[#This Row],[Deskripsi Barang]]+表1[[#This Row],[Kuantitas]]-表1[[#This Row],[Satuan]])</f>
        <v/>
      </c>
      <c r="H2868" s="28"/>
      <c r="I2868" s="25" t="str">
        <f>IF(表1[[#This Row],[Tgl NPBG]]&gt;表1[[#This Row],[Peminta]],表1[[#This Row],[Tgl NPBG]]-表1[[#This Row],[Peminta]],"")</f>
        <v/>
      </c>
      <c r="J2868" s="31"/>
    </row>
    <row r="2869" s="12" customFormat="1" customHeight="1" spans="2:10">
      <c r="B2869" s="25"/>
      <c r="C2869" s="25"/>
      <c r="D2869" s="26" t="str" cm="1">
        <f t="array" ref="D2869">IF(C2869="","",IFERROR(INDEX(STPP!$D$6:$D$4207,MATCH(C2869,STPP!$C$6:$C$4207,0)),"Not Found"))</f>
        <v/>
      </c>
      <c r="E2869" s="27" t="str" cm="1">
        <f t="array" ref="E2869">IF(C2869="","",IFERROR(INDEX(STPP!$E$6:$E$4207,MATCH(C2869,STPP!$C$6:$C$4207,0)),"Not Found"))</f>
        <v/>
      </c>
      <c r="F2869" s="27" t="str" cm="1">
        <f t="array" ref="F2869">IF(C2869="","",IFERROR(INDEX(STPP!$F$6:$F$4207,MATCH(C2869,STPP!$C$6:$C$4207,0)),"Not Found"))</f>
        <v/>
      </c>
      <c r="G2869" s="25" t="str">
        <f>IF(表1[[#This Row],[No Seri]]="","",表1[[#This Row],[Deskripsi Barang]]+表1[[#This Row],[Kuantitas]]-表1[[#This Row],[Satuan]])</f>
        <v/>
      </c>
      <c r="H2869" s="28"/>
      <c r="I2869" s="25" t="str">
        <f>IF(表1[[#This Row],[Tgl NPBG]]&gt;表1[[#This Row],[Peminta]],表1[[#This Row],[Tgl NPBG]]-表1[[#This Row],[Peminta]],"")</f>
        <v/>
      </c>
      <c r="J2869" s="31"/>
    </row>
    <row r="2870" s="12" customFormat="1" customHeight="1" spans="2:10">
      <c r="B2870" s="25"/>
      <c r="C2870" s="25"/>
      <c r="D2870" s="26" t="str" cm="1">
        <f t="array" ref="D2870">IF(C2870="","",IFERROR(INDEX(STPP!$D$6:$D$4207,MATCH(C2870,STPP!$C$6:$C$4207,0)),"Not Found"))</f>
        <v/>
      </c>
      <c r="E2870" s="27" t="str" cm="1">
        <f t="array" ref="E2870">IF(C2870="","",IFERROR(INDEX(STPP!$E$6:$E$4207,MATCH(C2870,STPP!$C$6:$C$4207,0)),"Not Found"))</f>
        <v/>
      </c>
      <c r="F2870" s="27" t="str" cm="1">
        <f t="array" ref="F2870">IF(C2870="","",IFERROR(INDEX(STPP!$F$6:$F$4207,MATCH(C2870,STPP!$C$6:$C$4207,0)),"Not Found"))</f>
        <v/>
      </c>
      <c r="G2870" s="25" t="str">
        <f>IF(表1[[#This Row],[No Seri]]="","",表1[[#This Row],[Deskripsi Barang]]+表1[[#This Row],[Kuantitas]]-表1[[#This Row],[Satuan]])</f>
        <v/>
      </c>
      <c r="H2870" s="28"/>
      <c r="I2870" s="25" t="str">
        <f>IF(表1[[#This Row],[Tgl NPBG]]&gt;表1[[#This Row],[Peminta]],表1[[#This Row],[Tgl NPBG]]-表1[[#This Row],[Peminta]],"")</f>
        <v/>
      </c>
      <c r="J2870" s="31"/>
    </row>
    <row r="2871" s="12" customFormat="1" customHeight="1" spans="2:10">
      <c r="B2871" s="25"/>
      <c r="C2871" s="25"/>
      <c r="D2871" s="26" t="str" cm="1">
        <f t="array" ref="D2871">IF(C2871="","",IFERROR(INDEX(STPP!$D$6:$D$4207,MATCH(C2871,STPP!$C$6:$C$4207,0)),"Not Found"))</f>
        <v/>
      </c>
      <c r="E2871" s="27" t="str" cm="1">
        <f t="array" ref="E2871">IF(C2871="","",IFERROR(INDEX(STPP!$E$6:$E$4207,MATCH(C2871,STPP!$C$6:$C$4207,0)),"Not Found"))</f>
        <v/>
      </c>
      <c r="F2871" s="27" t="str" cm="1">
        <f t="array" ref="F2871">IF(C2871="","",IFERROR(INDEX(STPP!$F$6:$F$4207,MATCH(C2871,STPP!$C$6:$C$4207,0)),"Not Found"))</f>
        <v/>
      </c>
      <c r="G2871" s="25" t="str">
        <f>IF(表1[[#This Row],[No Seri]]="","",表1[[#This Row],[Deskripsi Barang]]+表1[[#This Row],[Kuantitas]]-表1[[#This Row],[Satuan]])</f>
        <v/>
      </c>
      <c r="H2871" s="28"/>
      <c r="I2871" s="25" t="str">
        <f>IF(表1[[#This Row],[Tgl NPBG]]&gt;表1[[#This Row],[Peminta]],表1[[#This Row],[Tgl NPBG]]-表1[[#This Row],[Peminta]],"")</f>
        <v/>
      </c>
      <c r="J2871" s="31"/>
    </row>
    <row r="2872" s="12" customFormat="1" customHeight="1" spans="2:10">
      <c r="B2872" s="25"/>
      <c r="C2872" s="25"/>
      <c r="D2872" s="26" t="str" cm="1">
        <f t="array" ref="D2872">IF(C2872="","",IFERROR(INDEX(STPP!$D$6:$D$4207,MATCH(C2872,STPP!$C$6:$C$4207,0)),"Not Found"))</f>
        <v/>
      </c>
      <c r="E2872" s="27" t="str" cm="1">
        <f t="array" ref="E2872">IF(C2872="","",IFERROR(INDEX(STPP!$E$6:$E$4207,MATCH(C2872,STPP!$C$6:$C$4207,0)),"Not Found"))</f>
        <v/>
      </c>
      <c r="F2872" s="27" t="str" cm="1">
        <f t="array" ref="F2872">IF(C2872="","",IFERROR(INDEX(STPP!$F$6:$F$4207,MATCH(C2872,STPP!$C$6:$C$4207,0)),"Not Found"))</f>
        <v/>
      </c>
      <c r="G2872" s="25" t="str">
        <f>IF(表1[[#This Row],[No Seri]]="","",表1[[#This Row],[Deskripsi Barang]]+表1[[#This Row],[Kuantitas]]-表1[[#This Row],[Satuan]])</f>
        <v/>
      </c>
      <c r="H2872" s="28"/>
      <c r="I2872" s="25" t="str">
        <f>IF(表1[[#This Row],[Tgl NPBG]]&gt;表1[[#This Row],[Peminta]],表1[[#This Row],[Tgl NPBG]]-表1[[#This Row],[Peminta]],"")</f>
        <v/>
      </c>
      <c r="J2872" s="31"/>
    </row>
    <row r="2873" s="12" customFormat="1" customHeight="1" spans="2:10">
      <c r="B2873" s="25"/>
      <c r="C2873" s="25"/>
      <c r="D2873" s="26" t="str" cm="1">
        <f t="array" ref="D2873">IF(C2873="","",IFERROR(INDEX(STPP!$D$6:$D$4207,MATCH(C2873,STPP!$C$6:$C$4207,0)),"Not Found"))</f>
        <v/>
      </c>
      <c r="E2873" s="27" t="str" cm="1">
        <f t="array" ref="E2873">IF(C2873="","",IFERROR(INDEX(STPP!$E$6:$E$4207,MATCH(C2873,STPP!$C$6:$C$4207,0)),"Not Found"))</f>
        <v/>
      </c>
      <c r="F2873" s="27" t="str" cm="1">
        <f t="array" ref="F2873">IF(C2873="","",IFERROR(INDEX(STPP!$F$6:$F$4207,MATCH(C2873,STPP!$C$6:$C$4207,0)),"Not Found"))</f>
        <v/>
      </c>
      <c r="G2873" s="25" t="str">
        <f>IF(表1[[#This Row],[No Seri]]="","",表1[[#This Row],[Deskripsi Barang]]+表1[[#This Row],[Kuantitas]]-表1[[#This Row],[Satuan]])</f>
        <v/>
      </c>
      <c r="H2873" s="28"/>
      <c r="I2873" s="25" t="str">
        <f>IF(表1[[#This Row],[Tgl NPBG]]&gt;表1[[#This Row],[Peminta]],表1[[#This Row],[Tgl NPBG]]-表1[[#This Row],[Peminta]],"")</f>
        <v/>
      </c>
      <c r="J2873" s="31"/>
    </row>
    <row r="2874" s="12" customFormat="1" customHeight="1" spans="2:10">
      <c r="B2874" s="25"/>
      <c r="C2874" s="25"/>
      <c r="D2874" s="26" t="str" cm="1">
        <f t="array" ref="D2874">IF(C2874="","",IFERROR(INDEX(STPP!$D$6:$D$4207,MATCH(C2874,STPP!$C$6:$C$4207,0)),"Not Found"))</f>
        <v/>
      </c>
      <c r="E2874" s="27" t="str" cm="1">
        <f t="array" ref="E2874">IF(C2874="","",IFERROR(INDEX(STPP!$E$6:$E$4207,MATCH(C2874,STPP!$C$6:$C$4207,0)),"Not Found"))</f>
        <v/>
      </c>
      <c r="F2874" s="27" t="str" cm="1">
        <f t="array" ref="F2874">IF(C2874="","",IFERROR(INDEX(STPP!$F$6:$F$4207,MATCH(C2874,STPP!$C$6:$C$4207,0)),"Not Found"))</f>
        <v/>
      </c>
      <c r="G2874" s="25" t="str">
        <f>IF(表1[[#This Row],[No Seri]]="","",表1[[#This Row],[Deskripsi Barang]]+表1[[#This Row],[Kuantitas]]-表1[[#This Row],[Satuan]])</f>
        <v/>
      </c>
      <c r="H2874" s="28"/>
      <c r="I2874" s="25" t="str">
        <f>IF(表1[[#This Row],[Tgl NPBG]]&gt;表1[[#This Row],[Peminta]],表1[[#This Row],[Tgl NPBG]]-表1[[#This Row],[Peminta]],"")</f>
        <v/>
      </c>
      <c r="J2874" s="31"/>
    </row>
    <row r="2875" s="12" customFormat="1" customHeight="1" spans="2:10">
      <c r="B2875" s="25"/>
      <c r="C2875" s="25"/>
      <c r="D2875" s="26" t="str" cm="1">
        <f t="array" ref="D2875">IF(C2875="","",IFERROR(INDEX(STPP!$D$6:$D$4207,MATCH(C2875,STPP!$C$6:$C$4207,0)),"Not Found"))</f>
        <v/>
      </c>
      <c r="E2875" s="27" t="str" cm="1">
        <f t="array" ref="E2875">IF(C2875="","",IFERROR(INDEX(STPP!$E$6:$E$4207,MATCH(C2875,STPP!$C$6:$C$4207,0)),"Not Found"))</f>
        <v/>
      </c>
      <c r="F2875" s="27" t="str" cm="1">
        <f t="array" ref="F2875">IF(C2875="","",IFERROR(INDEX(STPP!$F$6:$F$4207,MATCH(C2875,STPP!$C$6:$C$4207,0)),"Not Found"))</f>
        <v/>
      </c>
      <c r="G2875" s="25" t="str">
        <f>IF(表1[[#This Row],[No Seri]]="","",表1[[#This Row],[Deskripsi Barang]]+表1[[#This Row],[Kuantitas]]-表1[[#This Row],[Satuan]])</f>
        <v/>
      </c>
      <c r="H2875" s="28"/>
      <c r="I2875" s="25" t="str">
        <f>IF(表1[[#This Row],[Tgl NPBG]]&gt;表1[[#This Row],[Peminta]],表1[[#This Row],[Tgl NPBG]]-表1[[#This Row],[Peminta]],"")</f>
        <v/>
      </c>
      <c r="J2875" s="31"/>
    </row>
    <row r="2876" s="12" customFormat="1" customHeight="1" spans="2:10">
      <c r="B2876" s="25"/>
      <c r="C2876" s="25"/>
      <c r="D2876" s="26" t="str" cm="1">
        <f t="array" ref="D2876">IF(C2876="","",IFERROR(INDEX(STPP!$D$6:$D$4207,MATCH(C2876,STPP!$C$6:$C$4207,0)),"Not Found"))</f>
        <v/>
      </c>
      <c r="E2876" s="27" t="str" cm="1">
        <f t="array" ref="E2876">IF(C2876="","",IFERROR(INDEX(STPP!$E$6:$E$4207,MATCH(C2876,STPP!$C$6:$C$4207,0)),"Not Found"))</f>
        <v/>
      </c>
      <c r="F2876" s="27" t="str" cm="1">
        <f t="array" ref="F2876">IF(C2876="","",IFERROR(INDEX(STPP!$F$6:$F$4207,MATCH(C2876,STPP!$C$6:$C$4207,0)),"Not Found"))</f>
        <v/>
      </c>
      <c r="G2876" s="25" t="str">
        <f>IF(表1[[#This Row],[No Seri]]="","",表1[[#This Row],[Deskripsi Barang]]+表1[[#This Row],[Kuantitas]]-表1[[#This Row],[Satuan]])</f>
        <v/>
      </c>
      <c r="H2876" s="28"/>
      <c r="I2876" s="25" t="str">
        <f>IF(表1[[#This Row],[Tgl NPBG]]&gt;表1[[#This Row],[Peminta]],表1[[#This Row],[Tgl NPBG]]-表1[[#This Row],[Peminta]],"")</f>
        <v/>
      </c>
      <c r="J2876" s="31"/>
    </row>
    <row r="2877" s="12" customFormat="1" customHeight="1" spans="2:10">
      <c r="B2877" s="25"/>
      <c r="C2877" s="25"/>
      <c r="D2877" s="26" t="str" cm="1">
        <f t="array" ref="D2877">IF(C2877="","",IFERROR(INDEX(STPP!$D$6:$D$4207,MATCH(C2877,STPP!$C$6:$C$4207,0)),"Not Found"))</f>
        <v/>
      </c>
      <c r="E2877" s="27" t="str" cm="1">
        <f t="array" ref="E2877">IF(C2877="","",IFERROR(INDEX(STPP!$E$6:$E$4207,MATCH(C2877,STPP!$C$6:$C$4207,0)),"Not Found"))</f>
        <v/>
      </c>
      <c r="F2877" s="27" t="str" cm="1">
        <f t="array" ref="F2877">IF(C2877="","",IFERROR(INDEX(STPP!$F$6:$F$4207,MATCH(C2877,STPP!$C$6:$C$4207,0)),"Not Found"))</f>
        <v/>
      </c>
      <c r="G2877" s="25" t="str">
        <f>IF(表1[[#This Row],[No Seri]]="","",表1[[#This Row],[Deskripsi Barang]]+表1[[#This Row],[Kuantitas]]-表1[[#This Row],[Satuan]])</f>
        <v/>
      </c>
      <c r="H2877" s="28"/>
      <c r="I2877" s="25" t="str">
        <f>IF(表1[[#This Row],[Tgl NPBG]]&gt;表1[[#This Row],[Peminta]],表1[[#This Row],[Tgl NPBG]]-表1[[#This Row],[Peminta]],"")</f>
        <v/>
      </c>
      <c r="J2877" s="31"/>
    </row>
    <row r="2878" s="12" customFormat="1" customHeight="1" spans="2:10">
      <c r="B2878" s="25"/>
      <c r="C2878" s="25"/>
      <c r="D2878" s="26" t="str" cm="1">
        <f t="array" ref="D2878">IF(C2878="","",IFERROR(INDEX(STPP!$D$6:$D$4207,MATCH(C2878,STPP!$C$6:$C$4207,0)),"Not Found"))</f>
        <v/>
      </c>
      <c r="E2878" s="27" t="str" cm="1">
        <f t="array" ref="E2878">IF(C2878="","",IFERROR(INDEX(STPP!$E$6:$E$4207,MATCH(C2878,STPP!$C$6:$C$4207,0)),"Not Found"))</f>
        <v/>
      </c>
      <c r="F2878" s="27" t="str" cm="1">
        <f t="array" ref="F2878">IF(C2878="","",IFERROR(INDEX(STPP!$F$6:$F$4207,MATCH(C2878,STPP!$C$6:$C$4207,0)),"Not Found"))</f>
        <v/>
      </c>
      <c r="G2878" s="25" t="str">
        <f>IF(表1[[#This Row],[No Seri]]="","",表1[[#This Row],[Deskripsi Barang]]+表1[[#This Row],[Kuantitas]]-表1[[#This Row],[Satuan]])</f>
        <v/>
      </c>
      <c r="H2878" s="28"/>
      <c r="I2878" s="25" t="str">
        <f>IF(表1[[#This Row],[Tgl NPBG]]&gt;表1[[#This Row],[Peminta]],表1[[#This Row],[Tgl NPBG]]-表1[[#This Row],[Peminta]],"")</f>
        <v/>
      </c>
      <c r="J2878" s="31"/>
    </row>
    <row r="2879" s="12" customFormat="1" customHeight="1" spans="2:10">
      <c r="B2879" s="25"/>
      <c r="C2879" s="25"/>
      <c r="D2879" s="26" t="str" cm="1">
        <f t="array" ref="D2879">IF(C2879="","",IFERROR(INDEX(STPP!$D$6:$D$4207,MATCH(C2879,STPP!$C$6:$C$4207,0)),"Not Found"))</f>
        <v/>
      </c>
      <c r="E2879" s="27" t="str" cm="1">
        <f t="array" ref="E2879">IF(C2879="","",IFERROR(INDEX(STPP!$E$6:$E$4207,MATCH(C2879,STPP!$C$6:$C$4207,0)),"Not Found"))</f>
        <v/>
      </c>
      <c r="F2879" s="27" t="str" cm="1">
        <f t="array" ref="F2879">IF(C2879="","",IFERROR(INDEX(STPP!$F$6:$F$4207,MATCH(C2879,STPP!$C$6:$C$4207,0)),"Not Found"))</f>
        <v/>
      </c>
      <c r="G2879" s="25" t="str">
        <f>IF(表1[[#This Row],[No Seri]]="","",表1[[#This Row],[Deskripsi Barang]]+表1[[#This Row],[Kuantitas]]-表1[[#This Row],[Satuan]])</f>
        <v/>
      </c>
      <c r="H2879" s="28"/>
      <c r="I2879" s="25" t="str">
        <f>IF(表1[[#This Row],[Tgl NPBG]]&gt;表1[[#This Row],[Peminta]],表1[[#This Row],[Tgl NPBG]]-表1[[#This Row],[Peminta]],"")</f>
        <v/>
      </c>
      <c r="J2879" s="31"/>
    </row>
    <row r="2880" s="12" customFormat="1" customHeight="1" spans="2:10">
      <c r="B2880" s="25"/>
      <c r="C2880" s="25"/>
      <c r="D2880" s="26" t="str" cm="1">
        <f t="array" ref="D2880">IF(C2880="","",IFERROR(INDEX(STPP!$D$6:$D$4207,MATCH(C2880,STPP!$C$6:$C$4207,0)),"Not Found"))</f>
        <v/>
      </c>
      <c r="E2880" s="27" t="str" cm="1">
        <f t="array" ref="E2880">IF(C2880="","",IFERROR(INDEX(STPP!$E$6:$E$4207,MATCH(C2880,STPP!$C$6:$C$4207,0)),"Not Found"))</f>
        <v/>
      </c>
      <c r="F2880" s="27" t="str" cm="1">
        <f t="array" ref="F2880">IF(C2880="","",IFERROR(INDEX(STPP!$F$6:$F$4207,MATCH(C2880,STPP!$C$6:$C$4207,0)),"Not Found"))</f>
        <v/>
      </c>
      <c r="G2880" s="25" t="str">
        <f>IF(表1[[#This Row],[No Seri]]="","",表1[[#This Row],[Deskripsi Barang]]+表1[[#This Row],[Kuantitas]]-表1[[#This Row],[Satuan]])</f>
        <v/>
      </c>
      <c r="H2880" s="28"/>
      <c r="I2880" s="25" t="str">
        <f>IF(表1[[#This Row],[Tgl NPBG]]&gt;表1[[#This Row],[Peminta]],表1[[#This Row],[Tgl NPBG]]-表1[[#This Row],[Peminta]],"")</f>
        <v/>
      </c>
      <c r="J2880" s="31"/>
    </row>
    <row r="2881" s="12" customFormat="1" customHeight="1" spans="2:10">
      <c r="B2881" s="25"/>
      <c r="C2881" s="25"/>
      <c r="D2881" s="26" t="str" cm="1">
        <f t="array" ref="D2881">IF(C2881="","",IFERROR(INDEX(STPP!$D$6:$D$4207,MATCH(C2881,STPP!$C$6:$C$4207,0)),"Not Found"))</f>
        <v/>
      </c>
      <c r="E2881" s="27" t="str" cm="1">
        <f t="array" ref="E2881">IF(C2881="","",IFERROR(INDEX(STPP!$E$6:$E$4207,MATCH(C2881,STPP!$C$6:$C$4207,0)),"Not Found"))</f>
        <v/>
      </c>
      <c r="F2881" s="27" t="str" cm="1">
        <f t="array" ref="F2881">IF(C2881="","",IFERROR(INDEX(STPP!$F$6:$F$4207,MATCH(C2881,STPP!$C$6:$C$4207,0)),"Not Found"))</f>
        <v/>
      </c>
      <c r="G2881" s="25" t="str">
        <f>IF(表1[[#This Row],[No Seri]]="","",表1[[#This Row],[Deskripsi Barang]]+表1[[#This Row],[Kuantitas]]-表1[[#This Row],[Satuan]])</f>
        <v/>
      </c>
      <c r="H2881" s="28"/>
      <c r="I2881" s="25" t="str">
        <f>IF(表1[[#This Row],[Tgl NPBG]]&gt;表1[[#This Row],[Peminta]],表1[[#This Row],[Tgl NPBG]]-表1[[#This Row],[Peminta]],"")</f>
        <v/>
      </c>
      <c r="J2881" s="31"/>
    </row>
    <row r="2882" s="12" customFormat="1" customHeight="1" spans="2:10">
      <c r="B2882" s="25"/>
      <c r="C2882" s="25"/>
      <c r="D2882" s="26" t="str" cm="1">
        <f t="array" ref="D2882">IF(C2882="","",IFERROR(INDEX(STPP!$D$6:$D$4207,MATCH(C2882,STPP!$C$6:$C$4207,0)),"Not Found"))</f>
        <v/>
      </c>
      <c r="E2882" s="27" t="str" cm="1">
        <f t="array" ref="E2882">IF(C2882="","",IFERROR(INDEX(STPP!$E$6:$E$4207,MATCH(C2882,STPP!$C$6:$C$4207,0)),"Not Found"))</f>
        <v/>
      </c>
      <c r="F2882" s="27" t="str" cm="1">
        <f t="array" ref="F2882">IF(C2882="","",IFERROR(INDEX(STPP!$F$6:$F$4207,MATCH(C2882,STPP!$C$6:$C$4207,0)),"Not Found"))</f>
        <v/>
      </c>
      <c r="G2882" s="25" t="str">
        <f>IF(表1[[#This Row],[No Seri]]="","",表1[[#This Row],[Deskripsi Barang]]+表1[[#This Row],[Kuantitas]]-表1[[#This Row],[Satuan]])</f>
        <v/>
      </c>
      <c r="H2882" s="28"/>
      <c r="I2882" s="25" t="str">
        <f>IF(表1[[#This Row],[Tgl NPBG]]&gt;表1[[#This Row],[Peminta]],表1[[#This Row],[Tgl NPBG]]-表1[[#This Row],[Peminta]],"")</f>
        <v/>
      </c>
      <c r="J2882" s="31"/>
    </row>
    <row r="2883" s="12" customFormat="1" customHeight="1" spans="2:10">
      <c r="B2883" s="25"/>
      <c r="C2883" s="25"/>
      <c r="D2883" s="26" t="str" cm="1">
        <f t="array" ref="D2883">IF(C2883="","",IFERROR(INDEX(STPP!$D$6:$D$4207,MATCH(C2883,STPP!$C$6:$C$4207,0)),"Not Found"))</f>
        <v/>
      </c>
      <c r="E2883" s="27" t="str" cm="1">
        <f t="array" ref="E2883">IF(C2883="","",IFERROR(INDEX(STPP!$E$6:$E$4207,MATCH(C2883,STPP!$C$6:$C$4207,0)),"Not Found"))</f>
        <v/>
      </c>
      <c r="F2883" s="27" t="str" cm="1">
        <f t="array" ref="F2883">IF(C2883="","",IFERROR(INDEX(STPP!$F$6:$F$4207,MATCH(C2883,STPP!$C$6:$C$4207,0)),"Not Found"))</f>
        <v/>
      </c>
      <c r="G2883" s="25" t="str">
        <f>IF(表1[[#This Row],[No Seri]]="","",表1[[#This Row],[Deskripsi Barang]]+表1[[#This Row],[Kuantitas]]-表1[[#This Row],[Satuan]])</f>
        <v/>
      </c>
      <c r="H2883" s="28"/>
      <c r="I2883" s="25" t="str">
        <f>IF(表1[[#This Row],[Tgl NPBG]]&gt;表1[[#This Row],[Peminta]],表1[[#This Row],[Tgl NPBG]]-表1[[#This Row],[Peminta]],"")</f>
        <v/>
      </c>
      <c r="J2883" s="31"/>
    </row>
    <row r="2884" s="12" customFormat="1" customHeight="1" spans="2:10">
      <c r="B2884" s="25"/>
      <c r="C2884" s="25"/>
      <c r="D2884" s="26" t="str" cm="1">
        <f t="array" ref="D2884">IF(C2884="","",IFERROR(INDEX(STPP!$D$6:$D$4207,MATCH(C2884,STPP!$C$6:$C$4207,0)),"Not Found"))</f>
        <v/>
      </c>
      <c r="E2884" s="27" t="str" cm="1">
        <f t="array" ref="E2884">IF(C2884="","",IFERROR(INDEX(STPP!$E$6:$E$4207,MATCH(C2884,STPP!$C$6:$C$4207,0)),"Not Found"))</f>
        <v/>
      </c>
      <c r="F2884" s="27" t="str" cm="1">
        <f t="array" ref="F2884">IF(C2884="","",IFERROR(INDEX(STPP!$F$6:$F$4207,MATCH(C2884,STPP!$C$6:$C$4207,0)),"Not Found"))</f>
        <v/>
      </c>
      <c r="G2884" s="25" t="str">
        <f>IF(表1[[#This Row],[No Seri]]="","",表1[[#This Row],[Deskripsi Barang]]+表1[[#This Row],[Kuantitas]]-表1[[#This Row],[Satuan]])</f>
        <v/>
      </c>
      <c r="H2884" s="28"/>
      <c r="I2884" s="25" t="str">
        <f>IF(表1[[#This Row],[Tgl NPBG]]&gt;表1[[#This Row],[Peminta]],表1[[#This Row],[Tgl NPBG]]-表1[[#This Row],[Peminta]],"")</f>
        <v/>
      </c>
      <c r="J2884" s="31"/>
    </row>
    <row r="2885" s="12" customFormat="1" customHeight="1" spans="2:10">
      <c r="B2885" s="25"/>
      <c r="C2885" s="25"/>
      <c r="D2885" s="26" t="str" cm="1">
        <f t="array" ref="D2885">IF(C2885="","",IFERROR(INDEX(STPP!$D$6:$D$4207,MATCH(C2885,STPP!$C$6:$C$4207,0)),"Not Found"))</f>
        <v/>
      </c>
      <c r="E2885" s="27" t="str" cm="1">
        <f t="array" ref="E2885">IF(C2885="","",IFERROR(INDEX(STPP!$E$6:$E$4207,MATCH(C2885,STPP!$C$6:$C$4207,0)),"Not Found"))</f>
        <v/>
      </c>
      <c r="F2885" s="27" t="str" cm="1">
        <f t="array" ref="F2885">IF(C2885="","",IFERROR(INDEX(STPP!$F$6:$F$4207,MATCH(C2885,STPP!$C$6:$C$4207,0)),"Not Found"))</f>
        <v/>
      </c>
      <c r="G2885" s="25" t="str">
        <f>IF(表1[[#This Row],[No Seri]]="","",表1[[#This Row],[Deskripsi Barang]]+表1[[#This Row],[Kuantitas]]-表1[[#This Row],[Satuan]])</f>
        <v/>
      </c>
      <c r="H2885" s="28"/>
      <c r="I2885" s="25" t="str">
        <f>IF(表1[[#This Row],[Tgl NPBG]]&gt;表1[[#This Row],[Peminta]],表1[[#This Row],[Tgl NPBG]]-表1[[#This Row],[Peminta]],"")</f>
        <v/>
      </c>
      <c r="J2885" s="31"/>
    </row>
    <row r="2886" s="12" customFormat="1" customHeight="1" spans="2:10">
      <c r="B2886" s="25"/>
      <c r="C2886" s="25"/>
      <c r="D2886" s="26" t="str" cm="1">
        <f t="array" ref="D2886">IF(C2886="","",IFERROR(INDEX(STPP!$D$6:$D$4207,MATCH(C2886,STPP!$C$6:$C$4207,0)),"Not Found"))</f>
        <v/>
      </c>
      <c r="E2886" s="27" t="str" cm="1">
        <f t="array" ref="E2886">IF(C2886="","",IFERROR(INDEX(STPP!$E$6:$E$4207,MATCH(C2886,STPP!$C$6:$C$4207,0)),"Not Found"))</f>
        <v/>
      </c>
      <c r="F2886" s="27" t="str" cm="1">
        <f t="array" ref="F2886">IF(C2886="","",IFERROR(INDEX(STPP!$F$6:$F$4207,MATCH(C2886,STPP!$C$6:$C$4207,0)),"Not Found"))</f>
        <v/>
      </c>
      <c r="G2886" s="25" t="str">
        <f>IF(表1[[#This Row],[No Seri]]="","",表1[[#This Row],[Deskripsi Barang]]+表1[[#This Row],[Kuantitas]]-表1[[#This Row],[Satuan]])</f>
        <v/>
      </c>
      <c r="H2886" s="28"/>
      <c r="I2886" s="25" t="str">
        <f>IF(表1[[#This Row],[Tgl NPBG]]&gt;表1[[#This Row],[Peminta]],表1[[#This Row],[Tgl NPBG]]-表1[[#This Row],[Peminta]],"")</f>
        <v/>
      </c>
      <c r="J2886" s="31"/>
    </row>
    <row r="2887" s="12" customFormat="1" customHeight="1" spans="2:10">
      <c r="B2887" s="25"/>
      <c r="C2887" s="25"/>
      <c r="D2887" s="26" t="str" cm="1">
        <f t="array" ref="D2887">IF(C2887="","",IFERROR(INDEX(STPP!$D$6:$D$4207,MATCH(C2887,STPP!$C$6:$C$4207,0)),"Not Found"))</f>
        <v/>
      </c>
      <c r="E2887" s="27" t="str" cm="1">
        <f t="array" ref="E2887">IF(C2887="","",IFERROR(INDEX(STPP!$E$6:$E$4207,MATCH(C2887,STPP!$C$6:$C$4207,0)),"Not Found"))</f>
        <v/>
      </c>
      <c r="F2887" s="27" t="str" cm="1">
        <f t="array" ref="F2887">IF(C2887="","",IFERROR(INDEX(STPP!$F$6:$F$4207,MATCH(C2887,STPP!$C$6:$C$4207,0)),"Not Found"))</f>
        <v/>
      </c>
      <c r="G2887" s="25" t="str">
        <f>IF(表1[[#This Row],[No Seri]]="","",表1[[#This Row],[Deskripsi Barang]]+表1[[#This Row],[Kuantitas]]-表1[[#This Row],[Satuan]])</f>
        <v/>
      </c>
      <c r="H2887" s="28"/>
      <c r="I2887" s="25" t="str">
        <f>IF(表1[[#This Row],[Tgl NPBG]]&gt;表1[[#This Row],[Peminta]],表1[[#This Row],[Tgl NPBG]]-表1[[#This Row],[Peminta]],"")</f>
        <v/>
      </c>
      <c r="J2887" s="31"/>
    </row>
    <row r="2888" s="12" customFormat="1" customHeight="1" spans="2:10">
      <c r="B2888" s="25"/>
      <c r="C2888" s="25"/>
      <c r="D2888" s="26" t="str" cm="1">
        <f t="array" ref="D2888">IF(C2888="","",IFERROR(INDEX(STPP!$D$6:$D$4207,MATCH(C2888,STPP!$C$6:$C$4207,0)),"Not Found"))</f>
        <v/>
      </c>
      <c r="E2888" s="27" t="str" cm="1">
        <f t="array" ref="E2888">IF(C2888="","",IFERROR(INDEX(STPP!$E$6:$E$4207,MATCH(C2888,STPP!$C$6:$C$4207,0)),"Not Found"))</f>
        <v/>
      </c>
      <c r="F2888" s="27" t="str" cm="1">
        <f t="array" ref="F2888">IF(C2888="","",IFERROR(INDEX(STPP!$F$6:$F$4207,MATCH(C2888,STPP!$C$6:$C$4207,0)),"Not Found"))</f>
        <v/>
      </c>
      <c r="G2888" s="25" t="str">
        <f>IF(表1[[#This Row],[No Seri]]="","",表1[[#This Row],[Deskripsi Barang]]+表1[[#This Row],[Kuantitas]]-表1[[#This Row],[Satuan]])</f>
        <v/>
      </c>
      <c r="H2888" s="28"/>
      <c r="I2888" s="25" t="str">
        <f>IF(表1[[#This Row],[Tgl NPBG]]&gt;表1[[#This Row],[Peminta]],表1[[#This Row],[Tgl NPBG]]-表1[[#This Row],[Peminta]],"")</f>
        <v/>
      </c>
      <c r="J2888" s="31"/>
    </row>
    <row r="2889" s="12" customFormat="1" customHeight="1" spans="2:10">
      <c r="B2889" s="25"/>
      <c r="C2889" s="25"/>
      <c r="D2889" s="26" t="str" cm="1">
        <f t="array" ref="D2889">IF(C2889="","",IFERROR(INDEX(STPP!$D$6:$D$4207,MATCH(C2889,STPP!$C$6:$C$4207,0)),"Not Found"))</f>
        <v/>
      </c>
      <c r="E2889" s="27" t="str" cm="1">
        <f t="array" ref="E2889">IF(C2889="","",IFERROR(INDEX(STPP!$E$6:$E$4207,MATCH(C2889,STPP!$C$6:$C$4207,0)),"Not Found"))</f>
        <v/>
      </c>
      <c r="F2889" s="27" t="str" cm="1">
        <f t="array" ref="F2889">IF(C2889="","",IFERROR(INDEX(STPP!$F$6:$F$4207,MATCH(C2889,STPP!$C$6:$C$4207,0)),"Not Found"))</f>
        <v/>
      </c>
      <c r="G2889" s="25" t="str">
        <f>IF(表1[[#This Row],[No Seri]]="","",表1[[#This Row],[Deskripsi Barang]]+表1[[#This Row],[Kuantitas]]-表1[[#This Row],[Satuan]])</f>
        <v/>
      </c>
      <c r="H2889" s="28"/>
      <c r="I2889" s="25" t="str">
        <f>IF(表1[[#This Row],[Tgl NPBG]]&gt;表1[[#This Row],[Peminta]],表1[[#This Row],[Tgl NPBG]]-表1[[#This Row],[Peminta]],"")</f>
        <v/>
      </c>
      <c r="J2889" s="31"/>
    </row>
    <row r="2890" s="12" customFormat="1" customHeight="1" spans="2:10">
      <c r="B2890" s="25"/>
      <c r="C2890" s="25"/>
      <c r="D2890" s="26" t="str" cm="1">
        <f t="array" ref="D2890">IF(C2890="","",IFERROR(INDEX(STPP!$D$6:$D$4207,MATCH(C2890,STPP!$C$6:$C$4207,0)),"Not Found"))</f>
        <v/>
      </c>
      <c r="E2890" s="27" t="str" cm="1">
        <f t="array" ref="E2890">IF(C2890="","",IFERROR(INDEX(STPP!$E$6:$E$4207,MATCH(C2890,STPP!$C$6:$C$4207,0)),"Not Found"))</f>
        <v/>
      </c>
      <c r="F2890" s="27" t="str" cm="1">
        <f t="array" ref="F2890">IF(C2890="","",IFERROR(INDEX(STPP!$F$6:$F$4207,MATCH(C2890,STPP!$C$6:$C$4207,0)),"Not Found"))</f>
        <v/>
      </c>
      <c r="G2890" s="25" t="str">
        <f>IF(表1[[#This Row],[No Seri]]="","",表1[[#This Row],[Deskripsi Barang]]+表1[[#This Row],[Kuantitas]]-表1[[#This Row],[Satuan]])</f>
        <v/>
      </c>
      <c r="H2890" s="28"/>
      <c r="I2890" s="25" t="str">
        <f>IF(表1[[#This Row],[Tgl NPBG]]&gt;表1[[#This Row],[Peminta]],表1[[#This Row],[Tgl NPBG]]-表1[[#This Row],[Peminta]],"")</f>
        <v/>
      </c>
      <c r="J2890" s="31"/>
    </row>
    <row r="2891" s="12" customFormat="1" customHeight="1" spans="2:10">
      <c r="B2891" s="25"/>
      <c r="C2891" s="25"/>
      <c r="D2891" s="26" t="str" cm="1">
        <f t="array" ref="D2891">IF(C2891="","",IFERROR(INDEX(STPP!$D$6:$D$4207,MATCH(C2891,STPP!$C$6:$C$4207,0)),"Not Found"))</f>
        <v/>
      </c>
      <c r="E2891" s="27" t="str" cm="1">
        <f t="array" ref="E2891">IF(C2891="","",IFERROR(INDEX(STPP!$E$6:$E$4207,MATCH(C2891,STPP!$C$6:$C$4207,0)),"Not Found"))</f>
        <v/>
      </c>
      <c r="F2891" s="27" t="str" cm="1">
        <f t="array" ref="F2891">IF(C2891="","",IFERROR(INDEX(STPP!$F$6:$F$4207,MATCH(C2891,STPP!$C$6:$C$4207,0)),"Not Found"))</f>
        <v/>
      </c>
      <c r="G2891" s="25" t="str">
        <f>IF(表1[[#This Row],[No Seri]]="","",表1[[#This Row],[Deskripsi Barang]]+表1[[#This Row],[Kuantitas]]-表1[[#This Row],[Satuan]])</f>
        <v/>
      </c>
      <c r="H2891" s="28"/>
      <c r="I2891" s="25" t="str">
        <f>IF(表1[[#This Row],[Tgl NPBG]]&gt;表1[[#This Row],[Peminta]],表1[[#This Row],[Tgl NPBG]]-表1[[#This Row],[Peminta]],"")</f>
        <v/>
      </c>
      <c r="J2891" s="31"/>
    </row>
    <row r="2892" s="12" customFormat="1" customHeight="1" spans="2:10">
      <c r="B2892" s="25"/>
      <c r="C2892" s="25"/>
      <c r="D2892" s="26" t="str" cm="1">
        <f t="array" ref="D2892">IF(C2892="","",IFERROR(INDEX(STPP!$D$6:$D$4207,MATCH(C2892,STPP!$C$6:$C$4207,0)),"Not Found"))</f>
        <v/>
      </c>
      <c r="E2892" s="27" t="str" cm="1">
        <f t="array" ref="E2892">IF(C2892="","",IFERROR(INDEX(STPP!$E$6:$E$4207,MATCH(C2892,STPP!$C$6:$C$4207,0)),"Not Found"))</f>
        <v/>
      </c>
      <c r="F2892" s="27" t="str" cm="1">
        <f t="array" ref="F2892">IF(C2892="","",IFERROR(INDEX(STPP!$F$6:$F$4207,MATCH(C2892,STPP!$C$6:$C$4207,0)),"Not Found"))</f>
        <v/>
      </c>
      <c r="G2892" s="25" t="str">
        <f>IF(表1[[#This Row],[No Seri]]="","",表1[[#This Row],[Deskripsi Barang]]+表1[[#This Row],[Kuantitas]]-表1[[#This Row],[Satuan]])</f>
        <v/>
      </c>
      <c r="H2892" s="28"/>
      <c r="I2892" s="25" t="str">
        <f>IF(表1[[#This Row],[Tgl NPBG]]&gt;表1[[#This Row],[Peminta]],表1[[#This Row],[Tgl NPBG]]-表1[[#This Row],[Peminta]],"")</f>
        <v/>
      </c>
      <c r="J2892" s="31"/>
    </row>
    <row r="2893" s="12" customFormat="1" customHeight="1" spans="2:10">
      <c r="B2893" s="25"/>
      <c r="C2893" s="25"/>
      <c r="D2893" s="26" t="str" cm="1">
        <f t="array" ref="D2893">IF(C2893="","",IFERROR(INDEX(STPP!$D$6:$D$4207,MATCH(C2893,STPP!$C$6:$C$4207,0)),"Not Found"))</f>
        <v/>
      </c>
      <c r="E2893" s="27" t="str" cm="1">
        <f t="array" ref="E2893">IF(C2893="","",IFERROR(INDEX(STPP!$E$6:$E$4207,MATCH(C2893,STPP!$C$6:$C$4207,0)),"Not Found"))</f>
        <v/>
      </c>
      <c r="F2893" s="27" t="str" cm="1">
        <f t="array" ref="F2893">IF(C2893="","",IFERROR(INDEX(STPP!$F$6:$F$4207,MATCH(C2893,STPP!$C$6:$C$4207,0)),"Not Found"))</f>
        <v/>
      </c>
      <c r="G2893" s="25" t="str">
        <f>IF(表1[[#This Row],[No Seri]]="","",表1[[#This Row],[Deskripsi Barang]]+表1[[#This Row],[Kuantitas]]-表1[[#This Row],[Satuan]])</f>
        <v/>
      </c>
      <c r="H2893" s="28"/>
      <c r="I2893" s="25" t="str">
        <f>IF(表1[[#This Row],[Tgl NPBG]]&gt;表1[[#This Row],[Peminta]],表1[[#This Row],[Tgl NPBG]]-表1[[#This Row],[Peminta]],"")</f>
        <v/>
      </c>
      <c r="J2893" s="31"/>
    </row>
    <row r="2894" s="12" customFormat="1" customHeight="1" spans="2:10">
      <c r="B2894" s="25"/>
      <c r="C2894" s="25"/>
      <c r="D2894" s="26" t="str" cm="1">
        <f t="array" ref="D2894">IF(C2894="","",IFERROR(INDEX(STPP!$D$6:$D$4207,MATCH(C2894,STPP!$C$6:$C$4207,0)),"Not Found"))</f>
        <v/>
      </c>
      <c r="E2894" s="27" t="str" cm="1">
        <f t="array" ref="E2894">IF(C2894="","",IFERROR(INDEX(STPP!$E$6:$E$4207,MATCH(C2894,STPP!$C$6:$C$4207,0)),"Not Found"))</f>
        <v/>
      </c>
      <c r="F2894" s="27" t="str" cm="1">
        <f t="array" ref="F2894">IF(C2894="","",IFERROR(INDEX(STPP!$F$6:$F$4207,MATCH(C2894,STPP!$C$6:$C$4207,0)),"Not Found"))</f>
        <v/>
      </c>
      <c r="G2894" s="25" t="str">
        <f>IF(表1[[#This Row],[No Seri]]="","",表1[[#This Row],[Deskripsi Barang]]+表1[[#This Row],[Kuantitas]]-表1[[#This Row],[Satuan]])</f>
        <v/>
      </c>
      <c r="H2894" s="28"/>
      <c r="I2894" s="25" t="str">
        <f>IF(表1[[#This Row],[Tgl NPBG]]&gt;表1[[#This Row],[Peminta]],表1[[#This Row],[Tgl NPBG]]-表1[[#This Row],[Peminta]],"")</f>
        <v/>
      </c>
      <c r="J2894" s="31"/>
    </row>
    <row r="2895" s="12" customFormat="1" customHeight="1" spans="2:10">
      <c r="B2895" s="25"/>
      <c r="C2895" s="25"/>
      <c r="D2895" s="26" t="str" cm="1">
        <f t="array" ref="D2895">IF(C2895="","",IFERROR(INDEX(STPP!$D$6:$D$4207,MATCH(C2895,STPP!$C$6:$C$4207,0)),"Not Found"))</f>
        <v/>
      </c>
      <c r="E2895" s="27" t="str" cm="1">
        <f t="array" ref="E2895">IF(C2895="","",IFERROR(INDEX(STPP!$E$6:$E$4207,MATCH(C2895,STPP!$C$6:$C$4207,0)),"Not Found"))</f>
        <v/>
      </c>
      <c r="F2895" s="27" t="str" cm="1">
        <f t="array" ref="F2895">IF(C2895="","",IFERROR(INDEX(STPP!$F$6:$F$4207,MATCH(C2895,STPP!$C$6:$C$4207,0)),"Not Found"))</f>
        <v/>
      </c>
      <c r="G2895" s="25" t="str">
        <f>IF(表1[[#This Row],[No Seri]]="","",表1[[#This Row],[Deskripsi Barang]]+表1[[#This Row],[Kuantitas]]-表1[[#This Row],[Satuan]])</f>
        <v/>
      </c>
      <c r="H2895" s="28"/>
      <c r="I2895" s="25" t="str">
        <f>IF(表1[[#This Row],[Tgl NPBG]]&gt;表1[[#This Row],[Peminta]],表1[[#This Row],[Tgl NPBG]]-表1[[#This Row],[Peminta]],"")</f>
        <v/>
      </c>
      <c r="J2895" s="31"/>
    </row>
    <row r="2896" s="12" customFormat="1" customHeight="1" spans="2:10">
      <c r="B2896" s="25"/>
      <c r="C2896" s="25"/>
      <c r="D2896" s="26" t="str" cm="1">
        <f t="array" ref="D2896">IF(C2896="","",IFERROR(INDEX(STPP!$D$6:$D$4207,MATCH(C2896,STPP!$C$6:$C$4207,0)),"Not Found"))</f>
        <v/>
      </c>
      <c r="E2896" s="27" t="str" cm="1">
        <f t="array" ref="E2896">IF(C2896="","",IFERROR(INDEX(STPP!$E$6:$E$4207,MATCH(C2896,STPP!$C$6:$C$4207,0)),"Not Found"))</f>
        <v/>
      </c>
      <c r="F2896" s="27" t="str" cm="1">
        <f t="array" ref="F2896">IF(C2896="","",IFERROR(INDEX(STPP!$F$6:$F$4207,MATCH(C2896,STPP!$C$6:$C$4207,0)),"Not Found"))</f>
        <v/>
      </c>
      <c r="G2896" s="25" t="str">
        <f>IF(表1[[#This Row],[No Seri]]="","",表1[[#This Row],[Deskripsi Barang]]+表1[[#This Row],[Kuantitas]]-表1[[#This Row],[Satuan]])</f>
        <v/>
      </c>
      <c r="H2896" s="28"/>
      <c r="I2896" s="25" t="str">
        <f>IF(表1[[#This Row],[Tgl NPBG]]&gt;表1[[#This Row],[Peminta]],表1[[#This Row],[Tgl NPBG]]-表1[[#This Row],[Peminta]],"")</f>
        <v/>
      </c>
      <c r="J2896" s="31"/>
    </row>
    <row r="2897" s="12" customFormat="1" customHeight="1" spans="2:10">
      <c r="B2897" s="25"/>
      <c r="C2897" s="25"/>
      <c r="D2897" s="26" t="str" cm="1">
        <f t="array" ref="D2897">IF(C2897="","",IFERROR(INDEX(STPP!$D$6:$D$4207,MATCH(C2897,STPP!$C$6:$C$4207,0)),"Not Found"))</f>
        <v/>
      </c>
      <c r="E2897" s="27" t="str" cm="1">
        <f t="array" ref="E2897">IF(C2897="","",IFERROR(INDEX(STPP!$E$6:$E$4207,MATCH(C2897,STPP!$C$6:$C$4207,0)),"Not Found"))</f>
        <v/>
      </c>
      <c r="F2897" s="27" t="str" cm="1">
        <f t="array" ref="F2897">IF(C2897="","",IFERROR(INDEX(STPP!$F$6:$F$4207,MATCH(C2897,STPP!$C$6:$C$4207,0)),"Not Found"))</f>
        <v/>
      </c>
      <c r="G2897" s="25" t="str">
        <f>IF(表1[[#This Row],[No Seri]]="","",表1[[#This Row],[Deskripsi Barang]]+表1[[#This Row],[Kuantitas]]-表1[[#This Row],[Satuan]])</f>
        <v/>
      </c>
      <c r="H2897" s="28"/>
      <c r="I2897" s="25" t="str">
        <f>IF(表1[[#This Row],[Tgl NPBG]]&gt;表1[[#This Row],[Peminta]],表1[[#This Row],[Tgl NPBG]]-表1[[#This Row],[Peminta]],"")</f>
        <v/>
      </c>
      <c r="J2897" s="31"/>
    </row>
    <row r="2898" s="12" customFormat="1" customHeight="1" spans="2:10">
      <c r="B2898" s="25"/>
      <c r="C2898" s="25"/>
      <c r="D2898" s="26" t="str" cm="1">
        <f t="array" ref="D2898">IF(C2898="","",IFERROR(INDEX(STPP!$D$6:$D$4207,MATCH(C2898,STPP!$C$6:$C$4207,0)),"Not Found"))</f>
        <v/>
      </c>
      <c r="E2898" s="27" t="str" cm="1">
        <f t="array" ref="E2898">IF(C2898="","",IFERROR(INDEX(STPP!$E$6:$E$4207,MATCH(C2898,STPP!$C$6:$C$4207,0)),"Not Found"))</f>
        <v/>
      </c>
      <c r="F2898" s="27" t="str" cm="1">
        <f t="array" ref="F2898">IF(C2898="","",IFERROR(INDEX(STPP!$F$6:$F$4207,MATCH(C2898,STPP!$C$6:$C$4207,0)),"Not Found"))</f>
        <v/>
      </c>
      <c r="G2898" s="25" t="str">
        <f>IF(表1[[#This Row],[No Seri]]="","",表1[[#This Row],[Deskripsi Barang]]+表1[[#This Row],[Kuantitas]]-表1[[#This Row],[Satuan]])</f>
        <v/>
      </c>
      <c r="H2898" s="28"/>
      <c r="I2898" s="25" t="str">
        <f>IF(表1[[#This Row],[Tgl NPBG]]&gt;表1[[#This Row],[Peminta]],表1[[#This Row],[Tgl NPBG]]-表1[[#This Row],[Peminta]],"")</f>
        <v/>
      </c>
      <c r="J2898" s="31"/>
    </row>
    <row r="2899" s="12" customFormat="1" customHeight="1" spans="2:10">
      <c r="B2899" s="25"/>
      <c r="C2899" s="25"/>
      <c r="D2899" s="26" t="str" cm="1">
        <f t="array" ref="D2899">IF(C2899="","",IFERROR(INDEX(STPP!$D$6:$D$4207,MATCH(C2899,STPP!$C$6:$C$4207,0)),"Not Found"))</f>
        <v/>
      </c>
      <c r="E2899" s="27" t="str" cm="1">
        <f t="array" ref="E2899">IF(C2899="","",IFERROR(INDEX(STPP!$E$6:$E$4207,MATCH(C2899,STPP!$C$6:$C$4207,0)),"Not Found"))</f>
        <v/>
      </c>
      <c r="F2899" s="27" t="str" cm="1">
        <f t="array" ref="F2899">IF(C2899="","",IFERROR(INDEX(STPP!$F$6:$F$4207,MATCH(C2899,STPP!$C$6:$C$4207,0)),"Not Found"))</f>
        <v/>
      </c>
      <c r="G2899" s="25" t="str">
        <f>IF(表1[[#This Row],[No Seri]]="","",表1[[#This Row],[Deskripsi Barang]]+表1[[#This Row],[Kuantitas]]-表1[[#This Row],[Satuan]])</f>
        <v/>
      </c>
      <c r="H2899" s="28"/>
      <c r="I2899" s="25" t="str">
        <f>IF(表1[[#This Row],[Tgl NPBG]]&gt;表1[[#This Row],[Peminta]],表1[[#This Row],[Tgl NPBG]]-表1[[#This Row],[Peminta]],"")</f>
        <v/>
      </c>
      <c r="J2899" s="31"/>
    </row>
    <row r="2900" s="12" customFormat="1" customHeight="1" spans="2:10">
      <c r="B2900" s="25"/>
      <c r="C2900" s="25"/>
      <c r="D2900" s="26" t="str" cm="1">
        <f t="array" ref="D2900">IF(C2900="","",IFERROR(INDEX(STPP!$D$6:$D$4207,MATCH(C2900,STPP!$C$6:$C$4207,0)),"Not Found"))</f>
        <v/>
      </c>
      <c r="E2900" s="27" t="str" cm="1">
        <f t="array" ref="E2900">IF(C2900="","",IFERROR(INDEX(STPP!$E$6:$E$4207,MATCH(C2900,STPP!$C$6:$C$4207,0)),"Not Found"))</f>
        <v/>
      </c>
      <c r="F2900" s="27" t="str" cm="1">
        <f t="array" ref="F2900">IF(C2900="","",IFERROR(INDEX(STPP!$F$6:$F$4207,MATCH(C2900,STPP!$C$6:$C$4207,0)),"Not Found"))</f>
        <v/>
      </c>
      <c r="G2900" s="25" t="str">
        <f>IF(表1[[#This Row],[No Seri]]="","",表1[[#This Row],[Deskripsi Barang]]+表1[[#This Row],[Kuantitas]]-表1[[#This Row],[Satuan]])</f>
        <v/>
      </c>
      <c r="H2900" s="28"/>
      <c r="I2900" s="25" t="str">
        <f>IF(表1[[#This Row],[Tgl NPBG]]&gt;表1[[#This Row],[Peminta]],表1[[#This Row],[Tgl NPBG]]-表1[[#This Row],[Peminta]],"")</f>
        <v/>
      </c>
      <c r="J2900" s="31"/>
    </row>
    <row r="2901" s="12" customFormat="1" customHeight="1" spans="2:10">
      <c r="B2901" s="25"/>
      <c r="C2901" s="25"/>
      <c r="D2901" s="26" t="str" cm="1">
        <f t="array" ref="D2901">IF(C2901="","",IFERROR(INDEX(STPP!$D$6:$D$4207,MATCH(C2901,STPP!$C$6:$C$4207,0)),"Not Found"))</f>
        <v/>
      </c>
      <c r="E2901" s="27" t="str" cm="1">
        <f t="array" ref="E2901">IF(C2901="","",IFERROR(INDEX(STPP!$E$6:$E$4207,MATCH(C2901,STPP!$C$6:$C$4207,0)),"Not Found"))</f>
        <v/>
      </c>
      <c r="F2901" s="27" t="str" cm="1">
        <f t="array" ref="F2901">IF(C2901="","",IFERROR(INDEX(STPP!$F$6:$F$4207,MATCH(C2901,STPP!$C$6:$C$4207,0)),"Not Found"))</f>
        <v/>
      </c>
      <c r="G2901" s="25" t="str">
        <f>IF(表1[[#This Row],[No Seri]]="","",表1[[#This Row],[Deskripsi Barang]]+表1[[#This Row],[Kuantitas]]-表1[[#This Row],[Satuan]])</f>
        <v/>
      </c>
      <c r="H2901" s="28"/>
      <c r="I2901" s="25" t="str">
        <f>IF(表1[[#This Row],[Tgl NPBG]]&gt;表1[[#This Row],[Peminta]],表1[[#This Row],[Tgl NPBG]]-表1[[#This Row],[Peminta]],"")</f>
        <v/>
      </c>
      <c r="J2901" s="31"/>
    </row>
    <row r="2902" s="12" customFormat="1" customHeight="1" spans="2:10">
      <c r="B2902" s="25"/>
      <c r="C2902" s="25"/>
      <c r="D2902" s="26" t="str" cm="1">
        <f t="array" ref="D2902">IF(C2902="","",IFERROR(INDEX(STPP!$D$6:$D$4207,MATCH(C2902,STPP!$C$6:$C$4207,0)),"Not Found"))</f>
        <v/>
      </c>
      <c r="E2902" s="27" t="str" cm="1">
        <f t="array" ref="E2902">IF(C2902="","",IFERROR(INDEX(STPP!$E$6:$E$4207,MATCH(C2902,STPP!$C$6:$C$4207,0)),"Not Found"))</f>
        <v/>
      </c>
      <c r="F2902" s="27" t="str" cm="1">
        <f t="array" ref="F2902">IF(C2902="","",IFERROR(INDEX(STPP!$F$6:$F$4207,MATCH(C2902,STPP!$C$6:$C$4207,0)),"Not Found"))</f>
        <v/>
      </c>
      <c r="G2902" s="25" t="str">
        <f>IF(表1[[#This Row],[No Seri]]="","",表1[[#This Row],[Deskripsi Barang]]+表1[[#This Row],[Kuantitas]]-表1[[#This Row],[Satuan]])</f>
        <v/>
      </c>
      <c r="H2902" s="28"/>
      <c r="I2902" s="25" t="str">
        <f>IF(表1[[#This Row],[Tgl NPBG]]&gt;表1[[#This Row],[Peminta]],表1[[#This Row],[Tgl NPBG]]-表1[[#This Row],[Peminta]],"")</f>
        <v/>
      </c>
      <c r="J2902" s="31"/>
    </row>
    <row r="2903" s="12" customFormat="1" customHeight="1" spans="2:10">
      <c r="B2903" s="25"/>
      <c r="C2903" s="25"/>
      <c r="D2903" s="26" t="str" cm="1">
        <f t="array" ref="D2903">IF(C2903="","",IFERROR(INDEX(STPP!$D$6:$D$4207,MATCH(C2903,STPP!$C$6:$C$4207,0)),"Not Found"))</f>
        <v/>
      </c>
      <c r="E2903" s="27" t="str" cm="1">
        <f t="array" ref="E2903">IF(C2903="","",IFERROR(INDEX(STPP!$E$6:$E$4207,MATCH(C2903,STPP!$C$6:$C$4207,0)),"Not Found"))</f>
        <v/>
      </c>
      <c r="F2903" s="27" t="str" cm="1">
        <f t="array" ref="F2903">IF(C2903="","",IFERROR(INDEX(STPP!$F$6:$F$4207,MATCH(C2903,STPP!$C$6:$C$4207,0)),"Not Found"))</f>
        <v/>
      </c>
      <c r="G2903" s="25" t="str">
        <f>IF(表1[[#This Row],[No Seri]]="","",表1[[#This Row],[Deskripsi Barang]]+表1[[#This Row],[Kuantitas]]-表1[[#This Row],[Satuan]])</f>
        <v/>
      </c>
      <c r="H2903" s="28"/>
      <c r="I2903" s="25" t="str">
        <f>IF(表1[[#This Row],[Tgl NPBG]]&gt;表1[[#This Row],[Peminta]],表1[[#This Row],[Tgl NPBG]]-表1[[#This Row],[Peminta]],"")</f>
        <v/>
      </c>
      <c r="J2903" s="31"/>
    </row>
    <row r="2904" s="12" customFormat="1" customHeight="1" spans="2:10">
      <c r="B2904" s="25"/>
      <c r="C2904" s="25"/>
      <c r="D2904" s="26" t="str" cm="1">
        <f t="array" ref="D2904">IF(C2904="","",IFERROR(INDEX(STPP!$D$6:$D$4207,MATCH(C2904,STPP!$C$6:$C$4207,0)),"Not Found"))</f>
        <v/>
      </c>
      <c r="E2904" s="27" t="str" cm="1">
        <f t="array" ref="E2904">IF(C2904="","",IFERROR(INDEX(STPP!$E$6:$E$4207,MATCH(C2904,STPP!$C$6:$C$4207,0)),"Not Found"))</f>
        <v/>
      </c>
      <c r="F2904" s="27" t="str" cm="1">
        <f t="array" ref="F2904">IF(C2904="","",IFERROR(INDEX(STPP!$F$6:$F$4207,MATCH(C2904,STPP!$C$6:$C$4207,0)),"Not Found"))</f>
        <v/>
      </c>
      <c r="G2904" s="25" t="str">
        <f>IF(表1[[#This Row],[No Seri]]="","",表1[[#This Row],[Deskripsi Barang]]+表1[[#This Row],[Kuantitas]]-表1[[#This Row],[Satuan]])</f>
        <v/>
      </c>
      <c r="H2904" s="28"/>
      <c r="I2904" s="25" t="str">
        <f>IF(表1[[#This Row],[Tgl NPBG]]&gt;表1[[#This Row],[Peminta]],表1[[#This Row],[Tgl NPBG]]-表1[[#This Row],[Peminta]],"")</f>
        <v/>
      </c>
      <c r="J2904" s="31"/>
    </row>
    <row r="2905" s="12" customFormat="1" customHeight="1" spans="2:10">
      <c r="B2905" s="25"/>
      <c r="C2905" s="25"/>
      <c r="D2905" s="26" t="str" cm="1">
        <f t="array" ref="D2905">IF(C2905="","",IFERROR(INDEX(STPP!$D$6:$D$4207,MATCH(C2905,STPP!$C$6:$C$4207,0)),"Not Found"))</f>
        <v/>
      </c>
      <c r="E2905" s="27" t="str" cm="1">
        <f t="array" ref="E2905">IF(C2905="","",IFERROR(INDEX(STPP!$E$6:$E$4207,MATCH(C2905,STPP!$C$6:$C$4207,0)),"Not Found"))</f>
        <v/>
      </c>
      <c r="F2905" s="27" t="str" cm="1">
        <f t="array" ref="F2905">IF(C2905="","",IFERROR(INDEX(STPP!$F$6:$F$4207,MATCH(C2905,STPP!$C$6:$C$4207,0)),"Not Found"))</f>
        <v/>
      </c>
      <c r="G2905" s="25" t="str">
        <f>IF(表1[[#This Row],[No Seri]]="","",表1[[#This Row],[Deskripsi Barang]]+表1[[#This Row],[Kuantitas]]-表1[[#This Row],[Satuan]])</f>
        <v/>
      </c>
      <c r="H2905" s="28"/>
      <c r="I2905" s="25" t="str">
        <f>IF(表1[[#This Row],[Tgl NPBG]]&gt;表1[[#This Row],[Peminta]],表1[[#This Row],[Tgl NPBG]]-表1[[#This Row],[Peminta]],"")</f>
        <v/>
      </c>
      <c r="J2905" s="31"/>
    </row>
    <row r="2906" s="12" customFormat="1" customHeight="1" spans="2:10">
      <c r="B2906" s="25"/>
      <c r="C2906" s="25"/>
      <c r="D2906" s="26" t="str" cm="1">
        <f t="array" ref="D2906">IF(C2906="","",IFERROR(INDEX(STPP!$D$6:$D$4207,MATCH(C2906,STPP!$C$6:$C$4207,0)),"Not Found"))</f>
        <v/>
      </c>
      <c r="E2906" s="27" t="str" cm="1">
        <f t="array" ref="E2906">IF(C2906="","",IFERROR(INDEX(STPP!$E$6:$E$4207,MATCH(C2906,STPP!$C$6:$C$4207,0)),"Not Found"))</f>
        <v/>
      </c>
      <c r="F2906" s="27" t="str" cm="1">
        <f t="array" ref="F2906">IF(C2906="","",IFERROR(INDEX(STPP!$F$6:$F$4207,MATCH(C2906,STPP!$C$6:$C$4207,0)),"Not Found"))</f>
        <v/>
      </c>
      <c r="G2906" s="25" t="str">
        <f>IF(表1[[#This Row],[No Seri]]="","",表1[[#This Row],[Deskripsi Barang]]+表1[[#This Row],[Kuantitas]]-表1[[#This Row],[Satuan]])</f>
        <v/>
      </c>
      <c r="H2906" s="28"/>
      <c r="I2906" s="25" t="str">
        <f>IF(表1[[#This Row],[Tgl NPBG]]&gt;表1[[#This Row],[Peminta]],表1[[#This Row],[Tgl NPBG]]-表1[[#This Row],[Peminta]],"")</f>
        <v/>
      </c>
      <c r="J2906" s="31"/>
    </row>
    <row r="2907" s="12" customFormat="1" customHeight="1" spans="2:10">
      <c r="B2907" s="25"/>
      <c r="C2907" s="25"/>
      <c r="D2907" s="26" t="str" cm="1">
        <f t="array" ref="D2907">IF(C2907="","",IFERROR(INDEX(STPP!$D$6:$D$4207,MATCH(C2907,STPP!$C$6:$C$4207,0)),"Not Found"))</f>
        <v/>
      </c>
      <c r="E2907" s="27" t="str" cm="1">
        <f t="array" ref="E2907">IF(C2907="","",IFERROR(INDEX(STPP!$E$6:$E$4207,MATCH(C2907,STPP!$C$6:$C$4207,0)),"Not Found"))</f>
        <v/>
      </c>
      <c r="F2907" s="27" t="str" cm="1">
        <f t="array" ref="F2907">IF(C2907="","",IFERROR(INDEX(STPP!$F$6:$F$4207,MATCH(C2907,STPP!$C$6:$C$4207,0)),"Not Found"))</f>
        <v/>
      </c>
      <c r="G2907" s="25" t="str">
        <f>IF(表1[[#This Row],[No Seri]]="","",表1[[#This Row],[Deskripsi Barang]]+表1[[#This Row],[Kuantitas]]-表1[[#This Row],[Satuan]])</f>
        <v/>
      </c>
      <c r="H2907" s="28"/>
      <c r="I2907" s="25" t="str">
        <f>IF(表1[[#This Row],[Tgl NPBG]]&gt;表1[[#This Row],[Peminta]],表1[[#This Row],[Tgl NPBG]]-表1[[#This Row],[Peminta]],"")</f>
        <v/>
      </c>
      <c r="J2907" s="31"/>
    </row>
    <row r="2908" s="12" customFormat="1" customHeight="1" spans="2:10">
      <c r="B2908" s="25"/>
      <c r="C2908" s="25"/>
      <c r="D2908" s="26" t="str" cm="1">
        <f t="array" ref="D2908">IF(C2908="","",IFERROR(INDEX(STPP!$D$6:$D$4207,MATCH(C2908,STPP!$C$6:$C$4207,0)),"Not Found"))</f>
        <v/>
      </c>
      <c r="E2908" s="27" t="str" cm="1">
        <f t="array" ref="E2908">IF(C2908="","",IFERROR(INDEX(STPP!$E$6:$E$4207,MATCH(C2908,STPP!$C$6:$C$4207,0)),"Not Found"))</f>
        <v/>
      </c>
      <c r="F2908" s="27" t="str" cm="1">
        <f t="array" ref="F2908">IF(C2908="","",IFERROR(INDEX(STPP!$F$6:$F$4207,MATCH(C2908,STPP!$C$6:$C$4207,0)),"Not Found"))</f>
        <v/>
      </c>
      <c r="G2908" s="25" t="str">
        <f>IF(表1[[#This Row],[No Seri]]="","",表1[[#This Row],[Deskripsi Barang]]+表1[[#This Row],[Kuantitas]]-表1[[#This Row],[Satuan]])</f>
        <v/>
      </c>
      <c r="H2908" s="28"/>
      <c r="I2908" s="25" t="str">
        <f>IF(表1[[#This Row],[Tgl NPBG]]&gt;表1[[#This Row],[Peminta]],表1[[#This Row],[Tgl NPBG]]-表1[[#This Row],[Peminta]],"")</f>
        <v/>
      </c>
      <c r="J2908" s="31"/>
    </row>
    <row r="2909" s="12" customFormat="1" customHeight="1" spans="2:10">
      <c r="B2909" s="25"/>
      <c r="C2909" s="25"/>
      <c r="D2909" s="26" t="str" cm="1">
        <f t="array" ref="D2909">IF(C2909="","",IFERROR(INDEX(STPP!$D$6:$D$4207,MATCH(C2909,STPP!$C$6:$C$4207,0)),"Not Found"))</f>
        <v/>
      </c>
      <c r="E2909" s="27" t="str" cm="1">
        <f t="array" ref="E2909">IF(C2909="","",IFERROR(INDEX(STPP!$E$6:$E$4207,MATCH(C2909,STPP!$C$6:$C$4207,0)),"Not Found"))</f>
        <v/>
      </c>
      <c r="F2909" s="27" t="str" cm="1">
        <f t="array" ref="F2909">IF(C2909="","",IFERROR(INDEX(STPP!$F$6:$F$4207,MATCH(C2909,STPP!$C$6:$C$4207,0)),"Not Found"))</f>
        <v/>
      </c>
      <c r="G2909" s="25" t="str">
        <f>IF(表1[[#This Row],[No Seri]]="","",表1[[#This Row],[Deskripsi Barang]]+表1[[#This Row],[Kuantitas]]-表1[[#This Row],[Satuan]])</f>
        <v/>
      </c>
      <c r="H2909" s="28"/>
      <c r="I2909" s="25" t="str">
        <f>IF(表1[[#This Row],[Tgl NPBG]]&gt;表1[[#This Row],[Peminta]],表1[[#This Row],[Tgl NPBG]]-表1[[#This Row],[Peminta]],"")</f>
        <v/>
      </c>
      <c r="J2909" s="31"/>
    </row>
    <row r="2910" s="12" customFormat="1" customHeight="1" spans="2:10">
      <c r="B2910" s="25"/>
      <c r="C2910" s="25"/>
      <c r="D2910" s="26" t="str" cm="1">
        <f t="array" ref="D2910">IF(C2910="","",IFERROR(INDEX(STPP!$D$6:$D$4207,MATCH(C2910,STPP!$C$6:$C$4207,0)),"Not Found"))</f>
        <v/>
      </c>
      <c r="E2910" s="27" t="str" cm="1">
        <f t="array" ref="E2910">IF(C2910="","",IFERROR(INDEX(STPP!$E$6:$E$4207,MATCH(C2910,STPP!$C$6:$C$4207,0)),"Not Found"))</f>
        <v/>
      </c>
      <c r="F2910" s="27" t="str" cm="1">
        <f t="array" ref="F2910">IF(C2910="","",IFERROR(INDEX(STPP!$F$6:$F$4207,MATCH(C2910,STPP!$C$6:$C$4207,0)),"Not Found"))</f>
        <v/>
      </c>
      <c r="G2910" s="25" t="str">
        <f>IF(表1[[#This Row],[No Seri]]="","",表1[[#This Row],[Deskripsi Barang]]+表1[[#This Row],[Kuantitas]]-表1[[#This Row],[Satuan]])</f>
        <v/>
      </c>
      <c r="H2910" s="28"/>
      <c r="I2910" s="25" t="str">
        <f>IF(表1[[#This Row],[Tgl NPBG]]&gt;表1[[#This Row],[Peminta]],表1[[#This Row],[Tgl NPBG]]-表1[[#This Row],[Peminta]],"")</f>
        <v/>
      </c>
      <c r="J2910" s="31"/>
    </row>
    <row r="2911" s="12" customFormat="1" customHeight="1" spans="2:10">
      <c r="B2911" s="25"/>
      <c r="C2911" s="25"/>
      <c r="D2911" s="26" t="str" cm="1">
        <f t="array" ref="D2911">IF(C2911="","",IFERROR(INDEX(STPP!$D$6:$D$4207,MATCH(C2911,STPP!$C$6:$C$4207,0)),"Not Found"))</f>
        <v/>
      </c>
      <c r="E2911" s="27" t="str" cm="1">
        <f t="array" ref="E2911">IF(C2911="","",IFERROR(INDEX(STPP!$E$6:$E$4207,MATCH(C2911,STPP!$C$6:$C$4207,0)),"Not Found"))</f>
        <v/>
      </c>
      <c r="F2911" s="27" t="str" cm="1">
        <f t="array" ref="F2911">IF(C2911="","",IFERROR(INDEX(STPP!$F$6:$F$4207,MATCH(C2911,STPP!$C$6:$C$4207,0)),"Not Found"))</f>
        <v/>
      </c>
      <c r="G2911" s="25" t="str">
        <f>IF(表1[[#This Row],[No Seri]]="","",表1[[#This Row],[Deskripsi Barang]]+表1[[#This Row],[Kuantitas]]-表1[[#This Row],[Satuan]])</f>
        <v/>
      </c>
      <c r="H2911" s="28"/>
      <c r="I2911" s="25" t="str">
        <f>IF(表1[[#This Row],[Tgl NPBG]]&gt;表1[[#This Row],[Peminta]],表1[[#This Row],[Tgl NPBG]]-表1[[#This Row],[Peminta]],"")</f>
        <v/>
      </c>
      <c r="J2911" s="31"/>
    </row>
    <row r="2912" s="12" customFormat="1" customHeight="1" spans="2:10">
      <c r="B2912" s="25"/>
      <c r="C2912" s="25"/>
      <c r="D2912" s="26" t="str" cm="1">
        <f t="array" ref="D2912">IF(C2912="","",IFERROR(INDEX(STPP!$D$6:$D$4207,MATCH(C2912,STPP!$C$6:$C$4207,0)),"Not Found"))</f>
        <v/>
      </c>
      <c r="E2912" s="27" t="str" cm="1">
        <f t="array" ref="E2912">IF(C2912="","",IFERROR(INDEX(STPP!$E$6:$E$4207,MATCH(C2912,STPP!$C$6:$C$4207,0)),"Not Found"))</f>
        <v/>
      </c>
      <c r="F2912" s="27" t="str" cm="1">
        <f t="array" ref="F2912">IF(C2912="","",IFERROR(INDEX(STPP!$F$6:$F$4207,MATCH(C2912,STPP!$C$6:$C$4207,0)),"Not Found"))</f>
        <v/>
      </c>
      <c r="G2912" s="25" t="str">
        <f>IF(表1[[#This Row],[No Seri]]="","",表1[[#This Row],[Deskripsi Barang]]+表1[[#This Row],[Kuantitas]]-表1[[#This Row],[Satuan]])</f>
        <v/>
      </c>
      <c r="H2912" s="28"/>
      <c r="I2912" s="25" t="str">
        <f>IF(表1[[#This Row],[Tgl NPBG]]&gt;表1[[#This Row],[Peminta]],表1[[#This Row],[Tgl NPBG]]-表1[[#This Row],[Peminta]],"")</f>
        <v/>
      </c>
      <c r="J2912" s="31"/>
    </row>
    <row r="2913" s="12" customFormat="1" customHeight="1" spans="2:10">
      <c r="B2913" s="25"/>
      <c r="C2913" s="25"/>
      <c r="D2913" s="26" t="str" cm="1">
        <f t="array" ref="D2913">IF(C2913="","",IFERROR(INDEX(STPP!$D$6:$D$4207,MATCH(C2913,STPP!$C$6:$C$4207,0)),"Not Found"))</f>
        <v/>
      </c>
      <c r="E2913" s="27" t="str" cm="1">
        <f t="array" ref="E2913">IF(C2913="","",IFERROR(INDEX(STPP!$E$6:$E$4207,MATCH(C2913,STPP!$C$6:$C$4207,0)),"Not Found"))</f>
        <v/>
      </c>
      <c r="F2913" s="27" t="str" cm="1">
        <f t="array" ref="F2913">IF(C2913="","",IFERROR(INDEX(STPP!$F$6:$F$4207,MATCH(C2913,STPP!$C$6:$C$4207,0)),"Not Found"))</f>
        <v/>
      </c>
      <c r="G2913" s="25" t="str">
        <f>IF(表1[[#This Row],[No Seri]]="","",表1[[#This Row],[Deskripsi Barang]]+表1[[#This Row],[Kuantitas]]-表1[[#This Row],[Satuan]])</f>
        <v/>
      </c>
      <c r="H2913" s="28"/>
      <c r="I2913" s="25" t="str">
        <f>IF(表1[[#This Row],[Tgl NPBG]]&gt;表1[[#This Row],[Peminta]],表1[[#This Row],[Tgl NPBG]]-表1[[#This Row],[Peminta]],"")</f>
        <v/>
      </c>
      <c r="J2913" s="31"/>
    </row>
    <row r="2914" s="12" customFormat="1" customHeight="1" spans="2:10">
      <c r="B2914" s="25"/>
      <c r="C2914" s="25"/>
      <c r="D2914" s="26" t="str" cm="1">
        <f t="array" ref="D2914">IF(C2914="","",IFERROR(INDEX(STPP!$D$6:$D$4207,MATCH(C2914,STPP!$C$6:$C$4207,0)),"Not Found"))</f>
        <v/>
      </c>
      <c r="E2914" s="27" t="str" cm="1">
        <f t="array" ref="E2914">IF(C2914="","",IFERROR(INDEX(STPP!$E$6:$E$4207,MATCH(C2914,STPP!$C$6:$C$4207,0)),"Not Found"))</f>
        <v/>
      </c>
      <c r="F2914" s="27" t="str" cm="1">
        <f t="array" ref="F2914">IF(C2914="","",IFERROR(INDEX(STPP!$F$6:$F$4207,MATCH(C2914,STPP!$C$6:$C$4207,0)),"Not Found"))</f>
        <v/>
      </c>
      <c r="G2914" s="25" t="str">
        <f>IF(表1[[#This Row],[No Seri]]="","",表1[[#This Row],[Deskripsi Barang]]+表1[[#This Row],[Kuantitas]]-表1[[#This Row],[Satuan]])</f>
        <v/>
      </c>
      <c r="H2914" s="28"/>
      <c r="I2914" s="25" t="str">
        <f>IF(表1[[#This Row],[Tgl NPBG]]&gt;表1[[#This Row],[Peminta]],表1[[#This Row],[Tgl NPBG]]-表1[[#This Row],[Peminta]],"")</f>
        <v/>
      </c>
      <c r="J2914" s="31"/>
    </row>
    <row r="2915" s="12" customFormat="1" customHeight="1" spans="2:10">
      <c r="B2915" s="25"/>
      <c r="C2915" s="25"/>
      <c r="D2915" s="26" t="str" cm="1">
        <f t="array" ref="D2915">IF(C2915="","",IFERROR(INDEX(STPP!$D$6:$D$4207,MATCH(C2915,STPP!$C$6:$C$4207,0)),"Not Found"))</f>
        <v/>
      </c>
      <c r="E2915" s="27" t="str" cm="1">
        <f t="array" ref="E2915">IF(C2915="","",IFERROR(INDEX(STPP!$E$6:$E$4207,MATCH(C2915,STPP!$C$6:$C$4207,0)),"Not Found"))</f>
        <v/>
      </c>
      <c r="F2915" s="27" t="str" cm="1">
        <f t="array" ref="F2915">IF(C2915="","",IFERROR(INDEX(STPP!$F$6:$F$4207,MATCH(C2915,STPP!$C$6:$C$4207,0)),"Not Found"))</f>
        <v/>
      </c>
      <c r="G2915" s="25" t="str">
        <f>IF(表1[[#This Row],[No Seri]]="","",表1[[#This Row],[Deskripsi Barang]]+表1[[#This Row],[Kuantitas]]-表1[[#This Row],[Satuan]])</f>
        <v/>
      </c>
      <c r="H2915" s="28"/>
      <c r="I2915" s="25" t="str">
        <f>IF(表1[[#This Row],[Tgl NPBG]]&gt;表1[[#This Row],[Peminta]],表1[[#This Row],[Tgl NPBG]]-表1[[#This Row],[Peminta]],"")</f>
        <v/>
      </c>
      <c r="J2915" s="31"/>
    </row>
    <row r="2916" s="12" customFormat="1" customHeight="1" spans="2:10">
      <c r="B2916" s="25"/>
      <c r="C2916" s="25"/>
      <c r="D2916" s="26" t="str" cm="1">
        <f t="array" ref="D2916">IF(C2916="","",IFERROR(INDEX(STPP!$D$6:$D$4207,MATCH(C2916,STPP!$C$6:$C$4207,0)),"Not Found"))</f>
        <v/>
      </c>
      <c r="E2916" s="27" t="str" cm="1">
        <f t="array" ref="E2916">IF(C2916="","",IFERROR(INDEX(STPP!$E$6:$E$4207,MATCH(C2916,STPP!$C$6:$C$4207,0)),"Not Found"))</f>
        <v/>
      </c>
      <c r="F2916" s="27" t="str" cm="1">
        <f t="array" ref="F2916">IF(C2916="","",IFERROR(INDEX(STPP!$F$6:$F$4207,MATCH(C2916,STPP!$C$6:$C$4207,0)),"Not Found"))</f>
        <v/>
      </c>
      <c r="G2916" s="25" t="str">
        <f>IF(表1[[#This Row],[No Seri]]="","",表1[[#This Row],[Deskripsi Barang]]+表1[[#This Row],[Kuantitas]]-表1[[#This Row],[Satuan]])</f>
        <v/>
      </c>
      <c r="H2916" s="28"/>
      <c r="I2916" s="25" t="str">
        <f>IF(表1[[#This Row],[Tgl NPBG]]&gt;表1[[#This Row],[Peminta]],表1[[#This Row],[Tgl NPBG]]-表1[[#This Row],[Peminta]],"")</f>
        <v/>
      </c>
      <c r="J2916" s="31"/>
    </row>
    <row r="2917" s="12" customFormat="1" customHeight="1" spans="2:10">
      <c r="B2917" s="25"/>
      <c r="C2917" s="25"/>
      <c r="D2917" s="26" t="str" cm="1">
        <f t="array" ref="D2917">IF(C2917="","",IFERROR(INDEX(STPP!$D$6:$D$4207,MATCH(C2917,STPP!$C$6:$C$4207,0)),"Not Found"))</f>
        <v/>
      </c>
      <c r="E2917" s="27" t="str" cm="1">
        <f t="array" ref="E2917">IF(C2917="","",IFERROR(INDEX(STPP!$E$6:$E$4207,MATCH(C2917,STPP!$C$6:$C$4207,0)),"Not Found"))</f>
        <v/>
      </c>
      <c r="F2917" s="27" t="str" cm="1">
        <f t="array" ref="F2917">IF(C2917="","",IFERROR(INDEX(STPP!$F$6:$F$4207,MATCH(C2917,STPP!$C$6:$C$4207,0)),"Not Found"))</f>
        <v/>
      </c>
      <c r="G2917" s="25" t="str">
        <f>IF(表1[[#This Row],[No Seri]]="","",表1[[#This Row],[Deskripsi Barang]]+表1[[#This Row],[Kuantitas]]-表1[[#This Row],[Satuan]])</f>
        <v/>
      </c>
      <c r="H2917" s="28"/>
      <c r="I2917" s="25" t="str">
        <f>IF(表1[[#This Row],[Tgl NPBG]]&gt;表1[[#This Row],[Peminta]],表1[[#This Row],[Tgl NPBG]]-表1[[#This Row],[Peminta]],"")</f>
        <v/>
      </c>
      <c r="J2917" s="31"/>
    </row>
    <row r="2918" s="12" customFormat="1" customHeight="1" spans="2:10">
      <c r="B2918" s="25"/>
      <c r="C2918" s="25"/>
      <c r="D2918" s="26" t="str" cm="1">
        <f t="array" ref="D2918">IF(C2918="","",IFERROR(INDEX(STPP!$D$6:$D$4207,MATCH(C2918,STPP!$C$6:$C$4207,0)),"Not Found"))</f>
        <v/>
      </c>
      <c r="E2918" s="27" t="str" cm="1">
        <f t="array" ref="E2918">IF(C2918="","",IFERROR(INDEX(STPP!$E$6:$E$4207,MATCH(C2918,STPP!$C$6:$C$4207,0)),"Not Found"))</f>
        <v/>
      </c>
      <c r="F2918" s="27" t="str" cm="1">
        <f t="array" ref="F2918">IF(C2918="","",IFERROR(INDEX(STPP!$F$6:$F$4207,MATCH(C2918,STPP!$C$6:$C$4207,0)),"Not Found"))</f>
        <v/>
      </c>
      <c r="G2918" s="25" t="str">
        <f>IF(表1[[#This Row],[No Seri]]="","",表1[[#This Row],[Deskripsi Barang]]+表1[[#This Row],[Kuantitas]]-表1[[#This Row],[Satuan]])</f>
        <v/>
      </c>
      <c r="H2918" s="28"/>
      <c r="I2918" s="25" t="str">
        <f>IF(表1[[#This Row],[Tgl NPBG]]&gt;表1[[#This Row],[Peminta]],表1[[#This Row],[Tgl NPBG]]-表1[[#This Row],[Peminta]],"")</f>
        <v/>
      </c>
      <c r="J2918" s="31"/>
    </row>
    <row r="2919" s="12" customFormat="1" customHeight="1" spans="2:10">
      <c r="B2919" s="25"/>
      <c r="C2919" s="25"/>
      <c r="D2919" s="26" t="str" cm="1">
        <f t="array" ref="D2919">IF(C2919="","",IFERROR(INDEX(STPP!$D$6:$D$4207,MATCH(C2919,STPP!$C$6:$C$4207,0)),"Not Found"))</f>
        <v/>
      </c>
      <c r="E2919" s="27" t="str" cm="1">
        <f t="array" ref="E2919">IF(C2919="","",IFERROR(INDEX(STPP!$E$6:$E$4207,MATCH(C2919,STPP!$C$6:$C$4207,0)),"Not Found"))</f>
        <v/>
      </c>
      <c r="F2919" s="27" t="str" cm="1">
        <f t="array" ref="F2919">IF(C2919="","",IFERROR(INDEX(STPP!$F$6:$F$4207,MATCH(C2919,STPP!$C$6:$C$4207,0)),"Not Found"))</f>
        <v/>
      </c>
      <c r="G2919" s="25" t="str">
        <f>IF(表1[[#This Row],[No Seri]]="","",表1[[#This Row],[Deskripsi Barang]]+表1[[#This Row],[Kuantitas]]-表1[[#This Row],[Satuan]])</f>
        <v/>
      </c>
      <c r="H2919" s="28"/>
      <c r="I2919" s="25" t="str">
        <f>IF(表1[[#This Row],[Tgl NPBG]]&gt;表1[[#This Row],[Peminta]],表1[[#This Row],[Tgl NPBG]]-表1[[#This Row],[Peminta]],"")</f>
        <v/>
      </c>
      <c r="J2919" s="31"/>
    </row>
    <row r="2920" s="12" customFormat="1" customHeight="1" spans="2:10">
      <c r="B2920" s="25"/>
      <c r="C2920" s="25"/>
      <c r="D2920" s="26" t="str" cm="1">
        <f t="array" ref="D2920">IF(C2920="","",IFERROR(INDEX(STPP!$D$6:$D$4207,MATCH(C2920,STPP!$C$6:$C$4207,0)),"Not Found"))</f>
        <v/>
      </c>
      <c r="E2920" s="27" t="str" cm="1">
        <f t="array" ref="E2920">IF(C2920="","",IFERROR(INDEX(STPP!$E$6:$E$4207,MATCH(C2920,STPP!$C$6:$C$4207,0)),"Not Found"))</f>
        <v/>
      </c>
      <c r="F2920" s="27" t="str" cm="1">
        <f t="array" ref="F2920">IF(C2920="","",IFERROR(INDEX(STPP!$F$6:$F$4207,MATCH(C2920,STPP!$C$6:$C$4207,0)),"Not Found"))</f>
        <v/>
      </c>
      <c r="G2920" s="25" t="str">
        <f>IF(表1[[#This Row],[No Seri]]="","",表1[[#This Row],[Deskripsi Barang]]+表1[[#This Row],[Kuantitas]]-表1[[#This Row],[Satuan]])</f>
        <v/>
      </c>
      <c r="H2920" s="28"/>
      <c r="I2920" s="25" t="str">
        <f>IF(表1[[#This Row],[Tgl NPBG]]&gt;表1[[#This Row],[Peminta]],表1[[#This Row],[Tgl NPBG]]-表1[[#This Row],[Peminta]],"")</f>
        <v/>
      </c>
      <c r="J2920" s="31"/>
    </row>
    <row r="2921" s="12" customFormat="1" customHeight="1" spans="2:10">
      <c r="B2921" s="25"/>
      <c r="C2921" s="25"/>
      <c r="D2921" s="26" t="str" cm="1">
        <f t="array" ref="D2921">IF(C2921="","",IFERROR(INDEX(STPP!$D$6:$D$4207,MATCH(C2921,STPP!$C$6:$C$4207,0)),"Not Found"))</f>
        <v/>
      </c>
      <c r="E2921" s="27" t="str" cm="1">
        <f t="array" ref="E2921">IF(C2921="","",IFERROR(INDEX(STPP!$E$6:$E$4207,MATCH(C2921,STPP!$C$6:$C$4207,0)),"Not Found"))</f>
        <v/>
      </c>
      <c r="F2921" s="27" t="str" cm="1">
        <f t="array" ref="F2921">IF(C2921="","",IFERROR(INDEX(STPP!$F$6:$F$4207,MATCH(C2921,STPP!$C$6:$C$4207,0)),"Not Found"))</f>
        <v/>
      </c>
      <c r="G2921" s="25" t="str">
        <f>IF(表1[[#This Row],[No Seri]]="","",表1[[#This Row],[Deskripsi Barang]]+表1[[#This Row],[Kuantitas]]-表1[[#This Row],[Satuan]])</f>
        <v/>
      </c>
      <c r="H2921" s="28"/>
      <c r="I2921" s="25" t="str">
        <f>IF(表1[[#This Row],[Tgl NPBG]]&gt;表1[[#This Row],[Peminta]],表1[[#This Row],[Tgl NPBG]]-表1[[#This Row],[Peminta]],"")</f>
        <v/>
      </c>
      <c r="J2921" s="31"/>
    </row>
    <row r="2922" s="12" customFormat="1" customHeight="1" spans="2:10">
      <c r="B2922" s="25"/>
      <c r="C2922" s="25"/>
      <c r="D2922" s="26" t="str" cm="1">
        <f t="array" ref="D2922">IF(C2922="","",IFERROR(INDEX(STPP!$D$6:$D$4207,MATCH(C2922,STPP!$C$6:$C$4207,0)),"Not Found"))</f>
        <v/>
      </c>
      <c r="E2922" s="27" t="str" cm="1">
        <f t="array" ref="E2922">IF(C2922="","",IFERROR(INDEX(STPP!$E$6:$E$4207,MATCH(C2922,STPP!$C$6:$C$4207,0)),"Not Found"))</f>
        <v/>
      </c>
      <c r="F2922" s="27" t="str" cm="1">
        <f t="array" ref="F2922">IF(C2922="","",IFERROR(INDEX(STPP!$F$6:$F$4207,MATCH(C2922,STPP!$C$6:$C$4207,0)),"Not Found"))</f>
        <v/>
      </c>
      <c r="G2922" s="25" t="str">
        <f>IF(表1[[#This Row],[No Seri]]="","",表1[[#This Row],[Deskripsi Barang]]+表1[[#This Row],[Kuantitas]]-表1[[#This Row],[Satuan]])</f>
        <v/>
      </c>
      <c r="H2922" s="28"/>
      <c r="I2922" s="25" t="str">
        <f>IF(表1[[#This Row],[Tgl NPBG]]&gt;表1[[#This Row],[Peminta]],表1[[#This Row],[Tgl NPBG]]-表1[[#This Row],[Peminta]],"")</f>
        <v/>
      </c>
      <c r="J2922" s="31"/>
    </row>
    <row r="2923" s="12" customFormat="1" customHeight="1" spans="2:10">
      <c r="B2923" s="25"/>
      <c r="C2923" s="25"/>
      <c r="D2923" s="26" t="str" cm="1">
        <f t="array" ref="D2923">IF(C2923="","",IFERROR(INDEX(STPP!$D$6:$D$4207,MATCH(C2923,STPP!$C$6:$C$4207,0)),"Not Found"))</f>
        <v/>
      </c>
      <c r="E2923" s="27" t="str" cm="1">
        <f t="array" ref="E2923">IF(C2923="","",IFERROR(INDEX(STPP!$E$6:$E$4207,MATCH(C2923,STPP!$C$6:$C$4207,0)),"Not Found"))</f>
        <v/>
      </c>
      <c r="F2923" s="27" t="str" cm="1">
        <f t="array" ref="F2923">IF(C2923="","",IFERROR(INDEX(STPP!$F$6:$F$4207,MATCH(C2923,STPP!$C$6:$C$4207,0)),"Not Found"))</f>
        <v/>
      </c>
      <c r="G2923" s="25" t="str">
        <f>IF(表1[[#This Row],[No Seri]]="","",表1[[#This Row],[Deskripsi Barang]]+表1[[#This Row],[Kuantitas]]-表1[[#This Row],[Satuan]])</f>
        <v/>
      </c>
      <c r="H2923" s="28"/>
      <c r="I2923" s="25" t="str">
        <f>IF(表1[[#This Row],[Tgl NPBG]]&gt;表1[[#This Row],[Peminta]],表1[[#This Row],[Tgl NPBG]]-表1[[#This Row],[Peminta]],"")</f>
        <v/>
      </c>
      <c r="J2923" s="31"/>
    </row>
    <row r="2924" s="12" customFormat="1" customHeight="1" spans="2:10">
      <c r="B2924" s="25"/>
      <c r="C2924" s="25"/>
      <c r="D2924" s="26" t="str" cm="1">
        <f t="array" ref="D2924">IF(C2924="","",IFERROR(INDEX(STPP!$D$6:$D$4207,MATCH(C2924,STPP!$C$6:$C$4207,0)),"Not Found"))</f>
        <v/>
      </c>
      <c r="E2924" s="27" t="str" cm="1">
        <f t="array" ref="E2924">IF(C2924="","",IFERROR(INDEX(STPP!$E$6:$E$4207,MATCH(C2924,STPP!$C$6:$C$4207,0)),"Not Found"))</f>
        <v/>
      </c>
      <c r="F2924" s="27" t="str" cm="1">
        <f t="array" ref="F2924">IF(C2924="","",IFERROR(INDEX(STPP!$F$6:$F$4207,MATCH(C2924,STPP!$C$6:$C$4207,0)),"Not Found"))</f>
        <v/>
      </c>
      <c r="G2924" s="25" t="str">
        <f>IF(表1[[#This Row],[No Seri]]="","",表1[[#This Row],[Deskripsi Barang]]+表1[[#This Row],[Kuantitas]]-表1[[#This Row],[Satuan]])</f>
        <v/>
      </c>
      <c r="H2924" s="28"/>
      <c r="I2924" s="25" t="str">
        <f>IF(表1[[#This Row],[Tgl NPBG]]&gt;表1[[#This Row],[Peminta]],表1[[#This Row],[Tgl NPBG]]-表1[[#This Row],[Peminta]],"")</f>
        <v/>
      </c>
      <c r="J2924" s="31"/>
    </row>
    <row r="2925" s="12" customFormat="1" customHeight="1" spans="2:10">
      <c r="B2925" s="25"/>
      <c r="C2925" s="25"/>
      <c r="D2925" s="26" t="str" cm="1">
        <f t="array" ref="D2925">IF(C2925="","",IFERROR(INDEX(STPP!$D$6:$D$4207,MATCH(C2925,STPP!$C$6:$C$4207,0)),"Not Found"))</f>
        <v/>
      </c>
      <c r="E2925" s="27" t="str" cm="1">
        <f t="array" ref="E2925">IF(C2925="","",IFERROR(INDEX(STPP!$E$6:$E$4207,MATCH(C2925,STPP!$C$6:$C$4207,0)),"Not Found"))</f>
        <v/>
      </c>
      <c r="F2925" s="27" t="str" cm="1">
        <f t="array" ref="F2925">IF(C2925="","",IFERROR(INDEX(STPP!$F$6:$F$4207,MATCH(C2925,STPP!$C$6:$C$4207,0)),"Not Found"))</f>
        <v/>
      </c>
      <c r="G2925" s="25" t="str">
        <f>IF(表1[[#This Row],[No Seri]]="","",表1[[#This Row],[Deskripsi Barang]]+表1[[#This Row],[Kuantitas]]-表1[[#This Row],[Satuan]])</f>
        <v/>
      </c>
      <c r="H2925" s="28"/>
      <c r="I2925" s="25" t="str">
        <f>IF(表1[[#This Row],[Tgl NPBG]]&gt;表1[[#This Row],[Peminta]],表1[[#This Row],[Tgl NPBG]]-表1[[#This Row],[Peminta]],"")</f>
        <v/>
      </c>
      <c r="J2925" s="31"/>
    </row>
    <row r="2926" s="12" customFormat="1" customHeight="1" spans="2:10">
      <c r="B2926" s="25"/>
      <c r="C2926" s="25"/>
      <c r="D2926" s="26" t="str" cm="1">
        <f t="array" ref="D2926">IF(C2926="","",IFERROR(INDEX(STPP!$D$6:$D$4207,MATCH(C2926,STPP!$C$6:$C$4207,0)),"Not Found"))</f>
        <v/>
      </c>
      <c r="E2926" s="27" t="str" cm="1">
        <f t="array" ref="E2926">IF(C2926="","",IFERROR(INDEX(STPP!$E$6:$E$4207,MATCH(C2926,STPP!$C$6:$C$4207,0)),"Not Found"))</f>
        <v/>
      </c>
      <c r="F2926" s="27" t="str" cm="1">
        <f t="array" ref="F2926">IF(C2926="","",IFERROR(INDEX(STPP!$F$6:$F$4207,MATCH(C2926,STPP!$C$6:$C$4207,0)),"Not Found"))</f>
        <v/>
      </c>
      <c r="G2926" s="25" t="str">
        <f>IF(表1[[#This Row],[No Seri]]="","",表1[[#This Row],[Deskripsi Barang]]+表1[[#This Row],[Kuantitas]]-表1[[#This Row],[Satuan]])</f>
        <v/>
      </c>
      <c r="H2926" s="28"/>
      <c r="I2926" s="25" t="str">
        <f>IF(表1[[#This Row],[Tgl NPBG]]&gt;表1[[#This Row],[Peminta]],表1[[#This Row],[Tgl NPBG]]-表1[[#This Row],[Peminta]],"")</f>
        <v/>
      </c>
      <c r="J2926" s="31"/>
    </row>
    <row r="2927" s="12" customFormat="1" customHeight="1" spans="2:10">
      <c r="B2927" s="25"/>
      <c r="C2927" s="25"/>
      <c r="D2927" s="26" t="str" cm="1">
        <f t="array" ref="D2927">IF(C2927="","",IFERROR(INDEX(STPP!$D$6:$D$4207,MATCH(C2927,STPP!$C$6:$C$4207,0)),"Not Found"))</f>
        <v/>
      </c>
      <c r="E2927" s="27" t="str" cm="1">
        <f t="array" ref="E2927">IF(C2927="","",IFERROR(INDEX(STPP!$E$6:$E$4207,MATCH(C2927,STPP!$C$6:$C$4207,0)),"Not Found"))</f>
        <v/>
      </c>
      <c r="F2927" s="27" t="str" cm="1">
        <f t="array" ref="F2927">IF(C2927="","",IFERROR(INDEX(STPP!$F$6:$F$4207,MATCH(C2927,STPP!$C$6:$C$4207,0)),"Not Found"))</f>
        <v/>
      </c>
      <c r="G2927" s="25" t="str">
        <f>IF(表1[[#This Row],[No Seri]]="","",表1[[#This Row],[Deskripsi Barang]]+表1[[#This Row],[Kuantitas]]-表1[[#This Row],[Satuan]])</f>
        <v/>
      </c>
      <c r="H2927" s="28"/>
      <c r="I2927" s="25" t="str">
        <f>IF(表1[[#This Row],[Tgl NPBG]]&gt;表1[[#This Row],[Peminta]],表1[[#This Row],[Tgl NPBG]]-表1[[#This Row],[Peminta]],"")</f>
        <v/>
      </c>
      <c r="J2927" s="31"/>
    </row>
    <row r="2928" s="12" customFormat="1" customHeight="1" spans="2:10">
      <c r="B2928" s="25"/>
      <c r="C2928" s="25"/>
      <c r="D2928" s="26" t="str" cm="1">
        <f t="array" ref="D2928">IF(C2928="","",IFERROR(INDEX(STPP!$D$6:$D$4207,MATCH(C2928,STPP!$C$6:$C$4207,0)),"Not Found"))</f>
        <v/>
      </c>
      <c r="E2928" s="27" t="str" cm="1">
        <f t="array" ref="E2928">IF(C2928="","",IFERROR(INDEX(STPP!$E$6:$E$4207,MATCH(C2928,STPP!$C$6:$C$4207,0)),"Not Found"))</f>
        <v/>
      </c>
      <c r="F2928" s="27" t="str" cm="1">
        <f t="array" ref="F2928">IF(C2928="","",IFERROR(INDEX(STPP!$F$6:$F$4207,MATCH(C2928,STPP!$C$6:$C$4207,0)),"Not Found"))</f>
        <v/>
      </c>
      <c r="G2928" s="25" t="str">
        <f>IF(表1[[#This Row],[No Seri]]="","",表1[[#This Row],[Deskripsi Barang]]+表1[[#This Row],[Kuantitas]]-表1[[#This Row],[Satuan]])</f>
        <v/>
      </c>
      <c r="H2928" s="28"/>
      <c r="I2928" s="25" t="str">
        <f>IF(表1[[#This Row],[Tgl NPBG]]&gt;表1[[#This Row],[Peminta]],表1[[#This Row],[Tgl NPBG]]-表1[[#This Row],[Peminta]],"")</f>
        <v/>
      </c>
      <c r="J2928" s="31"/>
    </row>
    <row r="2929" s="12" customFormat="1" customHeight="1" spans="2:10">
      <c r="B2929" s="25"/>
      <c r="C2929" s="25"/>
      <c r="D2929" s="26" t="str" cm="1">
        <f t="array" ref="D2929">IF(C2929="","",IFERROR(INDEX(STPP!$D$6:$D$4207,MATCH(C2929,STPP!$C$6:$C$4207,0)),"Not Found"))</f>
        <v/>
      </c>
      <c r="E2929" s="27" t="str" cm="1">
        <f t="array" ref="E2929">IF(C2929="","",IFERROR(INDEX(STPP!$E$6:$E$4207,MATCH(C2929,STPP!$C$6:$C$4207,0)),"Not Found"))</f>
        <v/>
      </c>
      <c r="F2929" s="27" t="str" cm="1">
        <f t="array" ref="F2929">IF(C2929="","",IFERROR(INDEX(STPP!$F$6:$F$4207,MATCH(C2929,STPP!$C$6:$C$4207,0)),"Not Found"))</f>
        <v/>
      </c>
      <c r="G2929" s="25" t="str">
        <f>IF(表1[[#This Row],[No Seri]]="","",表1[[#This Row],[Deskripsi Barang]]+表1[[#This Row],[Kuantitas]]-表1[[#This Row],[Satuan]])</f>
        <v/>
      </c>
      <c r="H2929" s="28"/>
      <c r="I2929" s="25" t="str">
        <f>IF(表1[[#This Row],[Tgl NPBG]]&gt;表1[[#This Row],[Peminta]],表1[[#This Row],[Tgl NPBG]]-表1[[#This Row],[Peminta]],"")</f>
        <v/>
      </c>
      <c r="J2929" s="31"/>
    </row>
    <row r="2930" s="12" customFormat="1" customHeight="1" spans="2:10">
      <c r="B2930" s="25"/>
      <c r="C2930" s="25"/>
      <c r="D2930" s="26" t="str" cm="1">
        <f t="array" ref="D2930">IF(C2930="","",IFERROR(INDEX(STPP!$D$6:$D$4207,MATCH(C2930,STPP!$C$6:$C$4207,0)),"Not Found"))</f>
        <v/>
      </c>
      <c r="E2930" s="27" t="str" cm="1">
        <f t="array" ref="E2930">IF(C2930="","",IFERROR(INDEX(STPP!$E$6:$E$4207,MATCH(C2930,STPP!$C$6:$C$4207,0)),"Not Found"))</f>
        <v/>
      </c>
      <c r="F2930" s="27" t="str" cm="1">
        <f t="array" ref="F2930">IF(C2930="","",IFERROR(INDEX(STPP!$F$6:$F$4207,MATCH(C2930,STPP!$C$6:$C$4207,0)),"Not Found"))</f>
        <v/>
      </c>
      <c r="G2930" s="25" t="str">
        <f>IF(表1[[#This Row],[No Seri]]="","",表1[[#This Row],[Deskripsi Barang]]+表1[[#This Row],[Kuantitas]]-表1[[#This Row],[Satuan]])</f>
        <v/>
      </c>
      <c r="H2930" s="28"/>
      <c r="I2930" s="25" t="str">
        <f>IF(表1[[#This Row],[Tgl NPBG]]&gt;表1[[#This Row],[Peminta]],表1[[#This Row],[Tgl NPBG]]-表1[[#This Row],[Peminta]],"")</f>
        <v/>
      </c>
      <c r="J2930" s="31"/>
    </row>
    <row r="2931" s="12" customFormat="1" customHeight="1" spans="2:10">
      <c r="B2931" s="25"/>
      <c r="C2931" s="25"/>
      <c r="D2931" s="26" t="str" cm="1">
        <f t="array" ref="D2931">IF(C2931="","",IFERROR(INDEX(STPP!$D$6:$D$4207,MATCH(C2931,STPP!$C$6:$C$4207,0)),"Not Found"))</f>
        <v/>
      </c>
      <c r="E2931" s="27" t="str" cm="1">
        <f t="array" ref="E2931">IF(C2931="","",IFERROR(INDEX(STPP!$E$6:$E$4207,MATCH(C2931,STPP!$C$6:$C$4207,0)),"Not Found"))</f>
        <v/>
      </c>
      <c r="F2931" s="27" t="str" cm="1">
        <f t="array" ref="F2931">IF(C2931="","",IFERROR(INDEX(STPP!$F$6:$F$4207,MATCH(C2931,STPP!$C$6:$C$4207,0)),"Not Found"))</f>
        <v/>
      </c>
      <c r="G2931" s="25" t="str">
        <f>IF(表1[[#This Row],[No Seri]]="","",表1[[#This Row],[Deskripsi Barang]]+表1[[#This Row],[Kuantitas]]-表1[[#This Row],[Satuan]])</f>
        <v/>
      </c>
      <c r="H2931" s="28"/>
      <c r="I2931" s="25" t="str">
        <f>IF(表1[[#This Row],[Tgl NPBG]]&gt;表1[[#This Row],[Peminta]],表1[[#This Row],[Tgl NPBG]]-表1[[#This Row],[Peminta]],"")</f>
        <v/>
      </c>
      <c r="J2931" s="31"/>
    </row>
    <row r="2932" s="12" customFormat="1" customHeight="1" spans="2:10">
      <c r="B2932" s="25"/>
      <c r="C2932" s="25"/>
      <c r="D2932" s="26" t="str" cm="1">
        <f t="array" ref="D2932">IF(C2932="","",IFERROR(INDEX(STPP!$D$6:$D$4207,MATCH(C2932,STPP!$C$6:$C$4207,0)),"Not Found"))</f>
        <v/>
      </c>
      <c r="E2932" s="27" t="str" cm="1">
        <f t="array" ref="E2932">IF(C2932="","",IFERROR(INDEX(STPP!$E$6:$E$4207,MATCH(C2932,STPP!$C$6:$C$4207,0)),"Not Found"))</f>
        <v/>
      </c>
      <c r="F2932" s="27" t="str" cm="1">
        <f t="array" ref="F2932">IF(C2932="","",IFERROR(INDEX(STPP!$F$6:$F$4207,MATCH(C2932,STPP!$C$6:$C$4207,0)),"Not Found"))</f>
        <v/>
      </c>
      <c r="G2932" s="25" t="str">
        <f>IF(表1[[#This Row],[No Seri]]="","",表1[[#This Row],[Deskripsi Barang]]+表1[[#This Row],[Kuantitas]]-表1[[#This Row],[Satuan]])</f>
        <v/>
      </c>
      <c r="H2932" s="28"/>
      <c r="I2932" s="25" t="str">
        <f>IF(表1[[#This Row],[Tgl NPBG]]&gt;表1[[#This Row],[Peminta]],表1[[#This Row],[Tgl NPBG]]-表1[[#This Row],[Peminta]],"")</f>
        <v/>
      </c>
      <c r="J2932" s="31"/>
    </row>
    <row r="2933" s="12" customFormat="1" customHeight="1" spans="2:10">
      <c r="B2933" s="25"/>
      <c r="C2933" s="25"/>
      <c r="D2933" s="26" t="str" cm="1">
        <f t="array" ref="D2933">IF(C2933="","",IFERROR(INDEX(STPP!$D$6:$D$4207,MATCH(C2933,STPP!$C$6:$C$4207,0)),"Not Found"))</f>
        <v/>
      </c>
      <c r="E2933" s="27" t="str" cm="1">
        <f t="array" ref="E2933">IF(C2933="","",IFERROR(INDEX(STPP!$E$6:$E$4207,MATCH(C2933,STPP!$C$6:$C$4207,0)),"Not Found"))</f>
        <v/>
      </c>
      <c r="F2933" s="27" t="str" cm="1">
        <f t="array" ref="F2933">IF(C2933="","",IFERROR(INDEX(STPP!$F$6:$F$4207,MATCH(C2933,STPP!$C$6:$C$4207,0)),"Not Found"))</f>
        <v/>
      </c>
      <c r="G2933" s="25" t="str">
        <f>IF(表1[[#This Row],[No Seri]]="","",表1[[#This Row],[Deskripsi Barang]]+表1[[#This Row],[Kuantitas]]-表1[[#This Row],[Satuan]])</f>
        <v/>
      </c>
      <c r="H2933" s="28"/>
      <c r="I2933" s="25" t="str">
        <f>IF(表1[[#This Row],[Tgl NPBG]]&gt;表1[[#This Row],[Peminta]],表1[[#This Row],[Tgl NPBG]]-表1[[#This Row],[Peminta]],"")</f>
        <v/>
      </c>
      <c r="J2933" s="31"/>
    </row>
    <row r="2934" s="12" customFormat="1" customHeight="1" spans="2:10">
      <c r="B2934" s="25"/>
      <c r="C2934" s="25"/>
      <c r="D2934" s="26" t="str" cm="1">
        <f t="array" ref="D2934">IF(C2934="","",IFERROR(INDEX(STPP!$D$6:$D$4207,MATCH(C2934,STPP!$C$6:$C$4207,0)),"Not Found"))</f>
        <v/>
      </c>
      <c r="E2934" s="27" t="str" cm="1">
        <f t="array" ref="E2934">IF(C2934="","",IFERROR(INDEX(STPP!$E$6:$E$4207,MATCH(C2934,STPP!$C$6:$C$4207,0)),"Not Found"))</f>
        <v/>
      </c>
      <c r="F2934" s="27" t="str" cm="1">
        <f t="array" ref="F2934">IF(C2934="","",IFERROR(INDEX(STPP!$F$6:$F$4207,MATCH(C2934,STPP!$C$6:$C$4207,0)),"Not Found"))</f>
        <v/>
      </c>
      <c r="G2934" s="25" t="str">
        <f>IF(表1[[#This Row],[No Seri]]="","",表1[[#This Row],[Deskripsi Barang]]+表1[[#This Row],[Kuantitas]]-表1[[#This Row],[Satuan]])</f>
        <v/>
      </c>
      <c r="H2934" s="28"/>
      <c r="I2934" s="25" t="str">
        <f>IF(表1[[#This Row],[Tgl NPBG]]&gt;表1[[#This Row],[Peminta]],表1[[#This Row],[Tgl NPBG]]-表1[[#This Row],[Peminta]],"")</f>
        <v/>
      </c>
      <c r="J2934" s="31"/>
    </row>
    <row r="2935" s="12" customFormat="1" customHeight="1" spans="2:10">
      <c r="B2935" s="25"/>
      <c r="C2935" s="25"/>
      <c r="D2935" s="26" t="str" cm="1">
        <f t="array" ref="D2935">IF(C2935="","",IFERROR(INDEX(STPP!$D$6:$D$4207,MATCH(C2935,STPP!$C$6:$C$4207,0)),"Not Found"))</f>
        <v/>
      </c>
      <c r="E2935" s="27" t="str" cm="1">
        <f t="array" ref="E2935">IF(C2935="","",IFERROR(INDEX(STPP!$E$6:$E$4207,MATCH(C2935,STPP!$C$6:$C$4207,0)),"Not Found"))</f>
        <v/>
      </c>
      <c r="F2935" s="27" t="str" cm="1">
        <f t="array" ref="F2935">IF(C2935="","",IFERROR(INDEX(STPP!$F$6:$F$4207,MATCH(C2935,STPP!$C$6:$C$4207,0)),"Not Found"))</f>
        <v/>
      </c>
      <c r="G2935" s="25" t="str">
        <f>IF(表1[[#This Row],[No Seri]]="","",表1[[#This Row],[Deskripsi Barang]]+表1[[#This Row],[Kuantitas]]-表1[[#This Row],[Satuan]])</f>
        <v/>
      </c>
      <c r="H2935" s="28"/>
      <c r="I2935" s="25" t="str">
        <f>IF(表1[[#This Row],[Tgl NPBG]]&gt;表1[[#This Row],[Peminta]],表1[[#This Row],[Tgl NPBG]]-表1[[#This Row],[Peminta]],"")</f>
        <v/>
      </c>
      <c r="J2935" s="31"/>
    </row>
    <row r="2936" s="12" customFormat="1" customHeight="1" spans="2:10">
      <c r="B2936" s="25"/>
      <c r="C2936" s="25"/>
      <c r="D2936" s="26" t="str" cm="1">
        <f t="array" ref="D2936">IF(C2936="","",IFERROR(INDEX(STPP!$D$6:$D$4207,MATCH(C2936,STPP!$C$6:$C$4207,0)),"Not Found"))</f>
        <v/>
      </c>
      <c r="E2936" s="27" t="str" cm="1">
        <f t="array" ref="E2936">IF(C2936="","",IFERROR(INDEX(STPP!$E$6:$E$4207,MATCH(C2936,STPP!$C$6:$C$4207,0)),"Not Found"))</f>
        <v/>
      </c>
      <c r="F2936" s="27" t="str" cm="1">
        <f t="array" ref="F2936">IF(C2936="","",IFERROR(INDEX(STPP!$F$6:$F$4207,MATCH(C2936,STPP!$C$6:$C$4207,0)),"Not Found"))</f>
        <v/>
      </c>
      <c r="G2936" s="25" t="str">
        <f>IF(表1[[#This Row],[No Seri]]="","",表1[[#This Row],[Deskripsi Barang]]+表1[[#This Row],[Kuantitas]]-表1[[#This Row],[Satuan]])</f>
        <v/>
      </c>
      <c r="H2936" s="28"/>
      <c r="I2936" s="25" t="str">
        <f>IF(表1[[#This Row],[Tgl NPBG]]&gt;表1[[#This Row],[Peminta]],表1[[#This Row],[Tgl NPBG]]-表1[[#This Row],[Peminta]],"")</f>
        <v/>
      </c>
      <c r="J2936" s="31"/>
    </row>
    <row r="2937" s="12" customFormat="1" customHeight="1" spans="2:10">
      <c r="B2937" s="25"/>
      <c r="C2937" s="25"/>
      <c r="D2937" s="26" t="str" cm="1">
        <f t="array" ref="D2937">IF(C2937="","",IFERROR(INDEX(STPP!$D$6:$D$4207,MATCH(C2937,STPP!$C$6:$C$4207,0)),"Not Found"))</f>
        <v/>
      </c>
      <c r="E2937" s="27" t="str" cm="1">
        <f t="array" ref="E2937">IF(C2937="","",IFERROR(INDEX(STPP!$E$6:$E$4207,MATCH(C2937,STPP!$C$6:$C$4207,0)),"Not Found"))</f>
        <v/>
      </c>
      <c r="F2937" s="27" t="str" cm="1">
        <f t="array" ref="F2937">IF(C2937="","",IFERROR(INDEX(STPP!$F$6:$F$4207,MATCH(C2937,STPP!$C$6:$C$4207,0)),"Not Found"))</f>
        <v/>
      </c>
      <c r="G2937" s="25" t="str">
        <f>IF(表1[[#This Row],[No Seri]]="","",表1[[#This Row],[Deskripsi Barang]]+表1[[#This Row],[Kuantitas]]-表1[[#This Row],[Satuan]])</f>
        <v/>
      </c>
      <c r="H2937" s="28"/>
      <c r="I2937" s="25" t="str">
        <f>IF(表1[[#This Row],[Tgl NPBG]]&gt;表1[[#This Row],[Peminta]],表1[[#This Row],[Tgl NPBG]]-表1[[#This Row],[Peminta]],"")</f>
        <v/>
      </c>
      <c r="J2937" s="31"/>
    </row>
    <row r="2938" s="12" customFormat="1" customHeight="1" spans="2:10">
      <c r="B2938" s="25"/>
      <c r="C2938" s="25"/>
      <c r="D2938" s="26" t="str" cm="1">
        <f t="array" ref="D2938">IF(C2938="","",IFERROR(INDEX(STPP!$D$6:$D$4207,MATCH(C2938,STPP!$C$6:$C$4207,0)),"Not Found"))</f>
        <v/>
      </c>
      <c r="E2938" s="27" t="str" cm="1">
        <f t="array" ref="E2938">IF(C2938="","",IFERROR(INDEX(STPP!$E$6:$E$4207,MATCH(C2938,STPP!$C$6:$C$4207,0)),"Not Found"))</f>
        <v/>
      </c>
      <c r="F2938" s="27" t="str" cm="1">
        <f t="array" ref="F2938">IF(C2938="","",IFERROR(INDEX(STPP!$F$6:$F$4207,MATCH(C2938,STPP!$C$6:$C$4207,0)),"Not Found"))</f>
        <v/>
      </c>
      <c r="G2938" s="25" t="str">
        <f>IF(表1[[#This Row],[No Seri]]="","",表1[[#This Row],[Deskripsi Barang]]+表1[[#This Row],[Kuantitas]]-表1[[#This Row],[Satuan]])</f>
        <v/>
      </c>
      <c r="H2938" s="28"/>
      <c r="I2938" s="25" t="str">
        <f>IF(表1[[#This Row],[Tgl NPBG]]&gt;表1[[#This Row],[Peminta]],表1[[#This Row],[Tgl NPBG]]-表1[[#This Row],[Peminta]],"")</f>
        <v/>
      </c>
      <c r="J2938" s="31"/>
    </row>
    <row r="2939" s="12" customFormat="1" customHeight="1" spans="2:10">
      <c r="B2939" s="25"/>
      <c r="C2939" s="25"/>
      <c r="D2939" s="26" t="str" cm="1">
        <f t="array" ref="D2939">IF(C2939="","",IFERROR(INDEX(STPP!$D$6:$D$4207,MATCH(C2939,STPP!$C$6:$C$4207,0)),"Not Found"))</f>
        <v/>
      </c>
      <c r="E2939" s="27" t="str" cm="1">
        <f t="array" ref="E2939">IF(C2939="","",IFERROR(INDEX(STPP!$E$6:$E$4207,MATCH(C2939,STPP!$C$6:$C$4207,0)),"Not Found"))</f>
        <v/>
      </c>
      <c r="F2939" s="27" t="str" cm="1">
        <f t="array" ref="F2939">IF(C2939="","",IFERROR(INDEX(STPP!$F$6:$F$4207,MATCH(C2939,STPP!$C$6:$C$4207,0)),"Not Found"))</f>
        <v/>
      </c>
      <c r="G2939" s="25" t="str">
        <f>IF(表1[[#This Row],[No Seri]]="","",表1[[#This Row],[Deskripsi Barang]]+表1[[#This Row],[Kuantitas]]-表1[[#This Row],[Satuan]])</f>
        <v/>
      </c>
      <c r="H2939" s="28"/>
      <c r="I2939" s="25" t="str">
        <f>IF(表1[[#This Row],[Tgl NPBG]]&gt;表1[[#This Row],[Peminta]],表1[[#This Row],[Tgl NPBG]]-表1[[#This Row],[Peminta]],"")</f>
        <v/>
      </c>
      <c r="J2939" s="31"/>
    </row>
    <row r="2940" s="12" customFormat="1" customHeight="1" spans="2:10">
      <c r="B2940" s="25"/>
      <c r="C2940" s="25"/>
      <c r="D2940" s="26" t="str" cm="1">
        <f t="array" ref="D2940">IF(C2940="","",IFERROR(INDEX(STPP!$D$6:$D$4207,MATCH(C2940,STPP!$C$6:$C$4207,0)),"Not Found"))</f>
        <v/>
      </c>
      <c r="E2940" s="27" t="str" cm="1">
        <f t="array" ref="E2940">IF(C2940="","",IFERROR(INDEX(STPP!$E$6:$E$4207,MATCH(C2940,STPP!$C$6:$C$4207,0)),"Not Found"))</f>
        <v/>
      </c>
      <c r="F2940" s="27" t="str" cm="1">
        <f t="array" ref="F2940">IF(C2940="","",IFERROR(INDEX(STPP!$F$6:$F$4207,MATCH(C2940,STPP!$C$6:$C$4207,0)),"Not Found"))</f>
        <v/>
      </c>
      <c r="G2940" s="25" t="str">
        <f>IF(表1[[#This Row],[No Seri]]="","",表1[[#This Row],[Deskripsi Barang]]+表1[[#This Row],[Kuantitas]]-表1[[#This Row],[Satuan]])</f>
        <v/>
      </c>
      <c r="H2940" s="28"/>
      <c r="I2940" s="25" t="str">
        <f>IF(表1[[#This Row],[Tgl NPBG]]&gt;表1[[#This Row],[Peminta]],表1[[#This Row],[Tgl NPBG]]-表1[[#This Row],[Peminta]],"")</f>
        <v/>
      </c>
      <c r="J2940" s="31"/>
    </row>
    <row r="2941" s="12" customFormat="1" customHeight="1" spans="2:10">
      <c r="B2941" s="25"/>
      <c r="C2941" s="25"/>
      <c r="D2941" s="26" t="str" cm="1">
        <f t="array" ref="D2941">IF(C2941="","",IFERROR(INDEX(STPP!$D$6:$D$4207,MATCH(C2941,STPP!$C$6:$C$4207,0)),"Not Found"))</f>
        <v/>
      </c>
      <c r="E2941" s="27" t="str" cm="1">
        <f t="array" ref="E2941">IF(C2941="","",IFERROR(INDEX(STPP!$E$6:$E$4207,MATCH(C2941,STPP!$C$6:$C$4207,0)),"Not Found"))</f>
        <v/>
      </c>
      <c r="F2941" s="27" t="str" cm="1">
        <f t="array" ref="F2941">IF(C2941="","",IFERROR(INDEX(STPP!$F$6:$F$4207,MATCH(C2941,STPP!$C$6:$C$4207,0)),"Not Found"))</f>
        <v/>
      </c>
      <c r="G2941" s="25" t="str">
        <f>IF(表1[[#This Row],[No Seri]]="","",表1[[#This Row],[Deskripsi Barang]]+表1[[#This Row],[Kuantitas]]-表1[[#This Row],[Satuan]])</f>
        <v/>
      </c>
      <c r="H2941" s="28"/>
      <c r="I2941" s="25" t="str">
        <f>IF(表1[[#This Row],[Tgl NPBG]]&gt;表1[[#This Row],[Peminta]],表1[[#This Row],[Tgl NPBG]]-表1[[#This Row],[Peminta]],"")</f>
        <v/>
      </c>
      <c r="J2941" s="31"/>
    </row>
    <row r="2942" s="12" customFormat="1" customHeight="1" spans="2:10">
      <c r="B2942" s="25"/>
      <c r="C2942" s="25"/>
      <c r="D2942" s="26" t="str" cm="1">
        <f t="array" ref="D2942">IF(C2942="","",IFERROR(INDEX(STPP!$D$6:$D$4207,MATCH(C2942,STPP!$C$6:$C$4207,0)),"Not Found"))</f>
        <v/>
      </c>
      <c r="E2942" s="27" t="str" cm="1">
        <f t="array" ref="E2942">IF(C2942="","",IFERROR(INDEX(STPP!$E$6:$E$4207,MATCH(C2942,STPP!$C$6:$C$4207,0)),"Not Found"))</f>
        <v/>
      </c>
      <c r="F2942" s="27" t="str" cm="1">
        <f t="array" ref="F2942">IF(C2942="","",IFERROR(INDEX(STPP!$F$6:$F$4207,MATCH(C2942,STPP!$C$6:$C$4207,0)),"Not Found"))</f>
        <v/>
      </c>
      <c r="G2942" s="25" t="str">
        <f>IF(表1[[#This Row],[No Seri]]="","",表1[[#This Row],[Deskripsi Barang]]+表1[[#This Row],[Kuantitas]]-表1[[#This Row],[Satuan]])</f>
        <v/>
      </c>
      <c r="H2942" s="28"/>
      <c r="I2942" s="25" t="str">
        <f>IF(表1[[#This Row],[Tgl NPBG]]&gt;表1[[#This Row],[Peminta]],表1[[#This Row],[Tgl NPBG]]-表1[[#This Row],[Peminta]],"")</f>
        <v/>
      </c>
      <c r="J2942" s="31"/>
    </row>
    <row r="2943" s="12" customFormat="1" customHeight="1" spans="2:10">
      <c r="B2943" s="25"/>
      <c r="C2943" s="25"/>
      <c r="D2943" s="26" t="str" cm="1">
        <f t="array" ref="D2943">IF(C2943="","",IFERROR(INDEX(STPP!$D$6:$D$4207,MATCH(C2943,STPP!$C$6:$C$4207,0)),"Not Found"))</f>
        <v/>
      </c>
      <c r="E2943" s="27" t="str" cm="1">
        <f t="array" ref="E2943">IF(C2943="","",IFERROR(INDEX(STPP!$E$6:$E$4207,MATCH(C2943,STPP!$C$6:$C$4207,0)),"Not Found"))</f>
        <v/>
      </c>
      <c r="F2943" s="27" t="str" cm="1">
        <f t="array" ref="F2943">IF(C2943="","",IFERROR(INDEX(STPP!$F$6:$F$4207,MATCH(C2943,STPP!$C$6:$C$4207,0)),"Not Found"))</f>
        <v/>
      </c>
      <c r="G2943" s="25" t="str">
        <f>IF(表1[[#This Row],[No Seri]]="","",表1[[#This Row],[Deskripsi Barang]]+表1[[#This Row],[Kuantitas]]-表1[[#This Row],[Satuan]])</f>
        <v/>
      </c>
      <c r="H2943" s="28"/>
      <c r="I2943" s="25" t="str">
        <f>IF(表1[[#This Row],[Tgl NPBG]]&gt;表1[[#This Row],[Peminta]],表1[[#This Row],[Tgl NPBG]]-表1[[#This Row],[Peminta]],"")</f>
        <v/>
      </c>
      <c r="J2943" s="31"/>
    </row>
    <row r="2944" s="12" customFormat="1" customHeight="1" spans="2:10">
      <c r="B2944" s="25"/>
      <c r="C2944" s="25"/>
      <c r="D2944" s="26" t="str" cm="1">
        <f t="array" ref="D2944">IF(C2944="","",IFERROR(INDEX(STPP!$D$6:$D$4207,MATCH(C2944,STPP!$C$6:$C$4207,0)),"Not Found"))</f>
        <v/>
      </c>
      <c r="E2944" s="27" t="str" cm="1">
        <f t="array" ref="E2944">IF(C2944="","",IFERROR(INDEX(STPP!$E$6:$E$4207,MATCH(C2944,STPP!$C$6:$C$4207,0)),"Not Found"))</f>
        <v/>
      </c>
      <c r="F2944" s="27" t="str" cm="1">
        <f t="array" ref="F2944">IF(C2944="","",IFERROR(INDEX(STPP!$F$6:$F$4207,MATCH(C2944,STPP!$C$6:$C$4207,0)),"Not Found"))</f>
        <v/>
      </c>
      <c r="G2944" s="25" t="str">
        <f>IF(表1[[#This Row],[No Seri]]="","",表1[[#This Row],[Deskripsi Barang]]+表1[[#This Row],[Kuantitas]]-表1[[#This Row],[Satuan]])</f>
        <v/>
      </c>
      <c r="H2944" s="28"/>
      <c r="I2944" s="25" t="str">
        <f>IF(表1[[#This Row],[Tgl NPBG]]&gt;表1[[#This Row],[Peminta]],表1[[#This Row],[Tgl NPBG]]-表1[[#This Row],[Peminta]],"")</f>
        <v/>
      </c>
      <c r="J2944" s="31"/>
    </row>
    <row r="2945" s="12" customFormat="1" customHeight="1" spans="2:10">
      <c r="B2945" s="25"/>
      <c r="C2945" s="25"/>
      <c r="D2945" s="26" t="str" cm="1">
        <f t="array" ref="D2945">IF(C2945="","",IFERROR(INDEX(STPP!$D$6:$D$4207,MATCH(C2945,STPP!$C$6:$C$4207,0)),"Not Found"))</f>
        <v/>
      </c>
      <c r="E2945" s="27" t="str" cm="1">
        <f t="array" ref="E2945">IF(C2945="","",IFERROR(INDEX(STPP!$E$6:$E$4207,MATCH(C2945,STPP!$C$6:$C$4207,0)),"Not Found"))</f>
        <v/>
      </c>
      <c r="F2945" s="27" t="str" cm="1">
        <f t="array" ref="F2945">IF(C2945="","",IFERROR(INDEX(STPP!$F$6:$F$4207,MATCH(C2945,STPP!$C$6:$C$4207,0)),"Not Found"))</f>
        <v/>
      </c>
      <c r="G2945" s="25" t="str">
        <f>IF(表1[[#This Row],[No Seri]]="","",表1[[#This Row],[Deskripsi Barang]]+表1[[#This Row],[Kuantitas]]-表1[[#This Row],[Satuan]])</f>
        <v/>
      </c>
      <c r="H2945" s="28"/>
      <c r="I2945" s="25" t="str">
        <f>IF(表1[[#This Row],[Tgl NPBG]]&gt;表1[[#This Row],[Peminta]],表1[[#This Row],[Tgl NPBG]]-表1[[#This Row],[Peminta]],"")</f>
        <v/>
      </c>
      <c r="J2945" s="31"/>
    </row>
    <row r="2946" s="12" customFormat="1" customHeight="1" spans="2:10">
      <c r="B2946" s="25"/>
      <c r="C2946" s="25"/>
      <c r="D2946" s="26" t="str" cm="1">
        <f t="array" ref="D2946">IF(C2946="","",IFERROR(INDEX(STPP!$D$6:$D$4207,MATCH(C2946,STPP!$C$6:$C$4207,0)),"Not Found"))</f>
        <v/>
      </c>
      <c r="E2946" s="27" t="str" cm="1">
        <f t="array" ref="E2946">IF(C2946="","",IFERROR(INDEX(STPP!$E$6:$E$4207,MATCH(C2946,STPP!$C$6:$C$4207,0)),"Not Found"))</f>
        <v/>
      </c>
      <c r="F2946" s="27" t="str" cm="1">
        <f t="array" ref="F2946">IF(C2946="","",IFERROR(INDEX(STPP!$F$6:$F$4207,MATCH(C2946,STPP!$C$6:$C$4207,0)),"Not Found"))</f>
        <v/>
      </c>
      <c r="G2946" s="25" t="str">
        <f>IF(表1[[#This Row],[No Seri]]="","",表1[[#This Row],[Deskripsi Barang]]+表1[[#This Row],[Kuantitas]]-表1[[#This Row],[Satuan]])</f>
        <v/>
      </c>
      <c r="H2946" s="28"/>
      <c r="I2946" s="25" t="str">
        <f>IF(表1[[#This Row],[Tgl NPBG]]&gt;表1[[#This Row],[Peminta]],表1[[#This Row],[Tgl NPBG]]-表1[[#This Row],[Peminta]],"")</f>
        <v/>
      </c>
      <c r="J2946" s="31"/>
    </row>
    <row r="2947" s="12" customFormat="1" customHeight="1" spans="2:10">
      <c r="B2947" s="25"/>
      <c r="C2947" s="25"/>
      <c r="D2947" s="26" t="str" cm="1">
        <f t="array" ref="D2947">IF(C2947="","",IFERROR(INDEX(STPP!$D$6:$D$4207,MATCH(C2947,STPP!$C$6:$C$4207,0)),"Not Found"))</f>
        <v/>
      </c>
      <c r="E2947" s="27" t="str" cm="1">
        <f t="array" ref="E2947">IF(C2947="","",IFERROR(INDEX(STPP!$E$6:$E$4207,MATCH(C2947,STPP!$C$6:$C$4207,0)),"Not Found"))</f>
        <v/>
      </c>
      <c r="F2947" s="27" t="str" cm="1">
        <f t="array" ref="F2947">IF(C2947="","",IFERROR(INDEX(STPP!$F$6:$F$4207,MATCH(C2947,STPP!$C$6:$C$4207,0)),"Not Found"))</f>
        <v/>
      </c>
      <c r="G2947" s="25" t="str">
        <f>IF(表1[[#This Row],[No Seri]]="","",表1[[#This Row],[Deskripsi Barang]]+表1[[#This Row],[Kuantitas]]-表1[[#This Row],[Satuan]])</f>
        <v/>
      </c>
      <c r="H2947" s="28"/>
      <c r="I2947" s="25" t="str">
        <f>IF(表1[[#This Row],[Tgl NPBG]]&gt;表1[[#This Row],[Peminta]],表1[[#This Row],[Tgl NPBG]]-表1[[#This Row],[Peminta]],"")</f>
        <v/>
      </c>
      <c r="J2947" s="31"/>
    </row>
    <row r="2948" s="12" customFormat="1" customHeight="1" spans="2:10">
      <c r="B2948" s="25"/>
      <c r="C2948" s="25"/>
      <c r="D2948" s="26" t="str" cm="1">
        <f t="array" ref="D2948">IF(C2948="","",IFERROR(INDEX(STPP!$D$6:$D$4207,MATCH(C2948,STPP!$C$6:$C$4207,0)),"Not Found"))</f>
        <v/>
      </c>
      <c r="E2948" s="27" t="str" cm="1">
        <f t="array" ref="E2948">IF(C2948="","",IFERROR(INDEX(STPP!$E$6:$E$4207,MATCH(C2948,STPP!$C$6:$C$4207,0)),"Not Found"))</f>
        <v/>
      </c>
      <c r="F2948" s="27" t="str" cm="1">
        <f t="array" ref="F2948">IF(C2948="","",IFERROR(INDEX(STPP!$F$6:$F$4207,MATCH(C2948,STPP!$C$6:$C$4207,0)),"Not Found"))</f>
        <v/>
      </c>
      <c r="G2948" s="25" t="str">
        <f>IF(表1[[#This Row],[No Seri]]="","",表1[[#This Row],[Deskripsi Barang]]+表1[[#This Row],[Kuantitas]]-表1[[#This Row],[Satuan]])</f>
        <v/>
      </c>
      <c r="H2948" s="28"/>
      <c r="I2948" s="25" t="str">
        <f>IF(表1[[#This Row],[Tgl NPBG]]&gt;表1[[#This Row],[Peminta]],表1[[#This Row],[Tgl NPBG]]-表1[[#This Row],[Peminta]],"")</f>
        <v/>
      </c>
      <c r="J2948" s="31"/>
    </row>
    <row r="2949" s="12" customFormat="1" customHeight="1" spans="2:10">
      <c r="B2949" s="25"/>
      <c r="C2949" s="25"/>
      <c r="D2949" s="26" t="str" cm="1">
        <f t="array" ref="D2949">IF(C2949="","",IFERROR(INDEX(STPP!$D$6:$D$4207,MATCH(C2949,STPP!$C$6:$C$4207,0)),"Not Found"))</f>
        <v/>
      </c>
      <c r="E2949" s="27" t="str" cm="1">
        <f t="array" ref="E2949">IF(C2949="","",IFERROR(INDEX(STPP!$E$6:$E$4207,MATCH(C2949,STPP!$C$6:$C$4207,0)),"Not Found"))</f>
        <v/>
      </c>
      <c r="F2949" s="27" t="str" cm="1">
        <f t="array" ref="F2949">IF(C2949="","",IFERROR(INDEX(STPP!$F$6:$F$4207,MATCH(C2949,STPP!$C$6:$C$4207,0)),"Not Found"))</f>
        <v/>
      </c>
      <c r="G2949" s="25" t="str">
        <f>IF(表1[[#This Row],[No Seri]]="","",表1[[#This Row],[Deskripsi Barang]]+表1[[#This Row],[Kuantitas]]-表1[[#This Row],[Satuan]])</f>
        <v/>
      </c>
      <c r="H2949" s="28"/>
      <c r="I2949" s="25" t="str">
        <f>IF(表1[[#This Row],[Tgl NPBG]]&gt;表1[[#This Row],[Peminta]],表1[[#This Row],[Tgl NPBG]]-表1[[#This Row],[Peminta]],"")</f>
        <v/>
      </c>
      <c r="J2949" s="31"/>
    </row>
    <row r="2950" s="12" customFormat="1" customHeight="1" spans="2:10">
      <c r="B2950" s="25"/>
      <c r="C2950" s="25"/>
      <c r="D2950" s="26" t="str" cm="1">
        <f t="array" ref="D2950">IF(C2950="","",IFERROR(INDEX(STPP!$D$6:$D$4207,MATCH(C2950,STPP!$C$6:$C$4207,0)),"Not Found"))</f>
        <v/>
      </c>
      <c r="E2950" s="27" t="str" cm="1">
        <f t="array" ref="E2950">IF(C2950="","",IFERROR(INDEX(STPP!$E$6:$E$4207,MATCH(C2950,STPP!$C$6:$C$4207,0)),"Not Found"))</f>
        <v/>
      </c>
      <c r="F2950" s="27" t="str" cm="1">
        <f t="array" ref="F2950">IF(C2950="","",IFERROR(INDEX(STPP!$F$6:$F$4207,MATCH(C2950,STPP!$C$6:$C$4207,0)),"Not Found"))</f>
        <v/>
      </c>
      <c r="G2950" s="25" t="str">
        <f>IF(表1[[#This Row],[No Seri]]="","",表1[[#This Row],[Deskripsi Barang]]+表1[[#This Row],[Kuantitas]]-表1[[#This Row],[Satuan]])</f>
        <v/>
      </c>
      <c r="H2950" s="28"/>
      <c r="I2950" s="25" t="str">
        <f>IF(表1[[#This Row],[Tgl NPBG]]&gt;表1[[#This Row],[Peminta]],表1[[#This Row],[Tgl NPBG]]-表1[[#This Row],[Peminta]],"")</f>
        <v/>
      </c>
      <c r="J2950" s="31"/>
    </row>
    <row r="2951" s="12" customFormat="1" customHeight="1" spans="2:10">
      <c r="B2951" s="25"/>
      <c r="C2951" s="25"/>
      <c r="D2951" s="26" t="str" cm="1">
        <f t="array" ref="D2951">IF(C2951="","",IFERROR(INDEX(STPP!$D$6:$D$4207,MATCH(C2951,STPP!$C$6:$C$4207,0)),"Not Found"))</f>
        <v/>
      </c>
      <c r="E2951" s="27" t="str" cm="1">
        <f t="array" ref="E2951">IF(C2951="","",IFERROR(INDEX(STPP!$E$6:$E$4207,MATCH(C2951,STPP!$C$6:$C$4207,0)),"Not Found"))</f>
        <v/>
      </c>
      <c r="F2951" s="27" t="str" cm="1">
        <f t="array" ref="F2951">IF(C2951="","",IFERROR(INDEX(STPP!$F$6:$F$4207,MATCH(C2951,STPP!$C$6:$C$4207,0)),"Not Found"))</f>
        <v/>
      </c>
      <c r="G2951" s="25" t="str">
        <f>IF(表1[[#This Row],[No Seri]]="","",表1[[#This Row],[Deskripsi Barang]]+表1[[#This Row],[Kuantitas]]-表1[[#This Row],[Satuan]])</f>
        <v/>
      </c>
      <c r="H2951" s="28"/>
      <c r="I2951" s="25" t="str">
        <f>IF(表1[[#This Row],[Tgl NPBG]]&gt;表1[[#This Row],[Peminta]],表1[[#This Row],[Tgl NPBG]]-表1[[#This Row],[Peminta]],"")</f>
        <v/>
      </c>
      <c r="J2951" s="31"/>
    </row>
    <row r="2952" s="12" customFormat="1" customHeight="1" spans="2:10">
      <c r="B2952" s="25"/>
      <c r="C2952" s="25"/>
      <c r="D2952" s="26" t="str" cm="1">
        <f t="array" ref="D2952">IF(C2952="","",IFERROR(INDEX(STPP!$D$6:$D$4207,MATCH(C2952,STPP!$C$6:$C$4207,0)),"Not Found"))</f>
        <v/>
      </c>
      <c r="E2952" s="27" t="str" cm="1">
        <f t="array" ref="E2952">IF(C2952="","",IFERROR(INDEX(STPP!$E$6:$E$4207,MATCH(C2952,STPP!$C$6:$C$4207,0)),"Not Found"))</f>
        <v/>
      </c>
      <c r="F2952" s="27" t="str" cm="1">
        <f t="array" ref="F2952">IF(C2952="","",IFERROR(INDEX(STPP!$F$6:$F$4207,MATCH(C2952,STPP!$C$6:$C$4207,0)),"Not Found"))</f>
        <v/>
      </c>
      <c r="G2952" s="25" t="str">
        <f>IF(表1[[#This Row],[No Seri]]="","",表1[[#This Row],[Deskripsi Barang]]+表1[[#This Row],[Kuantitas]]-表1[[#This Row],[Satuan]])</f>
        <v/>
      </c>
      <c r="H2952" s="28"/>
      <c r="I2952" s="25" t="str">
        <f>IF(表1[[#This Row],[Tgl NPBG]]&gt;表1[[#This Row],[Peminta]],表1[[#This Row],[Tgl NPBG]]-表1[[#This Row],[Peminta]],"")</f>
        <v/>
      </c>
      <c r="J2952" s="31"/>
    </row>
    <row r="2953" s="12" customFormat="1" customHeight="1" spans="2:10">
      <c r="B2953" s="25"/>
      <c r="C2953" s="25"/>
      <c r="D2953" s="26" t="str" cm="1">
        <f t="array" ref="D2953">IF(C2953="","",IFERROR(INDEX(STPP!$D$6:$D$4207,MATCH(C2953,STPP!$C$6:$C$4207,0)),"Not Found"))</f>
        <v/>
      </c>
      <c r="E2953" s="27" t="str" cm="1">
        <f t="array" ref="E2953">IF(C2953="","",IFERROR(INDEX(STPP!$E$6:$E$4207,MATCH(C2953,STPP!$C$6:$C$4207,0)),"Not Found"))</f>
        <v/>
      </c>
      <c r="F2953" s="27" t="str" cm="1">
        <f t="array" ref="F2953">IF(C2953="","",IFERROR(INDEX(STPP!$F$6:$F$4207,MATCH(C2953,STPP!$C$6:$C$4207,0)),"Not Found"))</f>
        <v/>
      </c>
      <c r="G2953" s="25" t="str">
        <f>IF(表1[[#This Row],[No Seri]]="","",表1[[#This Row],[Deskripsi Barang]]+表1[[#This Row],[Kuantitas]]-表1[[#This Row],[Satuan]])</f>
        <v/>
      </c>
      <c r="H2953" s="28"/>
      <c r="I2953" s="25" t="str">
        <f>IF(表1[[#This Row],[Tgl NPBG]]&gt;表1[[#This Row],[Peminta]],表1[[#This Row],[Tgl NPBG]]-表1[[#This Row],[Peminta]],"")</f>
        <v/>
      </c>
      <c r="J2953" s="31"/>
    </row>
    <row r="2954" s="12" customFormat="1" customHeight="1" spans="2:10">
      <c r="B2954" s="25"/>
      <c r="C2954" s="25"/>
      <c r="D2954" s="26" t="str" cm="1">
        <f t="array" ref="D2954">IF(C2954="","",IFERROR(INDEX(STPP!$D$6:$D$4207,MATCH(C2954,STPP!$C$6:$C$4207,0)),"Not Found"))</f>
        <v/>
      </c>
      <c r="E2954" s="27" t="str" cm="1">
        <f t="array" ref="E2954">IF(C2954="","",IFERROR(INDEX(STPP!$E$6:$E$4207,MATCH(C2954,STPP!$C$6:$C$4207,0)),"Not Found"))</f>
        <v/>
      </c>
      <c r="F2954" s="27" t="str" cm="1">
        <f t="array" ref="F2954">IF(C2954="","",IFERROR(INDEX(STPP!$F$6:$F$4207,MATCH(C2954,STPP!$C$6:$C$4207,0)),"Not Found"))</f>
        <v/>
      </c>
      <c r="G2954" s="25" t="str">
        <f>IF(表1[[#This Row],[No Seri]]="","",表1[[#This Row],[Deskripsi Barang]]+表1[[#This Row],[Kuantitas]]-表1[[#This Row],[Satuan]])</f>
        <v/>
      </c>
      <c r="H2954" s="28"/>
      <c r="I2954" s="25" t="str">
        <f>IF(表1[[#This Row],[Tgl NPBG]]&gt;表1[[#This Row],[Peminta]],表1[[#This Row],[Tgl NPBG]]-表1[[#This Row],[Peminta]],"")</f>
        <v/>
      </c>
      <c r="J2954" s="31"/>
    </row>
    <row r="2955" s="12" customFormat="1" customHeight="1" spans="2:10">
      <c r="B2955" s="25"/>
      <c r="C2955" s="25"/>
      <c r="D2955" s="26" t="str" cm="1">
        <f t="array" ref="D2955">IF(C2955="","",IFERROR(INDEX(STPP!$D$6:$D$4207,MATCH(C2955,STPP!$C$6:$C$4207,0)),"Not Found"))</f>
        <v/>
      </c>
      <c r="E2955" s="27" t="str" cm="1">
        <f t="array" ref="E2955">IF(C2955="","",IFERROR(INDEX(STPP!$E$6:$E$4207,MATCH(C2955,STPP!$C$6:$C$4207,0)),"Not Found"))</f>
        <v/>
      </c>
      <c r="F2955" s="27" t="str" cm="1">
        <f t="array" ref="F2955">IF(C2955="","",IFERROR(INDEX(STPP!$F$6:$F$4207,MATCH(C2955,STPP!$C$6:$C$4207,0)),"Not Found"))</f>
        <v/>
      </c>
      <c r="G2955" s="25" t="str">
        <f>IF(表1[[#This Row],[No Seri]]="","",表1[[#This Row],[Deskripsi Barang]]+表1[[#This Row],[Kuantitas]]-表1[[#This Row],[Satuan]])</f>
        <v/>
      </c>
      <c r="H2955" s="28"/>
      <c r="I2955" s="25" t="str">
        <f>IF(表1[[#This Row],[Tgl NPBG]]&gt;表1[[#This Row],[Peminta]],表1[[#This Row],[Tgl NPBG]]-表1[[#This Row],[Peminta]],"")</f>
        <v/>
      </c>
      <c r="J2955" s="31"/>
    </row>
    <row r="2956" s="12" customFormat="1" customHeight="1" spans="2:10">
      <c r="B2956" s="25"/>
      <c r="C2956" s="25"/>
      <c r="D2956" s="26" t="str" cm="1">
        <f t="array" ref="D2956">IF(C2956="","",IFERROR(INDEX(STPP!$D$6:$D$4207,MATCH(C2956,STPP!$C$6:$C$4207,0)),"Not Found"))</f>
        <v/>
      </c>
      <c r="E2956" s="27" t="str" cm="1">
        <f t="array" ref="E2956">IF(C2956="","",IFERROR(INDEX(STPP!$E$6:$E$4207,MATCH(C2956,STPP!$C$6:$C$4207,0)),"Not Found"))</f>
        <v/>
      </c>
      <c r="F2956" s="27" t="str" cm="1">
        <f t="array" ref="F2956">IF(C2956="","",IFERROR(INDEX(STPP!$F$6:$F$4207,MATCH(C2956,STPP!$C$6:$C$4207,0)),"Not Found"))</f>
        <v/>
      </c>
      <c r="G2956" s="25" t="str">
        <f>IF(表1[[#This Row],[No Seri]]="","",表1[[#This Row],[Deskripsi Barang]]+表1[[#This Row],[Kuantitas]]-表1[[#This Row],[Satuan]])</f>
        <v/>
      </c>
      <c r="H2956" s="28"/>
      <c r="I2956" s="25" t="str">
        <f>IF(表1[[#This Row],[Tgl NPBG]]&gt;表1[[#This Row],[Peminta]],表1[[#This Row],[Tgl NPBG]]-表1[[#This Row],[Peminta]],"")</f>
        <v/>
      </c>
      <c r="J2956" s="31"/>
    </row>
    <row r="2957" s="12" customFormat="1" customHeight="1" spans="2:10">
      <c r="B2957" s="25"/>
      <c r="C2957" s="25"/>
      <c r="D2957" s="26" t="str" cm="1">
        <f t="array" ref="D2957">IF(C2957="","",IFERROR(INDEX(STPP!$D$6:$D$4207,MATCH(C2957,STPP!$C$6:$C$4207,0)),"Not Found"))</f>
        <v/>
      </c>
      <c r="E2957" s="27" t="str" cm="1">
        <f t="array" ref="E2957">IF(C2957="","",IFERROR(INDEX(STPP!$E$6:$E$4207,MATCH(C2957,STPP!$C$6:$C$4207,0)),"Not Found"))</f>
        <v/>
      </c>
      <c r="F2957" s="27" t="str" cm="1">
        <f t="array" ref="F2957">IF(C2957="","",IFERROR(INDEX(STPP!$F$6:$F$4207,MATCH(C2957,STPP!$C$6:$C$4207,0)),"Not Found"))</f>
        <v/>
      </c>
      <c r="G2957" s="25" t="str">
        <f>IF(表1[[#This Row],[No Seri]]="","",表1[[#This Row],[Deskripsi Barang]]+表1[[#This Row],[Kuantitas]]-表1[[#This Row],[Satuan]])</f>
        <v/>
      </c>
      <c r="H2957" s="28"/>
      <c r="I2957" s="25" t="str">
        <f>IF(表1[[#This Row],[Tgl NPBG]]&gt;表1[[#This Row],[Peminta]],表1[[#This Row],[Tgl NPBG]]-表1[[#This Row],[Peminta]],"")</f>
        <v/>
      </c>
      <c r="J2957" s="31"/>
    </row>
    <row r="2958" s="12" customFormat="1" customHeight="1" spans="2:10">
      <c r="B2958" s="25"/>
      <c r="C2958" s="25"/>
      <c r="D2958" s="26" t="str" cm="1">
        <f t="array" ref="D2958">IF(C2958="","",IFERROR(INDEX(STPP!$D$6:$D$4207,MATCH(C2958,STPP!$C$6:$C$4207,0)),"Not Found"))</f>
        <v/>
      </c>
      <c r="E2958" s="27" t="str" cm="1">
        <f t="array" ref="E2958">IF(C2958="","",IFERROR(INDEX(STPP!$E$6:$E$4207,MATCH(C2958,STPP!$C$6:$C$4207,0)),"Not Found"))</f>
        <v/>
      </c>
      <c r="F2958" s="27" t="str" cm="1">
        <f t="array" ref="F2958">IF(C2958="","",IFERROR(INDEX(STPP!$F$6:$F$4207,MATCH(C2958,STPP!$C$6:$C$4207,0)),"Not Found"))</f>
        <v/>
      </c>
      <c r="G2958" s="25" t="str">
        <f>IF(表1[[#This Row],[No Seri]]="","",表1[[#This Row],[Deskripsi Barang]]+表1[[#This Row],[Kuantitas]]-表1[[#This Row],[Satuan]])</f>
        <v/>
      </c>
      <c r="H2958" s="28"/>
      <c r="I2958" s="25" t="str">
        <f>IF(表1[[#This Row],[Tgl NPBG]]&gt;表1[[#This Row],[Peminta]],表1[[#This Row],[Tgl NPBG]]-表1[[#This Row],[Peminta]],"")</f>
        <v/>
      </c>
      <c r="J2958" s="31"/>
    </row>
    <row r="2959" s="12" customFormat="1" customHeight="1" spans="2:10">
      <c r="B2959" s="25"/>
      <c r="C2959" s="25"/>
      <c r="D2959" s="26" t="str" cm="1">
        <f t="array" ref="D2959">IF(C2959="","",IFERROR(INDEX(STPP!$D$6:$D$4207,MATCH(C2959,STPP!$C$6:$C$4207,0)),"Not Found"))</f>
        <v/>
      </c>
      <c r="E2959" s="27" t="str" cm="1">
        <f t="array" ref="E2959">IF(C2959="","",IFERROR(INDEX(STPP!$E$6:$E$4207,MATCH(C2959,STPP!$C$6:$C$4207,0)),"Not Found"))</f>
        <v/>
      </c>
      <c r="F2959" s="27" t="str" cm="1">
        <f t="array" ref="F2959">IF(C2959="","",IFERROR(INDEX(STPP!$F$6:$F$4207,MATCH(C2959,STPP!$C$6:$C$4207,0)),"Not Found"))</f>
        <v/>
      </c>
      <c r="G2959" s="25" t="str">
        <f>IF(表1[[#This Row],[No Seri]]="","",表1[[#This Row],[Deskripsi Barang]]+表1[[#This Row],[Kuantitas]]-表1[[#This Row],[Satuan]])</f>
        <v/>
      </c>
      <c r="H2959" s="28"/>
      <c r="I2959" s="25" t="str">
        <f>IF(表1[[#This Row],[Tgl NPBG]]&gt;表1[[#This Row],[Peminta]],表1[[#This Row],[Tgl NPBG]]-表1[[#This Row],[Peminta]],"")</f>
        <v/>
      </c>
      <c r="J2959" s="31"/>
    </row>
    <row r="2960" s="12" customFormat="1" customHeight="1" spans="2:10">
      <c r="B2960" s="25"/>
      <c r="C2960" s="25"/>
      <c r="D2960" s="26" t="str" cm="1">
        <f t="array" ref="D2960">IF(C2960="","",IFERROR(INDEX(STPP!$D$6:$D$4207,MATCH(C2960,STPP!$C$6:$C$4207,0)),"Not Found"))</f>
        <v/>
      </c>
      <c r="E2960" s="27" t="str" cm="1">
        <f t="array" ref="E2960">IF(C2960="","",IFERROR(INDEX(STPP!$E$6:$E$4207,MATCH(C2960,STPP!$C$6:$C$4207,0)),"Not Found"))</f>
        <v/>
      </c>
      <c r="F2960" s="27" t="str" cm="1">
        <f t="array" ref="F2960">IF(C2960="","",IFERROR(INDEX(STPP!$F$6:$F$4207,MATCH(C2960,STPP!$C$6:$C$4207,0)),"Not Found"))</f>
        <v/>
      </c>
      <c r="G2960" s="25" t="str">
        <f>IF(表1[[#This Row],[No Seri]]="","",表1[[#This Row],[Deskripsi Barang]]+表1[[#This Row],[Kuantitas]]-表1[[#This Row],[Satuan]])</f>
        <v/>
      </c>
      <c r="H2960" s="28"/>
      <c r="I2960" s="25" t="str">
        <f>IF(表1[[#This Row],[Tgl NPBG]]&gt;表1[[#This Row],[Peminta]],表1[[#This Row],[Tgl NPBG]]-表1[[#This Row],[Peminta]],"")</f>
        <v/>
      </c>
      <c r="J2960" s="31"/>
    </row>
    <row r="2961" s="12" customFormat="1" customHeight="1" spans="2:10">
      <c r="B2961" s="25"/>
      <c r="C2961" s="25"/>
      <c r="D2961" s="26" t="str" cm="1">
        <f t="array" ref="D2961">IF(C2961="","",IFERROR(INDEX(STPP!$D$6:$D$4207,MATCH(C2961,STPP!$C$6:$C$4207,0)),"Not Found"))</f>
        <v/>
      </c>
      <c r="E2961" s="27" t="str" cm="1">
        <f t="array" ref="E2961">IF(C2961="","",IFERROR(INDEX(STPP!$E$6:$E$4207,MATCH(C2961,STPP!$C$6:$C$4207,0)),"Not Found"))</f>
        <v/>
      </c>
      <c r="F2961" s="27" t="str" cm="1">
        <f t="array" ref="F2961">IF(C2961="","",IFERROR(INDEX(STPP!$F$6:$F$4207,MATCH(C2961,STPP!$C$6:$C$4207,0)),"Not Found"))</f>
        <v/>
      </c>
      <c r="G2961" s="25" t="str">
        <f>IF(表1[[#This Row],[No Seri]]="","",表1[[#This Row],[Deskripsi Barang]]+表1[[#This Row],[Kuantitas]]-表1[[#This Row],[Satuan]])</f>
        <v/>
      </c>
      <c r="H2961" s="28"/>
      <c r="I2961" s="25" t="str">
        <f>IF(表1[[#This Row],[Tgl NPBG]]&gt;表1[[#This Row],[Peminta]],表1[[#This Row],[Tgl NPBG]]-表1[[#This Row],[Peminta]],"")</f>
        <v/>
      </c>
      <c r="J2961" s="31"/>
    </row>
    <row r="2962" s="12" customFormat="1" customHeight="1" spans="2:10">
      <c r="B2962" s="25"/>
      <c r="C2962" s="25"/>
      <c r="D2962" s="26" t="str" cm="1">
        <f t="array" ref="D2962">IF(C2962="","",IFERROR(INDEX(STPP!$D$6:$D$4207,MATCH(C2962,STPP!$C$6:$C$4207,0)),"Not Found"))</f>
        <v/>
      </c>
      <c r="E2962" s="27" t="str" cm="1">
        <f t="array" ref="E2962">IF(C2962="","",IFERROR(INDEX(STPP!$E$6:$E$4207,MATCH(C2962,STPP!$C$6:$C$4207,0)),"Not Found"))</f>
        <v/>
      </c>
      <c r="F2962" s="27" t="str" cm="1">
        <f t="array" ref="F2962">IF(C2962="","",IFERROR(INDEX(STPP!$F$6:$F$4207,MATCH(C2962,STPP!$C$6:$C$4207,0)),"Not Found"))</f>
        <v/>
      </c>
      <c r="G2962" s="25" t="str">
        <f>IF(表1[[#This Row],[No Seri]]="","",表1[[#This Row],[Deskripsi Barang]]+表1[[#This Row],[Kuantitas]]-表1[[#This Row],[Satuan]])</f>
        <v/>
      </c>
      <c r="H2962" s="28"/>
      <c r="I2962" s="25" t="str">
        <f>IF(表1[[#This Row],[Tgl NPBG]]&gt;表1[[#This Row],[Peminta]],表1[[#This Row],[Tgl NPBG]]-表1[[#This Row],[Peminta]],"")</f>
        <v/>
      </c>
      <c r="J2962" s="31"/>
    </row>
    <row r="2963" s="12" customFormat="1" customHeight="1" spans="2:10">
      <c r="B2963" s="25"/>
      <c r="C2963" s="25"/>
      <c r="D2963" s="26" t="str" cm="1">
        <f t="array" ref="D2963">IF(C2963="","",IFERROR(INDEX(STPP!$D$6:$D$4207,MATCH(C2963,STPP!$C$6:$C$4207,0)),"Not Found"))</f>
        <v/>
      </c>
      <c r="E2963" s="27" t="str" cm="1">
        <f t="array" ref="E2963">IF(C2963="","",IFERROR(INDEX(STPP!$E$6:$E$4207,MATCH(C2963,STPP!$C$6:$C$4207,0)),"Not Found"))</f>
        <v/>
      </c>
      <c r="F2963" s="27" t="str" cm="1">
        <f t="array" ref="F2963">IF(C2963="","",IFERROR(INDEX(STPP!$F$6:$F$4207,MATCH(C2963,STPP!$C$6:$C$4207,0)),"Not Found"))</f>
        <v/>
      </c>
      <c r="G2963" s="25" t="str">
        <f>IF(表1[[#This Row],[No Seri]]="","",表1[[#This Row],[Deskripsi Barang]]+表1[[#This Row],[Kuantitas]]-表1[[#This Row],[Satuan]])</f>
        <v/>
      </c>
      <c r="H2963" s="28"/>
      <c r="I2963" s="25" t="str">
        <f>IF(表1[[#This Row],[Tgl NPBG]]&gt;表1[[#This Row],[Peminta]],表1[[#This Row],[Tgl NPBG]]-表1[[#This Row],[Peminta]],"")</f>
        <v/>
      </c>
      <c r="J2963" s="31"/>
    </row>
    <row r="2964" s="12" customFormat="1" customHeight="1" spans="2:10">
      <c r="B2964" s="25"/>
      <c r="C2964" s="25"/>
      <c r="D2964" s="26" t="str" cm="1">
        <f t="array" ref="D2964">IF(C2964="","",IFERROR(INDEX(STPP!$D$6:$D$4207,MATCH(C2964,STPP!$C$6:$C$4207,0)),"Not Found"))</f>
        <v/>
      </c>
      <c r="E2964" s="27" t="str" cm="1">
        <f t="array" ref="E2964">IF(C2964="","",IFERROR(INDEX(STPP!$E$6:$E$4207,MATCH(C2964,STPP!$C$6:$C$4207,0)),"Not Found"))</f>
        <v/>
      </c>
      <c r="F2964" s="27" t="str" cm="1">
        <f t="array" ref="F2964">IF(C2964="","",IFERROR(INDEX(STPP!$F$6:$F$4207,MATCH(C2964,STPP!$C$6:$C$4207,0)),"Not Found"))</f>
        <v/>
      </c>
      <c r="G2964" s="25" t="str">
        <f>IF(表1[[#This Row],[No Seri]]="","",表1[[#This Row],[Deskripsi Barang]]+表1[[#This Row],[Kuantitas]]-表1[[#This Row],[Satuan]])</f>
        <v/>
      </c>
      <c r="H2964" s="28"/>
      <c r="I2964" s="25" t="str">
        <f>IF(表1[[#This Row],[Tgl NPBG]]&gt;表1[[#This Row],[Peminta]],表1[[#This Row],[Tgl NPBG]]-表1[[#This Row],[Peminta]],"")</f>
        <v/>
      </c>
      <c r="J2964" s="31"/>
    </row>
    <row r="2965" s="12" customFormat="1" customHeight="1" spans="2:10">
      <c r="B2965" s="25"/>
      <c r="C2965" s="25"/>
      <c r="D2965" s="26" t="str" cm="1">
        <f t="array" ref="D2965">IF(C2965="","",IFERROR(INDEX(STPP!$D$6:$D$4207,MATCH(C2965,STPP!$C$6:$C$4207,0)),"Not Found"))</f>
        <v/>
      </c>
      <c r="E2965" s="27" t="str" cm="1">
        <f t="array" ref="E2965">IF(C2965="","",IFERROR(INDEX(STPP!$E$6:$E$4207,MATCH(C2965,STPP!$C$6:$C$4207,0)),"Not Found"))</f>
        <v/>
      </c>
      <c r="F2965" s="27" t="str" cm="1">
        <f t="array" ref="F2965">IF(C2965="","",IFERROR(INDEX(STPP!$F$6:$F$4207,MATCH(C2965,STPP!$C$6:$C$4207,0)),"Not Found"))</f>
        <v/>
      </c>
      <c r="G2965" s="25" t="str">
        <f>IF(表1[[#This Row],[No Seri]]="","",表1[[#This Row],[Deskripsi Barang]]+表1[[#This Row],[Kuantitas]]-表1[[#This Row],[Satuan]])</f>
        <v/>
      </c>
      <c r="H2965" s="28"/>
      <c r="I2965" s="25" t="str">
        <f>IF(表1[[#This Row],[Tgl NPBG]]&gt;表1[[#This Row],[Peminta]],表1[[#This Row],[Tgl NPBG]]-表1[[#This Row],[Peminta]],"")</f>
        <v/>
      </c>
      <c r="J2965" s="31"/>
    </row>
    <row r="2966" s="12" customFormat="1" customHeight="1" spans="2:10">
      <c r="B2966" s="25"/>
      <c r="C2966" s="25"/>
      <c r="D2966" s="26" t="str" cm="1">
        <f t="array" ref="D2966">IF(C2966="","",IFERROR(INDEX(STPP!$D$6:$D$4207,MATCH(C2966,STPP!$C$6:$C$4207,0)),"Not Found"))</f>
        <v/>
      </c>
      <c r="E2966" s="27" t="str" cm="1">
        <f t="array" ref="E2966">IF(C2966="","",IFERROR(INDEX(STPP!$E$6:$E$4207,MATCH(C2966,STPP!$C$6:$C$4207,0)),"Not Found"))</f>
        <v/>
      </c>
      <c r="F2966" s="27" t="str" cm="1">
        <f t="array" ref="F2966">IF(C2966="","",IFERROR(INDEX(STPP!$F$6:$F$4207,MATCH(C2966,STPP!$C$6:$C$4207,0)),"Not Found"))</f>
        <v/>
      </c>
      <c r="G2966" s="25" t="str">
        <f>IF(表1[[#This Row],[No Seri]]="","",表1[[#This Row],[Deskripsi Barang]]+表1[[#This Row],[Kuantitas]]-表1[[#This Row],[Satuan]])</f>
        <v/>
      </c>
      <c r="H2966" s="28"/>
      <c r="I2966" s="25" t="str">
        <f>IF(表1[[#This Row],[Tgl NPBG]]&gt;表1[[#This Row],[Peminta]],表1[[#This Row],[Tgl NPBG]]-表1[[#This Row],[Peminta]],"")</f>
        <v/>
      </c>
      <c r="J2966" s="31"/>
    </row>
    <row r="2967" s="12" customFormat="1" customHeight="1" spans="2:10">
      <c r="B2967" s="25"/>
      <c r="C2967" s="25"/>
      <c r="D2967" s="26" t="str" cm="1">
        <f t="array" ref="D2967">IF(C2967="","",IFERROR(INDEX(STPP!$D$6:$D$4207,MATCH(C2967,STPP!$C$6:$C$4207,0)),"Not Found"))</f>
        <v/>
      </c>
      <c r="E2967" s="27" t="str" cm="1">
        <f t="array" ref="E2967">IF(C2967="","",IFERROR(INDEX(STPP!$E$6:$E$4207,MATCH(C2967,STPP!$C$6:$C$4207,0)),"Not Found"))</f>
        <v/>
      </c>
      <c r="F2967" s="27" t="str" cm="1">
        <f t="array" ref="F2967">IF(C2967="","",IFERROR(INDEX(STPP!$F$6:$F$4207,MATCH(C2967,STPP!$C$6:$C$4207,0)),"Not Found"))</f>
        <v/>
      </c>
      <c r="G2967" s="25" t="str">
        <f>IF(表1[[#This Row],[No Seri]]="","",表1[[#This Row],[Deskripsi Barang]]+表1[[#This Row],[Kuantitas]]-表1[[#This Row],[Satuan]])</f>
        <v/>
      </c>
      <c r="H2967" s="28"/>
      <c r="I2967" s="25" t="str">
        <f>IF(表1[[#This Row],[Tgl NPBG]]&gt;表1[[#This Row],[Peminta]],表1[[#This Row],[Tgl NPBG]]-表1[[#This Row],[Peminta]],"")</f>
        <v/>
      </c>
      <c r="J2967" s="31"/>
    </row>
    <row r="2968" s="12" customFormat="1" customHeight="1" spans="2:10">
      <c r="B2968" s="25"/>
      <c r="C2968" s="25"/>
      <c r="D2968" s="26" t="str" cm="1">
        <f t="array" ref="D2968">IF(C2968="","",IFERROR(INDEX(STPP!$D$6:$D$4207,MATCH(C2968,STPP!$C$6:$C$4207,0)),"Not Found"))</f>
        <v/>
      </c>
      <c r="E2968" s="27" t="str" cm="1">
        <f t="array" ref="E2968">IF(C2968="","",IFERROR(INDEX(STPP!$E$6:$E$4207,MATCH(C2968,STPP!$C$6:$C$4207,0)),"Not Found"))</f>
        <v/>
      </c>
      <c r="F2968" s="27" t="str" cm="1">
        <f t="array" ref="F2968">IF(C2968="","",IFERROR(INDEX(STPP!$F$6:$F$4207,MATCH(C2968,STPP!$C$6:$C$4207,0)),"Not Found"))</f>
        <v/>
      </c>
      <c r="G2968" s="25" t="str">
        <f>IF(表1[[#This Row],[No Seri]]="","",表1[[#This Row],[Deskripsi Barang]]+表1[[#This Row],[Kuantitas]]-表1[[#This Row],[Satuan]])</f>
        <v/>
      </c>
      <c r="H2968" s="28"/>
      <c r="I2968" s="25" t="str">
        <f>IF(表1[[#This Row],[Tgl NPBG]]&gt;表1[[#This Row],[Peminta]],表1[[#This Row],[Tgl NPBG]]-表1[[#This Row],[Peminta]],"")</f>
        <v/>
      </c>
      <c r="J2968" s="31"/>
    </row>
    <row r="2969" s="12" customFormat="1" customHeight="1" spans="2:10">
      <c r="B2969" s="25"/>
      <c r="C2969" s="25"/>
      <c r="D2969" s="26" t="str" cm="1">
        <f t="array" ref="D2969">IF(C2969="","",IFERROR(INDEX(STPP!$D$6:$D$4207,MATCH(C2969,STPP!$C$6:$C$4207,0)),"Not Found"))</f>
        <v/>
      </c>
      <c r="E2969" s="27" t="str" cm="1">
        <f t="array" ref="E2969">IF(C2969="","",IFERROR(INDEX(STPP!$E$6:$E$4207,MATCH(C2969,STPP!$C$6:$C$4207,0)),"Not Found"))</f>
        <v/>
      </c>
      <c r="F2969" s="27" t="str" cm="1">
        <f t="array" ref="F2969">IF(C2969="","",IFERROR(INDEX(STPP!$F$6:$F$4207,MATCH(C2969,STPP!$C$6:$C$4207,0)),"Not Found"))</f>
        <v/>
      </c>
      <c r="G2969" s="25" t="str">
        <f>IF(表1[[#This Row],[No Seri]]="","",表1[[#This Row],[Deskripsi Barang]]+表1[[#This Row],[Kuantitas]]-表1[[#This Row],[Satuan]])</f>
        <v/>
      </c>
      <c r="H2969" s="28"/>
      <c r="I2969" s="25" t="str">
        <f>IF(表1[[#This Row],[Tgl NPBG]]&gt;表1[[#This Row],[Peminta]],表1[[#This Row],[Tgl NPBG]]-表1[[#This Row],[Peminta]],"")</f>
        <v/>
      </c>
      <c r="J2969" s="31"/>
    </row>
    <row r="2970" s="12" customFormat="1" customHeight="1" spans="2:10">
      <c r="B2970" s="25"/>
      <c r="C2970" s="25"/>
      <c r="D2970" s="26" t="str" cm="1">
        <f t="array" ref="D2970">IF(C2970="","",IFERROR(INDEX(STPP!$D$6:$D$4207,MATCH(C2970,STPP!$C$6:$C$4207,0)),"Not Found"))</f>
        <v/>
      </c>
      <c r="E2970" s="27" t="str" cm="1">
        <f t="array" ref="E2970">IF(C2970="","",IFERROR(INDEX(STPP!$E$6:$E$4207,MATCH(C2970,STPP!$C$6:$C$4207,0)),"Not Found"))</f>
        <v/>
      </c>
      <c r="F2970" s="27" t="str" cm="1">
        <f t="array" ref="F2970">IF(C2970="","",IFERROR(INDEX(STPP!$F$6:$F$4207,MATCH(C2970,STPP!$C$6:$C$4207,0)),"Not Found"))</f>
        <v/>
      </c>
      <c r="G2970" s="25" t="str">
        <f>IF(表1[[#This Row],[No Seri]]="","",表1[[#This Row],[Deskripsi Barang]]+表1[[#This Row],[Kuantitas]]-表1[[#This Row],[Satuan]])</f>
        <v/>
      </c>
      <c r="H2970" s="28"/>
      <c r="I2970" s="25" t="str">
        <f>IF(表1[[#This Row],[Tgl NPBG]]&gt;表1[[#This Row],[Peminta]],表1[[#This Row],[Tgl NPBG]]-表1[[#This Row],[Peminta]],"")</f>
        <v/>
      </c>
      <c r="J2970" s="31"/>
    </row>
    <row r="2971" s="12" customFormat="1" customHeight="1" spans="2:10">
      <c r="B2971" s="25"/>
      <c r="C2971" s="25"/>
      <c r="D2971" s="26" t="str" cm="1">
        <f t="array" ref="D2971">IF(C2971="","",IFERROR(INDEX(STPP!$D$6:$D$4207,MATCH(C2971,STPP!$C$6:$C$4207,0)),"Not Found"))</f>
        <v/>
      </c>
      <c r="E2971" s="27" t="str" cm="1">
        <f t="array" ref="E2971">IF(C2971="","",IFERROR(INDEX(STPP!$E$6:$E$4207,MATCH(C2971,STPP!$C$6:$C$4207,0)),"Not Found"))</f>
        <v/>
      </c>
      <c r="F2971" s="27" t="str" cm="1">
        <f t="array" ref="F2971">IF(C2971="","",IFERROR(INDEX(STPP!$F$6:$F$4207,MATCH(C2971,STPP!$C$6:$C$4207,0)),"Not Found"))</f>
        <v/>
      </c>
      <c r="G2971" s="25" t="str">
        <f>IF(表1[[#This Row],[No Seri]]="","",表1[[#This Row],[Deskripsi Barang]]+表1[[#This Row],[Kuantitas]]-表1[[#This Row],[Satuan]])</f>
        <v/>
      </c>
      <c r="H2971" s="28"/>
      <c r="I2971" s="25" t="str">
        <f>IF(表1[[#This Row],[Tgl NPBG]]&gt;表1[[#This Row],[Peminta]],表1[[#This Row],[Tgl NPBG]]-表1[[#This Row],[Peminta]],"")</f>
        <v/>
      </c>
      <c r="J2971" s="31"/>
    </row>
    <row r="2972" s="12" customFormat="1" customHeight="1" spans="2:10">
      <c r="B2972" s="25"/>
      <c r="C2972" s="25"/>
      <c r="D2972" s="26" t="str" cm="1">
        <f t="array" ref="D2972">IF(C2972="","",IFERROR(INDEX(STPP!$D$6:$D$4207,MATCH(C2972,STPP!$C$6:$C$4207,0)),"Not Found"))</f>
        <v/>
      </c>
      <c r="E2972" s="27" t="str" cm="1">
        <f t="array" ref="E2972">IF(C2972="","",IFERROR(INDEX(STPP!$E$6:$E$4207,MATCH(C2972,STPP!$C$6:$C$4207,0)),"Not Found"))</f>
        <v/>
      </c>
      <c r="F2972" s="27" t="str" cm="1">
        <f t="array" ref="F2972">IF(C2972="","",IFERROR(INDEX(STPP!$F$6:$F$4207,MATCH(C2972,STPP!$C$6:$C$4207,0)),"Not Found"))</f>
        <v/>
      </c>
      <c r="G2972" s="25" t="str">
        <f>IF(表1[[#This Row],[No Seri]]="","",表1[[#This Row],[Deskripsi Barang]]+表1[[#This Row],[Kuantitas]]-表1[[#This Row],[Satuan]])</f>
        <v/>
      </c>
      <c r="H2972" s="28"/>
      <c r="I2972" s="25" t="str">
        <f>IF(表1[[#This Row],[Tgl NPBG]]&gt;表1[[#This Row],[Peminta]],表1[[#This Row],[Tgl NPBG]]-表1[[#This Row],[Peminta]],"")</f>
        <v/>
      </c>
      <c r="J2972" s="31"/>
    </row>
    <row r="2973" s="12" customFormat="1" customHeight="1" spans="2:10">
      <c r="B2973" s="25"/>
      <c r="C2973" s="25"/>
      <c r="D2973" s="26" t="str" cm="1">
        <f t="array" ref="D2973">IF(C2973="","",IFERROR(INDEX(STPP!$D$6:$D$4207,MATCH(C2973,STPP!$C$6:$C$4207,0)),"Not Found"))</f>
        <v/>
      </c>
      <c r="E2973" s="27" t="str" cm="1">
        <f t="array" ref="E2973">IF(C2973="","",IFERROR(INDEX(STPP!$E$6:$E$4207,MATCH(C2973,STPP!$C$6:$C$4207,0)),"Not Found"))</f>
        <v/>
      </c>
      <c r="F2973" s="27" t="str" cm="1">
        <f t="array" ref="F2973">IF(C2973="","",IFERROR(INDEX(STPP!$F$6:$F$4207,MATCH(C2973,STPP!$C$6:$C$4207,0)),"Not Found"))</f>
        <v/>
      </c>
      <c r="G2973" s="25" t="str">
        <f>IF(表1[[#This Row],[No Seri]]="","",表1[[#This Row],[Deskripsi Barang]]+表1[[#This Row],[Kuantitas]]-表1[[#This Row],[Satuan]])</f>
        <v/>
      </c>
      <c r="H2973" s="28"/>
      <c r="I2973" s="25" t="str">
        <f>IF(表1[[#This Row],[Tgl NPBG]]&gt;表1[[#This Row],[Peminta]],表1[[#This Row],[Tgl NPBG]]-表1[[#This Row],[Peminta]],"")</f>
        <v/>
      </c>
      <c r="J2973" s="31"/>
    </row>
    <row r="2974" s="12" customFormat="1" customHeight="1" spans="2:10">
      <c r="B2974" s="25"/>
      <c r="C2974" s="25"/>
      <c r="D2974" s="26" t="str" cm="1">
        <f t="array" ref="D2974">IF(C2974="","",IFERROR(INDEX(STPP!$D$6:$D$4207,MATCH(C2974,STPP!$C$6:$C$4207,0)),"Not Found"))</f>
        <v/>
      </c>
      <c r="E2974" s="27" t="str" cm="1">
        <f t="array" ref="E2974">IF(C2974="","",IFERROR(INDEX(STPP!$E$6:$E$4207,MATCH(C2974,STPP!$C$6:$C$4207,0)),"Not Found"))</f>
        <v/>
      </c>
      <c r="F2974" s="27" t="str" cm="1">
        <f t="array" ref="F2974">IF(C2974="","",IFERROR(INDEX(STPP!$F$6:$F$4207,MATCH(C2974,STPP!$C$6:$C$4207,0)),"Not Found"))</f>
        <v/>
      </c>
      <c r="G2974" s="25" t="str">
        <f>IF(表1[[#This Row],[No Seri]]="","",表1[[#This Row],[Deskripsi Barang]]+表1[[#This Row],[Kuantitas]]-表1[[#This Row],[Satuan]])</f>
        <v/>
      </c>
      <c r="H2974" s="28"/>
      <c r="I2974" s="25" t="str">
        <f>IF(表1[[#This Row],[Tgl NPBG]]&gt;表1[[#This Row],[Peminta]],表1[[#This Row],[Tgl NPBG]]-表1[[#This Row],[Peminta]],"")</f>
        <v/>
      </c>
      <c r="J2974" s="31"/>
    </row>
    <row r="2975" s="12" customFormat="1" customHeight="1" spans="2:10">
      <c r="B2975" s="25"/>
      <c r="C2975" s="25"/>
      <c r="D2975" s="26" t="str" cm="1">
        <f t="array" ref="D2975">IF(C2975="","",IFERROR(INDEX(STPP!$D$6:$D$4207,MATCH(C2975,STPP!$C$6:$C$4207,0)),"Not Found"))</f>
        <v/>
      </c>
      <c r="E2975" s="27" t="str" cm="1">
        <f t="array" ref="E2975">IF(C2975="","",IFERROR(INDEX(STPP!$E$6:$E$4207,MATCH(C2975,STPP!$C$6:$C$4207,0)),"Not Found"))</f>
        <v/>
      </c>
      <c r="F2975" s="27" t="str" cm="1">
        <f t="array" ref="F2975">IF(C2975="","",IFERROR(INDEX(STPP!$F$6:$F$4207,MATCH(C2975,STPP!$C$6:$C$4207,0)),"Not Found"))</f>
        <v/>
      </c>
      <c r="G2975" s="25" t="str">
        <f>IF(表1[[#This Row],[No Seri]]="","",表1[[#This Row],[Deskripsi Barang]]+表1[[#This Row],[Kuantitas]]-表1[[#This Row],[Satuan]])</f>
        <v/>
      </c>
      <c r="H2975" s="28"/>
      <c r="I2975" s="25" t="str">
        <f>IF(表1[[#This Row],[Tgl NPBG]]&gt;表1[[#This Row],[Peminta]],表1[[#This Row],[Tgl NPBG]]-表1[[#This Row],[Peminta]],"")</f>
        <v/>
      </c>
      <c r="J2975" s="31"/>
    </row>
    <row r="2976" s="12" customFormat="1" customHeight="1" spans="2:10">
      <c r="B2976" s="25"/>
      <c r="C2976" s="25"/>
      <c r="D2976" s="26" t="str" cm="1">
        <f t="array" ref="D2976">IF(C2976="","",IFERROR(INDEX(STPP!$D$6:$D$4207,MATCH(C2976,STPP!$C$6:$C$4207,0)),"Not Found"))</f>
        <v/>
      </c>
      <c r="E2976" s="27" t="str" cm="1">
        <f t="array" ref="E2976">IF(C2976="","",IFERROR(INDEX(STPP!$E$6:$E$4207,MATCH(C2976,STPP!$C$6:$C$4207,0)),"Not Found"))</f>
        <v/>
      </c>
      <c r="F2976" s="27" t="str" cm="1">
        <f t="array" ref="F2976">IF(C2976="","",IFERROR(INDEX(STPP!$F$6:$F$4207,MATCH(C2976,STPP!$C$6:$C$4207,0)),"Not Found"))</f>
        <v/>
      </c>
      <c r="G2976" s="25" t="str">
        <f>IF(表1[[#This Row],[No Seri]]="","",表1[[#This Row],[Deskripsi Barang]]+表1[[#This Row],[Kuantitas]]-表1[[#This Row],[Satuan]])</f>
        <v/>
      </c>
      <c r="H2976" s="28"/>
      <c r="I2976" s="25" t="str">
        <f>IF(表1[[#This Row],[Tgl NPBG]]&gt;表1[[#This Row],[Peminta]],表1[[#This Row],[Tgl NPBG]]-表1[[#This Row],[Peminta]],"")</f>
        <v/>
      </c>
      <c r="J2976" s="31"/>
    </row>
    <row r="2977" s="12" customFormat="1" customHeight="1" spans="2:10">
      <c r="B2977" s="25"/>
      <c r="C2977" s="25"/>
      <c r="D2977" s="26" t="str" cm="1">
        <f t="array" ref="D2977">IF(C2977="","",IFERROR(INDEX(STPP!$D$6:$D$4207,MATCH(C2977,STPP!$C$6:$C$4207,0)),"Not Found"))</f>
        <v/>
      </c>
      <c r="E2977" s="27" t="str" cm="1">
        <f t="array" ref="E2977">IF(C2977="","",IFERROR(INDEX(STPP!$E$6:$E$4207,MATCH(C2977,STPP!$C$6:$C$4207,0)),"Not Found"))</f>
        <v/>
      </c>
      <c r="F2977" s="27" t="str" cm="1">
        <f t="array" ref="F2977">IF(C2977="","",IFERROR(INDEX(STPP!$F$6:$F$4207,MATCH(C2977,STPP!$C$6:$C$4207,0)),"Not Found"))</f>
        <v/>
      </c>
      <c r="G2977" s="25" t="str">
        <f>IF(表1[[#This Row],[No Seri]]="","",表1[[#This Row],[Deskripsi Barang]]+表1[[#This Row],[Kuantitas]]-表1[[#This Row],[Satuan]])</f>
        <v/>
      </c>
      <c r="H2977" s="28"/>
      <c r="I2977" s="25" t="str">
        <f>IF(表1[[#This Row],[Tgl NPBG]]&gt;表1[[#This Row],[Peminta]],表1[[#This Row],[Tgl NPBG]]-表1[[#This Row],[Peminta]],"")</f>
        <v/>
      </c>
      <c r="J2977" s="31"/>
    </row>
    <row r="2978" s="12" customFormat="1" customHeight="1" spans="2:10">
      <c r="B2978" s="25"/>
      <c r="C2978" s="25"/>
      <c r="D2978" s="26" t="str" cm="1">
        <f t="array" ref="D2978">IF(C2978="","",IFERROR(INDEX(STPP!$D$6:$D$4207,MATCH(C2978,STPP!$C$6:$C$4207,0)),"Not Found"))</f>
        <v/>
      </c>
      <c r="E2978" s="27" t="str" cm="1">
        <f t="array" ref="E2978">IF(C2978="","",IFERROR(INDEX(STPP!$E$6:$E$4207,MATCH(C2978,STPP!$C$6:$C$4207,0)),"Not Found"))</f>
        <v/>
      </c>
      <c r="F2978" s="27" t="str" cm="1">
        <f t="array" ref="F2978">IF(C2978="","",IFERROR(INDEX(STPP!$F$6:$F$4207,MATCH(C2978,STPP!$C$6:$C$4207,0)),"Not Found"))</f>
        <v/>
      </c>
      <c r="G2978" s="25" t="str">
        <f>IF(表1[[#This Row],[No Seri]]="","",表1[[#This Row],[Deskripsi Barang]]+表1[[#This Row],[Kuantitas]]-表1[[#This Row],[Satuan]])</f>
        <v/>
      </c>
      <c r="H2978" s="28"/>
      <c r="I2978" s="25" t="str">
        <f>IF(表1[[#This Row],[Tgl NPBG]]&gt;表1[[#This Row],[Peminta]],表1[[#This Row],[Tgl NPBG]]-表1[[#This Row],[Peminta]],"")</f>
        <v/>
      </c>
      <c r="J2978" s="31"/>
    </row>
    <row r="2979" s="12" customFormat="1" customHeight="1" spans="2:10">
      <c r="B2979" s="25"/>
      <c r="C2979" s="25"/>
      <c r="D2979" s="26" t="str" cm="1">
        <f t="array" ref="D2979">IF(C2979="","",IFERROR(INDEX(STPP!$D$6:$D$4207,MATCH(C2979,STPP!$C$6:$C$4207,0)),"Not Found"))</f>
        <v/>
      </c>
      <c r="E2979" s="27" t="str" cm="1">
        <f t="array" ref="E2979">IF(C2979="","",IFERROR(INDEX(STPP!$E$6:$E$4207,MATCH(C2979,STPP!$C$6:$C$4207,0)),"Not Found"))</f>
        <v/>
      </c>
      <c r="F2979" s="27" t="str" cm="1">
        <f t="array" ref="F2979">IF(C2979="","",IFERROR(INDEX(STPP!$F$6:$F$4207,MATCH(C2979,STPP!$C$6:$C$4207,0)),"Not Found"))</f>
        <v/>
      </c>
      <c r="G2979" s="25" t="str">
        <f>IF(表1[[#This Row],[No Seri]]="","",表1[[#This Row],[Deskripsi Barang]]+表1[[#This Row],[Kuantitas]]-表1[[#This Row],[Satuan]])</f>
        <v/>
      </c>
      <c r="H2979" s="28"/>
      <c r="I2979" s="25" t="str">
        <f>IF(表1[[#This Row],[Tgl NPBG]]&gt;表1[[#This Row],[Peminta]],表1[[#This Row],[Tgl NPBG]]-表1[[#This Row],[Peminta]],"")</f>
        <v/>
      </c>
      <c r="J2979" s="31"/>
    </row>
    <row r="2980" s="12" customFormat="1" customHeight="1" spans="2:10">
      <c r="B2980" s="25"/>
      <c r="C2980" s="25"/>
      <c r="D2980" s="26" t="str" cm="1">
        <f t="array" ref="D2980">IF(C2980="","",IFERROR(INDEX(STPP!$D$6:$D$4207,MATCH(C2980,STPP!$C$6:$C$4207,0)),"Not Found"))</f>
        <v/>
      </c>
      <c r="E2980" s="27" t="str" cm="1">
        <f t="array" ref="E2980">IF(C2980="","",IFERROR(INDEX(STPP!$E$6:$E$4207,MATCH(C2980,STPP!$C$6:$C$4207,0)),"Not Found"))</f>
        <v/>
      </c>
      <c r="F2980" s="27" t="str" cm="1">
        <f t="array" ref="F2980">IF(C2980="","",IFERROR(INDEX(STPP!$F$6:$F$4207,MATCH(C2980,STPP!$C$6:$C$4207,0)),"Not Found"))</f>
        <v/>
      </c>
      <c r="G2980" s="25" t="str">
        <f>IF(表1[[#This Row],[No Seri]]="","",表1[[#This Row],[Deskripsi Barang]]+表1[[#This Row],[Kuantitas]]-表1[[#This Row],[Satuan]])</f>
        <v/>
      </c>
      <c r="H2980" s="28"/>
      <c r="I2980" s="25" t="str">
        <f>IF(表1[[#This Row],[Tgl NPBG]]&gt;表1[[#This Row],[Peminta]],表1[[#This Row],[Tgl NPBG]]-表1[[#This Row],[Peminta]],"")</f>
        <v/>
      </c>
      <c r="J2980" s="31"/>
    </row>
    <row r="2981" s="12" customFormat="1" customHeight="1" spans="2:10">
      <c r="B2981" s="25"/>
      <c r="C2981" s="25"/>
      <c r="D2981" s="26" t="str" cm="1">
        <f t="array" ref="D2981">IF(C2981="","",IFERROR(INDEX(STPP!$D$6:$D$4207,MATCH(C2981,STPP!$C$6:$C$4207,0)),"Not Found"))</f>
        <v/>
      </c>
      <c r="E2981" s="27" t="str" cm="1">
        <f t="array" ref="E2981">IF(C2981="","",IFERROR(INDEX(STPP!$E$6:$E$4207,MATCH(C2981,STPP!$C$6:$C$4207,0)),"Not Found"))</f>
        <v/>
      </c>
      <c r="F2981" s="27" t="str" cm="1">
        <f t="array" ref="F2981">IF(C2981="","",IFERROR(INDEX(STPP!$F$6:$F$4207,MATCH(C2981,STPP!$C$6:$C$4207,0)),"Not Found"))</f>
        <v/>
      </c>
      <c r="G2981" s="25" t="str">
        <f>IF(表1[[#This Row],[No Seri]]="","",表1[[#This Row],[Deskripsi Barang]]+表1[[#This Row],[Kuantitas]]-表1[[#This Row],[Satuan]])</f>
        <v/>
      </c>
      <c r="H2981" s="28"/>
      <c r="I2981" s="25" t="str">
        <f>IF(表1[[#This Row],[Tgl NPBG]]&gt;表1[[#This Row],[Peminta]],表1[[#This Row],[Tgl NPBG]]-表1[[#This Row],[Peminta]],"")</f>
        <v/>
      </c>
      <c r="J2981" s="31"/>
    </row>
    <row r="2982" s="12" customFormat="1" customHeight="1" spans="2:10">
      <c r="B2982" s="25"/>
      <c r="C2982" s="25"/>
      <c r="D2982" s="26" t="str" cm="1">
        <f t="array" ref="D2982">IF(C2982="","",IFERROR(INDEX(STPP!$D$6:$D$4207,MATCH(C2982,STPP!$C$6:$C$4207,0)),"Not Found"))</f>
        <v/>
      </c>
      <c r="E2982" s="27" t="str" cm="1">
        <f t="array" ref="E2982">IF(C2982="","",IFERROR(INDEX(STPP!$E$6:$E$4207,MATCH(C2982,STPP!$C$6:$C$4207,0)),"Not Found"))</f>
        <v/>
      </c>
      <c r="F2982" s="27" t="str" cm="1">
        <f t="array" ref="F2982">IF(C2982="","",IFERROR(INDEX(STPP!$F$6:$F$4207,MATCH(C2982,STPP!$C$6:$C$4207,0)),"Not Found"))</f>
        <v/>
      </c>
      <c r="G2982" s="25" t="str">
        <f>IF(表1[[#This Row],[No Seri]]="","",表1[[#This Row],[Deskripsi Barang]]+表1[[#This Row],[Kuantitas]]-表1[[#This Row],[Satuan]])</f>
        <v/>
      </c>
      <c r="H2982" s="28"/>
      <c r="I2982" s="25" t="str">
        <f>IF(表1[[#This Row],[Tgl NPBG]]&gt;表1[[#This Row],[Peminta]],表1[[#This Row],[Tgl NPBG]]-表1[[#This Row],[Peminta]],"")</f>
        <v/>
      </c>
      <c r="J2982" s="31"/>
    </row>
    <row r="2983" s="12" customFormat="1" customHeight="1" spans="2:10">
      <c r="B2983" s="25"/>
      <c r="C2983" s="25"/>
      <c r="D2983" s="26" t="str" cm="1">
        <f t="array" ref="D2983">IF(C2983="","",IFERROR(INDEX(STPP!$D$6:$D$4207,MATCH(C2983,STPP!$C$6:$C$4207,0)),"Not Found"))</f>
        <v/>
      </c>
      <c r="E2983" s="27" t="str" cm="1">
        <f t="array" ref="E2983">IF(C2983="","",IFERROR(INDEX(STPP!$E$6:$E$4207,MATCH(C2983,STPP!$C$6:$C$4207,0)),"Not Found"))</f>
        <v/>
      </c>
      <c r="F2983" s="27" t="str" cm="1">
        <f t="array" ref="F2983">IF(C2983="","",IFERROR(INDEX(STPP!$F$6:$F$4207,MATCH(C2983,STPP!$C$6:$C$4207,0)),"Not Found"))</f>
        <v/>
      </c>
      <c r="G2983" s="25" t="str">
        <f>IF(表1[[#This Row],[No Seri]]="","",表1[[#This Row],[Deskripsi Barang]]+表1[[#This Row],[Kuantitas]]-表1[[#This Row],[Satuan]])</f>
        <v/>
      </c>
      <c r="H2983" s="28"/>
      <c r="I2983" s="25" t="str">
        <f>IF(表1[[#This Row],[Tgl NPBG]]&gt;表1[[#This Row],[Peminta]],表1[[#This Row],[Tgl NPBG]]-表1[[#This Row],[Peminta]],"")</f>
        <v/>
      </c>
      <c r="J2983" s="31"/>
    </row>
    <row r="2984" s="12" customFormat="1" customHeight="1" spans="2:10">
      <c r="B2984" s="25"/>
      <c r="C2984" s="25"/>
      <c r="D2984" s="26" t="str" cm="1">
        <f t="array" ref="D2984">IF(C2984="","",IFERROR(INDEX(STPP!$D$6:$D$4207,MATCH(C2984,STPP!$C$6:$C$4207,0)),"Not Found"))</f>
        <v/>
      </c>
      <c r="E2984" s="27" t="str" cm="1">
        <f t="array" ref="E2984">IF(C2984="","",IFERROR(INDEX(STPP!$E$6:$E$4207,MATCH(C2984,STPP!$C$6:$C$4207,0)),"Not Found"))</f>
        <v/>
      </c>
      <c r="F2984" s="27" t="str" cm="1">
        <f t="array" ref="F2984">IF(C2984="","",IFERROR(INDEX(STPP!$F$6:$F$4207,MATCH(C2984,STPP!$C$6:$C$4207,0)),"Not Found"))</f>
        <v/>
      </c>
      <c r="G2984" s="25" t="str">
        <f>IF(表1[[#This Row],[No Seri]]="","",表1[[#This Row],[Deskripsi Barang]]+表1[[#This Row],[Kuantitas]]-表1[[#This Row],[Satuan]])</f>
        <v/>
      </c>
      <c r="H2984" s="28"/>
      <c r="I2984" s="25" t="str">
        <f>IF(表1[[#This Row],[Tgl NPBG]]&gt;表1[[#This Row],[Peminta]],表1[[#This Row],[Tgl NPBG]]-表1[[#This Row],[Peminta]],"")</f>
        <v/>
      </c>
      <c r="J2984" s="31"/>
    </row>
    <row r="2985" s="12" customFormat="1" customHeight="1" spans="2:10">
      <c r="B2985" s="25"/>
      <c r="C2985" s="25"/>
      <c r="D2985" s="26" t="str" cm="1">
        <f t="array" ref="D2985">IF(C2985="","",IFERROR(INDEX(STPP!$D$6:$D$4207,MATCH(C2985,STPP!$C$6:$C$4207,0)),"Not Found"))</f>
        <v/>
      </c>
      <c r="E2985" s="27" t="str" cm="1">
        <f t="array" ref="E2985">IF(C2985="","",IFERROR(INDEX(STPP!$E$6:$E$4207,MATCH(C2985,STPP!$C$6:$C$4207,0)),"Not Found"))</f>
        <v/>
      </c>
      <c r="F2985" s="27" t="str" cm="1">
        <f t="array" ref="F2985">IF(C2985="","",IFERROR(INDEX(STPP!$F$6:$F$4207,MATCH(C2985,STPP!$C$6:$C$4207,0)),"Not Found"))</f>
        <v/>
      </c>
      <c r="G2985" s="25" t="str">
        <f>IF(表1[[#This Row],[No Seri]]="","",表1[[#This Row],[Deskripsi Barang]]+表1[[#This Row],[Kuantitas]]-表1[[#This Row],[Satuan]])</f>
        <v/>
      </c>
      <c r="H2985" s="28"/>
      <c r="I2985" s="25" t="str">
        <f>IF(表1[[#This Row],[Tgl NPBG]]&gt;表1[[#This Row],[Peminta]],表1[[#This Row],[Tgl NPBG]]-表1[[#This Row],[Peminta]],"")</f>
        <v/>
      </c>
      <c r="J2985" s="31"/>
    </row>
    <row r="2986" s="12" customFormat="1" customHeight="1" spans="2:10">
      <c r="B2986" s="25"/>
      <c r="C2986" s="25"/>
      <c r="D2986" s="26" t="str" cm="1">
        <f t="array" ref="D2986">IF(C2986="","",IFERROR(INDEX(STPP!$D$6:$D$4207,MATCH(C2986,STPP!$C$6:$C$4207,0)),"Not Found"))</f>
        <v/>
      </c>
      <c r="E2986" s="27" t="str" cm="1">
        <f t="array" ref="E2986">IF(C2986="","",IFERROR(INDEX(STPP!$E$6:$E$4207,MATCH(C2986,STPP!$C$6:$C$4207,0)),"Not Found"))</f>
        <v/>
      </c>
      <c r="F2986" s="27" t="str" cm="1">
        <f t="array" ref="F2986">IF(C2986="","",IFERROR(INDEX(STPP!$F$6:$F$4207,MATCH(C2986,STPP!$C$6:$C$4207,0)),"Not Found"))</f>
        <v/>
      </c>
      <c r="G2986" s="25" t="str">
        <f>IF(表1[[#This Row],[No Seri]]="","",表1[[#This Row],[Deskripsi Barang]]+表1[[#This Row],[Kuantitas]]-表1[[#This Row],[Satuan]])</f>
        <v/>
      </c>
      <c r="H2986" s="28"/>
      <c r="I2986" s="25" t="str">
        <f>IF(表1[[#This Row],[Tgl NPBG]]&gt;表1[[#This Row],[Peminta]],表1[[#This Row],[Tgl NPBG]]-表1[[#This Row],[Peminta]],"")</f>
        <v/>
      </c>
      <c r="J2986" s="31"/>
    </row>
    <row r="2987" s="12" customFormat="1" customHeight="1" spans="2:10">
      <c r="B2987" s="25"/>
      <c r="C2987" s="25"/>
      <c r="D2987" s="26" t="str" cm="1">
        <f t="array" ref="D2987">IF(C2987="","",IFERROR(INDEX(STPP!$D$6:$D$4207,MATCH(C2987,STPP!$C$6:$C$4207,0)),"Not Found"))</f>
        <v/>
      </c>
      <c r="E2987" s="27" t="str" cm="1">
        <f t="array" ref="E2987">IF(C2987="","",IFERROR(INDEX(STPP!$E$6:$E$4207,MATCH(C2987,STPP!$C$6:$C$4207,0)),"Not Found"))</f>
        <v/>
      </c>
      <c r="F2987" s="27" t="str" cm="1">
        <f t="array" ref="F2987">IF(C2987="","",IFERROR(INDEX(STPP!$F$6:$F$4207,MATCH(C2987,STPP!$C$6:$C$4207,0)),"Not Found"))</f>
        <v/>
      </c>
      <c r="G2987" s="25" t="str">
        <f>IF(表1[[#This Row],[No Seri]]="","",表1[[#This Row],[Deskripsi Barang]]+表1[[#This Row],[Kuantitas]]-表1[[#This Row],[Satuan]])</f>
        <v/>
      </c>
      <c r="H2987" s="28"/>
      <c r="I2987" s="25" t="str">
        <f>IF(表1[[#This Row],[Tgl NPBG]]&gt;表1[[#This Row],[Peminta]],表1[[#This Row],[Tgl NPBG]]-表1[[#This Row],[Peminta]],"")</f>
        <v/>
      </c>
      <c r="J2987" s="31"/>
    </row>
    <row r="2988" s="12" customFormat="1" customHeight="1" spans="2:10">
      <c r="B2988" s="25"/>
      <c r="C2988" s="25"/>
      <c r="D2988" s="26" t="str" cm="1">
        <f t="array" ref="D2988">IF(C2988="","",IFERROR(INDEX(STPP!$D$6:$D$4207,MATCH(C2988,STPP!$C$6:$C$4207,0)),"Not Found"))</f>
        <v/>
      </c>
      <c r="E2988" s="27" t="str" cm="1">
        <f t="array" ref="E2988">IF(C2988="","",IFERROR(INDEX(STPP!$E$6:$E$4207,MATCH(C2988,STPP!$C$6:$C$4207,0)),"Not Found"))</f>
        <v/>
      </c>
      <c r="F2988" s="27" t="str" cm="1">
        <f t="array" ref="F2988">IF(C2988="","",IFERROR(INDEX(STPP!$F$6:$F$4207,MATCH(C2988,STPP!$C$6:$C$4207,0)),"Not Found"))</f>
        <v/>
      </c>
      <c r="G2988" s="25" t="str">
        <f>IF(表1[[#This Row],[No Seri]]="","",表1[[#This Row],[Deskripsi Barang]]+表1[[#This Row],[Kuantitas]]-表1[[#This Row],[Satuan]])</f>
        <v/>
      </c>
      <c r="H2988" s="28"/>
      <c r="I2988" s="25" t="str">
        <f>IF(表1[[#This Row],[Tgl NPBG]]&gt;表1[[#This Row],[Peminta]],表1[[#This Row],[Tgl NPBG]]-表1[[#This Row],[Peminta]],"")</f>
        <v/>
      </c>
      <c r="J2988" s="31"/>
    </row>
    <row r="2989" s="12" customFormat="1" customHeight="1" spans="2:10">
      <c r="B2989" s="25"/>
      <c r="C2989" s="25"/>
      <c r="D2989" s="26" t="str" cm="1">
        <f t="array" ref="D2989">IF(C2989="","",IFERROR(INDEX(STPP!$D$6:$D$4207,MATCH(C2989,STPP!$C$6:$C$4207,0)),"Not Found"))</f>
        <v/>
      </c>
      <c r="E2989" s="27" t="str" cm="1">
        <f t="array" ref="E2989">IF(C2989="","",IFERROR(INDEX(STPP!$E$6:$E$4207,MATCH(C2989,STPP!$C$6:$C$4207,0)),"Not Found"))</f>
        <v/>
      </c>
      <c r="F2989" s="27" t="str" cm="1">
        <f t="array" ref="F2989">IF(C2989="","",IFERROR(INDEX(STPP!$F$6:$F$4207,MATCH(C2989,STPP!$C$6:$C$4207,0)),"Not Found"))</f>
        <v/>
      </c>
      <c r="G2989" s="25" t="str">
        <f>IF(表1[[#This Row],[No Seri]]="","",表1[[#This Row],[Deskripsi Barang]]+表1[[#This Row],[Kuantitas]]-表1[[#This Row],[Satuan]])</f>
        <v/>
      </c>
      <c r="H2989" s="28"/>
      <c r="I2989" s="25" t="str">
        <f>IF(表1[[#This Row],[Tgl NPBG]]&gt;表1[[#This Row],[Peminta]],表1[[#This Row],[Tgl NPBG]]-表1[[#This Row],[Peminta]],"")</f>
        <v/>
      </c>
      <c r="J2989" s="31"/>
    </row>
    <row r="2990" s="12" customFormat="1" customHeight="1" spans="2:10">
      <c r="B2990" s="25"/>
      <c r="C2990" s="25"/>
      <c r="D2990" s="26" t="str" cm="1">
        <f t="array" ref="D2990">IF(C2990="","",IFERROR(INDEX(STPP!$D$6:$D$4207,MATCH(C2990,STPP!$C$6:$C$4207,0)),"Not Found"))</f>
        <v/>
      </c>
      <c r="E2990" s="27" t="str" cm="1">
        <f t="array" ref="E2990">IF(C2990="","",IFERROR(INDEX(STPP!$E$6:$E$4207,MATCH(C2990,STPP!$C$6:$C$4207,0)),"Not Found"))</f>
        <v/>
      </c>
      <c r="F2990" s="27" t="str" cm="1">
        <f t="array" ref="F2990">IF(C2990="","",IFERROR(INDEX(STPP!$F$6:$F$4207,MATCH(C2990,STPP!$C$6:$C$4207,0)),"Not Found"))</f>
        <v/>
      </c>
      <c r="G2990" s="25" t="str">
        <f>IF(表1[[#This Row],[No Seri]]="","",表1[[#This Row],[Deskripsi Barang]]+表1[[#This Row],[Kuantitas]]-表1[[#This Row],[Satuan]])</f>
        <v/>
      </c>
      <c r="H2990" s="28"/>
      <c r="I2990" s="25" t="str">
        <f>IF(表1[[#This Row],[Tgl NPBG]]&gt;表1[[#This Row],[Peminta]],表1[[#This Row],[Tgl NPBG]]-表1[[#This Row],[Peminta]],"")</f>
        <v/>
      </c>
      <c r="J2990" s="31"/>
    </row>
    <row r="2991" s="12" customFormat="1" customHeight="1" spans="2:10">
      <c r="B2991" s="25"/>
      <c r="C2991" s="25"/>
      <c r="D2991" s="26" t="str" cm="1">
        <f t="array" ref="D2991">IF(C2991="","",IFERROR(INDEX(STPP!$D$6:$D$4207,MATCH(C2991,STPP!$C$6:$C$4207,0)),"Not Found"))</f>
        <v/>
      </c>
      <c r="E2991" s="27" t="str" cm="1">
        <f t="array" ref="E2991">IF(C2991="","",IFERROR(INDEX(STPP!$E$6:$E$4207,MATCH(C2991,STPP!$C$6:$C$4207,0)),"Not Found"))</f>
        <v/>
      </c>
      <c r="F2991" s="27" t="str" cm="1">
        <f t="array" ref="F2991">IF(C2991="","",IFERROR(INDEX(STPP!$F$6:$F$4207,MATCH(C2991,STPP!$C$6:$C$4207,0)),"Not Found"))</f>
        <v/>
      </c>
      <c r="G2991" s="25" t="str">
        <f>IF(表1[[#This Row],[No Seri]]="","",表1[[#This Row],[Deskripsi Barang]]+表1[[#This Row],[Kuantitas]]-表1[[#This Row],[Satuan]])</f>
        <v/>
      </c>
      <c r="H2991" s="28"/>
      <c r="I2991" s="25" t="str">
        <f>IF(表1[[#This Row],[Tgl NPBG]]&gt;表1[[#This Row],[Peminta]],表1[[#This Row],[Tgl NPBG]]-表1[[#This Row],[Peminta]],"")</f>
        <v/>
      </c>
      <c r="J2991" s="31"/>
    </row>
    <row r="2992" s="12" customFormat="1" customHeight="1" spans="2:10">
      <c r="B2992" s="25"/>
      <c r="C2992" s="25"/>
      <c r="D2992" s="26" t="str" cm="1">
        <f t="array" ref="D2992">IF(C2992="","",IFERROR(INDEX(STPP!$D$6:$D$4207,MATCH(C2992,STPP!$C$6:$C$4207,0)),"Not Found"))</f>
        <v/>
      </c>
      <c r="E2992" s="27" t="str" cm="1">
        <f t="array" ref="E2992">IF(C2992="","",IFERROR(INDEX(STPP!$E$6:$E$4207,MATCH(C2992,STPP!$C$6:$C$4207,0)),"Not Found"))</f>
        <v/>
      </c>
      <c r="F2992" s="27" t="str" cm="1">
        <f t="array" ref="F2992">IF(C2992="","",IFERROR(INDEX(STPP!$F$6:$F$4207,MATCH(C2992,STPP!$C$6:$C$4207,0)),"Not Found"))</f>
        <v/>
      </c>
      <c r="G2992" s="25" t="str">
        <f>IF(表1[[#This Row],[No Seri]]="","",表1[[#This Row],[Deskripsi Barang]]+表1[[#This Row],[Kuantitas]]-表1[[#This Row],[Satuan]])</f>
        <v/>
      </c>
      <c r="H2992" s="28"/>
      <c r="I2992" s="25" t="str">
        <f>IF(表1[[#This Row],[Tgl NPBG]]&gt;表1[[#This Row],[Peminta]],表1[[#This Row],[Tgl NPBG]]-表1[[#This Row],[Peminta]],"")</f>
        <v/>
      </c>
      <c r="J2992" s="31"/>
    </row>
    <row r="2993" s="12" customFormat="1" customHeight="1" spans="2:10">
      <c r="B2993" s="25"/>
      <c r="C2993" s="25"/>
      <c r="D2993" s="26" t="str" cm="1">
        <f t="array" ref="D2993">IF(C2993="","",IFERROR(INDEX(STPP!$D$6:$D$4207,MATCH(C2993,STPP!$C$6:$C$4207,0)),"Not Found"))</f>
        <v/>
      </c>
      <c r="E2993" s="27" t="str" cm="1">
        <f t="array" ref="E2993">IF(C2993="","",IFERROR(INDEX(STPP!$E$6:$E$4207,MATCH(C2993,STPP!$C$6:$C$4207,0)),"Not Found"))</f>
        <v/>
      </c>
      <c r="F2993" s="27" t="str" cm="1">
        <f t="array" ref="F2993">IF(C2993="","",IFERROR(INDEX(STPP!$F$6:$F$4207,MATCH(C2993,STPP!$C$6:$C$4207,0)),"Not Found"))</f>
        <v/>
      </c>
      <c r="G2993" s="25" t="str">
        <f>IF(表1[[#This Row],[No Seri]]="","",表1[[#This Row],[Deskripsi Barang]]+表1[[#This Row],[Kuantitas]]-表1[[#This Row],[Satuan]])</f>
        <v/>
      </c>
      <c r="H2993" s="28"/>
      <c r="I2993" s="25" t="str">
        <f>IF(表1[[#This Row],[Tgl NPBG]]&gt;表1[[#This Row],[Peminta]],表1[[#This Row],[Tgl NPBG]]-表1[[#This Row],[Peminta]],"")</f>
        <v/>
      </c>
      <c r="J2993" s="31"/>
    </row>
    <row r="2994" s="12" customFormat="1" customHeight="1" spans="2:10">
      <c r="B2994" s="25"/>
      <c r="C2994" s="25"/>
      <c r="D2994" s="26" t="str" cm="1">
        <f t="array" ref="D2994">IF(C2994="","",IFERROR(INDEX(STPP!$D$6:$D$4207,MATCH(C2994,STPP!$C$6:$C$4207,0)),"Not Found"))</f>
        <v/>
      </c>
      <c r="E2994" s="27" t="str" cm="1">
        <f t="array" ref="E2994">IF(C2994="","",IFERROR(INDEX(STPP!$E$6:$E$4207,MATCH(C2994,STPP!$C$6:$C$4207,0)),"Not Found"))</f>
        <v/>
      </c>
      <c r="F2994" s="27" t="str" cm="1">
        <f t="array" ref="F2994">IF(C2994="","",IFERROR(INDEX(STPP!$F$6:$F$4207,MATCH(C2994,STPP!$C$6:$C$4207,0)),"Not Found"))</f>
        <v/>
      </c>
      <c r="G2994" s="25" t="str">
        <f>IF(表1[[#This Row],[No Seri]]="","",表1[[#This Row],[Deskripsi Barang]]+表1[[#This Row],[Kuantitas]]-表1[[#This Row],[Satuan]])</f>
        <v/>
      </c>
      <c r="H2994" s="28"/>
      <c r="I2994" s="25" t="str">
        <f>IF(表1[[#This Row],[Tgl NPBG]]&gt;表1[[#This Row],[Peminta]],表1[[#This Row],[Tgl NPBG]]-表1[[#This Row],[Peminta]],"")</f>
        <v/>
      </c>
      <c r="J2994" s="31"/>
    </row>
    <row r="2995" s="12" customFormat="1" customHeight="1" spans="2:10">
      <c r="B2995" s="25"/>
      <c r="C2995" s="25"/>
      <c r="D2995" s="26" t="str" cm="1">
        <f t="array" ref="D2995">IF(C2995="","",IFERROR(INDEX(STPP!$D$6:$D$4207,MATCH(C2995,STPP!$C$6:$C$4207,0)),"Not Found"))</f>
        <v/>
      </c>
      <c r="E2995" s="27" t="str" cm="1">
        <f t="array" ref="E2995">IF(C2995="","",IFERROR(INDEX(STPP!$E$6:$E$4207,MATCH(C2995,STPP!$C$6:$C$4207,0)),"Not Found"))</f>
        <v/>
      </c>
      <c r="F2995" s="27" t="str" cm="1">
        <f t="array" ref="F2995">IF(C2995="","",IFERROR(INDEX(STPP!$F$6:$F$4207,MATCH(C2995,STPP!$C$6:$C$4207,0)),"Not Found"))</f>
        <v/>
      </c>
      <c r="G2995" s="25" t="str">
        <f>IF(表1[[#This Row],[No Seri]]="","",表1[[#This Row],[Deskripsi Barang]]+表1[[#This Row],[Kuantitas]]-表1[[#This Row],[Satuan]])</f>
        <v/>
      </c>
      <c r="H2995" s="28"/>
      <c r="I2995" s="25" t="str">
        <f>IF(表1[[#This Row],[Tgl NPBG]]&gt;表1[[#This Row],[Peminta]],表1[[#This Row],[Tgl NPBG]]-表1[[#This Row],[Peminta]],"")</f>
        <v/>
      </c>
      <c r="J2995" s="31"/>
    </row>
    <row r="2996" s="12" customFormat="1" customHeight="1" spans="2:10">
      <c r="B2996" s="25"/>
      <c r="C2996" s="25"/>
      <c r="D2996" s="26" t="str" cm="1">
        <f t="array" ref="D2996">IF(C2996="","",IFERROR(INDEX(STPP!$D$6:$D$4207,MATCH(C2996,STPP!$C$6:$C$4207,0)),"Not Found"))</f>
        <v/>
      </c>
      <c r="E2996" s="27" t="str" cm="1">
        <f t="array" ref="E2996">IF(C2996="","",IFERROR(INDEX(STPP!$E$6:$E$4207,MATCH(C2996,STPP!$C$6:$C$4207,0)),"Not Found"))</f>
        <v/>
      </c>
      <c r="F2996" s="27" t="str" cm="1">
        <f t="array" ref="F2996">IF(C2996="","",IFERROR(INDEX(STPP!$F$6:$F$4207,MATCH(C2996,STPP!$C$6:$C$4207,0)),"Not Found"))</f>
        <v/>
      </c>
      <c r="G2996" s="25" t="str">
        <f>IF(表1[[#This Row],[No Seri]]="","",表1[[#This Row],[Deskripsi Barang]]+表1[[#This Row],[Kuantitas]]-表1[[#This Row],[Satuan]])</f>
        <v/>
      </c>
      <c r="H2996" s="28"/>
      <c r="I2996" s="25" t="str">
        <f>IF(表1[[#This Row],[Tgl NPBG]]&gt;表1[[#This Row],[Peminta]],表1[[#This Row],[Tgl NPBG]]-表1[[#This Row],[Peminta]],"")</f>
        <v/>
      </c>
      <c r="J2996" s="31"/>
    </row>
    <row r="2997" s="12" customFormat="1" customHeight="1" spans="2:10">
      <c r="B2997" s="25"/>
      <c r="C2997" s="25"/>
      <c r="D2997" s="26" t="str" cm="1">
        <f t="array" ref="D2997">IF(C2997="","",IFERROR(INDEX(STPP!$D$6:$D$4207,MATCH(C2997,STPP!$C$6:$C$4207,0)),"Not Found"))</f>
        <v/>
      </c>
      <c r="E2997" s="27" t="str" cm="1">
        <f t="array" ref="E2997">IF(C2997="","",IFERROR(INDEX(STPP!$E$6:$E$4207,MATCH(C2997,STPP!$C$6:$C$4207,0)),"Not Found"))</f>
        <v/>
      </c>
      <c r="F2997" s="27" t="str" cm="1">
        <f t="array" ref="F2997">IF(C2997="","",IFERROR(INDEX(STPP!$F$6:$F$4207,MATCH(C2997,STPP!$C$6:$C$4207,0)),"Not Found"))</f>
        <v/>
      </c>
      <c r="G2997" s="25" t="str">
        <f>IF(表1[[#This Row],[No Seri]]="","",表1[[#This Row],[Deskripsi Barang]]+表1[[#This Row],[Kuantitas]]-表1[[#This Row],[Satuan]])</f>
        <v/>
      </c>
      <c r="H2997" s="28"/>
      <c r="I2997" s="25" t="str">
        <f>IF(表1[[#This Row],[Tgl NPBG]]&gt;表1[[#This Row],[Peminta]],表1[[#This Row],[Tgl NPBG]]-表1[[#This Row],[Peminta]],"")</f>
        <v/>
      </c>
      <c r="J2997" s="31"/>
    </row>
    <row r="2998" s="12" customFormat="1" customHeight="1" spans="2:10">
      <c r="B2998" s="25"/>
      <c r="C2998" s="25"/>
      <c r="D2998" s="26" t="str" cm="1">
        <f t="array" ref="D2998">IF(C2998="","",IFERROR(INDEX(STPP!$D$6:$D$4207,MATCH(C2998,STPP!$C$6:$C$4207,0)),"Not Found"))</f>
        <v/>
      </c>
      <c r="E2998" s="27" t="str" cm="1">
        <f t="array" ref="E2998">IF(C2998="","",IFERROR(INDEX(STPP!$E$6:$E$4207,MATCH(C2998,STPP!$C$6:$C$4207,0)),"Not Found"))</f>
        <v/>
      </c>
      <c r="F2998" s="27" t="str" cm="1">
        <f t="array" ref="F2998">IF(C2998="","",IFERROR(INDEX(STPP!$F$6:$F$4207,MATCH(C2998,STPP!$C$6:$C$4207,0)),"Not Found"))</f>
        <v/>
      </c>
      <c r="G2998" s="25" t="str">
        <f>IF(表1[[#This Row],[No Seri]]="","",表1[[#This Row],[Deskripsi Barang]]+表1[[#This Row],[Kuantitas]]-表1[[#This Row],[Satuan]])</f>
        <v/>
      </c>
      <c r="H2998" s="28"/>
      <c r="I2998" s="25" t="str">
        <f>IF(表1[[#This Row],[Tgl NPBG]]&gt;表1[[#This Row],[Peminta]],表1[[#This Row],[Tgl NPBG]]-表1[[#This Row],[Peminta]],"")</f>
        <v/>
      </c>
      <c r="J2998" s="31"/>
    </row>
    <row r="2999" s="12" customFormat="1" customHeight="1" spans="2:10">
      <c r="B2999" s="25"/>
      <c r="C2999" s="25"/>
      <c r="D2999" s="26" t="str" cm="1">
        <f t="array" ref="D2999">IF(C2999="","",IFERROR(INDEX(STPP!$D$6:$D$4207,MATCH(C2999,STPP!$C$6:$C$4207,0)),"Not Found"))</f>
        <v/>
      </c>
      <c r="E2999" s="27" t="str" cm="1">
        <f t="array" ref="E2999">IF(C2999="","",IFERROR(INDEX(STPP!$E$6:$E$4207,MATCH(C2999,STPP!$C$6:$C$4207,0)),"Not Found"))</f>
        <v/>
      </c>
      <c r="F2999" s="27" t="str" cm="1">
        <f t="array" ref="F2999">IF(C2999="","",IFERROR(INDEX(STPP!$F$6:$F$4207,MATCH(C2999,STPP!$C$6:$C$4207,0)),"Not Found"))</f>
        <v/>
      </c>
      <c r="G2999" s="25" t="str">
        <f>IF(表1[[#This Row],[No Seri]]="","",表1[[#This Row],[Deskripsi Barang]]+表1[[#This Row],[Kuantitas]]-表1[[#This Row],[Satuan]])</f>
        <v/>
      </c>
      <c r="H2999" s="28"/>
      <c r="I2999" s="25" t="str">
        <f>IF(表1[[#This Row],[Tgl NPBG]]&gt;表1[[#This Row],[Peminta]],表1[[#This Row],[Tgl NPBG]]-表1[[#This Row],[Peminta]],"")</f>
        <v/>
      </c>
      <c r="J2999" s="31"/>
    </row>
    <row r="3000" s="12" customFormat="1" customHeight="1" spans="2:10">
      <c r="B3000" s="25"/>
      <c r="C3000" s="25"/>
      <c r="D3000" s="26" t="str" cm="1">
        <f t="array" ref="D3000">IF(C3000="","",IFERROR(INDEX(STPP!$D$6:$D$4207,MATCH(C3000,STPP!$C$6:$C$4207,0)),"Not Found"))</f>
        <v/>
      </c>
      <c r="E3000" s="27" t="str" cm="1">
        <f t="array" ref="E3000">IF(C3000="","",IFERROR(INDEX(STPP!$E$6:$E$4207,MATCH(C3000,STPP!$C$6:$C$4207,0)),"Not Found"))</f>
        <v/>
      </c>
      <c r="F3000" s="27" t="str" cm="1">
        <f t="array" ref="F3000">IF(C3000="","",IFERROR(INDEX(STPP!$F$6:$F$4207,MATCH(C3000,STPP!$C$6:$C$4207,0)),"Not Found"))</f>
        <v/>
      </c>
      <c r="G3000" s="25" t="str">
        <f>IF(表1[[#This Row],[No Seri]]="","",表1[[#This Row],[Deskripsi Barang]]+表1[[#This Row],[Kuantitas]]-表1[[#This Row],[Satuan]])</f>
        <v/>
      </c>
      <c r="H3000" s="28"/>
      <c r="I3000" s="25" t="str">
        <f>IF(表1[[#This Row],[Tgl NPBG]]&gt;表1[[#This Row],[Peminta]],表1[[#This Row],[Tgl NPBG]]-表1[[#This Row],[Peminta]],"")</f>
        <v/>
      </c>
      <c r="J3000" s="31"/>
    </row>
    <row r="3001" s="12" customFormat="1" customHeight="1" spans="2:10">
      <c r="B3001" s="25"/>
      <c r="C3001" s="25"/>
      <c r="D3001" s="26" t="str" cm="1">
        <f t="array" ref="D3001">IF(C3001="","",IFERROR(INDEX(STPP!$D$6:$D$4207,MATCH(C3001,STPP!$C$6:$C$4207,0)),"Not Found"))</f>
        <v/>
      </c>
      <c r="E3001" s="27" t="str" cm="1">
        <f t="array" ref="E3001">IF(C3001="","",IFERROR(INDEX(STPP!$E$6:$E$4207,MATCH(C3001,STPP!$C$6:$C$4207,0)),"Not Found"))</f>
        <v/>
      </c>
      <c r="F3001" s="27" t="str" cm="1">
        <f t="array" ref="F3001">IF(C3001="","",IFERROR(INDEX(STPP!$F$6:$F$4207,MATCH(C3001,STPP!$C$6:$C$4207,0)),"Not Found"))</f>
        <v/>
      </c>
      <c r="G3001" s="25" t="str">
        <f>IF(表1[[#This Row],[No Seri]]="","",表1[[#This Row],[Deskripsi Barang]]+表1[[#This Row],[Kuantitas]]-表1[[#This Row],[Satuan]])</f>
        <v/>
      </c>
      <c r="H3001" s="28"/>
      <c r="I3001" s="25" t="str">
        <f>IF(表1[[#This Row],[Tgl NPBG]]&gt;表1[[#This Row],[Peminta]],表1[[#This Row],[Tgl NPBG]]-表1[[#This Row],[Peminta]],"")</f>
        <v/>
      </c>
      <c r="J3001" s="31"/>
    </row>
    <row r="3002" s="12" customFormat="1" customHeight="1" spans="2:10">
      <c r="B3002" s="25"/>
      <c r="C3002" s="25"/>
      <c r="D3002" s="26" t="str" cm="1">
        <f t="array" ref="D3002">IF(C3002="","",IFERROR(INDEX(STPP!$D$6:$D$4207,MATCH(C3002,STPP!$C$6:$C$4207,0)),"Not Found"))</f>
        <v/>
      </c>
      <c r="E3002" s="27" t="str" cm="1">
        <f t="array" ref="E3002">IF(C3002="","",IFERROR(INDEX(STPP!$E$6:$E$4207,MATCH(C3002,STPP!$C$6:$C$4207,0)),"Not Found"))</f>
        <v/>
      </c>
      <c r="F3002" s="27" t="str" cm="1">
        <f t="array" ref="F3002">IF(C3002="","",IFERROR(INDEX(STPP!$F$6:$F$4207,MATCH(C3002,STPP!$C$6:$C$4207,0)),"Not Found"))</f>
        <v/>
      </c>
      <c r="G3002" s="25" t="str">
        <f>IF(表1[[#This Row],[No Seri]]="","",表1[[#This Row],[Deskripsi Barang]]+表1[[#This Row],[Kuantitas]]-表1[[#This Row],[Satuan]])</f>
        <v/>
      </c>
      <c r="H3002" s="28"/>
      <c r="I3002" s="25" t="str">
        <f>IF(表1[[#This Row],[Tgl NPBG]]&gt;表1[[#This Row],[Peminta]],表1[[#This Row],[Tgl NPBG]]-表1[[#This Row],[Peminta]],"")</f>
        <v/>
      </c>
      <c r="J3002" s="31"/>
    </row>
    <row r="3003" s="12" customFormat="1" customHeight="1" spans="2:10">
      <c r="B3003" s="25"/>
      <c r="C3003" s="25"/>
      <c r="D3003" s="26" t="str" cm="1">
        <f t="array" ref="D3003">IF(C3003="","",IFERROR(INDEX(STPP!$D$6:$D$4207,MATCH(C3003,STPP!$C$6:$C$4207,0)),"Not Found"))</f>
        <v/>
      </c>
      <c r="E3003" s="27" t="str" cm="1">
        <f t="array" ref="E3003">IF(C3003="","",IFERROR(INDEX(STPP!$E$6:$E$4207,MATCH(C3003,STPP!$C$6:$C$4207,0)),"Not Found"))</f>
        <v/>
      </c>
      <c r="F3003" s="27" t="str" cm="1">
        <f t="array" ref="F3003">IF(C3003="","",IFERROR(INDEX(STPP!$F$6:$F$4207,MATCH(C3003,STPP!$C$6:$C$4207,0)),"Not Found"))</f>
        <v/>
      </c>
      <c r="G3003" s="25" t="str">
        <f>IF(表1[[#This Row],[No Seri]]="","",表1[[#This Row],[Deskripsi Barang]]+表1[[#This Row],[Kuantitas]]-表1[[#This Row],[Satuan]])</f>
        <v/>
      </c>
      <c r="H3003" s="28"/>
      <c r="I3003" s="25" t="str">
        <f>IF(表1[[#This Row],[Tgl NPBG]]&gt;表1[[#This Row],[Peminta]],表1[[#This Row],[Tgl NPBG]]-表1[[#This Row],[Peminta]],"")</f>
        <v/>
      </c>
      <c r="J3003" s="31"/>
    </row>
    <row r="3004" s="12" customFormat="1" customHeight="1" spans="2:10">
      <c r="B3004" s="25"/>
      <c r="C3004" s="25"/>
      <c r="D3004" s="26" t="str" cm="1">
        <f t="array" ref="D3004">IF(C3004="","",IFERROR(INDEX(STPP!$D$6:$D$4207,MATCH(C3004,STPP!$C$6:$C$4207,0)),"Not Found"))</f>
        <v/>
      </c>
      <c r="E3004" s="27" t="str" cm="1">
        <f t="array" ref="E3004">IF(C3004="","",IFERROR(INDEX(STPP!$E$6:$E$4207,MATCH(C3004,STPP!$C$6:$C$4207,0)),"Not Found"))</f>
        <v/>
      </c>
      <c r="F3004" s="27" t="str" cm="1">
        <f t="array" ref="F3004">IF(C3004="","",IFERROR(INDEX(STPP!$F$6:$F$4207,MATCH(C3004,STPP!$C$6:$C$4207,0)),"Not Found"))</f>
        <v/>
      </c>
      <c r="G3004" s="25" t="str">
        <f>IF(表1[[#This Row],[No Seri]]="","",表1[[#This Row],[Deskripsi Barang]]+表1[[#This Row],[Kuantitas]]-表1[[#This Row],[Satuan]])</f>
        <v/>
      </c>
      <c r="H3004" s="28"/>
      <c r="I3004" s="25" t="str">
        <f>IF(表1[[#This Row],[Tgl NPBG]]&gt;表1[[#This Row],[Peminta]],表1[[#This Row],[Tgl NPBG]]-表1[[#This Row],[Peminta]],"")</f>
        <v/>
      </c>
      <c r="J3004" s="31"/>
    </row>
    <row r="3005" s="12" customFormat="1" customHeight="1" spans="2:10">
      <c r="B3005" s="25"/>
      <c r="C3005" s="25"/>
      <c r="D3005" s="26" t="str" cm="1">
        <f t="array" ref="D3005">IF(C3005="","",IFERROR(INDEX(STPP!$D$6:$D$4207,MATCH(C3005,STPP!$C$6:$C$4207,0)),"Not Found"))</f>
        <v/>
      </c>
      <c r="E3005" s="27" t="str" cm="1">
        <f t="array" ref="E3005">IF(C3005="","",IFERROR(INDEX(STPP!$E$6:$E$4207,MATCH(C3005,STPP!$C$6:$C$4207,0)),"Not Found"))</f>
        <v/>
      </c>
      <c r="F3005" s="27" t="str" cm="1">
        <f t="array" ref="F3005">IF(C3005="","",IFERROR(INDEX(STPP!$F$6:$F$4207,MATCH(C3005,STPP!$C$6:$C$4207,0)),"Not Found"))</f>
        <v/>
      </c>
      <c r="G3005" s="25" t="str">
        <f>IF(表1[[#This Row],[No Seri]]="","",表1[[#This Row],[Deskripsi Barang]]+表1[[#This Row],[Kuantitas]]-表1[[#This Row],[Satuan]])</f>
        <v/>
      </c>
      <c r="H3005" s="28"/>
      <c r="I3005" s="25" t="str">
        <f>IF(表1[[#This Row],[Tgl NPBG]]&gt;表1[[#This Row],[Peminta]],表1[[#This Row],[Tgl NPBG]]-表1[[#This Row],[Peminta]],"")</f>
        <v/>
      </c>
      <c r="J3005" s="31"/>
    </row>
    <row r="3006" s="12" customFormat="1" customHeight="1" spans="2:10">
      <c r="B3006" s="25"/>
      <c r="C3006" s="25"/>
      <c r="D3006" s="26" t="str" cm="1">
        <f t="array" ref="D3006">IF(C3006="","",IFERROR(INDEX(STPP!$D$6:$D$4207,MATCH(C3006,STPP!$C$6:$C$4207,0)),"Not Found"))</f>
        <v/>
      </c>
      <c r="E3006" s="27" t="str" cm="1">
        <f t="array" ref="E3006">IF(C3006="","",IFERROR(INDEX(STPP!$E$6:$E$4207,MATCH(C3006,STPP!$C$6:$C$4207,0)),"Not Found"))</f>
        <v/>
      </c>
      <c r="F3006" s="27" t="str" cm="1">
        <f t="array" ref="F3006">IF(C3006="","",IFERROR(INDEX(STPP!$F$6:$F$4207,MATCH(C3006,STPP!$C$6:$C$4207,0)),"Not Found"))</f>
        <v/>
      </c>
      <c r="G3006" s="25" t="str">
        <f>IF(表1[[#This Row],[No Seri]]="","",表1[[#This Row],[Deskripsi Barang]]+表1[[#This Row],[Kuantitas]]-表1[[#This Row],[Satuan]])</f>
        <v/>
      </c>
      <c r="H3006" s="28"/>
      <c r="I3006" s="25" t="str">
        <f>IF(表1[[#This Row],[Tgl NPBG]]&gt;表1[[#This Row],[Peminta]],表1[[#This Row],[Tgl NPBG]]-表1[[#This Row],[Peminta]],"")</f>
        <v/>
      </c>
      <c r="J3006" s="31"/>
    </row>
    <row r="3007" s="12" customFormat="1" customHeight="1" spans="2:10">
      <c r="B3007" s="25"/>
      <c r="C3007" s="25"/>
      <c r="D3007" s="26" t="str" cm="1">
        <f t="array" ref="D3007">IF(C3007="","",IFERROR(INDEX(STPP!$D$6:$D$4207,MATCH(C3007,STPP!$C$6:$C$4207,0)),"Not Found"))</f>
        <v/>
      </c>
      <c r="E3007" s="27" t="str" cm="1">
        <f t="array" ref="E3007">IF(C3007="","",IFERROR(INDEX(STPP!$E$6:$E$4207,MATCH(C3007,STPP!$C$6:$C$4207,0)),"Not Found"))</f>
        <v/>
      </c>
      <c r="F3007" s="27" t="str" cm="1">
        <f t="array" ref="F3007">IF(C3007="","",IFERROR(INDEX(STPP!$F$6:$F$4207,MATCH(C3007,STPP!$C$6:$C$4207,0)),"Not Found"))</f>
        <v/>
      </c>
      <c r="G3007" s="25" t="str">
        <f>IF(表1[[#This Row],[No Seri]]="","",表1[[#This Row],[Deskripsi Barang]]+表1[[#This Row],[Kuantitas]]-表1[[#This Row],[Satuan]])</f>
        <v/>
      </c>
      <c r="H3007" s="28"/>
      <c r="I3007" s="25" t="str">
        <f>IF(表1[[#This Row],[Tgl NPBG]]&gt;表1[[#This Row],[Peminta]],表1[[#This Row],[Tgl NPBG]]-表1[[#This Row],[Peminta]],"")</f>
        <v/>
      </c>
      <c r="J3007" s="31"/>
    </row>
    <row r="3008" s="12" customFormat="1" customHeight="1" spans="2:10">
      <c r="B3008" s="25"/>
      <c r="C3008" s="25"/>
      <c r="D3008" s="26" t="str" cm="1">
        <f t="array" ref="D3008">IF(C3008="","",IFERROR(INDEX(STPP!$D$6:$D$4207,MATCH(C3008,STPP!$C$6:$C$4207,0)),"Not Found"))</f>
        <v/>
      </c>
      <c r="E3008" s="27" t="str" cm="1">
        <f t="array" ref="E3008">IF(C3008="","",IFERROR(INDEX(STPP!$E$6:$E$4207,MATCH(C3008,STPP!$C$6:$C$4207,0)),"Not Found"))</f>
        <v/>
      </c>
      <c r="F3008" s="27" t="str" cm="1">
        <f t="array" ref="F3008">IF(C3008="","",IFERROR(INDEX(STPP!$F$6:$F$4207,MATCH(C3008,STPP!$C$6:$C$4207,0)),"Not Found"))</f>
        <v/>
      </c>
      <c r="G3008" s="25" t="str">
        <f>IF(表1[[#This Row],[No Seri]]="","",表1[[#This Row],[Deskripsi Barang]]+表1[[#This Row],[Kuantitas]]-表1[[#This Row],[Satuan]])</f>
        <v/>
      </c>
      <c r="H3008" s="28"/>
      <c r="I3008" s="25" t="str">
        <f>IF(表1[[#This Row],[Tgl NPBG]]&gt;表1[[#This Row],[Peminta]],表1[[#This Row],[Tgl NPBG]]-表1[[#This Row],[Peminta]],"")</f>
        <v/>
      </c>
      <c r="J3008" s="31"/>
    </row>
    <row r="3009" s="12" customFormat="1" customHeight="1" spans="2:10">
      <c r="B3009" s="25"/>
      <c r="C3009" s="25"/>
      <c r="D3009" s="26" t="str" cm="1">
        <f t="array" ref="D3009">IF(C3009="","",IFERROR(INDEX(STPP!$D$6:$D$4207,MATCH(C3009,STPP!$C$6:$C$4207,0)),"Not Found"))</f>
        <v/>
      </c>
      <c r="E3009" s="27" t="str" cm="1">
        <f t="array" ref="E3009">IF(C3009="","",IFERROR(INDEX(STPP!$E$6:$E$4207,MATCH(C3009,STPP!$C$6:$C$4207,0)),"Not Found"))</f>
        <v/>
      </c>
      <c r="F3009" s="27" t="str" cm="1">
        <f t="array" ref="F3009">IF(C3009="","",IFERROR(INDEX(STPP!$F$6:$F$4207,MATCH(C3009,STPP!$C$6:$C$4207,0)),"Not Found"))</f>
        <v/>
      </c>
      <c r="G3009" s="25" t="str">
        <f>IF(表1[[#This Row],[No Seri]]="","",表1[[#This Row],[Deskripsi Barang]]+表1[[#This Row],[Kuantitas]]-表1[[#This Row],[Satuan]])</f>
        <v/>
      </c>
      <c r="H3009" s="28"/>
      <c r="I3009" s="25" t="str">
        <f>IF(表1[[#This Row],[Tgl NPBG]]&gt;表1[[#This Row],[Peminta]],表1[[#This Row],[Tgl NPBG]]-表1[[#This Row],[Peminta]],"")</f>
        <v/>
      </c>
      <c r="J3009" s="31"/>
    </row>
    <row r="3010" s="12" customFormat="1" customHeight="1" spans="2:10">
      <c r="B3010" s="25"/>
      <c r="C3010" s="25"/>
      <c r="D3010" s="26" t="str" cm="1">
        <f t="array" ref="D3010">IF(C3010="","",IFERROR(INDEX(STPP!$D$6:$D$4207,MATCH(C3010,STPP!$C$6:$C$4207,0)),"Not Found"))</f>
        <v/>
      </c>
      <c r="E3010" s="27" t="str" cm="1">
        <f t="array" ref="E3010">IF(C3010="","",IFERROR(INDEX(STPP!$E$6:$E$4207,MATCH(C3010,STPP!$C$6:$C$4207,0)),"Not Found"))</f>
        <v/>
      </c>
      <c r="F3010" s="27" t="str" cm="1">
        <f t="array" ref="F3010">IF(C3010="","",IFERROR(INDEX(STPP!$F$6:$F$4207,MATCH(C3010,STPP!$C$6:$C$4207,0)),"Not Found"))</f>
        <v/>
      </c>
      <c r="G3010" s="25" t="str">
        <f>IF(表1[[#This Row],[No Seri]]="","",表1[[#This Row],[Deskripsi Barang]]+表1[[#This Row],[Kuantitas]]-表1[[#This Row],[Satuan]])</f>
        <v/>
      </c>
      <c r="H3010" s="28"/>
      <c r="I3010" s="25" t="str">
        <f>IF(表1[[#This Row],[Tgl NPBG]]&gt;表1[[#This Row],[Peminta]],表1[[#This Row],[Tgl NPBG]]-表1[[#This Row],[Peminta]],"")</f>
        <v/>
      </c>
      <c r="J3010" s="31"/>
    </row>
    <row r="3011" s="12" customFormat="1" customHeight="1" spans="2:10">
      <c r="B3011" s="25"/>
      <c r="C3011" s="25"/>
      <c r="D3011" s="26" t="str" cm="1">
        <f t="array" ref="D3011">IF(C3011="","",IFERROR(INDEX(STPP!$D$6:$D$4207,MATCH(C3011,STPP!$C$6:$C$4207,0)),"Not Found"))</f>
        <v/>
      </c>
      <c r="E3011" s="27" t="str" cm="1">
        <f t="array" ref="E3011">IF(C3011="","",IFERROR(INDEX(STPP!$E$6:$E$4207,MATCH(C3011,STPP!$C$6:$C$4207,0)),"Not Found"))</f>
        <v/>
      </c>
      <c r="F3011" s="27" t="str" cm="1">
        <f t="array" ref="F3011">IF(C3011="","",IFERROR(INDEX(STPP!$F$6:$F$4207,MATCH(C3011,STPP!$C$6:$C$4207,0)),"Not Found"))</f>
        <v/>
      </c>
      <c r="G3011" s="25" t="str">
        <f>IF(表1[[#This Row],[No Seri]]="","",表1[[#This Row],[Deskripsi Barang]]+表1[[#This Row],[Kuantitas]]-表1[[#This Row],[Satuan]])</f>
        <v/>
      </c>
      <c r="H3011" s="28"/>
      <c r="I3011" s="25" t="str">
        <f>IF(表1[[#This Row],[Tgl NPBG]]&gt;表1[[#This Row],[Peminta]],表1[[#This Row],[Tgl NPBG]]-表1[[#This Row],[Peminta]],"")</f>
        <v/>
      </c>
      <c r="J3011" s="31"/>
    </row>
    <row r="3012" s="12" customFormat="1" customHeight="1" spans="2:10">
      <c r="B3012" s="25"/>
      <c r="C3012" s="25"/>
      <c r="D3012" s="26" t="str" cm="1">
        <f t="array" ref="D3012">IF(C3012="","",IFERROR(INDEX(STPP!$D$6:$D$4207,MATCH(C3012,STPP!$C$6:$C$4207,0)),"Not Found"))</f>
        <v/>
      </c>
      <c r="E3012" s="27" t="str" cm="1">
        <f t="array" ref="E3012">IF(C3012="","",IFERROR(INDEX(STPP!$E$6:$E$4207,MATCH(C3012,STPP!$C$6:$C$4207,0)),"Not Found"))</f>
        <v/>
      </c>
      <c r="F3012" s="27" t="str" cm="1">
        <f t="array" ref="F3012">IF(C3012="","",IFERROR(INDEX(STPP!$F$6:$F$4207,MATCH(C3012,STPP!$C$6:$C$4207,0)),"Not Found"))</f>
        <v/>
      </c>
      <c r="G3012" s="25" t="str">
        <f>IF(表1[[#This Row],[No Seri]]="","",表1[[#This Row],[Deskripsi Barang]]+表1[[#This Row],[Kuantitas]]-表1[[#This Row],[Satuan]])</f>
        <v/>
      </c>
      <c r="H3012" s="28"/>
      <c r="I3012" s="25" t="str">
        <f>IF(表1[[#This Row],[Tgl NPBG]]&gt;表1[[#This Row],[Peminta]],表1[[#This Row],[Tgl NPBG]]-表1[[#This Row],[Peminta]],"")</f>
        <v/>
      </c>
      <c r="J3012" s="31"/>
    </row>
    <row r="3013" s="12" customFormat="1" customHeight="1" spans="2:10">
      <c r="B3013" s="25"/>
      <c r="C3013" s="25"/>
      <c r="D3013" s="26" t="str" cm="1">
        <f t="array" ref="D3013">IF(C3013="","",IFERROR(INDEX(STPP!$D$6:$D$4207,MATCH(C3013,STPP!$C$6:$C$4207,0)),"Not Found"))</f>
        <v/>
      </c>
      <c r="E3013" s="27" t="str" cm="1">
        <f t="array" ref="E3013">IF(C3013="","",IFERROR(INDEX(STPP!$E$6:$E$4207,MATCH(C3013,STPP!$C$6:$C$4207,0)),"Not Found"))</f>
        <v/>
      </c>
      <c r="F3013" s="27" t="str" cm="1">
        <f t="array" ref="F3013">IF(C3013="","",IFERROR(INDEX(STPP!$F$6:$F$4207,MATCH(C3013,STPP!$C$6:$C$4207,0)),"Not Found"))</f>
        <v/>
      </c>
      <c r="G3013" s="25" t="str">
        <f>IF(表1[[#This Row],[No Seri]]="","",表1[[#This Row],[Deskripsi Barang]]+表1[[#This Row],[Kuantitas]]-表1[[#This Row],[Satuan]])</f>
        <v/>
      </c>
      <c r="H3013" s="28"/>
      <c r="I3013" s="25" t="str">
        <f>IF(表1[[#This Row],[Tgl NPBG]]&gt;表1[[#This Row],[Peminta]],表1[[#This Row],[Tgl NPBG]]-表1[[#This Row],[Peminta]],"")</f>
        <v/>
      </c>
      <c r="J3013" s="31"/>
    </row>
    <row r="3014" s="12" customFormat="1" customHeight="1" spans="2:10">
      <c r="B3014" s="25"/>
      <c r="C3014" s="25"/>
      <c r="D3014" s="26" t="str" cm="1">
        <f t="array" ref="D3014">IF(C3014="","",IFERROR(INDEX(STPP!$D$6:$D$4207,MATCH(C3014,STPP!$C$6:$C$4207,0)),"Not Found"))</f>
        <v/>
      </c>
      <c r="E3014" s="27" t="str" cm="1">
        <f t="array" ref="E3014">IF(C3014="","",IFERROR(INDEX(STPP!$E$6:$E$4207,MATCH(C3014,STPP!$C$6:$C$4207,0)),"Not Found"))</f>
        <v/>
      </c>
      <c r="F3014" s="27" t="str" cm="1">
        <f t="array" ref="F3014">IF(C3014="","",IFERROR(INDEX(STPP!$F$6:$F$4207,MATCH(C3014,STPP!$C$6:$C$4207,0)),"Not Found"))</f>
        <v/>
      </c>
      <c r="G3014" s="25" t="str">
        <f>IF(表1[[#This Row],[No Seri]]="","",表1[[#This Row],[Deskripsi Barang]]+表1[[#This Row],[Kuantitas]]-表1[[#This Row],[Satuan]])</f>
        <v/>
      </c>
      <c r="H3014" s="28"/>
      <c r="I3014" s="25" t="str">
        <f>IF(表1[[#This Row],[Tgl NPBG]]&gt;表1[[#This Row],[Peminta]],表1[[#This Row],[Tgl NPBG]]-表1[[#This Row],[Peminta]],"")</f>
        <v/>
      </c>
      <c r="J3014" s="31"/>
    </row>
    <row r="3015" s="12" customFormat="1" customHeight="1" spans="2:10">
      <c r="B3015" s="25"/>
      <c r="C3015" s="25"/>
      <c r="D3015" s="26" t="str" cm="1">
        <f t="array" ref="D3015">IF(C3015="","",IFERROR(INDEX(STPP!$D$6:$D$4207,MATCH(C3015,STPP!$C$6:$C$4207,0)),"Not Found"))</f>
        <v/>
      </c>
      <c r="E3015" s="27" t="str" cm="1">
        <f t="array" ref="E3015">IF(C3015="","",IFERROR(INDEX(STPP!$E$6:$E$4207,MATCH(C3015,STPP!$C$6:$C$4207,0)),"Not Found"))</f>
        <v/>
      </c>
      <c r="F3015" s="27" t="str" cm="1">
        <f t="array" ref="F3015">IF(C3015="","",IFERROR(INDEX(STPP!$F$6:$F$4207,MATCH(C3015,STPP!$C$6:$C$4207,0)),"Not Found"))</f>
        <v/>
      </c>
      <c r="G3015" s="25" t="str">
        <f>IF(表1[[#This Row],[No Seri]]="","",表1[[#This Row],[Deskripsi Barang]]+表1[[#This Row],[Kuantitas]]-表1[[#This Row],[Satuan]])</f>
        <v/>
      </c>
      <c r="H3015" s="28"/>
      <c r="I3015" s="25" t="str">
        <f>IF(表1[[#This Row],[Tgl NPBG]]&gt;表1[[#This Row],[Peminta]],表1[[#This Row],[Tgl NPBG]]-表1[[#This Row],[Peminta]],"")</f>
        <v/>
      </c>
      <c r="J3015" s="31"/>
    </row>
    <row r="3016" s="12" customFormat="1" customHeight="1" spans="2:10">
      <c r="B3016" s="25"/>
      <c r="C3016" s="25"/>
      <c r="D3016" s="26" t="str" cm="1">
        <f t="array" ref="D3016">IF(C3016="","",IFERROR(INDEX(STPP!$D$6:$D$4207,MATCH(C3016,STPP!$C$6:$C$4207,0)),"Not Found"))</f>
        <v/>
      </c>
      <c r="E3016" s="27" t="str" cm="1">
        <f t="array" ref="E3016">IF(C3016="","",IFERROR(INDEX(STPP!$E$6:$E$4207,MATCH(C3016,STPP!$C$6:$C$4207,0)),"Not Found"))</f>
        <v/>
      </c>
      <c r="F3016" s="27" t="str" cm="1">
        <f t="array" ref="F3016">IF(C3016="","",IFERROR(INDEX(STPP!$F$6:$F$4207,MATCH(C3016,STPP!$C$6:$C$4207,0)),"Not Found"))</f>
        <v/>
      </c>
      <c r="G3016" s="25" t="str">
        <f>IF(表1[[#This Row],[No Seri]]="","",表1[[#This Row],[Deskripsi Barang]]+表1[[#This Row],[Kuantitas]]-表1[[#This Row],[Satuan]])</f>
        <v/>
      </c>
      <c r="H3016" s="28"/>
      <c r="I3016" s="25" t="str">
        <f>IF(表1[[#This Row],[Tgl NPBG]]&gt;表1[[#This Row],[Peminta]],表1[[#This Row],[Tgl NPBG]]-表1[[#This Row],[Peminta]],"")</f>
        <v/>
      </c>
      <c r="J3016" s="31"/>
    </row>
    <row r="3017" s="12" customFormat="1" customHeight="1" spans="2:10">
      <c r="B3017" s="25"/>
      <c r="C3017" s="25"/>
      <c r="D3017" s="26" t="str" cm="1">
        <f t="array" ref="D3017">IF(C3017="","",IFERROR(INDEX(STPP!$D$6:$D$4207,MATCH(C3017,STPP!$C$6:$C$4207,0)),"Not Found"))</f>
        <v/>
      </c>
      <c r="E3017" s="27" t="str" cm="1">
        <f t="array" ref="E3017">IF(C3017="","",IFERROR(INDEX(STPP!$E$6:$E$4207,MATCH(C3017,STPP!$C$6:$C$4207,0)),"Not Found"))</f>
        <v/>
      </c>
      <c r="F3017" s="27" t="str" cm="1">
        <f t="array" ref="F3017">IF(C3017="","",IFERROR(INDEX(STPP!$F$6:$F$4207,MATCH(C3017,STPP!$C$6:$C$4207,0)),"Not Found"))</f>
        <v/>
      </c>
      <c r="G3017" s="25" t="str">
        <f>IF(表1[[#This Row],[No Seri]]="","",表1[[#This Row],[Deskripsi Barang]]+表1[[#This Row],[Kuantitas]]-表1[[#This Row],[Satuan]])</f>
        <v/>
      </c>
      <c r="H3017" s="28"/>
      <c r="I3017" s="25" t="str">
        <f>IF(表1[[#This Row],[Tgl NPBG]]&gt;表1[[#This Row],[Peminta]],表1[[#This Row],[Tgl NPBG]]-表1[[#This Row],[Peminta]],"")</f>
        <v/>
      </c>
      <c r="J3017" s="31"/>
    </row>
    <row r="3018" s="12" customFormat="1" customHeight="1" spans="2:10">
      <c r="B3018" s="25"/>
      <c r="C3018" s="25"/>
      <c r="D3018" s="26" t="str" cm="1">
        <f t="array" ref="D3018">IF(C3018="","",IFERROR(INDEX(STPP!$D$6:$D$4207,MATCH(C3018,STPP!$C$6:$C$4207,0)),"Not Found"))</f>
        <v/>
      </c>
      <c r="E3018" s="27" t="str" cm="1">
        <f t="array" ref="E3018">IF(C3018="","",IFERROR(INDEX(STPP!$E$6:$E$4207,MATCH(C3018,STPP!$C$6:$C$4207,0)),"Not Found"))</f>
        <v/>
      </c>
      <c r="F3018" s="27" t="str" cm="1">
        <f t="array" ref="F3018">IF(C3018="","",IFERROR(INDEX(STPP!$F$6:$F$4207,MATCH(C3018,STPP!$C$6:$C$4207,0)),"Not Found"))</f>
        <v/>
      </c>
      <c r="G3018" s="25" t="str">
        <f>IF(表1[[#This Row],[No Seri]]="","",表1[[#This Row],[Deskripsi Barang]]+表1[[#This Row],[Kuantitas]]-表1[[#This Row],[Satuan]])</f>
        <v/>
      </c>
      <c r="H3018" s="28"/>
      <c r="I3018" s="25" t="str">
        <f>IF(表1[[#This Row],[Tgl NPBG]]&gt;表1[[#This Row],[Peminta]],表1[[#This Row],[Tgl NPBG]]-表1[[#This Row],[Peminta]],"")</f>
        <v/>
      </c>
      <c r="J3018" s="31"/>
    </row>
    <row r="3019" s="12" customFormat="1" customHeight="1" spans="2:10">
      <c r="B3019" s="25"/>
      <c r="C3019" s="25"/>
      <c r="D3019" s="26" t="str" cm="1">
        <f t="array" ref="D3019">IF(C3019="","",IFERROR(INDEX(STPP!$D$6:$D$4207,MATCH(C3019,STPP!$C$6:$C$4207,0)),"Not Found"))</f>
        <v/>
      </c>
      <c r="E3019" s="27" t="str" cm="1">
        <f t="array" ref="E3019">IF(C3019="","",IFERROR(INDEX(STPP!$E$6:$E$4207,MATCH(C3019,STPP!$C$6:$C$4207,0)),"Not Found"))</f>
        <v/>
      </c>
      <c r="F3019" s="27" t="str" cm="1">
        <f t="array" ref="F3019">IF(C3019="","",IFERROR(INDEX(STPP!$F$6:$F$4207,MATCH(C3019,STPP!$C$6:$C$4207,0)),"Not Found"))</f>
        <v/>
      </c>
      <c r="G3019" s="25" t="str">
        <f>IF(表1[[#This Row],[No Seri]]="","",表1[[#This Row],[Deskripsi Barang]]+表1[[#This Row],[Kuantitas]]-表1[[#This Row],[Satuan]])</f>
        <v/>
      </c>
      <c r="H3019" s="28"/>
      <c r="I3019" s="25" t="str">
        <f>IF(表1[[#This Row],[Tgl NPBG]]&gt;表1[[#This Row],[Peminta]],表1[[#This Row],[Tgl NPBG]]-表1[[#This Row],[Peminta]],"")</f>
        <v/>
      </c>
      <c r="J3019" s="31"/>
    </row>
    <row r="3020" s="12" customFormat="1" customHeight="1" spans="2:10">
      <c r="B3020" s="25"/>
      <c r="C3020" s="25"/>
      <c r="D3020" s="26" t="str" cm="1">
        <f t="array" ref="D3020">IF(C3020="","",IFERROR(INDEX(STPP!$D$6:$D$4207,MATCH(C3020,STPP!$C$6:$C$4207,0)),"Not Found"))</f>
        <v/>
      </c>
      <c r="E3020" s="27" t="str" cm="1">
        <f t="array" ref="E3020">IF(C3020="","",IFERROR(INDEX(STPP!$E$6:$E$4207,MATCH(C3020,STPP!$C$6:$C$4207,0)),"Not Found"))</f>
        <v/>
      </c>
      <c r="F3020" s="27" t="str" cm="1">
        <f t="array" ref="F3020">IF(C3020="","",IFERROR(INDEX(STPP!$F$6:$F$4207,MATCH(C3020,STPP!$C$6:$C$4207,0)),"Not Found"))</f>
        <v/>
      </c>
      <c r="G3020" s="25" t="str">
        <f>IF(表1[[#This Row],[No Seri]]="","",表1[[#This Row],[Deskripsi Barang]]+表1[[#This Row],[Kuantitas]]-表1[[#This Row],[Satuan]])</f>
        <v/>
      </c>
      <c r="H3020" s="28"/>
      <c r="I3020" s="25" t="str">
        <f>IF(表1[[#This Row],[Tgl NPBG]]&gt;表1[[#This Row],[Peminta]],表1[[#This Row],[Tgl NPBG]]-表1[[#This Row],[Peminta]],"")</f>
        <v/>
      </c>
      <c r="J3020" s="31"/>
    </row>
    <row r="3021" s="12" customFormat="1" customHeight="1" spans="2:10">
      <c r="B3021" s="25"/>
      <c r="C3021" s="25"/>
      <c r="D3021" s="26" t="str" cm="1">
        <f t="array" ref="D3021">IF(C3021="","",IFERROR(INDEX(STPP!$D$6:$D$4207,MATCH(C3021,STPP!$C$6:$C$4207,0)),"Not Found"))</f>
        <v/>
      </c>
      <c r="E3021" s="27" t="str" cm="1">
        <f t="array" ref="E3021">IF(C3021="","",IFERROR(INDEX(STPP!$E$6:$E$4207,MATCH(C3021,STPP!$C$6:$C$4207,0)),"Not Found"))</f>
        <v/>
      </c>
      <c r="F3021" s="27" t="str" cm="1">
        <f t="array" ref="F3021">IF(C3021="","",IFERROR(INDEX(STPP!$F$6:$F$4207,MATCH(C3021,STPP!$C$6:$C$4207,0)),"Not Found"))</f>
        <v/>
      </c>
      <c r="G3021" s="25" t="str">
        <f>IF(表1[[#This Row],[No Seri]]="","",表1[[#This Row],[Deskripsi Barang]]+表1[[#This Row],[Kuantitas]]-表1[[#This Row],[Satuan]])</f>
        <v/>
      </c>
      <c r="H3021" s="28"/>
      <c r="I3021" s="25" t="str">
        <f>IF(表1[[#This Row],[Tgl NPBG]]&gt;表1[[#This Row],[Peminta]],表1[[#This Row],[Tgl NPBG]]-表1[[#This Row],[Peminta]],"")</f>
        <v/>
      </c>
      <c r="J3021" s="31"/>
    </row>
    <row r="3022" s="12" customFormat="1" customHeight="1" spans="2:10">
      <c r="B3022" s="25"/>
      <c r="C3022" s="25"/>
      <c r="D3022" s="26" t="str" cm="1">
        <f t="array" ref="D3022">IF(C3022="","",IFERROR(INDEX(STPP!$D$6:$D$4207,MATCH(C3022,STPP!$C$6:$C$4207,0)),"Not Found"))</f>
        <v/>
      </c>
      <c r="E3022" s="27" t="str" cm="1">
        <f t="array" ref="E3022">IF(C3022="","",IFERROR(INDEX(STPP!$E$6:$E$4207,MATCH(C3022,STPP!$C$6:$C$4207,0)),"Not Found"))</f>
        <v/>
      </c>
      <c r="F3022" s="27" t="str" cm="1">
        <f t="array" ref="F3022">IF(C3022="","",IFERROR(INDEX(STPP!$F$6:$F$4207,MATCH(C3022,STPP!$C$6:$C$4207,0)),"Not Found"))</f>
        <v/>
      </c>
      <c r="G3022" s="25" t="str">
        <f>IF(表1[[#This Row],[No Seri]]="","",表1[[#This Row],[Deskripsi Barang]]+表1[[#This Row],[Kuantitas]]-表1[[#This Row],[Satuan]])</f>
        <v/>
      </c>
      <c r="H3022" s="28"/>
      <c r="I3022" s="25" t="str">
        <f>IF(表1[[#This Row],[Tgl NPBG]]&gt;表1[[#This Row],[Peminta]],表1[[#This Row],[Tgl NPBG]]-表1[[#This Row],[Peminta]],"")</f>
        <v/>
      </c>
      <c r="J3022" s="31"/>
    </row>
    <row r="3023" s="12" customFormat="1" customHeight="1" spans="2:10">
      <c r="B3023" s="25"/>
      <c r="C3023" s="25"/>
      <c r="D3023" s="26" t="str" cm="1">
        <f t="array" ref="D3023">IF(C3023="","",IFERROR(INDEX(STPP!$D$6:$D$4207,MATCH(C3023,STPP!$C$6:$C$4207,0)),"Not Found"))</f>
        <v/>
      </c>
      <c r="E3023" s="27" t="str" cm="1">
        <f t="array" ref="E3023">IF(C3023="","",IFERROR(INDEX(STPP!$E$6:$E$4207,MATCH(C3023,STPP!$C$6:$C$4207,0)),"Not Found"))</f>
        <v/>
      </c>
      <c r="F3023" s="27" t="str" cm="1">
        <f t="array" ref="F3023">IF(C3023="","",IFERROR(INDEX(STPP!$F$6:$F$4207,MATCH(C3023,STPP!$C$6:$C$4207,0)),"Not Found"))</f>
        <v/>
      </c>
      <c r="G3023" s="25" t="str">
        <f>IF(表1[[#This Row],[No Seri]]="","",表1[[#This Row],[Deskripsi Barang]]+表1[[#This Row],[Kuantitas]]-表1[[#This Row],[Satuan]])</f>
        <v/>
      </c>
      <c r="H3023" s="28"/>
      <c r="I3023" s="25" t="str">
        <f>IF(表1[[#This Row],[Tgl NPBG]]&gt;表1[[#This Row],[Peminta]],表1[[#This Row],[Tgl NPBG]]-表1[[#This Row],[Peminta]],"")</f>
        <v/>
      </c>
      <c r="J3023" s="31"/>
    </row>
    <row r="3024" s="12" customFormat="1" customHeight="1" spans="2:10">
      <c r="B3024" s="25"/>
      <c r="C3024" s="25"/>
      <c r="D3024" s="26" t="str" cm="1">
        <f t="array" ref="D3024">IF(C3024="","",IFERROR(INDEX(STPP!$D$6:$D$4207,MATCH(C3024,STPP!$C$6:$C$4207,0)),"Not Found"))</f>
        <v/>
      </c>
      <c r="E3024" s="27" t="str" cm="1">
        <f t="array" ref="E3024">IF(C3024="","",IFERROR(INDEX(STPP!$E$6:$E$4207,MATCH(C3024,STPP!$C$6:$C$4207,0)),"Not Found"))</f>
        <v/>
      </c>
      <c r="F3024" s="27" t="str" cm="1">
        <f t="array" ref="F3024">IF(C3024="","",IFERROR(INDEX(STPP!$F$6:$F$4207,MATCH(C3024,STPP!$C$6:$C$4207,0)),"Not Found"))</f>
        <v/>
      </c>
      <c r="G3024" s="25" t="str">
        <f>IF(表1[[#This Row],[No Seri]]="","",表1[[#This Row],[Deskripsi Barang]]+表1[[#This Row],[Kuantitas]]-表1[[#This Row],[Satuan]])</f>
        <v/>
      </c>
      <c r="H3024" s="28"/>
      <c r="I3024" s="25" t="str">
        <f>IF(表1[[#This Row],[Tgl NPBG]]&gt;表1[[#This Row],[Peminta]],表1[[#This Row],[Tgl NPBG]]-表1[[#This Row],[Peminta]],"")</f>
        <v/>
      </c>
      <c r="J3024" s="31"/>
    </row>
    <row r="3025" s="12" customFormat="1" customHeight="1" spans="2:10">
      <c r="B3025" s="25"/>
      <c r="C3025" s="25"/>
      <c r="D3025" s="26" t="str" cm="1">
        <f t="array" ref="D3025">IF(C3025="","",IFERROR(INDEX(STPP!$D$6:$D$4207,MATCH(C3025,STPP!$C$6:$C$4207,0)),"Not Found"))</f>
        <v/>
      </c>
      <c r="E3025" s="27" t="str" cm="1">
        <f t="array" ref="E3025">IF(C3025="","",IFERROR(INDEX(STPP!$E$6:$E$4207,MATCH(C3025,STPP!$C$6:$C$4207,0)),"Not Found"))</f>
        <v/>
      </c>
      <c r="F3025" s="27" t="str" cm="1">
        <f t="array" ref="F3025">IF(C3025="","",IFERROR(INDEX(STPP!$F$6:$F$4207,MATCH(C3025,STPP!$C$6:$C$4207,0)),"Not Found"))</f>
        <v/>
      </c>
      <c r="G3025" s="25" t="str">
        <f>IF(表1[[#This Row],[No Seri]]="","",表1[[#This Row],[Deskripsi Barang]]+表1[[#This Row],[Kuantitas]]-表1[[#This Row],[Satuan]])</f>
        <v/>
      </c>
      <c r="H3025" s="28"/>
      <c r="I3025" s="25" t="str">
        <f>IF(表1[[#This Row],[Tgl NPBG]]&gt;表1[[#This Row],[Peminta]],表1[[#This Row],[Tgl NPBG]]-表1[[#This Row],[Peminta]],"")</f>
        <v/>
      </c>
      <c r="J3025" s="31"/>
    </row>
    <row r="3026" s="12" customFormat="1" customHeight="1" spans="2:10">
      <c r="B3026" s="25"/>
      <c r="C3026" s="25"/>
      <c r="D3026" s="26" t="str" cm="1">
        <f t="array" ref="D3026">IF(C3026="","",IFERROR(INDEX(STPP!$D$6:$D$4207,MATCH(C3026,STPP!$C$6:$C$4207,0)),"Not Found"))</f>
        <v/>
      </c>
      <c r="E3026" s="27" t="str" cm="1">
        <f t="array" ref="E3026">IF(C3026="","",IFERROR(INDEX(STPP!$E$6:$E$4207,MATCH(C3026,STPP!$C$6:$C$4207,0)),"Not Found"))</f>
        <v/>
      </c>
      <c r="F3026" s="27" t="str" cm="1">
        <f t="array" ref="F3026">IF(C3026="","",IFERROR(INDEX(STPP!$F$6:$F$4207,MATCH(C3026,STPP!$C$6:$C$4207,0)),"Not Found"))</f>
        <v/>
      </c>
      <c r="G3026" s="25" t="str">
        <f>IF(表1[[#This Row],[No Seri]]="","",表1[[#This Row],[Deskripsi Barang]]+表1[[#This Row],[Kuantitas]]-表1[[#This Row],[Satuan]])</f>
        <v/>
      </c>
      <c r="H3026" s="28"/>
      <c r="I3026" s="25" t="str">
        <f>IF(表1[[#This Row],[Tgl NPBG]]&gt;表1[[#This Row],[Peminta]],表1[[#This Row],[Tgl NPBG]]-表1[[#This Row],[Peminta]],"")</f>
        <v/>
      </c>
      <c r="J3026" s="31"/>
    </row>
    <row r="3027" s="12" customFormat="1" customHeight="1" spans="2:10">
      <c r="B3027" s="25"/>
      <c r="C3027" s="25"/>
      <c r="D3027" s="26" t="str" cm="1">
        <f t="array" ref="D3027">IF(C3027="","",IFERROR(INDEX(STPP!$D$6:$D$4207,MATCH(C3027,STPP!$C$6:$C$4207,0)),"Not Found"))</f>
        <v/>
      </c>
      <c r="E3027" s="27" t="str" cm="1">
        <f t="array" ref="E3027">IF(C3027="","",IFERROR(INDEX(STPP!$E$6:$E$4207,MATCH(C3027,STPP!$C$6:$C$4207,0)),"Not Found"))</f>
        <v/>
      </c>
      <c r="F3027" s="27" t="str" cm="1">
        <f t="array" ref="F3027">IF(C3027="","",IFERROR(INDEX(STPP!$F$6:$F$4207,MATCH(C3027,STPP!$C$6:$C$4207,0)),"Not Found"))</f>
        <v/>
      </c>
      <c r="G3027" s="25" t="str">
        <f>IF(表1[[#This Row],[No Seri]]="","",表1[[#This Row],[Deskripsi Barang]]+表1[[#This Row],[Kuantitas]]-表1[[#This Row],[Satuan]])</f>
        <v/>
      </c>
      <c r="H3027" s="28"/>
      <c r="I3027" s="25" t="str">
        <f>IF(表1[[#This Row],[Tgl NPBG]]&gt;表1[[#This Row],[Peminta]],表1[[#This Row],[Tgl NPBG]]-表1[[#This Row],[Peminta]],"")</f>
        <v/>
      </c>
      <c r="J3027" s="31"/>
    </row>
    <row r="3028" s="12" customFormat="1" customHeight="1" spans="2:10">
      <c r="B3028" s="25"/>
      <c r="C3028" s="25"/>
      <c r="D3028" s="26" t="str" cm="1">
        <f t="array" ref="D3028">IF(C3028="","",IFERROR(INDEX(STPP!$D$6:$D$4207,MATCH(C3028,STPP!$C$6:$C$4207,0)),"Not Found"))</f>
        <v/>
      </c>
      <c r="E3028" s="27" t="str" cm="1">
        <f t="array" ref="E3028">IF(C3028="","",IFERROR(INDEX(STPP!$E$6:$E$4207,MATCH(C3028,STPP!$C$6:$C$4207,0)),"Not Found"))</f>
        <v/>
      </c>
      <c r="F3028" s="27" t="str" cm="1">
        <f t="array" ref="F3028">IF(C3028="","",IFERROR(INDEX(STPP!$F$6:$F$4207,MATCH(C3028,STPP!$C$6:$C$4207,0)),"Not Found"))</f>
        <v/>
      </c>
      <c r="G3028" s="25" t="str">
        <f>IF(表1[[#This Row],[No Seri]]="","",表1[[#This Row],[Deskripsi Barang]]+表1[[#This Row],[Kuantitas]]-表1[[#This Row],[Satuan]])</f>
        <v/>
      </c>
      <c r="H3028" s="28"/>
      <c r="I3028" s="25" t="str">
        <f>IF(表1[[#This Row],[Tgl NPBG]]&gt;表1[[#This Row],[Peminta]],表1[[#This Row],[Tgl NPBG]]-表1[[#This Row],[Peminta]],"")</f>
        <v/>
      </c>
      <c r="J3028" s="31"/>
    </row>
    <row r="3029" s="12" customFormat="1" customHeight="1" spans="2:10">
      <c r="B3029" s="25"/>
      <c r="C3029" s="25"/>
      <c r="D3029" s="26" t="str" cm="1">
        <f t="array" ref="D3029">IF(C3029="","",IFERROR(INDEX(STPP!$D$6:$D$4207,MATCH(C3029,STPP!$C$6:$C$4207,0)),"Not Found"))</f>
        <v/>
      </c>
      <c r="E3029" s="27" t="str" cm="1">
        <f t="array" ref="E3029">IF(C3029="","",IFERROR(INDEX(STPP!$E$6:$E$4207,MATCH(C3029,STPP!$C$6:$C$4207,0)),"Not Found"))</f>
        <v/>
      </c>
      <c r="F3029" s="27" t="str" cm="1">
        <f t="array" ref="F3029">IF(C3029="","",IFERROR(INDEX(STPP!$F$6:$F$4207,MATCH(C3029,STPP!$C$6:$C$4207,0)),"Not Found"))</f>
        <v/>
      </c>
      <c r="G3029" s="25" t="str">
        <f>IF(表1[[#This Row],[No Seri]]="","",表1[[#This Row],[Deskripsi Barang]]+表1[[#This Row],[Kuantitas]]-表1[[#This Row],[Satuan]])</f>
        <v/>
      </c>
      <c r="H3029" s="28"/>
      <c r="I3029" s="25" t="str">
        <f>IF(表1[[#This Row],[Tgl NPBG]]&gt;表1[[#This Row],[Peminta]],表1[[#This Row],[Tgl NPBG]]-表1[[#This Row],[Peminta]],"")</f>
        <v/>
      </c>
      <c r="J3029" s="31"/>
    </row>
    <row r="3030" s="12" customFormat="1" customHeight="1" spans="2:10">
      <c r="B3030" s="25"/>
      <c r="C3030" s="25"/>
      <c r="D3030" s="26" t="str" cm="1">
        <f t="array" ref="D3030">IF(C3030="","",IFERROR(INDEX(STPP!$D$6:$D$4207,MATCH(C3030,STPP!$C$6:$C$4207,0)),"Not Found"))</f>
        <v/>
      </c>
      <c r="E3030" s="27" t="str" cm="1">
        <f t="array" ref="E3030">IF(C3030="","",IFERROR(INDEX(STPP!$E$6:$E$4207,MATCH(C3030,STPP!$C$6:$C$4207,0)),"Not Found"))</f>
        <v/>
      </c>
      <c r="F3030" s="27" t="str" cm="1">
        <f t="array" ref="F3030">IF(C3030="","",IFERROR(INDEX(STPP!$F$6:$F$4207,MATCH(C3030,STPP!$C$6:$C$4207,0)),"Not Found"))</f>
        <v/>
      </c>
      <c r="G3030" s="25" t="str">
        <f>IF(表1[[#This Row],[No Seri]]="","",表1[[#This Row],[Deskripsi Barang]]+表1[[#This Row],[Kuantitas]]-表1[[#This Row],[Satuan]])</f>
        <v/>
      </c>
      <c r="H3030" s="28"/>
      <c r="I3030" s="25" t="str">
        <f>IF(表1[[#This Row],[Tgl NPBG]]&gt;表1[[#This Row],[Peminta]],表1[[#This Row],[Tgl NPBG]]-表1[[#This Row],[Peminta]],"")</f>
        <v/>
      </c>
      <c r="J3030" s="31"/>
    </row>
    <row r="3031" s="12" customFormat="1" customHeight="1" spans="2:10">
      <c r="B3031" s="25"/>
      <c r="C3031" s="25"/>
      <c r="D3031" s="26" t="str" cm="1">
        <f t="array" ref="D3031">IF(C3031="","",IFERROR(INDEX(STPP!$D$6:$D$4207,MATCH(C3031,STPP!$C$6:$C$4207,0)),"Not Found"))</f>
        <v/>
      </c>
      <c r="E3031" s="27" t="str" cm="1">
        <f t="array" ref="E3031">IF(C3031="","",IFERROR(INDEX(STPP!$E$6:$E$4207,MATCH(C3031,STPP!$C$6:$C$4207,0)),"Not Found"))</f>
        <v/>
      </c>
      <c r="F3031" s="27" t="str" cm="1">
        <f t="array" ref="F3031">IF(C3031="","",IFERROR(INDEX(STPP!$F$6:$F$4207,MATCH(C3031,STPP!$C$6:$C$4207,0)),"Not Found"))</f>
        <v/>
      </c>
      <c r="G3031" s="25" t="str">
        <f>IF(表1[[#This Row],[No Seri]]="","",表1[[#This Row],[Deskripsi Barang]]+表1[[#This Row],[Kuantitas]]-表1[[#This Row],[Satuan]])</f>
        <v/>
      </c>
      <c r="H3031" s="28"/>
      <c r="I3031" s="25" t="str">
        <f>IF(表1[[#This Row],[Tgl NPBG]]&gt;表1[[#This Row],[Peminta]],表1[[#This Row],[Tgl NPBG]]-表1[[#This Row],[Peminta]],"")</f>
        <v/>
      </c>
      <c r="J3031" s="31"/>
    </row>
    <row r="3032" s="12" customFormat="1" customHeight="1" spans="2:10">
      <c r="B3032" s="25"/>
      <c r="C3032" s="25"/>
      <c r="D3032" s="26" t="str" cm="1">
        <f t="array" ref="D3032">IF(C3032="","",IFERROR(INDEX(STPP!$D$6:$D$4207,MATCH(C3032,STPP!$C$6:$C$4207,0)),"Not Found"))</f>
        <v/>
      </c>
      <c r="E3032" s="27" t="str" cm="1">
        <f t="array" ref="E3032">IF(C3032="","",IFERROR(INDEX(STPP!$E$6:$E$4207,MATCH(C3032,STPP!$C$6:$C$4207,0)),"Not Found"))</f>
        <v/>
      </c>
      <c r="F3032" s="27" t="str" cm="1">
        <f t="array" ref="F3032">IF(C3032="","",IFERROR(INDEX(STPP!$F$6:$F$4207,MATCH(C3032,STPP!$C$6:$C$4207,0)),"Not Found"))</f>
        <v/>
      </c>
      <c r="G3032" s="25" t="str">
        <f>IF(表1[[#This Row],[No Seri]]="","",表1[[#This Row],[Deskripsi Barang]]+表1[[#This Row],[Kuantitas]]-表1[[#This Row],[Satuan]])</f>
        <v/>
      </c>
      <c r="H3032" s="28"/>
      <c r="I3032" s="25" t="str">
        <f>IF(表1[[#This Row],[Tgl NPBG]]&gt;表1[[#This Row],[Peminta]],表1[[#This Row],[Tgl NPBG]]-表1[[#This Row],[Peminta]],"")</f>
        <v/>
      </c>
      <c r="J3032" s="31"/>
    </row>
    <row r="3033" s="12" customFormat="1" customHeight="1" spans="2:10">
      <c r="B3033" s="25"/>
      <c r="C3033" s="25"/>
      <c r="D3033" s="26" t="str" cm="1">
        <f t="array" ref="D3033">IF(C3033="","",IFERROR(INDEX(STPP!$D$6:$D$4207,MATCH(C3033,STPP!$C$6:$C$4207,0)),"Not Found"))</f>
        <v/>
      </c>
      <c r="E3033" s="27" t="str" cm="1">
        <f t="array" ref="E3033">IF(C3033="","",IFERROR(INDEX(STPP!$E$6:$E$4207,MATCH(C3033,STPP!$C$6:$C$4207,0)),"Not Found"))</f>
        <v/>
      </c>
      <c r="F3033" s="27" t="str" cm="1">
        <f t="array" ref="F3033">IF(C3033="","",IFERROR(INDEX(STPP!$F$6:$F$4207,MATCH(C3033,STPP!$C$6:$C$4207,0)),"Not Found"))</f>
        <v/>
      </c>
      <c r="G3033" s="25" t="str">
        <f>IF(表1[[#This Row],[No Seri]]="","",表1[[#This Row],[Deskripsi Barang]]+表1[[#This Row],[Kuantitas]]-表1[[#This Row],[Satuan]])</f>
        <v/>
      </c>
      <c r="H3033" s="28"/>
      <c r="I3033" s="25" t="str">
        <f>IF(表1[[#This Row],[Tgl NPBG]]&gt;表1[[#This Row],[Peminta]],表1[[#This Row],[Tgl NPBG]]-表1[[#This Row],[Peminta]],"")</f>
        <v/>
      </c>
      <c r="J3033" s="31"/>
    </row>
    <row r="3034" s="12" customFormat="1" customHeight="1" spans="2:10">
      <c r="B3034" s="25"/>
      <c r="C3034" s="25"/>
      <c r="D3034" s="26" t="str" cm="1">
        <f t="array" ref="D3034">IF(C3034="","",IFERROR(INDEX(STPP!$D$6:$D$4207,MATCH(C3034,STPP!$C$6:$C$4207,0)),"Not Found"))</f>
        <v/>
      </c>
      <c r="E3034" s="27" t="str" cm="1">
        <f t="array" ref="E3034">IF(C3034="","",IFERROR(INDEX(STPP!$E$6:$E$4207,MATCH(C3034,STPP!$C$6:$C$4207,0)),"Not Found"))</f>
        <v/>
      </c>
      <c r="F3034" s="27" t="str" cm="1">
        <f t="array" ref="F3034">IF(C3034="","",IFERROR(INDEX(STPP!$F$6:$F$4207,MATCH(C3034,STPP!$C$6:$C$4207,0)),"Not Found"))</f>
        <v/>
      </c>
      <c r="G3034" s="25" t="str">
        <f>IF(表1[[#This Row],[No Seri]]="","",表1[[#This Row],[Deskripsi Barang]]+表1[[#This Row],[Kuantitas]]-表1[[#This Row],[Satuan]])</f>
        <v/>
      </c>
      <c r="H3034" s="28"/>
      <c r="I3034" s="25" t="str">
        <f>IF(表1[[#This Row],[Tgl NPBG]]&gt;表1[[#This Row],[Peminta]],表1[[#This Row],[Tgl NPBG]]-表1[[#This Row],[Peminta]],"")</f>
        <v/>
      </c>
      <c r="J3034" s="31"/>
    </row>
    <row r="3035" s="12" customFormat="1" customHeight="1" spans="2:10">
      <c r="B3035" s="25"/>
      <c r="C3035" s="25"/>
      <c r="D3035" s="26" t="str" cm="1">
        <f t="array" ref="D3035">IF(C3035="","",IFERROR(INDEX(STPP!$D$6:$D$4207,MATCH(C3035,STPP!$C$6:$C$4207,0)),"Not Found"))</f>
        <v/>
      </c>
      <c r="E3035" s="27" t="str" cm="1">
        <f t="array" ref="E3035">IF(C3035="","",IFERROR(INDEX(STPP!$E$6:$E$4207,MATCH(C3035,STPP!$C$6:$C$4207,0)),"Not Found"))</f>
        <v/>
      </c>
      <c r="F3035" s="27" t="str" cm="1">
        <f t="array" ref="F3035">IF(C3035="","",IFERROR(INDEX(STPP!$F$6:$F$4207,MATCH(C3035,STPP!$C$6:$C$4207,0)),"Not Found"))</f>
        <v/>
      </c>
      <c r="G3035" s="25" t="str">
        <f>IF(表1[[#This Row],[No Seri]]="","",表1[[#This Row],[Deskripsi Barang]]+表1[[#This Row],[Kuantitas]]-表1[[#This Row],[Satuan]])</f>
        <v/>
      </c>
      <c r="H3035" s="28"/>
      <c r="I3035" s="25" t="str">
        <f>IF(表1[[#This Row],[Tgl NPBG]]&gt;表1[[#This Row],[Peminta]],表1[[#This Row],[Tgl NPBG]]-表1[[#This Row],[Peminta]],"")</f>
        <v/>
      </c>
      <c r="J3035" s="31"/>
    </row>
    <row r="3036" s="12" customFormat="1" customHeight="1" spans="2:10">
      <c r="B3036" s="25"/>
      <c r="C3036" s="25"/>
      <c r="D3036" s="26" t="str" cm="1">
        <f t="array" ref="D3036">IF(C3036="","",IFERROR(INDEX(STPP!$D$6:$D$4207,MATCH(C3036,STPP!$C$6:$C$4207,0)),"Not Found"))</f>
        <v/>
      </c>
      <c r="E3036" s="27" t="str" cm="1">
        <f t="array" ref="E3036">IF(C3036="","",IFERROR(INDEX(STPP!$E$6:$E$4207,MATCH(C3036,STPP!$C$6:$C$4207,0)),"Not Found"))</f>
        <v/>
      </c>
      <c r="F3036" s="27" t="str" cm="1">
        <f t="array" ref="F3036">IF(C3036="","",IFERROR(INDEX(STPP!$F$6:$F$4207,MATCH(C3036,STPP!$C$6:$C$4207,0)),"Not Found"))</f>
        <v/>
      </c>
      <c r="G3036" s="25" t="str">
        <f>IF(表1[[#This Row],[No Seri]]="","",表1[[#This Row],[Deskripsi Barang]]+表1[[#This Row],[Kuantitas]]-表1[[#This Row],[Satuan]])</f>
        <v/>
      </c>
      <c r="H3036" s="28"/>
      <c r="I3036" s="25" t="str">
        <f>IF(表1[[#This Row],[Tgl NPBG]]&gt;表1[[#This Row],[Peminta]],表1[[#This Row],[Tgl NPBG]]-表1[[#This Row],[Peminta]],"")</f>
        <v/>
      </c>
      <c r="J3036" s="31"/>
    </row>
    <row r="3037" s="12" customFormat="1" customHeight="1" spans="2:10">
      <c r="B3037" s="25"/>
      <c r="C3037" s="25"/>
      <c r="D3037" s="26" t="str" cm="1">
        <f t="array" ref="D3037">IF(C3037="","",IFERROR(INDEX(STPP!$D$6:$D$4207,MATCH(C3037,STPP!$C$6:$C$4207,0)),"Not Found"))</f>
        <v/>
      </c>
      <c r="E3037" s="27" t="str" cm="1">
        <f t="array" ref="E3037">IF(C3037="","",IFERROR(INDEX(STPP!$E$6:$E$4207,MATCH(C3037,STPP!$C$6:$C$4207,0)),"Not Found"))</f>
        <v/>
      </c>
      <c r="F3037" s="27" t="str" cm="1">
        <f t="array" ref="F3037">IF(C3037="","",IFERROR(INDEX(STPP!$F$6:$F$4207,MATCH(C3037,STPP!$C$6:$C$4207,0)),"Not Found"))</f>
        <v/>
      </c>
      <c r="G3037" s="25" t="str">
        <f>IF(表1[[#This Row],[No Seri]]="","",表1[[#This Row],[Deskripsi Barang]]+表1[[#This Row],[Kuantitas]]-表1[[#This Row],[Satuan]])</f>
        <v/>
      </c>
      <c r="H3037" s="28"/>
      <c r="I3037" s="25" t="str">
        <f>IF(表1[[#This Row],[Tgl NPBG]]&gt;表1[[#This Row],[Peminta]],表1[[#This Row],[Tgl NPBG]]-表1[[#This Row],[Peminta]],"")</f>
        <v/>
      </c>
      <c r="J3037" s="31"/>
    </row>
    <row r="3038" s="12" customFormat="1" customHeight="1" spans="2:10">
      <c r="B3038" s="25"/>
      <c r="C3038" s="25"/>
      <c r="D3038" s="26" t="str" cm="1">
        <f t="array" ref="D3038">IF(C3038="","",IFERROR(INDEX(STPP!$D$6:$D$4207,MATCH(C3038,STPP!$C$6:$C$4207,0)),"Not Found"))</f>
        <v/>
      </c>
      <c r="E3038" s="27" t="str" cm="1">
        <f t="array" ref="E3038">IF(C3038="","",IFERROR(INDEX(STPP!$E$6:$E$4207,MATCH(C3038,STPP!$C$6:$C$4207,0)),"Not Found"))</f>
        <v/>
      </c>
      <c r="F3038" s="27" t="str" cm="1">
        <f t="array" ref="F3038">IF(C3038="","",IFERROR(INDEX(STPP!$F$6:$F$4207,MATCH(C3038,STPP!$C$6:$C$4207,0)),"Not Found"))</f>
        <v/>
      </c>
      <c r="G3038" s="25" t="str">
        <f>IF(表1[[#This Row],[No Seri]]="","",表1[[#This Row],[Deskripsi Barang]]+表1[[#This Row],[Kuantitas]]-表1[[#This Row],[Satuan]])</f>
        <v/>
      </c>
      <c r="H3038" s="28"/>
      <c r="I3038" s="25" t="str">
        <f>IF(表1[[#This Row],[Tgl NPBG]]&gt;表1[[#This Row],[Peminta]],表1[[#This Row],[Tgl NPBG]]-表1[[#This Row],[Peminta]],"")</f>
        <v/>
      </c>
      <c r="J3038" s="31"/>
    </row>
    <row r="3039" s="12" customFormat="1" customHeight="1" spans="2:10">
      <c r="B3039" s="25"/>
      <c r="C3039" s="25"/>
      <c r="D3039" s="26" t="str" cm="1">
        <f t="array" ref="D3039">IF(C3039="","",IFERROR(INDEX(STPP!$D$6:$D$4207,MATCH(C3039,STPP!$C$6:$C$4207,0)),"Not Found"))</f>
        <v/>
      </c>
      <c r="E3039" s="27" t="str" cm="1">
        <f t="array" ref="E3039">IF(C3039="","",IFERROR(INDEX(STPP!$E$6:$E$4207,MATCH(C3039,STPP!$C$6:$C$4207,0)),"Not Found"))</f>
        <v/>
      </c>
      <c r="F3039" s="27" t="str" cm="1">
        <f t="array" ref="F3039">IF(C3039="","",IFERROR(INDEX(STPP!$F$6:$F$4207,MATCH(C3039,STPP!$C$6:$C$4207,0)),"Not Found"))</f>
        <v/>
      </c>
      <c r="G3039" s="25" t="str">
        <f>IF(表1[[#This Row],[No Seri]]="","",表1[[#This Row],[Deskripsi Barang]]+表1[[#This Row],[Kuantitas]]-表1[[#This Row],[Satuan]])</f>
        <v/>
      </c>
      <c r="H3039" s="28"/>
      <c r="I3039" s="25" t="str">
        <f>IF(表1[[#This Row],[Tgl NPBG]]&gt;表1[[#This Row],[Peminta]],表1[[#This Row],[Tgl NPBG]]-表1[[#This Row],[Peminta]],"")</f>
        <v/>
      </c>
      <c r="J3039" s="31"/>
    </row>
    <row r="3040" s="12" customFormat="1" customHeight="1" spans="2:10">
      <c r="B3040" s="25"/>
      <c r="C3040" s="25"/>
      <c r="D3040" s="26" t="str" cm="1">
        <f t="array" ref="D3040">IF(C3040="","",IFERROR(INDEX(STPP!$D$6:$D$4207,MATCH(C3040,STPP!$C$6:$C$4207,0)),"Not Found"))</f>
        <v/>
      </c>
      <c r="E3040" s="27" t="str" cm="1">
        <f t="array" ref="E3040">IF(C3040="","",IFERROR(INDEX(STPP!$E$6:$E$4207,MATCH(C3040,STPP!$C$6:$C$4207,0)),"Not Found"))</f>
        <v/>
      </c>
      <c r="F3040" s="27" t="str" cm="1">
        <f t="array" ref="F3040">IF(C3040="","",IFERROR(INDEX(STPP!$F$6:$F$4207,MATCH(C3040,STPP!$C$6:$C$4207,0)),"Not Found"))</f>
        <v/>
      </c>
      <c r="G3040" s="25" t="str">
        <f>IF(表1[[#This Row],[No Seri]]="","",表1[[#This Row],[Deskripsi Barang]]+表1[[#This Row],[Kuantitas]]-表1[[#This Row],[Satuan]])</f>
        <v/>
      </c>
      <c r="H3040" s="28"/>
      <c r="I3040" s="25" t="str">
        <f>IF(表1[[#This Row],[Tgl NPBG]]&gt;表1[[#This Row],[Peminta]],表1[[#This Row],[Tgl NPBG]]-表1[[#This Row],[Peminta]],"")</f>
        <v/>
      </c>
      <c r="J3040" s="31"/>
    </row>
    <row r="3041" s="12" customFormat="1" customHeight="1" spans="2:10">
      <c r="B3041" s="25"/>
      <c r="C3041" s="25"/>
      <c r="D3041" s="26" t="str" cm="1">
        <f t="array" ref="D3041">IF(C3041="","",IFERROR(INDEX(STPP!$D$6:$D$4207,MATCH(C3041,STPP!$C$6:$C$4207,0)),"Not Found"))</f>
        <v/>
      </c>
      <c r="E3041" s="27" t="str" cm="1">
        <f t="array" ref="E3041">IF(C3041="","",IFERROR(INDEX(STPP!$E$6:$E$4207,MATCH(C3041,STPP!$C$6:$C$4207,0)),"Not Found"))</f>
        <v/>
      </c>
      <c r="F3041" s="27" t="str" cm="1">
        <f t="array" ref="F3041">IF(C3041="","",IFERROR(INDEX(STPP!$F$6:$F$4207,MATCH(C3041,STPP!$C$6:$C$4207,0)),"Not Found"))</f>
        <v/>
      </c>
      <c r="G3041" s="25" t="str">
        <f>IF(表1[[#This Row],[No Seri]]="","",表1[[#This Row],[Deskripsi Barang]]+表1[[#This Row],[Kuantitas]]-表1[[#This Row],[Satuan]])</f>
        <v/>
      </c>
      <c r="H3041" s="28"/>
      <c r="I3041" s="25" t="str">
        <f>IF(表1[[#This Row],[Tgl NPBG]]&gt;表1[[#This Row],[Peminta]],表1[[#This Row],[Tgl NPBG]]-表1[[#This Row],[Peminta]],"")</f>
        <v/>
      </c>
      <c r="J3041" s="31"/>
    </row>
    <row r="3042" s="12" customFormat="1" customHeight="1" spans="2:10">
      <c r="B3042" s="25"/>
      <c r="C3042" s="25"/>
      <c r="D3042" s="26" t="str" cm="1">
        <f t="array" ref="D3042">IF(C3042="","",IFERROR(INDEX(STPP!$D$6:$D$4207,MATCH(C3042,STPP!$C$6:$C$4207,0)),"Not Found"))</f>
        <v/>
      </c>
      <c r="E3042" s="27" t="str" cm="1">
        <f t="array" ref="E3042">IF(C3042="","",IFERROR(INDEX(STPP!$E$6:$E$4207,MATCH(C3042,STPP!$C$6:$C$4207,0)),"Not Found"))</f>
        <v/>
      </c>
      <c r="F3042" s="27" t="str" cm="1">
        <f t="array" ref="F3042">IF(C3042="","",IFERROR(INDEX(STPP!$F$6:$F$4207,MATCH(C3042,STPP!$C$6:$C$4207,0)),"Not Found"))</f>
        <v/>
      </c>
      <c r="G3042" s="25" t="str">
        <f>IF(表1[[#This Row],[No Seri]]="","",表1[[#This Row],[Deskripsi Barang]]+表1[[#This Row],[Kuantitas]]-表1[[#This Row],[Satuan]])</f>
        <v/>
      </c>
      <c r="H3042" s="28"/>
      <c r="I3042" s="25" t="str">
        <f>IF(表1[[#This Row],[Tgl NPBG]]&gt;表1[[#This Row],[Peminta]],表1[[#This Row],[Tgl NPBG]]-表1[[#This Row],[Peminta]],"")</f>
        <v/>
      </c>
      <c r="J3042" s="31"/>
    </row>
    <row r="3043" s="12" customFormat="1" customHeight="1" spans="2:10">
      <c r="B3043" s="25"/>
      <c r="C3043" s="25"/>
      <c r="D3043" s="26" t="str" cm="1">
        <f t="array" ref="D3043">IF(C3043="","",IFERROR(INDEX(STPP!$D$6:$D$4207,MATCH(C3043,STPP!$C$6:$C$4207,0)),"Not Found"))</f>
        <v/>
      </c>
      <c r="E3043" s="27" t="str" cm="1">
        <f t="array" ref="E3043">IF(C3043="","",IFERROR(INDEX(STPP!$E$6:$E$4207,MATCH(C3043,STPP!$C$6:$C$4207,0)),"Not Found"))</f>
        <v/>
      </c>
      <c r="F3043" s="27" t="str" cm="1">
        <f t="array" ref="F3043">IF(C3043="","",IFERROR(INDEX(STPP!$F$6:$F$4207,MATCH(C3043,STPP!$C$6:$C$4207,0)),"Not Found"))</f>
        <v/>
      </c>
      <c r="G3043" s="25" t="str">
        <f>IF(表1[[#This Row],[No Seri]]="","",表1[[#This Row],[Deskripsi Barang]]+表1[[#This Row],[Kuantitas]]-表1[[#This Row],[Satuan]])</f>
        <v/>
      </c>
      <c r="H3043" s="28"/>
      <c r="I3043" s="25" t="str">
        <f>IF(表1[[#This Row],[Tgl NPBG]]&gt;表1[[#This Row],[Peminta]],表1[[#This Row],[Tgl NPBG]]-表1[[#This Row],[Peminta]],"")</f>
        <v/>
      </c>
      <c r="J3043" s="31"/>
    </row>
    <row r="3044" s="12" customFormat="1" customHeight="1" spans="2:10">
      <c r="B3044" s="25"/>
      <c r="C3044" s="25"/>
      <c r="D3044" s="26" t="str" cm="1">
        <f t="array" ref="D3044">IF(C3044="","",IFERROR(INDEX(STPP!$D$6:$D$4207,MATCH(C3044,STPP!$C$6:$C$4207,0)),"Not Found"))</f>
        <v/>
      </c>
      <c r="E3044" s="27" t="str" cm="1">
        <f t="array" ref="E3044">IF(C3044="","",IFERROR(INDEX(STPP!$E$6:$E$4207,MATCH(C3044,STPP!$C$6:$C$4207,0)),"Not Found"))</f>
        <v/>
      </c>
      <c r="F3044" s="27" t="str" cm="1">
        <f t="array" ref="F3044">IF(C3044="","",IFERROR(INDEX(STPP!$F$6:$F$4207,MATCH(C3044,STPP!$C$6:$C$4207,0)),"Not Found"))</f>
        <v/>
      </c>
      <c r="G3044" s="25" t="str">
        <f>IF(表1[[#This Row],[No Seri]]="","",表1[[#This Row],[Deskripsi Barang]]+表1[[#This Row],[Kuantitas]]-表1[[#This Row],[Satuan]])</f>
        <v/>
      </c>
      <c r="H3044" s="28"/>
      <c r="I3044" s="25" t="str">
        <f>IF(表1[[#This Row],[Tgl NPBG]]&gt;表1[[#This Row],[Peminta]],表1[[#This Row],[Tgl NPBG]]-表1[[#This Row],[Peminta]],"")</f>
        <v/>
      </c>
      <c r="J3044" s="31"/>
    </row>
    <row r="3045" s="12" customFormat="1" customHeight="1" spans="2:10">
      <c r="B3045" s="25"/>
      <c r="C3045" s="25"/>
      <c r="D3045" s="26" t="str" cm="1">
        <f t="array" ref="D3045">IF(C3045="","",IFERROR(INDEX(STPP!$D$6:$D$4207,MATCH(C3045,STPP!$C$6:$C$4207,0)),"Not Found"))</f>
        <v/>
      </c>
      <c r="E3045" s="27" t="str" cm="1">
        <f t="array" ref="E3045">IF(C3045="","",IFERROR(INDEX(STPP!$E$6:$E$4207,MATCH(C3045,STPP!$C$6:$C$4207,0)),"Not Found"))</f>
        <v/>
      </c>
      <c r="F3045" s="27" t="str" cm="1">
        <f t="array" ref="F3045">IF(C3045="","",IFERROR(INDEX(STPP!$F$6:$F$4207,MATCH(C3045,STPP!$C$6:$C$4207,0)),"Not Found"))</f>
        <v/>
      </c>
      <c r="G3045" s="25" t="str">
        <f>IF(表1[[#This Row],[No Seri]]="","",表1[[#This Row],[Deskripsi Barang]]+表1[[#This Row],[Kuantitas]]-表1[[#This Row],[Satuan]])</f>
        <v/>
      </c>
      <c r="H3045" s="28"/>
      <c r="I3045" s="25" t="str">
        <f>IF(表1[[#This Row],[Tgl NPBG]]&gt;表1[[#This Row],[Peminta]],表1[[#This Row],[Tgl NPBG]]-表1[[#This Row],[Peminta]],"")</f>
        <v/>
      </c>
      <c r="J3045" s="31"/>
    </row>
    <row r="3046" s="12" customFormat="1" customHeight="1" spans="2:10">
      <c r="B3046" s="25"/>
      <c r="C3046" s="25"/>
      <c r="D3046" s="26" t="str" cm="1">
        <f t="array" ref="D3046">IF(C3046="","",IFERROR(INDEX(STPP!$D$6:$D$4207,MATCH(C3046,STPP!$C$6:$C$4207,0)),"Not Found"))</f>
        <v/>
      </c>
      <c r="E3046" s="27" t="str" cm="1">
        <f t="array" ref="E3046">IF(C3046="","",IFERROR(INDEX(STPP!$E$6:$E$4207,MATCH(C3046,STPP!$C$6:$C$4207,0)),"Not Found"))</f>
        <v/>
      </c>
      <c r="F3046" s="27" t="str" cm="1">
        <f t="array" ref="F3046">IF(C3046="","",IFERROR(INDEX(STPP!$F$6:$F$4207,MATCH(C3046,STPP!$C$6:$C$4207,0)),"Not Found"))</f>
        <v/>
      </c>
      <c r="G3046" s="25" t="str">
        <f>IF(表1[[#This Row],[No Seri]]="","",表1[[#This Row],[Deskripsi Barang]]+表1[[#This Row],[Kuantitas]]-表1[[#This Row],[Satuan]])</f>
        <v/>
      </c>
      <c r="H3046" s="28"/>
      <c r="I3046" s="25" t="str">
        <f>IF(表1[[#This Row],[Tgl NPBG]]&gt;表1[[#This Row],[Peminta]],表1[[#This Row],[Tgl NPBG]]-表1[[#This Row],[Peminta]],"")</f>
        <v/>
      </c>
      <c r="J3046" s="31"/>
    </row>
    <row r="3047" s="12" customFormat="1" customHeight="1" spans="2:10">
      <c r="B3047" s="25"/>
      <c r="C3047" s="25"/>
      <c r="D3047" s="26" t="str" cm="1">
        <f t="array" ref="D3047">IF(C3047="","",IFERROR(INDEX(STPP!$D$6:$D$4207,MATCH(C3047,STPP!$C$6:$C$4207,0)),"Not Found"))</f>
        <v/>
      </c>
      <c r="E3047" s="27" t="str" cm="1">
        <f t="array" ref="E3047">IF(C3047="","",IFERROR(INDEX(STPP!$E$6:$E$4207,MATCH(C3047,STPP!$C$6:$C$4207,0)),"Not Found"))</f>
        <v/>
      </c>
      <c r="F3047" s="27" t="str" cm="1">
        <f t="array" ref="F3047">IF(C3047="","",IFERROR(INDEX(STPP!$F$6:$F$4207,MATCH(C3047,STPP!$C$6:$C$4207,0)),"Not Found"))</f>
        <v/>
      </c>
      <c r="G3047" s="25" t="str">
        <f>IF(表1[[#This Row],[No Seri]]="","",表1[[#This Row],[Deskripsi Barang]]+表1[[#This Row],[Kuantitas]]-表1[[#This Row],[Satuan]])</f>
        <v/>
      </c>
      <c r="H3047" s="28"/>
      <c r="I3047" s="25" t="str">
        <f>IF(表1[[#This Row],[Tgl NPBG]]&gt;表1[[#This Row],[Peminta]],表1[[#This Row],[Tgl NPBG]]-表1[[#This Row],[Peminta]],"")</f>
        <v/>
      </c>
      <c r="J3047" s="31"/>
    </row>
    <row r="3048" s="12" customFormat="1" customHeight="1" spans="2:10">
      <c r="B3048" s="25"/>
      <c r="C3048" s="25"/>
      <c r="D3048" s="26" t="str" cm="1">
        <f t="array" ref="D3048">IF(C3048="","",IFERROR(INDEX(STPP!$D$6:$D$4207,MATCH(C3048,STPP!$C$6:$C$4207,0)),"Not Found"))</f>
        <v/>
      </c>
      <c r="E3048" s="27" t="str" cm="1">
        <f t="array" ref="E3048">IF(C3048="","",IFERROR(INDEX(STPP!$E$6:$E$4207,MATCH(C3048,STPP!$C$6:$C$4207,0)),"Not Found"))</f>
        <v/>
      </c>
      <c r="F3048" s="27" t="str" cm="1">
        <f t="array" ref="F3048">IF(C3048="","",IFERROR(INDEX(STPP!$F$6:$F$4207,MATCH(C3048,STPP!$C$6:$C$4207,0)),"Not Found"))</f>
        <v/>
      </c>
      <c r="G3048" s="25" t="str">
        <f>IF(表1[[#This Row],[No Seri]]="","",表1[[#This Row],[Deskripsi Barang]]+表1[[#This Row],[Kuantitas]]-表1[[#This Row],[Satuan]])</f>
        <v/>
      </c>
      <c r="H3048" s="28"/>
      <c r="I3048" s="25" t="str">
        <f>IF(表1[[#This Row],[Tgl NPBG]]&gt;表1[[#This Row],[Peminta]],表1[[#This Row],[Tgl NPBG]]-表1[[#This Row],[Peminta]],"")</f>
        <v/>
      </c>
      <c r="J3048" s="31"/>
    </row>
    <row r="3049" s="12" customFormat="1" customHeight="1" spans="2:10">
      <c r="B3049" s="25"/>
      <c r="C3049" s="25"/>
      <c r="D3049" s="26" t="str" cm="1">
        <f t="array" ref="D3049">IF(C3049="","",IFERROR(INDEX(STPP!$D$6:$D$4207,MATCH(C3049,STPP!$C$6:$C$4207,0)),"Not Found"))</f>
        <v/>
      </c>
      <c r="E3049" s="27" t="str" cm="1">
        <f t="array" ref="E3049">IF(C3049="","",IFERROR(INDEX(STPP!$E$6:$E$4207,MATCH(C3049,STPP!$C$6:$C$4207,0)),"Not Found"))</f>
        <v/>
      </c>
      <c r="F3049" s="27" t="str" cm="1">
        <f t="array" ref="F3049">IF(C3049="","",IFERROR(INDEX(STPP!$F$6:$F$4207,MATCH(C3049,STPP!$C$6:$C$4207,0)),"Not Found"))</f>
        <v/>
      </c>
      <c r="G3049" s="25" t="str">
        <f>IF(表1[[#This Row],[No Seri]]="","",表1[[#This Row],[Deskripsi Barang]]+表1[[#This Row],[Kuantitas]]-表1[[#This Row],[Satuan]])</f>
        <v/>
      </c>
      <c r="H3049" s="28"/>
      <c r="I3049" s="25" t="str">
        <f>IF(表1[[#This Row],[Tgl NPBG]]&gt;表1[[#This Row],[Peminta]],表1[[#This Row],[Tgl NPBG]]-表1[[#This Row],[Peminta]],"")</f>
        <v/>
      </c>
      <c r="J3049" s="31"/>
    </row>
    <row r="3050" s="12" customFormat="1" customHeight="1" spans="2:10">
      <c r="B3050" s="25"/>
      <c r="C3050" s="25"/>
      <c r="D3050" s="26" t="str" cm="1">
        <f t="array" ref="D3050">IF(C3050="","",IFERROR(INDEX(STPP!$D$6:$D$4207,MATCH(C3050,STPP!$C$6:$C$4207,0)),"Not Found"))</f>
        <v/>
      </c>
      <c r="E3050" s="27" t="str" cm="1">
        <f t="array" ref="E3050">IF(C3050="","",IFERROR(INDEX(STPP!$E$6:$E$4207,MATCH(C3050,STPP!$C$6:$C$4207,0)),"Not Found"))</f>
        <v/>
      </c>
      <c r="F3050" s="27" t="str" cm="1">
        <f t="array" ref="F3050">IF(C3050="","",IFERROR(INDEX(STPP!$F$6:$F$4207,MATCH(C3050,STPP!$C$6:$C$4207,0)),"Not Found"))</f>
        <v/>
      </c>
      <c r="G3050" s="25" t="str">
        <f>IF(表1[[#This Row],[No Seri]]="","",表1[[#This Row],[Deskripsi Barang]]+表1[[#This Row],[Kuantitas]]-表1[[#This Row],[Satuan]])</f>
        <v/>
      </c>
      <c r="H3050" s="28"/>
      <c r="I3050" s="25" t="str">
        <f>IF(表1[[#This Row],[Tgl NPBG]]&gt;表1[[#This Row],[Peminta]],表1[[#This Row],[Tgl NPBG]]-表1[[#This Row],[Peminta]],"")</f>
        <v/>
      </c>
      <c r="J3050" s="31"/>
    </row>
    <row r="3051" s="12" customFormat="1" customHeight="1" spans="2:10">
      <c r="B3051" s="25"/>
      <c r="C3051" s="25"/>
      <c r="D3051" s="26" t="str" cm="1">
        <f t="array" ref="D3051">IF(C3051="","",IFERROR(INDEX(STPP!$D$6:$D$4207,MATCH(C3051,STPP!$C$6:$C$4207,0)),"Not Found"))</f>
        <v/>
      </c>
      <c r="E3051" s="27" t="str" cm="1">
        <f t="array" ref="E3051">IF(C3051="","",IFERROR(INDEX(STPP!$E$6:$E$4207,MATCH(C3051,STPP!$C$6:$C$4207,0)),"Not Found"))</f>
        <v/>
      </c>
      <c r="F3051" s="27" t="str" cm="1">
        <f t="array" ref="F3051">IF(C3051="","",IFERROR(INDEX(STPP!$F$6:$F$4207,MATCH(C3051,STPP!$C$6:$C$4207,0)),"Not Found"))</f>
        <v/>
      </c>
      <c r="G3051" s="25" t="str">
        <f>IF(表1[[#This Row],[No Seri]]="","",表1[[#This Row],[Deskripsi Barang]]+表1[[#This Row],[Kuantitas]]-表1[[#This Row],[Satuan]])</f>
        <v/>
      </c>
      <c r="H3051" s="28"/>
      <c r="I3051" s="25" t="str">
        <f>IF(表1[[#This Row],[Tgl NPBG]]&gt;表1[[#This Row],[Peminta]],表1[[#This Row],[Tgl NPBG]]-表1[[#This Row],[Peminta]],"")</f>
        <v/>
      </c>
      <c r="J3051" s="31"/>
    </row>
    <row r="3052" s="12" customFormat="1" customHeight="1" spans="2:10">
      <c r="B3052" s="25"/>
      <c r="C3052" s="25"/>
      <c r="D3052" s="26" t="str" cm="1">
        <f t="array" ref="D3052">IF(C3052="","",IFERROR(INDEX(STPP!$D$6:$D$4207,MATCH(C3052,STPP!$C$6:$C$4207,0)),"Not Found"))</f>
        <v/>
      </c>
      <c r="E3052" s="27" t="str" cm="1">
        <f t="array" ref="E3052">IF(C3052="","",IFERROR(INDEX(STPP!$E$6:$E$4207,MATCH(C3052,STPP!$C$6:$C$4207,0)),"Not Found"))</f>
        <v/>
      </c>
      <c r="F3052" s="27" t="str" cm="1">
        <f t="array" ref="F3052">IF(C3052="","",IFERROR(INDEX(STPP!$F$6:$F$4207,MATCH(C3052,STPP!$C$6:$C$4207,0)),"Not Found"))</f>
        <v/>
      </c>
      <c r="G3052" s="25" t="str">
        <f>IF(表1[[#This Row],[No Seri]]="","",表1[[#This Row],[Deskripsi Barang]]+表1[[#This Row],[Kuantitas]]-表1[[#This Row],[Satuan]])</f>
        <v/>
      </c>
      <c r="H3052" s="28"/>
      <c r="I3052" s="25" t="str">
        <f>IF(表1[[#This Row],[Tgl NPBG]]&gt;表1[[#This Row],[Peminta]],表1[[#This Row],[Tgl NPBG]]-表1[[#This Row],[Peminta]],"")</f>
        <v/>
      </c>
      <c r="J3052" s="31"/>
    </row>
    <row r="3053" s="12" customFormat="1" customHeight="1" spans="2:10">
      <c r="B3053" s="25"/>
      <c r="C3053" s="25"/>
      <c r="D3053" s="26" t="str" cm="1">
        <f t="array" ref="D3053">IF(C3053="","",IFERROR(INDEX(STPP!$D$6:$D$4207,MATCH(C3053,STPP!$C$6:$C$4207,0)),"Not Found"))</f>
        <v/>
      </c>
      <c r="E3053" s="27" t="str" cm="1">
        <f t="array" ref="E3053">IF(C3053="","",IFERROR(INDEX(STPP!$E$6:$E$4207,MATCH(C3053,STPP!$C$6:$C$4207,0)),"Not Found"))</f>
        <v/>
      </c>
      <c r="F3053" s="27" t="str" cm="1">
        <f t="array" ref="F3053">IF(C3053="","",IFERROR(INDEX(STPP!$F$6:$F$4207,MATCH(C3053,STPP!$C$6:$C$4207,0)),"Not Found"))</f>
        <v/>
      </c>
      <c r="G3053" s="25" t="str">
        <f>IF(表1[[#This Row],[No Seri]]="","",表1[[#This Row],[Deskripsi Barang]]+表1[[#This Row],[Kuantitas]]-表1[[#This Row],[Satuan]])</f>
        <v/>
      </c>
      <c r="H3053" s="28"/>
      <c r="I3053" s="25" t="str">
        <f>IF(表1[[#This Row],[Tgl NPBG]]&gt;表1[[#This Row],[Peminta]],表1[[#This Row],[Tgl NPBG]]-表1[[#This Row],[Peminta]],"")</f>
        <v/>
      </c>
      <c r="J3053" s="31"/>
    </row>
    <row r="3054" s="12" customFormat="1" customHeight="1" spans="2:10">
      <c r="B3054" s="25"/>
      <c r="C3054" s="25"/>
      <c r="D3054" s="26" t="str" cm="1">
        <f t="array" ref="D3054">IF(C3054="","",IFERROR(INDEX(STPP!$D$6:$D$4207,MATCH(C3054,STPP!$C$6:$C$4207,0)),"Not Found"))</f>
        <v/>
      </c>
      <c r="E3054" s="27" t="str" cm="1">
        <f t="array" ref="E3054">IF(C3054="","",IFERROR(INDEX(STPP!$E$6:$E$4207,MATCH(C3054,STPP!$C$6:$C$4207,0)),"Not Found"))</f>
        <v/>
      </c>
      <c r="F3054" s="27" t="str" cm="1">
        <f t="array" ref="F3054">IF(C3054="","",IFERROR(INDEX(STPP!$F$6:$F$4207,MATCH(C3054,STPP!$C$6:$C$4207,0)),"Not Found"))</f>
        <v/>
      </c>
      <c r="G3054" s="25" t="str">
        <f>IF(表1[[#This Row],[No Seri]]="","",表1[[#This Row],[Deskripsi Barang]]+表1[[#This Row],[Kuantitas]]-表1[[#This Row],[Satuan]])</f>
        <v/>
      </c>
      <c r="H3054" s="28"/>
      <c r="I3054" s="25" t="str">
        <f>IF(表1[[#This Row],[Tgl NPBG]]&gt;表1[[#This Row],[Peminta]],表1[[#This Row],[Tgl NPBG]]-表1[[#This Row],[Peminta]],"")</f>
        <v/>
      </c>
      <c r="J3054" s="31"/>
    </row>
    <row r="3055" s="12" customFormat="1" customHeight="1" spans="2:10">
      <c r="B3055" s="25"/>
      <c r="C3055" s="25"/>
      <c r="D3055" s="26" t="str" cm="1">
        <f t="array" ref="D3055">IF(C3055="","",IFERROR(INDEX(STPP!$D$6:$D$4207,MATCH(C3055,STPP!$C$6:$C$4207,0)),"Not Found"))</f>
        <v/>
      </c>
      <c r="E3055" s="27" t="str" cm="1">
        <f t="array" ref="E3055">IF(C3055="","",IFERROR(INDEX(STPP!$E$6:$E$4207,MATCH(C3055,STPP!$C$6:$C$4207,0)),"Not Found"))</f>
        <v/>
      </c>
      <c r="F3055" s="27" t="str" cm="1">
        <f t="array" ref="F3055">IF(C3055="","",IFERROR(INDEX(STPP!$F$6:$F$4207,MATCH(C3055,STPP!$C$6:$C$4207,0)),"Not Found"))</f>
        <v/>
      </c>
      <c r="G3055" s="25" t="str">
        <f>IF(表1[[#This Row],[No Seri]]="","",表1[[#This Row],[Deskripsi Barang]]+表1[[#This Row],[Kuantitas]]-表1[[#This Row],[Satuan]])</f>
        <v/>
      </c>
      <c r="H3055" s="28"/>
      <c r="I3055" s="25" t="str">
        <f>IF(表1[[#This Row],[Tgl NPBG]]&gt;表1[[#This Row],[Peminta]],表1[[#This Row],[Tgl NPBG]]-表1[[#This Row],[Peminta]],"")</f>
        <v/>
      </c>
      <c r="J3055" s="31"/>
    </row>
    <row r="3056" s="12" customFormat="1" customHeight="1" spans="2:10">
      <c r="B3056" s="25"/>
      <c r="C3056" s="25"/>
      <c r="D3056" s="26" t="str" cm="1">
        <f t="array" ref="D3056">IF(C3056="","",IFERROR(INDEX(STPP!$D$6:$D$4207,MATCH(C3056,STPP!$C$6:$C$4207,0)),"Not Found"))</f>
        <v/>
      </c>
      <c r="E3056" s="27" t="str" cm="1">
        <f t="array" ref="E3056">IF(C3056="","",IFERROR(INDEX(STPP!$E$6:$E$4207,MATCH(C3056,STPP!$C$6:$C$4207,0)),"Not Found"))</f>
        <v/>
      </c>
      <c r="F3056" s="27" t="str" cm="1">
        <f t="array" ref="F3056">IF(C3056="","",IFERROR(INDEX(STPP!$F$6:$F$4207,MATCH(C3056,STPP!$C$6:$C$4207,0)),"Not Found"))</f>
        <v/>
      </c>
      <c r="G3056" s="25" t="str">
        <f>IF(表1[[#This Row],[No Seri]]="","",表1[[#This Row],[Deskripsi Barang]]+表1[[#This Row],[Kuantitas]]-表1[[#This Row],[Satuan]])</f>
        <v/>
      </c>
      <c r="H3056" s="28"/>
      <c r="I3056" s="25" t="str">
        <f>IF(表1[[#This Row],[Tgl NPBG]]&gt;表1[[#This Row],[Peminta]],表1[[#This Row],[Tgl NPBG]]-表1[[#This Row],[Peminta]],"")</f>
        <v/>
      </c>
      <c r="J3056" s="31"/>
    </row>
    <row r="3057" s="12" customFormat="1" customHeight="1" spans="2:10">
      <c r="B3057" s="25"/>
      <c r="C3057" s="25"/>
      <c r="D3057" s="26" t="str" cm="1">
        <f t="array" ref="D3057">IF(C3057="","",IFERROR(INDEX(STPP!$D$6:$D$4207,MATCH(C3057,STPP!$C$6:$C$4207,0)),"Not Found"))</f>
        <v/>
      </c>
      <c r="E3057" s="27" t="str" cm="1">
        <f t="array" ref="E3057">IF(C3057="","",IFERROR(INDEX(STPP!$E$6:$E$4207,MATCH(C3057,STPP!$C$6:$C$4207,0)),"Not Found"))</f>
        <v/>
      </c>
      <c r="F3057" s="27" t="str" cm="1">
        <f t="array" ref="F3057">IF(C3057="","",IFERROR(INDEX(STPP!$F$6:$F$4207,MATCH(C3057,STPP!$C$6:$C$4207,0)),"Not Found"))</f>
        <v/>
      </c>
      <c r="G3057" s="25" t="str">
        <f>IF(表1[[#This Row],[No Seri]]="","",表1[[#This Row],[Deskripsi Barang]]+表1[[#This Row],[Kuantitas]]-表1[[#This Row],[Satuan]])</f>
        <v/>
      </c>
      <c r="H3057" s="28"/>
      <c r="I3057" s="25" t="str">
        <f>IF(表1[[#This Row],[Tgl NPBG]]&gt;表1[[#This Row],[Peminta]],表1[[#This Row],[Tgl NPBG]]-表1[[#This Row],[Peminta]],"")</f>
        <v/>
      </c>
      <c r="J3057" s="31"/>
    </row>
    <row r="3058" s="12" customFormat="1" customHeight="1" spans="2:10">
      <c r="B3058" s="25"/>
      <c r="C3058" s="25"/>
      <c r="D3058" s="26" t="str" cm="1">
        <f t="array" ref="D3058">IF(C3058="","",IFERROR(INDEX(STPP!$D$6:$D$4207,MATCH(C3058,STPP!$C$6:$C$4207,0)),"Not Found"))</f>
        <v/>
      </c>
      <c r="E3058" s="27" t="str" cm="1">
        <f t="array" ref="E3058">IF(C3058="","",IFERROR(INDEX(STPP!$E$6:$E$4207,MATCH(C3058,STPP!$C$6:$C$4207,0)),"Not Found"))</f>
        <v/>
      </c>
      <c r="F3058" s="27" t="str" cm="1">
        <f t="array" ref="F3058">IF(C3058="","",IFERROR(INDEX(STPP!$F$6:$F$4207,MATCH(C3058,STPP!$C$6:$C$4207,0)),"Not Found"))</f>
        <v/>
      </c>
      <c r="G3058" s="25" t="str">
        <f>IF(表1[[#This Row],[No Seri]]="","",表1[[#This Row],[Deskripsi Barang]]+表1[[#This Row],[Kuantitas]]-表1[[#This Row],[Satuan]])</f>
        <v/>
      </c>
      <c r="H3058" s="28"/>
      <c r="I3058" s="25" t="str">
        <f>IF(表1[[#This Row],[Tgl NPBG]]&gt;表1[[#This Row],[Peminta]],表1[[#This Row],[Tgl NPBG]]-表1[[#This Row],[Peminta]],"")</f>
        <v/>
      </c>
      <c r="J3058" s="31"/>
    </row>
    <row r="3059" s="12" customFormat="1" customHeight="1" spans="2:10">
      <c r="B3059" s="25"/>
      <c r="C3059" s="25"/>
      <c r="D3059" s="26" t="str" cm="1">
        <f t="array" ref="D3059">IF(C3059="","",IFERROR(INDEX(STPP!$D$6:$D$4207,MATCH(C3059,STPP!$C$6:$C$4207,0)),"Not Found"))</f>
        <v/>
      </c>
      <c r="E3059" s="27" t="str" cm="1">
        <f t="array" ref="E3059">IF(C3059="","",IFERROR(INDEX(STPP!$E$6:$E$4207,MATCH(C3059,STPP!$C$6:$C$4207,0)),"Not Found"))</f>
        <v/>
      </c>
      <c r="F3059" s="27" t="str" cm="1">
        <f t="array" ref="F3059">IF(C3059="","",IFERROR(INDEX(STPP!$F$6:$F$4207,MATCH(C3059,STPP!$C$6:$C$4207,0)),"Not Found"))</f>
        <v/>
      </c>
      <c r="G3059" s="25" t="str">
        <f>IF(表1[[#This Row],[No Seri]]="","",表1[[#This Row],[Deskripsi Barang]]+表1[[#This Row],[Kuantitas]]-表1[[#This Row],[Satuan]])</f>
        <v/>
      </c>
      <c r="H3059" s="28"/>
      <c r="I3059" s="25" t="str">
        <f>IF(表1[[#This Row],[Tgl NPBG]]&gt;表1[[#This Row],[Peminta]],表1[[#This Row],[Tgl NPBG]]-表1[[#This Row],[Peminta]],"")</f>
        <v/>
      </c>
      <c r="J3059" s="31"/>
    </row>
    <row r="3060" s="12" customFormat="1" customHeight="1" spans="2:10">
      <c r="B3060" s="25"/>
      <c r="C3060" s="25"/>
      <c r="D3060" s="26" t="str" cm="1">
        <f t="array" ref="D3060">IF(C3060="","",IFERROR(INDEX(STPP!$D$6:$D$4207,MATCH(C3060,STPP!$C$6:$C$4207,0)),"Not Found"))</f>
        <v/>
      </c>
      <c r="E3060" s="27" t="str" cm="1">
        <f t="array" ref="E3060">IF(C3060="","",IFERROR(INDEX(STPP!$E$6:$E$4207,MATCH(C3060,STPP!$C$6:$C$4207,0)),"Not Found"))</f>
        <v/>
      </c>
      <c r="F3060" s="27" t="str" cm="1">
        <f t="array" ref="F3060">IF(C3060="","",IFERROR(INDEX(STPP!$F$6:$F$4207,MATCH(C3060,STPP!$C$6:$C$4207,0)),"Not Found"))</f>
        <v/>
      </c>
      <c r="G3060" s="25" t="str">
        <f>IF(表1[[#This Row],[No Seri]]="","",表1[[#This Row],[Deskripsi Barang]]+表1[[#This Row],[Kuantitas]]-表1[[#This Row],[Satuan]])</f>
        <v/>
      </c>
      <c r="H3060" s="28"/>
      <c r="I3060" s="25" t="str">
        <f>IF(表1[[#This Row],[Tgl NPBG]]&gt;表1[[#This Row],[Peminta]],表1[[#This Row],[Tgl NPBG]]-表1[[#This Row],[Peminta]],"")</f>
        <v/>
      </c>
      <c r="J3060" s="31"/>
    </row>
    <row r="3061" s="12" customFormat="1" customHeight="1" spans="2:10">
      <c r="B3061" s="25"/>
      <c r="C3061" s="25"/>
      <c r="D3061" s="26" t="str" cm="1">
        <f t="array" ref="D3061">IF(C3061="","",IFERROR(INDEX(STPP!$D$6:$D$4207,MATCH(C3061,STPP!$C$6:$C$4207,0)),"Not Found"))</f>
        <v/>
      </c>
      <c r="E3061" s="27" t="str" cm="1">
        <f t="array" ref="E3061">IF(C3061="","",IFERROR(INDEX(STPP!$E$6:$E$4207,MATCH(C3061,STPP!$C$6:$C$4207,0)),"Not Found"))</f>
        <v/>
      </c>
      <c r="F3061" s="27" t="str" cm="1">
        <f t="array" ref="F3061">IF(C3061="","",IFERROR(INDEX(STPP!$F$6:$F$4207,MATCH(C3061,STPP!$C$6:$C$4207,0)),"Not Found"))</f>
        <v/>
      </c>
      <c r="G3061" s="25" t="str">
        <f>IF(表1[[#This Row],[No Seri]]="","",表1[[#This Row],[Deskripsi Barang]]+表1[[#This Row],[Kuantitas]]-表1[[#This Row],[Satuan]])</f>
        <v/>
      </c>
      <c r="H3061" s="28"/>
      <c r="I3061" s="25" t="str">
        <f>IF(表1[[#This Row],[Tgl NPBG]]&gt;表1[[#This Row],[Peminta]],表1[[#This Row],[Tgl NPBG]]-表1[[#This Row],[Peminta]],"")</f>
        <v/>
      </c>
      <c r="J3061" s="31"/>
    </row>
    <row r="3062" s="12" customFormat="1" customHeight="1" spans="2:10">
      <c r="B3062" s="25"/>
      <c r="C3062" s="25"/>
      <c r="D3062" s="26" t="str" cm="1">
        <f t="array" ref="D3062">IF(C3062="","",IFERROR(INDEX(STPP!$D$6:$D$4207,MATCH(C3062,STPP!$C$6:$C$4207,0)),"Not Found"))</f>
        <v/>
      </c>
      <c r="E3062" s="27" t="str" cm="1">
        <f t="array" ref="E3062">IF(C3062="","",IFERROR(INDEX(STPP!$E$6:$E$4207,MATCH(C3062,STPP!$C$6:$C$4207,0)),"Not Found"))</f>
        <v/>
      </c>
      <c r="F3062" s="27" t="str" cm="1">
        <f t="array" ref="F3062">IF(C3062="","",IFERROR(INDEX(STPP!$F$6:$F$4207,MATCH(C3062,STPP!$C$6:$C$4207,0)),"Not Found"))</f>
        <v/>
      </c>
      <c r="G3062" s="25" t="str">
        <f>IF(表1[[#This Row],[No Seri]]="","",表1[[#This Row],[Deskripsi Barang]]+表1[[#This Row],[Kuantitas]]-表1[[#This Row],[Satuan]])</f>
        <v/>
      </c>
      <c r="H3062" s="28"/>
      <c r="I3062" s="25" t="str">
        <f>IF(表1[[#This Row],[Tgl NPBG]]&gt;表1[[#This Row],[Peminta]],表1[[#This Row],[Tgl NPBG]]-表1[[#This Row],[Peminta]],"")</f>
        <v/>
      </c>
      <c r="J3062" s="31"/>
    </row>
    <row r="3063" s="12" customFormat="1" customHeight="1" spans="2:10">
      <c r="B3063" s="25"/>
      <c r="C3063" s="25"/>
      <c r="D3063" s="26" t="str" cm="1">
        <f t="array" ref="D3063">IF(C3063="","",IFERROR(INDEX(STPP!$D$6:$D$4207,MATCH(C3063,STPP!$C$6:$C$4207,0)),"Not Found"))</f>
        <v/>
      </c>
      <c r="E3063" s="27" t="str" cm="1">
        <f t="array" ref="E3063">IF(C3063="","",IFERROR(INDEX(STPP!$E$6:$E$4207,MATCH(C3063,STPP!$C$6:$C$4207,0)),"Not Found"))</f>
        <v/>
      </c>
      <c r="F3063" s="27" t="str" cm="1">
        <f t="array" ref="F3063">IF(C3063="","",IFERROR(INDEX(STPP!$F$6:$F$4207,MATCH(C3063,STPP!$C$6:$C$4207,0)),"Not Found"))</f>
        <v/>
      </c>
      <c r="G3063" s="25" t="str">
        <f>IF(表1[[#This Row],[No Seri]]="","",表1[[#This Row],[Deskripsi Barang]]+表1[[#This Row],[Kuantitas]]-表1[[#This Row],[Satuan]])</f>
        <v/>
      </c>
      <c r="H3063" s="28"/>
      <c r="I3063" s="25" t="str">
        <f>IF(表1[[#This Row],[Tgl NPBG]]&gt;表1[[#This Row],[Peminta]],表1[[#This Row],[Tgl NPBG]]-表1[[#This Row],[Peminta]],"")</f>
        <v/>
      </c>
      <c r="J3063" s="31"/>
    </row>
    <row r="3064" s="12" customFormat="1" customHeight="1" spans="2:10">
      <c r="B3064" s="25"/>
      <c r="C3064" s="25"/>
      <c r="D3064" s="26" t="str" cm="1">
        <f t="array" ref="D3064">IF(C3064="","",IFERROR(INDEX(STPP!$D$6:$D$4207,MATCH(C3064,STPP!$C$6:$C$4207,0)),"Not Found"))</f>
        <v/>
      </c>
      <c r="E3064" s="27" t="str" cm="1">
        <f t="array" ref="E3064">IF(C3064="","",IFERROR(INDEX(STPP!$E$6:$E$4207,MATCH(C3064,STPP!$C$6:$C$4207,0)),"Not Found"))</f>
        <v/>
      </c>
      <c r="F3064" s="27" t="str" cm="1">
        <f t="array" ref="F3064">IF(C3064="","",IFERROR(INDEX(STPP!$F$6:$F$4207,MATCH(C3064,STPP!$C$6:$C$4207,0)),"Not Found"))</f>
        <v/>
      </c>
      <c r="G3064" s="25" t="str">
        <f>IF(表1[[#This Row],[No Seri]]="","",表1[[#This Row],[Deskripsi Barang]]+表1[[#This Row],[Kuantitas]]-表1[[#This Row],[Satuan]])</f>
        <v/>
      </c>
      <c r="H3064" s="28"/>
      <c r="I3064" s="25" t="str">
        <f>IF(表1[[#This Row],[Tgl NPBG]]&gt;表1[[#This Row],[Peminta]],表1[[#This Row],[Tgl NPBG]]-表1[[#This Row],[Peminta]],"")</f>
        <v/>
      </c>
      <c r="J3064" s="31"/>
    </row>
    <row r="3065" s="12" customFormat="1" customHeight="1" spans="2:10">
      <c r="B3065" s="25"/>
      <c r="C3065" s="25"/>
      <c r="D3065" s="26" t="str" cm="1">
        <f t="array" ref="D3065">IF(C3065="","",IFERROR(INDEX(STPP!$D$6:$D$4207,MATCH(C3065,STPP!$C$6:$C$4207,0)),"Not Found"))</f>
        <v/>
      </c>
      <c r="E3065" s="27" t="str" cm="1">
        <f t="array" ref="E3065">IF(C3065="","",IFERROR(INDEX(STPP!$E$6:$E$4207,MATCH(C3065,STPP!$C$6:$C$4207,0)),"Not Found"))</f>
        <v/>
      </c>
      <c r="F3065" s="27" t="str" cm="1">
        <f t="array" ref="F3065">IF(C3065="","",IFERROR(INDEX(STPP!$F$6:$F$4207,MATCH(C3065,STPP!$C$6:$C$4207,0)),"Not Found"))</f>
        <v/>
      </c>
      <c r="G3065" s="25" t="str">
        <f>IF(表1[[#This Row],[No Seri]]="","",表1[[#This Row],[Deskripsi Barang]]+表1[[#This Row],[Kuantitas]]-表1[[#This Row],[Satuan]])</f>
        <v/>
      </c>
      <c r="H3065" s="28"/>
      <c r="I3065" s="25" t="str">
        <f>IF(表1[[#This Row],[Tgl NPBG]]&gt;表1[[#This Row],[Peminta]],表1[[#This Row],[Tgl NPBG]]-表1[[#This Row],[Peminta]],"")</f>
        <v/>
      </c>
      <c r="J3065" s="31"/>
    </row>
    <row r="3066" s="12" customFormat="1" customHeight="1" spans="2:10">
      <c r="B3066" s="25"/>
      <c r="C3066" s="25"/>
      <c r="D3066" s="26" t="str" cm="1">
        <f t="array" ref="D3066">IF(C3066="","",IFERROR(INDEX(STPP!$D$6:$D$4207,MATCH(C3066,STPP!$C$6:$C$4207,0)),"Not Found"))</f>
        <v/>
      </c>
      <c r="E3066" s="27" t="str" cm="1">
        <f t="array" ref="E3066">IF(C3066="","",IFERROR(INDEX(STPP!$E$6:$E$4207,MATCH(C3066,STPP!$C$6:$C$4207,0)),"Not Found"))</f>
        <v/>
      </c>
      <c r="F3066" s="27" t="str" cm="1">
        <f t="array" ref="F3066">IF(C3066="","",IFERROR(INDEX(STPP!$F$6:$F$4207,MATCH(C3066,STPP!$C$6:$C$4207,0)),"Not Found"))</f>
        <v/>
      </c>
      <c r="G3066" s="25" t="str">
        <f>IF(表1[[#This Row],[No Seri]]="","",表1[[#This Row],[Deskripsi Barang]]+表1[[#This Row],[Kuantitas]]-表1[[#This Row],[Satuan]])</f>
        <v/>
      </c>
      <c r="H3066" s="28"/>
      <c r="I3066" s="25" t="str">
        <f>IF(表1[[#This Row],[Tgl NPBG]]&gt;表1[[#This Row],[Peminta]],表1[[#This Row],[Tgl NPBG]]-表1[[#This Row],[Peminta]],"")</f>
        <v/>
      </c>
      <c r="J3066" s="31"/>
    </row>
    <row r="3067" s="12" customFormat="1" customHeight="1" spans="2:10">
      <c r="B3067" s="25"/>
      <c r="C3067" s="25"/>
      <c r="D3067" s="26" t="str" cm="1">
        <f t="array" ref="D3067">IF(C3067="","",IFERROR(INDEX(STPP!$D$6:$D$4207,MATCH(C3067,STPP!$C$6:$C$4207,0)),"Not Found"))</f>
        <v/>
      </c>
      <c r="E3067" s="27" t="str" cm="1">
        <f t="array" ref="E3067">IF(C3067="","",IFERROR(INDEX(STPP!$E$6:$E$4207,MATCH(C3067,STPP!$C$6:$C$4207,0)),"Not Found"))</f>
        <v/>
      </c>
      <c r="F3067" s="27" t="str" cm="1">
        <f t="array" ref="F3067">IF(C3067="","",IFERROR(INDEX(STPP!$F$6:$F$4207,MATCH(C3067,STPP!$C$6:$C$4207,0)),"Not Found"))</f>
        <v/>
      </c>
      <c r="G3067" s="25" t="str">
        <f>IF(表1[[#This Row],[No Seri]]="","",表1[[#This Row],[Deskripsi Barang]]+表1[[#This Row],[Kuantitas]]-表1[[#This Row],[Satuan]])</f>
        <v/>
      </c>
      <c r="H3067" s="28"/>
      <c r="I3067" s="25" t="str">
        <f>IF(表1[[#This Row],[Tgl NPBG]]&gt;表1[[#This Row],[Peminta]],表1[[#This Row],[Tgl NPBG]]-表1[[#This Row],[Peminta]],"")</f>
        <v/>
      </c>
      <c r="J3067" s="31"/>
    </row>
    <row r="3068" s="12" customFormat="1" customHeight="1" spans="2:10">
      <c r="B3068" s="25"/>
      <c r="C3068" s="25"/>
      <c r="D3068" s="26" t="str" cm="1">
        <f t="array" ref="D3068">IF(C3068="","",IFERROR(INDEX(STPP!$D$6:$D$4207,MATCH(C3068,STPP!$C$6:$C$4207,0)),"Not Found"))</f>
        <v/>
      </c>
      <c r="E3068" s="27" t="str" cm="1">
        <f t="array" ref="E3068">IF(C3068="","",IFERROR(INDEX(STPP!$E$6:$E$4207,MATCH(C3068,STPP!$C$6:$C$4207,0)),"Not Found"))</f>
        <v/>
      </c>
      <c r="F3068" s="27" t="str" cm="1">
        <f t="array" ref="F3068">IF(C3068="","",IFERROR(INDEX(STPP!$F$6:$F$4207,MATCH(C3068,STPP!$C$6:$C$4207,0)),"Not Found"))</f>
        <v/>
      </c>
      <c r="G3068" s="25" t="str">
        <f>IF(表1[[#This Row],[No Seri]]="","",表1[[#This Row],[Deskripsi Barang]]+表1[[#This Row],[Kuantitas]]-表1[[#This Row],[Satuan]])</f>
        <v/>
      </c>
      <c r="H3068" s="28"/>
      <c r="I3068" s="25" t="str">
        <f>IF(表1[[#This Row],[Tgl NPBG]]&gt;表1[[#This Row],[Peminta]],表1[[#This Row],[Tgl NPBG]]-表1[[#This Row],[Peminta]],"")</f>
        <v/>
      </c>
      <c r="J3068" s="31"/>
    </row>
    <row r="3069" s="12" customFormat="1" customHeight="1" spans="2:10">
      <c r="B3069" s="25"/>
      <c r="C3069" s="25"/>
      <c r="D3069" s="26" t="str" cm="1">
        <f t="array" ref="D3069">IF(C3069="","",IFERROR(INDEX(STPP!$D$6:$D$4207,MATCH(C3069,STPP!$C$6:$C$4207,0)),"Not Found"))</f>
        <v/>
      </c>
      <c r="E3069" s="27" t="str" cm="1">
        <f t="array" ref="E3069">IF(C3069="","",IFERROR(INDEX(STPP!$E$6:$E$4207,MATCH(C3069,STPP!$C$6:$C$4207,0)),"Not Found"))</f>
        <v/>
      </c>
      <c r="F3069" s="27" t="str" cm="1">
        <f t="array" ref="F3069">IF(C3069="","",IFERROR(INDEX(STPP!$F$6:$F$4207,MATCH(C3069,STPP!$C$6:$C$4207,0)),"Not Found"))</f>
        <v/>
      </c>
      <c r="G3069" s="25" t="str">
        <f>IF(表1[[#This Row],[No Seri]]="","",表1[[#This Row],[Deskripsi Barang]]+表1[[#This Row],[Kuantitas]]-表1[[#This Row],[Satuan]])</f>
        <v/>
      </c>
      <c r="H3069" s="28"/>
      <c r="I3069" s="25" t="str">
        <f>IF(表1[[#This Row],[Tgl NPBG]]&gt;表1[[#This Row],[Peminta]],表1[[#This Row],[Tgl NPBG]]-表1[[#This Row],[Peminta]],"")</f>
        <v/>
      </c>
      <c r="J3069" s="31"/>
    </row>
    <row r="3070" s="12" customFormat="1" customHeight="1" spans="2:10">
      <c r="B3070" s="25"/>
      <c r="C3070" s="25"/>
      <c r="D3070" s="26" t="str" cm="1">
        <f t="array" ref="D3070">IF(C3070="","",IFERROR(INDEX(STPP!$D$6:$D$4207,MATCH(C3070,STPP!$C$6:$C$4207,0)),"Not Found"))</f>
        <v/>
      </c>
      <c r="E3070" s="27" t="str" cm="1">
        <f t="array" ref="E3070">IF(C3070="","",IFERROR(INDEX(STPP!$E$6:$E$4207,MATCH(C3070,STPP!$C$6:$C$4207,0)),"Not Found"))</f>
        <v/>
      </c>
      <c r="F3070" s="27" t="str" cm="1">
        <f t="array" ref="F3070">IF(C3070="","",IFERROR(INDEX(STPP!$F$6:$F$4207,MATCH(C3070,STPP!$C$6:$C$4207,0)),"Not Found"))</f>
        <v/>
      </c>
      <c r="G3070" s="25" t="str">
        <f>IF(表1[[#This Row],[No Seri]]="","",表1[[#This Row],[Deskripsi Barang]]+表1[[#This Row],[Kuantitas]]-表1[[#This Row],[Satuan]])</f>
        <v/>
      </c>
      <c r="H3070" s="28"/>
      <c r="I3070" s="25" t="str">
        <f>IF(表1[[#This Row],[Tgl NPBG]]&gt;表1[[#This Row],[Peminta]],表1[[#This Row],[Tgl NPBG]]-表1[[#This Row],[Peminta]],"")</f>
        <v/>
      </c>
      <c r="J3070" s="31"/>
    </row>
    <row r="3071" s="12" customFormat="1" customHeight="1" spans="2:10">
      <c r="B3071" s="25"/>
      <c r="C3071" s="25"/>
      <c r="D3071" s="26" t="str" cm="1">
        <f t="array" ref="D3071">IF(C3071="","",IFERROR(INDEX(STPP!$D$6:$D$4207,MATCH(C3071,STPP!$C$6:$C$4207,0)),"Not Found"))</f>
        <v/>
      </c>
      <c r="E3071" s="27" t="str" cm="1">
        <f t="array" ref="E3071">IF(C3071="","",IFERROR(INDEX(STPP!$E$6:$E$4207,MATCH(C3071,STPP!$C$6:$C$4207,0)),"Not Found"))</f>
        <v/>
      </c>
      <c r="F3071" s="27" t="str" cm="1">
        <f t="array" ref="F3071">IF(C3071="","",IFERROR(INDEX(STPP!$F$6:$F$4207,MATCH(C3071,STPP!$C$6:$C$4207,0)),"Not Found"))</f>
        <v/>
      </c>
      <c r="G3071" s="25" t="str">
        <f>IF(表1[[#This Row],[No Seri]]="","",表1[[#This Row],[Deskripsi Barang]]+表1[[#This Row],[Kuantitas]]-表1[[#This Row],[Satuan]])</f>
        <v/>
      </c>
      <c r="H3071" s="28"/>
      <c r="I3071" s="25" t="str">
        <f>IF(表1[[#This Row],[Tgl NPBG]]&gt;表1[[#This Row],[Peminta]],表1[[#This Row],[Tgl NPBG]]-表1[[#This Row],[Peminta]],"")</f>
        <v/>
      </c>
      <c r="J3071" s="31"/>
    </row>
    <row r="3072" s="12" customFormat="1" customHeight="1" spans="2:10">
      <c r="B3072" s="25"/>
      <c r="C3072" s="25"/>
      <c r="D3072" s="26" t="str" cm="1">
        <f t="array" ref="D3072">IF(C3072="","",IFERROR(INDEX(STPP!$D$6:$D$4207,MATCH(C3072,STPP!$C$6:$C$4207,0)),"Not Found"))</f>
        <v/>
      </c>
      <c r="E3072" s="27" t="str" cm="1">
        <f t="array" ref="E3072">IF(C3072="","",IFERROR(INDEX(STPP!$E$6:$E$4207,MATCH(C3072,STPP!$C$6:$C$4207,0)),"Not Found"))</f>
        <v/>
      </c>
      <c r="F3072" s="27" t="str" cm="1">
        <f t="array" ref="F3072">IF(C3072="","",IFERROR(INDEX(STPP!$F$6:$F$4207,MATCH(C3072,STPP!$C$6:$C$4207,0)),"Not Found"))</f>
        <v/>
      </c>
      <c r="G3072" s="25" t="str">
        <f>IF(表1[[#This Row],[No Seri]]="","",表1[[#This Row],[Deskripsi Barang]]+表1[[#This Row],[Kuantitas]]-表1[[#This Row],[Satuan]])</f>
        <v/>
      </c>
      <c r="H3072" s="28"/>
      <c r="I3072" s="25" t="str">
        <f>IF(表1[[#This Row],[Tgl NPBG]]&gt;表1[[#This Row],[Peminta]],表1[[#This Row],[Tgl NPBG]]-表1[[#This Row],[Peminta]],"")</f>
        <v/>
      </c>
      <c r="J3072" s="31"/>
    </row>
    <row r="3073" s="12" customFormat="1" customHeight="1" spans="2:10">
      <c r="B3073" s="25"/>
      <c r="C3073" s="25"/>
      <c r="D3073" s="26" t="str" cm="1">
        <f t="array" ref="D3073">IF(C3073="","",IFERROR(INDEX(STPP!$D$6:$D$4207,MATCH(C3073,STPP!$C$6:$C$4207,0)),"Not Found"))</f>
        <v/>
      </c>
      <c r="E3073" s="27" t="str" cm="1">
        <f t="array" ref="E3073">IF(C3073="","",IFERROR(INDEX(STPP!$E$6:$E$4207,MATCH(C3073,STPP!$C$6:$C$4207,0)),"Not Found"))</f>
        <v/>
      </c>
      <c r="F3073" s="27" t="str" cm="1">
        <f t="array" ref="F3073">IF(C3073="","",IFERROR(INDEX(STPP!$F$6:$F$4207,MATCH(C3073,STPP!$C$6:$C$4207,0)),"Not Found"))</f>
        <v/>
      </c>
      <c r="G3073" s="25" t="str">
        <f>IF(表1[[#This Row],[No Seri]]="","",表1[[#This Row],[Deskripsi Barang]]+表1[[#This Row],[Kuantitas]]-表1[[#This Row],[Satuan]])</f>
        <v/>
      </c>
      <c r="H3073" s="28"/>
      <c r="I3073" s="25" t="str">
        <f>IF(表1[[#This Row],[Tgl NPBG]]&gt;表1[[#This Row],[Peminta]],表1[[#This Row],[Tgl NPBG]]-表1[[#This Row],[Peminta]],"")</f>
        <v/>
      </c>
      <c r="J3073" s="31"/>
    </row>
    <row r="3074" s="12" customFormat="1" customHeight="1" spans="2:10">
      <c r="B3074" s="25"/>
      <c r="C3074" s="25"/>
      <c r="D3074" s="26" t="str" cm="1">
        <f t="array" ref="D3074">IF(C3074="","",IFERROR(INDEX(STPP!$D$6:$D$4207,MATCH(C3074,STPP!$C$6:$C$4207,0)),"Not Found"))</f>
        <v/>
      </c>
      <c r="E3074" s="27" t="str" cm="1">
        <f t="array" ref="E3074">IF(C3074="","",IFERROR(INDEX(STPP!$E$6:$E$4207,MATCH(C3074,STPP!$C$6:$C$4207,0)),"Not Found"))</f>
        <v/>
      </c>
      <c r="F3074" s="27" t="str" cm="1">
        <f t="array" ref="F3074">IF(C3074="","",IFERROR(INDEX(STPP!$F$6:$F$4207,MATCH(C3074,STPP!$C$6:$C$4207,0)),"Not Found"))</f>
        <v/>
      </c>
      <c r="G3074" s="25" t="str">
        <f>IF(表1[[#This Row],[No Seri]]="","",表1[[#This Row],[Deskripsi Barang]]+表1[[#This Row],[Kuantitas]]-表1[[#This Row],[Satuan]])</f>
        <v/>
      </c>
      <c r="H3074" s="28"/>
      <c r="I3074" s="25" t="str">
        <f>IF(表1[[#This Row],[Tgl NPBG]]&gt;表1[[#This Row],[Peminta]],表1[[#This Row],[Tgl NPBG]]-表1[[#This Row],[Peminta]],"")</f>
        <v/>
      </c>
      <c r="J3074" s="31"/>
    </row>
    <row r="3075" s="12" customFormat="1" customHeight="1" spans="2:10">
      <c r="B3075" s="25"/>
      <c r="C3075" s="25"/>
      <c r="D3075" s="26" t="str" cm="1">
        <f t="array" ref="D3075">IF(C3075="","",IFERROR(INDEX(STPP!$D$6:$D$4207,MATCH(C3075,STPP!$C$6:$C$4207,0)),"Not Found"))</f>
        <v/>
      </c>
      <c r="E3075" s="27" t="str" cm="1">
        <f t="array" ref="E3075">IF(C3075="","",IFERROR(INDEX(STPP!$E$6:$E$4207,MATCH(C3075,STPP!$C$6:$C$4207,0)),"Not Found"))</f>
        <v/>
      </c>
      <c r="F3075" s="27" t="str" cm="1">
        <f t="array" ref="F3075">IF(C3075="","",IFERROR(INDEX(STPP!$F$6:$F$4207,MATCH(C3075,STPP!$C$6:$C$4207,0)),"Not Found"))</f>
        <v/>
      </c>
      <c r="G3075" s="25" t="str">
        <f>IF(表1[[#This Row],[No Seri]]="","",表1[[#This Row],[Deskripsi Barang]]+表1[[#This Row],[Kuantitas]]-表1[[#This Row],[Satuan]])</f>
        <v/>
      </c>
      <c r="H3075" s="28"/>
      <c r="I3075" s="25" t="str">
        <f>IF(表1[[#This Row],[Tgl NPBG]]&gt;表1[[#This Row],[Peminta]],表1[[#This Row],[Tgl NPBG]]-表1[[#This Row],[Peminta]],"")</f>
        <v/>
      </c>
      <c r="J3075" s="31"/>
    </row>
    <row r="3076" s="12" customFormat="1" customHeight="1" spans="2:10">
      <c r="B3076" s="25"/>
      <c r="C3076" s="25"/>
      <c r="D3076" s="26" t="str" cm="1">
        <f t="array" ref="D3076">IF(C3076="","",IFERROR(INDEX(STPP!$D$6:$D$4207,MATCH(C3076,STPP!$C$6:$C$4207,0)),"Not Found"))</f>
        <v/>
      </c>
      <c r="E3076" s="27" t="str" cm="1">
        <f t="array" ref="E3076">IF(C3076="","",IFERROR(INDEX(STPP!$E$6:$E$4207,MATCH(C3076,STPP!$C$6:$C$4207,0)),"Not Found"))</f>
        <v/>
      </c>
      <c r="F3076" s="27" t="str" cm="1">
        <f t="array" ref="F3076">IF(C3076="","",IFERROR(INDEX(STPP!$F$6:$F$4207,MATCH(C3076,STPP!$C$6:$C$4207,0)),"Not Found"))</f>
        <v/>
      </c>
      <c r="G3076" s="25" t="str">
        <f>IF(表1[[#This Row],[No Seri]]="","",表1[[#This Row],[Deskripsi Barang]]+表1[[#This Row],[Kuantitas]]-表1[[#This Row],[Satuan]])</f>
        <v/>
      </c>
      <c r="H3076" s="28"/>
      <c r="I3076" s="25" t="str">
        <f>IF(表1[[#This Row],[Tgl NPBG]]&gt;表1[[#This Row],[Peminta]],表1[[#This Row],[Tgl NPBG]]-表1[[#This Row],[Peminta]],"")</f>
        <v/>
      </c>
      <c r="J3076" s="31"/>
    </row>
    <row r="3077" s="12" customFormat="1" customHeight="1" spans="2:10">
      <c r="B3077" s="25"/>
      <c r="C3077" s="25"/>
      <c r="D3077" s="26" t="str" cm="1">
        <f t="array" ref="D3077">IF(C3077="","",IFERROR(INDEX(STPP!$D$6:$D$4207,MATCH(C3077,STPP!$C$6:$C$4207,0)),"Not Found"))</f>
        <v/>
      </c>
      <c r="E3077" s="27" t="str" cm="1">
        <f t="array" ref="E3077">IF(C3077="","",IFERROR(INDEX(STPP!$E$6:$E$4207,MATCH(C3077,STPP!$C$6:$C$4207,0)),"Not Found"))</f>
        <v/>
      </c>
      <c r="F3077" s="27" t="str" cm="1">
        <f t="array" ref="F3077">IF(C3077="","",IFERROR(INDEX(STPP!$F$6:$F$4207,MATCH(C3077,STPP!$C$6:$C$4207,0)),"Not Found"))</f>
        <v/>
      </c>
      <c r="G3077" s="25" t="str">
        <f>IF(表1[[#This Row],[No Seri]]="","",表1[[#This Row],[Deskripsi Barang]]+表1[[#This Row],[Kuantitas]]-表1[[#This Row],[Satuan]])</f>
        <v/>
      </c>
      <c r="H3077" s="28"/>
      <c r="I3077" s="25" t="str">
        <f>IF(表1[[#This Row],[Tgl NPBG]]&gt;表1[[#This Row],[Peminta]],表1[[#This Row],[Tgl NPBG]]-表1[[#This Row],[Peminta]],"")</f>
        <v/>
      </c>
      <c r="J3077" s="31"/>
    </row>
    <row r="3078" s="12" customFormat="1" customHeight="1" spans="2:10">
      <c r="B3078" s="25"/>
      <c r="C3078" s="25"/>
      <c r="D3078" s="26" t="str" cm="1">
        <f t="array" ref="D3078">IF(C3078="","",IFERROR(INDEX(STPP!$D$6:$D$4207,MATCH(C3078,STPP!$C$6:$C$4207,0)),"Not Found"))</f>
        <v/>
      </c>
      <c r="E3078" s="27" t="str" cm="1">
        <f t="array" ref="E3078">IF(C3078="","",IFERROR(INDEX(STPP!$E$6:$E$4207,MATCH(C3078,STPP!$C$6:$C$4207,0)),"Not Found"))</f>
        <v/>
      </c>
      <c r="F3078" s="27" t="str" cm="1">
        <f t="array" ref="F3078">IF(C3078="","",IFERROR(INDEX(STPP!$F$6:$F$4207,MATCH(C3078,STPP!$C$6:$C$4207,0)),"Not Found"))</f>
        <v/>
      </c>
      <c r="G3078" s="25" t="str">
        <f>IF(表1[[#This Row],[No Seri]]="","",表1[[#This Row],[Deskripsi Barang]]+表1[[#This Row],[Kuantitas]]-表1[[#This Row],[Satuan]])</f>
        <v/>
      </c>
      <c r="H3078" s="28"/>
      <c r="I3078" s="25" t="str">
        <f>IF(表1[[#This Row],[Tgl NPBG]]&gt;表1[[#This Row],[Peminta]],表1[[#This Row],[Tgl NPBG]]-表1[[#This Row],[Peminta]],"")</f>
        <v/>
      </c>
      <c r="J3078" s="31"/>
    </row>
    <row r="3079" s="12" customFormat="1" customHeight="1" spans="2:10">
      <c r="B3079" s="25"/>
      <c r="C3079" s="25"/>
      <c r="D3079" s="26" t="str" cm="1">
        <f t="array" ref="D3079">IF(C3079="","",IFERROR(INDEX(STPP!$D$6:$D$4207,MATCH(C3079,STPP!$C$6:$C$4207,0)),"Not Found"))</f>
        <v/>
      </c>
      <c r="E3079" s="27" t="str" cm="1">
        <f t="array" ref="E3079">IF(C3079="","",IFERROR(INDEX(STPP!$E$6:$E$4207,MATCH(C3079,STPP!$C$6:$C$4207,0)),"Not Found"))</f>
        <v/>
      </c>
      <c r="F3079" s="27" t="str" cm="1">
        <f t="array" ref="F3079">IF(C3079="","",IFERROR(INDEX(STPP!$F$6:$F$4207,MATCH(C3079,STPP!$C$6:$C$4207,0)),"Not Found"))</f>
        <v/>
      </c>
      <c r="G3079" s="25" t="str">
        <f>IF(表1[[#This Row],[No Seri]]="","",表1[[#This Row],[Deskripsi Barang]]+表1[[#This Row],[Kuantitas]]-表1[[#This Row],[Satuan]])</f>
        <v/>
      </c>
      <c r="H3079" s="28"/>
      <c r="I3079" s="25" t="str">
        <f>IF(表1[[#This Row],[Tgl NPBG]]&gt;表1[[#This Row],[Peminta]],表1[[#This Row],[Tgl NPBG]]-表1[[#This Row],[Peminta]],"")</f>
        <v/>
      </c>
      <c r="J3079" s="31"/>
    </row>
    <row r="3080" s="12" customFormat="1" customHeight="1" spans="2:10">
      <c r="B3080" s="25"/>
      <c r="C3080" s="25"/>
      <c r="D3080" s="26" t="str" cm="1">
        <f t="array" ref="D3080">IF(C3080="","",IFERROR(INDEX(STPP!$D$6:$D$4207,MATCH(C3080,STPP!$C$6:$C$4207,0)),"Not Found"))</f>
        <v/>
      </c>
      <c r="E3080" s="27" t="str" cm="1">
        <f t="array" ref="E3080">IF(C3080="","",IFERROR(INDEX(STPP!$E$6:$E$4207,MATCH(C3080,STPP!$C$6:$C$4207,0)),"Not Found"))</f>
        <v/>
      </c>
      <c r="F3080" s="27" t="str" cm="1">
        <f t="array" ref="F3080">IF(C3080="","",IFERROR(INDEX(STPP!$F$6:$F$4207,MATCH(C3080,STPP!$C$6:$C$4207,0)),"Not Found"))</f>
        <v/>
      </c>
      <c r="G3080" s="25" t="str">
        <f>IF(表1[[#This Row],[No Seri]]="","",表1[[#This Row],[Deskripsi Barang]]+表1[[#This Row],[Kuantitas]]-表1[[#This Row],[Satuan]])</f>
        <v/>
      </c>
      <c r="H3080" s="28"/>
      <c r="I3080" s="25" t="str">
        <f>IF(表1[[#This Row],[Tgl NPBG]]&gt;表1[[#This Row],[Peminta]],表1[[#This Row],[Tgl NPBG]]-表1[[#This Row],[Peminta]],"")</f>
        <v/>
      </c>
      <c r="J3080" s="31"/>
    </row>
    <row r="3081" s="12" customFormat="1" customHeight="1" spans="2:10">
      <c r="B3081" s="25"/>
      <c r="C3081" s="25"/>
      <c r="D3081" s="26" t="str" cm="1">
        <f t="array" ref="D3081">IF(C3081="","",IFERROR(INDEX(STPP!$D$6:$D$4207,MATCH(C3081,STPP!$C$6:$C$4207,0)),"Not Found"))</f>
        <v/>
      </c>
      <c r="E3081" s="27" t="str" cm="1">
        <f t="array" ref="E3081">IF(C3081="","",IFERROR(INDEX(STPP!$E$6:$E$4207,MATCH(C3081,STPP!$C$6:$C$4207,0)),"Not Found"))</f>
        <v/>
      </c>
      <c r="F3081" s="27" t="str" cm="1">
        <f t="array" ref="F3081">IF(C3081="","",IFERROR(INDEX(STPP!$F$6:$F$4207,MATCH(C3081,STPP!$C$6:$C$4207,0)),"Not Found"))</f>
        <v/>
      </c>
      <c r="G3081" s="25" t="str">
        <f>IF(表1[[#This Row],[No Seri]]="","",表1[[#This Row],[Deskripsi Barang]]+表1[[#This Row],[Kuantitas]]-表1[[#This Row],[Satuan]])</f>
        <v/>
      </c>
      <c r="H3081" s="28"/>
      <c r="I3081" s="25" t="str">
        <f>IF(表1[[#This Row],[Tgl NPBG]]&gt;表1[[#This Row],[Peminta]],表1[[#This Row],[Tgl NPBG]]-表1[[#This Row],[Peminta]],"")</f>
        <v/>
      </c>
      <c r="J3081" s="31"/>
    </row>
    <row r="3082" s="12" customFormat="1" customHeight="1" spans="2:10">
      <c r="B3082" s="25"/>
      <c r="C3082" s="25"/>
      <c r="D3082" s="26" t="str" cm="1">
        <f t="array" ref="D3082">IF(C3082="","",IFERROR(INDEX(STPP!$D$6:$D$4207,MATCH(C3082,STPP!$C$6:$C$4207,0)),"Not Found"))</f>
        <v/>
      </c>
      <c r="E3082" s="27" t="str" cm="1">
        <f t="array" ref="E3082">IF(C3082="","",IFERROR(INDEX(STPP!$E$6:$E$4207,MATCH(C3082,STPP!$C$6:$C$4207,0)),"Not Found"))</f>
        <v/>
      </c>
      <c r="F3082" s="27" t="str" cm="1">
        <f t="array" ref="F3082">IF(C3082="","",IFERROR(INDEX(STPP!$F$6:$F$4207,MATCH(C3082,STPP!$C$6:$C$4207,0)),"Not Found"))</f>
        <v/>
      </c>
      <c r="G3082" s="25" t="str">
        <f>IF(表1[[#This Row],[No Seri]]="","",表1[[#This Row],[Deskripsi Barang]]+表1[[#This Row],[Kuantitas]]-表1[[#This Row],[Satuan]])</f>
        <v/>
      </c>
      <c r="H3082" s="28"/>
      <c r="I3082" s="25" t="str">
        <f>IF(表1[[#This Row],[Tgl NPBG]]&gt;表1[[#This Row],[Peminta]],表1[[#This Row],[Tgl NPBG]]-表1[[#This Row],[Peminta]],"")</f>
        <v/>
      </c>
      <c r="J3082" s="31"/>
    </row>
    <row r="3083" s="12" customFormat="1" customHeight="1" spans="2:10">
      <c r="B3083" s="25"/>
      <c r="C3083" s="25"/>
      <c r="D3083" s="26" t="str" cm="1">
        <f t="array" ref="D3083">IF(C3083="","",IFERROR(INDEX(STPP!$D$6:$D$4207,MATCH(C3083,STPP!$C$6:$C$4207,0)),"Not Found"))</f>
        <v/>
      </c>
      <c r="E3083" s="27" t="str" cm="1">
        <f t="array" ref="E3083">IF(C3083="","",IFERROR(INDEX(STPP!$E$6:$E$4207,MATCH(C3083,STPP!$C$6:$C$4207,0)),"Not Found"))</f>
        <v/>
      </c>
      <c r="F3083" s="27" t="str" cm="1">
        <f t="array" ref="F3083">IF(C3083="","",IFERROR(INDEX(STPP!$F$6:$F$4207,MATCH(C3083,STPP!$C$6:$C$4207,0)),"Not Found"))</f>
        <v/>
      </c>
      <c r="G3083" s="25" t="str">
        <f>IF(表1[[#This Row],[No Seri]]="","",表1[[#This Row],[Deskripsi Barang]]+表1[[#This Row],[Kuantitas]]-表1[[#This Row],[Satuan]])</f>
        <v/>
      </c>
      <c r="H3083" s="28"/>
      <c r="I3083" s="25" t="str">
        <f>IF(表1[[#This Row],[Tgl NPBG]]&gt;表1[[#This Row],[Peminta]],表1[[#This Row],[Tgl NPBG]]-表1[[#This Row],[Peminta]],"")</f>
        <v/>
      </c>
      <c r="J3083" s="31"/>
    </row>
    <row r="3084" s="12" customFormat="1" customHeight="1" spans="2:10">
      <c r="B3084" s="25"/>
      <c r="C3084" s="25"/>
      <c r="D3084" s="26" t="str" cm="1">
        <f t="array" ref="D3084">IF(C3084="","",IFERROR(INDEX(STPP!$D$6:$D$4207,MATCH(C3084,STPP!$C$6:$C$4207,0)),"Not Found"))</f>
        <v/>
      </c>
      <c r="E3084" s="27" t="str" cm="1">
        <f t="array" ref="E3084">IF(C3084="","",IFERROR(INDEX(STPP!$E$6:$E$4207,MATCH(C3084,STPP!$C$6:$C$4207,0)),"Not Found"))</f>
        <v/>
      </c>
      <c r="F3084" s="27" t="str" cm="1">
        <f t="array" ref="F3084">IF(C3084="","",IFERROR(INDEX(STPP!$F$6:$F$4207,MATCH(C3084,STPP!$C$6:$C$4207,0)),"Not Found"))</f>
        <v/>
      </c>
      <c r="G3084" s="25" t="str">
        <f>IF(表1[[#This Row],[No Seri]]="","",表1[[#This Row],[Deskripsi Barang]]+表1[[#This Row],[Kuantitas]]-表1[[#This Row],[Satuan]])</f>
        <v/>
      </c>
      <c r="H3084" s="28"/>
      <c r="I3084" s="25" t="str">
        <f>IF(表1[[#This Row],[Tgl NPBG]]&gt;表1[[#This Row],[Peminta]],表1[[#This Row],[Tgl NPBG]]-表1[[#This Row],[Peminta]],"")</f>
        <v/>
      </c>
      <c r="J3084" s="31"/>
    </row>
    <row r="3085" s="12" customFormat="1" customHeight="1" spans="2:10">
      <c r="B3085" s="25"/>
      <c r="C3085" s="25"/>
      <c r="D3085" s="26" t="str" cm="1">
        <f t="array" ref="D3085">IF(C3085="","",IFERROR(INDEX(STPP!$D$6:$D$4207,MATCH(C3085,STPP!$C$6:$C$4207,0)),"Not Found"))</f>
        <v/>
      </c>
      <c r="E3085" s="27" t="str" cm="1">
        <f t="array" ref="E3085">IF(C3085="","",IFERROR(INDEX(STPP!$E$6:$E$4207,MATCH(C3085,STPP!$C$6:$C$4207,0)),"Not Found"))</f>
        <v/>
      </c>
      <c r="F3085" s="27" t="str" cm="1">
        <f t="array" ref="F3085">IF(C3085="","",IFERROR(INDEX(STPP!$F$6:$F$4207,MATCH(C3085,STPP!$C$6:$C$4207,0)),"Not Found"))</f>
        <v/>
      </c>
      <c r="G3085" s="25" t="str">
        <f>IF(表1[[#This Row],[No Seri]]="","",表1[[#This Row],[Deskripsi Barang]]+表1[[#This Row],[Kuantitas]]-表1[[#This Row],[Satuan]])</f>
        <v/>
      </c>
      <c r="H3085" s="28"/>
      <c r="I3085" s="25" t="str">
        <f>IF(表1[[#This Row],[Tgl NPBG]]&gt;表1[[#This Row],[Peminta]],表1[[#This Row],[Tgl NPBG]]-表1[[#This Row],[Peminta]],"")</f>
        <v/>
      </c>
      <c r="J3085" s="31"/>
    </row>
    <row r="3086" s="12" customFormat="1" customHeight="1" spans="2:10">
      <c r="B3086" s="25"/>
      <c r="C3086" s="25"/>
      <c r="D3086" s="26" t="str" cm="1">
        <f t="array" ref="D3086">IF(C3086="","",IFERROR(INDEX(STPP!$D$6:$D$4207,MATCH(C3086,STPP!$C$6:$C$4207,0)),"Not Found"))</f>
        <v/>
      </c>
      <c r="E3086" s="27" t="str" cm="1">
        <f t="array" ref="E3086">IF(C3086="","",IFERROR(INDEX(STPP!$E$6:$E$4207,MATCH(C3086,STPP!$C$6:$C$4207,0)),"Not Found"))</f>
        <v/>
      </c>
      <c r="F3086" s="27" t="str" cm="1">
        <f t="array" ref="F3086">IF(C3086="","",IFERROR(INDEX(STPP!$F$6:$F$4207,MATCH(C3086,STPP!$C$6:$C$4207,0)),"Not Found"))</f>
        <v/>
      </c>
      <c r="G3086" s="25" t="str">
        <f>IF(表1[[#This Row],[No Seri]]="","",表1[[#This Row],[Deskripsi Barang]]+表1[[#This Row],[Kuantitas]]-表1[[#This Row],[Satuan]])</f>
        <v/>
      </c>
      <c r="H3086" s="28"/>
      <c r="I3086" s="25" t="str">
        <f>IF(表1[[#This Row],[Tgl NPBG]]&gt;表1[[#This Row],[Peminta]],表1[[#This Row],[Tgl NPBG]]-表1[[#This Row],[Peminta]],"")</f>
        <v/>
      </c>
      <c r="J3086" s="31"/>
    </row>
    <row r="3087" s="12" customFormat="1" customHeight="1" spans="2:10">
      <c r="B3087" s="25"/>
      <c r="C3087" s="25"/>
      <c r="D3087" s="26" t="str" cm="1">
        <f t="array" ref="D3087">IF(C3087="","",IFERROR(INDEX(STPP!$D$6:$D$4207,MATCH(C3087,STPP!$C$6:$C$4207,0)),"Not Found"))</f>
        <v/>
      </c>
      <c r="E3087" s="27" t="str" cm="1">
        <f t="array" ref="E3087">IF(C3087="","",IFERROR(INDEX(STPP!$E$6:$E$4207,MATCH(C3087,STPP!$C$6:$C$4207,0)),"Not Found"))</f>
        <v/>
      </c>
      <c r="F3087" s="27" t="str" cm="1">
        <f t="array" ref="F3087">IF(C3087="","",IFERROR(INDEX(STPP!$F$6:$F$4207,MATCH(C3087,STPP!$C$6:$C$4207,0)),"Not Found"))</f>
        <v/>
      </c>
      <c r="G3087" s="25" t="str">
        <f>IF(表1[[#This Row],[No Seri]]="","",表1[[#This Row],[Deskripsi Barang]]+表1[[#This Row],[Kuantitas]]-表1[[#This Row],[Satuan]])</f>
        <v/>
      </c>
      <c r="H3087" s="28"/>
      <c r="I3087" s="25" t="str">
        <f>IF(表1[[#This Row],[Tgl NPBG]]&gt;表1[[#This Row],[Peminta]],表1[[#This Row],[Tgl NPBG]]-表1[[#This Row],[Peminta]],"")</f>
        <v/>
      </c>
      <c r="J3087" s="31"/>
    </row>
    <row r="3088" s="12" customFormat="1" customHeight="1" spans="2:10">
      <c r="B3088" s="25"/>
      <c r="C3088" s="25"/>
      <c r="D3088" s="26" t="str" cm="1">
        <f t="array" ref="D3088">IF(C3088="","",IFERROR(INDEX(STPP!$D$6:$D$4207,MATCH(C3088,STPP!$C$6:$C$4207,0)),"Not Found"))</f>
        <v/>
      </c>
      <c r="E3088" s="27" t="str" cm="1">
        <f t="array" ref="E3088">IF(C3088="","",IFERROR(INDEX(STPP!$E$6:$E$4207,MATCH(C3088,STPP!$C$6:$C$4207,0)),"Not Found"))</f>
        <v/>
      </c>
      <c r="F3088" s="27" t="str" cm="1">
        <f t="array" ref="F3088">IF(C3088="","",IFERROR(INDEX(STPP!$F$6:$F$4207,MATCH(C3088,STPP!$C$6:$C$4207,0)),"Not Found"))</f>
        <v/>
      </c>
      <c r="G3088" s="25" t="str">
        <f>IF(表1[[#This Row],[No Seri]]="","",表1[[#This Row],[Deskripsi Barang]]+表1[[#This Row],[Kuantitas]]-表1[[#This Row],[Satuan]])</f>
        <v/>
      </c>
      <c r="H3088" s="28"/>
      <c r="I3088" s="25" t="str">
        <f>IF(表1[[#This Row],[Tgl NPBG]]&gt;表1[[#This Row],[Peminta]],表1[[#This Row],[Tgl NPBG]]-表1[[#This Row],[Peminta]],"")</f>
        <v/>
      </c>
      <c r="J3088" s="31"/>
    </row>
    <row r="3089" s="12" customFormat="1" customHeight="1" spans="2:10">
      <c r="B3089" s="25"/>
      <c r="C3089" s="25"/>
      <c r="D3089" s="26" t="str" cm="1">
        <f t="array" ref="D3089">IF(C3089="","",IFERROR(INDEX(STPP!$D$6:$D$4207,MATCH(C3089,STPP!$C$6:$C$4207,0)),"Not Found"))</f>
        <v/>
      </c>
      <c r="E3089" s="27" t="str" cm="1">
        <f t="array" ref="E3089">IF(C3089="","",IFERROR(INDEX(STPP!$E$6:$E$4207,MATCH(C3089,STPP!$C$6:$C$4207,0)),"Not Found"))</f>
        <v/>
      </c>
      <c r="F3089" s="27" t="str" cm="1">
        <f t="array" ref="F3089">IF(C3089="","",IFERROR(INDEX(STPP!$F$6:$F$4207,MATCH(C3089,STPP!$C$6:$C$4207,0)),"Not Found"))</f>
        <v/>
      </c>
      <c r="G3089" s="25" t="str">
        <f>IF(表1[[#This Row],[No Seri]]="","",表1[[#This Row],[Deskripsi Barang]]+表1[[#This Row],[Kuantitas]]-表1[[#This Row],[Satuan]])</f>
        <v/>
      </c>
      <c r="H3089" s="28"/>
      <c r="I3089" s="25" t="str">
        <f>IF(表1[[#This Row],[Tgl NPBG]]&gt;表1[[#This Row],[Peminta]],表1[[#This Row],[Tgl NPBG]]-表1[[#This Row],[Peminta]],"")</f>
        <v/>
      </c>
      <c r="J3089" s="31"/>
    </row>
    <row r="3090" s="12" customFormat="1" customHeight="1" spans="2:10">
      <c r="B3090" s="25"/>
      <c r="C3090" s="25"/>
      <c r="D3090" s="26" t="str" cm="1">
        <f t="array" ref="D3090">IF(C3090="","",IFERROR(INDEX(STPP!$D$6:$D$4207,MATCH(C3090,STPP!$C$6:$C$4207,0)),"Not Found"))</f>
        <v/>
      </c>
      <c r="E3090" s="27" t="str" cm="1">
        <f t="array" ref="E3090">IF(C3090="","",IFERROR(INDEX(STPP!$E$6:$E$4207,MATCH(C3090,STPP!$C$6:$C$4207,0)),"Not Found"))</f>
        <v/>
      </c>
      <c r="F3090" s="27" t="str" cm="1">
        <f t="array" ref="F3090">IF(C3090="","",IFERROR(INDEX(STPP!$F$6:$F$4207,MATCH(C3090,STPP!$C$6:$C$4207,0)),"Not Found"))</f>
        <v/>
      </c>
      <c r="G3090" s="25" t="str">
        <f>IF(表1[[#This Row],[No Seri]]="","",表1[[#This Row],[Deskripsi Barang]]+表1[[#This Row],[Kuantitas]]-表1[[#This Row],[Satuan]])</f>
        <v/>
      </c>
      <c r="H3090" s="28"/>
      <c r="I3090" s="25" t="str">
        <f>IF(表1[[#This Row],[Tgl NPBG]]&gt;表1[[#This Row],[Peminta]],表1[[#This Row],[Tgl NPBG]]-表1[[#This Row],[Peminta]],"")</f>
        <v/>
      </c>
      <c r="J3090" s="31"/>
    </row>
    <row r="3091" s="12" customFormat="1" customHeight="1" spans="2:10">
      <c r="B3091" s="25"/>
      <c r="C3091" s="25"/>
      <c r="D3091" s="26" t="str" cm="1">
        <f t="array" ref="D3091">IF(C3091="","",IFERROR(INDEX(STPP!$D$6:$D$4207,MATCH(C3091,STPP!$C$6:$C$4207,0)),"Not Found"))</f>
        <v/>
      </c>
      <c r="E3091" s="27" t="str" cm="1">
        <f t="array" ref="E3091">IF(C3091="","",IFERROR(INDEX(STPP!$E$6:$E$4207,MATCH(C3091,STPP!$C$6:$C$4207,0)),"Not Found"))</f>
        <v/>
      </c>
      <c r="F3091" s="27" t="str" cm="1">
        <f t="array" ref="F3091">IF(C3091="","",IFERROR(INDEX(STPP!$F$6:$F$4207,MATCH(C3091,STPP!$C$6:$C$4207,0)),"Not Found"))</f>
        <v/>
      </c>
      <c r="G3091" s="25" t="str">
        <f>IF(表1[[#This Row],[No Seri]]="","",表1[[#This Row],[Deskripsi Barang]]+表1[[#This Row],[Kuantitas]]-表1[[#This Row],[Satuan]])</f>
        <v/>
      </c>
      <c r="H3091" s="28"/>
      <c r="I3091" s="25" t="str">
        <f>IF(表1[[#This Row],[Tgl NPBG]]&gt;表1[[#This Row],[Peminta]],表1[[#This Row],[Tgl NPBG]]-表1[[#This Row],[Peminta]],"")</f>
        <v/>
      </c>
      <c r="J3091" s="31"/>
    </row>
    <row r="3092" s="12" customFormat="1" customHeight="1" spans="2:10">
      <c r="B3092" s="25"/>
      <c r="C3092" s="25"/>
      <c r="D3092" s="26" t="str" cm="1">
        <f t="array" ref="D3092">IF(C3092="","",IFERROR(INDEX(STPP!$D$6:$D$4207,MATCH(C3092,STPP!$C$6:$C$4207,0)),"Not Found"))</f>
        <v/>
      </c>
      <c r="E3092" s="27" t="str" cm="1">
        <f t="array" ref="E3092">IF(C3092="","",IFERROR(INDEX(STPP!$E$6:$E$4207,MATCH(C3092,STPP!$C$6:$C$4207,0)),"Not Found"))</f>
        <v/>
      </c>
      <c r="F3092" s="27" t="str" cm="1">
        <f t="array" ref="F3092">IF(C3092="","",IFERROR(INDEX(STPP!$F$6:$F$4207,MATCH(C3092,STPP!$C$6:$C$4207,0)),"Not Found"))</f>
        <v/>
      </c>
      <c r="G3092" s="25" t="str">
        <f>IF(表1[[#This Row],[No Seri]]="","",表1[[#This Row],[Deskripsi Barang]]+表1[[#This Row],[Kuantitas]]-表1[[#This Row],[Satuan]])</f>
        <v/>
      </c>
      <c r="H3092" s="28"/>
      <c r="I3092" s="25" t="str">
        <f>IF(表1[[#This Row],[Tgl NPBG]]&gt;表1[[#This Row],[Peminta]],表1[[#This Row],[Tgl NPBG]]-表1[[#This Row],[Peminta]],"")</f>
        <v/>
      </c>
      <c r="J3092" s="31"/>
    </row>
    <row r="3093" s="12" customFormat="1" customHeight="1" spans="2:10">
      <c r="B3093" s="25"/>
      <c r="C3093" s="25"/>
      <c r="D3093" s="26" t="str" cm="1">
        <f t="array" ref="D3093">IF(C3093="","",IFERROR(INDEX(STPP!$D$6:$D$4207,MATCH(C3093,STPP!$C$6:$C$4207,0)),"Not Found"))</f>
        <v/>
      </c>
      <c r="E3093" s="27" t="str" cm="1">
        <f t="array" ref="E3093">IF(C3093="","",IFERROR(INDEX(STPP!$E$6:$E$4207,MATCH(C3093,STPP!$C$6:$C$4207,0)),"Not Found"))</f>
        <v/>
      </c>
      <c r="F3093" s="27" t="str" cm="1">
        <f t="array" ref="F3093">IF(C3093="","",IFERROR(INDEX(STPP!$F$6:$F$4207,MATCH(C3093,STPP!$C$6:$C$4207,0)),"Not Found"))</f>
        <v/>
      </c>
      <c r="G3093" s="25" t="str">
        <f>IF(表1[[#This Row],[No Seri]]="","",表1[[#This Row],[Deskripsi Barang]]+表1[[#This Row],[Kuantitas]]-表1[[#This Row],[Satuan]])</f>
        <v/>
      </c>
      <c r="H3093" s="28"/>
      <c r="I3093" s="25" t="str">
        <f>IF(表1[[#This Row],[Tgl NPBG]]&gt;表1[[#This Row],[Peminta]],表1[[#This Row],[Tgl NPBG]]-表1[[#This Row],[Peminta]],"")</f>
        <v/>
      </c>
      <c r="J3093" s="31"/>
    </row>
    <row r="3094" s="12" customFormat="1" customHeight="1" spans="2:10">
      <c r="B3094" s="25"/>
      <c r="C3094" s="25"/>
      <c r="D3094" s="26" t="str" cm="1">
        <f t="array" ref="D3094">IF(C3094="","",IFERROR(INDEX(STPP!$D$6:$D$4207,MATCH(C3094,STPP!$C$6:$C$4207,0)),"Not Found"))</f>
        <v/>
      </c>
      <c r="E3094" s="27" t="str" cm="1">
        <f t="array" ref="E3094">IF(C3094="","",IFERROR(INDEX(STPP!$E$6:$E$4207,MATCH(C3094,STPP!$C$6:$C$4207,0)),"Not Found"))</f>
        <v/>
      </c>
      <c r="F3094" s="27" t="str" cm="1">
        <f t="array" ref="F3094">IF(C3094="","",IFERROR(INDEX(STPP!$F$6:$F$4207,MATCH(C3094,STPP!$C$6:$C$4207,0)),"Not Found"))</f>
        <v/>
      </c>
      <c r="G3094" s="25" t="str">
        <f>IF(表1[[#This Row],[No Seri]]="","",表1[[#This Row],[Deskripsi Barang]]+表1[[#This Row],[Kuantitas]]-表1[[#This Row],[Satuan]])</f>
        <v/>
      </c>
      <c r="H3094" s="28"/>
      <c r="I3094" s="25" t="str">
        <f>IF(表1[[#This Row],[Tgl NPBG]]&gt;表1[[#This Row],[Peminta]],表1[[#This Row],[Tgl NPBG]]-表1[[#This Row],[Peminta]],"")</f>
        <v/>
      </c>
      <c r="J3094" s="31"/>
    </row>
    <row r="3095" s="12" customFormat="1" customHeight="1" spans="2:10">
      <c r="B3095" s="25"/>
      <c r="C3095" s="25"/>
      <c r="D3095" s="26" t="str" cm="1">
        <f t="array" ref="D3095">IF(C3095="","",IFERROR(INDEX(STPP!$D$6:$D$4207,MATCH(C3095,STPP!$C$6:$C$4207,0)),"Not Found"))</f>
        <v/>
      </c>
      <c r="E3095" s="27" t="str" cm="1">
        <f t="array" ref="E3095">IF(C3095="","",IFERROR(INDEX(STPP!$E$6:$E$4207,MATCH(C3095,STPP!$C$6:$C$4207,0)),"Not Found"))</f>
        <v/>
      </c>
      <c r="F3095" s="27" t="str" cm="1">
        <f t="array" ref="F3095">IF(C3095="","",IFERROR(INDEX(STPP!$F$6:$F$4207,MATCH(C3095,STPP!$C$6:$C$4207,0)),"Not Found"))</f>
        <v/>
      </c>
      <c r="G3095" s="25" t="str">
        <f>IF(表1[[#This Row],[No Seri]]="","",表1[[#This Row],[Deskripsi Barang]]+表1[[#This Row],[Kuantitas]]-表1[[#This Row],[Satuan]])</f>
        <v/>
      </c>
      <c r="H3095" s="28"/>
      <c r="I3095" s="25" t="str">
        <f>IF(表1[[#This Row],[Tgl NPBG]]&gt;表1[[#This Row],[Peminta]],表1[[#This Row],[Tgl NPBG]]-表1[[#This Row],[Peminta]],"")</f>
        <v/>
      </c>
      <c r="J3095" s="31"/>
    </row>
    <row r="3096" s="12" customFormat="1" customHeight="1" spans="2:10">
      <c r="B3096" s="25"/>
      <c r="C3096" s="25"/>
      <c r="D3096" s="26" t="str" cm="1">
        <f t="array" ref="D3096">IF(C3096="","",IFERROR(INDEX(STPP!$D$6:$D$4207,MATCH(C3096,STPP!$C$6:$C$4207,0)),"Not Found"))</f>
        <v/>
      </c>
      <c r="E3096" s="27" t="str" cm="1">
        <f t="array" ref="E3096">IF(C3096="","",IFERROR(INDEX(STPP!$E$6:$E$4207,MATCH(C3096,STPP!$C$6:$C$4207,0)),"Not Found"))</f>
        <v/>
      </c>
      <c r="F3096" s="27" t="str" cm="1">
        <f t="array" ref="F3096">IF(C3096="","",IFERROR(INDEX(STPP!$F$6:$F$4207,MATCH(C3096,STPP!$C$6:$C$4207,0)),"Not Found"))</f>
        <v/>
      </c>
      <c r="G3096" s="25" t="str">
        <f>IF(表1[[#This Row],[No Seri]]="","",表1[[#This Row],[Deskripsi Barang]]+表1[[#This Row],[Kuantitas]]-表1[[#This Row],[Satuan]])</f>
        <v/>
      </c>
      <c r="H3096" s="28"/>
      <c r="I3096" s="25" t="str">
        <f>IF(表1[[#This Row],[Tgl NPBG]]&gt;表1[[#This Row],[Peminta]],表1[[#This Row],[Tgl NPBG]]-表1[[#This Row],[Peminta]],"")</f>
        <v/>
      </c>
      <c r="J3096" s="31"/>
    </row>
    <row r="3097" s="12" customFormat="1" customHeight="1" spans="2:10">
      <c r="B3097" s="25"/>
      <c r="C3097" s="25"/>
      <c r="D3097" s="26" t="str" cm="1">
        <f t="array" ref="D3097">IF(C3097="","",IFERROR(INDEX(STPP!$D$6:$D$4207,MATCH(C3097,STPP!$C$6:$C$4207,0)),"Not Found"))</f>
        <v/>
      </c>
      <c r="E3097" s="27" t="str" cm="1">
        <f t="array" ref="E3097">IF(C3097="","",IFERROR(INDEX(STPP!$E$6:$E$4207,MATCH(C3097,STPP!$C$6:$C$4207,0)),"Not Found"))</f>
        <v/>
      </c>
      <c r="F3097" s="27" t="str" cm="1">
        <f t="array" ref="F3097">IF(C3097="","",IFERROR(INDEX(STPP!$F$6:$F$4207,MATCH(C3097,STPP!$C$6:$C$4207,0)),"Not Found"))</f>
        <v/>
      </c>
      <c r="G3097" s="25" t="str">
        <f>IF(表1[[#This Row],[No Seri]]="","",表1[[#This Row],[Deskripsi Barang]]+表1[[#This Row],[Kuantitas]]-表1[[#This Row],[Satuan]])</f>
        <v/>
      </c>
      <c r="H3097" s="28"/>
      <c r="I3097" s="25" t="str">
        <f>IF(表1[[#This Row],[Tgl NPBG]]&gt;表1[[#This Row],[Peminta]],表1[[#This Row],[Tgl NPBG]]-表1[[#This Row],[Peminta]],"")</f>
        <v/>
      </c>
      <c r="J3097" s="31"/>
    </row>
    <row r="3098" s="12" customFormat="1" customHeight="1" spans="2:10">
      <c r="B3098" s="25"/>
      <c r="C3098" s="25"/>
      <c r="D3098" s="26" t="str" cm="1">
        <f t="array" ref="D3098">IF(C3098="","",IFERROR(INDEX(STPP!$D$6:$D$4207,MATCH(C3098,STPP!$C$6:$C$4207,0)),"Not Found"))</f>
        <v/>
      </c>
      <c r="E3098" s="27" t="str" cm="1">
        <f t="array" ref="E3098">IF(C3098="","",IFERROR(INDEX(STPP!$E$6:$E$4207,MATCH(C3098,STPP!$C$6:$C$4207,0)),"Not Found"))</f>
        <v/>
      </c>
      <c r="F3098" s="27" t="str" cm="1">
        <f t="array" ref="F3098">IF(C3098="","",IFERROR(INDEX(STPP!$F$6:$F$4207,MATCH(C3098,STPP!$C$6:$C$4207,0)),"Not Found"))</f>
        <v/>
      </c>
      <c r="G3098" s="25" t="str">
        <f>IF(表1[[#This Row],[No Seri]]="","",表1[[#This Row],[Deskripsi Barang]]+表1[[#This Row],[Kuantitas]]-表1[[#This Row],[Satuan]])</f>
        <v/>
      </c>
      <c r="H3098" s="28"/>
      <c r="I3098" s="25" t="str">
        <f>IF(表1[[#This Row],[Tgl NPBG]]&gt;表1[[#This Row],[Peminta]],表1[[#This Row],[Tgl NPBG]]-表1[[#This Row],[Peminta]],"")</f>
        <v/>
      </c>
      <c r="J3098" s="31"/>
    </row>
    <row r="3099" s="12" customFormat="1" customHeight="1" spans="2:10">
      <c r="B3099" s="25"/>
      <c r="C3099" s="25"/>
      <c r="D3099" s="26" t="str" cm="1">
        <f t="array" ref="D3099">IF(C3099="","",IFERROR(INDEX(STPP!$D$6:$D$4207,MATCH(C3099,STPP!$C$6:$C$4207,0)),"Not Found"))</f>
        <v/>
      </c>
      <c r="E3099" s="27" t="str" cm="1">
        <f t="array" ref="E3099">IF(C3099="","",IFERROR(INDEX(STPP!$E$6:$E$4207,MATCH(C3099,STPP!$C$6:$C$4207,0)),"Not Found"))</f>
        <v/>
      </c>
      <c r="F3099" s="27" t="str" cm="1">
        <f t="array" ref="F3099">IF(C3099="","",IFERROR(INDEX(STPP!$F$6:$F$4207,MATCH(C3099,STPP!$C$6:$C$4207,0)),"Not Found"))</f>
        <v/>
      </c>
      <c r="G3099" s="25" t="str">
        <f>IF(表1[[#This Row],[No Seri]]="","",表1[[#This Row],[Deskripsi Barang]]+表1[[#This Row],[Kuantitas]]-表1[[#This Row],[Satuan]])</f>
        <v/>
      </c>
      <c r="H3099" s="28"/>
      <c r="I3099" s="25" t="str">
        <f>IF(表1[[#This Row],[Tgl NPBG]]&gt;表1[[#This Row],[Peminta]],表1[[#This Row],[Tgl NPBG]]-表1[[#This Row],[Peminta]],"")</f>
        <v/>
      </c>
      <c r="J3099" s="31"/>
    </row>
    <row r="3100" s="12" customFormat="1" customHeight="1" spans="2:10">
      <c r="B3100" s="25"/>
      <c r="C3100" s="25"/>
      <c r="D3100" s="26" t="str" cm="1">
        <f t="array" ref="D3100">IF(C3100="","",IFERROR(INDEX(STPP!$D$6:$D$4207,MATCH(C3100,STPP!$C$6:$C$4207,0)),"Not Found"))</f>
        <v/>
      </c>
      <c r="E3100" s="27" t="str" cm="1">
        <f t="array" ref="E3100">IF(C3100="","",IFERROR(INDEX(STPP!$E$6:$E$4207,MATCH(C3100,STPP!$C$6:$C$4207,0)),"Not Found"))</f>
        <v/>
      </c>
      <c r="F3100" s="27" t="str" cm="1">
        <f t="array" ref="F3100">IF(C3100="","",IFERROR(INDEX(STPP!$F$6:$F$4207,MATCH(C3100,STPP!$C$6:$C$4207,0)),"Not Found"))</f>
        <v/>
      </c>
      <c r="G3100" s="25" t="str">
        <f>IF(表1[[#This Row],[No Seri]]="","",表1[[#This Row],[Deskripsi Barang]]+表1[[#This Row],[Kuantitas]]-表1[[#This Row],[Satuan]])</f>
        <v/>
      </c>
      <c r="H3100" s="28"/>
      <c r="I3100" s="25" t="str">
        <f>IF(表1[[#This Row],[Tgl NPBG]]&gt;表1[[#This Row],[Peminta]],表1[[#This Row],[Tgl NPBG]]-表1[[#This Row],[Peminta]],"")</f>
        <v/>
      </c>
      <c r="J3100" s="31"/>
    </row>
    <row r="3101" s="12" customFormat="1" customHeight="1" spans="2:10">
      <c r="B3101" s="25"/>
      <c r="C3101" s="25"/>
      <c r="D3101" s="26" t="str" cm="1">
        <f t="array" ref="D3101">IF(C3101="","",IFERROR(INDEX(STPP!$D$6:$D$4207,MATCH(C3101,STPP!$C$6:$C$4207,0)),"Not Found"))</f>
        <v/>
      </c>
      <c r="E3101" s="27" t="str" cm="1">
        <f t="array" ref="E3101">IF(C3101="","",IFERROR(INDEX(STPP!$E$6:$E$4207,MATCH(C3101,STPP!$C$6:$C$4207,0)),"Not Found"))</f>
        <v/>
      </c>
      <c r="F3101" s="27" t="str" cm="1">
        <f t="array" ref="F3101">IF(C3101="","",IFERROR(INDEX(STPP!$F$6:$F$4207,MATCH(C3101,STPP!$C$6:$C$4207,0)),"Not Found"))</f>
        <v/>
      </c>
      <c r="G3101" s="25" t="str">
        <f>IF(表1[[#This Row],[No Seri]]="","",表1[[#This Row],[Deskripsi Barang]]+表1[[#This Row],[Kuantitas]]-表1[[#This Row],[Satuan]])</f>
        <v/>
      </c>
      <c r="H3101" s="28"/>
      <c r="I3101" s="25" t="str">
        <f>IF(表1[[#This Row],[Tgl NPBG]]&gt;表1[[#This Row],[Peminta]],表1[[#This Row],[Tgl NPBG]]-表1[[#This Row],[Peminta]],"")</f>
        <v/>
      </c>
      <c r="J3101" s="31"/>
    </row>
    <row r="3102" s="12" customFormat="1" customHeight="1" spans="2:10">
      <c r="B3102" s="25"/>
      <c r="C3102" s="25"/>
      <c r="D3102" s="26" t="str" cm="1">
        <f t="array" ref="D3102">IF(C3102="","",IFERROR(INDEX(STPP!$D$6:$D$4207,MATCH(C3102,STPP!$C$6:$C$4207,0)),"Not Found"))</f>
        <v/>
      </c>
      <c r="E3102" s="27" t="str" cm="1">
        <f t="array" ref="E3102">IF(C3102="","",IFERROR(INDEX(STPP!$E$6:$E$4207,MATCH(C3102,STPP!$C$6:$C$4207,0)),"Not Found"))</f>
        <v/>
      </c>
      <c r="F3102" s="27" t="str" cm="1">
        <f t="array" ref="F3102">IF(C3102="","",IFERROR(INDEX(STPP!$F$6:$F$4207,MATCH(C3102,STPP!$C$6:$C$4207,0)),"Not Found"))</f>
        <v/>
      </c>
      <c r="G3102" s="25" t="str">
        <f>IF(表1[[#This Row],[No Seri]]="","",表1[[#This Row],[Deskripsi Barang]]+表1[[#This Row],[Kuantitas]]-表1[[#This Row],[Satuan]])</f>
        <v/>
      </c>
      <c r="H3102" s="28"/>
      <c r="I3102" s="25" t="str">
        <f>IF(表1[[#This Row],[Tgl NPBG]]&gt;表1[[#This Row],[Peminta]],表1[[#This Row],[Tgl NPBG]]-表1[[#This Row],[Peminta]],"")</f>
        <v/>
      </c>
      <c r="J3102" s="31"/>
    </row>
    <row r="3103" s="12" customFormat="1" customHeight="1" spans="2:10">
      <c r="B3103" s="25"/>
      <c r="C3103" s="25"/>
      <c r="D3103" s="26" t="str" cm="1">
        <f t="array" ref="D3103">IF(C3103="","",IFERROR(INDEX(STPP!$D$6:$D$4207,MATCH(C3103,STPP!$C$6:$C$4207,0)),"Not Found"))</f>
        <v/>
      </c>
      <c r="E3103" s="27" t="str" cm="1">
        <f t="array" ref="E3103">IF(C3103="","",IFERROR(INDEX(STPP!$E$6:$E$4207,MATCH(C3103,STPP!$C$6:$C$4207,0)),"Not Found"))</f>
        <v/>
      </c>
      <c r="F3103" s="27" t="str" cm="1">
        <f t="array" ref="F3103">IF(C3103="","",IFERROR(INDEX(STPP!$F$6:$F$4207,MATCH(C3103,STPP!$C$6:$C$4207,0)),"Not Found"))</f>
        <v/>
      </c>
      <c r="G3103" s="25" t="str">
        <f>IF(表1[[#This Row],[No Seri]]="","",表1[[#This Row],[Deskripsi Barang]]+表1[[#This Row],[Kuantitas]]-表1[[#This Row],[Satuan]])</f>
        <v/>
      </c>
      <c r="H3103" s="28"/>
      <c r="I3103" s="25" t="str">
        <f>IF(表1[[#This Row],[Tgl NPBG]]&gt;表1[[#This Row],[Peminta]],表1[[#This Row],[Tgl NPBG]]-表1[[#This Row],[Peminta]],"")</f>
        <v/>
      </c>
      <c r="J3103" s="31"/>
    </row>
    <row r="3104" s="12" customFormat="1" customHeight="1" spans="2:10">
      <c r="B3104" s="25"/>
      <c r="C3104" s="25"/>
      <c r="D3104" s="26" t="str" cm="1">
        <f t="array" ref="D3104">IF(C3104="","",IFERROR(INDEX(STPP!$D$6:$D$4207,MATCH(C3104,STPP!$C$6:$C$4207,0)),"Not Found"))</f>
        <v/>
      </c>
      <c r="E3104" s="27" t="str" cm="1">
        <f t="array" ref="E3104">IF(C3104="","",IFERROR(INDEX(STPP!$E$6:$E$4207,MATCH(C3104,STPP!$C$6:$C$4207,0)),"Not Found"))</f>
        <v/>
      </c>
      <c r="F3104" s="27" t="str" cm="1">
        <f t="array" ref="F3104">IF(C3104="","",IFERROR(INDEX(STPP!$F$6:$F$4207,MATCH(C3104,STPP!$C$6:$C$4207,0)),"Not Found"))</f>
        <v/>
      </c>
      <c r="G3104" s="25" t="str">
        <f>IF(表1[[#This Row],[No Seri]]="","",表1[[#This Row],[Deskripsi Barang]]+表1[[#This Row],[Kuantitas]]-表1[[#This Row],[Satuan]])</f>
        <v/>
      </c>
      <c r="H3104" s="28"/>
      <c r="I3104" s="25" t="str">
        <f>IF(表1[[#This Row],[Tgl NPBG]]&gt;表1[[#This Row],[Peminta]],表1[[#This Row],[Tgl NPBG]]-表1[[#This Row],[Peminta]],"")</f>
        <v/>
      </c>
      <c r="J3104" s="31"/>
    </row>
    <row r="3105" s="12" customFormat="1" customHeight="1" spans="2:10">
      <c r="B3105" s="25"/>
      <c r="C3105" s="25"/>
      <c r="D3105" s="26" t="str" cm="1">
        <f t="array" ref="D3105">IF(C3105="","",IFERROR(INDEX(STPP!$D$6:$D$4207,MATCH(C3105,STPP!$C$6:$C$4207,0)),"Not Found"))</f>
        <v/>
      </c>
      <c r="E3105" s="27" t="str" cm="1">
        <f t="array" ref="E3105">IF(C3105="","",IFERROR(INDEX(STPP!$E$6:$E$4207,MATCH(C3105,STPP!$C$6:$C$4207,0)),"Not Found"))</f>
        <v/>
      </c>
      <c r="F3105" s="27" t="str" cm="1">
        <f t="array" ref="F3105">IF(C3105="","",IFERROR(INDEX(STPP!$F$6:$F$4207,MATCH(C3105,STPP!$C$6:$C$4207,0)),"Not Found"))</f>
        <v/>
      </c>
      <c r="G3105" s="25" t="str">
        <f>IF(表1[[#This Row],[No Seri]]="","",表1[[#This Row],[Deskripsi Barang]]+表1[[#This Row],[Kuantitas]]-表1[[#This Row],[Satuan]])</f>
        <v/>
      </c>
      <c r="H3105" s="28"/>
      <c r="I3105" s="25" t="str">
        <f>IF(表1[[#This Row],[Tgl NPBG]]&gt;表1[[#This Row],[Peminta]],表1[[#This Row],[Tgl NPBG]]-表1[[#This Row],[Peminta]],"")</f>
        <v/>
      </c>
      <c r="J3105" s="31"/>
    </row>
    <row r="3106" s="12" customFormat="1" customHeight="1" spans="2:10">
      <c r="B3106" s="25"/>
      <c r="C3106" s="25"/>
      <c r="D3106" s="26" t="str" cm="1">
        <f t="array" ref="D3106">IF(C3106="","",IFERROR(INDEX(STPP!$D$6:$D$4207,MATCH(C3106,STPP!$C$6:$C$4207,0)),"Not Found"))</f>
        <v/>
      </c>
      <c r="E3106" s="27" t="str" cm="1">
        <f t="array" ref="E3106">IF(C3106="","",IFERROR(INDEX(STPP!$E$6:$E$4207,MATCH(C3106,STPP!$C$6:$C$4207,0)),"Not Found"))</f>
        <v/>
      </c>
      <c r="F3106" s="27" t="str" cm="1">
        <f t="array" ref="F3106">IF(C3106="","",IFERROR(INDEX(STPP!$F$6:$F$4207,MATCH(C3106,STPP!$C$6:$C$4207,0)),"Not Found"))</f>
        <v/>
      </c>
      <c r="G3106" s="25" t="str">
        <f>IF(表1[[#This Row],[No Seri]]="","",表1[[#This Row],[Deskripsi Barang]]+表1[[#This Row],[Kuantitas]]-表1[[#This Row],[Satuan]])</f>
        <v/>
      </c>
      <c r="H3106" s="28"/>
      <c r="I3106" s="25" t="str">
        <f>IF(表1[[#This Row],[Tgl NPBG]]&gt;表1[[#This Row],[Peminta]],表1[[#This Row],[Tgl NPBG]]-表1[[#This Row],[Peminta]],"")</f>
        <v/>
      </c>
      <c r="J3106" s="31"/>
    </row>
    <row r="3107" s="12" customFormat="1" customHeight="1" spans="2:10">
      <c r="B3107" s="25"/>
      <c r="C3107" s="25"/>
      <c r="D3107" s="26" t="str" cm="1">
        <f t="array" ref="D3107">IF(C3107="","",IFERROR(INDEX(STPP!$D$6:$D$4207,MATCH(C3107,STPP!$C$6:$C$4207,0)),"Not Found"))</f>
        <v/>
      </c>
      <c r="E3107" s="27" t="str" cm="1">
        <f t="array" ref="E3107">IF(C3107="","",IFERROR(INDEX(STPP!$E$6:$E$4207,MATCH(C3107,STPP!$C$6:$C$4207,0)),"Not Found"))</f>
        <v/>
      </c>
      <c r="F3107" s="27" t="str" cm="1">
        <f t="array" ref="F3107">IF(C3107="","",IFERROR(INDEX(STPP!$F$6:$F$4207,MATCH(C3107,STPP!$C$6:$C$4207,0)),"Not Found"))</f>
        <v/>
      </c>
      <c r="G3107" s="25" t="str">
        <f>IF(表1[[#This Row],[No Seri]]="","",表1[[#This Row],[Deskripsi Barang]]+表1[[#This Row],[Kuantitas]]-表1[[#This Row],[Satuan]])</f>
        <v/>
      </c>
      <c r="H3107" s="28"/>
      <c r="I3107" s="25" t="str">
        <f>IF(表1[[#This Row],[Tgl NPBG]]&gt;表1[[#This Row],[Peminta]],表1[[#This Row],[Tgl NPBG]]-表1[[#This Row],[Peminta]],"")</f>
        <v/>
      </c>
      <c r="J3107" s="31"/>
    </row>
    <row r="3108" s="12" customFormat="1" customHeight="1" spans="2:10">
      <c r="B3108" s="25"/>
      <c r="C3108" s="25"/>
      <c r="D3108" s="26" t="str" cm="1">
        <f t="array" ref="D3108">IF(C3108="","",IFERROR(INDEX(STPP!$D$6:$D$4207,MATCH(C3108,STPP!$C$6:$C$4207,0)),"Not Found"))</f>
        <v/>
      </c>
      <c r="E3108" s="27" t="str" cm="1">
        <f t="array" ref="E3108">IF(C3108="","",IFERROR(INDEX(STPP!$E$6:$E$4207,MATCH(C3108,STPP!$C$6:$C$4207,0)),"Not Found"))</f>
        <v/>
      </c>
      <c r="F3108" s="27" t="str" cm="1">
        <f t="array" ref="F3108">IF(C3108="","",IFERROR(INDEX(STPP!$F$6:$F$4207,MATCH(C3108,STPP!$C$6:$C$4207,0)),"Not Found"))</f>
        <v/>
      </c>
      <c r="G3108" s="25" t="str">
        <f>IF(表1[[#This Row],[No Seri]]="","",表1[[#This Row],[Deskripsi Barang]]+表1[[#This Row],[Kuantitas]]-表1[[#This Row],[Satuan]])</f>
        <v/>
      </c>
      <c r="H3108" s="28"/>
      <c r="I3108" s="25" t="str">
        <f>IF(表1[[#This Row],[Tgl NPBG]]&gt;表1[[#This Row],[Peminta]],表1[[#This Row],[Tgl NPBG]]-表1[[#This Row],[Peminta]],"")</f>
        <v/>
      </c>
      <c r="J3108" s="31"/>
    </row>
    <row r="3109" s="12" customFormat="1" customHeight="1" spans="2:10">
      <c r="B3109" s="25"/>
      <c r="C3109" s="25"/>
      <c r="D3109" s="26" t="str" cm="1">
        <f t="array" ref="D3109">IF(C3109="","",IFERROR(INDEX(STPP!$D$6:$D$4207,MATCH(C3109,STPP!$C$6:$C$4207,0)),"Not Found"))</f>
        <v/>
      </c>
      <c r="E3109" s="27" t="str" cm="1">
        <f t="array" ref="E3109">IF(C3109="","",IFERROR(INDEX(STPP!$E$6:$E$4207,MATCH(C3109,STPP!$C$6:$C$4207,0)),"Not Found"))</f>
        <v/>
      </c>
      <c r="F3109" s="27" t="str" cm="1">
        <f t="array" ref="F3109">IF(C3109="","",IFERROR(INDEX(STPP!$F$6:$F$4207,MATCH(C3109,STPP!$C$6:$C$4207,0)),"Not Found"))</f>
        <v/>
      </c>
      <c r="G3109" s="25" t="str">
        <f>IF(表1[[#This Row],[No Seri]]="","",表1[[#This Row],[Deskripsi Barang]]+表1[[#This Row],[Kuantitas]]-表1[[#This Row],[Satuan]])</f>
        <v/>
      </c>
      <c r="H3109" s="28"/>
      <c r="I3109" s="25" t="str">
        <f>IF(表1[[#This Row],[Tgl NPBG]]&gt;表1[[#This Row],[Peminta]],表1[[#This Row],[Tgl NPBG]]-表1[[#This Row],[Peminta]],"")</f>
        <v/>
      </c>
      <c r="J3109" s="31"/>
    </row>
    <row r="3110" s="12" customFormat="1" customHeight="1" spans="2:10">
      <c r="B3110" s="25"/>
      <c r="C3110" s="25"/>
      <c r="D3110" s="26" t="str" cm="1">
        <f t="array" ref="D3110">IF(C3110="","",IFERROR(INDEX(STPP!$D$6:$D$4207,MATCH(C3110,STPP!$C$6:$C$4207,0)),"Not Found"))</f>
        <v/>
      </c>
      <c r="E3110" s="27" t="str" cm="1">
        <f t="array" ref="E3110">IF(C3110="","",IFERROR(INDEX(STPP!$E$6:$E$4207,MATCH(C3110,STPP!$C$6:$C$4207,0)),"Not Found"))</f>
        <v/>
      </c>
      <c r="F3110" s="27" t="str" cm="1">
        <f t="array" ref="F3110">IF(C3110="","",IFERROR(INDEX(STPP!$F$6:$F$4207,MATCH(C3110,STPP!$C$6:$C$4207,0)),"Not Found"))</f>
        <v/>
      </c>
      <c r="G3110" s="25" t="str">
        <f>IF(表1[[#This Row],[No Seri]]="","",表1[[#This Row],[Deskripsi Barang]]+表1[[#This Row],[Kuantitas]]-表1[[#This Row],[Satuan]])</f>
        <v/>
      </c>
      <c r="H3110" s="28"/>
      <c r="I3110" s="25" t="str">
        <f>IF(表1[[#This Row],[Tgl NPBG]]&gt;表1[[#This Row],[Peminta]],表1[[#This Row],[Tgl NPBG]]-表1[[#This Row],[Peminta]],"")</f>
        <v/>
      </c>
      <c r="J3110" s="31"/>
    </row>
    <row r="3111" s="12" customFormat="1" customHeight="1" spans="2:10">
      <c r="B3111" s="25"/>
      <c r="C3111" s="25"/>
      <c r="D3111" s="26" t="str" cm="1">
        <f t="array" ref="D3111">IF(C3111="","",IFERROR(INDEX(STPP!$D$6:$D$4207,MATCH(C3111,STPP!$C$6:$C$4207,0)),"Not Found"))</f>
        <v/>
      </c>
      <c r="E3111" s="27" t="str" cm="1">
        <f t="array" ref="E3111">IF(C3111="","",IFERROR(INDEX(STPP!$E$6:$E$4207,MATCH(C3111,STPP!$C$6:$C$4207,0)),"Not Found"))</f>
        <v/>
      </c>
      <c r="F3111" s="27" t="str" cm="1">
        <f t="array" ref="F3111">IF(C3111="","",IFERROR(INDEX(STPP!$F$6:$F$4207,MATCH(C3111,STPP!$C$6:$C$4207,0)),"Not Found"))</f>
        <v/>
      </c>
      <c r="G3111" s="25" t="str">
        <f>IF(表1[[#This Row],[No Seri]]="","",表1[[#This Row],[Deskripsi Barang]]+表1[[#This Row],[Kuantitas]]-表1[[#This Row],[Satuan]])</f>
        <v/>
      </c>
      <c r="H3111" s="28"/>
      <c r="I3111" s="25" t="str">
        <f>IF(表1[[#This Row],[Tgl NPBG]]&gt;表1[[#This Row],[Peminta]],表1[[#This Row],[Tgl NPBG]]-表1[[#This Row],[Peminta]],"")</f>
        <v/>
      </c>
      <c r="J3111" s="31"/>
    </row>
    <row r="3112" s="12" customFormat="1" customHeight="1" spans="2:10">
      <c r="B3112" s="25"/>
      <c r="C3112" s="25"/>
      <c r="D3112" s="26" t="str" cm="1">
        <f t="array" ref="D3112">IF(C3112="","",IFERROR(INDEX(STPP!$D$6:$D$4207,MATCH(C3112,STPP!$C$6:$C$4207,0)),"Not Found"))</f>
        <v/>
      </c>
      <c r="E3112" s="27" t="str" cm="1">
        <f t="array" ref="E3112">IF(C3112="","",IFERROR(INDEX(STPP!$E$6:$E$4207,MATCH(C3112,STPP!$C$6:$C$4207,0)),"Not Found"))</f>
        <v/>
      </c>
      <c r="F3112" s="27" t="str" cm="1">
        <f t="array" ref="F3112">IF(C3112="","",IFERROR(INDEX(STPP!$F$6:$F$4207,MATCH(C3112,STPP!$C$6:$C$4207,0)),"Not Found"))</f>
        <v/>
      </c>
      <c r="G3112" s="25" t="str">
        <f>IF(表1[[#This Row],[No Seri]]="","",表1[[#This Row],[Deskripsi Barang]]+表1[[#This Row],[Kuantitas]]-表1[[#This Row],[Satuan]])</f>
        <v/>
      </c>
      <c r="H3112" s="28"/>
      <c r="I3112" s="25" t="str">
        <f>IF(表1[[#This Row],[Tgl NPBG]]&gt;表1[[#This Row],[Peminta]],表1[[#This Row],[Tgl NPBG]]-表1[[#This Row],[Peminta]],"")</f>
        <v/>
      </c>
      <c r="J3112" s="31"/>
    </row>
    <row r="3113" s="12" customFormat="1" customHeight="1" spans="2:10">
      <c r="B3113" s="25"/>
      <c r="C3113" s="25"/>
      <c r="D3113" s="26" t="str" cm="1">
        <f t="array" ref="D3113">IF(C3113="","",IFERROR(INDEX(STPP!$D$6:$D$4207,MATCH(C3113,STPP!$C$6:$C$4207,0)),"Not Found"))</f>
        <v/>
      </c>
      <c r="E3113" s="27" t="str" cm="1">
        <f t="array" ref="E3113">IF(C3113="","",IFERROR(INDEX(STPP!$E$6:$E$4207,MATCH(C3113,STPP!$C$6:$C$4207,0)),"Not Found"))</f>
        <v/>
      </c>
      <c r="F3113" s="27" t="str" cm="1">
        <f t="array" ref="F3113">IF(C3113="","",IFERROR(INDEX(STPP!$F$6:$F$4207,MATCH(C3113,STPP!$C$6:$C$4207,0)),"Not Found"))</f>
        <v/>
      </c>
      <c r="G3113" s="25" t="str">
        <f>IF(表1[[#This Row],[No Seri]]="","",表1[[#This Row],[Deskripsi Barang]]+表1[[#This Row],[Kuantitas]]-表1[[#This Row],[Satuan]])</f>
        <v/>
      </c>
      <c r="H3113" s="28"/>
      <c r="I3113" s="25" t="str">
        <f>IF(表1[[#This Row],[Tgl NPBG]]&gt;表1[[#This Row],[Peminta]],表1[[#This Row],[Tgl NPBG]]-表1[[#This Row],[Peminta]],"")</f>
        <v/>
      </c>
      <c r="J3113" s="31"/>
    </row>
    <row r="3114" s="12" customFormat="1" customHeight="1" spans="2:10">
      <c r="B3114" s="25"/>
      <c r="C3114" s="25"/>
      <c r="D3114" s="26" t="str" cm="1">
        <f t="array" ref="D3114">IF(C3114="","",IFERROR(INDEX(STPP!$D$6:$D$4207,MATCH(C3114,STPP!$C$6:$C$4207,0)),"Not Found"))</f>
        <v/>
      </c>
      <c r="E3114" s="27" t="str" cm="1">
        <f t="array" ref="E3114">IF(C3114="","",IFERROR(INDEX(STPP!$E$6:$E$4207,MATCH(C3114,STPP!$C$6:$C$4207,0)),"Not Found"))</f>
        <v/>
      </c>
      <c r="F3114" s="27" t="str" cm="1">
        <f t="array" ref="F3114">IF(C3114="","",IFERROR(INDEX(STPP!$F$6:$F$4207,MATCH(C3114,STPP!$C$6:$C$4207,0)),"Not Found"))</f>
        <v/>
      </c>
      <c r="G3114" s="25" t="str">
        <f>IF(表1[[#This Row],[No Seri]]="","",表1[[#This Row],[Deskripsi Barang]]+表1[[#This Row],[Kuantitas]]-表1[[#This Row],[Satuan]])</f>
        <v/>
      </c>
      <c r="H3114" s="28"/>
      <c r="I3114" s="25" t="str">
        <f>IF(表1[[#This Row],[Tgl NPBG]]&gt;表1[[#This Row],[Peminta]],表1[[#This Row],[Tgl NPBG]]-表1[[#This Row],[Peminta]],"")</f>
        <v/>
      </c>
      <c r="J3114" s="31"/>
    </row>
    <row r="3115" s="12" customFormat="1" customHeight="1" spans="2:10">
      <c r="B3115" s="25"/>
      <c r="C3115" s="25"/>
      <c r="D3115" s="26" t="str" cm="1">
        <f t="array" ref="D3115">IF(C3115="","",IFERROR(INDEX(STPP!$D$6:$D$4207,MATCH(C3115,STPP!$C$6:$C$4207,0)),"Not Found"))</f>
        <v/>
      </c>
      <c r="E3115" s="27" t="str" cm="1">
        <f t="array" ref="E3115">IF(C3115="","",IFERROR(INDEX(STPP!$E$6:$E$4207,MATCH(C3115,STPP!$C$6:$C$4207,0)),"Not Found"))</f>
        <v/>
      </c>
      <c r="F3115" s="27" t="str" cm="1">
        <f t="array" ref="F3115">IF(C3115="","",IFERROR(INDEX(STPP!$F$6:$F$4207,MATCH(C3115,STPP!$C$6:$C$4207,0)),"Not Found"))</f>
        <v/>
      </c>
      <c r="G3115" s="25" t="str">
        <f>IF(表1[[#This Row],[No Seri]]="","",表1[[#This Row],[Deskripsi Barang]]+表1[[#This Row],[Kuantitas]]-表1[[#This Row],[Satuan]])</f>
        <v/>
      </c>
      <c r="H3115" s="28"/>
      <c r="I3115" s="25" t="str">
        <f>IF(表1[[#This Row],[Tgl NPBG]]&gt;表1[[#This Row],[Peminta]],表1[[#This Row],[Tgl NPBG]]-表1[[#This Row],[Peminta]],"")</f>
        <v/>
      </c>
      <c r="J3115" s="31"/>
    </row>
    <row r="3116" s="12" customFormat="1" customHeight="1" spans="2:10">
      <c r="B3116" s="25"/>
      <c r="C3116" s="25"/>
      <c r="D3116" s="26" t="str" cm="1">
        <f t="array" ref="D3116">IF(C3116="","",IFERROR(INDEX(STPP!$D$6:$D$4207,MATCH(C3116,STPP!$C$6:$C$4207,0)),"Not Found"))</f>
        <v/>
      </c>
      <c r="E3116" s="27" t="str" cm="1">
        <f t="array" ref="E3116">IF(C3116="","",IFERROR(INDEX(STPP!$E$6:$E$4207,MATCH(C3116,STPP!$C$6:$C$4207,0)),"Not Found"))</f>
        <v/>
      </c>
      <c r="F3116" s="27" t="str" cm="1">
        <f t="array" ref="F3116">IF(C3116="","",IFERROR(INDEX(STPP!$F$6:$F$4207,MATCH(C3116,STPP!$C$6:$C$4207,0)),"Not Found"))</f>
        <v/>
      </c>
      <c r="G3116" s="25" t="str">
        <f>IF(表1[[#This Row],[No Seri]]="","",表1[[#This Row],[Deskripsi Barang]]+表1[[#This Row],[Kuantitas]]-表1[[#This Row],[Satuan]])</f>
        <v/>
      </c>
      <c r="H3116" s="28"/>
      <c r="I3116" s="25" t="str">
        <f>IF(表1[[#This Row],[Tgl NPBG]]&gt;表1[[#This Row],[Peminta]],表1[[#This Row],[Tgl NPBG]]-表1[[#This Row],[Peminta]],"")</f>
        <v/>
      </c>
      <c r="J3116" s="31"/>
    </row>
    <row r="3117" s="12" customFormat="1" customHeight="1" spans="2:10">
      <c r="B3117" s="25"/>
      <c r="C3117" s="25"/>
      <c r="D3117" s="26" t="str" cm="1">
        <f t="array" ref="D3117">IF(C3117="","",IFERROR(INDEX(STPP!$D$6:$D$4207,MATCH(C3117,STPP!$C$6:$C$4207,0)),"Not Found"))</f>
        <v/>
      </c>
      <c r="E3117" s="27" t="str" cm="1">
        <f t="array" ref="E3117">IF(C3117="","",IFERROR(INDEX(STPP!$E$6:$E$4207,MATCH(C3117,STPP!$C$6:$C$4207,0)),"Not Found"))</f>
        <v/>
      </c>
      <c r="F3117" s="27" t="str" cm="1">
        <f t="array" ref="F3117">IF(C3117="","",IFERROR(INDEX(STPP!$F$6:$F$4207,MATCH(C3117,STPP!$C$6:$C$4207,0)),"Not Found"))</f>
        <v/>
      </c>
      <c r="G3117" s="25" t="str">
        <f>IF(表1[[#This Row],[No Seri]]="","",表1[[#This Row],[Deskripsi Barang]]+表1[[#This Row],[Kuantitas]]-表1[[#This Row],[Satuan]])</f>
        <v/>
      </c>
      <c r="H3117" s="28"/>
      <c r="I3117" s="25" t="str">
        <f>IF(表1[[#This Row],[Tgl NPBG]]&gt;表1[[#This Row],[Peminta]],表1[[#This Row],[Tgl NPBG]]-表1[[#This Row],[Peminta]],"")</f>
        <v/>
      </c>
      <c r="J3117" s="31"/>
    </row>
    <row r="3118" s="12" customFormat="1" customHeight="1" spans="2:10">
      <c r="B3118" s="25"/>
      <c r="C3118" s="25"/>
      <c r="D3118" s="26" t="str" cm="1">
        <f t="array" ref="D3118">IF(C3118="","",IFERROR(INDEX(STPP!$D$6:$D$4207,MATCH(C3118,STPP!$C$6:$C$4207,0)),"Not Found"))</f>
        <v/>
      </c>
      <c r="E3118" s="27" t="str" cm="1">
        <f t="array" ref="E3118">IF(C3118="","",IFERROR(INDEX(STPP!$E$6:$E$4207,MATCH(C3118,STPP!$C$6:$C$4207,0)),"Not Found"))</f>
        <v/>
      </c>
      <c r="F3118" s="27" t="str" cm="1">
        <f t="array" ref="F3118">IF(C3118="","",IFERROR(INDEX(STPP!$F$6:$F$4207,MATCH(C3118,STPP!$C$6:$C$4207,0)),"Not Found"))</f>
        <v/>
      </c>
      <c r="G3118" s="25" t="str">
        <f>IF(表1[[#This Row],[No Seri]]="","",表1[[#This Row],[Deskripsi Barang]]+表1[[#This Row],[Kuantitas]]-表1[[#This Row],[Satuan]])</f>
        <v/>
      </c>
      <c r="H3118" s="28"/>
      <c r="I3118" s="25" t="str">
        <f>IF(表1[[#This Row],[Tgl NPBG]]&gt;表1[[#This Row],[Peminta]],表1[[#This Row],[Tgl NPBG]]-表1[[#This Row],[Peminta]],"")</f>
        <v/>
      </c>
      <c r="J3118" s="31"/>
    </row>
    <row r="3119" s="12" customFormat="1" customHeight="1" spans="2:10">
      <c r="B3119" s="25"/>
      <c r="C3119" s="25"/>
      <c r="D3119" s="26" t="str" cm="1">
        <f t="array" ref="D3119">IF(C3119="","",IFERROR(INDEX(STPP!$D$6:$D$4207,MATCH(C3119,STPP!$C$6:$C$4207,0)),"Not Found"))</f>
        <v/>
      </c>
      <c r="E3119" s="27" t="str" cm="1">
        <f t="array" ref="E3119">IF(C3119="","",IFERROR(INDEX(STPP!$E$6:$E$4207,MATCH(C3119,STPP!$C$6:$C$4207,0)),"Not Found"))</f>
        <v/>
      </c>
      <c r="F3119" s="27" t="str" cm="1">
        <f t="array" ref="F3119">IF(C3119="","",IFERROR(INDEX(STPP!$F$6:$F$4207,MATCH(C3119,STPP!$C$6:$C$4207,0)),"Not Found"))</f>
        <v/>
      </c>
      <c r="G3119" s="25" t="str">
        <f>IF(表1[[#This Row],[No Seri]]="","",表1[[#This Row],[Deskripsi Barang]]+表1[[#This Row],[Kuantitas]]-表1[[#This Row],[Satuan]])</f>
        <v/>
      </c>
      <c r="H3119" s="28"/>
      <c r="I3119" s="25" t="str">
        <f>IF(表1[[#This Row],[Tgl NPBG]]&gt;表1[[#This Row],[Peminta]],表1[[#This Row],[Tgl NPBG]]-表1[[#This Row],[Peminta]],"")</f>
        <v/>
      </c>
      <c r="J3119" s="31"/>
    </row>
    <row r="3120" s="12" customFormat="1" customHeight="1" spans="2:10">
      <c r="B3120" s="25"/>
      <c r="C3120" s="25"/>
      <c r="D3120" s="26" t="str" cm="1">
        <f t="array" ref="D3120">IF(C3120="","",IFERROR(INDEX(STPP!$D$6:$D$4207,MATCH(C3120,STPP!$C$6:$C$4207,0)),"Not Found"))</f>
        <v/>
      </c>
      <c r="E3120" s="27" t="str" cm="1">
        <f t="array" ref="E3120">IF(C3120="","",IFERROR(INDEX(STPP!$E$6:$E$4207,MATCH(C3120,STPP!$C$6:$C$4207,0)),"Not Found"))</f>
        <v/>
      </c>
      <c r="F3120" s="27" t="str" cm="1">
        <f t="array" ref="F3120">IF(C3120="","",IFERROR(INDEX(STPP!$F$6:$F$4207,MATCH(C3120,STPP!$C$6:$C$4207,0)),"Not Found"))</f>
        <v/>
      </c>
      <c r="G3120" s="25" t="str">
        <f>IF(表1[[#This Row],[No Seri]]="","",表1[[#This Row],[Deskripsi Barang]]+表1[[#This Row],[Kuantitas]]-表1[[#This Row],[Satuan]])</f>
        <v/>
      </c>
      <c r="H3120" s="28"/>
      <c r="I3120" s="25" t="str">
        <f>IF(表1[[#This Row],[Tgl NPBG]]&gt;表1[[#This Row],[Peminta]],表1[[#This Row],[Tgl NPBG]]-表1[[#This Row],[Peminta]],"")</f>
        <v/>
      </c>
      <c r="J3120" s="31"/>
    </row>
    <row r="3121" s="12" customFormat="1" customHeight="1" spans="2:10">
      <c r="B3121" s="25"/>
      <c r="C3121" s="25"/>
      <c r="D3121" s="26" t="str" cm="1">
        <f t="array" ref="D3121">IF(C3121="","",IFERROR(INDEX(STPP!$D$6:$D$4207,MATCH(C3121,STPP!$C$6:$C$4207,0)),"Not Found"))</f>
        <v/>
      </c>
      <c r="E3121" s="27" t="str" cm="1">
        <f t="array" ref="E3121">IF(C3121="","",IFERROR(INDEX(STPP!$E$6:$E$4207,MATCH(C3121,STPP!$C$6:$C$4207,0)),"Not Found"))</f>
        <v/>
      </c>
      <c r="F3121" s="27" t="str" cm="1">
        <f t="array" ref="F3121">IF(C3121="","",IFERROR(INDEX(STPP!$F$6:$F$4207,MATCH(C3121,STPP!$C$6:$C$4207,0)),"Not Found"))</f>
        <v/>
      </c>
      <c r="G3121" s="25" t="str">
        <f>IF(表1[[#This Row],[No Seri]]="","",表1[[#This Row],[Deskripsi Barang]]+表1[[#This Row],[Kuantitas]]-表1[[#This Row],[Satuan]])</f>
        <v/>
      </c>
      <c r="H3121" s="28"/>
      <c r="I3121" s="25" t="str">
        <f>IF(表1[[#This Row],[Tgl NPBG]]&gt;表1[[#This Row],[Peminta]],表1[[#This Row],[Tgl NPBG]]-表1[[#This Row],[Peminta]],"")</f>
        <v/>
      </c>
      <c r="J3121" s="31"/>
    </row>
    <row r="3122" s="12" customFormat="1" customHeight="1" spans="2:10">
      <c r="B3122" s="25"/>
      <c r="C3122" s="25"/>
      <c r="D3122" s="26" t="str" cm="1">
        <f t="array" ref="D3122">IF(C3122="","",IFERROR(INDEX(STPP!$D$6:$D$4207,MATCH(C3122,STPP!$C$6:$C$4207,0)),"Not Found"))</f>
        <v/>
      </c>
      <c r="E3122" s="27" t="str" cm="1">
        <f t="array" ref="E3122">IF(C3122="","",IFERROR(INDEX(STPP!$E$6:$E$4207,MATCH(C3122,STPP!$C$6:$C$4207,0)),"Not Found"))</f>
        <v/>
      </c>
      <c r="F3122" s="27" t="str" cm="1">
        <f t="array" ref="F3122">IF(C3122="","",IFERROR(INDEX(STPP!$F$6:$F$4207,MATCH(C3122,STPP!$C$6:$C$4207,0)),"Not Found"))</f>
        <v/>
      </c>
      <c r="G3122" s="25" t="str">
        <f>IF(表1[[#This Row],[No Seri]]="","",表1[[#This Row],[Deskripsi Barang]]+表1[[#This Row],[Kuantitas]]-表1[[#This Row],[Satuan]])</f>
        <v/>
      </c>
      <c r="H3122" s="28"/>
      <c r="I3122" s="25" t="str">
        <f>IF(表1[[#This Row],[Tgl NPBG]]&gt;表1[[#This Row],[Peminta]],表1[[#This Row],[Tgl NPBG]]-表1[[#This Row],[Peminta]],"")</f>
        <v/>
      </c>
      <c r="J3122" s="31"/>
    </row>
    <row r="3123" s="12" customFormat="1" customHeight="1" spans="2:10">
      <c r="B3123" s="25"/>
      <c r="C3123" s="25"/>
      <c r="D3123" s="26" t="str" cm="1">
        <f t="array" ref="D3123">IF(C3123="","",IFERROR(INDEX(STPP!$D$6:$D$4207,MATCH(C3123,STPP!$C$6:$C$4207,0)),"Not Found"))</f>
        <v/>
      </c>
      <c r="E3123" s="27" t="str" cm="1">
        <f t="array" ref="E3123">IF(C3123="","",IFERROR(INDEX(STPP!$E$6:$E$4207,MATCH(C3123,STPP!$C$6:$C$4207,0)),"Not Found"))</f>
        <v/>
      </c>
      <c r="F3123" s="27" t="str" cm="1">
        <f t="array" ref="F3123">IF(C3123="","",IFERROR(INDEX(STPP!$F$6:$F$4207,MATCH(C3123,STPP!$C$6:$C$4207,0)),"Not Found"))</f>
        <v/>
      </c>
      <c r="G3123" s="25" t="str">
        <f>IF(表1[[#This Row],[No Seri]]="","",表1[[#This Row],[Deskripsi Barang]]+表1[[#This Row],[Kuantitas]]-表1[[#This Row],[Satuan]])</f>
        <v/>
      </c>
      <c r="H3123" s="28"/>
      <c r="I3123" s="25" t="str">
        <f>IF(表1[[#This Row],[Tgl NPBG]]&gt;表1[[#This Row],[Peminta]],表1[[#This Row],[Tgl NPBG]]-表1[[#This Row],[Peminta]],"")</f>
        <v/>
      </c>
      <c r="J3123" s="31"/>
    </row>
    <row r="3124" s="12" customFormat="1" customHeight="1" spans="2:10">
      <c r="B3124" s="25"/>
      <c r="C3124" s="25"/>
      <c r="D3124" s="26" t="str" cm="1">
        <f t="array" ref="D3124">IF(C3124="","",IFERROR(INDEX(STPP!$D$6:$D$4207,MATCH(C3124,STPP!$C$6:$C$4207,0)),"Not Found"))</f>
        <v/>
      </c>
      <c r="E3124" s="27" t="str" cm="1">
        <f t="array" ref="E3124">IF(C3124="","",IFERROR(INDEX(STPP!$E$6:$E$4207,MATCH(C3124,STPP!$C$6:$C$4207,0)),"Not Found"))</f>
        <v/>
      </c>
      <c r="F3124" s="27" t="str" cm="1">
        <f t="array" ref="F3124">IF(C3124="","",IFERROR(INDEX(STPP!$F$6:$F$4207,MATCH(C3124,STPP!$C$6:$C$4207,0)),"Not Found"))</f>
        <v/>
      </c>
      <c r="G3124" s="25" t="str">
        <f>IF(表1[[#This Row],[No Seri]]="","",表1[[#This Row],[Deskripsi Barang]]+表1[[#This Row],[Kuantitas]]-表1[[#This Row],[Satuan]])</f>
        <v/>
      </c>
      <c r="H3124" s="28"/>
      <c r="I3124" s="25" t="str">
        <f>IF(表1[[#This Row],[Tgl NPBG]]&gt;表1[[#This Row],[Peminta]],表1[[#This Row],[Tgl NPBG]]-表1[[#This Row],[Peminta]],"")</f>
        <v/>
      </c>
      <c r="J3124" s="31"/>
    </row>
    <row r="3125" s="12" customFormat="1" customHeight="1" spans="2:10">
      <c r="B3125" s="25"/>
      <c r="C3125" s="25"/>
      <c r="D3125" s="26" t="str" cm="1">
        <f t="array" ref="D3125">IF(C3125="","",IFERROR(INDEX(STPP!$D$6:$D$4207,MATCH(C3125,STPP!$C$6:$C$4207,0)),"Not Found"))</f>
        <v/>
      </c>
      <c r="E3125" s="27" t="str" cm="1">
        <f t="array" ref="E3125">IF(C3125="","",IFERROR(INDEX(STPP!$E$6:$E$4207,MATCH(C3125,STPP!$C$6:$C$4207,0)),"Not Found"))</f>
        <v/>
      </c>
      <c r="F3125" s="27" t="str" cm="1">
        <f t="array" ref="F3125">IF(C3125="","",IFERROR(INDEX(STPP!$F$6:$F$4207,MATCH(C3125,STPP!$C$6:$C$4207,0)),"Not Found"))</f>
        <v/>
      </c>
      <c r="G3125" s="25" t="str">
        <f>IF(表1[[#This Row],[No Seri]]="","",表1[[#This Row],[Deskripsi Barang]]+表1[[#This Row],[Kuantitas]]-表1[[#This Row],[Satuan]])</f>
        <v/>
      </c>
      <c r="H3125" s="28"/>
      <c r="I3125" s="25" t="str">
        <f>IF(表1[[#This Row],[Tgl NPBG]]&gt;表1[[#This Row],[Peminta]],表1[[#This Row],[Tgl NPBG]]-表1[[#This Row],[Peminta]],"")</f>
        <v/>
      </c>
      <c r="J3125" s="31"/>
    </row>
    <row r="3126" s="12" customFormat="1" customHeight="1" spans="2:10">
      <c r="B3126" s="25"/>
      <c r="C3126" s="25"/>
      <c r="D3126" s="26" t="str" cm="1">
        <f t="array" ref="D3126">IF(C3126="","",IFERROR(INDEX(STPP!$D$6:$D$4207,MATCH(C3126,STPP!$C$6:$C$4207,0)),"Not Found"))</f>
        <v/>
      </c>
      <c r="E3126" s="27" t="str" cm="1">
        <f t="array" ref="E3126">IF(C3126="","",IFERROR(INDEX(STPP!$E$6:$E$4207,MATCH(C3126,STPP!$C$6:$C$4207,0)),"Not Found"))</f>
        <v/>
      </c>
      <c r="F3126" s="27" t="str" cm="1">
        <f t="array" ref="F3126">IF(C3126="","",IFERROR(INDEX(STPP!$F$6:$F$4207,MATCH(C3126,STPP!$C$6:$C$4207,0)),"Not Found"))</f>
        <v/>
      </c>
      <c r="G3126" s="25" t="str">
        <f>IF(表1[[#This Row],[No Seri]]="","",表1[[#This Row],[Deskripsi Barang]]+表1[[#This Row],[Kuantitas]]-表1[[#This Row],[Satuan]])</f>
        <v/>
      </c>
      <c r="H3126" s="28"/>
      <c r="I3126" s="25" t="str">
        <f>IF(表1[[#This Row],[Tgl NPBG]]&gt;表1[[#This Row],[Peminta]],表1[[#This Row],[Tgl NPBG]]-表1[[#This Row],[Peminta]],"")</f>
        <v/>
      </c>
      <c r="J3126" s="31"/>
    </row>
    <row r="3127" s="12" customFormat="1" customHeight="1" spans="2:10">
      <c r="B3127" s="25"/>
      <c r="C3127" s="25"/>
      <c r="D3127" s="26" t="str" cm="1">
        <f t="array" ref="D3127">IF(C3127="","",IFERROR(INDEX(STPP!$D$6:$D$4207,MATCH(C3127,STPP!$C$6:$C$4207,0)),"Not Found"))</f>
        <v/>
      </c>
      <c r="E3127" s="27" t="str" cm="1">
        <f t="array" ref="E3127">IF(C3127="","",IFERROR(INDEX(STPP!$E$6:$E$4207,MATCH(C3127,STPP!$C$6:$C$4207,0)),"Not Found"))</f>
        <v/>
      </c>
      <c r="F3127" s="27" t="str" cm="1">
        <f t="array" ref="F3127">IF(C3127="","",IFERROR(INDEX(STPP!$F$6:$F$4207,MATCH(C3127,STPP!$C$6:$C$4207,0)),"Not Found"))</f>
        <v/>
      </c>
      <c r="G3127" s="25" t="str">
        <f>IF(表1[[#This Row],[No Seri]]="","",表1[[#This Row],[Deskripsi Barang]]+表1[[#This Row],[Kuantitas]]-表1[[#This Row],[Satuan]])</f>
        <v/>
      </c>
      <c r="H3127" s="28"/>
      <c r="I3127" s="25" t="str">
        <f>IF(表1[[#This Row],[Tgl NPBG]]&gt;表1[[#This Row],[Peminta]],表1[[#This Row],[Tgl NPBG]]-表1[[#This Row],[Peminta]],"")</f>
        <v/>
      </c>
      <c r="J3127" s="31"/>
    </row>
    <row r="3128" s="12" customFormat="1" customHeight="1" spans="2:10">
      <c r="B3128" s="25"/>
      <c r="C3128" s="25"/>
      <c r="D3128" s="26" t="str" cm="1">
        <f t="array" ref="D3128">IF(C3128="","",IFERROR(INDEX(STPP!$D$6:$D$4207,MATCH(C3128,STPP!$C$6:$C$4207,0)),"Not Found"))</f>
        <v/>
      </c>
      <c r="E3128" s="27" t="str" cm="1">
        <f t="array" ref="E3128">IF(C3128="","",IFERROR(INDEX(STPP!$E$6:$E$4207,MATCH(C3128,STPP!$C$6:$C$4207,0)),"Not Found"))</f>
        <v/>
      </c>
      <c r="F3128" s="27" t="str" cm="1">
        <f t="array" ref="F3128">IF(C3128="","",IFERROR(INDEX(STPP!$F$6:$F$4207,MATCH(C3128,STPP!$C$6:$C$4207,0)),"Not Found"))</f>
        <v/>
      </c>
      <c r="G3128" s="25" t="str">
        <f>IF(表1[[#This Row],[No Seri]]="","",表1[[#This Row],[Deskripsi Barang]]+表1[[#This Row],[Kuantitas]]-表1[[#This Row],[Satuan]])</f>
        <v/>
      </c>
      <c r="H3128" s="28"/>
      <c r="I3128" s="25" t="str">
        <f>IF(表1[[#This Row],[Tgl NPBG]]&gt;表1[[#This Row],[Peminta]],表1[[#This Row],[Tgl NPBG]]-表1[[#This Row],[Peminta]],"")</f>
        <v/>
      </c>
      <c r="J3128" s="31"/>
    </row>
    <row r="3129" s="12" customFormat="1" customHeight="1" spans="2:10">
      <c r="B3129" s="25"/>
      <c r="C3129" s="25"/>
      <c r="D3129" s="26" t="str" cm="1">
        <f t="array" ref="D3129">IF(C3129="","",IFERROR(INDEX(STPP!$D$6:$D$4207,MATCH(C3129,STPP!$C$6:$C$4207,0)),"Not Found"))</f>
        <v/>
      </c>
      <c r="E3129" s="27" t="str" cm="1">
        <f t="array" ref="E3129">IF(C3129="","",IFERROR(INDEX(STPP!$E$6:$E$4207,MATCH(C3129,STPP!$C$6:$C$4207,0)),"Not Found"))</f>
        <v/>
      </c>
      <c r="F3129" s="27" t="str" cm="1">
        <f t="array" ref="F3129">IF(C3129="","",IFERROR(INDEX(STPP!$F$6:$F$4207,MATCH(C3129,STPP!$C$6:$C$4207,0)),"Not Found"))</f>
        <v/>
      </c>
      <c r="G3129" s="25" t="str">
        <f>IF(表1[[#This Row],[No Seri]]="","",表1[[#This Row],[Deskripsi Barang]]+表1[[#This Row],[Kuantitas]]-表1[[#This Row],[Satuan]])</f>
        <v/>
      </c>
      <c r="H3129" s="28"/>
      <c r="I3129" s="25" t="str">
        <f>IF(表1[[#This Row],[Tgl NPBG]]&gt;表1[[#This Row],[Peminta]],表1[[#This Row],[Tgl NPBG]]-表1[[#This Row],[Peminta]],"")</f>
        <v/>
      </c>
      <c r="J3129" s="31"/>
    </row>
    <row r="3130" s="12" customFormat="1" customHeight="1" spans="2:10">
      <c r="B3130" s="25"/>
      <c r="C3130" s="25"/>
      <c r="D3130" s="26" t="str" cm="1">
        <f t="array" ref="D3130">IF(C3130="","",IFERROR(INDEX(STPP!$D$6:$D$4207,MATCH(C3130,STPP!$C$6:$C$4207,0)),"Not Found"))</f>
        <v/>
      </c>
      <c r="E3130" s="27" t="str" cm="1">
        <f t="array" ref="E3130">IF(C3130="","",IFERROR(INDEX(STPP!$E$6:$E$4207,MATCH(C3130,STPP!$C$6:$C$4207,0)),"Not Found"))</f>
        <v/>
      </c>
      <c r="F3130" s="27" t="str" cm="1">
        <f t="array" ref="F3130">IF(C3130="","",IFERROR(INDEX(STPP!$F$6:$F$4207,MATCH(C3130,STPP!$C$6:$C$4207,0)),"Not Found"))</f>
        <v/>
      </c>
      <c r="G3130" s="25" t="str">
        <f>IF(表1[[#This Row],[No Seri]]="","",表1[[#This Row],[Deskripsi Barang]]+表1[[#This Row],[Kuantitas]]-表1[[#This Row],[Satuan]])</f>
        <v/>
      </c>
      <c r="H3130" s="28"/>
      <c r="I3130" s="25" t="str">
        <f>IF(表1[[#This Row],[Tgl NPBG]]&gt;表1[[#This Row],[Peminta]],表1[[#This Row],[Tgl NPBG]]-表1[[#This Row],[Peminta]],"")</f>
        <v/>
      </c>
      <c r="J3130" s="31"/>
    </row>
    <row r="3131" s="12" customFormat="1" customHeight="1" spans="2:10">
      <c r="B3131" s="25"/>
      <c r="C3131" s="25"/>
      <c r="D3131" s="26" t="str" cm="1">
        <f t="array" ref="D3131">IF(C3131="","",IFERROR(INDEX(STPP!$D$6:$D$4207,MATCH(C3131,STPP!$C$6:$C$4207,0)),"Not Found"))</f>
        <v/>
      </c>
      <c r="E3131" s="27" t="str" cm="1">
        <f t="array" ref="E3131">IF(C3131="","",IFERROR(INDEX(STPP!$E$6:$E$4207,MATCH(C3131,STPP!$C$6:$C$4207,0)),"Not Found"))</f>
        <v/>
      </c>
      <c r="F3131" s="27" t="str" cm="1">
        <f t="array" ref="F3131">IF(C3131="","",IFERROR(INDEX(STPP!$F$6:$F$4207,MATCH(C3131,STPP!$C$6:$C$4207,0)),"Not Found"))</f>
        <v/>
      </c>
      <c r="G3131" s="25" t="str">
        <f>IF(表1[[#This Row],[No Seri]]="","",表1[[#This Row],[Deskripsi Barang]]+表1[[#This Row],[Kuantitas]]-表1[[#This Row],[Satuan]])</f>
        <v/>
      </c>
      <c r="H3131" s="28"/>
      <c r="I3131" s="25" t="str">
        <f>IF(表1[[#This Row],[Tgl NPBG]]&gt;表1[[#This Row],[Peminta]],表1[[#This Row],[Tgl NPBG]]-表1[[#This Row],[Peminta]],"")</f>
        <v/>
      </c>
      <c r="J3131" s="31"/>
    </row>
    <row r="3132" s="12" customFormat="1" customHeight="1" spans="2:10">
      <c r="B3132" s="25"/>
      <c r="C3132" s="25"/>
      <c r="D3132" s="26" t="str" cm="1">
        <f t="array" ref="D3132">IF(C3132="","",IFERROR(INDEX(STPP!$D$6:$D$4207,MATCH(C3132,STPP!$C$6:$C$4207,0)),"Not Found"))</f>
        <v/>
      </c>
      <c r="E3132" s="27" t="str" cm="1">
        <f t="array" ref="E3132">IF(C3132="","",IFERROR(INDEX(STPP!$E$6:$E$4207,MATCH(C3132,STPP!$C$6:$C$4207,0)),"Not Found"))</f>
        <v/>
      </c>
      <c r="F3132" s="27" t="str" cm="1">
        <f t="array" ref="F3132">IF(C3132="","",IFERROR(INDEX(STPP!$F$6:$F$4207,MATCH(C3132,STPP!$C$6:$C$4207,0)),"Not Found"))</f>
        <v/>
      </c>
      <c r="G3132" s="25" t="str">
        <f>IF(表1[[#This Row],[No Seri]]="","",表1[[#This Row],[Deskripsi Barang]]+表1[[#This Row],[Kuantitas]]-表1[[#This Row],[Satuan]])</f>
        <v/>
      </c>
      <c r="H3132" s="28"/>
      <c r="I3132" s="25" t="str">
        <f>IF(表1[[#This Row],[Tgl NPBG]]&gt;表1[[#This Row],[Peminta]],表1[[#This Row],[Tgl NPBG]]-表1[[#This Row],[Peminta]],"")</f>
        <v/>
      </c>
      <c r="J3132" s="31"/>
    </row>
    <row r="3133" s="12" customFormat="1" customHeight="1" spans="2:10">
      <c r="B3133" s="25"/>
      <c r="C3133" s="25"/>
      <c r="D3133" s="26" t="str" cm="1">
        <f t="array" ref="D3133">IF(C3133="","",IFERROR(INDEX(STPP!$D$6:$D$4207,MATCH(C3133,STPP!$C$6:$C$4207,0)),"Not Found"))</f>
        <v/>
      </c>
      <c r="E3133" s="27" t="str" cm="1">
        <f t="array" ref="E3133">IF(C3133="","",IFERROR(INDEX(STPP!$E$6:$E$4207,MATCH(C3133,STPP!$C$6:$C$4207,0)),"Not Found"))</f>
        <v/>
      </c>
      <c r="F3133" s="27" t="str" cm="1">
        <f t="array" ref="F3133">IF(C3133="","",IFERROR(INDEX(STPP!$F$6:$F$4207,MATCH(C3133,STPP!$C$6:$C$4207,0)),"Not Found"))</f>
        <v/>
      </c>
      <c r="G3133" s="25" t="str">
        <f>IF(表1[[#This Row],[No Seri]]="","",表1[[#This Row],[Deskripsi Barang]]+表1[[#This Row],[Kuantitas]]-表1[[#This Row],[Satuan]])</f>
        <v/>
      </c>
      <c r="H3133" s="28"/>
      <c r="I3133" s="25" t="str">
        <f>IF(表1[[#This Row],[Tgl NPBG]]&gt;表1[[#This Row],[Peminta]],表1[[#This Row],[Tgl NPBG]]-表1[[#This Row],[Peminta]],"")</f>
        <v/>
      </c>
      <c r="J3133" s="31"/>
    </row>
    <row r="3134" s="12" customFormat="1" customHeight="1" spans="2:10">
      <c r="B3134" s="25"/>
      <c r="C3134" s="25"/>
      <c r="D3134" s="26" t="str" cm="1">
        <f t="array" ref="D3134">IF(C3134="","",IFERROR(INDEX(STPP!$D$6:$D$4207,MATCH(C3134,STPP!$C$6:$C$4207,0)),"Not Found"))</f>
        <v/>
      </c>
      <c r="E3134" s="27" t="str" cm="1">
        <f t="array" ref="E3134">IF(C3134="","",IFERROR(INDEX(STPP!$E$6:$E$4207,MATCH(C3134,STPP!$C$6:$C$4207,0)),"Not Found"))</f>
        <v/>
      </c>
      <c r="F3134" s="27" t="str" cm="1">
        <f t="array" ref="F3134">IF(C3134="","",IFERROR(INDEX(STPP!$F$6:$F$4207,MATCH(C3134,STPP!$C$6:$C$4207,0)),"Not Found"))</f>
        <v/>
      </c>
      <c r="G3134" s="25" t="str">
        <f>IF(表1[[#This Row],[No Seri]]="","",表1[[#This Row],[Deskripsi Barang]]+表1[[#This Row],[Kuantitas]]-表1[[#This Row],[Satuan]])</f>
        <v/>
      </c>
      <c r="H3134" s="28"/>
      <c r="I3134" s="25" t="str">
        <f>IF(表1[[#This Row],[Tgl NPBG]]&gt;表1[[#This Row],[Peminta]],表1[[#This Row],[Tgl NPBG]]-表1[[#This Row],[Peminta]],"")</f>
        <v/>
      </c>
      <c r="J3134" s="31"/>
    </row>
    <row r="3135" s="12" customFormat="1" customHeight="1" spans="2:10">
      <c r="B3135" s="25"/>
      <c r="C3135" s="25"/>
      <c r="D3135" s="26" t="str" cm="1">
        <f t="array" ref="D3135">IF(C3135="","",IFERROR(INDEX(STPP!$D$6:$D$4207,MATCH(C3135,STPP!$C$6:$C$4207,0)),"Not Found"))</f>
        <v/>
      </c>
      <c r="E3135" s="27" t="str" cm="1">
        <f t="array" ref="E3135">IF(C3135="","",IFERROR(INDEX(STPP!$E$6:$E$4207,MATCH(C3135,STPP!$C$6:$C$4207,0)),"Not Found"))</f>
        <v/>
      </c>
      <c r="F3135" s="27" t="str" cm="1">
        <f t="array" ref="F3135">IF(C3135="","",IFERROR(INDEX(STPP!$F$6:$F$4207,MATCH(C3135,STPP!$C$6:$C$4207,0)),"Not Found"))</f>
        <v/>
      </c>
      <c r="G3135" s="25" t="str">
        <f>IF(表1[[#This Row],[No Seri]]="","",表1[[#This Row],[Deskripsi Barang]]+表1[[#This Row],[Kuantitas]]-表1[[#This Row],[Satuan]])</f>
        <v/>
      </c>
      <c r="H3135" s="28"/>
      <c r="I3135" s="25" t="str">
        <f>IF(表1[[#This Row],[Tgl NPBG]]&gt;表1[[#This Row],[Peminta]],表1[[#This Row],[Tgl NPBG]]-表1[[#This Row],[Peminta]],"")</f>
        <v/>
      </c>
      <c r="J3135" s="31"/>
    </row>
    <row r="3136" s="12" customFormat="1" customHeight="1" spans="2:10">
      <c r="B3136" s="25"/>
      <c r="C3136" s="25"/>
      <c r="D3136" s="26" t="str" cm="1">
        <f t="array" ref="D3136">IF(C3136="","",IFERROR(INDEX(STPP!$D$6:$D$4207,MATCH(C3136,STPP!$C$6:$C$4207,0)),"Not Found"))</f>
        <v/>
      </c>
      <c r="E3136" s="27" t="str" cm="1">
        <f t="array" ref="E3136">IF(C3136="","",IFERROR(INDEX(STPP!$E$6:$E$4207,MATCH(C3136,STPP!$C$6:$C$4207,0)),"Not Found"))</f>
        <v/>
      </c>
      <c r="F3136" s="27" t="str" cm="1">
        <f t="array" ref="F3136">IF(C3136="","",IFERROR(INDEX(STPP!$F$6:$F$4207,MATCH(C3136,STPP!$C$6:$C$4207,0)),"Not Found"))</f>
        <v/>
      </c>
      <c r="G3136" s="25" t="str">
        <f>IF(表1[[#This Row],[No Seri]]="","",表1[[#This Row],[Deskripsi Barang]]+表1[[#This Row],[Kuantitas]]-表1[[#This Row],[Satuan]])</f>
        <v/>
      </c>
      <c r="H3136" s="28"/>
      <c r="I3136" s="25" t="str">
        <f>IF(表1[[#This Row],[Tgl NPBG]]&gt;表1[[#This Row],[Peminta]],表1[[#This Row],[Tgl NPBG]]-表1[[#This Row],[Peminta]],"")</f>
        <v/>
      </c>
      <c r="J3136" s="31"/>
    </row>
    <row r="3137" s="12" customFormat="1" customHeight="1" spans="2:10">
      <c r="B3137" s="25"/>
      <c r="C3137" s="25"/>
      <c r="D3137" s="26" t="str" cm="1">
        <f t="array" ref="D3137">IF(C3137="","",IFERROR(INDEX(STPP!$D$6:$D$4207,MATCH(C3137,STPP!$C$6:$C$4207,0)),"Not Found"))</f>
        <v/>
      </c>
      <c r="E3137" s="27" t="str" cm="1">
        <f t="array" ref="E3137">IF(C3137="","",IFERROR(INDEX(STPP!$E$6:$E$4207,MATCH(C3137,STPP!$C$6:$C$4207,0)),"Not Found"))</f>
        <v/>
      </c>
      <c r="F3137" s="27" t="str" cm="1">
        <f t="array" ref="F3137">IF(C3137="","",IFERROR(INDEX(STPP!$F$6:$F$4207,MATCH(C3137,STPP!$C$6:$C$4207,0)),"Not Found"))</f>
        <v/>
      </c>
      <c r="G3137" s="25" t="str">
        <f>IF(表1[[#This Row],[No Seri]]="","",表1[[#This Row],[Deskripsi Barang]]+表1[[#This Row],[Kuantitas]]-表1[[#This Row],[Satuan]])</f>
        <v/>
      </c>
      <c r="H3137" s="28"/>
      <c r="I3137" s="25" t="str">
        <f>IF(表1[[#This Row],[Tgl NPBG]]&gt;表1[[#This Row],[Peminta]],表1[[#This Row],[Tgl NPBG]]-表1[[#This Row],[Peminta]],"")</f>
        <v/>
      </c>
      <c r="J3137" s="31"/>
    </row>
    <row r="3138" s="12" customFormat="1" customHeight="1" spans="2:10">
      <c r="B3138" s="25"/>
      <c r="C3138" s="25"/>
      <c r="D3138" s="26" t="str" cm="1">
        <f t="array" ref="D3138">IF(C3138="","",IFERROR(INDEX(STPP!$D$6:$D$4207,MATCH(C3138,STPP!$C$6:$C$4207,0)),"Not Found"))</f>
        <v/>
      </c>
      <c r="E3138" s="27" t="str" cm="1">
        <f t="array" ref="E3138">IF(C3138="","",IFERROR(INDEX(STPP!$E$6:$E$4207,MATCH(C3138,STPP!$C$6:$C$4207,0)),"Not Found"))</f>
        <v/>
      </c>
      <c r="F3138" s="27" t="str" cm="1">
        <f t="array" ref="F3138">IF(C3138="","",IFERROR(INDEX(STPP!$F$6:$F$4207,MATCH(C3138,STPP!$C$6:$C$4207,0)),"Not Found"))</f>
        <v/>
      </c>
      <c r="G3138" s="25" t="str">
        <f>IF(表1[[#This Row],[No Seri]]="","",表1[[#This Row],[Deskripsi Barang]]+表1[[#This Row],[Kuantitas]]-表1[[#This Row],[Satuan]])</f>
        <v/>
      </c>
      <c r="H3138" s="28"/>
      <c r="I3138" s="25" t="str">
        <f>IF(表1[[#This Row],[Tgl NPBG]]&gt;表1[[#This Row],[Peminta]],表1[[#This Row],[Tgl NPBG]]-表1[[#This Row],[Peminta]],"")</f>
        <v/>
      </c>
      <c r="J3138" s="31"/>
    </row>
    <row r="3139" s="12" customFormat="1" customHeight="1" spans="2:10">
      <c r="B3139" s="25"/>
      <c r="C3139" s="25"/>
      <c r="D3139" s="26" t="str" cm="1">
        <f t="array" ref="D3139">IF(C3139="","",IFERROR(INDEX(STPP!$D$6:$D$4207,MATCH(C3139,STPP!$C$6:$C$4207,0)),"Not Found"))</f>
        <v/>
      </c>
      <c r="E3139" s="27" t="str" cm="1">
        <f t="array" ref="E3139">IF(C3139="","",IFERROR(INDEX(STPP!$E$6:$E$4207,MATCH(C3139,STPP!$C$6:$C$4207,0)),"Not Found"))</f>
        <v/>
      </c>
      <c r="F3139" s="27" t="str" cm="1">
        <f t="array" ref="F3139">IF(C3139="","",IFERROR(INDEX(STPP!$F$6:$F$4207,MATCH(C3139,STPP!$C$6:$C$4207,0)),"Not Found"))</f>
        <v/>
      </c>
      <c r="G3139" s="25" t="str">
        <f>IF(表1[[#This Row],[No Seri]]="","",表1[[#This Row],[Deskripsi Barang]]+表1[[#This Row],[Kuantitas]]-表1[[#This Row],[Satuan]])</f>
        <v/>
      </c>
      <c r="H3139" s="28"/>
      <c r="I3139" s="25" t="str">
        <f>IF(表1[[#This Row],[Tgl NPBG]]&gt;表1[[#This Row],[Peminta]],表1[[#This Row],[Tgl NPBG]]-表1[[#This Row],[Peminta]],"")</f>
        <v/>
      </c>
      <c r="J3139" s="31"/>
    </row>
    <row r="3140" s="12" customFormat="1" customHeight="1" spans="2:10">
      <c r="B3140" s="25"/>
      <c r="C3140" s="25"/>
      <c r="D3140" s="26" t="str" cm="1">
        <f t="array" ref="D3140">IF(C3140="","",IFERROR(INDEX(STPP!$D$6:$D$4207,MATCH(C3140,STPP!$C$6:$C$4207,0)),"Not Found"))</f>
        <v/>
      </c>
      <c r="E3140" s="27" t="str" cm="1">
        <f t="array" ref="E3140">IF(C3140="","",IFERROR(INDEX(STPP!$E$6:$E$4207,MATCH(C3140,STPP!$C$6:$C$4207,0)),"Not Found"))</f>
        <v/>
      </c>
      <c r="F3140" s="27" t="str" cm="1">
        <f t="array" ref="F3140">IF(C3140="","",IFERROR(INDEX(STPP!$F$6:$F$4207,MATCH(C3140,STPP!$C$6:$C$4207,0)),"Not Found"))</f>
        <v/>
      </c>
      <c r="G3140" s="25" t="str">
        <f>IF(表1[[#This Row],[No Seri]]="","",表1[[#This Row],[Deskripsi Barang]]+表1[[#This Row],[Kuantitas]]-表1[[#This Row],[Satuan]])</f>
        <v/>
      </c>
      <c r="H3140" s="28"/>
      <c r="I3140" s="25" t="str">
        <f>IF(表1[[#This Row],[Tgl NPBG]]&gt;表1[[#This Row],[Peminta]],表1[[#This Row],[Tgl NPBG]]-表1[[#This Row],[Peminta]],"")</f>
        <v/>
      </c>
      <c r="J3140" s="31"/>
    </row>
    <row r="3141" s="12" customFormat="1" customHeight="1" spans="2:10">
      <c r="B3141" s="25"/>
      <c r="C3141" s="25"/>
      <c r="D3141" s="26" t="str" cm="1">
        <f t="array" ref="D3141">IF(C3141="","",IFERROR(INDEX(STPP!$D$6:$D$4207,MATCH(C3141,STPP!$C$6:$C$4207,0)),"Not Found"))</f>
        <v/>
      </c>
      <c r="E3141" s="27" t="str" cm="1">
        <f t="array" ref="E3141">IF(C3141="","",IFERROR(INDEX(STPP!$E$6:$E$4207,MATCH(C3141,STPP!$C$6:$C$4207,0)),"Not Found"))</f>
        <v/>
      </c>
      <c r="F3141" s="27" t="str" cm="1">
        <f t="array" ref="F3141">IF(C3141="","",IFERROR(INDEX(STPP!$F$6:$F$4207,MATCH(C3141,STPP!$C$6:$C$4207,0)),"Not Found"))</f>
        <v/>
      </c>
      <c r="G3141" s="25" t="str">
        <f>IF(表1[[#This Row],[No Seri]]="","",表1[[#This Row],[Deskripsi Barang]]+表1[[#This Row],[Kuantitas]]-表1[[#This Row],[Satuan]])</f>
        <v/>
      </c>
      <c r="H3141" s="28"/>
      <c r="I3141" s="25" t="str">
        <f>IF(表1[[#This Row],[Tgl NPBG]]&gt;表1[[#This Row],[Peminta]],表1[[#This Row],[Tgl NPBG]]-表1[[#This Row],[Peminta]],"")</f>
        <v/>
      </c>
      <c r="J3141" s="31"/>
    </row>
    <row r="3142" s="12" customFormat="1" customHeight="1" spans="2:10">
      <c r="B3142" s="25"/>
      <c r="C3142" s="25"/>
      <c r="D3142" s="26" t="str" cm="1">
        <f t="array" ref="D3142">IF(C3142="","",IFERROR(INDEX(STPP!$D$6:$D$4207,MATCH(C3142,STPP!$C$6:$C$4207,0)),"Not Found"))</f>
        <v/>
      </c>
      <c r="E3142" s="27" t="str" cm="1">
        <f t="array" ref="E3142">IF(C3142="","",IFERROR(INDEX(STPP!$E$6:$E$4207,MATCH(C3142,STPP!$C$6:$C$4207,0)),"Not Found"))</f>
        <v/>
      </c>
      <c r="F3142" s="27" t="str" cm="1">
        <f t="array" ref="F3142">IF(C3142="","",IFERROR(INDEX(STPP!$F$6:$F$4207,MATCH(C3142,STPP!$C$6:$C$4207,0)),"Not Found"))</f>
        <v/>
      </c>
      <c r="G3142" s="25" t="str">
        <f>IF(表1[[#This Row],[No Seri]]="","",表1[[#This Row],[Deskripsi Barang]]+表1[[#This Row],[Kuantitas]]-表1[[#This Row],[Satuan]])</f>
        <v/>
      </c>
      <c r="H3142" s="28"/>
      <c r="I3142" s="25" t="str">
        <f>IF(表1[[#This Row],[Tgl NPBG]]&gt;表1[[#This Row],[Peminta]],表1[[#This Row],[Tgl NPBG]]-表1[[#This Row],[Peminta]],"")</f>
        <v/>
      </c>
      <c r="J3142" s="31"/>
    </row>
    <row r="3143" s="12" customFormat="1" customHeight="1" spans="2:10">
      <c r="B3143" s="25"/>
      <c r="C3143" s="25"/>
      <c r="D3143" s="26" t="str" cm="1">
        <f t="array" ref="D3143">IF(C3143="","",IFERROR(INDEX(STPP!$D$6:$D$4207,MATCH(C3143,STPP!$C$6:$C$4207,0)),"Not Found"))</f>
        <v/>
      </c>
      <c r="E3143" s="27" t="str" cm="1">
        <f t="array" ref="E3143">IF(C3143="","",IFERROR(INDEX(STPP!$E$6:$E$4207,MATCH(C3143,STPP!$C$6:$C$4207,0)),"Not Found"))</f>
        <v/>
      </c>
      <c r="F3143" s="27" t="str" cm="1">
        <f t="array" ref="F3143">IF(C3143="","",IFERROR(INDEX(STPP!$F$6:$F$4207,MATCH(C3143,STPP!$C$6:$C$4207,0)),"Not Found"))</f>
        <v/>
      </c>
      <c r="G3143" s="25" t="str">
        <f>IF(表1[[#This Row],[No Seri]]="","",表1[[#This Row],[Deskripsi Barang]]+表1[[#This Row],[Kuantitas]]-表1[[#This Row],[Satuan]])</f>
        <v/>
      </c>
      <c r="H3143" s="28"/>
      <c r="I3143" s="25" t="str">
        <f>IF(表1[[#This Row],[Tgl NPBG]]&gt;表1[[#This Row],[Peminta]],表1[[#This Row],[Tgl NPBG]]-表1[[#This Row],[Peminta]],"")</f>
        <v/>
      </c>
      <c r="J3143" s="31"/>
    </row>
    <row r="3144" s="12" customFormat="1" customHeight="1" spans="2:10">
      <c r="B3144" s="25"/>
      <c r="C3144" s="25"/>
      <c r="D3144" s="26" t="str" cm="1">
        <f t="array" ref="D3144">IF(C3144="","",IFERROR(INDEX(STPP!$D$6:$D$4207,MATCH(C3144,STPP!$C$6:$C$4207,0)),"Not Found"))</f>
        <v/>
      </c>
      <c r="E3144" s="27" t="str" cm="1">
        <f t="array" ref="E3144">IF(C3144="","",IFERROR(INDEX(STPP!$E$6:$E$4207,MATCH(C3144,STPP!$C$6:$C$4207,0)),"Not Found"))</f>
        <v/>
      </c>
      <c r="F3144" s="27" t="str" cm="1">
        <f t="array" ref="F3144">IF(C3144="","",IFERROR(INDEX(STPP!$F$6:$F$4207,MATCH(C3144,STPP!$C$6:$C$4207,0)),"Not Found"))</f>
        <v/>
      </c>
      <c r="G3144" s="25" t="str">
        <f>IF(表1[[#This Row],[No Seri]]="","",表1[[#This Row],[Deskripsi Barang]]+表1[[#This Row],[Kuantitas]]-表1[[#This Row],[Satuan]])</f>
        <v/>
      </c>
      <c r="H3144" s="28"/>
      <c r="I3144" s="25" t="str">
        <f>IF(表1[[#This Row],[Tgl NPBG]]&gt;表1[[#This Row],[Peminta]],表1[[#This Row],[Tgl NPBG]]-表1[[#This Row],[Peminta]],"")</f>
        <v/>
      </c>
      <c r="J3144" s="31"/>
    </row>
    <row r="3145" s="12" customFormat="1" customHeight="1" spans="2:10">
      <c r="B3145" s="25"/>
      <c r="C3145" s="25"/>
      <c r="D3145" s="26" t="str" cm="1">
        <f t="array" ref="D3145">IF(C3145="","",IFERROR(INDEX(STPP!$D$6:$D$4207,MATCH(C3145,STPP!$C$6:$C$4207,0)),"Not Found"))</f>
        <v/>
      </c>
      <c r="E3145" s="27" t="str" cm="1">
        <f t="array" ref="E3145">IF(C3145="","",IFERROR(INDEX(STPP!$E$6:$E$4207,MATCH(C3145,STPP!$C$6:$C$4207,0)),"Not Found"))</f>
        <v/>
      </c>
      <c r="F3145" s="27" t="str" cm="1">
        <f t="array" ref="F3145">IF(C3145="","",IFERROR(INDEX(STPP!$F$6:$F$4207,MATCH(C3145,STPP!$C$6:$C$4207,0)),"Not Found"))</f>
        <v/>
      </c>
      <c r="G3145" s="25" t="str">
        <f>IF(表1[[#This Row],[No Seri]]="","",表1[[#This Row],[Deskripsi Barang]]+表1[[#This Row],[Kuantitas]]-表1[[#This Row],[Satuan]])</f>
        <v/>
      </c>
      <c r="H3145" s="28"/>
      <c r="I3145" s="25" t="str">
        <f>IF(表1[[#This Row],[Tgl NPBG]]&gt;表1[[#This Row],[Peminta]],表1[[#This Row],[Tgl NPBG]]-表1[[#This Row],[Peminta]],"")</f>
        <v/>
      </c>
      <c r="J3145" s="31"/>
    </row>
    <row r="3146" s="12" customFormat="1" customHeight="1" spans="2:10">
      <c r="B3146" s="25"/>
      <c r="C3146" s="25"/>
      <c r="D3146" s="26" t="str" cm="1">
        <f t="array" ref="D3146">IF(C3146="","",IFERROR(INDEX(STPP!$D$6:$D$4207,MATCH(C3146,STPP!$C$6:$C$4207,0)),"Not Found"))</f>
        <v/>
      </c>
      <c r="E3146" s="27" t="str" cm="1">
        <f t="array" ref="E3146">IF(C3146="","",IFERROR(INDEX(STPP!$E$6:$E$4207,MATCH(C3146,STPP!$C$6:$C$4207,0)),"Not Found"))</f>
        <v/>
      </c>
      <c r="F3146" s="27" t="str" cm="1">
        <f t="array" ref="F3146">IF(C3146="","",IFERROR(INDEX(STPP!$F$6:$F$4207,MATCH(C3146,STPP!$C$6:$C$4207,0)),"Not Found"))</f>
        <v/>
      </c>
      <c r="G3146" s="25" t="str">
        <f>IF(表1[[#This Row],[No Seri]]="","",表1[[#This Row],[Deskripsi Barang]]+表1[[#This Row],[Kuantitas]]-表1[[#This Row],[Satuan]])</f>
        <v/>
      </c>
      <c r="H3146" s="28"/>
      <c r="I3146" s="25" t="str">
        <f>IF(表1[[#This Row],[Tgl NPBG]]&gt;表1[[#This Row],[Peminta]],表1[[#This Row],[Tgl NPBG]]-表1[[#This Row],[Peminta]],"")</f>
        <v/>
      </c>
      <c r="J3146" s="31"/>
    </row>
    <row r="3147" s="12" customFormat="1" customHeight="1" spans="2:10">
      <c r="B3147" s="25"/>
      <c r="C3147" s="25"/>
      <c r="D3147" s="26" t="str" cm="1">
        <f t="array" ref="D3147">IF(C3147="","",IFERROR(INDEX(STPP!$D$6:$D$4207,MATCH(C3147,STPP!$C$6:$C$4207,0)),"Not Found"))</f>
        <v/>
      </c>
      <c r="E3147" s="27" t="str" cm="1">
        <f t="array" ref="E3147">IF(C3147="","",IFERROR(INDEX(STPP!$E$6:$E$4207,MATCH(C3147,STPP!$C$6:$C$4207,0)),"Not Found"))</f>
        <v/>
      </c>
      <c r="F3147" s="27" t="str" cm="1">
        <f t="array" ref="F3147">IF(C3147="","",IFERROR(INDEX(STPP!$F$6:$F$4207,MATCH(C3147,STPP!$C$6:$C$4207,0)),"Not Found"))</f>
        <v/>
      </c>
      <c r="G3147" s="25" t="str">
        <f>IF(表1[[#This Row],[No Seri]]="","",表1[[#This Row],[Deskripsi Barang]]+表1[[#This Row],[Kuantitas]]-表1[[#This Row],[Satuan]])</f>
        <v/>
      </c>
      <c r="H3147" s="28"/>
      <c r="I3147" s="25" t="str">
        <f>IF(表1[[#This Row],[Tgl NPBG]]&gt;表1[[#This Row],[Peminta]],表1[[#This Row],[Tgl NPBG]]-表1[[#This Row],[Peminta]],"")</f>
        <v/>
      </c>
      <c r="J3147" s="31"/>
    </row>
    <row r="3148" s="12" customFormat="1" customHeight="1" spans="2:10">
      <c r="B3148" s="25"/>
      <c r="C3148" s="25"/>
      <c r="D3148" s="26" t="str" cm="1">
        <f t="array" ref="D3148">IF(C3148="","",IFERROR(INDEX(STPP!$D$6:$D$4207,MATCH(C3148,STPP!$C$6:$C$4207,0)),"Not Found"))</f>
        <v/>
      </c>
      <c r="E3148" s="27" t="str" cm="1">
        <f t="array" ref="E3148">IF(C3148="","",IFERROR(INDEX(STPP!$E$6:$E$4207,MATCH(C3148,STPP!$C$6:$C$4207,0)),"Not Found"))</f>
        <v/>
      </c>
      <c r="F3148" s="27" t="str" cm="1">
        <f t="array" ref="F3148">IF(C3148="","",IFERROR(INDEX(STPP!$F$6:$F$4207,MATCH(C3148,STPP!$C$6:$C$4207,0)),"Not Found"))</f>
        <v/>
      </c>
      <c r="G3148" s="25" t="str">
        <f>IF(表1[[#This Row],[No Seri]]="","",表1[[#This Row],[Deskripsi Barang]]+表1[[#This Row],[Kuantitas]]-表1[[#This Row],[Satuan]])</f>
        <v/>
      </c>
      <c r="H3148" s="28"/>
      <c r="I3148" s="25" t="str">
        <f>IF(表1[[#This Row],[Tgl NPBG]]&gt;表1[[#This Row],[Peminta]],表1[[#This Row],[Tgl NPBG]]-表1[[#This Row],[Peminta]],"")</f>
        <v/>
      </c>
      <c r="J3148" s="31"/>
    </row>
    <row r="3149" s="12" customFormat="1" customHeight="1" spans="2:10">
      <c r="B3149" s="25"/>
      <c r="C3149" s="25"/>
      <c r="D3149" s="26" t="str" cm="1">
        <f t="array" ref="D3149">IF(C3149="","",IFERROR(INDEX(STPP!$D$6:$D$4207,MATCH(C3149,STPP!$C$6:$C$4207,0)),"Not Found"))</f>
        <v/>
      </c>
      <c r="E3149" s="27" t="str" cm="1">
        <f t="array" ref="E3149">IF(C3149="","",IFERROR(INDEX(STPP!$E$6:$E$4207,MATCH(C3149,STPP!$C$6:$C$4207,0)),"Not Found"))</f>
        <v/>
      </c>
      <c r="F3149" s="27" t="str" cm="1">
        <f t="array" ref="F3149">IF(C3149="","",IFERROR(INDEX(STPP!$F$6:$F$4207,MATCH(C3149,STPP!$C$6:$C$4207,0)),"Not Found"))</f>
        <v/>
      </c>
      <c r="G3149" s="25" t="str">
        <f>IF(表1[[#This Row],[No Seri]]="","",表1[[#This Row],[Deskripsi Barang]]+表1[[#This Row],[Kuantitas]]-表1[[#This Row],[Satuan]])</f>
        <v/>
      </c>
      <c r="H3149" s="28"/>
      <c r="I3149" s="25" t="str">
        <f>IF(表1[[#This Row],[Tgl NPBG]]&gt;表1[[#This Row],[Peminta]],表1[[#This Row],[Tgl NPBG]]-表1[[#This Row],[Peminta]],"")</f>
        <v/>
      </c>
      <c r="J3149" s="31"/>
    </row>
    <row r="3150" s="12" customFormat="1" customHeight="1" spans="2:10">
      <c r="B3150" s="25"/>
      <c r="C3150" s="25"/>
      <c r="D3150" s="26" t="str" cm="1">
        <f t="array" ref="D3150">IF(C3150="","",IFERROR(INDEX(STPP!$D$6:$D$4207,MATCH(C3150,STPP!$C$6:$C$4207,0)),"Not Found"))</f>
        <v/>
      </c>
      <c r="E3150" s="27" t="str" cm="1">
        <f t="array" ref="E3150">IF(C3150="","",IFERROR(INDEX(STPP!$E$6:$E$4207,MATCH(C3150,STPP!$C$6:$C$4207,0)),"Not Found"))</f>
        <v/>
      </c>
      <c r="F3150" s="27" t="str" cm="1">
        <f t="array" ref="F3150">IF(C3150="","",IFERROR(INDEX(STPP!$F$6:$F$4207,MATCH(C3150,STPP!$C$6:$C$4207,0)),"Not Found"))</f>
        <v/>
      </c>
      <c r="G3150" s="25" t="str">
        <f>IF(表1[[#This Row],[No Seri]]="","",表1[[#This Row],[Deskripsi Barang]]+表1[[#This Row],[Kuantitas]]-表1[[#This Row],[Satuan]])</f>
        <v/>
      </c>
      <c r="H3150" s="28"/>
      <c r="I3150" s="25" t="str">
        <f>IF(表1[[#This Row],[Tgl NPBG]]&gt;表1[[#This Row],[Peminta]],表1[[#This Row],[Tgl NPBG]]-表1[[#This Row],[Peminta]],"")</f>
        <v/>
      </c>
      <c r="J3150" s="31"/>
    </row>
    <row r="3151" s="12" customFormat="1" customHeight="1" spans="2:10">
      <c r="B3151" s="25"/>
      <c r="C3151" s="25"/>
      <c r="D3151" s="26" t="str" cm="1">
        <f t="array" ref="D3151">IF(C3151="","",IFERROR(INDEX(STPP!$D$6:$D$4207,MATCH(C3151,STPP!$C$6:$C$4207,0)),"Not Found"))</f>
        <v/>
      </c>
      <c r="E3151" s="27" t="str" cm="1">
        <f t="array" ref="E3151">IF(C3151="","",IFERROR(INDEX(STPP!$E$6:$E$4207,MATCH(C3151,STPP!$C$6:$C$4207,0)),"Not Found"))</f>
        <v/>
      </c>
      <c r="F3151" s="27" t="str" cm="1">
        <f t="array" ref="F3151">IF(C3151="","",IFERROR(INDEX(STPP!$F$6:$F$4207,MATCH(C3151,STPP!$C$6:$C$4207,0)),"Not Found"))</f>
        <v/>
      </c>
      <c r="G3151" s="25" t="str">
        <f>IF(表1[[#This Row],[No Seri]]="","",表1[[#This Row],[Deskripsi Barang]]+表1[[#This Row],[Kuantitas]]-表1[[#This Row],[Satuan]])</f>
        <v/>
      </c>
      <c r="H3151" s="28"/>
      <c r="I3151" s="25" t="str">
        <f>IF(表1[[#This Row],[Tgl NPBG]]&gt;表1[[#This Row],[Peminta]],表1[[#This Row],[Tgl NPBG]]-表1[[#This Row],[Peminta]],"")</f>
        <v/>
      </c>
      <c r="J3151" s="31"/>
    </row>
    <row r="3152" s="12" customFormat="1" customHeight="1" spans="2:10">
      <c r="B3152" s="25"/>
      <c r="C3152" s="25"/>
      <c r="D3152" s="26" t="str" cm="1">
        <f t="array" ref="D3152">IF(C3152="","",IFERROR(INDEX(STPP!$D$6:$D$4207,MATCH(C3152,STPP!$C$6:$C$4207,0)),"Not Found"))</f>
        <v/>
      </c>
      <c r="E3152" s="27" t="str" cm="1">
        <f t="array" ref="E3152">IF(C3152="","",IFERROR(INDEX(STPP!$E$6:$E$4207,MATCH(C3152,STPP!$C$6:$C$4207,0)),"Not Found"))</f>
        <v/>
      </c>
      <c r="F3152" s="27" t="str" cm="1">
        <f t="array" ref="F3152">IF(C3152="","",IFERROR(INDEX(STPP!$F$6:$F$4207,MATCH(C3152,STPP!$C$6:$C$4207,0)),"Not Found"))</f>
        <v/>
      </c>
      <c r="G3152" s="25" t="str">
        <f>IF(表1[[#This Row],[No Seri]]="","",表1[[#This Row],[Deskripsi Barang]]+表1[[#This Row],[Kuantitas]]-表1[[#This Row],[Satuan]])</f>
        <v/>
      </c>
      <c r="H3152" s="28"/>
      <c r="I3152" s="25" t="str">
        <f>IF(表1[[#This Row],[Tgl NPBG]]&gt;表1[[#This Row],[Peminta]],表1[[#This Row],[Tgl NPBG]]-表1[[#This Row],[Peminta]],"")</f>
        <v/>
      </c>
      <c r="J3152" s="31"/>
    </row>
    <row r="3153" s="12" customFormat="1" customHeight="1" spans="2:10">
      <c r="B3153" s="25"/>
      <c r="C3153" s="25"/>
      <c r="D3153" s="26" t="str" cm="1">
        <f t="array" ref="D3153">IF(C3153="","",IFERROR(INDEX(STPP!$D$6:$D$4207,MATCH(C3153,STPP!$C$6:$C$4207,0)),"Not Found"))</f>
        <v/>
      </c>
      <c r="E3153" s="27" t="str" cm="1">
        <f t="array" ref="E3153">IF(C3153="","",IFERROR(INDEX(STPP!$E$6:$E$4207,MATCH(C3153,STPP!$C$6:$C$4207,0)),"Not Found"))</f>
        <v/>
      </c>
      <c r="F3153" s="27" t="str" cm="1">
        <f t="array" ref="F3153">IF(C3153="","",IFERROR(INDEX(STPP!$F$6:$F$4207,MATCH(C3153,STPP!$C$6:$C$4207,0)),"Not Found"))</f>
        <v/>
      </c>
      <c r="G3153" s="25" t="str">
        <f>IF(表1[[#This Row],[No Seri]]="","",表1[[#This Row],[Deskripsi Barang]]+表1[[#This Row],[Kuantitas]]-表1[[#This Row],[Satuan]])</f>
        <v/>
      </c>
      <c r="H3153" s="28"/>
      <c r="I3153" s="25" t="str">
        <f>IF(表1[[#This Row],[Tgl NPBG]]&gt;表1[[#This Row],[Peminta]],表1[[#This Row],[Tgl NPBG]]-表1[[#This Row],[Peminta]],"")</f>
        <v/>
      </c>
      <c r="J3153" s="31"/>
    </row>
    <row r="3154" s="12" customFormat="1" customHeight="1" spans="2:10">
      <c r="B3154" s="25"/>
      <c r="C3154" s="25"/>
      <c r="D3154" s="26" t="str" cm="1">
        <f t="array" ref="D3154">IF(C3154="","",IFERROR(INDEX(STPP!$D$6:$D$4207,MATCH(C3154,STPP!$C$6:$C$4207,0)),"Not Found"))</f>
        <v/>
      </c>
      <c r="E3154" s="27" t="str" cm="1">
        <f t="array" ref="E3154">IF(C3154="","",IFERROR(INDEX(STPP!$E$6:$E$4207,MATCH(C3154,STPP!$C$6:$C$4207,0)),"Not Found"))</f>
        <v/>
      </c>
      <c r="F3154" s="27" t="str" cm="1">
        <f t="array" ref="F3154">IF(C3154="","",IFERROR(INDEX(STPP!$F$6:$F$4207,MATCH(C3154,STPP!$C$6:$C$4207,0)),"Not Found"))</f>
        <v/>
      </c>
      <c r="G3154" s="25" t="str">
        <f>IF(表1[[#This Row],[No Seri]]="","",表1[[#This Row],[Deskripsi Barang]]+表1[[#This Row],[Kuantitas]]-表1[[#This Row],[Satuan]])</f>
        <v/>
      </c>
      <c r="H3154" s="28"/>
      <c r="I3154" s="25" t="str">
        <f>IF(表1[[#This Row],[Tgl NPBG]]&gt;表1[[#This Row],[Peminta]],表1[[#This Row],[Tgl NPBG]]-表1[[#This Row],[Peminta]],"")</f>
        <v/>
      </c>
      <c r="J3154" s="31"/>
    </row>
    <row r="3155" s="12" customFormat="1" customHeight="1" spans="2:10">
      <c r="B3155" s="25"/>
      <c r="C3155" s="25"/>
      <c r="D3155" s="26" t="str" cm="1">
        <f t="array" ref="D3155">IF(C3155="","",IFERROR(INDEX(STPP!$D$6:$D$4207,MATCH(C3155,STPP!$C$6:$C$4207,0)),"Not Found"))</f>
        <v/>
      </c>
      <c r="E3155" s="27" t="str" cm="1">
        <f t="array" ref="E3155">IF(C3155="","",IFERROR(INDEX(STPP!$E$6:$E$4207,MATCH(C3155,STPP!$C$6:$C$4207,0)),"Not Found"))</f>
        <v/>
      </c>
      <c r="F3155" s="27" t="str" cm="1">
        <f t="array" ref="F3155">IF(C3155="","",IFERROR(INDEX(STPP!$F$6:$F$4207,MATCH(C3155,STPP!$C$6:$C$4207,0)),"Not Found"))</f>
        <v/>
      </c>
      <c r="G3155" s="25" t="str">
        <f>IF(表1[[#This Row],[No Seri]]="","",表1[[#This Row],[Deskripsi Barang]]+表1[[#This Row],[Kuantitas]]-表1[[#This Row],[Satuan]])</f>
        <v/>
      </c>
      <c r="H3155" s="28"/>
      <c r="I3155" s="25" t="str">
        <f>IF(表1[[#This Row],[Tgl NPBG]]&gt;表1[[#This Row],[Peminta]],表1[[#This Row],[Tgl NPBG]]-表1[[#This Row],[Peminta]],"")</f>
        <v/>
      </c>
      <c r="J3155" s="31"/>
    </row>
    <row r="3156" s="12" customFormat="1" customHeight="1" spans="2:10">
      <c r="B3156" s="25"/>
      <c r="C3156" s="25"/>
      <c r="D3156" s="26" t="str" cm="1">
        <f t="array" ref="D3156">IF(C3156="","",IFERROR(INDEX(STPP!$D$6:$D$4207,MATCH(C3156,STPP!$C$6:$C$4207,0)),"Not Found"))</f>
        <v/>
      </c>
      <c r="E3156" s="27" t="str" cm="1">
        <f t="array" ref="E3156">IF(C3156="","",IFERROR(INDEX(STPP!$E$6:$E$4207,MATCH(C3156,STPP!$C$6:$C$4207,0)),"Not Found"))</f>
        <v/>
      </c>
      <c r="F3156" s="27" t="str" cm="1">
        <f t="array" ref="F3156">IF(C3156="","",IFERROR(INDEX(STPP!$F$6:$F$4207,MATCH(C3156,STPP!$C$6:$C$4207,0)),"Not Found"))</f>
        <v/>
      </c>
      <c r="G3156" s="25" t="str">
        <f>IF(表1[[#This Row],[No Seri]]="","",表1[[#This Row],[Deskripsi Barang]]+表1[[#This Row],[Kuantitas]]-表1[[#This Row],[Satuan]])</f>
        <v/>
      </c>
      <c r="H3156" s="28"/>
      <c r="I3156" s="25" t="str">
        <f>IF(表1[[#This Row],[Tgl NPBG]]&gt;表1[[#This Row],[Peminta]],表1[[#This Row],[Tgl NPBG]]-表1[[#This Row],[Peminta]],"")</f>
        <v/>
      </c>
      <c r="J3156" s="31"/>
    </row>
    <row r="3157" s="12" customFormat="1" customHeight="1" spans="2:10">
      <c r="B3157" s="25"/>
      <c r="C3157" s="25"/>
      <c r="D3157" s="26" t="str" cm="1">
        <f t="array" ref="D3157">IF(C3157="","",IFERROR(INDEX(STPP!$D$6:$D$4207,MATCH(C3157,STPP!$C$6:$C$4207,0)),"Not Found"))</f>
        <v/>
      </c>
      <c r="E3157" s="27" t="str" cm="1">
        <f t="array" ref="E3157">IF(C3157="","",IFERROR(INDEX(STPP!$E$6:$E$4207,MATCH(C3157,STPP!$C$6:$C$4207,0)),"Not Found"))</f>
        <v/>
      </c>
      <c r="F3157" s="27" t="str" cm="1">
        <f t="array" ref="F3157">IF(C3157="","",IFERROR(INDEX(STPP!$F$6:$F$4207,MATCH(C3157,STPP!$C$6:$C$4207,0)),"Not Found"))</f>
        <v/>
      </c>
      <c r="G3157" s="25" t="str">
        <f>IF(表1[[#This Row],[No Seri]]="","",表1[[#This Row],[Deskripsi Barang]]+表1[[#This Row],[Kuantitas]]-表1[[#This Row],[Satuan]])</f>
        <v/>
      </c>
      <c r="H3157" s="28"/>
      <c r="I3157" s="25" t="str">
        <f>IF(表1[[#This Row],[Tgl NPBG]]&gt;表1[[#This Row],[Peminta]],表1[[#This Row],[Tgl NPBG]]-表1[[#This Row],[Peminta]],"")</f>
        <v/>
      </c>
      <c r="J3157" s="31"/>
    </row>
    <row r="3158" s="12" customFormat="1" customHeight="1" spans="2:10">
      <c r="B3158" s="25"/>
      <c r="C3158" s="25"/>
      <c r="D3158" s="26" t="str" cm="1">
        <f t="array" ref="D3158">IF(C3158="","",IFERROR(INDEX(STPP!$D$6:$D$4207,MATCH(C3158,STPP!$C$6:$C$4207,0)),"Not Found"))</f>
        <v/>
      </c>
      <c r="E3158" s="27" t="str" cm="1">
        <f t="array" ref="E3158">IF(C3158="","",IFERROR(INDEX(STPP!$E$6:$E$4207,MATCH(C3158,STPP!$C$6:$C$4207,0)),"Not Found"))</f>
        <v/>
      </c>
      <c r="F3158" s="27" t="str" cm="1">
        <f t="array" ref="F3158">IF(C3158="","",IFERROR(INDEX(STPP!$F$6:$F$4207,MATCH(C3158,STPP!$C$6:$C$4207,0)),"Not Found"))</f>
        <v/>
      </c>
      <c r="G3158" s="25" t="str">
        <f>IF(表1[[#This Row],[No Seri]]="","",表1[[#This Row],[Deskripsi Barang]]+表1[[#This Row],[Kuantitas]]-表1[[#This Row],[Satuan]])</f>
        <v/>
      </c>
      <c r="H3158" s="28"/>
      <c r="I3158" s="25" t="str">
        <f>IF(表1[[#This Row],[Tgl NPBG]]&gt;表1[[#This Row],[Peminta]],表1[[#This Row],[Tgl NPBG]]-表1[[#This Row],[Peminta]],"")</f>
        <v/>
      </c>
      <c r="J3158" s="31"/>
    </row>
    <row r="3159" s="12" customFormat="1" customHeight="1" spans="2:10">
      <c r="B3159" s="25"/>
      <c r="C3159" s="25"/>
      <c r="D3159" s="26" t="str" cm="1">
        <f t="array" ref="D3159">IF(C3159="","",IFERROR(INDEX(STPP!$D$6:$D$4207,MATCH(C3159,STPP!$C$6:$C$4207,0)),"Not Found"))</f>
        <v/>
      </c>
      <c r="E3159" s="27" t="str" cm="1">
        <f t="array" ref="E3159">IF(C3159="","",IFERROR(INDEX(STPP!$E$6:$E$4207,MATCH(C3159,STPP!$C$6:$C$4207,0)),"Not Found"))</f>
        <v/>
      </c>
      <c r="F3159" s="27" t="str" cm="1">
        <f t="array" ref="F3159">IF(C3159="","",IFERROR(INDEX(STPP!$F$6:$F$4207,MATCH(C3159,STPP!$C$6:$C$4207,0)),"Not Found"))</f>
        <v/>
      </c>
      <c r="G3159" s="25" t="str">
        <f>IF(表1[[#This Row],[No Seri]]="","",表1[[#This Row],[Deskripsi Barang]]+表1[[#This Row],[Kuantitas]]-表1[[#This Row],[Satuan]])</f>
        <v/>
      </c>
      <c r="H3159" s="28"/>
      <c r="I3159" s="25" t="str">
        <f>IF(表1[[#This Row],[Tgl NPBG]]&gt;表1[[#This Row],[Peminta]],表1[[#This Row],[Tgl NPBG]]-表1[[#This Row],[Peminta]],"")</f>
        <v/>
      </c>
      <c r="J3159" s="31"/>
    </row>
    <row r="3160" s="12" customFormat="1" customHeight="1" spans="2:10">
      <c r="B3160" s="25"/>
      <c r="C3160" s="25"/>
      <c r="D3160" s="26" t="str" cm="1">
        <f t="array" ref="D3160">IF(C3160="","",IFERROR(INDEX(STPP!$D$6:$D$4207,MATCH(C3160,STPP!$C$6:$C$4207,0)),"Not Found"))</f>
        <v/>
      </c>
      <c r="E3160" s="27" t="str" cm="1">
        <f t="array" ref="E3160">IF(C3160="","",IFERROR(INDEX(STPP!$E$6:$E$4207,MATCH(C3160,STPP!$C$6:$C$4207,0)),"Not Found"))</f>
        <v/>
      </c>
      <c r="F3160" s="27" t="str" cm="1">
        <f t="array" ref="F3160">IF(C3160="","",IFERROR(INDEX(STPP!$F$6:$F$4207,MATCH(C3160,STPP!$C$6:$C$4207,0)),"Not Found"))</f>
        <v/>
      </c>
      <c r="G3160" s="25" t="str">
        <f>IF(表1[[#This Row],[No Seri]]="","",表1[[#This Row],[Deskripsi Barang]]+表1[[#This Row],[Kuantitas]]-表1[[#This Row],[Satuan]])</f>
        <v/>
      </c>
      <c r="H3160" s="28"/>
      <c r="I3160" s="25" t="str">
        <f>IF(表1[[#This Row],[Tgl NPBG]]&gt;表1[[#This Row],[Peminta]],表1[[#This Row],[Tgl NPBG]]-表1[[#This Row],[Peminta]],"")</f>
        <v/>
      </c>
      <c r="J3160" s="31"/>
    </row>
    <row r="3161" s="12" customFormat="1" customHeight="1" spans="2:10">
      <c r="B3161" s="25"/>
      <c r="C3161" s="25"/>
      <c r="D3161" s="26" t="str" cm="1">
        <f t="array" ref="D3161">IF(C3161="","",IFERROR(INDEX(STPP!$D$6:$D$4207,MATCH(C3161,STPP!$C$6:$C$4207,0)),"Not Found"))</f>
        <v/>
      </c>
      <c r="E3161" s="27" t="str" cm="1">
        <f t="array" ref="E3161">IF(C3161="","",IFERROR(INDEX(STPP!$E$6:$E$4207,MATCH(C3161,STPP!$C$6:$C$4207,0)),"Not Found"))</f>
        <v/>
      </c>
      <c r="F3161" s="27" t="str" cm="1">
        <f t="array" ref="F3161">IF(C3161="","",IFERROR(INDEX(STPP!$F$6:$F$4207,MATCH(C3161,STPP!$C$6:$C$4207,0)),"Not Found"))</f>
        <v/>
      </c>
      <c r="G3161" s="25" t="str">
        <f>IF(表1[[#This Row],[No Seri]]="","",表1[[#This Row],[Deskripsi Barang]]+表1[[#This Row],[Kuantitas]]-表1[[#This Row],[Satuan]])</f>
        <v/>
      </c>
      <c r="H3161" s="28"/>
      <c r="I3161" s="25" t="str">
        <f>IF(表1[[#This Row],[Tgl NPBG]]&gt;表1[[#This Row],[Peminta]],表1[[#This Row],[Tgl NPBG]]-表1[[#This Row],[Peminta]],"")</f>
        <v/>
      </c>
      <c r="J3161" s="31"/>
    </row>
    <row r="3162" s="12" customFormat="1" customHeight="1" spans="2:10">
      <c r="B3162" s="25"/>
      <c r="C3162" s="25"/>
      <c r="D3162" s="26" t="str" cm="1">
        <f t="array" ref="D3162">IF(C3162="","",IFERROR(INDEX(STPP!$D$6:$D$4207,MATCH(C3162,STPP!$C$6:$C$4207,0)),"Not Found"))</f>
        <v/>
      </c>
      <c r="E3162" s="27" t="str" cm="1">
        <f t="array" ref="E3162">IF(C3162="","",IFERROR(INDEX(STPP!$E$6:$E$4207,MATCH(C3162,STPP!$C$6:$C$4207,0)),"Not Found"))</f>
        <v/>
      </c>
      <c r="F3162" s="27" t="str" cm="1">
        <f t="array" ref="F3162">IF(C3162="","",IFERROR(INDEX(STPP!$F$6:$F$4207,MATCH(C3162,STPP!$C$6:$C$4207,0)),"Not Found"))</f>
        <v/>
      </c>
      <c r="G3162" s="25" t="str">
        <f>IF(表1[[#This Row],[No Seri]]="","",表1[[#This Row],[Deskripsi Barang]]+表1[[#This Row],[Kuantitas]]-表1[[#This Row],[Satuan]])</f>
        <v/>
      </c>
      <c r="H3162" s="28"/>
      <c r="I3162" s="25" t="str">
        <f>IF(表1[[#This Row],[Tgl NPBG]]&gt;表1[[#This Row],[Peminta]],表1[[#This Row],[Tgl NPBG]]-表1[[#This Row],[Peminta]],"")</f>
        <v/>
      </c>
      <c r="J3162" s="31"/>
    </row>
    <row r="3163" s="12" customFormat="1" customHeight="1" spans="2:10">
      <c r="B3163" s="25"/>
      <c r="C3163" s="25"/>
      <c r="D3163" s="26" t="str" cm="1">
        <f t="array" ref="D3163">IF(C3163="","",IFERROR(INDEX(STPP!$D$6:$D$4207,MATCH(C3163,STPP!$C$6:$C$4207,0)),"Not Found"))</f>
        <v/>
      </c>
      <c r="E3163" s="27" t="str" cm="1">
        <f t="array" ref="E3163">IF(C3163="","",IFERROR(INDEX(STPP!$E$6:$E$4207,MATCH(C3163,STPP!$C$6:$C$4207,0)),"Not Found"))</f>
        <v/>
      </c>
      <c r="F3163" s="27" t="str" cm="1">
        <f t="array" ref="F3163">IF(C3163="","",IFERROR(INDEX(STPP!$F$6:$F$4207,MATCH(C3163,STPP!$C$6:$C$4207,0)),"Not Found"))</f>
        <v/>
      </c>
      <c r="G3163" s="25" t="str">
        <f>IF(表1[[#This Row],[No Seri]]="","",表1[[#This Row],[Deskripsi Barang]]+表1[[#This Row],[Kuantitas]]-表1[[#This Row],[Satuan]])</f>
        <v/>
      </c>
      <c r="H3163" s="28"/>
      <c r="I3163" s="25" t="str">
        <f>IF(表1[[#This Row],[Tgl NPBG]]&gt;表1[[#This Row],[Peminta]],表1[[#This Row],[Tgl NPBG]]-表1[[#This Row],[Peminta]],"")</f>
        <v/>
      </c>
      <c r="J3163" s="31"/>
    </row>
    <row r="3164" s="12" customFormat="1" customHeight="1" spans="2:10">
      <c r="B3164" s="25"/>
      <c r="C3164" s="25"/>
      <c r="D3164" s="26" t="str" cm="1">
        <f t="array" ref="D3164">IF(C3164="","",IFERROR(INDEX(STPP!$D$6:$D$4207,MATCH(C3164,STPP!$C$6:$C$4207,0)),"Not Found"))</f>
        <v/>
      </c>
      <c r="E3164" s="27" t="str" cm="1">
        <f t="array" ref="E3164">IF(C3164="","",IFERROR(INDEX(STPP!$E$6:$E$4207,MATCH(C3164,STPP!$C$6:$C$4207,0)),"Not Found"))</f>
        <v/>
      </c>
      <c r="F3164" s="27" t="str" cm="1">
        <f t="array" ref="F3164">IF(C3164="","",IFERROR(INDEX(STPP!$F$6:$F$4207,MATCH(C3164,STPP!$C$6:$C$4207,0)),"Not Found"))</f>
        <v/>
      </c>
      <c r="G3164" s="25" t="str">
        <f>IF(表1[[#This Row],[No Seri]]="","",表1[[#This Row],[Deskripsi Barang]]+表1[[#This Row],[Kuantitas]]-表1[[#This Row],[Satuan]])</f>
        <v/>
      </c>
      <c r="H3164" s="28"/>
      <c r="I3164" s="25" t="str">
        <f>IF(表1[[#This Row],[Tgl NPBG]]&gt;表1[[#This Row],[Peminta]],表1[[#This Row],[Tgl NPBG]]-表1[[#This Row],[Peminta]],"")</f>
        <v/>
      </c>
      <c r="J3164" s="31"/>
    </row>
    <row r="3165" s="12" customFormat="1" customHeight="1" spans="2:10">
      <c r="B3165" s="25"/>
      <c r="C3165" s="25"/>
      <c r="D3165" s="26" t="str" cm="1">
        <f t="array" ref="D3165">IF(C3165="","",IFERROR(INDEX(STPP!$D$6:$D$4207,MATCH(C3165,STPP!$C$6:$C$4207,0)),"Not Found"))</f>
        <v/>
      </c>
      <c r="E3165" s="27" t="str" cm="1">
        <f t="array" ref="E3165">IF(C3165="","",IFERROR(INDEX(STPP!$E$6:$E$4207,MATCH(C3165,STPP!$C$6:$C$4207,0)),"Not Found"))</f>
        <v/>
      </c>
      <c r="F3165" s="27" t="str" cm="1">
        <f t="array" ref="F3165">IF(C3165="","",IFERROR(INDEX(STPP!$F$6:$F$4207,MATCH(C3165,STPP!$C$6:$C$4207,0)),"Not Found"))</f>
        <v/>
      </c>
      <c r="G3165" s="25" t="str">
        <f>IF(表1[[#This Row],[No Seri]]="","",表1[[#This Row],[Deskripsi Barang]]+表1[[#This Row],[Kuantitas]]-表1[[#This Row],[Satuan]])</f>
        <v/>
      </c>
      <c r="H3165" s="28"/>
      <c r="I3165" s="25" t="str">
        <f>IF(表1[[#This Row],[Tgl NPBG]]&gt;表1[[#This Row],[Peminta]],表1[[#This Row],[Tgl NPBG]]-表1[[#This Row],[Peminta]],"")</f>
        <v/>
      </c>
      <c r="J3165" s="31"/>
    </row>
    <row r="3166" s="12" customFormat="1" customHeight="1" spans="2:10">
      <c r="B3166" s="25"/>
      <c r="C3166" s="25"/>
      <c r="D3166" s="26" t="str" cm="1">
        <f t="array" ref="D3166">IF(C3166="","",IFERROR(INDEX(STPP!$D$6:$D$4207,MATCH(C3166,STPP!$C$6:$C$4207,0)),"Not Found"))</f>
        <v/>
      </c>
      <c r="E3166" s="27" t="str" cm="1">
        <f t="array" ref="E3166">IF(C3166="","",IFERROR(INDEX(STPP!$E$6:$E$4207,MATCH(C3166,STPP!$C$6:$C$4207,0)),"Not Found"))</f>
        <v/>
      </c>
      <c r="F3166" s="27" t="str" cm="1">
        <f t="array" ref="F3166">IF(C3166="","",IFERROR(INDEX(STPP!$F$6:$F$4207,MATCH(C3166,STPP!$C$6:$C$4207,0)),"Not Found"))</f>
        <v/>
      </c>
      <c r="G3166" s="25" t="str">
        <f>IF(表1[[#This Row],[No Seri]]="","",表1[[#This Row],[Deskripsi Barang]]+表1[[#This Row],[Kuantitas]]-表1[[#This Row],[Satuan]])</f>
        <v/>
      </c>
      <c r="H3166" s="28"/>
      <c r="I3166" s="25" t="str">
        <f>IF(表1[[#This Row],[Tgl NPBG]]&gt;表1[[#This Row],[Peminta]],表1[[#This Row],[Tgl NPBG]]-表1[[#This Row],[Peminta]],"")</f>
        <v/>
      </c>
      <c r="J3166" s="31"/>
    </row>
    <row r="3167" s="12" customFormat="1" customHeight="1" spans="2:10">
      <c r="B3167" s="25"/>
      <c r="C3167" s="25"/>
      <c r="D3167" s="26" t="str" cm="1">
        <f t="array" ref="D3167">IF(C3167="","",IFERROR(INDEX(STPP!$D$6:$D$4207,MATCH(C3167,STPP!$C$6:$C$4207,0)),"Not Found"))</f>
        <v/>
      </c>
      <c r="E3167" s="27" t="str" cm="1">
        <f t="array" ref="E3167">IF(C3167="","",IFERROR(INDEX(STPP!$E$6:$E$4207,MATCH(C3167,STPP!$C$6:$C$4207,0)),"Not Found"))</f>
        <v/>
      </c>
      <c r="F3167" s="27" t="str" cm="1">
        <f t="array" ref="F3167">IF(C3167="","",IFERROR(INDEX(STPP!$F$6:$F$4207,MATCH(C3167,STPP!$C$6:$C$4207,0)),"Not Found"))</f>
        <v/>
      </c>
      <c r="G3167" s="25" t="str">
        <f>IF(表1[[#This Row],[No Seri]]="","",表1[[#This Row],[Deskripsi Barang]]+表1[[#This Row],[Kuantitas]]-表1[[#This Row],[Satuan]])</f>
        <v/>
      </c>
      <c r="H3167" s="28"/>
      <c r="I3167" s="25" t="str">
        <f>IF(表1[[#This Row],[Tgl NPBG]]&gt;表1[[#This Row],[Peminta]],表1[[#This Row],[Tgl NPBG]]-表1[[#This Row],[Peminta]],"")</f>
        <v/>
      </c>
      <c r="J3167" s="31"/>
    </row>
    <row r="3168" s="12" customFormat="1" customHeight="1" spans="2:10">
      <c r="B3168" s="25"/>
      <c r="C3168" s="25"/>
      <c r="D3168" s="26" t="str" cm="1">
        <f t="array" ref="D3168">IF(C3168="","",IFERROR(INDEX(STPP!$D$6:$D$4207,MATCH(C3168,STPP!$C$6:$C$4207,0)),"Not Found"))</f>
        <v/>
      </c>
      <c r="E3168" s="27" t="str" cm="1">
        <f t="array" ref="E3168">IF(C3168="","",IFERROR(INDEX(STPP!$E$6:$E$4207,MATCH(C3168,STPP!$C$6:$C$4207,0)),"Not Found"))</f>
        <v/>
      </c>
      <c r="F3168" s="27" t="str" cm="1">
        <f t="array" ref="F3168">IF(C3168="","",IFERROR(INDEX(STPP!$F$6:$F$4207,MATCH(C3168,STPP!$C$6:$C$4207,0)),"Not Found"))</f>
        <v/>
      </c>
      <c r="G3168" s="25" t="str">
        <f>IF(表1[[#This Row],[No Seri]]="","",表1[[#This Row],[Deskripsi Barang]]+表1[[#This Row],[Kuantitas]]-表1[[#This Row],[Satuan]])</f>
        <v/>
      </c>
      <c r="H3168" s="28"/>
      <c r="I3168" s="25" t="str">
        <f>IF(表1[[#This Row],[Tgl NPBG]]&gt;表1[[#This Row],[Peminta]],表1[[#This Row],[Tgl NPBG]]-表1[[#This Row],[Peminta]],"")</f>
        <v/>
      </c>
      <c r="J3168" s="31"/>
    </row>
    <row r="3169" s="12" customFormat="1" customHeight="1" spans="2:10">
      <c r="B3169" s="25"/>
      <c r="C3169" s="25"/>
      <c r="D3169" s="26" t="str" cm="1">
        <f t="array" ref="D3169">IF(C3169="","",IFERROR(INDEX(STPP!$D$6:$D$4207,MATCH(C3169,STPP!$C$6:$C$4207,0)),"Not Found"))</f>
        <v/>
      </c>
      <c r="E3169" s="27" t="str" cm="1">
        <f t="array" ref="E3169">IF(C3169="","",IFERROR(INDEX(STPP!$E$6:$E$4207,MATCH(C3169,STPP!$C$6:$C$4207,0)),"Not Found"))</f>
        <v/>
      </c>
      <c r="F3169" s="27" t="str" cm="1">
        <f t="array" ref="F3169">IF(C3169="","",IFERROR(INDEX(STPP!$F$6:$F$4207,MATCH(C3169,STPP!$C$6:$C$4207,0)),"Not Found"))</f>
        <v/>
      </c>
      <c r="G3169" s="25" t="str">
        <f>IF(表1[[#This Row],[No Seri]]="","",表1[[#This Row],[Deskripsi Barang]]+表1[[#This Row],[Kuantitas]]-表1[[#This Row],[Satuan]])</f>
        <v/>
      </c>
      <c r="H3169" s="28"/>
      <c r="I3169" s="25" t="str">
        <f>IF(表1[[#This Row],[Tgl NPBG]]&gt;表1[[#This Row],[Peminta]],表1[[#This Row],[Tgl NPBG]]-表1[[#This Row],[Peminta]],"")</f>
        <v/>
      </c>
      <c r="J3169" s="31"/>
    </row>
    <row r="3170" s="12" customFormat="1" customHeight="1" spans="2:10">
      <c r="B3170" s="25"/>
      <c r="C3170" s="25"/>
      <c r="D3170" s="26" t="str" cm="1">
        <f t="array" ref="D3170">IF(C3170="","",IFERROR(INDEX(STPP!$D$6:$D$4207,MATCH(C3170,STPP!$C$6:$C$4207,0)),"Not Found"))</f>
        <v/>
      </c>
      <c r="E3170" s="27" t="str" cm="1">
        <f t="array" ref="E3170">IF(C3170="","",IFERROR(INDEX(STPP!$E$6:$E$4207,MATCH(C3170,STPP!$C$6:$C$4207,0)),"Not Found"))</f>
        <v/>
      </c>
      <c r="F3170" s="27" t="str" cm="1">
        <f t="array" ref="F3170">IF(C3170="","",IFERROR(INDEX(STPP!$F$6:$F$4207,MATCH(C3170,STPP!$C$6:$C$4207,0)),"Not Found"))</f>
        <v/>
      </c>
      <c r="G3170" s="25" t="str">
        <f>IF(表1[[#This Row],[No Seri]]="","",表1[[#This Row],[Deskripsi Barang]]+表1[[#This Row],[Kuantitas]]-表1[[#This Row],[Satuan]])</f>
        <v/>
      </c>
      <c r="H3170" s="28"/>
      <c r="I3170" s="25" t="str">
        <f>IF(表1[[#This Row],[Tgl NPBG]]&gt;表1[[#This Row],[Peminta]],表1[[#This Row],[Tgl NPBG]]-表1[[#This Row],[Peminta]],"")</f>
        <v/>
      </c>
      <c r="J3170" s="31"/>
    </row>
    <row r="3171" s="12" customFormat="1" customHeight="1" spans="2:10">
      <c r="B3171" s="25"/>
      <c r="C3171" s="25"/>
      <c r="D3171" s="26" t="str" cm="1">
        <f t="array" ref="D3171">IF(C3171="","",IFERROR(INDEX(STPP!$D$6:$D$4207,MATCH(C3171,STPP!$C$6:$C$4207,0)),"Not Found"))</f>
        <v/>
      </c>
      <c r="E3171" s="27" t="str" cm="1">
        <f t="array" ref="E3171">IF(C3171="","",IFERROR(INDEX(STPP!$E$6:$E$4207,MATCH(C3171,STPP!$C$6:$C$4207,0)),"Not Found"))</f>
        <v/>
      </c>
      <c r="F3171" s="27" t="str" cm="1">
        <f t="array" ref="F3171">IF(C3171="","",IFERROR(INDEX(STPP!$F$6:$F$4207,MATCH(C3171,STPP!$C$6:$C$4207,0)),"Not Found"))</f>
        <v/>
      </c>
      <c r="G3171" s="25" t="str">
        <f>IF(表1[[#This Row],[No Seri]]="","",表1[[#This Row],[Deskripsi Barang]]+表1[[#This Row],[Kuantitas]]-表1[[#This Row],[Satuan]])</f>
        <v/>
      </c>
      <c r="H3171" s="28"/>
      <c r="I3171" s="25" t="str">
        <f>IF(表1[[#This Row],[Tgl NPBG]]&gt;表1[[#This Row],[Peminta]],表1[[#This Row],[Tgl NPBG]]-表1[[#This Row],[Peminta]],"")</f>
        <v/>
      </c>
      <c r="J3171" s="31"/>
    </row>
    <row r="3172" s="12" customFormat="1" customHeight="1" spans="2:10">
      <c r="B3172" s="25"/>
      <c r="C3172" s="25"/>
      <c r="D3172" s="26" t="str" cm="1">
        <f t="array" ref="D3172">IF(C3172="","",IFERROR(INDEX(STPP!$D$6:$D$4207,MATCH(C3172,STPP!$C$6:$C$4207,0)),"Not Found"))</f>
        <v/>
      </c>
      <c r="E3172" s="27" t="str" cm="1">
        <f t="array" ref="E3172">IF(C3172="","",IFERROR(INDEX(STPP!$E$6:$E$4207,MATCH(C3172,STPP!$C$6:$C$4207,0)),"Not Found"))</f>
        <v/>
      </c>
      <c r="F3172" s="27" t="str" cm="1">
        <f t="array" ref="F3172">IF(C3172="","",IFERROR(INDEX(STPP!$F$6:$F$4207,MATCH(C3172,STPP!$C$6:$C$4207,0)),"Not Found"))</f>
        <v/>
      </c>
      <c r="G3172" s="25" t="str">
        <f>IF(表1[[#This Row],[No Seri]]="","",表1[[#This Row],[Deskripsi Barang]]+表1[[#This Row],[Kuantitas]]-表1[[#This Row],[Satuan]])</f>
        <v/>
      </c>
      <c r="H3172" s="28"/>
      <c r="I3172" s="25" t="str">
        <f>IF(表1[[#This Row],[Tgl NPBG]]&gt;表1[[#This Row],[Peminta]],表1[[#This Row],[Tgl NPBG]]-表1[[#This Row],[Peminta]],"")</f>
        <v/>
      </c>
      <c r="J3172" s="31"/>
    </row>
    <row r="3173" s="12" customFormat="1" customHeight="1" spans="2:10">
      <c r="B3173" s="25"/>
      <c r="C3173" s="25"/>
      <c r="D3173" s="26" t="str" cm="1">
        <f t="array" ref="D3173">IF(C3173="","",IFERROR(INDEX(STPP!$D$6:$D$4207,MATCH(C3173,STPP!$C$6:$C$4207,0)),"Not Found"))</f>
        <v/>
      </c>
      <c r="E3173" s="27" t="str" cm="1">
        <f t="array" ref="E3173">IF(C3173="","",IFERROR(INDEX(STPP!$E$6:$E$4207,MATCH(C3173,STPP!$C$6:$C$4207,0)),"Not Found"))</f>
        <v/>
      </c>
      <c r="F3173" s="27" t="str" cm="1">
        <f t="array" ref="F3173">IF(C3173="","",IFERROR(INDEX(STPP!$F$6:$F$4207,MATCH(C3173,STPP!$C$6:$C$4207,0)),"Not Found"))</f>
        <v/>
      </c>
      <c r="G3173" s="25" t="str">
        <f>IF(表1[[#This Row],[No Seri]]="","",表1[[#This Row],[Deskripsi Barang]]+表1[[#This Row],[Kuantitas]]-表1[[#This Row],[Satuan]])</f>
        <v/>
      </c>
      <c r="H3173" s="28"/>
      <c r="I3173" s="25" t="str">
        <f>IF(表1[[#This Row],[Tgl NPBG]]&gt;表1[[#This Row],[Peminta]],表1[[#This Row],[Tgl NPBG]]-表1[[#This Row],[Peminta]],"")</f>
        <v/>
      </c>
      <c r="J3173" s="31"/>
    </row>
    <row r="3174" s="12" customFormat="1" customHeight="1" spans="2:10">
      <c r="B3174" s="25"/>
      <c r="C3174" s="25"/>
      <c r="D3174" s="26" t="str" cm="1">
        <f t="array" ref="D3174">IF(C3174="","",IFERROR(INDEX(STPP!$D$6:$D$4207,MATCH(C3174,STPP!$C$6:$C$4207,0)),"Not Found"))</f>
        <v/>
      </c>
      <c r="E3174" s="27" t="str" cm="1">
        <f t="array" ref="E3174">IF(C3174="","",IFERROR(INDEX(STPP!$E$6:$E$4207,MATCH(C3174,STPP!$C$6:$C$4207,0)),"Not Found"))</f>
        <v/>
      </c>
      <c r="F3174" s="27" t="str" cm="1">
        <f t="array" ref="F3174">IF(C3174="","",IFERROR(INDEX(STPP!$F$6:$F$4207,MATCH(C3174,STPP!$C$6:$C$4207,0)),"Not Found"))</f>
        <v/>
      </c>
      <c r="G3174" s="25" t="str">
        <f>IF(表1[[#This Row],[No Seri]]="","",表1[[#This Row],[Deskripsi Barang]]+表1[[#This Row],[Kuantitas]]-表1[[#This Row],[Satuan]])</f>
        <v/>
      </c>
      <c r="H3174" s="28"/>
      <c r="I3174" s="25" t="str">
        <f>IF(表1[[#This Row],[Tgl NPBG]]&gt;表1[[#This Row],[Peminta]],表1[[#This Row],[Tgl NPBG]]-表1[[#This Row],[Peminta]],"")</f>
        <v/>
      </c>
      <c r="J3174" s="31"/>
    </row>
    <row r="3175" s="12" customFormat="1" customHeight="1" spans="2:10">
      <c r="B3175" s="25"/>
      <c r="C3175" s="25"/>
      <c r="D3175" s="26" t="str" cm="1">
        <f t="array" ref="D3175">IF(C3175="","",IFERROR(INDEX(STPP!$D$6:$D$4207,MATCH(C3175,STPP!$C$6:$C$4207,0)),"Not Found"))</f>
        <v/>
      </c>
      <c r="E3175" s="27" t="str" cm="1">
        <f t="array" ref="E3175">IF(C3175="","",IFERROR(INDEX(STPP!$E$6:$E$4207,MATCH(C3175,STPP!$C$6:$C$4207,0)),"Not Found"))</f>
        <v/>
      </c>
      <c r="F3175" s="27" t="str" cm="1">
        <f t="array" ref="F3175">IF(C3175="","",IFERROR(INDEX(STPP!$F$6:$F$4207,MATCH(C3175,STPP!$C$6:$C$4207,0)),"Not Found"))</f>
        <v/>
      </c>
      <c r="G3175" s="25" t="str">
        <f>IF(表1[[#This Row],[No Seri]]="","",表1[[#This Row],[Deskripsi Barang]]+表1[[#This Row],[Kuantitas]]-表1[[#This Row],[Satuan]])</f>
        <v/>
      </c>
      <c r="H3175" s="28"/>
      <c r="I3175" s="25" t="str">
        <f>IF(表1[[#This Row],[Tgl NPBG]]&gt;表1[[#This Row],[Peminta]],表1[[#This Row],[Tgl NPBG]]-表1[[#This Row],[Peminta]],"")</f>
        <v/>
      </c>
      <c r="J3175" s="31"/>
    </row>
    <row r="3176" s="12" customFormat="1" customHeight="1" spans="2:10">
      <c r="B3176" s="25"/>
      <c r="C3176" s="25"/>
      <c r="D3176" s="26" t="str" cm="1">
        <f t="array" ref="D3176">IF(C3176="","",IFERROR(INDEX(STPP!$D$6:$D$4207,MATCH(C3176,STPP!$C$6:$C$4207,0)),"Not Found"))</f>
        <v/>
      </c>
      <c r="E3176" s="27" t="str" cm="1">
        <f t="array" ref="E3176">IF(C3176="","",IFERROR(INDEX(STPP!$E$6:$E$4207,MATCH(C3176,STPP!$C$6:$C$4207,0)),"Not Found"))</f>
        <v/>
      </c>
      <c r="F3176" s="27" t="str" cm="1">
        <f t="array" ref="F3176">IF(C3176="","",IFERROR(INDEX(STPP!$F$6:$F$4207,MATCH(C3176,STPP!$C$6:$C$4207,0)),"Not Found"))</f>
        <v/>
      </c>
      <c r="G3176" s="25" t="str">
        <f>IF(表1[[#This Row],[No Seri]]="","",表1[[#This Row],[Deskripsi Barang]]+表1[[#This Row],[Kuantitas]]-表1[[#This Row],[Satuan]])</f>
        <v/>
      </c>
      <c r="H3176" s="28"/>
      <c r="I3176" s="25" t="str">
        <f>IF(表1[[#This Row],[Tgl NPBG]]&gt;表1[[#This Row],[Peminta]],表1[[#This Row],[Tgl NPBG]]-表1[[#This Row],[Peminta]],"")</f>
        <v/>
      </c>
      <c r="J3176" s="31"/>
    </row>
    <row r="3177" s="12" customFormat="1" customHeight="1" spans="2:10">
      <c r="B3177" s="25"/>
      <c r="C3177" s="25"/>
      <c r="D3177" s="26" t="str" cm="1">
        <f t="array" ref="D3177">IF(C3177="","",IFERROR(INDEX(STPP!$D$6:$D$4207,MATCH(C3177,STPP!$C$6:$C$4207,0)),"Not Found"))</f>
        <v/>
      </c>
      <c r="E3177" s="27" t="str" cm="1">
        <f t="array" ref="E3177">IF(C3177="","",IFERROR(INDEX(STPP!$E$6:$E$4207,MATCH(C3177,STPP!$C$6:$C$4207,0)),"Not Found"))</f>
        <v/>
      </c>
      <c r="F3177" s="27" t="str" cm="1">
        <f t="array" ref="F3177">IF(C3177="","",IFERROR(INDEX(STPP!$F$6:$F$4207,MATCH(C3177,STPP!$C$6:$C$4207,0)),"Not Found"))</f>
        <v/>
      </c>
      <c r="G3177" s="25" t="str">
        <f>IF(表1[[#This Row],[No Seri]]="","",表1[[#This Row],[Deskripsi Barang]]+表1[[#This Row],[Kuantitas]]-表1[[#This Row],[Satuan]])</f>
        <v/>
      </c>
      <c r="H3177" s="28"/>
      <c r="I3177" s="25" t="str">
        <f>IF(表1[[#This Row],[Tgl NPBG]]&gt;表1[[#This Row],[Peminta]],表1[[#This Row],[Tgl NPBG]]-表1[[#This Row],[Peminta]],"")</f>
        <v/>
      </c>
      <c r="J3177" s="31"/>
    </row>
    <row r="3178" s="12" customFormat="1" customHeight="1" spans="2:10">
      <c r="B3178" s="25"/>
      <c r="C3178" s="25"/>
      <c r="D3178" s="26" t="str" cm="1">
        <f t="array" ref="D3178">IF(C3178="","",IFERROR(INDEX(STPP!$D$6:$D$4207,MATCH(C3178,STPP!$C$6:$C$4207,0)),"Not Found"))</f>
        <v/>
      </c>
      <c r="E3178" s="27" t="str" cm="1">
        <f t="array" ref="E3178">IF(C3178="","",IFERROR(INDEX(STPP!$E$6:$E$4207,MATCH(C3178,STPP!$C$6:$C$4207,0)),"Not Found"))</f>
        <v/>
      </c>
      <c r="F3178" s="27" t="str" cm="1">
        <f t="array" ref="F3178">IF(C3178="","",IFERROR(INDEX(STPP!$F$6:$F$4207,MATCH(C3178,STPP!$C$6:$C$4207,0)),"Not Found"))</f>
        <v/>
      </c>
      <c r="G3178" s="25" t="str">
        <f>IF(表1[[#This Row],[No Seri]]="","",表1[[#This Row],[Deskripsi Barang]]+表1[[#This Row],[Kuantitas]]-表1[[#This Row],[Satuan]])</f>
        <v/>
      </c>
      <c r="H3178" s="28"/>
      <c r="I3178" s="25" t="str">
        <f>IF(表1[[#This Row],[Tgl NPBG]]&gt;表1[[#This Row],[Peminta]],表1[[#This Row],[Tgl NPBG]]-表1[[#This Row],[Peminta]],"")</f>
        <v/>
      </c>
      <c r="J3178" s="31"/>
    </row>
    <row r="3179" s="12" customFormat="1" customHeight="1" spans="2:10">
      <c r="B3179" s="25"/>
      <c r="C3179" s="25"/>
      <c r="D3179" s="26" t="str" cm="1">
        <f t="array" ref="D3179">IF(C3179="","",IFERROR(INDEX(STPP!$D$6:$D$4207,MATCH(C3179,STPP!$C$6:$C$4207,0)),"Not Found"))</f>
        <v/>
      </c>
      <c r="E3179" s="27" t="str" cm="1">
        <f t="array" ref="E3179">IF(C3179="","",IFERROR(INDEX(STPP!$E$6:$E$4207,MATCH(C3179,STPP!$C$6:$C$4207,0)),"Not Found"))</f>
        <v/>
      </c>
      <c r="F3179" s="27" t="str" cm="1">
        <f t="array" ref="F3179">IF(C3179="","",IFERROR(INDEX(STPP!$F$6:$F$4207,MATCH(C3179,STPP!$C$6:$C$4207,0)),"Not Found"))</f>
        <v/>
      </c>
      <c r="G3179" s="25" t="str">
        <f>IF(表1[[#This Row],[No Seri]]="","",表1[[#This Row],[Deskripsi Barang]]+表1[[#This Row],[Kuantitas]]-表1[[#This Row],[Satuan]])</f>
        <v/>
      </c>
      <c r="H3179" s="28"/>
      <c r="I3179" s="25" t="str">
        <f>IF(表1[[#This Row],[Tgl NPBG]]&gt;表1[[#This Row],[Peminta]],表1[[#This Row],[Tgl NPBG]]-表1[[#This Row],[Peminta]],"")</f>
        <v/>
      </c>
      <c r="J3179" s="31"/>
    </row>
    <row r="3180" s="12" customFormat="1" customHeight="1" spans="2:10">
      <c r="B3180" s="25"/>
      <c r="C3180" s="25"/>
      <c r="D3180" s="26" t="str" cm="1">
        <f t="array" ref="D3180">IF(C3180="","",IFERROR(INDEX(STPP!$D$6:$D$4207,MATCH(C3180,STPP!$C$6:$C$4207,0)),"Not Found"))</f>
        <v/>
      </c>
      <c r="E3180" s="27" t="str" cm="1">
        <f t="array" ref="E3180">IF(C3180="","",IFERROR(INDEX(STPP!$E$6:$E$4207,MATCH(C3180,STPP!$C$6:$C$4207,0)),"Not Found"))</f>
        <v/>
      </c>
      <c r="F3180" s="27" t="str" cm="1">
        <f t="array" ref="F3180">IF(C3180="","",IFERROR(INDEX(STPP!$F$6:$F$4207,MATCH(C3180,STPP!$C$6:$C$4207,0)),"Not Found"))</f>
        <v/>
      </c>
      <c r="G3180" s="25" t="str">
        <f>IF(表1[[#This Row],[No Seri]]="","",表1[[#This Row],[Deskripsi Barang]]+表1[[#This Row],[Kuantitas]]-表1[[#This Row],[Satuan]])</f>
        <v/>
      </c>
      <c r="H3180" s="28"/>
      <c r="I3180" s="25" t="str">
        <f>IF(表1[[#This Row],[Tgl NPBG]]&gt;表1[[#This Row],[Peminta]],表1[[#This Row],[Tgl NPBG]]-表1[[#This Row],[Peminta]],"")</f>
        <v/>
      </c>
      <c r="J3180" s="31"/>
    </row>
    <row r="3181" s="12" customFormat="1" customHeight="1" spans="2:10">
      <c r="B3181" s="25"/>
      <c r="C3181" s="25"/>
      <c r="D3181" s="26" t="str" cm="1">
        <f t="array" ref="D3181">IF(C3181="","",IFERROR(INDEX(STPP!$D$6:$D$4207,MATCH(C3181,STPP!$C$6:$C$4207,0)),"Not Found"))</f>
        <v/>
      </c>
      <c r="E3181" s="27" t="str" cm="1">
        <f t="array" ref="E3181">IF(C3181="","",IFERROR(INDEX(STPP!$E$6:$E$4207,MATCH(C3181,STPP!$C$6:$C$4207,0)),"Not Found"))</f>
        <v/>
      </c>
      <c r="F3181" s="27" t="str" cm="1">
        <f t="array" ref="F3181">IF(C3181="","",IFERROR(INDEX(STPP!$F$6:$F$4207,MATCH(C3181,STPP!$C$6:$C$4207,0)),"Not Found"))</f>
        <v/>
      </c>
      <c r="G3181" s="25" t="str">
        <f>IF(表1[[#This Row],[No Seri]]="","",表1[[#This Row],[Deskripsi Barang]]+表1[[#This Row],[Kuantitas]]-表1[[#This Row],[Satuan]])</f>
        <v/>
      </c>
      <c r="H3181" s="28"/>
      <c r="I3181" s="25" t="str">
        <f>IF(表1[[#This Row],[Tgl NPBG]]&gt;表1[[#This Row],[Peminta]],表1[[#This Row],[Tgl NPBG]]-表1[[#This Row],[Peminta]],"")</f>
        <v/>
      </c>
      <c r="J3181" s="31"/>
    </row>
    <row r="3182" s="12" customFormat="1" customHeight="1" spans="2:10">
      <c r="B3182" s="25"/>
      <c r="C3182" s="25"/>
      <c r="D3182" s="26" t="str" cm="1">
        <f t="array" ref="D3182">IF(C3182="","",IFERROR(INDEX(STPP!$D$6:$D$4207,MATCH(C3182,STPP!$C$6:$C$4207,0)),"Not Found"))</f>
        <v/>
      </c>
      <c r="E3182" s="27" t="str" cm="1">
        <f t="array" ref="E3182">IF(C3182="","",IFERROR(INDEX(STPP!$E$6:$E$4207,MATCH(C3182,STPP!$C$6:$C$4207,0)),"Not Found"))</f>
        <v/>
      </c>
      <c r="F3182" s="27" t="str" cm="1">
        <f t="array" ref="F3182">IF(C3182="","",IFERROR(INDEX(STPP!$F$6:$F$4207,MATCH(C3182,STPP!$C$6:$C$4207,0)),"Not Found"))</f>
        <v/>
      </c>
      <c r="G3182" s="25" t="str">
        <f>IF(表1[[#This Row],[No Seri]]="","",表1[[#This Row],[Deskripsi Barang]]+表1[[#This Row],[Kuantitas]]-表1[[#This Row],[Satuan]])</f>
        <v/>
      </c>
      <c r="H3182" s="28"/>
      <c r="I3182" s="25" t="str">
        <f>IF(表1[[#This Row],[Tgl NPBG]]&gt;表1[[#This Row],[Peminta]],表1[[#This Row],[Tgl NPBG]]-表1[[#This Row],[Peminta]],"")</f>
        <v/>
      </c>
      <c r="J3182" s="31"/>
    </row>
    <row r="3183" s="12" customFormat="1" customHeight="1" spans="2:10">
      <c r="B3183" s="25"/>
      <c r="C3183" s="25"/>
      <c r="D3183" s="26" t="str" cm="1">
        <f t="array" ref="D3183">IF(C3183="","",IFERROR(INDEX(STPP!$D$6:$D$4207,MATCH(C3183,STPP!$C$6:$C$4207,0)),"Not Found"))</f>
        <v/>
      </c>
      <c r="E3183" s="27" t="str" cm="1">
        <f t="array" ref="E3183">IF(C3183="","",IFERROR(INDEX(STPP!$E$6:$E$4207,MATCH(C3183,STPP!$C$6:$C$4207,0)),"Not Found"))</f>
        <v/>
      </c>
      <c r="F3183" s="27" t="str" cm="1">
        <f t="array" ref="F3183">IF(C3183="","",IFERROR(INDEX(STPP!$F$6:$F$4207,MATCH(C3183,STPP!$C$6:$C$4207,0)),"Not Found"))</f>
        <v/>
      </c>
      <c r="G3183" s="25" t="str">
        <f>IF(表1[[#This Row],[No Seri]]="","",表1[[#This Row],[Deskripsi Barang]]+表1[[#This Row],[Kuantitas]]-表1[[#This Row],[Satuan]])</f>
        <v/>
      </c>
      <c r="H3183" s="28"/>
      <c r="I3183" s="25" t="str">
        <f>IF(表1[[#This Row],[Tgl NPBG]]&gt;表1[[#This Row],[Peminta]],表1[[#This Row],[Tgl NPBG]]-表1[[#This Row],[Peminta]],"")</f>
        <v/>
      </c>
      <c r="J3183" s="31"/>
    </row>
    <row r="3184" s="12" customFormat="1" customHeight="1" spans="2:10">
      <c r="B3184" s="25"/>
      <c r="C3184" s="25"/>
      <c r="D3184" s="26" t="str" cm="1">
        <f t="array" ref="D3184">IF(C3184="","",IFERROR(INDEX(STPP!$D$6:$D$4207,MATCH(C3184,STPP!$C$6:$C$4207,0)),"Not Found"))</f>
        <v/>
      </c>
      <c r="E3184" s="27" t="str" cm="1">
        <f t="array" ref="E3184">IF(C3184="","",IFERROR(INDEX(STPP!$E$6:$E$4207,MATCH(C3184,STPP!$C$6:$C$4207,0)),"Not Found"))</f>
        <v/>
      </c>
      <c r="F3184" s="27" t="str" cm="1">
        <f t="array" ref="F3184">IF(C3184="","",IFERROR(INDEX(STPP!$F$6:$F$4207,MATCH(C3184,STPP!$C$6:$C$4207,0)),"Not Found"))</f>
        <v/>
      </c>
      <c r="G3184" s="25" t="str">
        <f>IF(表1[[#This Row],[No Seri]]="","",表1[[#This Row],[Deskripsi Barang]]+表1[[#This Row],[Kuantitas]]-表1[[#This Row],[Satuan]])</f>
        <v/>
      </c>
      <c r="H3184" s="28"/>
      <c r="I3184" s="25" t="str">
        <f>IF(表1[[#This Row],[Tgl NPBG]]&gt;表1[[#This Row],[Peminta]],表1[[#This Row],[Tgl NPBG]]-表1[[#This Row],[Peminta]],"")</f>
        <v/>
      </c>
      <c r="J3184" s="31"/>
    </row>
    <row r="3185" s="12" customFormat="1" customHeight="1" spans="2:10">
      <c r="B3185" s="25"/>
      <c r="C3185" s="25"/>
      <c r="D3185" s="26" t="str" cm="1">
        <f t="array" ref="D3185">IF(C3185="","",IFERROR(INDEX(STPP!$D$6:$D$4207,MATCH(C3185,STPP!$C$6:$C$4207,0)),"Not Found"))</f>
        <v/>
      </c>
      <c r="E3185" s="27" t="str" cm="1">
        <f t="array" ref="E3185">IF(C3185="","",IFERROR(INDEX(STPP!$E$6:$E$4207,MATCH(C3185,STPP!$C$6:$C$4207,0)),"Not Found"))</f>
        <v/>
      </c>
      <c r="F3185" s="27" t="str" cm="1">
        <f t="array" ref="F3185">IF(C3185="","",IFERROR(INDEX(STPP!$F$6:$F$4207,MATCH(C3185,STPP!$C$6:$C$4207,0)),"Not Found"))</f>
        <v/>
      </c>
      <c r="G3185" s="25" t="str">
        <f>IF(表1[[#This Row],[No Seri]]="","",表1[[#This Row],[Deskripsi Barang]]+表1[[#This Row],[Kuantitas]]-表1[[#This Row],[Satuan]])</f>
        <v/>
      </c>
      <c r="H3185" s="28"/>
      <c r="I3185" s="25" t="str">
        <f>IF(表1[[#This Row],[Tgl NPBG]]&gt;表1[[#This Row],[Peminta]],表1[[#This Row],[Tgl NPBG]]-表1[[#This Row],[Peminta]],"")</f>
        <v/>
      </c>
      <c r="J3185" s="31"/>
    </row>
    <row r="3186" s="12" customFormat="1" customHeight="1" spans="2:10">
      <c r="B3186" s="25"/>
      <c r="C3186" s="25"/>
      <c r="D3186" s="26" t="str" cm="1">
        <f t="array" ref="D3186">IF(C3186="","",IFERROR(INDEX(STPP!$D$6:$D$4207,MATCH(C3186,STPP!$C$6:$C$4207,0)),"Not Found"))</f>
        <v/>
      </c>
      <c r="E3186" s="27" t="str" cm="1">
        <f t="array" ref="E3186">IF(C3186="","",IFERROR(INDEX(STPP!$E$6:$E$4207,MATCH(C3186,STPP!$C$6:$C$4207,0)),"Not Found"))</f>
        <v/>
      </c>
      <c r="F3186" s="27" t="str" cm="1">
        <f t="array" ref="F3186">IF(C3186="","",IFERROR(INDEX(STPP!$F$6:$F$4207,MATCH(C3186,STPP!$C$6:$C$4207,0)),"Not Found"))</f>
        <v/>
      </c>
      <c r="G3186" s="25" t="str">
        <f>IF(表1[[#This Row],[No Seri]]="","",表1[[#This Row],[Deskripsi Barang]]+表1[[#This Row],[Kuantitas]]-表1[[#This Row],[Satuan]])</f>
        <v/>
      </c>
      <c r="H3186" s="28"/>
      <c r="I3186" s="25" t="str">
        <f>IF(表1[[#This Row],[Tgl NPBG]]&gt;表1[[#This Row],[Peminta]],表1[[#This Row],[Tgl NPBG]]-表1[[#This Row],[Peminta]],"")</f>
        <v/>
      </c>
      <c r="J3186" s="31"/>
    </row>
    <row r="3187" s="12" customFormat="1" customHeight="1" spans="2:10">
      <c r="B3187" s="25"/>
      <c r="C3187" s="25"/>
      <c r="D3187" s="26" t="str" cm="1">
        <f t="array" ref="D3187">IF(C3187="","",IFERROR(INDEX(STPP!$D$6:$D$4207,MATCH(C3187,STPP!$C$6:$C$4207,0)),"Not Found"))</f>
        <v/>
      </c>
      <c r="E3187" s="27" t="str" cm="1">
        <f t="array" ref="E3187">IF(C3187="","",IFERROR(INDEX(STPP!$E$6:$E$4207,MATCH(C3187,STPP!$C$6:$C$4207,0)),"Not Found"))</f>
        <v/>
      </c>
      <c r="F3187" s="27" t="str" cm="1">
        <f t="array" ref="F3187">IF(C3187="","",IFERROR(INDEX(STPP!$F$6:$F$4207,MATCH(C3187,STPP!$C$6:$C$4207,0)),"Not Found"))</f>
        <v/>
      </c>
      <c r="G3187" s="25" t="str">
        <f>IF(表1[[#This Row],[No Seri]]="","",表1[[#This Row],[Deskripsi Barang]]+表1[[#This Row],[Kuantitas]]-表1[[#This Row],[Satuan]])</f>
        <v/>
      </c>
      <c r="H3187" s="28"/>
      <c r="I3187" s="25" t="str">
        <f>IF(表1[[#This Row],[Tgl NPBG]]&gt;表1[[#This Row],[Peminta]],表1[[#This Row],[Tgl NPBG]]-表1[[#This Row],[Peminta]],"")</f>
        <v/>
      </c>
      <c r="J3187" s="31"/>
    </row>
    <row r="3188" s="12" customFormat="1" customHeight="1" spans="2:10">
      <c r="B3188" s="25"/>
      <c r="C3188" s="25"/>
      <c r="D3188" s="26" t="str" cm="1">
        <f t="array" ref="D3188">IF(C3188="","",IFERROR(INDEX(STPP!$D$6:$D$4207,MATCH(C3188,STPP!$C$6:$C$4207,0)),"Not Found"))</f>
        <v/>
      </c>
      <c r="E3188" s="27" t="str" cm="1">
        <f t="array" ref="E3188">IF(C3188="","",IFERROR(INDEX(STPP!$E$6:$E$4207,MATCH(C3188,STPP!$C$6:$C$4207,0)),"Not Found"))</f>
        <v/>
      </c>
      <c r="F3188" s="27" t="str" cm="1">
        <f t="array" ref="F3188">IF(C3188="","",IFERROR(INDEX(STPP!$F$6:$F$4207,MATCH(C3188,STPP!$C$6:$C$4207,0)),"Not Found"))</f>
        <v/>
      </c>
      <c r="G3188" s="25" t="str">
        <f>IF(表1[[#This Row],[No Seri]]="","",表1[[#This Row],[Deskripsi Barang]]+表1[[#This Row],[Kuantitas]]-表1[[#This Row],[Satuan]])</f>
        <v/>
      </c>
      <c r="H3188" s="28"/>
      <c r="I3188" s="25" t="str">
        <f>IF(表1[[#This Row],[Tgl NPBG]]&gt;表1[[#This Row],[Peminta]],表1[[#This Row],[Tgl NPBG]]-表1[[#This Row],[Peminta]],"")</f>
        <v/>
      </c>
      <c r="J3188" s="31"/>
    </row>
    <row r="3189" s="12" customFormat="1" customHeight="1" spans="2:10">
      <c r="B3189" s="25"/>
      <c r="C3189" s="25"/>
      <c r="D3189" s="26" t="str" cm="1">
        <f t="array" ref="D3189">IF(C3189="","",IFERROR(INDEX(STPP!$D$6:$D$4207,MATCH(C3189,STPP!$C$6:$C$4207,0)),"Not Found"))</f>
        <v/>
      </c>
      <c r="E3189" s="27" t="str" cm="1">
        <f t="array" ref="E3189">IF(C3189="","",IFERROR(INDEX(STPP!$E$6:$E$4207,MATCH(C3189,STPP!$C$6:$C$4207,0)),"Not Found"))</f>
        <v/>
      </c>
      <c r="F3189" s="27" t="str" cm="1">
        <f t="array" ref="F3189">IF(C3189="","",IFERROR(INDEX(STPP!$F$6:$F$4207,MATCH(C3189,STPP!$C$6:$C$4207,0)),"Not Found"))</f>
        <v/>
      </c>
      <c r="G3189" s="25" t="str">
        <f>IF(表1[[#This Row],[No Seri]]="","",表1[[#This Row],[Deskripsi Barang]]+表1[[#This Row],[Kuantitas]]-表1[[#This Row],[Satuan]])</f>
        <v/>
      </c>
      <c r="H3189" s="28"/>
      <c r="I3189" s="25" t="str">
        <f>IF(表1[[#This Row],[Tgl NPBG]]&gt;表1[[#This Row],[Peminta]],表1[[#This Row],[Tgl NPBG]]-表1[[#This Row],[Peminta]],"")</f>
        <v/>
      </c>
      <c r="J3189" s="31"/>
    </row>
    <row r="3190" s="12" customFormat="1" customHeight="1" spans="2:10">
      <c r="B3190" s="25"/>
      <c r="C3190" s="25"/>
      <c r="D3190" s="26" t="str" cm="1">
        <f t="array" ref="D3190">IF(C3190="","",IFERROR(INDEX(STPP!$D$6:$D$4207,MATCH(C3190,STPP!$C$6:$C$4207,0)),"Not Found"))</f>
        <v/>
      </c>
      <c r="E3190" s="27" t="str" cm="1">
        <f t="array" ref="E3190">IF(C3190="","",IFERROR(INDEX(STPP!$E$6:$E$4207,MATCH(C3190,STPP!$C$6:$C$4207,0)),"Not Found"))</f>
        <v/>
      </c>
      <c r="F3190" s="27" t="str" cm="1">
        <f t="array" ref="F3190">IF(C3190="","",IFERROR(INDEX(STPP!$F$6:$F$4207,MATCH(C3190,STPP!$C$6:$C$4207,0)),"Not Found"))</f>
        <v/>
      </c>
      <c r="G3190" s="25" t="str">
        <f>IF(表1[[#This Row],[No Seri]]="","",表1[[#This Row],[Deskripsi Barang]]+表1[[#This Row],[Kuantitas]]-表1[[#This Row],[Satuan]])</f>
        <v/>
      </c>
      <c r="H3190" s="28"/>
      <c r="I3190" s="25" t="str">
        <f>IF(表1[[#This Row],[Tgl NPBG]]&gt;表1[[#This Row],[Peminta]],表1[[#This Row],[Tgl NPBG]]-表1[[#This Row],[Peminta]],"")</f>
        <v/>
      </c>
      <c r="J3190" s="31"/>
    </row>
    <row r="3191" s="12" customFormat="1" customHeight="1" spans="2:10">
      <c r="B3191" s="25"/>
      <c r="C3191" s="25"/>
      <c r="D3191" s="26" t="str" cm="1">
        <f t="array" ref="D3191">IF(C3191="","",IFERROR(INDEX(STPP!$D$6:$D$4207,MATCH(C3191,STPP!$C$6:$C$4207,0)),"Not Found"))</f>
        <v/>
      </c>
      <c r="E3191" s="27" t="str" cm="1">
        <f t="array" ref="E3191">IF(C3191="","",IFERROR(INDEX(STPP!$E$6:$E$4207,MATCH(C3191,STPP!$C$6:$C$4207,0)),"Not Found"))</f>
        <v/>
      </c>
      <c r="F3191" s="27" t="str" cm="1">
        <f t="array" ref="F3191">IF(C3191="","",IFERROR(INDEX(STPP!$F$6:$F$4207,MATCH(C3191,STPP!$C$6:$C$4207,0)),"Not Found"))</f>
        <v/>
      </c>
      <c r="G3191" s="25" t="str">
        <f>IF(表1[[#This Row],[No Seri]]="","",表1[[#This Row],[Deskripsi Barang]]+表1[[#This Row],[Kuantitas]]-表1[[#This Row],[Satuan]])</f>
        <v/>
      </c>
      <c r="H3191" s="28"/>
      <c r="I3191" s="25" t="str">
        <f>IF(表1[[#This Row],[Tgl NPBG]]&gt;表1[[#This Row],[Peminta]],表1[[#This Row],[Tgl NPBG]]-表1[[#This Row],[Peminta]],"")</f>
        <v/>
      </c>
      <c r="J3191" s="31"/>
    </row>
    <row r="3192" s="12" customFormat="1" customHeight="1" spans="2:10">
      <c r="B3192" s="25"/>
      <c r="C3192" s="25"/>
      <c r="D3192" s="26" t="str" cm="1">
        <f t="array" ref="D3192">IF(C3192="","",IFERROR(INDEX(STPP!$D$6:$D$4207,MATCH(C3192,STPP!$C$6:$C$4207,0)),"Not Found"))</f>
        <v/>
      </c>
      <c r="E3192" s="27" t="str" cm="1">
        <f t="array" ref="E3192">IF(C3192="","",IFERROR(INDEX(STPP!$E$6:$E$4207,MATCH(C3192,STPP!$C$6:$C$4207,0)),"Not Found"))</f>
        <v/>
      </c>
      <c r="F3192" s="27" t="str" cm="1">
        <f t="array" ref="F3192">IF(C3192="","",IFERROR(INDEX(STPP!$F$6:$F$4207,MATCH(C3192,STPP!$C$6:$C$4207,0)),"Not Found"))</f>
        <v/>
      </c>
      <c r="G3192" s="25" t="str">
        <f>IF(表1[[#This Row],[No Seri]]="","",表1[[#This Row],[Deskripsi Barang]]+表1[[#This Row],[Kuantitas]]-表1[[#This Row],[Satuan]])</f>
        <v/>
      </c>
      <c r="H3192" s="28"/>
      <c r="I3192" s="25" t="str">
        <f>IF(表1[[#This Row],[Tgl NPBG]]&gt;表1[[#This Row],[Peminta]],表1[[#This Row],[Tgl NPBG]]-表1[[#This Row],[Peminta]],"")</f>
        <v/>
      </c>
      <c r="J3192" s="31"/>
    </row>
    <row r="3193" s="12" customFormat="1" customHeight="1" spans="2:10">
      <c r="B3193" s="25"/>
      <c r="C3193" s="25"/>
      <c r="D3193" s="26" t="str" cm="1">
        <f t="array" ref="D3193">IF(C3193="","",IFERROR(INDEX(STPP!$D$6:$D$4207,MATCH(C3193,STPP!$C$6:$C$4207,0)),"Not Found"))</f>
        <v/>
      </c>
      <c r="E3193" s="27" t="str" cm="1">
        <f t="array" ref="E3193">IF(C3193="","",IFERROR(INDEX(STPP!$E$6:$E$4207,MATCH(C3193,STPP!$C$6:$C$4207,0)),"Not Found"))</f>
        <v/>
      </c>
      <c r="F3193" s="27" t="str" cm="1">
        <f t="array" ref="F3193">IF(C3193="","",IFERROR(INDEX(STPP!$F$6:$F$4207,MATCH(C3193,STPP!$C$6:$C$4207,0)),"Not Found"))</f>
        <v/>
      </c>
      <c r="G3193" s="25" t="str">
        <f>IF(表1[[#This Row],[No Seri]]="","",表1[[#This Row],[Deskripsi Barang]]+表1[[#This Row],[Kuantitas]]-表1[[#This Row],[Satuan]])</f>
        <v/>
      </c>
      <c r="H3193" s="28"/>
      <c r="I3193" s="25" t="str">
        <f>IF(表1[[#This Row],[Tgl NPBG]]&gt;表1[[#This Row],[Peminta]],表1[[#This Row],[Tgl NPBG]]-表1[[#This Row],[Peminta]],"")</f>
        <v/>
      </c>
      <c r="J3193" s="31"/>
    </row>
    <row r="3194" s="12" customFormat="1" customHeight="1" spans="2:10">
      <c r="B3194" s="25"/>
      <c r="C3194" s="25"/>
      <c r="D3194" s="26" t="str" cm="1">
        <f t="array" ref="D3194">IF(C3194="","",IFERROR(INDEX(STPP!$D$6:$D$4207,MATCH(C3194,STPP!$C$6:$C$4207,0)),"Not Found"))</f>
        <v/>
      </c>
      <c r="E3194" s="27" t="str" cm="1">
        <f t="array" ref="E3194">IF(C3194="","",IFERROR(INDEX(STPP!$E$6:$E$4207,MATCH(C3194,STPP!$C$6:$C$4207,0)),"Not Found"))</f>
        <v/>
      </c>
      <c r="F3194" s="27" t="str" cm="1">
        <f t="array" ref="F3194">IF(C3194="","",IFERROR(INDEX(STPP!$F$6:$F$4207,MATCH(C3194,STPP!$C$6:$C$4207,0)),"Not Found"))</f>
        <v/>
      </c>
      <c r="G3194" s="25" t="str">
        <f>IF(表1[[#This Row],[No Seri]]="","",表1[[#This Row],[Deskripsi Barang]]+表1[[#This Row],[Kuantitas]]-表1[[#This Row],[Satuan]])</f>
        <v/>
      </c>
      <c r="H3194" s="28"/>
      <c r="I3194" s="25" t="str">
        <f>IF(表1[[#This Row],[Tgl NPBG]]&gt;表1[[#This Row],[Peminta]],表1[[#This Row],[Tgl NPBG]]-表1[[#This Row],[Peminta]],"")</f>
        <v/>
      </c>
      <c r="J3194" s="31"/>
    </row>
    <row r="3195" s="12" customFormat="1" customHeight="1" spans="2:10">
      <c r="B3195" s="25"/>
      <c r="C3195" s="25"/>
      <c r="D3195" s="26" t="str" cm="1">
        <f t="array" ref="D3195">IF(C3195="","",IFERROR(INDEX(STPP!$D$6:$D$4207,MATCH(C3195,STPP!$C$6:$C$4207,0)),"Not Found"))</f>
        <v/>
      </c>
      <c r="E3195" s="27" t="str" cm="1">
        <f t="array" ref="E3195">IF(C3195="","",IFERROR(INDEX(STPP!$E$6:$E$4207,MATCH(C3195,STPP!$C$6:$C$4207,0)),"Not Found"))</f>
        <v/>
      </c>
      <c r="F3195" s="27" t="str" cm="1">
        <f t="array" ref="F3195">IF(C3195="","",IFERROR(INDEX(STPP!$F$6:$F$4207,MATCH(C3195,STPP!$C$6:$C$4207,0)),"Not Found"))</f>
        <v/>
      </c>
      <c r="G3195" s="25" t="str">
        <f>IF(表1[[#This Row],[No Seri]]="","",表1[[#This Row],[Deskripsi Barang]]+表1[[#This Row],[Kuantitas]]-表1[[#This Row],[Satuan]])</f>
        <v/>
      </c>
      <c r="H3195" s="28"/>
      <c r="I3195" s="25" t="str">
        <f>IF(表1[[#This Row],[Tgl NPBG]]&gt;表1[[#This Row],[Peminta]],表1[[#This Row],[Tgl NPBG]]-表1[[#This Row],[Peminta]],"")</f>
        <v/>
      </c>
      <c r="J3195" s="31"/>
    </row>
    <row r="3196" s="12" customFormat="1" customHeight="1" spans="2:10">
      <c r="B3196" s="25"/>
      <c r="C3196" s="25"/>
      <c r="D3196" s="26" t="str" cm="1">
        <f t="array" ref="D3196">IF(C3196="","",IFERROR(INDEX(STPP!$D$6:$D$4207,MATCH(C3196,STPP!$C$6:$C$4207,0)),"Not Found"))</f>
        <v/>
      </c>
      <c r="E3196" s="27" t="str" cm="1">
        <f t="array" ref="E3196">IF(C3196="","",IFERROR(INDEX(STPP!$E$6:$E$4207,MATCH(C3196,STPP!$C$6:$C$4207,0)),"Not Found"))</f>
        <v/>
      </c>
      <c r="F3196" s="27" t="str" cm="1">
        <f t="array" ref="F3196">IF(C3196="","",IFERROR(INDEX(STPP!$F$6:$F$4207,MATCH(C3196,STPP!$C$6:$C$4207,0)),"Not Found"))</f>
        <v/>
      </c>
      <c r="G3196" s="25" t="str">
        <f>IF(表1[[#This Row],[No Seri]]="","",表1[[#This Row],[Deskripsi Barang]]+表1[[#This Row],[Kuantitas]]-表1[[#This Row],[Satuan]])</f>
        <v/>
      </c>
      <c r="H3196" s="28"/>
      <c r="I3196" s="25" t="str">
        <f>IF(表1[[#This Row],[Tgl NPBG]]&gt;表1[[#This Row],[Peminta]],表1[[#This Row],[Tgl NPBG]]-表1[[#This Row],[Peminta]],"")</f>
        <v/>
      </c>
      <c r="J3196" s="31"/>
    </row>
    <row r="3197" s="12" customFormat="1" customHeight="1" spans="2:10">
      <c r="B3197" s="25"/>
      <c r="C3197" s="25"/>
      <c r="D3197" s="26" t="str" cm="1">
        <f t="array" ref="D3197">IF(C3197="","",IFERROR(INDEX(STPP!$D$6:$D$4207,MATCH(C3197,STPP!$C$6:$C$4207,0)),"Not Found"))</f>
        <v/>
      </c>
      <c r="E3197" s="27" t="str" cm="1">
        <f t="array" ref="E3197">IF(C3197="","",IFERROR(INDEX(STPP!$E$6:$E$4207,MATCH(C3197,STPP!$C$6:$C$4207,0)),"Not Found"))</f>
        <v/>
      </c>
      <c r="F3197" s="27" t="str" cm="1">
        <f t="array" ref="F3197">IF(C3197="","",IFERROR(INDEX(STPP!$F$6:$F$4207,MATCH(C3197,STPP!$C$6:$C$4207,0)),"Not Found"))</f>
        <v/>
      </c>
      <c r="G3197" s="25" t="str">
        <f>IF(表1[[#This Row],[No Seri]]="","",表1[[#This Row],[Deskripsi Barang]]+表1[[#This Row],[Kuantitas]]-表1[[#This Row],[Satuan]])</f>
        <v/>
      </c>
      <c r="H3197" s="28"/>
      <c r="I3197" s="25" t="str">
        <f>IF(表1[[#This Row],[Tgl NPBG]]&gt;表1[[#This Row],[Peminta]],表1[[#This Row],[Tgl NPBG]]-表1[[#This Row],[Peminta]],"")</f>
        <v/>
      </c>
      <c r="J3197" s="31"/>
    </row>
    <row r="3198" s="12" customFormat="1" customHeight="1" spans="2:10">
      <c r="B3198" s="25"/>
      <c r="C3198" s="25"/>
      <c r="D3198" s="26" t="str" cm="1">
        <f t="array" ref="D3198">IF(C3198="","",IFERROR(INDEX(STPP!$D$6:$D$4207,MATCH(C3198,STPP!$C$6:$C$4207,0)),"Not Found"))</f>
        <v/>
      </c>
      <c r="E3198" s="27" t="str" cm="1">
        <f t="array" ref="E3198">IF(C3198="","",IFERROR(INDEX(STPP!$E$6:$E$4207,MATCH(C3198,STPP!$C$6:$C$4207,0)),"Not Found"))</f>
        <v/>
      </c>
      <c r="F3198" s="27" t="str" cm="1">
        <f t="array" ref="F3198">IF(C3198="","",IFERROR(INDEX(STPP!$F$6:$F$4207,MATCH(C3198,STPP!$C$6:$C$4207,0)),"Not Found"))</f>
        <v/>
      </c>
      <c r="G3198" s="25" t="str">
        <f>IF(表1[[#This Row],[No Seri]]="","",表1[[#This Row],[Deskripsi Barang]]+表1[[#This Row],[Kuantitas]]-表1[[#This Row],[Satuan]])</f>
        <v/>
      </c>
      <c r="H3198" s="28"/>
      <c r="I3198" s="25" t="str">
        <f>IF(表1[[#This Row],[Tgl NPBG]]&gt;表1[[#This Row],[Peminta]],表1[[#This Row],[Tgl NPBG]]-表1[[#This Row],[Peminta]],"")</f>
        <v/>
      </c>
      <c r="J3198" s="31"/>
    </row>
    <row r="3199" s="12" customFormat="1" customHeight="1" spans="2:10">
      <c r="B3199" s="25"/>
      <c r="C3199" s="25"/>
      <c r="D3199" s="26" t="str" cm="1">
        <f t="array" ref="D3199">IF(C3199="","",IFERROR(INDEX(STPP!$D$6:$D$4207,MATCH(C3199,STPP!$C$6:$C$4207,0)),"Not Found"))</f>
        <v/>
      </c>
      <c r="E3199" s="27" t="str" cm="1">
        <f t="array" ref="E3199">IF(C3199="","",IFERROR(INDEX(STPP!$E$6:$E$4207,MATCH(C3199,STPP!$C$6:$C$4207,0)),"Not Found"))</f>
        <v/>
      </c>
      <c r="F3199" s="27" t="str" cm="1">
        <f t="array" ref="F3199">IF(C3199="","",IFERROR(INDEX(STPP!$F$6:$F$4207,MATCH(C3199,STPP!$C$6:$C$4207,0)),"Not Found"))</f>
        <v/>
      </c>
      <c r="G3199" s="25" t="str">
        <f>IF(表1[[#This Row],[No Seri]]="","",表1[[#This Row],[Deskripsi Barang]]+表1[[#This Row],[Kuantitas]]-表1[[#This Row],[Satuan]])</f>
        <v/>
      </c>
      <c r="H3199" s="28"/>
      <c r="I3199" s="25" t="str">
        <f>IF(表1[[#This Row],[Tgl NPBG]]&gt;表1[[#This Row],[Peminta]],表1[[#This Row],[Tgl NPBG]]-表1[[#This Row],[Peminta]],"")</f>
        <v/>
      </c>
      <c r="J3199" s="31"/>
    </row>
    <row r="3200" s="12" customFormat="1" customHeight="1" spans="2:10">
      <c r="B3200" s="25"/>
      <c r="C3200" s="25"/>
      <c r="D3200" s="26" t="str" cm="1">
        <f t="array" ref="D3200">IF(C3200="","",IFERROR(INDEX(STPP!$D$6:$D$4207,MATCH(C3200,STPP!$C$6:$C$4207,0)),"Not Found"))</f>
        <v/>
      </c>
      <c r="E3200" s="27" t="str" cm="1">
        <f t="array" ref="E3200">IF(C3200="","",IFERROR(INDEX(STPP!$E$6:$E$4207,MATCH(C3200,STPP!$C$6:$C$4207,0)),"Not Found"))</f>
        <v/>
      </c>
      <c r="F3200" s="27" t="str" cm="1">
        <f t="array" ref="F3200">IF(C3200="","",IFERROR(INDEX(STPP!$F$6:$F$4207,MATCH(C3200,STPP!$C$6:$C$4207,0)),"Not Found"))</f>
        <v/>
      </c>
      <c r="G3200" s="25" t="str">
        <f>IF(表1[[#This Row],[No Seri]]="","",表1[[#This Row],[Deskripsi Barang]]+表1[[#This Row],[Kuantitas]]-表1[[#This Row],[Satuan]])</f>
        <v/>
      </c>
      <c r="H3200" s="28"/>
      <c r="I3200" s="25" t="str">
        <f>IF(表1[[#This Row],[Tgl NPBG]]&gt;表1[[#This Row],[Peminta]],表1[[#This Row],[Tgl NPBG]]-表1[[#This Row],[Peminta]],"")</f>
        <v/>
      </c>
      <c r="J3200" s="31"/>
    </row>
    <row r="3201" s="12" customFormat="1" customHeight="1" spans="2:10">
      <c r="B3201" s="25"/>
      <c r="C3201" s="25"/>
      <c r="D3201" s="26" t="str" cm="1">
        <f t="array" ref="D3201">IF(C3201="","",IFERROR(INDEX(STPP!$D$6:$D$4207,MATCH(C3201,STPP!$C$6:$C$4207,0)),"Not Found"))</f>
        <v/>
      </c>
      <c r="E3201" s="27" t="str" cm="1">
        <f t="array" ref="E3201">IF(C3201="","",IFERROR(INDEX(STPP!$E$6:$E$4207,MATCH(C3201,STPP!$C$6:$C$4207,0)),"Not Found"))</f>
        <v/>
      </c>
      <c r="F3201" s="27" t="str" cm="1">
        <f t="array" ref="F3201">IF(C3201="","",IFERROR(INDEX(STPP!$F$6:$F$4207,MATCH(C3201,STPP!$C$6:$C$4207,0)),"Not Found"))</f>
        <v/>
      </c>
      <c r="G3201" s="25" t="str">
        <f>IF(表1[[#This Row],[No Seri]]="","",表1[[#This Row],[Deskripsi Barang]]+表1[[#This Row],[Kuantitas]]-表1[[#This Row],[Satuan]])</f>
        <v/>
      </c>
      <c r="H3201" s="28"/>
      <c r="I3201" s="25" t="str">
        <f>IF(表1[[#This Row],[Tgl NPBG]]&gt;表1[[#This Row],[Peminta]],表1[[#This Row],[Tgl NPBG]]-表1[[#This Row],[Peminta]],"")</f>
        <v/>
      </c>
      <c r="J3201" s="31"/>
    </row>
    <row r="3202" s="12" customFormat="1" customHeight="1" spans="2:10">
      <c r="B3202" s="25"/>
      <c r="C3202" s="25"/>
      <c r="D3202" s="26" t="str" cm="1">
        <f t="array" ref="D3202">IF(C3202="","",IFERROR(INDEX(STPP!$D$6:$D$4207,MATCH(C3202,STPP!$C$6:$C$4207,0)),"Not Found"))</f>
        <v/>
      </c>
      <c r="E3202" s="27" t="str" cm="1">
        <f t="array" ref="E3202">IF(C3202="","",IFERROR(INDEX(STPP!$E$6:$E$4207,MATCH(C3202,STPP!$C$6:$C$4207,0)),"Not Found"))</f>
        <v/>
      </c>
      <c r="F3202" s="27" t="str" cm="1">
        <f t="array" ref="F3202">IF(C3202="","",IFERROR(INDEX(STPP!$F$6:$F$4207,MATCH(C3202,STPP!$C$6:$C$4207,0)),"Not Found"))</f>
        <v/>
      </c>
      <c r="G3202" s="25" t="str">
        <f>IF(表1[[#This Row],[No Seri]]="","",表1[[#This Row],[Deskripsi Barang]]+表1[[#This Row],[Kuantitas]]-表1[[#This Row],[Satuan]])</f>
        <v/>
      </c>
      <c r="H3202" s="28"/>
      <c r="I3202" s="25" t="str">
        <f>IF(表1[[#This Row],[Tgl NPBG]]&gt;表1[[#This Row],[Peminta]],表1[[#This Row],[Tgl NPBG]]-表1[[#This Row],[Peminta]],"")</f>
        <v/>
      </c>
      <c r="J3202" s="31"/>
    </row>
    <row r="3203" s="12" customFormat="1" customHeight="1" spans="2:10">
      <c r="B3203" s="25"/>
      <c r="C3203" s="25"/>
      <c r="D3203" s="26" t="str" cm="1">
        <f t="array" ref="D3203">IF(C3203="","",IFERROR(INDEX(STPP!$D$6:$D$4207,MATCH(C3203,STPP!$C$6:$C$4207,0)),"Not Found"))</f>
        <v/>
      </c>
      <c r="E3203" s="27" t="str" cm="1">
        <f t="array" ref="E3203">IF(C3203="","",IFERROR(INDEX(STPP!$E$6:$E$4207,MATCH(C3203,STPP!$C$6:$C$4207,0)),"Not Found"))</f>
        <v/>
      </c>
      <c r="F3203" s="27" t="str" cm="1">
        <f t="array" ref="F3203">IF(C3203="","",IFERROR(INDEX(STPP!$F$6:$F$4207,MATCH(C3203,STPP!$C$6:$C$4207,0)),"Not Found"))</f>
        <v/>
      </c>
      <c r="G3203" s="25" t="str">
        <f>IF(表1[[#This Row],[No Seri]]="","",表1[[#This Row],[Deskripsi Barang]]+表1[[#This Row],[Kuantitas]]-表1[[#This Row],[Satuan]])</f>
        <v/>
      </c>
      <c r="H3203" s="28"/>
      <c r="I3203" s="25" t="str">
        <f>IF(表1[[#This Row],[Tgl NPBG]]&gt;表1[[#This Row],[Peminta]],表1[[#This Row],[Tgl NPBG]]-表1[[#This Row],[Peminta]],"")</f>
        <v/>
      </c>
      <c r="J3203" s="31"/>
    </row>
    <row r="3204" s="12" customFormat="1" customHeight="1" spans="2:10">
      <c r="B3204" s="25"/>
      <c r="C3204" s="25"/>
      <c r="D3204" s="26" t="str" cm="1">
        <f t="array" ref="D3204">IF(C3204="","",IFERROR(INDEX(STPP!$D$6:$D$4207,MATCH(C3204,STPP!$C$6:$C$4207,0)),"Not Found"))</f>
        <v/>
      </c>
      <c r="E3204" s="27" t="str" cm="1">
        <f t="array" ref="E3204">IF(C3204="","",IFERROR(INDEX(STPP!$E$6:$E$4207,MATCH(C3204,STPP!$C$6:$C$4207,0)),"Not Found"))</f>
        <v/>
      </c>
      <c r="F3204" s="27" t="str" cm="1">
        <f t="array" ref="F3204">IF(C3204="","",IFERROR(INDEX(STPP!$F$6:$F$4207,MATCH(C3204,STPP!$C$6:$C$4207,0)),"Not Found"))</f>
        <v/>
      </c>
      <c r="G3204" s="25" t="str">
        <f>IF(表1[[#This Row],[No Seri]]="","",表1[[#This Row],[Deskripsi Barang]]+表1[[#This Row],[Kuantitas]]-表1[[#This Row],[Satuan]])</f>
        <v/>
      </c>
      <c r="H3204" s="28"/>
      <c r="I3204" s="25" t="str">
        <f>IF(表1[[#This Row],[Tgl NPBG]]&gt;表1[[#This Row],[Peminta]],表1[[#This Row],[Tgl NPBG]]-表1[[#This Row],[Peminta]],"")</f>
        <v/>
      </c>
      <c r="J3204" s="31"/>
    </row>
    <row r="3205" s="12" customFormat="1" customHeight="1" spans="2:10">
      <c r="B3205" s="25"/>
      <c r="C3205" s="25"/>
      <c r="D3205" s="26" t="str" cm="1">
        <f t="array" ref="D3205">IF(C3205="","",IFERROR(INDEX(STPP!$D$6:$D$4207,MATCH(C3205,STPP!$C$6:$C$4207,0)),"Not Found"))</f>
        <v/>
      </c>
      <c r="E3205" s="27" t="str" cm="1">
        <f t="array" ref="E3205">IF(C3205="","",IFERROR(INDEX(STPP!$E$6:$E$4207,MATCH(C3205,STPP!$C$6:$C$4207,0)),"Not Found"))</f>
        <v/>
      </c>
      <c r="F3205" s="27" t="str" cm="1">
        <f t="array" ref="F3205">IF(C3205="","",IFERROR(INDEX(STPP!$F$6:$F$4207,MATCH(C3205,STPP!$C$6:$C$4207,0)),"Not Found"))</f>
        <v/>
      </c>
      <c r="G3205" s="25" t="str">
        <f>IF(表1[[#This Row],[No Seri]]="","",表1[[#This Row],[Deskripsi Barang]]+表1[[#This Row],[Kuantitas]]-表1[[#This Row],[Satuan]])</f>
        <v/>
      </c>
      <c r="H3205" s="28"/>
      <c r="I3205" s="25" t="str">
        <f>IF(表1[[#This Row],[Tgl NPBG]]&gt;表1[[#This Row],[Peminta]],表1[[#This Row],[Tgl NPBG]]-表1[[#This Row],[Peminta]],"")</f>
        <v/>
      </c>
      <c r="J3205" s="31"/>
    </row>
    <row r="3206" s="12" customFormat="1" customHeight="1" spans="2:10">
      <c r="B3206" s="25"/>
      <c r="C3206" s="25"/>
      <c r="D3206" s="26" t="str" cm="1">
        <f t="array" ref="D3206">IF(C3206="","",IFERROR(INDEX(STPP!$D$6:$D$4207,MATCH(C3206,STPP!$C$6:$C$4207,0)),"Not Found"))</f>
        <v/>
      </c>
      <c r="E3206" s="27" t="str" cm="1">
        <f t="array" ref="E3206">IF(C3206="","",IFERROR(INDEX(STPP!$E$6:$E$4207,MATCH(C3206,STPP!$C$6:$C$4207,0)),"Not Found"))</f>
        <v/>
      </c>
      <c r="F3206" s="27" t="str" cm="1">
        <f t="array" ref="F3206">IF(C3206="","",IFERROR(INDEX(STPP!$F$6:$F$4207,MATCH(C3206,STPP!$C$6:$C$4207,0)),"Not Found"))</f>
        <v/>
      </c>
      <c r="G3206" s="25" t="str">
        <f>IF(表1[[#This Row],[No Seri]]="","",表1[[#This Row],[Deskripsi Barang]]+表1[[#This Row],[Kuantitas]]-表1[[#This Row],[Satuan]])</f>
        <v/>
      </c>
      <c r="H3206" s="28"/>
      <c r="I3206" s="25" t="str">
        <f>IF(表1[[#This Row],[Tgl NPBG]]&gt;表1[[#This Row],[Peminta]],表1[[#This Row],[Tgl NPBG]]-表1[[#This Row],[Peminta]],"")</f>
        <v/>
      </c>
      <c r="J3206" s="31"/>
    </row>
    <row r="3207" s="12" customFormat="1" customHeight="1" spans="2:10">
      <c r="B3207" s="25"/>
      <c r="C3207" s="25"/>
      <c r="D3207" s="26" t="str" cm="1">
        <f t="array" ref="D3207">IF(C3207="","",IFERROR(INDEX(STPP!$D$6:$D$4207,MATCH(C3207,STPP!$C$6:$C$4207,0)),"Not Found"))</f>
        <v/>
      </c>
      <c r="E3207" s="27" t="str" cm="1">
        <f t="array" ref="E3207">IF(C3207="","",IFERROR(INDEX(STPP!$E$6:$E$4207,MATCH(C3207,STPP!$C$6:$C$4207,0)),"Not Found"))</f>
        <v/>
      </c>
      <c r="F3207" s="27" t="str" cm="1">
        <f t="array" ref="F3207">IF(C3207="","",IFERROR(INDEX(STPP!$F$6:$F$4207,MATCH(C3207,STPP!$C$6:$C$4207,0)),"Not Found"))</f>
        <v/>
      </c>
      <c r="G3207" s="25" t="str">
        <f>IF(表1[[#This Row],[No Seri]]="","",表1[[#This Row],[Deskripsi Barang]]+表1[[#This Row],[Kuantitas]]-表1[[#This Row],[Satuan]])</f>
        <v/>
      </c>
      <c r="H3207" s="28"/>
      <c r="I3207" s="25" t="str">
        <f>IF(表1[[#This Row],[Tgl NPBG]]&gt;表1[[#This Row],[Peminta]],表1[[#This Row],[Tgl NPBG]]-表1[[#This Row],[Peminta]],"")</f>
        <v/>
      </c>
      <c r="J3207" s="31"/>
    </row>
    <row r="3208" s="12" customFormat="1" customHeight="1" spans="2:10">
      <c r="B3208" s="25"/>
      <c r="C3208" s="25"/>
      <c r="D3208" s="26" t="str" cm="1">
        <f t="array" ref="D3208">IF(C3208="","",IFERROR(INDEX(STPP!$D$6:$D$4207,MATCH(C3208,STPP!$C$6:$C$4207,0)),"Not Found"))</f>
        <v/>
      </c>
      <c r="E3208" s="27" t="str" cm="1">
        <f t="array" ref="E3208">IF(C3208="","",IFERROR(INDEX(STPP!$E$6:$E$4207,MATCH(C3208,STPP!$C$6:$C$4207,0)),"Not Found"))</f>
        <v/>
      </c>
      <c r="F3208" s="27" t="str" cm="1">
        <f t="array" ref="F3208">IF(C3208="","",IFERROR(INDEX(STPP!$F$6:$F$4207,MATCH(C3208,STPP!$C$6:$C$4207,0)),"Not Found"))</f>
        <v/>
      </c>
      <c r="G3208" s="25" t="str">
        <f>IF(表1[[#This Row],[No Seri]]="","",表1[[#This Row],[Deskripsi Barang]]+表1[[#This Row],[Kuantitas]]-表1[[#This Row],[Satuan]])</f>
        <v/>
      </c>
      <c r="H3208" s="28"/>
      <c r="I3208" s="25" t="str">
        <f>IF(表1[[#This Row],[Tgl NPBG]]&gt;表1[[#This Row],[Peminta]],表1[[#This Row],[Tgl NPBG]]-表1[[#This Row],[Peminta]],"")</f>
        <v/>
      </c>
      <c r="J3208" s="31"/>
    </row>
    <row r="3209" s="12" customFormat="1" customHeight="1" spans="2:10">
      <c r="B3209" s="25"/>
      <c r="C3209" s="25"/>
      <c r="D3209" s="26" t="str" cm="1">
        <f t="array" ref="D3209">IF(C3209="","",IFERROR(INDEX(STPP!$D$6:$D$4207,MATCH(C3209,STPP!$C$6:$C$4207,0)),"Not Found"))</f>
        <v/>
      </c>
      <c r="E3209" s="27" t="str" cm="1">
        <f t="array" ref="E3209">IF(C3209="","",IFERROR(INDEX(STPP!$E$6:$E$4207,MATCH(C3209,STPP!$C$6:$C$4207,0)),"Not Found"))</f>
        <v/>
      </c>
      <c r="F3209" s="27" t="str" cm="1">
        <f t="array" ref="F3209">IF(C3209="","",IFERROR(INDEX(STPP!$F$6:$F$4207,MATCH(C3209,STPP!$C$6:$C$4207,0)),"Not Found"))</f>
        <v/>
      </c>
      <c r="G3209" s="25" t="str">
        <f>IF(表1[[#This Row],[No Seri]]="","",表1[[#This Row],[Deskripsi Barang]]+表1[[#This Row],[Kuantitas]]-表1[[#This Row],[Satuan]])</f>
        <v/>
      </c>
      <c r="H3209" s="28"/>
      <c r="I3209" s="25" t="str">
        <f>IF(表1[[#This Row],[Tgl NPBG]]&gt;表1[[#This Row],[Peminta]],表1[[#This Row],[Tgl NPBG]]-表1[[#This Row],[Peminta]],"")</f>
        <v/>
      </c>
      <c r="J3209" s="31"/>
    </row>
    <row r="3210" s="12" customFormat="1" customHeight="1" spans="2:10">
      <c r="B3210" s="25"/>
      <c r="C3210" s="25"/>
      <c r="D3210" s="26" t="str" cm="1">
        <f t="array" ref="D3210">IF(C3210="","",IFERROR(INDEX(STPP!$D$6:$D$4207,MATCH(C3210,STPP!$C$6:$C$4207,0)),"Not Found"))</f>
        <v/>
      </c>
      <c r="E3210" s="27" t="str" cm="1">
        <f t="array" ref="E3210">IF(C3210="","",IFERROR(INDEX(STPP!$E$6:$E$4207,MATCH(C3210,STPP!$C$6:$C$4207,0)),"Not Found"))</f>
        <v/>
      </c>
      <c r="F3210" s="27" t="str" cm="1">
        <f t="array" ref="F3210">IF(C3210="","",IFERROR(INDEX(STPP!$F$6:$F$4207,MATCH(C3210,STPP!$C$6:$C$4207,0)),"Not Found"))</f>
        <v/>
      </c>
      <c r="G3210" s="25" t="str">
        <f>IF(表1[[#This Row],[No Seri]]="","",表1[[#This Row],[Deskripsi Barang]]+表1[[#This Row],[Kuantitas]]-表1[[#This Row],[Satuan]])</f>
        <v/>
      </c>
      <c r="H3210" s="28"/>
      <c r="I3210" s="25" t="str">
        <f>IF(表1[[#This Row],[Tgl NPBG]]&gt;表1[[#This Row],[Peminta]],表1[[#This Row],[Tgl NPBG]]-表1[[#This Row],[Peminta]],"")</f>
        <v/>
      </c>
      <c r="J3210" s="31"/>
    </row>
    <row r="3211" s="12" customFormat="1" customHeight="1" spans="2:10">
      <c r="B3211" s="25"/>
      <c r="C3211" s="25"/>
      <c r="D3211" s="26" t="str" cm="1">
        <f t="array" ref="D3211">IF(C3211="","",IFERROR(INDEX(STPP!$D$6:$D$4207,MATCH(C3211,STPP!$C$6:$C$4207,0)),"Not Found"))</f>
        <v/>
      </c>
      <c r="E3211" s="27" t="str" cm="1">
        <f t="array" ref="E3211">IF(C3211="","",IFERROR(INDEX(STPP!$E$6:$E$4207,MATCH(C3211,STPP!$C$6:$C$4207,0)),"Not Found"))</f>
        <v/>
      </c>
      <c r="F3211" s="27" t="str" cm="1">
        <f t="array" ref="F3211">IF(C3211="","",IFERROR(INDEX(STPP!$F$6:$F$4207,MATCH(C3211,STPP!$C$6:$C$4207,0)),"Not Found"))</f>
        <v/>
      </c>
      <c r="G3211" s="25" t="str">
        <f>IF(表1[[#This Row],[No Seri]]="","",表1[[#This Row],[Deskripsi Barang]]+表1[[#This Row],[Kuantitas]]-表1[[#This Row],[Satuan]])</f>
        <v/>
      </c>
      <c r="H3211" s="28"/>
      <c r="I3211" s="25" t="str">
        <f>IF(表1[[#This Row],[Tgl NPBG]]&gt;表1[[#This Row],[Peminta]],表1[[#This Row],[Tgl NPBG]]-表1[[#This Row],[Peminta]],"")</f>
        <v/>
      </c>
      <c r="J3211" s="31"/>
    </row>
    <row r="3212" s="12" customFormat="1" customHeight="1" spans="2:10">
      <c r="B3212" s="25"/>
      <c r="C3212" s="25"/>
      <c r="D3212" s="26" t="str" cm="1">
        <f t="array" ref="D3212">IF(C3212="","",IFERROR(INDEX(STPP!$D$6:$D$4207,MATCH(C3212,STPP!$C$6:$C$4207,0)),"Not Found"))</f>
        <v/>
      </c>
      <c r="E3212" s="27" t="str" cm="1">
        <f t="array" ref="E3212">IF(C3212="","",IFERROR(INDEX(STPP!$E$6:$E$4207,MATCH(C3212,STPP!$C$6:$C$4207,0)),"Not Found"))</f>
        <v/>
      </c>
      <c r="F3212" s="27" t="str" cm="1">
        <f t="array" ref="F3212">IF(C3212="","",IFERROR(INDEX(STPP!$F$6:$F$4207,MATCH(C3212,STPP!$C$6:$C$4207,0)),"Not Found"))</f>
        <v/>
      </c>
      <c r="G3212" s="25" t="str">
        <f>IF(表1[[#This Row],[No Seri]]="","",表1[[#This Row],[Deskripsi Barang]]+表1[[#This Row],[Kuantitas]]-表1[[#This Row],[Satuan]])</f>
        <v/>
      </c>
      <c r="H3212" s="28"/>
      <c r="I3212" s="25" t="str">
        <f>IF(表1[[#This Row],[Tgl NPBG]]&gt;表1[[#This Row],[Peminta]],表1[[#This Row],[Tgl NPBG]]-表1[[#This Row],[Peminta]],"")</f>
        <v/>
      </c>
      <c r="J3212" s="31"/>
    </row>
    <row r="3213" s="12" customFormat="1" customHeight="1" spans="2:10">
      <c r="B3213" s="25"/>
      <c r="C3213" s="25"/>
      <c r="D3213" s="26" t="str" cm="1">
        <f t="array" ref="D3213">IF(C3213="","",IFERROR(INDEX(STPP!$D$6:$D$4207,MATCH(C3213,STPP!$C$6:$C$4207,0)),"Not Found"))</f>
        <v/>
      </c>
      <c r="E3213" s="27" t="str" cm="1">
        <f t="array" ref="E3213">IF(C3213="","",IFERROR(INDEX(STPP!$E$6:$E$4207,MATCH(C3213,STPP!$C$6:$C$4207,0)),"Not Found"))</f>
        <v/>
      </c>
      <c r="F3213" s="27" t="str" cm="1">
        <f t="array" ref="F3213">IF(C3213="","",IFERROR(INDEX(STPP!$F$6:$F$4207,MATCH(C3213,STPP!$C$6:$C$4207,0)),"Not Found"))</f>
        <v/>
      </c>
      <c r="G3213" s="25" t="str">
        <f>IF(表1[[#This Row],[No Seri]]="","",表1[[#This Row],[Deskripsi Barang]]+表1[[#This Row],[Kuantitas]]-表1[[#This Row],[Satuan]])</f>
        <v/>
      </c>
      <c r="H3213" s="28"/>
      <c r="I3213" s="25" t="str">
        <f>IF(表1[[#This Row],[Tgl NPBG]]&gt;表1[[#This Row],[Peminta]],表1[[#This Row],[Tgl NPBG]]-表1[[#This Row],[Peminta]],"")</f>
        <v/>
      </c>
      <c r="J3213" s="31"/>
    </row>
    <row r="3214" s="12" customFormat="1" customHeight="1" spans="2:10">
      <c r="B3214" s="25"/>
      <c r="C3214" s="25"/>
      <c r="D3214" s="26" t="str" cm="1">
        <f t="array" ref="D3214">IF(C3214="","",IFERROR(INDEX(STPP!$D$6:$D$4207,MATCH(C3214,STPP!$C$6:$C$4207,0)),"Not Found"))</f>
        <v/>
      </c>
      <c r="E3214" s="27" t="str" cm="1">
        <f t="array" ref="E3214">IF(C3214="","",IFERROR(INDEX(STPP!$E$6:$E$4207,MATCH(C3214,STPP!$C$6:$C$4207,0)),"Not Found"))</f>
        <v/>
      </c>
      <c r="F3214" s="27" t="str" cm="1">
        <f t="array" ref="F3214">IF(C3214="","",IFERROR(INDEX(STPP!$F$6:$F$4207,MATCH(C3214,STPP!$C$6:$C$4207,0)),"Not Found"))</f>
        <v/>
      </c>
      <c r="G3214" s="25" t="str">
        <f>IF(表1[[#This Row],[No Seri]]="","",表1[[#This Row],[Deskripsi Barang]]+表1[[#This Row],[Kuantitas]]-表1[[#This Row],[Satuan]])</f>
        <v/>
      </c>
      <c r="H3214" s="28"/>
      <c r="I3214" s="25" t="str">
        <f>IF(表1[[#This Row],[Tgl NPBG]]&gt;表1[[#This Row],[Peminta]],表1[[#This Row],[Tgl NPBG]]-表1[[#This Row],[Peminta]],"")</f>
        <v/>
      </c>
      <c r="J3214" s="31"/>
    </row>
    <row r="3215" s="12" customFormat="1" customHeight="1" spans="2:10">
      <c r="B3215" s="25"/>
      <c r="C3215" s="25"/>
      <c r="D3215" s="26" t="str" cm="1">
        <f t="array" ref="D3215">IF(C3215="","",IFERROR(INDEX(STPP!$D$6:$D$4207,MATCH(C3215,STPP!$C$6:$C$4207,0)),"Not Found"))</f>
        <v/>
      </c>
      <c r="E3215" s="27" t="str" cm="1">
        <f t="array" ref="E3215">IF(C3215="","",IFERROR(INDEX(STPP!$E$6:$E$4207,MATCH(C3215,STPP!$C$6:$C$4207,0)),"Not Found"))</f>
        <v/>
      </c>
      <c r="F3215" s="27" t="str" cm="1">
        <f t="array" ref="F3215">IF(C3215="","",IFERROR(INDEX(STPP!$F$6:$F$4207,MATCH(C3215,STPP!$C$6:$C$4207,0)),"Not Found"))</f>
        <v/>
      </c>
      <c r="G3215" s="25" t="str">
        <f>IF(表1[[#This Row],[No Seri]]="","",表1[[#This Row],[Deskripsi Barang]]+表1[[#This Row],[Kuantitas]]-表1[[#This Row],[Satuan]])</f>
        <v/>
      </c>
      <c r="H3215" s="28"/>
      <c r="I3215" s="25" t="str">
        <f>IF(表1[[#This Row],[Tgl NPBG]]&gt;表1[[#This Row],[Peminta]],表1[[#This Row],[Tgl NPBG]]-表1[[#This Row],[Peminta]],"")</f>
        <v/>
      </c>
      <c r="J3215" s="31"/>
    </row>
    <row r="3216" s="12" customFormat="1" customHeight="1" spans="2:10">
      <c r="B3216" s="25"/>
      <c r="C3216" s="25"/>
      <c r="D3216" s="26" t="str" cm="1">
        <f t="array" ref="D3216">IF(C3216="","",IFERROR(INDEX(STPP!$D$6:$D$4207,MATCH(C3216,STPP!$C$6:$C$4207,0)),"Not Found"))</f>
        <v/>
      </c>
      <c r="E3216" s="27" t="str" cm="1">
        <f t="array" ref="E3216">IF(C3216="","",IFERROR(INDEX(STPP!$E$6:$E$4207,MATCH(C3216,STPP!$C$6:$C$4207,0)),"Not Found"))</f>
        <v/>
      </c>
      <c r="F3216" s="27" t="str" cm="1">
        <f t="array" ref="F3216">IF(C3216="","",IFERROR(INDEX(STPP!$F$6:$F$4207,MATCH(C3216,STPP!$C$6:$C$4207,0)),"Not Found"))</f>
        <v/>
      </c>
      <c r="G3216" s="25" t="str">
        <f>IF(表1[[#This Row],[No Seri]]="","",表1[[#This Row],[Deskripsi Barang]]+表1[[#This Row],[Kuantitas]]-表1[[#This Row],[Satuan]])</f>
        <v/>
      </c>
      <c r="H3216" s="28"/>
      <c r="I3216" s="25" t="str">
        <f>IF(表1[[#This Row],[Tgl NPBG]]&gt;表1[[#This Row],[Peminta]],表1[[#This Row],[Tgl NPBG]]-表1[[#This Row],[Peminta]],"")</f>
        <v/>
      </c>
      <c r="J3216" s="31"/>
    </row>
    <row r="3217" s="12" customFormat="1" customHeight="1" spans="2:10">
      <c r="B3217" s="25"/>
      <c r="C3217" s="25"/>
      <c r="D3217" s="26" t="str" cm="1">
        <f t="array" ref="D3217">IF(C3217="","",IFERROR(INDEX(STPP!$D$6:$D$4207,MATCH(C3217,STPP!$C$6:$C$4207,0)),"Not Found"))</f>
        <v/>
      </c>
      <c r="E3217" s="27" t="str" cm="1">
        <f t="array" ref="E3217">IF(C3217="","",IFERROR(INDEX(STPP!$E$6:$E$4207,MATCH(C3217,STPP!$C$6:$C$4207,0)),"Not Found"))</f>
        <v/>
      </c>
      <c r="F3217" s="27" t="str" cm="1">
        <f t="array" ref="F3217">IF(C3217="","",IFERROR(INDEX(STPP!$F$6:$F$4207,MATCH(C3217,STPP!$C$6:$C$4207,0)),"Not Found"))</f>
        <v/>
      </c>
      <c r="G3217" s="25" t="str">
        <f>IF(表1[[#This Row],[No Seri]]="","",表1[[#This Row],[Deskripsi Barang]]+表1[[#This Row],[Kuantitas]]-表1[[#This Row],[Satuan]])</f>
        <v/>
      </c>
      <c r="H3217" s="28"/>
      <c r="I3217" s="25" t="str">
        <f>IF(表1[[#This Row],[Tgl NPBG]]&gt;表1[[#This Row],[Peminta]],表1[[#This Row],[Tgl NPBG]]-表1[[#This Row],[Peminta]],"")</f>
        <v/>
      </c>
      <c r="J3217" s="31"/>
    </row>
    <row r="3218" s="12" customFormat="1" customHeight="1" spans="2:10">
      <c r="B3218" s="25"/>
      <c r="C3218" s="25"/>
      <c r="D3218" s="26" t="str" cm="1">
        <f t="array" ref="D3218">IF(C3218="","",IFERROR(INDEX(STPP!$D$6:$D$4207,MATCH(C3218,STPP!$C$6:$C$4207,0)),"Not Found"))</f>
        <v/>
      </c>
      <c r="E3218" s="27" t="str" cm="1">
        <f t="array" ref="E3218">IF(C3218="","",IFERROR(INDEX(STPP!$E$6:$E$4207,MATCH(C3218,STPP!$C$6:$C$4207,0)),"Not Found"))</f>
        <v/>
      </c>
      <c r="F3218" s="27" t="str" cm="1">
        <f t="array" ref="F3218">IF(C3218="","",IFERROR(INDEX(STPP!$F$6:$F$4207,MATCH(C3218,STPP!$C$6:$C$4207,0)),"Not Found"))</f>
        <v/>
      </c>
      <c r="G3218" s="25" t="str">
        <f>IF(表1[[#This Row],[No Seri]]="","",表1[[#This Row],[Deskripsi Barang]]+表1[[#This Row],[Kuantitas]]-表1[[#This Row],[Satuan]])</f>
        <v/>
      </c>
      <c r="H3218" s="28"/>
      <c r="I3218" s="25" t="str">
        <f>IF(表1[[#This Row],[Tgl NPBG]]&gt;表1[[#This Row],[Peminta]],表1[[#This Row],[Tgl NPBG]]-表1[[#This Row],[Peminta]],"")</f>
        <v/>
      </c>
      <c r="J3218" s="31"/>
    </row>
    <row r="3219" s="12" customFormat="1" customHeight="1" spans="2:10">
      <c r="B3219" s="25"/>
      <c r="C3219" s="25"/>
      <c r="D3219" s="26" t="str" cm="1">
        <f t="array" ref="D3219">IF(C3219="","",IFERROR(INDEX(STPP!$D$6:$D$4207,MATCH(C3219,STPP!$C$6:$C$4207,0)),"Not Found"))</f>
        <v/>
      </c>
      <c r="E3219" s="27" t="str" cm="1">
        <f t="array" ref="E3219">IF(C3219="","",IFERROR(INDEX(STPP!$E$6:$E$4207,MATCH(C3219,STPP!$C$6:$C$4207,0)),"Not Found"))</f>
        <v/>
      </c>
      <c r="F3219" s="27" t="str" cm="1">
        <f t="array" ref="F3219">IF(C3219="","",IFERROR(INDEX(STPP!$F$6:$F$4207,MATCH(C3219,STPP!$C$6:$C$4207,0)),"Not Found"))</f>
        <v/>
      </c>
      <c r="G3219" s="25" t="str">
        <f>IF(表1[[#This Row],[No Seri]]="","",表1[[#This Row],[Deskripsi Barang]]+表1[[#This Row],[Kuantitas]]-表1[[#This Row],[Satuan]])</f>
        <v/>
      </c>
      <c r="H3219" s="28"/>
      <c r="I3219" s="25" t="str">
        <f>IF(表1[[#This Row],[Tgl NPBG]]&gt;表1[[#This Row],[Peminta]],表1[[#This Row],[Tgl NPBG]]-表1[[#This Row],[Peminta]],"")</f>
        <v/>
      </c>
      <c r="J3219" s="31"/>
    </row>
    <row r="3220" s="12" customFormat="1" customHeight="1" spans="2:10">
      <c r="B3220" s="25"/>
      <c r="C3220" s="25"/>
      <c r="D3220" s="26" t="str" cm="1">
        <f t="array" ref="D3220">IF(C3220="","",IFERROR(INDEX(STPP!$D$6:$D$4207,MATCH(C3220,STPP!$C$6:$C$4207,0)),"Not Found"))</f>
        <v/>
      </c>
      <c r="E3220" s="27" t="str" cm="1">
        <f t="array" ref="E3220">IF(C3220="","",IFERROR(INDEX(STPP!$E$6:$E$4207,MATCH(C3220,STPP!$C$6:$C$4207,0)),"Not Found"))</f>
        <v/>
      </c>
      <c r="F3220" s="27" t="str" cm="1">
        <f t="array" ref="F3220">IF(C3220="","",IFERROR(INDEX(STPP!$F$6:$F$4207,MATCH(C3220,STPP!$C$6:$C$4207,0)),"Not Found"))</f>
        <v/>
      </c>
      <c r="G3220" s="25" t="str">
        <f>IF(表1[[#This Row],[No Seri]]="","",表1[[#This Row],[Deskripsi Barang]]+表1[[#This Row],[Kuantitas]]-表1[[#This Row],[Satuan]])</f>
        <v/>
      </c>
      <c r="H3220" s="28"/>
      <c r="I3220" s="25" t="str">
        <f>IF(表1[[#This Row],[Tgl NPBG]]&gt;表1[[#This Row],[Peminta]],表1[[#This Row],[Tgl NPBG]]-表1[[#This Row],[Peminta]],"")</f>
        <v/>
      </c>
      <c r="J3220" s="31"/>
    </row>
    <row r="3221" s="12" customFormat="1" customHeight="1" spans="2:10">
      <c r="B3221" s="25"/>
      <c r="C3221" s="25"/>
      <c r="D3221" s="26" t="str" cm="1">
        <f t="array" ref="D3221">IF(C3221="","",IFERROR(INDEX(STPP!$D$6:$D$4207,MATCH(C3221,STPP!$C$6:$C$4207,0)),"Not Found"))</f>
        <v/>
      </c>
      <c r="E3221" s="27" t="str" cm="1">
        <f t="array" ref="E3221">IF(C3221="","",IFERROR(INDEX(STPP!$E$6:$E$4207,MATCH(C3221,STPP!$C$6:$C$4207,0)),"Not Found"))</f>
        <v/>
      </c>
      <c r="F3221" s="27" t="str" cm="1">
        <f t="array" ref="F3221">IF(C3221="","",IFERROR(INDEX(STPP!$F$6:$F$4207,MATCH(C3221,STPP!$C$6:$C$4207,0)),"Not Found"))</f>
        <v/>
      </c>
      <c r="G3221" s="25" t="str">
        <f>IF(表1[[#This Row],[No Seri]]="","",表1[[#This Row],[Deskripsi Barang]]+表1[[#This Row],[Kuantitas]]-表1[[#This Row],[Satuan]])</f>
        <v/>
      </c>
      <c r="H3221" s="28"/>
      <c r="I3221" s="25" t="str">
        <f>IF(表1[[#This Row],[Tgl NPBG]]&gt;表1[[#This Row],[Peminta]],表1[[#This Row],[Tgl NPBG]]-表1[[#This Row],[Peminta]],"")</f>
        <v/>
      </c>
      <c r="J3221" s="31"/>
    </row>
    <row r="3222" s="12" customFormat="1" customHeight="1" spans="2:10">
      <c r="B3222" s="25"/>
      <c r="C3222" s="25"/>
      <c r="D3222" s="26" t="str" cm="1">
        <f t="array" ref="D3222">IF(C3222="","",IFERROR(INDEX(STPP!$D$6:$D$4207,MATCH(C3222,STPP!$C$6:$C$4207,0)),"Not Found"))</f>
        <v/>
      </c>
      <c r="E3222" s="27" t="str" cm="1">
        <f t="array" ref="E3222">IF(C3222="","",IFERROR(INDEX(STPP!$E$6:$E$4207,MATCH(C3222,STPP!$C$6:$C$4207,0)),"Not Found"))</f>
        <v/>
      </c>
      <c r="F3222" s="27" t="str" cm="1">
        <f t="array" ref="F3222">IF(C3222="","",IFERROR(INDEX(STPP!$F$6:$F$4207,MATCH(C3222,STPP!$C$6:$C$4207,0)),"Not Found"))</f>
        <v/>
      </c>
      <c r="G3222" s="25" t="str">
        <f>IF(表1[[#This Row],[No Seri]]="","",表1[[#This Row],[Deskripsi Barang]]+表1[[#This Row],[Kuantitas]]-表1[[#This Row],[Satuan]])</f>
        <v/>
      </c>
      <c r="H3222" s="28"/>
      <c r="I3222" s="25" t="str">
        <f>IF(表1[[#This Row],[Tgl NPBG]]&gt;表1[[#This Row],[Peminta]],表1[[#This Row],[Tgl NPBG]]-表1[[#This Row],[Peminta]],"")</f>
        <v/>
      </c>
      <c r="J3222" s="31"/>
    </row>
    <row r="3223" s="12" customFormat="1" customHeight="1" spans="2:10">
      <c r="B3223" s="25"/>
      <c r="C3223" s="25"/>
      <c r="D3223" s="26" t="str" cm="1">
        <f t="array" ref="D3223">IF(C3223="","",IFERROR(INDEX(STPP!$D$6:$D$4207,MATCH(C3223,STPP!$C$6:$C$4207,0)),"Not Found"))</f>
        <v/>
      </c>
      <c r="E3223" s="27" t="str" cm="1">
        <f t="array" ref="E3223">IF(C3223="","",IFERROR(INDEX(STPP!$E$6:$E$4207,MATCH(C3223,STPP!$C$6:$C$4207,0)),"Not Found"))</f>
        <v/>
      </c>
      <c r="F3223" s="27" t="str" cm="1">
        <f t="array" ref="F3223">IF(C3223="","",IFERROR(INDEX(STPP!$F$6:$F$4207,MATCH(C3223,STPP!$C$6:$C$4207,0)),"Not Found"))</f>
        <v/>
      </c>
      <c r="G3223" s="25" t="str">
        <f>IF(表1[[#This Row],[No Seri]]="","",表1[[#This Row],[Deskripsi Barang]]+表1[[#This Row],[Kuantitas]]-表1[[#This Row],[Satuan]])</f>
        <v/>
      </c>
      <c r="H3223" s="28"/>
      <c r="I3223" s="25" t="str">
        <f>IF(表1[[#This Row],[Tgl NPBG]]&gt;表1[[#This Row],[Peminta]],表1[[#This Row],[Tgl NPBG]]-表1[[#This Row],[Peminta]],"")</f>
        <v/>
      </c>
      <c r="J3223" s="31"/>
    </row>
    <row r="3224" s="12" customFormat="1" customHeight="1" spans="2:10">
      <c r="B3224" s="25"/>
      <c r="C3224" s="25"/>
      <c r="D3224" s="26" t="str" cm="1">
        <f t="array" ref="D3224">IF(C3224="","",IFERROR(INDEX(STPP!$D$6:$D$4207,MATCH(C3224,STPP!$C$6:$C$4207,0)),"Not Found"))</f>
        <v/>
      </c>
      <c r="E3224" s="27" t="str" cm="1">
        <f t="array" ref="E3224">IF(C3224="","",IFERROR(INDEX(STPP!$E$6:$E$4207,MATCH(C3224,STPP!$C$6:$C$4207,0)),"Not Found"))</f>
        <v/>
      </c>
      <c r="F3224" s="27" t="str" cm="1">
        <f t="array" ref="F3224">IF(C3224="","",IFERROR(INDEX(STPP!$F$6:$F$4207,MATCH(C3224,STPP!$C$6:$C$4207,0)),"Not Found"))</f>
        <v/>
      </c>
      <c r="G3224" s="25" t="str">
        <f>IF(表1[[#This Row],[No Seri]]="","",表1[[#This Row],[Deskripsi Barang]]+表1[[#This Row],[Kuantitas]]-表1[[#This Row],[Satuan]])</f>
        <v/>
      </c>
      <c r="H3224" s="28"/>
      <c r="I3224" s="25" t="str">
        <f>IF(表1[[#This Row],[Tgl NPBG]]&gt;表1[[#This Row],[Peminta]],表1[[#This Row],[Tgl NPBG]]-表1[[#This Row],[Peminta]],"")</f>
        <v/>
      </c>
      <c r="J3224" s="31"/>
    </row>
    <row r="3225" s="12" customFormat="1" customHeight="1" spans="2:10">
      <c r="B3225" s="25"/>
      <c r="C3225" s="25"/>
      <c r="D3225" s="26" t="str" cm="1">
        <f t="array" ref="D3225">IF(C3225="","",IFERROR(INDEX(STPP!$D$6:$D$4207,MATCH(C3225,STPP!$C$6:$C$4207,0)),"Not Found"))</f>
        <v/>
      </c>
      <c r="E3225" s="27" t="str" cm="1">
        <f t="array" ref="E3225">IF(C3225="","",IFERROR(INDEX(STPP!$E$6:$E$4207,MATCH(C3225,STPP!$C$6:$C$4207,0)),"Not Found"))</f>
        <v/>
      </c>
      <c r="F3225" s="27" t="str" cm="1">
        <f t="array" ref="F3225">IF(C3225="","",IFERROR(INDEX(STPP!$F$6:$F$4207,MATCH(C3225,STPP!$C$6:$C$4207,0)),"Not Found"))</f>
        <v/>
      </c>
      <c r="G3225" s="25" t="str">
        <f>IF(表1[[#This Row],[No Seri]]="","",表1[[#This Row],[Deskripsi Barang]]+表1[[#This Row],[Kuantitas]]-表1[[#This Row],[Satuan]])</f>
        <v/>
      </c>
      <c r="H3225" s="28"/>
      <c r="I3225" s="25" t="str">
        <f>IF(表1[[#This Row],[Tgl NPBG]]&gt;表1[[#This Row],[Peminta]],表1[[#This Row],[Tgl NPBG]]-表1[[#This Row],[Peminta]],"")</f>
        <v/>
      </c>
      <c r="J3225" s="31"/>
    </row>
    <row r="3226" s="12" customFormat="1" customHeight="1" spans="2:10">
      <c r="B3226" s="25"/>
      <c r="C3226" s="25"/>
      <c r="D3226" s="26" t="str" cm="1">
        <f t="array" ref="D3226">IF(C3226="","",IFERROR(INDEX(STPP!$D$6:$D$4207,MATCH(C3226,STPP!$C$6:$C$4207,0)),"Not Found"))</f>
        <v/>
      </c>
      <c r="E3226" s="27" t="str" cm="1">
        <f t="array" ref="E3226">IF(C3226="","",IFERROR(INDEX(STPP!$E$6:$E$4207,MATCH(C3226,STPP!$C$6:$C$4207,0)),"Not Found"))</f>
        <v/>
      </c>
      <c r="F3226" s="27" t="str" cm="1">
        <f t="array" ref="F3226">IF(C3226="","",IFERROR(INDEX(STPP!$F$6:$F$4207,MATCH(C3226,STPP!$C$6:$C$4207,0)),"Not Found"))</f>
        <v/>
      </c>
      <c r="G3226" s="25" t="str">
        <f>IF(表1[[#This Row],[No Seri]]="","",表1[[#This Row],[Deskripsi Barang]]+表1[[#This Row],[Kuantitas]]-表1[[#This Row],[Satuan]])</f>
        <v/>
      </c>
      <c r="H3226" s="28"/>
      <c r="I3226" s="25" t="str">
        <f>IF(表1[[#This Row],[Tgl NPBG]]&gt;表1[[#This Row],[Peminta]],表1[[#This Row],[Tgl NPBG]]-表1[[#This Row],[Peminta]],"")</f>
        <v/>
      </c>
      <c r="J3226" s="31"/>
    </row>
    <row r="3227" s="12" customFormat="1" customHeight="1" spans="2:10">
      <c r="B3227" s="25"/>
      <c r="C3227" s="25"/>
      <c r="D3227" s="26" t="str" cm="1">
        <f t="array" ref="D3227">IF(C3227="","",IFERROR(INDEX(STPP!$D$6:$D$4207,MATCH(C3227,STPP!$C$6:$C$4207,0)),"Not Found"))</f>
        <v/>
      </c>
      <c r="E3227" s="27" t="str" cm="1">
        <f t="array" ref="E3227">IF(C3227="","",IFERROR(INDEX(STPP!$E$6:$E$4207,MATCH(C3227,STPP!$C$6:$C$4207,0)),"Not Found"))</f>
        <v/>
      </c>
      <c r="F3227" s="27" t="str" cm="1">
        <f t="array" ref="F3227">IF(C3227="","",IFERROR(INDEX(STPP!$F$6:$F$4207,MATCH(C3227,STPP!$C$6:$C$4207,0)),"Not Found"))</f>
        <v/>
      </c>
      <c r="G3227" s="25" t="str">
        <f>IF(表1[[#This Row],[No Seri]]="","",表1[[#This Row],[Deskripsi Barang]]+表1[[#This Row],[Kuantitas]]-表1[[#This Row],[Satuan]])</f>
        <v/>
      </c>
      <c r="H3227" s="28"/>
      <c r="I3227" s="25" t="str">
        <f>IF(表1[[#This Row],[Tgl NPBG]]&gt;表1[[#This Row],[Peminta]],表1[[#This Row],[Tgl NPBG]]-表1[[#This Row],[Peminta]],"")</f>
        <v/>
      </c>
      <c r="J3227" s="31"/>
    </row>
    <row r="3228" s="12" customFormat="1" customHeight="1" spans="2:10">
      <c r="B3228" s="25"/>
      <c r="C3228" s="25"/>
      <c r="D3228" s="26" t="str" cm="1">
        <f t="array" ref="D3228">IF(C3228="","",IFERROR(INDEX(STPP!$D$6:$D$4207,MATCH(C3228,STPP!$C$6:$C$4207,0)),"Not Found"))</f>
        <v/>
      </c>
      <c r="E3228" s="27" t="str" cm="1">
        <f t="array" ref="E3228">IF(C3228="","",IFERROR(INDEX(STPP!$E$6:$E$4207,MATCH(C3228,STPP!$C$6:$C$4207,0)),"Not Found"))</f>
        <v/>
      </c>
      <c r="F3228" s="27" t="str" cm="1">
        <f t="array" ref="F3228">IF(C3228="","",IFERROR(INDEX(STPP!$F$6:$F$4207,MATCH(C3228,STPP!$C$6:$C$4207,0)),"Not Found"))</f>
        <v/>
      </c>
      <c r="G3228" s="25" t="str">
        <f>IF(表1[[#This Row],[No Seri]]="","",表1[[#This Row],[Deskripsi Barang]]+表1[[#This Row],[Kuantitas]]-表1[[#This Row],[Satuan]])</f>
        <v/>
      </c>
      <c r="H3228" s="28"/>
      <c r="I3228" s="25" t="str">
        <f>IF(表1[[#This Row],[Tgl NPBG]]&gt;表1[[#This Row],[Peminta]],表1[[#This Row],[Tgl NPBG]]-表1[[#This Row],[Peminta]],"")</f>
        <v/>
      </c>
      <c r="J3228" s="31"/>
    </row>
    <row r="3229" s="12" customFormat="1" customHeight="1" spans="2:10">
      <c r="B3229" s="25"/>
      <c r="C3229" s="25"/>
      <c r="D3229" s="26" t="str" cm="1">
        <f t="array" ref="D3229">IF(C3229="","",IFERROR(INDEX(STPP!$D$6:$D$4207,MATCH(C3229,STPP!$C$6:$C$4207,0)),"Not Found"))</f>
        <v/>
      </c>
      <c r="E3229" s="27" t="str" cm="1">
        <f t="array" ref="E3229">IF(C3229="","",IFERROR(INDEX(STPP!$E$6:$E$4207,MATCH(C3229,STPP!$C$6:$C$4207,0)),"Not Found"))</f>
        <v/>
      </c>
      <c r="F3229" s="27" t="str" cm="1">
        <f t="array" ref="F3229">IF(C3229="","",IFERROR(INDEX(STPP!$F$6:$F$4207,MATCH(C3229,STPP!$C$6:$C$4207,0)),"Not Found"))</f>
        <v/>
      </c>
      <c r="G3229" s="25" t="str">
        <f>IF(表1[[#This Row],[No Seri]]="","",表1[[#This Row],[Deskripsi Barang]]+表1[[#This Row],[Kuantitas]]-表1[[#This Row],[Satuan]])</f>
        <v/>
      </c>
      <c r="H3229" s="28"/>
      <c r="I3229" s="25" t="str">
        <f>IF(表1[[#This Row],[Tgl NPBG]]&gt;表1[[#This Row],[Peminta]],表1[[#This Row],[Tgl NPBG]]-表1[[#This Row],[Peminta]],"")</f>
        <v/>
      </c>
      <c r="J3229" s="31"/>
    </row>
    <row r="3230" s="12" customFormat="1" customHeight="1" spans="2:10">
      <c r="B3230" s="25"/>
      <c r="C3230" s="25"/>
      <c r="D3230" s="26" t="str" cm="1">
        <f t="array" ref="D3230">IF(C3230="","",IFERROR(INDEX(STPP!$D$6:$D$4207,MATCH(C3230,STPP!$C$6:$C$4207,0)),"Not Found"))</f>
        <v/>
      </c>
      <c r="E3230" s="27" t="str" cm="1">
        <f t="array" ref="E3230">IF(C3230="","",IFERROR(INDEX(STPP!$E$6:$E$4207,MATCH(C3230,STPP!$C$6:$C$4207,0)),"Not Found"))</f>
        <v/>
      </c>
      <c r="F3230" s="27" t="str" cm="1">
        <f t="array" ref="F3230">IF(C3230="","",IFERROR(INDEX(STPP!$F$6:$F$4207,MATCH(C3230,STPP!$C$6:$C$4207,0)),"Not Found"))</f>
        <v/>
      </c>
      <c r="G3230" s="25" t="str">
        <f>IF(表1[[#This Row],[No Seri]]="","",表1[[#This Row],[Deskripsi Barang]]+表1[[#This Row],[Kuantitas]]-表1[[#This Row],[Satuan]])</f>
        <v/>
      </c>
      <c r="H3230" s="28"/>
      <c r="I3230" s="25" t="str">
        <f>IF(表1[[#This Row],[Tgl NPBG]]&gt;表1[[#This Row],[Peminta]],表1[[#This Row],[Tgl NPBG]]-表1[[#This Row],[Peminta]],"")</f>
        <v/>
      </c>
      <c r="J3230" s="31"/>
    </row>
    <row r="3231" s="12" customFormat="1" customHeight="1" spans="2:10">
      <c r="B3231" s="25"/>
      <c r="C3231" s="25"/>
      <c r="D3231" s="26" t="str" cm="1">
        <f t="array" ref="D3231">IF(C3231="","",IFERROR(INDEX(STPP!$D$6:$D$4207,MATCH(C3231,STPP!$C$6:$C$4207,0)),"Not Found"))</f>
        <v/>
      </c>
      <c r="E3231" s="27" t="str" cm="1">
        <f t="array" ref="E3231">IF(C3231="","",IFERROR(INDEX(STPP!$E$6:$E$4207,MATCH(C3231,STPP!$C$6:$C$4207,0)),"Not Found"))</f>
        <v/>
      </c>
      <c r="F3231" s="27" t="str" cm="1">
        <f t="array" ref="F3231">IF(C3231="","",IFERROR(INDEX(STPP!$F$6:$F$4207,MATCH(C3231,STPP!$C$6:$C$4207,0)),"Not Found"))</f>
        <v/>
      </c>
      <c r="G3231" s="25" t="str">
        <f>IF(表1[[#This Row],[No Seri]]="","",表1[[#This Row],[Deskripsi Barang]]+表1[[#This Row],[Kuantitas]]-表1[[#This Row],[Satuan]])</f>
        <v/>
      </c>
      <c r="H3231" s="28"/>
      <c r="I3231" s="25" t="str">
        <f>IF(表1[[#This Row],[Tgl NPBG]]&gt;表1[[#This Row],[Peminta]],表1[[#This Row],[Tgl NPBG]]-表1[[#This Row],[Peminta]],"")</f>
        <v/>
      </c>
      <c r="J3231" s="31"/>
    </row>
    <row r="3232" s="12" customFormat="1" customHeight="1" spans="2:10">
      <c r="B3232" s="25"/>
      <c r="C3232" s="25"/>
      <c r="D3232" s="26" t="str" cm="1">
        <f t="array" ref="D3232">IF(C3232="","",IFERROR(INDEX(STPP!$D$6:$D$4207,MATCH(C3232,STPP!$C$6:$C$4207,0)),"Not Found"))</f>
        <v/>
      </c>
      <c r="E3232" s="27" t="str" cm="1">
        <f t="array" ref="E3232">IF(C3232="","",IFERROR(INDEX(STPP!$E$6:$E$4207,MATCH(C3232,STPP!$C$6:$C$4207,0)),"Not Found"))</f>
        <v/>
      </c>
      <c r="F3232" s="27" t="str" cm="1">
        <f t="array" ref="F3232">IF(C3232="","",IFERROR(INDEX(STPP!$F$6:$F$4207,MATCH(C3232,STPP!$C$6:$C$4207,0)),"Not Found"))</f>
        <v/>
      </c>
      <c r="G3232" s="25" t="str">
        <f>IF(表1[[#This Row],[No Seri]]="","",表1[[#This Row],[Deskripsi Barang]]+表1[[#This Row],[Kuantitas]]-表1[[#This Row],[Satuan]])</f>
        <v/>
      </c>
      <c r="H3232" s="28"/>
      <c r="I3232" s="25" t="str">
        <f>IF(表1[[#This Row],[Tgl NPBG]]&gt;表1[[#This Row],[Peminta]],表1[[#This Row],[Tgl NPBG]]-表1[[#This Row],[Peminta]],"")</f>
        <v/>
      </c>
      <c r="J3232" s="31"/>
    </row>
    <row r="3233" s="12" customFormat="1" customHeight="1" spans="2:10">
      <c r="B3233" s="25"/>
      <c r="C3233" s="25"/>
      <c r="D3233" s="26" t="str" cm="1">
        <f t="array" ref="D3233">IF(C3233="","",IFERROR(INDEX(STPP!$D$6:$D$4207,MATCH(C3233,STPP!$C$6:$C$4207,0)),"Not Found"))</f>
        <v/>
      </c>
      <c r="E3233" s="27" t="str" cm="1">
        <f t="array" ref="E3233">IF(C3233="","",IFERROR(INDEX(STPP!$E$6:$E$4207,MATCH(C3233,STPP!$C$6:$C$4207,0)),"Not Found"))</f>
        <v/>
      </c>
      <c r="F3233" s="27" t="str" cm="1">
        <f t="array" ref="F3233">IF(C3233="","",IFERROR(INDEX(STPP!$F$6:$F$4207,MATCH(C3233,STPP!$C$6:$C$4207,0)),"Not Found"))</f>
        <v/>
      </c>
      <c r="G3233" s="25" t="str">
        <f>IF(表1[[#This Row],[No Seri]]="","",表1[[#This Row],[Deskripsi Barang]]+表1[[#This Row],[Kuantitas]]-表1[[#This Row],[Satuan]])</f>
        <v/>
      </c>
      <c r="H3233" s="28"/>
      <c r="I3233" s="25" t="str">
        <f>IF(表1[[#This Row],[Tgl NPBG]]&gt;表1[[#This Row],[Peminta]],表1[[#This Row],[Tgl NPBG]]-表1[[#This Row],[Peminta]],"")</f>
        <v/>
      </c>
      <c r="J3233" s="31"/>
    </row>
    <row r="3234" s="12" customFormat="1" customHeight="1" spans="2:10">
      <c r="B3234" s="25"/>
      <c r="C3234" s="25"/>
      <c r="D3234" s="26" t="str" cm="1">
        <f t="array" ref="D3234">IF(C3234="","",IFERROR(INDEX(STPP!$D$6:$D$4207,MATCH(C3234,STPP!$C$6:$C$4207,0)),"Not Found"))</f>
        <v/>
      </c>
      <c r="E3234" s="27" t="str" cm="1">
        <f t="array" ref="E3234">IF(C3234="","",IFERROR(INDEX(STPP!$E$6:$E$4207,MATCH(C3234,STPP!$C$6:$C$4207,0)),"Not Found"))</f>
        <v/>
      </c>
      <c r="F3234" s="27" t="str" cm="1">
        <f t="array" ref="F3234">IF(C3234="","",IFERROR(INDEX(STPP!$F$6:$F$4207,MATCH(C3234,STPP!$C$6:$C$4207,0)),"Not Found"))</f>
        <v/>
      </c>
      <c r="G3234" s="25" t="str">
        <f>IF(表1[[#This Row],[No Seri]]="","",表1[[#This Row],[Deskripsi Barang]]+表1[[#This Row],[Kuantitas]]-表1[[#This Row],[Satuan]])</f>
        <v/>
      </c>
      <c r="H3234" s="28"/>
      <c r="I3234" s="25" t="str">
        <f>IF(表1[[#This Row],[Tgl NPBG]]&gt;表1[[#This Row],[Peminta]],表1[[#This Row],[Tgl NPBG]]-表1[[#This Row],[Peminta]],"")</f>
        <v/>
      </c>
      <c r="J3234" s="31"/>
    </row>
    <row r="3235" s="12" customFormat="1" customHeight="1" spans="2:10">
      <c r="B3235" s="25"/>
      <c r="C3235" s="25"/>
      <c r="D3235" s="26" t="str" cm="1">
        <f t="array" ref="D3235">IF(C3235="","",IFERROR(INDEX(STPP!$D$6:$D$4207,MATCH(C3235,STPP!$C$6:$C$4207,0)),"Not Found"))</f>
        <v/>
      </c>
      <c r="E3235" s="27" t="str" cm="1">
        <f t="array" ref="E3235">IF(C3235="","",IFERROR(INDEX(STPP!$E$6:$E$4207,MATCH(C3235,STPP!$C$6:$C$4207,0)),"Not Found"))</f>
        <v/>
      </c>
      <c r="F3235" s="27" t="str" cm="1">
        <f t="array" ref="F3235">IF(C3235="","",IFERROR(INDEX(STPP!$F$6:$F$4207,MATCH(C3235,STPP!$C$6:$C$4207,0)),"Not Found"))</f>
        <v/>
      </c>
      <c r="G3235" s="25" t="str">
        <f>IF(表1[[#This Row],[No Seri]]="","",表1[[#This Row],[Deskripsi Barang]]+表1[[#This Row],[Kuantitas]]-表1[[#This Row],[Satuan]])</f>
        <v/>
      </c>
      <c r="H3235" s="28"/>
      <c r="I3235" s="25" t="str">
        <f>IF(表1[[#This Row],[Tgl NPBG]]&gt;表1[[#This Row],[Peminta]],表1[[#This Row],[Tgl NPBG]]-表1[[#This Row],[Peminta]],"")</f>
        <v/>
      </c>
      <c r="J3235" s="31"/>
    </row>
    <row r="3236" s="12" customFormat="1" customHeight="1" spans="2:10">
      <c r="B3236" s="25"/>
      <c r="C3236" s="25"/>
      <c r="D3236" s="26" t="str" cm="1">
        <f t="array" ref="D3236">IF(C3236="","",IFERROR(INDEX(STPP!$D$6:$D$4207,MATCH(C3236,STPP!$C$6:$C$4207,0)),"Not Found"))</f>
        <v/>
      </c>
      <c r="E3236" s="27" t="str" cm="1">
        <f t="array" ref="E3236">IF(C3236="","",IFERROR(INDEX(STPP!$E$6:$E$4207,MATCH(C3236,STPP!$C$6:$C$4207,0)),"Not Found"))</f>
        <v/>
      </c>
      <c r="F3236" s="27" t="str" cm="1">
        <f t="array" ref="F3236">IF(C3236="","",IFERROR(INDEX(STPP!$F$6:$F$4207,MATCH(C3236,STPP!$C$6:$C$4207,0)),"Not Found"))</f>
        <v/>
      </c>
      <c r="G3236" s="25" t="str">
        <f>IF(表1[[#This Row],[No Seri]]="","",表1[[#This Row],[Deskripsi Barang]]+表1[[#This Row],[Kuantitas]]-表1[[#This Row],[Satuan]])</f>
        <v/>
      </c>
      <c r="H3236" s="28"/>
      <c r="I3236" s="25" t="str">
        <f>IF(表1[[#This Row],[Tgl NPBG]]&gt;表1[[#This Row],[Peminta]],表1[[#This Row],[Tgl NPBG]]-表1[[#This Row],[Peminta]],"")</f>
        <v/>
      </c>
      <c r="J3236" s="31"/>
    </row>
    <row r="3237" s="12" customFormat="1" customHeight="1" spans="2:10">
      <c r="B3237" s="25"/>
      <c r="C3237" s="25"/>
      <c r="D3237" s="26" t="str" cm="1">
        <f t="array" ref="D3237">IF(C3237="","",IFERROR(INDEX(STPP!$D$6:$D$4207,MATCH(C3237,STPP!$C$6:$C$4207,0)),"Not Found"))</f>
        <v/>
      </c>
      <c r="E3237" s="27" t="str" cm="1">
        <f t="array" ref="E3237">IF(C3237="","",IFERROR(INDEX(STPP!$E$6:$E$4207,MATCH(C3237,STPP!$C$6:$C$4207,0)),"Not Found"))</f>
        <v/>
      </c>
      <c r="F3237" s="27" t="str" cm="1">
        <f t="array" ref="F3237">IF(C3237="","",IFERROR(INDEX(STPP!$F$6:$F$4207,MATCH(C3237,STPP!$C$6:$C$4207,0)),"Not Found"))</f>
        <v/>
      </c>
      <c r="G3237" s="25" t="str">
        <f>IF(表1[[#This Row],[No Seri]]="","",表1[[#This Row],[Deskripsi Barang]]+表1[[#This Row],[Kuantitas]]-表1[[#This Row],[Satuan]])</f>
        <v/>
      </c>
      <c r="H3237" s="28"/>
      <c r="I3237" s="25" t="str">
        <f>IF(表1[[#This Row],[Tgl NPBG]]&gt;表1[[#This Row],[Peminta]],表1[[#This Row],[Tgl NPBG]]-表1[[#This Row],[Peminta]],"")</f>
        <v/>
      </c>
      <c r="J3237" s="31"/>
    </row>
    <row r="3238" s="12" customFormat="1" customHeight="1" spans="2:10">
      <c r="B3238" s="25"/>
      <c r="C3238" s="25"/>
      <c r="D3238" s="26" t="str" cm="1">
        <f t="array" ref="D3238">IF(C3238="","",IFERROR(INDEX(STPP!$D$6:$D$4207,MATCH(C3238,STPP!$C$6:$C$4207,0)),"Not Found"))</f>
        <v/>
      </c>
      <c r="E3238" s="27" t="str" cm="1">
        <f t="array" ref="E3238">IF(C3238="","",IFERROR(INDEX(STPP!$E$6:$E$4207,MATCH(C3238,STPP!$C$6:$C$4207,0)),"Not Found"))</f>
        <v/>
      </c>
      <c r="F3238" s="27" t="str" cm="1">
        <f t="array" ref="F3238">IF(C3238="","",IFERROR(INDEX(STPP!$F$6:$F$4207,MATCH(C3238,STPP!$C$6:$C$4207,0)),"Not Found"))</f>
        <v/>
      </c>
      <c r="G3238" s="25" t="str">
        <f>IF(表1[[#This Row],[No Seri]]="","",表1[[#This Row],[Deskripsi Barang]]+表1[[#This Row],[Kuantitas]]-表1[[#This Row],[Satuan]])</f>
        <v/>
      </c>
      <c r="H3238" s="28"/>
      <c r="I3238" s="25" t="str">
        <f>IF(表1[[#This Row],[Tgl NPBG]]&gt;表1[[#This Row],[Peminta]],表1[[#This Row],[Tgl NPBG]]-表1[[#This Row],[Peminta]],"")</f>
        <v/>
      </c>
      <c r="J3238" s="31"/>
    </row>
    <row r="3239" s="12" customFormat="1" customHeight="1" spans="2:10">
      <c r="B3239" s="25"/>
      <c r="C3239" s="25"/>
      <c r="D3239" s="26" t="str" cm="1">
        <f t="array" ref="D3239">IF(C3239="","",IFERROR(INDEX(STPP!$D$6:$D$4207,MATCH(C3239,STPP!$C$6:$C$4207,0)),"Not Found"))</f>
        <v/>
      </c>
      <c r="E3239" s="27" t="str" cm="1">
        <f t="array" ref="E3239">IF(C3239="","",IFERROR(INDEX(STPP!$E$6:$E$4207,MATCH(C3239,STPP!$C$6:$C$4207,0)),"Not Found"))</f>
        <v/>
      </c>
      <c r="F3239" s="27" t="str" cm="1">
        <f t="array" ref="F3239">IF(C3239="","",IFERROR(INDEX(STPP!$F$6:$F$4207,MATCH(C3239,STPP!$C$6:$C$4207,0)),"Not Found"))</f>
        <v/>
      </c>
      <c r="G3239" s="25" t="str">
        <f>IF(表1[[#This Row],[No Seri]]="","",表1[[#This Row],[Deskripsi Barang]]+表1[[#This Row],[Kuantitas]]-表1[[#This Row],[Satuan]])</f>
        <v/>
      </c>
      <c r="H3239" s="28"/>
      <c r="I3239" s="25" t="str">
        <f>IF(表1[[#This Row],[Tgl NPBG]]&gt;表1[[#This Row],[Peminta]],表1[[#This Row],[Tgl NPBG]]-表1[[#This Row],[Peminta]],"")</f>
        <v/>
      </c>
      <c r="J3239" s="31"/>
    </row>
    <row r="3240" s="12" customFormat="1" customHeight="1" spans="2:10">
      <c r="B3240" s="25"/>
      <c r="C3240" s="25"/>
      <c r="D3240" s="26" t="str" cm="1">
        <f t="array" ref="D3240">IF(C3240="","",IFERROR(INDEX(STPP!$D$6:$D$4207,MATCH(C3240,STPP!$C$6:$C$4207,0)),"Not Found"))</f>
        <v/>
      </c>
      <c r="E3240" s="27" t="str" cm="1">
        <f t="array" ref="E3240">IF(C3240="","",IFERROR(INDEX(STPP!$E$6:$E$4207,MATCH(C3240,STPP!$C$6:$C$4207,0)),"Not Found"))</f>
        <v/>
      </c>
      <c r="F3240" s="27" t="str" cm="1">
        <f t="array" ref="F3240">IF(C3240="","",IFERROR(INDEX(STPP!$F$6:$F$4207,MATCH(C3240,STPP!$C$6:$C$4207,0)),"Not Found"))</f>
        <v/>
      </c>
      <c r="G3240" s="25" t="str">
        <f>IF(表1[[#This Row],[No Seri]]="","",表1[[#This Row],[Deskripsi Barang]]+表1[[#This Row],[Kuantitas]]-表1[[#This Row],[Satuan]])</f>
        <v/>
      </c>
      <c r="H3240" s="28"/>
      <c r="I3240" s="25" t="str">
        <f>IF(表1[[#This Row],[Tgl NPBG]]&gt;表1[[#This Row],[Peminta]],表1[[#This Row],[Tgl NPBG]]-表1[[#This Row],[Peminta]],"")</f>
        <v/>
      </c>
      <c r="J3240" s="31"/>
    </row>
    <row r="3241" s="12" customFormat="1" customHeight="1" spans="2:10">
      <c r="B3241" s="25"/>
      <c r="C3241" s="25"/>
      <c r="D3241" s="26" t="str" cm="1">
        <f t="array" ref="D3241">IF(C3241="","",IFERROR(INDEX(STPP!$D$6:$D$4207,MATCH(C3241,STPP!$C$6:$C$4207,0)),"Not Found"))</f>
        <v/>
      </c>
      <c r="E3241" s="27" t="str" cm="1">
        <f t="array" ref="E3241">IF(C3241="","",IFERROR(INDEX(STPP!$E$6:$E$4207,MATCH(C3241,STPP!$C$6:$C$4207,0)),"Not Found"))</f>
        <v/>
      </c>
      <c r="F3241" s="27" t="str" cm="1">
        <f t="array" ref="F3241">IF(C3241="","",IFERROR(INDEX(STPP!$F$6:$F$4207,MATCH(C3241,STPP!$C$6:$C$4207,0)),"Not Found"))</f>
        <v/>
      </c>
      <c r="G3241" s="25" t="str">
        <f>IF(表1[[#This Row],[No Seri]]="","",表1[[#This Row],[Deskripsi Barang]]+表1[[#This Row],[Kuantitas]]-表1[[#This Row],[Satuan]])</f>
        <v/>
      </c>
      <c r="H3241" s="28"/>
      <c r="I3241" s="25" t="str">
        <f>IF(表1[[#This Row],[Tgl NPBG]]&gt;表1[[#This Row],[Peminta]],表1[[#This Row],[Tgl NPBG]]-表1[[#This Row],[Peminta]],"")</f>
        <v/>
      </c>
      <c r="J3241" s="31"/>
    </row>
    <row r="3242" s="12" customFormat="1" customHeight="1" spans="2:10">
      <c r="B3242" s="25"/>
      <c r="C3242" s="25"/>
      <c r="D3242" s="26" t="str" cm="1">
        <f t="array" ref="D3242">IF(C3242="","",IFERROR(INDEX(STPP!$D$6:$D$4207,MATCH(C3242,STPP!$C$6:$C$4207,0)),"Not Found"))</f>
        <v/>
      </c>
      <c r="E3242" s="27" t="str" cm="1">
        <f t="array" ref="E3242">IF(C3242="","",IFERROR(INDEX(STPP!$E$6:$E$4207,MATCH(C3242,STPP!$C$6:$C$4207,0)),"Not Found"))</f>
        <v/>
      </c>
      <c r="F3242" s="27" t="str" cm="1">
        <f t="array" ref="F3242">IF(C3242="","",IFERROR(INDEX(STPP!$F$6:$F$4207,MATCH(C3242,STPP!$C$6:$C$4207,0)),"Not Found"))</f>
        <v/>
      </c>
      <c r="G3242" s="25" t="str">
        <f>IF(表1[[#This Row],[No Seri]]="","",表1[[#This Row],[Deskripsi Barang]]+表1[[#This Row],[Kuantitas]]-表1[[#This Row],[Satuan]])</f>
        <v/>
      </c>
      <c r="H3242" s="28"/>
      <c r="I3242" s="25" t="str">
        <f>IF(表1[[#This Row],[Tgl NPBG]]&gt;表1[[#This Row],[Peminta]],表1[[#This Row],[Tgl NPBG]]-表1[[#This Row],[Peminta]],"")</f>
        <v/>
      </c>
      <c r="J3242" s="31"/>
    </row>
    <row r="3243" s="12" customFormat="1" customHeight="1" spans="2:10">
      <c r="B3243" s="25"/>
      <c r="C3243" s="25"/>
      <c r="D3243" s="26" t="str" cm="1">
        <f t="array" ref="D3243">IF(C3243="","",IFERROR(INDEX(STPP!$D$6:$D$4207,MATCH(C3243,STPP!$C$6:$C$4207,0)),"Not Found"))</f>
        <v/>
      </c>
      <c r="E3243" s="27" t="str" cm="1">
        <f t="array" ref="E3243">IF(C3243="","",IFERROR(INDEX(STPP!$E$6:$E$4207,MATCH(C3243,STPP!$C$6:$C$4207,0)),"Not Found"))</f>
        <v/>
      </c>
      <c r="F3243" s="27" t="str" cm="1">
        <f t="array" ref="F3243">IF(C3243="","",IFERROR(INDEX(STPP!$F$6:$F$4207,MATCH(C3243,STPP!$C$6:$C$4207,0)),"Not Found"))</f>
        <v/>
      </c>
      <c r="G3243" s="25" t="str">
        <f>IF(表1[[#This Row],[No Seri]]="","",表1[[#This Row],[Deskripsi Barang]]+表1[[#This Row],[Kuantitas]]-表1[[#This Row],[Satuan]])</f>
        <v/>
      </c>
      <c r="H3243" s="28"/>
      <c r="I3243" s="25" t="str">
        <f>IF(表1[[#This Row],[Tgl NPBG]]&gt;表1[[#This Row],[Peminta]],表1[[#This Row],[Tgl NPBG]]-表1[[#This Row],[Peminta]],"")</f>
        <v/>
      </c>
      <c r="J3243" s="31"/>
    </row>
    <row r="3244" s="12" customFormat="1" customHeight="1" spans="2:10">
      <c r="B3244" s="25"/>
      <c r="C3244" s="25"/>
      <c r="D3244" s="26" t="str" cm="1">
        <f t="array" ref="D3244">IF(C3244="","",IFERROR(INDEX(STPP!$D$6:$D$4207,MATCH(C3244,STPP!$C$6:$C$4207,0)),"Not Found"))</f>
        <v/>
      </c>
      <c r="E3244" s="27" t="str" cm="1">
        <f t="array" ref="E3244">IF(C3244="","",IFERROR(INDEX(STPP!$E$6:$E$4207,MATCH(C3244,STPP!$C$6:$C$4207,0)),"Not Found"))</f>
        <v/>
      </c>
      <c r="F3244" s="27" t="str" cm="1">
        <f t="array" ref="F3244">IF(C3244="","",IFERROR(INDEX(STPP!$F$6:$F$4207,MATCH(C3244,STPP!$C$6:$C$4207,0)),"Not Found"))</f>
        <v/>
      </c>
      <c r="G3244" s="25" t="str">
        <f>IF(表1[[#This Row],[No Seri]]="","",表1[[#This Row],[Deskripsi Barang]]+表1[[#This Row],[Kuantitas]]-表1[[#This Row],[Satuan]])</f>
        <v/>
      </c>
      <c r="H3244" s="28"/>
      <c r="I3244" s="25" t="str">
        <f>IF(表1[[#This Row],[Tgl NPBG]]&gt;表1[[#This Row],[Peminta]],表1[[#This Row],[Tgl NPBG]]-表1[[#This Row],[Peminta]],"")</f>
        <v/>
      </c>
      <c r="J3244" s="31"/>
    </row>
    <row r="3245" s="12" customFormat="1" customHeight="1" spans="2:10">
      <c r="B3245" s="25"/>
      <c r="C3245" s="25"/>
      <c r="D3245" s="26" t="str" cm="1">
        <f t="array" ref="D3245">IF(C3245="","",IFERROR(INDEX(STPP!$D$6:$D$4207,MATCH(C3245,STPP!$C$6:$C$4207,0)),"Not Found"))</f>
        <v/>
      </c>
      <c r="E3245" s="27" t="str" cm="1">
        <f t="array" ref="E3245">IF(C3245="","",IFERROR(INDEX(STPP!$E$6:$E$4207,MATCH(C3245,STPP!$C$6:$C$4207,0)),"Not Found"))</f>
        <v/>
      </c>
      <c r="F3245" s="27" t="str" cm="1">
        <f t="array" ref="F3245">IF(C3245="","",IFERROR(INDEX(STPP!$F$6:$F$4207,MATCH(C3245,STPP!$C$6:$C$4207,0)),"Not Found"))</f>
        <v/>
      </c>
      <c r="G3245" s="25" t="str">
        <f>IF(表1[[#This Row],[No Seri]]="","",表1[[#This Row],[Deskripsi Barang]]+表1[[#This Row],[Kuantitas]]-表1[[#This Row],[Satuan]])</f>
        <v/>
      </c>
      <c r="H3245" s="28"/>
      <c r="I3245" s="25" t="str">
        <f>IF(表1[[#This Row],[Tgl NPBG]]&gt;表1[[#This Row],[Peminta]],表1[[#This Row],[Tgl NPBG]]-表1[[#This Row],[Peminta]],"")</f>
        <v/>
      </c>
      <c r="J3245" s="31"/>
    </row>
    <row r="3246" s="12" customFormat="1" customHeight="1" spans="2:10">
      <c r="B3246" s="25"/>
      <c r="C3246" s="25"/>
      <c r="D3246" s="26" t="str" cm="1">
        <f t="array" ref="D3246">IF(C3246="","",IFERROR(INDEX(STPP!$D$6:$D$4207,MATCH(C3246,STPP!$C$6:$C$4207,0)),"Not Found"))</f>
        <v/>
      </c>
      <c r="E3246" s="27" t="str" cm="1">
        <f t="array" ref="E3246">IF(C3246="","",IFERROR(INDEX(STPP!$E$6:$E$4207,MATCH(C3246,STPP!$C$6:$C$4207,0)),"Not Found"))</f>
        <v/>
      </c>
      <c r="F3246" s="27" t="str" cm="1">
        <f t="array" ref="F3246">IF(C3246="","",IFERROR(INDEX(STPP!$F$6:$F$4207,MATCH(C3246,STPP!$C$6:$C$4207,0)),"Not Found"))</f>
        <v/>
      </c>
      <c r="G3246" s="25" t="str">
        <f>IF(表1[[#This Row],[No Seri]]="","",表1[[#This Row],[Deskripsi Barang]]+表1[[#This Row],[Kuantitas]]-表1[[#This Row],[Satuan]])</f>
        <v/>
      </c>
      <c r="H3246" s="28"/>
      <c r="I3246" s="25" t="str">
        <f>IF(表1[[#This Row],[Tgl NPBG]]&gt;表1[[#This Row],[Peminta]],表1[[#This Row],[Tgl NPBG]]-表1[[#This Row],[Peminta]],"")</f>
        <v/>
      </c>
      <c r="J3246" s="31"/>
    </row>
    <row r="3247" s="12" customFormat="1" customHeight="1" spans="2:10">
      <c r="B3247" s="25"/>
      <c r="C3247" s="25"/>
      <c r="D3247" s="26" t="str" cm="1">
        <f t="array" ref="D3247">IF(C3247="","",IFERROR(INDEX(STPP!$D$6:$D$4207,MATCH(C3247,STPP!$C$6:$C$4207,0)),"Not Found"))</f>
        <v/>
      </c>
      <c r="E3247" s="27" t="str" cm="1">
        <f t="array" ref="E3247">IF(C3247="","",IFERROR(INDEX(STPP!$E$6:$E$4207,MATCH(C3247,STPP!$C$6:$C$4207,0)),"Not Found"))</f>
        <v/>
      </c>
      <c r="F3247" s="27" t="str" cm="1">
        <f t="array" ref="F3247">IF(C3247="","",IFERROR(INDEX(STPP!$F$6:$F$4207,MATCH(C3247,STPP!$C$6:$C$4207,0)),"Not Found"))</f>
        <v/>
      </c>
      <c r="G3247" s="25" t="str">
        <f>IF(表1[[#This Row],[No Seri]]="","",表1[[#This Row],[Deskripsi Barang]]+表1[[#This Row],[Kuantitas]]-表1[[#This Row],[Satuan]])</f>
        <v/>
      </c>
      <c r="H3247" s="28"/>
      <c r="I3247" s="25" t="str">
        <f>IF(表1[[#This Row],[Tgl NPBG]]&gt;表1[[#This Row],[Peminta]],表1[[#This Row],[Tgl NPBG]]-表1[[#This Row],[Peminta]],"")</f>
        <v/>
      </c>
      <c r="J3247" s="31"/>
    </row>
    <row r="3248" s="12" customFormat="1" customHeight="1" spans="2:10">
      <c r="B3248" s="25"/>
      <c r="C3248" s="25"/>
      <c r="D3248" s="26" t="str" cm="1">
        <f t="array" ref="D3248">IF(C3248="","",IFERROR(INDEX(STPP!$D$6:$D$4207,MATCH(C3248,STPP!$C$6:$C$4207,0)),"Not Found"))</f>
        <v/>
      </c>
      <c r="E3248" s="27" t="str" cm="1">
        <f t="array" ref="E3248">IF(C3248="","",IFERROR(INDEX(STPP!$E$6:$E$4207,MATCH(C3248,STPP!$C$6:$C$4207,0)),"Not Found"))</f>
        <v/>
      </c>
      <c r="F3248" s="27" t="str" cm="1">
        <f t="array" ref="F3248">IF(C3248="","",IFERROR(INDEX(STPP!$F$6:$F$4207,MATCH(C3248,STPP!$C$6:$C$4207,0)),"Not Found"))</f>
        <v/>
      </c>
      <c r="G3248" s="25" t="str">
        <f>IF(表1[[#This Row],[No Seri]]="","",表1[[#This Row],[Deskripsi Barang]]+表1[[#This Row],[Kuantitas]]-表1[[#This Row],[Satuan]])</f>
        <v/>
      </c>
      <c r="H3248" s="28"/>
      <c r="I3248" s="25" t="str">
        <f>IF(表1[[#This Row],[Tgl NPBG]]&gt;表1[[#This Row],[Peminta]],表1[[#This Row],[Tgl NPBG]]-表1[[#This Row],[Peminta]],"")</f>
        <v/>
      </c>
      <c r="J3248" s="31"/>
    </row>
    <row r="3249" s="12" customFormat="1" customHeight="1" spans="2:10">
      <c r="B3249" s="25"/>
      <c r="C3249" s="25"/>
      <c r="D3249" s="26" t="str" cm="1">
        <f t="array" ref="D3249">IF(C3249="","",IFERROR(INDEX(STPP!$D$6:$D$4207,MATCH(C3249,STPP!$C$6:$C$4207,0)),"Not Found"))</f>
        <v/>
      </c>
      <c r="E3249" s="27" t="str" cm="1">
        <f t="array" ref="E3249">IF(C3249="","",IFERROR(INDEX(STPP!$E$6:$E$4207,MATCH(C3249,STPP!$C$6:$C$4207,0)),"Not Found"))</f>
        <v/>
      </c>
      <c r="F3249" s="27" t="str" cm="1">
        <f t="array" ref="F3249">IF(C3249="","",IFERROR(INDEX(STPP!$F$6:$F$4207,MATCH(C3249,STPP!$C$6:$C$4207,0)),"Not Found"))</f>
        <v/>
      </c>
      <c r="G3249" s="25" t="str">
        <f>IF(表1[[#This Row],[No Seri]]="","",表1[[#This Row],[Deskripsi Barang]]+表1[[#This Row],[Kuantitas]]-表1[[#This Row],[Satuan]])</f>
        <v/>
      </c>
      <c r="H3249" s="28"/>
      <c r="I3249" s="25" t="str">
        <f>IF(表1[[#This Row],[Tgl NPBG]]&gt;表1[[#This Row],[Peminta]],表1[[#This Row],[Tgl NPBG]]-表1[[#This Row],[Peminta]],"")</f>
        <v/>
      </c>
      <c r="J3249" s="31"/>
    </row>
    <row r="3250" s="12" customFormat="1" customHeight="1" spans="2:10">
      <c r="B3250" s="25"/>
      <c r="C3250" s="25"/>
      <c r="D3250" s="26" t="str" cm="1">
        <f t="array" ref="D3250">IF(C3250="","",IFERROR(INDEX(STPP!$D$6:$D$4207,MATCH(C3250,STPP!$C$6:$C$4207,0)),"Not Found"))</f>
        <v/>
      </c>
      <c r="E3250" s="27" t="str" cm="1">
        <f t="array" ref="E3250">IF(C3250="","",IFERROR(INDEX(STPP!$E$6:$E$4207,MATCH(C3250,STPP!$C$6:$C$4207,0)),"Not Found"))</f>
        <v/>
      </c>
      <c r="F3250" s="27" t="str" cm="1">
        <f t="array" ref="F3250">IF(C3250="","",IFERROR(INDEX(STPP!$F$6:$F$4207,MATCH(C3250,STPP!$C$6:$C$4207,0)),"Not Found"))</f>
        <v/>
      </c>
      <c r="G3250" s="25" t="str">
        <f>IF(表1[[#This Row],[No Seri]]="","",表1[[#This Row],[Deskripsi Barang]]+表1[[#This Row],[Kuantitas]]-表1[[#This Row],[Satuan]])</f>
        <v/>
      </c>
      <c r="H3250" s="28"/>
      <c r="I3250" s="25" t="str">
        <f>IF(表1[[#This Row],[Tgl NPBG]]&gt;表1[[#This Row],[Peminta]],表1[[#This Row],[Tgl NPBG]]-表1[[#This Row],[Peminta]],"")</f>
        <v/>
      </c>
      <c r="J3250" s="31"/>
    </row>
    <row r="3251" s="12" customFormat="1" customHeight="1" spans="2:10">
      <c r="B3251" s="25"/>
      <c r="C3251" s="25"/>
      <c r="D3251" s="26" t="str" cm="1">
        <f t="array" ref="D3251">IF(C3251="","",IFERROR(INDEX(STPP!$D$6:$D$4207,MATCH(C3251,STPP!$C$6:$C$4207,0)),"Not Found"))</f>
        <v/>
      </c>
      <c r="E3251" s="27" t="str" cm="1">
        <f t="array" ref="E3251">IF(C3251="","",IFERROR(INDEX(STPP!$E$6:$E$4207,MATCH(C3251,STPP!$C$6:$C$4207,0)),"Not Found"))</f>
        <v/>
      </c>
      <c r="F3251" s="27" t="str" cm="1">
        <f t="array" ref="F3251">IF(C3251="","",IFERROR(INDEX(STPP!$F$6:$F$4207,MATCH(C3251,STPP!$C$6:$C$4207,0)),"Not Found"))</f>
        <v/>
      </c>
      <c r="G3251" s="25" t="str">
        <f>IF(表1[[#This Row],[No Seri]]="","",表1[[#This Row],[Deskripsi Barang]]+表1[[#This Row],[Kuantitas]]-表1[[#This Row],[Satuan]])</f>
        <v/>
      </c>
      <c r="H3251" s="28"/>
      <c r="I3251" s="25" t="str">
        <f>IF(表1[[#This Row],[Tgl NPBG]]&gt;表1[[#This Row],[Peminta]],表1[[#This Row],[Tgl NPBG]]-表1[[#This Row],[Peminta]],"")</f>
        <v/>
      </c>
      <c r="J3251" s="31"/>
    </row>
    <row r="3252" s="12" customFormat="1" customHeight="1" spans="2:10">
      <c r="B3252" s="25"/>
      <c r="C3252" s="25"/>
      <c r="D3252" s="26" t="str" cm="1">
        <f t="array" ref="D3252">IF(C3252="","",IFERROR(INDEX(STPP!$D$6:$D$4207,MATCH(C3252,STPP!$C$6:$C$4207,0)),"Not Found"))</f>
        <v/>
      </c>
      <c r="E3252" s="27" t="str" cm="1">
        <f t="array" ref="E3252">IF(C3252="","",IFERROR(INDEX(STPP!$E$6:$E$4207,MATCH(C3252,STPP!$C$6:$C$4207,0)),"Not Found"))</f>
        <v/>
      </c>
      <c r="F3252" s="27" t="str" cm="1">
        <f t="array" ref="F3252">IF(C3252="","",IFERROR(INDEX(STPP!$F$6:$F$4207,MATCH(C3252,STPP!$C$6:$C$4207,0)),"Not Found"))</f>
        <v/>
      </c>
      <c r="G3252" s="25" t="str">
        <f>IF(表1[[#This Row],[No Seri]]="","",表1[[#This Row],[Deskripsi Barang]]+表1[[#This Row],[Kuantitas]]-表1[[#This Row],[Satuan]])</f>
        <v/>
      </c>
      <c r="H3252" s="28"/>
      <c r="I3252" s="25" t="str">
        <f>IF(表1[[#This Row],[Tgl NPBG]]&gt;表1[[#This Row],[Peminta]],表1[[#This Row],[Tgl NPBG]]-表1[[#This Row],[Peminta]],"")</f>
        <v/>
      </c>
      <c r="J3252" s="31"/>
    </row>
    <row r="3253" s="12" customFormat="1" customHeight="1" spans="2:10">
      <c r="B3253" s="25"/>
      <c r="C3253" s="25"/>
      <c r="D3253" s="26" t="str" cm="1">
        <f t="array" ref="D3253">IF(C3253="","",IFERROR(INDEX(STPP!$D$6:$D$4207,MATCH(C3253,STPP!$C$6:$C$4207,0)),"Not Found"))</f>
        <v/>
      </c>
      <c r="E3253" s="27" t="str" cm="1">
        <f t="array" ref="E3253">IF(C3253="","",IFERROR(INDEX(STPP!$E$6:$E$4207,MATCH(C3253,STPP!$C$6:$C$4207,0)),"Not Found"))</f>
        <v/>
      </c>
      <c r="F3253" s="27" t="str" cm="1">
        <f t="array" ref="F3253">IF(C3253="","",IFERROR(INDEX(STPP!$F$6:$F$4207,MATCH(C3253,STPP!$C$6:$C$4207,0)),"Not Found"))</f>
        <v/>
      </c>
      <c r="G3253" s="25" t="str">
        <f>IF(表1[[#This Row],[No Seri]]="","",表1[[#This Row],[Deskripsi Barang]]+表1[[#This Row],[Kuantitas]]-表1[[#This Row],[Satuan]])</f>
        <v/>
      </c>
      <c r="H3253" s="28"/>
      <c r="I3253" s="25" t="str">
        <f>IF(表1[[#This Row],[Tgl NPBG]]&gt;表1[[#This Row],[Peminta]],表1[[#This Row],[Tgl NPBG]]-表1[[#This Row],[Peminta]],"")</f>
        <v/>
      </c>
      <c r="J3253" s="31"/>
    </row>
    <row r="3254" s="12" customFormat="1" customHeight="1" spans="2:10">
      <c r="B3254" s="25"/>
      <c r="C3254" s="25"/>
      <c r="D3254" s="26" t="str" cm="1">
        <f t="array" ref="D3254">IF(C3254="","",IFERROR(INDEX(STPP!$D$6:$D$4207,MATCH(C3254,STPP!$C$6:$C$4207,0)),"Not Found"))</f>
        <v/>
      </c>
      <c r="E3254" s="27" t="str" cm="1">
        <f t="array" ref="E3254">IF(C3254="","",IFERROR(INDEX(STPP!$E$6:$E$4207,MATCH(C3254,STPP!$C$6:$C$4207,0)),"Not Found"))</f>
        <v/>
      </c>
      <c r="F3254" s="27" t="str" cm="1">
        <f t="array" ref="F3254">IF(C3254="","",IFERROR(INDEX(STPP!$F$6:$F$4207,MATCH(C3254,STPP!$C$6:$C$4207,0)),"Not Found"))</f>
        <v/>
      </c>
      <c r="G3254" s="25" t="str">
        <f>IF(表1[[#This Row],[No Seri]]="","",表1[[#This Row],[Deskripsi Barang]]+表1[[#This Row],[Kuantitas]]-表1[[#This Row],[Satuan]])</f>
        <v/>
      </c>
      <c r="H3254" s="28"/>
      <c r="I3254" s="25" t="str">
        <f>IF(表1[[#This Row],[Tgl NPBG]]&gt;表1[[#This Row],[Peminta]],表1[[#This Row],[Tgl NPBG]]-表1[[#This Row],[Peminta]],"")</f>
        <v/>
      </c>
      <c r="J3254" s="31"/>
    </row>
    <row r="3255" s="12" customFormat="1" customHeight="1" spans="2:10">
      <c r="B3255" s="25"/>
      <c r="C3255" s="25"/>
      <c r="D3255" s="26" t="str" cm="1">
        <f t="array" ref="D3255">IF(C3255="","",IFERROR(INDEX(STPP!$D$6:$D$4207,MATCH(C3255,STPP!$C$6:$C$4207,0)),"Not Found"))</f>
        <v/>
      </c>
      <c r="E3255" s="27" t="str" cm="1">
        <f t="array" ref="E3255">IF(C3255="","",IFERROR(INDEX(STPP!$E$6:$E$4207,MATCH(C3255,STPP!$C$6:$C$4207,0)),"Not Found"))</f>
        <v/>
      </c>
      <c r="F3255" s="27" t="str" cm="1">
        <f t="array" ref="F3255">IF(C3255="","",IFERROR(INDEX(STPP!$F$6:$F$4207,MATCH(C3255,STPP!$C$6:$C$4207,0)),"Not Found"))</f>
        <v/>
      </c>
      <c r="G3255" s="25" t="str">
        <f>IF(表1[[#This Row],[No Seri]]="","",表1[[#This Row],[Deskripsi Barang]]+表1[[#This Row],[Kuantitas]]-表1[[#This Row],[Satuan]])</f>
        <v/>
      </c>
      <c r="H3255" s="28"/>
      <c r="I3255" s="25" t="str">
        <f>IF(表1[[#This Row],[Tgl NPBG]]&gt;表1[[#This Row],[Peminta]],表1[[#This Row],[Tgl NPBG]]-表1[[#This Row],[Peminta]],"")</f>
        <v/>
      </c>
      <c r="J3255" s="31"/>
    </row>
    <row r="3256" s="12" customFormat="1" customHeight="1" spans="2:10">
      <c r="B3256" s="25"/>
      <c r="C3256" s="25"/>
      <c r="D3256" s="26" t="str" cm="1">
        <f t="array" ref="D3256">IF(C3256="","",IFERROR(INDEX(STPP!$D$6:$D$4207,MATCH(C3256,STPP!$C$6:$C$4207,0)),"Not Found"))</f>
        <v/>
      </c>
      <c r="E3256" s="27" t="str" cm="1">
        <f t="array" ref="E3256">IF(C3256="","",IFERROR(INDEX(STPP!$E$6:$E$4207,MATCH(C3256,STPP!$C$6:$C$4207,0)),"Not Found"))</f>
        <v/>
      </c>
      <c r="F3256" s="27" t="str" cm="1">
        <f t="array" ref="F3256">IF(C3256="","",IFERROR(INDEX(STPP!$F$6:$F$4207,MATCH(C3256,STPP!$C$6:$C$4207,0)),"Not Found"))</f>
        <v/>
      </c>
      <c r="G3256" s="25" t="str">
        <f>IF(表1[[#This Row],[No Seri]]="","",表1[[#This Row],[Deskripsi Barang]]+表1[[#This Row],[Kuantitas]]-表1[[#This Row],[Satuan]])</f>
        <v/>
      </c>
      <c r="H3256" s="28"/>
      <c r="I3256" s="25" t="str">
        <f>IF(表1[[#This Row],[Tgl NPBG]]&gt;表1[[#This Row],[Peminta]],表1[[#This Row],[Tgl NPBG]]-表1[[#This Row],[Peminta]],"")</f>
        <v/>
      </c>
      <c r="J3256" s="31"/>
    </row>
    <row r="3257" s="12" customFormat="1" customHeight="1" spans="2:10">
      <c r="B3257" s="25"/>
      <c r="C3257" s="25"/>
      <c r="D3257" s="26" t="str" cm="1">
        <f t="array" ref="D3257">IF(C3257="","",IFERROR(INDEX(STPP!$D$6:$D$4207,MATCH(C3257,STPP!$C$6:$C$4207,0)),"Not Found"))</f>
        <v/>
      </c>
      <c r="E3257" s="27" t="str" cm="1">
        <f t="array" ref="E3257">IF(C3257="","",IFERROR(INDEX(STPP!$E$6:$E$4207,MATCH(C3257,STPP!$C$6:$C$4207,0)),"Not Found"))</f>
        <v/>
      </c>
      <c r="F3257" s="27" t="str" cm="1">
        <f t="array" ref="F3257">IF(C3257="","",IFERROR(INDEX(STPP!$F$6:$F$4207,MATCH(C3257,STPP!$C$6:$C$4207,0)),"Not Found"))</f>
        <v/>
      </c>
      <c r="G3257" s="25" t="str">
        <f>IF(表1[[#This Row],[No Seri]]="","",表1[[#This Row],[Deskripsi Barang]]+表1[[#This Row],[Kuantitas]]-表1[[#This Row],[Satuan]])</f>
        <v/>
      </c>
      <c r="H3257" s="28"/>
      <c r="I3257" s="25" t="str">
        <f>IF(表1[[#This Row],[Tgl NPBG]]&gt;表1[[#This Row],[Peminta]],表1[[#This Row],[Tgl NPBG]]-表1[[#This Row],[Peminta]],"")</f>
        <v/>
      </c>
      <c r="J3257" s="31"/>
    </row>
    <row r="3258" s="12" customFormat="1" customHeight="1" spans="2:10">
      <c r="B3258" s="25"/>
      <c r="C3258" s="25"/>
      <c r="D3258" s="26" t="str" cm="1">
        <f t="array" ref="D3258">IF(C3258="","",IFERROR(INDEX(STPP!$D$6:$D$4207,MATCH(C3258,STPP!$C$6:$C$4207,0)),"Not Found"))</f>
        <v/>
      </c>
      <c r="E3258" s="27" t="str" cm="1">
        <f t="array" ref="E3258">IF(C3258="","",IFERROR(INDEX(STPP!$E$6:$E$4207,MATCH(C3258,STPP!$C$6:$C$4207,0)),"Not Found"))</f>
        <v/>
      </c>
      <c r="F3258" s="27" t="str" cm="1">
        <f t="array" ref="F3258">IF(C3258="","",IFERROR(INDEX(STPP!$F$6:$F$4207,MATCH(C3258,STPP!$C$6:$C$4207,0)),"Not Found"))</f>
        <v/>
      </c>
      <c r="G3258" s="25" t="str">
        <f>IF(表1[[#This Row],[No Seri]]="","",表1[[#This Row],[Deskripsi Barang]]+表1[[#This Row],[Kuantitas]]-表1[[#This Row],[Satuan]])</f>
        <v/>
      </c>
      <c r="H3258" s="28"/>
      <c r="I3258" s="25" t="str">
        <f>IF(表1[[#This Row],[Tgl NPBG]]&gt;表1[[#This Row],[Peminta]],表1[[#This Row],[Tgl NPBG]]-表1[[#This Row],[Peminta]],"")</f>
        <v/>
      </c>
      <c r="J3258" s="31"/>
    </row>
    <row r="3259" s="12" customFormat="1" customHeight="1" spans="2:10">
      <c r="B3259" s="25"/>
      <c r="C3259" s="25"/>
      <c r="D3259" s="26" t="str" cm="1">
        <f t="array" ref="D3259">IF(C3259="","",IFERROR(INDEX(STPP!$D$6:$D$4207,MATCH(C3259,STPP!$C$6:$C$4207,0)),"Not Found"))</f>
        <v/>
      </c>
      <c r="E3259" s="27" t="str" cm="1">
        <f t="array" ref="E3259">IF(C3259="","",IFERROR(INDEX(STPP!$E$6:$E$4207,MATCH(C3259,STPP!$C$6:$C$4207,0)),"Not Found"))</f>
        <v/>
      </c>
      <c r="F3259" s="27" t="str" cm="1">
        <f t="array" ref="F3259">IF(C3259="","",IFERROR(INDEX(STPP!$F$6:$F$4207,MATCH(C3259,STPP!$C$6:$C$4207,0)),"Not Found"))</f>
        <v/>
      </c>
      <c r="G3259" s="25" t="str">
        <f>IF(表1[[#This Row],[No Seri]]="","",表1[[#This Row],[Deskripsi Barang]]+表1[[#This Row],[Kuantitas]]-表1[[#This Row],[Satuan]])</f>
        <v/>
      </c>
      <c r="H3259" s="28"/>
      <c r="I3259" s="25" t="str">
        <f>IF(表1[[#This Row],[Tgl NPBG]]&gt;表1[[#This Row],[Peminta]],表1[[#This Row],[Tgl NPBG]]-表1[[#This Row],[Peminta]],"")</f>
        <v/>
      </c>
      <c r="J3259" s="31"/>
    </row>
    <row r="3260" s="12" customFormat="1" customHeight="1" spans="2:10">
      <c r="B3260" s="25"/>
      <c r="C3260" s="25"/>
      <c r="D3260" s="26" t="str" cm="1">
        <f t="array" ref="D3260">IF(C3260="","",IFERROR(INDEX(STPP!$D$6:$D$4207,MATCH(C3260,STPP!$C$6:$C$4207,0)),"Not Found"))</f>
        <v/>
      </c>
      <c r="E3260" s="27" t="str" cm="1">
        <f t="array" ref="E3260">IF(C3260="","",IFERROR(INDEX(STPP!$E$6:$E$4207,MATCH(C3260,STPP!$C$6:$C$4207,0)),"Not Found"))</f>
        <v/>
      </c>
      <c r="F3260" s="27" t="str" cm="1">
        <f t="array" ref="F3260">IF(C3260="","",IFERROR(INDEX(STPP!$F$6:$F$4207,MATCH(C3260,STPP!$C$6:$C$4207,0)),"Not Found"))</f>
        <v/>
      </c>
      <c r="G3260" s="25" t="str">
        <f>IF(表1[[#This Row],[No Seri]]="","",表1[[#This Row],[Deskripsi Barang]]+表1[[#This Row],[Kuantitas]]-表1[[#This Row],[Satuan]])</f>
        <v/>
      </c>
      <c r="H3260" s="28"/>
      <c r="I3260" s="25" t="str">
        <f>IF(表1[[#This Row],[Tgl NPBG]]&gt;表1[[#This Row],[Peminta]],表1[[#This Row],[Tgl NPBG]]-表1[[#This Row],[Peminta]],"")</f>
        <v/>
      </c>
      <c r="J3260" s="31"/>
    </row>
    <row r="3261" s="12" customFormat="1" customHeight="1" spans="2:10">
      <c r="B3261" s="25"/>
      <c r="C3261" s="25"/>
      <c r="D3261" s="26" t="str" cm="1">
        <f t="array" ref="D3261">IF(C3261="","",IFERROR(INDEX(STPP!$D$6:$D$4207,MATCH(C3261,STPP!$C$6:$C$4207,0)),"Not Found"))</f>
        <v/>
      </c>
      <c r="E3261" s="27" t="str" cm="1">
        <f t="array" ref="E3261">IF(C3261="","",IFERROR(INDEX(STPP!$E$6:$E$4207,MATCH(C3261,STPP!$C$6:$C$4207,0)),"Not Found"))</f>
        <v/>
      </c>
      <c r="F3261" s="27" t="str" cm="1">
        <f t="array" ref="F3261">IF(C3261="","",IFERROR(INDEX(STPP!$F$6:$F$4207,MATCH(C3261,STPP!$C$6:$C$4207,0)),"Not Found"))</f>
        <v/>
      </c>
      <c r="G3261" s="25" t="str">
        <f>IF(表1[[#This Row],[No Seri]]="","",表1[[#This Row],[Deskripsi Barang]]+表1[[#This Row],[Kuantitas]]-表1[[#This Row],[Satuan]])</f>
        <v/>
      </c>
      <c r="H3261" s="28"/>
      <c r="I3261" s="25" t="str">
        <f>IF(表1[[#This Row],[Tgl NPBG]]&gt;表1[[#This Row],[Peminta]],表1[[#This Row],[Tgl NPBG]]-表1[[#This Row],[Peminta]],"")</f>
        <v/>
      </c>
      <c r="J3261" s="31"/>
    </row>
    <row r="3262" s="12" customFormat="1" customHeight="1" spans="2:10">
      <c r="B3262" s="25"/>
      <c r="C3262" s="25"/>
      <c r="D3262" s="26" t="str" cm="1">
        <f t="array" ref="D3262">IF(C3262="","",IFERROR(INDEX(STPP!$D$6:$D$4207,MATCH(C3262,STPP!$C$6:$C$4207,0)),"Not Found"))</f>
        <v/>
      </c>
      <c r="E3262" s="27" t="str" cm="1">
        <f t="array" ref="E3262">IF(C3262="","",IFERROR(INDEX(STPP!$E$6:$E$4207,MATCH(C3262,STPP!$C$6:$C$4207,0)),"Not Found"))</f>
        <v/>
      </c>
      <c r="F3262" s="27" t="str" cm="1">
        <f t="array" ref="F3262">IF(C3262="","",IFERROR(INDEX(STPP!$F$6:$F$4207,MATCH(C3262,STPP!$C$6:$C$4207,0)),"Not Found"))</f>
        <v/>
      </c>
      <c r="G3262" s="25" t="str">
        <f>IF(表1[[#This Row],[No Seri]]="","",表1[[#This Row],[Deskripsi Barang]]+表1[[#This Row],[Kuantitas]]-表1[[#This Row],[Satuan]])</f>
        <v/>
      </c>
      <c r="H3262" s="28"/>
      <c r="I3262" s="25" t="str">
        <f>IF(表1[[#This Row],[Tgl NPBG]]&gt;表1[[#This Row],[Peminta]],表1[[#This Row],[Tgl NPBG]]-表1[[#This Row],[Peminta]],"")</f>
        <v/>
      </c>
      <c r="J3262" s="31"/>
    </row>
    <row r="3263" s="12" customFormat="1" customHeight="1" spans="2:10">
      <c r="B3263" s="25"/>
      <c r="C3263" s="25"/>
      <c r="D3263" s="26" t="str" cm="1">
        <f t="array" ref="D3263">IF(C3263="","",IFERROR(INDEX(STPP!$D$6:$D$4207,MATCH(C3263,STPP!$C$6:$C$4207,0)),"Not Found"))</f>
        <v/>
      </c>
      <c r="E3263" s="27" t="str" cm="1">
        <f t="array" ref="E3263">IF(C3263="","",IFERROR(INDEX(STPP!$E$6:$E$4207,MATCH(C3263,STPP!$C$6:$C$4207,0)),"Not Found"))</f>
        <v/>
      </c>
      <c r="F3263" s="27" t="str" cm="1">
        <f t="array" ref="F3263">IF(C3263="","",IFERROR(INDEX(STPP!$F$6:$F$4207,MATCH(C3263,STPP!$C$6:$C$4207,0)),"Not Found"))</f>
        <v/>
      </c>
      <c r="G3263" s="25" t="str">
        <f>IF(表1[[#This Row],[No Seri]]="","",表1[[#This Row],[Deskripsi Barang]]+表1[[#This Row],[Kuantitas]]-表1[[#This Row],[Satuan]])</f>
        <v/>
      </c>
      <c r="H3263" s="28"/>
      <c r="I3263" s="25" t="str">
        <f>IF(表1[[#This Row],[Tgl NPBG]]&gt;表1[[#This Row],[Peminta]],表1[[#This Row],[Tgl NPBG]]-表1[[#This Row],[Peminta]],"")</f>
        <v/>
      </c>
      <c r="J3263" s="31"/>
    </row>
    <row r="3264" s="12" customFormat="1" customHeight="1" spans="2:10">
      <c r="B3264" s="25"/>
      <c r="C3264" s="25"/>
      <c r="D3264" s="26" t="str" cm="1">
        <f t="array" ref="D3264">IF(C3264="","",IFERROR(INDEX(STPP!$D$6:$D$4207,MATCH(C3264,STPP!$C$6:$C$4207,0)),"Not Found"))</f>
        <v/>
      </c>
      <c r="E3264" s="27" t="str" cm="1">
        <f t="array" ref="E3264">IF(C3264="","",IFERROR(INDEX(STPP!$E$6:$E$4207,MATCH(C3264,STPP!$C$6:$C$4207,0)),"Not Found"))</f>
        <v/>
      </c>
      <c r="F3264" s="27" t="str" cm="1">
        <f t="array" ref="F3264">IF(C3264="","",IFERROR(INDEX(STPP!$F$6:$F$4207,MATCH(C3264,STPP!$C$6:$C$4207,0)),"Not Found"))</f>
        <v/>
      </c>
      <c r="G3264" s="25" t="str">
        <f>IF(表1[[#This Row],[No Seri]]="","",表1[[#This Row],[Deskripsi Barang]]+表1[[#This Row],[Kuantitas]]-表1[[#This Row],[Satuan]])</f>
        <v/>
      </c>
      <c r="H3264" s="28"/>
      <c r="I3264" s="25" t="str">
        <f>IF(表1[[#This Row],[Tgl NPBG]]&gt;表1[[#This Row],[Peminta]],表1[[#This Row],[Tgl NPBG]]-表1[[#This Row],[Peminta]],"")</f>
        <v/>
      </c>
      <c r="J3264" s="31"/>
    </row>
    <row r="3265" s="12" customFormat="1" customHeight="1" spans="2:10">
      <c r="B3265" s="25"/>
      <c r="C3265" s="25"/>
      <c r="D3265" s="26" t="str" cm="1">
        <f t="array" ref="D3265">IF(C3265="","",IFERROR(INDEX(STPP!$D$6:$D$4207,MATCH(C3265,STPP!$C$6:$C$4207,0)),"Not Found"))</f>
        <v/>
      </c>
      <c r="E3265" s="27" t="str" cm="1">
        <f t="array" ref="E3265">IF(C3265="","",IFERROR(INDEX(STPP!$E$6:$E$4207,MATCH(C3265,STPP!$C$6:$C$4207,0)),"Not Found"))</f>
        <v/>
      </c>
      <c r="F3265" s="27" t="str" cm="1">
        <f t="array" ref="F3265">IF(C3265="","",IFERROR(INDEX(STPP!$F$6:$F$4207,MATCH(C3265,STPP!$C$6:$C$4207,0)),"Not Found"))</f>
        <v/>
      </c>
      <c r="G3265" s="25" t="str">
        <f>IF(表1[[#This Row],[No Seri]]="","",表1[[#This Row],[Deskripsi Barang]]+表1[[#This Row],[Kuantitas]]-表1[[#This Row],[Satuan]])</f>
        <v/>
      </c>
      <c r="H3265" s="28"/>
      <c r="I3265" s="25" t="str">
        <f>IF(表1[[#This Row],[Tgl NPBG]]&gt;表1[[#This Row],[Peminta]],表1[[#This Row],[Tgl NPBG]]-表1[[#This Row],[Peminta]],"")</f>
        <v/>
      </c>
      <c r="J3265" s="31"/>
    </row>
    <row r="3266" s="12" customFormat="1" customHeight="1" spans="2:10">
      <c r="B3266" s="25"/>
      <c r="C3266" s="25"/>
      <c r="D3266" s="26" t="str" cm="1">
        <f t="array" ref="D3266">IF(C3266="","",IFERROR(INDEX(STPP!$D$6:$D$4207,MATCH(C3266,STPP!$C$6:$C$4207,0)),"Not Found"))</f>
        <v/>
      </c>
      <c r="E3266" s="27" t="str" cm="1">
        <f t="array" ref="E3266">IF(C3266="","",IFERROR(INDEX(STPP!$E$6:$E$4207,MATCH(C3266,STPP!$C$6:$C$4207,0)),"Not Found"))</f>
        <v/>
      </c>
      <c r="F3266" s="27" t="str" cm="1">
        <f t="array" ref="F3266">IF(C3266="","",IFERROR(INDEX(STPP!$F$6:$F$4207,MATCH(C3266,STPP!$C$6:$C$4207,0)),"Not Found"))</f>
        <v/>
      </c>
      <c r="G3266" s="25" t="str">
        <f>IF(表1[[#This Row],[No Seri]]="","",表1[[#This Row],[Deskripsi Barang]]+表1[[#This Row],[Kuantitas]]-表1[[#This Row],[Satuan]])</f>
        <v/>
      </c>
      <c r="H3266" s="28"/>
      <c r="I3266" s="25" t="str">
        <f>IF(表1[[#This Row],[Tgl NPBG]]&gt;表1[[#This Row],[Peminta]],表1[[#This Row],[Tgl NPBG]]-表1[[#This Row],[Peminta]],"")</f>
        <v/>
      </c>
      <c r="J3266" s="31"/>
    </row>
    <row r="3267" s="12" customFormat="1" customHeight="1" spans="2:10">
      <c r="B3267" s="25"/>
      <c r="C3267" s="25"/>
      <c r="D3267" s="26" t="str" cm="1">
        <f t="array" ref="D3267">IF(C3267="","",IFERROR(INDEX(STPP!$D$6:$D$4207,MATCH(C3267,STPP!$C$6:$C$4207,0)),"Not Found"))</f>
        <v/>
      </c>
      <c r="E3267" s="27" t="str" cm="1">
        <f t="array" ref="E3267">IF(C3267="","",IFERROR(INDEX(STPP!$E$6:$E$4207,MATCH(C3267,STPP!$C$6:$C$4207,0)),"Not Found"))</f>
        <v/>
      </c>
      <c r="F3267" s="27" t="str" cm="1">
        <f t="array" ref="F3267">IF(C3267="","",IFERROR(INDEX(STPP!$F$6:$F$4207,MATCH(C3267,STPP!$C$6:$C$4207,0)),"Not Found"))</f>
        <v/>
      </c>
      <c r="G3267" s="25" t="str">
        <f>IF(表1[[#This Row],[No Seri]]="","",表1[[#This Row],[Deskripsi Barang]]+表1[[#This Row],[Kuantitas]]-表1[[#This Row],[Satuan]])</f>
        <v/>
      </c>
      <c r="H3267" s="28"/>
      <c r="I3267" s="25" t="str">
        <f>IF(表1[[#This Row],[Tgl NPBG]]&gt;表1[[#This Row],[Peminta]],表1[[#This Row],[Tgl NPBG]]-表1[[#This Row],[Peminta]],"")</f>
        <v/>
      </c>
      <c r="J3267" s="31"/>
    </row>
    <row r="3268" s="12" customFormat="1" customHeight="1" spans="2:10">
      <c r="B3268" s="25"/>
      <c r="C3268" s="25"/>
      <c r="D3268" s="26" t="str" cm="1">
        <f t="array" ref="D3268">IF(C3268="","",IFERROR(INDEX(STPP!$D$6:$D$4207,MATCH(C3268,STPP!$C$6:$C$4207,0)),"Not Found"))</f>
        <v/>
      </c>
      <c r="E3268" s="27" t="str" cm="1">
        <f t="array" ref="E3268">IF(C3268="","",IFERROR(INDEX(STPP!$E$6:$E$4207,MATCH(C3268,STPP!$C$6:$C$4207,0)),"Not Found"))</f>
        <v/>
      </c>
      <c r="F3268" s="27" t="str" cm="1">
        <f t="array" ref="F3268">IF(C3268="","",IFERROR(INDEX(STPP!$F$6:$F$4207,MATCH(C3268,STPP!$C$6:$C$4207,0)),"Not Found"))</f>
        <v/>
      </c>
      <c r="G3268" s="25" t="str">
        <f>IF(表1[[#This Row],[No Seri]]="","",表1[[#This Row],[Deskripsi Barang]]+表1[[#This Row],[Kuantitas]]-表1[[#This Row],[Satuan]])</f>
        <v/>
      </c>
      <c r="H3268" s="28"/>
      <c r="I3268" s="25" t="str">
        <f>IF(表1[[#This Row],[Tgl NPBG]]&gt;表1[[#This Row],[Peminta]],表1[[#This Row],[Tgl NPBG]]-表1[[#This Row],[Peminta]],"")</f>
        <v/>
      </c>
      <c r="J3268" s="31"/>
    </row>
    <row r="3269" s="12" customFormat="1" customHeight="1" spans="2:10">
      <c r="B3269" s="25"/>
      <c r="C3269" s="25"/>
      <c r="D3269" s="26" t="str" cm="1">
        <f t="array" ref="D3269">IF(C3269="","",IFERROR(INDEX(STPP!$D$6:$D$4207,MATCH(C3269,STPP!$C$6:$C$4207,0)),"Not Found"))</f>
        <v/>
      </c>
      <c r="E3269" s="27" t="str" cm="1">
        <f t="array" ref="E3269">IF(C3269="","",IFERROR(INDEX(STPP!$E$6:$E$4207,MATCH(C3269,STPP!$C$6:$C$4207,0)),"Not Found"))</f>
        <v/>
      </c>
      <c r="F3269" s="27" t="str" cm="1">
        <f t="array" ref="F3269">IF(C3269="","",IFERROR(INDEX(STPP!$F$6:$F$4207,MATCH(C3269,STPP!$C$6:$C$4207,0)),"Not Found"))</f>
        <v/>
      </c>
      <c r="G3269" s="25" t="str">
        <f>IF(表1[[#This Row],[No Seri]]="","",表1[[#This Row],[Deskripsi Barang]]+表1[[#This Row],[Kuantitas]]-表1[[#This Row],[Satuan]])</f>
        <v/>
      </c>
      <c r="H3269" s="28"/>
      <c r="I3269" s="25" t="str">
        <f>IF(表1[[#This Row],[Tgl NPBG]]&gt;表1[[#This Row],[Peminta]],表1[[#This Row],[Tgl NPBG]]-表1[[#This Row],[Peminta]],"")</f>
        <v/>
      </c>
      <c r="J3269" s="31"/>
    </row>
    <row r="3270" s="12" customFormat="1" customHeight="1" spans="2:10">
      <c r="B3270" s="25"/>
      <c r="C3270" s="25"/>
      <c r="D3270" s="26" t="str" cm="1">
        <f t="array" ref="D3270">IF(C3270="","",IFERROR(INDEX(STPP!$D$6:$D$4207,MATCH(C3270,STPP!$C$6:$C$4207,0)),"Not Found"))</f>
        <v/>
      </c>
      <c r="E3270" s="27" t="str" cm="1">
        <f t="array" ref="E3270">IF(C3270="","",IFERROR(INDEX(STPP!$E$6:$E$4207,MATCH(C3270,STPP!$C$6:$C$4207,0)),"Not Found"))</f>
        <v/>
      </c>
      <c r="F3270" s="27" t="str" cm="1">
        <f t="array" ref="F3270">IF(C3270="","",IFERROR(INDEX(STPP!$F$6:$F$4207,MATCH(C3270,STPP!$C$6:$C$4207,0)),"Not Found"))</f>
        <v/>
      </c>
      <c r="G3270" s="25" t="str">
        <f>IF(表1[[#This Row],[No Seri]]="","",表1[[#This Row],[Deskripsi Barang]]+表1[[#This Row],[Kuantitas]]-表1[[#This Row],[Satuan]])</f>
        <v/>
      </c>
      <c r="H3270" s="28"/>
      <c r="I3270" s="25" t="str">
        <f>IF(表1[[#This Row],[Tgl NPBG]]&gt;表1[[#This Row],[Peminta]],表1[[#This Row],[Tgl NPBG]]-表1[[#This Row],[Peminta]],"")</f>
        <v/>
      </c>
      <c r="J3270" s="31"/>
    </row>
    <row r="3271" s="12" customFormat="1" customHeight="1" spans="2:10">
      <c r="B3271" s="25"/>
      <c r="C3271" s="25"/>
      <c r="D3271" s="26" t="str" cm="1">
        <f t="array" ref="D3271">IF(C3271="","",IFERROR(INDEX(STPP!$D$6:$D$4207,MATCH(C3271,STPP!$C$6:$C$4207,0)),"Not Found"))</f>
        <v/>
      </c>
      <c r="E3271" s="27" t="str" cm="1">
        <f t="array" ref="E3271">IF(C3271="","",IFERROR(INDEX(STPP!$E$6:$E$4207,MATCH(C3271,STPP!$C$6:$C$4207,0)),"Not Found"))</f>
        <v/>
      </c>
      <c r="F3271" s="27" t="str" cm="1">
        <f t="array" ref="F3271">IF(C3271="","",IFERROR(INDEX(STPP!$F$6:$F$4207,MATCH(C3271,STPP!$C$6:$C$4207,0)),"Not Found"))</f>
        <v/>
      </c>
      <c r="G3271" s="25" t="str">
        <f>IF(表1[[#This Row],[No Seri]]="","",表1[[#This Row],[Deskripsi Barang]]+表1[[#This Row],[Kuantitas]]-表1[[#This Row],[Satuan]])</f>
        <v/>
      </c>
      <c r="H3271" s="28"/>
      <c r="I3271" s="25" t="str">
        <f>IF(表1[[#This Row],[Tgl NPBG]]&gt;表1[[#This Row],[Peminta]],表1[[#This Row],[Tgl NPBG]]-表1[[#This Row],[Peminta]],"")</f>
        <v/>
      </c>
      <c r="J3271" s="31"/>
    </row>
    <row r="3272" s="12" customFormat="1" customHeight="1" spans="2:10">
      <c r="B3272" s="25"/>
      <c r="C3272" s="25"/>
      <c r="D3272" s="26" t="str" cm="1">
        <f t="array" ref="D3272">IF(C3272="","",IFERROR(INDEX(STPP!$D$6:$D$4207,MATCH(C3272,STPP!$C$6:$C$4207,0)),"Not Found"))</f>
        <v/>
      </c>
      <c r="E3272" s="27" t="str" cm="1">
        <f t="array" ref="E3272">IF(C3272="","",IFERROR(INDEX(STPP!$E$6:$E$4207,MATCH(C3272,STPP!$C$6:$C$4207,0)),"Not Found"))</f>
        <v/>
      </c>
      <c r="F3272" s="27" t="str" cm="1">
        <f t="array" ref="F3272">IF(C3272="","",IFERROR(INDEX(STPP!$F$6:$F$4207,MATCH(C3272,STPP!$C$6:$C$4207,0)),"Not Found"))</f>
        <v/>
      </c>
      <c r="G3272" s="25" t="str">
        <f>IF(表1[[#This Row],[No Seri]]="","",表1[[#This Row],[Deskripsi Barang]]+表1[[#This Row],[Kuantitas]]-表1[[#This Row],[Satuan]])</f>
        <v/>
      </c>
      <c r="H3272" s="28"/>
      <c r="I3272" s="25" t="str">
        <f>IF(表1[[#This Row],[Tgl NPBG]]&gt;表1[[#This Row],[Peminta]],表1[[#This Row],[Tgl NPBG]]-表1[[#This Row],[Peminta]],"")</f>
        <v/>
      </c>
      <c r="J3272" s="31"/>
    </row>
    <row r="3273" s="12" customFormat="1" customHeight="1" spans="2:10">
      <c r="B3273" s="25"/>
      <c r="C3273" s="25"/>
      <c r="D3273" s="26" t="str" cm="1">
        <f t="array" ref="D3273">IF(C3273="","",IFERROR(INDEX(STPP!$D$6:$D$4207,MATCH(C3273,STPP!$C$6:$C$4207,0)),"Not Found"))</f>
        <v/>
      </c>
      <c r="E3273" s="27" t="str" cm="1">
        <f t="array" ref="E3273">IF(C3273="","",IFERROR(INDEX(STPP!$E$6:$E$4207,MATCH(C3273,STPP!$C$6:$C$4207,0)),"Not Found"))</f>
        <v/>
      </c>
      <c r="F3273" s="27" t="str" cm="1">
        <f t="array" ref="F3273">IF(C3273="","",IFERROR(INDEX(STPP!$F$6:$F$4207,MATCH(C3273,STPP!$C$6:$C$4207,0)),"Not Found"))</f>
        <v/>
      </c>
      <c r="G3273" s="25" t="str">
        <f>IF(表1[[#This Row],[No Seri]]="","",表1[[#This Row],[Deskripsi Barang]]+表1[[#This Row],[Kuantitas]]-表1[[#This Row],[Satuan]])</f>
        <v/>
      </c>
      <c r="H3273" s="28"/>
      <c r="I3273" s="25" t="str">
        <f>IF(表1[[#This Row],[Tgl NPBG]]&gt;表1[[#This Row],[Peminta]],表1[[#This Row],[Tgl NPBG]]-表1[[#This Row],[Peminta]],"")</f>
        <v/>
      </c>
      <c r="J3273" s="31"/>
    </row>
    <row r="3274" s="12" customFormat="1" customHeight="1" spans="2:10">
      <c r="B3274" s="25"/>
      <c r="C3274" s="25"/>
      <c r="D3274" s="26" t="str" cm="1">
        <f t="array" ref="D3274">IF(C3274="","",IFERROR(INDEX(STPP!$D$6:$D$4207,MATCH(C3274,STPP!$C$6:$C$4207,0)),"Not Found"))</f>
        <v/>
      </c>
      <c r="E3274" s="27" t="str" cm="1">
        <f t="array" ref="E3274">IF(C3274="","",IFERROR(INDEX(STPP!$E$6:$E$4207,MATCH(C3274,STPP!$C$6:$C$4207,0)),"Not Found"))</f>
        <v/>
      </c>
      <c r="F3274" s="27" t="str" cm="1">
        <f t="array" ref="F3274">IF(C3274="","",IFERROR(INDEX(STPP!$F$6:$F$4207,MATCH(C3274,STPP!$C$6:$C$4207,0)),"Not Found"))</f>
        <v/>
      </c>
      <c r="G3274" s="25" t="str">
        <f>IF(表1[[#This Row],[No Seri]]="","",表1[[#This Row],[Deskripsi Barang]]+表1[[#This Row],[Kuantitas]]-表1[[#This Row],[Satuan]])</f>
        <v/>
      </c>
      <c r="H3274" s="28"/>
      <c r="I3274" s="25" t="str">
        <f>IF(表1[[#This Row],[Tgl NPBG]]&gt;表1[[#This Row],[Peminta]],表1[[#This Row],[Tgl NPBG]]-表1[[#This Row],[Peminta]],"")</f>
        <v/>
      </c>
      <c r="J3274" s="31"/>
    </row>
    <row r="3275" s="12" customFormat="1" customHeight="1" spans="2:10">
      <c r="B3275" s="25"/>
      <c r="C3275" s="25"/>
      <c r="D3275" s="26" t="str" cm="1">
        <f t="array" ref="D3275">IF(C3275="","",IFERROR(INDEX(STPP!$D$6:$D$4207,MATCH(C3275,STPP!$C$6:$C$4207,0)),"Not Found"))</f>
        <v/>
      </c>
      <c r="E3275" s="27" t="str" cm="1">
        <f t="array" ref="E3275">IF(C3275="","",IFERROR(INDEX(STPP!$E$6:$E$4207,MATCH(C3275,STPP!$C$6:$C$4207,0)),"Not Found"))</f>
        <v/>
      </c>
      <c r="F3275" s="27" t="str" cm="1">
        <f t="array" ref="F3275">IF(C3275="","",IFERROR(INDEX(STPP!$F$6:$F$4207,MATCH(C3275,STPP!$C$6:$C$4207,0)),"Not Found"))</f>
        <v/>
      </c>
      <c r="G3275" s="25" t="str">
        <f>IF(表1[[#This Row],[No Seri]]="","",表1[[#This Row],[Deskripsi Barang]]+表1[[#This Row],[Kuantitas]]-表1[[#This Row],[Satuan]])</f>
        <v/>
      </c>
      <c r="H3275" s="28"/>
      <c r="I3275" s="25" t="str">
        <f>IF(表1[[#This Row],[Tgl NPBG]]&gt;表1[[#This Row],[Peminta]],表1[[#This Row],[Tgl NPBG]]-表1[[#This Row],[Peminta]],"")</f>
        <v/>
      </c>
      <c r="J3275" s="31"/>
    </row>
    <row r="3276" s="12" customFormat="1" customHeight="1" spans="2:10">
      <c r="B3276" s="25"/>
      <c r="C3276" s="25"/>
      <c r="D3276" s="26" t="str" cm="1">
        <f t="array" ref="D3276">IF(C3276="","",IFERROR(INDEX(STPP!$D$6:$D$4207,MATCH(C3276,STPP!$C$6:$C$4207,0)),"Not Found"))</f>
        <v/>
      </c>
      <c r="E3276" s="27" t="str" cm="1">
        <f t="array" ref="E3276">IF(C3276="","",IFERROR(INDEX(STPP!$E$6:$E$4207,MATCH(C3276,STPP!$C$6:$C$4207,0)),"Not Found"))</f>
        <v/>
      </c>
      <c r="F3276" s="27" t="str" cm="1">
        <f t="array" ref="F3276">IF(C3276="","",IFERROR(INDEX(STPP!$F$6:$F$4207,MATCH(C3276,STPP!$C$6:$C$4207,0)),"Not Found"))</f>
        <v/>
      </c>
      <c r="G3276" s="25" t="str">
        <f>IF(表1[[#This Row],[No Seri]]="","",表1[[#This Row],[Deskripsi Barang]]+表1[[#This Row],[Kuantitas]]-表1[[#This Row],[Satuan]])</f>
        <v/>
      </c>
      <c r="H3276" s="28"/>
      <c r="I3276" s="25" t="str">
        <f>IF(表1[[#This Row],[Tgl NPBG]]&gt;表1[[#This Row],[Peminta]],表1[[#This Row],[Tgl NPBG]]-表1[[#This Row],[Peminta]],"")</f>
        <v/>
      </c>
      <c r="J3276" s="31"/>
    </row>
    <row r="3277" s="12" customFormat="1" customHeight="1" spans="2:10">
      <c r="B3277" s="25"/>
      <c r="C3277" s="25"/>
      <c r="D3277" s="26" t="str" cm="1">
        <f t="array" ref="D3277">IF(C3277="","",IFERROR(INDEX(STPP!$D$6:$D$4207,MATCH(C3277,STPP!$C$6:$C$4207,0)),"Not Found"))</f>
        <v/>
      </c>
      <c r="E3277" s="27" t="str" cm="1">
        <f t="array" ref="E3277">IF(C3277="","",IFERROR(INDEX(STPP!$E$6:$E$4207,MATCH(C3277,STPP!$C$6:$C$4207,0)),"Not Found"))</f>
        <v/>
      </c>
      <c r="F3277" s="27" t="str" cm="1">
        <f t="array" ref="F3277">IF(C3277="","",IFERROR(INDEX(STPP!$F$6:$F$4207,MATCH(C3277,STPP!$C$6:$C$4207,0)),"Not Found"))</f>
        <v/>
      </c>
      <c r="G3277" s="25" t="str">
        <f>IF(表1[[#This Row],[No Seri]]="","",表1[[#This Row],[Deskripsi Barang]]+表1[[#This Row],[Kuantitas]]-表1[[#This Row],[Satuan]])</f>
        <v/>
      </c>
      <c r="H3277" s="28"/>
      <c r="I3277" s="25" t="str">
        <f>IF(表1[[#This Row],[Tgl NPBG]]&gt;表1[[#This Row],[Peminta]],表1[[#This Row],[Tgl NPBG]]-表1[[#This Row],[Peminta]],"")</f>
        <v/>
      </c>
      <c r="J3277" s="31"/>
    </row>
    <row r="3278" s="12" customFormat="1" customHeight="1" spans="2:10">
      <c r="B3278" s="25"/>
      <c r="C3278" s="25"/>
      <c r="D3278" s="26" t="str" cm="1">
        <f t="array" ref="D3278">IF(C3278="","",IFERROR(INDEX(STPP!$D$6:$D$4207,MATCH(C3278,STPP!$C$6:$C$4207,0)),"Not Found"))</f>
        <v/>
      </c>
      <c r="E3278" s="27" t="str" cm="1">
        <f t="array" ref="E3278">IF(C3278="","",IFERROR(INDEX(STPP!$E$6:$E$4207,MATCH(C3278,STPP!$C$6:$C$4207,0)),"Not Found"))</f>
        <v/>
      </c>
      <c r="F3278" s="27" t="str" cm="1">
        <f t="array" ref="F3278">IF(C3278="","",IFERROR(INDEX(STPP!$F$6:$F$4207,MATCH(C3278,STPP!$C$6:$C$4207,0)),"Not Found"))</f>
        <v/>
      </c>
      <c r="G3278" s="25" t="str">
        <f>IF(表1[[#This Row],[No Seri]]="","",表1[[#This Row],[Deskripsi Barang]]+表1[[#This Row],[Kuantitas]]-表1[[#This Row],[Satuan]])</f>
        <v/>
      </c>
      <c r="H3278" s="28"/>
      <c r="I3278" s="25" t="str">
        <f>IF(表1[[#This Row],[Tgl NPBG]]&gt;表1[[#This Row],[Peminta]],表1[[#This Row],[Tgl NPBG]]-表1[[#This Row],[Peminta]],"")</f>
        <v/>
      </c>
      <c r="J3278" s="31"/>
    </row>
    <row r="3279" s="12" customFormat="1" customHeight="1" spans="2:10">
      <c r="B3279" s="25"/>
      <c r="C3279" s="25"/>
      <c r="D3279" s="26" t="str" cm="1">
        <f t="array" ref="D3279">IF(C3279="","",IFERROR(INDEX(STPP!$D$6:$D$4207,MATCH(C3279,STPP!$C$6:$C$4207,0)),"Not Found"))</f>
        <v/>
      </c>
      <c r="E3279" s="27" t="str" cm="1">
        <f t="array" ref="E3279">IF(C3279="","",IFERROR(INDEX(STPP!$E$6:$E$4207,MATCH(C3279,STPP!$C$6:$C$4207,0)),"Not Found"))</f>
        <v/>
      </c>
      <c r="F3279" s="27" t="str" cm="1">
        <f t="array" ref="F3279">IF(C3279="","",IFERROR(INDEX(STPP!$F$6:$F$4207,MATCH(C3279,STPP!$C$6:$C$4207,0)),"Not Found"))</f>
        <v/>
      </c>
      <c r="G3279" s="25" t="str">
        <f>IF(表1[[#This Row],[No Seri]]="","",表1[[#This Row],[Deskripsi Barang]]+表1[[#This Row],[Kuantitas]]-表1[[#This Row],[Satuan]])</f>
        <v/>
      </c>
      <c r="H3279" s="28"/>
      <c r="I3279" s="25" t="str">
        <f>IF(表1[[#This Row],[Tgl NPBG]]&gt;表1[[#This Row],[Peminta]],表1[[#This Row],[Tgl NPBG]]-表1[[#This Row],[Peminta]],"")</f>
        <v/>
      </c>
      <c r="J3279" s="31"/>
    </row>
    <row r="3280" s="12" customFormat="1" customHeight="1" spans="2:10">
      <c r="B3280" s="25"/>
      <c r="C3280" s="25"/>
      <c r="D3280" s="26" t="str" cm="1">
        <f t="array" ref="D3280">IF(C3280="","",IFERROR(INDEX(STPP!$D$6:$D$4207,MATCH(C3280,STPP!$C$6:$C$4207,0)),"Not Found"))</f>
        <v/>
      </c>
      <c r="E3280" s="27" t="str" cm="1">
        <f t="array" ref="E3280">IF(C3280="","",IFERROR(INDEX(STPP!$E$6:$E$4207,MATCH(C3280,STPP!$C$6:$C$4207,0)),"Not Found"))</f>
        <v/>
      </c>
      <c r="F3280" s="27" t="str" cm="1">
        <f t="array" ref="F3280">IF(C3280="","",IFERROR(INDEX(STPP!$F$6:$F$4207,MATCH(C3280,STPP!$C$6:$C$4207,0)),"Not Found"))</f>
        <v/>
      </c>
      <c r="G3280" s="25" t="str">
        <f>IF(表1[[#This Row],[No Seri]]="","",表1[[#This Row],[Deskripsi Barang]]+表1[[#This Row],[Kuantitas]]-表1[[#This Row],[Satuan]])</f>
        <v/>
      </c>
      <c r="H3280" s="28"/>
      <c r="I3280" s="25" t="str">
        <f>IF(表1[[#This Row],[Tgl NPBG]]&gt;表1[[#This Row],[Peminta]],表1[[#This Row],[Tgl NPBG]]-表1[[#This Row],[Peminta]],"")</f>
        <v/>
      </c>
      <c r="J3280" s="31"/>
    </row>
    <row r="3281" s="12" customFormat="1" customHeight="1" spans="2:10">
      <c r="B3281" s="25"/>
      <c r="C3281" s="25"/>
      <c r="D3281" s="26" t="str" cm="1">
        <f t="array" ref="D3281">IF(C3281="","",IFERROR(INDEX(STPP!$D$6:$D$4207,MATCH(C3281,STPP!$C$6:$C$4207,0)),"Not Found"))</f>
        <v/>
      </c>
      <c r="E3281" s="27" t="str" cm="1">
        <f t="array" ref="E3281">IF(C3281="","",IFERROR(INDEX(STPP!$E$6:$E$4207,MATCH(C3281,STPP!$C$6:$C$4207,0)),"Not Found"))</f>
        <v/>
      </c>
      <c r="F3281" s="27" t="str" cm="1">
        <f t="array" ref="F3281">IF(C3281="","",IFERROR(INDEX(STPP!$F$6:$F$4207,MATCH(C3281,STPP!$C$6:$C$4207,0)),"Not Found"))</f>
        <v/>
      </c>
      <c r="G3281" s="25" t="str">
        <f>IF(表1[[#This Row],[No Seri]]="","",表1[[#This Row],[Deskripsi Barang]]+表1[[#This Row],[Kuantitas]]-表1[[#This Row],[Satuan]])</f>
        <v/>
      </c>
      <c r="H3281" s="28"/>
      <c r="I3281" s="25" t="str">
        <f>IF(表1[[#This Row],[Tgl NPBG]]&gt;表1[[#This Row],[Peminta]],表1[[#This Row],[Tgl NPBG]]-表1[[#This Row],[Peminta]],"")</f>
        <v/>
      </c>
      <c r="J3281" s="31"/>
    </row>
    <row r="3282" s="12" customFormat="1" customHeight="1" spans="2:10">
      <c r="B3282" s="25"/>
      <c r="C3282" s="25"/>
      <c r="D3282" s="26" t="str" cm="1">
        <f t="array" ref="D3282">IF(C3282="","",IFERROR(INDEX(STPP!$D$6:$D$4207,MATCH(C3282,STPP!$C$6:$C$4207,0)),"Not Found"))</f>
        <v/>
      </c>
      <c r="E3282" s="27" t="str" cm="1">
        <f t="array" ref="E3282">IF(C3282="","",IFERROR(INDEX(STPP!$E$6:$E$4207,MATCH(C3282,STPP!$C$6:$C$4207,0)),"Not Found"))</f>
        <v/>
      </c>
      <c r="F3282" s="27" t="str" cm="1">
        <f t="array" ref="F3282">IF(C3282="","",IFERROR(INDEX(STPP!$F$6:$F$4207,MATCH(C3282,STPP!$C$6:$C$4207,0)),"Not Found"))</f>
        <v/>
      </c>
      <c r="G3282" s="25" t="str">
        <f>IF(表1[[#This Row],[No Seri]]="","",表1[[#This Row],[Deskripsi Barang]]+表1[[#This Row],[Kuantitas]]-表1[[#This Row],[Satuan]])</f>
        <v/>
      </c>
      <c r="H3282" s="28"/>
      <c r="I3282" s="25" t="str">
        <f>IF(表1[[#This Row],[Tgl NPBG]]&gt;表1[[#This Row],[Peminta]],表1[[#This Row],[Tgl NPBG]]-表1[[#This Row],[Peminta]],"")</f>
        <v/>
      </c>
      <c r="J3282" s="31"/>
    </row>
    <row r="3283" s="12" customFormat="1" customHeight="1" spans="2:10">
      <c r="B3283" s="25"/>
      <c r="C3283" s="25"/>
      <c r="D3283" s="26" t="str" cm="1">
        <f t="array" ref="D3283">IF(C3283="","",IFERROR(INDEX(STPP!$D$6:$D$4207,MATCH(C3283,STPP!$C$6:$C$4207,0)),"Not Found"))</f>
        <v/>
      </c>
      <c r="E3283" s="27" t="str" cm="1">
        <f t="array" ref="E3283">IF(C3283="","",IFERROR(INDEX(STPP!$E$6:$E$4207,MATCH(C3283,STPP!$C$6:$C$4207,0)),"Not Found"))</f>
        <v/>
      </c>
      <c r="F3283" s="27" t="str" cm="1">
        <f t="array" ref="F3283">IF(C3283="","",IFERROR(INDEX(STPP!$F$6:$F$4207,MATCH(C3283,STPP!$C$6:$C$4207,0)),"Not Found"))</f>
        <v/>
      </c>
      <c r="G3283" s="25" t="str">
        <f>IF(表1[[#This Row],[No Seri]]="","",表1[[#This Row],[Deskripsi Barang]]+表1[[#This Row],[Kuantitas]]-表1[[#This Row],[Satuan]])</f>
        <v/>
      </c>
      <c r="H3283" s="28"/>
      <c r="I3283" s="25" t="str">
        <f>IF(表1[[#This Row],[Tgl NPBG]]&gt;表1[[#This Row],[Peminta]],表1[[#This Row],[Tgl NPBG]]-表1[[#This Row],[Peminta]],"")</f>
        <v/>
      </c>
      <c r="J3283" s="31"/>
    </row>
    <row r="3284" s="12" customFormat="1" customHeight="1" spans="2:10">
      <c r="B3284" s="25"/>
      <c r="C3284" s="25"/>
      <c r="D3284" s="26" t="str" cm="1">
        <f t="array" ref="D3284">IF(C3284="","",IFERROR(INDEX(STPP!$D$6:$D$4207,MATCH(C3284,STPP!$C$6:$C$4207,0)),"Not Found"))</f>
        <v/>
      </c>
      <c r="E3284" s="27" t="str" cm="1">
        <f t="array" ref="E3284">IF(C3284="","",IFERROR(INDEX(STPP!$E$6:$E$4207,MATCH(C3284,STPP!$C$6:$C$4207,0)),"Not Found"))</f>
        <v/>
      </c>
      <c r="F3284" s="27" t="str" cm="1">
        <f t="array" ref="F3284">IF(C3284="","",IFERROR(INDEX(STPP!$F$6:$F$4207,MATCH(C3284,STPP!$C$6:$C$4207,0)),"Not Found"))</f>
        <v/>
      </c>
      <c r="G3284" s="25" t="str">
        <f>IF(表1[[#This Row],[No Seri]]="","",表1[[#This Row],[Deskripsi Barang]]+表1[[#This Row],[Kuantitas]]-表1[[#This Row],[Satuan]])</f>
        <v/>
      </c>
      <c r="H3284" s="28"/>
      <c r="I3284" s="25" t="str">
        <f>IF(表1[[#This Row],[Tgl NPBG]]&gt;表1[[#This Row],[Peminta]],表1[[#This Row],[Tgl NPBG]]-表1[[#This Row],[Peminta]],"")</f>
        <v/>
      </c>
      <c r="J3284" s="31"/>
    </row>
    <row r="3285" s="12" customFormat="1" customHeight="1" spans="2:10">
      <c r="B3285" s="25"/>
      <c r="C3285" s="25"/>
      <c r="D3285" s="26" t="str" cm="1">
        <f t="array" ref="D3285">IF(C3285="","",IFERROR(INDEX(STPP!$D$6:$D$4207,MATCH(C3285,STPP!$C$6:$C$4207,0)),"Not Found"))</f>
        <v/>
      </c>
      <c r="E3285" s="27" t="str" cm="1">
        <f t="array" ref="E3285">IF(C3285="","",IFERROR(INDEX(STPP!$E$6:$E$4207,MATCH(C3285,STPP!$C$6:$C$4207,0)),"Not Found"))</f>
        <v/>
      </c>
      <c r="F3285" s="27" t="str" cm="1">
        <f t="array" ref="F3285">IF(C3285="","",IFERROR(INDEX(STPP!$F$6:$F$4207,MATCH(C3285,STPP!$C$6:$C$4207,0)),"Not Found"))</f>
        <v/>
      </c>
      <c r="G3285" s="25" t="str">
        <f>IF(表1[[#This Row],[No Seri]]="","",表1[[#This Row],[Deskripsi Barang]]+表1[[#This Row],[Kuantitas]]-表1[[#This Row],[Satuan]])</f>
        <v/>
      </c>
      <c r="H3285" s="28"/>
      <c r="I3285" s="25" t="str">
        <f>IF(表1[[#This Row],[Tgl NPBG]]&gt;表1[[#This Row],[Peminta]],表1[[#This Row],[Tgl NPBG]]-表1[[#This Row],[Peminta]],"")</f>
        <v/>
      </c>
      <c r="J3285" s="31"/>
    </row>
    <row r="3286" s="12" customFormat="1" customHeight="1" spans="2:10">
      <c r="B3286" s="25"/>
      <c r="C3286" s="25"/>
      <c r="D3286" s="26" t="str" cm="1">
        <f t="array" ref="D3286">IF(C3286="","",IFERROR(INDEX(STPP!$D$6:$D$4207,MATCH(C3286,STPP!$C$6:$C$4207,0)),"Not Found"))</f>
        <v/>
      </c>
      <c r="E3286" s="27" t="str" cm="1">
        <f t="array" ref="E3286">IF(C3286="","",IFERROR(INDEX(STPP!$E$6:$E$4207,MATCH(C3286,STPP!$C$6:$C$4207,0)),"Not Found"))</f>
        <v/>
      </c>
      <c r="F3286" s="27" t="str" cm="1">
        <f t="array" ref="F3286">IF(C3286="","",IFERROR(INDEX(STPP!$F$6:$F$4207,MATCH(C3286,STPP!$C$6:$C$4207,0)),"Not Found"))</f>
        <v/>
      </c>
      <c r="G3286" s="25" t="str">
        <f>IF(表1[[#This Row],[No Seri]]="","",表1[[#This Row],[Deskripsi Barang]]+表1[[#This Row],[Kuantitas]]-表1[[#This Row],[Satuan]])</f>
        <v/>
      </c>
      <c r="H3286" s="28"/>
      <c r="I3286" s="25" t="str">
        <f>IF(表1[[#This Row],[Tgl NPBG]]&gt;表1[[#This Row],[Peminta]],表1[[#This Row],[Tgl NPBG]]-表1[[#This Row],[Peminta]],"")</f>
        <v/>
      </c>
      <c r="J3286" s="31"/>
    </row>
    <row r="3287" s="12" customFormat="1" customHeight="1" spans="2:10">
      <c r="B3287" s="25"/>
      <c r="C3287" s="25"/>
      <c r="D3287" s="26" t="str" cm="1">
        <f t="array" ref="D3287">IF(C3287="","",IFERROR(INDEX(STPP!$D$6:$D$4207,MATCH(C3287,STPP!$C$6:$C$4207,0)),"Not Found"))</f>
        <v/>
      </c>
      <c r="E3287" s="27" t="str" cm="1">
        <f t="array" ref="E3287">IF(C3287="","",IFERROR(INDEX(STPP!$E$6:$E$4207,MATCH(C3287,STPP!$C$6:$C$4207,0)),"Not Found"))</f>
        <v/>
      </c>
      <c r="F3287" s="27" t="str" cm="1">
        <f t="array" ref="F3287">IF(C3287="","",IFERROR(INDEX(STPP!$F$6:$F$4207,MATCH(C3287,STPP!$C$6:$C$4207,0)),"Not Found"))</f>
        <v/>
      </c>
      <c r="G3287" s="25" t="str">
        <f>IF(表1[[#This Row],[No Seri]]="","",表1[[#This Row],[Deskripsi Barang]]+表1[[#This Row],[Kuantitas]]-表1[[#This Row],[Satuan]])</f>
        <v/>
      </c>
      <c r="H3287" s="28"/>
      <c r="I3287" s="25" t="str">
        <f>IF(表1[[#This Row],[Tgl NPBG]]&gt;表1[[#This Row],[Peminta]],表1[[#This Row],[Tgl NPBG]]-表1[[#This Row],[Peminta]],"")</f>
        <v/>
      </c>
      <c r="J3287" s="31"/>
    </row>
    <row r="3288" s="12" customFormat="1" customHeight="1" spans="2:10">
      <c r="B3288" s="25"/>
      <c r="C3288" s="25"/>
      <c r="D3288" s="26" t="str" cm="1">
        <f t="array" ref="D3288">IF(C3288="","",IFERROR(INDEX(STPP!$D$6:$D$4207,MATCH(C3288,STPP!$C$6:$C$4207,0)),"Not Found"))</f>
        <v/>
      </c>
      <c r="E3288" s="27" t="str" cm="1">
        <f t="array" ref="E3288">IF(C3288="","",IFERROR(INDEX(STPP!$E$6:$E$4207,MATCH(C3288,STPP!$C$6:$C$4207,0)),"Not Found"))</f>
        <v/>
      </c>
      <c r="F3288" s="27" t="str" cm="1">
        <f t="array" ref="F3288">IF(C3288="","",IFERROR(INDEX(STPP!$F$6:$F$4207,MATCH(C3288,STPP!$C$6:$C$4207,0)),"Not Found"))</f>
        <v/>
      </c>
      <c r="G3288" s="25" t="str">
        <f>IF(表1[[#This Row],[No Seri]]="","",表1[[#This Row],[Deskripsi Barang]]+表1[[#This Row],[Kuantitas]]-表1[[#This Row],[Satuan]])</f>
        <v/>
      </c>
      <c r="H3288" s="28"/>
      <c r="I3288" s="25" t="str">
        <f>IF(表1[[#This Row],[Tgl NPBG]]&gt;表1[[#This Row],[Peminta]],表1[[#This Row],[Tgl NPBG]]-表1[[#This Row],[Peminta]],"")</f>
        <v/>
      </c>
      <c r="J3288" s="31"/>
    </row>
    <row r="3289" s="12" customFormat="1" customHeight="1" spans="2:10">
      <c r="B3289" s="25"/>
      <c r="C3289" s="25"/>
      <c r="D3289" s="26" t="str" cm="1">
        <f t="array" ref="D3289">IF(C3289="","",IFERROR(INDEX(STPP!$D$6:$D$4207,MATCH(C3289,STPP!$C$6:$C$4207,0)),"Not Found"))</f>
        <v/>
      </c>
      <c r="E3289" s="27" t="str" cm="1">
        <f t="array" ref="E3289">IF(C3289="","",IFERROR(INDEX(STPP!$E$6:$E$4207,MATCH(C3289,STPP!$C$6:$C$4207,0)),"Not Found"))</f>
        <v/>
      </c>
      <c r="F3289" s="27" t="str" cm="1">
        <f t="array" ref="F3289">IF(C3289="","",IFERROR(INDEX(STPP!$F$6:$F$4207,MATCH(C3289,STPP!$C$6:$C$4207,0)),"Not Found"))</f>
        <v/>
      </c>
      <c r="G3289" s="25" t="str">
        <f>IF(表1[[#This Row],[No Seri]]="","",表1[[#This Row],[Deskripsi Barang]]+表1[[#This Row],[Kuantitas]]-表1[[#This Row],[Satuan]])</f>
        <v/>
      </c>
      <c r="H3289" s="28"/>
      <c r="I3289" s="25" t="str">
        <f>IF(表1[[#This Row],[Tgl NPBG]]&gt;表1[[#This Row],[Peminta]],表1[[#This Row],[Tgl NPBG]]-表1[[#This Row],[Peminta]],"")</f>
        <v/>
      </c>
      <c r="J3289" s="31"/>
    </row>
    <row r="3290" s="12" customFormat="1" customHeight="1" spans="2:10">
      <c r="B3290" s="25"/>
      <c r="C3290" s="25"/>
      <c r="D3290" s="26" t="str" cm="1">
        <f t="array" ref="D3290">IF(C3290="","",IFERROR(INDEX(STPP!$D$6:$D$4207,MATCH(C3290,STPP!$C$6:$C$4207,0)),"Not Found"))</f>
        <v/>
      </c>
      <c r="E3290" s="27" t="str" cm="1">
        <f t="array" ref="E3290">IF(C3290="","",IFERROR(INDEX(STPP!$E$6:$E$4207,MATCH(C3290,STPP!$C$6:$C$4207,0)),"Not Found"))</f>
        <v/>
      </c>
      <c r="F3290" s="27" t="str" cm="1">
        <f t="array" ref="F3290">IF(C3290="","",IFERROR(INDEX(STPP!$F$6:$F$4207,MATCH(C3290,STPP!$C$6:$C$4207,0)),"Not Found"))</f>
        <v/>
      </c>
      <c r="G3290" s="25" t="str">
        <f>IF(表1[[#This Row],[No Seri]]="","",表1[[#This Row],[Deskripsi Barang]]+表1[[#This Row],[Kuantitas]]-表1[[#This Row],[Satuan]])</f>
        <v/>
      </c>
      <c r="H3290" s="28"/>
      <c r="I3290" s="25" t="str">
        <f>IF(表1[[#This Row],[Tgl NPBG]]&gt;表1[[#This Row],[Peminta]],表1[[#This Row],[Tgl NPBG]]-表1[[#This Row],[Peminta]],"")</f>
        <v/>
      </c>
      <c r="J3290" s="31"/>
    </row>
    <row r="3291" s="12" customFormat="1" customHeight="1" spans="2:10">
      <c r="B3291" s="25"/>
      <c r="C3291" s="25"/>
      <c r="D3291" s="26" t="str" cm="1">
        <f t="array" ref="D3291">IF(C3291="","",IFERROR(INDEX(STPP!$D$6:$D$4207,MATCH(C3291,STPP!$C$6:$C$4207,0)),"Not Found"))</f>
        <v/>
      </c>
      <c r="E3291" s="27" t="str" cm="1">
        <f t="array" ref="E3291">IF(C3291="","",IFERROR(INDEX(STPP!$E$6:$E$4207,MATCH(C3291,STPP!$C$6:$C$4207,0)),"Not Found"))</f>
        <v/>
      </c>
      <c r="F3291" s="27" t="str" cm="1">
        <f t="array" ref="F3291">IF(C3291="","",IFERROR(INDEX(STPP!$F$6:$F$4207,MATCH(C3291,STPP!$C$6:$C$4207,0)),"Not Found"))</f>
        <v/>
      </c>
      <c r="G3291" s="25" t="str">
        <f>IF(表1[[#This Row],[No Seri]]="","",表1[[#This Row],[Deskripsi Barang]]+表1[[#This Row],[Kuantitas]]-表1[[#This Row],[Satuan]])</f>
        <v/>
      </c>
      <c r="H3291" s="28"/>
      <c r="I3291" s="25" t="str">
        <f>IF(表1[[#This Row],[Tgl NPBG]]&gt;表1[[#This Row],[Peminta]],表1[[#This Row],[Tgl NPBG]]-表1[[#This Row],[Peminta]],"")</f>
        <v/>
      </c>
      <c r="J3291" s="31"/>
    </row>
    <row r="3292" s="12" customFormat="1" customHeight="1" spans="2:10">
      <c r="B3292" s="25"/>
      <c r="C3292" s="25"/>
      <c r="D3292" s="26" t="str" cm="1">
        <f t="array" ref="D3292">IF(C3292="","",IFERROR(INDEX(STPP!$D$6:$D$4207,MATCH(C3292,STPP!$C$6:$C$4207,0)),"Not Found"))</f>
        <v/>
      </c>
      <c r="E3292" s="27" t="str" cm="1">
        <f t="array" ref="E3292">IF(C3292="","",IFERROR(INDEX(STPP!$E$6:$E$4207,MATCH(C3292,STPP!$C$6:$C$4207,0)),"Not Found"))</f>
        <v/>
      </c>
      <c r="F3292" s="27" t="str" cm="1">
        <f t="array" ref="F3292">IF(C3292="","",IFERROR(INDEX(STPP!$F$6:$F$4207,MATCH(C3292,STPP!$C$6:$C$4207,0)),"Not Found"))</f>
        <v/>
      </c>
      <c r="G3292" s="25" t="str">
        <f>IF(表1[[#This Row],[No Seri]]="","",表1[[#This Row],[Deskripsi Barang]]+表1[[#This Row],[Kuantitas]]-表1[[#This Row],[Satuan]])</f>
        <v/>
      </c>
      <c r="H3292" s="28"/>
      <c r="I3292" s="25" t="str">
        <f>IF(表1[[#This Row],[Tgl NPBG]]&gt;表1[[#This Row],[Peminta]],表1[[#This Row],[Tgl NPBG]]-表1[[#This Row],[Peminta]],"")</f>
        <v/>
      </c>
      <c r="J3292" s="31"/>
    </row>
    <row r="3293" s="12" customFormat="1" customHeight="1" spans="2:10">
      <c r="B3293" s="25"/>
      <c r="C3293" s="25"/>
      <c r="D3293" s="26" t="str" cm="1">
        <f t="array" ref="D3293">IF(C3293="","",IFERROR(INDEX(STPP!$D$6:$D$4207,MATCH(C3293,STPP!$C$6:$C$4207,0)),"Not Found"))</f>
        <v/>
      </c>
      <c r="E3293" s="27" t="str" cm="1">
        <f t="array" ref="E3293">IF(C3293="","",IFERROR(INDEX(STPP!$E$6:$E$4207,MATCH(C3293,STPP!$C$6:$C$4207,0)),"Not Found"))</f>
        <v/>
      </c>
      <c r="F3293" s="27" t="str" cm="1">
        <f t="array" ref="F3293">IF(C3293="","",IFERROR(INDEX(STPP!$F$6:$F$4207,MATCH(C3293,STPP!$C$6:$C$4207,0)),"Not Found"))</f>
        <v/>
      </c>
      <c r="G3293" s="25" t="str">
        <f>IF(表1[[#This Row],[No Seri]]="","",表1[[#This Row],[Deskripsi Barang]]+表1[[#This Row],[Kuantitas]]-表1[[#This Row],[Satuan]])</f>
        <v/>
      </c>
      <c r="H3293" s="28"/>
      <c r="I3293" s="25" t="str">
        <f>IF(表1[[#This Row],[Tgl NPBG]]&gt;表1[[#This Row],[Peminta]],表1[[#This Row],[Tgl NPBG]]-表1[[#This Row],[Peminta]],"")</f>
        <v/>
      </c>
      <c r="J3293" s="31"/>
    </row>
    <row r="3294" s="12" customFormat="1" customHeight="1" spans="2:10">
      <c r="B3294" s="25"/>
      <c r="C3294" s="25"/>
      <c r="D3294" s="26" t="str" cm="1">
        <f t="array" ref="D3294">IF(C3294="","",IFERROR(INDEX(STPP!$D$6:$D$4207,MATCH(C3294,STPP!$C$6:$C$4207,0)),"Not Found"))</f>
        <v/>
      </c>
      <c r="E3294" s="27" t="str" cm="1">
        <f t="array" ref="E3294">IF(C3294="","",IFERROR(INDEX(STPP!$E$6:$E$4207,MATCH(C3294,STPP!$C$6:$C$4207,0)),"Not Found"))</f>
        <v/>
      </c>
      <c r="F3294" s="27" t="str" cm="1">
        <f t="array" ref="F3294">IF(C3294="","",IFERROR(INDEX(STPP!$F$6:$F$4207,MATCH(C3294,STPP!$C$6:$C$4207,0)),"Not Found"))</f>
        <v/>
      </c>
      <c r="G3294" s="25" t="str">
        <f>IF(表1[[#This Row],[No Seri]]="","",表1[[#This Row],[Deskripsi Barang]]+表1[[#This Row],[Kuantitas]]-表1[[#This Row],[Satuan]])</f>
        <v/>
      </c>
      <c r="H3294" s="28"/>
      <c r="I3294" s="25" t="str">
        <f>IF(表1[[#This Row],[Tgl NPBG]]&gt;表1[[#This Row],[Peminta]],表1[[#This Row],[Tgl NPBG]]-表1[[#This Row],[Peminta]],"")</f>
        <v/>
      </c>
      <c r="J3294" s="31"/>
    </row>
    <row r="3295" s="12" customFormat="1" customHeight="1" spans="2:10">
      <c r="B3295" s="25"/>
      <c r="C3295" s="25"/>
      <c r="D3295" s="26" t="str" cm="1">
        <f t="array" ref="D3295">IF(C3295="","",IFERROR(INDEX(STPP!$D$6:$D$4207,MATCH(C3295,STPP!$C$6:$C$4207,0)),"Not Found"))</f>
        <v/>
      </c>
      <c r="E3295" s="27" t="str" cm="1">
        <f t="array" ref="E3295">IF(C3295="","",IFERROR(INDEX(STPP!$E$6:$E$4207,MATCH(C3295,STPP!$C$6:$C$4207,0)),"Not Found"))</f>
        <v/>
      </c>
      <c r="F3295" s="27" t="str" cm="1">
        <f t="array" ref="F3295">IF(C3295="","",IFERROR(INDEX(STPP!$F$6:$F$4207,MATCH(C3295,STPP!$C$6:$C$4207,0)),"Not Found"))</f>
        <v/>
      </c>
      <c r="G3295" s="25" t="str">
        <f>IF(表1[[#This Row],[No Seri]]="","",表1[[#This Row],[Deskripsi Barang]]+表1[[#This Row],[Kuantitas]]-表1[[#This Row],[Satuan]])</f>
        <v/>
      </c>
      <c r="H3295" s="28"/>
      <c r="I3295" s="25" t="str">
        <f>IF(表1[[#This Row],[Tgl NPBG]]&gt;表1[[#This Row],[Peminta]],表1[[#This Row],[Tgl NPBG]]-表1[[#This Row],[Peminta]],"")</f>
        <v/>
      </c>
      <c r="J3295" s="31"/>
    </row>
    <row r="3296" s="12" customFormat="1" customHeight="1" spans="2:10">
      <c r="B3296" s="25"/>
      <c r="C3296" s="25"/>
      <c r="D3296" s="26" t="str" cm="1">
        <f t="array" ref="D3296">IF(C3296="","",IFERROR(INDEX(STPP!$D$6:$D$4207,MATCH(C3296,STPP!$C$6:$C$4207,0)),"Not Found"))</f>
        <v/>
      </c>
      <c r="E3296" s="27" t="str" cm="1">
        <f t="array" ref="E3296">IF(C3296="","",IFERROR(INDEX(STPP!$E$6:$E$4207,MATCH(C3296,STPP!$C$6:$C$4207,0)),"Not Found"))</f>
        <v/>
      </c>
      <c r="F3296" s="27" t="str" cm="1">
        <f t="array" ref="F3296">IF(C3296="","",IFERROR(INDEX(STPP!$F$6:$F$4207,MATCH(C3296,STPP!$C$6:$C$4207,0)),"Not Found"))</f>
        <v/>
      </c>
      <c r="G3296" s="25" t="str">
        <f>IF(表1[[#This Row],[No Seri]]="","",表1[[#This Row],[Deskripsi Barang]]+表1[[#This Row],[Kuantitas]]-表1[[#This Row],[Satuan]])</f>
        <v/>
      </c>
      <c r="H3296" s="28"/>
      <c r="I3296" s="25" t="str">
        <f>IF(表1[[#This Row],[Tgl NPBG]]&gt;表1[[#This Row],[Peminta]],表1[[#This Row],[Tgl NPBG]]-表1[[#This Row],[Peminta]],"")</f>
        <v/>
      </c>
      <c r="J3296" s="31"/>
    </row>
    <row r="3297" s="12" customFormat="1" customHeight="1" spans="2:10">
      <c r="B3297" s="25"/>
      <c r="C3297" s="25"/>
      <c r="D3297" s="26" t="str" cm="1">
        <f t="array" ref="D3297">IF(C3297="","",IFERROR(INDEX(STPP!$D$6:$D$4207,MATCH(C3297,STPP!$C$6:$C$4207,0)),"Not Found"))</f>
        <v/>
      </c>
      <c r="E3297" s="27" t="str" cm="1">
        <f t="array" ref="E3297">IF(C3297="","",IFERROR(INDEX(STPP!$E$6:$E$4207,MATCH(C3297,STPP!$C$6:$C$4207,0)),"Not Found"))</f>
        <v/>
      </c>
      <c r="F3297" s="27" t="str" cm="1">
        <f t="array" ref="F3297">IF(C3297="","",IFERROR(INDEX(STPP!$F$6:$F$4207,MATCH(C3297,STPP!$C$6:$C$4207,0)),"Not Found"))</f>
        <v/>
      </c>
      <c r="G3297" s="25" t="str">
        <f>IF(表1[[#This Row],[No Seri]]="","",表1[[#This Row],[Deskripsi Barang]]+表1[[#This Row],[Kuantitas]]-表1[[#This Row],[Satuan]])</f>
        <v/>
      </c>
      <c r="H3297" s="28"/>
      <c r="I3297" s="25" t="str">
        <f>IF(表1[[#This Row],[Tgl NPBG]]&gt;表1[[#This Row],[Peminta]],表1[[#This Row],[Tgl NPBG]]-表1[[#This Row],[Peminta]],"")</f>
        <v/>
      </c>
      <c r="J3297" s="31"/>
    </row>
    <row r="3298" s="12" customFormat="1" customHeight="1" spans="2:10">
      <c r="B3298" s="25"/>
      <c r="C3298" s="25"/>
      <c r="D3298" s="26" t="str" cm="1">
        <f t="array" ref="D3298">IF(C3298="","",IFERROR(INDEX(STPP!$D$6:$D$4207,MATCH(C3298,STPP!$C$6:$C$4207,0)),"Not Found"))</f>
        <v/>
      </c>
      <c r="E3298" s="27" t="str" cm="1">
        <f t="array" ref="E3298">IF(C3298="","",IFERROR(INDEX(STPP!$E$6:$E$4207,MATCH(C3298,STPP!$C$6:$C$4207,0)),"Not Found"))</f>
        <v/>
      </c>
      <c r="F3298" s="27" t="str" cm="1">
        <f t="array" ref="F3298">IF(C3298="","",IFERROR(INDEX(STPP!$F$6:$F$4207,MATCH(C3298,STPP!$C$6:$C$4207,0)),"Not Found"))</f>
        <v/>
      </c>
      <c r="G3298" s="25" t="str">
        <f>IF(表1[[#This Row],[No Seri]]="","",表1[[#This Row],[Deskripsi Barang]]+表1[[#This Row],[Kuantitas]]-表1[[#This Row],[Satuan]])</f>
        <v/>
      </c>
      <c r="H3298" s="28"/>
      <c r="I3298" s="25" t="str">
        <f>IF(表1[[#This Row],[Tgl NPBG]]&gt;表1[[#This Row],[Peminta]],表1[[#This Row],[Tgl NPBG]]-表1[[#This Row],[Peminta]],"")</f>
        <v/>
      </c>
      <c r="J3298" s="31"/>
    </row>
    <row r="3299" s="12" customFormat="1" customHeight="1" spans="2:10">
      <c r="B3299" s="25"/>
      <c r="C3299" s="25"/>
      <c r="D3299" s="26" t="str" cm="1">
        <f t="array" ref="D3299">IF(C3299="","",IFERROR(INDEX(STPP!$D$6:$D$4207,MATCH(C3299,STPP!$C$6:$C$4207,0)),"Not Found"))</f>
        <v/>
      </c>
      <c r="E3299" s="27" t="str" cm="1">
        <f t="array" ref="E3299">IF(C3299="","",IFERROR(INDEX(STPP!$E$6:$E$4207,MATCH(C3299,STPP!$C$6:$C$4207,0)),"Not Found"))</f>
        <v/>
      </c>
      <c r="F3299" s="27" t="str" cm="1">
        <f t="array" ref="F3299">IF(C3299="","",IFERROR(INDEX(STPP!$F$6:$F$4207,MATCH(C3299,STPP!$C$6:$C$4207,0)),"Not Found"))</f>
        <v/>
      </c>
      <c r="G3299" s="25" t="str">
        <f>IF(表1[[#This Row],[No Seri]]="","",表1[[#This Row],[Deskripsi Barang]]+表1[[#This Row],[Kuantitas]]-表1[[#This Row],[Satuan]])</f>
        <v/>
      </c>
      <c r="H3299" s="28"/>
      <c r="I3299" s="25" t="str">
        <f>IF(表1[[#This Row],[Tgl NPBG]]&gt;表1[[#This Row],[Peminta]],表1[[#This Row],[Tgl NPBG]]-表1[[#This Row],[Peminta]],"")</f>
        <v/>
      </c>
      <c r="J3299" s="31"/>
    </row>
    <row r="3300" s="12" customFormat="1" customHeight="1" spans="2:10">
      <c r="B3300" s="25"/>
      <c r="C3300" s="25"/>
      <c r="D3300" s="26" t="str" cm="1">
        <f t="array" ref="D3300">IF(C3300="","",IFERROR(INDEX(STPP!$D$6:$D$4207,MATCH(C3300,STPP!$C$6:$C$4207,0)),"Not Found"))</f>
        <v/>
      </c>
      <c r="E3300" s="27" t="str" cm="1">
        <f t="array" ref="E3300">IF(C3300="","",IFERROR(INDEX(STPP!$E$6:$E$4207,MATCH(C3300,STPP!$C$6:$C$4207,0)),"Not Found"))</f>
        <v/>
      </c>
      <c r="F3300" s="27" t="str" cm="1">
        <f t="array" ref="F3300">IF(C3300="","",IFERROR(INDEX(STPP!$F$6:$F$4207,MATCH(C3300,STPP!$C$6:$C$4207,0)),"Not Found"))</f>
        <v/>
      </c>
      <c r="G3300" s="25" t="str">
        <f>IF(表1[[#This Row],[No Seri]]="","",表1[[#This Row],[Deskripsi Barang]]+表1[[#This Row],[Kuantitas]]-表1[[#This Row],[Satuan]])</f>
        <v/>
      </c>
      <c r="H3300" s="28"/>
      <c r="I3300" s="25" t="str">
        <f>IF(表1[[#This Row],[Tgl NPBG]]&gt;表1[[#This Row],[Peminta]],表1[[#This Row],[Tgl NPBG]]-表1[[#This Row],[Peminta]],"")</f>
        <v/>
      </c>
      <c r="J3300" s="31"/>
    </row>
    <row r="3301" s="12" customFormat="1" customHeight="1" spans="2:10">
      <c r="B3301" s="25"/>
      <c r="C3301" s="25"/>
      <c r="D3301" s="26" t="str" cm="1">
        <f t="array" ref="D3301">IF(C3301="","",IFERROR(INDEX(STPP!$D$6:$D$4207,MATCH(C3301,STPP!$C$6:$C$4207,0)),"Not Found"))</f>
        <v/>
      </c>
      <c r="E3301" s="27" t="str" cm="1">
        <f t="array" ref="E3301">IF(C3301="","",IFERROR(INDEX(STPP!$E$6:$E$4207,MATCH(C3301,STPP!$C$6:$C$4207,0)),"Not Found"))</f>
        <v/>
      </c>
      <c r="F3301" s="27" t="str" cm="1">
        <f t="array" ref="F3301">IF(C3301="","",IFERROR(INDEX(STPP!$F$6:$F$4207,MATCH(C3301,STPP!$C$6:$C$4207,0)),"Not Found"))</f>
        <v/>
      </c>
      <c r="G3301" s="25" t="str">
        <f>IF(表1[[#This Row],[No Seri]]="","",表1[[#This Row],[Deskripsi Barang]]+表1[[#This Row],[Kuantitas]]-表1[[#This Row],[Satuan]])</f>
        <v/>
      </c>
      <c r="H3301" s="28"/>
      <c r="I3301" s="25" t="str">
        <f>IF(表1[[#This Row],[Tgl NPBG]]&gt;表1[[#This Row],[Peminta]],表1[[#This Row],[Tgl NPBG]]-表1[[#This Row],[Peminta]],"")</f>
        <v/>
      </c>
      <c r="J3301" s="31"/>
    </row>
    <row r="3302" s="12" customFormat="1" customHeight="1" spans="2:10">
      <c r="B3302" s="25"/>
      <c r="C3302" s="25"/>
      <c r="D3302" s="26" t="str" cm="1">
        <f t="array" ref="D3302">IF(C3302="","",IFERROR(INDEX(STPP!$D$6:$D$4207,MATCH(C3302,STPP!$C$6:$C$4207,0)),"Not Found"))</f>
        <v/>
      </c>
      <c r="E3302" s="27" t="str" cm="1">
        <f t="array" ref="E3302">IF(C3302="","",IFERROR(INDEX(STPP!$E$6:$E$4207,MATCH(C3302,STPP!$C$6:$C$4207,0)),"Not Found"))</f>
        <v/>
      </c>
      <c r="F3302" s="27" t="str" cm="1">
        <f t="array" ref="F3302">IF(C3302="","",IFERROR(INDEX(STPP!$F$6:$F$4207,MATCH(C3302,STPP!$C$6:$C$4207,0)),"Not Found"))</f>
        <v/>
      </c>
      <c r="G3302" s="25" t="str">
        <f>IF(表1[[#This Row],[No Seri]]="","",表1[[#This Row],[Deskripsi Barang]]+表1[[#This Row],[Kuantitas]]-表1[[#This Row],[Satuan]])</f>
        <v/>
      </c>
      <c r="H3302" s="28"/>
      <c r="I3302" s="25" t="str">
        <f>IF(表1[[#This Row],[Tgl NPBG]]&gt;表1[[#This Row],[Peminta]],表1[[#This Row],[Tgl NPBG]]-表1[[#This Row],[Peminta]],"")</f>
        <v/>
      </c>
      <c r="J3302" s="31"/>
    </row>
    <row r="3303" s="12" customFormat="1" customHeight="1" spans="2:10">
      <c r="B3303" s="25"/>
      <c r="C3303" s="25"/>
      <c r="D3303" s="26" t="str" cm="1">
        <f t="array" ref="D3303">IF(C3303="","",IFERROR(INDEX(STPP!$D$6:$D$4207,MATCH(C3303,STPP!$C$6:$C$4207,0)),"Not Found"))</f>
        <v/>
      </c>
      <c r="E3303" s="27" t="str" cm="1">
        <f t="array" ref="E3303">IF(C3303="","",IFERROR(INDEX(STPP!$E$6:$E$4207,MATCH(C3303,STPP!$C$6:$C$4207,0)),"Not Found"))</f>
        <v/>
      </c>
      <c r="F3303" s="27" t="str" cm="1">
        <f t="array" ref="F3303">IF(C3303="","",IFERROR(INDEX(STPP!$F$6:$F$4207,MATCH(C3303,STPP!$C$6:$C$4207,0)),"Not Found"))</f>
        <v/>
      </c>
      <c r="G3303" s="25" t="str">
        <f>IF(表1[[#This Row],[No Seri]]="","",表1[[#This Row],[Deskripsi Barang]]+表1[[#This Row],[Kuantitas]]-表1[[#This Row],[Satuan]])</f>
        <v/>
      </c>
      <c r="H3303" s="28"/>
      <c r="I3303" s="25" t="str">
        <f>IF(表1[[#This Row],[Tgl NPBG]]&gt;表1[[#This Row],[Peminta]],表1[[#This Row],[Tgl NPBG]]-表1[[#This Row],[Peminta]],"")</f>
        <v/>
      </c>
      <c r="J3303" s="31"/>
    </row>
    <row r="3304" s="12" customFormat="1" customHeight="1" spans="2:10">
      <c r="B3304" s="25"/>
      <c r="C3304" s="25"/>
      <c r="D3304" s="26" t="str" cm="1">
        <f t="array" ref="D3304">IF(C3304="","",IFERROR(INDEX(STPP!$D$6:$D$4207,MATCH(C3304,STPP!$C$6:$C$4207,0)),"Not Found"))</f>
        <v/>
      </c>
      <c r="E3304" s="27" t="str" cm="1">
        <f t="array" ref="E3304">IF(C3304="","",IFERROR(INDEX(STPP!$E$6:$E$4207,MATCH(C3304,STPP!$C$6:$C$4207,0)),"Not Found"))</f>
        <v/>
      </c>
      <c r="F3304" s="27" t="str" cm="1">
        <f t="array" ref="F3304">IF(C3304="","",IFERROR(INDEX(STPP!$F$6:$F$4207,MATCH(C3304,STPP!$C$6:$C$4207,0)),"Not Found"))</f>
        <v/>
      </c>
      <c r="G3304" s="25" t="str">
        <f>IF(表1[[#This Row],[No Seri]]="","",表1[[#This Row],[Deskripsi Barang]]+表1[[#This Row],[Kuantitas]]-表1[[#This Row],[Satuan]])</f>
        <v/>
      </c>
      <c r="H3304" s="28"/>
      <c r="I3304" s="25" t="str">
        <f>IF(表1[[#This Row],[Tgl NPBG]]&gt;表1[[#This Row],[Peminta]],表1[[#This Row],[Tgl NPBG]]-表1[[#This Row],[Peminta]],"")</f>
        <v/>
      </c>
      <c r="J3304" s="31"/>
    </row>
    <row r="3305" s="12" customFormat="1" customHeight="1" spans="2:10">
      <c r="B3305" s="25"/>
      <c r="C3305" s="25"/>
      <c r="D3305" s="26" t="str" cm="1">
        <f t="array" ref="D3305">IF(C3305="","",IFERROR(INDEX(STPP!$D$6:$D$4207,MATCH(C3305,STPP!$C$6:$C$4207,0)),"Not Found"))</f>
        <v/>
      </c>
      <c r="E3305" s="27" t="str" cm="1">
        <f t="array" ref="E3305">IF(C3305="","",IFERROR(INDEX(STPP!$E$6:$E$4207,MATCH(C3305,STPP!$C$6:$C$4207,0)),"Not Found"))</f>
        <v/>
      </c>
      <c r="F3305" s="27" t="str" cm="1">
        <f t="array" ref="F3305">IF(C3305="","",IFERROR(INDEX(STPP!$F$6:$F$4207,MATCH(C3305,STPP!$C$6:$C$4207,0)),"Not Found"))</f>
        <v/>
      </c>
      <c r="G3305" s="25" t="str">
        <f>IF(表1[[#This Row],[No Seri]]="","",表1[[#This Row],[Deskripsi Barang]]+表1[[#This Row],[Kuantitas]]-表1[[#This Row],[Satuan]])</f>
        <v/>
      </c>
      <c r="H3305" s="28"/>
      <c r="I3305" s="25" t="str">
        <f>IF(表1[[#This Row],[Tgl NPBG]]&gt;表1[[#This Row],[Peminta]],表1[[#This Row],[Tgl NPBG]]-表1[[#This Row],[Peminta]],"")</f>
        <v/>
      </c>
      <c r="J3305" s="31"/>
    </row>
    <row r="3306" s="12" customFormat="1" customHeight="1" spans="2:10">
      <c r="B3306" s="25"/>
      <c r="C3306" s="25"/>
      <c r="D3306" s="26" t="str" cm="1">
        <f t="array" ref="D3306">IF(C3306="","",IFERROR(INDEX(STPP!$D$6:$D$4207,MATCH(C3306,STPP!$C$6:$C$4207,0)),"Not Found"))</f>
        <v/>
      </c>
      <c r="E3306" s="27" t="str" cm="1">
        <f t="array" ref="E3306">IF(C3306="","",IFERROR(INDEX(STPP!$E$6:$E$4207,MATCH(C3306,STPP!$C$6:$C$4207,0)),"Not Found"))</f>
        <v/>
      </c>
      <c r="F3306" s="27" t="str" cm="1">
        <f t="array" ref="F3306">IF(C3306="","",IFERROR(INDEX(STPP!$F$6:$F$4207,MATCH(C3306,STPP!$C$6:$C$4207,0)),"Not Found"))</f>
        <v/>
      </c>
      <c r="G3306" s="25" t="str">
        <f>IF(表1[[#This Row],[No Seri]]="","",表1[[#This Row],[Deskripsi Barang]]+表1[[#This Row],[Kuantitas]]-表1[[#This Row],[Satuan]])</f>
        <v/>
      </c>
      <c r="H3306" s="28"/>
      <c r="I3306" s="25" t="str">
        <f>IF(表1[[#This Row],[Tgl NPBG]]&gt;表1[[#This Row],[Peminta]],表1[[#This Row],[Tgl NPBG]]-表1[[#This Row],[Peminta]],"")</f>
        <v/>
      </c>
      <c r="J3306" s="31"/>
    </row>
    <row r="3307" s="12" customFormat="1" customHeight="1" spans="2:10">
      <c r="B3307" s="25"/>
      <c r="C3307" s="25"/>
      <c r="D3307" s="26" t="str" cm="1">
        <f t="array" ref="D3307">IF(C3307="","",IFERROR(INDEX(STPP!$D$6:$D$4207,MATCH(C3307,STPP!$C$6:$C$4207,0)),"Not Found"))</f>
        <v/>
      </c>
      <c r="E3307" s="27" t="str" cm="1">
        <f t="array" ref="E3307">IF(C3307="","",IFERROR(INDEX(STPP!$E$6:$E$4207,MATCH(C3307,STPP!$C$6:$C$4207,0)),"Not Found"))</f>
        <v/>
      </c>
      <c r="F3307" s="27" t="str" cm="1">
        <f t="array" ref="F3307">IF(C3307="","",IFERROR(INDEX(STPP!$F$6:$F$4207,MATCH(C3307,STPP!$C$6:$C$4207,0)),"Not Found"))</f>
        <v/>
      </c>
      <c r="G3307" s="25" t="str">
        <f>IF(表1[[#This Row],[No Seri]]="","",表1[[#This Row],[Deskripsi Barang]]+表1[[#This Row],[Kuantitas]]-表1[[#This Row],[Satuan]])</f>
        <v/>
      </c>
      <c r="H3307" s="28"/>
      <c r="I3307" s="25" t="str">
        <f>IF(表1[[#This Row],[Tgl NPBG]]&gt;表1[[#This Row],[Peminta]],表1[[#This Row],[Tgl NPBG]]-表1[[#This Row],[Peminta]],"")</f>
        <v/>
      </c>
      <c r="J3307" s="31"/>
    </row>
    <row r="3308" s="12" customFormat="1" customHeight="1" spans="2:10">
      <c r="B3308" s="25"/>
      <c r="C3308" s="25"/>
      <c r="D3308" s="26" t="str" cm="1">
        <f t="array" ref="D3308">IF(C3308="","",IFERROR(INDEX(STPP!$D$6:$D$4207,MATCH(C3308,STPP!$C$6:$C$4207,0)),"Not Found"))</f>
        <v/>
      </c>
      <c r="E3308" s="27" t="str" cm="1">
        <f t="array" ref="E3308">IF(C3308="","",IFERROR(INDEX(STPP!$E$6:$E$4207,MATCH(C3308,STPP!$C$6:$C$4207,0)),"Not Found"))</f>
        <v/>
      </c>
      <c r="F3308" s="27" t="str" cm="1">
        <f t="array" ref="F3308">IF(C3308="","",IFERROR(INDEX(STPP!$F$6:$F$4207,MATCH(C3308,STPP!$C$6:$C$4207,0)),"Not Found"))</f>
        <v/>
      </c>
      <c r="G3308" s="25" t="str">
        <f>IF(表1[[#This Row],[No Seri]]="","",表1[[#This Row],[Deskripsi Barang]]+表1[[#This Row],[Kuantitas]]-表1[[#This Row],[Satuan]])</f>
        <v/>
      </c>
      <c r="H3308" s="28"/>
      <c r="I3308" s="25" t="str">
        <f>IF(表1[[#This Row],[Tgl NPBG]]&gt;表1[[#This Row],[Peminta]],表1[[#This Row],[Tgl NPBG]]-表1[[#This Row],[Peminta]],"")</f>
        <v/>
      </c>
      <c r="J3308" s="31"/>
    </row>
    <row r="3309" s="12" customFormat="1" customHeight="1" spans="2:10">
      <c r="B3309" s="25"/>
      <c r="C3309" s="25"/>
      <c r="D3309" s="26" t="str" cm="1">
        <f t="array" ref="D3309">IF(C3309="","",IFERROR(INDEX(STPP!$D$6:$D$4207,MATCH(C3309,STPP!$C$6:$C$4207,0)),"Not Found"))</f>
        <v/>
      </c>
      <c r="E3309" s="27" t="str" cm="1">
        <f t="array" ref="E3309">IF(C3309="","",IFERROR(INDEX(STPP!$E$6:$E$4207,MATCH(C3309,STPP!$C$6:$C$4207,0)),"Not Found"))</f>
        <v/>
      </c>
      <c r="F3309" s="27" t="str" cm="1">
        <f t="array" ref="F3309">IF(C3309="","",IFERROR(INDEX(STPP!$F$6:$F$4207,MATCH(C3309,STPP!$C$6:$C$4207,0)),"Not Found"))</f>
        <v/>
      </c>
      <c r="G3309" s="25" t="str">
        <f>IF(表1[[#This Row],[No Seri]]="","",表1[[#This Row],[Deskripsi Barang]]+表1[[#This Row],[Kuantitas]]-表1[[#This Row],[Satuan]])</f>
        <v/>
      </c>
      <c r="H3309" s="28"/>
      <c r="I3309" s="25" t="str">
        <f>IF(表1[[#This Row],[Tgl NPBG]]&gt;表1[[#This Row],[Peminta]],表1[[#This Row],[Tgl NPBG]]-表1[[#This Row],[Peminta]],"")</f>
        <v/>
      </c>
      <c r="J3309" s="31"/>
    </row>
    <row r="3310" s="12" customFormat="1" customHeight="1" spans="2:10">
      <c r="B3310" s="25"/>
      <c r="C3310" s="25"/>
      <c r="D3310" s="26" t="str" cm="1">
        <f t="array" ref="D3310">IF(C3310="","",IFERROR(INDEX(STPP!$D$6:$D$4207,MATCH(C3310,STPP!$C$6:$C$4207,0)),"Not Found"))</f>
        <v/>
      </c>
      <c r="E3310" s="27" t="str" cm="1">
        <f t="array" ref="E3310">IF(C3310="","",IFERROR(INDEX(STPP!$E$6:$E$4207,MATCH(C3310,STPP!$C$6:$C$4207,0)),"Not Found"))</f>
        <v/>
      </c>
      <c r="F3310" s="27" t="str" cm="1">
        <f t="array" ref="F3310">IF(C3310="","",IFERROR(INDEX(STPP!$F$6:$F$4207,MATCH(C3310,STPP!$C$6:$C$4207,0)),"Not Found"))</f>
        <v/>
      </c>
      <c r="G3310" s="25" t="str">
        <f>IF(表1[[#This Row],[No Seri]]="","",表1[[#This Row],[Deskripsi Barang]]+表1[[#This Row],[Kuantitas]]-表1[[#This Row],[Satuan]])</f>
        <v/>
      </c>
      <c r="H3310" s="28"/>
      <c r="I3310" s="25" t="str">
        <f>IF(表1[[#This Row],[Tgl NPBG]]&gt;表1[[#This Row],[Peminta]],表1[[#This Row],[Tgl NPBG]]-表1[[#This Row],[Peminta]],"")</f>
        <v/>
      </c>
      <c r="J3310" s="31"/>
    </row>
    <row r="3311" s="12" customFormat="1" customHeight="1" spans="2:10">
      <c r="B3311" s="25"/>
      <c r="C3311" s="25"/>
      <c r="D3311" s="26" t="str" cm="1">
        <f t="array" ref="D3311">IF(C3311="","",IFERROR(INDEX(STPP!$D$6:$D$4207,MATCH(C3311,STPP!$C$6:$C$4207,0)),"Not Found"))</f>
        <v/>
      </c>
      <c r="E3311" s="27" t="str" cm="1">
        <f t="array" ref="E3311">IF(C3311="","",IFERROR(INDEX(STPP!$E$6:$E$4207,MATCH(C3311,STPP!$C$6:$C$4207,0)),"Not Found"))</f>
        <v/>
      </c>
      <c r="F3311" s="27" t="str" cm="1">
        <f t="array" ref="F3311">IF(C3311="","",IFERROR(INDEX(STPP!$F$6:$F$4207,MATCH(C3311,STPP!$C$6:$C$4207,0)),"Not Found"))</f>
        <v/>
      </c>
      <c r="G3311" s="25" t="str">
        <f>IF(表1[[#This Row],[No Seri]]="","",表1[[#This Row],[Deskripsi Barang]]+表1[[#This Row],[Kuantitas]]-表1[[#This Row],[Satuan]])</f>
        <v/>
      </c>
      <c r="H3311" s="28"/>
      <c r="I3311" s="25" t="str">
        <f>IF(表1[[#This Row],[Tgl NPBG]]&gt;表1[[#This Row],[Peminta]],表1[[#This Row],[Tgl NPBG]]-表1[[#This Row],[Peminta]],"")</f>
        <v/>
      </c>
      <c r="J3311" s="31"/>
    </row>
    <row r="3312" s="12" customFormat="1" customHeight="1" spans="2:10">
      <c r="B3312" s="25"/>
      <c r="C3312" s="25"/>
      <c r="D3312" s="26" t="str" cm="1">
        <f t="array" ref="D3312">IF(C3312="","",IFERROR(INDEX(STPP!$D$6:$D$4207,MATCH(C3312,STPP!$C$6:$C$4207,0)),"Not Found"))</f>
        <v/>
      </c>
      <c r="E3312" s="27" t="str" cm="1">
        <f t="array" ref="E3312">IF(C3312="","",IFERROR(INDEX(STPP!$E$6:$E$4207,MATCH(C3312,STPP!$C$6:$C$4207,0)),"Not Found"))</f>
        <v/>
      </c>
      <c r="F3312" s="27" t="str" cm="1">
        <f t="array" ref="F3312">IF(C3312="","",IFERROR(INDEX(STPP!$F$6:$F$4207,MATCH(C3312,STPP!$C$6:$C$4207,0)),"Not Found"))</f>
        <v/>
      </c>
      <c r="G3312" s="25" t="str">
        <f>IF(表1[[#This Row],[No Seri]]="","",表1[[#This Row],[Deskripsi Barang]]+表1[[#This Row],[Kuantitas]]-表1[[#This Row],[Satuan]])</f>
        <v/>
      </c>
      <c r="H3312" s="28"/>
      <c r="I3312" s="25" t="str">
        <f>IF(表1[[#This Row],[Tgl NPBG]]&gt;表1[[#This Row],[Peminta]],表1[[#This Row],[Tgl NPBG]]-表1[[#This Row],[Peminta]],"")</f>
        <v/>
      </c>
      <c r="J3312" s="31"/>
    </row>
    <row r="3313" s="12" customFormat="1" customHeight="1" spans="2:10">
      <c r="B3313" s="25"/>
      <c r="C3313" s="25"/>
      <c r="D3313" s="26" t="str" cm="1">
        <f t="array" ref="D3313">IF(C3313="","",IFERROR(INDEX(STPP!$D$6:$D$4207,MATCH(C3313,STPP!$C$6:$C$4207,0)),"Not Found"))</f>
        <v/>
      </c>
      <c r="E3313" s="27" t="str" cm="1">
        <f t="array" ref="E3313">IF(C3313="","",IFERROR(INDEX(STPP!$E$6:$E$4207,MATCH(C3313,STPP!$C$6:$C$4207,0)),"Not Found"))</f>
        <v/>
      </c>
      <c r="F3313" s="27" t="str" cm="1">
        <f t="array" ref="F3313">IF(C3313="","",IFERROR(INDEX(STPP!$F$6:$F$4207,MATCH(C3313,STPP!$C$6:$C$4207,0)),"Not Found"))</f>
        <v/>
      </c>
      <c r="G3313" s="25" t="str">
        <f>IF(表1[[#This Row],[No Seri]]="","",表1[[#This Row],[Deskripsi Barang]]+表1[[#This Row],[Kuantitas]]-表1[[#This Row],[Satuan]])</f>
        <v/>
      </c>
      <c r="H3313" s="28"/>
      <c r="I3313" s="25" t="str">
        <f>IF(表1[[#This Row],[Tgl NPBG]]&gt;表1[[#This Row],[Peminta]],表1[[#This Row],[Tgl NPBG]]-表1[[#This Row],[Peminta]],"")</f>
        <v/>
      </c>
      <c r="J3313" s="31"/>
    </row>
    <row r="3314" s="12" customFormat="1" customHeight="1" spans="2:10">
      <c r="B3314" s="25"/>
      <c r="C3314" s="25"/>
      <c r="D3314" s="26" t="str" cm="1">
        <f t="array" ref="D3314">IF(C3314="","",IFERROR(INDEX(STPP!$D$6:$D$4207,MATCH(C3314,STPP!$C$6:$C$4207,0)),"Not Found"))</f>
        <v/>
      </c>
      <c r="E3314" s="27" t="str" cm="1">
        <f t="array" ref="E3314">IF(C3314="","",IFERROR(INDEX(STPP!$E$6:$E$4207,MATCH(C3314,STPP!$C$6:$C$4207,0)),"Not Found"))</f>
        <v/>
      </c>
      <c r="F3314" s="27" t="str" cm="1">
        <f t="array" ref="F3314">IF(C3314="","",IFERROR(INDEX(STPP!$F$6:$F$4207,MATCH(C3314,STPP!$C$6:$C$4207,0)),"Not Found"))</f>
        <v/>
      </c>
      <c r="G3314" s="25" t="str">
        <f>IF(表1[[#This Row],[No Seri]]="","",表1[[#This Row],[Deskripsi Barang]]+表1[[#This Row],[Kuantitas]]-表1[[#This Row],[Satuan]])</f>
        <v/>
      </c>
      <c r="H3314" s="28"/>
      <c r="I3314" s="25" t="str">
        <f>IF(表1[[#This Row],[Tgl NPBG]]&gt;表1[[#This Row],[Peminta]],表1[[#This Row],[Tgl NPBG]]-表1[[#This Row],[Peminta]],"")</f>
        <v/>
      </c>
      <c r="J3314" s="31"/>
    </row>
    <row r="3315" s="12" customFormat="1" customHeight="1" spans="2:10">
      <c r="B3315" s="25"/>
      <c r="C3315" s="25"/>
      <c r="D3315" s="26" t="str" cm="1">
        <f t="array" ref="D3315">IF(C3315="","",IFERROR(INDEX(STPP!$D$6:$D$4207,MATCH(C3315,STPP!$C$6:$C$4207,0)),"Not Found"))</f>
        <v/>
      </c>
      <c r="E3315" s="27" t="str" cm="1">
        <f t="array" ref="E3315">IF(C3315="","",IFERROR(INDEX(STPP!$E$6:$E$4207,MATCH(C3315,STPP!$C$6:$C$4207,0)),"Not Found"))</f>
        <v/>
      </c>
      <c r="F3315" s="27" t="str" cm="1">
        <f t="array" ref="F3315">IF(C3315="","",IFERROR(INDEX(STPP!$F$6:$F$4207,MATCH(C3315,STPP!$C$6:$C$4207,0)),"Not Found"))</f>
        <v/>
      </c>
      <c r="G3315" s="25" t="str">
        <f>IF(表1[[#This Row],[No Seri]]="","",表1[[#This Row],[Deskripsi Barang]]+表1[[#This Row],[Kuantitas]]-表1[[#This Row],[Satuan]])</f>
        <v/>
      </c>
      <c r="H3315" s="28"/>
      <c r="I3315" s="25" t="str">
        <f>IF(表1[[#This Row],[Tgl NPBG]]&gt;表1[[#This Row],[Peminta]],表1[[#This Row],[Tgl NPBG]]-表1[[#This Row],[Peminta]],"")</f>
        <v/>
      </c>
      <c r="J3315" s="31"/>
    </row>
    <row r="3316" s="12" customFormat="1" customHeight="1" spans="2:10">
      <c r="B3316" s="25"/>
      <c r="C3316" s="25"/>
      <c r="D3316" s="26" t="str" cm="1">
        <f t="array" ref="D3316">IF(C3316="","",IFERROR(INDEX(STPP!$D$6:$D$4207,MATCH(C3316,STPP!$C$6:$C$4207,0)),"Not Found"))</f>
        <v/>
      </c>
      <c r="E3316" s="27" t="str" cm="1">
        <f t="array" ref="E3316">IF(C3316="","",IFERROR(INDEX(STPP!$E$6:$E$4207,MATCH(C3316,STPP!$C$6:$C$4207,0)),"Not Found"))</f>
        <v/>
      </c>
      <c r="F3316" s="27" t="str" cm="1">
        <f t="array" ref="F3316">IF(C3316="","",IFERROR(INDEX(STPP!$F$6:$F$4207,MATCH(C3316,STPP!$C$6:$C$4207,0)),"Not Found"))</f>
        <v/>
      </c>
      <c r="G3316" s="25" t="str">
        <f>IF(表1[[#This Row],[No Seri]]="","",表1[[#This Row],[Deskripsi Barang]]+表1[[#This Row],[Kuantitas]]-表1[[#This Row],[Satuan]])</f>
        <v/>
      </c>
      <c r="H3316" s="28"/>
      <c r="I3316" s="25" t="str">
        <f>IF(表1[[#This Row],[Tgl NPBG]]&gt;表1[[#This Row],[Peminta]],表1[[#This Row],[Tgl NPBG]]-表1[[#This Row],[Peminta]],"")</f>
        <v/>
      </c>
      <c r="J3316" s="31"/>
    </row>
    <row r="3317" s="12" customFormat="1" customHeight="1" spans="2:10">
      <c r="B3317" s="25"/>
      <c r="C3317" s="25"/>
      <c r="D3317" s="26" t="str" cm="1">
        <f t="array" ref="D3317">IF(C3317="","",IFERROR(INDEX(STPP!$D$6:$D$4207,MATCH(C3317,STPP!$C$6:$C$4207,0)),"Not Found"))</f>
        <v/>
      </c>
      <c r="E3317" s="27" t="str" cm="1">
        <f t="array" ref="E3317">IF(C3317="","",IFERROR(INDEX(STPP!$E$6:$E$4207,MATCH(C3317,STPP!$C$6:$C$4207,0)),"Not Found"))</f>
        <v/>
      </c>
      <c r="F3317" s="27" t="str" cm="1">
        <f t="array" ref="F3317">IF(C3317="","",IFERROR(INDEX(STPP!$F$6:$F$4207,MATCH(C3317,STPP!$C$6:$C$4207,0)),"Not Found"))</f>
        <v/>
      </c>
      <c r="G3317" s="25" t="str">
        <f>IF(表1[[#This Row],[No Seri]]="","",表1[[#This Row],[Deskripsi Barang]]+表1[[#This Row],[Kuantitas]]-表1[[#This Row],[Satuan]])</f>
        <v/>
      </c>
      <c r="H3317" s="28"/>
      <c r="I3317" s="25" t="str">
        <f>IF(表1[[#This Row],[Tgl NPBG]]&gt;表1[[#This Row],[Peminta]],表1[[#This Row],[Tgl NPBG]]-表1[[#This Row],[Peminta]],"")</f>
        <v/>
      </c>
      <c r="J3317" s="31"/>
    </row>
    <row r="3318" s="12" customFormat="1" customHeight="1" spans="2:10">
      <c r="B3318" s="25"/>
      <c r="C3318" s="25"/>
      <c r="D3318" s="26" t="str" cm="1">
        <f t="array" ref="D3318">IF(C3318="","",IFERROR(INDEX(STPP!$D$6:$D$4207,MATCH(C3318,STPP!$C$6:$C$4207,0)),"Not Found"))</f>
        <v/>
      </c>
      <c r="E3318" s="27" t="str" cm="1">
        <f t="array" ref="E3318">IF(C3318="","",IFERROR(INDEX(STPP!$E$6:$E$4207,MATCH(C3318,STPP!$C$6:$C$4207,0)),"Not Found"))</f>
        <v/>
      </c>
      <c r="F3318" s="27" t="str" cm="1">
        <f t="array" ref="F3318">IF(C3318="","",IFERROR(INDEX(STPP!$F$6:$F$4207,MATCH(C3318,STPP!$C$6:$C$4207,0)),"Not Found"))</f>
        <v/>
      </c>
      <c r="G3318" s="25" t="str">
        <f>IF(表1[[#This Row],[No Seri]]="","",表1[[#This Row],[Deskripsi Barang]]+表1[[#This Row],[Kuantitas]]-表1[[#This Row],[Satuan]])</f>
        <v/>
      </c>
      <c r="H3318" s="28"/>
      <c r="I3318" s="25" t="str">
        <f>IF(表1[[#This Row],[Tgl NPBG]]&gt;表1[[#This Row],[Peminta]],表1[[#This Row],[Tgl NPBG]]-表1[[#This Row],[Peminta]],"")</f>
        <v/>
      </c>
      <c r="J3318" s="31"/>
    </row>
    <row r="3319" s="12" customFormat="1" customHeight="1" spans="2:10">
      <c r="B3319" s="25"/>
      <c r="C3319" s="25"/>
      <c r="D3319" s="26" t="str" cm="1">
        <f t="array" ref="D3319">IF(C3319="","",IFERROR(INDEX(STPP!$D$6:$D$4207,MATCH(C3319,STPP!$C$6:$C$4207,0)),"Not Found"))</f>
        <v/>
      </c>
      <c r="E3319" s="27" t="str" cm="1">
        <f t="array" ref="E3319">IF(C3319="","",IFERROR(INDEX(STPP!$E$6:$E$4207,MATCH(C3319,STPP!$C$6:$C$4207,0)),"Not Found"))</f>
        <v/>
      </c>
      <c r="F3319" s="27" t="str" cm="1">
        <f t="array" ref="F3319">IF(C3319="","",IFERROR(INDEX(STPP!$F$6:$F$4207,MATCH(C3319,STPP!$C$6:$C$4207,0)),"Not Found"))</f>
        <v/>
      </c>
      <c r="G3319" s="25" t="str">
        <f>IF(表1[[#This Row],[No Seri]]="","",表1[[#This Row],[Deskripsi Barang]]+表1[[#This Row],[Kuantitas]]-表1[[#This Row],[Satuan]])</f>
        <v/>
      </c>
      <c r="H3319" s="28"/>
      <c r="I3319" s="25" t="str">
        <f>IF(表1[[#This Row],[Tgl NPBG]]&gt;表1[[#This Row],[Peminta]],表1[[#This Row],[Tgl NPBG]]-表1[[#This Row],[Peminta]],"")</f>
        <v/>
      </c>
      <c r="J3319" s="31"/>
    </row>
    <row r="3320" s="12" customFormat="1" customHeight="1" spans="2:10">
      <c r="B3320" s="25"/>
      <c r="C3320" s="25"/>
      <c r="D3320" s="26" t="str" cm="1">
        <f t="array" ref="D3320">IF(C3320="","",IFERROR(INDEX(STPP!$D$6:$D$4207,MATCH(C3320,STPP!$C$6:$C$4207,0)),"Not Found"))</f>
        <v/>
      </c>
      <c r="E3320" s="27" t="str" cm="1">
        <f t="array" ref="E3320">IF(C3320="","",IFERROR(INDEX(STPP!$E$6:$E$4207,MATCH(C3320,STPP!$C$6:$C$4207,0)),"Not Found"))</f>
        <v/>
      </c>
      <c r="F3320" s="27" t="str" cm="1">
        <f t="array" ref="F3320">IF(C3320="","",IFERROR(INDEX(STPP!$F$6:$F$4207,MATCH(C3320,STPP!$C$6:$C$4207,0)),"Not Found"))</f>
        <v/>
      </c>
      <c r="G3320" s="25" t="str">
        <f>IF(表1[[#This Row],[No Seri]]="","",表1[[#This Row],[Deskripsi Barang]]+表1[[#This Row],[Kuantitas]]-表1[[#This Row],[Satuan]])</f>
        <v/>
      </c>
      <c r="H3320" s="28"/>
      <c r="I3320" s="25" t="str">
        <f>IF(表1[[#This Row],[Tgl NPBG]]&gt;表1[[#This Row],[Peminta]],表1[[#This Row],[Tgl NPBG]]-表1[[#This Row],[Peminta]],"")</f>
        <v/>
      </c>
      <c r="J3320" s="31"/>
    </row>
    <row r="3321" s="12" customFormat="1" customHeight="1" spans="2:10">
      <c r="B3321" s="25"/>
      <c r="C3321" s="25"/>
      <c r="D3321" s="26" t="str" cm="1">
        <f t="array" ref="D3321">IF(C3321="","",IFERROR(INDEX(STPP!$D$6:$D$4207,MATCH(C3321,STPP!$C$6:$C$4207,0)),"Not Found"))</f>
        <v/>
      </c>
      <c r="E3321" s="27" t="str" cm="1">
        <f t="array" ref="E3321">IF(C3321="","",IFERROR(INDEX(STPP!$E$6:$E$4207,MATCH(C3321,STPP!$C$6:$C$4207,0)),"Not Found"))</f>
        <v/>
      </c>
      <c r="F3321" s="27" t="str" cm="1">
        <f t="array" ref="F3321">IF(C3321="","",IFERROR(INDEX(STPP!$F$6:$F$4207,MATCH(C3321,STPP!$C$6:$C$4207,0)),"Not Found"))</f>
        <v/>
      </c>
      <c r="G3321" s="25" t="str">
        <f>IF(表1[[#This Row],[No Seri]]="","",表1[[#This Row],[Deskripsi Barang]]+表1[[#This Row],[Kuantitas]]-表1[[#This Row],[Satuan]])</f>
        <v/>
      </c>
      <c r="H3321" s="28"/>
      <c r="I3321" s="25" t="str">
        <f>IF(表1[[#This Row],[Tgl NPBG]]&gt;表1[[#This Row],[Peminta]],表1[[#This Row],[Tgl NPBG]]-表1[[#This Row],[Peminta]],"")</f>
        <v/>
      </c>
      <c r="J3321" s="31"/>
    </row>
    <row r="3322" s="12" customFormat="1" customHeight="1" spans="2:10">
      <c r="B3322" s="25"/>
      <c r="C3322" s="25"/>
      <c r="D3322" s="26" t="str" cm="1">
        <f t="array" ref="D3322">IF(C3322="","",IFERROR(INDEX(STPP!$D$6:$D$4207,MATCH(C3322,STPP!$C$6:$C$4207,0)),"Not Found"))</f>
        <v/>
      </c>
      <c r="E3322" s="27" t="str" cm="1">
        <f t="array" ref="E3322">IF(C3322="","",IFERROR(INDEX(STPP!$E$6:$E$4207,MATCH(C3322,STPP!$C$6:$C$4207,0)),"Not Found"))</f>
        <v/>
      </c>
      <c r="F3322" s="27" t="str" cm="1">
        <f t="array" ref="F3322">IF(C3322="","",IFERROR(INDEX(STPP!$F$6:$F$4207,MATCH(C3322,STPP!$C$6:$C$4207,0)),"Not Found"))</f>
        <v/>
      </c>
      <c r="G3322" s="25" t="str">
        <f>IF(表1[[#This Row],[No Seri]]="","",表1[[#This Row],[Deskripsi Barang]]+表1[[#This Row],[Kuantitas]]-表1[[#This Row],[Satuan]])</f>
        <v/>
      </c>
      <c r="H3322" s="28"/>
      <c r="I3322" s="25" t="str">
        <f>IF(表1[[#This Row],[Tgl NPBG]]&gt;表1[[#This Row],[Peminta]],表1[[#This Row],[Tgl NPBG]]-表1[[#This Row],[Peminta]],"")</f>
        <v/>
      </c>
      <c r="J3322" s="31"/>
    </row>
    <row r="3323" s="12" customFormat="1" customHeight="1" spans="2:10">
      <c r="B3323" s="25"/>
      <c r="C3323" s="25"/>
      <c r="D3323" s="26" t="str" cm="1">
        <f t="array" ref="D3323">IF(C3323="","",IFERROR(INDEX(STPP!$D$6:$D$4207,MATCH(C3323,STPP!$C$6:$C$4207,0)),"Not Found"))</f>
        <v/>
      </c>
      <c r="E3323" s="27" t="str" cm="1">
        <f t="array" ref="E3323">IF(C3323="","",IFERROR(INDEX(STPP!$E$6:$E$4207,MATCH(C3323,STPP!$C$6:$C$4207,0)),"Not Found"))</f>
        <v/>
      </c>
      <c r="F3323" s="27" t="str" cm="1">
        <f t="array" ref="F3323">IF(C3323="","",IFERROR(INDEX(STPP!$F$6:$F$4207,MATCH(C3323,STPP!$C$6:$C$4207,0)),"Not Found"))</f>
        <v/>
      </c>
      <c r="G3323" s="25" t="str">
        <f>IF(表1[[#This Row],[No Seri]]="","",表1[[#This Row],[Deskripsi Barang]]+表1[[#This Row],[Kuantitas]]-表1[[#This Row],[Satuan]])</f>
        <v/>
      </c>
      <c r="H3323" s="28"/>
      <c r="I3323" s="25" t="str">
        <f>IF(表1[[#This Row],[Tgl NPBG]]&gt;表1[[#This Row],[Peminta]],表1[[#This Row],[Tgl NPBG]]-表1[[#This Row],[Peminta]],"")</f>
        <v/>
      </c>
      <c r="J3323" s="31"/>
    </row>
    <row r="3324" s="12" customFormat="1" customHeight="1" spans="2:10">
      <c r="B3324" s="25"/>
      <c r="C3324" s="25"/>
      <c r="D3324" s="26" t="str" cm="1">
        <f t="array" ref="D3324">IF(C3324="","",IFERROR(INDEX(STPP!$D$6:$D$4207,MATCH(C3324,STPP!$C$6:$C$4207,0)),"Not Found"))</f>
        <v/>
      </c>
      <c r="E3324" s="27" t="str" cm="1">
        <f t="array" ref="E3324">IF(C3324="","",IFERROR(INDEX(STPP!$E$6:$E$4207,MATCH(C3324,STPP!$C$6:$C$4207,0)),"Not Found"))</f>
        <v/>
      </c>
      <c r="F3324" s="27" t="str" cm="1">
        <f t="array" ref="F3324">IF(C3324="","",IFERROR(INDEX(STPP!$F$6:$F$4207,MATCH(C3324,STPP!$C$6:$C$4207,0)),"Not Found"))</f>
        <v/>
      </c>
      <c r="G3324" s="25" t="str">
        <f>IF(表1[[#This Row],[No Seri]]="","",表1[[#This Row],[Deskripsi Barang]]+表1[[#This Row],[Kuantitas]]-表1[[#This Row],[Satuan]])</f>
        <v/>
      </c>
      <c r="H3324" s="28"/>
      <c r="I3324" s="25" t="str">
        <f>IF(表1[[#This Row],[Tgl NPBG]]&gt;表1[[#This Row],[Peminta]],表1[[#This Row],[Tgl NPBG]]-表1[[#This Row],[Peminta]],"")</f>
        <v/>
      </c>
      <c r="J3324" s="31"/>
    </row>
    <row r="3325" s="12" customFormat="1" customHeight="1" spans="2:10">
      <c r="B3325" s="25"/>
      <c r="C3325" s="25"/>
      <c r="D3325" s="26" t="str" cm="1">
        <f t="array" ref="D3325">IF(C3325="","",IFERROR(INDEX(STPP!$D$6:$D$4207,MATCH(C3325,STPP!$C$6:$C$4207,0)),"Not Found"))</f>
        <v/>
      </c>
      <c r="E3325" s="27" t="str" cm="1">
        <f t="array" ref="E3325">IF(C3325="","",IFERROR(INDEX(STPP!$E$6:$E$4207,MATCH(C3325,STPP!$C$6:$C$4207,0)),"Not Found"))</f>
        <v/>
      </c>
      <c r="F3325" s="27" t="str" cm="1">
        <f t="array" ref="F3325">IF(C3325="","",IFERROR(INDEX(STPP!$F$6:$F$4207,MATCH(C3325,STPP!$C$6:$C$4207,0)),"Not Found"))</f>
        <v/>
      </c>
      <c r="G3325" s="25" t="str">
        <f>IF(表1[[#This Row],[No Seri]]="","",表1[[#This Row],[Deskripsi Barang]]+表1[[#This Row],[Kuantitas]]-表1[[#This Row],[Satuan]])</f>
        <v/>
      </c>
      <c r="H3325" s="28"/>
      <c r="I3325" s="25" t="str">
        <f>IF(表1[[#This Row],[Tgl NPBG]]&gt;表1[[#This Row],[Peminta]],表1[[#This Row],[Tgl NPBG]]-表1[[#This Row],[Peminta]],"")</f>
        <v/>
      </c>
      <c r="J3325" s="31"/>
    </row>
    <row r="3326" s="12" customFormat="1" customHeight="1" spans="2:10">
      <c r="B3326" s="25"/>
      <c r="C3326" s="25"/>
      <c r="D3326" s="26" t="str" cm="1">
        <f t="array" ref="D3326">IF(C3326="","",IFERROR(INDEX(STPP!$D$6:$D$4207,MATCH(C3326,STPP!$C$6:$C$4207,0)),"Not Found"))</f>
        <v/>
      </c>
      <c r="E3326" s="27" t="str" cm="1">
        <f t="array" ref="E3326">IF(C3326="","",IFERROR(INDEX(STPP!$E$6:$E$4207,MATCH(C3326,STPP!$C$6:$C$4207,0)),"Not Found"))</f>
        <v/>
      </c>
      <c r="F3326" s="27" t="str" cm="1">
        <f t="array" ref="F3326">IF(C3326="","",IFERROR(INDEX(STPP!$F$6:$F$4207,MATCH(C3326,STPP!$C$6:$C$4207,0)),"Not Found"))</f>
        <v/>
      </c>
      <c r="G3326" s="25" t="str">
        <f>IF(表1[[#This Row],[No Seri]]="","",表1[[#This Row],[Deskripsi Barang]]+表1[[#This Row],[Kuantitas]]-表1[[#This Row],[Satuan]])</f>
        <v/>
      </c>
      <c r="H3326" s="28"/>
      <c r="I3326" s="25" t="str">
        <f>IF(表1[[#This Row],[Tgl NPBG]]&gt;表1[[#This Row],[Peminta]],表1[[#This Row],[Tgl NPBG]]-表1[[#This Row],[Peminta]],"")</f>
        <v/>
      </c>
      <c r="J3326" s="31"/>
    </row>
    <row r="3327" s="12" customFormat="1" customHeight="1" spans="2:10">
      <c r="B3327" s="25"/>
      <c r="C3327" s="25"/>
      <c r="D3327" s="26" t="str" cm="1">
        <f t="array" ref="D3327">IF(C3327="","",IFERROR(INDEX(STPP!$D$6:$D$4207,MATCH(C3327,STPP!$C$6:$C$4207,0)),"Not Found"))</f>
        <v/>
      </c>
      <c r="E3327" s="27" t="str" cm="1">
        <f t="array" ref="E3327">IF(C3327="","",IFERROR(INDEX(STPP!$E$6:$E$4207,MATCH(C3327,STPP!$C$6:$C$4207,0)),"Not Found"))</f>
        <v/>
      </c>
      <c r="F3327" s="27" t="str" cm="1">
        <f t="array" ref="F3327">IF(C3327="","",IFERROR(INDEX(STPP!$F$6:$F$4207,MATCH(C3327,STPP!$C$6:$C$4207,0)),"Not Found"))</f>
        <v/>
      </c>
      <c r="G3327" s="25" t="str">
        <f>IF(表1[[#This Row],[No Seri]]="","",表1[[#This Row],[Deskripsi Barang]]+表1[[#This Row],[Kuantitas]]-表1[[#This Row],[Satuan]])</f>
        <v/>
      </c>
      <c r="H3327" s="28"/>
      <c r="I3327" s="25" t="str">
        <f>IF(表1[[#This Row],[Tgl NPBG]]&gt;表1[[#This Row],[Peminta]],表1[[#This Row],[Tgl NPBG]]-表1[[#This Row],[Peminta]],"")</f>
        <v/>
      </c>
      <c r="J3327" s="31"/>
    </row>
    <row r="3328" s="12" customFormat="1" customHeight="1" spans="2:10">
      <c r="B3328" s="25"/>
      <c r="C3328" s="25"/>
      <c r="D3328" s="26" t="str" cm="1">
        <f t="array" ref="D3328">IF(C3328="","",IFERROR(INDEX(STPP!$D$6:$D$4207,MATCH(C3328,STPP!$C$6:$C$4207,0)),"Not Found"))</f>
        <v/>
      </c>
      <c r="E3328" s="27" t="str" cm="1">
        <f t="array" ref="E3328">IF(C3328="","",IFERROR(INDEX(STPP!$E$6:$E$4207,MATCH(C3328,STPP!$C$6:$C$4207,0)),"Not Found"))</f>
        <v/>
      </c>
      <c r="F3328" s="27" t="str" cm="1">
        <f t="array" ref="F3328">IF(C3328="","",IFERROR(INDEX(STPP!$F$6:$F$4207,MATCH(C3328,STPP!$C$6:$C$4207,0)),"Not Found"))</f>
        <v/>
      </c>
      <c r="G3328" s="25" t="str">
        <f>IF(表1[[#This Row],[No Seri]]="","",表1[[#This Row],[Deskripsi Barang]]+表1[[#This Row],[Kuantitas]]-表1[[#This Row],[Satuan]])</f>
        <v/>
      </c>
      <c r="H3328" s="28"/>
      <c r="I3328" s="25" t="str">
        <f>IF(表1[[#This Row],[Tgl NPBG]]&gt;表1[[#This Row],[Peminta]],表1[[#This Row],[Tgl NPBG]]-表1[[#This Row],[Peminta]],"")</f>
        <v/>
      </c>
      <c r="J3328" s="31"/>
    </row>
    <row r="3329" s="12" customFormat="1" customHeight="1" spans="2:10">
      <c r="B3329" s="25"/>
      <c r="C3329" s="25"/>
      <c r="D3329" s="26" t="str" cm="1">
        <f t="array" ref="D3329">IF(C3329="","",IFERROR(INDEX(STPP!$D$6:$D$4207,MATCH(C3329,STPP!$C$6:$C$4207,0)),"Not Found"))</f>
        <v/>
      </c>
      <c r="E3329" s="27" t="str" cm="1">
        <f t="array" ref="E3329">IF(C3329="","",IFERROR(INDEX(STPP!$E$6:$E$4207,MATCH(C3329,STPP!$C$6:$C$4207,0)),"Not Found"))</f>
        <v/>
      </c>
      <c r="F3329" s="27" t="str" cm="1">
        <f t="array" ref="F3329">IF(C3329="","",IFERROR(INDEX(STPP!$F$6:$F$4207,MATCH(C3329,STPP!$C$6:$C$4207,0)),"Not Found"))</f>
        <v/>
      </c>
      <c r="G3329" s="25" t="str">
        <f>IF(表1[[#This Row],[No Seri]]="","",表1[[#This Row],[Deskripsi Barang]]+表1[[#This Row],[Kuantitas]]-表1[[#This Row],[Satuan]])</f>
        <v/>
      </c>
      <c r="H3329" s="28"/>
      <c r="I3329" s="25" t="str">
        <f>IF(表1[[#This Row],[Tgl NPBG]]&gt;表1[[#This Row],[Peminta]],表1[[#This Row],[Tgl NPBG]]-表1[[#This Row],[Peminta]],"")</f>
        <v/>
      </c>
      <c r="J3329" s="31"/>
    </row>
    <row r="3330" s="12" customFormat="1" customHeight="1" spans="2:10">
      <c r="B3330" s="25"/>
      <c r="C3330" s="25"/>
      <c r="D3330" s="26" t="str" cm="1">
        <f t="array" ref="D3330">IF(C3330="","",IFERROR(INDEX(STPP!$D$6:$D$4207,MATCH(C3330,STPP!$C$6:$C$4207,0)),"Not Found"))</f>
        <v/>
      </c>
      <c r="E3330" s="27" t="str" cm="1">
        <f t="array" ref="E3330">IF(C3330="","",IFERROR(INDEX(STPP!$E$6:$E$4207,MATCH(C3330,STPP!$C$6:$C$4207,0)),"Not Found"))</f>
        <v/>
      </c>
      <c r="F3330" s="27" t="str" cm="1">
        <f t="array" ref="F3330">IF(C3330="","",IFERROR(INDEX(STPP!$F$6:$F$4207,MATCH(C3330,STPP!$C$6:$C$4207,0)),"Not Found"))</f>
        <v/>
      </c>
      <c r="G3330" s="25" t="str">
        <f>IF(表1[[#This Row],[No Seri]]="","",表1[[#This Row],[Deskripsi Barang]]+表1[[#This Row],[Kuantitas]]-表1[[#This Row],[Satuan]])</f>
        <v/>
      </c>
      <c r="H3330" s="28"/>
      <c r="I3330" s="25" t="str">
        <f>IF(表1[[#This Row],[Tgl NPBG]]&gt;表1[[#This Row],[Peminta]],表1[[#This Row],[Tgl NPBG]]-表1[[#This Row],[Peminta]],"")</f>
        <v/>
      </c>
      <c r="J3330" s="31"/>
    </row>
    <row r="3331" s="12" customFormat="1" customHeight="1" spans="2:10">
      <c r="B3331" s="25"/>
      <c r="C3331" s="25"/>
      <c r="D3331" s="26" t="str" cm="1">
        <f t="array" ref="D3331">IF(C3331="","",IFERROR(INDEX(STPP!$D$6:$D$4207,MATCH(C3331,STPP!$C$6:$C$4207,0)),"Not Found"))</f>
        <v/>
      </c>
      <c r="E3331" s="27" t="str" cm="1">
        <f t="array" ref="E3331">IF(C3331="","",IFERROR(INDEX(STPP!$E$6:$E$4207,MATCH(C3331,STPP!$C$6:$C$4207,0)),"Not Found"))</f>
        <v/>
      </c>
      <c r="F3331" s="27" t="str" cm="1">
        <f t="array" ref="F3331">IF(C3331="","",IFERROR(INDEX(STPP!$F$6:$F$4207,MATCH(C3331,STPP!$C$6:$C$4207,0)),"Not Found"))</f>
        <v/>
      </c>
      <c r="G3331" s="25" t="str">
        <f>IF(表1[[#This Row],[No Seri]]="","",表1[[#This Row],[Deskripsi Barang]]+表1[[#This Row],[Kuantitas]]-表1[[#This Row],[Satuan]])</f>
        <v/>
      </c>
      <c r="H3331" s="28"/>
      <c r="I3331" s="25" t="str">
        <f>IF(表1[[#This Row],[Tgl NPBG]]&gt;表1[[#This Row],[Peminta]],表1[[#This Row],[Tgl NPBG]]-表1[[#This Row],[Peminta]],"")</f>
        <v/>
      </c>
      <c r="J3331" s="31"/>
    </row>
    <row r="3332" s="12" customFormat="1" customHeight="1" spans="2:10">
      <c r="B3332" s="25"/>
      <c r="C3332" s="25"/>
      <c r="D3332" s="26" t="str" cm="1">
        <f t="array" ref="D3332">IF(C3332="","",IFERROR(INDEX(STPP!$D$6:$D$4207,MATCH(C3332,STPP!$C$6:$C$4207,0)),"Not Found"))</f>
        <v/>
      </c>
      <c r="E3332" s="27" t="str" cm="1">
        <f t="array" ref="E3332">IF(C3332="","",IFERROR(INDEX(STPP!$E$6:$E$4207,MATCH(C3332,STPP!$C$6:$C$4207,0)),"Not Found"))</f>
        <v/>
      </c>
      <c r="F3332" s="27" t="str" cm="1">
        <f t="array" ref="F3332">IF(C3332="","",IFERROR(INDEX(STPP!$F$6:$F$4207,MATCH(C3332,STPP!$C$6:$C$4207,0)),"Not Found"))</f>
        <v/>
      </c>
      <c r="G3332" s="25" t="str">
        <f>IF(表1[[#This Row],[No Seri]]="","",表1[[#This Row],[Deskripsi Barang]]+表1[[#This Row],[Kuantitas]]-表1[[#This Row],[Satuan]])</f>
        <v/>
      </c>
      <c r="H3332" s="28"/>
      <c r="I3332" s="25" t="str">
        <f>IF(表1[[#This Row],[Tgl NPBG]]&gt;表1[[#This Row],[Peminta]],表1[[#This Row],[Tgl NPBG]]-表1[[#This Row],[Peminta]],"")</f>
        <v/>
      </c>
      <c r="J3332" s="31"/>
    </row>
    <row r="3333" s="12" customFormat="1" customHeight="1" spans="2:10">
      <c r="B3333" s="25"/>
      <c r="C3333" s="25"/>
      <c r="D3333" s="26" t="str" cm="1">
        <f t="array" ref="D3333">IF(C3333="","",IFERROR(INDEX(STPP!$D$6:$D$4207,MATCH(C3333,STPP!$C$6:$C$4207,0)),"Not Found"))</f>
        <v/>
      </c>
      <c r="E3333" s="27" t="str" cm="1">
        <f t="array" ref="E3333">IF(C3333="","",IFERROR(INDEX(STPP!$E$6:$E$4207,MATCH(C3333,STPP!$C$6:$C$4207,0)),"Not Found"))</f>
        <v/>
      </c>
      <c r="F3333" s="27" t="str" cm="1">
        <f t="array" ref="F3333">IF(C3333="","",IFERROR(INDEX(STPP!$F$6:$F$4207,MATCH(C3333,STPP!$C$6:$C$4207,0)),"Not Found"))</f>
        <v/>
      </c>
      <c r="G3333" s="25" t="str">
        <f>IF(表1[[#This Row],[No Seri]]="","",表1[[#This Row],[Deskripsi Barang]]+表1[[#This Row],[Kuantitas]]-表1[[#This Row],[Satuan]])</f>
        <v/>
      </c>
      <c r="H3333" s="28"/>
      <c r="I3333" s="25" t="str">
        <f>IF(表1[[#This Row],[Tgl NPBG]]&gt;表1[[#This Row],[Peminta]],表1[[#This Row],[Tgl NPBG]]-表1[[#This Row],[Peminta]],"")</f>
        <v/>
      </c>
      <c r="J3333" s="31"/>
    </row>
    <row r="3334" s="12" customFormat="1" customHeight="1" spans="2:10">
      <c r="B3334" s="25"/>
      <c r="C3334" s="25"/>
      <c r="D3334" s="26" t="str" cm="1">
        <f t="array" ref="D3334">IF(C3334="","",IFERROR(INDEX(STPP!$D$6:$D$4207,MATCH(C3334,STPP!$C$6:$C$4207,0)),"Not Found"))</f>
        <v/>
      </c>
      <c r="E3334" s="27" t="str" cm="1">
        <f t="array" ref="E3334">IF(C3334="","",IFERROR(INDEX(STPP!$E$6:$E$4207,MATCH(C3334,STPP!$C$6:$C$4207,0)),"Not Found"))</f>
        <v/>
      </c>
      <c r="F3334" s="27" t="str" cm="1">
        <f t="array" ref="F3334">IF(C3334="","",IFERROR(INDEX(STPP!$F$6:$F$4207,MATCH(C3334,STPP!$C$6:$C$4207,0)),"Not Found"))</f>
        <v/>
      </c>
      <c r="G3334" s="25" t="str">
        <f>IF(表1[[#This Row],[No Seri]]="","",表1[[#This Row],[Deskripsi Barang]]+表1[[#This Row],[Kuantitas]]-表1[[#This Row],[Satuan]])</f>
        <v/>
      </c>
      <c r="H3334" s="28"/>
      <c r="I3334" s="25" t="str">
        <f>IF(表1[[#This Row],[Tgl NPBG]]&gt;表1[[#This Row],[Peminta]],表1[[#This Row],[Tgl NPBG]]-表1[[#This Row],[Peminta]],"")</f>
        <v/>
      </c>
      <c r="J3334" s="31"/>
    </row>
    <row r="3335" s="12" customFormat="1" customHeight="1" spans="2:10">
      <c r="B3335" s="25"/>
      <c r="C3335" s="25"/>
      <c r="D3335" s="26" t="str" cm="1">
        <f t="array" ref="D3335">IF(C3335="","",IFERROR(INDEX(STPP!$D$6:$D$4207,MATCH(C3335,STPP!$C$6:$C$4207,0)),"Not Found"))</f>
        <v/>
      </c>
      <c r="E3335" s="27" t="str" cm="1">
        <f t="array" ref="E3335">IF(C3335="","",IFERROR(INDEX(STPP!$E$6:$E$4207,MATCH(C3335,STPP!$C$6:$C$4207,0)),"Not Found"))</f>
        <v/>
      </c>
      <c r="F3335" s="27" t="str" cm="1">
        <f t="array" ref="F3335">IF(C3335="","",IFERROR(INDEX(STPP!$F$6:$F$4207,MATCH(C3335,STPP!$C$6:$C$4207,0)),"Not Found"))</f>
        <v/>
      </c>
      <c r="G3335" s="25" t="str">
        <f>IF(表1[[#This Row],[No Seri]]="","",表1[[#This Row],[Deskripsi Barang]]+表1[[#This Row],[Kuantitas]]-表1[[#This Row],[Satuan]])</f>
        <v/>
      </c>
      <c r="H3335" s="28"/>
      <c r="I3335" s="25" t="str">
        <f>IF(表1[[#This Row],[Tgl NPBG]]&gt;表1[[#This Row],[Peminta]],表1[[#This Row],[Tgl NPBG]]-表1[[#This Row],[Peminta]],"")</f>
        <v/>
      </c>
      <c r="J3335" s="31"/>
    </row>
    <row r="3336" s="12" customFormat="1" customHeight="1" spans="2:10">
      <c r="B3336" s="25"/>
      <c r="C3336" s="25"/>
      <c r="D3336" s="26" t="str" cm="1">
        <f t="array" ref="D3336">IF(C3336="","",IFERROR(INDEX(STPP!$D$6:$D$4207,MATCH(C3336,STPP!$C$6:$C$4207,0)),"Not Found"))</f>
        <v/>
      </c>
      <c r="E3336" s="27" t="str" cm="1">
        <f t="array" ref="E3336">IF(C3336="","",IFERROR(INDEX(STPP!$E$6:$E$4207,MATCH(C3336,STPP!$C$6:$C$4207,0)),"Not Found"))</f>
        <v/>
      </c>
      <c r="F3336" s="27" t="str" cm="1">
        <f t="array" ref="F3336">IF(C3336="","",IFERROR(INDEX(STPP!$F$6:$F$4207,MATCH(C3336,STPP!$C$6:$C$4207,0)),"Not Found"))</f>
        <v/>
      </c>
      <c r="G3336" s="25" t="str">
        <f>IF(表1[[#This Row],[No Seri]]="","",表1[[#This Row],[Deskripsi Barang]]+表1[[#This Row],[Kuantitas]]-表1[[#This Row],[Satuan]])</f>
        <v/>
      </c>
      <c r="H3336" s="28"/>
      <c r="I3336" s="25" t="str">
        <f>IF(表1[[#This Row],[Tgl NPBG]]&gt;表1[[#This Row],[Peminta]],表1[[#This Row],[Tgl NPBG]]-表1[[#This Row],[Peminta]],"")</f>
        <v/>
      </c>
      <c r="J3336" s="31"/>
    </row>
    <row r="3337" s="12" customFormat="1" customHeight="1" spans="2:10">
      <c r="B3337" s="25"/>
      <c r="C3337" s="25"/>
      <c r="D3337" s="26" t="str" cm="1">
        <f t="array" ref="D3337">IF(C3337="","",IFERROR(INDEX(STPP!$D$6:$D$4207,MATCH(C3337,STPP!$C$6:$C$4207,0)),"Not Found"))</f>
        <v/>
      </c>
      <c r="E3337" s="27" t="str" cm="1">
        <f t="array" ref="E3337">IF(C3337="","",IFERROR(INDEX(STPP!$E$6:$E$4207,MATCH(C3337,STPP!$C$6:$C$4207,0)),"Not Found"))</f>
        <v/>
      </c>
      <c r="F3337" s="27" t="str" cm="1">
        <f t="array" ref="F3337">IF(C3337="","",IFERROR(INDEX(STPP!$F$6:$F$4207,MATCH(C3337,STPP!$C$6:$C$4207,0)),"Not Found"))</f>
        <v/>
      </c>
      <c r="G3337" s="25" t="str">
        <f>IF(表1[[#This Row],[No Seri]]="","",表1[[#This Row],[Deskripsi Barang]]+表1[[#This Row],[Kuantitas]]-表1[[#This Row],[Satuan]])</f>
        <v/>
      </c>
      <c r="H3337" s="28"/>
      <c r="I3337" s="25" t="str">
        <f>IF(表1[[#This Row],[Tgl NPBG]]&gt;表1[[#This Row],[Peminta]],表1[[#This Row],[Tgl NPBG]]-表1[[#This Row],[Peminta]],"")</f>
        <v/>
      </c>
      <c r="J3337" s="31"/>
    </row>
    <row r="3338" s="12" customFormat="1" customHeight="1" spans="2:10">
      <c r="B3338" s="25"/>
      <c r="C3338" s="25"/>
      <c r="D3338" s="26" t="str" cm="1">
        <f t="array" ref="D3338">IF(C3338="","",IFERROR(INDEX(STPP!$D$6:$D$4207,MATCH(C3338,STPP!$C$6:$C$4207,0)),"Not Found"))</f>
        <v/>
      </c>
      <c r="E3338" s="27" t="str" cm="1">
        <f t="array" ref="E3338">IF(C3338="","",IFERROR(INDEX(STPP!$E$6:$E$4207,MATCH(C3338,STPP!$C$6:$C$4207,0)),"Not Found"))</f>
        <v/>
      </c>
      <c r="F3338" s="27" t="str" cm="1">
        <f t="array" ref="F3338">IF(C3338="","",IFERROR(INDEX(STPP!$F$6:$F$4207,MATCH(C3338,STPP!$C$6:$C$4207,0)),"Not Found"))</f>
        <v/>
      </c>
      <c r="G3338" s="25" t="str">
        <f>IF(表1[[#This Row],[No Seri]]="","",表1[[#This Row],[Deskripsi Barang]]+表1[[#This Row],[Kuantitas]]-表1[[#This Row],[Satuan]])</f>
        <v/>
      </c>
      <c r="H3338" s="28"/>
      <c r="I3338" s="25" t="str">
        <f>IF(表1[[#This Row],[Tgl NPBG]]&gt;表1[[#This Row],[Peminta]],表1[[#This Row],[Tgl NPBG]]-表1[[#This Row],[Peminta]],"")</f>
        <v/>
      </c>
      <c r="J3338" s="31"/>
    </row>
    <row r="3339" s="12" customFormat="1" customHeight="1" spans="2:10">
      <c r="B3339" s="25"/>
      <c r="C3339" s="25"/>
      <c r="D3339" s="26" t="str" cm="1">
        <f t="array" ref="D3339">IF(C3339="","",IFERROR(INDEX(STPP!$D$6:$D$4207,MATCH(C3339,STPP!$C$6:$C$4207,0)),"Not Found"))</f>
        <v/>
      </c>
      <c r="E3339" s="27" t="str" cm="1">
        <f t="array" ref="E3339">IF(C3339="","",IFERROR(INDEX(STPP!$E$6:$E$4207,MATCH(C3339,STPP!$C$6:$C$4207,0)),"Not Found"))</f>
        <v/>
      </c>
      <c r="F3339" s="27" t="str" cm="1">
        <f t="array" ref="F3339">IF(C3339="","",IFERROR(INDEX(STPP!$F$6:$F$4207,MATCH(C3339,STPP!$C$6:$C$4207,0)),"Not Found"))</f>
        <v/>
      </c>
      <c r="G3339" s="25" t="str">
        <f>IF(表1[[#This Row],[No Seri]]="","",表1[[#This Row],[Deskripsi Barang]]+表1[[#This Row],[Kuantitas]]-表1[[#This Row],[Satuan]])</f>
        <v/>
      </c>
      <c r="H3339" s="28"/>
      <c r="I3339" s="25" t="str">
        <f>IF(表1[[#This Row],[Tgl NPBG]]&gt;表1[[#This Row],[Peminta]],表1[[#This Row],[Tgl NPBG]]-表1[[#This Row],[Peminta]],"")</f>
        <v/>
      </c>
      <c r="J3339" s="31"/>
    </row>
    <row r="3340" s="12" customFormat="1" customHeight="1" spans="2:10">
      <c r="B3340" s="25"/>
      <c r="C3340" s="25"/>
      <c r="D3340" s="26" t="str" cm="1">
        <f t="array" ref="D3340">IF(C3340="","",IFERROR(INDEX(STPP!$D$6:$D$4207,MATCH(C3340,STPP!$C$6:$C$4207,0)),"Not Found"))</f>
        <v/>
      </c>
      <c r="E3340" s="27" t="str" cm="1">
        <f t="array" ref="E3340">IF(C3340="","",IFERROR(INDEX(STPP!$E$6:$E$4207,MATCH(C3340,STPP!$C$6:$C$4207,0)),"Not Found"))</f>
        <v/>
      </c>
      <c r="F3340" s="27" t="str" cm="1">
        <f t="array" ref="F3340">IF(C3340="","",IFERROR(INDEX(STPP!$F$6:$F$4207,MATCH(C3340,STPP!$C$6:$C$4207,0)),"Not Found"))</f>
        <v/>
      </c>
      <c r="G3340" s="25" t="str">
        <f>IF(表1[[#This Row],[No Seri]]="","",表1[[#This Row],[Deskripsi Barang]]+表1[[#This Row],[Kuantitas]]-表1[[#This Row],[Satuan]])</f>
        <v/>
      </c>
      <c r="H3340" s="28"/>
      <c r="I3340" s="25" t="str">
        <f>IF(表1[[#This Row],[Tgl NPBG]]&gt;表1[[#This Row],[Peminta]],表1[[#This Row],[Tgl NPBG]]-表1[[#This Row],[Peminta]],"")</f>
        <v/>
      </c>
      <c r="J3340" s="31"/>
    </row>
    <row r="3341" s="12" customFormat="1" customHeight="1" spans="2:10">
      <c r="B3341" s="25"/>
      <c r="C3341" s="25"/>
      <c r="D3341" s="26" t="str" cm="1">
        <f t="array" ref="D3341">IF(C3341="","",IFERROR(INDEX(STPP!$D$6:$D$4207,MATCH(C3341,STPP!$C$6:$C$4207,0)),"Not Found"))</f>
        <v/>
      </c>
      <c r="E3341" s="27" t="str" cm="1">
        <f t="array" ref="E3341">IF(C3341="","",IFERROR(INDEX(STPP!$E$6:$E$4207,MATCH(C3341,STPP!$C$6:$C$4207,0)),"Not Found"))</f>
        <v/>
      </c>
      <c r="F3341" s="27" t="str" cm="1">
        <f t="array" ref="F3341">IF(C3341="","",IFERROR(INDEX(STPP!$F$6:$F$4207,MATCH(C3341,STPP!$C$6:$C$4207,0)),"Not Found"))</f>
        <v/>
      </c>
      <c r="G3341" s="25" t="str">
        <f>IF(表1[[#This Row],[No Seri]]="","",表1[[#This Row],[Deskripsi Barang]]+表1[[#This Row],[Kuantitas]]-表1[[#This Row],[Satuan]])</f>
        <v/>
      </c>
      <c r="H3341" s="28"/>
      <c r="I3341" s="25" t="str">
        <f>IF(表1[[#This Row],[Tgl NPBG]]&gt;表1[[#This Row],[Peminta]],表1[[#This Row],[Tgl NPBG]]-表1[[#This Row],[Peminta]],"")</f>
        <v/>
      </c>
      <c r="J3341" s="31"/>
    </row>
    <row r="3342" s="12" customFormat="1" customHeight="1" spans="2:10">
      <c r="B3342" s="25"/>
      <c r="C3342" s="25"/>
      <c r="D3342" s="26" t="str" cm="1">
        <f t="array" ref="D3342">IF(C3342="","",IFERROR(INDEX(STPP!$D$6:$D$4207,MATCH(C3342,STPP!$C$6:$C$4207,0)),"Not Found"))</f>
        <v/>
      </c>
      <c r="E3342" s="27" t="str" cm="1">
        <f t="array" ref="E3342">IF(C3342="","",IFERROR(INDEX(STPP!$E$6:$E$4207,MATCH(C3342,STPP!$C$6:$C$4207,0)),"Not Found"))</f>
        <v/>
      </c>
      <c r="F3342" s="27" t="str" cm="1">
        <f t="array" ref="F3342">IF(C3342="","",IFERROR(INDEX(STPP!$F$6:$F$4207,MATCH(C3342,STPP!$C$6:$C$4207,0)),"Not Found"))</f>
        <v/>
      </c>
      <c r="G3342" s="25" t="str">
        <f>IF(表1[[#This Row],[No Seri]]="","",表1[[#This Row],[Deskripsi Barang]]+表1[[#This Row],[Kuantitas]]-表1[[#This Row],[Satuan]])</f>
        <v/>
      </c>
      <c r="H3342" s="28"/>
      <c r="I3342" s="25" t="str">
        <f>IF(表1[[#This Row],[Tgl NPBG]]&gt;表1[[#This Row],[Peminta]],表1[[#This Row],[Tgl NPBG]]-表1[[#This Row],[Peminta]],"")</f>
        <v/>
      </c>
      <c r="J3342" s="31"/>
    </row>
    <row r="3343" s="12" customFormat="1" customHeight="1" spans="2:10">
      <c r="B3343" s="25"/>
      <c r="C3343" s="25"/>
      <c r="D3343" s="26" t="str" cm="1">
        <f t="array" ref="D3343">IF(C3343="","",IFERROR(INDEX(STPP!$D$6:$D$4207,MATCH(C3343,STPP!$C$6:$C$4207,0)),"Not Found"))</f>
        <v/>
      </c>
      <c r="E3343" s="27" t="str" cm="1">
        <f t="array" ref="E3343">IF(C3343="","",IFERROR(INDEX(STPP!$E$6:$E$4207,MATCH(C3343,STPP!$C$6:$C$4207,0)),"Not Found"))</f>
        <v/>
      </c>
      <c r="F3343" s="27" t="str" cm="1">
        <f t="array" ref="F3343">IF(C3343="","",IFERROR(INDEX(STPP!$F$6:$F$4207,MATCH(C3343,STPP!$C$6:$C$4207,0)),"Not Found"))</f>
        <v/>
      </c>
      <c r="G3343" s="25" t="str">
        <f>IF(表1[[#This Row],[No Seri]]="","",表1[[#This Row],[Deskripsi Barang]]+表1[[#This Row],[Kuantitas]]-表1[[#This Row],[Satuan]])</f>
        <v/>
      </c>
      <c r="H3343" s="28"/>
      <c r="I3343" s="25" t="str">
        <f>IF(表1[[#This Row],[Tgl NPBG]]&gt;表1[[#This Row],[Peminta]],表1[[#This Row],[Tgl NPBG]]-表1[[#This Row],[Peminta]],"")</f>
        <v/>
      </c>
      <c r="J3343" s="31"/>
    </row>
    <row r="3344" s="12" customFormat="1" customHeight="1" spans="2:10">
      <c r="B3344" s="25"/>
      <c r="C3344" s="25"/>
      <c r="D3344" s="26" t="str" cm="1">
        <f t="array" ref="D3344">IF(C3344="","",IFERROR(INDEX(STPP!$D$6:$D$4207,MATCH(C3344,STPP!$C$6:$C$4207,0)),"Not Found"))</f>
        <v/>
      </c>
      <c r="E3344" s="27" t="str" cm="1">
        <f t="array" ref="E3344">IF(C3344="","",IFERROR(INDEX(STPP!$E$6:$E$4207,MATCH(C3344,STPP!$C$6:$C$4207,0)),"Not Found"))</f>
        <v/>
      </c>
      <c r="F3344" s="27" t="str" cm="1">
        <f t="array" ref="F3344">IF(C3344="","",IFERROR(INDEX(STPP!$F$6:$F$4207,MATCH(C3344,STPP!$C$6:$C$4207,0)),"Not Found"))</f>
        <v/>
      </c>
      <c r="G3344" s="25" t="str">
        <f>IF(表1[[#This Row],[No Seri]]="","",表1[[#This Row],[Deskripsi Barang]]+表1[[#This Row],[Kuantitas]]-表1[[#This Row],[Satuan]])</f>
        <v/>
      </c>
      <c r="H3344" s="28"/>
      <c r="I3344" s="25" t="str">
        <f>IF(表1[[#This Row],[Tgl NPBG]]&gt;表1[[#This Row],[Peminta]],表1[[#This Row],[Tgl NPBG]]-表1[[#This Row],[Peminta]],"")</f>
        <v/>
      </c>
      <c r="J3344" s="31"/>
    </row>
    <row r="3345" s="12" customFormat="1" customHeight="1" spans="2:10">
      <c r="B3345" s="25"/>
      <c r="C3345" s="25"/>
      <c r="D3345" s="26" t="str" cm="1">
        <f t="array" ref="D3345">IF(C3345="","",IFERROR(INDEX(STPP!$D$6:$D$4207,MATCH(C3345,STPP!$C$6:$C$4207,0)),"Not Found"))</f>
        <v/>
      </c>
      <c r="E3345" s="27" t="str" cm="1">
        <f t="array" ref="E3345">IF(C3345="","",IFERROR(INDEX(STPP!$E$6:$E$4207,MATCH(C3345,STPP!$C$6:$C$4207,0)),"Not Found"))</f>
        <v/>
      </c>
      <c r="F3345" s="27" t="str" cm="1">
        <f t="array" ref="F3345">IF(C3345="","",IFERROR(INDEX(STPP!$F$6:$F$4207,MATCH(C3345,STPP!$C$6:$C$4207,0)),"Not Found"))</f>
        <v/>
      </c>
      <c r="G3345" s="25" t="str">
        <f>IF(表1[[#This Row],[No Seri]]="","",表1[[#This Row],[Deskripsi Barang]]+表1[[#This Row],[Kuantitas]]-表1[[#This Row],[Satuan]])</f>
        <v/>
      </c>
      <c r="H3345" s="28"/>
      <c r="I3345" s="25" t="str">
        <f>IF(表1[[#This Row],[Tgl NPBG]]&gt;表1[[#This Row],[Peminta]],表1[[#This Row],[Tgl NPBG]]-表1[[#This Row],[Peminta]],"")</f>
        <v/>
      </c>
      <c r="J3345" s="31"/>
    </row>
    <row r="3346" s="12" customFormat="1" customHeight="1" spans="2:10">
      <c r="B3346" s="25"/>
      <c r="C3346" s="25"/>
      <c r="D3346" s="26" t="str" cm="1">
        <f t="array" ref="D3346">IF(C3346="","",IFERROR(INDEX(STPP!$D$6:$D$4207,MATCH(C3346,STPP!$C$6:$C$4207,0)),"Not Found"))</f>
        <v/>
      </c>
      <c r="E3346" s="27" t="str" cm="1">
        <f t="array" ref="E3346">IF(C3346="","",IFERROR(INDEX(STPP!$E$6:$E$4207,MATCH(C3346,STPP!$C$6:$C$4207,0)),"Not Found"))</f>
        <v/>
      </c>
      <c r="F3346" s="27" t="str" cm="1">
        <f t="array" ref="F3346">IF(C3346="","",IFERROR(INDEX(STPP!$F$6:$F$4207,MATCH(C3346,STPP!$C$6:$C$4207,0)),"Not Found"))</f>
        <v/>
      </c>
      <c r="G3346" s="25" t="str">
        <f>IF(表1[[#This Row],[No Seri]]="","",表1[[#This Row],[Deskripsi Barang]]+表1[[#This Row],[Kuantitas]]-表1[[#This Row],[Satuan]])</f>
        <v/>
      </c>
      <c r="H3346" s="28"/>
      <c r="I3346" s="25" t="str">
        <f>IF(表1[[#This Row],[Tgl NPBG]]&gt;表1[[#This Row],[Peminta]],表1[[#This Row],[Tgl NPBG]]-表1[[#This Row],[Peminta]],"")</f>
        <v/>
      </c>
      <c r="J3346" s="31"/>
    </row>
    <row r="3347" s="12" customFormat="1" customHeight="1" spans="2:10">
      <c r="B3347" s="25"/>
      <c r="C3347" s="25"/>
      <c r="D3347" s="26" t="str" cm="1">
        <f t="array" ref="D3347">IF(C3347="","",IFERROR(INDEX(STPP!$D$6:$D$4207,MATCH(C3347,STPP!$C$6:$C$4207,0)),"Not Found"))</f>
        <v/>
      </c>
      <c r="E3347" s="27" t="str" cm="1">
        <f t="array" ref="E3347">IF(C3347="","",IFERROR(INDEX(STPP!$E$6:$E$4207,MATCH(C3347,STPP!$C$6:$C$4207,0)),"Not Found"))</f>
        <v/>
      </c>
      <c r="F3347" s="27" t="str" cm="1">
        <f t="array" ref="F3347">IF(C3347="","",IFERROR(INDEX(STPP!$F$6:$F$4207,MATCH(C3347,STPP!$C$6:$C$4207,0)),"Not Found"))</f>
        <v/>
      </c>
      <c r="G3347" s="25" t="str">
        <f>IF(表1[[#This Row],[No Seri]]="","",表1[[#This Row],[Deskripsi Barang]]+表1[[#This Row],[Kuantitas]]-表1[[#This Row],[Satuan]])</f>
        <v/>
      </c>
      <c r="H3347" s="28"/>
      <c r="I3347" s="25" t="str">
        <f>IF(表1[[#This Row],[Tgl NPBG]]&gt;表1[[#This Row],[Peminta]],表1[[#This Row],[Tgl NPBG]]-表1[[#This Row],[Peminta]],"")</f>
        <v/>
      </c>
      <c r="J3347" s="31"/>
    </row>
    <row r="3348" s="12" customFormat="1" customHeight="1" spans="2:10">
      <c r="B3348" s="25"/>
      <c r="C3348" s="25"/>
      <c r="D3348" s="26" t="str" cm="1">
        <f t="array" ref="D3348">IF(C3348="","",IFERROR(INDEX(STPP!$D$6:$D$4207,MATCH(C3348,STPP!$C$6:$C$4207,0)),"Not Found"))</f>
        <v/>
      </c>
      <c r="E3348" s="27" t="str" cm="1">
        <f t="array" ref="E3348">IF(C3348="","",IFERROR(INDEX(STPP!$E$6:$E$4207,MATCH(C3348,STPP!$C$6:$C$4207,0)),"Not Found"))</f>
        <v/>
      </c>
      <c r="F3348" s="27" t="str" cm="1">
        <f t="array" ref="F3348">IF(C3348="","",IFERROR(INDEX(STPP!$F$6:$F$4207,MATCH(C3348,STPP!$C$6:$C$4207,0)),"Not Found"))</f>
        <v/>
      </c>
      <c r="G3348" s="25" t="str">
        <f>IF(表1[[#This Row],[No Seri]]="","",表1[[#This Row],[Deskripsi Barang]]+表1[[#This Row],[Kuantitas]]-表1[[#This Row],[Satuan]])</f>
        <v/>
      </c>
      <c r="H3348" s="28"/>
      <c r="I3348" s="25" t="str">
        <f>IF(表1[[#This Row],[Tgl NPBG]]&gt;表1[[#This Row],[Peminta]],表1[[#This Row],[Tgl NPBG]]-表1[[#This Row],[Peminta]],"")</f>
        <v/>
      </c>
      <c r="J3348" s="31"/>
    </row>
    <row r="3349" s="12" customFormat="1" customHeight="1" spans="2:10">
      <c r="B3349" s="25"/>
      <c r="C3349" s="25"/>
      <c r="D3349" s="26" t="str" cm="1">
        <f t="array" ref="D3349">IF(C3349="","",IFERROR(INDEX(STPP!$D$6:$D$4207,MATCH(C3349,STPP!$C$6:$C$4207,0)),"Not Found"))</f>
        <v/>
      </c>
      <c r="E3349" s="27" t="str" cm="1">
        <f t="array" ref="E3349">IF(C3349="","",IFERROR(INDEX(STPP!$E$6:$E$4207,MATCH(C3349,STPP!$C$6:$C$4207,0)),"Not Found"))</f>
        <v/>
      </c>
      <c r="F3349" s="27" t="str" cm="1">
        <f t="array" ref="F3349">IF(C3349="","",IFERROR(INDEX(STPP!$F$6:$F$4207,MATCH(C3349,STPP!$C$6:$C$4207,0)),"Not Found"))</f>
        <v/>
      </c>
      <c r="G3349" s="25" t="str">
        <f>IF(表1[[#This Row],[No Seri]]="","",表1[[#This Row],[Deskripsi Barang]]+表1[[#This Row],[Kuantitas]]-表1[[#This Row],[Satuan]])</f>
        <v/>
      </c>
      <c r="H3349" s="28"/>
      <c r="I3349" s="25" t="str">
        <f>IF(表1[[#This Row],[Tgl NPBG]]&gt;表1[[#This Row],[Peminta]],表1[[#This Row],[Tgl NPBG]]-表1[[#This Row],[Peminta]],"")</f>
        <v/>
      </c>
      <c r="J3349" s="31"/>
    </row>
    <row r="3350" s="12" customFormat="1" customHeight="1" spans="2:10">
      <c r="B3350" s="25"/>
      <c r="C3350" s="25"/>
      <c r="D3350" s="26" t="str" cm="1">
        <f t="array" ref="D3350">IF(C3350="","",IFERROR(INDEX(STPP!$D$6:$D$4207,MATCH(C3350,STPP!$C$6:$C$4207,0)),"Not Found"))</f>
        <v/>
      </c>
      <c r="E3350" s="27" t="str" cm="1">
        <f t="array" ref="E3350">IF(C3350="","",IFERROR(INDEX(STPP!$E$6:$E$4207,MATCH(C3350,STPP!$C$6:$C$4207,0)),"Not Found"))</f>
        <v/>
      </c>
      <c r="F3350" s="27" t="str" cm="1">
        <f t="array" ref="F3350">IF(C3350="","",IFERROR(INDEX(STPP!$F$6:$F$4207,MATCH(C3350,STPP!$C$6:$C$4207,0)),"Not Found"))</f>
        <v/>
      </c>
      <c r="G3350" s="25" t="str">
        <f>IF(表1[[#This Row],[No Seri]]="","",表1[[#This Row],[Deskripsi Barang]]+表1[[#This Row],[Kuantitas]]-表1[[#This Row],[Satuan]])</f>
        <v/>
      </c>
      <c r="H3350" s="28"/>
      <c r="I3350" s="25" t="str">
        <f>IF(表1[[#This Row],[Tgl NPBG]]&gt;表1[[#This Row],[Peminta]],表1[[#This Row],[Tgl NPBG]]-表1[[#This Row],[Peminta]],"")</f>
        <v/>
      </c>
      <c r="J3350" s="31"/>
    </row>
    <row r="3351" s="12" customFormat="1" customHeight="1" spans="2:10">
      <c r="B3351" s="25"/>
      <c r="C3351" s="25"/>
      <c r="D3351" s="26" t="str" cm="1">
        <f t="array" ref="D3351">IF(C3351="","",IFERROR(INDEX(STPP!$D$6:$D$4207,MATCH(C3351,STPP!$C$6:$C$4207,0)),"Not Found"))</f>
        <v/>
      </c>
      <c r="E3351" s="27" t="str" cm="1">
        <f t="array" ref="E3351">IF(C3351="","",IFERROR(INDEX(STPP!$E$6:$E$4207,MATCH(C3351,STPP!$C$6:$C$4207,0)),"Not Found"))</f>
        <v/>
      </c>
      <c r="F3351" s="27" t="str" cm="1">
        <f t="array" ref="F3351">IF(C3351="","",IFERROR(INDEX(STPP!$F$6:$F$4207,MATCH(C3351,STPP!$C$6:$C$4207,0)),"Not Found"))</f>
        <v/>
      </c>
      <c r="G3351" s="25" t="str">
        <f>IF(表1[[#This Row],[No Seri]]="","",表1[[#This Row],[Deskripsi Barang]]+表1[[#This Row],[Kuantitas]]-表1[[#This Row],[Satuan]])</f>
        <v/>
      </c>
      <c r="H3351" s="28"/>
      <c r="I3351" s="25" t="str">
        <f>IF(表1[[#This Row],[Tgl NPBG]]&gt;表1[[#This Row],[Peminta]],表1[[#This Row],[Tgl NPBG]]-表1[[#This Row],[Peminta]],"")</f>
        <v/>
      </c>
      <c r="J3351" s="31"/>
    </row>
    <row r="3352" s="12" customFormat="1" customHeight="1" spans="2:10">
      <c r="B3352" s="25"/>
      <c r="C3352" s="25"/>
      <c r="D3352" s="26" t="str" cm="1">
        <f t="array" ref="D3352">IF(C3352="","",IFERROR(INDEX(STPP!$D$6:$D$4207,MATCH(C3352,STPP!$C$6:$C$4207,0)),"Not Found"))</f>
        <v/>
      </c>
      <c r="E3352" s="27" t="str" cm="1">
        <f t="array" ref="E3352">IF(C3352="","",IFERROR(INDEX(STPP!$E$6:$E$4207,MATCH(C3352,STPP!$C$6:$C$4207,0)),"Not Found"))</f>
        <v/>
      </c>
      <c r="F3352" s="27" t="str" cm="1">
        <f t="array" ref="F3352">IF(C3352="","",IFERROR(INDEX(STPP!$F$6:$F$4207,MATCH(C3352,STPP!$C$6:$C$4207,0)),"Not Found"))</f>
        <v/>
      </c>
      <c r="G3352" s="25" t="str">
        <f>IF(表1[[#This Row],[No Seri]]="","",表1[[#This Row],[Deskripsi Barang]]+表1[[#This Row],[Kuantitas]]-表1[[#This Row],[Satuan]])</f>
        <v/>
      </c>
      <c r="H3352" s="28"/>
      <c r="I3352" s="25" t="str">
        <f>IF(表1[[#This Row],[Tgl NPBG]]&gt;表1[[#This Row],[Peminta]],表1[[#This Row],[Tgl NPBG]]-表1[[#This Row],[Peminta]],"")</f>
        <v/>
      </c>
      <c r="J3352" s="31"/>
    </row>
    <row r="3353" s="12" customFormat="1" customHeight="1" spans="2:10">
      <c r="B3353" s="25"/>
      <c r="C3353" s="25"/>
      <c r="D3353" s="26" t="str" cm="1">
        <f t="array" ref="D3353">IF(C3353="","",IFERROR(INDEX(STPP!$D$6:$D$4207,MATCH(C3353,STPP!$C$6:$C$4207,0)),"Not Found"))</f>
        <v/>
      </c>
      <c r="E3353" s="27" t="str" cm="1">
        <f t="array" ref="E3353">IF(C3353="","",IFERROR(INDEX(STPP!$E$6:$E$4207,MATCH(C3353,STPP!$C$6:$C$4207,0)),"Not Found"))</f>
        <v/>
      </c>
      <c r="F3353" s="27" t="str" cm="1">
        <f t="array" ref="F3353">IF(C3353="","",IFERROR(INDEX(STPP!$F$6:$F$4207,MATCH(C3353,STPP!$C$6:$C$4207,0)),"Not Found"))</f>
        <v/>
      </c>
      <c r="G3353" s="25" t="str">
        <f>IF(表1[[#This Row],[No Seri]]="","",表1[[#This Row],[Deskripsi Barang]]+表1[[#This Row],[Kuantitas]]-表1[[#This Row],[Satuan]])</f>
        <v/>
      </c>
      <c r="H3353" s="28"/>
      <c r="I3353" s="25" t="str">
        <f>IF(表1[[#This Row],[Tgl NPBG]]&gt;表1[[#This Row],[Peminta]],表1[[#This Row],[Tgl NPBG]]-表1[[#This Row],[Peminta]],"")</f>
        <v/>
      </c>
      <c r="J3353" s="31"/>
    </row>
    <row r="3354" s="12" customFormat="1" customHeight="1" spans="2:10">
      <c r="B3354" s="25"/>
      <c r="C3354" s="25"/>
      <c r="D3354" s="26" t="str" cm="1">
        <f t="array" ref="D3354">IF(C3354="","",IFERROR(INDEX(STPP!$D$6:$D$4207,MATCH(C3354,STPP!$C$6:$C$4207,0)),"Not Found"))</f>
        <v/>
      </c>
      <c r="E3354" s="27" t="str" cm="1">
        <f t="array" ref="E3354">IF(C3354="","",IFERROR(INDEX(STPP!$E$6:$E$4207,MATCH(C3354,STPP!$C$6:$C$4207,0)),"Not Found"))</f>
        <v/>
      </c>
      <c r="F3354" s="27" t="str" cm="1">
        <f t="array" ref="F3354">IF(C3354="","",IFERROR(INDEX(STPP!$F$6:$F$4207,MATCH(C3354,STPP!$C$6:$C$4207,0)),"Not Found"))</f>
        <v/>
      </c>
      <c r="G3354" s="25" t="str">
        <f>IF(表1[[#This Row],[No Seri]]="","",表1[[#This Row],[Deskripsi Barang]]+表1[[#This Row],[Kuantitas]]-表1[[#This Row],[Satuan]])</f>
        <v/>
      </c>
      <c r="H3354" s="28"/>
      <c r="I3354" s="25" t="str">
        <f>IF(表1[[#This Row],[Tgl NPBG]]&gt;表1[[#This Row],[Peminta]],表1[[#This Row],[Tgl NPBG]]-表1[[#This Row],[Peminta]],"")</f>
        <v/>
      </c>
      <c r="J3354" s="31"/>
    </row>
    <row r="3355" s="12" customFormat="1" customHeight="1" spans="2:10">
      <c r="B3355" s="25"/>
      <c r="C3355" s="25"/>
      <c r="D3355" s="26" t="str" cm="1">
        <f t="array" ref="D3355">IF(C3355="","",IFERROR(INDEX(STPP!$D$6:$D$4207,MATCH(C3355,STPP!$C$6:$C$4207,0)),"Not Found"))</f>
        <v/>
      </c>
      <c r="E3355" s="27" t="str" cm="1">
        <f t="array" ref="E3355">IF(C3355="","",IFERROR(INDEX(STPP!$E$6:$E$4207,MATCH(C3355,STPP!$C$6:$C$4207,0)),"Not Found"))</f>
        <v/>
      </c>
      <c r="F3355" s="27" t="str" cm="1">
        <f t="array" ref="F3355">IF(C3355="","",IFERROR(INDEX(STPP!$F$6:$F$4207,MATCH(C3355,STPP!$C$6:$C$4207,0)),"Not Found"))</f>
        <v/>
      </c>
      <c r="G3355" s="25" t="str">
        <f>IF(表1[[#This Row],[No Seri]]="","",表1[[#This Row],[Deskripsi Barang]]+表1[[#This Row],[Kuantitas]]-表1[[#This Row],[Satuan]])</f>
        <v/>
      </c>
      <c r="H3355" s="28"/>
      <c r="I3355" s="25" t="str">
        <f>IF(表1[[#This Row],[Tgl NPBG]]&gt;表1[[#This Row],[Peminta]],表1[[#This Row],[Tgl NPBG]]-表1[[#This Row],[Peminta]],"")</f>
        <v/>
      </c>
      <c r="J3355" s="31"/>
    </row>
    <row r="3356" s="12" customFormat="1" customHeight="1" spans="2:10">
      <c r="B3356" s="25"/>
      <c r="C3356" s="25"/>
      <c r="D3356" s="26" t="str" cm="1">
        <f t="array" ref="D3356">IF(C3356="","",IFERROR(INDEX(STPP!$D$6:$D$4207,MATCH(C3356,STPP!$C$6:$C$4207,0)),"Not Found"))</f>
        <v/>
      </c>
      <c r="E3356" s="27" t="str" cm="1">
        <f t="array" ref="E3356">IF(C3356="","",IFERROR(INDEX(STPP!$E$6:$E$4207,MATCH(C3356,STPP!$C$6:$C$4207,0)),"Not Found"))</f>
        <v/>
      </c>
      <c r="F3356" s="27" t="str" cm="1">
        <f t="array" ref="F3356">IF(C3356="","",IFERROR(INDEX(STPP!$F$6:$F$4207,MATCH(C3356,STPP!$C$6:$C$4207,0)),"Not Found"))</f>
        <v/>
      </c>
      <c r="G3356" s="25" t="str">
        <f>IF(表1[[#This Row],[No Seri]]="","",表1[[#This Row],[Deskripsi Barang]]+表1[[#This Row],[Kuantitas]]-表1[[#This Row],[Satuan]])</f>
        <v/>
      </c>
      <c r="H3356" s="28"/>
      <c r="I3356" s="25" t="str">
        <f>IF(表1[[#This Row],[Tgl NPBG]]&gt;表1[[#This Row],[Peminta]],表1[[#This Row],[Tgl NPBG]]-表1[[#This Row],[Peminta]],"")</f>
        <v/>
      </c>
      <c r="J3356" s="31"/>
    </row>
    <row r="3357" s="12" customFormat="1" customHeight="1" spans="2:10">
      <c r="B3357" s="25"/>
      <c r="C3357" s="25"/>
      <c r="D3357" s="26" t="str" cm="1">
        <f t="array" ref="D3357">IF(C3357="","",IFERROR(INDEX(STPP!$D$6:$D$4207,MATCH(C3357,STPP!$C$6:$C$4207,0)),"Not Found"))</f>
        <v/>
      </c>
      <c r="E3357" s="27" t="str" cm="1">
        <f t="array" ref="E3357">IF(C3357="","",IFERROR(INDEX(STPP!$E$6:$E$4207,MATCH(C3357,STPP!$C$6:$C$4207,0)),"Not Found"))</f>
        <v/>
      </c>
      <c r="F3357" s="27" t="str" cm="1">
        <f t="array" ref="F3357">IF(C3357="","",IFERROR(INDEX(STPP!$F$6:$F$4207,MATCH(C3357,STPP!$C$6:$C$4207,0)),"Not Found"))</f>
        <v/>
      </c>
      <c r="G3357" s="25" t="str">
        <f>IF(表1[[#This Row],[No Seri]]="","",表1[[#This Row],[Deskripsi Barang]]+表1[[#This Row],[Kuantitas]]-表1[[#This Row],[Satuan]])</f>
        <v/>
      </c>
      <c r="H3357" s="28"/>
      <c r="I3357" s="25" t="str">
        <f>IF(表1[[#This Row],[Tgl NPBG]]&gt;表1[[#This Row],[Peminta]],表1[[#This Row],[Tgl NPBG]]-表1[[#This Row],[Peminta]],"")</f>
        <v/>
      </c>
      <c r="J3357" s="31"/>
    </row>
    <row r="3358" s="12" customFormat="1" customHeight="1" spans="2:10">
      <c r="B3358" s="25"/>
      <c r="C3358" s="25"/>
      <c r="D3358" s="26" t="str" cm="1">
        <f t="array" ref="D3358">IF(C3358="","",IFERROR(INDEX(STPP!$D$6:$D$4207,MATCH(C3358,STPP!$C$6:$C$4207,0)),"Not Found"))</f>
        <v/>
      </c>
      <c r="E3358" s="27" t="str" cm="1">
        <f t="array" ref="E3358">IF(C3358="","",IFERROR(INDEX(STPP!$E$6:$E$4207,MATCH(C3358,STPP!$C$6:$C$4207,0)),"Not Found"))</f>
        <v/>
      </c>
      <c r="F3358" s="27" t="str" cm="1">
        <f t="array" ref="F3358">IF(C3358="","",IFERROR(INDEX(STPP!$F$6:$F$4207,MATCH(C3358,STPP!$C$6:$C$4207,0)),"Not Found"))</f>
        <v/>
      </c>
      <c r="G3358" s="25" t="str">
        <f>IF(表1[[#This Row],[No Seri]]="","",表1[[#This Row],[Deskripsi Barang]]+表1[[#This Row],[Kuantitas]]-表1[[#This Row],[Satuan]])</f>
        <v/>
      </c>
      <c r="H3358" s="28"/>
      <c r="I3358" s="25" t="str">
        <f>IF(表1[[#This Row],[Tgl NPBG]]&gt;表1[[#This Row],[Peminta]],表1[[#This Row],[Tgl NPBG]]-表1[[#This Row],[Peminta]],"")</f>
        <v/>
      </c>
      <c r="J3358" s="31"/>
    </row>
    <row r="3359" s="12" customFormat="1" customHeight="1" spans="2:10">
      <c r="B3359" s="25"/>
      <c r="C3359" s="25"/>
      <c r="D3359" s="26" t="str" cm="1">
        <f t="array" ref="D3359">IF(C3359="","",IFERROR(INDEX(STPP!$D$6:$D$4207,MATCH(C3359,STPP!$C$6:$C$4207,0)),"Not Found"))</f>
        <v/>
      </c>
      <c r="E3359" s="27" t="str" cm="1">
        <f t="array" ref="E3359">IF(C3359="","",IFERROR(INDEX(STPP!$E$6:$E$4207,MATCH(C3359,STPP!$C$6:$C$4207,0)),"Not Found"))</f>
        <v/>
      </c>
      <c r="F3359" s="27" t="str" cm="1">
        <f t="array" ref="F3359">IF(C3359="","",IFERROR(INDEX(STPP!$F$6:$F$4207,MATCH(C3359,STPP!$C$6:$C$4207,0)),"Not Found"))</f>
        <v/>
      </c>
      <c r="G3359" s="25" t="str">
        <f>IF(表1[[#This Row],[No Seri]]="","",表1[[#This Row],[Deskripsi Barang]]+表1[[#This Row],[Kuantitas]]-表1[[#This Row],[Satuan]])</f>
        <v/>
      </c>
      <c r="H3359" s="28"/>
      <c r="I3359" s="25" t="str">
        <f>IF(表1[[#This Row],[Tgl NPBG]]&gt;表1[[#This Row],[Peminta]],表1[[#This Row],[Tgl NPBG]]-表1[[#This Row],[Peminta]],"")</f>
        <v/>
      </c>
      <c r="J3359" s="31"/>
    </row>
    <row r="3360" s="12" customFormat="1" customHeight="1" spans="2:10">
      <c r="B3360" s="25"/>
      <c r="C3360" s="25"/>
      <c r="D3360" s="26" t="str" cm="1">
        <f t="array" ref="D3360">IF(C3360="","",IFERROR(INDEX(STPP!$D$6:$D$4207,MATCH(C3360,STPP!$C$6:$C$4207,0)),"Not Found"))</f>
        <v/>
      </c>
      <c r="E3360" s="27" t="str" cm="1">
        <f t="array" ref="E3360">IF(C3360="","",IFERROR(INDEX(STPP!$E$6:$E$4207,MATCH(C3360,STPP!$C$6:$C$4207,0)),"Not Found"))</f>
        <v/>
      </c>
      <c r="F3360" s="27" t="str" cm="1">
        <f t="array" ref="F3360">IF(C3360="","",IFERROR(INDEX(STPP!$F$6:$F$4207,MATCH(C3360,STPP!$C$6:$C$4207,0)),"Not Found"))</f>
        <v/>
      </c>
      <c r="G3360" s="25" t="str">
        <f>IF(表1[[#This Row],[No Seri]]="","",表1[[#This Row],[Deskripsi Barang]]+表1[[#This Row],[Kuantitas]]-表1[[#This Row],[Satuan]])</f>
        <v/>
      </c>
      <c r="H3360" s="28"/>
      <c r="I3360" s="25" t="str">
        <f>IF(表1[[#This Row],[Tgl NPBG]]&gt;表1[[#This Row],[Peminta]],表1[[#This Row],[Tgl NPBG]]-表1[[#This Row],[Peminta]],"")</f>
        <v/>
      </c>
      <c r="J3360" s="31"/>
    </row>
    <row r="3361" s="12" customFormat="1" customHeight="1" spans="2:10">
      <c r="B3361" s="25"/>
      <c r="C3361" s="25"/>
      <c r="D3361" s="26" t="str" cm="1">
        <f t="array" ref="D3361">IF(C3361="","",IFERROR(INDEX(STPP!$D$6:$D$4207,MATCH(C3361,STPP!$C$6:$C$4207,0)),"Not Found"))</f>
        <v/>
      </c>
      <c r="E3361" s="27" t="str" cm="1">
        <f t="array" ref="E3361">IF(C3361="","",IFERROR(INDEX(STPP!$E$6:$E$4207,MATCH(C3361,STPP!$C$6:$C$4207,0)),"Not Found"))</f>
        <v/>
      </c>
      <c r="F3361" s="27" t="str" cm="1">
        <f t="array" ref="F3361">IF(C3361="","",IFERROR(INDEX(STPP!$F$6:$F$4207,MATCH(C3361,STPP!$C$6:$C$4207,0)),"Not Found"))</f>
        <v/>
      </c>
      <c r="G3361" s="25" t="str">
        <f>IF(表1[[#This Row],[No Seri]]="","",表1[[#This Row],[Deskripsi Barang]]+表1[[#This Row],[Kuantitas]]-表1[[#This Row],[Satuan]])</f>
        <v/>
      </c>
      <c r="H3361" s="28"/>
      <c r="I3361" s="25" t="str">
        <f>IF(表1[[#This Row],[Tgl NPBG]]&gt;表1[[#This Row],[Peminta]],表1[[#This Row],[Tgl NPBG]]-表1[[#This Row],[Peminta]],"")</f>
        <v/>
      </c>
      <c r="J3361" s="31"/>
    </row>
    <row r="3362" s="12" customFormat="1" customHeight="1" spans="2:10">
      <c r="B3362" s="25"/>
      <c r="C3362" s="25"/>
      <c r="D3362" s="26" t="str" cm="1">
        <f t="array" ref="D3362">IF(C3362="","",IFERROR(INDEX(STPP!$D$6:$D$4207,MATCH(C3362,STPP!$C$6:$C$4207,0)),"Not Found"))</f>
        <v/>
      </c>
      <c r="E3362" s="27" t="str" cm="1">
        <f t="array" ref="E3362">IF(C3362="","",IFERROR(INDEX(STPP!$E$6:$E$4207,MATCH(C3362,STPP!$C$6:$C$4207,0)),"Not Found"))</f>
        <v/>
      </c>
      <c r="F3362" s="27" t="str" cm="1">
        <f t="array" ref="F3362">IF(C3362="","",IFERROR(INDEX(STPP!$F$6:$F$4207,MATCH(C3362,STPP!$C$6:$C$4207,0)),"Not Found"))</f>
        <v/>
      </c>
      <c r="G3362" s="25" t="str">
        <f>IF(表1[[#This Row],[No Seri]]="","",表1[[#This Row],[Deskripsi Barang]]+表1[[#This Row],[Kuantitas]]-表1[[#This Row],[Satuan]])</f>
        <v/>
      </c>
      <c r="H3362" s="28"/>
      <c r="I3362" s="25" t="str">
        <f>IF(表1[[#This Row],[Tgl NPBG]]&gt;表1[[#This Row],[Peminta]],表1[[#This Row],[Tgl NPBG]]-表1[[#This Row],[Peminta]],"")</f>
        <v/>
      </c>
      <c r="J3362" s="31"/>
    </row>
    <row r="3363" s="12" customFormat="1" customHeight="1" spans="2:10">
      <c r="B3363" s="25"/>
      <c r="C3363" s="25"/>
      <c r="D3363" s="26" t="str" cm="1">
        <f t="array" ref="D3363">IF(C3363="","",IFERROR(INDEX(STPP!$D$6:$D$4207,MATCH(C3363,STPP!$C$6:$C$4207,0)),"Not Found"))</f>
        <v/>
      </c>
      <c r="E3363" s="27" t="str" cm="1">
        <f t="array" ref="E3363">IF(C3363="","",IFERROR(INDEX(STPP!$E$6:$E$4207,MATCH(C3363,STPP!$C$6:$C$4207,0)),"Not Found"))</f>
        <v/>
      </c>
      <c r="F3363" s="27" t="str" cm="1">
        <f t="array" ref="F3363">IF(C3363="","",IFERROR(INDEX(STPP!$F$6:$F$4207,MATCH(C3363,STPP!$C$6:$C$4207,0)),"Not Found"))</f>
        <v/>
      </c>
      <c r="G3363" s="25" t="str">
        <f>IF(表1[[#This Row],[No Seri]]="","",表1[[#This Row],[Deskripsi Barang]]+表1[[#This Row],[Kuantitas]]-表1[[#This Row],[Satuan]])</f>
        <v/>
      </c>
      <c r="H3363" s="28"/>
      <c r="I3363" s="25" t="str">
        <f>IF(表1[[#This Row],[Tgl NPBG]]&gt;表1[[#This Row],[Peminta]],表1[[#This Row],[Tgl NPBG]]-表1[[#This Row],[Peminta]],"")</f>
        <v/>
      </c>
      <c r="J3363" s="31"/>
    </row>
    <row r="3364" s="12" customFormat="1" customHeight="1" spans="2:10">
      <c r="B3364" s="25"/>
      <c r="C3364" s="25"/>
      <c r="D3364" s="26" t="str" cm="1">
        <f t="array" ref="D3364">IF(C3364="","",IFERROR(INDEX(STPP!$D$6:$D$4207,MATCH(C3364,STPP!$C$6:$C$4207,0)),"Not Found"))</f>
        <v/>
      </c>
      <c r="E3364" s="27" t="str" cm="1">
        <f t="array" ref="E3364">IF(C3364="","",IFERROR(INDEX(STPP!$E$6:$E$4207,MATCH(C3364,STPP!$C$6:$C$4207,0)),"Not Found"))</f>
        <v/>
      </c>
      <c r="F3364" s="27" t="str" cm="1">
        <f t="array" ref="F3364">IF(C3364="","",IFERROR(INDEX(STPP!$F$6:$F$4207,MATCH(C3364,STPP!$C$6:$C$4207,0)),"Not Found"))</f>
        <v/>
      </c>
      <c r="G3364" s="25" t="str">
        <f>IF(表1[[#This Row],[No Seri]]="","",表1[[#This Row],[Deskripsi Barang]]+表1[[#This Row],[Kuantitas]]-表1[[#This Row],[Satuan]])</f>
        <v/>
      </c>
      <c r="H3364" s="28"/>
      <c r="I3364" s="25" t="str">
        <f>IF(表1[[#This Row],[Tgl NPBG]]&gt;表1[[#This Row],[Peminta]],表1[[#This Row],[Tgl NPBG]]-表1[[#This Row],[Peminta]],"")</f>
        <v/>
      </c>
      <c r="J3364" s="31"/>
    </row>
    <row r="3365" s="12" customFormat="1" customHeight="1" spans="2:10">
      <c r="B3365" s="25"/>
      <c r="C3365" s="25"/>
      <c r="D3365" s="26" t="str" cm="1">
        <f t="array" ref="D3365">IF(C3365="","",IFERROR(INDEX(STPP!$D$6:$D$4207,MATCH(C3365,STPP!$C$6:$C$4207,0)),"Not Found"))</f>
        <v/>
      </c>
      <c r="E3365" s="27" t="str" cm="1">
        <f t="array" ref="E3365">IF(C3365="","",IFERROR(INDEX(STPP!$E$6:$E$4207,MATCH(C3365,STPP!$C$6:$C$4207,0)),"Not Found"))</f>
        <v/>
      </c>
      <c r="F3365" s="27" t="str" cm="1">
        <f t="array" ref="F3365">IF(C3365="","",IFERROR(INDEX(STPP!$F$6:$F$4207,MATCH(C3365,STPP!$C$6:$C$4207,0)),"Not Found"))</f>
        <v/>
      </c>
      <c r="G3365" s="25" t="str">
        <f>IF(表1[[#This Row],[No Seri]]="","",表1[[#This Row],[Deskripsi Barang]]+表1[[#This Row],[Kuantitas]]-表1[[#This Row],[Satuan]])</f>
        <v/>
      </c>
      <c r="H3365" s="28"/>
      <c r="I3365" s="25" t="str">
        <f>IF(表1[[#This Row],[Tgl NPBG]]&gt;表1[[#This Row],[Peminta]],表1[[#This Row],[Tgl NPBG]]-表1[[#This Row],[Peminta]],"")</f>
        <v/>
      </c>
      <c r="J3365" s="31"/>
    </row>
    <row r="3366" s="12" customFormat="1" customHeight="1" spans="2:10">
      <c r="B3366" s="25"/>
      <c r="C3366" s="25"/>
      <c r="D3366" s="26" t="str" cm="1">
        <f t="array" ref="D3366">IF(C3366="","",IFERROR(INDEX(STPP!$D$6:$D$4207,MATCH(C3366,STPP!$C$6:$C$4207,0)),"Not Found"))</f>
        <v/>
      </c>
      <c r="E3366" s="27" t="str" cm="1">
        <f t="array" ref="E3366">IF(C3366="","",IFERROR(INDEX(STPP!$E$6:$E$4207,MATCH(C3366,STPP!$C$6:$C$4207,0)),"Not Found"))</f>
        <v/>
      </c>
      <c r="F3366" s="27" t="str" cm="1">
        <f t="array" ref="F3366">IF(C3366="","",IFERROR(INDEX(STPP!$F$6:$F$4207,MATCH(C3366,STPP!$C$6:$C$4207,0)),"Not Found"))</f>
        <v/>
      </c>
      <c r="G3366" s="25" t="str">
        <f>IF(表1[[#This Row],[No Seri]]="","",表1[[#This Row],[Deskripsi Barang]]+表1[[#This Row],[Kuantitas]]-表1[[#This Row],[Satuan]])</f>
        <v/>
      </c>
      <c r="H3366" s="28"/>
      <c r="I3366" s="25" t="str">
        <f>IF(表1[[#This Row],[Tgl NPBG]]&gt;表1[[#This Row],[Peminta]],表1[[#This Row],[Tgl NPBG]]-表1[[#This Row],[Peminta]],"")</f>
        <v/>
      </c>
      <c r="J3366" s="31"/>
    </row>
    <row r="3367" s="12" customFormat="1" customHeight="1" spans="2:10">
      <c r="B3367" s="25"/>
      <c r="C3367" s="25"/>
      <c r="D3367" s="26" t="str" cm="1">
        <f t="array" ref="D3367">IF(C3367="","",IFERROR(INDEX(STPP!$D$6:$D$4207,MATCH(C3367,STPP!$C$6:$C$4207,0)),"Not Found"))</f>
        <v/>
      </c>
      <c r="E3367" s="27" t="str" cm="1">
        <f t="array" ref="E3367">IF(C3367="","",IFERROR(INDEX(STPP!$E$6:$E$4207,MATCH(C3367,STPP!$C$6:$C$4207,0)),"Not Found"))</f>
        <v/>
      </c>
      <c r="F3367" s="27" t="str" cm="1">
        <f t="array" ref="F3367">IF(C3367="","",IFERROR(INDEX(STPP!$F$6:$F$4207,MATCH(C3367,STPP!$C$6:$C$4207,0)),"Not Found"))</f>
        <v/>
      </c>
      <c r="G3367" s="25" t="str">
        <f>IF(表1[[#This Row],[No Seri]]="","",表1[[#This Row],[Deskripsi Barang]]+表1[[#This Row],[Kuantitas]]-表1[[#This Row],[Satuan]])</f>
        <v/>
      </c>
      <c r="H3367" s="28"/>
      <c r="I3367" s="25" t="str">
        <f>IF(表1[[#This Row],[Tgl NPBG]]&gt;表1[[#This Row],[Peminta]],表1[[#This Row],[Tgl NPBG]]-表1[[#This Row],[Peminta]],"")</f>
        <v/>
      </c>
      <c r="J3367" s="31"/>
    </row>
    <row r="3368" s="12" customFormat="1" customHeight="1" spans="2:10">
      <c r="B3368" s="25"/>
      <c r="C3368" s="25"/>
      <c r="D3368" s="26" t="str" cm="1">
        <f t="array" ref="D3368">IF(C3368="","",IFERROR(INDEX(STPP!$D$6:$D$4207,MATCH(C3368,STPP!$C$6:$C$4207,0)),"Not Found"))</f>
        <v/>
      </c>
      <c r="E3368" s="27" t="str" cm="1">
        <f t="array" ref="E3368">IF(C3368="","",IFERROR(INDEX(STPP!$E$6:$E$4207,MATCH(C3368,STPP!$C$6:$C$4207,0)),"Not Found"))</f>
        <v/>
      </c>
      <c r="F3368" s="27" t="str" cm="1">
        <f t="array" ref="F3368">IF(C3368="","",IFERROR(INDEX(STPP!$F$6:$F$4207,MATCH(C3368,STPP!$C$6:$C$4207,0)),"Not Found"))</f>
        <v/>
      </c>
      <c r="G3368" s="25" t="str">
        <f>IF(表1[[#This Row],[No Seri]]="","",表1[[#This Row],[Deskripsi Barang]]+表1[[#This Row],[Kuantitas]]-表1[[#This Row],[Satuan]])</f>
        <v/>
      </c>
      <c r="H3368" s="28"/>
      <c r="I3368" s="25" t="str">
        <f>IF(表1[[#This Row],[Tgl NPBG]]&gt;表1[[#This Row],[Peminta]],表1[[#This Row],[Tgl NPBG]]-表1[[#This Row],[Peminta]],"")</f>
        <v/>
      </c>
      <c r="J3368" s="31"/>
    </row>
    <row r="3369" s="12" customFormat="1" customHeight="1" spans="2:10">
      <c r="B3369" s="25"/>
      <c r="C3369" s="25"/>
      <c r="D3369" s="26" t="str" cm="1">
        <f t="array" ref="D3369">IF(C3369="","",IFERROR(INDEX(STPP!$D$6:$D$4207,MATCH(C3369,STPP!$C$6:$C$4207,0)),"Not Found"))</f>
        <v/>
      </c>
      <c r="E3369" s="27" t="str" cm="1">
        <f t="array" ref="E3369">IF(C3369="","",IFERROR(INDEX(STPP!$E$6:$E$4207,MATCH(C3369,STPP!$C$6:$C$4207,0)),"Not Found"))</f>
        <v/>
      </c>
      <c r="F3369" s="27" t="str" cm="1">
        <f t="array" ref="F3369">IF(C3369="","",IFERROR(INDEX(STPP!$F$6:$F$4207,MATCH(C3369,STPP!$C$6:$C$4207,0)),"Not Found"))</f>
        <v/>
      </c>
      <c r="G3369" s="25" t="str">
        <f>IF(表1[[#This Row],[No Seri]]="","",表1[[#This Row],[Deskripsi Barang]]+表1[[#This Row],[Kuantitas]]-表1[[#This Row],[Satuan]])</f>
        <v/>
      </c>
      <c r="H3369" s="28"/>
      <c r="I3369" s="25" t="str">
        <f>IF(表1[[#This Row],[Tgl NPBG]]&gt;表1[[#This Row],[Peminta]],表1[[#This Row],[Tgl NPBG]]-表1[[#This Row],[Peminta]],"")</f>
        <v/>
      </c>
      <c r="J3369" s="31"/>
    </row>
    <row r="3370" s="12" customFormat="1" customHeight="1" spans="2:10">
      <c r="B3370" s="25"/>
      <c r="C3370" s="25"/>
      <c r="D3370" s="26" t="str" cm="1">
        <f t="array" ref="D3370">IF(C3370="","",IFERROR(INDEX(STPP!$D$6:$D$4207,MATCH(C3370,STPP!$C$6:$C$4207,0)),"Not Found"))</f>
        <v/>
      </c>
      <c r="E3370" s="27" t="str" cm="1">
        <f t="array" ref="E3370">IF(C3370="","",IFERROR(INDEX(STPP!$E$6:$E$4207,MATCH(C3370,STPP!$C$6:$C$4207,0)),"Not Found"))</f>
        <v/>
      </c>
      <c r="F3370" s="27" t="str" cm="1">
        <f t="array" ref="F3370">IF(C3370="","",IFERROR(INDEX(STPP!$F$6:$F$4207,MATCH(C3370,STPP!$C$6:$C$4207,0)),"Not Found"))</f>
        <v/>
      </c>
      <c r="G3370" s="25" t="str">
        <f>IF(表1[[#This Row],[No Seri]]="","",表1[[#This Row],[Deskripsi Barang]]+表1[[#This Row],[Kuantitas]]-表1[[#This Row],[Satuan]])</f>
        <v/>
      </c>
      <c r="H3370" s="28"/>
      <c r="I3370" s="25" t="str">
        <f>IF(表1[[#This Row],[Tgl NPBG]]&gt;表1[[#This Row],[Peminta]],表1[[#This Row],[Tgl NPBG]]-表1[[#This Row],[Peminta]],"")</f>
        <v/>
      </c>
      <c r="J3370" s="31"/>
    </row>
    <row r="3371" s="12" customFormat="1" customHeight="1" spans="2:10">
      <c r="B3371" s="25"/>
      <c r="C3371" s="25"/>
      <c r="D3371" s="26" t="str" cm="1">
        <f t="array" ref="D3371">IF(C3371="","",IFERROR(INDEX(STPP!$D$6:$D$4207,MATCH(C3371,STPP!$C$6:$C$4207,0)),"Not Found"))</f>
        <v/>
      </c>
      <c r="E3371" s="27" t="str" cm="1">
        <f t="array" ref="E3371">IF(C3371="","",IFERROR(INDEX(STPP!$E$6:$E$4207,MATCH(C3371,STPP!$C$6:$C$4207,0)),"Not Found"))</f>
        <v/>
      </c>
      <c r="F3371" s="27" t="str" cm="1">
        <f t="array" ref="F3371">IF(C3371="","",IFERROR(INDEX(STPP!$F$6:$F$4207,MATCH(C3371,STPP!$C$6:$C$4207,0)),"Not Found"))</f>
        <v/>
      </c>
      <c r="G3371" s="25" t="str">
        <f>IF(表1[[#This Row],[No Seri]]="","",表1[[#This Row],[Deskripsi Barang]]+表1[[#This Row],[Kuantitas]]-表1[[#This Row],[Satuan]])</f>
        <v/>
      </c>
      <c r="H3371" s="28"/>
      <c r="I3371" s="25" t="str">
        <f>IF(表1[[#This Row],[Tgl NPBG]]&gt;表1[[#This Row],[Peminta]],表1[[#This Row],[Tgl NPBG]]-表1[[#This Row],[Peminta]],"")</f>
        <v/>
      </c>
      <c r="J3371" s="31"/>
    </row>
    <row r="3372" s="12" customFormat="1" customHeight="1" spans="2:10">
      <c r="B3372" s="25"/>
      <c r="C3372" s="25"/>
      <c r="D3372" s="26" t="str" cm="1">
        <f t="array" ref="D3372">IF(C3372="","",IFERROR(INDEX(STPP!$D$6:$D$4207,MATCH(C3372,STPP!$C$6:$C$4207,0)),"Not Found"))</f>
        <v/>
      </c>
      <c r="E3372" s="27" t="str" cm="1">
        <f t="array" ref="E3372">IF(C3372="","",IFERROR(INDEX(STPP!$E$6:$E$4207,MATCH(C3372,STPP!$C$6:$C$4207,0)),"Not Found"))</f>
        <v/>
      </c>
      <c r="F3372" s="27" t="str" cm="1">
        <f t="array" ref="F3372">IF(C3372="","",IFERROR(INDEX(STPP!$F$6:$F$4207,MATCH(C3372,STPP!$C$6:$C$4207,0)),"Not Found"))</f>
        <v/>
      </c>
      <c r="G3372" s="25" t="str">
        <f>IF(表1[[#This Row],[No Seri]]="","",表1[[#This Row],[Deskripsi Barang]]+表1[[#This Row],[Kuantitas]]-表1[[#This Row],[Satuan]])</f>
        <v/>
      </c>
      <c r="H3372" s="28"/>
      <c r="I3372" s="25" t="str">
        <f>IF(表1[[#This Row],[Tgl NPBG]]&gt;表1[[#This Row],[Peminta]],表1[[#This Row],[Tgl NPBG]]-表1[[#This Row],[Peminta]],"")</f>
        <v/>
      </c>
      <c r="J3372" s="31"/>
    </row>
    <row r="3373" s="12" customFormat="1" customHeight="1" spans="2:10">
      <c r="B3373" s="25"/>
      <c r="C3373" s="25"/>
      <c r="D3373" s="26" t="str" cm="1">
        <f t="array" ref="D3373">IF(C3373="","",IFERROR(INDEX(STPP!$D$6:$D$4207,MATCH(C3373,STPP!$C$6:$C$4207,0)),"Not Found"))</f>
        <v/>
      </c>
      <c r="E3373" s="27" t="str" cm="1">
        <f t="array" ref="E3373">IF(C3373="","",IFERROR(INDEX(STPP!$E$6:$E$4207,MATCH(C3373,STPP!$C$6:$C$4207,0)),"Not Found"))</f>
        <v/>
      </c>
      <c r="F3373" s="27" t="str" cm="1">
        <f t="array" ref="F3373">IF(C3373="","",IFERROR(INDEX(STPP!$F$6:$F$4207,MATCH(C3373,STPP!$C$6:$C$4207,0)),"Not Found"))</f>
        <v/>
      </c>
      <c r="G3373" s="25" t="str">
        <f>IF(表1[[#This Row],[No Seri]]="","",表1[[#This Row],[Deskripsi Barang]]+表1[[#This Row],[Kuantitas]]-表1[[#This Row],[Satuan]])</f>
        <v/>
      </c>
      <c r="H3373" s="28"/>
      <c r="I3373" s="25" t="str">
        <f>IF(表1[[#This Row],[Tgl NPBG]]&gt;表1[[#This Row],[Peminta]],表1[[#This Row],[Tgl NPBG]]-表1[[#This Row],[Peminta]],"")</f>
        <v/>
      </c>
      <c r="J3373" s="31"/>
    </row>
    <row r="3374" s="12" customFormat="1" customHeight="1" spans="2:10">
      <c r="B3374" s="25"/>
      <c r="C3374" s="25"/>
      <c r="D3374" s="26" t="str" cm="1">
        <f t="array" ref="D3374">IF(C3374="","",IFERROR(INDEX(STPP!$D$6:$D$4207,MATCH(C3374,STPP!$C$6:$C$4207,0)),"Not Found"))</f>
        <v/>
      </c>
      <c r="E3374" s="27" t="str" cm="1">
        <f t="array" ref="E3374">IF(C3374="","",IFERROR(INDEX(STPP!$E$6:$E$4207,MATCH(C3374,STPP!$C$6:$C$4207,0)),"Not Found"))</f>
        <v/>
      </c>
      <c r="F3374" s="27" t="str" cm="1">
        <f t="array" ref="F3374">IF(C3374="","",IFERROR(INDEX(STPP!$F$6:$F$4207,MATCH(C3374,STPP!$C$6:$C$4207,0)),"Not Found"))</f>
        <v/>
      </c>
      <c r="G3374" s="25" t="str">
        <f>IF(表1[[#This Row],[No Seri]]="","",表1[[#This Row],[Deskripsi Barang]]+表1[[#This Row],[Kuantitas]]-表1[[#This Row],[Satuan]])</f>
        <v/>
      </c>
      <c r="H3374" s="28"/>
      <c r="I3374" s="25" t="str">
        <f>IF(表1[[#This Row],[Tgl NPBG]]&gt;表1[[#This Row],[Peminta]],表1[[#This Row],[Tgl NPBG]]-表1[[#This Row],[Peminta]],"")</f>
        <v/>
      </c>
      <c r="J3374" s="31"/>
    </row>
    <row r="3375" s="12" customFormat="1" customHeight="1" spans="2:10">
      <c r="B3375" s="25"/>
      <c r="C3375" s="25"/>
      <c r="D3375" s="26" t="str" cm="1">
        <f t="array" ref="D3375">IF(C3375="","",IFERROR(INDEX(STPP!$D$6:$D$4207,MATCH(C3375,STPP!$C$6:$C$4207,0)),"Not Found"))</f>
        <v/>
      </c>
      <c r="E3375" s="27" t="str" cm="1">
        <f t="array" ref="E3375">IF(C3375="","",IFERROR(INDEX(STPP!$E$6:$E$4207,MATCH(C3375,STPP!$C$6:$C$4207,0)),"Not Found"))</f>
        <v/>
      </c>
      <c r="F3375" s="27" t="str" cm="1">
        <f t="array" ref="F3375">IF(C3375="","",IFERROR(INDEX(STPP!$F$6:$F$4207,MATCH(C3375,STPP!$C$6:$C$4207,0)),"Not Found"))</f>
        <v/>
      </c>
      <c r="G3375" s="25" t="str">
        <f>IF(表1[[#This Row],[No Seri]]="","",表1[[#This Row],[Deskripsi Barang]]+表1[[#This Row],[Kuantitas]]-表1[[#This Row],[Satuan]])</f>
        <v/>
      </c>
      <c r="H3375" s="28"/>
      <c r="I3375" s="25" t="str">
        <f>IF(表1[[#This Row],[Tgl NPBG]]&gt;表1[[#This Row],[Peminta]],表1[[#This Row],[Tgl NPBG]]-表1[[#This Row],[Peminta]],"")</f>
        <v/>
      </c>
      <c r="J3375" s="31"/>
    </row>
    <row r="3376" s="12" customFormat="1" customHeight="1" spans="2:10">
      <c r="B3376" s="25"/>
      <c r="C3376" s="25"/>
      <c r="D3376" s="26" t="str" cm="1">
        <f t="array" ref="D3376">IF(C3376="","",IFERROR(INDEX(STPP!$D$6:$D$4207,MATCH(C3376,STPP!$C$6:$C$4207,0)),"Not Found"))</f>
        <v/>
      </c>
      <c r="E3376" s="27" t="str" cm="1">
        <f t="array" ref="E3376">IF(C3376="","",IFERROR(INDEX(STPP!$E$6:$E$4207,MATCH(C3376,STPP!$C$6:$C$4207,0)),"Not Found"))</f>
        <v/>
      </c>
      <c r="F3376" s="27" t="str" cm="1">
        <f t="array" ref="F3376">IF(C3376="","",IFERROR(INDEX(STPP!$F$6:$F$4207,MATCH(C3376,STPP!$C$6:$C$4207,0)),"Not Found"))</f>
        <v/>
      </c>
      <c r="G3376" s="25" t="str">
        <f>IF(表1[[#This Row],[No Seri]]="","",表1[[#This Row],[Deskripsi Barang]]+表1[[#This Row],[Kuantitas]]-表1[[#This Row],[Satuan]])</f>
        <v/>
      </c>
      <c r="H3376" s="28"/>
      <c r="I3376" s="25" t="str">
        <f>IF(表1[[#This Row],[Tgl NPBG]]&gt;表1[[#This Row],[Peminta]],表1[[#This Row],[Tgl NPBG]]-表1[[#This Row],[Peminta]],"")</f>
        <v/>
      </c>
      <c r="J3376" s="31"/>
    </row>
    <row r="3377" s="12" customFormat="1" customHeight="1" spans="2:10">
      <c r="B3377" s="25"/>
      <c r="C3377" s="25"/>
      <c r="D3377" s="26" t="str" cm="1">
        <f t="array" ref="D3377">IF(C3377="","",IFERROR(INDEX(STPP!$D$6:$D$4207,MATCH(C3377,STPP!$C$6:$C$4207,0)),"Not Found"))</f>
        <v/>
      </c>
      <c r="E3377" s="27" t="str" cm="1">
        <f t="array" ref="E3377">IF(C3377="","",IFERROR(INDEX(STPP!$E$6:$E$4207,MATCH(C3377,STPP!$C$6:$C$4207,0)),"Not Found"))</f>
        <v/>
      </c>
      <c r="F3377" s="27" t="str" cm="1">
        <f t="array" ref="F3377">IF(C3377="","",IFERROR(INDEX(STPP!$F$6:$F$4207,MATCH(C3377,STPP!$C$6:$C$4207,0)),"Not Found"))</f>
        <v/>
      </c>
      <c r="G3377" s="25" t="str">
        <f>IF(表1[[#This Row],[No Seri]]="","",表1[[#This Row],[Deskripsi Barang]]+表1[[#This Row],[Kuantitas]]-表1[[#This Row],[Satuan]])</f>
        <v/>
      </c>
      <c r="H3377" s="28"/>
      <c r="I3377" s="25" t="str">
        <f>IF(表1[[#This Row],[Tgl NPBG]]&gt;表1[[#This Row],[Peminta]],表1[[#This Row],[Tgl NPBG]]-表1[[#This Row],[Peminta]],"")</f>
        <v/>
      </c>
      <c r="J3377" s="31"/>
    </row>
    <row r="3378" s="12" customFormat="1" customHeight="1" spans="2:10">
      <c r="B3378" s="25"/>
      <c r="C3378" s="25"/>
      <c r="D3378" s="26" t="str" cm="1">
        <f t="array" ref="D3378">IF(C3378="","",IFERROR(INDEX(STPP!$D$6:$D$4207,MATCH(C3378,STPP!$C$6:$C$4207,0)),"Not Found"))</f>
        <v/>
      </c>
      <c r="E3378" s="27" t="str" cm="1">
        <f t="array" ref="E3378">IF(C3378="","",IFERROR(INDEX(STPP!$E$6:$E$4207,MATCH(C3378,STPP!$C$6:$C$4207,0)),"Not Found"))</f>
        <v/>
      </c>
      <c r="F3378" s="27" t="str" cm="1">
        <f t="array" ref="F3378">IF(C3378="","",IFERROR(INDEX(STPP!$F$6:$F$4207,MATCH(C3378,STPP!$C$6:$C$4207,0)),"Not Found"))</f>
        <v/>
      </c>
      <c r="G3378" s="25" t="str">
        <f>IF(表1[[#This Row],[No Seri]]="","",表1[[#This Row],[Deskripsi Barang]]+表1[[#This Row],[Kuantitas]]-表1[[#This Row],[Satuan]])</f>
        <v/>
      </c>
      <c r="H3378" s="28"/>
      <c r="I3378" s="25" t="str">
        <f>IF(表1[[#This Row],[Tgl NPBG]]&gt;表1[[#This Row],[Peminta]],表1[[#This Row],[Tgl NPBG]]-表1[[#This Row],[Peminta]],"")</f>
        <v/>
      </c>
      <c r="J3378" s="31"/>
    </row>
    <row r="3379" s="12" customFormat="1" customHeight="1" spans="2:10">
      <c r="B3379" s="25"/>
      <c r="C3379" s="25"/>
      <c r="D3379" s="26" t="str" cm="1">
        <f t="array" ref="D3379">IF(C3379="","",IFERROR(INDEX(STPP!$D$6:$D$4207,MATCH(C3379,STPP!$C$6:$C$4207,0)),"Not Found"))</f>
        <v/>
      </c>
      <c r="E3379" s="27" t="str" cm="1">
        <f t="array" ref="E3379">IF(C3379="","",IFERROR(INDEX(STPP!$E$6:$E$4207,MATCH(C3379,STPP!$C$6:$C$4207,0)),"Not Found"))</f>
        <v/>
      </c>
      <c r="F3379" s="27" t="str" cm="1">
        <f t="array" ref="F3379">IF(C3379="","",IFERROR(INDEX(STPP!$F$6:$F$4207,MATCH(C3379,STPP!$C$6:$C$4207,0)),"Not Found"))</f>
        <v/>
      </c>
      <c r="G3379" s="25" t="str">
        <f>IF(表1[[#This Row],[No Seri]]="","",表1[[#This Row],[Deskripsi Barang]]+表1[[#This Row],[Kuantitas]]-表1[[#This Row],[Satuan]])</f>
        <v/>
      </c>
      <c r="H3379" s="28"/>
      <c r="I3379" s="25" t="str">
        <f>IF(表1[[#This Row],[Tgl NPBG]]&gt;表1[[#This Row],[Peminta]],表1[[#This Row],[Tgl NPBG]]-表1[[#This Row],[Peminta]],"")</f>
        <v/>
      </c>
      <c r="J3379" s="31"/>
    </row>
    <row r="3380" s="12" customFormat="1" customHeight="1" spans="2:10">
      <c r="B3380" s="25"/>
      <c r="C3380" s="25"/>
      <c r="D3380" s="26" t="str" cm="1">
        <f t="array" ref="D3380">IF(C3380="","",IFERROR(INDEX(STPP!$D$6:$D$4207,MATCH(C3380,STPP!$C$6:$C$4207,0)),"Not Found"))</f>
        <v/>
      </c>
      <c r="E3380" s="27" t="str" cm="1">
        <f t="array" ref="E3380">IF(C3380="","",IFERROR(INDEX(STPP!$E$6:$E$4207,MATCH(C3380,STPP!$C$6:$C$4207,0)),"Not Found"))</f>
        <v/>
      </c>
      <c r="F3380" s="27" t="str" cm="1">
        <f t="array" ref="F3380">IF(C3380="","",IFERROR(INDEX(STPP!$F$6:$F$4207,MATCH(C3380,STPP!$C$6:$C$4207,0)),"Not Found"))</f>
        <v/>
      </c>
      <c r="G3380" s="25" t="str">
        <f>IF(表1[[#This Row],[No Seri]]="","",表1[[#This Row],[Deskripsi Barang]]+表1[[#This Row],[Kuantitas]]-表1[[#This Row],[Satuan]])</f>
        <v/>
      </c>
      <c r="H3380" s="28"/>
      <c r="I3380" s="25" t="str">
        <f>IF(表1[[#This Row],[Tgl NPBG]]&gt;表1[[#This Row],[Peminta]],表1[[#This Row],[Tgl NPBG]]-表1[[#This Row],[Peminta]],"")</f>
        <v/>
      </c>
      <c r="J3380" s="31"/>
    </row>
    <row r="3381" s="12" customFormat="1" customHeight="1" spans="2:10">
      <c r="B3381" s="25"/>
      <c r="C3381" s="25"/>
      <c r="D3381" s="26" t="str" cm="1">
        <f t="array" ref="D3381">IF(C3381="","",IFERROR(INDEX(STPP!$D$6:$D$4207,MATCH(C3381,STPP!$C$6:$C$4207,0)),"Not Found"))</f>
        <v/>
      </c>
      <c r="E3381" s="27" t="str" cm="1">
        <f t="array" ref="E3381">IF(C3381="","",IFERROR(INDEX(STPP!$E$6:$E$4207,MATCH(C3381,STPP!$C$6:$C$4207,0)),"Not Found"))</f>
        <v/>
      </c>
      <c r="F3381" s="27" t="str" cm="1">
        <f t="array" ref="F3381">IF(C3381="","",IFERROR(INDEX(STPP!$F$6:$F$4207,MATCH(C3381,STPP!$C$6:$C$4207,0)),"Not Found"))</f>
        <v/>
      </c>
      <c r="G3381" s="25" t="str">
        <f>IF(表1[[#This Row],[No Seri]]="","",表1[[#This Row],[Deskripsi Barang]]+表1[[#This Row],[Kuantitas]]-表1[[#This Row],[Satuan]])</f>
        <v/>
      </c>
      <c r="H3381" s="28"/>
      <c r="I3381" s="25" t="str">
        <f>IF(表1[[#This Row],[Tgl NPBG]]&gt;表1[[#This Row],[Peminta]],表1[[#This Row],[Tgl NPBG]]-表1[[#This Row],[Peminta]],"")</f>
        <v/>
      </c>
      <c r="J3381" s="31"/>
    </row>
    <row r="3382" s="12" customFormat="1" customHeight="1" spans="2:10">
      <c r="B3382" s="25"/>
      <c r="C3382" s="25"/>
      <c r="D3382" s="26" t="str" cm="1">
        <f t="array" ref="D3382">IF(C3382="","",IFERROR(INDEX(STPP!$D$6:$D$4207,MATCH(C3382,STPP!$C$6:$C$4207,0)),"Not Found"))</f>
        <v/>
      </c>
      <c r="E3382" s="27" t="str" cm="1">
        <f t="array" ref="E3382">IF(C3382="","",IFERROR(INDEX(STPP!$E$6:$E$4207,MATCH(C3382,STPP!$C$6:$C$4207,0)),"Not Found"))</f>
        <v/>
      </c>
      <c r="F3382" s="27" t="str" cm="1">
        <f t="array" ref="F3382">IF(C3382="","",IFERROR(INDEX(STPP!$F$6:$F$4207,MATCH(C3382,STPP!$C$6:$C$4207,0)),"Not Found"))</f>
        <v/>
      </c>
      <c r="G3382" s="25" t="str">
        <f>IF(表1[[#This Row],[No Seri]]="","",表1[[#This Row],[Deskripsi Barang]]+表1[[#This Row],[Kuantitas]]-表1[[#This Row],[Satuan]])</f>
        <v/>
      </c>
      <c r="H3382" s="28"/>
      <c r="I3382" s="25" t="str">
        <f>IF(表1[[#This Row],[Tgl NPBG]]&gt;表1[[#This Row],[Peminta]],表1[[#This Row],[Tgl NPBG]]-表1[[#This Row],[Peminta]],"")</f>
        <v/>
      </c>
      <c r="J3382" s="31"/>
    </row>
    <row r="3383" s="12" customFormat="1" customHeight="1" spans="2:10">
      <c r="B3383" s="25"/>
      <c r="C3383" s="25"/>
      <c r="D3383" s="26" t="str" cm="1">
        <f t="array" ref="D3383">IF(C3383="","",IFERROR(INDEX(STPP!$D$6:$D$4207,MATCH(C3383,STPP!$C$6:$C$4207,0)),"Not Found"))</f>
        <v/>
      </c>
      <c r="E3383" s="27" t="str" cm="1">
        <f t="array" ref="E3383">IF(C3383="","",IFERROR(INDEX(STPP!$E$6:$E$4207,MATCH(C3383,STPP!$C$6:$C$4207,0)),"Not Found"))</f>
        <v/>
      </c>
      <c r="F3383" s="27" t="str" cm="1">
        <f t="array" ref="F3383">IF(C3383="","",IFERROR(INDEX(STPP!$F$6:$F$4207,MATCH(C3383,STPP!$C$6:$C$4207,0)),"Not Found"))</f>
        <v/>
      </c>
      <c r="G3383" s="25" t="str">
        <f>IF(表1[[#This Row],[No Seri]]="","",表1[[#This Row],[Deskripsi Barang]]+表1[[#This Row],[Kuantitas]]-表1[[#This Row],[Satuan]])</f>
        <v/>
      </c>
      <c r="H3383" s="28"/>
      <c r="I3383" s="25" t="str">
        <f>IF(表1[[#This Row],[Tgl NPBG]]&gt;表1[[#This Row],[Peminta]],表1[[#This Row],[Tgl NPBG]]-表1[[#This Row],[Peminta]],"")</f>
        <v/>
      </c>
      <c r="J3383" s="31"/>
    </row>
    <row r="3384" s="12" customFormat="1" customHeight="1" spans="2:10">
      <c r="B3384" s="25"/>
      <c r="C3384" s="25"/>
      <c r="D3384" s="26" t="str" cm="1">
        <f t="array" ref="D3384">IF(C3384="","",IFERROR(INDEX(STPP!$D$6:$D$4207,MATCH(C3384,STPP!$C$6:$C$4207,0)),"Not Found"))</f>
        <v/>
      </c>
      <c r="E3384" s="27" t="str" cm="1">
        <f t="array" ref="E3384">IF(C3384="","",IFERROR(INDEX(STPP!$E$6:$E$4207,MATCH(C3384,STPP!$C$6:$C$4207,0)),"Not Found"))</f>
        <v/>
      </c>
      <c r="F3384" s="27" t="str" cm="1">
        <f t="array" ref="F3384">IF(C3384="","",IFERROR(INDEX(STPP!$F$6:$F$4207,MATCH(C3384,STPP!$C$6:$C$4207,0)),"Not Found"))</f>
        <v/>
      </c>
      <c r="G3384" s="25" t="str">
        <f>IF(表1[[#This Row],[No Seri]]="","",表1[[#This Row],[Deskripsi Barang]]+表1[[#This Row],[Kuantitas]]-表1[[#This Row],[Satuan]])</f>
        <v/>
      </c>
      <c r="H3384" s="28"/>
      <c r="I3384" s="25" t="str">
        <f>IF(表1[[#This Row],[Tgl NPBG]]&gt;表1[[#This Row],[Peminta]],表1[[#This Row],[Tgl NPBG]]-表1[[#This Row],[Peminta]],"")</f>
        <v/>
      </c>
      <c r="J3384" s="31"/>
    </row>
    <row r="3385" s="12" customFormat="1" customHeight="1" spans="2:10">
      <c r="B3385" s="25"/>
      <c r="C3385" s="25"/>
      <c r="D3385" s="26" t="str" cm="1">
        <f t="array" ref="D3385">IF(C3385="","",IFERROR(INDEX(STPP!$D$6:$D$4207,MATCH(C3385,STPP!$C$6:$C$4207,0)),"Not Found"))</f>
        <v/>
      </c>
      <c r="E3385" s="27" t="str" cm="1">
        <f t="array" ref="E3385">IF(C3385="","",IFERROR(INDEX(STPP!$E$6:$E$4207,MATCH(C3385,STPP!$C$6:$C$4207,0)),"Not Found"))</f>
        <v/>
      </c>
      <c r="F3385" s="27" t="str" cm="1">
        <f t="array" ref="F3385">IF(C3385="","",IFERROR(INDEX(STPP!$F$6:$F$4207,MATCH(C3385,STPP!$C$6:$C$4207,0)),"Not Found"))</f>
        <v/>
      </c>
      <c r="G3385" s="25" t="str">
        <f>IF(表1[[#This Row],[No Seri]]="","",表1[[#This Row],[Deskripsi Barang]]+表1[[#This Row],[Kuantitas]]-表1[[#This Row],[Satuan]])</f>
        <v/>
      </c>
      <c r="H3385" s="28"/>
      <c r="I3385" s="25" t="str">
        <f>IF(表1[[#This Row],[Tgl NPBG]]&gt;表1[[#This Row],[Peminta]],表1[[#This Row],[Tgl NPBG]]-表1[[#This Row],[Peminta]],"")</f>
        <v/>
      </c>
      <c r="J3385" s="31"/>
    </row>
    <row r="3386" s="12" customFormat="1" customHeight="1" spans="2:10">
      <c r="B3386" s="25"/>
      <c r="C3386" s="25"/>
      <c r="D3386" s="26" t="str" cm="1">
        <f t="array" ref="D3386">IF(C3386="","",IFERROR(INDEX(STPP!$D$6:$D$4207,MATCH(C3386,STPP!$C$6:$C$4207,0)),"Not Found"))</f>
        <v/>
      </c>
      <c r="E3386" s="27" t="str" cm="1">
        <f t="array" ref="E3386">IF(C3386="","",IFERROR(INDEX(STPP!$E$6:$E$4207,MATCH(C3386,STPP!$C$6:$C$4207,0)),"Not Found"))</f>
        <v/>
      </c>
      <c r="F3386" s="27" t="str" cm="1">
        <f t="array" ref="F3386">IF(C3386="","",IFERROR(INDEX(STPP!$F$6:$F$4207,MATCH(C3386,STPP!$C$6:$C$4207,0)),"Not Found"))</f>
        <v/>
      </c>
      <c r="G3386" s="25" t="str">
        <f>IF(表1[[#This Row],[No Seri]]="","",表1[[#This Row],[Deskripsi Barang]]+表1[[#This Row],[Kuantitas]]-表1[[#This Row],[Satuan]])</f>
        <v/>
      </c>
      <c r="H3386" s="28"/>
      <c r="I3386" s="25" t="str">
        <f>IF(表1[[#This Row],[Tgl NPBG]]&gt;表1[[#This Row],[Peminta]],表1[[#This Row],[Tgl NPBG]]-表1[[#This Row],[Peminta]],"")</f>
        <v/>
      </c>
      <c r="J3386" s="31"/>
    </row>
    <row r="3387" s="12" customFormat="1" customHeight="1" spans="2:10">
      <c r="B3387" s="25"/>
      <c r="C3387" s="25"/>
      <c r="D3387" s="26" t="str" cm="1">
        <f t="array" ref="D3387">IF(C3387="","",IFERROR(INDEX(STPP!$D$6:$D$4207,MATCH(C3387,STPP!$C$6:$C$4207,0)),"Not Found"))</f>
        <v/>
      </c>
      <c r="E3387" s="27" t="str" cm="1">
        <f t="array" ref="E3387">IF(C3387="","",IFERROR(INDEX(STPP!$E$6:$E$4207,MATCH(C3387,STPP!$C$6:$C$4207,0)),"Not Found"))</f>
        <v/>
      </c>
      <c r="F3387" s="27" t="str" cm="1">
        <f t="array" ref="F3387">IF(C3387="","",IFERROR(INDEX(STPP!$F$6:$F$4207,MATCH(C3387,STPP!$C$6:$C$4207,0)),"Not Found"))</f>
        <v/>
      </c>
      <c r="G3387" s="25" t="str">
        <f>IF(表1[[#This Row],[No Seri]]="","",表1[[#This Row],[Deskripsi Barang]]+表1[[#This Row],[Kuantitas]]-表1[[#This Row],[Satuan]])</f>
        <v/>
      </c>
      <c r="H3387" s="28"/>
      <c r="I3387" s="25" t="str">
        <f>IF(表1[[#This Row],[Tgl NPBG]]&gt;表1[[#This Row],[Peminta]],表1[[#This Row],[Tgl NPBG]]-表1[[#This Row],[Peminta]],"")</f>
        <v/>
      </c>
      <c r="J3387" s="31"/>
    </row>
    <row r="3388" s="12" customFormat="1" customHeight="1" spans="2:10">
      <c r="B3388" s="25"/>
      <c r="C3388" s="25"/>
      <c r="D3388" s="26" t="str" cm="1">
        <f t="array" ref="D3388">IF(C3388="","",IFERROR(INDEX(STPP!$D$6:$D$4207,MATCH(C3388,STPP!$C$6:$C$4207,0)),"Not Found"))</f>
        <v/>
      </c>
      <c r="E3388" s="27" t="str" cm="1">
        <f t="array" ref="E3388">IF(C3388="","",IFERROR(INDEX(STPP!$E$6:$E$4207,MATCH(C3388,STPP!$C$6:$C$4207,0)),"Not Found"))</f>
        <v/>
      </c>
      <c r="F3388" s="27" t="str" cm="1">
        <f t="array" ref="F3388">IF(C3388="","",IFERROR(INDEX(STPP!$F$6:$F$4207,MATCH(C3388,STPP!$C$6:$C$4207,0)),"Not Found"))</f>
        <v/>
      </c>
      <c r="G3388" s="25" t="str">
        <f>IF(表1[[#This Row],[No Seri]]="","",表1[[#This Row],[Deskripsi Barang]]+表1[[#This Row],[Kuantitas]]-表1[[#This Row],[Satuan]])</f>
        <v/>
      </c>
      <c r="H3388" s="28"/>
      <c r="I3388" s="25" t="str">
        <f>IF(表1[[#This Row],[Tgl NPBG]]&gt;表1[[#This Row],[Peminta]],表1[[#This Row],[Tgl NPBG]]-表1[[#This Row],[Peminta]],"")</f>
        <v/>
      </c>
      <c r="J3388" s="31"/>
    </row>
    <row r="3389" s="12" customFormat="1" customHeight="1" spans="2:10">
      <c r="B3389" s="25"/>
      <c r="C3389" s="25"/>
      <c r="D3389" s="26" t="str" cm="1">
        <f t="array" ref="D3389">IF(C3389="","",IFERROR(INDEX(STPP!$D$6:$D$4207,MATCH(C3389,STPP!$C$6:$C$4207,0)),"Not Found"))</f>
        <v/>
      </c>
      <c r="E3389" s="27" t="str" cm="1">
        <f t="array" ref="E3389">IF(C3389="","",IFERROR(INDEX(STPP!$E$6:$E$4207,MATCH(C3389,STPP!$C$6:$C$4207,0)),"Not Found"))</f>
        <v/>
      </c>
      <c r="F3389" s="27" t="str" cm="1">
        <f t="array" ref="F3389">IF(C3389="","",IFERROR(INDEX(STPP!$F$6:$F$4207,MATCH(C3389,STPP!$C$6:$C$4207,0)),"Not Found"))</f>
        <v/>
      </c>
      <c r="G3389" s="25" t="str">
        <f>IF(表1[[#This Row],[No Seri]]="","",表1[[#This Row],[Deskripsi Barang]]+表1[[#This Row],[Kuantitas]]-表1[[#This Row],[Satuan]])</f>
        <v/>
      </c>
      <c r="H3389" s="28"/>
      <c r="I3389" s="25" t="str">
        <f>IF(表1[[#This Row],[Tgl NPBG]]&gt;表1[[#This Row],[Peminta]],表1[[#This Row],[Tgl NPBG]]-表1[[#This Row],[Peminta]],"")</f>
        <v/>
      </c>
      <c r="J3389" s="31"/>
    </row>
    <row r="3390" s="12" customFormat="1" customHeight="1" spans="2:10">
      <c r="B3390" s="25"/>
      <c r="C3390" s="25"/>
      <c r="D3390" s="26" t="str" cm="1">
        <f t="array" ref="D3390">IF(C3390="","",IFERROR(INDEX(STPP!$D$6:$D$4207,MATCH(C3390,STPP!$C$6:$C$4207,0)),"Not Found"))</f>
        <v/>
      </c>
      <c r="E3390" s="27" t="str" cm="1">
        <f t="array" ref="E3390">IF(C3390="","",IFERROR(INDEX(STPP!$E$6:$E$4207,MATCH(C3390,STPP!$C$6:$C$4207,0)),"Not Found"))</f>
        <v/>
      </c>
      <c r="F3390" s="27" t="str" cm="1">
        <f t="array" ref="F3390">IF(C3390="","",IFERROR(INDEX(STPP!$F$6:$F$4207,MATCH(C3390,STPP!$C$6:$C$4207,0)),"Not Found"))</f>
        <v/>
      </c>
      <c r="G3390" s="25" t="str">
        <f>IF(表1[[#This Row],[No Seri]]="","",表1[[#This Row],[Deskripsi Barang]]+表1[[#This Row],[Kuantitas]]-表1[[#This Row],[Satuan]])</f>
        <v/>
      </c>
      <c r="H3390" s="28"/>
      <c r="I3390" s="25" t="str">
        <f>IF(表1[[#This Row],[Tgl NPBG]]&gt;表1[[#This Row],[Peminta]],表1[[#This Row],[Tgl NPBG]]-表1[[#This Row],[Peminta]],"")</f>
        <v/>
      </c>
      <c r="J3390" s="31"/>
    </row>
    <row r="3391" s="12" customFormat="1" customHeight="1" spans="2:10">
      <c r="B3391" s="25"/>
      <c r="C3391" s="25"/>
      <c r="D3391" s="26" t="str" cm="1">
        <f t="array" ref="D3391">IF(C3391="","",IFERROR(INDEX(STPP!$D$6:$D$4207,MATCH(C3391,STPP!$C$6:$C$4207,0)),"Not Found"))</f>
        <v/>
      </c>
      <c r="E3391" s="27" t="str" cm="1">
        <f t="array" ref="E3391">IF(C3391="","",IFERROR(INDEX(STPP!$E$6:$E$4207,MATCH(C3391,STPP!$C$6:$C$4207,0)),"Not Found"))</f>
        <v/>
      </c>
      <c r="F3391" s="27" t="str" cm="1">
        <f t="array" ref="F3391">IF(C3391="","",IFERROR(INDEX(STPP!$F$6:$F$4207,MATCH(C3391,STPP!$C$6:$C$4207,0)),"Not Found"))</f>
        <v/>
      </c>
      <c r="G3391" s="25" t="str">
        <f>IF(表1[[#This Row],[No Seri]]="","",表1[[#This Row],[Deskripsi Barang]]+表1[[#This Row],[Kuantitas]]-表1[[#This Row],[Satuan]])</f>
        <v/>
      </c>
      <c r="H3391" s="28"/>
      <c r="I3391" s="25" t="str">
        <f>IF(表1[[#This Row],[Tgl NPBG]]&gt;表1[[#This Row],[Peminta]],表1[[#This Row],[Tgl NPBG]]-表1[[#This Row],[Peminta]],"")</f>
        <v/>
      </c>
      <c r="J3391" s="31"/>
    </row>
    <row r="3392" s="12" customFormat="1" customHeight="1" spans="2:10">
      <c r="B3392" s="25"/>
      <c r="C3392" s="25"/>
      <c r="D3392" s="26" t="str" cm="1">
        <f t="array" ref="D3392">IF(C3392="","",IFERROR(INDEX(STPP!$D$6:$D$4207,MATCH(C3392,STPP!$C$6:$C$4207,0)),"Not Found"))</f>
        <v/>
      </c>
      <c r="E3392" s="27" t="str" cm="1">
        <f t="array" ref="E3392">IF(C3392="","",IFERROR(INDEX(STPP!$E$6:$E$4207,MATCH(C3392,STPP!$C$6:$C$4207,0)),"Not Found"))</f>
        <v/>
      </c>
      <c r="F3392" s="27" t="str" cm="1">
        <f t="array" ref="F3392">IF(C3392="","",IFERROR(INDEX(STPP!$F$6:$F$4207,MATCH(C3392,STPP!$C$6:$C$4207,0)),"Not Found"))</f>
        <v/>
      </c>
      <c r="G3392" s="25" t="str">
        <f>IF(表1[[#This Row],[No Seri]]="","",表1[[#This Row],[Deskripsi Barang]]+表1[[#This Row],[Kuantitas]]-表1[[#This Row],[Satuan]])</f>
        <v/>
      </c>
      <c r="H3392" s="28"/>
      <c r="I3392" s="25" t="str">
        <f>IF(表1[[#This Row],[Tgl NPBG]]&gt;表1[[#This Row],[Peminta]],表1[[#This Row],[Tgl NPBG]]-表1[[#This Row],[Peminta]],"")</f>
        <v/>
      </c>
      <c r="J3392" s="31"/>
    </row>
    <row r="3393" s="12" customFormat="1" customHeight="1" spans="2:10">
      <c r="B3393" s="25"/>
      <c r="C3393" s="25"/>
      <c r="D3393" s="26" t="str" cm="1">
        <f t="array" ref="D3393">IF(C3393="","",IFERROR(INDEX(STPP!$D$6:$D$4207,MATCH(C3393,STPP!$C$6:$C$4207,0)),"Not Found"))</f>
        <v/>
      </c>
      <c r="E3393" s="27" t="str" cm="1">
        <f t="array" ref="E3393">IF(C3393="","",IFERROR(INDEX(STPP!$E$6:$E$4207,MATCH(C3393,STPP!$C$6:$C$4207,0)),"Not Found"))</f>
        <v/>
      </c>
      <c r="F3393" s="27" t="str" cm="1">
        <f t="array" ref="F3393">IF(C3393="","",IFERROR(INDEX(STPP!$F$6:$F$4207,MATCH(C3393,STPP!$C$6:$C$4207,0)),"Not Found"))</f>
        <v/>
      </c>
      <c r="G3393" s="25" t="str">
        <f>IF(表1[[#This Row],[No Seri]]="","",表1[[#This Row],[Deskripsi Barang]]+表1[[#This Row],[Kuantitas]]-表1[[#This Row],[Satuan]])</f>
        <v/>
      </c>
      <c r="H3393" s="28"/>
      <c r="I3393" s="25" t="str">
        <f>IF(表1[[#This Row],[Tgl NPBG]]&gt;表1[[#This Row],[Peminta]],表1[[#This Row],[Tgl NPBG]]-表1[[#This Row],[Peminta]],"")</f>
        <v/>
      </c>
      <c r="J3393" s="31"/>
    </row>
    <row r="3394" s="12" customFormat="1" customHeight="1" spans="2:10">
      <c r="B3394" s="25"/>
      <c r="C3394" s="25"/>
      <c r="D3394" s="26" t="str" cm="1">
        <f t="array" ref="D3394">IF(C3394="","",IFERROR(INDEX(STPP!$D$6:$D$4207,MATCH(C3394,STPP!$C$6:$C$4207,0)),"Not Found"))</f>
        <v/>
      </c>
      <c r="E3394" s="27" t="str" cm="1">
        <f t="array" ref="E3394">IF(C3394="","",IFERROR(INDEX(STPP!$E$6:$E$4207,MATCH(C3394,STPP!$C$6:$C$4207,0)),"Not Found"))</f>
        <v/>
      </c>
      <c r="F3394" s="27" t="str" cm="1">
        <f t="array" ref="F3394">IF(C3394="","",IFERROR(INDEX(STPP!$F$6:$F$4207,MATCH(C3394,STPP!$C$6:$C$4207,0)),"Not Found"))</f>
        <v/>
      </c>
      <c r="G3394" s="25" t="str">
        <f>IF(表1[[#This Row],[No Seri]]="","",表1[[#This Row],[Deskripsi Barang]]+表1[[#This Row],[Kuantitas]]-表1[[#This Row],[Satuan]])</f>
        <v/>
      </c>
      <c r="H3394" s="28"/>
      <c r="I3394" s="25" t="str">
        <f>IF(表1[[#This Row],[Tgl NPBG]]&gt;表1[[#This Row],[Peminta]],表1[[#This Row],[Tgl NPBG]]-表1[[#This Row],[Peminta]],"")</f>
        <v/>
      </c>
      <c r="J3394" s="31"/>
    </row>
    <row r="3395" s="12" customFormat="1" customHeight="1" spans="2:10">
      <c r="B3395" s="25"/>
      <c r="C3395" s="25"/>
      <c r="D3395" s="26" t="str" cm="1">
        <f t="array" ref="D3395">IF(C3395="","",IFERROR(INDEX(STPP!$D$6:$D$4207,MATCH(C3395,STPP!$C$6:$C$4207,0)),"Not Found"))</f>
        <v/>
      </c>
      <c r="E3395" s="27" t="str" cm="1">
        <f t="array" ref="E3395">IF(C3395="","",IFERROR(INDEX(STPP!$E$6:$E$4207,MATCH(C3395,STPP!$C$6:$C$4207,0)),"Not Found"))</f>
        <v/>
      </c>
      <c r="F3395" s="27" t="str" cm="1">
        <f t="array" ref="F3395">IF(C3395="","",IFERROR(INDEX(STPP!$F$6:$F$4207,MATCH(C3395,STPP!$C$6:$C$4207,0)),"Not Found"))</f>
        <v/>
      </c>
      <c r="G3395" s="25" t="str">
        <f>IF(表1[[#This Row],[No Seri]]="","",表1[[#This Row],[Deskripsi Barang]]+表1[[#This Row],[Kuantitas]]-表1[[#This Row],[Satuan]])</f>
        <v/>
      </c>
      <c r="H3395" s="28"/>
      <c r="I3395" s="25" t="str">
        <f>IF(表1[[#This Row],[Tgl NPBG]]&gt;表1[[#This Row],[Peminta]],表1[[#This Row],[Tgl NPBG]]-表1[[#This Row],[Peminta]],"")</f>
        <v/>
      </c>
      <c r="J3395" s="31"/>
    </row>
    <row r="3396" s="12" customFormat="1" customHeight="1" spans="2:10">
      <c r="B3396" s="25"/>
      <c r="C3396" s="25"/>
      <c r="D3396" s="26" t="str" cm="1">
        <f t="array" ref="D3396">IF(C3396="","",IFERROR(INDEX(STPP!$D$6:$D$4207,MATCH(C3396,STPP!$C$6:$C$4207,0)),"Not Found"))</f>
        <v/>
      </c>
      <c r="E3396" s="27" t="str" cm="1">
        <f t="array" ref="E3396">IF(C3396="","",IFERROR(INDEX(STPP!$E$6:$E$4207,MATCH(C3396,STPP!$C$6:$C$4207,0)),"Not Found"))</f>
        <v/>
      </c>
      <c r="F3396" s="27" t="str" cm="1">
        <f t="array" ref="F3396">IF(C3396="","",IFERROR(INDEX(STPP!$F$6:$F$4207,MATCH(C3396,STPP!$C$6:$C$4207,0)),"Not Found"))</f>
        <v/>
      </c>
      <c r="G3396" s="25" t="str">
        <f>IF(表1[[#This Row],[No Seri]]="","",表1[[#This Row],[Deskripsi Barang]]+表1[[#This Row],[Kuantitas]]-表1[[#This Row],[Satuan]])</f>
        <v/>
      </c>
      <c r="H3396" s="28"/>
      <c r="I3396" s="25" t="str">
        <f>IF(表1[[#This Row],[Tgl NPBG]]&gt;表1[[#This Row],[Peminta]],表1[[#This Row],[Tgl NPBG]]-表1[[#This Row],[Peminta]],"")</f>
        <v/>
      </c>
      <c r="J3396" s="31"/>
    </row>
    <row r="3397" s="12" customFormat="1" customHeight="1" spans="2:10">
      <c r="B3397" s="25"/>
      <c r="C3397" s="25"/>
      <c r="D3397" s="26" t="str" cm="1">
        <f t="array" ref="D3397">IF(C3397="","",IFERROR(INDEX(STPP!$D$6:$D$4207,MATCH(C3397,STPP!$C$6:$C$4207,0)),"Not Found"))</f>
        <v/>
      </c>
      <c r="E3397" s="27" t="str" cm="1">
        <f t="array" ref="E3397">IF(C3397="","",IFERROR(INDEX(STPP!$E$6:$E$4207,MATCH(C3397,STPP!$C$6:$C$4207,0)),"Not Found"))</f>
        <v/>
      </c>
      <c r="F3397" s="27" t="str" cm="1">
        <f t="array" ref="F3397">IF(C3397="","",IFERROR(INDEX(STPP!$F$6:$F$4207,MATCH(C3397,STPP!$C$6:$C$4207,0)),"Not Found"))</f>
        <v/>
      </c>
      <c r="G3397" s="25" t="str">
        <f>IF(表1[[#This Row],[No Seri]]="","",表1[[#This Row],[Deskripsi Barang]]+表1[[#This Row],[Kuantitas]]-表1[[#This Row],[Satuan]])</f>
        <v/>
      </c>
      <c r="H3397" s="28"/>
      <c r="I3397" s="25" t="str">
        <f>IF(表1[[#This Row],[Tgl NPBG]]&gt;表1[[#This Row],[Peminta]],表1[[#This Row],[Tgl NPBG]]-表1[[#This Row],[Peminta]],"")</f>
        <v/>
      </c>
      <c r="J3397" s="31"/>
    </row>
    <row r="3398" s="12" customFormat="1" customHeight="1" spans="2:10">
      <c r="B3398" s="25"/>
      <c r="C3398" s="25"/>
      <c r="D3398" s="26" t="str" cm="1">
        <f t="array" ref="D3398">IF(C3398="","",IFERROR(INDEX(STPP!$D$6:$D$4207,MATCH(C3398,STPP!$C$6:$C$4207,0)),"Not Found"))</f>
        <v/>
      </c>
      <c r="E3398" s="27" t="str" cm="1">
        <f t="array" ref="E3398">IF(C3398="","",IFERROR(INDEX(STPP!$E$6:$E$4207,MATCH(C3398,STPP!$C$6:$C$4207,0)),"Not Found"))</f>
        <v/>
      </c>
      <c r="F3398" s="27" t="str" cm="1">
        <f t="array" ref="F3398">IF(C3398="","",IFERROR(INDEX(STPP!$F$6:$F$4207,MATCH(C3398,STPP!$C$6:$C$4207,0)),"Not Found"))</f>
        <v/>
      </c>
      <c r="G3398" s="25" t="str">
        <f>IF(表1[[#This Row],[No Seri]]="","",表1[[#This Row],[Deskripsi Barang]]+表1[[#This Row],[Kuantitas]]-表1[[#This Row],[Satuan]])</f>
        <v/>
      </c>
      <c r="H3398" s="28"/>
      <c r="I3398" s="25" t="str">
        <f>IF(表1[[#This Row],[Tgl NPBG]]&gt;表1[[#This Row],[Peminta]],表1[[#This Row],[Tgl NPBG]]-表1[[#This Row],[Peminta]],"")</f>
        <v/>
      </c>
      <c r="J3398" s="31"/>
    </row>
    <row r="3399" s="12" customFormat="1" customHeight="1" spans="2:10">
      <c r="B3399" s="25"/>
      <c r="C3399" s="25"/>
      <c r="D3399" s="26" t="str" cm="1">
        <f t="array" ref="D3399">IF(C3399="","",IFERROR(INDEX(STPP!$D$6:$D$4207,MATCH(C3399,STPP!$C$6:$C$4207,0)),"Not Found"))</f>
        <v/>
      </c>
      <c r="E3399" s="27" t="str" cm="1">
        <f t="array" ref="E3399">IF(C3399="","",IFERROR(INDEX(STPP!$E$6:$E$4207,MATCH(C3399,STPP!$C$6:$C$4207,0)),"Not Found"))</f>
        <v/>
      </c>
      <c r="F3399" s="27" t="str" cm="1">
        <f t="array" ref="F3399">IF(C3399="","",IFERROR(INDEX(STPP!$F$6:$F$4207,MATCH(C3399,STPP!$C$6:$C$4207,0)),"Not Found"))</f>
        <v/>
      </c>
      <c r="G3399" s="25" t="str">
        <f>IF(表1[[#This Row],[No Seri]]="","",表1[[#This Row],[Deskripsi Barang]]+表1[[#This Row],[Kuantitas]]-表1[[#This Row],[Satuan]])</f>
        <v/>
      </c>
      <c r="H3399" s="28"/>
      <c r="I3399" s="25" t="str">
        <f>IF(表1[[#This Row],[Tgl NPBG]]&gt;表1[[#This Row],[Peminta]],表1[[#This Row],[Tgl NPBG]]-表1[[#This Row],[Peminta]],"")</f>
        <v/>
      </c>
      <c r="J3399" s="31"/>
    </row>
    <row r="3400" s="12" customFormat="1" customHeight="1" spans="2:10">
      <c r="B3400" s="25"/>
      <c r="C3400" s="25"/>
      <c r="D3400" s="26" t="str" cm="1">
        <f t="array" ref="D3400">IF(C3400="","",IFERROR(INDEX(STPP!$D$6:$D$4207,MATCH(C3400,STPP!$C$6:$C$4207,0)),"Not Found"))</f>
        <v/>
      </c>
      <c r="E3400" s="27" t="str" cm="1">
        <f t="array" ref="E3400">IF(C3400="","",IFERROR(INDEX(STPP!$E$6:$E$4207,MATCH(C3400,STPP!$C$6:$C$4207,0)),"Not Found"))</f>
        <v/>
      </c>
      <c r="F3400" s="27" t="str" cm="1">
        <f t="array" ref="F3400">IF(C3400="","",IFERROR(INDEX(STPP!$F$6:$F$4207,MATCH(C3400,STPP!$C$6:$C$4207,0)),"Not Found"))</f>
        <v/>
      </c>
      <c r="G3400" s="25" t="str">
        <f>IF(表1[[#This Row],[No Seri]]="","",表1[[#This Row],[Deskripsi Barang]]+表1[[#This Row],[Kuantitas]]-表1[[#This Row],[Satuan]])</f>
        <v/>
      </c>
      <c r="H3400" s="28"/>
      <c r="I3400" s="25" t="str">
        <f>IF(表1[[#This Row],[Tgl NPBG]]&gt;表1[[#This Row],[Peminta]],表1[[#This Row],[Tgl NPBG]]-表1[[#This Row],[Peminta]],"")</f>
        <v/>
      </c>
      <c r="J3400" s="31"/>
    </row>
    <row r="3401" s="12" customFormat="1" customHeight="1" spans="2:10">
      <c r="B3401" s="25"/>
      <c r="C3401" s="25"/>
      <c r="D3401" s="26" t="str" cm="1">
        <f t="array" ref="D3401">IF(C3401="","",IFERROR(INDEX(STPP!$D$6:$D$4207,MATCH(C3401,STPP!$C$6:$C$4207,0)),"Not Found"))</f>
        <v/>
      </c>
      <c r="E3401" s="27" t="str" cm="1">
        <f t="array" ref="E3401">IF(C3401="","",IFERROR(INDEX(STPP!$E$6:$E$4207,MATCH(C3401,STPP!$C$6:$C$4207,0)),"Not Found"))</f>
        <v/>
      </c>
      <c r="F3401" s="27" t="str" cm="1">
        <f t="array" ref="F3401">IF(C3401="","",IFERROR(INDEX(STPP!$F$6:$F$4207,MATCH(C3401,STPP!$C$6:$C$4207,0)),"Not Found"))</f>
        <v/>
      </c>
      <c r="G3401" s="25" t="str">
        <f>IF(表1[[#This Row],[No Seri]]="","",表1[[#This Row],[Deskripsi Barang]]+表1[[#This Row],[Kuantitas]]-表1[[#This Row],[Satuan]])</f>
        <v/>
      </c>
      <c r="H3401" s="28"/>
      <c r="I3401" s="25" t="str">
        <f>IF(表1[[#This Row],[Tgl NPBG]]&gt;表1[[#This Row],[Peminta]],表1[[#This Row],[Tgl NPBG]]-表1[[#This Row],[Peminta]],"")</f>
        <v/>
      </c>
      <c r="J3401" s="31"/>
    </row>
    <row r="3402" s="12" customFormat="1" customHeight="1" spans="2:10">
      <c r="B3402" s="25"/>
      <c r="C3402" s="25"/>
      <c r="D3402" s="26" t="str" cm="1">
        <f t="array" ref="D3402">IF(C3402="","",IFERROR(INDEX(STPP!$D$6:$D$4207,MATCH(C3402,STPP!$C$6:$C$4207,0)),"Not Found"))</f>
        <v/>
      </c>
      <c r="E3402" s="27" t="str" cm="1">
        <f t="array" ref="E3402">IF(C3402="","",IFERROR(INDEX(STPP!$E$6:$E$4207,MATCH(C3402,STPP!$C$6:$C$4207,0)),"Not Found"))</f>
        <v/>
      </c>
      <c r="F3402" s="27" t="str" cm="1">
        <f t="array" ref="F3402">IF(C3402="","",IFERROR(INDEX(STPP!$F$6:$F$4207,MATCH(C3402,STPP!$C$6:$C$4207,0)),"Not Found"))</f>
        <v/>
      </c>
      <c r="G3402" s="25" t="str">
        <f>IF(表1[[#This Row],[No Seri]]="","",表1[[#This Row],[Deskripsi Barang]]+表1[[#This Row],[Kuantitas]]-表1[[#This Row],[Satuan]])</f>
        <v/>
      </c>
      <c r="H3402" s="28"/>
      <c r="I3402" s="25" t="str">
        <f>IF(表1[[#This Row],[Tgl NPBG]]&gt;表1[[#This Row],[Peminta]],表1[[#This Row],[Tgl NPBG]]-表1[[#This Row],[Peminta]],"")</f>
        <v/>
      </c>
      <c r="J3402" s="31"/>
    </row>
    <row r="3403" s="12" customFormat="1" customHeight="1" spans="2:10">
      <c r="B3403" s="25"/>
      <c r="C3403" s="25"/>
      <c r="D3403" s="26" t="str" cm="1">
        <f t="array" ref="D3403">IF(C3403="","",IFERROR(INDEX(STPP!$D$6:$D$4207,MATCH(C3403,STPP!$C$6:$C$4207,0)),"Not Found"))</f>
        <v/>
      </c>
      <c r="E3403" s="27" t="str" cm="1">
        <f t="array" ref="E3403">IF(C3403="","",IFERROR(INDEX(STPP!$E$6:$E$4207,MATCH(C3403,STPP!$C$6:$C$4207,0)),"Not Found"))</f>
        <v/>
      </c>
      <c r="F3403" s="27" t="str" cm="1">
        <f t="array" ref="F3403">IF(C3403="","",IFERROR(INDEX(STPP!$F$6:$F$4207,MATCH(C3403,STPP!$C$6:$C$4207,0)),"Not Found"))</f>
        <v/>
      </c>
      <c r="G3403" s="25" t="str">
        <f>IF(表1[[#This Row],[No Seri]]="","",表1[[#This Row],[Deskripsi Barang]]+表1[[#This Row],[Kuantitas]]-表1[[#This Row],[Satuan]])</f>
        <v/>
      </c>
      <c r="H3403" s="28"/>
      <c r="I3403" s="25" t="str">
        <f>IF(表1[[#This Row],[Tgl NPBG]]&gt;表1[[#This Row],[Peminta]],表1[[#This Row],[Tgl NPBG]]-表1[[#This Row],[Peminta]],"")</f>
        <v/>
      </c>
      <c r="J3403" s="31"/>
    </row>
    <row r="3404" s="12" customFormat="1" customHeight="1" spans="2:10">
      <c r="B3404" s="25"/>
      <c r="C3404" s="25"/>
      <c r="D3404" s="26" t="str" cm="1">
        <f t="array" ref="D3404">IF(C3404="","",IFERROR(INDEX(STPP!$D$6:$D$4207,MATCH(C3404,STPP!$C$6:$C$4207,0)),"Not Found"))</f>
        <v/>
      </c>
      <c r="E3404" s="27" t="str" cm="1">
        <f t="array" ref="E3404">IF(C3404="","",IFERROR(INDEX(STPP!$E$6:$E$4207,MATCH(C3404,STPP!$C$6:$C$4207,0)),"Not Found"))</f>
        <v/>
      </c>
      <c r="F3404" s="27" t="str" cm="1">
        <f t="array" ref="F3404">IF(C3404="","",IFERROR(INDEX(STPP!$F$6:$F$4207,MATCH(C3404,STPP!$C$6:$C$4207,0)),"Not Found"))</f>
        <v/>
      </c>
      <c r="G3404" s="25" t="str">
        <f>IF(表1[[#This Row],[No Seri]]="","",表1[[#This Row],[Deskripsi Barang]]+表1[[#This Row],[Kuantitas]]-表1[[#This Row],[Satuan]])</f>
        <v/>
      </c>
      <c r="H3404" s="28"/>
      <c r="I3404" s="25" t="str">
        <f>IF(表1[[#This Row],[Tgl NPBG]]&gt;表1[[#This Row],[Peminta]],表1[[#This Row],[Tgl NPBG]]-表1[[#This Row],[Peminta]],"")</f>
        <v/>
      </c>
      <c r="J3404" s="31"/>
    </row>
    <row r="3405" s="12" customFormat="1" customHeight="1" spans="2:10">
      <c r="B3405" s="25"/>
      <c r="C3405" s="25"/>
      <c r="D3405" s="26" t="str" cm="1">
        <f t="array" ref="D3405">IF(C3405="","",IFERROR(INDEX(STPP!$D$6:$D$4207,MATCH(C3405,STPP!$C$6:$C$4207,0)),"Not Found"))</f>
        <v/>
      </c>
      <c r="E3405" s="27" t="str" cm="1">
        <f t="array" ref="E3405">IF(C3405="","",IFERROR(INDEX(STPP!$E$6:$E$4207,MATCH(C3405,STPP!$C$6:$C$4207,0)),"Not Found"))</f>
        <v/>
      </c>
      <c r="F3405" s="27" t="str" cm="1">
        <f t="array" ref="F3405">IF(C3405="","",IFERROR(INDEX(STPP!$F$6:$F$4207,MATCH(C3405,STPP!$C$6:$C$4207,0)),"Not Found"))</f>
        <v/>
      </c>
      <c r="G3405" s="25" t="str">
        <f>IF(表1[[#This Row],[No Seri]]="","",表1[[#This Row],[Deskripsi Barang]]+表1[[#This Row],[Kuantitas]]-表1[[#This Row],[Satuan]])</f>
        <v/>
      </c>
      <c r="H3405" s="28"/>
      <c r="I3405" s="25" t="str">
        <f>IF(表1[[#This Row],[Tgl NPBG]]&gt;表1[[#This Row],[Peminta]],表1[[#This Row],[Tgl NPBG]]-表1[[#This Row],[Peminta]],"")</f>
        <v/>
      </c>
      <c r="J3405" s="31"/>
    </row>
    <row r="3406" s="12" customFormat="1" customHeight="1" spans="2:10">
      <c r="B3406" s="25"/>
      <c r="C3406" s="25"/>
      <c r="D3406" s="26" t="str" cm="1">
        <f t="array" ref="D3406">IF(C3406="","",IFERROR(INDEX(STPP!$D$6:$D$4207,MATCH(C3406,STPP!$C$6:$C$4207,0)),"Not Found"))</f>
        <v/>
      </c>
      <c r="E3406" s="27" t="str" cm="1">
        <f t="array" ref="E3406">IF(C3406="","",IFERROR(INDEX(STPP!$E$6:$E$4207,MATCH(C3406,STPP!$C$6:$C$4207,0)),"Not Found"))</f>
        <v/>
      </c>
      <c r="F3406" s="27" t="str" cm="1">
        <f t="array" ref="F3406">IF(C3406="","",IFERROR(INDEX(STPP!$F$6:$F$4207,MATCH(C3406,STPP!$C$6:$C$4207,0)),"Not Found"))</f>
        <v/>
      </c>
      <c r="G3406" s="25" t="str">
        <f>IF(表1[[#This Row],[No Seri]]="","",表1[[#This Row],[Deskripsi Barang]]+表1[[#This Row],[Kuantitas]]-表1[[#This Row],[Satuan]])</f>
        <v/>
      </c>
      <c r="H3406" s="28"/>
      <c r="I3406" s="25" t="str">
        <f>IF(表1[[#This Row],[Tgl NPBG]]&gt;表1[[#This Row],[Peminta]],表1[[#This Row],[Tgl NPBG]]-表1[[#This Row],[Peminta]],"")</f>
        <v/>
      </c>
      <c r="J3406" s="31"/>
    </row>
    <row r="3407" s="12" customFormat="1" customHeight="1" spans="2:10">
      <c r="B3407" s="25"/>
      <c r="C3407" s="25"/>
      <c r="D3407" s="26" t="str" cm="1">
        <f t="array" ref="D3407">IF(C3407="","",IFERROR(INDEX(STPP!$D$6:$D$4207,MATCH(C3407,STPP!$C$6:$C$4207,0)),"Not Found"))</f>
        <v/>
      </c>
      <c r="E3407" s="27" t="str" cm="1">
        <f t="array" ref="E3407">IF(C3407="","",IFERROR(INDEX(STPP!$E$6:$E$4207,MATCH(C3407,STPP!$C$6:$C$4207,0)),"Not Found"))</f>
        <v/>
      </c>
      <c r="F3407" s="27" t="str" cm="1">
        <f t="array" ref="F3407">IF(C3407="","",IFERROR(INDEX(STPP!$F$6:$F$4207,MATCH(C3407,STPP!$C$6:$C$4207,0)),"Not Found"))</f>
        <v/>
      </c>
      <c r="G3407" s="25" t="str">
        <f>IF(表1[[#This Row],[No Seri]]="","",表1[[#This Row],[Deskripsi Barang]]+表1[[#This Row],[Kuantitas]]-表1[[#This Row],[Satuan]])</f>
        <v/>
      </c>
      <c r="H3407" s="28"/>
      <c r="I3407" s="25" t="str">
        <f>IF(表1[[#This Row],[Tgl NPBG]]&gt;表1[[#This Row],[Peminta]],表1[[#This Row],[Tgl NPBG]]-表1[[#This Row],[Peminta]],"")</f>
        <v/>
      </c>
      <c r="J3407" s="31"/>
    </row>
    <row r="3408" s="12" customFormat="1" customHeight="1" spans="2:10">
      <c r="B3408" s="25"/>
      <c r="C3408" s="25"/>
      <c r="D3408" s="26" t="str" cm="1">
        <f t="array" ref="D3408">IF(C3408="","",IFERROR(INDEX(STPP!$D$6:$D$4207,MATCH(C3408,STPP!$C$6:$C$4207,0)),"Not Found"))</f>
        <v/>
      </c>
      <c r="E3408" s="27" t="str" cm="1">
        <f t="array" ref="E3408">IF(C3408="","",IFERROR(INDEX(STPP!$E$6:$E$4207,MATCH(C3408,STPP!$C$6:$C$4207,0)),"Not Found"))</f>
        <v/>
      </c>
      <c r="F3408" s="27" t="str" cm="1">
        <f t="array" ref="F3408">IF(C3408="","",IFERROR(INDEX(STPP!$F$6:$F$4207,MATCH(C3408,STPP!$C$6:$C$4207,0)),"Not Found"))</f>
        <v/>
      </c>
      <c r="G3408" s="25" t="str">
        <f>IF(表1[[#This Row],[No Seri]]="","",表1[[#This Row],[Deskripsi Barang]]+表1[[#This Row],[Kuantitas]]-表1[[#This Row],[Satuan]])</f>
        <v/>
      </c>
      <c r="H3408" s="28"/>
      <c r="I3408" s="25" t="str">
        <f>IF(表1[[#This Row],[Tgl NPBG]]&gt;表1[[#This Row],[Peminta]],表1[[#This Row],[Tgl NPBG]]-表1[[#This Row],[Peminta]],"")</f>
        <v/>
      </c>
      <c r="J3408" s="31"/>
    </row>
    <row r="3409" s="12" customFormat="1" customHeight="1" spans="2:10">
      <c r="B3409" s="25"/>
      <c r="C3409" s="25"/>
      <c r="D3409" s="26" t="str" cm="1">
        <f t="array" ref="D3409">IF(C3409="","",IFERROR(INDEX(STPP!$D$6:$D$4207,MATCH(C3409,STPP!$C$6:$C$4207,0)),"Not Found"))</f>
        <v/>
      </c>
      <c r="E3409" s="27" t="str" cm="1">
        <f t="array" ref="E3409">IF(C3409="","",IFERROR(INDEX(STPP!$E$6:$E$4207,MATCH(C3409,STPP!$C$6:$C$4207,0)),"Not Found"))</f>
        <v/>
      </c>
      <c r="F3409" s="27" t="str" cm="1">
        <f t="array" ref="F3409">IF(C3409="","",IFERROR(INDEX(STPP!$F$6:$F$4207,MATCH(C3409,STPP!$C$6:$C$4207,0)),"Not Found"))</f>
        <v/>
      </c>
      <c r="G3409" s="25" t="str">
        <f>IF(表1[[#This Row],[No Seri]]="","",表1[[#This Row],[Deskripsi Barang]]+表1[[#This Row],[Kuantitas]]-表1[[#This Row],[Satuan]])</f>
        <v/>
      </c>
      <c r="H3409" s="28"/>
      <c r="I3409" s="25" t="str">
        <f>IF(表1[[#This Row],[Tgl NPBG]]&gt;表1[[#This Row],[Peminta]],表1[[#This Row],[Tgl NPBG]]-表1[[#This Row],[Peminta]],"")</f>
        <v/>
      </c>
      <c r="J3409" s="31"/>
    </row>
    <row r="3410" s="12" customFormat="1" customHeight="1" spans="2:10">
      <c r="B3410" s="25"/>
      <c r="C3410" s="25"/>
      <c r="D3410" s="26" t="str" cm="1">
        <f t="array" ref="D3410">IF(C3410="","",IFERROR(INDEX(STPP!$D$6:$D$4207,MATCH(C3410,STPP!$C$6:$C$4207,0)),"Not Found"))</f>
        <v/>
      </c>
      <c r="E3410" s="27" t="str" cm="1">
        <f t="array" ref="E3410">IF(C3410="","",IFERROR(INDEX(STPP!$E$6:$E$4207,MATCH(C3410,STPP!$C$6:$C$4207,0)),"Not Found"))</f>
        <v/>
      </c>
      <c r="F3410" s="27" t="str" cm="1">
        <f t="array" ref="F3410">IF(C3410="","",IFERROR(INDEX(STPP!$F$6:$F$4207,MATCH(C3410,STPP!$C$6:$C$4207,0)),"Not Found"))</f>
        <v/>
      </c>
      <c r="G3410" s="25" t="str">
        <f>IF(表1[[#This Row],[No Seri]]="","",表1[[#This Row],[Deskripsi Barang]]+表1[[#This Row],[Kuantitas]]-表1[[#This Row],[Satuan]])</f>
        <v/>
      </c>
      <c r="H3410" s="28"/>
      <c r="I3410" s="25" t="str">
        <f>IF(表1[[#This Row],[Tgl NPBG]]&gt;表1[[#This Row],[Peminta]],表1[[#This Row],[Tgl NPBG]]-表1[[#This Row],[Peminta]],"")</f>
        <v/>
      </c>
      <c r="J3410" s="31"/>
    </row>
    <row r="3411" s="12" customFormat="1" customHeight="1" spans="2:10">
      <c r="B3411" s="25"/>
      <c r="C3411" s="25"/>
      <c r="D3411" s="26" t="str" cm="1">
        <f t="array" ref="D3411">IF(C3411="","",IFERROR(INDEX(STPP!$D$6:$D$4207,MATCH(C3411,STPP!$C$6:$C$4207,0)),"Not Found"))</f>
        <v/>
      </c>
      <c r="E3411" s="27" t="str" cm="1">
        <f t="array" ref="E3411">IF(C3411="","",IFERROR(INDEX(STPP!$E$6:$E$4207,MATCH(C3411,STPP!$C$6:$C$4207,0)),"Not Found"))</f>
        <v/>
      </c>
      <c r="F3411" s="27" t="str" cm="1">
        <f t="array" ref="F3411">IF(C3411="","",IFERROR(INDEX(STPP!$F$6:$F$4207,MATCH(C3411,STPP!$C$6:$C$4207,0)),"Not Found"))</f>
        <v/>
      </c>
      <c r="G3411" s="25" t="str">
        <f>IF(表1[[#This Row],[No Seri]]="","",表1[[#This Row],[Deskripsi Barang]]+表1[[#This Row],[Kuantitas]]-表1[[#This Row],[Satuan]])</f>
        <v/>
      </c>
      <c r="H3411" s="28"/>
      <c r="I3411" s="25" t="str">
        <f>IF(表1[[#This Row],[Tgl NPBG]]&gt;表1[[#This Row],[Peminta]],表1[[#This Row],[Tgl NPBG]]-表1[[#This Row],[Peminta]],"")</f>
        <v/>
      </c>
      <c r="J3411" s="31"/>
    </row>
    <row r="3412" s="12" customFormat="1" customHeight="1" spans="2:10">
      <c r="B3412" s="25"/>
      <c r="C3412" s="25"/>
      <c r="D3412" s="26" t="str" cm="1">
        <f t="array" ref="D3412">IF(C3412="","",IFERROR(INDEX(STPP!$D$6:$D$4207,MATCH(C3412,STPP!$C$6:$C$4207,0)),"Not Found"))</f>
        <v/>
      </c>
      <c r="E3412" s="27" t="str" cm="1">
        <f t="array" ref="E3412">IF(C3412="","",IFERROR(INDEX(STPP!$E$6:$E$4207,MATCH(C3412,STPP!$C$6:$C$4207,0)),"Not Found"))</f>
        <v/>
      </c>
      <c r="F3412" s="27" t="str" cm="1">
        <f t="array" ref="F3412">IF(C3412="","",IFERROR(INDEX(STPP!$F$6:$F$4207,MATCH(C3412,STPP!$C$6:$C$4207,0)),"Not Found"))</f>
        <v/>
      </c>
      <c r="G3412" s="25" t="str">
        <f>IF(表1[[#This Row],[No Seri]]="","",表1[[#This Row],[Deskripsi Barang]]+表1[[#This Row],[Kuantitas]]-表1[[#This Row],[Satuan]])</f>
        <v/>
      </c>
      <c r="H3412" s="28"/>
      <c r="I3412" s="25" t="str">
        <f>IF(表1[[#This Row],[Tgl NPBG]]&gt;表1[[#This Row],[Peminta]],表1[[#This Row],[Tgl NPBG]]-表1[[#This Row],[Peminta]],"")</f>
        <v/>
      </c>
      <c r="J3412" s="31"/>
    </row>
    <row r="3413" s="12" customFormat="1" customHeight="1" spans="2:10">
      <c r="B3413" s="25"/>
      <c r="C3413" s="25"/>
      <c r="D3413" s="26" t="str" cm="1">
        <f t="array" ref="D3413">IF(C3413="","",IFERROR(INDEX(STPP!$D$6:$D$4207,MATCH(C3413,STPP!$C$6:$C$4207,0)),"Not Found"))</f>
        <v/>
      </c>
      <c r="E3413" s="27" t="str" cm="1">
        <f t="array" ref="E3413">IF(C3413="","",IFERROR(INDEX(STPP!$E$6:$E$4207,MATCH(C3413,STPP!$C$6:$C$4207,0)),"Not Found"))</f>
        <v/>
      </c>
      <c r="F3413" s="27" t="str" cm="1">
        <f t="array" ref="F3413">IF(C3413="","",IFERROR(INDEX(STPP!$F$6:$F$4207,MATCH(C3413,STPP!$C$6:$C$4207,0)),"Not Found"))</f>
        <v/>
      </c>
      <c r="G3413" s="25" t="str">
        <f>IF(表1[[#This Row],[No Seri]]="","",表1[[#This Row],[Deskripsi Barang]]+表1[[#This Row],[Kuantitas]]-表1[[#This Row],[Satuan]])</f>
        <v/>
      </c>
      <c r="H3413" s="28"/>
      <c r="I3413" s="25" t="str">
        <f>IF(表1[[#This Row],[Tgl NPBG]]&gt;表1[[#This Row],[Peminta]],表1[[#This Row],[Tgl NPBG]]-表1[[#This Row],[Peminta]],"")</f>
        <v/>
      </c>
      <c r="J3413" s="31"/>
    </row>
    <row r="3414" s="12" customFormat="1" customHeight="1" spans="2:10">
      <c r="B3414" s="25"/>
      <c r="C3414" s="25"/>
      <c r="D3414" s="26" t="str" cm="1">
        <f t="array" ref="D3414">IF(C3414="","",IFERROR(INDEX(STPP!$D$6:$D$4207,MATCH(C3414,STPP!$C$6:$C$4207,0)),"Not Found"))</f>
        <v/>
      </c>
      <c r="E3414" s="27" t="str" cm="1">
        <f t="array" ref="E3414">IF(C3414="","",IFERROR(INDEX(STPP!$E$6:$E$4207,MATCH(C3414,STPP!$C$6:$C$4207,0)),"Not Found"))</f>
        <v/>
      </c>
      <c r="F3414" s="27" t="str" cm="1">
        <f t="array" ref="F3414">IF(C3414="","",IFERROR(INDEX(STPP!$F$6:$F$4207,MATCH(C3414,STPP!$C$6:$C$4207,0)),"Not Found"))</f>
        <v/>
      </c>
      <c r="G3414" s="25" t="str">
        <f>IF(表1[[#This Row],[No Seri]]="","",表1[[#This Row],[Deskripsi Barang]]+表1[[#This Row],[Kuantitas]]-表1[[#This Row],[Satuan]])</f>
        <v/>
      </c>
      <c r="H3414" s="28"/>
      <c r="I3414" s="25" t="str">
        <f>IF(表1[[#This Row],[Tgl NPBG]]&gt;表1[[#This Row],[Peminta]],表1[[#This Row],[Tgl NPBG]]-表1[[#This Row],[Peminta]],"")</f>
        <v/>
      </c>
      <c r="J3414" s="31"/>
    </row>
    <row r="3415" s="12" customFormat="1" customHeight="1" spans="2:10">
      <c r="B3415" s="25"/>
      <c r="C3415" s="25"/>
      <c r="D3415" s="26" t="str" cm="1">
        <f t="array" ref="D3415">IF(C3415="","",IFERROR(INDEX(STPP!$D$6:$D$4207,MATCH(C3415,STPP!$C$6:$C$4207,0)),"Not Found"))</f>
        <v/>
      </c>
      <c r="E3415" s="27" t="str" cm="1">
        <f t="array" ref="E3415">IF(C3415="","",IFERROR(INDEX(STPP!$E$6:$E$4207,MATCH(C3415,STPP!$C$6:$C$4207,0)),"Not Found"))</f>
        <v/>
      </c>
      <c r="F3415" s="27" t="str" cm="1">
        <f t="array" ref="F3415">IF(C3415="","",IFERROR(INDEX(STPP!$F$6:$F$4207,MATCH(C3415,STPP!$C$6:$C$4207,0)),"Not Found"))</f>
        <v/>
      </c>
      <c r="G3415" s="25" t="str">
        <f>IF(表1[[#This Row],[No Seri]]="","",表1[[#This Row],[Deskripsi Barang]]+表1[[#This Row],[Kuantitas]]-表1[[#This Row],[Satuan]])</f>
        <v/>
      </c>
      <c r="H3415" s="28"/>
      <c r="I3415" s="25" t="str">
        <f>IF(表1[[#This Row],[Tgl NPBG]]&gt;表1[[#This Row],[Peminta]],表1[[#This Row],[Tgl NPBG]]-表1[[#This Row],[Peminta]],"")</f>
        <v/>
      </c>
      <c r="J3415" s="31"/>
    </row>
    <row r="3416" s="12" customFormat="1" customHeight="1" spans="2:10">
      <c r="B3416" s="25"/>
      <c r="C3416" s="25"/>
      <c r="D3416" s="26" t="str" cm="1">
        <f t="array" ref="D3416">IF(C3416="","",IFERROR(INDEX(STPP!$D$6:$D$4207,MATCH(C3416,STPP!$C$6:$C$4207,0)),"Not Found"))</f>
        <v/>
      </c>
      <c r="E3416" s="27" t="str" cm="1">
        <f t="array" ref="E3416">IF(C3416="","",IFERROR(INDEX(STPP!$E$6:$E$4207,MATCH(C3416,STPP!$C$6:$C$4207,0)),"Not Found"))</f>
        <v/>
      </c>
      <c r="F3416" s="27" t="str" cm="1">
        <f t="array" ref="F3416">IF(C3416="","",IFERROR(INDEX(STPP!$F$6:$F$4207,MATCH(C3416,STPP!$C$6:$C$4207,0)),"Not Found"))</f>
        <v/>
      </c>
      <c r="G3416" s="25" t="str">
        <f>IF(表1[[#This Row],[No Seri]]="","",表1[[#This Row],[Deskripsi Barang]]+表1[[#This Row],[Kuantitas]]-表1[[#This Row],[Satuan]])</f>
        <v/>
      </c>
      <c r="H3416" s="28"/>
      <c r="I3416" s="25" t="str">
        <f>IF(表1[[#This Row],[Tgl NPBG]]&gt;表1[[#This Row],[Peminta]],表1[[#This Row],[Tgl NPBG]]-表1[[#This Row],[Peminta]],"")</f>
        <v/>
      </c>
      <c r="J3416" s="31"/>
    </row>
    <row r="3417" s="12" customFormat="1" customHeight="1" spans="2:10">
      <c r="B3417" s="25"/>
      <c r="C3417" s="25"/>
      <c r="D3417" s="26" t="str" cm="1">
        <f t="array" ref="D3417">IF(C3417="","",IFERROR(INDEX(STPP!$D$6:$D$4207,MATCH(C3417,STPP!$C$6:$C$4207,0)),"Not Found"))</f>
        <v/>
      </c>
      <c r="E3417" s="27" t="str" cm="1">
        <f t="array" ref="E3417">IF(C3417="","",IFERROR(INDEX(STPP!$E$6:$E$4207,MATCH(C3417,STPP!$C$6:$C$4207,0)),"Not Found"))</f>
        <v/>
      </c>
      <c r="F3417" s="27" t="str" cm="1">
        <f t="array" ref="F3417">IF(C3417="","",IFERROR(INDEX(STPP!$F$6:$F$4207,MATCH(C3417,STPP!$C$6:$C$4207,0)),"Not Found"))</f>
        <v/>
      </c>
      <c r="G3417" s="25" t="str">
        <f>IF(表1[[#This Row],[No Seri]]="","",表1[[#This Row],[Deskripsi Barang]]+表1[[#This Row],[Kuantitas]]-表1[[#This Row],[Satuan]])</f>
        <v/>
      </c>
      <c r="H3417" s="28"/>
      <c r="I3417" s="25" t="str">
        <f>IF(表1[[#This Row],[Tgl NPBG]]&gt;表1[[#This Row],[Peminta]],表1[[#This Row],[Tgl NPBG]]-表1[[#This Row],[Peminta]],"")</f>
        <v/>
      </c>
      <c r="J3417" s="31"/>
    </row>
    <row r="3418" s="12" customFormat="1" customHeight="1" spans="2:10">
      <c r="B3418" s="25"/>
      <c r="C3418" s="25"/>
      <c r="D3418" s="26" t="str" cm="1">
        <f t="array" ref="D3418">IF(C3418="","",IFERROR(INDEX(STPP!$D$6:$D$4207,MATCH(C3418,STPP!$C$6:$C$4207,0)),"Not Found"))</f>
        <v/>
      </c>
      <c r="E3418" s="27" t="str" cm="1">
        <f t="array" ref="E3418">IF(C3418="","",IFERROR(INDEX(STPP!$E$6:$E$4207,MATCH(C3418,STPP!$C$6:$C$4207,0)),"Not Found"))</f>
        <v/>
      </c>
      <c r="F3418" s="27" t="str" cm="1">
        <f t="array" ref="F3418">IF(C3418="","",IFERROR(INDEX(STPP!$F$6:$F$4207,MATCH(C3418,STPP!$C$6:$C$4207,0)),"Not Found"))</f>
        <v/>
      </c>
      <c r="G3418" s="25" t="str">
        <f>IF(表1[[#This Row],[No Seri]]="","",表1[[#This Row],[Deskripsi Barang]]+表1[[#This Row],[Kuantitas]]-表1[[#This Row],[Satuan]])</f>
        <v/>
      </c>
      <c r="H3418" s="28"/>
      <c r="I3418" s="25" t="str">
        <f>IF(表1[[#This Row],[Tgl NPBG]]&gt;表1[[#This Row],[Peminta]],表1[[#This Row],[Tgl NPBG]]-表1[[#This Row],[Peminta]],"")</f>
        <v/>
      </c>
      <c r="J3418" s="31"/>
    </row>
    <row r="3419" s="12" customFormat="1" customHeight="1" spans="2:10">
      <c r="B3419" s="25"/>
      <c r="C3419" s="25"/>
      <c r="D3419" s="26" t="str" cm="1">
        <f t="array" ref="D3419">IF(C3419="","",IFERROR(INDEX(STPP!$D$6:$D$4207,MATCH(C3419,STPP!$C$6:$C$4207,0)),"Not Found"))</f>
        <v/>
      </c>
      <c r="E3419" s="27" t="str" cm="1">
        <f t="array" ref="E3419">IF(C3419="","",IFERROR(INDEX(STPP!$E$6:$E$4207,MATCH(C3419,STPP!$C$6:$C$4207,0)),"Not Found"))</f>
        <v/>
      </c>
      <c r="F3419" s="27" t="str" cm="1">
        <f t="array" ref="F3419">IF(C3419="","",IFERROR(INDEX(STPP!$F$6:$F$4207,MATCH(C3419,STPP!$C$6:$C$4207,0)),"Not Found"))</f>
        <v/>
      </c>
      <c r="G3419" s="25" t="str">
        <f>IF(表1[[#This Row],[No Seri]]="","",表1[[#This Row],[Deskripsi Barang]]+表1[[#This Row],[Kuantitas]]-表1[[#This Row],[Satuan]])</f>
        <v/>
      </c>
      <c r="H3419" s="28"/>
      <c r="I3419" s="25" t="str">
        <f>IF(表1[[#This Row],[Tgl NPBG]]&gt;表1[[#This Row],[Peminta]],表1[[#This Row],[Tgl NPBG]]-表1[[#This Row],[Peminta]],"")</f>
        <v/>
      </c>
      <c r="J3419" s="31"/>
    </row>
    <row r="3420" s="12" customFormat="1" customHeight="1" spans="2:10">
      <c r="B3420" s="25"/>
      <c r="C3420" s="25"/>
      <c r="D3420" s="26" t="str" cm="1">
        <f t="array" ref="D3420">IF(C3420="","",IFERROR(INDEX(STPP!$D$6:$D$4207,MATCH(C3420,STPP!$C$6:$C$4207,0)),"Not Found"))</f>
        <v/>
      </c>
      <c r="E3420" s="27" t="str" cm="1">
        <f t="array" ref="E3420">IF(C3420="","",IFERROR(INDEX(STPP!$E$6:$E$4207,MATCH(C3420,STPP!$C$6:$C$4207,0)),"Not Found"))</f>
        <v/>
      </c>
      <c r="F3420" s="27" t="str" cm="1">
        <f t="array" ref="F3420">IF(C3420="","",IFERROR(INDEX(STPP!$F$6:$F$4207,MATCH(C3420,STPP!$C$6:$C$4207,0)),"Not Found"))</f>
        <v/>
      </c>
      <c r="G3420" s="25" t="str">
        <f>IF(表1[[#This Row],[No Seri]]="","",表1[[#This Row],[Deskripsi Barang]]+表1[[#This Row],[Kuantitas]]-表1[[#This Row],[Satuan]])</f>
        <v/>
      </c>
      <c r="H3420" s="28"/>
      <c r="I3420" s="25" t="str">
        <f>IF(表1[[#This Row],[Tgl NPBG]]&gt;表1[[#This Row],[Peminta]],表1[[#This Row],[Tgl NPBG]]-表1[[#This Row],[Peminta]],"")</f>
        <v/>
      </c>
      <c r="J3420" s="31"/>
    </row>
    <row r="3421" s="12" customFormat="1" customHeight="1" spans="2:10">
      <c r="B3421" s="25"/>
      <c r="C3421" s="25"/>
      <c r="D3421" s="26" t="str" cm="1">
        <f t="array" ref="D3421">IF(C3421="","",IFERROR(INDEX(STPP!$D$6:$D$4207,MATCH(C3421,STPP!$C$6:$C$4207,0)),"Not Found"))</f>
        <v/>
      </c>
      <c r="E3421" s="27" t="str" cm="1">
        <f t="array" ref="E3421">IF(C3421="","",IFERROR(INDEX(STPP!$E$6:$E$4207,MATCH(C3421,STPP!$C$6:$C$4207,0)),"Not Found"))</f>
        <v/>
      </c>
      <c r="F3421" s="27" t="str" cm="1">
        <f t="array" ref="F3421">IF(C3421="","",IFERROR(INDEX(STPP!$F$6:$F$4207,MATCH(C3421,STPP!$C$6:$C$4207,0)),"Not Found"))</f>
        <v/>
      </c>
      <c r="G3421" s="25" t="str">
        <f>IF(表1[[#This Row],[No Seri]]="","",表1[[#This Row],[Deskripsi Barang]]+表1[[#This Row],[Kuantitas]]-表1[[#This Row],[Satuan]])</f>
        <v/>
      </c>
      <c r="H3421" s="28"/>
      <c r="I3421" s="25" t="str">
        <f>IF(表1[[#This Row],[Tgl NPBG]]&gt;表1[[#This Row],[Peminta]],表1[[#This Row],[Tgl NPBG]]-表1[[#This Row],[Peminta]],"")</f>
        <v/>
      </c>
      <c r="J3421" s="31"/>
    </row>
    <row r="3422" s="12" customFormat="1" customHeight="1" spans="2:10">
      <c r="B3422" s="25"/>
      <c r="C3422" s="25"/>
      <c r="D3422" s="26" t="str" cm="1">
        <f t="array" ref="D3422">IF(C3422="","",IFERROR(INDEX(STPP!$D$6:$D$4207,MATCH(C3422,STPP!$C$6:$C$4207,0)),"Not Found"))</f>
        <v/>
      </c>
      <c r="E3422" s="27" t="str" cm="1">
        <f t="array" ref="E3422">IF(C3422="","",IFERROR(INDEX(STPP!$E$6:$E$4207,MATCH(C3422,STPP!$C$6:$C$4207,0)),"Not Found"))</f>
        <v/>
      </c>
      <c r="F3422" s="27" t="str" cm="1">
        <f t="array" ref="F3422">IF(C3422="","",IFERROR(INDEX(STPP!$F$6:$F$4207,MATCH(C3422,STPP!$C$6:$C$4207,0)),"Not Found"))</f>
        <v/>
      </c>
      <c r="G3422" s="25" t="str">
        <f>IF(表1[[#This Row],[No Seri]]="","",表1[[#This Row],[Deskripsi Barang]]+表1[[#This Row],[Kuantitas]]-表1[[#This Row],[Satuan]])</f>
        <v/>
      </c>
      <c r="H3422" s="28"/>
      <c r="I3422" s="25" t="str">
        <f>IF(表1[[#This Row],[Tgl NPBG]]&gt;表1[[#This Row],[Peminta]],表1[[#This Row],[Tgl NPBG]]-表1[[#This Row],[Peminta]],"")</f>
        <v/>
      </c>
      <c r="J3422" s="31"/>
    </row>
    <row r="3423" s="12" customFormat="1" customHeight="1" spans="2:10">
      <c r="B3423" s="25"/>
      <c r="C3423" s="25"/>
      <c r="D3423" s="26" t="str" cm="1">
        <f t="array" ref="D3423">IF(C3423="","",IFERROR(INDEX(STPP!$D$6:$D$4207,MATCH(C3423,STPP!$C$6:$C$4207,0)),"Not Found"))</f>
        <v/>
      </c>
      <c r="E3423" s="27" t="str" cm="1">
        <f t="array" ref="E3423">IF(C3423="","",IFERROR(INDEX(STPP!$E$6:$E$4207,MATCH(C3423,STPP!$C$6:$C$4207,0)),"Not Found"))</f>
        <v/>
      </c>
      <c r="F3423" s="27" t="str" cm="1">
        <f t="array" ref="F3423">IF(C3423="","",IFERROR(INDEX(STPP!$F$6:$F$4207,MATCH(C3423,STPP!$C$6:$C$4207,0)),"Not Found"))</f>
        <v/>
      </c>
      <c r="G3423" s="25" t="str">
        <f>IF(表1[[#This Row],[No Seri]]="","",表1[[#This Row],[Deskripsi Barang]]+表1[[#This Row],[Kuantitas]]-表1[[#This Row],[Satuan]])</f>
        <v/>
      </c>
      <c r="H3423" s="28"/>
      <c r="I3423" s="25" t="str">
        <f>IF(表1[[#This Row],[Tgl NPBG]]&gt;表1[[#This Row],[Peminta]],表1[[#This Row],[Tgl NPBG]]-表1[[#This Row],[Peminta]],"")</f>
        <v/>
      </c>
      <c r="J3423" s="31"/>
    </row>
    <row r="3424" s="12" customFormat="1" customHeight="1" spans="2:10">
      <c r="B3424" s="25"/>
      <c r="C3424" s="25"/>
      <c r="D3424" s="26" t="str" cm="1">
        <f t="array" ref="D3424">IF(C3424="","",IFERROR(INDEX(STPP!$D$6:$D$4207,MATCH(C3424,STPP!$C$6:$C$4207,0)),"Not Found"))</f>
        <v/>
      </c>
      <c r="E3424" s="27" t="str" cm="1">
        <f t="array" ref="E3424">IF(C3424="","",IFERROR(INDEX(STPP!$E$6:$E$4207,MATCH(C3424,STPP!$C$6:$C$4207,0)),"Not Found"))</f>
        <v/>
      </c>
      <c r="F3424" s="27" t="str" cm="1">
        <f t="array" ref="F3424">IF(C3424="","",IFERROR(INDEX(STPP!$F$6:$F$4207,MATCH(C3424,STPP!$C$6:$C$4207,0)),"Not Found"))</f>
        <v/>
      </c>
      <c r="G3424" s="25" t="str">
        <f>IF(表1[[#This Row],[No Seri]]="","",表1[[#This Row],[Deskripsi Barang]]+表1[[#This Row],[Kuantitas]]-表1[[#This Row],[Satuan]])</f>
        <v/>
      </c>
      <c r="H3424" s="28"/>
      <c r="I3424" s="25" t="str">
        <f>IF(表1[[#This Row],[Tgl NPBG]]&gt;表1[[#This Row],[Peminta]],表1[[#This Row],[Tgl NPBG]]-表1[[#This Row],[Peminta]],"")</f>
        <v/>
      </c>
      <c r="J3424" s="31"/>
    </row>
    <row r="3425" s="12" customFormat="1" customHeight="1" spans="2:10">
      <c r="B3425" s="25"/>
      <c r="C3425" s="25"/>
      <c r="D3425" s="26" t="str" cm="1">
        <f t="array" ref="D3425">IF(C3425="","",IFERROR(INDEX(STPP!$D$6:$D$4207,MATCH(C3425,STPP!$C$6:$C$4207,0)),"Not Found"))</f>
        <v/>
      </c>
      <c r="E3425" s="27" t="str" cm="1">
        <f t="array" ref="E3425">IF(C3425="","",IFERROR(INDEX(STPP!$E$6:$E$4207,MATCH(C3425,STPP!$C$6:$C$4207,0)),"Not Found"))</f>
        <v/>
      </c>
      <c r="F3425" s="27" t="str" cm="1">
        <f t="array" ref="F3425">IF(C3425="","",IFERROR(INDEX(STPP!$F$6:$F$4207,MATCH(C3425,STPP!$C$6:$C$4207,0)),"Not Found"))</f>
        <v/>
      </c>
      <c r="G3425" s="25" t="str">
        <f>IF(表1[[#This Row],[No Seri]]="","",表1[[#This Row],[Deskripsi Barang]]+表1[[#This Row],[Kuantitas]]-表1[[#This Row],[Satuan]])</f>
        <v/>
      </c>
      <c r="H3425" s="28"/>
      <c r="I3425" s="25" t="str">
        <f>IF(表1[[#This Row],[Tgl NPBG]]&gt;表1[[#This Row],[Peminta]],表1[[#This Row],[Tgl NPBG]]-表1[[#This Row],[Peminta]],"")</f>
        <v/>
      </c>
      <c r="J3425" s="31"/>
    </row>
    <row r="3426" s="12" customFormat="1" customHeight="1" spans="2:10">
      <c r="B3426" s="25"/>
      <c r="C3426" s="25"/>
      <c r="D3426" s="26" t="str" cm="1">
        <f t="array" ref="D3426">IF(C3426="","",IFERROR(INDEX(STPP!$D$6:$D$4207,MATCH(C3426,STPP!$C$6:$C$4207,0)),"Not Found"))</f>
        <v/>
      </c>
      <c r="E3426" s="27" t="str" cm="1">
        <f t="array" ref="E3426">IF(C3426="","",IFERROR(INDEX(STPP!$E$6:$E$4207,MATCH(C3426,STPP!$C$6:$C$4207,0)),"Not Found"))</f>
        <v/>
      </c>
      <c r="F3426" s="27" t="str" cm="1">
        <f t="array" ref="F3426">IF(C3426="","",IFERROR(INDEX(STPP!$F$6:$F$4207,MATCH(C3426,STPP!$C$6:$C$4207,0)),"Not Found"))</f>
        <v/>
      </c>
      <c r="G3426" s="25" t="str">
        <f>IF(表1[[#This Row],[No Seri]]="","",表1[[#This Row],[Deskripsi Barang]]+表1[[#This Row],[Kuantitas]]-表1[[#This Row],[Satuan]])</f>
        <v/>
      </c>
      <c r="H3426" s="28"/>
      <c r="I3426" s="25" t="str">
        <f>IF(表1[[#This Row],[Tgl NPBG]]&gt;表1[[#This Row],[Peminta]],表1[[#This Row],[Tgl NPBG]]-表1[[#This Row],[Peminta]],"")</f>
        <v/>
      </c>
      <c r="J3426" s="31"/>
    </row>
    <row r="3427" s="12" customFormat="1" customHeight="1" spans="2:10">
      <c r="B3427" s="25"/>
      <c r="C3427" s="25"/>
      <c r="D3427" s="26" t="str" cm="1">
        <f t="array" ref="D3427">IF(C3427="","",IFERROR(INDEX(STPP!$D$6:$D$4207,MATCH(C3427,STPP!$C$6:$C$4207,0)),"Not Found"))</f>
        <v/>
      </c>
      <c r="E3427" s="27" t="str" cm="1">
        <f t="array" ref="E3427">IF(C3427="","",IFERROR(INDEX(STPP!$E$6:$E$4207,MATCH(C3427,STPP!$C$6:$C$4207,0)),"Not Found"))</f>
        <v/>
      </c>
      <c r="F3427" s="27" t="str" cm="1">
        <f t="array" ref="F3427">IF(C3427="","",IFERROR(INDEX(STPP!$F$6:$F$4207,MATCH(C3427,STPP!$C$6:$C$4207,0)),"Not Found"))</f>
        <v/>
      </c>
      <c r="G3427" s="25" t="str">
        <f>IF(表1[[#This Row],[No Seri]]="","",表1[[#This Row],[Deskripsi Barang]]+表1[[#This Row],[Kuantitas]]-表1[[#This Row],[Satuan]])</f>
        <v/>
      </c>
      <c r="H3427" s="28"/>
      <c r="I3427" s="25" t="str">
        <f>IF(表1[[#This Row],[Tgl NPBG]]&gt;表1[[#This Row],[Peminta]],表1[[#This Row],[Tgl NPBG]]-表1[[#This Row],[Peminta]],"")</f>
        <v/>
      </c>
      <c r="J3427" s="31"/>
    </row>
    <row r="3428" s="12" customFormat="1" customHeight="1" spans="2:10">
      <c r="B3428" s="25"/>
      <c r="C3428" s="25"/>
      <c r="D3428" s="26" t="str" cm="1">
        <f t="array" ref="D3428">IF(C3428="","",IFERROR(INDEX(STPP!$D$6:$D$4207,MATCH(C3428,STPP!$C$6:$C$4207,0)),"Not Found"))</f>
        <v/>
      </c>
      <c r="E3428" s="27" t="str" cm="1">
        <f t="array" ref="E3428">IF(C3428="","",IFERROR(INDEX(STPP!$E$6:$E$4207,MATCH(C3428,STPP!$C$6:$C$4207,0)),"Not Found"))</f>
        <v/>
      </c>
      <c r="F3428" s="27" t="str" cm="1">
        <f t="array" ref="F3428">IF(C3428="","",IFERROR(INDEX(STPP!$F$6:$F$4207,MATCH(C3428,STPP!$C$6:$C$4207,0)),"Not Found"))</f>
        <v/>
      </c>
      <c r="G3428" s="25" t="str">
        <f>IF(表1[[#This Row],[No Seri]]="","",表1[[#This Row],[Deskripsi Barang]]+表1[[#This Row],[Kuantitas]]-表1[[#This Row],[Satuan]])</f>
        <v/>
      </c>
      <c r="H3428" s="28"/>
      <c r="I3428" s="25" t="str">
        <f>IF(表1[[#This Row],[Tgl NPBG]]&gt;表1[[#This Row],[Peminta]],表1[[#This Row],[Tgl NPBG]]-表1[[#This Row],[Peminta]],"")</f>
        <v/>
      </c>
      <c r="J3428" s="31"/>
    </row>
    <row r="3429" s="12" customFormat="1" customHeight="1" spans="2:10">
      <c r="B3429" s="25"/>
      <c r="C3429" s="25"/>
      <c r="D3429" s="26" t="str" cm="1">
        <f t="array" ref="D3429">IF(C3429="","",IFERROR(INDEX(STPP!$D$6:$D$4207,MATCH(C3429,STPP!$C$6:$C$4207,0)),"Not Found"))</f>
        <v/>
      </c>
      <c r="E3429" s="27" t="str" cm="1">
        <f t="array" ref="E3429">IF(C3429="","",IFERROR(INDEX(STPP!$E$6:$E$4207,MATCH(C3429,STPP!$C$6:$C$4207,0)),"Not Found"))</f>
        <v/>
      </c>
      <c r="F3429" s="27" t="str" cm="1">
        <f t="array" ref="F3429">IF(C3429="","",IFERROR(INDEX(STPP!$F$6:$F$4207,MATCH(C3429,STPP!$C$6:$C$4207,0)),"Not Found"))</f>
        <v/>
      </c>
      <c r="G3429" s="25" t="str">
        <f>IF(表1[[#This Row],[No Seri]]="","",表1[[#This Row],[Deskripsi Barang]]+表1[[#This Row],[Kuantitas]]-表1[[#This Row],[Satuan]])</f>
        <v/>
      </c>
      <c r="H3429" s="28"/>
      <c r="I3429" s="25" t="str">
        <f>IF(表1[[#This Row],[Tgl NPBG]]&gt;表1[[#This Row],[Peminta]],表1[[#This Row],[Tgl NPBG]]-表1[[#This Row],[Peminta]],"")</f>
        <v/>
      </c>
      <c r="J3429" s="31"/>
    </row>
    <row r="3430" s="12" customFormat="1" customHeight="1" spans="2:10">
      <c r="B3430" s="25"/>
      <c r="C3430" s="25"/>
      <c r="D3430" s="26" t="str" cm="1">
        <f t="array" ref="D3430">IF(C3430="","",IFERROR(INDEX(STPP!$D$6:$D$4207,MATCH(C3430,STPP!$C$6:$C$4207,0)),"Not Found"))</f>
        <v/>
      </c>
      <c r="E3430" s="27" t="str" cm="1">
        <f t="array" ref="E3430">IF(C3430="","",IFERROR(INDEX(STPP!$E$6:$E$4207,MATCH(C3430,STPP!$C$6:$C$4207,0)),"Not Found"))</f>
        <v/>
      </c>
      <c r="F3430" s="27" t="str" cm="1">
        <f t="array" ref="F3430">IF(C3430="","",IFERROR(INDEX(STPP!$F$6:$F$4207,MATCH(C3430,STPP!$C$6:$C$4207,0)),"Not Found"))</f>
        <v/>
      </c>
      <c r="G3430" s="25" t="str">
        <f>IF(表1[[#This Row],[No Seri]]="","",表1[[#This Row],[Deskripsi Barang]]+表1[[#This Row],[Kuantitas]]-表1[[#This Row],[Satuan]])</f>
        <v/>
      </c>
      <c r="H3430" s="28"/>
      <c r="I3430" s="25" t="str">
        <f>IF(表1[[#This Row],[Tgl NPBG]]&gt;表1[[#This Row],[Peminta]],表1[[#This Row],[Tgl NPBG]]-表1[[#This Row],[Peminta]],"")</f>
        <v/>
      </c>
      <c r="J3430" s="31"/>
    </row>
    <row r="3431" s="12" customFormat="1" customHeight="1" spans="2:10">
      <c r="B3431" s="25"/>
      <c r="C3431" s="25"/>
      <c r="D3431" s="26" t="str" cm="1">
        <f t="array" ref="D3431">IF(C3431="","",IFERROR(INDEX(STPP!$D$6:$D$4207,MATCH(C3431,STPP!$C$6:$C$4207,0)),"Not Found"))</f>
        <v/>
      </c>
      <c r="E3431" s="27" t="str" cm="1">
        <f t="array" ref="E3431">IF(C3431="","",IFERROR(INDEX(STPP!$E$6:$E$4207,MATCH(C3431,STPP!$C$6:$C$4207,0)),"Not Found"))</f>
        <v/>
      </c>
      <c r="F3431" s="27" t="str" cm="1">
        <f t="array" ref="F3431">IF(C3431="","",IFERROR(INDEX(STPP!$F$6:$F$4207,MATCH(C3431,STPP!$C$6:$C$4207,0)),"Not Found"))</f>
        <v/>
      </c>
      <c r="G3431" s="25" t="str">
        <f>IF(表1[[#This Row],[No Seri]]="","",表1[[#This Row],[Deskripsi Barang]]+表1[[#This Row],[Kuantitas]]-表1[[#This Row],[Satuan]])</f>
        <v/>
      </c>
      <c r="H3431" s="28"/>
      <c r="I3431" s="25" t="str">
        <f>IF(表1[[#This Row],[Tgl NPBG]]&gt;表1[[#This Row],[Peminta]],表1[[#This Row],[Tgl NPBG]]-表1[[#This Row],[Peminta]],"")</f>
        <v/>
      </c>
      <c r="J3431" s="31"/>
    </row>
    <row r="3432" s="12" customFormat="1" customHeight="1" spans="2:10">
      <c r="B3432" s="25"/>
      <c r="C3432" s="25"/>
      <c r="D3432" s="26" t="str" cm="1">
        <f t="array" ref="D3432">IF(C3432="","",IFERROR(INDEX(STPP!$D$6:$D$4207,MATCH(C3432,STPP!$C$6:$C$4207,0)),"Not Found"))</f>
        <v/>
      </c>
      <c r="E3432" s="27" t="str" cm="1">
        <f t="array" ref="E3432">IF(C3432="","",IFERROR(INDEX(STPP!$E$6:$E$4207,MATCH(C3432,STPP!$C$6:$C$4207,0)),"Not Found"))</f>
        <v/>
      </c>
      <c r="F3432" s="27" t="str" cm="1">
        <f t="array" ref="F3432">IF(C3432="","",IFERROR(INDEX(STPP!$F$6:$F$4207,MATCH(C3432,STPP!$C$6:$C$4207,0)),"Not Found"))</f>
        <v/>
      </c>
      <c r="G3432" s="25" t="str">
        <f>IF(表1[[#This Row],[No Seri]]="","",表1[[#This Row],[Deskripsi Barang]]+表1[[#This Row],[Kuantitas]]-表1[[#This Row],[Satuan]])</f>
        <v/>
      </c>
      <c r="H3432" s="28"/>
      <c r="I3432" s="25" t="str">
        <f>IF(表1[[#This Row],[Tgl NPBG]]&gt;表1[[#This Row],[Peminta]],表1[[#This Row],[Tgl NPBG]]-表1[[#This Row],[Peminta]],"")</f>
        <v/>
      </c>
      <c r="J3432" s="31"/>
    </row>
    <row r="3433" s="12" customFormat="1" customHeight="1" spans="2:10">
      <c r="B3433" s="25"/>
      <c r="C3433" s="25"/>
      <c r="D3433" s="26" t="str" cm="1">
        <f t="array" ref="D3433">IF(C3433="","",IFERROR(INDEX(STPP!$D$6:$D$4207,MATCH(C3433,STPP!$C$6:$C$4207,0)),"Not Found"))</f>
        <v/>
      </c>
      <c r="E3433" s="27" t="str" cm="1">
        <f t="array" ref="E3433">IF(C3433="","",IFERROR(INDEX(STPP!$E$6:$E$4207,MATCH(C3433,STPP!$C$6:$C$4207,0)),"Not Found"))</f>
        <v/>
      </c>
      <c r="F3433" s="27" t="str" cm="1">
        <f t="array" ref="F3433">IF(C3433="","",IFERROR(INDEX(STPP!$F$6:$F$4207,MATCH(C3433,STPP!$C$6:$C$4207,0)),"Not Found"))</f>
        <v/>
      </c>
      <c r="G3433" s="25" t="str">
        <f>IF(表1[[#This Row],[No Seri]]="","",表1[[#This Row],[Deskripsi Barang]]+表1[[#This Row],[Kuantitas]]-表1[[#This Row],[Satuan]])</f>
        <v/>
      </c>
      <c r="H3433" s="28"/>
      <c r="I3433" s="25" t="str">
        <f>IF(表1[[#This Row],[Tgl NPBG]]&gt;表1[[#This Row],[Peminta]],表1[[#This Row],[Tgl NPBG]]-表1[[#This Row],[Peminta]],"")</f>
        <v/>
      </c>
      <c r="J3433" s="31"/>
    </row>
    <row r="3434" s="12" customFormat="1" customHeight="1" spans="2:10">
      <c r="B3434" s="25"/>
      <c r="C3434" s="25"/>
      <c r="D3434" s="26" t="str" cm="1">
        <f t="array" ref="D3434">IF(C3434="","",IFERROR(INDEX(STPP!$D$6:$D$4207,MATCH(C3434,STPP!$C$6:$C$4207,0)),"Not Found"))</f>
        <v/>
      </c>
      <c r="E3434" s="27" t="str" cm="1">
        <f t="array" ref="E3434">IF(C3434="","",IFERROR(INDEX(STPP!$E$6:$E$4207,MATCH(C3434,STPP!$C$6:$C$4207,0)),"Not Found"))</f>
        <v/>
      </c>
      <c r="F3434" s="27" t="str" cm="1">
        <f t="array" ref="F3434">IF(C3434="","",IFERROR(INDEX(STPP!$F$6:$F$4207,MATCH(C3434,STPP!$C$6:$C$4207,0)),"Not Found"))</f>
        <v/>
      </c>
      <c r="G3434" s="25" t="str">
        <f>IF(表1[[#This Row],[No Seri]]="","",表1[[#This Row],[Deskripsi Barang]]+表1[[#This Row],[Kuantitas]]-表1[[#This Row],[Satuan]])</f>
        <v/>
      </c>
      <c r="H3434" s="28"/>
      <c r="I3434" s="25" t="str">
        <f>IF(表1[[#This Row],[Tgl NPBG]]&gt;表1[[#This Row],[Peminta]],表1[[#This Row],[Tgl NPBG]]-表1[[#This Row],[Peminta]],"")</f>
        <v/>
      </c>
      <c r="J3434" s="31"/>
    </row>
    <row r="3435" s="12" customFormat="1" customHeight="1" spans="2:10">
      <c r="B3435" s="25"/>
      <c r="C3435" s="25"/>
      <c r="D3435" s="26" t="str" cm="1">
        <f t="array" ref="D3435">IF(C3435="","",IFERROR(INDEX(STPP!$D$6:$D$4207,MATCH(C3435,STPP!$C$6:$C$4207,0)),"Not Found"))</f>
        <v/>
      </c>
      <c r="E3435" s="27" t="str" cm="1">
        <f t="array" ref="E3435">IF(C3435="","",IFERROR(INDEX(STPP!$E$6:$E$4207,MATCH(C3435,STPP!$C$6:$C$4207,0)),"Not Found"))</f>
        <v/>
      </c>
      <c r="F3435" s="27" t="str" cm="1">
        <f t="array" ref="F3435">IF(C3435="","",IFERROR(INDEX(STPP!$F$6:$F$4207,MATCH(C3435,STPP!$C$6:$C$4207,0)),"Not Found"))</f>
        <v/>
      </c>
      <c r="G3435" s="25" t="str">
        <f>IF(表1[[#This Row],[No Seri]]="","",表1[[#This Row],[Deskripsi Barang]]+表1[[#This Row],[Kuantitas]]-表1[[#This Row],[Satuan]])</f>
        <v/>
      </c>
      <c r="H3435" s="28"/>
      <c r="I3435" s="25" t="str">
        <f>IF(表1[[#This Row],[Tgl NPBG]]&gt;表1[[#This Row],[Peminta]],表1[[#This Row],[Tgl NPBG]]-表1[[#This Row],[Peminta]],"")</f>
        <v/>
      </c>
      <c r="J3435" s="31"/>
    </row>
    <row r="3436" s="12" customFormat="1" customHeight="1" spans="2:10">
      <c r="B3436" s="25"/>
      <c r="C3436" s="25"/>
      <c r="D3436" s="26" t="str" cm="1">
        <f t="array" ref="D3436">IF(C3436="","",IFERROR(INDEX(STPP!$D$6:$D$4207,MATCH(C3436,STPP!$C$6:$C$4207,0)),"Not Found"))</f>
        <v/>
      </c>
      <c r="E3436" s="27" t="str" cm="1">
        <f t="array" ref="E3436">IF(C3436="","",IFERROR(INDEX(STPP!$E$6:$E$4207,MATCH(C3436,STPP!$C$6:$C$4207,0)),"Not Found"))</f>
        <v/>
      </c>
      <c r="F3436" s="27" t="str" cm="1">
        <f t="array" ref="F3436">IF(C3436="","",IFERROR(INDEX(STPP!$F$6:$F$4207,MATCH(C3436,STPP!$C$6:$C$4207,0)),"Not Found"))</f>
        <v/>
      </c>
      <c r="G3436" s="25" t="str">
        <f>IF(表1[[#This Row],[No Seri]]="","",表1[[#This Row],[Deskripsi Barang]]+表1[[#This Row],[Kuantitas]]-表1[[#This Row],[Satuan]])</f>
        <v/>
      </c>
      <c r="H3436" s="28"/>
      <c r="I3436" s="25" t="str">
        <f>IF(表1[[#This Row],[Tgl NPBG]]&gt;表1[[#This Row],[Peminta]],表1[[#This Row],[Tgl NPBG]]-表1[[#This Row],[Peminta]],"")</f>
        <v/>
      </c>
      <c r="J3436" s="31"/>
    </row>
    <row r="3437" s="12" customFormat="1" customHeight="1" spans="2:10">
      <c r="B3437" s="25"/>
      <c r="C3437" s="25"/>
      <c r="D3437" s="26" t="str" cm="1">
        <f t="array" ref="D3437">IF(C3437="","",IFERROR(INDEX(STPP!$D$6:$D$4207,MATCH(C3437,STPP!$C$6:$C$4207,0)),"Not Found"))</f>
        <v/>
      </c>
      <c r="E3437" s="27" t="str" cm="1">
        <f t="array" ref="E3437">IF(C3437="","",IFERROR(INDEX(STPP!$E$6:$E$4207,MATCH(C3437,STPP!$C$6:$C$4207,0)),"Not Found"))</f>
        <v/>
      </c>
      <c r="F3437" s="27" t="str" cm="1">
        <f t="array" ref="F3437">IF(C3437="","",IFERROR(INDEX(STPP!$F$6:$F$4207,MATCH(C3437,STPP!$C$6:$C$4207,0)),"Not Found"))</f>
        <v/>
      </c>
      <c r="G3437" s="25" t="str">
        <f>IF(表1[[#This Row],[No Seri]]="","",表1[[#This Row],[Deskripsi Barang]]+表1[[#This Row],[Kuantitas]]-表1[[#This Row],[Satuan]])</f>
        <v/>
      </c>
      <c r="H3437" s="28"/>
      <c r="I3437" s="25" t="str">
        <f>IF(表1[[#This Row],[Tgl NPBG]]&gt;表1[[#This Row],[Peminta]],表1[[#This Row],[Tgl NPBG]]-表1[[#This Row],[Peminta]],"")</f>
        <v/>
      </c>
      <c r="J3437" s="31"/>
    </row>
    <row r="3438" s="12" customFormat="1" customHeight="1" spans="2:10">
      <c r="B3438" s="25"/>
      <c r="C3438" s="25"/>
      <c r="D3438" s="26" t="str" cm="1">
        <f t="array" ref="D3438">IF(C3438="","",IFERROR(INDEX(STPP!$D$6:$D$4207,MATCH(C3438,STPP!$C$6:$C$4207,0)),"Not Found"))</f>
        <v/>
      </c>
      <c r="E3438" s="27" t="str" cm="1">
        <f t="array" ref="E3438">IF(C3438="","",IFERROR(INDEX(STPP!$E$6:$E$4207,MATCH(C3438,STPP!$C$6:$C$4207,0)),"Not Found"))</f>
        <v/>
      </c>
      <c r="F3438" s="27" t="str" cm="1">
        <f t="array" ref="F3438">IF(C3438="","",IFERROR(INDEX(STPP!$F$6:$F$4207,MATCH(C3438,STPP!$C$6:$C$4207,0)),"Not Found"))</f>
        <v/>
      </c>
      <c r="G3438" s="25" t="str">
        <f>IF(表1[[#This Row],[No Seri]]="","",表1[[#This Row],[Deskripsi Barang]]+表1[[#This Row],[Kuantitas]]-表1[[#This Row],[Satuan]])</f>
        <v/>
      </c>
      <c r="H3438" s="28"/>
      <c r="I3438" s="25" t="str">
        <f>IF(表1[[#This Row],[Tgl NPBG]]&gt;表1[[#This Row],[Peminta]],表1[[#This Row],[Tgl NPBG]]-表1[[#This Row],[Peminta]],"")</f>
        <v/>
      </c>
      <c r="J3438" s="31"/>
    </row>
    <row r="3439" s="12" customFormat="1" customHeight="1" spans="2:10">
      <c r="B3439" s="25"/>
      <c r="C3439" s="25"/>
      <c r="D3439" s="26" t="str" cm="1">
        <f t="array" ref="D3439">IF(C3439="","",IFERROR(INDEX(STPP!$D$6:$D$4207,MATCH(C3439,STPP!$C$6:$C$4207,0)),"Not Found"))</f>
        <v/>
      </c>
      <c r="E3439" s="27" t="str" cm="1">
        <f t="array" ref="E3439">IF(C3439="","",IFERROR(INDEX(STPP!$E$6:$E$4207,MATCH(C3439,STPP!$C$6:$C$4207,0)),"Not Found"))</f>
        <v/>
      </c>
      <c r="F3439" s="27" t="str" cm="1">
        <f t="array" ref="F3439">IF(C3439="","",IFERROR(INDEX(STPP!$F$6:$F$4207,MATCH(C3439,STPP!$C$6:$C$4207,0)),"Not Found"))</f>
        <v/>
      </c>
      <c r="G3439" s="25" t="str">
        <f>IF(表1[[#This Row],[No Seri]]="","",表1[[#This Row],[Deskripsi Barang]]+表1[[#This Row],[Kuantitas]]-表1[[#This Row],[Satuan]])</f>
        <v/>
      </c>
      <c r="H3439" s="28"/>
      <c r="I3439" s="25" t="str">
        <f>IF(表1[[#This Row],[Tgl NPBG]]&gt;表1[[#This Row],[Peminta]],表1[[#This Row],[Tgl NPBG]]-表1[[#This Row],[Peminta]],"")</f>
        <v/>
      </c>
      <c r="J3439" s="31"/>
    </row>
    <row r="3440" s="12" customFormat="1" customHeight="1" spans="2:10">
      <c r="B3440" s="25"/>
      <c r="C3440" s="25"/>
      <c r="D3440" s="26" t="str" cm="1">
        <f t="array" ref="D3440">IF(C3440="","",IFERROR(INDEX(STPP!$D$6:$D$4207,MATCH(C3440,STPP!$C$6:$C$4207,0)),"Not Found"))</f>
        <v/>
      </c>
      <c r="E3440" s="27" t="str" cm="1">
        <f t="array" ref="E3440">IF(C3440="","",IFERROR(INDEX(STPP!$E$6:$E$4207,MATCH(C3440,STPP!$C$6:$C$4207,0)),"Not Found"))</f>
        <v/>
      </c>
      <c r="F3440" s="27" t="str" cm="1">
        <f t="array" ref="F3440">IF(C3440="","",IFERROR(INDEX(STPP!$F$6:$F$4207,MATCH(C3440,STPP!$C$6:$C$4207,0)),"Not Found"))</f>
        <v/>
      </c>
      <c r="G3440" s="25" t="str">
        <f>IF(表1[[#This Row],[No Seri]]="","",表1[[#This Row],[Deskripsi Barang]]+表1[[#This Row],[Kuantitas]]-表1[[#This Row],[Satuan]])</f>
        <v/>
      </c>
      <c r="H3440" s="28"/>
      <c r="I3440" s="25" t="str">
        <f>IF(表1[[#This Row],[Tgl NPBG]]&gt;表1[[#This Row],[Peminta]],表1[[#This Row],[Tgl NPBG]]-表1[[#This Row],[Peminta]],"")</f>
        <v/>
      </c>
      <c r="J3440" s="31"/>
    </row>
    <row r="3441" s="12" customFormat="1" customHeight="1" spans="2:10">
      <c r="B3441" s="25"/>
      <c r="C3441" s="25"/>
      <c r="D3441" s="26" t="str" cm="1">
        <f t="array" ref="D3441">IF(C3441="","",IFERROR(INDEX(STPP!$D$6:$D$4207,MATCH(C3441,STPP!$C$6:$C$4207,0)),"Not Found"))</f>
        <v/>
      </c>
      <c r="E3441" s="27" t="str" cm="1">
        <f t="array" ref="E3441">IF(C3441="","",IFERROR(INDEX(STPP!$E$6:$E$4207,MATCH(C3441,STPP!$C$6:$C$4207,0)),"Not Found"))</f>
        <v/>
      </c>
      <c r="F3441" s="27" t="str" cm="1">
        <f t="array" ref="F3441">IF(C3441="","",IFERROR(INDEX(STPP!$F$6:$F$4207,MATCH(C3441,STPP!$C$6:$C$4207,0)),"Not Found"))</f>
        <v/>
      </c>
      <c r="G3441" s="25" t="str">
        <f>IF(表1[[#This Row],[No Seri]]="","",表1[[#This Row],[Deskripsi Barang]]+表1[[#This Row],[Kuantitas]]-表1[[#This Row],[Satuan]])</f>
        <v/>
      </c>
      <c r="H3441" s="28"/>
      <c r="I3441" s="25" t="str">
        <f>IF(表1[[#This Row],[Tgl NPBG]]&gt;表1[[#This Row],[Peminta]],表1[[#This Row],[Tgl NPBG]]-表1[[#This Row],[Peminta]],"")</f>
        <v/>
      </c>
      <c r="J3441" s="31"/>
    </row>
    <row r="3442" s="12" customFormat="1" customHeight="1" spans="2:10">
      <c r="B3442" s="25"/>
      <c r="C3442" s="25"/>
      <c r="D3442" s="26" t="str" cm="1">
        <f t="array" ref="D3442">IF(C3442="","",IFERROR(INDEX(STPP!$D$6:$D$4207,MATCH(C3442,STPP!$C$6:$C$4207,0)),"Not Found"))</f>
        <v/>
      </c>
      <c r="E3442" s="27" t="str" cm="1">
        <f t="array" ref="E3442">IF(C3442="","",IFERROR(INDEX(STPP!$E$6:$E$4207,MATCH(C3442,STPP!$C$6:$C$4207,0)),"Not Found"))</f>
        <v/>
      </c>
      <c r="F3442" s="27" t="str" cm="1">
        <f t="array" ref="F3442">IF(C3442="","",IFERROR(INDEX(STPP!$F$6:$F$4207,MATCH(C3442,STPP!$C$6:$C$4207,0)),"Not Found"))</f>
        <v/>
      </c>
      <c r="G3442" s="25" t="str">
        <f>IF(表1[[#This Row],[No Seri]]="","",表1[[#This Row],[Deskripsi Barang]]+表1[[#This Row],[Kuantitas]]-表1[[#This Row],[Satuan]])</f>
        <v/>
      </c>
      <c r="H3442" s="28"/>
      <c r="I3442" s="25" t="str">
        <f>IF(表1[[#This Row],[Tgl NPBG]]&gt;表1[[#This Row],[Peminta]],表1[[#This Row],[Tgl NPBG]]-表1[[#This Row],[Peminta]],"")</f>
        <v/>
      </c>
      <c r="J3442" s="31"/>
    </row>
    <row r="3443" s="12" customFormat="1" customHeight="1" spans="2:10">
      <c r="B3443" s="25"/>
      <c r="C3443" s="25"/>
      <c r="D3443" s="26" t="str" cm="1">
        <f t="array" ref="D3443">IF(C3443="","",IFERROR(INDEX(STPP!$D$6:$D$4207,MATCH(C3443,STPP!$C$6:$C$4207,0)),"Not Found"))</f>
        <v/>
      </c>
      <c r="E3443" s="27" t="str" cm="1">
        <f t="array" ref="E3443">IF(C3443="","",IFERROR(INDEX(STPP!$E$6:$E$4207,MATCH(C3443,STPP!$C$6:$C$4207,0)),"Not Found"))</f>
        <v/>
      </c>
      <c r="F3443" s="27" t="str" cm="1">
        <f t="array" ref="F3443">IF(C3443="","",IFERROR(INDEX(STPP!$F$6:$F$4207,MATCH(C3443,STPP!$C$6:$C$4207,0)),"Not Found"))</f>
        <v/>
      </c>
      <c r="G3443" s="25" t="str">
        <f>IF(表1[[#This Row],[No Seri]]="","",表1[[#This Row],[Deskripsi Barang]]+表1[[#This Row],[Kuantitas]]-表1[[#This Row],[Satuan]])</f>
        <v/>
      </c>
      <c r="H3443" s="28"/>
      <c r="I3443" s="25" t="str">
        <f>IF(表1[[#This Row],[Tgl NPBG]]&gt;表1[[#This Row],[Peminta]],表1[[#This Row],[Tgl NPBG]]-表1[[#This Row],[Peminta]],"")</f>
        <v/>
      </c>
      <c r="J3443" s="31"/>
    </row>
    <row r="3444" s="12" customFormat="1" customHeight="1" spans="2:10">
      <c r="B3444" s="25"/>
      <c r="C3444" s="25"/>
      <c r="D3444" s="26" t="str" cm="1">
        <f t="array" ref="D3444">IF(C3444="","",IFERROR(INDEX(STPP!$D$6:$D$4207,MATCH(C3444,STPP!$C$6:$C$4207,0)),"Not Found"))</f>
        <v/>
      </c>
      <c r="E3444" s="27" t="str" cm="1">
        <f t="array" ref="E3444">IF(C3444="","",IFERROR(INDEX(STPP!$E$6:$E$4207,MATCH(C3444,STPP!$C$6:$C$4207,0)),"Not Found"))</f>
        <v/>
      </c>
      <c r="F3444" s="27" t="str" cm="1">
        <f t="array" ref="F3444">IF(C3444="","",IFERROR(INDEX(STPP!$F$6:$F$4207,MATCH(C3444,STPP!$C$6:$C$4207,0)),"Not Found"))</f>
        <v/>
      </c>
      <c r="G3444" s="25" t="str">
        <f>IF(表1[[#This Row],[No Seri]]="","",表1[[#This Row],[Deskripsi Barang]]+表1[[#This Row],[Kuantitas]]-表1[[#This Row],[Satuan]])</f>
        <v/>
      </c>
      <c r="H3444" s="28"/>
      <c r="I3444" s="25" t="str">
        <f>IF(表1[[#This Row],[Tgl NPBG]]&gt;表1[[#This Row],[Peminta]],表1[[#This Row],[Tgl NPBG]]-表1[[#This Row],[Peminta]],"")</f>
        <v/>
      </c>
      <c r="J3444" s="31"/>
    </row>
    <row r="3445" s="12" customFormat="1" customHeight="1" spans="2:10">
      <c r="B3445" s="25"/>
      <c r="C3445" s="25"/>
      <c r="D3445" s="26" t="str" cm="1">
        <f t="array" ref="D3445">IF(C3445="","",IFERROR(INDEX(STPP!$D$6:$D$4207,MATCH(C3445,STPP!$C$6:$C$4207,0)),"Not Found"))</f>
        <v/>
      </c>
      <c r="E3445" s="27" t="str" cm="1">
        <f t="array" ref="E3445">IF(C3445="","",IFERROR(INDEX(STPP!$E$6:$E$4207,MATCH(C3445,STPP!$C$6:$C$4207,0)),"Not Found"))</f>
        <v/>
      </c>
      <c r="F3445" s="27" t="str" cm="1">
        <f t="array" ref="F3445">IF(C3445="","",IFERROR(INDEX(STPP!$F$6:$F$4207,MATCH(C3445,STPP!$C$6:$C$4207,0)),"Not Found"))</f>
        <v/>
      </c>
      <c r="G3445" s="25" t="str">
        <f>IF(表1[[#This Row],[No Seri]]="","",表1[[#This Row],[Deskripsi Barang]]+表1[[#This Row],[Kuantitas]]-表1[[#This Row],[Satuan]])</f>
        <v/>
      </c>
      <c r="H3445" s="28"/>
      <c r="I3445" s="25" t="str">
        <f>IF(表1[[#This Row],[Tgl NPBG]]&gt;表1[[#This Row],[Peminta]],表1[[#This Row],[Tgl NPBG]]-表1[[#This Row],[Peminta]],"")</f>
        <v/>
      </c>
      <c r="J3445" s="31"/>
    </row>
    <row r="3446" s="12" customFormat="1" customHeight="1" spans="2:10">
      <c r="B3446" s="25"/>
      <c r="C3446" s="25"/>
      <c r="D3446" s="26" t="str" cm="1">
        <f t="array" ref="D3446">IF(C3446="","",IFERROR(INDEX(STPP!$D$6:$D$4207,MATCH(C3446,STPP!$C$6:$C$4207,0)),"Not Found"))</f>
        <v/>
      </c>
      <c r="E3446" s="27" t="str" cm="1">
        <f t="array" ref="E3446">IF(C3446="","",IFERROR(INDEX(STPP!$E$6:$E$4207,MATCH(C3446,STPP!$C$6:$C$4207,0)),"Not Found"))</f>
        <v/>
      </c>
      <c r="F3446" s="27" t="str" cm="1">
        <f t="array" ref="F3446">IF(C3446="","",IFERROR(INDEX(STPP!$F$6:$F$4207,MATCH(C3446,STPP!$C$6:$C$4207,0)),"Not Found"))</f>
        <v/>
      </c>
      <c r="G3446" s="25" t="str">
        <f>IF(表1[[#This Row],[No Seri]]="","",表1[[#This Row],[Deskripsi Barang]]+表1[[#This Row],[Kuantitas]]-表1[[#This Row],[Satuan]])</f>
        <v/>
      </c>
      <c r="H3446" s="28"/>
      <c r="I3446" s="25" t="str">
        <f>IF(表1[[#This Row],[Tgl NPBG]]&gt;表1[[#This Row],[Peminta]],表1[[#This Row],[Tgl NPBG]]-表1[[#This Row],[Peminta]],"")</f>
        <v/>
      </c>
      <c r="J3446" s="31"/>
    </row>
    <row r="3447" s="12" customFormat="1" customHeight="1" spans="2:10">
      <c r="B3447" s="25"/>
      <c r="C3447" s="25"/>
      <c r="D3447" s="26" t="str" cm="1">
        <f t="array" ref="D3447">IF(C3447="","",IFERROR(INDEX(STPP!$D$6:$D$4207,MATCH(C3447,STPP!$C$6:$C$4207,0)),"Not Found"))</f>
        <v/>
      </c>
      <c r="E3447" s="27" t="str" cm="1">
        <f t="array" ref="E3447">IF(C3447="","",IFERROR(INDEX(STPP!$E$6:$E$4207,MATCH(C3447,STPP!$C$6:$C$4207,0)),"Not Found"))</f>
        <v/>
      </c>
      <c r="F3447" s="27" t="str" cm="1">
        <f t="array" ref="F3447">IF(C3447="","",IFERROR(INDEX(STPP!$F$6:$F$4207,MATCH(C3447,STPP!$C$6:$C$4207,0)),"Not Found"))</f>
        <v/>
      </c>
      <c r="G3447" s="25" t="str">
        <f>IF(表1[[#This Row],[No Seri]]="","",表1[[#This Row],[Deskripsi Barang]]+表1[[#This Row],[Kuantitas]]-表1[[#This Row],[Satuan]])</f>
        <v/>
      </c>
      <c r="H3447" s="28"/>
      <c r="I3447" s="25" t="str">
        <f>IF(表1[[#This Row],[Tgl NPBG]]&gt;表1[[#This Row],[Peminta]],表1[[#This Row],[Tgl NPBG]]-表1[[#This Row],[Peminta]],"")</f>
        <v/>
      </c>
      <c r="J3447" s="31"/>
    </row>
    <row r="3448" s="12" customFormat="1" customHeight="1" spans="2:10">
      <c r="B3448" s="25"/>
      <c r="C3448" s="25"/>
      <c r="D3448" s="26" t="str" cm="1">
        <f t="array" ref="D3448">IF(C3448="","",IFERROR(INDEX(STPP!$D$6:$D$4207,MATCH(C3448,STPP!$C$6:$C$4207,0)),"Not Found"))</f>
        <v/>
      </c>
      <c r="E3448" s="27" t="str" cm="1">
        <f t="array" ref="E3448">IF(C3448="","",IFERROR(INDEX(STPP!$E$6:$E$4207,MATCH(C3448,STPP!$C$6:$C$4207,0)),"Not Found"))</f>
        <v/>
      </c>
      <c r="F3448" s="27" t="str" cm="1">
        <f t="array" ref="F3448">IF(C3448="","",IFERROR(INDEX(STPP!$F$6:$F$4207,MATCH(C3448,STPP!$C$6:$C$4207,0)),"Not Found"))</f>
        <v/>
      </c>
      <c r="G3448" s="25" t="str">
        <f>IF(表1[[#This Row],[No Seri]]="","",表1[[#This Row],[Deskripsi Barang]]+表1[[#This Row],[Kuantitas]]-表1[[#This Row],[Satuan]])</f>
        <v/>
      </c>
      <c r="H3448" s="28"/>
      <c r="I3448" s="25" t="str">
        <f>IF(表1[[#This Row],[Tgl NPBG]]&gt;表1[[#This Row],[Peminta]],表1[[#This Row],[Tgl NPBG]]-表1[[#This Row],[Peminta]],"")</f>
        <v/>
      </c>
      <c r="J3448" s="31"/>
    </row>
    <row r="3449" s="12" customFormat="1" customHeight="1" spans="2:10">
      <c r="B3449" s="25"/>
      <c r="C3449" s="25"/>
      <c r="D3449" s="26" t="str" cm="1">
        <f t="array" ref="D3449">IF(C3449="","",IFERROR(INDEX(STPP!$D$6:$D$4207,MATCH(C3449,STPP!$C$6:$C$4207,0)),"Not Found"))</f>
        <v/>
      </c>
      <c r="E3449" s="27" t="str" cm="1">
        <f t="array" ref="E3449">IF(C3449="","",IFERROR(INDEX(STPP!$E$6:$E$4207,MATCH(C3449,STPP!$C$6:$C$4207,0)),"Not Found"))</f>
        <v/>
      </c>
      <c r="F3449" s="27" t="str" cm="1">
        <f t="array" ref="F3449">IF(C3449="","",IFERROR(INDEX(STPP!$F$6:$F$4207,MATCH(C3449,STPP!$C$6:$C$4207,0)),"Not Found"))</f>
        <v/>
      </c>
      <c r="G3449" s="25" t="str">
        <f>IF(表1[[#This Row],[No Seri]]="","",表1[[#This Row],[Deskripsi Barang]]+表1[[#This Row],[Kuantitas]]-表1[[#This Row],[Satuan]])</f>
        <v/>
      </c>
      <c r="H3449" s="28"/>
      <c r="I3449" s="25" t="str">
        <f>IF(表1[[#This Row],[Tgl NPBG]]&gt;表1[[#This Row],[Peminta]],表1[[#This Row],[Tgl NPBG]]-表1[[#This Row],[Peminta]],"")</f>
        <v/>
      </c>
      <c r="J3449" s="31"/>
    </row>
    <row r="3450" s="12" customFormat="1" customHeight="1" spans="2:10">
      <c r="B3450" s="25"/>
      <c r="C3450" s="25"/>
      <c r="D3450" s="26" t="str" cm="1">
        <f t="array" ref="D3450">IF(C3450="","",IFERROR(INDEX(STPP!$D$6:$D$4207,MATCH(C3450,STPP!$C$6:$C$4207,0)),"Not Found"))</f>
        <v/>
      </c>
      <c r="E3450" s="27" t="str" cm="1">
        <f t="array" ref="E3450">IF(C3450="","",IFERROR(INDEX(STPP!$E$6:$E$4207,MATCH(C3450,STPP!$C$6:$C$4207,0)),"Not Found"))</f>
        <v/>
      </c>
      <c r="F3450" s="27" t="str" cm="1">
        <f t="array" ref="F3450">IF(C3450="","",IFERROR(INDEX(STPP!$F$6:$F$4207,MATCH(C3450,STPP!$C$6:$C$4207,0)),"Not Found"))</f>
        <v/>
      </c>
      <c r="G3450" s="25" t="str">
        <f>IF(表1[[#This Row],[No Seri]]="","",表1[[#This Row],[Deskripsi Barang]]+表1[[#This Row],[Kuantitas]]-表1[[#This Row],[Satuan]])</f>
        <v/>
      </c>
      <c r="H3450" s="28"/>
      <c r="I3450" s="25" t="str">
        <f>IF(表1[[#This Row],[Tgl NPBG]]&gt;表1[[#This Row],[Peminta]],表1[[#This Row],[Tgl NPBG]]-表1[[#This Row],[Peminta]],"")</f>
        <v/>
      </c>
      <c r="J3450" s="31"/>
    </row>
    <row r="3451" s="12" customFormat="1" customHeight="1" spans="2:10">
      <c r="B3451" s="25"/>
      <c r="C3451" s="25"/>
      <c r="D3451" s="26" t="str" cm="1">
        <f t="array" ref="D3451">IF(C3451="","",IFERROR(INDEX(STPP!$D$6:$D$4207,MATCH(C3451,STPP!$C$6:$C$4207,0)),"Not Found"))</f>
        <v/>
      </c>
      <c r="E3451" s="27" t="str" cm="1">
        <f t="array" ref="E3451">IF(C3451="","",IFERROR(INDEX(STPP!$E$6:$E$4207,MATCH(C3451,STPP!$C$6:$C$4207,0)),"Not Found"))</f>
        <v/>
      </c>
      <c r="F3451" s="27" t="str" cm="1">
        <f t="array" ref="F3451">IF(C3451="","",IFERROR(INDEX(STPP!$F$6:$F$4207,MATCH(C3451,STPP!$C$6:$C$4207,0)),"Not Found"))</f>
        <v/>
      </c>
      <c r="G3451" s="25" t="str">
        <f>IF(表1[[#This Row],[No Seri]]="","",表1[[#This Row],[Deskripsi Barang]]+表1[[#This Row],[Kuantitas]]-表1[[#This Row],[Satuan]])</f>
        <v/>
      </c>
      <c r="H3451" s="28"/>
      <c r="I3451" s="25" t="str">
        <f>IF(表1[[#This Row],[Tgl NPBG]]&gt;表1[[#This Row],[Peminta]],表1[[#This Row],[Tgl NPBG]]-表1[[#This Row],[Peminta]],"")</f>
        <v/>
      </c>
      <c r="J3451" s="31"/>
    </row>
    <row r="3452" s="12" customFormat="1" customHeight="1" spans="2:10">
      <c r="B3452" s="25"/>
      <c r="C3452" s="25"/>
      <c r="D3452" s="26" t="str" cm="1">
        <f t="array" ref="D3452">IF(C3452="","",IFERROR(INDEX(STPP!$D$6:$D$4207,MATCH(C3452,STPP!$C$6:$C$4207,0)),"Not Found"))</f>
        <v/>
      </c>
      <c r="E3452" s="27" t="str" cm="1">
        <f t="array" ref="E3452">IF(C3452="","",IFERROR(INDEX(STPP!$E$6:$E$4207,MATCH(C3452,STPP!$C$6:$C$4207,0)),"Not Found"))</f>
        <v/>
      </c>
      <c r="F3452" s="27" t="str" cm="1">
        <f t="array" ref="F3452">IF(C3452="","",IFERROR(INDEX(STPP!$F$6:$F$4207,MATCH(C3452,STPP!$C$6:$C$4207,0)),"Not Found"))</f>
        <v/>
      </c>
      <c r="G3452" s="25" t="str">
        <f>IF(表1[[#This Row],[No Seri]]="","",表1[[#This Row],[Deskripsi Barang]]+表1[[#This Row],[Kuantitas]]-表1[[#This Row],[Satuan]])</f>
        <v/>
      </c>
      <c r="H3452" s="28"/>
      <c r="I3452" s="25" t="str">
        <f>IF(表1[[#This Row],[Tgl NPBG]]&gt;表1[[#This Row],[Peminta]],表1[[#This Row],[Tgl NPBG]]-表1[[#This Row],[Peminta]],"")</f>
        <v/>
      </c>
      <c r="J3452" s="31"/>
    </row>
    <row r="3453" s="12" customFormat="1" customHeight="1" spans="2:10">
      <c r="B3453" s="25"/>
      <c r="C3453" s="25"/>
      <c r="D3453" s="26" t="str" cm="1">
        <f t="array" ref="D3453">IF(C3453="","",IFERROR(INDEX(STPP!$D$6:$D$4207,MATCH(C3453,STPP!$C$6:$C$4207,0)),"Not Found"))</f>
        <v/>
      </c>
      <c r="E3453" s="27" t="str" cm="1">
        <f t="array" ref="E3453">IF(C3453="","",IFERROR(INDEX(STPP!$E$6:$E$4207,MATCH(C3453,STPP!$C$6:$C$4207,0)),"Not Found"))</f>
        <v/>
      </c>
      <c r="F3453" s="27" t="str" cm="1">
        <f t="array" ref="F3453">IF(C3453="","",IFERROR(INDEX(STPP!$F$6:$F$4207,MATCH(C3453,STPP!$C$6:$C$4207,0)),"Not Found"))</f>
        <v/>
      </c>
      <c r="G3453" s="25" t="str">
        <f>IF(表1[[#This Row],[No Seri]]="","",表1[[#This Row],[Deskripsi Barang]]+表1[[#This Row],[Kuantitas]]-表1[[#This Row],[Satuan]])</f>
        <v/>
      </c>
      <c r="H3453" s="28"/>
      <c r="I3453" s="25" t="str">
        <f>IF(表1[[#This Row],[Tgl NPBG]]&gt;表1[[#This Row],[Peminta]],表1[[#This Row],[Tgl NPBG]]-表1[[#This Row],[Peminta]],"")</f>
        <v/>
      </c>
      <c r="J3453" s="31"/>
    </row>
    <row r="3454" s="12" customFormat="1" customHeight="1" spans="2:10">
      <c r="B3454" s="25"/>
      <c r="C3454" s="25"/>
      <c r="D3454" s="26" t="str" cm="1">
        <f t="array" ref="D3454">IF(C3454="","",IFERROR(INDEX(STPP!$D$6:$D$4207,MATCH(C3454,STPP!$C$6:$C$4207,0)),"Not Found"))</f>
        <v/>
      </c>
      <c r="E3454" s="27" t="str" cm="1">
        <f t="array" ref="E3454">IF(C3454="","",IFERROR(INDEX(STPP!$E$6:$E$4207,MATCH(C3454,STPP!$C$6:$C$4207,0)),"Not Found"))</f>
        <v/>
      </c>
      <c r="F3454" s="27" t="str" cm="1">
        <f t="array" ref="F3454">IF(C3454="","",IFERROR(INDEX(STPP!$F$6:$F$4207,MATCH(C3454,STPP!$C$6:$C$4207,0)),"Not Found"))</f>
        <v/>
      </c>
      <c r="G3454" s="25" t="str">
        <f>IF(表1[[#This Row],[No Seri]]="","",表1[[#This Row],[Deskripsi Barang]]+表1[[#This Row],[Kuantitas]]-表1[[#This Row],[Satuan]])</f>
        <v/>
      </c>
      <c r="H3454" s="28"/>
      <c r="I3454" s="25" t="str">
        <f>IF(表1[[#This Row],[Tgl NPBG]]&gt;表1[[#This Row],[Peminta]],表1[[#This Row],[Tgl NPBG]]-表1[[#This Row],[Peminta]],"")</f>
        <v/>
      </c>
      <c r="J3454" s="31"/>
    </row>
    <row r="3455" s="12" customFormat="1" customHeight="1" spans="2:10">
      <c r="B3455" s="25"/>
      <c r="C3455" s="25"/>
      <c r="D3455" s="26" t="str" cm="1">
        <f t="array" ref="D3455">IF(C3455="","",IFERROR(INDEX(STPP!$D$6:$D$4207,MATCH(C3455,STPP!$C$6:$C$4207,0)),"Not Found"))</f>
        <v/>
      </c>
      <c r="E3455" s="27" t="str" cm="1">
        <f t="array" ref="E3455">IF(C3455="","",IFERROR(INDEX(STPP!$E$6:$E$4207,MATCH(C3455,STPP!$C$6:$C$4207,0)),"Not Found"))</f>
        <v/>
      </c>
      <c r="F3455" s="27" t="str" cm="1">
        <f t="array" ref="F3455">IF(C3455="","",IFERROR(INDEX(STPP!$F$6:$F$4207,MATCH(C3455,STPP!$C$6:$C$4207,0)),"Not Found"))</f>
        <v/>
      </c>
      <c r="G3455" s="25" t="str">
        <f>IF(表1[[#This Row],[No Seri]]="","",表1[[#This Row],[Deskripsi Barang]]+表1[[#This Row],[Kuantitas]]-表1[[#This Row],[Satuan]])</f>
        <v/>
      </c>
      <c r="H3455" s="28"/>
      <c r="I3455" s="25" t="str">
        <f>IF(表1[[#This Row],[Tgl NPBG]]&gt;表1[[#This Row],[Peminta]],表1[[#This Row],[Tgl NPBG]]-表1[[#This Row],[Peminta]],"")</f>
        <v/>
      </c>
      <c r="J3455" s="31"/>
    </row>
    <row r="3456" s="12" customFormat="1" customHeight="1" spans="2:10">
      <c r="B3456" s="25"/>
      <c r="C3456" s="25"/>
      <c r="D3456" s="26" t="str" cm="1">
        <f t="array" ref="D3456">IF(C3456="","",IFERROR(INDEX(STPP!$D$6:$D$4207,MATCH(C3456,STPP!$C$6:$C$4207,0)),"Not Found"))</f>
        <v/>
      </c>
      <c r="E3456" s="27" t="str" cm="1">
        <f t="array" ref="E3456">IF(C3456="","",IFERROR(INDEX(STPP!$E$6:$E$4207,MATCH(C3456,STPP!$C$6:$C$4207,0)),"Not Found"))</f>
        <v/>
      </c>
      <c r="F3456" s="27" t="str" cm="1">
        <f t="array" ref="F3456">IF(C3456="","",IFERROR(INDEX(STPP!$F$6:$F$4207,MATCH(C3456,STPP!$C$6:$C$4207,0)),"Not Found"))</f>
        <v/>
      </c>
      <c r="G3456" s="25" t="str">
        <f>IF(表1[[#This Row],[No Seri]]="","",表1[[#This Row],[Deskripsi Barang]]+表1[[#This Row],[Kuantitas]]-表1[[#This Row],[Satuan]])</f>
        <v/>
      </c>
      <c r="H3456" s="28"/>
      <c r="I3456" s="25" t="str">
        <f>IF(表1[[#This Row],[Tgl NPBG]]&gt;表1[[#This Row],[Peminta]],表1[[#This Row],[Tgl NPBG]]-表1[[#This Row],[Peminta]],"")</f>
        <v/>
      </c>
      <c r="J3456" s="31"/>
    </row>
    <row r="3457" s="12" customFormat="1" customHeight="1" spans="2:10">
      <c r="B3457" s="25"/>
      <c r="C3457" s="25"/>
      <c r="D3457" s="26" t="str" cm="1">
        <f t="array" ref="D3457">IF(C3457="","",IFERROR(INDEX(STPP!$D$6:$D$4207,MATCH(C3457,STPP!$C$6:$C$4207,0)),"Not Found"))</f>
        <v/>
      </c>
      <c r="E3457" s="27" t="str" cm="1">
        <f t="array" ref="E3457">IF(C3457="","",IFERROR(INDEX(STPP!$E$6:$E$4207,MATCH(C3457,STPP!$C$6:$C$4207,0)),"Not Found"))</f>
        <v/>
      </c>
      <c r="F3457" s="27" t="str" cm="1">
        <f t="array" ref="F3457">IF(C3457="","",IFERROR(INDEX(STPP!$F$6:$F$4207,MATCH(C3457,STPP!$C$6:$C$4207,0)),"Not Found"))</f>
        <v/>
      </c>
      <c r="G3457" s="25" t="str">
        <f>IF(表1[[#This Row],[No Seri]]="","",表1[[#This Row],[Deskripsi Barang]]+表1[[#This Row],[Kuantitas]]-表1[[#This Row],[Satuan]])</f>
        <v/>
      </c>
      <c r="H3457" s="28"/>
      <c r="I3457" s="25" t="str">
        <f>IF(表1[[#This Row],[Tgl NPBG]]&gt;表1[[#This Row],[Peminta]],表1[[#This Row],[Tgl NPBG]]-表1[[#This Row],[Peminta]],"")</f>
        <v/>
      </c>
      <c r="J3457" s="31"/>
    </row>
    <row r="3458" s="12" customFormat="1" customHeight="1" spans="2:10">
      <c r="B3458" s="25"/>
      <c r="C3458" s="25"/>
      <c r="D3458" s="26" t="str" cm="1">
        <f t="array" ref="D3458">IF(C3458="","",IFERROR(INDEX(STPP!$D$6:$D$4207,MATCH(C3458,STPP!$C$6:$C$4207,0)),"Not Found"))</f>
        <v/>
      </c>
      <c r="E3458" s="27" t="str" cm="1">
        <f t="array" ref="E3458">IF(C3458="","",IFERROR(INDEX(STPP!$E$6:$E$4207,MATCH(C3458,STPP!$C$6:$C$4207,0)),"Not Found"))</f>
        <v/>
      </c>
      <c r="F3458" s="27" t="str" cm="1">
        <f t="array" ref="F3458">IF(C3458="","",IFERROR(INDEX(STPP!$F$6:$F$4207,MATCH(C3458,STPP!$C$6:$C$4207,0)),"Not Found"))</f>
        <v/>
      </c>
      <c r="G3458" s="25" t="str">
        <f>IF(表1[[#This Row],[No Seri]]="","",表1[[#This Row],[Deskripsi Barang]]+表1[[#This Row],[Kuantitas]]-表1[[#This Row],[Satuan]])</f>
        <v/>
      </c>
      <c r="H3458" s="28"/>
      <c r="I3458" s="25" t="str">
        <f>IF(表1[[#This Row],[Tgl NPBG]]&gt;表1[[#This Row],[Peminta]],表1[[#This Row],[Tgl NPBG]]-表1[[#This Row],[Peminta]],"")</f>
        <v/>
      </c>
      <c r="J3458" s="31"/>
    </row>
    <row r="3459" s="12" customFormat="1" customHeight="1" spans="2:10">
      <c r="B3459" s="25"/>
      <c r="C3459" s="25"/>
      <c r="D3459" s="26" t="str" cm="1">
        <f t="array" ref="D3459">IF(C3459="","",IFERROR(INDEX(STPP!$D$6:$D$4207,MATCH(C3459,STPP!$C$6:$C$4207,0)),"Not Found"))</f>
        <v/>
      </c>
      <c r="E3459" s="27" t="str" cm="1">
        <f t="array" ref="E3459">IF(C3459="","",IFERROR(INDEX(STPP!$E$6:$E$4207,MATCH(C3459,STPP!$C$6:$C$4207,0)),"Not Found"))</f>
        <v/>
      </c>
      <c r="F3459" s="27" t="str" cm="1">
        <f t="array" ref="F3459">IF(C3459="","",IFERROR(INDEX(STPP!$F$6:$F$4207,MATCH(C3459,STPP!$C$6:$C$4207,0)),"Not Found"))</f>
        <v/>
      </c>
      <c r="G3459" s="25" t="str">
        <f>IF(表1[[#This Row],[No Seri]]="","",表1[[#This Row],[Deskripsi Barang]]+表1[[#This Row],[Kuantitas]]-表1[[#This Row],[Satuan]])</f>
        <v/>
      </c>
      <c r="H3459" s="28"/>
      <c r="I3459" s="25" t="str">
        <f>IF(表1[[#This Row],[Tgl NPBG]]&gt;表1[[#This Row],[Peminta]],表1[[#This Row],[Tgl NPBG]]-表1[[#This Row],[Peminta]],"")</f>
        <v/>
      </c>
      <c r="J3459" s="31"/>
    </row>
    <row r="3460" s="12" customFormat="1" customHeight="1" spans="2:10">
      <c r="B3460" s="25"/>
      <c r="C3460" s="25"/>
      <c r="D3460" s="26" t="str" cm="1">
        <f t="array" ref="D3460">IF(C3460="","",IFERROR(INDEX(STPP!$D$6:$D$4207,MATCH(C3460,STPP!$C$6:$C$4207,0)),"Not Found"))</f>
        <v/>
      </c>
      <c r="E3460" s="27" t="str" cm="1">
        <f t="array" ref="E3460">IF(C3460="","",IFERROR(INDEX(STPP!$E$6:$E$4207,MATCH(C3460,STPP!$C$6:$C$4207,0)),"Not Found"))</f>
        <v/>
      </c>
      <c r="F3460" s="27" t="str" cm="1">
        <f t="array" ref="F3460">IF(C3460="","",IFERROR(INDEX(STPP!$F$6:$F$4207,MATCH(C3460,STPP!$C$6:$C$4207,0)),"Not Found"))</f>
        <v/>
      </c>
      <c r="G3460" s="25" t="str">
        <f>IF(表1[[#This Row],[No Seri]]="","",表1[[#This Row],[Deskripsi Barang]]+表1[[#This Row],[Kuantitas]]-表1[[#This Row],[Satuan]])</f>
        <v/>
      </c>
      <c r="H3460" s="28"/>
      <c r="I3460" s="25" t="str">
        <f>IF(表1[[#This Row],[Tgl NPBG]]&gt;表1[[#This Row],[Peminta]],表1[[#This Row],[Tgl NPBG]]-表1[[#This Row],[Peminta]],"")</f>
        <v/>
      </c>
      <c r="J3460" s="31"/>
    </row>
    <row r="3461" s="12" customFormat="1" customHeight="1" spans="2:10">
      <c r="B3461" s="25"/>
      <c r="C3461" s="25"/>
      <c r="D3461" s="26" t="str" cm="1">
        <f t="array" ref="D3461">IF(C3461="","",IFERROR(INDEX(STPP!$D$6:$D$4207,MATCH(C3461,STPP!$C$6:$C$4207,0)),"Not Found"))</f>
        <v/>
      </c>
      <c r="E3461" s="27" t="str" cm="1">
        <f t="array" ref="E3461">IF(C3461="","",IFERROR(INDEX(STPP!$E$6:$E$4207,MATCH(C3461,STPP!$C$6:$C$4207,0)),"Not Found"))</f>
        <v/>
      </c>
      <c r="F3461" s="27" t="str" cm="1">
        <f t="array" ref="F3461">IF(C3461="","",IFERROR(INDEX(STPP!$F$6:$F$4207,MATCH(C3461,STPP!$C$6:$C$4207,0)),"Not Found"))</f>
        <v/>
      </c>
      <c r="G3461" s="25" t="str">
        <f>IF(表1[[#This Row],[No Seri]]="","",表1[[#This Row],[Deskripsi Barang]]+表1[[#This Row],[Kuantitas]]-表1[[#This Row],[Satuan]])</f>
        <v/>
      </c>
      <c r="H3461" s="28"/>
      <c r="I3461" s="25" t="str">
        <f>IF(表1[[#This Row],[Tgl NPBG]]&gt;表1[[#This Row],[Peminta]],表1[[#This Row],[Tgl NPBG]]-表1[[#This Row],[Peminta]],"")</f>
        <v/>
      </c>
      <c r="J3461" s="31"/>
    </row>
    <row r="3462" s="12" customFormat="1" customHeight="1" spans="2:10">
      <c r="B3462" s="25"/>
      <c r="C3462" s="25"/>
      <c r="D3462" s="26" t="str" cm="1">
        <f t="array" ref="D3462">IF(C3462="","",IFERROR(INDEX(STPP!$D$6:$D$4207,MATCH(C3462,STPP!$C$6:$C$4207,0)),"Not Found"))</f>
        <v/>
      </c>
      <c r="E3462" s="27" t="str" cm="1">
        <f t="array" ref="E3462">IF(C3462="","",IFERROR(INDEX(STPP!$E$6:$E$4207,MATCH(C3462,STPP!$C$6:$C$4207,0)),"Not Found"))</f>
        <v/>
      </c>
      <c r="F3462" s="27" t="str" cm="1">
        <f t="array" ref="F3462">IF(C3462="","",IFERROR(INDEX(STPP!$F$6:$F$4207,MATCH(C3462,STPP!$C$6:$C$4207,0)),"Not Found"))</f>
        <v/>
      </c>
      <c r="G3462" s="25" t="str">
        <f>IF(表1[[#This Row],[No Seri]]="","",表1[[#This Row],[Deskripsi Barang]]+表1[[#This Row],[Kuantitas]]-表1[[#This Row],[Satuan]])</f>
        <v/>
      </c>
      <c r="H3462" s="28"/>
      <c r="I3462" s="25" t="str">
        <f>IF(表1[[#This Row],[Tgl NPBG]]&gt;表1[[#This Row],[Peminta]],表1[[#This Row],[Tgl NPBG]]-表1[[#This Row],[Peminta]],"")</f>
        <v/>
      </c>
      <c r="J3462" s="31"/>
    </row>
    <row r="3463" s="12" customFormat="1" customHeight="1" spans="2:10">
      <c r="B3463" s="25"/>
      <c r="C3463" s="25"/>
      <c r="D3463" s="26" t="str" cm="1">
        <f t="array" ref="D3463">IF(C3463="","",IFERROR(INDEX(STPP!$D$6:$D$4207,MATCH(C3463,STPP!$C$6:$C$4207,0)),"Not Found"))</f>
        <v/>
      </c>
      <c r="E3463" s="27" t="str" cm="1">
        <f t="array" ref="E3463">IF(C3463="","",IFERROR(INDEX(STPP!$E$6:$E$4207,MATCH(C3463,STPP!$C$6:$C$4207,0)),"Not Found"))</f>
        <v/>
      </c>
      <c r="F3463" s="27" t="str" cm="1">
        <f t="array" ref="F3463">IF(C3463="","",IFERROR(INDEX(STPP!$F$6:$F$4207,MATCH(C3463,STPP!$C$6:$C$4207,0)),"Not Found"))</f>
        <v/>
      </c>
      <c r="G3463" s="25" t="str">
        <f>IF(表1[[#This Row],[No Seri]]="","",表1[[#This Row],[Deskripsi Barang]]+表1[[#This Row],[Kuantitas]]-表1[[#This Row],[Satuan]])</f>
        <v/>
      </c>
      <c r="H3463" s="28"/>
      <c r="I3463" s="25" t="str">
        <f>IF(表1[[#This Row],[Tgl NPBG]]&gt;表1[[#This Row],[Peminta]],表1[[#This Row],[Tgl NPBG]]-表1[[#This Row],[Peminta]],"")</f>
        <v/>
      </c>
      <c r="J3463" s="31"/>
    </row>
    <row r="3464" s="12" customFormat="1" customHeight="1" spans="2:10">
      <c r="B3464" s="25"/>
      <c r="C3464" s="25"/>
      <c r="D3464" s="26" t="str" cm="1">
        <f t="array" ref="D3464">IF(C3464="","",IFERROR(INDEX(STPP!$D$6:$D$4207,MATCH(C3464,STPP!$C$6:$C$4207,0)),"Not Found"))</f>
        <v/>
      </c>
      <c r="E3464" s="27" t="str" cm="1">
        <f t="array" ref="E3464">IF(C3464="","",IFERROR(INDEX(STPP!$E$6:$E$4207,MATCH(C3464,STPP!$C$6:$C$4207,0)),"Not Found"))</f>
        <v/>
      </c>
      <c r="F3464" s="27" t="str" cm="1">
        <f t="array" ref="F3464">IF(C3464="","",IFERROR(INDEX(STPP!$F$6:$F$4207,MATCH(C3464,STPP!$C$6:$C$4207,0)),"Not Found"))</f>
        <v/>
      </c>
      <c r="G3464" s="25" t="str">
        <f>IF(表1[[#This Row],[No Seri]]="","",表1[[#This Row],[Deskripsi Barang]]+表1[[#This Row],[Kuantitas]]-表1[[#This Row],[Satuan]])</f>
        <v/>
      </c>
      <c r="H3464" s="28"/>
      <c r="I3464" s="25" t="str">
        <f>IF(表1[[#This Row],[Tgl NPBG]]&gt;表1[[#This Row],[Peminta]],表1[[#This Row],[Tgl NPBG]]-表1[[#This Row],[Peminta]],"")</f>
        <v/>
      </c>
      <c r="J3464" s="31"/>
    </row>
    <row r="3465" s="12" customFormat="1" customHeight="1" spans="2:10">
      <c r="B3465" s="25"/>
      <c r="C3465" s="25"/>
      <c r="D3465" s="26" t="str" cm="1">
        <f t="array" ref="D3465">IF(C3465="","",IFERROR(INDEX(STPP!$D$6:$D$4207,MATCH(C3465,STPP!$C$6:$C$4207,0)),"Not Found"))</f>
        <v/>
      </c>
      <c r="E3465" s="27" t="str" cm="1">
        <f t="array" ref="E3465">IF(C3465="","",IFERROR(INDEX(STPP!$E$6:$E$4207,MATCH(C3465,STPP!$C$6:$C$4207,0)),"Not Found"))</f>
        <v/>
      </c>
      <c r="F3465" s="27" t="str" cm="1">
        <f t="array" ref="F3465">IF(C3465="","",IFERROR(INDEX(STPP!$F$6:$F$4207,MATCH(C3465,STPP!$C$6:$C$4207,0)),"Not Found"))</f>
        <v/>
      </c>
      <c r="G3465" s="25" t="str">
        <f>IF(表1[[#This Row],[No Seri]]="","",表1[[#This Row],[Deskripsi Barang]]+表1[[#This Row],[Kuantitas]]-表1[[#This Row],[Satuan]])</f>
        <v/>
      </c>
      <c r="H3465" s="28"/>
      <c r="I3465" s="25" t="str">
        <f>IF(表1[[#This Row],[Tgl NPBG]]&gt;表1[[#This Row],[Peminta]],表1[[#This Row],[Tgl NPBG]]-表1[[#This Row],[Peminta]],"")</f>
        <v/>
      </c>
      <c r="J3465" s="31"/>
    </row>
    <row r="3466" s="12" customFormat="1" customHeight="1" spans="2:10">
      <c r="B3466" s="25"/>
      <c r="C3466" s="25"/>
      <c r="D3466" s="26" t="str" cm="1">
        <f t="array" ref="D3466">IF(C3466="","",IFERROR(INDEX(STPP!$D$6:$D$4207,MATCH(C3466,STPP!$C$6:$C$4207,0)),"Not Found"))</f>
        <v/>
      </c>
      <c r="E3466" s="27" t="str" cm="1">
        <f t="array" ref="E3466">IF(C3466="","",IFERROR(INDEX(STPP!$E$6:$E$4207,MATCH(C3466,STPP!$C$6:$C$4207,0)),"Not Found"))</f>
        <v/>
      </c>
      <c r="F3466" s="27" t="str" cm="1">
        <f t="array" ref="F3466">IF(C3466="","",IFERROR(INDEX(STPP!$F$6:$F$4207,MATCH(C3466,STPP!$C$6:$C$4207,0)),"Not Found"))</f>
        <v/>
      </c>
      <c r="G3466" s="25" t="str">
        <f>IF(表1[[#This Row],[No Seri]]="","",表1[[#This Row],[Deskripsi Barang]]+表1[[#This Row],[Kuantitas]]-表1[[#This Row],[Satuan]])</f>
        <v/>
      </c>
      <c r="H3466" s="28"/>
      <c r="I3466" s="25" t="str">
        <f>IF(表1[[#This Row],[Tgl NPBG]]&gt;表1[[#This Row],[Peminta]],表1[[#This Row],[Tgl NPBG]]-表1[[#This Row],[Peminta]],"")</f>
        <v/>
      </c>
      <c r="J3466" s="31"/>
    </row>
    <row r="3467" s="12" customFormat="1" customHeight="1" spans="2:10">
      <c r="B3467" s="25"/>
      <c r="C3467" s="25"/>
      <c r="D3467" s="26" t="str" cm="1">
        <f t="array" ref="D3467">IF(C3467="","",IFERROR(INDEX(STPP!$D$6:$D$4207,MATCH(C3467,STPP!$C$6:$C$4207,0)),"Not Found"))</f>
        <v/>
      </c>
      <c r="E3467" s="27" t="str" cm="1">
        <f t="array" ref="E3467">IF(C3467="","",IFERROR(INDEX(STPP!$E$6:$E$4207,MATCH(C3467,STPP!$C$6:$C$4207,0)),"Not Found"))</f>
        <v/>
      </c>
      <c r="F3467" s="27" t="str" cm="1">
        <f t="array" ref="F3467">IF(C3467="","",IFERROR(INDEX(STPP!$F$6:$F$4207,MATCH(C3467,STPP!$C$6:$C$4207,0)),"Not Found"))</f>
        <v/>
      </c>
      <c r="G3467" s="25" t="str">
        <f>IF(表1[[#This Row],[No Seri]]="","",表1[[#This Row],[Deskripsi Barang]]+表1[[#This Row],[Kuantitas]]-表1[[#This Row],[Satuan]])</f>
        <v/>
      </c>
      <c r="H3467" s="28"/>
      <c r="I3467" s="25" t="str">
        <f>IF(表1[[#This Row],[Tgl NPBG]]&gt;表1[[#This Row],[Peminta]],表1[[#This Row],[Tgl NPBG]]-表1[[#This Row],[Peminta]],"")</f>
        <v/>
      </c>
      <c r="J3467" s="31"/>
    </row>
    <row r="3468" s="12" customFormat="1" customHeight="1" spans="2:10">
      <c r="B3468" s="25"/>
      <c r="C3468" s="25"/>
      <c r="D3468" s="26" t="str" cm="1">
        <f t="array" ref="D3468">IF(C3468="","",IFERROR(INDEX(STPP!$D$6:$D$4207,MATCH(C3468,STPP!$C$6:$C$4207,0)),"Not Found"))</f>
        <v/>
      </c>
      <c r="E3468" s="27" t="str" cm="1">
        <f t="array" ref="E3468">IF(C3468="","",IFERROR(INDEX(STPP!$E$6:$E$4207,MATCH(C3468,STPP!$C$6:$C$4207,0)),"Not Found"))</f>
        <v/>
      </c>
      <c r="F3468" s="27" t="str" cm="1">
        <f t="array" ref="F3468">IF(C3468="","",IFERROR(INDEX(STPP!$F$6:$F$4207,MATCH(C3468,STPP!$C$6:$C$4207,0)),"Not Found"))</f>
        <v/>
      </c>
      <c r="G3468" s="25" t="str">
        <f>IF(表1[[#This Row],[No Seri]]="","",表1[[#This Row],[Deskripsi Barang]]+表1[[#This Row],[Kuantitas]]-表1[[#This Row],[Satuan]])</f>
        <v/>
      </c>
      <c r="H3468" s="28"/>
      <c r="I3468" s="25" t="str">
        <f>IF(表1[[#This Row],[Tgl NPBG]]&gt;表1[[#This Row],[Peminta]],表1[[#This Row],[Tgl NPBG]]-表1[[#This Row],[Peminta]],"")</f>
        <v/>
      </c>
      <c r="J3468" s="31"/>
    </row>
    <row r="3469" s="12" customFormat="1" customHeight="1" spans="2:10">
      <c r="B3469" s="25"/>
      <c r="C3469" s="25"/>
      <c r="D3469" s="26" t="str" cm="1">
        <f t="array" ref="D3469">IF(C3469="","",IFERROR(INDEX(STPP!$D$6:$D$4207,MATCH(C3469,STPP!$C$6:$C$4207,0)),"Not Found"))</f>
        <v/>
      </c>
      <c r="E3469" s="27" t="str" cm="1">
        <f t="array" ref="E3469">IF(C3469="","",IFERROR(INDEX(STPP!$E$6:$E$4207,MATCH(C3469,STPP!$C$6:$C$4207,0)),"Not Found"))</f>
        <v/>
      </c>
      <c r="F3469" s="27" t="str" cm="1">
        <f t="array" ref="F3469">IF(C3469="","",IFERROR(INDEX(STPP!$F$6:$F$4207,MATCH(C3469,STPP!$C$6:$C$4207,0)),"Not Found"))</f>
        <v/>
      </c>
      <c r="G3469" s="25" t="str">
        <f>IF(表1[[#This Row],[No Seri]]="","",表1[[#This Row],[Deskripsi Barang]]+表1[[#This Row],[Kuantitas]]-表1[[#This Row],[Satuan]])</f>
        <v/>
      </c>
      <c r="H3469" s="28"/>
      <c r="I3469" s="25" t="str">
        <f>IF(表1[[#This Row],[Tgl NPBG]]&gt;表1[[#This Row],[Peminta]],表1[[#This Row],[Tgl NPBG]]-表1[[#This Row],[Peminta]],"")</f>
        <v/>
      </c>
      <c r="J3469" s="31"/>
    </row>
    <row r="3470" s="12" customFormat="1" customHeight="1" spans="2:10">
      <c r="B3470" s="25"/>
      <c r="C3470" s="25"/>
      <c r="D3470" s="26" t="str" cm="1">
        <f t="array" ref="D3470">IF(C3470="","",IFERROR(INDEX(STPP!$D$6:$D$4207,MATCH(C3470,STPP!$C$6:$C$4207,0)),"Not Found"))</f>
        <v/>
      </c>
      <c r="E3470" s="27" t="str" cm="1">
        <f t="array" ref="E3470">IF(C3470="","",IFERROR(INDEX(STPP!$E$6:$E$4207,MATCH(C3470,STPP!$C$6:$C$4207,0)),"Not Found"))</f>
        <v/>
      </c>
      <c r="F3470" s="27" t="str" cm="1">
        <f t="array" ref="F3470">IF(C3470="","",IFERROR(INDEX(STPP!$F$6:$F$4207,MATCH(C3470,STPP!$C$6:$C$4207,0)),"Not Found"))</f>
        <v/>
      </c>
      <c r="G3470" s="25" t="str">
        <f>IF(表1[[#This Row],[No Seri]]="","",表1[[#This Row],[Deskripsi Barang]]+表1[[#This Row],[Kuantitas]]-表1[[#This Row],[Satuan]])</f>
        <v/>
      </c>
      <c r="H3470" s="28"/>
      <c r="I3470" s="25" t="str">
        <f>IF(表1[[#This Row],[Tgl NPBG]]&gt;表1[[#This Row],[Peminta]],表1[[#This Row],[Tgl NPBG]]-表1[[#This Row],[Peminta]],"")</f>
        <v/>
      </c>
      <c r="J3470" s="31"/>
    </row>
    <row r="3471" s="12" customFormat="1" customHeight="1" spans="2:10">
      <c r="B3471" s="25"/>
      <c r="C3471" s="25"/>
      <c r="D3471" s="26" t="str" cm="1">
        <f t="array" ref="D3471">IF(C3471="","",IFERROR(INDEX(STPP!$D$6:$D$4207,MATCH(C3471,STPP!$C$6:$C$4207,0)),"Not Found"))</f>
        <v/>
      </c>
      <c r="E3471" s="27" t="str" cm="1">
        <f t="array" ref="E3471">IF(C3471="","",IFERROR(INDEX(STPP!$E$6:$E$4207,MATCH(C3471,STPP!$C$6:$C$4207,0)),"Not Found"))</f>
        <v/>
      </c>
      <c r="F3471" s="27" t="str" cm="1">
        <f t="array" ref="F3471">IF(C3471="","",IFERROR(INDEX(STPP!$F$6:$F$4207,MATCH(C3471,STPP!$C$6:$C$4207,0)),"Not Found"))</f>
        <v/>
      </c>
      <c r="G3471" s="25" t="str">
        <f>IF(表1[[#This Row],[No Seri]]="","",表1[[#This Row],[Deskripsi Barang]]+表1[[#This Row],[Kuantitas]]-表1[[#This Row],[Satuan]])</f>
        <v/>
      </c>
      <c r="H3471" s="28"/>
      <c r="I3471" s="25" t="str">
        <f>IF(表1[[#This Row],[Tgl NPBG]]&gt;表1[[#This Row],[Peminta]],表1[[#This Row],[Tgl NPBG]]-表1[[#This Row],[Peminta]],"")</f>
        <v/>
      </c>
      <c r="J3471" s="31"/>
    </row>
    <row r="3472" s="12" customFormat="1" customHeight="1" spans="2:10">
      <c r="B3472" s="25"/>
      <c r="C3472" s="25"/>
      <c r="D3472" s="26" t="str" cm="1">
        <f t="array" ref="D3472">IF(C3472="","",IFERROR(INDEX(STPP!$D$6:$D$4207,MATCH(C3472,STPP!$C$6:$C$4207,0)),"Not Found"))</f>
        <v/>
      </c>
      <c r="E3472" s="27" t="str" cm="1">
        <f t="array" ref="E3472">IF(C3472="","",IFERROR(INDEX(STPP!$E$6:$E$4207,MATCH(C3472,STPP!$C$6:$C$4207,0)),"Not Found"))</f>
        <v/>
      </c>
      <c r="F3472" s="27" t="str" cm="1">
        <f t="array" ref="F3472">IF(C3472="","",IFERROR(INDEX(STPP!$F$6:$F$4207,MATCH(C3472,STPP!$C$6:$C$4207,0)),"Not Found"))</f>
        <v/>
      </c>
      <c r="G3472" s="25" t="str">
        <f>IF(表1[[#This Row],[No Seri]]="","",表1[[#This Row],[Deskripsi Barang]]+表1[[#This Row],[Kuantitas]]-表1[[#This Row],[Satuan]])</f>
        <v/>
      </c>
      <c r="H3472" s="28"/>
      <c r="I3472" s="25" t="str">
        <f>IF(表1[[#This Row],[Tgl NPBG]]&gt;表1[[#This Row],[Peminta]],表1[[#This Row],[Tgl NPBG]]-表1[[#This Row],[Peminta]],"")</f>
        <v/>
      </c>
      <c r="J3472" s="31"/>
    </row>
    <row r="3473" s="12" customFormat="1" customHeight="1" spans="2:10">
      <c r="B3473" s="25"/>
      <c r="C3473" s="25"/>
      <c r="D3473" s="26" t="str" cm="1">
        <f t="array" ref="D3473">IF(C3473="","",IFERROR(INDEX(STPP!$D$6:$D$4207,MATCH(C3473,STPP!$C$6:$C$4207,0)),"Not Found"))</f>
        <v/>
      </c>
      <c r="E3473" s="27" t="str" cm="1">
        <f t="array" ref="E3473">IF(C3473="","",IFERROR(INDEX(STPP!$E$6:$E$4207,MATCH(C3473,STPP!$C$6:$C$4207,0)),"Not Found"))</f>
        <v/>
      </c>
      <c r="F3473" s="27" t="str" cm="1">
        <f t="array" ref="F3473">IF(C3473="","",IFERROR(INDEX(STPP!$F$6:$F$4207,MATCH(C3473,STPP!$C$6:$C$4207,0)),"Not Found"))</f>
        <v/>
      </c>
      <c r="G3473" s="25" t="str">
        <f>IF(表1[[#This Row],[No Seri]]="","",表1[[#This Row],[Deskripsi Barang]]+表1[[#This Row],[Kuantitas]]-表1[[#This Row],[Satuan]])</f>
        <v/>
      </c>
      <c r="H3473" s="28"/>
      <c r="I3473" s="25" t="str">
        <f>IF(表1[[#This Row],[Tgl NPBG]]&gt;表1[[#This Row],[Peminta]],表1[[#This Row],[Tgl NPBG]]-表1[[#This Row],[Peminta]],"")</f>
        <v/>
      </c>
      <c r="J3473" s="31"/>
    </row>
    <row r="3474" s="12" customFormat="1" customHeight="1" spans="2:10">
      <c r="B3474" s="25"/>
      <c r="C3474" s="25"/>
      <c r="D3474" s="26" t="str" cm="1">
        <f t="array" ref="D3474">IF(C3474="","",IFERROR(INDEX(STPP!$D$6:$D$4207,MATCH(C3474,STPP!$C$6:$C$4207,0)),"Not Found"))</f>
        <v/>
      </c>
      <c r="E3474" s="27" t="str" cm="1">
        <f t="array" ref="E3474">IF(C3474="","",IFERROR(INDEX(STPP!$E$6:$E$4207,MATCH(C3474,STPP!$C$6:$C$4207,0)),"Not Found"))</f>
        <v/>
      </c>
      <c r="F3474" s="27" t="str" cm="1">
        <f t="array" ref="F3474">IF(C3474="","",IFERROR(INDEX(STPP!$F$6:$F$4207,MATCH(C3474,STPP!$C$6:$C$4207,0)),"Not Found"))</f>
        <v/>
      </c>
      <c r="G3474" s="25" t="str">
        <f>IF(表1[[#This Row],[No Seri]]="","",表1[[#This Row],[Deskripsi Barang]]+表1[[#This Row],[Kuantitas]]-表1[[#This Row],[Satuan]])</f>
        <v/>
      </c>
      <c r="H3474" s="28"/>
      <c r="I3474" s="25" t="str">
        <f>IF(表1[[#This Row],[Tgl NPBG]]&gt;表1[[#This Row],[Peminta]],表1[[#This Row],[Tgl NPBG]]-表1[[#This Row],[Peminta]],"")</f>
        <v/>
      </c>
      <c r="J3474" s="31"/>
    </row>
    <row r="3475" s="12" customFormat="1" customHeight="1" spans="2:10">
      <c r="B3475" s="25"/>
      <c r="C3475" s="25"/>
      <c r="D3475" s="26" t="str" cm="1">
        <f t="array" ref="D3475">IF(C3475="","",IFERROR(INDEX(STPP!$D$6:$D$4207,MATCH(C3475,STPP!$C$6:$C$4207,0)),"Not Found"))</f>
        <v/>
      </c>
      <c r="E3475" s="27" t="str" cm="1">
        <f t="array" ref="E3475">IF(C3475="","",IFERROR(INDEX(STPP!$E$6:$E$4207,MATCH(C3475,STPP!$C$6:$C$4207,0)),"Not Found"))</f>
        <v/>
      </c>
      <c r="F3475" s="27" t="str" cm="1">
        <f t="array" ref="F3475">IF(C3475="","",IFERROR(INDEX(STPP!$F$6:$F$4207,MATCH(C3475,STPP!$C$6:$C$4207,0)),"Not Found"))</f>
        <v/>
      </c>
      <c r="G3475" s="25" t="str">
        <f>IF(表1[[#This Row],[No Seri]]="","",表1[[#This Row],[Deskripsi Barang]]+表1[[#This Row],[Kuantitas]]-表1[[#This Row],[Satuan]])</f>
        <v/>
      </c>
      <c r="H3475" s="28"/>
      <c r="I3475" s="25" t="str">
        <f>IF(表1[[#This Row],[Tgl NPBG]]&gt;表1[[#This Row],[Peminta]],表1[[#This Row],[Tgl NPBG]]-表1[[#This Row],[Peminta]],"")</f>
        <v/>
      </c>
      <c r="J3475" s="31"/>
    </row>
    <row r="3476" s="12" customFormat="1" customHeight="1" spans="2:10">
      <c r="B3476" s="25"/>
      <c r="C3476" s="25"/>
      <c r="D3476" s="26" t="str" cm="1">
        <f t="array" ref="D3476">IF(C3476="","",IFERROR(INDEX(STPP!$D$6:$D$4207,MATCH(C3476,STPP!$C$6:$C$4207,0)),"Not Found"))</f>
        <v/>
      </c>
      <c r="E3476" s="27" t="str" cm="1">
        <f t="array" ref="E3476">IF(C3476="","",IFERROR(INDEX(STPP!$E$6:$E$4207,MATCH(C3476,STPP!$C$6:$C$4207,0)),"Not Found"))</f>
        <v/>
      </c>
      <c r="F3476" s="27" t="str" cm="1">
        <f t="array" ref="F3476">IF(C3476="","",IFERROR(INDEX(STPP!$F$6:$F$4207,MATCH(C3476,STPP!$C$6:$C$4207,0)),"Not Found"))</f>
        <v/>
      </c>
      <c r="G3476" s="25" t="str">
        <f>IF(表1[[#This Row],[No Seri]]="","",表1[[#This Row],[Deskripsi Barang]]+表1[[#This Row],[Kuantitas]]-表1[[#This Row],[Satuan]])</f>
        <v/>
      </c>
      <c r="H3476" s="28"/>
      <c r="I3476" s="25" t="str">
        <f>IF(表1[[#This Row],[Tgl NPBG]]&gt;表1[[#This Row],[Peminta]],表1[[#This Row],[Tgl NPBG]]-表1[[#This Row],[Peminta]],"")</f>
        <v/>
      </c>
      <c r="J3476" s="31"/>
    </row>
    <row r="3477" s="12" customFormat="1" customHeight="1" spans="2:10">
      <c r="B3477" s="25"/>
      <c r="C3477" s="25"/>
      <c r="D3477" s="26" t="str" cm="1">
        <f t="array" ref="D3477">IF(C3477="","",IFERROR(INDEX(STPP!$D$6:$D$4207,MATCH(C3477,STPP!$C$6:$C$4207,0)),"Not Found"))</f>
        <v/>
      </c>
      <c r="E3477" s="27" t="str" cm="1">
        <f t="array" ref="E3477">IF(C3477="","",IFERROR(INDEX(STPP!$E$6:$E$4207,MATCH(C3477,STPP!$C$6:$C$4207,0)),"Not Found"))</f>
        <v/>
      </c>
      <c r="F3477" s="27" t="str" cm="1">
        <f t="array" ref="F3477">IF(C3477="","",IFERROR(INDEX(STPP!$F$6:$F$4207,MATCH(C3477,STPP!$C$6:$C$4207,0)),"Not Found"))</f>
        <v/>
      </c>
      <c r="G3477" s="25" t="str">
        <f>IF(表1[[#This Row],[No Seri]]="","",表1[[#This Row],[Deskripsi Barang]]+表1[[#This Row],[Kuantitas]]-表1[[#This Row],[Satuan]])</f>
        <v/>
      </c>
      <c r="H3477" s="28"/>
      <c r="I3477" s="25" t="str">
        <f>IF(表1[[#This Row],[Tgl NPBG]]&gt;表1[[#This Row],[Peminta]],表1[[#This Row],[Tgl NPBG]]-表1[[#This Row],[Peminta]],"")</f>
        <v/>
      </c>
      <c r="J3477" s="31"/>
    </row>
    <row r="3478" s="12" customFormat="1" customHeight="1" spans="2:10">
      <c r="B3478" s="25"/>
      <c r="C3478" s="25"/>
      <c r="D3478" s="26" t="str" cm="1">
        <f t="array" ref="D3478">IF(C3478="","",IFERROR(INDEX(STPP!$D$6:$D$4207,MATCH(C3478,STPP!$C$6:$C$4207,0)),"Not Found"))</f>
        <v/>
      </c>
      <c r="E3478" s="27" t="str" cm="1">
        <f t="array" ref="E3478">IF(C3478="","",IFERROR(INDEX(STPP!$E$6:$E$4207,MATCH(C3478,STPP!$C$6:$C$4207,0)),"Not Found"))</f>
        <v/>
      </c>
      <c r="F3478" s="27" t="str" cm="1">
        <f t="array" ref="F3478">IF(C3478="","",IFERROR(INDEX(STPP!$F$6:$F$4207,MATCH(C3478,STPP!$C$6:$C$4207,0)),"Not Found"))</f>
        <v/>
      </c>
      <c r="G3478" s="25" t="str">
        <f>IF(表1[[#This Row],[No Seri]]="","",表1[[#This Row],[Deskripsi Barang]]+表1[[#This Row],[Kuantitas]]-表1[[#This Row],[Satuan]])</f>
        <v/>
      </c>
      <c r="H3478" s="28"/>
      <c r="I3478" s="25" t="str">
        <f>IF(表1[[#This Row],[Tgl NPBG]]&gt;表1[[#This Row],[Peminta]],表1[[#This Row],[Tgl NPBG]]-表1[[#This Row],[Peminta]],"")</f>
        <v/>
      </c>
      <c r="J3478" s="31"/>
    </row>
    <row r="3479" s="12" customFormat="1" customHeight="1" spans="2:10">
      <c r="B3479" s="25"/>
      <c r="C3479" s="25"/>
      <c r="D3479" s="26" t="str" cm="1">
        <f t="array" ref="D3479">IF(C3479="","",IFERROR(INDEX(STPP!$D$6:$D$4207,MATCH(C3479,STPP!$C$6:$C$4207,0)),"Not Found"))</f>
        <v/>
      </c>
      <c r="E3479" s="27" t="str" cm="1">
        <f t="array" ref="E3479">IF(C3479="","",IFERROR(INDEX(STPP!$E$6:$E$4207,MATCH(C3479,STPP!$C$6:$C$4207,0)),"Not Found"))</f>
        <v/>
      </c>
      <c r="F3479" s="27" t="str" cm="1">
        <f t="array" ref="F3479">IF(C3479="","",IFERROR(INDEX(STPP!$F$6:$F$4207,MATCH(C3479,STPP!$C$6:$C$4207,0)),"Not Found"))</f>
        <v/>
      </c>
      <c r="G3479" s="25" t="str">
        <f>IF(表1[[#This Row],[No Seri]]="","",表1[[#This Row],[Deskripsi Barang]]+表1[[#This Row],[Kuantitas]]-表1[[#This Row],[Satuan]])</f>
        <v/>
      </c>
      <c r="H3479" s="28"/>
      <c r="I3479" s="25" t="str">
        <f>IF(表1[[#This Row],[Tgl NPBG]]&gt;表1[[#This Row],[Peminta]],表1[[#This Row],[Tgl NPBG]]-表1[[#This Row],[Peminta]],"")</f>
        <v/>
      </c>
      <c r="J3479" s="31"/>
    </row>
    <row r="3480" s="12" customFormat="1" customHeight="1" spans="2:10">
      <c r="B3480" s="25"/>
      <c r="C3480" s="25"/>
      <c r="D3480" s="26" t="str" cm="1">
        <f t="array" ref="D3480">IF(C3480="","",IFERROR(INDEX(STPP!$D$6:$D$4207,MATCH(C3480,STPP!$C$6:$C$4207,0)),"Not Found"))</f>
        <v/>
      </c>
      <c r="E3480" s="27" t="str" cm="1">
        <f t="array" ref="E3480">IF(C3480="","",IFERROR(INDEX(STPP!$E$6:$E$4207,MATCH(C3480,STPP!$C$6:$C$4207,0)),"Not Found"))</f>
        <v/>
      </c>
      <c r="F3480" s="27" t="str" cm="1">
        <f t="array" ref="F3480">IF(C3480="","",IFERROR(INDEX(STPP!$F$6:$F$4207,MATCH(C3480,STPP!$C$6:$C$4207,0)),"Not Found"))</f>
        <v/>
      </c>
      <c r="G3480" s="25" t="str">
        <f>IF(表1[[#This Row],[No Seri]]="","",表1[[#This Row],[Deskripsi Barang]]+表1[[#This Row],[Kuantitas]]-表1[[#This Row],[Satuan]])</f>
        <v/>
      </c>
      <c r="H3480" s="28"/>
      <c r="I3480" s="25" t="str">
        <f>IF(表1[[#This Row],[Tgl NPBG]]&gt;表1[[#This Row],[Peminta]],表1[[#This Row],[Tgl NPBG]]-表1[[#This Row],[Peminta]],"")</f>
        <v/>
      </c>
      <c r="J3480" s="31"/>
    </row>
    <row r="3481" s="12" customFormat="1" customHeight="1" spans="2:10">
      <c r="B3481" s="25"/>
      <c r="C3481" s="25"/>
      <c r="D3481" s="26" t="str" cm="1">
        <f t="array" ref="D3481">IF(C3481="","",IFERROR(INDEX(STPP!$D$6:$D$4207,MATCH(C3481,STPP!$C$6:$C$4207,0)),"Not Found"))</f>
        <v/>
      </c>
      <c r="E3481" s="27" t="str" cm="1">
        <f t="array" ref="E3481">IF(C3481="","",IFERROR(INDEX(STPP!$E$6:$E$4207,MATCH(C3481,STPP!$C$6:$C$4207,0)),"Not Found"))</f>
        <v/>
      </c>
      <c r="F3481" s="27" t="str" cm="1">
        <f t="array" ref="F3481">IF(C3481="","",IFERROR(INDEX(STPP!$F$6:$F$4207,MATCH(C3481,STPP!$C$6:$C$4207,0)),"Not Found"))</f>
        <v/>
      </c>
      <c r="G3481" s="25" t="str">
        <f>IF(表1[[#This Row],[No Seri]]="","",表1[[#This Row],[Deskripsi Barang]]+表1[[#This Row],[Kuantitas]]-表1[[#This Row],[Satuan]])</f>
        <v/>
      </c>
      <c r="H3481" s="28"/>
      <c r="I3481" s="25" t="str">
        <f>IF(表1[[#This Row],[Tgl NPBG]]&gt;表1[[#This Row],[Peminta]],表1[[#This Row],[Tgl NPBG]]-表1[[#This Row],[Peminta]],"")</f>
        <v/>
      </c>
      <c r="J3481" s="31"/>
    </row>
    <row r="3482" s="12" customFormat="1" customHeight="1" spans="2:10">
      <c r="B3482" s="25"/>
      <c r="C3482" s="25"/>
      <c r="D3482" s="26" t="str" cm="1">
        <f t="array" ref="D3482">IF(C3482="","",IFERROR(INDEX(STPP!$D$6:$D$4207,MATCH(C3482,STPP!$C$6:$C$4207,0)),"Not Found"))</f>
        <v/>
      </c>
      <c r="E3482" s="27" t="str" cm="1">
        <f t="array" ref="E3482">IF(C3482="","",IFERROR(INDEX(STPP!$E$6:$E$4207,MATCH(C3482,STPP!$C$6:$C$4207,0)),"Not Found"))</f>
        <v/>
      </c>
      <c r="F3482" s="27" t="str" cm="1">
        <f t="array" ref="F3482">IF(C3482="","",IFERROR(INDEX(STPP!$F$6:$F$4207,MATCH(C3482,STPP!$C$6:$C$4207,0)),"Not Found"))</f>
        <v/>
      </c>
      <c r="G3482" s="25" t="str">
        <f>IF(表1[[#This Row],[No Seri]]="","",表1[[#This Row],[Deskripsi Barang]]+表1[[#This Row],[Kuantitas]]-表1[[#This Row],[Satuan]])</f>
        <v/>
      </c>
      <c r="H3482" s="28"/>
      <c r="I3482" s="25" t="str">
        <f>IF(表1[[#This Row],[Tgl NPBG]]&gt;表1[[#This Row],[Peminta]],表1[[#This Row],[Tgl NPBG]]-表1[[#This Row],[Peminta]],"")</f>
        <v/>
      </c>
      <c r="J3482" s="31"/>
    </row>
    <row r="3483" s="12" customFormat="1" customHeight="1" spans="2:10">
      <c r="B3483" s="25"/>
      <c r="C3483" s="25"/>
      <c r="D3483" s="26" t="str" cm="1">
        <f t="array" ref="D3483">IF(C3483="","",IFERROR(INDEX(STPP!$D$6:$D$4207,MATCH(C3483,STPP!$C$6:$C$4207,0)),"Not Found"))</f>
        <v/>
      </c>
      <c r="E3483" s="27" t="str" cm="1">
        <f t="array" ref="E3483">IF(C3483="","",IFERROR(INDEX(STPP!$E$6:$E$4207,MATCH(C3483,STPP!$C$6:$C$4207,0)),"Not Found"))</f>
        <v/>
      </c>
      <c r="F3483" s="27" t="str" cm="1">
        <f t="array" ref="F3483">IF(C3483="","",IFERROR(INDEX(STPP!$F$6:$F$4207,MATCH(C3483,STPP!$C$6:$C$4207,0)),"Not Found"))</f>
        <v/>
      </c>
      <c r="G3483" s="25" t="str">
        <f>IF(表1[[#This Row],[No Seri]]="","",表1[[#This Row],[Deskripsi Barang]]+表1[[#This Row],[Kuantitas]]-表1[[#This Row],[Satuan]])</f>
        <v/>
      </c>
      <c r="H3483" s="28"/>
      <c r="I3483" s="25" t="str">
        <f>IF(表1[[#This Row],[Tgl NPBG]]&gt;表1[[#This Row],[Peminta]],表1[[#This Row],[Tgl NPBG]]-表1[[#This Row],[Peminta]],"")</f>
        <v/>
      </c>
      <c r="J3483" s="31"/>
    </row>
    <row r="3484" s="12" customFormat="1" customHeight="1" spans="2:10">
      <c r="B3484" s="25"/>
      <c r="C3484" s="25"/>
      <c r="D3484" s="26" t="str" cm="1">
        <f t="array" ref="D3484">IF(C3484="","",IFERROR(INDEX(STPP!$D$6:$D$4207,MATCH(C3484,STPP!$C$6:$C$4207,0)),"Not Found"))</f>
        <v/>
      </c>
      <c r="E3484" s="27" t="str" cm="1">
        <f t="array" ref="E3484">IF(C3484="","",IFERROR(INDEX(STPP!$E$6:$E$4207,MATCH(C3484,STPP!$C$6:$C$4207,0)),"Not Found"))</f>
        <v/>
      </c>
      <c r="F3484" s="27" t="str" cm="1">
        <f t="array" ref="F3484">IF(C3484="","",IFERROR(INDEX(STPP!$F$6:$F$4207,MATCH(C3484,STPP!$C$6:$C$4207,0)),"Not Found"))</f>
        <v/>
      </c>
      <c r="G3484" s="25" t="str">
        <f>IF(表1[[#This Row],[No Seri]]="","",表1[[#This Row],[Deskripsi Barang]]+表1[[#This Row],[Kuantitas]]-表1[[#This Row],[Satuan]])</f>
        <v/>
      </c>
      <c r="H3484" s="28"/>
      <c r="I3484" s="25" t="str">
        <f>IF(表1[[#This Row],[Tgl NPBG]]&gt;表1[[#This Row],[Peminta]],表1[[#This Row],[Tgl NPBG]]-表1[[#This Row],[Peminta]],"")</f>
        <v/>
      </c>
      <c r="J3484" s="31"/>
    </row>
    <row r="3485" s="12" customFormat="1" customHeight="1" spans="2:10">
      <c r="B3485" s="25"/>
      <c r="C3485" s="25"/>
      <c r="D3485" s="26" t="str" cm="1">
        <f t="array" ref="D3485">IF(C3485="","",IFERROR(INDEX(STPP!$D$6:$D$4207,MATCH(C3485,STPP!$C$6:$C$4207,0)),"Not Found"))</f>
        <v/>
      </c>
      <c r="E3485" s="27" t="str" cm="1">
        <f t="array" ref="E3485">IF(C3485="","",IFERROR(INDEX(STPP!$E$6:$E$4207,MATCH(C3485,STPP!$C$6:$C$4207,0)),"Not Found"))</f>
        <v/>
      </c>
      <c r="F3485" s="27" t="str" cm="1">
        <f t="array" ref="F3485">IF(C3485="","",IFERROR(INDEX(STPP!$F$6:$F$4207,MATCH(C3485,STPP!$C$6:$C$4207,0)),"Not Found"))</f>
        <v/>
      </c>
      <c r="G3485" s="25" t="str">
        <f>IF(表1[[#This Row],[No Seri]]="","",表1[[#This Row],[Deskripsi Barang]]+表1[[#This Row],[Kuantitas]]-表1[[#This Row],[Satuan]])</f>
        <v/>
      </c>
      <c r="H3485" s="28"/>
      <c r="I3485" s="25" t="str">
        <f>IF(表1[[#This Row],[Tgl NPBG]]&gt;表1[[#This Row],[Peminta]],表1[[#This Row],[Tgl NPBG]]-表1[[#This Row],[Peminta]],"")</f>
        <v/>
      </c>
      <c r="J3485" s="31"/>
    </row>
    <row r="3486" s="12" customFormat="1" customHeight="1" spans="2:10">
      <c r="B3486" s="25"/>
      <c r="C3486" s="25"/>
      <c r="D3486" s="26" t="str" cm="1">
        <f t="array" ref="D3486">IF(C3486="","",IFERROR(INDEX(STPP!$D$6:$D$4207,MATCH(C3486,STPP!$C$6:$C$4207,0)),"Not Found"))</f>
        <v/>
      </c>
      <c r="E3486" s="27" t="str" cm="1">
        <f t="array" ref="E3486">IF(C3486="","",IFERROR(INDEX(STPP!$E$6:$E$4207,MATCH(C3486,STPP!$C$6:$C$4207,0)),"Not Found"))</f>
        <v/>
      </c>
      <c r="F3486" s="27" t="str" cm="1">
        <f t="array" ref="F3486">IF(C3486="","",IFERROR(INDEX(STPP!$F$6:$F$4207,MATCH(C3486,STPP!$C$6:$C$4207,0)),"Not Found"))</f>
        <v/>
      </c>
      <c r="G3486" s="25" t="str">
        <f>IF(表1[[#This Row],[No Seri]]="","",表1[[#This Row],[Deskripsi Barang]]+表1[[#This Row],[Kuantitas]]-表1[[#This Row],[Satuan]])</f>
        <v/>
      </c>
      <c r="H3486" s="28"/>
      <c r="I3486" s="25" t="str">
        <f>IF(表1[[#This Row],[Tgl NPBG]]&gt;表1[[#This Row],[Peminta]],表1[[#This Row],[Tgl NPBG]]-表1[[#This Row],[Peminta]],"")</f>
        <v/>
      </c>
      <c r="J3486" s="31"/>
    </row>
    <row r="3487" s="12" customFormat="1" customHeight="1" spans="2:10">
      <c r="B3487" s="25"/>
      <c r="C3487" s="25"/>
      <c r="D3487" s="26" t="str" cm="1">
        <f t="array" ref="D3487">IF(C3487="","",IFERROR(INDEX(STPP!$D$6:$D$4207,MATCH(C3487,STPP!$C$6:$C$4207,0)),"Not Found"))</f>
        <v/>
      </c>
      <c r="E3487" s="27" t="str" cm="1">
        <f t="array" ref="E3487">IF(C3487="","",IFERROR(INDEX(STPP!$E$6:$E$4207,MATCH(C3487,STPP!$C$6:$C$4207,0)),"Not Found"))</f>
        <v/>
      </c>
      <c r="F3487" s="27" t="str" cm="1">
        <f t="array" ref="F3487">IF(C3487="","",IFERROR(INDEX(STPP!$F$6:$F$4207,MATCH(C3487,STPP!$C$6:$C$4207,0)),"Not Found"))</f>
        <v/>
      </c>
      <c r="G3487" s="25" t="str">
        <f>IF(表1[[#This Row],[No Seri]]="","",表1[[#This Row],[Deskripsi Barang]]+表1[[#This Row],[Kuantitas]]-表1[[#This Row],[Satuan]])</f>
        <v/>
      </c>
      <c r="H3487" s="28"/>
      <c r="I3487" s="25" t="str">
        <f>IF(表1[[#This Row],[Tgl NPBG]]&gt;表1[[#This Row],[Peminta]],表1[[#This Row],[Tgl NPBG]]-表1[[#This Row],[Peminta]],"")</f>
        <v/>
      </c>
      <c r="J3487" s="31"/>
    </row>
    <row r="3488" s="12" customFormat="1" customHeight="1" spans="2:10">
      <c r="B3488" s="25"/>
      <c r="C3488" s="25"/>
      <c r="D3488" s="26" t="str" cm="1">
        <f t="array" ref="D3488">IF(C3488="","",IFERROR(INDEX(STPP!$D$6:$D$4207,MATCH(C3488,STPP!$C$6:$C$4207,0)),"Not Found"))</f>
        <v/>
      </c>
      <c r="E3488" s="27" t="str" cm="1">
        <f t="array" ref="E3488">IF(C3488="","",IFERROR(INDEX(STPP!$E$6:$E$4207,MATCH(C3488,STPP!$C$6:$C$4207,0)),"Not Found"))</f>
        <v/>
      </c>
      <c r="F3488" s="27" t="str" cm="1">
        <f t="array" ref="F3488">IF(C3488="","",IFERROR(INDEX(STPP!$F$6:$F$4207,MATCH(C3488,STPP!$C$6:$C$4207,0)),"Not Found"))</f>
        <v/>
      </c>
      <c r="G3488" s="25" t="str">
        <f>IF(表1[[#This Row],[No Seri]]="","",表1[[#This Row],[Deskripsi Barang]]+表1[[#This Row],[Kuantitas]]-表1[[#This Row],[Satuan]])</f>
        <v/>
      </c>
      <c r="H3488" s="28"/>
      <c r="I3488" s="25" t="str">
        <f>IF(表1[[#This Row],[Tgl NPBG]]&gt;表1[[#This Row],[Peminta]],表1[[#This Row],[Tgl NPBG]]-表1[[#This Row],[Peminta]],"")</f>
        <v/>
      </c>
      <c r="J3488" s="31"/>
    </row>
    <row r="3489" s="12" customFormat="1" customHeight="1" spans="2:10">
      <c r="B3489" s="25"/>
      <c r="C3489" s="25"/>
      <c r="D3489" s="26" t="str" cm="1">
        <f t="array" ref="D3489">IF(C3489="","",IFERROR(INDEX(STPP!$D$6:$D$4207,MATCH(C3489,STPP!$C$6:$C$4207,0)),"Not Found"))</f>
        <v/>
      </c>
      <c r="E3489" s="27" t="str" cm="1">
        <f t="array" ref="E3489">IF(C3489="","",IFERROR(INDEX(STPP!$E$6:$E$4207,MATCH(C3489,STPP!$C$6:$C$4207,0)),"Not Found"))</f>
        <v/>
      </c>
      <c r="F3489" s="27" t="str" cm="1">
        <f t="array" ref="F3489">IF(C3489="","",IFERROR(INDEX(STPP!$F$6:$F$4207,MATCH(C3489,STPP!$C$6:$C$4207,0)),"Not Found"))</f>
        <v/>
      </c>
      <c r="G3489" s="25" t="str">
        <f>IF(表1[[#This Row],[No Seri]]="","",表1[[#This Row],[Deskripsi Barang]]+表1[[#This Row],[Kuantitas]]-表1[[#This Row],[Satuan]])</f>
        <v/>
      </c>
      <c r="H3489" s="28"/>
      <c r="I3489" s="25" t="str">
        <f>IF(表1[[#This Row],[Tgl NPBG]]&gt;表1[[#This Row],[Peminta]],表1[[#This Row],[Tgl NPBG]]-表1[[#This Row],[Peminta]],"")</f>
        <v/>
      </c>
      <c r="J3489" s="31"/>
    </row>
    <row r="3490" s="12" customFormat="1" customHeight="1" spans="2:10">
      <c r="B3490" s="25"/>
      <c r="C3490" s="25"/>
      <c r="D3490" s="26" t="str" cm="1">
        <f t="array" ref="D3490">IF(C3490="","",IFERROR(INDEX(STPP!$D$6:$D$4207,MATCH(C3490,STPP!$C$6:$C$4207,0)),"Not Found"))</f>
        <v/>
      </c>
      <c r="E3490" s="27" t="str" cm="1">
        <f t="array" ref="E3490">IF(C3490="","",IFERROR(INDEX(STPP!$E$6:$E$4207,MATCH(C3490,STPP!$C$6:$C$4207,0)),"Not Found"))</f>
        <v/>
      </c>
      <c r="F3490" s="27" t="str" cm="1">
        <f t="array" ref="F3490">IF(C3490="","",IFERROR(INDEX(STPP!$F$6:$F$4207,MATCH(C3490,STPP!$C$6:$C$4207,0)),"Not Found"))</f>
        <v/>
      </c>
      <c r="G3490" s="25" t="str">
        <f>IF(表1[[#This Row],[No Seri]]="","",表1[[#This Row],[Deskripsi Barang]]+表1[[#This Row],[Kuantitas]]-表1[[#This Row],[Satuan]])</f>
        <v/>
      </c>
      <c r="H3490" s="28"/>
      <c r="I3490" s="25" t="str">
        <f>IF(表1[[#This Row],[Tgl NPBG]]&gt;表1[[#This Row],[Peminta]],表1[[#This Row],[Tgl NPBG]]-表1[[#This Row],[Peminta]],"")</f>
        <v/>
      </c>
      <c r="J3490" s="31"/>
    </row>
    <row r="3491" s="12" customFormat="1" customHeight="1" spans="2:10">
      <c r="B3491" s="25"/>
      <c r="C3491" s="25"/>
      <c r="D3491" s="26" t="str" cm="1">
        <f t="array" ref="D3491">IF(C3491="","",IFERROR(INDEX(STPP!$D$6:$D$4207,MATCH(C3491,STPP!$C$6:$C$4207,0)),"Not Found"))</f>
        <v/>
      </c>
      <c r="E3491" s="27" t="str" cm="1">
        <f t="array" ref="E3491">IF(C3491="","",IFERROR(INDEX(STPP!$E$6:$E$4207,MATCH(C3491,STPP!$C$6:$C$4207,0)),"Not Found"))</f>
        <v/>
      </c>
      <c r="F3491" s="27" t="str" cm="1">
        <f t="array" ref="F3491">IF(C3491="","",IFERROR(INDEX(STPP!$F$6:$F$4207,MATCH(C3491,STPP!$C$6:$C$4207,0)),"Not Found"))</f>
        <v/>
      </c>
      <c r="G3491" s="25" t="str">
        <f>IF(表1[[#This Row],[No Seri]]="","",表1[[#This Row],[Deskripsi Barang]]+表1[[#This Row],[Kuantitas]]-表1[[#This Row],[Satuan]])</f>
        <v/>
      </c>
      <c r="H3491" s="28"/>
      <c r="I3491" s="25" t="str">
        <f>IF(表1[[#This Row],[Tgl NPBG]]&gt;表1[[#This Row],[Peminta]],表1[[#This Row],[Tgl NPBG]]-表1[[#This Row],[Peminta]],"")</f>
        <v/>
      </c>
      <c r="J3491" s="31"/>
    </row>
    <row r="3492" s="12" customFormat="1" customHeight="1" spans="2:10">
      <c r="B3492" s="25"/>
      <c r="C3492" s="25"/>
      <c r="D3492" s="26" t="str" cm="1">
        <f t="array" ref="D3492">IF(C3492="","",IFERROR(INDEX(STPP!$D$6:$D$4207,MATCH(C3492,STPP!$C$6:$C$4207,0)),"Not Found"))</f>
        <v/>
      </c>
      <c r="E3492" s="27" t="str" cm="1">
        <f t="array" ref="E3492">IF(C3492="","",IFERROR(INDEX(STPP!$E$6:$E$4207,MATCH(C3492,STPP!$C$6:$C$4207,0)),"Not Found"))</f>
        <v/>
      </c>
      <c r="F3492" s="27" t="str" cm="1">
        <f t="array" ref="F3492">IF(C3492="","",IFERROR(INDEX(STPP!$F$6:$F$4207,MATCH(C3492,STPP!$C$6:$C$4207,0)),"Not Found"))</f>
        <v/>
      </c>
      <c r="G3492" s="25" t="str">
        <f>IF(表1[[#This Row],[No Seri]]="","",表1[[#This Row],[Deskripsi Barang]]+表1[[#This Row],[Kuantitas]]-表1[[#This Row],[Satuan]])</f>
        <v/>
      </c>
      <c r="H3492" s="28"/>
      <c r="I3492" s="25" t="str">
        <f>IF(表1[[#This Row],[Tgl NPBG]]&gt;表1[[#This Row],[Peminta]],表1[[#This Row],[Tgl NPBG]]-表1[[#This Row],[Peminta]],"")</f>
        <v/>
      </c>
      <c r="J3492" s="31"/>
    </row>
    <row r="3493" s="12" customFormat="1" customHeight="1" spans="2:10">
      <c r="B3493" s="25"/>
      <c r="C3493" s="25"/>
      <c r="D3493" s="26" t="str" cm="1">
        <f t="array" ref="D3493">IF(C3493="","",IFERROR(INDEX(STPP!$D$6:$D$4207,MATCH(C3493,STPP!$C$6:$C$4207,0)),"Not Found"))</f>
        <v/>
      </c>
      <c r="E3493" s="27" t="str" cm="1">
        <f t="array" ref="E3493">IF(C3493="","",IFERROR(INDEX(STPP!$E$6:$E$4207,MATCH(C3493,STPP!$C$6:$C$4207,0)),"Not Found"))</f>
        <v/>
      </c>
      <c r="F3493" s="27" t="str" cm="1">
        <f t="array" ref="F3493">IF(C3493="","",IFERROR(INDEX(STPP!$F$6:$F$4207,MATCH(C3493,STPP!$C$6:$C$4207,0)),"Not Found"))</f>
        <v/>
      </c>
      <c r="G3493" s="25" t="str">
        <f>IF(表1[[#This Row],[No Seri]]="","",表1[[#This Row],[Deskripsi Barang]]+表1[[#This Row],[Kuantitas]]-表1[[#This Row],[Satuan]])</f>
        <v/>
      </c>
      <c r="H3493" s="28"/>
      <c r="I3493" s="25" t="str">
        <f>IF(表1[[#This Row],[Tgl NPBG]]&gt;表1[[#This Row],[Peminta]],表1[[#This Row],[Tgl NPBG]]-表1[[#This Row],[Peminta]],"")</f>
        <v/>
      </c>
      <c r="J3493" s="31"/>
    </row>
    <row r="3494" s="12" customFormat="1" customHeight="1" spans="2:10">
      <c r="B3494" s="25"/>
      <c r="C3494" s="25"/>
      <c r="D3494" s="26" t="str" cm="1">
        <f t="array" ref="D3494">IF(C3494="","",IFERROR(INDEX(STPP!$D$6:$D$4207,MATCH(C3494,STPP!$C$6:$C$4207,0)),"Not Found"))</f>
        <v/>
      </c>
      <c r="E3494" s="27" t="str" cm="1">
        <f t="array" ref="E3494">IF(C3494="","",IFERROR(INDEX(STPP!$E$6:$E$4207,MATCH(C3494,STPP!$C$6:$C$4207,0)),"Not Found"))</f>
        <v/>
      </c>
      <c r="F3494" s="27" t="str" cm="1">
        <f t="array" ref="F3494">IF(C3494="","",IFERROR(INDEX(STPP!$F$6:$F$4207,MATCH(C3494,STPP!$C$6:$C$4207,0)),"Not Found"))</f>
        <v/>
      </c>
      <c r="G3494" s="25" t="str">
        <f>IF(表1[[#This Row],[No Seri]]="","",表1[[#This Row],[Deskripsi Barang]]+表1[[#This Row],[Kuantitas]]-表1[[#This Row],[Satuan]])</f>
        <v/>
      </c>
      <c r="H3494" s="28"/>
      <c r="I3494" s="25" t="str">
        <f>IF(表1[[#This Row],[Tgl NPBG]]&gt;表1[[#This Row],[Peminta]],表1[[#This Row],[Tgl NPBG]]-表1[[#This Row],[Peminta]],"")</f>
        <v/>
      </c>
      <c r="J3494" s="31"/>
    </row>
    <row r="3495" s="12" customFormat="1" customHeight="1" spans="2:10">
      <c r="B3495" s="25"/>
      <c r="C3495" s="25"/>
      <c r="D3495" s="26" t="str" cm="1">
        <f t="array" ref="D3495">IF(C3495="","",IFERROR(INDEX(STPP!$D$6:$D$4207,MATCH(C3495,STPP!$C$6:$C$4207,0)),"Not Found"))</f>
        <v/>
      </c>
      <c r="E3495" s="27" t="str" cm="1">
        <f t="array" ref="E3495">IF(C3495="","",IFERROR(INDEX(STPP!$E$6:$E$4207,MATCH(C3495,STPP!$C$6:$C$4207,0)),"Not Found"))</f>
        <v/>
      </c>
      <c r="F3495" s="27" t="str" cm="1">
        <f t="array" ref="F3495">IF(C3495="","",IFERROR(INDEX(STPP!$F$6:$F$4207,MATCH(C3495,STPP!$C$6:$C$4207,0)),"Not Found"))</f>
        <v/>
      </c>
      <c r="G3495" s="25" t="str">
        <f>IF(表1[[#This Row],[No Seri]]="","",表1[[#This Row],[Deskripsi Barang]]+表1[[#This Row],[Kuantitas]]-表1[[#This Row],[Satuan]])</f>
        <v/>
      </c>
      <c r="H3495" s="28"/>
      <c r="I3495" s="25" t="str">
        <f>IF(表1[[#This Row],[Tgl NPBG]]&gt;表1[[#This Row],[Peminta]],表1[[#This Row],[Tgl NPBG]]-表1[[#This Row],[Peminta]],"")</f>
        <v/>
      </c>
      <c r="J3495" s="31"/>
    </row>
    <row r="3496" s="12" customFormat="1" customHeight="1" spans="2:10">
      <c r="B3496" s="25"/>
      <c r="C3496" s="25"/>
      <c r="D3496" s="26" t="str" cm="1">
        <f t="array" ref="D3496">IF(C3496="","",IFERROR(INDEX(STPP!$D$6:$D$4207,MATCH(C3496,STPP!$C$6:$C$4207,0)),"Not Found"))</f>
        <v/>
      </c>
      <c r="E3496" s="27" t="str" cm="1">
        <f t="array" ref="E3496">IF(C3496="","",IFERROR(INDEX(STPP!$E$6:$E$4207,MATCH(C3496,STPP!$C$6:$C$4207,0)),"Not Found"))</f>
        <v/>
      </c>
      <c r="F3496" s="27" t="str" cm="1">
        <f t="array" ref="F3496">IF(C3496="","",IFERROR(INDEX(STPP!$F$6:$F$4207,MATCH(C3496,STPP!$C$6:$C$4207,0)),"Not Found"))</f>
        <v/>
      </c>
      <c r="G3496" s="25" t="str">
        <f>IF(表1[[#This Row],[No Seri]]="","",表1[[#This Row],[Deskripsi Barang]]+表1[[#This Row],[Kuantitas]]-表1[[#This Row],[Satuan]])</f>
        <v/>
      </c>
      <c r="H3496" s="28"/>
      <c r="I3496" s="25" t="str">
        <f>IF(表1[[#This Row],[Tgl NPBG]]&gt;表1[[#This Row],[Peminta]],表1[[#This Row],[Tgl NPBG]]-表1[[#This Row],[Peminta]],"")</f>
        <v/>
      </c>
      <c r="J3496" s="31"/>
    </row>
    <row r="3497" s="12" customFormat="1" customHeight="1" spans="2:10">
      <c r="B3497" s="25"/>
      <c r="C3497" s="25"/>
      <c r="D3497" s="26" t="str" cm="1">
        <f t="array" ref="D3497">IF(C3497="","",IFERROR(INDEX(STPP!$D$6:$D$4207,MATCH(C3497,STPP!$C$6:$C$4207,0)),"Not Found"))</f>
        <v/>
      </c>
      <c r="E3497" s="27" t="str" cm="1">
        <f t="array" ref="E3497">IF(C3497="","",IFERROR(INDEX(STPP!$E$6:$E$4207,MATCH(C3497,STPP!$C$6:$C$4207,0)),"Not Found"))</f>
        <v/>
      </c>
      <c r="F3497" s="27" t="str" cm="1">
        <f t="array" ref="F3497">IF(C3497="","",IFERROR(INDEX(STPP!$F$6:$F$4207,MATCH(C3497,STPP!$C$6:$C$4207,0)),"Not Found"))</f>
        <v/>
      </c>
      <c r="G3497" s="25" t="str">
        <f>IF(表1[[#This Row],[No Seri]]="","",表1[[#This Row],[Deskripsi Barang]]+表1[[#This Row],[Kuantitas]]-表1[[#This Row],[Satuan]])</f>
        <v/>
      </c>
      <c r="H3497" s="28"/>
      <c r="I3497" s="25" t="str">
        <f>IF(表1[[#This Row],[Tgl NPBG]]&gt;表1[[#This Row],[Peminta]],表1[[#This Row],[Tgl NPBG]]-表1[[#This Row],[Peminta]],"")</f>
        <v/>
      </c>
      <c r="J3497" s="31"/>
    </row>
    <row r="3498" s="12" customFormat="1" customHeight="1" spans="2:10">
      <c r="B3498" s="25"/>
      <c r="C3498" s="25"/>
      <c r="D3498" s="26" t="str" cm="1">
        <f t="array" ref="D3498">IF(C3498="","",IFERROR(INDEX(STPP!$D$6:$D$4207,MATCH(C3498,STPP!$C$6:$C$4207,0)),"Not Found"))</f>
        <v/>
      </c>
      <c r="E3498" s="27" t="str" cm="1">
        <f t="array" ref="E3498">IF(C3498="","",IFERROR(INDEX(STPP!$E$6:$E$4207,MATCH(C3498,STPP!$C$6:$C$4207,0)),"Not Found"))</f>
        <v/>
      </c>
      <c r="F3498" s="27" t="str" cm="1">
        <f t="array" ref="F3498">IF(C3498="","",IFERROR(INDEX(STPP!$F$6:$F$4207,MATCH(C3498,STPP!$C$6:$C$4207,0)),"Not Found"))</f>
        <v/>
      </c>
      <c r="G3498" s="25" t="str">
        <f>IF(表1[[#This Row],[No Seri]]="","",表1[[#This Row],[Deskripsi Barang]]+表1[[#This Row],[Kuantitas]]-表1[[#This Row],[Satuan]])</f>
        <v/>
      </c>
      <c r="H3498" s="28"/>
      <c r="I3498" s="25" t="str">
        <f>IF(表1[[#This Row],[Tgl NPBG]]&gt;表1[[#This Row],[Peminta]],表1[[#This Row],[Tgl NPBG]]-表1[[#This Row],[Peminta]],"")</f>
        <v/>
      </c>
      <c r="J3498" s="31"/>
    </row>
    <row r="3499" s="12" customFormat="1" customHeight="1" spans="2:10">
      <c r="B3499" s="25"/>
      <c r="C3499" s="25"/>
      <c r="D3499" s="26" t="str" cm="1">
        <f t="array" ref="D3499">IF(C3499="","",IFERROR(INDEX(STPP!$D$6:$D$4207,MATCH(C3499,STPP!$C$6:$C$4207,0)),"Not Found"))</f>
        <v/>
      </c>
      <c r="E3499" s="27" t="str" cm="1">
        <f t="array" ref="E3499">IF(C3499="","",IFERROR(INDEX(STPP!$E$6:$E$4207,MATCH(C3499,STPP!$C$6:$C$4207,0)),"Not Found"))</f>
        <v/>
      </c>
      <c r="F3499" s="27" t="str" cm="1">
        <f t="array" ref="F3499">IF(C3499="","",IFERROR(INDEX(STPP!$F$6:$F$4207,MATCH(C3499,STPP!$C$6:$C$4207,0)),"Not Found"))</f>
        <v/>
      </c>
      <c r="G3499" s="25" t="str">
        <f>IF(表1[[#This Row],[No Seri]]="","",表1[[#This Row],[Deskripsi Barang]]+表1[[#This Row],[Kuantitas]]-表1[[#This Row],[Satuan]])</f>
        <v/>
      </c>
      <c r="H3499" s="28"/>
      <c r="I3499" s="25" t="str">
        <f>IF(表1[[#This Row],[Tgl NPBG]]&gt;表1[[#This Row],[Peminta]],表1[[#This Row],[Tgl NPBG]]-表1[[#This Row],[Peminta]],"")</f>
        <v/>
      </c>
      <c r="J3499" s="31"/>
    </row>
    <row r="3500" s="12" customFormat="1" customHeight="1" spans="2:10">
      <c r="B3500" s="25"/>
      <c r="C3500" s="25"/>
      <c r="D3500" s="26" t="str" cm="1">
        <f t="array" ref="D3500">IF(C3500="","",IFERROR(INDEX(STPP!$D$6:$D$4207,MATCH(C3500,STPP!$C$6:$C$4207,0)),"Not Found"))</f>
        <v/>
      </c>
      <c r="E3500" s="27" t="str" cm="1">
        <f t="array" ref="E3500">IF(C3500="","",IFERROR(INDEX(STPP!$E$6:$E$4207,MATCH(C3500,STPP!$C$6:$C$4207,0)),"Not Found"))</f>
        <v/>
      </c>
      <c r="F3500" s="27" t="str" cm="1">
        <f t="array" ref="F3500">IF(C3500="","",IFERROR(INDEX(STPP!$F$6:$F$4207,MATCH(C3500,STPP!$C$6:$C$4207,0)),"Not Found"))</f>
        <v/>
      </c>
      <c r="G3500" s="25" t="str">
        <f>IF(表1[[#This Row],[No Seri]]="","",表1[[#This Row],[Deskripsi Barang]]+表1[[#This Row],[Kuantitas]]-表1[[#This Row],[Satuan]])</f>
        <v/>
      </c>
      <c r="H3500" s="28"/>
      <c r="I3500" s="25" t="str">
        <f>IF(表1[[#This Row],[Tgl NPBG]]&gt;表1[[#This Row],[Peminta]],表1[[#This Row],[Tgl NPBG]]-表1[[#This Row],[Peminta]],"")</f>
        <v/>
      </c>
      <c r="J3500" s="31"/>
    </row>
    <row r="3501" s="12" customFormat="1" customHeight="1" spans="2:10">
      <c r="B3501" s="25"/>
      <c r="C3501" s="25"/>
      <c r="D3501" s="26" t="str" cm="1">
        <f t="array" ref="D3501">IF(C3501="","",IFERROR(INDEX(STPP!$D$6:$D$4207,MATCH(C3501,STPP!$C$6:$C$4207,0)),"Not Found"))</f>
        <v/>
      </c>
      <c r="E3501" s="27" t="str" cm="1">
        <f t="array" ref="E3501">IF(C3501="","",IFERROR(INDEX(STPP!$E$6:$E$4207,MATCH(C3501,STPP!$C$6:$C$4207,0)),"Not Found"))</f>
        <v/>
      </c>
      <c r="F3501" s="27" t="str" cm="1">
        <f t="array" ref="F3501">IF(C3501="","",IFERROR(INDEX(STPP!$F$6:$F$4207,MATCH(C3501,STPP!$C$6:$C$4207,0)),"Not Found"))</f>
        <v/>
      </c>
      <c r="G3501" s="25" t="str">
        <f>IF(表1[[#This Row],[No Seri]]="","",表1[[#This Row],[Deskripsi Barang]]+表1[[#This Row],[Kuantitas]]-表1[[#This Row],[Satuan]])</f>
        <v/>
      </c>
      <c r="H3501" s="28"/>
      <c r="I3501" s="25" t="str">
        <f>IF(表1[[#This Row],[Tgl NPBG]]&gt;表1[[#This Row],[Peminta]],表1[[#This Row],[Tgl NPBG]]-表1[[#This Row],[Peminta]],"")</f>
        <v/>
      </c>
      <c r="J3501" s="31"/>
    </row>
    <row r="3502" s="12" customFormat="1" customHeight="1" spans="2:10">
      <c r="B3502" s="25"/>
      <c r="C3502" s="25"/>
      <c r="D3502" s="26" t="str" cm="1">
        <f t="array" ref="D3502">IF(C3502="","",IFERROR(INDEX(STPP!$D$6:$D$4207,MATCH(C3502,STPP!$C$6:$C$4207,0)),"Not Found"))</f>
        <v/>
      </c>
      <c r="E3502" s="27" t="str" cm="1">
        <f t="array" ref="E3502">IF(C3502="","",IFERROR(INDEX(STPP!$E$6:$E$4207,MATCH(C3502,STPP!$C$6:$C$4207,0)),"Not Found"))</f>
        <v/>
      </c>
      <c r="F3502" s="27" t="str" cm="1">
        <f t="array" ref="F3502">IF(C3502="","",IFERROR(INDEX(STPP!$F$6:$F$4207,MATCH(C3502,STPP!$C$6:$C$4207,0)),"Not Found"))</f>
        <v/>
      </c>
      <c r="G3502" s="25" t="str">
        <f>IF(表1[[#This Row],[No Seri]]="","",表1[[#This Row],[Deskripsi Barang]]+表1[[#This Row],[Kuantitas]]-表1[[#This Row],[Satuan]])</f>
        <v/>
      </c>
      <c r="H3502" s="28"/>
      <c r="I3502" s="25" t="str">
        <f>IF(表1[[#This Row],[Tgl NPBG]]&gt;表1[[#This Row],[Peminta]],表1[[#This Row],[Tgl NPBG]]-表1[[#This Row],[Peminta]],"")</f>
        <v/>
      </c>
      <c r="J3502" s="31"/>
    </row>
    <row r="3503" s="12" customFormat="1" customHeight="1" spans="2:10">
      <c r="B3503" s="25"/>
      <c r="C3503" s="25"/>
      <c r="D3503" s="26" t="str" cm="1">
        <f t="array" ref="D3503">IF(C3503="","",IFERROR(INDEX(STPP!$D$6:$D$4207,MATCH(C3503,STPP!$C$6:$C$4207,0)),"Not Found"))</f>
        <v/>
      </c>
      <c r="E3503" s="27" t="str" cm="1">
        <f t="array" ref="E3503">IF(C3503="","",IFERROR(INDEX(STPP!$E$6:$E$4207,MATCH(C3503,STPP!$C$6:$C$4207,0)),"Not Found"))</f>
        <v/>
      </c>
      <c r="F3503" s="27" t="str" cm="1">
        <f t="array" ref="F3503">IF(C3503="","",IFERROR(INDEX(STPP!$F$6:$F$4207,MATCH(C3503,STPP!$C$6:$C$4207,0)),"Not Found"))</f>
        <v/>
      </c>
      <c r="G3503" s="25" t="str">
        <f>IF(表1[[#This Row],[No Seri]]="","",表1[[#This Row],[Deskripsi Barang]]+表1[[#This Row],[Kuantitas]]-表1[[#This Row],[Satuan]])</f>
        <v/>
      </c>
      <c r="H3503" s="28"/>
      <c r="I3503" s="25" t="str">
        <f>IF(表1[[#This Row],[Tgl NPBG]]&gt;表1[[#This Row],[Peminta]],表1[[#This Row],[Tgl NPBG]]-表1[[#This Row],[Peminta]],"")</f>
        <v/>
      </c>
      <c r="J3503" s="31"/>
    </row>
    <row r="3504" s="12" customFormat="1" customHeight="1" spans="2:10">
      <c r="B3504" s="25"/>
      <c r="C3504" s="25"/>
      <c r="D3504" s="26" t="str" cm="1">
        <f t="array" ref="D3504">IF(C3504="","",IFERROR(INDEX(STPP!$D$6:$D$4207,MATCH(C3504,STPP!$C$6:$C$4207,0)),"Not Found"))</f>
        <v/>
      </c>
      <c r="E3504" s="27" t="str" cm="1">
        <f t="array" ref="E3504">IF(C3504="","",IFERROR(INDEX(STPP!$E$6:$E$4207,MATCH(C3504,STPP!$C$6:$C$4207,0)),"Not Found"))</f>
        <v/>
      </c>
      <c r="F3504" s="27" t="str" cm="1">
        <f t="array" ref="F3504">IF(C3504="","",IFERROR(INDEX(STPP!$F$6:$F$4207,MATCH(C3504,STPP!$C$6:$C$4207,0)),"Not Found"))</f>
        <v/>
      </c>
      <c r="G3504" s="25" t="str">
        <f>IF(表1[[#This Row],[No Seri]]="","",表1[[#This Row],[Deskripsi Barang]]+表1[[#This Row],[Kuantitas]]-表1[[#This Row],[Satuan]])</f>
        <v/>
      </c>
      <c r="H3504" s="28"/>
      <c r="I3504" s="25" t="str">
        <f>IF(表1[[#This Row],[Tgl NPBG]]&gt;表1[[#This Row],[Peminta]],表1[[#This Row],[Tgl NPBG]]-表1[[#This Row],[Peminta]],"")</f>
        <v/>
      </c>
      <c r="J3504" s="31"/>
    </row>
    <row r="3505" s="12" customFormat="1" customHeight="1" spans="2:10">
      <c r="B3505" s="25"/>
      <c r="C3505" s="25"/>
      <c r="D3505" s="26" t="str" cm="1">
        <f t="array" ref="D3505">IF(C3505="","",IFERROR(INDEX(STPP!$D$6:$D$4207,MATCH(C3505,STPP!$C$6:$C$4207,0)),"Not Found"))</f>
        <v/>
      </c>
      <c r="E3505" s="27" t="str" cm="1">
        <f t="array" ref="E3505">IF(C3505="","",IFERROR(INDEX(STPP!$E$6:$E$4207,MATCH(C3505,STPP!$C$6:$C$4207,0)),"Not Found"))</f>
        <v/>
      </c>
      <c r="F3505" s="27" t="str" cm="1">
        <f t="array" ref="F3505">IF(C3505="","",IFERROR(INDEX(STPP!$F$6:$F$4207,MATCH(C3505,STPP!$C$6:$C$4207,0)),"Not Found"))</f>
        <v/>
      </c>
      <c r="G3505" s="25" t="str">
        <f>IF(表1[[#This Row],[No Seri]]="","",表1[[#This Row],[Deskripsi Barang]]+表1[[#This Row],[Kuantitas]]-表1[[#This Row],[Satuan]])</f>
        <v/>
      </c>
      <c r="H3505" s="28"/>
      <c r="I3505" s="25" t="str">
        <f>IF(表1[[#This Row],[Tgl NPBG]]&gt;表1[[#This Row],[Peminta]],表1[[#This Row],[Tgl NPBG]]-表1[[#This Row],[Peminta]],"")</f>
        <v/>
      </c>
      <c r="J3505" s="31"/>
    </row>
    <row r="3506" s="12" customFormat="1" customHeight="1" spans="2:10">
      <c r="B3506" s="25"/>
      <c r="C3506" s="25"/>
      <c r="D3506" s="26" t="str" cm="1">
        <f t="array" ref="D3506">IF(C3506="","",IFERROR(INDEX(STPP!$D$6:$D$4207,MATCH(C3506,STPP!$C$6:$C$4207,0)),"Not Found"))</f>
        <v/>
      </c>
      <c r="E3506" s="27" t="str" cm="1">
        <f t="array" ref="E3506">IF(C3506="","",IFERROR(INDEX(STPP!$E$6:$E$4207,MATCH(C3506,STPP!$C$6:$C$4207,0)),"Not Found"))</f>
        <v/>
      </c>
      <c r="F3506" s="27" t="str" cm="1">
        <f t="array" ref="F3506">IF(C3506="","",IFERROR(INDEX(STPP!$F$6:$F$4207,MATCH(C3506,STPP!$C$6:$C$4207,0)),"Not Found"))</f>
        <v/>
      </c>
      <c r="G3506" s="25" t="str">
        <f>IF(表1[[#This Row],[No Seri]]="","",表1[[#This Row],[Deskripsi Barang]]+表1[[#This Row],[Kuantitas]]-表1[[#This Row],[Satuan]])</f>
        <v/>
      </c>
      <c r="H3506" s="28"/>
      <c r="I3506" s="25" t="str">
        <f>IF(表1[[#This Row],[Tgl NPBG]]&gt;表1[[#This Row],[Peminta]],表1[[#This Row],[Tgl NPBG]]-表1[[#This Row],[Peminta]],"")</f>
        <v/>
      </c>
      <c r="J3506" s="31"/>
    </row>
    <row r="3507" s="12" customFormat="1" customHeight="1" spans="2:10">
      <c r="B3507" s="25"/>
      <c r="C3507" s="25"/>
      <c r="D3507" s="26" t="str" cm="1">
        <f t="array" ref="D3507">IF(C3507="","",IFERROR(INDEX(STPP!$D$6:$D$4207,MATCH(C3507,STPP!$C$6:$C$4207,0)),"Not Found"))</f>
        <v/>
      </c>
      <c r="E3507" s="27" t="str" cm="1">
        <f t="array" ref="E3507">IF(C3507="","",IFERROR(INDEX(STPP!$E$6:$E$4207,MATCH(C3507,STPP!$C$6:$C$4207,0)),"Not Found"))</f>
        <v/>
      </c>
      <c r="F3507" s="27" t="str" cm="1">
        <f t="array" ref="F3507">IF(C3507="","",IFERROR(INDEX(STPP!$F$6:$F$4207,MATCH(C3507,STPP!$C$6:$C$4207,0)),"Not Found"))</f>
        <v/>
      </c>
      <c r="G3507" s="25" t="str">
        <f>IF(表1[[#This Row],[No Seri]]="","",表1[[#This Row],[Deskripsi Barang]]+表1[[#This Row],[Kuantitas]]-表1[[#This Row],[Satuan]])</f>
        <v/>
      </c>
      <c r="H3507" s="28"/>
      <c r="I3507" s="25" t="str">
        <f>IF(表1[[#This Row],[Tgl NPBG]]&gt;表1[[#This Row],[Peminta]],表1[[#This Row],[Tgl NPBG]]-表1[[#This Row],[Peminta]],"")</f>
        <v/>
      </c>
      <c r="J3507" s="31"/>
    </row>
    <row r="3508" s="12" customFormat="1" customHeight="1" spans="2:10">
      <c r="B3508" s="25"/>
      <c r="C3508" s="25"/>
      <c r="D3508" s="26" t="str" cm="1">
        <f t="array" ref="D3508">IF(C3508="","",IFERROR(INDEX(STPP!$D$6:$D$4207,MATCH(C3508,STPP!$C$6:$C$4207,0)),"Not Found"))</f>
        <v/>
      </c>
      <c r="E3508" s="27" t="str" cm="1">
        <f t="array" ref="E3508">IF(C3508="","",IFERROR(INDEX(STPP!$E$6:$E$4207,MATCH(C3508,STPP!$C$6:$C$4207,0)),"Not Found"))</f>
        <v/>
      </c>
      <c r="F3508" s="27" t="str" cm="1">
        <f t="array" ref="F3508">IF(C3508="","",IFERROR(INDEX(STPP!$F$6:$F$4207,MATCH(C3508,STPP!$C$6:$C$4207,0)),"Not Found"))</f>
        <v/>
      </c>
      <c r="G3508" s="25" t="str">
        <f>IF(表1[[#This Row],[No Seri]]="","",表1[[#This Row],[Deskripsi Barang]]+表1[[#This Row],[Kuantitas]]-表1[[#This Row],[Satuan]])</f>
        <v/>
      </c>
      <c r="H3508" s="28"/>
      <c r="I3508" s="25" t="str">
        <f>IF(表1[[#This Row],[Tgl NPBG]]&gt;表1[[#This Row],[Peminta]],表1[[#This Row],[Tgl NPBG]]-表1[[#This Row],[Peminta]],"")</f>
        <v/>
      </c>
      <c r="J3508" s="31"/>
    </row>
    <row r="3509" s="12" customFormat="1" customHeight="1" spans="2:10">
      <c r="B3509" s="25"/>
      <c r="C3509" s="25"/>
      <c r="D3509" s="26" t="str" cm="1">
        <f t="array" ref="D3509">IF(C3509="","",IFERROR(INDEX(STPP!$D$6:$D$4207,MATCH(C3509,STPP!$C$6:$C$4207,0)),"Not Found"))</f>
        <v/>
      </c>
      <c r="E3509" s="27" t="str" cm="1">
        <f t="array" ref="E3509">IF(C3509="","",IFERROR(INDEX(STPP!$E$6:$E$4207,MATCH(C3509,STPP!$C$6:$C$4207,0)),"Not Found"))</f>
        <v/>
      </c>
      <c r="F3509" s="27" t="str" cm="1">
        <f t="array" ref="F3509">IF(C3509="","",IFERROR(INDEX(STPP!$F$6:$F$4207,MATCH(C3509,STPP!$C$6:$C$4207,0)),"Not Found"))</f>
        <v/>
      </c>
      <c r="G3509" s="25" t="str">
        <f>IF(表1[[#This Row],[No Seri]]="","",表1[[#This Row],[Deskripsi Barang]]+表1[[#This Row],[Kuantitas]]-表1[[#This Row],[Satuan]])</f>
        <v/>
      </c>
      <c r="H3509" s="28"/>
      <c r="I3509" s="25" t="str">
        <f>IF(表1[[#This Row],[Tgl NPBG]]&gt;表1[[#This Row],[Peminta]],表1[[#This Row],[Tgl NPBG]]-表1[[#This Row],[Peminta]],"")</f>
        <v/>
      </c>
      <c r="J3509" s="31"/>
    </row>
    <row r="3510" s="12" customFormat="1" customHeight="1" spans="2:10">
      <c r="B3510" s="25"/>
      <c r="C3510" s="25"/>
      <c r="D3510" s="26" t="str" cm="1">
        <f t="array" ref="D3510">IF(C3510="","",IFERROR(INDEX(STPP!$D$6:$D$4207,MATCH(C3510,STPP!$C$6:$C$4207,0)),"Not Found"))</f>
        <v/>
      </c>
      <c r="E3510" s="27" t="str" cm="1">
        <f t="array" ref="E3510">IF(C3510="","",IFERROR(INDEX(STPP!$E$6:$E$4207,MATCH(C3510,STPP!$C$6:$C$4207,0)),"Not Found"))</f>
        <v/>
      </c>
      <c r="F3510" s="27" t="str" cm="1">
        <f t="array" ref="F3510">IF(C3510="","",IFERROR(INDEX(STPP!$F$6:$F$4207,MATCH(C3510,STPP!$C$6:$C$4207,0)),"Not Found"))</f>
        <v/>
      </c>
      <c r="G3510" s="25" t="str">
        <f>IF(表1[[#This Row],[No Seri]]="","",表1[[#This Row],[Deskripsi Barang]]+表1[[#This Row],[Kuantitas]]-表1[[#This Row],[Satuan]])</f>
        <v/>
      </c>
      <c r="H3510" s="28"/>
      <c r="I3510" s="25" t="str">
        <f>IF(表1[[#This Row],[Tgl NPBG]]&gt;表1[[#This Row],[Peminta]],表1[[#This Row],[Tgl NPBG]]-表1[[#This Row],[Peminta]],"")</f>
        <v/>
      </c>
      <c r="J3510" s="31"/>
    </row>
    <row r="3511" s="12" customFormat="1" customHeight="1" spans="2:10">
      <c r="B3511" s="25"/>
      <c r="C3511" s="25"/>
      <c r="D3511" s="26" t="str" cm="1">
        <f t="array" ref="D3511">IF(C3511="","",IFERROR(INDEX(STPP!$D$6:$D$4207,MATCH(C3511,STPP!$C$6:$C$4207,0)),"Not Found"))</f>
        <v/>
      </c>
      <c r="E3511" s="27" t="str" cm="1">
        <f t="array" ref="E3511">IF(C3511="","",IFERROR(INDEX(STPP!$E$6:$E$4207,MATCH(C3511,STPP!$C$6:$C$4207,0)),"Not Found"))</f>
        <v/>
      </c>
      <c r="F3511" s="27" t="str" cm="1">
        <f t="array" ref="F3511">IF(C3511="","",IFERROR(INDEX(STPP!$F$6:$F$4207,MATCH(C3511,STPP!$C$6:$C$4207,0)),"Not Found"))</f>
        <v/>
      </c>
      <c r="G3511" s="25" t="str">
        <f>IF(表1[[#This Row],[No Seri]]="","",表1[[#This Row],[Deskripsi Barang]]+表1[[#This Row],[Kuantitas]]-表1[[#This Row],[Satuan]])</f>
        <v/>
      </c>
      <c r="H3511" s="28"/>
      <c r="I3511" s="25" t="str">
        <f>IF(表1[[#This Row],[Tgl NPBG]]&gt;表1[[#This Row],[Peminta]],表1[[#This Row],[Tgl NPBG]]-表1[[#This Row],[Peminta]],"")</f>
        <v/>
      </c>
      <c r="J3511" s="31"/>
    </row>
    <row r="3512" s="12" customFormat="1" customHeight="1" spans="2:10">
      <c r="B3512" s="25"/>
      <c r="C3512" s="25"/>
      <c r="D3512" s="26" t="str" cm="1">
        <f t="array" ref="D3512">IF(C3512="","",IFERROR(INDEX(STPP!$D$6:$D$4207,MATCH(C3512,STPP!$C$6:$C$4207,0)),"Not Found"))</f>
        <v/>
      </c>
      <c r="E3512" s="27" t="str" cm="1">
        <f t="array" ref="E3512">IF(C3512="","",IFERROR(INDEX(STPP!$E$6:$E$4207,MATCH(C3512,STPP!$C$6:$C$4207,0)),"Not Found"))</f>
        <v/>
      </c>
      <c r="F3512" s="27" t="str" cm="1">
        <f t="array" ref="F3512">IF(C3512="","",IFERROR(INDEX(STPP!$F$6:$F$4207,MATCH(C3512,STPP!$C$6:$C$4207,0)),"Not Found"))</f>
        <v/>
      </c>
      <c r="G3512" s="25" t="str">
        <f>IF(表1[[#This Row],[No Seri]]="","",表1[[#This Row],[Deskripsi Barang]]+表1[[#This Row],[Kuantitas]]-表1[[#This Row],[Satuan]])</f>
        <v/>
      </c>
      <c r="H3512" s="28"/>
      <c r="I3512" s="25" t="str">
        <f>IF(表1[[#This Row],[Tgl NPBG]]&gt;表1[[#This Row],[Peminta]],表1[[#This Row],[Tgl NPBG]]-表1[[#This Row],[Peminta]],"")</f>
        <v/>
      </c>
      <c r="J3512" s="31"/>
    </row>
    <row r="3513" s="12" customFormat="1" customHeight="1" spans="2:10">
      <c r="B3513" s="25"/>
      <c r="C3513" s="25"/>
      <c r="D3513" s="26" t="str" cm="1">
        <f t="array" ref="D3513">IF(C3513="","",IFERROR(INDEX(STPP!$D$6:$D$4207,MATCH(C3513,STPP!$C$6:$C$4207,0)),"Not Found"))</f>
        <v/>
      </c>
      <c r="E3513" s="27" t="str" cm="1">
        <f t="array" ref="E3513">IF(C3513="","",IFERROR(INDEX(STPP!$E$6:$E$4207,MATCH(C3513,STPP!$C$6:$C$4207,0)),"Not Found"))</f>
        <v/>
      </c>
      <c r="F3513" s="27" t="str" cm="1">
        <f t="array" ref="F3513">IF(C3513="","",IFERROR(INDEX(STPP!$F$6:$F$4207,MATCH(C3513,STPP!$C$6:$C$4207,0)),"Not Found"))</f>
        <v/>
      </c>
      <c r="G3513" s="25" t="str">
        <f>IF(表1[[#This Row],[No Seri]]="","",表1[[#This Row],[Deskripsi Barang]]+表1[[#This Row],[Kuantitas]]-表1[[#This Row],[Satuan]])</f>
        <v/>
      </c>
      <c r="H3513" s="28"/>
      <c r="I3513" s="25" t="str">
        <f>IF(表1[[#This Row],[Tgl NPBG]]&gt;表1[[#This Row],[Peminta]],表1[[#This Row],[Tgl NPBG]]-表1[[#This Row],[Peminta]],"")</f>
        <v/>
      </c>
      <c r="J3513" s="31"/>
    </row>
    <row r="3514" s="12" customFormat="1" customHeight="1" spans="2:10">
      <c r="B3514" s="25"/>
      <c r="C3514" s="25"/>
      <c r="D3514" s="26" t="str" cm="1">
        <f t="array" ref="D3514">IF(C3514="","",IFERROR(INDEX(STPP!$D$6:$D$4207,MATCH(C3514,STPP!$C$6:$C$4207,0)),"Not Found"))</f>
        <v/>
      </c>
      <c r="E3514" s="27" t="str" cm="1">
        <f t="array" ref="E3514">IF(C3514="","",IFERROR(INDEX(STPP!$E$6:$E$4207,MATCH(C3514,STPP!$C$6:$C$4207,0)),"Not Found"))</f>
        <v/>
      </c>
      <c r="F3514" s="27" t="str" cm="1">
        <f t="array" ref="F3514">IF(C3514="","",IFERROR(INDEX(STPP!$F$6:$F$4207,MATCH(C3514,STPP!$C$6:$C$4207,0)),"Not Found"))</f>
        <v/>
      </c>
      <c r="G3514" s="25" t="str">
        <f>IF(表1[[#This Row],[No Seri]]="","",表1[[#This Row],[Deskripsi Barang]]+表1[[#This Row],[Kuantitas]]-表1[[#This Row],[Satuan]])</f>
        <v/>
      </c>
      <c r="H3514" s="28"/>
      <c r="I3514" s="25" t="str">
        <f>IF(表1[[#This Row],[Tgl NPBG]]&gt;表1[[#This Row],[Peminta]],表1[[#This Row],[Tgl NPBG]]-表1[[#This Row],[Peminta]],"")</f>
        <v/>
      </c>
      <c r="J3514" s="31"/>
    </row>
    <row r="3515" s="12" customFormat="1" customHeight="1" spans="2:10">
      <c r="B3515" s="25"/>
      <c r="C3515" s="25"/>
      <c r="D3515" s="26" t="str" cm="1">
        <f t="array" ref="D3515">IF(C3515="","",IFERROR(INDEX(STPP!$D$6:$D$4207,MATCH(C3515,STPP!$C$6:$C$4207,0)),"Not Found"))</f>
        <v/>
      </c>
      <c r="E3515" s="27" t="str" cm="1">
        <f t="array" ref="E3515">IF(C3515="","",IFERROR(INDEX(STPP!$E$6:$E$4207,MATCH(C3515,STPP!$C$6:$C$4207,0)),"Not Found"))</f>
        <v/>
      </c>
      <c r="F3515" s="27" t="str" cm="1">
        <f t="array" ref="F3515">IF(C3515="","",IFERROR(INDEX(STPP!$F$6:$F$4207,MATCH(C3515,STPP!$C$6:$C$4207,0)),"Not Found"))</f>
        <v/>
      </c>
      <c r="G3515" s="25" t="str">
        <f>IF(表1[[#This Row],[No Seri]]="","",表1[[#This Row],[Deskripsi Barang]]+表1[[#This Row],[Kuantitas]]-表1[[#This Row],[Satuan]])</f>
        <v/>
      </c>
      <c r="H3515" s="28"/>
      <c r="I3515" s="25" t="str">
        <f>IF(表1[[#This Row],[Tgl NPBG]]&gt;表1[[#This Row],[Peminta]],表1[[#This Row],[Tgl NPBG]]-表1[[#This Row],[Peminta]],"")</f>
        <v/>
      </c>
      <c r="J3515" s="31"/>
    </row>
    <row r="3516" s="12" customFormat="1" customHeight="1" spans="2:10">
      <c r="B3516" s="25"/>
      <c r="C3516" s="25"/>
      <c r="D3516" s="26" t="str" cm="1">
        <f t="array" ref="D3516">IF(C3516="","",IFERROR(INDEX(STPP!$D$6:$D$4207,MATCH(C3516,STPP!$C$6:$C$4207,0)),"Not Found"))</f>
        <v/>
      </c>
      <c r="E3516" s="27" t="str" cm="1">
        <f t="array" ref="E3516">IF(C3516="","",IFERROR(INDEX(STPP!$E$6:$E$4207,MATCH(C3516,STPP!$C$6:$C$4207,0)),"Not Found"))</f>
        <v/>
      </c>
      <c r="F3516" s="27" t="str" cm="1">
        <f t="array" ref="F3516">IF(C3516="","",IFERROR(INDEX(STPP!$F$6:$F$4207,MATCH(C3516,STPP!$C$6:$C$4207,0)),"Not Found"))</f>
        <v/>
      </c>
      <c r="G3516" s="25" t="str">
        <f>IF(表1[[#This Row],[No Seri]]="","",表1[[#This Row],[Deskripsi Barang]]+表1[[#This Row],[Kuantitas]]-表1[[#This Row],[Satuan]])</f>
        <v/>
      </c>
      <c r="H3516" s="28"/>
      <c r="I3516" s="25" t="str">
        <f>IF(表1[[#This Row],[Tgl NPBG]]&gt;表1[[#This Row],[Peminta]],表1[[#This Row],[Tgl NPBG]]-表1[[#This Row],[Peminta]],"")</f>
        <v/>
      </c>
      <c r="J3516" s="31"/>
    </row>
    <row r="3517" s="12" customFormat="1" customHeight="1" spans="2:10">
      <c r="B3517" s="25"/>
      <c r="C3517" s="25"/>
      <c r="D3517" s="26" t="str" cm="1">
        <f t="array" ref="D3517">IF(C3517="","",IFERROR(INDEX(STPP!$D$6:$D$4207,MATCH(C3517,STPP!$C$6:$C$4207,0)),"Not Found"))</f>
        <v/>
      </c>
      <c r="E3517" s="27" t="str" cm="1">
        <f t="array" ref="E3517">IF(C3517="","",IFERROR(INDEX(STPP!$E$6:$E$4207,MATCH(C3517,STPP!$C$6:$C$4207,0)),"Not Found"))</f>
        <v/>
      </c>
      <c r="F3517" s="27" t="str" cm="1">
        <f t="array" ref="F3517">IF(C3517="","",IFERROR(INDEX(STPP!$F$6:$F$4207,MATCH(C3517,STPP!$C$6:$C$4207,0)),"Not Found"))</f>
        <v/>
      </c>
      <c r="G3517" s="25" t="str">
        <f>IF(表1[[#This Row],[No Seri]]="","",表1[[#This Row],[Deskripsi Barang]]+表1[[#This Row],[Kuantitas]]-表1[[#This Row],[Satuan]])</f>
        <v/>
      </c>
      <c r="H3517" s="28"/>
      <c r="I3517" s="25" t="str">
        <f>IF(表1[[#This Row],[Tgl NPBG]]&gt;表1[[#This Row],[Peminta]],表1[[#This Row],[Tgl NPBG]]-表1[[#This Row],[Peminta]],"")</f>
        <v/>
      </c>
      <c r="J3517" s="31"/>
    </row>
    <row r="3518" s="12" customFormat="1" customHeight="1" spans="2:10">
      <c r="B3518" s="25"/>
      <c r="C3518" s="25"/>
      <c r="D3518" s="26" t="str" cm="1">
        <f t="array" ref="D3518">IF(C3518="","",IFERROR(INDEX(STPP!$D$6:$D$4207,MATCH(C3518,STPP!$C$6:$C$4207,0)),"Not Found"))</f>
        <v/>
      </c>
      <c r="E3518" s="27" t="str" cm="1">
        <f t="array" ref="E3518">IF(C3518="","",IFERROR(INDEX(STPP!$E$6:$E$4207,MATCH(C3518,STPP!$C$6:$C$4207,0)),"Not Found"))</f>
        <v/>
      </c>
      <c r="F3518" s="27" t="str" cm="1">
        <f t="array" ref="F3518">IF(C3518="","",IFERROR(INDEX(STPP!$F$6:$F$4207,MATCH(C3518,STPP!$C$6:$C$4207,0)),"Not Found"))</f>
        <v/>
      </c>
      <c r="G3518" s="25" t="str">
        <f>IF(表1[[#This Row],[No Seri]]="","",表1[[#This Row],[Deskripsi Barang]]+表1[[#This Row],[Kuantitas]]-表1[[#This Row],[Satuan]])</f>
        <v/>
      </c>
      <c r="H3518" s="28"/>
      <c r="I3518" s="25" t="str">
        <f>IF(表1[[#This Row],[Tgl NPBG]]&gt;表1[[#This Row],[Peminta]],表1[[#This Row],[Tgl NPBG]]-表1[[#This Row],[Peminta]],"")</f>
        <v/>
      </c>
      <c r="J3518" s="31"/>
    </row>
    <row r="3519" s="12" customFormat="1" customHeight="1" spans="2:10">
      <c r="B3519" s="25"/>
      <c r="C3519" s="25"/>
      <c r="D3519" s="26" t="str" cm="1">
        <f t="array" ref="D3519">IF(C3519="","",IFERROR(INDEX(STPP!$D$6:$D$4207,MATCH(C3519,STPP!$C$6:$C$4207,0)),"Not Found"))</f>
        <v/>
      </c>
      <c r="E3519" s="27" t="str" cm="1">
        <f t="array" ref="E3519">IF(C3519="","",IFERROR(INDEX(STPP!$E$6:$E$4207,MATCH(C3519,STPP!$C$6:$C$4207,0)),"Not Found"))</f>
        <v/>
      </c>
      <c r="F3519" s="27" t="str" cm="1">
        <f t="array" ref="F3519">IF(C3519="","",IFERROR(INDEX(STPP!$F$6:$F$4207,MATCH(C3519,STPP!$C$6:$C$4207,0)),"Not Found"))</f>
        <v/>
      </c>
      <c r="G3519" s="25" t="str">
        <f>IF(表1[[#This Row],[No Seri]]="","",表1[[#This Row],[Deskripsi Barang]]+表1[[#This Row],[Kuantitas]]-表1[[#This Row],[Satuan]])</f>
        <v/>
      </c>
      <c r="H3519" s="28"/>
      <c r="I3519" s="25" t="str">
        <f>IF(表1[[#This Row],[Tgl NPBG]]&gt;表1[[#This Row],[Peminta]],表1[[#This Row],[Tgl NPBG]]-表1[[#This Row],[Peminta]],"")</f>
        <v/>
      </c>
      <c r="J3519" s="31"/>
    </row>
    <row r="3520" s="12" customFormat="1" customHeight="1" spans="2:10">
      <c r="B3520" s="25"/>
      <c r="C3520" s="25"/>
      <c r="D3520" s="26" t="str" cm="1">
        <f t="array" ref="D3520">IF(C3520="","",IFERROR(INDEX(STPP!$D$6:$D$4207,MATCH(C3520,STPP!$C$6:$C$4207,0)),"Not Found"))</f>
        <v/>
      </c>
      <c r="E3520" s="27" t="str" cm="1">
        <f t="array" ref="E3520">IF(C3520="","",IFERROR(INDEX(STPP!$E$6:$E$4207,MATCH(C3520,STPP!$C$6:$C$4207,0)),"Not Found"))</f>
        <v/>
      </c>
      <c r="F3520" s="27" t="str" cm="1">
        <f t="array" ref="F3520">IF(C3520="","",IFERROR(INDEX(STPP!$F$6:$F$4207,MATCH(C3520,STPP!$C$6:$C$4207,0)),"Not Found"))</f>
        <v/>
      </c>
      <c r="G3520" s="25" t="str">
        <f>IF(表1[[#This Row],[No Seri]]="","",表1[[#This Row],[Deskripsi Barang]]+表1[[#This Row],[Kuantitas]]-表1[[#This Row],[Satuan]])</f>
        <v/>
      </c>
      <c r="H3520" s="28"/>
      <c r="I3520" s="25" t="str">
        <f>IF(表1[[#This Row],[Tgl NPBG]]&gt;表1[[#This Row],[Peminta]],表1[[#This Row],[Tgl NPBG]]-表1[[#This Row],[Peminta]],"")</f>
        <v/>
      </c>
      <c r="J3520" s="31"/>
    </row>
    <row r="3521" s="12" customFormat="1" customHeight="1" spans="2:10">
      <c r="B3521" s="25"/>
      <c r="C3521" s="25"/>
      <c r="D3521" s="26" t="str" cm="1">
        <f t="array" ref="D3521">IF(C3521="","",IFERROR(INDEX(STPP!$D$6:$D$4207,MATCH(C3521,STPP!$C$6:$C$4207,0)),"Not Found"))</f>
        <v/>
      </c>
      <c r="E3521" s="27" t="str" cm="1">
        <f t="array" ref="E3521">IF(C3521="","",IFERROR(INDEX(STPP!$E$6:$E$4207,MATCH(C3521,STPP!$C$6:$C$4207,0)),"Not Found"))</f>
        <v/>
      </c>
      <c r="F3521" s="27" t="str" cm="1">
        <f t="array" ref="F3521">IF(C3521="","",IFERROR(INDEX(STPP!$F$6:$F$4207,MATCH(C3521,STPP!$C$6:$C$4207,0)),"Not Found"))</f>
        <v/>
      </c>
      <c r="G3521" s="25" t="str">
        <f>IF(表1[[#This Row],[No Seri]]="","",表1[[#This Row],[Deskripsi Barang]]+表1[[#This Row],[Kuantitas]]-表1[[#This Row],[Satuan]])</f>
        <v/>
      </c>
      <c r="H3521" s="28"/>
      <c r="I3521" s="25" t="str">
        <f>IF(表1[[#This Row],[Tgl NPBG]]&gt;表1[[#This Row],[Peminta]],表1[[#This Row],[Tgl NPBG]]-表1[[#This Row],[Peminta]],"")</f>
        <v/>
      </c>
      <c r="J3521" s="31"/>
    </row>
    <row r="3522" s="12" customFormat="1" customHeight="1" spans="2:10">
      <c r="B3522" s="25"/>
      <c r="C3522" s="25"/>
      <c r="D3522" s="26" t="str" cm="1">
        <f t="array" ref="D3522">IF(C3522="","",IFERROR(INDEX(STPP!$D$6:$D$4207,MATCH(C3522,STPP!$C$6:$C$4207,0)),"Not Found"))</f>
        <v/>
      </c>
      <c r="E3522" s="27" t="str" cm="1">
        <f t="array" ref="E3522">IF(C3522="","",IFERROR(INDEX(STPP!$E$6:$E$4207,MATCH(C3522,STPP!$C$6:$C$4207,0)),"Not Found"))</f>
        <v/>
      </c>
      <c r="F3522" s="27" t="str" cm="1">
        <f t="array" ref="F3522">IF(C3522="","",IFERROR(INDEX(STPP!$F$6:$F$4207,MATCH(C3522,STPP!$C$6:$C$4207,0)),"Not Found"))</f>
        <v/>
      </c>
      <c r="G3522" s="25" t="str">
        <f>IF(表1[[#This Row],[No Seri]]="","",表1[[#This Row],[Deskripsi Barang]]+表1[[#This Row],[Kuantitas]]-表1[[#This Row],[Satuan]])</f>
        <v/>
      </c>
      <c r="H3522" s="28"/>
      <c r="I3522" s="25" t="str">
        <f>IF(表1[[#This Row],[Tgl NPBG]]&gt;表1[[#This Row],[Peminta]],表1[[#This Row],[Tgl NPBG]]-表1[[#This Row],[Peminta]],"")</f>
        <v/>
      </c>
      <c r="J3522" s="31"/>
    </row>
    <row r="3523" s="12" customFormat="1" customHeight="1" spans="2:10">
      <c r="B3523" s="25"/>
      <c r="C3523" s="25"/>
      <c r="D3523" s="26" t="str" cm="1">
        <f t="array" ref="D3523">IF(C3523="","",IFERROR(INDEX(STPP!$D$6:$D$4207,MATCH(C3523,STPP!$C$6:$C$4207,0)),"Not Found"))</f>
        <v/>
      </c>
      <c r="E3523" s="27" t="str" cm="1">
        <f t="array" ref="E3523">IF(C3523="","",IFERROR(INDEX(STPP!$E$6:$E$4207,MATCH(C3523,STPP!$C$6:$C$4207,0)),"Not Found"))</f>
        <v/>
      </c>
      <c r="F3523" s="27" t="str" cm="1">
        <f t="array" ref="F3523">IF(C3523="","",IFERROR(INDEX(STPP!$F$6:$F$4207,MATCH(C3523,STPP!$C$6:$C$4207,0)),"Not Found"))</f>
        <v/>
      </c>
      <c r="G3523" s="25" t="str">
        <f>IF(表1[[#This Row],[No Seri]]="","",表1[[#This Row],[Deskripsi Barang]]+表1[[#This Row],[Kuantitas]]-表1[[#This Row],[Satuan]])</f>
        <v/>
      </c>
      <c r="H3523" s="28"/>
      <c r="I3523" s="25" t="str">
        <f>IF(表1[[#This Row],[Tgl NPBG]]&gt;表1[[#This Row],[Peminta]],表1[[#This Row],[Tgl NPBG]]-表1[[#This Row],[Peminta]],"")</f>
        <v/>
      </c>
      <c r="J3523" s="31"/>
    </row>
    <row r="3524" s="12" customFormat="1" customHeight="1" spans="2:10">
      <c r="B3524" s="25"/>
      <c r="C3524" s="25"/>
      <c r="D3524" s="26" t="str" cm="1">
        <f t="array" ref="D3524">IF(C3524="","",IFERROR(INDEX(STPP!$D$6:$D$4207,MATCH(C3524,STPP!$C$6:$C$4207,0)),"Not Found"))</f>
        <v/>
      </c>
      <c r="E3524" s="27" t="str" cm="1">
        <f t="array" ref="E3524">IF(C3524="","",IFERROR(INDEX(STPP!$E$6:$E$4207,MATCH(C3524,STPP!$C$6:$C$4207,0)),"Not Found"))</f>
        <v/>
      </c>
      <c r="F3524" s="27" t="str" cm="1">
        <f t="array" ref="F3524">IF(C3524="","",IFERROR(INDEX(STPP!$F$6:$F$4207,MATCH(C3524,STPP!$C$6:$C$4207,0)),"Not Found"))</f>
        <v/>
      </c>
      <c r="G3524" s="25" t="str">
        <f>IF(表1[[#This Row],[No Seri]]="","",表1[[#This Row],[Deskripsi Barang]]+表1[[#This Row],[Kuantitas]]-表1[[#This Row],[Satuan]])</f>
        <v/>
      </c>
      <c r="H3524" s="28"/>
      <c r="I3524" s="25" t="str">
        <f>IF(表1[[#This Row],[Tgl NPBG]]&gt;表1[[#This Row],[Peminta]],表1[[#This Row],[Tgl NPBG]]-表1[[#This Row],[Peminta]],"")</f>
        <v/>
      </c>
      <c r="J3524" s="31"/>
    </row>
    <row r="3525" s="12" customFormat="1" customHeight="1" spans="2:10">
      <c r="B3525" s="25"/>
      <c r="C3525" s="25"/>
      <c r="D3525" s="26" t="str" cm="1">
        <f t="array" ref="D3525">IF(C3525="","",IFERROR(INDEX(STPP!$D$6:$D$4207,MATCH(C3525,STPP!$C$6:$C$4207,0)),"Not Found"))</f>
        <v/>
      </c>
      <c r="E3525" s="27" t="str" cm="1">
        <f t="array" ref="E3525">IF(C3525="","",IFERROR(INDEX(STPP!$E$6:$E$4207,MATCH(C3525,STPP!$C$6:$C$4207,0)),"Not Found"))</f>
        <v/>
      </c>
      <c r="F3525" s="27" t="str" cm="1">
        <f t="array" ref="F3525">IF(C3525="","",IFERROR(INDEX(STPP!$F$6:$F$4207,MATCH(C3525,STPP!$C$6:$C$4207,0)),"Not Found"))</f>
        <v/>
      </c>
      <c r="G3525" s="25" t="str">
        <f>IF(表1[[#This Row],[No Seri]]="","",表1[[#This Row],[Deskripsi Barang]]+表1[[#This Row],[Kuantitas]]-表1[[#This Row],[Satuan]])</f>
        <v/>
      </c>
      <c r="H3525" s="28"/>
      <c r="I3525" s="25" t="str">
        <f>IF(表1[[#This Row],[Tgl NPBG]]&gt;表1[[#This Row],[Peminta]],表1[[#This Row],[Tgl NPBG]]-表1[[#This Row],[Peminta]],"")</f>
        <v/>
      </c>
      <c r="J3525" s="31"/>
    </row>
    <row r="3526" s="12" customFormat="1" customHeight="1" spans="2:10">
      <c r="B3526" s="25"/>
      <c r="C3526" s="25"/>
      <c r="D3526" s="26" t="str" cm="1">
        <f t="array" ref="D3526">IF(C3526="","",IFERROR(INDEX(STPP!$D$6:$D$4207,MATCH(C3526,STPP!$C$6:$C$4207,0)),"Not Found"))</f>
        <v/>
      </c>
      <c r="E3526" s="27" t="str" cm="1">
        <f t="array" ref="E3526">IF(C3526="","",IFERROR(INDEX(STPP!$E$6:$E$4207,MATCH(C3526,STPP!$C$6:$C$4207,0)),"Not Found"))</f>
        <v/>
      </c>
      <c r="F3526" s="27" t="str" cm="1">
        <f t="array" ref="F3526">IF(C3526="","",IFERROR(INDEX(STPP!$F$6:$F$4207,MATCH(C3526,STPP!$C$6:$C$4207,0)),"Not Found"))</f>
        <v/>
      </c>
      <c r="G3526" s="25" t="str">
        <f>IF(表1[[#This Row],[No Seri]]="","",表1[[#This Row],[Deskripsi Barang]]+表1[[#This Row],[Kuantitas]]-表1[[#This Row],[Satuan]])</f>
        <v/>
      </c>
      <c r="H3526" s="28"/>
      <c r="I3526" s="25" t="str">
        <f>IF(表1[[#This Row],[Tgl NPBG]]&gt;表1[[#This Row],[Peminta]],表1[[#This Row],[Tgl NPBG]]-表1[[#This Row],[Peminta]],"")</f>
        <v/>
      </c>
      <c r="J3526" s="31"/>
    </row>
    <row r="3527" s="12" customFormat="1" customHeight="1" spans="2:10">
      <c r="B3527" s="25"/>
      <c r="C3527" s="25"/>
      <c r="D3527" s="26" t="str" cm="1">
        <f t="array" ref="D3527">IF(C3527="","",IFERROR(INDEX(STPP!$D$6:$D$4207,MATCH(C3527,STPP!$C$6:$C$4207,0)),"Not Found"))</f>
        <v/>
      </c>
      <c r="E3527" s="27" t="str" cm="1">
        <f t="array" ref="E3527">IF(C3527="","",IFERROR(INDEX(STPP!$E$6:$E$4207,MATCH(C3527,STPP!$C$6:$C$4207,0)),"Not Found"))</f>
        <v/>
      </c>
      <c r="F3527" s="27" t="str" cm="1">
        <f t="array" ref="F3527">IF(C3527="","",IFERROR(INDEX(STPP!$F$6:$F$4207,MATCH(C3527,STPP!$C$6:$C$4207,0)),"Not Found"))</f>
        <v/>
      </c>
      <c r="G3527" s="25" t="str">
        <f>IF(表1[[#This Row],[No Seri]]="","",表1[[#This Row],[Deskripsi Barang]]+表1[[#This Row],[Kuantitas]]-表1[[#This Row],[Satuan]])</f>
        <v/>
      </c>
      <c r="H3527" s="28"/>
      <c r="I3527" s="25" t="str">
        <f>IF(表1[[#This Row],[Tgl NPBG]]&gt;表1[[#This Row],[Peminta]],表1[[#This Row],[Tgl NPBG]]-表1[[#This Row],[Peminta]],"")</f>
        <v/>
      </c>
      <c r="J3527" s="31"/>
    </row>
    <row r="3528" s="12" customFormat="1" customHeight="1" spans="2:10">
      <c r="B3528" s="25"/>
      <c r="C3528" s="25"/>
      <c r="D3528" s="26" t="str" cm="1">
        <f t="array" ref="D3528">IF(C3528="","",IFERROR(INDEX(STPP!$D$6:$D$4207,MATCH(C3528,STPP!$C$6:$C$4207,0)),"Not Found"))</f>
        <v/>
      </c>
      <c r="E3528" s="27" t="str" cm="1">
        <f t="array" ref="E3528">IF(C3528="","",IFERROR(INDEX(STPP!$E$6:$E$4207,MATCH(C3528,STPP!$C$6:$C$4207,0)),"Not Found"))</f>
        <v/>
      </c>
      <c r="F3528" s="27" t="str" cm="1">
        <f t="array" ref="F3528">IF(C3528="","",IFERROR(INDEX(STPP!$F$6:$F$4207,MATCH(C3528,STPP!$C$6:$C$4207,0)),"Not Found"))</f>
        <v/>
      </c>
      <c r="G3528" s="25" t="str">
        <f>IF(表1[[#This Row],[No Seri]]="","",表1[[#This Row],[Deskripsi Barang]]+表1[[#This Row],[Kuantitas]]-表1[[#This Row],[Satuan]])</f>
        <v/>
      </c>
      <c r="H3528" s="28"/>
      <c r="I3528" s="25" t="str">
        <f>IF(表1[[#This Row],[Tgl NPBG]]&gt;表1[[#This Row],[Peminta]],表1[[#This Row],[Tgl NPBG]]-表1[[#This Row],[Peminta]],"")</f>
        <v/>
      </c>
      <c r="J3528" s="31"/>
    </row>
    <row r="3529" s="12" customFormat="1" customHeight="1" spans="2:10">
      <c r="B3529" s="25"/>
      <c r="C3529" s="25"/>
      <c r="D3529" s="26" t="str" cm="1">
        <f t="array" ref="D3529">IF(C3529="","",IFERROR(INDEX(STPP!$D$6:$D$4207,MATCH(C3529,STPP!$C$6:$C$4207,0)),"Not Found"))</f>
        <v/>
      </c>
      <c r="E3529" s="27" t="str" cm="1">
        <f t="array" ref="E3529">IF(C3529="","",IFERROR(INDEX(STPP!$E$6:$E$4207,MATCH(C3529,STPP!$C$6:$C$4207,0)),"Not Found"))</f>
        <v/>
      </c>
      <c r="F3529" s="27" t="str" cm="1">
        <f t="array" ref="F3529">IF(C3529="","",IFERROR(INDEX(STPP!$F$6:$F$4207,MATCH(C3529,STPP!$C$6:$C$4207,0)),"Not Found"))</f>
        <v/>
      </c>
      <c r="G3529" s="25" t="str">
        <f>IF(表1[[#This Row],[No Seri]]="","",表1[[#This Row],[Deskripsi Barang]]+表1[[#This Row],[Kuantitas]]-表1[[#This Row],[Satuan]])</f>
        <v/>
      </c>
      <c r="H3529" s="28"/>
      <c r="I3529" s="25" t="str">
        <f>IF(表1[[#This Row],[Tgl NPBG]]&gt;表1[[#This Row],[Peminta]],表1[[#This Row],[Tgl NPBG]]-表1[[#This Row],[Peminta]],"")</f>
        <v/>
      </c>
      <c r="J3529" s="31"/>
    </row>
    <row r="3530" s="12" customFormat="1" customHeight="1" spans="2:10">
      <c r="B3530" s="25"/>
      <c r="C3530" s="25"/>
      <c r="D3530" s="26" t="str" cm="1">
        <f t="array" ref="D3530">IF(C3530="","",IFERROR(INDEX(STPP!$D$6:$D$4207,MATCH(C3530,STPP!$C$6:$C$4207,0)),"Not Found"))</f>
        <v/>
      </c>
      <c r="E3530" s="27" t="str" cm="1">
        <f t="array" ref="E3530">IF(C3530="","",IFERROR(INDEX(STPP!$E$6:$E$4207,MATCH(C3530,STPP!$C$6:$C$4207,0)),"Not Found"))</f>
        <v/>
      </c>
      <c r="F3530" s="27" t="str" cm="1">
        <f t="array" ref="F3530">IF(C3530="","",IFERROR(INDEX(STPP!$F$6:$F$4207,MATCH(C3530,STPP!$C$6:$C$4207,0)),"Not Found"))</f>
        <v/>
      </c>
      <c r="G3530" s="25" t="str">
        <f>IF(表1[[#This Row],[No Seri]]="","",表1[[#This Row],[Deskripsi Barang]]+表1[[#This Row],[Kuantitas]]-表1[[#This Row],[Satuan]])</f>
        <v/>
      </c>
      <c r="H3530" s="28"/>
      <c r="I3530" s="25" t="str">
        <f>IF(表1[[#This Row],[Tgl NPBG]]&gt;表1[[#This Row],[Peminta]],表1[[#This Row],[Tgl NPBG]]-表1[[#This Row],[Peminta]],"")</f>
        <v/>
      </c>
      <c r="J3530" s="31"/>
    </row>
    <row r="3531" s="12" customFormat="1" customHeight="1" spans="2:10">
      <c r="B3531" s="25"/>
      <c r="C3531" s="25"/>
      <c r="D3531" s="26" t="str" cm="1">
        <f t="array" ref="D3531">IF(C3531="","",IFERROR(INDEX(STPP!$D$6:$D$4207,MATCH(C3531,STPP!$C$6:$C$4207,0)),"Not Found"))</f>
        <v/>
      </c>
      <c r="E3531" s="27" t="str" cm="1">
        <f t="array" ref="E3531">IF(C3531="","",IFERROR(INDEX(STPP!$E$6:$E$4207,MATCH(C3531,STPP!$C$6:$C$4207,0)),"Not Found"))</f>
        <v/>
      </c>
      <c r="F3531" s="27" t="str" cm="1">
        <f t="array" ref="F3531">IF(C3531="","",IFERROR(INDEX(STPP!$F$6:$F$4207,MATCH(C3531,STPP!$C$6:$C$4207,0)),"Not Found"))</f>
        <v/>
      </c>
      <c r="G3531" s="25" t="str">
        <f>IF(表1[[#This Row],[No Seri]]="","",表1[[#This Row],[Deskripsi Barang]]+表1[[#This Row],[Kuantitas]]-表1[[#This Row],[Satuan]])</f>
        <v/>
      </c>
      <c r="H3531" s="28"/>
      <c r="I3531" s="25" t="str">
        <f>IF(表1[[#This Row],[Tgl NPBG]]&gt;表1[[#This Row],[Peminta]],表1[[#This Row],[Tgl NPBG]]-表1[[#This Row],[Peminta]],"")</f>
        <v/>
      </c>
      <c r="J3531" s="31"/>
    </row>
    <row r="3532" s="12" customFormat="1" customHeight="1" spans="2:10">
      <c r="B3532" s="25"/>
      <c r="C3532" s="25"/>
      <c r="D3532" s="26" t="str" cm="1">
        <f t="array" ref="D3532">IF(C3532="","",IFERROR(INDEX(STPP!$D$6:$D$4207,MATCH(C3532,STPP!$C$6:$C$4207,0)),"Not Found"))</f>
        <v/>
      </c>
      <c r="E3532" s="27" t="str" cm="1">
        <f t="array" ref="E3532">IF(C3532="","",IFERROR(INDEX(STPP!$E$6:$E$4207,MATCH(C3532,STPP!$C$6:$C$4207,0)),"Not Found"))</f>
        <v/>
      </c>
      <c r="F3532" s="27" t="str" cm="1">
        <f t="array" ref="F3532">IF(C3532="","",IFERROR(INDEX(STPP!$F$6:$F$4207,MATCH(C3532,STPP!$C$6:$C$4207,0)),"Not Found"))</f>
        <v/>
      </c>
      <c r="G3532" s="25" t="str">
        <f>IF(表1[[#This Row],[No Seri]]="","",表1[[#This Row],[Deskripsi Barang]]+表1[[#This Row],[Kuantitas]]-表1[[#This Row],[Satuan]])</f>
        <v/>
      </c>
      <c r="H3532" s="28"/>
      <c r="I3532" s="25" t="str">
        <f>IF(表1[[#This Row],[Tgl NPBG]]&gt;表1[[#This Row],[Peminta]],表1[[#This Row],[Tgl NPBG]]-表1[[#This Row],[Peminta]],"")</f>
        <v/>
      </c>
      <c r="J3532" s="31"/>
    </row>
    <row r="3533" s="12" customFormat="1" customHeight="1" spans="2:10">
      <c r="B3533" s="25"/>
      <c r="C3533" s="25"/>
      <c r="D3533" s="26" t="str" cm="1">
        <f t="array" ref="D3533">IF(C3533="","",IFERROR(INDEX(STPP!$D$6:$D$4207,MATCH(C3533,STPP!$C$6:$C$4207,0)),"Not Found"))</f>
        <v/>
      </c>
      <c r="E3533" s="27" t="str" cm="1">
        <f t="array" ref="E3533">IF(C3533="","",IFERROR(INDEX(STPP!$E$6:$E$4207,MATCH(C3533,STPP!$C$6:$C$4207,0)),"Not Found"))</f>
        <v/>
      </c>
      <c r="F3533" s="27" t="str" cm="1">
        <f t="array" ref="F3533">IF(C3533="","",IFERROR(INDEX(STPP!$F$6:$F$4207,MATCH(C3533,STPP!$C$6:$C$4207,0)),"Not Found"))</f>
        <v/>
      </c>
      <c r="G3533" s="25" t="str">
        <f>IF(表1[[#This Row],[No Seri]]="","",表1[[#This Row],[Deskripsi Barang]]+表1[[#This Row],[Kuantitas]]-表1[[#This Row],[Satuan]])</f>
        <v/>
      </c>
      <c r="H3533" s="28"/>
      <c r="I3533" s="25" t="str">
        <f>IF(表1[[#This Row],[Tgl NPBG]]&gt;表1[[#This Row],[Peminta]],表1[[#This Row],[Tgl NPBG]]-表1[[#This Row],[Peminta]],"")</f>
        <v/>
      </c>
      <c r="J3533" s="31"/>
    </row>
    <row r="3534" s="12" customFormat="1" customHeight="1" spans="2:10">
      <c r="B3534" s="25"/>
      <c r="C3534" s="25"/>
      <c r="D3534" s="26" t="str" cm="1">
        <f t="array" ref="D3534">IF(C3534="","",IFERROR(INDEX(STPP!$D$6:$D$4207,MATCH(C3534,STPP!$C$6:$C$4207,0)),"Not Found"))</f>
        <v/>
      </c>
      <c r="E3534" s="27" t="str" cm="1">
        <f t="array" ref="E3534">IF(C3534="","",IFERROR(INDEX(STPP!$E$6:$E$4207,MATCH(C3534,STPP!$C$6:$C$4207,0)),"Not Found"))</f>
        <v/>
      </c>
      <c r="F3534" s="27" t="str" cm="1">
        <f t="array" ref="F3534">IF(C3534="","",IFERROR(INDEX(STPP!$F$6:$F$4207,MATCH(C3534,STPP!$C$6:$C$4207,0)),"Not Found"))</f>
        <v/>
      </c>
      <c r="G3534" s="25" t="str">
        <f>IF(表1[[#This Row],[No Seri]]="","",表1[[#This Row],[Deskripsi Barang]]+表1[[#This Row],[Kuantitas]]-表1[[#This Row],[Satuan]])</f>
        <v/>
      </c>
      <c r="H3534" s="28"/>
      <c r="I3534" s="25" t="str">
        <f>IF(表1[[#This Row],[Tgl NPBG]]&gt;表1[[#This Row],[Peminta]],表1[[#This Row],[Tgl NPBG]]-表1[[#This Row],[Peminta]],"")</f>
        <v/>
      </c>
      <c r="J3534" s="31"/>
    </row>
    <row r="3535" s="12" customFormat="1" customHeight="1" spans="2:10">
      <c r="B3535" s="25"/>
      <c r="C3535" s="25"/>
      <c r="D3535" s="26" t="str" cm="1">
        <f t="array" ref="D3535">IF(C3535="","",IFERROR(INDEX(STPP!$D$6:$D$4207,MATCH(C3535,STPP!$C$6:$C$4207,0)),"Not Found"))</f>
        <v/>
      </c>
      <c r="E3535" s="27" t="str" cm="1">
        <f t="array" ref="E3535">IF(C3535="","",IFERROR(INDEX(STPP!$E$6:$E$4207,MATCH(C3535,STPP!$C$6:$C$4207,0)),"Not Found"))</f>
        <v/>
      </c>
      <c r="F3535" s="27" t="str" cm="1">
        <f t="array" ref="F3535">IF(C3535="","",IFERROR(INDEX(STPP!$F$6:$F$4207,MATCH(C3535,STPP!$C$6:$C$4207,0)),"Not Found"))</f>
        <v/>
      </c>
      <c r="G3535" s="25" t="str">
        <f>IF(表1[[#This Row],[No Seri]]="","",表1[[#This Row],[Deskripsi Barang]]+表1[[#This Row],[Kuantitas]]-表1[[#This Row],[Satuan]])</f>
        <v/>
      </c>
      <c r="H3535" s="28"/>
      <c r="I3535" s="25" t="str">
        <f>IF(表1[[#This Row],[Tgl NPBG]]&gt;表1[[#This Row],[Peminta]],表1[[#This Row],[Tgl NPBG]]-表1[[#This Row],[Peminta]],"")</f>
        <v/>
      </c>
      <c r="J3535" s="31"/>
    </row>
    <row r="3536" s="12" customFormat="1" customHeight="1" spans="2:10">
      <c r="B3536" s="25"/>
      <c r="C3536" s="25"/>
      <c r="D3536" s="26" t="str" cm="1">
        <f t="array" ref="D3536">IF(C3536="","",IFERROR(INDEX(STPP!$D$6:$D$4207,MATCH(C3536,STPP!$C$6:$C$4207,0)),"Not Found"))</f>
        <v/>
      </c>
      <c r="E3536" s="27" t="str" cm="1">
        <f t="array" ref="E3536">IF(C3536="","",IFERROR(INDEX(STPP!$E$6:$E$4207,MATCH(C3536,STPP!$C$6:$C$4207,0)),"Not Found"))</f>
        <v/>
      </c>
      <c r="F3536" s="27" t="str" cm="1">
        <f t="array" ref="F3536">IF(C3536="","",IFERROR(INDEX(STPP!$F$6:$F$4207,MATCH(C3536,STPP!$C$6:$C$4207,0)),"Not Found"))</f>
        <v/>
      </c>
      <c r="G3536" s="25" t="str">
        <f>IF(表1[[#This Row],[No Seri]]="","",表1[[#This Row],[Deskripsi Barang]]+表1[[#This Row],[Kuantitas]]-表1[[#This Row],[Satuan]])</f>
        <v/>
      </c>
      <c r="H3536" s="28"/>
      <c r="I3536" s="25" t="str">
        <f>IF(表1[[#This Row],[Tgl NPBG]]&gt;表1[[#This Row],[Peminta]],表1[[#This Row],[Tgl NPBG]]-表1[[#This Row],[Peminta]],"")</f>
        <v/>
      </c>
      <c r="J3536" s="31"/>
    </row>
    <row r="3537" s="12" customFormat="1" customHeight="1" spans="2:10">
      <c r="B3537" s="25"/>
      <c r="C3537" s="25"/>
      <c r="D3537" s="26" t="str" cm="1">
        <f t="array" ref="D3537">IF(C3537="","",IFERROR(INDEX(STPP!$D$6:$D$4207,MATCH(C3537,STPP!$C$6:$C$4207,0)),"Not Found"))</f>
        <v/>
      </c>
      <c r="E3537" s="27" t="str" cm="1">
        <f t="array" ref="E3537">IF(C3537="","",IFERROR(INDEX(STPP!$E$6:$E$4207,MATCH(C3537,STPP!$C$6:$C$4207,0)),"Not Found"))</f>
        <v/>
      </c>
      <c r="F3537" s="27" t="str" cm="1">
        <f t="array" ref="F3537">IF(C3537="","",IFERROR(INDEX(STPP!$F$6:$F$4207,MATCH(C3537,STPP!$C$6:$C$4207,0)),"Not Found"))</f>
        <v/>
      </c>
      <c r="G3537" s="25" t="str">
        <f>IF(表1[[#This Row],[No Seri]]="","",表1[[#This Row],[Deskripsi Barang]]+表1[[#This Row],[Kuantitas]]-表1[[#This Row],[Satuan]])</f>
        <v/>
      </c>
      <c r="H3537" s="28"/>
      <c r="I3537" s="25" t="str">
        <f>IF(表1[[#This Row],[Tgl NPBG]]&gt;表1[[#This Row],[Peminta]],表1[[#This Row],[Tgl NPBG]]-表1[[#This Row],[Peminta]],"")</f>
        <v/>
      </c>
      <c r="J3537" s="31"/>
    </row>
    <row r="3538" s="12" customFormat="1" customHeight="1" spans="2:10">
      <c r="B3538" s="25"/>
      <c r="C3538" s="25"/>
      <c r="D3538" s="26" t="str" cm="1">
        <f t="array" ref="D3538">IF(C3538="","",IFERROR(INDEX(STPP!$D$6:$D$4207,MATCH(C3538,STPP!$C$6:$C$4207,0)),"Not Found"))</f>
        <v/>
      </c>
      <c r="E3538" s="27" t="str" cm="1">
        <f t="array" ref="E3538">IF(C3538="","",IFERROR(INDEX(STPP!$E$6:$E$4207,MATCH(C3538,STPP!$C$6:$C$4207,0)),"Not Found"))</f>
        <v/>
      </c>
      <c r="F3538" s="27" t="str" cm="1">
        <f t="array" ref="F3538">IF(C3538="","",IFERROR(INDEX(STPP!$F$6:$F$4207,MATCH(C3538,STPP!$C$6:$C$4207,0)),"Not Found"))</f>
        <v/>
      </c>
      <c r="G3538" s="25" t="str">
        <f>IF(表1[[#This Row],[No Seri]]="","",表1[[#This Row],[Deskripsi Barang]]+表1[[#This Row],[Kuantitas]]-表1[[#This Row],[Satuan]])</f>
        <v/>
      </c>
      <c r="H3538" s="28"/>
      <c r="I3538" s="25" t="str">
        <f>IF(表1[[#This Row],[Tgl NPBG]]&gt;表1[[#This Row],[Peminta]],表1[[#This Row],[Tgl NPBG]]-表1[[#This Row],[Peminta]],"")</f>
        <v/>
      </c>
      <c r="J3538" s="31"/>
    </row>
    <row r="3539" s="12" customFormat="1" customHeight="1" spans="2:10">
      <c r="B3539" s="25"/>
      <c r="C3539" s="25"/>
      <c r="D3539" s="26" t="str" cm="1">
        <f t="array" ref="D3539">IF(C3539="","",IFERROR(INDEX(STPP!$D$6:$D$4207,MATCH(C3539,STPP!$C$6:$C$4207,0)),"Not Found"))</f>
        <v/>
      </c>
      <c r="E3539" s="27" t="str" cm="1">
        <f t="array" ref="E3539">IF(C3539="","",IFERROR(INDEX(STPP!$E$6:$E$4207,MATCH(C3539,STPP!$C$6:$C$4207,0)),"Not Found"))</f>
        <v/>
      </c>
      <c r="F3539" s="27" t="str" cm="1">
        <f t="array" ref="F3539">IF(C3539="","",IFERROR(INDEX(STPP!$F$6:$F$4207,MATCH(C3539,STPP!$C$6:$C$4207,0)),"Not Found"))</f>
        <v/>
      </c>
      <c r="G3539" s="25" t="str">
        <f>IF(表1[[#This Row],[No Seri]]="","",表1[[#This Row],[Deskripsi Barang]]+表1[[#This Row],[Kuantitas]]-表1[[#This Row],[Satuan]])</f>
        <v/>
      </c>
      <c r="H3539" s="28"/>
      <c r="I3539" s="25" t="str">
        <f>IF(表1[[#This Row],[Tgl NPBG]]&gt;表1[[#This Row],[Peminta]],表1[[#This Row],[Tgl NPBG]]-表1[[#This Row],[Peminta]],"")</f>
        <v/>
      </c>
      <c r="J3539" s="31"/>
    </row>
    <row r="3540" s="12" customFormat="1" customHeight="1" spans="2:10">
      <c r="B3540" s="25"/>
      <c r="C3540" s="25"/>
      <c r="D3540" s="26" t="str" cm="1">
        <f t="array" ref="D3540">IF(C3540="","",IFERROR(INDEX(STPP!$D$6:$D$4207,MATCH(C3540,STPP!$C$6:$C$4207,0)),"Not Found"))</f>
        <v/>
      </c>
      <c r="E3540" s="27" t="str" cm="1">
        <f t="array" ref="E3540">IF(C3540="","",IFERROR(INDEX(STPP!$E$6:$E$4207,MATCH(C3540,STPP!$C$6:$C$4207,0)),"Not Found"))</f>
        <v/>
      </c>
      <c r="F3540" s="27" t="str" cm="1">
        <f t="array" ref="F3540">IF(C3540="","",IFERROR(INDEX(STPP!$F$6:$F$4207,MATCH(C3540,STPP!$C$6:$C$4207,0)),"Not Found"))</f>
        <v/>
      </c>
      <c r="G3540" s="25" t="str">
        <f>IF(表1[[#This Row],[No Seri]]="","",表1[[#This Row],[Deskripsi Barang]]+表1[[#This Row],[Kuantitas]]-表1[[#This Row],[Satuan]])</f>
        <v/>
      </c>
      <c r="H3540" s="28"/>
      <c r="I3540" s="25" t="str">
        <f>IF(表1[[#This Row],[Tgl NPBG]]&gt;表1[[#This Row],[Peminta]],表1[[#This Row],[Tgl NPBG]]-表1[[#This Row],[Peminta]],"")</f>
        <v/>
      </c>
      <c r="J3540" s="31"/>
    </row>
    <row r="3541" s="12" customFormat="1" customHeight="1" spans="2:10">
      <c r="B3541" s="25"/>
      <c r="C3541" s="25"/>
      <c r="D3541" s="26" t="str" cm="1">
        <f t="array" ref="D3541">IF(C3541="","",IFERROR(INDEX(STPP!$D$6:$D$4207,MATCH(C3541,STPP!$C$6:$C$4207,0)),"Not Found"))</f>
        <v/>
      </c>
      <c r="E3541" s="27" t="str" cm="1">
        <f t="array" ref="E3541">IF(C3541="","",IFERROR(INDEX(STPP!$E$6:$E$4207,MATCH(C3541,STPP!$C$6:$C$4207,0)),"Not Found"))</f>
        <v/>
      </c>
      <c r="F3541" s="27" t="str" cm="1">
        <f t="array" ref="F3541">IF(C3541="","",IFERROR(INDEX(STPP!$F$6:$F$4207,MATCH(C3541,STPP!$C$6:$C$4207,0)),"Not Found"))</f>
        <v/>
      </c>
      <c r="G3541" s="25" t="str">
        <f>IF(表1[[#This Row],[No Seri]]="","",表1[[#This Row],[Deskripsi Barang]]+表1[[#This Row],[Kuantitas]]-表1[[#This Row],[Satuan]])</f>
        <v/>
      </c>
      <c r="H3541" s="28"/>
      <c r="I3541" s="25" t="str">
        <f>IF(表1[[#This Row],[Tgl NPBG]]&gt;表1[[#This Row],[Peminta]],表1[[#This Row],[Tgl NPBG]]-表1[[#This Row],[Peminta]],"")</f>
        <v/>
      </c>
      <c r="J3541" s="31"/>
    </row>
    <row r="3542" s="12" customFormat="1" customHeight="1" spans="2:10">
      <c r="B3542" s="25"/>
      <c r="C3542" s="25"/>
      <c r="D3542" s="26" t="str" cm="1">
        <f t="array" ref="D3542">IF(C3542="","",IFERROR(INDEX(STPP!$D$6:$D$4207,MATCH(C3542,STPP!$C$6:$C$4207,0)),"Not Found"))</f>
        <v/>
      </c>
      <c r="E3542" s="27" t="str" cm="1">
        <f t="array" ref="E3542">IF(C3542="","",IFERROR(INDEX(STPP!$E$6:$E$4207,MATCH(C3542,STPP!$C$6:$C$4207,0)),"Not Found"))</f>
        <v/>
      </c>
      <c r="F3542" s="27" t="str" cm="1">
        <f t="array" ref="F3542">IF(C3542="","",IFERROR(INDEX(STPP!$F$6:$F$4207,MATCH(C3542,STPP!$C$6:$C$4207,0)),"Not Found"))</f>
        <v/>
      </c>
      <c r="G3542" s="25" t="str">
        <f>IF(表1[[#This Row],[No Seri]]="","",表1[[#This Row],[Deskripsi Barang]]+表1[[#This Row],[Kuantitas]]-表1[[#This Row],[Satuan]])</f>
        <v/>
      </c>
      <c r="H3542" s="28"/>
      <c r="I3542" s="25" t="str">
        <f>IF(表1[[#This Row],[Tgl NPBG]]&gt;表1[[#This Row],[Peminta]],表1[[#This Row],[Tgl NPBG]]-表1[[#This Row],[Peminta]],"")</f>
        <v/>
      </c>
      <c r="J3542" s="31"/>
    </row>
    <row r="3543" s="12" customFormat="1" customHeight="1" spans="2:10">
      <c r="B3543" s="25"/>
      <c r="C3543" s="25"/>
      <c r="D3543" s="26" t="str" cm="1">
        <f t="array" ref="D3543">IF(C3543="","",IFERROR(INDEX(STPP!$D$6:$D$4207,MATCH(C3543,STPP!$C$6:$C$4207,0)),"Not Found"))</f>
        <v/>
      </c>
      <c r="E3543" s="27" t="str" cm="1">
        <f t="array" ref="E3543">IF(C3543="","",IFERROR(INDEX(STPP!$E$6:$E$4207,MATCH(C3543,STPP!$C$6:$C$4207,0)),"Not Found"))</f>
        <v/>
      </c>
      <c r="F3543" s="27" t="str" cm="1">
        <f t="array" ref="F3543">IF(C3543="","",IFERROR(INDEX(STPP!$F$6:$F$4207,MATCH(C3543,STPP!$C$6:$C$4207,0)),"Not Found"))</f>
        <v/>
      </c>
      <c r="G3543" s="25" t="str">
        <f>IF(表1[[#This Row],[No Seri]]="","",表1[[#This Row],[Deskripsi Barang]]+表1[[#This Row],[Kuantitas]]-表1[[#This Row],[Satuan]])</f>
        <v/>
      </c>
      <c r="H3543" s="28"/>
      <c r="I3543" s="25" t="str">
        <f>IF(表1[[#This Row],[Tgl NPBG]]&gt;表1[[#This Row],[Peminta]],表1[[#This Row],[Tgl NPBG]]-表1[[#This Row],[Peminta]],"")</f>
        <v/>
      </c>
      <c r="J3543" s="31"/>
    </row>
    <row r="3544" s="12" customFormat="1" customHeight="1" spans="2:10">
      <c r="B3544" s="25"/>
      <c r="C3544" s="25"/>
      <c r="D3544" s="26" t="str" cm="1">
        <f t="array" ref="D3544">IF(C3544="","",IFERROR(INDEX(STPP!$D$6:$D$4207,MATCH(C3544,STPP!$C$6:$C$4207,0)),"Not Found"))</f>
        <v/>
      </c>
      <c r="E3544" s="27" t="str" cm="1">
        <f t="array" ref="E3544">IF(C3544="","",IFERROR(INDEX(STPP!$E$6:$E$4207,MATCH(C3544,STPP!$C$6:$C$4207,0)),"Not Found"))</f>
        <v/>
      </c>
      <c r="F3544" s="27" t="str" cm="1">
        <f t="array" ref="F3544">IF(C3544="","",IFERROR(INDEX(STPP!$F$6:$F$4207,MATCH(C3544,STPP!$C$6:$C$4207,0)),"Not Found"))</f>
        <v/>
      </c>
      <c r="G3544" s="25" t="str">
        <f>IF(表1[[#This Row],[No Seri]]="","",表1[[#This Row],[Deskripsi Barang]]+表1[[#This Row],[Kuantitas]]-表1[[#This Row],[Satuan]])</f>
        <v/>
      </c>
      <c r="H3544" s="28"/>
      <c r="I3544" s="25" t="str">
        <f>IF(表1[[#This Row],[Tgl NPBG]]&gt;表1[[#This Row],[Peminta]],表1[[#This Row],[Tgl NPBG]]-表1[[#This Row],[Peminta]],"")</f>
        <v/>
      </c>
      <c r="J3544" s="31"/>
    </row>
    <row r="3545" s="12" customFormat="1" customHeight="1" spans="2:10">
      <c r="B3545" s="25"/>
      <c r="C3545" s="25"/>
      <c r="D3545" s="26" t="str" cm="1">
        <f t="array" ref="D3545">IF(C3545="","",IFERROR(INDEX(STPP!$D$6:$D$4207,MATCH(C3545,STPP!$C$6:$C$4207,0)),"Not Found"))</f>
        <v/>
      </c>
      <c r="E3545" s="27" t="str" cm="1">
        <f t="array" ref="E3545">IF(C3545="","",IFERROR(INDEX(STPP!$E$6:$E$4207,MATCH(C3545,STPP!$C$6:$C$4207,0)),"Not Found"))</f>
        <v/>
      </c>
      <c r="F3545" s="27" t="str" cm="1">
        <f t="array" ref="F3545">IF(C3545="","",IFERROR(INDEX(STPP!$F$6:$F$4207,MATCH(C3545,STPP!$C$6:$C$4207,0)),"Not Found"))</f>
        <v/>
      </c>
      <c r="G3545" s="25" t="str">
        <f>IF(表1[[#This Row],[No Seri]]="","",表1[[#This Row],[Deskripsi Barang]]+表1[[#This Row],[Kuantitas]]-表1[[#This Row],[Satuan]])</f>
        <v/>
      </c>
      <c r="H3545" s="28"/>
      <c r="I3545" s="25" t="str">
        <f>IF(表1[[#This Row],[Tgl NPBG]]&gt;表1[[#This Row],[Peminta]],表1[[#This Row],[Tgl NPBG]]-表1[[#This Row],[Peminta]],"")</f>
        <v/>
      </c>
      <c r="J3545" s="31"/>
    </row>
    <row r="3546" s="12" customFormat="1" customHeight="1" spans="2:10">
      <c r="B3546" s="25"/>
      <c r="C3546" s="25"/>
      <c r="D3546" s="26" t="str" cm="1">
        <f t="array" ref="D3546">IF(C3546="","",IFERROR(INDEX(STPP!$D$6:$D$4207,MATCH(C3546,STPP!$C$6:$C$4207,0)),"Not Found"))</f>
        <v/>
      </c>
      <c r="E3546" s="27" t="str" cm="1">
        <f t="array" ref="E3546">IF(C3546="","",IFERROR(INDEX(STPP!$E$6:$E$4207,MATCH(C3546,STPP!$C$6:$C$4207,0)),"Not Found"))</f>
        <v/>
      </c>
      <c r="F3546" s="27" t="str" cm="1">
        <f t="array" ref="F3546">IF(C3546="","",IFERROR(INDEX(STPP!$F$6:$F$4207,MATCH(C3546,STPP!$C$6:$C$4207,0)),"Not Found"))</f>
        <v/>
      </c>
      <c r="G3546" s="25" t="str">
        <f>IF(表1[[#This Row],[No Seri]]="","",表1[[#This Row],[Deskripsi Barang]]+表1[[#This Row],[Kuantitas]]-表1[[#This Row],[Satuan]])</f>
        <v/>
      </c>
      <c r="H3546" s="28"/>
      <c r="I3546" s="25" t="str">
        <f>IF(表1[[#This Row],[Tgl NPBG]]&gt;表1[[#This Row],[Peminta]],表1[[#This Row],[Tgl NPBG]]-表1[[#This Row],[Peminta]],"")</f>
        <v/>
      </c>
      <c r="J3546" s="31"/>
    </row>
    <row r="3547" s="12" customFormat="1" customHeight="1" spans="2:10">
      <c r="B3547" s="25"/>
      <c r="C3547" s="25"/>
      <c r="D3547" s="26" t="str" cm="1">
        <f t="array" ref="D3547">IF(C3547="","",IFERROR(INDEX(STPP!$D$6:$D$4207,MATCH(C3547,STPP!$C$6:$C$4207,0)),"Not Found"))</f>
        <v/>
      </c>
      <c r="E3547" s="27" t="str" cm="1">
        <f t="array" ref="E3547">IF(C3547="","",IFERROR(INDEX(STPP!$E$6:$E$4207,MATCH(C3547,STPP!$C$6:$C$4207,0)),"Not Found"))</f>
        <v/>
      </c>
      <c r="F3547" s="27" t="str" cm="1">
        <f t="array" ref="F3547">IF(C3547="","",IFERROR(INDEX(STPP!$F$6:$F$4207,MATCH(C3547,STPP!$C$6:$C$4207,0)),"Not Found"))</f>
        <v/>
      </c>
      <c r="G3547" s="25" t="str">
        <f>IF(表1[[#This Row],[No Seri]]="","",表1[[#This Row],[Deskripsi Barang]]+表1[[#This Row],[Kuantitas]]-表1[[#This Row],[Satuan]])</f>
        <v/>
      </c>
      <c r="H3547" s="28"/>
      <c r="I3547" s="25" t="str">
        <f>IF(表1[[#This Row],[Tgl NPBG]]&gt;表1[[#This Row],[Peminta]],表1[[#This Row],[Tgl NPBG]]-表1[[#This Row],[Peminta]],"")</f>
        <v/>
      </c>
      <c r="J3547" s="31"/>
    </row>
    <row r="3548" s="12" customFormat="1" customHeight="1" spans="2:10">
      <c r="B3548" s="25"/>
      <c r="C3548" s="25"/>
      <c r="D3548" s="26" t="str" cm="1">
        <f t="array" ref="D3548">IF(C3548="","",IFERROR(INDEX(STPP!$D$6:$D$4207,MATCH(C3548,STPP!$C$6:$C$4207,0)),"Not Found"))</f>
        <v/>
      </c>
      <c r="E3548" s="27" t="str" cm="1">
        <f t="array" ref="E3548">IF(C3548="","",IFERROR(INDEX(STPP!$E$6:$E$4207,MATCH(C3548,STPP!$C$6:$C$4207,0)),"Not Found"))</f>
        <v/>
      </c>
      <c r="F3548" s="27" t="str" cm="1">
        <f t="array" ref="F3548">IF(C3548="","",IFERROR(INDEX(STPP!$F$6:$F$4207,MATCH(C3548,STPP!$C$6:$C$4207,0)),"Not Found"))</f>
        <v/>
      </c>
      <c r="G3548" s="25" t="str">
        <f>IF(表1[[#This Row],[No Seri]]="","",表1[[#This Row],[Deskripsi Barang]]+表1[[#This Row],[Kuantitas]]-表1[[#This Row],[Satuan]])</f>
        <v/>
      </c>
      <c r="H3548" s="28"/>
      <c r="I3548" s="25" t="str">
        <f>IF(表1[[#This Row],[Tgl NPBG]]&gt;表1[[#This Row],[Peminta]],表1[[#This Row],[Tgl NPBG]]-表1[[#This Row],[Peminta]],"")</f>
        <v/>
      </c>
      <c r="J3548" s="31"/>
    </row>
    <row r="3549" s="12" customFormat="1" customHeight="1" spans="2:10">
      <c r="B3549" s="25"/>
      <c r="C3549" s="25"/>
      <c r="D3549" s="26" t="str" cm="1">
        <f t="array" ref="D3549">IF(C3549="","",IFERROR(INDEX(STPP!$D$6:$D$4207,MATCH(C3549,STPP!$C$6:$C$4207,0)),"Not Found"))</f>
        <v/>
      </c>
      <c r="E3549" s="27" t="str" cm="1">
        <f t="array" ref="E3549">IF(C3549="","",IFERROR(INDEX(STPP!$E$6:$E$4207,MATCH(C3549,STPP!$C$6:$C$4207,0)),"Not Found"))</f>
        <v/>
      </c>
      <c r="F3549" s="27" t="str" cm="1">
        <f t="array" ref="F3549">IF(C3549="","",IFERROR(INDEX(STPP!$F$6:$F$4207,MATCH(C3549,STPP!$C$6:$C$4207,0)),"Not Found"))</f>
        <v/>
      </c>
      <c r="G3549" s="25" t="str">
        <f>IF(表1[[#This Row],[No Seri]]="","",表1[[#This Row],[Deskripsi Barang]]+表1[[#This Row],[Kuantitas]]-表1[[#This Row],[Satuan]])</f>
        <v/>
      </c>
      <c r="H3549" s="28"/>
      <c r="I3549" s="25" t="str">
        <f>IF(表1[[#This Row],[Tgl NPBG]]&gt;表1[[#This Row],[Peminta]],表1[[#This Row],[Tgl NPBG]]-表1[[#This Row],[Peminta]],"")</f>
        <v/>
      </c>
      <c r="J3549" s="31"/>
    </row>
    <row r="3550" s="12" customFormat="1" customHeight="1" spans="2:10">
      <c r="B3550" s="25"/>
      <c r="C3550" s="25"/>
      <c r="D3550" s="26" t="str" cm="1">
        <f t="array" ref="D3550">IF(C3550="","",IFERROR(INDEX(STPP!$D$6:$D$4207,MATCH(C3550,STPP!$C$6:$C$4207,0)),"Not Found"))</f>
        <v/>
      </c>
      <c r="E3550" s="27" t="str" cm="1">
        <f t="array" ref="E3550">IF(C3550="","",IFERROR(INDEX(STPP!$E$6:$E$4207,MATCH(C3550,STPP!$C$6:$C$4207,0)),"Not Found"))</f>
        <v/>
      </c>
      <c r="F3550" s="27" t="str" cm="1">
        <f t="array" ref="F3550">IF(C3550="","",IFERROR(INDEX(STPP!$F$6:$F$4207,MATCH(C3550,STPP!$C$6:$C$4207,0)),"Not Found"))</f>
        <v/>
      </c>
      <c r="G3550" s="25" t="str">
        <f>IF(表1[[#This Row],[No Seri]]="","",表1[[#This Row],[Deskripsi Barang]]+表1[[#This Row],[Kuantitas]]-表1[[#This Row],[Satuan]])</f>
        <v/>
      </c>
      <c r="H3550" s="28"/>
      <c r="I3550" s="25" t="str">
        <f>IF(表1[[#This Row],[Tgl NPBG]]&gt;表1[[#This Row],[Peminta]],表1[[#This Row],[Tgl NPBG]]-表1[[#This Row],[Peminta]],"")</f>
        <v/>
      </c>
      <c r="J3550" s="31"/>
    </row>
    <row r="3551" s="12" customFormat="1" customHeight="1" spans="2:10">
      <c r="B3551" s="25"/>
      <c r="C3551" s="25"/>
      <c r="D3551" s="26" t="str" cm="1">
        <f t="array" ref="D3551">IF(C3551="","",IFERROR(INDEX(STPP!$D$6:$D$4207,MATCH(C3551,STPP!$C$6:$C$4207,0)),"Not Found"))</f>
        <v/>
      </c>
      <c r="E3551" s="27" t="str" cm="1">
        <f t="array" ref="E3551">IF(C3551="","",IFERROR(INDEX(STPP!$E$6:$E$4207,MATCH(C3551,STPP!$C$6:$C$4207,0)),"Not Found"))</f>
        <v/>
      </c>
      <c r="F3551" s="27" t="str" cm="1">
        <f t="array" ref="F3551">IF(C3551="","",IFERROR(INDEX(STPP!$F$6:$F$4207,MATCH(C3551,STPP!$C$6:$C$4207,0)),"Not Found"))</f>
        <v/>
      </c>
      <c r="G3551" s="25" t="str">
        <f>IF(表1[[#This Row],[No Seri]]="","",表1[[#This Row],[Deskripsi Barang]]+表1[[#This Row],[Kuantitas]]-表1[[#This Row],[Satuan]])</f>
        <v/>
      </c>
      <c r="H3551" s="28"/>
      <c r="I3551" s="25" t="str">
        <f>IF(表1[[#This Row],[Tgl NPBG]]&gt;表1[[#This Row],[Peminta]],表1[[#This Row],[Tgl NPBG]]-表1[[#This Row],[Peminta]],"")</f>
        <v/>
      </c>
      <c r="J3551" s="31"/>
    </row>
    <row r="3552" s="12" customFormat="1" customHeight="1" spans="2:10">
      <c r="B3552" s="25"/>
      <c r="C3552" s="25"/>
      <c r="D3552" s="26" t="str" cm="1">
        <f t="array" ref="D3552">IF(C3552="","",IFERROR(INDEX(STPP!$D$6:$D$4207,MATCH(C3552,STPP!$C$6:$C$4207,0)),"Not Found"))</f>
        <v/>
      </c>
      <c r="E3552" s="27" t="str" cm="1">
        <f t="array" ref="E3552">IF(C3552="","",IFERROR(INDEX(STPP!$E$6:$E$4207,MATCH(C3552,STPP!$C$6:$C$4207,0)),"Not Found"))</f>
        <v/>
      </c>
      <c r="F3552" s="27" t="str" cm="1">
        <f t="array" ref="F3552">IF(C3552="","",IFERROR(INDEX(STPP!$F$6:$F$4207,MATCH(C3552,STPP!$C$6:$C$4207,0)),"Not Found"))</f>
        <v/>
      </c>
      <c r="G3552" s="25" t="str">
        <f>IF(表1[[#This Row],[No Seri]]="","",表1[[#This Row],[Deskripsi Barang]]+表1[[#This Row],[Kuantitas]]-表1[[#This Row],[Satuan]])</f>
        <v/>
      </c>
      <c r="H3552" s="28"/>
      <c r="I3552" s="25" t="str">
        <f>IF(表1[[#This Row],[Tgl NPBG]]&gt;表1[[#This Row],[Peminta]],表1[[#This Row],[Tgl NPBG]]-表1[[#This Row],[Peminta]],"")</f>
        <v/>
      </c>
      <c r="J3552" s="31"/>
    </row>
    <row r="3553" s="12" customFormat="1" customHeight="1" spans="2:10">
      <c r="B3553" s="25"/>
      <c r="C3553" s="25"/>
      <c r="D3553" s="26" t="str" cm="1">
        <f t="array" ref="D3553">IF(C3553="","",IFERROR(INDEX(STPP!$D$6:$D$4207,MATCH(C3553,STPP!$C$6:$C$4207,0)),"Not Found"))</f>
        <v/>
      </c>
      <c r="E3553" s="27" t="str" cm="1">
        <f t="array" ref="E3553">IF(C3553="","",IFERROR(INDEX(STPP!$E$6:$E$4207,MATCH(C3553,STPP!$C$6:$C$4207,0)),"Not Found"))</f>
        <v/>
      </c>
      <c r="F3553" s="27" t="str" cm="1">
        <f t="array" ref="F3553">IF(C3553="","",IFERROR(INDEX(STPP!$F$6:$F$4207,MATCH(C3553,STPP!$C$6:$C$4207,0)),"Not Found"))</f>
        <v/>
      </c>
      <c r="G3553" s="25" t="str">
        <f>IF(表1[[#This Row],[No Seri]]="","",表1[[#This Row],[Deskripsi Barang]]+表1[[#This Row],[Kuantitas]]-表1[[#This Row],[Satuan]])</f>
        <v/>
      </c>
      <c r="H3553" s="28"/>
      <c r="I3553" s="25" t="str">
        <f>IF(表1[[#This Row],[Tgl NPBG]]&gt;表1[[#This Row],[Peminta]],表1[[#This Row],[Tgl NPBG]]-表1[[#This Row],[Peminta]],"")</f>
        <v/>
      </c>
      <c r="J3553" s="31"/>
    </row>
    <row r="3554" s="12" customFormat="1" customHeight="1" spans="2:10">
      <c r="B3554" s="25"/>
      <c r="C3554" s="25"/>
      <c r="D3554" s="26" t="str" cm="1">
        <f t="array" ref="D3554">IF(C3554="","",IFERROR(INDEX(STPP!$D$6:$D$4207,MATCH(C3554,STPP!$C$6:$C$4207,0)),"Not Found"))</f>
        <v/>
      </c>
      <c r="E3554" s="27" t="str" cm="1">
        <f t="array" ref="E3554">IF(C3554="","",IFERROR(INDEX(STPP!$E$6:$E$4207,MATCH(C3554,STPP!$C$6:$C$4207,0)),"Not Found"))</f>
        <v/>
      </c>
      <c r="F3554" s="27" t="str" cm="1">
        <f t="array" ref="F3554">IF(C3554="","",IFERROR(INDEX(STPP!$F$6:$F$4207,MATCH(C3554,STPP!$C$6:$C$4207,0)),"Not Found"))</f>
        <v/>
      </c>
      <c r="G3554" s="25" t="str">
        <f>IF(表1[[#This Row],[No Seri]]="","",表1[[#This Row],[Deskripsi Barang]]+表1[[#This Row],[Kuantitas]]-表1[[#This Row],[Satuan]])</f>
        <v/>
      </c>
      <c r="H3554" s="28"/>
      <c r="I3554" s="25" t="str">
        <f>IF(表1[[#This Row],[Tgl NPBG]]&gt;表1[[#This Row],[Peminta]],表1[[#This Row],[Tgl NPBG]]-表1[[#This Row],[Peminta]],"")</f>
        <v/>
      </c>
      <c r="J3554" s="31"/>
    </row>
    <row r="3555" s="12" customFormat="1" customHeight="1" spans="2:10">
      <c r="B3555" s="25"/>
      <c r="C3555" s="25"/>
      <c r="D3555" s="26" t="str" cm="1">
        <f t="array" ref="D3555">IF(C3555="","",IFERROR(INDEX(STPP!$D$6:$D$4207,MATCH(C3555,STPP!$C$6:$C$4207,0)),"Not Found"))</f>
        <v/>
      </c>
      <c r="E3555" s="27" t="str" cm="1">
        <f t="array" ref="E3555">IF(C3555="","",IFERROR(INDEX(STPP!$E$6:$E$4207,MATCH(C3555,STPP!$C$6:$C$4207,0)),"Not Found"))</f>
        <v/>
      </c>
      <c r="F3555" s="27" t="str" cm="1">
        <f t="array" ref="F3555">IF(C3555="","",IFERROR(INDEX(STPP!$F$6:$F$4207,MATCH(C3555,STPP!$C$6:$C$4207,0)),"Not Found"))</f>
        <v/>
      </c>
      <c r="G3555" s="25" t="str">
        <f>IF(表1[[#This Row],[No Seri]]="","",表1[[#This Row],[Deskripsi Barang]]+表1[[#This Row],[Kuantitas]]-表1[[#This Row],[Satuan]])</f>
        <v/>
      </c>
      <c r="H3555" s="28"/>
      <c r="I3555" s="25" t="str">
        <f>IF(表1[[#This Row],[Tgl NPBG]]&gt;表1[[#This Row],[Peminta]],表1[[#This Row],[Tgl NPBG]]-表1[[#This Row],[Peminta]],"")</f>
        <v/>
      </c>
      <c r="J3555" s="31"/>
    </row>
    <row r="3556" s="12" customFormat="1" customHeight="1" spans="2:10">
      <c r="B3556" s="25"/>
      <c r="C3556" s="25"/>
      <c r="D3556" s="26" t="str" cm="1">
        <f t="array" ref="D3556">IF(C3556="","",IFERROR(INDEX(STPP!$D$6:$D$4207,MATCH(C3556,STPP!$C$6:$C$4207,0)),"Not Found"))</f>
        <v/>
      </c>
      <c r="E3556" s="27" t="str" cm="1">
        <f t="array" ref="E3556">IF(C3556="","",IFERROR(INDEX(STPP!$E$6:$E$4207,MATCH(C3556,STPP!$C$6:$C$4207,0)),"Not Found"))</f>
        <v/>
      </c>
      <c r="F3556" s="27" t="str" cm="1">
        <f t="array" ref="F3556">IF(C3556="","",IFERROR(INDEX(STPP!$F$6:$F$4207,MATCH(C3556,STPP!$C$6:$C$4207,0)),"Not Found"))</f>
        <v/>
      </c>
      <c r="G3556" s="25" t="str">
        <f>IF(表1[[#This Row],[No Seri]]="","",表1[[#This Row],[Deskripsi Barang]]+表1[[#This Row],[Kuantitas]]-表1[[#This Row],[Satuan]])</f>
        <v/>
      </c>
      <c r="H3556" s="28"/>
      <c r="I3556" s="25" t="str">
        <f>IF(表1[[#This Row],[Tgl NPBG]]&gt;表1[[#This Row],[Peminta]],表1[[#This Row],[Tgl NPBG]]-表1[[#This Row],[Peminta]],"")</f>
        <v/>
      </c>
      <c r="J3556" s="31"/>
    </row>
    <row r="3557" s="12" customFormat="1" customHeight="1" spans="2:10">
      <c r="B3557" s="25"/>
      <c r="C3557" s="25"/>
      <c r="D3557" s="26" t="str" cm="1">
        <f t="array" ref="D3557">IF(C3557="","",IFERROR(INDEX(STPP!$D$6:$D$4207,MATCH(C3557,STPP!$C$6:$C$4207,0)),"Not Found"))</f>
        <v/>
      </c>
      <c r="E3557" s="27" t="str" cm="1">
        <f t="array" ref="E3557">IF(C3557="","",IFERROR(INDEX(STPP!$E$6:$E$4207,MATCH(C3557,STPP!$C$6:$C$4207,0)),"Not Found"))</f>
        <v/>
      </c>
      <c r="F3557" s="27" t="str" cm="1">
        <f t="array" ref="F3557">IF(C3557="","",IFERROR(INDEX(STPP!$F$6:$F$4207,MATCH(C3557,STPP!$C$6:$C$4207,0)),"Not Found"))</f>
        <v/>
      </c>
      <c r="G3557" s="25" t="str">
        <f>IF(表1[[#This Row],[No Seri]]="","",表1[[#This Row],[Deskripsi Barang]]+表1[[#This Row],[Kuantitas]]-表1[[#This Row],[Satuan]])</f>
        <v/>
      </c>
      <c r="H3557" s="28"/>
      <c r="I3557" s="25" t="str">
        <f>IF(表1[[#This Row],[Tgl NPBG]]&gt;表1[[#This Row],[Peminta]],表1[[#This Row],[Tgl NPBG]]-表1[[#This Row],[Peminta]],"")</f>
        <v/>
      </c>
      <c r="J3557" s="31"/>
    </row>
    <row r="3558" s="12" customFormat="1" customHeight="1" spans="2:10">
      <c r="B3558" s="25"/>
      <c r="C3558" s="25"/>
      <c r="D3558" s="26" t="str" cm="1">
        <f t="array" ref="D3558">IF(C3558="","",IFERROR(INDEX(STPP!$D$6:$D$4207,MATCH(C3558,STPP!$C$6:$C$4207,0)),"Not Found"))</f>
        <v/>
      </c>
      <c r="E3558" s="27" t="str" cm="1">
        <f t="array" ref="E3558">IF(C3558="","",IFERROR(INDEX(STPP!$E$6:$E$4207,MATCH(C3558,STPP!$C$6:$C$4207,0)),"Not Found"))</f>
        <v/>
      </c>
      <c r="F3558" s="27" t="str" cm="1">
        <f t="array" ref="F3558">IF(C3558="","",IFERROR(INDEX(STPP!$F$6:$F$4207,MATCH(C3558,STPP!$C$6:$C$4207,0)),"Not Found"))</f>
        <v/>
      </c>
      <c r="G3558" s="25" t="str">
        <f>IF(表1[[#This Row],[No Seri]]="","",表1[[#This Row],[Deskripsi Barang]]+表1[[#This Row],[Kuantitas]]-表1[[#This Row],[Satuan]])</f>
        <v/>
      </c>
      <c r="H3558" s="28"/>
      <c r="I3558" s="25" t="str">
        <f>IF(表1[[#This Row],[Tgl NPBG]]&gt;表1[[#This Row],[Peminta]],表1[[#This Row],[Tgl NPBG]]-表1[[#This Row],[Peminta]],"")</f>
        <v/>
      </c>
      <c r="J3558" s="31"/>
    </row>
    <row r="3559" s="12" customFormat="1" customHeight="1" spans="2:10">
      <c r="B3559" s="25"/>
      <c r="C3559" s="25"/>
      <c r="D3559" s="26" t="str" cm="1">
        <f t="array" ref="D3559">IF(C3559="","",IFERROR(INDEX(STPP!$D$6:$D$4207,MATCH(C3559,STPP!$C$6:$C$4207,0)),"Not Found"))</f>
        <v/>
      </c>
      <c r="E3559" s="27" t="str" cm="1">
        <f t="array" ref="E3559">IF(C3559="","",IFERROR(INDEX(STPP!$E$6:$E$4207,MATCH(C3559,STPP!$C$6:$C$4207,0)),"Not Found"))</f>
        <v/>
      </c>
      <c r="F3559" s="27" t="str" cm="1">
        <f t="array" ref="F3559">IF(C3559="","",IFERROR(INDEX(STPP!$F$6:$F$4207,MATCH(C3559,STPP!$C$6:$C$4207,0)),"Not Found"))</f>
        <v/>
      </c>
      <c r="G3559" s="25" t="str">
        <f>IF(表1[[#This Row],[No Seri]]="","",表1[[#This Row],[Deskripsi Barang]]+表1[[#This Row],[Kuantitas]]-表1[[#This Row],[Satuan]])</f>
        <v/>
      </c>
      <c r="H3559" s="28"/>
      <c r="I3559" s="25" t="str">
        <f>IF(表1[[#This Row],[Tgl NPBG]]&gt;表1[[#This Row],[Peminta]],表1[[#This Row],[Tgl NPBG]]-表1[[#This Row],[Peminta]],"")</f>
        <v/>
      </c>
      <c r="J3559" s="31"/>
    </row>
    <row r="3560" s="12" customFormat="1" customHeight="1" spans="2:10">
      <c r="B3560" s="25"/>
      <c r="C3560" s="25"/>
      <c r="D3560" s="26" t="str" cm="1">
        <f t="array" ref="D3560">IF(C3560="","",IFERROR(INDEX(STPP!$D$6:$D$4207,MATCH(C3560,STPP!$C$6:$C$4207,0)),"Not Found"))</f>
        <v/>
      </c>
      <c r="E3560" s="27" t="str" cm="1">
        <f t="array" ref="E3560">IF(C3560="","",IFERROR(INDEX(STPP!$E$6:$E$4207,MATCH(C3560,STPP!$C$6:$C$4207,0)),"Not Found"))</f>
        <v/>
      </c>
      <c r="F3560" s="27" t="str" cm="1">
        <f t="array" ref="F3560">IF(C3560="","",IFERROR(INDEX(STPP!$F$6:$F$4207,MATCH(C3560,STPP!$C$6:$C$4207,0)),"Not Found"))</f>
        <v/>
      </c>
      <c r="G3560" s="25" t="str">
        <f>IF(表1[[#This Row],[No Seri]]="","",表1[[#This Row],[Deskripsi Barang]]+表1[[#This Row],[Kuantitas]]-表1[[#This Row],[Satuan]])</f>
        <v/>
      </c>
      <c r="H3560" s="28"/>
      <c r="I3560" s="25" t="str">
        <f>IF(表1[[#This Row],[Tgl NPBG]]&gt;表1[[#This Row],[Peminta]],表1[[#This Row],[Tgl NPBG]]-表1[[#This Row],[Peminta]],"")</f>
        <v/>
      </c>
      <c r="J3560" s="31"/>
    </row>
    <row r="3561" s="12" customFormat="1" customHeight="1" spans="2:10">
      <c r="B3561" s="25"/>
      <c r="C3561" s="25"/>
      <c r="D3561" s="26" t="str" cm="1">
        <f t="array" ref="D3561">IF(C3561="","",IFERROR(INDEX(STPP!$D$6:$D$4207,MATCH(C3561,STPP!$C$6:$C$4207,0)),"Not Found"))</f>
        <v/>
      </c>
      <c r="E3561" s="27" t="str" cm="1">
        <f t="array" ref="E3561">IF(C3561="","",IFERROR(INDEX(STPP!$E$6:$E$4207,MATCH(C3561,STPP!$C$6:$C$4207,0)),"Not Found"))</f>
        <v/>
      </c>
      <c r="F3561" s="27" t="str" cm="1">
        <f t="array" ref="F3561">IF(C3561="","",IFERROR(INDEX(STPP!$F$6:$F$4207,MATCH(C3561,STPP!$C$6:$C$4207,0)),"Not Found"))</f>
        <v/>
      </c>
      <c r="G3561" s="25" t="str">
        <f>IF(表1[[#This Row],[No Seri]]="","",表1[[#This Row],[Deskripsi Barang]]+表1[[#This Row],[Kuantitas]]-表1[[#This Row],[Satuan]])</f>
        <v/>
      </c>
      <c r="H3561" s="28"/>
      <c r="I3561" s="25" t="str">
        <f>IF(表1[[#This Row],[Tgl NPBG]]&gt;表1[[#This Row],[Peminta]],表1[[#This Row],[Tgl NPBG]]-表1[[#This Row],[Peminta]],"")</f>
        <v/>
      </c>
      <c r="J3561" s="31"/>
    </row>
    <row r="3562" s="12" customFormat="1" customHeight="1" spans="2:10">
      <c r="B3562" s="25"/>
      <c r="C3562" s="25"/>
      <c r="D3562" s="26" t="str" cm="1">
        <f t="array" ref="D3562">IF(C3562="","",IFERROR(INDEX(STPP!$D$6:$D$4207,MATCH(C3562,STPP!$C$6:$C$4207,0)),"Not Found"))</f>
        <v/>
      </c>
      <c r="E3562" s="27" t="str" cm="1">
        <f t="array" ref="E3562">IF(C3562="","",IFERROR(INDEX(STPP!$E$6:$E$4207,MATCH(C3562,STPP!$C$6:$C$4207,0)),"Not Found"))</f>
        <v/>
      </c>
      <c r="F3562" s="27" t="str" cm="1">
        <f t="array" ref="F3562">IF(C3562="","",IFERROR(INDEX(STPP!$F$6:$F$4207,MATCH(C3562,STPP!$C$6:$C$4207,0)),"Not Found"))</f>
        <v/>
      </c>
      <c r="G3562" s="25" t="str">
        <f>IF(表1[[#This Row],[No Seri]]="","",表1[[#This Row],[Deskripsi Barang]]+表1[[#This Row],[Kuantitas]]-表1[[#This Row],[Satuan]])</f>
        <v/>
      </c>
      <c r="H3562" s="28"/>
      <c r="I3562" s="25" t="str">
        <f>IF(表1[[#This Row],[Tgl NPBG]]&gt;表1[[#This Row],[Peminta]],表1[[#This Row],[Tgl NPBG]]-表1[[#This Row],[Peminta]],"")</f>
        <v/>
      </c>
      <c r="J3562" s="31"/>
    </row>
    <row r="3563" s="12" customFormat="1" customHeight="1" spans="2:10">
      <c r="B3563" s="25"/>
      <c r="C3563" s="25"/>
      <c r="D3563" s="26" t="str" cm="1">
        <f t="array" ref="D3563">IF(C3563="","",IFERROR(INDEX(STPP!$D$6:$D$4207,MATCH(C3563,STPP!$C$6:$C$4207,0)),"Not Found"))</f>
        <v/>
      </c>
      <c r="E3563" s="27" t="str" cm="1">
        <f t="array" ref="E3563">IF(C3563="","",IFERROR(INDEX(STPP!$E$6:$E$4207,MATCH(C3563,STPP!$C$6:$C$4207,0)),"Not Found"))</f>
        <v/>
      </c>
      <c r="F3563" s="27" t="str" cm="1">
        <f t="array" ref="F3563">IF(C3563="","",IFERROR(INDEX(STPP!$F$6:$F$4207,MATCH(C3563,STPP!$C$6:$C$4207,0)),"Not Found"))</f>
        <v/>
      </c>
      <c r="G3563" s="25" t="str">
        <f>IF(表1[[#This Row],[No Seri]]="","",表1[[#This Row],[Deskripsi Barang]]+表1[[#This Row],[Kuantitas]]-表1[[#This Row],[Satuan]])</f>
        <v/>
      </c>
      <c r="H3563" s="28"/>
      <c r="I3563" s="25" t="str">
        <f>IF(表1[[#This Row],[Tgl NPBG]]&gt;表1[[#This Row],[Peminta]],表1[[#This Row],[Tgl NPBG]]-表1[[#This Row],[Peminta]],"")</f>
        <v/>
      </c>
      <c r="J3563" s="31"/>
    </row>
    <row r="3564" s="12" customFormat="1" customHeight="1" spans="2:10">
      <c r="B3564" s="25"/>
      <c r="C3564" s="25"/>
      <c r="D3564" s="26" t="str" cm="1">
        <f t="array" ref="D3564">IF(C3564="","",IFERROR(INDEX(STPP!$D$6:$D$4207,MATCH(C3564,STPP!$C$6:$C$4207,0)),"Not Found"))</f>
        <v/>
      </c>
      <c r="E3564" s="27" t="str" cm="1">
        <f t="array" ref="E3564">IF(C3564="","",IFERROR(INDEX(STPP!$E$6:$E$4207,MATCH(C3564,STPP!$C$6:$C$4207,0)),"Not Found"))</f>
        <v/>
      </c>
      <c r="F3564" s="27" t="str" cm="1">
        <f t="array" ref="F3564">IF(C3564="","",IFERROR(INDEX(STPP!$F$6:$F$4207,MATCH(C3564,STPP!$C$6:$C$4207,0)),"Not Found"))</f>
        <v/>
      </c>
      <c r="G3564" s="25" t="str">
        <f>IF(表1[[#This Row],[No Seri]]="","",表1[[#This Row],[Deskripsi Barang]]+表1[[#This Row],[Kuantitas]]-表1[[#This Row],[Satuan]])</f>
        <v/>
      </c>
      <c r="H3564" s="28"/>
      <c r="I3564" s="25" t="str">
        <f>IF(表1[[#This Row],[Tgl NPBG]]&gt;表1[[#This Row],[Peminta]],表1[[#This Row],[Tgl NPBG]]-表1[[#This Row],[Peminta]],"")</f>
        <v/>
      </c>
      <c r="J3564" s="31"/>
    </row>
    <row r="3565" s="12" customFormat="1" customHeight="1" spans="2:10">
      <c r="B3565" s="25"/>
      <c r="C3565" s="25"/>
      <c r="D3565" s="26" t="str" cm="1">
        <f t="array" ref="D3565">IF(C3565="","",IFERROR(INDEX(STPP!$D$6:$D$4207,MATCH(C3565,STPP!$C$6:$C$4207,0)),"Not Found"))</f>
        <v/>
      </c>
      <c r="E3565" s="27" t="str" cm="1">
        <f t="array" ref="E3565">IF(C3565="","",IFERROR(INDEX(STPP!$E$6:$E$4207,MATCH(C3565,STPP!$C$6:$C$4207,0)),"Not Found"))</f>
        <v/>
      </c>
      <c r="F3565" s="27" t="str" cm="1">
        <f t="array" ref="F3565">IF(C3565="","",IFERROR(INDEX(STPP!$F$6:$F$4207,MATCH(C3565,STPP!$C$6:$C$4207,0)),"Not Found"))</f>
        <v/>
      </c>
      <c r="G3565" s="25" t="str">
        <f>IF(表1[[#This Row],[No Seri]]="","",表1[[#This Row],[Deskripsi Barang]]+表1[[#This Row],[Kuantitas]]-表1[[#This Row],[Satuan]])</f>
        <v/>
      </c>
      <c r="H3565" s="28"/>
      <c r="I3565" s="25" t="str">
        <f>IF(表1[[#This Row],[Tgl NPBG]]&gt;表1[[#This Row],[Peminta]],表1[[#This Row],[Tgl NPBG]]-表1[[#This Row],[Peminta]],"")</f>
        <v/>
      </c>
      <c r="J3565" s="31"/>
    </row>
    <row r="3566" s="12" customFormat="1" customHeight="1" spans="2:10">
      <c r="B3566" s="25"/>
      <c r="C3566" s="25"/>
      <c r="D3566" s="26" t="str" cm="1">
        <f t="array" ref="D3566">IF(C3566="","",IFERROR(INDEX(STPP!$D$6:$D$4207,MATCH(C3566,STPP!$C$6:$C$4207,0)),"Not Found"))</f>
        <v/>
      </c>
      <c r="E3566" s="27" t="str" cm="1">
        <f t="array" ref="E3566">IF(C3566="","",IFERROR(INDEX(STPP!$E$6:$E$4207,MATCH(C3566,STPP!$C$6:$C$4207,0)),"Not Found"))</f>
        <v/>
      </c>
      <c r="F3566" s="27" t="str" cm="1">
        <f t="array" ref="F3566">IF(C3566="","",IFERROR(INDEX(STPP!$F$6:$F$4207,MATCH(C3566,STPP!$C$6:$C$4207,0)),"Not Found"))</f>
        <v/>
      </c>
      <c r="G3566" s="25" t="str">
        <f>IF(表1[[#This Row],[No Seri]]="","",表1[[#This Row],[Deskripsi Barang]]+表1[[#This Row],[Kuantitas]]-表1[[#This Row],[Satuan]])</f>
        <v/>
      </c>
      <c r="H3566" s="28"/>
      <c r="I3566" s="25" t="str">
        <f>IF(表1[[#This Row],[Tgl NPBG]]&gt;表1[[#This Row],[Peminta]],表1[[#This Row],[Tgl NPBG]]-表1[[#This Row],[Peminta]],"")</f>
        <v/>
      </c>
      <c r="J3566" s="31"/>
    </row>
    <row r="3567" s="12" customFormat="1" customHeight="1" spans="2:10">
      <c r="B3567" s="25"/>
      <c r="C3567" s="25"/>
      <c r="D3567" s="26" t="str" cm="1">
        <f t="array" ref="D3567">IF(C3567="","",IFERROR(INDEX(STPP!$D$6:$D$4207,MATCH(C3567,STPP!$C$6:$C$4207,0)),"Not Found"))</f>
        <v/>
      </c>
      <c r="E3567" s="27" t="str" cm="1">
        <f t="array" ref="E3567">IF(C3567="","",IFERROR(INDEX(STPP!$E$6:$E$4207,MATCH(C3567,STPP!$C$6:$C$4207,0)),"Not Found"))</f>
        <v/>
      </c>
      <c r="F3567" s="27" t="str" cm="1">
        <f t="array" ref="F3567">IF(C3567="","",IFERROR(INDEX(STPP!$F$6:$F$4207,MATCH(C3567,STPP!$C$6:$C$4207,0)),"Not Found"))</f>
        <v/>
      </c>
      <c r="G3567" s="25" t="str">
        <f>IF(表1[[#This Row],[No Seri]]="","",表1[[#This Row],[Deskripsi Barang]]+表1[[#This Row],[Kuantitas]]-表1[[#This Row],[Satuan]])</f>
        <v/>
      </c>
      <c r="H3567" s="28"/>
      <c r="I3567" s="25" t="str">
        <f>IF(表1[[#This Row],[Tgl NPBG]]&gt;表1[[#This Row],[Peminta]],表1[[#This Row],[Tgl NPBG]]-表1[[#This Row],[Peminta]],"")</f>
        <v/>
      </c>
      <c r="J3567" s="31"/>
    </row>
    <row r="3568" s="12" customFormat="1" customHeight="1" spans="2:10">
      <c r="B3568" s="25"/>
      <c r="C3568" s="25"/>
      <c r="D3568" s="26" t="str" cm="1">
        <f t="array" ref="D3568">IF(C3568="","",IFERROR(INDEX(STPP!$D$6:$D$4207,MATCH(C3568,STPP!$C$6:$C$4207,0)),"Not Found"))</f>
        <v/>
      </c>
      <c r="E3568" s="27" t="str" cm="1">
        <f t="array" ref="E3568">IF(C3568="","",IFERROR(INDEX(STPP!$E$6:$E$4207,MATCH(C3568,STPP!$C$6:$C$4207,0)),"Not Found"))</f>
        <v/>
      </c>
      <c r="F3568" s="27" t="str" cm="1">
        <f t="array" ref="F3568">IF(C3568="","",IFERROR(INDEX(STPP!$F$6:$F$4207,MATCH(C3568,STPP!$C$6:$C$4207,0)),"Not Found"))</f>
        <v/>
      </c>
      <c r="G3568" s="25" t="str">
        <f>IF(表1[[#This Row],[No Seri]]="","",表1[[#This Row],[Deskripsi Barang]]+表1[[#This Row],[Kuantitas]]-表1[[#This Row],[Satuan]])</f>
        <v/>
      </c>
      <c r="H3568" s="28"/>
      <c r="I3568" s="25" t="str">
        <f>IF(表1[[#This Row],[Tgl NPBG]]&gt;表1[[#This Row],[Peminta]],表1[[#This Row],[Tgl NPBG]]-表1[[#This Row],[Peminta]],"")</f>
        <v/>
      </c>
      <c r="J3568" s="31"/>
    </row>
    <row r="3569" s="12" customFormat="1" customHeight="1" spans="2:10">
      <c r="B3569" s="25"/>
      <c r="C3569" s="25"/>
      <c r="D3569" s="26" t="str" cm="1">
        <f t="array" ref="D3569">IF(C3569="","",IFERROR(INDEX(STPP!$D$6:$D$4207,MATCH(C3569,STPP!$C$6:$C$4207,0)),"Not Found"))</f>
        <v/>
      </c>
      <c r="E3569" s="27" t="str" cm="1">
        <f t="array" ref="E3569">IF(C3569="","",IFERROR(INDEX(STPP!$E$6:$E$4207,MATCH(C3569,STPP!$C$6:$C$4207,0)),"Not Found"))</f>
        <v/>
      </c>
      <c r="F3569" s="27" t="str" cm="1">
        <f t="array" ref="F3569">IF(C3569="","",IFERROR(INDEX(STPP!$F$6:$F$4207,MATCH(C3569,STPP!$C$6:$C$4207,0)),"Not Found"))</f>
        <v/>
      </c>
      <c r="G3569" s="25" t="str">
        <f>IF(表1[[#This Row],[No Seri]]="","",表1[[#This Row],[Deskripsi Barang]]+表1[[#This Row],[Kuantitas]]-表1[[#This Row],[Satuan]])</f>
        <v/>
      </c>
      <c r="H3569" s="28"/>
      <c r="I3569" s="25" t="str">
        <f>IF(表1[[#This Row],[Tgl NPBG]]&gt;表1[[#This Row],[Peminta]],表1[[#This Row],[Tgl NPBG]]-表1[[#This Row],[Peminta]],"")</f>
        <v/>
      </c>
      <c r="J3569" s="31"/>
    </row>
    <row r="3570" s="12" customFormat="1" customHeight="1" spans="2:10">
      <c r="B3570" s="25"/>
      <c r="C3570" s="25"/>
      <c r="D3570" s="26" t="str" cm="1">
        <f t="array" ref="D3570">IF(C3570="","",IFERROR(INDEX(STPP!$D$6:$D$4207,MATCH(C3570,STPP!$C$6:$C$4207,0)),"Not Found"))</f>
        <v/>
      </c>
      <c r="E3570" s="27" t="str" cm="1">
        <f t="array" ref="E3570">IF(C3570="","",IFERROR(INDEX(STPP!$E$6:$E$4207,MATCH(C3570,STPP!$C$6:$C$4207,0)),"Not Found"))</f>
        <v/>
      </c>
      <c r="F3570" s="27" t="str" cm="1">
        <f t="array" ref="F3570">IF(C3570="","",IFERROR(INDEX(STPP!$F$6:$F$4207,MATCH(C3570,STPP!$C$6:$C$4207,0)),"Not Found"))</f>
        <v/>
      </c>
      <c r="G3570" s="25" t="str">
        <f>IF(表1[[#This Row],[No Seri]]="","",表1[[#This Row],[Deskripsi Barang]]+表1[[#This Row],[Kuantitas]]-表1[[#This Row],[Satuan]])</f>
        <v/>
      </c>
      <c r="H3570" s="28"/>
      <c r="I3570" s="25" t="str">
        <f>IF(表1[[#This Row],[Tgl NPBG]]&gt;表1[[#This Row],[Peminta]],表1[[#This Row],[Tgl NPBG]]-表1[[#This Row],[Peminta]],"")</f>
        <v/>
      </c>
      <c r="J3570" s="31"/>
    </row>
    <row r="3571" s="12" customFormat="1" customHeight="1" spans="2:10">
      <c r="B3571" s="25"/>
      <c r="C3571" s="25"/>
      <c r="D3571" s="26" t="str" cm="1">
        <f t="array" ref="D3571">IF(C3571="","",IFERROR(INDEX(STPP!$D$6:$D$4207,MATCH(C3571,STPP!$C$6:$C$4207,0)),"Not Found"))</f>
        <v/>
      </c>
      <c r="E3571" s="27" t="str" cm="1">
        <f t="array" ref="E3571">IF(C3571="","",IFERROR(INDEX(STPP!$E$6:$E$4207,MATCH(C3571,STPP!$C$6:$C$4207,0)),"Not Found"))</f>
        <v/>
      </c>
      <c r="F3571" s="27" t="str" cm="1">
        <f t="array" ref="F3571">IF(C3571="","",IFERROR(INDEX(STPP!$F$6:$F$4207,MATCH(C3571,STPP!$C$6:$C$4207,0)),"Not Found"))</f>
        <v/>
      </c>
      <c r="G3571" s="25" t="str">
        <f>IF(表1[[#This Row],[No Seri]]="","",表1[[#This Row],[Deskripsi Barang]]+表1[[#This Row],[Kuantitas]]-表1[[#This Row],[Satuan]])</f>
        <v/>
      </c>
      <c r="H3571" s="28"/>
      <c r="I3571" s="25" t="str">
        <f>IF(表1[[#This Row],[Tgl NPBG]]&gt;表1[[#This Row],[Peminta]],表1[[#This Row],[Tgl NPBG]]-表1[[#This Row],[Peminta]],"")</f>
        <v/>
      </c>
      <c r="J3571" s="31"/>
    </row>
    <row r="3572" s="12" customFormat="1" customHeight="1" spans="2:10">
      <c r="B3572" s="25"/>
      <c r="C3572" s="25"/>
      <c r="D3572" s="26" t="str" cm="1">
        <f t="array" ref="D3572">IF(C3572="","",IFERROR(INDEX(STPP!$D$6:$D$4207,MATCH(C3572,STPP!$C$6:$C$4207,0)),"Not Found"))</f>
        <v/>
      </c>
      <c r="E3572" s="27" t="str" cm="1">
        <f t="array" ref="E3572">IF(C3572="","",IFERROR(INDEX(STPP!$E$6:$E$4207,MATCH(C3572,STPP!$C$6:$C$4207,0)),"Not Found"))</f>
        <v/>
      </c>
      <c r="F3572" s="27" t="str" cm="1">
        <f t="array" ref="F3572">IF(C3572="","",IFERROR(INDEX(STPP!$F$6:$F$4207,MATCH(C3572,STPP!$C$6:$C$4207,0)),"Not Found"))</f>
        <v/>
      </c>
      <c r="G3572" s="25" t="str">
        <f>IF(表1[[#This Row],[No Seri]]="","",表1[[#This Row],[Deskripsi Barang]]+表1[[#This Row],[Kuantitas]]-表1[[#This Row],[Satuan]])</f>
        <v/>
      </c>
      <c r="H3572" s="28"/>
      <c r="I3572" s="25" t="str">
        <f>IF(表1[[#This Row],[Tgl NPBG]]&gt;表1[[#This Row],[Peminta]],表1[[#This Row],[Tgl NPBG]]-表1[[#This Row],[Peminta]],"")</f>
        <v/>
      </c>
      <c r="J3572" s="31"/>
    </row>
    <row r="3573" s="12" customFormat="1" customHeight="1" spans="2:10">
      <c r="B3573" s="25"/>
      <c r="C3573" s="25"/>
      <c r="D3573" s="26" t="str" cm="1">
        <f t="array" ref="D3573">IF(C3573="","",IFERROR(INDEX(STPP!$D$6:$D$4207,MATCH(C3573,STPP!$C$6:$C$4207,0)),"Not Found"))</f>
        <v/>
      </c>
      <c r="E3573" s="27" t="str" cm="1">
        <f t="array" ref="E3573">IF(C3573="","",IFERROR(INDEX(STPP!$E$6:$E$4207,MATCH(C3573,STPP!$C$6:$C$4207,0)),"Not Found"))</f>
        <v/>
      </c>
      <c r="F3573" s="27" t="str" cm="1">
        <f t="array" ref="F3573">IF(C3573="","",IFERROR(INDEX(STPP!$F$6:$F$4207,MATCH(C3573,STPP!$C$6:$C$4207,0)),"Not Found"))</f>
        <v/>
      </c>
      <c r="G3573" s="25" t="str">
        <f>IF(表1[[#This Row],[No Seri]]="","",表1[[#This Row],[Deskripsi Barang]]+表1[[#This Row],[Kuantitas]]-表1[[#This Row],[Satuan]])</f>
        <v/>
      </c>
      <c r="H3573" s="28"/>
      <c r="I3573" s="25" t="str">
        <f>IF(表1[[#This Row],[Tgl NPBG]]&gt;表1[[#This Row],[Peminta]],表1[[#This Row],[Tgl NPBG]]-表1[[#This Row],[Peminta]],"")</f>
        <v/>
      </c>
      <c r="J3573" s="31"/>
    </row>
    <row r="3574" s="12" customFormat="1" customHeight="1" spans="2:10">
      <c r="B3574" s="25"/>
      <c r="C3574" s="25"/>
      <c r="D3574" s="26" t="str" cm="1">
        <f t="array" ref="D3574">IF(C3574="","",IFERROR(INDEX(STPP!$D$6:$D$4207,MATCH(C3574,STPP!$C$6:$C$4207,0)),"Not Found"))</f>
        <v/>
      </c>
      <c r="E3574" s="27" t="str" cm="1">
        <f t="array" ref="E3574">IF(C3574="","",IFERROR(INDEX(STPP!$E$6:$E$4207,MATCH(C3574,STPP!$C$6:$C$4207,0)),"Not Found"))</f>
        <v/>
      </c>
      <c r="F3574" s="27" t="str" cm="1">
        <f t="array" ref="F3574">IF(C3574="","",IFERROR(INDEX(STPP!$F$6:$F$4207,MATCH(C3574,STPP!$C$6:$C$4207,0)),"Not Found"))</f>
        <v/>
      </c>
      <c r="G3574" s="25" t="str">
        <f>IF(表1[[#This Row],[No Seri]]="","",表1[[#This Row],[Deskripsi Barang]]+表1[[#This Row],[Kuantitas]]-表1[[#This Row],[Satuan]])</f>
        <v/>
      </c>
      <c r="H3574" s="28"/>
      <c r="I3574" s="25" t="str">
        <f>IF(表1[[#This Row],[Tgl NPBG]]&gt;表1[[#This Row],[Peminta]],表1[[#This Row],[Tgl NPBG]]-表1[[#This Row],[Peminta]],"")</f>
        <v/>
      </c>
      <c r="J3574" s="31"/>
    </row>
    <row r="3575" s="12" customFormat="1" customHeight="1" spans="2:10">
      <c r="B3575" s="25"/>
      <c r="C3575" s="25"/>
      <c r="D3575" s="26" t="str" cm="1">
        <f t="array" ref="D3575">IF(C3575="","",IFERROR(INDEX(STPP!$D$6:$D$4207,MATCH(C3575,STPP!$C$6:$C$4207,0)),"Not Found"))</f>
        <v/>
      </c>
      <c r="E3575" s="27" t="str" cm="1">
        <f t="array" ref="E3575">IF(C3575="","",IFERROR(INDEX(STPP!$E$6:$E$4207,MATCH(C3575,STPP!$C$6:$C$4207,0)),"Not Found"))</f>
        <v/>
      </c>
      <c r="F3575" s="27" t="str" cm="1">
        <f t="array" ref="F3575">IF(C3575="","",IFERROR(INDEX(STPP!$F$6:$F$4207,MATCH(C3575,STPP!$C$6:$C$4207,0)),"Not Found"))</f>
        <v/>
      </c>
      <c r="G3575" s="25" t="str">
        <f>IF(表1[[#This Row],[No Seri]]="","",表1[[#This Row],[Deskripsi Barang]]+表1[[#This Row],[Kuantitas]]-表1[[#This Row],[Satuan]])</f>
        <v/>
      </c>
      <c r="H3575" s="28"/>
      <c r="I3575" s="25" t="str">
        <f>IF(表1[[#This Row],[Tgl NPBG]]&gt;表1[[#This Row],[Peminta]],表1[[#This Row],[Tgl NPBG]]-表1[[#This Row],[Peminta]],"")</f>
        <v/>
      </c>
      <c r="J3575" s="31"/>
    </row>
    <row r="3576" s="12" customFormat="1" customHeight="1" spans="2:10">
      <c r="B3576" s="25"/>
      <c r="C3576" s="25"/>
      <c r="D3576" s="26" t="str" cm="1">
        <f t="array" ref="D3576">IF(C3576="","",IFERROR(INDEX(STPP!$D$6:$D$4207,MATCH(C3576,STPP!$C$6:$C$4207,0)),"Not Found"))</f>
        <v/>
      </c>
      <c r="E3576" s="27" t="str" cm="1">
        <f t="array" ref="E3576">IF(C3576="","",IFERROR(INDEX(STPP!$E$6:$E$4207,MATCH(C3576,STPP!$C$6:$C$4207,0)),"Not Found"))</f>
        <v/>
      </c>
      <c r="F3576" s="27" t="str" cm="1">
        <f t="array" ref="F3576">IF(C3576="","",IFERROR(INDEX(STPP!$F$6:$F$4207,MATCH(C3576,STPP!$C$6:$C$4207,0)),"Not Found"))</f>
        <v/>
      </c>
      <c r="G3576" s="25" t="str">
        <f>IF(表1[[#This Row],[No Seri]]="","",表1[[#This Row],[Deskripsi Barang]]+表1[[#This Row],[Kuantitas]]-表1[[#This Row],[Satuan]])</f>
        <v/>
      </c>
      <c r="H3576" s="28"/>
      <c r="I3576" s="25" t="str">
        <f>IF(表1[[#This Row],[Tgl NPBG]]&gt;表1[[#This Row],[Peminta]],表1[[#This Row],[Tgl NPBG]]-表1[[#This Row],[Peminta]],"")</f>
        <v/>
      </c>
      <c r="J3576" s="31"/>
    </row>
    <row r="3577" s="12" customFormat="1" customHeight="1" spans="2:10">
      <c r="B3577" s="25"/>
      <c r="C3577" s="25"/>
      <c r="D3577" s="26" t="str" cm="1">
        <f t="array" ref="D3577">IF(C3577="","",IFERROR(INDEX(STPP!$D$6:$D$4207,MATCH(C3577,STPP!$C$6:$C$4207,0)),"Not Found"))</f>
        <v/>
      </c>
      <c r="E3577" s="27" t="str" cm="1">
        <f t="array" ref="E3577">IF(C3577="","",IFERROR(INDEX(STPP!$E$6:$E$4207,MATCH(C3577,STPP!$C$6:$C$4207,0)),"Not Found"))</f>
        <v/>
      </c>
      <c r="F3577" s="27" t="str" cm="1">
        <f t="array" ref="F3577">IF(C3577="","",IFERROR(INDEX(STPP!$F$6:$F$4207,MATCH(C3577,STPP!$C$6:$C$4207,0)),"Not Found"))</f>
        <v/>
      </c>
      <c r="G3577" s="25" t="str">
        <f>IF(表1[[#This Row],[No Seri]]="","",表1[[#This Row],[Deskripsi Barang]]+表1[[#This Row],[Kuantitas]]-表1[[#This Row],[Satuan]])</f>
        <v/>
      </c>
      <c r="H3577" s="28"/>
      <c r="I3577" s="25" t="str">
        <f>IF(表1[[#This Row],[Tgl NPBG]]&gt;表1[[#This Row],[Peminta]],表1[[#This Row],[Tgl NPBG]]-表1[[#This Row],[Peminta]],"")</f>
        <v/>
      </c>
      <c r="J3577" s="31"/>
    </row>
    <row r="3578" s="12" customFormat="1" customHeight="1" spans="2:10">
      <c r="B3578" s="25"/>
      <c r="C3578" s="25"/>
      <c r="D3578" s="26" t="str" cm="1">
        <f t="array" ref="D3578">IF(C3578="","",IFERROR(INDEX(STPP!$D$6:$D$4207,MATCH(C3578,STPP!$C$6:$C$4207,0)),"Not Found"))</f>
        <v/>
      </c>
      <c r="E3578" s="27" t="str" cm="1">
        <f t="array" ref="E3578">IF(C3578="","",IFERROR(INDEX(STPP!$E$6:$E$4207,MATCH(C3578,STPP!$C$6:$C$4207,0)),"Not Found"))</f>
        <v/>
      </c>
      <c r="F3578" s="27" t="str" cm="1">
        <f t="array" ref="F3578">IF(C3578="","",IFERROR(INDEX(STPP!$F$6:$F$4207,MATCH(C3578,STPP!$C$6:$C$4207,0)),"Not Found"))</f>
        <v/>
      </c>
      <c r="G3578" s="25" t="str">
        <f>IF(表1[[#This Row],[No Seri]]="","",表1[[#This Row],[Deskripsi Barang]]+表1[[#This Row],[Kuantitas]]-表1[[#This Row],[Satuan]])</f>
        <v/>
      </c>
      <c r="H3578" s="28"/>
      <c r="I3578" s="25" t="str">
        <f>IF(表1[[#This Row],[Tgl NPBG]]&gt;表1[[#This Row],[Peminta]],表1[[#This Row],[Tgl NPBG]]-表1[[#This Row],[Peminta]],"")</f>
        <v/>
      </c>
      <c r="J3578" s="31"/>
    </row>
    <row r="3579" s="12" customFormat="1" customHeight="1" spans="2:10">
      <c r="B3579" s="25"/>
      <c r="C3579" s="25"/>
      <c r="D3579" s="26" t="str" cm="1">
        <f t="array" ref="D3579">IF(C3579="","",IFERROR(INDEX(STPP!$D$6:$D$4207,MATCH(C3579,STPP!$C$6:$C$4207,0)),"Not Found"))</f>
        <v/>
      </c>
      <c r="E3579" s="27" t="str" cm="1">
        <f t="array" ref="E3579">IF(C3579="","",IFERROR(INDEX(STPP!$E$6:$E$4207,MATCH(C3579,STPP!$C$6:$C$4207,0)),"Not Found"))</f>
        <v/>
      </c>
      <c r="F3579" s="27" t="str" cm="1">
        <f t="array" ref="F3579">IF(C3579="","",IFERROR(INDEX(STPP!$F$6:$F$4207,MATCH(C3579,STPP!$C$6:$C$4207,0)),"Not Found"))</f>
        <v/>
      </c>
      <c r="G3579" s="25" t="str">
        <f>IF(表1[[#This Row],[No Seri]]="","",表1[[#This Row],[Deskripsi Barang]]+表1[[#This Row],[Kuantitas]]-表1[[#This Row],[Satuan]])</f>
        <v/>
      </c>
      <c r="H3579" s="28"/>
      <c r="I3579" s="25" t="str">
        <f>IF(表1[[#This Row],[Tgl NPBG]]&gt;表1[[#This Row],[Peminta]],表1[[#This Row],[Tgl NPBG]]-表1[[#This Row],[Peminta]],"")</f>
        <v/>
      </c>
      <c r="J3579" s="31"/>
    </row>
    <row r="3580" s="12" customFormat="1" customHeight="1" spans="2:10">
      <c r="B3580" s="25"/>
      <c r="C3580" s="25"/>
      <c r="D3580" s="26" t="str" cm="1">
        <f t="array" ref="D3580">IF(C3580="","",IFERROR(INDEX(STPP!$D$6:$D$4207,MATCH(C3580,STPP!$C$6:$C$4207,0)),"Not Found"))</f>
        <v/>
      </c>
      <c r="E3580" s="27" t="str" cm="1">
        <f t="array" ref="E3580">IF(C3580="","",IFERROR(INDEX(STPP!$E$6:$E$4207,MATCH(C3580,STPP!$C$6:$C$4207,0)),"Not Found"))</f>
        <v/>
      </c>
      <c r="F3580" s="27" t="str" cm="1">
        <f t="array" ref="F3580">IF(C3580="","",IFERROR(INDEX(STPP!$F$6:$F$4207,MATCH(C3580,STPP!$C$6:$C$4207,0)),"Not Found"))</f>
        <v/>
      </c>
      <c r="G3580" s="25" t="str">
        <f>IF(表1[[#This Row],[No Seri]]="","",表1[[#This Row],[Deskripsi Barang]]+表1[[#This Row],[Kuantitas]]-表1[[#This Row],[Satuan]])</f>
        <v/>
      </c>
      <c r="H3580" s="28"/>
      <c r="I3580" s="25" t="str">
        <f>IF(表1[[#This Row],[Tgl NPBG]]&gt;表1[[#This Row],[Peminta]],表1[[#This Row],[Tgl NPBG]]-表1[[#This Row],[Peminta]],"")</f>
        <v/>
      </c>
      <c r="J3580" s="31"/>
    </row>
    <row r="3581" s="12" customFormat="1" customHeight="1" spans="2:10">
      <c r="B3581" s="25"/>
      <c r="C3581" s="25"/>
      <c r="D3581" s="26" t="str" cm="1">
        <f t="array" ref="D3581">IF(C3581="","",IFERROR(INDEX(STPP!$D$6:$D$4207,MATCH(C3581,STPP!$C$6:$C$4207,0)),"Not Found"))</f>
        <v/>
      </c>
      <c r="E3581" s="27" t="str" cm="1">
        <f t="array" ref="E3581">IF(C3581="","",IFERROR(INDEX(STPP!$E$6:$E$4207,MATCH(C3581,STPP!$C$6:$C$4207,0)),"Not Found"))</f>
        <v/>
      </c>
      <c r="F3581" s="27" t="str" cm="1">
        <f t="array" ref="F3581">IF(C3581="","",IFERROR(INDEX(STPP!$F$6:$F$4207,MATCH(C3581,STPP!$C$6:$C$4207,0)),"Not Found"))</f>
        <v/>
      </c>
      <c r="G3581" s="25" t="str">
        <f>IF(表1[[#This Row],[No Seri]]="","",表1[[#This Row],[Deskripsi Barang]]+表1[[#This Row],[Kuantitas]]-表1[[#This Row],[Satuan]])</f>
        <v/>
      </c>
      <c r="H3581" s="28"/>
      <c r="I3581" s="25" t="str">
        <f>IF(表1[[#This Row],[Tgl NPBG]]&gt;表1[[#This Row],[Peminta]],表1[[#This Row],[Tgl NPBG]]-表1[[#This Row],[Peminta]],"")</f>
        <v/>
      </c>
      <c r="J3581" s="31"/>
    </row>
    <row r="3582" s="12" customFormat="1" customHeight="1" spans="2:10">
      <c r="B3582" s="25"/>
      <c r="C3582" s="25"/>
      <c r="D3582" s="26" t="str" cm="1">
        <f t="array" ref="D3582">IF(C3582="","",IFERROR(INDEX(STPP!$D$6:$D$4207,MATCH(C3582,STPP!$C$6:$C$4207,0)),"Not Found"))</f>
        <v/>
      </c>
      <c r="E3582" s="27" t="str" cm="1">
        <f t="array" ref="E3582">IF(C3582="","",IFERROR(INDEX(STPP!$E$6:$E$4207,MATCH(C3582,STPP!$C$6:$C$4207,0)),"Not Found"))</f>
        <v/>
      </c>
      <c r="F3582" s="27" t="str" cm="1">
        <f t="array" ref="F3582">IF(C3582="","",IFERROR(INDEX(STPP!$F$6:$F$4207,MATCH(C3582,STPP!$C$6:$C$4207,0)),"Not Found"))</f>
        <v/>
      </c>
      <c r="G3582" s="25" t="str">
        <f>IF(表1[[#This Row],[No Seri]]="","",表1[[#This Row],[Deskripsi Barang]]+表1[[#This Row],[Kuantitas]]-表1[[#This Row],[Satuan]])</f>
        <v/>
      </c>
      <c r="H3582" s="28"/>
      <c r="I3582" s="25" t="str">
        <f>IF(表1[[#This Row],[Tgl NPBG]]&gt;表1[[#This Row],[Peminta]],表1[[#This Row],[Tgl NPBG]]-表1[[#This Row],[Peminta]],"")</f>
        <v/>
      </c>
      <c r="J3582" s="31"/>
    </row>
    <row r="3583" s="12" customFormat="1" customHeight="1" spans="2:10">
      <c r="B3583" s="25"/>
      <c r="C3583" s="25"/>
      <c r="D3583" s="26" t="str" cm="1">
        <f t="array" ref="D3583">IF(C3583="","",IFERROR(INDEX(STPP!$D$6:$D$4207,MATCH(C3583,STPP!$C$6:$C$4207,0)),"Not Found"))</f>
        <v/>
      </c>
      <c r="E3583" s="27" t="str" cm="1">
        <f t="array" ref="E3583">IF(C3583="","",IFERROR(INDEX(STPP!$E$6:$E$4207,MATCH(C3583,STPP!$C$6:$C$4207,0)),"Not Found"))</f>
        <v/>
      </c>
      <c r="F3583" s="27" t="str" cm="1">
        <f t="array" ref="F3583">IF(C3583="","",IFERROR(INDEX(STPP!$F$6:$F$4207,MATCH(C3583,STPP!$C$6:$C$4207,0)),"Not Found"))</f>
        <v/>
      </c>
      <c r="G3583" s="25" t="str">
        <f>IF(表1[[#This Row],[No Seri]]="","",表1[[#This Row],[Deskripsi Barang]]+表1[[#This Row],[Kuantitas]]-表1[[#This Row],[Satuan]])</f>
        <v/>
      </c>
      <c r="H3583" s="28"/>
      <c r="I3583" s="25" t="str">
        <f>IF(表1[[#This Row],[Tgl NPBG]]&gt;表1[[#This Row],[Peminta]],表1[[#This Row],[Tgl NPBG]]-表1[[#This Row],[Peminta]],"")</f>
        <v/>
      </c>
      <c r="J3583" s="31"/>
    </row>
    <row r="3584" s="12" customFormat="1" customHeight="1" spans="2:10">
      <c r="B3584" s="25"/>
      <c r="C3584" s="25"/>
      <c r="D3584" s="26" t="str" cm="1">
        <f t="array" ref="D3584">IF(C3584="","",IFERROR(INDEX(STPP!$D$6:$D$4207,MATCH(C3584,STPP!$C$6:$C$4207,0)),"Not Found"))</f>
        <v/>
      </c>
      <c r="E3584" s="27" t="str" cm="1">
        <f t="array" ref="E3584">IF(C3584="","",IFERROR(INDEX(STPP!$E$6:$E$4207,MATCH(C3584,STPP!$C$6:$C$4207,0)),"Not Found"))</f>
        <v/>
      </c>
      <c r="F3584" s="27" t="str" cm="1">
        <f t="array" ref="F3584">IF(C3584="","",IFERROR(INDEX(STPP!$F$6:$F$4207,MATCH(C3584,STPP!$C$6:$C$4207,0)),"Not Found"))</f>
        <v/>
      </c>
      <c r="G3584" s="25" t="str">
        <f>IF(表1[[#This Row],[No Seri]]="","",表1[[#This Row],[Deskripsi Barang]]+表1[[#This Row],[Kuantitas]]-表1[[#This Row],[Satuan]])</f>
        <v/>
      </c>
      <c r="H3584" s="28"/>
      <c r="I3584" s="25" t="str">
        <f>IF(表1[[#This Row],[Tgl NPBG]]&gt;表1[[#This Row],[Peminta]],表1[[#This Row],[Tgl NPBG]]-表1[[#This Row],[Peminta]],"")</f>
        <v/>
      </c>
      <c r="J3584" s="31"/>
    </row>
    <row r="3585" s="12" customFormat="1" customHeight="1" spans="2:10">
      <c r="B3585" s="25"/>
      <c r="C3585" s="25"/>
      <c r="D3585" s="26" t="str" cm="1">
        <f t="array" ref="D3585">IF(C3585="","",IFERROR(INDEX(STPP!$D$6:$D$4207,MATCH(C3585,STPP!$C$6:$C$4207,0)),"Not Found"))</f>
        <v/>
      </c>
      <c r="E3585" s="27" t="str" cm="1">
        <f t="array" ref="E3585">IF(C3585="","",IFERROR(INDEX(STPP!$E$6:$E$4207,MATCH(C3585,STPP!$C$6:$C$4207,0)),"Not Found"))</f>
        <v/>
      </c>
      <c r="F3585" s="27" t="str" cm="1">
        <f t="array" ref="F3585">IF(C3585="","",IFERROR(INDEX(STPP!$F$6:$F$4207,MATCH(C3585,STPP!$C$6:$C$4207,0)),"Not Found"))</f>
        <v/>
      </c>
      <c r="G3585" s="25" t="str">
        <f>IF(表1[[#This Row],[No Seri]]="","",表1[[#This Row],[Deskripsi Barang]]+表1[[#This Row],[Kuantitas]]-表1[[#This Row],[Satuan]])</f>
        <v/>
      </c>
      <c r="H3585" s="28"/>
      <c r="I3585" s="25" t="str">
        <f>IF(表1[[#This Row],[Tgl NPBG]]&gt;表1[[#This Row],[Peminta]],表1[[#This Row],[Tgl NPBG]]-表1[[#This Row],[Peminta]],"")</f>
        <v/>
      </c>
      <c r="J3585" s="31"/>
    </row>
    <row r="3586" s="12" customFormat="1" customHeight="1" spans="2:10">
      <c r="B3586" s="25"/>
      <c r="C3586" s="25"/>
      <c r="D3586" s="26" t="str" cm="1">
        <f t="array" ref="D3586">IF(C3586="","",IFERROR(INDEX(STPP!$D$6:$D$4207,MATCH(C3586,STPP!$C$6:$C$4207,0)),"Not Found"))</f>
        <v/>
      </c>
      <c r="E3586" s="27" t="str" cm="1">
        <f t="array" ref="E3586">IF(C3586="","",IFERROR(INDEX(STPP!$E$6:$E$4207,MATCH(C3586,STPP!$C$6:$C$4207,0)),"Not Found"))</f>
        <v/>
      </c>
      <c r="F3586" s="27" t="str" cm="1">
        <f t="array" ref="F3586">IF(C3586="","",IFERROR(INDEX(STPP!$F$6:$F$4207,MATCH(C3586,STPP!$C$6:$C$4207,0)),"Not Found"))</f>
        <v/>
      </c>
      <c r="G3586" s="25" t="str">
        <f>IF(表1[[#This Row],[No Seri]]="","",表1[[#This Row],[Deskripsi Barang]]+表1[[#This Row],[Kuantitas]]-表1[[#This Row],[Satuan]])</f>
        <v/>
      </c>
      <c r="H3586" s="28"/>
      <c r="I3586" s="25" t="str">
        <f>IF(表1[[#This Row],[Tgl NPBG]]&gt;表1[[#This Row],[Peminta]],表1[[#This Row],[Tgl NPBG]]-表1[[#This Row],[Peminta]],"")</f>
        <v/>
      </c>
      <c r="J3586" s="31"/>
    </row>
    <row r="3587" s="12" customFormat="1" customHeight="1" spans="2:10">
      <c r="B3587" s="25"/>
      <c r="C3587" s="25"/>
      <c r="D3587" s="26" t="str" cm="1">
        <f t="array" ref="D3587">IF(C3587="","",IFERROR(INDEX(STPP!$D$6:$D$4207,MATCH(C3587,STPP!$C$6:$C$4207,0)),"Not Found"))</f>
        <v/>
      </c>
      <c r="E3587" s="27" t="str" cm="1">
        <f t="array" ref="E3587">IF(C3587="","",IFERROR(INDEX(STPP!$E$6:$E$4207,MATCH(C3587,STPP!$C$6:$C$4207,0)),"Not Found"))</f>
        <v/>
      </c>
      <c r="F3587" s="27" t="str" cm="1">
        <f t="array" ref="F3587">IF(C3587="","",IFERROR(INDEX(STPP!$F$6:$F$4207,MATCH(C3587,STPP!$C$6:$C$4207,0)),"Not Found"))</f>
        <v/>
      </c>
      <c r="G3587" s="25" t="str">
        <f>IF(表1[[#This Row],[No Seri]]="","",表1[[#This Row],[Deskripsi Barang]]+表1[[#This Row],[Kuantitas]]-表1[[#This Row],[Satuan]])</f>
        <v/>
      </c>
      <c r="H3587" s="28"/>
      <c r="I3587" s="25" t="str">
        <f>IF(表1[[#This Row],[Tgl NPBG]]&gt;表1[[#This Row],[Peminta]],表1[[#This Row],[Tgl NPBG]]-表1[[#This Row],[Peminta]],"")</f>
        <v/>
      </c>
      <c r="J3587" s="31"/>
    </row>
    <row r="3588" s="12" customFormat="1" customHeight="1" spans="2:10">
      <c r="B3588" s="25"/>
      <c r="C3588" s="25"/>
      <c r="D3588" s="26" t="str" cm="1">
        <f t="array" ref="D3588">IF(C3588="","",IFERROR(INDEX(STPP!$D$6:$D$4207,MATCH(C3588,STPP!$C$6:$C$4207,0)),"Not Found"))</f>
        <v/>
      </c>
      <c r="E3588" s="27" t="str" cm="1">
        <f t="array" ref="E3588">IF(C3588="","",IFERROR(INDEX(STPP!$E$6:$E$4207,MATCH(C3588,STPP!$C$6:$C$4207,0)),"Not Found"))</f>
        <v/>
      </c>
      <c r="F3588" s="27" t="str" cm="1">
        <f t="array" ref="F3588">IF(C3588="","",IFERROR(INDEX(STPP!$F$6:$F$4207,MATCH(C3588,STPP!$C$6:$C$4207,0)),"Not Found"))</f>
        <v/>
      </c>
      <c r="G3588" s="25" t="str">
        <f>IF(表1[[#This Row],[No Seri]]="","",表1[[#This Row],[Deskripsi Barang]]+表1[[#This Row],[Kuantitas]]-表1[[#This Row],[Satuan]])</f>
        <v/>
      </c>
      <c r="H3588" s="28"/>
      <c r="I3588" s="25" t="str">
        <f>IF(表1[[#This Row],[Tgl NPBG]]&gt;表1[[#This Row],[Peminta]],表1[[#This Row],[Tgl NPBG]]-表1[[#This Row],[Peminta]],"")</f>
        <v/>
      </c>
      <c r="J3588" s="31"/>
    </row>
    <row r="3589" s="12" customFormat="1" customHeight="1" spans="2:10">
      <c r="B3589" s="25"/>
      <c r="C3589" s="25"/>
      <c r="D3589" s="26" t="str" cm="1">
        <f t="array" ref="D3589">IF(C3589="","",IFERROR(INDEX(STPP!$D$6:$D$4207,MATCH(C3589,STPP!$C$6:$C$4207,0)),"Not Found"))</f>
        <v/>
      </c>
      <c r="E3589" s="27" t="str" cm="1">
        <f t="array" ref="E3589">IF(C3589="","",IFERROR(INDEX(STPP!$E$6:$E$4207,MATCH(C3589,STPP!$C$6:$C$4207,0)),"Not Found"))</f>
        <v/>
      </c>
      <c r="F3589" s="27" t="str" cm="1">
        <f t="array" ref="F3589">IF(C3589="","",IFERROR(INDEX(STPP!$F$6:$F$4207,MATCH(C3589,STPP!$C$6:$C$4207,0)),"Not Found"))</f>
        <v/>
      </c>
      <c r="G3589" s="25" t="str">
        <f>IF(表1[[#This Row],[No Seri]]="","",表1[[#This Row],[Deskripsi Barang]]+表1[[#This Row],[Kuantitas]]-表1[[#This Row],[Satuan]])</f>
        <v/>
      </c>
      <c r="H3589" s="28"/>
      <c r="I3589" s="25" t="str">
        <f>IF(表1[[#This Row],[Tgl NPBG]]&gt;表1[[#This Row],[Peminta]],表1[[#This Row],[Tgl NPBG]]-表1[[#This Row],[Peminta]],"")</f>
        <v/>
      </c>
      <c r="J3589" s="31"/>
    </row>
    <row r="3590" s="12" customFormat="1" customHeight="1" spans="2:10">
      <c r="B3590" s="25"/>
      <c r="C3590" s="25"/>
      <c r="D3590" s="26" t="str" cm="1">
        <f t="array" ref="D3590">IF(C3590="","",IFERROR(INDEX(STPP!$D$6:$D$4207,MATCH(C3590,STPP!$C$6:$C$4207,0)),"Not Found"))</f>
        <v/>
      </c>
      <c r="E3590" s="27" t="str" cm="1">
        <f t="array" ref="E3590">IF(C3590="","",IFERROR(INDEX(STPP!$E$6:$E$4207,MATCH(C3590,STPP!$C$6:$C$4207,0)),"Not Found"))</f>
        <v/>
      </c>
      <c r="F3590" s="27" t="str" cm="1">
        <f t="array" ref="F3590">IF(C3590="","",IFERROR(INDEX(STPP!$F$6:$F$4207,MATCH(C3590,STPP!$C$6:$C$4207,0)),"Not Found"))</f>
        <v/>
      </c>
      <c r="G3590" s="25" t="str">
        <f>IF(表1[[#This Row],[No Seri]]="","",表1[[#This Row],[Deskripsi Barang]]+表1[[#This Row],[Kuantitas]]-表1[[#This Row],[Satuan]])</f>
        <v/>
      </c>
      <c r="H3590" s="28"/>
      <c r="I3590" s="25" t="str">
        <f>IF(表1[[#This Row],[Tgl NPBG]]&gt;表1[[#This Row],[Peminta]],表1[[#This Row],[Tgl NPBG]]-表1[[#This Row],[Peminta]],"")</f>
        <v/>
      </c>
      <c r="J3590" s="31"/>
    </row>
    <row r="3591" s="12" customFormat="1" customHeight="1" spans="2:10">
      <c r="B3591" s="25"/>
      <c r="C3591" s="25"/>
      <c r="D3591" s="26" t="str" cm="1">
        <f t="array" ref="D3591">IF(C3591="","",IFERROR(INDEX(STPP!$D$6:$D$4207,MATCH(C3591,STPP!$C$6:$C$4207,0)),"Not Found"))</f>
        <v/>
      </c>
      <c r="E3591" s="27" t="str" cm="1">
        <f t="array" ref="E3591">IF(C3591="","",IFERROR(INDEX(STPP!$E$6:$E$4207,MATCH(C3591,STPP!$C$6:$C$4207,0)),"Not Found"))</f>
        <v/>
      </c>
      <c r="F3591" s="27" t="str" cm="1">
        <f t="array" ref="F3591">IF(C3591="","",IFERROR(INDEX(STPP!$F$6:$F$4207,MATCH(C3591,STPP!$C$6:$C$4207,0)),"Not Found"))</f>
        <v/>
      </c>
      <c r="G3591" s="25" t="str">
        <f>IF(表1[[#This Row],[No Seri]]="","",表1[[#This Row],[Deskripsi Barang]]+表1[[#This Row],[Kuantitas]]-表1[[#This Row],[Satuan]])</f>
        <v/>
      </c>
      <c r="H3591" s="28"/>
      <c r="I3591" s="25" t="str">
        <f>IF(表1[[#This Row],[Tgl NPBG]]&gt;表1[[#This Row],[Peminta]],表1[[#This Row],[Tgl NPBG]]-表1[[#This Row],[Peminta]],"")</f>
        <v/>
      </c>
      <c r="J3591" s="31"/>
    </row>
    <row r="3592" s="12" customFormat="1" customHeight="1" spans="2:10">
      <c r="B3592" s="25"/>
      <c r="C3592" s="25"/>
      <c r="D3592" s="26" t="str" cm="1">
        <f t="array" ref="D3592">IF(C3592="","",IFERROR(INDEX(STPP!$D$6:$D$4207,MATCH(C3592,STPP!$C$6:$C$4207,0)),"Not Found"))</f>
        <v/>
      </c>
      <c r="E3592" s="27" t="str" cm="1">
        <f t="array" ref="E3592">IF(C3592="","",IFERROR(INDEX(STPP!$E$6:$E$4207,MATCH(C3592,STPP!$C$6:$C$4207,0)),"Not Found"))</f>
        <v/>
      </c>
      <c r="F3592" s="27" t="str" cm="1">
        <f t="array" ref="F3592">IF(C3592="","",IFERROR(INDEX(STPP!$F$6:$F$4207,MATCH(C3592,STPP!$C$6:$C$4207,0)),"Not Found"))</f>
        <v/>
      </c>
      <c r="G3592" s="25" t="str">
        <f>IF(表1[[#This Row],[No Seri]]="","",表1[[#This Row],[Deskripsi Barang]]+表1[[#This Row],[Kuantitas]]-表1[[#This Row],[Satuan]])</f>
        <v/>
      </c>
      <c r="H3592" s="28"/>
      <c r="I3592" s="25" t="str">
        <f>IF(表1[[#This Row],[Tgl NPBG]]&gt;表1[[#This Row],[Peminta]],表1[[#This Row],[Tgl NPBG]]-表1[[#This Row],[Peminta]],"")</f>
        <v/>
      </c>
      <c r="J3592" s="31"/>
    </row>
    <row r="3593" s="12" customFormat="1" customHeight="1" spans="2:10">
      <c r="B3593" s="25"/>
      <c r="C3593" s="25"/>
      <c r="D3593" s="26" t="str" cm="1">
        <f t="array" ref="D3593">IF(C3593="","",IFERROR(INDEX(STPP!$D$6:$D$4207,MATCH(C3593,STPP!$C$6:$C$4207,0)),"Not Found"))</f>
        <v/>
      </c>
      <c r="E3593" s="27" t="str" cm="1">
        <f t="array" ref="E3593">IF(C3593="","",IFERROR(INDEX(STPP!$E$6:$E$4207,MATCH(C3593,STPP!$C$6:$C$4207,0)),"Not Found"))</f>
        <v/>
      </c>
      <c r="F3593" s="27" t="str" cm="1">
        <f t="array" ref="F3593">IF(C3593="","",IFERROR(INDEX(STPP!$F$6:$F$4207,MATCH(C3593,STPP!$C$6:$C$4207,0)),"Not Found"))</f>
        <v/>
      </c>
      <c r="G3593" s="25" t="str">
        <f>IF(表1[[#This Row],[No Seri]]="","",表1[[#This Row],[Deskripsi Barang]]+表1[[#This Row],[Kuantitas]]-表1[[#This Row],[Satuan]])</f>
        <v/>
      </c>
      <c r="H3593" s="28"/>
      <c r="I3593" s="25" t="str">
        <f>IF(表1[[#This Row],[Tgl NPBG]]&gt;表1[[#This Row],[Peminta]],表1[[#This Row],[Tgl NPBG]]-表1[[#This Row],[Peminta]],"")</f>
        <v/>
      </c>
      <c r="J3593" s="31"/>
    </row>
    <row r="3594" s="12" customFormat="1" customHeight="1" spans="2:10">
      <c r="B3594" s="25"/>
      <c r="C3594" s="25"/>
      <c r="D3594" s="26" t="str" cm="1">
        <f t="array" ref="D3594">IF(C3594="","",IFERROR(INDEX(STPP!$D$6:$D$4207,MATCH(C3594,STPP!$C$6:$C$4207,0)),"Not Found"))</f>
        <v/>
      </c>
      <c r="E3594" s="27" t="str" cm="1">
        <f t="array" ref="E3594">IF(C3594="","",IFERROR(INDEX(STPP!$E$6:$E$4207,MATCH(C3594,STPP!$C$6:$C$4207,0)),"Not Found"))</f>
        <v/>
      </c>
      <c r="F3594" s="27" t="str" cm="1">
        <f t="array" ref="F3594">IF(C3594="","",IFERROR(INDEX(STPP!$F$6:$F$4207,MATCH(C3594,STPP!$C$6:$C$4207,0)),"Not Found"))</f>
        <v/>
      </c>
      <c r="G3594" s="25" t="str">
        <f>IF(表1[[#This Row],[No Seri]]="","",表1[[#This Row],[Deskripsi Barang]]+表1[[#This Row],[Kuantitas]]-表1[[#This Row],[Satuan]])</f>
        <v/>
      </c>
      <c r="H3594" s="28"/>
      <c r="I3594" s="25" t="str">
        <f>IF(表1[[#This Row],[Tgl NPBG]]&gt;表1[[#This Row],[Peminta]],表1[[#This Row],[Tgl NPBG]]-表1[[#This Row],[Peminta]],"")</f>
        <v/>
      </c>
      <c r="J3594" s="31"/>
    </row>
    <row r="3595" s="12" customFormat="1" customHeight="1" spans="2:10">
      <c r="B3595" s="25"/>
      <c r="C3595" s="25"/>
      <c r="D3595" s="26" t="str" cm="1">
        <f t="array" ref="D3595">IF(C3595="","",IFERROR(INDEX(STPP!$D$6:$D$4207,MATCH(C3595,STPP!$C$6:$C$4207,0)),"Not Found"))</f>
        <v/>
      </c>
      <c r="E3595" s="27" t="str" cm="1">
        <f t="array" ref="E3595">IF(C3595="","",IFERROR(INDEX(STPP!$E$6:$E$4207,MATCH(C3595,STPP!$C$6:$C$4207,0)),"Not Found"))</f>
        <v/>
      </c>
      <c r="F3595" s="27" t="str" cm="1">
        <f t="array" ref="F3595">IF(C3595="","",IFERROR(INDEX(STPP!$F$6:$F$4207,MATCH(C3595,STPP!$C$6:$C$4207,0)),"Not Found"))</f>
        <v/>
      </c>
      <c r="G3595" s="25" t="str">
        <f>IF(表1[[#This Row],[No Seri]]="","",表1[[#This Row],[Deskripsi Barang]]+表1[[#This Row],[Kuantitas]]-表1[[#This Row],[Satuan]])</f>
        <v/>
      </c>
      <c r="H3595" s="28"/>
      <c r="I3595" s="25" t="str">
        <f>IF(表1[[#This Row],[Tgl NPBG]]&gt;表1[[#This Row],[Peminta]],表1[[#This Row],[Tgl NPBG]]-表1[[#This Row],[Peminta]],"")</f>
        <v/>
      </c>
      <c r="J3595" s="31"/>
    </row>
    <row r="3596" s="12" customFormat="1" customHeight="1" spans="2:10">
      <c r="B3596" s="25"/>
      <c r="C3596" s="25"/>
      <c r="D3596" s="26" t="str" cm="1">
        <f t="array" ref="D3596">IF(C3596="","",IFERROR(INDEX(STPP!$D$6:$D$4207,MATCH(C3596,STPP!$C$6:$C$4207,0)),"Not Found"))</f>
        <v/>
      </c>
      <c r="E3596" s="27" t="str" cm="1">
        <f t="array" ref="E3596">IF(C3596="","",IFERROR(INDEX(STPP!$E$6:$E$4207,MATCH(C3596,STPP!$C$6:$C$4207,0)),"Not Found"))</f>
        <v/>
      </c>
      <c r="F3596" s="27" t="str" cm="1">
        <f t="array" ref="F3596">IF(C3596="","",IFERROR(INDEX(STPP!$F$6:$F$4207,MATCH(C3596,STPP!$C$6:$C$4207,0)),"Not Found"))</f>
        <v/>
      </c>
      <c r="G3596" s="25" t="str">
        <f>IF(表1[[#This Row],[No Seri]]="","",表1[[#This Row],[Deskripsi Barang]]+表1[[#This Row],[Kuantitas]]-表1[[#This Row],[Satuan]])</f>
        <v/>
      </c>
      <c r="H3596" s="28"/>
      <c r="I3596" s="25" t="str">
        <f>IF(表1[[#This Row],[Tgl NPBG]]&gt;表1[[#This Row],[Peminta]],表1[[#This Row],[Tgl NPBG]]-表1[[#This Row],[Peminta]],"")</f>
        <v/>
      </c>
      <c r="J3596" s="31"/>
    </row>
    <row r="3597" s="12" customFormat="1" customHeight="1" spans="2:10">
      <c r="B3597" s="25"/>
      <c r="C3597" s="25"/>
      <c r="D3597" s="26" t="str" cm="1">
        <f t="array" ref="D3597">IF(C3597="","",IFERROR(INDEX(STPP!$D$6:$D$4207,MATCH(C3597,STPP!$C$6:$C$4207,0)),"Not Found"))</f>
        <v/>
      </c>
      <c r="E3597" s="27" t="str" cm="1">
        <f t="array" ref="E3597">IF(C3597="","",IFERROR(INDEX(STPP!$E$6:$E$4207,MATCH(C3597,STPP!$C$6:$C$4207,0)),"Not Found"))</f>
        <v/>
      </c>
      <c r="F3597" s="27" t="str" cm="1">
        <f t="array" ref="F3597">IF(C3597="","",IFERROR(INDEX(STPP!$F$6:$F$4207,MATCH(C3597,STPP!$C$6:$C$4207,0)),"Not Found"))</f>
        <v/>
      </c>
      <c r="G3597" s="25" t="str">
        <f>IF(表1[[#This Row],[No Seri]]="","",表1[[#This Row],[Deskripsi Barang]]+表1[[#This Row],[Kuantitas]]-表1[[#This Row],[Satuan]])</f>
        <v/>
      </c>
      <c r="H3597" s="28"/>
      <c r="I3597" s="25" t="str">
        <f>IF(表1[[#This Row],[Tgl NPBG]]&gt;表1[[#This Row],[Peminta]],表1[[#This Row],[Tgl NPBG]]-表1[[#This Row],[Peminta]],"")</f>
        <v/>
      </c>
      <c r="J3597" s="31"/>
    </row>
    <row r="3598" s="12" customFormat="1" customHeight="1" spans="2:10">
      <c r="B3598" s="25"/>
      <c r="C3598" s="25"/>
      <c r="D3598" s="26" t="str" cm="1">
        <f t="array" ref="D3598">IF(C3598="","",IFERROR(INDEX(STPP!$D$6:$D$4207,MATCH(C3598,STPP!$C$6:$C$4207,0)),"Not Found"))</f>
        <v/>
      </c>
      <c r="E3598" s="27" t="str" cm="1">
        <f t="array" ref="E3598">IF(C3598="","",IFERROR(INDEX(STPP!$E$6:$E$4207,MATCH(C3598,STPP!$C$6:$C$4207,0)),"Not Found"))</f>
        <v/>
      </c>
      <c r="F3598" s="27" t="str" cm="1">
        <f t="array" ref="F3598">IF(C3598="","",IFERROR(INDEX(STPP!$F$6:$F$4207,MATCH(C3598,STPP!$C$6:$C$4207,0)),"Not Found"))</f>
        <v/>
      </c>
      <c r="G3598" s="25" t="str">
        <f>IF(表1[[#This Row],[No Seri]]="","",表1[[#This Row],[Deskripsi Barang]]+表1[[#This Row],[Kuantitas]]-表1[[#This Row],[Satuan]])</f>
        <v/>
      </c>
      <c r="H3598" s="28"/>
      <c r="I3598" s="25" t="str">
        <f>IF(表1[[#This Row],[Tgl NPBG]]&gt;表1[[#This Row],[Peminta]],表1[[#This Row],[Tgl NPBG]]-表1[[#This Row],[Peminta]],"")</f>
        <v/>
      </c>
      <c r="J3598" s="31"/>
    </row>
    <row r="3599" s="12" customFormat="1" customHeight="1" spans="2:10">
      <c r="B3599" s="25"/>
      <c r="C3599" s="25"/>
      <c r="D3599" s="26" t="str" cm="1">
        <f t="array" ref="D3599">IF(C3599="","",IFERROR(INDEX(STPP!$D$6:$D$4207,MATCH(C3599,STPP!$C$6:$C$4207,0)),"Not Found"))</f>
        <v/>
      </c>
      <c r="E3599" s="27" t="str" cm="1">
        <f t="array" ref="E3599">IF(C3599="","",IFERROR(INDEX(STPP!$E$6:$E$4207,MATCH(C3599,STPP!$C$6:$C$4207,0)),"Not Found"))</f>
        <v/>
      </c>
      <c r="F3599" s="27" t="str" cm="1">
        <f t="array" ref="F3599">IF(C3599="","",IFERROR(INDEX(STPP!$F$6:$F$4207,MATCH(C3599,STPP!$C$6:$C$4207,0)),"Not Found"))</f>
        <v/>
      </c>
      <c r="G3599" s="25" t="str">
        <f>IF(表1[[#This Row],[No Seri]]="","",表1[[#This Row],[Deskripsi Barang]]+表1[[#This Row],[Kuantitas]]-表1[[#This Row],[Satuan]])</f>
        <v/>
      </c>
      <c r="H3599" s="28"/>
      <c r="I3599" s="25" t="str">
        <f>IF(表1[[#This Row],[Tgl NPBG]]&gt;表1[[#This Row],[Peminta]],表1[[#This Row],[Tgl NPBG]]-表1[[#This Row],[Peminta]],"")</f>
        <v/>
      </c>
      <c r="J3599" s="31"/>
    </row>
    <row r="3600" s="12" customFormat="1" customHeight="1" spans="2:10">
      <c r="B3600" s="25"/>
      <c r="C3600" s="25"/>
      <c r="D3600" s="26" t="str" cm="1">
        <f t="array" ref="D3600">IF(C3600="","",IFERROR(INDEX(STPP!$D$6:$D$4207,MATCH(C3600,STPP!$C$6:$C$4207,0)),"Not Found"))</f>
        <v/>
      </c>
      <c r="E3600" s="27" t="str" cm="1">
        <f t="array" ref="E3600">IF(C3600="","",IFERROR(INDEX(STPP!$E$6:$E$4207,MATCH(C3600,STPP!$C$6:$C$4207,0)),"Not Found"))</f>
        <v/>
      </c>
      <c r="F3600" s="27" t="str" cm="1">
        <f t="array" ref="F3600">IF(C3600="","",IFERROR(INDEX(STPP!$F$6:$F$4207,MATCH(C3600,STPP!$C$6:$C$4207,0)),"Not Found"))</f>
        <v/>
      </c>
      <c r="G3600" s="25" t="str">
        <f>IF(表1[[#This Row],[No Seri]]="","",表1[[#This Row],[Deskripsi Barang]]+表1[[#This Row],[Kuantitas]]-表1[[#This Row],[Satuan]])</f>
        <v/>
      </c>
      <c r="H3600" s="28"/>
      <c r="I3600" s="25" t="str">
        <f>IF(表1[[#This Row],[Tgl NPBG]]&gt;表1[[#This Row],[Peminta]],表1[[#This Row],[Tgl NPBG]]-表1[[#This Row],[Peminta]],"")</f>
        <v/>
      </c>
      <c r="J3600" s="31"/>
    </row>
    <row r="3601" s="12" customFormat="1" customHeight="1" spans="2:10">
      <c r="B3601" s="25"/>
      <c r="C3601" s="25"/>
      <c r="D3601" s="26" t="str" cm="1">
        <f t="array" ref="D3601">IF(C3601="","",IFERROR(INDEX(STPP!$D$6:$D$4207,MATCH(C3601,STPP!$C$6:$C$4207,0)),"Not Found"))</f>
        <v/>
      </c>
      <c r="E3601" s="27" t="str" cm="1">
        <f t="array" ref="E3601">IF(C3601="","",IFERROR(INDEX(STPP!$E$6:$E$4207,MATCH(C3601,STPP!$C$6:$C$4207,0)),"Not Found"))</f>
        <v/>
      </c>
      <c r="F3601" s="27" t="str" cm="1">
        <f t="array" ref="F3601">IF(C3601="","",IFERROR(INDEX(STPP!$F$6:$F$4207,MATCH(C3601,STPP!$C$6:$C$4207,0)),"Not Found"))</f>
        <v/>
      </c>
      <c r="G3601" s="25" t="str">
        <f>IF(表1[[#This Row],[No Seri]]="","",表1[[#This Row],[Deskripsi Barang]]+表1[[#This Row],[Kuantitas]]-表1[[#This Row],[Satuan]])</f>
        <v/>
      </c>
      <c r="H3601" s="28"/>
      <c r="I3601" s="25" t="str">
        <f>IF(表1[[#This Row],[Tgl NPBG]]&gt;表1[[#This Row],[Peminta]],表1[[#This Row],[Tgl NPBG]]-表1[[#This Row],[Peminta]],"")</f>
        <v/>
      </c>
      <c r="J3601" s="31"/>
    </row>
    <row r="3602" s="12" customFormat="1" customHeight="1" spans="2:10">
      <c r="B3602" s="25"/>
      <c r="C3602" s="25"/>
      <c r="D3602" s="26" t="str" cm="1">
        <f t="array" ref="D3602">IF(C3602="","",IFERROR(INDEX(STPP!$D$6:$D$4207,MATCH(C3602,STPP!$C$6:$C$4207,0)),"Not Found"))</f>
        <v/>
      </c>
      <c r="E3602" s="27" t="str" cm="1">
        <f t="array" ref="E3602">IF(C3602="","",IFERROR(INDEX(STPP!$E$6:$E$4207,MATCH(C3602,STPP!$C$6:$C$4207,0)),"Not Found"))</f>
        <v/>
      </c>
      <c r="F3602" s="27" t="str" cm="1">
        <f t="array" ref="F3602">IF(C3602="","",IFERROR(INDEX(STPP!$F$6:$F$4207,MATCH(C3602,STPP!$C$6:$C$4207,0)),"Not Found"))</f>
        <v/>
      </c>
      <c r="G3602" s="25" t="str">
        <f>IF(表1[[#This Row],[No Seri]]="","",表1[[#This Row],[Deskripsi Barang]]+表1[[#This Row],[Kuantitas]]-表1[[#This Row],[Satuan]])</f>
        <v/>
      </c>
      <c r="H3602" s="28"/>
      <c r="I3602" s="25" t="str">
        <f>IF(表1[[#This Row],[Tgl NPBG]]&gt;表1[[#This Row],[Peminta]],表1[[#This Row],[Tgl NPBG]]-表1[[#This Row],[Peminta]],"")</f>
        <v/>
      </c>
      <c r="J3602" s="31"/>
    </row>
    <row r="3603" s="12" customFormat="1" customHeight="1" spans="2:10">
      <c r="B3603" s="25"/>
      <c r="C3603" s="25"/>
      <c r="D3603" s="26" t="str" cm="1">
        <f t="array" ref="D3603">IF(C3603="","",IFERROR(INDEX(STPP!$D$6:$D$4207,MATCH(C3603,STPP!$C$6:$C$4207,0)),"Not Found"))</f>
        <v/>
      </c>
      <c r="E3603" s="27" t="str" cm="1">
        <f t="array" ref="E3603">IF(C3603="","",IFERROR(INDEX(STPP!$E$6:$E$4207,MATCH(C3603,STPP!$C$6:$C$4207,0)),"Not Found"))</f>
        <v/>
      </c>
      <c r="F3603" s="27" t="str" cm="1">
        <f t="array" ref="F3603">IF(C3603="","",IFERROR(INDEX(STPP!$F$6:$F$4207,MATCH(C3603,STPP!$C$6:$C$4207,0)),"Not Found"))</f>
        <v/>
      </c>
      <c r="G3603" s="25" t="str">
        <f>IF(表1[[#This Row],[No Seri]]="","",表1[[#This Row],[Deskripsi Barang]]+表1[[#This Row],[Kuantitas]]-表1[[#This Row],[Satuan]])</f>
        <v/>
      </c>
      <c r="H3603" s="28"/>
      <c r="I3603" s="25" t="str">
        <f>IF(表1[[#This Row],[Tgl NPBG]]&gt;表1[[#This Row],[Peminta]],表1[[#This Row],[Tgl NPBG]]-表1[[#This Row],[Peminta]],"")</f>
        <v/>
      </c>
      <c r="J3603" s="31"/>
    </row>
    <row r="3604" s="12" customFormat="1" customHeight="1" spans="2:10">
      <c r="B3604" s="25"/>
      <c r="C3604" s="25"/>
      <c r="D3604" s="26" t="str" cm="1">
        <f t="array" ref="D3604">IF(C3604="","",IFERROR(INDEX(STPP!$D$6:$D$4207,MATCH(C3604,STPP!$C$6:$C$4207,0)),"Not Found"))</f>
        <v/>
      </c>
      <c r="E3604" s="27" t="str" cm="1">
        <f t="array" ref="E3604">IF(C3604="","",IFERROR(INDEX(STPP!$E$6:$E$4207,MATCH(C3604,STPP!$C$6:$C$4207,0)),"Not Found"))</f>
        <v/>
      </c>
      <c r="F3604" s="27" t="str" cm="1">
        <f t="array" ref="F3604">IF(C3604="","",IFERROR(INDEX(STPP!$F$6:$F$4207,MATCH(C3604,STPP!$C$6:$C$4207,0)),"Not Found"))</f>
        <v/>
      </c>
      <c r="G3604" s="25" t="str">
        <f>IF(表1[[#This Row],[No Seri]]="","",表1[[#This Row],[Deskripsi Barang]]+表1[[#This Row],[Kuantitas]]-表1[[#This Row],[Satuan]])</f>
        <v/>
      </c>
      <c r="H3604" s="28"/>
      <c r="I3604" s="25" t="str">
        <f>IF(表1[[#This Row],[Tgl NPBG]]&gt;表1[[#This Row],[Peminta]],表1[[#This Row],[Tgl NPBG]]-表1[[#This Row],[Peminta]],"")</f>
        <v/>
      </c>
      <c r="J3604" s="31"/>
    </row>
    <row r="3605" s="12" customFormat="1" customHeight="1" spans="2:10">
      <c r="B3605" s="25"/>
      <c r="C3605" s="25"/>
      <c r="D3605" s="26" t="str" cm="1">
        <f t="array" ref="D3605">IF(C3605="","",IFERROR(INDEX(STPP!$D$6:$D$4207,MATCH(C3605,STPP!$C$6:$C$4207,0)),"Not Found"))</f>
        <v/>
      </c>
      <c r="E3605" s="27" t="str" cm="1">
        <f t="array" ref="E3605">IF(C3605="","",IFERROR(INDEX(STPP!$E$6:$E$4207,MATCH(C3605,STPP!$C$6:$C$4207,0)),"Not Found"))</f>
        <v/>
      </c>
      <c r="F3605" s="27" t="str" cm="1">
        <f t="array" ref="F3605">IF(C3605="","",IFERROR(INDEX(STPP!$F$6:$F$4207,MATCH(C3605,STPP!$C$6:$C$4207,0)),"Not Found"))</f>
        <v/>
      </c>
      <c r="G3605" s="25" t="str">
        <f>IF(表1[[#This Row],[No Seri]]="","",表1[[#This Row],[Deskripsi Barang]]+表1[[#This Row],[Kuantitas]]-表1[[#This Row],[Satuan]])</f>
        <v/>
      </c>
      <c r="H3605" s="28"/>
      <c r="I3605" s="25" t="str">
        <f>IF(表1[[#This Row],[Tgl NPBG]]&gt;表1[[#This Row],[Peminta]],表1[[#This Row],[Tgl NPBG]]-表1[[#This Row],[Peminta]],"")</f>
        <v/>
      </c>
      <c r="J3605" s="31"/>
    </row>
    <row r="3606" s="12" customFormat="1" customHeight="1" spans="2:10">
      <c r="B3606" s="25"/>
      <c r="C3606" s="25"/>
      <c r="D3606" s="26" t="str" cm="1">
        <f t="array" ref="D3606">IF(C3606="","",IFERROR(INDEX(STPP!$D$6:$D$4207,MATCH(C3606,STPP!$C$6:$C$4207,0)),"Not Found"))</f>
        <v/>
      </c>
      <c r="E3606" s="27" t="str" cm="1">
        <f t="array" ref="E3606">IF(C3606="","",IFERROR(INDEX(STPP!$E$6:$E$4207,MATCH(C3606,STPP!$C$6:$C$4207,0)),"Not Found"))</f>
        <v/>
      </c>
      <c r="F3606" s="27" t="str" cm="1">
        <f t="array" ref="F3606">IF(C3606="","",IFERROR(INDEX(STPP!$F$6:$F$4207,MATCH(C3606,STPP!$C$6:$C$4207,0)),"Not Found"))</f>
        <v/>
      </c>
      <c r="G3606" s="25" t="str">
        <f>IF(表1[[#This Row],[No Seri]]="","",表1[[#This Row],[Deskripsi Barang]]+表1[[#This Row],[Kuantitas]]-表1[[#This Row],[Satuan]])</f>
        <v/>
      </c>
      <c r="H3606" s="28"/>
      <c r="I3606" s="25" t="str">
        <f>IF(表1[[#This Row],[Tgl NPBG]]&gt;表1[[#This Row],[Peminta]],表1[[#This Row],[Tgl NPBG]]-表1[[#This Row],[Peminta]],"")</f>
        <v/>
      </c>
      <c r="J3606" s="31"/>
    </row>
    <row r="3607" s="12" customFormat="1" customHeight="1" spans="2:10">
      <c r="B3607" s="25"/>
      <c r="C3607" s="25"/>
      <c r="D3607" s="26" t="str" cm="1">
        <f t="array" ref="D3607">IF(C3607="","",IFERROR(INDEX(STPP!$D$6:$D$4207,MATCH(C3607,STPP!$C$6:$C$4207,0)),"Not Found"))</f>
        <v/>
      </c>
      <c r="E3607" s="27" t="str" cm="1">
        <f t="array" ref="E3607">IF(C3607="","",IFERROR(INDEX(STPP!$E$6:$E$4207,MATCH(C3607,STPP!$C$6:$C$4207,0)),"Not Found"))</f>
        <v/>
      </c>
      <c r="F3607" s="27" t="str" cm="1">
        <f t="array" ref="F3607">IF(C3607="","",IFERROR(INDEX(STPP!$F$6:$F$4207,MATCH(C3607,STPP!$C$6:$C$4207,0)),"Not Found"))</f>
        <v/>
      </c>
      <c r="G3607" s="25" t="str">
        <f>IF(表1[[#This Row],[No Seri]]="","",表1[[#This Row],[Deskripsi Barang]]+表1[[#This Row],[Kuantitas]]-表1[[#This Row],[Satuan]])</f>
        <v/>
      </c>
      <c r="H3607" s="28"/>
      <c r="I3607" s="25" t="str">
        <f>IF(表1[[#This Row],[Tgl NPBG]]&gt;表1[[#This Row],[Peminta]],表1[[#This Row],[Tgl NPBG]]-表1[[#This Row],[Peminta]],"")</f>
        <v/>
      </c>
      <c r="J3607" s="31"/>
    </row>
    <row r="3608" s="12" customFormat="1" customHeight="1" spans="2:10">
      <c r="B3608" s="25"/>
      <c r="C3608" s="25"/>
      <c r="D3608" s="26" t="str" cm="1">
        <f t="array" ref="D3608">IF(C3608="","",IFERROR(INDEX(STPP!$D$6:$D$4207,MATCH(C3608,STPP!$C$6:$C$4207,0)),"Not Found"))</f>
        <v/>
      </c>
      <c r="E3608" s="27" t="str" cm="1">
        <f t="array" ref="E3608">IF(C3608="","",IFERROR(INDEX(STPP!$E$6:$E$4207,MATCH(C3608,STPP!$C$6:$C$4207,0)),"Not Found"))</f>
        <v/>
      </c>
      <c r="F3608" s="27" t="str" cm="1">
        <f t="array" ref="F3608">IF(C3608="","",IFERROR(INDEX(STPP!$F$6:$F$4207,MATCH(C3608,STPP!$C$6:$C$4207,0)),"Not Found"))</f>
        <v/>
      </c>
      <c r="G3608" s="25" t="str">
        <f>IF(表1[[#This Row],[No Seri]]="","",表1[[#This Row],[Deskripsi Barang]]+表1[[#This Row],[Kuantitas]]-表1[[#This Row],[Satuan]])</f>
        <v/>
      </c>
      <c r="H3608" s="28"/>
      <c r="I3608" s="25" t="str">
        <f>IF(表1[[#This Row],[Tgl NPBG]]&gt;表1[[#This Row],[Peminta]],表1[[#This Row],[Tgl NPBG]]-表1[[#This Row],[Peminta]],"")</f>
        <v/>
      </c>
      <c r="J3608" s="31"/>
    </row>
    <row r="3609" s="12" customFormat="1" customHeight="1" spans="2:10">
      <c r="B3609" s="25"/>
      <c r="C3609" s="25"/>
      <c r="D3609" s="26" t="str" cm="1">
        <f t="array" ref="D3609">IF(C3609="","",IFERROR(INDEX(STPP!$D$6:$D$4207,MATCH(C3609,STPP!$C$6:$C$4207,0)),"Not Found"))</f>
        <v/>
      </c>
      <c r="E3609" s="27" t="str" cm="1">
        <f t="array" ref="E3609">IF(C3609="","",IFERROR(INDEX(STPP!$E$6:$E$4207,MATCH(C3609,STPP!$C$6:$C$4207,0)),"Not Found"))</f>
        <v/>
      </c>
      <c r="F3609" s="27" t="str" cm="1">
        <f t="array" ref="F3609">IF(C3609="","",IFERROR(INDEX(STPP!$F$6:$F$4207,MATCH(C3609,STPP!$C$6:$C$4207,0)),"Not Found"))</f>
        <v/>
      </c>
      <c r="G3609" s="25" t="str">
        <f>IF(表1[[#This Row],[No Seri]]="","",表1[[#This Row],[Deskripsi Barang]]+表1[[#This Row],[Kuantitas]]-表1[[#This Row],[Satuan]])</f>
        <v/>
      </c>
      <c r="H3609" s="28"/>
      <c r="I3609" s="25" t="str">
        <f>IF(表1[[#This Row],[Tgl NPBG]]&gt;表1[[#This Row],[Peminta]],表1[[#This Row],[Tgl NPBG]]-表1[[#This Row],[Peminta]],"")</f>
        <v/>
      </c>
      <c r="J3609" s="31"/>
    </row>
    <row r="3610" s="12" customFormat="1" customHeight="1" spans="2:10">
      <c r="B3610" s="25"/>
      <c r="C3610" s="25"/>
      <c r="D3610" s="26" t="str" cm="1">
        <f t="array" ref="D3610">IF(C3610="","",IFERROR(INDEX(STPP!$D$6:$D$4207,MATCH(C3610,STPP!$C$6:$C$4207,0)),"Not Found"))</f>
        <v/>
      </c>
      <c r="E3610" s="27" t="str" cm="1">
        <f t="array" ref="E3610">IF(C3610="","",IFERROR(INDEX(STPP!$E$6:$E$4207,MATCH(C3610,STPP!$C$6:$C$4207,0)),"Not Found"))</f>
        <v/>
      </c>
      <c r="F3610" s="27" t="str" cm="1">
        <f t="array" ref="F3610">IF(C3610="","",IFERROR(INDEX(STPP!$F$6:$F$4207,MATCH(C3610,STPP!$C$6:$C$4207,0)),"Not Found"))</f>
        <v/>
      </c>
      <c r="G3610" s="25" t="str">
        <f>IF(表1[[#This Row],[No Seri]]="","",表1[[#This Row],[Deskripsi Barang]]+表1[[#This Row],[Kuantitas]]-表1[[#This Row],[Satuan]])</f>
        <v/>
      </c>
      <c r="H3610" s="28"/>
      <c r="I3610" s="25" t="str">
        <f>IF(表1[[#This Row],[Tgl NPBG]]&gt;表1[[#This Row],[Peminta]],表1[[#This Row],[Tgl NPBG]]-表1[[#This Row],[Peminta]],"")</f>
        <v/>
      </c>
      <c r="J3610" s="31"/>
    </row>
    <row r="3611" s="12" customFormat="1" customHeight="1" spans="2:10">
      <c r="B3611" s="25"/>
      <c r="C3611" s="25"/>
      <c r="D3611" s="26" t="str" cm="1">
        <f t="array" ref="D3611">IF(C3611="","",IFERROR(INDEX(STPP!$D$6:$D$4207,MATCH(C3611,STPP!$C$6:$C$4207,0)),"Not Found"))</f>
        <v/>
      </c>
      <c r="E3611" s="27" t="str" cm="1">
        <f t="array" ref="E3611">IF(C3611="","",IFERROR(INDEX(STPP!$E$6:$E$4207,MATCH(C3611,STPP!$C$6:$C$4207,0)),"Not Found"))</f>
        <v/>
      </c>
      <c r="F3611" s="27" t="str" cm="1">
        <f t="array" ref="F3611">IF(C3611="","",IFERROR(INDEX(STPP!$F$6:$F$4207,MATCH(C3611,STPP!$C$6:$C$4207,0)),"Not Found"))</f>
        <v/>
      </c>
      <c r="G3611" s="25" t="str">
        <f>IF(表1[[#This Row],[No Seri]]="","",表1[[#This Row],[Deskripsi Barang]]+表1[[#This Row],[Kuantitas]]-表1[[#This Row],[Satuan]])</f>
        <v/>
      </c>
      <c r="H3611" s="28"/>
      <c r="I3611" s="25" t="str">
        <f>IF(表1[[#This Row],[Tgl NPBG]]&gt;表1[[#This Row],[Peminta]],表1[[#This Row],[Tgl NPBG]]-表1[[#This Row],[Peminta]],"")</f>
        <v/>
      </c>
      <c r="J3611" s="31"/>
    </row>
    <row r="3612" s="12" customFormat="1" customHeight="1" spans="2:10">
      <c r="B3612" s="25"/>
      <c r="C3612" s="25"/>
      <c r="D3612" s="26" t="str" cm="1">
        <f t="array" ref="D3612">IF(C3612="","",IFERROR(INDEX(STPP!$D$6:$D$4207,MATCH(C3612,STPP!$C$6:$C$4207,0)),"Not Found"))</f>
        <v/>
      </c>
      <c r="E3612" s="27" t="str" cm="1">
        <f t="array" ref="E3612">IF(C3612="","",IFERROR(INDEX(STPP!$E$6:$E$4207,MATCH(C3612,STPP!$C$6:$C$4207,0)),"Not Found"))</f>
        <v/>
      </c>
      <c r="F3612" s="27" t="str" cm="1">
        <f t="array" ref="F3612">IF(C3612="","",IFERROR(INDEX(STPP!$F$6:$F$4207,MATCH(C3612,STPP!$C$6:$C$4207,0)),"Not Found"))</f>
        <v/>
      </c>
      <c r="G3612" s="25" t="str">
        <f>IF(表1[[#This Row],[No Seri]]="","",表1[[#This Row],[Deskripsi Barang]]+表1[[#This Row],[Kuantitas]]-表1[[#This Row],[Satuan]])</f>
        <v/>
      </c>
      <c r="H3612" s="28"/>
      <c r="I3612" s="25" t="str">
        <f>IF(表1[[#This Row],[Tgl NPBG]]&gt;表1[[#This Row],[Peminta]],表1[[#This Row],[Tgl NPBG]]-表1[[#This Row],[Peminta]],"")</f>
        <v/>
      </c>
      <c r="J3612" s="31"/>
    </row>
    <row r="3613" s="12" customFormat="1" customHeight="1" spans="2:10">
      <c r="B3613" s="25"/>
      <c r="C3613" s="25"/>
      <c r="D3613" s="26" t="str" cm="1">
        <f t="array" ref="D3613">IF(C3613="","",IFERROR(INDEX(STPP!$D$6:$D$4207,MATCH(C3613,STPP!$C$6:$C$4207,0)),"Not Found"))</f>
        <v/>
      </c>
      <c r="E3613" s="27" t="str" cm="1">
        <f t="array" ref="E3613">IF(C3613="","",IFERROR(INDEX(STPP!$E$6:$E$4207,MATCH(C3613,STPP!$C$6:$C$4207,0)),"Not Found"))</f>
        <v/>
      </c>
      <c r="F3613" s="27" t="str" cm="1">
        <f t="array" ref="F3613">IF(C3613="","",IFERROR(INDEX(STPP!$F$6:$F$4207,MATCH(C3613,STPP!$C$6:$C$4207,0)),"Not Found"))</f>
        <v/>
      </c>
      <c r="G3613" s="25" t="str">
        <f>IF(表1[[#This Row],[No Seri]]="","",表1[[#This Row],[Deskripsi Barang]]+表1[[#This Row],[Kuantitas]]-表1[[#This Row],[Satuan]])</f>
        <v/>
      </c>
      <c r="H3613" s="28"/>
      <c r="I3613" s="25" t="str">
        <f>IF(表1[[#This Row],[Tgl NPBG]]&gt;表1[[#This Row],[Peminta]],表1[[#This Row],[Tgl NPBG]]-表1[[#This Row],[Peminta]],"")</f>
        <v/>
      </c>
      <c r="J3613" s="31"/>
    </row>
    <row r="3614" s="12" customFormat="1" customHeight="1" spans="2:10">
      <c r="B3614" s="25"/>
      <c r="C3614" s="25"/>
      <c r="D3614" s="26" t="str" cm="1">
        <f t="array" ref="D3614">IF(C3614="","",IFERROR(INDEX(STPP!$D$6:$D$4207,MATCH(C3614,STPP!$C$6:$C$4207,0)),"Not Found"))</f>
        <v/>
      </c>
      <c r="E3614" s="27" t="str" cm="1">
        <f t="array" ref="E3614">IF(C3614="","",IFERROR(INDEX(STPP!$E$6:$E$4207,MATCH(C3614,STPP!$C$6:$C$4207,0)),"Not Found"))</f>
        <v/>
      </c>
      <c r="F3614" s="27" t="str" cm="1">
        <f t="array" ref="F3614">IF(C3614="","",IFERROR(INDEX(STPP!$F$6:$F$4207,MATCH(C3614,STPP!$C$6:$C$4207,0)),"Not Found"))</f>
        <v/>
      </c>
      <c r="G3614" s="25" t="str">
        <f>IF(表1[[#This Row],[No Seri]]="","",表1[[#This Row],[Deskripsi Barang]]+表1[[#This Row],[Kuantitas]]-表1[[#This Row],[Satuan]])</f>
        <v/>
      </c>
      <c r="H3614" s="28"/>
      <c r="I3614" s="25" t="str">
        <f>IF(表1[[#This Row],[Tgl NPBG]]&gt;表1[[#This Row],[Peminta]],表1[[#This Row],[Tgl NPBG]]-表1[[#This Row],[Peminta]],"")</f>
        <v/>
      </c>
      <c r="J3614" s="31"/>
    </row>
    <row r="3615" s="12" customFormat="1" customHeight="1" spans="2:10">
      <c r="B3615" s="25"/>
      <c r="C3615" s="25"/>
      <c r="D3615" s="26" t="str" cm="1">
        <f t="array" ref="D3615">IF(C3615="","",IFERROR(INDEX(STPP!$D$6:$D$4207,MATCH(C3615,STPP!$C$6:$C$4207,0)),"Not Found"))</f>
        <v/>
      </c>
      <c r="E3615" s="27" t="str" cm="1">
        <f t="array" ref="E3615">IF(C3615="","",IFERROR(INDEX(STPP!$E$6:$E$4207,MATCH(C3615,STPP!$C$6:$C$4207,0)),"Not Found"))</f>
        <v/>
      </c>
      <c r="F3615" s="27" t="str" cm="1">
        <f t="array" ref="F3615">IF(C3615="","",IFERROR(INDEX(STPP!$F$6:$F$4207,MATCH(C3615,STPP!$C$6:$C$4207,0)),"Not Found"))</f>
        <v/>
      </c>
      <c r="G3615" s="25" t="str">
        <f>IF(表1[[#This Row],[No Seri]]="","",表1[[#This Row],[Deskripsi Barang]]+表1[[#This Row],[Kuantitas]]-表1[[#This Row],[Satuan]])</f>
        <v/>
      </c>
      <c r="H3615" s="28"/>
      <c r="I3615" s="25" t="str">
        <f>IF(表1[[#This Row],[Tgl NPBG]]&gt;表1[[#This Row],[Peminta]],表1[[#This Row],[Tgl NPBG]]-表1[[#This Row],[Peminta]],"")</f>
        <v/>
      </c>
      <c r="J3615" s="31"/>
    </row>
    <row r="3616" s="12" customFormat="1" customHeight="1" spans="2:10">
      <c r="B3616" s="25"/>
      <c r="C3616" s="25"/>
      <c r="D3616" s="26" t="str" cm="1">
        <f t="array" ref="D3616">IF(C3616="","",IFERROR(INDEX(STPP!$D$6:$D$4207,MATCH(C3616,STPP!$C$6:$C$4207,0)),"Not Found"))</f>
        <v/>
      </c>
      <c r="E3616" s="27" t="str" cm="1">
        <f t="array" ref="E3616">IF(C3616="","",IFERROR(INDEX(STPP!$E$6:$E$4207,MATCH(C3616,STPP!$C$6:$C$4207,0)),"Not Found"))</f>
        <v/>
      </c>
      <c r="F3616" s="27" t="str" cm="1">
        <f t="array" ref="F3616">IF(C3616="","",IFERROR(INDEX(STPP!$F$6:$F$4207,MATCH(C3616,STPP!$C$6:$C$4207,0)),"Not Found"))</f>
        <v/>
      </c>
      <c r="G3616" s="25" t="str">
        <f>IF(表1[[#This Row],[No Seri]]="","",表1[[#This Row],[Deskripsi Barang]]+表1[[#This Row],[Kuantitas]]-表1[[#This Row],[Satuan]])</f>
        <v/>
      </c>
      <c r="H3616" s="28"/>
      <c r="I3616" s="25" t="str">
        <f>IF(表1[[#This Row],[Tgl NPBG]]&gt;表1[[#This Row],[Peminta]],表1[[#This Row],[Tgl NPBG]]-表1[[#This Row],[Peminta]],"")</f>
        <v/>
      </c>
      <c r="J3616" s="31"/>
    </row>
    <row r="3617" s="12" customFormat="1" customHeight="1" spans="2:10">
      <c r="B3617" s="25"/>
      <c r="C3617" s="25"/>
      <c r="D3617" s="26" t="str" cm="1">
        <f t="array" ref="D3617">IF(C3617="","",IFERROR(INDEX(STPP!$D$6:$D$4207,MATCH(C3617,STPP!$C$6:$C$4207,0)),"Not Found"))</f>
        <v/>
      </c>
      <c r="E3617" s="27" t="str" cm="1">
        <f t="array" ref="E3617">IF(C3617="","",IFERROR(INDEX(STPP!$E$6:$E$4207,MATCH(C3617,STPP!$C$6:$C$4207,0)),"Not Found"))</f>
        <v/>
      </c>
      <c r="F3617" s="27" t="str" cm="1">
        <f t="array" ref="F3617">IF(C3617="","",IFERROR(INDEX(STPP!$F$6:$F$4207,MATCH(C3617,STPP!$C$6:$C$4207,0)),"Not Found"))</f>
        <v/>
      </c>
      <c r="G3617" s="25" t="str">
        <f>IF(表1[[#This Row],[No Seri]]="","",表1[[#This Row],[Deskripsi Barang]]+表1[[#This Row],[Kuantitas]]-表1[[#This Row],[Satuan]])</f>
        <v/>
      </c>
      <c r="H3617" s="28"/>
      <c r="I3617" s="25" t="str">
        <f>IF(表1[[#This Row],[Tgl NPBG]]&gt;表1[[#This Row],[Peminta]],表1[[#This Row],[Tgl NPBG]]-表1[[#This Row],[Peminta]],"")</f>
        <v/>
      </c>
      <c r="J3617" s="31"/>
    </row>
    <row r="3618" s="12" customFormat="1" customHeight="1" spans="2:10">
      <c r="B3618" s="25"/>
      <c r="C3618" s="25"/>
      <c r="D3618" s="26" t="str" cm="1">
        <f t="array" ref="D3618">IF(C3618="","",IFERROR(INDEX(STPP!$D$6:$D$4207,MATCH(C3618,STPP!$C$6:$C$4207,0)),"Not Found"))</f>
        <v/>
      </c>
      <c r="E3618" s="27" t="str" cm="1">
        <f t="array" ref="E3618">IF(C3618="","",IFERROR(INDEX(STPP!$E$6:$E$4207,MATCH(C3618,STPP!$C$6:$C$4207,0)),"Not Found"))</f>
        <v/>
      </c>
      <c r="F3618" s="27" t="str" cm="1">
        <f t="array" ref="F3618">IF(C3618="","",IFERROR(INDEX(STPP!$F$6:$F$4207,MATCH(C3618,STPP!$C$6:$C$4207,0)),"Not Found"))</f>
        <v/>
      </c>
      <c r="G3618" s="25" t="str">
        <f>IF(表1[[#This Row],[No Seri]]="","",表1[[#This Row],[Deskripsi Barang]]+表1[[#This Row],[Kuantitas]]-表1[[#This Row],[Satuan]])</f>
        <v/>
      </c>
      <c r="H3618" s="28"/>
      <c r="I3618" s="25" t="str">
        <f>IF(表1[[#This Row],[Tgl NPBG]]&gt;表1[[#This Row],[Peminta]],表1[[#This Row],[Tgl NPBG]]-表1[[#This Row],[Peminta]],"")</f>
        <v/>
      </c>
      <c r="J3618" s="31"/>
    </row>
    <row r="3619" s="12" customFormat="1" customHeight="1" spans="2:10">
      <c r="B3619" s="25"/>
      <c r="C3619" s="25"/>
      <c r="D3619" s="26" t="str" cm="1">
        <f t="array" ref="D3619">IF(C3619="","",IFERROR(INDEX(STPP!$D$6:$D$4207,MATCH(C3619,STPP!$C$6:$C$4207,0)),"Not Found"))</f>
        <v/>
      </c>
      <c r="E3619" s="27" t="str" cm="1">
        <f t="array" ref="E3619">IF(C3619="","",IFERROR(INDEX(STPP!$E$6:$E$4207,MATCH(C3619,STPP!$C$6:$C$4207,0)),"Not Found"))</f>
        <v/>
      </c>
      <c r="F3619" s="27" t="str" cm="1">
        <f t="array" ref="F3619">IF(C3619="","",IFERROR(INDEX(STPP!$F$6:$F$4207,MATCH(C3619,STPP!$C$6:$C$4207,0)),"Not Found"))</f>
        <v/>
      </c>
      <c r="G3619" s="25" t="str">
        <f>IF(表1[[#This Row],[No Seri]]="","",表1[[#This Row],[Deskripsi Barang]]+表1[[#This Row],[Kuantitas]]-表1[[#This Row],[Satuan]])</f>
        <v/>
      </c>
      <c r="H3619" s="28"/>
      <c r="I3619" s="25" t="str">
        <f>IF(表1[[#This Row],[Tgl NPBG]]&gt;表1[[#This Row],[Peminta]],表1[[#This Row],[Tgl NPBG]]-表1[[#This Row],[Peminta]],"")</f>
        <v/>
      </c>
      <c r="J3619" s="31"/>
    </row>
    <row r="3620" s="12" customFormat="1" customHeight="1" spans="2:10">
      <c r="B3620" s="25"/>
      <c r="C3620" s="25"/>
      <c r="D3620" s="26" t="str" cm="1">
        <f t="array" ref="D3620">IF(C3620="","",IFERROR(INDEX(STPP!$D$6:$D$4207,MATCH(C3620,STPP!$C$6:$C$4207,0)),"Not Found"))</f>
        <v/>
      </c>
      <c r="E3620" s="27" t="str" cm="1">
        <f t="array" ref="E3620">IF(C3620="","",IFERROR(INDEX(STPP!$E$6:$E$4207,MATCH(C3620,STPP!$C$6:$C$4207,0)),"Not Found"))</f>
        <v/>
      </c>
      <c r="F3620" s="27" t="str" cm="1">
        <f t="array" ref="F3620">IF(C3620="","",IFERROR(INDEX(STPP!$F$6:$F$4207,MATCH(C3620,STPP!$C$6:$C$4207,0)),"Not Found"))</f>
        <v/>
      </c>
      <c r="G3620" s="25" t="str">
        <f>IF(表1[[#This Row],[No Seri]]="","",表1[[#This Row],[Deskripsi Barang]]+表1[[#This Row],[Kuantitas]]-表1[[#This Row],[Satuan]])</f>
        <v/>
      </c>
      <c r="H3620" s="28"/>
      <c r="I3620" s="25" t="str">
        <f>IF(表1[[#This Row],[Tgl NPBG]]&gt;表1[[#This Row],[Peminta]],表1[[#This Row],[Tgl NPBG]]-表1[[#This Row],[Peminta]],"")</f>
        <v/>
      </c>
      <c r="J3620" s="31"/>
    </row>
    <row r="3621" s="12" customFormat="1" customHeight="1" spans="2:10">
      <c r="B3621" s="25"/>
      <c r="C3621" s="25"/>
      <c r="D3621" s="26" t="str" cm="1">
        <f t="array" ref="D3621">IF(C3621="","",IFERROR(INDEX(STPP!$D$6:$D$4207,MATCH(C3621,STPP!$C$6:$C$4207,0)),"Not Found"))</f>
        <v/>
      </c>
      <c r="E3621" s="27" t="str" cm="1">
        <f t="array" ref="E3621">IF(C3621="","",IFERROR(INDEX(STPP!$E$6:$E$4207,MATCH(C3621,STPP!$C$6:$C$4207,0)),"Not Found"))</f>
        <v/>
      </c>
      <c r="F3621" s="27" t="str" cm="1">
        <f t="array" ref="F3621">IF(C3621="","",IFERROR(INDEX(STPP!$F$6:$F$4207,MATCH(C3621,STPP!$C$6:$C$4207,0)),"Not Found"))</f>
        <v/>
      </c>
      <c r="G3621" s="25" t="str">
        <f>IF(表1[[#This Row],[No Seri]]="","",表1[[#This Row],[Deskripsi Barang]]+表1[[#This Row],[Kuantitas]]-表1[[#This Row],[Satuan]])</f>
        <v/>
      </c>
      <c r="H3621" s="28"/>
      <c r="I3621" s="25" t="str">
        <f>IF(表1[[#This Row],[Tgl NPBG]]&gt;表1[[#This Row],[Peminta]],表1[[#This Row],[Tgl NPBG]]-表1[[#This Row],[Peminta]],"")</f>
        <v/>
      </c>
      <c r="J3621" s="31"/>
    </row>
    <row r="3622" s="12" customFormat="1" customHeight="1" spans="2:10">
      <c r="B3622" s="25"/>
      <c r="C3622" s="25"/>
      <c r="D3622" s="26" t="str" cm="1">
        <f t="array" ref="D3622">IF(C3622="","",IFERROR(INDEX(STPP!$D$6:$D$4207,MATCH(C3622,STPP!$C$6:$C$4207,0)),"Not Found"))</f>
        <v/>
      </c>
      <c r="E3622" s="27" t="str" cm="1">
        <f t="array" ref="E3622">IF(C3622="","",IFERROR(INDEX(STPP!$E$6:$E$4207,MATCH(C3622,STPP!$C$6:$C$4207,0)),"Not Found"))</f>
        <v/>
      </c>
      <c r="F3622" s="27" t="str" cm="1">
        <f t="array" ref="F3622">IF(C3622="","",IFERROR(INDEX(STPP!$F$6:$F$4207,MATCH(C3622,STPP!$C$6:$C$4207,0)),"Not Found"))</f>
        <v/>
      </c>
      <c r="G3622" s="25" t="str">
        <f>IF(表1[[#This Row],[No Seri]]="","",表1[[#This Row],[Deskripsi Barang]]+表1[[#This Row],[Kuantitas]]-表1[[#This Row],[Satuan]])</f>
        <v/>
      </c>
      <c r="H3622" s="28"/>
      <c r="I3622" s="25" t="str">
        <f>IF(表1[[#This Row],[Tgl NPBG]]&gt;表1[[#This Row],[Peminta]],表1[[#This Row],[Tgl NPBG]]-表1[[#This Row],[Peminta]],"")</f>
        <v/>
      </c>
      <c r="J3622" s="31"/>
    </row>
    <row r="3623" s="12" customFormat="1" customHeight="1" spans="2:10">
      <c r="B3623" s="25"/>
      <c r="C3623" s="25"/>
      <c r="D3623" s="26" t="str" cm="1">
        <f t="array" ref="D3623">IF(C3623="","",IFERROR(INDEX(STPP!$D$6:$D$4207,MATCH(C3623,STPP!$C$6:$C$4207,0)),"Not Found"))</f>
        <v/>
      </c>
      <c r="E3623" s="27" t="str" cm="1">
        <f t="array" ref="E3623">IF(C3623="","",IFERROR(INDEX(STPP!$E$6:$E$4207,MATCH(C3623,STPP!$C$6:$C$4207,0)),"Not Found"))</f>
        <v/>
      </c>
      <c r="F3623" s="27" t="str" cm="1">
        <f t="array" ref="F3623">IF(C3623="","",IFERROR(INDEX(STPP!$F$6:$F$4207,MATCH(C3623,STPP!$C$6:$C$4207,0)),"Not Found"))</f>
        <v/>
      </c>
      <c r="G3623" s="25" t="str">
        <f>IF(表1[[#This Row],[No Seri]]="","",表1[[#This Row],[Deskripsi Barang]]+表1[[#This Row],[Kuantitas]]-表1[[#This Row],[Satuan]])</f>
        <v/>
      </c>
      <c r="H3623" s="28"/>
      <c r="I3623" s="25" t="str">
        <f>IF(表1[[#This Row],[Tgl NPBG]]&gt;表1[[#This Row],[Peminta]],表1[[#This Row],[Tgl NPBG]]-表1[[#This Row],[Peminta]],"")</f>
        <v/>
      </c>
      <c r="J3623" s="31"/>
    </row>
    <row r="3624" s="12" customFormat="1" customHeight="1" spans="2:10">
      <c r="B3624" s="25"/>
      <c r="C3624" s="25"/>
      <c r="D3624" s="26" t="str" cm="1">
        <f t="array" ref="D3624">IF(C3624="","",IFERROR(INDEX(STPP!$D$6:$D$4207,MATCH(C3624,STPP!$C$6:$C$4207,0)),"Not Found"))</f>
        <v/>
      </c>
      <c r="E3624" s="27" t="str" cm="1">
        <f t="array" ref="E3624">IF(C3624="","",IFERROR(INDEX(STPP!$E$6:$E$4207,MATCH(C3624,STPP!$C$6:$C$4207,0)),"Not Found"))</f>
        <v/>
      </c>
      <c r="F3624" s="27" t="str" cm="1">
        <f t="array" ref="F3624">IF(C3624="","",IFERROR(INDEX(STPP!$F$6:$F$4207,MATCH(C3624,STPP!$C$6:$C$4207,0)),"Not Found"))</f>
        <v/>
      </c>
      <c r="G3624" s="25" t="str">
        <f>IF(表1[[#This Row],[No Seri]]="","",表1[[#This Row],[Deskripsi Barang]]+表1[[#This Row],[Kuantitas]]-表1[[#This Row],[Satuan]])</f>
        <v/>
      </c>
      <c r="H3624" s="28"/>
      <c r="I3624" s="25" t="str">
        <f>IF(表1[[#This Row],[Tgl NPBG]]&gt;表1[[#This Row],[Peminta]],表1[[#This Row],[Tgl NPBG]]-表1[[#This Row],[Peminta]],"")</f>
        <v/>
      </c>
      <c r="J3624" s="31"/>
    </row>
    <row r="3625" s="12" customFormat="1" customHeight="1" spans="2:10">
      <c r="B3625" s="25"/>
      <c r="C3625" s="25"/>
      <c r="D3625" s="26" t="str" cm="1">
        <f t="array" ref="D3625">IF(C3625="","",IFERROR(INDEX(STPP!$D$6:$D$4207,MATCH(C3625,STPP!$C$6:$C$4207,0)),"Not Found"))</f>
        <v/>
      </c>
      <c r="E3625" s="27" t="str" cm="1">
        <f t="array" ref="E3625">IF(C3625="","",IFERROR(INDEX(STPP!$E$6:$E$4207,MATCH(C3625,STPP!$C$6:$C$4207,0)),"Not Found"))</f>
        <v/>
      </c>
      <c r="F3625" s="27" t="str" cm="1">
        <f t="array" ref="F3625">IF(C3625="","",IFERROR(INDEX(STPP!$F$6:$F$4207,MATCH(C3625,STPP!$C$6:$C$4207,0)),"Not Found"))</f>
        <v/>
      </c>
      <c r="G3625" s="25" t="str">
        <f>IF(表1[[#This Row],[No Seri]]="","",表1[[#This Row],[Deskripsi Barang]]+表1[[#This Row],[Kuantitas]]-表1[[#This Row],[Satuan]])</f>
        <v/>
      </c>
      <c r="H3625" s="28"/>
      <c r="I3625" s="25" t="str">
        <f>IF(表1[[#This Row],[Tgl NPBG]]&gt;表1[[#This Row],[Peminta]],表1[[#This Row],[Tgl NPBG]]-表1[[#This Row],[Peminta]],"")</f>
        <v/>
      </c>
      <c r="J3625" s="31"/>
    </row>
    <row r="3626" s="12" customFormat="1" customHeight="1" spans="2:10">
      <c r="B3626" s="25"/>
      <c r="C3626" s="25"/>
      <c r="D3626" s="26" t="str" cm="1">
        <f t="array" ref="D3626">IF(C3626="","",IFERROR(INDEX(STPP!$D$6:$D$4207,MATCH(C3626,STPP!$C$6:$C$4207,0)),"Not Found"))</f>
        <v/>
      </c>
      <c r="E3626" s="27" t="str" cm="1">
        <f t="array" ref="E3626">IF(C3626="","",IFERROR(INDEX(STPP!$E$6:$E$4207,MATCH(C3626,STPP!$C$6:$C$4207,0)),"Not Found"))</f>
        <v/>
      </c>
      <c r="F3626" s="27" t="str" cm="1">
        <f t="array" ref="F3626">IF(C3626="","",IFERROR(INDEX(STPP!$F$6:$F$4207,MATCH(C3626,STPP!$C$6:$C$4207,0)),"Not Found"))</f>
        <v/>
      </c>
      <c r="G3626" s="25" t="str">
        <f>IF(表1[[#This Row],[No Seri]]="","",表1[[#This Row],[Deskripsi Barang]]+表1[[#This Row],[Kuantitas]]-表1[[#This Row],[Satuan]])</f>
        <v/>
      </c>
      <c r="H3626" s="28"/>
      <c r="I3626" s="25" t="str">
        <f>IF(表1[[#This Row],[Tgl NPBG]]&gt;表1[[#This Row],[Peminta]],表1[[#This Row],[Tgl NPBG]]-表1[[#This Row],[Peminta]],"")</f>
        <v/>
      </c>
      <c r="J3626" s="31"/>
    </row>
    <row r="3627" s="12" customFormat="1" customHeight="1" spans="2:10">
      <c r="B3627" s="25"/>
      <c r="C3627" s="25"/>
      <c r="D3627" s="26" t="str" cm="1">
        <f t="array" ref="D3627">IF(C3627="","",IFERROR(INDEX(STPP!$D$6:$D$4207,MATCH(C3627,STPP!$C$6:$C$4207,0)),"Not Found"))</f>
        <v/>
      </c>
      <c r="E3627" s="27" t="str" cm="1">
        <f t="array" ref="E3627">IF(C3627="","",IFERROR(INDEX(STPP!$E$6:$E$4207,MATCH(C3627,STPP!$C$6:$C$4207,0)),"Not Found"))</f>
        <v/>
      </c>
      <c r="F3627" s="27" t="str" cm="1">
        <f t="array" ref="F3627">IF(C3627="","",IFERROR(INDEX(STPP!$F$6:$F$4207,MATCH(C3627,STPP!$C$6:$C$4207,0)),"Not Found"))</f>
        <v/>
      </c>
      <c r="G3627" s="25" t="str">
        <f>IF(表1[[#This Row],[No Seri]]="","",表1[[#This Row],[Deskripsi Barang]]+表1[[#This Row],[Kuantitas]]-表1[[#This Row],[Satuan]])</f>
        <v/>
      </c>
      <c r="H3627" s="28"/>
      <c r="I3627" s="25" t="str">
        <f>IF(表1[[#This Row],[Tgl NPBG]]&gt;表1[[#This Row],[Peminta]],表1[[#This Row],[Tgl NPBG]]-表1[[#This Row],[Peminta]],"")</f>
        <v/>
      </c>
      <c r="J3627" s="31"/>
    </row>
    <row r="3628" s="12" customFormat="1" customHeight="1" spans="2:10">
      <c r="B3628" s="25"/>
      <c r="C3628" s="25"/>
      <c r="D3628" s="26" t="str" cm="1">
        <f t="array" ref="D3628">IF(C3628="","",IFERROR(INDEX(STPP!$D$6:$D$4207,MATCH(C3628,STPP!$C$6:$C$4207,0)),"Not Found"))</f>
        <v/>
      </c>
      <c r="E3628" s="27" t="str" cm="1">
        <f t="array" ref="E3628">IF(C3628="","",IFERROR(INDEX(STPP!$E$6:$E$4207,MATCH(C3628,STPP!$C$6:$C$4207,0)),"Not Found"))</f>
        <v/>
      </c>
      <c r="F3628" s="27" t="str" cm="1">
        <f t="array" ref="F3628">IF(C3628="","",IFERROR(INDEX(STPP!$F$6:$F$4207,MATCH(C3628,STPP!$C$6:$C$4207,0)),"Not Found"))</f>
        <v/>
      </c>
      <c r="G3628" s="25" t="str">
        <f>IF(表1[[#This Row],[No Seri]]="","",表1[[#This Row],[Deskripsi Barang]]+表1[[#This Row],[Kuantitas]]-表1[[#This Row],[Satuan]])</f>
        <v/>
      </c>
      <c r="H3628" s="28"/>
      <c r="I3628" s="25" t="str">
        <f>IF(表1[[#This Row],[Tgl NPBG]]&gt;表1[[#This Row],[Peminta]],表1[[#This Row],[Tgl NPBG]]-表1[[#This Row],[Peminta]],"")</f>
        <v/>
      </c>
      <c r="J3628" s="31"/>
    </row>
    <row r="3629" s="12" customFormat="1" customHeight="1" spans="2:10">
      <c r="B3629" s="25"/>
      <c r="C3629" s="25"/>
      <c r="D3629" s="26" t="str" cm="1">
        <f t="array" ref="D3629">IF(C3629="","",IFERROR(INDEX(STPP!$D$6:$D$4207,MATCH(C3629,STPP!$C$6:$C$4207,0)),"Not Found"))</f>
        <v/>
      </c>
      <c r="E3629" s="27" t="str" cm="1">
        <f t="array" ref="E3629">IF(C3629="","",IFERROR(INDEX(STPP!$E$6:$E$4207,MATCH(C3629,STPP!$C$6:$C$4207,0)),"Not Found"))</f>
        <v/>
      </c>
      <c r="F3629" s="27" t="str" cm="1">
        <f t="array" ref="F3629">IF(C3629="","",IFERROR(INDEX(STPP!$F$6:$F$4207,MATCH(C3629,STPP!$C$6:$C$4207,0)),"Not Found"))</f>
        <v/>
      </c>
      <c r="G3629" s="25" t="str">
        <f>IF(表1[[#This Row],[No Seri]]="","",表1[[#This Row],[Deskripsi Barang]]+表1[[#This Row],[Kuantitas]]-表1[[#This Row],[Satuan]])</f>
        <v/>
      </c>
      <c r="H3629" s="28"/>
      <c r="I3629" s="25" t="str">
        <f>IF(表1[[#This Row],[Tgl NPBG]]&gt;表1[[#This Row],[Peminta]],表1[[#This Row],[Tgl NPBG]]-表1[[#This Row],[Peminta]],"")</f>
        <v/>
      </c>
      <c r="J3629" s="31"/>
    </row>
    <row r="3630" s="12" customFormat="1" customHeight="1" spans="2:10">
      <c r="B3630" s="25"/>
      <c r="C3630" s="25"/>
      <c r="D3630" s="26" t="str" cm="1">
        <f t="array" ref="D3630">IF(C3630="","",IFERROR(INDEX(STPP!$D$6:$D$4207,MATCH(C3630,STPP!$C$6:$C$4207,0)),"Not Found"))</f>
        <v/>
      </c>
      <c r="E3630" s="27" t="str" cm="1">
        <f t="array" ref="E3630">IF(C3630="","",IFERROR(INDEX(STPP!$E$6:$E$4207,MATCH(C3630,STPP!$C$6:$C$4207,0)),"Not Found"))</f>
        <v/>
      </c>
      <c r="F3630" s="27" t="str" cm="1">
        <f t="array" ref="F3630">IF(C3630="","",IFERROR(INDEX(STPP!$F$6:$F$4207,MATCH(C3630,STPP!$C$6:$C$4207,0)),"Not Found"))</f>
        <v/>
      </c>
      <c r="G3630" s="25" t="str">
        <f>IF(表1[[#This Row],[No Seri]]="","",表1[[#This Row],[Deskripsi Barang]]+表1[[#This Row],[Kuantitas]]-表1[[#This Row],[Satuan]])</f>
        <v/>
      </c>
      <c r="H3630" s="28"/>
      <c r="I3630" s="25" t="str">
        <f>IF(表1[[#This Row],[Tgl NPBG]]&gt;表1[[#This Row],[Peminta]],表1[[#This Row],[Tgl NPBG]]-表1[[#This Row],[Peminta]],"")</f>
        <v/>
      </c>
      <c r="J3630" s="31"/>
    </row>
    <row r="3631" s="12" customFormat="1" customHeight="1" spans="2:10">
      <c r="B3631" s="25"/>
      <c r="C3631" s="25"/>
      <c r="D3631" s="26" t="str" cm="1">
        <f t="array" ref="D3631">IF(C3631="","",IFERROR(INDEX(STPP!$D$6:$D$4207,MATCH(C3631,STPP!$C$6:$C$4207,0)),"Not Found"))</f>
        <v/>
      </c>
      <c r="E3631" s="27" t="str" cm="1">
        <f t="array" ref="E3631">IF(C3631="","",IFERROR(INDEX(STPP!$E$6:$E$4207,MATCH(C3631,STPP!$C$6:$C$4207,0)),"Not Found"))</f>
        <v/>
      </c>
      <c r="F3631" s="27" t="str" cm="1">
        <f t="array" ref="F3631">IF(C3631="","",IFERROR(INDEX(STPP!$F$6:$F$4207,MATCH(C3631,STPP!$C$6:$C$4207,0)),"Not Found"))</f>
        <v/>
      </c>
      <c r="G3631" s="25" t="str">
        <f>IF(表1[[#This Row],[No Seri]]="","",表1[[#This Row],[Deskripsi Barang]]+表1[[#This Row],[Kuantitas]]-表1[[#This Row],[Satuan]])</f>
        <v/>
      </c>
      <c r="H3631" s="28"/>
      <c r="I3631" s="25" t="str">
        <f>IF(表1[[#This Row],[Tgl NPBG]]&gt;表1[[#This Row],[Peminta]],表1[[#This Row],[Tgl NPBG]]-表1[[#This Row],[Peminta]],"")</f>
        <v/>
      </c>
      <c r="J3631" s="31"/>
    </row>
    <row r="3632" s="12" customFormat="1" customHeight="1" spans="2:10">
      <c r="B3632" s="25"/>
      <c r="C3632" s="25"/>
      <c r="D3632" s="26" t="str" cm="1">
        <f t="array" ref="D3632">IF(C3632="","",IFERROR(INDEX(STPP!$D$6:$D$4207,MATCH(C3632,STPP!$C$6:$C$4207,0)),"Not Found"))</f>
        <v/>
      </c>
      <c r="E3632" s="27" t="str" cm="1">
        <f t="array" ref="E3632">IF(C3632="","",IFERROR(INDEX(STPP!$E$6:$E$4207,MATCH(C3632,STPP!$C$6:$C$4207,0)),"Not Found"))</f>
        <v/>
      </c>
      <c r="F3632" s="27" t="str" cm="1">
        <f t="array" ref="F3632">IF(C3632="","",IFERROR(INDEX(STPP!$F$6:$F$4207,MATCH(C3632,STPP!$C$6:$C$4207,0)),"Not Found"))</f>
        <v/>
      </c>
      <c r="G3632" s="25" t="str">
        <f>IF(表1[[#This Row],[No Seri]]="","",表1[[#This Row],[Deskripsi Barang]]+表1[[#This Row],[Kuantitas]]-表1[[#This Row],[Satuan]])</f>
        <v/>
      </c>
      <c r="H3632" s="28"/>
      <c r="I3632" s="25" t="str">
        <f>IF(表1[[#This Row],[Tgl NPBG]]&gt;表1[[#This Row],[Peminta]],表1[[#This Row],[Tgl NPBG]]-表1[[#This Row],[Peminta]],"")</f>
        <v/>
      </c>
      <c r="J3632" s="31"/>
    </row>
    <row r="3633" s="12" customFormat="1" customHeight="1" spans="2:10">
      <c r="B3633" s="25"/>
      <c r="C3633" s="25"/>
      <c r="D3633" s="26" t="str" cm="1">
        <f t="array" ref="D3633">IF(C3633="","",IFERROR(INDEX(STPP!$D$6:$D$4207,MATCH(C3633,STPP!$C$6:$C$4207,0)),"Not Found"))</f>
        <v/>
      </c>
      <c r="E3633" s="27" t="str" cm="1">
        <f t="array" ref="E3633">IF(C3633="","",IFERROR(INDEX(STPP!$E$6:$E$4207,MATCH(C3633,STPP!$C$6:$C$4207,0)),"Not Found"))</f>
        <v/>
      </c>
      <c r="F3633" s="27" t="str" cm="1">
        <f t="array" ref="F3633">IF(C3633="","",IFERROR(INDEX(STPP!$F$6:$F$4207,MATCH(C3633,STPP!$C$6:$C$4207,0)),"Not Found"))</f>
        <v/>
      </c>
      <c r="G3633" s="25" t="str">
        <f>IF(表1[[#This Row],[No Seri]]="","",表1[[#This Row],[Deskripsi Barang]]+表1[[#This Row],[Kuantitas]]-表1[[#This Row],[Satuan]])</f>
        <v/>
      </c>
      <c r="H3633" s="28"/>
      <c r="I3633" s="25" t="str">
        <f>IF(表1[[#This Row],[Tgl NPBG]]&gt;表1[[#This Row],[Peminta]],表1[[#This Row],[Tgl NPBG]]-表1[[#This Row],[Peminta]],"")</f>
        <v/>
      </c>
      <c r="J3633" s="31"/>
    </row>
    <row r="3634" s="12" customFormat="1" customHeight="1" spans="2:10">
      <c r="B3634" s="25"/>
      <c r="C3634" s="25"/>
      <c r="D3634" s="26" t="str" cm="1">
        <f t="array" ref="D3634">IF(C3634="","",IFERROR(INDEX(STPP!$D$6:$D$4207,MATCH(C3634,STPP!$C$6:$C$4207,0)),"Not Found"))</f>
        <v/>
      </c>
      <c r="E3634" s="27" t="str" cm="1">
        <f t="array" ref="E3634">IF(C3634="","",IFERROR(INDEX(STPP!$E$6:$E$4207,MATCH(C3634,STPP!$C$6:$C$4207,0)),"Not Found"))</f>
        <v/>
      </c>
      <c r="F3634" s="27" t="str" cm="1">
        <f t="array" ref="F3634">IF(C3634="","",IFERROR(INDEX(STPP!$F$6:$F$4207,MATCH(C3634,STPP!$C$6:$C$4207,0)),"Not Found"))</f>
        <v/>
      </c>
      <c r="G3634" s="25" t="str">
        <f>IF(表1[[#This Row],[No Seri]]="","",表1[[#This Row],[Deskripsi Barang]]+表1[[#This Row],[Kuantitas]]-表1[[#This Row],[Satuan]])</f>
        <v/>
      </c>
      <c r="H3634" s="28"/>
      <c r="I3634" s="25" t="str">
        <f>IF(表1[[#This Row],[Tgl NPBG]]&gt;表1[[#This Row],[Peminta]],表1[[#This Row],[Tgl NPBG]]-表1[[#This Row],[Peminta]],"")</f>
        <v/>
      </c>
      <c r="J3634" s="31"/>
    </row>
    <row r="3635" s="12" customFormat="1" customHeight="1" spans="2:10">
      <c r="B3635" s="25"/>
      <c r="C3635" s="25"/>
      <c r="D3635" s="26" t="str" cm="1">
        <f t="array" ref="D3635">IF(C3635="","",IFERROR(INDEX(STPP!$D$6:$D$4207,MATCH(C3635,STPP!$C$6:$C$4207,0)),"Not Found"))</f>
        <v/>
      </c>
      <c r="E3635" s="27" t="str" cm="1">
        <f t="array" ref="E3635">IF(C3635="","",IFERROR(INDEX(STPP!$E$6:$E$4207,MATCH(C3635,STPP!$C$6:$C$4207,0)),"Not Found"))</f>
        <v/>
      </c>
      <c r="F3635" s="27" t="str" cm="1">
        <f t="array" ref="F3635">IF(C3635="","",IFERROR(INDEX(STPP!$F$6:$F$4207,MATCH(C3635,STPP!$C$6:$C$4207,0)),"Not Found"))</f>
        <v/>
      </c>
      <c r="G3635" s="25" t="str">
        <f>IF(表1[[#This Row],[No Seri]]="","",表1[[#This Row],[Deskripsi Barang]]+表1[[#This Row],[Kuantitas]]-表1[[#This Row],[Satuan]])</f>
        <v/>
      </c>
      <c r="H3635" s="28"/>
      <c r="I3635" s="25" t="str">
        <f>IF(表1[[#This Row],[Tgl NPBG]]&gt;表1[[#This Row],[Peminta]],表1[[#This Row],[Tgl NPBG]]-表1[[#This Row],[Peminta]],"")</f>
        <v/>
      </c>
      <c r="J3635" s="31"/>
    </row>
    <row r="3636" s="12" customFormat="1" customHeight="1" spans="2:10">
      <c r="B3636" s="25"/>
      <c r="C3636" s="25"/>
      <c r="D3636" s="26" t="str" cm="1">
        <f t="array" ref="D3636">IF(C3636="","",IFERROR(INDEX(STPP!$D$6:$D$4207,MATCH(C3636,STPP!$C$6:$C$4207,0)),"Not Found"))</f>
        <v/>
      </c>
      <c r="E3636" s="27" t="str" cm="1">
        <f t="array" ref="E3636">IF(C3636="","",IFERROR(INDEX(STPP!$E$6:$E$4207,MATCH(C3636,STPP!$C$6:$C$4207,0)),"Not Found"))</f>
        <v/>
      </c>
      <c r="F3636" s="27" t="str" cm="1">
        <f t="array" ref="F3636">IF(C3636="","",IFERROR(INDEX(STPP!$F$6:$F$4207,MATCH(C3636,STPP!$C$6:$C$4207,0)),"Not Found"))</f>
        <v/>
      </c>
      <c r="G3636" s="25" t="str">
        <f>IF(表1[[#This Row],[No Seri]]="","",表1[[#This Row],[Deskripsi Barang]]+表1[[#This Row],[Kuantitas]]-表1[[#This Row],[Satuan]])</f>
        <v/>
      </c>
      <c r="H3636" s="28"/>
      <c r="I3636" s="25" t="str">
        <f>IF(表1[[#This Row],[Tgl NPBG]]&gt;表1[[#This Row],[Peminta]],表1[[#This Row],[Tgl NPBG]]-表1[[#This Row],[Peminta]],"")</f>
        <v/>
      </c>
      <c r="J3636" s="31"/>
    </row>
    <row r="3637" s="12" customFormat="1" customHeight="1" spans="2:10">
      <c r="B3637" s="25"/>
      <c r="C3637" s="25"/>
      <c r="D3637" s="26" t="str" cm="1">
        <f t="array" ref="D3637">IF(C3637="","",IFERROR(INDEX(STPP!$D$6:$D$4207,MATCH(C3637,STPP!$C$6:$C$4207,0)),"Not Found"))</f>
        <v/>
      </c>
      <c r="E3637" s="27" t="str" cm="1">
        <f t="array" ref="E3637">IF(C3637="","",IFERROR(INDEX(STPP!$E$6:$E$4207,MATCH(C3637,STPP!$C$6:$C$4207,0)),"Not Found"))</f>
        <v/>
      </c>
      <c r="F3637" s="27" t="str" cm="1">
        <f t="array" ref="F3637">IF(C3637="","",IFERROR(INDEX(STPP!$F$6:$F$4207,MATCH(C3637,STPP!$C$6:$C$4207,0)),"Not Found"))</f>
        <v/>
      </c>
      <c r="G3637" s="25" t="str">
        <f>IF(表1[[#This Row],[No Seri]]="","",表1[[#This Row],[Deskripsi Barang]]+表1[[#This Row],[Kuantitas]]-表1[[#This Row],[Satuan]])</f>
        <v/>
      </c>
      <c r="H3637" s="28"/>
      <c r="I3637" s="25" t="str">
        <f>IF(表1[[#This Row],[Tgl NPBG]]&gt;表1[[#This Row],[Peminta]],表1[[#This Row],[Tgl NPBG]]-表1[[#This Row],[Peminta]],"")</f>
        <v/>
      </c>
      <c r="J3637" s="31"/>
    </row>
    <row r="3638" s="12" customFormat="1" customHeight="1" spans="2:10">
      <c r="B3638" s="25"/>
      <c r="C3638" s="25"/>
      <c r="D3638" s="26" t="str" cm="1">
        <f t="array" ref="D3638">IF(C3638="","",IFERROR(INDEX(STPP!$D$6:$D$4207,MATCH(C3638,STPP!$C$6:$C$4207,0)),"Not Found"))</f>
        <v/>
      </c>
      <c r="E3638" s="27" t="str" cm="1">
        <f t="array" ref="E3638">IF(C3638="","",IFERROR(INDEX(STPP!$E$6:$E$4207,MATCH(C3638,STPP!$C$6:$C$4207,0)),"Not Found"))</f>
        <v/>
      </c>
      <c r="F3638" s="27" t="str" cm="1">
        <f t="array" ref="F3638">IF(C3638="","",IFERROR(INDEX(STPP!$F$6:$F$4207,MATCH(C3638,STPP!$C$6:$C$4207,0)),"Not Found"))</f>
        <v/>
      </c>
      <c r="G3638" s="25" t="str">
        <f>IF(表1[[#This Row],[No Seri]]="","",表1[[#This Row],[Deskripsi Barang]]+表1[[#This Row],[Kuantitas]]-表1[[#This Row],[Satuan]])</f>
        <v/>
      </c>
      <c r="H3638" s="28"/>
      <c r="I3638" s="25" t="str">
        <f>IF(表1[[#This Row],[Tgl NPBG]]&gt;表1[[#This Row],[Peminta]],表1[[#This Row],[Tgl NPBG]]-表1[[#This Row],[Peminta]],"")</f>
        <v/>
      </c>
      <c r="J3638" s="31"/>
    </row>
    <row r="3639" s="12" customFormat="1" customHeight="1" spans="2:10">
      <c r="B3639" s="25"/>
      <c r="C3639" s="25"/>
      <c r="D3639" s="26" t="str" cm="1">
        <f t="array" ref="D3639">IF(C3639="","",IFERROR(INDEX(STPP!$D$6:$D$4207,MATCH(C3639,STPP!$C$6:$C$4207,0)),"Not Found"))</f>
        <v/>
      </c>
      <c r="E3639" s="27" t="str" cm="1">
        <f t="array" ref="E3639">IF(C3639="","",IFERROR(INDEX(STPP!$E$6:$E$4207,MATCH(C3639,STPP!$C$6:$C$4207,0)),"Not Found"))</f>
        <v/>
      </c>
      <c r="F3639" s="27" t="str" cm="1">
        <f t="array" ref="F3639">IF(C3639="","",IFERROR(INDEX(STPP!$F$6:$F$4207,MATCH(C3639,STPP!$C$6:$C$4207,0)),"Not Found"))</f>
        <v/>
      </c>
      <c r="G3639" s="25" t="str">
        <f>IF(表1[[#This Row],[No Seri]]="","",表1[[#This Row],[Deskripsi Barang]]+表1[[#This Row],[Kuantitas]]-表1[[#This Row],[Satuan]])</f>
        <v/>
      </c>
      <c r="H3639" s="28"/>
      <c r="I3639" s="25" t="str">
        <f>IF(表1[[#This Row],[Tgl NPBG]]&gt;表1[[#This Row],[Peminta]],表1[[#This Row],[Tgl NPBG]]-表1[[#This Row],[Peminta]],"")</f>
        <v/>
      </c>
      <c r="J3639" s="31"/>
    </row>
    <row r="3640" s="12" customFormat="1" customHeight="1" spans="2:10">
      <c r="B3640" s="25"/>
      <c r="C3640" s="25"/>
      <c r="D3640" s="26" t="str" cm="1">
        <f t="array" ref="D3640">IF(C3640="","",IFERROR(INDEX(STPP!$D$6:$D$4207,MATCH(C3640,STPP!$C$6:$C$4207,0)),"Not Found"))</f>
        <v/>
      </c>
      <c r="E3640" s="27" t="str" cm="1">
        <f t="array" ref="E3640">IF(C3640="","",IFERROR(INDEX(STPP!$E$6:$E$4207,MATCH(C3640,STPP!$C$6:$C$4207,0)),"Not Found"))</f>
        <v/>
      </c>
      <c r="F3640" s="27" t="str" cm="1">
        <f t="array" ref="F3640">IF(C3640="","",IFERROR(INDEX(STPP!$F$6:$F$4207,MATCH(C3640,STPP!$C$6:$C$4207,0)),"Not Found"))</f>
        <v/>
      </c>
      <c r="G3640" s="25" t="str">
        <f>IF(表1[[#This Row],[No Seri]]="","",表1[[#This Row],[Deskripsi Barang]]+表1[[#This Row],[Kuantitas]]-表1[[#This Row],[Satuan]])</f>
        <v/>
      </c>
      <c r="H3640" s="28"/>
      <c r="I3640" s="25" t="str">
        <f>IF(表1[[#This Row],[Tgl NPBG]]&gt;表1[[#This Row],[Peminta]],表1[[#This Row],[Tgl NPBG]]-表1[[#This Row],[Peminta]],"")</f>
        <v/>
      </c>
      <c r="J3640" s="31"/>
    </row>
    <row r="3641" s="12" customFormat="1" customHeight="1" spans="2:10">
      <c r="B3641" s="25"/>
      <c r="C3641" s="25"/>
      <c r="D3641" s="26" t="str" cm="1">
        <f t="array" ref="D3641">IF(C3641="","",IFERROR(INDEX(STPP!$D$6:$D$4207,MATCH(C3641,STPP!$C$6:$C$4207,0)),"Not Found"))</f>
        <v/>
      </c>
      <c r="E3641" s="27" t="str" cm="1">
        <f t="array" ref="E3641">IF(C3641="","",IFERROR(INDEX(STPP!$E$6:$E$4207,MATCH(C3641,STPP!$C$6:$C$4207,0)),"Not Found"))</f>
        <v/>
      </c>
      <c r="F3641" s="27" t="str" cm="1">
        <f t="array" ref="F3641">IF(C3641="","",IFERROR(INDEX(STPP!$F$6:$F$4207,MATCH(C3641,STPP!$C$6:$C$4207,0)),"Not Found"))</f>
        <v/>
      </c>
      <c r="G3641" s="25" t="str">
        <f>IF(表1[[#This Row],[No Seri]]="","",表1[[#This Row],[Deskripsi Barang]]+表1[[#This Row],[Kuantitas]]-表1[[#This Row],[Satuan]])</f>
        <v/>
      </c>
      <c r="H3641" s="28"/>
      <c r="I3641" s="25" t="str">
        <f>IF(表1[[#This Row],[Tgl NPBG]]&gt;表1[[#This Row],[Peminta]],表1[[#This Row],[Tgl NPBG]]-表1[[#This Row],[Peminta]],"")</f>
        <v/>
      </c>
      <c r="J3641" s="31"/>
    </row>
    <row r="3642" s="12" customFormat="1" customHeight="1" spans="2:10">
      <c r="B3642" s="25"/>
      <c r="C3642" s="25"/>
      <c r="D3642" s="26" t="str" cm="1">
        <f t="array" ref="D3642">IF(C3642="","",IFERROR(INDEX(STPP!$D$6:$D$4207,MATCH(C3642,STPP!$C$6:$C$4207,0)),"Not Found"))</f>
        <v/>
      </c>
      <c r="E3642" s="27" t="str" cm="1">
        <f t="array" ref="E3642">IF(C3642="","",IFERROR(INDEX(STPP!$E$6:$E$4207,MATCH(C3642,STPP!$C$6:$C$4207,0)),"Not Found"))</f>
        <v/>
      </c>
      <c r="F3642" s="27" t="str" cm="1">
        <f t="array" ref="F3642">IF(C3642="","",IFERROR(INDEX(STPP!$F$6:$F$4207,MATCH(C3642,STPP!$C$6:$C$4207,0)),"Not Found"))</f>
        <v/>
      </c>
      <c r="G3642" s="25" t="str">
        <f>IF(表1[[#This Row],[No Seri]]="","",表1[[#This Row],[Deskripsi Barang]]+表1[[#This Row],[Kuantitas]]-表1[[#This Row],[Satuan]])</f>
        <v/>
      </c>
      <c r="H3642" s="28"/>
      <c r="I3642" s="25" t="str">
        <f>IF(表1[[#This Row],[Tgl NPBG]]&gt;表1[[#This Row],[Peminta]],表1[[#This Row],[Tgl NPBG]]-表1[[#This Row],[Peminta]],"")</f>
        <v/>
      </c>
      <c r="J3642" s="31"/>
    </row>
    <row r="3643" s="12" customFormat="1" customHeight="1" spans="2:10">
      <c r="B3643" s="25"/>
      <c r="C3643" s="25"/>
      <c r="D3643" s="26" t="str" cm="1">
        <f t="array" ref="D3643">IF(C3643="","",IFERROR(INDEX(STPP!$D$6:$D$4207,MATCH(C3643,STPP!$C$6:$C$4207,0)),"Not Found"))</f>
        <v/>
      </c>
      <c r="E3643" s="27" t="str" cm="1">
        <f t="array" ref="E3643">IF(C3643="","",IFERROR(INDEX(STPP!$E$6:$E$4207,MATCH(C3643,STPP!$C$6:$C$4207,0)),"Not Found"))</f>
        <v/>
      </c>
      <c r="F3643" s="27" t="str" cm="1">
        <f t="array" ref="F3643">IF(C3643="","",IFERROR(INDEX(STPP!$F$6:$F$4207,MATCH(C3643,STPP!$C$6:$C$4207,0)),"Not Found"))</f>
        <v/>
      </c>
      <c r="G3643" s="25" t="str">
        <f>IF(表1[[#This Row],[No Seri]]="","",表1[[#This Row],[Deskripsi Barang]]+表1[[#This Row],[Kuantitas]]-表1[[#This Row],[Satuan]])</f>
        <v/>
      </c>
      <c r="H3643" s="28"/>
      <c r="I3643" s="25" t="str">
        <f>IF(表1[[#This Row],[Tgl NPBG]]&gt;表1[[#This Row],[Peminta]],表1[[#This Row],[Tgl NPBG]]-表1[[#This Row],[Peminta]],"")</f>
        <v/>
      </c>
      <c r="J3643" s="31"/>
    </row>
    <row r="3644" s="12" customFormat="1" customHeight="1" spans="2:10">
      <c r="B3644" s="25"/>
      <c r="C3644" s="25"/>
      <c r="D3644" s="26" t="str" cm="1">
        <f t="array" ref="D3644">IF(C3644="","",IFERROR(INDEX(STPP!$D$6:$D$4207,MATCH(C3644,STPP!$C$6:$C$4207,0)),"Not Found"))</f>
        <v/>
      </c>
      <c r="E3644" s="27" t="str" cm="1">
        <f t="array" ref="E3644">IF(C3644="","",IFERROR(INDEX(STPP!$E$6:$E$4207,MATCH(C3644,STPP!$C$6:$C$4207,0)),"Not Found"))</f>
        <v/>
      </c>
      <c r="F3644" s="27" t="str" cm="1">
        <f t="array" ref="F3644">IF(C3644="","",IFERROR(INDEX(STPP!$F$6:$F$4207,MATCH(C3644,STPP!$C$6:$C$4207,0)),"Not Found"))</f>
        <v/>
      </c>
      <c r="G3644" s="25" t="str">
        <f>IF(表1[[#This Row],[No Seri]]="","",表1[[#This Row],[Deskripsi Barang]]+表1[[#This Row],[Kuantitas]]-表1[[#This Row],[Satuan]])</f>
        <v/>
      </c>
      <c r="H3644" s="28"/>
      <c r="I3644" s="25" t="str">
        <f>IF(表1[[#This Row],[Tgl NPBG]]&gt;表1[[#This Row],[Peminta]],表1[[#This Row],[Tgl NPBG]]-表1[[#This Row],[Peminta]],"")</f>
        <v/>
      </c>
      <c r="J3644" s="31"/>
    </row>
    <row r="3645" s="12" customFormat="1" customHeight="1" spans="2:10">
      <c r="B3645" s="25"/>
      <c r="C3645" s="25"/>
      <c r="D3645" s="26" t="str" cm="1">
        <f t="array" ref="D3645">IF(C3645="","",IFERROR(INDEX(STPP!$D$6:$D$4207,MATCH(C3645,STPP!$C$6:$C$4207,0)),"Not Found"))</f>
        <v/>
      </c>
      <c r="E3645" s="27" t="str" cm="1">
        <f t="array" ref="E3645">IF(C3645="","",IFERROR(INDEX(STPP!$E$6:$E$4207,MATCH(C3645,STPP!$C$6:$C$4207,0)),"Not Found"))</f>
        <v/>
      </c>
      <c r="F3645" s="27" t="str" cm="1">
        <f t="array" ref="F3645">IF(C3645="","",IFERROR(INDEX(STPP!$F$6:$F$4207,MATCH(C3645,STPP!$C$6:$C$4207,0)),"Not Found"))</f>
        <v/>
      </c>
      <c r="G3645" s="25" t="str">
        <f>IF(表1[[#This Row],[No Seri]]="","",表1[[#This Row],[Deskripsi Barang]]+表1[[#This Row],[Kuantitas]]-表1[[#This Row],[Satuan]])</f>
        <v/>
      </c>
      <c r="H3645" s="28"/>
      <c r="I3645" s="25" t="str">
        <f>IF(表1[[#This Row],[Tgl NPBG]]&gt;表1[[#This Row],[Peminta]],表1[[#This Row],[Tgl NPBG]]-表1[[#This Row],[Peminta]],"")</f>
        <v/>
      </c>
      <c r="J3645" s="31"/>
    </row>
    <row r="3646" s="12" customFormat="1" customHeight="1" spans="2:10">
      <c r="B3646" s="25"/>
      <c r="C3646" s="25"/>
      <c r="D3646" s="26" t="str" cm="1">
        <f t="array" ref="D3646">IF(C3646="","",IFERROR(INDEX(STPP!$D$6:$D$4207,MATCH(C3646,STPP!$C$6:$C$4207,0)),"Not Found"))</f>
        <v/>
      </c>
      <c r="E3646" s="27" t="str" cm="1">
        <f t="array" ref="E3646">IF(C3646="","",IFERROR(INDEX(STPP!$E$6:$E$4207,MATCH(C3646,STPP!$C$6:$C$4207,0)),"Not Found"))</f>
        <v/>
      </c>
      <c r="F3646" s="27" t="str" cm="1">
        <f t="array" ref="F3646">IF(C3646="","",IFERROR(INDEX(STPP!$F$6:$F$4207,MATCH(C3646,STPP!$C$6:$C$4207,0)),"Not Found"))</f>
        <v/>
      </c>
      <c r="G3646" s="25" t="str">
        <f>IF(表1[[#This Row],[No Seri]]="","",表1[[#This Row],[Deskripsi Barang]]+表1[[#This Row],[Kuantitas]]-表1[[#This Row],[Satuan]])</f>
        <v/>
      </c>
      <c r="H3646" s="28"/>
      <c r="I3646" s="25" t="str">
        <f>IF(表1[[#This Row],[Tgl NPBG]]&gt;表1[[#This Row],[Peminta]],表1[[#This Row],[Tgl NPBG]]-表1[[#This Row],[Peminta]],"")</f>
        <v/>
      </c>
      <c r="J3646" s="31"/>
    </row>
    <row r="3647" s="12" customFormat="1" customHeight="1" spans="2:10">
      <c r="B3647" s="25"/>
      <c r="C3647" s="25"/>
      <c r="D3647" s="26" t="str" cm="1">
        <f t="array" ref="D3647">IF(C3647="","",IFERROR(INDEX(STPP!$D$6:$D$4207,MATCH(C3647,STPP!$C$6:$C$4207,0)),"Not Found"))</f>
        <v/>
      </c>
      <c r="E3647" s="27" t="str" cm="1">
        <f t="array" ref="E3647">IF(C3647="","",IFERROR(INDEX(STPP!$E$6:$E$4207,MATCH(C3647,STPP!$C$6:$C$4207,0)),"Not Found"))</f>
        <v/>
      </c>
      <c r="F3647" s="27" t="str" cm="1">
        <f t="array" ref="F3647">IF(C3647="","",IFERROR(INDEX(STPP!$F$6:$F$4207,MATCH(C3647,STPP!$C$6:$C$4207,0)),"Not Found"))</f>
        <v/>
      </c>
      <c r="G3647" s="25" t="str">
        <f>IF(表1[[#This Row],[No Seri]]="","",表1[[#This Row],[Deskripsi Barang]]+表1[[#This Row],[Kuantitas]]-表1[[#This Row],[Satuan]])</f>
        <v/>
      </c>
      <c r="H3647" s="28"/>
      <c r="I3647" s="25" t="str">
        <f>IF(表1[[#This Row],[Tgl NPBG]]&gt;表1[[#This Row],[Peminta]],表1[[#This Row],[Tgl NPBG]]-表1[[#This Row],[Peminta]],"")</f>
        <v/>
      </c>
      <c r="J3647" s="31"/>
    </row>
    <row r="3648" s="12" customFormat="1" customHeight="1" spans="2:10">
      <c r="B3648" s="25"/>
      <c r="C3648" s="25"/>
      <c r="D3648" s="26" t="str" cm="1">
        <f t="array" ref="D3648">IF(C3648="","",IFERROR(INDEX(STPP!$D$6:$D$4207,MATCH(C3648,STPP!$C$6:$C$4207,0)),"Not Found"))</f>
        <v/>
      </c>
      <c r="E3648" s="27" t="str" cm="1">
        <f t="array" ref="E3648">IF(C3648="","",IFERROR(INDEX(STPP!$E$6:$E$4207,MATCH(C3648,STPP!$C$6:$C$4207,0)),"Not Found"))</f>
        <v/>
      </c>
      <c r="F3648" s="27" t="str" cm="1">
        <f t="array" ref="F3648">IF(C3648="","",IFERROR(INDEX(STPP!$F$6:$F$4207,MATCH(C3648,STPP!$C$6:$C$4207,0)),"Not Found"))</f>
        <v/>
      </c>
      <c r="G3648" s="25" t="str">
        <f>IF(表1[[#This Row],[No Seri]]="","",表1[[#This Row],[Deskripsi Barang]]+表1[[#This Row],[Kuantitas]]-表1[[#This Row],[Satuan]])</f>
        <v/>
      </c>
      <c r="H3648" s="28"/>
      <c r="I3648" s="25" t="str">
        <f>IF(表1[[#This Row],[Tgl NPBG]]&gt;表1[[#This Row],[Peminta]],表1[[#This Row],[Tgl NPBG]]-表1[[#This Row],[Peminta]],"")</f>
        <v/>
      </c>
      <c r="J3648" s="31"/>
    </row>
    <row r="3649" s="12" customFormat="1" customHeight="1" spans="2:10">
      <c r="B3649" s="25"/>
      <c r="C3649" s="25"/>
      <c r="D3649" s="26" t="str" cm="1">
        <f t="array" ref="D3649">IF(C3649="","",IFERROR(INDEX(STPP!$D$6:$D$4207,MATCH(C3649,STPP!$C$6:$C$4207,0)),"Not Found"))</f>
        <v/>
      </c>
      <c r="E3649" s="27" t="str" cm="1">
        <f t="array" ref="E3649">IF(C3649="","",IFERROR(INDEX(STPP!$E$6:$E$4207,MATCH(C3649,STPP!$C$6:$C$4207,0)),"Not Found"))</f>
        <v/>
      </c>
      <c r="F3649" s="27" t="str" cm="1">
        <f t="array" ref="F3649">IF(C3649="","",IFERROR(INDEX(STPP!$F$6:$F$4207,MATCH(C3649,STPP!$C$6:$C$4207,0)),"Not Found"))</f>
        <v/>
      </c>
      <c r="G3649" s="25" t="str">
        <f>IF(表1[[#This Row],[No Seri]]="","",表1[[#This Row],[Deskripsi Barang]]+表1[[#This Row],[Kuantitas]]-表1[[#This Row],[Satuan]])</f>
        <v/>
      </c>
      <c r="H3649" s="28"/>
      <c r="I3649" s="25" t="str">
        <f>IF(表1[[#This Row],[Tgl NPBG]]&gt;表1[[#This Row],[Peminta]],表1[[#This Row],[Tgl NPBG]]-表1[[#This Row],[Peminta]],"")</f>
        <v/>
      </c>
      <c r="J3649" s="31"/>
    </row>
    <row r="3650" s="12" customFormat="1" customHeight="1" spans="2:10">
      <c r="B3650" s="25"/>
      <c r="C3650" s="25"/>
      <c r="D3650" s="26" t="str" cm="1">
        <f t="array" ref="D3650">IF(C3650="","",IFERROR(INDEX(STPP!$D$6:$D$4207,MATCH(C3650,STPP!$C$6:$C$4207,0)),"Not Found"))</f>
        <v/>
      </c>
      <c r="E3650" s="27" t="str" cm="1">
        <f t="array" ref="E3650">IF(C3650="","",IFERROR(INDEX(STPP!$E$6:$E$4207,MATCH(C3650,STPP!$C$6:$C$4207,0)),"Not Found"))</f>
        <v/>
      </c>
      <c r="F3650" s="27" t="str" cm="1">
        <f t="array" ref="F3650">IF(C3650="","",IFERROR(INDEX(STPP!$F$6:$F$4207,MATCH(C3650,STPP!$C$6:$C$4207,0)),"Not Found"))</f>
        <v/>
      </c>
      <c r="G3650" s="25" t="str">
        <f>IF(表1[[#This Row],[No Seri]]="","",表1[[#This Row],[Deskripsi Barang]]+表1[[#This Row],[Kuantitas]]-表1[[#This Row],[Satuan]])</f>
        <v/>
      </c>
      <c r="H3650" s="28"/>
      <c r="I3650" s="25" t="str">
        <f>IF(表1[[#This Row],[Tgl NPBG]]&gt;表1[[#This Row],[Peminta]],表1[[#This Row],[Tgl NPBG]]-表1[[#This Row],[Peminta]],"")</f>
        <v/>
      </c>
      <c r="J3650" s="31"/>
    </row>
    <row r="3651" s="12" customFormat="1" customHeight="1" spans="2:10">
      <c r="B3651" s="25"/>
      <c r="C3651" s="25"/>
      <c r="D3651" s="26" t="str" cm="1">
        <f t="array" ref="D3651">IF(C3651="","",IFERROR(INDEX(STPP!$D$6:$D$4207,MATCH(C3651,STPP!$C$6:$C$4207,0)),"Not Found"))</f>
        <v/>
      </c>
      <c r="E3651" s="27" t="str" cm="1">
        <f t="array" ref="E3651">IF(C3651="","",IFERROR(INDEX(STPP!$E$6:$E$4207,MATCH(C3651,STPP!$C$6:$C$4207,0)),"Not Found"))</f>
        <v/>
      </c>
      <c r="F3651" s="27" t="str" cm="1">
        <f t="array" ref="F3651">IF(C3651="","",IFERROR(INDEX(STPP!$F$6:$F$4207,MATCH(C3651,STPP!$C$6:$C$4207,0)),"Not Found"))</f>
        <v/>
      </c>
      <c r="G3651" s="25" t="str">
        <f>IF(表1[[#This Row],[No Seri]]="","",表1[[#This Row],[Deskripsi Barang]]+表1[[#This Row],[Kuantitas]]-表1[[#This Row],[Satuan]])</f>
        <v/>
      </c>
      <c r="H3651" s="28"/>
      <c r="I3651" s="25" t="str">
        <f>IF(表1[[#This Row],[Tgl NPBG]]&gt;表1[[#This Row],[Peminta]],表1[[#This Row],[Tgl NPBG]]-表1[[#This Row],[Peminta]],"")</f>
        <v/>
      </c>
      <c r="J3651" s="31"/>
    </row>
    <row r="3652" s="12" customFormat="1" customHeight="1" spans="2:10">
      <c r="B3652" s="25"/>
      <c r="C3652" s="25"/>
      <c r="D3652" s="26" t="str" cm="1">
        <f t="array" ref="D3652">IF(C3652="","",IFERROR(INDEX(STPP!$D$6:$D$4207,MATCH(C3652,STPP!$C$6:$C$4207,0)),"Not Found"))</f>
        <v/>
      </c>
      <c r="E3652" s="27" t="str" cm="1">
        <f t="array" ref="E3652">IF(C3652="","",IFERROR(INDEX(STPP!$E$6:$E$4207,MATCH(C3652,STPP!$C$6:$C$4207,0)),"Not Found"))</f>
        <v/>
      </c>
      <c r="F3652" s="27" t="str" cm="1">
        <f t="array" ref="F3652">IF(C3652="","",IFERROR(INDEX(STPP!$F$6:$F$4207,MATCH(C3652,STPP!$C$6:$C$4207,0)),"Not Found"))</f>
        <v/>
      </c>
      <c r="G3652" s="25" t="str">
        <f>IF(表1[[#This Row],[No Seri]]="","",表1[[#This Row],[Deskripsi Barang]]+表1[[#This Row],[Kuantitas]]-表1[[#This Row],[Satuan]])</f>
        <v/>
      </c>
      <c r="H3652" s="28"/>
      <c r="I3652" s="25" t="str">
        <f>IF(表1[[#This Row],[Tgl NPBG]]&gt;表1[[#This Row],[Peminta]],表1[[#This Row],[Tgl NPBG]]-表1[[#This Row],[Peminta]],"")</f>
        <v/>
      </c>
      <c r="J3652" s="31"/>
    </row>
    <row r="3653" s="12" customFormat="1" customHeight="1" spans="2:10">
      <c r="B3653" s="25"/>
      <c r="C3653" s="25"/>
      <c r="D3653" s="26" t="str" cm="1">
        <f t="array" ref="D3653">IF(C3653="","",IFERROR(INDEX(STPP!$D$6:$D$4207,MATCH(C3653,STPP!$C$6:$C$4207,0)),"Not Found"))</f>
        <v/>
      </c>
      <c r="E3653" s="27" t="str" cm="1">
        <f t="array" ref="E3653">IF(C3653="","",IFERROR(INDEX(STPP!$E$6:$E$4207,MATCH(C3653,STPP!$C$6:$C$4207,0)),"Not Found"))</f>
        <v/>
      </c>
      <c r="F3653" s="27" t="str" cm="1">
        <f t="array" ref="F3653">IF(C3653="","",IFERROR(INDEX(STPP!$F$6:$F$4207,MATCH(C3653,STPP!$C$6:$C$4207,0)),"Not Found"))</f>
        <v/>
      </c>
      <c r="G3653" s="25" t="str">
        <f>IF(表1[[#This Row],[No Seri]]="","",表1[[#This Row],[Deskripsi Barang]]+表1[[#This Row],[Kuantitas]]-表1[[#This Row],[Satuan]])</f>
        <v/>
      </c>
      <c r="H3653" s="28"/>
      <c r="I3653" s="25" t="str">
        <f>IF(表1[[#This Row],[Tgl NPBG]]&gt;表1[[#This Row],[Peminta]],表1[[#This Row],[Tgl NPBG]]-表1[[#This Row],[Peminta]],"")</f>
        <v/>
      </c>
      <c r="J3653" s="31"/>
    </row>
    <row r="3654" s="12" customFormat="1" customHeight="1" spans="2:10">
      <c r="B3654" s="25"/>
      <c r="C3654" s="25"/>
      <c r="D3654" s="26" t="str" cm="1">
        <f t="array" ref="D3654">IF(C3654="","",IFERROR(INDEX(STPP!$D$6:$D$4207,MATCH(C3654,STPP!$C$6:$C$4207,0)),"Not Found"))</f>
        <v/>
      </c>
      <c r="E3654" s="27" t="str" cm="1">
        <f t="array" ref="E3654">IF(C3654="","",IFERROR(INDEX(STPP!$E$6:$E$4207,MATCH(C3654,STPP!$C$6:$C$4207,0)),"Not Found"))</f>
        <v/>
      </c>
      <c r="F3654" s="27" t="str" cm="1">
        <f t="array" ref="F3654">IF(C3654="","",IFERROR(INDEX(STPP!$F$6:$F$4207,MATCH(C3654,STPP!$C$6:$C$4207,0)),"Not Found"))</f>
        <v/>
      </c>
      <c r="G3654" s="25" t="str">
        <f>IF(表1[[#This Row],[No Seri]]="","",表1[[#This Row],[Deskripsi Barang]]+表1[[#This Row],[Kuantitas]]-表1[[#This Row],[Satuan]])</f>
        <v/>
      </c>
      <c r="H3654" s="28"/>
      <c r="I3654" s="25" t="str">
        <f>IF(表1[[#This Row],[Tgl NPBG]]&gt;表1[[#This Row],[Peminta]],表1[[#This Row],[Tgl NPBG]]-表1[[#This Row],[Peminta]],"")</f>
        <v/>
      </c>
      <c r="J3654" s="31"/>
    </row>
    <row r="3655" s="12" customFormat="1" customHeight="1" spans="2:10">
      <c r="B3655" s="25"/>
      <c r="C3655" s="25"/>
      <c r="D3655" s="26" t="str" cm="1">
        <f t="array" ref="D3655">IF(C3655="","",IFERROR(INDEX(STPP!$D$6:$D$4207,MATCH(C3655,STPP!$C$6:$C$4207,0)),"Not Found"))</f>
        <v/>
      </c>
      <c r="E3655" s="27" t="str" cm="1">
        <f t="array" ref="E3655">IF(C3655="","",IFERROR(INDEX(STPP!$E$6:$E$4207,MATCH(C3655,STPP!$C$6:$C$4207,0)),"Not Found"))</f>
        <v/>
      </c>
      <c r="F3655" s="27" t="str" cm="1">
        <f t="array" ref="F3655">IF(C3655="","",IFERROR(INDEX(STPP!$F$6:$F$4207,MATCH(C3655,STPP!$C$6:$C$4207,0)),"Not Found"))</f>
        <v/>
      </c>
      <c r="G3655" s="25" t="str">
        <f>IF(表1[[#This Row],[No Seri]]="","",表1[[#This Row],[Deskripsi Barang]]+表1[[#This Row],[Kuantitas]]-表1[[#This Row],[Satuan]])</f>
        <v/>
      </c>
      <c r="H3655" s="28"/>
      <c r="I3655" s="25" t="str">
        <f>IF(表1[[#This Row],[Tgl NPBG]]&gt;表1[[#This Row],[Peminta]],表1[[#This Row],[Tgl NPBG]]-表1[[#This Row],[Peminta]],"")</f>
        <v/>
      </c>
      <c r="J3655" s="31"/>
    </row>
    <row r="3656" s="12" customFormat="1" customHeight="1" spans="2:10">
      <c r="B3656" s="25"/>
      <c r="C3656" s="25"/>
      <c r="D3656" s="26" t="str" cm="1">
        <f t="array" ref="D3656">IF(C3656="","",IFERROR(INDEX(STPP!$D$6:$D$4207,MATCH(C3656,STPP!$C$6:$C$4207,0)),"Not Found"))</f>
        <v/>
      </c>
      <c r="E3656" s="27" t="str" cm="1">
        <f t="array" ref="E3656">IF(C3656="","",IFERROR(INDEX(STPP!$E$6:$E$4207,MATCH(C3656,STPP!$C$6:$C$4207,0)),"Not Found"))</f>
        <v/>
      </c>
      <c r="F3656" s="27" t="str" cm="1">
        <f t="array" ref="F3656">IF(C3656="","",IFERROR(INDEX(STPP!$F$6:$F$4207,MATCH(C3656,STPP!$C$6:$C$4207,0)),"Not Found"))</f>
        <v/>
      </c>
      <c r="G3656" s="25" t="str">
        <f>IF(表1[[#This Row],[No Seri]]="","",表1[[#This Row],[Deskripsi Barang]]+表1[[#This Row],[Kuantitas]]-表1[[#This Row],[Satuan]])</f>
        <v/>
      </c>
      <c r="H3656" s="28"/>
      <c r="I3656" s="25" t="str">
        <f>IF(表1[[#This Row],[Tgl NPBG]]&gt;表1[[#This Row],[Peminta]],表1[[#This Row],[Tgl NPBG]]-表1[[#This Row],[Peminta]],"")</f>
        <v/>
      </c>
      <c r="J3656" s="31"/>
    </row>
    <row r="3657" s="12" customFormat="1" customHeight="1" spans="2:10">
      <c r="B3657" s="25"/>
      <c r="C3657" s="25"/>
      <c r="D3657" s="26" t="str" cm="1">
        <f t="array" ref="D3657">IF(C3657="","",IFERROR(INDEX(STPP!$D$6:$D$4207,MATCH(C3657,STPP!$C$6:$C$4207,0)),"Not Found"))</f>
        <v/>
      </c>
      <c r="E3657" s="27" t="str" cm="1">
        <f t="array" ref="E3657">IF(C3657="","",IFERROR(INDEX(STPP!$E$6:$E$4207,MATCH(C3657,STPP!$C$6:$C$4207,0)),"Not Found"))</f>
        <v/>
      </c>
      <c r="F3657" s="27" t="str" cm="1">
        <f t="array" ref="F3657">IF(C3657="","",IFERROR(INDEX(STPP!$F$6:$F$4207,MATCH(C3657,STPP!$C$6:$C$4207,0)),"Not Found"))</f>
        <v/>
      </c>
      <c r="G3657" s="25" t="str">
        <f>IF(表1[[#This Row],[No Seri]]="","",表1[[#This Row],[Deskripsi Barang]]+表1[[#This Row],[Kuantitas]]-表1[[#This Row],[Satuan]])</f>
        <v/>
      </c>
      <c r="H3657" s="28"/>
      <c r="I3657" s="25" t="str">
        <f>IF(表1[[#This Row],[Tgl NPBG]]&gt;表1[[#This Row],[Peminta]],表1[[#This Row],[Tgl NPBG]]-表1[[#This Row],[Peminta]],"")</f>
        <v/>
      </c>
      <c r="J3657" s="31"/>
    </row>
    <row r="3658" s="12" customFormat="1" customHeight="1" spans="2:10">
      <c r="B3658" s="25"/>
      <c r="C3658" s="25"/>
      <c r="D3658" s="26" t="str" cm="1">
        <f t="array" ref="D3658">IF(C3658="","",IFERROR(INDEX(STPP!$D$6:$D$4207,MATCH(C3658,STPP!$C$6:$C$4207,0)),"Not Found"))</f>
        <v/>
      </c>
      <c r="E3658" s="27" t="str" cm="1">
        <f t="array" ref="E3658">IF(C3658="","",IFERROR(INDEX(STPP!$E$6:$E$4207,MATCH(C3658,STPP!$C$6:$C$4207,0)),"Not Found"))</f>
        <v/>
      </c>
      <c r="F3658" s="27" t="str" cm="1">
        <f t="array" ref="F3658">IF(C3658="","",IFERROR(INDEX(STPP!$F$6:$F$4207,MATCH(C3658,STPP!$C$6:$C$4207,0)),"Not Found"))</f>
        <v/>
      </c>
      <c r="G3658" s="25" t="str">
        <f>IF(表1[[#This Row],[No Seri]]="","",表1[[#This Row],[Deskripsi Barang]]+表1[[#This Row],[Kuantitas]]-表1[[#This Row],[Satuan]])</f>
        <v/>
      </c>
      <c r="H3658" s="28"/>
      <c r="I3658" s="25" t="str">
        <f>IF(表1[[#This Row],[Tgl NPBG]]&gt;表1[[#This Row],[Peminta]],表1[[#This Row],[Tgl NPBG]]-表1[[#This Row],[Peminta]],"")</f>
        <v/>
      </c>
      <c r="J3658" s="31"/>
    </row>
    <row r="3659" s="12" customFormat="1" customHeight="1" spans="2:10">
      <c r="B3659" s="25"/>
      <c r="C3659" s="25"/>
      <c r="D3659" s="26" t="str" cm="1">
        <f t="array" ref="D3659">IF(C3659="","",IFERROR(INDEX(STPP!$D$6:$D$4207,MATCH(C3659,STPP!$C$6:$C$4207,0)),"Not Found"))</f>
        <v/>
      </c>
      <c r="E3659" s="27" t="str" cm="1">
        <f t="array" ref="E3659">IF(C3659="","",IFERROR(INDEX(STPP!$E$6:$E$4207,MATCH(C3659,STPP!$C$6:$C$4207,0)),"Not Found"))</f>
        <v/>
      </c>
      <c r="F3659" s="27" t="str" cm="1">
        <f t="array" ref="F3659">IF(C3659="","",IFERROR(INDEX(STPP!$F$6:$F$4207,MATCH(C3659,STPP!$C$6:$C$4207,0)),"Not Found"))</f>
        <v/>
      </c>
      <c r="G3659" s="25" t="str">
        <f>IF(表1[[#This Row],[No Seri]]="","",表1[[#This Row],[Deskripsi Barang]]+表1[[#This Row],[Kuantitas]]-表1[[#This Row],[Satuan]])</f>
        <v/>
      </c>
      <c r="H3659" s="28"/>
      <c r="I3659" s="25" t="str">
        <f>IF(表1[[#This Row],[Tgl NPBG]]&gt;表1[[#This Row],[Peminta]],表1[[#This Row],[Tgl NPBG]]-表1[[#This Row],[Peminta]],"")</f>
        <v/>
      </c>
      <c r="J3659" s="31"/>
    </row>
    <row r="3660" s="12" customFormat="1" customHeight="1" spans="2:10">
      <c r="B3660" s="25"/>
      <c r="C3660" s="25"/>
      <c r="D3660" s="26" t="str" cm="1">
        <f t="array" ref="D3660">IF(C3660="","",IFERROR(INDEX(STPP!$D$6:$D$4207,MATCH(C3660,STPP!$C$6:$C$4207,0)),"Not Found"))</f>
        <v/>
      </c>
      <c r="E3660" s="27" t="str" cm="1">
        <f t="array" ref="E3660">IF(C3660="","",IFERROR(INDEX(STPP!$E$6:$E$4207,MATCH(C3660,STPP!$C$6:$C$4207,0)),"Not Found"))</f>
        <v/>
      </c>
      <c r="F3660" s="27" t="str" cm="1">
        <f t="array" ref="F3660">IF(C3660="","",IFERROR(INDEX(STPP!$F$6:$F$4207,MATCH(C3660,STPP!$C$6:$C$4207,0)),"Not Found"))</f>
        <v/>
      </c>
      <c r="G3660" s="25" t="str">
        <f>IF(表1[[#This Row],[No Seri]]="","",表1[[#This Row],[Deskripsi Barang]]+表1[[#This Row],[Kuantitas]]-表1[[#This Row],[Satuan]])</f>
        <v/>
      </c>
      <c r="H3660" s="28"/>
      <c r="I3660" s="25" t="str">
        <f>IF(表1[[#This Row],[Tgl NPBG]]&gt;表1[[#This Row],[Peminta]],表1[[#This Row],[Tgl NPBG]]-表1[[#This Row],[Peminta]],"")</f>
        <v/>
      </c>
      <c r="J3660" s="31"/>
    </row>
    <row r="3661" s="12" customFormat="1" customHeight="1" spans="2:10">
      <c r="B3661" s="25"/>
      <c r="C3661" s="25"/>
      <c r="D3661" s="26" t="str" cm="1">
        <f t="array" ref="D3661">IF(C3661="","",IFERROR(INDEX(STPP!$D$6:$D$4207,MATCH(C3661,STPP!$C$6:$C$4207,0)),"Not Found"))</f>
        <v/>
      </c>
      <c r="E3661" s="27" t="str" cm="1">
        <f t="array" ref="E3661">IF(C3661="","",IFERROR(INDEX(STPP!$E$6:$E$4207,MATCH(C3661,STPP!$C$6:$C$4207,0)),"Not Found"))</f>
        <v/>
      </c>
      <c r="F3661" s="27" t="str" cm="1">
        <f t="array" ref="F3661">IF(C3661="","",IFERROR(INDEX(STPP!$F$6:$F$4207,MATCH(C3661,STPP!$C$6:$C$4207,0)),"Not Found"))</f>
        <v/>
      </c>
      <c r="G3661" s="25" t="str">
        <f>IF(表1[[#This Row],[No Seri]]="","",表1[[#This Row],[Deskripsi Barang]]+表1[[#This Row],[Kuantitas]]-表1[[#This Row],[Satuan]])</f>
        <v/>
      </c>
      <c r="H3661" s="28"/>
      <c r="I3661" s="25" t="str">
        <f>IF(表1[[#This Row],[Tgl NPBG]]&gt;表1[[#This Row],[Peminta]],表1[[#This Row],[Tgl NPBG]]-表1[[#This Row],[Peminta]],"")</f>
        <v/>
      </c>
      <c r="J3661" s="31"/>
    </row>
    <row r="3662" s="12" customFormat="1" customHeight="1" spans="2:10">
      <c r="B3662" s="25"/>
      <c r="C3662" s="25"/>
      <c r="D3662" s="26" t="str" cm="1">
        <f t="array" ref="D3662">IF(C3662="","",IFERROR(INDEX(STPP!$D$6:$D$4207,MATCH(C3662,STPP!$C$6:$C$4207,0)),"Not Found"))</f>
        <v/>
      </c>
      <c r="E3662" s="27" t="str" cm="1">
        <f t="array" ref="E3662">IF(C3662="","",IFERROR(INDEX(STPP!$E$6:$E$4207,MATCH(C3662,STPP!$C$6:$C$4207,0)),"Not Found"))</f>
        <v/>
      </c>
      <c r="F3662" s="27" t="str" cm="1">
        <f t="array" ref="F3662">IF(C3662="","",IFERROR(INDEX(STPP!$F$6:$F$4207,MATCH(C3662,STPP!$C$6:$C$4207,0)),"Not Found"))</f>
        <v/>
      </c>
      <c r="G3662" s="25" t="str">
        <f>IF(表1[[#This Row],[No Seri]]="","",表1[[#This Row],[Deskripsi Barang]]+表1[[#This Row],[Kuantitas]]-表1[[#This Row],[Satuan]])</f>
        <v/>
      </c>
      <c r="H3662" s="28"/>
      <c r="I3662" s="25" t="str">
        <f>IF(表1[[#This Row],[Tgl NPBG]]&gt;表1[[#This Row],[Peminta]],表1[[#This Row],[Tgl NPBG]]-表1[[#This Row],[Peminta]],"")</f>
        <v/>
      </c>
      <c r="J3662" s="31"/>
    </row>
    <row r="3663" s="12" customFormat="1" customHeight="1" spans="2:10">
      <c r="B3663" s="25"/>
      <c r="C3663" s="25"/>
      <c r="D3663" s="26" t="str" cm="1">
        <f t="array" ref="D3663">IF(C3663="","",IFERROR(INDEX(STPP!$D$6:$D$4207,MATCH(C3663,STPP!$C$6:$C$4207,0)),"Not Found"))</f>
        <v/>
      </c>
      <c r="E3663" s="27" t="str" cm="1">
        <f t="array" ref="E3663">IF(C3663="","",IFERROR(INDEX(STPP!$E$6:$E$4207,MATCH(C3663,STPP!$C$6:$C$4207,0)),"Not Found"))</f>
        <v/>
      </c>
      <c r="F3663" s="27" t="str" cm="1">
        <f t="array" ref="F3663">IF(C3663="","",IFERROR(INDEX(STPP!$F$6:$F$4207,MATCH(C3663,STPP!$C$6:$C$4207,0)),"Not Found"))</f>
        <v/>
      </c>
      <c r="G3663" s="25" t="str">
        <f>IF(表1[[#This Row],[No Seri]]="","",表1[[#This Row],[Deskripsi Barang]]+表1[[#This Row],[Kuantitas]]-表1[[#This Row],[Satuan]])</f>
        <v/>
      </c>
      <c r="H3663" s="28"/>
      <c r="I3663" s="25" t="str">
        <f>IF(表1[[#This Row],[Tgl NPBG]]&gt;表1[[#This Row],[Peminta]],表1[[#This Row],[Tgl NPBG]]-表1[[#This Row],[Peminta]],"")</f>
        <v/>
      </c>
      <c r="J3663" s="31"/>
    </row>
    <row r="3664" s="12" customFormat="1" customHeight="1" spans="2:10">
      <c r="B3664" s="25"/>
      <c r="C3664" s="25"/>
      <c r="D3664" s="26" t="str" cm="1">
        <f t="array" ref="D3664">IF(C3664="","",IFERROR(INDEX(STPP!$D$6:$D$4207,MATCH(C3664,STPP!$C$6:$C$4207,0)),"Not Found"))</f>
        <v/>
      </c>
      <c r="E3664" s="27" t="str" cm="1">
        <f t="array" ref="E3664">IF(C3664="","",IFERROR(INDEX(STPP!$E$6:$E$4207,MATCH(C3664,STPP!$C$6:$C$4207,0)),"Not Found"))</f>
        <v/>
      </c>
      <c r="F3664" s="27" t="str" cm="1">
        <f t="array" ref="F3664">IF(C3664="","",IFERROR(INDEX(STPP!$F$6:$F$4207,MATCH(C3664,STPP!$C$6:$C$4207,0)),"Not Found"))</f>
        <v/>
      </c>
      <c r="G3664" s="25" t="str">
        <f>IF(表1[[#This Row],[No Seri]]="","",表1[[#This Row],[Deskripsi Barang]]+表1[[#This Row],[Kuantitas]]-表1[[#This Row],[Satuan]])</f>
        <v/>
      </c>
      <c r="H3664" s="28"/>
      <c r="I3664" s="25" t="str">
        <f>IF(表1[[#This Row],[Tgl NPBG]]&gt;表1[[#This Row],[Peminta]],表1[[#This Row],[Tgl NPBG]]-表1[[#This Row],[Peminta]],"")</f>
        <v/>
      </c>
      <c r="J3664" s="31"/>
    </row>
    <row r="3665" s="12" customFormat="1" customHeight="1" spans="2:10">
      <c r="B3665" s="25"/>
      <c r="C3665" s="25"/>
      <c r="D3665" s="26" t="str" cm="1">
        <f t="array" ref="D3665">IF(C3665="","",IFERROR(INDEX(STPP!$D$6:$D$4207,MATCH(C3665,STPP!$C$6:$C$4207,0)),"Not Found"))</f>
        <v/>
      </c>
      <c r="E3665" s="27" t="str" cm="1">
        <f t="array" ref="E3665">IF(C3665="","",IFERROR(INDEX(STPP!$E$6:$E$4207,MATCH(C3665,STPP!$C$6:$C$4207,0)),"Not Found"))</f>
        <v/>
      </c>
      <c r="F3665" s="27" t="str" cm="1">
        <f t="array" ref="F3665">IF(C3665="","",IFERROR(INDEX(STPP!$F$6:$F$4207,MATCH(C3665,STPP!$C$6:$C$4207,0)),"Not Found"))</f>
        <v/>
      </c>
      <c r="G3665" s="25" t="str">
        <f>IF(表1[[#This Row],[No Seri]]="","",表1[[#This Row],[Deskripsi Barang]]+表1[[#This Row],[Kuantitas]]-表1[[#This Row],[Satuan]])</f>
        <v/>
      </c>
      <c r="H3665" s="28"/>
      <c r="I3665" s="25" t="str">
        <f>IF(表1[[#This Row],[Tgl NPBG]]&gt;表1[[#This Row],[Peminta]],表1[[#This Row],[Tgl NPBG]]-表1[[#This Row],[Peminta]],"")</f>
        <v/>
      </c>
      <c r="J3665" s="31"/>
    </row>
    <row r="3666" s="12" customFormat="1" customHeight="1" spans="2:10">
      <c r="B3666" s="25"/>
      <c r="C3666" s="25"/>
      <c r="D3666" s="26" t="str" cm="1">
        <f t="array" ref="D3666">IF(C3666="","",IFERROR(INDEX(STPP!$D$6:$D$4207,MATCH(C3666,STPP!$C$6:$C$4207,0)),"Not Found"))</f>
        <v/>
      </c>
      <c r="E3666" s="27" t="str" cm="1">
        <f t="array" ref="E3666">IF(C3666="","",IFERROR(INDEX(STPP!$E$6:$E$4207,MATCH(C3666,STPP!$C$6:$C$4207,0)),"Not Found"))</f>
        <v/>
      </c>
      <c r="F3666" s="27" t="str" cm="1">
        <f t="array" ref="F3666">IF(C3666="","",IFERROR(INDEX(STPP!$F$6:$F$4207,MATCH(C3666,STPP!$C$6:$C$4207,0)),"Not Found"))</f>
        <v/>
      </c>
      <c r="G3666" s="25" t="str">
        <f>IF(表1[[#This Row],[No Seri]]="","",表1[[#This Row],[Deskripsi Barang]]+表1[[#This Row],[Kuantitas]]-表1[[#This Row],[Satuan]])</f>
        <v/>
      </c>
      <c r="H3666" s="28"/>
      <c r="I3666" s="25" t="str">
        <f>IF(表1[[#This Row],[Tgl NPBG]]&gt;表1[[#This Row],[Peminta]],表1[[#This Row],[Tgl NPBG]]-表1[[#This Row],[Peminta]],"")</f>
        <v/>
      </c>
      <c r="J3666" s="31"/>
    </row>
    <row r="3667" s="12" customFormat="1" customHeight="1" spans="2:10">
      <c r="B3667" s="25"/>
      <c r="C3667" s="25"/>
      <c r="D3667" s="26" t="str" cm="1">
        <f t="array" ref="D3667">IF(C3667="","",IFERROR(INDEX(STPP!$D$6:$D$4207,MATCH(C3667,STPP!$C$6:$C$4207,0)),"Not Found"))</f>
        <v/>
      </c>
      <c r="E3667" s="27" t="str" cm="1">
        <f t="array" ref="E3667">IF(C3667="","",IFERROR(INDEX(STPP!$E$6:$E$4207,MATCH(C3667,STPP!$C$6:$C$4207,0)),"Not Found"))</f>
        <v/>
      </c>
      <c r="F3667" s="27" t="str" cm="1">
        <f t="array" ref="F3667">IF(C3667="","",IFERROR(INDEX(STPP!$F$6:$F$4207,MATCH(C3667,STPP!$C$6:$C$4207,0)),"Not Found"))</f>
        <v/>
      </c>
      <c r="G3667" s="25" t="str">
        <f>IF(表1[[#This Row],[No Seri]]="","",表1[[#This Row],[Deskripsi Barang]]+表1[[#This Row],[Kuantitas]]-表1[[#This Row],[Satuan]])</f>
        <v/>
      </c>
      <c r="H3667" s="28"/>
      <c r="I3667" s="25" t="str">
        <f>IF(表1[[#This Row],[Tgl NPBG]]&gt;表1[[#This Row],[Peminta]],表1[[#This Row],[Tgl NPBG]]-表1[[#This Row],[Peminta]],"")</f>
        <v/>
      </c>
      <c r="J3667" s="31"/>
    </row>
    <row r="3668" s="12" customFormat="1" customHeight="1" spans="2:10">
      <c r="B3668" s="25"/>
      <c r="C3668" s="25"/>
      <c r="D3668" s="26" t="str" cm="1">
        <f t="array" ref="D3668">IF(C3668="","",IFERROR(INDEX(STPP!$D$6:$D$4207,MATCH(C3668,STPP!$C$6:$C$4207,0)),"Not Found"))</f>
        <v/>
      </c>
      <c r="E3668" s="27" t="str" cm="1">
        <f t="array" ref="E3668">IF(C3668="","",IFERROR(INDEX(STPP!$E$6:$E$4207,MATCH(C3668,STPP!$C$6:$C$4207,0)),"Not Found"))</f>
        <v/>
      </c>
      <c r="F3668" s="27" t="str" cm="1">
        <f t="array" ref="F3668">IF(C3668="","",IFERROR(INDEX(STPP!$F$6:$F$4207,MATCH(C3668,STPP!$C$6:$C$4207,0)),"Not Found"))</f>
        <v/>
      </c>
      <c r="G3668" s="25" t="str">
        <f>IF(表1[[#This Row],[No Seri]]="","",表1[[#This Row],[Deskripsi Barang]]+表1[[#This Row],[Kuantitas]]-表1[[#This Row],[Satuan]])</f>
        <v/>
      </c>
      <c r="H3668" s="28"/>
      <c r="I3668" s="25" t="str">
        <f>IF(表1[[#This Row],[Tgl NPBG]]&gt;表1[[#This Row],[Peminta]],表1[[#This Row],[Tgl NPBG]]-表1[[#This Row],[Peminta]],"")</f>
        <v/>
      </c>
      <c r="J3668" s="31"/>
    </row>
    <row r="3669" s="12" customFormat="1" customHeight="1" spans="2:10">
      <c r="B3669" s="25"/>
      <c r="C3669" s="25"/>
      <c r="D3669" s="26" t="str" cm="1">
        <f t="array" ref="D3669">IF(C3669="","",IFERROR(INDEX(STPP!$D$6:$D$4207,MATCH(C3669,STPP!$C$6:$C$4207,0)),"Not Found"))</f>
        <v/>
      </c>
      <c r="E3669" s="27" t="str" cm="1">
        <f t="array" ref="E3669">IF(C3669="","",IFERROR(INDEX(STPP!$E$6:$E$4207,MATCH(C3669,STPP!$C$6:$C$4207,0)),"Not Found"))</f>
        <v/>
      </c>
      <c r="F3669" s="27" t="str" cm="1">
        <f t="array" ref="F3669">IF(C3669="","",IFERROR(INDEX(STPP!$F$6:$F$4207,MATCH(C3669,STPP!$C$6:$C$4207,0)),"Not Found"))</f>
        <v/>
      </c>
      <c r="G3669" s="25" t="str">
        <f>IF(表1[[#This Row],[No Seri]]="","",表1[[#This Row],[Deskripsi Barang]]+表1[[#This Row],[Kuantitas]]-表1[[#This Row],[Satuan]])</f>
        <v/>
      </c>
      <c r="H3669" s="28"/>
      <c r="I3669" s="25" t="str">
        <f>IF(表1[[#This Row],[Tgl NPBG]]&gt;表1[[#This Row],[Peminta]],表1[[#This Row],[Tgl NPBG]]-表1[[#This Row],[Peminta]],"")</f>
        <v/>
      </c>
      <c r="J3669" s="31"/>
    </row>
    <row r="3670" s="12" customFormat="1" customHeight="1" spans="2:10">
      <c r="B3670" s="25"/>
      <c r="C3670" s="25"/>
      <c r="D3670" s="26" t="str" cm="1">
        <f t="array" ref="D3670">IF(C3670="","",IFERROR(INDEX(STPP!$D$6:$D$4207,MATCH(C3670,STPP!$C$6:$C$4207,0)),"Not Found"))</f>
        <v/>
      </c>
      <c r="E3670" s="27" t="str" cm="1">
        <f t="array" ref="E3670">IF(C3670="","",IFERROR(INDEX(STPP!$E$6:$E$4207,MATCH(C3670,STPP!$C$6:$C$4207,0)),"Not Found"))</f>
        <v/>
      </c>
      <c r="F3670" s="27" t="str" cm="1">
        <f t="array" ref="F3670">IF(C3670="","",IFERROR(INDEX(STPP!$F$6:$F$4207,MATCH(C3670,STPP!$C$6:$C$4207,0)),"Not Found"))</f>
        <v/>
      </c>
      <c r="G3670" s="25" t="str">
        <f>IF(表1[[#This Row],[No Seri]]="","",表1[[#This Row],[Deskripsi Barang]]+表1[[#This Row],[Kuantitas]]-表1[[#This Row],[Satuan]])</f>
        <v/>
      </c>
      <c r="H3670" s="28"/>
      <c r="I3670" s="25" t="str">
        <f>IF(表1[[#This Row],[Tgl NPBG]]&gt;表1[[#This Row],[Peminta]],表1[[#This Row],[Tgl NPBG]]-表1[[#This Row],[Peminta]],"")</f>
        <v/>
      </c>
      <c r="J3670" s="31"/>
    </row>
    <row r="3671" s="12" customFormat="1" customHeight="1" spans="2:10">
      <c r="B3671" s="25"/>
      <c r="C3671" s="25"/>
      <c r="D3671" s="26" t="str" cm="1">
        <f t="array" ref="D3671">IF(C3671="","",IFERROR(INDEX(STPP!$D$6:$D$4207,MATCH(C3671,STPP!$C$6:$C$4207,0)),"Not Found"))</f>
        <v/>
      </c>
      <c r="E3671" s="27" t="str" cm="1">
        <f t="array" ref="E3671">IF(C3671="","",IFERROR(INDEX(STPP!$E$6:$E$4207,MATCH(C3671,STPP!$C$6:$C$4207,0)),"Not Found"))</f>
        <v/>
      </c>
      <c r="F3671" s="27" t="str" cm="1">
        <f t="array" ref="F3671">IF(C3671="","",IFERROR(INDEX(STPP!$F$6:$F$4207,MATCH(C3671,STPP!$C$6:$C$4207,0)),"Not Found"))</f>
        <v/>
      </c>
      <c r="G3671" s="25" t="str">
        <f>IF(表1[[#This Row],[No Seri]]="","",表1[[#This Row],[Deskripsi Barang]]+表1[[#This Row],[Kuantitas]]-表1[[#This Row],[Satuan]])</f>
        <v/>
      </c>
      <c r="H3671" s="28"/>
      <c r="I3671" s="25" t="str">
        <f>IF(表1[[#This Row],[Tgl NPBG]]&gt;表1[[#This Row],[Peminta]],表1[[#This Row],[Tgl NPBG]]-表1[[#This Row],[Peminta]],"")</f>
        <v/>
      </c>
      <c r="J3671" s="31"/>
    </row>
    <row r="3672" s="12" customFormat="1" customHeight="1" spans="2:10">
      <c r="B3672" s="25"/>
      <c r="C3672" s="25"/>
      <c r="D3672" s="26" t="str" cm="1">
        <f t="array" ref="D3672">IF(C3672="","",IFERROR(INDEX(STPP!$D$6:$D$4207,MATCH(C3672,STPP!$C$6:$C$4207,0)),"Not Found"))</f>
        <v/>
      </c>
      <c r="E3672" s="27" t="str" cm="1">
        <f t="array" ref="E3672">IF(C3672="","",IFERROR(INDEX(STPP!$E$6:$E$4207,MATCH(C3672,STPP!$C$6:$C$4207,0)),"Not Found"))</f>
        <v/>
      </c>
      <c r="F3672" s="27" t="str" cm="1">
        <f t="array" ref="F3672">IF(C3672="","",IFERROR(INDEX(STPP!$F$6:$F$4207,MATCH(C3672,STPP!$C$6:$C$4207,0)),"Not Found"))</f>
        <v/>
      </c>
      <c r="G3672" s="25" t="str">
        <f>IF(表1[[#This Row],[No Seri]]="","",表1[[#This Row],[Deskripsi Barang]]+表1[[#This Row],[Kuantitas]]-表1[[#This Row],[Satuan]])</f>
        <v/>
      </c>
      <c r="H3672" s="28"/>
      <c r="I3672" s="25" t="str">
        <f>IF(表1[[#This Row],[Tgl NPBG]]&gt;表1[[#This Row],[Peminta]],表1[[#This Row],[Tgl NPBG]]-表1[[#This Row],[Peminta]],"")</f>
        <v/>
      </c>
      <c r="J3672" s="31"/>
    </row>
    <row r="3673" s="12" customFormat="1" customHeight="1" spans="2:10">
      <c r="B3673" s="25"/>
      <c r="C3673" s="25"/>
      <c r="D3673" s="26" t="str" cm="1">
        <f t="array" ref="D3673">IF(C3673="","",IFERROR(INDEX(STPP!$D$6:$D$4207,MATCH(C3673,STPP!$C$6:$C$4207,0)),"Not Found"))</f>
        <v/>
      </c>
      <c r="E3673" s="27" t="str" cm="1">
        <f t="array" ref="E3673">IF(C3673="","",IFERROR(INDEX(STPP!$E$6:$E$4207,MATCH(C3673,STPP!$C$6:$C$4207,0)),"Not Found"))</f>
        <v/>
      </c>
      <c r="F3673" s="27" t="str" cm="1">
        <f t="array" ref="F3673">IF(C3673="","",IFERROR(INDEX(STPP!$F$6:$F$4207,MATCH(C3673,STPP!$C$6:$C$4207,0)),"Not Found"))</f>
        <v/>
      </c>
      <c r="G3673" s="25" t="str">
        <f>IF(表1[[#This Row],[No Seri]]="","",表1[[#This Row],[Deskripsi Barang]]+表1[[#This Row],[Kuantitas]]-表1[[#This Row],[Satuan]])</f>
        <v/>
      </c>
      <c r="H3673" s="28"/>
      <c r="I3673" s="25" t="str">
        <f>IF(表1[[#This Row],[Tgl NPBG]]&gt;表1[[#This Row],[Peminta]],表1[[#This Row],[Tgl NPBG]]-表1[[#This Row],[Peminta]],"")</f>
        <v/>
      </c>
      <c r="J3673" s="31"/>
    </row>
    <row r="3674" s="12" customFormat="1" customHeight="1" spans="2:10">
      <c r="B3674" s="25"/>
      <c r="C3674" s="25"/>
      <c r="D3674" s="26" t="str" cm="1">
        <f t="array" ref="D3674">IF(C3674="","",IFERROR(INDEX(STPP!$D$6:$D$4207,MATCH(C3674,STPP!$C$6:$C$4207,0)),"Not Found"))</f>
        <v/>
      </c>
      <c r="E3674" s="27" t="str" cm="1">
        <f t="array" ref="E3674">IF(C3674="","",IFERROR(INDEX(STPP!$E$6:$E$4207,MATCH(C3674,STPP!$C$6:$C$4207,0)),"Not Found"))</f>
        <v/>
      </c>
      <c r="F3674" s="27" t="str" cm="1">
        <f t="array" ref="F3674">IF(C3674="","",IFERROR(INDEX(STPP!$F$6:$F$4207,MATCH(C3674,STPP!$C$6:$C$4207,0)),"Not Found"))</f>
        <v/>
      </c>
      <c r="G3674" s="25" t="str">
        <f>IF(表1[[#This Row],[No Seri]]="","",表1[[#This Row],[Deskripsi Barang]]+表1[[#This Row],[Kuantitas]]-表1[[#This Row],[Satuan]])</f>
        <v/>
      </c>
      <c r="H3674" s="28"/>
      <c r="I3674" s="25" t="str">
        <f>IF(表1[[#This Row],[Tgl NPBG]]&gt;表1[[#This Row],[Peminta]],表1[[#This Row],[Tgl NPBG]]-表1[[#This Row],[Peminta]],"")</f>
        <v/>
      </c>
      <c r="J3674" s="31"/>
    </row>
    <row r="3675" s="12" customFormat="1" customHeight="1" spans="2:10">
      <c r="B3675" s="25"/>
      <c r="C3675" s="25"/>
      <c r="D3675" s="26" t="str" cm="1">
        <f t="array" ref="D3675">IF(C3675="","",IFERROR(INDEX(STPP!$D$6:$D$4207,MATCH(C3675,STPP!$C$6:$C$4207,0)),"Not Found"))</f>
        <v/>
      </c>
      <c r="E3675" s="27" t="str" cm="1">
        <f t="array" ref="E3675">IF(C3675="","",IFERROR(INDEX(STPP!$E$6:$E$4207,MATCH(C3675,STPP!$C$6:$C$4207,0)),"Not Found"))</f>
        <v/>
      </c>
      <c r="F3675" s="27" t="str" cm="1">
        <f t="array" ref="F3675">IF(C3675="","",IFERROR(INDEX(STPP!$F$6:$F$4207,MATCH(C3675,STPP!$C$6:$C$4207,0)),"Not Found"))</f>
        <v/>
      </c>
      <c r="G3675" s="25" t="str">
        <f>IF(表1[[#This Row],[No Seri]]="","",表1[[#This Row],[Deskripsi Barang]]+表1[[#This Row],[Kuantitas]]-表1[[#This Row],[Satuan]])</f>
        <v/>
      </c>
      <c r="H3675" s="28"/>
      <c r="I3675" s="25" t="str">
        <f>IF(表1[[#This Row],[Tgl NPBG]]&gt;表1[[#This Row],[Peminta]],表1[[#This Row],[Tgl NPBG]]-表1[[#This Row],[Peminta]],"")</f>
        <v/>
      </c>
      <c r="J3675" s="31"/>
    </row>
    <row r="3676" s="12" customFormat="1" customHeight="1" spans="2:10">
      <c r="B3676" s="25"/>
      <c r="C3676" s="25"/>
      <c r="D3676" s="26" t="str" cm="1">
        <f t="array" ref="D3676">IF(C3676="","",IFERROR(INDEX(STPP!$D$6:$D$4207,MATCH(C3676,STPP!$C$6:$C$4207,0)),"Not Found"))</f>
        <v/>
      </c>
      <c r="E3676" s="27" t="str" cm="1">
        <f t="array" ref="E3676">IF(C3676="","",IFERROR(INDEX(STPP!$E$6:$E$4207,MATCH(C3676,STPP!$C$6:$C$4207,0)),"Not Found"))</f>
        <v/>
      </c>
      <c r="F3676" s="27" t="str" cm="1">
        <f t="array" ref="F3676">IF(C3676="","",IFERROR(INDEX(STPP!$F$6:$F$4207,MATCH(C3676,STPP!$C$6:$C$4207,0)),"Not Found"))</f>
        <v/>
      </c>
      <c r="G3676" s="25" t="str">
        <f>IF(表1[[#This Row],[No Seri]]="","",表1[[#This Row],[Deskripsi Barang]]+表1[[#This Row],[Kuantitas]]-表1[[#This Row],[Satuan]])</f>
        <v/>
      </c>
      <c r="H3676" s="28"/>
      <c r="I3676" s="25" t="str">
        <f>IF(表1[[#This Row],[Tgl NPBG]]&gt;表1[[#This Row],[Peminta]],表1[[#This Row],[Tgl NPBG]]-表1[[#This Row],[Peminta]],"")</f>
        <v/>
      </c>
      <c r="J3676" s="31"/>
    </row>
    <row r="3677" s="12" customFormat="1" customHeight="1" spans="2:10">
      <c r="B3677" s="25"/>
      <c r="C3677" s="25"/>
      <c r="D3677" s="26" t="str" cm="1">
        <f t="array" ref="D3677">IF(C3677="","",IFERROR(INDEX(STPP!$D$6:$D$4207,MATCH(C3677,STPP!$C$6:$C$4207,0)),"Not Found"))</f>
        <v/>
      </c>
      <c r="E3677" s="27" t="str" cm="1">
        <f t="array" ref="E3677">IF(C3677="","",IFERROR(INDEX(STPP!$E$6:$E$4207,MATCH(C3677,STPP!$C$6:$C$4207,0)),"Not Found"))</f>
        <v/>
      </c>
      <c r="F3677" s="27" t="str" cm="1">
        <f t="array" ref="F3677">IF(C3677="","",IFERROR(INDEX(STPP!$F$6:$F$4207,MATCH(C3677,STPP!$C$6:$C$4207,0)),"Not Found"))</f>
        <v/>
      </c>
      <c r="G3677" s="25" t="str">
        <f>IF(表1[[#This Row],[No Seri]]="","",表1[[#This Row],[Deskripsi Barang]]+表1[[#This Row],[Kuantitas]]-表1[[#This Row],[Satuan]])</f>
        <v/>
      </c>
      <c r="H3677" s="28"/>
      <c r="I3677" s="25" t="str">
        <f>IF(表1[[#This Row],[Tgl NPBG]]&gt;表1[[#This Row],[Peminta]],表1[[#This Row],[Tgl NPBG]]-表1[[#This Row],[Peminta]],"")</f>
        <v/>
      </c>
      <c r="J3677" s="31"/>
    </row>
    <row r="3678" s="12" customFormat="1" customHeight="1" spans="2:10">
      <c r="B3678" s="25"/>
      <c r="C3678" s="25"/>
      <c r="D3678" s="26" t="str" cm="1">
        <f t="array" ref="D3678">IF(C3678="","",IFERROR(INDEX(STPP!$D$6:$D$4207,MATCH(C3678,STPP!$C$6:$C$4207,0)),"Not Found"))</f>
        <v/>
      </c>
      <c r="E3678" s="27" t="str" cm="1">
        <f t="array" ref="E3678">IF(C3678="","",IFERROR(INDEX(STPP!$E$6:$E$4207,MATCH(C3678,STPP!$C$6:$C$4207,0)),"Not Found"))</f>
        <v/>
      </c>
      <c r="F3678" s="27" t="str" cm="1">
        <f t="array" ref="F3678">IF(C3678="","",IFERROR(INDEX(STPP!$F$6:$F$4207,MATCH(C3678,STPP!$C$6:$C$4207,0)),"Not Found"))</f>
        <v/>
      </c>
      <c r="G3678" s="25" t="str">
        <f>IF(表1[[#This Row],[No Seri]]="","",表1[[#This Row],[Deskripsi Barang]]+表1[[#This Row],[Kuantitas]]-表1[[#This Row],[Satuan]])</f>
        <v/>
      </c>
      <c r="H3678" s="28"/>
      <c r="I3678" s="25" t="str">
        <f>IF(表1[[#This Row],[Tgl NPBG]]&gt;表1[[#This Row],[Peminta]],表1[[#This Row],[Tgl NPBG]]-表1[[#This Row],[Peminta]],"")</f>
        <v/>
      </c>
      <c r="J3678" s="31"/>
    </row>
    <row r="3679" s="12" customFormat="1" customHeight="1" spans="2:10">
      <c r="B3679" s="25"/>
      <c r="C3679" s="25"/>
      <c r="D3679" s="26" t="str" cm="1">
        <f t="array" ref="D3679">IF(C3679="","",IFERROR(INDEX(STPP!$D$6:$D$4207,MATCH(C3679,STPP!$C$6:$C$4207,0)),"Not Found"))</f>
        <v/>
      </c>
      <c r="E3679" s="27" t="str" cm="1">
        <f t="array" ref="E3679">IF(C3679="","",IFERROR(INDEX(STPP!$E$6:$E$4207,MATCH(C3679,STPP!$C$6:$C$4207,0)),"Not Found"))</f>
        <v/>
      </c>
      <c r="F3679" s="27" t="str" cm="1">
        <f t="array" ref="F3679">IF(C3679="","",IFERROR(INDEX(STPP!$F$6:$F$4207,MATCH(C3679,STPP!$C$6:$C$4207,0)),"Not Found"))</f>
        <v/>
      </c>
      <c r="G3679" s="25" t="str">
        <f>IF(表1[[#This Row],[No Seri]]="","",表1[[#This Row],[Deskripsi Barang]]+表1[[#This Row],[Kuantitas]]-表1[[#This Row],[Satuan]])</f>
        <v/>
      </c>
      <c r="H3679" s="28"/>
      <c r="I3679" s="25" t="str">
        <f>IF(表1[[#This Row],[Tgl NPBG]]&gt;表1[[#This Row],[Peminta]],表1[[#This Row],[Tgl NPBG]]-表1[[#This Row],[Peminta]],"")</f>
        <v/>
      </c>
      <c r="J3679" s="31"/>
    </row>
    <row r="3680" s="12" customFormat="1" customHeight="1" spans="2:10">
      <c r="B3680" s="25"/>
      <c r="C3680" s="25"/>
      <c r="D3680" s="26" t="str" cm="1">
        <f t="array" ref="D3680">IF(C3680="","",IFERROR(INDEX(STPP!$D$6:$D$4207,MATCH(C3680,STPP!$C$6:$C$4207,0)),"Not Found"))</f>
        <v/>
      </c>
      <c r="E3680" s="27" t="str" cm="1">
        <f t="array" ref="E3680">IF(C3680="","",IFERROR(INDEX(STPP!$E$6:$E$4207,MATCH(C3680,STPP!$C$6:$C$4207,0)),"Not Found"))</f>
        <v/>
      </c>
      <c r="F3680" s="27" t="str" cm="1">
        <f t="array" ref="F3680">IF(C3680="","",IFERROR(INDEX(STPP!$F$6:$F$4207,MATCH(C3680,STPP!$C$6:$C$4207,0)),"Not Found"))</f>
        <v/>
      </c>
      <c r="G3680" s="25" t="str">
        <f>IF(表1[[#This Row],[No Seri]]="","",表1[[#This Row],[Deskripsi Barang]]+表1[[#This Row],[Kuantitas]]-表1[[#This Row],[Satuan]])</f>
        <v/>
      </c>
      <c r="H3680" s="28"/>
      <c r="I3680" s="25" t="str">
        <f>IF(表1[[#This Row],[Tgl NPBG]]&gt;表1[[#This Row],[Peminta]],表1[[#This Row],[Tgl NPBG]]-表1[[#This Row],[Peminta]],"")</f>
        <v/>
      </c>
      <c r="J3680" s="31"/>
    </row>
    <row r="3681" s="12" customFormat="1" customHeight="1" spans="2:10">
      <c r="B3681" s="25"/>
      <c r="C3681" s="25"/>
      <c r="D3681" s="26" t="str" cm="1">
        <f t="array" ref="D3681">IF(C3681="","",IFERROR(INDEX(STPP!$D$6:$D$4207,MATCH(C3681,STPP!$C$6:$C$4207,0)),"Not Found"))</f>
        <v/>
      </c>
      <c r="E3681" s="27" t="str" cm="1">
        <f t="array" ref="E3681">IF(C3681="","",IFERROR(INDEX(STPP!$E$6:$E$4207,MATCH(C3681,STPP!$C$6:$C$4207,0)),"Not Found"))</f>
        <v/>
      </c>
      <c r="F3681" s="27" t="str" cm="1">
        <f t="array" ref="F3681">IF(C3681="","",IFERROR(INDEX(STPP!$F$6:$F$4207,MATCH(C3681,STPP!$C$6:$C$4207,0)),"Not Found"))</f>
        <v/>
      </c>
      <c r="G3681" s="25" t="str">
        <f>IF(表1[[#This Row],[No Seri]]="","",表1[[#This Row],[Deskripsi Barang]]+表1[[#This Row],[Kuantitas]]-表1[[#This Row],[Satuan]])</f>
        <v/>
      </c>
      <c r="H3681" s="28"/>
      <c r="I3681" s="25" t="str">
        <f>IF(表1[[#This Row],[Tgl NPBG]]&gt;表1[[#This Row],[Peminta]],表1[[#This Row],[Tgl NPBG]]-表1[[#This Row],[Peminta]],"")</f>
        <v/>
      </c>
      <c r="J3681" s="31"/>
    </row>
    <row r="3682" s="12" customFormat="1" customHeight="1" spans="2:10">
      <c r="B3682" s="25"/>
      <c r="C3682" s="25"/>
      <c r="D3682" s="26" t="str" cm="1">
        <f t="array" ref="D3682">IF(C3682="","",IFERROR(INDEX(STPP!$D$6:$D$4207,MATCH(C3682,STPP!$C$6:$C$4207,0)),"Not Found"))</f>
        <v/>
      </c>
      <c r="E3682" s="27" t="str" cm="1">
        <f t="array" ref="E3682">IF(C3682="","",IFERROR(INDEX(STPP!$E$6:$E$4207,MATCH(C3682,STPP!$C$6:$C$4207,0)),"Not Found"))</f>
        <v/>
      </c>
      <c r="F3682" s="27" t="str" cm="1">
        <f t="array" ref="F3682">IF(C3682="","",IFERROR(INDEX(STPP!$F$6:$F$4207,MATCH(C3682,STPP!$C$6:$C$4207,0)),"Not Found"))</f>
        <v/>
      </c>
      <c r="G3682" s="25" t="str">
        <f>IF(表1[[#This Row],[No Seri]]="","",表1[[#This Row],[Deskripsi Barang]]+表1[[#This Row],[Kuantitas]]-表1[[#This Row],[Satuan]])</f>
        <v/>
      </c>
      <c r="H3682" s="28"/>
      <c r="I3682" s="25" t="str">
        <f>IF(表1[[#This Row],[Tgl NPBG]]&gt;表1[[#This Row],[Peminta]],表1[[#This Row],[Tgl NPBG]]-表1[[#This Row],[Peminta]],"")</f>
        <v/>
      </c>
      <c r="J3682" s="31"/>
    </row>
    <row r="3683" s="12" customFormat="1" customHeight="1" spans="2:10">
      <c r="B3683" s="25"/>
      <c r="C3683" s="25"/>
      <c r="D3683" s="26" t="str" cm="1">
        <f t="array" ref="D3683">IF(C3683="","",IFERROR(INDEX(STPP!$D$6:$D$4207,MATCH(C3683,STPP!$C$6:$C$4207,0)),"Not Found"))</f>
        <v/>
      </c>
      <c r="E3683" s="27" t="str" cm="1">
        <f t="array" ref="E3683">IF(C3683="","",IFERROR(INDEX(STPP!$E$6:$E$4207,MATCH(C3683,STPP!$C$6:$C$4207,0)),"Not Found"))</f>
        <v/>
      </c>
      <c r="F3683" s="27" t="str" cm="1">
        <f t="array" ref="F3683">IF(C3683="","",IFERROR(INDEX(STPP!$F$6:$F$4207,MATCH(C3683,STPP!$C$6:$C$4207,0)),"Not Found"))</f>
        <v/>
      </c>
      <c r="G3683" s="25" t="str">
        <f>IF(表1[[#This Row],[No Seri]]="","",表1[[#This Row],[Deskripsi Barang]]+表1[[#This Row],[Kuantitas]]-表1[[#This Row],[Satuan]])</f>
        <v/>
      </c>
      <c r="H3683" s="28"/>
      <c r="I3683" s="25" t="str">
        <f>IF(表1[[#This Row],[Tgl NPBG]]&gt;表1[[#This Row],[Peminta]],表1[[#This Row],[Tgl NPBG]]-表1[[#This Row],[Peminta]],"")</f>
        <v/>
      </c>
      <c r="J3683" s="31"/>
    </row>
    <row r="3684" s="12" customFormat="1" customHeight="1" spans="2:10">
      <c r="B3684" s="25"/>
      <c r="C3684" s="25"/>
      <c r="D3684" s="26" t="str" cm="1">
        <f t="array" ref="D3684">IF(C3684="","",IFERROR(INDEX(STPP!$D$6:$D$4207,MATCH(C3684,STPP!$C$6:$C$4207,0)),"Not Found"))</f>
        <v/>
      </c>
      <c r="E3684" s="27" t="str" cm="1">
        <f t="array" ref="E3684">IF(C3684="","",IFERROR(INDEX(STPP!$E$6:$E$4207,MATCH(C3684,STPP!$C$6:$C$4207,0)),"Not Found"))</f>
        <v/>
      </c>
      <c r="F3684" s="27" t="str" cm="1">
        <f t="array" ref="F3684">IF(C3684="","",IFERROR(INDEX(STPP!$F$6:$F$4207,MATCH(C3684,STPP!$C$6:$C$4207,0)),"Not Found"))</f>
        <v/>
      </c>
      <c r="G3684" s="25" t="str">
        <f>IF(表1[[#This Row],[No Seri]]="","",表1[[#This Row],[Deskripsi Barang]]+表1[[#This Row],[Kuantitas]]-表1[[#This Row],[Satuan]])</f>
        <v/>
      </c>
      <c r="H3684" s="28"/>
      <c r="I3684" s="25" t="str">
        <f>IF(表1[[#This Row],[Tgl NPBG]]&gt;表1[[#This Row],[Peminta]],表1[[#This Row],[Tgl NPBG]]-表1[[#This Row],[Peminta]],"")</f>
        <v/>
      </c>
      <c r="J3684" s="31"/>
    </row>
    <row r="3685" s="12" customFormat="1" customHeight="1" spans="2:10">
      <c r="B3685" s="25"/>
      <c r="C3685" s="25"/>
      <c r="D3685" s="26" t="str" cm="1">
        <f t="array" ref="D3685">IF(C3685="","",IFERROR(INDEX(STPP!$D$6:$D$4207,MATCH(C3685,STPP!$C$6:$C$4207,0)),"Not Found"))</f>
        <v/>
      </c>
      <c r="E3685" s="27" t="str" cm="1">
        <f t="array" ref="E3685">IF(C3685="","",IFERROR(INDEX(STPP!$E$6:$E$4207,MATCH(C3685,STPP!$C$6:$C$4207,0)),"Not Found"))</f>
        <v/>
      </c>
      <c r="F3685" s="27" t="str" cm="1">
        <f t="array" ref="F3685">IF(C3685="","",IFERROR(INDEX(STPP!$F$6:$F$4207,MATCH(C3685,STPP!$C$6:$C$4207,0)),"Not Found"))</f>
        <v/>
      </c>
      <c r="G3685" s="25" t="str">
        <f>IF(表1[[#This Row],[No Seri]]="","",表1[[#This Row],[Deskripsi Barang]]+表1[[#This Row],[Kuantitas]]-表1[[#This Row],[Satuan]])</f>
        <v/>
      </c>
      <c r="H3685" s="28"/>
      <c r="I3685" s="25" t="str">
        <f>IF(表1[[#This Row],[Tgl NPBG]]&gt;表1[[#This Row],[Peminta]],表1[[#This Row],[Tgl NPBG]]-表1[[#This Row],[Peminta]],"")</f>
        <v/>
      </c>
      <c r="J3685" s="31"/>
    </row>
    <row r="3686" s="12" customFormat="1" customHeight="1" spans="2:10">
      <c r="B3686" s="25"/>
      <c r="C3686" s="25"/>
      <c r="D3686" s="26" t="str" cm="1">
        <f t="array" ref="D3686">IF(C3686="","",IFERROR(INDEX(STPP!$D$6:$D$4207,MATCH(C3686,STPP!$C$6:$C$4207,0)),"Not Found"))</f>
        <v/>
      </c>
      <c r="E3686" s="27" t="str" cm="1">
        <f t="array" ref="E3686">IF(C3686="","",IFERROR(INDEX(STPP!$E$6:$E$4207,MATCH(C3686,STPP!$C$6:$C$4207,0)),"Not Found"))</f>
        <v/>
      </c>
      <c r="F3686" s="27" t="str" cm="1">
        <f t="array" ref="F3686">IF(C3686="","",IFERROR(INDEX(STPP!$F$6:$F$4207,MATCH(C3686,STPP!$C$6:$C$4207,0)),"Not Found"))</f>
        <v/>
      </c>
      <c r="G3686" s="25" t="str">
        <f>IF(表1[[#This Row],[No Seri]]="","",表1[[#This Row],[Deskripsi Barang]]+表1[[#This Row],[Kuantitas]]-表1[[#This Row],[Satuan]])</f>
        <v/>
      </c>
      <c r="H3686" s="28"/>
      <c r="I3686" s="25" t="str">
        <f>IF(表1[[#This Row],[Tgl NPBG]]&gt;表1[[#This Row],[Peminta]],表1[[#This Row],[Tgl NPBG]]-表1[[#This Row],[Peminta]],"")</f>
        <v/>
      </c>
      <c r="J3686" s="31"/>
    </row>
    <row r="3687" s="12" customFormat="1" customHeight="1" spans="2:10">
      <c r="B3687" s="25"/>
      <c r="C3687" s="25"/>
      <c r="D3687" s="26" t="str" cm="1">
        <f t="array" ref="D3687">IF(C3687="","",IFERROR(INDEX(STPP!$D$6:$D$4207,MATCH(C3687,STPP!$C$6:$C$4207,0)),"Not Found"))</f>
        <v/>
      </c>
      <c r="E3687" s="27" t="str" cm="1">
        <f t="array" ref="E3687">IF(C3687="","",IFERROR(INDEX(STPP!$E$6:$E$4207,MATCH(C3687,STPP!$C$6:$C$4207,0)),"Not Found"))</f>
        <v/>
      </c>
      <c r="F3687" s="27" t="str" cm="1">
        <f t="array" ref="F3687">IF(C3687="","",IFERROR(INDEX(STPP!$F$6:$F$4207,MATCH(C3687,STPP!$C$6:$C$4207,0)),"Not Found"))</f>
        <v/>
      </c>
      <c r="G3687" s="25" t="str">
        <f>IF(表1[[#This Row],[No Seri]]="","",表1[[#This Row],[Deskripsi Barang]]+表1[[#This Row],[Kuantitas]]-表1[[#This Row],[Satuan]])</f>
        <v/>
      </c>
      <c r="H3687" s="28"/>
      <c r="I3687" s="25" t="str">
        <f>IF(表1[[#This Row],[Tgl NPBG]]&gt;表1[[#This Row],[Peminta]],表1[[#This Row],[Tgl NPBG]]-表1[[#This Row],[Peminta]],"")</f>
        <v/>
      </c>
      <c r="J3687" s="31"/>
    </row>
    <row r="3688" s="12" customFormat="1" customHeight="1" spans="2:10">
      <c r="B3688" s="25"/>
      <c r="C3688" s="25"/>
      <c r="D3688" s="26" t="str" cm="1">
        <f t="array" ref="D3688">IF(C3688="","",IFERROR(INDEX(STPP!$D$6:$D$4207,MATCH(C3688,STPP!$C$6:$C$4207,0)),"Not Found"))</f>
        <v/>
      </c>
      <c r="E3688" s="27" t="str" cm="1">
        <f t="array" ref="E3688">IF(C3688="","",IFERROR(INDEX(STPP!$E$6:$E$4207,MATCH(C3688,STPP!$C$6:$C$4207,0)),"Not Found"))</f>
        <v/>
      </c>
      <c r="F3688" s="27" t="str" cm="1">
        <f t="array" ref="F3688">IF(C3688="","",IFERROR(INDEX(STPP!$F$6:$F$4207,MATCH(C3688,STPP!$C$6:$C$4207,0)),"Not Found"))</f>
        <v/>
      </c>
      <c r="G3688" s="25" t="str">
        <f>IF(表1[[#This Row],[No Seri]]="","",表1[[#This Row],[Deskripsi Barang]]+表1[[#This Row],[Kuantitas]]-表1[[#This Row],[Satuan]])</f>
        <v/>
      </c>
      <c r="H3688" s="28"/>
      <c r="I3688" s="25" t="str">
        <f>IF(表1[[#This Row],[Tgl NPBG]]&gt;表1[[#This Row],[Peminta]],表1[[#This Row],[Tgl NPBG]]-表1[[#This Row],[Peminta]],"")</f>
        <v/>
      </c>
      <c r="J3688" s="31"/>
    </row>
    <row r="3689" s="12" customFormat="1" customHeight="1" spans="2:10">
      <c r="B3689" s="25"/>
      <c r="C3689" s="25"/>
      <c r="D3689" s="26" t="str" cm="1">
        <f t="array" ref="D3689">IF(C3689="","",IFERROR(INDEX(STPP!$D$6:$D$4207,MATCH(C3689,STPP!$C$6:$C$4207,0)),"Not Found"))</f>
        <v/>
      </c>
      <c r="E3689" s="27" t="str" cm="1">
        <f t="array" ref="E3689">IF(C3689="","",IFERROR(INDEX(STPP!$E$6:$E$4207,MATCH(C3689,STPP!$C$6:$C$4207,0)),"Not Found"))</f>
        <v/>
      </c>
      <c r="F3689" s="27" t="str" cm="1">
        <f t="array" ref="F3689">IF(C3689="","",IFERROR(INDEX(STPP!$F$6:$F$4207,MATCH(C3689,STPP!$C$6:$C$4207,0)),"Not Found"))</f>
        <v/>
      </c>
      <c r="G3689" s="25" t="str">
        <f>IF(表1[[#This Row],[No Seri]]="","",表1[[#This Row],[Deskripsi Barang]]+表1[[#This Row],[Kuantitas]]-表1[[#This Row],[Satuan]])</f>
        <v/>
      </c>
      <c r="H3689" s="28"/>
      <c r="I3689" s="25" t="str">
        <f>IF(表1[[#This Row],[Tgl NPBG]]&gt;表1[[#This Row],[Peminta]],表1[[#This Row],[Tgl NPBG]]-表1[[#This Row],[Peminta]],"")</f>
        <v/>
      </c>
      <c r="J3689" s="31"/>
    </row>
    <row r="3690" s="12" customFormat="1" customHeight="1" spans="2:10">
      <c r="B3690" s="25"/>
      <c r="C3690" s="25"/>
      <c r="D3690" s="26" t="str" cm="1">
        <f t="array" ref="D3690">IF(C3690="","",IFERROR(INDEX(STPP!$D$6:$D$4207,MATCH(C3690,STPP!$C$6:$C$4207,0)),"Not Found"))</f>
        <v/>
      </c>
      <c r="E3690" s="27" t="str" cm="1">
        <f t="array" ref="E3690">IF(C3690="","",IFERROR(INDEX(STPP!$E$6:$E$4207,MATCH(C3690,STPP!$C$6:$C$4207,0)),"Not Found"))</f>
        <v/>
      </c>
      <c r="F3690" s="27" t="str" cm="1">
        <f t="array" ref="F3690">IF(C3690="","",IFERROR(INDEX(STPP!$F$6:$F$4207,MATCH(C3690,STPP!$C$6:$C$4207,0)),"Not Found"))</f>
        <v/>
      </c>
      <c r="G3690" s="25" t="str">
        <f>IF(表1[[#This Row],[No Seri]]="","",表1[[#This Row],[Deskripsi Barang]]+表1[[#This Row],[Kuantitas]]-表1[[#This Row],[Satuan]])</f>
        <v/>
      </c>
      <c r="H3690" s="28"/>
      <c r="I3690" s="25" t="str">
        <f>IF(表1[[#This Row],[Tgl NPBG]]&gt;表1[[#This Row],[Peminta]],表1[[#This Row],[Tgl NPBG]]-表1[[#This Row],[Peminta]],"")</f>
        <v/>
      </c>
      <c r="J3690" s="31"/>
    </row>
    <row r="3691" s="12" customFormat="1" customHeight="1" spans="2:10">
      <c r="B3691" s="25"/>
      <c r="C3691" s="25"/>
      <c r="D3691" s="26" t="str" cm="1">
        <f t="array" ref="D3691">IF(C3691="","",IFERROR(INDEX(STPP!$D$6:$D$4207,MATCH(C3691,STPP!$C$6:$C$4207,0)),"Not Found"))</f>
        <v/>
      </c>
      <c r="E3691" s="27" t="str" cm="1">
        <f t="array" ref="E3691">IF(C3691="","",IFERROR(INDEX(STPP!$E$6:$E$4207,MATCH(C3691,STPP!$C$6:$C$4207,0)),"Not Found"))</f>
        <v/>
      </c>
      <c r="F3691" s="27" t="str" cm="1">
        <f t="array" ref="F3691">IF(C3691="","",IFERROR(INDEX(STPP!$F$6:$F$4207,MATCH(C3691,STPP!$C$6:$C$4207,0)),"Not Found"))</f>
        <v/>
      </c>
      <c r="G3691" s="25" t="str">
        <f>IF(表1[[#This Row],[No Seri]]="","",表1[[#This Row],[Deskripsi Barang]]+表1[[#This Row],[Kuantitas]]-表1[[#This Row],[Satuan]])</f>
        <v/>
      </c>
      <c r="H3691" s="28"/>
      <c r="I3691" s="25" t="str">
        <f>IF(表1[[#This Row],[Tgl NPBG]]&gt;表1[[#This Row],[Peminta]],表1[[#This Row],[Tgl NPBG]]-表1[[#This Row],[Peminta]],"")</f>
        <v/>
      </c>
      <c r="J3691" s="31"/>
    </row>
    <row r="3692" s="12" customFormat="1" customHeight="1" spans="2:10">
      <c r="B3692" s="25"/>
      <c r="C3692" s="25"/>
      <c r="D3692" s="26" t="str" cm="1">
        <f t="array" ref="D3692">IF(C3692="","",IFERROR(INDEX(STPP!$D$6:$D$4207,MATCH(C3692,STPP!$C$6:$C$4207,0)),"Not Found"))</f>
        <v/>
      </c>
      <c r="E3692" s="27" t="str" cm="1">
        <f t="array" ref="E3692">IF(C3692="","",IFERROR(INDEX(STPP!$E$6:$E$4207,MATCH(C3692,STPP!$C$6:$C$4207,0)),"Not Found"))</f>
        <v/>
      </c>
      <c r="F3692" s="27" t="str" cm="1">
        <f t="array" ref="F3692">IF(C3692="","",IFERROR(INDEX(STPP!$F$6:$F$4207,MATCH(C3692,STPP!$C$6:$C$4207,0)),"Not Found"))</f>
        <v/>
      </c>
      <c r="G3692" s="25" t="str">
        <f>IF(表1[[#This Row],[No Seri]]="","",表1[[#This Row],[Deskripsi Barang]]+表1[[#This Row],[Kuantitas]]-表1[[#This Row],[Satuan]])</f>
        <v/>
      </c>
      <c r="H3692" s="28"/>
      <c r="I3692" s="25" t="str">
        <f>IF(表1[[#This Row],[Tgl NPBG]]&gt;表1[[#This Row],[Peminta]],表1[[#This Row],[Tgl NPBG]]-表1[[#This Row],[Peminta]],"")</f>
        <v/>
      </c>
      <c r="J3692" s="31"/>
    </row>
    <row r="3693" s="12" customFormat="1" customHeight="1" spans="2:10">
      <c r="B3693" s="25"/>
      <c r="C3693" s="25"/>
      <c r="D3693" s="26" t="str" cm="1">
        <f t="array" ref="D3693">IF(C3693="","",IFERROR(INDEX(STPP!$D$6:$D$4207,MATCH(C3693,STPP!$C$6:$C$4207,0)),"Not Found"))</f>
        <v/>
      </c>
      <c r="E3693" s="27" t="str" cm="1">
        <f t="array" ref="E3693">IF(C3693="","",IFERROR(INDEX(STPP!$E$6:$E$4207,MATCH(C3693,STPP!$C$6:$C$4207,0)),"Not Found"))</f>
        <v/>
      </c>
      <c r="F3693" s="27" t="str" cm="1">
        <f t="array" ref="F3693">IF(C3693="","",IFERROR(INDEX(STPP!$F$6:$F$4207,MATCH(C3693,STPP!$C$6:$C$4207,0)),"Not Found"))</f>
        <v/>
      </c>
      <c r="G3693" s="25" t="str">
        <f>IF(表1[[#This Row],[No Seri]]="","",表1[[#This Row],[Deskripsi Barang]]+表1[[#This Row],[Kuantitas]]-表1[[#This Row],[Satuan]])</f>
        <v/>
      </c>
      <c r="H3693" s="28"/>
      <c r="I3693" s="25" t="str">
        <f>IF(表1[[#This Row],[Tgl NPBG]]&gt;表1[[#This Row],[Peminta]],表1[[#This Row],[Tgl NPBG]]-表1[[#This Row],[Peminta]],"")</f>
        <v/>
      </c>
      <c r="J3693" s="31"/>
    </row>
    <row r="3694" s="12" customFormat="1" customHeight="1" spans="2:10">
      <c r="B3694" s="25"/>
      <c r="C3694" s="25"/>
      <c r="D3694" s="26" t="str" cm="1">
        <f t="array" ref="D3694">IF(C3694="","",IFERROR(INDEX(STPP!$D$6:$D$4207,MATCH(C3694,STPP!$C$6:$C$4207,0)),"Not Found"))</f>
        <v/>
      </c>
      <c r="E3694" s="27" t="str" cm="1">
        <f t="array" ref="E3694">IF(C3694="","",IFERROR(INDEX(STPP!$E$6:$E$4207,MATCH(C3694,STPP!$C$6:$C$4207,0)),"Not Found"))</f>
        <v/>
      </c>
      <c r="F3694" s="27" t="str" cm="1">
        <f t="array" ref="F3694">IF(C3694="","",IFERROR(INDEX(STPP!$F$6:$F$4207,MATCH(C3694,STPP!$C$6:$C$4207,0)),"Not Found"))</f>
        <v/>
      </c>
      <c r="G3694" s="25" t="str">
        <f>IF(表1[[#This Row],[No Seri]]="","",表1[[#This Row],[Deskripsi Barang]]+表1[[#This Row],[Kuantitas]]-表1[[#This Row],[Satuan]])</f>
        <v/>
      </c>
      <c r="H3694" s="28"/>
      <c r="I3694" s="25" t="str">
        <f>IF(表1[[#This Row],[Tgl NPBG]]&gt;表1[[#This Row],[Peminta]],表1[[#This Row],[Tgl NPBG]]-表1[[#This Row],[Peminta]],"")</f>
        <v/>
      </c>
      <c r="J3694" s="31"/>
    </row>
    <row r="3695" s="12" customFormat="1" customHeight="1" spans="2:10">
      <c r="B3695" s="25"/>
      <c r="C3695" s="25"/>
      <c r="D3695" s="26" t="str" cm="1">
        <f t="array" ref="D3695">IF(C3695="","",IFERROR(INDEX(STPP!$D$6:$D$4207,MATCH(C3695,STPP!$C$6:$C$4207,0)),"Not Found"))</f>
        <v/>
      </c>
      <c r="E3695" s="27" t="str" cm="1">
        <f t="array" ref="E3695">IF(C3695="","",IFERROR(INDEX(STPP!$E$6:$E$4207,MATCH(C3695,STPP!$C$6:$C$4207,0)),"Not Found"))</f>
        <v/>
      </c>
      <c r="F3695" s="27" t="str" cm="1">
        <f t="array" ref="F3695">IF(C3695="","",IFERROR(INDEX(STPP!$F$6:$F$4207,MATCH(C3695,STPP!$C$6:$C$4207,0)),"Not Found"))</f>
        <v/>
      </c>
      <c r="G3695" s="25" t="str">
        <f>IF(表1[[#This Row],[No Seri]]="","",表1[[#This Row],[Deskripsi Barang]]+表1[[#This Row],[Kuantitas]]-表1[[#This Row],[Satuan]])</f>
        <v/>
      </c>
      <c r="H3695" s="28"/>
      <c r="I3695" s="25" t="str">
        <f>IF(表1[[#This Row],[Tgl NPBG]]&gt;表1[[#This Row],[Peminta]],表1[[#This Row],[Tgl NPBG]]-表1[[#This Row],[Peminta]],"")</f>
        <v/>
      </c>
      <c r="J3695" s="31"/>
    </row>
    <row r="3696" s="12" customFormat="1" customHeight="1" spans="2:10">
      <c r="B3696" s="25"/>
      <c r="C3696" s="25"/>
      <c r="D3696" s="26" t="str" cm="1">
        <f t="array" ref="D3696">IF(C3696="","",IFERROR(INDEX(STPP!$D$6:$D$4207,MATCH(C3696,STPP!$C$6:$C$4207,0)),"Not Found"))</f>
        <v/>
      </c>
      <c r="E3696" s="27" t="str" cm="1">
        <f t="array" ref="E3696">IF(C3696="","",IFERROR(INDEX(STPP!$E$6:$E$4207,MATCH(C3696,STPP!$C$6:$C$4207,0)),"Not Found"))</f>
        <v/>
      </c>
      <c r="F3696" s="27" t="str" cm="1">
        <f t="array" ref="F3696">IF(C3696="","",IFERROR(INDEX(STPP!$F$6:$F$4207,MATCH(C3696,STPP!$C$6:$C$4207,0)),"Not Found"))</f>
        <v/>
      </c>
      <c r="G3696" s="25" t="str">
        <f>IF(表1[[#This Row],[No Seri]]="","",表1[[#This Row],[Deskripsi Barang]]+表1[[#This Row],[Kuantitas]]-表1[[#This Row],[Satuan]])</f>
        <v/>
      </c>
      <c r="H3696" s="28"/>
      <c r="I3696" s="25" t="str">
        <f>IF(表1[[#This Row],[Tgl NPBG]]&gt;表1[[#This Row],[Peminta]],表1[[#This Row],[Tgl NPBG]]-表1[[#This Row],[Peminta]],"")</f>
        <v/>
      </c>
      <c r="J3696" s="31"/>
    </row>
    <row r="3697" s="12" customFormat="1" customHeight="1" spans="2:10">
      <c r="B3697" s="25"/>
      <c r="C3697" s="25"/>
      <c r="D3697" s="26" t="str" cm="1">
        <f t="array" ref="D3697">IF(C3697="","",IFERROR(INDEX(STPP!$D$6:$D$4207,MATCH(C3697,STPP!$C$6:$C$4207,0)),"Not Found"))</f>
        <v/>
      </c>
      <c r="E3697" s="27" t="str" cm="1">
        <f t="array" ref="E3697">IF(C3697="","",IFERROR(INDEX(STPP!$E$6:$E$4207,MATCH(C3697,STPP!$C$6:$C$4207,0)),"Not Found"))</f>
        <v/>
      </c>
      <c r="F3697" s="27" t="str" cm="1">
        <f t="array" ref="F3697">IF(C3697="","",IFERROR(INDEX(STPP!$F$6:$F$4207,MATCH(C3697,STPP!$C$6:$C$4207,0)),"Not Found"))</f>
        <v/>
      </c>
      <c r="G3697" s="25" t="str">
        <f>IF(表1[[#This Row],[No Seri]]="","",表1[[#This Row],[Deskripsi Barang]]+表1[[#This Row],[Kuantitas]]-表1[[#This Row],[Satuan]])</f>
        <v/>
      </c>
      <c r="H3697" s="28"/>
      <c r="I3697" s="25" t="str">
        <f>IF(表1[[#This Row],[Tgl NPBG]]&gt;表1[[#This Row],[Peminta]],表1[[#This Row],[Tgl NPBG]]-表1[[#This Row],[Peminta]],"")</f>
        <v/>
      </c>
      <c r="J3697" s="31"/>
    </row>
    <row r="3698" s="12" customFormat="1" customHeight="1" spans="2:10">
      <c r="B3698" s="25"/>
      <c r="C3698" s="25"/>
      <c r="D3698" s="26" t="str" cm="1">
        <f t="array" ref="D3698">IF(C3698="","",IFERROR(INDEX(STPP!$D$6:$D$4207,MATCH(C3698,STPP!$C$6:$C$4207,0)),"Not Found"))</f>
        <v/>
      </c>
      <c r="E3698" s="27" t="str" cm="1">
        <f t="array" ref="E3698">IF(C3698="","",IFERROR(INDEX(STPP!$E$6:$E$4207,MATCH(C3698,STPP!$C$6:$C$4207,0)),"Not Found"))</f>
        <v/>
      </c>
      <c r="F3698" s="27" t="str" cm="1">
        <f t="array" ref="F3698">IF(C3698="","",IFERROR(INDEX(STPP!$F$6:$F$4207,MATCH(C3698,STPP!$C$6:$C$4207,0)),"Not Found"))</f>
        <v/>
      </c>
      <c r="G3698" s="25" t="str">
        <f>IF(表1[[#This Row],[No Seri]]="","",表1[[#This Row],[Deskripsi Barang]]+表1[[#This Row],[Kuantitas]]-表1[[#This Row],[Satuan]])</f>
        <v/>
      </c>
      <c r="H3698" s="28"/>
      <c r="I3698" s="25" t="str">
        <f>IF(表1[[#This Row],[Tgl NPBG]]&gt;表1[[#This Row],[Peminta]],表1[[#This Row],[Tgl NPBG]]-表1[[#This Row],[Peminta]],"")</f>
        <v/>
      </c>
      <c r="J3698" s="31"/>
    </row>
    <row r="3699" s="12" customFormat="1" customHeight="1" spans="2:10">
      <c r="B3699" s="25"/>
      <c r="C3699" s="25"/>
      <c r="D3699" s="26" t="str" cm="1">
        <f t="array" ref="D3699">IF(C3699="","",IFERROR(INDEX(STPP!$D$6:$D$4207,MATCH(C3699,STPP!$C$6:$C$4207,0)),"Not Found"))</f>
        <v/>
      </c>
      <c r="E3699" s="27" t="str" cm="1">
        <f t="array" ref="E3699">IF(C3699="","",IFERROR(INDEX(STPP!$E$6:$E$4207,MATCH(C3699,STPP!$C$6:$C$4207,0)),"Not Found"))</f>
        <v/>
      </c>
      <c r="F3699" s="27" t="str" cm="1">
        <f t="array" ref="F3699">IF(C3699="","",IFERROR(INDEX(STPP!$F$6:$F$4207,MATCH(C3699,STPP!$C$6:$C$4207,0)),"Not Found"))</f>
        <v/>
      </c>
      <c r="G3699" s="25" t="str">
        <f>IF(表1[[#This Row],[No Seri]]="","",表1[[#This Row],[Deskripsi Barang]]+表1[[#This Row],[Kuantitas]]-表1[[#This Row],[Satuan]])</f>
        <v/>
      </c>
      <c r="H3699" s="28"/>
      <c r="I3699" s="25" t="str">
        <f>IF(表1[[#This Row],[Tgl NPBG]]&gt;表1[[#This Row],[Peminta]],表1[[#This Row],[Tgl NPBG]]-表1[[#This Row],[Peminta]],"")</f>
        <v/>
      </c>
      <c r="J3699" s="31"/>
    </row>
    <row r="3700" s="12" customFormat="1" customHeight="1" spans="2:10">
      <c r="B3700" s="25"/>
      <c r="C3700" s="25"/>
      <c r="D3700" s="26" t="str" cm="1">
        <f t="array" ref="D3700">IF(C3700="","",IFERROR(INDEX(STPP!$D$6:$D$4207,MATCH(C3700,STPP!$C$6:$C$4207,0)),"Not Found"))</f>
        <v/>
      </c>
      <c r="E3700" s="27" t="str" cm="1">
        <f t="array" ref="E3700">IF(C3700="","",IFERROR(INDEX(STPP!$E$6:$E$4207,MATCH(C3700,STPP!$C$6:$C$4207,0)),"Not Found"))</f>
        <v/>
      </c>
      <c r="F3700" s="27" t="str" cm="1">
        <f t="array" ref="F3700">IF(C3700="","",IFERROR(INDEX(STPP!$F$6:$F$4207,MATCH(C3700,STPP!$C$6:$C$4207,0)),"Not Found"))</f>
        <v/>
      </c>
      <c r="G3700" s="25" t="str">
        <f>IF(表1[[#This Row],[No Seri]]="","",表1[[#This Row],[Deskripsi Barang]]+表1[[#This Row],[Kuantitas]]-表1[[#This Row],[Satuan]])</f>
        <v/>
      </c>
      <c r="H3700" s="28"/>
      <c r="I3700" s="25" t="str">
        <f>IF(表1[[#This Row],[Tgl NPBG]]&gt;表1[[#This Row],[Peminta]],表1[[#This Row],[Tgl NPBG]]-表1[[#This Row],[Peminta]],"")</f>
        <v/>
      </c>
      <c r="J3700" s="31"/>
    </row>
    <row r="3701" s="12" customFormat="1" customHeight="1" spans="2:10">
      <c r="B3701" s="25"/>
      <c r="C3701" s="25"/>
      <c r="D3701" s="26" t="str" cm="1">
        <f t="array" ref="D3701">IF(C3701="","",IFERROR(INDEX(STPP!$D$6:$D$4207,MATCH(C3701,STPP!$C$6:$C$4207,0)),"Not Found"))</f>
        <v/>
      </c>
      <c r="E3701" s="27" t="str" cm="1">
        <f t="array" ref="E3701">IF(C3701="","",IFERROR(INDEX(STPP!$E$6:$E$4207,MATCH(C3701,STPP!$C$6:$C$4207,0)),"Not Found"))</f>
        <v/>
      </c>
      <c r="F3701" s="27" t="str" cm="1">
        <f t="array" ref="F3701">IF(C3701="","",IFERROR(INDEX(STPP!$F$6:$F$4207,MATCH(C3701,STPP!$C$6:$C$4207,0)),"Not Found"))</f>
        <v/>
      </c>
      <c r="G3701" s="25" t="str">
        <f>IF(表1[[#This Row],[No Seri]]="","",表1[[#This Row],[Deskripsi Barang]]+表1[[#This Row],[Kuantitas]]-表1[[#This Row],[Satuan]])</f>
        <v/>
      </c>
      <c r="H3701" s="28"/>
      <c r="I3701" s="25" t="str">
        <f>IF(表1[[#This Row],[Tgl NPBG]]&gt;表1[[#This Row],[Peminta]],表1[[#This Row],[Tgl NPBG]]-表1[[#This Row],[Peminta]],"")</f>
        <v/>
      </c>
      <c r="J3701" s="31"/>
    </row>
    <row r="3702" s="12" customFormat="1" customHeight="1" spans="2:10">
      <c r="B3702" s="25"/>
      <c r="C3702" s="25"/>
      <c r="D3702" s="26" t="str" cm="1">
        <f t="array" ref="D3702">IF(C3702="","",IFERROR(INDEX(STPP!$D$6:$D$4207,MATCH(C3702,STPP!$C$6:$C$4207,0)),"Not Found"))</f>
        <v/>
      </c>
      <c r="E3702" s="27" t="str" cm="1">
        <f t="array" ref="E3702">IF(C3702="","",IFERROR(INDEX(STPP!$E$6:$E$4207,MATCH(C3702,STPP!$C$6:$C$4207,0)),"Not Found"))</f>
        <v/>
      </c>
      <c r="F3702" s="27" t="str" cm="1">
        <f t="array" ref="F3702">IF(C3702="","",IFERROR(INDEX(STPP!$F$6:$F$4207,MATCH(C3702,STPP!$C$6:$C$4207,0)),"Not Found"))</f>
        <v/>
      </c>
      <c r="G3702" s="25" t="str">
        <f>IF(表1[[#This Row],[No Seri]]="","",表1[[#This Row],[Deskripsi Barang]]+表1[[#This Row],[Kuantitas]]-表1[[#This Row],[Satuan]])</f>
        <v/>
      </c>
      <c r="H3702" s="28"/>
      <c r="I3702" s="25" t="str">
        <f>IF(表1[[#This Row],[Tgl NPBG]]&gt;表1[[#This Row],[Peminta]],表1[[#This Row],[Tgl NPBG]]-表1[[#This Row],[Peminta]],"")</f>
        <v/>
      </c>
      <c r="J3702" s="31"/>
    </row>
    <row r="3703" s="12" customFormat="1" customHeight="1" spans="2:10">
      <c r="B3703" s="25"/>
      <c r="C3703" s="25"/>
      <c r="D3703" s="26" t="str" cm="1">
        <f t="array" ref="D3703">IF(C3703="","",IFERROR(INDEX(STPP!$D$6:$D$4207,MATCH(C3703,STPP!$C$6:$C$4207,0)),"Not Found"))</f>
        <v/>
      </c>
      <c r="E3703" s="27" t="str" cm="1">
        <f t="array" ref="E3703">IF(C3703="","",IFERROR(INDEX(STPP!$E$6:$E$4207,MATCH(C3703,STPP!$C$6:$C$4207,0)),"Not Found"))</f>
        <v/>
      </c>
      <c r="F3703" s="27" t="str" cm="1">
        <f t="array" ref="F3703">IF(C3703="","",IFERROR(INDEX(STPP!$F$6:$F$4207,MATCH(C3703,STPP!$C$6:$C$4207,0)),"Not Found"))</f>
        <v/>
      </c>
      <c r="G3703" s="25" t="str">
        <f>IF(表1[[#This Row],[No Seri]]="","",表1[[#This Row],[Deskripsi Barang]]+表1[[#This Row],[Kuantitas]]-表1[[#This Row],[Satuan]])</f>
        <v/>
      </c>
      <c r="H3703" s="28"/>
      <c r="I3703" s="25" t="str">
        <f>IF(表1[[#This Row],[Tgl NPBG]]&gt;表1[[#This Row],[Peminta]],表1[[#This Row],[Tgl NPBG]]-表1[[#This Row],[Peminta]],"")</f>
        <v/>
      </c>
      <c r="J3703" s="31"/>
    </row>
    <row r="3704" s="12" customFormat="1" customHeight="1" spans="2:10">
      <c r="B3704" s="25"/>
      <c r="C3704" s="25"/>
      <c r="D3704" s="26" t="str" cm="1">
        <f t="array" ref="D3704">IF(C3704="","",IFERROR(INDEX(STPP!$D$6:$D$4207,MATCH(C3704,STPP!$C$6:$C$4207,0)),"Not Found"))</f>
        <v/>
      </c>
      <c r="E3704" s="27" t="str" cm="1">
        <f t="array" ref="E3704">IF(C3704="","",IFERROR(INDEX(STPP!$E$6:$E$4207,MATCH(C3704,STPP!$C$6:$C$4207,0)),"Not Found"))</f>
        <v/>
      </c>
      <c r="F3704" s="27" t="str" cm="1">
        <f t="array" ref="F3704">IF(C3704="","",IFERROR(INDEX(STPP!$F$6:$F$4207,MATCH(C3704,STPP!$C$6:$C$4207,0)),"Not Found"))</f>
        <v/>
      </c>
      <c r="G3704" s="25" t="str">
        <f>IF(表1[[#This Row],[No Seri]]="","",表1[[#This Row],[Deskripsi Barang]]+表1[[#This Row],[Kuantitas]]-表1[[#This Row],[Satuan]])</f>
        <v/>
      </c>
      <c r="H3704" s="28"/>
      <c r="I3704" s="25" t="str">
        <f>IF(表1[[#This Row],[Tgl NPBG]]&gt;表1[[#This Row],[Peminta]],表1[[#This Row],[Tgl NPBG]]-表1[[#This Row],[Peminta]],"")</f>
        <v/>
      </c>
      <c r="J3704" s="31"/>
    </row>
    <row r="3705" s="12" customFormat="1" customHeight="1" spans="2:10">
      <c r="B3705" s="25"/>
      <c r="C3705" s="25"/>
      <c r="D3705" s="26" t="str" cm="1">
        <f t="array" ref="D3705">IF(C3705="","",IFERROR(INDEX(STPP!$D$6:$D$4207,MATCH(C3705,STPP!$C$6:$C$4207,0)),"Not Found"))</f>
        <v/>
      </c>
      <c r="E3705" s="27" t="str" cm="1">
        <f t="array" ref="E3705">IF(C3705="","",IFERROR(INDEX(STPP!$E$6:$E$4207,MATCH(C3705,STPP!$C$6:$C$4207,0)),"Not Found"))</f>
        <v/>
      </c>
      <c r="F3705" s="27" t="str" cm="1">
        <f t="array" ref="F3705">IF(C3705="","",IFERROR(INDEX(STPP!$F$6:$F$4207,MATCH(C3705,STPP!$C$6:$C$4207,0)),"Not Found"))</f>
        <v/>
      </c>
      <c r="G3705" s="25" t="str">
        <f>IF(表1[[#This Row],[No Seri]]="","",表1[[#This Row],[Deskripsi Barang]]+表1[[#This Row],[Kuantitas]]-表1[[#This Row],[Satuan]])</f>
        <v/>
      </c>
      <c r="H3705" s="28"/>
      <c r="I3705" s="25" t="str">
        <f>IF(表1[[#This Row],[Tgl NPBG]]&gt;表1[[#This Row],[Peminta]],表1[[#This Row],[Tgl NPBG]]-表1[[#This Row],[Peminta]],"")</f>
        <v/>
      </c>
      <c r="J3705" s="31"/>
    </row>
    <row r="3706" s="12" customFormat="1" customHeight="1" spans="2:10">
      <c r="B3706" s="25"/>
      <c r="C3706" s="25"/>
      <c r="D3706" s="26" t="str" cm="1">
        <f t="array" ref="D3706">IF(C3706="","",IFERROR(INDEX(STPP!$D$6:$D$4207,MATCH(C3706,STPP!$C$6:$C$4207,0)),"Not Found"))</f>
        <v/>
      </c>
      <c r="E3706" s="27" t="str" cm="1">
        <f t="array" ref="E3706">IF(C3706="","",IFERROR(INDEX(STPP!$E$6:$E$4207,MATCH(C3706,STPP!$C$6:$C$4207,0)),"Not Found"))</f>
        <v/>
      </c>
      <c r="F3706" s="27" t="str" cm="1">
        <f t="array" ref="F3706">IF(C3706="","",IFERROR(INDEX(STPP!$F$6:$F$4207,MATCH(C3706,STPP!$C$6:$C$4207,0)),"Not Found"))</f>
        <v/>
      </c>
      <c r="G3706" s="25" t="str">
        <f>IF(表1[[#This Row],[No Seri]]="","",表1[[#This Row],[Deskripsi Barang]]+表1[[#This Row],[Kuantitas]]-表1[[#This Row],[Satuan]])</f>
        <v/>
      </c>
      <c r="H3706" s="28"/>
      <c r="I3706" s="25" t="str">
        <f>IF(表1[[#This Row],[Tgl NPBG]]&gt;表1[[#This Row],[Peminta]],表1[[#This Row],[Tgl NPBG]]-表1[[#This Row],[Peminta]],"")</f>
        <v/>
      </c>
      <c r="J3706" s="31"/>
    </row>
    <row r="3707" s="12" customFormat="1" customHeight="1" spans="2:10">
      <c r="B3707" s="25"/>
      <c r="C3707" s="25"/>
      <c r="D3707" s="26" t="str" cm="1">
        <f t="array" ref="D3707">IF(C3707="","",IFERROR(INDEX(STPP!$D$6:$D$4207,MATCH(C3707,STPP!$C$6:$C$4207,0)),"Not Found"))</f>
        <v/>
      </c>
      <c r="E3707" s="27" t="str" cm="1">
        <f t="array" ref="E3707">IF(C3707="","",IFERROR(INDEX(STPP!$E$6:$E$4207,MATCH(C3707,STPP!$C$6:$C$4207,0)),"Not Found"))</f>
        <v/>
      </c>
      <c r="F3707" s="27" t="str" cm="1">
        <f t="array" ref="F3707">IF(C3707="","",IFERROR(INDEX(STPP!$F$6:$F$4207,MATCH(C3707,STPP!$C$6:$C$4207,0)),"Not Found"))</f>
        <v/>
      </c>
      <c r="G3707" s="25" t="str">
        <f>IF(表1[[#This Row],[No Seri]]="","",表1[[#This Row],[Deskripsi Barang]]+表1[[#This Row],[Kuantitas]]-表1[[#This Row],[Satuan]])</f>
        <v/>
      </c>
      <c r="H3707" s="28"/>
      <c r="I3707" s="25" t="str">
        <f>IF(表1[[#This Row],[Tgl NPBG]]&gt;表1[[#This Row],[Peminta]],表1[[#This Row],[Tgl NPBG]]-表1[[#This Row],[Peminta]],"")</f>
        <v/>
      </c>
      <c r="J3707" s="31"/>
    </row>
    <row r="3708" s="12" customFormat="1" customHeight="1" spans="2:10">
      <c r="B3708" s="25"/>
      <c r="C3708" s="25"/>
      <c r="D3708" s="26" t="str" cm="1">
        <f t="array" ref="D3708">IF(C3708="","",IFERROR(INDEX(STPP!$D$6:$D$4207,MATCH(C3708,STPP!$C$6:$C$4207,0)),"Not Found"))</f>
        <v/>
      </c>
      <c r="E3708" s="27" t="str" cm="1">
        <f t="array" ref="E3708">IF(C3708="","",IFERROR(INDEX(STPP!$E$6:$E$4207,MATCH(C3708,STPP!$C$6:$C$4207,0)),"Not Found"))</f>
        <v/>
      </c>
      <c r="F3708" s="27" t="str" cm="1">
        <f t="array" ref="F3708">IF(C3708="","",IFERROR(INDEX(STPP!$F$6:$F$4207,MATCH(C3708,STPP!$C$6:$C$4207,0)),"Not Found"))</f>
        <v/>
      </c>
      <c r="G3708" s="25" t="str">
        <f>IF(表1[[#This Row],[No Seri]]="","",表1[[#This Row],[Deskripsi Barang]]+表1[[#This Row],[Kuantitas]]-表1[[#This Row],[Satuan]])</f>
        <v/>
      </c>
      <c r="H3708" s="28"/>
      <c r="I3708" s="25" t="str">
        <f>IF(表1[[#This Row],[Tgl NPBG]]&gt;表1[[#This Row],[Peminta]],表1[[#This Row],[Tgl NPBG]]-表1[[#This Row],[Peminta]],"")</f>
        <v/>
      </c>
      <c r="J3708" s="31"/>
    </row>
    <row r="3709" s="12" customFormat="1" customHeight="1" spans="2:10">
      <c r="B3709" s="25"/>
      <c r="C3709" s="25"/>
      <c r="D3709" s="26" t="str" cm="1">
        <f t="array" ref="D3709">IF(C3709="","",IFERROR(INDEX(STPP!$D$6:$D$4207,MATCH(C3709,STPP!$C$6:$C$4207,0)),"Not Found"))</f>
        <v/>
      </c>
      <c r="E3709" s="27" t="str" cm="1">
        <f t="array" ref="E3709">IF(C3709="","",IFERROR(INDEX(STPP!$E$6:$E$4207,MATCH(C3709,STPP!$C$6:$C$4207,0)),"Not Found"))</f>
        <v/>
      </c>
      <c r="F3709" s="27" t="str" cm="1">
        <f t="array" ref="F3709">IF(C3709="","",IFERROR(INDEX(STPP!$F$6:$F$4207,MATCH(C3709,STPP!$C$6:$C$4207,0)),"Not Found"))</f>
        <v/>
      </c>
      <c r="G3709" s="25" t="str">
        <f>IF(表1[[#This Row],[No Seri]]="","",表1[[#This Row],[Deskripsi Barang]]+表1[[#This Row],[Kuantitas]]-表1[[#This Row],[Satuan]])</f>
        <v/>
      </c>
      <c r="H3709" s="28"/>
      <c r="I3709" s="25" t="str">
        <f>IF(表1[[#This Row],[Tgl NPBG]]&gt;表1[[#This Row],[Peminta]],表1[[#This Row],[Tgl NPBG]]-表1[[#This Row],[Peminta]],"")</f>
        <v/>
      </c>
      <c r="J3709" s="31"/>
    </row>
    <row r="3710" s="12" customFormat="1" customHeight="1" spans="2:10">
      <c r="B3710" s="25"/>
      <c r="C3710" s="25"/>
      <c r="D3710" s="26" t="str" cm="1">
        <f t="array" ref="D3710">IF(C3710="","",IFERROR(INDEX(STPP!$D$6:$D$4207,MATCH(C3710,STPP!$C$6:$C$4207,0)),"Not Found"))</f>
        <v/>
      </c>
      <c r="E3710" s="27" t="str" cm="1">
        <f t="array" ref="E3710">IF(C3710="","",IFERROR(INDEX(STPP!$E$6:$E$4207,MATCH(C3710,STPP!$C$6:$C$4207,0)),"Not Found"))</f>
        <v/>
      </c>
      <c r="F3710" s="27" t="str" cm="1">
        <f t="array" ref="F3710">IF(C3710="","",IFERROR(INDEX(STPP!$F$6:$F$4207,MATCH(C3710,STPP!$C$6:$C$4207,0)),"Not Found"))</f>
        <v/>
      </c>
      <c r="G3710" s="25" t="str">
        <f>IF(表1[[#This Row],[No Seri]]="","",表1[[#This Row],[Deskripsi Barang]]+表1[[#This Row],[Kuantitas]]-表1[[#This Row],[Satuan]])</f>
        <v/>
      </c>
      <c r="H3710" s="28"/>
      <c r="I3710" s="25" t="str">
        <f>IF(表1[[#This Row],[Tgl NPBG]]&gt;表1[[#This Row],[Peminta]],表1[[#This Row],[Tgl NPBG]]-表1[[#This Row],[Peminta]],"")</f>
        <v/>
      </c>
      <c r="J3710" s="31"/>
    </row>
    <row r="3711" s="12" customFormat="1" customHeight="1" spans="2:10">
      <c r="B3711" s="25"/>
      <c r="C3711" s="25"/>
      <c r="D3711" s="26" t="str" cm="1">
        <f t="array" ref="D3711">IF(C3711="","",IFERROR(INDEX(STPP!$D$6:$D$4207,MATCH(C3711,STPP!$C$6:$C$4207,0)),"Not Found"))</f>
        <v/>
      </c>
      <c r="E3711" s="27" t="str" cm="1">
        <f t="array" ref="E3711">IF(C3711="","",IFERROR(INDEX(STPP!$E$6:$E$4207,MATCH(C3711,STPP!$C$6:$C$4207,0)),"Not Found"))</f>
        <v/>
      </c>
      <c r="F3711" s="27" t="str" cm="1">
        <f t="array" ref="F3711">IF(C3711="","",IFERROR(INDEX(STPP!$F$6:$F$4207,MATCH(C3711,STPP!$C$6:$C$4207,0)),"Not Found"))</f>
        <v/>
      </c>
      <c r="G3711" s="25" t="str">
        <f>IF(表1[[#This Row],[No Seri]]="","",表1[[#This Row],[Deskripsi Barang]]+表1[[#This Row],[Kuantitas]]-表1[[#This Row],[Satuan]])</f>
        <v/>
      </c>
      <c r="H3711" s="28"/>
      <c r="I3711" s="25" t="str">
        <f>IF(表1[[#This Row],[Tgl NPBG]]&gt;表1[[#This Row],[Peminta]],表1[[#This Row],[Tgl NPBG]]-表1[[#This Row],[Peminta]],"")</f>
        <v/>
      </c>
      <c r="J3711" s="31"/>
    </row>
    <row r="3712" s="12" customFormat="1" customHeight="1" spans="2:10">
      <c r="B3712" s="25"/>
      <c r="C3712" s="25"/>
      <c r="D3712" s="26" t="str" cm="1">
        <f t="array" ref="D3712">IF(C3712="","",IFERROR(INDEX(STPP!$D$6:$D$4207,MATCH(C3712,STPP!$C$6:$C$4207,0)),"Not Found"))</f>
        <v/>
      </c>
      <c r="E3712" s="27" t="str" cm="1">
        <f t="array" ref="E3712">IF(C3712="","",IFERROR(INDEX(STPP!$E$6:$E$4207,MATCH(C3712,STPP!$C$6:$C$4207,0)),"Not Found"))</f>
        <v/>
      </c>
      <c r="F3712" s="27" t="str" cm="1">
        <f t="array" ref="F3712">IF(C3712="","",IFERROR(INDEX(STPP!$F$6:$F$4207,MATCH(C3712,STPP!$C$6:$C$4207,0)),"Not Found"))</f>
        <v/>
      </c>
      <c r="G3712" s="25" t="str">
        <f>IF(表1[[#This Row],[No Seri]]="","",表1[[#This Row],[Deskripsi Barang]]+表1[[#This Row],[Kuantitas]]-表1[[#This Row],[Satuan]])</f>
        <v/>
      </c>
      <c r="H3712" s="28"/>
      <c r="I3712" s="25" t="str">
        <f>IF(表1[[#This Row],[Tgl NPBG]]&gt;表1[[#This Row],[Peminta]],表1[[#This Row],[Tgl NPBG]]-表1[[#This Row],[Peminta]],"")</f>
        <v/>
      </c>
      <c r="J3712" s="31"/>
    </row>
    <row r="3713" s="12" customFormat="1" customHeight="1" spans="2:10">
      <c r="B3713" s="25"/>
      <c r="C3713" s="25"/>
      <c r="D3713" s="26" t="str" cm="1">
        <f t="array" ref="D3713">IF(C3713="","",IFERROR(INDEX(STPP!$D$6:$D$4207,MATCH(C3713,STPP!$C$6:$C$4207,0)),"Not Found"))</f>
        <v/>
      </c>
      <c r="E3713" s="27" t="str" cm="1">
        <f t="array" ref="E3713">IF(C3713="","",IFERROR(INDEX(STPP!$E$6:$E$4207,MATCH(C3713,STPP!$C$6:$C$4207,0)),"Not Found"))</f>
        <v/>
      </c>
      <c r="F3713" s="27" t="str" cm="1">
        <f t="array" ref="F3713">IF(C3713="","",IFERROR(INDEX(STPP!$F$6:$F$4207,MATCH(C3713,STPP!$C$6:$C$4207,0)),"Not Found"))</f>
        <v/>
      </c>
      <c r="G3713" s="25" t="str">
        <f>IF(表1[[#This Row],[No Seri]]="","",表1[[#This Row],[Deskripsi Barang]]+表1[[#This Row],[Kuantitas]]-表1[[#This Row],[Satuan]])</f>
        <v/>
      </c>
      <c r="H3713" s="28"/>
      <c r="I3713" s="25" t="str">
        <f>IF(表1[[#This Row],[Tgl NPBG]]&gt;表1[[#This Row],[Peminta]],表1[[#This Row],[Tgl NPBG]]-表1[[#This Row],[Peminta]],"")</f>
        <v/>
      </c>
      <c r="J3713" s="31"/>
    </row>
    <row r="3714" s="12" customFormat="1" customHeight="1" spans="2:10">
      <c r="B3714" s="25"/>
      <c r="C3714" s="25"/>
      <c r="D3714" s="26" t="str" cm="1">
        <f t="array" ref="D3714">IF(C3714="","",IFERROR(INDEX(STPP!$D$6:$D$4207,MATCH(C3714,STPP!$C$6:$C$4207,0)),"Not Found"))</f>
        <v/>
      </c>
      <c r="E3714" s="27" t="str" cm="1">
        <f t="array" ref="E3714">IF(C3714="","",IFERROR(INDEX(STPP!$E$6:$E$4207,MATCH(C3714,STPP!$C$6:$C$4207,0)),"Not Found"))</f>
        <v/>
      </c>
      <c r="F3714" s="27" t="str" cm="1">
        <f t="array" ref="F3714">IF(C3714="","",IFERROR(INDEX(STPP!$F$6:$F$4207,MATCH(C3714,STPP!$C$6:$C$4207,0)),"Not Found"))</f>
        <v/>
      </c>
      <c r="G3714" s="25" t="str">
        <f>IF(表1[[#This Row],[No Seri]]="","",表1[[#This Row],[Deskripsi Barang]]+表1[[#This Row],[Kuantitas]]-表1[[#This Row],[Satuan]])</f>
        <v/>
      </c>
      <c r="H3714" s="28"/>
      <c r="I3714" s="25" t="str">
        <f>IF(表1[[#This Row],[Tgl NPBG]]&gt;表1[[#This Row],[Peminta]],表1[[#This Row],[Tgl NPBG]]-表1[[#This Row],[Peminta]],"")</f>
        <v/>
      </c>
      <c r="J3714" s="31"/>
    </row>
    <row r="3715" s="12" customFormat="1" customHeight="1" spans="2:10">
      <c r="B3715" s="25"/>
      <c r="C3715" s="25"/>
      <c r="D3715" s="26" t="str" cm="1">
        <f t="array" ref="D3715">IF(C3715="","",IFERROR(INDEX(STPP!$D$6:$D$4207,MATCH(C3715,STPP!$C$6:$C$4207,0)),"Not Found"))</f>
        <v/>
      </c>
      <c r="E3715" s="27" t="str" cm="1">
        <f t="array" ref="E3715">IF(C3715="","",IFERROR(INDEX(STPP!$E$6:$E$4207,MATCH(C3715,STPP!$C$6:$C$4207,0)),"Not Found"))</f>
        <v/>
      </c>
      <c r="F3715" s="27" t="str" cm="1">
        <f t="array" ref="F3715">IF(C3715="","",IFERROR(INDEX(STPP!$F$6:$F$4207,MATCH(C3715,STPP!$C$6:$C$4207,0)),"Not Found"))</f>
        <v/>
      </c>
      <c r="G3715" s="25" t="str">
        <f>IF(表1[[#This Row],[No Seri]]="","",表1[[#This Row],[Deskripsi Barang]]+表1[[#This Row],[Kuantitas]]-表1[[#This Row],[Satuan]])</f>
        <v/>
      </c>
      <c r="H3715" s="28"/>
      <c r="I3715" s="25" t="str">
        <f>IF(表1[[#This Row],[Tgl NPBG]]&gt;表1[[#This Row],[Peminta]],表1[[#This Row],[Tgl NPBG]]-表1[[#This Row],[Peminta]],"")</f>
        <v/>
      </c>
      <c r="J3715" s="31"/>
    </row>
    <row r="3716" s="12" customFormat="1" customHeight="1" spans="2:10">
      <c r="B3716" s="25"/>
      <c r="C3716" s="25"/>
      <c r="D3716" s="26" t="str" cm="1">
        <f t="array" ref="D3716">IF(C3716="","",IFERROR(INDEX(STPP!$D$6:$D$4207,MATCH(C3716,STPP!$C$6:$C$4207,0)),"Not Found"))</f>
        <v/>
      </c>
      <c r="E3716" s="27" t="str" cm="1">
        <f t="array" ref="E3716">IF(C3716="","",IFERROR(INDEX(STPP!$E$6:$E$4207,MATCH(C3716,STPP!$C$6:$C$4207,0)),"Not Found"))</f>
        <v/>
      </c>
      <c r="F3716" s="27" t="str" cm="1">
        <f t="array" ref="F3716">IF(C3716="","",IFERROR(INDEX(STPP!$F$6:$F$4207,MATCH(C3716,STPP!$C$6:$C$4207,0)),"Not Found"))</f>
        <v/>
      </c>
      <c r="G3716" s="25" t="str">
        <f>IF(表1[[#This Row],[No Seri]]="","",表1[[#This Row],[Deskripsi Barang]]+表1[[#This Row],[Kuantitas]]-表1[[#This Row],[Satuan]])</f>
        <v/>
      </c>
      <c r="H3716" s="28"/>
      <c r="I3716" s="25" t="str">
        <f>IF(表1[[#This Row],[Tgl NPBG]]&gt;表1[[#This Row],[Peminta]],表1[[#This Row],[Tgl NPBG]]-表1[[#This Row],[Peminta]],"")</f>
        <v/>
      </c>
      <c r="J3716" s="31"/>
    </row>
    <row r="3717" s="12" customFormat="1" customHeight="1" spans="2:10">
      <c r="B3717" s="25"/>
      <c r="C3717" s="25"/>
      <c r="D3717" s="26" t="str" cm="1">
        <f t="array" ref="D3717">IF(C3717="","",IFERROR(INDEX(STPP!$D$6:$D$4207,MATCH(C3717,STPP!$C$6:$C$4207,0)),"Not Found"))</f>
        <v/>
      </c>
      <c r="E3717" s="27" t="str" cm="1">
        <f t="array" ref="E3717">IF(C3717="","",IFERROR(INDEX(STPP!$E$6:$E$4207,MATCH(C3717,STPP!$C$6:$C$4207,0)),"Not Found"))</f>
        <v/>
      </c>
      <c r="F3717" s="27" t="str" cm="1">
        <f t="array" ref="F3717">IF(C3717="","",IFERROR(INDEX(STPP!$F$6:$F$4207,MATCH(C3717,STPP!$C$6:$C$4207,0)),"Not Found"))</f>
        <v/>
      </c>
      <c r="G3717" s="25" t="str">
        <f>IF(表1[[#This Row],[No Seri]]="","",表1[[#This Row],[Deskripsi Barang]]+表1[[#This Row],[Kuantitas]]-表1[[#This Row],[Satuan]])</f>
        <v/>
      </c>
      <c r="H3717" s="28"/>
      <c r="I3717" s="25" t="str">
        <f>IF(表1[[#This Row],[Tgl NPBG]]&gt;表1[[#This Row],[Peminta]],表1[[#This Row],[Tgl NPBG]]-表1[[#This Row],[Peminta]],"")</f>
        <v/>
      </c>
      <c r="J3717" s="31"/>
    </row>
    <row r="3718" s="12" customFormat="1" customHeight="1" spans="2:10">
      <c r="B3718" s="25"/>
      <c r="C3718" s="25"/>
      <c r="D3718" s="26" t="str" cm="1">
        <f t="array" ref="D3718">IF(C3718="","",IFERROR(INDEX(STPP!$D$6:$D$4207,MATCH(C3718,STPP!$C$6:$C$4207,0)),"Not Found"))</f>
        <v/>
      </c>
      <c r="E3718" s="27" t="str" cm="1">
        <f t="array" ref="E3718">IF(C3718="","",IFERROR(INDEX(STPP!$E$6:$E$4207,MATCH(C3718,STPP!$C$6:$C$4207,0)),"Not Found"))</f>
        <v/>
      </c>
      <c r="F3718" s="27" t="str" cm="1">
        <f t="array" ref="F3718">IF(C3718="","",IFERROR(INDEX(STPP!$F$6:$F$4207,MATCH(C3718,STPP!$C$6:$C$4207,0)),"Not Found"))</f>
        <v/>
      </c>
      <c r="G3718" s="25" t="str">
        <f>IF(表1[[#This Row],[No Seri]]="","",表1[[#This Row],[Deskripsi Barang]]+表1[[#This Row],[Kuantitas]]-表1[[#This Row],[Satuan]])</f>
        <v/>
      </c>
      <c r="H3718" s="28"/>
      <c r="I3718" s="25" t="str">
        <f>IF(表1[[#This Row],[Tgl NPBG]]&gt;表1[[#This Row],[Peminta]],表1[[#This Row],[Tgl NPBG]]-表1[[#This Row],[Peminta]],"")</f>
        <v/>
      </c>
      <c r="J3718" s="31"/>
    </row>
    <row r="3719" s="12" customFormat="1" customHeight="1" spans="2:10">
      <c r="B3719" s="25"/>
      <c r="C3719" s="25"/>
      <c r="D3719" s="26" t="str" cm="1">
        <f t="array" ref="D3719">IF(C3719="","",IFERROR(INDEX(STPP!$D$6:$D$4207,MATCH(C3719,STPP!$C$6:$C$4207,0)),"Not Found"))</f>
        <v/>
      </c>
      <c r="E3719" s="27" t="str" cm="1">
        <f t="array" ref="E3719">IF(C3719="","",IFERROR(INDEX(STPP!$E$6:$E$4207,MATCH(C3719,STPP!$C$6:$C$4207,0)),"Not Found"))</f>
        <v/>
      </c>
      <c r="F3719" s="27" t="str" cm="1">
        <f t="array" ref="F3719">IF(C3719="","",IFERROR(INDEX(STPP!$F$6:$F$4207,MATCH(C3719,STPP!$C$6:$C$4207,0)),"Not Found"))</f>
        <v/>
      </c>
      <c r="G3719" s="25" t="str">
        <f>IF(表1[[#This Row],[No Seri]]="","",表1[[#This Row],[Deskripsi Barang]]+表1[[#This Row],[Kuantitas]]-表1[[#This Row],[Satuan]])</f>
        <v/>
      </c>
      <c r="H3719" s="28"/>
      <c r="I3719" s="25" t="str">
        <f>IF(表1[[#This Row],[Tgl NPBG]]&gt;表1[[#This Row],[Peminta]],表1[[#This Row],[Tgl NPBG]]-表1[[#This Row],[Peminta]],"")</f>
        <v/>
      </c>
      <c r="J3719" s="31"/>
    </row>
    <row r="3720" s="12" customFormat="1" customHeight="1" spans="2:10">
      <c r="B3720" s="25"/>
      <c r="C3720" s="25"/>
      <c r="D3720" s="26" t="str" cm="1">
        <f t="array" ref="D3720">IF(C3720="","",IFERROR(INDEX(STPP!$D$6:$D$4207,MATCH(C3720,STPP!$C$6:$C$4207,0)),"Not Found"))</f>
        <v/>
      </c>
      <c r="E3720" s="27" t="str" cm="1">
        <f t="array" ref="E3720">IF(C3720="","",IFERROR(INDEX(STPP!$E$6:$E$4207,MATCH(C3720,STPP!$C$6:$C$4207,0)),"Not Found"))</f>
        <v/>
      </c>
      <c r="F3720" s="27" t="str" cm="1">
        <f t="array" ref="F3720">IF(C3720="","",IFERROR(INDEX(STPP!$F$6:$F$4207,MATCH(C3720,STPP!$C$6:$C$4207,0)),"Not Found"))</f>
        <v/>
      </c>
      <c r="G3720" s="25" t="str">
        <f>IF(表1[[#This Row],[No Seri]]="","",表1[[#This Row],[Deskripsi Barang]]+表1[[#This Row],[Kuantitas]]-表1[[#This Row],[Satuan]])</f>
        <v/>
      </c>
      <c r="H3720" s="28"/>
      <c r="I3720" s="25" t="str">
        <f>IF(表1[[#This Row],[Tgl NPBG]]&gt;表1[[#This Row],[Peminta]],表1[[#This Row],[Tgl NPBG]]-表1[[#This Row],[Peminta]],"")</f>
        <v/>
      </c>
      <c r="J3720" s="31"/>
    </row>
    <row r="3721" s="12" customFormat="1" customHeight="1" spans="2:10">
      <c r="B3721" s="25"/>
      <c r="C3721" s="25"/>
      <c r="D3721" s="26" t="str" cm="1">
        <f t="array" ref="D3721">IF(C3721="","",IFERROR(INDEX(STPP!$D$6:$D$4207,MATCH(C3721,STPP!$C$6:$C$4207,0)),"Not Found"))</f>
        <v/>
      </c>
      <c r="E3721" s="27" t="str" cm="1">
        <f t="array" ref="E3721">IF(C3721="","",IFERROR(INDEX(STPP!$E$6:$E$4207,MATCH(C3721,STPP!$C$6:$C$4207,0)),"Not Found"))</f>
        <v/>
      </c>
      <c r="F3721" s="27" t="str" cm="1">
        <f t="array" ref="F3721">IF(C3721="","",IFERROR(INDEX(STPP!$F$6:$F$4207,MATCH(C3721,STPP!$C$6:$C$4207,0)),"Not Found"))</f>
        <v/>
      </c>
      <c r="G3721" s="25" t="str">
        <f>IF(表1[[#This Row],[No Seri]]="","",表1[[#This Row],[Deskripsi Barang]]+表1[[#This Row],[Kuantitas]]-表1[[#This Row],[Satuan]])</f>
        <v/>
      </c>
      <c r="H3721" s="28"/>
      <c r="I3721" s="25" t="str">
        <f>IF(表1[[#This Row],[Tgl NPBG]]&gt;表1[[#This Row],[Peminta]],表1[[#This Row],[Tgl NPBG]]-表1[[#This Row],[Peminta]],"")</f>
        <v/>
      </c>
      <c r="J3721" s="31"/>
    </row>
    <row r="3722" s="12" customFormat="1" customHeight="1" spans="2:10">
      <c r="B3722" s="25"/>
      <c r="C3722" s="25"/>
      <c r="D3722" s="26" t="str" cm="1">
        <f t="array" ref="D3722">IF(C3722="","",IFERROR(INDEX(STPP!$D$6:$D$4207,MATCH(C3722,STPP!$C$6:$C$4207,0)),"Not Found"))</f>
        <v/>
      </c>
      <c r="E3722" s="27" t="str" cm="1">
        <f t="array" ref="E3722">IF(C3722="","",IFERROR(INDEX(STPP!$E$6:$E$4207,MATCH(C3722,STPP!$C$6:$C$4207,0)),"Not Found"))</f>
        <v/>
      </c>
      <c r="F3722" s="27" t="str" cm="1">
        <f t="array" ref="F3722">IF(C3722="","",IFERROR(INDEX(STPP!$F$6:$F$4207,MATCH(C3722,STPP!$C$6:$C$4207,0)),"Not Found"))</f>
        <v/>
      </c>
      <c r="G3722" s="25" t="str">
        <f>IF(表1[[#This Row],[No Seri]]="","",表1[[#This Row],[Deskripsi Barang]]+表1[[#This Row],[Kuantitas]]-表1[[#This Row],[Satuan]])</f>
        <v/>
      </c>
      <c r="H3722" s="28"/>
      <c r="I3722" s="25" t="str">
        <f>IF(表1[[#This Row],[Tgl NPBG]]&gt;表1[[#This Row],[Peminta]],表1[[#This Row],[Tgl NPBG]]-表1[[#This Row],[Peminta]],"")</f>
        <v/>
      </c>
      <c r="J3722" s="31"/>
    </row>
    <row r="3723" s="12" customFormat="1" customHeight="1" spans="2:10">
      <c r="B3723" s="25"/>
      <c r="C3723" s="25"/>
      <c r="D3723" s="26" t="str" cm="1">
        <f t="array" ref="D3723">IF(C3723="","",IFERROR(INDEX(STPP!$D$6:$D$4207,MATCH(C3723,STPP!$C$6:$C$4207,0)),"Not Found"))</f>
        <v/>
      </c>
      <c r="E3723" s="27" t="str" cm="1">
        <f t="array" ref="E3723">IF(C3723="","",IFERROR(INDEX(STPP!$E$6:$E$4207,MATCH(C3723,STPP!$C$6:$C$4207,0)),"Not Found"))</f>
        <v/>
      </c>
      <c r="F3723" s="27" t="str" cm="1">
        <f t="array" ref="F3723">IF(C3723="","",IFERROR(INDEX(STPP!$F$6:$F$4207,MATCH(C3723,STPP!$C$6:$C$4207,0)),"Not Found"))</f>
        <v/>
      </c>
      <c r="G3723" s="25" t="str">
        <f>IF(表1[[#This Row],[No Seri]]="","",表1[[#This Row],[Deskripsi Barang]]+表1[[#This Row],[Kuantitas]]-表1[[#This Row],[Satuan]])</f>
        <v/>
      </c>
      <c r="H3723" s="28"/>
      <c r="I3723" s="25" t="str">
        <f>IF(表1[[#This Row],[Tgl NPBG]]&gt;表1[[#This Row],[Peminta]],表1[[#This Row],[Tgl NPBG]]-表1[[#This Row],[Peminta]],"")</f>
        <v/>
      </c>
      <c r="J3723" s="31"/>
    </row>
    <row r="3724" s="12" customFormat="1" customHeight="1" spans="2:10">
      <c r="B3724" s="25"/>
      <c r="C3724" s="25"/>
      <c r="D3724" s="26" t="str" cm="1">
        <f t="array" ref="D3724">IF(C3724="","",IFERROR(INDEX(STPP!$D$6:$D$4207,MATCH(C3724,STPP!$C$6:$C$4207,0)),"Not Found"))</f>
        <v/>
      </c>
      <c r="E3724" s="27" t="str" cm="1">
        <f t="array" ref="E3724">IF(C3724="","",IFERROR(INDEX(STPP!$E$6:$E$4207,MATCH(C3724,STPP!$C$6:$C$4207,0)),"Not Found"))</f>
        <v/>
      </c>
      <c r="F3724" s="27" t="str" cm="1">
        <f t="array" ref="F3724">IF(C3724="","",IFERROR(INDEX(STPP!$F$6:$F$4207,MATCH(C3724,STPP!$C$6:$C$4207,0)),"Not Found"))</f>
        <v/>
      </c>
      <c r="G3724" s="25" t="str">
        <f>IF(表1[[#This Row],[No Seri]]="","",表1[[#This Row],[Deskripsi Barang]]+表1[[#This Row],[Kuantitas]]-表1[[#This Row],[Satuan]])</f>
        <v/>
      </c>
      <c r="H3724" s="28"/>
      <c r="I3724" s="25" t="str">
        <f>IF(表1[[#This Row],[Tgl NPBG]]&gt;表1[[#This Row],[Peminta]],表1[[#This Row],[Tgl NPBG]]-表1[[#This Row],[Peminta]],"")</f>
        <v/>
      </c>
      <c r="J3724" s="31"/>
    </row>
    <row r="3725" s="12" customFormat="1" customHeight="1" spans="2:10">
      <c r="B3725" s="25"/>
      <c r="C3725" s="25"/>
      <c r="D3725" s="26" t="str" cm="1">
        <f t="array" ref="D3725">IF(C3725="","",IFERROR(INDEX(STPP!$D$6:$D$4207,MATCH(C3725,STPP!$C$6:$C$4207,0)),"Not Found"))</f>
        <v/>
      </c>
      <c r="E3725" s="27" t="str" cm="1">
        <f t="array" ref="E3725">IF(C3725="","",IFERROR(INDEX(STPP!$E$6:$E$4207,MATCH(C3725,STPP!$C$6:$C$4207,0)),"Not Found"))</f>
        <v/>
      </c>
      <c r="F3725" s="27" t="str" cm="1">
        <f t="array" ref="F3725">IF(C3725="","",IFERROR(INDEX(STPP!$F$6:$F$4207,MATCH(C3725,STPP!$C$6:$C$4207,0)),"Not Found"))</f>
        <v/>
      </c>
      <c r="G3725" s="25" t="str">
        <f>IF(表1[[#This Row],[No Seri]]="","",表1[[#This Row],[Deskripsi Barang]]+表1[[#This Row],[Kuantitas]]-表1[[#This Row],[Satuan]])</f>
        <v/>
      </c>
      <c r="H3725" s="28"/>
      <c r="I3725" s="25" t="str">
        <f>IF(表1[[#This Row],[Tgl NPBG]]&gt;表1[[#This Row],[Peminta]],表1[[#This Row],[Tgl NPBG]]-表1[[#This Row],[Peminta]],"")</f>
        <v/>
      </c>
      <c r="J3725" s="31"/>
    </row>
    <row r="3726" s="12" customFormat="1" customHeight="1" spans="2:10">
      <c r="B3726" s="25"/>
      <c r="C3726" s="25"/>
      <c r="D3726" s="26" t="str" cm="1">
        <f t="array" ref="D3726">IF(C3726="","",IFERROR(INDEX(STPP!$D$6:$D$4207,MATCH(C3726,STPP!$C$6:$C$4207,0)),"Not Found"))</f>
        <v/>
      </c>
      <c r="E3726" s="27" t="str" cm="1">
        <f t="array" ref="E3726">IF(C3726="","",IFERROR(INDEX(STPP!$E$6:$E$4207,MATCH(C3726,STPP!$C$6:$C$4207,0)),"Not Found"))</f>
        <v/>
      </c>
      <c r="F3726" s="27" t="str" cm="1">
        <f t="array" ref="F3726">IF(C3726="","",IFERROR(INDEX(STPP!$F$6:$F$4207,MATCH(C3726,STPP!$C$6:$C$4207,0)),"Not Found"))</f>
        <v/>
      </c>
      <c r="G3726" s="25" t="str">
        <f>IF(表1[[#This Row],[No Seri]]="","",表1[[#This Row],[Deskripsi Barang]]+表1[[#This Row],[Kuantitas]]-表1[[#This Row],[Satuan]])</f>
        <v/>
      </c>
      <c r="H3726" s="28"/>
      <c r="I3726" s="25" t="str">
        <f>IF(表1[[#This Row],[Tgl NPBG]]&gt;表1[[#This Row],[Peminta]],表1[[#This Row],[Tgl NPBG]]-表1[[#This Row],[Peminta]],"")</f>
        <v/>
      </c>
      <c r="J3726" s="31"/>
    </row>
    <row r="3727" s="12" customFormat="1" customHeight="1" spans="2:10">
      <c r="B3727" s="25"/>
      <c r="C3727" s="25"/>
      <c r="D3727" s="26" t="str" cm="1">
        <f t="array" ref="D3727">IF(C3727="","",IFERROR(INDEX(STPP!$D$6:$D$4207,MATCH(C3727,STPP!$C$6:$C$4207,0)),"Not Found"))</f>
        <v/>
      </c>
      <c r="E3727" s="27" t="str" cm="1">
        <f t="array" ref="E3727">IF(C3727="","",IFERROR(INDEX(STPP!$E$6:$E$4207,MATCH(C3727,STPP!$C$6:$C$4207,0)),"Not Found"))</f>
        <v/>
      </c>
      <c r="F3727" s="27" t="str" cm="1">
        <f t="array" ref="F3727">IF(C3727="","",IFERROR(INDEX(STPP!$F$6:$F$4207,MATCH(C3727,STPP!$C$6:$C$4207,0)),"Not Found"))</f>
        <v/>
      </c>
      <c r="G3727" s="25" t="str">
        <f>IF(表1[[#This Row],[No Seri]]="","",表1[[#This Row],[Deskripsi Barang]]+表1[[#This Row],[Kuantitas]]-表1[[#This Row],[Satuan]])</f>
        <v/>
      </c>
      <c r="H3727" s="28"/>
      <c r="I3727" s="25" t="str">
        <f>IF(表1[[#This Row],[Tgl NPBG]]&gt;表1[[#This Row],[Peminta]],表1[[#This Row],[Tgl NPBG]]-表1[[#This Row],[Peminta]],"")</f>
        <v/>
      </c>
      <c r="J3727" s="31"/>
    </row>
    <row r="3728" s="12" customFormat="1" customHeight="1" spans="2:10">
      <c r="B3728" s="25"/>
      <c r="C3728" s="25"/>
      <c r="D3728" s="26" t="str" cm="1">
        <f t="array" ref="D3728">IF(C3728="","",IFERROR(INDEX(STPP!$D$6:$D$4207,MATCH(C3728,STPP!$C$6:$C$4207,0)),"Not Found"))</f>
        <v/>
      </c>
      <c r="E3728" s="27" t="str" cm="1">
        <f t="array" ref="E3728">IF(C3728="","",IFERROR(INDEX(STPP!$E$6:$E$4207,MATCH(C3728,STPP!$C$6:$C$4207,0)),"Not Found"))</f>
        <v/>
      </c>
      <c r="F3728" s="27" t="str" cm="1">
        <f t="array" ref="F3728">IF(C3728="","",IFERROR(INDEX(STPP!$F$6:$F$4207,MATCH(C3728,STPP!$C$6:$C$4207,0)),"Not Found"))</f>
        <v/>
      </c>
      <c r="G3728" s="25" t="str">
        <f>IF(表1[[#This Row],[No Seri]]="","",表1[[#This Row],[Deskripsi Barang]]+表1[[#This Row],[Kuantitas]]-表1[[#This Row],[Satuan]])</f>
        <v/>
      </c>
      <c r="H3728" s="28"/>
      <c r="I3728" s="25" t="str">
        <f>IF(表1[[#This Row],[Tgl NPBG]]&gt;表1[[#This Row],[Peminta]],表1[[#This Row],[Tgl NPBG]]-表1[[#This Row],[Peminta]],"")</f>
        <v/>
      </c>
      <c r="J3728" s="31"/>
    </row>
    <row r="3729" s="12" customFormat="1" customHeight="1" spans="2:10">
      <c r="B3729" s="25"/>
      <c r="C3729" s="25"/>
      <c r="D3729" s="26" t="str" cm="1">
        <f t="array" ref="D3729">IF(C3729="","",IFERROR(INDEX(STPP!$D$6:$D$4207,MATCH(C3729,STPP!$C$6:$C$4207,0)),"Not Found"))</f>
        <v/>
      </c>
      <c r="E3729" s="27" t="str" cm="1">
        <f t="array" ref="E3729">IF(C3729="","",IFERROR(INDEX(STPP!$E$6:$E$4207,MATCH(C3729,STPP!$C$6:$C$4207,0)),"Not Found"))</f>
        <v/>
      </c>
      <c r="F3729" s="27" t="str" cm="1">
        <f t="array" ref="F3729">IF(C3729="","",IFERROR(INDEX(STPP!$F$6:$F$4207,MATCH(C3729,STPP!$C$6:$C$4207,0)),"Not Found"))</f>
        <v/>
      </c>
      <c r="G3729" s="25" t="str">
        <f>IF(表1[[#This Row],[No Seri]]="","",表1[[#This Row],[Deskripsi Barang]]+表1[[#This Row],[Kuantitas]]-表1[[#This Row],[Satuan]])</f>
        <v/>
      </c>
      <c r="H3729" s="28"/>
      <c r="I3729" s="25" t="str">
        <f>IF(表1[[#This Row],[Tgl NPBG]]&gt;表1[[#This Row],[Peminta]],表1[[#This Row],[Tgl NPBG]]-表1[[#This Row],[Peminta]],"")</f>
        <v/>
      </c>
      <c r="J3729" s="31"/>
    </row>
    <row r="3730" s="12" customFormat="1" customHeight="1" spans="2:10">
      <c r="B3730" s="25"/>
      <c r="C3730" s="25"/>
      <c r="D3730" s="26" t="str" cm="1">
        <f t="array" ref="D3730">IF(C3730="","",IFERROR(INDEX(STPP!$D$6:$D$4207,MATCH(C3730,STPP!$C$6:$C$4207,0)),"Not Found"))</f>
        <v/>
      </c>
      <c r="E3730" s="27" t="str" cm="1">
        <f t="array" ref="E3730">IF(C3730="","",IFERROR(INDEX(STPP!$E$6:$E$4207,MATCH(C3730,STPP!$C$6:$C$4207,0)),"Not Found"))</f>
        <v/>
      </c>
      <c r="F3730" s="27" t="str" cm="1">
        <f t="array" ref="F3730">IF(C3730="","",IFERROR(INDEX(STPP!$F$6:$F$4207,MATCH(C3730,STPP!$C$6:$C$4207,0)),"Not Found"))</f>
        <v/>
      </c>
      <c r="G3730" s="25" t="str">
        <f>IF(表1[[#This Row],[No Seri]]="","",表1[[#This Row],[Deskripsi Barang]]+表1[[#This Row],[Kuantitas]]-表1[[#This Row],[Satuan]])</f>
        <v/>
      </c>
      <c r="H3730" s="28"/>
      <c r="I3730" s="25" t="str">
        <f>IF(表1[[#This Row],[Tgl NPBG]]&gt;表1[[#This Row],[Peminta]],表1[[#This Row],[Tgl NPBG]]-表1[[#This Row],[Peminta]],"")</f>
        <v/>
      </c>
      <c r="J3730" s="31"/>
    </row>
    <row r="3731" s="12" customFormat="1" customHeight="1" spans="2:10">
      <c r="B3731" s="25"/>
      <c r="C3731" s="25"/>
      <c r="D3731" s="26" t="str" cm="1">
        <f t="array" ref="D3731">IF(C3731="","",IFERROR(INDEX(STPP!$D$6:$D$4207,MATCH(C3731,STPP!$C$6:$C$4207,0)),"Not Found"))</f>
        <v/>
      </c>
      <c r="E3731" s="27" t="str" cm="1">
        <f t="array" ref="E3731">IF(C3731="","",IFERROR(INDEX(STPP!$E$6:$E$4207,MATCH(C3731,STPP!$C$6:$C$4207,0)),"Not Found"))</f>
        <v/>
      </c>
      <c r="F3731" s="27" t="str" cm="1">
        <f t="array" ref="F3731">IF(C3731="","",IFERROR(INDEX(STPP!$F$6:$F$4207,MATCH(C3731,STPP!$C$6:$C$4207,0)),"Not Found"))</f>
        <v/>
      </c>
      <c r="G3731" s="25" t="str">
        <f>IF(表1[[#This Row],[No Seri]]="","",表1[[#This Row],[Deskripsi Barang]]+表1[[#This Row],[Kuantitas]]-表1[[#This Row],[Satuan]])</f>
        <v/>
      </c>
      <c r="H3731" s="28"/>
      <c r="I3731" s="25" t="str">
        <f>IF(表1[[#This Row],[Tgl NPBG]]&gt;表1[[#This Row],[Peminta]],表1[[#This Row],[Tgl NPBG]]-表1[[#This Row],[Peminta]],"")</f>
        <v/>
      </c>
      <c r="J3731" s="31"/>
    </row>
    <row r="3732" s="12" customFormat="1" customHeight="1" spans="2:10">
      <c r="B3732" s="25"/>
      <c r="C3732" s="25"/>
      <c r="D3732" s="26" t="str" cm="1">
        <f t="array" ref="D3732">IF(C3732="","",IFERROR(INDEX(STPP!$D$6:$D$4207,MATCH(C3732,STPP!$C$6:$C$4207,0)),"Not Found"))</f>
        <v/>
      </c>
      <c r="E3732" s="27" t="str" cm="1">
        <f t="array" ref="E3732">IF(C3732="","",IFERROR(INDEX(STPP!$E$6:$E$4207,MATCH(C3732,STPP!$C$6:$C$4207,0)),"Not Found"))</f>
        <v/>
      </c>
      <c r="F3732" s="27" t="str" cm="1">
        <f t="array" ref="F3732">IF(C3732="","",IFERROR(INDEX(STPP!$F$6:$F$4207,MATCH(C3732,STPP!$C$6:$C$4207,0)),"Not Found"))</f>
        <v/>
      </c>
      <c r="G3732" s="25" t="str">
        <f>IF(表1[[#This Row],[No Seri]]="","",表1[[#This Row],[Deskripsi Barang]]+表1[[#This Row],[Kuantitas]]-表1[[#This Row],[Satuan]])</f>
        <v/>
      </c>
      <c r="H3732" s="28"/>
      <c r="I3732" s="25" t="str">
        <f>IF(表1[[#This Row],[Tgl NPBG]]&gt;表1[[#This Row],[Peminta]],表1[[#This Row],[Tgl NPBG]]-表1[[#This Row],[Peminta]],"")</f>
        <v/>
      </c>
      <c r="J3732" s="31"/>
    </row>
    <row r="3733" s="12" customFormat="1" customHeight="1" spans="2:10">
      <c r="B3733" s="25"/>
      <c r="C3733" s="25"/>
      <c r="D3733" s="26" t="str" cm="1">
        <f t="array" ref="D3733">IF(C3733="","",IFERROR(INDEX(STPP!$D$6:$D$4207,MATCH(C3733,STPP!$C$6:$C$4207,0)),"Not Found"))</f>
        <v/>
      </c>
      <c r="E3733" s="27" t="str" cm="1">
        <f t="array" ref="E3733">IF(C3733="","",IFERROR(INDEX(STPP!$E$6:$E$4207,MATCH(C3733,STPP!$C$6:$C$4207,0)),"Not Found"))</f>
        <v/>
      </c>
      <c r="F3733" s="27" t="str" cm="1">
        <f t="array" ref="F3733">IF(C3733="","",IFERROR(INDEX(STPP!$F$6:$F$4207,MATCH(C3733,STPP!$C$6:$C$4207,0)),"Not Found"))</f>
        <v/>
      </c>
      <c r="G3733" s="25" t="str">
        <f>IF(表1[[#This Row],[No Seri]]="","",表1[[#This Row],[Deskripsi Barang]]+表1[[#This Row],[Kuantitas]]-表1[[#This Row],[Satuan]])</f>
        <v/>
      </c>
      <c r="H3733" s="28"/>
      <c r="I3733" s="25" t="str">
        <f>IF(表1[[#This Row],[Tgl NPBG]]&gt;表1[[#This Row],[Peminta]],表1[[#This Row],[Tgl NPBG]]-表1[[#This Row],[Peminta]],"")</f>
        <v/>
      </c>
      <c r="J3733" s="31"/>
    </row>
    <row r="3734" s="12" customFormat="1" customHeight="1" spans="2:10">
      <c r="B3734" s="25"/>
      <c r="C3734" s="25"/>
      <c r="D3734" s="26" t="str" cm="1">
        <f t="array" ref="D3734">IF(C3734="","",IFERROR(INDEX(STPP!$D$6:$D$4207,MATCH(C3734,STPP!$C$6:$C$4207,0)),"Not Found"))</f>
        <v/>
      </c>
      <c r="E3734" s="27" t="str" cm="1">
        <f t="array" ref="E3734">IF(C3734="","",IFERROR(INDEX(STPP!$E$6:$E$4207,MATCH(C3734,STPP!$C$6:$C$4207,0)),"Not Found"))</f>
        <v/>
      </c>
      <c r="F3734" s="27" t="str" cm="1">
        <f t="array" ref="F3734">IF(C3734="","",IFERROR(INDEX(STPP!$F$6:$F$4207,MATCH(C3734,STPP!$C$6:$C$4207,0)),"Not Found"))</f>
        <v/>
      </c>
      <c r="G3734" s="25" t="str">
        <f>IF(表1[[#This Row],[No Seri]]="","",表1[[#This Row],[Deskripsi Barang]]+表1[[#This Row],[Kuantitas]]-表1[[#This Row],[Satuan]])</f>
        <v/>
      </c>
      <c r="H3734" s="28"/>
      <c r="I3734" s="25" t="str">
        <f>IF(表1[[#This Row],[Tgl NPBG]]&gt;表1[[#This Row],[Peminta]],表1[[#This Row],[Tgl NPBG]]-表1[[#This Row],[Peminta]],"")</f>
        <v/>
      </c>
      <c r="J3734" s="31"/>
    </row>
    <row r="3735" s="12" customFormat="1" customHeight="1" spans="2:10">
      <c r="B3735" s="25"/>
      <c r="C3735" s="25"/>
      <c r="D3735" s="26" t="str" cm="1">
        <f t="array" ref="D3735">IF(C3735="","",IFERROR(INDEX(STPP!$D$6:$D$4207,MATCH(C3735,STPP!$C$6:$C$4207,0)),"Not Found"))</f>
        <v/>
      </c>
      <c r="E3735" s="27" t="str" cm="1">
        <f t="array" ref="E3735">IF(C3735="","",IFERROR(INDEX(STPP!$E$6:$E$4207,MATCH(C3735,STPP!$C$6:$C$4207,0)),"Not Found"))</f>
        <v/>
      </c>
      <c r="F3735" s="27" t="str" cm="1">
        <f t="array" ref="F3735">IF(C3735="","",IFERROR(INDEX(STPP!$F$6:$F$4207,MATCH(C3735,STPP!$C$6:$C$4207,0)),"Not Found"))</f>
        <v/>
      </c>
      <c r="G3735" s="25" t="str">
        <f>IF(表1[[#This Row],[No Seri]]="","",表1[[#This Row],[Deskripsi Barang]]+表1[[#This Row],[Kuantitas]]-表1[[#This Row],[Satuan]])</f>
        <v/>
      </c>
      <c r="H3735" s="28"/>
      <c r="I3735" s="25" t="str">
        <f>IF(表1[[#This Row],[Tgl NPBG]]&gt;表1[[#This Row],[Peminta]],表1[[#This Row],[Tgl NPBG]]-表1[[#This Row],[Peminta]],"")</f>
        <v/>
      </c>
      <c r="J3735" s="31"/>
    </row>
    <row r="3736" s="12" customFormat="1" customHeight="1" spans="2:10">
      <c r="B3736" s="25"/>
      <c r="C3736" s="25"/>
      <c r="D3736" s="26" t="str" cm="1">
        <f t="array" ref="D3736">IF(C3736="","",IFERROR(INDEX(STPP!$D$6:$D$4207,MATCH(C3736,STPP!$C$6:$C$4207,0)),"Not Found"))</f>
        <v/>
      </c>
      <c r="E3736" s="27" t="str" cm="1">
        <f t="array" ref="E3736">IF(C3736="","",IFERROR(INDEX(STPP!$E$6:$E$4207,MATCH(C3736,STPP!$C$6:$C$4207,0)),"Not Found"))</f>
        <v/>
      </c>
      <c r="F3736" s="27" t="str" cm="1">
        <f t="array" ref="F3736">IF(C3736="","",IFERROR(INDEX(STPP!$F$6:$F$4207,MATCH(C3736,STPP!$C$6:$C$4207,0)),"Not Found"))</f>
        <v/>
      </c>
      <c r="G3736" s="25" t="str">
        <f>IF(表1[[#This Row],[No Seri]]="","",表1[[#This Row],[Deskripsi Barang]]+表1[[#This Row],[Kuantitas]]-表1[[#This Row],[Satuan]])</f>
        <v/>
      </c>
      <c r="H3736" s="28"/>
      <c r="I3736" s="25" t="str">
        <f>IF(表1[[#This Row],[Tgl NPBG]]&gt;表1[[#This Row],[Peminta]],表1[[#This Row],[Tgl NPBG]]-表1[[#This Row],[Peminta]],"")</f>
        <v/>
      </c>
      <c r="J3736" s="31"/>
    </row>
    <row r="3737" s="12" customFormat="1" customHeight="1" spans="2:10">
      <c r="B3737" s="25"/>
      <c r="C3737" s="25"/>
      <c r="D3737" s="26" t="str" cm="1">
        <f t="array" ref="D3737">IF(C3737="","",IFERROR(INDEX(STPP!$D$6:$D$4207,MATCH(C3737,STPP!$C$6:$C$4207,0)),"Not Found"))</f>
        <v/>
      </c>
      <c r="E3737" s="27" t="str" cm="1">
        <f t="array" ref="E3737">IF(C3737="","",IFERROR(INDEX(STPP!$E$6:$E$4207,MATCH(C3737,STPP!$C$6:$C$4207,0)),"Not Found"))</f>
        <v/>
      </c>
      <c r="F3737" s="27" t="str" cm="1">
        <f t="array" ref="F3737">IF(C3737="","",IFERROR(INDEX(STPP!$F$6:$F$4207,MATCH(C3737,STPP!$C$6:$C$4207,0)),"Not Found"))</f>
        <v/>
      </c>
      <c r="G3737" s="25" t="str">
        <f>IF(表1[[#This Row],[No Seri]]="","",表1[[#This Row],[Deskripsi Barang]]+表1[[#This Row],[Kuantitas]]-表1[[#This Row],[Satuan]])</f>
        <v/>
      </c>
      <c r="H3737" s="28"/>
      <c r="I3737" s="25" t="str">
        <f>IF(表1[[#This Row],[Tgl NPBG]]&gt;表1[[#This Row],[Peminta]],表1[[#This Row],[Tgl NPBG]]-表1[[#This Row],[Peminta]],"")</f>
        <v/>
      </c>
      <c r="J3737" s="31"/>
    </row>
    <row r="3738" s="12" customFormat="1" customHeight="1" spans="2:10">
      <c r="B3738" s="25"/>
      <c r="C3738" s="25"/>
      <c r="D3738" s="26" t="str" cm="1">
        <f t="array" ref="D3738">IF(C3738="","",IFERROR(INDEX(STPP!$D$6:$D$4207,MATCH(C3738,STPP!$C$6:$C$4207,0)),"Not Found"))</f>
        <v/>
      </c>
      <c r="E3738" s="27" t="str" cm="1">
        <f t="array" ref="E3738">IF(C3738="","",IFERROR(INDEX(STPP!$E$6:$E$4207,MATCH(C3738,STPP!$C$6:$C$4207,0)),"Not Found"))</f>
        <v/>
      </c>
      <c r="F3738" s="27" t="str" cm="1">
        <f t="array" ref="F3738">IF(C3738="","",IFERROR(INDEX(STPP!$F$6:$F$4207,MATCH(C3738,STPP!$C$6:$C$4207,0)),"Not Found"))</f>
        <v/>
      </c>
      <c r="G3738" s="25" t="str">
        <f>IF(表1[[#This Row],[No Seri]]="","",表1[[#This Row],[Deskripsi Barang]]+表1[[#This Row],[Kuantitas]]-表1[[#This Row],[Satuan]])</f>
        <v/>
      </c>
      <c r="H3738" s="28"/>
      <c r="I3738" s="25" t="str">
        <f>IF(表1[[#This Row],[Tgl NPBG]]&gt;表1[[#This Row],[Peminta]],表1[[#This Row],[Tgl NPBG]]-表1[[#This Row],[Peminta]],"")</f>
        <v/>
      </c>
      <c r="J3738" s="31"/>
    </row>
    <row r="3739" s="12" customFormat="1" customHeight="1" spans="2:10">
      <c r="B3739" s="25"/>
      <c r="C3739" s="25"/>
      <c r="D3739" s="26" t="str" cm="1">
        <f t="array" ref="D3739">IF(C3739="","",IFERROR(INDEX(STPP!$D$6:$D$4207,MATCH(C3739,STPP!$C$6:$C$4207,0)),"Not Found"))</f>
        <v/>
      </c>
      <c r="E3739" s="27" t="str" cm="1">
        <f t="array" ref="E3739">IF(C3739="","",IFERROR(INDEX(STPP!$E$6:$E$4207,MATCH(C3739,STPP!$C$6:$C$4207,0)),"Not Found"))</f>
        <v/>
      </c>
      <c r="F3739" s="27" t="str" cm="1">
        <f t="array" ref="F3739">IF(C3739="","",IFERROR(INDEX(STPP!$F$6:$F$4207,MATCH(C3739,STPP!$C$6:$C$4207,0)),"Not Found"))</f>
        <v/>
      </c>
      <c r="G3739" s="25" t="str">
        <f>IF(表1[[#This Row],[No Seri]]="","",表1[[#This Row],[Deskripsi Barang]]+表1[[#This Row],[Kuantitas]]-表1[[#This Row],[Satuan]])</f>
        <v/>
      </c>
      <c r="H3739" s="28"/>
      <c r="I3739" s="25" t="str">
        <f>IF(表1[[#This Row],[Tgl NPBG]]&gt;表1[[#This Row],[Peminta]],表1[[#This Row],[Tgl NPBG]]-表1[[#This Row],[Peminta]],"")</f>
        <v/>
      </c>
      <c r="J3739" s="31"/>
    </row>
    <row r="3740" s="12" customFormat="1" customHeight="1" spans="2:10">
      <c r="B3740" s="25"/>
      <c r="C3740" s="25"/>
      <c r="D3740" s="26" t="str" cm="1">
        <f t="array" ref="D3740">IF(C3740="","",IFERROR(INDEX(STPP!$D$6:$D$4207,MATCH(C3740,STPP!$C$6:$C$4207,0)),"Not Found"))</f>
        <v/>
      </c>
      <c r="E3740" s="27" t="str" cm="1">
        <f t="array" ref="E3740">IF(C3740="","",IFERROR(INDEX(STPP!$E$6:$E$4207,MATCH(C3740,STPP!$C$6:$C$4207,0)),"Not Found"))</f>
        <v/>
      </c>
      <c r="F3740" s="27" t="str" cm="1">
        <f t="array" ref="F3740">IF(C3740="","",IFERROR(INDEX(STPP!$F$6:$F$4207,MATCH(C3740,STPP!$C$6:$C$4207,0)),"Not Found"))</f>
        <v/>
      </c>
      <c r="G3740" s="25" t="str">
        <f>IF(表1[[#This Row],[No Seri]]="","",表1[[#This Row],[Deskripsi Barang]]+表1[[#This Row],[Kuantitas]]-表1[[#This Row],[Satuan]])</f>
        <v/>
      </c>
      <c r="H3740" s="28"/>
      <c r="I3740" s="25" t="str">
        <f>IF(表1[[#This Row],[Tgl NPBG]]&gt;表1[[#This Row],[Peminta]],表1[[#This Row],[Tgl NPBG]]-表1[[#This Row],[Peminta]],"")</f>
        <v/>
      </c>
      <c r="J3740" s="31"/>
    </row>
    <row r="3741" s="12" customFormat="1" customHeight="1" spans="2:10">
      <c r="B3741" s="25"/>
      <c r="C3741" s="25"/>
      <c r="D3741" s="26" t="str" cm="1">
        <f t="array" ref="D3741">IF(C3741="","",IFERROR(INDEX(STPP!$D$6:$D$4207,MATCH(C3741,STPP!$C$6:$C$4207,0)),"Not Found"))</f>
        <v/>
      </c>
      <c r="E3741" s="27" t="str" cm="1">
        <f t="array" ref="E3741">IF(C3741="","",IFERROR(INDEX(STPP!$E$6:$E$4207,MATCH(C3741,STPP!$C$6:$C$4207,0)),"Not Found"))</f>
        <v/>
      </c>
      <c r="F3741" s="27" t="str" cm="1">
        <f t="array" ref="F3741">IF(C3741="","",IFERROR(INDEX(STPP!$F$6:$F$4207,MATCH(C3741,STPP!$C$6:$C$4207,0)),"Not Found"))</f>
        <v/>
      </c>
      <c r="G3741" s="25" t="str">
        <f>IF(表1[[#This Row],[No Seri]]="","",表1[[#This Row],[Deskripsi Barang]]+表1[[#This Row],[Kuantitas]]-表1[[#This Row],[Satuan]])</f>
        <v/>
      </c>
      <c r="H3741" s="28"/>
      <c r="I3741" s="25" t="str">
        <f>IF(表1[[#This Row],[Tgl NPBG]]&gt;表1[[#This Row],[Peminta]],表1[[#This Row],[Tgl NPBG]]-表1[[#This Row],[Peminta]],"")</f>
        <v/>
      </c>
      <c r="J3741" s="31"/>
    </row>
    <row r="3742" s="12" customFormat="1" customHeight="1" spans="2:10">
      <c r="B3742" s="25"/>
      <c r="C3742" s="25"/>
      <c r="D3742" s="26" t="str" cm="1">
        <f t="array" ref="D3742">IF(C3742="","",IFERROR(INDEX(STPP!$D$6:$D$4207,MATCH(C3742,STPP!$C$6:$C$4207,0)),"Not Found"))</f>
        <v/>
      </c>
      <c r="E3742" s="27" t="str" cm="1">
        <f t="array" ref="E3742">IF(C3742="","",IFERROR(INDEX(STPP!$E$6:$E$4207,MATCH(C3742,STPP!$C$6:$C$4207,0)),"Not Found"))</f>
        <v/>
      </c>
      <c r="F3742" s="27" t="str" cm="1">
        <f t="array" ref="F3742">IF(C3742="","",IFERROR(INDEX(STPP!$F$6:$F$4207,MATCH(C3742,STPP!$C$6:$C$4207,0)),"Not Found"))</f>
        <v/>
      </c>
      <c r="G3742" s="25" t="str">
        <f>IF(表1[[#This Row],[No Seri]]="","",表1[[#This Row],[Deskripsi Barang]]+表1[[#This Row],[Kuantitas]]-表1[[#This Row],[Satuan]])</f>
        <v/>
      </c>
      <c r="H3742" s="28"/>
      <c r="I3742" s="25" t="str">
        <f>IF(表1[[#This Row],[Tgl NPBG]]&gt;表1[[#This Row],[Peminta]],表1[[#This Row],[Tgl NPBG]]-表1[[#This Row],[Peminta]],"")</f>
        <v/>
      </c>
      <c r="J3742" s="31"/>
    </row>
    <row r="3743" s="12" customFormat="1" customHeight="1" spans="2:10">
      <c r="B3743" s="25"/>
      <c r="C3743" s="25"/>
      <c r="D3743" s="26" t="str" cm="1">
        <f t="array" ref="D3743">IF(C3743="","",IFERROR(INDEX(STPP!$D$6:$D$4207,MATCH(C3743,STPP!$C$6:$C$4207,0)),"Not Found"))</f>
        <v/>
      </c>
      <c r="E3743" s="27" t="str" cm="1">
        <f t="array" ref="E3743">IF(C3743="","",IFERROR(INDEX(STPP!$E$6:$E$4207,MATCH(C3743,STPP!$C$6:$C$4207,0)),"Not Found"))</f>
        <v/>
      </c>
      <c r="F3743" s="27" t="str" cm="1">
        <f t="array" ref="F3743">IF(C3743="","",IFERROR(INDEX(STPP!$F$6:$F$4207,MATCH(C3743,STPP!$C$6:$C$4207,0)),"Not Found"))</f>
        <v/>
      </c>
      <c r="G3743" s="25" t="str">
        <f>IF(表1[[#This Row],[No Seri]]="","",表1[[#This Row],[Deskripsi Barang]]+表1[[#This Row],[Kuantitas]]-表1[[#This Row],[Satuan]])</f>
        <v/>
      </c>
      <c r="H3743" s="28"/>
      <c r="I3743" s="25" t="str">
        <f>IF(表1[[#This Row],[Tgl NPBG]]&gt;表1[[#This Row],[Peminta]],表1[[#This Row],[Tgl NPBG]]-表1[[#This Row],[Peminta]],"")</f>
        <v/>
      </c>
      <c r="J3743" s="31"/>
    </row>
    <row r="3744" s="12" customFormat="1" customHeight="1" spans="2:10">
      <c r="B3744" s="25"/>
      <c r="C3744" s="25"/>
      <c r="D3744" s="26" t="str" cm="1">
        <f t="array" ref="D3744">IF(C3744="","",IFERROR(INDEX(STPP!$D$6:$D$4207,MATCH(C3744,STPP!$C$6:$C$4207,0)),"Not Found"))</f>
        <v/>
      </c>
      <c r="E3744" s="27" t="str" cm="1">
        <f t="array" ref="E3744">IF(C3744="","",IFERROR(INDEX(STPP!$E$6:$E$4207,MATCH(C3744,STPP!$C$6:$C$4207,0)),"Not Found"))</f>
        <v/>
      </c>
      <c r="F3744" s="27" t="str" cm="1">
        <f t="array" ref="F3744">IF(C3744="","",IFERROR(INDEX(STPP!$F$6:$F$4207,MATCH(C3744,STPP!$C$6:$C$4207,0)),"Not Found"))</f>
        <v/>
      </c>
      <c r="G3744" s="25" t="str">
        <f>IF(表1[[#This Row],[No Seri]]="","",表1[[#This Row],[Deskripsi Barang]]+表1[[#This Row],[Kuantitas]]-表1[[#This Row],[Satuan]])</f>
        <v/>
      </c>
      <c r="H3744" s="28"/>
      <c r="I3744" s="25" t="str">
        <f>IF(表1[[#This Row],[Tgl NPBG]]&gt;表1[[#This Row],[Peminta]],表1[[#This Row],[Tgl NPBG]]-表1[[#This Row],[Peminta]],"")</f>
        <v/>
      </c>
      <c r="J3744" s="31"/>
    </row>
    <row r="3745" s="12" customFormat="1" customHeight="1" spans="2:10">
      <c r="B3745" s="25"/>
      <c r="C3745" s="25"/>
      <c r="D3745" s="26" t="str" cm="1">
        <f t="array" ref="D3745">IF(C3745="","",IFERROR(INDEX(STPP!$D$6:$D$4207,MATCH(C3745,STPP!$C$6:$C$4207,0)),"Not Found"))</f>
        <v/>
      </c>
      <c r="E3745" s="27" t="str" cm="1">
        <f t="array" ref="E3745">IF(C3745="","",IFERROR(INDEX(STPP!$E$6:$E$4207,MATCH(C3745,STPP!$C$6:$C$4207,0)),"Not Found"))</f>
        <v/>
      </c>
      <c r="F3745" s="27" t="str" cm="1">
        <f t="array" ref="F3745">IF(C3745="","",IFERROR(INDEX(STPP!$F$6:$F$4207,MATCH(C3745,STPP!$C$6:$C$4207,0)),"Not Found"))</f>
        <v/>
      </c>
      <c r="G3745" s="25" t="str">
        <f>IF(表1[[#This Row],[No Seri]]="","",表1[[#This Row],[Deskripsi Barang]]+表1[[#This Row],[Kuantitas]]-表1[[#This Row],[Satuan]])</f>
        <v/>
      </c>
      <c r="H3745" s="28"/>
      <c r="I3745" s="25" t="str">
        <f>IF(表1[[#This Row],[Tgl NPBG]]&gt;表1[[#This Row],[Peminta]],表1[[#This Row],[Tgl NPBG]]-表1[[#This Row],[Peminta]],"")</f>
        <v/>
      </c>
      <c r="J3745" s="31"/>
    </row>
    <row r="3746" s="12" customFormat="1" customHeight="1" spans="2:10">
      <c r="B3746" s="25"/>
      <c r="C3746" s="25"/>
      <c r="D3746" s="26" t="str" cm="1">
        <f t="array" ref="D3746">IF(C3746="","",IFERROR(INDEX(STPP!$D$6:$D$4207,MATCH(C3746,STPP!$C$6:$C$4207,0)),"Not Found"))</f>
        <v/>
      </c>
      <c r="E3746" s="27" t="str" cm="1">
        <f t="array" ref="E3746">IF(C3746="","",IFERROR(INDEX(STPP!$E$6:$E$4207,MATCH(C3746,STPP!$C$6:$C$4207,0)),"Not Found"))</f>
        <v/>
      </c>
      <c r="F3746" s="27" t="str" cm="1">
        <f t="array" ref="F3746">IF(C3746="","",IFERROR(INDEX(STPP!$F$6:$F$4207,MATCH(C3746,STPP!$C$6:$C$4207,0)),"Not Found"))</f>
        <v/>
      </c>
      <c r="G3746" s="25" t="str">
        <f>IF(表1[[#This Row],[No Seri]]="","",表1[[#This Row],[Deskripsi Barang]]+表1[[#This Row],[Kuantitas]]-表1[[#This Row],[Satuan]])</f>
        <v/>
      </c>
      <c r="H3746" s="28"/>
      <c r="I3746" s="25" t="str">
        <f>IF(表1[[#This Row],[Tgl NPBG]]&gt;表1[[#This Row],[Peminta]],表1[[#This Row],[Tgl NPBG]]-表1[[#This Row],[Peminta]],"")</f>
        <v/>
      </c>
      <c r="J3746" s="31"/>
    </row>
    <row r="3747" s="12" customFormat="1" customHeight="1" spans="2:10">
      <c r="B3747" s="25"/>
      <c r="C3747" s="25"/>
      <c r="D3747" s="26" t="str" cm="1">
        <f t="array" ref="D3747">IF(C3747="","",IFERROR(INDEX(STPP!$D$6:$D$4207,MATCH(C3747,STPP!$C$6:$C$4207,0)),"Not Found"))</f>
        <v/>
      </c>
      <c r="E3747" s="27" t="str" cm="1">
        <f t="array" ref="E3747">IF(C3747="","",IFERROR(INDEX(STPP!$E$6:$E$4207,MATCH(C3747,STPP!$C$6:$C$4207,0)),"Not Found"))</f>
        <v/>
      </c>
      <c r="F3747" s="27" t="str" cm="1">
        <f t="array" ref="F3747">IF(C3747="","",IFERROR(INDEX(STPP!$F$6:$F$4207,MATCH(C3747,STPP!$C$6:$C$4207,0)),"Not Found"))</f>
        <v/>
      </c>
      <c r="G3747" s="25" t="str">
        <f>IF(表1[[#This Row],[No Seri]]="","",表1[[#This Row],[Deskripsi Barang]]+表1[[#This Row],[Kuantitas]]-表1[[#This Row],[Satuan]])</f>
        <v/>
      </c>
      <c r="H3747" s="28"/>
      <c r="I3747" s="25" t="str">
        <f>IF(表1[[#This Row],[Tgl NPBG]]&gt;表1[[#This Row],[Peminta]],表1[[#This Row],[Tgl NPBG]]-表1[[#This Row],[Peminta]],"")</f>
        <v/>
      </c>
      <c r="J3747" s="31"/>
    </row>
    <row r="3748" s="12" customFormat="1" customHeight="1" spans="2:10">
      <c r="B3748" s="25"/>
      <c r="C3748" s="25"/>
      <c r="D3748" s="26" t="str" cm="1">
        <f t="array" ref="D3748">IF(C3748="","",IFERROR(INDEX(STPP!$D$6:$D$4207,MATCH(C3748,STPP!$C$6:$C$4207,0)),"Not Found"))</f>
        <v/>
      </c>
      <c r="E3748" s="27" t="str" cm="1">
        <f t="array" ref="E3748">IF(C3748="","",IFERROR(INDEX(STPP!$E$6:$E$4207,MATCH(C3748,STPP!$C$6:$C$4207,0)),"Not Found"))</f>
        <v/>
      </c>
      <c r="F3748" s="27" t="str" cm="1">
        <f t="array" ref="F3748">IF(C3748="","",IFERROR(INDEX(STPP!$F$6:$F$4207,MATCH(C3748,STPP!$C$6:$C$4207,0)),"Not Found"))</f>
        <v/>
      </c>
      <c r="G3748" s="25" t="str">
        <f>IF(表1[[#This Row],[No Seri]]="","",表1[[#This Row],[Deskripsi Barang]]+表1[[#This Row],[Kuantitas]]-表1[[#This Row],[Satuan]])</f>
        <v/>
      </c>
      <c r="H3748" s="28"/>
      <c r="I3748" s="25" t="str">
        <f>IF(表1[[#This Row],[Tgl NPBG]]&gt;表1[[#This Row],[Peminta]],表1[[#This Row],[Tgl NPBG]]-表1[[#This Row],[Peminta]],"")</f>
        <v/>
      </c>
      <c r="J3748" s="31"/>
    </row>
    <row r="3749" s="12" customFormat="1" customHeight="1" spans="2:10">
      <c r="B3749" s="25"/>
      <c r="C3749" s="25"/>
      <c r="D3749" s="26" t="str" cm="1">
        <f t="array" ref="D3749">IF(C3749="","",IFERROR(INDEX(STPP!$D$6:$D$4207,MATCH(C3749,STPP!$C$6:$C$4207,0)),"Not Found"))</f>
        <v/>
      </c>
      <c r="E3749" s="27" t="str" cm="1">
        <f t="array" ref="E3749">IF(C3749="","",IFERROR(INDEX(STPP!$E$6:$E$4207,MATCH(C3749,STPP!$C$6:$C$4207,0)),"Not Found"))</f>
        <v/>
      </c>
      <c r="F3749" s="27" t="str" cm="1">
        <f t="array" ref="F3749">IF(C3749="","",IFERROR(INDEX(STPP!$F$6:$F$4207,MATCH(C3749,STPP!$C$6:$C$4207,0)),"Not Found"))</f>
        <v/>
      </c>
      <c r="G3749" s="25" t="str">
        <f>IF(表1[[#This Row],[No Seri]]="","",表1[[#This Row],[Deskripsi Barang]]+表1[[#This Row],[Kuantitas]]-表1[[#This Row],[Satuan]])</f>
        <v/>
      </c>
      <c r="H3749" s="28"/>
      <c r="I3749" s="25" t="str">
        <f>IF(表1[[#This Row],[Tgl NPBG]]&gt;表1[[#This Row],[Peminta]],表1[[#This Row],[Tgl NPBG]]-表1[[#This Row],[Peminta]],"")</f>
        <v/>
      </c>
      <c r="J3749" s="31"/>
    </row>
    <row r="3750" s="12" customFormat="1" customHeight="1" spans="2:10">
      <c r="B3750" s="25"/>
      <c r="C3750" s="25"/>
      <c r="D3750" s="26" t="str" cm="1">
        <f t="array" ref="D3750">IF(C3750="","",IFERROR(INDEX(STPP!$D$6:$D$4207,MATCH(C3750,STPP!$C$6:$C$4207,0)),"Not Found"))</f>
        <v/>
      </c>
      <c r="E3750" s="27" t="str" cm="1">
        <f t="array" ref="E3750">IF(C3750="","",IFERROR(INDEX(STPP!$E$6:$E$4207,MATCH(C3750,STPP!$C$6:$C$4207,0)),"Not Found"))</f>
        <v/>
      </c>
      <c r="F3750" s="27" t="str" cm="1">
        <f t="array" ref="F3750">IF(C3750="","",IFERROR(INDEX(STPP!$F$6:$F$4207,MATCH(C3750,STPP!$C$6:$C$4207,0)),"Not Found"))</f>
        <v/>
      </c>
      <c r="G3750" s="25" t="str">
        <f>IF(表1[[#This Row],[No Seri]]="","",表1[[#This Row],[Deskripsi Barang]]+表1[[#This Row],[Kuantitas]]-表1[[#This Row],[Satuan]])</f>
        <v/>
      </c>
      <c r="H3750" s="28"/>
      <c r="I3750" s="25" t="str">
        <f>IF(表1[[#This Row],[Tgl NPBG]]&gt;表1[[#This Row],[Peminta]],表1[[#This Row],[Tgl NPBG]]-表1[[#This Row],[Peminta]],"")</f>
        <v/>
      </c>
      <c r="J3750" s="31"/>
    </row>
    <row r="3751" s="12" customFormat="1" customHeight="1" spans="2:10">
      <c r="B3751" s="25"/>
      <c r="C3751" s="25"/>
      <c r="D3751" s="26" t="str" cm="1">
        <f t="array" ref="D3751">IF(C3751="","",IFERROR(INDEX(STPP!$D$6:$D$4207,MATCH(C3751,STPP!$C$6:$C$4207,0)),"Not Found"))</f>
        <v/>
      </c>
      <c r="E3751" s="27" t="str" cm="1">
        <f t="array" ref="E3751">IF(C3751="","",IFERROR(INDEX(STPP!$E$6:$E$4207,MATCH(C3751,STPP!$C$6:$C$4207,0)),"Not Found"))</f>
        <v/>
      </c>
      <c r="F3751" s="27" t="str" cm="1">
        <f t="array" ref="F3751">IF(C3751="","",IFERROR(INDEX(STPP!$F$6:$F$4207,MATCH(C3751,STPP!$C$6:$C$4207,0)),"Not Found"))</f>
        <v/>
      </c>
      <c r="G3751" s="25" t="str">
        <f>IF(表1[[#This Row],[No Seri]]="","",表1[[#This Row],[Deskripsi Barang]]+表1[[#This Row],[Kuantitas]]-表1[[#This Row],[Satuan]])</f>
        <v/>
      </c>
      <c r="H3751" s="28"/>
      <c r="I3751" s="25" t="str">
        <f>IF(表1[[#This Row],[Tgl NPBG]]&gt;表1[[#This Row],[Peminta]],表1[[#This Row],[Tgl NPBG]]-表1[[#This Row],[Peminta]],"")</f>
        <v/>
      </c>
      <c r="J3751" s="31"/>
    </row>
    <row r="3752" s="12" customFormat="1" customHeight="1" spans="2:10">
      <c r="B3752" s="25"/>
      <c r="C3752" s="25"/>
      <c r="D3752" s="26" t="str" cm="1">
        <f t="array" ref="D3752">IF(C3752="","",IFERROR(INDEX(STPP!$D$6:$D$4207,MATCH(C3752,STPP!$C$6:$C$4207,0)),"Not Found"))</f>
        <v/>
      </c>
      <c r="E3752" s="27" t="str" cm="1">
        <f t="array" ref="E3752">IF(C3752="","",IFERROR(INDEX(STPP!$E$6:$E$4207,MATCH(C3752,STPP!$C$6:$C$4207,0)),"Not Found"))</f>
        <v/>
      </c>
      <c r="F3752" s="27" t="str" cm="1">
        <f t="array" ref="F3752">IF(C3752="","",IFERROR(INDEX(STPP!$F$6:$F$4207,MATCH(C3752,STPP!$C$6:$C$4207,0)),"Not Found"))</f>
        <v/>
      </c>
      <c r="G3752" s="25" t="str">
        <f>IF(表1[[#This Row],[No Seri]]="","",表1[[#This Row],[Deskripsi Barang]]+表1[[#This Row],[Kuantitas]]-表1[[#This Row],[Satuan]])</f>
        <v/>
      </c>
      <c r="H3752" s="28"/>
      <c r="I3752" s="25" t="str">
        <f>IF(表1[[#This Row],[Tgl NPBG]]&gt;表1[[#This Row],[Peminta]],表1[[#This Row],[Tgl NPBG]]-表1[[#This Row],[Peminta]],"")</f>
        <v/>
      </c>
      <c r="J3752" s="31"/>
    </row>
    <row r="3753" s="12" customFormat="1" customHeight="1" spans="2:10">
      <c r="B3753" s="25"/>
      <c r="C3753" s="25"/>
      <c r="D3753" s="26" t="str" cm="1">
        <f t="array" ref="D3753">IF(C3753="","",IFERROR(INDEX(STPP!$D$6:$D$4207,MATCH(C3753,STPP!$C$6:$C$4207,0)),"Not Found"))</f>
        <v/>
      </c>
      <c r="E3753" s="27" t="str" cm="1">
        <f t="array" ref="E3753">IF(C3753="","",IFERROR(INDEX(STPP!$E$6:$E$4207,MATCH(C3753,STPP!$C$6:$C$4207,0)),"Not Found"))</f>
        <v/>
      </c>
      <c r="F3753" s="27" t="str" cm="1">
        <f t="array" ref="F3753">IF(C3753="","",IFERROR(INDEX(STPP!$F$6:$F$4207,MATCH(C3753,STPP!$C$6:$C$4207,0)),"Not Found"))</f>
        <v/>
      </c>
      <c r="G3753" s="25" t="str">
        <f>IF(表1[[#This Row],[No Seri]]="","",表1[[#This Row],[Deskripsi Barang]]+表1[[#This Row],[Kuantitas]]-表1[[#This Row],[Satuan]])</f>
        <v/>
      </c>
      <c r="H3753" s="28"/>
      <c r="I3753" s="25" t="str">
        <f>IF(表1[[#This Row],[Tgl NPBG]]&gt;表1[[#This Row],[Peminta]],表1[[#This Row],[Tgl NPBG]]-表1[[#This Row],[Peminta]],"")</f>
        <v/>
      </c>
      <c r="J3753" s="31"/>
    </row>
    <row r="3754" s="12" customFormat="1" customHeight="1" spans="2:10">
      <c r="B3754" s="25"/>
      <c r="C3754" s="25"/>
      <c r="D3754" s="26" t="str" cm="1">
        <f t="array" ref="D3754">IF(C3754="","",IFERROR(INDEX(STPP!$D$6:$D$4207,MATCH(C3754,STPP!$C$6:$C$4207,0)),"Not Found"))</f>
        <v/>
      </c>
      <c r="E3754" s="27" t="str" cm="1">
        <f t="array" ref="E3754">IF(C3754="","",IFERROR(INDEX(STPP!$E$6:$E$4207,MATCH(C3754,STPP!$C$6:$C$4207,0)),"Not Found"))</f>
        <v/>
      </c>
      <c r="F3754" s="27" t="str" cm="1">
        <f t="array" ref="F3754">IF(C3754="","",IFERROR(INDEX(STPP!$F$6:$F$4207,MATCH(C3754,STPP!$C$6:$C$4207,0)),"Not Found"))</f>
        <v/>
      </c>
      <c r="G3754" s="25" t="str">
        <f>IF(表1[[#This Row],[No Seri]]="","",表1[[#This Row],[Deskripsi Barang]]+表1[[#This Row],[Kuantitas]]-表1[[#This Row],[Satuan]])</f>
        <v/>
      </c>
      <c r="H3754" s="28"/>
      <c r="I3754" s="25" t="str">
        <f>IF(表1[[#This Row],[Tgl NPBG]]&gt;表1[[#This Row],[Peminta]],表1[[#This Row],[Tgl NPBG]]-表1[[#This Row],[Peminta]],"")</f>
        <v/>
      </c>
      <c r="J3754" s="31"/>
    </row>
    <row r="3755" s="12" customFormat="1" customHeight="1" spans="2:10">
      <c r="B3755" s="25"/>
      <c r="C3755" s="25"/>
      <c r="D3755" s="26" t="str" cm="1">
        <f t="array" ref="D3755">IF(C3755="","",IFERROR(INDEX(STPP!$D$6:$D$4207,MATCH(C3755,STPP!$C$6:$C$4207,0)),"Not Found"))</f>
        <v/>
      </c>
      <c r="E3755" s="27" t="str" cm="1">
        <f t="array" ref="E3755">IF(C3755="","",IFERROR(INDEX(STPP!$E$6:$E$4207,MATCH(C3755,STPP!$C$6:$C$4207,0)),"Not Found"))</f>
        <v/>
      </c>
      <c r="F3755" s="27" t="str" cm="1">
        <f t="array" ref="F3755">IF(C3755="","",IFERROR(INDEX(STPP!$F$6:$F$4207,MATCH(C3755,STPP!$C$6:$C$4207,0)),"Not Found"))</f>
        <v/>
      </c>
      <c r="G3755" s="25" t="str">
        <f>IF(表1[[#This Row],[No Seri]]="","",表1[[#This Row],[Deskripsi Barang]]+表1[[#This Row],[Kuantitas]]-表1[[#This Row],[Satuan]])</f>
        <v/>
      </c>
      <c r="H3755" s="28"/>
      <c r="I3755" s="25" t="str">
        <f>IF(表1[[#This Row],[Tgl NPBG]]&gt;表1[[#This Row],[Peminta]],表1[[#This Row],[Tgl NPBG]]-表1[[#This Row],[Peminta]],"")</f>
        <v/>
      </c>
      <c r="J3755" s="31"/>
    </row>
    <row r="3756" s="12" customFormat="1" customHeight="1" spans="2:10">
      <c r="B3756" s="25"/>
      <c r="C3756" s="25"/>
      <c r="D3756" s="26" t="str" cm="1">
        <f t="array" ref="D3756">IF(C3756="","",IFERROR(INDEX(STPP!$D$6:$D$4207,MATCH(C3756,STPP!$C$6:$C$4207,0)),"Not Found"))</f>
        <v/>
      </c>
      <c r="E3756" s="27" t="str" cm="1">
        <f t="array" ref="E3756">IF(C3756="","",IFERROR(INDEX(STPP!$E$6:$E$4207,MATCH(C3756,STPP!$C$6:$C$4207,0)),"Not Found"))</f>
        <v/>
      </c>
      <c r="F3756" s="27" t="str" cm="1">
        <f t="array" ref="F3756">IF(C3756="","",IFERROR(INDEX(STPP!$F$6:$F$4207,MATCH(C3756,STPP!$C$6:$C$4207,0)),"Not Found"))</f>
        <v/>
      </c>
      <c r="G3756" s="25" t="str">
        <f>IF(表1[[#This Row],[No Seri]]="","",表1[[#This Row],[Deskripsi Barang]]+表1[[#This Row],[Kuantitas]]-表1[[#This Row],[Satuan]])</f>
        <v/>
      </c>
      <c r="H3756" s="28"/>
      <c r="I3756" s="25" t="str">
        <f>IF(表1[[#This Row],[Tgl NPBG]]&gt;表1[[#This Row],[Peminta]],表1[[#This Row],[Tgl NPBG]]-表1[[#This Row],[Peminta]],"")</f>
        <v/>
      </c>
      <c r="J3756" s="31"/>
    </row>
    <row r="3757" s="12" customFormat="1" customHeight="1" spans="2:10">
      <c r="B3757" s="25"/>
      <c r="C3757" s="25"/>
      <c r="D3757" s="26" t="str" cm="1">
        <f t="array" ref="D3757">IF(C3757="","",IFERROR(INDEX(STPP!$D$6:$D$4207,MATCH(C3757,STPP!$C$6:$C$4207,0)),"Not Found"))</f>
        <v/>
      </c>
      <c r="E3757" s="27" t="str" cm="1">
        <f t="array" ref="E3757">IF(C3757="","",IFERROR(INDEX(STPP!$E$6:$E$4207,MATCH(C3757,STPP!$C$6:$C$4207,0)),"Not Found"))</f>
        <v/>
      </c>
      <c r="F3757" s="27" t="str" cm="1">
        <f t="array" ref="F3757">IF(C3757="","",IFERROR(INDEX(STPP!$F$6:$F$4207,MATCH(C3757,STPP!$C$6:$C$4207,0)),"Not Found"))</f>
        <v/>
      </c>
      <c r="G3757" s="25" t="str">
        <f>IF(表1[[#This Row],[No Seri]]="","",表1[[#This Row],[Deskripsi Barang]]+表1[[#This Row],[Kuantitas]]-表1[[#This Row],[Satuan]])</f>
        <v/>
      </c>
      <c r="H3757" s="28"/>
      <c r="I3757" s="25" t="str">
        <f>IF(表1[[#This Row],[Tgl NPBG]]&gt;表1[[#This Row],[Peminta]],表1[[#This Row],[Tgl NPBG]]-表1[[#This Row],[Peminta]],"")</f>
        <v/>
      </c>
      <c r="J3757" s="31"/>
    </row>
    <row r="3758" s="12" customFormat="1" customHeight="1" spans="2:10">
      <c r="B3758" s="25"/>
      <c r="C3758" s="25"/>
      <c r="D3758" s="26" t="str" cm="1">
        <f t="array" ref="D3758">IF(C3758="","",IFERROR(INDEX(STPP!$D$6:$D$4207,MATCH(C3758,STPP!$C$6:$C$4207,0)),"Not Found"))</f>
        <v/>
      </c>
      <c r="E3758" s="27" t="str" cm="1">
        <f t="array" ref="E3758">IF(C3758="","",IFERROR(INDEX(STPP!$E$6:$E$4207,MATCH(C3758,STPP!$C$6:$C$4207,0)),"Not Found"))</f>
        <v/>
      </c>
      <c r="F3758" s="27" t="str" cm="1">
        <f t="array" ref="F3758">IF(C3758="","",IFERROR(INDEX(STPP!$F$6:$F$4207,MATCH(C3758,STPP!$C$6:$C$4207,0)),"Not Found"))</f>
        <v/>
      </c>
      <c r="G3758" s="25" t="str">
        <f>IF(表1[[#This Row],[No Seri]]="","",表1[[#This Row],[Deskripsi Barang]]+表1[[#This Row],[Kuantitas]]-表1[[#This Row],[Satuan]])</f>
        <v/>
      </c>
      <c r="H3758" s="28"/>
      <c r="I3758" s="25" t="str">
        <f>IF(表1[[#This Row],[Tgl NPBG]]&gt;表1[[#This Row],[Peminta]],表1[[#This Row],[Tgl NPBG]]-表1[[#This Row],[Peminta]],"")</f>
        <v/>
      </c>
      <c r="J3758" s="31"/>
    </row>
    <row r="3759" s="12" customFormat="1" customHeight="1" spans="2:10">
      <c r="B3759" s="25"/>
      <c r="C3759" s="25"/>
      <c r="D3759" s="26" t="str" cm="1">
        <f t="array" ref="D3759">IF(C3759="","",IFERROR(INDEX(STPP!$D$6:$D$4207,MATCH(C3759,STPP!$C$6:$C$4207,0)),"Not Found"))</f>
        <v/>
      </c>
      <c r="E3759" s="27" t="str" cm="1">
        <f t="array" ref="E3759">IF(C3759="","",IFERROR(INDEX(STPP!$E$6:$E$4207,MATCH(C3759,STPP!$C$6:$C$4207,0)),"Not Found"))</f>
        <v/>
      </c>
      <c r="F3759" s="27" t="str" cm="1">
        <f t="array" ref="F3759">IF(C3759="","",IFERROR(INDEX(STPP!$F$6:$F$4207,MATCH(C3759,STPP!$C$6:$C$4207,0)),"Not Found"))</f>
        <v/>
      </c>
      <c r="G3759" s="25" t="str">
        <f>IF(表1[[#This Row],[No Seri]]="","",表1[[#This Row],[Deskripsi Barang]]+表1[[#This Row],[Kuantitas]]-表1[[#This Row],[Satuan]])</f>
        <v/>
      </c>
      <c r="H3759" s="28"/>
      <c r="I3759" s="25" t="str">
        <f>IF(表1[[#This Row],[Tgl NPBG]]&gt;表1[[#This Row],[Peminta]],表1[[#This Row],[Tgl NPBG]]-表1[[#This Row],[Peminta]],"")</f>
        <v/>
      </c>
      <c r="J3759" s="31"/>
    </row>
    <row r="3760" s="12" customFormat="1" customHeight="1" spans="2:10">
      <c r="B3760" s="25"/>
      <c r="C3760" s="25"/>
      <c r="D3760" s="26" t="str" cm="1">
        <f t="array" ref="D3760">IF(C3760="","",IFERROR(INDEX(STPP!$D$6:$D$4207,MATCH(C3760,STPP!$C$6:$C$4207,0)),"Not Found"))</f>
        <v/>
      </c>
      <c r="E3760" s="27" t="str" cm="1">
        <f t="array" ref="E3760">IF(C3760="","",IFERROR(INDEX(STPP!$E$6:$E$4207,MATCH(C3760,STPP!$C$6:$C$4207,0)),"Not Found"))</f>
        <v/>
      </c>
      <c r="F3760" s="27" t="str" cm="1">
        <f t="array" ref="F3760">IF(C3760="","",IFERROR(INDEX(STPP!$F$6:$F$4207,MATCH(C3760,STPP!$C$6:$C$4207,0)),"Not Found"))</f>
        <v/>
      </c>
      <c r="G3760" s="25" t="str">
        <f>IF(表1[[#This Row],[No Seri]]="","",表1[[#This Row],[Deskripsi Barang]]+表1[[#This Row],[Kuantitas]]-表1[[#This Row],[Satuan]])</f>
        <v/>
      </c>
      <c r="H3760" s="28"/>
      <c r="I3760" s="25" t="str">
        <f>IF(表1[[#This Row],[Tgl NPBG]]&gt;表1[[#This Row],[Peminta]],表1[[#This Row],[Tgl NPBG]]-表1[[#This Row],[Peminta]],"")</f>
        <v/>
      </c>
      <c r="J3760" s="31"/>
    </row>
    <row r="3761" s="12" customFormat="1" customHeight="1" spans="2:10">
      <c r="B3761" s="25"/>
      <c r="C3761" s="25"/>
      <c r="D3761" s="26" t="str" cm="1">
        <f t="array" ref="D3761">IF(C3761="","",IFERROR(INDEX(STPP!$D$6:$D$4207,MATCH(C3761,STPP!$C$6:$C$4207,0)),"Not Found"))</f>
        <v/>
      </c>
      <c r="E3761" s="27" t="str" cm="1">
        <f t="array" ref="E3761">IF(C3761="","",IFERROR(INDEX(STPP!$E$6:$E$4207,MATCH(C3761,STPP!$C$6:$C$4207,0)),"Not Found"))</f>
        <v/>
      </c>
      <c r="F3761" s="27" t="str" cm="1">
        <f t="array" ref="F3761">IF(C3761="","",IFERROR(INDEX(STPP!$F$6:$F$4207,MATCH(C3761,STPP!$C$6:$C$4207,0)),"Not Found"))</f>
        <v/>
      </c>
      <c r="G3761" s="25" t="str">
        <f>IF(表1[[#This Row],[No Seri]]="","",表1[[#This Row],[Deskripsi Barang]]+表1[[#This Row],[Kuantitas]]-表1[[#This Row],[Satuan]])</f>
        <v/>
      </c>
      <c r="H3761" s="28"/>
      <c r="I3761" s="25" t="str">
        <f>IF(表1[[#This Row],[Tgl NPBG]]&gt;表1[[#This Row],[Peminta]],表1[[#This Row],[Tgl NPBG]]-表1[[#This Row],[Peminta]],"")</f>
        <v/>
      </c>
      <c r="J3761" s="31"/>
    </row>
    <row r="3762" s="12" customFormat="1" customHeight="1" spans="2:10">
      <c r="B3762" s="25"/>
      <c r="C3762" s="25"/>
      <c r="D3762" s="26" t="str" cm="1">
        <f t="array" ref="D3762">IF(C3762="","",IFERROR(INDEX(STPP!$D$6:$D$4207,MATCH(C3762,STPP!$C$6:$C$4207,0)),"Not Found"))</f>
        <v/>
      </c>
      <c r="E3762" s="27" t="str" cm="1">
        <f t="array" ref="E3762">IF(C3762="","",IFERROR(INDEX(STPP!$E$6:$E$4207,MATCH(C3762,STPP!$C$6:$C$4207,0)),"Not Found"))</f>
        <v/>
      </c>
      <c r="F3762" s="27" t="str" cm="1">
        <f t="array" ref="F3762">IF(C3762="","",IFERROR(INDEX(STPP!$F$6:$F$4207,MATCH(C3762,STPP!$C$6:$C$4207,0)),"Not Found"))</f>
        <v/>
      </c>
      <c r="G3762" s="25" t="str">
        <f>IF(表1[[#This Row],[No Seri]]="","",表1[[#This Row],[Deskripsi Barang]]+表1[[#This Row],[Kuantitas]]-表1[[#This Row],[Satuan]])</f>
        <v/>
      </c>
      <c r="H3762" s="28"/>
      <c r="I3762" s="25" t="str">
        <f>IF(表1[[#This Row],[Tgl NPBG]]&gt;表1[[#This Row],[Peminta]],表1[[#This Row],[Tgl NPBG]]-表1[[#This Row],[Peminta]],"")</f>
        <v/>
      </c>
      <c r="J3762" s="31"/>
    </row>
    <row r="3763" s="12" customFormat="1" customHeight="1" spans="2:10">
      <c r="B3763" s="25"/>
      <c r="C3763" s="25"/>
      <c r="D3763" s="26" t="str" cm="1">
        <f t="array" ref="D3763">IF(C3763="","",IFERROR(INDEX(STPP!$D$6:$D$4207,MATCH(C3763,STPP!$C$6:$C$4207,0)),"Not Found"))</f>
        <v/>
      </c>
      <c r="E3763" s="27" t="str" cm="1">
        <f t="array" ref="E3763">IF(C3763="","",IFERROR(INDEX(STPP!$E$6:$E$4207,MATCH(C3763,STPP!$C$6:$C$4207,0)),"Not Found"))</f>
        <v/>
      </c>
      <c r="F3763" s="27" t="str" cm="1">
        <f t="array" ref="F3763">IF(C3763="","",IFERROR(INDEX(STPP!$F$6:$F$4207,MATCH(C3763,STPP!$C$6:$C$4207,0)),"Not Found"))</f>
        <v/>
      </c>
      <c r="G3763" s="25" t="str">
        <f>IF(表1[[#This Row],[No Seri]]="","",表1[[#This Row],[Deskripsi Barang]]+表1[[#This Row],[Kuantitas]]-表1[[#This Row],[Satuan]])</f>
        <v/>
      </c>
      <c r="H3763" s="28"/>
      <c r="I3763" s="25" t="str">
        <f>IF(表1[[#This Row],[Tgl NPBG]]&gt;表1[[#This Row],[Peminta]],表1[[#This Row],[Tgl NPBG]]-表1[[#This Row],[Peminta]],"")</f>
        <v/>
      </c>
      <c r="J3763" s="31"/>
    </row>
    <row r="3764" s="12" customFormat="1" customHeight="1" spans="2:10">
      <c r="B3764" s="25"/>
      <c r="C3764" s="25"/>
      <c r="D3764" s="26" t="str" cm="1">
        <f t="array" ref="D3764">IF(C3764="","",IFERROR(INDEX(STPP!$D$6:$D$4207,MATCH(C3764,STPP!$C$6:$C$4207,0)),"Not Found"))</f>
        <v/>
      </c>
      <c r="E3764" s="27" t="str" cm="1">
        <f t="array" ref="E3764">IF(C3764="","",IFERROR(INDEX(STPP!$E$6:$E$4207,MATCH(C3764,STPP!$C$6:$C$4207,0)),"Not Found"))</f>
        <v/>
      </c>
      <c r="F3764" s="27" t="str" cm="1">
        <f t="array" ref="F3764">IF(C3764="","",IFERROR(INDEX(STPP!$F$6:$F$4207,MATCH(C3764,STPP!$C$6:$C$4207,0)),"Not Found"))</f>
        <v/>
      </c>
      <c r="G3764" s="25" t="str">
        <f>IF(表1[[#This Row],[No Seri]]="","",表1[[#This Row],[Deskripsi Barang]]+表1[[#This Row],[Kuantitas]]-表1[[#This Row],[Satuan]])</f>
        <v/>
      </c>
      <c r="H3764" s="28"/>
      <c r="I3764" s="25" t="str">
        <f>IF(表1[[#This Row],[Tgl NPBG]]&gt;表1[[#This Row],[Peminta]],表1[[#This Row],[Tgl NPBG]]-表1[[#This Row],[Peminta]],"")</f>
        <v/>
      </c>
      <c r="J3764" s="31"/>
    </row>
    <row r="3765" s="12" customFormat="1" customHeight="1" spans="2:10">
      <c r="B3765" s="25"/>
      <c r="C3765" s="25"/>
      <c r="D3765" s="26" t="str" cm="1">
        <f t="array" ref="D3765">IF(C3765="","",IFERROR(INDEX(STPP!$D$6:$D$4207,MATCH(C3765,STPP!$C$6:$C$4207,0)),"Not Found"))</f>
        <v/>
      </c>
      <c r="E3765" s="27" t="str" cm="1">
        <f t="array" ref="E3765">IF(C3765="","",IFERROR(INDEX(STPP!$E$6:$E$4207,MATCH(C3765,STPP!$C$6:$C$4207,0)),"Not Found"))</f>
        <v/>
      </c>
      <c r="F3765" s="27" t="str" cm="1">
        <f t="array" ref="F3765">IF(C3765="","",IFERROR(INDEX(STPP!$F$6:$F$4207,MATCH(C3765,STPP!$C$6:$C$4207,0)),"Not Found"))</f>
        <v/>
      </c>
      <c r="G3765" s="25" t="str">
        <f>IF(表1[[#This Row],[No Seri]]="","",表1[[#This Row],[Deskripsi Barang]]+表1[[#This Row],[Kuantitas]]-表1[[#This Row],[Satuan]])</f>
        <v/>
      </c>
      <c r="H3765" s="28"/>
      <c r="I3765" s="25" t="str">
        <f>IF(表1[[#This Row],[Tgl NPBG]]&gt;表1[[#This Row],[Peminta]],表1[[#This Row],[Tgl NPBG]]-表1[[#This Row],[Peminta]],"")</f>
        <v/>
      </c>
      <c r="J3765" s="31"/>
    </row>
    <row r="3766" s="12" customFormat="1" customHeight="1" spans="2:10">
      <c r="B3766" s="25"/>
      <c r="C3766" s="25"/>
      <c r="D3766" s="26" t="str" cm="1">
        <f t="array" ref="D3766">IF(C3766="","",IFERROR(INDEX(STPP!$D$6:$D$4207,MATCH(C3766,STPP!$C$6:$C$4207,0)),"Not Found"))</f>
        <v/>
      </c>
      <c r="E3766" s="27" t="str" cm="1">
        <f t="array" ref="E3766">IF(C3766="","",IFERROR(INDEX(STPP!$E$6:$E$4207,MATCH(C3766,STPP!$C$6:$C$4207,0)),"Not Found"))</f>
        <v/>
      </c>
      <c r="F3766" s="27" t="str" cm="1">
        <f t="array" ref="F3766">IF(C3766="","",IFERROR(INDEX(STPP!$F$6:$F$4207,MATCH(C3766,STPP!$C$6:$C$4207,0)),"Not Found"))</f>
        <v/>
      </c>
      <c r="G3766" s="25" t="str">
        <f>IF(表1[[#This Row],[No Seri]]="","",表1[[#This Row],[Deskripsi Barang]]+表1[[#This Row],[Kuantitas]]-表1[[#This Row],[Satuan]])</f>
        <v/>
      </c>
      <c r="H3766" s="28"/>
      <c r="I3766" s="25" t="str">
        <f>IF(表1[[#This Row],[Tgl NPBG]]&gt;表1[[#This Row],[Peminta]],表1[[#This Row],[Tgl NPBG]]-表1[[#This Row],[Peminta]],"")</f>
        <v/>
      </c>
      <c r="J3766" s="31"/>
    </row>
    <row r="3767" s="12" customFormat="1" customHeight="1" spans="2:10">
      <c r="B3767" s="25"/>
      <c r="C3767" s="25"/>
      <c r="D3767" s="26" t="str" cm="1">
        <f t="array" ref="D3767">IF(C3767="","",IFERROR(INDEX(STPP!$D$6:$D$4207,MATCH(C3767,STPP!$C$6:$C$4207,0)),"Not Found"))</f>
        <v/>
      </c>
      <c r="E3767" s="27" t="str" cm="1">
        <f t="array" ref="E3767">IF(C3767="","",IFERROR(INDEX(STPP!$E$6:$E$4207,MATCH(C3767,STPP!$C$6:$C$4207,0)),"Not Found"))</f>
        <v/>
      </c>
      <c r="F3767" s="27" t="str" cm="1">
        <f t="array" ref="F3767">IF(C3767="","",IFERROR(INDEX(STPP!$F$6:$F$4207,MATCH(C3767,STPP!$C$6:$C$4207,0)),"Not Found"))</f>
        <v/>
      </c>
      <c r="G3767" s="25" t="str">
        <f>IF(表1[[#This Row],[No Seri]]="","",表1[[#This Row],[Deskripsi Barang]]+表1[[#This Row],[Kuantitas]]-表1[[#This Row],[Satuan]])</f>
        <v/>
      </c>
      <c r="H3767" s="28"/>
      <c r="I3767" s="25" t="str">
        <f>IF(表1[[#This Row],[Tgl NPBG]]&gt;表1[[#This Row],[Peminta]],表1[[#This Row],[Tgl NPBG]]-表1[[#This Row],[Peminta]],"")</f>
        <v/>
      </c>
      <c r="J3767" s="31"/>
    </row>
    <row r="3768" s="12" customFormat="1" customHeight="1" spans="2:10">
      <c r="B3768" s="25"/>
      <c r="C3768" s="25"/>
      <c r="D3768" s="26" t="str" cm="1">
        <f t="array" ref="D3768">IF(C3768="","",IFERROR(INDEX(STPP!$D$6:$D$4207,MATCH(C3768,STPP!$C$6:$C$4207,0)),"Not Found"))</f>
        <v/>
      </c>
      <c r="E3768" s="27" t="str" cm="1">
        <f t="array" ref="E3768">IF(C3768="","",IFERROR(INDEX(STPP!$E$6:$E$4207,MATCH(C3768,STPP!$C$6:$C$4207,0)),"Not Found"))</f>
        <v/>
      </c>
      <c r="F3768" s="27" t="str" cm="1">
        <f t="array" ref="F3768">IF(C3768="","",IFERROR(INDEX(STPP!$F$6:$F$4207,MATCH(C3768,STPP!$C$6:$C$4207,0)),"Not Found"))</f>
        <v/>
      </c>
      <c r="G3768" s="25" t="str">
        <f>IF(表1[[#This Row],[No Seri]]="","",表1[[#This Row],[Deskripsi Barang]]+表1[[#This Row],[Kuantitas]]-表1[[#This Row],[Satuan]])</f>
        <v/>
      </c>
      <c r="H3768" s="28"/>
      <c r="I3768" s="25" t="str">
        <f>IF(表1[[#This Row],[Tgl NPBG]]&gt;表1[[#This Row],[Peminta]],表1[[#This Row],[Tgl NPBG]]-表1[[#This Row],[Peminta]],"")</f>
        <v/>
      </c>
      <c r="J3768" s="31"/>
    </row>
    <row r="3769" s="12" customFormat="1" customHeight="1" spans="2:10">
      <c r="B3769" s="25"/>
      <c r="C3769" s="25"/>
      <c r="D3769" s="26" t="str" cm="1">
        <f t="array" ref="D3769">IF(C3769="","",IFERROR(INDEX(STPP!$D$6:$D$4207,MATCH(C3769,STPP!$C$6:$C$4207,0)),"Not Found"))</f>
        <v/>
      </c>
      <c r="E3769" s="27" t="str" cm="1">
        <f t="array" ref="E3769">IF(C3769="","",IFERROR(INDEX(STPP!$E$6:$E$4207,MATCH(C3769,STPP!$C$6:$C$4207,0)),"Not Found"))</f>
        <v/>
      </c>
      <c r="F3769" s="27" t="str" cm="1">
        <f t="array" ref="F3769">IF(C3769="","",IFERROR(INDEX(STPP!$F$6:$F$4207,MATCH(C3769,STPP!$C$6:$C$4207,0)),"Not Found"))</f>
        <v/>
      </c>
      <c r="G3769" s="25" t="str">
        <f>IF(表1[[#This Row],[No Seri]]="","",表1[[#This Row],[Deskripsi Barang]]+表1[[#This Row],[Kuantitas]]-表1[[#This Row],[Satuan]])</f>
        <v/>
      </c>
      <c r="H3769" s="28"/>
      <c r="I3769" s="25" t="str">
        <f>IF(表1[[#This Row],[Tgl NPBG]]&gt;表1[[#This Row],[Peminta]],表1[[#This Row],[Tgl NPBG]]-表1[[#This Row],[Peminta]],"")</f>
        <v/>
      </c>
      <c r="J3769" s="31"/>
    </row>
    <row r="3770" s="12" customFormat="1" customHeight="1" spans="2:10">
      <c r="B3770" s="25"/>
      <c r="C3770" s="25"/>
      <c r="D3770" s="26" t="str" cm="1">
        <f t="array" ref="D3770">IF(C3770="","",IFERROR(INDEX(STPP!$D$6:$D$4207,MATCH(C3770,STPP!$C$6:$C$4207,0)),"Not Found"))</f>
        <v/>
      </c>
      <c r="E3770" s="27" t="str" cm="1">
        <f t="array" ref="E3770">IF(C3770="","",IFERROR(INDEX(STPP!$E$6:$E$4207,MATCH(C3770,STPP!$C$6:$C$4207,0)),"Not Found"))</f>
        <v/>
      </c>
      <c r="F3770" s="27" t="str" cm="1">
        <f t="array" ref="F3770">IF(C3770="","",IFERROR(INDEX(STPP!$F$6:$F$4207,MATCH(C3770,STPP!$C$6:$C$4207,0)),"Not Found"))</f>
        <v/>
      </c>
      <c r="G3770" s="25" t="str">
        <f>IF(表1[[#This Row],[No Seri]]="","",表1[[#This Row],[Deskripsi Barang]]+表1[[#This Row],[Kuantitas]]-表1[[#This Row],[Satuan]])</f>
        <v/>
      </c>
      <c r="H3770" s="28"/>
      <c r="I3770" s="25" t="str">
        <f>IF(表1[[#This Row],[Tgl NPBG]]&gt;表1[[#This Row],[Peminta]],表1[[#This Row],[Tgl NPBG]]-表1[[#This Row],[Peminta]],"")</f>
        <v/>
      </c>
      <c r="J3770" s="31"/>
    </row>
    <row r="3771" s="12" customFormat="1" customHeight="1" spans="2:10">
      <c r="B3771" s="25"/>
      <c r="C3771" s="25"/>
      <c r="D3771" s="26" t="str" cm="1">
        <f t="array" ref="D3771">IF(C3771="","",IFERROR(INDEX(STPP!$D$6:$D$4207,MATCH(C3771,STPP!$C$6:$C$4207,0)),"Not Found"))</f>
        <v/>
      </c>
      <c r="E3771" s="27" t="str" cm="1">
        <f t="array" ref="E3771">IF(C3771="","",IFERROR(INDEX(STPP!$E$6:$E$4207,MATCH(C3771,STPP!$C$6:$C$4207,0)),"Not Found"))</f>
        <v/>
      </c>
      <c r="F3771" s="27" t="str" cm="1">
        <f t="array" ref="F3771">IF(C3771="","",IFERROR(INDEX(STPP!$F$6:$F$4207,MATCH(C3771,STPP!$C$6:$C$4207,0)),"Not Found"))</f>
        <v/>
      </c>
      <c r="G3771" s="25" t="str">
        <f>IF(表1[[#This Row],[No Seri]]="","",表1[[#This Row],[Deskripsi Barang]]+表1[[#This Row],[Kuantitas]]-表1[[#This Row],[Satuan]])</f>
        <v/>
      </c>
      <c r="H3771" s="28"/>
      <c r="I3771" s="25" t="str">
        <f>IF(表1[[#This Row],[Tgl NPBG]]&gt;表1[[#This Row],[Peminta]],表1[[#This Row],[Tgl NPBG]]-表1[[#This Row],[Peminta]],"")</f>
        <v/>
      </c>
      <c r="J3771" s="31"/>
    </row>
    <row r="3772" s="12" customFormat="1" customHeight="1" spans="2:10">
      <c r="B3772" s="25"/>
      <c r="C3772" s="25"/>
      <c r="D3772" s="26" t="str" cm="1">
        <f t="array" ref="D3772">IF(C3772="","",IFERROR(INDEX(STPP!$D$6:$D$4207,MATCH(C3772,STPP!$C$6:$C$4207,0)),"Not Found"))</f>
        <v/>
      </c>
      <c r="E3772" s="27" t="str" cm="1">
        <f t="array" ref="E3772">IF(C3772="","",IFERROR(INDEX(STPP!$E$6:$E$4207,MATCH(C3772,STPP!$C$6:$C$4207,0)),"Not Found"))</f>
        <v/>
      </c>
      <c r="F3772" s="27" t="str" cm="1">
        <f t="array" ref="F3772">IF(C3772="","",IFERROR(INDEX(STPP!$F$6:$F$4207,MATCH(C3772,STPP!$C$6:$C$4207,0)),"Not Found"))</f>
        <v/>
      </c>
      <c r="G3772" s="25" t="str">
        <f>IF(表1[[#This Row],[No Seri]]="","",表1[[#This Row],[Deskripsi Barang]]+表1[[#This Row],[Kuantitas]]-表1[[#This Row],[Satuan]])</f>
        <v/>
      </c>
      <c r="H3772" s="28"/>
      <c r="I3772" s="25" t="str">
        <f>IF(表1[[#This Row],[Tgl NPBG]]&gt;表1[[#This Row],[Peminta]],表1[[#This Row],[Tgl NPBG]]-表1[[#This Row],[Peminta]],"")</f>
        <v/>
      </c>
      <c r="J3772" s="31"/>
    </row>
    <row r="3773" s="12" customFormat="1" customHeight="1" spans="2:10">
      <c r="B3773" s="25"/>
      <c r="C3773" s="25"/>
      <c r="D3773" s="26" t="str" cm="1">
        <f t="array" ref="D3773">IF(C3773="","",IFERROR(INDEX(STPP!$D$6:$D$4207,MATCH(C3773,STPP!$C$6:$C$4207,0)),"Not Found"))</f>
        <v/>
      </c>
      <c r="E3773" s="27" t="str" cm="1">
        <f t="array" ref="E3773">IF(C3773="","",IFERROR(INDEX(STPP!$E$6:$E$4207,MATCH(C3773,STPP!$C$6:$C$4207,0)),"Not Found"))</f>
        <v/>
      </c>
      <c r="F3773" s="27" t="str" cm="1">
        <f t="array" ref="F3773">IF(C3773="","",IFERROR(INDEX(STPP!$F$6:$F$4207,MATCH(C3773,STPP!$C$6:$C$4207,0)),"Not Found"))</f>
        <v/>
      </c>
      <c r="G3773" s="25" t="str">
        <f>IF(表1[[#This Row],[No Seri]]="","",表1[[#This Row],[Deskripsi Barang]]+表1[[#This Row],[Kuantitas]]-表1[[#This Row],[Satuan]])</f>
        <v/>
      </c>
      <c r="H3773" s="28"/>
      <c r="I3773" s="25" t="str">
        <f>IF(表1[[#This Row],[Tgl NPBG]]&gt;表1[[#This Row],[Peminta]],表1[[#This Row],[Tgl NPBG]]-表1[[#This Row],[Peminta]],"")</f>
        <v/>
      </c>
      <c r="J3773" s="31"/>
    </row>
    <row r="3774" s="12" customFormat="1" customHeight="1" spans="2:10">
      <c r="B3774" s="25"/>
      <c r="C3774" s="25"/>
      <c r="D3774" s="26" t="str" cm="1">
        <f t="array" ref="D3774">IF(C3774="","",IFERROR(INDEX(STPP!$D$6:$D$4207,MATCH(C3774,STPP!$C$6:$C$4207,0)),"Not Found"))</f>
        <v/>
      </c>
      <c r="E3774" s="27" t="str" cm="1">
        <f t="array" ref="E3774">IF(C3774="","",IFERROR(INDEX(STPP!$E$6:$E$4207,MATCH(C3774,STPP!$C$6:$C$4207,0)),"Not Found"))</f>
        <v/>
      </c>
      <c r="F3774" s="27" t="str" cm="1">
        <f t="array" ref="F3774">IF(C3774="","",IFERROR(INDEX(STPP!$F$6:$F$4207,MATCH(C3774,STPP!$C$6:$C$4207,0)),"Not Found"))</f>
        <v/>
      </c>
      <c r="G3774" s="25" t="str">
        <f>IF(表1[[#This Row],[No Seri]]="","",表1[[#This Row],[Deskripsi Barang]]+表1[[#This Row],[Kuantitas]]-表1[[#This Row],[Satuan]])</f>
        <v/>
      </c>
      <c r="H3774" s="28"/>
      <c r="I3774" s="25" t="str">
        <f>IF(表1[[#This Row],[Tgl NPBG]]&gt;表1[[#This Row],[Peminta]],表1[[#This Row],[Tgl NPBG]]-表1[[#This Row],[Peminta]],"")</f>
        <v/>
      </c>
      <c r="J3774" s="31"/>
    </row>
    <row r="3775" s="12" customFormat="1" customHeight="1" spans="2:10">
      <c r="B3775" s="25"/>
      <c r="C3775" s="25"/>
      <c r="D3775" s="26" t="str" cm="1">
        <f t="array" ref="D3775">IF(C3775="","",IFERROR(INDEX(STPP!$D$6:$D$4207,MATCH(C3775,STPP!$C$6:$C$4207,0)),"Not Found"))</f>
        <v/>
      </c>
      <c r="E3775" s="27" t="str" cm="1">
        <f t="array" ref="E3775">IF(C3775="","",IFERROR(INDEX(STPP!$E$6:$E$4207,MATCH(C3775,STPP!$C$6:$C$4207,0)),"Not Found"))</f>
        <v/>
      </c>
      <c r="F3775" s="27" t="str" cm="1">
        <f t="array" ref="F3775">IF(C3775="","",IFERROR(INDEX(STPP!$F$6:$F$4207,MATCH(C3775,STPP!$C$6:$C$4207,0)),"Not Found"))</f>
        <v/>
      </c>
      <c r="G3775" s="25" t="str">
        <f>IF(表1[[#This Row],[No Seri]]="","",表1[[#This Row],[Deskripsi Barang]]+表1[[#This Row],[Kuantitas]]-表1[[#This Row],[Satuan]])</f>
        <v/>
      </c>
      <c r="H3775" s="28"/>
      <c r="I3775" s="25" t="str">
        <f>IF(表1[[#This Row],[Tgl NPBG]]&gt;表1[[#This Row],[Peminta]],表1[[#This Row],[Tgl NPBG]]-表1[[#This Row],[Peminta]],"")</f>
        <v/>
      </c>
      <c r="J3775" s="31"/>
    </row>
    <row r="3776" s="12" customFormat="1" customHeight="1" spans="2:10">
      <c r="B3776" s="25"/>
      <c r="C3776" s="25"/>
      <c r="D3776" s="26" t="str" cm="1">
        <f t="array" ref="D3776">IF(C3776="","",IFERROR(INDEX(STPP!$D$6:$D$4207,MATCH(C3776,STPP!$C$6:$C$4207,0)),"Not Found"))</f>
        <v/>
      </c>
      <c r="E3776" s="27" t="str" cm="1">
        <f t="array" ref="E3776">IF(C3776="","",IFERROR(INDEX(STPP!$E$6:$E$4207,MATCH(C3776,STPP!$C$6:$C$4207,0)),"Not Found"))</f>
        <v/>
      </c>
      <c r="F3776" s="27" t="str" cm="1">
        <f t="array" ref="F3776">IF(C3776="","",IFERROR(INDEX(STPP!$F$6:$F$4207,MATCH(C3776,STPP!$C$6:$C$4207,0)),"Not Found"))</f>
        <v/>
      </c>
      <c r="G3776" s="25" t="str">
        <f>IF(表1[[#This Row],[No Seri]]="","",表1[[#This Row],[Deskripsi Barang]]+表1[[#This Row],[Kuantitas]]-表1[[#This Row],[Satuan]])</f>
        <v/>
      </c>
      <c r="H3776" s="28"/>
      <c r="I3776" s="25" t="str">
        <f>IF(表1[[#This Row],[Tgl NPBG]]&gt;表1[[#This Row],[Peminta]],表1[[#This Row],[Tgl NPBG]]-表1[[#This Row],[Peminta]],"")</f>
        <v/>
      </c>
      <c r="J3776" s="31"/>
    </row>
    <row r="3777" s="12" customFormat="1" customHeight="1" spans="2:10">
      <c r="B3777" s="25"/>
      <c r="C3777" s="25"/>
      <c r="D3777" s="26" t="str" cm="1">
        <f t="array" ref="D3777">IF(C3777="","",IFERROR(INDEX(STPP!$D$6:$D$4207,MATCH(C3777,STPP!$C$6:$C$4207,0)),"Not Found"))</f>
        <v/>
      </c>
      <c r="E3777" s="27" t="str" cm="1">
        <f t="array" ref="E3777">IF(C3777="","",IFERROR(INDEX(STPP!$E$6:$E$4207,MATCH(C3777,STPP!$C$6:$C$4207,0)),"Not Found"))</f>
        <v/>
      </c>
      <c r="F3777" s="27" t="str" cm="1">
        <f t="array" ref="F3777">IF(C3777="","",IFERROR(INDEX(STPP!$F$6:$F$4207,MATCH(C3777,STPP!$C$6:$C$4207,0)),"Not Found"))</f>
        <v/>
      </c>
      <c r="G3777" s="25" t="str">
        <f>IF(表1[[#This Row],[No Seri]]="","",表1[[#This Row],[Deskripsi Barang]]+表1[[#This Row],[Kuantitas]]-表1[[#This Row],[Satuan]])</f>
        <v/>
      </c>
      <c r="H3777" s="28"/>
      <c r="I3777" s="25" t="str">
        <f>IF(表1[[#This Row],[Tgl NPBG]]&gt;表1[[#This Row],[Peminta]],表1[[#This Row],[Tgl NPBG]]-表1[[#This Row],[Peminta]],"")</f>
        <v/>
      </c>
      <c r="J3777" s="31"/>
    </row>
    <row r="3778" s="12" customFormat="1" customHeight="1" spans="2:10">
      <c r="B3778" s="25"/>
      <c r="C3778" s="25"/>
      <c r="D3778" s="26" t="str" cm="1">
        <f t="array" ref="D3778">IF(C3778="","",IFERROR(INDEX(STPP!$D$6:$D$4207,MATCH(C3778,STPP!$C$6:$C$4207,0)),"Not Found"))</f>
        <v/>
      </c>
      <c r="E3778" s="27" t="str" cm="1">
        <f t="array" ref="E3778">IF(C3778="","",IFERROR(INDEX(STPP!$E$6:$E$4207,MATCH(C3778,STPP!$C$6:$C$4207,0)),"Not Found"))</f>
        <v/>
      </c>
      <c r="F3778" s="27" t="str" cm="1">
        <f t="array" ref="F3778">IF(C3778="","",IFERROR(INDEX(STPP!$F$6:$F$4207,MATCH(C3778,STPP!$C$6:$C$4207,0)),"Not Found"))</f>
        <v/>
      </c>
      <c r="G3778" s="25" t="str">
        <f>IF(表1[[#This Row],[No Seri]]="","",表1[[#This Row],[Deskripsi Barang]]+表1[[#This Row],[Kuantitas]]-表1[[#This Row],[Satuan]])</f>
        <v/>
      </c>
      <c r="H3778" s="28"/>
      <c r="I3778" s="25" t="str">
        <f>IF(表1[[#This Row],[Tgl NPBG]]&gt;表1[[#This Row],[Peminta]],表1[[#This Row],[Tgl NPBG]]-表1[[#This Row],[Peminta]],"")</f>
        <v/>
      </c>
      <c r="J3778" s="31"/>
    </row>
    <row r="3779" s="12" customFormat="1" customHeight="1" spans="2:10">
      <c r="B3779" s="25"/>
      <c r="C3779" s="25"/>
      <c r="D3779" s="26" t="str" cm="1">
        <f t="array" ref="D3779">IF(C3779="","",IFERROR(INDEX(STPP!$D$6:$D$4207,MATCH(C3779,STPP!$C$6:$C$4207,0)),"Not Found"))</f>
        <v/>
      </c>
      <c r="E3779" s="27" t="str" cm="1">
        <f t="array" ref="E3779">IF(C3779="","",IFERROR(INDEX(STPP!$E$6:$E$4207,MATCH(C3779,STPP!$C$6:$C$4207,0)),"Not Found"))</f>
        <v/>
      </c>
      <c r="F3779" s="27" t="str" cm="1">
        <f t="array" ref="F3779">IF(C3779="","",IFERROR(INDEX(STPP!$F$6:$F$4207,MATCH(C3779,STPP!$C$6:$C$4207,0)),"Not Found"))</f>
        <v/>
      </c>
      <c r="G3779" s="25" t="str">
        <f>IF(表1[[#This Row],[No Seri]]="","",表1[[#This Row],[Deskripsi Barang]]+表1[[#This Row],[Kuantitas]]-表1[[#This Row],[Satuan]])</f>
        <v/>
      </c>
      <c r="H3779" s="28"/>
      <c r="I3779" s="25" t="str">
        <f>IF(表1[[#This Row],[Tgl NPBG]]&gt;表1[[#This Row],[Peminta]],表1[[#This Row],[Tgl NPBG]]-表1[[#This Row],[Peminta]],"")</f>
        <v/>
      </c>
      <c r="J3779" s="31"/>
    </row>
    <row r="3780" s="12" customFormat="1" customHeight="1" spans="2:10">
      <c r="B3780" s="25"/>
      <c r="C3780" s="25"/>
      <c r="D3780" s="26" t="str" cm="1">
        <f t="array" ref="D3780">IF(C3780="","",IFERROR(INDEX(STPP!$D$6:$D$4207,MATCH(C3780,STPP!$C$6:$C$4207,0)),"Not Found"))</f>
        <v/>
      </c>
      <c r="E3780" s="27" t="str" cm="1">
        <f t="array" ref="E3780">IF(C3780="","",IFERROR(INDEX(STPP!$E$6:$E$4207,MATCH(C3780,STPP!$C$6:$C$4207,0)),"Not Found"))</f>
        <v/>
      </c>
      <c r="F3780" s="27" t="str" cm="1">
        <f t="array" ref="F3780">IF(C3780="","",IFERROR(INDEX(STPP!$F$6:$F$4207,MATCH(C3780,STPP!$C$6:$C$4207,0)),"Not Found"))</f>
        <v/>
      </c>
      <c r="G3780" s="25" t="str">
        <f>IF(表1[[#This Row],[No Seri]]="","",表1[[#This Row],[Deskripsi Barang]]+表1[[#This Row],[Kuantitas]]-表1[[#This Row],[Satuan]])</f>
        <v/>
      </c>
      <c r="H3780" s="28"/>
      <c r="I3780" s="25" t="str">
        <f>IF(表1[[#This Row],[Tgl NPBG]]&gt;表1[[#This Row],[Peminta]],表1[[#This Row],[Tgl NPBG]]-表1[[#This Row],[Peminta]],"")</f>
        <v/>
      </c>
      <c r="J3780" s="31"/>
    </row>
    <row r="3781" s="12" customFormat="1" customHeight="1" spans="2:10">
      <c r="B3781" s="25"/>
      <c r="C3781" s="25"/>
      <c r="D3781" s="26" t="str" cm="1">
        <f t="array" ref="D3781">IF(C3781="","",IFERROR(INDEX(STPP!$D$6:$D$4207,MATCH(C3781,STPP!$C$6:$C$4207,0)),"Not Found"))</f>
        <v/>
      </c>
      <c r="E3781" s="27" t="str" cm="1">
        <f t="array" ref="E3781">IF(C3781="","",IFERROR(INDEX(STPP!$E$6:$E$4207,MATCH(C3781,STPP!$C$6:$C$4207,0)),"Not Found"))</f>
        <v/>
      </c>
      <c r="F3781" s="27" t="str" cm="1">
        <f t="array" ref="F3781">IF(C3781="","",IFERROR(INDEX(STPP!$F$6:$F$4207,MATCH(C3781,STPP!$C$6:$C$4207,0)),"Not Found"))</f>
        <v/>
      </c>
      <c r="G3781" s="25" t="str">
        <f>IF(表1[[#This Row],[No Seri]]="","",表1[[#This Row],[Deskripsi Barang]]+表1[[#This Row],[Kuantitas]]-表1[[#This Row],[Satuan]])</f>
        <v/>
      </c>
      <c r="H3781" s="28"/>
      <c r="I3781" s="25" t="str">
        <f>IF(表1[[#This Row],[Tgl NPBG]]&gt;表1[[#This Row],[Peminta]],表1[[#This Row],[Tgl NPBG]]-表1[[#This Row],[Peminta]],"")</f>
        <v/>
      </c>
      <c r="J3781" s="31"/>
    </row>
    <row r="3782" s="12" customFormat="1" customHeight="1" spans="2:10">
      <c r="B3782" s="25"/>
      <c r="C3782" s="25"/>
      <c r="D3782" s="26" t="str" cm="1">
        <f t="array" ref="D3782">IF(C3782="","",IFERROR(INDEX(STPP!$D$6:$D$4207,MATCH(C3782,STPP!$C$6:$C$4207,0)),"Not Found"))</f>
        <v/>
      </c>
      <c r="E3782" s="27" t="str" cm="1">
        <f t="array" ref="E3782">IF(C3782="","",IFERROR(INDEX(STPP!$E$6:$E$4207,MATCH(C3782,STPP!$C$6:$C$4207,0)),"Not Found"))</f>
        <v/>
      </c>
      <c r="F3782" s="27" t="str" cm="1">
        <f t="array" ref="F3782">IF(C3782="","",IFERROR(INDEX(STPP!$F$6:$F$4207,MATCH(C3782,STPP!$C$6:$C$4207,0)),"Not Found"))</f>
        <v/>
      </c>
      <c r="G3782" s="25" t="str">
        <f>IF(表1[[#This Row],[No Seri]]="","",表1[[#This Row],[Deskripsi Barang]]+表1[[#This Row],[Kuantitas]]-表1[[#This Row],[Satuan]])</f>
        <v/>
      </c>
      <c r="H3782" s="28"/>
      <c r="I3782" s="25" t="str">
        <f>IF(表1[[#This Row],[Tgl NPBG]]&gt;表1[[#This Row],[Peminta]],表1[[#This Row],[Tgl NPBG]]-表1[[#This Row],[Peminta]],"")</f>
        <v/>
      </c>
      <c r="J3782" s="31"/>
    </row>
    <row r="3783" s="12" customFormat="1" customHeight="1" spans="2:10">
      <c r="B3783" s="25"/>
      <c r="C3783" s="25"/>
      <c r="D3783" s="26" t="str" cm="1">
        <f t="array" ref="D3783">IF(C3783="","",IFERROR(INDEX(STPP!$D$6:$D$4207,MATCH(C3783,STPP!$C$6:$C$4207,0)),"Not Found"))</f>
        <v/>
      </c>
      <c r="E3783" s="27" t="str" cm="1">
        <f t="array" ref="E3783">IF(C3783="","",IFERROR(INDEX(STPP!$E$6:$E$4207,MATCH(C3783,STPP!$C$6:$C$4207,0)),"Not Found"))</f>
        <v/>
      </c>
      <c r="F3783" s="27" t="str" cm="1">
        <f t="array" ref="F3783">IF(C3783="","",IFERROR(INDEX(STPP!$F$6:$F$4207,MATCH(C3783,STPP!$C$6:$C$4207,0)),"Not Found"))</f>
        <v/>
      </c>
      <c r="G3783" s="25" t="str">
        <f>IF(表1[[#This Row],[No Seri]]="","",表1[[#This Row],[Deskripsi Barang]]+表1[[#This Row],[Kuantitas]]-表1[[#This Row],[Satuan]])</f>
        <v/>
      </c>
      <c r="H3783" s="28"/>
      <c r="I3783" s="25" t="str">
        <f>IF(表1[[#This Row],[Tgl NPBG]]&gt;表1[[#This Row],[Peminta]],表1[[#This Row],[Tgl NPBG]]-表1[[#This Row],[Peminta]],"")</f>
        <v/>
      </c>
      <c r="J3783" s="31"/>
    </row>
    <row r="3784" s="12" customFormat="1" customHeight="1" spans="2:10">
      <c r="B3784" s="25"/>
      <c r="C3784" s="25"/>
      <c r="D3784" s="26" t="str" cm="1">
        <f t="array" ref="D3784">IF(C3784="","",IFERROR(INDEX(STPP!$D$6:$D$4207,MATCH(C3784,STPP!$C$6:$C$4207,0)),"Not Found"))</f>
        <v/>
      </c>
      <c r="E3784" s="27" t="str" cm="1">
        <f t="array" ref="E3784">IF(C3784="","",IFERROR(INDEX(STPP!$E$6:$E$4207,MATCH(C3784,STPP!$C$6:$C$4207,0)),"Not Found"))</f>
        <v/>
      </c>
      <c r="F3784" s="27" t="str" cm="1">
        <f t="array" ref="F3784">IF(C3784="","",IFERROR(INDEX(STPP!$F$6:$F$4207,MATCH(C3784,STPP!$C$6:$C$4207,0)),"Not Found"))</f>
        <v/>
      </c>
      <c r="G3784" s="25" t="str">
        <f>IF(表1[[#This Row],[No Seri]]="","",表1[[#This Row],[Deskripsi Barang]]+表1[[#This Row],[Kuantitas]]-表1[[#This Row],[Satuan]])</f>
        <v/>
      </c>
      <c r="H3784" s="28"/>
      <c r="I3784" s="25" t="str">
        <f>IF(表1[[#This Row],[Tgl NPBG]]&gt;表1[[#This Row],[Peminta]],表1[[#This Row],[Tgl NPBG]]-表1[[#This Row],[Peminta]],"")</f>
        <v/>
      </c>
      <c r="J3784" s="31"/>
    </row>
    <row r="3785" s="12" customFormat="1" customHeight="1" spans="2:10">
      <c r="B3785" s="25"/>
      <c r="C3785" s="25"/>
      <c r="D3785" s="26" t="str" cm="1">
        <f t="array" ref="D3785">IF(C3785="","",IFERROR(INDEX(STPP!$D$6:$D$4207,MATCH(C3785,STPP!$C$6:$C$4207,0)),"Not Found"))</f>
        <v/>
      </c>
      <c r="E3785" s="27" t="str" cm="1">
        <f t="array" ref="E3785">IF(C3785="","",IFERROR(INDEX(STPP!$E$6:$E$4207,MATCH(C3785,STPP!$C$6:$C$4207,0)),"Not Found"))</f>
        <v/>
      </c>
      <c r="F3785" s="27" t="str" cm="1">
        <f t="array" ref="F3785">IF(C3785="","",IFERROR(INDEX(STPP!$F$6:$F$4207,MATCH(C3785,STPP!$C$6:$C$4207,0)),"Not Found"))</f>
        <v/>
      </c>
      <c r="G3785" s="25" t="str">
        <f>IF(表1[[#This Row],[No Seri]]="","",表1[[#This Row],[Deskripsi Barang]]+表1[[#This Row],[Kuantitas]]-表1[[#This Row],[Satuan]])</f>
        <v/>
      </c>
      <c r="H3785" s="28"/>
      <c r="I3785" s="25" t="str">
        <f>IF(表1[[#This Row],[Tgl NPBG]]&gt;表1[[#This Row],[Peminta]],表1[[#This Row],[Tgl NPBG]]-表1[[#This Row],[Peminta]],"")</f>
        <v/>
      </c>
      <c r="J3785" s="31"/>
    </row>
    <row r="3786" s="12" customFormat="1" customHeight="1" spans="2:10">
      <c r="B3786" s="25"/>
      <c r="C3786" s="25"/>
      <c r="D3786" s="26" t="str" cm="1">
        <f t="array" ref="D3786">IF(C3786="","",IFERROR(INDEX(STPP!$D$6:$D$4207,MATCH(C3786,STPP!$C$6:$C$4207,0)),"Not Found"))</f>
        <v/>
      </c>
      <c r="E3786" s="27" t="str" cm="1">
        <f t="array" ref="E3786">IF(C3786="","",IFERROR(INDEX(STPP!$E$6:$E$4207,MATCH(C3786,STPP!$C$6:$C$4207,0)),"Not Found"))</f>
        <v/>
      </c>
      <c r="F3786" s="27" t="str" cm="1">
        <f t="array" ref="F3786">IF(C3786="","",IFERROR(INDEX(STPP!$F$6:$F$4207,MATCH(C3786,STPP!$C$6:$C$4207,0)),"Not Found"))</f>
        <v/>
      </c>
      <c r="G3786" s="25" t="str">
        <f>IF(表1[[#This Row],[No Seri]]="","",表1[[#This Row],[Deskripsi Barang]]+表1[[#This Row],[Kuantitas]]-表1[[#This Row],[Satuan]])</f>
        <v/>
      </c>
      <c r="H3786" s="28"/>
      <c r="I3786" s="25" t="str">
        <f>IF(表1[[#This Row],[Tgl NPBG]]&gt;表1[[#This Row],[Peminta]],表1[[#This Row],[Tgl NPBG]]-表1[[#This Row],[Peminta]],"")</f>
        <v/>
      </c>
      <c r="J3786" s="31"/>
    </row>
    <row r="3787" s="12" customFormat="1" customHeight="1" spans="2:10">
      <c r="B3787" s="25"/>
      <c r="C3787" s="25"/>
      <c r="D3787" s="26" t="str" cm="1">
        <f t="array" ref="D3787">IF(C3787="","",IFERROR(INDEX(STPP!$D$6:$D$4207,MATCH(C3787,STPP!$C$6:$C$4207,0)),"Not Found"))</f>
        <v/>
      </c>
      <c r="E3787" s="27" t="str" cm="1">
        <f t="array" ref="E3787">IF(C3787="","",IFERROR(INDEX(STPP!$E$6:$E$4207,MATCH(C3787,STPP!$C$6:$C$4207,0)),"Not Found"))</f>
        <v/>
      </c>
      <c r="F3787" s="27" t="str" cm="1">
        <f t="array" ref="F3787">IF(C3787="","",IFERROR(INDEX(STPP!$F$6:$F$4207,MATCH(C3787,STPP!$C$6:$C$4207,0)),"Not Found"))</f>
        <v/>
      </c>
      <c r="G3787" s="25" t="str">
        <f>IF(表1[[#This Row],[No Seri]]="","",表1[[#This Row],[Deskripsi Barang]]+表1[[#This Row],[Kuantitas]]-表1[[#This Row],[Satuan]])</f>
        <v/>
      </c>
      <c r="H3787" s="28"/>
      <c r="I3787" s="25" t="str">
        <f>IF(表1[[#This Row],[Tgl NPBG]]&gt;表1[[#This Row],[Peminta]],表1[[#This Row],[Tgl NPBG]]-表1[[#This Row],[Peminta]],"")</f>
        <v/>
      </c>
      <c r="J3787" s="31"/>
    </row>
    <row r="3788" s="12" customFormat="1" customHeight="1" spans="2:10">
      <c r="B3788" s="25"/>
      <c r="C3788" s="25"/>
      <c r="D3788" s="26" t="str" cm="1">
        <f t="array" ref="D3788">IF(C3788="","",IFERROR(INDEX(STPP!$D$6:$D$4207,MATCH(C3788,STPP!$C$6:$C$4207,0)),"Not Found"))</f>
        <v/>
      </c>
      <c r="E3788" s="27" t="str" cm="1">
        <f t="array" ref="E3788">IF(C3788="","",IFERROR(INDEX(STPP!$E$6:$E$4207,MATCH(C3788,STPP!$C$6:$C$4207,0)),"Not Found"))</f>
        <v/>
      </c>
      <c r="F3788" s="27" t="str" cm="1">
        <f t="array" ref="F3788">IF(C3788="","",IFERROR(INDEX(STPP!$F$6:$F$4207,MATCH(C3788,STPP!$C$6:$C$4207,0)),"Not Found"))</f>
        <v/>
      </c>
      <c r="G3788" s="25" t="str">
        <f>IF(表1[[#This Row],[No Seri]]="","",表1[[#This Row],[Deskripsi Barang]]+表1[[#This Row],[Kuantitas]]-表1[[#This Row],[Satuan]])</f>
        <v/>
      </c>
      <c r="H3788" s="28"/>
      <c r="I3788" s="25" t="str">
        <f>IF(表1[[#This Row],[Tgl NPBG]]&gt;表1[[#This Row],[Peminta]],表1[[#This Row],[Tgl NPBG]]-表1[[#This Row],[Peminta]],"")</f>
        <v/>
      </c>
      <c r="J3788" s="31"/>
    </row>
    <row r="3789" s="12" customFormat="1" customHeight="1" spans="2:10">
      <c r="B3789" s="25"/>
      <c r="C3789" s="25"/>
      <c r="D3789" s="26" t="str" cm="1">
        <f t="array" ref="D3789">IF(C3789="","",IFERROR(INDEX(STPP!$D$6:$D$4207,MATCH(C3789,STPP!$C$6:$C$4207,0)),"Not Found"))</f>
        <v/>
      </c>
      <c r="E3789" s="27" t="str" cm="1">
        <f t="array" ref="E3789">IF(C3789="","",IFERROR(INDEX(STPP!$E$6:$E$4207,MATCH(C3789,STPP!$C$6:$C$4207,0)),"Not Found"))</f>
        <v/>
      </c>
      <c r="F3789" s="27" t="str" cm="1">
        <f t="array" ref="F3789">IF(C3789="","",IFERROR(INDEX(STPP!$F$6:$F$4207,MATCH(C3789,STPP!$C$6:$C$4207,0)),"Not Found"))</f>
        <v/>
      </c>
      <c r="G3789" s="25" t="str">
        <f>IF(表1[[#This Row],[No Seri]]="","",表1[[#This Row],[Deskripsi Barang]]+表1[[#This Row],[Kuantitas]]-表1[[#This Row],[Satuan]])</f>
        <v/>
      </c>
      <c r="H3789" s="28"/>
      <c r="I3789" s="25" t="str">
        <f>IF(表1[[#This Row],[Tgl NPBG]]&gt;表1[[#This Row],[Peminta]],表1[[#This Row],[Tgl NPBG]]-表1[[#This Row],[Peminta]],"")</f>
        <v/>
      </c>
      <c r="J3789" s="31"/>
    </row>
    <row r="3790" s="12" customFormat="1" customHeight="1" spans="2:10">
      <c r="B3790" s="25"/>
      <c r="C3790" s="25"/>
      <c r="D3790" s="26" t="str" cm="1">
        <f t="array" ref="D3790">IF(C3790="","",IFERROR(INDEX(STPP!$D$6:$D$4207,MATCH(C3790,STPP!$C$6:$C$4207,0)),"Not Found"))</f>
        <v/>
      </c>
      <c r="E3790" s="27" t="str" cm="1">
        <f t="array" ref="E3790">IF(C3790="","",IFERROR(INDEX(STPP!$E$6:$E$4207,MATCH(C3790,STPP!$C$6:$C$4207,0)),"Not Found"))</f>
        <v/>
      </c>
      <c r="F3790" s="27" t="str" cm="1">
        <f t="array" ref="F3790">IF(C3790="","",IFERROR(INDEX(STPP!$F$6:$F$4207,MATCH(C3790,STPP!$C$6:$C$4207,0)),"Not Found"))</f>
        <v/>
      </c>
      <c r="G3790" s="25" t="str">
        <f>IF(表1[[#This Row],[No Seri]]="","",表1[[#This Row],[Deskripsi Barang]]+表1[[#This Row],[Kuantitas]]-表1[[#This Row],[Satuan]])</f>
        <v/>
      </c>
      <c r="H3790" s="28"/>
      <c r="I3790" s="25" t="str">
        <f>IF(表1[[#This Row],[Tgl NPBG]]&gt;表1[[#This Row],[Peminta]],表1[[#This Row],[Tgl NPBG]]-表1[[#This Row],[Peminta]],"")</f>
        <v/>
      </c>
      <c r="J3790" s="31"/>
    </row>
    <row r="3791" s="12" customFormat="1" customHeight="1" spans="2:10">
      <c r="B3791" s="25"/>
      <c r="C3791" s="25"/>
      <c r="D3791" s="26" t="str" cm="1">
        <f t="array" ref="D3791">IF(C3791="","",IFERROR(INDEX(STPP!$D$6:$D$4207,MATCH(C3791,STPP!$C$6:$C$4207,0)),"Not Found"))</f>
        <v/>
      </c>
      <c r="E3791" s="27" t="str" cm="1">
        <f t="array" ref="E3791">IF(C3791="","",IFERROR(INDEX(STPP!$E$6:$E$4207,MATCH(C3791,STPP!$C$6:$C$4207,0)),"Not Found"))</f>
        <v/>
      </c>
      <c r="F3791" s="27" t="str" cm="1">
        <f t="array" ref="F3791">IF(C3791="","",IFERROR(INDEX(STPP!$F$6:$F$4207,MATCH(C3791,STPP!$C$6:$C$4207,0)),"Not Found"))</f>
        <v/>
      </c>
      <c r="G3791" s="25" t="str">
        <f>IF(表1[[#This Row],[No Seri]]="","",表1[[#This Row],[Deskripsi Barang]]+表1[[#This Row],[Kuantitas]]-表1[[#This Row],[Satuan]])</f>
        <v/>
      </c>
      <c r="H3791" s="28"/>
      <c r="I3791" s="25" t="str">
        <f>IF(表1[[#This Row],[Tgl NPBG]]&gt;表1[[#This Row],[Peminta]],表1[[#This Row],[Tgl NPBG]]-表1[[#This Row],[Peminta]],"")</f>
        <v/>
      </c>
      <c r="J3791" s="31"/>
    </row>
    <row r="3792" s="12" customFormat="1" customHeight="1" spans="2:10">
      <c r="B3792" s="25"/>
      <c r="C3792" s="25"/>
      <c r="D3792" s="26" t="str" cm="1">
        <f t="array" ref="D3792">IF(C3792="","",IFERROR(INDEX(STPP!$D$6:$D$4207,MATCH(C3792,STPP!$C$6:$C$4207,0)),"Not Found"))</f>
        <v/>
      </c>
      <c r="E3792" s="27" t="str" cm="1">
        <f t="array" ref="E3792">IF(C3792="","",IFERROR(INDEX(STPP!$E$6:$E$4207,MATCH(C3792,STPP!$C$6:$C$4207,0)),"Not Found"))</f>
        <v/>
      </c>
      <c r="F3792" s="27" t="str" cm="1">
        <f t="array" ref="F3792">IF(C3792="","",IFERROR(INDEX(STPP!$F$6:$F$4207,MATCH(C3792,STPP!$C$6:$C$4207,0)),"Not Found"))</f>
        <v/>
      </c>
      <c r="G3792" s="25" t="str">
        <f>IF(表1[[#This Row],[No Seri]]="","",表1[[#This Row],[Deskripsi Barang]]+表1[[#This Row],[Kuantitas]]-表1[[#This Row],[Satuan]])</f>
        <v/>
      </c>
      <c r="H3792" s="28"/>
      <c r="I3792" s="25" t="str">
        <f>IF(表1[[#This Row],[Tgl NPBG]]&gt;表1[[#This Row],[Peminta]],表1[[#This Row],[Tgl NPBG]]-表1[[#This Row],[Peminta]],"")</f>
        <v/>
      </c>
      <c r="J3792" s="31"/>
    </row>
    <row r="3793" s="12" customFormat="1" customHeight="1" spans="2:10">
      <c r="B3793" s="25"/>
      <c r="C3793" s="25"/>
      <c r="D3793" s="26" t="str" cm="1">
        <f t="array" ref="D3793">IF(C3793="","",IFERROR(INDEX(STPP!$D$6:$D$4207,MATCH(C3793,STPP!$C$6:$C$4207,0)),"Not Found"))</f>
        <v/>
      </c>
      <c r="E3793" s="27" t="str" cm="1">
        <f t="array" ref="E3793">IF(C3793="","",IFERROR(INDEX(STPP!$E$6:$E$4207,MATCH(C3793,STPP!$C$6:$C$4207,0)),"Not Found"))</f>
        <v/>
      </c>
      <c r="F3793" s="27" t="str" cm="1">
        <f t="array" ref="F3793">IF(C3793="","",IFERROR(INDEX(STPP!$F$6:$F$4207,MATCH(C3793,STPP!$C$6:$C$4207,0)),"Not Found"))</f>
        <v/>
      </c>
      <c r="G3793" s="25" t="str">
        <f>IF(表1[[#This Row],[No Seri]]="","",表1[[#This Row],[Deskripsi Barang]]+表1[[#This Row],[Kuantitas]]-表1[[#This Row],[Satuan]])</f>
        <v/>
      </c>
      <c r="H3793" s="28"/>
      <c r="I3793" s="25" t="str">
        <f>IF(表1[[#This Row],[Tgl NPBG]]&gt;表1[[#This Row],[Peminta]],表1[[#This Row],[Tgl NPBG]]-表1[[#This Row],[Peminta]],"")</f>
        <v/>
      </c>
      <c r="J3793" s="31"/>
    </row>
    <row r="3794" s="12" customFormat="1" customHeight="1" spans="2:10">
      <c r="B3794" s="25"/>
      <c r="C3794" s="25"/>
      <c r="D3794" s="26" t="str" cm="1">
        <f t="array" ref="D3794">IF(C3794="","",IFERROR(INDEX(STPP!$D$6:$D$4207,MATCH(C3794,STPP!$C$6:$C$4207,0)),"Not Found"))</f>
        <v/>
      </c>
      <c r="E3794" s="27" t="str" cm="1">
        <f t="array" ref="E3794">IF(C3794="","",IFERROR(INDEX(STPP!$E$6:$E$4207,MATCH(C3794,STPP!$C$6:$C$4207,0)),"Not Found"))</f>
        <v/>
      </c>
      <c r="F3794" s="27" t="str" cm="1">
        <f t="array" ref="F3794">IF(C3794="","",IFERROR(INDEX(STPP!$F$6:$F$4207,MATCH(C3794,STPP!$C$6:$C$4207,0)),"Not Found"))</f>
        <v/>
      </c>
      <c r="G3794" s="25" t="str">
        <f>IF(表1[[#This Row],[No Seri]]="","",表1[[#This Row],[Deskripsi Barang]]+表1[[#This Row],[Kuantitas]]-表1[[#This Row],[Satuan]])</f>
        <v/>
      </c>
      <c r="H3794" s="28"/>
      <c r="I3794" s="25" t="str">
        <f>IF(表1[[#This Row],[Tgl NPBG]]&gt;表1[[#This Row],[Peminta]],表1[[#This Row],[Tgl NPBG]]-表1[[#This Row],[Peminta]],"")</f>
        <v/>
      </c>
      <c r="J3794" s="31"/>
    </row>
    <row r="3795" s="12" customFormat="1" customHeight="1" spans="2:10">
      <c r="B3795" s="25"/>
      <c r="C3795" s="25"/>
      <c r="D3795" s="26" t="str" cm="1">
        <f t="array" ref="D3795">IF(C3795="","",IFERROR(INDEX(STPP!$D$6:$D$4207,MATCH(C3795,STPP!$C$6:$C$4207,0)),"Not Found"))</f>
        <v/>
      </c>
      <c r="E3795" s="27" t="str" cm="1">
        <f t="array" ref="E3795">IF(C3795="","",IFERROR(INDEX(STPP!$E$6:$E$4207,MATCH(C3795,STPP!$C$6:$C$4207,0)),"Not Found"))</f>
        <v/>
      </c>
      <c r="F3795" s="27" t="str" cm="1">
        <f t="array" ref="F3795">IF(C3795="","",IFERROR(INDEX(STPP!$F$6:$F$4207,MATCH(C3795,STPP!$C$6:$C$4207,0)),"Not Found"))</f>
        <v/>
      </c>
      <c r="G3795" s="25" t="str">
        <f>IF(表1[[#This Row],[No Seri]]="","",表1[[#This Row],[Deskripsi Barang]]+表1[[#This Row],[Kuantitas]]-表1[[#This Row],[Satuan]])</f>
        <v/>
      </c>
      <c r="H3795" s="28"/>
      <c r="I3795" s="25" t="str">
        <f>IF(表1[[#This Row],[Tgl NPBG]]&gt;表1[[#This Row],[Peminta]],表1[[#This Row],[Tgl NPBG]]-表1[[#This Row],[Peminta]],"")</f>
        <v/>
      </c>
      <c r="J3795" s="31"/>
    </row>
    <row r="3796" s="12" customFormat="1" customHeight="1" spans="2:10">
      <c r="B3796" s="25"/>
      <c r="C3796" s="25"/>
      <c r="D3796" s="26" t="str" cm="1">
        <f t="array" ref="D3796">IF(C3796="","",IFERROR(INDEX(STPP!$D$6:$D$4207,MATCH(C3796,STPP!$C$6:$C$4207,0)),"Not Found"))</f>
        <v/>
      </c>
      <c r="E3796" s="27" t="str" cm="1">
        <f t="array" ref="E3796">IF(C3796="","",IFERROR(INDEX(STPP!$E$6:$E$4207,MATCH(C3796,STPP!$C$6:$C$4207,0)),"Not Found"))</f>
        <v/>
      </c>
      <c r="F3796" s="27" t="str" cm="1">
        <f t="array" ref="F3796">IF(C3796="","",IFERROR(INDEX(STPP!$F$6:$F$4207,MATCH(C3796,STPP!$C$6:$C$4207,0)),"Not Found"))</f>
        <v/>
      </c>
      <c r="G3796" s="25" t="str">
        <f>IF(表1[[#This Row],[No Seri]]="","",表1[[#This Row],[Deskripsi Barang]]+表1[[#This Row],[Kuantitas]]-表1[[#This Row],[Satuan]])</f>
        <v/>
      </c>
      <c r="H3796" s="28"/>
      <c r="I3796" s="25" t="str">
        <f>IF(表1[[#This Row],[Tgl NPBG]]&gt;表1[[#This Row],[Peminta]],表1[[#This Row],[Tgl NPBG]]-表1[[#This Row],[Peminta]],"")</f>
        <v/>
      </c>
      <c r="J3796" s="31"/>
    </row>
    <row r="3797" s="12" customFormat="1" customHeight="1" spans="2:10">
      <c r="B3797" s="25"/>
      <c r="C3797" s="25"/>
      <c r="D3797" s="26" t="str" cm="1">
        <f t="array" ref="D3797">IF(C3797="","",IFERROR(INDEX(STPP!$D$6:$D$4207,MATCH(C3797,STPP!$C$6:$C$4207,0)),"Not Found"))</f>
        <v/>
      </c>
      <c r="E3797" s="27" t="str" cm="1">
        <f t="array" ref="E3797">IF(C3797="","",IFERROR(INDEX(STPP!$E$6:$E$4207,MATCH(C3797,STPP!$C$6:$C$4207,0)),"Not Found"))</f>
        <v/>
      </c>
      <c r="F3797" s="27" t="str" cm="1">
        <f t="array" ref="F3797">IF(C3797="","",IFERROR(INDEX(STPP!$F$6:$F$4207,MATCH(C3797,STPP!$C$6:$C$4207,0)),"Not Found"))</f>
        <v/>
      </c>
      <c r="G3797" s="25" t="str">
        <f>IF(表1[[#This Row],[No Seri]]="","",表1[[#This Row],[Deskripsi Barang]]+表1[[#This Row],[Kuantitas]]-表1[[#This Row],[Satuan]])</f>
        <v/>
      </c>
      <c r="H3797" s="28"/>
      <c r="I3797" s="25" t="str">
        <f>IF(表1[[#This Row],[Tgl NPBG]]&gt;表1[[#This Row],[Peminta]],表1[[#This Row],[Tgl NPBG]]-表1[[#This Row],[Peminta]],"")</f>
        <v/>
      </c>
      <c r="J3797" s="31"/>
    </row>
    <row r="3798" s="12" customFormat="1" customHeight="1" spans="2:10">
      <c r="B3798" s="25"/>
      <c r="C3798" s="25"/>
      <c r="D3798" s="26" t="str" cm="1">
        <f t="array" ref="D3798">IF(C3798="","",IFERROR(INDEX(STPP!$D$6:$D$4207,MATCH(C3798,STPP!$C$6:$C$4207,0)),"Not Found"))</f>
        <v/>
      </c>
      <c r="E3798" s="27" t="str" cm="1">
        <f t="array" ref="E3798">IF(C3798="","",IFERROR(INDEX(STPP!$E$6:$E$4207,MATCH(C3798,STPP!$C$6:$C$4207,0)),"Not Found"))</f>
        <v/>
      </c>
      <c r="F3798" s="27" t="str" cm="1">
        <f t="array" ref="F3798">IF(C3798="","",IFERROR(INDEX(STPP!$F$6:$F$4207,MATCH(C3798,STPP!$C$6:$C$4207,0)),"Not Found"))</f>
        <v/>
      </c>
      <c r="G3798" s="25" t="str">
        <f>IF(表1[[#This Row],[No Seri]]="","",表1[[#This Row],[Deskripsi Barang]]+表1[[#This Row],[Kuantitas]]-表1[[#This Row],[Satuan]])</f>
        <v/>
      </c>
      <c r="H3798" s="28"/>
      <c r="I3798" s="25" t="str">
        <f>IF(表1[[#This Row],[Tgl NPBG]]&gt;表1[[#This Row],[Peminta]],表1[[#This Row],[Tgl NPBG]]-表1[[#This Row],[Peminta]],"")</f>
        <v/>
      </c>
      <c r="J3798" s="31"/>
    </row>
    <row r="3799" s="12" customFormat="1" customHeight="1" spans="2:10">
      <c r="B3799" s="25"/>
      <c r="C3799" s="25"/>
      <c r="D3799" s="26" t="str" cm="1">
        <f t="array" ref="D3799">IF(C3799="","",IFERROR(INDEX(STPP!$D$6:$D$4207,MATCH(C3799,STPP!$C$6:$C$4207,0)),"Not Found"))</f>
        <v/>
      </c>
      <c r="E3799" s="27" t="str" cm="1">
        <f t="array" ref="E3799">IF(C3799="","",IFERROR(INDEX(STPP!$E$6:$E$4207,MATCH(C3799,STPP!$C$6:$C$4207,0)),"Not Found"))</f>
        <v/>
      </c>
      <c r="F3799" s="27" t="str" cm="1">
        <f t="array" ref="F3799">IF(C3799="","",IFERROR(INDEX(STPP!$F$6:$F$4207,MATCH(C3799,STPP!$C$6:$C$4207,0)),"Not Found"))</f>
        <v/>
      </c>
      <c r="G3799" s="25" t="str">
        <f>IF(表1[[#This Row],[No Seri]]="","",表1[[#This Row],[Deskripsi Barang]]+表1[[#This Row],[Kuantitas]]-表1[[#This Row],[Satuan]])</f>
        <v/>
      </c>
      <c r="H3799" s="28"/>
      <c r="I3799" s="25" t="str">
        <f>IF(表1[[#This Row],[Tgl NPBG]]&gt;表1[[#This Row],[Peminta]],表1[[#This Row],[Tgl NPBG]]-表1[[#This Row],[Peminta]],"")</f>
        <v/>
      </c>
      <c r="J3799" s="31"/>
    </row>
    <row r="3800" s="12" customFormat="1" customHeight="1" spans="2:10">
      <c r="B3800" s="25"/>
      <c r="C3800" s="25"/>
      <c r="D3800" s="26" t="str" cm="1">
        <f t="array" ref="D3800">IF(C3800="","",IFERROR(INDEX(STPP!$D$6:$D$4207,MATCH(C3800,STPP!$C$6:$C$4207,0)),"Not Found"))</f>
        <v/>
      </c>
      <c r="E3800" s="27" t="str" cm="1">
        <f t="array" ref="E3800">IF(C3800="","",IFERROR(INDEX(STPP!$E$6:$E$4207,MATCH(C3800,STPP!$C$6:$C$4207,0)),"Not Found"))</f>
        <v/>
      </c>
      <c r="F3800" s="27" t="str" cm="1">
        <f t="array" ref="F3800">IF(C3800="","",IFERROR(INDEX(STPP!$F$6:$F$4207,MATCH(C3800,STPP!$C$6:$C$4207,0)),"Not Found"))</f>
        <v/>
      </c>
      <c r="G3800" s="25" t="str">
        <f>IF(表1[[#This Row],[No Seri]]="","",表1[[#This Row],[Deskripsi Barang]]+表1[[#This Row],[Kuantitas]]-表1[[#This Row],[Satuan]])</f>
        <v/>
      </c>
      <c r="H3800" s="28"/>
      <c r="I3800" s="25" t="str">
        <f>IF(表1[[#This Row],[Tgl NPBG]]&gt;表1[[#This Row],[Peminta]],表1[[#This Row],[Tgl NPBG]]-表1[[#This Row],[Peminta]],"")</f>
        <v/>
      </c>
      <c r="J3800" s="31"/>
    </row>
    <row r="3801" s="12" customFormat="1" customHeight="1" spans="2:10">
      <c r="B3801" s="25"/>
      <c r="C3801" s="25"/>
      <c r="D3801" s="26" t="str" cm="1">
        <f t="array" ref="D3801">IF(C3801="","",IFERROR(INDEX(STPP!$D$6:$D$4207,MATCH(C3801,STPP!$C$6:$C$4207,0)),"Not Found"))</f>
        <v/>
      </c>
      <c r="E3801" s="27" t="str" cm="1">
        <f t="array" ref="E3801">IF(C3801="","",IFERROR(INDEX(STPP!$E$6:$E$4207,MATCH(C3801,STPP!$C$6:$C$4207,0)),"Not Found"))</f>
        <v/>
      </c>
      <c r="F3801" s="27" t="str" cm="1">
        <f t="array" ref="F3801">IF(C3801="","",IFERROR(INDEX(STPP!$F$6:$F$4207,MATCH(C3801,STPP!$C$6:$C$4207,0)),"Not Found"))</f>
        <v/>
      </c>
      <c r="G3801" s="25" t="str">
        <f>IF(表1[[#This Row],[No Seri]]="","",表1[[#This Row],[Deskripsi Barang]]+表1[[#This Row],[Kuantitas]]-表1[[#This Row],[Satuan]])</f>
        <v/>
      </c>
      <c r="H3801" s="28"/>
      <c r="I3801" s="25" t="str">
        <f>IF(表1[[#This Row],[Tgl NPBG]]&gt;表1[[#This Row],[Peminta]],表1[[#This Row],[Tgl NPBG]]-表1[[#This Row],[Peminta]],"")</f>
        <v/>
      </c>
      <c r="J3801" s="31"/>
    </row>
    <row r="3802" s="12" customFormat="1" customHeight="1" spans="2:10">
      <c r="B3802" s="25"/>
      <c r="C3802" s="25"/>
      <c r="D3802" s="26" t="str" cm="1">
        <f t="array" ref="D3802">IF(C3802="","",IFERROR(INDEX(STPP!$D$6:$D$4207,MATCH(C3802,STPP!$C$6:$C$4207,0)),"Not Found"))</f>
        <v/>
      </c>
      <c r="E3802" s="27" t="str" cm="1">
        <f t="array" ref="E3802">IF(C3802="","",IFERROR(INDEX(STPP!$E$6:$E$4207,MATCH(C3802,STPP!$C$6:$C$4207,0)),"Not Found"))</f>
        <v/>
      </c>
      <c r="F3802" s="27" t="str" cm="1">
        <f t="array" ref="F3802">IF(C3802="","",IFERROR(INDEX(STPP!$F$6:$F$4207,MATCH(C3802,STPP!$C$6:$C$4207,0)),"Not Found"))</f>
        <v/>
      </c>
      <c r="G3802" s="25" t="str">
        <f>IF(表1[[#This Row],[No Seri]]="","",表1[[#This Row],[Deskripsi Barang]]+表1[[#This Row],[Kuantitas]]-表1[[#This Row],[Satuan]])</f>
        <v/>
      </c>
      <c r="H3802" s="28"/>
      <c r="I3802" s="25" t="str">
        <f>IF(表1[[#This Row],[Tgl NPBG]]&gt;表1[[#This Row],[Peminta]],表1[[#This Row],[Tgl NPBG]]-表1[[#This Row],[Peminta]],"")</f>
        <v/>
      </c>
      <c r="J3802" s="31"/>
    </row>
    <row r="3803" s="12" customFormat="1" customHeight="1" spans="2:10">
      <c r="B3803" s="25"/>
      <c r="C3803" s="25"/>
      <c r="D3803" s="26" t="str" cm="1">
        <f t="array" ref="D3803">IF(C3803="","",IFERROR(INDEX(STPP!$D$6:$D$4207,MATCH(C3803,STPP!$C$6:$C$4207,0)),"Not Found"))</f>
        <v/>
      </c>
      <c r="E3803" s="27" t="str" cm="1">
        <f t="array" ref="E3803">IF(C3803="","",IFERROR(INDEX(STPP!$E$6:$E$4207,MATCH(C3803,STPP!$C$6:$C$4207,0)),"Not Found"))</f>
        <v/>
      </c>
      <c r="F3803" s="27" t="str" cm="1">
        <f t="array" ref="F3803">IF(C3803="","",IFERROR(INDEX(STPP!$F$6:$F$4207,MATCH(C3803,STPP!$C$6:$C$4207,0)),"Not Found"))</f>
        <v/>
      </c>
      <c r="G3803" s="25" t="str">
        <f>IF(表1[[#This Row],[No Seri]]="","",表1[[#This Row],[Deskripsi Barang]]+表1[[#This Row],[Kuantitas]]-表1[[#This Row],[Satuan]])</f>
        <v/>
      </c>
      <c r="H3803" s="28"/>
      <c r="I3803" s="25" t="str">
        <f>IF(表1[[#This Row],[Tgl NPBG]]&gt;表1[[#This Row],[Peminta]],表1[[#This Row],[Tgl NPBG]]-表1[[#This Row],[Peminta]],"")</f>
        <v/>
      </c>
      <c r="J3803" s="31"/>
    </row>
    <row r="3804" s="12" customFormat="1" customHeight="1" spans="2:10">
      <c r="B3804" s="25"/>
      <c r="C3804" s="25"/>
      <c r="D3804" s="26" t="str" cm="1">
        <f t="array" ref="D3804">IF(C3804="","",IFERROR(INDEX(STPP!$D$6:$D$4207,MATCH(C3804,STPP!$C$6:$C$4207,0)),"Not Found"))</f>
        <v/>
      </c>
      <c r="E3804" s="27" t="str" cm="1">
        <f t="array" ref="E3804">IF(C3804="","",IFERROR(INDEX(STPP!$E$6:$E$4207,MATCH(C3804,STPP!$C$6:$C$4207,0)),"Not Found"))</f>
        <v/>
      </c>
      <c r="F3804" s="27" t="str" cm="1">
        <f t="array" ref="F3804">IF(C3804="","",IFERROR(INDEX(STPP!$F$6:$F$4207,MATCH(C3804,STPP!$C$6:$C$4207,0)),"Not Found"))</f>
        <v/>
      </c>
      <c r="G3804" s="25" t="str">
        <f>IF(表1[[#This Row],[No Seri]]="","",表1[[#This Row],[Deskripsi Barang]]+表1[[#This Row],[Kuantitas]]-表1[[#This Row],[Satuan]])</f>
        <v/>
      </c>
      <c r="H3804" s="28"/>
      <c r="I3804" s="25" t="str">
        <f>IF(表1[[#This Row],[Tgl NPBG]]&gt;表1[[#This Row],[Peminta]],表1[[#This Row],[Tgl NPBG]]-表1[[#This Row],[Peminta]],"")</f>
        <v/>
      </c>
      <c r="J3804" s="31"/>
    </row>
    <row r="3805" s="12" customFormat="1" customHeight="1" spans="2:10">
      <c r="B3805" s="25"/>
      <c r="C3805" s="25"/>
      <c r="D3805" s="26" t="str" cm="1">
        <f t="array" ref="D3805">IF(C3805="","",IFERROR(INDEX(STPP!$D$6:$D$4207,MATCH(C3805,STPP!$C$6:$C$4207,0)),"Not Found"))</f>
        <v/>
      </c>
      <c r="E3805" s="27" t="str" cm="1">
        <f t="array" ref="E3805">IF(C3805="","",IFERROR(INDEX(STPP!$E$6:$E$4207,MATCH(C3805,STPP!$C$6:$C$4207,0)),"Not Found"))</f>
        <v/>
      </c>
      <c r="F3805" s="27" t="str" cm="1">
        <f t="array" ref="F3805">IF(C3805="","",IFERROR(INDEX(STPP!$F$6:$F$4207,MATCH(C3805,STPP!$C$6:$C$4207,0)),"Not Found"))</f>
        <v/>
      </c>
      <c r="G3805" s="25" t="str">
        <f>IF(表1[[#This Row],[No Seri]]="","",表1[[#This Row],[Deskripsi Barang]]+表1[[#This Row],[Kuantitas]]-表1[[#This Row],[Satuan]])</f>
        <v/>
      </c>
      <c r="H3805" s="28"/>
      <c r="I3805" s="25" t="str">
        <f>IF(表1[[#This Row],[Tgl NPBG]]&gt;表1[[#This Row],[Peminta]],表1[[#This Row],[Tgl NPBG]]-表1[[#This Row],[Peminta]],"")</f>
        <v/>
      </c>
      <c r="J3805" s="31"/>
    </row>
    <row r="3806" s="12" customFormat="1" customHeight="1" spans="2:10">
      <c r="B3806" s="25"/>
      <c r="C3806" s="25"/>
      <c r="D3806" s="26" t="str" cm="1">
        <f t="array" ref="D3806">IF(C3806="","",IFERROR(INDEX(STPP!$D$6:$D$4207,MATCH(C3806,STPP!$C$6:$C$4207,0)),"Not Found"))</f>
        <v/>
      </c>
      <c r="E3806" s="27" t="str" cm="1">
        <f t="array" ref="E3806">IF(C3806="","",IFERROR(INDEX(STPP!$E$6:$E$4207,MATCH(C3806,STPP!$C$6:$C$4207,0)),"Not Found"))</f>
        <v/>
      </c>
      <c r="F3806" s="27" t="str" cm="1">
        <f t="array" ref="F3806">IF(C3806="","",IFERROR(INDEX(STPP!$F$6:$F$4207,MATCH(C3806,STPP!$C$6:$C$4207,0)),"Not Found"))</f>
        <v/>
      </c>
      <c r="G3806" s="25" t="str">
        <f>IF(表1[[#This Row],[No Seri]]="","",表1[[#This Row],[Deskripsi Barang]]+表1[[#This Row],[Kuantitas]]-表1[[#This Row],[Satuan]])</f>
        <v/>
      </c>
      <c r="H3806" s="28"/>
      <c r="I3806" s="25" t="str">
        <f>IF(表1[[#This Row],[Tgl NPBG]]&gt;表1[[#This Row],[Peminta]],表1[[#This Row],[Tgl NPBG]]-表1[[#This Row],[Peminta]],"")</f>
        <v/>
      </c>
      <c r="J3806" s="31"/>
    </row>
    <row r="3807" s="12" customFormat="1" customHeight="1" spans="2:10">
      <c r="B3807" s="25"/>
      <c r="C3807" s="25"/>
      <c r="D3807" s="26" t="str" cm="1">
        <f t="array" ref="D3807">IF(C3807="","",IFERROR(INDEX(STPP!$D$6:$D$4207,MATCH(C3807,STPP!$C$6:$C$4207,0)),"Not Found"))</f>
        <v/>
      </c>
      <c r="E3807" s="27" t="str" cm="1">
        <f t="array" ref="E3807">IF(C3807="","",IFERROR(INDEX(STPP!$E$6:$E$4207,MATCH(C3807,STPP!$C$6:$C$4207,0)),"Not Found"))</f>
        <v/>
      </c>
      <c r="F3807" s="27" t="str" cm="1">
        <f t="array" ref="F3807">IF(C3807="","",IFERROR(INDEX(STPP!$F$6:$F$4207,MATCH(C3807,STPP!$C$6:$C$4207,0)),"Not Found"))</f>
        <v/>
      </c>
      <c r="G3807" s="25" t="str">
        <f>IF(表1[[#This Row],[No Seri]]="","",表1[[#This Row],[Deskripsi Barang]]+表1[[#This Row],[Kuantitas]]-表1[[#This Row],[Satuan]])</f>
        <v/>
      </c>
      <c r="H3807" s="28"/>
      <c r="I3807" s="25" t="str">
        <f>IF(表1[[#This Row],[Tgl NPBG]]&gt;表1[[#This Row],[Peminta]],表1[[#This Row],[Tgl NPBG]]-表1[[#This Row],[Peminta]],"")</f>
        <v/>
      </c>
      <c r="J3807" s="31"/>
    </row>
    <row r="3808" s="12" customFormat="1" customHeight="1" spans="2:10">
      <c r="B3808" s="25"/>
      <c r="C3808" s="25"/>
      <c r="D3808" s="26" t="str" cm="1">
        <f t="array" ref="D3808">IF(C3808="","",IFERROR(INDEX(STPP!$D$6:$D$4207,MATCH(C3808,STPP!$C$6:$C$4207,0)),"Not Found"))</f>
        <v/>
      </c>
      <c r="E3808" s="27" t="str" cm="1">
        <f t="array" ref="E3808">IF(C3808="","",IFERROR(INDEX(STPP!$E$6:$E$4207,MATCH(C3808,STPP!$C$6:$C$4207,0)),"Not Found"))</f>
        <v/>
      </c>
      <c r="F3808" s="27" t="str" cm="1">
        <f t="array" ref="F3808">IF(C3808="","",IFERROR(INDEX(STPP!$F$6:$F$4207,MATCH(C3808,STPP!$C$6:$C$4207,0)),"Not Found"))</f>
        <v/>
      </c>
      <c r="G3808" s="25" t="str">
        <f>IF(表1[[#This Row],[No Seri]]="","",表1[[#This Row],[Deskripsi Barang]]+表1[[#This Row],[Kuantitas]]-表1[[#This Row],[Satuan]])</f>
        <v/>
      </c>
      <c r="H3808" s="28"/>
      <c r="I3808" s="25" t="str">
        <f>IF(表1[[#This Row],[Tgl NPBG]]&gt;表1[[#This Row],[Peminta]],表1[[#This Row],[Tgl NPBG]]-表1[[#This Row],[Peminta]],"")</f>
        <v/>
      </c>
      <c r="J3808" s="31"/>
    </row>
    <row r="3809" s="12" customFormat="1" customHeight="1" spans="2:10">
      <c r="B3809" s="25"/>
      <c r="C3809" s="25"/>
      <c r="D3809" s="26" t="str" cm="1">
        <f t="array" ref="D3809">IF(C3809="","",IFERROR(INDEX(STPP!$D$6:$D$4207,MATCH(C3809,STPP!$C$6:$C$4207,0)),"Not Found"))</f>
        <v/>
      </c>
      <c r="E3809" s="27" t="str" cm="1">
        <f t="array" ref="E3809">IF(C3809="","",IFERROR(INDEX(STPP!$E$6:$E$4207,MATCH(C3809,STPP!$C$6:$C$4207,0)),"Not Found"))</f>
        <v/>
      </c>
      <c r="F3809" s="27" t="str" cm="1">
        <f t="array" ref="F3809">IF(C3809="","",IFERROR(INDEX(STPP!$F$6:$F$4207,MATCH(C3809,STPP!$C$6:$C$4207,0)),"Not Found"))</f>
        <v/>
      </c>
      <c r="G3809" s="25" t="str">
        <f>IF(表1[[#This Row],[No Seri]]="","",表1[[#This Row],[Deskripsi Barang]]+表1[[#This Row],[Kuantitas]]-表1[[#This Row],[Satuan]])</f>
        <v/>
      </c>
      <c r="H3809" s="28"/>
      <c r="I3809" s="25" t="str">
        <f>IF(表1[[#This Row],[Tgl NPBG]]&gt;表1[[#This Row],[Peminta]],表1[[#This Row],[Tgl NPBG]]-表1[[#This Row],[Peminta]],"")</f>
        <v/>
      </c>
      <c r="J3809" s="31"/>
    </row>
    <row r="3810" s="12" customFormat="1" customHeight="1" spans="2:10">
      <c r="B3810" s="25"/>
      <c r="C3810" s="25"/>
      <c r="D3810" s="26" t="str" cm="1">
        <f t="array" ref="D3810">IF(C3810="","",IFERROR(INDEX(STPP!$D$6:$D$4207,MATCH(C3810,STPP!$C$6:$C$4207,0)),"Not Found"))</f>
        <v/>
      </c>
      <c r="E3810" s="27" t="str" cm="1">
        <f t="array" ref="E3810">IF(C3810="","",IFERROR(INDEX(STPP!$E$6:$E$4207,MATCH(C3810,STPP!$C$6:$C$4207,0)),"Not Found"))</f>
        <v/>
      </c>
      <c r="F3810" s="27" t="str" cm="1">
        <f t="array" ref="F3810">IF(C3810="","",IFERROR(INDEX(STPP!$F$6:$F$4207,MATCH(C3810,STPP!$C$6:$C$4207,0)),"Not Found"))</f>
        <v/>
      </c>
      <c r="G3810" s="25" t="str">
        <f>IF(表1[[#This Row],[No Seri]]="","",表1[[#This Row],[Deskripsi Barang]]+表1[[#This Row],[Kuantitas]]-表1[[#This Row],[Satuan]])</f>
        <v/>
      </c>
      <c r="H3810" s="28"/>
      <c r="I3810" s="25" t="str">
        <f>IF(表1[[#This Row],[Tgl NPBG]]&gt;表1[[#This Row],[Peminta]],表1[[#This Row],[Tgl NPBG]]-表1[[#This Row],[Peminta]],"")</f>
        <v/>
      </c>
      <c r="J3810" s="31"/>
    </row>
    <row r="3811" s="12" customFormat="1" customHeight="1" spans="2:10">
      <c r="B3811" s="25"/>
      <c r="C3811" s="25"/>
      <c r="D3811" s="26" t="str" cm="1">
        <f t="array" ref="D3811">IF(C3811="","",IFERROR(INDEX(STPP!$D$6:$D$4207,MATCH(C3811,STPP!$C$6:$C$4207,0)),"Not Found"))</f>
        <v/>
      </c>
      <c r="E3811" s="27" t="str" cm="1">
        <f t="array" ref="E3811">IF(C3811="","",IFERROR(INDEX(STPP!$E$6:$E$4207,MATCH(C3811,STPP!$C$6:$C$4207,0)),"Not Found"))</f>
        <v/>
      </c>
      <c r="F3811" s="27" t="str" cm="1">
        <f t="array" ref="F3811">IF(C3811="","",IFERROR(INDEX(STPP!$F$6:$F$4207,MATCH(C3811,STPP!$C$6:$C$4207,0)),"Not Found"))</f>
        <v/>
      </c>
      <c r="G3811" s="25" t="str">
        <f>IF(表1[[#This Row],[No Seri]]="","",表1[[#This Row],[Deskripsi Barang]]+表1[[#This Row],[Kuantitas]]-表1[[#This Row],[Satuan]])</f>
        <v/>
      </c>
      <c r="H3811" s="28"/>
      <c r="I3811" s="25" t="str">
        <f>IF(表1[[#This Row],[Tgl NPBG]]&gt;表1[[#This Row],[Peminta]],表1[[#This Row],[Tgl NPBG]]-表1[[#This Row],[Peminta]],"")</f>
        <v/>
      </c>
      <c r="J3811" s="31"/>
    </row>
    <row r="3812" s="12" customFormat="1" customHeight="1" spans="2:10">
      <c r="B3812" s="25"/>
      <c r="C3812" s="25"/>
      <c r="D3812" s="26" t="str" cm="1">
        <f t="array" ref="D3812">IF(C3812="","",IFERROR(INDEX(STPP!$D$6:$D$4207,MATCH(C3812,STPP!$C$6:$C$4207,0)),"Not Found"))</f>
        <v/>
      </c>
      <c r="E3812" s="27" t="str" cm="1">
        <f t="array" ref="E3812">IF(C3812="","",IFERROR(INDEX(STPP!$E$6:$E$4207,MATCH(C3812,STPP!$C$6:$C$4207,0)),"Not Found"))</f>
        <v/>
      </c>
      <c r="F3812" s="27" t="str" cm="1">
        <f t="array" ref="F3812">IF(C3812="","",IFERROR(INDEX(STPP!$F$6:$F$4207,MATCH(C3812,STPP!$C$6:$C$4207,0)),"Not Found"))</f>
        <v/>
      </c>
      <c r="G3812" s="25" t="str">
        <f>IF(表1[[#This Row],[No Seri]]="","",表1[[#This Row],[Deskripsi Barang]]+表1[[#This Row],[Kuantitas]]-表1[[#This Row],[Satuan]])</f>
        <v/>
      </c>
      <c r="H3812" s="28"/>
      <c r="I3812" s="25" t="str">
        <f>IF(表1[[#This Row],[Tgl NPBG]]&gt;表1[[#This Row],[Peminta]],表1[[#This Row],[Tgl NPBG]]-表1[[#This Row],[Peminta]],"")</f>
        <v/>
      </c>
      <c r="J3812" s="31"/>
    </row>
    <row r="3813" s="12" customFormat="1" customHeight="1" spans="2:10">
      <c r="B3813" s="25"/>
      <c r="C3813" s="25"/>
      <c r="D3813" s="26" t="str" cm="1">
        <f t="array" ref="D3813">IF(C3813="","",IFERROR(INDEX(STPP!$D$6:$D$4207,MATCH(C3813,STPP!$C$6:$C$4207,0)),"Not Found"))</f>
        <v/>
      </c>
      <c r="E3813" s="27" t="str" cm="1">
        <f t="array" ref="E3813">IF(C3813="","",IFERROR(INDEX(STPP!$E$6:$E$4207,MATCH(C3813,STPP!$C$6:$C$4207,0)),"Not Found"))</f>
        <v/>
      </c>
      <c r="F3813" s="27" t="str" cm="1">
        <f t="array" ref="F3813">IF(C3813="","",IFERROR(INDEX(STPP!$F$6:$F$4207,MATCH(C3813,STPP!$C$6:$C$4207,0)),"Not Found"))</f>
        <v/>
      </c>
      <c r="G3813" s="25" t="str">
        <f>IF(表1[[#This Row],[No Seri]]="","",表1[[#This Row],[Deskripsi Barang]]+表1[[#This Row],[Kuantitas]]-表1[[#This Row],[Satuan]])</f>
        <v/>
      </c>
      <c r="H3813" s="28"/>
      <c r="I3813" s="25" t="str">
        <f>IF(表1[[#This Row],[Tgl NPBG]]&gt;表1[[#This Row],[Peminta]],表1[[#This Row],[Tgl NPBG]]-表1[[#This Row],[Peminta]],"")</f>
        <v/>
      </c>
      <c r="J3813" s="31"/>
    </row>
    <row r="3814" s="12" customFormat="1" customHeight="1" spans="2:10">
      <c r="B3814" s="25"/>
      <c r="C3814" s="25"/>
      <c r="D3814" s="26" t="str" cm="1">
        <f t="array" ref="D3814">IF(C3814="","",IFERROR(INDEX(STPP!$D$6:$D$4207,MATCH(C3814,STPP!$C$6:$C$4207,0)),"Not Found"))</f>
        <v/>
      </c>
      <c r="E3814" s="27" t="str" cm="1">
        <f t="array" ref="E3814">IF(C3814="","",IFERROR(INDEX(STPP!$E$6:$E$4207,MATCH(C3814,STPP!$C$6:$C$4207,0)),"Not Found"))</f>
        <v/>
      </c>
      <c r="F3814" s="27" t="str" cm="1">
        <f t="array" ref="F3814">IF(C3814="","",IFERROR(INDEX(STPP!$F$6:$F$4207,MATCH(C3814,STPP!$C$6:$C$4207,0)),"Not Found"))</f>
        <v/>
      </c>
      <c r="G3814" s="25" t="str">
        <f>IF(表1[[#This Row],[No Seri]]="","",表1[[#This Row],[Deskripsi Barang]]+表1[[#This Row],[Kuantitas]]-表1[[#This Row],[Satuan]])</f>
        <v/>
      </c>
      <c r="H3814" s="28"/>
      <c r="I3814" s="25" t="str">
        <f>IF(表1[[#This Row],[Tgl NPBG]]&gt;表1[[#This Row],[Peminta]],表1[[#This Row],[Tgl NPBG]]-表1[[#This Row],[Peminta]],"")</f>
        <v/>
      </c>
      <c r="J3814" s="31"/>
    </row>
    <row r="3815" s="12" customFormat="1" customHeight="1" spans="2:10">
      <c r="B3815" s="25"/>
      <c r="C3815" s="25"/>
      <c r="D3815" s="26" t="str" cm="1">
        <f t="array" ref="D3815">IF(C3815="","",IFERROR(INDEX(STPP!$D$6:$D$4207,MATCH(C3815,STPP!$C$6:$C$4207,0)),"Not Found"))</f>
        <v/>
      </c>
      <c r="E3815" s="27" t="str" cm="1">
        <f t="array" ref="E3815">IF(C3815="","",IFERROR(INDEX(STPP!$E$6:$E$4207,MATCH(C3815,STPP!$C$6:$C$4207,0)),"Not Found"))</f>
        <v/>
      </c>
      <c r="F3815" s="27" t="str" cm="1">
        <f t="array" ref="F3815">IF(C3815="","",IFERROR(INDEX(STPP!$F$6:$F$4207,MATCH(C3815,STPP!$C$6:$C$4207,0)),"Not Found"))</f>
        <v/>
      </c>
      <c r="G3815" s="25" t="str">
        <f>IF(表1[[#This Row],[No Seri]]="","",表1[[#This Row],[Deskripsi Barang]]+表1[[#This Row],[Kuantitas]]-表1[[#This Row],[Satuan]])</f>
        <v/>
      </c>
      <c r="H3815" s="28"/>
      <c r="I3815" s="25" t="str">
        <f>IF(表1[[#This Row],[Tgl NPBG]]&gt;表1[[#This Row],[Peminta]],表1[[#This Row],[Tgl NPBG]]-表1[[#This Row],[Peminta]],"")</f>
        <v/>
      </c>
      <c r="J3815" s="31"/>
    </row>
    <row r="3816" s="12" customFormat="1" customHeight="1" spans="2:10">
      <c r="B3816" s="25"/>
      <c r="C3816" s="25"/>
      <c r="D3816" s="26" t="str" cm="1">
        <f t="array" ref="D3816">IF(C3816="","",IFERROR(INDEX(STPP!$D$6:$D$4207,MATCH(C3816,STPP!$C$6:$C$4207,0)),"Not Found"))</f>
        <v/>
      </c>
      <c r="E3816" s="27" t="str" cm="1">
        <f t="array" ref="E3816">IF(C3816="","",IFERROR(INDEX(STPP!$E$6:$E$4207,MATCH(C3816,STPP!$C$6:$C$4207,0)),"Not Found"))</f>
        <v/>
      </c>
      <c r="F3816" s="27" t="str" cm="1">
        <f t="array" ref="F3816">IF(C3816="","",IFERROR(INDEX(STPP!$F$6:$F$4207,MATCH(C3816,STPP!$C$6:$C$4207,0)),"Not Found"))</f>
        <v/>
      </c>
      <c r="G3816" s="25" t="str">
        <f>IF(表1[[#This Row],[No Seri]]="","",表1[[#This Row],[Deskripsi Barang]]+表1[[#This Row],[Kuantitas]]-表1[[#This Row],[Satuan]])</f>
        <v/>
      </c>
      <c r="H3816" s="28"/>
      <c r="I3816" s="25" t="str">
        <f>IF(表1[[#This Row],[Tgl NPBG]]&gt;表1[[#This Row],[Peminta]],表1[[#This Row],[Tgl NPBG]]-表1[[#This Row],[Peminta]],"")</f>
        <v/>
      </c>
      <c r="J3816" s="31"/>
    </row>
    <row r="3817" s="12" customFormat="1" customHeight="1" spans="2:10">
      <c r="B3817" s="25"/>
      <c r="C3817" s="25"/>
      <c r="D3817" s="26" t="str" cm="1">
        <f t="array" ref="D3817">IF(C3817="","",IFERROR(INDEX(STPP!$D$6:$D$4207,MATCH(C3817,STPP!$C$6:$C$4207,0)),"Not Found"))</f>
        <v/>
      </c>
      <c r="E3817" s="27" t="str" cm="1">
        <f t="array" ref="E3817">IF(C3817="","",IFERROR(INDEX(STPP!$E$6:$E$4207,MATCH(C3817,STPP!$C$6:$C$4207,0)),"Not Found"))</f>
        <v/>
      </c>
      <c r="F3817" s="27" t="str" cm="1">
        <f t="array" ref="F3817">IF(C3817="","",IFERROR(INDEX(STPP!$F$6:$F$4207,MATCH(C3817,STPP!$C$6:$C$4207,0)),"Not Found"))</f>
        <v/>
      </c>
      <c r="G3817" s="25" t="str">
        <f>IF(表1[[#This Row],[No Seri]]="","",表1[[#This Row],[Deskripsi Barang]]+表1[[#This Row],[Kuantitas]]-表1[[#This Row],[Satuan]])</f>
        <v/>
      </c>
      <c r="H3817" s="28"/>
      <c r="I3817" s="25" t="str">
        <f>IF(表1[[#This Row],[Tgl NPBG]]&gt;表1[[#This Row],[Peminta]],表1[[#This Row],[Tgl NPBG]]-表1[[#This Row],[Peminta]],"")</f>
        <v/>
      </c>
      <c r="J3817" s="31"/>
    </row>
    <row r="3818" s="12" customFormat="1" customHeight="1" spans="2:10">
      <c r="B3818" s="25"/>
      <c r="C3818" s="25"/>
      <c r="D3818" s="26" t="str" cm="1">
        <f t="array" ref="D3818">IF(C3818="","",IFERROR(INDEX(STPP!$D$6:$D$4207,MATCH(C3818,STPP!$C$6:$C$4207,0)),"Not Found"))</f>
        <v/>
      </c>
      <c r="E3818" s="27" t="str" cm="1">
        <f t="array" ref="E3818">IF(C3818="","",IFERROR(INDEX(STPP!$E$6:$E$4207,MATCH(C3818,STPP!$C$6:$C$4207,0)),"Not Found"))</f>
        <v/>
      </c>
      <c r="F3818" s="27" t="str" cm="1">
        <f t="array" ref="F3818">IF(C3818="","",IFERROR(INDEX(STPP!$F$6:$F$4207,MATCH(C3818,STPP!$C$6:$C$4207,0)),"Not Found"))</f>
        <v/>
      </c>
      <c r="G3818" s="25" t="str">
        <f>IF(表1[[#This Row],[No Seri]]="","",表1[[#This Row],[Deskripsi Barang]]+表1[[#This Row],[Kuantitas]]-表1[[#This Row],[Satuan]])</f>
        <v/>
      </c>
      <c r="H3818" s="28"/>
      <c r="I3818" s="25" t="str">
        <f>IF(表1[[#This Row],[Tgl NPBG]]&gt;表1[[#This Row],[Peminta]],表1[[#This Row],[Tgl NPBG]]-表1[[#This Row],[Peminta]],"")</f>
        <v/>
      </c>
      <c r="J3818" s="31"/>
    </row>
    <row r="3819" s="12" customFormat="1" customHeight="1" spans="2:10">
      <c r="B3819" s="25"/>
      <c r="C3819" s="25"/>
      <c r="D3819" s="26" t="str" cm="1">
        <f t="array" ref="D3819">IF(C3819="","",IFERROR(INDEX(STPP!$D$6:$D$4207,MATCH(C3819,STPP!$C$6:$C$4207,0)),"Not Found"))</f>
        <v/>
      </c>
      <c r="E3819" s="27" t="str" cm="1">
        <f t="array" ref="E3819">IF(C3819="","",IFERROR(INDEX(STPP!$E$6:$E$4207,MATCH(C3819,STPP!$C$6:$C$4207,0)),"Not Found"))</f>
        <v/>
      </c>
      <c r="F3819" s="27" t="str" cm="1">
        <f t="array" ref="F3819">IF(C3819="","",IFERROR(INDEX(STPP!$F$6:$F$4207,MATCH(C3819,STPP!$C$6:$C$4207,0)),"Not Found"))</f>
        <v/>
      </c>
      <c r="G3819" s="25" t="str">
        <f>IF(表1[[#This Row],[No Seri]]="","",表1[[#This Row],[Deskripsi Barang]]+表1[[#This Row],[Kuantitas]]-表1[[#This Row],[Satuan]])</f>
        <v/>
      </c>
      <c r="H3819" s="28"/>
      <c r="I3819" s="25" t="str">
        <f>IF(表1[[#This Row],[Tgl NPBG]]&gt;表1[[#This Row],[Peminta]],表1[[#This Row],[Tgl NPBG]]-表1[[#This Row],[Peminta]],"")</f>
        <v/>
      </c>
      <c r="J3819" s="31"/>
    </row>
    <row r="3820" s="12" customFormat="1" customHeight="1" spans="2:10">
      <c r="B3820" s="25"/>
      <c r="C3820" s="25"/>
      <c r="D3820" s="26" t="str" cm="1">
        <f t="array" ref="D3820">IF(C3820="","",IFERROR(INDEX(STPP!$D$6:$D$4207,MATCH(C3820,STPP!$C$6:$C$4207,0)),"Not Found"))</f>
        <v/>
      </c>
      <c r="E3820" s="27" t="str" cm="1">
        <f t="array" ref="E3820">IF(C3820="","",IFERROR(INDEX(STPP!$E$6:$E$4207,MATCH(C3820,STPP!$C$6:$C$4207,0)),"Not Found"))</f>
        <v/>
      </c>
      <c r="F3820" s="27" t="str" cm="1">
        <f t="array" ref="F3820">IF(C3820="","",IFERROR(INDEX(STPP!$F$6:$F$4207,MATCH(C3820,STPP!$C$6:$C$4207,0)),"Not Found"))</f>
        <v/>
      </c>
      <c r="G3820" s="25" t="str">
        <f>IF(表1[[#This Row],[No Seri]]="","",表1[[#This Row],[Deskripsi Barang]]+表1[[#This Row],[Kuantitas]]-表1[[#This Row],[Satuan]])</f>
        <v/>
      </c>
      <c r="H3820" s="28"/>
      <c r="I3820" s="25" t="str">
        <f>IF(表1[[#This Row],[Tgl NPBG]]&gt;表1[[#This Row],[Peminta]],表1[[#This Row],[Tgl NPBG]]-表1[[#This Row],[Peminta]],"")</f>
        <v/>
      </c>
      <c r="J3820" s="31"/>
    </row>
    <row r="3821" s="12" customFormat="1" customHeight="1" spans="2:10">
      <c r="B3821" s="25"/>
      <c r="C3821" s="25"/>
      <c r="D3821" s="26" t="str" cm="1">
        <f t="array" ref="D3821">IF(C3821="","",IFERROR(INDEX(STPP!$D$6:$D$4207,MATCH(C3821,STPP!$C$6:$C$4207,0)),"Not Found"))</f>
        <v/>
      </c>
      <c r="E3821" s="27" t="str" cm="1">
        <f t="array" ref="E3821">IF(C3821="","",IFERROR(INDEX(STPP!$E$6:$E$4207,MATCH(C3821,STPP!$C$6:$C$4207,0)),"Not Found"))</f>
        <v/>
      </c>
      <c r="F3821" s="27" t="str" cm="1">
        <f t="array" ref="F3821">IF(C3821="","",IFERROR(INDEX(STPP!$F$6:$F$4207,MATCH(C3821,STPP!$C$6:$C$4207,0)),"Not Found"))</f>
        <v/>
      </c>
      <c r="G3821" s="25" t="str">
        <f>IF(表1[[#This Row],[No Seri]]="","",表1[[#This Row],[Deskripsi Barang]]+表1[[#This Row],[Kuantitas]]-表1[[#This Row],[Satuan]])</f>
        <v/>
      </c>
      <c r="H3821" s="28"/>
      <c r="I3821" s="25" t="str">
        <f>IF(表1[[#This Row],[Tgl NPBG]]&gt;表1[[#This Row],[Peminta]],表1[[#This Row],[Tgl NPBG]]-表1[[#This Row],[Peminta]],"")</f>
        <v/>
      </c>
      <c r="J3821" s="31"/>
    </row>
    <row r="3822" s="12" customFormat="1" customHeight="1" spans="2:10">
      <c r="B3822" s="25"/>
      <c r="C3822" s="25"/>
      <c r="D3822" s="26" t="str" cm="1">
        <f t="array" ref="D3822">IF(C3822="","",IFERROR(INDEX(STPP!$D$6:$D$4207,MATCH(C3822,STPP!$C$6:$C$4207,0)),"Not Found"))</f>
        <v/>
      </c>
      <c r="E3822" s="27" t="str" cm="1">
        <f t="array" ref="E3822">IF(C3822="","",IFERROR(INDEX(STPP!$E$6:$E$4207,MATCH(C3822,STPP!$C$6:$C$4207,0)),"Not Found"))</f>
        <v/>
      </c>
      <c r="F3822" s="27" t="str" cm="1">
        <f t="array" ref="F3822">IF(C3822="","",IFERROR(INDEX(STPP!$F$6:$F$4207,MATCH(C3822,STPP!$C$6:$C$4207,0)),"Not Found"))</f>
        <v/>
      </c>
      <c r="G3822" s="25" t="str">
        <f>IF(表1[[#This Row],[No Seri]]="","",表1[[#This Row],[Deskripsi Barang]]+表1[[#This Row],[Kuantitas]]-表1[[#This Row],[Satuan]])</f>
        <v/>
      </c>
      <c r="H3822" s="28"/>
      <c r="I3822" s="25" t="str">
        <f>IF(表1[[#This Row],[Tgl NPBG]]&gt;表1[[#This Row],[Peminta]],表1[[#This Row],[Tgl NPBG]]-表1[[#This Row],[Peminta]],"")</f>
        <v/>
      </c>
      <c r="J3822" s="31"/>
    </row>
    <row r="3823" s="12" customFormat="1" customHeight="1" spans="2:10">
      <c r="B3823" s="25"/>
      <c r="C3823" s="25"/>
      <c r="D3823" s="26" t="str" cm="1">
        <f t="array" ref="D3823">IF(C3823="","",IFERROR(INDEX(STPP!$D$6:$D$4207,MATCH(C3823,STPP!$C$6:$C$4207,0)),"Not Found"))</f>
        <v/>
      </c>
      <c r="E3823" s="27" t="str" cm="1">
        <f t="array" ref="E3823">IF(C3823="","",IFERROR(INDEX(STPP!$E$6:$E$4207,MATCH(C3823,STPP!$C$6:$C$4207,0)),"Not Found"))</f>
        <v/>
      </c>
      <c r="F3823" s="27" t="str" cm="1">
        <f t="array" ref="F3823">IF(C3823="","",IFERROR(INDEX(STPP!$F$6:$F$4207,MATCH(C3823,STPP!$C$6:$C$4207,0)),"Not Found"))</f>
        <v/>
      </c>
      <c r="G3823" s="25" t="str">
        <f>IF(表1[[#This Row],[No Seri]]="","",表1[[#This Row],[Deskripsi Barang]]+表1[[#This Row],[Kuantitas]]-表1[[#This Row],[Satuan]])</f>
        <v/>
      </c>
      <c r="H3823" s="28"/>
      <c r="I3823" s="25" t="str">
        <f>IF(表1[[#This Row],[Tgl NPBG]]&gt;表1[[#This Row],[Peminta]],表1[[#This Row],[Tgl NPBG]]-表1[[#This Row],[Peminta]],"")</f>
        <v/>
      </c>
      <c r="J3823" s="31"/>
    </row>
    <row r="3824" s="12" customFormat="1" customHeight="1" spans="2:10">
      <c r="B3824" s="25"/>
      <c r="C3824" s="25"/>
      <c r="D3824" s="26" t="str" cm="1">
        <f t="array" ref="D3824">IF(C3824="","",IFERROR(INDEX(STPP!$D$6:$D$4207,MATCH(C3824,STPP!$C$6:$C$4207,0)),"Not Found"))</f>
        <v/>
      </c>
      <c r="E3824" s="27" t="str" cm="1">
        <f t="array" ref="E3824">IF(C3824="","",IFERROR(INDEX(STPP!$E$6:$E$4207,MATCH(C3824,STPP!$C$6:$C$4207,0)),"Not Found"))</f>
        <v/>
      </c>
      <c r="F3824" s="27" t="str" cm="1">
        <f t="array" ref="F3824">IF(C3824="","",IFERROR(INDEX(STPP!$F$6:$F$4207,MATCH(C3824,STPP!$C$6:$C$4207,0)),"Not Found"))</f>
        <v/>
      </c>
      <c r="G3824" s="25" t="str">
        <f>IF(表1[[#This Row],[No Seri]]="","",表1[[#This Row],[Deskripsi Barang]]+表1[[#This Row],[Kuantitas]]-表1[[#This Row],[Satuan]])</f>
        <v/>
      </c>
      <c r="H3824" s="28"/>
      <c r="I3824" s="25" t="str">
        <f>IF(表1[[#This Row],[Tgl NPBG]]&gt;表1[[#This Row],[Peminta]],表1[[#This Row],[Tgl NPBG]]-表1[[#This Row],[Peminta]],"")</f>
        <v/>
      </c>
      <c r="J3824" s="31"/>
    </row>
    <row r="3825" s="12" customFormat="1" customHeight="1" spans="2:10">
      <c r="B3825" s="25"/>
      <c r="C3825" s="25"/>
      <c r="D3825" s="26" t="str" cm="1">
        <f t="array" ref="D3825">IF(C3825="","",IFERROR(INDEX(STPP!$D$6:$D$4207,MATCH(C3825,STPP!$C$6:$C$4207,0)),"Not Found"))</f>
        <v/>
      </c>
      <c r="E3825" s="27" t="str" cm="1">
        <f t="array" ref="E3825">IF(C3825="","",IFERROR(INDEX(STPP!$E$6:$E$4207,MATCH(C3825,STPP!$C$6:$C$4207,0)),"Not Found"))</f>
        <v/>
      </c>
      <c r="F3825" s="27" t="str" cm="1">
        <f t="array" ref="F3825">IF(C3825="","",IFERROR(INDEX(STPP!$F$6:$F$4207,MATCH(C3825,STPP!$C$6:$C$4207,0)),"Not Found"))</f>
        <v/>
      </c>
      <c r="G3825" s="25" t="str">
        <f>IF(表1[[#This Row],[No Seri]]="","",表1[[#This Row],[Deskripsi Barang]]+表1[[#This Row],[Kuantitas]]-表1[[#This Row],[Satuan]])</f>
        <v/>
      </c>
      <c r="H3825" s="28"/>
      <c r="I3825" s="25" t="str">
        <f>IF(表1[[#This Row],[Tgl NPBG]]&gt;表1[[#This Row],[Peminta]],表1[[#This Row],[Tgl NPBG]]-表1[[#This Row],[Peminta]],"")</f>
        <v/>
      </c>
      <c r="J3825" s="31"/>
    </row>
    <row r="3826" s="12" customFormat="1" customHeight="1" spans="2:10">
      <c r="B3826" s="25"/>
      <c r="C3826" s="25"/>
      <c r="D3826" s="26" t="str" cm="1">
        <f t="array" ref="D3826">IF(C3826="","",IFERROR(INDEX(STPP!$D$6:$D$4207,MATCH(C3826,STPP!$C$6:$C$4207,0)),"Not Found"))</f>
        <v/>
      </c>
      <c r="E3826" s="27" t="str" cm="1">
        <f t="array" ref="E3826">IF(C3826="","",IFERROR(INDEX(STPP!$E$6:$E$4207,MATCH(C3826,STPP!$C$6:$C$4207,0)),"Not Found"))</f>
        <v/>
      </c>
      <c r="F3826" s="27" t="str" cm="1">
        <f t="array" ref="F3826">IF(C3826="","",IFERROR(INDEX(STPP!$F$6:$F$4207,MATCH(C3826,STPP!$C$6:$C$4207,0)),"Not Found"))</f>
        <v/>
      </c>
      <c r="G3826" s="25" t="str">
        <f>IF(表1[[#This Row],[No Seri]]="","",表1[[#This Row],[Deskripsi Barang]]+表1[[#This Row],[Kuantitas]]-表1[[#This Row],[Satuan]])</f>
        <v/>
      </c>
      <c r="H3826" s="28"/>
      <c r="I3826" s="25" t="str">
        <f>IF(表1[[#This Row],[Tgl NPBG]]&gt;表1[[#This Row],[Peminta]],表1[[#This Row],[Tgl NPBG]]-表1[[#This Row],[Peminta]],"")</f>
        <v/>
      </c>
      <c r="J3826" s="31"/>
    </row>
    <row r="3827" s="12" customFormat="1" customHeight="1" spans="2:10">
      <c r="B3827" s="25"/>
      <c r="C3827" s="25"/>
      <c r="D3827" s="26" t="str" cm="1">
        <f t="array" ref="D3827">IF(C3827="","",IFERROR(INDEX(STPP!$D$6:$D$4207,MATCH(C3827,STPP!$C$6:$C$4207,0)),"Not Found"))</f>
        <v/>
      </c>
      <c r="E3827" s="27" t="str" cm="1">
        <f t="array" ref="E3827">IF(C3827="","",IFERROR(INDEX(STPP!$E$6:$E$4207,MATCH(C3827,STPP!$C$6:$C$4207,0)),"Not Found"))</f>
        <v/>
      </c>
      <c r="F3827" s="27" t="str" cm="1">
        <f t="array" ref="F3827">IF(C3827="","",IFERROR(INDEX(STPP!$F$6:$F$4207,MATCH(C3827,STPP!$C$6:$C$4207,0)),"Not Found"))</f>
        <v/>
      </c>
      <c r="G3827" s="25" t="str">
        <f>IF(表1[[#This Row],[No Seri]]="","",表1[[#This Row],[Deskripsi Barang]]+表1[[#This Row],[Kuantitas]]-表1[[#This Row],[Satuan]])</f>
        <v/>
      </c>
      <c r="H3827" s="28"/>
      <c r="I3827" s="25" t="str">
        <f>IF(表1[[#This Row],[Tgl NPBG]]&gt;表1[[#This Row],[Peminta]],表1[[#This Row],[Tgl NPBG]]-表1[[#This Row],[Peminta]],"")</f>
        <v/>
      </c>
      <c r="J3827" s="31"/>
    </row>
    <row r="3828" s="12" customFormat="1" customHeight="1" spans="2:10">
      <c r="B3828" s="25"/>
      <c r="C3828" s="25"/>
      <c r="D3828" s="26" t="str" cm="1">
        <f t="array" ref="D3828">IF(C3828="","",IFERROR(INDEX(STPP!$D$6:$D$4207,MATCH(C3828,STPP!$C$6:$C$4207,0)),"Not Found"))</f>
        <v/>
      </c>
      <c r="E3828" s="27" t="str" cm="1">
        <f t="array" ref="E3828">IF(C3828="","",IFERROR(INDEX(STPP!$E$6:$E$4207,MATCH(C3828,STPP!$C$6:$C$4207,0)),"Not Found"))</f>
        <v/>
      </c>
      <c r="F3828" s="27" t="str" cm="1">
        <f t="array" ref="F3828">IF(C3828="","",IFERROR(INDEX(STPP!$F$6:$F$4207,MATCH(C3828,STPP!$C$6:$C$4207,0)),"Not Found"))</f>
        <v/>
      </c>
      <c r="G3828" s="25" t="str">
        <f>IF(表1[[#This Row],[No Seri]]="","",表1[[#This Row],[Deskripsi Barang]]+表1[[#This Row],[Kuantitas]]-表1[[#This Row],[Satuan]])</f>
        <v/>
      </c>
      <c r="H3828" s="28"/>
      <c r="I3828" s="25" t="str">
        <f>IF(表1[[#This Row],[Tgl NPBG]]&gt;表1[[#This Row],[Peminta]],表1[[#This Row],[Tgl NPBG]]-表1[[#This Row],[Peminta]],"")</f>
        <v/>
      </c>
      <c r="J3828" s="31"/>
    </row>
    <row r="3829" s="12" customFormat="1" customHeight="1" spans="2:10">
      <c r="B3829" s="25"/>
      <c r="C3829" s="25"/>
      <c r="D3829" s="26" t="str" cm="1">
        <f t="array" ref="D3829">IF(C3829="","",IFERROR(INDEX(STPP!$D$6:$D$4207,MATCH(C3829,STPP!$C$6:$C$4207,0)),"Not Found"))</f>
        <v/>
      </c>
      <c r="E3829" s="27" t="str" cm="1">
        <f t="array" ref="E3829">IF(C3829="","",IFERROR(INDEX(STPP!$E$6:$E$4207,MATCH(C3829,STPP!$C$6:$C$4207,0)),"Not Found"))</f>
        <v/>
      </c>
      <c r="F3829" s="27" t="str" cm="1">
        <f t="array" ref="F3829">IF(C3829="","",IFERROR(INDEX(STPP!$F$6:$F$4207,MATCH(C3829,STPP!$C$6:$C$4207,0)),"Not Found"))</f>
        <v/>
      </c>
      <c r="G3829" s="25" t="str">
        <f>IF(表1[[#This Row],[No Seri]]="","",表1[[#This Row],[Deskripsi Barang]]+表1[[#This Row],[Kuantitas]]-表1[[#This Row],[Satuan]])</f>
        <v/>
      </c>
      <c r="H3829" s="28"/>
      <c r="I3829" s="25" t="str">
        <f>IF(表1[[#This Row],[Tgl NPBG]]&gt;表1[[#This Row],[Peminta]],表1[[#This Row],[Tgl NPBG]]-表1[[#This Row],[Peminta]],"")</f>
        <v/>
      </c>
      <c r="J3829" s="31"/>
    </row>
    <row r="3830" s="12" customFormat="1" customHeight="1" spans="2:10">
      <c r="B3830" s="25"/>
      <c r="C3830" s="25"/>
      <c r="D3830" s="26" t="str" cm="1">
        <f t="array" ref="D3830">IF(C3830="","",IFERROR(INDEX(STPP!$D$6:$D$4207,MATCH(C3830,STPP!$C$6:$C$4207,0)),"Not Found"))</f>
        <v/>
      </c>
      <c r="E3830" s="27" t="str" cm="1">
        <f t="array" ref="E3830">IF(C3830="","",IFERROR(INDEX(STPP!$E$6:$E$4207,MATCH(C3830,STPP!$C$6:$C$4207,0)),"Not Found"))</f>
        <v/>
      </c>
      <c r="F3830" s="27" t="str" cm="1">
        <f t="array" ref="F3830">IF(C3830="","",IFERROR(INDEX(STPP!$F$6:$F$4207,MATCH(C3830,STPP!$C$6:$C$4207,0)),"Not Found"))</f>
        <v/>
      </c>
      <c r="G3830" s="25" t="str">
        <f>IF(表1[[#This Row],[No Seri]]="","",表1[[#This Row],[Deskripsi Barang]]+表1[[#This Row],[Kuantitas]]-表1[[#This Row],[Satuan]])</f>
        <v/>
      </c>
      <c r="H3830" s="28"/>
      <c r="I3830" s="25" t="str">
        <f>IF(表1[[#This Row],[Tgl NPBG]]&gt;表1[[#This Row],[Peminta]],表1[[#This Row],[Tgl NPBG]]-表1[[#This Row],[Peminta]],"")</f>
        <v/>
      </c>
      <c r="J3830" s="31"/>
    </row>
    <row r="3831" s="12" customFormat="1" customHeight="1" spans="2:10">
      <c r="B3831" s="25"/>
      <c r="C3831" s="25"/>
      <c r="D3831" s="26" t="str" cm="1">
        <f t="array" ref="D3831">IF(C3831="","",IFERROR(INDEX(STPP!$D$6:$D$4207,MATCH(C3831,STPP!$C$6:$C$4207,0)),"Not Found"))</f>
        <v/>
      </c>
      <c r="E3831" s="27" t="str" cm="1">
        <f t="array" ref="E3831">IF(C3831="","",IFERROR(INDEX(STPP!$E$6:$E$4207,MATCH(C3831,STPP!$C$6:$C$4207,0)),"Not Found"))</f>
        <v/>
      </c>
      <c r="F3831" s="27" t="str" cm="1">
        <f t="array" ref="F3831">IF(C3831="","",IFERROR(INDEX(STPP!$F$6:$F$4207,MATCH(C3831,STPP!$C$6:$C$4207,0)),"Not Found"))</f>
        <v/>
      </c>
      <c r="G3831" s="25" t="str">
        <f>IF(表1[[#This Row],[No Seri]]="","",表1[[#This Row],[Deskripsi Barang]]+表1[[#This Row],[Kuantitas]]-表1[[#This Row],[Satuan]])</f>
        <v/>
      </c>
      <c r="H3831" s="28"/>
      <c r="I3831" s="25" t="str">
        <f>IF(表1[[#This Row],[Tgl NPBG]]&gt;表1[[#This Row],[Peminta]],表1[[#This Row],[Tgl NPBG]]-表1[[#This Row],[Peminta]],"")</f>
        <v/>
      </c>
      <c r="J3831" s="31"/>
    </row>
    <row r="3832" s="12" customFormat="1" customHeight="1" spans="2:10">
      <c r="B3832" s="25"/>
      <c r="C3832" s="25"/>
      <c r="D3832" s="26" t="str" cm="1">
        <f t="array" ref="D3832">IF(C3832="","",IFERROR(INDEX(STPP!$D$6:$D$4207,MATCH(C3832,STPP!$C$6:$C$4207,0)),"Not Found"))</f>
        <v/>
      </c>
      <c r="E3832" s="27" t="str" cm="1">
        <f t="array" ref="E3832">IF(C3832="","",IFERROR(INDEX(STPP!$E$6:$E$4207,MATCH(C3832,STPP!$C$6:$C$4207,0)),"Not Found"))</f>
        <v/>
      </c>
      <c r="F3832" s="27" t="str" cm="1">
        <f t="array" ref="F3832">IF(C3832="","",IFERROR(INDEX(STPP!$F$6:$F$4207,MATCH(C3832,STPP!$C$6:$C$4207,0)),"Not Found"))</f>
        <v/>
      </c>
      <c r="G3832" s="25" t="str">
        <f>IF(表1[[#This Row],[No Seri]]="","",表1[[#This Row],[Deskripsi Barang]]+表1[[#This Row],[Kuantitas]]-表1[[#This Row],[Satuan]])</f>
        <v/>
      </c>
      <c r="H3832" s="28"/>
      <c r="I3832" s="25" t="str">
        <f>IF(表1[[#This Row],[Tgl NPBG]]&gt;表1[[#This Row],[Peminta]],表1[[#This Row],[Tgl NPBG]]-表1[[#This Row],[Peminta]],"")</f>
        <v/>
      </c>
      <c r="J3832" s="31"/>
    </row>
    <row r="3833" s="12" customFormat="1" customHeight="1" spans="2:10">
      <c r="B3833" s="25"/>
      <c r="C3833" s="25"/>
      <c r="D3833" s="26" t="str" cm="1">
        <f t="array" ref="D3833">IF(C3833="","",IFERROR(INDEX(STPP!$D$6:$D$4207,MATCH(C3833,STPP!$C$6:$C$4207,0)),"Not Found"))</f>
        <v/>
      </c>
      <c r="E3833" s="27" t="str" cm="1">
        <f t="array" ref="E3833">IF(C3833="","",IFERROR(INDEX(STPP!$E$6:$E$4207,MATCH(C3833,STPP!$C$6:$C$4207,0)),"Not Found"))</f>
        <v/>
      </c>
      <c r="F3833" s="27" t="str" cm="1">
        <f t="array" ref="F3833">IF(C3833="","",IFERROR(INDEX(STPP!$F$6:$F$4207,MATCH(C3833,STPP!$C$6:$C$4207,0)),"Not Found"))</f>
        <v/>
      </c>
      <c r="G3833" s="25" t="str">
        <f>IF(表1[[#This Row],[No Seri]]="","",表1[[#This Row],[Deskripsi Barang]]+表1[[#This Row],[Kuantitas]]-表1[[#This Row],[Satuan]])</f>
        <v/>
      </c>
      <c r="H3833" s="28"/>
      <c r="I3833" s="25" t="str">
        <f>IF(表1[[#This Row],[Tgl NPBG]]&gt;表1[[#This Row],[Peminta]],表1[[#This Row],[Tgl NPBG]]-表1[[#This Row],[Peminta]],"")</f>
        <v/>
      </c>
      <c r="J3833" s="31"/>
    </row>
    <row r="3834" s="12" customFormat="1" customHeight="1" spans="2:10">
      <c r="B3834" s="25"/>
      <c r="C3834" s="25"/>
      <c r="D3834" s="26" t="str" cm="1">
        <f t="array" ref="D3834">IF(C3834="","",IFERROR(INDEX(STPP!$D$6:$D$4207,MATCH(C3834,STPP!$C$6:$C$4207,0)),"Not Found"))</f>
        <v/>
      </c>
      <c r="E3834" s="27" t="str" cm="1">
        <f t="array" ref="E3834">IF(C3834="","",IFERROR(INDEX(STPP!$E$6:$E$4207,MATCH(C3834,STPP!$C$6:$C$4207,0)),"Not Found"))</f>
        <v/>
      </c>
      <c r="F3834" s="27" t="str" cm="1">
        <f t="array" ref="F3834">IF(C3834="","",IFERROR(INDEX(STPP!$F$6:$F$4207,MATCH(C3834,STPP!$C$6:$C$4207,0)),"Not Found"))</f>
        <v/>
      </c>
      <c r="G3834" s="25" t="str">
        <f>IF(表1[[#This Row],[No Seri]]="","",表1[[#This Row],[Deskripsi Barang]]+表1[[#This Row],[Kuantitas]]-表1[[#This Row],[Satuan]])</f>
        <v/>
      </c>
      <c r="H3834" s="28"/>
      <c r="I3834" s="25" t="str">
        <f>IF(表1[[#This Row],[Tgl NPBG]]&gt;表1[[#This Row],[Peminta]],表1[[#This Row],[Tgl NPBG]]-表1[[#This Row],[Peminta]],"")</f>
        <v/>
      </c>
      <c r="J3834" s="31"/>
    </row>
    <row r="3835" s="12" customFormat="1" customHeight="1" spans="2:10">
      <c r="B3835" s="25"/>
      <c r="C3835" s="25"/>
      <c r="D3835" s="26" t="str" cm="1">
        <f t="array" ref="D3835">IF(C3835="","",IFERROR(INDEX(STPP!$D$6:$D$4207,MATCH(C3835,STPP!$C$6:$C$4207,0)),"Not Found"))</f>
        <v/>
      </c>
      <c r="E3835" s="27" t="str" cm="1">
        <f t="array" ref="E3835">IF(C3835="","",IFERROR(INDEX(STPP!$E$6:$E$4207,MATCH(C3835,STPP!$C$6:$C$4207,0)),"Not Found"))</f>
        <v/>
      </c>
      <c r="F3835" s="27" t="str" cm="1">
        <f t="array" ref="F3835">IF(C3835="","",IFERROR(INDEX(STPP!$F$6:$F$4207,MATCH(C3835,STPP!$C$6:$C$4207,0)),"Not Found"))</f>
        <v/>
      </c>
      <c r="G3835" s="25" t="str">
        <f>IF(表1[[#This Row],[No Seri]]="","",表1[[#This Row],[Deskripsi Barang]]+表1[[#This Row],[Kuantitas]]-表1[[#This Row],[Satuan]])</f>
        <v/>
      </c>
      <c r="H3835" s="28"/>
      <c r="I3835" s="25" t="str">
        <f>IF(表1[[#This Row],[Tgl NPBG]]&gt;表1[[#This Row],[Peminta]],表1[[#This Row],[Tgl NPBG]]-表1[[#This Row],[Peminta]],"")</f>
        <v/>
      </c>
      <c r="J3835" s="31"/>
    </row>
    <row r="3836" s="12" customFormat="1" customHeight="1" spans="2:10">
      <c r="B3836" s="25"/>
      <c r="C3836" s="25"/>
      <c r="D3836" s="26" t="str" cm="1">
        <f t="array" ref="D3836">IF(C3836="","",IFERROR(INDEX(STPP!$D$6:$D$4207,MATCH(C3836,STPP!$C$6:$C$4207,0)),"Not Found"))</f>
        <v/>
      </c>
      <c r="E3836" s="27" t="str" cm="1">
        <f t="array" ref="E3836">IF(C3836="","",IFERROR(INDEX(STPP!$E$6:$E$4207,MATCH(C3836,STPP!$C$6:$C$4207,0)),"Not Found"))</f>
        <v/>
      </c>
      <c r="F3836" s="27" t="str" cm="1">
        <f t="array" ref="F3836">IF(C3836="","",IFERROR(INDEX(STPP!$F$6:$F$4207,MATCH(C3836,STPP!$C$6:$C$4207,0)),"Not Found"))</f>
        <v/>
      </c>
      <c r="G3836" s="25" t="str">
        <f>IF(表1[[#This Row],[No Seri]]="","",表1[[#This Row],[Deskripsi Barang]]+表1[[#This Row],[Kuantitas]]-表1[[#This Row],[Satuan]])</f>
        <v/>
      </c>
      <c r="H3836" s="28"/>
      <c r="I3836" s="25" t="str">
        <f>IF(表1[[#This Row],[Tgl NPBG]]&gt;表1[[#This Row],[Peminta]],表1[[#This Row],[Tgl NPBG]]-表1[[#This Row],[Peminta]],"")</f>
        <v/>
      </c>
      <c r="J3836" s="31"/>
    </row>
    <row r="3837" s="12" customFormat="1" customHeight="1" spans="2:10">
      <c r="B3837" s="25"/>
      <c r="C3837" s="25"/>
      <c r="D3837" s="26" t="str" cm="1">
        <f t="array" ref="D3837">IF(C3837="","",IFERROR(INDEX(STPP!$D$6:$D$4207,MATCH(C3837,STPP!$C$6:$C$4207,0)),"Not Found"))</f>
        <v/>
      </c>
      <c r="E3837" s="27" t="str" cm="1">
        <f t="array" ref="E3837">IF(C3837="","",IFERROR(INDEX(STPP!$E$6:$E$4207,MATCH(C3837,STPP!$C$6:$C$4207,0)),"Not Found"))</f>
        <v/>
      </c>
      <c r="F3837" s="27" t="str" cm="1">
        <f t="array" ref="F3837">IF(C3837="","",IFERROR(INDEX(STPP!$F$6:$F$4207,MATCH(C3837,STPP!$C$6:$C$4207,0)),"Not Found"))</f>
        <v/>
      </c>
      <c r="G3837" s="25" t="str">
        <f>IF(表1[[#This Row],[No Seri]]="","",表1[[#This Row],[Deskripsi Barang]]+表1[[#This Row],[Kuantitas]]-表1[[#This Row],[Satuan]])</f>
        <v/>
      </c>
      <c r="H3837" s="28"/>
      <c r="I3837" s="25" t="str">
        <f>IF(表1[[#This Row],[Tgl NPBG]]&gt;表1[[#This Row],[Peminta]],表1[[#This Row],[Tgl NPBG]]-表1[[#This Row],[Peminta]],"")</f>
        <v/>
      </c>
      <c r="J3837" s="31"/>
    </row>
    <row r="3838" s="12" customFormat="1" customHeight="1" spans="2:10">
      <c r="B3838" s="25"/>
      <c r="C3838" s="25"/>
      <c r="D3838" s="26" t="str" cm="1">
        <f t="array" ref="D3838">IF(C3838="","",IFERROR(INDEX(STPP!$D$6:$D$4207,MATCH(C3838,STPP!$C$6:$C$4207,0)),"Not Found"))</f>
        <v/>
      </c>
      <c r="E3838" s="27" t="str" cm="1">
        <f t="array" ref="E3838">IF(C3838="","",IFERROR(INDEX(STPP!$E$6:$E$4207,MATCH(C3838,STPP!$C$6:$C$4207,0)),"Not Found"))</f>
        <v/>
      </c>
      <c r="F3838" s="27" t="str" cm="1">
        <f t="array" ref="F3838">IF(C3838="","",IFERROR(INDEX(STPP!$F$6:$F$4207,MATCH(C3838,STPP!$C$6:$C$4207,0)),"Not Found"))</f>
        <v/>
      </c>
      <c r="G3838" s="25" t="str">
        <f>IF(表1[[#This Row],[No Seri]]="","",表1[[#This Row],[Deskripsi Barang]]+表1[[#This Row],[Kuantitas]]-表1[[#This Row],[Satuan]])</f>
        <v/>
      </c>
      <c r="H3838" s="28"/>
      <c r="I3838" s="25" t="str">
        <f>IF(表1[[#This Row],[Tgl NPBG]]&gt;表1[[#This Row],[Peminta]],表1[[#This Row],[Tgl NPBG]]-表1[[#This Row],[Peminta]],"")</f>
        <v/>
      </c>
      <c r="J3838" s="31"/>
    </row>
    <row r="3839" s="12" customFormat="1" customHeight="1" spans="2:10">
      <c r="B3839" s="25"/>
      <c r="C3839" s="25"/>
      <c r="D3839" s="26" t="str" cm="1">
        <f t="array" ref="D3839">IF(C3839="","",IFERROR(INDEX(STPP!$D$6:$D$4207,MATCH(C3839,STPP!$C$6:$C$4207,0)),"Not Found"))</f>
        <v/>
      </c>
      <c r="E3839" s="27" t="str" cm="1">
        <f t="array" ref="E3839">IF(C3839="","",IFERROR(INDEX(STPP!$E$6:$E$4207,MATCH(C3839,STPP!$C$6:$C$4207,0)),"Not Found"))</f>
        <v/>
      </c>
      <c r="F3839" s="27" t="str" cm="1">
        <f t="array" ref="F3839">IF(C3839="","",IFERROR(INDEX(STPP!$F$6:$F$4207,MATCH(C3839,STPP!$C$6:$C$4207,0)),"Not Found"))</f>
        <v/>
      </c>
      <c r="G3839" s="25" t="str">
        <f>IF(表1[[#This Row],[No Seri]]="","",表1[[#This Row],[Deskripsi Barang]]+表1[[#This Row],[Kuantitas]]-表1[[#This Row],[Satuan]])</f>
        <v/>
      </c>
      <c r="H3839" s="28"/>
      <c r="I3839" s="25" t="str">
        <f>IF(表1[[#This Row],[Tgl NPBG]]&gt;表1[[#This Row],[Peminta]],表1[[#This Row],[Tgl NPBG]]-表1[[#This Row],[Peminta]],"")</f>
        <v/>
      </c>
      <c r="J3839" s="31"/>
    </row>
    <row r="3840" s="12" customFormat="1" customHeight="1" spans="2:10">
      <c r="B3840" s="25"/>
      <c r="C3840" s="25"/>
      <c r="D3840" s="26" t="str" cm="1">
        <f t="array" ref="D3840">IF(C3840="","",IFERROR(INDEX(STPP!$D$6:$D$4207,MATCH(C3840,STPP!$C$6:$C$4207,0)),"Not Found"))</f>
        <v/>
      </c>
      <c r="E3840" s="27" t="str" cm="1">
        <f t="array" ref="E3840">IF(C3840="","",IFERROR(INDEX(STPP!$E$6:$E$4207,MATCH(C3840,STPP!$C$6:$C$4207,0)),"Not Found"))</f>
        <v/>
      </c>
      <c r="F3840" s="27" t="str" cm="1">
        <f t="array" ref="F3840">IF(C3840="","",IFERROR(INDEX(STPP!$F$6:$F$4207,MATCH(C3840,STPP!$C$6:$C$4207,0)),"Not Found"))</f>
        <v/>
      </c>
      <c r="G3840" s="25" t="str">
        <f>IF(表1[[#This Row],[No Seri]]="","",表1[[#This Row],[Deskripsi Barang]]+表1[[#This Row],[Kuantitas]]-表1[[#This Row],[Satuan]])</f>
        <v/>
      </c>
      <c r="H3840" s="28"/>
      <c r="I3840" s="25" t="str">
        <f>IF(表1[[#This Row],[Tgl NPBG]]&gt;表1[[#This Row],[Peminta]],表1[[#This Row],[Tgl NPBG]]-表1[[#This Row],[Peminta]],"")</f>
        <v/>
      </c>
      <c r="J3840" s="31"/>
    </row>
    <row r="3841" s="12" customFormat="1" customHeight="1" spans="2:10">
      <c r="B3841" s="25"/>
      <c r="C3841" s="25"/>
      <c r="D3841" s="26" t="str" cm="1">
        <f t="array" ref="D3841">IF(C3841="","",IFERROR(INDEX(STPP!$D$6:$D$4207,MATCH(C3841,STPP!$C$6:$C$4207,0)),"Not Found"))</f>
        <v/>
      </c>
      <c r="E3841" s="27" t="str" cm="1">
        <f t="array" ref="E3841">IF(C3841="","",IFERROR(INDEX(STPP!$E$6:$E$4207,MATCH(C3841,STPP!$C$6:$C$4207,0)),"Not Found"))</f>
        <v/>
      </c>
      <c r="F3841" s="27" t="str" cm="1">
        <f t="array" ref="F3841">IF(C3841="","",IFERROR(INDEX(STPP!$F$6:$F$4207,MATCH(C3841,STPP!$C$6:$C$4207,0)),"Not Found"))</f>
        <v/>
      </c>
      <c r="G3841" s="25" t="str">
        <f>IF(表1[[#This Row],[No Seri]]="","",表1[[#This Row],[Deskripsi Barang]]+表1[[#This Row],[Kuantitas]]-表1[[#This Row],[Satuan]])</f>
        <v/>
      </c>
      <c r="H3841" s="28"/>
      <c r="I3841" s="25" t="str">
        <f>IF(表1[[#This Row],[Tgl NPBG]]&gt;表1[[#This Row],[Peminta]],表1[[#This Row],[Tgl NPBG]]-表1[[#This Row],[Peminta]],"")</f>
        <v/>
      </c>
      <c r="J3841" s="31"/>
    </row>
    <row r="3842" s="12" customFormat="1" customHeight="1" spans="2:10">
      <c r="B3842" s="25"/>
      <c r="C3842" s="25"/>
      <c r="D3842" s="26" t="str" cm="1">
        <f t="array" ref="D3842">IF(C3842="","",IFERROR(INDEX(STPP!$D$6:$D$4207,MATCH(C3842,STPP!$C$6:$C$4207,0)),"Not Found"))</f>
        <v/>
      </c>
      <c r="E3842" s="27" t="str" cm="1">
        <f t="array" ref="E3842">IF(C3842="","",IFERROR(INDEX(STPP!$E$6:$E$4207,MATCH(C3842,STPP!$C$6:$C$4207,0)),"Not Found"))</f>
        <v/>
      </c>
      <c r="F3842" s="27" t="str" cm="1">
        <f t="array" ref="F3842">IF(C3842="","",IFERROR(INDEX(STPP!$F$6:$F$4207,MATCH(C3842,STPP!$C$6:$C$4207,0)),"Not Found"))</f>
        <v/>
      </c>
      <c r="G3842" s="25" t="str">
        <f>IF(表1[[#This Row],[No Seri]]="","",表1[[#This Row],[Deskripsi Barang]]+表1[[#This Row],[Kuantitas]]-表1[[#This Row],[Satuan]])</f>
        <v/>
      </c>
      <c r="H3842" s="28"/>
      <c r="I3842" s="25" t="str">
        <f>IF(表1[[#This Row],[Tgl NPBG]]&gt;表1[[#This Row],[Peminta]],表1[[#This Row],[Tgl NPBG]]-表1[[#This Row],[Peminta]],"")</f>
        <v/>
      </c>
      <c r="J3842" s="31"/>
    </row>
    <row r="3843" s="12" customFormat="1" customHeight="1" spans="2:10">
      <c r="B3843" s="25"/>
      <c r="C3843" s="25"/>
      <c r="D3843" s="26" t="str" cm="1">
        <f t="array" ref="D3843">IF(C3843="","",IFERROR(INDEX(STPP!$D$6:$D$4207,MATCH(C3843,STPP!$C$6:$C$4207,0)),"Not Found"))</f>
        <v/>
      </c>
      <c r="E3843" s="27" t="str" cm="1">
        <f t="array" ref="E3843">IF(C3843="","",IFERROR(INDEX(STPP!$E$6:$E$4207,MATCH(C3843,STPP!$C$6:$C$4207,0)),"Not Found"))</f>
        <v/>
      </c>
      <c r="F3843" s="27" t="str" cm="1">
        <f t="array" ref="F3843">IF(C3843="","",IFERROR(INDEX(STPP!$F$6:$F$4207,MATCH(C3843,STPP!$C$6:$C$4207,0)),"Not Found"))</f>
        <v/>
      </c>
      <c r="G3843" s="25" t="str">
        <f>IF(表1[[#This Row],[No Seri]]="","",表1[[#This Row],[Deskripsi Barang]]+表1[[#This Row],[Kuantitas]]-表1[[#This Row],[Satuan]])</f>
        <v/>
      </c>
      <c r="H3843" s="28"/>
      <c r="I3843" s="25" t="str">
        <f>IF(表1[[#This Row],[Tgl NPBG]]&gt;表1[[#This Row],[Peminta]],表1[[#This Row],[Tgl NPBG]]-表1[[#This Row],[Peminta]],"")</f>
        <v/>
      </c>
      <c r="J3843" s="31"/>
    </row>
    <row r="3844" s="12" customFormat="1" customHeight="1" spans="2:10">
      <c r="B3844" s="25"/>
      <c r="C3844" s="25"/>
      <c r="D3844" s="26" t="str" cm="1">
        <f t="array" ref="D3844">IF(C3844="","",IFERROR(INDEX(STPP!$D$6:$D$4207,MATCH(C3844,STPP!$C$6:$C$4207,0)),"Not Found"))</f>
        <v/>
      </c>
      <c r="E3844" s="27" t="str" cm="1">
        <f t="array" ref="E3844">IF(C3844="","",IFERROR(INDEX(STPP!$E$6:$E$4207,MATCH(C3844,STPP!$C$6:$C$4207,0)),"Not Found"))</f>
        <v/>
      </c>
      <c r="F3844" s="27" t="str" cm="1">
        <f t="array" ref="F3844">IF(C3844="","",IFERROR(INDEX(STPP!$F$6:$F$4207,MATCH(C3844,STPP!$C$6:$C$4207,0)),"Not Found"))</f>
        <v/>
      </c>
      <c r="G3844" s="25" t="str">
        <f>IF(表1[[#This Row],[No Seri]]="","",表1[[#This Row],[Deskripsi Barang]]+表1[[#This Row],[Kuantitas]]-表1[[#This Row],[Satuan]])</f>
        <v/>
      </c>
      <c r="H3844" s="28"/>
      <c r="I3844" s="25" t="str">
        <f>IF(表1[[#This Row],[Tgl NPBG]]&gt;表1[[#This Row],[Peminta]],表1[[#This Row],[Tgl NPBG]]-表1[[#This Row],[Peminta]],"")</f>
        <v/>
      </c>
      <c r="J3844" s="31"/>
    </row>
    <row r="3845" s="12" customFormat="1" customHeight="1" spans="2:10">
      <c r="B3845" s="25"/>
      <c r="C3845" s="25"/>
      <c r="D3845" s="26" t="str" cm="1">
        <f t="array" ref="D3845">IF(C3845="","",IFERROR(INDEX(STPP!$D$6:$D$4207,MATCH(C3845,STPP!$C$6:$C$4207,0)),"Not Found"))</f>
        <v/>
      </c>
      <c r="E3845" s="27" t="str" cm="1">
        <f t="array" ref="E3845">IF(C3845="","",IFERROR(INDEX(STPP!$E$6:$E$4207,MATCH(C3845,STPP!$C$6:$C$4207,0)),"Not Found"))</f>
        <v/>
      </c>
      <c r="F3845" s="27" t="str" cm="1">
        <f t="array" ref="F3845">IF(C3845="","",IFERROR(INDEX(STPP!$F$6:$F$4207,MATCH(C3845,STPP!$C$6:$C$4207,0)),"Not Found"))</f>
        <v/>
      </c>
      <c r="G3845" s="25" t="str">
        <f>IF(表1[[#This Row],[No Seri]]="","",表1[[#This Row],[Deskripsi Barang]]+表1[[#This Row],[Kuantitas]]-表1[[#This Row],[Satuan]])</f>
        <v/>
      </c>
      <c r="H3845" s="28"/>
      <c r="I3845" s="25" t="str">
        <f>IF(表1[[#This Row],[Tgl NPBG]]&gt;表1[[#This Row],[Peminta]],表1[[#This Row],[Tgl NPBG]]-表1[[#This Row],[Peminta]],"")</f>
        <v/>
      </c>
      <c r="J3845" s="31"/>
    </row>
    <row r="3846" s="12" customFormat="1" customHeight="1" spans="2:10">
      <c r="B3846" s="25"/>
      <c r="C3846" s="25"/>
      <c r="D3846" s="26" t="str" cm="1">
        <f t="array" ref="D3846">IF(C3846="","",IFERROR(INDEX(STPP!$D$6:$D$4207,MATCH(C3846,STPP!$C$6:$C$4207,0)),"Not Found"))</f>
        <v/>
      </c>
      <c r="E3846" s="27" t="str" cm="1">
        <f t="array" ref="E3846">IF(C3846="","",IFERROR(INDEX(STPP!$E$6:$E$4207,MATCH(C3846,STPP!$C$6:$C$4207,0)),"Not Found"))</f>
        <v/>
      </c>
      <c r="F3846" s="27" t="str" cm="1">
        <f t="array" ref="F3846">IF(C3846="","",IFERROR(INDEX(STPP!$F$6:$F$4207,MATCH(C3846,STPP!$C$6:$C$4207,0)),"Not Found"))</f>
        <v/>
      </c>
      <c r="G3846" s="25" t="str">
        <f>IF(表1[[#This Row],[No Seri]]="","",表1[[#This Row],[Deskripsi Barang]]+表1[[#This Row],[Kuantitas]]-表1[[#This Row],[Satuan]])</f>
        <v/>
      </c>
      <c r="H3846" s="28"/>
      <c r="I3846" s="25" t="str">
        <f>IF(表1[[#This Row],[Tgl NPBG]]&gt;表1[[#This Row],[Peminta]],表1[[#This Row],[Tgl NPBG]]-表1[[#This Row],[Peminta]],"")</f>
        <v/>
      </c>
      <c r="J3846" s="31"/>
    </row>
    <row r="3847" s="12" customFormat="1" customHeight="1" spans="2:10">
      <c r="B3847" s="25"/>
      <c r="C3847" s="25"/>
      <c r="D3847" s="26" t="str" cm="1">
        <f t="array" ref="D3847">IF(C3847="","",IFERROR(INDEX(STPP!$D$6:$D$4207,MATCH(C3847,STPP!$C$6:$C$4207,0)),"Not Found"))</f>
        <v/>
      </c>
      <c r="E3847" s="27" t="str" cm="1">
        <f t="array" ref="E3847">IF(C3847="","",IFERROR(INDEX(STPP!$E$6:$E$4207,MATCH(C3847,STPP!$C$6:$C$4207,0)),"Not Found"))</f>
        <v/>
      </c>
      <c r="F3847" s="27" t="str" cm="1">
        <f t="array" ref="F3847">IF(C3847="","",IFERROR(INDEX(STPP!$F$6:$F$4207,MATCH(C3847,STPP!$C$6:$C$4207,0)),"Not Found"))</f>
        <v/>
      </c>
      <c r="G3847" s="25" t="str">
        <f>IF(表1[[#This Row],[No Seri]]="","",表1[[#This Row],[Deskripsi Barang]]+表1[[#This Row],[Kuantitas]]-表1[[#This Row],[Satuan]])</f>
        <v/>
      </c>
      <c r="H3847" s="28"/>
      <c r="I3847" s="25" t="str">
        <f>IF(表1[[#This Row],[Tgl NPBG]]&gt;表1[[#This Row],[Peminta]],表1[[#This Row],[Tgl NPBG]]-表1[[#This Row],[Peminta]],"")</f>
        <v/>
      </c>
      <c r="J3847" s="31"/>
    </row>
    <row r="3848" s="12" customFormat="1" customHeight="1" spans="2:10">
      <c r="B3848" s="25"/>
      <c r="C3848" s="25"/>
      <c r="D3848" s="26" t="str" cm="1">
        <f t="array" ref="D3848">IF(C3848="","",IFERROR(INDEX(STPP!$D$6:$D$4207,MATCH(C3848,STPP!$C$6:$C$4207,0)),"Not Found"))</f>
        <v/>
      </c>
      <c r="E3848" s="27" t="str" cm="1">
        <f t="array" ref="E3848">IF(C3848="","",IFERROR(INDEX(STPP!$E$6:$E$4207,MATCH(C3848,STPP!$C$6:$C$4207,0)),"Not Found"))</f>
        <v/>
      </c>
      <c r="F3848" s="27" t="str" cm="1">
        <f t="array" ref="F3848">IF(C3848="","",IFERROR(INDEX(STPP!$F$6:$F$4207,MATCH(C3848,STPP!$C$6:$C$4207,0)),"Not Found"))</f>
        <v/>
      </c>
      <c r="G3848" s="25" t="str">
        <f>IF(表1[[#This Row],[No Seri]]="","",表1[[#This Row],[Deskripsi Barang]]+表1[[#This Row],[Kuantitas]]-表1[[#This Row],[Satuan]])</f>
        <v/>
      </c>
      <c r="H3848" s="28"/>
      <c r="I3848" s="25" t="str">
        <f>IF(表1[[#This Row],[Tgl NPBG]]&gt;表1[[#This Row],[Peminta]],表1[[#This Row],[Tgl NPBG]]-表1[[#This Row],[Peminta]],"")</f>
        <v/>
      </c>
      <c r="J3848" s="31"/>
    </row>
    <row r="3849" s="12" customFormat="1" customHeight="1" spans="2:10">
      <c r="B3849" s="25"/>
      <c r="C3849" s="25"/>
      <c r="D3849" s="26" t="str" cm="1">
        <f t="array" ref="D3849">IF(C3849="","",IFERROR(INDEX(STPP!$D$6:$D$4207,MATCH(C3849,STPP!$C$6:$C$4207,0)),"Not Found"))</f>
        <v/>
      </c>
      <c r="E3849" s="27" t="str" cm="1">
        <f t="array" ref="E3849">IF(C3849="","",IFERROR(INDEX(STPP!$E$6:$E$4207,MATCH(C3849,STPP!$C$6:$C$4207,0)),"Not Found"))</f>
        <v/>
      </c>
      <c r="F3849" s="27" t="str" cm="1">
        <f t="array" ref="F3849">IF(C3849="","",IFERROR(INDEX(STPP!$F$6:$F$4207,MATCH(C3849,STPP!$C$6:$C$4207,0)),"Not Found"))</f>
        <v/>
      </c>
      <c r="G3849" s="25" t="str">
        <f>IF(表1[[#This Row],[No Seri]]="","",表1[[#This Row],[Deskripsi Barang]]+表1[[#This Row],[Kuantitas]]-表1[[#This Row],[Satuan]])</f>
        <v/>
      </c>
      <c r="H3849" s="28"/>
      <c r="I3849" s="25" t="str">
        <f>IF(表1[[#This Row],[Tgl NPBG]]&gt;表1[[#This Row],[Peminta]],表1[[#This Row],[Tgl NPBG]]-表1[[#This Row],[Peminta]],"")</f>
        <v/>
      </c>
      <c r="J3849" s="31"/>
    </row>
    <row r="3850" s="12" customFormat="1" customHeight="1" spans="2:10">
      <c r="B3850" s="25"/>
      <c r="C3850" s="25"/>
      <c r="D3850" s="26" t="str" cm="1">
        <f t="array" ref="D3850">IF(C3850="","",IFERROR(INDEX(STPP!$D$6:$D$4207,MATCH(C3850,STPP!$C$6:$C$4207,0)),"Not Found"))</f>
        <v/>
      </c>
      <c r="E3850" s="27" t="str" cm="1">
        <f t="array" ref="E3850">IF(C3850="","",IFERROR(INDEX(STPP!$E$6:$E$4207,MATCH(C3850,STPP!$C$6:$C$4207,0)),"Not Found"))</f>
        <v/>
      </c>
      <c r="F3850" s="27" t="str" cm="1">
        <f t="array" ref="F3850">IF(C3850="","",IFERROR(INDEX(STPP!$F$6:$F$4207,MATCH(C3850,STPP!$C$6:$C$4207,0)),"Not Found"))</f>
        <v/>
      </c>
      <c r="G3850" s="25" t="str">
        <f>IF(表1[[#This Row],[No Seri]]="","",表1[[#This Row],[Deskripsi Barang]]+表1[[#This Row],[Kuantitas]]-表1[[#This Row],[Satuan]])</f>
        <v/>
      </c>
      <c r="H3850" s="28"/>
      <c r="I3850" s="25" t="str">
        <f>IF(表1[[#This Row],[Tgl NPBG]]&gt;表1[[#This Row],[Peminta]],表1[[#This Row],[Tgl NPBG]]-表1[[#This Row],[Peminta]],"")</f>
        <v/>
      </c>
      <c r="J3850" s="31"/>
    </row>
    <row r="3851" s="12" customFormat="1" customHeight="1" spans="2:10">
      <c r="B3851" s="25"/>
      <c r="C3851" s="25"/>
      <c r="D3851" s="26" t="str" cm="1">
        <f t="array" ref="D3851">IF(C3851="","",IFERROR(INDEX(STPP!$D$6:$D$4207,MATCH(C3851,STPP!$C$6:$C$4207,0)),"Not Found"))</f>
        <v/>
      </c>
      <c r="E3851" s="27" t="str" cm="1">
        <f t="array" ref="E3851">IF(C3851="","",IFERROR(INDEX(STPP!$E$6:$E$4207,MATCH(C3851,STPP!$C$6:$C$4207,0)),"Not Found"))</f>
        <v/>
      </c>
      <c r="F3851" s="27" t="str" cm="1">
        <f t="array" ref="F3851">IF(C3851="","",IFERROR(INDEX(STPP!$F$6:$F$4207,MATCH(C3851,STPP!$C$6:$C$4207,0)),"Not Found"))</f>
        <v/>
      </c>
      <c r="G3851" s="25" t="str">
        <f>IF(表1[[#This Row],[No Seri]]="","",表1[[#This Row],[Deskripsi Barang]]+表1[[#This Row],[Kuantitas]]-表1[[#This Row],[Satuan]])</f>
        <v/>
      </c>
      <c r="H3851" s="28"/>
      <c r="I3851" s="25" t="str">
        <f>IF(表1[[#This Row],[Tgl NPBG]]&gt;表1[[#This Row],[Peminta]],表1[[#This Row],[Tgl NPBG]]-表1[[#This Row],[Peminta]],"")</f>
        <v/>
      </c>
      <c r="J3851" s="31"/>
    </row>
    <row r="3852" s="12" customFormat="1" customHeight="1" spans="2:10">
      <c r="B3852" s="25"/>
      <c r="C3852" s="25"/>
      <c r="D3852" s="26" t="str" cm="1">
        <f t="array" ref="D3852">IF(C3852="","",IFERROR(INDEX(STPP!$D$6:$D$4207,MATCH(C3852,STPP!$C$6:$C$4207,0)),"Not Found"))</f>
        <v/>
      </c>
      <c r="E3852" s="27" t="str" cm="1">
        <f t="array" ref="E3852">IF(C3852="","",IFERROR(INDEX(STPP!$E$6:$E$4207,MATCH(C3852,STPP!$C$6:$C$4207,0)),"Not Found"))</f>
        <v/>
      </c>
      <c r="F3852" s="27" t="str" cm="1">
        <f t="array" ref="F3852">IF(C3852="","",IFERROR(INDEX(STPP!$F$6:$F$4207,MATCH(C3852,STPP!$C$6:$C$4207,0)),"Not Found"))</f>
        <v/>
      </c>
      <c r="G3852" s="25" t="str">
        <f>IF(表1[[#This Row],[No Seri]]="","",表1[[#This Row],[Deskripsi Barang]]+表1[[#This Row],[Kuantitas]]-表1[[#This Row],[Satuan]])</f>
        <v/>
      </c>
      <c r="H3852" s="28"/>
      <c r="I3852" s="25" t="str">
        <f>IF(表1[[#This Row],[Tgl NPBG]]&gt;表1[[#This Row],[Peminta]],表1[[#This Row],[Tgl NPBG]]-表1[[#This Row],[Peminta]],"")</f>
        <v/>
      </c>
      <c r="J3852" s="31"/>
    </row>
    <row r="3853" s="12" customFormat="1" customHeight="1" spans="2:10">
      <c r="B3853" s="25"/>
      <c r="C3853" s="25"/>
      <c r="D3853" s="26" t="str" cm="1">
        <f t="array" ref="D3853">IF(C3853="","",IFERROR(INDEX(STPP!$D$6:$D$4207,MATCH(C3853,STPP!$C$6:$C$4207,0)),"Not Found"))</f>
        <v/>
      </c>
      <c r="E3853" s="27" t="str" cm="1">
        <f t="array" ref="E3853">IF(C3853="","",IFERROR(INDEX(STPP!$E$6:$E$4207,MATCH(C3853,STPP!$C$6:$C$4207,0)),"Not Found"))</f>
        <v/>
      </c>
      <c r="F3853" s="27" t="str" cm="1">
        <f t="array" ref="F3853">IF(C3853="","",IFERROR(INDEX(STPP!$F$6:$F$4207,MATCH(C3853,STPP!$C$6:$C$4207,0)),"Not Found"))</f>
        <v/>
      </c>
      <c r="G3853" s="25" t="str">
        <f>IF(表1[[#This Row],[No Seri]]="","",表1[[#This Row],[Deskripsi Barang]]+表1[[#This Row],[Kuantitas]]-表1[[#This Row],[Satuan]])</f>
        <v/>
      </c>
      <c r="H3853" s="28"/>
      <c r="I3853" s="25" t="str">
        <f>IF(表1[[#This Row],[Tgl NPBG]]&gt;表1[[#This Row],[Peminta]],表1[[#This Row],[Tgl NPBG]]-表1[[#This Row],[Peminta]],"")</f>
        <v/>
      </c>
      <c r="J3853" s="31"/>
    </row>
    <row r="3854" s="12" customFormat="1" customHeight="1" spans="2:10">
      <c r="B3854" s="25"/>
      <c r="C3854" s="25"/>
      <c r="D3854" s="26" t="str" cm="1">
        <f t="array" ref="D3854">IF(C3854="","",IFERROR(INDEX(STPP!$D$6:$D$4207,MATCH(C3854,STPP!$C$6:$C$4207,0)),"Not Found"))</f>
        <v/>
      </c>
      <c r="E3854" s="27" t="str" cm="1">
        <f t="array" ref="E3854">IF(C3854="","",IFERROR(INDEX(STPP!$E$6:$E$4207,MATCH(C3854,STPP!$C$6:$C$4207,0)),"Not Found"))</f>
        <v/>
      </c>
      <c r="F3854" s="27" t="str" cm="1">
        <f t="array" ref="F3854">IF(C3854="","",IFERROR(INDEX(STPP!$F$6:$F$4207,MATCH(C3854,STPP!$C$6:$C$4207,0)),"Not Found"))</f>
        <v/>
      </c>
      <c r="G3854" s="25" t="str">
        <f>IF(表1[[#This Row],[No Seri]]="","",表1[[#This Row],[Deskripsi Barang]]+表1[[#This Row],[Kuantitas]]-表1[[#This Row],[Satuan]])</f>
        <v/>
      </c>
      <c r="H3854" s="28"/>
      <c r="I3854" s="25" t="str">
        <f>IF(表1[[#This Row],[Tgl NPBG]]&gt;表1[[#This Row],[Peminta]],表1[[#This Row],[Tgl NPBG]]-表1[[#This Row],[Peminta]],"")</f>
        <v/>
      </c>
      <c r="J3854" s="31"/>
    </row>
    <row r="3855" s="12" customFormat="1" customHeight="1" spans="2:10">
      <c r="B3855" s="25"/>
      <c r="C3855" s="25"/>
      <c r="D3855" s="26" t="str" cm="1">
        <f t="array" ref="D3855">IF(C3855="","",IFERROR(INDEX(STPP!$D$6:$D$4207,MATCH(C3855,STPP!$C$6:$C$4207,0)),"Not Found"))</f>
        <v/>
      </c>
      <c r="E3855" s="27" t="str" cm="1">
        <f t="array" ref="E3855">IF(C3855="","",IFERROR(INDEX(STPP!$E$6:$E$4207,MATCH(C3855,STPP!$C$6:$C$4207,0)),"Not Found"))</f>
        <v/>
      </c>
      <c r="F3855" s="27" t="str" cm="1">
        <f t="array" ref="F3855">IF(C3855="","",IFERROR(INDEX(STPP!$F$6:$F$4207,MATCH(C3855,STPP!$C$6:$C$4207,0)),"Not Found"))</f>
        <v/>
      </c>
      <c r="G3855" s="25" t="str">
        <f>IF(表1[[#This Row],[No Seri]]="","",表1[[#This Row],[Deskripsi Barang]]+表1[[#This Row],[Kuantitas]]-表1[[#This Row],[Satuan]])</f>
        <v/>
      </c>
      <c r="H3855" s="28"/>
      <c r="I3855" s="25" t="str">
        <f>IF(表1[[#This Row],[Tgl NPBG]]&gt;表1[[#This Row],[Peminta]],表1[[#This Row],[Tgl NPBG]]-表1[[#This Row],[Peminta]],"")</f>
        <v/>
      </c>
      <c r="J3855" s="31"/>
    </row>
    <row r="3856" s="12" customFormat="1" customHeight="1" spans="2:10">
      <c r="B3856" s="25"/>
      <c r="C3856" s="25"/>
      <c r="D3856" s="26" t="str" cm="1">
        <f t="array" ref="D3856">IF(C3856="","",IFERROR(INDEX(STPP!$D$6:$D$4207,MATCH(C3856,STPP!$C$6:$C$4207,0)),"Not Found"))</f>
        <v/>
      </c>
      <c r="E3856" s="27" t="str" cm="1">
        <f t="array" ref="E3856">IF(C3856="","",IFERROR(INDEX(STPP!$E$6:$E$4207,MATCH(C3856,STPP!$C$6:$C$4207,0)),"Not Found"))</f>
        <v/>
      </c>
      <c r="F3856" s="27" t="str" cm="1">
        <f t="array" ref="F3856">IF(C3856="","",IFERROR(INDEX(STPP!$F$6:$F$4207,MATCH(C3856,STPP!$C$6:$C$4207,0)),"Not Found"))</f>
        <v/>
      </c>
      <c r="G3856" s="25" t="str">
        <f>IF(表1[[#This Row],[No Seri]]="","",表1[[#This Row],[Deskripsi Barang]]+表1[[#This Row],[Kuantitas]]-表1[[#This Row],[Satuan]])</f>
        <v/>
      </c>
      <c r="H3856" s="28"/>
      <c r="I3856" s="25" t="str">
        <f>IF(表1[[#This Row],[Tgl NPBG]]&gt;表1[[#This Row],[Peminta]],表1[[#This Row],[Tgl NPBG]]-表1[[#This Row],[Peminta]],"")</f>
        <v/>
      </c>
      <c r="J3856" s="31"/>
    </row>
    <row r="3857" s="12" customFormat="1" customHeight="1" spans="2:10">
      <c r="B3857" s="25"/>
      <c r="C3857" s="25"/>
      <c r="D3857" s="26" t="str" cm="1">
        <f t="array" ref="D3857">IF(C3857="","",IFERROR(INDEX(STPP!$D$6:$D$4207,MATCH(C3857,STPP!$C$6:$C$4207,0)),"Not Found"))</f>
        <v/>
      </c>
      <c r="E3857" s="27" t="str" cm="1">
        <f t="array" ref="E3857">IF(C3857="","",IFERROR(INDEX(STPP!$E$6:$E$4207,MATCH(C3857,STPP!$C$6:$C$4207,0)),"Not Found"))</f>
        <v/>
      </c>
      <c r="F3857" s="27" t="str" cm="1">
        <f t="array" ref="F3857">IF(C3857="","",IFERROR(INDEX(STPP!$F$6:$F$4207,MATCH(C3857,STPP!$C$6:$C$4207,0)),"Not Found"))</f>
        <v/>
      </c>
      <c r="G3857" s="25" t="str">
        <f>IF(表1[[#This Row],[No Seri]]="","",表1[[#This Row],[Deskripsi Barang]]+表1[[#This Row],[Kuantitas]]-表1[[#This Row],[Satuan]])</f>
        <v/>
      </c>
      <c r="H3857" s="28"/>
      <c r="I3857" s="25" t="str">
        <f>IF(表1[[#This Row],[Tgl NPBG]]&gt;表1[[#This Row],[Peminta]],表1[[#This Row],[Tgl NPBG]]-表1[[#This Row],[Peminta]],"")</f>
        <v/>
      </c>
      <c r="J3857" s="31"/>
    </row>
    <row r="3858" s="12" customFormat="1" customHeight="1" spans="2:10">
      <c r="B3858" s="25"/>
      <c r="C3858" s="25"/>
      <c r="D3858" s="26" t="str" cm="1">
        <f t="array" ref="D3858">IF(C3858="","",IFERROR(INDEX(STPP!$D$6:$D$4207,MATCH(C3858,STPP!$C$6:$C$4207,0)),"Not Found"))</f>
        <v/>
      </c>
      <c r="E3858" s="27" t="str" cm="1">
        <f t="array" ref="E3858">IF(C3858="","",IFERROR(INDEX(STPP!$E$6:$E$4207,MATCH(C3858,STPP!$C$6:$C$4207,0)),"Not Found"))</f>
        <v/>
      </c>
      <c r="F3858" s="27" t="str" cm="1">
        <f t="array" ref="F3858">IF(C3858="","",IFERROR(INDEX(STPP!$F$6:$F$4207,MATCH(C3858,STPP!$C$6:$C$4207,0)),"Not Found"))</f>
        <v/>
      </c>
      <c r="G3858" s="25" t="str">
        <f>IF(表1[[#This Row],[No Seri]]="","",表1[[#This Row],[Deskripsi Barang]]+表1[[#This Row],[Kuantitas]]-表1[[#This Row],[Satuan]])</f>
        <v/>
      </c>
      <c r="H3858" s="28"/>
      <c r="I3858" s="25" t="str">
        <f>IF(表1[[#This Row],[Tgl NPBG]]&gt;表1[[#This Row],[Peminta]],表1[[#This Row],[Tgl NPBG]]-表1[[#This Row],[Peminta]],"")</f>
        <v/>
      </c>
      <c r="J3858" s="31"/>
    </row>
    <row r="3859" s="12" customFormat="1" customHeight="1" spans="2:10">
      <c r="B3859" s="25"/>
      <c r="C3859" s="25"/>
      <c r="D3859" s="26" t="str" cm="1">
        <f t="array" ref="D3859">IF(C3859="","",IFERROR(INDEX(STPP!$D$6:$D$4207,MATCH(C3859,STPP!$C$6:$C$4207,0)),"Not Found"))</f>
        <v/>
      </c>
      <c r="E3859" s="27" t="str" cm="1">
        <f t="array" ref="E3859">IF(C3859="","",IFERROR(INDEX(STPP!$E$6:$E$4207,MATCH(C3859,STPP!$C$6:$C$4207,0)),"Not Found"))</f>
        <v/>
      </c>
      <c r="F3859" s="27" t="str" cm="1">
        <f t="array" ref="F3859">IF(C3859="","",IFERROR(INDEX(STPP!$F$6:$F$4207,MATCH(C3859,STPP!$C$6:$C$4207,0)),"Not Found"))</f>
        <v/>
      </c>
      <c r="G3859" s="25" t="str">
        <f>IF(表1[[#This Row],[No Seri]]="","",表1[[#This Row],[Deskripsi Barang]]+表1[[#This Row],[Kuantitas]]-表1[[#This Row],[Satuan]])</f>
        <v/>
      </c>
      <c r="H3859" s="28"/>
      <c r="I3859" s="25" t="str">
        <f>IF(表1[[#This Row],[Tgl NPBG]]&gt;表1[[#This Row],[Peminta]],表1[[#This Row],[Tgl NPBG]]-表1[[#This Row],[Peminta]],"")</f>
        <v/>
      </c>
      <c r="J3859" s="31"/>
    </row>
    <row r="3860" s="12" customFormat="1" customHeight="1" spans="2:10">
      <c r="B3860" s="25"/>
      <c r="C3860" s="25"/>
      <c r="D3860" s="26" t="str" cm="1">
        <f t="array" ref="D3860">IF(C3860="","",IFERROR(INDEX(STPP!$D$6:$D$4207,MATCH(C3860,STPP!$C$6:$C$4207,0)),"Not Found"))</f>
        <v/>
      </c>
      <c r="E3860" s="27" t="str" cm="1">
        <f t="array" ref="E3860">IF(C3860="","",IFERROR(INDEX(STPP!$E$6:$E$4207,MATCH(C3860,STPP!$C$6:$C$4207,0)),"Not Found"))</f>
        <v/>
      </c>
      <c r="F3860" s="27" t="str" cm="1">
        <f t="array" ref="F3860">IF(C3860="","",IFERROR(INDEX(STPP!$F$6:$F$4207,MATCH(C3860,STPP!$C$6:$C$4207,0)),"Not Found"))</f>
        <v/>
      </c>
      <c r="G3860" s="25" t="str">
        <f>IF(表1[[#This Row],[No Seri]]="","",表1[[#This Row],[Deskripsi Barang]]+表1[[#This Row],[Kuantitas]]-表1[[#This Row],[Satuan]])</f>
        <v/>
      </c>
      <c r="H3860" s="28"/>
      <c r="I3860" s="25" t="str">
        <f>IF(表1[[#This Row],[Tgl NPBG]]&gt;表1[[#This Row],[Peminta]],表1[[#This Row],[Tgl NPBG]]-表1[[#This Row],[Peminta]],"")</f>
        <v/>
      </c>
      <c r="J3860" s="31"/>
    </row>
    <row r="3861" s="12" customFormat="1" customHeight="1" spans="2:10">
      <c r="B3861" s="25"/>
      <c r="C3861" s="25"/>
      <c r="D3861" s="26" t="str" cm="1">
        <f t="array" ref="D3861">IF(C3861="","",IFERROR(INDEX(STPP!$D$6:$D$4207,MATCH(C3861,STPP!$C$6:$C$4207,0)),"Not Found"))</f>
        <v/>
      </c>
      <c r="E3861" s="27" t="str" cm="1">
        <f t="array" ref="E3861">IF(C3861="","",IFERROR(INDEX(STPP!$E$6:$E$4207,MATCH(C3861,STPP!$C$6:$C$4207,0)),"Not Found"))</f>
        <v/>
      </c>
      <c r="F3861" s="27" t="str" cm="1">
        <f t="array" ref="F3861">IF(C3861="","",IFERROR(INDEX(STPP!$F$6:$F$4207,MATCH(C3861,STPP!$C$6:$C$4207,0)),"Not Found"))</f>
        <v/>
      </c>
      <c r="G3861" s="25" t="str">
        <f>IF(表1[[#This Row],[No Seri]]="","",表1[[#This Row],[Deskripsi Barang]]+表1[[#This Row],[Kuantitas]]-表1[[#This Row],[Satuan]])</f>
        <v/>
      </c>
      <c r="H3861" s="28"/>
      <c r="I3861" s="25" t="str">
        <f>IF(表1[[#This Row],[Tgl NPBG]]&gt;表1[[#This Row],[Peminta]],表1[[#This Row],[Tgl NPBG]]-表1[[#This Row],[Peminta]],"")</f>
        <v/>
      </c>
      <c r="J3861" s="31"/>
    </row>
    <row r="3862" s="12" customFormat="1" customHeight="1" spans="2:10">
      <c r="B3862" s="25"/>
      <c r="C3862" s="25"/>
      <c r="D3862" s="26" t="str" cm="1">
        <f t="array" ref="D3862">IF(C3862="","",IFERROR(INDEX(STPP!$D$6:$D$4207,MATCH(C3862,STPP!$C$6:$C$4207,0)),"Not Found"))</f>
        <v/>
      </c>
      <c r="E3862" s="27" t="str" cm="1">
        <f t="array" ref="E3862">IF(C3862="","",IFERROR(INDEX(STPP!$E$6:$E$4207,MATCH(C3862,STPP!$C$6:$C$4207,0)),"Not Found"))</f>
        <v/>
      </c>
      <c r="F3862" s="27" t="str" cm="1">
        <f t="array" ref="F3862">IF(C3862="","",IFERROR(INDEX(STPP!$F$6:$F$4207,MATCH(C3862,STPP!$C$6:$C$4207,0)),"Not Found"))</f>
        <v/>
      </c>
      <c r="G3862" s="25" t="str">
        <f>IF(表1[[#This Row],[No Seri]]="","",表1[[#This Row],[Deskripsi Barang]]+表1[[#This Row],[Kuantitas]]-表1[[#This Row],[Satuan]])</f>
        <v/>
      </c>
      <c r="H3862" s="28"/>
      <c r="I3862" s="25" t="str">
        <f>IF(表1[[#This Row],[Tgl NPBG]]&gt;表1[[#This Row],[Peminta]],表1[[#This Row],[Tgl NPBG]]-表1[[#This Row],[Peminta]],"")</f>
        <v/>
      </c>
      <c r="J3862" s="31"/>
    </row>
    <row r="3863" s="12" customFormat="1" customHeight="1" spans="2:10">
      <c r="B3863" s="25"/>
      <c r="C3863" s="25"/>
      <c r="D3863" s="26" t="str" cm="1">
        <f t="array" ref="D3863">IF(C3863="","",IFERROR(INDEX(STPP!$D$6:$D$4207,MATCH(C3863,STPP!$C$6:$C$4207,0)),"Not Found"))</f>
        <v/>
      </c>
      <c r="E3863" s="27" t="str" cm="1">
        <f t="array" ref="E3863">IF(C3863="","",IFERROR(INDEX(STPP!$E$6:$E$4207,MATCH(C3863,STPP!$C$6:$C$4207,0)),"Not Found"))</f>
        <v/>
      </c>
      <c r="F3863" s="27" t="str" cm="1">
        <f t="array" ref="F3863">IF(C3863="","",IFERROR(INDEX(STPP!$F$6:$F$4207,MATCH(C3863,STPP!$C$6:$C$4207,0)),"Not Found"))</f>
        <v/>
      </c>
      <c r="G3863" s="25" t="str">
        <f>IF(表1[[#This Row],[No Seri]]="","",表1[[#This Row],[Deskripsi Barang]]+表1[[#This Row],[Kuantitas]]-表1[[#This Row],[Satuan]])</f>
        <v/>
      </c>
      <c r="H3863" s="28"/>
      <c r="I3863" s="25" t="str">
        <f>IF(表1[[#This Row],[Tgl NPBG]]&gt;表1[[#This Row],[Peminta]],表1[[#This Row],[Tgl NPBG]]-表1[[#This Row],[Peminta]],"")</f>
        <v/>
      </c>
      <c r="J3863" s="31"/>
    </row>
    <row r="3864" s="12" customFormat="1" customHeight="1" spans="2:10">
      <c r="B3864" s="25"/>
      <c r="C3864" s="25"/>
      <c r="D3864" s="26" t="str" cm="1">
        <f t="array" ref="D3864">IF(C3864="","",IFERROR(INDEX(STPP!$D$6:$D$4207,MATCH(C3864,STPP!$C$6:$C$4207,0)),"Not Found"))</f>
        <v/>
      </c>
      <c r="E3864" s="27" t="str" cm="1">
        <f t="array" ref="E3864">IF(C3864="","",IFERROR(INDEX(STPP!$E$6:$E$4207,MATCH(C3864,STPP!$C$6:$C$4207,0)),"Not Found"))</f>
        <v/>
      </c>
      <c r="F3864" s="27" t="str" cm="1">
        <f t="array" ref="F3864">IF(C3864="","",IFERROR(INDEX(STPP!$F$6:$F$4207,MATCH(C3864,STPP!$C$6:$C$4207,0)),"Not Found"))</f>
        <v/>
      </c>
      <c r="G3864" s="25" t="str">
        <f>IF(表1[[#This Row],[No Seri]]="","",表1[[#This Row],[Deskripsi Barang]]+表1[[#This Row],[Kuantitas]]-表1[[#This Row],[Satuan]])</f>
        <v/>
      </c>
      <c r="H3864" s="28"/>
      <c r="I3864" s="25" t="str">
        <f>IF(表1[[#This Row],[Tgl NPBG]]&gt;表1[[#This Row],[Peminta]],表1[[#This Row],[Tgl NPBG]]-表1[[#This Row],[Peminta]],"")</f>
        <v/>
      </c>
      <c r="J3864" s="31"/>
    </row>
    <row r="3865" s="12" customFormat="1" customHeight="1" spans="2:10">
      <c r="B3865" s="25"/>
      <c r="C3865" s="25"/>
      <c r="D3865" s="26" t="str" cm="1">
        <f t="array" ref="D3865">IF(C3865="","",IFERROR(INDEX(STPP!$D$6:$D$4207,MATCH(C3865,STPP!$C$6:$C$4207,0)),"Not Found"))</f>
        <v/>
      </c>
      <c r="E3865" s="27" t="str" cm="1">
        <f t="array" ref="E3865">IF(C3865="","",IFERROR(INDEX(STPP!$E$6:$E$4207,MATCH(C3865,STPP!$C$6:$C$4207,0)),"Not Found"))</f>
        <v/>
      </c>
      <c r="F3865" s="27" t="str" cm="1">
        <f t="array" ref="F3865">IF(C3865="","",IFERROR(INDEX(STPP!$F$6:$F$4207,MATCH(C3865,STPP!$C$6:$C$4207,0)),"Not Found"))</f>
        <v/>
      </c>
      <c r="G3865" s="25" t="str">
        <f>IF(表1[[#This Row],[No Seri]]="","",表1[[#This Row],[Deskripsi Barang]]+表1[[#This Row],[Kuantitas]]-表1[[#This Row],[Satuan]])</f>
        <v/>
      </c>
      <c r="H3865" s="28"/>
      <c r="I3865" s="25" t="str">
        <f>IF(表1[[#This Row],[Tgl NPBG]]&gt;表1[[#This Row],[Peminta]],表1[[#This Row],[Tgl NPBG]]-表1[[#This Row],[Peminta]],"")</f>
        <v/>
      </c>
      <c r="J3865" s="31"/>
    </row>
    <row r="3866" s="12" customFormat="1" customHeight="1" spans="2:10">
      <c r="B3866" s="25"/>
      <c r="C3866" s="25"/>
      <c r="D3866" s="26" t="str" cm="1">
        <f t="array" ref="D3866">IF(C3866="","",IFERROR(INDEX(STPP!$D$6:$D$4207,MATCH(C3866,STPP!$C$6:$C$4207,0)),"Not Found"))</f>
        <v/>
      </c>
      <c r="E3866" s="27" t="str" cm="1">
        <f t="array" ref="E3866">IF(C3866="","",IFERROR(INDEX(STPP!$E$6:$E$4207,MATCH(C3866,STPP!$C$6:$C$4207,0)),"Not Found"))</f>
        <v/>
      </c>
      <c r="F3866" s="27" t="str" cm="1">
        <f t="array" ref="F3866">IF(C3866="","",IFERROR(INDEX(STPP!$F$6:$F$4207,MATCH(C3866,STPP!$C$6:$C$4207,0)),"Not Found"))</f>
        <v/>
      </c>
      <c r="G3866" s="25" t="str">
        <f>IF(表1[[#This Row],[No Seri]]="","",表1[[#This Row],[Deskripsi Barang]]+表1[[#This Row],[Kuantitas]]-表1[[#This Row],[Satuan]])</f>
        <v/>
      </c>
      <c r="H3866" s="28"/>
      <c r="I3866" s="25" t="str">
        <f>IF(表1[[#This Row],[Tgl NPBG]]&gt;表1[[#This Row],[Peminta]],表1[[#This Row],[Tgl NPBG]]-表1[[#This Row],[Peminta]],"")</f>
        <v/>
      </c>
      <c r="J3866" s="31"/>
    </row>
    <row r="3867" s="12" customFormat="1" customHeight="1" spans="2:10">
      <c r="B3867" s="25"/>
      <c r="C3867" s="25"/>
      <c r="D3867" s="26" t="str" cm="1">
        <f t="array" ref="D3867">IF(C3867="","",IFERROR(INDEX(STPP!$D$6:$D$4207,MATCH(C3867,STPP!$C$6:$C$4207,0)),"Not Found"))</f>
        <v/>
      </c>
      <c r="E3867" s="27" t="str" cm="1">
        <f t="array" ref="E3867">IF(C3867="","",IFERROR(INDEX(STPP!$E$6:$E$4207,MATCH(C3867,STPP!$C$6:$C$4207,0)),"Not Found"))</f>
        <v/>
      </c>
      <c r="F3867" s="27" t="str" cm="1">
        <f t="array" ref="F3867">IF(C3867="","",IFERROR(INDEX(STPP!$F$6:$F$4207,MATCH(C3867,STPP!$C$6:$C$4207,0)),"Not Found"))</f>
        <v/>
      </c>
      <c r="G3867" s="25" t="str">
        <f>IF(表1[[#This Row],[No Seri]]="","",表1[[#This Row],[Deskripsi Barang]]+表1[[#This Row],[Kuantitas]]-表1[[#This Row],[Satuan]])</f>
        <v/>
      </c>
      <c r="H3867" s="28"/>
      <c r="I3867" s="25" t="str">
        <f>IF(表1[[#This Row],[Tgl NPBG]]&gt;表1[[#This Row],[Peminta]],表1[[#This Row],[Tgl NPBG]]-表1[[#This Row],[Peminta]],"")</f>
        <v/>
      </c>
      <c r="J3867" s="31"/>
    </row>
    <row r="3868" s="12" customFormat="1" customHeight="1" spans="2:10">
      <c r="B3868" s="25"/>
      <c r="C3868" s="25"/>
      <c r="D3868" s="26" t="str" cm="1">
        <f t="array" ref="D3868">IF(C3868="","",IFERROR(INDEX(STPP!$D$6:$D$4207,MATCH(C3868,STPP!$C$6:$C$4207,0)),"Not Found"))</f>
        <v/>
      </c>
      <c r="E3868" s="27" t="str" cm="1">
        <f t="array" ref="E3868">IF(C3868="","",IFERROR(INDEX(STPP!$E$6:$E$4207,MATCH(C3868,STPP!$C$6:$C$4207,0)),"Not Found"))</f>
        <v/>
      </c>
      <c r="F3868" s="27" t="str" cm="1">
        <f t="array" ref="F3868">IF(C3868="","",IFERROR(INDEX(STPP!$F$6:$F$4207,MATCH(C3868,STPP!$C$6:$C$4207,0)),"Not Found"))</f>
        <v/>
      </c>
      <c r="G3868" s="25" t="str">
        <f>IF(表1[[#This Row],[No Seri]]="","",表1[[#This Row],[Deskripsi Barang]]+表1[[#This Row],[Kuantitas]]-表1[[#This Row],[Satuan]])</f>
        <v/>
      </c>
      <c r="H3868" s="28"/>
      <c r="I3868" s="25" t="str">
        <f>IF(表1[[#This Row],[Tgl NPBG]]&gt;表1[[#This Row],[Peminta]],表1[[#This Row],[Tgl NPBG]]-表1[[#This Row],[Peminta]],"")</f>
        <v/>
      </c>
      <c r="J3868" s="31"/>
    </row>
    <row r="3869" s="12" customFormat="1" customHeight="1" spans="2:10">
      <c r="B3869" s="25"/>
      <c r="C3869" s="25"/>
      <c r="D3869" s="26" t="str" cm="1">
        <f t="array" ref="D3869">IF(C3869="","",IFERROR(INDEX(STPP!$D$6:$D$4207,MATCH(C3869,STPP!$C$6:$C$4207,0)),"Not Found"))</f>
        <v/>
      </c>
      <c r="E3869" s="27" t="str" cm="1">
        <f t="array" ref="E3869">IF(C3869="","",IFERROR(INDEX(STPP!$E$6:$E$4207,MATCH(C3869,STPP!$C$6:$C$4207,0)),"Not Found"))</f>
        <v/>
      </c>
      <c r="F3869" s="27" t="str" cm="1">
        <f t="array" ref="F3869">IF(C3869="","",IFERROR(INDEX(STPP!$F$6:$F$4207,MATCH(C3869,STPP!$C$6:$C$4207,0)),"Not Found"))</f>
        <v/>
      </c>
      <c r="G3869" s="25" t="str">
        <f>IF(表1[[#This Row],[No Seri]]="","",表1[[#This Row],[Deskripsi Barang]]+表1[[#This Row],[Kuantitas]]-表1[[#This Row],[Satuan]])</f>
        <v/>
      </c>
      <c r="H3869" s="28"/>
      <c r="I3869" s="25" t="str">
        <f>IF(表1[[#This Row],[Tgl NPBG]]&gt;表1[[#This Row],[Peminta]],表1[[#This Row],[Tgl NPBG]]-表1[[#This Row],[Peminta]],"")</f>
        <v/>
      </c>
      <c r="J3869" s="31"/>
    </row>
    <row r="3870" s="12" customFormat="1" customHeight="1" spans="2:10">
      <c r="B3870" s="25"/>
      <c r="C3870" s="25"/>
      <c r="D3870" s="26" t="str" cm="1">
        <f t="array" ref="D3870">IF(C3870="","",IFERROR(INDEX(STPP!$D$6:$D$4207,MATCH(C3870,STPP!$C$6:$C$4207,0)),"Not Found"))</f>
        <v/>
      </c>
      <c r="E3870" s="27" t="str" cm="1">
        <f t="array" ref="E3870">IF(C3870="","",IFERROR(INDEX(STPP!$E$6:$E$4207,MATCH(C3870,STPP!$C$6:$C$4207,0)),"Not Found"))</f>
        <v/>
      </c>
      <c r="F3870" s="27" t="str" cm="1">
        <f t="array" ref="F3870">IF(C3870="","",IFERROR(INDEX(STPP!$F$6:$F$4207,MATCH(C3870,STPP!$C$6:$C$4207,0)),"Not Found"))</f>
        <v/>
      </c>
      <c r="G3870" s="25" t="str">
        <f>IF(表1[[#This Row],[No Seri]]="","",表1[[#This Row],[Deskripsi Barang]]+表1[[#This Row],[Kuantitas]]-表1[[#This Row],[Satuan]])</f>
        <v/>
      </c>
      <c r="H3870" s="28"/>
      <c r="I3870" s="25" t="str">
        <f>IF(表1[[#This Row],[Tgl NPBG]]&gt;表1[[#This Row],[Peminta]],表1[[#This Row],[Tgl NPBG]]-表1[[#This Row],[Peminta]],"")</f>
        <v/>
      </c>
      <c r="J3870" s="31"/>
    </row>
    <row r="3871" s="12" customFormat="1" customHeight="1" spans="2:10">
      <c r="B3871" s="25"/>
      <c r="C3871" s="25"/>
      <c r="D3871" s="26" t="str" cm="1">
        <f t="array" ref="D3871">IF(C3871="","",IFERROR(INDEX(STPP!$D$6:$D$4207,MATCH(C3871,STPP!$C$6:$C$4207,0)),"Not Found"))</f>
        <v/>
      </c>
      <c r="E3871" s="27" t="str" cm="1">
        <f t="array" ref="E3871">IF(C3871="","",IFERROR(INDEX(STPP!$E$6:$E$4207,MATCH(C3871,STPP!$C$6:$C$4207,0)),"Not Found"))</f>
        <v/>
      </c>
      <c r="F3871" s="27" t="str" cm="1">
        <f t="array" ref="F3871">IF(C3871="","",IFERROR(INDEX(STPP!$F$6:$F$4207,MATCH(C3871,STPP!$C$6:$C$4207,0)),"Not Found"))</f>
        <v/>
      </c>
      <c r="G3871" s="25" t="str">
        <f>IF(表1[[#This Row],[No Seri]]="","",表1[[#This Row],[Deskripsi Barang]]+表1[[#This Row],[Kuantitas]]-表1[[#This Row],[Satuan]])</f>
        <v/>
      </c>
      <c r="H3871" s="28"/>
      <c r="I3871" s="25" t="str">
        <f>IF(表1[[#This Row],[Tgl NPBG]]&gt;表1[[#This Row],[Peminta]],表1[[#This Row],[Tgl NPBG]]-表1[[#This Row],[Peminta]],"")</f>
        <v/>
      </c>
      <c r="J3871" s="31"/>
    </row>
    <row r="3872" s="12" customFormat="1" customHeight="1" spans="2:10">
      <c r="B3872" s="25"/>
      <c r="C3872" s="25"/>
      <c r="D3872" s="26" t="str" cm="1">
        <f t="array" ref="D3872">IF(C3872="","",IFERROR(INDEX(STPP!$D$6:$D$4207,MATCH(C3872,STPP!$C$6:$C$4207,0)),"Not Found"))</f>
        <v/>
      </c>
      <c r="E3872" s="27" t="str" cm="1">
        <f t="array" ref="E3872">IF(C3872="","",IFERROR(INDEX(STPP!$E$6:$E$4207,MATCH(C3872,STPP!$C$6:$C$4207,0)),"Not Found"))</f>
        <v/>
      </c>
      <c r="F3872" s="27" t="str" cm="1">
        <f t="array" ref="F3872">IF(C3872="","",IFERROR(INDEX(STPP!$F$6:$F$4207,MATCH(C3872,STPP!$C$6:$C$4207,0)),"Not Found"))</f>
        <v/>
      </c>
      <c r="G3872" s="25" t="str">
        <f>IF(表1[[#This Row],[No Seri]]="","",表1[[#This Row],[Deskripsi Barang]]+表1[[#This Row],[Kuantitas]]-表1[[#This Row],[Satuan]])</f>
        <v/>
      </c>
      <c r="H3872" s="28"/>
      <c r="I3872" s="25" t="str">
        <f>IF(表1[[#This Row],[Tgl NPBG]]&gt;表1[[#This Row],[Peminta]],表1[[#This Row],[Tgl NPBG]]-表1[[#This Row],[Peminta]],"")</f>
        <v/>
      </c>
      <c r="J3872" s="31"/>
    </row>
    <row r="3873" s="12" customFormat="1" customHeight="1" spans="2:10">
      <c r="B3873" s="25"/>
      <c r="C3873" s="25"/>
      <c r="D3873" s="26" t="str" cm="1">
        <f t="array" ref="D3873">IF(C3873="","",IFERROR(INDEX(STPP!$D$6:$D$4207,MATCH(C3873,STPP!$C$6:$C$4207,0)),"Not Found"))</f>
        <v/>
      </c>
      <c r="E3873" s="27" t="str" cm="1">
        <f t="array" ref="E3873">IF(C3873="","",IFERROR(INDEX(STPP!$E$6:$E$4207,MATCH(C3873,STPP!$C$6:$C$4207,0)),"Not Found"))</f>
        <v/>
      </c>
      <c r="F3873" s="27" t="str" cm="1">
        <f t="array" ref="F3873">IF(C3873="","",IFERROR(INDEX(STPP!$F$6:$F$4207,MATCH(C3873,STPP!$C$6:$C$4207,0)),"Not Found"))</f>
        <v/>
      </c>
      <c r="G3873" s="25" t="str">
        <f>IF(表1[[#This Row],[No Seri]]="","",表1[[#This Row],[Deskripsi Barang]]+表1[[#This Row],[Kuantitas]]-表1[[#This Row],[Satuan]])</f>
        <v/>
      </c>
      <c r="H3873" s="28"/>
      <c r="I3873" s="25" t="str">
        <f>IF(表1[[#This Row],[Tgl NPBG]]&gt;表1[[#This Row],[Peminta]],表1[[#This Row],[Tgl NPBG]]-表1[[#This Row],[Peminta]],"")</f>
        <v/>
      </c>
      <c r="J3873" s="31"/>
    </row>
    <row r="3874" s="12" customFormat="1" customHeight="1" spans="2:10">
      <c r="B3874" s="25"/>
      <c r="C3874" s="25"/>
      <c r="D3874" s="26" t="str" cm="1">
        <f t="array" ref="D3874">IF(C3874="","",IFERROR(INDEX(STPP!$D$6:$D$4207,MATCH(C3874,STPP!$C$6:$C$4207,0)),"Not Found"))</f>
        <v/>
      </c>
      <c r="E3874" s="27" t="str" cm="1">
        <f t="array" ref="E3874">IF(C3874="","",IFERROR(INDEX(STPP!$E$6:$E$4207,MATCH(C3874,STPP!$C$6:$C$4207,0)),"Not Found"))</f>
        <v/>
      </c>
      <c r="F3874" s="27" t="str" cm="1">
        <f t="array" ref="F3874">IF(C3874="","",IFERROR(INDEX(STPP!$F$6:$F$4207,MATCH(C3874,STPP!$C$6:$C$4207,0)),"Not Found"))</f>
        <v/>
      </c>
      <c r="G3874" s="25" t="str">
        <f>IF(表1[[#This Row],[No Seri]]="","",表1[[#This Row],[Deskripsi Barang]]+表1[[#This Row],[Kuantitas]]-表1[[#This Row],[Satuan]])</f>
        <v/>
      </c>
      <c r="H3874" s="28"/>
      <c r="I3874" s="25" t="str">
        <f>IF(表1[[#This Row],[Tgl NPBG]]&gt;表1[[#This Row],[Peminta]],表1[[#This Row],[Tgl NPBG]]-表1[[#This Row],[Peminta]],"")</f>
        <v/>
      </c>
      <c r="J3874" s="31"/>
    </row>
    <row r="3875" s="12" customFormat="1" customHeight="1" spans="2:10">
      <c r="B3875" s="25"/>
      <c r="C3875" s="25"/>
      <c r="D3875" s="26" t="str" cm="1">
        <f t="array" ref="D3875">IF(C3875="","",IFERROR(INDEX(STPP!$D$6:$D$4207,MATCH(C3875,STPP!$C$6:$C$4207,0)),"Not Found"))</f>
        <v/>
      </c>
      <c r="E3875" s="27" t="str" cm="1">
        <f t="array" ref="E3875">IF(C3875="","",IFERROR(INDEX(STPP!$E$6:$E$4207,MATCH(C3875,STPP!$C$6:$C$4207,0)),"Not Found"))</f>
        <v/>
      </c>
      <c r="F3875" s="27" t="str" cm="1">
        <f t="array" ref="F3875">IF(C3875="","",IFERROR(INDEX(STPP!$F$6:$F$4207,MATCH(C3875,STPP!$C$6:$C$4207,0)),"Not Found"))</f>
        <v/>
      </c>
      <c r="G3875" s="25" t="str">
        <f>IF(表1[[#This Row],[No Seri]]="","",表1[[#This Row],[Deskripsi Barang]]+表1[[#This Row],[Kuantitas]]-表1[[#This Row],[Satuan]])</f>
        <v/>
      </c>
      <c r="H3875" s="28"/>
      <c r="I3875" s="25" t="str">
        <f>IF(表1[[#This Row],[Tgl NPBG]]&gt;表1[[#This Row],[Peminta]],表1[[#This Row],[Tgl NPBG]]-表1[[#This Row],[Peminta]],"")</f>
        <v/>
      </c>
      <c r="J3875" s="31"/>
    </row>
    <row r="3876" s="12" customFormat="1" customHeight="1" spans="2:10">
      <c r="B3876" s="25"/>
      <c r="C3876" s="25"/>
      <c r="D3876" s="26" t="str" cm="1">
        <f t="array" ref="D3876">IF(C3876="","",IFERROR(INDEX(STPP!$D$6:$D$4207,MATCH(C3876,STPP!$C$6:$C$4207,0)),"Not Found"))</f>
        <v/>
      </c>
      <c r="E3876" s="27" t="str" cm="1">
        <f t="array" ref="E3876">IF(C3876="","",IFERROR(INDEX(STPP!$E$6:$E$4207,MATCH(C3876,STPP!$C$6:$C$4207,0)),"Not Found"))</f>
        <v/>
      </c>
      <c r="F3876" s="27" t="str" cm="1">
        <f t="array" ref="F3876">IF(C3876="","",IFERROR(INDEX(STPP!$F$6:$F$4207,MATCH(C3876,STPP!$C$6:$C$4207,0)),"Not Found"))</f>
        <v/>
      </c>
      <c r="G3876" s="25" t="str">
        <f>IF(表1[[#This Row],[No Seri]]="","",表1[[#This Row],[Deskripsi Barang]]+表1[[#This Row],[Kuantitas]]-表1[[#This Row],[Satuan]])</f>
        <v/>
      </c>
      <c r="H3876" s="28"/>
      <c r="I3876" s="25" t="str">
        <f>IF(表1[[#This Row],[Tgl NPBG]]&gt;表1[[#This Row],[Peminta]],表1[[#This Row],[Tgl NPBG]]-表1[[#This Row],[Peminta]],"")</f>
        <v/>
      </c>
      <c r="J3876" s="31"/>
    </row>
    <row r="3877" s="12" customFormat="1" customHeight="1" spans="2:10">
      <c r="B3877" s="25"/>
      <c r="C3877" s="25"/>
      <c r="D3877" s="26" t="str" cm="1">
        <f t="array" ref="D3877">IF(C3877="","",IFERROR(INDEX(STPP!$D$6:$D$4207,MATCH(C3877,STPP!$C$6:$C$4207,0)),"Not Found"))</f>
        <v/>
      </c>
      <c r="E3877" s="27" t="str" cm="1">
        <f t="array" ref="E3877">IF(C3877="","",IFERROR(INDEX(STPP!$E$6:$E$4207,MATCH(C3877,STPP!$C$6:$C$4207,0)),"Not Found"))</f>
        <v/>
      </c>
      <c r="F3877" s="27" t="str" cm="1">
        <f t="array" ref="F3877">IF(C3877="","",IFERROR(INDEX(STPP!$F$6:$F$4207,MATCH(C3877,STPP!$C$6:$C$4207,0)),"Not Found"))</f>
        <v/>
      </c>
      <c r="G3877" s="25" t="str">
        <f>IF(表1[[#This Row],[No Seri]]="","",表1[[#This Row],[Deskripsi Barang]]+表1[[#This Row],[Kuantitas]]-表1[[#This Row],[Satuan]])</f>
        <v/>
      </c>
      <c r="H3877" s="28"/>
      <c r="I3877" s="25" t="str">
        <f>IF(表1[[#This Row],[Tgl NPBG]]&gt;表1[[#This Row],[Peminta]],表1[[#This Row],[Tgl NPBG]]-表1[[#This Row],[Peminta]],"")</f>
        <v/>
      </c>
      <c r="J3877" s="31"/>
    </row>
    <row r="3878" s="12" customFormat="1" customHeight="1" spans="2:10">
      <c r="B3878" s="25"/>
      <c r="C3878" s="25"/>
      <c r="D3878" s="26" t="str" cm="1">
        <f t="array" ref="D3878">IF(C3878="","",IFERROR(INDEX(STPP!$D$6:$D$4207,MATCH(C3878,STPP!$C$6:$C$4207,0)),"Not Found"))</f>
        <v/>
      </c>
      <c r="E3878" s="27" t="str" cm="1">
        <f t="array" ref="E3878">IF(C3878="","",IFERROR(INDEX(STPP!$E$6:$E$4207,MATCH(C3878,STPP!$C$6:$C$4207,0)),"Not Found"))</f>
        <v/>
      </c>
      <c r="F3878" s="27" t="str" cm="1">
        <f t="array" ref="F3878">IF(C3878="","",IFERROR(INDEX(STPP!$F$6:$F$4207,MATCH(C3878,STPP!$C$6:$C$4207,0)),"Not Found"))</f>
        <v/>
      </c>
      <c r="G3878" s="25" t="str">
        <f>IF(表1[[#This Row],[No Seri]]="","",表1[[#This Row],[Deskripsi Barang]]+表1[[#This Row],[Kuantitas]]-表1[[#This Row],[Satuan]])</f>
        <v/>
      </c>
      <c r="H3878" s="28"/>
      <c r="I3878" s="25" t="str">
        <f>IF(表1[[#This Row],[Tgl NPBG]]&gt;表1[[#This Row],[Peminta]],表1[[#This Row],[Tgl NPBG]]-表1[[#This Row],[Peminta]],"")</f>
        <v/>
      </c>
      <c r="J3878" s="31"/>
    </row>
    <row r="3879" s="12" customFormat="1" customHeight="1" spans="2:10">
      <c r="B3879" s="25"/>
      <c r="C3879" s="25"/>
      <c r="D3879" s="26" t="str" cm="1">
        <f t="array" ref="D3879">IF(C3879="","",IFERROR(INDEX(STPP!$D$6:$D$4207,MATCH(C3879,STPP!$C$6:$C$4207,0)),"Not Found"))</f>
        <v/>
      </c>
      <c r="E3879" s="27" t="str" cm="1">
        <f t="array" ref="E3879">IF(C3879="","",IFERROR(INDEX(STPP!$E$6:$E$4207,MATCH(C3879,STPP!$C$6:$C$4207,0)),"Not Found"))</f>
        <v/>
      </c>
      <c r="F3879" s="27" t="str" cm="1">
        <f t="array" ref="F3879">IF(C3879="","",IFERROR(INDEX(STPP!$F$6:$F$4207,MATCH(C3879,STPP!$C$6:$C$4207,0)),"Not Found"))</f>
        <v/>
      </c>
      <c r="G3879" s="25" t="str">
        <f>IF(表1[[#This Row],[No Seri]]="","",表1[[#This Row],[Deskripsi Barang]]+表1[[#This Row],[Kuantitas]]-表1[[#This Row],[Satuan]])</f>
        <v/>
      </c>
      <c r="H3879" s="28"/>
      <c r="I3879" s="25" t="str">
        <f>IF(表1[[#This Row],[Tgl NPBG]]&gt;表1[[#This Row],[Peminta]],表1[[#This Row],[Tgl NPBG]]-表1[[#This Row],[Peminta]],"")</f>
        <v/>
      </c>
      <c r="J3879" s="31"/>
    </row>
    <row r="3880" s="12" customFormat="1" customHeight="1" spans="2:10">
      <c r="B3880" s="25"/>
      <c r="C3880" s="25"/>
      <c r="D3880" s="26" t="str" cm="1">
        <f t="array" ref="D3880">IF(C3880="","",IFERROR(INDEX(STPP!$D$6:$D$4207,MATCH(C3880,STPP!$C$6:$C$4207,0)),"Not Found"))</f>
        <v/>
      </c>
      <c r="E3880" s="27" t="str" cm="1">
        <f t="array" ref="E3880">IF(C3880="","",IFERROR(INDEX(STPP!$E$6:$E$4207,MATCH(C3880,STPP!$C$6:$C$4207,0)),"Not Found"))</f>
        <v/>
      </c>
      <c r="F3880" s="27" t="str" cm="1">
        <f t="array" ref="F3880">IF(C3880="","",IFERROR(INDEX(STPP!$F$6:$F$4207,MATCH(C3880,STPP!$C$6:$C$4207,0)),"Not Found"))</f>
        <v/>
      </c>
      <c r="G3880" s="25" t="str">
        <f>IF(表1[[#This Row],[No Seri]]="","",表1[[#This Row],[Deskripsi Barang]]+表1[[#This Row],[Kuantitas]]-表1[[#This Row],[Satuan]])</f>
        <v/>
      </c>
      <c r="H3880" s="28"/>
      <c r="I3880" s="25" t="str">
        <f>IF(表1[[#This Row],[Tgl NPBG]]&gt;表1[[#This Row],[Peminta]],表1[[#This Row],[Tgl NPBG]]-表1[[#This Row],[Peminta]],"")</f>
        <v/>
      </c>
      <c r="J3880" s="31"/>
    </row>
    <row r="3881" s="12" customFormat="1" customHeight="1" spans="2:10">
      <c r="B3881" s="25"/>
      <c r="C3881" s="25"/>
      <c r="D3881" s="26" t="str" cm="1">
        <f t="array" ref="D3881">IF(C3881="","",IFERROR(INDEX(STPP!$D$6:$D$4207,MATCH(C3881,STPP!$C$6:$C$4207,0)),"Not Found"))</f>
        <v/>
      </c>
      <c r="E3881" s="27" t="str" cm="1">
        <f t="array" ref="E3881">IF(C3881="","",IFERROR(INDEX(STPP!$E$6:$E$4207,MATCH(C3881,STPP!$C$6:$C$4207,0)),"Not Found"))</f>
        <v/>
      </c>
      <c r="F3881" s="27" t="str" cm="1">
        <f t="array" ref="F3881">IF(C3881="","",IFERROR(INDEX(STPP!$F$6:$F$4207,MATCH(C3881,STPP!$C$6:$C$4207,0)),"Not Found"))</f>
        <v/>
      </c>
      <c r="G3881" s="25" t="str">
        <f>IF(表1[[#This Row],[No Seri]]="","",表1[[#This Row],[Deskripsi Barang]]+表1[[#This Row],[Kuantitas]]-表1[[#This Row],[Satuan]])</f>
        <v/>
      </c>
      <c r="H3881" s="28"/>
      <c r="I3881" s="25" t="str">
        <f>IF(表1[[#This Row],[Tgl NPBG]]&gt;表1[[#This Row],[Peminta]],表1[[#This Row],[Tgl NPBG]]-表1[[#This Row],[Peminta]],"")</f>
        <v/>
      </c>
      <c r="J3881" s="31"/>
    </row>
    <row r="3882" s="12" customFormat="1" customHeight="1" spans="2:10">
      <c r="B3882" s="25"/>
      <c r="C3882" s="25"/>
      <c r="D3882" s="26" t="str" cm="1">
        <f t="array" ref="D3882">IF(C3882="","",IFERROR(INDEX(STPP!$D$6:$D$4207,MATCH(C3882,STPP!$C$6:$C$4207,0)),"Not Found"))</f>
        <v/>
      </c>
      <c r="E3882" s="27" t="str" cm="1">
        <f t="array" ref="E3882">IF(C3882="","",IFERROR(INDEX(STPP!$E$6:$E$4207,MATCH(C3882,STPP!$C$6:$C$4207,0)),"Not Found"))</f>
        <v/>
      </c>
      <c r="F3882" s="27" t="str" cm="1">
        <f t="array" ref="F3882">IF(C3882="","",IFERROR(INDEX(STPP!$F$6:$F$4207,MATCH(C3882,STPP!$C$6:$C$4207,0)),"Not Found"))</f>
        <v/>
      </c>
      <c r="G3882" s="25" t="str">
        <f>IF(表1[[#This Row],[No Seri]]="","",表1[[#This Row],[Deskripsi Barang]]+表1[[#This Row],[Kuantitas]]-表1[[#This Row],[Satuan]])</f>
        <v/>
      </c>
      <c r="H3882" s="28"/>
      <c r="I3882" s="25" t="str">
        <f>IF(表1[[#This Row],[Tgl NPBG]]&gt;表1[[#This Row],[Peminta]],表1[[#This Row],[Tgl NPBG]]-表1[[#This Row],[Peminta]],"")</f>
        <v/>
      </c>
      <c r="J3882" s="31"/>
    </row>
    <row r="3883" s="12" customFormat="1" customHeight="1" spans="2:10">
      <c r="B3883" s="25"/>
      <c r="C3883" s="25"/>
      <c r="D3883" s="26" t="str" cm="1">
        <f t="array" ref="D3883">IF(C3883="","",IFERROR(INDEX(STPP!$D$6:$D$4207,MATCH(C3883,STPP!$C$6:$C$4207,0)),"Not Found"))</f>
        <v/>
      </c>
      <c r="E3883" s="27" t="str" cm="1">
        <f t="array" ref="E3883">IF(C3883="","",IFERROR(INDEX(STPP!$E$6:$E$4207,MATCH(C3883,STPP!$C$6:$C$4207,0)),"Not Found"))</f>
        <v/>
      </c>
      <c r="F3883" s="27" t="str" cm="1">
        <f t="array" ref="F3883">IF(C3883="","",IFERROR(INDEX(STPP!$F$6:$F$4207,MATCH(C3883,STPP!$C$6:$C$4207,0)),"Not Found"))</f>
        <v/>
      </c>
      <c r="G3883" s="25" t="str">
        <f>IF(表1[[#This Row],[No Seri]]="","",表1[[#This Row],[Deskripsi Barang]]+表1[[#This Row],[Kuantitas]]-表1[[#This Row],[Satuan]])</f>
        <v/>
      </c>
      <c r="H3883" s="28"/>
      <c r="I3883" s="25" t="str">
        <f>IF(表1[[#This Row],[Tgl NPBG]]&gt;表1[[#This Row],[Peminta]],表1[[#This Row],[Tgl NPBG]]-表1[[#This Row],[Peminta]],"")</f>
        <v/>
      </c>
      <c r="J3883" s="31"/>
    </row>
    <row r="3884" s="12" customFormat="1" customHeight="1" spans="2:10">
      <c r="B3884" s="25"/>
      <c r="C3884" s="25"/>
      <c r="D3884" s="26" t="str" cm="1">
        <f t="array" ref="D3884">IF(C3884="","",IFERROR(INDEX(STPP!$D$6:$D$4207,MATCH(C3884,STPP!$C$6:$C$4207,0)),"Not Found"))</f>
        <v/>
      </c>
      <c r="E3884" s="27" t="str" cm="1">
        <f t="array" ref="E3884">IF(C3884="","",IFERROR(INDEX(STPP!$E$6:$E$4207,MATCH(C3884,STPP!$C$6:$C$4207,0)),"Not Found"))</f>
        <v/>
      </c>
      <c r="F3884" s="27" t="str" cm="1">
        <f t="array" ref="F3884">IF(C3884="","",IFERROR(INDEX(STPP!$F$6:$F$4207,MATCH(C3884,STPP!$C$6:$C$4207,0)),"Not Found"))</f>
        <v/>
      </c>
      <c r="G3884" s="25" t="str">
        <f>IF(表1[[#This Row],[No Seri]]="","",表1[[#This Row],[Deskripsi Barang]]+表1[[#This Row],[Kuantitas]]-表1[[#This Row],[Satuan]])</f>
        <v/>
      </c>
      <c r="H3884" s="28"/>
      <c r="I3884" s="25" t="str">
        <f>IF(表1[[#This Row],[Tgl NPBG]]&gt;表1[[#This Row],[Peminta]],表1[[#This Row],[Tgl NPBG]]-表1[[#This Row],[Peminta]],"")</f>
        <v/>
      </c>
      <c r="J3884" s="31"/>
    </row>
    <row r="3885" s="12" customFormat="1" customHeight="1" spans="2:10">
      <c r="B3885" s="25"/>
      <c r="C3885" s="25"/>
      <c r="D3885" s="26" t="str" cm="1">
        <f t="array" ref="D3885">IF(C3885="","",IFERROR(INDEX(STPP!$D$6:$D$4207,MATCH(C3885,STPP!$C$6:$C$4207,0)),"Not Found"))</f>
        <v/>
      </c>
      <c r="E3885" s="27" t="str" cm="1">
        <f t="array" ref="E3885">IF(C3885="","",IFERROR(INDEX(STPP!$E$6:$E$4207,MATCH(C3885,STPP!$C$6:$C$4207,0)),"Not Found"))</f>
        <v/>
      </c>
      <c r="F3885" s="27" t="str" cm="1">
        <f t="array" ref="F3885">IF(C3885="","",IFERROR(INDEX(STPP!$F$6:$F$4207,MATCH(C3885,STPP!$C$6:$C$4207,0)),"Not Found"))</f>
        <v/>
      </c>
      <c r="G3885" s="25" t="str">
        <f>IF(表1[[#This Row],[No Seri]]="","",表1[[#This Row],[Deskripsi Barang]]+表1[[#This Row],[Kuantitas]]-表1[[#This Row],[Satuan]])</f>
        <v/>
      </c>
      <c r="H3885" s="28"/>
      <c r="I3885" s="25" t="str">
        <f>IF(表1[[#This Row],[Tgl NPBG]]&gt;表1[[#This Row],[Peminta]],表1[[#This Row],[Tgl NPBG]]-表1[[#This Row],[Peminta]],"")</f>
        <v/>
      </c>
      <c r="J3885" s="31"/>
    </row>
    <row r="3886" s="12" customFormat="1" customHeight="1" spans="2:10">
      <c r="B3886" s="25"/>
      <c r="C3886" s="25"/>
      <c r="D3886" s="26" t="str" cm="1">
        <f t="array" ref="D3886">IF(C3886="","",IFERROR(INDEX(STPP!$D$6:$D$4207,MATCH(C3886,STPP!$C$6:$C$4207,0)),"Not Found"))</f>
        <v/>
      </c>
      <c r="E3886" s="27" t="str" cm="1">
        <f t="array" ref="E3886">IF(C3886="","",IFERROR(INDEX(STPP!$E$6:$E$4207,MATCH(C3886,STPP!$C$6:$C$4207,0)),"Not Found"))</f>
        <v/>
      </c>
      <c r="F3886" s="27" t="str" cm="1">
        <f t="array" ref="F3886">IF(C3886="","",IFERROR(INDEX(STPP!$F$6:$F$4207,MATCH(C3886,STPP!$C$6:$C$4207,0)),"Not Found"))</f>
        <v/>
      </c>
      <c r="G3886" s="25" t="str">
        <f>IF(表1[[#This Row],[No Seri]]="","",表1[[#This Row],[Deskripsi Barang]]+表1[[#This Row],[Kuantitas]]-表1[[#This Row],[Satuan]])</f>
        <v/>
      </c>
      <c r="H3886" s="28"/>
      <c r="I3886" s="25" t="str">
        <f>IF(表1[[#This Row],[Tgl NPBG]]&gt;表1[[#This Row],[Peminta]],表1[[#This Row],[Tgl NPBG]]-表1[[#This Row],[Peminta]],"")</f>
        <v/>
      </c>
      <c r="J3886" s="31"/>
    </row>
    <row r="3887" s="12" customFormat="1" customHeight="1" spans="2:10">
      <c r="B3887" s="25"/>
      <c r="C3887" s="25"/>
      <c r="D3887" s="26" t="str" cm="1">
        <f t="array" ref="D3887">IF(C3887="","",IFERROR(INDEX(STPP!$D$6:$D$4207,MATCH(C3887,STPP!$C$6:$C$4207,0)),"Not Found"))</f>
        <v/>
      </c>
      <c r="E3887" s="27" t="str" cm="1">
        <f t="array" ref="E3887">IF(C3887="","",IFERROR(INDEX(STPP!$E$6:$E$4207,MATCH(C3887,STPP!$C$6:$C$4207,0)),"Not Found"))</f>
        <v/>
      </c>
      <c r="F3887" s="27" t="str" cm="1">
        <f t="array" ref="F3887">IF(C3887="","",IFERROR(INDEX(STPP!$F$6:$F$4207,MATCH(C3887,STPP!$C$6:$C$4207,0)),"Not Found"))</f>
        <v/>
      </c>
      <c r="G3887" s="25" t="str">
        <f>IF(表1[[#This Row],[No Seri]]="","",表1[[#This Row],[Deskripsi Barang]]+表1[[#This Row],[Kuantitas]]-表1[[#This Row],[Satuan]])</f>
        <v/>
      </c>
      <c r="H3887" s="28"/>
      <c r="I3887" s="25" t="str">
        <f>IF(表1[[#This Row],[Tgl NPBG]]&gt;表1[[#This Row],[Peminta]],表1[[#This Row],[Tgl NPBG]]-表1[[#This Row],[Peminta]],"")</f>
        <v/>
      </c>
      <c r="J3887" s="31"/>
    </row>
    <row r="3888" s="12" customFormat="1" customHeight="1" spans="2:10">
      <c r="B3888" s="25"/>
      <c r="C3888" s="25"/>
      <c r="D3888" s="26" t="str" cm="1">
        <f t="array" ref="D3888">IF(C3888="","",IFERROR(INDEX(STPP!$D$6:$D$4207,MATCH(C3888,STPP!$C$6:$C$4207,0)),"Not Found"))</f>
        <v/>
      </c>
      <c r="E3888" s="27" t="str" cm="1">
        <f t="array" ref="E3888">IF(C3888="","",IFERROR(INDEX(STPP!$E$6:$E$4207,MATCH(C3888,STPP!$C$6:$C$4207,0)),"Not Found"))</f>
        <v/>
      </c>
      <c r="F3888" s="27" t="str" cm="1">
        <f t="array" ref="F3888">IF(C3888="","",IFERROR(INDEX(STPP!$F$6:$F$4207,MATCH(C3888,STPP!$C$6:$C$4207,0)),"Not Found"))</f>
        <v/>
      </c>
      <c r="G3888" s="25" t="str">
        <f>IF(表1[[#This Row],[No Seri]]="","",表1[[#This Row],[Deskripsi Barang]]+表1[[#This Row],[Kuantitas]]-表1[[#This Row],[Satuan]])</f>
        <v/>
      </c>
      <c r="H3888" s="28"/>
      <c r="I3888" s="25" t="str">
        <f>IF(表1[[#This Row],[Tgl NPBG]]&gt;表1[[#This Row],[Peminta]],表1[[#This Row],[Tgl NPBG]]-表1[[#This Row],[Peminta]],"")</f>
        <v/>
      </c>
      <c r="J3888" s="31"/>
    </row>
    <row r="3889" s="12" customFormat="1" customHeight="1" spans="2:10">
      <c r="B3889" s="25"/>
      <c r="C3889" s="25"/>
      <c r="D3889" s="26" t="str" cm="1">
        <f t="array" ref="D3889">IF(C3889="","",IFERROR(INDEX(STPP!$D$6:$D$4207,MATCH(C3889,STPP!$C$6:$C$4207,0)),"Not Found"))</f>
        <v/>
      </c>
      <c r="E3889" s="27" t="str" cm="1">
        <f t="array" ref="E3889">IF(C3889="","",IFERROR(INDEX(STPP!$E$6:$E$4207,MATCH(C3889,STPP!$C$6:$C$4207,0)),"Not Found"))</f>
        <v/>
      </c>
      <c r="F3889" s="27" t="str" cm="1">
        <f t="array" ref="F3889">IF(C3889="","",IFERROR(INDEX(STPP!$F$6:$F$4207,MATCH(C3889,STPP!$C$6:$C$4207,0)),"Not Found"))</f>
        <v/>
      </c>
      <c r="G3889" s="25" t="str">
        <f>IF(表1[[#This Row],[No Seri]]="","",表1[[#This Row],[Deskripsi Barang]]+表1[[#This Row],[Kuantitas]]-表1[[#This Row],[Satuan]])</f>
        <v/>
      </c>
      <c r="H3889" s="28"/>
      <c r="I3889" s="25" t="str">
        <f>IF(表1[[#This Row],[Tgl NPBG]]&gt;表1[[#This Row],[Peminta]],表1[[#This Row],[Tgl NPBG]]-表1[[#This Row],[Peminta]],"")</f>
        <v/>
      </c>
      <c r="J3889" s="31"/>
    </row>
    <row r="3890" s="12" customFormat="1" customHeight="1" spans="2:10">
      <c r="B3890" s="25"/>
      <c r="C3890" s="25"/>
      <c r="D3890" s="26" t="str" cm="1">
        <f t="array" ref="D3890">IF(C3890="","",IFERROR(INDEX(STPP!$D$6:$D$4207,MATCH(C3890,STPP!$C$6:$C$4207,0)),"Not Found"))</f>
        <v/>
      </c>
      <c r="E3890" s="27" t="str" cm="1">
        <f t="array" ref="E3890">IF(C3890="","",IFERROR(INDEX(STPP!$E$6:$E$4207,MATCH(C3890,STPP!$C$6:$C$4207,0)),"Not Found"))</f>
        <v/>
      </c>
      <c r="F3890" s="27" t="str" cm="1">
        <f t="array" ref="F3890">IF(C3890="","",IFERROR(INDEX(STPP!$F$6:$F$4207,MATCH(C3890,STPP!$C$6:$C$4207,0)),"Not Found"))</f>
        <v/>
      </c>
      <c r="G3890" s="25" t="str">
        <f>IF(表1[[#This Row],[No Seri]]="","",表1[[#This Row],[Deskripsi Barang]]+表1[[#This Row],[Kuantitas]]-表1[[#This Row],[Satuan]])</f>
        <v/>
      </c>
      <c r="H3890" s="28"/>
      <c r="I3890" s="25" t="str">
        <f>IF(表1[[#This Row],[Tgl NPBG]]&gt;表1[[#This Row],[Peminta]],表1[[#This Row],[Tgl NPBG]]-表1[[#This Row],[Peminta]],"")</f>
        <v/>
      </c>
      <c r="J3890" s="31"/>
    </row>
    <row r="3891" s="12" customFormat="1" customHeight="1" spans="2:10">
      <c r="B3891" s="25"/>
      <c r="C3891" s="25"/>
      <c r="D3891" s="26" t="str" cm="1">
        <f t="array" ref="D3891">IF(C3891="","",IFERROR(INDEX(STPP!$D$6:$D$4207,MATCH(C3891,STPP!$C$6:$C$4207,0)),"Not Found"))</f>
        <v/>
      </c>
      <c r="E3891" s="27" t="str" cm="1">
        <f t="array" ref="E3891">IF(C3891="","",IFERROR(INDEX(STPP!$E$6:$E$4207,MATCH(C3891,STPP!$C$6:$C$4207,0)),"Not Found"))</f>
        <v/>
      </c>
      <c r="F3891" s="27" t="str" cm="1">
        <f t="array" ref="F3891">IF(C3891="","",IFERROR(INDEX(STPP!$F$6:$F$4207,MATCH(C3891,STPP!$C$6:$C$4207,0)),"Not Found"))</f>
        <v/>
      </c>
      <c r="G3891" s="25" t="str">
        <f>IF(表1[[#This Row],[No Seri]]="","",表1[[#This Row],[Deskripsi Barang]]+表1[[#This Row],[Kuantitas]]-表1[[#This Row],[Satuan]])</f>
        <v/>
      </c>
      <c r="H3891" s="28"/>
      <c r="I3891" s="25" t="str">
        <f>IF(表1[[#This Row],[Tgl NPBG]]&gt;表1[[#This Row],[Peminta]],表1[[#This Row],[Tgl NPBG]]-表1[[#This Row],[Peminta]],"")</f>
        <v/>
      </c>
      <c r="J3891" s="31"/>
    </row>
    <row r="3892" s="12" customFormat="1" customHeight="1" spans="2:10">
      <c r="B3892" s="25"/>
      <c r="C3892" s="25"/>
      <c r="D3892" s="26" t="str" cm="1">
        <f t="array" ref="D3892">IF(C3892="","",IFERROR(INDEX(STPP!$D$6:$D$4207,MATCH(C3892,STPP!$C$6:$C$4207,0)),"Not Found"))</f>
        <v/>
      </c>
      <c r="E3892" s="27" t="str" cm="1">
        <f t="array" ref="E3892">IF(C3892="","",IFERROR(INDEX(STPP!$E$6:$E$4207,MATCH(C3892,STPP!$C$6:$C$4207,0)),"Not Found"))</f>
        <v/>
      </c>
      <c r="F3892" s="27" t="str" cm="1">
        <f t="array" ref="F3892">IF(C3892="","",IFERROR(INDEX(STPP!$F$6:$F$4207,MATCH(C3892,STPP!$C$6:$C$4207,0)),"Not Found"))</f>
        <v/>
      </c>
      <c r="G3892" s="25" t="str">
        <f>IF(表1[[#This Row],[No Seri]]="","",表1[[#This Row],[Deskripsi Barang]]+表1[[#This Row],[Kuantitas]]-表1[[#This Row],[Satuan]])</f>
        <v/>
      </c>
      <c r="H3892" s="28"/>
      <c r="I3892" s="25" t="str">
        <f>IF(表1[[#This Row],[Tgl NPBG]]&gt;表1[[#This Row],[Peminta]],表1[[#This Row],[Tgl NPBG]]-表1[[#This Row],[Peminta]],"")</f>
        <v/>
      </c>
      <c r="J3892" s="31"/>
    </row>
    <row r="3893" s="12" customFormat="1" customHeight="1" spans="2:10">
      <c r="B3893" s="25"/>
      <c r="C3893" s="25"/>
      <c r="D3893" s="26" t="str" cm="1">
        <f t="array" ref="D3893">IF(C3893="","",IFERROR(INDEX(STPP!$D$6:$D$4207,MATCH(C3893,STPP!$C$6:$C$4207,0)),"Not Found"))</f>
        <v/>
      </c>
      <c r="E3893" s="27" t="str" cm="1">
        <f t="array" ref="E3893">IF(C3893="","",IFERROR(INDEX(STPP!$E$6:$E$4207,MATCH(C3893,STPP!$C$6:$C$4207,0)),"Not Found"))</f>
        <v/>
      </c>
      <c r="F3893" s="27" t="str" cm="1">
        <f t="array" ref="F3893">IF(C3893="","",IFERROR(INDEX(STPP!$F$6:$F$4207,MATCH(C3893,STPP!$C$6:$C$4207,0)),"Not Found"))</f>
        <v/>
      </c>
      <c r="G3893" s="25" t="str">
        <f>IF(表1[[#This Row],[No Seri]]="","",表1[[#This Row],[Deskripsi Barang]]+表1[[#This Row],[Kuantitas]]-表1[[#This Row],[Satuan]])</f>
        <v/>
      </c>
      <c r="H3893" s="28"/>
      <c r="I3893" s="25" t="str">
        <f>IF(表1[[#This Row],[Tgl NPBG]]&gt;表1[[#This Row],[Peminta]],表1[[#This Row],[Tgl NPBG]]-表1[[#This Row],[Peminta]],"")</f>
        <v/>
      </c>
      <c r="J3893" s="31"/>
    </row>
    <row r="3894" s="12" customFormat="1" customHeight="1" spans="2:10">
      <c r="B3894" s="25"/>
      <c r="C3894" s="25"/>
      <c r="D3894" s="26" t="str" cm="1">
        <f t="array" ref="D3894">IF(C3894="","",IFERROR(INDEX(STPP!$D$6:$D$4207,MATCH(C3894,STPP!$C$6:$C$4207,0)),"Not Found"))</f>
        <v/>
      </c>
      <c r="E3894" s="27" t="str" cm="1">
        <f t="array" ref="E3894">IF(C3894="","",IFERROR(INDEX(STPP!$E$6:$E$4207,MATCH(C3894,STPP!$C$6:$C$4207,0)),"Not Found"))</f>
        <v/>
      </c>
      <c r="F3894" s="27" t="str" cm="1">
        <f t="array" ref="F3894">IF(C3894="","",IFERROR(INDEX(STPP!$F$6:$F$4207,MATCH(C3894,STPP!$C$6:$C$4207,0)),"Not Found"))</f>
        <v/>
      </c>
      <c r="G3894" s="25" t="str">
        <f>IF(表1[[#This Row],[No Seri]]="","",表1[[#This Row],[Deskripsi Barang]]+表1[[#This Row],[Kuantitas]]-表1[[#This Row],[Satuan]])</f>
        <v/>
      </c>
      <c r="H3894" s="28"/>
      <c r="I3894" s="25" t="str">
        <f>IF(表1[[#This Row],[Tgl NPBG]]&gt;表1[[#This Row],[Peminta]],表1[[#This Row],[Tgl NPBG]]-表1[[#This Row],[Peminta]],"")</f>
        <v/>
      </c>
      <c r="J3894" s="31"/>
    </row>
    <row r="3895" s="12" customFormat="1" customHeight="1" spans="2:10">
      <c r="B3895" s="25"/>
      <c r="C3895" s="25"/>
      <c r="D3895" s="26" t="str" cm="1">
        <f t="array" ref="D3895">IF(C3895="","",IFERROR(INDEX(STPP!$D$6:$D$4207,MATCH(C3895,STPP!$C$6:$C$4207,0)),"Not Found"))</f>
        <v/>
      </c>
      <c r="E3895" s="27" t="str" cm="1">
        <f t="array" ref="E3895">IF(C3895="","",IFERROR(INDEX(STPP!$E$6:$E$4207,MATCH(C3895,STPP!$C$6:$C$4207,0)),"Not Found"))</f>
        <v/>
      </c>
      <c r="F3895" s="27" t="str" cm="1">
        <f t="array" ref="F3895">IF(C3895="","",IFERROR(INDEX(STPP!$F$6:$F$4207,MATCH(C3895,STPP!$C$6:$C$4207,0)),"Not Found"))</f>
        <v/>
      </c>
      <c r="G3895" s="25" t="str">
        <f>IF(表1[[#This Row],[No Seri]]="","",表1[[#This Row],[Deskripsi Barang]]+表1[[#This Row],[Kuantitas]]-表1[[#This Row],[Satuan]])</f>
        <v/>
      </c>
      <c r="H3895" s="28"/>
      <c r="I3895" s="25" t="str">
        <f>IF(表1[[#This Row],[Tgl NPBG]]&gt;表1[[#This Row],[Peminta]],表1[[#This Row],[Tgl NPBG]]-表1[[#This Row],[Peminta]],"")</f>
        <v/>
      </c>
      <c r="J3895" s="31"/>
    </row>
    <row r="3896" s="12" customFormat="1" customHeight="1" spans="2:10">
      <c r="B3896" s="25"/>
      <c r="C3896" s="25"/>
      <c r="D3896" s="26" t="str" cm="1">
        <f t="array" ref="D3896">IF(C3896="","",IFERROR(INDEX(STPP!$D$6:$D$4207,MATCH(C3896,STPP!$C$6:$C$4207,0)),"Not Found"))</f>
        <v/>
      </c>
      <c r="E3896" s="27" t="str" cm="1">
        <f t="array" ref="E3896">IF(C3896="","",IFERROR(INDEX(STPP!$E$6:$E$4207,MATCH(C3896,STPP!$C$6:$C$4207,0)),"Not Found"))</f>
        <v/>
      </c>
      <c r="F3896" s="27" t="str" cm="1">
        <f t="array" ref="F3896">IF(C3896="","",IFERROR(INDEX(STPP!$F$6:$F$4207,MATCH(C3896,STPP!$C$6:$C$4207,0)),"Not Found"))</f>
        <v/>
      </c>
      <c r="G3896" s="25" t="str">
        <f>IF(表1[[#This Row],[No Seri]]="","",表1[[#This Row],[Deskripsi Barang]]+表1[[#This Row],[Kuantitas]]-表1[[#This Row],[Satuan]])</f>
        <v/>
      </c>
      <c r="H3896" s="28"/>
      <c r="I3896" s="25" t="str">
        <f>IF(表1[[#This Row],[Tgl NPBG]]&gt;表1[[#This Row],[Peminta]],表1[[#This Row],[Tgl NPBG]]-表1[[#This Row],[Peminta]],"")</f>
        <v/>
      </c>
      <c r="J3896" s="31"/>
    </row>
    <row r="3897" s="12" customFormat="1" customHeight="1" spans="2:10">
      <c r="B3897" s="25"/>
      <c r="C3897" s="25"/>
      <c r="D3897" s="26" t="str" cm="1">
        <f t="array" ref="D3897">IF(C3897="","",IFERROR(INDEX(STPP!$D$6:$D$4207,MATCH(C3897,STPP!$C$6:$C$4207,0)),"Not Found"))</f>
        <v/>
      </c>
      <c r="E3897" s="27" t="str" cm="1">
        <f t="array" ref="E3897">IF(C3897="","",IFERROR(INDEX(STPP!$E$6:$E$4207,MATCH(C3897,STPP!$C$6:$C$4207,0)),"Not Found"))</f>
        <v/>
      </c>
      <c r="F3897" s="27" t="str" cm="1">
        <f t="array" ref="F3897">IF(C3897="","",IFERROR(INDEX(STPP!$F$6:$F$4207,MATCH(C3897,STPP!$C$6:$C$4207,0)),"Not Found"))</f>
        <v/>
      </c>
      <c r="G3897" s="25" t="str">
        <f>IF(表1[[#This Row],[No Seri]]="","",表1[[#This Row],[Deskripsi Barang]]+表1[[#This Row],[Kuantitas]]-表1[[#This Row],[Satuan]])</f>
        <v/>
      </c>
      <c r="H3897" s="28"/>
      <c r="I3897" s="25" t="str">
        <f>IF(表1[[#This Row],[Tgl NPBG]]&gt;表1[[#This Row],[Peminta]],表1[[#This Row],[Tgl NPBG]]-表1[[#This Row],[Peminta]],"")</f>
        <v/>
      </c>
      <c r="J3897" s="31"/>
    </row>
    <row r="3898" s="12" customFormat="1" customHeight="1" spans="2:10">
      <c r="B3898" s="25"/>
      <c r="C3898" s="25"/>
      <c r="D3898" s="26" t="str" cm="1">
        <f t="array" ref="D3898">IF(C3898="","",IFERROR(INDEX(STPP!$D$6:$D$4207,MATCH(C3898,STPP!$C$6:$C$4207,0)),"Not Found"))</f>
        <v/>
      </c>
      <c r="E3898" s="27" t="str" cm="1">
        <f t="array" ref="E3898">IF(C3898="","",IFERROR(INDEX(STPP!$E$6:$E$4207,MATCH(C3898,STPP!$C$6:$C$4207,0)),"Not Found"))</f>
        <v/>
      </c>
      <c r="F3898" s="27" t="str" cm="1">
        <f t="array" ref="F3898">IF(C3898="","",IFERROR(INDEX(STPP!$F$6:$F$4207,MATCH(C3898,STPP!$C$6:$C$4207,0)),"Not Found"))</f>
        <v/>
      </c>
      <c r="G3898" s="25" t="str">
        <f>IF(表1[[#This Row],[No Seri]]="","",表1[[#This Row],[Deskripsi Barang]]+表1[[#This Row],[Kuantitas]]-表1[[#This Row],[Satuan]])</f>
        <v/>
      </c>
      <c r="H3898" s="28"/>
      <c r="I3898" s="25" t="str">
        <f>IF(表1[[#This Row],[Tgl NPBG]]&gt;表1[[#This Row],[Peminta]],表1[[#This Row],[Tgl NPBG]]-表1[[#This Row],[Peminta]],"")</f>
        <v/>
      </c>
      <c r="J3898" s="31"/>
    </row>
    <row r="3899" s="12" customFormat="1" customHeight="1" spans="2:10">
      <c r="B3899" s="25"/>
      <c r="C3899" s="25"/>
      <c r="D3899" s="26" t="str" cm="1">
        <f t="array" ref="D3899">IF(C3899="","",IFERROR(INDEX(STPP!$D$6:$D$4207,MATCH(C3899,STPP!$C$6:$C$4207,0)),"Not Found"))</f>
        <v/>
      </c>
      <c r="E3899" s="27" t="str" cm="1">
        <f t="array" ref="E3899">IF(C3899="","",IFERROR(INDEX(STPP!$E$6:$E$4207,MATCH(C3899,STPP!$C$6:$C$4207,0)),"Not Found"))</f>
        <v/>
      </c>
      <c r="F3899" s="27" t="str" cm="1">
        <f t="array" ref="F3899">IF(C3899="","",IFERROR(INDEX(STPP!$F$6:$F$4207,MATCH(C3899,STPP!$C$6:$C$4207,0)),"Not Found"))</f>
        <v/>
      </c>
      <c r="G3899" s="25" t="str">
        <f>IF(表1[[#This Row],[No Seri]]="","",表1[[#This Row],[Deskripsi Barang]]+表1[[#This Row],[Kuantitas]]-表1[[#This Row],[Satuan]])</f>
        <v/>
      </c>
      <c r="H3899" s="28"/>
      <c r="I3899" s="25" t="str">
        <f>IF(表1[[#This Row],[Tgl NPBG]]&gt;表1[[#This Row],[Peminta]],表1[[#This Row],[Tgl NPBG]]-表1[[#This Row],[Peminta]],"")</f>
        <v/>
      </c>
      <c r="J3899" s="31"/>
    </row>
    <row r="3900" s="12" customFormat="1" customHeight="1" spans="2:10">
      <c r="B3900" s="25"/>
      <c r="C3900" s="25"/>
      <c r="D3900" s="26" t="str" cm="1">
        <f t="array" ref="D3900">IF(C3900="","",IFERROR(INDEX(STPP!$D$6:$D$4207,MATCH(C3900,STPP!$C$6:$C$4207,0)),"Not Found"))</f>
        <v/>
      </c>
      <c r="E3900" s="27" t="str" cm="1">
        <f t="array" ref="E3900">IF(C3900="","",IFERROR(INDEX(STPP!$E$6:$E$4207,MATCH(C3900,STPP!$C$6:$C$4207,0)),"Not Found"))</f>
        <v/>
      </c>
      <c r="F3900" s="27" t="str" cm="1">
        <f t="array" ref="F3900">IF(C3900="","",IFERROR(INDEX(STPP!$F$6:$F$4207,MATCH(C3900,STPP!$C$6:$C$4207,0)),"Not Found"))</f>
        <v/>
      </c>
      <c r="G3900" s="25" t="str">
        <f>IF(表1[[#This Row],[No Seri]]="","",表1[[#This Row],[Deskripsi Barang]]+表1[[#This Row],[Kuantitas]]-表1[[#This Row],[Satuan]])</f>
        <v/>
      </c>
      <c r="H3900" s="28"/>
      <c r="I3900" s="25" t="str">
        <f>IF(表1[[#This Row],[Tgl NPBG]]&gt;表1[[#This Row],[Peminta]],表1[[#This Row],[Tgl NPBG]]-表1[[#This Row],[Peminta]],"")</f>
        <v/>
      </c>
      <c r="J3900" s="31"/>
    </row>
    <row r="3901" s="12" customFormat="1" customHeight="1" spans="2:10">
      <c r="B3901" s="25"/>
      <c r="C3901" s="25"/>
      <c r="D3901" s="26" t="str" cm="1">
        <f t="array" ref="D3901">IF(C3901="","",IFERROR(INDEX(STPP!$D$6:$D$4207,MATCH(C3901,STPP!$C$6:$C$4207,0)),"Not Found"))</f>
        <v/>
      </c>
      <c r="E3901" s="27" t="str" cm="1">
        <f t="array" ref="E3901">IF(C3901="","",IFERROR(INDEX(STPP!$E$6:$E$4207,MATCH(C3901,STPP!$C$6:$C$4207,0)),"Not Found"))</f>
        <v/>
      </c>
      <c r="F3901" s="27" t="str" cm="1">
        <f t="array" ref="F3901">IF(C3901="","",IFERROR(INDEX(STPP!$F$6:$F$4207,MATCH(C3901,STPP!$C$6:$C$4207,0)),"Not Found"))</f>
        <v/>
      </c>
      <c r="G3901" s="25" t="str">
        <f>IF(表1[[#This Row],[No Seri]]="","",表1[[#This Row],[Deskripsi Barang]]+表1[[#This Row],[Kuantitas]]-表1[[#This Row],[Satuan]])</f>
        <v/>
      </c>
      <c r="H3901" s="28"/>
      <c r="I3901" s="25" t="str">
        <f>IF(表1[[#This Row],[Tgl NPBG]]&gt;表1[[#This Row],[Peminta]],表1[[#This Row],[Tgl NPBG]]-表1[[#This Row],[Peminta]],"")</f>
        <v/>
      </c>
      <c r="J3901" s="31"/>
    </row>
    <row r="3902" s="12" customFormat="1" customHeight="1" spans="2:10">
      <c r="B3902" s="25"/>
      <c r="C3902" s="25"/>
      <c r="D3902" s="26" t="str" cm="1">
        <f t="array" ref="D3902">IF(C3902="","",IFERROR(INDEX(STPP!$D$6:$D$4207,MATCH(C3902,STPP!$C$6:$C$4207,0)),"Not Found"))</f>
        <v/>
      </c>
      <c r="E3902" s="27" t="str" cm="1">
        <f t="array" ref="E3902">IF(C3902="","",IFERROR(INDEX(STPP!$E$6:$E$4207,MATCH(C3902,STPP!$C$6:$C$4207,0)),"Not Found"))</f>
        <v/>
      </c>
      <c r="F3902" s="27" t="str" cm="1">
        <f t="array" ref="F3902">IF(C3902="","",IFERROR(INDEX(STPP!$F$6:$F$4207,MATCH(C3902,STPP!$C$6:$C$4207,0)),"Not Found"))</f>
        <v/>
      </c>
      <c r="G3902" s="25" t="str">
        <f>IF(表1[[#This Row],[No Seri]]="","",表1[[#This Row],[Deskripsi Barang]]+表1[[#This Row],[Kuantitas]]-表1[[#This Row],[Satuan]])</f>
        <v/>
      </c>
      <c r="H3902" s="28"/>
      <c r="I3902" s="25" t="str">
        <f>IF(表1[[#This Row],[Tgl NPBG]]&gt;表1[[#This Row],[Peminta]],表1[[#This Row],[Tgl NPBG]]-表1[[#This Row],[Peminta]],"")</f>
        <v/>
      </c>
      <c r="J3902" s="31"/>
    </row>
    <row r="3903" s="12" customFormat="1" customHeight="1" spans="2:10">
      <c r="B3903" s="25"/>
      <c r="C3903" s="25"/>
      <c r="D3903" s="26" t="str" cm="1">
        <f t="array" ref="D3903">IF(C3903="","",IFERROR(INDEX(STPP!$D$6:$D$4207,MATCH(C3903,STPP!$C$6:$C$4207,0)),"Not Found"))</f>
        <v/>
      </c>
      <c r="E3903" s="27" t="str" cm="1">
        <f t="array" ref="E3903">IF(C3903="","",IFERROR(INDEX(STPP!$E$6:$E$4207,MATCH(C3903,STPP!$C$6:$C$4207,0)),"Not Found"))</f>
        <v/>
      </c>
      <c r="F3903" s="27" t="str" cm="1">
        <f t="array" ref="F3903">IF(C3903="","",IFERROR(INDEX(STPP!$F$6:$F$4207,MATCH(C3903,STPP!$C$6:$C$4207,0)),"Not Found"))</f>
        <v/>
      </c>
      <c r="G3903" s="25" t="str">
        <f>IF(表1[[#This Row],[No Seri]]="","",表1[[#This Row],[Deskripsi Barang]]+表1[[#This Row],[Kuantitas]]-表1[[#This Row],[Satuan]])</f>
        <v/>
      </c>
      <c r="H3903" s="28"/>
      <c r="I3903" s="25" t="str">
        <f>IF(表1[[#This Row],[Tgl NPBG]]&gt;表1[[#This Row],[Peminta]],表1[[#This Row],[Tgl NPBG]]-表1[[#This Row],[Peminta]],"")</f>
        <v/>
      </c>
      <c r="J3903" s="31"/>
    </row>
    <row r="3904" s="12" customFormat="1" customHeight="1" spans="2:10">
      <c r="B3904" s="25"/>
      <c r="C3904" s="25"/>
      <c r="D3904" s="26" t="str" cm="1">
        <f t="array" ref="D3904">IF(C3904="","",IFERROR(INDEX(STPP!$D$6:$D$4207,MATCH(C3904,STPP!$C$6:$C$4207,0)),"Not Found"))</f>
        <v/>
      </c>
      <c r="E3904" s="27" t="str" cm="1">
        <f t="array" ref="E3904">IF(C3904="","",IFERROR(INDEX(STPP!$E$6:$E$4207,MATCH(C3904,STPP!$C$6:$C$4207,0)),"Not Found"))</f>
        <v/>
      </c>
      <c r="F3904" s="27" t="str" cm="1">
        <f t="array" ref="F3904">IF(C3904="","",IFERROR(INDEX(STPP!$F$6:$F$4207,MATCH(C3904,STPP!$C$6:$C$4207,0)),"Not Found"))</f>
        <v/>
      </c>
      <c r="G3904" s="25" t="str">
        <f>IF(表1[[#This Row],[No Seri]]="","",表1[[#This Row],[Deskripsi Barang]]+表1[[#This Row],[Kuantitas]]-表1[[#This Row],[Satuan]])</f>
        <v/>
      </c>
      <c r="H3904" s="28"/>
      <c r="I3904" s="25" t="str">
        <f>IF(表1[[#This Row],[Tgl NPBG]]&gt;表1[[#This Row],[Peminta]],表1[[#This Row],[Tgl NPBG]]-表1[[#This Row],[Peminta]],"")</f>
        <v/>
      </c>
      <c r="J3904" s="31"/>
    </row>
    <row r="3905" s="12" customFormat="1" customHeight="1" spans="2:10">
      <c r="B3905" s="25"/>
      <c r="C3905" s="25"/>
      <c r="D3905" s="26" t="str" cm="1">
        <f t="array" ref="D3905">IF(C3905="","",IFERROR(INDEX(STPP!$D$6:$D$4207,MATCH(C3905,STPP!$C$6:$C$4207,0)),"Not Found"))</f>
        <v/>
      </c>
      <c r="E3905" s="27" t="str" cm="1">
        <f t="array" ref="E3905">IF(C3905="","",IFERROR(INDEX(STPP!$E$6:$E$4207,MATCH(C3905,STPP!$C$6:$C$4207,0)),"Not Found"))</f>
        <v/>
      </c>
      <c r="F3905" s="27" t="str" cm="1">
        <f t="array" ref="F3905">IF(C3905="","",IFERROR(INDEX(STPP!$F$6:$F$4207,MATCH(C3905,STPP!$C$6:$C$4207,0)),"Not Found"))</f>
        <v/>
      </c>
      <c r="G3905" s="25" t="str">
        <f>IF(表1[[#This Row],[No Seri]]="","",表1[[#This Row],[Deskripsi Barang]]+表1[[#This Row],[Kuantitas]]-表1[[#This Row],[Satuan]])</f>
        <v/>
      </c>
      <c r="H3905" s="28"/>
      <c r="I3905" s="25" t="str">
        <f>IF(表1[[#This Row],[Tgl NPBG]]&gt;表1[[#This Row],[Peminta]],表1[[#This Row],[Tgl NPBG]]-表1[[#This Row],[Peminta]],"")</f>
        <v/>
      </c>
      <c r="J3905" s="31"/>
    </row>
    <row r="3906" s="12" customFormat="1" customHeight="1" spans="2:10">
      <c r="B3906" s="25"/>
      <c r="C3906" s="25"/>
      <c r="D3906" s="26" t="str" cm="1">
        <f t="array" ref="D3906">IF(C3906="","",IFERROR(INDEX(STPP!$D$6:$D$4207,MATCH(C3906,STPP!$C$6:$C$4207,0)),"Not Found"))</f>
        <v/>
      </c>
      <c r="E3906" s="27" t="str" cm="1">
        <f t="array" ref="E3906">IF(C3906="","",IFERROR(INDEX(STPP!$E$6:$E$4207,MATCH(C3906,STPP!$C$6:$C$4207,0)),"Not Found"))</f>
        <v/>
      </c>
      <c r="F3906" s="27" t="str" cm="1">
        <f t="array" ref="F3906">IF(C3906="","",IFERROR(INDEX(STPP!$F$6:$F$4207,MATCH(C3906,STPP!$C$6:$C$4207,0)),"Not Found"))</f>
        <v/>
      </c>
      <c r="G3906" s="25" t="str">
        <f>IF(表1[[#This Row],[No Seri]]="","",表1[[#This Row],[Deskripsi Barang]]+表1[[#This Row],[Kuantitas]]-表1[[#This Row],[Satuan]])</f>
        <v/>
      </c>
      <c r="H3906" s="28"/>
      <c r="I3906" s="25" t="str">
        <f>IF(表1[[#This Row],[Tgl NPBG]]&gt;表1[[#This Row],[Peminta]],表1[[#This Row],[Tgl NPBG]]-表1[[#This Row],[Peminta]],"")</f>
        <v/>
      </c>
      <c r="J3906" s="31"/>
    </row>
    <row r="3907" s="12" customFormat="1" customHeight="1" spans="2:10">
      <c r="B3907" s="25"/>
      <c r="C3907" s="25"/>
      <c r="D3907" s="26" t="str" cm="1">
        <f t="array" ref="D3907">IF(C3907="","",IFERROR(INDEX(STPP!$D$6:$D$4207,MATCH(C3907,STPP!$C$6:$C$4207,0)),"Not Found"))</f>
        <v/>
      </c>
      <c r="E3907" s="27" t="str" cm="1">
        <f t="array" ref="E3907">IF(C3907="","",IFERROR(INDEX(STPP!$E$6:$E$4207,MATCH(C3907,STPP!$C$6:$C$4207,0)),"Not Found"))</f>
        <v/>
      </c>
      <c r="F3907" s="27" t="str" cm="1">
        <f t="array" ref="F3907">IF(C3907="","",IFERROR(INDEX(STPP!$F$6:$F$4207,MATCH(C3907,STPP!$C$6:$C$4207,0)),"Not Found"))</f>
        <v/>
      </c>
      <c r="G3907" s="25" t="str">
        <f>IF(表1[[#This Row],[No Seri]]="","",表1[[#This Row],[Deskripsi Barang]]+表1[[#This Row],[Kuantitas]]-表1[[#This Row],[Satuan]])</f>
        <v/>
      </c>
      <c r="H3907" s="28"/>
      <c r="I3907" s="25" t="str">
        <f>IF(表1[[#This Row],[Tgl NPBG]]&gt;表1[[#This Row],[Peminta]],表1[[#This Row],[Tgl NPBG]]-表1[[#This Row],[Peminta]],"")</f>
        <v/>
      </c>
      <c r="J3907" s="31"/>
    </row>
    <row r="3908" s="12" customFormat="1" customHeight="1" spans="2:10">
      <c r="B3908" s="25"/>
      <c r="C3908" s="25"/>
      <c r="D3908" s="26" t="str" cm="1">
        <f t="array" ref="D3908">IF(C3908="","",IFERROR(INDEX(STPP!$D$6:$D$4207,MATCH(C3908,STPP!$C$6:$C$4207,0)),"Not Found"))</f>
        <v/>
      </c>
      <c r="E3908" s="27" t="str" cm="1">
        <f t="array" ref="E3908">IF(C3908="","",IFERROR(INDEX(STPP!$E$6:$E$4207,MATCH(C3908,STPP!$C$6:$C$4207,0)),"Not Found"))</f>
        <v/>
      </c>
      <c r="F3908" s="27" t="str" cm="1">
        <f t="array" ref="F3908">IF(C3908="","",IFERROR(INDEX(STPP!$F$6:$F$4207,MATCH(C3908,STPP!$C$6:$C$4207,0)),"Not Found"))</f>
        <v/>
      </c>
      <c r="G3908" s="25" t="str">
        <f>IF(表1[[#This Row],[No Seri]]="","",表1[[#This Row],[Deskripsi Barang]]+表1[[#This Row],[Kuantitas]]-表1[[#This Row],[Satuan]])</f>
        <v/>
      </c>
      <c r="H3908" s="28"/>
      <c r="I3908" s="25" t="str">
        <f>IF(表1[[#This Row],[Tgl NPBG]]&gt;表1[[#This Row],[Peminta]],表1[[#This Row],[Tgl NPBG]]-表1[[#This Row],[Peminta]],"")</f>
        <v/>
      </c>
      <c r="J3908" s="31"/>
    </row>
    <row r="3909" s="12" customFormat="1" customHeight="1" spans="2:10">
      <c r="B3909" s="25"/>
      <c r="C3909" s="25"/>
      <c r="D3909" s="26" t="str" cm="1">
        <f t="array" ref="D3909">IF(C3909="","",IFERROR(INDEX(STPP!$D$6:$D$4207,MATCH(C3909,STPP!$C$6:$C$4207,0)),"Not Found"))</f>
        <v/>
      </c>
      <c r="E3909" s="27" t="str" cm="1">
        <f t="array" ref="E3909">IF(C3909="","",IFERROR(INDEX(STPP!$E$6:$E$4207,MATCH(C3909,STPP!$C$6:$C$4207,0)),"Not Found"))</f>
        <v/>
      </c>
      <c r="F3909" s="27" t="str" cm="1">
        <f t="array" ref="F3909">IF(C3909="","",IFERROR(INDEX(STPP!$F$6:$F$4207,MATCH(C3909,STPP!$C$6:$C$4207,0)),"Not Found"))</f>
        <v/>
      </c>
      <c r="G3909" s="25" t="str">
        <f>IF(表1[[#This Row],[No Seri]]="","",表1[[#This Row],[Deskripsi Barang]]+表1[[#This Row],[Kuantitas]]-表1[[#This Row],[Satuan]])</f>
        <v/>
      </c>
      <c r="H3909" s="28"/>
      <c r="I3909" s="25" t="str">
        <f>IF(表1[[#This Row],[Tgl NPBG]]&gt;表1[[#This Row],[Peminta]],表1[[#This Row],[Tgl NPBG]]-表1[[#This Row],[Peminta]],"")</f>
        <v/>
      </c>
      <c r="J3909" s="31"/>
    </row>
    <row r="3910" s="12" customFormat="1" customHeight="1" spans="2:10">
      <c r="B3910" s="25"/>
      <c r="C3910" s="25"/>
      <c r="D3910" s="26" t="str" cm="1">
        <f t="array" ref="D3910">IF(C3910="","",IFERROR(INDEX(STPP!$D$6:$D$4207,MATCH(C3910,STPP!$C$6:$C$4207,0)),"Not Found"))</f>
        <v/>
      </c>
      <c r="E3910" s="27" t="str" cm="1">
        <f t="array" ref="E3910">IF(C3910="","",IFERROR(INDEX(STPP!$E$6:$E$4207,MATCH(C3910,STPP!$C$6:$C$4207,0)),"Not Found"))</f>
        <v/>
      </c>
      <c r="F3910" s="27" t="str" cm="1">
        <f t="array" ref="F3910">IF(C3910="","",IFERROR(INDEX(STPP!$F$6:$F$4207,MATCH(C3910,STPP!$C$6:$C$4207,0)),"Not Found"))</f>
        <v/>
      </c>
      <c r="G3910" s="25" t="str">
        <f>IF(表1[[#This Row],[No Seri]]="","",表1[[#This Row],[Deskripsi Barang]]+表1[[#This Row],[Kuantitas]]-表1[[#This Row],[Satuan]])</f>
        <v/>
      </c>
      <c r="H3910" s="28"/>
      <c r="I3910" s="25" t="str">
        <f>IF(表1[[#This Row],[Tgl NPBG]]&gt;表1[[#This Row],[Peminta]],表1[[#This Row],[Tgl NPBG]]-表1[[#This Row],[Peminta]],"")</f>
        <v/>
      </c>
      <c r="J3910" s="31"/>
    </row>
    <row r="3911" s="12" customFormat="1" customHeight="1" spans="2:10">
      <c r="B3911" s="25"/>
      <c r="C3911" s="25"/>
      <c r="D3911" s="26" t="str" cm="1">
        <f t="array" ref="D3911">IF(C3911="","",IFERROR(INDEX(STPP!$D$6:$D$4207,MATCH(C3911,STPP!$C$6:$C$4207,0)),"Not Found"))</f>
        <v/>
      </c>
      <c r="E3911" s="27" t="str" cm="1">
        <f t="array" ref="E3911">IF(C3911="","",IFERROR(INDEX(STPP!$E$6:$E$4207,MATCH(C3911,STPP!$C$6:$C$4207,0)),"Not Found"))</f>
        <v/>
      </c>
      <c r="F3911" s="27" t="str" cm="1">
        <f t="array" ref="F3911">IF(C3911="","",IFERROR(INDEX(STPP!$F$6:$F$4207,MATCH(C3911,STPP!$C$6:$C$4207,0)),"Not Found"))</f>
        <v/>
      </c>
      <c r="G3911" s="25" t="str">
        <f>IF(表1[[#This Row],[No Seri]]="","",表1[[#This Row],[Deskripsi Barang]]+表1[[#This Row],[Kuantitas]]-表1[[#This Row],[Satuan]])</f>
        <v/>
      </c>
      <c r="H3911" s="28"/>
      <c r="I3911" s="25" t="str">
        <f>IF(表1[[#This Row],[Tgl NPBG]]&gt;表1[[#This Row],[Peminta]],表1[[#This Row],[Tgl NPBG]]-表1[[#This Row],[Peminta]],"")</f>
        <v/>
      </c>
      <c r="J3911" s="31"/>
    </row>
    <row r="3912" s="12" customFormat="1" customHeight="1" spans="2:10">
      <c r="B3912" s="25"/>
      <c r="C3912" s="25"/>
      <c r="D3912" s="26" t="str" cm="1">
        <f t="array" ref="D3912">IF(C3912="","",IFERROR(INDEX(STPP!$D$6:$D$4207,MATCH(C3912,STPP!$C$6:$C$4207,0)),"Not Found"))</f>
        <v/>
      </c>
      <c r="E3912" s="27" t="str" cm="1">
        <f t="array" ref="E3912">IF(C3912="","",IFERROR(INDEX(STPP!$E$6:$E$4207,MATCH(C3912,STPP!$C$6:$C$4207,0)),"Not Found"))</f>
        <v/>
      </c>
      <c r="F3912" s="27" t="str" cm="1">
        <f t="array" ref="F3912">IF(C3912="","",IFERROR(INDEX(STPP!$F$6:$F$4207,MATCH(C3912,STPP!$C$6:$C$4207,0)),"Not Found"))</f>
        <v/>
      </c>
      <c r="G3912" s="25" t="str">
        <f>IF(表1[[#This Row],[No Seri]]="","",表1[[#This Row],[Deskripsi Barang]]+表1[[#This Row],[Kuantitas]]-表1[[#This Row],[Satuan]])</f>
        <v/>
      </c>
      <c r="H3912" s="28"/>
      <c r="I3912" s="25" t="str">
        <f>IF(表1[[#This Row],[Tgl NPBG]]&gt;表1[[#This Row],[Peminta]],表1[[#This Row],[Tgl NPBG]]-表1[[#This Row],[Peminta]],"")</f>
        <v/>
      </c>
      <c r="J3912" s="31"/>
    </row>
    <row r="3913" s="12" customFormat="1" customHeight="1" spans="2:10">
      <c r="B3913" s="25"/>
      <c r="C3913" s="25"/>
      <c r="D3913" s="26" t="str" cm="1">
        <f t="array" ref="D3913">IF(C3913="","",IFERROR(INDEX(STPP!$D$6:$D$4207,MATCH(C3913,STPP!$C$6:$C$4207,0)),"Not Found"))</f>
        <v/>
      </c>
      <c r="E3913" s="27" t="str" cm="1">
        <f t="array" ref="E3913">IF(C3913="","",IFERROR(INDEX(STPP!$E$6:$E$4207,MATCH(C3913,STPP!$C$6:$C$4207,0)),"Not Found"))</f>
        <v/>
      </c>
      <c r="F3913" s="27" t="str" cm="1">
        <f t="array" ref="F3913">IF(C3913="","",IFERROR(INDEX(STPP!$F$6:$F$4207,MATCH(C3913,STPP!$C$6:$C$4207,0)),"Not Found"))</f>
        <v/>
      </c>
      <c r="G3913" s="25" t="str">
        <f>IF(表1[[#This Row],[No Seri]]="","",表1[[#This Row],[Deskripsi Barang]]+表1[[#This Row],[Kuantitas]]-表1[[#This Row],[Satuan]])</f>
        <v/>
      </c>
      <c r="H3913" s="28"/>
      <c r="I3913" s="25" t="str">
        <f>IF(表1[[#This Row],[Tgl NPBG]]&gt;表1[[#This Row],[Peminta]],表1[[#This Row],[Tgl NPBG]]-表1[[#This Row],[Peminta]],"")</f>
        <v/>
      </c>
      <c r="J3913" s="31"/>
    </row>
    <row r="3914" s="12" customFormat="1" customHeight="1" spans="2:10">
      <c r="B3914" s="25"/>
      <c r="C3914" s="25"/>
      <c r="D3914" s="26" t="str" cm="1">
        <f t="array" ref="D3914">IF(C3914="","",IFERROR(INDEX(STPP!$D$6:$D$4207,MATCH(C3914,STPP!$C$6:$C$4207,0)),"Not Found"))</f>
        <v/>
      </c>
      <c r="E3914" s="27" t="str" cm="1">
        <f t="array" ref="E3914">IF(C3914="","",IFERROR(INDEX(STPP!$E$6:$E$4207,MATCH(C3914,STPP!$C$6:$C$4207,0)),"Not Found"))</f>
        <v/>
      </c>
      <c r="F3914" s="27" t="str" cm="1">
        <f t="array" ref="F3914">IF(C3914="","",IFERROR(INDEX(STPP!$F$6:$F$4207,MATCH(C3914,STPP!$C$6:$C$4207,0)),"Not Found"))</f>
        <v/>
      </c>
      <c r="G3914" s="25" t="str">
        <f>IF(表1[[#This Row],[No Seri]]="","",表1[[#This Row],[Deskripsi Barang]]+表1[[#This Row],[Kuantitas]]-表1[[#This Row],[Satuan]])</f>
        <v/>
      </c>
      <c r="H3914" s="28"/>
      <c r="I3914" s="25" t="str">
        <f>IF(表1[[#This Row],[Tgl NPBG]]&gt;表1[[#This Row],[Peminta]],表1[[#This Row],[Tgl NPBG]]-表1[[#This Row],[Peminta]],"")</f>
        <v/>
      </c>
      <c r="J3914" s="31"/>
    </row>
    <row r="3915" s="12" customFormat="1" customHeight="1" spans="2:10">
      <c r="B3915" s="25"/>
      <c r="C3915" s="25"/>
      <c r="D3915" s="26" t="str" cm="1">
        <f t="array" ref="D3915">IF(C3915="","",IFERROR(INDEX(STPP!$D$6:$D$4207,MATCH(C3915,STPP!$C$6:$C$4207,0)),"Not Found"))</f>
        <v/>
      </c>
      <c r="E3915" s="27" t="str" cm="1">
        <f t="array" ref="E3915">IF(C3915="","",IFERROR(INDEX(STPP!$E$6:$E$4207,MATCH(C3915,STPP!$C$6:$C$4207,0)),"Not Found"))</f>
        <v/>
      </c>
      <c r="F3915" s="27" t="str" cm="1">
        <f t="array" ref="F3915">IF(C3915="","",IFERROR(INDEX(STPP!$F$6:$F$4207,MATCH(C3915,STPP!$C$6:$C$4207,0)),"Not Found"))</f>
        <v/>
      </c>
      <c r="G3915" s="25" t="str">
        <f>IF(表1[[#This Row],[No Seri]]="","",表1[[#This Row],[Deskripsi Barang]]+表1[[#This Row],[Kuantitas]]-表1[[#This Row],[Satuan]])</f>
        <v/>
      </c>
      <c r="H3915" s="28"/>
      <c r="I3915" s="25" t="str">
        <f>IF(表1[[#This Row],[Tgl NPBG]]&gt;表1[[#This Row],[Peminta]],表1[[#This Row],[Tgl NPBG]]-表1[[#This Row],[Peminta]],"")</f>
        <v/>
      </c>
      <c r="J3915" s="31"/>
    </row>
    <row r="3916" s="12" customFormat="1" customHeight="1" spans="2:10">
      <c r="B3916" s="25"/>
      <c r="C3916" s="25"/>
      <c r="D3916" s="26" t="str" cm="1">
        <f t="array" ref="D3916">IF(C3916="","",IFERROR(INDEX(STPP!$D$6:$D$4207,MATCH(C3916,STPP!$C$6:$C$4207,0)),"Not Found"))</f>
        <v/>
      </c>
      <c r="E3916" s="27" t="str" cm="1">
        <f t="array" ref="E3916">IF(C3916="","",IFERROR(INDEX(STPP!$E$6:$E$4207,MATCH(C3916,STPP!$C$6:$C$4207,0)),"Not Found"))</f>
        <v/>
      </c>
      <c r="F3916" s="27" t="str" cm="1">
        <f t="array" ref="F3916">IF(C3916="","",IFERROR(INDEX(STPP!$F$6:$F$4207,MATCH(C3916,STPP!$C$6:$C$4207,0)),"Not Found"))</f>
        <v/>
      </c>
      <c r="G3916" s="25" t="str">
        <f>IF(表1[[#This Row],[No Seri]]="","",表1[[#This Row],[Deskripsi Barang]]+表1[[#This Row],[Kuantitas]]-表1[[#This Row],[Satuan]])</f>
        <v/>
      </c>
      <c r="H3916" s="28"/>
      <c r="I3916" s="25" t="str">
        <f>IF(表1[[#This Row],[Tgl NPBG]]&gt;表1[[#This Row],[Peminta]],表1[[#This Row],[Tgl NPBG]]-表1[[#This Row],[Peminta]],"")</f>
        <v/>
      </c>
      <c r="J3916" s="31"/>
    </row>
    <row r="3917" s="12" customFormat="1" customHeight="1" spans="2:10">
      <c r="B3917" s="25"/>
      <c r="C3917" s="25"/>
      <c r="D3917" s="26" t="str" cm="1">
        <f t="array" ref="D3917">IF(C3917="","",IFERROR(INDEX(STPP!$D$6:$D$4207,MATCH(C3917,STPP!$C$6:$C$4207,0)),"Not Found"))</f>
        <v/>
      </c>
      <c r="E3917" s="27" t="str" cm="1">
        <f t="array" ref="E3917">IF(C3917="","",IFERROR(INDEX(STPP!$E$6:$E$4207,MATCH(C3917,STPP!$C$6:$C$4207,0)),"Not Found"))</f>
        <v/>
      </c>
      <c r="F3917" s="27" t="str" cm="1">
        <f t="array" ref="F3917">IF(C3917="","",IFERROR(INDEX(STPP!$F$6:$F$4207,MATCH(C3917,STPP!$C$6:$C$4207,0)),"Not Found"))</f>
        <v/>
      </c>
      <c r="G3917" s="25" t="str">
        <f>IF(表1[[#This Row],[No Seri]]="","",表1[[#This Row],[Deskripsi Barang]]+表1[[#This Row],[Kuantitas]]-表1[[#This Row],[Satuan]])</f>
        <v/>
      </c>
      <c r="H3917" s="28"/>
      <c r="I3917" s="25" t="str">
        <f>IF(表1[[#This Row],[Tgl NPBG]]&gt;表1[[#This Row],[Peminta]],表1[[#This Row],[Tgl NPBG]]-表1[[#This Row],[Peminta]],"")</f>
        <v/>
      </c>
      <c r="J3917" s="31"/>
    </row>
    <row r="3918" s="12" customFormat="1" customHeight="1" spans="2:10">
      <c r="B3918" s="25"/>
      <c r="C3918" s="25"/>
      <c r="D3918" s="26" t="str" cm="1">
        <f t="array" ref="D3918">IF(C3918="","",IFERROR(INDEX(STPP!$D$6:$D$4207,MATCH(C3918,STPP!$C$6:$C$4207,0)),"Not Found"))</f>
        <v/>
      </c>
      <c r="E3918" s="27" t="str" cm="1">
        <f t="array" ref="E3918">IF(C3918="","",IFERROR(INDEX(STPP!$E$6:$E$4207,MATCH(C3918,STPP!$C$6:$C$4207,0)),"Not Found"))</f>
        <v/>
      </c>
      <c r="F3918" s="27" t="str" cm="1">
        <f t="array" ref="F3918">IF(C3918="","",IFERROR(INDEX(STPP!$F$6:$F$4207,MATCH(C3918,STPP!$C$6:$C$4207,0)),"Not Found"))</f>
        <v/>
      </c>
      <c r="G3918" s="25" t="str">
        <f>IF(表1[[#This Row],[No Seri]]="","",表1[[#This Row],[Deskripsi Barang]]+表1[[#This Row],[Kuantitas]]-表1[[#This Row],[Satuan]])</f>
        <v/>
      </c>
      <c r="H3918" s="28"/>
      <c r="I3918" s="25" t="str">
        <f>IF(表1[[#This Row],[Tgl NPBG]]&gt;表1[[#This Row],[Peminta]],表1[[#This Row],[Tgl NPBG]]-表1[[#This Row],[Peminta]],"")</f>
        <v/>
      </c>
      <c r="J3918" s="31"/>
    </row>
    <row r="3919" s="12" customFormat="1" customHeight="1" spans="2:10">
      <c r="B3919" s="25"/>
      <c r="C3919" s="25"/>
      <c r="D3919" s="26" t="str" cm="1">
        <f t="array" ref="D3919">IF(C3919="","",IFERROR(INDEX(STPP!$D$6:$D$4207,MATCH(C3919,STPP!$C$6:$C$4207,0)),"Not Found"))</f>
        <v/>
      </c>
      <c r="E3919" s="27" t="str" cm="1">
        <f t="array" ref="E3919">IF(C3919="","",IFERROR(INDEX(STPP!$E$6:$E$4207,MATCH(C3919,STPP!$C$6:$C$4207,0)),"Not Found"))</f>
        <v/>
      </c>
      <c r="F3919" s="27" t="str" cm="1">
        <f t="array" ref="F3919">IF(C3919="","",IFERROR(INDEX(STPP!$F$6:$F$4207,MATCH(C3919,STPP!$C$6:$C$4207,0)),"Not Found"))</f>
        <v/>
      </c>
      <c r="G3919" s="25" t="str">
        <f>IF(表1[[#This Row],[No Seri]]="","",表1[[#This Row],[Deskripsi Barang]]+表1[[#This Row],[Kuantitas]]-表1[[#This Row],[Satuan]])</f>
        <v/>
      </c>
      <c r="H3919" s="28"/>
      <c r="I3919" s="25" t="str">
        <f>IF(表1[[#This Row],[Tgl NPBG]]&gt;表1[[#This Row],[Peminta]],表1[[#This Row],[Tgl NPBG]]-表1[[#This Row],[Peminta]],"")</f>
        <v/>
      </c>
      <c r="J3919" s="31"/>
    </row>
    <row r="3920" s="12" customFormat="1" customHeight="1" spans="2:10">
      <c r="B3920" s="25"/>
      <c r="C3920" s="25"/>
      <c r="D3920" s="26" t="str" cm="1">
        <f t="array" ref="D3920">IF(C3920="","",IFERROR(INDEX(STPP!$D$6:$D$4207,MATCH(C3920,STPP!$C$6:$C$4207,0)),"Not Found"))</f>
        <v/>
      </c>
      <c r="E3920" s="27" t="str" cm="1">
        <f t="array" ref="E3920">IF(C3920="","",IFERROR(INDEX(STPP!$E$6:$E$4207,MATCH(C3920,STPP!$C$6:$C$4207,0)),"Not Found"))</f>
        <v/>
      </c>
      <c r="F3920" s="27" t="str" cm="1">
        <f t="array" ref="F3920">IF(C3920="","",IFERROR(INDEX(STPP!$F$6:$F$4207,MATCH(C3920,STPP!$C$6:$C$4207,0)),"Not Found"))</f>
        <v/>
      </c>
      <c r="G3920" s="25" t="str">
        <f>IF(表1[[#This Row],[No Seri]]="","",表1[[#This Row],[Deskripsi Barang]]+表1[[#This Row],[Kuantitas]]-表1[[#This Row],[Satuan]])</f>
        <v/>
      </c>
      <c r="H3920" s="28"/>
      <c r="I3920" s="25" t="str">
        <f>IF(表1[[#This Row],[Tgl NPBG]]&gt;表1[[#This Row],[Peminta]],表1[[#This Row],[Tgl NPBG]]-表1[[#This Row],[Peminta]],"")</f>
        <v/>
      </c>
      <c r="J3920" s="31"/>
    </row>
    <row r="3921" s="12" customFormat="1" customHeight="1" spans="2:10">
      <c r="B3921" s="25"/>
      <c r="C3921" s="25"/>
      <c r="D3921" s="26" t="str" cm="1">
        <f t="array" ref="D3921">IF(C3921="","",IFERROR(INDEX(STPP!$D$6:$D$4207,MATCH(C3921,STPP!$C$6:$C$4207,0)),"Not Found"))</f>
        <v/>
      </c>
      <c r="E3921" s="27" t="str" cm="1">
        <f t="array" ref="E3921">IF(C3921="","",IFERROR(INDEX(STPP!$E$6:$E$4207,MATCH(C3921,STPP!$C$6:$C$4207,0)),"Not Found"))</f>
        <v/>
      </c>
      <c r="F3921" s="27" t="str" cm="1">
        <f t="array" ref="F3921">IF(C3921="","",IFERROR(INDEX(STPP!$F$6:$F$4207,MATCH(C3921,STPP!$C$6:$C$4207,0)),"Not Found"))</f>
        <v/>
      </c>
      <c r="G3921" s="25" t="str">
        <f>IF(表1[[#This Row],[No Seri]]="","",表1[[#This Row],[Deskripsi Barang]]+表1[[#This Row],[Kuantitas]]-表1[[#This Row],[Satuan]])</f>
        <v/>
      </c>
      <c r="H3921" s="28"/>
      <c r="I3921" s="25" t="str">
        <f>IF(表1[[#This Row],[Tgl NPBG]]&gt;表1[[#This Row],[Peminta]],表1[[#This Row],[Tgl NPBG]]-表1[[#This Row],[Peminta]],"")</f>
        <v/>
      </c>
      <c r="J3921" s="31"/>
    </row>
    <row r="3922" s="12" customFormat="1" customHeight="1" spans="2:10">
      <c r="B3922" s="25"/>
      <c r="C3922" s="25"/>
      <c r="D3922" s="26" t="str" cm="1">
        <f t="array" ref="D3922">IF(C3922="","",IFERROR(INDEX(STPP!$D$6:$D$4207,MATCH(C3922,STPP!$C$6:$C$4207,0)),"Not Found"))</f>
        <v/>
      </c>
      <c r="E3922" s="27" t="str" cm="1">
        <f t="array" ref="E3922">IF(C3922="","",IFERROR(INDEX(STPP!$E$6:$E$4207,MATCH(C3922,STPP!$C$6:$C$4207,0)),"Not Found"))</f>
        <v/>
      </c>
      <c r="F3922" s="27" t="str" cm="1">
        <f t="array" ref="F3922">IF(C3922="","",IFERROR(INDEX(STPP!$F$6:$F$4207,MATCH(C3922,STPP!$C$6:$C$4207,0)),"Not Found"))</f>
        <v/>
      </c>
      <c r="G3922" s="25" t="str">
        <f>IF(表1[[#This Row],[No Seri]]="","",表1[[#This Row],[Deskripsi Barang]]+表1[[#This Row],[Kuantitas]]-表1[[#This Row],[Satuan]])</f>
        <v/>
      </c>
      <c r="H3922" s="28"/>
      <c r="I3922" s="25" t="str">
        <f>IF(表1[[#This Row],[Tgl NPBG]]&gt;表1[[#This Row],[Peminta]],表1[[#This Row],[Tgl NPBG]]-表1[[#This Row],[Peminta]],"")</f>
        <v/>
      </c>
      <c r="J3922" s="31"/>
    </row>
    <row r="3923" s="12" customFormat="1" customHeight="1" spans="2:10">
      <c r="B3923" s="25"/>
      <c r="C3923" s="25"/>
      <c r="D3923" s="26" t="str" cm="1">
        <f t="array" ref="D3923">IF(C3923="","",IFERROR(INDEX(STPP!$D$6:$D$4207,MATCH(C3923,STPP!$C$6:$C$4207,0)),"Not Found"))</f>
        <v/>
      </c>
      <c r="E3923" s="27" t="str" cm="1">
        <f t="array" ref="E3923">IF(C3923="","",IFERROR(INDEX(STPP!$E$6:$E$4207,MATCH(C3923,STPP!$C$6:$C$4207,0)),"Not Found"))</f>
        <v/>
      </c>
      <c r="F3923" s="27" t="str" cm="1">
        <f t="array" ref="F3923">IF(C3923="","",IFERROR(INDEX(STPP!$F$6:$F$4207,MATCH(C3923,STPP!$C$6:$C$4207,0)),"Not Found"))</f>
        <v/>
      </c>
      <c r="G3923" s="25" t="str">
        <f>IF(表1[[#This Row],[No Seri]]="","",表1[[#This Row],[Deskripsi Barang]]+表1[[#This Row],[Kuantitas]]-表1[[#This Row],[Satuan]])</f>
        <v/>
      </c>
      <c r="H3923" s="28"/>
      <c r="I3923" s="25" t="str">
        <f>IF(表1[[#This Row],[Tgl NPBG]]&gt;表1[[#This Row],[Peminta]],表1[[#This Row],[Tgl NPBG]]-表1[[#This Row],[Peminta]],"")</f>
        <v/>
      </c>
      <c r="J3923" s="31"/>
    </row>
    <row r="3924" s="12" customFormat="1" customHeight="1" spans="2:10">
      <c r="B3924" s="25"/>
      <c r="C3924" s="25"/>
      <c r="D3924" s="26" t="str" cm="1">
        <f t="array" ref="D3924">IF(C3924="","",IFERROR(INDEX(STPP!$D$6:$D$4207,MATCH(C3924,STPP!$C$6:$C$4207,0)),"Not Found"))</f>
        <v/>
      </c>
      <c r="E3924" s="27" t="str" cm="1">
        <f t="array" ref="E3924">IF(C3924="","",IFERROR(INDEX(STPP!$E$6:$E$4207,MATCH(C3924,STPP!$C$6:$C$4207,0)),"Not Found"))</f>
        <v/>
      </c>
      <c r="F3924" s="27" t="str" cm="1">
        <f t="array" ref="F3924">IF(C3924="","",IFERROR(INDEX(STPP!$F$6:$F$4207,MATCH(C3924,STPP!$C$6:$C$4207,0)),"Not Found"))</f>
        <v/>
      </c>
      <c r="G3924" s="25" t="str">
        <f>IF(表1[[#This Row],[No Seri]]="","",表1[[#This Row],[Deskripsi Barang]]+表1[[#This Row],[Kuantitas]]-表1[[#This Row],[Satuan]])</f>
        <v/>
      </c>
      <c r="H3924" s="28"/>
      <c r="I3924" s="25" t="str">
        <f>IF(表1[[#This Row],[Tgl NPBG]]&gt;表1[[#This Row],[Peminta]],表1[[#This Row],[Tgl NPBG]]-表1[[#This Row],[Peminta]],"")</f>
        <v/>
      </c>
      <c r="J3924" s="31"/>
    </row>
    <row r="3925" s="12" customFormat="1" customHeight="1" spans="2:10">
      <c r="B3925" s="25"/>
      <c r="C3925" s="25"/>
      <c r="D3925" s="26" t="str" cm="1">
        <f t="array" ref="D3925">IF(C3925="","",IFERROR(INDEX(STPP!$D$6:$D$4207,MATCH(C3925,STPP!$C$6:$C$4207,0)),"Not Found"))</f>
        <v/>
      </c>
      <c r="E3925" s="27" t="str" cm="1">
        <f t="array" ref="E3925">IF(C3925="","",IFERROR(INDEX(STPP!$E$6:$E$4207,MATCH(C3925,STPP!$C$6:$C$4207,0)),"Not Found"))</f>
        <v/>
      </c>
      <c r="F3925" s="27" t="str" cm="1">
        <f t="array" ref="F3925">IF(C3925="","",IFERROR(INDEX(STPP!$F$6:$F$4207,MATCH(C3925,STPP!$C$6:$C$4207,0)),"Not Found"))</f>
        <v/>
      </c>
      <c r="G3925" s="25" t="str">
        <f>IF(表1[[#This Row],[No Seri]]="","",表1[[#This Row],[Deskripsi Barang]]+表1[[#This Row],[Kuantitas]]-表1[[#This Row],[Satuan]])</f>
        <v/>
      </c>
      <c r="H3925" s="28"/>
      <c r="I3925" s="25" t="str">
        <f>IF(表1[[#This Row],[Tgl NPBG]]&gt;表1[[#This Row],[Peminta]],表1[[#This Row],[Tgl NPBG]]-表1[[#This Row],[Peminta]],"")</f>
        <v/>
      </c>
      <c r="J3925" s="31"/>
    </row>
    <row r="3926" s="12" customFormat="1" customHeight="1" spans="2:10">
      <c r="B3926" s="25"/>
      <c r="C3926" s="25"/>
      <c r="D3926" s="26" t="str" cm="1">
        <f t="array" ref="D3926">IF(C3926="","",IFERROR(INDEX(STPP!$D$6:$D$4207,MATCH(C3926,STPP!$C$6:$C$4207,0)),"Not Found"))</f>
        <v/>
      </c>
      <c r="E3926" s="27" t="str" cm="1">
        <f t="array" ref="E3926">IF(C3926="","",IFERROR(INDEX(STPP!$E$6:$E$4207,MATCH(C3926,STPP!$C$6:$C$4207,0)),"Not Found"))</f>
        <v/>
      </c>
      <c r="F3926" s="27" t="str" cm="1">
        <f t="array" ref="F3926">IF(C3926="","",IFERROR(INDEX(STPP!$F$6:$F$4207,MATCH(C3926,STPP!$C$6:$C$4207,0)),"Not Found"))</f>
        <v/>
      </c>
      <c r="G3926" s="25" t="str">
        <f>IF(表1[[#This Row],[No Seri]]="","",表1[[#This Row],[Deskripsi Barang]]+表1[[#This Row],[Kuantitas]]-表1[[#This Row],[Satuan]])</f>
        <v/>
      </c>
      <c r="H3926" s="28"/>
      <c r="I3926" s="25" t="str">
        <f>IF(表1[[#This Row],[Tgl NPBG]]&gt;表1[[#This Row],[Peminta]],表1[[#This Row],[Tgl NPBG]]-表1[[#This Row],[Peminta]],"")</f>
        <v/>
      </c>
      <c r="J3926" s="31"/>
    </row>
    <row r="3927" s="12" customFormat="1" customHeight="1" spans="2:10">
      <c r="B3927" s="25"/>
      <c r="C3927" s="25"/>
      <c r="D3927" s="26" t="str" cm="1">
        <f t="array" ref="D3927">IF(C3927="","",IFERROR(INDEX(STPP!$D$6:$D$4207,MATCH(C3927,STPP!$C$6:$C$4207,0)),"Not Found"))</f>
        <v/>
      </c>
      <c r="E3927" s="27" t="str" cm="1">
        <f t="array" ref="E3927">IF(C3927="","",IFERROR(INDEX(STPP!$E$6:$E$4207,MATCH(C3927,STPP!$C$6:$C$4207,0)),"Not Found"))</f>
        <v/>
      </c>
      <c r="F3927" s="27" t="str" cm="1">
        <f t="array" ref="F3927">IF(C3927="","",IFERROR(INDEX(STPP!$F$6:$F$4207,MATCH(C3927,STPP!$C$6:$C$4207,0)),"Not Found"))</f>
        <v/>
      </c>
      <c r="G3927" s="25" t="str">
        <f>IF(表1[[#This Row],[No Seri]]="","",表1[[#This Row],[Deskripsi Barang]]+表1[[#This Row],[Kuantitas]]-表1[[#This Row],[Satuan]])</f>
        <v/>
      </c>
      <c r="H3927" s="28"/>
      <c r="I3927" s="25" t="str">
        <f>IF(表1[[#This Row],[Tgl NPBG]]&gt;表1[[#This Row],[Peminta]],表1[[#This Row],[Tgl NPBG]]-表1[[#This Row],[Peminta]],"")</f>
        <v/>
      </c>
      <c r="J3927" s="31"/>
    </row>
    <row r="3928" s="12" customFormat="1" customHeight="1" spans="2:10">
      <c r="B3928" s="25"/>
      <c r="C3928" s="25"/>
      <c r="D3928" s="26" t="str" cm="1">
        <f t="array" ref="D3928">IF(C3928="","",IFERROR(INDEX(STPP!$D$6:$D$4207,MATCH(C3928,STPP!$C$6:$C$4207,0)),"Not Found"))</f>
        <v/>
      </c>
      <c r="E3928" s="27" t="str" cm="1">
        <f t="array" ref="E3928">IF(C3928="","",IFERROR(INDEX(STPP!$E$6:$E$4207,MATCH(C3928,STPP!$C$6:$C$4207,0)),"Not Found"))</f>
        <v/>
      </c>
      <c r="F3928" s="27" t="str" cm="1">
        <f t="array" ref="F3928">IF(C3928="","",IFERROR(INDEX(STPP!$F$6:$F$4207,MATCH(C3928,STPP!$C$6:$C$4207,0)),"Not Found"))</f>
        <v/>
      </c>
      <c r="G3928" s="25" t="str">
        <f>IF(表1[[#This Row],[No Seri]]="","",表1[[#This Row],[Deskripsi Barang]]+表1[[#This Row],[Kuantitas]]-表1[[#This Row],[Satuan]])</f>
        <v/>
      </c>
      <c r="H3928" s="28"/>
      <c r="I3928" s="25" t="str">
        <f>IF(表1[[#This Row],[Tgl NPBG]]&gt;表1[[#This Row],[Peminta]],表1[[#This Row],[Tgl NPBG]]-表1[[#This Row],[Peminta]],"")</f>
        <v/>
      </c>
      <c r="J3928" s="31"/>
    </row>
    <row r="3929" s="12" customFormat="1" customHeight="1" spans="2:10">
      <c r="B3929" s="25"/>
      <c r="C3929" s="25"/>
      <c r="D3929" s="26" t="str" cm="1">
        <f t="array" ref="D3929">IF(C3929="","",IFERROR(INDEX(STPP!$D$6:$D$4207,MATCH(C3929,STPP!$C$6:$C$4207,0)),"Not Found"))</f>
        <v/>
      </c>
      <c r="E3929" s="27" t="str" cm="1">
        <f t="array" ref="E3929">IF(C3929="","",IFERROR(INDEX(STPP!$E$6:$E$4207,MATCH(C3929,STPP!$C$6:$C$4207,0)),"Not Found"))</f>
        <v/>
      </c>
      <c r="F3929" s="27" t="str" cm="1">
        <f t="array" ref="F3929">IF(C3929="","",IFERROR(INDEX(STPP!$F$6:$F$4207,MATCH(C3929,STPP!$C$6:$C$4207,0)),"Not Found"))</f>
        <v/>
      </c>
      <c r="G3929" s="25" t="str">
        <f>IF(表1[[#This Row],[No Seri]]="","",表1[[#This Row],[Deskripsi Barang]]+表1[[#This Row],[Kuantitas]]-表1[[#This Row],[Satuan]])</f>
        <v/>
      </c>
      <c r="H3929" s="28"/>
      <c r="I3929" s="25" t="str">
        <f>IF(表1[[#This Row],[Tgl NPBG]]&gt;表1[[#This Row],[Peminta]],表1[[#This Row],[Tgl NPBG]]-表1[[#This Row],[Peminta]],"")</f>
        <v/>
      </c>
      <c r="J3929" s="31"/>
    </row>
    <row r="3930" s="12" customFormat="1" customHeight="1" spans="2:10">
      <c r="B3930" s="25"/>
      <c r="C3930" s="25"/>
      <c r="D3930" s="26" t="str" cm="1">
        <f t="array" ref="D3930">IF(C3930="","",IFERROR(INDEX(STPP!$D$6:$D$4207,MATCH(C3930,STPP!$C$6:$C$4207,0)),"Not Found"))</f>
        <v/>
      </c>
      <c r="E3930" s="27" t="str" cm="1">
        <f t="array" ref="E3930">IF(C3930="","",IFERROR(INDEX(STPP!$E$6:$E$4207,MATCH(C3930,STPP!$C$6:$C$4207,0)),"Not Found"))</f>
        <v/>
      </c>
      <c r="F3930" s="27" t="str" cm="1">
        <f t="array" ref="F3930">IF(C3930="","",IFERROR(INDEX(STPP!$F$6:$F$4207,MATCH(C3930,STPP!$C$6:$C$4207,0)),"Not Found"))</f>
        <v/>
      </c>
      <c r="G3930" s="25" t="str">
        <f>IF(表1[[#This Row],[No Seri]]="","",表1[[#This Row],[Deskripsi Barang]]+表1[[#This Row],[Kuantitas]]-表1[[#This Row],[Satuan]])</f>
        <v/>
      </c>
      <c r="H3930" s="28"/>
      <c r="I3930" s="25" t="str">
        <f>IF(表1[[#This Row],[Tgl NPBG]]&gt;表1[[#This Row],[Peminta]],表1[[#This Row],[Tgl NPBG]]-表1[[#This Row],[Peminta]],"")</f>
        <v/>
      </c>
      <c r="J3930" s="31"/>
    </row>
    <row r="3931" s="12" customFormat="1" customHeight="1" spans="2:10">
      <c r="B3931" s="25"/>
      <c r="C3931" s="25"/>
      <c r="D3931" s="26" t="str" cm="1">
        <f t="array" ref="D3931">IF(C3931="","",IFERROR(INDEX(STPP!$D$6:$D$4207,MATCH(C3931,STPP!$C$6:$C$4207,0)),"Not Found"))</f>
        <v/>
      </c>
      <c r="E3931" s="27" t="str" cm="1">
        <f t="array" ref="E3931">IF(C3931="","",IFERROR(INDEX(STPP!$E$6:$E$4207,MATCH(C3931,STPP!$C$6:$C$4207,0)),"Not Found"))</f>
        <v/>
      </c>
      <c r="F3931" s="27" t="str" cm="1">
        <f t="array" ref="F3931">IF(C3931="","",IFERROR(INDEX(STPP!$F$6:$F$4207,MATCH(C3931,STPP!$C$6:$C$4207,0)),"Not Found"))</f>
        <v/>
      </c>
      <c r="G3931" s="25" t="str">
        <f>IF(表1[[#This Row],[No Seri]]="","",表1[[#This Row],[Deskripsi Barang]]+表1[[#This Row],[Kuantitas]]-表1[[#This Row],[Satuan]])</f>
        <v/>
      </c>
      <c r="H3931" s="28"/>
      <c r="I3931" s="25" t="str">
        <f>IF(表1[[#This Row],[Tgl NPBG]]&gt;表1[[#This Row],[Peminta]],表1[[#This Row],[Tgl NPBG]]-表1[[#This Row],[Peminta]],"")</f>
        <v/>
      </c>
      <c r="J3931" s="31"/>
    </row>
    <row r="3932" s="12" customFormat="1" customHeight="1" spans="2:10">
      <c r="B3932" s="25"/>
      <c r="C3932" s="25"/>
      <c r="D3932" s="26" t="str" cm="1">
        <f t="array" ref="D3932">IF(C3932="","",IFERROR(INDEX(STPP!$D$6:$D$4207,MATCH(C3932,STPP!$C$6:$C$4207,0)),"Not Found"))</f>
        <v/>
      </c>
      <c r="E3932" s="27" t="str" cm="1">
        <f t="array" ref="E3932">IF(C3932="","",IFERROR(INDEX(STPP!$E$6:$E$4207,MATCH(C3932,STPP!$C$6:$C$4207,0)),"Not Found"))</f>
        <v/>
      </c>
      <c r="F3932" s="27" t="str" cm="1">
        <f t="array" ref="F3932">IF(C3932="","",IFERROR(INDEX(STPP!$F$6:$F$4207,MATCH(C3932,STPP!$C$6:$C$4207,0)),"Not Found"))</f>
        <v/>
      </c>
      <c r="G3932" s="25" t="str">
        <f>IF(表1[[#This Row],[No Seri]]="","",表1[[#This Row],[Deskripsi Barang]]+表1[[#This Row],[Kuantitas]]-表1[[#This Row],[Satuan]])</f>
        <v/>
      </c>
      <c r="H3932" s="28"/>
      <c r="I3932" s="25" t="str">
        <f>IF(表1[[#This Row],[Tgl NPBG]]&gt;表1[[#This Row],[Peminta]],表1[[#This Row],[Tgl NPBG]]-表1[[#This Row],[Peminta]],"")</f>
        <v/>
      </c>
      <c r="J3932" s="31"/>
    </row>
    <row r="3933" s="12" customFormat="1" customHeight="1" spans="2:10">
      <c r="B3933" s="25"/>
      <c r="C3933" s="25"/>
      <c r="D3933" s="26" t="str" cm="1">
        <f t="array" ref="D3933">IF(C3933="","",IFERROR(INDEX(STPP!$D$6:$D$4207,MATCH(C3933,STPP!$C$6:$C$4207,0)),"Not Found"))</f>
        <v/>
      </c>
      <c r="E3933" s="27" t="str" cm="1">
        <f t="array" ref="E3933">IF(C3933="","",IFERROR(INDEX(STPP!$E$6:$E$4207,MATCH(C3933,STPP!$C$6:$C$4207,0)),"Not Found"))</f>
        <v/>
      </c>
      <c r="F3933" s="27" t="str" cm="1">
        <f t="array" ref="F3933">IF(C3933="","",IFERROR(INDEX(STPP!$F$6:$F$4207,MATCH(C3933,STPP!$C$6:$C$4207,0)),"Not Found"))</f>
        <v/>
      </c>
      <c r="G3933" s="25" t="str">
        <f>IF(表1[[#This Row],[No Seri]]="","",表1[[#This Row],[Deskripsi Barang]]+表1[[#This Row],[Kuantitas]]-表1[[#This Row],[Satuan]])</f>
        <v/>
      </c>
      <c r="H3933" s="28"/>
      <c r="I3933" s="25" t="str">
        <f>IF(表1[[#This Row],[Tgl NPBG]]&gt;表1[[#This Row],[Peminta]],表1[[#This Row],[Tgl NPBG]]-表1[[#This Row],[Peminta]],"")</f>
        <v/>
      </c>
      <c r="J3933" s="31"/>
    </row>
    <row r="3934" s="12" customFormat="1" customHeight="1" spans="2:10">
      <c r="B3934" s="25"/>
      <c r="C3934" s="25"/>
      <c r="D3934" s="26" t="str" cm="1">
        <f t="array" ref="D3934">IF(C3934="","",IFERROR(INDEX(STPP!$D$6:$D$4207,MATCH(C3934,STPP!$C$6:$C$4207,0)),"Not Found"))</f>
        <v/>
      </c>
      <c r="E3934" s="27" t="str" cm="1">
        <f t="array" ref="E3934">IF(C3934="","",IFERROR(INDEX(STPP!$E$6:$E$4207,MATCH(C3934,STPP!$C$6:$C$4207,0)),"Not Found"))</f>
        <v/>
      </c>
      <c r="F3934" s="27" t="str" cm="1">
        <f t="array" ref="F3934">IF(C3934="","",IFERROR(INDEX(STPP!$F$6:$F$4207,MATCH(C3934,STPP!$C$6:$C$4207,0)),"Not Found"))</f>
        <v/>
      </c>
      <c r="G3934" s="25" t="str">
        <f>IF(表1[[#This Row],[No Seri]]="","",表1[[#This Row],[Deskripsi Barang]]+表1[[#This Row],[Kuantitas]]-表1[[#This Row],[Satuan]])</f>
        <v/>
      </c>
      <c r="H3934" s="28"/>
      <c r="I3934" s="25" t="str">
        <f>IF(表1[[#This Row],[Tgl NPBG]]&gt;表1[[#This Row],[Peminta]],表1[[#This Row],[Tgl NPBG]]-表1[[#This Row],[Peminta]],"")</f>
        <v/>
      </c>
      <c r="J3934" s="31"/>
    </row>
    <row r="3935" s="12" customFormat="1" customHeight="1" spans="2:10">
      <c r="B3935" s="25"/>
      <c r="C3935" s="25"/>
      <c r="D3935" s="26" t="str" cm="1">
        <f t="array" ref="D3935">IF(C3935="","",IFERROR(INDEX(STPP!$D$6:$D$4207,MATCH(C3935,STPP!$C$6:$C$4207,0)),"Not Found"))</f>
        <v/>
      </c>
      <c r="E3935" s="27" t="str" cm="1">
        <f t="array" ref="E3935">IF(C3935="","",IFERROR(INDEX(STPP!$E$6:$E$4207,MATCH(C3935,STPP!$C$6:$C$4207,0)),"Not Found"))</f>
        <v/>
      </c>
      <c r="F3935" s="27" t="str" cm="1">
        <f t="array" ref="F3935">IF(C3935="","",IFERROR(INDEX(STPP!$F$6:$F$4207,MATCH(C3935,STPP!$C$6:$C$4207,0)),"Not Found"))</f>
        <v/>
      </c>
      <c r="G3935" s="25" t="str">
        <f>IF(表1[[#This Row],[No Seri]]="","",表1[[#This Row],[Deskripsi Barang]]+表1[[#This Row],[Kuantitas]]-表1[[#This Row],[Satuan]])</f>
        <v/>
      </c>
      <c r="H3935" s="28"/>
      <c r="I3935" s="25" t="str">
        <f>IF(表1[[#This Row],[Tgl NPBG]]&gt;表1[[#This Row],[Peminta]],表1[[#This Row],[Tgl NPBG]]-表1[[#This Row],[Peminta]],"")</f>
        <v/>
      </c>
      <c r="J3935" s="31"/>
    </row>
    <row r="3936" s="12" customFormat="1" customHeight="1" spans="2:10">
      <c r="B3936" s="25"/>
      <c r="C3936" s="25"/>
      <c r="D3936" s="26" t="str" cm="1">
        <f t="array" ref="D3936">IF(C3936="","",IFERROR(INDEX(STPP!$D$6:$D$4207,MATCH(C3936,STPP!$C$6:$C$4207,0)),"Not Found"))</f>
        <v/>
      </c>
      <c r="E3936" s="27" t="str" cm="1">
        <f t="array" ref="E3936">IF(C3936="","",IFERROR(INDEX(STPP!$E$6:$E$4207,MATCH(C3936,STPP!$C$6:$C$4207,0)),"Not Found"))</f>
        <v/>
      </c>
      <c r="F3936" s="27" t="str" cm="1">
        <f t="array" ref="F3936">IF(C3936="","",IFERROR(INDEX(STPP!$F$6:$F$4207,MATCH(C3936,STPP!$C$6:$C$4207,0)),"Not Found"))</f>
        <v/>
      </c>
      <c r="G3936" s="25" t="str">
        <f>IF(表1[[#This Row],[No Seri]]="","",表1[[#This Row],[Deskripsi Barang]]+表1[[#This Row],[Kuantitas]]-表1[[#This Row],[Satuan]])</f>
        <v/>
      </c>
      <c r="H3936" s="28"/>
      <c r="I3936" s="25" t="str">
        <f>IF(表1[[#This Row],[Tgl NPBG]]&gt;表1[[#This Row],[Peminta]],表1[[#This Row],[Tgl NPBG]]-表1[[#This Row],[Peminta]],"")</f>
        <v/>
      </c>
      <c r="J3936" s="31"/>
    </row>
    <row r="3937" s="12" customFormat="1" customHeight="1" spans="2:10">
      <c r="B3937" s="25"/>
      <c r="C3937" s="25"/>
      <c r="D3937" s="26" t="str" cm="1">
        <f t="array" ref="D3937">IF(C3937="","",IFERROR(INDEX(STPP!$D$6:$D$4207,MATCH(C3937,STPP!$C$6:$C$4207,0)),"Not Found"))</f>
        <v/>
      </c>
      <c r="E3937" s="27" t="str" cm="1">
        <f t="array" ref="E3937">IF(C3937="","",IFERROR(INDEX(STPP!$E$6:$E$4207,MATCH(C3937,STPP!$C$6:$C$4207,0)),"Not Found"))</f>
        <v/>
      </c>
      <c r="F3937" s="27" t="str" cm="1">
        <f t="array" ref="F3937">IF(C3937="","",IFERROR(INDEX(STPP!$F$6:$F$4207,MATCH(C3937,STPP!$C$6:$C$4207,0)),"Not Found"))</f>
        <v/>
      </c>
      <c r="G3937" s="25" t="str">
        <f>IF(表1[[#This Row],[No Seri]]="","",表1[[#This Row],[Deskripsi Barang]]+表1[[#This Row],[Kuantitas]]-表1[[#This Row],[Satuan]])</f>
        <v/>
      </c>
      <c r="H3937" s="28"/>
      <c r="I3937" s="25" t="str">
        <f>IF(表1[[#This Row],[Tgl NPBG]]&gt;表1[[#This Row],[Peminta]],表1[[#This Row],[Tgl NPBG]]-表1[[#This Row],[Peminta]],"")</f>
        <v/>
      </c>
      <c r="J3937" s="31"/>
    </row>
    <row r="3938" s="12" customFormat="1" customHeight="1" spans="2:10">
      <c r="B3938" s="25"/>
      <c r="C3938" s="25"/>
      <c r="D3938" s="26" t="str" cm="1">
        <f t="array" ref="D3938">IF(C3938="","",IFERROR(INDEX(STPP!$D$6:$D$4207,MATCH(C3938,STPP!$C$6:$C$4207,0)),"Not Found"))</f>
        <v/>
      </c>
      <c r="E3938" s="27" t="str" cm="1">
        <f t="array" ref="E3938">IF(C3938="","",IFERROR(INDEX(STPP!$E$6:$E$4207,MATCH(C3938,STPP!$C$6:$C$4207,0)),"Not Found"))</f>
        <v/>
      </c>
      <c r="F3938" s="27" t="str" cm="1">
        <f t="array" ref="F3938">IF(C3938="","",IFERROR(INDEX(STPP!$F$6:$F$4207,MATCH(C3938,STPP!$C$6:$C$4207,0)),"Not Found"))</f>
        <v/>
      </c>
      <c r="G3938" s="25" t="str">
        <f>IF(表1[[#This Row],[No Seri]]="","",表1[[#This Row],[Deskripsi Barang]]+表1[[#This Row],[Kuantitas]]-表1[[#This Row],[Satuan]])</f>
        <v/>
      </c>
      <c r="H3938" s="28"/>
      <c r="I3938" s="25" t="str">
        <f>IF(表1[[#This Row],[Tgl NPBG]]&gt;表1[[#This Row],[Peminta]],表1[[#This Row],[Tgl NPBG]]-表1[[#This Row],[Peminta]],"")</f>
        <v/>
      </c>
      <c r="J3938" s="31"/>
    </row>
    <row r="3939" s="12" customFormat="1" customHeight="1" spans="2:10">
      <c r="B3939" s="25"/>
      <c r="C3939" s="25"/>
      <c r="D3939" s="26" t="str" cm="1">
        <f t="array" ref="D3939">IF(C3939="","",IFERROR(INDEX(STPP!$D$6:$D$4207,MATCH(C3939,STPP!$C$6:$C$4207,0)),"Not Found"))</f>
        <v/>
      </c>
      <c r="E3939" s="27" t="str" cm="1">
        <f t="array" ref="E3939">IF(C3939="","",IFERROR(INDEX(STPP!$E$6:$E$4207,MATCH(C3939,STPP!$C$6:$C$4207,0)),"Not Found"))</f>
        <v/>
      </c>
      <c r="F3939" s="27" t="str" cm="1">
        <f t="array" ref="F3939">IF(C3939="","",IFERROR(INDEX(STPP!$F$6:$F$4207,MATCH(C3939,STPP!$C$6:$C$4207,0)),"Not Found"))</f>
        <v/>
      </c>
      <c r="G3939" s="25" t="str">
        <f>IF(表1[[#This Row],[No Seri]]="","",表1[[#This Row],[Deskripsi Barang]]+表1[[#This Row],[Kuantitas]]-表1[[#This Row],[Satuan]])</f>
        <v/>
      </c>
      <c r="H3939" s="28"/>
      <c r="I3939" s="25" t="str">
        <f>IF(表1[[#This Row],[Tgl NPBG]]&gt;表1[[#This Row],[Peminta]],表1[[#This Row],[Tgl NPBG]]-表1[[#This Row],[Peminta]],"")</f>
        <v/>
      </c>
      <c r="J3939" s="31"/>
    </row>
    <row r="3940" s="12" customFormat="1" customHeight="1" spans="2:10">
      <c r="B3940" s="25"/>
      <c r="C3940" s="25"/>
      <c r="D3940" s="26" t="str" cm="1">
        <f t="array" ref="D3940">IF(C3940="","",IFERROR(INDEX(STPP!$D$6:$D$4207,MATCH(C3940,STPP!$C$6:$C$4207,0)),"Not Found"))</f>
        <v/>
      </c>
      <c r="E3940" s="27" t="str" cm="1">
        <f t="array" ref="E3940">IF(C3940="","",IFERROR(INDEX(STPP!$E$6:$E$4207,MATCH(C3940,STPP!$C$6:$C$4207,0)),"Not Found"))</f>
        <v/>
      </c>
      <c r="F3940" s="27" t="str" cm="1">
        <f t="array" ref="F3940">IF(C3940="","",IFERROR(INDEX(STPP!$F$6:$F$4207,MATCH(C3940,STPP!$C$6:$C$4207,0)),"Not Found"))</f>
        <v/>
      </c>
      <c r="G3940" s="25" t="str">
        <f>IF(表1[[#This Row],[No Seri]]="","",表1[[#This Row],[Deskripsi Barang]]+表1[[#This Row],[Kuantitas]]-表1[[#This Row],[Satuan]])</f>
        <v/>
      </c>
      <c r="H3940" s="28"/>
      <c r="I3940" s="25" t="str">
        <f>IF(表1[[#This Row],[Tgl NPBG]]&gt;表1[[#This Row],[Peminta]],表1[[#This Row],[Tgl NPBG]]-表1[[#This Row],[Peminta]],"")</f>
        <v/>
      </c>
      <c r="J3940" s="31"/>
    </row>
    <row r="3941" s="12" customFormat="1" customHeight="1" spans="2:10">
      <c r="B3941" s="25"/>
      <c r="C3941" s="25"/>
      <c r="D3941" s="26" t="str" cm="1">
        <f t="array" ref="D3941">IF(C3941="","",IFERROR(INDEX(STPP!$D$6:$D$4207,MATCH(C3941,STPP!$C$6:$C$4207,0)),"Not Found"))</f>
        <v/>
      </c>
      <c r="E3941" s="27" t="str" cm="1">
        <f t="array" ref="E3941">IF(C3941="","",IFERROR(INDEX(STPP!$E$6:$E$4207,MATCH(C3941,STPP!$C$6:$C$4207,0)),"Not Found"))</f>
        <v/>
      </c>
      <c r="F3941" s="27" t="str" cm="1">
        <f t="array" ref="F3941">IF(C3941="","",IFERROR(INDEX(STPP!$F$6:$F$4207,MATCH(C3941,STPP!$C$6:$C$4207,0)),"Not Found"))</f>
        <v/>
      </c>
      <c r="G3941" s="25" t="str">
        <f>IF(表1[[#This Row],[No Seri]]="","",表1[[#This Row],[Deskripsi Barang]]+表1[[#This Row],[Kuantitas]]-表1[[#This Row],[Satuan]])</f>
        <v/>
      </c>
      <c r="H3941" s="28"/>
      <c r="I3941" s="25" t="str">
        <f>IF(表1[[#This Row],[Tgl NPBG]]&gt;表1[[#This Row],[Peminta]],表1[[#This Row],[Tgl NPBG]]-表1[[#This Row],[Peminta]],"")</f>
        <v/>
      </c>
      <c r="J3941" s="31"/>
    </row>
    <row r="3942" s="12" customFormat="1" customHeight="1" spans="2:10">
      <c r="B3942" s="25"/>
      <c r="C3942" s="25"/>
      <c r="D3942" s="26" t="str" cm="1">
        <f t="array" ref="D3942">IF(C3942="","",IFERROR(INDEX(STPP!$D$6:$D$4207,MATCH(C3942,STPP!$C$6:$C$4207,0)),"Not Found"))</f>
        <v/>
      </c>
      <c r="E3942" s="27" t="str" cm="1">
        <f t="array" ref="E3942">IF(C3942="","",IFERROR(INDEX(STPP!$E$6:$E$4207,MATCH(C3942,STPP!$C$6:$C$4207,0)),"Not Found"))</f>
        <v/>
      </c>
      <c r="F3942" s="27" t="str" cm="1">
        <f t="array" ref="F3942">IF(C3942="","",IFERROR(INDEX(STPP!$F$6:$F$4207,MATCH(C3942,STPP!$C$6:$C$4207,0)),"Not Found"))</f>
        <v/>
      </c>
      <c r="G3942" s="25" t="str">
        <f>IF(表1[[#This Row],[No Seri]]="","",表1[[#This Row],[Deskripsi Barang]]+表1[[#This Row],[Kuantitas]]-表1[[#This Row],[Satuan]])</f>
        <v/>
      </c>
      <c r="H3942" s="28"/>
      <c r="I3942" s="25" t="str">
        <f>IF(表1[[#This Row],[Tgl NPBG]]&gt;表1[[#This Row],[Peminta]],表1[[#This Row],[Tgl NPBG]]-表1[[#This Row],[Peminta]],"")</f>
        <v/>
      </c>
      <c r="J3942" s="31"/>
    </row>
    <row r="3943" s="12" customFormat="1" customHeight="1" spans="2:10">
      <c r="B3943" s="25"/>
      <c r="C3943" s="25"/>
      <c r="D3943" s="26" t="str" cm="1">
        <f t="array" ref="D3943">IF(C3943="","",IFERROR(INDEX(STPP!$D$6:$D$4207,MATCH(C3943,STPP!$C$6:$C$4207,0)),"Not Found"))</f>
        <v/>
      </c>
      <c r="E3943" s="27" t="str" cm="1">
        <f t="array" ref="E3943">IF(C3943="","",IFERROR(INDEX(STPP!$E$6:$E$4207,MATCH(C3943,STPP!$C$6:$C$4207,0)),"Not Found"))</f>
        <v/>
      </c>
      <c r="F3943" s="27" t="str" cm="1">
        <f t="array" ref="F3943">IF(C3943="","",IFERROR(INDEX(STPP!$F$6:$F$4207,MATCH(C3943,STPP!$C$6:$C$4207,0)),"Not Found"))</f>
        <v/>
      </c>
      <c r="G3943" s="25" t="str">
        <f>IF(表1[[#This Row],[No Seri]]="","",表1[[#This Row],[Deskripsi Barang]]+表1[[#This Row],[Kuantitas]]-表1[[#This Row],[Satuan]])</f>
        <v/>
      </c>
      <c r="H3943" s="28"/>
      <c r="I3943" s="25" t="str">
        <f>IF(表1[[#This Row],[Tgl NPBG]]&gt;表1[[#This Row],[Peminta]],表1[[#This Row],[Tgl NPBG]]-表1[[#This Row],[Peminta]],"")</f>
        <v/>
      </c>
      <c r="J3943" s="31"/>
    </row>
    <row r="3944" s="12" customFormat="1" customHeight="1" spans="2:10">
      <c r="B3944" s="25"/>
      <c r="C3944" s="25"/>
      <c r="D3944" s="26" t="str" cm="1">
        <f t="array" ref="D3944">IF(C3944="","",IFERROR(INDEX(STPP!$D$6:$D$4207,MATCH(C3944,STPP!$C$6:$C$4207,0)),"Not Found"))</f>
        <v/>
      </c>
      <c r="E3944" s="27" t="str" cm="1">
        <f t="array" ref="E3944">IF(C3944="","",IFERROR(INDEX(STPP!$E$6:$E$4207,MATCH(C3944,STPP!$C$6:$C$4207,0)),"Not Found"))</f>
        <v/>
      </c>
      <c r="F3944" s="27" t="str" cm="1">
        <f t="array" ref="F3944">IF(C3944="","",IFERROR(INDEX(STPP!$F$6:$F$4207,MATCH(C3944,STPP!$C$6:$C$4207,0)),"Not Found"))</f>
        <v/>
      </c>
      <c r="G3944" s="25" t="str">
        <f>IF(表1[[#This Row],[No Seri]]="","",表1[[#This Row],[Deskripsi Barang]]+表1[[#This Row],[Kuantitas]]-表1[[#This Row],[Satuan]])</f>
        <v/>
      </c>
      <c r="H3944" s="28"/>
      <c r="I3944" s="25" t="str">
        <f>IF(表1[[#This Row],[Tgl NPBG]]&gt;表1[[#This Row],[Peminta]],表1[[#This Row],[Tgl NPBG]]-表1[[#This Row],[Peminta]],"")</f>
        <v/>
      </c>
      <c r="J3944" s="31"/>
    </row>
    <row r="3945" s="12" customFormat="1" customHeight="1" spans="2:10">
      <c r="B3945" s="25"/>
      <c r="C3945" s="25"/>
      <c r="D3945" s="26" t="str" cm="1">
        <f t="array" ref="D3945">IF(C3945="","",IFERROR(INDEX(STPP!$D$6:$D$4207,MATCH(C3945,STPP!$C$6:$C$4207,0)),"Not Found"))</f>
        <v/>
      </c>
      <c r="E3945" s="27" t="str" cm="1">
        <f t="array" ref="E3945">IF(C3945="","",IFERROR(INDEX(STPP!$E$6:$E$4207,MATCH(C3945,STPP!$C$6:$C$4207,0)),"Not Found"))</f>
        <v/>
      </c>
      <c r="F3945" s="27" t="str" cm="1">
        <f t="array" ref="F3945">IF(C3945="","",IFERROR(INDEX(STPP!$F$6:$F$4207,MATCH(C3945,STPP!$C$6:$C$4207,0)),"Not Found"))</f>
        <v/>
      </c>
      <c r="G3945" s="25" t="str">
        <f>IF(表1[[#This Row],[No Seri]]="","",表1[[#This Row],[Deskripsi Barang]]+表1[[#This Row],[Kuantitas]]-表1[[#This Row],[Satuan]])</f>
        <v/>
      </c>
      <c r="H3945" s="28"/>
      <c r="I3945" s="25" t="str">
        <f>IF(表1[[#This Row],[Tgl NPBG]]&gt;表1[[#This Row],[Peminta]],表1[[#This Row],[Tgl NPBG]]-表1[[#This Row],[Peminta]],"")</f>
        <v/>
      </c>
      <c r="J3945" s="31"/>
    </row>
    <row r="3946" s="12" customFormat="1" customHeight="1" spans="2:10">
      <c r="B3946" s="25"/>
      <c r="C3946" s="25"/>
      <c r="D3946" s="26" t="str" cm="1">
        <f t="array" ref="D3946">IF(C3946="","",IFERROR(INDEX(STPP!$D$6:$D$4207,MATCH(C3946,STPP!$C$6:$C$4207,0)),"Not Found"))</f>
        <v/>
      </c>
      <c r="E3946" s="27" t="str" cm="1">
        <f t="array" ref="E3946">IF(C3946="","",IFERROR(INDEX(STPP!$E$6:$E$4207,MATCH(C3946,STPP!$C$6:$C$4207,0)),"Not Found"))</f>
        <v/>
      </c>
      <c r="F3946" s="27" t="str" cm="1">
        <f t="array" ref="F3946">IF(C3946="","",IFERROR(INDEX(STPP!$F$6:$F$4207,MATCH(C3946,STPP!$C$6:$C$4207,0)),"Not Found"))</f>
        <v/>
      </c>
      <c r="G3946" s="25" t="str">
        <f>IF(表1[[#This Row],[No Seri]]="","",表1[[#This Row],[Deskripsi Barang]]+表1[[#This Row],[Kuantitas]]-表1[[#This Row],[Satuan]])</f>
        <v/>
      </c>
      <c r="H3946" s="28"/>
      <c r="I3946" s="25" t="str">
        <f>IF(表1[[#This Row],[Tgl NPBG]]&gt;表1[[#This Row],[Peminta]],表1[[#This Row],[Tgl NPBG]]-表1[[#This Row],[Peminta]],"")</f>
        <v/>
      </c>
      <c r="J3946" s="31"/>
    </row>
    <row r="3947" s="12" customFormat="1" customHeight="1" spans="2:10">
      <c r="B3947" s="25"/>
      <c r="C3947" s="25"/>
      <c r="D3947" s="26" t="str" cm="1">
        <f t="array" ref="D3947">IF(C3947="","",IFERROR(INDEX(STPP!$D$6:$D$4207,MATCH(C3947,STPP!$C$6:$C$4207,0)),"Not Found"))</f>
        <v/>
      </c>
      <c r="E3947" s="27" t="str" cm="1">
        <f t="array" ref="E3947">IF(C3947="","",IFERROR(INDEX(STPP!$E$6:$E$4207,MATCH(C3947,STPP!$C$6:$C$4207,0)),"Not Found"))</f>
        <v/>
      </c>
      <c r="F3947" s="27" t="str" cm="1">
        <f t="array" ref="F3947">IF(C3947="","",IFERROR(INDEX(STPP!$F$6:$F$4207,MATCH(C3947,STPP!$C$6:$C$4207,0)),"Not Found"))</f>
        <v/>
      </c>
      <c r="G3947" s="25" t="str">
        <f>IF(表1[[#This Row],[No Seri]]="","",表1[[#This Row],[Deskripsi Barang]]+表1[[#This Row],[Kuantitas]]-表1[[#This Row],[Satuan]])</f>
        <v/>
      </c>
      <c r="H3947" s="28"/>
      <c r="I3947" s="25" t="str">
        <f>IF(表1[[#This Row],[Tgl NPBG]]&gt;表1[[#This Row],[Peminta]],表1[[#This Row],[Tgl NPBG]]-表1[[#This Row],[Peminta]],"")</f>
        <v/>
      </c>
      <c r="J3947" s="31"/>
    </row>
    <row r="3948" s="12" customFormat="1" customHeight="1" spans="2:10">
      <c r="B3948" s="25"/>
      <c r="C3948" s="25"/>
      <c r="D3948" s="26" t="str" cm="1">
        <f t="array" ref="D3948">IF(C3948="","",IFERROR(INDEX(STPP!$D$6:$D$4207,MATCH(C3948,STPP!$C$6:$C$4207,0)),"Not Found"))</f>
        <v/>
      </c>
      <c r="E3948" s="27" t="str" cm="1">
        <f t="array" ref="E3948">IF(C3948="","",IFERROR(INDEX(STPP!$E$6:$E$4207,MATCH(C3948,STPP!$C$6:$C$4207,0)),"Not Found"))</f>
        <v/>
      </c>
      <c r="F3948" s="27" t="str" cm="1">
        <f t="array" ref="F3948">IF(C3948="","",IFERROR(INDEX(STPP!$F$6:$F$4207,MATCH(C3948,STPP!$C$6:$C$4207,0)),"Not Found"))</f>
        <v/>
      </c>
      <c r="G3948" s="25" t="str">
        <f>IF(表1[[#This Row],[No Seri]]="","",表1[[#This Row],[Deskripsi Barang]]+表1[[#This Row],[Kuantitas]]-表1[[#This Row],[Satuan]])</f>
        <v/>
      </c>
      <c r="H3948" s="28"/>
      <c r="I3948" s="25" t="str">
        <f>IF(表1[[#This Row],[Tgl NPBG]]&gt;表1[[#This Row],[Peminta]],表1[[#This Row],[Tgl NPBG]]-表1[[#This Row],[Peminta]],"")</f>
        <v/>
      </c>
      <c r="J3948" s="31"/>
    </row>
    <row r="3949" s="12" customFormat="1" customHeight="1" spans="2:10">
      <c r="B3949" s="25"/>
      <c r="C3949" s="25"/>
      <c r="D3949" s="26" t="str" cm="1">
        <f t="array" ref="D3949">IF(C3949="","",IFERROR(INDEX(STPP!$D$6:$D$4207,MATCH(C3949,STPP!$C$6:$C$4207,0)),"Not Found"))</f>
        <v/>
      </c>
      <c r="E3949" s="27" t="str" cm="1">
        <f t="array" ref="E3949">IF(C3949="","",IFERROR(INDEX(STPP!$E$6:$E$4207,MATCH(C3949,STPP!$C$6:$C$4207,0)),"Not Found"))</f>
        <v/>
      </c>
      <c r="F3949" s="27" t="str" cm="1">
        <f t="array" ref="F3949">IF(C3949="","",IFERROR(INDEX(STPP!$F$6:$F$4207,MATCH(C3949,STPP!$C$6:$C$4207,0)),"Not Found"))</f>
        <v/>
      </c>
      <c r="G3949" s="25" t="str">
        <f>IF(表1[[#This Row],[No Seri]]="","",表1[[#This Row],[Deskripsi Barang]]+表1[[#This Row],[Kuantitas]]-表1[[#This Row],[Satuan]])</f>
        <v/>
      </c>
      <c r="H3949" s="28"/>
      <c r="I3949" s="25" t="str">
        <f>IF(表1[[#This Row],[Tgl NPBG]]&gt;表1[[#This Row],[Peminta]],表1[[#This Row],[Tgl NPBG]]-表1[[#This Row],[Peminta]],"")</f>
        <v/>
      </c>
      <c r="J3949" s="31"/>
    </row>
    <row r="3950" s="12" customFormat="1" customHeight="1" spans="2:10">
      <c r="B3950" s="25"/>
      <c r="C3950" s="25"/>
      <c r="D3950" s="26" t="str" cm="1">
        <f t="array" ref="D3950">IF(C3950="","",IFERROR(INDEX(STPP!$D$6:$D$4207,MATCH(C3950,STPP!$C$6:$C$4207,0)),"Not Found"))</f>
        <v/>
      </c>
      <c r="E3950" s="27" t="str" cm="1">
        <f t="array" ref="E3950">IF(C3950="","",IFERROR(INDEX(STPP!$E$6:$E$4207,MATCH(C3950,STPP!$C$6:$C$4207,0)),"Not Found"))</f>
        <v/>
      </c>
      <c r="F3950" s="27" t="str" cm="1">
        <f t="array" ref="F3950">IF(C3950="","",IFERROR(INDEX(STPP!$F$6:$F$4207,MATCH(C3950,STPP!$C$6:$C$4207,0)),"Not Found"))</f>
        <v/>
      </c>
      <c r="G3950" s="25" t="str">
        <f>IF(表1[[#This Row],[No Seri]]="","",表1[[#This Row],[Deskripsi Barang]]+表1[[#This Row],[Kuantitas]]-表1[[#This Row],[Satuan]])</f>
        <v/>
      </c>
      <c r="H3950" s="28"/>
      <c r="I3950" s="25" t="str">
        <f>IF(表1[[#This Row],[Tgl NPBG]]&gt;表1[[#This Row],[Peminta]],表1[[#This Row],[Tgl NPBG]]-表1[[#This Row],[Peminta]],"")</f>
        <v/>
      </c>
      <c r="J3950" s="31"/>
    </row>
    <row r="3951" s="12" customFormat="1" customHeight="1" spans="2:10">
      <c r="B3951" s="25"/>
      <c r="C3951" s="25"/>
      <c r="D3951" s="26" t="str" cm="1">
        <f t="array" ref="D3951">IF(C3951="","",IFERROR(INDEX(STPP!$D$6:$D$4207,MATCH(C3951,STPP!$C$6:$C$4207,0)),"Not Found"))</f>
        <v/>
      </c>
      <c r="E3951" s="27" t="str" cm="1">
        <f t="array" ref="E3951">IF(C3951="","",IFERROR(INDEX(STPP!$E$6:$E$4207,MATCH(C3951,STPP!$C$6:$C$4207,0)),"Not Found"))</f>
        <v/>
      </c>
      <c r="F3951" s="27" t="str" cm="1">
        <f t="array" ref="F3951">IF(C3951="","",IFERROR(INDEX(STPP!$F$6:$F$4207,MATCH(C3951,STPP!$C$6:$C$4207,0)),"Not Found"))</f>
        <v/>
      </c>
      <c r="G3951" s="25" t="str">
        <f>IF(表1[[#This Row],[No Seri]]="","",表1[[#This Row],[Deskripsi Barang]]+表1[[#This Row],[Kuantitas]]-表1[[#This Row],[Satuan]])</f>
        <v/>
      </c>
      <c r="H3951" s="28"/>
      <c r="I3951" s="25" t="str">
        <f>IF(表1[[#This Row],[Tgl NPBG]]&gt;表1[[#This Row],[Peminta]],表1[[#This Row],[Tgl NPBG]]-表1[[#This Row],[Peminta]],"")</f>
        <v/>
      </c>
      <c r="J3951" s="31"/>
    </row>
    <row r="3952" s="12" customFormat="1" customHeight="1" spans="2:10">
      <c r="B3952" s="25"/>
      <c r="C3952" s="25"/>
      <c r="D3952" s="26" t="str" cm="1">
        <f t="array" ref="D3952">IF(C3952="","",IFERROR(INDEX(STPP!$D$6:$D$4207,MATCH(C3952,STPP!$C$6:$C$4207,0)),"Not Found"))</f>
        <v/>
      </c>
      <c r="E3952" s="27" t="str" cm="1">
        <f t="array" ref="E3952">IF(C3952="","",IFERROR(INDEX(STPP!$E$6:$E$4207,MATCH(C3952,STPP!$C$6:$C$4207,0)),"Not Found"))</f>
        <v/>
      </c>
      <c r="F3952" s="27" t="str" cm="1">
        <f t="array" ref="F3952">IF(C3952="","",IFERROR(INDEX(STPP!$F$6:$F$4207,MATCH(C3952,STPP!$C$6:$C$4207,0)),"Not Found"))</f>
        <v/>
      </c>
      <c r="G3952" s="25" t="str">
        <f>IF(表1[[#This Row],[No Seri]]="","",表1[[#This Row],[Deskripsi Barang]]+表1[[#This Row],[Kuantitas]]-表1[[#This Row],[Satuan]])</f>
        <v/>
      </c>
      <c r="H3952" s="28"/>
      <c r="I3952" s="25" t="str">
        <f>IF(表1[[#This Row],[Tgl NPBG]]&gt;表1[[#This Row],[Peminta]],表1[[#This Row],[Tgl NPBG]]-表1[[#This Row],[Peminta]],"")</f>
        <v/>
      </c>
      <c r="J3952" s="31"/>
    </row>
    <row r="3953" s="12" customFormat="1" customHeight="1" spans="2:10">
      <c r="B3953" s="25"/>
      <c r="C3953" s="25"/>
      <c r="D3953" s="26" t="str" cm="1">
        <f t="array" ref="D3953">IF(C3953="","",IFERROR(INDEX(STPP!$D$6:$D$4207,MATCH(C3953,STPP!$C$6:$C$4207,0)),"Not Found"))</f>
        <v/>
      </c>
      <c r="E3953" s="27" t="str" cm="1">
        <f t="array" ref="E3953">IF(C3953="","",IFERROR(INDEX(STPP!$E$6:$E$4207,MATCH(C3953,STPP!$C$6:$C$4207,0)),"Not Found"))</f>
        <v/>
      </c>
      <c r="F3953" s="27" t="str" cm="1">
        <f t="array" ref="F3953">IF(C3953="","",IFERROR(INDEX(STPP!$F$6:$F$4207,MATCH(C3953,STPP!$C$6:$C$4207,0)),"Not Found"))</f>
        <v/>
      </c>
      <c r="G3953" s="25" t="str">
        <f>IF(表1[[#This Row],[No Seri]]="","",表1[[#This Row],[Deskripsi Barang]]+表1[[#This Row],[Kuantitas]]-表1[[#This Row],[Satuan]])</f>
        <v/>
      </c>
      <c r="H3953" s="28"/>
      <c r="I3953" s="25" t="str">
        <f>IF(表1[[#This Row],[Tgl NPBG]]&gt;表1[[#This Row],[Peminta]],表1[[#This Row],[Tgl NPBG]]-表1[[#This Row],[Peminta]],"")</f>
        <v/>
      </c>
      <c r="J3953" s="31"/>
    </row>
    <row r="3954" s="12" customFormat="1" customHeight="1" spans="2:10">
      <c r="B3954" s="25"/>
      <c r="C3954" s="25"/>
      <c r="D3954" s="26" t="str" cm="1">
        <f t="array" ref="D3954">IF(C3954="","",IFERROR(INDEX(STPP!$D$6:$D$4207,MATCH(C3954,STPP!$C$6:$C$4207,0)),"Not Found"))</f>
        <v/>
      </c>
      <c r="E3954" s="27" t="str" cm="1">
        <f t="array" ref="E3954">IF(C3954="","",IFERROR(INDEX(STPP!$E$6:$E$4207,MATCH(C3954,STPP!$C$6:$C$4207,0)),"Not Found"))</f>
        <v/>
      </c>
      <c r="F3954" s="27" t="str" cm="1">
        <f t="array" ref="F3954">IF(C3954="","",IFERROR(INDEX(STPP!$F$6:$F$4207,MATCH(C3954,STPP!$C$6:$C$4207,0)),"Not Found"))</f>
        <v/>
      </c>
      <c r="G3954" s="25" t="str">
        <f>IF(表1[[#This Row],[No Seri]]="","",表1[[#This Row],[Deskripsi Barang]]+表1[[#This Row],[Kuantitas]]-表1[[#This Row],[Satuan]])</f>
        <v/>
      </c>
      <c r="H3954" s="28"/>
      <c r="I3954" s="25" t="str">
        <f>IF(表1[[#This Row],[Tgl NPBG]]&gt;表1[[#This Row],[Peminta]],表1[[#This Row],[Tgl NPBG]]-表1[[#This Row],[Peminta]],"")</f>
        <v/>
      </c>
      <c r="J3954" s="31"/>
    </row>
    <row r="3955" s="12" customFormat="1" customHeight="1" spans="2:10">
      <c r="B3955" s="25"/>
      <c r="C3955" s="25"/>
      <c r="D3955" s="26" t="str" cm="1">
        <f t="array" ref="D3955">IF(C3955="","",IFERROR(INDEX(STPP!$D$6:$D$4207,MATCH(C3955,STPP!$C$6:$C$4207,0)),"Not Found"))</f>
        <v/>
      </c>
      <c r="E3955" s="27" t="str" cm="1">
        <f t="array" ref="E3955">IF(C3955="","",IFERROR(INDEX(STPP!$E$6:$E$4207,MATCH(C3955,STPP!$C$6:$C$4207,0)),"Not Found"))</f>
        <v/>
      </c>
      <c r="F3955" s="27" t="str" cm="1">
        <f t="array" ref="F3955">IF(C3955="","",IFERROR(INDEX(STPP!$F$6:$F$4207,MATCH(C3955,STPP!$C$6:$C$4207,0)),"Not Found"))</f>
        <v/>
      </c>
      <c r="G3955" s="25" t="str">
        <f>IF(表1[[#This Row],[No Seri]]="","",表1[[#This Row],[Deskripsi Barang]]+表1[[#This Row],[Kuantitas]]-表1[[#This Row],[Satuan]])</f>
        <v/>
      </c>
      <c r="H3955" s="28"/>
      <c r="I3955" s="25" t="str">
        <f>IF(表1[[#This Row],[Tgl NPBG]]&gt;表1[[#This Row],[Peminta]],表1[[#This Row],[Tgl NPBG]]-表1[[#This Row],[Peminta]],"")</f>
        <v/>
      </c>
      <c r="J3955" s="31"/>
    </row>
    <row r="3956" s="12" customFormat="1" customHeight="1" spans="2:10">
      <c r="B3956" s="25"/>
      <c r="C3956" s="25"/>
      <c r="D3956" s="26" t="str" cm="1">
        <f t="array" ref="D3956">IF(C3956="","",IFERROR(INDEX(STPP!$D$6:$D$4207,MATCH(C3956,STPP!$C$6:$C$4207,0)),"Not Found"))</f>
        <v/>
      </c>
      <c r="E3956" s="27" t="str" cm="1">
        <f t="array" ref="E3956">IF(C3956="","",IFERROR(INDEX(STPP!$E$6:$E$4207,MATCH(C3956,STPP!$C$6:$C$4207,0)),"Not Found"))</f>
        <v/>
      </c>
      <c r="F3956" s="27" t="str" cm="1">
        <f t="array" ref="F3956">IF(C3956="","",IFERROR(INDEX(STPP!$F$6:$F$4207,MATCH(C3956,STPP!$C$6:$C$4207,0)),"Not Found"))</f>
        <v/>
      </c>
      <c r="G3956" s="25" t="str">
        <f>IF(表1[[#This Row],[No Seri]]="","",表1[[#This Row],[Deskripsi Barang]]+表1[[#This Row],[Kuantitas]]-表1[[#This Row],[Satuan]])</f>
        <v/>
      </c>
      <c r="H3956" s="28"/>
      <c r="I3956" s="25" t="str">
        <f>IF(表1[[#This Row],[Tgl NPBG]]&gt;表1[[#This Row],[Peminta]],表1[[#This Row],[Tgl NPBG]]-表1[[#This Row],[Peminta]],"")</f>
        <v/>
      </c>
      <c r="J3956" s="31"/>
    </row>
    <row r="3957" s="12" customFormat="1" customHeight="1" spans="2:10">
      <c r="B3957" s="25"/>
      <c r="C3957" s="25"/>
      <c r="D3957" s="26" t="str" cm="1">
        <f t="array" ref="D3957">IF(C3957="","",IFERROR(INDEX(STPP!$D$6:$D$4207,MATCH(C3957,STPP!$C$6:$C$4207,0)),"Not Found"))</f>
        <v/>
      </c>
      <c r="E3957" s="27" t="str" cm="1">
        <f t="array" ref="E3957">IF(C3957="","",IFERROR(INDEX(STPP!$E$6:$E$4207,MATCH(C3957,STPP!$C$6:$C$4207,0)),"Not Found"))</f>
        <v/>
      </c>
      <c r="F3957" s="27" t="str" cm="1">
        <f t="array" ref="F3957">IF(C3957="","",IFERROR(INDEX(STPP!$F$6:$F$4207,MATCH(C3957,STPP!$C$6:$C$4207,0)),"Not Found"))</f>
        <v/>
      </c>
      <c r="G3957" s="25" t="str">
        <f>IF(表1[[#This Row],[No Seri]]="","",表1[[#This Row],[Deskripsi Barang]]+表1[[#This Row],[Kuantitas]]-表1[[#This Row],[Satuan]])</f>
        <v/>
      </c>
      <c r="H3957" s="28"/>
      <c r="I3957" s="25" t="str">
        <f>IF(表1[[#This Row],[Tgl NPBG]]&gt;表1[[#This Row],[Peminta]],表1[[#This Row],[Tgl NPBG]]-表1[[#This Row],[Peminta]],"")</f>
        <v/>
      </c>
      <c r="J3957" s="31"/>
    </row>
    <row r="3958" s="12" customFormat="1" customHeight="1" spans="2:10">
      <c r="B3958" s="25"/>
      <c r="C3958" s="25"/>
      <c r="D3958" s="26" t="str" cm="1">
        <f t="array" ref="D3958">IF(C3958="","",IFERROR(INDEX(STPP!$D$6:$D$4207,MATCH(C3958,STPP!$C$6:$C$4207,0)),"Not Found"))</f>
        <v/>
      </c>
      <c r="E3958" s="27" t="str" cm="1">
        <f t="array" ref="E3958">IF(C3958="","",IFERROR(INDEX(STPP!$E$6:$E$4207,MATCH(C3958,STPP!$C$6:$C$4207,0)),"Not Found"))</f>
        <v/>
      </c>
      <c r="F3958" s="27" t="str" cm="1">
        <f t="array" ref="F3958">IF(C3958="","",IFERROR(INDEX(STPP!$F$6:$F$4207,MATCH(C3958,STPP!$C$6:$C$4207,0)),"Not Found"))</f>
        <v/>
      </c>
      <c r="G3958" s="25" t="str">
        <f>IF(表1[[#This Row],[No Seri]]="","",表1[[#This Row],[Deskripsi Barang]]+表1[[#This Row],[Kuantitas]]-表1[[#This Row],[Satuan]])</f>
        <v/>
      </c>
      <c r="H3958" s="28"/>
      <c r="I3958" s="25" t="str">
        <f>IF(表1[[#This Row],[Tgl NPBG]]&gt;表1[[#This Row],[Peminta]],表1[[#This Row],[Tgl NPBG]]-表1[[#This Row],[Peminta]],"")</f>
        <v/>
      </c>
      <c r="J3958" s="31"/>
    </row>
    <row r="3959" s="12" customFormat="1" customHeight="1" spans="2:10">
      <c r="B3959" s="25"/>
      <c r="C3959" s="25"/>
      <c r="D3959" s="26" t="str" cm="1">
        <f t="array" ref="D3959">IF(C3959="","",IFERROR(INDEX(STPP!$D$6:$D$4207,MATCH(C3959,STPP!$C$6:$C$4207,0)),"Not Found"))</f>
        <v/>
      </c>
      <c r="E3959" s="27" t="str" cm="1">
        <f t="array" ref="E3959">IF(C3959="","",IFERROR(INDEX(STPP!$E$6:$E$4207,MATCH(C3959,STPP!$C$6:$C$4207,0)),"Not Found"))</f>
        <v/>
      </c>
      <c r="F3959" s="27" t="str" cm="1">
        <f t="array" ref="F3959">IF(C3959="","",IFERROR(INDEX(STPP!$F$6:$F$4207,MATCH(C3959,STPP!$C$6:$C$4207,0)),"Not Found"))</f>
        <v/>
      </c>
      <c r="G3959" s="25" t="str">
        <f>IF(表1[[#This Row],[No Seri]]="","",表1[[#This Row],[Deskripsi Barang]]+表1[[#This Row],[Kuantitas]]-表1[[#This Row],[Satuan]])</f>
        <v/>
      </c>
      <c r="H3959" s="28"/>
      <c r="I3959" s="25" t="str">
        <f>IF(表1[[#This Row],[Tgl NPBG]]&gt;表1[[#This Row],[Peminta]],表1[[#This Row],[Tgl NPBG]]-表1[[#This Row],[Peminta]],"")</f>
        <v/>
      </c>
      <c r="J3959" s="31"/>
    </row>
    <row r="3960" s="12" customFormat="1" customHeight="1" spans="2:10">
      <c r="B3960" s="25"/>
      <c r="C3960" s="25"/>
      <c r="D3960" s="26" t="str" cm="1">
        <f t="array" ref="D3960">IF(C3960="","",IFERROR(INDEX(STPP!$D$6:$D$4207,MATCH(C3960,STPP!$C$6:$C$4207,0)),"Not Found"))</f>
        <v/>
      </c>
      <c r="E3960" s="27" t="str" cm="1">
        <f t="array" ref="E3960">IF(C3960="","",IFERROR(INDEX(STPP!$E$6:$E$4207,MATCH(C3960,STPP!$C$6:$C$4207,0)),"Not Found"))</f>
        <v/>
      </c>
      <c r="F3960" s="27" t="str" cm="1">
        <f t="array" ref="F3960">IF(C3960="","",IFERROR(INDEX(STPP!$F$6:$F$4207,MATCH(C3960,STPP!$C$6:$C$4207,0)),"Not Found"))</f>
        <v/>
      </c>
      <c r="G3960" s="25" t="str">
        <f>IF(表1[[#This Row],[No Seri]]="","",表1[[#This Row],[Deskripsi Barang]]+表1[[#This Row],[Kuantitas]]-表1[[#This Row],[Satuan]])</f>
        <v/>
      </c>
      <c r="H3960" s="28"/>
      <c r="I3960" s="25" t="str">
        <f>IF(表1[[#This Row],[Tgl NPBG]]&gt;表1[[#This Row],[Peminta]],表1[[#This Row],[Tgl NPBG]]-表1[[#This Row],[Peminta]],"")</f>
        <v/>
      </c>
      <c r="J3960" s="31"/>
    </row>
    <row r="3961" s="12" customFormat="1" customHeight="1" spans="2:10">
      <c r="B3961" s="25"/>
      <c r="C3961" s="25"/>
      <c r="D3961" s="26" t="str" cm="1">
        <f t="array" ref="D3961">IF(C3961="","",IFERROR(INDEX(STPP!$D$6:$D$4207,MATCH(C3961,STPP!$C$6:$C$4207,0)),"Not Found"))</f>
        <v/>
      </c>
      <c r="E3961" s="27" t="str" cm="1">
        <f t="array" ref="E3961">IF(C3961="","",IFERROR(INDEX(STPP!$E$6:$E$4207,MATCH(C3961,STPP!$C$6:$C$4207,0)),"Not Found"))</f>
        <v/>
      </c>
      <c r="F3961" s="27" t="str" cm="1">
        <f t="array" ref="F3961">IF(C3961="","",IFERROR(INDEX(STPP!$F$6:$F$4207,MATCH(C3961,STPP!$C$6:$C$4207,0)),"Not Found"))</f>
        <v/>
      </c>
      <c r="G3961" s="25" t="str">
        <f>IF(表1[[#This Row],[No Seri]]="","",表1[[#This Row],[Deskripsi Barang]]+表1[[#This Row],[Kuantitas]]-表1[[#This Row],[Satuan]])</f>
        <v/>
      </c>
      <c r="H3961" s="28"/>
      <c r="I3961" s="25" t="str">
        <f>IF(表1[[#This Row],[Tgl NPBG]]&gt;表1[[#This Row],[Peminta]],表1[[#This Row],[Tgl NPBG]]-表1[[#This Row],[Peminta]],"")</f>
        <v/>
      </c>
      <c r="J3961" s="31"/>
    </row>
    <row r="3962" s="12" customFormat="1" customHeight="1" spans="2:10">
      <c r="B3962" s="25"/>
      <c r="C3962" s="25"/>
      <c r="D3962" s="26" t="str" cm="1">
        <f t="array" ref="D3962">IF(C3962="","",IFERROR(INDEX(STPP!$D$6:$D$4207,MATCH(C3962,STPP!$C$6:$C$4207,0)),"Not Found"))</f>
        <v/>
      </c>
      <c r="E3962" s="27" t="str" cm="1">
        <f t="array" ref="E3962">IF(C3962="","",IFERROR(INDEX(STPP!$E$6:$E$4207,MATCH(C3962,STPP!$C$6:$C$4207,0)),"Not Found"))</f>
        <v/>
      </c>
      <c r="F3962" s="27" t="str" cm="1">
        <f t="array" ref="F3962">IF(C3962="","",IFERROR(INDEX(STPP!$F$6:$F$4207,MATCH(C3962,STPP!$C$6:$C$4207,0)),"Not Found"))</f>
        <v/>
      </c>
      <c r="G3962" s="25" t="str">
        <f>IF(表1[[#This Row],[No Seri]]="","",表1[[#This Row],[Deskripsi Barang]]+表1[[#This Row],[Kuantitas]]-表1[[#This Row],[Satuan]])</f>
        <v/>
      </c>
      <c r="H3962" s="28"/>
      <c r="I3962" s="25" t="str">
        <f>IF(表1[[#This Row],[Tgl NPBG]]&gt;表1[[#This Row],[Peminta]],表1[[#This Row],[Tgl NPBG]]-表1[[#This Row],[Peminta]],"")</f>
        <v/>
      </c>
      <c r="J3962" s="31"/>
    </row>
    <row r="3963" s="12" customFormat="1" customHeight="1" spans="2:10">
      <c r="B3963" s="25"/>
      <c r="C3963" s="25"/>
      <c r="D3963" s="26" t="str" cm="1">
        <f t="array" ref="D3963">IF(C3963="","",IFERROR(INDEX(STPP!$D$6:$D$4207,MATCH(C3963,STPP!$C$6:$C$4207,0)),"Not Found"))</f>
        <v/>
      </c>
      <c r="E3963" s="27" t="str" cm="1">
        <f t="array" ref="E3963">IF(C3963="","",IFERROR(INDEX(STPP!$E$6:$E$4207,MATCH(C3963,STPP!$C$6:$C$4207,0)),"Not Found"))</f>
        <v/>
      </c>
      <c r="F3963" s="27" t="str" cm="1">
        <f t="array" ref="F3963">IF(C3963="","",IFERROR(INDEX(STPP!$F$6:$F$4207,MATCH(C3963,STPP!$C$6:$C$4207,0)),"Not Found"))</f>
        <v/>
      </c>
      <c r="G3963" s="25" t="str">
        <f>IF(表1[[#This Row],[No Seri]]="","",表1[[#This Row],[Deskripsi Barang]]+表1[[#This Row],[Kuantitas]]-表1[[#This Row],[Satuan]])</f>
        <v/>
      </c>
      <c r="H3963" s="28"/>
      <c r="I3963" s="25" t="str">
        <f>IF(表1[[#This Row],[Tgl NPBG]]&gt;表1[[#This Row],[Peminta]],表1[[#This Row],[Tgl NPBG]]-表1[[#This Row],[Peminta]],"")</f>
        <v/>
      </c>
      <c r="J3963" s="31"/>
    </row>
    <row r="3964" s="12" customFormat="1" customHeight="1" spans="2:10">
      <c r="B3964" s="25"/>
      <c r="C3964" s="25"/>
      <c r="D3964" s="26" t="str" cm="1">
        <f t="array" ref="D3964">IF(C3964="","",IFERROR(INDEX(STPP!$D$6:$D$4207,MATCH(C3964,STPP!$C$6:$C$4207,0)),"Not Found"))</f>
        <v/>
      </c>
      <c r="E3964" s="27" t="str" cm="1">
        <f t="array" ref="E3964">IF(C3964="","",IFERROR(INDEX(STPP!$E$6:$E$4207,MATCH(C3964,STPP!$C$6:$C$4207,0)),"Not Found"))</f>
        <v/>
      </c>
      <c r="F3964" s="27" t="str" cm="1">
        <f t="array" ref="F3964">IF(C3964="","",IFERROR(INDEX(STPP!$F$6:$F$4207,MATCH(C3964,STPP!$C$6:$C$4207,0)),"Not Found"))</f>
        <v/>
      </c>
      <c r="G3964" s="25" t="str">
        <f>IF(表1[[#This Row],[No Seri]]="","",表1[[#This Row],[Deskripsi Barang]]+表1[[#This Row],[Kuantitas]]-表1[[#This Row],[Satuan]])</f>
        <v/>
      </c>
      <c r="H3964" s="28"/>
      <c r="I3964" s="25" t="str">
        <f>IF(表1[[#This Row],[Tgl NPBG]]&gt;表1[[#This Row],[Peminta]],表1[[#This Row],[Tgl NPBG]]-表1[[#This Row],[Peminta]],"")</f>
        <v/>
      </c>
      <c r="J3964" s="31"/>
    </row>
    <row r="3965" s="12" customFormat="1" customHeight="1" spans="2:10">
      <c r="B3965" s="25"/>
      <c r="C3965" s="25"/>
      <c r="D3965" s="26" t="str" cm="1">
        <f t="array" ref="D3965">IF(C3965="","",IFERROR(INDEX(STPP!$D$6:$D$4207,MATCH(C3965,STPP!$C$6:$C$4207,0)),"Not Found"))</f>
        <v/>
      </c>
      <c r="E3965" s="27" t="str" cm="1">
        <f t="array" ref="E3965">IF(C3965="","",IFERROR(INDEX(STPP!$E$6:$E$4207,MATCH(C3965,STPP!$C$6:$C$4207,0)),"Not Found"))</f>
        <v/>
      </c>
      <c r="F3965" s="27" t="str" cm="1">
        <f t="array" ref="F3965">IF(C3965="","",IFERROR(INDEX(STPP!$F$6:$F$4207,MATCH(C3965,STPP!$C$6:$C$4207,0)),"Not Found"))</f>
        <v/>
      </c>
      <c r="G3965" s="25" t="str">
        <f>IF(表1[[#This Row],[No Seri]]="","",表1[[#This Row],[Deskripsi Barang]]+表1[[#This Row],[Kuantitas]]-表1[[#This Row],[Satuan]])</f>
        <v/>
      </c>
      <c r="H3965" s="28"/>
      <c r="I3965" s="25" t="str">
        <f>IF(表1[[#This Row],[Tgl NPBG]]&gt;表1[[#This Row],[Peminta]],表1[[#This Row],[Tgl NPBG]]-表1[[#This Row],[Peminta]],"")</f>
        <v/>
      </c>
      <c r="J3965" s="31"/>
    </row>
    <row r="3966" s="12" customFormat="1" customHeight="1" spans="2:10">
      <c r="B3966" s="25"/>
      <c r="C3966" s="25"/>
      <c r="D3966" s="26" t="str" cm="1">
        <f t="array" ref="D3966">IF(C3966="","",IFERROR(INDEX(STPP!$D$6:$D$4207,MATCH(C3966,STPP!$C$6:$C$4207,0)),"Not Found"))</f>
        <v/>
      </c>
      <c r="E3966" s="27" t="str" cm="1">
        <f t="array" ref="E3966">IF(C3966="","",IFERROR(INDEX(STPP!$E$6:$E$4207,MATCH(C3966,STPP!$C$6:$C$4207,0)),"Not Found"))</f>
        <v/>
      </c>
      <c r="F3966" s="27" t="str" cm="1">
        <f t="array" ref="F3966">IF(C3966="","",IFERROR(INDEX(STPP!$F$6:$F$4207,MATCH(C3966,STPP!$C$6:$C$4207,0)),"Not Found"))</f>
        <v/>
      </c>
      <c r="G3966" s="25" t="str">
        <f>IF(表1[[#This Row],[No Seri]]="","",表1[[#This Row],[Deskripsi Barang]]+表1[[#This Row],[Kuantitas]]-表1[[#This Row],[Satuan]])</f>
        <v/>
      </c>
      <c r="H3966" s="28"/>
      <c r="I3966" s="25" t="str">
        <f>IF(表1[[#This Row],[Tgl NPBG]]&gt;表1[[#This Row],[Peminta]],表1[[#This Row],[Tgl NPBG]]-表1[[#This Row],[Peminta]],"")</f>
        <v/>
      </c>
      <c r="J3966" s="31"/>
    </row>
    <row r="3967" s="12" customFormat="1" customHeight="1" spans="2:10">
      <c r="B3967" s="25"/>
      <c r="C3967" s="25"/>
      <c r="D3967" s="26" t="str" cm="1">
        <f t="array" ref="D3967">IF(C3967="","",IFERROR(INDEX(STPP!$D$6:$D$4207,MATCH(C3967,STPP!$C$6:$C$4207,0)),"Not Found"))</f>
        <v/>
      </c>
      <c r="E3967" s="27" t="str" cm="1">
        <f t="array" ref="E3967">IF(C3967="","",IFERROR(INDEX(STPP!$E$6:$E$4207,MATCH(C3967,STPP!$C$6:$C$4207,0)),"Not Found"))</f>
        <v/>
      </c>
      <c r="F3967" s="27" t="str" cm="1">
        <f t="array" ref="F3967">IF(C3967="","",IFERROR(INDEX(STPP!$F$6:$F$4207,MATCH(C3967,STPP!$C$6:$C$4207,0)),"Not Found"))</f>
        <v/>
      </c>
      <c r="G3967" s="25" t="str">
        <f>IF(表1[[#This Row],[No Seri]]="","",表1[[#This Row],[Deskripsi Barang]]+表1[[#This Row],[Kuantitas]]-表1[[#This Row],[Satuan]])</f>
        <v/>
      </c>
      <c r="H3967" s="28"/>
      <c r="I3967" s="25" t="str">
        <f>IF(表1[[#This Row],[Tgl NPBG]]&gt;表1[[#This Row],[Peminta]],表1[[#This Row],[Tgl NPBG]]-表1[[#This Row],[Peminta]],"")</f>
        <v/>
      </c>
      <c r="J3967" s="31"/>
    </row>
    <row r="3968" s="12" customFormat="1" customHeight="1" spans="2:10">
      <c r="B3968" s="25"/>
      <c r="C3968" s="25"/>
      <c r="D3968" s="26" t="str" cm="1">
        <f t="array" ref="D3968">IF(C3968="","",IFERROR(INDEX(STPP!$D$6:$D$4207,MATCH(C3968,STPP!$C$6:$C$4207,0)),"Not Found"))</f>
        <v/>
      </c>
      <c r="E3968" s="27" t="str" cm="1">
        <f t="array" ref="E3968">IF(C3968="","",IFERROR(INDEX(STPP!$E$6:$E$4207,MATCH(C3968,STPP!$C$6:$C$4207,0)),"Not Found"))</f>
        <v/>
      </c>
      <c r="F3968" s="27" t="str" cm="1">
        <f t="array" ref="F3968">IF(C3968="","",IFERROR(INDEX(STPP!$F$6:$F$4207,MATCH(C3968,STPP!$C$6:$C$4207,0)),"Not Found"))</f>
        <v/>
      </c>
      <c r="G3968" s="25" t="str">
        <f>IF(表1[[#This Row],[No Seri]]="","",表1[[#This Row],[Deskripsi Barang]]+表1[[#This Row],[Kuantitas]]-表1[[#This Row],[Satuan]])</f>
        <v/>
      </c>
      <c r="H3968" s="28"/>
      <c r="I3968" s="25" t="str">
        <f>IF(表1[[#This Row],[Tgl NPBG]]&gt;表1[[#This Row],[Peminta]],表1[[#This Row],[Tgl NPBG]]-表1[[#This Row],[Peminta]],"")</f>
        <v/>
      </c>
      <c r="J3968" s="31"/>
    </row>
    <row r="3969" s="12" customFormat="1" customHeight="1" spans="2:10">
      <c r="B3969" s="25"/>
      <c r="C3969" s="25"/>
      <c r="D3969" s="26" t="str" cm="1">
        <f t="array" ref="D3969">IF(C3969="","",IFERROR(INDEX(STPP!$D$6:$D$4207,MATCH(C3969,STPP!$C$6:$C$4207,0)),"Not Found"))</f>
        <v/>
      </c>
      <c r="E3969" s="27" t="str" cm="1">
        <f t="array" ref="E3969">IF(C3969="","",IFERROR(INDEX(STPP!$E$6:$E$4207,MATCH(C3969,STPP!$C$6:$C$4207,0)),"Not Found"))</f>
        <v/>
      </c>
      <c r="F3969" s="27" t="str" cm="1">
        <f t="array" ref="F3969">IF(C3969="","",IFERROR(INDEX(STPP!$F$6:$F$4207,MATCH(C3969,STPP!$C$6:$C$4207,0)),"Not Found"))</f>
        <v/>
      </c>
      <c r="G3969" s="25" t="str">
        <f>IF(表1[[#This Row],[No Seri]]="","",表1[[#This Row],[Deskripsi Barang]]+表1[[#This Row],[Kuantitas]]-表1[[#This Row],[Satuan]])</f>
        <v/>
      </c>
      <c r="H3969" s="28"/>
      <c r="I3969" s="25" t="str">
        <f>IF(表1[[#This Row],[Tgl NPBG]]&gt;表1[[#This Row],[Peminta]],表1[[#This Row],[Tgl NPBG]]-表1[[#This Row],[Peminta]],"")</f>
        <v/>
      </c>
      <c r="J3969" s="31"/>
    </row>
    <row r="3970" s="12" customFormat="1" customHeight="1" spans="2:10">
      <c r="B3970" s="25"/>
      <c r="C3970" s="25"/>
      <c r="D3970" s="26" t="str" cm="1">
        <f t="array" ref="D3970">IF(C3970="","",IFERROR(INDEX(STPP!$D$6:$D$4207,MATCH(C3970,STPP!$C$6:$C$4207,0)),"Not Found"))</f>
        <v/>
      </c>
      <c r="E3970" s="27" t="str" cm="1">
        <f t="array" ref="E3970">IF(C3970="","",IFERROR(INDEX(STPP!$E$6:$E$4207,MATCH(C3970,STPP!$C$6:$C$4207,0)),"Not Found"))</f>
        <v/>
      </c>
      <c r="F3970" s="27" t="str" cm="1">
        <f t="array" ref="F3970">IF(C3970="","",IFERROR(INDEX(STPP!$F$6:$F$4207,MATCH(C3970,STPP!$C$6:$C$4207,0)),"Not Found"))</f>
        <v/>
      </c>
      <c r="G3970" s="25" t="str">
        <f>IF(表1[[#This Row],[No Seri]]="","",表1[[#This Row],[Deskripsi Barang]]+表1[[#This Row],[Kuantitas]]-表1[[#This Row],[Satuan]])</f>
        <v/>
      </c>
      <c r="H3970" s="28"/>
      <c r="I3970" s="25" t="str">
        <f>IF(表1[[#This Row],[Tgl NPBG]]&gt;表1[[#This Row],[Peminta]],表1[[#This Row],[Tgl NPBG]]-表1[[#This Row],[Peminta]],"")</f>
        <v/>
      </c>
      <c r="J3970" s="31"/>
    </row>
    <row r="3971" s="12" customFormat="1" customHeight="1" spans="2:10">
      <c r="B3971" s="25"/>
      <c r="C3971" s="25"/>
      <c r="D3971" s="26" t="str" cm="1">
        <f t="array" ref="D3971">IF(C3971="","",IFERROR(INDEX(STPP!$D$6:$D$4207,MATCH(C3971,STPP!$C$6:$C$4207,0)),"Not Found"))</f>
        <v/>
      </c>
      <c r="E3971" s="27" t="str" cm="1">
        <f t="array" ref="E3971">IF(C3971="","",IFERROR(INDEX(STPP!$E$6:$E$4207,MATCH(C3971,STPP!$C$6:$C$4207,0)),"Not Found"))</f>
        <v/>
      </c>
      <c r="F3971" s="27" t="str" cm="1">
        <f t="array" ref="F3971">IF(C3971="","",IFERROR(INDEX(STPP!$F$6:$F$4207,MATCH(C3971,STPP!$C$6:$C$4207,0)),"Not Found"))</f>
        <v/>
      </c>
      <c r="G3971" s="25" t="str">
        <f>IF(表1[[#This Row],[No Seri]]="","",表1[[#This Row],[Deskripsi Barang]]+表1[[#This Row],[Kuantitas]]-表1[[#This Row],[Satuan]])</f>
        <v/>
      </c>
      <c r="H3971" s="28"/>
      <c r="I3971" s="25" t="str">
        <f>IF(表1[[#This Row],[Tgl NPBG]]&gt;表1[[#This Row],[Peminta]],表1[[#This Row],[Tgl NPBG]]-表1[[#This Row],[Peminta]],"")</f>
        <v/>
      </c>
      <c r="J3971" s="31"/>
    </row>
    <row r="3972" s="12" customFormat="1" customHeight="1" spans="2:10">
      <c r="B3972" s="25"/>
      <c r="C3972" s="25"/>
      <c r="D3972" s="26" t="str" cm="1">
        <f t="array" ref="D3972">IF(C3972="","",IFERROR(INDEX(STPP!$D$6:$D$4207,MATCH(C3972,STPP!$C$6:$C$4207,0)),"Not Found"))</f>
        <v/>
      </c>
      <c r="E3972" s="27" t="str" cm="1">
        <f t="array" ref="E3972">IF(C3972="","",IFERROR(INDEX(STPP!$E$6:$E$4207,MATCH(C3972,STPP!$C$6:$C$4207,0)),"Not Found"))</f>
        <v/>
      </c>
      <c r="F3972" s="27" t="str" cm="1">
        <f t="array" ref="F3972">IF(C3972="","",IFERROR(INDEX(STPP!$F$6:$F$4207,MATCH(C3972,STPP!$C$6:$C$4207,0)),"Not Found"))</f>
        <v/>
      </c>
      <c r="G3972" s="25" t="str">
        <f>IF(表1[[#This Row],[No Seri]]="","",表1[[#This Row],[Deskripsi Barang]]+表1[[#This Row],[Kuantitas]]-表1[[#This Row],[Satuan]])</f>
        <v/>
      </c>
      <c r="H3972" s="28"/>
      <c r="I3972" s="25" t="str">
        <f>IF(表1[[#This Row],[Tgl NPBG]]&gt;表1[[#This Row],[Peminta]],表1[[#This Row],[Tgl NPBG]]-表1[[#This Row],[Peminta]],"")</f>
        <v/>
      </c>
      <c r="J3972" s="31"/>
    </row>
    <row r="3973" s="12" customFormat="1" customHeight="1" spans="2:10">
      <c r="B3973" s="25"/>
      <c r="C3973" s="25"/>
      <c r="D3973" s="26" t="str" cm="1">
        <f t="array" ref="D3973">IF(C3973="","",IFERROR(INDEX(STPP!$D$6:$D$4207,MATCH(C3973,STPP!$C$6:$C$4207,0)),"Not Found"))</f>
        <v/>
      </c>
      <c r="E3973" s="27" t="str" cm="1">
        <f t="array" ref="E3973">IF(C3973="","",IFERROR(INDEX(STPP!$E$6:$E$4207,MATCH(C3973,STPP!$C$6:$C$4207,0)),"Not Found"))</f>
        <v/>
      </c>
      <c r="F3973" s="27" t="str" cm="1">
        <f t="array" ref="F3973">IF(C3973="","",IFERROR(INDEX(STPP!$F$6:$F$4207,MATCH(C3973,STPP!$C$6:$C$4207,0)),"Not Found"))</f>
        <v/>
      </c>
      <c r="G3973" s="25" t="str">
        <f>IF(表1[[#This Row],[No Seri]]="","",表1[[#This Row],[Deskripsi Barang]]+表1[[#This Row],[Kuantitas]]-表1[[#This Row],[Satuan]])</f>
        <v/>
      </c>
      <c r="H3973" s="28"/>
      <c r="I3973" s="25" t="str">
        <f>IF(表1[[#This Row],[Tgl NPBG]]&gt;表1[[#This Row],[Peminta]],表1[[#This Row],[Tgl NPBG]]-表1[[#This Row],[Peminta]],"")</f>
        <v/>
      </c>
      <c r="J3973" s="31"/>
    </row>
    <row r="3974" s="12" customFormat="1" customHeight="1" spans="2:10">
      <c r="B3974" s="25"/>
      <c r="C3974" s="25"/>
      <c r="D3974" s="26" t="str" cm="1">
        <f t="array" ref="D3974">IF(C3974="","",IFERROR(INDEX(STPP!$D$6:$D$4207,MATCH(C3974,STPP!$C$6:$C$4207,0)),"Not Found"))</f>
        <v/>
      </c>
      <c r="E3974" s="27" t="str" cm="1">
        <f t="array" ref="E3974">IF(C3974="","",IFERROR(INDEX(STPP!$E$6:$E$4207,MATCH(C3974,STPP!$C$6:$C$4207,0)),"Not Found"))</f>
        <v/>
      </c>
      <c r="F3974" s="27" t="str" cm="1">
        <f t="array" ref="F3974">IF(C3974="","",IFERROR(INDEX(STPP!$F$6:$F$4207,MATCH(C3974,STPP!$C$6:$C$4207,0)),"Not Found"))</f>
        <v/>
      </c>
      <c r="G3974" s="25" t="str">
        <f>IF(表1[[#This Row],[No Seri]]="","",表1[[#This Row],[Deskripsi Barang]]+表1[[#This Row],[Kuantitas]]-表1[[#This Row],[Satuan]])</f>
        <v/>
      </c>
      <c r="H3974" s="28"/>
      <c r="I3974" s="25" t="str">
        <f>IF(表1[[#This Row],[Tgl NPBG]]&gt;表1[[#This Row],[Peminta]],表1[[#This Row],[Tgl NPBG]]-表1[[#This Row],[Peminta]],"")</f>
        <v/>
      </c>
      <c r="J3974" s="31"/>
    </row>
    <row r="3975" s="12" customFormat="1" customHeight="1" spans="2:10">
      <c r="B3975" s="25"/>
      <c r="C3975" s="25"/>
      <c r="D3975" s="26" t="str" cm="1">
        <f t="array" ref="D3975">IF(C3975="","",IFERROR(INDEX(STPP!$D$6:$D$4207,MATCH(C3975,STPP!$C$6:$C$4207,0)),"Not Found"))</f>
        <v/>
      </c>
      <c r="E3975" s="27" t="str" cm="1">
        <f t="array" ref="E3975">IF(C3975="","",IFERROR(INDEX(STPP!$E$6:$E$4207,MATCH(C3975,STPP!$C$6:$C$4207,0)),"Not Found"))</f>
        <v/>
      </c>
      <c r="F3975" s="27" t="str" cm="1">
        <f t="array" ref="F3975">IF(C3975="","",IFERROR(INDEX(STPP!$F$6:$F$4207,MATCH(C3975,STPP!$C$6:$C$4207,0)),"Not Found"))</f>
        <v/>
      </c>
      <c r="G3975" s="25" t="str">
        <f>IF(表1[[#This Row],[No Seri]]="","",表1[[#This Row],[Deskripsi Barang]]+表1[[#This Row],[Kuantitas]]-表1[[#This Row],[Satuan]])</f>
        <v/>
      </c>
      <c r="H3975" s="28"/>
      <c r="I3975" s="25" t="str">
        <f>IF(表1[[#This Row],[Tgl NPBG]]&gt;表1[[#This Row],[Peminta]],表1[[#This Row],[Tgl NPBG]]-表1[[#This Row],[Peminta]],"")</f>
        <v/>
      </c>
      <c r="J3975" s="31"/>
    </row>
    <row r="3976" s="12" customFormat="1" customHeight="1" spans="2:10">
      <c r="B3976" s="25"/>
      <c r="C3976" s="25"/>
      <c r="D3976" s="26" t="str" cm="1">
        <f t="array" ref="D3976">IF(C3976="","",IFERROR(INDEX(STPP!$D$6:$D$4207,MATCH(C3976,STPP!$C$6:$C$4207,0)),"Not Found"))</f>
        <v/>
      </c>
      <c r="E3976" s="27" t="str" cm="1">
        <f t="array" ref="E3976">IF(C3976="","",IFERROR(INDEX(STPP!$E$6:$E$4207,MATCH(C3976,STPP!$C$6:$C$4207,0)),"Not Found"))</f>
        <v/>
      </c>
      <c r="F3976" s="27" t="str" cm="1">
        <f t="array" ref="F3976">IF(C3976="","",IFERROR(INDEX(STPP!$F$6:$F$4207,MATCH(C3976,STPP!$C$6:$C$4207,0)),"Not Found"))</f>
        <v/>
      </c>
      <c r="G3976" s="25" t="str">
        <f>IF(表1[[#This Row],[No Seri]]="","",表1[[#This Row],[Deskripsi Barang]]+表1[[#This Row],[Kuantitas]]-表1[[#This Row],[Satuan]])</f>
        <v/>
      </c>
      <c r="H3976" s="28"/>
      <c r="I3976" s="25" t="str">
        <f>IF(表1[[#This Row],[Tgl NPBG]]&gt;表1[[#This Row],[Peminta]],表1[[#This Row],[Tgl NPBG]]-表1[[#This Row],[Peminta]],"")</f>
        <v/>
      </c>
      <c r="J3976" s="31"/>
    </row>
    <row r="3977" s="12" customFormat="1" customHeight="1" spans="2:10">
      <c r="B3977" s="25"/>
      <c r="C3977" s="25"/>
      <c r="D3977" s="26" t="str" cm="1">
        <f t="array" ref="D3977">IF(C3977="","",IFERROR(INDEX(STPP!$D$6:$D$4207,MATCH(C3977,STPP!$C$6:$C$4207,0)),"Not Found"))</f>
        <v/>
      </c>
      <c r="E3977" s="27" t="str" cm="1">
        <f t="array" ref="E3977">IF(C3977="","",IFERROR(INDEX(STPP!$E$6:$E$4207,MATCH(C3977,STPP!$C$6:$C$4207,0)),"Not Found"))</f>
        <v/>
      </c>
      <c r="F3977" s="27" t="str" cm="1">
        <f t="array" ref="F3977">IF(C3977="","",IFERROR(INDEX(STPP!$F$6:$F$4207,MATCH(C3977,STPP!$C$6:$C$4207,0)),"Not Found"))</f>
        <v/>
      </c>
      <c r="G3977" s="25" t="str">
        <f>IF(表1[[#This Row],[No Seri]]="","",表1[[#This Row],[Deskripsi Barang]]+表1[[#This Row],[Kuantitas]]-表1[[#This Row],[Satuan]])</f>
        <v/>
      </c>
      <c r="H3977" s="28"/>
      <c r="I3977" s="25" t="str">
        <f>IF(表1[[#This Row],[Tgl NPBG]]&gt;表1[[#This Row],[Peminta]],表1[[#This Row],[Tgl NPBG]]-表1[[#This Row],[Peminta]],"")</f>
        <v/>
      </c>
      <c r="J3977" s="31"/>
    </row>
    <row r="3978" s="12" customFormat="1" customHeight="1" spans="2:10">
      <c r="B3978" s="25"/>
      <c r="C3978" s="25"/>
      <c r="D3978" s="26" t="str" cm="1">
        <f t="array" ref="D3978">IF(C3978="","",IFERROR(INDEX(STPP!$D$6:$D$4207,MATCH(C3978,STPP!$C$6:$C$4207,0)),"Not Found"))</f>
        <v/>
      </c>
      <c r="E3978" s="27" t="str" cm="1">
        <f t="array" ref="E3978">IF(C3978="","",IFERROR(INDEX(STPP!$E$6:$E$4207,MATCH(C3978,STPP!$C$6:$C$4207,0)),"Not Found"))</f>
        <v/>
      </c>
      <c r="F3978" s="27" t="str" cm="1">
        <f t="array" ref="F3978">IF(C3978="","",IFERROR(INDEX(STPP!$F$6:$F$4207,MATCH(C3978,STPP!$C$6:$C$4207,0)),"Not Found"))</f>
        <v/>
      </c>
      <c r="G3978" s="25" t="str">
        <f>IF(表1[[#This Row],[No Seri]]="","",表1[[#This Row],[Deskripsi Barang]]+表1[[#This Row],[Kuantitas]]-表1[[#This Row],[Satuan]])</f>
        <v/>
      </c>
      <c r="H3978" s="28"/>
      <c r="I3978" s="25" t="str">
        <f>IF(表1[[#This Row],[Tgl NPBG]]&gt;表1[[#This Row],[Peminta]],表1[[#This Row],[Tgl NPBG]]-表1[[#This Row],[Peminta]],"")</f>
        <v/>
      </c>
      <c r="J3978" s="31"/>
    </row>
    <row r="3979" s="12" customFormat="1" customHeight="1" spans="2:10">
      <c r="B3979" s="25"/>
      <c r="C3979" s="25"/>
      <c r="D3979" s="26" t="str" cm="1">
        <f t="array" ref="D3979">IF(C3979="","",IFERROR(INDEX(STPP!$D$6:$D$4207,MATCH(C3979,STPP!$C$6:$C$4207,0)),"Not Found"))</f>
        <v/>
      </c>
      <c r="E3979" s="27" t="str" cm="1">
        <f t="array" ref="E3979">IF(C3979="","",IFERROR(INDEX(STPP!$E$6:$E$4207,MATCH(C3979,STPP!$C$6:$C$4207,0)),"Not Found"))</f>
        <v/>
      </c>
      <c r="F3979" s="27" t="str" cm="1">
        <f t="array" ref="F3979">IF(C3979="","",IFERROR(INDEX(STPP!$F$6:$F$4207,MATCH(C3979,STPP!$C$6:$C$4207,0)),"Not Found"))</f>
        <v/>
      </c>
      <c r="G3979" s="25" t="str">
        <f>IF(表1[[#This Row],[No Seri]]="","",表1[[#This Row],[Deskripsi Barang]]+表1[[#This Row],[Kuantitas]]-表1[[#This Row],[Satuan]])</f>
        <v/>
      </c>
      <c r="H3979" s="28"/>
      <c r="I3979" s="25" t="str">
        <f>IF(表1[[#This Row],[Tgl NPBG]]&gt;表1[[#This Row],[Peminta]],表1[[#This Row],[Tgl NPBG]]-表1[[#This Row],[Peminta]],"")</f>
        <v/>
      </c>
      <c r="J3979" s="31"/>
    </row>
    <row r="3980" s="12" customFormat="1" customHeight="1" spans="2:10">
      <c r="B3980" s="25"/>
      <c r="C3980" s="25"/>
      <c r="D3980" s="26" t="str" cm="1">
        <f t="array" ref="D3980">IF(C3980="","",IFERROR(INDEX(STPP!$D$6:$D$4207,MATCH(C3980,STPP!$C$6:$C$4207,0)),"Not Found"))</f>
        <v/>
      </c>
      <c r="E3980" s="27" t="str" cm="1">
        <f t="array" ref="E3980">IF(C3980="","",IFERROR(INDEX(STPP!$E$6:$E$4207,MATCH(C3980,STPP!$C$6:$C$4207,0)),"Not Found"))</f>
        <v/>
      </c>
      <c r="F3980" s="27" t="str" cm="1">
        <f t="array" ref="F3980">IF(C3980="","",IFERROR(INDEX(STPP!$F$6:$F$4207,MATCH(C3980,STPP!$C$6:$C$4207,0)),"Not Found"))</f>
        <v/>
      </c>
      <c r="G3980" s="25" t="str">
        <f>IF(表1[[#This Row],[No Seri]]="","",表1[[#This Row],[Deskripsi Barang]]+表1[[#This Row],[Kuantitas]]-表1[[#This Row],[Satuan]])</f>
        <v/>
      </c>
      <c r="H3980" s="28"/>
      <c r="I3980" s="25" t="str">
        <f>IF(表1[[#This Row],[Tgl NPBG]]&gt;表1[[#This Row],[Peminta]],表1[[#This Row],[Tgl NPBG]]-表1[[#This Row],[Peminta]],"")</f>
        <v/>
      </c>
      <c r="J3980" s="31"/>
    </row>
    <row r="3981" s="12" customFormat="1" customHeight="1" spans="2:10">
      <c r="B3981" s="25"/>
      <c r="C3981" s="25"/>
      <c r="D3981" s="26" t="str" cm="1">
        <f t="array" ref="D3981">IF(C3981="","",IFERROR(INDEX(STPP!$D$6:$D$4207,MATCH(C3981,STPP!$C$6:$C$4207,0)),"Not Found"))</f>
        <v/>
      </c>
      <c r="E3981" s="27" t="str" cm="1">
        <f t="array" ref="E3981">IF(C3981="","",IFERROR(INDEX(STPP!$E$6:$E$4207,MATCH(C3981,STPP!$C$6:$C$4207,0)),"Not Found"))</f>
        <v/>
      </c>
      <c r="F3981" s="27" t="str" cm="1">
        <f t="array" ref="F3981">IF(C3981="","",IFERROR(INDEX(STPP!$F$6:$F$4207,MATCH(C3981,STPP!$C$6:$C$4207,0)),"Not Found"))</f>
        <v/>
      </c>
      <c r="G3981" s="25" t="str">
        <f>IF(表1[[#This Row],[No Seri]]="","",表1[[#This Row],[Deskripsi Barang]]+表1[[#This Row],[Kuantitas]]-表1[[#This Row],[Satuan]])</f>
        <v/>
      </c>
      <c r="H3981" s="28"/>
      <c r="I3981" s="25" t="str">
        <f>IF(表1[[#This Row],[Tgl NPBG]]&gt;表1[[#This Row],[Peminta]],表1[[#This Row],[Tgl NPBG]]-表1[[#This Row],[Peminta]],"")</f>
        <v/>
      </c>
      <c r="J3981" s="31"/>
    </row>
    <row r="3982" s="12" customFormat="1" customHeight="1" spans="2:10">
      <c r="B3982" s="25"/>
      <c r="C3982" s="25"/>
      <c r="D3982" s="26" t="str" cm="1">
        <f t="array" ref="D3982">IF(C3982="","",IFERROR(INDEX(STPP!$D$6:$D$4207,MATCH(C3982,STPP!$C$6:$C$4207,0)),"Not Found"))</f>
        <v/>
      </c>
      <c r="E3982" s="27" t="str" cm="1">
        <f t="array" ref="E3982">IF(C3982="","",IFERROR(INDEX(STPP!$E$6:$E$4207,MATCH(C3982,STPP!$C$6:$C$4207,0)),"Not Found"))</f>
        <v/>
      </c>
      <c r="F3982" s="27" t="str" cm="1">
        <f t="array" ref="F3982">IF(C3982="","",IFERROR(INDEX(STPP!$F$6:$F$4207,MATCH(C3982,STPP!$C$6:$C$4207,0)),"Not Found"))</f>
        <v/>
      </c>
      <c r="G3982" s="25" t="str">
        <f>IF(表1[[#This Row],[No Seri]]="","",表1[[#This Row],[Deskripsi Barang]]+表1[[#This Row],[Kuantitas]]-表1[[#This Row],[Satuan]])</f>
        <v/>
      </c>
      <c r="H3982" s="28"/>
      <c r="I3982" s="25" t="str">
        <f>IF(表1[[#This Row],[Tgl NPBG]]&gt;表1[[#This Row],[Peminta]],表1[[#This Row],[Tgl NPBG]]-表1[[#This Row],[Peminta]],"")</f>
        <v/>
      </c>
      <c r="J3982" s="31"/>
    </row>
    <row r="3983" s="12" customFormat="1" customHeight="1" spans="2:10">
      <c r="B3983" s="25"/>
      <c r="C3983" s="25"/>
      <c r="D3983" s="26" t="str" cm="1">
        <f t="array" ref="D3983">IF(C3983="","",IFERROR(INDEX(STPP!$D$6:$D$4207,MATCH(C3983,STPP!$C$6:$C$4207,0)),"Not Found"))</f>
        <v/>
      </c>
      <c r="E3983" s="27" t="str" cm="1">
        <f t="array" ref="E3983">IF(C3983="","",IFERROR(INDEX(STPP!$E$6:$E$4207,MATCH(C3983,STPP!$C$6:$C$4207,0)),"Not Found"))</f>
        <v/>
      </c>
      <c r="F3983" s="27" t="str" cm="1">
        <f t="array" ref="F3983">IF(C3983="","",IFERROR(INDEX(STPP!$F$6:$F$4207,MATCH(C3983,STPP!$C$6:$C$4207,0)),"Not Found"))</f>
        <v/>
      </c>
      <c r="G3983" s="25" t="str">
        <f>IF(表1[[#This Row],[No Seri]]="","",表1[[#This Row],[Deskripsi Barang]]+表1[[#This Row],[Kuantitas]]-表1[[#This Row],[Satuan]])</f>
        <v/>
      </c>
      <c r="H3983" s="28"/>
      <c r="I3983" s="25" t="str">
        <f>IF(表1[[#This Row],[Tgl NPBG]]&gt;表1[[#This Row],[Peminta]],表1[[#This Row],[Tgl NPBG]]-表1[[#This Row],[Peminta]],"")</f>
        <v/>
      </c>
      <c r="J3983" s="31"/>
    </row>
    <row r="3984" s="12" customFormat="1" customHeight="1" spans="2:10">
      <c r="B3984" s="25"/>
      <c r="C3984" s="25"/>
      <c r="D3984" s="26" t="str" cm="1">
        <f t="array" ref="D3984">IF(C3984="","",IFERROR(INDEX(STPP!$D$6:$D$4207,MATCH(C3984,STPP!$C$6:$C$4207,0)),"Not Found"))</f>
        <v/>
      </c>
      <c r="E3984" s="27" t="str" cm="1">
        <f t="array" ref="E3984">IF(C3984="","",IFERROR(INDEX(STPP!$E$6:$E$4207,MATCH(C3984,STPP!$C$6:$C$4207,0)),"Not Found"))</f>
        <v/>
      </c>
      <c r="F3984" s="27" t="str" cm="1">
        <f t="array" ref="F3984">IF(C3984="","",IFERROR(INDEX(STPP!$F$6:$F$4207,MATCH(C3984,STPP!$C$6:$C$4207,0)),"Not Found"))</f>
        <v/>
      </c>
      <c r="G3984" s="25" t="str">
        <f>IF(表1[[#This Row],[No Seri]]="","",表1[[#This Row],[Deskripsi Barang]]+表1[[#This Row],[Kuantitas]]-表1[[#This Row],[Satuan]])</f>
        <v/>
      </c>
      <c r="H3984" s="28"/>
      <c r="I3984" s="25" t="str">
        <f>IF(表1[[#This Row],[Tgl NPBG]]&gt;表1[[#This Row],[Peminta]],表1[[#This Row],[Tgl NPBG]]-表1[[#This Row],[Peminta]],"")</f>
        <v/>
      </c>
      <c r="J3984" s="31"/>
    </row>
    <row r="3985" s="12" customFormat="1" customHeight="1" spans="2:10">
      <c r="B3985" s="25"/>
      <c r="C3985" s="25"/>
      <c r="D3985" s="26" t="str" cm="1">
        <f t="array" ref="D3985">IF(C3985="","",IFERROR(INDEX(STPP!$D$6:$D$4207,MATCH(C3985,STPP!$C$6:$C$4207,0)),"Not Found"))</f>
        <v/>
      </c>
      <c r="E3985" s="27" t="str" cm="1">
        <f t="array" ref="E3985">IF(C3985="","",IFERROR(INDEX(STPP!$E$6:$E$4207,MATCH(C3985,STPP!$C$6:$C$4207,0)),"Not Found"))</f>
        <v/>
      </c>
      <c r="F3985" s="27" t="str" cm="1">
        <f t="array" ref="F3985">IF(C3985="","",IFERROR(INDEX(STPP!$F$6:$F$4207,MATCH(C3985,STPP!$C$6:$C$4207,0)),"Not Found"))</f>
        <v/>
      </c>
      <c r="G3985" s="25" t="str">
        <f>IF(表1[[#This Row],[No Seri]]="","",表1[[#This Row],[Deskripsi Barang]]+表1[[#This Row],[Kuantitas]]-表1[[#This Row],[Satuan]])</f>
        <v/>
      </c>
      <c r="H3985" s="28"/>
      <c r="I3985" s="25" t="str">
        <f>IF(表1[[#This Row],[Tgl NPBG]]&gt;表1[[#This Row],[Peminta]],表1[[#This Row],[Tgl NPBG]]-表1[[#This Row],[Peminta]],"")</f>
        <v/>
      </c>
      <c r="J3985" s="31"/>
    </row>
    <row r="3986" s="12" customFormat="1" customHeight="1" spans="2:10">
      <c r="B3986" s="25"/>
      <c r="C3986" s="25"/>
      <c r="D3986" s="26" t="str" cm="1">
        <f t="array" ref="D3986">IF(C3986="","",IFERROR(INDEX(STPP!$D$6:$D$4207,MATCH(C3986,STPP!$C$6:$C$4207,0)),"Not Found"))</f>
        <v/>
      </c>
      <c r="E3986" s="27" t="str" cm="1">
        <f t="array" ref="E3986">IF(C3986="","",IFERROR(INDEX(STPP!$E$6:$E$4207,MATCH(C3986,STPP!$C$6:$C$4207,0)),"Not Found"))</f>
        <v/>
      </c>
      <c r="F3986" s="27" t="str" cm="1">
        <f t="array" ref="F3986">IF(C3986="","",IFERROR(INDEX(STPP!$F$6:$F$4207,MATCH(C3986,STPP!$C$6:$C$4207,0)),"Not Found"))</f>
        <v/>
      </c>
      <c r="G3986" s="25" t="str">
        <f>IF(表1[[#This Row],[No Seri]]="","",表1[[#This Row],[Deskripsi Barang]]+表1[[#This Row],[Kuantitas]]-表1[[#This Row],[Satuan]])</f>
        <v/>
      </c>
      <c r="H3986" s="28"/>
      <c r="I3986" s="25" t="str">
        <f>IF(表1[[#This Row],[Tgl NPBG]]&gt;表1[[#This Row],[Peminta]],表1[[#This Row],[Tgl NPBG]]-表1[[#This Row],[Peminta]],"")</f>
        <v/>
      </c>
      <c r="J3986" s="31"/>
    </row>
    <row r="3987" s="12" customFormat="1" customHeight="1" spans="2:10">
      <c r="B3987" s="25"/>
      <c r="C3987" s="25"/>
      <c r="D3987" s="26" t="str" cm="1">
        <f t="array" ref="D3987">IF(C3987="","",IFERROR(INDEX(STPP!$D$6:$D$4207,MATCH(C3987,STPP!$C$6:$C$4207,0)),"Not Found"))</f>
        <v/>
      </c>
      <c r="E3987" s="27" t="str" cm="1">
        <f t="array" ref="E3987">IF(C3987="","",IFERROR(INDEX(STPP!$E$6:$E$4207,MATCH(C3987,STPP!$C$6:$C$4207,0)),"Not Found"))</f>
        <v/>
      </c>
      <c r="F3987" s="27" t="str" cm="1">
        <f t="array" ref="F3987">IF(C3987="","",IFERROR(INDEX(STPP!$F$6:$F$4207,MATCH(C3987,STPP!$C$6:$C$4207,0)),"Not Found"))</f>
        <v/>
      </c>
      <c r="G3987" s="25" t="str">
        <f>IF(表1[[#This Row],[No Seri]]="","",表1[[#This Row],[Deskripsi Barang]]+表1[[#This Row],[Kuantitas]]-表1[[#This Row],[Satuan]])</f>
        <v/>
      </c>
      <c r="H3987" s="28"/>
      <c r="I3987" s="25" t="str">
        <f>IF(表1[[#This Row],[Tgl NPBG]]&gt;表1[[#This Row],[Peminta]],表1[[#This Row],[Tgl NPBG]]-表1[[#This Row],[Peminta]],"")</f>
        <v/>
      </c>
      <c r="J3987" s="31"/>
    </row>
    <row r="3988" s="12" customFormat="1" customHeight="1" spans="2:10">
      <c r="B3988" s="25"/>
      <c r="C3988" s="25"/>
      <c r="D3988" s="26" t="str" cm="1">
        <f t="array" ref="D3988">IF(C3988="","",IFERROR(INDEX(STPP!$D$6:$D$4207,MATCH(C3988,STPP!$C$6:$C$4207,0)),"Not Found"))</f>
        <v/>
      </c>
      <c r="E3988" s="27" t="str" cm="1">
        <f t="array" ref="E3988">IF(C3988="","",IFERROR(INDEX(STPP!$E$6:$E$4207,MATCH(C3988,STPP!$C$6:$C$4207,0)),"Not Found"))</f>
        <v/>
      </c>
      <c r="F3988" s="27" t="str" cm="1">
        <f t="array" ref="F3988">IF(C3988="","",IFERROR(INDEX(STPP!$F$6:$F$4207,MATCH(C3988,STPP!$C$6:$C$4207,0)),"Not Found"))</f>
        <v/>
      </c>
      <c r="G3988" s="25" t="str">
        <f>IF(表1[[#This Row],[No Seri]]="","",表1[[#This Row],[Deskripsi Barang]]+表1[[#This Row],[Kuantitas]]-表1[[#This Row],[Satuan]])</f>
        <v/>
      </c>
      <c r="H3988" s="28"/>
      <c r="I3988" s="25" t="str">
        <f>IF(表1[[#This Row],[Tgl NPBG]]&gt;表1[[#This Row],[Peminta]],表1[[#This Row],[Tgl NPBG]]-表1[[#This Row],[Peminta]],"")</f>
        <v/>
      </c>
      <c r="J3988" s="31"/>
    </row>
    <row r="3989" s="12" customFormat="1" customHeight="1" spans="2:10">
      <c r="B3989" s="25"/>
      <c r="C3989" s="25"/>
      <c r="D3989" s="26" t="str" cm="1">
        <f t="array" ref="D3989">IF(C3989="","",IFERROR(INDEX(STPP!$D$6:$D$4207,MATCH(C3989,STPP!$C$6:$C$4207,0)),"Not Found"))</f>
        <v/>
      </c>
      <c r="E3989" s="27" t="str" cm="1">
        <f t="array" ref="E3989">IF(C3989="","",IFERROR(INDEX(STPP!$E$6:$E$4207,MATCH(C3989,STPP!$C$6:$C$4207,0)),"Not Found"))</f>
        <v/>
      </c>
      <c r="F3989" s="27" t="str" cm="1">
        <f t="array" ref="F3989">IF(C3989="","",IFERROR(INDEX(STPP!$F$6:$F$4207,MATCH(C3989,STPP!$C$6:$C$4207,0)),"Not Found"))</f>
        <v/>
      </c>
      <c r="G3989" s="25" t="str">
        <f>IF(表1[[#This Row],[No Seri]]="","",表1[[#This Row],[Deskripsi Barang]]+表1[[#This Row],[Kuantitas]]-表1[[#This Row],[Satuan]])</f>
        <v/>
      </c>
      <c r="H3989" s="28"/>
      <c r="I3989" s="25" t="str">
        <f>IF(表1[[#This Row],[Tgl NPBG]]&gt;表1[[#This Row],[Peminta]],表1[[#This Row],[Tgl NPBG]]-表1[[#This Row],[Peminta]],"")</f>
        <v/>
      </c>
      <c r="J3989" s="31"/>
    </row>
    <row r="3990" s="12" customFormat="1" customHeight="1" spans="2:10">
      <c r="B3990" s="25"/>
      <c r="C3990" s="25"/>
      <c r="D3990" s="26" t="str" cm="1">
        <f t="array" ref="D3990">IF(C3990="","",IFERROR(INDEX(STPP!$D$6:$D$4207,MATCH(C3990,STPP!$C$6:$C$4207,0)),"Not Found"))</f>
        <v/>
      </c>
      <c r="E3990" s="27" t="str" cm="1">
        <f t="array" ref="E3990">IF(C3990="","",IFERROR(INDEX(STPP!$E$6:$E$4207,MATCH(C3990,STPP!$C$6:$C$4207,0)),"Not Found"))</f>
        <v/>
      </c>
      <c r="F3990" s="27" t="str" cm="1">
        <f t="array" ref="F3990">IF(C3990="","",IFERROR(INDEX(STPP!$F$6:$F$4207,MATCH(C3990,STPP!$C$6:$C$4207,0)),"Not Found"))</f>
        <v/>
      </c>
      <c r="G3990" s="25" t="str">
        <f>IF(表1[[#This Row],[No Seri]]="","",表1[[#This Row],[Deskripsi Barang]]+表1[[#This Row],[Kuantitas]]-表1[[#This Row],[Satuan]])</f>
        <v/>
      </c>
      <c r="H3990" s="28"/>
      <c r="I3990" s="25" t="str">
        <f>IF(表1[[#This Row],[Tgl NPBG]]&gt;表1[[#This Row],[Peminta]],表1[[#This Row],[Tgl NPBG]]-表1[[#This Row],[Peminta]],"")</f>
        <v/>
      </c>
      <c r="J3990" s="31"/>
    </row>
    <row r="3991" s="12" customFormat="1" customHeight="1" spans="2:10">
      <c r="B3991" s="25"/>
      <c r="C3991" s="25"/>
      <c r="D3991" s="26" t="str" cm="1">
        <f t="array" ref="D3991">IF(C3991="","",IFERROR(INDEX(STPP!$D$6:$D$4207,MATCH(C3991,STPP!$C$6:$C$4207,0)),"Not Found"))</f>
        <v/>
      </c>
      <c r="E3991" s="27" t="str" cm="1">
        <f t="array" ref="E3991">IF(C3991="","",IFERROR(INDEX(STPP!$E$6:$E$4207,MATCH(C3991,STPP!$C$6:$C$4207,0)),"Not Found"))</f>
        <v/>
      </c>
      <c r="F3991" s="27" t="str" cm="1">
        <f t="array" ref="F3991">IF(C3991="","",IFERROR(INDEX(STPP!$F$6:$F$4207,MATCH(C3991,STPP!$C$6:$C$4207,0)),"Not Found"))</f>
        <v/>
      </c>
      <c r="G3991" s="25" t="str">
        <f>IF(表1[[#This Row],[No Seri]]="","",表1[[#This Row],[Deskripsi Barang]]+表1[[#This Row],[Kuantitas]]-表1[[#This Row],[Satuan]])</f>
        <v/>
      </c>
      <c r="H3991" s="28"/>
      <c r="I3991" s="25" t="str">
        <f>IF(表1[[#This Row],[Tgl NPBG]]&gt;表1[[#This Row],[Peminta]],表1[[#This Row],[Tgl NPBG]]-表1[[#This Row],[Peminta]],"")</f>
        <v/>
      </c>
      <c r="J3991" s="31"/>
    </row>
    <row r="3992" s="12" customFormat="1" customHeight="1" spans="2:10">
      <c r="B3992" s="25"/>
      <c r="C3992" s="25"/>
      <c r="D3992" s="26" t="str" cm="1">
        <f t="array" ref="D3992">IF(C3992="","",IFERROR(INDEX(STPP!$D$6:$D$4207,MATCH(C3992,STPP!$C$6:$C$4207,0)),"Not Found"))</f>
        <v/>
      </c>
      <c r="E3992" s="27" t="str" cm="1">
        <f t="array" ref="E3992">IF(C3992="","",IFERROR(INDEX(STPP!$E$6:$E$4207,MATCH(C3992,STPP!$C$6:$C$4207,0)),"Not Found"))</f>
        <v/>
      </c>
      <c r="F3992" s="27" t="str" cm="1">
        <f t="array" ref="F3992">IF(C3992="","",IFERROR(INDEX(STPP!$F$6:$F$4207,MATCH(C3992,STPP!$C$6:$C$4207,0)),"Not Found"))</f>
        <v/>
      </c>
      <c r="G3992" s="25" t="str">
        <f>IF(表1[[#This Row],[No Seri]]="","",表1[[#This Row],[Deskripsi Barang]]+表1[[#This Row],[Kuantitas]]-表1[[#This Row],[Satuan]])</f>
        <v/>
      </c>
      <c r="H3992" s="28"/>
      <c r="I3992" s="25" t="str">
        <f>IF(表1[[#This Row],[Tgl NPBG]]&gt;表1[[#This Row],[Peminta]],表1[[#This Row],[Tgl NPBG]]-表1[[#This Row],[Peminta]],"")</f>
        <v/>
      </c>
      <c r="J3992" s="31"/>
    </row>
    <row r="3993" s="12" customFormat="1" customHeight="1" spans="2:10">
      <c r="B3993" s="25"/>
      <c r="C3993" s="25"/>
      <c r="D3993" s="26" t="str" cm="1">
        <f t="array" ref="D3993">IF(C3993="","",IFERROR(INDEX(STPP!$D$6:$D$4207,MATCH(C3993,STPP!$C$6:$C$4207,0)),"Not Found"))</f>
        <v/>
      </c>
      <c r="E3993" s="27" t="str" cm="1">
        <f t="array" ref="E3993">IF(C3993="","",IFERROR(INDEX(STPP!$E$6:$E$4207,MATCH(C3993,STPP!$C$6:$C$4207,0)),"Not Found"))</f>
        <v/>
      </c>
      <c r="F3993" s="27" t="str" cm="1">
        <f t="array" ref="F3993">IF(C3993="","",IFERROR(INDEX(STPP!$F$6:$F$4207,MATCH(C3993,STPP!$C$6:$C$4207,0)),"Not Found"))</f>
        <v/>
      </c>
      <c r="G3993" s="25" t="str">
        <f>IF(表1[[#This Row],[No Seri]]="","",表1[[#This Row],[Deskripsi Barang]]+表1[[#This Row],[Kuantitas]]-表1[[#This Row],[Satuan]])</f>
        <v/>
      </c>
      <c r="H3993" s="28"/>
      <c r="I3993" s="25" t="str">
        <f>IF(表1[[#This Row],[Tgl NPBG]]&gt;表1[[#This Row],[Peminta]],表1[[#This Row],[Tgl NPBG]]-表1[[#This Row],[Peminta]],"")</f>
        <v/>
      </c>
      <c r="J3993" s="31"/>
    </row>
    <row r="3994" s="12" customFormat="1" customHeight="1" spans="2:10">
      <c r="B3994" s="25"/>
      <c r="C3994" s="25"/>
      <c r="D3994" s="26" t="str" cm="1">
        <f t="array" ref="D3994">IF(C3994="","",IFERROR(INDEX(STPP!$D$6:$D$4207,MATCH(C3994,STPP!$C$6:$C$4207,0)),"Not Found"))</f>
        <v/>
      </c>
      <c r="E3994" s="27" t="str" cm="1">
        <f t="array" ref="E3994">IF(C3994="","",IFERROR(INDEX(STPP!$E$6:$E$4207,MATCH(C3994,STPP!$C$6:$C$4207,0)),"Not Found"))</f>
        <v/>
      </c>
      <c r="F3994" s="27" t="str" cm="1">
        <f t="array" ref="F3994">IF(C3994="","",IFERROR(INDEX(STPP!$F$6:$F$4207,MATCH(C3994,STPP!$C$6:$C$4207,0)),"Not Found"))</f>
        <v/>
      </c>
      <c r="G3994" s="25" t="str">
        <f>IF(表1[[#This Row],[No Seri]]="","",表1[[#This Row],[Deskripsi Barang]]+表1[[#This Row],[Kuantitas]]-表1[[#This Row],[Satuan]])</f>
        <v/>
      </c>
      <c r="H3994" s="28"/>
      <c r="I3994" s="25" t="str">
        <f>IF(表1[[#This Row],[Tgl NPBG]]&gt;表1[[#This Row],[Peminta]],表1[[#This Row],[Tgl NPBG]]-表1[[#This Row],[Peminta]],"")</f>
        <v/>
      </c>
      <c r="J3994" s="31"/>
    </row>
    <row r="3995" s="12" customFormat="1" customHeight="1" spans="2:10">
      <c r="B3995" s="25"/>
      <c r="C3995" s="25"/>
      <c r="D3995" s="26" t="str" cm="1">
        <f t="array" ref="D3995">IF(C3995="","",IFERROR(INDEX(STPP!$D$6:$D$4207,MATCH(C3995,STPP!$C$6:$C$4207,0)),"Not Found"))</f>
        <v/>
      </c>
      <c r="E3995" s="27" t="str" cm="1">
        <f t="array" ref="E3995">IF(C3995="","",IFERROR(INDEX(STPP!$E$6:$E$4207,MATCH(C3995,STPP!$C$6:$C$4207,0)),"Not Found"))</f>
        <v/>
      </c>
      <c r="F3995" s="27" t="str" cm="1">
        <f t="array" ref="F3995">IF(C3995="","",IFERROR(INDEX(STPP!$F$6:$F$4207,MATCH(C3995,STPP!$C$6:$C$4207,0)),"Not Found"))</f>
        <v/>
      </c>
      <c r="G3995" s="25" t="str">
        <f>IF(表1[[#This Row],[No Seri]]="","",表1[[#This Row],[Deskripsi Barang]]+表1[[#This Row],[Kuantitas]]-表1[[#This Row],[Satuan]])</f>
        <v/>
      </c>
      <c r="H3995" s="28"/>
      <c r="I3995" s="25" t="str">
        <f>IF(表1[[#This Row],[Tgl NPBG]]&gt;表1[[#This Row],[Peminta]],表1[[#This Row],[Tgl NPBG]]-表1[[#This Row],[Peminta]],"")</f>
        <v/>
      </c>
      <c r="J3995" s="31"/>
    </row>
    <row r="3996" s="12" customFormat="1" customHeight="1" spans="2:10">
      <c r="B3996" s="25"/>
      <c r="C3996" s="25"/>
      <c r="D3996" s="26" t="str" cm="1">
        <f t="array" ref="D3996">IF(C3996="","",IFERROR(INDEX(STPP!$D$6:$D$4207,MATCH(C3996,STPP!$C$6:$C$4207,0)),"Not Found"))</f>
        <v/>
      </c>
      <c r="E3996" s="27" t="str" cm="1">
        <f t="array" ref="E3996">IF(C3996="","",IFERROR(INDEX(STPP!$E$6:$E$4207,MATCH(C3996,STPP!$C$6:$C$4207,0)),"Not Found"))</f>
        <v/>
      </c>
      <c r="F3996" s="27" t="str" cm="1">
        <f t="array" ref="F3996">IF(C3996="","",IFERROR(INDEX(STPP!$F$6:$F$4207,MATCH(C3996,STPP!$C$6:$C$4207,0)),"Not Found"))</f>
        <v/>
      </c>
      <c r="G3996" s="25" t="str">
        <f>IF(表1[[#This Row],[No Seri]]="","",表1[[#This Row],[Deskripsi Barang]]+表1[[#This Row],[Kuantitas]]-表1[[#This Row],[Satuan]])</f>
        <v/>
      </c>
      <c r="H3996" s="28"/>
      <c r="I3996" s="25" t="str">
        <f>IF(表1[[#This Row],[Tgl NPBG]]&gt;表1[[#This Row],[Peminta]],表1[[#This Row],[Tgl NPBG]]-表1[[#This Row],[Peminta]],"")</f>
        <v/>
      </c>
      <c r="J3996" s="31"/>
    </row>
    <row r="3997" s="12" customFormat="1" customHeight="1" spans="2:10">
      <c r="B3997" s="25"/>
      <c r="C3997" s="25"/>
      <c r="D3997" s="26" t="str" cm="1">
        <f t="array" ref="D3997">IF(C3997="","",IFERROR(INDEX(STPP!$D$6:$D$4207,MATCH(C3997,STPP!$C$6:$C$4207,0)),"Not Found"))</f>
        <v/>
      </c>
      <c r="E3997" s="27" t="str" cm="1">
        <f t="array" ref="E3997">IF(C3997="","",IFERROR(INDEX(STPP!$E$6:$E$4207,MATCH(C3997,STPP!$C$6:$C$4207,0)),"Not Found"))</f>
        <v/>
      </c>
      <c r="F3997" s="27" t="str" cm="1">
        <f t="array" ref="F3997">IF(C3997="","",IFERROR(INDEX(STPP!$F$6:$F$4207,MATCH(C3997,STPP!$C$6:$C$4207,0)),"Not Found"))</f>
        <v/>
      </c>
      <c r="G3997" s="25" t="str">
        <f>IF(表1[[#This Row],[No Seri]]="","",表1[[#This Row],[Deskripsi Barang]]+表1[[#This Row],[Kuantitas]]-表1[[#This Row],[Satuan]])</f>
        <v/>
      </c>
      <c r="H3997" s="28"/>
      <c r="I3997" s="25" t="str">
        <f>IF(表1[[#This Row],[Tgl NPBG]]&gt;表1[[#This Row],[Peminta]],表1[[#This Row],[Tgl NPBG]]-表1[[#This Row],[Peminta]],"")</f>
        <v/>
      </c>
      <c r="J3997" s="31"/>
    </row>
    <row r="3998" s="12" customFormat="1" customHeight="1" spans="2:10">
      <c r="B3998" s="25"/>
      <c r="C3998" s="25"/>
      <c r="D3998" s="26" t="str" cm="1">
        <f t="array" ref="D3998">IF(C3998="","",IFERROR(INDEX(STPP!$D$6:$D$4207,MATCH(C3998,STPP!$C$6:$C$4207,0)),"Not Found"))</f>
        <v/>
      </c>
      <c r="E3998" s="27" t="str" cm="1">
        <f t="array" ref="E3998">IF(C3998="","",IFERROR(INDEX(STPP!$E$6:$E$4207,MATCH(C3998,STPP!$C$6:$C$4207,0)),"Not Found"))</f>
        <v/>
      </c>
      <c r="F3998" s="27" t="str" cm="1">
        <f t="array" ref="F3998">IF(C3998="","",IFERROR(INDEX(STPP!$F$6:$F$4207,MATCH(C3998,STPP!$C$6:$C$4207,0)),"Not Found"))</f>
        <v/>
      </c>
      <c r="G3998" s="25" t="str">
        <f>IF(表1[[#This Row],[No Seri]]="","",表1[[#This Row],[Deskripsi Barang]]+表1[[#This Row],[Kuantitas]]-表1[[#This Row],[Satuan]])</f>
        <v/>
      </c>
      <c r="H3998" s="28"/>
      <c r="I3998" s="25" t="str">
        <f>IF(表1[[#This Row],[Tgl NPBG]]&gt;表1[[#This Row],[Peminta]],表1[[#This Row],[Tgl NPBG]]-表1[[#This Row],[Peminta]],"")</f>
        <v/>
      </c>
      <c r="J3998" s="31"/>
    </row>
    <row r="3999" s="12" customFormat="1" customHeight="1" spans="2:10">
      <c r="B3999" s="25"/>
      <c r="C3999" s="25"/>
      <c r="D3999" s="26" t="str" cm="1">
        <f t="array" ref="D3999">IF(C3999="","",IFERROR(INDEX(STPP!$D$6:$D$4207,MATCH(C3999,STPP!$C$6:$C$4207,0)),"Not Found"))</f>
        <v/>
      </c>
      <c r="E3999" s="27" t="str" cm="1">
        <f t="array" ref="E3999">IF(C3999="","",IFERROR(INDEX(STPP!$E$6:$E$4207,MATCH(C3999,STPP!$C$6:$C$4207,0)),"Not Found"))</f>
        <v/>
      </c>
      <c r="F3999" s="27" t="str" cm="1">
        <f t="array" ref="F3999">IF(C3999="","",IFERROR(INDEX(STPP!$F$6:$F$4207,MATCH(C3999,STPP!$C$6:$C$4207,0)),"Not Found"))</f>
        <v/>
      </c>
      <c r="G3999" s="25" t="str">
        <f>IF(表1[[#This Row],[No Seri]]="","",表1[[#This Row],[Deskripsi Barang]]+表1[[#This Row],[Kuantitas]]-表1[[#This Row],[Satuan]])</f>
        <v/>
      </c>
      <c r="H3999" s="28"/>
      <c r="I3999" s="25" t="str">
        <f>IF(表1[[#This Row],[Tgl NPBG]]&gt;表1[[#This Row],[Peminta]],表1[[#This Row],[Tgl NPBG]]-表1[[#This Row],[Peminta]],"")</f>
        <v/>
      </c>
      <c r="J3999" s="31"/>
    </row>
    <row r="4000" s="12" customFormat="1" customHeight="1" spans="2:10">
      <c r="B4000" s="25"/>
      <c r="C4000" s="25"/>
      <c r="D4000" s="26" t="str" cm="1">
        <f t="array" ref="D4000">IF(C4000="","",IFERROR(INDEX(STPP!$D$6:$D$4207,MATCH(C4000,STPP!$C$6:$C$4207,0)),"Not Found"))</f>
        <v/>
      </c>
      <c r="E4000" s="27" t="str" cm="1">
        <f t="array" ref="E4000">IF(C4000="","",IFERROR(INDEX(STPP!$E$6:$E$4207,MATCH(C4000,STPP!$C$6:$C$4207,0)),"Not Found"))</f>
        <v/>
      </c>
      <c r="F4000" s="27" t="str" cm="1">
        <f t="array" ref="F4000">IF(C4000="","",IFERROR(INDEX(STPP!$F$6:$F$4207,MATCH(C4000,STPP!$C$6:$C$4207,0)),"Not Found"))</f>
        <v/>
      </c>
      <c r="G4000" s="25" t="str">
        <f>IF(表1[[#This Row],[No Seri]]="","",表1[[#This Row],[Deskripsi Barang]]+表1[[#This Row],[Kuantitas]]-表1[[#This Row],[Satuan]])</f>
        <v/>
      </c>
      <c r="H4000" s="28"/>
      <c r="I4000" s="25" t="str">
        <f>IF(表1[[#This Row],[Tgl NPBG]]&gt;表1[[#This Row],[Peminta]],表1[[#This Row],[Tgl NPBG]]-表1[[#This Row],[Peminta]],"")</f>
        <v/>
      </c>
      <c r="J4000" s="31"/>
    </row>
    <row r="4001" s="12" customFormat="1" customHeight="1" spans="2:10">
      <c r="B4001" s="25"/>
      <c r="C4001" s="25"/>
      <c r="D4001" s="26" t="str" cm="1">
        <f t="array" ref="D4001">IF(C4001="","",IFERROR(INDEX(STPP!$D$6:$D$4207,MATCH(C4001,STPP!$C$6:$C$4207,0)),"Not Found"))</f>
        <v/>
      </c>
      <c r="E4001" s="27" t="str" cm="1">
        <f t="array" ref="E4001">IF(C4001="","",IFERROR(INDEX(STPP!$E$6:$E$4207,MATCH(C4001,STPP!$C$6:$C$4207,0)),"Not Found"))</f>
        <v/>
      </c>
      <c r="F4001" s="27" t="str" cm="1">
        <f t="array" ref="F4001">IF(C4001="","",IFERROR(INDEX(STPP!$F$6:$F$4207,MATCH(C4001,STPP!$C$6:$C$4207,0)),"Not Found"))</f>
        <v/>
      </c>
      <c r="G4001" s="25" t="str">
        <f>IF(表1[[#This Row],[No Seri]]="","",表1[[#This Row],[Deskripsi Barang]]+表1[[#This Row],[Kuantitas]]-表1[[#This Row],[Satuan]])</f>
        <v/>
      </c>
      <c r="H4001" s="28"/>
      <c r="I4001" s="25" t="str">
        <f>IF(表1[[#This Row],[Tgl NPBG]]&gt;表1[[#This Row],[Peminta]],表1[[#This Row],[Tgl NPBG]]-表1[[#This Row],[Peminta]],"")</f>
        <v/>
      </c>
      <c r="J4001" s="31"/>
    </row>
    <row r="4002" s="12" customFormat="1" customHeight="1" spans="2:10">
      <c r="B4002" s="25"/>
      <c r="C4002" s="25"/>
      <c r="D4002" s="26" t="str" cm="1">
        <f t="array" ref="D4002">IF(C4002="","",IFERROR(INDEX(STPP!$D$6:$D$4207,MATCH(C4002,STPP!$C$6:$C$4207,0)),"Not Found"))</f>
        <v/>
      </c>
      <c r="E4002" s="27" t="str" cm="1">
        <f t="array" ref="E4002">IF(C4002="","",IFERROR(INDEX(STPP!$E$6:$E$4207,MATCH(C4002,STPP!$C$6:$C$4207,0)),"Not Found"))</f>
        <v/>
      </c>
      <c r="F4002" s="27" t="str" cm="1">
        <f t="array" ref="F4002">IF(C4002="","",IFERROR(INDEX(STPP!$F$6:$F$4207,MATCH(C4002,STPP!$C$6:$C$4207,0)),"Not Found"))</f>
        <v/>
      </c>
      <c r="G4002" s="25" t="str">
        <f>IF(表1[[#This Row],[No Seri]]="","",表1[[#This Row],[Deskripsi Barang]]+表1[[#This Row],[Kuantitas]]-表1[[#This Row],[Satuan]])</f>
        <v/>
      </c>
      <c r="H4002" s="28"/>
      <c r="I4002" s="25" t="str">
        <f>IF(表1[[#This Row],[Tgl NPBG]]&gt;表1[[#This Row],[Peminta]],表1[[#This Row],[Tgl NPBG]]-表1[[#This Row],[Peminta]],"")</f>
        <v/>
      </c>
      <c r="J4002" s="31"/>
    </row>
    <row r="4003" s="12" customFormat="1" customHeight="1" spans="2:10">
      <c r="B4003" s="25"/>
      <c r="C4003" s="25"/>
      <c r="D4003" s="26" t="str" cm="1">
        <f t="array" ref="D4003">IF(C4003="","",IFERROR(INDEX(STPP!$D$6:$D$4207,MATCH(C4003,STPP!$C$6:$C$4207,0)),"Not Found"))</f>
        <v/>
      </c>
      <c r="E4003" s="27" t="str" cm="1">
        <f t="array" ref="E4003">IF(C4003="","",IFERROR(INDEX(STPP!$E$6:$E$4207,MATCH(C4003,STPP!$C$6:$C$4207,0)),"Not Found"))</f>
        <v/>
      </c>
      <c r="F4003" s="27" t="str" cm="1">
        <f t="array" ref="F4003">IF(C4003="","",IFERROR(INDEX(STPP!$F$6:$F$4207,MATCH(C4003,STPP!$C$6:$C$4207,0)),"Not Found"))</f>
        <v/>
      </c>
      <c r="G4003" s="25" t="str">
        <f>IF(表1[[#This Row],[No Seri]]="","",表1[[#This Row],[Deskripsi Barang]]+表1[[#This Row],[Kuantitas]]-表1[[#This Row],[Satuan]])</f>
        <v/>
      </c>
      <c r="H4003" s="28"/>
      <c r="I4003" s="25" t="str">
        <f>IF(表1[[#This Row],[Tgl NPBG]]&gt;表1[[#This Row],[Peminta]],表1[[#This Row],[Tgl NPBG]]-表1[[#This Row],[Peminta]],"")</f>
        <v/>
      </c>
      <c r="J4003" s="31"/>
    </row>
    <row r="4004" s="12" customFormat="1" customHeight="1" spans="2:10">
      <c r="B4004" s="25"/>
      <c r="C4004" s="25"/>
      <c r="D4004" s="26" t="str" cm="1">
        <f t="array" ref="D4004">IF(C4004="","",IFERROR(INDEX(STPP!$D$6:$D$4207,MATCH(C4004,STPP!$C$6:$C$4207,0)),"Not Found"))</f>
        <v/>
      </c>
      <c r="E4004" s="27" t="str" cm="1">
        <f t="array" ref="E4004">IF(C4004="","",IFERROR(INDEX(STPP!$E$6:$E$4207,MATCH(C4004,STPP!$C$6:$C$4207,0)),"Not Found"))</f>
        <v/>
      </c>
      <c r="F4004" s="27" t="str" cm="1">
        <f t="array" ref="F4004">IF(C4004="","",IFERROR(INDEX(STPP!$F$6:$F$4207,MATCH(C4004,STPP!$C$6:$C$4207,0)),"Not Found"))</f>
        <v/>
      </c>
      <c r="G4004" s="25" t="str">
        <f>IF(表1[[#This Row],[No Seri]]="","",表1[[#This Row],[Deskripsi Barang]]+表1[[#This Row],[Kuantitas]]-表1[[#This Row],[Satuan]])</f>
        <v/>
      </c>
      <c r="H4004" s="28"/>
      <c r="I4004" s="25" t="str">
        <f>IF(表1[[#This Row],[Tgl NPBG]]&gt;表1[[#This Row],[Peminta]],表1[[#This Row],[Tgl NPBG]]-表1[[#This Row],[Peminta]],"")</f>
        <v/>
      </c>
      <c r="J4004" s="31"/>
    </row>
    <row r="4005" s="12" customFormat="1" customHeight="1" spans="2:10">
      <c r="B4005" s="25"/>
      <c r="C4005" s="25"/>
      <c r="D4005" s="26" t="str" cm="1">
        <f t="array" ref="D4005">IF(C4005="","",IFERROR(INDEX(STPP!$D$6:$D$4207,MATCH(C4005,STPP!$C$6:$C$4207,0)),"Not Found"))</f>
        <v/>
      </c>
      <c r="E4005" s="27" t="str" cm="1">
        <f t="array" ref="E4005">IF(C4005="","",IFERROR(INDEX(STPP!$E$6:$E$4207,MATCH(C4005,STPP!$C$6:$C$4207,0)),"Not Found"))</f>
        <v/>
      </c>
      <c r="F4005" s="27" t="str" cm="1">
        <f t="array" ref="F4005">IF(C4005="","",IFERROR(INDEX(STPP!$F$6:$F$4207,MATCH(C4005,STPP!$C$6:$C$4207,0)),"Not Found"))</f>
        <v/>
      </c>
      <c r="G4005" s="25" t="str">
        <f>IF(表1[[#This Row],[No Seri]]="","",表1[[#This Row],[Deskripsi Barang]]+表1[[#This Row],[Kuantitas]]-表1[[#This Row],[Satuan]])</f>
        <v/>
      </c>
      <c r="H4005" s="28"/>
      <c r="I4005" s="25" t="str">
        <f>IF(表1[[#This Row],[Tgl NPBG]]&gt;表1[[#This Row],[Peminta]],表1[[#This Row],[Tgl NPBG]]-表1[[#This Row],[Peminta]],"")</f>
        <v/>
      </c>
      <c r="J4005" s="31"/>
    </row>
    <row r="4006" s="12" customFormat="1" customHeight="1" spans="2:10">
      <c r="B4006" s="25"/>
      <c r="C4006" s="25"/>
      <c r="D4006" s="26" t="str" cm="1">
        <f t="array" ref="D4006">IF(C4006="","",IFERROR(INDEX(STPP!$D$6:$D$4207,MATCH(C4006,STPP!$C$6:$C$4207,0)),"Not Found"))</f>
        <v/>
      </c>
      <c r="E4006" s="27" t="str" cm="1">
        <f t="array" ref="E4006">IF(C4006="","",IFERROR(INDEX(STPP!$E$6:$E$4207,MATCH(C4006,STPP!$C$6:$C$4207,0)),"Not Found"))</f>
        <v/>
      </c>
      <c r="F4006" s="27" t="str" cm="1">
        <f t="array" ref="F4006">IF(C4006="","",IFERROR(INDEX(STPP!$F$6:$F$4207,MATCH(C4006,STPP!$C$6:$C$4207,0)),"Not Found"))</f>
        <v/>
      </c>
      <c r="G4006" s="25" t="str">
        <f>IF(表1[[#This Row],[No Seri]]="","",表1[[#This Row],[Deskripsi Barang]]+表1[[#This Row],[Kuantitas]]-表1[[#This Row],[Satuan]])</f>
        <v/>
      </c>
      <c r="H4006" s="28"/>
      <c r="I4006" s="25" t="str">
        <f>IF(表1[[#This Row],[Tgl NPBG]]&gt;表1[[#This Row],[Peminta]],表1[[#This Row],[Tgl NPBG]]-表1[[#This Row],[Peminta]],"")</f>
        <v/>
      </c>
      <c r="J4006" s="31"/>
    </row>
    <row r="4007" s="12" customFormat="1" customHeight="1" spans="2:10">
      <c r="B4007" s="25"/>
      <c r="C4007" s="25"/>
      <c r="D4007" s="26" t="str" cm="1">
        <f t="array" ref="D4007">IF(C4007="","",IFERROR(INDEX(STPP!$D$6:$D$4207,MATCH(C4007,STPP!$C$6:$C$4207,0)),"Not Found"))</f>
        <v/>
      </c>
      <c r="E4007" s="27" t="str" cm="1">
        <f t="array" ref="E4007">IF(C4007="","",IFERROR(INDEX(STPP!$E$6:$E$4207,MATCH(C4007,STPP!$C$6:$C$4207,0)),"Not Found"))</f>
        <v/>
      </c>
      <c r="F4007" s="27" t="str" cm="1">
        <f t="array" ref="F4007">IF(C4007="","",IFERROR(INDEX(STPP!$F$6:$F$4207,MATCH(C4007,STPP!$C$6:$C$4207,0)),"Not Found"))</f>
        <v/>
      </c>
      <c r="G4007" s="25" t="str">
        <f>IF(表1[[#This Row],[No Seri]]="","",表1[[#This Row],[Deskripsi Barang]]+表1[[#This Row],[Kuantitas]]-表1[[#This Row],[Satuan]])</f>
        <v/>
      </c>
      <c r="H4007" s="28"/>
      <c r="I4007" s="25" t="str">
        <f>IF(表1[[#This Row],[Tgl NPBG]]&gt;表1[[#This Row],[Peminta]],表1[[#This Row],[Tgl NPBG]]-表1[[#This Row],[Peminta]],"")</f>
        <v/>
      </c>
      <c r="J4007" s="31"/>
    </row>
    <row r="4008" s="12" customFormat="1" customHeight="1" spans="2:10">
      <c r="B4008" s="25"/>
      <c r="C4008" s="25"/>
      <c r="D4008" s="26" t="str" cm="1">
        <f t="array" ref="D4008">IF(C4008="","",IFERROR(INDEX(STPP!$D$6:$D$4207,MATCH(C4008,STPP!$C$6:$C$4207,0)),"Not Found"))</f>
        <v/>
      </c>
      <c r="E4008" s="27" t="str" cm="1">
        <f t="array" ref="E4008">IF(C4008="","",IFERROR(INDEX(STPP!$E$6:$E$4207,MATCH(C4008,STPP!$C$6:$C$4207,0)),"Not Found"))</f>
        <v/>
      </c>
      <c r="F4008" s="27" t="str" cm="1">
        <f t="array" ref="F4008">IF(C4008="","",IFERROR(INDEX(STPP!$F$6:$F$4207,MATCH(C4008,STPP!$C$6:$C$4207,0)),"Not Found"))</f>
        <v/>
      </c>
      <c r="G4008" s="25" t="str">
        <f>IF(表1[[#This Row],[No Seri]]="","",表1[[#This Row],[Deskripsi Barang]]+表1[[#This Row],[Kuantitas]]-表1[[#This Row],[Satuan]])</f>
        <v/>
      </c>
      <c r="H4008" s="28"/>
      <c r="I4008" s="25" t="str">
        <f>IF(表1[[#This Row],[Tgl NPBG]]&gt;表1[[#This Row],[Peminta]],表1[[#This Row],[Tgl NPBG]]-表1[[#This Row],[Peminta]],"")</f>
        <v/>
      </c>
      <c r="J4008" s="31"/>
    </row>
    <row r="4009" s="12" customFormat="1" customHeight="1" spans="2:10">
      <c r="B4009" s="25"/>
      <c r="C4009" s="25"/>
      <c r="D4009" s="26" t="str" cm="1">
        <f t="array" ref="D4009">IF(C4009="","",IFERROR(INDEX(STPP!$D$6:$D$4207,MATCH(C4009,STPP!$C$6:$C$4207,0)),"Not Found"))</f>
        <v/>
      </c>
      <c r="E4009" s="27" t="str" cm="1">
        <f t="array" ref="E4009">IF(C4009="","",IFERROR(INDEX(STPP!$E$6:$E$4207,MATCH(C4009,STPP!$C$6:$C$4207,0)),"Not Found"))</f>
        <v/>
      </c>
      <c r="F4009" s="27" t="str" cm="1">
        <f t="array" ref="F4009">IF(C4009="","",IFERROR(INDEX(STPP!$F$6:$F$4207,MATCH(C4009,STPP!$C$6:$C$4207,0)),"Not Found"))</f>
        <v/>
      </c>
      <c r="G4009" s="25" t="str">
        <f>IF(表1[[#This Row],[No Seri]]="","",表1[[#This Row],[Deskripsi Barang]]+表1[[#This Row],[Kuantitas]]-表1[[#This Row],[Satuan]])</f>
        <v/>
      </c>
      <c r="H4009" s="28"/>
      <c r="I4009" s="25" t="str">
        <f>IF(表1[[#This Row],[Tgl NPBG]]&gt;表1[[#This Row],[Peminta]],表1[[#This Row],[Tgl NPBG]]-表1[[#This Row],[Peminta]],"")</f>
        <v/>
      </c>
      <c r="J4009" s="31"/>
    </row>
    <row r="4010" s="12" customFormat="1" customHeight="1" spans="2:10">
      <c r="B4010" s="25"/>
      <c r="C4010" s="25"/>
      <c r="D4010" s="26" t="str" cm="1">
        <f t="array" ref="D4010">IF(C4010="","",IFERROR(INDEX(STPP!$D$6:$D$4207,MATCH(C4010,STPP!$C$6:$C$4207,0)),"Not Found"))</f>
        <v/>
      </c>
      <c r="E4010" s="27" t="str" cm="1">
        <f t="array" ref="E4010">IF(C4010="","",IFERROR(INDEX(STPP!$E$6:$E$4207,MATCH(C4010,STPP!$C$6:$C$4207,0)),"Not Found"))</f>
        <v/>
      </c>
      <c r="F4010" s="27" t="str" cm="1">
        <f t="array" ref="F4010">IF(C4010="","",IFERROR(INDEX(STPP!$F$6:$F$4207,MATCH(C4010,STPP!$C$6:$C$4207,0)),"Not Found"))</f>
        <v/>
      </c>
      <c r="G4010" s="25" t="str">
        <f>IF(表1[[#This Row],[No Seri]]="","",表1[[#This Row],[Deskripsi Barang]]+表1[[#This Row],[Kuantitas]]-表1[[#This Row],[Satuan]])</f>
        <v/>
      </c>
      <c r="H4010" s="28"/>
      <c r="I4010" s="25" t="str">
        <f>IF(表1[[#This Row],[Tgl NPBG]]&gt;表1[[#This Row],[Peminta]],表1[[#This Row],[Tgl NPBG]]-表1[[#This Row],[Peminta]],"")</f>
        <v/>
      </c>
      <c r="J4010" s="31"/>
    </row>
    <row r="4011" s="12" customFormat="1" customHeight="1" spans="2:10">
      <c r="B4011" s="25"/>
      <c r="C4011" s="25"/>
      <c r="D4011" s="26" t="str" cm="1">
        <f t="array" ref="D4011">IF(C4011="","",IFERROR(INDEX(STPP!$D$6:$D$4207,MATCH(C4011,STPP!$C$6:$C$4207,0)),"Not Found"))</f>
        <v/>
      </c>
      <c r="E4011" s="27" t="str" cm="1">
        <f t="array" ref="E4011">IF(C4011="","",IFERROR(INDEX(STPP!$E$6:$E$4207,MATCH(C4011,STPP!$C$6:$C$4207,0)),"Not Found"))</f>
        <v/>
      </c>
      <c r="F4011" s="27" t="str" cm="1">
        <f t="array" ref="F4011">IF(C4011="","",IFERROR(INDEX(STPP!$F$6:$F$4207,MATCH(C4011,STPP!$C$6:$C$4207,0)),"Not Found"))</f>
        <v/>
      </c>
      <c r="G4011" s="25" t="str">
        <f>IF(表1[[#This Row],[No Seri]]="","",表1[[#This Row],[Deskripsi Barang]]+表1[[#This Row],[Kuantitas]]-表1[[#This Row],[Satuan]])</f>
        <v/>
      </c>
      <c r="H4011" s="28"/>
      <c r="I4011" s="25" t="str">
        <f>IF(表1[[#This Row],[Tgl NPBG]]&gt;表1[[#This Row],[Peminta]],表1[[#This Row],[Tgl NPBG]]-表1[[#This Row],[Peminta]],"")</f>
        <v/>
      </c>
      <c r="J4011" s="31"/>
    </row>
    <row r="4012" s="12" customFormat="1" customHeight="1" spans="2:10">
      <c r="B4012" s="25"/>
      <c r="C4012" s="25"/>
      <c r="D4012" s="26" t="str" cm="1">
        <f t="array" ref="D4012">IF(C4012="","",IFERROR(INDEX(STPP!$D$6:$D$4207,MATCH(C4012,STPP!$C$6:$C$4207,0)),"Not Found"))</f>
        <v/>
      </c>
      <c r="E4012" s="27" t="str" cm="1">
        <f t="array" ref="E4012">IF(C4012="","",IFERROR(INDEX(STPP!$E$6:$E$4207,MATCH(C4012,STPP!$C$6:$C$4207,0)),"Not Found"))</f>
        <v/>
      </c>
      <c r="F4012" s="27" t="str" cm="1">
        <f t="array" ref="F4012">IF(C4012="","",IFERROR(INDEX(STPP!$F$6:$F$4207,MATCH(C4012,STPP!$C$6:$C$4207,0)),"Not Found"))</f>
        <v/>
      </c>
      <c r="G4012" s="25" t="str">
        <f>IF(表1[[#This Row],[No Seri]]="","",表1[[#This Row],[Deskripsi Barang]]+表1[[#This Row],[Kuantitas]]-表1[[#This Row],[Satuan]])</f>
        <v/>
      </c>
      <c r="H4012" s="28"/>
      <c r="I4012" s="25" t="str">
        <f>IF(表1[[#This Row],[Tgl NPBG]]&gt;表1[[#This Row],[Peminta]],表1[[#This Row],[Tgl NPBG]]-表1[[#This Row],[Peminta]],"")</f>
        <v/>
      </c>
      <c r="J4012" s="31"/>
    </row>
    <row r="4013" s="12" customFormat="1" customHeight="1" spans="2:10">
      <c r="B4013" s="25"/>
      <c r="C4013" s="25"/>
      <c r="D4013" s="26" t="str" cm="1">
        <f t="array" ref="D4013">IF(C4013="","",IFERROR(INDEX(STPP!$D$6:$D$4207,MATCH(C4013,STPP!$C$6:$C$4207,0)),"Not Found"))</f>
        <v/>
      </c>
      <c r="E4013" s="27" t="str" cm="1">
        <f t="array" ref="E4013">IF(C4013="","",IFERROR(INDEX(STPP!$E$6:$E$4207,MATCH(C4013,STPP!$C$6:$C$4207,0)),"Not Found"))</f>
        <v/>
      </c>
      <c r="F4013" s="27" t="str" cm="1">
        <f t="array" ref="F4013">IF(C4013="","",IFERROR(INDEX(STPP!$F$6:$F$4207,MATCH(C4013,STPP!$C$6:$C$4207,0)),"Not Found"))</f>
        <v/>
      </c>
      <c r="G4013" s="25" t="str">
        <f>IF(表1[[#This Row],[No Seri]]="","",表1[[#This Row],[Deskripsi Barang]]+表1[[#This Row],[Kuantitas]]-表1[[#This Row],[Satuan]])</f>
        <v/>
      </c>
      <c r="H4013" s="28"/>
      <c r="I4013" s="25" t="str">
        <f>IF(表1[[#This Row],[Tgl NPBG]]&gt;表1[[#This Row],[Peminta]],表1[[#This Row],[Tgl NPBG]]-表1[[#This Row],[Peminta]],"")</f>
        <v/>
      </c>
      <c r="J4013" s="31"/>
    </row>
    <row r="4014" s="12" customFormat="1" customHeight="1" spans="2:10">
      <c r="B4014" s="25"/>
      <c r="C4014" s="25"/>
      <c r="D4014" s="26" t="str" cm="1">
        <f t="array" ref="D4014">IF(C4014="","",IFERROR(INDEX(STPP!$D$6:$D$4207,MATCH(C4014,STPP!$C$6:$C$4207,0)),"Not Found"))</f>
        <v/>
      </c>
      <c r="E4014" s="27" t="str" cm="1">
        <f t="array" ref="E4014">IF(C4014="","",IFERROR(INDEX(STPP!$E$6:$E$4207,MATCH(C4014,STPP!$C$6:$C$4207,0)),"Not Found"))</f>
        <v/>
      </c>
      <c r="F4014" s="27" t="str" cm="1">
        <f t="array" ref="F4014">IF(C4014="","",IFERROR(INDEX(STPP!$F$6:$F$4207,MATCH(C4014,STPP!$C$6:$C$4207,0)),"Not Found"))</f>
        <v/>
      </c>
      <c r="G4014" s="25" t="str">
        <f>IF(表1[[#This Row],[No Seri]]="","",表1[[#This Row],[Deskripsi Barang]]+表1[[#This Row],[Kuantitas]]-表1[[#This Row],[Satuan]])</f>
        <v/>
      </c>
      <c r="H4014" s="28"/>
      <c r="I4014" s="25" t="str">
        <f>IF(表1[[#This Row],[Tgl NPBG]]&gt;表1[[#This Row],[Peminta]],表1[[#This Row],[Tgl NPBG]]-表1[[#This Row],[Peminta]],"")</f>
        <v/>
      </c>
      <c r="J4014" s="31"/>
    </row>
    <row r="4015" s="12" customFormat="1" customHeight="1" spans="2:10">
      <c r="B4015" s="25"/>
      <c r="C4015" s="25"/>
      <c r="D4015" s="26" t="str" cm="1">
        <f t="array" ref="D4015">IF(C4015="","",IFERROR(INDEX(STPP!$D$6:$D$4207,MATCH(C4015,STPP!$C$6:$C$4207,0)),"Not Found"))</f>
        <v/>
      </c>
      <c r="E4015" s="27" t="str" cm="1">
        <f t="array" ref="E4015">IF(C4015="","",IFERROR(INDEX(STPP!$E$6:$E$4207,MATCH(C4015,STPP!$C$6:$C$4207,0)),"Not Found"))</f>
        <v/>
      </c>
      <c r="F4015" s="27" t="str" cm="1">
        <f t="array" ref="F4015">IF(C4015="","",IFERROR(INDEX(STPP!$F$6:$F$4207,MATCH(C4015,STPP!$C$6:$C$4207,0)),"Not Found"))</f>
        <v/>
      </c>
      <c r="G4015" s="25" t="str">
        <f>IF(表1[[#This Row],[No Seri]]="","",表1[[#This Row],[Deskripsi Barang]]+表1[[#This Row],[Kuantitas]]-表1[[#This Row],[Satuan]])</f>
        <v/>
      </c>
      <c r="H4015" s="28"/>
      <c r="I4015" s="25" t="str">
        <f>IF(表1[[#This Row],[Tgl NPBG]]&gt;表1[[#This Row],[Peminta]],表1[[#This Row],[Tgl NPBG]]-表1[[#This Row],[Peminta]],"")</f>
        <v/>
      </c>
      <c r="J4015" s="31"/>
    </row>
    <row r="4016" s="12" customFormat="1" customHeight="1" spans="2:10">
      <c r="B4016" s="25"/>
      <c r="C4016" s="25"/>
      <c r="D4016" s="26" t="str" cm="1">
        <f t="array" ref="D4016">IF(C4016="","",IFERROR(INDEX(STPP!$D$6:$D$4207,MATCH(C4016,STPP!$C$6:$C$4207,0)),"Not Found"))</f>
        <v/>
      </c>
      <c r="E4016" s="27" t="str" cm="1">
        <f t="array" ref="E4016">IF(C4016="","",IFERROR(INDEX(STPP!$E$6:$E$4207,MATCH(C4016,STPP!$C$6:$C$4207,0)),"Not Found"))</f>
        <v/>
      </c>
      <c r="F4016" s="27" t="str" cm="1">
        <f t="array" ref="F4016">IF(C4016="","",IFERROR(INDEX(STPP!$F$6:$F$4207,MATCH(C4016,STPP!$C$6:$C$4207,0)),"Not Found"))</f>
        <v/>
      </c>
      <c r="G4016" s="25" t="str">
        <f>IF(表1[[#This Row],[No Seri]]="","",表1[[#This Row],[Deskripsi Barang]]+表1[[#This Row],[Kuantitas]]-表1[[#This Row],[Satuan]])</f>
        <v/>
      </c>
      <c r="H4016" s="28"/>
      <c r="I4016" s="25" t="str">
        <f>IF(表1[[#This Row],[Tgl NPBG]]&gt;表1[[#This Row],[Peminta]],表1[[#This Row],[Tgl NPBG]]-表1[[#This Row],[Peminta]],"")</f>
        <v/>
      </c>
      <c r="J4016" s="31"/>
    </row>
    <row r="4017" s="12" customFormat="1" customHeight="1" spans="2:10">
      <c r="B4017" s="25"/>
      <c r="C4017" s="25"/>
      <c r="D4017" s="26" t="str" cm="1">
        <f t="array" ref="D4017">IF(C4017="","",IFERROR(INDEX(STPP!$D$6:$D$4207,MATCH(C4017,STPP!$C$6:$C$4207,0)),"Not Found"))</f>
        <v/>
      </c>
      <c r="E4017" s="27" t="str" cm="1">
        <f t="array" ref="E4017">IF(C4017="","",IFERROR(INDEX(STPP!$E$6:$E$4207,MATCH(C4017,STPP!$C$6:$C$4207,0)),"Not Found"))</f>
        <v/>
      </c>
      <c r="F4017" s="27" t="str" cm="1">
        <f t="array" ref="F4017">IF(C4017="","",IFERROR(INDEX(STPP!$F$6:$F$4207,MATCH(C4017,STPP!$C$6:$C$4207,0)),"Not Found"))</f>
        <v/>
      </c>
      <c r="G4017" s="25" t="str">
        <f>IF(表1[[#This Row],[No Seri]]="","",表1[[#This Row],[Deskripsi Barang]]+表1[[#This Row],[Kuantitas]]-表1[[#This Row],[Satuan]])</f>
        <v/>
      </c>
      <c r="H4017" s="28"/>
      <c r="I4017" s="25" t="str">
        <f>IF(表1[[#This Row],[Tgl NPBG]]&gt;表1[[#This Row],[Peminta]],表1[[#This Row],[Tgl NPBG]]-表1[[#This Row],[Peminta]],"")</f>
        <v/>
      </c>
      <c r="J4017" s="31"/>
    </row>
    <row r="4018" s="12" customFormat="1" customHeight="1" spans="2:10">
      <c r="B4018" s="25"/>
      <c r="C4018" s="25"/>
      <c r="D4018" s="26" t="str" cm="1">
        <f t="array" ref="D4018">IF(C4018="","",IFERROR(INDEX(STPP!$D$6:$D$4207,MATCH(C4018,STPP!$C$6:$C$4207,0)),"Not Found"))</f>
        <v/>
      </c>
      <c r="E4018" s="27" t="str" cm="1">
        <f t="array" ref="E4018">IF(C4018="","",IFERROR(INDEX(STPP!$E$6:$E$4207,MATCH(C4018,STPP!$C$6:$C$4207,0)),"Not Found"))</f>
        <v/>
      </c>
      <c r="F4018" s="27" t="str" cm="1">
        <f t="array" ref="F4018">IF(C4018="","",IFERROR(INDEX(STPP!$F$6:$F$4207,MATCH(C4018,STPP!$C$6:$C$4207,0)),"Not Found"))</f>
        <v/>
      </c>
      <c r="G4018" s="25" t="str">
        <f>IF(表1[[#This Row],[No Seri]]="","",表1[[#This Row],[Deskripsi Barang]]+表1[[#This Row],[Kuantitas]]-表1[[#This Row],[Satuan]])</f>
        <v/>
      </c>
      <c r="H4018" s="28"/>
      <c r="I4018" s="25" t="str">
        <f>IF(表1[[#This Row],[Tgl NPBG]]&gt;表1[[#This Row],[Peminta]],表1[[#This Row],[Tgl NPBG]]-表1[[#This Row],[Peminta]],"")</f>
        <v/>
      </c>
      <c r="J4018" s="31"/>
    </row>
    <row r="4019" s="12" customFormat="1" customHeight="1" spans="2:10">
      <c r="B4019" s="25"/>
      <c r="C4019" s="25"/>
      <c r="D4019" s="26" t="str" cm="1">
        <f t="array" ref="D4019">IF(C4019="","",IFERROR(INDEX(STPP!$D$6:$D$4207,MATCH(C4019,STPP!$C$6:$C$4207,0)),"Not Found"))</f>
        <v/>
      </c>
      <c r="E4019" s="27" t="str" cm="1">
        <f t="array" ref="E4019">IF(C4019="","",IFERROR(INDEX(STPP!$E$6:$E$4207,MATCH(C4019,STPP!$C$6:$C$4207,0)),"Not Found"))</f>
        <v/>
      </c>
      <c r="F4019" s="27" t="str" cm="1">
        <f t="array" ref="F4019">IF(C4019="","",IFERROR(INDEX(STPP!$F$6:$F$4207,MATCH(C4019,STPP!$C$6:$C$4207,0)),"Not Found"))</f>
        <v/>
      </c>
      <c r="G4019" s="25" t="str">
        <f>IF(表1[[#This Row],[No Seri]]="","",表1[[#This Row],[Deskripsi Barang]]+表1[[#This Row],[Kuantitas]]-表1[[#This Row],[Satuan]])</f>
        <v/>
      </c>
      <c r="H4019" s="28"/>
      <c r="I4019" s="25" t="str">
        <f>IF(表1[[#This Row],[Tgl NPBG]]&gt;表1[[#This Row],[Peminta]],表1[[#This Row],[Tgl NPBG]]-表1[[#This Row],[Peminta]],"")</f>
        <v/>
      </c>
      <c r="J4019" s="31"/>
    </row>
    <row r="4020" s="12" customFormat="1" customHeight="1" spans="2:10">
      <c r="B4020" s="25"/>
      <c r="C4020" s="25"/>
      <c r="D4020" s="26" t="str" cm="1">
        <f t="array" ref="D4020">IF(C4020="","",IFERROR(INDEX(STPP!$D$6:$D$4207,MATCH(C4020,STPP!$C$6:$C$4207,0)),"Not Found"))</f>
        <v/>
      </c>
      <c r="E4020" s="27" t="str" cm="1">
        <f t="array" ref="E4020">IF(C4020="","",IFERROR(INDEX(STPP!$E$6:$E$4207,MATCH(C4020,STPP!$C$6:$C$4207,0)),"Not Found"))</f>
        <v/>
      </c>
      <c r="F4020" s="27" t="str" cm="1">
        <f t="array" ref="F4020">IF(C4020="","",IFERROR(INDEX(STPP!$F$6:$F$4207,MATCH(C4020,STPP!$C$6:$C$4207,0)),"Not Found"))</f>
        <v/>
      </c>
      <c r="G4020" s="25" t="str">
        <f>IF(表1[[#This Row],[No Seri]]="","",表1[[#This Row],[Deskripsi Barang]]+表1[[#This Row],[Kuantitas]]-表1[[#This Row],[Satuan]])</f>
        <v/>
      </c>
      <c r="H4020" s="28"/>
      <c r="I4020" s="25" t="str">
        <f>IF(表1[[#This Row],[Tgl NPBG]]&gt;表1[[#This Row],[Peminta]],表1[[#This Row],[Tgl NPBG]]-表1[[#This Row],[Peminta]],"")</f>
        <v/>
      </c>
      <c r="J4020" s="31"/>
    </row>
    <row r="4021" s="12" customFormat="1" customHeight="1" spans="2:10">
      <c r="B4021" s="25"/>
      <c r="C4021" s="25"/>
      <c r="D4021" s="26" t="str" cm="1">
        <f t="array" ref="D4021">IF(C4021="","",IFERROR(INDEX(STPP!$D$6:$D$4207,MATCH(C4021,STPP!$C$6:$C$4207,0)),"Not Found"))</f>
        <v/>
      </c>
      <c r="E4021" s="27" t="str" cm="1">
        <f t="array" ref="E4021">IF(C4021="","",IFERROR(INDEX(STPP!$E$6:$E$4207,MATCH(C4021,STPP!$C$6:$C$4207,0)),"Not Found"))</f>
        <v/>
      </c>
      <c r="F4021" s="27" t="str" cm="1">
        <f t="array" ref="F4021">IF(C4021="","",IFERROR(INDEX(STPP!$F$6:$F$4207,MATCH(C4021,STPP!$C$6:$C$4207,0)),"Not Found"))</f>
        <v/>
      </c>
      <c r="G4021" s="25" t="str">
        <f>IF(表1[[#This Row],[No Seri]]="","",表1[[#This Row],[Deskripsi Barang]]+表1[[#This Row],[Kuantitas]]-表1[[#This Row],[Satuan]])</f>
        <v/>
      </c>
      <c r="H4021" s="28"/>
      <c r="I4021" s="25" t="str">
        <f>IF(表1[[#This Row],[Tgl NPBG]]&gt;表1[[#This Row],[Peminta]],表1[[#This Row],[Tgl NPBG]]-表1[[#This Row],[Peminta]],"")</f>
        <v/>
      </c>
      <c r="J4021" s="31"/>
    </row>
    <row r="4022" s="12" customFormat="1" customHeight="1" spans="2:10">
      <c r="B4022" s="25"/>
      <c r="C4022" s="25"/>
      <c r="D4022" s="26" t="str" cm="1">
        <f t="array" ref="D4022">IF(C4022="","",IFERROR(INDEX(STPP!$D$6:$D$4207,MATCH(C4022,STPP!$C$6:$C$4207,0)),"Not Found"))</f>
        <v/>
      </c>
      <c r="E4022" s="27" t="str" cm="1">
        <f t="array" ref="E4022">IF(C4022="","",IFERROR(INDEX(STPP!$E$6:$E$4207,MATCH(C4022,STPP!$C$6:$C$4207,0)),"Not Found"))</f>
        <v/>
      </c>
      <c r="F4022" s="27" t="str" cm="1">
        <f t="array" ref="F4022">IF(C4022="","",IFERROR(INDEX(STPP!$F$6:$F$4207,MATCH(C4022,STPP!$C$6:$C$4207,0)),"Not Found"))</f>
        <v/>
      </c>
      <c r="G4022" s="25" t="str">
        <f>IF(表1[[#This Row],[No Seri]]="","",表1[[#This Row],[Deskripsi Barang]]+表1[[#This Row],[Kuantitas]]-表1[[#This Row],[Satuan]])</f>
        <v/>
      </c>
      <c r="H4022" s="28"/>
      <c r="I4022" s="25" t="str">
        <f>IF(表1[[#This Row],[Tgl NPBG]]&gt;表1[[#This Row],[Peminta]],表1[[#This Row],[Tgl NPBG]]-表1[[#This Row],[Peminta]],"")</f>
        <v/>
      </c>
      <c r="J4022" s="31"/>
    </row>
    <row r="4023" s="12" customFormat="1" customHeight="1" spans="2:10">
      <c r="B4023" s="25"/>
      <c r="C4023" s="25"/>
      <c r="D4023" s="26" t="str" cm="1">
        <f t="array" ref="D4023">IF(C4023="","",IFERROR(INDEX(STPP!$D$6:$D$4207,MATCH(C4023,STPP!$C$6:$C$4207,0)),"Not Found"))</f>
        <v/>
      </c>
      <c r="E4023" s="27" t="str" cm="1">
        <f t="array" ref="E4023">IF(C4023="","",IFERROR(INDEX(STPP!$E$6:$E$4207,MATCH(C4023,STPP!$C$6:$C$4207,0)),"Not Found"))</f>
        <v/>
      </c>
      <c r="F4023" s="27" t="str" cm="1">
        <f t="array" ref="F4023">IF(C4023="","",IFERROR(INDEX(STPP!$F$6:$F$4207,MATCH(C4023,STPP!$C$6:$C$4207,0)),"Not Found"))</f>
        <v/>
      </c>
      <c r="G4023" s="25" t="str">
        <f>IF(表1[[#This Row],[No Seri]]="","",表1[[#This Row],[Deskripsi Barang]]+表1[[#This Row],[Kuantitas]]-表1[[#This Row],[Satuan]])</f>
        <v/>
      </c>
      <c r="H4023" s="28"/>
      <c r="I4023" s="25" t="str">
        <f>IF(表1[[#This Row],[Tgl NPBG]]&gt;表1[[#This Row],[Peminta]],表1[[#This Row],[Tgl NPBG]]-表1[[#This Row],[Peminta]],"")</f>
        <v/>
      </c>
      <c r="J4023" s="31"/>
    </row>
    <row r="4024" s="12" customFormat="1" customHeight="1" spans="2:10">
      <c r="B4024" s="25"/>
      <c r="C4024" s="25"/>
      <c r="D4024" s="26" t="str" cm="1">
        <f t="array" ref="D4024">IF(C4024="","",IFERROR(INDEX(STPP!$D$6:$D$4207,MATCH(C4024,STPP!$C$6:$C$4207,0)),"Not Found"))</f>
        <v/>
      </c>
      <c r="E4024" s="27" t="str" cm="1">
        <f t="array" ref="E4024">IF(C4024="","",IFERROR(INDEX(STPP!$E$6:$E$4207,MATCH(C4024,STPP!$C$6:$C$4207,0)),"Not Found"))</f>
        <v/>
      </c>
      <c r="F4024" s="27" t="str" cm="1">
        <f t="array" ref="F4024">IF(C4024="","",IFERROR(INDEX(STPP!$F$6:$F$4207,MATCH(C4024,STPP!$C$6:$C$4207,0)),"Not Found"))</f>
        <v/>
      </c>
      <c r="G4024" s="25" t="str">
        <f>IF(表1[[#This Row],[No Seri]]="","",表1[[#This Row],[Deskripsi Barang]]+表1[[#This Row],[Kuantitas]]-表1[[#This Row],[Satuan]])</f>
        <v/>
      </c>
      <c r="H4024" s="28"/>
      <c r="I4024" s="25" t="str">
        <f>IF(表1[[#This Row],[Tgl NPBG]]&gt;表1[[#This Row],[Peminta]],表1[[#This Row],[Tgl NPBG]]-表1[[#This Row],[Peminta]],"")</f>
        <v/>
      </c>
      <c r="J4024" s="31"/>
    </row>
    <row r="4025" s="12" customFormat="1" customHeight="1" spans="2:10">
      <c r="B4025" s="25"/>
      <c r="C4025" s="25"/>
      <c r="D4025" s="26" t="str" cm="1">
        <f t="array" ref="D4025">IF(C4025="","",IFERROR(INDEX(STPP!$D$6:$D$4207,MATCH(C4025,STPP!$C$6:$C$4207,0)),"Not Found"))</f>
        <v/>
      </c>
      <c r="E4025" s="27" t="str" cm="1">
        <f t="array" ref="E4025">IF(C4025="","",IFERROR(INDEX(STPP!$E$6:$E$4207,MATCH(C4025,STPP!$C$6:$C$4207,0)),"Not Found"))</f>
        <v/>
      </c>
      <c r="F4025" s="27" t="str" cm="1">
        <f t="array" ref="F4025">IF(C4025="","",IFERROR(INDEX(STPP!$F$6:$F$4207,MATCH(C4025,STPP!$C$6:$C$4207,0)),"Not Found"))</f>
        <v/>
      </c>
      <c r="G4025" s="25" t="str">
        <f>IF(表1[[#This Row],[No Seri]]="","",表1[[#This Row],[Deskripsi Barang]]+表1[[#This Row],[Kuantitas]]-表1[[#This Row],[Satuan]])</f>
        <v/>
      </c>
      <c r="H4025" s="28"/>
      <c r="I4025" s="25" t="str">
        <f>IF(表1[[#This Row],[Tgl NPBG]]&gt;表1[[#This Row],[Peminta]],表1[[#This Row],[Tgl NPBG]]-表1[[#This Row],[Peminta]],"")</f>
        <v/>
      </c>
      <c r="J4025" s="31"/>
    </row>
    <row r="4026" s="12" customFormat="1" customHeight="1" spans="2:10">
      <c r="B4026" s="25"/>
      <c r="C4026" s="25"/>
      <c r="D4026" s="26" t="str" cm="1">
        <f t="array" ref="D4026">IF(C4026="","",IFERROR(INDEX(STPP!$D$6:$D$4207,MATCH(C4026,STPP!$C$6:$C$4207,0)),"Not Found"))</f>
        <v/>
      </c>
      <c r="E4026" s="27" t="str" cm="1">
        <f t="array" ref="E4026">IF(C4026="","",IFERROR(INDEX(STPP!$E$6:$E$4207,MATCH(C4026,STPP!$C$6:$C$4207,0)),"Not Found"))</f>
        <v/>
      </c>
      <c r="F4026" s="27" t="str" cm="1">
        <f t="array" ref="F4026">IF(C4026="","",IFERROR(INDEX(STPP!$F$6:$F$4207,MATCH(C4026,STPP!$C$6:$C$4207,0)),"Not Found"))</f>
        <v/>
      </c>
      <c r="G4026" s="25" t="str">
        <f>IF(表1[[#This Row],[No Seri]]="","",表1[[#This Row],[Deskripsi Barang]]+表1[[#This Row],[Kuantitas]]-表1[[#This Row],[Satuan]])</f>
        <v/>
      </c>
      <c r="H4026" s="28"/>
      <c r="I4026" s="25" t="str">
        <f>IF(表1[[#This Row],[Tgl NPBG]]&gt;表1[[#This Row],[Peminta]],表1[[#This Row],[Tgl NPBG]]-表1[[#This Row],[Peminta]],"")</f>
        <v/>
      </c>
      <c r="J4026" s="31"/>
    </row>
    <row r="4027" s="12" customFormat="1" customHeight="1" spans="2:10">
      <c r="B4027" s="25"/>
      <c r="C4027" s="25"/>
      <c r="D4027" s="26" t="str" cm="1">
        <f t="array" ref="D4027">IF(C4027="","",IFERROR(INDEX(STPP!$D$6:$D$4207,MATCH(C4027,STPP!$C$6:$C$4207,0)),"Not Found"))</f>
        <v/>
      </c>
      <c r="E4027" s="27" t="str" cm="1">
        <f t="array" ref="E4027">IF(C4027="","",IFERROR(INDEX(STPP!$E$6:$E$4207,MATCH(C4027,STPP!$C$6:$C$4207,0)),"Not Found"))</f>
        <v/>
      </c>
      <c r="F4027" s="27" t="str" cm="1">
        <f t="array" ref="F4027">IF(C4027="","",IFERROR(INDEX(STPP!$F$6:$F$4207,MATCH(C4027,STPP!$C$6:$C$4207,0)),"Not Found"))</f>
        <v/>
      </c>
      <c r="G4027" s="25" t="str">
        <f>IF(表1[[#This Row],[No Seri]]="","",表1[[#This Row],[Deskripsi Barang]]+表1[[#This Row],[Kuantitas]]-表1[[#This Row],[Satuan]])</f>
        <v/>
      </c>
      <c r="H4027" s="28"/>
      <c r="I4027" s="25" t="str">
        <f>IF(表1[[#This Row],[Tgl NPBG]]&gt;表1[[#This Row],[Peminta]],表1[[#This Row],[Tgl NPBG]]-表1[[#This Row],[Peminta]],"")</f>
        <v/>
      </c>
      <c r="J4027" s="31"/>
    </row>
    <row r="4028" s="12" customFormat="1" customHeight="1" spans="2:10">
      <c r="B4028" s="25"/>
      <c r="C4028" s="25"/>
      <c r="D4028" s="26" t="str" cm="1">
        <f t="array" ref="D4028">IF(C4028="","",IFERROR(INDEX(STPP!$D$6:$D$4207,MATCH(C4028,STPP!$C$6:$C$4207,0)),"Not Found"))</f>
        <v/>
      </c>
      <c r="E4028" s="27" t="str" cm="1">
        <f t="array" ref="E4028">IF(C4028="","",IFERROR(INDEX(STPP!$E$6:$E$4207,MATCH(C4028,STPP!$C$6:$C$4207,0)),"Not Found"))</f>
        <v/>
      </c>
      <c r="F4028" s="27" t="str" cm="1">
        <f t="array" ref="F4028">IF(C4028="","",IFERROR(INDEX(STPP!$F$6:$F$4207,MATCH(C4028,STPP!$C$6:$C$4207,0)),"Not Found"))</f>
        <v/>
      </c>
      <c r="G4028" s="25" t="str">
        <f>IF(表1[[#This Row],[No Seri]]="","",表1[[#This Row],[Deskripsi Barang]]+表1[[#This Row],[Kuantitas]]-表1[[#This Row],[Satuan]])</f>
        <v/>
      </c>
      <c r="H4028" s="28"/>
      <c r="I4028" s="25" t="str">
        <f>IF(表1[[#This Row],[Tgl NPBG]]&gt;表1[[#This Row],[Peminta]],表1[[#This Row],[Tgl NPBG]]-表1[[#This Row],[Peminta]],"")</f>
        <v/>
      </c>
      <c r="J4028" s="31"/>
    </row>
    <row r="4029" s="12" customFormat="1" customHeight="1" spans="2:10">
      <c r="B4029" s="25"/>
      <c r="C4029" s="25"/>
      <c r="D4029" s="26" t="str" cm="1">
        <f t="array" ref="D4029">IF(C4029="","",IFERROR(INDEX(STPP!$D$6:$D$4207,MATCH(C4029,STPP!$C$6:$C$4207,0)),"Not Found"))</f>
        <v/>
      </c>
      <c r="E4029" s="27" t="str" cm="1">
        <f t="array" ref="E4029">IF(C4029="","",IFERROR(INDEX(STPP!$E$6:$E$4207,MATCH(C4029,STPP!$C$6:$C$4207,0)),"Not Found"))</f>
        <v/>
      </c>
      <c r="F4029" s="27" t="str" cm="1">
        <f t="array" ref="F4029">IF(C4029="","",IFERROR(INDEX(STPP!$F$6:$F$4207,MATCH(C4029,STPP!$C$6:$C$4207,0)),"Not Found"))</f>
        <v/>
      </c>
      <c r="G4029" s="25" t="str">
        <f>IF(表1[[#This Row],[No Seri]]="","",表1[[#This Row],[Deskripsi Barang]]+表1[[#This Row],[Kuantitas]]-表1[[#This Row],[Satuan]])</f>
        <v/>
      </c>
      <c r="H4029" s="28"/>
      <c r="I4029" s="25" t="str">
        <f>IF(表1[[#This Row],[Tgl NPBG]]&gt;表1[[#This Row],[Peminta]],表1[[#This Row],[Tgl NPBG]]-表1[[#This Row],[Peminta]],"")</f>
        <v/>
      </c>
      <c r="J4029" s="31"/>
    </row>
    <row r="4030" s="12" customFormat="1" customHeight="1" spans="2:10">
      <c r="B4030" s="25"/>
      <c r="C4030" s="25"/>
      <c r="D4030" s="26" t="str" cm="1">
        <f t="array" ref="D4030">IF(C4030="","",IFERROR(INDEX(STPP!$D$6:$D$4207,MATCH(C4030,STPP!$C$6:$C$4207,0)),"Not Found"))</f>
        <v/>
      </c>
      <c r="E4030" s="27" t="str" cm="1">
        <f t="array" ref="E4030">IF(C4030="","",IFERROR(INDEX(STPP!$E$6:$E$4207,MATCH(C4030,STPP!$C$6:$C$4207,0)),"Not Found"))</f>
        <v/>
      </c>
      <c r="F4030" s="27" t="str" cm="1">
        <f t="array" ref="F4030">IF(C4030="","",IFERROR(INDEX(STPP!$F$6:$F$4207,MATCH(C4030,STPP!$C$6:$C$4207,0)),"Not Found"))</f>
        <v/>
      </c>
      <c r="G4030" s="25" t="str">
        <f>IF(表1[[#This Row],[No Seri]]="","",表1[[#This Row],[Deskripsi Barang]]+表1[[#This Row],[Kuantitas]]-表1[[#This Row],[Satuan]])</f>
        <v/>
      </c>
      <c r="H4030" s="28"/>
      <c r="I4030" s="25" t="str">
        <f>IF(表1[[#This Row],[Tgl NPBG]]&gt;表1[[#This Row],[Peminta]],表1[[#This Row],[Tgl NPBG]]-表1[[#This Row],[Peminta]],"")</f>
        <v/>
      </c>
      <c r="J4030" s="31"/>
    </row>
    <row r="4031" s="12" customFormat="1" customHeight="1" spans="2:10">
      <c r="B4031" s="25"/>
      <c r="C4031" s="25"/>
      <c r="D4031" s="26" t="str" cm="1">
        <f t="array" ref="D4031">IF(C4031="","",IFERROR(INDEX(STPP!$D$6:$D$4207,MATCH(C4031,STPP!$C$6:$C$4207,0)),"Not Found"))</f>
        <v/>
      </c>
      <c r="E4031" s="27" t="str" cm="1">
        <f t="array" ref="E4031">IF(C4031="","",IFERROR(INDEX(STPP!$E$6:$E$4207,MATCH(C4031,STPP!$C$6:$C$4207,0)),"Not Found"))</f>
        <v/>
      </c>
      <c r="F4031" s="27" t="str" cm="1">
        <f t="array" ref="F4031">IF(C4031="","",IFERROR(INDEX(STPP!$F$6:$F$4207,MATCH(C4031,STPP!$C$6:$C$4207,0)),"Not Found"))</f>
        <v/>
      </c>
      <c r="G4031" s="25" t="str">
        <f>IF(表1[[#This Row],[No Seri]]="","",表1[[#This Row],[Deskripsi Barang]]+表1[[#This Row],[Kuantitas]]-表1[[#This Row],[Satuan]])</f>
        <v/>
      </c>
      <c r="H4031" s="28"/>
      <c r="I4031" s="25" t="str">
        <f>IF(表1[[#This Row],[Tgl NPBG]]&gt;表1[[#This Row],[Peminta]],表1[[#This Row],[Tgl NPBG]]-表1[[#This Row],[Peminta]],"")</f>
        <v/>
      </c>
      <c r="J4031" s="31"/>
    </row>
    <row r="4032" s="12" customFormat="1" customHeight="1" spans="2:10">
      <c r="B4032" s="25"/>
      <c r="C4032" s="25"/>
      <c r="D4032" s="26" t="str" cm="1">
        <f t="array" ref="D4032">IF(C4032="","",IFERROR(INDEX(STPP!$D$6:$D$4207,MATCH(C4032,STPP!$C$6:$C$4207,0)),"Not Found"))</f>
        <v/>
      </c>
      <c r="E4032" s="27" t="str" cm="1">
        <f t="array" ref="E4032">IF(C4032="","",IFERROR(INDEX(STPP!$E$6:$E$4207,MATCH(C4032,STPP!$C$6:$C$4207,0)),"Not Found"))</f>
        <v/>
      </c>
      <c r="F4032" s="27" t="str" cm="1">
        <f t="array" ref="F4032">IF(C4032="","",IFERROR(INDEX(STPP!$F$6:$F$4207,MATCH(C4032,STPP!$C$6:$C$4207,0)),"Not Found"))</f>
        <v/>
      </c>
      <c r="G4032" s="25" t="str">
        <f>IF(表1[[#This Row],[No Seri]]="","",表1[[#This Row],[Deskripsi Barang]]+表1[[#This Row],[Kuantitas]]-表1[[#This Row],[Satuan]])</f>
        <v/>
      </c>
      <c r="H4032" s="28"/>
      <c r="I4032" s="25" t="str">
        <f>IF(表1[[#This Row],[Tgl NPBG]]&gt;表1[[#This Row],[Peminta]],表1[[#This Row],[Tgl NPBG]]-表1[[#This Row],[Peminta]],"")</f>
        <v/>
      </c>
      <c r="J4032" s="31"/>
    </row>
    <row r="4033" s="12" customFormat="1" customHeight="1" spans="2:10">
      <c r="B4033" s="25"/>
      <c r="C4033" s="25"/>
      <c r="D4033" s="26" t="str" cm="1">
        <f t="array" ref="D4033">IF(C4033="","",IFERROR(INDEX(STPP!$D$6:$D$4207,MATCH(C4033,STPP!$C$6:$C$4207,0)),"Not Found"))</f>
        <v/>
      </c>
      <c r="E4033" s="27" t="str" cm="1">
        <f t="array" ref="E4033">IF(C4033="","",IFERROR(INDEX(STPP!$E$6:$E$4207,MATCH(C4033,STPP!$C$6:$C$4207,0)),"Not Found"))</f>
        <v/>
      </c>
      <c r="F4033" s="27" t="str" cm="1">
        <f t="array" ref="F4033">IF(C4033="","",IFERROR(INDEX(STPP!$F$6:$F$4207,MATCH(C4033,STPP!$C$6:$C$4207,0)),"Not Found"))</f>
        <v/>
      </c>
      <c r="G4033" s="25" t="str">
        <f>IF(表1[[#This Row],[No Seri]]="","",表1[[#This Row],[Deskripsi Barang]]+表1[[#This Row],[Kuantitas]]-表1[[#This Row],[Satuan]])</f>
        <v/>
      </c>
      <c r="H4033" s="28"/>
      <c r="I4033" s="25" t="str">
        <f>IF(表1[[#This Row],[Tgl NPBG]]&gt;表1[[#This Row],[Peminta]],表1[[#This Row],[Tgl NPBG]]-表1[[#This Row],[Peminta]],"")</f>
        <v/>
      </c>
      <c r="J4033" s="31"/>
    </row>
    <row r="4034" s="12" customFormat="1" customHeight="1" spans="2:10">
      <c r="B4034" s="25"/>
      <c r="C4034" s="25"/>
      <c r="D4034" s="26" t="str" cm="1">
        <f t="array" ref="D4034">IF(C4034="","",IFERROR(INDEX(STPP!$D$6:$D$4207,MATCH(C4034,STPP!$C$6:$C$4207,0)),"Not Found"))</f>
        <v/>
      </c>
      <c r="E4034" s="27" t="str" cm="1">
        <f t="array" ref="E4034">IF(C4034="","",IFERROR(INDEX(STPP!$E$6:$E$4207,MATCH(C4034,STPP!$C$6:$C$4207,0)),"Not Found"))</f>
        <v/>
      </c>
      <c r="F4034" s="27" t="str" cm="1">
        <f t="array" ref="F4034">IF(C4034="","",IFERROR(INDEX(STPP!$F$6:$F$4207,MATCH(C4034,STPP!$C$6:$C$4207,0)),"Not Found"))</f>
        <v/>
      </c>
      <c r="G4034" s="25" t="str">
        <f>IF(表1[[#This Row],[No Seri]]="","",表1[[#This Row],[Deskripsi Barang]]+表1[[#This Row],[Kuantitas]]-表1[[#This Row],[Satuan]])</f>
        <v/>
      </c>
      <c r="H4034" s="28"/>
      <c r="I4034" s="25" t="str">
        <f>IF(表1[[#This Row],[Tgl NPBG]]&gt;表1[[#This Row],[Peminta]],表1[[#This Row],[Tgl NPBG]]-表1[[#This Row],[Peminta]],"")</f>
        <v/>
      </c>
      <c r="J4034" s="31"/>
    </row>
    <row r="4035" s="12" customFormat="1" customHeight="1" spans="2:10">
      <c r="B4035" s="25"/>
      <c r="C4035" s="25"/>
      <c r="D4035" s="26" t="str" cm="1">
        <f t="array" ref="D4035">IF(C4035="","",IFERROR(INDEX(STPP!$D$6:$D$4207,MATCH(C4035,STPP!$C$6:$C$4207,0)),"Not Found"))</f>
        <v/>
      </c>
      <c r="E4035" s="27" t="str" cm="1">
        <f t="array" ref="E4035">IF(C4035="","",IFERROR(INDEX(STPP!$E$6:$E$4207,MATCH(C4035,STPP!$C$6:$C$4207,0)),"Not Found"))</f>
        <v/>
      </c>
      <c r="F4035" s="27" t="str" cm="1">
        <f t="array" ref="F4035">IF(C4035="","",IFERROR(INDEX(STPP!$F$6:$F$4207,MATCH(C4035,STPP!$C$6:$C$4207,0)),"Not Found"))</f>
        <v/>
      </c>
      <c r="G4035" s="25" t="str">
        <f>IF(表1[[#This Row],[No Seri]]="","",表1[[#This Row],[Deskripsi Barang]]+表1[[#This Row],[Kuantitas]]-表1[[#This Row],[Satuan]])</f>
        <v/>
      </c>
      <c r="H4035" s="28"/>
      <c r="I4035" s="25" t="str">
        <f>IF(表1[[#This Row],[Tgl NPBG]]&gt;表1[[#This Row],[Peminta]],表1[[#This Row],[Tgl NPBG]]-表1[[#This Row],[Peminta]],"")</f>
        <v/>
      </c>
      <c r="J4035" s="31"/>
    </row>
    <row r="4036" s="12" customFormat="1" customHeight="1" spans="2:10">
      <c r="B4036" s="25"/>
      <c r="C4036" s="25"/>
      <c r="D4036" s="26" t="str" cm="1">
        <f t="array" ref="D4036">IF(C4036="","",IFERROR(INDEX(STPP!$D$6:$D$4207,MATCH(C4036,STPP!$C$6:$C$4207,0)),"Not Found"))</f>
        <v/>
      </c>
      <c r="E4036" s="27" t="str" cm="1">
        <f t="array" ref="E4036">IF(C4036="","",IFERROR(INDEX(STPP!$E$6:$E$4207,MATCH(C4036,STPP!$C$6:$C$4207,0)),"Not Found"))</f>
        <v/>
      </c>
      <c r="F4036" s="27" t="str" cm="1">
        <f t="array" ref="F4036">IF(C4036="","",IFERROR(INDEX(STPP!$F$6:$F$4207,MATCH(C4036,STPP!$C$6:$C$4207,0)),"Not Found"))</f>
        <v/>
      </c>
      <c r="G4036" s="25" t="str">
        <f>IF(表1[[#This Row],[No Seri]]="","",表1[[#This Row],[Deskripsi Barang]]+表1[[#This Row],[Kuantitas]]-表1[[#This Row],[Satuan]])</f>
        <v/>
      </c>
      <c r="H4036" s="28"/>
      <c r="I4036" s="25" t="str">
        <f>IF(表1[[#This Row],[Tgl NPBG]]&gt;表1[[#This Row],[Peminta]],表1[[#This Row],[Tgl NPBG]]-表1[[#This Row],[Peminta]],"")</f>
        <v/>
      </c>
      <c r="J4036" s="31"/>
    </row>
    <row r="4037" s="12" customFormat="1" customHeight="1" spans="2:10">
      <c r="B4037" s="25"/>
      <c r="C4037" s="25"/>
      <c r="D4037" s="26" t="str" cm="1">
        <f t="array" ref="D4037">IF(C4037="","",IFERROR(INDEX(STPP!$D$6:$D$4207,MATCH(C4037,STPP!$C$6:$C$4207,0)),"Not Found"))</f>
        <v/>
      </c>
      <c r="E4037" s="27" t="str" cm="1">
        <f t="array" ref="E4037">IF(C4037="","",IFERROR(INDEX(STPP!$E$6:$E$4207,MATCH(C4037,STPP!$C$6:$C$4207,0)),"Not Found"))</f>
        <v/>
      </c>
      <c r="F4037" s="27" t="str" cm="1">
        <f t="array" ref="F4037">IF(C4037="","",IFERROR(INDEX(STPP!$F$6:$F$4207,MATCH(C4037,STPP!$C$6:$C$4207,0)),"Not Found"))</f>
        <v/>
      </c>
      <c r="G4037" s="25" t="str">
        <f>IF(表1[[#This Row],[No Seri]]="","",表1[[#This Row],[Deskripsi Barang]]+表1[[#This Row],[Kuantitas]]-表1[[#This Row],[Satuan]])</f>
        <v/>
      </c>
      <c r="H4037" s="28"/>
      <c r="I4037" s="25" t="str">
        <f>IF(表1[[#This Row],[Tgl NPBG]]&gt;表1[[#This Row],[Peminta]],表1[[#This Row],[Tgl NPBG]]-表1[[#This Row],[Peminta]],"")</f>
        <v/>
      </c>
      <c r="J4037" s="31"/>
    </row>
    <row r="4038" s="12" customFormat="1" customHeight="1" spans="2:10">
      <c r="B4038" s="25"/>
      <c r="C4038" s="25"/>
      <c r="D4038" s="26" t="str" cm="1">
        <f t="array" ref="D4038">IF(C4038="","",IFERROR(INDEX(STPP!$D$6:$D$4207,MATCH(C4038,STPP!$C$6:$C$4207,0)),"Not Found"))</f>
        <v/>
      </c>
      <c r="E4038" s="27" t="str" cm="1">
        <f t="array" ref="E4038">IF(C4038="","",IFERROR(INDEX(STPP!$E$6:$E$4207,MATCH(C4038,STPP!$C$6:$C$4207,0)),"Not Found"))</f>
        <v/>
      </c>
      <c r="F4038" s="27" t="str" cm="1">
        <f t="array" ref="F4038">IF(C4038="","",IFERROR(INDEX(STPP!$F$6:$F$4207,MATCH(C4038,STPP!$C$6:$C$4207,0)),"Not Found"))</f>
        <v/>
      </c>
      <c r="G4038" s="25" t="str">
        <f>IF(表1[[#This Row],[No Seri]]="","",表1[[#This Row],[Deskripsi Barang]]+表1[[#This Row],[Kuantitas]]-表1[[#This Row],[Satuan]])</f>
        <v/>
      </c>
      <c r="H4038" s="28"/>
      <c r="I4038" s="25" t="str">
        <f>IF(表1[[#This Row],[Tgl NPBG]]&gt;表1[[#This Row],[Peminta]],表1[[#This Row],[Tgl NPBG]]-表1[[#This Row],[Peminta]],"")</f>
        <v/>
      </c>
      <c r="J4038" s="31"/>
    </row>
    <row r="4039" s="12" customFormat="1" customHeight="1" spans="2:10">
      <c r="B4039" s="25"/>
      <c r="C4039" s="25"/>
      <c r="D4039" s="26" t="str" cm="1">
        <f t="array" ref="D4039">IF(C4039="","",IFERROR(INDEX(STPP!$D$6:$D$4207,MATCH(C4039,STPP!$C$6:$C$4207,0)),"Not Found"))</f>
        <v/>
      </c>
      <c r="E4039" s="27" t="str" cm="1">
        <f t="array" ref="E4039">IF(C4039="","",IFERROR(INDEX(STPP!$E$6:$E$4207,MATCH(C4039,STPP!$C$6:$C$4207,0)),"Not Found"))</f>
        <v/>
      </c>
      <c r="F4039" s="27" t="str" cm="1">
        <f t="array" ref="F4039">IF(C4039="","",IFERROR(INDEX(STPP!$F$6:$F$4207,MATCH(C4039,STPP!$C$6:$C$4207,0)),"Not Found"))</f>
        <v/>
      </c>
      <c r="G4039" s="25" t="str">
        <f>IF(表1[[#This Row],[No Seri]]="","",表1[[#This Row],[Deskripsi Barang]]+表1[[#This Row],[Kuantitas]]-表1[[#This Row],[Satuan]])</f>
        <v/>
      </c>
      <c r="H4039" s="28"/>
      <c r="I4039" s="25" t="str">
        <f>IF(表1[[#This Row],[Tgl NPBG]]&gt;表1[[#This Row],[Peminta]],表1[[#This Row],[Tgl NPBG]]-表1[[#This Row],[Peminta]],"")</f>
        <v/>
      </c>
      <c r="J4039" s="31"/>
    </row>
    <row r="4040" s="12" customFormat="1" customHeight="1" spans="2:10">
      <c r="B4040" s="25"/>
      <c r="C4040" s="25"/>
      <c r="D4040" s="26" t="str" cm="1">
        <f t="array" ref="D4040">IF(C4040="","",IFERROR(INDEX(STPP!$D$6:$D$4207,MATCH(C4040,STPP!$C$6:$C$4207,0)),"Not Found"))</f>
        <v/>
      </c>
      <c r="E4040" s="27" t="str" cm="1">
        <f t="array" ref="E4040">IF(C4040="","",IFERROR(INDEX(STPP!$E$6:$E$4207,MATCH(C4040,STPP!$C$6:$C$4207,0)),"Not Found"))</f>
        <v/>
      </c>
      <c r="F4040" s="27" t="str" cm="1">
        <f t="array" ref="F4040">IF(C4040="","",IFERROR(INDEX(STPP!$F$6:$F$4207,MATCH(C4040,STPP!$C$6:$C$4207,0)),"Not Found"))</f>
        <v/>
      </c>
      <c r="G4040" s="25" t="str">
        <f>IF(表1[[#This Row],[No Seri]]="","",表1[[#This Row],[Deskripsi Barang]]+表1[[#This Row],[Kuantitas]]-表1[[#This Row],[Satuan]])</f>
        <v/>
      </c>
      <c r="H4040" s="28"/>
      <c r="I4040" s="25" t="str">
        <f>IF(表1[[#This Row],[Tgl NPBG]]&gt;表1[[#This Row],[Peminta]],表1[[#This Row],[Tgl NPBG]]-表1[[#This Row],[Peminta]],"")</f>
        <v/>
      </c>
      <c r="J4040" s="31"/>
    </row>
    <row r="4041" s="12" customFormat="1" customHeight="1" spans="2:10">
      <c r="B4041" s="25"/>
      <c r="C4041" s="25"/>
      <c r="D4041" s="26" t="str" cm="1">
        <f t="array" ref="D4041">IF(C4041="","",IFERROR(INDEX(STPP!$D$6:$D$4207,MATCH(C4041,STPP!$C$6:$C$4207,0)),"Not Found"))</f>
        <v/>
      </c>
      <c r="E4041" s="27" t="str" cm="1">
        <f t="array" ref="E4041">IF(C4041="","",IFERROR(INDEX(STPP!$E$6:$E$4207,MATCH(C4041,STPP!$C$6:$C$4207,0)),"Not Found"))</f>
        <v/>
      </c>
      <c r="F4041" s="27" t="str" cm="1">
        <f t="array" ref="F4041">IF(C4041="","",IFERROR(INDEX(STPP!$F$6:$F$4207,MATCH(C4041,STPP!$C$6:$C$4207,0)),"Not Found"))</f>
        <v/>
      </c>
      <c r="G4041" s="25" t="str">
        <f>IF(表1[[#This Row],[No Seri]]="","",表1[[#This Row],[Deskripsi Barang]]+表1[[#This Row],[Kuantitas]]-表1[[#This Row],[Satuan]])</f>
        <v/>
      </c>
      <c r="H4041" s="28"/>
      <c r="I4041" s="25" t="str">
        <f>IF(表1[[#This Row],[Tgl NPBG]]&gt;表1[[#This Row],[Peminta]],表1[[#This Row],[Tgl NPBG]]-表1[[#This Row],[Peminta]],"")</f>
        <v/>
      </c>
      <c r="J4041" s="31"/>
    </row>
    <row r="4042" s="12" customFormat="1" customHeight="1" spans="2:10">
      <c r="B4042" s="25"/>
      <c r="C4042" s="25"/>
      <c r="D4042" s="26" t="str" cm="1">
        <f t="array" ref="D4042">IF(C4042="","",IFERROR(INDEX(STPP!$D$6:$D$4207,MATCH(C4042,STPP!$C$6:$C$4207,0)),"Not Found"))</f>
        <v/>
      </c>
      <c r="E4042" s="27" t="str" cm="1">
        <f t="array" ref="E4042">IF(C4042="","",IFERROR(INDEX(STPP!$E$6:$E$4207,MATCH(C4042,STPP!$C$6:$C$4207,0)),"Not Found"))</f>
        <v/>
      </c>
      <c r="F4042" s="27" t="str" cm="1">
        <f t="array" ref="F4042">IF(C4042="","",IFERROR(INDEX(STPP!$F$6:$F$4207,MATCH(C4042,STPP!$C$6:$C$4207,0)),"Not Found"))</f>
        <v/>
      </c>
      <c r="G4042" s="25" t="str">
        <f>IF(表1[[#This Row],[No Seri]]="","",表1[[#This Row],[Deskripsi Barang]]+表1[[#This Row],[Kuantitas]]-表1[[#This Row],[Satuan]])</f>
        <v/>
      </c>
      <c r="H4042" s="28"/>
      <c r="I4042" s="25" t="str">
        <f>IF(表1[[#This Row],[Tgl NPBG]]&gt;表1[[#This Row],[Peminta]],表1[[#This Row],[Tgl NPBG]]-表1[[#This Row],[Peminta]],"")</f>
        <v/>
      </c>
      <c r="J4042" s="31"/>
    </row>
    <row r="4043" s="12" customFormat="1" customHeight="1" spans="2:10">
      <c r="B4043" s="25"/>
      <c r="C4043" s="25"/>
      <c r="D4043" s="26" t="str" cm="1">
        <f t="array" ref="D4043">IF(C4043="","",IFERROR(INDEX(STPP!$D$6:$D$4207,MATCH(C4043,STPP!$C$6:$C$4207,0)),"Not Found"))</f>
        <v/>
      </c>
      <c r="E4043" s="27" t="str" cm="1">
        <f t="array" ref="E4043">IF(C4043="","",IFERROR(INDEX(STPP!$E$6:$E$4207,MATCH(C4043,STPP!$C$6:$C$4207,0)),"Not Found"))</f>
        <v/>
      </c>
      <c r="F4043" s="27" t="str" cm="1">
        <f t="array" ref="F4043">IF(C4043="","",IFERROR(INDEX(STPP!$F$6:$F$4207,MATCH(C4043,STPP!$C$6:$C$4207,0)),"Not Found"))</f>
        <v/>
      </c>
      <c r="G4043" s="25" t="str">
        <f>IF(表1[[#This Row],[No Seri]]="","",表1[[#This Row],[Deskripsi Barang]]+表1[[#This Row],[Kuantitas]]-表1[[#This Row],[Satuan]])</f>
        <v/>
      </c>
      <c r="H4043" s="28"/>
      <c r="I4043" s="25" t="str">
        <f>IF(表1[[#This Row],[Tgl NPBG]]&gt;表1[[#This Row],[Peminta]],表1[[#This Row],[Tgl NPBG]]-表1[[#This Row],[Peminta]],"")</f>
        <v/>
      </c>
      <c r="J4043" s="31"/>
    </row>
    <row r="4044" s="12" customFormat="1" customHeight="1" spans="2:10">
      <c r="B4044" s="25"/>
      <c r="C4044" s="25"/>
      <c r="D4044" s="26" t="str" cm="1">
        <f t="array" ref="D4044">IF(C4044="","",IFERROR(INDEX(STPP!$D$6:$D$4207,MATCH(C4044,STPP!$C$6:$C$4207,0)),"Not Found"))</f>
        <v/>
      </c>
      <c r="E4044" s="27" t="str" cm="1">
        <f t="array" ref="E4044">IF(C4044="","",IFERROR(INDEX(STPP!$E$6:$E$4207,MATCH(C4044,STPP!$C$6:$C$4207,0)),"Not Found"))</f>
        <v/>
      </c>
      <c r="F4044" s="27" t="str" cm="1">
        <f t="array" ref="F4044">IF(C4044="","",IFERROR(INDEX(STPP!$F$6:$F$4207,MATCH(C4044,STPP!$C$6:$C$4207,0)),"Not Found"))</f>
        <v/>
      </c>
      <c r="G4044" s="25" t="str">
        <f>IF(表1[[#This Row],[No Seri]]="","",表1[[#This Row],[Deskripsi Barang]]+表1[[#This Row],[Kuantitas]]-表1[[#This Row],[Satuan]])</f>
        <v/>
      </c>
      <c r="H4044" s="28"/>
      <c r="I4044" s="25" t="str">
        <f>IF(表1[[#This Row],[Tgl NPBG]]&gt;表1[[#This Row],[Peminta]],表1[[#This Row],[Tgl NPBG]]-表1[[#This Row],[Peminta]],"")</f>
        <v/>
      </c>
      <c r="J4044" s="31"/>
    </row>
    <row r="4045" s="12" customFormat="1" customHeight="1" spans="2:10">
      <c r="B4045" s="25"/>
      <c r="C4045" s="25"/>
      <c r="D4045" s="26" t="str" cm="1">
        <f t="array" ref="D4045">IF(C4045="","",IFERROR(INDEX(STPP!$D$6:$D$4207,MATCH(C4045,STPP!$C$6:$C$4207,0)),"Not Found"))</f>
        <v/>
      </c>
      <c r="E4045" s="27" t="str" cm="1">
        <f t="array" ref="E4045">IF(C4045="","",IFERROR(INDEX(STPP!$E$6:$E$4207,MATCH(C4045,STPP!$C$6:$C$4207,0)),"Not Found"))</f>
        <v/>
      </c>
      <c r="F4045" s="27" t="str" cm="1">
        <f t="array" ref="F4045">IF(C4045="","",IFERROR(INDEX(STPP!$F$6:$F$4207,MATCH(C4045,STPP!$C$6:$C$4207,0)),"Not Found"))</f>
        <v/>
      </c>
      <c r="G4045" s="25" t="str">
        <f>IF(表1[[#This Row],[No Seri]]="","",表1[[#This Row],[Deskripsi Barang]]+表1[[#This Row],[Kuantitas]]-表1[[#This Row],[Satuan]])</f>
        <v/>
      </c>
      <c r="H4045" s="28"/>
      <c r="I4045" s="25" t="str">
        <f>IF(表1[[#This Row],[Tgl NPBG]]&gt;表1[[#This Row],[Peminta]],表1[[#This Row],[Tgl NPBG]]-表1[[#This Row],[Peminta]],"")</f>
        <v/>
      </c>
      <c r="J4045" s="31"/>
    </row>
    <row r="4046" s="12" customFormat="1" customHeight="1" spans="2:10">
      <c r="B4046" s="25"/>
      <c r="C4046" s="25"/>
      <c r="D4046" s="26" t="str" cm="1">
        <f t="array" ref="D4046">IF(C4046="","",IFERROR(INDEX(STPP!$D$6:$D$4207,MATCH(C4046,STPP!$C$6:$C$4207,0)),"Not Found"))</f>
        <v/>
      </c>
      <c r="E4046" s="27" t="str" cm="1">
        <f t="array" ref="E4046">IF(C4046="","",IFERROR(INDEX(STPP!$E$6:$E$4207,MATCH(C4046,STPP!$C$6:$C$4207,0)),"Not Found"))</f>
        <v/>
      </c>
      <c r="F4046" s="27" t="str" cm="1">
        <f t="array" ref="F4046">IF(C4046="","",IFERROR(INDEX(STPP!$F$6:$F$4207,MATCH(C4046,STPP!$C$6:$C$4207,0)),"Not Found"))</f>
        <v/>
      </c>
      <c r="G4046" s="25" t="str">
        <f>IF(表1[[#This Row],[No Seri]]="","",表1[[#This Row],[Deskripsi Barang]]+表1[[#This Row],[Kuantitas]]-表1[[#This Row],[Satuan]])</f>
        <v/>
      </c>
      <c r="H4046" s="28"/>
      <c r="I4046" s="25" t="str">
        <f>IF(表1[[#This Row],[Tgl NPBG]]&gt;表1[[#This Row],[Peminta]],表1[[#This Row],[Tgl NPBG]]-表1[[#This Row],[Peminta]],"")</f>
        <v/>
      </c>
      <c r="J4046" s="31"/>
    </row>
    <row r="4047" s="12" customFormat="1" customHeight="1" spans="2:10">
      <c r="B4047" s="25"/>
      <c r="C4047" s="25"/>
      <c r="D4047" s="26" t="str" cm="1">
        <f t="array" ref="D4047">IF(C4047="","",IFERROR(INDEX(STPP!$D$6:$D$4207,MATCH(C4047,STPP!$C$6:$C$4207,0)),"Not Found"))</f>
        <v/>
      </c>
      <c r="E4047" s="27" t="str" cm="1">
        <f t="array" ref="E4047">IF(C4047="","",IFERROR(INDEX(STPP!$E$6:$E$4207,MATCH(C4047,STPP!$C$6:$C$4207,0)),"Not Found"))</f>
        <v/>
      </c>
      <c r="F4047" s="27" t="str" cm="1">
        <f t="array" ref="F4047">IF(C4047="","",IFERROR(INDEX(STPP!$F$6:$F$4207,MATCH(C4047,STPP!$C$6:$C$4207,0)),"Not Found"))</f>
        <v/>
      </c>
      <c r="G4047" s="25" t="str">
        <f>IF(表1[[#This Row],[No Seri]]="","",表1[[#This Row],[Deskripsi Barang]]+表1[[#This Row],[Kuantitas]]-表1[[#This Row],[Satuan]])</f>
        <v/>
      </c>
      <c r="H4047" s="28"/>
      <c r="I4047" s="25" t="str">
        <f>IF(表1[[#This Row],[Tgl NPBG]]&gt;表1[[#This Row],[Peminta]],表1[[#This Row],[Tgl NPBG]]-表1[[#This Row],[Peminta]],"")</f>
        <v/>
      </c>
      <c r="J4047" s="31"/>
    </row>
    <row r="4048" s="12" customFormat="1" customHeight="1" spans="2:10">
      <c r="B4048" s="25"/>
      <c r="C4048" s="25"/>
      <c r="D4048" s="26" t="str" cm="1">
        <f t="array" ref="D4048">IF(C4048="","",IFERROR(INDEX(STPP!$D$6:$D$4207,MATCH(C4048,STPP!$C$6:$C$4207,0)),"Not Found"))</f>
        <v/>
      </c>
      <c r="E4048" s="27" t="str" cm="1">
        <f t="array" ref="E4048">IF(C4048="","",IFERROR(INDEX(STPP!$E$6:$E$4207,MATCH(C4048,STPP!$C$6:$C$4207,0)),"Not Found"))</f>
        <v/>
      </c>
      <c r="F4048" s="27" t="str" cm="1">
        <f t="array" ref="F4048">IF(C4048="","",IFERROR(INDEX(STPP!$F$6:$F$4207,MATCH(C4048,STPP!$C$6:$C$4207,0)),"Not Found"))</f>
        <v/>
      </c>
      <c r="G4048" s="25" t="str">
        <f>IF(表1[[#This Row],[No Seri]]="","",表1[[#This Row],[Deskripsi Barang]]+表1[[#This Row],[Kuantitas]]-表1[[#This Row],[Satuan]])</f>
        <v/>
      </c>
      <c r="H4048" s="28"/>
      <c r="I4048" s="25" t="str">
        <f>IF(表1[[#This Row],[Tgl NPBG]]&gt;表1[[#This Row],[Peminta]],表1[[#This Row],[Tgl NPBG]]-表1[[#This Row],[Peminta]],"")</f>
        <v/>
      </c>
      <c r="J4048" s="31"/>
    </row>
    <row r="4049" s="12" customFormat="1" customHeight="1" spans="2:10">
      <c r="B4049" s="25"/>
      <c r="C4049" s="25"/>
      <c r="D4049" s="26" t="str" cm="1">
        <f t="array" ref="D4049">IF(C4049="","",IFERROR(INDEX(STPP!$D$6:$D$4207,MATCH(C4049,STPP!$C$6:$C$4207,0)),"Not Found"))</f>
        <v/>
      </c>
      <c r="E4049" s="27" t="str" cm="1">
        <f t="array" ref="E4049">IF(C4049="","",IFERROR(INDEX(STPP!$E$6:$E$4207,MATCH(C4049,STPP!$C$6:$C$4207,0)),"Not Found"))</f>
        <v/>
      </c>
      <c r="F4049" s="27" t="str" cm="1">
        <f t="array" ref="F4049">IF(C4049="","",IFERROR(INDEX(STPP!$F$6:$F$4207,MATCH(C4049,STPP!$C$6:$C$4207,0)),"Not Found"))</f>
        <v/>
      </c>
      <c r="G4049" s="25" t="str">
        <f>IF(表1[[#This Row],[No Seri]]="","",表1[[#This Row],[Deskripsi Barang]]+表1[[#This Row],[Kuantitas]]-表1[[#This Row],[Satuan]])</f>
        <v/>
      </c>
      <c r="H4049" s="28"/>
      <c r="I4049" s="25" t="str">
        <f>IF(表1[[#This Row],[Tgl NPBG]]&gt;表1[[#This Row],[Peminta]],表1[[#This Row],[Tgl NPBG]]-表1[[#This Row],[Peminta]],"")</f>
        <v/>
      </c>
      <c r="J4049" s="31"/>
    </row>
    <row r="4050" s="12" customFormat="1" customHeight="1" spans="2:10">
      <c r="B4050" s="25"/>
      <c r="C4050" s="25"/>
      <c r="D4050" s="26" t="str" cm="1">
        <f t="array" ref="D4050">IF(C4050="","",IFERROR(INDEX(STPP!$D$6:$D$4207,MATCH(C4050,STPP!$C$6:$C$4207,0)),"Not Found"))</f>
        <v/>
      </c>
      <c r="E4050" s="27" t="str" cm="1">
        <f t="array" ref="E4050">IF(C4050="","",IFERROR(INDEX(STPP!$E$6:$E$4207,MATCH(C4050,STPP!$C$6:$C$4207,0)),"Not Found"))</f>
        <v/>
      </c>
      <c r="F4050" s="27" t="str" cm="1">
        <f t="array" ref="F4050">IF(C4050="","",IFERROR(INDEX(STPP!$F$6:$F$4207,MATCH(C4050,STPP!$C$6:$C$4207,0)),"Not Found"))</f>
        <v/>
      </c>
      <c r="G4050" s="25" t="str">
        <f>IF(表1[[#This Row],[No Seri]]="","",表1[[#This Row],[Deskripsi Barang]]+表1[[#This Row],[Kuantitas]]-表1[[#This Row],[Satuan]])</f>
        <v/>
      </c>
      <c r="H4050" s="28"/>
      <c r="I4050" s="25" t="str">
        <f>IF(表1[[#This Row],[Tgl NPBG]]&gt;表1[[#This Row],[Peminta]],表1[[#This Row],[Tgl NPBG]]-表1[[#This Row],[Peminta]],"")</f>
        <v/>
      </c>
      <c r="J4050" s="31"/>
    </row>
    <row r="4051" s="12" customFormat="1" customHeight="1" spans="2:10">
      <c r="B4051" s="25"/>
      <c r="C4051" s="25"/>
      <c r="D4051" s="26" t="str" cm="1">
        <f t="array" ref="D4051">IF(C4051="","",IFERROR(INDEX(STPP!$D$6:$D$4207,MATCH(C4051,STPP!$C$6:$C$4207,0)),"Not Found"))</f>
        <v/>
      </c>
      <c r="E4051" s="27" t="str" cm="1">
        <f t="array" ref="E4051">IF(C4051="","",IFERROR(INDEX(STPP!$E$6:$E$4207,MATCH(C4051,STPP!$C$6:$C$4207,0)),"Not Found"))</f>
        <v/>
      </c>
      <c r="F4051" s="27" t="str" cm="1">
        <f t="array" ref="F4051">IF(C4051="","",IFERROR(INDEX(STPP!$F$6:$F$4207,MATCH(C4051,STPP!$C$6:$C$4207,0)),"Not Found"))</f>
        <v/>
      </c>
      <c r="G4051" s="25" t="str">
        <f>IF(表1[[#This Row],[No Seri]]="","",表1[[#This Row],[Deskripsi Barang]]+表1[[#This Row],[Kuantitas]]-表1[[#This Row],[Satuan]])</f>
        <v/>
      </c>
      <c r="H4051" s="28"/>
      <c r="I4051" s="25" t="str">
        <f>IF(表1[[#This Row],[Tgl NPBG]]&gt;表1[[#This Row],[Peminta]],表1[[#This Row],[Tgl NPBG]]-表1[[#This Row],[Peminta]],"")</f>
        <v/>
      </c>
      <c r="J4051" s="31"/>
    </row>
    <row r="4052" s="12" customFormat="1" customHeight="1" spans="2:10">
      <c r="B4052" s="25"/>
      <c r="C4052" s="25"/>
      <c r="D4052" s="26" t="str" cm="1">
        <f t="array" ref="D4052">IF(C4052="","",IFERROR(INDEX(STPP!$D$6:$D$4207,MATCH(C4052,STPP!$C$6:$C$4207,0)),"Not Found"))</f>
        <v/>
      </c>
      <c r="E4052" s="27" t="str" cm="1">
        <f t="array" ref="E4052">IF(C4052="","",IFERROR(INDEX(STPP!$E$6:$E$4207,MATCH(C4052,STPP!$C$6:$C$4207,0)),"Not Found"))</f>
        <v/>
      </c>
      <c r="F4052" s="27" t="str" cm="1">
        <f t="array" ref="F4052">IF(C4052="","",IFERROR(INDEX(STPP!$F$6:$F$4207,MATCH(C4052,STPP!$C$6:$C$4207,0)),"Not Found"))</f>
        <v/>
      </c>
      <c r="G4052" s="25" t="str">
        <f>IF(表1[[#This Row],[No Seri]]="","",表1[[#This Row],[Deskripsi Barang]]+表1[[#This Row],[Kuantitas]]-表1[[#This Row],[Satuan]])</f>
        <v/>
      </c>
      <c r="H4052" s="28"/>
      <c r="I4052" s="25" t="str">
        <f>IF(表1[[#This Row],[Tgl NPBG]]&gt;表1[[#This Row],[Peminta]],表1[[#This Row],[Tgl NPBG]]-表1[[#This Row],[Peminta]],"")</f>
        <v/>
      </c>
      <c r="J4052" s="31"/>
    </row>
    <row r="4053" s="12" customFormat="1" customHeight="1" spans="2:10">
      <c r="B4053" s="25"/>
      <c r="C4053" s="25"/>
      <c r="D4053" s="26" t="str" cm="1">
        <f t="array" ref="D4053">IF(C4053="","",IFERROR(INDEX(STPP!$D$6:$D$4207,MATCH(C4053,STPP!$C$6:$C$4207,0)),"Not Found"))</f>
        <v/>
      </c>
      <c r="E4053" s="27" t="str" cm="1">
        <f t="array" ref="E4053">IF(C4053="","",IFERROR(INDEX(STPP!$E$6:$E$4207,MATCH(C4053,STPP!$C$6:$C$4207,0)),"Not Found"))</f>
        <v/>
      </c>
      <c r="F4053" s="27" t="str" cm="1">
        <f t="array" ref="F4053">IF(C4053="","",IFERROR(INDEX(STPP!$F$6:$F$4207,MATCH(C4053,STPP!$C$6:$C$4207,0)),"Not Found"))</f>
        <v/>
      </c>
      <c r="G4053" s="25" t="str">
        <f>IF(表1[[#This Row],[No Seri]]="","",表1[[#This Row],[Deskripsi Barang]]+表1[[#This Row],[Kuantitas]]-表1[[#This Row],[Satuan]])</f>
        <v/>
      </c>
      <c r="H4053" s="28"/>
      <c r="I4053" s="25" t="str">
        <f>IF(表1[[#This Row],[Tgl NPBG]]&gt;表1[[#This Row],[Peminta]],表1[[#This Row],[Tgl NPBG]]-表1[[#This Row],[Peminta]],"")</f>
        <v/>
      </c>
      <c r="J4053" s="31"/>
    </row>
    <row r="4054" s="12" customFormat="1" customHeight="1" spans="2:10">
      <c r="B4054" s="25"/>
      <c r="C4054" s="25"/>
      <c r="D4054" s="26" t="str" cm="1">
        <f t="array" ref="D4054">IF(C4054="","",IFERROR(INDEX(STPP!$D$6:$D$4207,MATCH(C4054,STPP!$C$6:$C$4207,0)),"Not Found"))</f>
        <v/>
      </c>
      <c r="E4054" s="27" t="str" cm="1">
        <f t="array" ref="E4054">IF(C4054="","",IFERROR(INDEX(STPP!$E$6:$E$4207,MATCH(C4054,STPP!$C$6:$C$4207,0)),"Not Found"))</f>
        <v/>
      </c>
      <c r="F4054" s="27" t="str" cm="1">
        <f t="array" ref="F4054">IF(C4054="","",IFERROR(INDEX(STPP!$F$6:$F$4207,MATCH(C4054,STPP!$C$6:$C$4207,0)),"Not Found"))</f>
        <v/>
      </c>
      <c r="G4054" s="25" t="str">
        <f>IF(表1[[#This Row],[No Seri]]="","",表1[[#This Row],[Deskripsi Barang]]+表1[[#This Row],[Kuantitas]]-表1[[#This Row],[Satuan]])</f>
        <v/>
      </c>
      <c r="H4054" s="28"/>
      <c r="I4054" s="25" t="str">
        <f>IF(表1[[#This Row],[Tgl NPBG]]&gt;表1[[#This Row],[Peminta]],表1[[#This Row],[Tgl NPBG]]-表1[[#This Row],[Peminta]],"")</f>
        <v/>
      </c>
      <c r="J4054" s="31"/>
    </row>
    <row r="4055" s="12" customFormat="1" customHeight="1" spans="2:10">
      <c r="B4055" s="25"/>
      <c r="C4055" s="25"/>
      <c r="D4055" s="26" t="str" cm="1">
        <f t="array" ref="D4055">IF(C4055="","",IFERROR(INDEX(STPP!$D$6:$D$4207,MATCH(C4055,STPP!$C$6:$C$4207,0)),"Not Found"))</f>
        <v/>
      </c>
      <c r="E4055" s="27" t="str" cm="1">
        <f t="array" ref="E4055">IF(C4055="","",IFERROR(INDEX(STPP!$E$6:$E$4207,MATCH(C4055,STPP!$C$6:$C$4207,0)),"Not Found"))</f>
        <v/>
      </c>
      <c r="F4055" s="27" t="str" cm="1">
        <f t="array" ref="F4055">IF(C4055="","",IFERROR(INDEX(STPP!$F$6:$F$4207,MATCH(C4055,STPP!$C$6:$C$4207,0)),"Not Found"))</f>
        <v/>
      </c>
      <c r="G4055" s="25" t="str">
        <f>IF(表1[[#This Row],[No Seri]]="","",表1[[#This Row],[Deskripsi Barang]]+表1[[#This Row],[Kuantitas]]-表1[[#This Row],[Satuan]])</f>
        <v/>
      </c>
      <c r="H4055" s="28"/>
      <c r="I4055" s="25" t="str">
        <f>IF(表1[[#This Row],[Tgl NPBG]]&gt;表1[[#This Row],[Peminta]],表1[[#This Row],[Tgl NPBG]]-表1[[#This Row],[Peminta]],"")</f>
        <v/>
      </c>
      <c r="J4055" s="31"/>
    </row>
    <row r="4056" s="12" customFormat="1" customHeight="1" spans="2:10">
      <c r="B4056" s="25"/>
      <c r="C4056" s="25"/>
      <c r="D4056" s="26" t="str" cm="1">
        <f t="array" ref="D4056">IF(C4056="","",IFERROR(INDEX(STPP!$D$6:$D$4207,MATCH(C4056,STPP!$C$6:$C$4207,0)),"Not Found"))</f>
        <v/>
      </c>
      <c r="E4056" s="27" t="str" cm="1">
        <f t="array" ref="E4056">IF(C4056="","",IFERROR(INDEX(STPP!$E$6:$E$4207,MATCH(C4056,STPP!$C$6:$C$4207,0)),"Not Found"))</f>
        <v/>
      </c>
      <c r="F4056" s="27" t="str" cm="1">
        <f t="array" ref="F4056">IF(C4056="","",IFERROR(INDEX(STPP!$F$6:$F$4207,MATCH(C4056,STPP!$C$6:$C$4207,0)),"Not Found"))</f>
        <v/>
      </c>
      <c r="G4056" s="25" t="str">
        <f>IF(表1[[#This Row],[No Seri]]="","",表1[[#This Row],[Deskripsi Barang]]+表1[[#This Row],[Kuantitas]]-表1[[#This Row],[Satuan]])</f>
        <v/>
      </c>
      <c r="H4056" s="28"/>
      <c r="I4056" s="25" t="str">
        <f>IF(表1[[#This Row],[Tgl NPBG]]&gt;表1[[#This Row],[Peminta]],表1[[#This Row],[Tgl NPBG]]-表1[[#This Row],[Peminta]],"")</f>
        <v/>
      </c>
      <c r="J4056" s="31"/>
    </row>
    <row r="4057" s="12" customFormat="1" customHeight="1" spans="2:10">
      <c r="B4057" s="25"/>
      <c r="C4057" s="25"/>
      <c r="D4057" s="26" t="str" cm="1">
        <f t="array" ref="D4057">IF(C4057="","",IFERROR(INDEX(STPP!$D$6:$D$4207,MATCH(C4057,STPP!$C$6:$C$4207,0)),"Not Found"))</f>
        <v/>
      </c>
      <c r="E4057" s="27" t="str" cm="1">
        <f t="array" ref="E4057">IF(C4057="","",IFERROR(INDEX(STPP!$E$6:$E$4207,MATCH(C4057,STPP!$C$6:$C$4207,0)),"Not Found"))</f>
        <v/>
      </c>
      <c r="F4057" s="27" t="str" cm="1">
        <f t="array" ref="F4057">IF(C4057="","",IFERROR(INDEX(STPP!$F$6:$F$4207,MATCH(C4057,STPP!$C$6:$C$4207,0)),"Not Found"))</f>
        <v/>
      </c>
      <c r="G4057" s="25" t="str">
        <f>IF(表1[[#This Row],[No Seri]]="","",表1[[#This Row],[Deskripsi Barang]]+表1[[#This Row],[Kuantitas]]-表1[[#This Row],[Satuan]])</f>
        <v/>
      </c>
      <c r="H4057" s="28"/>
      <c r="I4057" s="25" t="str">
        <f>IF(表1[[#This Row],[Tgl NPBG]]&gt;表1[[#This Row],[Peminta]],表1[[#This Row],[Tgl NPBG]]-表1[[#This Row],[Peminta]],"")</f>
        <v/>
      </c>
      <c r="J4057" s="31"/>
    </row>
    <row r="4058" s="12" customFormat="1" customHeight="1" spans="2:10">
      <c r="B4058" s="25"/>
      <c r="C4058" s="25"/>
      <c r="D4058" s="26" t="str" cm="1">
        <f t="array" ref="D4058">IF(C4058="","",IFERROR(INDEX(STPP!$D$6:$D$4207,MATCH(C4058,STPP!$C$6:$C$4207,0)),"Not Found"))</f>
        <v/>
      </c>
      <c r="E4058" s="27" t="str" cm="1">
        <f t="array" ref="E4058">IF(C4058="","",IFERROR(INDEX(STPP!$E$6:$E$4207,MATCH(C4058,STPP!$C$6:$C$4207,0)),"Not Found"))</f>
        <v/>
      </c>
      <c r="F4058" s="27" t="str" cm="1">
        <f t="array" ref="F4058">IF(C4058="","",IFERROR(INDEX(STPP!$F$6:$F$4207,MATCH(C4058,STPP!$C$6:$C$4207,0)),"Not Found"))</f>
        <v/>
      </c>
      <c r="G4058" s="25" t="str">
        <f>IF(表1[[#This Row],[No Seri]]="","",表1[[#This Row],[Deskripsi Barang]]+表1[[#This Row],[Kuantitas]]-表1[[#This Row],[Satuan]])</f>
        <v/>
      </c>
      <c r="H4058" s="28"/>
      <c r="I4058" s="25" t="str">
        <f>IF(表1[[#This Row],[Tgl NPBG]]&gt;表1[[#This Row],[Peminta]],表1[[#This Row],[Tgl NPBG]]-表1[[#This Row],[Peminta]],"")</f>
        <v/>
      </c>
      <c r="J4058" s="31"/>
    </row>
    <row r="4059" s="12" customFormat="1" customHeight="1" spans="2:10">
      <c r="B4059" s="25"/>
      <c r="C4059" s="25"/>
      <c r="D4059" s="26" t="str" cm="1">
        <f t="array" ref="D4059">IF(C4059="","",IFERROR(INDEX(STPP!$D$6:$D$4207,MATCH(C4059,STPP!$C$6:$C$4207,0)),"Not Found"))</f>
        <v/>
      </c>
      <c r="E4059" s="27" t="str" cm="1">
        <f t="array" ref="E4059">IF(C4059="","",IFERROR(INDEX(STPP!$E$6:$E$4207,MATCH(C4059,STPP!$C$6:$C$4207,0)),"Not Found"))</f>
        <v/>
      </c>
      <c r="F4059" s="27" t="str" cm="1">
        <f t="array" ref="F4059">IF(C4059="","",IFERROR(INDEX(STPP!$F$6:$F$4207,MATCH(C4059,STPP!$C$6:$C$4207,0)),"Not Found"))</f>
        <v/>
      </c>
      <c r="G4059" s="25" t="str">
        <f>IF(表1[[#This Row],[No Seri]]="","",表1[[#This Row],[Deskripsi Barang]]+表1[[#This Row],[Kuantitas]]-表1[[#This Row],[Satuan]])</f>
        <v/>
      </c>
      <c r="H4059" s="28"/>
      <c r="I4059" s="25" t="str">
        <f>IF(表1[[#This Row],[Tgl NPBG]]&gt;表1[[#This Row],[Peminta]],表1[[#This Row],[Tgl NPBG]]-表1[[#This Row],[Peminta]],"")</f>
        <v/>
      </c>
      <c r="J4059" s="31"/>
    </row>
    <row r="4060" s="12" customFormat="1" customHeight="1" spans="2:10">
      <c r="B4060" s="25"/>
      <c r="C4060" s="25"/>
      <c r="D4060" s="26" t="str" cm="1">
        <f t="array" ref="D4060">IF(C4060="","",IFERROR(INDEX(STPP!$D$6:$D$4207,MATCH(C4060,STPP!$C$6:$C$4207,0)),"Not Found"))</f>
        <v/>
      </c>
      <c r="E4060" s="27" t="str" cm="1">
        <f t="array" ref="E4060">IF(C4060="","",IFERROR(INDEX(STPP!$E$6:$E$4207,MATCH(C4060,STPP!$C$6:$C$4207,0)),"Not Found"))</f>
        <v/>
      </c>
      <c r="F4060" s="27" t="str" cm="1">
        <f t="array" ref="F4060">IF(C4060="","",IFERROR(INDEX(STPP!$F$6:$F$4207,MATCH(C4060,STPP!$C$6:$C$4207,0)),"Not Found"))</f>
        <v/>
      </c>
      <c r="G4060" s="25" t="str">
        <f>IF(表1[[#This Row],[No Seri]]="","",表1[[#This Row],[Deskripsi Barang]]+表1[[#This Row],[Kuantitas]]-表1[[#This Row],[Satuan]])</f>
        <v/>
      </c>
      <c r="H4060" s="28"/>
      <c r="I4060" s="25" t="str">
        <f>IF(表1[[#This Row],[Tgl NPBG]]&gt;表1[[#This Row],[Peminta]],表1[[#This Row],[Tgl NPBG]]-表1[[#This Row],[Peminta]],"")</f>
        <v/>
      </c>
      <c r="J4060" s="31"/>
    </row>
    <row r="4061" s="12" customFormat="1" customHeight="1" spans="2:10">
      <c r="B4061" s="25"/>
      <c r="C4061" s="25"/>
      <c r="D4061" s="26" t="str" cm="1">
        <f t="array" ref="D4061">IF(C4061="","",IFERROR(INDEX(STPP!$D$6:$D$4207,MATCH(C4061,STPP!$C$6:$C$4207,0)),"Not Found"))</f>
        <v/>
      </c>
      <c r="E4061" s="27" t="str" cm="1">
        <f t="array" ref="E4061">IF(C4061="","",IFERROR(INDEX(STPP!$E$6:$E$4207,MATCH(C4061,STPP!$C$6:$C$4207,0)),"Not Found"))</f>
        <v/>
      </c>
      <c r="F4061" s="27" t="str" cm="1">
        <f t="array" ref="F4061">IF(C4061="","",IFERROR(INDEX(STPP!$F$6:$F$4207,MATCH(C4061,STPP!$C$6:$C$4207,0)),"Not Found"))</f>
        <v/>
      </c>
      <c r="G4061" s="25" t="str">
        <f>IF(表1[[#This Row],[No Seri]]="","",表1[[#This Row],[Deskripsi Barang]]+表1[[#This Row],[Kuantitas]]-表1[[#This Row],[Satuan]])</f>
        <v/>
      </c>
      <c r="H4061" s="28"/>
      <c r="I4061" s="25" t="str">
        <f>IF(表1[[#This Row],[Tgl NPBG]]&gt;表1[[#This Row],[Peminta]],表1[[#This Row],[Tgl NPBG]]-表1[[#This Row],[Peminta]],"")</f>
        <v/>
      </c>
      <c r="J4061" s="31"/>
    </row>
    <row r="4062" s="12" customFormat="1" customHeight="1" spans="2:10">
      <c r="B4062" s="25"/>
      <c r="C4062" s="25"/>
      <c r="D4062" s="26" t="str" cm="1">
        <f t="array" ref="D4062">IF(C4062="","",IFERROR(INDEX(STPP!$D$6:$D$4207,MATCH(C4062,STPP!$C$6:$C$4207,0)),"Not Found"))</f>
        <v/>
      </c>
      <c r="E4062" s="27" t="str" cm="1">
        <f t="array" ref="E4062">IF(C4062="","",IFERROR(INDEX(STPP!$E$6:$E$4207,MATCH(C4062,STPP!$C$6:$C$4207,0)),"Not Found"))</f>
        <v/>
      </c>
      <c r="F4062" s="27" t="str" cm="1">
        <f t="array" ref="F4062">IF(C4062="","",IFERROR(INDEX(STPP!$F$6:$F$4207,MATCH(C4062,STPP!$C$6:$C$4207,0)),"Not Found"))</f>
        <v/>
      </c>
      <c r="G4062" s="25" t="str">
        <f>IF(表1[[#This Row],[No Seri]]="","",表1[[#This Row],[Deskripsi Barang]]+表1[[#This Row],[Kuantitas]]-表1[[#This Row],[Satuan]])</f>
        <v/>
      </c>
      <c r="H4062" s="28"/>
      <c r="I4062" s="25" t="str">
        <f>IF(表1[[#This Row],[Tgl NPBG]]&gt;表1[[#This Row],[Peminta]],表1[[#This Row],[Tgl NPBG]]-表1[[#This Row],[Peminta]],"")</f>
        <v/>
      </c>
      <c r="J4062" s="31"/>
    </row>
    <row r="4063" s="12" customFormat="1" customHeight="1" spans="2:10">
      <c r="B4063" s="25"/>
      <c r="C4063" s="25"/>
      <c r="D4063" s="26" t="str" cm="1">
        <f t="array" ref="D4063">IF(C4063="","",IFERROR(INDEX(STPP!$D$6:$D$4207,MATCH(C4063,STPP!$C$6:$C$4207,0)),"Not Found"))</f>
        <v/>
      </c>
      <c r="E4063" s="27" t="str" cm="1">
        <f t="array" ref="E4063">IF(C4063="","",IFERROR(INDEX(STPP!$E$6:$E$4207,MATCH(C4063,STPP!$C$6:$C$4207,0)),"Not Found"))</f>
        <v/>
      </c>
      <c r="F4063" s="27" t="str" cm="1">
        <f t="array" ref="F4063">IF(C4063="","",IFERROR(INDEX(STPP!$F$6:$F$4207,MATCH(C4063,STPP!$C$6:$C$4207,0)),"Not Found"))</f>
        <v/>
      </c>
      <c r="G4063" s="25" t="str">
        <f>IF(表1[[#This Row],[No Seri]]="","",表1[[#This Row],[Deskripsi Barang]]+表1[[#This Row],[Kuantitas]]-表1[[#This Row],[Satuan]])</f>
        <v/>
      </c>
      <c r="H4063" s="28"/>
      <c r="I4063" s="25" t="str">
        <f>IF(表1[[#This Row],[Tgl NPBG]]&gt;表1[[#This Row],[Peminta]],表1[[#This Row],[Tgl NPBG]]-表1[[#This Row],[Peminta]],"")</f>
        <v/>
      </c>
      <c r="J4063" s="31"/>
    </row>
    <row r="4064" s="12" customFormat="1" customHeight="1" spans="2:10">
      <c r="B4064" s="25"/>
      <c r="C4064" s="25"/>
      <c r="D4064" s="26" t="str" cm="1">
        <f t="array" ref="D4064">IF(C4064="","",IFERROR(INDEX(STPP!$D$6:$D$4207,MATCH(C4064,STPP!$C$6:$C$4207,0)),"Not Found"))</f>
        <v/>
      </c>
      <c r="E4064" s="27" t="str" cm="1">
        <f t="array" ref="E4064">IF(C4064="","",IFERROR(INDEX(STPP!$E$6:$E$4207,MATCH(C4064,STPP!$C$6:$C$4207,0)),"Not Found"))</f>
        <v/>
      </c>
      <c r="F4064" s="27" t="str" cm="1">
        <f t="array" ref="F4064">IF(C4064="","",IFERROR(INDEX(STPP!$F$6:$F$4207,MATCH(C4064,STPP!$C$6:$C$4207,0)),"Not Found"))</f>
        <v/>
      </c>
      <c r="G4064" s="25" t="str">
        <f>IF(表1[[#This Row],[No Seri]]="","",表1[[#This Row],[Deskripsi Barang]]+表1[[#This Row],[Kuantitas]]-表1[[#This Row],[Satuan]])</f>
        <v/>
      </c>
      <c r="H4064" s="28"/>
      <c r="I4064" s="25" t="str">
        <f>IF(表1[[#This Row],[Tgl NPBG]]&gt;表1[[#This Row],[Peminta]],表1[[#This Row],[Tgl NPBG]]-表1[[#This Row],[Peminta]],"")</f>
        <v/>
      </c>
      <c r="J4064" s="31"/>
    </row>
    <row r="4065" s="12" customFormat="1" customHeight="1" spans="2:10">
      <c r="B4065" s="25"/>
      <c r="C4065" s="25"/>
      <c r="D4065" s="26" t="str" cm="1">
        <f t="array" ref="D4065">IF(C4065="","",IFERROR(INDEX(STPP!$D$6:$D$4207,MATCH(C4065,STPP!$C$6:$C$4207,0)),"Not Found"))</f>
        <v/>
      </c>
      <c r="E4065" s="27" t="str" cm="1">
        <f t="array" ref="E4065">IF(C4065="","",IFERROR(INDEX(STPP!$E$6:$E$4207,MATCH(C4065,STPP!$C$6:$C$4207,0)),"Not Found"))</f>
        <v/>
      </c>
      <c r="F4065" s="27" t="str" cm="1">
        <f t="array" ref="F4065">IF(C4065="","",IFERROR(INDEX(STPP!$F$6:$F$4207,MATCH(C4065,STPP!$C$6:$C$4207,0)),"Not Found"))</f>
        <v/>
      </c>
      <c r="G4065" s="25" t="str">
        <f>IF(表1[[#This Row],[No Seri]]="","",表1[[#This Row],[Deskripsi Barang]]+表1[[#This Row],[Kuantitas]]-表1[[#This Row],[Satuan]])</f>
        <v/>
      </c>
      <c r="H4065" s="28"/>
      <c r="I4065" s="25" t="str">
        <f>IF(表1[[#This Row],[Tgl NPBG]]&gt;表1[[#This Row],[Peminta]],表1[[#This Row],[Tgl NPBG]]-表1[[#This Row],[Peminta]],"")</f>
        <v/>
      </c>
      <c r="J4065" s="31"/>
    </row>
    <row r="4066" s="12" customFormat="1" customHeight="1" spans="2:10">
      <c r="B4066" s="25"/>
      <c r="C4066" s="25"/>
      <c r="D4066" s="26" t="str" cm="1">
        <f t="array" ref="D4066">IF(C4066="","",IFERROR(INDEX(STPP!$D$6:$D$4207,MATCH(C4066,STPP!$C$6:$C$4207,0)),"Not Found"))</f>
        <v/>
      </c>
      <c r="E4066" s="27" t="str" cm="1">
        <f t="array" ref="E4066">IF(C4066="","",IFERROR(INDEX(STPP!$E$6:$E$4207,MATCH(C4066,STPP!$C$6:$C$4207,0)),"Not Found"))</f>
        <v/>
      </c>
      <c r="F4066" s="27" t="str" cm="1">
        <f t="array" ref="F4066">IF(C4066="","",IFERROR(INDEX(STPP!$F$6:$F$4207,MATCH(C4066,STPP!$C$6:$C$4207,0)),"Not Found"))</f>
        <v/>
      </c>
      <c r="G4066" s="25" t="str">
        <f>IF(表1[[#This Row],[No Seri]]="","",表1[[#This Row],[Deskripsi Barang]]+表1[[#This Row],[Kuantitas]]-表1[[#This Row],[Satuan]])</f>
        <v/>
      </c>
      <c r="H4066" s="28"/>
      <c r="I4066" s="25" t="str">
        <f>IF(表1[[#This Row],[Tgl NPBG]]&gt;表1[[#This Row],[Peminta]],表1[[#This Row],[Tgl NPBG]]-表1[[#This Row],[Peminta]],"")</f>
        <v/>
      </c>
      <c r="J4066" s="31"/>
    </row>
    <row r="4067" s="12" customFormat="1" customHeight="1" spans="2:10">
      <c r="B4067" s="25"/>
      <c r="C4067" s="25"/>
      <c r="D4067" s="26" t="str" cm="1">
        <f t="array" ref="D4067">IF(C4067="","",IFERROR(INDEX(STPP!$D$6:$D$4207,MATCH(C4067,STPP!$C$6:$C$4207,0)),"Not Found"))</f>
        <v/>
      </c>
      <c r="E4067" s="27" t="str" cm="1">
        <f t="array" ref="E4067">IF(C4067="","",IFERROR(INDEX(STPP!$E$6:$E$4207,MATCH(C4067,STPP!$C$6:$C$4207,0)),"Not Found"))</f>
        <v/>
      </c>
      <c r="F4067" s="27" t="str" cm="1">
        <f t="array" ref="F4067">IF(C4067="","",IFERROR(INDEX(STPP!$F$6:$F$4207,MATCH(C4067,STPP!$C$6:$C$4207,0)),"Not Found"))</f>
        <v/>
      </c>
      <c r="G4067" s="25" t="str">
        <f>IF(表1[[#This Row],[No Seri]]="","",表1[[#This Row],[Deskripsi Barang]]+表1[[#This Row],[Kuantitas]]-表1[[#This Row],[Satuan]])</f>
        <v/>
      </c>
      <c r="H4067" s="28"/>
      <c r="I4067" s="25" t="str">
        <f>IF(表1[[#This Row],[Tgl NPBG]]&gt;表1[[#This Row],[Peminta]],表1[[#This Row],[Tgl NPBG]]-表1[[#This Row],[Peminta]],"")</f>
        <v/>
      </c>
      <c r="J4067" s="31"/>
    </row>
    <row r="4068" s="12" customFormat="1" customHeight="1" spans="2:10">
      <c r="B4068" s="25"/>
      <c r="C4068" s="25"/>
      <c r="D4068" s="26" t="str" cm="1">
        <f t="array" ref="D4068">IF(C4068="","",IFERROR(INDEX(STPP!$D$6:$D$4207,MATCH(C4068,STPP!$C$6:$C$4207,0)),"Not Found"))</f>
        <v/>
      </c>
      <c r="E4068" s="27" t="str" cm="1">
        <f t="array" ref="E4068">IF(C4068="","",IFERROR(INDEX(STPP!$E$6:$E$4207,MATCH(C4068,STPP!$C$6:$C$4207,0)),"Not Found"))</f>
        <v/>
      </c>
      <c r="F4068" s="27" t="str" cm="1">
        <f t="array" ref="F4068">IF(C4068="","",IFERROR(INDEX(STPP!$F$6:$F$4207,MATCH(C4068,STPP!$C$6:$C$4207,0)),"Not Found"))</f>
        <v/>
      </c>
      <c r="G4068" s="25" t="str">
        <f>IF(表1[[#This Row],[No Seri]]="","",表1[[#This Row],[Deskripsi Barang]]+表1[[#This Row],[Kuantitas]]-表1[[#This Row],[Satuan]])</f>
        <v/>
      </c>
      <c r="H4068" s="28"/>
      <c r="I4068" s="25" t="str">
        <f>IF(表1[[#This Row],[Tgl NPBG]]&gt;表1[[#This Row],[Peminta]],表1[[#This Row],[Tgl NPBG]]-表1[[#This Row],[Peminta]],"")</f>
        <v/>
      </c>
      <c r="J4068" s="31"/>
    </row>
    <row r="4069" s="12" customFormat="1" customHeight="1" spans="2:10">
      <c r="B4069" s="25"/>
      <c r="C4069" s="25"/>
      <c r="D4069" s="26" t="str" cm="1">
        <f t="array" ref="D4069">IF(C4069="","",IFERROR(INDEX(STPP!$D$6:$D$4207,MATCH(C4069,STPP!$C$6:$C$4207,0)),"Not Found"))</f>
        <v/>
      </c>
      <c r="E4069" s="27" t="str" cm="1">
        <f t="array" ref="E4069">IF(C4069="","",IFERROR(INDEX(STPP!$E$6:$E$4207,MATCH(C4069,STPP!$C$6:$C$4207,0)),"Not Found"))</f>
        <v/>
      </c>
      <c r="F4069" s="27" t="str" cm="1">
        <f t="array" ref="F4069">IF(C4069="","",IFERROR(INDEX(STPP!$F$6:$F$4207,MATCH(C4069,STPP!$C$6:$C$4207,0)),"Not Found"))</f>
        <v/>
      </c>
      <c r="G4069" s="25" t="str">
        <f>IF(表1[[#This Row],[No Seri]]="","",表1[[#This Row],[Deskripsi Barang]]+表1[[#This Row],[Kuantitas]]-表1[[#This Row],[Satuan]])</f>
        <v/>
      </c>
      <c r="H4069" s="28"/>
      <c r="I4069" s="25" t="str">
        <f>IF(表1[[#This Row],[Tgl NPBG]]&gt;表1[[#This Row],[Peminta]],表1[[#This Row],[Tgl NPBG]]-表1[[#This Row],[Peminta]],"")</f>
        <v/>
      </c>
      <c r="J4069" s="31"/>
    </row>
    <row r="4070" s="12" customFormat="1" customHeight="1" spans="2:10">
      <c r="B4070" s="25"/>
      <c r="C4070" s="25"/>
      <c r="D4070" s="26" t="str" cm="1">
        <f t="array" ref="D4070">IF(C4070="","",IFERROR(INDEX(STPP!$D$6:$D$4207,MATCH(C4070,STPP!$C$6:$C$4207,0)),"Not Found"))</f>
        <v/>
      </c>
      <c r="E4070" s="27" t="str" cm="1">
        <f t="array" ref="E4070">IF(C4070="","",IFERROR(INDEX(STPP!$E$6:$E$4207,MATCH(C4070,STPP!$C$6:$C$4207,0)),"Not Found"))</f>
        <v/>
      </c>
      <c r="F4070" s="27" t="str" cm="1">
        <f t="array" ref="F4070">IF(C4070="","",IFERROR(INDEX(STPP!$F$6:$F$4207,MATCH(C4070,STPP!$C$6:$C$4207,0)),"Not Found"))</f>
        <v/>
      </c>
      <c r="G4070" s="25" t="str">
        <f>IF(表1[[#This Row],[No Seri]]="","",表1[[#This Row],[Deskripsi Barang]]+表1[[#This Row],[Kuantitas]]-表1[[#This Row],[Satuan]])</f>
        <v/>
      </c>
      <c r="H4070" s="28"/>
      <c r="I4070" s="25" t="str">
        <f>IF(表1[[#This Row],[Tgl NPBG]]&gt;表1[[#This Row],[Peminta]],表1[[#This Row],[Tgl NPBG]]-表1[[#This Row],[Peminta]],"")</f>
        <v/>
      </c>
      <c r="J4070" s="31"/>
    </row>
    <row r="4071" s="12" customFormat="1" customHeight="1" spans="2:10">
      <c r="B4071" s="25"/>
      <c r="C4071" s="25"/>
      <c r="D4071" s="26" t="str" cm="1">
        <f t="array" ref="D4071">IF(C4071="","",IFERROR(INDEX(STPP!$D$6:$D$4207,MATCH(C4071,STPP!$C$6:$C$4207,0)),"Not Found"))</f>
        <v/>
      </c>
      <c r="E4071" s="27" t="str" cm="1">
        <f t="array" ref="E4071">IF(C4071="","",IFERROR(INDEX(STPP!$E$6:$E$4207,MATCH(C4071,STPP!$C$6:$C$4207,0)),"Not Found"))</f>
        <v/>
      </c>
      <c r="F4071" s="27" t="str" cm="1">
        <f t="array" ref="F4071">IF(C4071="","",IFERROR(INDEX(STPP!$F$6:$F$4207,MATCH(C4071,STPP!$C$6:$C$4207,0)),"Not Found"))</f>
        <v/>
      </c>
      <c r="G4071" s="25" t="str">
        <f>IF(表1[[#This Row],[No Seri]]="","",表1[[#This Row],[Deskripsi Barang]]+表1[[#This Row],[Kuantitas]]-表1[[#This Row],[Satuan]])</f>
        <v/>
      </c>
      <c r="H4071" s="28"/>
      <c r="I4071" s="25" t="str">
        <f>IF(表1[[#This Row],[Tgl NPBG]]&gt;表1[[#This Row],[Peminta]],表1[[#This Row],[Tgl NPBG]]-表1[[#This Row],[Peminta]],"")</f>
        <v/>
      </c>
      <c r="J4071" s="31"/>
    </row>
    <row r="4072" s="12" customFormat="1" customHeight="1" spans="2:10">
      <c r="B4072" s="25"/>
      <c r="C4072" s="25"/>
      <c r="D4072" s="26" t="str" cm="1">
        <f t="array" ref="D4072">IF(C4072="","",IFERROR(INDEX(STPP!$D$6:$D$4207,MATCH(C4072,STPP!$C$6:$C$4207,0)),"Not Found"))</f>
        <v/>
      </c>
      <c r="E4072" s="27" t="str" cm="1">
        <f t="array" ref="E4072">IF(C4072="","",IFERROR(INDEX(STPP!$E$6:$E$4207,MATCH(C4072,STPP!$C$6:$C$4207,0)),"Not Found"))</f>
        <v/>
      </c>
      <c r="F4072" s="27" t="str" cm="1">
        <f t="array" ref="F4072">IF(C4072="","",IFERROR(INDEX(STPP!$F$6:$F$4207,MATCH(C4072,STPP!$C$6:$C$4207,0)),"Not Found"))</f>
        <v/>
      </c>
      <c r="G4072" s="25" t="str">
        <f>IF(表1[[#This Row],[No Seri]]="","",表1[[#This Row],[Deskripsi Barang]]+表1[[#This Row],[Kuantitas]]-表1[[#This Row],[Satuan]])</f>
        <v/>
      </c>
      <c r="H4072" s="28"/>
      <c r="I4072" s="25" t="str">
        <f>IF(表1[[#This Row],[Tgl NPBG]]&gt;表1[[#This Row],[Peminta]],表1[[#This Row],[Tgl NPBG]]-表1[[#This Row],[Peminta]],"")</f>
        <v/>
      </c>
      <c r="J4072" s="31"/>
    </row>
    <row r="4073" s="12" customFormat="1" customHeight="1" spans="2:10">
      <c r="B4073" s="25"/>
      <c r="C4073" s="25"/>
      <c r="D4073" s="26" t="str" cm="1">
        <f t="array" ref="D4073">IF(C4073="","",IFERROR(INDEX(STPP!$D$6:$D$4207,MATCH(C4073,STPP!$C$6:$C$4207,0)),"Not Found"))</f>
        <v/>
      </c>
      <c r="E4073" s="27" t="str" cm="1">
        <f t="array" ref="E4073">IF(C4073="","",IFERROR(INDEX(STPP!$E$6:$E$4207,MATCH(C4073,STPP!$C$6:$C$4207,0)),"Not Found"))</f>
        <v/>
      </c>
      <c r="F4073" s="27" t="str" cm="1">
        <f t="array" ref="F4073">IF(C4073="","",IFERROR(INDEX(STPP!$F$6:$F$4207,MATCH(C4073,STPP!$C$6:$C$4207,0)),"Not Found"))</f>
        <v/>
      </c>
      <c r="G4073" s="25" t="str">
        <f>IF(表1[[#This Row],[No Seri]]="","",表1[[#This Row],[Deskripsi Barang]]+表1[[#This Row],[Kuantitas]]-表1[[#This Row],[Satuan]])</f>
        <v/>
      </c>
      <c r="H4073" s="28"/>
      <c r="I4073" s="25" t="str">
        <f>IF(表1[[#This Row],[Tgl NPBG]]&gt;表1[[#This Row],[Peminta]],表1[[#This Row],[Tgl NPBG]]-表1[[#This Row],[Peminta]],"")</f>
        <v/>
      </c>
      <c r="J4073" s="31"/>
    </row>
    <row r="4074" s="12" customFormat="1" customHeight="1" spans="2:10">
      <c r="B4074" s="25"/>
      <c r="C4074" s="25"/>
      <c r="D4074" s="26" t="str" cm="1">
        <f t="array" ref="D4074">IF(C4074="","",IFERROR(INDEX(STPP!$D$6:$D$4207,MATCH(C4074,STPP!$C$6:$C$4207,0)),"Not Found"))</f>
        <v/>
      </c>
      <c r="E4074" s="27" t="str" cm="1">
        <f t="array" ref="E4074">IF(C4074="","",IFERROR(INDEX(STPP!$E$6:$E$4207,MATCH(C4074,STPP!$C$6:$C$4207,0)),"Not Found"))</f>
        <v/>
      </c>
      <c r="F4074" s="27" t="str" cm="1">
        <f t="array" ref="F4074">IF(C4074="","",IFERROR(INDEX(STPP!$F$6:$F$4207,MATCH(C4074,STPP!$C$6:$C$4207,0)),"Not Found"))</f>
        <v/>
      </c>
      <c r="G4074" s="25" t="str">
        <f>IF(表1[[#This Row],[No Seri]]="","",表1[[#This Row],[Deskripsi Barang]]+表1[[#This Row],[Kuantitas]]-表1[[#This Row],[Satuan]])</f>
        <v/>
      </c>
      <c r="H4074" s="28"/>
      <c r="I4074" s="25" t="str">
        <f>IF(表1[[#This Row],[Tgl NPBG]]&gt;表1[[#This Row],[Peminta]],表1[[#This Row],[Tgl NPBG]]-表1[[#This Row],[Peminta]],"")</f>
        <v/>
      </c>
      <c r="J4074" s="31"/>
    </row>
    <row r="4075" s="12" customFormat="1" customHeight="1" spans="2:10">
      <c r="B4075" s="25"/>
      <c r="C4075" s="25"/>
      <c r="D4075" s="26" t="str" cm="1">
        <f t="array" ref="D4075">IF(C4075="","",IFERROR(INDEX(STPP!$D$6:$D$4207,MATCH(C4075,STPP!$C$6:$C$4207,0)),"Not Found"))</f>
        <v/>
      </c>
      <c r="E4075" s="27" t="str" cm="1">
        <f t="array" ref="E4075">IF(C4075="","",IFERROR(INDEX(STPP!$E$6:$E$4207,MATCH(C4075,STPP!$C$6:$C$4207,0)),"Not Found"))</f>
        <v/>
      </c>
      <c r="F4075" s="27" t="str" cm="1">
        <f t="array" ref="F4075">IF(C4075="","",IFERROR(INDEX(STPP!$F$6:$F$4207,MATCH(C4075,STPP!$C$6:$C$4207,0)),"Not Found"))</f>
        <v/>
      </c>
      <c r="G4075" s="25" t="str">
        <f>IF(表1[[#This Row],[No Seri]]="","",表1[[#This Row],[Deskripsi Barang]]+表1[[#This Row],[Kuantitas]]-表1[[#This Row],[Satuan]])</f>
        <v/>
      </c>
      <c r="H4075" s="28"/>
      <c r="I4075" s="25" t="str">
        <f>IF(表1[[#This Row],[Tgl NPBG]]&gt;表1[[#This Row],[Peminta]],表1[[#This Row],[Tgl NPBG]]-表1[[#This Row],[Peminta]],"")</f>
        <v/>
      </c>
      <c r="J4075" s="31"/>
    </row>
    <row r="4076" s="12" customFormat="1" customHeight="1" spans="2:10">
      <c r="B4076" s="25"/>
      <c r="C4076" s="25"/>
      <c r="D4076" s="26" t="str" cm="1">
        <f t="array" ref="D4076">IF(C4076="","",IFERROR(INDEX(STPP!$D$6:$D$4207,MATCH(C4076,STPP!$C$6:$C$4207,0)),"Not Found"))</f>
        <v/>
      </c>
      <c r="E4076" s="27" t="str" cm="1">
        <f t="array" ref="E4076">IF(C4076="","",IFERROR(INDEX(STPP!$E$6:$E$4207,MATCH(C4076,STPP!$C$6:$C$4207,0)),"Not Found"))</f>
        <v/>
      </c>
      <c r="F4076" s="27" t="str" cm="1">
        <f t="array" ref="F4076">IF(C4076="","",IFERROR(INDEX(STPP!$F$6:$F$4207,MATCH(C4076,STPP!$C$6:$C$4207,0)),"Not Found"))</f>
        <v/>
      </c>
      <c r="G4076" s="25" t="str">
        <f>IF(表1[[#This Row],[No Seri]]="","",表1[[#This Row],[Deskripsi Barang]]+表1[[#This Row],[Kuantitas]]-表1[[#This Row],[Satuan]])</f>
        <v/>
      </c>
      <c r="H4076" s="28"/>
      <c r="I4076" s="25" t="str">
        <f>IF(表1[[#This Row],[Tgl NPBG]]&gt;表1[[#This Row],[Peminta]],表1[[#This Row],[Tgl NPBG]]-表1[[#This Row],[Peminta]],"")</f>
        <v/>
      </c>
      <c r="J4076" s="31"/>
    </row>
    <row r="4077" s="12" customFormat="1" customHeight="1" spans="2:10">
      <c r="B4077" s="25"/>
      <c r="C4077" s="25"/>
      <c r="D4077" s="26" t="str" cm="1">
        <f t="array" ref="D4077">IF(C4077="","",IFERROR(INDEX(STPP!$D$6:$D$4207,MATCH(C4077,STPP!$C$6:$C$4207,0)),"Not Found"))</f>
        <v/>
      </c>
      <c r="E4077" s="27" t="str" cm="1">
        <f t="array" ref="E4077">IF(C4077="","",IFERROR(INDEX(STPP!$E$6:$E$4207,MATCH(C4077,STPP!$C$6:$C$4207,0)),"Not Found"))</f>
        <v/>
      </c>
      <c r="F4077" s="27" t="str" cm="1">
        <f t="array" ref="F4077">IF(C4077="","",IFERROR(INDEX(STPP!$F$6:$F$4207,MATCH(C4077,STPP!$C$6:$C$4207,0)),"Not Found"))</f>
        <v/>
      </c>
      <c r="G4077" s="25" t="str">
        <f>IF(表1[[#This Row],[No Seri]]="","",表1[[#This Row],[Deskripsi Barang]]+表1[[#This Row],[Kuantitas]]-表1[[#This Row],[Satuan]])</f>
        <v/>
      </c>
      <c r="H4077" s="28"/>
      <c r="I4077" s="25" t="str">
        <f>IF(表1[[#This Row],[Tgl NPBG]]&gt;表1[[#This Row],[Peminta]],表1[[#This Row],[Tgl NPBG]]-表1[[#This Row],[Peminta]],"")</f>
        <v/>
      </c>
      <c r="J4077" s="31"/>
    </row>
    <row r="4078" s="12" customFormat="1" customHeight="1" spans="2:10">
      <c r="B4078" s="25"/>
      <c r="C4078" s="25"/>
      <c r="D4078" s="26" t="str" cm="1">
        <f t="array" ref="D4078">IF(C4078="","",IFERROR(INDEX(STPP!$D$6:$D$4207,MATCH(C4078,STPP!$C$6:$C$4207,0)),"Not Found"))</f>
        <v/>
      </c>
      <c r="E4078" s="27" t="str" cm="1">
        <f t="array" ref="E4078">IF(C4078="","",IFERROR(INDEX(STPP!$E$6:$E$4207,MATCH(C4078,STPP!$C$6:$C$4207,0)),"Not Found"))</f>
        <v/>
      </c>
      <c r="F4078" s="27" t="str" cm="1">
        <f t="array" ref="F4078">IF(C4078="","",IFERROR(INDEX(STPP!$F$6:$F$4207,MATCH(C4078,STPP!$C$6:$C$4207,0)),"Not Found"))</f>
        <v/>
      </c>
      <c r="G4078" s="25" t="str">
        <f>IF(表1[[#This Row],[No Seri]]="","",表1[[#This Row],[Deskripsi Barang]]+表1[[#This Row],[Kuantitas]]-表1[[#This Row],[Satuan]])</f>
        <v/>
      </c>
      <c r="H4078" s="28"/>
      <c r="I4078" s="25" t="str">
        <f>IF(表1[[#This Row],[Tgl NPBG]]&gt;表1[[#This Row],[Peminta]],表1[[#This Row],[Tgl NPBG]]-表1[[#This Row],[Peminta]],"")</f>
        <v/>
      </c>
      <c r="J4078" s="31"/>
    </row>
    <row r="4079" s="12" customFormat="1" customHeight="1" spans="2:10">
      <c r="B4079" s="25"/>
      <c r="C4079" s="25"/>
      <c r="D4079" s="26" t="str" cm="1">
        <f t="array" ref="D4079">IF(C4079="","",IFERROR(INDEX(STPP!$D$6:$D$4207,MATCH(C4079,STPP!$C$6:$C$4207,0)),"Not Found"))</f>
        <v/>
      </c>
      <c r="E4079" s="27" t="str" cm="1">
        <f t="array" ref="E4079">IF(C4079="","",IFERROR(INDEX(STPP!$E$6:$E$4207,MATCH(C4079,STPP!$C$6:$C$4207,0)),"Not Found"))</f>
        <v/>
      </c>
      <c r="F4079" s="27" t="str" cm="1">
        <f t="array" ref="F4079">IF(C4079="","",IFERROR(INDEX(STPP!$F$6:$F$4207,MATCH(C4079,STPP!$C$6:$C$4207,0)),"Not Found"))</f>
        <v/>
      </c>
      <c r="G4079" s="25" t="str">
        <f>IF(表1[[#This Row],[No Seri]]="","",表1[[#This Row],[Deskripsi Barang]]+表1[[#This Row],[Kuantitas]]-表1[[#This Row],[Satuan]])</f>
        <v/>
      </c>
      <c r="H4079" s="28"/>
      <c r="I4079" s="25" t="str">
        <f>IF(表1[[#This Row],[Tgl NPBG]]&gt;表1[[#This Row],[Peminta]],表1[[#This Row],[Tgl NPBG]]-表1[[#This Row],[Peminta]],"")</f>
        <v/>
      </c>
      <c r="J4079" s="31"/>
    </row>
    <row r="4080" s="12" customFormat="1" customHeight="1" spans="2:10">
      <c r="B4080" s="25"/>
      <c r="C4080" s="25"/>
      <c r="D4080" s="26" t="str" cm="1">
        <f t="array" ref="D4080">IF(C4080="","",IFERROR(INDEX(STPP!$D$6:$D$4207,MATCH(C4080,STPP!$C$6:$C$4207,0)),"Not Found"))</f>
        <v/>
      </c>
      <c r="E4080" s="27" t="str" cm="1">
        <f t="array" ref="E4080">IF(C4080="","",IFERROR(INDEX(STPP!$E$6:$E$4207,MATCH(C4080,STPP!$C$6:$C$4207,0)),"Not Found"))</f>
        <v/>
      </c>
      <c r="F4080" s="27" t="str" cm="1">
        <f t="array" ref="F4080">IF(C4080="","",IFERROR(INDEX(STPP!$F$6:$F$4207,MATCH(C4080,STPP!$C$6:$C$4207,0)),"Not Found"))</f>
        <v/>
      </c>
      <c r="G4080" s="25" t="str">
        <f>IF(表1[[#This Row],[No Seri]]="","",表1[[#This Row],[Deskripsi Barang]]+表1[[#This Row],[Kuantitas]]-表1[[#This Row],[Satuan]])</f>
        <v/>
      </c>
      <c r="H4080" s="28"/>
      <c r="I4080" s="25" t="str">
        <f>IF(表1[[#This Row],[Tgl NPBG]]&gt;表1[[#This Row],[Peminta]],表1[[#This Row],[Tgl NPBG]]-表1[[#This Row],[Peminta]],"")</f>
        <v/>
      </c>
      <c r="J4080" s="31"/>
    </row>
    <row r="4081" s="12" customFormat="1" customHeight="1" spans="2:10">
      <c r="B4081" s="25"/>
      <c r="C4081" s="25"/>
      <c r="D4081" s="26" t="str" cm="1">
        <f t="array" ref="D4081">IF(C4081="","",IFERROR(INDEX(STPP!$D$6:$D$4207,MATCH(C4081,STPP!$C$6:$C$4207,0)),"Not Found"))</f>
        <v/>
      </c>
      <c r="E4081" s="27" t="str" cm="1">
        <f t="array" ref="E4081">IF(C4081="","",IFERROR(INDEX(STPP!$E$6:$E$4207,MATCH(C4081,STPP!$C$6:$C$4207,0)),"Not Found"))</f>
        <v/>
      </c>
      <c r="F4081" s="27" t="str" cm="1">
        <f t="array" ref="F4081">IF(C4081="","",IFERROR(INDEX(STPP!$F$6:$F$4207,MATCH(C4081,STPP!$C$6:$C$4207,0)),"Not Found"))</f>
        <v/>
      </c>
      <c r="G4081" s="25" t="str">
        <f>IF(表1[[#This Row],[No Seri]]="","",表1[[#This Row],[Deskripsi Barang]]+表1[[#This Row],[Kuantitas]]-表1[[#This Row],[Satuan]])</f>
        <v/>
      </c>
      <c r="H4081" s="28"/>
      <c r="I4081" s="25" t="str">
        <f>IF(表1[[#This Row],[Tgl NPBG]]&gt;表1[[#This Row],[Peminta]],表1[[#This Row],[Tgl NPBG]]-表1[[#This Row],[Peminta]],"")</f>
        <v/>
      </c>
      <c r="J4081" s="31"/>
    </row>
    <row r="4082" s="12" customFormat="1" customHeight="1" spans="2:10">
      <c r="B4082" s="25"/>
      <c r="C4082" s="25"/>
      <c r="D4082" s="26" t="str" cm="1">
        <f t="array" ref="D4082">IF(C4082="","",IFERROR(INDEX(STPP!$D$6:$D$4207,MATCH(C4082,STPP!$C$6:$C$4207,0)),"Not Found"))</f>
        <v/>
      </c>
      <c r="E4082" s="27" t="str" cm="1">
        <f t="array" ref="E4082">IF(C4082="","",IFERROR(INDEX(STPP!$E$6:$E$4207,MATCH(C4082,STPP!$C$6:$C$4207,0)),"Not Found"))</f>
        <v/>
      </c>
      <c r="F4082" s="27" t="str" cm="1">
        <f t="array" ref="F4082">IF(C4082="","",IFERROR(INDEX(STPP!$F$6:$F$4207,MATCH(C4082,STPP!$C$6:$C$4207,0)),"Not Found"))</f>
        <v/>
      </c>
      <c r="G4082" s="25" t="str">
        <f>IF(表1[[#This Row],[No Seri]]="","",表1[[#This Row],[Deskripsi Barang]]+表1[[#This Row],[Kuantitas]]-表1[[#This Row],[Satuan]])</f>
        <v/>
      </c>
      <c r="H4082" s="28"/>
      <c r="I4082" s="25" t="str">
        <f>IF(表1[[#This Row],[Tgl NPBG]]&gt;表1[[#This Row],[Peminta]],表1[[#This Row],[Tgl NPBG]]-表1[[#This Row],[Peminta]],"")</f>
        <v/>
      </c>
      <c r="J4082" s="31"/>
    </row>
    <row r="4083" s="12" customFormat="1" customHeight="1" spans="2:10">
      <c r="B4083" s="25"/>
      <c r="C4083" s="25"/>
      <c r="D4083" s="26" t="str" cm="1">
        <f t="array" ref="D4083">IF(C4083="","",IFERROR(INDEX(STPP!$D$6:$D$4207,MATCH(C4083,STPP!$C$6:$C$4207,0)),"Not Found"))</f>
        <v/>
      </c>
      <c r="E4083" s="27" t="str" cm="1">
        <f t="array" ref="E4083">IF(C4083="","",IFERROR(INDEX(STPP!$E$6:$E$4207,MATCH(C4083,STPP!$C$6:$C$4207,0)),"Not Found"))</f>
        <v/>
      </c>
      <c r="F4083" s="27" t="str" cm="1">
        <f t="array" ref="F4083">IF(C4083="","",IFERROR(INDEX(STPP!$F$6:$F$4207,MATCH(C4083,STPP!$C$6:$C$4207,0)),"Not Found"))</f>
        <v/>
      </c>
      <c r="G4083" s="25" t="str">
        <f>IF(表1[[#This Row],[No Seri]]="","",表1[[#This Row],[Deskripsi Barang]]+表1[[#This Row],[Kuantitas]]-表1[[#This Row],[Satuan]])</f>
        <v/>
      </c>
      <c r="H4083" s="28"/>
      <c r="I4083" s="25" t="str">
        <f>IF(表1[[#This Row],[Tgl NPBG]]&gt;表1[[#This Row],[Peminta]],表1[[#This Row],[Tgl NPBG]]-表1[[#This Row],[Peminta]],"")</f>
        <v/>
      </c>
      <c r="J4083" s="31"/>
    </row>
    <row r="4084" s="12" customFormat="1" customHeight="1" spans="2:10">
      <c r="B4084" s="25"/>
      <c r="C4084" s="25"/>
      <c r="D4084" s="26" t="str" cm="1">
        <f t="array" ref="D4084">IF(C4084="","",IFERROR(INDEX(STPP!$D$6:$D$4207,MATCH(C4084,STPP!$C$6:$C$4207,0)),"Not Found"))</f>
        <v/>
      </c>
      <c r="E4084" s="27" t="str" cm="1">
        <f t="array" ref="E4084">IF(C4084="","",IFERROR(INDEX(STPP!$E$6:$E$4207,MATCH(C4084,STPP!$C$6:$C$4207,0)),"Not Found"))</f>
        <v/>
      </c>
      <c r="F4084" s="27" t="str" cm="1">
        <f t="array" ref="F4084">IF(C4084="","",IFERROR(INDEX(STPP!$F$6:$F$4207,MATCH(C4084,STPP!$C$6:$C$4207,0)),"Not Found"))</f>
        <v/>
      </c>
      <c r="G4084" s="25" t="str">
        <f>IF(表1[[#This Row],[No Seri]]="","",表1[[#This Row],[Deskripsi Barang]]+表1[[#This Row],[Kuantitas]]-表1[[#This Row],[Satuan]])</f>
        <v/>
      </c>
      <c r="H4084" s="28"/>
      <c r="I4084" s="25" t="str">
        <f>IF(表1[[#This Row],[Tgl NPBG]]&gt;表1[[#This Row],[Peminta]],表1[[#This Row],[Tgl NPBG]]-表1[[#This Row],[Peminta]],"")</f>
        <v/>
      </c>
      <c r="J4084" s="31"/>
    </row>
    <row r="4085" s="12" customFormat="1" customHeight="1" spans="2:10">
      <c r="B4085" s="25"/>
      <c r="C4085" s="25"/>
      <c r="D4085" s="26" t="str" cm="1">
        <f t="array" ref="D4085">IF(C4085="","",IFERROR(INDEX(STPP!$D$6:$D$4207,MATCH(C4085,STPP!$C$6:$C$4207,0)),"Not Found"))</f>
        <v/>
      </c>
      <c r="E4085" s="27" t="str" cm="1">
        <f t="array" ref="E4085">IF(C4085="","",IFERROR(INDEX(STPP!$E$6:$E$4207,MATCH(C4085,STPP!$C$6:$C$4207,0)),"Not Found"))</f>
        <v/>
      </c>
      <c r="F4085" s="27" t="str" cm="1">
        <f t="array" ref="F4085">IF(C4085="","",IFERROR(INDEX(STPP!$F$6:$F$4207,MATCH(C4085,STPP!$C$6:$C$4207,0)),"Not Found"))</f>
        <v/>
      </c>
      <c r="G4085" s="25" t="str">
        <f>IF(表1[[#This Row],[No Seri]]="","",表1[[#This Row],[Deskripsi Barang]]+表1[[#This Row],[Kuantitas]]-表1[[#This Row],[Satuan]])</f>
        <v/>
      </c>
      <c r="H4085" s="28"/>
      <c r="I4085" s="25" t="str">
        <f>IF(表1[[#This Row],[Tgl NPBG]]&gt;表1[[#This Row],[Peminta]],表1[[#This Row],[Tgl NPBG]]-表1[[#This Row],[Peminta]],"")</f>
        <v/>
      </c>
      <c r="J4085" s="31"/>
    </row>
    <row r="4086" s="12" customFormat="1" customHeight="1" spans="2:10">
      <c r="B4086" s="25"/>
      <c r="C4086" s="25"/>
      <c r="D4086" s="26" t="str" cm="1">
        <f t="array" ref="D4086">IF(C4086="","",IFERROR(INDEX(STPP!$D$6:$D$4207,MATCH(C4086,STPP!$C$6:$C$4207,0)),"Not Found"))</f>
        <v/>
      </c>
      <c r="E4086" s="27" t="str" cm="1">
        <f t="array" ref="E4086">IF(C4086="","",IFERROR(INDEX(STPP!$E$6:$E$4207,MATCH(C4086,STPP!$C$6:$C$4207,0)),"Not Found"))</f>
        <v/>
      </c>
      <c r="F4086" s="27" t="str" cm="1">
        <f t="array" ref="F4086">IF(C4086="","",IFERROR(INDEX(STPP!$F$6:$F$4207,MATCH(C4086,STPP!$C$6:$C$4207,0)),"Not Found"))</f>
        <v/>
      </c>
      <c r="G4086" s="25" t="str">
        <f>IF(表1[[#This Row],[No Seri]]="","",表1[[#This Row],[Deskripsi Barang]]+表1[[#This Row],[Kuantitas]]-表1[[#This Row],[Satuan]])</f>
        <v/>
      </c>
      <c r="H4086" s="28"/>
      <c r="I4086" s="25" t="str">
        <f>IF(表1[[#This Row],[Tgl NPBG]]&gt;表1[[#This Row],[Peminta]],表1[[#This Row],[Tgl NPBG]]-表1[[#This Row],[Peminta]],"")</f>
        <v/>
      </c>
      <c r="J4086" s="31"/>
    </row>
    <row r="4087" s="12" customFormat="1" customHeight="1" spans="2:10">
      <c r="B4087" s="25"/>
      <c r="C4087" s="25"/>
      <c r="D4087" s="26" t="str" cm="1">
        <f t="array" ref="D4087">IF(C4087="","",IFERROR(INDEX(STPP!$D$6:$D$4207,MATCH(C4087,STPP!$C$6:$C$4207,0)),"Not Found"))</f>
        <v/>
      </c>
      <c r="E4087" s="27" t="str" cm="1">
        <f t="array" ref="E4087">IF(C4087="","",IFERROR(INDEX(STPP!$E$6:$E$4207,MATCH(C4087,STPP!$C$6:$C$4207,0)),"Not Found"))</f>
        <v/>
      </c>
      <c r="F4087" s="27" t="str" cm="1">
        <f t="array" ref="F4087">IF(C4087="","",IFERROR(INDEX(STPP!$F$6:$F$4207,MATCH(C4087,STPP!$C$6:$C$4207,0)),"Not Found"))</f>
        <v/>
      </c>
      <c r="G4087" s="25" t="str">
        <f>IF(表1[[#This Row],[No Seri]]="","",表1[[#This Row],[Deskripsi Barang]]+表1[[#This Row],[Kuantitas]]-表1[[#This Row],[Satuan]])</f>
        <v/>
      </c>
      <c r="H4087" s="28"/>
      <c r="I4087" s="25" t="str">
        <f>IF(表1[[#This Row],[Tgl NPBG]]&gt;表1[[#This Row],[Peminta]],表1[[#This Row],[Tgl NPBG]]-表1[[#This Row],[Peminta]],"")</f>
        <v/>
      </c>
      <c r="J4087" s="31"/>
    </row>
    <row r="4088" s="12" customFormat="1" customHeight="1" spans="2:10">
      <c r="B4088" s="25"/>
      <c r="C4088" s="25"/>
      <c r="D4088" s="26" t="str" cm="1">
        <f t="array" ref="D4088">IF(C4088="","",IFERROR(INDEX(STPP!$D$6:$D$4207,MATCH(C4088,STPP!$C$6:$C$4207,0)),"Not Found"))</f>
        <v/>
      </c>
      <c r="E4088" s="27" t="str" cm="1">
        <f t="array" ref="E4088">IF(C4088="","",IFERROR(INDEX(STPP!$E$6:$E$4207,MATCH(C4088,STPP!$C$6:$C$4207,0)),"Not Found"))</f>
        <v/>
      </c>
      <c r="F4088" s="27" t="str" cm="1">
        <f t="array" ref="F4088">IF(C4088="","",IFERROR(INDEX(STPP!$F$6:$F$4207,MATCH(C4088,STPP!$C$6:$C$4207,0)),"Not Found"))</f>
        <v/>
      </c>
      <c r="G4088" s="25" t="str">
        <f>IF(表1[[#This Row],[No Seri]]="","",表1[[#This Row],[Deskripsi Barang]]+表1[[#This Row],[Kuantitas]]-表1[[#This Row],[Satuan]])</f>
        <v/>
      </c>
      <c r="H4088" s="28"/>
      <c r="I4088" s="25" t="str">
        <f>IF(表1[[#This Row],[Tgl NPBG]]&gt;表1[[#This Row],[Peminta]],表1[[#This Row],[Tgl NPBG]]-表1[[#This Row],[Peminta]],"")</f>
        <v/>
      </c>
      <c r="J4088" s="31"/>
    </row>
    <row r="4089" s="12" customFormat="1" customHeight="1" spans="2:10">
      <c r="B4089" s="25"/>
      <c r="C4089" s="25"/>
      <c r="D4089" s="26" t="str" cm="1">
        <f t="array" ref="D4089">IF(C4089="","",IFERROR(INDEX(STPP!$D$6:$D$4207,MATCH(C4089,STPP!$C$6:$C$4207,0)),"Not Found"))</f>
        <v/>
      </c>
      <c r="E4089" s="27" t="str" cm="1">
        <f t="array" ref="E4089">IF(C4089="","",IFERROR(INDEX(STPP!$E$6:$E$4207,MATCH(C4089,STPP!$C$6:$C$4207,0)),"Not Found"))</f>
        <v/>
      </c>
      <c r="F4089" s="27" t="str" cm="1">
        <f t="array" ref="F4089">IF(C4089="","",IFERROR(INDEX(STPP!$F$6:$F$4207,MATCH(C4089,STPP!$C$6:$C$4207,0)),"Not Found"))</f>
        <v/>
      </c>
      <c r="G4089" s="25" t="str">
        <f>IF(表1[[#This Row],[No Seri]]="","",表1[[#This Row],[Deskripsi Barang]]+表1[[#This Row],[Kuantitas]]-表1[[#This Row],[Satuan]])</f>
        <v/>
      </c>
      <c r="H4089" s="28"/>
      <c r="I4089" s="25" t="str">
        <f>IF(表1[[#This Row],[Tgl NPBG]]&gt;表1[[#This Row],[Peminta]],表1[[#This Row],[Tgl NPBG]]-表1[[#This Row],[Peminta]],"")</f>
        <v/>
      </c>
      <c r="J4089" s="31"/>
    </row>
    <row r="4090" s="12" customFormat="1" customHeight="1" spans="2:10">
      <c r="B4090" s="25"/>
      <c r="C4090" s="25"/>
      <c r="D4090" s="26" t="str" cm="1">
        <f t="array" ref="D4090">IF(C4090="","",IFERROR(INDEX(STPP!$D$6:$D$4207,MATCH(C4090,STPP!$C$6:$C$4207,0)),"Not Found"))</f>
        <v/>
      </c>
      <c r="E4090" s="27" t="str" cm="1">
        <f t="array" ref="E4090">IF(C4090="","",IFERROR(INDEX(STPP!$E$6:$E$4207,MATCH(C4090,STPP!$C$6:$C$4207,0)),"Not Found"))</f>
        <v/>
      </c>
      <c r="F4090" s="27" t="str" cm="1">
        <f t="array" ref="F4090">IF(C4090="","",IFERROR(INDEX(STPP!$F$6:$F$4207,MATCH(C4090,STPP!$C$6:$C$4207,0)),"Not Found"))</f>
        <v/>
      </c>
      <c r="G4090" s="25" t="str">
        <f>IF(表1[[#This Row],[No Seri]]="","",表1[[#This Row],[Deskripsi Barang]]+表1[[#This Row],[Kuantitas]]-表1[[#This Row],[Satuan]])</f>
        <v/>
      </c>
      <c r="H4090" s="28"/>
      <c r="I4090" s="25" t="str">
        <f>IF(表1[[#This Row],[Tgl NPBG]]&gt;表1[[#This Row],[Peminta]],表1[[#This Row],[Tgl NPBG]]-表1[[#This Row],[Peminta]],"")</f>
        <v/>
      </c>
      <c r="J4090" s="31"/>
    </row>
    <row r="4091" s="12" customFormat="1" customHeight="1" spans="2:10">
      <c r="B4091" s="25"/>
      <c r="C4091" s="25"/>
      <c r="D4091" s="26" t="str" cm="1">
        <f t="array" ref="D4091">IF(C4091="","",IFERROR(INDEX(STPP!$D$6:$D$4207,MATCH(C4091,STPP!$C$6:$C$4207,0)),"Not Found"))</f>
        <v/>
      </c>
      <c r="E4091" s="27" t="str" cm="1">
        <f t="array" ref="E4091">IF(C4091="","",IFERROR(INDEX(STPP!$E$6:$E$4207,MATCH(C4091,STPP!$C$6:$C$4207,0)),"Not Found"))</f>
        <v/>
      </c>
      <c r="F4091" s="27" t="str" cm="1">
        <f t="array" ref="F4091">IF(C4091="","",IFERROR(INDEX(STPP!$F$6:$F$4207,MATCH(C4091,STPP!$C$6:$C$4207,0)),"Not Found"))</f>
        <v/>
      </c>
      <c r="G4091" s="25" t="str">
        <f>IF(表1[[#This Row],[No Seri]]="","",表1[[#This Row],[Deskripsi Barang]]+表1[[#This Row],[Kuantitas]]-表1[[#This Row],[Satuan]])</f>
        <v/>
      </c>
      <c r="H4091" s="28"/>
      <c r="I4091" s="25" t="str">
        <f>IF(表1[[#This Row],[Tgl NPBG]]&gt;表1[[#This Row],[Peminta]],表1[[#This Row],[Tgl NPBG]]-表1[[#This Row],[Peminta]],"")</f>
        <v/>
      </c>
      <c r="J4091" s="31"/>
    </row>
    <row r="4092" s="12" customFormat="1" customHeight="1" spans="2:10">
      <c r="B4092" s="25"/>
      <c r="C4092" s="25"/>
      <c r="D4092" s="26" t="str" cm="1">
        <f t="array" ref="D4092">IF(C4092="","",IFERROR(INDEX(STPP!$D$6:$D$4207,MATCH(C4092,STPP!$C$6:$C$4207,0)),"Not Found"))</f>
        <v/>
      </c>
      <c r="E4092" s="27" t="str" cm="1">
        <f t="array" ref="E4092">IF(C4092="","",IFERROR(INDEX(STPP!$E$6:$E$4207,MATCH(C4092,STPP!$C$6:$C$4207,0)),"Not Found"))</f>
        <v/>
      </c>
      <c r="F4092" s="27" t="str" cm="1">
        <f t="array" ref="F4092">IF(C4092="","",IFERROR(INDEX(STPP!$F$6:$F$4207,MATCH(C4092,STPP!$C$6:$C$4207,0)),"Not Found"))</f>
        <v/>
      </c>
      <c r="G4092" s="25" t="str">
        <f>IF(表1[[#This Row],[No Seri]]="","",表1[[#This Row],[Deskripsi Barang]]+表1[[#This Row],[Kuantitas]]-表1[[#This Row],[Satuan]])</f>
        <v/>
      </c>
      <c r="H4092" s="28"/>
      <c r="I4092" s="25" t="str">
        <f>IF(表1[[#This Row],[Tgl NPBG]]&gt;表1[[#This Row],[Peminta]],表1[[#This Row],[Tgl NPBG]]-表1[[#This Row],[Peminta]],"")</f>
        <v/>
      </c>
      <c r="J4092" s="31"/>
    </row>
    <row r="4093" s="12" customFormat="1" customHeight="1" spans="2:10">
      <c r="B4093" s="25"/>
      <c r="C4093" s="25"/>
      <c r="D4093" s="26" t="str" cm="1">
        <f t="array" ref="D4093">IF(C4093="","",IFERROR(INDEX(STPP!$D$6:$D$4207,MATCH(C4093,STPP!$C$6:$C$4207,0)),"Not Found"))</f>
        <v/>
      </c>
      <c r="E4093" s="27" t="str" cm="1">
        <f t="array" ref="E4093">IF(C4093="","",IFERROR(INDEX(STPP!$E$6:$E$4207,MATCH(C4093,STPP!$C$6:$C$4207,0)),"Not Found"))</f>
        <v/>
      </c>
      <c r="F4093" s="27" t="str" cm="1">
        <f t="array" ref="F4093">IF(C4093="","",IFERROR(INDEX(STPP!$F$6:$F$4207,MATCH(C4093,STPP!$C$6:$C$4207,0)),"Not Found"))</f>
        <v/>
      </c>
      <c r="G4093" s="25" t="str">
        <f>IF(表1[[#This Row],[No Seri]]="","",表1[[#This Row],[Deskripsi Barang]]+表1[[#This Row],[Kuantitas]]-表1[[#This Row],[Satuan]])</f>
        <v/>
      </c>
      <c r="H4093" s="28"/>
      <c r="I4093" s="25" t="str">
        <f>IF(表1[[#This Row],[Tgl NPBG]]&gt;表1[[#This Row],[Peminta]],表1[[#This Row],[Tgl NPBG]]-表1[[#This Row],[Peminta]],"")</f>
        <v/>
      </c>
      <c r="J4093" s="31"/>
    </row>
    <row r="4094" s="12" customFormat="1" customHeight="1" spans="2:10">
      <c r="B4094" s="25"/>
      <c r="C4094" s="25"/>
      <c r="D4094" s="26" t="str" cm="1">
        <f t="array" ref="D4094">IF(C4094="","",IFERROR(INDEX(STPP!$D$6:$D$4207,MATCH(C4094,STPP!$C$6:$C$4207,0)),"Not Found"))</f>
        <v/>
      </c>
      <c r="E4094" s="27" t="str" cm="1">
        <f t="array" ref="E4094">IF(C4094="","",IFERROR(INDEX(STPP!$E$6:$E$4207,MATCH(C4094,STPP!$C$6:$C$4207,0)),"Not Found"))</f>
        <v/>
      </c>
      <c r="F4094" s="27" t="str" cm="1">
        <f t="array" ref="F4094">IF(C4094="","",IFERROR(INDEX(STPP!$F$6:$F$4207,MATCH(C4094,STPP!$C$6:$C$4207,0)),"Not Found"))</f>
        <v/>
      </c>
      <c r="G4094" s="25" t="str">
        <f>IF(表1[[#This Row],[No Seri]]="","",表1[[#This Row],[Deskripsi Barang]]+表1[[#This Row],[Kuantitas]]-表1[[#This Row],[Satuan]])</f>
        <v/>
      </c>
      <c r="H4094" s="28"/>
      <c r="I4094" s="25" t="str">
        <f>IF(表1[[#This Row],[Tgl NPBG]]&gt;表1[[#This Row],[Peminta]],表1[[#This Row],[Tgl NPBG]]-表1[[#This Row],[Peminta]],"")</f>
        <v/>
      </c>
      <c r="J4094" s="31"/>
    </row>
    <row r="4095" s="12" customFormat="1" customHeight="1" spans="2:10">
      <c r="B4095" s="25"/>
      <c r="C4095" s="25"/>
      <c r="D4095" s="26" t="str" cm="1">
        <f t="array" ref="D4095">IF(C4095="","",IFERROR(INDEX(STPP!$D$6:$D$4207,MATCH(C4095,STPP!$C$6:$C$4207,0)),"Not Found"))</f>
        <v/>
      </c>
      <c r="E4095" s="27" t="str" cm="1">
        <f t="array" ref="E4095">IF(C4095="","",IFERROR(INDEX(STPP!$E$6:$E$4207,MATCH(C4095,STPP!$C$6:$C$4207,0)),"Not Found"))</f>
        <v/>
      </c>
      <c r="F4095" s="27" t="str" cm="1">
        <f t="array" ref="F4095">IF(C4095="","",IFERROR(INDEX(STPP!$F$6:$F$4207,MATCH(C4095,STPP!$C$6:$C$4207,0)),"Not Found"))</f>
        <v/>
      </c>
      <c r="G4095" s="25" t="str">
        <f>IF(表1[[#This Row],[No Seri]]="","",表1[[#This Row],[Deskripsi Barang]]+表1[[#This Row],[Kuantitas]]-表1[[#This Row],[Satuan]])</f>
        <v/>
      </c>
      <c r="H4095" s="28"/>
      <c r="I4095" s="25" t="str">
        <f>IF(表1[[#This Row],[Tgl NPBG]]&gt;表1[[#This Row],[Peminta]],表1[[#This Row],[Tgl NPBG]]-表1[[#This Row],[Peminta]],"")</f>
        <v/>
      </c>
      <c r="J4095" s="31"/>
    </row>
    <row r="4096" s="12" customFormat="1" customHeight="1" spans="2:10">
      <c r="B4096" s="25"/>
      <c r="C4096" s="25"/>
      <c r="D4096" s="26" t="str" cm="1">
        <f t="array" ref="D4096">IF(C4096="","",IFERROR(INDEX(STPP!$D$6:$D$4207,MATCH(C4096,STPP!$C$6:$C$4207,0)),"Not Found"))</f>
        <v/>
      </c>
      <c r="E4096" s="27" t="str" cm="1">
        <f t="array" ref="E4096">IF(C4096="","",IFERROR(INDEX(STPP!$E$6:$E$4207,MATCH(C4096,STPP!$C$6:$C$4207,0)),"Not Found"))</f>
        <v/>
      </c>
      <c r="F4096" s="27" t="str" cm="1">
        <f t="array" ref="F4096">IF(C4096="","",IFERROR(INDEX(STPP!$F$6:$F$4207,MATCH(C4096,STPP!$C$6:$C$4207,0)),"Not Found"))</f>
        <v/>
      </c>
      <c r="G4096" s="25" t="str">
        <f>IF(表1[[#This Row],[No Seri]]="","",表1[[#This Row],[Deskripsi Barang]]+表1[[#This Row],[Kuantitas]]-表1[[#This Row],[Satuan]])</f>
        <v/>
      </c>
      <c r="H4096" s="28"/>
      <c r="I4096" s="25" t="str">
        <f>IF(表1[[#This Row],[Tgl NPBG]]&gt;表1[[#This Row],[Peminta]],表1[[#This Row],[Tgl NPBG]]-表1[[#This Row],[Peminta]],"")</f>
        <v/>
      </c>
      <c r="J4096" s="31"/>
    </row>
    <row r="4097" s="12" customFormat="1" customHeight="1" spans="2:10">
      <c r="B4097" s="25"/>
      <c r="C4097" s="25"/>
      <c r="D4097" s="26" t="str" cm="1">
        <f t="array" ref="D4097">IF(C4097="","",IFERROR(INDEX(STPP!$D$6:$D$4207,MATCH(C4097,STPP!$C$6:$C$4207,0)),"Not Found"))</f>
        <v/>
      </c>
      <c r="E4097" s="27" t="str" cm="1">
        <f t="array" ref="E4097">IF(C4097="","",IFERROR(INDEX(STPP!$E$6:$E$4207,MATCH(C4097,STPP!$C$6:$C$4207,0)),"Not Found"))</f>
        <v/>
      </c>
      <c r="F4097" s="27" t="str" cm="1">
        <f t="array" ref="F4097">IF(C4097="","",IFERROR(INDEX(STPP!$F$6:$F$4207,MATCH(C4097,STPP!$C$6:$C$4207,0)),"Not Found"))</f>
        <v/>
      </c>
      <c r="G4097" s="25" t="str">
        <f>IF(表1[[#This Row],[No Seri]]="","",表1[[#This Row],[Deskripsi Barang]]+表1[[#This Row],[Kuantitas]]-表1[[#This Row],[Satuan]])</f>
        <v/>
      </c>
      <c r="H4097" s="28"/>
      <c r="I4097" s="25" t="str">
        <f>IF(表1[[#This Row],[Tgl NPBG]]&gt;表1[[#This Row],[Peminta]],表1[[#This Row],[Tgl NPBG]]-表1[[#This Row],[Peminta]],"")</f>
        <v/>
      </c>
      <c r="J4097" s="31"/>
    </row>
    <row r="4098" s="12" customFormat="1" customHeight="1" spans="2:10">
      <c r="B4098" s="25"/>
      <c r="C4098" s="25"/>
      <c r="D4098" s="26" t="str" cm="1">
        <f t="array" ref="D4098">IF(C4098="","",IFERROR(INDEX(STPP!$D$6:$D$4207,MATCH(C4098,STPP!$C$6:$C$4207,0)),"Not Found"))</f>
        <v/>
      </c>
      <c r="E4098" s="27" t="str" cm="1">
        <f t="array" ref="E4098">IF(C4098="","",IFERROR(INDEX(STPP!$E$6:$E$4207,MATCH(C4098,STPP!$C$6:$C$4207,0)),"Not Found"))</f>
        <v/>
      </c>
      <c r="F4098" s="27" t="str" cm="1">
        <f t="array" ref="F4098">IF(C4098="","",IFERROR(INDEX(STPP!$F$6:$F$4207,MATCH(C4098,STPP!$C$6:$C$4207,0)),"Not Found"))</f>
        <v/>
      </c>
      <c r="G4098" s="25" t="str">
        <f>IF(表1[[#This Row],[No Seri]]="","",表1[[#This Row],[Deskripsi Barang]]+表1[[#This Row],[Kuantitas]]-表1[[#This Row],[Satuan]])</f>
        <v/>
      </c>
      <c r="H4098" s="28"/>
      <c r="I4098" s="25" t="str">
        <f>IF(表1[[#This Row],[Tgl NPBG]]&gt;表1[[#This Row],[Peminta]],表1[[#This Row],[Tgl NPBG]]-表1[[#This Row],[Peminta]],"")</f>
        <v/>
      </c>
      <c r="J4098" s="31"/>
    </row>
    <row r="4099" s="12" customFormat="1" customHeight="1" spans="2:10">
      <c r="B4099" s="25"/>
      <c r="C4099" s="25"/>
      <c r="D4099" s="26" t="str" cm="1">
        <f t="array" ref="D4099">IF(C4099="","",IFERROR(INDEX(STPP!$D$6:$D$4207,MATCH(C4099,STPP!$C$6:$C$4207,0)),"Not Found"))</f>
        <v/>
      </c>
      <c r="E4099" s="27" t="str" cm="1">
        <f t="array" ref="E4099">IF(C4099="","",IFERROR(INDEX(STPP!$E$6:$E$4207,MATCH(C4099,STPP!$C$6:$C$4207,0)),"Not Found"))</f>
        <v/>
      </c>
      <c r="F4099" s="27" t="str" cm="1">
        <f t="array" ref="F4099">IF(C4099="","",IFERROR(INDEX(STPP!$F$6:$F$4207,MATCH(C4099,STPP!$C$6:$C$4207,0)),"Not Found"))</f>
        <v/>
      </c>
      <c r="G4099" s="25" t="str">
        <f>IF(表1[[#This Row],[No Seri]]="","",表1[[#This Row],[Deskripsi Barang]]+表1[[#This Row],[Kuantitas]]-表1[[#This Row],[Satuan]])</f>
        <v/>
      </c>
      <c r="H4099" s="28"/>
      <c r="I4099" s="25" t="str">
        <f>IF(表1[[#This Row],[Tgl NPBG]]&gt;表1[[#This Row],[Peminta]],表1[[#This Row],[Tgl NPBG]]-表1[[#This Row],[Peminta]],"")</f>
        <v/>
      </c>
      <c r="J4099" s="31"/>
    </row>
    <row r="4100" s="12" customFormat="1" customHeight="1" spans="2:10">
      <c r="B4100" s="25"/>
      <c r="C4100" s="25"/>
      <c r="D4100" s="26" t="str" cm="1">
        <f t="array" ref="D4100">IF(C4100="","",IFERROR(INDEX(STPP!$D$6:$D$4207,MATCH(C4100,STPP!$C$6:$C$4207,0)),"Not Found"))</f>
        <v/>
      </c>
      <c r="E4100" s="27" t="str" cm="1">
        <f t="array" ref="E4100">IF(C4100="","",IFERROR(INDEX(STPP!$E$6:$E$4207,MATCH(C4100,STPP!$C$6:$C$4207,0)),"Not Found"))</f>
        <v/>
      </c>
      <c r="F4100" s="27" t="str" cm="1">
        <f t="array" ref="F4100">IF(C4100="","",IFERROR(INDEX(STPP!$F$6:$F$4207,MATCH(C4100,STPP!$C$6:$C$4207,0)),"Not Found"))</f>
        <v/>
      </c>
      <c r="G4100" s="25" t="str">
        <f>IF(表1[[#This Row],[No Seri]]="","",表1[[#This Row],[Deskripsi Barang]]+表1[[#This Row],[Kuantitas]]-表1[[#This Row],[Satuan]])</f>
        <v/>
      </c>
      <c r="H4100" s="28"/>
      <c r="I4100" s="25" t="str">
        <f>IF(表1[[#This Row],[Tgl NPBG]]&gt;表1[[#This Row],[Peminta]],表1[[#This Row],[Tgl NPBG]]-表1[[#This Row],[Peminta]],"")</f>
        <v/>
      </c>
      <c r="J4100" s="31"/>
    </row>
    <row r="4101" s="12" customFormat="1" customHeight="1" spans="2:10">
      <c r="B4101" s="25"/>
      <c r="C4101" s="25"/>
      <c r="D4101" s="26" t="str" cm="1">
        <f t="array" ref="D4101">IF(C4101="","",IFERROR(INDEX(STPP!$D$6:$D$4207,MATCH(C4101,STPP!$C$6:$C$4207,0)),"Not Found"))</f>
        <v/>
      </c>
      <c r="E4101" s="27" t="str" cm="1">
        <f t="array" ref="E4101">IF(C4101="","",IFERROR(INDEX(STPP!$E$6:$E$4207,MATCH(C4101,STPP!$C$6:$C$4207,0)),"Not Found"))</f>
        <v/>
      </c>
      <c r="F4101" s="27" t="str" cm="1">
        <f t="array" ref="F4101">IF(C4101="","",IFERROR(INDEX(STPP!$F$6:$F$4207,MATCH(C4101,STPP!$C$6:$C$4207,0)),"Not Found"))</f>
        <v/>
      </c>
      <c r="G4101" s="25" t="str">
        <f>IF(表1[[#This Row],[No Seri]]="","",表1[[#This Row],[Deskripsi Barang]]+表1[[#This Row],[Kuantitas]]-表1[[#This Row],[Satuan]])</f>
        <v/>
      </c>
      <c r="H4101" s="28"/>
      <c r="I4101" s="25" t="str">
        <f>IF(表1[[#This Row],[Tgl NPBG]]&gt;表1[[#This Row],[Peminta]],表1[[#This Row],[Tgl NPBG]]-表1[[#This Row],[Peminta]],"")</f>
        <v/>
      </c>
      <c r="J4101" s="31"/>
    </row>
    <row r="4102" s="12" customFormat="1" customHeight="1" spans="2:10">
      <c r="B4102" s="25"/>
      <c r="C4102" s="25"/>
      <c r="D4102" s="26" t="str" cm="1">
        <f t="array" ref="D4102">IF(C4102="","",IFERROR(INDEX(STPP!$D$6:$D$4207,MATCH(C4102,STPP!$C$6:$C$4207,0)),"Not Found"))</f>
        <v/>
      </c>
      <c r="E4102" s="27" t="str" cm="1">
        <f t="array" ref="E4102">IF(C4102="","",IFERROR(INDEX(STPP!$E$6:$E$4207,MATCH(C4102,STPP!$C$6:$C$4207,0)),"Not Found"))</f>
        <v/>
      </c>
      <c r="F4102" s="27" t="str" cm="1">
        <f t="array" ref="F4102">IF(C4102="","",IFERROR(INDEX(STPP!$F$6:$F$4207,MATCH(C4102,STPP!$C$6:$C$4207,0)),"Not Found"))</f>
        <v/>
      </c>
      <c r="G4102" s="25" t="str">
        <f>IF(表1[[#This Row],[No Seri]]="","",表1[[#This Row],[Deskripsi Barang]]+表1[[#This Row],[Kuantitas]]-表1[[#This Row],[Satuan]])</f>
        <v/>
      </c>
      <c r="H4102" s="28"/>
      <c r="I4102" s="25" t="str">
        <f>IF(表1[[#This Row],[Tgl NPBG]]&gt;表1[[#This Row],[Peminta]],表1[[#This Row],[Tgl NPBG]]-表1[[#This Row],[Peminta]],"")</f>
        <v/>
      </c>
      <c r="J4102" s="31"/>
    </row>
    <row r="4103" s="12" customFormat="1" customHeight="1" spans="2:10">
      <c r="B4103" s="25"/>
      <c r="C4103" s="25"/>
      <c r="D4103" s="26" t="str" cm="1">
        <f t="array" ref="D4103">IF(C4103="","",IFERROR(INDEX(STPP!$D$6:$D$4207,MATCH(C4103,STPP!$C$6:$C$4207,0)),"Not Found"))</f>
        <v/>
      </c>
      <c r="E4103" s="27" t="str" cm="1">
        <f t="array" ref="E4103">IF(C4103="","",IFERROR(INDEX(STPP!$E$6:$E$4207,MATCH(C4103,STPP!$C$6:$C$4207,0)),"Not Found"))</f>
        <v/>
      </c>
      <c r="F4103" s="27" t="str" cm="1">
        <f t="array" ref="F4103">IF(C4103="","",IFERROR(INDEX(STPP!$F$6:$F$4207,MATCH(C4103,STPP!$C$6:$C$4207,0)),"Not Found"))</f>
        <v/>
      </c>
      <c r="G4103" s="25" t="str">
        <f>IF(表1[[#This Row],[No Seri]]="","",表1[[#This Row],[Deskripsi Barang]]+表1[[#This Row],[Kuantitas]]-表1[[#This Row],[Satuan]])</f>
        <v/>
      </c>
      <c r="H4103" s="28"/>
      <c r="I4103" s="25" t="str">
        <f>IF(表1[[#This Row],[Tgl NPBG]]&gt;表1[[#This Row],[Peminta]],表1[[#This Row],[Tgl NPBG]]-表1[[#This Row],[Peminta]],"")</f>
        <v/>
      </c>
      <c r="J4103" s="31"/>
    </row>
    <row r="4104" s="12" customFormat="1" customHeight="1" spans="2:10">
      <c r="B4104" s="25"/>
      <c r="C4104" s="25"/>
      <c r="D4104" s="26" t="str" cm="1">
        <f t="array" ref="D4104">IF(C4104="","",IFERROR(INDEX(STPP!$D$6:$D$4207,MATCH(C4104,STPP!$C$6:$C$4207,0)),"Not Found"))</f>
        <v/>
      </c>
      <c r="E4104" s="27" t="str" cm="1">
        <f t="array" ref="E4104">IF(C4104="","",IFERROR(INDEX(STPP!$E$6:$E$4207,MATCH(C4104,STPP!$C$6:$C$4207,0)),"Not Found"))</f>
        <v/>
      </c>
      <c r="F4104" s="27" t="str" cm="1">
        <f t="array" ref="F4104">IF(C4104="","",IFERROR(INDEX(STPP!$F$6:$F$4207,MATCH(C4104,STPP!$C$6:$C$4207,0)),"Not Found"))</f>
        <v/>
      </c>
      <c r="G4104" s="25" t="str">
        <f>IF(表1[[#This Row],[No Seri]]="","",表1[[#This Row],[Deskripsi Barang]]+表1[[#This Row],[Kuantitas]]-表1[[#This Row],[Satuan]])</f>
        <v/>
      </c>
      <c r="H4104" s="28"/>
      <c r="I4104" s="25" t="str">
        <f>IF(表1[[#This Row],[Tgl NPBG]]&gt;表1[[#This Row],[Peminta]],表1[[#This Row],[Tgl NPBG]]-表1[[#This Row],[Peminta]],"")</f>
        <v/>
      </c>
      <c r="J4104" s="31"/>
    </row>
    <row r="4105" s="12" customFormat="1" customHeight="1" spans="2:10">
      <c r="B4105" s="25"/>
      <c r="C4105" s="25"/>
      <c r="D4105" s="26" t="str" cm="1">
        <f t="array" ref="D4105">IF(C4105="","",IFERROR(INDEX(STPP!$D$6:$D$4207,MATCH(C4105,STPP!$C$6:$C$4207,0)),"Not Found"))</f>
        <v/>
      </c>
      <c r="E4105" s="27" t="str" cm="1">
        <f t="array" ref="E4105">IF(C4105="","",IFERROR(INDEX(STPP!$E$6:$E$4207,MATCH(C4105,STPP!$C$6:$C$4207,0)),"Not Found"))</f>
        <v/>
      </c>
      <c r="F4105" s="27" t="str" cm="1">
        <f t="array" ref="F4105">IF(C4105="","",IFERROR(INDEX(STPP!$F$6:$F$4207,MATCH(C4105,STPP!$C$6:$C$4207,0)),"Not Found"))</f>
        <v/>
      </c>
      <c r="G4105" s="25" t="str">
        <f>IF(表1[[#This Row],[No Seri]]="","",表1[[#This Row],[Deskripsi Barang]]+表1[[#This Row],[Kuantitas]]-表1[[#This Row],[Satuan]])</f>
        <v/>
      </c>
      <c r="H4105" s="28"/>
      <c r="I4105" s="25" t="str">
        <f>IF(表1[[#This Row],[Tgl NPBG]]&gt;表1[[#This Row],[Peminta]],表1[[#This Row],[Tgl NPBG]]-表1[[#This Row],[Peminta]],"")</f>
        <v/>
      </c>
      <c r="J4105" s="31"/>
    </row>
    <row r="4106" s="12" customFormat="1" customHeight="1" spans="2:10">
      <c r="B4106" s="25"/>
      <c r="C4106" s="25"/>
      <c r="D4106" s="26" t="str" cm="1">
        <f t="array" ref="D4106">IF(C4106="","",IFERROR(INDEX(STPP!$D$6:$D$4207,MATCH(C4106,STPP!$C$6:$C$4207,0)),"Not Found"))</f>
        <v/>
      </c>
      <c r="E4106" s="27" t="str" cm="1">
        <f t="array" ref="E4106">IF(C4106="","",IFERROR(INDEX(STPP!$E$6:$E$4207,MATCH(C4106,STPP!$C$6:$C$4207,0)),"Not Found"))</f>
        <v/>
      </c>
      <c r="F4106" s="27" t="str" cm="1">
        <f t="array" ref="F4106">IF(C4106="","",IFERROR(INDEX(STPP!$F$6:$F$4207,MATCH(C4106,STPP!$C$6:$C$4207,0)),"Not Found"))</f>
        <v/>
      </c>
      <c r="G4106" s="25" t="str">
        <f>IF(表1[[#This Row],[No Seri]]="","",表1[[#This Row],[Deskripsi Barang]]+表1[[#This Row],[Kuantitas]]-表1[[#This Row],[Satuan]])</f>
        <v/>
      </c>
      <c r="H4106" s="28"/>
      <c r="I4106" s="25" t="str">
        <f>IF(表1[[#This Row],[Tgl NPBG]]&gt;表1[[#This Row],[Peminta]],表1[[#This Row],[Tgl NPBG]]-表1[[#This Row],[Peminta]],"")</f>
        <v/>
      </c>
      <c r="J4106" s="31"/>
    </row>
    <row r="4107" s="12" customFormat="1" customHeight="1" spans="2:10">
      <c r="B4107" s="25"/>
      <c r="C4107" s="25"/>
      <c r="D4107" s="26" t="str" cm="1">
        <f t="array" ref="D4107">IF(C4107="","",IFERROR(INDEX(STPP!$D$6:$D$4207,MATCH(C4107,STPP!$C$6:$C$4207,0)),"Not Found"))</f>
        <v/>
      </c>
      <c r="E4107" s="27" t="str" cm="1">
        <f t="array" ref="E4107">IF(C4107="","",IFERROR(INDEX(STPP!$E$6:$E$4207,MATCH(C4107,STPP!$C$6:$C$4207,0)),"Not Found"))</f>
        <v/>
      </c>
      <c r="F4107" s="27" t="str" cm="1">
        <f t="array" ref="F4107">IF(C4107="","",IFERROR(INDEX(STPP!$F$6:$F$4207,MATCH(C4107,STPP!$C$6:$C$4207,0)),"Not Found"))</f>
        <v/>
      </c>
      <c r="G4107" s="25" t="str">
        <f>IF(表1[[#This Row],[No Seri]]="","",表1[[#This Row],[Deskripsi Barang]]+表1[[#This Row],[Kuantitas]]-表1[[#This Row],[Satuan]])</f>
        <v/>
      </c>
      <c r="H4107" s="28"/>
      <c r="I4107" s="25" t="str">
        <f>IF(表1[[#This Row],[Tgl NPBG]]&gt;表1[[#This Row],[Peminta]],表1[[#This Row],[Tgl NPBG]]-表1[[#This Row],[Peminta]],"")</f>
        <v/>
      </c>
      <c r="J4107" s="31"/>
    </row>
    <row r="4108" s="12" customFormat="1" customHeight="1" spans="2:10">
      <c r="B4108" s="25"/>
      <c r="C4108" s="25"/>
      <c r="D4108" s="26" t="str" cm="1">
        <f t="array" ref="D4108">IF(C4108="","",IFERROR(INDEX(STPP!$D$6:$D$4207,MATCH(C4108,STPP!$C$6:$C$4207,0)),"Not Found"))</f>
        <v/>
      </c>
      <c r="E4108" s="27" t="str" cm="1">
        <f t="array" ref="E4108">IF(C4108="","",IFERROR(INDEX(STPP!$E$6:$E$4207,MATCH(C4108,STPP!$C$6:$C$4207,0)),"Not Found"))</f>
        <v/>
      </c>
      <c r="F4108" s="27" t="str" cm="1">
        <f t="array" ref="F4108">IF(C4108="","",IFERROR(INDEX(STPP!$F$6:$F$4207,MATCH(C4108,STPP!$C$6:$C$4207,0)),"Not Found"))</f>
        <v/>
      </c>
      <c r="G4108" s="25" t="str">
        <f>IF(表1[[#This Row],[No Seri]]="","",表1[[#This Row],[Deskripsi Barang]]+表1[[#This Row],[Kuantitas]]-表1[[#This Row],[Satuan]])</f>
        <v/>
      </c>
      <c r="H4108" s="28"/>
      <c r="I4108" s="25" t="str">
        <f>IF(表1[[#This Row],[Tgl NPBG]]&gt;表1[[#This Row],[Peminta]],表1[[#This Row],[Tgl NPBG]]-表1[[#This Row],[Peminta]],"")</f>
        <v/>
      </c>
      <c r="J4108" s="31"/>
    </row>
    <row r="4109" s="12" customFormat="1" customHeight="1" spans="2:10">
      <c r="B4109" s="25"/>
      <c r="C4109" s="25"/>
      <c r="D4109" s="26" t="str" cm="1">
        <f t="array" ref="D4109">IF(C4109="","",IFERROR(INDEX(STPP!$D$6:$D$4207,MATCH(C4109,STPP!$C$6:$C$4207,0)),"Not Found"))</f>
        <v/>
      </c>
      <c r="E4109" s="27" t="str" cm="1">
        <f t="array" ref="E4109">IF(C4109="","",IFERROR(INDEX(STPP!$E$6:$E$4207,MATCH(C4109,STPP!$C$6:$C$4207,0)),"Not Found"))</f>
        <v/>
      </c>
      <c r="F4109" s="27" t="str" cm="1">
        <f t="array" ref="F4109">IF(C4109="","",IFERROR(INDEX(STPP!$F$6:$F$4207,MATCH(C4109,STPP!$C$6:$C$4207,0)),"Not Found"))</f>
        <v/>
      </c>
      <c r="G4109" s="25" t="str">
        <f>IF(表1[[#This Row],[No Seri]]="","",表1[[#This Row],[Deskripsi Barang]]+表1[[#This Row],[Kuantitas]]-表1[[#This Row],[Satuan]])</f>
        <v/>
      </c>
      <c r="H4109" s="28"/>
      <c r="I4109" s="25" t="str">
        <f>IF(表1[[#This Row],[Tgl NPBG]]&gt;表1[[#This Row],[Peminta]],表1[[#This Row],[Tgl NPBG]]-表1[[#This Row],[Peminta]],"")</f>
        <v/>
      </c>
      <c r="J4109" s="31"/>
    </row>
    <row r="4110" s="12" customFormat="1" customHeight="1" spans="2:10">
      <c r="B4110" s="25"/>
      <c r="C4110" s="25"/>
      <c r="D4110" s="26" t="str" cm="1">
        <f t="array" ref="D4110">IF(C4110="","",IFERROR(INDEX(STPP!$D$6:$D$4207,MATCH(C4110,STPP!$C$6:$C$4207,0)),"Not Found"))</f>
        <v/>
      </c>
      <c r="E4110" s="27" t="str" cm="1">
        <f t="array" ref="E4110">IF(C4110="","",IFERROR(INDEX(STPP!$E$6:$E$4207,MATCH(C4110,STPP!$C$6:$C$4207,0)),"Not Found"))</f>
        <v/>
      </c>
      <c r="F4110" s="27" t="str" cm="1">
        <f t="array" ref="F4110">IF(C4110="","",IFERROR(INDEX(STPP!$F$6:$F$4207,MATCH(C4110,STPP!$C$6:$C$4207,0)),"Not Found"))</f>
        <v/>
      </c>
      <c r="G4110" s="25" t="str">
        <f>IF(表1[[#This Row],[No Seri]]="","",表1[[#This Row],[Deskripsi Barang]]+表1[[#This Row],[Kuantitas]]-表1[[#This Row],[Satuan]])</f>
        <v/>
      </c>
      <c r="H4110" s="28"/>
      <c r="I4110" s="25" t="str">
        <f>IF(表1[[#This Row],[Tgl NPBG]]&gt;表1[[#This Row],[Peminta]],表1[[#This Row],[Tgl NPBG]]-表1[[#This Row],[Peminta]],"")</f>
        <v/>
      </c>
      <c r="J4110" s="31"/>
    </row>
    <row r="4111" s="12" customFormat="1" customHeight="1" spans="2:10">
      <c r="B4111" s="25"/>
      <c r="C4111" s="25"/>
      <c r="D4111" s="26" t="str" cm="1">
        <f t="array" ref="D4111">IF(C4111="","",IFERROR(INDEX(STPP!$D$6:$D$4207,MATCH(C4111,STPP!$C$6:$C$4207,0)),"Not Found"))</f>
        <v/>
      </c>
      <c r="E4111" s="27" t="str" cm="1">
        <f t="array" ref="E4111">IF(C4111="","",IFERROR(INDEX(STPP!$E$6:$E$4207,MATCH(C4111,STPP!$C$6:$C$4207,0)),"Not Found"))</f>
        <v/>
      </c>
      <c r="F4111" s="27" t="str" cm="1">
        <f t="array" ref="F4111">IF(C4111="","",IFERROR(INDEX(STPP!$F$6:$F$4207,MATCH(C4111,STPP!$C$6:$C$4207,0)),"Not Found"))</f>
        <v/>
      </c>
      <c r="G4111" s="25" t="str">
        <f>IF(表1[[#This Row],[No Seri]]="","",表1[[#This Row],[Deskripsi Barang]]+表1[[#This Row],[Kuantitas]]-表1[[#This Row],[Satuan]])</f>
        <v/>
      </c>
      <c r="H4111" s="28"/>
      <c r="I4111" s="25" t="str">
        <f>IF(表1[[#This Row],[Tgl NPBG]]&gt;表1[[#This Row],[Peminta]],表1[[#This Row],[Tgl NPBG]]-表1[[#This Row],[Peminta]],"")</f>
        <v/>
      </c>
      <c r="J4111" s="31"/>
    </row>
    <row r="4112" s="12" customFormat="1" customHeight="1" spans="2:10">
      <c r="B4112" s="25"/>
      <c r="C4112" s="25"/>
      <c r="D4112" s="26" t="str" cm="1">
        <f t="array" ref="D4112">IF(C4112="","",IFERROR(INDEX(STPP!$D$6:$D$4207,MATCH(C4112,STPP!$C$6:$C$4207,0)),"Not Found"))</f>
        <v/>
      </c>
      <c r="E4112" s="27" t="str" cm="1">
        <f t="array" ref="E4112">IF(C4112="","",IFERROR(INDEX(STPP!$E$6:$E$4207,MATCH(C4112,STPP!$C$6:$C$4207,0)),"Not Found"))</f>
        <v/>
      </c>
      <c r="F4112" s="27" t="str" cm="1">
        <f t="array" ref="F4112">IF(C4112="","",IFERROR(INDEX(STPP!$F$6:$F$4207,MATCH(C4112,STPP!$C$6:$C$4207,0)),"Not Found"))</f>
        <v/>
      </c>
      <c r="G4112" s="25" t="str">
        <f>IF(表1[[#This Row],[No Seri]]="","",表1[[#This Row],[Deskripsi Barang]]+表1[[#This Row],[Kuantitas]]-表1[[#This Row],[Satuan]])</f>
        <v/>
      </c>
      <c r="H4112" s="28"/>
      <c r="I4112" s="25" t="str">
        <f>IF(表1[[#This Row],[Tgl NPBG]]&gt;表1[[#This Row],[Peminta]],表1[[#This Row],[Tgl NPBG]]-表1[[#This Row],[Peminta]],"")</f>
        <v/>
      </c>
      <c r="J4112" s="31"/>
    </row>
    <row r="4113" s="12" customFormat="1" customHeight="1" spans="2:10">
      <c r="B4113" s="25"/>
      <c r="C4113" s="25"/>
      <c r="D4113" s="26" t="str" cm="1">
        <f t="array" ref="D4113">IF(C4113="","",IFERROR(INDEX(STPP!$D$6:$D$4207,MATCH(C4113,STPP!$C$6:$C$4207,0)),"Not Found"))</f>
        <v/>
      </c>
      <c r="E4113" s="27" t="str" cm="1">
        <f t="array" ref="E4113">IF(C4113="","",IFERROR(INDEX(STPP!$E$6:$E$4207,MATCH(C4113,STPP!$C$6:$C$4207,0)),"Not Found"))</f>
        <v/>
      </c>
      <c r="F4113" s="27" t="str" cm="1">
        <f t="array" ref="F4113">IF(C4113="","",IFERROR(INDEX(STPP!$F$6:$F$4207,MATCH(C4113,STPP!$C$6:$C$4207,0)),"Not Found"))</f>
        <v/>
      </c>
      <c r="G4113" s="25" t="str">
        <f>IF(表1[[#This Row],[No Seri]]="","",表1[[#This Row],[Deskripsi Barang]]+表1[[#This Row],[Kuantitas]]-表1[[#This Row],[Satuan]])</f>
        <v/>
      </c>
      <c r="H4113" s="28"/>
      <c r="I4113" s="25" t="str">
        <f>IF(表1[[#This Row],[Tgl NPBG]]&gt;表1[[#This Row],[Peminta]],表1[[#This Row],[Tgl NPBG]]-表1[[#This Row],[Peminta]],"")</f>
        <v/>
      </c>
      <c r="J4113" s="31"/>
    </row>
    <row r="4114" s="12" customFormat="1" customHeight="1" spans="2:10">
      <c r="B4114" s="25"/>
      <c r="C4114" s="25"/>
      <c r="D4114" s="26" t="str" cm="1">
        <f t="array" ref="D4114">IF(C4114="","",IFERROR(INDEX(STPP!$D$6:$D$4207,MATCH(C4114,STPP!$C$6:$C$4207,0)),"Not Found"))</f>
        <v/>
      </c>
      <c r="E4114" s="27" t="str" cm="1">
        <f t="array" ref="E4114">IF(C4114="","",IFERROR(INDEX(STPP!$E$6:$E$4207,MATCH(C4114,STPP!$C$6:$C$4207,0)),"Not Found"))</f>
        <v/>
      </c>
      <c r="F4114" s="27" t="str" cm="1">
        <f t="array" ref="F4114">IF(C4114="","",IFERROR(INDEX(STPP!$F$6:$F$4207,MATCH(C4114,STPP!$C$6:$C$4207,0)),"Not Found"))</f>
        <v/>
      </c>
      <c r="G4114" s="25" t="str">
        <f>IF(表1[[#This Row],[No Seri]]="","",表1[[#This Row],[Deskripsi Barang]]+表1[[#This Row],[Kuantitas]]-表1[[#This Row],[Satuan]])</f>
        <v/>
      </c>
      <c r="H4114" s="28"/>
      <c r="I4114" s="25" t="str">
        <f>IF(表1[[#This Row],[Tgl NPBG]]&gt;表1[[#This Row],[Peminta]],表1[[#This Row],[Tgl NPBG]]-表1[[#This Row],[Peminta]],"")</f>
        <v/>
      </c>
      <c r="J4114" s="31"/>
    </row>
    <row r="4115" s="12" customFormat="1" customHeight="1" spans="2:10">
      <c r="B4115" s="25"/>
      <c r="C4115" s="25"/>
      <c r="D4115" s="26" t="str" cm="1">
        <f t="array" ref="D4115">IF(C4115="","",IFERROR(INDEX(STPP!$D$6:$D$4207,MATCH(C4115,STPP!$C$6:$C$4207,0)),"Not Found"))</f>
        <v/>
      </c>
      <c r="E4115" s="27" t="str" cm="1">
        <f t="array" ref="E4115">IF(C4115="","",IFERROR(INDEX(STPP!$E$6:$E$4207,MATCH(C4115,STPP!$C$6:$C$4207,0)),"Not Found"))</f>
        <v/>
      </c>
      <c r="F4115" s="27" t="str" cm="1">
        <f t="array" ref="F4115">IF(C4115="","",IFERROR(INDEX(STPP!$F$6:$F$4207,MATCH(C4115,STPP!$C$6:$C$4207,0)),"Not Found"))</f>
        <v/>
      </c>
      <c r="G4115" s="25" t="str">
        <f>IF(表1[[#This Row],[No Seri]]="","",表1[[#This Row],[Deskripsi Barang]]+表1[[#This Row],[Kuantitas]]-表1[[#This Row],[Satuan]])</f>
        <v/>
      </c>
      <c r="H4115" s="28"/>
      <c r="I4115" s="25" t="str">
        <f>IF(表1[[#This Row],[Tgl NPBG]]&gt;表1[[#This Row],[Peminta]],表1[[#This Row],[Tgl NPBG]]-表1[[#This Row],[Peminta]],"")</f>
        <v/>
      </c>
      <c r="J4115" s="31"/>
    </row>
    <row r="4116" s="12" customFormat="1" customHeight="1" spans="2:10">
      <c r="B4116" s="25"/>
      <c r="C4116" s="25"/>
      <c r="D4116" s="26" t="str" cm="1">
        <f t="array" ref="D4116">IF(C4116="","",IFERROR(INDEX(STPP!$D$6:$D$4207,MATCH(C4116,STPP!$C$6:$C$4207,0)),"Not Found"))</f>
        <v/>
      </c>
      <c r="E4116" s="27" t="str" cm="1">
        <f t="array" ref="E4116">IF(C4116="","",IFERROR(INDEX(STPP!$E$6:$E$4207,MATCH(C4116,STPP!$C$6:$C$4207,0)),"Not Found"))</f>
        <v/>
      </c>
      <c r="F4116" s="27" t="str" cm="1">
        <f t="array" ref="F4116">IF(C4116="","",IFERROR(INDEX(STPP!$F$6:$F$4207,MATCH(C4116,STPP!$C$6:$C$4207,0)),"Not Found"))</f>
        <v/>
      </c>
      <c r="G4116" s="25" t="str">
        <f>IF(表1[[#This Row],[No Seri]]="","",表1[[#This Row],[Deskripsi Barang]]+表1[[#This Row],[Kuantitas]]-表1[[#This Row],[Satuan]])</f>
        <v/>
      </c>
      <c r="H4116" s="28"/>
      <c r="I4116" s="25" t="str">
        <f>IF(表1[[#This Row],[Tgl NPBG]]&gt;表1[[#This Row],[Peminta]],表1[[#This Row],[Tgl NPBG]]-表1[[#This Row],[Peminta]],"")</f>
        <v/>
      </c>
      <c r="J4116" s="31"/>
    </row>
    <row r="4117" s="12" customFormat="1" customHeight="1" spans="2:10">
      <c r="B4117" s="25"/>
      <c r="C4117" s="25"/>
      <c r="D4117" s="26" t="str" cm="1">
        <f t="array" ref="D4117">IF(C4117="","",IFERROR(INDEX(STPP!$D$6:$D$4207,MATCH(C4117,STPP!$C$6:$C$4207,0)),"Not Found"))</f>
        <v/>
      </c>
      <c r="E4117" s="27" t="str" cm="1">
        <f t="array" ref="E4117">IF(C4117="","",IFERROR(INDEX(STPP!$E$6:$E$4207,MATCH(C4117,STPP!$C$6:$C$4207,0)),"Not Found"))</f>
        <v/>
      </c>
      <c r="F4117" s="27" t="str" cm="1">
        <f t="array" ref="F4117">IF(C4117="","",IFERROR(INDEX(STPP!$F$6:$F$4207,MATCH(C4117,STPP!$C$6:$C$4207,0)),"Not Found"))</f>
        <v/>
      </c>
      <c r="G4117" s="25" t="str">
        <f>IF(表1[[#This Row],[No Seri]]="","",表1[[#This Row],[Deskripsi Barang]]+表1[[#This Row],[Kuantitas]]-表1[[#This Row],[Satuan]])</f>
        <v/>
      </c>
      <c r="H4117" s="28"/>
      <c r="I4117" s="25" t="str">
        <f>IF(表1[[#This Row],[Tgl NPBG]]&gt;表1[[#This Row],[Peminta]],表1[[#This Row],[Tgl NPBG]]-表1[[#This Row],[Peminta]],"")</f>
        <v/>
      </c>
      <c r="J4117" s="31"/>
    </row>
    <row r="4118" s="12" customFormat="1" customHeight="1" spans="2:10">
      <c r="B4118" s="25"/>
      <c r="C4118" s="25"/>
      <c r="D4118" s="26" t="str" cm="1">
        <f t="array" ref="D4118">IF(C4118="","",IFERROR(INDEX(STPP!$D$6:$D$4207,MATCH(C4118,STPP!$C$6:$C$4207,0)),"Not Found"))</f>
        <v/>
      </c>
      <c r="E4118" s="27" t="str" cm="1">
        <f t="array" ref="E4118">IF(C4118="","",IFERROR(INDEX(STPP!$E$6:$E$4207,MATCH(C4118,STPP!$C$6:$C$4207,0)),"Not Found"))</f>
        <v/>
      </c>
      <c r="F4118" s="27" t="str" cm="1">
        <f t="array" ref="F4118">IF(C4118="","",IFERROR(INDEX(STPP!$F$6:$F$4207,MATCH(C4118,STPP!$C$6:$C$4207,0)),"Not Found"))</f>
        <v/>
      </c>
      <c r="G4118" s="25" t="str">
        <f>IF(表1[[#This Row],[No Seri]]="","",表1[[#This Row],[Deskripsi Barang]]+表1[[#This Row],[Kuantitas]]-表1[[#This Row],[Satuan]])</f>
        <v/>
      </c>
      <c r="H4118" s="28"/>
      <c r="I4118" s="25" t="str">
        <f>IF(表1[[#This Row],[Tgl NPBG]]&gt;表1[[#This Row],[Peminta]],表1[[#This Row],[Tgl NPBG]]-表1[[#This Row],[Peminta]],"")</f>
        <v/>
      </c>
      <c r="J4118" s="31"/>
    </row>
    <row r="4119" s="12" customFormat="1" customHeight="1" spans="2:10">
      <c r="B4119" s="25"/>
      <c r="C4119" s="25"/>
      <c r="D4119" s="26" t="str" cm="1">
        <f t="array" ref="D4119">IF(C4119="","",IFERROR(INDEX(STPP!$D$6:$D$4207,MATCH(C4119,STPP!$C$6:$C$4207,0)),"Not Found"))</f>
        <v/>
      </c>
      <c r="E4119" s="27" t="str" cm="1">
        <f t="array" ref="E4119">IF(C4119="","",IFERROR(INDEX(STPP!$E$6:$E$4207,MATCH(C4119,STPP!$C$6:$C$4207,0)),"Not Found"))</f>
        <v/>
      </c>
      <c r="F4119" s="27" t="str" cm="1">
        <f t="array" ref="F4119">IF(C4119="","",IFERROR(INDEX(STPP!$F$6:$F$4207,MATCH(C4119,STPP!$C$6:$C$4207,0)),"Not Found"))</f>
        <v/>
      </c>
      <c r="G4119" s="25" t="str">
        <f>IF(表1[[#This Row],[No Seri]]="","",表1[[#This Row],[Deskripsi Barang]]+表1[[#This Row],[Kuantitas]]-表1[[#This Row],[Satuan]])</f>
        <v/>
      </c>
      <c r="H4119" s="28"/>
      <c r="I4119" s="25" t="str">
        <f>IF(表1[[#This Row],[Tgl NPBG]]&gt;表1[[#This Row],[Peminta]],表1[[#This Row],[Tgl NPBG]]-表1[[#This Row],[Peminta]],"")</f>
        <v/>
      </c>
      <c r="J4119" s="31"/>
    </row>
    <row r="4120" s="12" customFormat="1" customHeight="1" spans="2:10">
      <c r="B4120" s="25"/>
      <c r="C4120" s="25"/>
      <c r="D4120" s="26" t="str" cm="1">
        <f t="array" ref="D4120">IF(C4120="","",IFERROR(INDEX(STPP!$D$6:$D$4207,MATCH(C4120,STPP!$C$6:$C$4207,0)),"Not Found"))</f>
        <v/>
      </c>
      <c r="E4120" s="27" t="str" cm="1">
        <f t="array" ref="E4120">IF(C4120="","",IFERROR(INDEX(STPP!$E$6:$E$4207,MATCH(C4120,STPP!$C$6:$C$4207,0)),"Not Found"))</f>
        <v/>
      </c>
      <c r="F4120" s="27" t="str" cm="1">
        <f t="array" ref="F4120">IF(C4120="","",IFERROR(INDEX(STPP!$F$6:$F$4207,MATCH(C4120,STPP!$C$6:$C$4207,0)),"Not Found"))</f>
        <v/>
      </c>
      <c r="G4120" s="25" t="str">
        <f>IF(表1[[#This Row],[No Seri]]="","",表1[[#This Row],[Deskripsi Barang]]+表1[[#This Row],[Kuantitas]]-表1[[#This Row],[Satuan]])</f>
        <v/>
      </c>
      <c r="H4120" s="28"/>
      <c r="I4120" s="25" t="str">
        <f>IF(表1[[#This Row],[Tgl NPBG]]&gt;表1[[#This Row],[Peminta]],表1[[#This Row],[Tgl NPBG]]-表1[[#This Row],[Peminta]],"")</f>
        <v/>
      </c>
      <c r="J4120" s="31"/>
    </row>
    <row r="4121" s="12" customFormat="1" customHeight="1" spans="2:10">
      <c r="B4121" s="25"/>
      <c r="C4121" s="25"/>
      <c r="D4121" s="26" t="str" cm="1">
        <f t="array" ref="D4121">IF(C4121="","",IFERROR(INDEX(STPP!$D$6:$D$4207,MATCH(C4121,STPP!$C$6:$C$4207,0)),"Not Found"))</f>
        <v/>
      </c>
      <c r="E4121" s="27" t="str" cm="1">
        <f t="array" ref="E4121">IF(C4121="","",IFERROR(INDEX(STPP!$E$6:$E$4207,MATCH(C4121,STPP!$C$6:$C$4207,0)),"Not Found"))</f>
        <v/>
      </c>
      <c r="F4121" s="27" t="str" cm="1">
        <f t="array" ref="F4121">IF(C4121="","",IFERROR(INDEX(STPP!$F$6:$F$4207,MATCH(C4121,STPP!$C$6:$C$4207,0)),"Not Found"))</f>
        <v/>
      </c>
      <c r="G4121" s="25" t="str">
        <f>IF(表1[[#This Row],[No Seri]]="","",表1[[#This Row],[Deskripsi Barang]]+表1[[#This Row],[Kuantitas]]-表1[[#This Row],[Satuan]])</f>
        <v/>
      </c>
      <c r="H4121" s="28"/>
      <c r="I4121" s="25" t="str">
        <f>IF(表1[[#This Row],[Tgl NPBG]]&gt;表1[[#This Row],[Peminta]],表1[[#This Row],[Tgl NPBG]]-表1[[#This Row],[Peminta]],"")</f>
        <v/>
      </c>
      <c r="J4121" s="31"/>
    </row>
    <row r="4122" s="12" customFormat="1" customHeight="1" spans="2:10">
      <c r="B4122" s="25"/>
      <c r="C4122" s="25"/>
      <c r="D4122" s="26" t="str" cm="1">
        <f t="array" ref="D4122">IF(C4122="","",IFERROR(INDEX(STPP!$D$6:$D$4207,MATCH(C4122,STPP!$C$6:$C$4207,0)),"Not Found"))</f>
        <v/>
      </c>
      <c r="E4122" s="27" t="str" cm="1">
        <f t="array" ref="E4122">IF(C4122="","",IFERROR(INDEX(STPP!$E$6:$E$4207,MATCH(C4122,STPP!$C$6:$C$4207,0)),"Not Found"))</f>
        <v/>
      </c>
      <c r="F4122" s="27" t="str" cm="1">
        <f t="array" ref="F4122">IF(C4122="","",IFERROR(INDEX(STPP!$F$6:$F$4207,MATCH(C4122,STPP!$C$6:$C$4207,0)),"Not Found"))</f>
        <v/>
      </c>
      <c r="G4122" s="25" t="str">
        <f>IF(表1[[#This Row],[No Seri]]="","",表1[[#This Row],[Deskripsi Barang]]+表1[[#This Row],[Kuantitas]]-表1[[#This Row],[Satuan]])</f>
        <v/>
      </c>
      <c r="H4122" s="28"/>
      <c r="I4122" s="25" t="str">
        <f>IF(表1[[#This Row],[Tgl NPBG]]&gt;表1[[#This Row],[Peminta]],表1[[#This Row],[Tgl NPBG]]-表1[[#This Row],[Peminta]],"")</f>
        <v/>
      </c>
      <c r="J4122" s="31"/>
    </row>
    <row r="4123" s="12" customFormat="1" customHeight="1" spans="2:10">
      <c r="B4123" s="25"/>
      <c r="C4123" s="25"/>
      <c r="D4123" s="26" t="str" cm="1">
        <f t="array" ref="D4123">IF(C4123="","",IFERROR(INDEX(STPP!$D$6:$D$4207,MATCH(C4123,STPP!$C$6:$C$4207,0)),"Not Found"))</f>
        <v/>
      </c>
      <c r="E4123" s="27" t="str" cm="1">
        <f t="array" ref="E4123">IF(C4123="","",IFERROR(INDEX(STPP!$E$6:$E$4207,MATCH(C4123,STPP!$C$6:$C$4207,0)),"Not Found"))</f>
        <v/>
      </c>
      <c r="F4123" s="27" t="str" cm="1">
        <f t="array" ref="F4123">IF(C4123="","",IFERROR(INDEX(STPP!$F$6:$F$4207,MATCH(C4123,STPP!$C$6:$C$4207,0)),"Not Found"))</f>
        <v/>
      </c>
      <c r="G4123" s="25" t="str">
        <f>IF(表1[[#This Row],[No Seri]]="","",表1[[#This Row],[Deskripsi Barang]]+表1[[#This Row],[Kuantitas]]-表1[[#This Row],[Satuan]])</f>
        <v/>
      </c>
      <c r="H4123" s="28"/>
      <c r="I4123" s="25" t="str">
        <f>IF(表1[[#This Row],[Tgl NPBG]]&gt;表1[[#This Row],[Peminta]],表1[[#This Row],[Tgl NPBG]]-表1[[#This Row],[Peminta]],"")</f>
        <v/>
      </c>
      <c r="J4123" s="31"/>
    </row>
    <row r="4124" s="12" customFormat="1" customHeight="1" spans="2:10">
      <c r="B4124" s="25"/>
      <c r="C4124" s="25"/>
      <c r="D4124" s="26" t="str" cm="1">
        <f t="array" ref="D4124">IF(C4124="","",IFERROR(INDEX(STPP!$D$6:$D$4207,MATCH(C4124,STPP!$C$6:$C$4207,0)),"Not Found"))</f>
        <v/>
      </c>
      <c r="E4124" s="27" t="str" cm="1">
        <f t="array" ref="E4124">IF(C4124="","",IFERROR(INDEX(STPP!$E$6:$E$4207,MATCH(C4124,STPP!$C$6:$C$4207,0)),"Not Found"))</f>
        <v/>
      </c>
      <c r="F4124" s="27" t="str" cm="1">
        <f t="array" ref="F4124">IF(C4124="","",IFERROR(INDEX(STPP!$F$6:$F$4207,MATCH(C4124,STPP!$C$6:$C$4207,0)),"Not Found"))</f>
        <v/>
      </c>
      <c r="G4124" s="25" t="str">
        <f>IF(表1[[#This Row],[No Seri]]="","",表1[[#This Row],[Deskripsi Barang]]+表1[[#This Row],[Kuantitas]]-表1[[#This Row],[Satuan]])</f>
        <v/>
      </c>
      <c r="H4124" s="28"/>
      <c r="I4124" s="25" t="str">
        <f>IF(表1[[#This Row],[Tgl NPBG]]&gt;表1[[#This Row],[Peminta]],表1[[#This Row],[Tgl NPBG]]-表1[[#This Row],[Peminta]],"")</f>
        <v/>
      </c>
      <c r="J4124" s="31"/>
    </row>
    <row r="4125" s="12" customFormat="1" customHeight="1" spans="2:10">
      <c r="B4125" s="25"/>
      <c r="C4125" s="25"/>
      <c r="D4125" s="26" t="str" cm="1">
        <f t="array" ref="D4125">IF(C4125="","",IFERROR(INDEX(STPP!$D$6:$D$4207,MATCH(C4125,STPP!$C$6:$C$4207,0)),"Not Found"))</f>
        <v/>
      </c>
      <c r="E4125" s="27" t="str" cm="1">
        <f t="array" ref="E4125">IF(C4125="","",IFERROR(INDEX(STPP!$E$6:$E$4207,MATCH(C4125,STPP!$C$6:$C$4207,0)),"Not Found"))</f>
        <v/>
      </c>
      <c r="F4125" s="27" t="str" cm="1">
        <f t="array" ref="F4125">IF(C4125="","",IFERROR(INDEX(STPP!$F$6:$F$4207,MATCH(C4125,STPP!$C$6:$C$4207,0)),"Not Found"))</f>
        <v/>
      </c>
      <c r="G4125" s="25" t="str">
        <f>IF(表1[[#This Row],[No Seri]]="","",表1[[#This Row],[Deskripsi Barang]]+表1[[#This Row],[Kuantitas]]-表1[[#This Row],[Satuan]])</f>
        <v/>
      </c>
      <c r="H4125" s="28"/>
      <c r="I4125" s="25" t="str">
        <f>IF(表1[[#This Row],[Tgl NPBG]]&gt;表1[[#This Row],[Peminta]],表1[[#This Row],[Tgl NPBG]]-表1[[#This Row],[Peminta]],"")</f>
        <v/>
      </c>
      <c r="J4125" s="31"/>
    </row>
    <row r="4126" s="12" customFormat="1" customHeight="1" spans="2:10">
      <c r="B4126" s="25"/>
      <c r="C4126" s="25"/>
      <c r="D4126" s="26" t="str" cm="1">
        <f t="array" ref="D4126">IF(C4126="","",IFERROR(INDEX(STPP!$D$6:$D$4207,MATCH(C4126,STPP!$C$6:$C$4207,0)),"Not Found"))</f>
        <v/>
      </c>
      <c r="E4126" s="27" t="str" cm="1">
        <f t="array" ref="E4126">IF(C4126="","",IFERROR(INDEX(STPP!$E$6:$E$4207,MATCH(C4126,STPP!$C$6:$C$4207,0)),"Not Found"))</f>
        <v/>
      </c>
      <c r="F4126" s="27" t="str" cm="1">
        <f t="array" ref="F4126">IF(C4126="","",IFERROR(INDEX(STPP!$F$6:$F$4207,MATCH(C4126,STPP!$C$6:$C$4207,0)),"Not Found"))</f>
        <v/>
      </c>
      <c r="G4126" s="25" t="str">
        <f>IF(表1[[#This Row],[No Seri]]="","",表1[[#This Row],[Deskripsi Barang]]+表1[[#This Row],[Kuantitas]]-表1[[#This Row],[Satuan]])</f>
        <v/>
      </c>
      <c r="H4126" s="28"/>
      <c r="I4126" s="25" t="str">
        <f>IF(表1[[#This Row],[Tgl NPBG]]&gt;表1[[#This Row],[Peminta]],表1[[#This Row],[Tgl NPBG]]-表1[[#This Row],[Peminta]],"")</f>
        <v/>
      </c>
      <c r="J4126" s="31"/>
    </row>
    <row r="4127" s="12" customFormat="1" customHeight="1" spans="2:10">
      <c r="B4127" s="25"/>
      <c r="C4127" s="25"/>
      <c r="D4127" s="26" t="str" cm="1">
        <f t="array" ref="D4127">IF(C4127="","",IFERROR(INDEX(STPP!$D$6:$D$4207,MATCH(C4127,STPP!$C$6:$C$4207,0)),"Not Found"))</f>
        <v/>
      </c>
      <c r="E4127" s="27" t="str" cm="1">
        <f t="array" ref="E4127">IF(C4127="","",IFERROR(INDEX(STPP!$E$6:$E$4207,MATCH(C4127,STPP!$C$6:$C$4207,0)),"Not Found"))</f>
        <v/>
      </c>
      <c r="F4127" s="27" t="str" cm="1">
        <f t="array" ref="F4127">IF(C4127="","",IFERROR(INDEX(STPP!$F$6:$F$4207,MATCH(C4127,STPP!$C$6:$C$4207,0)),"Not Found"))</f>
        <v/>
      </c>
      <c r="G4127" s="25" t="str">
        <f>IF(表1[[#This Row],[No Seri]]="","",表1[[#This Row],[Deskripsi Barang]]+表1[[#This Row],[Kuantitas]]-表1[[#This Row],[Satuan]])</f>
        <v/>
      </c>
      <c r="H4127" s="28"/>
      <c r="I4127" s="25" t="str">
        <f>IF(表1[[#This Row],[Tgl NPBG]]&gt;表1[[#This Row],[Peminta]],表1[[#This Row],[Tgl NPBG]]-表1[[#This Row],[Peminta]],"")</f>
        <v/>
      </c>
      <c r="J4127" s="31"/>
    </row>
    <row r="4128" s="12" customFormat="1" customHeight="1" spans="2:10">
      <c r="B4128" s="25"/>
      <c r="C4128" s="25"/>
      <c r="D4128" s="26" t="str" cm="1">
        <f t="array" ref="D4128">IF(C4128="","",IFERROR(INDEX(STPP!$D$6:$D$4207,MATCH(C4128,STPP!$C$6:$C$4207,0)),"Not Found"))</f>
        <v/>
      </c>
      <c r="E4128" s="27" t="str" cm="1">
        <f t="array" ref="E4128">IF(C4128="","",IFERROR(INDEX(STPP!$E$6:$E$4207,MATCH(C4128,STPP!$C$6:$C$4207,0)),"Not Found"))</f>
        <v/>
      </c>
      <c r="F4128" s="27" t="str" cm="1">
        <f t="array" ref="F4128">IF(C4128="","",IFERROR(INDEX(STPP!$F$6:$F$4207,MATCH(C4128,STPP!$C$6:$C$4207,0)),"Not Found"))</f>
        <v/>
      </c>
      <c r="G4128" s="25" t="str">
        <f>IF(表1[[#This Row],[No Seri]]="","",表1[[#This Row],[Deskripsi Barang]]+表1[[#This Row],[Kuantitas]]-表1[[#This Row],[Satuan]])</f>
        <v/>
      </c>
      <c r="H4128" s="28"/>
      <c r="I4128" s="25" t="str">
        <f>IF(表1[[#This Row],[Tgl NPBG]]&gt;表1[[#This Row],[Peminta]],表1[[#This Row],[Tgl NPBG]]-表1[[#This Row],[Peminta]],"")</f>
        <v/>
      </c>
      <c r="J4128" s="31"/>
    </row>
    <row r="4129" s="12" customFormat="1" customHeight="1" spans="2:10">
      <c r="B4129" s="25"/>
      <c r="C4129" s="25"/>
      <c r="D4129" s="26" t="str" cm="1">
        <f t="array" ref="D4129">IF(C4129="","",IFERROR(INDEX(STPP!$D$6:$D$4207,MATCH(C4129,STPP!$C$6:$C$4207,0)),"Not Found"))</f>
        <v/>
      </c>
      <c r="E4129" s="27" t="str" cm="1">
        <f t="array" ref="E4129">IF(C4129="","",IFERROR(INDEX(STPP!$E$6:$E$4207,MATCH(C4129,STPP!$C$6:$C$4207,0)),"Not Found"))</f>
        <v/>
      </c>
      <c r="F4129" s="27" t="str" cm="1">
        <f t="array" ref="F4129">IF(C4129="","",IFERROR(INDEX(STPP!$F$6:$F$4207,MATCH(C4129,STPP!$C$6:$C$4207,0)),"Not Found"))</f>
        <v/>
      </c>
      <c r="G4129" s="25" t="str">
        <f>IF(表1[[#This Row],[No Seri]]="","",表1[[#This Row],[Deskripsi Barang]]+表1[[#This Row],[Kuantitas]]-表1[[#This Row],[Satuan]])</f>
        <v/>
      </c>
      <c r="H4129" s="28"/>
      <c r="I4129" s="25" t="str">
        <f>IF(表1[[#This Row],[Tgl NPBG]]&gt;表1[[#This Row],[Peminta]],表1[[#This Row],[Tgl NPBG]]-表1[[#This Row],[Peminta]],"")</f>
        <v/>
      </c>
      <c r="J4129" s="31"/>
    </row>
    <row r="4130" s="12" customFormat="1" customHeight="1" spans="2:10">
      <c r="B4130" s="25"/>
      <c r="C4130" s="25"/>
      <c r="D4130" s="26" t="str" cm="1">
        <f t="array" ref="D4130">IF(C4130="","",IFERROR(INDEX(STPP!$D$6:$D$4207,MATCH(C4130,STPP!$C$6:$C$4207,0)),"Not Found"))</f>
        <v/>
      </c>
      <c r="E4130" s="27" t="str" cm="1">
        <f t="array" ref="E4130">IF(C4130="","",IFERROR(INDEX(STPP!$E$6:$E$4207,MATCH(C4130,STPP!$C$6:$C$4207,0)),"Not Found"))</f>
        <v/>
      </c>
      <c r="F4130" s="27" t="str" cm="1">
        <f t="array" ref="F4130">IF(C4130="","",IFERROR(INDEX(STPP!$F$6:$F$4207,MATCH(C4130,STPP!$C$6:$C$4207,0)),"Not Found"))</f>
        <v/>
      </c>
      <c r="G4130" s="25" t="str">
        <f>IF(表1[[#This Row],[No Seri]]="","",表1[[#This Row],[Deskripsi Barang]]+表1[[#This Row],[Kuantitas]]-表1[[#This Row],[Satuan]])</f>
        <v/>
      </c>
      <c r="H4130" s="28"/>
      <c r="I4130" s="25" t="str">
        <f>IF(表1[[#This Row],[Tgl NPBG]]&gt;表1[[#This Row],[Peminta]],表1[[#This Row],[Tgl NPBG]]-表1[[#This Row],[Peminta]],"")</f>
        <v/>
      </c>
      <c r="J4130" s="31"/>
    </row>
    <row r="4131" s="12" customFormat="1" customHeight="1" spans="2:10">
      <c r="B4131" s="25"/>
      <c r="C4131" s="25"/>
      <c r="D4131" s="26" t="str" cm="1">
        <f t="array" ref="D4131">IF(C4131="","",IFERROR(INDEX(STPP!$D$6:$D$4207,MATCH(C4131,STPP!$C$6:$C$4207,0)),"Not Found"))</f>
        <v/>
      </c>
      <c r="E4131" s="27" t="str" cm="1">
        <f t="array" ref="E4131">IF(C4131="","",IFERROR(INDEX(STPP!$E$6:$E$4207,MATCH(C4131,STPP!$C$6:$C$4207,0)),"Not Found"))</f>
        <v/>
      </c>
      <c r="F4131" s="27" t="str" cm="1">
        <f t="array" ref="F4131">IF(C4131="","",IFERROR(INDEX(STPP!$F$6:$F$4207,MATCH(C4131,STPP!$C$6:$C$4207,0)),"Not Found"))</f>
        <v/>
      </c>
      <c r="G4131" s="25" t="str">
        <f>IF(表1[[#This Row],[No Seri]]="","",表1[[#This Row],[Deskripsi Barang]]+表1[[#This Row],[Kuantitas]]-表1[[#This Row],[Satuan]])</f>
        <v/>
      </c>
      <c r="H4131" s="28"/>
      <c r="I4131" s="25" t="str">
        <f>IF(表1[[#This Row],[Tgl NPBG]]&gt;表1[[#This Row],[Peminta]],表1[[#This Row],[Tgl NPBG]]-表1[[#This Row],[Peminta]],"")</f>
        <v/>
      </c>
      <c r="J4131" s="31"/>
    </row>
    <row r="4132" s="12" customFormat="1" customHeight="1" spans="2:10">
      <c r="B4132" s="25"/>
      <c r="C4132" s="25"/>
      <c r="D4132" s="26" t="str" cm="1">
        <f t="array" ref="D4132">IF(C4132="","",IFERROR(INDEX(STPP!$D$6:$D$4207,MATCH(C4132,STPP!$C$6:$C$4207,0)),"Not Found"))</f>
        <v/>
      </c>
      <c r="E4132" s="27" t="str" cm="1">
        <f t="array" ref="E4132">IF(C4132="","",IFERROR(INDEX(STPP!$E$6:$E$4207,MATCH(C4132,STPP!$C$6:$C$4207,0)),"Not Found"))</f>
        <v/>
      </c>
      <c r="F4132" s="27" t="str" cm="1">
        <f t="array" ref="F4132">IF(C4132="","",IFERROR(INDEX(STPP!$F$6:$F$4207,MATCH(C4132,STPP!$C$6:$C$4207,0)),"Not Found"))</f>
        <v/>
      </c>
      <c r="G4132" s="25" t="str">
        <f>IF(表1[[#This Row],[No Seri]]="","",表1[[#This Row],[Deskripsi Barang]]+表1[[#This Row],[Kuantitas]]-表1[[#This Row],[Satuan]])</f>
        <v/>
      </c>
      <c r="H4132" s="28"/>
      <c r="I4132" s="25" t="str">
        <f>IF(表1[[#This Row],[Tgl NPBG]]&gt;表1[[#This Row],[Peminta]],表1[[#This Row],[Tgl NPBG]]-表1[[#This Row],[Peminta]],"")</f>
        <v/>
      </c>
      <c r="J4132" s="31"/>
    </row>
    <row r="4133" s="12" customFormat="1" customHeight="1" spans="2:10">
      <c r="B4133" s="25"/>
      <c r="C4133" s="25"/>
      <c r="D4133" s="26" t="str" cm="1">
        <f t="array" ref="D4133">IF(C4133="","",IFERROR(INDEX(STPP!$D$6:$D$4207,MATCH(C4133,STPP!$C$6:$C$4207,0)),"Not Found"))</f>
        <v/>
      </c>
      <c r="E4133" s="27" t="str" cm="1">
        <f t="array" ref="E4133">IF(C4133="","",IFERROR(INDEX(STPP!$E$6:$E$4207,MATCH(C4133,STPP!$C$6:$C$4207,0)),"Not Found"))</f>
        <v/>
      </c>
      <c r="F4133" s="27" t="str" cm="1">
        <f t="array" ref="F4133">IF(C4133="","",IFERROR(INDEX(STPP!$F$6:$F$4207,MATCH(C4133,STPP!$C$6:$C$4207,0)),"Not Found"))</f>
        <v/>
      </c>
      <c r="G4133" s="25" t="str">
        <f>IF(表1[[#This Row],[No Seri]]="","",表1[[#This Row],[Deskripsi Barang]]+表1[[#This Row],[Kuantitas]]-表1[[#This Row],[Satuan]])</f>
        <v/>
      </c>
      <c r="H4133" s="28"/>
      <c r="I4133" s="25" t="str">
        <f>IF(表1[[#This Row],[Tgl NPBG]]&gt;表1[[#This Row],[Peminta]],表1[[#This Row],[Tgl NPBG]]-表1[[#This Row],[Peminta]],"")</f>
        <v/>
      </c>
      <c r="J4133" s="31"/>
    </row>
    <row r="4134" s="12" customFormat="1" customHeight="1" spans="2:10">
      <c r="B4134" s="25"/>
      <c r="C4134" s="25"/>
      <c r="D4134" s="26" t="str" cm="1">
        <f t="array" ref="D4134">IF(C4134="","",IFERROR(INDEX(STPP!$D$6:$D$4207,MATCH(C4134,STPP!$C$6:$C$4207,0)),"Not Found"))</f>
        <v/>
      </c>
      <c r="E4134" s="27" t="str" cm="1">
        <f t="array" ref="E4134">IF(C4134="","",IFERROR(INDEX(STPP!$E$6:$E$4207,MATCH(C4134,STPP!$C$6:$C$4207,0)),"Not Found"))</f>
        <v/>
      </c>
      <c r="F4134" s="27" t="str" cm="1">
        <f t="array" ref="F4134">IF(C4134="","",IFERROR(INDEX(STPP!$F$6:$F$4207,MATCH(C4134,STPP!$C$6:$C$4207,0)),"Not Found"))</f>
        <v/>
      </c>
      <c r="G4134" s="25" t="str">
        <f>IF(表1[[#This Row],[No Seri]]="","",表1[[#This Row],[Deskripsi Barang]]+表1[[#This Row],[Kuantitas]]-表1[[#This Row],[Satuan]])</f>
        <v/>
      </c>
      <c r="H4134" s="28"/>
      <c r="I4134" s="25" t="str">
        <f>IF(表1[[#This Row],[Tgl NPBG]]&gt;表1[[#This Row],[Peminta]],表1[[#This Row],[Tgl NPBG]]-表1[[#This Row],[Peminta]],"")</f>
        <v/>
      </c>
      <c r="J4134" s="31"/>
    </row>
    <row r="4135" s="12" customFormat="1" customHeight="1" spans="2:10">
      <c r="B4135" s="25"/>
      <c r="C4135" s="25"/>
      <c r="D4135" s="26" t="str" cm="1">
        <f t="array" ref="D4135">IF(C4135="","",IFERROR(INDEX(STPP!$D$6:$D$4207,MATCH(C4135,STPP!$C$6:$C$4207,0)),"Not Found"))</f>
        <v/>
      </c>
      <c r="E4135" s="27" t="str" cm="1">
        <f t="array" ref="E4135">IF(C4135="","",IFERROR(INDEX(STPP!$E$6:$E$4207,MATCH(C4135,STPP!$C$6:$C$4207,0)),"Not Found"))</f>
        <v/>
      </c>
      <c r="F4135" s="27" t="str" cm="1">
        <f t="array" ref="F4135">IF(C4135="","",IFERROR(INDEX(STPP!$F$6:$F$4207,MATCH(C4135,STPP!$C$6:$C$4207,0)),"Not Found"))</f>
        <v/>
      </c>
      <c r="G4135" s="25" t="str">
        <f>IF(表1[[#This Row],[No Seri]]="","",表1[[#This Row],[Deskripsi Barang]]+表1[[#This Row],[Kuantitas]]-表1[[#This Row],[Satuan]])</f>
        <v/>
      </c>
      <c r="H4135" s="28"/>
      <c r="I4135" s="25" t="str">
        <f>IF(表1[[#This Row],[Tgl NPBG]]&gt;表1[[#This Row],[Peminta]],表1[[#This Row],[Tgl NPBG]]-表1[[#This Row],[Peminta]],"")</f>
        <v/>
      </c>
      <c r="J4135" s="31"/>
    </row>
    <row r="4136" s="12" customFormat="1" customHeight="1" spans="2:10">
      <c r="B4136" s="25"/>
      <c r="C4136" s="25"/>
      <c r="D4136" s="26" t="str" cm="1">
        <f t="array" ref="D4136">IF(C4136="","",IFERROR(INDEX(STPP!$D$6:$D$4207,MATCH(C4136,STPP!$C$6:$C$4207,0)),"Not Found"))</f>
        <v/>
      </c>
      <c r="E4136" s="27" t="str" cm="1">
        <f t="array" ref="E4136">IF(C4136="","",IFERROR(INDEX(STPP!$E$6:$E$4207,MATCH(C4136,STPP!$C$6:$C$4207,0)),"Not Found"))</f>
        <v/>
      </c>
      <c r="F4136" s="27" t="str" cm="1">
        <f t="array" ref="F4136">IF(C4136="","",IFERROR(INDEX(STPP!$F$6:$F$4207,MATCH(C4136,STPP!$C$6:$C$4207,0)),"Not Found"))</f>
        <v/>
      </c>
      <c r="G4136" s="25" t="str">
        <f>IF(表1[[#This Row],[No Seri]]="","",表1[[#This Row],[Deskripsi Barang]]+表1[[#This Row],[Kuantitas]]-表1[[#This Row],[Satuan]])</f>
        <v/>
      </c>
      <c r="H4136" s="28"/>
      <c r="I4136" s="25" t="str">
        <f>IF(表1[[#This Row],[Tgl NPBG]]&gt;表1[[#This Row],[Peminta]],表1[[#This Row],[Tgl NPBG]]-表1[[#This Row],[Peminta]],"")</f>
        <v/>
      </c>
      <c r="J4136" s="31"/>
    </row>
    <row r="4137" s="12" customFormat="1" customHeight="1" spans="2:10">
      <c r="B4137" s="25"/>
      <c r="C4137" s="25"/>
      <c r="D4137" s="26" t="str" cm="1">
        <f t="array" ref="D4137">IF(C4137="","",IFERROR(INDEX(STPP!$D$6:$D$4207,MATCH(C4137,STPP!$C$6:$C$4207,0)),"Not Found"))</f>
        <v/>
      </c>
      <c r="E4137" s="27" t="str" cm="1">
        <f t="array" ref="E4137">IF(C4137="","",IFERROR(INDEX(STPP!$E$6:$E$4207,MATCH(C4137,STPP!$C$6:$C$4207,0)),"Not Found"))</f>
        <v/>
      </c>
      <c r="F4137" s="27" t="str" cm="1">
        <f t="array" ref="F4137">IF(C4137="","",IFERROR(INDEX(STPP!$F$6:$F$4207,MATCH(C4137,STPP!$C$6:$C$4207,0)),"Not Found"))</f>
        <v/>
      </c>
      <c r="G4137" s="25" t="str">
        <f>IF(表1[[#This Row],[No Seri]]="","",表1[[#This Row],[Deskripsi Barang]]+表1[[#This Row],[Kuantitas]]-表1[[#This Row],[Satuan]])</f>
        <v/>
      </c>
      <c r="H4137" s="28"/>
      <c r="I4137" s="25" t="str">
        <f>IF(表1[[#This Row],[Tgl NPBG]]&gt;表1[[#This Row],[Peminta]],表1[[#This Row],[Tgl NPBG]]-表1[[#This Row],[Peminta]],"")</f>
        <v/>
      </c>
      <c r="J4137" s="31"/>
    </row>
    <row r="4138" s="12" customFormat="1" customHeight="1" spans="2:10">
      <c r="B4138" s="25"/>
      <c r="C4138" s="25"/>
      <c r="D4138" s="26" t="str" cm="1">
        <f t="array" ref="D4138">IF(C4138="","",IFERROR(INDEX(STPP!$D$6:$D$4207,MATCH(C4138,STPP!$C$6:$C$4207,0)),"Not Found"))</f>
        <v/>
      </c>
      <c r="E4138" s="27" t="str" cm="1">
        <f t="array" ref="E4138">IF(C4138="","",IFERROR(INDEX(STPP!$E$6:$E$4207,MATCH(C4138,STPP!$C$6:$C$4207,0)),"Not Found"))</f>
        <v/>
      </c>
      <c r="F4138" s="27" t="str" cm="1">
        <f t="array" ref="F4138">IF(C4138="","",IFERROR(INDEX(STPP!$F$6:$F$4207,MATCH(C4138,STPP!$C$6:$C$4207,0)),"Not Found"))</f>
        <v/>
      </c>
      <c r="G4138" s="25" t="str">
        <f>IF(表1[[#This Row],[No Seri]]="","",表1[[#This Row],[Deskripsi Barang]]+表1[[#This Row],[Kuantitas]]-表1[[#This Row],[Satuan]])</f>
        <v/>
      </c>
      <c r="H4138" s="28"/>
      <c r="I4138" s="25" t="str">
        <f>IF(表1[[#This Row],[Tgl NPBG]]&gt;表1[[#This Row],[Peminta]],表1[[#This Row],[Tgl NPBG]]-表1[[#This Row],[Peminta]],"")</f>
        <v/>
      </c>
      <c r="J4138" s="31"/>
    </row>
    <row r="4139" s="12" customFormat="1" customHeight="1" spans="2:10">
      <c r="B4139" s="25"/>
      <c r="C4139" s="25"/>
      <c r="D4139" s="26" t="str" cm="1">
        <f t="array" ref="D4139">IF(C4139="","",IFERROR(INDEX(STPP!$D$6:$D$4207,MATCH(C4139,STPP!$C$6:$C$4207,0)),"Not Found"))</f>
        <v/>
      </c>
      <c r="E4139" s="27" t="str" cm="1">
        <f t="array" ref="E4139">IF(C4139="","",IFERROR(INDEX(STPP!$E$6:$E$4207,MATCH(C4139,STPP!$C$6:$C$4207,0)),"Not Found"))</f>
        <v/>
      </c>
      <c r="F4139" s="27" t="str" cm="1">
        <f t="array" ref="F4139">IF(C4139="","",IFERROR(INDEX(STPP!$F$6:$F$4207,MATCH(C4139,STPP!$C$6:$C$4207,0)),"Not Found"))</f>
        <v/>
      </c>
      <c r="G4139" s="25" t="str">
        <f>IF(表1[[#This Row],[No Seri]]="","",表1[[#This Row],[Deskripsi Barang]]+表1[[#This Row],[Kuantitas]]-表1[[#This Row],[Satuan]])</f>
        <v/>
      </c>
      <c r="H4139" s="28"/>
      <c r="I4139" s="25" t="str">
        <f>IF(表1[[#This Row],[Tgl NPBG]]&gt;表1[[#This Row],[Peminta]],表1[[#This Row],[Tgl NPBG]]-表1[[#This Row],[Peminta]],"")</f>
        <v/>
      </c>
      <c r="J4139" s="31"/>
    </row>
    <row r="4140" s="12" customFormat="1" customHeight="1" spans="2:10">
      <c r="B4140" s="25"/>
      <c r="C4140" s="25"/>
      <c r="D4140" s="26" t="str" cm="1">
        <f t="array" ref="D4140">IF(C4140="","",IFERROR(INDEX(STPP!$D$6:$D$4207,MATCH(C4140,STPP!$C$6:$C$4207,0)),"Not Found"))</f>
        <v/>
      </c>
      <c r="E4140" s="27" t="str" cm="1">
        <f t="array" ref="E4140">IF(C4140="","",IFERROR(INDEX(STPP!$E$6:$E$4207,MATCH(C4140,STPP!$C$6:$C$4207,0)),"Not Found"))</f>
        <v/>
      </c>
      <c r="F4140" s="27" t="str" cm="1">
        <f t="array" ref="F4140">IF(C4140="","",IFERROR(INDEX(STPP!$F$6:$F$4207,MATCH(C4140,STPP!$C$6:$C$4207,0)),"Not Found"))</f>
        <v/>
      </c>
      <c r="G4140" s="25" t="str">
        <f>IF(表1[[#This Row],[No Seri]]="","",表1[[#This Row],[Deskripsi Barang]]+表1[[#This Row],[Kuantitas]]-表1[[#This Row],[Satuan]])</f>
        <v/>
      </c>
      <c r="H4140" s="28"/>
      <c r="I4140" s="25" t="str">
        <f>IF(表1[[#This Row],[Tgl NPBG]]&gt;表1[[#This Row],[Peminta]],表1[[#This Row],[Tgl NPBG]]-表1[[#This Row],[Peminta]],"")</f>
        <v/>
      </c>
      <c r="J4140" s="31"/>
    </row>
    <row r="4141" s="12" customFormat="1" customHeight="1" spans="2:10">
      <c r="B4141" s="25"/>
      <c r="C4141" s="25"/>
      <c r="D4141" s="26" t="str" cm="1">
        <f t="array" ref="D4141">IF(C4141="","",IFERROR(INDEX(STPP!$D$6:$D$4207,MATCH(C4141,STPP!$C$6:$C$4207,0)),"Not Found"))</f>
        <v/>
      </c>
      <c r="E4141" s="27" t="str" cm="1">
        <f t="array" ref="E4141">IF(C4141="","",IFERROR(INDEX(STPP!$E$6:$E$4207,MATCH(C4141,STPP!$C$6:$C$4207,0)),"Not Found"))</f>
        <v/>
      </c>
      <c r="F4141" s="27" t="str" cm="1">
        <f t="array" ref="F4141">IF(C4141="","",IFERROR(INDEX(STPP!$F$6:$F$4207,MATCH(C4141,STPP!$C$6:$C$4207,0)),"Not Found"))</f>
        <v/>
      </c>
      <c r="G4141" s="25" t="str">
        <f>IF(表1[[#This Row],[No Seri]]="","",表1[[#This Row],[Deskripsi Barang]]+表1[[#This Row],[Kuantitas]]-表1[[#This Row],[Satuan]])</f>
        <v/>
      </c>
      <c r="H4141" s="28"/>
      <c r="I4141" s="25" t="str">
        <f>IF(表1[[#This Row],[Tgl NPBG]]&gt;表1[[#This Row],[Peminta]],表1[[#This Row],[Tgl NPBG]]-表1[[#This Row],[Peminta]],"")</f>
        <v/>
      </c>
      <c r="J4141" s="31"/>
    </row>
    <row r="4142" s="12" customFormat="1" customHeight="1" spans="2:10">
      <c r="B4142" s="25"/>
      <c r="C4142" s="25"/>
      <c r="D4142" s="26" t="str" cm="1">
        <f t="array" ref="D4142">IF(C4142="","",IFERROR(INDEX(STPP!$D$6:$D$4207,MATCH(C4142,STPP!$C$6:$C$4207,0)),"Not Found"))</f>
        <v/>
      </c>
      <c r="E4142" s="27" t="str" cm="1">
        <f t="array" ref="E4142">IF(C4142="","",IFERROR(INDEX(STPP!$E$6:$E$4207,MATCH(C4142,STPP!$C$6:$C$4207,0)),"Not Found"))</f>
        <v/>
      </c>
      <c r="F4142" s="27" t="str" cm="1">
        <f t="array" ref="F4142">IF(C4142="","",IFERROR(INDEX(STPP!$F$6:$F$4207,MATCH(C4142,STPP!$C$6:$C$4207,0)),"Not Found"))</f>
        <v/>
      </c>
      <c r="G4142" s="25" t="str">
        <f>IF(表1[[#This Row],[No Seri]]="","",表1[[#This Row],[Deskripsi Barang]]+表1[[#This Row],[Kuantitas]]-表1[[#This Row],[Satuan]])</f>
        <v/>
      </c>
      <c r="H4142" s="28"/>
      <c r="I4142" s="25" t="str">
        <f>IF(表1[[#This Row],[Tgl NPBG]]&gt;表1[[#This Row],[Peminta]],表1[[#This Row],[Tgl NPBG]]-表1[[#This Row],[Peminta]],"")</f>
        <v/>
      </c>
      <c r="J4142" s="31"/>
    </row>
    <row r="4143" s="12" customFormat="1" customHeight="1" spans="2:10">
      <c r="B4143" s="25"/>
      <c r="C4143" s="25"/>
      <c r="D4143" s="26" t="str" cm="1">
        <f t="array" ref="D4143">IF(C4143="","",IFERROR(INDEX(STPP!$D$6:$D$4207,MATCH(C4143,STPP!$C$6:$C$4207,0)),"Not Found"))</f>
        <v/>
      </c>
      <c r="E4143" s="27" t="str" cm="1">
        <f t="array" ref="E4143">IF(C4143="","",IFERROR(INDEX(STPP!$E$6:$E$4207,MATCH(C4143,STPP!$C$6:$C$4207,0)),"Not Found"))</f>
        <v/>
      </c>
      <c r="F4143" s="27" t="str" cm="1">
        <f t="array" ref="F4143">IF(C4143="","",IFERROR(INDEX(STPP!$F$6:$F$4207,MATCH(C4143,STPP!$C$6:$C$4207,0)),"Not Found"))</f>
        <v/>
      </c>
      <c r="G4143" s="25" t="str">
        <f>IF(表1[[#This Row],[No Seri]]="","",表1[[#This Row],[Deskripsi Barang]]+表1[[#This Row],[Kuantitas]]-表1[[#This Row],[Satuan]])</f>
        <v/>
      </c>
      <c r="H4143" s="28"/>
      <c r="I4143" s="25" t="str">
        <f>IF(表1[[#This Row],[Tgl NPBG]]&gt;表1[[#This Row],[Peminta]],表1[[#This Row],[Tgl NPBG]]-表1[[#This Row],[Peminta]],"")</f>
        <v/>
      </c>
      <c r="J4143" s="31"/>
    </row>
    <row r="4144" s="12" customFormat="1" customHeight="1" spans="2:10">
      <c r="B4144" s="25"/>
      <c r="C4144" s="25"/>
      <c r="D4144" s="26" t="str" cm="1">
        <f t="array" ref="D4144">IF(C4144="","",IFERROR(INDEX(STPP!$D$6:$D$4207,MATCH(C4144,STPP!$C$6:$C$4207,0)),"Not Found"))</f>
        <v/>
      </c>
      <c r="E4144" s="27" t="str" cm="1">
        <f t="array" ref="E4144">IF(C4144="","",IFERROR(INDEX(STPP!$E$6:$E$4207,MATCH(C4144,STPP!$C$6:$C$4207,0)),"Not Found"))</f>
        <v/>
      </c>
      <c r="F4144" s="27" t="str" cm="1">
        <f t="array" ref="F4144">IF(C4144="","",IFERROR(INDEX(STPP!$F$6:$F$4207,MATCH(C4144,STPP!$C$6:$C$4207,0)),"Not Found"))</f>
        <v/>
      </c>
      <c r="G4144" s="25" t="str">
        <f>IF(表1[[#This Row],[No Seri]]="","",表1[[#This Row],[Deskripsi Barang]]+表1[[#This Row],[Kuantitas]]-表1[[#This Row],[Satuan]])</f>
        <v/>
      </c>
      <c r="H4144" s="28"/>
      <c r="I4144" s="25" t="str">
        <f>IF(表1[[#This Row],[Tgl NPBG]]&gt;表1[[#This Row],[Peminta]],表1[[#This Row],[Tgl NPBG]]-表1[[#This Row],[Peminta]],"")</f>
        <v/>
      </c>
      <c r="J4144" s="31"/>
    </row>
    <row r="4145" s="12" customFormat="1" customHeight="1" spans="2:10">
      <c r="B4145" s="25"/>
      <c r="C4145" s="25"/>
      <c r="D4145" s="26" t="str" cm="1">
        <f t="array" ref="D4145">IF(C4145="","",IFERROR(INDEX(STPP!$D$6:$D$4207,MATCH(C4145,STPP!$C$6:$C$4207,0)),"Not Found"))</f>
        <v/>
      </c>
      <c r="E4145" s="27" t="str" cm="1">
        <f t="array" ref="E4145">IF(C4145="","",IFERROR(INDEX(STPP!$E$6:$E$4207,MATCH(C4145,STPP!$C$6:$C$4207,0)),"Not Found"))</f>
        <v/>
      </c>
      <c r="F4145" s="27" t="str" cm="1">
        <f t="array" ref="F4145">IF(C4145="","",IFERROR(INDEX(STPP!$F$6:$F$4207,MATCH(C4145,STPP!$C$6:$C$4207,0)),"Not Found"))</f>
        <v/>
      </c>
      <c r="G4145" s="25" t="str">
        <f>IF(表1[[#This Row],[No Seri]]="","",表1[[#This Row],[Deskripsi Barang]]+表1[[#This Row],[Kuantitas]]-表1[[#This Row],[Satuan]])</f>
        <v/>
      </c>
      <c r="H4145" s="28"/>
      <c r="I4145" s="25" t="str">
        <f>IF(表1[[#This Row],[Tgl NPBG]]&gt;表1[[#This Row],[Peminta]],表1[[#This Row],[Tgl NPBG]]-表1[[#This Row],[Peminta]],"")</f>
        <v/>
      </c>
      <c r="J4145" s="31"/>
    </row>
    <row r="4146" s="12" customFormat="1" customHeight="1" spans="2:10">
      <c r="B4146" s="25"/>
      <c r="C4146" s="25"/>
      <c r="D4146" s="26" t="str" cm="1">
        <f t="array" ref="D4146">IF(C4146="","",IFERROR(INDEX(STPP!$D$6:$D$4207,MATCH(C4146,STPP!$C$6:$C$4207,0)),"Not Found"))</f>
        <v/>
      </c>
      <c r="E4146" s="27" t="str" cm="1">
        <f t="array" ref="E4146">IF(C4146="","",IFERROR(INDEX(STPP!$E$6:$E$4207,MATCH(C4146,STPP!$C$6:$C$4207,0)),"Not Found"))</f>
        <v/>
      </c>
      <c r="F4146" s="27" t="str" cm="1">
        <f t="array" ref="F4146">IF(C4146="","",IFERROR(INDEX(STPP!$F$6:$F$4207,MATCH(C4146,STPP!$C$6:$C$4207,0)),"Not Found"))</f>
        <v/>
      </c>
      <c r="G4146" s="25" t="str">
        <f>IF(表1[[#This Row],[No Seri]]="","",表1[[#This Row],[Deskripsi Barang]]+表1[[#This Row],[Kuantitas]]-表1[[#This Row],[Satuan]])</f>
        <v/>
      </c>
      <c r="H4146" s="28"/>
      <c r="I4146" s="25" t="str">
        <f>IF(表1[[#This Row],[Tgl NPBG]]&gt;表1[[#This Row],[Peminta]],表1[[#This Row],[Tgl NPBG]]-表1[[#This Row],[Peminta]],"")</f>
        <v/>
      </c>
      <c r="J4146" s="31"/>
    </row>
    <row r="4147" s="12" customFormat="1" customHeight="1" spans="2:10">
      <c r="B4147" s="25"/>
      <c r="C4147" s="25"/>
      <c r="D4147" s="26" t="str" cm="1">
        <f t="array" ref="D4147">IF(C4147="","",IFERROR(INDEX(STPP!$D$6:$D$4207,MATCH(C4147,STPP!$C$6:$C$4207,0)),"Not Found"))</f>
        <v/>
      </c>
      <c r="E4147" s="27" t="str" cm="1">
        <f t="array" ref="E4147">IF(C4147="","",IFERROR(INDEX(STPP!$E$6:$E$4207,MATCH(C4147,STPP!$C$6:$C$4207,0)),"Not Found"))</f>
        <v/>
      </c>
      <c r="F4147" s="27" t="str" cm="1">
        <f t="array" ref="F4147">IF(C4147="","",IFERROR(INDEX(STPP!$F$6:$F$4207,MATCH(C4147,STPP!$C$6:$C$4207,0)),"Not Found"))</f>
        <v/>
      </c>
      <c r="G4147" s="25" t="str">
        <f>IF(表1[[#This Row],[No Seri]]="","",表1[[#This Row],[Deskripsi Barang]]+表1[[#This Row],[Kuantitas]]-表1[[#This Row],[Satuan]])</f>
        <v/>
      </c>
      <c r="H4147" s="28"/>
      <c r="I4147" s="25" t="str">
        <f>IF(表1[[#This Row],[Tgl NPBG]]&gt;表1[[#This Row],[Peminta]],表1[[#This Row],[Tgl NPBG]]-表1[[#This Row],[Peminta]],"")</f>
        <v/>
      </c>
      <c r="J4147" s="31"/>
    </row>
    <row r="4148" s="12" customFormat="1" customHeight="1" spans="2:10">
      <c r="B4148" s="25"/>
      <c r="C4148" s="25"/>
      <c r="D4148" s="26" t="str" cm="1">
        <f t="array" ref="D4148">IF(C4148="","",IFERROR(INDEX(STPP!$D$6:$D$4207,MATCH(C4148,STPP!$C$6:$C$4207,0)),"Not Found"))</f>
        <v/>
      </c>
      <c r="E4148" s="27" t="str" cm="1">
        <f t="array" ref="E4148">IF(C4148="","",IFERROR(INDEX(STPP!$E$6:$E$4207,MATCH(C4148,STPP!$C$6:$C$4207,0)),"Not Found"))</f>
        <v/>
      </c>
      <c r="F4148" s="27" t="str" cm="1">
        <f t="array" ref="F4148">IF(C4148="","",IFERROR(INDEX(STPP!$F$6:$F$4207,MATCH(C4148,STPP!$C$6:$C$4207,0)),"Not Found"))</f>
        <v/>
      </c>
      <c r="G4148" s="25" t="str">
        <f>IF(表1[[#This Row],[No Seri]]="","",表1[[#This Row],[Deskripsi Barang]]+表1[[#This Row],[Kuantitas]]-表1[[#This Row],[Satuan]])</f>
        <v/>
      </c>
      <c r="H4148" s="28"/>
      <c r="I4148" s="25" t="str">
        <f>IF(表1[[#This Row],[Tgl NPBG]]&gt;表1[[#This Row],[Peminta]],表1[[#This Row],[Tgl NPBG]]-表1[[#This Row],[Peminta]],"")</f>
        <v/>
      </c>
      <c r="J4148" s="31"/>
    </row>
    <row r="4149" s="12" customFormat="1" customHeight="1" spans="2:10">
      <c r="B4149" s="25"/>
      <c r="C4149" s="25"/>
      <c r="D4149" s="26" t="str" cm="1">
        <f t="array" ref="D4149">IF(C4149="","",IFERROR(INDEX(STPP!$D$6:$D$4207,MATCH(C4149,STPP!$C$6:$C$4207,0)),"Not Found"))</f>
        <v/>
      </c>
      <c r="E4149" s="27" t="str" cm="1">
        <f t="array" ref="E4149">IF(C4149="","",IFERROR(INDEX(STPP!$E$6:$E$4207,MATCH(C4149,STPP!$C$6:$C$4207,0)),"Not Found"))</f>
        <v/>
      </c>
      <c r="F4149" s="27" t="str" cm="1">
        <f t="array" ref="F4149">IF(C4149="","",IFERROR(INDEX(STPP!$F$6:$F$4207,MATCH(C4149,STPP!$C$6:$C$4207,0)),"Not Found"))</f>
        <v/>
      </c>
      <c r="G4149" s="25" t="str">
        <f>IF(表1[[#This Row],[No Seri]]="","",表1[[#This Row],[Deskripsi Barang]]+表1[[#This Row],[Kuantitas]]-表1[[#This Row],[Satuan]])</f>
        <v/>
      </c>
      <c r="H4149" s="28"/>
      <c r="I4149" s="25" t="str">
        <f>IF(表1[[#This Row],[Tgl NPBG]]&gt;表1[[#This Row],[Peminta]],表1[[#This Row],[Tgl NPBG]]-表1[[#This Row],[Peminta]],"")</f>
        <v/>
      </c>
      <c r="J4149" s="31"/>
    </row>
    <row r="4150" s="12" customFormat="1" customHeight="1" spans="2:10">
      <c r="B4150" s="25"/>
      <c r="C4150" s="25"/>
      <c r="D4150" s="26" t="str" cm="1">
        <f t="array" ref="D4150">IF(C4150="","",IFERROR(INDEX(STPP!$D$6:$D$4207,MATCH(C4150,STPP!$C$6:$C$4207,0)),"Not Found"))</f>
        <v/>
      </c>
      <c r="E4150" s="27" t="str" cm="1">
        <f t="array" ref="E4150">IF(C4150="","",IFERROR(INDEX(STPP!$E$6:$E$4207,MATCH(C4150,STPP!$C$6:$C$4207,0)),"Not Found"))</f>
        <v/>
      </c>
      <c r="F4150" s="27" t="str" cm="1">
        <f t="array" ref="F4150">IF(C4150="","",IFERROR(INDEX(STPP!$F$6:$F$4207,MATCH(C4150,STPP!$C$6:$C$4207,0)),"Not Found"))</f>
        <v/>
      </c>
      <c r="G4150" s="25" t="str">
        <f>IF(表1[[#This Row],[No Seri]]="","",表1[[#This Row],[Deskripsi Barang]]+表1[[#This Row],[Kuantitas]]-表1[[#This Row],[Satuan]])</f>
        <v/>
      </c>
      <c r="H4150" s="28"/>
      <c r="I4150" s="25" t="str">
        <f>IF(表1[[#This Row],[Tgl NPBG]]&gt;表1[[#This Row],[Peminta]],表1[[#This Row],[Tgl NPBG]]-表1[[#This Row],[Peminta]],"")</f>
        <v/>
      </c>
      <c r="J4150" s="31"/>
    </row>
    <row r="4151" s="12" customFormat="1" customHeight="1" spans="2:10">
      <c r="B4151" s="25"/>
      <c r="C4151" s="25"/>
      <c r="D4151" s="26" t="str" cm="1">
        <f t="array" ref="D4151">IF(C4151="","",IFERROR(INDEX(STPP!$D$6:$D$4207,MATCH(C4151,STPP!$C$6:$C$4207,0)),"Not Found"))</f>
        <v/>
      </c>
      <c r="E4151" s="27" t="str" cm="1">
        <f t="array" ref="E4151">IF(C4151="","",IFERROR(INDEX(STPP!$E$6:$E$4207,MATCH(C4151,STPP!$C$6:$C$4207,0)),"Not Found"))</f>
        <v/>
      </c>
      <c r="F4151" s="27" t="str" cm="1">
        <f t="array" ref="F4151">IF(C4151="","",IFERROR(INDEX(STPP!$F$6:$F$4207,MATCH(C4151,STPP!$C$6:$C$4207,0)),"Not Found"))</f>
        <v/>
      </c>
      <c r="G4151" s="25" t="str">
        <f>IF(表1[[#This Row],[No Seri]]="","",表1[[#This Row],[Deskripsi Barang]]+表1[[#This Row],[Kuantitas]]-表1[[#This Row],[Satuan]])</f>
        <v/>
      </c>
      <c r="H4151" s="28"/>
      <c r="I4151" s="25" t="str">
        <f>IF(表1[[#This Row],[Tgl NPBG]]&gt;表1[[#This Row],[Peminta]],表1[[#This Row],[Tgl NPBG]]-表1[[#This Row],[Peminta]],"")</f>
        <v/>
      </c>
      <c r="J4151" s="31"/>
    </row>
    <row r="4152" s="12" customFormat="1" customHeight="1" spans="2:10">
      <c r="B4152" s="25"/>
      <c r="C4152" s="25"/>
      <c r="D4152" s="26" t="str" cm="1">
        <f t="array" ref="D4152">IF(C4152="","",IFERROR(INDEX(STPP!$D$6:$D$4207,MATCH(C4152,STPP!$C$6:$C$4207,0)),"Not Found"))</f>
        <v/>
      </c>
      <c r="E4152" s="27" t="str" cm="1">
        <f t="array" ref="E4152">IF(C4152="","",IFERROR(INDEX(STPP!$E$6:$E$4207,MATCH(C4152,STPP!$C$6:$C$4207,0)),"Not Found"))</f>
        <v/>
      </c>
      <c r="F4152" s="27" t="str" cm="1">
        <f t="array" ref="F4152">IF(C4152="","",IFERROR(INDEX(STPP!$F$6:$F$4207,MATCH(C4152,STPP!$C$6:$C$4207,0)),"Not Found"))</f>
        <v/>
      </c>
      <c r="G4152" s="25" t="str">
        <f>IF(表1[[#This Row],[No Seri]]="","",表1[[#This Row],[Deskripsi Barang]]+表1[[#This Row],[Kuantitas]]-表1[[#This Row],[Satuan]])</f>
        <v/>
      </c>
      <c r="H4152" s="28"/>
      <c r="I4152" s="25" t="str">
        <f>IF(表1[[#This Row],[Tgl NPBG]]&gt;表1[[#This Row],[Peminta]],表1[[#This Row],[Tgl NPBG]]-表1[[#This Row],[Peminta]],"")</f>
        <v/>
      </c>
      <c r="J4152" s="31"/>
    </row>
    <row r="4153" s="12" customFormat="1" customHeight="1" spans="2:10">
      <c r="B4153" s="25"/>
      <c r="C4153" s="25"/>
      <c r="D4153" s="26" t="str" cm="1">
        <f t="array" ref="D4153">IF(C4153="","",IFERROR(INDEX(STPP!$D$6:$D$4207,MATCH(C4153,STPP!$C$6:$C$4207,0)),"Not Found"))</f>
        <v/>
      </c>
      <c r="E4153" s="27" t="str" cm="1">
        <f t="array" ref="E4153">IF(C4153="","",IFERROR(INDEX(STPP!$E$6:$E$4207,MATCH(C4153,STPP!$C$6:$C$4207,0)),"Not Found"))</f>
        <v/>
      </c>
      <c r="F4153" s="27" t="str" cm="1">
        <f t="array" ref="F4153">IF(C4153="","",IFERROR(INDEX(STPP!$F$6:$F$4207,MATCH(C4153,STPP!$C$6:$C$4207,0)),"Not Found"))</f>
        <v/>
      </c>
      <c r="G4153" s="25" t="str">
        <f>IF(表1[[#This Row],[No Seri]]="","",表1[[#This Row],[Deskripsi Barang]]+表1[[#This Row],[Kuantitas]]-表1[[#This Row],[Satuan]])</f>
        <v/>
      </c>
      <c r="H4153" s="28"/>
      <c r="I4153" s="25" t="str">
        <f>IF(表1[[#This Row],[Tgl NPBG]]&gt;表1[[#This Row],[Peminta]],表1[[#This Row],[Tgl NPBG]]-表1[[#This Row],[Peminta]],"")</f>
        <v/>
      </c>
      <c r="J4153" s="31"/>
    </row>
    <row r="4154" s="12" customFormat="1" customHeight="1" spans="2:10">
      <c r="B4154" s="25"/>
      <c r="C4154" s="25"/>
      <c r="D4154" s="26" t="str" cm="1">
        <f t="array" ref="D4154">IF(C4154="","",IFERROR(INDEX(STPP!$D$6:$D$4207,MATCH(C4154,STPP!$C$6:$C$4207,0)),"Not Found"))</f>
        <v/>
      </c>
      <c r="E4154" s="27" t="str" cm="1">
        <f t="array" ref="E4154">IF(C4154="","",IFERROR(INDEX(STPP!$E$6:$E$4207,MATCH(C4154,STPP!$C$6:$C$4207,0)),"Not Found"))</f>
        <v/>
      </c>
      <c r="F4154" s="27" t="str" cm="1">
        <f t="array" ref="F4154">IF(C4154="","",IFERROR(INDEX(STPP!$F$6:$F$4207,MATCH(C4154,STPP!$C$6:$C$4207,0)),"Not Found"))</f>
        <v/>
      </c>
      <c r="G4154" s="25" t="str">
        <f>IF(表1[[#This Row],[No Seri]]="","",表1[[#This Row],[Deskripsi Barang]]+表1[[#This Row],[Kuantitas]]-表1[[#This Row],[Satuan]])</f>
        <v/>
      </c>
      <c r="H4154" s="28"/>
      <c r="I4154" s="25" t="str">
        <f>IF(表1[[#This Row],[Tgl NPBG]]&gt;表1[[#This Row],[Peminta]],表1[[#This Row],[Tgl NPBG]]-表1[[#This Row],[Peminta]],"")</f>
        <v/>
      </c>
      <c r="J4154" s="31"/>
    </row>
    <row r="4155" s="12" customFormat="1" customHeight="1" spans="2:10">
      <c r="B4155" s="25"/>
      <c r="C4155" s="25"/>
      <c r="D4155" s="26" t="str" cm="1">
        <f t="array" ref="D4155">IF(C4155="","",IFERROR(INDEX(STPP!$D$6:$D$4207,MATCH(C4155,STPP!$C$6:$C$4207,0)),"Not Found"))</f>
        <v/>
      </c>
      <c r="E4155" s="27" t="str" cm="1">
        <f t="array" ref="E4155">IF(C4155="","",IFERROR(INDEX(STPP!$E$6:$E$4207,MATCH(C4155,STPP!$C$6:$C$4207,0)),"Not Found"))</f>
        <v/>
      </c>
      <c r="F4155" s="27" t="str" cm="1">
        <f t="array" ref="F4155">IF(C4155="","",IFERROR(INDEX(STPP!$F$6:$F$4207,MATCH(C4155,STPP!$C$6:$C$4207,0)),"Not Found"))</f>
        <v/>
      </c>
      <c r="G4155" s="25" t="str">
        <f>IF(表1[[#This Row],[No Seri]]="","",表1[[#This Row],[Deskripsi Barang]]+表1[[#This Row],[Kuantitas]]-表1[[#This Row],[Satuan]])</f>
        <v/>
      </c>
      <c r="H4155" s="28"/>
      <c r="I4155" s="25" t="str">
        <f>IF(表1[[#This Row],[Tgl NPBG]]&gt;表1[[#This Row],[Peminta]],表1[[#This Row],[Tgl NPBG]]-表1[[#This Row],[Peminta]],"")</f>
        <v/>
      </c>
      <c r="J4155" s="31"/>
    </row>
    <row r="4156" s="12" customFormat="1" customHeight="1" spans="2:10">
      <c r="B4156" s="25"/>
      <c r="C4156" s="25"/>
      <c r="D4156" s="26" t="str" cm="1">
        <f t="array" ref="D4156">IF(C4156="","",IFERROR(INDEX(STPP!$D$6:$D$4207,MATCH(C4156,STPP!$C$6:$C$4207,0)),"Not Found"))</f>
        <v/>
      </c>
      <c r="E4156" s="27" t="str" cm="1">
        <f t="array" ref="E4156">IF(C4156="","",IFERROR(INDEX(STPP!$E$6:$E$4207,MATCH(C4156,STPP!$C$6:$C$4207,0)),"Not Found"))</f>
        <v/>
      </c>
      <c r="F4156" s="27" t="str" cm="1">
        <f t="array" ref="F4156">IF(C4156="","",IFERROR(INDEX(STPP!$F$6:$F$4207,MATCH(C4156,STPP!$C$6:$C$4207,0)),"Not Found"))</f>
        <v/>
      </c>
      <c r="G4156" s="25" t="str">
        <f>IF(表1[[#This Row],[No Seri]]="","",表1[[#This Row],[Deskripsi Barang]]+表1[[#This Row],[Kuantitas]]-表1[[#This Row],[Satuan]])</f>
        <v/>
      </c>
      <c r="H4156" s="28"/>
      <c r="I4156" s="25" t="str">
        <f>IF(表1[[#This Row],[Tgl NPBG]]&gt;表1[[#This Row],[Peminta]],表1[[#This Row],[Tgl NPBG]]-表1[[#This Row],[Peminta]],"")</f>
        <v/>
      </c>
      <c r="J4156" s="31"/>
    </row>
    <row r="4157" s="12" customFormat="1" customHeight="1" spans="2:10">
      <c r="B4157" s="25"/>
      <c r="C4157" s="25"/>
      <c r="D4157" s="26" t="str" cm="1">
        <f t="array" ref="D4157">IF(C4157="","",IFERROR(INDEX(STPP!$D$6:$D$4207,MATCH(C4157,STPP!$C$6:$C$4207,0)),"Not Found"))</f>
        <v/>
      </c>
      <c r="E4157" s="27" t="str" cm="1">
        <f t="array" ref="E4157">IF(C4157="","",IFERROR(INDEX(STPP!$E$6:$E$4207,MATCH(C4157,STPP!$C$6:$C$4207,0)),"Not Found"))</f>
        <v/>
      </c>
      <c r="F4157" s="27" t="str" cm="1">
        <f t="array" ref="F4157">IF(C4157="","",IFERROR(INDEX(STPP!$F$6:$F$4207,MATCH(C4157,STPP!$C$6:$C$4207,0)),"Not Found"))</f>
        <v/>
      </c>
      <c r="G4157" s="25" t="str">
        <f>IF(表1[[#This Row],[No Seri]]="","",表1[[#This Row],[Deskripsi Barang]]+表1[[#This Row],[Kuantitas]]-表1[[#This Row],[Satuan]])</f>
        <v/>
      </c>
      <c r="H4157" s="28"/>
      <c r="I4157" s="25" t="str">
        <f>IF(表1[[#This Row],[Tgl NPBG]]&gt;表1[[#This Row],[Peminta]],表1[[#This Row],[Tgl NPBG]]-表1[[#This Row],[Peminta]],"")</f>
        <v/>
      </c>
      <c r="J4157" s="31"/>
    </row>
    <row r="4158" s="12" customFormat="1" customHeight="1" spans="2:10">
      <c r="B4158" s="25"/>
      <c r="C4158" s="25"/>
      <c r="D4158" s="26" t="str" cm="1">
        <f t="array" ref="D4158">IF(C4158="","",IFERROR(INDEX(STPP!$D$6:$D$4207,MATCH(C4158,STPP!$C$6:$C$4207,0)),"Not Found"))</f>
        <v/>
      </c>
      <c r="E4158" s="27" t="str" cm="1">
        <f t="array" ref="E4158">IF(C4158="","",IFERROR(INDEX(STPP!$E$6:$E$4207,MATCH(C4158,STPP!$C$6:$C$4207,0)),"Not Found"))</f>
        <v/>
      </c>
      <c r="F4158" s="27" t="str" cm="1">
        <f t="array" ref="F4158">IF(C4158="","",IFERROR(INDEX(STPP!$F$6:$F$4207,MATCH(C4158,STPP!$C$6:$C$4207,0)),"Not Found"))</f>
        <v/>
      </c>
      <c r="G4158" s="25" t="str">
        <f>IF(表1[[#This Row],[No Seri]]="","",表1[[#This Row],[Deskripsi Barang]]+表1[[#This Row],[Kuantitas]]-表1[[#This Row],[Satuan]])</f>
        <v/>
      </c>
      <c r="H4158" s="28"/>
      <c r="I4158" s="25" t="str">
        <f>IF(表1[[#This Row],[Tgl NPBG]]&gt;表1[[#This Row],[Peminta]],表1[[#This Row],[Tgl NPBG]]-表1[[#This Row],[Peminta]],"")</f>
        <v/>
      </c>
      <c r="J4158" s="31"/>
    </row>
    <row r="4159" s="12" customFormat="1" customHeight="1" spans="2:10">
      <c r="B4159" s="25"/>
      <c r="C4159" s="25"/>
      <c r="D4159" s="26" t="str" cm="1">
        <f t="array" ref="D4159">IF(C4159="","",IFERROR(INDEX(STPP!$D$6:$D$4207,MATCH(C4159,STPP!$C$6:$C$4207,0)),"Not Found"))</f>
        <v/>
      </c>
      <c r="E4159" s="27" t="str" cm="1">
        <f t="array" ref="E4159">IF(C4159="","",IFERROR(INDEX(STPP!$E$6:$E$4207,MATCH(C4159,STPP!$C$6:$C$4207,0)),"Not Found"))</f>
        <v/>
      </c>
      <c r="F4159" s="27" t="str" cm="1">
        <f t="array" ref="F4159">IF(C4159="","",IFERROR(INDEX(STPP!$F$6:$F$4207,MATCH(C4159,STPP!$C$6:$C$4207,0)),"Not Found"))</f>
        <v/>
      </c>
      <c r="G4159" s="25" t="str">
        <f>IF(表1[[#This Row],[No Seri]]="","",表1[[#This Row],[Deskripsi Barang]]+表1[[#This Row],[Kuantitas]]-表1[[#This Row],[Satuan]])</f>
        <v/>
      </c>
      <c r="H4159" s="28"/>
      <c r="I4159" s="25" t="str">
        <f>IF(表1[[#This Row],[Tgl NPBG]]&gt;表1[[#This Row],[Peminta]],表1[[#This Row],[Tgl NPBG]]-表1[[#This Row],[Peminta]],"")</f>
        <v/>
      </c>
      <c r="J4159" s="31"/>
    </row>
    <row r="4160" s="12" customFormat="1" customHeight="1" spans="2:10">
      <c r="B4160" s="25"/>
      <c r="C4160" s="25"/>
      <c r="D4160" s="26" t="str" cm="1">
        <f t="array" ref="D4160">IF(C4160="","",IFERROR(INDEX(STPP!$D$6:$D$4207,MATCH(C4160,STPP!$C$6:$C$4207,0)),"Not Found"))</f>
        <v/>
      </c>
      <c r="E4160" s="27" t="str" cm="1">
        <f t="array" ref="E4160">IF(C4160="","",IFERROR(INDEX(STPP!$E$6:$E$4207,MATCH(C4160,STPP!$C$6:$C$4207,0)),"Not Found"))</f>
        <v/>
      </c>
      <c r="F4160" s="27" t="str" cm="1">
        <f t="array" ref="F4160">IF(C4160="","",IFERROR(INDEX(STPP!$F$6:$F$4207,MATCH(C4160,STPP!$C$6:$C$4207,0)),"Not Found"))</f>
        <v/>
      </c>
      <c r="G4160" s="25" t="str">
        <f>IF(表1[[#This Row],[No Seri]]="","",表1[[#This Row],[Deskripsi Barang]]+表1[[#This Row],[Kuantitas]]-表1[[#This Row],[Satuan]])</f>
        <v/>
      </c>
      <c r="H4160" s="28"/>
      <c r="I4160" s="25" t="str">
        <f>IF(表1[[#This Row],[Tgl NPBG]]&gt;表1[[#This Row],[Peminta]],表1[[#This Row],[Tgl NPBG]]-表1[[#This Row],[Peminta]],"")</f>
        <v/>
      </c>
      <c r="J4160" s="31"/>
    </row>
    <row r="4161" s="12" customFormat="1" customHeight="1" spans="2:10">
      <c r="B4161" s="25"/>
      <c r="C4161" s="25"/>
      <c r="D4161" s="26" t="str" cm="1">
        <f t="array" ref="D4161">IF(C4161="","",IFERROR(INDEX(STPP!$D$6:$D$4207,MATCH(C4161,STPP!$C$6:$C$4207,0)),"Not Found"))</f>
        <v/>
      </c>
      <c r="E4161" s="27" t="str" cm="1">
        <f t="array" ref="E4161">IF(C4161="","",IFERROR(INDEX(STPP!$E$6:$E$4207,MATCH(C4161,STPP!$C$6:$C$4207,0)),"Not Found"))</f>
        <v/>
      </c>
      <c r="F4161" s="27" t="str" cm="1">
        <f t="array" ref="F4161">IF(C4161="","",IFERROR(INDEX(STPP!$F$6:$F$4207,MATCH(C4161,STPP!$C$6:$C$4207,0)),"Not Found"))</f>
        <v/>
      </c>
      <c r="G4161" s="25" t="str">
        <f>IF(表1[[#This Row],[No Seri]]="","",表1[[#This Row],[Deskripsi Barang]]+表1[[#This Row],[Kuantitas]]-表1[[#This Row],[Satuan]])</f>
        <v/>
      </c>
      <c r="H4161" s="28"/>
      <c r="I4161" s="25" t="str">
        <f>IF(表1[[#This Row],[Tgl NPBG]]&gt;表1[[#This Row],[Peminta]],表1[[#This Row],[Tgl NPBG]]-表1[[#This Row],[Peminta]],"")</f>
        <v/>
      </c>
      <c r="J4161" s="31"/>
    </row>
    <row r="4162" s="12" customFormat="1" customHeight="1" spans="2:10">
      <c r="B4162" s="25"/>
      <c r="C4162" s="25"/>
      <c r="D4162" s="26" t="str" cm="1">
        <f t="array" ref="D4162">IF(C4162="","",IFERROR(INDEX(STPP!$D$6:$D$4207,MATCH(C4162,STPP!$C$6:$C$4207,0)),"Not Found"))</f>
        <v/>
      </c>
      <c r="E4162" s="27" t="str" cm="1">
        <f t="array" ref="E4162">IF(C4162="","",IFERROR(INDEX(STPP!$E$6:$E$4207,MATCH(C4162,STPP!$C$6:$C$4207,0)),"Not Found"))</f>
        <v/>
      </c>
      <c r="F4162" s="27" t="str" cm="1">
        <f t="array" ref="F4162">IF(C4162="","",IFERROR(INDEX(STPP!$F$6:$F$4207,MATCH(C4162,STPP!$C$6:$C$4207,0)),"Not Found"))</f>
        <v/>
      </c>
      <c r="G4162" s="25" t="str">
        <f>IF(表1[[#This Row],[No Seri]]="","",表1[[#This Row],[Deskripsi Barang]]+表1[[#This Row],[Kuantitas]]-表1[[#This Row],[Satuan]])</f>
        <v/>
      </c>
      <c r="H4162" s="28"/>
      <c r="I4162" s="25" t="str">
        <f>IF(表1[[#This Row],[Tgl NPBG]]&gt;表1[[#This Row],[Peminta]],表1[[#This Row],[Tgl NPBG]]-表1[[#This Row],[Peminta]],"")</f>
        <v/>
      </c>
      <c r="J4162" s="31"/>
    </row>
    <row r="4163" s="12" customFormat="1" customHeight="1" spans="2:10">
      <c r="B4163" s="25"/>
      <c r="C4163" s="25"/>
      <c r="D4163" s="26" t="str" cm="1">
        <f t="array" ref="D4163">IF(C4163="","",IFERROR(INDEX(STPP!$D$6:$D$4207,MATCH(C4163,STPP!$C$6:$C$4207,0)),"Not Found"))</f>
        <v/>
      </c>
      <c r="E4163" s="27" t="str" cm="1">
        <f t="array" ref="E4163">IF(C4163="","",IFERROR(INDEX(STPP!$E$6:$E$4207,MATCH(C4163,STPP!$C$6:$C$4207,0)),"Not Found"))</f>
        <v/>
      </c>
      <c r="F4163" s="27" t="str" cm="1">
        <f t="array" ref="F4163">IF(C4163="","",IFERROR(INDEX(STPP!$F$6:$F$4207,MATCH(C4163,STPP!$C$6:$C$4207,0)),"Not Found"))</f>
        <v/>
      </c>
      <c r="G4163" s="25" t="str">
        <f>IF(表1[[#This Row],[No Seri]]="","",表1[[#This Row],[Deskripsi Barang]]+表1[[#This Row],[Kuantitas]]-表1[[#This Row],[Satuan]])</f>
        <v/>
      </c>
      <c r="H4163" s="28"/>
      <c r="I4163" s="25" t="str">
        <f>IF(表1[[#This Row],[Tgl NPBG]]&gt;表1[[#This Row],[Peminta]],表1[[#This Row],[Tgl NPBG]]-表1[[#This Row],[Peminta]],"")</f>
        <v/>
      </c>
      <c r="J4163" s="31"/>
    </row>
    <row r="4164" s="12" customFormat="1" customHeight="1" spans="2:10">
      <c r="B4164" s="25"/>
      <c r="C4164" s="25"/>
      <c r="D4164" s="26" t="str" cm="1">
        <f t="array" ref="D4164">IF(C4164="","",IFERROR(INDEX(STPP!$D$6:$D$4207,MATCH(C4164,STPP!$C$6:$C$4207,0)),"Not Found"))</f>
        <v/>
      </c>
      <c r="E4164" s="27" t="str" cm="1">
        <f t="array" ref="E4164">IF(C4164="","",IFERROR(INDEX(STPP!$E$6:$E$4207,MATCH(C4164,STPP!$C$6:$C$4207,0)),"Not Found"))</f>
        <v/>
      </c>
      <c r="F4164" s="27" t="str" cm="1">
        <f t="array" ref="F4164">IF(C4164="","",IFERROR(INDEX(STPP!$F$6:$F$4207,MATCH(C4164,STPP!$C$6:$C$4207,0)),"Not Found"))</f>
        <v/>
      </c>
      <c r="G4164" s="25" t="str">
        <f>IF(表1[[#This Row],[No Seri]]="","",表1[[#This Row],[Deskripsi Barang]]+表1[[#This Row],[Kuantitas]]-表1[[#This Row],[Satuan]])</f>
        <v/>
      </c>
      <c r="H4164" s="28"/>
      <c r="I4164" s="25" t="str">
        <f>IF(表1[[#This Row],[Tgl NPBG]]&gt;表1[[#This Row],[Peminta]],表1[[#This Row],[Tgl NPBG]]-表1[[#This Row],[Peminta]],"")</f>
        <v/>
      </c>
      <c r="J4164" s="31"/>
    </row>
    <row r="4165" s="12" customFormat="1" customHeight="1" spans="2:10">
      <c r="B4165" s="25"/>
      <c r="C4165" s="25"/>
      <c r="D4165" s="26" t="str" cm="1">
        <f t="array" ref="D4165">IF(C4165="","",IFERROR(INDEX(STPP!$D$6:$D$4207,MATCH(C4165,STPP!$C$6:$C$4207,0)),"Not Found"))</f>
        <v/>
      </c>
      <c r="E4165" s="27" t="str" cm="1">
        <f t="array" ref="E4165">IF(C4165="","",IFERROR(INDEX(STPP!$E$6:$E$4207,MATCH(C4165,STPP!$C$6:$C$4207,0)),"Not Found"))</f>
        <v/>
      </c>
      <c r="F4165" s="27" t="str" cm="1">
        <f t="array" ref="F4165">IF(C4165="","",IFERROR(INDEX(STPP!$F$6:$F$4207,MATCH(C4165,STPP!$C$6:$C$4207,0)),"Not Found"))</f>
        <v/>
      </c>
      <c r="G4165" s="25" t="str">
        <f>IF(表1[[#This Row],[No Seri]]="","",表1[[#This Row],[Deskripsi Barang]]+表1[[#This Row],[Kuantitas]]-表1[[#This Row],[Satuan]])</f>
        <v/>
      </c>
      <c r="H4165" s="28"/>
      <c r="I4165" s="25" t="str">
        <f>IF(表1[[#This Row],[Tgl NPBG]]&gt;表1[[#This Row],[Peminta]],表1[[#This Row],[Tgl NPBG]]-表1[[#This Row],[Peminta]],"")</f>
        <v/>
      </c>
      <c r="J4165" s="31"/>
    </row>
    <row r="4166" s="12" customFormat="1" customHeight="1" spans="2:10">
      <c r="B4166" s="25"/>
      <c r="C4166" s="25"/>
      <c r="D4166" s="26" t="str" cm="1">
        <f t="array" ref="D4166">IF(C4166="","",IFERROR(INDEX(STPP!$D$6:$D$4207,MATCH(C4166,STPP!$C$6:$C$4207,0)),"Not Found"))</f>
        <v/>
      </c>
      <c r="E4166" s="27" t="str" cm="1">
        <f t="array" ref="E4166">IF(C4166="","",IFERROR(INDEX(STPP!$E$6:$E$4207,MATCH(C4166,STPP!$C$6:$C$4207,0)),"Not Found"))</f>
        <v/>
      </c>
      <c r="F4166" s="27" t="str" cm="1">
        <f t="array" ref="F4166">IF(C4166="","",IFERROR(INDEX(STPP!$F$6:$F$4207,MATCH(C4166,STPP!$C$6:$C$4207,0)),"Not Found"))</f>
        <v/>
      </c>
      <c r="G4166" s="25" t="str">
        <f>IF(表1[[#This Row],[No Seri]]="","",表1[[#This Row],[Deskripsi Barang]]+表1[[#This Row],[Kuantitas]]-表1[[#This Row],[Satuan]])</f>
        <v/>
      </c>
      <c r="H4166" s="28"/>
      <c r="I4166" s="25" t="str">
        <f>IF(表1[[#This Row],[Tgl NPBG]]&gt;表1[[#This Row],[Peminta]],表1[[#This Row],[Tgl NPBG]]-表1[[#This Row],[Peminta]],"")</f>
        <v/>
      </c>
      <c r="J4166" s="31"/>
    </row>
    <row r="4167" s="12" customFormat="1" customHeight="1" spans="2:10">
      <c r="B4167" s="25"/>
      <c r="C4167" s="25"/>
      <c r="D4167" s="26" t="str" cm="1">
        <f t="array" ref="D4167">IF(C4167="","",IFERROR(INDEX(STPP!$D$6:$D$4207,MATCH(C4167,STPP!$C$6:$C$4207,0)),"Not Found"))</f>
        <v/>
      </c>
      <c r="E4167" s="27" t="str" cm="1">
        <f t="array" ref="E4167">IF(C4167="","",IFERROR(INDEX(STPP!$E$6:$E$4207,MATCH(C4167,STPP!$C$6:$C$4207,0)),"Not Found"))</f>
        <v/>
      </c>
      <c r="F4167" s="27" t="str" cm="1">
        <f t="array" ref="F4167">IF(C4167="","",IFERROR(INDEX(STPP!$F$6:$F$4207,MATCH(C4167,STPP!$C$6:$C$4207,0)),"Not Found"))</f>
        <v/>
      </c>
      <c r="G4167" s="25" t="str">
        <f>IF(表1[[#This Row],[No Seri]]="","",表1[[#This Row],[Deskripsi Barang]]+表1[[#This Row],[Kuantitas]]-表1[[#This Row],[Satuan]])</f>
        <v/>
      </c>
      <c r="H4167" s="28"/>
      <c r="I4167" s="25" t="str">
        <f>IF(表1[[#This Row],[Tgl NPBG]]&gt;表1[[#This Row],[Peminta]],表1[[#This Row],[Tgl NPBG]]-表1[[#This Row],[Peminta]],"")</f>
        <v/>
      </c>
      <c r="J4167" s="31"/>
    </row>
    <row r="4168" s="12" customFormat="1" customHeight="1" spans="2:10">
      <c r="B4168" s="25"/>
      <c r="C4168" s="25"/>
      <c r="D4168" s="26" t="str" cm="1">
        <f t="array" ref="D4168">IF(C4168="","",IFERROR(INDEX(STPP!$D$6:$D$4207,MATCH(C4168,STPP!$C$6:$C$4207,0)),"Not Found"))</f>
        <v/>
      </c>
      <c r="E4168" s="27" t="str" cm="1">
        <f t="array" ref="E4168">IF(C4168="","",IFERROR(INDEX(STPP!$E$6:$E$4207,MATCH(C4168,STPP!$C$6:$C$4207,0)),"Not Found"))</f>
        <v/>
      </c>
      <c r="F4168" s="27" t="str" cm="1">
        <f t="array" ref="F4168">IF(C4168="","",IFERROR(INDEX(STPP!$F$6:$F$4207,MATCH(C4168,STPP!$C$6:$C$4207,0)),"Not Found"))</f>
        <v/>
      </c>
      <c r="G4168" s="25" t="str">
        <f>IF(表1[[#This Row],[No Seri]]="","",表1[[#This Row],[Deskripsi Barang]]+表1[[#This Row],[Kuantitas]]-表1[[#This Row],[Satuan]])</f>
        <v/>
      </c>
      <c r="H4168" s="28"/>
      <c r="I4168" s="25" t="str">
        <f>IF(表1[[#This Row],[Tgl NPBG]]&gt;表1[[#This Row],[Peminta]],表1[[#This Row],[Tgl NPBG]]-表1[[#This Row],[Peminta]],"")</f>
        <v/>
      </c>
      <c r="J4168" s="31"/>
    </row>
    <row r="4169" s="12" customFormat="1" customHeight="1" spans="2:10">
      <c r="B4169" s="25"/>
      <c r="C4169" s="25"/>
      <c r="D4169" s="26" t="str" cm="1">
        <f t="array" ref="D4169">IF(C4169="","",IFERROR(INDEX(STPP!$D$6:$D$4207,MATCH(C4169,STPP!$C$6:$C$4207,0)),"Not Found"))</f>
        <v/>
      </c>
      <c r="E4169" s="27" t="str" cm="1">
        <f t="array" ref="E4169">IF(C4169="","",IFERROR(INDEX(STPP!$E$6:$E$4207,MATCH(C4169,STPP!$C$6:$C$4207,0)),"Not Found"))</f>
        <v/>
      </c>
      <c r="F4169" s="27" t="str" cm="1">
        <f t="array" ref="F4169">IF(C4169="","",IFERROR(INDEX(STPP!$F$6:$F$4207,MATCH(C4169,STPP!$C$6:$C$4207,0)),"Not Found"))</f>
        <v/>
      </c>
      <c r="G4169" s="25" t="str">
        <f>IF(表1[[#This Row],[No Seri]]="","",表1[[#This Row],[Deskripsi Barang]]+表1[[#This Row],[Kuantitas]]-表1[[#This Row],[Satuan]])</f>
        <v/>
      </c>
      <c r="H4169" s="28"/>
      <c r="I4169" s="25" t="str">
        <f>IF(表1[[#This Row],[Tgl NPBG]]&gt;表1[[#This Row],[Peminta]],表1[[#This Row],[Tgl NPBG]]-表1[[#This Row],[Peminta]],"")</f>
        <v/>
      </c>
      <c r="J4169" s="31"/>
    </row>
    <row r="4170" s="12" customFormat="1" customHeight="1" spans="2:10">
      <c r="B4170" s="25"/>
      <c r="C4170" s="25"/>
      <c r="D4170" s="26" t="str" cm="1">
        <f t="array" ref="D4170">IF(C4170="","",IFERROR(INDEX(STPP!$D$6:$D$4207,MATCH(C4170,STPP!$C$6:$C$4207,0)),"Not Found"))</f>
        <v/>
      </c>
      <c r="E4170" s="27" t="str" cm="1">
        <f t="array" ref="E4170">IF(C4170="","",IFERROR(INDEX(STPP!$E$6:$E$4207,MATCH(C4170,STPP!$C$6:$C$4207,0)),"Not Found"))</f>
        <v/>
      </c>
      <c r="F4170" s="27" t="str" cm="1">
        <f t="array" ref="F4170">IF(C4170="","",IFERROR(INDEX(STPP!$F$6:$F$4207,MATCH(C4170,STPP!$C$6:$C$4207,0)),"Not Found"))</f>
        <v/>
      </c>
      <c r="G4170" s="25" t="str">
        <f>IF(表1[[#This Row],[No Seri]]="","",表1[[#This Row],[Deskripsi Barang]]+表1[[#This Row],[Kuantitas]]-表1[[#This Row],[Satuan]])</f>
        <v/>
      </c>
      <c r="H4170" s="28"/>
      <c r="I4170" s="25" t="str">
        <f>IF(表1[[#This Row],[Tgl NPBG]]&gt;表1[[#This Row],[Peminta]],表1[[#This Row],[Tgl NPBG]]-表1[[#This Row],[Peminta]],"")</f>
        <v/>
      </c>
      <c r="J4170" s="31"/>
    </row>
    <row r="4171" s="12" customFormat="1" customHeight="1" spans="2:10">
      <c r="B4171" s="25"/>
      <c r="C4171" s="25"/>
      <c r="D4171" s="26" t="str" cm="1">
        <f t="array" ref="D4171">IF(C4171="","",IFERROR(INDEX(STPP!$D$6:$D$4207,MATCH(C4171,STPP!$C$6:$C$4207,0)),"Not Found"))</f>
        <v/>
      </c>
      <c r="E4171" s="27" t="str" cm="1">
        <f t="array" ref="E4171">IF(C4171="","",IFERROR(INDEX(STPP!$E$6:$E$4207,MATCH(C4171,STPP!$C$6:$C$4207,0)),"Not Found"))</f>
        <v/>
      </c>
      <c r="F4171" s="27" t="str" cm="1">
        <f t="array" ref="F4171">IF(C4171="","",IFERROR(INDEX(STPP!$F$6:$F$4207,MATCH(C4171,STPP!$C$6:$C$4207,0)),"Not Found"))</f>
        <v/>
      </c>
      <c r="G4171" s="25" t="str">
        <f>IF(表1[[#This Row],[No Seri]]="","",表1[[#This Row],[Deskripsi Barang]]+表1[[#This Row],[Kuantitas]]-表1[[#This Row],[Satuan]])</f>
        <v/>
      </c>
      <c r="H4171" s="28"/>
      <c r="I4171" s="25" t="str">
        <f>IF(表1[[#This Row],[Tgl NPBG]]&gt;表1[[#This Row],[Peminta]],表1[[#This Row],[Tgl NPBG]]-表1[[#This Row],[Peminta]],"")</f>
        <v/>
      </c>
      <c r="J4171" s="31"/>
    </row>
    <row r="4172" s="12" customFormat="1" customHeight="1" spans="2:10">
      <c r="B4172" s="25"/>
      <c r="C4172" s="25"/>
      <c r="D4172" s="26" t="str" cm="1">
        <f t="array" ref="D4172">IF(C4172="","",IFERROR(INDEX(STPP!$D$6:$D$4207,MATCH(C4172,STPP!$C$6:$C$4207,0)),"Not Found"))</f>
        <v/>
      </c>
      <c r="E4172" s="27" t="str" cm="1">
        <f t="array" ref="E4172">IF(C4172="","",IFERROR(INDEX(STPP!$E$6:$E$4207,MATCH(C4172,STPP!$C$6:$C$4207,0)),"Not Found"))</f>
        <v/>
      </c>
      <c r="F4172" s="27" t="str" cm="1">
        <f t="array" ref="F4172">IF(C4172="","",IFERROR(INDEX(STPP!$F$6:$F$4207,MATCH(C4172,STPP!$C$6:$C$4207,0)),"Not Found"))</f>
        <v/>
      </c>
      <c r="G4172" s="25" t="str">
        <f>IF(表1[[#This Row],[No Seri]]="","",表1[[#This Row],[Deskripsi Barang]]+表1[[#This Row],[Kuantitas]]-表1[[#This Row],[Satuan]])</f>
        <v/>
      </c>
      <c r="H4172" s="28"/>
      <c r="I4172" s="25" t="str">
        <f>IF(表1[[#This Row],[Tgl NPBG]]&gt;表1[[#This Row],[Peminta]],表1[[#This Row],[Tgl NPBG]]-表1[[#This Row],[Peminta]],"")</f>
        <v/>
      </c>
      <c r="J4172" s="31"/>
    </row>
    <row r="4173" s="12" customFormat="1" customHeight="1" spans="2:10">
      <c r="B4173" s="25"/>
      <c r="C4173" s="25"/>
      <c r="D4173" s="26" t="str" cm="1">
        <f t="array" ref="D4173">IF(C4173="","",IFERROR(INDEX(STPP!$D$6:$D$4207,MATCH(C4173,STPP!$C$6:$C$4207,0)),"Not Found"))</f>
        <v/>
      </c>
      <c r="E4173" s="27" t="str" cm="1">
        <f t="array" ref="E4173">IF(C4173="","",IFERROR(INDEX(STPP!$E$6:$E$4207,MATCH(C4173,STPP!$C$6:$C$4207,0)),"Not Found"))</f>
        <v/>
      </c>
      <c r="F4173" s="27" t="str" cm="1">
        <f t="array" ref="F4173">IF(C4173="","",IFERROR(INDEX(STPP!$F$6:$F$4207,MATCH(C4173,STPP!$C$6:$C$4207,0)),"Not Found"))</f>
        <v/>
      </c>
      <c r="G4173" s="25" t="str">
        <f>IF(表1[[#This Row],[No Seri]]="","",表1[[#This Row],[Deskripsi Barang]]+表1[[#This Row],[Kuantitas]]-表1[[#This Row],[Satuan]])</f>
        <v/>
      </c>
      <c r="H4173" s="28"/>
      <c r="I4173" s="25" t="str">
        <f>IF(表1[[#This Row],[Tgl NPBG]]&gt;表1[[#This Row],[Peminta]],表1[[#This Row],[Tgl NPBG]]-表1[[#This Row],[Peminta]],"")</f>
        <v/>
      </c>
      <c r="J4173" s="31"/>
    </row>
    <row r="4174" s="12" customFormat="1" customHeight="1" spans="2:10">
      <c r="B4174" s="25"/>
      <c r="C4174" s="25"/>
      <c r="D4174" s="26" t="str" cm="1">
        <f t="array" ref="D4174">IF(C4174="","",IFERROR(INDEX(STPP!$D$6:$D$4207,MATCH(C4174,STPP!$C$6:$C$4207,0)),"Not Found"))</f>
        <v/>
      </c>
      <c r="E4174" s="27" t="str" cm="1">
        <f t="array" ref="E4174">IF(C4174="","",IFERROR(INDEX(STPP!$E$6:$E$4207,MATCH(C4174,STPP!$C$6:$C$4207,0)),"Not Found"))</f>
        <v/>
      </c>
      <c r="F4174" s="27" t="str" cm="1">
        <f t="array" ref="F4174">IF(C4174="","",IFERROR(INDEX(STPP!$F$6:$F$4207,MATCH(C4174,STPP!$C$6:$C$4207,0)),"Not Found"))</f>
        <v/>
      </c>
      <c r="G4174" s="25" t="str">
        <f>IF(表1[[#This Row],[No Seri]]="","",表1[[#This Row],[Deskripsi Barang]]+表1[[#This Row],[Kuantitas]]-表1[[#This Row],[Satuan]])</f>
        <v/>
      </c>
      <c r="H4174" s="28"/>
      <c r="I4174" s="25" t="str">
        <f>IF(表1[[#This Row],[Tgl NPBG]]&gt;表1[[#This Row],[Peminta]],表1[[#This Row],[Tgl NPBG]]-表1[[#This Row],[Peminta]],"")</f>
        <v/>
      </c>
      <c r="J4174" s="31"/>
    </row>
    <row r="4175" s="12" customFormat="1" customHeight="1" spans="2:10">
      <c r="B4175" s="25"/>
      <c r="C4175" s="25"/>
      <c r="D4175" s="26" t="str" cm="1">
        <f t="array" ref="D4175">IF(C4175="","",IFERROR(INDEX(STPP!$D$6:$D$4207,MATCH(C4175,STPP!$C$6:$C$4207,0)),"Not Found"))</f>
        <v/>
      </c>
      <c r="E4175" s="27" t="str" cm="1">
        <f t="array" ref="E4175">IF(C4175="","",IFERROR(INDEX(STPP!$E$6:$E$4207,MATCH(C4175,STPP!$C$6:$C$4207,0)),"Not Found"))</f>
        <v/>
      </c>
      <c r="F4175" s="27" t="str" cm="1">
        <f t="array" ref="F4175">IF(C4175="","",IFERROR(INDEX(STPP!$F$6:$F$4207,MATCH(C4175,STPP!$C$6:$C$4207,0)),"Not Found"))</f>
        <v/>
      </c>
      <c r="G4175" s="25" t="str">
        <f>IF(表1[[#This Row],[No Seri]]="","",表1[[#This Row],[Deskripsi Barang]]+表1[[#This Row],[Kuantitas]]-表1[[#This Row],[Satuan]])</f>
        <v/>
      </c>
      <c r="H4175" s="28"/>
      <c r="I4175" s="25" t="str">
        <f>IF(表1[[#This Row],[Tgl NPBG]]&gt;表1[[#This Row],[Peminta]],表1[[#This Row],[Tgl NPBG]]-表1[[#This Row],[Peminta]],"")</f>
        <v/>
      </c>
      <c r="J4175" s="31"/>
    </row>
    <row r="4176" s="12" customFormat="1" customHeight="1" spans="2:10">
      <c r="B4176" s="25"/>
      <c r="C4176" s="25"/>
      <c r="D4176" s="26" t="str" cm="1">
        <f t="array" ref="D4176">IF(C4176="","",IFERROR(INDEX(STPP!$D$6:$D$4207,MATCH(C4176,STPP!$C$6:$C$4207,0)),"Not Found"))</f>
        <v/>
      </c>
      <c r="E4176" s="27" t="str" cm="1">
        <f t="array" ref="E4176">IF(C4176="","",IFERROR(INDEX(STPP!$E$6:$E$4207,MATCH(C4176,STPP!$C$6:$C$4207,0)),"Not Found"))</f>
        <v/>
      </c>
      <c r="F4176" s="27" t="str" cm="1">
        <f t="array" ref="F4176">IF(C4176="","",IFERROR(INDEX(STPP!$F$6:$F$4207,MATCH(C4176,STPP!$C$6:$C$4207,0)),"Not Found"))</f>
        <v/>
      </c>
      <c r="G4176" s="25" t="str">
        <f>IF(表1[[#This Row],[No Seri]]="","",表1[[#This Row],[Deskripsi Barang]]+表1[[#This Row],[Kuantitas]]-表1[[#This Row],[Satuan]])</f>
        <v/>
      </c>
      <c r="H4176" s="28"/>
      <c r="I4176" s="25" t="str">
        <f>IF(表1[[#This Row],[Tgl NPBG]]&gt;表1[[#This Row],[Peminta]],表1[[#This Row],[Tgl NPBG]]-表1[[#This Row],[Peminta]],"")</f>
        <v/>
      </c>
      <c r="J4176" s="31"/>
    </row>
    <row r="4177" s="12" customFormat="1" customHeight="1" spans="2:10">
      <c r="B4177" s="25"/>
      <c r="C4177" s="25"/>
      <c r="D4177" s="26" t="str" cm="1">
        <f t="array" ref="D4177">IF(C4177="","",IFERROR(INDEX(STPP!$D$6:$D$4207,MATCH(C4177,STPP!$C$6:$C$4207,0)),"Not Found"))</f>
        <v/>
      </c>
      <c r="E4177" s="27" t="str" cm="1">
        <f t="array" ref="E4177">IF(C4177="","",IFERROR(INDEX(STPP!$E$6:$E$4207,MATCH(C4177,STPP!$C$6:$C$4207,0)),"Not Found"))</f>
        <v/>
      </c>
      <c r="F4177" s="27" t="str" cm="1">
        <f t="array" ref="F4177">IF(C4177="","",IFERROR(INDEX(STPP!$F$6:$F$4207,MATCH(C4177,STPP!$C$6:$C$4207,0)),"Not Found"))</f>
        <v/>
      </c>
      <c r="G4177" s="25" t="str">
        <f>IF(表1[[#This Row],[No Seri]]="","",表1[[#This Row],[Deskripsi Barang]]+表1[[#This Row],[Kuantitas]]-表1[[#This Row],[Satuan]])</f>
        <v/>
      </c>
      <c r="H4177" s="28"/>
      <c r="I4177" s="25" t="str">
        <f>IF(表1[[#This Row],[Tgl NPBG]]&gt;表1[[#This Row],[Peminta]],表1[[#This Row],[Tgl NPBG]]-表1[[#This Row],[Peminta]],"")</f>
        <v/>
      </c>
      <c r="J4177" s="31"/>
    </row>
    <row r="4178" s="12" customFormat="1" customHeight="1" spans="2:10">
      <c r="B4178" s="25"/>
      <c r="C4178" s="25"/>
      <c r="D4178" s="26" t="str" cm="1">
        <f t="array" ref="D4178">IF(C4178="","",IFERROR(INDEX(STPP!$D$6:$D$4207,MATCH(C4178,STPP!$C$6:$C$4207,0)),"Not Found"))</f>
        <v/>
      </c>
      <c r="E4178" s="27" t="str" cm="1">
        <f t="array" ref="E4178">IF(C4178="","",IFERROR(INDEX(STPP!$E$6:$E$4207,MATCH(C4178,STPP!$C$6:$C$4207,0)),"Not Found"))</f>
        <v/>
      </c>
      <c r="F4178" s="27" t="str" cm="1">
        <f t="array" ref="F4178">IF(C4178="","",IFERROR(INDEX(STPP!$F$6:$F$4207,MATCH(C4178,STPP!$C$6:$C$4207,0)),"Not Found"))</f>
        <v/>
      </c>
      <c r="G4178" s="25" t="str">
        <f>IF(表1[[#This Row],[No Seri]]="","",表1[[#This Row],[Deskripsi Barang]]+表1[[#This Row],[Kuantitas]]-表1[[#This Row],[Satuan]])</f>
        <v/>
      </c>
      <c r="H4178" s="28"/>
      <c r="I4178" s="25" t="str">
        <f>IF(表1[[#This Row],[Tgl NPBG]]&gt;表1[[#This Row],[Peminta]],表1[[#This Row],[Tgl NPBG]]-表1[[#This Row],[Peminta]],"")</f>
        <v/>
      </c>
      <c r="J4178" s="31"/>
    </row>
    <row r="4179" s="12" customFormat="1" customHeight="1" spans="2:10">
      <c r="B4179" s="25"/>
      <c r="C4179" s="25"/>
      <c r="D4179" s="26" t="str" cm="1">
        <f t="array" ref="D4179">IF(C4179="","",IFERROR(INDEX(STPP!$D$6:$D$4207,MATCH(C4179,STPP!$C$6:$C$4207,0)),"Not Found"))</f>
        <v/>
      </c>
      <c r="E4179" s="27" t="str" cm="1">
        <f t="array" ref="E4179">IF(C4179="","",IFERROR(INDEX(STPP!$E$6:$E$4207,MATCH(C4179,STPP!$C$6:$C$4207,0)),"Not Found"))</f>
        <v/>
      </c>
      <c r="F4179" s="27" t="str" cm="1">
        <f t="array" ref="F4179">IF(C4179="","",IFERROR(INDEX(STPP!$F$6:$F$4207,MATCH(C4179,STPP!$C$6:$C$4207,0)),"Not Found"))</f>
        <v/>
      </c>
      <c r="G4179" s="25" t="str">
        <f>IF(表1[[#This Row],[No Seri]]="","",表1[[#This Row],[Deskripsi Barang]]+表1[[#This Row],[Kuantitas]]-表1[[#This Row],[Satuan]])</f>
        <v/>
      </c>
      <c r="H4179" s="28"/>
      <c r="I4179" s="25" t="str">
        <f>IF(表1[[#This Row],[Tgl NPBG]]&gt;表1[[#This Row],[Peminta]],表1[[#This Row],[Tgl NPBG]]-表1[[#This Row],[Peminta]],"")</f>
        <v/>
      </c>
      <c r="J4179" s="31"/>
    </row>
    <row r="4180" s="12" customFormat="1" customHeight="1" spans="2:10">
      <c r="B4180" s="25"/>
      <c r="C4180" s="25"/>
      <c r="D4180" s="26" t="str" cm="1">
        <f t="array" ref="D4180">IF(C4180="","",IFERROR(INDEX(STPP!$D$6:$D$4207,MATCH(C4180,STPP!$C$6:$C$4207,0)),"Not Found"))</f>
        <v/>
      </c>
      <c r="E4180" s="27" t="str" cm="1">
        <f t="array" ref="E4180">IF(C4180="","",IFERROR(INDEX(STPP!$E$6:$E$4207,MATCH(C4180,STPP!$C$6:$C$4207,0)),"Not Found"))</f>
        <v/>
      </c>
      <c r="F4180" s="27" t="str" cm="1">
        <f t="array" ref="F4180">IF(C4180="","",IFERROR(INDEX(STPP!$F$6:$F$4207,MATCH(C4180,STPP!$C$6:$C$4207,0)),"Not Found"))</f>
        <v/>
      </c>
      <c r="G4180" s="25" t="str">
        <f>IF(表1[[#This Row],[No Seri]]="","",表1[[#This Row],[Deskripsi Barang]]+表1[[#This Row],[Kuantitas]]-表1[[#This Row],[Satuan]])</f>
        <v/>
      </c>
      <c r="H4180" s="28"/>
      <c r="I4180" s="25" t="str">
        <f>IF(表1[[#This Row],[Tgl NPBG]]&gt;表1[[#This Row],[Peminta]],表1[[#This Row],[Tgl NPBG]]-表1[[#This Row],[Peminta]],"")</f>
        <v/>
      </c>
      <c r="J4180" s="31"/>
    </row>
    <row r="4181" s="12" customFormat="1" customHeight="1" spans="2:10">
      <c r="B4181" s="25"/>
      <c r="C4181" s="25"/>
      <c r="D4181" s="26" t="str" cm="1">
        <f t="array" ref="D4181">IF(C4181="","",IFERROR(INDEX(STPP!$D$6:$D$4207,MATCH(C4181,STPP!$C$6:$C$4207,0)),"Not Found"))</f>
        <v/>
      </c>
      <c r="E4181" s="27" t="str" cm="1">
        <f t="array" ref="E4181">IF(C4181="","",IFERROR(INDEX(STPP!$E$6:$E$4207,MATCH(C4181,STPP!$C$6:$C$4207,0)),"Not Found"))</f>
        <v/>
      </c>
      <c r="F4181" s="27" t="str" cm="1">
        <f t="array" ref="F4181">IF(C4181="","",IFERROR(INDEX(STPP!$F$6:$F$4207,MATCH(C4181,STPP!$C$6:$C$4207,0)),"Not Found"))</f>
        <v/>
      </c>
      <c r="G4181" s="25" t="str">
        <f>IF(表1[[#This Row],[No Seri]]="","",表1[[#This Row],[Deskripsi Barang]]+表1[[#This Row],[Kuantitas]]-表1[[#This Row],[Satuan]])</f>
        <v/>
      </c>
      <c r="H4181" s="28"/>
      <c r="I4181" s="25" t="str">
        <f>IF(表1[[#This Row],[Tgl NPBG]]&gt;表1[[#This Row],[Peminta]],表1[[#This Row],[Tgl NPBG]]-表1[[#This Row],[Peminta]],"")</f>
        <v/>
      </c>
      <c r="J4181" s="31"/>
    </row>
    <row r="4182" s="12" customFormat="1" customHeight="1" spans="2:10">
      <c r="B4182" s="25"/>
      <c r="C4182" s="25"/>
      <c r="D4182" s="26" t="str" cm="1">
        <f t="array" ref="D4182">IF(C4182="","",IFERROR(INDEX(STPP!$D$6:$D$4207,MATCH(C4182,STPP!$C$6:$C$4207,0)),"Not Found"))</f>
        <v/>
      </c>
      <c r="E4182" s="27" t="str" cm="1">
        <f t="array" ref="E4182">IF(C4182="","",IFERROR(INDEX(STPP!$E$6:$E$4207,MATCH(C4182,STPP!$C$6:$C$4207,0)),"Not Found"))</f>
        <v/>
      </c>
      <c r="F4182" s="27" t="str" cm="1">
        <f t="array" ref="F4182">IF(C4182="","",IFERROR(INDEX(STPP!$F$6:$F$4207,MATCH(C4182,STPP!$C$6:$C$4207,0)),"Not Found"))</f>
        <v/>
      </c>
      <c r="G4182" s="25" t="str">
        <f>IF(表1[[#This Row],[No Seri]]="","",表1[[#This Row],[Deskripsi Barang]]+表1[[#This Row],[Kuantitas]]-表1[[#This Row],[Satuan]])</f>
        <v/>
      </c>
      <c r="H4182" s="28"/>
      <c r="I4182" s="25" t="str">
        <f>IF(表1[[#This Row],[Tgl NPBG]]&gt;表1[[#This Row],[Peminta]],表1[[#This Row],[Tgl NPBG]]-表1[[#This Row],[Peminta]],"")</f>
        <v/>
      </c>
      <c r="J4182" s="31"/>
    </row>
    <row r="4183" s="12" customFormat="1" customHeight="1" spans="2:10">
      <c r="B4183" s="25"/>
      <c r="C4183" s="25"/>
      <c r="D4183" s="26" t="str" cm="1">
        <f t="array" ref="D4183">IF(C4183="","",IFERROR(INDEX(STPP!$D$6:$D$4207,MATCH(C4183,STPP!$C$6:$C$4207,0)),"Not Found"))</f>
        <v/>
      </c>
      <c r="E4183" s="27" t="str" cm="1">
        <f t="array" ref="E4183">IF(C4183="","",IFERROR(INDEX(STPP!$E$6:$E$4207,MATCH(C4183,STPP!$C$6:$C$4207,0)),"Not Found"))</f>
        <v/>
      </c>
      <c r="F4183" s="27" t="str" cm="1">
        <f t="array" ref="F4183">IF(C4183="","",IFERROR(INDEX(STPP!$F$6:$F$4207,MATCH(C4183,STPP!$C$6:$C$4207,0)),"Not Found"))</f>
        <v/>
      </c>
      <c r="G4183" s="25" t="str">
        <f>IF(表1[[#This Row],[No Seri]]="","",表1[[#This Row],[Deskripsi Barang]]+表1[[#This Row],[Kuantitas]]-表1[[#This Row],[Satuan]])</f>
        <v/>
      </c>
      <c r="H4183" s="28"/>
      <c r="I4183" s="25" t="str">
        <f>IF(表1[[#This Row],[Tgl NPBG]]&gt;表1[[#This Row],[Peminta]],表1[[#This Row],[Tgl NPBG]]-表1[[#This Row],[Peminta]],"")</f>
        <v/>
      </c>
      <c r="J4183" s="31"/>
    </row>
    <row r="4184" s="12" customFormat="1" customHeight="1" spans="2:10">
      <c r="B4184" s="25"/>
      <c r="C4184" s="25"/>
      <c r="D4184" s="26" t="str" cm="1">
        <f t="array" ref="D4184">IF(C4184="","",IFERROR(INDEX(STPP!$D$6:$D$4207,MATCH(C4184,STPP!$C$6:$C$4207,0)),"Not Found"))</f>
        <v/>
      </c>
      <c r="E4184" s="27" t="str" cm="1">
        <f t="array" ref="E4184">IF(C4184="","",IFERROR(INDEX(STPP!$E$6:$E$4207,MATCH(C4184,STPP!$C$6:$C$4207,0)),"Not Found"))</f>
        <v/>
      </c>
      <c r="F4184" s="27" t="str" cm="1">
        <f t="array" ref="F4184">IF(C4184="","",IFERROR(INDEX(STPP!$F$6:$F$4207,MATCH(C4184,STPP!$C$6:$C$4207,0)),"Not Found"))</f>
        <v/>
      </c>
      <c r="G4184" s="25" t="str">
        <f>IF(表1[[#This Row],[No Seri]]="","",表1[[#This Row],[Deskripsi Barang]]+表1[[#This Row],[Kuantitas]]-表1[[#This Row],[Satuan]])</f>
        <v/>
      </c>
      <c r="H4184" s="28"/>
      <c r="I4184" s="25" t="str">
        <f>IF(表1[[#This Row],[Tgl NPBG]]&gt;表1[[#This Row],[Peminta]],表1[[#This Row],[Tgl NPBG]]-表1[[#This Row],[Peminta]],"")</f>
        <v/>
      </c>
      <c r="J4184" s="31"/>
    </row>
    <row r="4185" s="12" customFormat="1" customHeight="1" spans="2:10">
      <c r="B4185" s="25"/>
      <c r="C4185" s="25"/>
      <c r="D4185" s="26" t="str" cm="1">
        <f t="array" ref="D4185">IF(C4185="","",IFERROR(INDEX(STPP!$D$6:$D$4207,MATCH(C4185,STPP!$C$6:$C$4207,0)),"Not Found"))</f>
        <v/>
      </c>
      <c r="E4185" s="27" t="str" cm="1">
        <f t="array" ref="E4185">IF(C4185="","",IFERROR(INDEX(STPP!$E$6:$E$4207,MATCH(C4185,STPP!$C$6:$C$4207,0)),"Not Found"))</f>
        <v/>
      </c>
      <c r="F4185" s="27" t="str" cm="1">
        <f t="array" ref="F4185">IF(C4185="","",IFERROR(INDEX(STPP!$F$6:$F$4207,MATCH(C4185,STPP!$C$6:$C$4207,0)),"Not Found"))</f>
        <v/>
      </c>
      <c r="G4185" s="25" t="str">
        <f>IF(表1[[#This Row],[No Seri]]="","",表1[[#This Row],[Deskripsi Barang]]+表1[[#This Row],[Kuantitas]]-表1[[#This Row],[Satuan]])</f>
        <v/>
      </c>
      <c r="H4185" s="28"/>
      <c r="I4185" s="25" t="str">
        <f>IF(表1[[#This Row],[Tgl NPBG]]&gt;表1[[#This Row],[Peminta]],表1[[#This Row],[Tgl NPBG]]-表1[[#This Row],[Peminta]],"")</f>
        <v/>
      </c>
      <c r="J4185" s="31"/>
    </row>
    <row r="4186" s="12" customFormat="1" customHeight="1" spans="2:10">
      <c r="B4186" s="25"/>
      <c r="C4186" s="25"/>
      <c r="D4186" s="26" t="str" cm="1">
        <f t="array" ref="D4186">IF(C4186="","",IFERROR(INDEX(STPP!$D$6:$D$4207,MATCH(C4186,STPP!$C$6:$C$4207,0)),"Not Found"))</f>
        <v/>
      </c>
      <c r="E4186" s="27" t="str" cm="1">
        <f t="array" ref="E4186">IF(C4186="","",IFERROR(INDEX(STPP!$E$6:$E$4207,MATCH(C4186,STPP!$C$6:$C$4207,0)),"Not Found"))</f>
        <v/>
      </c>
      <c r="F4186" s="27" t="str" cm="1">
        <f t="array" ref="F4186">IF(C4186="","",IFERROR(INDEX(STPP!$F$6:$F$4207,MATCH(C4186,STPP!$C$6:$C$4207,0)),"Not Found"))</f>
        <v/>
      </c>
      <c r="G4186" s="25" t="str">
        <f>IF(表1[[#This Row],[No Seri]]="","",表1[[#This Row],[Deskripsi Barang]]+表1[[#This Row],[Kuantitas]]-表1[[#This Row],[Satuan]])</f>
        <v/>
      </c>
      <c r="H4186" s="28"/>
      <c r="I4186" s="25" t="str">
        <f>IF(表1[[#This Row],[Tgl NPBG]]&gt;表1[[#This Row],[Peminta]],表1[[#This Row],[Tgl NPBG]]-表1[[#This Row],[Peminta]],"")</f>
        <v/>
      </c>
      <c r="J4186" s="31"/>
    </row>
    <row r="4187" s="12" customFormat="1" customHeight="1" spans="2:10">
      <c r="B4187" s="25"/>
      <c r="C4187" s="25"/>
      <c r="D4187" s="26" t="str" cm="1">
        <f t="array" ref="D4187">IF(C4187="","",IFERROR(INDEX(STPP!$D$6:$D$4207,MATCH(C4187,STPP!$C$6:$C$4207,0)),"Not Found"))</f>
        <v/>
      </c>
      <c r="E4187" s="27" t="str" cm="1">
        <f t="array" ref="E4187">IF(C4187="","",IFERROR(INDEX(STPP!$E$6:$E$4207,MATCH(C4187,STPP!$C$6:$C$4207,0)),"Not Found"))</f>
        <v/>
      </c>
      <c r="F4187" s="27" t="str" cm="1">
        <f t="array" ref="F4187">IF(C4187="","",IFERROR(INDEX(STPP!$F$6:$F$4207,MATCH(C4187,STPP!$C$6:$C$4207,0)),"Not Found"))</f>
        <v/>
      </c>
      <c r="G4187" s="25" t="str">
        <f>IF(表1[[#This Row],[No Seri]]="","",表1[[#This Row],[Deskripsi Barang]]+表1[[#This Row],[Kuantitas]]-表1[[#This Row],[Satuan]])</f>
        <v/>
      </c>
      <c r="H4187" s="28"/>
      <c r="I4187" s="25" t="str">
        <f>IF(表1[[#This Row],[Tgl NPBG]]&gt;表1[[#This Row],[Peminta]],表1[[#This Row],[Tgl NPBG]]-表1[[#This Row],[Peminta]],"")</f>
        <v/>
      </c>
      <c r="J4187" s="31"/>
    </row>
    <row r="4188" s="12" customFormat="1" customHeight="1" spans="2:10">
      <c r="B4188" s="25"/>
      <c r="C4188" s="25"/>
      <c r="D4188" s="26" t="str" cm="1">
        <f t="array" ref="D4188">IF(C4188="","",IFERROR(INDEX(STPP!$D$6:$D$4207,MATCH(C4188,STPP!$C$6:$C$4207,0)),"Not Found"))</f>
        <v/>
      </c>
      <c r="E4188" s="27" t="str" cm="1">
        <f t="array" ref="E4188">IF(C4188="","",IFERROR(INDEX(STPP!$E$6:$E$4207,MATCH(C4188,STPP!$C$6:$C$4207,0)),"Not Found"))</f>
        <v/>
      </c>
      <c r="F4188" s="27" t="str" cm="1">
        <f t="array" ref="F4188">IF(C4188="","",IFERROR(INDEX(STPP!$F$6:$F$4207,MATCH(C4188,STPP!$C$6:$C$4207,0)),"Not Found"))</f>
        <v/>
      </c>
      <c r="G4188" s="25" t="str">
        <f>IF(表1[[#This Row],[No Seri]]="","",表1[[#This Row],[Deskripsi Barang]]+表1[[#This Row],[Kuantitas]]-表1[[#This Row],[Satuan]])</f>
        <v/>
      </c>
      <c r="H4188" s="28"/>
      <c r="I4188" s="25" t="str">
        <f>IF(表1[[#This Row],[Tgl NPBG]]&gt;表1[[#This Row],[Peminta]],表1[[#This Row],[Tgl NPBG]]-表1[[#This Row],[Peminta]],"")</f>
        <v/>
      </c>
      <c r="J4188" s="31"/>
    </row>
  </sheetData>
  <sheetProtection sheet="1" formatCells="0" formatColumns="0" formatRows="0" insertRows="0" insertColumns="0" insertHyperlinks="0" sort="0" autoFilter="0" pivotTables="0" objects="1"/>
  <mergeCells count="1">
    <mergeCell ref="B1:I3"/>
  </mergeCells>
  <dataValidations count="2">
    <dataValidation type="whole" operator="between" allowBlank="1" showInputMessage="1" showErrorMessage="1" error="请输入正确4位数年份【1900-9999】" sqref="F3">
      <formula1>1900</formula1>
      <formula2>9999</formula2>
    </dataValidation>
    <dataValidation type="list" allowBlank="1" showInputMessage="1" showErrorMessage="1" sqref="C6:C4188">
      <formula1>STPP!$C$6:$C$4207</formula1>
    </dataValidation>
  </dataValidations>
  <pageMargins left="0.75" right="0.75" top="1" bottom="1" header="0.5" footer="0.5"/>
  <pageSetup paperSize="13" orientation="portrait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 tint="0.5"/>
  </sheetPr>
  <dimension ref="A1:E4165"/>
  <sheetViews>
    <sheetView topLeftCell="A33" workbookViewId="0">
      <selection activeCell="A59" sqref="A59"/>
    </sheetView>
  </sheetViews>
  <sheetFormatPr defaultColWidth="9.14285714285714" defaultRowHeight="15" outlineLevelCol="4"/>
  <cols>
    <col min="1" max="1" width="33.2857142857143" style="3" customWidth="1"/>
    <col min="2" max="2" width="78.2857142857143" style="3" customWidth="1"/>
    <col min="3" max="3" width="73.2857142857143" style="3" customWidth="1"/>
    <col min="4" max="4" width="23.1428571428571" style="3" customWidth="1"/>
    <col min="5" max="5" width="23.7142857142857" style="3" customWidth="1"/>
    <col min="6" max="16384" width="9.14285714285714" style="2"/>
  </cols>
  <sheetData>
    <row r="1" s="1" customFormat="1" ht="15.75" spans="1:5">
      <c r="A1" s="4" t="s">
        <v>9</v>
      </c>
      <c r="B1" s="4" t="s">
        <v>10</v>
      </c>
      <c r="C1" s="4" t="s">
        <v>2503</v>
      </c>
      <c r="D1" s="4" t="s">
        <v>2504</v>
      </c>
      <c r="E1" s="4" t="s">
        <v>2505</v>
      </c>
    </row>
    <row r="2" s="2" customFormat="1" spans="1:5">
      <c r="A2" s="5" t="s">
        <v>30</v>
      </c>
      <c r="B2" s="5" t="s">
        <v>375</v>
      </c>
      <c r="C2" s="3"/>
      <c r="D2" s="3"/>
      <c r="E2" s="3"/>
    </row>
    <row r="3" s="2" customFormat="1" spans="1:5">
      <c r="A3" s="5" t="s">
        <v>523</v>
      </c>
      <c r="B3" s="5" t="s">
        <v>31</v>
      </c>
      <c r="C3" s="3"/>
      <c r="D3" s="3"/>
      <c r="E3" s="3"/>
    </row>
    <row r="4" s="2" customFormat="1" spans="1:5">
      <c r="A4" s="5" t="s">
        <v>321</v>
      </c>
      <c r="B4" s="5" t="s">
        <v>322</v>
      </c>
      <c r="C4" s="3"/>
      <c r="D4" s="3"/>
      <c r="E4" s="3"/>
    </row>
    <row r="5" s="2" customFormat="1" spans="1:5">
      <c r="A5" s="5" t="s">
        <v>1249</v>
      </c>
      <c r="B5" s="5" t="s">
        <v>524</v>
      </c>
      <c r="C5" s="3"/>
      <c r="D5" s="3"/>
      <c r="E5" s="3"/>
    </row>
    <row r="6" s="2" customFormat="1" spans="1:5">
      <c r="A6" s="5" t="s">
        <v>913</v>
      </c>
      <c r="B6" s="5" t="s">
        <v>1032</v>
      </c>
      <c r="C6" s="3"/>
      <c r="D6" s="3"/>
      <c r="E6" s="3"/>
    </row>
    <row r="7" s="2" customFormat="1" spans="1:5">
      <c r="A7" s="5" t="s">
        <v>481</v>
      </c>
      <c r="B7" s="3" t="s">
        <v>37</v>
      </c>
      <c r="C7" s="3"/>
      <c r="D7" s="3"/>
      <c r="E7" s="3"/>
    </row>
    <row r="8" s="2" customFormat="1" spans="1:5">
      <c r="A8" s="5" t="s">
        <v>980</v>
      </c>
      <c r="B8" s="3" t="s">
        <v>1195</v>
      </c>
      <c r="C8" s="3"/>
      <c r="D8" s="3"/>
      <c r="E8" s="3"/>
    </row>
    <row r="9" s="2" customFormat="1" spans="1:5">
      <c r="A9" s="5" t="s">
        <v>1194</v>
      </c>
      <c r="B9" s="3" t="s">
        <v>943</v>
      </c>
      <c r="C9" s="3"/>
      <c r="D9" s="3"/>
      <c r="E9" s="3"/>
    </row>
    <row r="10" s="2" customFormat="1" spans="1:5">
      <c r="A10" s="5" t="s">
        <v>896</v>
      </c>
      <c r="B10" s="3" t="s">
        <v>1249</v>
      </c>
      <c r="C10" s="3"/>
      <c r="D10" s="3"/>
      <c r="E10" s="3"/>
    </row>
    <row r="11" s="2" customFormat="1" spans="1:5">
      <c r="A11" s="5" t="s">
        <v>1065</v>
      </c>
      <c r="B11" s="3" t="s">
        <v>1453</v>
      </c>
      <c r="C11" s="3"/>
      <c r="D11" s="3"/>
      <c r="E11" s="3"/>
    </row>
    <row r="12" s="2" customFormat="1" spans="1:5">
      <c r="A12" s="5" t="s">
        <v>515</v>
      </c>
      <c r="B12" s="3" t="s">
        <v>1545</v>
      </c>
      <c r="C12" s="3"/>
      <c r="D12" s="3"/>
      <c r="E12" s="3"/>
    </row>
    <row r="13" s="2" customFormat="1" spans="1:5">
      <c r="A13" s="5" t="s">
        <v>1031</v>
      </c>
      <c r="B13" s="3" t="s">
        <v>1603</v>
      </c>
      <c r="C13" s="3"/>
      <c r="D13" s="3"/>
      <c r="E13" s="3"/>
    </row>
    <row r="14" s="2" customFormat="1" spans="1:5">
      <c r="A14" s="5" t="s">
        <v>1025</v>
      </c>
      <c r="B14" s="3" t="s">
        <v>2506</v>
      </c>
      <c r="C14" s="3"/>
      <c r="D14" s="3"/>
      <c r="E14" s="3"/>
    </row>
    <row r="15" s="2" customFormat="1" spans="1:5">
      <c r="A15" s="5" t="s">
        <v>931</v>
      </c>
      <c r="B15" s="3" t="s">
        <v>1659</v>
      </c>
      <c r="C15" s="3"/>
      <c r="D15" s="3"/>
      <c r="E15" s="3"/>
    </row>
    <row r="16" s="2" customFormat="1" ht="15.75" spans="1:5">
      <c r="A16" s="5" t="s">
        <v>1395</v>
      </c>
      <c r="B16" s="3" t="s">
        <v>1714</v>
      </c>
      <c r="C16" s="6"/>
      <c r="D16" s="3"/>
      <c r="E16" s="3"/>
    </row>
    <row r="17" s="2" customFormat="1" ht="15.75" spans="1:5">
      <c r="A17" s="5" t="s">
        <v>1017</v>
      </c>
      <c r="B17" s="3" t="s">
        <v>2507</v>
      </c>
      <c r="C17" s="6"/>
      <c r="D17" s="3"/>
      <c r="E17" s="3"/>
    </row>
    <row r="18" s="2" customFormat="1" ht="15.75" spans="1:5">
      <c r="A18" s="5" t="s">
        <v>1038</v>
      </c>
      <c r="B18" s="3" t="s">
        <v>2414</v>
      </c>
      <c r="C18" s="6"/>
      <c r="D18" s="3"/>
      <c r="E18" s="3"/>
    </row>
    <row r="19" s="2" customFormat="1" spans="1:5">
      <c r="A19" s="5" t="s">
        <v>1107</v>
      </c>
      <c r="B19" s="3" t="s">
        <v>2508</v>
      </c>
      <c r="C19" s="3"/>
      <c r="D19" s="3"/>
      <c r="E19" s="3"/>
    </row>
    <row r="20" s="2" customFormat="1" spans="1:5">
      <c r="A20" s="5" t="s">
        <v>1102</v>
      </c>
      <c r="B20" s="3" t="s">
        <v>2509</v>
      </c>
      <c r="C20" s="3"/>
      <c r="D20" s="3"/>
      <c r="E20" s="3"/>
    </row>
    <row r="21" s="2" customFormat="1" spans="1:5">
      <c r="A21" s="5" t="s">
        <v>1361</v>
      </c>
      <c r="B21" s="3" t="s">
        <v>2510</v>
      </c>
      <c r="C21" s="3"/>
      <c r="D21" s="3"/>
      <c r="E21" s="3"/>
    </row>
    <row r="22" s="2" customFormat="1" spans="1:5">
      <c r="A22" s="5" t="s">
        <v>1097</v>
      </c>
      <c r="B22" s="3" t="s">
        <v>2511</v>
      </c>
      <c r="C22" s="3"/>
      <c r="D22" s="3"/>
      <c r="E22" s="3"/>
    </row>
    <row r="23" s="2" customFormat="1" spans="1:5">
      <c r="A23" s="5" t="s">
        <v>1114</v>
      </c>
      <c r="B23" s="3" t="s">
        <v>1835</v>
      </c>
      <c r="C23" s="3"/>
      <c r="D23" s="3"/>
      <c r="E23" s="3"/>
    </row>
    <row r="24" s="2" customFormat="1" spans="1:5">
      <c r="A24" s="5" t="s">
        <v>1090</v>
      </c>
      <c r="B24" s="3" t="s">
        <v>1859</v>
      </c>
      <c r="C24" s="3"/>
      <c r="D24" s="3"/>
      <c r="E24" s="3"/>
    </row>
    <row r="25" s="2" customFormat="1" spans="1:5">
      <c r="A25" s="5" t="s">
        <v>1380</v>
      </c>
      <c r="B25" s="3" t="s">
        <v>1875</v>
      </c>
      <c r="C25" s="3"/>
      <c r="D25" s="3"/>
      <c r="E25" s="3"/>
    </row>
    <row r="26" s="2" customFormat="1" spans="1:5">
      <c r="A26" s="5" t="s">
        <v>1054</v>
      </c>
      <c r="B26" s="3" t="s">
        <v>1898</v>
      </c>
      <c r="C26" s="3"/>
      <c r="D26" s="3"/>
      <c r="E26" s="3"/>
    </row>
    <row r="27" s="2" customFormat="1" ht="15.75" spans="1:5">
      <c r="A27" s="5" t="s">
        <v>1384</v>
      </c>
      <c r="B27" s="3" t="s">
        <v>1911</v>
      </c>
      <c r="C27" s="6"/>
      <c r="D27" s="3"/>
      <c r="E27" s="3"/>
    </row>
    <row r="28" s="2" customFormat="1" spans="1:5">
      <c r="A28" s="3" t="s">
        <v>1452</v>
      </c>
      <c r="B28" s="3" t="s">
        <v>1935</v>
      </c>
      <c r="C28" s="3"/>
      <c r="D28" s="3"/>
      <c r="E28" s="3"/>
    </row>
    <row r="29" s="2" customFormat="1" spans="1:5">
      <c r="A29" s="3" t="s">
        <v>1054</v>
      </c>
      <c r="B29" s="3" t="s">
        <v>1950</v>
      </c>
      <c r="C29" s="3"/>
      <c r="D29" s="3"/>
      <c r="E29" s="3"/>
    </row>
    <row r="30" s="2" customFormat="1" spans="1:5">
      <c r="A30" s="3" t="s">
        <v>1658</v>
      </c>
      <c r="B30" s="3" t="s">
        <v>1970</v>
      </c>
      <c r="C30" s="3"/>
      <c r="D30" s="3"/>
      <c r="E30" s="3"/>
    </row>
    <row r="31" s="2" customFormat="1" spans="1:5">
      <c r="A31" s="3" t="s">
        <v>1835</v>
      </c>
      <c r="B31" s="3" t="s">
        <v>1985</v>
      </c>
      <c r="C31" s="3"/>
      <c r="D31" s="3"/>
      <c r="E31" s="3"/>
    </row>
    <row r="32" s="2" customFormat="1" spans="1:5">
      <c r="A32" s="3" t="s">
        <v>1859</v>
      </c>
      <c r="B32" s="3" t="s">
        <v>2004</v>
      </c>
      <c r="C32" s="3"/>
      <c r="D32" s="3"/>
      <c r="E32" s="3"/>
    </row>
    <row r="33" s="2" customFormat="1" spans="1:5">
      <c r="A33" s="3" t="s">
        <v>1875</v>
      </c>
      <c r="B33" s="3" t="s">
        <v>2024</v>
      </c>
      <c r="C33" s="3"/>
      <c r="D33" s="3"/>
      <c r="E33" s="3"/>
    </row>
    <row r="34" s="2" customFormat="1" spans="1:5">
      <c r="A34" s="3" t="s">
        <v>1898</v>
      </c>
      <c r="B34" s="3" t="s">
        <v>2066</v>
      </c>
      <c r="C34" s="3"/>
      <c r="D34" s="3"/>
      <c r="E34" s="3"/>
    </row>
    <row r="35" s="2" customFormat="1" ht="15.75" spans="1:5">
      <c r="A35" s="3" t="s">
        <v>1911</v>
      </c>
      <c r="B35" s="3" t="s">
        <v>2085</v>
      </c>
      <c r="C35" s="6"/>
      <c r="D35" s="3"/>
      <c r="E35" s="3"/>
    </row>
    <row r="36" s="2" customFormat="1" spans="1:5">
      <c r="A36" s="3" t="s">
        <v>1935</v>
      </c>
      <c r="B36" s="3" t="s">
        <v>2107</v>
      </c>
      <c r="C36" s="3"/>
      <c r="D36" s="3"/>
      <c r="E36" s="3"/>
    </row>
    <row r="37" s="2" customFormat="1" spans="1:5">
      <c r="A37" s="3" t="s">
        <v>1950</v>
      </c>
      <c r="B37" s="3" t="s">
        <v>2182</v>
      </c>
      <c r="C37" s="3"/>
      <c r="D37" s="3"/>
      <c r="E37" s="3"/>
    </row>
    <row r="38" s="2" customFormat="1" spans="1:5">
      <c r="A38" s="3" t="s">
        <v>1970</v>
      </c>
      <c r="B38" s="3" t="s">
        <v>2195</v>
      </c>
      <c r="C38" s="3"/>
      <c r="D38" s="3"/>
      <c r="E38" s="3"/>
    </row>
    <row r="39" s="2" customFormat="1" ht="15.75" spans="1:5">
      <c r="A39" s="3" t="s">
        <v>1985</v>
      </c>
      <c r="B39" s="6" t="s">
        <v>2207</v>
      </c>
      <c r="C39" s="3"/>
      <c r="D39" s="3"/>
      <c r="E39" s="3"/>
    </row>
    <row r="40" s="2" customFormat="1" spans="1:5">
      <c r="A40" s="3" t="s">
        <v>2004</v>
      </c>
      <c r="B40" s="3" t="s">
        <v>515</v>
      </c>
      <c r="C40" s="3"/>
      <c r="D40" s="3"/>
      <c r="E40" s="3"/>
    </row>
    <row r="41" s="2" customFormat="1" spans="1:5">
      <c r="A41" s="3" t="s">
        <v>2024</v>
      </c>
      <c r="B41" s="3" t="s">
        <v>321</v>
      </c>
      <c r="C41" s="3"/>
      <c r="D41" s="3"/>
      <c r="E41" s="3"/>
    </row>
    <row r="42" s="2" customFormat="1" spans="1:5">
      <c r="A42" s="3" t="s">
        <v>2066</v>
      </c>
      <c r="B42" s="3" t="s">
        <v>30</v>
      </c>
      <c r="C42" s="3"/>
      <c r="D42" s="3"/>
      <c r="E42" s="3"/>
    </row>
    <row r="43" s="2" customFormat="1" spans="1:5">
      <c r="A43" s="3" t="s">
        <v>2085</v>
      </c>
      <c r="B43" s="3" t="s">
        <v>896</v>
      </c>
      <c r="C43" s="3"/>
      <c r="D43" s="3"/>
      <c r="E43" s="3"/>
    </row>
    <row r="44" s="2" customFormat="1" ht="15.75" spans="1:5">
      <c r="A44" s="3" t="s">
        <v>2107</v>
      </c>
      <c r="B44" s="3" t="s">
        <v>913</v>
      </c>
      <c r="C44" s="6"/>
      <c r="D44" s="3"/>
      <c r="E44" s="3"/>
    </row>
    <row r="45" s="2" customFormat="1" ht="15.75" spans="1:5">
      <c r="A45" s="3" t="s">
        <v>2182</v>
      </c>
      <c r="B45" s="3" t="s">
        <v>931</v>
      </c>
      <c r="C45" s="6"/>
      <c r="D45" s="3"/>
      <c r="E45" s="3"/>
    </row>
    <row r="46" s="2" customFormat="1" spans="1:5">
      <c r="A46" s="3" t="s">
        <v>2195</v>
      </c>
      <c r="B46" s="3" t="s">
        <v>1017</v>
      </c>
      <c r="C46" s="3"/>
      <c r="D46" s="3"/>
      <c r="E46" s="3"/>
    </row>
    <row r="47" s="2" customFormat="1" ht="15.75" spans="1:5">
      <c r="A47" s="6" t="s">
        <v>2207</v>
      </c>
      <c r="B47" s="7" t="s">
        <v>2182</v>
      </c>
      <c r="C47" s="6"/>
      <c r="D47" s="3"/>
      <c r="E47" s="3"/>
    </row>
    <row r="48" s="2" customFormat="1" ht="15.75" spans="1:5">
      <c r="A48" s="6" t="s">
        <v>2219</v>
      </c>
      <c r="B48" s="3" t="s">
        <v>2219</v>
      </c>
      <c r="C48" s="6"/>
      <c r="D48" s="3"/>
      <c r="E48" s="3"/>
    </row>
    <row r="49" s="2" customFormat="1" ht="15.75" spans="1:5">
      <c r="A49" s="6" t="s">
        <v>2238</v>
      </c>
      <c r="B49" s="3" t="s">
        <v>2238</v>
      </c>
      <c r="C49" s="6"/>
      <c r="D49" s="3"/>
      <c r="E49" s="3"/>
    </row>
    <row r="50" s="2" customFormat="1" ht="15.75" spans="1:5">
      <c r="A50" s="6" t="s">
        <v>2258</v>
      </c>
      <c r="B50" s="3" t="s">
        <v>2258</v>
      </c>
      <c r="C50" s="6"/>
      <c r="D50" s="3"/>
      <c r="E50" s="3"/>
    </row>
    <row r="51" s="2" customFormat="1" ht="15.75" spans="1:5">
      <c r="A51" s="6" t="s">
        <v>2272</v>
      </c>
      <c r="B51" s="3" t="s">
        <v>2272</v>
      </c>
      <c r="C51" s="6"/>
      <c r="D51" s="3"/>
      <c r="E51" s="3"/>
    </row>
    <row r="52" s="2" customFormat="1" ht="15.75" spans="1:5">
      <c r="A52" s="6" t="s">
        <v>2328</v>
      </c>
      <c r="B52" s="3" t="s">
        <v>2290</v>
      </c>
      <c r="C52" s="6"/>
      <c r="D52" s="3"/>
      <c r="E52" s="3"/>
    </row>
    <row r="53" s="2" customFormat="1" ht="15.75" spans="1:5">
      <c r="A53" s="6" t="s">
        <v>2348</v>
      </c>
      <c r="B53" s="6" t="s">
        <v>2328</v>
      </c>
      <c r="C53" s="6"/>
      <c r="D53" s="3"/>
      <c r="E53" s="3"/>
    </row>
    <row r="54" s="2" customFormat="1" ht="15.75" spans="1:5">
      <c r="A54" s="6" t="s">
        <v>2371</v>
      </c>
      <c r="B54" s="6" t="s">
        <v>2348</v>
      </c>
      <c r="C54" s="6"/>
      <c r="D54" s="3"/>
      <c r="E54" s="3"/>
    </row>
    <row r="55" s="2" customFormat="1" ht="15.75" spans="1:5">
      <c r="A55" s="6" t="s">
        <v>2391</v>
      </c>
      <c r="B55" s="6" t="s">
        <v>2371</v>
      </c>
      <c r="C55" s="6"/>
      <c r="D55" s="3"/>
      <c r="E55" s="3"/>
    </row>
    <row r="56" s="2" customFormat="1" ht="15.75" spans="1:5">
      <c r="A56" s="6" t="s">
        <v>2485</v>
      </c>
      <c r="B56" s="3" t="s">
        <v>2392</v>
      </c>
      <c r="C56" s="6"/>
      <c r="D56" s="3"/>
      <c r="E56" s="3"/>
    </row>
    <row r="57" s="2" customFormat="1" ht="15.75" spans="1:5">
      <c r="A57" s="3" t="s">
        <v>2451</v>
      </c>
      <c r="B57" s="3" t="s">
        <v>2451</v>
      </c>
      <c r="C57" s="6"/>
      <c r="D57" s="3"/>
      <c r="E57" s="3"/>
    </row>
    <row r="58" s="2" customFormat="1" ht="15.75" spans="1:5">
      <c r="A58" s="6" t="s">
        <v>2457</v>
      </c>
      <c r="B58" s="3" t="s">
        <v>2457</v>
      </c>
      <c r="C58" s="6"/>
      <c r="D58" s="3"/>
      <c r="E58" s="3"/>
    </row>
    <row r="59" s="2" customFormat="1" ht="15.75" spans="1:5">
      <c r="A59" s="6"/>
      <c r="B59" s="3"/>
      <c r="C59" s="6"/>
      <c r="D59" s="3"/>
      <c r="E59" s="3"/>
    </row>
    <row r="60" s="2" customFormat="1" ht="15.75" spans="1:5">
      <c r="A60" s="6"/>
      <c r="B60" s="3"/>
      <c r="C60" s="6"/>
      <c r="D60" s="3"/>
      <c r="E60" s="3"/>
    </row>
    <row r="61" s="2" customFormat="1" ht="15.75" spans="1:5">
      <c r="A61" s="6"/>
      <c r="B61" s="7"/>
      <c r="C61" s="6"/>
      <c r="D61" s="3"/>
      <c r="E61" s="3"/>
    </row>
    <row r="62" s="2" customFormat="1" ht="15.75" spans="1:5">
      <c r="A62" s="6"/>
      <c r="B62" s="7"/>
      <c r="C62" s="6"/>
      <c r="D62" s="3"/>
      <c r="E62" s="3"/>
    </row>
    <row r="63" s="2" customFormat="1" ht="15.75" spans="1:5">
      <c r="A63" s="6"/>
      <c r="B63" s="7"/>
      <c r="C63" s="6"/>
      <c r="D63" s="3"/>
      <c r="E63" s="3"/>
    </row>
    <row r="64" s="2" customFormat="1" ht="15.75" spans="1:5">
      <c r="A64" s="6"/>
      <c r="B64" s="7"/>
      <c r="C64" s="6"/>
      <c r="D64" s="3"/>
      <c r="E64" s="3"/>
    </row>
    <row r="65" s="2" customFormat="1" ht="15.75" spans="1:5">
      <c r="A65" s="6"/>
      <c r="B65" s="7"/>
      <c r="C65" s="6"/>
      <c r="D65" s="3"/>
      <c r="E65" s="3"/>
    </row>
    <row r="66" s="2" customFormat="1" ht="15.75" spans="1:5">
      <c r="A66" s="6"/>
      <c r="B66" s="7"/>
      <c r="C66" s="6"/>
      <c r="D66" s="3"/>
      <c r="E66" s="3"/>
    </row>
    <row r="67" s="2" customFormat="1" ht="15.75" spans="1:5">
      <c r="A67" s="6"/>
      <c r="B67" s="7"/>
      <c r="C67" s="6"/>
      <c r="D67" s="3"/>
      <c r="E67" s="3"/>
    </row>
    <row r="68" s="2" customFormat="1" ht="15.75" spans="1:5">
      <c r="A68" s="6"/>
      <c r="B68" s="7"/>
      <c r="C68" s="6"/>
      <c r="D68" s="3"/>
      <c r="E68" s="3"/>
    </row>
    <row r="69" s="2" customFormat="1" ht="15.75" spans="1:5">
      <c r="A69" s="6"/>
      <c r="B69" s="7"/>
      <c r="C69" s="6"/>
      <c r="D69" s="3"/>
      <c r="E69" s="3"/>
    </row>
    <row r="70" s="2" customFormat="1" ht="15.75" spans="1:5">
      <c r="A70" s="6"/>
      <c r="B70" s="7"/>
      <c r="C70" s="6"/>
      <c r="D70" s="3"/>
      <c r="E70" s="3"/>
    </row>
    <row r="71" s="2" customFormat="1" ht="15.75" spans="1:5">
      <c r="A71" s="6"/>
      <c r="B71" s="7"/>
      <c r="C71" s="6"/>
      <c r="D71" s="3"/>
      <c r="E71" s="3"/>
    </row>
    <row r="72" s="2" customFormat="1" ht="15.75" spans="1:5">
      <c r="A72" s="6"/>
      <c r="B72" s="7"/>
      <c r="C72" s="6"/>
      <c r="D72" s="3"/>
      <c r="E72" s="3"/>
    </row>
    <row r="73" s="2" customFormat="1" ht="15.75" spans="1:5">
      <c r="A73" s="6"/>
      <c r="B73" s="7"/>
      <c r="C73" s="6"/>
      <c r="D73" s="3"/>
      <c r="E73" s="3"/>
    </row>
    <row r="74" s="2" customFormat="1" ht="15.75" spans="1:5">
      <c r="A74" s="6"/>
      <c r="B74" s="7"/>
      <c r="C74" s="6"/>
      <c r="D74" s="3"/>
      <c r="E74" s="3"/>
    </row>
    <row r="75" s="2" customFormat="1" ht="15.75" spans="1:5">
      <c r="A75" s="6"/>
      <c r="B75" s="7"/>
      <c r="C75" s="6"/>
      <c r="D75" s="3"/>
      <c r="E75" s="3"/>
    </row>
    <row r="76" s="2" customFormat="1" ht="15.75" spans="1:5">
      <c r="A76" s="6"/>
      <c r="B76" s="7"/>
      <c r="C76" s="6"/>
      <c r="D76" s="3"/>
      <c r="E76" s="3"/>
    </row>
    <row r="77" s="2" customFormat="1" ht="15.75" spans="1:5">
      <c r="A77" s="6"/>
      <c r="B77" s="7"/>
      <c r="C77" s="6"/>
      <c r="D77" s="3"/>
      <c r="E77" s="3"/>
    </row>
    <row r="78" s="2" customFormat="1" ht="15.75" spans="1:5">
      <c r="A78" s="6"/>
      <c r="B78" s="7"/>
      <c r="C78" s="6"/>
      <c r="D78" s="3"/>
      <c r="E78" s="3"/>
    </row>
    <row r="79" s="2" customFormat="1" ht="15.75" spans="1:5">
      <c r="A79" s="6"/>
      <c r="B79" s="7"/>
      <c r="C79" s="6"/>
      <c r="D79" s="3"/>
      <c r="E79" s="3"/>
    </row>
    <row r="80" s="2" customFormat="1" ht="15.75" spans="1:5">
      <c r="A80" s="6"/>
      <c r="B80" s="7"/>
      <c r="C80" s="6"/>
      <c r="D80" s="3"/>
      <c r="E80" s="3"/>
    </row>
    <row r="81" s="2" customFormat="1" ht="15.75" spans="1:5">
      <c r="A81" s="6"/>
      <c r="B81" s="7"/>
      <c r="C81" s="6"/>
      <c r="D81" s="3"/>
      <c r="E81" s="3"/>
    </row>
    <row r="82" s="2" customFormat="1" ht="15.75" spans="1:5">
      <c r="A82" s="6"/>
      <c r="B82" s="7"/>
      <c r="C82" s="6"/>
      <c r="D82" s="3"/>
      <c r="E82" s="3"/>
    </row>
    <row r="83" s="2" customFormat="1" ht="15.75" spans="1:5">
      <c r="A83" s="6"/>
      <c r="B83" s="7"/>
      <c r="C83" s="6"/>
      <c r="D83" s="3"/>
      <c r="E83" s="3"/>
    </row>
    <row r="84" s="2" customFormat="1" ht="15.75" spans="1:5">
      <c r="A84" s="6"/>
      <c r="B84" s="7"/>
      <c r="C84" s="6"/>
      <c r="D84" s="3"/>
      <c r="E84" s="3"/>
    </row>
    <row r="85" s="2" customFormat="1" ht="15.75" spans="1:5">
      <c r="A85" s="6"/>
      <c r="B85" s="7"/>
      <c r="C85" s="6"/>
      <c r="D85" s="3"/>
      <c r="E85" s="3"/>
    </row>
    <row r="86" s="2" customFormat="1" ht="15.75" spans="1:5">
      <c r="A86" s="6"/>
      <c r="B86" s="7"/>
      <c r="C86" s="6"/>
      <c r="D86" s="3"/>
      <c r="E86" s="3"/>
    </row>
    <row r="87" s="2" customFormat="1" ht="15.75" spans="1:5">
      <c r="A87" s="6"/>
      <c r="B87" s="7"/>
      <c r="C87" s="6"/>
      <c r="D87" s="3"/>
      <c r="E87" s="3"/>
    </row>
    <row r="88" s="2" customFormat="1" ht="15.75" spans="1:5">
      <c r="A88" s="6"/>
      <c r="B88" s="7"/>
      <c r="C88" s="6"/>
      <c r="D88" s="3"/>
      <c r="E88" s="3"/>
    </row>
    <row r="89" s="2" customFormat="1" ht="15.75" spans="1:5">
      <c r="A89" s="6"/>
      <c r="B89" s="7"/>
      <c r="C89" s="6"/>
      <c r="D89" s="3"/>
      <c r="E89" s="3"/>
    </row>
    <row r="90" s="2" customFormat="1" ht="15.75" spans="1:5">
      <c r="A90" s="6"/>
      <c r="B90" s="7"/>
      <c r="C90" s="6"/>
      <c r="D90" s="3"/>
      <c r="E90" s="3"/>
    </row>
    <row r="91" s="2" customFormat="1" ht="15.75" spans="1:5">
      <c r="A91" s="6"/>
      <c r="B91" s="7"/>
      <c r="C91" s="6"/>
      <c r="D91" s="3"/>
      <c r="E91" s="3"/>
    </row>
    <row r="92" s="2" customFormat="1" ht="15.75" spans="1:5">
      <c r="A92" s="6"/>
      <c r="B92" s="7"/>
      <c r="C92" s="6"/>
      <c r="D92" s="3"/>
      <c r="E92" s="3"/>
    </row>
    <row r="93" s="2" customFormat="1" ht="15.75" spans="1:5">
      <c r="A93" s="6"/>
      <c r="B93" s="7"/>
      <c r="C93" s="6"/>
      <c r="D93" s="3"/>
      <c r="E93" s="3"/>
    </row>
    <row r="94" s="2" customFormat="1" ht="15.75" spans="1:5">
      <c r="A94" s="6"/>
      <c r="B94" s="7"/>
      <c r="C94" s="6"/>
      <c r="D94" s="3"/>
      <c r="E94" s="3"/>
    </row>
    <row r="95" s="2" customFormat="1" ht="15.75" spans="1:5">
      <c r="A95" s="6"/>
      <c r="B95" s="7"/>
      <c r="C95" s="6"/>
      <c r="D95" s="3"/>
      <c r="E95" s="3"/>
    </row>
    <row r="96" s="2" customFormat="1" ht="15.75" spans="1:5">
      <c r="A96" s="6"/>
      <c r="B96" s="7"/>
      <c r="C96" s="6"/>
      <c r="D96" s="3"/>
      <c r="E96" s="3"/>
    </row>
    <row r="97" s="2" customFormat="1" ht="15.75" spans="1:5">
      <c r="A97" s="6"/>
      <c r="B97" s="7"/>
      <c r="C97" s="6"/>
      <c r="D97" s="3"/>
      <c r="E97" s="3"/>
    </row>
    <row r="98" s="2" customFormat="1" ht="15.75" spans="1:5">
      <c r="A98" s="6"/>
      <c r="B98" s="7"/>
      <c r="C98" s="6"/>
      <c r="D98" s="3"/>
      <c r="E98" s="3"/>
    </row>
    <row r="99" s="2" customFormat="1" ht="15.75" spans="1:5">
      <c r="A99" s="6"/>
      <c r="B99" s="7"/>
      <c r="C99" s="6"/>
      <c r="D99" s="3"/>
      <c r="E99" s="3"/>
    </row>
    <row r="100" s="2" customFormat="1" ht="15.75" spans="1:5">
      <c r="A100" s="6"/>
      <c r="B100" s="7"/>
      <c r="C100" s="6"/>
      <c r="D100" s="3"/>
      <c r="E100" s="3"/>
    </row>
    <row r="101" s="2" customFormat="1" ht="15.75" spans="1:5">
      <c r="A101" s="6"/>
      <c r="B101" s="7"/>
      <c r="C101" s="6"/>
      <c r="D101" s="3"/>
      <c r="E101" s="3"/>
    </row>
    <row r="102" s="2" customFormat="1" ht="15.75" spans="1:5">
      <c r="A102" s="6"/>
      <c r="B102" s="7"/>
      <c r="C102" s="6"/>
      <c r="D102" s="3"/>
      <c r="E102" s="3"/>
    </row>
    <row r="103" s="2" customFormat="1" ht="15.75" spans="1:5">
      <c r="A103" s="6"/>
      <c r="B103" s="7"/>
      <c r="C103" s="6"/>
      <c r="D103" s="3"/>
      <c r="E103" s="3"/>
    </row>
    <row r="104" s="2" customFormat="1" ht="15.75" spans="1:5">
      <c r="A104" s="6"/>
      <c r="B104" s="7"/>
      <c r="C104" s="6"/>
      <c r="D104" s="3"/>
      <c r="E104" s="3"/>
    </row>
    <row r="105" s="2" customFormat="1" ht="15.75" spans="1:5">
      <c r="A105" s="6"/>
      <c r="B105" s="7"/>
      <c r="C105" s="6"/>
      <c r="D105" s="3"/>
      <c r="E105" s="3"/>
    </row>
    <row r="106" s="2" customFormat="1" ht="15.75" spans="1:5">
      <c r="A106" s="6"/>
      <c r="B106" s="7"/>
      <c r="C106" s="6"/>
      <c r="D106" s="3"/>
      <c r="E106" s="3"/>
    </row>
    <row r="107" s="2" customFormat="1" ht="15.75" spans="1:5">
      <c r="A107" s="6"/>
      <c r="B107" s="7"/>
      <c r="C107" s="6"/>
      <c r="D107" s="3"/>
      <c r="E107" s="3"/>
    </row>
    <row r="108" s="2" customFormat="1" ht="15.75" spans="1:5">
      <c r="A108" s="6"/>
      <c r="B108" s="7"/>
      <c r="C108" s="6"/>
      <c r="D108" s="3"/>
      <c r="E108" s="3"/>
    </row>
    <row r="109" s="2" customFormat="1" ht="15.75" spans="1:5">
      <c r="A109" s="6"/>
      <c r="B109" s="7"/>
      <c r="C109" s="6"/>
      <c r="D109" s="3"/>
      <c r="E109" s="3"/>
    </row>
    <row r="110" s="2" customFormat="1" ht="15.75" spans="1:5">
      <c r="A110" s="6"/>
      <c r="B110" s="7"/>
      <c r="C110" s="6"/>
      <c r="D110" s="3"/>
      <c r="E110" s="3"/>
    </row>
    <row r="111" s="2" customFormat="1" ht="15.75" spans="1:5">
      <c r="A111" s="6"/>
      <c r="B111" s="7"/>
      <c r="C111" s="8"/>
      <c r="D111" s="3"/>
      <c r="E111" s="3"/>
    </row>
    <row r="112" s="2" customFormat="1" ht="15.75" spans="1:5">
      <c r="A112" s="6"/>
      <c r="B112" s="7"/>
      <c r="C112" s="8"/>
      <c r="D112" s="3"/>
      <c r="E112" s="3"/>
    </row>
    <row r="113" s="2" customFormat="1" ht="15.75" spans="1:5">
      <c r="A113" s="6"/>
      <c r="B113" s="7"/>
      <c r="C113" s="8"/>
      <c r="D113" s="3"/>
      <c r="E113" s="3"/>
    </row>
    <row r="114" s="2" customFormat="1" ht="15.75" spans="1:5">
      <c r="A114" s="6"/>
      <c r="B114" s="7"/>
      <c r="C114" s="8"/>
      <c r="D114" s="3"/>
      <c r="E114" s="3"/>
    </row>
    <row r="115" s="2" customFormat="1" ht="15.75" spans="1:5">
      <c r="A115" s="6"/>
      <c r="B115" s="7"/>
      <c r="C115" s="8"/>
      <c r="D115" s="3"/>
      <c r="E115" s="3"/>
    </row>
    <row r="116" s="2" customFormat="1" ht="15.75" spans="1:5">
      <c r="A116" s="6"/>
      <c r="B116" s="7"/>
      <c r="C116" s="8"/>
      <c r="D116" s="3"/>
      <c r="E116" s="3"/>
    </row>
    <row r="117" s="2" customFormat="1" ht="15.75" spans="1:5">
      <c r="A117" s="6"/>
      <c r="B117" s="7"/>
      <c r="C117" s="8"/>
      <c r="D117" s="3"/>
      <c r="E117" s="3"/>
    </row>
    <row r="118" s="2" customFormat="1" ht="15.75" spans="1:5">
      <c r="A118" s="6"/>
      <c r="B118" s="7"/>
      <c r="C118" s="8"/>
      <c r="D118" s="3"/>
      <c r="E118" s="3"/>
    </row>
    <row r="119" s="2" customFormat="1" ht="15.75" spans="1:5">
      <c r="A119" s="6"/>
      <c r="B119" s="7"/>
      <c r="C119" s="8"/>
      <c r="D119" s="3"/>
      <c r="E119" s="3"/>
    </row>
    <row r="120" s="2" customFormat="1" ht="15.75" spans="1:5">
      <c r="A120" s="6"/>
      <c r="B120" s="7"/>
      <c r="C120" s="8"/>
      <c r="D120" s="3"/>
      <c r="E120" s="3"/>
    </row>
    <row r="121" s="2" customFormat="1" ht="15.75" spans="1:5">
      <c r="A121" s="6"/>
      <c r="B121" s="7"/>
      <c r="C121" s="8"/>
      <c r="D121" s="3"/>
      <c r="E121" s="3"/>
    </row>
    <row r="122" s="2" customFormat="1" ht="15.75" spans="1:5">
      <c r="A122" s="6"/>
      <c r="B122" s="7"/>
      <c r="C122" s="8"/>
      <c r="D122" s="3"/>
      <c r="E122" s="3"/>
    </row>
    <row r="123" s="2" customFormat="1" ht="15.75" spans="1:5">
      <c r="A123" s="6"/>
      <c r="B123" s="7"/>
      <c r="C123" s="8"/>
      <c r="D123" s="3"/>
      <c r="E123" s="3"/>
    </row>
    <row r="124" s="2" customFormat="1" ht="15.75" spans="1:5">
      <c r="A124" s="6"/>
      <c r="B124" s="7"/>
      <c r="C124" s="8"/>
      <c r="D124" s="3"/>
      <c r="E124" s="3"/>
    </row>
    <row r="125" s="2" customFormat="1" ht="15.75" spans="1:5">
      <c r="A125" s="6"/>
      <c r="B125" s="7"/>
      <c r="C125" s="8"/>
      <c r="D125" s="3"/>
      <c r="E125" s="3"/>
    </row>
    <row r="126" s="2" customFormat="1" ht="15.75" spans="1:5">
      <c r="A126" s="6"/>
      <c r="B126" s="7"/>
      <c r="C126" s="8"/>
      <c r="D126" s="3"/>
      <c r="E126" s="3"/>
    </row>
    <row r="127" s="2" customFormat="1" ht="15.75" spans="1:5">
      <c r="A127" s="6"/>
      <c r="B127" s="7"/>
      <c r="C127" s="8"/>
      <c r="D127" s="3"/>
      <c r="E127" s="3"/>
    </row>
    <row r="128" s="2" customFormat="1" ht="15.75" spans="1:5">
      <c r="A128" s="6"/>
      <c r="B128" s="7"/>
      <c r="C128" s="8"/>
      <c r="D128" s="3"/>
      <c r="E128" s="3"/>
    </row>
    <row r="129" s="2" customFormat="1" ht="15.75" spans="1:5">
      <c r="A129" s="6"/>
      <c r="B129" s="7"/>
      <c r="C129" s="8"/>
      <c r="D129" s="3"/>
      <c r="E129" s="3"/>
    </row>
    <row r="130" s="2" customFormat="1" ht="15.75" spans="1:5">
      <c r="A130" s="6"/>
      <c r="B130" s="7"/>
      <c r="C130" s="8"/>
      <c r="D130" s="3"/>
      <c r="E130" s="3"/>
    </row>
    <row r="131" s="2" customFormat="1" ht="15.75" spans="1:5">
      <c r="A131" s="6"/>
      <c r="B131" s="7"/>
      <c r="C131" s="6"/>
      <c r="D131" s="3"/>
      <c r="E131" s="3"/>
    </row>
    <row r="132" s="2" customFormat="1" ht="15.75" spans="1:5">
      <c r="A132" s="6"/>
      <c r="B132" s="7"/>
      <c r="C132" s="6"/>
      <c r="D132" s="3"/>
      <c r="E132" s="3"/>
    </row>
    <row r="133" s="2" customFormat="1" ht="15.75" spans="1:5">
      <c r="A133" s="6"/>
      <c r="B133" s="7"/>
      <c r="C133" s="6"/>
      <c r="D133" s="3"/>
      <c r="E133" s="3"/>
    </row>
    <row r="134" s="2" customFormat="1" ht="15.75" spans="1:5">
      <c r="A134" s="6"/>
      <c r="B134" s="7"/>
      <c r="C134" s="6"/>
      <c r="D134" s="3"/>
      <c r="E134" s="3"/>
    </row>
    <row r="135" s="2" customFormat="1" ht="15.75" spans="1:5">
      <c r="A135" s="6"/>
      <c r="B135" s="7"/>
      <c r="C135" s="6"/>
      <c r="D135" s="3"/>
      <c r="E135" s="3"/>
    </row>
    <row r="136" s="2" customFormat="1" ht="15.75" spans="1:5">
      <c r="A136" s="6"/>
      <c r="B136" s="7"/>
      <c r="C136" s="6"/>
      <c r="D136" s="3"/>
      <c r="E136" s="3"/>
    </row>
    <row r="137" s="2" customFormat="1" ht="15.75" spans="1:5">
      <c r="A137" s="6"/>
      <c r="B137" s="7"/>
      <c r="C137" s="6"/>
      <c r="D137" s="3"/>
      <c r="E137" s="3"/>
    </row>
    <row r="138" s="2" customFormat="1" ht="15.75" spans="1:5">
      <c r="A138" s="6"/>
      <c r="B138" s="7"/>
      <c r="C138" s="6"/>
      <c r="D138" s="3"/>
      <c r="E138" s="3"/>
    </row>
    <row r="139" s="2" customFormat="1" ht="15.75" spans="1:5">
      <c r="A139" s="6"/>
      <c r="B139" s="7"/>
      <c r="C139" s="6"/>
      <c r="D139" s="3"/>
      <c r="E139" s="3"/>
    </row>
    <row r="140" s="2" customFormat="1" ht="15.75" spans="1:5">
      <c r="A140" s="6"/>
      <c r="B140" s="7"/>
      <c r="C140" s="6"/>
      <c r="D140" s="3"/>
      <c r="E140" s="3"/>
    </row>
    <row r="141" s="2" customFormat="1" ht="15.75" spans="1:5">
      <c r="A141" s="6"/>
      <c r="B141" s="7"/>
      <c r="C141" s="6"/>
      <c r="D141" s="3"/>
      <c r="E141" s="3"/>
    </row>
    <row r="142" s="2" customFormat="1" ht="15.75" spans="1:5">
      <c r="A142" s="6"/>
      <c r="B142" s="7"/>
      <c r="C142" s="6"/>
      <c r="D142" s="3"/>
      <c r="E142" s="3"/>
    </row>
    <row r="143" s="2" customFormat="1" ht="15.75" spans="1:5">
      <c r="A143" s="6"/>
      <c r="B143" s="7"/>
      <c r="C143" s="6"/>
      <c r="D143" s="3"/>
      <c r="E143" s="3"/>
    </row>
    <row r="144" s="2" customFormat="1" ht="15.75" spans="1:5">
      <c r="A144" s="6"/>
      <c r="B144" s="7"/>
      <c r="C144" s="6"/>
      <c r="D144" s="3"/>
      <c r="E144" s="3"/>
    </row>
    <row r="145" s="2" customFormat="1" ht="15.75" spans="1:5">
      <c r="A145" s="6"/>
      <c r="B145" s="7"/>
      <c r="C145" s="6"/>
      <c r="D145" s="3"/>
      <c r="E145" s="3"/>
    </row>
    <row r="146" s="2" customFormat="1" ht="15.75" spans="1:5">
      <c r="A146" s="6"/>
      <c r="B146" s="7"/>
      <c r="C146" s="6"/>
      <c r="D146" s="3"/>
      <c r="E146" s="3"/>
    </row>
    <row r="147" s="2" customFormat="1" ht="15.75" spans="1:5">
      <c r="A147" s="6"/>
      <c r="B147" s="7"/>
      <c r="C147" s="6"/>
      <c r="D147" s="3"/>
      <c r="E147" s="3"/>
    </row>
    <row r="148" s="2" customFormat="1" ht="15.75" spans="1:5">
      <c r="A148" s="6"/>
      <c r="B148" s="7"/>
      <c r="C148" s="6"/>
      <c r="D148" s="3"/>
      <c r="E148" s="3"/>
    </row>
    <row r="149" s="2" customFormat="1" ht="15.75" spans="1:5">
      <c r="A149" s="6"/>
      <c r="B149" s="7"/>
      <c r="C149" s="6"/>
      <c r="D149" s="3"/>
      <c r="E149" s="3"/>
    </row>
    <row r="150" s="2" customFormat="1" ht="15.75" spans="1:5">
      <c r="A150" s="6"/>
      <c r="B150" s="7"/>
      <c r="C150" s="6"/>
      <c r="D150" s="3"/>
      <c r="E150" s="3"/>
    </row>
    <row r="151" s="2" customFormat="1" ht="15.75" spans="1:5">
      <c r="A151" s="6"/>
      <c r="B151" s="7"/>
      <c r="C151" s="6"/>
      <c r="D151" s="3"/>
      <c r="E151" s="3"/>
    </row>
    <row r="152" s="2" customFormat="1" ht="15.75" spans="1:5">
      <c r="A152" s="6"/>
      <c r="B152" s="7"/>
      <c r="C152" s="6"/>
      <c r="D152" s="3"/>
      <c r="E152" s="3"/>
    </row>
    <row r="153" s="2" customFormat="1" ht="15.75" spans="1:5">
      <c r="A153" s="6"/>
      <c r="B153" s="7"/>
      <c r="C153" s="6"/>
      <c r="D153" s="3"/>
      <c r="E153" s="3"/>
    </row>
    <row r="154" s="2" customFormat="1" ht="15.75" spans="1:5">
      <c r="A154" s="6"/>
      <c r="B154" s="7"/>
      <c r="C154" s="6"/>
      <c r="D154" s="3"/>
      <c r="E154" s="3"/>
    </row>
    <row r="155" s="2" customFormat="1" ht="15.75" spans="1:5">
      <c r="A155" s="6"/>
      <c r="B155" s="7"/>
      <c r="C155" s="6"/>
      <c r="D155" s="3"/>
      <c r="E155" s="3"/>
    </row>
    <row r="156" s="2" customFormat="1" ht="15.75" spans="1:5">
      <c r="A156" s="6"/>
      <c r="B156" s="7"/>
      <c r="C156" s="6"/>
      <c r="D156" s="3"/>
      <c r="E156" s="3"/>
    </row>
    <row r="157" s="2" customFormat="1" ht="15.75" spans="1:5">
      <c r="A157" s="6"/>
      <c r="B157" s="7"/>
      <c r="C157" s="6"/>
      <c r="D157" s="3"/>
      <c r="E157" s="3"/>
    </row>
    <row r="158" s="2" customFormat="1" ht="15.75" spans="1:5">
      <c r="A158" s="6"/>
      <c r="B158" s="7"/>
      <c r="C158" s="6"/>
      <c r="D158" s="3"/>
      <c r="E158" s="3"/>
    </row>
    <row r="159" s="2" customFormat="1" ht="15.75" spans="1:5">
      <c r="A159" s="6"/>
      <c r="B159" s="7"/>
      <c r="C159" s="6"/>
      <c r="D159" s="3"/>
      <c r="E159" s="3"/>
    </row>
    <row r="160" s="2" customFormat="1" ht="15.75" spans="1:5">
      <c r="A160" s="6"/>
      <c r="B160" s="7"/>
      <c r="C160" s="6"/>
      <c r="D160" s="3"/>
      <c r="E160" s="3"/>
    </row>
    <row r="161" s="2" customFormat="1" ht="15.75" spans="1:5">
      <c r="A161" s="6"/>
      <c r="B161" s="7"/>
      <c r="C161" s="6"/>
      <c r="D161" s="3"/>
      <c r="E161" s="3"/>
    </row>
    <row r="162" s="2" customFormat="1" ht="15.75" spans="1:5">
      <c r="A162" s="6"/>
      <c r="B162" s="7"/>
      <c r="C162" s="6"/>
      <c r="D162" s="3"/>
      <c r="E162" s="3"/>
    </row>
    <row r="163" s="2" customFormat="1" ht="15.75" spans="1:5">
      <c r="A163" s="6"/>
      <c r="B163" s="7"/>
      <c r="C163" s="6"/>
      <c r="D163" s="3"/>
      <c r="E163" s="3"/>
    </row>
    <row r="164" s="2" customFormat="1" ht="15.75" spans="1:5">
      <c r="A164" s="6"/>
      <c r="B164" s="7"/>
      <c r="C164" s="6"/>
      <c r="D164" s="3"/>
      <c r="E164" s="3"/>
    </row>
    <row r="165" s="2" customFormat="1" ht="15.75" spans="1:5">
      <c r="A165" s="6"/>
      <c r="B165" s="7"/>
      <c r="C165" s="6"/>
      <c r="D165" s="3"/>
      <c r="E165" s="3"/>
    </row>
    <row r="166" s="2" customFormat="1" ht="15.75" spans="1:5">
      <c r="A166" s="6"/>
      <c r="B166" s="7"/>
      <c r="C166" s="6"/>
      <c r="D166" s="3"/>
      <c r="E166" s="3"/>
    </row>
    <row r="167" s="2" customFormat="1" ht="15.75" spans="1:5">
      <c r="A167" s="6"/>
      <c r="B167" s="7"/>
      <c r="C167" s="6"/>
      <c r="D167" s="3"/>
      <c r="E167" s="3"/>
    </row>
    <row r="168" s="2" customFormat="1" ht="15.75" spans="1:5">
      <c r="A168" s="6"/>
      <c r="B168" s="7"/>
      <c r="C168" s="6"/>
      <c r="D168" s="3"/>
      <c r="E168" s="3"/>
    </row>
    <row r="169" s="2" customFormat="1" ht="15.75" spans="1:5">
      <c r="A169" s="6"/>
      <c r="B169" s="7"/>
      <c r="C169" s="6"/>
      <c r="D169" s="3"/>
      <c r="E169" s="3"/>
    </row>
    <row r="170" s="2" customFormat="1" ht="15.75" spans="1:5">
      <c r="A170" s="6"/>
      <c r="B170" s="7"/>
      <c r="C170" s="6"/>
      <c r="D170" s="3"/>
      <c r="E170" s="3"/>
    </row>
    <row r="171" s="2" customFormat="1" ht="15.75" spans="1:5">
      <c r="A171" s="6"/>
      <c r="B171" s="7"/>
      <c r="C171" s="6"/>
      <c r="D171" s="3"/>
      <c r="E171" s="3"/>
    </row>
    <row r="172" s="2" customFormat="1" ht="15.75" spans="1:5">
      <c r="A172" s="6"/>
      <c r="B172" s="7"/>
      <c r="C172" s="6"/>
      <c r="D172" s="3"/>
      <c r="E172" s="3"/>
    </row>
    <row r="173" s="2" customFormat="1" ht="15.75" spans="1:5">
      <c r="A173" s="6"/>
      <c r="B173" s="7"/>
      <c r="C173" s="6"/>
      <c r="D173" s="3"/>
      <c r="E173" s="3"/>
    </row>
    <row r="174" s="2" customFormat="1" ht="15.75" spans="1:5">
      <c r="A174" s="6"/>
      <c r="B174" s="7"/>
      <c r="C174" s="6"/>
      <c r="D174" s="3"/>
      <c r="E174" s="3"/>
    </row>
    <row r="175" s="2" customFormat="1" ht="15.75" spans="1:5">
      <c r="A175" s="6"/>
      <c r="B175" s="7"/>
      <c r="C175" s="6"/>
      <c r="D175" s="3"/>
      <c r="E175" s="3"/>
    </row>
    <row r="176" s="2" customFormat="1" ht="15.75" spans="1:5">
      <c r="A176" s="6"/>
      <c r="B176" s="7"/>
      <c r="C176" s="6"/>
      <c r="D176" s="3"/>
      <c r="E176" s="3"/>
    </row>
    <row r="177" s="2" customFormat="1" ht="15.75" spans="1:5">
      <c r="A177" s="6"/>
      <c r="B177" s="7"/>
      <c r="C177" s="6"/>
      <c r="D177" s="3"/>
      <c r="E177" s="3"/>
    </row>
    <row r="178" s="2" customFormat="1" ht="15.75" spans="1:5">
      <c r="A178" s="6"/>
      <c r="B178" s="7"/>
      <c r="C178" s="6"/>
      <c r="D178" s="3"/>
      <c r="E178" s="3"/>
    </row>
    <row r="179" s="2" customFormat="1" ht="15.75" spans="1:5">
      <c r="A179" s="6"/>
      <c r="B179" s="7"/>
      <c r="C179" s="6"/>
      <c r="D179" s="3"/>
      <c r="E179" s="3"/>
    </row>
    <row r="180" s="2" customFormat="1" ht="15.75" spans="1:5">
      <c r="A180" s="6"/>
      <c r="B180" s="7"/>
      <c r="C180" s="6"/>
      <c r="D180" s="3"/>
      <c r="E180" s="3"/>
    </row>
    <row r="181" s="2" customFormat="1" ht="15.75" spans="1:5">
      <c r="A181" s="6"/>
      <c r="B181" s="7"/>
      <c r="C181" s="6"/>
      <c r="D181" s="3"/>
      <c r="E181" s="3"/>
    </row>
    <row r="182" s="2" customFormat="1" ht="15.75" spans="1:5">
      <c r="A182" s="6"/>
      <c r="B182" s="7"/>
      <c r="C182" s="6"/>
      <c r="D182" s="3"/>
      <c r="E182" s="3"/>
    </row>
    <row r="183" s="2" customFormat="1" ht="15.75" spans="1:5">
      <c r="A183" s="6"/>
      <c r="B183" s="7"/>
      <c r="C183" s="6"/>
      <c r="D183" s="3"/>
      <c r="E183" s="3"/>
    </row>
    <row r="184" s="2" customFormat="1" ht="15.75" spans="1:5">
      <c r="A184" s="6"/>
      <c r="B184" s="7"/>
      <c r="C184" s="6"/>
      <c r="D184" s="3"/>
      <c r="E184" s="3"/>
    </row>
    <row r="185" s="2" customFormat="1" ht="15.75" spans="1:5">
      <c r="A185" s="6"/>
      <c r="B185" s="7"/>
      <c r="C185" s="6"/>
      <c r="D185" s="3"/>
      <c r="E185" s="3"/>
    </row>
    <row r="186" s="2" customFormat="1" ht="15.75" spans="1:5">
      <c r="A186" s="6"/>
      <c r="B186" s="7"/>
      <c r="C186" s="6"/>
      <c r="D186" s="3"/>
      <c r="E186" s="3"/>
    </row>
    <row r="187" s="2" customFormat="1" ht="15.75" spans="1:5">
      <c r="A187" s="6"/>
      <c r="B187" s="7"/>
      <c r="C187" s="6"/>
      <c r="D187" s="3"/>
      <c r="E187" s="3"/>
    </row>
    <row r="188" s="2" customFormat="1" ht="15.75" spans="1:5">
      <c r="A188" s="6"/>
      <c r="B188" s="7"/>
      <c r="C188" s="6"/>
      <c r="D188" s="3"/>
      <c r="E188" s="3"/>
    </row>
    <row r="189" s="2" customFormat="1" ht="15.75" spans="1:5">
      <c r="A189" s="6"/>
      <c r="B189" s="7"/>
      <c r="C189" s="6"/>
      <c r="D189" s="3"/>
      <c r="E189" s="3"/>
    </row>
    <row r="190" s="2" customFormat="1" ht="15.75" spans="1:5">
      <c r="A190" s="6"/>
      <c r="B190" s="7"/>
      <c r="C190" s="6"/>
      <c r="D190" s="3"/>
      <c r="E190" s="3"/>
    </row>
    <row r="191" s="2" customFormat="1" ht="15.75" spans="1:5">
      <c r="A191" s="6"/>
      <c r="B191" s="7"/>
      <c r="C191" s="6"/>
      <c r="D191" s="3"/>
      <c r="E191" s="3"/>
    </row>
    <row r="192" s="2" customFormat="1" ht="15.75" spans="1:5">
      <c r="A192" s="6"/>
      <c r="B192" s="7"/>
      <c r="C192" s="6"/>
      <c r="D192" s="3"/>
      <c r="E192" s="3"/>
    </row>
    <row r="193" s="2" customFormat="1" ht="15.75" spans="1:5">
      <c r="A193" s="6"/>
      <c r="B193" s="7"/>
      <c r="C193" s="6"/>
      <c r="D193" s="3"/>
      <c r="E193" s="3"/>
    </row>
    <row r="194" s="2" customFormat="1" ht="15.75" spans="1:5">
      <c r="A194" s="6"/>
      <c r="B194" s="7"/>
      <c r="C194" s="6"/>
      <c r="D194" s="3"/>
      <c r="E194" s="3"/>
    </row>
    <row r="195" s="2" customFormat="1" ht="15.75" spans="1:5">
      <c r="A195" s="6"/>
      <c r="B195" s="7"/>
      <c r="C195" s="6"/>
      <c r="D195" s="3"/>
      <c r="E195" s="3"/>
    </row>
    <row r="196" s="2" customFormat="1" ht="15.75" spans="1:5">
      <c r="A196" s="6"/>
      <c r="B196" s="7"/>
      <c r="C196" s="6"/>
      <c r="D196" s="3"/>
      <c r="E196" s="3"/>
    </row>
    <row r="197" s="2" customFormat="1" ht="15.75" spans="1:5">
      <c r="A197" s="6"/>
      <c r="B197" s="7"/>
      <c r="C197" s="6"/>
      <c r="D197" s="3"/>
      <c r="E197" s="3"/>
    </row>
    <row r="198" s="2" customFormat="1" ht="15.75" spans="1:5">
      <c r="A198" s="6"/>
      <c r="B198" s="7"/>
      <c r="C198" s="6"/>
      <c r="D198" s="3"/>
      <c r="E198" s="3"/>
    </row>
    <row r="199" s="2" customFormat="1" ht="15.75" spans="1:5">
      <c r="A199" s="6"/>
      <c r="B199" s="7"/>
      <c r="C199" s="6"/>
      <c r="D199" s="3"/>
      <c r="E199" s="3"/>
    </row>
    <row r="200" s="2" customFormat="1" ht="15.75" spans="1:5">
      <c r="A200" s="6"/>
      <c r="B200" s="7"/>
      <c r="C200" s="6"/>
      <c r="D200" s="3"/>
      <c r="E200" s="3"/>
    </row>
    <row r="201" s="2" customFormat="1" ht="15.75" spans="1:5">
      <c r="A201" s="6"/>
      <c r="B201" s="7"/>
      <c r="C201" s="6"/>
      <c r="D201" s="3"/>
      <c r="E201" s="3"/>
    </row>
    <row r="202" s="2" customFormat="1" ht="15.75" spans="1:5">
      <c r="A202" s="6"/>
      <c r="B202" s="7"/>
      <c r="C202" s="6"/>
      <c r="D202" s="3"/>
      <c r="E202" s="3"/>
    </row>
    <row r="203" s="2" customFormat="1" ht="15.75" spans="1:5">
      <c r="A203" s="6"/>
      <c r="B203" s="7"/>
      <c r="C203" s="6"/>
      <c r="D203" s="3"/>
      <c r="E203" s="3"/>
    </row>
    <row r="204" s="2" customFormat="1" ht="15.75" spans="1:5">
      <c r="A204" s="6"/>
      <c r="B204" s="7"/>
      <c r="C204" s="6"/>
      <c r="D204" s="3"/>
      <c r="E204" s="3"/>
    </row>
    <row r="205" s="2" customFormat="1" ht="15.75" spans="1:5">
      <c r="A205" s="6"/>
      <c r="B205" s="7"/>
      <c r="C205" s="6"/>
      <c r="D205" s="3"/>
      <c r="E205" s="3"/>
    </row>
    <row r="206" s="2" customFormat="1" ht="15.75" spans="1:5">
      <c r="A206" s="6"/>
      <c r="B206" s="7"/>
      <c r="C206" s="6"/>
      <c r="D206" s="3"/>
      <c r="E206" s="3"/>
    </row>
    <row r="207" s="2" customFormat="1" ht="15.75" spans="1:5">
      <c r="A207" s="6"/>
      <c r="B207" s="7"/>
      <c r="C207" s="6"/>
      <c r="D207" s="3"/>
      <c r="E207" s="3"/>
    </row>
    <row r="208" s="2" customFormat="1" ht="15.75" spans="1:5">
      <c r="A208" s="6"/>
      <c r="B208" s="7"/>
      <c r="C208" s="6"/>
      <c r="D208" s="3"/>
      <c r="E208" s="3"/>
    </row>
    <row r="209" s="2" customFormat="1" ht="15.75" spans="1:5">
      <c r="A209" s="6"/>
      <c r="B209" s="7"/>
      <c r="C209" s="6"/>
      <c r="D209" s="3"/>
      <c r="E209" s="3"/>
    </row>
    <row r="210" s="2" customFormat="1" ht="15.75" spans="1:5">
      <c r="A210" s="6"/>
      <c r="B210" s="7"/>
      <c r="C210" s="6"/>
      <c r="D210" s="3"/>
      <c r="E210" s="3"/>
    </row>
    <row r="211" s="2" customFormat="1" ht="15.75" spans="1:5">
      <c r="A211" s="6"/>
      <c r="B211" s="7"/>
      <c r="C211" s="6"/>
      <c r="D211" s="3"/>
      <c r="E211" s="3"/>
    </row>
    <row r="212" s="2" customFormat="1" ht="15.75" spans="1:5">
      <c r="A212" s="6"/>
      <c r="B212" s="7"/>
      <c r="C212" s="6"/>
      <c r="D212" s="3"/>
      <c r="E212" s="3"/>
    </row>
    <row r="213" s="2" customFormat="1" ht="15.75" spans="1:5">
      <c r="A213" s="6"/>
      <c r="B213" s="7"/>
      <c r="C213" s="6"/>
      <c r="D213" s="3"/>
      <c r="E213" s="3"/>
    </row>
    <row r="214" s="2" customFormat="1" ht="15.75" spans="1:5">
      <c r="A214" s="6"/>
      <c r="B214" s="7"/>
      <c r="C214" s="6"/>
      <c r="D214" s="3"/>
      <c r="E214" s="3"/>
    </row>
    <row r="215" s="2" customFormat="1" ht="15.75" spans="1:5">
      <c r="A215" s="6"/>
      <c r="B215" s="7"/>
      <c r="C215" s="6"/>
      <c r="D215" s="3"/>
      <c r="E215" s="3"/>
    </row>
    <row r="216" s="2" customFormat="1" ht="15.75" spans="1:5">
      <c r="A216" s="6"/>
      <c r="B216" s="7"/>
      <c r="C216" s="6"/>
      <c r="D216" s="3"/>
      <c r="E216" s="3"/>
    </row>
    <row r="217" s="2" customFormat="1" ht="15.75" spans="1:5">
      <c r="A217" s="6"/>
      <c r="B217" s="7"/>
      <c r="C217" s="6"/>
      <c r="D217" s="3"/>
      <c r="E217" s="3"/>
    </row>
    <row r="218" s="2" customFormat="1" ht="15.75" spans="1:5">
      <c r="A218" s="6"/>
      <c r="B218" s="7"/>
      <c r="C218" s="6"/>
      <c r="D218" s="3"/>
      <c r="E218" s="3"/>
    </row>
    <row r="219" s="2" customFormat="1" ht="15.75" spans="1:5">
      <c r="A219" s="6"/>
      <c r="B219" s="7"/>
      <c r="C219" s="6"/>
      <c r="D219" s="3"/>
      <c r="E219" s="3"/>
    </row>
    <row r="220" s="2" customFormat="1" ht="15.75" spans="1:5">
      <c r="A220" s="6"/>
      <c r="B220" s="7"/>
      <c r="C220" s="6"/>
      <c r="D220" s="3"/>
      <c r="E220" s="3"/>
    </row>
    <row r="221" s="2" customFormat="1" ht="15.75" spans="1:5">
      <c r="A221" s="6"/>
      <c r="B221" s="7"/>
      <c r="C221" s="6"/>
      <c r="D221" s="3"/>
      <c r="E221" s="3"/>
    </row>
    <row r="222" s="2" customFormat="1" ht="15.75" spans="1:5">
      <c r="A222" s="6"/>
      <c r="B222" s="7"/>
      <c r="C222" s="6"/>
      <c r="D222" s="3"/>
      <c r="E222" s="3"/>
    </row>
    <row r="223" s="2" customFormat="1" ht="15.75" spans="1:5">
      <c r="A223" s="6"/>
      <c r="B223" s="7"/>
      <c r="C223" s="6"/>
      <c r="D223" s="3"/>
      <c r="E223" s="3"/>
    </row>
    <row r="224" s="2" customFormat="1" ht="15.75" spans="1:5">
      <c r="A224" s="6"/>
      <c r="B224" s="7"/>
      <c r="C224" s="6"/>
      <c r="D224" s="3"/>
      <c r="E224" s="3"/>
    </row>
    <row r="225" s="2" customFormat="1" ht="15.75" spans="1:5">
      <c r="A225" s="6"/>
      <c r="B225" s="7"/>
      <c r="C225" s="6"/>
      <c r="D225" s="3"/>
      <c r="E225" s="3"/>
    </row>
    <row r="226" s="2" customFormat="1" ht="15.75" spans="1:5">
      <c r="A226" s="6"/>
      <c r="B226" s="7"/>
      <c r="C226" s="6"/>
      <c r="D226" s="3"/>
      <c r="E226" s="3"/>
    </row>
    <row r="227" s="2" customFormat="1" ht="15.75" spans="1:5">
      <c r="A227" s="6"/>
      <c r="B227" s="7"/>
      <c r="C227" s="6"/>
      <c r="D227" s="3"/>
      <c r="E227" s="3"/>
    </row>
    <row r="228" s="2" customFormat="1" ht="15.75" spans="1:5">
      <c r="A228" s="6"/>
      <c r="B228" s="7"/>
      <c r="C228" s="6"/>
      <c r="D228" s="3"/>
      <c r="E228" s="3"/>
    </row>
    <row r="229" s="2" customFormat="1" ht="15.75" spans="1:5">
      <c r="A229" s="6"/>
      <c r="B229" s="7"/>
      <c r="C229" s="6"/>
      <c r="D229" s="3"/>
      <c r="E229" s="3"/>
    </row>
    <row r="230" s="2" customFormat="1" ht="15.75" spans="1:5">
      <c r="A230" s="6"/>
      <c r="B230" s="7"/>
      <c r="C230" s="6"/>
      <c r="D230" s="3"/>
      <c r="E230" s="3"/>
    </row>
    <row r="231" s="2" customFormat="1" ht="15.75" spans="1:5">
      <c r="A231" s="6"/>
      <c r="B231" s="7"/>
      <c r="C231" s="6"/>
      <c r="D231" s="3"/>
      <c r="E231" s="3"/>
    </row>
    <row r="232" s="2" customFormat="1" ht="15.75" spans="1:5">
      <c r="A232" s="6"/>
      <c r="B232" s="7"/>
      <c r="C232" s="6"/>
      <c r="D232" s="3"/>
      <c r="E232" s="3"/>
    </row>
    <row r="233" s="2" customFormat="1" ht="15.75" spans="1:5">
      <c r="A233" s="6"/>
      <c r="B233" s="7"/>
      <c r="C233" s="6"/>
      <c r="D233" s="3"/>
      <c r="E233" s="3"/>
    </row>
    <row r="234" s="2" customFormat="1" ht="15.75" spans="1:5">
      <c r="A234" s="6"/>
      <c r="B234" s="7"/>
      <c r="C234" s="6"/>
      <c r="D234" s="3"/>
      <c r="E234" s="3"/>
    </row>
    <row r="235" s="2" customFormat="1" ht="15.75" spans="1:5">
      <c r="A235" s="6"/>
      <c r="B235" s="7"/>
      <c r="C235" s="6"/>
      <c r="D235" s="3"/>
      <c r="E235" s="3"/>
    </row>
    <row r="236" s="2" customFormat="1" ht="15.75" spans="1:5">
      <c r="A236" s="6"/>
      <c r="B236" s="7"/>
      <c r="C236" s="6"/>
      <c r="D236" s="3"/>
      <c r="E236" s="3"/>
    </row>
    <row r="237" s="2" customFormat="1" ht="15.75" spans="1:5">
      <c r="A237" s="6"/>
      <c r="B237" s="7"/>
      <c r="C237" s="6"/>
      <c r="D237" s="3"/>
      <c r="E237" s="3"/>
    </row>
    <row r="238" s="2" customFormat="1" ht="15.75" spans="1:5">
      <c r="A238" s="6"/>
      <c r="B238" s="7"/>
      <c r="C238" s="6"/>
      <c r="D238" s="3"/>
      <c r="E238" s="3"/>
    </row>
    <row r="239" s="2" customFormat="1" ht="15.75" spans="1:5">
      <c r="A239" s="6"/>
      <c r="B239" s="7"/>
      <c r="C239" s="6"/>
      <c r="D239" s="3"/>
      <c r="E239" s="3"/>
    </row>
    <row r="240" s="2" customFormat="1" ht="15.75" spans="1:5">
      <c r="A240" s="6"/>
      <c r="B240" s="7"/>
      <c r="C240" s="6"/>
      <c r="D240" s="3"/>
      <c r="E240" s="3"/>
    </row>
    <row r="241" s="2" customFormat="1" ht="15.75" spans="1:5">
      <c r="A241" s="6"/>
      <c r="B241" s="7"/>
      <c r="C241" s="6"/>
      <c r="D241" s="3"/>
      <c r="E241" s="3"/>
    </row>
    <row r="242" s="2" customFormat="1" ht="15.75" spans="1:5">
      <c r="A242" s="6"/>
      <c r="B242" s="7"/>
      <c r="C242" s="6"/>
      <c r="D242" s="3"/>
      <c r="E242" s="3"/>
    </row>
    <row r="243" s="2" customFormat="1" ht="15.75" spans="1:5">
      <c r="A243" s="6"/>
      <c r="B243" s="7"/>
      <c r="C243" s="6"/>
      <c r="D243" s="3"/>
      <c r="E243" s="3"/>
    </row>
    <row r="244" s="2" customFormat="1" ht="15.75" spans="1:5">
      <c r="A244" s="6"/>
      <c r="B244" s="7"/>
      <c r="C244" s="6"/>
      <c r="D244" s="3"/>
      <c r="E244" s="3"/>
    </row>
    <row r="245" s="2" customFormat="1" ht="15.75" spans="1:5">
      <c r="A245" s="6"/>
      <c r="B245" s="7"/>
      <c r="C245" s="6"/>
      <c r="D245" s="3"/>
      <c r="E245" s="3"/>
    </row>
    <row r="246" s="2" customFormat="1" ht="15.75" spans="1:5">
      <c r="A246" s="6"/>
      <c r="B246" s="7"/>
      <c r="C246" s="6"/>
      <c r="D246" s="3"/>
      <c r="E246" s="3"/>
    </row>
    <row r="247" s="2" customFormat="1" ht="15.75" spans="1:5">
      <c r="A247" s="6"/>
      <c r="B247" s="7"/>
      <c r="C247" s="6"/>
      <c r="D247" s="3"/>
      <c r="E247" s="3"/>
    </row>
    <row r="248" s="2" customFormat="1" ht="15.75" spans="1:5">
      <c r="A248" s="6"/>
      <c r="B248" s="7"/>
      <c r="C248" s="6"/>
      <c r="D248" s="3"/>
      <c r="E248" s="3"/>
    </row>
    <row r="249" s="2" customFormat="1" ht="15.75" spans="1:5">
      <c r="A249" s="6"/>
      <c r="B249" s="7"/>
      <c r="C249" s="6"/>
      <c r="D249" s="3"/>
      <c r="E249" s="3"/>
    </row>
    <row r="250" s="2" customFormat="1" ht="15.75" spans="1:5">
      <c r="A250" s="6"/>
      <c r="B250" s="7"/>
      <c r="C250" s="6"/>
      <c r="D250" s="3"/>
      <c r="E250" s="3"/>
    </row>
    <row r="251" s="2" customFormat="1" ht="15.75" spans="1:5">
      <c r="A251" s="6"/>
      <c r="B251" s="7"/>
      <c r="C251" s="6"/>
      <c r="D251" s="3"/>
      <c r="E251" s="3"/>
    </row>
    <row r="252" s="2" customFormat="1" ht="15.75" spans="1:5">
      <c r="A252" s="6"/>
      <c r="B252" s="7"/>
      <c r="C252" s="6"/>
      <c r="D252" s="3"/>
      <c r="E252" s="3"/>
    </row>
    <row r="253" s="2" customFormat="1" ht="15.75" spans="1:5">
      <c r="A253" s="6"/>
      <c r="B253" s="7"/>
      <c r="C253" s="6"/>
      <c r="D253" s="3"/>
      <c r="E253" s="3"/>
    </row>
    <row r="254" s="2" customFormat="1" ht="15.75" spans="1:5">
      <c r="A254" s="6"/>
      <c r="B254" s="7"/>
      <c r="C254" s="6"/>
      <c r="D254" s="3"/>
      <c r="E254" s="3"/>
    </row>
    <row r="255" s="2" customFormat="1" ht="15.75" spans="1:5">
      <c r="A255" s="6"/>
      <c r="B255" s="7"/>
      <c r="C255" s="6"/>
      <c r="D255" s="3"/>
      <c r="E255" s="3"/>
    </row>
    <row r="256" s="2" customFormat="1" ht="15.75" spans="1:5">
      <c r="A256" s="6"/>
      <c r="B256" s="7"/>
      <c r="C256" s="6"/>
      <c r="D256" s="3"/>
      <c r="E256" s="3"/>
    </row>
    <row r="257" s="2" customFormat="1" ht="15.75" spans="1:5">
      <c r="A257" s="6"/>
      <c r="B257" s="7"/>
      <c r="C257" s="6"/>
      <c r="D257" s="3"/>
      <c r="E257" s="3"/>
    </row>
    <row r="258" s="2" customFormat="1" ht="15.75" spans="1:5">
      <c r="A258" s="6"/>
      <c r="B258" s="7"/>
      <c r="C258" s="6"/>
      <c r="D258" s="3"/>
      <c r="E258" s="3"/>
    </row>
    <row r="259" s="2" customFormat="1" ht="15.75" spans="1:5">
      <c r="A259" s="6"/>
      <c r="B259" s="7"/>
      <c r="C259" s="6"/>
      <c r="D259" s="3"/>
      <c r="E259" s="3"/>
    </row>
    <row r="260" s="2" customFormat="1" ht="15.75" spans="1:5">
      <c r="A260" s="6"/>
      <c r="B260" s="7"/>
      <c r="C260" s="6"/>
      <c r="D260" s="3"/>
      <c r="E260" s="3"/>
    </row>
    <row r="261" s="2" customFormat="1" ht="15.75" spans="1:5">
      <c r="A261" s="6"/>
      <c r="B261" s="7"/>
      <c r="C261" s="6"/>
      <c r="D261" s="3"/>
      <c r="E261" s="3"/>
    </row>
    <row r="262" s="2" customFormat="1" ht="15.75" spans="1:5">
      <c r="A262" s="6"/>
      <c r="B262" s="7"/>
      <c r="C262" s="6"/>
      <c r="D262" s="3"/>
      <c r="E262" s="3"/>
    </row>
    <row r="263" s="2" customFormat="1" ht="15.75" spans="1:5">
      <c r="A263" s="6"/>
      <c r="B263" s="7"/>
      <c r="C263" s="6"/>
      <c r="D263" s="3"/>
      <c r="E263" s="3"/>
    </row>
    <row r="264" s="2" customFormat="1" ht="15.75" spans="1:5">
      <c r="A264" s="6"/>
      <c r="B264" s="7"/>
      <c r="C264" s="6"/>
      <c r="D264" s="3"/>
      <c r="E264" s="3"/>
    </row>
    <row r="265" s="2" customFormat="1" ht="15.75" spans="1:5">
      <c r="A265" s="6"/>
      <c r="B265" s="7"/>
      <c r="C265" s="6"/>
      <c r="D265" s="3"/>
      <c r="E265" s="3"/>
    </row>
    <row r="266" s="2" customFormat="1" ht="15.75" spans="1:5">
      <c r="A266" s="6"/>
      <c r="B266" s="7"/>
      <c r="C266" s="8"/>
      <c r="D266" s="3"/>
      <c r="E266" s="3"/>
    </row>
    <row r="267" s="2" customFormat="1" ht="15.75" spans="1:5">
      <c r="A267" s="6"/>
      <c r="B267" s="7"/>
      <c r="C267" s="6"/>
      <c r="D267" s="3"/>
      <c r="E267" s="3"/>
    </row>
    <row r="268" s="2" customFormat="1" ht="15.75" spans="1:5">
      <c r="A268" s="6"/>
      <c r="B268" s="7"/>
      <c r="C268" s="6"/>
      <c r="D268" s="3"/>
      <c r="E268" s="3"/>
    </row>
    <row r="269" s="2" customFormat="1" ht="15.75" spans="1:5">
      <c r="A269" s="6"/>
      <c r="B269" s="7"/>
      <c r="C269" s="6"/>
      <c r="D269" s="3"/>
      <c r="E269" s="3"/>
    </row>
    <row r="270" s="2" customFormat="1" ht="15.75" spans="1:5">
      <c r="A270" s="6"/>
      <c r="B270" s="7"/>
      <c r="C270" s="6"/>
      <c r="D270" s="3"/>
      <c r="E270" s="3"/>
    </row>
    <row r="271" s="2" customFormat="1" ht="15.75" spans="1:5">
      <c r="A271" s="6"/>
      <c r="B271" s="7"/>
      <c r="C271" s="6"/>
      <c r="D271" s="3"/>
      <c r="E271" s="3"/>
    </row>
    <row r="272" s="2" customFormat="1" ht="15.75" spans="1:5">
      <c r="A272" s="6"/>
      <c r="B272" s="7"/>
      <c r="C272" s="6"/>
      <c r="D272" s="3"/>
      <c r="E272" s="3"/>
    </row>
    <row r="273" s="2" customFormat="1" ht="15.75" spans="1:5">
      <c r="A273" s="6"/>
      <c r="B273" s="7"/>
      <c r="C273" s="6"/>
      <c r="D273" s="3"/>
      <c r="E273" s="3"/>
    </row>
    <row r="274" s="2" customFormat="1" ht="15.75" spans="1:5">
      <c r="A274" s="6"/>
      <c r="B274" s="7"/>
      <c r="C274" s="6"/>
      <c r="D274" s="3"/>
      <c r="E274" s="3"/>
    </row>
    <row r="275" s="2" customFormat="1" ht="15.75" spans="1:5">
      <c r="A275" s="6"/>
      <c r="B275" s="7"/>
      <c r="C275" s="6"/>
      <c r="D275" s="3"/>
      <c r="E275" s="3"/>
    </row>
    <row r="276" s="2" customFormat="1" ht="15.75" spans="1:5">
      <c r="A276" s="6"/>
      <c r="B276" s="7"/>
      <c r="C276" s="6"/>
      <c r="D276" s="3"/>
      <c r="E276" s="3"/>
    </row>
    <row r="277" s="2" customFormat="1" ht="15.75" spans="1:5">
      <c r="A277" s="6"/>
      <c r="B277" s="7"/>
      <c r="C277" s="6"/>
      <c r="D277" s="3"/>
      <c r="E277" s="3"/>
    </row>
    <row r="278" s="2" customFormat="1" ht="15.75" spans="1:5">
      <c r="A278" s="6"/>
      <c r="B278" s="7"/>
      <c r="C278" s="6"/>
      <c r="D278" s="3"/>
      <c r="E278" s="3"/>
    </row>
    <row r="279" s="2" customFormat="1" ht="15.75" spans="1:5">
      <c r="A279" s="6"/>
      <c r="B279" s="7"/>
      <c r="C279" s="6"/>
      <c r="D279" s="3"/>
      <c r="E279" s="3"/>
    </row>
    <row r="280" s="2" customFormat="1" ht="15.75" spans="1:5">
      <c r="A280" s="6"/>
      <c r="B280" s="7"/>
      <c r="C280" s="6"/>
      <c r="D280" s="3"/>
      <c r="E280" s="3"/>
    </row>
    <row r="281" s="2" customFormat="1" ht="15.75" spans="1:5">
      <c r="A281" s="6"/>
      <c r="B281" s="7"/>
      <c r="C281" s="6"/>
      <c r="D281" s="3"/>
      <c r="E281" s="3"/>
    </row>
    <row r="282" s="2" customFormat="1" ht="15.75" spans="1:5">
      <c r="A282" s="6"/>
      <c r="B282" s="7"/>
      <c r="C282" s="6"/>
      <c r="D282" s="3"/>
      <c r="E282" s="3"/>
    </row>
    <row r="283" s="2" customFormat="1" ht="15.75" spans="1:5">
      <c r="A283" s="6"/>
      <c r="B283" s="7"/>
      <c r="C283" s="6"/>
      <c r="D283" s="3"/>
      <c r="E283" s="3"/>
    </row>
    <row r="284" s="2" customFormat="1" ht="15.75" spans="1:5">
      <c r="A284" s="6"/>
      <c r="B284" s="7"/>
      <c r="C284" s="6"/>
      <c r="D284" s="3"/>
      <c r="E284" s="3"/>
    </row>
    <row r="285" s="2" customFormat="1" ht="15.75" spans="1:5">
      <c r="A285" s="6"/>
      <c r="B285" s="7"/>
      <c r="C285" s="6"/>
      <c r="D285" s="3"/>
      <c r="E285" s="3"/>
    </row>
    <row r="286" s="2" customFormat="1" ht="15.75" spans="1:5">
      <c r="A286" s="6"/>
      <c r="B286" s="7"/>
      <c r="C286" s="6"/>
      <c r="D286" s="3"/>
      <c r="E286" s="3"/>
    </row>
    <row r="287" s="2" customFormat="1" ht="15.75" spans="1:5">
      <c r="A287" s="6"/>
      <c r="B287" s="7"/>
      <c r="C287" s="6"/>
      <c r="D287" s="3"/>
      <c r="E287" s="3"/>
    </row>
    <row r="288" s="2" customFormat="1" ht="15.75" spans="1:5">
      <c r="A288" s="6"/>
      <c r="B288" s="7"/>
      <c r="C288" s="6"/>
      <c r="D288" s="3"/>
      <c r="E288" s="3"/>
    </row>
    <row r="289" s="2" customFormat="1" ht="15.75" spans="1:5">
      <c r="A289" s="6"/>
      <c r="B289" s="7"/>
      <c r="C289" s="6"/>
      <c r="D289" s="3"/>
      <c r="E289" s="3"/>
    </row>
    <row r="290" s="2" customFormat="1" ht="15.75" spans="1:5">
      <c r="A290" s="6"/>
      <c r="B290" s="7"/>
      <c r="C290" s="6"/>
      <c r="D290" s="3"/>
      <c r="E290" s="3"/>
    </row>
    <row r="291" s="2" customFormat="1" ht="15.75" spans="1:5">
      <c r="A291" s="6"/>
      <c r="B291" s="7"/>
      <c r="C291" s="6"/>
      <c r="D291" s="3"/>
      <c r="E291" s="3"/>
    </row>
    <row r="292" s="2" customFormat="1" ht="15.75" spans="1:5">
      <c r="A292" s="6"/>
      <c r="B292" s="7"/>
      <c r="C292" s="6"/>
      <c r="D292" s="3"/>
      <c r="E292" s="3"/>
    </row>
    <row r="293" s="2" customFormat="1" ht="15.75" spans="1:5">
      <c r="A293" s="6"/>
      <c r="B293" s="7"/>
      <c r="C293" s="6"/>
      <c r="D293" s="3"/>
      <c r="E293" s="3"/>
    </row>
    <row r="294" s="2" customFormat="1" ht="15.75" spans="1:5">
      <c r="A294" s="6"/>
      <c r="B294" s="7"/>
      <c r="C294" s="6"/>
      <c r="D294" s="3"/>
      <c r="E294" s="3"/>
    </row>
    <row r="295" s="2" customFormat="1" ht="15.75" spans="1:5">
      <c r="A295" s="6"/>
      <c r="B295" s="7"/>
      <c r="C295" s="6"/>
      <c r="D295" s="3"/>
      <c r="E295" s="3"/>
    </row>
    <row r="296" s="2" customFormat="1" ht="15.75" spans="1:5">
      <c r="A296" s="6"/>
      <c r="B296" s="7"/>
      <c r="C296" s="6"/>
      <c r="D296" s="3"/>
      <c r="E296" s="3"/>
    </row>
    <row r="297" s="2" customFormat="1" ht="15.75" spans="1:5">
      <c r="A297" s="6"/>
      <c r="B297" s="7"/>
      <c r="C297" s="6"/>
      <c r="D297" s="3"/>
      <c r="E297" s="3"/>
    </row>
    <row r="298" s="2" customFormat="1" ht="15.75" spans="1:5">
      <c r="A298" s="6"/>
      <c r="B298" s="7"/>
      <c r="C298" s="6"/>
      <c r="D298" s="3"/>
      <c r="E298" s="3"/>
    </row>
    <row r="299" s="2" customFormat="1" ht="15.75" spans="1:5">
      <c r="A299" s="6"/>
      <c r="B299" s="7"/>
      <c r="C299" s="6"/>
      <c r="D299" s="3"/>
      <c r="E299" s="3"/>
    </row>
    <row r="300" s="2" customFormat="1" ht="15.75" spans="1:5">
      <c r="A300" s="6"/>
      <c r="B300" s="7"/>
      <c r="C300" s="6"/>
      <c r="D300" s="3"/>
      <c r="E300" s="3"/>
    </row>
    <row r="301" s="2" customFormat="1" ht="15.75" spans="1:5">
      <c r="A301" s="6"/>
      <c r="B301" s="7"/>
      <c r="C301" s="6"/>
      <c r="D301" s="3"/>
      <c r="E301" s="3"/>
    </row>
    <row r="302" s="2" customFormat="1" ht="15.75" spans="1:5">
      <c r="A302" s="6"/>
      <c r="B302" s="7"/>
      <c r="C302" s="6"/>
      <c r="D302" s="3"/>
      <c r="E302" s="3"/>
    </row>
    <row r="303" s="2" customFormat="1" ht="15.75" spans="1:5">
      <c r="A303" s="6"/>
      <c r="B303" s="7"/>
      <c r="C303" s="6"/>
      <c r="D303" s="3"/>
      <c r="E303" s="3"/>
    </row>
    <row r="304" s="2" customFormat="1" ht="15.75" spans="1:5">
      <c r="A304" s="6"/>
      <c r="B304" s="7"/>
      <c r="C304" s="6"/>
      <c r="D304" s="3"/>
      <c r="E304" s="3"/>
    </row>
    <row r="305" s="2" customFormat="1" ht="15.75" spans="1:5">
      <c r="A305" s="6"/>
      <c r="B305" s="7"/>
      <c r="C305" s="6"/>
      <c r="D305" s="3"/>
      <c r="E305" s="3"/>
    </row>
    <row r="306" s="2" customFormat="1" ht="15.75" spans="1:5">
      <c r="A306" s="6"/>
      <c r="B306" s="7"/>
      <c r="C306" s="6"/>
      <c r="D306" s="3"/>
      <c r="E306" s="3"/>
    </row>
    <row r="307" s="2" customFormat="1" ht="15.75" spans="1:5">
      <c r="A307" s="6"/>
      <c r="B307" s="7"/>
      <c r="C307" s="6"/>
      <c r="D307" s="3"/>
      <c r="E307" s="3"/>
    </row>
    <row r="308" s="2" customFormat="1" ht="15.75" spans="1:5">
      <c r="A308" s="6"/>
      <c r="B308" s="7"/>
      <c r="C308" s="6"/>
      <c r="D308" s="3"/>
      <c r="E308" s="3"/>
    </row>
    <row r="309" s="2" customFormat="1" ht="15.75" spans="1:5">
      <c r="A309" s="6"/>
      <c r="B309" s="7"/>
      <c r="C309" s="6"/>
      <c r="D309" s="3"/>
      <c r="E309" s="3"/>
    </row>
    <row r="310" s="2" customFormat="1" ht="15.75" spans="1:5">
      <c r="A310" s="6"/>
      <c r="B310" s="7"/>
      <c r="C310" s="6"/>
      <c r="D310" s="3"/>
      <c r="E310" s="3"/>
    </row>
    <row r="311" s="2" customFormat="1" ht="15.75" spans="1:5">
      <c r="A311" s="6"/>
      <c r="B311" s="7"/>
      <c r="C311" s="6"/>
      <c r="D311" s="3"/>
      <c r="E311" s="3"/>
    </row>
    <row r="312" s="2" customFormat="1" ht="15.75" spans="1:5">
      <c r="A312" s="6"/>
      <c r="B312" s="7"/>
      <c r="C312" s="6"/>
      <c r="D312" s="3"/>
      <c r="E312" s="3"/>
    </row>
    <row r="313" s="2" customFormat="1" ht="15.75" spans="1:5">
      <c r="A313" s="6"/>
      <c r="B313" s="7"/>
      <c r="C313" s="6"/>
      <c r="D313" s="3"/>
      <c r="E313" s="3"/>
    </row>
    <row r="314" s="2" customFormat="1" ht="15.75" spans="1:5">
      <c r="A314" s="6"/>
      <c r="B314" s="7"/>
      <c r="C314" s="6"/>
      <c r="D314" s="3"/>
      <c r="E314" s="3"/>
    </row>
    <row r="315" s="2" customFormat="1" ht="15.75" spans="1:5">
      <c r="A315" s="6"/>
      <c r="B315" s="7"/>
      <c r="C315" s="6"/>
      <c r="D315" s="3"/>
      <c r="E315" s="3"/>
    </row>
    <row r="316" s="2" customFormat="1" ht="15.75" spans="1:5">
      <c r="A316" s="6"/>
      <c r="B316" s="7"/>
      <c r="C316" s="6"/>
      <c r="D316" s="3"/>
      <c r="E316" s="3"/>
    </row>
    <row r="317" s="2" customFormat="1" ht="15.75" spans="1:5">
      <c r="A317" s="6"/>
      <c r="B317" s="7"/>
      <c r="C317" s="6"/>
      <c r="D317" s="3"/>
      <c r="E317" s="3"/>
    </row>
    <row r="318" s="2" customFormat="1" ht="15.75" spans="1:5">
      <c r="A318" s="6"/>
      <c r="B318" s="7"/>
      <c r="C318" s="6"/>
      <c r="D318" s="3"/>
      <c r="E318" s="3"/>
    </row>
    <row r="319" s="2" customFormat="1" ht="15.75" spans="1:5">
      <c r="A319" s="6"/>
      <c r="B319" s="7"/>
      <c r="C319" s="6"/>
      <c r="D319" s="3"/>
      <c r="E319" s="3"/>
    </row>
    <row r="320" s="2" customFormat="1" ht="15.75" spans="1:5">
      <c r="A320" s="6"/>
      <c r="B320" s="7"/>
      <c r="C320" s="6"/>
      <c r="D320" s="3"/>
      <c r="E320" s="3"/>
    </row>
    <row r="321" s="2" customFormat="1" ht="15.75" spans="1:5">
      <c r="A321" s="6"/>
      <c r="B321" s="7"/>
      <c r="C321" s="6"/>
      <c r="D321" s="3"/>
      <c r="E321" s="3"/>
    </row>
    <row r="322" s="2" customFormat="1" ht="15.75" spans="1:5">
      <c r="A322" s="6"/>
      <c r="B322" s="7"/>
      <c r="C322" s="6"/>
      <c r="D322" s="3"/>
      <c r="E322" s="3"/>
    </row>
    <row r="323" s="2" customFormat="1" ht="15.75" spans="1:5">
      <c r="A323" s="6"/>
      <c r="B323" s="7"/>
      <c r="C323" s="6"/>
      <c r="D323" s="3"/>
      <c r="E323" s="3"/>
    </row>
    <row r="324" s="2" customFormat="1" ht="15.75" spans="1:5">
      <c r="A324" s="6"/>
      <c r="B324" s="7"/>
      <c r="C324" s="6"/>
      <c r="D324" s="3"/>
      <c r="E324" s="3"/>
    </row>
    <row r="325" s="2" customFormat="1" ht="15.75" spans="1:5">
      <c r="A325" s="6"/>
      <c r="B325" s="7"/>
      <c r="C325" s="6"/>
      <c r="D325" s="3"/>
      <c r="E325" s="3"/>
    </row>
    <row r="326" s="2" customFormat="1" ht="15.75" spans="1:5">
      <c r="A326" s="6"/>
      <c r="B326" s="7"/>
      <c r="C326" s="6"/>
      <c r="D326" s="3"/>
      <c r="E326" s="3"/>
    </row>
    <row r="327" s="2" customFormat="1" ht="15.75" spans="1:5">
      <c r="A327" s="6"/>
      <c r="B327" s="7"/>
      <c r="C327" s="6"/>
      <c r="D327" s="3"/>
      <c r="E327" s="3"/>
    </row>
    <row r="328" s="2" customFormat="1" ht="15.75" spans="1:5">
      <c r="A328" s="6"/>
      <c r="B328" s="7"/>
      <c r="C328" s="6"/>
      <c r="D328" s="3"/>
      <c r="E328" s="3"/>
    </row>
    <row r="329" s="2" customFormat="1" ht="15.75" spans="1:5">
      <c r="A329" s="6"/>
      <c r="B329" s="7"/>
      <c r="C329" s="6"/>
      <c r="D329" s="3"/>
      <c r="E329" s="3"/>
    </row>
    <row r="330" s="2" customFormat="1" ht="15.75" spans="1:5">
      <c r="A330" s="6"/>
      <c r="B330" s="7"/>
      <c r="C330" s="6"/>
      <c r="D330" s="3"/>
      <c r="E330" s="3"/>
    </row>
    <row r="331" s="2" customFormat="1" ht="15.75" spans="1:5">
      <c r="A331" s="6"/>
      <c r="B331" s="7"/>
      <c r="C331" s="6"/>
      <c r="D331" s="3"/>
      <c r="E331" s="3"/>
    </row>
    <row r="332" s="2" customFormat="1" ht="15.75" spans="1:5">
      <c r="A332" s="6"/>
      <c r="B332" s="7"/>
      <c r="C332" s="6"/>
      <c r="D332" s="3"/>
      <c r="E332" s="3"/>
    </row>
    <row r="333" s="2" customFormat="1" ht="15.75" spans="1:5">
      <c r="A333" s="6"/>
      <c r="B333" s="7"/>
      <c r="C333" s="6"/>
      <c r="D333" s="3"/>
      <c r="E333" s="3"/>
    </row>
    <row r="334" s="2" customFormat="1" ht="15.75" spans="1:5">
      <c r="A334" s="6"/>
      <c r="B334" s="7"/>
      <c r="C334" s="6"/>
      <c r="D334" s="3"/>
      <c r="E334" s="3"/>
    </row>
    <row r="335" s="2" customFormat="1" ht="15.75" spans="1:5">
      <c r="A335" s="6"/>
      <c r="B335" s="7"/>
      <c r="C335" s="6"/>
      <c r="D335" s="3"/>
      <c r="E335" s="3"/>
    </row>
    <row r="336" s="2" customFormat="1" ht="15.75" spans="1:5">
      <c r="A336" s="6"/>
      <c r="B336" s="7"/>
      <c r="C336" s="6"/>
      <c r="D336" s="3"/>
      <c r="E336" s="3"/>
    </row>
    <row r="337" s="2" customFormat="1" ht="15.75" spans="1:5">
      <c r="A337" s="6"/>
      <c r="B337" s="7"/>
      <c r="C337" s="6"/>
      <c r="D337" s="3"/>
      <c r="E337" s="3"/>
    </row>
    <row r="338" s="2" customFormat="1" ht="15.75" spans="1:5">
      <c r="A338" s="6"/>
      <c r="B338" s="7"/>
      <c r="C338" s="6"/>
      <c r="D338" s="3"/>
      <c r="E338" s="3"/>
    </row>
    <row r="339" s="2" customFormat="1" ht="15.75" spans="1:5">
      <c r="A339" s="6"/>
      <c r="B339" s="7"/>
      <c r="C339" s="6"/>
      <c r="D339" s="3"/>
      <c r="E339" s="3"/>
    </row>
    <row r="340" s="2" customFormat="1" ht="15.75" spans="1:5">
      <c r="A340" s="6"/>
      <c r="B340" s="7"/>
      <c r="C340" s="6"/>
      <c r="D340" s="3"/>
      <c r="E340" s="3"/>
    </row>
    <row r="341" s="2" customFormat="1" ht="15.75" spans="1:5">
      <c r="A341" s="6"/>
      <c r="B341" s="7"/>
      <c r="C341" s="6"/>
      <c r="D341" s="3"/>
      <c r="E341" s="3"/>
    </row>
    <row r="342" s="2" customFormat="1" ht="15.75" spans="1:5">
      <c r="A342" s="6"/>
      <c r="B342" s="7"/>
      <c r="C342" s="6"/>
      <c r="D342" s="3"/>
      <c r="E342" s="3"/>
    </row>
    <row r="343" s="2" customFormat="1" ht="15.75" spans="1:5">
      <c r="A343" s="6"/>
      <c r="B343" s="7"/>
      <c r="C343" s="6"/>
      <c r="D343" s="3"/>
      <c r="E343" s="3"/>
    </row>
    <row r="344" s="2" customFormat="1" ht="15.75" spans="1:5">
      <c r="A344" s="6"/>
      <c r="B344" s="7"/>
      <c r="C344" s="6"/>
      <c r="D344" s="3"/>
      <c r="E344" s="3"/>
    </row>
    <row r="345" s="2" customFormat="1" ht="15.75" spans="1:5">
      <c r="A345" s="6"/>
      <c r="B345" s="7"/>
      <c r="C345" s="6"/>
      <c r="D345" s="3"/>
      <c r="E345" s="3"/>
    </row>
    <row r="346" s="2" customFormat="1" ht="15.75" spans="1:5">
      <c r="A346" s="6"/>
      <c r="B346" s="7"/>
      <c r="C346" s="6"/>
      <c r="D346" s="3"/>
      <c r="E346" s="3"/>
    </row>
    <row r="347" s="2" customFormat="1" ht="15.75" spans="1:5">
      <c r="A347" s="6"/>
      <c r="B347" s="7"/>
      <c r="C347" s="6"/>
      <c r="D347" s="3"/>
      <c r="E347" s="3"/>
    </row>
    <row r="348" s="2" customFormat="1" ht="15.75" spans="1:5">
      <c r="A348" s="6"/>
      <c r="B348" s="7"/>
      <c r="C348" s="6"/>
      <c r="D348" s="3"/>
      <c r="E348" s="3"/>
    </row>
    <row r="349" s="2" customFormat="1" ht="15.75" spans="1:5">
      <c r="A349" s="6"/>
      <c r="B349" s="7"/>
      <c r="C349" s="6"/>
      <c r="D349" s="3"/>
      <c r="E349" s="3"/>
    </row>
    <row r="350" s="2" customFormat="1" ht="15.75" spans="1:5">
      <c r="A350" s="6"/>
      <c r="B350" s="7"/>
      <c r="C350" s="6"/>
      <c r="D350" s="3"/>
      <c r="E350" s="3"/>
    </row>
    <row r="351" s="2" customFormat="1" ht="15.75" spans="1:5">
      <c r="A351" s="6"/>
      <c r="B351" s="7"/>
      <c r="C351" s="6"/>
      <c r="D351" s="3"/>
      <c r="E351" s="3"/>
    </row>
    <row r="352" s="2" customFormat="1" ht="15.75" spans="1:5">
      <c r="A352" s="6"/>
      <c r="B352" s="7"/>
      <c r="C352" s="6"/>
      <c r="D352" s="3"/>
      <c r="E352" s="3"/>
    </row>
    <row r="353" s="2" customFormat="1" ht="15.75" spans="1:5">
      <c r="A353" s="6"/>
      <c r="B353" s="7"/>
      <c r="C353" s="6"/>
      <c r="D353" s="3"/>
      <c r="E353" s="3"/>
    </row>
    <row r="354" s="2" customFormat="1" ht="15.75" spans="1:5">
      <c r="A354" s="6"/>
      <c r="B354" s="7"/>
      <c r="C354" s="6"/>
      <c r="D354" s="3"/>
      <c r="E354" s="3"/>
    </row>
    <row r="355" s="2" customFormat="1" ht="15.75" spans="1:5">
      <c r="A355" s="6"/>
      <c r="B355" s="7"/>
      <c r="C355" s="6"/>
      <c r="D355" s="3"/>
      <c r="E355" s="3"/>
    </row>
    <row r="356" s="2" customFormat="1" ht="15.75" spans="1:5">
      <c r="A356" s="6"/>
      <c r="B356" s="7"/>
      <c r="C356" s="6"/>
      <c r="D356" s="3"/>
      <c r="E356" s="3"/>
    </row>
    <row r="357" s="2" customFormat="1" ht="15.75" spans="1:5">
      <c r="A357" s="6"/>
      <c r="B357" s="7"/>
      <c r="C357" s="6"/>
      <c r="D357" s="3"/>
      <c r="E357" s="3"/>
    </row>
    <row r="358" s="2" customFormat="1" ht="15.75" spans="1:5">
      <c r="A358" s="6"/>
      <c r="B358" s="7"/>
      <c r="C358" s="6"/>
      <c r="D358" s="3"/>
      <c r="E358" s="3"/>
    </row>
    <row r="359" s="2" customFormat="1" ht="15.75" spans="1:5">
      <c r="A359" s="6"/>
      <c r="B359" s="7"/>
      <c r="C359" s="6"/>
      <c r="D359" s="3"/>
      <c r="E359" s="3"/>
    </row>
    <row r="360" s="2" customFormat="1" ht="15.75" spans="1:5">
      <c r="A360" s="6"/>
      <c r="B360" s="7"/>
      <c r="C360" s="6"/>
      <c r="D360" s="3"/>
      <c r="E360" s="3"/>
    </row>
    <row r="361" s="2" customFormat="1" ht="15.75" spans="1:5">
      <c r="A361" s="6"/>
      <c r="B361" s="7"/>
      <c r="C361" s="6"/>
      <c r="D361" s="3"/>
      <c r="E361" s="3"/>
    </row>
    <row r="362" s="2" customFormat="1" ht="15.75" spans="1:5">
      <c r="A362" s="6"/>
      <c r="B362" s="7"/>
      <c r="C362" s="6"/>
      <c r="D362" s="3"/>
      <c r="E362" s="3"/>
    </row>
    <row r="363" s="2" customFormat="1" ht="15.75" spans="1:5">
      <c r="A363" s="6"/>
      <c r="B363" s="7"/>
      <c r="C363" s="6"/>
      <c r="D363" s="3"/>
      <c r="E363" s="3"/>
    </row>
    <row r="364" s="2" customFormat="1" ht="15.75" spans="1:5">
      <c r="A364" s="6"/>
      <c r="B364" s="7"/>
      <c r="C364" s="6"/>
      <c r="D364" s="3"/>
      <c r="E364" s="3"/>
    </row>
    <row r="365" s="2" customFormat="1" ht="15.75" spans="1:5">
      <c r="A365" s="6"/>
      <c r="B365" s="7"/>
      <c r="C365" s="6"/>
      <c r="D365" s="3"/>
      <c r="E365" s="3"/>
    </row>
    <row r="366" s="2" customFormat="1" ht="15.75" spans="1:5">
      <c r="A366" s="6"/>
      <c r="B366" s="7"/>
      <c r="C366" s="6"/>
      <c r="D366" s="3"/>
      <c r="E366" s="3"/>
    </row>
    <row r="367" s="2" customFormat="1" ht="15.75" spans="1:5">
      <c r="A367" s="6"/>
      <c r="B367" s="7"/>
      <c r="C367" s="6"/>
      <c r="D367" s="3"/>
      <c r="E367" s="3"/>
    </row>
    <row r="368" s="2" customFormat="1" ht="15.75" spans="1:5">
      <c r="A368" s="6"/>
      <c r="B368" s="7"/>
      <c r="C368" s="6"/>
      <c r="D368" s="3"/>
      <c r="E368" s="3"/>
    </row>
    <row r="369" s="2" customFormat="1" ht="15.75" spans="1:5">
      <c r="A369" s="6"/>
      <c r="B369" s="7"/>
      <c r="C369" s="6"/>
      <c r="D369" s="3"/>
      <c r="E369" s="3"/>
    </row>
    <row r="370" s="2" customFormat="1" ht="15.75" spans="1:5">
      <c r="A370" s="6"/>
      <c r="B370" s="7"/>
      <c r="C370" s="6"/>
      <c r="D370" s="3"/>
      <c r="E370" s="3"/>
    </row>
    <row r="371" s="2" customFormat="1" ht="15.75" spans="1:5">
      <c r="A371" s="6"/>
      <c r="B371" s="7"/>
      <c r="C371" s="6"/>
      <c r="D371" s="3"/>
      <c r="E371" s="3"/>
    </row>
    <row r="372" s="2" customFormat="1" ht="15.75" spans="1:5">
      <c r="A372" s="6"/>
      <c r="B372" s="7"/>
      <c r="C372" s="6"/>
      <c r="D372" s="3"/>
      <c r="E372" s="3"/>
    </row>
    <row r="373" s="2" customFormat="1" ht="15.75" spans="1:5">
      <c r="A373" s="6"/>
      <c r="B373" s="7"/>
      <c r="C373" s="6"/>
      <c r="D373" s="3"/>
      <c r="E373" s="3"/>
    </row>
    <row r="374" s="2" customFormat="1" ht="15.75" spans="1:5">
      <c r="A374" s="6"/>
      <c r="B374" s="7"/>
      <c r="C374" s="6"/>
      <c r="D374" s="3"/>
      <c r="E374" s="3"/>
    </row>
    <row r="375" s="2" customFormat="1" ht="15.75" spans="1:5">
      <c r="A375" s="6"/>
      <c r="B375" s="7"/>
      <c r="C375" s="6"/>
      <c r="D375" s="3"/>
      <c r="E375" s="3"/>
    </row>
    <row r="376" s="2" customFormat="1" ht="15.75" spans="1:5">
      <c r="A376" s="6"/>
      <c r="B376" s="7"/>
      <c r="C376" s="6"/>
      <c r="D376" s="3"/>
      <c r="E376" s="3"/>
    </row>
    <row r="377" s="2" customFormat="1" ht="15.75" spans="1:5">
      <c r="A377" s="6"/>
      <c r="B377" s="7"/>
      <c r="C377" s="6"/>
      <c r="D377" s="3"/>
      <c r="E377" s="3"/>
    </row>
    <row r="378" s="2" customFormat="1" ht="15.75" spans="1:5">
      <c r="A378" s="6"/>
      <c r="B378" s="7"/>
      <c r="C378" s="6"/>
      <c r="D378" s="3"/>
      <c r="E378" s="3"/>
    </row>
    <row r="379" s="2" customFormat="1" ht="15.75" spans="1:5">
      <c r="A379" s="6"/>
      <c r="B379" s="7"/>
      <c r="C379" s="6"/>
      <c r="D379" s="3"/>
      <c r="E379" s="3"/>
    </row>
    <row r="380" s="2" customFormat="1" ht="15.75" spans="1:5">
      <c r="A380" s="6"/>
      <c r="B380" s="7"/>
      <c r="C380" s="6"/>
      <c r="D380" s="3"/>
      <c r="E380" s="3"/>
    </row>
    <row r="381" s="2" customFormat="1" ht="15.75" spans="1:5">
      <c r="A381" s="6"/>
      <c r="B381" s="7"/>
      <c r="C381" s="6"/>
      <c r="D381" s="3"/>
      <c r="E381" s="3"/>
    </row>
    <row r="382" s="2" customFormat="1" ht="15.75" spans="1:5">
      <c r="A382" s="6"/>
      <c r="B382" s="7"/>
      <c r="C382" s="6"/>
      <c r="D382" s="3"/>
      <c r="E382" s="3"/>
    </row>
    <row r="383" s="2" customFormat="1" ht="15.75" spans="1:5">
      <c r="A383" s="6"/>
      <c r="B383" s="7"/>
      <c r="C383" s="6"/>
      <c r="D383" s="3"/>
      <c r="E383" s="3"/>
    </row>
    <row r="384" s="2" customFormat="1" ht="15.75" spans="1:5">
      <c r="A384" s="6"/>
      <c r="B384" s="7"/>
      <c r="C384" s="6"/>
      <c r="D384" s="3"/>
      <c r="E384" s="3"/>
    </row>
    <row r="385" s="2" customFormat="1" ht="15.75" spans="1:5">
      <c r="A385" s="6"/>
      <c r="B385" s="7"/>
      <c r="C385" s="6"/>
      <c r="D385" s="3"/>
      <c r="E385" s="3"/>
    </row>
    <row r="386" s="2" customFormat="1" ht="15.75" spans="1:5">
      <c r="A386" s="6"/>
      <c r="B386" s="7"/>
      <c r="C386" s="6"/>
      <c r="D386" s="3"/>
      <c r="E386" s="3"/>
    </row>
    <row r="387" s="2" customFormat="1" ht="15.75" spans="1:5">
      <c r="A387" s="6"/>
      <c r="B387" s="7"/>
      <c r="C387" s="6"/>
      <c r="D387" s="3"/>
      <c r="E387" s="3"/>
    </row>
    <row r="388" s="2" customFormat="1" ht="15.75" spans="1:5">
      <c r="A388" s="6"/>
      <c r="B388" s="7"/>
      <c r="C388" s="6"/>
      <c r="D388" s="3"/>
      <c r="E388" s="3"/>
    </row>
    <row r="389" s="2" customFormat="1" ht="15.75" spans="1:5">
      <c r="A389" s="6"/>
      <c r="B389" s="7"/>
      <c r="C389" s="6"/>
      <c r="D389" s="3"/>
      <c r="E389" s="3"/>
    </row>
    <row r="390" s="2" customFormat="1" ht="15.75" spans="1:5">
      <c r="A390" s="6"/>
      <c r="B390" s="7"/>
      <c r="C390" s="6"/>
      <c r="D390" s="3"/>
      <c r="E390" s="3"/>
    </row>
    <row r="391" s="2" customFormat="1" ht="15.75" spans="1:5">
      <c r="A391" s="6"/>
      <c r="B391" s="7"/>
      <c r="C391" s="6"/>
      <c r="D391" s="3"/>
      <c r="E391" s="3"/>
    </row>
    <row r="392" s="2" customFormat="1" ht="15.75" spans="1:5">
      <c r="A392" s="6"/>
      <c r="B392" s="7"/>
      <c r="C392" s="6"/>
      <c r="D392" s="3"/>
      <c r="E392" s="3"/>
    </row>
    <row r="393" s="2" customFormat="1" ht="15.75" spans="1:5">
      <c r="A393" s="6"/>
      <c r="B393" s="7"/>
      <c r="C393" s="6"/>
      <c r="D393" s="3"/>
      <c r="E393" s="3"/>
    </row>
    <row r="394" s="2" customFormat="1" ht="15.75" spans="1:5">
      <c r="A394" s="6"/>
      <c r="B394" s="7"/>
      <c r="C394" s="6"/>
      <c r="D394" s="3"/>
      <c r="E394" s="3"/>
    </row>
    <row r="395" s="2" customFormat="1" ht="15.75" spans="1:5">
      <c r="A395" s="6"/>
      <c r="B395" s="7"/>
      <c r="C395" s="6"/>
      <c r="D395" s="3"/>
      <c r="E395" s="3"/>
    </row>
    <row r="396" s="2" customFormat="1" ht="15.75" spans="1:5">
      <c r="A396" s="6"/>
      <c r="B396" s="7"/>
      <c r="C396" s="6"/>
      <c r="D396" s="3"/>
      <c r="E396" s="3"/>
    </row>
    <row r="397" s="2" customFormat="1" ht="15.75" spans="1:5">
      <c r="A397" s="6"/>
      <c r="B397" s="7"/>
      <c r="C397" s="6"/>
      <c r="D397" s="3"/>
      <c r="E397" s="3"/>
    </row>
    <row r="398" s="2" customFormat="1" ht="15.75" spans="1:5">
      <c r="A398" s="6"/>
      <c r="B398" s="7"/>
      <c r="C398" s="6"/>
      <c r="D398" s="3"/>
      <c r="E398" s="3"/>
    </row>
    <row r="399" s="2" customFormat="1" ht="15.75" spans="1:5">
      <c r="A399" s="6"/>
      <c r="B399" s="7"/>
      <c r="C399" s="6"/>
      <c r="D399" s="3"/>
      <c r="E399" s="3"/>
    </row>
    <row r="400" s="2" customFormat="1" ht="15.75" spans="1:5">
      <c r="A400" s="6"/>
      <c r="B400" s="7"/>
      <c r="C400" s="6"/>
      <c r="D400" s="3"/>
      <c r="E400" s="3"/>
    </row>
    <row r="401" s="2" customFormat="1" ht="15.75" spans="1:5">
      <c r="A401" s="6"/>
      <c r="B401" s="7"/>
      <c r="C401" s="6"/>
      <c r="D401" s="3"/>
      <c r="E401" s="3"/>
    </row>
    <row r="402" s="2" customFormat="1" ht="15.75" spans="1:5">
      <c r="A402" s="6"/>
      <c r="B402" s="7"/>
      <c r="C402" s="6"/>
      <c r="D402" s="3"/>
      <c r="E402" s="3"/>
    </row>
    <row r="403" s="2" customFormat="1" ht="15.75" spans="1:5">
      <c r="A403" s="6"/>
      <c r="B403" s="7"/>
      <c r="C403" s="6"/>
      <c r="D403" s="3"/>
      <c r="E403" s="3"/>
    </row>
    <row r="404" s="2" customFormat="1" ht="15.75" spans="1:5">
      <c r="A404" s="6"/>
      <c r="B404" s="7"/>
      <c r="C404" s="6"/>
      <c r="D404" s="3"/>
      <c r="E404" s="3"/>
    </row>
    <row r="405" s="2" customFormat="1" ht="15.75" spans="1:5">
      <c r="A405" s="6"/>
      <c r="B405" s="7"/>
      <c r="C405" s="6"/>
      <c r="D405" s="3"/>
      <c r="E405" s="3"/>
    </row>
    <row r="406" s="2" customFormat="1" ht="15.75" spans="1:5">
      <c r="A406" s="6"/>
      <c r="B406" s="7"/>
      <c r="C406" s="6"/>
      <c r="D406" s="3"/>
      <c r="E406" s="3"/>
    </row>
    <row r="407" s="2" customFormat="1" ht="15.75" spans="1:5">
      <c r="A407" s="6"/>
      <c r="B407" s="7"/>
      <c r="C407" s="6"/>
      <c r="D407" s="3"/>
      <c r="E407" s="3"/>
    </row>
    <row r="408" s="2" customFormat="1" ht="15.75" spans="1:5">
      <c r="A408" s="6"/>
      <c r="B408" s="7"/>
      <c r="C408" s="6"/>
      <c r="D408" s="3"/>
      <c r="E408" s="3"/>
    </row>
    <row r="409" s="2" customFormat="1" ht="15.75" spans="1:5">
      <c r="A409" s="6"/>
      <c r="B409" s="7"/>
      <c r="C409" s="6"/>
      <c r="D409" s="3"/>
      <c r="E409" s="3"/>
    </row>
    <row r="410" s="2" customFormat="1" ht="15.75" spans="1:5">
      <c r="A410" s="9"/>
      <c r="B410" s="7"/>
      <c r="C410" s="6"/>
      <c r="D410" s="3"/>
      <c r="E410" s="3"/>
    </row>
    <row r="411" s="2" customFormat="1" ht="15.75" spans="1:5">
      <c r="A411" s="9"/>
      <c r="B411" s="7"/>
      <c r="C411" s="6"/>
      <c r="D411" s="3"/>
      <c r="E411" s="3"/>
    </row>
    <row r="412" s="2" customFormat="1" ht="15.75" spans="1:5">
      <c r="A412" s="9"/>
      <c r="B412" s="7"/>
      <c r="C412" s="6"/>
      <c r="D412" s="3"/>
      <c r="E412" s="3"/>
    </row>
    <row r="413" s="2" customFormat="1" ht="15.75" spans="1:5">
      <c r="A413" s="9"/>
      <c r="B413" s="7"/>
      <c r="C413" s="6"/>
      <c r="D413" s="3"/>
      <c r="E413" s="3"/>
    </row>
    <row r="414" s="2" customFormat="1" ht="15.75" spans="1:5">
      <c r="A414" s="9"/>
      <c r="B414" s="7"/>
      <c r="C414" s="6"/>
      <c r="D414" s="3"/>
      <c r="E414" s="3"/>
    </row>
    <row r="415" s="2" customFormat="1" ht="15.75" spans="1:5">
      <c r="A415" s="6"/>
      <c r="B415" s="7"/>
      <c r="C415" s="6"/>
      <c r="D415" s="3"/>
      <c r="E415" s="3"/>
    </row>
    <row r="416" s="2" customFormat="1" ht="15.75" spans="1:5">
      <c r="A416" s="6"/>
      <c r="B416" s="7"/>
      <c r="C416" s="6"/>
      <c r="D416" s="3"/>
      <c r="E416" s="3"/>
    </row>
    <row r="417" s="2" customFormat="1" ht="15.75" spans="1:5">
      <c r="A417" s="6"/>
      <c r="B417" s="7"/>
      <c r="C417" s="6"/>
      <c r="D417" s="3"/>
      <c r="E417" s="3"/>
    </row>
    <row r="418" s="2" customFormat="1" ht="15.75" spans="1:5">
      <c r="A418" s="6"/>
      <c r="B418" s="7"/>
      <c r="C418" s="6"/>
      <c r="D418" s="3"/>
      <c r="E418" s="3"/>
    </row>
    <row r="419" s="2" customFormat="1" ht="15.75" spans="1:5">
      <c r="A419" s="6"/>
      <c r="B419" s="7"/>
      <c r="C419" s="6"/>
      <c r="D419" s="3"/>
      <c r="E419" s="3"/>
    </row>
    <row r="420" s="2" customFormat="1" ht="15.75" spans="1:5">
      <c r="A420" s="6"/>
      <c r="B420" s="7"/>
      <c r="C420" s="6"/>
      <c r="D420" s="3"/>
      <c r="E420" s="3"/>
    </row>
    <row r="421" s="2" customFormat="1" ht="15.75" spans="1:5">
      <c r="A421" s="6"/>
      <c r="B421" s="7"/>
      <c r="C421" s="6"/>
      <c r="D421" s="3"/>
      <c r="E421" s="3"/>
    </row>
    <row r="422" s="2" customFormat="1" ht="15.75" spans="1:5">
      <c r="A422" s="6"/>
      <c r="B422" s="7"/>
      <c r="C422" s="6"/>
      <c r="D422" s="3"/>
      <c r="E422" s="3"/>
    </row>
    <row r="423" s="2" customFormat="1" ht="15.75" spans="1:5">
      <c r="A423" s="6"/>
      <c r="B423" s="7"/>
      <c r="C423" s="6"/>
      <c r="D423" s="3"/>
      <c r="E423" s="3"/>
    </row>
    <row r="424" s="2" customFormat="1" ht="15.75" spans="1:5">
      <c r="A424" s="6"/>
      <c r="B424" s="7"/>
      <c r="C424" s="6"/>
      <c r="D424" s="3"/>
      <c r="E424" s="3"/>
    </row>
    <row r="425" s="2" customFormat="1" ht="15.75" spans="1:5">
      <c r="A425" s="6"/>
      <c r="B425" s="7"/>
      <c r="C425" s="6"/>
      <c r="D425" s="3"/>
      <c r="E425" s="3"/>
    </row>
    <row r="426" s="2" customFormat="1" ht="15.75" spans="1:5">
      <c r="A426" s="6"/>
      <c r="B426" s="7"/>
      <c r="C426" s="6"/>
      <c r="D426" s="3"/>
      <c r="E426" s="3"/>
    </row>
    <row r="427" s="2" customFormat="1" ht="15.75" spans="1:5">
      <c r="A427" s="6"/>
      <c r="B427" s="7"/>
      <c r="C427" s="6"/>
      <c r="D427" s="3"/>
      <c r="E427" s="3"/>
    </row>
    <row r="428" s="2" customFormat="1" ht="15.75" spans="1:5">
      <c r="A428" s="6"/>
      <c r="B428" s="7"/>
      <c r="C428" s="6"/>
      <c r="D428" s="3"/>
      <c r="E428" s="3"/>
    </row>
    <row r="429" s="2" customFormat="1" ht="15.75" spans="1:5">
      <c r="A429" s="6"/>
      <c r="B429" s="7"/>
      <c r="C429" s="6"/>
      <c r="D429" s="3"/>
      <c r="E429" s="3"/>
    </row>
    <row r="430" s="2" customFormat="1" ht="15.75" spans="1:5">
      <c r="A430" s="6"/>
      <c r="B430" s="7"/>
      <c r="C430" s="6"/>
      <c r="D430" s="3"/>
      <c r="E430" s="3"/>
    </row>
    <row r="431" s="2" customFormat="1" ht="15.75" spans="1:5">
      <c r="A431" s="6"/>
      <c r="B431" s="7"/>
      <c r="C431" s="6"/>
      <c r="D431" s="3"/>
      <c r="E431" s="3"/>
    </row>
    <row r="432" s="2" customFormat="1" ht="15.75" spans="1:5">
      <c r="A432" s="6"/>
      <c r="B432" s="7"/>
      <c r="C432" s="6"/>
      <c r="D432" s="3"/>
      <c r="E432" s="3"/>
    </row>
    <row r="433" s="2" customFormat="1" ht="15.75" spans="1:5">
      <c r="A433" s="6"/>
      <c r="B433" s="7"/>
      <c r="C433" s="6"/>
      <c r="D433" s="3"/>
      <c r="E433" s="3"/>
    </row>
    <row r="434" s="2" customFormat="1" ht="15.75" spans="1:5">
      <c r="A434" s="6"/>
      <c r="B434" s="7"/>
      <c r="C434" s="6"/>
      <c r="D434" s="3"/>
      <c r="E434" s="3"/>
    </row>
    <row r="435" s="2" customFormat="1" ht="15.75" spans="1:5">
      <c r="A435" s="6"/>
      <c r="B435" s="7"/>
      <c r="C435" s="6"/>
      <c r="D435" s="3"/>
      <c r="E435" s="3"/>
    </row>
    <row r="436" s="2" customFormat="1" ht="15.75" spans="1:5">
      <c r="A436" s="6"/>
      <c r="B436" s="7"/>
      <c r="C436" s="6"/>
      <c r="D436" s="3"/>
      <c r="E436" s="3"/>
    </row>
    <row r="437" s="2" customFormat="1" ht="15.75" spans="1:5">
      <c r="A437" s="6"/>
      <c r="B437" s="7"/>
      <c r="C437" s="6"/>
      <c r="D437" s="3"/>
      <c r="E437" s="3"/>
    </row>
    <row r="438" s="2" customFormat="1" ht="15.75" spans="1:5">
      <c r="A438" s="6"/>
      <c r="B438" s="7"/>
      <c r="C438" s="6"/>
      <c r="D438" s="3"/>
      <c r="E438" s="3"/>
    </row>
    <row r="439" s="2" customFormat="1" ht="15.75" spans="1:5">
      <c r="A439" s="6"/>
      <c r="B439" s="7"/>
      <c r="C439" s="6"/>
      <c r="D439" s="3"/>
      <c r="E439" s="3"/>
    </row>
    <row r="440" s="2" customFormat="1" ht="15.75" spans="1:5">
      <c r="A440" s="6"/>
      <c r="B440" s="7"/>
      <c r="C440" s="6"/>
      <c r="D440" s="3"/>
      <c r="E440" s="3"/>
    </row>
    <row r="441" s="2" customFormat="1" ht="15.75" spans="1:5">
      <c r="A441" s="6"/>
      <c r="B441" s="7"/>
      <c r="C441" s="6"/>
      <c r="D441" s="3"/>
      <c r="E441" s="3"/>
    </row>
    <row r="442" s="2" customFormat="1" ht="15.75" spans="1:5">
      <c r="A442" s="6"/>
      <c r="B442" s="7"/>
      <c r="C442" s="6"/>
      <c r="D442" s="3"/>
      <c r="E442" s="3"/>
    </row>
    <row r="443" s="2" customFormat="1" ht="15.75" spans="1:5">
      <c r="A443" s="6"/>
      <c r="B443" s="7"/>
      <c r="C443" s="6"/>
      <c r="D443" s="3"/>
      <c r="E443" s="3"/>
    </row>
    <row r="444" s="2" customFormat="1" ht="15.75" spans="1:5">
      <c r="A444" s="6"/>
      <c r="B444" s="7"/>
      <c r="C444" s="6"/>
      <c r="D444" s="3"/>
      <c r="E444" s="3"/>
    </row>
    <row r="445" s="2" customFormat="1" ht="15.75" spans="1:5">
      <c r="A445" s="6"/>
      <c r="B445" s="7"/>
      <c r="C445" s="6"/>
      <c r="D445" s="3"/>
      <c r="E445" s="3"/>
    </row>
    <row r="446" s="2" customFormat="1" ht="15.75" spans="1:5">
      <c r="A446" s="6"/>
      <c r="B446" s="7"/>
      <c r="C446" s="6"/>
      <c r="D446" s="3"/>
      <c r="E446" s="3"/>
    </row>
    <row r="447" s="2" customFormat="1" ht="15.75" spans="1:5">
      <c r="A447" s="6"/>
      <c r="B447" s="7"/>
      <c r="C447" s="6"/>
      <c r="D447" s="3"/>
      <c r="E447" s="3"/>
    </row>
    <row r="448" s="2" customFormat="1" ht="15.75" spans="1:5">
      <c r="A448" s="6"/>
      <c r="B448" s="7"/>
      <c r="C448" s="6"/>
      <c r="D448" s="3"/>
      <c r="E448" s="3"/>
    </row>
    <row r="449" s="2" customFormat="1" ht="15.75" spans="1:5">
      <c r="A449" s="6"/>
      <c r="B449" s="7"/>
      <c r="C449" s="6"/>
      <c r="D449" s="3"/>
      <c r="E449" s="3"/>
    </row>
    <row r="450" s="2" customFormat="1" ht="15.75" spans="1:5">
      <c r="A450" s="6"/>
      <c r="B450" s="7"/>
      <c r="C450" s="6"/>
      <c r="D450" s="3"/>
      <c r="E450" s="3"/>
    </row>
    <row r="451" s="2" customFormat="1" ht="15.75" spans="1:5">
      <c r="A451" s="6"/>
      <c r="B451" s="7"/>
      <c r="C451" s="6"/>
      <c r="D451" s="3"/>
      <c r="E451" s="3"/>
    </row>
    <row r="452" s="2" customFormat="1" ht="15.75" spans="1:5">
      <c r="A452" s="6"/>
      <c r="B452" s="7"/>
      <c r="C452" s="6"/>
      <c r="D452" s="3"/>
      <c r="E452" s="3"/>
    </row>
    <row r="453" s="2" customFormat="1" ht="15.75" spans="1:5">
      <c r="A453" s="6"/>
      <c r="B453" s="7"/>
      <c r="C453" s="6"/>
      <c r="D453" s="3"/>
      <c r="E453" s="3"/>
    </row>
    <row r="454" s="2" customFormat="1" ht="15.75" spans="1:5">
      <c r="A454" s="6"/>
      <c r="B454" s="7"/>
      <c r="C454" s="6"/>
      <c r="D454" s="3"/>
      <c r="E454" s="3"/>
    </row>
    <row r="455" s="2" customFormat="1" ht="15.75" spans="1:5">
      <c r="A455" s="6"/>
      <c r="B455" s="7"/>
      <c r="C455" s="6"/>
      <c r="D455" s="3"/>
      <c r="E455" s="3"/>
    </row>
    <row r="456" s="2" customFormat="1" ht="15.75" spans="1:5">
      <c r="A456" s="6"/>
      <c r="B456" s="7"/>
      <c r="C456" s="6"/>
      <c r="D456" s="3"/>
      <c r="E456" s="3"/>
    </row>
    <row r="457" s="2" customFormat="1" ht="15.75" spans="1:5">
      <c r="A457" s="6"/>
      <c r="B457" s="7"/>
      <c r="C457" s="6"/>
      <c r="D457" s="3"/>
      <c r="E457" s="3"/>
    </row>
    <row r="458" s="2" customFormat="1" ht="15.75" spans="1:5">
      <c r="A458" s="6"/>
      <c r="B458" s="7"/>
      <c r="C458" s="6"/>
      <c r="D458" s="3"/>
      <c r="E458" s="3"/>
    </row>
    <row r="459" s="2" customFormat="1" ht="15.75" spans="1:5">
      <c r="A459" s="6"/>
      <c r="B459" s="7"/>
      <c r="C459" s="6"/>
      <c r="D459" s="3"/>
      <c r="E459" s="3"/>
    </row>
    <row r="460" s="2" customFormat="1" ht="15.75" spans="1:5">
      <c r="A460" s="6"/>
      <c r="B460" s="7"/>
      <c r="C460" s="6"/>
      <c r="D460" s="3"/>
      <c r="E460" s="3"/>
    </row>
    <row r="461" s="2" customFormat="1" ht="15.75" spans="1:5">
      <c r="A461" s="6"/>
      <c r="B461" s="7"/>
      <c r="C461" s="6"/>
      <c r="D461" s="3"/>
      <c r="E461" s="3"/>
    </row>
    <row r="462" s="2" customFormat="1" ht="15.75" spans="1:5">
      <c r="A462" s="6"/>
      <c r="B462" s="7"/>
      <c r="C462" s="6"/>
      <c r="D462" s="3"/>
      <c r="E462" s="3"/>
    </row>
    <row r="463" s="2" customFormat="1" ht="15.75" spans="1:5">
      <c r="A463" s="6"/>
      <c r="B463" s="7"/>
      <c r="C463" s="6"/>
      <c r="D463" s="3"/>
      <c r="E463" s="3"/>
    </row>
    <row r="464" s="2" customFormat="1" ht="15.75" spans="1:5">
      <c r="A464" s="6"/>
      <c r="B464" s="7"/>
      <c r="C464" s="6"/>
      <c r="D464" s="3"/>
      <c r="E464" s="3"/>
    </row>
    <row r="465" s="2" customFormat="1" ht="15.75" spans="1:5">
      <c r="A465" s="6"/>
      <c r="B465" s="7"/>
      <c r="C465" s="6"/>
      <c r="D465" s="3"/>
      <c r="E465" s="3"/>
    </row>
    <row r="466" s="2" customFormat="1" ht="15.75" spans="1:5">
      <c r="A466" s="6"/>
      <c r="B466" s="7"/>
      <c r="C466" s="6"/>
      <c r="D466" s="3"/>
      <c r="E466" s="3"/>
    </row>
    <row r="467" s="2" customFormat="1" ht="15.75" spans="1:5">
      <c r="A467" s="6"/>
      <c r="B467" s="7"/>
      <c r="C467" s="6"/>
      <c r="D467" s="3"/>
      <c r="E467" s="3"/>
    </row>
    <row r="468" s="2" customFormat="1" ht="15.75" spans="1:5">
      <c r="A468" s="6"/>
      <c r="B468" s="7"/>
      <c r="C468" s="6"/>
      <c r="D468" s="3"/>
      <c r="E468" s="3"/>
    </row>
    <row r="469" s="2" customFormat="1" ht="15.75" spans="1:5">
      <c r="A469" s="6"/>
      <c r="B469" s="7"/>
      <c r="C469" s="6"/>
      <c r="D469" s="3"/>
      <c r="E469" s="3"/>
    </row>
    <row r="470" s="2" customFormat="1" ht="15.75" spans="1:5">
      <c r="A470" s="6"/>
      <c r="B470" s="7"/>
      <c r="C470" s="6"/>
      <c r="D470" s="3"/>
      <c r="E470" s="3"/>
    </row>
    <row r="471" s="2" customFormat="1" ht="15.75" spans="1:5">
      <c r="A471" s="6"/>
      <c r="B471" s="7"/>
      <c r="C471" s="6"/>
      <c r="D471" s="3"/>
      <c r="E471" s="3"/>
    </row>
    <row r="472" s="2" customFormat="1" ht="15.75" spans="1:5">
      <c r="A472" s="6"/>
      <c r="B472" s="7"/>
      <c r="C472" s="6"/>
      <c r="D472" s="3"/>
      <c r="E472" s="3"/>
    </row>
    <row r="473" s="2" customFormat="1" ht="15.75" spans="1:5">
      <c r="A473" s="6"/>
      <c r="B473" s="7"/>
      <c r="C473" s="6"/>
      <c r="D473" s="3"/>
      <c r="E473" s="3"/>
    </row>
    <row r="474" s="2" customFormat="1" ht="15.75" spans="1:5">
      <c r="A474" s="6"/>
      <c r="B474" s="7"/>
      <c r="C474" s="6"/>
      <c r="D474" s="3"/>
      <c r="E474" s="3"/>
    </row>
    <row r="475" s="2" customFormat="1" ht="15.75" spans="1:5">
      <c r="A475" s="6"/>
      <c r="B475" s="7"/>
      <c r="C475" s="6"/>
      <c r="D475" s="10"/>
      <c r="E475" s="3"/>
    </row>
    <row r="476" s="2" customFormat="1" ht="15.75" spans="1:5">
      <c r="A476" s="6"/>
      <c r="B476" s="7"/>
      <c r="C476" s="6"/>
      <c r="D476" s="10"/>
      <c r="E476" s="3"/>
    </row>
    <row r="477" s="2" customFormat="1" ht="15.75" spans="1:5">
      <c r="A477" s="9"/>
      <c r="B477" s="7"/>
      <c r="C477" s="6"/>
      <c r="D477" s="10"/>
      <c r="E477" s="3"/>
    </row>
    <row r="478" s="2" customFormat="1" ht="15.75" spans="1:5">
      <c r="A478" s="6"/>
      <c r="B478" s="7"/>
      <c r="C478" s="6"/>
      <c r="D478" s="10"/>
      <c r="E478" s="3"/>
    </row>
    <row r="479" s="2" customFormat="1" ht="15.75" spans="1:5">
      <c r="A479" s="6"/>
      <c r="B479" s="7"/>
      <c r="C479" s="6"/>
      <c r="D479" s="10"/>
      <c r="E479" s="3"/>
    </row>
    <row r="480" s="2" customFormat="1" ht="15.75" spans="1:5">
      <c r="A480" s="6"/>
      <c r="B480" s="7"/>
      <c r="C480" s="6"/>
      <c r="D480" s="10"/>
      <c r="E480" s="3"/>
    </row>
    <row r="481" s="2" customFormat="1" ht="15.75" spans="1:5">
      <c r="A481" s="6"/>
      <c r="B481" s="7"/>
      <c r="C481" s="6"/>
      <c r="D481" s="10"/>
      <c r="E481" s="3"/>
    </row>
    <row r="482" s="2" customFormat="1" ht="15.75" spans="1:5">
      <c r="A482" s="6"/>
      <c r="B482" s="7"/>
      <c r="C482" s="6"/>
      <c r="D482" s="10"/>
      <c r="E482" s="3"/>
    </row>
    <row r="483" s="2" customFormat="1" ht="15.75" spans="1:5">
      <c r="A483" s="6"/>
      <c r="B483" s="7"/>
      <c r="C483" s="6"/>
      <c r="D483" s="10"/>
      <c r="E483" s="3"/>
    </row>
    <row r="484" s="2" customFormat="1" ht="15.75" spans="1:5">
      <c r="A484" s="6"/>
      <c r="B484" s="7"/>
      <c r="C484" s="6"/>
      <c r="D484" s="10"/>
      <c r="E484" s="3"/>
    </row>
    <row r="485" s="2" customFormat="1" ht="15.75" spans="1:5">
      <c r="A485" s="6"/>
      <c r="B485" s="7"/>
      <c r="C485" s="6"/>
      <c r="D485" s="10"/>
      <c r="E485" s="3"/>
    </row>
    <row r="486" s="2" customFormat="1" ht="15.75" spans="1:5">
      <c r="A486" s="6"/>
      <c r="B486" s="7"/>
      <c r="C486" s="6"/>
      <c r="D486" s="10"/>
      <c r="E486" s="3"/>
    </row>
    <row r="487" s="2" customFormat="1" ht="15.75" spans="1:5">
      <c r="A487" s="6"/>
      <c r="B487" s="7"/>
      <c r="C487" s="6"/>
      <c r="D487" s="10"/>
      <c r="E487" s="3"/>
    </row>
    <row r="488" s="2" customFormat="1" ht="15.75" spans="1:5">
      <c r="A488" s="6"/>
      <c r="B488" s="7"/>
      <c r="C488" s="6"/>
      <c r="D488" s="10"/>
      <c r="E488" s="3"/>
    </row>
    <row r="489" s="2" customFormat="1" ht="15.75" spans="1:5">
      <c r="A489" s="6"/>
      <c r="B489" s="7"/>
      <c r="C489" s="6"/>
      <c r="D489" s="10"/>
      <c r="E489" s="3"/>
    </row>
    <row r="490" s="2" customFormat="1" ht="15.75" spans="1:5">
      <c r="A490" s="6"/>
      <c r="B490" s="7"/>
      <c r="C490" s="6"/>
      <c r="D490" s="10"/>
      <c r="E490" s="3"/>
    </row>
    <row r="491" s="2" customFormat="1" ht="15.75" spans="1:5">
      <c r="A491" s="6"/>
      <c r="B491" s="7"/>
      <c r="C491" s="6"/>
      <c r="D491" s="10"/>
      <c r="E491" s="3"/>
    </row>
    <row r="492" s="2" customFormat="1" ht="15.75" spans="1:5">
      <c r="A492" s="6"/>
      <c r="B492" s="7"/>
      <c r="C492" s="6"/>
      <c r="D492" s="10"/>
      <c r="E492" s="3"/>
    </row>
    <row r="493" s="2" customFormat="1" ht="15.75" spans="1:5">
      <c r="A493" s="6"/>
      <c r="B493" s="7"/>
      <c r="C493" s="6"/>
      <c r="D493" s="10"/>
      <c r="E493" s="3"/>
    </row>
    <row r="494" s="2" customFormat="1" ht="15.75" spans="1:5">
      <c r="A494" s="6"/>
      <c r="B494" s="7"/>
      <c r="C494" s="6"/>
      <c r="D494" s="10"/>
      <c r="E494" s="3"/>
    </row>
    <row r="495" s="2" customFormat="1" ht="15.75" spans="1:5">
      <c r="A495" s="6"/>
      <c r="B495" s="7"/>
      <c r="C495" s="6"/>
      <c r="D495" s="10"/>
      <c r="E495" s="3"/>
    </row>
    <row r="496" s="2" customFormat="1" ht="15.75" spans="1:5">
      <c r="A496" s="6"/>
      <c r="B496" s="7"/>
      <c r="C496" s="6"/>
      <c r="D496" s="10"/>
      <c r="E496" s="3"/>
    </row>
    <row r="497" s="2" customFormat="1" ht="15.75" spans="1:5">
      <c r="A497" s="6"/>
      <c r="B497" s="7"/>
      <c r="C497" s="6"/>
      <c r="D497" s="10"/>
      <c r="E497" s="3"/>
    </row>
    <row r="498" s="2" customFormat="1" ht="15.75" spans="1:5">
      <c r="A498" s="6"/>
      <c r="B498" s="7"/>
      <c r="C498" s="6"/>
      <c r="D498" s="10"/>
      <c r="E498" s="3"/>
    </row>
    <row r="499" s="2" customFormat="1" ht="15.75" spans="1:5">
      <c r="A499" s="6"/>
      <c r="B499" s="7"/>
      <c r="C499" s="6"/>
      <c r="D499" s="10"/>
      <c r="E499" s="3"/>
    </row>
    <row r="500" s="2" customFormat="1" ht="15.75" spans="1:5">
      <c r="A500" s="6"/>
      <c r="B500" s="7"/>
      <c r="C500" s="6"/>
      <c r="D500" s="10"/>
      <c r="E500" s="3"/>
    </row>
    <row r="501" s="2" customFormat="1" ht="15.75" spans="1:5">
      <c r="A501" s="9"/>
      <c r="B501" s="7"/>
      <c r="C501" s="6"/>
      <c r="D501" s="10"/>
      <c r="E501" s="3"/>
    </row>
    <row r="502" s="2" customFormat="1" ht="15.75" spans="1:5">
      <c r="A502" s="6"/>
      <c r="B502" s="7"/>
      <c r="C502" s="6"/>
      <c r="D502" s="10"/>
      <c r="E502" s="3"/>
    </row>
    <row r="503" s="2" customFormat="1" ht="15.75" spans="1:5">
      <c r="A503" s="6"/>
      <c r="B503" s="7"/>
      <c r="C503" s="6"/>
      <c r="D503" s="11"/>
      <c r="E503" s="3"/>
    </row>
    <row r="504" s="2" customFormat="1" ht="15.75" spans="1:5">
      <c r="A504" s="6"/>
      <c r="B504" s="7"/>
      <c r="C504" s="6"/>
      <c r="D504" s="10"/>
      <c r="E504" s="3"/>
    </row>
    <row r="505" s="2" customFormat="1" ht="15.75" spans="1:5">
      <c r="A505" s="6"/>
      <c r="B505" s="7"/>
      <c r="C505" s="6"/>
      <c r="D505" s="10"/>
      <c r="E505" s="3"/>
    </row>
    <row r="506" s="2" customFormat="1" ht="15.75" spans="1:5">
      <c r="A506" s="6"/>
      <c r="B506" s="7"/>
      <c r="C506" s="6"/>
      <c r="D506" s="10"/>
      <c r="E506" s="3"/>
    </row>
    <row r="507" s="2" customFormat="1" ht="15.75" spans="1:5">
      <c r="A507" s="6"/>
      <c r="B507" s="7"/>
      <c r="C507" s="6"/>
      <c r="D507" s="10"/>
      <c r="E507" s="3"/>
    </row>
    <row r="508" s="2" customFormat="1" ht="15.75" spans="1:5">
      <c r="A508" s="6"/>
      <c r="B508" s="7"/>
      <c r="C508" s="6"/>
      <c r="D508" s="10"/>
      <c r="E508" s="3"/>
    </row>
    <row r="509" s="2" customFormat="1" ht="15.75" spans="1:5">
      <c r="A509" s="6"/>
      <c r="B509" s="7"/>
      <c r="C509" s="6"/>
      <c r="D509" s="10"/>
      <c r="E509" s="3"/>
    </row>
    <row r="510" s="2" customFormat="1" ht="15.75" spans="1:5">
      <c r="A510" s="6"/>
      <c r="B510" s="7"/>
      <c r="C510" s="6"/>
      <c r="D510" s="3"/>
      <c r="E510" s="3"/>
    </row>
    <row r="511" s="2" customFormat="1" ht="15.75" spans="1:5">
      <c r="A511" s="6"/>
      <c r="B511" s="7"/>
      <c r="C511" s="6"/>
      <c r="D511" s="3"/>
      <c r="E511" s="3"/>
    </row>
    <row r="512" s="2" customFormat="1" ht="15.75" spans="1:5">
      <c r="A512" s="6"/>
      <c r="B512" s="7"/>
      <c r="C512" s="6"/>
      <c r="D512" s="3"/>
      <c r="E512" s="3"/>
    </row>
    <row r="513" s="2" customFormat="1" ht="15.75" spans="1:5">
      <c r="A513" s="6"/>
      <c r="B513" s="7"/>
      <c r="C513" s="6"/>
      <c r="D513" s="3"/>
      <c r="E513" s="3"/>
    </row>
    <row r="514" s="2" customFormat="1" ht="15.75" spans="1:5">
      <c r="A514" s="6"/>
      <c r="B514" s="7"/>
      <c r="C514" s="6"/>
      <c r="D514" s="3"/>
      <c r="E514" s="3"/>
    </row>
    <row r="515" s="2" customFormat="1" ht="15.75" spans="1:5">
      <c r="A515" s="6"/>
      <c r="B515" s="7"/>
      <c r="C515" s="6"/>
      <c r="D515" s="3"/>
      <c r="E515" s="3"/>
    </row>
    <row r="516" s="2" customFormat="1" ht="15.75" spans="1:5">
      <c r="A516" s="6"/>
      <c r="B516" s="7"/>
      <c r="C516" s="6"/>
      <c r="D516" s="3"/>
      <c r="E516" s="3"/>
    </row>
    <row r="517" s="2" customFormat="1" ht="15.75" spans="1:5">
      <c r="A517" s="6"/>
      <c r="B517" s="7"/>
      <c r="C517" s="6"/>
      <c r="D517" s="3"/>
      <c r="E517" s="3"/>
    </row>
    <row r="518" s="2" customFormat="1" ht="15.75" spans="1:5">
      <c r="A518" s="6"/>
      <c r="B518" s="7"/>
      <c r="C518" s="6"/>
      <c r="D518" s="3"/>
      <c r="E518" s="3"/>
    </row>
    <row r="519" s="2" customFormat="1" ht="15.75" spans="1:5">
      <c r="A519" s="6"/>
      <c r="B519" s="7"/>
      <c r="C519" s="6"/>
      <c r="D519" s="3"/>
      <c r="E519" s="3"/>
    </row>
    <row r="520" s="2" customFormat="1" ht="15.75" spans="1:5">
      <c r="A520" s="6"/>
      <c r="B520" s="7"/>
      <c r="C520" s="6"/>
      <c r="D520" s="3"/>
      <c r="E520" s="3"/>
    </row>
    <row r="521" s="2" customFormat="1" ht="15.75" spans="1:5">
      <c r="A521" s="6"/>
      <c r="B521" s="7"/>
      <c r="C521" s="6"/>
      <c r="D521" s="3"/>
      <c r="E521" s="3"/>
    </row>
    <row r="522" s="2" customFormat="1" ht="15.75" spans="1:5">
      <c r="A522" s="6"/>
      <c r="B522" s="7"/>
      <c r="C522" s="6"/>
      <c r="D522" s="3"/>
      <c r="E522" s="3"/>
    </row>
    <row r="523" s="2" customFormat="1" ht="15.75" spans="1:5">
      <c r="A523" s="6"/>
      <c r="B523" s="7"/>
      <c r="C523" s="6"/>
      <c r="D523" s="3"/>
      <c r="E523" s="3"/>
    </row>
    <row r="524" s="2" customFormat="1" ht="15.75" spans="1:5">
      <c r="A524" s="6"/>
      <c r="B524" s="7"/>
      <c r="C524" s="6"/>
      <c r="D524" s="3"/>
      <c r="E524" s="3"/>
    </row>
    <row r="525" s="2" customFormat="1" ht="15.75" spans="1:5">
      <c r="A525" s="6"/>
      <c r="B525" s="7"/>
      <c r="C525" s="6"/>
      <c r="D525" s="3"/>
      <c r="E525" s="3"/>
    </row>
    <row r="526" s="2" customFormat="1" ht="15.75" spans="1:5">
      <c r="A526" s="6"/>
      <c r="B526" s="7"/>
      <c r="C526" s="6"/>
      <c r="D526" s="3"/>
      <c r="E526" s="3"/>
    </row>
    <row r="527" s="2" customFormat="1" ht="15.75" spans="1:5">
      <c r="A527" s="6"/>
      <c r="B527" s="7"/>
      <c r="C527" s="6"/>
      <c r="D527" s="3"/>
      <c r="E527" s="3"/>
    </row>
    <row r="528" s="2" customFormat="1" ht="15.75" spans="1:5">
      <c r="A528" s="6"/>
      <c r="B528" s="7"/>
      <c r="C528" s="6"/>
      <c r="D528" s="3"/>
      <c r="E528" s="3"/>
    </row>
    <row r="529" s="2" customFormat="1" ht="15.75" spans="1:5">
      <c r="A529" s="6"/>
      <c r="B529" s="7"/>
      <c r="C529" s="6"/>
      <c r="D529" s="3"/>
      <c r="E529" s="3"/>
    </row>
    <row r="530" s="2" customFormat="1" ht="15.75" spans="1:5">
      <c r="A530" s="6"/>
      <c r="B530" s="7"/>
      <c r="C530" s="6"/>
      <c r="D530" s="3"/>
      <c r="E530" s="3"/>
    </row>
    <row r="531" s="2" customFormat="1" ht="15.75" spans="1:5">
      <c r="A531" s="6"/>
      <c r="B531" s="7"/>
      <c r="C531" s="6"/>
      <c r="D531" s="3"/>
      <c r="E531" s="3"/>
    </row>
    <row r="532" s="2" customFormat="1" ht="15.75" spans="1:5">
      <c r="A532" s="6"/>
      <c r="B532" s="7"/>
      <c r="C532" s="6"/>
      <c r="D532" s="3"/>
      <c r="E532" s="3"/>
    </row>
    <row r="533" s="2" customFormat="1" ht="15.75" spans="1:5">
      <c r="A533" s="6"/>
      <c r="B533" s="7"/>
      <c r="C533" s="6"/>
      <c r="D533" s="3"/>
      <c r="E533" s="3"/>
    </row>
    <row r="534" s="2" customFormat="1" ht="15.75" spans="1:5">
      <c r="A534" s="6"/>
      <c r="B534" s="7"/>
      <c r="C534" s="6"/>
      <c r="D534" s="3"/>
      <c r="E534" s="3"/>
    </row>
    <row r="535" s="2" customFormat="1" ht="15.75" spans="1:5">
      <c r="A535" s="6"/>
      <c r="B535" s="7"/>
      <c r="C535" s="6"/>
      <c r="D535" s="3"/>
      <c r="E535" s="3"/>
    </row>
    <row r="536" s="2" customFormat="1" ht="15.75" spans="1:5">
      <c r="A536" s="6"/>
      <c r="B536" s="7"/>
      <c r="C536" s="6"/>
      <c r="D536" s="3"/>
      <c r="E536" s="3"/>
    </row>
    <row r="537" s="2" customFormat="1" ht="15.75" spans="1:5">
      <c r="A537" s="6"/>
      <c r="B537" s="7"/>
      <c r="C537" s="6"/>
      <c r="D537" s="3"/>
      <c r="E537" s="3"/>
    </row>
    <row r="538" s="2" customFormat="1" ht="15.75" spans="1:5">
      <c r="A538" s="6"/>
      <c r="B538" s="7"/>
      <c r="C538" s="6"/>
      <c r="D538" s="3"/>
      <c r="E538" s="3"/>
    </row>
    <row r="539" s="2" customFormat="1" ht="15.75" spans="1:5">
      <c r="A539" s="6"/>
      <c r="B539" s="7"/>
      <c r="C539" s="6"/>
      <c r="D539" s="3"/>
      <c r="E539" s="3"/>
    </row>
    <row r="540" s="2" customFormat="1" ht="15.75" spans="1:5">
      <c r="A540" s="6"/>
      <c r="B540" s="7"/>
      <c r="C540" s="6"/>
      <c r="D540" s="3"/>
      <c r="E540" s="3"/>
    </row>
    <row r="541" s="2" customFormat="1" ht="15.75" spans="1:5">
      <c r="A541" s="6"/>
      <c r="B541" s="7"/>
      <c r="C541" s="6"/>
      <c r="D541" s="3"/>
      <c r="E541" s="3"/>
    </row>
    <row r="542" s="2" customFormat="1" ht="15.75" spans="1:5">
      <c r="A542" s="6"/>
      <c r="B542" s="7"/>
      <c r="C542" s="6"/>
      <c r="D542" s="3"/>
      <c r="E542" s="3"/>
    </row>
    <row r="543" s="2" customFormat="1" ht="15.75" spans="1:5">
      <c r="A543" s="6"/>
      <c r="B543" s="7"/>
      <c r="C543" s="6"/>
      <c r="D543" s="3"/>
      <c r="E543" s="3"/>
    </row>
    <row r="544" s="2" customFormat="1" ht="15.75" spans="1:5">
      <c r="A544" s="6"/>
      <c r="B544" s="7"/>
      <c r="C544" s="6"/>
      <c r="D544" s="3"/>
      <c r="E544" s="3"/>
    </row>
    <row r="545" s="2" customFormat="1" ht="15.75" spans="1:5">
      <c r="A545" s="6"/>
      <c r="B545" s="7"/>
      <c r="C545" s="6"/>
      <c r="D545" s="3"/>
      <c r="E545" s="3"/>
    </row>
    <row r="546" s="2" customFormat="1" ht="15.75" spans="1:5">
      <c r="A546" s="6"/>
      <c r="B546" s="7"/>
      <c r="C546" s="6"/>
      <c r="D546" s="3"/>
      <c r="E546" s="3"/>
    </row>
    <row r="547" s="2" customFormat="1" ht="15.75" spans="1:5">
      <c r="A547" s="6"/>
      <c r="B547" s="7"/>
      <c r="C547" s="6"/>
      <c r="D547" s="3"/>
      <c r="E547" s="3"/>
    </row>
    <row r="548" s="2" customFormat="1" ht="15.75" spans="1:5">
      <c r="A548" s="6"/>
      <c r="B548" s="7"/>
      <c r="C548" s="6"/>
      <c r="D548" s="3"/>
      <c r="E548" s="3"/>
    </row>
    <row r="549" s="2" customFormat="1" ht="15.75" spans="1:5">
      <c r="A549" s="6"/>
      <c r="B549" s="7"/>
      <c r="C549" s="6"/>
      <c r="D549" s="3"/>
      <c r="E549" s="3"/>
    </row>
    <row r="550" s="2" customFormat="1" ht="15.75" spans="1:5">
      <c r="A550" s="6"/>
      <c r="B550" s="7"/>
      <c r="C550" s="6"/>
      <c r="D550" s="3"/>
      <c r="E550" s="3"/>
    </row>
    <row r="551" s="2" customFormat="1" ht="15.75" spans="1:5">
      <c r="A551" s="6"/>
      <c r="B551" s="7"/>
      <c r="C551" s="6"/>
      <c r="D551" s="3"/>
      <c r="E551" s="3"/>
    </row>
    <row r="552" s="2" customFormat="1" ht="15.75" spans="1:5">
      <c r="A552" s="6"/>
      <c r="B552" s="7"/>
      <c r="C552" s="6"/>
      <c r="D552" s="3"/>
      <c r="E552" s="3"/>
    </row>
    <row r="553" s="2" customFormat="1" ht="15.75" spans="1:5">
      <c r="A553" s="6"/>
      <c r="B553" s="7"/>
      <c r="C553" s="6"/>
      <c r="D553" s="3"/>
      <c r="E553" s="3"/>
    </row>
    <row r="554" s="2" customFormat="1" ht="15.75" spans="1:5">
      <c r="A554" s="6"/>
      <c r="B554" s="7"/>
      <c r="C554" s="6"/>
      <c r="D554" s="3"/>
      <c r="E554" s="3"/>
    </row>
    <row r="555" s="2" customFormat="1" ht="15.75" spans="1:5">
      <c r="A555" s="6"/>
      <c r="B555" s="7"/>
      <c r="C555" s="6"/>
      <c r="D555" s="3"/>
      <c r="E555" s="3"/>
    </row>
    <row r="556" s="2" customFormat="1" ht="15.75" spans="1:5">
      <c r="A556" s="6"/>
      <c r="B556" s="7"/>
      <c r="C556" s="6"/>
      <c r="D556" s="3"/>
      <c r="E556" s="3"/>
    </row>
    <row r="557" s="2" customFormat="1" ht="15.75" spans="1:5">
      <c r="A557" s="6"/>
      <c r="B557" s="7"/>
      <c r="C557" s="6"/>
      <c r="D557" s="3"/>
      <c r="E557" s="3"/>
    </row>
    <row r="558" s="2" customFormat="1" ht="15.75" spans="1:5">
      <c r="A558" s="6"/>
      <c r="B558" s="7"/>
      <c r="C558" s="6"/>
      <c r="D558" s="3"/>
      <c r="E558" s="3"/>
    </row>
    <row r="559" s="2" customFormat="1" ht="15.75" spans="1:5">
      <c r="A559" s="6"/>
      <c r="B559" s="7"/>
      <c r="C559" s="6"/>
      <c r="D559" s="3"/>
      <c r="E559" s="3"/>
    </row>
    <row r="560" s="2" customFormat="1" ht="15.75" spans="1:5">
      <c r="A560" s="6"/>
      <c r="B560" s="7"/>
      <c r="C560" s="6"/>
      <c r="D560" s="3"/>
      <c r="E560" s="3"/>
    </row>
    <row r="561" s="2" customFormat="1" ht="15.75" spans="1:5">
      <c r="A561" s="6"/>
      <c r="B561" s="7"/>
      <c r="C561" s="6"/>
      <c r="D561" s="3"/>
      <c r="E561" s="3"/>
    </row>
    <row r="562" s="2" customFormat="1" ht="15.75" spans="1:5">
      <c r="A562" s="6"/>
      <c r="B562" s="7"/>
      <c r="C562" s="6"/>
      <c r="D562" s="3"/>
      <c r="E562" s="3"/>
    </row>
    <row r="563" s="2" customFormat="1" ht="15.75" spans="1:5">
      <c r="A563" s="6"/>
      <c r="B563" s="7"/>
      <c r="C563" s="6"/>
      <c r="D563" s="3"/>
      <c r="E563" s="3"/>
    </row>
    <row r="564" s="2" customFormat="1" ht="15.75" spans="1:5">
      <c r="A564" s="6"/>
      <c r="B564" s="7"/>
      <c r="C564" s="6"/>
      <c r="D564" s="3"/>
      <c r="E564" s="3"/>
    </row>
    <row r="565" s="2" customFormat="1" ht="15.75" spans="1:5">
      <c r="A565" s="6"/>
      <c r="B565" s="7"/>
      <c r="C565" s="6"/>
      <c r="D565" s="3"/>
      <c r="E565" s="3"/>
    </row>
    <row r="566" s="2" customFormat="1" ht="15.75" spans="1:5">
      <c r="A566" s="6"/>
      <c r="B566" s="7"/>
      <c r="C566" s="6"/>
      <c r="D566" s="3"/>
      <c r="E566" s="3"/>
    </row>
    <row r="567" s="2" customFormat="1" ht="15.75" spans="1:5">
      <c r="A567" s="6"/>
      <c r="B567" s="7"/>
      <c r="C567" s="6"/>
      <c r="D567" s="3"/>
      <c r="E567" s="3"/>
    </row>
    <row r="568" s="2" customFormat="1" ht="15.75" spans="1:5">
      <c r="A568" s="6"/>
      <c r="B568" s="7"/>
      <c r="C568" s="6"/>
      <c r="D568" s="3"/>
      <c r="E568" s="3"/>
    </row>
    <row r="569" s="2" customFormat="1" ht="15.75" spans="1:5">
      <c r="A569" s="6"/>
      <c r="B569" s="7"/>
      <c r="C569" s="6"/>
      <c r="D569" s="3"/>
      <c r="E569" s="3"/>
    </row>
    <row r="570" s="2" customFormat="1" ht="15.75" spans="1:5">
      <c r="A570" s="6"/>
      <c r="B570" s="7"/>
      <c r="C570" s="6"/>
      <c r="D570" s="3"/>
      <c r="E570" s="3"/>
    </row>
    <row r="571" s="2" customFormat="1" ht="15.75" spans="1:5">
      <c r="A571" s="6"/>
      <c r="B571" s="7"/>
      <c r="C571" s="6"/>
      <c r="D571" s="3"/>
      <c r="E571" s="3"/>
    </row>
    <row r="572" s="2" customFormat="1" ht="15.75" spans="1:5">
      <c r="A572" s="6"/>
      <c r="B572" s="7"/>
      <c r="C572" s="6"/>
      <c r="D572" s="3"/>
      <c r="E572" s="3"/>
    </row>
    <row r="573" s="2" customFormat="1" ht="15.75" spans="1:5">
      <c r="A573" s="6"/>
      <c r="B573" s="7"/>
      <c r="C573" s="6"/>
      <c r="D573" s="3"/>
      <c r="E573" s="3"/>
    </row>
    <row r="574" s="2" customFormat="1" ht="15.75" spans="1:5">
      <c r="A574" s="6"/>
      <c r="B574" s="7"/>
      <c r="C574" s="6"/>
      <c r="D574" s="3"/>
      <c r="E574" s="3"/>
    </row>
    <row r="575" s="2" customFormat="1" ht="15.75" spans="1:5">
      <c r="A575" s="6"/>
      <c r="B575" s="7"/>
      <c r="C575" s="6"/>
      <c r="D575" s="3"/>
      <c r="E575" s="3"/>
    </row>
    <row r="576" s="2" customFormat="1" ht="15.75" spans="1:5">
      <c r="A576" s="6"/>
      <c r="B576" s="7"/>
      <c r="C576" s="6"/>
      <c r="D576" s="3"/>
      <c r="E576" s="3"/>
    </row>
    <row r="577" s="2" customFormat="1" ht="15.75" spans="1:5">
      <c r="A577" s="6"/>
      <c r="B577" s="7"/>
      <c r="C577" s="6"/>
      <c r="D577" s="3"/>
      <c r="E577" s="3"/>
    </row>
    <row r="578" s="2" customFormat="1" ht="15.75" spans="1:5">
      <c r="A578" s="6"/>
      <c r="B578" s="7"/>
      <c r="C578" s="6"/>
      <c r="D578" s="3"/>
      <c r="E578" s="3"/>
    </row>
    <row r="579" s="2" customFormat="1" ht="15.75" spans="1:5">
      <c r="A579" s="6"/>
      <c r="B579" s="7"/>
      <c r="C579" s="6"/>
      <c r="D579" s="3"/>
      <c r="E579" s="3"/>
    </row>
    <row r="580" s="2" customFormat="1" ht="15.75" spans="1:5">
      <c r="A580" s="6"/>
      <c r="B580" s="7"/>
      <c r="C580" s="6"/>
      <c r="D580" s="3"/>
      <c r="E580" s="3"/>
    </row>
    <row r="581" s="2" customFormat="1" ht="15.75" spans="1:5">
      <c r="A581" s="6"/>
      <c r="B581" s="7"/>
      <c r="C581" s="6"/>
      <c r="D581" s="3"/>
      <c r="E581" s="3"/>
    </row>
    <row r="582" s="2" customFormat="1" ht="15.75" spans="1:5">
      <c r="A582" s="6"/>
      <c r="B582" s="7"/>
      <c r="C582" s="6"/>
      <c r="D582" s="3"/>
      <c r="E582" s="3"/>
    </row>
    <row r="583" s="2" customFormat="1" ht="15.75" spans="1:5">
      <c r="A583" s="6"/>
      <c r="B583" s="7"/>
      <c r="C583" s="6"/>
      <c r="D583" s="3"/>
      <c r="E583" s="3"/>
    </row>
    <row r="584" s="2" customFormat="1" ht="15.75" spans="1:5">
      <c r="A584" s="6"/>
      <c r="B584" s="7"/>
      <c r="C584" s="6"/>
      <c r="D584" s="3"/>
      <c r="E584" s="3"/>
    </row>
    <row r="585" s="2" customFormat="1" ht="15.75" spans="1:5">
      <c r="A585" s="6"/>
      <c r="B585" s="7"/>
      <c r="C585" s="6"/>
      <c r="D585" s="3"/>
      <c r="E585" s="3"/>
    </row>
    <row r="586" s="2" customFormat="1" ht="15.75" spans="1:5">
      <c r="A586" s="6"/>
      <c r="B586" s="7"/>
      <c r="C586" s="6"/>
      <c r="D586" s="3"/>
      <c r="E586" s="3"/>
    </row>
    <row r="587" s="2" customFormat="1" ht="15.75" spans="1:5">
      <c r="A587" s="6"/>
      <c r="B587" s="7"/>
      <c r="C587" s="6"/>
      <c r="D587" s="3"/>
      <c r="E587" s="3"/>
    </row>
    <row r="588" s="2" customFormat="1" ht="15.75" spans="1:5">
      <c r="A588" s="6"/>
      <c r="B588" s="7"/>
      <c r="C588" s="6"/>
      <c r="D588" s="3"/>
      <c r="E588" s="3"/>
    </row>
    <row r="589" s="2" customFormat="1" ht="15.75" spans="1:5">
      <c r="A589" s="6"/>
      <c r="B589" s="7"/>
      <c r="C589" s="6"/>
      <c r="D589" s="3"/>
      <c r="E589" s="3"/>
    </row>
    <row r="590" s="2" customFormat="1" ht="15.75" spans="1:5">
      <c r="A590" s="6"/>
      <c r="B590" s="7"/>
      <c r="C590" s="6"/>
      <c r="D590" s="3"/>
      <c r="E590" s="3"/>
    </row>
    <row r="591" s="2" customFormat="1" ht="15.75" spans="1:5">
      <c r="A591" s="6"/>
      <c r="B591" s="7"/>
      <c r="C591" s="6"/>
      <c r="D591" s="3"/>
      <c r="E591" s="3"/>
    </row>
    <row r="592" s="2" customFormat="1" ht="15.75" spans="1:5">
      <c r="A592" s="6"/>
      <c r="B592" s="7"/>
      <c r="C592" s="6"/>
      <c r="D592" s="3"/>
      <c r="E592" s="3"/>
    </row>
    <row r="593" s="2" customFormat="1" ht="15.75" spans="1:5">
      <c r="A593" s="6"/>
      <c r="B593" s="7"/>
      <c r="C593" s="6"/>
      <c r="D593" s="3"/>
      <c r="E593" s="3"/>
    </row>
    <row r="594" s="2" customFormat="1" ht="15.75" spans="1:5">
      <c r="A594" s="6"/>
      <c r="B594" s="7"/>
      <c r="C594" s="6"/>
      <c r="D594" s="3"/>
      <c r="E594" s="3"/>
    </row>
    <row r="595" s="2" customFormat="1" ht="15.75" spans="1:5">
      <c r="A595" s="6"/>
      <c r="B595" s="7"/>
      <c r="C595" s="6"/>
      <c r="D595" s="3"/>
      <c r="E595" s="3"/>
    </row>
    <row r="596" s="2" customFormat="1" ht="15.75" spans="1:5">
      <c r="A596" s="6"/>
      <c r="B596" s="7"/>
      <c r="C596" s="6"/>
      <c r="D596" s="3"/>
      <c r="E596" s="3"/>
    </row>
    <row r="597" s="2" customFormat="1" ht="15.75" spans="1:5">
      <c r="A597" s="6"/>
      <c r="B597" s="7"/>
      <c r="C597" s="6"/>
      <c r="D597" s="3"/>
      <c r="E597" s="3"/>
    </row>
    <row r="598" s="2" customFormat="1" ht="15.75" spans="1:5">
      <c r="A598" s="6"/>
      <c r="B598" s="7"/>
      <c r="C598" s="6"/>
      <c r="D598" s="3"/>
      <c r="E598" s="3"/>
    </row>
    <row r="599" s="2" customFormat="1" ht="15.75" spans="1:5">
      <c r="A599" s="6"/>
      <c r="B599" s="7"/>
      <c r="C599" s="6"/>
      <c r="D599" s="3"/>
      <c r="E599" s="3"/>
    </row>
    <row r="600" s="2" customFormat="1" ht="15.75" spans="1:5">
      <c r="A600" s="6"/>
      <c r="B600" s="7"/>
      <c r="C600" s="6"/>
      <c r="D600" s="3"/>
      <c r="E600" s="3"/>
    </row>
    <row r="601" s="2" customFormat="1" ht="15.75" spans="1:5">
      <c r="A601" s="6"/>
      <c r="B601" s="7"/>
      <c r="C601" s="6"/>
      <c r="D601" s="3"/>
      <c r="E601" s="3"/>
    </row>
    <row r="602" s="2" customFormat="1" ht="15.75" spans="1:5">
      <c r="A602" s="6"/>
      <c r="B602" s="7"/>
      <c r="C602" s="6"/>
      <c r="D602" s="3"/>
      <c r="E602" s="3"/>
    </row>
    <row r="603" s="2" customFormat="1" ht="15.75" spans="1:5">
      <c r="A603" s="6"/>
      <c r="B603" s="7"/>
      <c r="C603" s="6"/>
      <c r="D603" s="3"/>
      <c r="E603" s="3"/>
    </row>
    <row r="604" s="2" customFormat="1" ht="15.75" spans="1:5">
      <c r="A604" s="6"/>
      <c r="B604" s="7"/>
      <c r="C604" s="6"/>
      <c r="D604" s="3"/>
      <c r="E604" s="3"/>
    </row>
    <row r="605" s="2" customFormat="1" ht="15.75" spans="1:5">
      <c r="A605" s="6"/>
      <c r="B605" s="7"/>
      <c r="C605" s="6"/>
      <c r="D605" s="3"/>
      <c r="E605" s="3"/>
    </row>
    <row r="606" s="2" customFormat="1" ht="15.75" spans="1:5">
      <c r="A606" s="6"/>
      <c r="B606" s="7"/>
      <c r="C606" s="6"/>
      <c r="D606" s="3"/>
      <c r="E606" s="3"/>
    </row>
    <row r="607" s="2" customFormat="1" ht="15.75" spans="1:5">
      <c r="A607" s="6"/>
      <c r="B607" s="7"/>
      <c r="C607" s="6"/>
      <c r="D607" s="3"/>
      <c r="E607" s="3"/>
    </row>
    <row r="608" s="2" customFormat="1" ht="15.75" spans="1:5">
      <c r="A608" s="6"/>
      <c r="B608" s="7"/>
      <c r="C608" s="6"/>
      <c r="D608" s="3"/>
      <c r="E608" s="3"/>
    </row>
    <row r="609" s="2" customFormat="1" ht="15.75" spans="1:5">
      <c r="A609" s="6"/>
      <c r="B609" s="7"/>
      <c r="C609" s="6"/>
      <c r="D609" s="3"/>
      <c r="E609" s="3"/>
    </row>
    <row r="610" s="2" customFormat="1" ht="15.75" spans="1:5">
      <c r="A610" s="6"/>
      <c r="B610" s="7"/>
      <c r="C610" s="6"/>
      <c r="D610" s="3"/>
      <c r="E610" s="3"/>
    </row>
    <row r="611" s="2" customFormat="1" ht="15.75" spans="1:5">
      <c r="A611" s="6"/>
      <c r="B611" s="7"/>
      <c r="C611" s="6"/>
      <c r="D611" s="3"/>
      <c r="E611" s="3"/>
    </row>
    <row r="612" s="2" customFormat="1" ht="15.75" spans="1:5">
      <c r="A612" s="6"/>
      <c r="B612" s="7"/>
      <c r="C612" s="6"/>
      <c r="D612" s="3"/>
      <c r="E612" s="3"/>
    </row>
    <row r="613" s="2" customFormat="1" ht="15.75" spans="1:5">
      <c r="A613" s="6"/>
      <c r="B613" s="7"/>
      <c r="C613" s="6"/>
      <c r="D613" s="3"/>
      <c r="E613" s="3"/>
    </row>
    <row r="614" s="2" customFormat="1" ht="15.75" spans="1:5">
      <c r="A614" s="6"/>
      <c r="B614" s="7"/>
      <c r="C614" s="6"/>
      <c r="D614" s="3"/>
      <c r="E614" s="3"/>
    </row>
    <row r="615" s="2" customFormat="1" ht="15.75" spans="1:5">
      <c r="A615" s="6"/>
      <c r="B615" s="7"/>
      <c r="C615" s="6"/>
      <c r="D615" s="3"/>
      <c r="E615" s="3"/>
    </row>
    <row r="616" s="2" customFormat="1" ht="15.75" spans="1:5">
      <c r="A616" s="6"/>
      <c r="B616" s="7"/>
      <c r="C616" s="6"/>
      <c r="D616" s="3"/>
      <c r="E616" s="3"/>
    </row>
    <row r="617" s="2" customFormat="1" ht="15.75" spans="1:5">
      <c r="A617" s="6"/>
      <c r="B617" s="7"/>
      <c r="C617" s="6"/>
      <c r="D617" s="3"/>
      <c r="E617" s="3"/>
    </row>
    <row r="618" s="2" customFormat="1" ht="15.75" spans="1:5">
      <c r="A618" s="6"/>
      <c r="B618" s="7"/>
      <c r="C618" s="6"/>
      <c r="D618" s="3"/>
      <c r="E618" s="3"/>
    </row>
    <row r="619" s="2" customFormat="1" ht="15.75" spans="1:5">
      <c r="A619" s="6"/>
      <c r="B619" s="7"/>
      <c r="C619" s="6"/>
      <c r="D619" s="3"/>
      <c r="E619" s="3"/>
    </row>
    <row r="620" s="2" customFormat="1" ht="15.75" spans="1:5">
      <c r="A620" s="6"/>
      <c r="B620" s="7"/>
      <c r="C620" s="6"/>
      <c r="D620" s="3"/>
      <c r="E620" s="3"/>
    </row>
    <row r="621" s="2" customFormat="1" ht="15.75" spans="1:5">
      <c r="A621" s="6"/>
      <c r="B621" s="7"/>
      <c r="C621" s="6"/>
      <c r="D621" s="3"/>
      <c r="E621" s="3"/>
    </row>
    <row r="622" s="2" customFormat="1" ht="15.75" spans="1:5">
      <c r="A622" s="6"/>
      <c r="B622" s="7"/>
      <c r="C622" s="6"/>
      <c r="D622" s="3"/>
      <c r="E622" s="3"/>
    </row>
    <row r="623" s="2" customFormat="1" ht="15.75" spans="1:5">
      <c r="A623" s="6"/>
      <c r="B623" s="7"/>
      <c r="C623" s="6"/>
      <c r="D623" s="3"/>
      <c r="E623" s="3"/>
    </row>
    <row r="624" s="2" customFormat="1" ht="15.75" spans="1:5">
      <c r="A624" s="6"/>
      <c r="B624" s="7"/>
      <c r="C624" s="6"/>
      <c r="D624" s="3"/>
      <c r="E624" s="3"/>
    </row>
    <row r="625" s="2" customFormat="1" ht="15.75" spans="1:5">
      <c r="A625" s="6"/>
      <c r="B625" s="7"/>
      <c r="C625" s="6"/>
      <c r="D625" s="3"/>
      <c r="E625" s="3"/>
    </row>
    <row r="626" s="2" customFormat="1" ht="15.75" spans="1:5">
      <c r="A626" s="6"/>
      <c r="B626" s="7"/>
      <c r="C626" s="6"/>
      <c r="D626" s="3"/>
      <c r="E626" s="3"/>
    </row>
    <row r="627" s="2" customFormat="1" ht="15.75" spans="1:5">
      <c r="A627" s="6"/>
      <c r="B627" s="7"/>
      <c r="C627" s="6"/>
      <c r="D627" s="3"/>
      <c r="E627" s="3"/>
    </row>
    <row r="628" s="2" customFormat="1" ht="15.75" spans="1:5">
      <c r="A628" s="6"/>
      <c r="B628" s="7"/>
      <c r="C628" s="6"/>
      <c r="D628" s="3"/>
      <c r="E628" s="3"/>
    </row>
    <row r="629" s="2" customFormat="1" ht="15.75" spans="1:5">
      <c r="A629" s="6"/>
      <c r="B629" s="7"/>
      <c r="C629" s="6"/>
      <c r="D629" s="3"/>
      <c r="E629" s="3"/>
    </row>
    <row r="630" s="2" customFormat="1" ht="15.75" spans="1:5">
      <c r="A630" s="6"/>
      <c r="B630" s="7"/>
      <c r="C630" s="6"/>
      <c r="D630" s="3"/>
      <c r="E630" s="3"/>
    </row>
    <row r="631" s="2" customFormat="1" ht="15.75" spans="1:5">
      <c r="A631" s="6"/>
      <c r="B631" s="7"/>
      <c r="C631" s="6"/>
      <c r="D631" s="3"/>
      <c r="E631" s="3"/>
    </row>
    <row r="632" s="2" customFormat="1" ht="15.75" spans="1:5">
      <c r="A632" s="6"/>
      <c r="B632" s="7"/>
      <c r="C632" s="6"/>
      <c r="D632" s="3"/>
      <c r="E632" s="3"/>
    </row>
    <row r="633" s="2" customFormat="1" ht="15.75" spans="1:5">
      <c r="A633" s="6"/>
      <c r="B633" s="7"/>
      <c r="C633" s="6"/>
      <c r="D633" s="3"/>
      <c r="E633" s="3"/>
    </row>
    <row r="634" s="2" customFormat="1" ht="15.75" spans="1:5">
      <c r="A634" s="6"/>
      <c r="B634" s="7"/>
      <c r="C634" s="6"/>
      <c r="D634" s="3"/>
      <c r="E634" s="3"/>
    </row>
    <row r="635" s="2" customFormat="1" ht="15.75" spans="1:5">
      <c r="A635" s="6"/>
      <c r="B635" s="7"/>
      <c r="C635" s="6"/>
      <c r="D635" s="3"/>
      <c r="E635" s="3"/>
    </row>
    <row r="636" s="2" customFormat="1" ht="15.75" spans="1:5">
      <c r="A636" s="6"/>
      <c r="B636" s="7"/>
      <c r="C636" s="6"/>
      <c r="D636" s="3"/>
      <c r="E636" s="3"/>
    </row>
    <row r="637" s="2" customFormat="1" ht="15.75" spans="1:5">
      <c r="A637" s="6"/>
      <c r="B637" s="7"/>
      <c r="C637" s="6"/>
      <c r="D637" s="3"/>
      <c r="E637" s="3"/>
    </row>
    <row r="638" s="2" customFormat="1" ht="15.75" spans="1:5">
      <c r="A638" s="6"/>
      <c r="B638" s="7"/>
      <c r="C638" s="6"/>
      <c r="D638" s="3"/>
      <c r="E638" s="3"/>
    </row>
    <row r="639" s="2" customFormat="1" ht="15.75" spans="1:5">
      <c r="A639" s="6"/>
      <c r="B639" s="7"/>
      <c r="C639" s="6"/>
      <c r="D639" s="3"/>
      <c r="E639" s="3"/>
    </row>
    <row r="640" s="2" customFormat="1" ht="15.75" spans="1:5">
      <c r="A640" s="6"/>
      <c r="B640" s="7"/>
      <c r="C640" s="6"/>
      <c r="D640" s="3"/>
      <c r="E640" s="3"/>
    </row>
    <row r="641" s="2" customFormat="1" ht="15.75" spans="1:5">
      <c r="A641" s="6"/>
      <c r="B641" s="7"/>
      <c r="C641" s="6"/>
      <c r="D641" s="3"/>
      <c r="E641" s="3"/>
    </row>
    <row r="642" s="2" customFormat="1" ht="15.75" spans="1:5">
      <c r="A642" s="6"/>
      <c r="B642" s="7"/>
      <c r="C642" s="6"/>
      <c r="D642" s="3"/>
      <c r="E642" s="3"/>
    </row>
    <row r="643" s="2" customFormat="1" ht="15.75" spans="1:5">
      <c r="A643" s="6"/>
      <c r="B643" s="7"/>
      <c r="C643" s="6"/>
      <c r="D643" s="3"/>
      <c r="E643" s="3"/>
    </row>
    <row r="644" s="2" customFormat="1" ht="15.75" spans="1:5">
      <c r="A644" s="6"/>
      <c r="B644" s="7"/>
      <c r="C644" s="6"/>
      <c r="D644" s="3"/>
      <c r="E644" s="3"/>
    </row>
    <row r="645" s="2" customFormat="1" ht="15.75" spans="1:5">
      <c r="A645" s="6"/>
      <c r="B645" s="7"/>
      <c r="C645" s="6"/>
      <c r="D645" s="3"/>
      <c r="E645" s="3"/>
    </row>
    <row r="646" s="2" customFormat="1" ht="15.75" spans="1:5">
      <c r="A646" s="6"/>
      <c r="B646" s="7"/>
      <c r="C646" s="6"/>
      <c r="D646" s="3"/>
      <c r="E646" s="3"/>
    </row>
    <row r="647" s="2" customFormat="1" ht="15.75" spans="1:5">
      <c r="A647" s="6"/>
      <c r="B647" s="7"/>
      <c r="C647" s="6"/>
      <c r="D647" s="3"/>
      <c r="E647" s="3"/>
    </row>
    <row r="648" s="2" customFormat="1" ht="15.75" spans="1:5">
      <c r="A648" s="6"/>
      <c r="B648" s="7"/>
      <c r="C648" s="6"/>
      <c r="D648" s="3"/>
      <c r="E648" s="3"/>
    </row>
    <row r="649" s="2" customFormat="1" ht="15.75" spans="1:5">
      <c r="A649" s="6"/>
      <c r="B649" s="7"/>
      <c r="C649" s="6"/>
      <c r="D649" s="3"/>
      <c r="E649" s="3"/>
    </row>
    <row r="650" s="2" customFormat="1" ht="15.75" spans="1:5">
      <c r="A650" s="6"/>
      <c r="B650" s="7"/>
      <c r="C650" s="6"/>
      <c r="D650" s="3"/>
      <c r="E650" s="3"/>
    </row>
    <row r="651" s="2" customFormat="1" ht="15.75" spans="1:5">
      <c r="A651" s="6"/>
      <c r="B651" s="7"/>
      <c r="C651" s="6"/>
      <c r="D651" s="3"/>
      <c r="E651" s="3"/>
    </row>
    <row r="652" s="2" customFormat="1" ht="15.75" spans="1:5">
      <c r="A652" s="6"/>
      <c r="B652" s="7"/>
      <c r="C652" s="6"/>
      <c r="D652" s="3"/>
      <c r="E652" s="3"/>
    </row>
    <row r="653" s="2" customFormat="1" ht="15.75" spans="1:5">
      <c r="A653" s="6"/>
      <c r="B653" s="7"/>
      <c r="C653" s="6"/>
      <c r="D653" s="3"/>
      <c r="E653" s="3"/>
    </row>
    <row r="654" s="2" customFormat="1" ht="15.75" spans="1:5">
      <c r="A654" s="6"/>
      <c r="B654" s="7"/>
      <c r="C654" s="6"/>
      <c r="D654" s="3"/>
      <c r="E654" s="3"/>
    </row>
    <row r="655" s="2" customFormat="1" ht="15.75" spans="1:5">
      <c r="A655" s="6"/>
      <c r="B655" s="7"/>
      <c r="C655" s="6"/>
      <c r="D655" s="3"/>
      <c r="E655" s="3"/>
    </row>
    <row r="656" s="2" customFormat="1" ht="15.75" spans="1:5">
      <c r="A656" s="6"/>
      <c r="B656" s="7"/>
      <c r="C656" s="6"/>
      <c r="D656" s="3"/>
      <c r="E656" s="3"/>
    </row>
    <row r="657" s="2" customFormat="1" ht="15.75" spans="1:5">
      <c r="A657" s="6"/>
      <c r="B657" s="7"/>
      <c r="C657" s="6"/>
      <c r="D657" s="3"/>
      <c r="E657" s="3"/>
    </row>
    <row r="658" s="2" customFormat="1" ht="15.75" spans="1:5">
      <c r="A658" s="6"/>
      <c r="B658" s="7"/>
      <c r="C658" s="6"/>
      <c r="D658" s="3"/>
      <c r="E658" s="3"/>
    </row>
    <row r="659" s="2" customFormat="1" ht="15.75" spans="1:5">
      <c r="A659" s="6"/>
      <c r="B659" s="7"/>
      <c r="C659" s="6"/>
      <c r="D659" s="3"/>
      <c r="E659" s="3"/>
    </row>
    <row r="660" s="2" customFormat="1" ht="15.75" spans="1:5">
      <c r="A660" s="6"/>
      <c r="B660" s="7"/>
      <c r="C660" s="6"/>
      <c r="D660" s="3"/>
      <c r="E660" s="3"/>
    </row>
    <row r="661" s="2" customFormat="1" ht="15.75" spans="1:5">
      <c r="A661" s="6"/>
      <c r="B661" s="7"/>
      <c r="C661" s="6"/>
      <c r="D661" s="3"/>
      <c r="E661" s="3"/>
    </row>
    <row r="662" s="2" customFormat="1" ht="15.75" spans="1:5">
      <c r="A662" s="6"/>
      <c r="B662" s="7"/>
      <c r="C662" s="6"/>
      <c r="D662" s="3"/>
      <c r="E662" s="3"/>
    </row>
    <row r="663" s="2" customFormat="1" ht="15.75" spans="1:5">
      <c r="A663" s="6"/>
      <c r="B663" s="7"/>
      <c r="C663" s="6"/>
      <c r="D663" s="3"/>
      <c r="E663" s="3"/>
    </row>
    <row r="664" s="2" customFormat="1" ht="15.75" spans="1:5">
      <c r="A664" s="6"/>
      <c r="B664" s="7"/>
      <c r="C664" s="6"/>
      <c r="D664" s="3"/>
      <c r="E664" s="3"/>
    </row>
    <row r="665" s="2" customFormat="1" ht="15.75" spans="1:5">
      <c r="A665" s="6"/>
      <c r="B665" s="7"/>
      <c r="C665" s="6"/>
      <c r="D665" s="3"/>
      <c r="E665" s="3"/>
    </row>
    <row r="666" s="2" customFormat="1" ht="15.75" spans="1:5">
      <c r="A666" s="6"/>
      <c r="B666" s="7"/>
      <c r="C666" s="6"/>
      <c r="D666" s="3"/>
      <c r="E666" s="3"/>
    </row>
    <row r="667" s="2" customFormat="1" ht="15.75" spans="1:5">
      <c r="A667" s="6"/>
      <c r="B667" s="7"/>
      <c r="C667" s="6"/>
      <c r="D667" s="3"/>
      <c r="E667" s="3"/>
    </row>
    <row r="668" s="2" customFormat="1" ht="15.75" spans="1:5">
      <c r="A668" s="6"/>
      <c r="B668" s="7"/>
      <c r="C668" s="6"/>
      <c r="D668" s="3"/>
      <c r="E668" s="3"/>
    </row>
    <row r="669" s="2" customFormat="1" ht="15.75" spans="1:5">
      <c r="A669" s="6"/>
      <c r="B669" s="7"/>
      <c r="C669" s="6"/>
      <c r="D669" s="3"/>
      <c r="E669" s="3"/>
    </row>
    <row r="670" s="2" customFormat="1" ht="15.75" spans="1:5">
      <c r="A670" s="6"/>
      <c r="B670" s="7"/>
      <c r="C670" s="6"/>
      <c r="D670" s="3"/>
      <c r="E670" s="3"/>
    </row>
    <row r="671" s="2" customFormat="1" ht="15.75" spans="1:5">
      <c r="A671" s="6"/>
      <c r="B671" s="7"/>
      <c r="C671" s="6"/>
      <c r="D671" s="3"/>
      <c r="E671" s="3"/>
    </row>
    <row r="672" s="2" customFormat="1" ht="15.75" spans="1:5">
      <c r="A672" s="6"/>
      <c r="B672" s="7"/>
      <c r="C672" s="6"/>
      <c r="D672" s="3"/>
      <c r="E672" s="3"/>
    </row>
    <row r="673" s="2" customFormat="1" ht="15.75" spans="1:5">
      <c r="A673" s="6"/>
      <c r="B673" s="7"/>
      <c r="C673" s="6"/>
      <c r="D673" s="3"/>
      <c r="E673" s="3"/>
    </row>
    <row r="674" s="2" customFormat="1" ht="15.75" spans="1:5">
      <c r="A674" s="6"/>
      <c r="B674" s="7"/>
      <c r="C674" s="6"/>
      <c r="D674" s="3"/>
      <c r="E674" s="3"/>
    </row>
    <row r="675" s="2" customFormat="1" ht="15.75" spans="1:5">
      <c r="A675" s="6"/>
      <c r="B675" s="7"/>
      <c r="C675" s="6"/>
      <c r="D675" s="3"/>
      <c r="E675" s="3"/>
    </row>
    <row r="676" s="2" customFormat="1" ht="15.75" spans="1:5">
      <c r="A676" s="6"/>
      <c r="B676" s="7"/>
      <c r="C676" s="6"/>
      <c r="D676" s="3"/>
      <c r="E676" s="3"/>
    </row>
    <row r="677" s="2" customFormat="1" ht="15.75" spans="1:5">
      <c r="A677" s="6"/>
      <c r="B677" s="7"/>
      <c r="C677" s="6"/>
      <c r="D677" s="3"/>
      <c r="E677" s="3"/>
    </row>
    <row r="678" s="2" customFormat="1" ht="15.75" spans="1:5">
      <c r="A678" s="6"/>
      <c r="B678" s="7"/>
      <c r="C678" s="6"/>
      <c r="D678" s="3"/>
      <c r="E678" s="3"/>
    </row>
    <row r="679" s="2" customFormat="1" ht="15.75" spans="1:5">
      <c r="A679" s="6"/>
      <c r="B679" s="7"/>
      <c r="C679" s="6"/>
      <c r="D679" s="3"/>
      <c r="E679" s="3"/>
    </row>
    <row r="680" s="2" customFormat="1" ht="15.75" spans="1:5">
      <c r="A680" s="6"/>
      <c r="B680" s="7"/>
      <c r="C680" s="6"/>
      <c r="D680" s="3"/>
      <c r="E680" s="3"/>
    </row>
    <row r="681" s="2" customFormat="1" ht="15.75" spans="1:5">
      <c r="A681" s="6"/>
      <c r="B681" s="7"/>
      <c r="C681" s="6"/>
      <c r="D681" s="3"/>
      <c r="E681" s="3"/>
    </row>
    <row r="682" s="2" customFormat="1" ht="15.75" spans="1:5">
      <c r="A682" s="6"/>
      <c r="B682" s="7"/>
      <c r="C682" s="6"/>
      <c r="D682" s="3"/>
      <c r="E682" s="3"/>
    </row>
    <row r="683" s="2" customFormat="1" ht="15.75" spans="1:5">
      <c r="A683" s="6"/>
      <c r="B683" s="7"/>
      <c r="C683" s="6"/>
      <c r="D683" s="3"/>
      <c r="E683" s="3"/>
    </row>
    <row r="684" s="2" customFormat="1" ht="15.75" spans="1:5">
      <c r="A684" s="6"/>
      <c r="B684" s="7"/>
      <c r="C684" s="6"/>
      <c r="D684" s="3"/>
      <c r="E684" s="3"/>
    </row>
    <row r="685" s="2" customFormat="1" ht="15.75" spans="1:5">
      <c r="A685" s="6"/>
      <c r="B685" s="7"/>
      <c r="C685" s="6"/>
      <c r="D685" s="3"/>
      <c r="E685" s="3"/>
    </row>
    <row r="686" s="2" customFormat="1" ht="15.75" spans="1:5">
      <c r="A686" s="6"/>
      <c r="B686" s="7"/>
      <c r="C686" s="6"/>
      <c r="D686" s="3"/>
      <c r="E686" s="3"/>
    </row>
    <row r="687" s="2" customFormat="1" ht="15.75" spans="1:5">
      <c r="A687" s="6"/>
      <c r="B687" s="7"/>
      <c r="C687" s="6"/>
      <c r="D687" s="3"/>
      <c r="E687" s="3"/>
    </row>
    <row r="688" s="2" customFormat="1" ht="15.75" spans="1:5">
      <c r="A688" s="6"/>
      <c r="B688" s="7"/>
      <c r="C688" s="6"/>
      <c r="D688" s="3"/>
      <c r="E688" s="3"/>
    </row>
    <row r="689" s="2" customFormat="1" ht="15.75" spans="1:5">
      <c r="A689" s="6"/>
      <c r="B689" s="7"/>
      <c r="C689" s="6"/>
      <c r="D689" s="3"/>
      <c r="E689" s="3"/>
    </row>
    <row r="690" s="2" customFormat="1" ht="15.75" spans="1:5">
      <c r="A690" s="6"/>
      <c r="B690" s="7"/>
      <c r="C690" s="6"/>
      <c r="D690" s="3"/>
      <c r="E690" s="3"/>
    </row>
    <row r="691" s="2" customFormat="1" ht="15.75" spans="1:5">
      <c r="A691" s="6"/>
      <c r="B691" s="7"/>
      <c r="C691" s="6"/>
      <c r="D691" s="3"/>
      <c r="E691" s="3"/>
    </row>
    <row r="692" s="2" customFormat="1" ht="15.75" spans="1:5">
      <c r="A692" s="6"/>
      <c r="B692" s="7"/>
      <c r="C692" s="6"/>
      <c r="D692" s="3"/>
      <c r="E692" s="3"/>
    </row>
    <row r="693" s="2" customFormat="1" ht="15.75" spans="1:5">
      <c r="A693" s="6"/>
      <c r="B693" s="7"/>
      <c r="C693" s="6"/>
      <c r="D693" s="3"/>
      <c r="E693" s="3"/>
    </row>
    <row r="694" s="2" customFormat="1" ht="15.75" spans="1:5">
      <c r="A694" s="6"/>
      <c r="B694" s="7"/>
      <c r="C694" s="6"/>
      <c r="D694" s="3"/>
      <c r="E694" s="3"/>
    </row>
    <row r="695" s="2" customFormat="1" ht="15.75" spans="1:5">
      <c r="A695" s="6"/>
      <c r="B695" s="7"/>
      <c r="C695" s="6"/>
      <c r="D695" s="3"/>
      <c r="E695" s="3"/>
    </row>
    <row r="696" s="2" customFormat="1" ht="15.75" spans="1:5">
      <c r="A696" s="6"/>
      <c r="B696" s="7"/>
      <c r="C696" s="6"/>
      <c r="D696" s="3"/>
      <c r="E696" s="3"/>
    </row>
    <row r="697" s="2" customFormat="1" ht="15.75" spans="1:5">
      <c r="A697" s="6"/>
      <c r="B697" s="7"/>
      <c r="C697" s="6"/>
      <c r="D697" s="3"/>
      <c r="E697" s="3"/>
    </row>
    <row r="698" s="2" customFormat="1" ht="15.75" spans="1:5">
      <c r="A698" s="6"/>
      <c r="B698" s="7"/>
      <c r="C698" s="6"/>
      <c r="D698" s="3"/>
      <c r="E698" s="3"/>
    </row>
    <row r="699" s="2" customFormat="1" ht="15.75" spans="1:5">
      <c r="A699" s="6"/>
      <c r="B699" s="7"/>
      <c r="C699" s="6"/>
      <c r="D699" s="3"/>
      <c r="E699" s="3"/>
    </row>
    <row r="700" s="2" customFormat="1" ht="15.75" spans="1:5">
      <c r="A700" s="6"/>
      <c r="B700" s="7"/>
      <c r="C700" s="6"/>
      <c r="D700" s="3"/>
      <c r="E700" s="3"/>
    </row>
    <row r="701" s="2" customFormat="1" ht="15.75" spans="1:5">
      <c r="A701" s="6"/>
      <c r="B701" s="7"/>
      <c r="C701" s="6"/>
      <c r="D701" s="3"/>
      <c r="E701" s="3"/>
    </row>
    <row r="702" s="2" customFormat="1" ht="15.75" spans="1:5">
      <c r="A702" s="6"/>
      <c r="B702" s="7"/>
      <c r="C702" s="6"/>
      <c r="D702" s="3"/>
      <c r="E702" s="3"/>
    </row>
    <row r="703" s="2" customFormat="1" ht="15.75" spans="1:5">
      <c r="A703" s="6"/>
      <c r="B703" s="7"/>
      <c r="C703" s="6"/>
      <c r="D703" s="3"/>
      <c r="E703" s="3"/>
    </row>
    <row r="704" s="2" customFormat="1" ht="15.75" spans="1:5">
      <c r="A704" s="6"/>
      <c r="B704" s="7"/>
      <c r="C704" s="6"/>
      <c r="D704" s="3"/>
      <c r="E704" s="3"/>
    </row>
    <row r="705" s="2" customFormat="1" ht="15.75" spans="1:5">
      <c r="A705" s="6"/>
      <c r="B705" s="7"/>
      <c r="C705" s="6"/>
      <c r="D705" s="3"/>
      <c r="E705" s="3"/>
    </row>
    <row r="706" s="2" customFormat="1" ht="15.75" spans="1:5">
      <c r="A706" s="6"/>
      <c r="B706" s="7"/>
      <c r="C706" s="6"/>
      <c r="D706" s="3"/>
      <c r="E706" s="3"/>
    </row>
    <row r="707" s="2" customFormat="1" ht="15.75" spans="1:5">
      <c r="A707" s="6"/>
      <c r="B707" s="7"/>
      <c r="C707" s="6"/>
      <c r="D707" s="3"/>
      <c r="E707" s="3"/>
    </row>
    <row r="708" s="2" customFormat="1" ht="15.75" spans="1:5">
      <c r="A708" s="6"/>
      <c r="B708" s="7"/>
      <c r="C708" s="6"/>
      <c r="D708" s="3"/>
      <c r="E708" s="3"/>
    </row>
    <row r="709" s="2" customFormat="1" ht="15.75" spans="1:5">
      <c r="A709" s="6"/>
      <c r="B709" s="7"/>
      <c r="C709" s="6"/>
      <c r="D709" s="3"/>
      <c r="E709" s="3"/>
    </row>
    <row r="710" s="2" customFormat="1" ht="15.75" spans="1:5">
      <c r="A710" s="6"/>
      <c r="B710" s="7"/>
      <c r="C710" s="6"/>
      <c r="D710" s="3"/>
      <c r="E710" s="3"/>
    </row>
    <row r="711" s="2" customFormat="1" ht="15.75" spans="1:5">
      <c r="A711" s="6"/>
      <c r="B711" s="7"/>
      <c r="C711" s="6"/>
      <c r="D711" s="3"/>
      <c r="E711" s="3"/>
    </row>
    <row r="712" s="2" customFormat="1" ht="15.75" spans="1:5">
      <c r="A712" s="6"/>
      <c r="B712" s="7"/>
      <c r="C712" s="6"/>
      <c r="D712" s="3"/>
      <c r="E712" s="3"/>
    </row>
    <row r="713" s="2" customFormat="1" ht="15.75" spans="1:5">
      <c r="A713" s="6"/>
      <c r="B713" s="7"/>
      <c r="C713" s="6"/>
      <c r="D713" s="3"/>
      <c r="E713" s="3"/>
    </row>
    <row r="714" s="2" customFormat="1" ht="15.75" spans="1:5">
      <c r="A714" s="6"/>
      <c r="B714" s="7"/>
      <c r="C714" s="6"/>
      <c r="D714" s="3"/>
      <c r="E714" s="3"/>
    </row>
    <row r="715" s="2" customFormat="1" ht="15.75" spans="1:5">
      <c r="A715" s="6"/>
      <c r="B715" s="7"/>
      <c r="C715" s="6"/>
      <c r="D715" s="3"/>
      <c r="E715" s="3"/>
    </row>
    <row r="716" s="2" customFormat="1" ht="15.75" spans="1:5">
      <c r="A716" s="6"/>
      <c r="B716" s="7"/>
      <c r="C716" s="6"/>
      <c r="D716" s="3"/>
      <c r="E716" s="3"/>
    </row>
    <row r="717" s="2" customFormat="1" ht="15.75" spans="1:5">
      <c r="A717" s="6"/>
      <c r="B717" s="7"/>
      <c r="C717" s="6"/>
      <c r="D717" s="3"/>
      <c r="E717" s="3"/>
    </row>
    <row r="718" s="2" customFormat="1" ht="15.75" spans="1:5">
      <c r="A718" s="6"/>
      <c r="B718" s="7"/>
      <c r="C718" s="6"/>
      <c r="D718" s="3"/>
      <c r="E718" s="3"/>
    </row>
    <row r="719" s="2" customFormat="1" ht="15.75" spans="1:5">
      <c r="A719" s="6"/>
      <c r="B719" s="7"/>
      <c r="C719" s="6"/>
      <c r="D719" s="3"/>
      <c r="E719" s="3"/>
    </row>
    <row r="720" s="2" customFormat="1" ht="15.75" spans="1:5">
      <c r="A720" s="6"/>
      <c r="B720" s="7"/>
      <c r="C720" s="6"/>
      <c r="D720" s="3"/>
      <c r="E720" s="3"/>
    </row>
    <row r="721" s="2" customFormat="1" ht="15.75" spans="1:5">
      <c r="A721" s="6"/>
      <c r="B721" s="7"/>
      <c r="C721" s="6"/>
      <c r="D721" s="3"/>
      <c r="E721" s="3"/>
    </row>
    <row r="722" s="2" customFormat="1" ht="15.75" spans="1:5">
      <c r="A722" s="6"/>
      <c r="B722" s="7"/>
      <c r="C722" s="6"/>
      <c r="D722" s="3"/>
      <c r="E722" s="3"/>
    </row>
    <row r="723" s="2" customFormat="1" ht="15.75" spans="1:5">
      <c r="A723" s="6"/>
      <c r="B723" s="7"/>
      <c r="C723" s="6"/>
      <c r="D723" s="3"/>
      <c r="E723" s="3"/>
    </row>
    <row r="724" s="2" customFormat="1" ht="15.75" spans="1:5">
      <c r="A724" s="6"/>
      <c r="B724" s="7"/>
      <c r="C724" s="6"/>
      <c r="D724" s="3"/>
      <c r="E724" s="3"/>
    </row>
    <row r="725" s="2" customFormat="1" ht="15.75" spans="1:5">
      <c r="A725" s="6"/>
      <c r="B725" s="7"/>
      <c r="C725" s="6"/>
      <c r="D725" s="3"/>
      <c r="E725" s="3"/>
    </row>
    <row r="726" s="2" customFormat="1" ht="15.75" spans="1:5">
      <c r="A726" s="6"/>
      <c r="B726" s="7"/>
      <c r="C726" s="6"/>
      <c r="D726" s="3"/>
      <c r="E726" s="3"/>
    </row>
    <row r="727" s="2" customFormat="1" ht="15.75" spans="1:5">
      <c r="A727" s="6"/>
      <c r="B727" s="7"/>
      <c r="C727" s="6"/>
      <c r="D727" s="3"/>
      <c r="E727" s="3"/>
    </row>
    <row r="728" s="2" customFormat="1" ht="15.75" spans="1:5">
      <c r="A728" s="6"/>
      <c r="B728" s="7"/>
      <c r="C728" s="6"/>
      <c r="D728" s="3"/>
      <c r="E728" s="3"/>
    </row>
    <row r="729" s="2" customFormat="1" ht="15.75" spans="1:5">
      <c r="A729" s="6"/>
      <c r="B729" s="7"/>
      <c r="C729" s="6"/>
      <c r="D729" s="3"/>
      <c r="E729" s="3"/>
    </row>
    <row r="730" s="2" customFormat="1" ht="15.75" spans="1:5">
      <c r="A730" s="6"/>
      <c r="B730" s="7"/>
      <c r="C730" s="6"/>
      <c r="D730" s="3"/>
      <c r="E730" s="3"/>
    </row>
    <row r="731" s="2" customFormat="1" ht="15.75" spans="1:5">
      <c r="A731" s="6"/>
      <c r="B731" s="7"/>
      <c r="C731" s="6"/>
      <c r="D731" s="3"/>
      <c r="E731" s="3"/>
    </row>
    <row r="732" s="2" customFormat="1" ht="15.75" spans="1:5">
      <c r="A732" s="6"/>
      <c r="B732" s="7"/>
      <c r="C732" s="6"/>
      <c r="D732" s="3"/>
      <c r="E732" s="3"/>
    </row>
    <row r="733" s="2" customFormat="1" ht="15.75" spans="1:5">
      <c r="A733" s="6"/>
      <c r="B733" s="7"/>
      <c r="C733" s="6"/>
      <c r="D733" s="3"/>
      <c r="E733" s="3"/>
    </row>
    <row r="734" s="2" customFormat="1" ht="15.75" spans="1:5">
      <c r="A734" s="6"/>
      <c r="B734" s="7"/>
      <c r="C734" s="6"/>
      <c r="D734" s="3"/>
      <c r="E734" s="3"/>
    </row>
    <row r="735" s="2" customFormat="1" ht="15.75" spans="1:5">
      <c r="A735" s="6"/>
      <c r="B735" s="7"/>
      <c r="C735" s="6"/>
      <c r="D735" s="3"/>
      <c r="E735" s="3"/>
    </row>
    <row r="736" s="2" customFormat="1" ht="15.75" spans="1:5">
      <c r="A736" s="6"/>
      <c r="B736" s="7"/>
      <c r="C736" s="6"/>
      <c r="D736" s="3"/>
      <c r="E736" s="3"/>
    </row>
    <row r="737" s="2" customFormat="1" ht="15.75" spans="1:5">
      <c r="A737" s="6"/>
      <c r="B737" s="7"/>
      <c r="C737" s="6"/>
      <c r="D737" s="3"/>
      <c r="E737" s="3"/>
    </row>
    <row r="738" s="2" customFormat="1" ht="15.75" spans="1:5">
      <c r="A738" s="6"/>
      <c r="B738" s="7"/>
      <c r="C738" s="6"/>
      <c r="D738" s="3"/>
      <c r="E738" s="3"/>
    </row>
    <row r="739" s="2" customFormat="1" ht="15.75" spans="1:5">
      <c r="A739" s="6"/>
      <c r="B739" s="7"/>
      <c r="C739" s="6"/>
      <c r="D739" s="3"/>
      <c r="E739" s="3"/>
    </row>
    <row r="740" s="2" customFormat="1" ht="15.75" spans="1:5">
      <c r="A740" s="6"/>
      <c r="B740" s="7"/>
      <c r="C740" s="6"/>
      <c r="D740" s="3"/>
      <c r="E740" s="3"/>
    </row>
    <row r="741" s="2" customFormat="1" ht="15.75" spans="1:5">
      <c r="A741" s="6"/>
      <c r="B741" s="7"/>
      <c r="C741" s="6"/>
      <c r="D741" s="3"/>
      <c r="E741" s="3"/>
    </row>
    <row r="742" s="2" customFormat="1" ht="15.75" spans="1:5">
      <c r="A742" s="6"/>
      <c r="B742" s="7"/>
      <c r="C742" s="6"/>
      <c r="D742" s="3"/>
      <c r="E742" s="3"/>
    </row>
    <row r="743" s="2" customFormat="1" ht="15.75" spans="1:5">
      <c r="A743" s="6"/>
      <c r="B743" s="7"/>
      <c r="C743" s="6"/>
      <c r="D743" s="3"/>
      <c r="E743" s="3"/>
    </row>
    <row r="744" s="2" customFormat="1" ht="15.75" spans="1:5">
      <c r="A744" s="6"/>
      <c r="B744" s="7"/>
      <c r="C744" s="6"/>
      <c r="D744" s="3"/>
      <c r="E744" s="3"/>
    </row>
    <row r="745" s="2" customFormat="1" ht="15.75" spans="1:5">
      <c r="A745" s="6"/>
      <c r="B745" s="7"/>
      <c r="C745" s="6"/>
      <c r="D745" s="3"/>
      <c r="E745" s="3"/>
    </row>
    <row r="746" s="2" customFormat="1" ht="15.75" spans="1:5">
      <c r="A746" s="6"/>
      <c r="B746" s="7"/>
      <c r="C746" s="6"/>
      <c r="D746" s="3"/>
      <c r="E746" s="3"/>
    </row>
    <row r="747" s="2" customFormat="1" ht="15.75" spans="1:5">
      <c r="A747" s="6"/>
      <c r="B747" s="7"/>
      <c r="C747" s="6"/>
      <c r="D747" s="3"/>
      <c r="E747" s="3"/>
    </row>
    <row r="748" s="2" customFormat="1" ht="15.75" spans="1:5">
      <c r="A748" s="6"/>
      <c r="B748" s="7"/>
      <c r="C748" s="6"/>
      <c r="D748" s="3"/>
      <c r="E748" s="3"/>
    </row>
    <row r="749" s="2" customFormat="1" ht="15.75" spans="1:5">
      <c r="A749" s="6"/>
      <c r="B749" s="7"/>
      <c r="C749" s="6"/>
      <c r="D749" s="3"/>
      <c r="E749" s="3"/>
    </row>
    <row r="750" s="2" customFormat="1" ht="15.75" spans="1:5">
      <c r="A750" s="6"/>
      <c r="B750" s="7"/>
      <c r="C750" s="6"/>
      <c r="D750" s="3"/>
      <c r="E750" s="3"/>
    </row>
    <row r="751" s="2" customFormat="1" ht="15.75" spans="1:5">
      <c r="A751" s="6"/>
      <c r="B751" s="7"/>
      <c r="C751" s="6"/>
      <c r="D751" s="3"/>
      <c r="E751" s="3"/>
    </row>
    <row r="752" s="2" customFormat="1" ht="15.75" spans="1:5">
      <c r="A752" s="6"/>
      <c r="B752" s="7"/>
      <c r="C752" s="6"/>
      <c r="D752" s="3"/>
      <c r="E752" s="3"/>
    </row>
    <row r="753" s="2" customFormat="1" ht="15.75" spans="1:5">
      <c r="A753" s="6"/>
      <c r="B753" s="7"/>
      <c r="C753" s="6"/>
      <c r="D753" s="3"/>
      <c r="E753" s="3"/>
    </row>
    <row r="754" s="2" customFormat="1" ht="15.75" spans="1:5">
      <c r="A754" s="6"/>
      <c r="B754" s="7"/>
      <c r="C754" s="6"/>
      <c r="D754" s="3"/>
      <c r="E754" s="3"/>
    </row>
    <row r="755" s="2" customFormat="1" ht="15.75" spans="1:5">
      <c r="A755" s="6"/>
      <c r="B755" s="7"/>
      <c r="C755" s="6"/>
      <c r="D755" s="3"/>
      <c r="E755" s="3"/>
    </row>
    <row r="756" s="2" customFormat="1" ht="15.75" spans="1:5">
      <c r="A756" s="6"/>
      <c r="B756" s="7"/>
      <c r="C756" s="6"/>
      <c r="D756" s="3"/>
      <c r="E756" s="3"/>
    </row>
    <row r="757" s="2" customFormat="1" ht="15.75" spans="1:5">
      <c r="A757" s="6"/>
      <c r="B757" s="7"/>
      <c r="C757" s="6"/>
      <c r="D757" s="3"/>
      <c r="E757" s="3"/>
    </row>
    <row r="758" s="2" customFormat="1" ht="15.75" spans="1:5">
      <c r="A758" s="6"/>
      <c r="B758" s="7"/>
      <c r="C758" s="6"/>
      <c r="D758" s="3"/>
      <c r="E758" s="3"/>
    </row>
    <row r="759" s="2" customFormat="1" ht="15.75" spans="1:5">
      <c r="A759" s="6"/>
      <c r="B759" s="7"/>
      <c r="C759" s="6"/>
      <c r="D759" s="3"/>
      <c r="E759" s="3"/>
    </row>
    <row r="760" s="2" customFormat="1" ht="15.75" spans="1:5">
      <c r="A760" s="6"/>
      <c r="B760" s="7"/>
      <c r="C760" s="6"/>
      <c r="D760" s="3"/>
      <c r="E760" s="3"/>
    </row>
    <row r="761" s="2" customFormat="1" ht="15.75" spans="1:5">
      <c r="A761" s="6"/>
      <c r="B761" s="7"/>
      <c r="C761" s="6"/>
      <c r="D761" s="3"/>
      <c r="E761" s="3"/>
    </row>
    <row r="762" s="2" customFormat="1" ht="15.75" spans="1:5">
      <c r="A762" s="6"/>
      <c r="B762" s="7"/>
      <c r="C762" s="6"/>
      <c r="D762" s="3"/>
      <c r="E762" s="3"/>
    </row>
    <row r="763" s="2" customFormat="1" ht="15.75" spans="1:5">
      <c r="A763" s="6"/>
      <c r="B763" s="7"/>
      <c r="C763" s="6"/>
      <c r="D763" s="3"/>
      <c r="E763" s="3"/>
    </row>
    <row r="764" s="2" customFormat="1" ht="15.75" spans="1:5">
      <c r="A764" s="6"/>
      <c r="B764" s="7"/>
      <c r="C764" s="6"/>
      <c r="D764" s="3"/>
      <c r="E764" s="3"/>
    </row>
    <row r="765" s="2" customFormat="1" ht="15.75" spans="1:5">
      <c r="A765" s="6"/>
      <c r="B765" s="7"/>
      <c r="C765" s="6"/>
      <c r="D765" s="3"/>
      <c r="E765" s="3"/>
    </row>
    <row r="766" s="2" customFormat="1" ht="15.75" spans="1:5">
      <c r="A766" s="6"/>
      <c r="B766" s="7"/>
      <c r="C766" s="6"/>
      <c r="D766" s="3"/>
      <c r="E766" s="3"/>
    </row>
    <row r="767" s="2" customFormat="1" ht="15.75" spans="1:5">
      <c r="A767" s="6"/>
      <c r="B767" s="7"/>
      <c r="C767" s="6"/>
      <c r="D767" s="3"/>
      <c r="E767" s="3"/>
    </row>
    <row r="768" s="2" customFormat="1" ht="15.75" spans="1:5">
      <c r="A768" s="6"/>
      <c r="B768" s="7"/>
      <c r="C768" s="6"/>
      <c r="D768" s="3"/>
      <c r="E768" s="3"/>
    </row>
    <row r="769" s="2" customFormat="1" ht="15.75" spans="1:5">
      <c r="A769" s="6"/>
      <c r="B769" s="7"/>
      <c r="C769" s="6"/>
      <c r="D769" s="3"/>
      <c r="E769" s="3"/>
    </row>
    <row r="770" s="2" customFormat="1" ht="15.75" spans="1:5">
      <c r="A770" s="6"/>
      <c r="B770" s="7"/>
      <c r="C770" s="6"/>
      <c r="D770" s="3"/>
      <c r="E770" s="3"/>
    </row>
    <row r="771" s="2" customFormat="1" ht="15.75" spans="1:5">
      <c r="A771" s="6"/>
      <c r="B771" s="7"/>
      <c r="C771" s="6"/>
      <c r="D771" s="3"/>
      <c r="E771" s="3"/>
    </row>
    <row r="772" s="2" customFormat="1" ht="15.75" spans="1:5">
      <c r="A772" s="6"/>
      <c r="B772" s="7"/>
      <c r="C772" s="6"/>
      <c r="D772" s="3"/>
      <c r="E772" s="3"/>
    </row>
    <row r="773" s="2" customFormat="1" ht="15.75" spans="1:5">
      <c r="A773" s="6"/>
      <c r="B773" s="7"/>
      <c r="C773" s="6"/>
      <c r="D773" s="3"/>
      <c r="E773" s="3"/>
    </row>
    <row r="774" s="2" customFormat="1" ht="15.75" spans="1:5">
      <c r="A774" s="6"/>
      <c r="B774" s="7"/>
      <c r="C774" s="6"/>
      <c r="D774" s="3"/>
      <c r="E774" s="3"/>
    </row>
    <row r="775" s="2" customFormat="1" ht="15.75" spans="1:5">
      <c r="A775" s="6"/>
      <c r="B775" s="7"/>
      <c r="C775" s="6"/>
      <c r="D775" s="3"/>
      <c r="E775" s="3"/>
    </row>
    <row r="776" s="2" customFormat="1" ht="15.75" spans="1:5">
      <c r="A776" s="6"/>
      <c r="B776" s="7"/>
      <c r="C776" s="6"/>
      <c r="D776" s="3"/>
      <c r="E776" s="3"/>
    </row>
    <row r="777" s="2" customFormat="1" ht="15.75" spans="1:5">
      <c r="A777" s="6"/>
      <c r="B777" s="7"/>
      <c r="C777" s="6"/>
      <c r="D777" s="3"/>
      <c r="E777" s="3"/>
    </row>
    <row r="778" s="2" customFormat="1" ht="15.75" spans="1:5">
      <c r="A778" s="6"/>
      <c r="B778" s="7"/>
      <c r="C778" s="6"/>
      <c r="D778" s="3"/>
      <c r="E778" s="3"/>
    </row>
    <row r="779" s="2" customFormat="1" ht="15.75" spans="1:5">
      <c r="A779" s="6"/>
      <c r="B779" s="7"/>
      <c r="C779" s="6"/>
      <c r="D779" s="3"/>
      <c r="E779" s="3"/>
    </row>
    <row r="780" s="2" customFormat="1" ht="15.75" spans="1:5">
      <c r="A780" s="6"/>
      <c r="B780" s="7"/>
      <c r="C780" s="6"/>
      <c r="D780" s="3"/>
      <c r="E780" s="3"/>
    </row>
    <row r="781" s="2" customFormat="1" ht="15.75" spans="1:5">
      <c r="A781" s="6"/>
      <c r="B781" s="7"/>
      <c r="C781" s="6"/>
      <c r="D781" s="3"/>
      <c r="E781" s="3"/>
    </row>
    <row r="782" s="2" customFormat="1" ht="15.75" spans="1:5">
      <c r="A782" s="6"/>
      <c r="B782" s="7"/>
      <c r="C782" s="6"/>
      <c r="D782" s="3"/>
      <c r="E782" s="3"/>
    </row>
    <row r="783" s="2" customFormat="1" ht="15.75" spans="1:5">
      <c r="A783" s="6"/>
      <c r="B783" s="7"/>
      <c r="C783" s="6"/>
      <c r="D783" s="3"/>
      <c r="E783" s="3"/>
    </row>
    <row r="784" s="2" customFormat="1" ht="15.75" spans="1:5">
      <c r="A784" s="6"/>
      <c r="B784" s="7"/>
      <c r="C784" s="6"/>
      <c r="D784" s="3"/>
      <c r="E784" s="3"/>
    </row>
    <row r="785" s="2" customFormat="1" ht="15.75" spans="1:5">
      <c r="A785" s="6"/>
      <c r="B785" s="7"/>
      <c r="C785" s="6"/>
      <c r="D785" s="3"/>
      <c r="E785" s="3"/>
    </row>
    <row r="786" s="2" customFormat="1" ht="15.75" spans="1:5">
      <c r="A786" s="6"/>
      <c r="B786" s="7"/>
      <c r="C786" s="6"/>
      <c r="D786" s="3"/>
      <c r="E786" s="3"/>
    </row>
    <row r="787" s="2" customFormat="1" ht="15.75" spans="1:5">
      <c r="A787" s="6"/>
      <c r="B787" s="7"/>
      <c r="C787" s="6"/>
      <c r="D787" s="3"/>
      <c r="E787" s="3"/>
    </row>
    <row r="788" s="2" customFormat="1" ht="15.75" spans="1:5">
      <c r="A788" s="6"/>
      <c r="B788" s="7"/>
      <c r="C788" s="6"/>
      <c r="D788" s="3"/>
      <c r="E788" s="3"/>
    </row>
    <row r="789" s="2" customFormat="1" ht="15.75" spans="1:5">
      <c r="A789" s="6"/>
      <c r="B789" s="7"/>
      <c r="C789" s="6"/>
      <c r="D789" s="3"/>
      <c r="E789" s="3"/>
    </row>
    <row r="790" s="2" customFormat="1" ht="15.75" spans="1:5">
      <c r="A790" s="6"/>
      <c r="B790" s="7"/>
      <c r="C790" s="6"/>
      <c r="D790" s="3"/>
      <c r="E790" s="3"/>
    </row>
    <row r="791" s="2" customFormat="1" ht="15.75" spans="1:5">
      <c r="A791" s="6"/>
      <c r="B791" s="7"/>
      <c r="C791" s="6"/>
      <c r="D791" s="3"/>
      <c r="E791" s="3"/>
    </row>
    <row r="792" s="2" customFormat="1" ht="15.75" spans="1:5">
      <c r="A792" s="6"/>
      <c r="B792" s="7"/>
      <c r="C792" s="6"/>
      <c r="D792" s="3"/>
      <c r="E792" s="3"/>
    </row>
    <row r="793" s="2" customFormat="1" ht="15.75" spans="1:5">
      <c r="A793" s="6"/>
      <c r="B793" s="7"/>
      <c r="C793" s="6"/>
      <c r="D793" s="3"/>
      <c r="E793" s="3"/>
    </row>
    <row r="794" s="2" customFormat="1" ht="15.75" spans="1:5">
      <c r="A794" s="6"/>
      <c r="B794" s="7"/>
      <c r="C794" s="6"/>
      <c r="D794" s="3"/>
      <c r="E794" s="3"/>
    </row>
    <row r="795" s="2" customFormat="1" ht="15.75" spans="1:5">
      <c r="A795" s="6"/>
      <c r="B795" s="7"/>
      <c r="C795" s="6"/>
      <c r="D795" s="3"/>
      <c r="E795" s="3"/>
    </row>
    <row r="796" s="2" customFormat="1" ht="15.75" spans="1:5">
      <c r="A796" s="6"/>
      <c r="B796" s="7"/>
      <c r="C796" s="6"/>
      <c r="D796" s="3"/>
      <c r="E796" s="3"/>
    </row>
    <row r="797" s="2" customFormat="1" ht="15.75" spans="1:5">
      <c r="A797" s="6"/>
      <c r="B797" s="7"/>
      <c r="C797" s="6"/>
      <c r="D797" s="3"/>
      <c r="E797" s="3"/>
    </row>
    <row r="798" s="2" customFormat="1" ht="15.75" spans="1:5">
      <c r="A798" s="6"/>
      <c r="B798" s="7"/>
      <c r="C798" s="6"/>
      <c r="D798" s="3"/>
      <c r="E798" s="3"/>
    </row>
    <row r="799" s="2" customFormat="1" ht="15.75" spans="1:5">
      <c r="A799" s="6"/>
      <c r="B799" s="7"/>
      <c r="C799" s="6"/>
      <c r="D799" s="3"/>
      <c r="E799" s="3"/>
    </row>
    <row r="800" s="2" customFormat="1" ht="15.75" spans="1:5">
      <c r="A800" s="6"/>
      <c r="B800" s="7"/>
      <c r="C800" s="6"/>
      <c r="D800" s="3"/>
      <c r="E800" s="3"/>
    </row>
    <row r="801" s="2" customFormat="1" ht="15.75" spans="1:5">
      <c r="A801" s="6"/>
      <c r="B801" s="7"/>
      <c r="C801" s="6"/>
      <c r="D801" s="3"/>
      <c r="E801" s="3"/>
    </row>
    <row r="802" s="2" customFormat="1" ht="15.75" spans="1:5">
      <c r="A802" s="6"/>
      <c r="B802" s="7"/>
      <c r="C802" s="6"/>
      <c r="D802" s="3"/>
      <c r="E802" s="3"/>
    </row>
    <row r="803" s="2" customFormat="1" ht="15.75" spans="1:5">
      <c r="A803" s="6"/>
      <c r="B803" s="7"/>
      <c r="C803" s="6"/>
      <c r="D803" s="3"/>
      <c r="E803" s="3"/>
    </row>
    <row r="804" s="2" customFormat="1" ht="15.75" spans="1:5">
      <c r="A804" s="6"/>
      <c r="B804" s="7"/>
      <c r="C804" s="6"/>
      <c r="D804" s="3"/>
      <c r="E804" s="3"/>
    </row>
    <row r="805" s="2" customFormat="1" ht="15.75" spans="1:5">
      <c r="A805" s="6"/>
      <c r="B805" s="7"/>
      <c r="C805" s="6"/>
      <c r="D805" s="3"/>
      <c r="E805" s="3"/>
    </row>
    <row r="806" s="2" customFormat="1" ht="15.75" spans="1:5">
      <c r="A806" s="6"/>
      <c r="B806" s="7"/>
      <c r="C806" s="6"/>
      <c r="D806" s="3"/>
      <c r="E806" s="3"/>
    </row>
    <row r="807" s="2" customFormat="1" ht="15.75" spans="1:5">
      <c r="A807" s="6"/>
      <c r="B807" s="7"/>
      <c r="C807" s="6"/>
      <c r="D807" s="3"/>
      <c r="E807" s="3"/>
    </row>
    <row r="808" s="2" customFormat="1" ht="15.75" spans="1:5">
      <c r="A808" s="6"/>
      <c r="B808" s="7"/>
      <c r="C808" s="6"/>
      <c r="D808" s="3"/>
      <c r="E808" s="3"/>
    </row>
    <row r="809" s="2" customFormat="1" ht="15.75" spans="1:5">
      <c r="A809" s="6"/>
      <c r="B809" s="7"/>
      <c r="C809" s="6"/>
      <c r="D809" s="3"/>
      <c r="E809" s="3"/>
    </row>
    <row r="810" s="2" customFormat="1" ht="15.75" spans="1:5">
      <c r="A810" s="6"/>
      <c r="B810" s="7"/>
      <c r="C810" s="6"/>
      <c r="D810" s="3"/>
      <c r="E810" s="3"/>
    </row>
    <row r="811" s="2" customFormat="1" ht="15.75" spans="1:5">
      <c r="A811" s="6"/>
      <c r="B811" s="7"/>
      <c r="C811" s="6"/>
      <c r="D811" s="3"/>
      <c r="E811" s="3"/>
    </row>
    <row r="812" s="2" customFormat="1" ht="15.75" spans="1:5">
      <c r="A812" s="6"/>
      <c r="B812" s="7"/>
      <c r="C812" s="6"/>
      <c r="D812" s="3"/>
      <c r="E812" s="3"/>
    </row>
    <row r="813" s="2" customFormat="1" ht="15.75" spans="1:5">
      <c r="A813" s="6"/>
      <c r="B813" s="7"/>
      <c r="C813" s="6"/>
      <c r="D813" s="3"/>
      <c r="E813" s="3"/>
    </row>
    <row r="814" s="2" customFormat="1" ht="15.75" spans="1:5">
      <c r="A814" s="6"/>
      <c r="B814" s="7"/>
      <c r="C814" s="6"/>
      <c r="D814" s="3"/>
      <c r="E814" s="3"/>
    </row>
    <row r="815" s="2" customFormat="1" ht="15.75" spans="1:5">
      <c r="A815" s="6"/>
      <c r="B815" s="7"/>
      <c r="C815" s="6"/>
      <c r="D815" s="3"/>
      <c r="E815" s="3"/>
    </row>
    <row r="816" s="2" customFormat="1" ht="15.75" spans="1:5">
      <c r="A816" s="6"/>
      <c r="B816" s="7"/>
      <c r="C816" s="6"/>
      <c r="D816" s="3"/>
      <c r="E816" s="3"/>
    </row>
    <row r="817" s="2" customFormat="1" ht="15.75" spans="1:5">
      <c r="A817" s="6"/>
      <c r="B817" s="7"/>
      <c r="C817" s="6"/>
      <c r="D817" s="3"/>
      <c r="E817" s="3"/>
    </row>
    <row r="818" s="2" customFormat="1" ht="15.75" spans="1:5">
      <c r="A818" s="6"/>
      <c r="B818" s="7"/>
      <c r="C818" s="6"/>
      <c r="D818" s="3"/>
      <c r="E818" s="3"/>
    </row>
    <row r="819" s="2" customFormat="1" ht="15.75" spans="1:5">
      <c r="A819" s="6"/>
      <c r="B819" s="7"/>
      <c r="C819" s="6"/>
      <c r="D819" s="3"/>
      <c r="E819" s="3"/>
    </row>
    <row r="820" s="2" customFormat="1" ht="15.75" spans="1:5">
      <c r="A820" s="6"/>
      <c r="B820" s="7"/>
      <c r="C820" s="6"/>
      <c r="D820" s="3"/>
      <c r="E820" s="3"/>
    </row>
    <row r="821" s="2" customFormat="1" ht="15.75" spans="1:5">
      <c r="A821" s="6"/>
      <c r="B821" s="7"/>
      <c r="C821" s="6"/>
      <c r="D821" s="3"/>
      <c r="E821" s="3"/>
    </row>
    <row r="822" s="2" customFormat="1" ht="15.75" spans="1:5">
      <c r="A822" s="6"/>
      <c r="B822" s="7"/>
      <c r="C822" s="6"/>
      <c r="D822" s="3"/>
      <c r="E822" s="3"/>
    </row>
    <row r="823" s="2" customFormat="1" ht="15.75" spans="1:5">
      <c r="A823" s="6"/>
      <c r="B823" s="7"/>
      <c r="C823" s="6"/>
      <c r="D823" s="3"/>
      <c r="E823" s="3"/>
    </row>
    <row r="824" s="2" customFormat="1" ht="15.75" spans="1:5">
      <c r="A824" s="6"/>
      <c r="B824" s="7"/>
      <c r="C824" s="6"/>
      <c r="D824" s="3"/>
      <c r="E824" s="3"/>
    </row>
    <row r="825" s="2" customFormat="1" ht="15.75" spans="1:5">
      <c r="A825" s="6"/>
      <c r="B825" s="7"/>
      <c r="C825" s="6"/>
      <c r="D825" s="3"/>
      <c r="E825" s="3"/>
    </row>
    <row r="826" s="2" customFormat="1" ht="15.75" spans="1:5">
      <c r="A826" s="6"/>
      <c r="B826" s="7"/>
      <c r="C826" s="6"/>
      <c r="D826" s="3"/>
      <c r="E826" s="3"/>
    </row>
    <row r="827" s="2" customFormat="1" ht="15.75" spans="1:5">
      <c r="A827" s="6"/>
      <c r="B827" s="7"/>
      <c r="C827" s="6"/>
      <c r="D827" s="3"/>
      <c r="E827" s="3"/>
    </row>
    <row r="828" s="2" customFormat="1" ht="15.75" spans="1:5">
      <c r="A828" s="6"/>
      <c r="B828" s="7"/>
      <c r="C828" s="6"/>
      <c r="D828" s="3"/>
      <c r="E828" s="3"/>
    </row>
    <row r="829" s="2" customFormat="1" ht="15.75" spans="1:5">
      <c r="A829" s="6"/>
      <c r="B829" s="7"/>
      <c r="C829" s="6"/>
      <c r="D829" s="3"/>
      <c r="E829" s="3"/>
    </row>
    <row r="830" s="2" customFormat="1" ht="15.75" spans="1:5">
      <c r="A830" s="6"/>
      <c r="B830" s="7"/>
      <c r="C830" s="6"/>
      <c r="D830" s="3"/>
      <c r="E830" s="3"/>
    </row>
    <row r="831" s="2" customFormat="1" ht="15.75" spans="1:5">
      <c r="A831" s="6"/>
      <c r="B831" s="7"/>
      <c r="C831" s="6"/>
      <c r="D831" s="3"/>
      <c r="E831" s="3"/>
    </row>
    <row r="832" s="2" customFormat="1" ht="15.75" spans="1:5">
      <c r="A832" s="6"/>
      <c r="B832" s="7"/>
      <c r="C832" s="6"/>
      <c r="D832" s="3"/>
      <c r="E832" s="3"/>
    </row>
    <row r="833" s="2" customFormat="1" ht="15.75" spans="1:5">
      <c r="A833" s="6"/>
      <c r="B833" s="7"/>
      <c r="C833" s="6"/>
      <c r="D833" s="3"/>
      <c r="E833" s="3"/>
    </row>
    <row r="834" s="2" customFormat="1" ht="15.75" spans="1:5">
      <c r="A834" s="6"/>
      <c r="B834" s="7"/>
      <c r="C834" s="6"/>
      <c r="D834" s="3"/>
      <c r="E834" s="3"/>
    </row>
    <row r="835" s="2" customFormat="1" ht="15.75" spans="1:5">
      <c r="A835" s="6"/>
      <c r="B835" s="7"/>
      <c r="C835" s="6"/>
      <c r="D835" s="3"/>
      <c r="E835" s="3"/>
    </row>
    <row r="836" s="2" customFormat="1" ht="15.75" spans="1:5">
      <c r="A836" s="6"/>
      <c r="B836" s="7"/>
      <c r="C836" s="6"/>
      <c r="D836" s="3"/>
      <c r="E836" s="3"/>
    </row>
    <row r="837" s="2" customFormat="1" ht="15.75" spans="1:5">
      <c r="A837" s="6"/>
      <c r="B837" s="7"/>
      <c r="C837" s="6"/>
      <c r="D837" s="3"/>
      <c r="E837" s="3"/>
    </row>
    <row r="838" s="2" customFormat="1" ht="15.75" spans="1:5">
      <c r="A838" s="6"/>
      <c r="B838" s="7"/>
      <c r="C838" s="6"/>
      <c r="D838" s="3"/>
      <c r="E838" s="3"/>
    </row>
    <row r="839" s="2" customFormat="1" ht="15.75" spans="1:5">
      <c r="A839" s="6"/>
      <c r="B839" s="7"/>
      <c r="C839" s="6"/>
      <c r="D839" s="3"/>
      <c r="E839" s="3"/>
    </row>
    <row r="840" s="2" customFormat="1" ht="15.75" spans="1:5">
      <c r="A840" s="6"/>
      <c r="B840" s="7"/>
      <c r="C840" s="6"/>
      <c r="D840" s="3"/>
      <c r="E840" s="3"/>
    </row>
    <row r="841" s="2" customFormat="1" ht="15.75" spans="1:5">
      <c r="A841" s="6"/>
      <c r="B841" s="7"/>
      <c r="C841" s="6"/>
      <c r="D841" s="3"/>
      <c r="E841" s="3"/>
    </row>
    <row r="842" s="2" customFormat="1" ht="15.75" spans="1:5">
      <c r="A842" s="6"/>
      <c r="B842" s="7"/>
      <c r="C842" s="6"/>
      <c r="D842" s="3"/>
      <c r="E842" s="3"/>
    </row>
    <row r="843" s="2" customFormat="1" ht="15.75" spans="1:5">
      <c r="A843" s="6"/>
      <c r="B843" s="7"/>
      <c r="C843" s="6"/>
      <c r="D843" s="3"/>
      <c r="E843" s="3"/>
    </row>
    <row r="844" s="2" customFormat="1" ht="15.75" spans="1:5">
      <c r="A844" s="6"/>
      <c r="B844" s="7"/>
      <c r="C844" s="6"/>
      <c r="D844" s="3"/>
      <c r="E844" s="3"/>
    </row>
    <row r="845" s="2" customFormat="1" ht="15.75" spans="1:5">
      <c r="A845" s="6"/>
      <c r="B845" s="7"/>
      <c r="C845" s="6"/>
      <c r="D845" s="3"/>
      <c r="E845" s="3"/>
    </row>
    <row r="846" s="2" customFormat="1" ht="15.75" spans="1:5">
      <c r="A846" s="6"/>
      <c r="B846" s="7"/>
      <c r="C846" s="6"/>
      <c r="D846" s="3"/>
      <c r="E846" s="3"/>
    </row>
    <row r="847" s="2" customFormat="1" ht="15.75" spans="1:5">
      <c r="A847" s="6"/>
      <c r="B847" s="7"/>
      <c r="C847" s="6"/>
      <c r="D847" s="3"/>
      <c r="E847" s="3"/>
    </row>
    <row r="848" s="2" customFormat="1" ht="15.75" spans="1:5">
      <c r="A848" s="6"/>
      <c r="B848" s="7"/>
      <c r="C848" s="6"/>
      <c r="D848" s="3"/>
      <c r="E848" s="3"/>
    </row>
    <row r="849" s="2" customFormat="1" ht="15.75" spans="1:5">
      <c r="A849" s="6"/>
      <c r="B849" s="7"/>
      <c r="C849" s="6"/>
      <c r="D849" s="3"/>
      <c r="E849" s="3"/>
    </row>
    <row r="850" s="2" customFormat="1" ht="15.75" spans="1:5">
      <c r="A850" s="6"/>
      <c r="B850" s="7"/>
      <c r="C850" s="6"/>
      <c r="D850" s="3"/>
      <c r="E850" s="3"/>
    </row>
    <row r="851" s="2" customFormat="1" ht="15.75" spans="1:5">
      <c r="A851" s="6"/>
      <c r="B851" s="7"/>
      <c r="C851" s="6"/>
      <c r="D851" s="3"/>
      <c r="E851" s="3"/>
    </row>
    <row r="852" s="2" customFormat="1" ht="15.75" spans="1:5">
      <c r="A852" s="6"/>
      <c r="B852" s="7"/>
      <c r="C852" s="6"/>
      <c r="D852" s="3"/>
      <c r="E852" s="3"/>
    </row>
    <row r="853" s="2" customFormat="1" ht="15.75" spans="1:5">
      <c r="A853" s="6"/>
      <c r="B853" s="7"/>
      <c r="C853" s="6"/>
      <c r="D853" s="3"/>
      <c r="E853" s="3"/>
    </row>
    <row r="854" s="2" customFormat="1" ht="15.75" spans="1:5">
      <c r="A854" s="6"/>
      <c r="B854" s="7"/>
      <c r="C854" s="6"/>
      <c r="D854" s="3"/>
      <c r="E854" s="3"/>
    </row>
    <row r="855" s="2" customFormat="1" ht="15.75" spans="1:5">
      <c r="A855" s="6"/>
      <c r="B855" s="7"/>
      <c r="C855" s="6"/>
      <c r="D855" s="3"/>
      <c r="E855" s="3"/>
    </row>
    <row r="856" s="2" customFormat="1" ht="15.75" spans="1:5">
      <c r="A856" s="6"/>
      <c r="B856" s="7"/>
      <c r="C856" s="6"/>
      <c r="D856" s="3"/>
      <c r="E856" s="3"/>
    </row>
    <row r="857" s="2" customFormat="1" ht="15.75" spans="1:5">
      <c r="A857" s="6"/>
      <c r="B857" s="7"/>
      <c r="C857" s="6"/>
      <c r="D857" s="3"/>
      <c r="E857" s="3"/>
    </row>
    <row r="858" s="2" customFormat="1" ht="15.75" spans="1:5">
      <c r="A858" s="6"/>
      <c r="B858" s="7"/>
      <c r="C858" s="6"/>
      <c r="D858" s="3"/>
      <c r="E858" s="3"/>
    </row>
    <row r="859" s="2" customFormat="1" ht="15.75" spans="1:5">
      <c r="A859" s="6"/>
      <c r="B859" s="7"/>
      <c r="C859" s="6"/>
      <c r="D859" s="3"/>
      <c r="E859" s="3"/>
    </row>
    <row r="860" s="2" customFormat="1" ht="15.75" spans="1:5">
      <c r="A860" s="6"/>
      <c r="B860" s="7"/>
      <c r="C860" s="6"/>
      <c r="D860" s="3"/>
      <c r="E860" s="3"/>
    </row>
    <row r="861" s="2" customFormat="1" ht="15.75" spans="1:5">
      <c r="A861" s="6"/>
      <c r="B861" s="7"/>
      <c r="C861" s="6"/>
      <c r="D861" s="3"/>
      <c r="E861" s="3"/>
    </row>
    <row r="862" s="2" customFormat="1" ht="15.75" spans="1:5">
      <c r="A862" s="6"/>
      <c r="B862" s="7"/>
      <c r="C862" s="6"/>
      <c r="D862" s="3"/>
      <c r="E862" s="3"/>
    </row>
    <row r="863" s="2" customFormat="1" ht="15.75" spans="1:5">
      <c r="A863" s="6"/>
      <c r="B863" s="7"/>
      <c r="C863" s="6"/>
      <c r="D863" s="3"/>
      <c r="E863" s="3"/>
    </row>
    <row r="864" s="2" customFormat="1" ht="15.75" spans="1:5">
      <c r="A864" s="6"/>
      <c r="B864" s="7"/>
      <c r="C864" s="6"/>
      <c r="D864" s="3"/>
      <c r="E864" s="3"/>
    </row>
    <row r="865" s="2" customFormat="1" ht="15.75" spans="1:5">
      <c r="A865" s="6"/>
      <c r="B865" s="7"/>
      <c r="C865" s="6"/>
      <c r="D865" s="3"/>
      <c r="E865" s="3"/>
    </row>
    <row r="866" s="2" customFormat="1" ht="15.75" spans="1:5">
      <c r="A866" s="6"/>
      <c r="B866" s="7"/>
      <c r="C866" s="6"/>
      <c r="D866" s="3"/>
      <c r="E866" s="3"/>
    </row>
    <row r="867" s="2" customFormat="1" ht="15.75" spans="1:5">
      <c r="A867" s="6"/>
      <c r="B867" s="7"/>
      <c r="C867" s="6"/>
      <c r="D867" s="3"/>
      <c r="E867" s="3"/>
    </row>
    <row r="868" s="2" customFormat="1" ht="15.75" spans="1:5">
      <c r="A868" s="6"/>
      <c r="B868" s="7"/>
      <c r="C868" s="6"/>
      <c r="D868" s="3"/>
      <c r="E868" s="3"/>
    </row>
    <row r="869" s="2" customFormat="1" ht="15.75" spans="1:5">
      <c r="A869" s="6"/>
      <c r="B869" s="7"/>
      <c r="C869" s="6"/>
      <c r="D869" s="3"/>
      <c r="E869" s="3"/>
    </row>
    <row r="870" s="2" customFormat="1" ht="15.75" spans="1:5">
      <c r="A870" s="6"/>
      <c r="B870" s="7"/>
      <c r="C870" s="6"/>
      <c r="D870" s="3"/>
      <c r="E870" s="3"/>
    </row>
    <row r="871" s="2" customFormat="1" ht="15.75" spans="1:5">
      <c r="A871" s="6"/>
      <c r="B871" s="7"/>
      <c r="C871" s="6"/>
      <c r="D871" s="3"/>
      <c r="E871" s="3"/>
    </row>
    <row r="872" s="2" customFormat="1" ht="15.75" spans="1:5">
      <c r="A872" s="6"/>
      <c r="B872" s="7"/>
      <c r="C872" s="6"/>
      <c r="D872" s="3"/>
      <c r="E872" s="3"/>
    </row>
    <row r="873" s="2" customFormat="1" ht="15.75" spans="1:5">
      <c r="A873" s="6"/>
      <c r="B873" s="7"/>
      <c r="C873" s="6"/>
      <c r="D873" s="3"/>
      <c r="E873" s="3"/>
    </row>
    <row r="874" s="2" customFormat="1" ht="15.75" spans="1:5">
      <c r="A874" s="6"/>
      <c r="B874" s="7"/>
      <c r="C874" s="6"/>
      <c r="D874" s="3"/>
      <c r="E874" s="3"/>
    </row>
    <row r="875" s="2" customFormat="1" ht="15.75" spans="1:5">
      <c r="A875" s="6"/>
      <c r="B875" s="7"/>
      <c r="C875" s="6"/>
      <c r="D875" s="3"/>
      <c r="E875" s="3"/>
    </row>
    <row r="876" s="2" customFormat="1" ht="15.75" spans="1:5">
      <c r="A876" s="6"/>
      <c r="B876" s="7"/>
      <c r="C876" s="6"/>
      <c r="D876" s="3"/>
      <c r="E876" s="3"/>
    </row>
    <row r="877" s="2" customFormat="1" ht="15.75" spans="1:5">
      <c r="A877" s="6"/>
      <c r="B877" s="7"/>
      <c r="C877" s="6"/>
      <c r="D877" s="3"/>
      <c r="E877" s="3"/>
    </row>
    <row r="878" s="2" customFormat="1" ht="15.75" spans="1:5">
      <c r="A878" s="6"/>
      <c r="B878" s="7"/>
      <c r="C878" s="6"/>
      <c r="D878" s="3"/>
      <c r="E878" s="3"/>
    </row>
    <row r="879" s="2" customFormat="1" ht="15.75" spans="1:5">
      <c r="A879" s="6"/>
      <c r="B879" s="7"/>
      <c r="C879" s="6"/>
      <c r="D879" s="3"/>
      <c r="E879" s="3"/>
    </row>
    <row r="880" s="2" customFormat="1" ht="15.75" spans="1:5">
      <c r="A880" s="6"/>
      <c r="B880" s="7"/>
      <c r="C880" s="6"/>
      <c r="D880" s="3"/>
      <c r="E880" s="3"/>
    </row>
    <row r="881" s="2" customFormat="1" ht="15.75" spans="1:5">
      <c r="A881" s="6"/>
      <c r="B881" s="7"/>
      <c r="C881" s="6"/>
      <c r="D881" s="3"/>
      <c r="E881" s="3"/>
    </row>
    <row r="882" s="2" customFormat="1" ht="15.75" spans="1:5">
      <c r="A882" s="6"/>
      <c r="B882" s="7"/>
      <c r="C882" s="6"/>
      <c r="D882" s="3"/>
      <c r="E882" s="3"/>
    </row>
    <row r="883" s="2" customFormat="1" ht="15.75" spans="1:5">
      <c r="A883" s="6"/>
      <c r="B883" s="7"/>
      <c r="C883" s="6"/>
      <c r="D883" s="3"/>
      <c r="E883" s="3"/>
    </row>
    <row r="884" s="2" customFormat="1" ht="15.75" spans="1:5">
      <c r="A884" s="6"/>
      <c r="B884" s="7"/>
      <c r="C884" s="6"/>
      <c r="D884" s="3"/>
      <c r="E884" s="3"/>
    </row>
    <row r="885" s="2" customFormat="1" ht="15.75" spans="1:5">
      <c r="A885" s="6"/>
      <c r="B885" s="7"/>
      <c r="C885" s="6"/>
      <c r="D885" s="3"/>
      <c r="E885" s="3"/>
    </row>
    <row r="886" s="2" customFormat="1" ht="15.75" spans="1:5">
      <c r="A886" s="6"/>
      <c r="B886" s="7"/>
      <c r="C886" s="6"/>
      <c r="D886" s="3"/>
      <c r="E886" s="3"/>
    </row>
    <row r="887" s="2" customFormat="1" ht="15.75" spans="1:5">
      <c r="A887" s="6"/>
      <c r="B887" s="7"/>
      <c r="C887" s="6"/>
      <c r="D887" s="3"/>
      <c r="E887" s="3"/>
    </row>
    <row r="888" s="2" customFormat="1" ht="15.75" spans="1:5">
      <c r="A888" s="6"/>
      <c r="B888" s="7"/>
      <c r="C888" s="6"/>
      <c r="D888" s="3"/>
      <c r="E888" s="3"/>
    </row>
    <row r="889" s="2" customFormat="1" ht="15.75" spans="1:5">
      <c r="A889" s="6"/>
      <c r="B889" s="7"/>
      <c r="C889" s="6"/>
      <c r="D889" s="3"/>
      <c r="E889" s="3"/>
    </row>
    <row r="890" s="2" customFormat="1" ht="15.75" spans="1:5">
      <c r="A890" s="6"/>
      <c r="B890" s="7"/>
      <c r="C890" s="6"/>
      <c r="D890" s="3"/>
      <c r="E890" s="3"/>
    </row>
    <row r="891" s="2" customFormat="1" ht="15.75" spans="1:5">
      <c r="A891" s="6"/>
      <c r="B891" s="7"/>
      <c r="C891" s="6"/>
      <c r="D891" s="3"/>
      <c r="E891" s="3"/>
    </row>
    <row r="892" s="2" customFormat="1" ht="15.75" spans="1:5">
      <c r="A892" s="6"/>
      <c r="B892" s="7"/>
      <c r="C892" s="6"/>
      <c r="D892" s="3"/>
      <c r="E892" s="3"/>
    </row>
    <row r="893" s="2" customFormat="1" ht="15.75" spans="1:5">
      <c r="A893" s="6"/>
      <c r="B893" s="7"/>
      <c r="C893" s="6"/>
      <c r="D893" s="3"/>
      <c r="E893" s="3"/>
    </row>
    <row r="894" s="2" customFormat="1" ht="15.75" spans="1:5">
      <c r="A894" s="6"/>
      <c r="B894" s="7"/>
      <c r="C894" s="6"/>
      <c r="D894" s="3"/>
      <c r="E894" s="3"/>
    </row>
    <row r="895" s="2" customFormat="1" ht="15.75" spans="1:5">
      <c r="A895" s="6"/>
      <c r="B895" s="7"/>
      <c r="C895" s="6"/>
      <c r="D895" s="3"/>
      <c r="E895" s="3"/>
    </row>
    <row r="896" s="2" customFormat="1" ht="15.75" spans="1:5">
      <c r="A896" s="6"/>
      <c r="B896" s="7"/>
      <c r="C896" s="6"/>
      <c r="D896" s="3"/>
      <c r="E896" s="3"/>
    </row>
    <row r="897" s="2" customFormat="1" ht="15.75" spans="1:5">
      <c r="A897" s="6"/>
      <c r="B897" s="7"/>
      <c r="C897" s="6"/>
      <c r="D897" s="3"/>
      <c r="E897" s="3"/>
    </row>
    <row r="898" s="2" customFormat="1" ht="15.75" spans="1:5">
      <c r="A898" s="6"/>
      <c r="B898" s="7"/>
      <c r="C898" s="6"/>
      <c r="D898" s="3"/>
      <c r="E898" s="3"/>
    </row>
    <row r="899" s="2" customFormat="1" ht="15.75" spans="1:5">
      <c r="A899" s="6"/>
      <c r="B899" s="7"/>
      <c r="C899" s="6"/>
      <c r="D899" s="3"/>
      <c r="E899" s="3"/>
    </row>
    <row r="900" s="2" customFormat="1" ht="15.75" spans="1:5">
      <c r="A900" s="6"/>
      <c r="B900" s="7"/>
      <c r="C900" s="6"/>
      <c r="D900" s="3"/>
      <c r="E900" s="3"/>
    </row>
    <row r="901" s="2" customFormat="1" ht="15.75" spans="1:5">
      <c r="A901" s="6"/>
      <c r="B901" s="7"/>
      <c r="C901" s="6"/>
      <c r="D901" s="3"/>
      <c r="E901" s="3"/>
    </row>
    <row r="902" s="2" customFormat="1" ht="15.75" spans="1:5">
      <c r="A902" s="6"/>
      <c r="B902" s="7"/>
      <c r="C902" s="6"/>
      <c r="D902" s="3"/>
      <c r="E902" s="3"/>
    </row>
    <row r="903" s="2" customFormat="1" ht="15.75" spans="1:5">
      <c r="A903" s="6"/>
      <c r="B903" s="7"/>
      <c r="C903" s="6"/>
      <c r="D903" s="3"/>
      <c r="E903" s="3"/>
    </row>
    <row r="904" s="2" customFormat="1" ht="15.75" spans="1:5">
      <c r="A904" s="6"/>
      <c r="B904" s="7"/>
      <c r="C904" s="6"/>
      <c r="D904" s="3"/>
      <c r="E904" s="3"/>
    </row>
    <row r="905" s="2" customFormat="1" ht="15.75" spans="1:5">
      <c r="A905" s="6"/>
      <c r="B905" s="7"/>
      <c r="C905" s="6"/>
      <c r="D905" s="3"/>
      <c r="E905" s="3"/>
    </row>
    <row r="906" s="2" customFormat="1" ht="15.75" spans="1:5">
      <c r="A906" s="6"/>
      <c r="B906" s="7"/>
      <c r="C906" s="6"/>
      <c r="D906" s="3"/>
      <c r="E906" s="3"/>
    </row>
    <row r="907" s="2" customFormat="1" ht="15.75" spans="1:5">
      <c r="A907" s="6"/>
      <c r="B907" s="7"/>
      <c r="C907" s="6"/>
      <c r="D907" s="3"/>
      <c r="E907" s="3"/>
    </row>
    <row r="908" s="2" customFormat="1" ht="15.75" spans="1:5">
      <c r="A908" s="6"/>
      <c r="B908" s="7"/>
      <c r="C908" s="6"/>
      <c r="D908" s="3"/>
      <c r="E908" s="3"/>
    </row>
    <row r="909" s="2" customFormat="1" ht="15.75" spans="1:5">
      <c r="A909" s="6"/>
      <c r="B909" s="7"/>
      <c r="C909" s="6"/>
      <c r="D909" s="3"/>
      <c r="E909" s="3"/>
    </row>
    <row r="910" s="2" customFormat="1" ht="15.75" spans="1:5">
      <c r="A910" s="6"/>
      <c r="B910" s="7"/>
      <c r="C910" s="6"/>
      <c r="D910" s="3"/>
      <c r="E910" s="3"/>
    </row>
    <row r="911" s="2" customFormat="1" ht="15.75" spans="1:5">
      <c r="A911" s="6"/>
      <c r="B911" s="7"/>
      <c r="C911" s="6"/>
      <c r="D911" s="3"/>
      <c r="E911" s="3"/>
    </row>
    <row r="912" s="2" customFormat="1" ht="15.75" spans="1:5">
      <c r="A912" s="6"/>
      <c r="B912" s="7"/>
      <c r="C912" s="6"/>
      <c r="D912" s="3"/>
      <c r="E912" s="3"/>
    </row>
    <row r="913" s="2" customFormat="1" ht="15.75" spans="1:5">
      <c r="A913" s="6"/>
      <c r="B913" s="7"/>
      <c r="C913" s="6"/>
      <c r="D913" s="3"/>
      <c r="E913" s="3"/>
    </row>
    <row r="914" s="2" customFormat="1" ht="15.75" spans="1:5">
      <c r="A914" s="6"/>
      <c r="B914" s="7"/>
      <c r="C914" s="6"/>
      <c r="D914" s="3"/>
      <c r="E914" s="3"/>
    </row>
    <row r="915" s="2" customFormat="1" ht="15.75" spans="1:5">
      <c r="A915" s="6"/>
      <c r="B915" s="7"/>
      <c r="C915" s="6"/>
      <c r="D915" s="3"/>
      <c r="E915" s="3"/>
    </row>
    <row r="916" s="2" customFormat="1" ht="15.75" spans="1:5">
      <c r="A916" s="6"/>
      <c r="B916" s="7"/>
      <c r="C916" s="6"/>
      <c r="D916" s="3"/>
      <c r="E916" s="3"/>
    </row>
    <row r="917" s="2" customFormat="1" ht="15.75" spans="1:5">
      <c r="A917" s="6"/>
      <c r="B917" s="7"/>
      <c r="C917" s="6"/>
      <c r="D917" s="3"/>
      <c r="E917" s="3"/>
    </row>
    <row r="918" s="2" customFormat="1" ht="15.75" spans="1:5">
      <c r="A918" s="6"/>
      <c r="B918" s="7"/>
      <c r="C918" s="6"/>
      <c r="D918" s="3"/>
      <c r="E918" s="3"/>
    </row>
    <row r="919" s="2" customFormat="1" ht="15.75" spans="1:5">
      <c r="A919" s="6"/>
      <c r="B919" s="7"/>
      <c r="C919" s="6"/>
      <c r="D919" s="3"/>
      <c r="E919" s="3"/>
    </row>
    <row r="920" s="2" customFormat="1" ht="15.75" spans="1:5">
      <c r="A920" s="6"/>
      <c r="B920" s="7"/>
      <c r="C920" s="6"/>
      <c r="D920" s="3"/>
      <c r="E920" s="3"/>
    </row>
    <row r="921" s="2" customFormat="1" ht="15.75" spans="1:5">
      <c r="A921" s="6"/>
      <c r="B921" s="7"/>
      <c r="C921" s="6"/>
      <c r="D921" s="3"/>
      <c r="E921" s="3"/>
    </row>
    <row r="922" s="2" customFormat="1" ht="15.75" spans="1:5">
      <c r="A922" s="6"/>
      <c r="B922" s="7"/>
      <c r="C922" s="6"/>
      <c r="D922" s="3"/>
      <c r="E922" s="3"/>
    </row>
    <row r="923" s="2" customFormat="1" ht="15.75" spans="1:5">
      <c r="A923" s="6"/>
      <c r="B923" s="7"/>
      <c r="C923" s="6"/>
      <c r="D923" s="3"/>
      <c r="E923" s="3"/>
    </row>
    <row r="924" s="2" customFormat="1" ht="15.75" spans="1:5">
      <c r="A924" s="6"/>
      <c r="B924" s="7"/>
      <c r="C924" s="6"/>
      <c r="D924" s="3"/>
      <c r="E924" s="3"/>
    </row>
    <row r="925" s="2" customFormat="1" ht="15.75" spans="1:5">
      <c r="A925" s="6"/>
      <c r="B925" s="7"/>
      <c r="C925" s="6"/>
      <c r="D925" s="3"/>
      <c r="E925" s="3"/>
    </row>
    <row r="926" s="2" customFormat="1" ht="15.75" spans="1:5">
      <c r="A926" s="6"/>
      <c r="B926" s="7"/>
      <c r="C926" s="6"/>
      <c r="D926" s="3"/>
      <c r="E926" s="3"/>
    </row>
    <row r="927" s="2" customFormat="1" ht="15.75" spans="1:5">
      <c r="A927" s="6"/>
      <c r="B927" s="7"/>
      <c r="C927" s="6"/>
      <c r="D927" s="3"/>
      <c r="E927" s="3"/>
    </row>
    <row r="928" s="2" customFormat="1" ht="15.75" spans="1:5">
      <c r="A928" s="6"/>
      <c r="B928" s="7"/>
      <c r="C928" s="6"/>
      <c r="D928" s="3"/>
      <c r="E928" s="3"/>
    </row>
    <row r="929" s="2" customFormat="1" ht="15.75" spans="1:5">
      <c r="A929" s="6"/>
      <c r="B929" s="7"/>
      <c r="C929" s="6"/>
      <c r="D929" s="3"/>
      <c r="E929" s="3"/>
    </row>
    <row r="930" s="2" customFormat="1" ht="15.75" spans="1:5">
      <c r="A930" s="6"/>
      <c r="B930" s="7"/>
      <c r="C930" s="6"/>
      <c r="D930" s="3"/>
      <c r="E930" s="3"/>
    </row>
    <row r="931" s="2" customFormat="1" ht="15.75" spans="1:5">
      <c r="A931" s="6"/>
      <c r="B931" s="7"/>
      <c r="C931" s="6"/>
      <c r="D931" s="3"/>
      <c r="E931" s="3"/>
    </row>
    <row r="932" s="2" customFormat="1" ht="15.75" spans="1:5">
      <c r="A932" s="6"/>
      <c r="B932" s="7"/>
      <c r="C932" s="6"/>
      <c r="D932" s="3"/>
      <c r="E932" s="3"/>
    </row>
    <row r="933" s="2" customFormat="1" ht="15.75" spans="1:5">
      <c r="A933" s="6"/>
      <c r="B933" s="7"/>
      <c r="C933" s="6"/>
      <c r="D933" s="3"/>
      <c r="E933" s="3"/>
    </row>
    <row r="934" s="2" customFormat="1" ht="15.75" spans="1:5">
      <c r="A934" s="6"/>
      <c r="B934" s="7"/>
      <c r="C934" s="6"/>
      <c r="D934" s="3"/>
      <c r="E934" s="3"/>
    </row>
    <row r="935" s="2" customFormat="1" ht="15.75" spans="1:5">
      <c r="A935" s="6"/>
      <c r="B935" s="7"/>
      <c r="C935" s="6"/>
      <c r="D935" s="3"/>
      <c r="E935" s="3"/>
    </row>
    <row r="936" s="2" customFormat="1" ht="15.75" spans="1:5">
      <c r="A936" s="6"/>
      <c r="B936" s="7"/>
      <c r="C936" s="6"/>
      <c r="D936" s="3"/>
      <c r="E936" s="3"/>
    </row>
    <row r="937" s="2" customFormat="1" ht="15.75" spans="1:5">
      <c r="A937" s="6"/>
      <c r="B937" s="7"/>
      <c r="C937" s="6"/>
      <c r="D937" s="3"/>
      <c r="E937" s="3"/>
    </row>
    <row r="938" s="2" customFormat="1" ht="15.75" spans="1:5">
      <c r="A938" s="6"/>
      <c r="B938" s="7"/>
      <c r="C938" s="6"/>
      <c r="D938" s="3"/>
      <c r="E938" s="3"/>
    </row>
    <row r="939" s="2" customFormat="1" ht="15.75" spans="1:5">
      <c r="A939" s="6"/>
      <c r="B939" s="7"/>
      <c r="C939" s="6"/>
      <c r="D939" s="3"/>
      <c r="E939" s="3"/>
    </row>
    <row r="940" s="2" customFormat="1" ht="15.75" spans="1:5">
      <c r="A940" s="6"/>
      <c r="B940" s="7"/>
      <c r="C940" s="6"/>
      <c r="D940" s="3"/>
      <c r="E940" s="3"/>
    </row>
    <row r="941" s="2" customFormat="1" ht="15.75" spans="1:5">
      <c r="A941" s="6"/>
      <c r="B941" s="7"/>
      <c r="C941" s="6"/>
      <c r="D941" s="3"/>
      <c r="E941" s="3"/>
    </row>
    <row r="942" s="2" customFormat="1" ht="15.75" spans="1:5">
      <c r="A942" s="6"/>
      <c r="B942" s="7"/>
      <c r="C942" s="6"/>
      <c r="D942" s="3"/>
      <c r="E942" s="3"/>
    </row>
    <row r="943" s="2" customFormat="1" ht="15.75" spans="1:5">
      <c r="A943" s="6"/>
      <c r="B943" s="7"/>
      <c r="C943" s="6"/>
      <c r="D943" s="3"/>
      <c r="E943" s="3"/>
    </row>
    <row r="944" s="2" customFormat="1" ht="15.75" spans="1:5">
      <c r="A944" s="6"/>
      <c r="B944" s="7"/>
      <c r="C944" s="6"/>
      <c r="D944" s="3"/>
      <c r="E944" s="3"/>
    </row>
    <row r="945" s="2" customFormat="1" ht="15.75" spans="1:5">
      <c r="A945" s="6"/>
      <c r="B945" s="7"/>
      <c r="C945" s="6"/>
      <c r="D945" s="3"/>
      <c r="E945" s="3"/>
    </row>
    <row r="946" s="2" customFormat="1" ht="15.75" spans="1:5">
      <c r="A946" s="6"/>
      <c r="B946" s="7"/>
      <c r="C946" s="6"/>
      <c r="D946" s="3"/>
      <c r="E946" s="3"/>
    </row>
    <row r="947" s="2" customFormat="1" ht="15.75" spans="1:5">
      <c r="A947" s="6"/>
      <c r="B947" s="7"/>
      <c r="C947" s="6"/>
      <c r="D947" s="3"/>
      <c r="E947" s="3"/>
    </row>
    <row r="948" s="2" customFormat="1" ht="15.75" spans="1:5">
      <c r="A948" s="6"/>
      <c r="B948" s="7"/>
      <c r="C948" s="6"/>
      <c r="D948" s="3"/>
      <c r="E948" s="3"/>
    </row>
    <row r="949" s="2" customFormat="1" ht="15.75" spans="1:5">
      <c r="A949" s="6"/>
      <c r="B949" s="7"/>
      <c r="C949" s="6"/>
      <c r="D949" s="3"/>
      <c r="E949" s="3"/>
    </row>
    <row r="950" s="2" customFormat="1" ht="15.75" spans="1:5">
      <c r="A950" s="6"/>
      <c r="B950" s="7"/>
      <c r="C950" s="6"/>
      <c r="D950" s="3"/>
      <c r="E950" s="3"/>
    </row>
    <row r="951" s="2" customFormat="1" ht="15.75" spans="1:5">
      <c r="A951" s="6"/>
      <c r="B951" s="7"/>
      <c r="C951" s="6"/>
      <c r="D951" s="3"/>
      <c r="E951" s="3"/>
    </row>
    <row r="952" s="2" customFormat="1" ht="15.75" spans="1:5">
      <c r="A952" s="6"/>
      <c r="B952" s="7"/>
      <c r="C952" s="6"/>
      <c r="D952" s="3"/>
      <c r="E952" s="3"/>
    </row>
    <row r="953" s="2" customFormat="1" ht="15.75" spans="1:5">
      <c r="A953" s="6"/>
      <c r="B953" s="7"/>
      <c r="C953" s="6"/>
      <c r="D953" s="3"/>
      <c r="E953" s="3"/>
    </row>
    <row r="954" s="2" customFormat="1" ht="15.75" spans="1:5">
      <c r="A954" s="6"/>
      <c r="B954" s="7"/>
      <c r="C954" s="6"/>
      <c r="D954" s="3"/>
      <c r="E954" s="3"/>
    </row>
    <row r="955" s="2" customFormat="1" ht="15.75" spans="1:5">
      <c r="A955" s="6"/>
      <c r="B955" s="7"/>
      <c r="C955" s="6"/>
      <c r="D955" s="3"/>
      <c r="E955" s="3"/>
    </row>
    <row r="956" s="2" customFormat="1" ht="15.75" spans="1:5">
      <c r="A956" s="6"/>
      <c r="B956" s="7"/>
      <c r="C956" s="6"/>
      <c r="D956" s="3"/>
      <c r="E956" s="3"/>
    </row>
    <row r="957" s="2" customFormat="1" ht="15.75" spans="1:5">
      <c r="A957" s="6"/>
      <c r="B957" s="7"/>
      <c r="C957" s="6"/>
      <c r="D957" s="3"/>
      <c r="E957" s="3"/>
    </row>
    <row r="958" s="2" customFormat="1" ht="15.75" spans="1:5">
      <c r="A958" s="6"/>
      <c r="B958" s="7"/>
      <c r="C958" s="6"/>
      <c r="D958" s="3"/>
      <c r="E958" s="3"/>
    </row>
    <row r="959" s="2" customFormat="1" ht="15.75" spans="1:5">
      <c r="A959" s="6"/>
      <c r="B959" s="7"/>
      <c r="C959" s="6"/>
      <c r="D959" s="3"/>
      <c r="E959" s="3"/>
    </row>
    <row r="960" s="2" customFormat="1" ht="15.75" spans="1:5">
      <c r="A960" s="6"/>
      <c r="B960" s="7"/>
      <c r="C960" s="6"/>
      <c r="D960" s="3"/>
      <c r="E960" s="3"/>
    </row>
    <row r="961" s="2" customFormat="1" ht="15.75" spans="1:5">
      <c r="A961" s="6"/>
      <c r="B961" s="7"/>
      <c r="C961" s="6"/>
      <c r="D961" s="3"/>
      <c r="E961" s="3"/>
    </row>
    <row r="962" s="2" customFormat="1" ht="15.75" spans="1:5">
      <c r="A962" s="6"/>
      <c r="B962" s="7"/>
      <c r="C962" s="6"/>
      <c r="D962" s="3"/>
      <c r="E962" s="3"/>
    </row>
    <row r="963" s="2" customFormat="1" ht="15.75" spans="1:5">
      <c r="A963" s="6"/>
      <c r="B963" s="7"/>
      <c r="C963" s="6"/>
      <c r="D963" s="3"/>
      <c r="E963" s="3"/>
    </row>
    <row r="964" s="2" customFormat="1" ht="15.75" spans="1:5">
      <c r="A964" s="6"/>
      <c r="B964" s="7"/>
      <c r="C964" s="6"/>
      <c r="D964" s="3"/>
      <c r="E964" s="3"/>
    </row>
    <row r="965" s="2" customFormat="1" ht="15.75" spans="1:5">
      <c r="A965" s="6"/>
      <c r="B965" s="7"/>
      <c r="C965" s="6"/>
      <c r="D965" s="3"/>
      <c r="E965" s="3"/>
    </row>
    <row r="966" s="2" customFormat="1" ht="15.75" spans="1:5">
      <c r="A966" s="6"/>
      <c r="B966" s="7"/>
      <c r="C966" s="6"/>
      <c r="D966" s="3"/>
      <c r="E966" s="3"/>
    </row>
    <row r="967" s="2" customFormat="1" ht="15.75" spans="1:5">
      <c r="A967" s="6"/>
      <c r="B967" s="7"/>
      <c r="C967" s="6"/>
      <c r="D967" s="3"/>
      <c r="E967" s="3"/>
    </row>
    <row r="968" s="2" customFormat="1" ht="15.75" spans="1:5">
      <c r="A968" s="6"/>
      <c r="B968" s="7"/>
      <c r="C968" s="6"/>
      <c r="D968" s="3"/>
      <c r="E968" s="3"/>
    </row>
    <row r="969" s="2" customFormat="1" ht="15.75" spans="1:5">
      <c r="A969" s="6"/>
      <c r="B969" s="7"/>
      <c r="C969" s="6"/>
      <c r="D969" s="3"/>
      <c r="E969" s="3"/>
    </row>
    <row r="970" s="2" customFormat="1" ht="15.75" spans="1:5">
      <c r="A970" s="6"/>
      <c r="B970" s="7"/>
      <c r="C970" s="6"/>
      <c r="D970" s="3"/>
      <c r="E970" s="3"/>
    </row>
    <row r="971" s="2" customFormat="1" ht="15.75" spans="1:5">
      <c r="A971" s="6"/>
      <c r="B971" s="7"/>
      <c r="C971" s="6"/>
      <c r="D971" s="3"/>
      <c r="E971" s="3"/>
    </row>
    <row r="972" s="2" customFormat="1" ht="15.75" spans="1:5">
      <c r="A972" s="6"/>
      <c r="B972" s="7"/>
      <c r="C972" s="6"/>
      <c r="D972" s="3"/>
      <c r="E972" s="3"/>
    </row>
    <row r="973" s="2" customFormat="1" ht="15.75" spans="1:5">
      <c r="A973" s="6"/>
      <c r="B973" s="7"/>
      <c r="C973" s="6"/>
      <c r="D973" s="3"/>
      <c r="E973" s="3"/>
    </row>
    <row r="974" s="2" customFormat="1" ht="15.75" spans="1:5">
      <c r="A974" s="6"/>
      <c r="B974" s="7"/>
      <c r="C974" s="6"/>
      <c r="D974" s="3"/>
      <c r="E974" s="3"/>
    </row>
    <row r="975" s="2" customFormat="1" ht="15.75" spans="1:5">
      <c r="A975" s="6"/>
      <c r="B975" s="7"/>
      <c r="C975" s="6"/>
      <c r="D975" s="3"/>
      <c r="E975" s="3"/>
    </row>
    <row r="976" s="2" customFormat="1" ht="15.75" spans="1:5">
      <c r="A976" s="6"/>
      <c r="B976" s="7"/>
      <c r="C976" s="6"/>
      <c r="D976" s="3"/>
      <c r="E976" s="3"/>
    </row>
    <row r="977" s="2" customFormat="1" ht="15.75" spans="1:5">
      <c r="A977" s="6"/>
      <c r="B977" s="7"/>
      <c r="C977" s="6"/>
      <c r="D977" s="3"/>
      <c r="E977" s="3"/>
    </row>
    <row r="978" s="2" customFormat="1" ht="15.75" spans="1:5">
      <c r="A978" s="6"/>
      <c r="B978" s="7"/>
      <c r="C978" s="6"/>
      <c r="D978" s="3"/>
      <c r="E978" s="3"/>
    </row>
    <row r="979" s="2" customFormat="1" ht="15.75" spans="1:5">
      <c r="A979" s="6"/>
      <c r="B979" s="7"/>
      <c r="C979" s="6"/>
      <c r="D979" s="3"/>
      <c r="E979" s="3"/>
    </row>
    <row r="980" s="2" customFormat="1" ht="15.75" spans="1:5">
      <c r="A980" s="6"/>
      <c r="B980" s="7"/>
      <c r="C980" s="6"/>
      <c r="D980" s="3"/>
      <c r="E980" s="3"/>
    </row>
    <row r="981" s="2" customFormat="1" ht="15.75" spans="1:5">
      <c r="A981" s="6"/>
      <c r="B981" s="7"/>
      <c r="C981" s="6"/>
      <c r="D981" s="3"/>
      <c r="E981" s="3"/>
    </row>
    <row r="982" s="2" customFormat="1" ht="15.75" spans="1:5">
      <c r="A982" s="6"/>
      <c r="B982" s="7"/>
      <c r="C982" s="6"/>
      <c r="D982" s="3"/>
      <c r="E982" s="3"/>
    </row>
    <row r="983" s="2" customFormat="1" ht="15.75" spans="1:5">
      <c r="A983" s="6"/>
      <c r="B983" s="7"/>
      <c r="C983" s="6"/>
      <c r="D983" s="3"/>
      <c r="E983" s="3"/>
    </row>
    <row r="984" s="2" customFormat="1" ht="15.75" spans="1:5">
      <c r="A984" s="6"/>
      <c r="B984" s="7"/>
      <c r="C984" s="6"/>
      <c r="D984" s="3"/>
      <c r="E984" s="3"/>
    </row>
    <row r="985" s="2" customFormat="1" ht="15.75" spans="1:5">
      <c r="A985" s="6"/>
      <c r="B985" s="7"/>
      <c r="C985" s="6"/>
      <c r="D985" s="3"/>
      <c r="E985" s="3"/>
    </row>
    <row r="986" s="2" customFormat="1" ht="15.75" spans="1:5">
      <c r="A986" s="6"/>
      <c r="B986" s="7"/>
      <c r="C986" s="6"/>
      <c r="D986" s="3"/>
      <c r="E986" s="3"/>
    </row>
    <row r="987" s="2" customFormat="1" ht="15.75" spans="1:5">
      <c r="A987" s="6"/>
      <c r="B987" s="7"/>
      <c r="C987" s="6"/>
      <c r="D987" s="3"/>
      <c r="E987" s="3"/>
    </row>
    <row r="988" s="2" customFormat="1" ht="15.75" spans="1:5">
      <c r="A988" s="6"/>
      <c r="B988" s="7"/>
      <c r="C988" s="6"/>
      <c r="D988" s="3"/>
      <c r="E988" s="3"/>
    </row>
    <row r="989" s="2" customFormat="1" ht="15.75" spans="1:5">
      <c r="A989" s="6"/>
      <c r="B989" s="7"/>
      <c r="C989" s="6"/>
      <c r="D989" s="3"/>
      <c r="E989" s="3"/>
    </row>
    <row r="990" s="2" customFormat="1" ht="15.75" spans="1:5">
      <c r="A990" s="6"/>
      <c r="B990" s="7"/>
      <c r="C990" s="6"/>
      <c r="D990" s="3"/>
      <c r="E990" s="3"/>
    </row>
    <row r="991" s="2" customFormat="1" ht="15.75" spans="1:5">
      <c r="A991" s="6"/>
      <c r="B991" s="7"/>
      <c r="C991" s="6"/>
      <c r="D991" s="3"/>
      <c r="E991" s="3"/>
    </row>
    <row r="992" s="2" customFormat="1" ht="15.75" spans="1:5">
      <c r="A992" s="6"/>
      <c r="B992" s="7"/>
      <c r="C992" s="6"/>
      <c r="D992" s="3"/>
      <c r="E992" s="3"/>
    </row>
    <row r="993" s="2" customFormat="1" ht="15.75" spans="1:5">
      <c r="A993" s="6"/>
      <c r="B993" s="7"/>
      <c r="C993" s="6"/>
      <c r="D993" s="3"/>
      <c r="E993" s="3"/>
    </row>
    <row r="994" s="2" customFormat="1" ht="15.75" spans="1:5">
      <c r="A994" s="6"/>
      <c r="B994" s="7"/>
      <c r="C994" s="6"/>
      <c r="D994" s="3"/>
      <c r="E994" s="3"/>
    </row>
    <row r="995" s="2" customFormat="1" ht="15.75" spans="1:5">
      <c r="A995" s="6"/>
      <c r="B995" s="7"/>
      <c r="C995" s="6"/>
      <c r="D995" s="3"/>
      <c r="E995" s="3"/>
    </row>
    <row r="996" s="2" customFormat="1" ht="15.75" spans="1:5">
      <c r="A996" s="6"/>
      <c r="B996" s="7"/>
      <c r="C996" s="6"/>
      <c r="D996" s="3"/>
      <c r="E996" s="3"/>
    </row>
    <row r="997" s="2" customFormat="1" ht="15.75" spans="1:5">
      <c r="A997" s="6"/>
      <c r="B997" s="7"/>
      <c r="C997" s="6"/>
      <c r="D997" s="3"/>
      <c r="E997" s="3"/>
    </row>
    <row r="998" s="2" customFormat="1" ht="15.75" spans="1:5">
      <c r="A998" s="6"/>
      <c r="B998" s="7"/>
      <c r="C998" s="6"/>
      <c r="D998" s="3"/>
      <c r="E998" s="3"/>
    </row>
    <row r="999" s="2" customFormat="1" ht="15.75" spans="1:5">
      <c r="A999" s="6"/>
      <c r="B999" s="7"/>
      <c r="C999" s="6"/>
      <c r="D999" s="3"/>
      <c r="E999" s="3"/>
    </row>
    <row r="1000" s="2" customFormat="1" ht="15.75" spans="1:5">
      <c r="A1000" s="6"/>
      <c r="B1000" s="7"/>
      <c r="C1000" s="6"/>
      <c r="D1000" s="3"/>
      <c r="E1000" s="3"/>
    </row>
    <row r="1001" s="2" customFormat="1" ht="15.75" spans="1:5">
      <c r="A1001" s="6"/>
      <c r="B1001" s="7"/>
      <c r="C1001" s="6"/>
      <c r="D1001" s="3"/>
      <c r="E1001" s="3"/>
    </row>
    <row r="1002" s="2" customFormat="1" ht="15.75" spans="1:5">
      <c r="A1002" s="6"/>
      <c r="B1002" s="7"/>
      <c r="C1002" s="6"/>
      <c r="D1002" s="3"/>
      <c r="E1002" s="3"/>
    </row>
    <row r="1003" s="2" customFormat="1" ht="15.75" spans="1:5">
      <c r="A1003" s="6"/>
      <c r="B1003" s="7"/>
      <c r="C1003" s="6"/>
      <c r="D1003" s="3"/>
      <c r="E1003" s="3"/>
    </row>
    <row r="1004" s="2" customFormat="1" ht="15.75" spans="1:5">
      <c r="A1004" s="6"/>
      <c r="B1004" s="7"/>
      <c r="C1004" s="6"/>
      <c r="D1004" s="3"/>
      <c r="E1004" s="3"/>
    </row>
    <row r="1005" s="2" customFormat="1" ht="15.75" spans="1:5">
      <c r="A1005" s="6"/>
      <c r="B1005" s="7"/>
      <c r="C1005" s="6"/>
      <c r="D1005" s="3"/>
      <c r="E1005" s="3"/>
    </row>
    <row r="1006" s="2" customFormat="1" ht="15.75" spans="1:5">
      <c r="A1006" s="6"/>
      <c r="B1006" s="7"/>
      <c r="C1006" s="6"/>
      <c r="D1006" s="3"/>
      <c r="E1006" s="3"/>
    </row>
    <row r="1007" s="2" customFormat="1" ht="15.75" spans="1:5">
      <c r="A1007" s="6"/>
      <c r="B1007" s="7"/>
      <c r="C1007" s="6"/>
      <c r="D1007" s="3"/>
      <c r="E1007" s="3"/>
    </row>
    <row r="1008" s="2" customFormat="1" ht="15.75" spans="1:5">
      <c r="A1008" s="6"/>
      <c r="B1008" s="7"/>
      <c r="C1008" s="6"/>
      <c r="D1008" s="3"/>
      <c r="E1008" s="3"/>
    </row>
    <row r="1009" s="2" customFormat="1" ht="15.75" spans="1:5">
      <c r="A1009" s="6"/>
      <c r="B1009" s="7"/>
      <c r="C1009" s="6"/>
      <c r="D1009" s="3"/>
      <c r="E1009" s="3"/>
    </row>
    <row r="1010" s="2" customFormat="1" ht="15.75" spans="1:5">
      <c r="A1010" s="6"/>
      <c r="B1010" s="7"/>
      <c r="C1010" s="6"/>
      <c r="D1010" s="3"/>
      <c r="E1010" s="3"/>
    </row>
    <row r="1011" s="2" customFormat="1" ht="15.75" spans="1:5">
      <c r="A1011" s="6"/>
      <c r="B1011" s="7"/>
      <c r="C1011" s="6"/>
      <c r="D1011" s="3"/>
      <c r="E1011" s="3"/>
    </row>
    <row r="1012" s="2" customFormat="1" ht="15.75" spans="1:5">
      <c r="A1012" s="6"/>
      <c r="B1012" s="7"/>
      <c r="C1012" s="6"/>
      <c r="D1012" s="3"/>
      <c r="E1012" s="3"/>
    </row>
    <row r="1013" s="2" customFormat="1" ht="15.75" spans="1:5">
      <c r="A1013" s="6"/>
      <c r="B1013" s="7"/>
      <c r="C1013" s="6"/>
      <c r="D1013" s="3"/>
      <c r="E1013" s="3"/>
    </row>
    <row r="1014" s="2" customFormat="1" ht="15.75" spans="1:5">
      <c r="A1014" s="6"/>
      <c r="B1014" s="7"/>
      <c r="C1014" s="6"/>
      <c r="D1014" s="3"/>
      <c r="E1014" s="3"/>
    </row>
    <row r="1015" s="2" customFormat="1" ht="15.75" spans="1:5">
      <c r="A1015" s="6"/>
      <c r="B1015" s="7"/>
      <c r="C1015" s="6"/>
      <c r="D1015" s="3"/>
      <c r="E1015" s="3"/>
    </row>
    <row r="1016" s="2" customFormat="1" ht="15.75" spans="1:5">
      <c r="A1016" s="6"/>
      <c r="B1016" s="7"/>
      <c r="C1016" s="6"/>
      <c r="D1016" s="3"/>
      <c r="E1016" s="3"/>
    </row>
    <row r="1017" s="2" customFormat="1" ht="15.75" spans="1:5">
      <c r="A1017" s="6"/>
      <c r="B1017" s="7"/>
      <c r="C1017" s="6"/>
      <c r="D1017" s="3"/>
      <c r="E1017" s="3"/>
    </row>
    <row r="1018" s="2" customFormat="1" ht="15.75" spans="1:5">
      <c r="A1018" s="6"/>
      <c r="B1018" s="7"/>
      <c r="C1018" s="6"/>
      <c r="D1018" s="3"/>
      <c r="E1018" s="3"/>
    </row>
    <row r="1019" s="2" customFormat="1" ht="15.75" spans="1:5">
      <c r="A1019" s="6"/>
      <c r="B1019" s="7"/>
      <c r="C1019" s="6"/>
      <c r="D1019" s="3"/>
      <c r="E1019" s="3"/>
    </row>
    <row r="1020" s="2" customFormat="1" ht="15.75" spans="1:5">
      <c r="A1020" s="6"/>
      <c r="B1020" s="7"/>
      <c r="C1020" s="6"/>
      <c r="D1020" s="3"/>
      <c r="E1020" s="3"/>
    </row>
    <row r="1021" s="2" customFormat="1" ht="15.75" spans="1:5">
      <c r="A1021" s="6"/>
      <c r="B1021" s="7"/>
      <c r="C1021" s="6"/>
      <c r="D1021" s="3"/>
      <c r="E1021" s="3"/>
    </row>
    <row r="1022" s="2" customFormat="1" ht="15.75" spans="1:5">
      <c r="A1022" s="6"/>
      <c r="B1022" s="7"/>
      <c r="C1022" s="6"/>
      <c r="D1022" s="3"/>
      <c r="E1022" s="3"/>
    </row>
    <row r="1023" s="2" customFormat="1" ht="15.75" spans="1:5">
      <c r="A1023" s="6"/>
      <c r="B1023" s="7"/>
      <c r="C1023" s="6"/>
      <c r="D1023" s="3"/>
      <c r="E1023" s="3"/>
    </row>
    <row r="1024" s="2" customFormat="1" ht="15.75" spans="1:5">
      <c r="A1024" s="6"/>
      <c r="B1024" s="7"/>
      <c r="C1024" s="6"/>
      <c r="D1024" s="3"/>
      <c r="E1024" s="3"/>
    </row>
    <row r="1025" s="2" customFormat="1" ht="15.75" spans="1:5">
      <c r="A1025" s="6"/>
      <c r="B1025" s="7"/>
      <c r="C1025" s="6"/>
      <c r="D1025" s="3"/>
      <c r="E1025" s="3"/>
    </row>
    <row r="1026" s="2" customFormat="1" ht="15.75" spans="1:5">
      <c r="A1026" s="6"/>
      <c r="B1026" s="7"/>
      <c r="C1026" s="6"/>
      <c r="D1026" s="3"/>
      <c r="E1026" s="3"/>
    </row>
    <row r="1027" s="2" customFormat="1" ht="15.75" spans="1:5">
      <c r="A1027" s="6"/>
      <c r="B1027" s="7"/>
      <c r="C1027" s="6"/>
      <c r="D1027" s="3"/>
      <c r="E1027" s="3"/>
    </row>
    <row r="1028" s="2" customFormat="1" ht="15.75" spans="1:5">
      <c r="A1028" s="6"/>
      <c r="B1028" s="7"/>
      <c r="C1028" s="6"/>
      <c r="D1028" s="3"/>
      <c r="E1028" s="3"/>
    </row>
    <row r="1029" s="2" customFormat="1" ht="15.75" spans="1:5">
      <c r="A1029" s="6"/>
      <c r="B1029" s="7"/>
      <c r="C1029" s="6"/>
      <c r="D1029" s="3"/>
      <c r="E1029" s="3"/>
    </row>
    <row r="1030" s="2" customFormat="1" ht="15.75" spans="1:5">
      <c r="A1030" s="6"/>
      <c r="B1030" s="7"/>
      <c r="C1030" s="6"/>
      <c r="D1030" s="3"/>
      <c r="E1030" s="3"/>
    </row>
    <row r="1031" s="2" customFormat="1" ht="15.75" spans="1:5">
      <c r="A1031" s="6"/>
      <c r="B1031" s="7"/>
      <c r="C1031" s="6"/>
      <c r="D1031" s="3"/>
      <c r="E1031" s="3"/>
    </row>
    <row r="1032" s="2" customFormat="1" ht="15.75" spans="1:5">
      <c r="A1032" s="6"/>
      <c r="B1032" s="7"/>
      <c r="C1032" s="6"/>
      <c r="D1032" s="3"/>
      <c r="E1032" s="3"/>
    </row>
    <row r="1033" s="2" customFormat="1" ht="15.75" spans="1:5">
      <c r="A1033" s="6"/>
      <c r="B1033" s="7"/>
      <c r="C1033" s="6"/>
      <c r="D1033" s="3"/>
      <c r="E1033" s="3"/>
    </row>
    <row r="1034" s="2" customFormat="1" ht="15.75" spans="1:5">
      <c r="A1034" s="6"/>
      <c r="B1034" s="7"/>
      <c r="C1034" s="6"/>
      <c r="D1034" s="3"/>
      <c r="E1034" s="3"/>
    </row>
    <row r="1035" s="2" customFormat="1" ht="15.75" spans="1:5">
      <c r="A1035" s="6"/>
      <c r="B1035" s="7"/>
      <c r="C1035" s="6"/>
      <c r="D1035" s="3"/>
      <c r="E1035" s="3"/>
    </row>
    <row r="1036" s="2" customFormat="1" ht="15.75" spans="1:5">
      <c r="A1036" s="6"/>
      <c r="B1036" s="7"/>
      <c r="C1036" s="6"/>
      <c r="D1036" s="3"/>
      <c r="E1036" s="3"/>
    </row>
    <row r="1037" s="2" customFormat="1" ht="15.75" spans="1:5">
      <c r="A1037" s="6"/>
      <c r="B1037" s="7"/>
      <c r="C1037" s="6"/>
      <c r="D1037" s="3"/>
      <c r="E1037" s="3"/>
    </row>
    <row r="1038" s="2" customFormat="1" ht="15.75" spans="1:5">
      <c r="A1038" s="6"/>
      <c r="B1038" s="7"/>
      <c r="C1038" s="6"/>
      <c r="D1038" s="3"/>
      <c r="E1038" s="3"/>
    </row>
    <row r="1039" s="2" customFormat="1" ht="15.75" spans="1:5">
      <c r="A1039" s="6"/>
      <c r="B1039" s="7"/>
      <c r="C1039" s="6"/>
      <c r="D1039" s="3"/>
      <c r="E1039" s="3"/>
    </row>
    <row r="1040" s="2" customFormat="1" ht="15.75" spans="1:5">
      <c r="A1040" s="6"/>
      <c r="B1040" s="7"/>
      <c r="C1040" s="6"/>
      <c r="D1040" s="3"/>
      <c r="E1040" s="3"/>
    </row>
    <row r="1041" s="2" customFormat="1" ht="15.75" spans="1:5">
      <c r="A1041" s="6"/>
      <c r="B1041" s="7"/>
      <c r="C1041" s="6"/>
      <c r="D1041" s="3"/>
      <c r="E1041" s="3"/>
    </row>
    <row r="1042" s="2" customFormat="1" ht="15.75" spans="1:5">
      <c r="A1042" s="6"/>
      <c r="B1042" s="7"/>
      <c r="C1042" s="6"/>
      <c r="D1042" s="3"/>
      <c r="E1042" s="3"/>
    </row>
    <row r="1043" s="2" customFormat="1" ht="15.75" spans="1:5">
      <c r="A1043" s="6"/>
      <c r="B1043" s="7"/>
      <c r="C1043" s="6"/>
      <c r="D1043" s="3"/>
      <c r="E1043" s="3"/>
    </row>
    <row r="1044" s="2" customFormat="1" ht="15.75" spans="1:5">
      <c r="A1044" s="6"/>
      <c r="B1044" s="7"/>
      <c r="C1044" s="6"/>
      <c r="D1044" s="3"/>
      <c r="E1044" s="3"/>
    </row>
    <row r="1045" s="2" customFormat="1" ht="15.75" spans="1:5">
      <c r="A1045" s="6"/>
      <c r="B1045" s="7"/>
      <c r="C1045" s="6"/>
      <c r="D1045" s="3"/>
      <c r="E1045" s="3"/>
    </row>
    <row r="1046" s="2" customFormat="1" ht="15.75" spans="1:5">
      <c r="A1046" s="6"/>
      <c r="B1046" s="7"/>
      <c r="C1046" s="6"/>
      <c r="D1046" s="3"/>
      <c r="E1046" s="3"/>
    </row>
    <row r="1047" s="2" customFormat="1" ht="15.75" spans="1:5">
      <c r="A1047" s="6"/>
      <c r="B1047" s="7"/>
      <c r="C1047" s="6"/>
      <c r="D1047" s="3"/>
      <c r="E1047" s="3"/>
    </row>
    <row r="1048" s="2" customFormat="1" ht="15.75" spans="1:5">
      <c r="A1048" s="6"/>
      <c r="B1048" s="7"/>
      <c r="C1048" s="6"/>
      <c r="D1048" s="3"/>
      <c r="E1048" s="3"/>
    </row>
    <row r="1049" s="2" customFormat="1" ht="15.75" spans="1:5">
      <c r="A1049" s="6"/>
      <c r="B1049" s="7"/>
      <c r="C1049" s="6"/>
      <c r="D1049" s="3"/>
      <c r="E1049" s="3"/>
    </row>
    <row r="1050" s="2" customFormat="1" ht="15.75" spans="1:5">
      <c r="A1050" s="6"/>
      <c r="B1050" s="7"/>
      <c r="C1050" s="6"/>
      <c r="D1050" s="3"/>
      <c r="E1050" s="3"/>
    </row>
    <row r="1051" s="2" customFormat="1" ht="15.75" spans="1:5">
      <c r="A1051" s="6"/>
      <c r="B1051" s="7"/>
      <c r="C1051" s="6"/>
      <c r="D1051" s="3"/>
      <c r="E1051" s="3"/>
    </row>
    <row r="1052" s="2" customFormat="1" ht="15.75" spans="1:5">
      <c r="A1052" s="6"/>
      <c r="B1052" s="7"/>
      <c r="C1052" s="6"/>
      <c r="D1052" s="3"/>
      <c r="E1052" s="3"/>
    </row>
    <row r="1053" s="2" customFormat="1" ht="15.75" spans="1:5">
      <c r="A1053" s="6"/>
      <c r="B1053" s="7"/>
      <c r="C1053" s="6"/>
      <c r="D1053" s="3"/>
      <c r="E1053" s="3"/>
    </row>
    <row r="1054" s="2" customFormat="1" ht="15.75" spans="1:5">
      <c r="A1054" s="6"/>
      <c r="B1054" s="7"/>
      <c r="C1054" s="6"/>
      <c r="D1054" s="3"/>
      <c r="E1054" s="3"/>
    </row>
    <row r="1055" s="2" customFormat="1" ht="15.75" spans="1:5">
      <c r="A1055" s="6"/>
      <c r="B1055" s="7"/>
      <c r="C1055" s="6"/>
      <c r="D1055" s="3"/>
      <c r="E1055" s="3"/>
    </row>
    <row r="1056" s="2" customFormat="1" ht="15.75" spans="1:5">
      <c r="A1056" s="6"/>
      <c r="B1056" s="7"/>
      <c r="C1056" s="6"/>
      <c r="D1056" s="3"/>
      <c r="E1056" s="3"/>
    </row>
    <row r="1057" s="2" customFormat="1" ht="15.75" spans="1:5">
      <c r="A1057" s="6"/>
      <c r="B1057" s="7"/>
      <c r="C1057" s="6"/>
      <c r="D1057" s="3"/>
      <c r="E1057" s="3"/>
    </row>
    <row r="1058" s="2" customFormat="1" ht="15.75" spans="1:5">
      <c r="A1058" s="6"/>
      <c r="B1058" s="7"/>
      <c r="C1058" s="6"/>
      <c r="D1058" s="3"/>
      <c r="E1058" s="3"/>
    </row>
    <row r="1059" s="2" customFormat="1" ht="15.75" spans="1:5">
      <c r="A1059" s="6"/>
      <c r="B1059" s="7"/>
      <c r="C1059" s="6"/>
      <c r="D1059" s="3"/>
      <c r="E1059" s="3"/>
    </row>
    <row r="1060" s="2" customFormat="1" ht="15.75" spans="1:5">
      <c r="A1060" s="6"/>
      <c r="B1060" s="7"/>
      <c r="C1060" s="6"/>
      <c r="D1060" s="3"/>
      <c r="E1060" s="3"/>
    </row>
    <row r="1061" s="2" customFormat="1" ht="15.75" spans="1:5">
      <c r="A1061" s="6"/>
      <c r="B1061" s="7"/>
      <c r="C1061" s="6"/>
      <c r="D1061" s="3"/>
      <c r="E1061" s="3"/>
    </row>
    <row r="1062" s="2" customFormat="1" ht="15.75" spans="1:5">
      <c r="A1062" s="6"/>
      <c r="B1062" s="7"/>
      <c r="C1062" s="6"/>
      <c r="D1062" s="3"/>
      <c r="E1062" s="3"/>
    </row>
    <row r="1063" s="2" customFormat="1" ht="15.75" spans="1:5">
      <c r="A1063" s="6"/>
      <c r="B1063" s="7"/>
      <c r="C1063" s="6"/>
      <c r="D1063" s="3"/>
      <c r="E1063" s="3"/>
    </row>
    <row r="1064" s="2" customFormat="1" ht="15.75" spans="1:5">
      <c r="A1064" s="6"/>
      <c r="B1064" s="7"/>
      <c r="C1064" s="6"/>
      <c r="D1064" s="3"/>
      <c r="E1064" s="3"/>
    </row>
    <row r="1065" s="2" customFormat="1" ht="15.75" spans="1:5">
      <c r="A1065" s="6"/>
      <c r="B1065" s="7"/>
      <c r="C1065" s="6"/>
      <c r="D1065" s="3"/>
      <c r="E1065" s="3"/>
    </row>
    <row r="1066" s="2" customFormat="1" ht="15.75" spans="1:5">
      <c r="A1066" s="6"/>
      <c r="B1066" s="7"/>
      <c r="C1066" s="6"/>
      <c r="D1066" s="3"/>
      <c r="E1066" s="3"/>
    </row>
    <row r="1067" s="2" customFormat="1" ht="15.75" spans="1:5">
      <c r="A1067" s="6"/>
      <c r="B1067" s="7"/>
      <c r="C1067" s="6"/>
      <c r="D1067" s="3"/>
      <c r="E1067" s="3"/>
    </row>
    <row r="1068" s="2" customFormat="1" ht="15.75" spans="1:5">
      <c r="A1068" s="6"/>
      <c r="B1068" s="7"/>
      <c r="C1068" s="6"/>
      <c r="D1068" s="3"/>
      <c r="E1068" s="3"/>
    </row>
    <row r="1069" s="2" customFormat="1" ht="15.75" spans="1:5">
      <c r="A1069" s="6"/>
      <c r="B1069" s="7"/>
      <c r="C1069" s="6"/>
      <c r="D1069" s="3"/>
      <c r="E1069" s="3"/>
    </row>
    <row r="1070" s="2" customFormat="1" ht="15.75" spans="1:5">
      <c r="A1070" s="6"/>
      <c r="B1070" s="7"/>
      <c r="C1070" s="6"/>
      <c r="D1070" s="3"/>
      <c r="E1070" s="3"/>
    </row>
    <row r="1071" s="2" customFormat="1" ht="15.75" spans="1:5">
      <c r="A1071" s="6"/>
      <c r="B1071" s="7"/>
      <c r="C1071" s="6"/>
      <c r="D1071" s="3"/>
      <c r="E1071" s="3"/>
    </row>
    <row r="1072" s="2" customFormat="1" ht="15.75" spans="1:5">
      <c r="A1072" s="6"/>
      <c r="B1072" s="7"/>
      <c r="C1072" s="6"/>
      <c r="D1072" s="3"/>
      <c r="E1072" s="3"/>
    </row>
    <row r="1073" s="2" customFormat="1" ht="15.75" spans="1:5">
      <c r="A1073" s="6"/>
      <c r="B1073" s="7"/>
      <c r="C1073" s="6"/>
      <c r="D1073" s="3"/>
      <c r="E1073" s="3"/>
    </row>
    <row r="1074" s="2" customFormat="1" ht="15.75" spans="1:5">
      <c r="A1074" s="6"/>
      <c r="B1074" s="7"/>
      <c r="C1074" s="6"/>
      <c r="D1074" s="3"/>
      <c r="E1074" s="3"/>
    </row>
    <row r="1075" s="2" customFormat="1" ht="15.75" spans="1:5">
      <c r="A1075" s="6"/>
      <c r="B1075" s="7"/>
      <c r="C1075" s="6"/>
      <c r="D1075" s="3"/>
      <c r="E1075" s="3"/>
    </row>
    <row r="1076" s="2" customFormat="1" ht="15.75" spans="1:5">
      <c r="A1076" s="6"/>
      <c r="B1076" s="7"/>
      <c r="C1076" s="6"/>
      <c r="D1076" s="3"/>
      <c r="E1076" s="3"/>
    </row>
    <row r="1077" s="2" customFormat="1" ht="15.75" spans="1:5">
      <c r="A1077" s="6"/>
      <c r="B1077" s="7"/>
      <c r="C1077" s="6"/>
      <c r="D1077" s="3"/>
      <c r="E1077" s="3"/>
    </row>
    <row r="1078" s="2" customFormat="1" ht="15.75" spans="1:5">
      <c r="A1078" s="6"/>
      <c r="B1078" s="7"/>
      <c r="C1078" s="6"/>
      <c r="D1078" s="3"/>
      <c r="E1078" s="3"/>
    </row>
    <row r="1079" s="2" customFormat="1" ht="15.75" spans="1:5">
      <c r="A1079" s="6"/>
      <c r="B1079" s="7"/>
      <c r="C1079" s="6"/>
      <c r="D1079" s="3"/>
      <c r="E1079" s="3"/>
    </row>
    <row r="1080" s="2" customFormat="1" ht="15.75" spans="1:5">
      <c r="A1080" s="6"/>
      <c r="B1080" s="7"/>
      <c r="C1080" s="6"/>
      <c r="D1080" s="3"/>
      <c r="E1080" s="3"/>
    </row>
    <row r="1081" s="2" customFormat="1" ht="15.75" spans="1:5">
      <c r="A1081" s="6"/>
      <c r="B1081" s="7"/>
      <c r="C1081" s="6"/>
      <c r="D1081" s="3"/>
      <c r="E1081" s="3"/>
    </row>
    <row r="1082" s="2" customFormat="1" ht="15.75" spans="1:5">
      <c r="A1082" s="6"/>
      <c r="B1082" s="7"/>
      <c r="C1082" s="6"/>
      <c r="D1082" s="3"/>
      <c r="E1082" s="3"/>
    </row>
    <row r="1083" s="2" customFormat="1" ht="15.75" spans="1:5">
      <c r="A1083" s="6"/>
      <c r="B1083" s="7"/>
      <c r="C1083" s="6"/>
      <c r="D1083" s="3"/>
      <c r="E1083" s="3"/>
    </row>
    <row r="1084" s="2" customFormat="1" ht="15.75" spans="1:5">
      <c r="A1084" s="6"/>
      <c r="B1084" s="7"/>
      <c r="C1084" s="6"/>
      <c r="D1084" s="3"/>
      <c r="E1084" s="3"/>
    </row>
    <row r="1085" s="2" customFormat="1" ht="15.75" spans="1:5">
      <c r="A1085" s="6"/>
      <c r="B1085" s="7"/>
      <c r="C1085" s="6"/>
      <c r="D1085" s="3"/>
      <c r="E1085" s="3"/>
    </row>
    <row r="1086" s="2" customFormat="1" ht="15.75" spans="1:5">
      <c r="A1086" s="6"/>
      <c r="B1086" s="7"/>
      <c r="C1086" s="6"/>
      <c r="D1086" s="3"/>
      <c r="E1086" s="3"/>
    </row>
    <row r="1087" s="2" customFormat="1" ht="15.75" spans="1:5">
      <c r="A1087" s="6"/>
      <c r="B1087" s="7"/>
      <c r="C1087" s="6"/>
      <c r="D1087" s="3"/>
      <c r="E1087" s="3"/>
    </row>
    <row r="1088" s="2" customFormat="1" ht="15.75" spans="1:5">
      <c r="A1088" s="6"/>
      <c r="B1088" s="7"/>
      <c r="C1088" s="6"/>
      <c r="D1088" s="3"/>
      <c r="E1088" s="3"/>
    </row>
    <row r="1089" s="2" customFormat="1" ht="15.75" spans="1:5">
      <c r="A1089" s="6"/>
      <c r="B1089" s="7"/>
      <c r="C1089" s="6"/>
      <c r="D1089" s="3"/>
      <c r="E1089" s="3"/>
    </row>
    <row r="1090" s="2" customFormat="1" ht="15.75" spans="1:5">
      <c r="A1090" s="6"/>
      <c r="B1090" s="7"/>
      <c r="C1090" s="6"/>
      <c r="D1090" s="3"/>
      <c r="E1090" s="3"/>
    </row>
    <row r="1091" s="2" customFormat="1" ht="15.75" spans="1:5">
      <c r="A1091" s="6"/>
      <c r="B1091" s="7"/>
      <c r="C1091" s="6"/>
      <c r="D1091" s="3"/>
      <c r="E1091" s="3"/>
    </row>
    <row r="1092" s="2" customFormat="1" ht="15.75" spans="1:5">
      <c r="A1092" s="6"/>
      <c r="B1092" s="7"/>
      <c r="C1092" s="6"/>
      <c r="D1092" s="3"/>
      <c r="E1092" s="3"/>
    </row>
    <row r="1093" s="2" customFormat="1" ht="15.75" spans="1:5">
      <c r="A1093" s="6"/>
      <c r="B1093" s="7"/>
      <c r="C1093" s="6"/>
      <c r="D1093" s="3"/>
      <c r="E1093" s="3"/>
    </row>
    <row r="1094" s="2" customFormat="1" ht="15.75" spans="1:5">
      <c r="A1094" s="6"/>
      <c r="B1094" s="7"/>
      <c r="C1094" s="6"/>
      <c r="D1094" s="3"/>
      <c r="E1094" s="3"/>
    </row>
    <row r="1095" s="2" customFormat="1" ht="15.75" spans="1:5">
      <c r="A1095" s="6"/>
      <c r="B1095" s="7"/>
      <c r="C1095" s="6"/>
      <c r="D1095" s="3"/>
      <c r="E1095" s="3"/>
    </row>
    <row r="1096" s="2" customFormat="1" ht="15.75" spans="1:5">
      <c r="A1096" s="6"/>
      <c r="B1096" s="7"/>
      <c r="C1096" s="6"/>
      <c r="D1096" s="3"/>
      <c r="E1096" s="3"/>
    </row>
    <row r="1097" s="2" customFormat="1" ht="15.75" spans="1:5">
      <c r="A1097" s="6"/>
      <c r="B1097" s="7"/>
      <c r="C1097" s="6"/>
      <c r="D1097" s="3"/>
      <c r="E1097" s="3"/>
    </row>
    <row r="1098" s="2" customFormat="1" ht="15.75" spans="1:5">
      <c r="A1098" s="6"/>
      <c r="B1098" s="7"/>
      <c r="C1098" s="6"/>
      <c r="D1098" s="3"/>
      <c r="E1098" s="3"/>
    </row>
    <row r="1099" s="2" customFormat="1" ht="15.75" spans="1:5">
      <c r="A1099" s="6"/>
      <c r="B1099" s="7"/>
      <c r="C1099" s="6"/>
      <c r="D1099" s="3"/>
      <c r="E1099" s="3"/>
    </row>
    <row r="1100" s="2" customFormat="1" ht="15.75" spans="1:5">
      <c r="A1100" s="6"/>
      <c r="B1100" s="7"/>
      <c r="C1100" s="6"/>
      <c r="D1100" s="3"/>
      <c r="E1100" s="3"/>
    </row>
    <row r="1101" s="2" customFormat="1" ht="15.75" spans="1:5">
      <c r="A1101" s="6"/>
      <c r="B1101" s="7"/>
      <c r="C1101" s="6"/>
      <c r="D1101" s="3"/>
      <c r="E1101" s="3"/>
    </row>
    <row r="1102" s="2" customFormat="1" ht="15.75" spans="1:5">
      <c r="A1102" s="6"/>
      <c r="B1102" s="7"/>
      <c r="C1102" s="6"/>
      <c r="D1102" s="3"/>
      <c r="E1102" s="3"/>
    </row>
    <row r="1103" s="2" customFormat="1" ht="15.75" spans="1:5">
      <c r="A1103" s="6"/>
      <c r="B1103" s="7"/>
      <c r="C1103" s="6"/>
      <c r="D1103" s="3"/>
      <c r="E1103" s="3"/>
    </row>
    <row r="1104" s="2" customFormat="1" ht="15.75" spans="1:5">
      <c r="A1104" s="6"/>
      <c r="B1104" s="7"/>
      <c r="C1104" s="6"/>
      <c r="D1104" s="3"/>
      <c r="E1104" s="3"/>
    </row>
    <row r="1105" s="2" customFormat="1" ht="15.75" spans="1:5">
      <c r="A1105" s="6"/>
      <c r="B1105" s="7"/>
      <c r="C1105" s="6"/>
      <c r="D1105" s="3"/>
      <c r="E1105" s="3"/>
    </row>
    <row r="1106" s="2" customFormat="1" ht="15.75" spans="1:5">
      <c r="A1106" s="6"/>
      <c r="B1106" s="7"/>
      <c r="C1106" s="6"/>
      <c r="D1106" s="3"/>
      <c r="E1106" s="3"/>
    </row>
    <row r="1107" s="2" customFormat="1" ht="15.75" spans="1:5">
      <c r="A1107" s="6"/>
      <c r="B1107" s="7"/>
      <c r="C1107" s="6"/>
      <c r="D1107" s="3"/>
      <c r="E1107" s="3"/>
    </row>
    <row r="1108" s="2" customFormat="1" ht="15.75" spans="1:5">
      <c r="A1108" s="6"/>
      <c r="B1108" s="7"/>
      <c r="C1108" s="6"/>
      <c r="D1108" s="3"/>
      <c r="E1108" s="3"/>
    </row>
    <row r="1109" s="2" customFormat="1" ht="15.75" spans="1:5">
      <c r="A1109" s="6"/>
      <c r="B1109" s="7"/>
      <c r="C1109" s="6"/>
      <c r="D1109" s="3"/>
      <c r="E1109" s="3"/>
    </row>
    <row r="1110" s="2" customFormat="1" ht="15.75" spans="1:5">
      <c r="A1110" s="6"/>
      <c r="B1110" s="7"/>
      <c r="C1110" s="6"/>
      <c r="D1110" s="3"/>
      <c r="E1110" s="3"/>
    </row>
    <row r="1111" s="2" customFormat="1" ht="15.75" spans="1:5">
      <c r="A1111" s="6"/>
      <c r="B1111" s="7"/>
      <c r="C1111" s="6"/>
      <c r="D1111" s="3"/>
      <c r="E1111" s="3"/>
    </row>
    <row r="1112" s="2" customFormat="1" ht="15.75" spans="1:5">
      <c r="A1112" s="6"/>
      <c r="B1112" s="7"/>
      <c r="C1112" s="6"/>
      <c r="D1112" s="3"/>
      <c r="E1112" s="3"/>
    </row>
    <row r="1113" s="2" customFormat="1" ht="15.75" spans="1:5">
      <c r="A1113" s="6"/>
      <c r="B1113" s="7"/>
      <c r="C1113" s="6"/>
      <c r="D1113" s="3"/>
      <c r="E1113" s="3"/>
    </row>
    <row r="1114" s="2" customFormat="1" ht="15.75" spans="1:5">
      <c r="A1114" s="6"/>
      <c r="B1114" s="7"/>
      <c r="C1114" s="6"/>
      <c r="D1114" s="3"/>
      <c r="E1114" s="3"/>
    </row>
    <row r="1115" s="2" customFormat="1" ht="15.75" spans="1:5">
      <c r="A1115" s="6"/>
      <c r="B1115" s="7"/>
      <c r="C1115" s="6"/>
      <c r="D1115" s="3"/>
      <c r="E1115" s="3"/>
    </row>
    <row r="1116" s="2" customFormat="1" ht="15.75" spans="1:5">
      <c r="A1116" s="6"/>
      <c r="B1116" s="7"/>
      <c r="C1116" s="6"/>
      <c r="D1116" s="3"/>
      <c r="E1116" s="3"/>
    </row>
    <row r="1117" s="2" customFormat="1" ht="15.75" spans="1:5">
      <c r="A1117" s="6"/>
      <c r="B1117" s="7"/>
      <c r="C1117" s="6"/>
      <c r="D1117" s="3"/>
      <c r="E1117" s="3"/>
    </row>
    <row r="1118" s="2" customFormat="1" ht="15.75" spans="1:5">
      <c r="A1118" s="6"/>
      <c r="B1118" s="7"/>
      <c r="C1118" s="6"/>
      <c r="D1118" s="3"/>
      <c r="E1118" s="3"/>
    </row>
    <row r="1119" s="2" customFormat="1" ht="15.75" spans="1:5">
      <c r="A1119" s="6"/>
      <c r="B1119" s="7"/>
      <c r="C1119" s="6"/>
      <c r="D1119" s="3"/>
      <c r="E1119" s="3"/>
    </row>
    <row r="1120" s="2" customFormat="1" ht="15.75" spans="1:5">
      <c r="A1120" s="6"/>
      <c r="B1120" s="7"/>
      <c r="C1120" s="6"/>
      <c r="D1120" s="3"/>
      <c r="E1120" s="3"/>
    </row>
    <row r="1121" s="2" customFormat="1" ht="15.75" spans="1:5">
      <c r="A1121" s="6"/>
      <c r="B1121" s="7"/>
      <c r="C1121" s="6"/>
      <c r="D1121" s="3"/>
      <c r="E1121" s="3"/>
    </row>
    <row r="1122" s="2" customFormat="1" ht="15.75" spans="1:5">
      <c r="A1122" s="6"/>
      <c r="B1122" s="7"/>
      <c r="C1122" s="6"/>
      <c r="D1122" s="3"/>
      <c r="E1122" s="3"/>
    </row>
    <row r="1123" s="2" customFormat="1" ht="15.75" spans="1:5">
      <c r="A1123" s="6"/>
      <c r="B1123" s="7"/>
      <c r="C1123" s="6"/>
      <c r="D1123" s="3"/>
      <c r="E1123" s="3"/>
    </row>
    <row r="1124" s="2" customFormat="1" ht="15.75" spans="1:5">
      <c r="A1124" s="6"/>
      <c r="B1124" s="7"/>
      <c r="C1124" s="6"/>
      <c r="D1124" s="3"/>
      <c r="E1124" s="3"/>
    </row>
    <row r="1125" s="2" customFormat="1" ht="15.75" spans="1:5">
      <c r="A1125" s="6"/>
      <c r="B1125" s="7"/>
      <c r="C1125" s="6"/>
      <c r="D1125" s="3"/>
      <c r="E1125" s="3"/>
    </row>
    <row r="1126" s="2" customFormat="1" ht="15.75" spans="1:5">
      <c r="A1126" s="6"/>
      <c r="B1126" s="7"/>
      <c r="C1126" s="6"/>
      <c r="D1126" s="3"/>
      <c r="E1126" s="3"/>
    </row>
    <row r="1127" s="2" customFormat="1" ht="15.75" spans="1:5">
      <c r="A1127" s="6"/>
      <c r="B1127" s="7"/>
      <c r="C1127" s="6"/>
      <c r="D1127" s="3"/>
      <c r="E1127" s="3"/>
    </row>
    <row r="1128" s="2" customFormat="1" ht="15.75" spans="1:5">
      <c r="A1128" s="6"/>
      <c r="B1128" s="7"/>
      <c r="C1128" s="6"/>
      <c r="D1128" s="3"/>
      <c r="E1128" s="3"/>
    </row>
    <row r="1129" s="2" customFormat="1" ht="15.75" spans="1:5">
      <c r="A1129" s="6"/>
      <c r="B1129" s="7"/>
      <c r="C1129" s="6"/>
      <c r="D1129" s="3"/>
      <c r="E1129" s="3"/>
    </row>
    <row r="1130" s="2" customFormat="1" ht="15.75" spans="1:5">
      <c r="A1130" s="6"/>
      <c r="B1130" s="7"/>
      <c r="C1130" s="6"/>
      <c r="D1130" s="3"/>
      <c r="E1130" s="3"/>
    </row>
    <row r="1131" s="2" customFormat="1" ht="15.75" spans="1:5">
      <c r="A1131" s="6"/>
      <c r="B1131" s="7"/>
      <c r="C1131" s="6"/>
      <c r="D1131" s="3"/>
      <c r="E1131" s="3"/>
    </row>
    <row r="1132" s="2" customFormat="1" ht="15.75" spans="1:5">
      <c r="A1132" s="6"/>
      <c r="B1132" s="7"/>
      <c r="C1132" s="6"/>
      <c r="D1132" s="3"/>
      <c r="E1132" s="3"/>
    </row>
    <row r="1133" s="2" customFormat="1" ht="15.75" spans="1:5">
      <c r="A1133" s="6"/>
      <c r="B1133" s="7"/>
      <c r="C1133" s="6"/>
      <c r="D1133" s="3"/>
      <c r="E1133" s="3"/>
    </row>
    <row r="1134" s="2" customFormat="1" ht="15.75" spans="1:5">
      <c r="A1134" s="6"/>
      <c r="B1134" s="7"/>
      <c r="C1134" s="6"/>
      <c r="D1134" s="3"/>
      <c r="E1134" s="3"/>
    </row>
    <row r="1135" s="2" customFormat="1" ht="15.75" spans="1:5">
      <c r="A1135" s="6"/>
      <c r="B1135" s="7"/>
      <c r="C1135" s="6"/>
      <c r="D1135" s="3"/>
      <c r="E1135" s="3"/>
    </row>
    <row r="1136" s="2" customFormat="1" ht="15.75" spans="1:5">
      <c r="A1136" s="6"/>
      <c r="B1136" s="7"/>
      <c r="C1136" s="6"/>
      <c r="D1136" s="3"/>
      <c r="E1136" s="3"/>
    </row>
    <row r="1137" s="2" customFormat="1" ht="15.75" spans="1:5">
      <c r="A1137" s="6"/>
      <c r="B1137" s="7"/>
      <c r="C1137" s="6"/>
      <c r="D1137" s="3"/>
      <c r="E1137" s="3"/>
    </row>
    <row r="1138" s="2" customFormat="1" ht="15.75" spans="1:5">
      <c r="A1138" s="6"/>
      <c r="B1138" s="7"/>
      <c r="C1138" s="6"/>
      <c r="D1138" s="3"/>
      <c r="E1138" s="3"/>
    </row>
    <row r="1139" s="2" customFormat="1" ht="15.75" spans="1:5">
      <c r="A1139" s="6"/>
      <c r="B1139" s="7"/>
      <c r="C1139" s="6"/>
      <c r="D1139" s="3"/>
      <c r="E1139" s="3"/>
    </row>
    <row r="1140" s="2" customFormat="1" ht="15.75" spans="1:5">
      <c r="A1140" s="6"/>
      <c r="B1140" s="7"/>
      <c r="C1140" s="6"/>
      <c r="D1140" s="3"/>
      <c r="E1140" s="3"/>
    </row>
    <row r="1141" s="2" customFormat="1" ht="15.75" spans="1:5">
      <c r="A1141" s="6"/>
      <c r="B1141" s="7"/>
      <c r="C1141" s="6"/>
      <c r="D1141" s="3"/>
      <c r="E1141" s="3"/>
    </row>
    <row r="1142" s="2" customFormat="1" ht="15.75" spans="1:5">
      <c r="A1142" s="6"/>
      <c r="B1142" s="7"/>
      <c r="C1142" s="6"/>
      <c r="D1142" s="3"/>
      <c r="E1142" s="3"/>
    </row>
    <row r="1143" s="2" customFormat="1" ht="15.75" spans="1:5">
      <c r="A1143" s="6"/>
      <c r="B1143" s="7"/>
      <c r="C1143" s="6"/>
      <c r="D1143" s="3"/>
      <c r="E1143" s="3"/>
    </row>
    <row r="1144" s="2" customFormat="1" ht="15.75" spans="1:5">
      <c r="A1144" s="6"/>
      <c r="B1144" s="7"/>
      <c r="C1144" s="6"/>
      <c r="D1144" s="3"/>
      <c r="E1144" s="3"/>
    </row>
    <row r="1145" s="2" customFormat="1" ht="15.75" spans="1:5">
      <c r="A1145" s="6"/>
      <c r="B1145" s="7"/>
      <c r="C1145" s="6"/>
      <c r="D1145" s="3"/>
      <c r="E1145" s="3"/>
    </row>
    <row r="1146" s="2" customFormat="1" ht="15.75" spans="1:5">
      <c r="A1146" s="6"/>
      <c r="B1146" s="7"/>
      <c r="C1146" s="6"/>
      <c r="D1146" s="3"/>
      <c r="E1146" s="3"/>
    </row>
    <row r="1147" s="2" customFormat="1" ht="15.75" spans="1:5">
      <c r="A1147" s="6"/>
      <c r="B1147" s="7"/>
      <c r="C1147" s="6"/>
      <c r="D1147" s="3"/>
      <c r="E1147" s="3"/>
    </row>
    <row r="1148" s="2" customFormat="1" ht="15.75" spans="1:5">
      <c r="A1148" s="6"/>
      <c r="B1148" s="7"/>
      <c r="C1148" s="6"/>
      <c r="D1148" s="3"/>
      <c r="E1148" s="3"/>
    </row>
    <row r="1149" s="2" customFormat="1" ht="15.75" spans="1:5">
      <c r="A1149" s="6"/>
      <c r="B1149" s="7"/>
      <c r="C1149" s="6"/>
      <c r="D1149" s="3"/>
      <c r="E1149" s="3"/>
    </row>
    <row r="1150" s="2" customFormat="1" ht="15.75" spans="1:5">
      <c r="A1150" s="6"/>
      <c r="B1150" s="7"/>
      <c r="C1150" s="6"/>
      <c r="D1150" s="3"/>
      <c r="E1150" s="3"/>
    </row>
    <row r="1151" s="2" customFormat="1" ht="15.75" spans="1:5">
      <c r="A1151" s="6"/>
      <c r="B1151" s="7"/>
      <c r="C1151" s="6"/>
      <c r="D1151" s="3"/>
      <c r="E1151" s="3"/>
    </row>
    <row r="1152" s="2" customFormat="1" ht="15.75" spans="1:5">
      <c r="A1152" s="6"/>
      <c r="B1152" s="7"/>
      <c r="C1152" s="6"/>
      <c r="D1152" s="3"/>
      <c r="E1152" s="3"/>
    </row>
    <row r="1153" s="2" customFormat="1" ht="15.75" spans="1:5">
      <c r="A1153" s="6"/>
      <c r="B1153" s="7"/>
      <c r="C1153" s="6"/>
      <c r="D1153" s="3"/>
      <c r="E1153" s="3"/>
    </row>
    <row r="1154" s="2" customFormat="1" ht="15.75" spans="1:5">
      <c r="A1154" s="6"/>
      <c r="B1154" s="7"/>
      <c r="C1154" s="6"/>
      <c r="D1154" s="3"/>
      <c r="E1154" s="3"/>
    </row>
    <row r="1155" s="2" customFormat="1" ht="15.75" spans="1:5">
      <c r="A1155" s="6"/>
      <c r="B1155" s="7"/>
      <c r="C1155" s="6"/>
      <c r="D1155" s="3"/>
      <c r="E1155" s="3"/>
    </row>
    <row r="1156" s="2" customFormat="1" ht="15.75" spans="1:5">
      <c r="A1156" s="6"/>
      <c r="B1156" s="7"/>
      <c r="C1156" s="6"/>
      <c r="D1156" s="3"/>
      <c r="E1156" s="3"/>
    </row>
    <row r="1157" s="2" customFormat="1" ht="15.75" spans="1:5">
      <c r="A1157" s="6"/>
      <c r="B1157" s="7"/>
      <c r="C1157" s="6"/>
      <c r="D1157" s="3"/>
      <c r="E1157" s="3"/>
    </row>
    <row r="1158" s="2" customFormat="1" ht="15.75" spans="1:5">
      <c r="A1158" s="6"/>
      <c r="B1158" s="7"/>
      <c r="C1158" s="6"/>
      <c r="D1158" s="3"/>
      <c r="E1158" s="3"/>
    </row>
    <row r="1159" s="2" customFormat="1" ht="15.75" spans="1:5">
      <c r="A1159" s="6"/>
      <c r="B1159" s="7"/>
      <c r="C1159" s="6"/>
      <c r="D1159" s="3"/>
      <c r="E1159" s="3"/>
    </row>
    <row r="1160" s="2" customFormat="1" ht="15.75" spans="1:5">
      <c r="A1160" s="6"/>
      <c r="B1160" s="7"/>
      <c r="C1160" s="6"/>
      <c r="D1160" s="3"/>
      <c r="E1160" s="3"/>
    </row>
    <row r="1161" s="2" customFormat="1" ht="15.75" spans="1:5">
      <c r="A1161" s="6"/>
      <c r="B1161" s="7"/>
      <c r="C1161" s="6"/>
      <c r="D1161" s="3"/>
      <c r="E1161" s="3"/>
    </row>
    <row r="1162" s="2" customFormat="1" ht="15.75" spans="1:5">
      <c r="A1162" s="6"/>
      <c r="B1162" s="7"/>
      <c r="C1162" s="6"/>
      <c r="D1162" s="3"/>
      <c r="E1162" s="3"/>
    </row>
    <row r="1163" s="2" customFormat="1" ht="15.75" spans="1:5">
      <c r="A1163" s="6"/>
      <c r="B1163" s="7"/>
      <c r="C1163" s="6"/>
      <c r="D1163" s="3"/>
      <c r="E1163" s="3"/>
    </row>
    <row r="1164" s="2" customFormat="1" ht="15.75" spans="1:5">
      <c r="A1164" s="6"/>
      <c r="B1164" s="7"/>
      <c r="C1164" s="6"/>
      <c r="D1164" s="3"/>
      <c r="E1164" s="3"/>
    </row>
    <row r="1165" s="2" customFormat="1" ht="15.75" spans="1:5">
      <c r="A1165" s="6"/>
      <c r="B1165" s="7"/>
      <c r="C1165" s="6"/>
      <c r="D1165" s="3"/>
      <c r="E1165" s="3"/>
    </row>
    <row r="1166" s="2" customFormat="1" ht="15.75" spans="1:5">
      <c r="A1166" s="6"/>
      <c r="B1166" s="7"/>
      <c r="C1166" s="6"/>
      <c r="D1166" s="3"/>
      <c r="E1166" s="3"/>
    </row>
    <row r="1167" s="2" customFormat="1" ht="15.75" spans="1:5">
      <c r="A1167" s="6"/>
      <c r="B1167" s="7"/>
      <c r="C1167" s="6"/>
      <c r="D1167" s="3"/>
      <c r="E1167" s="3"/>
    </row>
    <row r="1168" s="2" customFormat="1" ht="15.75" spans="1:5">
      <c r="A1168" s="6"/>
      <c r="B1168" s="7"/>
      <c r="C1168" s="6"/>
      <c r="D1168" s="3"/>
      <c r="E1168" s="3"/>
    </row>
    <row r="1169" s="2" customFormat="1" ht="15.75" spans="1:5">
      <c r="A1169" s="6"/>
      <c r="B1169" s="7"/>
      <c r="C1169" s="6"/>
      <c r="D1169" s="3"/>
      <c r="E1169" s="3"/>
    </row>
    <row r="1170" s="2" customFormat="1" ht="15.75" spans="1:5">
      <c r="A1170" s="6"/>
      <c r="B1170" s="7"/>
      <c r="C1170" s="6"/>
      <c r="D1170" s="3"/>
      <c r="E1170" s="3"/>
    </row>
    <row r="1171" s="2" customFormat="1" ht="15.75" spans="1:5">
      <c r="A1171" s="6"/>
      <c r="B1171" s="7"/>
      <c r="C1171" s="6"/>
      <c r="D1171" s="3"/>
      <c r="E1171" s="3"/>
    </row>
    <row r="1172" s="2" customFormat="1" ht="15.75" spans="1:5">
      <c r="A1172" s="6"/>
      <c r="B1172" s="7"/>
      <c r="C1172" s="6"/>
      <c r="D1172" s="3"/>
      <c r="E1172" s="3"/>
    </row>
    <row r="1173" s="2" customFormat="1" ht="15.75" spans="1:5">
      <c r="A1173" s="6"/>
      <c r="B1173" s="7"/>
      <c r="C1173" s="6"/>
      <c r="D1173" s="3"/>
      <c r="E1173" s="3"/>
    </row>
    <row r="1174" s="2" customFormat="1" ht="15.75" spans="1:5">
      <c r="A1174" s="6"/>
      <c r="B1174" s="7"/>
      <c r="C1174" s="6"/>
      <c r="D1174" s="3"/>
      <c r="E1174" s="3"/>
    </row>
    <row r="1175" s="2" customFormat="1" ht="15.75" spans="1:5">
      <c r="A1175" s="6"/>
      <c r="B1175" s="7"/>
      <c r="C1175" s="6"/>
      <c r="D1175" s="3"/>
      <c r="E1175" s="3"/>
    </row>
    <row r="1176" s="2" customFormat="1" ht="15.75" spans="1:5">
      <c r="A1176" s="6"/>
      <c r="B1176" s="7"/>
      <c r="C1176" s="6"/>
      <c r="D1176" s="3"/>
      <c r="E1176" s="3"/>
    </row>
    <row r="1177" s="2" customFormat="1" ht="15.75" spans="1:5">
      <c r="A1177" s="6"/>
      <c r="B1177" s="7"/>
      <c r="C1177" s="6"/>
      <c r="D1177" s="3"/>
      <c r="E1177" s="3"/>
    </row>
    <row r="1178" s="2" customFormat="1" ht="15.75" spans="1:5">
      <c r="A1178" s="6"/>
      <c r="B1178" s="7"/>
      <c r="C1178" s="6"/>
      <c r="D1178" s="3"/>
      <c r="E1178" s="3"/>
    </row>
    <row r="1179" s="2" customFormat="1" ht="15.75" spans="1:5">
      <c r="A1179" s="6"/>
      <c r="B1179" s="7"/>
      <c r="C1179" s="6"/>
      <c r="D1179" s="3"/>
      <c r="E1179" s="3"/>
    </row>
    <row r="1180" s="2" customFormat="1" ht="15.75" spans="1:5">
      <c r="A1180" s="6"/>
      <c r="B1180" s="7"/>
      <c r="C1180" s="6"/>
      <c r="D1180" s="3"/>
      <c r="E1180" s="3"/>
    </row>
    <row r="1181" s="2" customFormat="1" ht="15.75" spans="1:5">
      <c r="A1181" s="6"/>
      <c r="B1181" s="7"/>
      <c r="C1181" s="6"/>
      <c r="D1181" s="3"/>
      <c r="E1181" s="3"/>
    </row>
    <row r="1182" s="2" customFormat="1" ht="15.75" spans="1:5">
      <c r="A1182" s="6"/>
      <c r="B1182" s="7"/>
      <c r="C1182" s="6"/>
      <c r="D1182" s="3"/>
      <c r="E1182" s="3"/>
    </row>
    <row r="1183" s="2" customFormat="1" ht="15.75" spans="1:5">
      <c r="A1183" s="6"/>
      <c r="B1183" s="7"/>
      <c r="C1183" s="6"/>
      <c r="D1183" s="3"/>
      <c r="E1183" s="3"/>
    </row>
    <row r="1184" s="2" customFormat="1" ht="15.75" spans="1:5">
      <c r="A1184" s="6"/>
      <c r="B1184" s="7"/>
      <c r="C1184" s="6"/>
      <c r="D1184" s="3"/>
      <c r="E1184" s="3"/>
    </row>
    <row r="1185" s="2" customFormat="1" ht="15.75" spans="1:5">
      <c r="A1185" s="6"/>
      <c r="B1185" s="7"/>
      <c r="C1185" s="6"/>
      <c r="D1185" s="3"/>
      <c r="E1185" s="3"/>
    </row>
    <row r="1186" s="2" customFormat="1" ht="15.75" spans="1:5">
      <c r="A1186" s="6"/>
      <c r="B1186" s="7"/>
      <c r="C1186" s="6"/>
      <c r="D1186" s="3"/>
      <c r="E1186" s="3"/>
    </row>
    <row r="1187" s="2" customFormat="1" ht="15.75" spans="1:5">
      <c r="A1187" s="6"/>
      <c r="B1187" s="7"/>
      <c r="C1187" s="6"/>
      <c r="D1187" s="3"/>
      <c r="E1187" s="3"/>
    </row>
    <row r="1188" s="2" customFormat="1" ht="15.75" spans="1:5">
      <c r="A1188" s="6"/>
      <c r="B1188" s="7"/>
      <c r="C1188" s="6"/>
      <c r="D1188" s="3"/>
      <c r="E1188" s="3"/>
    </row>
    <row r="1189" s="2" customFormat="1" ht="15.75" spans="1:5">
      <c r="A1189" s="6"/>
      <c r="B1189" s="7"/>
      <c r="C1189" s="6"/>
      <c r="D1189" s="3"/>
      <c r="E1189" s="3"/>
    </row>
    <row r="1190" s="2" customFormat="1" ht="15.75" spans="1:5">
      <c r="A1190" s="6"/>
      <c r="B1190" s="7"/>
      <c r="C1190" s="6"/>
      <c r="D1190" s="3"/>
      <c r="E1190" s="3"/>
    </row>
    <row r="1191" s="2" customFormat="1" ht="15.75" spans="1:5">
      <c r="A1191" s="6"/>
      <c r="B1191" s="7"/>
      <c r="C1191" s="6"/>
      <c r="D1191" s="3"/>
      <c r="E1191" s="3"/>
    </row>
    <row r="1192" s="2" customFormat="1" ht="15.75" spans="1:5">
      <c r="A1192" s="6"/>
      <c r="B1192" s="7"/>
      <c r="C1192" s="6"/>
      <c r="D1192" s="3"/>
      <c r="E1192" s="3"/>
    </row>
    <row r="1193" s="2" customFormat="1" ht="15.75" spans="1:5">
      <c r="A1193" s="6"/>
      <c r="B1193" s="7"/>
      <c r="C1193" s="6"/>
      <c r="D1193" s="3"/>
      <c r="E1193" s="3"/>
    </row>
    <row r="1194" s="2" customFormat="1" ht="15.75" spans="1:5">
      <c r="A1194" s="6"/>
      <c r="B1194" s="7"/>
      <c r="C1194" s="6"/>
      <c r="D1194" s="3"/>
      <c r="E1194" s="3"/>
    </row>
    <row r="1195" s="2" customFormat="1" ht="15.75" spans="1:5">
      <c r="A1195" s="6"/>
      <c r="B1195" s="7"/>
      <c r="C1195" s="6"/>
      <c r="D1195" s="3"/>
      <c r="E1195" s="3"/>
    </row>
    <row r="1196" s="2" customFormat="1" ht="15.75" spans="1:5">
      <c r="A1196" s="6"/>
      <c r="B1196" s="7"/>
      <c r="C1196" s="6"/>
      <c r="D1196" s="3"/>
      <c r="E1196" s="3"/>
    </row>
    <row r="1197" s="2" customFormat="1" ht="15.75" spans="1:5">
      <c r="A1197" s="6"/>
      <c r="B1197" s="7"/>
      <c r="C1197" s="6"/>
      <c r="D1197" s="3"/>
      <c r="E1197" s="3"/>
    </row>
    <row r="1198" s="2" customFormat="1" ht="15.75" spans="1:5">
      <c r="A1198" s="6"/>
      <c r="B1198" s="7"/>
      <c r="C1198" s="6"/>
      <c r="D1198" s="3"/>
      <c r="E1198" s="3"/>
    </row>
    <row r="1199" s="2" customFormat="1" ht="15.75" spans="1:5">
      <c r="A1199" s="6"/>
      <c r="B1199" s="7"/>
      <c r="C1199" s="6"/>
      <c r="D1199" s="3"/>
      <c r="E1199" s="3"/>
    </row>
    <row r="1200" s="2" customFormat="1" ht="15.75" spans="1:5">
      <c r="A1200" s="6"/>
      <c r="B1200" s="7"/>
      <c r="C1200" s="6"/>
      <c r="D1200" s="3"/>
      <c r="E1200" s="3"/>
    </row>
    <row r="1201" s="2" customFormat="1" ht="15.75" spans="1:5">
      <c r="A1201" s="6"/>
      <c r="B1201" s="7"/>
      <c r="C1201" s="6"/>
      <c r="D1201" s="3"/>
      <c r="E1201" s="3"/>
    </row>
    <row r="1202" s="2" customFormat="1" ht="15.75" spans="1:5">
      <c r="A1202" s="6"/>
      <c r="B1202" s="7"/>
      <c r="C1202" s="6"/>
      <c r="D1202" s="3"/>
      <c r="E1202" s="3"/>
    </row>
    <row r="1203" s="2" customFormat="1" ht="15.75" spans="1:5">
      <c r="A1203" s="6"/>
      <c r="B1203" s="7"/>
      <c r="C1203" s="6"/>
      <c r="D1203" s="3"/>
      <c r="E1203" s="3"/>
    </row>
    <row r="1204" s="2" customFormat="1" ht="15.75" spans="1:5">
      <c r="A1204" s="6"/>
      <c r="B1204" s="7"/>
      <c r="C1204" s="6"/>
      <c r="D1204" s="3"/>
      <c r="E1204" s="3"/>
    </row>
    <row r="1205" s="2" customFormat="1" ht="15.75" spans="1:5">
      <c r="A1205" s="6"/>
      <c r="B1205" s="7"/>
      <c r="C1205" s="6"/>
      <c r="D1205" s="3"/>
      <c r="E1205" s="3"/>
    </row>
    <row r="1206" s="2" customFormat="1" ht="15.75" spans="1:5">
      <c r="A1206" s="6"/>
      <c r="B1206" s="7"/>
      <c r="C1206" s="6"/>
      <c r="D1206" s="3"/>
      <c r="E1206" s="3"/>
    </row>
    <row r="1207" s="2" customFormat="1" ht="15.75" spans="1:5">
      <c r="A1207" s="6"/>
      <c r="B1207" s="7"/>
      <c r="C1207" s="6"/>
      <c r="D1207" s="3"/>
      <c r="E1207" s="3"/>
    </row>
    <row r="1208" s="2" customFormat="1" ht="15.75" spans="1:5">
      <c r="A1208" s="6"/>
      <c r="B1208" s="7"/>
      <c r="C1208" s="6"/>
      <c r="D1208" s="3"/>
      <c r="E1208" s="3"/>
    </row>
    <row r="1209" s="2" customFormat="1" ht="15.75" spans="1:5">
      <c r="A1209" s="6"/>
      <c r="B1209" s="7"/>
      <c r="C1209" s="6"/>
      <c r="D1209" s="3"/>
      <c r="E1209" s="3"/>
    </row>
    <row r="1210" s="2" customFormat="1" ht="15.75" spans="1:5">
      <c r="A1210" s="6"/>
      <c r="B1210" s="7"/>
      <c r="C1210" s="6"/>
      <c r="D1210" s="3"/>
      <c r="E1210" s="3"/>
    </row>
    <row r="1211" s="2" customFormat="1" ht="15.75" spans="1:5">
      <c r="A1211" s="6"/>
      <c r="B1211" s="7"/>
      <c r="C1211" s="6"/>
      <c r="D1211" s="3"/>
      <c r="E1211" s="3"/>
    </row>
    <row r="1212" s="2" customFormat="1" ht="15.75" spans="1:5">
      <c r="A1212" s="6"/>
      <c r="B1212" s="7"/>
      <c r="C1212" s="6"/>
      <c r="D1212" s="3"/>
      <c r="E1212" s="3"/>
    </row>
    <row r="1213" s="2" customFormat="1" ht="15.75" spans="1:5">
      <c r="A1213" s="6"/>
      <c r="B1213" s="7"/>
      <c r="C1213" s="6"/>
      <c r="D1213" s="3"/>
      <c r="E1213" s="3"/>
    </row>
    <row r="1214" s="2" customFormat="1" ht="15.75" spans="1:5">
      <c r="A1214" s="6"/>
      <c r="B1214" s="7"/>
      <c r="C1214" s="6"/>
      <c r="D1214" s="3"/>
      <c r="E1214" s="3"/>
    </row>
    <row r="1215" s="2" customFormat="1" ht="15.75" spans="1:5">
      <c r="A1215" s="6"/>
      <c r="B1215" s="7"/>
      <c r="C1215" s="6"/>
      <c r="D1215" s="3"/>
      <c r="E1215" s="3"/>
    </row>
    <row r="1216" s="2" customFormat="1" ht="15.75" spans="1:5">
      <c r="A1216" s="6"/>
      <c r="B1216" s="7"/>
      <c r="C1216" s="6"/>
      <c r="D1216" s="3"/>
      <c r="E1216" s="3"/>
    </row>
    <row r="1217" s="2" customFormat="1" ht="15.75" spans="1:5">
      <c r="A1217" s="6"/>
      <c r="B1217" s="7"/>
      <c r="C1217" s="6"/>
      <c r="D1217" s="3"/>
      <c r="E1217" s="3"/>
    </row>
    <row r="1218" s="2" customFormat="1" ht="15.75" spans="1:5">
      <c r="A1218" s="6"/>
      <c r="B1218" s="7"/>
      <c r="C1218" s="6"/>
      <c r="D1218" s="3"/>
      <c r="E1218" s="3"/>
    </row>
    <row r="1219" s="2" customFormat="1" ht="15.75" spans="1:5">
      <c r="A1219" s="6"/>
      <c r="B1219" s="7"/>
      <c r="C1219" s="6"/>
      <c r="D1219" s="3"/>
      <c r="E1219" s="3"/>
    </row>
    <row r="1220" s="2" customFormat="1" ht="15.75" spans="1:5">
      <c r="A1220" s="6"/>
      <c r="B1220" s="7"/>
      <c r="C1220" s="6"/>
      <c r="D1220" s="3"/>
      <c r="E1220" s="3"/>
    </row>
    <row r="1221" s="2" customFormat="1" ht="15.75" spans="1:5">
      <c r="A1221" s="6"/>
      <c r="B1221" s="7"/>
      <c r="C1221" s="6"/>
      <c r="D1221" s="3"/>
      <c r="E1221" s="3"/>
    </row>
    <row r="1222" s="2" customFormat="1" ht="15.75" spans="1:5">
      <c r="A1222" s="6"/>
      <c r="B1222" s="7"/>
      <c r="C1222" s="6"/>
      <c r="D1222" s="3"/>
      <c r="E1222" s="3"/>
    </row>
    <row r="1223" s="2" customFormat="1" ht="15.75" spans="1:5">
      <c r="A1223" s="6"/>
      <c r="B1223" s="7"/>
      <c r="C1223" s="6"/>
      <c r="D1223" s="3"/>
      <c r="E1223" s="3"/>
    </row>
    <row r="1224" s="2" customFormat="1" ht="15.75" spans="1:5">
      <c r="A1224" s="6"/>
      <c r="B1224" s="7"/>
      <c r="C1224" s="6"/>
      <c r="D1224" s="3"/>
      <c r="E1224" s="3"/>
    </row>
    <row r="1225" s="2" customFormat="1" ht="15.75" spans="1:5">
      <c r="A1225" s="6"/>
      <c r="B1225" s="7"/>
      <c r="C1225" s="6"/>
      <c r="D1225" s="3"/>
      <c r="E1225" s="3"/>
    </row>
    <row r="1226" s="2" customFormat="1" ht="15.75" spans="1:5">
      <c r="A1226" s="6"/>
      <c r="B1226" s="7"/>
      <c r="C1226" s="6"/>
      <c r="D1226" s="3"/>
      <c r="E1226" s="3"/>
    </row>
    <row r="1227" s="2" customFormat="1" ht="15.75" spans="1:5">
      <c r="A1227" s="6"/>
      <c r="B1227" s="7"/>
      <c r="C1227" s="6"/>
      <c r="D1227" s="3"/>
      <c r="E1227" s="3"/>
    </row>
    <row r="1228" s="2" customFormat="1" ht="15.75" spans="1:5">
      <c r="A1228" s="6"/>
      <c r="B1228" s="7"/>
      <c r="C1228" s="6"/>
      <c r="D1228" s="3"/>
      <c r="E1228" s="3"/>
    </row>
    <row r="1229" s="2" customFormat="1" ht="15.75" spans="1:5">
      <c r="A1229" s="6"/>
      <c r="B1229" s="7"/>
      <c r="C1229" s="6"/>
      <c r="D1229" s="3"/>
      <c r="E1229" s="3"/>
    </row>
    <row r="1230" s="2" customFormat="1" ht="15.75" spans="1:5">
      <c r="A1230" s="6"/>
      <c r="B1230" s="7"/>
      <c r="C1230" s="6"/>
      <c r="D1230" s="3"/>
      <c r="E1230" s="3"/>
    </row>
    <row r="1231" s="2" customFormat="1" ht="15.75" spans="1:5">
      <c r="A1231" s="6"/>
      <c r="B1231" s="7"/>
      <c r="C1231" s="6"/>
      <c r="D1231" s="3"/>
      <c r="E1231" s="3"/>
    </row>
    <row r="1232" s="2" customFormat="1" ht="15.75" spans="1:5">
      <c r="A1232" s="6"/>
      <c r="B1232" s="7"/>
      <c r="C1232" s="6"/>
      <c r="D1232" s="3"/>
      <c r="E1232" s="3"/>
    </row>
    <row r="1233" s="2" customFormat="1" ht="15.75" spans="1:5">
      <c r="A1233" s="6"/>
      <c r="B1233" s="7"/>
      <c r="C1233" s="6"/>
      <c r="D1233" s="3"/>
      <c r="E1233" s="3"/>
    </row>
    <row r="1234" s="2" customFormat="1" ht="15.75" spans="1:5">
      <c r="A1234" s="6"/>
      <c r="B1234" s="7"/>
      <c r="C1234" s="6"/>
      <c r="D1234" s="3"/>
      <c r="E1234" s="3"/>
    </row>
    <row r="1235" s="2" customFormat="1" ht="15.75" spans="1:5">
      <c r="A1235" s="6"/>
      <c r="B1235" s="7"/>
      <c r="C1235" s="6"/>
      <c r="D1235" s="3"/>
      <c r="E1235" s="3"/>
    </row>
    <row r="1236" s="2" customFormat="1" ht="15.75" spans="1:5">
      <c r="A1236" s="6"/>
      <c r="B1236" s="7"/>
      <c r="C1236" s="6"/>
      <c r="D1236" s="3"/>
      <c r="E1236" s="3"/>
    </row>
    <row r="1237" s="2" customFormat="1" ht="15.75" spans="1:5">
      <c r="A1237" s="6"/>
      <c r="B1237" s="7"/>
      <c r="C1237" s="6"/>
      <c r="D1237" s="3"/>
      <c r="E1237" s="3"/>
    </row>
    <row r="1238" s="2" customFormat="1" ht="15.75" spans="1:5">
      <c r="A1238" s="6"/>
      <c r="B1238" s="7"/>
      <c r="C1238" s="6"/>
      <c r="D1238" s="3"/>
      <c r="E1238" s="3"/>
    </row>
    <row r="1239" s="2" customFormat="1" ht="15.75" spans="1:5">
      <c r="A1239" s="6"/>
      <c r="B1239" s="7"/>
      <c r="C1239" s="6"/>
      <c r="D1239" s="3"/>
      <c r="E1239" s="3"/>
    </row>
    <row r="1240" s="2" customFormat="1" ht="15.75" spans="1:5">
      <c r="A1240" s="6"/>
      <c r="B1240" s="7"/>
      <c r="C1240" s="6"/>
      <c r="D1240" s="3"/>
      <c r="E1240" s="3"/>
    </row>
    <row r="1241" s="2" customFormat="1" ht="15.75" spans="1:5">
      <c r="A1241" s="6"/>
      <c r="B1241" s="7"/>
      <c r="C1241" s="6"/>
      <c r="D1241" s="3"/>
      <c r="E1241" s="3"/>
    </row>
    <row r="1242" s="2" customFormat="1" ht="15.75" spans="1:5">
      <c r="A1242" s="6"/>
      <c r="B1242" s="7"/>
      <c r="C1242" s="6"/>
      <c r="D1242" s="3"/>
      <c r="E1242" s="3"/>
    </row>
    <row r="1243" s="2" customFormat="1" ht="15.75" spans="1:5">
      <c r="A1243" s="6"/>
      <c r="B1243" s="7"/>
      <c r="C1243" s="6"/>
      <c r="D1243" s="3"/>
      <c r="E1243" s="3"/>
    </row>
    <row r="1244" s="2" customFormat="1" ht="15.75" spans="1:5">
      <c r="A1244" s="6"/>
      <c r="B1244" s="7"/>
      <c r="C1244" s="6"/>
      <c r="D1244" s="3"/>
      <c r="E1244" s="3"/>
    </row>
    <row r="1245" s="2" customFormat="1" ht="15.75" spans="1:5">
      <c r="A1245" s="6"/>
      <c r="B1245" s="7"/>
      <c r="C1245" s="6"/>
      <c r="D1245" s="3"/>
      <c r="E1245" s="3"/>
    </row>
    <row r="1246" s="2" customFormat="1" ht="15.75" spans="1:5">
      <c r="A1246" s="6"/>
      <c r="B1246" s="7"/>
      <c r="C1246" s="6"/>
      <c r="D1246" s="3"/>
      <c r="E1246" s="3"/>
    </row>
    <row r="1247" s="2" customFormat="1" ht="15.75" spans="1:5">
      <c r="A1247" s="6"/>
      <c r="B1247" s="7"/>
      <c r="C1247" s="6"/>
      <c r="D1247" s="3"/>
      <c r="E1247" s="3"/>
    </row>
    <row r="1248" s="2" customFormat="1" ht="15.75" spans="1:5">
      <c r="A1248" s="6"/>
      <c r="B1248" s="7"/>
      <c r="C1248" s="6"/>
      <c r="D1248" s="3"/>
      <c r="E1248" s="3"/>
    </row>
    <row r="1249" s="2" customFormat="1" ht="15.75" spans="1:5">
      <c r="A1249" s="6"/>
      <c r="B1249" s="7"/>
      <c r="C1249" s="6"/>
      <c r="D1249" s="3"/>
      <c r="E1249" s="3"/>
    </row>
    <row r="1250" s="2" customFormat="1" ht="15.75" spans="1:5">
      <c r="A1250" s="6"/>
      <c r="B1250" s="7"/>
      <c r="C1250" s="6"/>
      <c r="D1250" s="3"/>
      <c r="E1250" s="3"/>
    </row>
    <row r="1251" s="2" customFormat="1" ht="15.75" spans="1:5">
      <c r="A1251" s="6"/>
      <c r="B1251" s="7"/>
      <c r="C1251" s="6"/>
      <c r="D1251" s="3"/>
      <c r="E1251" s="3"/>
    </row>
    <row r="1252" s="2" customFormat="1" ht="15.75" spans="1:5">
      <c r="A1252" s="6"/>
      <c r="B1252" s="7"/>
      <c r="C1252" s="6"/>
      <c r="D1252" s="3"/>
      <c r="E1252" s="3"/>
    </row>
    <row r="1253" s="2" customFormat="1" ht="15.75" spans="1:5">
      <c r="A1253" s="6"/>
      <c r="B1253" s="7"/>
      <c r="C1253" s="6"/>
      <c r="D1253" s="3"/>
      <c r="E1253" s="3"/>
    </row>
    <row r="1254" s="2" customFormat="1" ht="15.75" spans="1:5">
      <c r="A1254" s="6"/>
      <c r="B1254" s="7"/>
      <c r="C1254" s="6"/>
      <c r="D1254" s="3"/>
      <c r="E1254" s="3"/>
    </row>
    <row r="1255" s="2" customFormat="1" ht="15.75" spans="1:5">
      <c r="A1255" s="6"/>
      <c r="B1255" s="7"/>
      <c r="C1255" s="6"/>
      <c r="D1255" s="3"/>
      <c r="E1255" s="3"/>
    </row>
    <row r="1256" s="2" customFormat="1" ht="15.75" spans="1:5">
      <c r="A1256" s="6"/>
      <c r="B1256" s="7"/>
      <c r="C1256" s="6"/>
      <c r="D1256" s="3"/>
      <c r="E1256" s="3"/>
    </row>
    <row r="1257" s="2" customFormat="1" ht="15.75" spans="1:5">
      <c r="A1257" s="6"/>
      <c r="B1257" s="7"/>
      <c r="C1257" s="6"/>
      <c r="D1257" s="3"/>
      <c r="E1257" s="3"/>
    </row>
    <row r="1258" s="2" customFormat="1" ht="15.75" spans="1:5">
      <c r="A1258" s="6"/>
      <c r="B1258" s="7"/>
      <c r="C1258" s="6"/>
      <c r="D1258" s="3"/>
      <c r="E1258" s="3"/>
    </row>
    <row r="1259" s="2" customFormat="1" ht="15.75" spans="1:5">
      <c r="A1259" s="6"/>
      <c r="B1259" s="7"/>
      <c r="C1259" s="6"/>
      <c r="D1259" s="3"/>
      <c r="E1259" s="3"/>
    </row>
    <row r="1260" s="2" customFormat="1" ht="15.75" spans="1:5">
      <c r="A1260" s="6"/>
      <c r="B1260" s="7"/>
      <c r="C1260" s="6"/>
      <c r="D1260" s="3"/>
      <c r="E1260" s="3"/>
    </row>
    <row r="1261" s="2" customFormat="1" ht="15.75" spans="1:5">
      <c r="A1261" s="6"/>
      <c r="B1261" s="7"/>
      <c r="C1261" s="6"/>
      <c r="D1261" s="3"/>
      <c r="E1261" s="3"/>
    </row>
    <row r="1262" s="2" customFormat="1" ht="15.75" spans="1:5">
      <c r="A1262" s="6"/>
      <c r="B1262" s="7"/>
      <c r="C1262" s="6"/>
      <c r="D1262" s="3"/>
      <c r="E1262" s="3"/>
    </row>
    <row r="1263" s="2" customFormat="1" ht="15.75" spans="1:5">
      <c r="A1263" s="6"/>
      <c r="B1263" s="7"/>
      <c r="C1263" s="6"/>
      <c r="D1263" s="3"/>
      <c r="E1263" s="3"/>
    </row>
    <row r="1264" s="2" customFormat="1" ht="15.75" spans="1:5">
      <c r="A1264" s="6"/>
      <c r="B1264" s="7"/>
      <c r="C1264" s="6"/>
      <c r="D1264" s="3"/>
      <c r="E1264" s="3"/>
    </row>
    <row r="1265" s="2" customFormat="1" ht="15.75" spans="1:5">
      <c r="A1265" s="6"/>
      <c r="B1265" s="7"/>
      <c r="C1265" s="6"/>
      <c r="D1265" s="3"/>
      <c r="E1265" s="3"/>
    </row>
    <row r="1266" s="2" customFormat="1" ht="15.75" spans="1:5">
      <c r="A1266" s="6"/>
      <c r="B1266" s="7"/>
      <c r="C1266" s="6"/>
      <c r="D1266" s="3"/>
      <c r="E1266" s="3"/>
    </row>
    <row r="1267" s="2" customFormat="1" ht="15.75" spans="1:5">
      <c r="A1267" s="6"/>
      <c r="B1267" s="7"/>
      <c r="C1267" s="6"/>
      <c r="D1267" s="3"/>
      <c r="E1267" s="3"/>
    </row>
    <row r="1268" s="2" customFormat="1" ht="15.75" spans="1:5">
      <c r="A1268" s="6"/>
      <c r="B1268" s="7"/>
      <c r="C1268" s="6"/>
      <c r="D1268" s="3"/>
      <c r="E1268" s="3"/>
    </row>
    <row r="1269" s="2" customFormat="1" ht="15.75" spans="1:5">
      <c r="A1269" s="6"/>
      <c r="B1269" s="7"/>
      <c r="C1269" s="6"/>
      <c r="D1269" s="3"/>
      <c r="E1269" s="3"/>
    </row>
    <row r="1270" s="2" customFormat="1" ht="15.75" spans="1:5">
      <c r="A1270" s="6"/>
      <c r="B1270" s="7"/>
      <c r="C1270" s="6"/>
      <c r="D1270" s="3"/>
      <c r="E1270" s="3"/>
    </row>
    <row r="1271" s="2" customFormat="1" ht="15.75" spans="1:5">
      <c r="A1271" s="6"/>
      <c r="B1271" s="7"/>
      <c r="C1271" s="6"/>
      <c r="D1271" s="3"/>
      <c r="E1271" s="3"/>
    </row>
    <row r="1272" s="2" customFormat="1" ht="15.75" spans="1:5">
      <c r="A1272" s="6"/>
      <c r="B1272" s="7"/>
      <c r="C1272" s="6"/>
      <c r="D1272" s="3"/>
      <c r="E1272" s="3"/>
    </row>
    <row r="1273" s="2" customFormat="1" ht="15.75" spans="1:5">
      <c r="A1273" s="6"/>
      <c r="B1273" s="7"/>
      <c r="C1273" s="6"/>
      <c r="D1273" s="3"/>
      <c r="E1273" s="3"/>
    </row>
    <row r="1274" s="2" customFormat="1" ht="15.75" spans="1:5">
      <c r="A1274" s="6"/>
      <c r="B1274" s="7"/>
      <c r="C1274" s="6"/>
      <c r="D1274" s="3"/>
      <c r="E1274" s="3"/>
    </row>
    <row r="1275" s="2" customFormat="1" ht="15.75" spans="1:5">
      <c r="A1275" s="6"/>
      <c r="B1275" s="7"/>
      <c r="C1275" s="6"/>
      <c r="D1275" s="3"/>
      <c r="E1275" s="3"/>
    </row>
    <row r="1276" s="2" customFormat="1" ht="15.75" spans="1:5">
      <c r="A1276" s="6"/>
      <c r="B1276" s="7"/>
      <c r="C1276" s="6"/>
      <c r="D1276" s="3"/>
      <c r="E1276" s="3"/>
    </row>
    <row r="1277" s="2" customFormat="1" ht="15.75" spans="1:5">
      <c r="A1277" s="6"/>
      <c r="B1277" s="7"/>
      <c r="C1277" s="6"/>
      <c r="D1277" s="3"/>
      <c r="E1277" s="3"/>
    </row>
    <row r="1278" s="2" customFormat="1" ht="15.75" spans="1:5">
      <c r="A1278" s="6"/>
      <c r="B1278" s="7"/>
      <c r="C1278" s="6"/>
      <c r="D1278" s="3"/>
      <c r="E1278" s="3"/>
    </row>
    <row r="1279" s="2" customFormat="1" ht="15.75" spans="1:5">
      <c r="A1279" s="6"/>
      <c r="B1279" s="7"/>
      <c r="C1279" s="6"/>
      <c r="D1279" s="3"/>
      <c r="E1279" s="3"/>
    </row>
    <row r="1280" s="2" customFormat="1" ht="15.75" spans="1:5">
      <c r="A1280" s="6"/>
      <c r="B1280" s="7"/>
      <c r="C1280" s="6"/>
      <c r="D1280" s="3"/>
      <c r="E1280" s="3"/>
    </row>
    <row r="1281" s="2" customFormat="1" ht="15.75" spans="1:5">
      <c r="A1281" s="6"/>
      <c r="B1281" s="7"/>
      <c r="C1281" s="6"/>
      <c r="D1281" s="3"/>
      <c r="E1281" s="3"/>
    </row>
    <row r="1282" s="2" customFormat="1" ht="15.75" spans="1:5">
      <c r="A1282" s="6"/>
      <c r="B1282" s="7"/>
      <c r="C1282" s="6"/>
      <c r="D1282" s="3"/>
      <c r="E1282" s="3"/>
    </row>
    <row r="1283" s="2" customFormat="1" ht="15.75" spans="1:5">
      <c r="A1283" s="6"/>
      <c r="B1283" s="7"/>
      <c r="C1283" s="6"/>
      <c r="D1283" s="3"/>
      <c r="E1283" s="3"/>
    </row>
    <row r="1284" s="2" customFormat="1" ht="15.75" spans="1:5">
      <c r="A1284" s="6"/>
      <c r="B1284" s="7"/>
      <c r="C1284" s="6"/>
      <c r="D1284" s="3"/>
      <c r="E1284" s="3"/>
    </row>
    <row r="1285" s="2" customFormat="1" ht="15.75" spans="1:5">
      <c r="A1285" s="6"/>
      <c r="B1285" s="7"/>
      <c r="C1285" s="6"/>
      <c r="D1285" s="3"/>
      <c r="E1285" s="3"/>
    </row>
    <row r="1286" s="2" customFormat="1" ht="15.75" spans="1:5">
      <c r="A1286" s="6"/>
      <c r="B1286" s="7"/>
      <c r="C1286" s="6"/>
      <c r="D1286" s="3"/>
      <c r="E1286" s="3"/>
    </row>
    <row r="1287" s="2" customFormat="1" ht="15.75" spans="1:5">
      <c r="A1287" s="6"/>
      <c r="B1287" s="7"/>
      <c r="C1287" s="6"/>
      <c r="D1287" s="3"/>
      <c r="E1287" s="3"/>
    </row>
    <row r="1288" s="2" customFormat="1" ht="15.75" spans="1:5">
      <c r="A1288" s="6"/>
      <c r="B1288" s="7"/>
      <c r="C1288" s="6"/>
      <c r="D1288" s="3"/>
      <c r="E1288" s="3"/>
    </row>
    <row r="1289" s="2" customFormat="1" ht="15.75" spans="1:5">
      <c r="A1289" s="6"/>
      <c r="B1289" s="7"/>
      <c r="C1289" s="6"/>
      <c r="D1289" s="3"/>
      <c r="E1289" s="3"/>
    </row>
    <row r="1290" s="2" customFormat="1" ht="15.75" spans="1:5">
      <c r="A1290" s="6"/>
      <c r="B1290" s="7"/>
      <c r="C1290" s="6"/>
      <c r="D1290" s="3"/>
      <c r="E1290" s="3"/>
    </row>
    <row r="1291" s="2" customFormat="1" ht="15.75" spans="1:5">
      <c r="A1291" s="6"/>
      <c r="B1291" s="7"/>
      <c r="C1291" s="6"/>
      <c r="D1291" s="3"/>
      <c r="E1291" s="3"/>
    </row>
    <row r="1292" s="2" customFormat="1" ht="15.75" spans="1:5">
      <c r="A1292" s="6"/>
      <c r="B1292" s="7"/>
      <c r="C1292" s="6"/>
      <c r="D1292" s="3"/>
      <c r="E1292" s="3"/>
    </row>
    <row r="1293" s="2" customFormat="1" ht="15.75" spans="1:5">
      <c r="A1293" s="6"/>
      <c r="B1293" s="7"/>
      <c r="C1293" s="6"/>
      <c r="D1293" s="3"/>
      <c r="E1293" s="3"/>
    </row>
    <row r="1294" s="2" customFormat="1" ht="15.75" spans="1:5">
      <c r="A1294" s="6"/>
      <c r="B1294" s="7"/>
      <c r="C1294" s="6"/>
      <c r="D1294" s="3"/>
      <c r="E1294" s="3"/>
    </row>
    <row r="1295" s="2" customFormat="1" ht="15.75" spans="1:5">
      <c r="A1295" s="6"/>
      <c r="B1295" s="7"/>
      <c r="C1295" s="6"/>
      <c r="D1295" s="3"/>
      <c r="E1295" s="3"/>
    </row>
    <row r="1296" s="2" customFormat="1" ht="15.75" spans="1:5">
      <c r="A1296" s="6"/>
      <c r="B1296" s="7"/>
      <c r="C1296" s="6"/>
      <c r="D1296" s="3"/>
      <c r="E1296" s="3"/>
    </row>
    <row r="1297" s="2" customFormat="1" ht="15.75" spans="1:5">
      <c r="A1297" s="6"/>
      <c r="B1297" s="7"/>
      <c r="C1297" s="6"/>
      <c r="D1297" s="3"/>
      <c r="E1297" s="3"/>
    </row>
    <row r="1298" s="2" customFormat="1" ht="15.75" spans="1:5">
      <c r="A1298" s="6"/>
      <c r="B1298" s="7"/>
      <c r="C1298" s="6"/>
      <c r="D1298" s="3"/>
      <c r="E1298" s="3"/>
    </row>
    <row r="1299" s="2" customFormat="1" ht="15.75" spans="1:5">
      <c r="A1299" s="6"/>
      <c r="B1299" s="7"/>
      <c r="C1299" s="6"/>
      <c r="D1299" s="3"/>
      <c r="E1299" s="3"/>
    </row>
    <row r="1300" s="2" customFormat="1" ht="15.75" spans="1:5">
      <c r="A1300" s="6"/>
      <c r="B1300" s="7"/>
      <c r="C1300" s="6"/>
      <c r="D1300" s="3"/>
      <c r="E1300" s="3"/>
    </row>
    <row r="1301" s="2" customFormat="1" ht="15.75" spans="1:5">
      <c r="A1301" s="6"/>
      <c r="B1301" s="7"/>
      <c r="C1301" s="6"/>
      <c r="D1301" s="3"/>
      <c r="E1301" s="3"/>
    </row>
    <row r="1302" s="2" customFormat="1" ht="15.75" spans="1:5">
      <c r="A1302" s="6"/>
      <c r="B1302" s="7"/>
      <c r="C1302" s="6"/>
      <c r="D1302" s="3"/>
      <c r="E1302" s="3"/>
    </row>
    <row r="1303" s="2" customFormat="1" ht="15.75" spans="1:5">
      <c r="A1303" s="6"/>
      <c r="B1303" s="7"/>
      <c r="C1303" s="6"/>
      <c r="D1303" s="3"/>
      <c r="E1303" s="3"/>
    </row>
    <row r="1304" s="2" customFormat="1" ht="15.75" spans="1:5">
      <c r="A1304" s="6"/>
      <c r="B1304" s="7"/>
      <c r="C1304" s="6"/>
      <c r="D1304" s="3"/>
      <c r="E1304" s="3"/>
    </row>
    <row r="1305" s="2" customFormat="1" ht="15.75" spans="1:5">
      <c r="A1305" s="6"/>
      <c r="B1305" s="7"/>
      <c r="C1305" s="6"/>
      <c r="D1305" s="3"/>
      <c r="E1305" s="3"/>
    </row>
    <row r="1306" s="2" customFormat="1" ht="15.75" spans="1:5">
      <c r="A1306" s="6"/>
      <c r="B1306" s="7"/>
      <c r="C1306" s="6"/>
      <c r="D1306" s="3"/>
      <c r="E1306" s="3"/>
    </row>
    <row r="1307" s="2" customFormat="1" ht="15.75" spans="1:5">
      <c r="A1307" s="6"/>
      <c r="B1307" s="7"/>
      <c r="C1307" s="6"/>
      <c r="D1307" s="3"/>
      <c r="E1307" s="3"/>
    </row>
    <row r="1308" s="2" customFormat="1" ht="15.75" spans="1:5">
      <c r="A1308" s="6"/>
      <c r="B1308" s="7"/>
      <c r="C1308" s="6"/>
      <c r="D1308" s="3"/>
      <c r="E1308" s="3"/>
    </row>
    <row r="1309" s="2" customFormat="1" ht="15.75" spans="1:5">
      <c r="A1309" s="6"/>
      <c r="B1309" s="7"/>
      <c r="C1309" s="6"/>
      <c r="D1309" s="3"/>
      <c r="E1309" s="3"/>
    </row>
    <row r="1310" s="2" customFormat="1" ht="15.75" spans="1:5">
      <c r="A1310" s="6"/>
      <c r="B1310" s="7"/>
      <c r="C1310" s="6"/>
      <c r="D1310" s="3"/>
      <c r="E1310" s="3"/>
    </row>
    <row r="1311" s="2" customFormat="1" ht="15.75" spans="1:5">
      <c r="A1311" s="6"/>
      <c r="B1311" s="7"/>
      <c r="C1311" s="6"/>
      <c r="D1311" s="3"/>
      <c r="E1311" s="3"/>
    </row>
    <row r="1312" s="2" customFormat="1" ht="15.75" spans="1:5">
      <c r="A1312" s="6"/>
      <c r="B1312" s="7"/>
      <c r="C1312" s="6"/>
      <c r="D1312" s="3"/>
      <c r="E1312" s="3"/>
    </row>
    <row r="1313" s="2" customFormat="1" ht="15.75" spans="1:5">
      <c r="A1313" s="6"/>
      <c r="B1313" s="7"/>
      <c r="C1313" s="6"/>
      <c r="D1313" s="3"/>
      <c r="E1313" s="3"/>
    </row>
    <row r="1314" s="2" customFormat="1" ht="15.75" spans="1:5">
      <c r="A1314" s="6"/>
      <c r="B1314" s="7"/>
      <c r="C1314" s="6"/>
      <c r="D1314" s="3"/>
      <c r="E1314" s="3"/>
    </row>
    <row r="1315" s="2" customFormat="1" ht="15.75" spans="1:5">
      <c r="A1315" s="6"/>
      <c r="B1315" s="7"/>
      <c r="C1315" s="6"/>
      <c r="D1315" s="3"/>
      <c r="E1315" s="3"/>
    </row>
    <row r="1316" s="2" customFormat="1" ht="15.75" spans="1:5">
      <c r="A1316" s="6"/>
      <c r="B1316" s="7"/>
      <c r="C1316" s="6"/>
      <c r="D1316" s="3"/>
      <c r="E1316" s="3"/>
    </row>
    <row r="1317" s="2" customFormat="1" ht="15.75" spans="1:5">
      <c r="A1317" s="6"/>
      <c r="B1317" s="7"/>
      <c r="C1317" s="6"/>
      <c r="D1317" s="3"/>
      <c r="E1317" s="3"/>
    </row>
    <row r="1318" s="2" customFormat="1" ht="15.75" spans="1:5">
      <c r="A1318" s="6"/>
      <c r="B1318" s="7"/>
      <c r="C1318" s="6"/>
      <c r="D1318" s="3"/>
      <c r="E1318" s="3"/>
    </row>
    <row r="1319" s="2" customFormat="1" ht="15.75" spans="1:5">
      <c r="A1319" s="6"/>
      <c r="B1319" s="7"/>
      <c r="C1319" s="6"/>
      <c r="D1319" s="3"/>
      <c r="E1319" s="3"/>
    </row>
    <row r="1320" s="2" customFormat="1" ht="15.75" spans="1:5">
      <c r="A1320" s="6"/>
      <c r="B1320" s="7"/>
      <c r="C1320" s="6"/>
      <c r="D1320" s="3"/>
      <c r="E1320" s="3"/>
    </row>
    <row r="1321" s="2" customFormat="1" ht="15.75" spans="1:5">
      <c r="A1321" s="6"/>
      <c r="B1321" s="7"/>
      <c r="C1321" s="6"/>
      <c r="D1321" s="3"/>
      <c r="E1321" s="3"/>
    </row>
    <row r="1322" s="2" customFormat="1" ht="15.75" spans="1:5">
      <c r="A1322" s="6"/>
      <c r="B1322" s="7"/>
      <c r="C1322" s="6"/>
      <c r="D1322" s="3"/>
      <c r="E1322" s="3"/>
    </row>
    <row r="1323" s="2" customFormat="1" ht="15.75" spans="1:5">
      <c r="A1323" s="6"/>
      <c r="B1323" s="7"/>
      <c r="C1323" s="6"/>
      <c r="D1323" s="3"/>
      <c r="E1323" s="3"/>
    </row>
    <row r="1324" s="2" customFormat="1" ht="15.75" spans="1:5">
      <c r="A1324" s="6"/>
      <c r="B1324" s="7"/>
      <c r="C1324" s="6"/>
      <c r="D1324" s="3"/>
      <c r="E1324" s="3"/>
    </row>
    <row r="1325" s="2" customFormat="1" ht="15.75" spans="1:5">
      <c r="A1325" s="6"/>
      <c r="B1325" s="7"/>
      <c r="C1325" s="6"/>
      <c r="D1325" s="3"/>
      <c r="E1325" s="3"/>
    </row>
    <row r="1326" s="2" customFormat="1" ht="15.75" spans="1:5">
      <c r="A1326" s="6"/>
      <c r="B1326" s="7"/>
      <c r="C1326" s="6"/>
      <c r="D1326" s="3"/>
      <c r="E1326" s="3"/>
    </row>
    <row r="1327" s="2" customFormat="1" ht="15.75" spans="1:5">
      <c r="A1327" s="6"/>
      <c r="B1327" s="7"/>
      <c r="C1327" s="6"/>
      <c r="D1327" s="3"/>
      <c r="E1327" s="3"/>
    </row>
    <row r="1328" s="2" customFormat="1" ht="15.75" spans="1:5">
      <c r="A1328" s="6"/>
      <c r="B1328" s="7"/>
      <c r="C1328" s="6"/>
      <c r="D1328" s="3"/>
      <c r="E1328" s="3"/>
    </row>
    <row r="1329" s="2" customFormat="1" ht="15.75" spans="1:5">
      <c r="A1329" s="6"/>
      <c r="B1329" s="7"/>
      <c r="C1329" s="6"/>
      <c r="D1329" s="3"/>
      <c r="E1329" s="3"/>
    </row>
    <row r="1330" s="2" customFormat="1" ht="15.75" spans="1:5">
      <c r="A1330" s="6"/>
      <c r="B1330" s="7"/>
      <c r="C1330" s="6"/>
      <c r="D1330" s="3"/>
      <c r="E1330" s="3"/>
    </row>
    <row r="1331" s="2" customFormat="1" ht="15.75" spans="1:5">
      <c r="A1331" s="6"/>
      <c r="B1331" s="7"/>
      <c r="C1331" s="6"/>
      <c r="D1331" s="3"/>
      <c r="E1331" s="3"/>
    </row>
    <row r="1332" s="2" customFormat="1" ht="15.75" spans="1:5">
      <c r="A1332" s="6"/>
      <c r="B1332" s="7"/>
      <c r="C1332" s="6"/>
      <c r="D1332" s="3"/>
      <c r="E1332" s="3"/>
    </row>
    <row r="1333" s="2" customFormat="1" ht="15.75" spans="1:5">
      <c r="A1333" s="6"/>
      <c r="B1333" s="7"/>
      <c r="C1333" s="6"/>
      <c r="D1333" s="3"/>
      <c r="E1333" s="3"/>
    </row>
    <row r="1334" s="2" customFormat="1" ht="15.75" spans="1:5">
      <c r="A1334" s="6"/>
      <c r="B1334" s="7"/>
      <c r="C1334" s="6"/>
      <c r="D1334" s="3"/>
      <c r="E1334" s="3"/>
    </row>
    <row r="1335" s="2" customFormat="1" ht="15.75" spans="1:5">
      <c r="A1335" s="6"/>
      <c r="B1335" s="7"/>
      <c r="C1335" s="6"/>
      <c r="D1335" s="3"/>
      <c r="E1335" s="3"/>
    </row>
    <row r="1336" s="2" customFormat="1" ht="15.75" spans="1:5">
      <c r="A1336" s="6"/>
      <c r="B1336" s="7"/>
      <c r="C1336" s="6"/>
      <c r="D1336" s="3"/>
      <c r="E1336" s="3"/>
    </row>
    <row r="1337" s="2" customFormat="1" ht="15.75" spans="1:5">
      <c r="A1337" s="6"/>
      <c r="B1337" s="7"/>
      <c r="C1337" s="6"/>
      <c r="D1337" s="3"/>
      <c r="E1337" s="3"/>
    </row>
    <row r="1338" s="2" customFormat="1" ht="15.75" spans="1:5">
      <c r="A1338" s="6"/>
      <c r="B1338" s="7"/>
      <c r="C1338" s="6"/>
      <c r="D1338" s="3"/>
      <c r="E1338" s="3"/>
    </row>
    <row r="1339" s="2" customFormat="1" ht="15.75" spans="1:5">
      <c r="A1339" s="6"/>
      <c r="B1339" s="7"/>
      <c r="C1339" s="6"/>
      <c r="D1339" s="3"/>
      <c r="E1339" s="3"/>
    </row>
    <row r="1340" s="2" customFormat="1" ht="15.75" spans="1:5">
      <c r="A1340" s="6"/>
      <c r="B1340" s="7"/>
      <c r="C1340" s="6"/>
      <c r="D1340" s="3"/>
      <c r="E1340" s="3"/>
    </row>
    <row r="1341" s="2" customFormat="1" ht="15.75" spans="1:5">
      <c r="A1341" s="6"/>
      <c r="B1341" s="7"/>
      <c r="C1341" s="6"/>
      <c r="D1341" s="3"/>
      <c r="E1341" s="3"/>
    </row>
    <row r="1342" s="2" customFormat="1" ht="15.75" spans="1:5">
      <c r="A1342" s="6"/>
      <c r="B1342" s="7"/>
      <c r="C1342" s="6"/>
      <c r="D1342" s="3"/>
      <c r="E1342" s="3"/>
    </row>
    <row r="1343" s="2" customFormat="1" ht="15.75" spans="1:5">
      <c r="A1343" s="6"/>
      <c r="B1343" s="7"/>
      <c r="C1343" s="6"/>
      <c r="D1343" s="3"/>
      <c r="E1343" s="3"/>
    </row>
    <row r="1344" s="2" customFormat="1" ht="15.75" spans="1:5">
      <c r="A1344" s="6"/>
      <c r="B1344" s="7"/>
      <c r="C1344" s="6"/>
      <c r="D1344" s="3"/>
      <c r="E1344" s="3"/>
    </row>
    <row r="1345" s="2" customFormat="1" ht="15.75" spans="1:5">
      <c r="A1345" s="6"/>
      <c r="B1345" s="7"/>
      <c r="C1345" s="6"/>
      <c r="D1345" s="3"/>
      <c r="E1345" s="3"/>
    </row>
    <row r="1346" s="2" customFormat="1" ht="15.75" spans="1:5">
      <c r="A1346" s="6"/>
      <c r="B1346" s="7"/>
      <c r="C1346" s="6"/>
      <c r="D1346" s="3"/>
      <c r="E1346" s="3"/>
    </row>
    <row r="1347" s="2" customFormat="1" ht="15.75" spans="1:5">
      <c r="A1347" s="6"/>
      <c r="B1347" s="7"/>
      <c r="C1347" s="6"/>
      <c r="D1347" s="3"/>
      <c r="E1347" s="3"/>
    </row>
    <row r="1348" s="2" customFormat="1" ht="15.75" spans="1:5">
      <c r="A1348" s="6"/>
      <c r="B1348" s="7"/>
      <c r="C1348" s="6"/>
      <c r="D1348" s="3"/>
      <c r="E1348" s="3"/>
    </row>
    <row r="1349" s="2" customFormat="1" ht="15.75" spans="1:5">
      <c r="A1349" s="6"/>
      <c r="B1349" s="7"/>
      <c r="C1349" s="6"/>
      <c r="D1349" s="3"/>
      <c r="E1349" s="3"/>
    </row>
    <row r="1350" s="2" customFormat="1" ht="15.75" spans="1:5">
      <c r="A1350" s="6"/>
      <c r="B1350" s="7"/>
      <c r="C1350" s="6"/>
      <c r="D1350" s="3"/>
      <c r="E1350" s="3"/>
    </row>
    <row r="1351" s="2" customFormat="1" ht="15.75" spans="1:5">
      <c r="A1351" s="6"/>
      <c r="B1351" s="7"/>
      <c r="C1351" s="6"/>
      <c r="D1351" s="3"/>
      <c r="E1351" s="3"/>
    </row>
    <row r="1352" s="2" customFormat="1" ht="15.75" spans="1:5">
      <c r="A1352" s="6"/>
      <c r="B1352" s="7"/>
      <c r="C1352" s="6"/>
      <c r="D1352" s="3"/>
      <c r="E1352" s="3"/>
    </row>
    <row r="1353" s="2" customFormat="1" ht="15.75" spans="1:5">
      <c r="A1353" s="6"/>
      <c r="B1353" s="7"/>
      <c r="C1353" s="6"/>
      <c r="D1353" s="3"/>
      <c r="E1353" s="3"/>
    </row>
    <row r="1354" s="2" customFormat="1" ht="15.75" spans="1:5">
      <c r="A1354" s="6"/>
      <c r="B1354" s="7"/>
      <c r="C1354" s="6"/>
      <c r="D1354" s="3"/>
      <c r="E1354" s="3"/>
    </row>
    <row r="1355" s="2" customFormat="1" ht="15.75" spans="1:5">
      <c r="A1355" s="6"/>
      <c r="B1355" s="7"/>
      <c r="C1355" s="6"/>
      <c r="D1355" s="3"/>
      <c r="E1355" s="3"/>
    </row>
    <row r="1356" s="2" customFormat="1" ht="15.75" spans="1:5">
      <c r="A1356" s="6"/>
      <c r="B1356" s="7"/>
      <c r="C1356" s="6"/>
      <c r="D1356" s="3"/>
      <c r="E1356" s="3"/>
    </row>
    <row r="1357" s="2" customFormat="1" ht="15.75" spans="1:5">
      <c r="A1357" s="6"/>
      <c r="B1357" s="7"/>
      <c r="C1357" s="6"/>
      <c r="D1357" s="3"/>
      <c r="E1357" s="3"/>
    </row>
    <row r="1358" s="2" customFormat="1" ht="15.75" spans="1:5">
      <c r="A1358" s="6"/>
      <c r="B1358" s="7"/>
      <c r="C1358" s="6"/>
      <c r="D1358" s="3"/>
      <c r="E1358" s="3"/>
    </row>
    <row r="1359" s="2" customFormat="1" ht="15.75" spans="1:5">
      <c r="A1359" s="6"/>
      <c r="B1359" s="7"/>
      <c r="C1359" s="6"/>
      <c r="D1359" s="3"/>
      <c r="E1359" s="3"/>
    </row>
    <row r="1360" s="2" customFormat="1" ht="15.75" spans="1:5">
      <c r="A1360" s="6"/>
      <c r="B1360" s="7"/>
      <c r="C1360" s="6"/>
      <c r="D1360" s="3"/>
      <c r="E1360" s="3"/>
    </row>
    <row r="1361" s="2" customFormat="1" ht="15.75" spans="1:5">
      <c r="A1361" s="6"/>
      <c r="B1361" s="7"/>
      <c r="C1361" s="6"/>
      <c r="D1361" s="3"/>
      <c r="E1361" s="3"/>
    </row>
    <row r="1362" s="2" customFormat="1" ht="15.75" spans="1:5">
      <c r="A1362" s="6"/>
      <c r="B1362" s="7"/>
      <c r="C1362" s="6"/>
      <c r="D1362" s="3"/>
      <c r="E1362" s="3"/>
    </row>
    <row r="1363" s="2" customFormat="1" ht="15.75" spans="1:5">
      <c r="A1363" s="6"/>
      <c r="B1363" s="7"/>
      <c r="C1363" s="6"/>
      <c r="D1363" s="3"/>
      <c r="E1363" s="3"/>
    </row>
    <row r="1364" s="2" customFormat="1" ht="15.75" spans="1:5">
      <c r="A1364" s="6"/>
      <c r="B1364" s="7"/>
      <c r="C1364" s="6"/>
      <c r="D1364" s="3"/>
      <c r="E1364" s="3"/>
    </row>
    <row r="1365" s="2" customFormat="1" ht="15.75" spans="1:5">
      <c r="A1365" s="6"/>
      <c r="B1365" s="7"/>
      <c r="C1365" s="6"/>
      <c r="D1365" s="3"/>
      <c r="E1365" s="3"/>
    </row>
    <row r="1366" s="2" customFormat="1" ht="15.75" spans="1:5">
      <c r="A1366" s="6"/>
      <c r="B1366" s="7"/>
      <c r="C1366" s="6"/>
      <c r="D1366" s="3"/>
      <c r="E1366" s="3"/>
    </row>
    <row r="1367" s="2" customFormat="1" ht="15.75" spans="1:5">
      <c r="A1367" s="6"/>
      <c r="B1367" s="7"/>
      <c r="C1367" s="6"/>
      <c r="D1367" s="3"/>
      <c r="E1367" s="3"/>
    </row>
    <row r="1368" s="2" customFormat="1" ht="15.75" spans="1:5">
      <c r="A1368" s="6"/>
      <c r="B1368" s="7"/>
      <c r="C1368" s="6"/>
      <c r="D1368" s="3"/>
      <c r="E1368" s="3"/>
    </row>
    <row r="1369" s="2" customFormat="1" ht="15.75" spans="1:5">
      <c r="A1369" s="6"/>
      <c r="B1369" s="7"/>
      <c r="C1369" s="6"/>
      <c r="D1369" s="3"/>
      <c r="E1369" s="3"/>
    </row>
    <row r="1370" s="2" customFormat="1" ht="15.75" spans="1:5">
      <c r="A1370" s="6"/>
      <c r="B1370" s="7"/>
      <c r="C1370" s="6"/>
      <c r="D1370" s="3"/>
      <c r="E1370" s="3"/>
    </row>
    <row r="1371" s="2" customFormat="1" ht="15.75" spans="1:5">
      <c r="A1371" s="6"/>
      <c r="B1371" s="7"/>
      <c r="C1371" s="6"/>
      <c r="D1371" s="3"/>
      <c r="E1371" s="3"/>
    </row>
    <row r="1372" s="2" customFormat="1" ht="15.75" spans="1:5">
      <c r="A1372" s="6"/>
      <c r="B1372" s="7"/>
      <c r="C1372" s="6"/>
      <c r="D1372" s="3"/>
      <c r="E1372" s="3"/>
    </row>
    <row r="1373" s="2" customFormat="1" ht="15.75" spans="1:5">
      <c r="A1373" s="6"/>
      <c r="B1373" s="7"/>
      <c r="C1373" s="6"/>
      <c r="D1373" s="3"/>
      <c r="E1373" s="3"/>
    </row>
    <row r="1374" s="2" customFormat="1" ht="15.75" spans="1:5">
      <c r="A1374" s="6"/>
      <c r="B1374" s="7"/>
      <c r="C1374" s="6"/>
      <c r="D1374" s="3"/>
      <c r="E1374" s="3"/>
    </row>
    <row r="1375" s="2" customFormat="1" ht="15.75" spans="1:5">
      <c r="A1375" s="6"/>
      <c r="B1375" s="7"/>
      <c r="C1375" s="6"/>
      <c r="D1375" s="3"/>
      <c r="E1375" s="3"/>
    </row>
    <row r="1376" s="2" customFormat="1" ht="15.75" spans="1:5">
      <c r="A1376" s="6"/>
      <c r="B1376" s="7"/>
      <c r="C1376" s="6"/>
      <c r="D1376" s="3"/>
      <c r="E1376" s="3"/>
    </row>
    <row r="1377" s="2" customFormat="1" ht="15.75" spans="1:5">
      <c r="A1377" s="6"/>
      <c r="B1377" s="7"/>
      <c r="C1377" s="6"/>
      <c r="D1377" s="3"/>
      <c r="E1377" s="3"/>
    </row>
    <row r="1378" s="2" customFormat="1" ht="15.75" spans="1:5">
      <c r="A1378" s="6"/>
      <c r="B1378" s="7"/>
      <c r="C1378" s="6"/>
      <c r="D1378" s="3"/>
      <c r="E1378" s="3"/>
    </row>
    <row r="1379" s="2" customFormat="1" ht="15.75" spans="1:5">
      <c r="A1379" s="6"/>
      <c r="B1379" s="7"/>
      <c r="C1379" s="6"/>
      <c r="D1379" s="3"/>
      <c r="E1379" s="3"/>
    </row>
    <row r="1380" s="2" customFormat="1" ht="15.75" spans="1:5">
      <c r="A1380" s="6"/>
      <c r="B1380" s="7"/>
      <c r="C1380" s="6"/>
      <c r="D1380" s="3"/>
      <c r="E1380" s="3"/>
    </row>
    <row r="1381" s="2" customFormat="1" ht="15.75" spans="1:5">
      <c r="A1381" s="6"/>
      <c r="B1381" s="7"/>
      <c r="C1381" s="6"/>
      <c r="D1381" s="3"/>
      <c r="E1381" s="3"/>
    </row>
    <row r="1382" s="2" customFormat="1" ht="15.75" spans="1:5">
      <c r="A1382" s="6"/>
      <c r="B1382" s="7"/>
      <c r="C1382" s="6"/>
      <c r="D1382" s="3"/>
      <c r="E1382" s="3"/>
    </row>
    <row r="1383" s="2" customFormat="1" ht="15.75" spans="1:5">
      <c r="A1383" s="6"/>
      <c r="B1383" s="7"/>
      <c r="C1383" s="6"/>
      <c r="D1383" s="3"/>
      <c r="E1383" s="3"/>
    </row>
    <row r="1384" s="2" customFormat="1" ht="15.75" spans="1:5">
      <c r="A1384" s="6"/>
      <c r="B1384" s="7"/>
      <c r="C1384" s="6"/>
      <c r="D1384" s="3"/>
      <c r="E1384" s="3"/>
    </row>
    <row r="1385" s="2" customFormat="1" ht="15.75" spans="1:5">
      <c r="A1385" s="6"/>
      <c r="B1385" s="7"/>
      <c r="C1385" s="6"/>
      <c r="D1385" s="3"/>
      <c r="E1385" s="3"/>
    </row>
    <row r="1386" s="2" customFormat="1" ht="15.75" spans="1:5">
      <c r="A1386" s="6"/>
      <c r="B1386" s="7"/>
      <c r="C1386" s="6"/>
      <c r="D1386" s="3"/>
      <c r="E1386" s="3"/>
    </row>
    <row r="1387" s="2" customFormat="1" ht="15.75" spans="1:5">
      <c r="A1387" s="6"/>
      <c r="B1387" s="7"/>
      <c r="C1387" s="6"/>
      <c r="D1387" s="3"/>
      <c r="E1387" s="3"/>
    </row>
    <row r="1388" s="2" customFormat="1" ht="15.75" spans="1:5">
      <c r="A1388" s="6"/>
      <c r="B1388" s="7"/>
      <c r="C1388" s="6"/>
      <c r="D1388" s="3"/>
      <c r="E1388" s="3"/>
    </row>
    <row r="1389" s="2" customFormat="1" ht="15.75" spans="1:5">
      <c r="A1389" s="6"/>
      <c r="B1389" s="7"/>
      <c r="C1389" s="6"/>
      <c r="D1389" s="3"/>
      <c r="E1389" s="3"/>
    </row>
    <row r="1390" s="2" customFormat="1" ht="15.75" spans="1:5">
      <c r="A1390" s="6"/>
      <c r="B1390" s="7"/>
      <c r="C1390" s="6"/>
      <c r="D1390" s="3"/>
      <c r="E1390" s="3"/>
    </row>
    <row r="1391" s="2" customFormat="1" ht="15.75" spans="1:5">
      <c r="A1391" s="6"/>
      <c r="B1391" s="7"/>
      <c r="C1391" s="6"/>
      <c r="D1391" s="3"/>
      <c r="E1391" s="3"/>
    </row>
    <row r="1392" s="2" customFormat="1" ht="15.75" spans="1:5">
      <c r="A1392" s="6"/>
      <c r="B1392" s="7"/>
      <c r="C1392" s="6"/>
      <c r="D1392" s="3"/>
      <c r="E1392" s="3"/>
    </row>
    <row r="1393" s="2" customFormat="1" ht="15.75" spans="1:5">
      <c r="A1393" s="6"/>
      <c r="B1393" s="7"/>
      <c r="C1393" s="6"/>
      <c r="D1393" s="3"/>
      <c r="E1393" s="3"/>
    </row>
    <row r="1394" s="2" customFormat="1" ht="15.75" spans="1:5">
      <c r="A1394" s="6"/>
      <c r="B1394" s="7"/>
      <c r="C1394" s="6"/>
      <c r="D1394" s="3"/>
      <c r="E1394" s="3"/>
    </row>
    <row r="1395" s="2" customFormat="1" ht="15.75" spans="1:5">
      <c r="A1395" s="6"/>
      <c r="B1395" s="7"/>
      <c r="C1395" s="6"/>
      <c r="D1395" s="3"/>
      <c r="E1395" s="3"/>
    </row>
    <row r="1396" s="2" customFormat="1" ht="15.75" spans="1:5">
      <c r="A1396" s="6"/>
      <c r="B1396" s="7"/>
      <c r="C1396" s="6"/>
      <c r="D1396" s="3"/>
      <c r="E1396" s="3"/>
    </row>
    <row r="1397" s="2" customFormat="1" ht="15.75" spans="1:5">
      <c r="A1397" s="6"/>
      <c r="B1397" s="7"/>
      <c r="C1397" s="6"/>
      <c r="D1397" s="3"/>
      <c r="E1397" s="3"/>
    </row>
    <row r="1398" s="2" customFormat="1" ht="15.75" spans="1:5">
      <c r="A1398" s="6"/>
      <c r="B1398" s="7"/>
      <c r="C1398" s="6"/>
      <c r="D1398" s="3"/>
      <c r="E1398" s="3"/>
    </row>
    <row r="1399" s="2" customFormat="1" ht="15.75" spans="1:5">
      <c r="A1399" s="6"/>
      <c r="B1399" s="7"/>
      <c r="C1399" s="6"/>
      <c r="D1399" s="3"/>
      <c r="E1399" s="3"/>
    </row>
    <row r="1400" s="2" customFormat="1" ht="15.75" spans="1:5">
      <c r="A1400" s="6"/>
      <c r="B1400" s="7"/>
      <c r="C1400" s="6"/>
      <c r="D1400" s="3"/>
      <c r="E1400" s="3"/>
    </row>
    <row r="1401" s="2" customFormat="1" ht="15.75" spans="1:5">
      <c r="A1401" s="6"/>
      <c r="B1401" s="7"/>
      <c r="C1401" s="6"/>
      <c r="D1401" s="3"/>
      <c r="E1401" s="3"/>
    </row>
    <row r="1402" s="2" customFormat="1" ht="15.75" spans="1:5">
      <c r="A1402" s="6"/>
      <c r="B1402" s="7"/>
      <c r="C1402" s="6"/>
      <c r="D1402" s="3"/>
      <c r="E1402" s="3"/>
    </row>
    <row r="1403" s="2" customFormat="1" ht="15.75" spans="1:5">
      <c r="A1403" s="6"/>
      <c r="B1403" s="7"/>
      <c r="C1403" s="6"/>
      <c r="D1403" s="3"/>
      <c r="E1403" s="3"/>
    </row>
    <row r="1404" s="2" customFormat="1" ht="15.75" spans="1:5">
      <c r="A1404" s="6"/>
      <c r="B1404" s="7"/>
      <c r="C1404" s="6"/>
      <c r="D1404" s="3"/>
      <c r="E1404" s="3"/>
    </row>
    <row r="1405" s="2" customFormat="1" ht="15.75" spans="1:5">
      <c r="A1405" s="6"/>
      <c r="B1405" s="7"/>
      <c r="C1405" s="6"/>
      <c r="D1405" s="3"/>
      <c r="E1405" s="3"/>
    </row>
    <row r="1406" s="2" customFormat="1" ht="15.75" spans="1:5">
      <c r="A1406" s="6"/>
      <c r="B1406" s="7"/>
      <c r="C1406" s="6"/>
      <c r="D1406" s="3"/>
      <c r="E1406" s="3"/>
    </row>
    <row r="1407" s="2" customFormat="1" ht="15.75" spans="1:5">
      <c r="A1407" s="6"/>
      <c r="B1407" s="7"/>
      <c r="C1407" s="6"/>
      <c r="D1407" s="3"/>
      <c r="E1407" s="3"/>
    </row>
    <row r="1408" s="2" customFormat="1" ht="15.75" spans="1:5">
      <c r="A1408" s="6"/>
      <c r="B1408" s="7"/>
      <c r="C1408" s="6"/>
      <c r="D1408" s="3"/>
      <c r="E1408" s="3"/>
    </row>
    <row r="1409" s="2" customFormat="1" ht="15.75" spans="1:5">
      <c r="A1409" s="6"/>
      <c r="B1409" s="7"/>
      <c r="C1409" s="6"/>
      <c r="D1409" s="3"/>
      <c r="E1409" s="3"/>
    </row>
    <row r="1410" s="2" customFormat="1" ht="15.75" spans="1:5">
      <c r="A1410" s="6"/>
      <c r="B1410" s="7"/>
      <c r="C1410" s="6"/>
      <c r="D1410" s="3"/>
      <c r="E1410" s="3"/>
    </row>
    <row r="1411" s="2" customFormat="1" ht="15.75" spans="1:5">
      <c r="A1411" s="6"/>
      <c r="B1411" s="7"/>
      <c r="C1411" s="6"/>
      <c r="D1411" s="3"/>
      <c r="E1411" s="3"/>
    </row>
    <row r="1412" s="2" customFormat="1" ht="15.75" spans="1:5">
      <c r="A1412" s="6"/>
      <c r="B1412" s="7"/>
      <c r="C1412" s="6"/>
      <c r="D1412" s="3"/>
      <c r="E1412" s="3"/>
    </row>
    <row r="1413" s="2" customFormat="1" ht="15.75" spans="1:5">
      <c r="A1413" s="6"/>
      <c r="B1413" s="7"/>
      <c r="C1413" s="6"/>
      <c r="D1413" s="3"/>
      <c r="E1413" s="3"/>
    </row>
    <row r="1414" s="2" customFormat="1" ht="15.75" spans="1:5">
      <c r="A1414" s="6"/>
      <c r="B1414" s="7"/>
      <c r="C1414" s="6"/>
      <c r="D1414" s="3"/>
      <c r="E1414" s="3"/>
    </row>
    <row r="1415" s="2" customFormat="1" ht="15.75" spans="1:5">
      <c r="A1415" s="6"/>
      <c r="B1415" s="7"/>
      <c r="C1415" s="6"/>
      <c r="D1415" s="3"/>
      <c r="E1415" s="3"/>
    </row>
    <row r="1416" s="2" customFormat="1" ht="15.75" spans="1:5">
      <c r="A1416" s="6"/>
      <c r="B1416" s="7"/>
      <c r="C1416" s="6"/>
      <c r="D1416" s="3"/>
      <c r="E1416" s="3"/>
    </row>
    <row r="1417" s="2" customFormat="1" ht="15.75" spans="1:5">
      <c r="A1417" s="6"/>
      <c r="B1417" s="7"/>
      <c r="C1417" s="6"/>
      <c r="D1417" s="3"/>
      <c r="E1417" s="3"/>
    </row>
    <row r="1418" s="2" customFormat="1" ht="15.75" spans="1:5">
      <c r="A1418" s="6"/>
      <c r="B1418" s="7"/>
      <c r="C1418" s="6"/>
      <c r="D1418" s="3"/>
      <c r="E1418" s="3"/>
    </row>
    <row r="1419" s="2" customFormat="1" ht="15.75" spans="1:5">
      <c r="A1419" s="6"/>
      <c r="B1419" s="7"/>
      <c r="C1419" s="6"/>
      <c r="D1419" s="3"/>
      <c r="E1419" s="3"/>
    </row>
    <row r="1420" s="2" customFormat="1" ht="15.75" spans="1:5">
      <c r="A1420" s="6"/>
      <c r="B1420" s="7"/>
      <c r="C1420" s="6"/>
      <c r="D1420" s="3"/>
      <c r="E1420" s="3"/>
    </row>
    <row r="1421" s="2" customFormat="1" ht="15.75" spans="1:5">
      <c r="A1421" s="6"/>
      <c r="B1421" s="7"/>
      <c r="C1421" s="6"/>
      <c r="D1421" s="3"/>
      <c r="E1421" s="3"/>
    </row>
    <row r="1422" s="2" customFormat="1" ht="15.75" spans="1:5">
      <c r="A1422" s="6"/>
      <c r="B1422" s="7"/>
      <c r="C1422" s="6"/>
      <c r="D1422" s="3"/>
      <c r="E1422" s="3"/>
    </row>
    <row r="1423" s="2" customFormat="1" ht="15.75" spans="1:5">
      <c r="A1423" s="6"/>
      <c r="B1423" s="7"/>
      <c r="C1423" s="6"/>
      <c r="D1423" s="3"/>
      <c r="E1423" s="3"/>
    </row>
    <row r="1424" s="2" customFormat="1" ht="15.75" spans="1:5">
      <c r="A1424" s="6"/>
      <c r="B1424" s="7"/>
      <c r="C1424" s="6"/>
      <c r="D1424" s="3"/>
      <c r="E1424" s="3"/>
    </row>
    <row r="1425" s="2" customFormat="1" ht="15.75" spans="1:5">
      <c r="A1425" s="6"/>
      <c r="B1425" s="7"/>
      <c r="C1425" s="6"/>
      <c r="D1425" s="3"/>
      <c r="E1425" s="3"/>
    </row>
    <row r="1426" s="2" customFormat="1" ht="15.75" spans="1:5">
      <c r="A1426" s="6"/>
      <c r="B1426" s="7"/>
      <c r="C1426" s="6"/>
      <c r="D1426" s="3"/>
      <c r="E1426" s="3"/>
    </row>
    <row r="1427" s="2" customFormat="1" ht="15.75" spans="1:5">
      <c r="A1427" s="6"/>
      <c r="B1427" s="7"/>
      <c r="C1427" s="6"/>
      <c r="D1427" s="3"/>
      <c r="E1427" s="3"/>
    </row>
    <row r="1428" s="2" customFormat="1" ht="15.75" spans="1:5">
      <c r="A1428" s="6"/>
      <c r="B1428" s="7"/>
      <c r="C1428" s="6"/>
      <c r="D1428" s="3"/>
      <c r="E1428" s="3"/>
    </row>
    <row r="1429" s="2" customFormat="1" ht="15.75" spans="1:5">
      <c r="A1429" s="6"/>
      <c r="B1429" s="7"/>
      <c r="C1429" s="6"/>
      <c r="D1429" s="3"/>
      <c r="E1429" s="3"/>
    </row>
    <row r="1430" s="2" customFormat="1" ht="15.75" spans="1:5">
      <c r="A1430" s="6"/>
      <c r="B1430" s="7"/>
      <c r="C1430" s="6"/>
      <c r="D1430" s="3"/>
      <c r="E1430" s="3"/>
    </row>
    <row r="1431" s="2" customFormat="1" ht="15.75" spans="1:5">
      <c r="A1431" s="6"/>
      <c r="B1431" s="7"/>
      <c r="C1431" s="6"/>
      <c r="D1431" s="3"/>
      <c r="E1431" s="3"/>
    </row>
    <row r="1432" s="2" customFormat="1" ht="15.75" spans="1:5">
      <c r="A1432" s="6"/>
      <c r="B1432" s="7"/>
      <c r="C1432" s="6"/>
      <c r="D1432" s="3"/>
      <c r="E1432" s="3"/>
    </row>
    <row r="1433" s="2" customFormat="1" ht="15.75" spans="1:5">
      <c r="A1433" s="6"/>
      <c r="B1433" s="7"/>
      <c r="C1433" s="6"/>
      <c r="D1433" s="3"/>
      <c r="E1433" s="3"/>
    </row>
    <row r="1434" s="2" customFormat="1" ht="15.75" spans="1:5">
      <c r="A1434" s="6"/>
      <c r="B1434" s="7"/>
      <c r="C1434" s="6"/>
      <c r="D1434" s="3"/>
      <c r="E1434" s="3"/>
    </row>
    <row r="1435" s="2" customFormat="1" ht="15.75" spans="1:5">
      <c r="A1435" s="6"/>
      <c r="B1435" s="7"/>
      <c r="C1435" s="6"/>
      <c r="D1435" s="3"/>
      <c r="E1435" s="3"/>
    </row>
    <row r="1436" s="2" customFormat="1" ht="15.75" spans="1:5">
      <c r="A1436" s="6"/>
      <c r="B1436" s="7"/>
      <c r="C1436" s="6"/>
      <c r="D1436" s="3"/>
      <c r="E1436" s="3"/>
    </row>
    <row r="1437" s="2" customFormat="1" ht="15.75" spans="1:5">
      <c r="A1437" s="6"/>
      <c r="B1437" s="7"/>
      <c r="C1437" s="6"/>
      <c r="D1437" s="3"/>
      <c r="E1437" s="3"/>
    </row>
    <row r="1438" s="2" customFormat="1" ht="15.75" spans="1:5">
      <c r="A1438" s="6"/>
      <c r="B1438" s="7"/>
      <c r="C1438" s="6"/>
      <c r="D1438" s="3"/>
      <c r="E1438" s="3"/>
    </row>
    <row r="1439" s="2" customFormat="1" ht="15.75" spans="1:5">
      <c r="A1439" s="6"/>
      <c r="B1439" s="7"/>
      <c r="C1439" s="6"/>
      <c r="D1439" s="3"/>
      <c r="E1439" s="3"/>
    </row>
    <row r="1440" s="2" customFormat="1" ht="15.75" spans="1:5">
      <c r="A1440" s="6"/>
      <c r="B1440" s="7"/>
      <c r="C1440" s="6"/>
      <c r="D1440" s="3"/>
      <c r="E1440" s="3"/>
    </row>
    <row r="1441" s="2" customFormat="1" ht="15.75" spans="1:5">
      <c r="A1441" s="6"/>
      <c r="B1441" s="7"/>
      <c r="C1441" s="6"/>
      <c r="D1441" s="3"/>
      <c r="E1441" s="3"/>
    </row>
    <row r="1442" s="2" customFormat="1" ht="15.75" spans="1:5">
      <c r="A1442" s="6"/>
      <c r="B1442" s="7"/>
      <c r="C1442" s="6"/>
      <c r="D1442" s="3"/>
      <c r="E1442" s="3"/>
    </row>
    <row r="1443" s="2" customFormat="1" ht="15.75" spans="1:5">
      <c r="A1443" s="6"/>
      <c r="B1443" s="7"/>
      <c r="C1443" s="6"/>
      <c r="D1443" s="3"/>
      <c r="E1443" s="3"/>
    </row>
    <row r="1444" s="2" customFormat="1" ht="15.75" spans="1:5">
      <c r="A1444" s="6"/>
      <c r="B1444" s="7"/>
      <c r="C1444" s="6"/>
      <c r="D1444" s="3"/>
      <c r="E1444" s="3"/>
    </row>
    <row r="1445" s="2" customFormat="1" ht="15.75" spans="1:5">
      <c r="A1445" s="6"/>
      <c r="B1445" s="7"/>
      <c r="C1445" s="6"/>
      <c r="D1445" s="3"/>
      <c r="E1445" s="3"/>
    </row>
    <row r="1446" s="2" customFormat="1" ht="15.75" spans="1:5">
      <c r="A1446" s="6"/>
      <c r="B1446" s="7"/>
      <c r="C1446" s="6"/>
      <c r="D1446" s="3"/>
      <c r="E1446" s="3"/>
    </row>
    <row r="1447" s="2" customFormat="1" ht="15.75" spans="1:5">
      <c r="A1447" s="6"/>
      <c r="B1447" s="7"/>
      <c r="C1447" s="6"/>
      <c r="D1447" s="3"/>
      <c r="E1447" s="3"/>
    </row>
    <row r="1448" s="2" customFormat="1" ht="15.75" spans="1:5">
      <c r="A1448" s="6"/>
      <c r="B1448" s="7"/>
      <c r="C1448" s="6"/>
      <c r="D1448" s="3"/>
      <c r="E1448" s="3"/>
    </row>
    <row r="1449" s="2" customFormat="1" ht="15.75" spans="1:5">
      <c r="A1449" s="6"/>
      <c r="B1449" s="7"/>
      <c r="C1449" s="6"/>
      <c r="D1449" s="3"/>
      <c r="E1449" s="3"/>
    </row>
    <row r="1450" s="2" customFormat="1" ht="15.75" spans="1:5">
      <c r="A1450" s="6"/>
      <c r="B1450" s="7"/>
      <c r="C1450" s="6"/>
      <c r="D1450" s="3"/>
      <c r="E1450" s="3"/>
    </row>
    <row r="1451" s="2" customFormat="1" ht="15.75" spans="1:5">
      <c r="A1451" s="6"/>
      <c r="B1451" s="7"/>
      <c r="C1451" s="6"/>
      <c r="D1451" s="3"/>
      <c r="E1451" s="3"/>
    </row>
    <row r="1452" s="2" customFormat="1" ht="15.75" spans="1:5">
      <c r="A1452" s="6"/>
      <c r="B1452" s="7"/>
      <c r="C1452" s="6"/>
      <c r="D1452" s="3"/>
      <c r="E1452" s="3"/>
    </row>
    <row r="1453" s="2" customFormat="1" ht="15.75" spans="1:5">
      <c r="A1453" s="6"/>
      <c r="B1453" s="7"/>
      <c r="C1453" s="6"/>
      <c r="D1453" s="3"/>
      <c r="E1453" s="3"/>
    </row>
    <row r="1454" s="2" customFormat="1" ht="15.75" spans="1:5">
      <c r="A1454" s="6"/>
      <c r="B1454" s="7"/>
      <c r="C1454" s="6"/>
      <c r="D1454" s="3"/>
      <c r="E1454" s="3"/>
    </row>
    <row r="1455" s="2" customFormat="1" ht="15.75" spans="1:5">
      <c r="A1455" s="6"/>
      <c r="B1455" s="7"/>
      <c r="C1455" s="6"/>
      <c r="D1455" s="3"/>
      <c r="E1455" s="3"/>
    </row>
    <row r="1456" s="2" customFormat="1" ht="15.75" spans="1:5">
      <c r="A1456" s="6"/>
      <c r="B1456" s="7"/>
      <c r="C1456" s="6"/>
      <c r="D1456" s="3"/>
      <c r="E1456" s="3"/>
    </row>
    <row r="1457" s="2" customFormat="1" ht="15.75" spans="1:5">
      <c r="A1457" s="6"/>
      <c r="B1457" s="7"/>
      <c r="C1457" s="6"/>
      <c r="D1457" s="3"/>
      <c r="E1457" s="3"/>
    </row>
    <row r="1458" s="2" customFormat="1" ht="15.75" spans="1:5">
      <c r="A1458" s="6"/>
      <c r="B1458" s="7"/>
      <c r="C1458" s="6"/>
      <c r="D1458" s="3"/>
      <c r="E1458" s="3"/>
    </row>
    <row r="1459" s="2" customFormat="1" ht="15.75" spans="1:5">
      <c r="A1459" s="6"/>
      <c r="B1459" s="7"/>
      <c r="C1459" s="6"/>
      <c r="D1459" s="3"/>
      <c r="E1459" s="3"/>
    </row>
    <row r="1460" s="2" customFormat="1" ht="15.75" spans="1:5">
      <c r="A1460" s="6"/>
      <c r="B1460" s="7"/>
      <c r="C1460" s="6"/>
      <c r="D1460" s="3"/>
      <c r="E1460" s="3"/>
    </row>
    <row r="1461" s="2" customFormat="1" ht="15.75" spans="1:5">
      <c r="A1461" s="6"/>
      <c r="B1461" s="7"/>
      <c r="C1461" s="6"/>
      <c r="D1461" s="3"/>
      <c r="E1461" s="3"/>
    </row>
    <row r="1462" s="2" customFormat="1" ht="15.75" spans="1:5">
      <c r="A1462" s="6"/>
      <c r="B1462" s="7"/>
      <c r="C1462" s="6"/>
      <c r="D1462" s="3"/>
      <c r="E1462" s="3"/>
    </row>
    <row r="1463" s="2" customFormat="1" ht="15.75" spans="1:5">
      <c r="A1463" s="6"/>
      <c r="B1463" s="7"/>
      <c r="C1463" s="6"/>
      <c r="D1463" s="3"/>
      <c r="E1463" s="3"/>
    </row>
    <row r="1464" s="2" customFormat="1" ht="15.75" spans="1:5">
      <c r="A1464" s="6"/>
      <c r="B1464" s="7"/>
      <c r="C1464" s="6"/>
      <c r="D1464" s="3"/>
      <c r="E1464" s="3"/>
    </row>
    <row r="1465" s="2" customFormat="1" ht="15.75" spans="1:5">
      <c r="A1465" s="6"/>
      <c r="B1465" s="7"/>
      <c r="C1465" s="6"/>
      <c r="D1465" s="3"/>
      <c r="E1465" s="3"/>
    </row>
    <row r="1466" s="2" customFormat="1" ht="15.75" spans="1:5">
      <c r="A1466" s="6"/>
      <c r="B1466" s="7"/>
      <c r="C1466" s="6"/>
      <c r="D1466" s="3"/>
      <c r="E1466" s="3"/>
    </row>
    <row r="1467" s="2" customFormat="1" ht="15.75" spans="1:5">
      <c r="A1467" s="6"/>
      <c r="B1467" s="7"/>
      <c r="C1467" s="6"/>
      <c r="D1467" s="3"/>
      <c r="E1467" s="3"/>
    </row>
    <row r="1468" s="2" customFormat="1" ht="15.75" spans="1:5">
      <c r="A1468" s="6"/>
      <c r="B1468" s="7"/>
      <c r="C1468" s="6"/>
      <c r="D1468" s="3"/>
      <c r="E1468" s="3"/>
    </row>
    <row r="1469" s="2" customFormat="1" ht="15.75" spans="1:5">
      <c r="A1469" s="6"/>
      <c r="B1469" s="7"/>
      <c r="C1469" s="6"/>
      <c r="D1469" s="3"/>
      <c r="E1469" s="3"/>
    </row>
    <row r="1470" s="2" customFormat="1" ht="15.75" spans="1:5">
      <c r="A1470" s="6"/>
      <c r="B1470" s="7"/>
      <c r="C1470" s="6"/>
      <c r="D1470" s="3"/>
      <c r="E1470" s="3"/>
    </row>
    <row r="1471" s="2" customFormat="1" ht="15.75" spans="1:5">
      <c r="A1471" s="6"/>
      <c r="B1471" s="7"/>
      <c r="C1471" s="6"/>
      <c r="D1471" s="3"/>
      <c r="E1471" s="3"/>
    </row>
    <row r="1472" s="2" customFormat="1" ht="15.75" spans="1:5">
      <c r="A1472" s="6"/>
      <c r="B1472" s="7"/>
      <c r="C1472" s="6"/>
      <c r="D1472" s="3"/>
      <c r="E1472" s="3"/>
    </row>
    <row r="1473" s="2" customFormat="1" ht="15.75" spans="1:5">
      <c r="A1473" s="6"/>
      <c r="B1473" s="7"/>
      <c r="C1473" s="6"/>
      <c r="D1473" s="3"/>
      <c r="E1473" s="3"/>
    </row>
    <row r="1474" s="2" customFormat="1" ht="15.75" spans="1:5">
      <c r="A1474" s="6"/>
      <c r="B1474" s="7"/>
      <c r="C1474" s="6"/>
      <c r="D1474" s="3"/>
      <c r="E1474" s="3"/>
    </row>
    <row r="1475" s="2" customFormat="1" ht="15.75" spans="1:5">
      <c r="A1475" s="6"/>
      <c r="B1475" s="7"/>
      <c r="C1475" s="6"/>
      <c r="D1475" s="3"/>
      <c r="E1475" s="3"/>
    </row>
    <row r="1476" s="2" customFormat="1" ht="15.75" spans="1:5">
      <c r="A1476" s="6"/>
      <c r="B1476" s="7"/>
      <c r="C1476" s="6"/>
      <c r="D1476" s="3"/>
      <c r="E1476" s="3"/>
    </row>
    <row r="1477" s="2" customFormat="1" ht="15.75" spans="1:5">
      <c r="A1477" s="6"/>
      <c r="B1477" s="7"/>
      <c r="C1477" s="6"/>
      <c r="D1477" s="3"/>
      <c r="E1477" s="3"/>
    </row>
    <row r="1478" s="2" customFormat="1" ht="15.75" spans="1:5">
      <c r="A1478" s="6"/>
      <c r="B1478" s="7"/>
      <c r="C1478" s="6"/>
      <c r="D1478" s="3"/>
      <c r="E1478" s="3"/>
    </row>
    <row r="1479" s="2" customFormat="1" ht="15.75" spans="1:5">
      <c r="A1479" s="6"/>
      <c r="B1479" s="7"/>
      <c r="C1479" s="6"/>
      <c r="D1479" s="3"/>
      <c r="E1479" s="3"/>
    </row>
    <row r="1480" s="2" customFormat="1" ht="15.75" spans="1:5">
      <c r="A1480" s="6"/>
      <c r="B1480" s="7"/>
      <c r="C1480" s="6"/>
      <c r="D1480" s="3"/>
      <c r="E1480" s="3"/>
    </row>
    <row r="1481" s="2" customFormat="1" ht="15.75" spans="1:5">
      <c r="A1481" s="6"/>
      <c r="B1481" s="7"/>
      <c r="C1481" s="6"/>
      <c r="D1481" s="3"/>
      <c r="E1481" s="3"/>
    </row>
    <row r="1482" s="2" customFormat="1" ht="15.75" spans="1:5">
      <c r="A1482" s="6"/>
      <c r="B1482" s="7"/>
      <c r="C1482" s="6"/>
      <c r="D1482" s="3"/>
      <c r="E1482" s="3"/>
    </row>
    <row r="1483" s="2" customFormat="1" ht="15.75" spans="1:5">
      <c r="A1483" s="6"/>
      <c r="B1483" s="7"/>
      <c r="C1483" s="6"/>
      <c r="D1483" s="3"/>
      <c r="E1483" s="3"/>
    </row>
    <row r="1484" s="2" customFormat="1" ht="15.75" spans="1:5">
      <c r="A1484" s="6"/>
      <c r="B1484" s="7"/>
      <c r="C1484" s="6"/>
      <c r="D1484" s="3"/>
      <c r="E1484" s="3"/>
    </row>
    <row r="1485" s="2" customFormat="1" ht="15.75" spans="1:5">
      <c r="A1485" s="6"/>
      <c r="B1485" s="7"/>
      <c r="C1485" s="6"/>
      <c r="D1485" s="3"/>
      <c r="E1485" s="3"/>
    </row>
    <row r="1486" s="2" customFormat="1" ht="15.75" spans="1:5">
      <c r="A1486" s="6"/>
      <c r="B1486" s="7"/>
      <c r="C1486" s="6"/>
      <c r="D1486" s="3"/>
      <c r="E1486" s="3"/>
    </row>
    <row r="1487" s="2" customFormat="1" ht="15.75" spans="1:5">
      <c r="A1487" s="6"/>
      <c r="B1487" s="7"/>
      <c r="C1487" s="6"/>
      <c r="D1487" s="3"/>
      <c r="E1487" s="3"/>
    </row>
    <row r="1488" s="2" customFormat="1" ht="15.75" spans="1:5">
      <c r="A1488" s="6"/>
      <c r="B1488" s="7"/>
      <c r="C1488" s="6"/>
      <c r="D1488" s="3"/>
      <c r="E1488" s="3"/>
    </row>
    <row r="1489" s="2" customFormat="1" ht="15.75" spans="1:5">
      <c r="A1489" s="6"/>
      <c r="B1489" s="7"/>
      <c r="C1489" s="6"/>
      <c r="D1489" s="3"/>
      <c r="E1489" s="3"/>
    </row>
    <row r="1490" s="2" customFormat="1" ht="15.75" spans="1:5">
      <c r="A1490" s="6"/>
      <c r="B1490" s="7"/>
      <c r="C1490" s="6"/>
      <c r="D1490" s="3"/>
      <c r="E1490" s="3"/>
    </row>
    <row r="1491" s="2" customFormat="1" ht="15.75" spans="1:5">
      <c r="A1491" s="6"/>
      <c r="B1491" s="7"/>
      <c r="C1491" s="6"/>
      <c r="D1491" s="3"/>
      <c r="E1491" s="3"/>
    </row>
    <row r="1492" s="2" customFormat="1" ht="15.75" spans="1:5">
      <c r="A1492" s="6"/>
      <c r="B1492" s="7"/>
      <c r="C1492" s="6"/>
      <c r="D1492" s="3"/>
      <c r="E1492" s="3"/>
    </row>
    <row r="1493" s="2" customFormat="1" ht="15.75" spans="1:5">
      <c r="A1493" s="6"/>
      <c r="B1493" s="7"/>
      <c r="C1493" s="6"/>
      <c r="D1493" s="3"/>
      <c r="E1493" s="3"/>
    </row>
    <row r="1494" s="2" customFormat="1" ht="15.75" spans="1:5">
      <c r="A1494" s="6"/>
      <c r="B1494" s="7"/>
      <c r="C1494" s="6"/>
      <c r="D1494" s="3"/>
      <c r="E1494" s="3"/>
    </row>
    <row r="1495" s="2" customFormat="1" ht="15.75" spans="1:5">
      <c r="A1495" s="6"/>
      <c r="B1495" s="7"/>
      <c r="C1495" s="6"/>
      <c r="D1495" s="3"/>
      <c r="E1495" s="3"/>
    </row>
    <row r="1496" s="2" customFormat="1" ht="15.75" spans="1:5">
      <c r="A1496" s="6"/>
      <c r="B1496" s="7"/>
      <c r="C1496" s="6"/>
      <c r="D1496" s="3"/>
      <c r="E1496" s="3"/>
    </row>
    <row r="1497" s="2" customFormat="1" ht="15.75" spans="1:5">
      <c r="A1497" s="6"/>
      <c r="B1497" s="7"/>
      <c r="C1497" s="6"/>
      <c r="D1497" s="3"/>
      <c r="E1497" s="3"/>
    </row>
    <row r="1498" s="2" customFormat="1" ht="15.75" spans="1:5">
      <c r="A1498" s="6"/>
      <c r="B1498" s="7"/>
      <c r="C1498" s="6"/>
      <c r="D1498" s="3"/>
      <c r="E1498" s="3"/>
    </row>
    <row r="1499" s="2" customFormat="1" ht="15.75" spans="1:5">
      <c r="A1499" s="6"/>
      <c r="B1499" s="7"/>
      <c r="C1499" s="6"/>
      <c r="D1499" s="3"/>
      <c r="E1499" s="3"/>
    </row>
    <row r="1500" s="2" customFormat="1" ht="15.75" spans="1:5">
      <c r="A1500" s="6"/>
      <c r="B1500" s="7"/>
      <c r="C1500" s="6"/>
      <c r="D1500" s="3"/>
      <c r="E1500" s="3"/>
    </row>
    <row r="1501" s="2" customFormat="1" ht="15.75" spans="1:5">
      <c r="A1501" s="6"/>
      <c r="B1501" s="7"/>
      <c r="C1501" s="6"/>
      <c r="D1501" s="3"/>
      <c r="E1501" s="3"/>
    </row>
    <row r="1502" s="2" customFormat="1" ht="15.75" spans="1:5">
      <c r="A1502" s="6"/>
      <c r="B1502" s="7"/>
      <c r="C1502" s="6"/>
      <c r="D1502" s="3"/>
      <c r="E1502" s="3"/>
    </row>
    <row r="1503" s="2" customFormat="1" ht="15.75" spans="1:5">
      <c r="A1503" s="6"/>
      <c r="B1503" s="7"/>
      <c r="C1503" s="6"/>
      <c r="D1503" s="3"/>
      <c r="E1503" s="3"/>
    </row>
    <row r="1504" s="2" customFormat="1" ht="15.75" spans="1:5">
      <c r="A1504" s="6"/>
      <c r="B1504" s="7"/>
      <c r="C1504" s="6"/>
      <c r="D1504" s="3"/>
      <c r="E1504" s="3"/>
    </row>
    <row r="1505" s="2" customFormat="1" ht="15.75" spans="1:5">
      <c r="A1505" s="6"/>
      <c r="B1505" s="7"/>
      <c r="C1505" s="6"/>
      <c r="D1505" s="3"/>
      <c r="E1505" s="3"/>
    </row>
    <row r="1506" s="2" customFormat="1" ht="15.75" spans="1:5">
      <c r="A1506" s="6"/>
      <c r="B1506" s="7"/>
      <c r="C1506" s="6"/>
      <c r="D1506" s="3"/>
      <c r="E1506" s="3"/>
    </row>
    <row r="1507" s="2" customFormat="1" ht="15.75" spans="1:5">
      <c r="A1507" s="6"/>
      <c r="B1507" s="7"/>
      <c r="C1507" s="6"/>
      <c r="D1507" s="3"/>
      <c r="E1507" s="3"/>
    </row>
    <row r="1508" s="2" customFormat="1" ht="15.75" spans="1:5">
      <c r="A1508" s="6"/>
      <c r="B1508" s="7"/>
      <c r="C1508" s="6"/>
      <c r="D1508" s="3"/>
      <c r="E1508" s="3"/>
    </row>
    <row r="1509" s="2" customFormat="1" ht="15.75" spans="1:5">
      <c r="A1509" s="6"/>
      <c r="B1509" s="7"/>
      <c r="C1509" s="6"/>
      <c r="D1509" s="3"/>
      <c r="E1509" s="3"/>
    </row>
    <row r="1510" s="2" customFormat="1" ht="15.75" spans="1:5">
      <c r="A1510" s="6"/>
      <c r="B1510" s="7"/>
      <c r="C1510" s="6"/>
      <c r="D1510" s="3"/>
      <c r="E1510" s="3"/>
    </row>
    <row r="1511" s="2" customFormat="1" ht="15.75" spans="1:5">
      <c r="A1511" s="6"/>
      <c r="B1511" s="7"/>
      <c r="C1511" s="6"/>
      <c r="D1511" s="3"/>
      <c r="E1511" s="3"/>
    </row>
    <row r="1512" s="2" customFormat="1" ht="15.75" spans="1:5">
      <c r="A1512" s="6"/>
      <c r="B1512" s="7"/>
      <c r="C1512" s="6"/>
      <c r="D1512" s="3"/>
      <c r="E1512" s="3"/>
    </row>
    <row r="1513" s="2" customFormat="1" ht="15.75" spans="1:5">
      <c r="A1513" s="6"/>
      <c r="B1513" s="7"/>
      <c r="C1513" s="6"/>
      <c r="D1513" s="3"/>
      <c r="E1513" s="3"/>
    </row>
    <row r="1514" s="2" customFormat="1" ht="15.75" spans="1:5">
      <c r="A1514" s="6"/>
      <c r="B1514" s="7"/>
      <c r="C1514" s="6"/>
      <c r="D1514" s="3"/>
      <c r="E1514" s="3"/>
    </row>
    <row r="1515" s="2" customFormat="1" ht="15.75" spans="1:5">
      <c r="A1515" s="6"/>
      <c r="B1515" s="7"/>
      <c r="C1515" s="6"/>
      <c r="D1515" s="3"/>
      <c r="E1515" s="3"/>
    </row>
    <row r="1516" s="2" customFormat="1" ht="15.75" spans="1:5">
      <c r="A1516" s="6"/>
      <c r="B1516" s="7"/>
      <c r="C1516" s="6"/>
      <c r="D1516" s="3"/>
      <c r="E1516" s="3"/>
    </row>
    <row r="1517" s="2" customFormat="1" ht="15.75" spans="1:5">
      <c r="A1517" s="6"/>
      <c r="B1517" s="7"/>
      <c r="C1517" s="6"/>
      <c r="D1517" s="3"/>
      <c r="E1517" s="3"/>
    </row>
    <row r="1518" s="2" customFormat="1" ht="15.75" spans="1:5">
      <c r="A1518" s="6"/>
      <c r="B1518" s="7"/>
      <c r="C1518" s="6"/>
      <c r="D1518" s="3"/>
      <c r="E1518" s="3"/>
    </row>
    <row r="1519" s="2" customFormat="1" ht="15.75" spans="1:5">
      <c r="A1519" s="6"/>
      <c r="B1519" s="7"/>
      <c r="C1519" s="6"/>
      <c r="D1519" s="3"/>
      <c r="E1519" s="3"/>
    </row>
    <row r="1520" s="2" customFormat="1" ht="15.75" spans="1:5">
      <c r="A1520" s="6"/>
      <c r="B1520" s="7"/>
      <c r="C1520" s="6"/>
      <c r="D1520" s="3"/>
      <c r="E1520" s="3"/>
    </row>
    <row r="1521" s="2" customFormat="1" ht="15.75" spans="1:5">
      <c r="A1521" s="6"/>
      <c r="B1521" s="7"/>
      <c r="C1521" s="6"/>
      <c r="D1521" s="3"/>
      <c r="E1521" s="3"/>
    </row>
    <row r="1522" s="2" customFormat="1" ht="15.75" spans="1:5">
      <c r="A1522" s="6"/>
      <c r="B1522" s="7"/>
      <c r="C1522" s="6"/>
      <c r="D1522" s="3"/>
      <c r="E1522" s="3"/>
    </row>
    <row r="1523" s="2" customFormat="1" ht="15.75" spans="1:5">
      <c r="A1523" s="6"/>
      <c r="B1523" s="7"/>
      <c r="C1523" s="6"/>
      <c r="D1523" s="3"/>
      <c r="E1523" s="3"/>
    </row>
    <row r="1524" s="2" customFormat="1" ht="15.75" spans="1:5">
      <c r="A1524" s="6"/>
      <c r="B1524" s="7"/>
      <c r="C1524" s="6"/>
      <c r="D1524" s="3"/>
      <c r="E1524" s="3"/>
    </row>
    <row r="1525" s="2" customFormat="1" ht="15.75" spans="1:5">
      <c r="A1525" s="6"/>
      <c r="B1525" s="7"/>
      <c r="C1525" s="6"/>
      <c r="D1525" s="3"/>
      <c r="E1525" s="3"/>
    </row>
    <row r="1526" s="2" customFormat="1" ht="15.75" spans="1:5">
      <c r="A1526" s="6"/>
      <c r="B1526" s="7"/>
      <c r="C1526" s="6"/>
      <c r="D1526" s="3"/>
      <c r="E1526" s="3"/>
    </row>
    <row r="1527" s="2" customFormat="1" ht="15.75" spans="1:5">
      <c r="A1527" s="6"/>
      <c r="B1527" s="7"/>
      <c r="C1527" s="6"/>
      <c r="D1527" s="3"/>
      <c r="E1527" s="3"/>
    </row>
    <row r="1528" s="2" customFormat="1" ht="15.75" spans="1:5">
      <c r="A1528" s="6"/>
      <c r="B1528" s="7"/>
      <c r="C1528" s="6"/>
      <c r="D1528" s="3"/>
      <c r="E1528" s="3"/>
    </row>
    <row r="1529" s="2" customFormat="1" ht="15.75" spans="1:5">
      <c r="A1529" s="6"/>
      <c r="B1529" s="7"/>
      <c r="C1529" s="6"/>
      <c r="D1529" s="3"/>
      <c r="E1529" s="3"/>
    </row>
    <row r="1530" s="2" customFormat="1" ht="15.75" spans="1:5">
      <c r="A1530" s="6"/>
      <c r="B1530" s="7"/>
      <c r="C1530" s="6"/>
      <c r="D1530" s="3"/>
      <c r="E1530" s="3"/>
    </row>
    <row r="1531" s="2" customFormat="1" ht="15.75" spans="1:5">
      <c r="A1531" s="6"/>
      <c r="B1531" s="7"/>
      <c r="C1531" s="6"/>
      <c r="D1531" s="3"/>
      <c r="E1531" s="3"/>
    </row>
    <row r="1532" s="2" customFormat="1" ht="15.75" spans="1:5">
      <c r="A1532" s="6"/>
      <c r="B1532" s="7"/>
      <c r="C1532" s="6"/>
      <c r="D1532" s="3"/>
      <c r="E1532" s="3"/>
    </row>
    <row r="1533" s="2" customFormat="1" ht="15.75" spans="1:5">
      <c r="A1533" s="6"/>
      <c r="B1533" s="7"/>
      <c r="C1533" s="6"/>
      <c r="D1533" s="3"/>
      <c r="E1533" s="3"/>
    </row>
    <row r="1534" s="2" customFormat="1" ht="15.75" spans="1:5">
      <c r="A1534" s="6"/>
      <c r="B1534" s="7"/>
      <c r="C1534" s="6"/>
      <c r="D1534" s="3"/>
      <c r="E1534" s="3"/>
    </row>
    <row r="1535" s="2" customFormat="1" ht="15.75" spans="1:5">
      <c r="A1535" s="6"/>
      <c r="B1535" s="7"/>
      <c r="C1535" s="6"/>
      <c r="D1535" s="3"/>
      <c r="E1535" s="3"/>
    </row>
    <row r="1536" s="2" customFormat="1" ht="15.75" spans="1:5">
      <c r="A1536" s="6"/>
      <c r="B1536" s="7"/>
      <c r="C1536" s="6"/>
      <c r="D1536" s="3"/>
      <c r="E1536" s="3"/>
    </row>
    <row r="1537" s="2" customFormat="1" ht="15.75" spans="1:5">
      <c r="A1537" s="6"/>
      <c r="B1537" s="7"/>
      <c r="C1537" s="6"/>
      <c r="D1537" s="3"/>
      <c r="E1537" s="3"/>
    </row>
    <row r="1538" s="2" customFormat="1" ht="15.75" spans="1:5">
      <c r="A1538" s="6"/>
      <c r="B1538" s="7"/>
      <c r="C1538" s="6"/>
      <c r="D1538" s="3"/>
      <c r="E1538" s="3"/>
    </row>
    <row r="1539" s="2" customFormat="1" ht="15.75" spans="1:5">
      <c r="A1539" s="6"/>
      <c r="B1539" s="7"/>
      <c r="C1539" s="6"/>
      <c r="D1539" s="3"/>
      <c r="E1539" s="3"/>
    </row>
    <row r="1540" s="2" customFormat="1" ht="15.75" spans="1:5">
      <c r="A1540" s="6"/>
      <c r="B1540" s="7"/>
      <c r="C1540" s="6"/>
      <c r="D1540" s="3"/>
      <c r="E1540" s="3"/>
    </row>
    <row r="1541" s="2" customFormat="1" ht="15.75" spans="1:5">
      <c r="A1541" s="6"/>
      <c r="B1541" s="7"/>
      <c r="C1541" s="6"/>
      <c r="D1541" s="3"/>
      <c r="E1541" s="3"/>
    </row>
    <row r="1542" s="2" customFormat="1" ht="15.75" spans="1:5">
      <c r="A1542" s="6"/>
      <c r="B1542" s="7"/>
      <c r="C1542" s="6"/>
      <c r="D1542" s="3"/>
      <c r="E1542" s="3"/>
    </row>
    <row r="1543" s="2" customFormat="1" ht="15.75" spans="1:5">
      <c r="A1543" s="6"/>
      <c r="B1543" s="7"/>
      <c r="C1543" s="6"/>
      <c r="D1543" s="3"/>
      <c r="E1543" s="3"/>
    </row>
    <row r="1544" s="2" customFormat="1" ht="15.75" spans="1:5">
      <c r="A1544" s="6"/>
      <c r="B1544" s="7"/>
      <c r="C1544" s="6"/>
      <c r="D1544" s="3"/>
      <c r="E1544" s="3"/>
    </row>
    <row r="1545" s="2" customFormat="1" ht="15.75" spans="1:5">
      <c r="A1545" s="6"/>
      <c r="B1545" s="7"/>
      <c r="C1545" s="6"/>
      <c r="D1545" s="3"/>
      <c r="E1545" s="3"/>
    </row>
    <row r="1546" s="2" customFormat="1" ht="15.75" spans="1:5">
      <c r="A1546" s="6"/>
      <c r="B1546" s="7"/>
      <c r="C1546" s="6"/>
      <c r="D1546" s="3"/>
      <c r="E1546" s="3"/>
    </row>
    <row r="1547" s="2" customFormat="1" ht="15.75" spans="1:5">
      <c r="A1547" s="6"/>
      <c r="B1547" s="7"/>
      <c r="C1547" s="6"/>
      <c r="D1547" s="3"/>
      <c r="E1547" s="3"/>
    </row>
    <row r="1548" s="2" customFormat="1" ht="15.75" spans="1:5">
      <c r="A1548" s="6"/>
      <c r="B1548" s="7"/>
      <c r="C1548" s="6"/>
      <c r="D1548" s="3"/>
      <c r="E1548" s="3"/>
    </row>
    <row r="1549" s="2" customFormat="1" ht="15.75" spans="1:5">
      <c r="A1549" s="6"/>
      <c r="B1549" s="7"/>
      <c r="C1549" s="6"/>
      <c r="D1549" s="3"/>
      <c r="E1549" s="3"/>
    </row>
    <row r="1550" s="2" customFormat="1" ht="15.75" spans="1:5">
      <c r="A1550" s="6"/>
      <c r="B1550" s="7"/>
      <c r="C1550" s="6"/>
      <c r="D1550" s="3"/>
      <c r="E1550" s="3"/>
    </row>
    <row r="1551" s="2" customFormat="1" ht="15.75" spans="1:5">
      <c r="A1551" s="6"/>
      <c r="B1551" s="7"/>
      <c r="C1551" s="6"/>
      <c r="D1551" s="3"/>
      <c r="E1551" s="3"/>
    </row>
    <row r="1552" s="2" customFormat="1" ht="15.75" spans="1:5">
      <c r="A1552" s="6"/>
      <c r="B1552" s="7"/>
      <c r="C1552" s="6"/>
      <c r="D1552" s="3"/>
      <c r="E1552" s="3"/>
    </row>
    <row r="1553" s="2" customFormat="1" ht="15.75" spans="1:5">
      <c r="A1553" s="6"/>
      <c r="B1553" s="7"/>
      <c r="C1553" s="6"/>
      <c r="D1553" s="3"/>
      <c r="E1553" s="3"/>
    </row>
    <row r="1554" s="2" customFormat="1" ht="15.75" spans="1:5">
      <c r="A1554" s="6"/>
      <c r="B1554" s="7"/>
      <c r="C1554" s="6"/>
      <c r="D1554" s="3"/>
      <c r="E1554" s="3"/>
    </row>
    <row r="1555" s="2" customFormat="1" ht="15.75" spans="1:5">
      <c r="A1555" s="6"/>
      <c r="B1555" s="7"/>
      <c r="C1555" s="6"/>
      <c r="D1555" s="3"/>
      <c r="E1555" s="3"/>
    </row>
    <row r="1556" s="2" customFormat="1" ht="15.75" spans="1:5">
      <c r="A1556" s="6"/>
      <c r="B1556" s="7"/>
      <c r="C1556" s="6"/>
      <c r="D1556" s="3"/>
      <c r="E1556" s="3"/>
    </row>
    <row r="1557" s="2" customFormat="1" ht="15.75" spans="1:5">
      <c r="A1557" s="6"/>
      <c r="B1557" s="7"/>
      <c r="C1557" s="6"/>
      <c r="D1557" s="3"/>
      <c r="E1557" s="3"/>
    </row>
    <row r="1558" s="2" customFormat="1" ht="15.75" spans="1:5">
      <c r="A1558" s="6"/>
      <c r="B1558" s="7"/>
      <c r="C1558" s="6"/>
      <c r="D1558" s="3"/>
      <c r="E1558" s="3"/>
    </row>
    <row r="1559" s="2" customFormat="1" ht="15.75" spans="1:5">
      <c r="A1559" s="6"/>
      <c r="B1559" s="7"/>
      <c r="C1559" s="6"/>
      <c r="D1559" s="3"/>
      <c r="E1559" s="3"/>
    </row>
    <row r="1560" s="2" customFormat="1" ht="15.75" spans="1:5">
      <c r="A1560" s="6"/>
      <c r="B1560" s="7"/>
      <c r="C1560" s="6"/>
      <c r="D1560" s="3"/>
      <c r="E1560" s="3"/>
    </row>
    <row r="1561" s="2" customFormat="1" ht="15.75" spans="1:5">
      <c r="A1561" s="6"/>
      <c r="B1561" s="7"/>
      <c r="C1561" s="6"/>
      <c r="D1561" s="3"/>
      <c r="E1561" s="3"/>
    </row>
    <row r="1562" s="2" customFormat="1" ht="15.75" spans="1:5">
      <c r="A1562" s="6"/>
      <c r="B1562" s="7"/>
      <c r="C1562" s="6"/>
      <c r="D1562" s="3"/>
      <c r="E1562" s="3"/>
    </row>
    <row r="1563" s="2" customFormat="1" ht="15.75" spans="1:5">
      <c r="A1563" s="6"/>
      <c r="B1563" s="7"/>
      <c r="C1563" s="6"/>
      <c r="D1563" s="3"/>
      <c r="E1563" s="3"/>
    </row>
    <row r="1564" s="2" customFormat="1" ht="15.75" spans="1:5">
      <c r="A1564" s="6"/>
      <c r="B1564" s="7"/>
      <c r="C1564" s="6"/>
      <c r="D1564" s="3"/>
      <c r="E1564" s="3"/>
    </row>
    <row r="1565" s="2" customFormat="1" ht="15.75" spans="1:5">
      <c r="A1565" s="6"/>
      <c r="B1565" s="7"/>
      <c r="C1565" s="6"/>
      <c r="D1565" s="3"/>
      <c r="E1565" s="3"/>
    </row>
    <row r="1566" s="2" customFormat="1" ht="15.75" spans="1:5">
      <c r="A1566" s="6"/>
      <c r="B1566" s="7"/>
      <c r="C1566" s="6"/>
      <c r="D1566" s="3"/>
      <c r="E1566" s="3"/>
    </row>
    <row r="1567" s="2" customFormat="1" ht="15.75" spans="1:5">
      <c r="A1567" s="6"/>
      <c r="B1567" s="7"/>
      <c r="C1567" s="6"/>
      <c r="D1567" s="3"/>
      <c r="E1567" s="3"/>
    </row>
    <row r="1568" s="2" customFormat="1" ht="15.75" spans="1:5">
      <c r="A1568" s="6"/>
      <c r="B1568" s="7"/>
      <c r="C1568" s="6"/>
      <c r="D1568" s="3"/>
      <c r="E1568" s="3"/>
    </row>
    <row r="1569" s="2" customFormat="1" ht="15.75" spans="1:5">
      <c r="A1569" s="6"/>
      <c r="B1569" s="7"/>
      <c r="C1569" s="6"/>
      <c r="D1569" s="3"/>
      <c r="E1569" s="3"/>
    </row>
    <row r="1570" s="2" customFormat="1" ht="15.75" spans="1:5">
      <c r="A1570" s="6"/>
      <c r="B1570" s="7"/>
      <c r="C1570" s="6"/>
      <c r="D1570" s="3"/>
      <c r="E1570" s="3"/>
    </row>
    <row r="1571" s="2" customFormat="1" ht="15.75" spans="1:5">
      <c r="A1571" s="6"/>
      <c r="B1571" s="7"/>
      <c r="C1571" s="6"/>
      <c r="D1571" s="3"/>
      <c r="E1571" s="3"/>
    </row>
    <row r="1572" s="2" customFormat="1" ht="15.75" spans="1:5">
      <c r="A1572" s="6"/>
      <c r="B1572" s="7"/>
      <c r="C1572" s="6"/>
      <c r="D1572" s="3"/>
      <c r="E1572" s="3"/>
    </row>
    <row r="1573" s="2" customFormat="1" ht="15.75" spans="1:5">
      <c r="A1573" s="6"/>
      <c r="B1573" s="7"/>
      <c r="C1573" s="6"/>
      <c r="D1573" s="3"/>
      <c r="E1573" s="3"/>
    </row>
    <row r="1574" s="2" customFormat="1" ht="15.75" spans="1:5">
      <c r="A1574" s="6"/>
      <c r="B1574" s="7"/>
      <c r="C1574" s="6"/>
      <c r="D1574" s="3"/>
      <c r="E1574" s="3"/>
    </row>
    <row r="1575" s="2" customFormat="1" ht="15.75" spans="1:5">
      <c r="A1575" s="6"/>
      <c r="B1575" s="7"/>
      <c r="C1575" s="6"/>
      <c r="D1575" s="3"/>
      <c r="E1575" s="3"/>
    </row>
    <row r="1576" s="2" customFormat="1" ht="15.75" spans="1:5">
      <c r="A1576" s="6"/>
      <c r="B1576" s="7"/>
      <c r="C1576" s="6"/>
      <c r="D1576" s="3"/>
      <c r="E1576" s="3"/>
    </row>
    <row r="1577" s="2" customFormat="1" ht="15.75" spans="1:5">
      <c r="A1577" s="6"/>
      <c r="B1577" s="7"/>
      <c r="C1577" s="6"/>
      <c r="D1577" s="3"/>
      <c r="E1577" s="3"/>
    </row>
    <row r="1578" s="2" customFormat="1" ht="15.75" spans="1:5">
      <c r="A1578" s="6"/>
      <c r="B1578" s="7"/>
      <c r="C1578" s="6"/>
      <c r="D1578" s="3"/>
      <c r="E1578" s="3"/>
    </row>
    <row r="1579" s="2" customFormat="1" ht="15.75" spans="1:5">
      <c r="A1579" s="6"/>
      <c r="B1579" s="7"/>
      <c r="C1579" s="6"/>
      <c r="D1579" s="3"/>
      <c r="E1579" s="3"/>
    </row>
    <row r="1580" s="2" customFormat="1" ht="15.75" spans="1:5">
      <c r="A1580" s="6"/>
      <c r="B1580" s="7"/>
      <c r="C1580" s="6"/>
      <c r="D1580" s="3"/>
      <c r="E1580" s="3"/>
    </row>
    <row r="1581" s="2" customFormat="1" ht="15.75" spans="1:5">
      <c r="A1581" s="6"/>
      <c r="B1581" s="7"/>
      <c r="C1581" s="6"/>
      <c r="D1581" s="3"/>
      <c r="E1581" s="3"/>
    </row>
    <row r="1582" s="2" customFormat="1" ht="15.75" spans="1:5">
      <c r="A1582" s="6"/>
      <c r="B1582" s="7"/>
      <c r="C1582" s="6"/>
      <c r="D1582" s="3"/>
      <c r="E1582" s="3"/>
    </row>
    <row r="1583" s="2" customFormat="1" ht="15.75" spans="1:5">
      <c r="A1583" s="6"/>
      <c r="B1583" s="7"/>
      <c r="C1583" s="6"/>
      <c r="D1583" s="3"/>
      <c r="E1583" s="3"/>
    </row>
    <row r="1584" s="2" customFormat="1" ht="15.75" spans="1:5">
      <c r="A1584" s="6"/>
      <c r="B1584" s="7"/>
      <c r="C1584" s="6"/>
      <c r="D1584" s="3"/>
      <c r="E1584" s="3"/>
    </row>
    <row r="1585" s="2" customFormat="1" ht="15.75" spans="1:5">
      <c r="A1585" s="6"/>
      <c r="B1585" s="7"/>
      <c r="C1585" s="6"/>
      <c r="D1585" s="3"/>
      <c r="E1585" s="3"/>
    </row>
    <row r="1586" s="2" customFormat="1" ht="15.75" spans="1:5">
      <c r="A1586" s="6"/>
      <c r="B1586" s="7"/>
      <c r="C1586" s="6"/>
      <c r="D1586" s="3"/>
      <c r="E1586" s="3"/>
    </row>
    <row r="1587" s="2" customFormat="1" ht="15.75" spans="1:5">
      <c r="A1587" s="6"/>
      <c r="B1587" s="7"/>
      <c r="C1587" s="6"/>
      <c r="D1587" s="3"/>
      <c r="E1587" s="3"/>
    </row>
    <row r="1588" s="2" customFormat="1" ht="15.75" spans="1:5">
      <c r="A1588" s="6"/>
      <c r="B1588" s="7"/>
      <c r="C1588" s="6"/>
      <c r="D1588" s="3"/>
      <c r="E1588" s="3"/>
    </row>
    <row r="1589" s="2" customFormat="1" ht="15.75" spans="1:5">
      <c r="A1589" s="6"/>
      <c r="B1589" s="7"/>
      <c r="C1589" s="6"/>
      <c r="D1589" s="3"/>
      <c r="E1589" s="3"/>
    </row>
    <row r="1590" s="2" customFormat="1" ht="15.75" spans="1:5">
      <c r="A1590" s="6"/>
      <c r="B1590" s="7"/>
      <c r="C1590" s="6"/>
      <c r="D1590" s="3"/>
      <c r="E1590" s="3"/>
    </row>
    <row r="1591" s="2" customFormat="1" ht="15.75" spans="1:5">
      <c r="A1591" s="6"/>
      <c r="B1591" s="7"/>
      <c r="C1591" s="6"/>
      <c r="D1591" s="3"/>
      <c r="E1591" s="3"/>
    </row>
    <row r="1592" s="2" customFormat="1" ht="15.75" spans="1:5">
      <c r="A1592" s="6"/>
      <c r="B1592" s="7"/>
      <c r="C1592" s="6"/>
      <c r="D1592" s="3"/>
      <c r="E1592" s="3"/>
    </row>
    <row r="1593" s="2" customFormat="1" ht="15.75" spans="1:5">
      <c r="A1593" s="6"/>
      <c r="B1593" s="7"/>
      <c r="C1593" s="6"/>
      <c r="D1593" s="3"/>
      <c r="E1593" s="3"/>
    </row>
    <row r="1594" s="2" customFormat="1" ht="15.75" spans="1:5">
      <c r="A1594" s="6"/>
      <c r="B1594" s="7"/>
      <c r="C1594" s="6"/>
      <c r="D1594" s="3"/>
      <c r="E1594" s="3"/>
    </row>
    <row r="1595" s="2" customFormat="1" ht="15.75" spans="1:5">
      <c r="A1595" s="6"/>
      <c r="B1595" s="7"/>
      <c r="C1595" s="6"/>
      <c r="D1595" s="3"/>
      <c r="E1595" s="3"/>
    </row>
    <row r="1596" s="2" customFormat="1" ht="15.75" spans="1:5">
      <c r="A1596" s="6"/>
      <c r="B1596" s="7"/>
      <c r="C1596" s="6"/>
      <c r="D1596" s="3"/>
      <c r="E1596" s="3"/>
    </row>
    <row r="1597" s="2" customFormat="1" ht="15.75" spans="1:5">
      <c r="A1597" s="6"/>
      <c r="B1597" s="7"/>
      <c r="C1597" s="6"/>
      <c r="D1597" s="3"/>
      <c r="E1597" s="3"/>
    </row>
    <row r="1598" s="2" customFormat="1" ht="15.75" spans="1:5">
      <c r="A1598" s="6"/>
      <c r="B1598" s="7"/>
      <c r="C1598" s="6"/>
      <c r="D1598" s="3"/>
      <c r="E1598" s="3"/>
    </row>
    <row r="1599" s="2" customFormat="1" ht="15.75" spans="1:5">
      <c r="A1599" s="6"/>
      <c r="B1599" s="7"/>
      <c r="C1599" s="6"/>
      <c r="D1599" s="3"/>
      <c r="E1599" s="3"/>
    </row>
    <row r="1600" s="2" customFormat="1" ht="15.75" spans="1:5">
      <c r="A1600" s="6"/>
      <c r="B1600" s="7"/>
      <c r="C1600" s="6"/>
      <c r="D1600" s="3"/>
      <c r="E1600" s="3"/>
    </row>
    <row r="1601" s="2" customFormat="1" ht="15.75" spans="1:5">
      <c r="A1601" s="6"/>
      <c r="B1601" s="7"/>
      <c r="C1601" s="6"/>
      <c r="D1601" s="3"/>
      <c r="E1601" s="3"/>
    </row>
    <row r="1602" s="2" customFormat="1" ht="15.75" spans="1:5">
      <c r="A1602" s="6"/>
      <c r="B1602" s="7"/>
      <c r="C1602" s="6"/>
      <c r="D1602" s="3"/>
      <c r="E1602" s="3"/>
    </row>
    <row r="1603" s="2" customFormat="1" ht="15.75" spans="1:5">
      <c r="A1603" s="6"/>
      <c r="B1603" s="7"/>
      <c r="C1603" s="6"/>
      <c r="D1603" s="3"/>
      <c r="E1603" s="3"/>
    </row>
    <row r="1604" s="2" customFormat="1" ht="15.75" spans="1:5">
      <c r="A1604" s="6"/>
      <c r="B1604" s="7"/>
      <c r="C1604" s="6"/>
      <c r="D1604" s="3"/>
      <c r="E1604" s="3"/>
    </row>
    <row r="1605" s="2" customFormat="1" ht="15.75" spans="1:5">
      <c r="A1605" s="6"/>
      <c r="B1605" s="7"/>
      <c r="C1605" s="6"/>
      <c r="D1605" s="3"/>
      <c r="E1605" s="3"/>
    </row>
    <row r="1606" s="2" customFormat="1" ht="15.75" spans="1:5">
      <c r="A1606" s="6"/>
      <c r="B1606" s="7"/>
      <c r="C1606" s="6"/>
      <c r="D1606" s="3"/>
      <c r="E1606" s="3"/>
    </row>
    <row r="1607" s="2" customFormat="1" ht="15.75" spans="1:5">
      <c r="A1607" s="6"/>
      <c r="B1607" s="7"/>
      <c r="C1607" s="6"/>
      <c r="D1607" s="3"/>
      <c r="E1607" s="3"/>
    </row>
    <row r="1608" s="2" customFormat="1" ht="15.75" spans="1:5">
      <c r="A1608" s="6"/>
      <c r="B1608" s="7"/>
      <c r="C1608" s="6"/>
      <c r="D1608" s="3"/>
      <c r="E1608" s="3"/>
    </row>
    <row r="1609" s="2" customFormat="1" ht="15.75" spans="1:5">
      <c r="A1609" s="6"/>
      <c r="B1609" s="7"/>
      <c r="C1609" s="6"/>
      <c r="D1609" s="3"/>
      <c r="E1609" s="3"/>
    </row>
    <row r="1610" s="2" customFormat="1" ht="15.75" spans="1:5">
      <c r="A1610" s="6"/>
      <c r="B1610" s="7"/>
      <c r="C1610" s="6"/>
      <c r="D1610" s="3"/>
      <c r="E1610" s="3"/>
    </row>
    <row r="1611" s="2" customFormat="1" ht="15.75" spans="1:5">
      <c r="A1611" s="6"/>
      <c r="B1611" s="7"/>
      <c r="C1611" s="6"/>
      <c r="D1611" s="3"/>
      <c r="E1611" s="3"/>
    </row>
    <row r="1612" s="2" customFormat="1" ht="15.75" spans="1:5">
      <c r="A1612" s="6"/>
      <c r="B1612" s="7"/>
      <c r="C1612" s="6"/>
      <c r="D1612" s="3"/>
      <c r="E1612" s="3"/>
    </row>
    <row r="1613" s="2" customFormat="1" ht="15.75" spans="1:5">
      <c r="A1613" s="6"/>
      <c r="B1613" s="7"/>
      <c r="C1613" s="6"/>
      <c r="D1613" s="3"/>
      <c r="E1613" s="3"/>
    </row>
    <row r="1614" s="2" customFormat="1" ht="15.75" spans="1:5">
      <c r="A1614" s="6"/>
      <c r="B1614" s="7"/>
      <c r="C1614" s="6"/>
      <c r="D1614" s="3"/>
      <c r="E1614" s="3"/>
    </row>
    <row r="1615" s="2" customFormat="1" ht="15.75" spans="1:5">
      <c r="A1615" s="6"/>
      <c r="B1615" s="7"/>
      <c r="C1615" s="6"/>
      <c r="D1615" s="3"/>
      <c r="E1615" s="3"/>
    </row>
    <row r="1616" s="2" customFormat="1" ht="15.75" spans="1:5">
      <c r="A1616" s="6"/>
      <c r="B1616" s="7"/>
      <c r="C1616" s="6"/>
      <c r="D1616" s="3"/>
      <c r="E1616" s="3"/>
    </row>
    <row r="1617" s="2" customFormat="1" ht="15.75" spans="1:5">
      <c r="A1617" s="6"/>
      <c r="B1617" s="7"/>
      <c r="C1617" s="6"/>
      <c r="D1617" s="3"/>
      <c r="E1617" s="3"/>
    </row>
    <row r="1618" s="2" customFormat="1" ht="15.75" spans="1:5">
      <c r="A1618" s="6"/>
      <c r="B1618" s="7"/>
      <c r="C1618" s="6"/>
      <c r="D1618" s="3"/>
      <c r="E1618" s="3"/>
    </row>
    <row r="1619" s="2" customFormat="1" ht="15.75" spans="1:5">
      <c r="A1619" s="6"/>
      <c r="B1619" s="7"/>
      <c r="C1619" s="6"/>
      <c r="D1619" s="3"/>
      <c r="E1619" s="3"/>
    </row>
    <row r="1620" s="2" customFormat="1" ht="15.75" spans="1:5">
      <c r="A1620" s="6"/>
      <c r="B1620" s="7"/>
      <c r="C1620" s="6"/>
      <c r="D1620" s="3"/>
      <c r="E1620" s="3"/>
    </row>
    <row r="1621" s="2" customFormat="1" ht="15.75" spans="1:5">
      <c r="A1621" s="6"/>
      <c r="B1621" s="7"/>
      <c r="C1621" s="6"/>
      <c r="D1621" s="3"/>
      <c r="E1621" s="3"/>
    </row>
    <row r="1622" s="2" customFormat="1" ht="15.75" spans="1:5">
      <c r="A1622" s="6"/>
      <c r="B1622" s="7"/>
      <c r="C1622" s="6"/>
      <c r="D1622" s="3"/>
      <c r="E1622" s="3"/>
    </row>
    <row r="1623" s="2" customFormat="1" ht="15.75" spans="1:5">
      <c r="A1623" s="6"/>
      <c r="B1623" s="7"/>
      <c r="C1623" s="6"/>
      <c r="D1623" s="3"/>
      <c r="E1623" s="3"/>
    </row>
    <row r="1624" s="2" customFormat="1" ht="15.75" spans="1:5">
      <c r="A1624" s="6"/>
      <c r="B1624" s="7"/>
      <c r="C1624" s="6"/>
      <c r="D1624" s="3"/>
      <c r="E1624" s="3"/>
    </row>
    <row r="1625" s="2" customFormat="1" ht="15.75" spans="1:5">
      <c r="A1625" s="6"/>
      <c r="B1625" s="7"/>
      <c r="C1625" s="6"/>
      <c r="D1625" s="3"/>
      <c r="E1625" s="3"/>
    </row>
    <row r="1626" s="2" customFormat="1" ht="15.75" spans="1:5">
      <c r="A1626" s="6"/>
      <c r="B1626" s="7"/>
      <c r="C1626" s="6"/>
      <c r="D1626" s="3"/>
      <c r="E1626" s="3"/>
    </row>
    <row r="1627" s="2" customFormat="1" ht="15.75" spans="1:5">
      <c r="A1627" s="6"/>
      <c r="B1627" s="7"/>
      <c r="C1627" s="6"/>
      <c r="D1627" s="3"/>
      <c r="E1627" s="3"/>
    </row>
    <row r="1628" s="2" customFormat="1" ht="15.75" spans="1:5">
      <c r="A1628" s="6"/>
      <c r="B1628" s="7"/>
      <c r="C1628" s="6"/>
      <c r="D1628" s="3"/>
      <c r="E1628" s="3"/>
    </row>
    <row r="1629" s="2" customFormat="1" ht="15.75" spans="1:5">
      <c r="A1629" s="6"/>
      <c r="B1629" s="7"/>
      <c r="C1629" s="6"/>
      <c r="D1629" s="3"/>
      <c r="E1629" s="3"/>
    </row>
    <row r="1630" s="2" customFormat="1" ht="15.75" spans="1:5">
      <c r="A1630" s="6"/>
      <c r="B1630" s="7"/>
      <c r="C1630" s="6"/>
      <c r="D1630" s="3"/>
      <c r="E1630" s="3"/>
    </row>
    <row r="1631" s="2" customFormat="1" ht="15.75" spans="1:5">
      <c r="A1631" s="6"/>
      <c r="B1631" s="7"/>
      <c r="C1631" s="6"/>
      <c r="D1631" s="3"/>
      <c r="E1631" s="3"/>
    </row>
    <row r="1632" s="2" customFormat="1" ht="15.75" spans="1:5">
      <c r="A1632" s="6"/>
      <c r="B1632" s="7"/>
      <c r="C1632" s="6"/>
      <c r="D1632" s="3"/>
      <c r="E1632" s="3"/>
    </row>
    <row r="1633" s="2" customFormat="1" ht="15.75" spans="1:5">
      <c r="A1633" s="6"/>
      <c r="B1633" s="7"/>
      <c r="C1633" s="6"/>
      <c r="D1633" s="3"/>
      <c r="E1633" s="3"/>
    </row>
    <row r="1634" s="2" customFormat="1" ht="15.75" spans="1:5">
      <c r="A1634" s="6"/>
      <c r="B1634" s="7"/>
      <c r="C1634" s="6"/>
      <c r="D1634" s="3"/>
      <c r="E1634" s="3"/>
    </row>
    <row r="1635" s="2" customFormat="1" ht="15.75" spans="1:5">
      <c r="A1635" s="6"/>
      <c r="B1635" s="7"/>
      <c r="C1635" s="6"/>
      <c r="D1635" s="3"/>
      <c r="E1635" s="3"/>
    </row>
    <row r="1636" s="2" customFormat="1" ht="15.75" spans="1:5">
      <c r="A1636" s="6"/>
      <c r="B1636" s="7"/>
      <c r="C1636" s="6"/>
      <c r="D1636" s="3"/>
      <c r="E1636" s="3"/>
    </row>
    <row r="1637" s="2" customFormat="1" ht="15.75" spans="1:5">
      <c r="A1637" s="6"/>
      <c r="B1637" s="7"/>
      <c r="C1637" s="6"/>
      <c r="D1637" s="3"/>
      <c r="E1637" s="3"/>
    </row>
    <row r="1638" s="2" customFormat="1" ht="15.75" spans="1:5">
      <c r="A1638" s="6"/>
      <c r="B1638" s="7"/>
      <c r="C1638" s="6"/>
      <c r="D1638" s="3"/>
      <c r="E1638" s="3"/>
    </row>
    <row r="1639" s="2" customFormat="1" ht="15.75" spans="1:5">
      <c r="A1639" s="6"/>
      <c r="B1639" s="7"/>
      <c r="C1639" s="6"/>
      <c r="D1639" s="3"/>
      <c r="E1639" s="3"/>
    </row>
    <row r="1640" s="2" customFormat="1" ht="15.75" spans="1:5">
      <c r="A1640" s="6"/>
      <c r="B1640" s="7"/>
      <c r="C1640" s="6"/>
      <c r="D1640" s="3"/>
      <c r="E1640" s="3"/>
    </row>
    <row r="1641" s="2" customFormat="1" ht="15.75" spans="1:5">
      <c r="A1641" s="6"/>
      <c r="B1641" s="7"/>
      <c r="C1641" s="6"/>
      <c r="D1641" s="3"/>
      <c r="E1641" s="3"/>
    </row>
    <row r="1642" s="2" customFormat="1" ht="15.75" spans="1:5">
      <c r="A1642" s="6"/>
      <c r="B1642" s="7"/>
      <c r="C1642" s="6"/>
      <c r="D1642" s="3"/>
      <c r="E1642" s="3"/>
    </row>
    <row r="1643" s="2" customFormat="1" ht="15.75" spans="1:5">
      <c r="A1643" s="6"/>
      <c r="B1643" s="7"/>
      <c r="C1643" s="6"/>
      <c r="D1643" s="3"/>
      <c r="E1643" s="3"/>
    </row>
    <row r="1644" s="2" customFormat="1" ht="15.75" spans="1:5">
      <c r="A1644" s="6"/>
      <c r="B1644" s="7"/>
      <c r="C1644" s="6"/>
      <c r="D1644" s="3"/>
      <c r="E1644" s="3"/>
    </row>
    <row r="1645" s="2" customFormat="1" ht="15.75" spans="1:5">
      <c r="A1645" s="6"/>
      <c r="B1645" s="7"/>
      <c r="C1645" s="6"/>
      <c r="D1645" s="3"/>
      <c r="E1645" s="3"/>
    </row>
    <row r="1646" s="2" customFormat="1" ht="15.75" spans="1:5">
      <c r="A1646" s="6"/>
      <c r="B1646" s="7"/>
      <c r="C1646" s="6"/>
      <c r="D1646" s="3"/>
      <c r="E1646" s="3"/>
    </row>
    <row r="1647" s="2" customFormat="1" ht="15.75" spans="1:5">
      <c r="A1647" s="6"/>
      <c r="B1647" s="7"/>
      <c r="C1647" s="6"/>
      <c r="D1647" s="3"/>
      <c r="E1647" s="3"/>
    </row>
    <row r="1648" s="2" customFormat="1" ht="15.75" spans="1:5">
      <c r="A1648" s="6"/>
      <c r="B1648" s="7"/>
      <c r="C1648" s="6"/>
      <c r="D1648" s="3"/>
      <c r="E1648" s="3"/>
    </row>
    <row r="1649" s="2" customFormat="1" ht="15.75" spans="1:5">
      <c r="A1649" s="6"/>
      <c r="B1649" s="7"/>
      <c r="C1649" s="6"/>
      <c r="D1649" s="3"/>
      <c r="E1649" s="3"/>
    </row>
    <row r="1650" s="2" customFormat="1" ht="15.75" spans="1:5">
      <c r="A1650" s="6"/>
      <c r="B1650" s="7"/>
      <c r="C1650" s="6"/>
      <c r="D1650" s="3"/>
      <c r="E1650" s="3"/>
    </row>
    <row r="1651" s="2" customFormat="1" ht="15.75" spans="1:5">
      <c r="A1651" s="6"/>
      <c r="B1651" s="7"/>
      <c r="C1651" s="6"/>
      <c r="D1651" s="3"/>
      <c r="E1651" s="3"/>
    </row>
    <row r="1652" s="2" customFormat="1" ht="15.75" spans="1:5">
      <c r="A1652" s="6"/>
      <c r="B1652" s="7"/>
      <c r="C1652" s="6"/>
      <c r="D1652" s="3"/>
      <c r="E1652" s="3"/>
    </row>
    <row r="1653" s="2" customFormat="1" ht="15.75" spans="1:5">
      <c r="A1653" s="6"/>
      <c r="B1653" s="7"/>
      <c r="C1653" s="6"/>
      <c r="D1653" s="3"/>
      <c r="E1653" s="3"/>
    </row>
    <row r="1654" s="2" customFormat="1" ht="15.75" spans="1:5">
      <c r="A1654" s="6"/>
      <c r="B1654" s="7"/>
      <c r="C1654" s="6"/>
      <c r="D1654" s="3"/>
      <c r="E1654" s="3"/>
    </row>
    <row r="1655" s="2" customFormat="1" ht="15.75" spans="1:5">
      <c r="A1655" s="6"/>
      <c r="B1655" s="7"/>
      <c r="C1655" s="6"/>
      <c r="D1655" s="3"/>
      <c r="E1655" s="3"/>
    </row>
    <row r="1656" s="2" customFormat="1" ht="15.75" spans="1:5">
      <c r="A1656" s="6"/>
      <c r="B1656" s="7"/>
      <c r="C1656" s="6"/>
      <c r="D1656" s="3"/>
      <c r="E1656" s="3"/>
    </row>
    <row r="1657" s="2" customFormat="1" ht="15.75" spans="1:5">
      <c r="A1657" s="6"/>
      <c r="B1657" s="7"/>
      <c r="C1657" s="6"/>
      <c r="D1657" s="3"/>
      <c r="E1657" s="3"/>
    </row>
    <row r="1658" s="2" customFormat="1" ht="15.75" spans="1:5">
      <c r="A1658" s="6"/>
      <c r="B1658" s="7"/>
      <c r="C1658" s="6"/>
      <c r="D1658" s="3"/>
      <c r="E1658" s="3"/>
    </row>
    <row r="1659" s="2" customFormat="1" ht="15.75" spans="1:5">
      <c r="A1659" s="6"/>
      <c r="B1659" s="7"/>
      <c r="C1659" s="6"/>
      <c r="D1659" s="3"/>
      <c r="E1659" s="3"/>
    </row>
    <row r="1660" s="2" customFormat="1" ht="15.75" spans="1:5">
      <c r="A1660" s="6"/>
      <c r="B1660" s="7"/>
      <c r="C1660" s="6"/>
      <c r="D1660" s="3"/>
      <c r="E1660" s="3"/>
    </row>
    <row r="1661" s="2" customFormat="1" ht="15.75" spans="1:5">
      <c r="A1661" s="6"/>
      <c r="B1661" s="7"/>
      <c r="C1661" s="6"/>
      <c r="D1661" s="3"/>
      <c r="E1661" s="3"/>
    </row>
    <row r="1662" s="2" customFormat="1" ht="15.75" spans="1:5">
      <c r="A1662" s="6"/>
      <c r="B1662" s="7"/>
      <c r="C1662" s="6"/>
      <c r="D1662" s="3"/>
      <c r="E1662" s="3"/>
    </row>
    <row r="1663" s="2" customFormat="1" ht="15.75" spans="1:5">
      <c r="A1663" s="6"/>
      <c r="B1663" s="7"/>
      <c r="C1663" s="6"/>
      <c r="D1663" s="3"/>
      <c r="E1663" s="3"/>
    </row>
    <row r="1664" s="2" customFormat="1" ht="15.75" spans="1:5">
      <c r="A1664" s="6"/>
      <c r="B1664" s="7"/>
      <c r="C1664" s="6"/>
      <c r="D1664" s="3"/>
      <c r="E1664" s="3"/>
    </row>
    <row r="1665" s="2" customFormat="1" ht="15.75" spans="1:5">
      <c r="A1665" s="6"/>
      <c r="B1665" s="7"/>
      <c r="C1665" s="6"/>
      <c r="D1665" s="3"/>
      <c r="E1665" s="3"/>
    </row>
    <row r="1666" s="2" customFormat="1" ht="15.75" spans="1:5">
      <c r="A1666" s="6"/>
      <c r="B1666" s="7"/>
      <c r="C1666" s="6"/>
      <c r="D1666" s="3"/>
      <c r="E1666" s="3"/>
    </row>
    <row r="1667" s="2" customFormat="1" ht="15.75" spans="1:5">
      <c r="A1667" s="6"/>
      <c r="B1667" s="7"/>
      <c r="C1667" s="6"/>
      <c r="D1667" s="3"/>
      <c r="E1667" s="3"/>
    </row>
    <row r="1668" s="2" customFormat="1" ht="15.75" spans="1:5">
      <c r="A1668" s="6"/>
      <c r="B1668" s="7"/>
      <c r="C1668" s="6"/>
      <c r="D1668" s="3"/>
      <c r="E1668" s="3"/>
    </row>
    <row r="1669" s="2" customFormat="1" ht="15.75" spans="1:5">
      <c r="A1669" s="6"/>
      <c r="B1669" s="7"/>
      <c r="C1669" s="6"/>
      <c r="D1669" s="3"/>
      <c r="E1669" s="3"/>
    </row>
    <row r="1670" s="2" customFormat="1" ht="15.75" spans="1:5">
      <c r="A1670" s="6"/>
      <c r="B1670" s="7"/>
      <c r="C1670" s="6"/>
      <c r="D1670" s="3"/>
      <c r="E1670" s="3"/>
    </row>
    <row r="1671" s="2" customFormat="1" ht="15.75" spans="1:5">
      <c r="A1671" s="6"/>
      <c r="B1671" s="7"/>
      <c r="C1671" s="6"/>
      <c r="D1671" s="3"/>
      <c r="E1671" s="3"/>
    </row>
    <row r="1672" s="2" customFormat="1" ht="15.75" spans="1:5">
      <c r="A1672" s="6"/>
      <c r="B1672" s="7"/>
      <c r="C1672" s="6"/>
      <c r="D1672" s="3"/>
      <c r="E1672" s="3"/>
    </row>
    <row r="1673" s="2" customFormat="1" ht="15.75" spans="1:5">
      <c r="A1673" s="6"/>
      <c r="B1673" s="7"/>
      <c r="C1673" s="6"/>
      <c r="D1673" s="3"/>
      <c r="E1673" s="3"/>
    </row>
    <row r="1674" s="2" customFormat="1" ht="15.75" spans="1:5">
      <c r="A1674" s="6"/>
      <c r="B1674" s="7"/>
      <c r="C1674" s="6"/>
      <c r="D1674" s="3"/>
      <c r="E1674" s="3"/>
    </row>
    <row r="1675" s="2" customFormat="1" ht="15.75" spans="1:5">
      <c r="A1675" s="6"/>
      <c r="B1675" s="7"/>
      <c r="C1675" s="6"/>
      <c r="D1675" s="3"/>
      <c r="E1675" s="3"/>
    </row>
    <row r="1676" s="2" customFormat="1" ht="15.75" spans="1:5">
      <c r="A1676" s="6"/>
      <c r="B1676" s="7"/>
      <c r="C1676" s="6"/>
      <c r="D1676" s="3"/>
      <c r="E1676" s="3"/>
    </row>
    <row r="1677" s="2" customFormat="1" ht="15.75" spans="1:5">
      <c r="A1677" s="6"/>
      <c r="B1677" s="7"/>
      <c r="C1677" s="6"/>
      <c r="D1677" s="3"/>
      <c r="E1677" s="3"/>
    </row>
    <row r="1678" s="2" customFormat="1" ht="15.75" spans="1:5">
      <c r="A1678" s="6"/>
      <c r="B1678" s="7"/>
      <c r="C1678" s="6"/>
      <c r="D1678" s="3"/>
      <c r="E1678" s="3"/>
    </row>
    <row r="1679" s="2" customFormat="1" ht="15.75" spans="1:5">
      <c r="A1679" s="6"/>
      <c r="B1679" s="7"/>
      <c r="C1679" s="6"/>
      <c r="D1679" s="3"/>
      <c r="E1679" s="3"/>
    </row>
    <row r="1680" s="2" customFormat="1" ht="15.75" spans="1:5">
      <c r="A1680" s="6"/>
      <c r="B1680" s="7"/>
      <c r="C1680" s="6"/>
      <c r="D1680" s="3"/>
      <c r="E1680" s="3"/>
    </row>
    <row r="1681" s="2" customFormat="1" ht="15.75" spans="1:5">
      <c r="A1681" s="6"/>
      <c r="B1681" s="7"/>
      <c r="C1681" s="6"/>
      <c r="D1681" s="3"/>
      <c r="E1681" s="3"/>
    </row>
    <row r="1682" s="2" customFormat="1" ht="15.75" spans="1:5">
      <c r="A1682" s="6"/>
      <c r="B1682" s="7"/>
      <c r="C1682" s="6"/>
      <c r="D1682" s="3"/>
      <c r="E1682" s="3"/>
    </row>
    <row r="1683" s="2" customFormat="1" ht="15.75" spans="1:5">
      <c r="A1683" s="6"/>
      <c r="B1683" s="7"/>
      <c r="C1683" s="6"/>
      <c r="D1683" s="3"/>
      <c r="E1683" s="3"/>
    </row>
    <row r="1684" s="2" customFormat="1" ht="15.75" spans="1:5">
      <c r="A1684" s="6"/>
      <c r="B1684" s="7"/>
      <c r="C1684" s="6"/>
      <c r="D1684" s="3"/>
      <c r="E1684" s="3"/>
    </row>
    <row r="1685" s="2" customFormat="1" ht="15.75" spans="1:5">
      <c r="A1685" s="6"/>
      <c r="B1685" s="7"/>
      <c r="C1685" s="6"/>
      <c r="D1685" s="3"/>
      <c r="E1685" s="3"/>
    </row>
    <row r="1686" s="2" customFormat="1" ht="15.75" spans="1:5">
      <c r="A1686" s="6"/>
      <c r="B1686" s="7"/>
      <c r="C1686" s="6"/>
      <c r="D1686" s="3"/>
      <c r="E1686" s="3"/>
    </row>
    <row r="1687" s="2" customFormat="1" ht="15.75" spans="1:5">
      <c r="A1687" s="6"/>
      <c r="B1687" s="7"/>
      <c r="C1687" s="6"/>
      <c r="D1687" s="3"/>
      <c r="E1687" s="3"/>
    </row>
    <row r="1688" s="2" customFormat="1" ht="15.75" spans="1:5">
      <c r="A1688" s="6"/>
      <c r="B1688" s="7"/>
      <c r="C1688" s="6"/>
      <c r="D1688" s="3"/>
      <c r="E1688" s="3"/>
    </row>
    <row r="1689" s="2" customFormat="1" ht="15.75" spans="1:5">
      <c r="A1689" s="6"/>
      <c r="B1689" s="7"/>
      <c r="C1689" s="6"/>
      <c r="D1689" s="3"/>
      <c r="E1689" s="3"/>
    </row>
    <row r="1690" s="2" customFormat="1" ht="15.75" spans="1:5">
      <c r="A1690" s="6"/>
      <c r="B1690" s="7"/>
      <c r="C1690" s="6"/>
      <c r="D1690" s="3"/>
      <c r="E1690" s="3"/>
    </row>
    <row r="1691" s="2" customFormat="1" ht="15.75" spans="1:5">
      <c r="A1691" s="6"/>
      <c r="B1691" s="7"/>
      <c r="C1691" s="6"/>
      <c r="D1691" s="3"/>
      <c r="E1691" s="3"/>
    </row>
    <row r="1692" s="2" customFormat="1" ht="15.75" spans="1:5">
      <c r="A1692" s="6"/>
      <c r="B1692" s="7"/>
      <c r="C1692" s="6"/>
      <c r="D1692" s="3"/>
      <c r="E1692" s="3"/>
    </row>
    <row r="1693" s="2" customFormat="1" ht="15.75" spans="1:5">
      <c r="A1693" s="6"/>
      <c r="B1693" s="7"/>
      <c r="C1693" s="6"/>
      <c r="D1693" s="3"/>
      <c r="E1693" s="3"/>
    </row>
    <row r="1694" s="2" customFormat="1" ht="15.75" spans="1:5">
      <c r="A1694" s="6"/>
      <c r="B1694" s="7"/>
      <c r="C1694" s="6"/>
      <c r="D1694" s="3"/>
      <c r="E1694" s="3"/>
    </row>
    <row r="1695" s="2" customFormat="1" ht="15.75" spans="1:5">
      <c r="A1695" s="6"/>
      <c r="B1695" s="7"/>
      <c r="C1695" s="6"/>
      <c r="D1695" s="3"/>
      <c r="E1695" s="3"/>
    </row>
    <row r="1696" s="2" customFormat="1" ht="15.75" spans="1:5">
      <c r="A1696" s="6"/>
      <c r="B1696" s="7"/>
      <c r="C1696" s="6"/>
      <c r="D1696" s="3"/>
      <c r="E1696" s="3"/>
    </row>
    <row r="1697" s="2" customFormat="1" ht="15.75" spans="1:5">
      <c r="A1697" s="6"/>
      <c r="B1697" s="7"/>
      <c r="C1697" s="6"/>
      <c r="D1697" s="3"/>
      <c r="E1697" s="3"/>
    </row>
    <row r="1698" s="2" customFormat="1" ht="15.75" spans="1:5">
      <c r="A1698" s="6"/>
      <c r="B1698" s="7"/>
      <c r="C1698" s="6"/>
      <c r="D1698" s="3"/>
      <c r="E1698" s="3"/>
    </row>
    <row r="1699" s="2" customFormat="1" ht="15.75" spans="1:5">
      <c r="A1699" s="6"/>
      <c r="B1699" s="7"/>
      <c r="C1699" s="6"/>
      <c r="D1699" s="3"/>
      <c r="E1699" s="3"/>
    </row>
    <row r="1700" s="2" customFormat="1" ht="15.75" spans="1:5">
      <c r="A1700" s="6"/>
      <c r="B1700" s="7"/>
      <c r="C1700" s="6"/>
      <c r="D1700" s="3"/>
      <c r="E1700" s="3"/>
    </row>
    <row r="1701" s="2" customFormat="1" ht="15.75" spans="1:5">
      <c r="A1701" s="6"/>
      <c r="B1701" s="7"/>
      <c r="C1701" s="6"/>
      <c r="D1701" s="3"/>
      <c r="E1701" s="3"/>
    </row>
    <row r="1702" s="2" customFormat="1" ht="15.75" spans="1:5">
      <c r="A1702" s="6"/>
      <c r="B1702" s="7"/>
      <c r="C1702" s="6"/>
      <c r="D1702" s="3"/>
      <c r="E1702" s="3"/>
    </row>
    <row r="1703" s="2" customFormat="1" ht="15.75" spans="1:5">
      <c r="A1703" s="6"/>
      <c r="B1703" s="7"/>
      <c r="C1703" s="6"/>
      <c r="D1703" s="3"/>
      <c r="E1703" s="3"/>
    </row>
    <row r="1704" s="2" customFormat="1" ht="15.75" spans="1:5">
      <c r="A1704" s="6"/>
      <c r="B1704" s="7"/>
      <c r="C1704" s="6"/>
      <c r="D1704" s="3"/>
      <c r="E1704" s="3"/>
    </row>
    <row r="1705" s="2" customFormat="1" ht="15.75" spans="1:5">
      <c r="A1705" s="6"/>
      <c r="B1705" s="7"/>
      <c r="C1705" s="6"/>
      <c r="D1705" s="3"/>
      <c r="E1705" s="3"/>
    </row>
    <row r="1706" s="2" customFormat="1" ht="15.75" spans="1:5">
      <c r="A1706" s="6"/>
      <c r="B1706" s="7"/>
      <c r="C1706" s="6"/>
      <c r="D1706" s="3"/>
      <c r="E1706" s="3"/>
    </row>
    <row r="1707" s="2" customFormat="1" ht="15.75" spans="1:5">
      <c r="A1707" s="6"/>
      <c r="B1707" s="7"/>
      <c r="C1707" s="6"/>
      <c r="D1707" s="3"/>
      <c r="E1707" s="3"/>
    </row>
    <row r="1708" s="2" customFormat="1" ht="15.75" spans="1:5">
      <c r="A1708" s="6"/>
      <c r="B1708" s="7"/>
      <c r="C1708" s="6"/>
      <c r="D1708" s="3"/>
      <c r="E1708" s="3"/>
    </row>
    <row r="1709" s="2" customFormat="1" ht="15.75" spans="1:5">
      <c r="A1709" s="6"/>
      <c r="B1709" s="7"/>
      <c r="C1709" s="6"/>
      <c r="D1709" s="3"/>
      <c r="E1709" s="3"/>
    </row>
    <row r="1710" s="2" customFormat="1" ht="15.75" spans="1:5">
      <c r="A1710" s="6"/>
      <c r="B1710" s="7"/>
      <c r="C1710" s="6"/>
      <c r="D1710" s="3"/>
      <c r="E1710" s="3"/>
    </row>
    <row r="1711" s="2" customFormat="1" ht="15.75" spans="1:5">
      <c r="A1711" s="6"/>
      <c r="B1711" s="7"/>
      <c r="C1711" s="6"/>
      <c r="D1711" s="3"/>
      <c r="E1711" s="3"/>
    </row>
    <row r="1712" s="2" customFormat="1" ht="15.75" spans="1:5">
      <c r="A1712" s="6"/>
      <c r="B1712" s="7"/>
      <c r="C1712" s="6"/>
      <c r="D1712" s="3"/>
      <c r="E1712" s="3"/>
    </row>
    <row r="1713" s="2" customFormat="1" ht="15.75" spans="1:5">
      <c r="A1713" s="6"/>
      <c r="B1713" s="7"/>
      <c r="C1713" s="6"/>
      <c r="D1713" s="3"/>
      <c r="E1713" s="3"/>
    </row>
    <row r="1714" s="2" customFormat="1" ht="15.75" spans="1:5">
      <c r="A1714" s="6"/>
      <c r="B1714" s="7"/>
      <c r="C1714" s="6"/>
      <c r="D1714" s="3"/>
      <c r="E1714" s="3"/>
    </row>
    <row r="1715" s="2" customFormat="1" ht="15.75" spans="1:5">
      <c r="A1715" s="6"/>
      <c r="B1715" s="7"/>
      <c r="C1715" s="6"/>
      <c r="D1715" s="3"/>
      <c r="E1715" s="3"/>
    </row>
    <row r="1716" s="2" customFormat="1" ht="15.75" spans="1:5">
      <c r="A1716" s="6"/>
      <c r="B1716" s="7"/>
      <c r="C1716" s="6"/>
      <c r="D1716" s="3"/>
      <c r="E1716" s="3"/>
    </row>
    <row r="1717" s="2" customFormat="1" ht="15.75" spans="1:5">
      <c r="A1717" s="6"/>
      <c r="B1717" s="7"/>
      <c r="C1717" s="6"/>
      <c r="D1717" s="3"/>
      <c r="E1717" s="3"/>
    </row>
    <row r="1718" s="2" customFormat="1" ht="15.75" spans="1:5">
      <c r="A1718" s="6"/>
      <c r="B1718" s="7"/>
      <c r="C1718" s="6"/>
      <c r="D1718" s="3"/>
      <c r="E1718" s="3"/>
    </row>
    <row r="1719" s="2" customFormat="1" ht="15.75" spans="1:5">
      <c r="A1719" s="6"/>
      <c r="B1719" s="7"/>
      <c r="C1719" s="6"/>
      <c r="D1719" s="3"/>
      <c r="E1719" s="3"/>
    </row>
    <row r="1720" s="2" customFormat="1" ht="15.75" spans="1:5">
      <c r="A1720" s="6"/>
      <c r="B1720" s="7"/>
      <c r="C1720" s="6"/>
      <c r="D1720" s="3"/>
      <c r="E1720" s="3"/>
    </row>
    <row r="1721" s="2" customFormat="1" ht="15.75" spans="1:5">
      <c r="A1721" s="6"/>
      <c r="B1721" s="7"/>
      <c r="C1721" s="6"/>
      <c r="D1721" s="3"/>
      <c r="E1721" s="3"/>
    </row>
    <row r="1722" s="2" customFormat="1" ht="15.75" spans="1:5">
      <c r="A1722" s="6"/>
      <c r="B1722" s="7"/>
      <c r="C1722" s="6"/>
      <c r="D1722" s="3"/>
      <c r="E1722" s="3"/>
    </row>
    <row r="1723" s="2" customFormat="1" ht="15.75" spans="1:5">
      <c r="A1723" s="6"/>
      <c r="B1723" s="7"/>
      <c r="C1723" s="6"/>
      <c r="D1723" s="3"/>
      <c r="E1723" s="3"/>
    </row>
    <row r="1724" s="2" customFormat="1" ht="15.75" spans="1:5">
      <c r="A1724" s="6"/>
      <c r="B1724" s="7"/>
      <c r="C1724" s="6"/>
      <c r="D1724" s="3"/>
      <c r="E1724" s="3"/>
    </row>
    <row r="1725" s="2" customFormat="1" ht="15.75" spans="1:5">
      <c r="A1725" s="6"/>
      <c r="B1725" s="7"/>
      <c r="C1725" s="6"/>
      <c r="D1725" s="3"/>
      <c r="E1725" s="3"/>
    </row>
    <row r="1726" s="2" customFormat="1" ht="15.75" spans="1:5">
      <c r="A1726" s="6"/>
      <c r="B1726" s="7"/>
      <c r="C1726" s="6"/>
      <c r="D1726" s="3"/>
      <c r="E1726" s="3"/>
    </row>
    <row r="1727" s="2" customFormat="1" ht="15.75" spans="1:5">
      <c r="A1727" s="6"/>
      <c r="B1727" s="7"/>
      <c r="C1727" s="6"/>
      <c r="D1727" s="3"/>
      <c r="E1727" s="3"/>
    </row>
    <row r="1728" s="2" customFormat="1" ht="15.75" spans="1:5">
      <c r="A1728" s="6"/>
      <c r="B1728" s="7"/>
      <c r="C1728" s="6"/>
      <c r="D1728" s="3"/>
      <c r="E1728" s="3"/>
    </row>
    <row r="1729" s="2" customFormat="1" ht="15.75" spans="1:5">
      <c r="A1729" s="6"/>
      <c r="B1729" s="7"/>
      <c r="C1729" s="6"/>
      <c r="D1729" s="3"/>
      <c r="E1729" s="3"/>
    </row>
    <row r="1730" s="2" customFormat="1" ht="15.75" spans="1:5">
      <c r="A1730" s="6"/>
      <c r="B1730" s="7"/>
      <c r="C1730" s="6"/>
      <c r="D1730" s="3"/>
      <c r="E1730" s="3"/>
    </row>
    <row r="1731" s="2" customFormat="1" ht="15.75" spans="1:5">
      <c r="A1731" s="6"/>
      <c r="B1731" s="7"/>
      <c r="C1731" s="6"/>
      <c r="D1731" s="3"/>
      <c r="E1731" s="3"/>
    </row>
    <row r="1732" s="2" customFormat="1" ht="15.75" spans="1:5">
      <c r="A1732" s="6"/>
      <c r="B1732" s="7"/>
      <c r="C1732" s="6"/>
      <c r="D1732" s="3"/>
      <c r="E1732" s="3"/>
    </row>
    <row r="1733" s="2" customFormat="1" ht="15.75" spans="1:5">
      <c r="A1733" s="6"/>
      <c r="B1733" s="7"/>
      <c r="C1733" s="6"/>
      <c r="D1733" s="3"/>
      <c r="E1733" s="3"/>
    </row>
    <row r="1734" s="2" customFormat="1" ht="15.75" spans="1:5">
      <c r="A1734" s="6"/>
      <c r="B1734" s="7"/>
      <c r="C1734" s="6"/>
      <c r="D1734" s="3"/>
      <c r="E1734" s="3"/>
    </row>
    <row r="1735" s="2" customFormat="1" ht="15.75" spans="1:5">
      <c r="A1735" s="6"/>
      <c r="B1735" s="7"/>
      <c r="C1735" s="6"/>
      <c r="D1735" s="3"/>
      <c r="E1735" s="3"/>
    </row>
    <row r="1736" s="2" customFormat="1" ht="15.75" spans="1:5">
      <c r="A1736" s="6"/>
      <c r="B1736" s="7"/>
      <c r="C1736" s="6"/>
      <c r="D1736" s="3"/>
      <c r="E1736" s="3"/>
    </row>
    <row r="1737" s="2" customFormat="1" ht="15.75" spans="1:5">
      <c r="A1737" s="6"/>
      <c r="B1737" s="7"/>
      <c r="C1737" s="6"/>
      <c r="D1737" s="3"/>
      <c r="E1737" s="3"/>
    </row>
    <row r="1738" s="2" customFormat="1" ht="15.75" spans="1:5">
      <c r="A1738" s="6"/>
      <c r="B1738" s="7"/>
      <c r="C1738" s="6"/>
      <c r="D1738" s="3"/>
      <c r="E1738" s="3"/>
    </row>
    <row r="1739" s="2" customFormat="1" ht="15.75" spans="1:5">
      <c r="A1739" s="6"/>
      <c r="B1739" s="7"/>
      <c r="C1739" s="6"/>
      <c r="D1739" s="3"/>
      <c r="E1739" s="3"/>
    </row>
    <row r="1740" s="2" customFormat="1" ht="15.75" spans="1:5">
      <c r="A1740" s="6"/>
      <c r="B1740" s="7"/>
      <c r="C1740" s="6"/>
      <c r="D1740" s="3"/>
      <c r="E1740" s="3"/>
    </row>
    <row r="1741" s="2" customFormat="1" ht="15.75" spans="1:5">
      <c r="A1741" s="6"/>
      <c r="B1741" s="7"/>
      <c r="C1741" s="6"/>
      <c r="D1741" s="3"/>
      <c r="E1741" s="3"/>
    </row>
    <row r="1742" s="2" customFormat="1" ht="15.75" spans="1:5">
      <c r="A1742" s="6"/>
      <c r="B1742" s="7"/>
      <c r="C1742" s="6"/>
      <c r="D1742" s="3"/>
      <c r="E1742" s="3"/>
    </row>
    <row r="1743" s="2" customFormat="1" ht="15.75" spans="1:5">
      <c r="A1743" s="6"/>
      <c r="B1743" s="7"/>
      <c r="C1743" s="6"/>
      <c r="D1743" s="3"/>
      <c r="E1743" s="3"/>
    </row>
    <row r="1744" s="2" customFormat="1" ht="15.75" spans="1:5">
      <c r="A1744" s="6"/>
      <c r="B1744" s="7"/>
      <c r="C1744" s="6"/>
      <c r="D1744" s="3"/>
      <c r="E1744" s="3"/>
    </row>
    <row r="1745" s="2" customFormat="1" ht="15.75" spans="1:5">
      <c r="A1745" s="6"/>
      <c r="B1745" s="7"/>
      <c r="C1745" s="6"/>
      <c r="D1745" s="3"/>
      <c r="E1745" s="3"/>
    </row>
    <row r="1746" s="2" customFormat="1" ht="15.75" spans="1:5">
      <c r="A1746" s="6"/>
      <c r="B1746" s="7"/>
      <c r="C1746" s="6"/>
      <c r="D1746" s="3"/>
      <c r="E1746" s="3"/>
    </row>
    <row r="1747" s="2" customFormat="1" ht="15.75" spans="1:5">
      <c r="A1747" s="6"/>
      <c r="B1747" s="7"/>
      <c r="C1747" s="6"/>
      <c r="D1747" s="3"/>
      <c r="E1747" s="3"/>
    </row>
    <row r="1748" s="2" customFormat="1" ht="15.75" spans="1:5">
      <c r="A1748" s="6"/>
      <c r="B1748" s="7"/>
      <c r="C1748" s="6"/>
      <c r="D1748" s="3"/>
      <c r="E1748" s="3"/>
    </row>
    <row r="1749" s="2" customFormat="1" ht="15.75" spans="1:5">
      <c r="A1749" s="6"/>
      <c r="B1749" s="7"/>
      <c r="C1749" s="6"/>
      <c r="D1749" s="3"/>
      <c r="E1749" s="3"/>
    </row>
    <row r="1750" s="2" customFormat="1" ht="15.75" spans="1:5">
      <c r="A1750" s="6"/>
      <c r="B1750" s="7"/>
      <c r="C1750" s="6"/>
      <c r="D1750" s="3"/>
      <c r="E1750" s="3"/>
    </row>
    <row r="1751" s="2" customFormat="1" ht="15.75" spans="1:5">
      <c r="A1751" s="6"/>
      <c r="B1751" s="7"/>
      <c r="C1751" s="6"/>
      <c r="D1751" s="3"/>
      <c r="E1751" s="3"/>
    </row>
    <row r="1752" s="2" customFormat="1" ht="15.75" spans="1:5">
      <c r="A1752" s="6"/>
      <c r="B1752" s="7"/>
      <c r="C1752" s="6"/>
      <c r="D1752" s="3"/>
      <c r="E1752" s="3"/>
    </row>
    <row r="1753" s="2" customFormat="1" ht="15.75" spans="1:5">
      <c r="A1753" s="6"/>
      <c r="B1753" s="7"/>
      <c r="C1753" s="6"/>
      <c r="D1753" s="3"/>
      <c r="E1753" s="3"/>
    </row>
    <row r="1754" s="2" customFormat="1" ht="15.75" spans="1:5">
      <c r="A1754" s="6"/>
      <c r="B1754" s="7"/>
      <c r="C1754" s="6"/>
      <c r="D1754" s="3"/>
      <c r="E1754" s="3"/>
    </row>
    <row r="1755" s="2" customFormat="1" ht="15.75" spans="1:5">
      <c r="A1755" s="6"/>
      <c r="B1755" s="7"/>
      <c r="C1755" s="6"/>
      <c r="D1755" s="3"/>
      <c r="E1755" s="3"/>
    </row>
    <row r="1756" s="2" customFormat="1" ht="15.75" spans="1:5">
      <c r="A1756" s="6"/>
      <c r="B1756" s="7"/>
      <c r="C1756" s="6"/>
      <c r="D1756" s="3"/>
      <c r="E1756" s="3"/>
    </row>
    <row r="1757" s="2" customFormat="1" ht="15.75" spans="1:5">
      <c r="A1757" s="6"/>
      <c r="B1757" s="7"/>
      <c r="C1757" s="6"/>
      <c r="D1757" s="3"/>
      <c r="E1757" s="3"/>
    </row>
    <row r="1758" s="2" customFormat="1" ht="15.75" spans="1:5">
      <c r="A1758" s="6"/>
      <c r="B1758" s="7"/>
      <c r="C1758" s="6"/>
      <c r="D1758" s="3"/>
      <c r="E1758" s="3"/>
    </row>
    <row r="1759" s="2" customFormat="1" ht="15.75" spans="1:5">
      <c r="A1759" s="6"/>
      <c r="B1759" s="7"/>
      <c r="C1759" s="6"/>
      <c r="D1759" s="3"/>
      <c r="E1759" s="3"/>
    </row>
    <row r="1760" s="2" customFormat="1" ht="15.75" spans="1:5">
      <c r="A1760" s="6"/>
      <c r="B1760" s="7"/>
      <c r="C1760" s="6"/>
      <c r="D1760" s="3"/>
      <c r="E1760" s="3"/>
    </row>
    <row r="1761" s="2" customFormat="1" ht="15.75" spans="1:5">
      <c r="A1761" s="6"/>
      <c r="B1761" s="7"/>
      <c r="C1761" s="6"/>
      <c r="D1761" s="3"/>
      <c r="E1761" s="3"/>
    </row>
    <row r="1762" s="2" customFormat="1" ht="15.75" spans="1:5">
      <c r="A1762" s="6"/>
      <c r="B1762" s="7"/>
      <c r="C1762" s="6"/>
      <c r="D1762" s="3"/>
      <c r="E1762" s="3"/>
    </row>
    <row r="1763" s="2" customFormat="1" ht="15.75" spans="1:5">
      <c r="A1763" s="6"/>
      <c r="B1763" s="7"/>
      <c r="C1763" s="6"/>
      <c r="D1763" s="3"/>
      <c r="E1763" s="3"/>
    </row>
    <row r="1764" s="2" customFormat="1" ht="15.75" spans="1:5">
      <c r="A1764" s="6"/>
      <c r="B1764" s="7"/>
      <c r="C1764" s="6"/>
      <c r="D1764" s="3"/>
      <c r="E1764" s="3"/>
    </row>
    <row r="1765" s="2" customFormat="1" ht="15.75" spans="1:5">
      <c r="A1765" s="6"/>
      <c r="B1765" s="7"/>
      <c r="C1765" s="6"/>
      <c r="D1765" s="3"/>
      <c r="E1765" s="3"/>
    </row>
    <row r="1766" s="2" customFormat="1" ht="15.75" spans="1:5">
      <c r="A1766" s="6"/>
      <c r="B1766" s="7"/>
      <c r="C1766" s="6"/>
      <c r="D1766" s="3"/>
      <c r="E1766" s="3"/>
    </row>
    <row r="1767" s="2" customFormat="1" ht="15.75" spans="1:5">
      <c r="A1767" s="6"/>
      <c r="B1767" s="7"/>
      <c r="C1767" s="6"/>
      <c r="D1767" s="3"/>
      <c r="E1767" s="3"/>
    </row>
    <row r="1768" s="2" customFormat="1" ht="15.75" spans="1:5">
      <c r="A1768" s="6"/>
      <c r="B1768" s="7"/>
      <c r="C1768" s="6"/>
      <c r="D1768" s="3"/>
      <c r="E1768" s="3"/>
    </row>
    <row r="1769" s="2" customFormat="1" ht="15.75" spans="1:5">
      <c r="A1769" s="6"/>
      <c r="B1769" s="7"/>
      <c r="C1769" s="6"/>
      <c r="D1769" s="3"/>
      <c r="E1769" s="3"/>
    </row>
    <row r="1770" s="2" customFormat="1" ht="15.75" spans="1:5">
      <c r="A1770" s="6"/>
      <c r="B1770" s="7"/>
      <c r="C1770" s="6"/>
      <c r="D1770" s="3"/>
      <c r="E1770" s="3"/>
    </row>
    <row r="1771" s="2" customFormat="1" ht="15.75" spans="1:5">
      <c r="A1771" s="6"/>
      <c r="B1771" s="7"/>
      <c r="C1771" s="6"/>
      <c r="D1771" s="3"/>
      <c r="E1771" s="3"/>
    </row>
    <row r="1772" s="2" customFormat="1" ht="15.75" spans="1:5">
      <c r="A1772" s="6"/>
      <c r="B1772" s="7"/>
      <c r="C1772" s="6"/>
      <c r="D1772" s="3"/>
      <c r="E1772" s="3"/>
    </row>
    <row r="1773" s="2" customFormat="1" ht="15.75" spans="1:5">
      <c r="A1773" s="6"/>
      <c r="B1773" s="7"/>
      <c r="C1773" s="6"/>
      <c r="D1773" s="3"/>
      <c r="E1773" s="3"/>
    </row>
    <row r="1774" s="2" customFormat="1" ht="15.75" spans="1:5">
      <c r="A1774" s="6"/>
      <c r="B1774" s="7"/>
      <c r="C1774" s="6"/>
      <c r="D1774" s="3"/>
      <c r="E1774" s="3"/>
    </row>
    <row r="1775" s="2" customFormat="1" ht="15.75" spans="1:5">
      <c r="A1775" s="6"/>
      <c r="B1775" s="7"/>
      <c r="C1775" s="6"/>
      <c r="D1775" s="3"/>
      <c r="E1775" s="3"/>
    </row>
    <row r="1776" s="2" customFormat="1" ht="15.75" spans="1:5">
      <c r="A1776" s="6"/>
      <c r="B1776" s="7"/>
      <c r="C1776" s="6"/>
      <c r="D1776" s="3"/>
      <c r="E1776" s="3"/>
    </row>
    <row r="1777" s="2" customFormat="1" ht="15.75" spans="1:5">
      <c r="A1777" s="6"/>
      <c r="B1777" s="7"/>
      <c r="C1777" s="6"/>
      <c r="D1777" s="3"/>
      <c r="E1777" s="3"/>
    </row>
    <row r="1778" s="2" customFormat="1" ht="15.75" spans="1:5">
      <c r="A1778" s="6"/>
      <c r="B1778" s="7"/>
      <c r="C1778" s="6"/>
      <c r="D1778" s="3"/>
      <c r="E1778" s="3"/>
    </row>
    <row r="1779" s="2" customFormat="1" ht="15.75" spans="1:5">
      <c r="A1779" s="6"/>
      <c r="B1779" s="7"/>
      <c r="C1779" s="6"/>
      <c r="D1779" s="3"/>
      <c r="E1779" s="3"/>
    </row>
    <row r="1780" s="2" customFormat="1" ht="15.75" spans="1:5">
      <c r="A1780" s="6"/>
      <c r="B1780" s="7"/>
      <c r="C1780" s="6"/>
      <c r="D1780" s="3"/>
      <c r="E1780" s="3"/>
    </row>
    <row r="1781" s="2" customFormat="1" ht="15.75" spans="1:5">
      <c r="A1781" s="6"/>
      <c r="B1781" s="7"/>
      <c r="C1781" s="6"/>
      <c r="D1781" s="3"/>
      <c r="E1781" s="3"/>
    </row>
    <row r="1782" s="2" customFormat="1" ht="15.75" spans="1:5">
      <c r="A1782" s="6"/>
      <c r="B1782" s="7"/>
      <c r="C1782" s="6"/>
      <c r="D1782" s="3"/>
      <c r="E1782" s="3"/>
    </row>
    <row r="1783" s="2" customFormat="1" ht="15.75" spans="1:5">
      <c r="A1783" s="6"/>
      <c r="B1783" s="7"/>
      <c r="C1783" s="6"/>
      <c r="D1783" s="3"/>
      <c r="E1783" s="3"/>
    </row>
    <row r="1784" s="2" customFormat="1" ht="15.75" spans="1:5">
      <c r="A1784" s="6"/>
      <c r="B1784" s="7"/>
      <c r="C1784" s="6"/>
      <c r="D1784" s="3"/>
      <c r="E1784" s="3"/>
    </row>
    <row r="1785" s="2" customFormat="1" ht="15.75" spans="1:5">
      <c r="A1785" s="6"/>
      <c r="B1785" s="7"/>
      <c r="C1785" s="6"/>
      <c r="D1785" s="3"/>
      <c r="E1785" s="3"/>
    </row>
    <row r="1786" s="2" customFormat="1" ht="15.75" spans="1:5">
      <c r="A1786" s="6"/>
      <c r="B1786" s="7"/>
      <c r="C1786" s="6"/>
      <c r="D1786" s="3"/>
      <c r="E1786" s="3"/>
    </row>
    <row r="1787" s="2" customFormat="1" ht="15.75" spans="1:5">
      <c r="A1787" s="6"/>
      <c r="B1787" s="7"/>
      <c r="C1787" s="6"/>
      <c r="D1787" s="3"/>
      <c r="E1787" s="3"/>
    </row>
    <row r="1788" s="2" customFormat="1" ht="15.75" spans="1:5">
      <c r="A1788" s="6"/>
      <c r="B1788" s="7"/>
      <c r="C1788" s="6"/>
      <c r="D1788" s="3"/>
      <c r="E1788" s="3"/>
    </row>
    <row r="1789" s="2" customFormat="1" ht="15.75" spans="1:5">
      <c r="A1789" s="6"/>
      <c r="B1789" s="7"/>
      <c r="C1789" s="6"/>
      <c r="D1789" s="3"/>
      <c r="E1789" s="3"/>
    </row>
    <row r="1790" s="2" customFormat="1" ht="15.75" spans="1:5">
      <c r="A1790" s="6"/>
      <c r="B1790" s="7"/>
      <c r="C1790" s="6"/>
      <c r="D1790" s="3"/>
      <c r="E1790" s="3"/>
    </row>
    <row r="1791" s="2" customFormat="1" ht="15.75" spans="1:5">
      <c r="A1791" s="6"/>
      <c r="B1791" s="7"/>
      <c r="C1791" s="6"/>
      <c r="D1791" s="3"/>
      <c r="E1791" s="3"/>
    </row>
    <row r="1792" s="2" customFormat="1" ht="15.75" spans="1:5">
      <c r="A1792" s="6"/>
      <c r="B1792" s="7"/>
      <c r="C1792" s="6"/>
      <c r="D1792" s="3"/>
      <c r="E1792" s="3"/>
    </row>
    <row r="1793" s="2" customFormat="1" ht="15.75" spans="1:5">
      <c r="A1793" s="6"/>
      <c r="B1793" s="7"/>
      <c r="C1793" s="6"/>
      <c r="D1793" s="3"/>
      <c r="E1793" s="3"/>
    </row>
    <row r="1794" s="2" customFormat="1" ht="15.75" spans="1:5">
      <c r="A1794" s="6"/>
      <c r="B1794" s="7"/>
      <c r="C1794" s="6"/>
      <c r="D1794" s="3"/>
      <c r="E1794" s="3"/>
    </row>
    <row r="1795" s="2" customFormat="1" ht="15.75" spans="1:5">
      <c r="A1795" s="6"/>
      <c r="B1795" s="7"/>
      <c r="C1795" s="6"/>
      <c r="D1795" s="3"/>
      <c r="E1795" s="3"/>
    </row>
    <row r="1796" s="2" customFormat="1" ht="15.75" spans="1:5">
      <c r="A1796" s="6"/>
      <c r="B1796" s="7"/>
      <c r="C1796" s="6"/>
      <c r="D1796" s="3"/>
      <c r="E1796" s="3"/>
    </row>
    <row r="1797" s="2" customFormat="1" ht="15.75" spans="1:5">
      <c r="A1797" s="6"/>
      <c r="B1797" s="7"/>
      <c r="C1797" s="6"/>
      <c r="D1797" s="3"/>
      <c r="E1797" s="3"/>
    </row>
    <row r="1798" s="2" customFormat="1" ht="15.75" spans="1:5">
      <c r="A1798" s="6"/>
      <c r="B1798" s="7"/>
      <c r="C1798" s="6"/>
      <c r="D1798" s="3"/>
      <c r="E1798" s="3"/>
    </row>
    <row r="1799" s="2" customFormat="1" ht="15.75" spans="1:5">
      <c r="A1799" s="6"/>
      <c r="B1799" s="7"/>
      <c r="C1799" s="6"/>
      <c r="D1799" s="3"/>
      <c r="E1799" s="3"/>
    </row>
    <row r="1800" s="2" customFormat="1" ht="15.75" spans="1:5">
      <c r="A1800" s="6"/>
      <c r="B1800" s="7"/>
      <c r="C1800" s="6"/>
      <c r="D1800" s="3"/>
      <c r="E1800" s="3"/>
    </row>
    <row r="1801" s="2" customFormat="1" ht="15.75" spans="1:5">
      <c r="A1801" s="6"/>
      <c r="B1801" s="7"/>
      <c r="C1801" s="6"/>
      <c r="D1801" s="3"/>
      <c r="E1801" s="3"/>
    </row>
    <row r="1802" s="2" customFormat="1" ht="15.75" spans="1:5">
      <c r="A1802" s="6"/>
      <c r="B1802" s="7"/>
      <c r="C1802" s="6"/>
      <c r="D1802" s="3"/>
      <c r="E1802" s="3"/>
    </row>
    <row r="1803" s="2" customFormat="1" ht="15.75" spans="1:5">
      <c r="A1803" s="6"/>
      <c r="B1803" s="7"/>
      <c r="C1803" s="6"/>
      <c r="D1803" s="3"/>
      <c r="E1803" s="3"/>
    </row>
    <row r="1804" s="2" customFormat="1" ht="15.75" spans="1:5">
      <c r="A1804" s="6"/>
      <c r="B1804" s="7"/>
      <c r="C1804" s="6"/>
      <c r="D1804" s="3"/>
      <c r="E1804" s="3"/>
    </row>
    <row r="1805" s="2" customFormat="1" ht="15.75" spans="1:5">
      <c r="A1805" s="6"/>
      <c r="B1805" s="7"/>
      <c r="C1805" s="6"/>
      <c r="D1805" s="3"/>
      <c r="E1805" s="3"/>
    </row>
    <row r="1806" s="2" customFormat="1" ht="15.75" spans="1:5">
      <c r="A1806" s="6"/>
      <c r="B1806" s="7"/>
      <c r="C1806" s="6"/>
      <c r="D1806" s="3"/>
      <c r="E1806" s="3"/>
    </row>
    <row r="1807" s="2" customFormat="1" ht="15.75" spans="1:5">
      <c r="A1807" s="6"/>
      <c r="B1807" s="7"/>
      <c r="C1807" s="6"/>
      <c r="D1807" s="3"/>
      <c r="E1807" s="3"/>
    </row>
    <row r="1808" s="2" customFormat="1" ht="15.75" spans="1:5">
      <c r="A1808" s="6"/>
      <c r="B1808" s="7"/>
      <c r="C1808" s="6"/>
      <c r="D1808" s="3"/>
      <c r="E1808" s="3"/>
    </row>
    <row r="1809" s="2" customFormat="1" ht="15.75" spans="1:5">
      <c r="A1809" s="6"/>
      <c r="B1809" s="7"/>
      <c r="C1809" s="6"/>
      <c r="D1809" s="3"/>
      <c r="E1809" s="3"/>
    </row>
    <row r="1810" s="2" customFormat="1" ht="15.75" spans="1:5">
      <c r="A1810" s="6"/>
      <c r="B1810" s="7"/>
      <c r="C1810" s="6"/>
      <c r="D1810" s="3"/>
      <c r="E1810" s="3"/>
    </row>
    <row r="1811" s="2" customFormat="1" ht="15.75" spans="1:5">
      <c r="A1811" s="6"/>
      <c r="B1811" s="7"/>
      <c r="C1811" s="6"/>
      <c r="D1811" s="3"/>
      <c r="E1811" s="3"/>
    </row>
    <row r="1812" s="2" customFormat="1" ht="15.75" spans="1:5">
      <c r="A1812" s="6"/>
      <c r="B1812" s="7"/>
      <c r="C1812" s="6"/>
      <c r="D1812" s="3"/>
      <c r="E1812" s="3"/>
    </row>
    <row r="1813" s="2" customFormat="1" ht="15.75" spans="1:5">
      <c r="A1813" s="6"/>
      <c r="B1813" s="7"/>
      <c r="C1813" s="6"/>
      <c r="D1813" s="3"/>
      <c r="E1813" s="3"/>
    </row>
    <row r="1814" s="2" customFormat="1" ht="15.75" spans="1:5">
      <c r="A1814" s="6"/>
      <c r="B1814" s="7"/>
      <c r="C1814" s="6"/>
      <c r="D1814" s="3"/>
      <c r="E1814" s="3"/>
    </row>
    <row r="1815" s="2" customFormat="1" ht="15.75" spans="1:5">
      <c r="A1815" s="6"/>
      <c r="B1815" s="7"/>
      <c r="C1815" s="6"/>
      <c r="D1815" s="3"/>
      <c r="E1815" s="3"/>
    </row>
    <row r="1816" s="2" customFormat="1" ht="15.75" spans="1:5">
      <c r="A1816" s="6"/>
      <c r="B1816" s="7"/>
      <c r="C1816" s="6"/>
      <c r="D1816" s="3"/>
      <c r="E1816" s="3"/>
    </row>
    <row r="1817" s="2" customFormat="1" ht="15.75" spans="1:5">
      <c r="A1817" s="6"/>
      <c r="B1817" s="7"/>
      <c r="C1817" s="6"/>
      <c r="D1817" s="3"/>
      <c r="E1817" s="3"/>
    </row>
    <row r="1818" s="2" customFormat="1" ht="15.75" spans="1:5">
      <c r="A1818" s="6"/>
      <c r="B1818" s="7"/>
      <c r="C1818" s="6"/>
      <c r="D1818" s="3"/>
      <c r="E1818" s="3"/>
    </row>
    <row r="1819" s="2" customFormat="1" ht="15.75" spans="1:5">
      <c r="A1819" s="6"/>
      <c r="B1819" s="7"/>
      <c r="C1819" s="6"/>
      <c r="D1819" s="3"/>
      <c r="E1819" s="3"/>
    </row>
    <row r="1820" s="2" customFormat="1" ht="15.75" spans="1:5">
      <c r="A1820" s="6"/>
      <c r="B1820" s="7"/>
      <c r="C1820" s="6"/>
      <c r="D1820" s="3"/>
      <c r="E1820" s="3"/>
    </row>
    <row r="1821" s="2" customFormat="1" ht="15.75" spans="1:5">
      <c r="A1821" s="6"/>
      <c r="B1821" s="7"/>
      <c r="C1821" s="6"/>
      <c r="D1821" s="3"/>
      <c r="E1821" s="3"/>
    </row>
    <row r="1822" s="2" customFormat="1" ht="15.75" spans="1:5">
      <c r="A1822" s="6"/>
      <c r="B1822" s="7"/>
      <c r="C1822" s="6"/>
      <c r="D1822" s="3"/>
      <c r="E1822" s="3"/>
    </row>
    <row r="1823" s="2" customFormat="1" ht="15.75" spans="1:5">
      <c r="A1823" s="6"/>
      <c r="B1823" s="7"/>
      <c r="C1823" s="6"/>
      <c r="D1823" s="3"/>
      <c r="E1823" s="3"/>
    </row>
    <row r="1824" s="2" customFormat="1" ht="15.75" spans="1:5">
      <c r="A1824" s="6"/>
      <c r="B1824" s="7"/>
      <c r="C1824" s="6"/>
      <c r="D1824" s="3"/>
      <c r="E1824" s="3"/>
    </row>
    <row r="1825" s="2" customFormat="1" ht="15.75" spans="1:5">
      <c r="A1825" s="6"/>
      <c r="B1825" s="7"/>
      <c r="C1825" s="6"/>
      <c r="D1825" s="3"/>
      <c r="E1825" s="3"/>
    </row>
    <row r="1826" s="2" customFormat="1" ht="15.75" spans="1:5">
      <c r="A1826" s="6"/>
      <c r="B1826" s="7"/>
      <c r="C1826" s="6"/>
      <c r="D1826" s="3"/>
      <c r="E1826" s="3"/>
    </row>
    <row r="1827" s="2" customFormat="1" ht="15.75" spans="1:5">
      <c r="A1827" s="6"/>
      <c r="B1827" s="7"/>
      <c r="C1827" s="6"/>
      <c r="D1827" s="3"/>
      <c r="E1827" s="3"/>
    </row>
    <row r="1828" s="2" customFormat="1" ht="15.75" spans="1:5">
      <c r="A1828" s="6"/>
      <c r="B1828" s="7"/>
      <c r="C1828" s="6"/>
      <c r="D1828" s="3"/>
      <c r="E1828" s="3"/>
    </row>
    <row r="1829" s="2" customFormat="1" ht="15.75" spans="1:5">
      <c r="A1829" s="6"/>
      <c r="B1829" s="7"/>
      <c r="C1829" s="6"/>
      <c r="D1829" s="3"/>
      <c r="E1829" s="3"/>
    </row>
    <row r="1830" s="2" customFormat="1" ht="15.75" spans="1:5">
      <c r="A1830" s="6"/>
      <c r="B1830" s="7"/>
      <c r="C1830" s="6"/>
      <c r="D1830" s="3"/>
      <c r="E1830" s="3"/>
    </row>
    <row r="1831" s="2" customFormat="1" ht="15.75" spans="1:5">
      <c r="A1831" s="6"/>
      <c r="B1831" s="7"/>
      <c r="C1831" s="6"/>
      <c r="D1831" s="3"/>
      <c r="E1831" s="3"/>
    </row>
    <row r="1832" s="2" customFormat="1" ht="15.75" spans="1:5">
      <c r="A1832" s="6"/>
      <c r="B1832" s="7"/>
      <c r="C1832" s="6"/>
      <c r="D1832" s="3"/>
      <c r="E1832" s="3"/>
    </row>
    <row r="1833" s="2" customFormat="1" ht="15.75" spans="1:5">
      <c r="A1833" s="6"/>
      <c r="B1833" s="7"/>
      <c r="C1833" s="6"/>
      <c r="D1833" s="3"/>
      <c r="E1833" s="3"/>
    </row>
    <row r="1834" s="2" customFormat="1" ht="15.75" spans="1:5">
      <c r="A1834" s="6"/>
      <c r="B1834" s="7"/>
      <c r="C1834" s="6"/>
      <c r="D1834" s="3"/>
      <c r="E1834" s="3"/>
    </row>
    <row r="1835" s="2" customFormat="1" ht="15.75" spans="1:5">
      <c r="A1835" s="6"/>
      <c r="B1835" s="7"/>
      <c r="C1835" s="6"/>
      <c r="D1835" s="3"/>
      <c r="E1835" s="3"/>
    </row>
    <row r="1836" s="2" customFormat="1" ht="15.75" spans="1:5">
      <c r="A1836" s="6"/>
      <c r="B1836" s="7"/>
      <c r="C1836" s="6"/>
      <c r="D1836" s="3"/>
      <c r="E1836" s="3"/>
    </row>
    <row r="1837" s="2" customFormat="1" ht="15.75" spans="1:5">
      <c r="A1837" s="6"/>
      <c r="B1837" s="7"/>
      <c r="C1837" s="6"/>
      <c r="D1837" s="3"/>
      <c r="E1837" s="3"/>
    </row>
    <row r="1838" s="2" customFormat="1" ht="15.75" spans="1:5">
      <c r="A1838" s="6"/>
      <c r="B1838" s="7"/>
      <c r="C1838" s="6"/>
      <c r="D1838" s="3"/>
      <c r="E1838" s="3"/>
    </row>
    <row r="1839" s="2" customFormat="1" ht="15.75" spans="1:5">
      <c r="A1839" s="6"/>
      <c r="B1839" s="7"/>
      <c r="C1839" s="6"/>
      <c r="D1839" s="3"/>
      <c r="E1839" s="3"/>
    </row>
    <row r="1840" s="2" customFormat="1" ht="15.75" spans="1:5">
      <c r="A1840" s="6"/>
      <c r="B1840" s="7"/>
      <c r="C1840" s="6"/>
      <c r="D1840" s="3"/>
      <c r="E1840" s="3"/>
    </row>
    <row r="1841" s="2" customFormat="1" ht="15.75" spans="1:5">
      <c r="A1841" s="6"/>
      <c r="B1841" s="7"/>
      <c r="C1841" s="6"/>
      <c r="D1841" s="3"/>
      <c r="E1841" s="3"/>
    </row>
    <row r="1842" s="2" customFormat="1" ht="15.75" spans="1:5">
      <c r="A1842" s="6"/>
      <c r="B1842" s="7"/>
      <c r="C1842" s="6"/>
      <c r="D1842" s="3"/>
      <c r="E1842" s="3"/>
    </row>
    <row r="1843" s="2" customFormat="1" ht="15.75" spans="1:5">
      <c r="A1843" s="6"/>
      <c r="B1843" s="7"/>
      <c r="C1843" s="6"/>
      <c r="D1843" s="3"/>
      <c r="E1843" s="3"/>
    </row>
    <row r="1844" s="2" customFormat="1" ht="15.75" spans="1:5">
      <c r="A1844" s="6"/>
      <c r="B1844" s="7"/>
      <c r="C1844" s="6"/>
      <c r="D1844" s="3"/>
      <c r="E1844" s="3"/>
    </row>
    <row r="1845" s="2" customFormat="1" ht="15.75" spans="1:5">
      <c r="A1845" s="6"/>
      <c r="B1845" s="7"/>
      <c r="C1845" s="6"/>
      <c r="D1845" s="3"/>
      <c r="E1845" s="3"/>
    </row>
    <row r="1846" s="2" customFormat="1" ht="15.75" spans="1:5">
      <c r="A1846" s="6"/>
      <c r="B1846" s="7"/>
      <c r="C1846" s="6"/>
      <c r="D1846" s="3"/>
      <c r="E1846" s="3"/>
    </row>
    <row r="1847" s="2" customFormat="1" ht="15.75" spans="1:5">
      <c r="A1847" s="6"/>
      <c r="B1847" s="7"/>
      <c r="C1847" s="6"/>
      <c r="D1847" s="3"/>
      <c r="E1847" s="3"/>
    </row>
    <row r="1848" s="2" customFormat="1" ht="15.75" spans="1:5">
      <c r="A1848" s="6"/>
      <c r="B1848" s="7"/>
      <c r="C1848" s="6"/>
      <c r="D1848" s="3"/>
      <c r="E1848" s="3"/>
    </row>
    <row r="1849" s="2" customFormat="1" ht="15.75" spans="1:5">
      <c r="A1849" s="6"/>
      <c r="B1849" s="7"/>
      <c r="C1849" s="6"/>
      <c r="D1849" s="3"/>
      <c r="E1849" s="3"/>
    </row>
    <row r="1850" s="2" customFormat="1" ht="15.75" spans="1:5">
      <c r="A1850" s="6"/>
      <c r="B1850" s="7"/>
      <c r="C1850" s="6"/>
      <c r="D1850" s="3"/>
      <c r="E1850" s="3"/>
    </row>
    <row r="1851" s="2" customFormat="1" ht="15.75" spans="1:5">
      <c r="A1851" s="6"/>
      <c r="B1851" s="7"/>
      <c r="C1851" s="6"/>
      <c r="D1851" s="3"/>
      <c r="E1851" s="3"/>
    </row>
    <row r="1852" s="2" customFormat="1" ht="15.75" spans="1:5">
      <c r="A1852" s="6"/>
      <c r="B1852" s="7"/>
      <c r="C1852" s="6"/>
      <c r="D1852" s="3"/>
      <c r="E1852" s="3"/>
    </row>
    <row r="1853" s="2" customFormat="1" ht="15.75" spans="1:5">
      <c r="A1853" s="6"/>
      <c r="B1853" s="7"/>
      <c r="C1853" s="6"/>
      <c r="D1853" s="3"/>
      <c r="E1853" s="3"/>
    </row>
    <row r="1854" s="2" customFormat="1" ht="15.75" spans="1:5">
      <c r="A1854" s="6"/>
      <c r="B1854" s="7"/>
      <c r="C1854" s="6"/>
      <c r="D1854" s="3"/>
      <c r="E1854" s="3"/>
    </row>
    <row r="1855" s="2" customFormat="1" ht="15.75" spans="1:5">
      <c r="A1855" s="6"/>
      <c r="B1855" s="7"/>
      <c r="C1855" s="6"/>
      <c r="D1855" s="3"/>
      <c r="E1855" s="3"/>
    </row>
    <row r="1856" s="2" customFormat="1" ht="15.75" spans="1:5">
      <c r="A1856" s="6"/>
      <c r="B1856" s="7"/>
      <c r="C1856" s="6"/>
      <c r="D1856" s="3"/>
      <c r="E1856" s="3"/>
    </row>
    <row r="1857" s="2" customFormat="1" ht="15.75" spans="1:5">
      <c r="A1857" s="6"/>
      <c r="B1857" s="7"/>
      <c r="C1857" s="6"/>
      <c r="D1857" s="3"/>
      <c r="E1857" s="3"/>
    </row>
    <row r="1858" s="2" customFormat="1" ht="15.75" spans="1:5">
      <c r="A1858" s="6"/>
      <c r="B1858" s="7"/>
      <c r="C1858" s="6"/>
      <c r="D1858" s="3"/>
      <c r="E1858" s="3"/>
    </row>
    <row r="1859" s="2" customFormat="1" ht="15.75" spans="1:5">
      <c r="A1859" s="6"/>
      <c r="B1859" s="7"/>
      <c r="C1859" s="6"/>
      <c r="D1859" s="3"/>
      <c r="E1859" s="3"/>
    </row>
    <row r="1860" s="2" customFormat="1" ht="15.75" spans="1:5">
      <c r="A1860" s="6"/>
      <c r="B1860" s="7"/>
      <c r="C1860" s="6"/>
      <c r="D1860" s="3"/>
      <c r="E1860" s="3"/>
    </row>
    <row r="1861" s="2" customFormat="1" ht="15.75" spans="1:5">
      <c r="A1861" s="6"/>
      <c r="B1861" s="7"/>
      <c r="C1861" s="6"/>
      <c r="D1861" s="3"/>
      <c r="E1861" s="3"/>
    </row>
    <row r="1862" s="2" customFormat="1" ht="15.75" spans="1:5">
      <c r="A1862" s="6"/>
      <c r="B1862" s="7"/>
      <c r="C1862" s="6"/>
      <c r="D1862" s="3"/>
      <c r="E1862" s="3"/>
    </row>
    <row r="1863" s="2" customFormat="1" ht="15.75" spans="1:5">
      <c r="A1863" s="6"/>
      <c r="B1863" s="7"/>
      <c r="C1863" s="6"/>
      <c r="D1863" s="3"/>
      <c r="E1863" s="3"/>
    </row>
    <row r="1864" s="2" customFormat="1" ht="15.75" spans="1:5">
      <c r="A1864" s="6"/>
      <c r="B1864" s="7"/>
      <c r="C1864" s="6"/>
      <c r="D1864" s="3"/>
      <c r="E1864" s="3"/>
    </row>
    <row r="1865" s="2" customFormat="1" ht="15.75" spans="1:5">
      <c r="A1865" s="6"/>
      <c r="B1865" s="7"/>
      <c r="C1865" s="6"/>
      <c r="D1865" s="3"/>
      <c r="E1865" s="3"/>
    </row>
    <row r="1866" s="2" customFormat="1" ht="15.75" spans="1:5">
      <c r="A1866" s="6"/>
      <c r="B1866" s="7"/>
      <c r="C1866" s="6"/>
      <c r="D1866" s="3"/>
      <c r="E1866" s="3"/>
    </row>
    <row r="1867" s="2" customFormat="1" ht="15.75" spans="1:5">
      <c r="A1867" s="6"/>
      <c r="B1867" s="7"/>
      <c r="C1867" s="6"/>
      <c r="D1867" s="3"/>
      <c r="E1867" s="3"/>
    </row>
    <row r="1868" s="2" customFormat="1" ht="15.75" spans="1:5">
      <c r="A1868" s="6"/>
      <c r="B1868" s="7"/>
      <c r="C1868" s="6"/>
      <c r="D1868" s="3"/>
      <c r="E1868" s="3"/>
    </row>
    <row r="1869" s="2" customFormat="1" ht="15.75" spans="1:5">
      <c r="A1869" s="6"/>
      <c r="B1869" s="7"/>
      <c r="C1869" s="6"/>
      <c r="D1869" s="3"/>
      <c r="E1869" s="3"/>
    </row>
    <row r="1870" s="2" customFormat="1" ht="15.75" spans="1:5">
      <c r="A1870" s="6"/>
      <c r="B1870" s="7"/>
      <c r="C1870" s="6"/>
      <c r="D1870" s="3"/>
      <c r="E1870" s="3"/>
    </row>
    <row r="1871" s="2" customFormat="1" ht="15.75" spans="1:5">
      <c r="A1871" s="6"/>
      <c r="B1871" s="7"/>
      <c r="C1871" s="6"/>
      <c r="D1871" s="3"/>
      <c r="E1871" s="3"/>
    </row>
    <row r="1872" s="2" customFormat="1" ht="15.75" spans="1:5">
      <c r="A1872" s="6"/>
      <c r="B1872" s="7"/>
      <c r="C1872" s="6"/>
      <c r="D1872" s="3"/>
      <c r="E1872" s="3"/>
    </row>
    <row r="1873" s="2" customFormat="1" ht="15.75" spans="1:5">
      <c r="A1873" s="6"/>
      <c r="B1873" s="7"/>
      <c r="C1873" s="6"/>
      <c r="D1873" s="3"/>
      <c r="E1873" s="3"/>
    </row>
    <row r="1874" s="2" customFormat="1" ht="15.75" spans="1:5">
      <c r="A1874" s="6"/>
      <c r="B1874" s="7"/>
      <c r="C1874" s="6"/>
      <c r="D1874" s="3"/>
      <c r="E1874" s="3"/>
    </row>
    <row r="1875" s="2" customFormat="1" ht="15.75" spans="1:5">
      <c r="A1875" s="6"/>
      <c r="B1875" s="7"/>
      <c r="C1875" s="6"/>
      <c r="D1875" s="3"/>
      <c r="E1875" s="3"/>
    </row>
    <row r="1876" s="2" customFormat="1" ht="15.75" spans="1:5">
      <c r="A1876" s="6"/>
      <c r="B1876" s="7"/>
      <c r="C1876" s="6"/>
      <c r="D1876" s="3"/>
      <c r="E1876" s="3"/>
    </row>
    <row r="1877" s="2" customFormat="1" ht="15.75" spans="1:5">
      <c r="A1877" s="6"/>
      <c r="B1877" s="7"/>
      <c r="C1877" s="6"/>
      <c r="D1877" s="3"/>
      <c r="E1877" s="3"/>
    </row>
    <row r="1878" s="2" customFormat="1" ht="15.75" spans="1:5">
      <c r="A1878" s="6"/>
      <c r="B1878" s="7"/>
      <c r="C1878" s="6"/>
      <c r="D1878" s="3"/>
      <c r="E1878" s="3"/>
    </row>
    <row r="1879" s="2" customFormat="1" ht="15.75" spans="1:5">
      <c r="A1879" s="6"/>
      <c r="B1879" s="7"/>
      <c r="C1879" s="6"/>
      <c r="D1879" s="3"/>
      <c r="E1879" s="3"/>
    </row>
    <row r="1880" s="2" customFormat="1" ht="15.75" spans="1:5">
      <c r="A1880" s="6"/>
      <c r="B1880" s="7"/>
      <c r="C1880" s="6"/>
      <c r="D1880" s="3"/>
      <c r="E1880" s="3"/>
    </row>
    <row r="1881" s="2" customFormat="1" ht="15.75" spans="1:5">
      <c r="A1881" s="6"/>
      <c r="B1881" s="7"/>
      <c r="C1881" s="6"/>
      <c r="D1881" s="3"/>
      <c r="E1881" s="3"/>
    </row>
    <row r="1882" s="2" customFormat="1" ht="15.75" spans="1:5">
      <c r="A1882" s="6"/>
      <c r="B1882" s="7"/>
      <c r="C1882" s="6"/>
      <c r="D1882" s="3"/>
      <c r="E1882" s="3"/>
    </row>
    <row r="1883" s="2" customFormat="1" ht="15.75" spans="1:5">
      <c r="A1883" s="6"/>
      <c r="B1883" s="7"/>
      <c r="C1883" s="6"/>
      <c r="D1883" s="3"/>
      <c r="E1883" s="3"/>
    </row>
    <row r="1884" s="2" customFormat="1" ht="15.75" spans="1:5">
      <c r="A1884" s="6"/>
      <c r="B1884" s="7"/>
      <c r="C1884" s="6"/>
      <c r="D1884" s="3"/>
      <c r="E1884" s="3"/>
    </row>
    <row r="1885" s="2" customFormat="1" ht="15.75" spans="1:5">
      <c r="A1885" s="6"/>
      <c r="B1885" s="7"/>
      <c r="C1885" s="6"/>
      <c r="D1885" s="3"/>
      <c r="E1885" s="3"/>
    </row>
    <row r="1886" s="2" customFormat="1" ht="15.75" spans="1:5">
      <c r="A1886" s="6"/>
      <c r="B1886" s="7"/>
      <c r="C1886" s="6"/>
      <c r="D1886" s="3"/>
      <c r="E1886" s="3"/>
    </row>
    <row r="1887" s="2" customFormat="1" ht="15.75" spans="1:5">
      <c r="A1887" s="6"/>
      <c r="B1887" s="7"/>
      <c r="C1887" s="6"/>
      <c r="D1887" s="3"/>
      <c r="E1887" s="3"/>
    </row>
    <row r="1888" s="2" customFormat="1" ht="15.75" spans="1:5">
      <c r="A1888" s="6"/>
      <c r="B1888" s="7"/>
      <c r="C1888" s="6"/>
      <c r="D1888" s="3"/>
      <c r="E1888" s="3"/>
    </row>
    <row r="1889" s="2" customFormat="1" ht="15.75" spans="1:5">
      <c r="A1889" s="6"/>
      <c r="B1889" s="7"/>
      <c r="C1889" s="6"/>
      <c r="D1889" s="3"/>
      <c r="E1889" s="3"/>
    </row>
    <row r="1890" s="2" customFormat="1" ht="15.75" spans="1:5">
      <c r="A1890" s="6"/>
      <c r="B1890" s="7"/>
      <c r="C1890" s="6"/>
      <c r="D1890" s="3"/>
      <c r="E1890" s="3"/>
    </row>
    <row r="1891" s="2" customFormat="1" ht="15.75" spans="1:5">
      <c r="A1891" s="6"/>
      <c r="B1891" s="7"/>
      <c r="C1891" s="6"/>
      <c r="D1891" s="3"/>
      <c r="E1891" s="3"/>
    </row>
    <row r="1892" s="2" customFormat="1" ht="15.75" spans="1:5">
      <c r="A1892" s="6"/>
      <c r="B1892" s="7"/>
      <c r="C1892" s="6"/>
      <c r="D1892" s="3"/>
      <c r="E1892" s="3"/>
    </row>
    <row r="1893" s="2" customFormat="1" ht="15.75" spans="1:5">
      <c r="A1893" s="6"/>
      <c r="B1893" s="7"/>
      <c r="C1893" s="6"/>
      <c r="D1893" s="3"/>
      <c r="E1893" s="3"/>
    </row>
    <row r="1894" s="2" customFormat="1" ht="15.75" spans="1:5">
      <c r="A1894" s="6"/>
      <c r="B1894" s="7"/>
      <c r="C1894" s="6"/>
      <c r="D1894" s="3"/>
      <c r="E1894" s="3"/>
    </row>
    <row r="1895" s="2" customFormat="1" ht="15.75" spans="1:5">
      <c r="A1895" s="6"/>
      <c r="B1895" s="7"/>
      <c r="C1895" s="6"/>
      <c r="D1895" s="3"/>
      <c r="E1895" s="3"/>
    </row>
    <row r="1896" s="2" customFormat="1" ht="15.75" spans="1:5">
      <c r="A1896" s="6"/>
      <c r="B1896" s="7"/>
      <c r="C1896" s="6"/>
      <c r="D1896" s="3"/>
      <c r="E1896" s="3"/>
    </row>
    <row r="1897" s="2" customFormat="1" ht="15.75" spans="1:5">
      <c r="A1897" s="6"/>
      <c r="B1897" s="7"/>
      <c r="C1897" s="6"/>
      <c r="D1897" s="3"/>
      <c r="E1897" s="3"/>
    </row>
    <row r="1898" s="2" customFormat="1" ht="15.75" spans="1:5">
      <c r="A1898" s="6"/>
      <c r="B1898" s="7"/>
      <c r="C1898" s="6"/>
      <c r="D1898" s="3"/>
      <c r="E1898" s="3"/>
    </row>
    <row r="1899" s="2" customFormat="1" ht="15.75" spans="1:5">
      <c r="A1899" s="6"/>
      <c r="B1899" s="7"/>
      <c r="C1899" s="6"/>
      <c r="D1899" s="3"/>
      <c r="E1899" s="3"/>
    </row>
    <row r="1900" s="2" customFormat="1" ht="15.75" spans="1:5">
      <c r="A1900" s="6"/>
      <c r="B1900" s="7"/>
      <c r="C1900" s="6"/>
      <c r="D1900" s="3"/>
      <c r="E1900" s="3"/>
    </row>
    <row r="1901" s="2" customFormat="1" ht="15.75" spans="1:5">
      <c r="A1901" s="6"/>
      <c r="B1901" s="7"/>
      <c r="C1901" s="6"/>
      <c r="D1901" s="3"/>
      <c r="E1901" s="3"/>
    </row>
    <row r="1902" s="2" customFormat="1" ht="15.75" spans="1:5">
      <c r="A1902" s="6"/>
      <c r="B1902" s="7"/>
      <c r="C1902" s="6"/>
      <c r="D1902" s="3"/>
      <c r="E1902" s="3"/>
    </row>
    <row r="1903" s="2" customFormat="1" ht="15.75" spans="1:5">
      <c r="A1903" s="6"/>
      <c r="B1903" s="7"/>
      <c r="C1903" s="6"/>
      <c r="D1903" s="3"/>
      <c r="E1903" s="3"/>
    </row>
    <row r="1904" s="2" customFormat="1" ht="15.75" spans="1:5">
      <c r="A1904" s="6"/>
      <c r="B1904" s="7"/>
      <c r="C1904" s="6"/>
      <c r="D1904" s="3"/>
      <c r="E1904" s="3"/>
    </row>
    <row r="1905" s="2" customFormat="1" ht="15.75" spans="1:5">
      <c r="A1905" s="6"/>
      <c r="B1905" s="7"/>
      <c r="C1905" s="6"/>
      <c r="D1905" s="3"/>
      <c r="E1905" s="3"/>
    </row>
    <row r="1906" s="2" customFormat="1" ht="15.75" spans="1:5">
      <c r="A1906" s="6"/>
      <c r="B1906" s="7"/>
      <c r="C1906" s="6"/>
      <c r="D1906" s="3"/>
      <c r="E1906" s="3"/>
    </row>
    <row r="1907" s="2" customFormat="1" ht="15.75" spans="1:5">
      <c r="A1907" s="6"/>
      <c r="B1907" s="7"/>
      <c r="C1907" s="6"/>
      <c r="D1907" s="3"/>
      <c r="E1907" s="3"/>
    </row>
    <row r="1908" s="2" customFormat="1" ht="15.75" spans="1:5">
      <c r="A1908" s="6"/>
      <c r="B1908" s="7"/>
      <c r="C1908" s="6"/>
      <c r="D1908" s="3"/>
      <c r="E1908" s="3"/>
    </row>
    <row r="1909" s="2" customFormat="1" ht="15.75" spans="1:5">
      <c r="A1909" s="6"/>
      <c r="B1909" s="7"/>
      <c r="C1909" s="6"/>
      <c r="D1909" s="3"/>
      <c r="E1909" s="3"/>
    </row>
    <row r="1910" s="2" customFormat="1" ht="15.75" spans="1:5">
      <c r="A1910" s="6"/>
      <c r="B1910" s="7"/>
      <c r="C1910" s="6"/>
      <c r="D1910" s="3"/>
      <c r="E1910" s="3"/>
    </row>
    <row r="1911" s="2" customFormat="1" ht="15.75" spans="1:5">
      <c r="A1911" s="6"/>
      <c r="B1911" s="7"/>
      <c r="C1911" s="6"/>
      <c r="D1911" s="3"/>
      <c r="E1911" s="3"/>
    </row>
    <row r="1912" s="2" customFormat="1" ht="15.75" spans="1:5">
      <c r="A1912" s="6"/>
      <c r="B1912" s="7"/>
      <c r="C1912" s="6"/>
      <c r="D1912" s="3"/>
      <c r="E1912" s="3"/>
    </row>
    <row r="1913" s="2" customFormat="1" ht="15.75" spans="1:5">
      <c r="A1913" s="6"/>
      <c r="B1913" s="7"/>
      <c r="C1913" s="6"/>
      <c r="D1913" s="3"/>
      <c r="E1913" s="3"/>
    </row>
    <row r="1914" s="2" customFormat="1" ht="15.75" spans="1:5">
      <c r="A1914" s="6"/>
      <c r="B1914" s="7"/>
      <c r="C1914" s="6"/>
      <c r="D1914" s="3"/>
      <c r="E1914" s="3"/>
    </row>
    <row r="1915" s="2" customFormat="1" ht="15.75" spans="1:5">
      <c r="A1915" s="6"/>
      <c r="B1915" s="7"/>
      <c r="C1915" s="6"/>
      <c r="D1915" s="3"/>
      <c r="E1915" s="3"/>
    </row>
    <row r="1916" s="2" customFormat="1" ht="15.75" spans="1:5">
      <c r="A1916" s="6"/>
      <c r="B1916" s="7"/>
      <c r="C1916" s="6"/>
      <c r="D1916" s="3"/>
      <c r="E1916" s="3"/>
    </row>
    <row r="1917" s="2" customFormat="1" ht="15.75" spans="1:5">
      <c r="A1917" s="6"/>
      <c r="B1917" s="7"/>
      <c r="C1917" s="6"/>
      <c r="D1917" s="3"/>
      <c r="E1917" s="3"/>
    </row>
    <row r="1918" s="2" customFormat="1" ht="15.75" spans="1:5">
      <c r="A1918" s="6"/>
      <c r="B1918" s="7"/>
      <c r="C1918" s="6"/>
      <c r="D1918" s="3"/>
      <c r="E1918" s="3"/>
    </row>
    <row r="1919" s="2" customFormat="1" ht="15.75" spans="1:5">
      <c r="A1919" s="6"/>
      <c r="B1919" s="7"/>
      <c r="C1919" s="6"/>
      <c r="D1919" s="3"/>
      <c r="E1919" s="3"/>
    </row>
    <row r="1920" s="2" customFormat="1" ht="15.75" spans="1:5">
      <c r="A1920" s="6"/>
      <c r="B1920" s="7"/>
      <c r="C1920" s="6"/>
      <c r="D1920" s="3"/>
      <c r="E1920" s="3"/>
    </row>
    <row r="1921" s="2" customFormat="1" ht="15.75" spans="1:5">
      <c r="A1921" s="6"/>
      <c r="B1921" s="7"/>
      <c r="C1921" s="6"/>
      <c r="D1921" s="3"/>
      <c r="E1921" s="3"/>
    </row>
    <row r="1922" s="2" customFormat="1" ht="15.75" spans="1:5">
      <c r="A1922" s="6"/>
      <c r="B1922" s="7"/>
      <c r="C1922" s="6"/>
      <c r="D1922" s="3"/>
      <c r="E1922" s="3"/>
    </row>
    <row r="1923" s="2" customFormat="1" ht="15.75" spans="1:5">
      <c r="A1923" s="6"/>
      <c r="B1923" s="7"/>
      <c r="C1923" s="6"/>
      <c r="D1923" s="3"/>
      <c r="E1923" s="3"/>
    </row>
    <row r="1924" s="2" customFormat="1" ht="15.75" spans="1:5">
      <c r="A1924" s="6"/>
      <c r="B1924" s="7"/>
      <c r="C1924" s="6"/>
      <c r="D1924" s="3"/>
      <c r="E1924" s="3"/>
    </row>
    <row r="1925" s="2" customFormat="1" ht="15.75" spans="1:5">
      <c r="A1925" s="6"/>
      <c r="B1925" s="7"/>
      <c r="C1925" s="6"/>
      <c r="D1925" s="3"/>
      <c r="E1925" s="3"/>
    </row>
    <row r="1926" s="2" customFormat="1" ht="15.75" spans="1:5">
      <c r="A1926" s="6"/>
      <c r="B1926" s="7"/>
      <c r="C1926" s="6"/>
      <c r="D1926" s="3"/>
      <c r="E1926" s="3"/>
    </row>
    <row r="1927" s="2" customFormat="1" ht="15.75" spans="1:5">
      <c r="A1927" s="6"/>
      <c r="B1927" s="7"/>
      <c r="C1927" s="6"/>
      <c r="D1927" s="3"/>
      <c r="E1927" s="3"/>
    </row>
    <row r="1928" s="2" customFormat="1" ht="15.75" spans="1:5">
      <c r="A1928" s="6"/>
      <c r="B1928" s="7"/>
      <c r="C1928" s="6"/>
      <c r="D1928" s="3"/>
      <c r="E1928" s="3"/>
    </row>
    <row r="1929" s="2" customFormat="1" ht="15.75" spans="1:5">
      <c r="A1929" s="6"/>
      <c r="B1929" s="7"/>
      <c r="C1929" s="6"/>
      <c r="D1929" s="3"/>
      <c r="E1929" s="3"/>
    </row>
    <row r="1930" s="2" customFormat="1" ht="15.75" spans="1:5">
      <c r="A1930" s="6"/>
      <c r="B1930" s="7"/>
      <c r="C1930" s="6"/>
      <c r="D1930" s="3"/>
      <c r="E1930" s="3"/>
    </row>
    <row r="1931" s="2" customFormat="1" ht="15.75" spans="1:5">
      <c r="A1931" s="6"/>
      <c r="B1931" s="7"/>
      <c r="C1931" s="6"/>
      <c r="D1931" s="3"/>
      <c r="E1931" s="3"/>
    </row>
    <row r="1932" s="2" customFormat="1" ht="15.75" spans="1:5">
      <c r="A1932" s="6"/>
      <c r="B1932" s="7"/>
      <c r="C1932" s="6"/>
      <c r="D1932" s="3"/>
      <c r="E1932" s="3"/>
    </row>
    <row r="1933" s="2" customFormat="1" ht="15.75" spans="1:5">
      <c r="A1933" s="6"/>
      <c r="B1933" s="7"/>
      <c r="C1933" s="6"/>
      <c r="D1933" s="3"/>
      <c r="E1933" s="3"/>
    </row>
    <row r="1934" s="2" customFormat="1" ht="15.75" spans="1:5">
      <c r="A1934" s="6"/>
      <c r="B1934" s="7"/>
      <c r="C1934" s="6"/>
      <c r="D1934" s="3"/>
      <c r="E1934" s="3"/>
    </row>
    <row r="1935" s="2" customFormat="1" ht="15.75" spans="1:5">
      <c r="A1935" s="6"/>
      <c r="B1935" s="7"/>
      <c r="C1935" s="6"/>
      <c r="D1935" s="3"/>
      <c r="E1935" s="3"/>
    </row>
    <row r="1936" s="2" customFormat="1" ht="15.75" spans="1:5">
      <c r="A1936" s="6"/>
      <c r="B1936" s="7"/>
      <c r="C1936" s="6"/>
      <c r="D1936" s="3"/>
      <c r="E1936" s="3"/>
    </row>
    <row r="1937" s="2" customFormat="1" ht="15.75" spans="1:5">
      <c r="A1937" s="6"/>
      <c r="B1937" s="7"/>
      <c r="C1937" s="6"/>
      <c r="D1937" s="3"/>
      <c r="E1937" s="3"/>
    </row>
    <row r="1938" s="2" customFormat="1" ht="15.75" spans="1:5">
      <c r="A1938" s="6"/>
      <c r="B1938" s="7"/>
      <c r="C1938" s="6"/>
      <c r="D1938" s="3"/>
      <c r="E1938" s="3"/>
    </row>
    <row r="1939" s="2" customFormat="1" ht="15.75" spans="1:5">
      <c r="A1939" s="6"/>
      <c r="B1939" s="7"/>
      <c r="C1939" s="6"/>
      <c r="D1939" s="3"/>
      <c r="E1939" s="3"/>
    </row>
    <row r="1940" s="2" customFormat="1" ht="15.75" spans="1:5">
      <c r="A1940" s="6"/>
      <c r="B1940" s="7"/>
      <c r="C1940" s="6"/>
      <c r="D1940" s="3"/>
      <c r="E1940" s="3"/>
    </row>
    <row r="1941" s="2" customFormat="1" ht="15.75" spans="1:5">
      <c r="A1941" s="6"/>
      <c r="B1941" s="7"/>
      <c r="C1941" s="6"/>
      <c r="D1941" s="3"/>
      <c r="E1941" s="3"/>
    </row>
    <row r="1942" s="2" customFormat="1" ht="15.75" spans="1:5">
      <c r="A1942" s="6"/>
      <c r="B1942" s="7"/>
      <c r="C1942" s="6"/>
      <c r="D1942" s="3"/>
      <c r="E1942" s="3"/>
    </row>
    <row r="1943" s="2" customFormat="1" ht="15.75" spans="1:5">
      <c r="A1943" s="6"/>
      <c r="B1943" s="7"/>
      <c r="C1943" s="6"/>
      <c r="D1943" s="3"/>
      <c r="E1943" s="3"/>
    </row>
    <row r="1944" s="2" customFormat="1" ht="15.75" spans="1:5">
      <c r="A1944" s="6"/>
      <c r="B1944" s="7"/>
      <c r="C1944" s="6"/>
      <c r="D1944" s="3"/>
      <c r="E1944" s="3"/>
    </row>
    <row r="1945" s="2" customFormat="1" ht="15.75" spans="1:5">
      <c r="A1945" s="6"/>
      <c r="B1945" s="7"/>
      <c r="C1945" s="6"/>
      <c r="D1945" s="3"/>
      <c r="E1945" s="3"/>
    </row>
    <row r="1946" s="2" customFormat="1" ht="15.75" spans="1:5">
      <c r="A1946" s="6"/>
      <c r="B1946" s="7"/>
      <c r="C1946" s="6"/>
      <c r="D1946" s="3"/>
      <c r="E1946" s="3"/>
    </row>
    <row r="1947" s="2" customFormat="1" ht="15.75" spans="1:5">
      <c r="A1947" s="6"/>
      <c r="B1947" s="7"/>
      <c r="C1947" s="6"/>
      <c r="D1947" s="3"/>
      <c r="E1947" s="3"/>
    </row>
    <row r="1948" s="2" customFormat="1" ht="15.75" spans="1:5">
      <c r="A1948" s="6"/>
      <c r="B1948" s="7"/>
      <c r="C1948" s="6"/>
      <c r="D1948" s="3"/>
      <c r="E1948" s="3"/>
    </row>
    <row r="1949" s="2" customFormat="1" ht="15.75" spans="1:5">
      <c r="A1949" s="6"/>
      <c r="B1949" s="7"/>
      <c r="C1949" s="6"/>
      <c r="D1949" s="3"/>
      <c r="E1949" s="3"/>
    </row>
    <row r="1950" s="2" customFormat="1" ht="15.75" spans="1:5">
      <c r="A1950" s="6"/>
      <c r="B1950" s="7"/>
      <c r="C1950" s="6"/>
      <c r="D1950" s="3"/>
      <c r="E1950" s="3"/>
    </row>
    <row r="1951" s="2" customFormat="1" ht="15.75" spans="1:5">
      <c r="A1951" s="6"/>
      <c r="B1951" s="7"/>
      <c r="C1951" s="6"/>
      <c r="D1951" s="3"/>
      <c r="E1951" s="3"/>
    </row>
    <row r="1952" s="2" customFormat="1" ht="15.75" spans="1:5">
      <c r="A1952" s="6"/>
      <c r="B1952" s="7"/>
      <c r="C1952" s="6"/>
      <c r="D1952" s="3"/>
      <c r="E1952" s="3"/>
    </row>
    <row r="1953" s="2" customFormat="1" ht="15.75" spans="1:5">
      <c r="A1953" s="6"/>
      <c r="B1953" s="7"/>
      <c r="C1953" s="6"/>
      <c r="D1953" s="3"/>
      <c r="E1953" s="3"/>
    </row>
    <row r="1954" s="2" customFormat="1" ht="15.75" spans="1:5">
      <c r="A1954" s="6"/>
      <c r="B1954" s="7"/>
      <c r="C1954" s="6"/>
      <c r="D1954" s="3"/>
      <c r="E1954" s="3"/>
    </row>
    <row r="1955" s="2" customFormat="1" ht="15.75" spans="1:5">
      <c r="A1955" s="6"/>
      <c r="B1955" s="7"/>
      <c r="C1955" s="6"/>
      <c r="D1955" s="3"/>
      <c r="E1955" s="3"/>
    </row>
    <row r="1956" s="2" customFormat="1" ht="15.75" spans="1:5">
      <c r="A1956" s="6"/>
      <c r="B1956" s="7"/>
      <c r="C1956" s="6"/>
      <c r="D1956" s="3"/>
      <c r="E1956" s="3"/>
    </row>
    <row r="1957" s="2" customFormat="1" ht="15.75" spans="1:5">
      <c r="A1957" s="6"/>
      <c r="B1957" s="7"/>
      <c r="C1957" s="6"/>
      <c r="D1957" s="3"/>
      <c r="E1957" s="3"/>
    </row>
    <row r="1958" s="2" customFormat="1" ht="15.75" spans="1:5">
      <c r="A1958" s="6"/>
      <c r="B1958" s="7"/>
      <c r="C1958" s="6"/>
      <c r="D1958" s="3"/>
      <c r="E1958" s="3"/>
    </row>
    <row r="1959" s="2" customFormat="1" ht="15.75" spans="1:5">
      <c r="A1959" s="6"/>
      <c r="B1959" s="7"/>
      <c r="C1959" s="6"/>
      <c r="D1959" s="3"/>
      <c r="E1959" s="3"/>
    </row>
    <row r="1960" s="2" customFormat="1" ht="15.75" spans="1:5">
      <c r="A1960" s="6"/>
      <c r="B1960" s="7"/>
      <c r="C1960" s="6"/>
      <c r="D1960" s="3"/>
      <c r="E1960" s="3"/>
    </row>
    <row r="1961" s="2" customFormat="1" ht="15.75" spans="1:5">
      <c r="A1961" s="6"/>
      <c r="B1961" s="7"/>
      <c r="C1961" s="6"/>
      <c r="D1961" s="3"/>
      <c r="E1961" s="3"/>
    </row>
    <row r="1962" s="2" customFormat="1" ht="15.75" spans="1:5">
      <c r="A1962" s="6"/>
      <c r="B1962" s="7"/>
      <c r="C1962" s="6"/>
      <c r="D1962" s="3"/>
      <c r="E1962" s="3"/>
    </row>
    <row r="1963" s="2" customFormat="1" ht="15.75" spans="1:5">
      <c r="A1963" s="6"/>
      <c r="B1963" s="7"/>
      <c r="C1963" s="6"/>
      <c r="D1963" s="3"/>
      <c r="E1963" s="3"/>
    </row>
    <row r="1964" s="2" customFormat="1" ht="15.75" spans="1:5">
      <c r="A1964" s="6"/>
      <c r="B1964" s="7"/>
      <c r="C1964" s="6"/>
      <c r="D1964" s="3"/>
      <c r="E1964" s="3"/>
    </row>
    <row r="1965" s="2" customFormat="1" ht="15.75" spans="1:5">
      <c r="A1965" s="6"/>
      <c r="B1965" s="7"/>
      <c r="C1965" s="6"/>
      <c r="D1965" s="3"/>
      <c r="E1965" s="3"/>
    </row>
    <row r="1966" s="2" customFormat="1" ht="15.75" spans="1:5">
      <c r="A1966" s="6"/>
      <c r="B1966" s="7"/>
      <c r="C1966" s="6"/>
      <c r="D1966" s="3"/>
      <c r="E1966" s="3"/>
    </row>
    <row r="1967" s="2" customFormat="1" ht="15.75" spans="1:5">
      <c r="A1967" s="6"/>
      <c r="B1967" s="7"/>
      <c r="C1967" s="6"/>
      <c r="D1967" s="3"/>
      <c r="E1967" s="3"/>
    </row>
    <row r="1968" s="2" customFormat="1" ht="15.75" spans="1:5">
      <c r="A1968" s="6"/>
      <c r="B1968" s="7"/>
      <c r="C1968" s="6"/>
      <c r="D1968" s="3"/>
      <c r="E1968" s="3"/>
    </row>
    <row r="1969" s="2" customFormat="1" ht="15.75" spans="1:5">
      <c r="A1969" s="6"/>
      <c r="B1969" s="7"/>
      <c r="C1969" s="6"/>
      <c r="D1969" s="3"/>
      <c r="E1969" s="3"/>
    </row>
    <row r="1970" s="2" customFormat="1" ht="15.75" spans="1:5">
      <c r="A1970" s="6"/>
      <c r="B1970" s="7"/>
      <c r="C1970" s="6"/>
      <c r="D1970" s="3"/>
      <c r="E1970" s="3"/>
    </row>
    <row r="1971" s="2" customFormat="1" ht="15.75" spans="1:5">
      <c r="A1971" s="6"/>
      <c r="B1971" s="7"/>
      <c r="C1971" s="6"/>
      <c r="D1971" s="3"/>
      <c r="E1971" s="3"/>
    </row>
    <row r="1972" s="2" customFormat="1" ht="15.75" spans="1:5">
      <c r="A1972" s="6"/>
      <c r="B1972" s="7"/>
      <c r="C1972" s="6"/>
      <c r="D1972" s="3"/>
      <c r="E1972" s="3"/>
    </row>
    <row r="1973" s="2" customFormat="1" ht="15.75" spans="1:5">
      <c r="A1973" s="6"/>
      <c r="B1973" s="7"/>
      <c r="C1973" s="6"/>
      <c r="D1973" s="3"/>
      <c r="E1973" s="3"/>
    </row>
    <row r="1974" s="2" customFormat="1" ht="15.75" spans="1:5">
      <c r="A1974" s="6"/>
      <c r="B1974" s="7"/>
      <c r="C1974" s="6"/>
      <c r="D1974" s="3"/>
      <c r="E1974" s="3"/>
    </row>
    <row r="1975" s="2" customFormat="1" ht="15.75" spans="1:5">
      <c r="A1975" s="6"/>
      <c r="B1975" s="7"/>
      <c r="C1975" s="6"/>
      <c r="D1975" s="3"/>
      <c r="E1975" s="3"/>
    </row>
    <row r="1976" s="2" customFormat="1" ht="15.75" spans="1:5">
      <c r="A1976" s="6"/>
      <c r="B1976" s="7"/>
      <c r="C1976" s="6"/>
      <c r="D1976" s="3"/>
      <c r="E1976" s="3"/>
    </row>
    <row r="1977" s="2" customFormat="1" ht="15.75" spans="1:5">
      <c r="A1977" s="6"/>
      <c r="B1977" s="7"/>
      <c r="C1977" s="6"/>
      <c r="D1977" s="3"/>
      <c r="E1977" s="3"/>
    </row>
    <row r="1978" s="2" customFormat="1" ht="15.75" spans="1:5">
      <c r="A1978" s="6"/>
      <c r="B1978" s="7"/>
      <c r="C1978" s="6"/>
      <c r="D1978" s="3"/>
      <c r="E1978" s="3"/>
    </row>
    <row r="1979" s="2" customFormat="1" ht="15.75" spans="1:5">
      <c r="A1979" s="6"/>
      <c r="B1979" s="7"/>
      <c r="C1979" s="6"/>
      <c r="D1979" s="3"/>
      <c r="E1979" s="3"/>
    </row>
    <row r="1980" s="2" customFormat="1" ht="15.75" spans="1:5">
      <c r="A1980" s="6"/>
      <c r="B1980" s="7"/>
      <c r="C1980" s="6"/>
      <c r="D1980" s="3"/>
      <c r="E1980" s="3"/>
    </row>
    <row r="1981" s="2" customFormat="1" ht="15.75" spans="1:5">
      <c r="A1981" s="6"/>
      <c r="B1981" s="7"/>
      <c r="C1981" s="6"/>
      <c r="D1981" s="3"/>
      <c r="E1981" s="3"/>
    </row>
    <row r="1982" s="2" customFormat="1" ht="15.75" spans="1:5">
      <c r="A1982" s="6"/>
      <c r="B1982" s="7"/>
      <c r="C1982" s="6"/>
      <c r="D1982" s="3"/>
      <c r="E1982" s="3"/>
    </row>
    <row r="1983" s="2" customFormat="1" ht="15.75" spans="1:5">
      <c r="A1983" s="6"/>
      <c r="B1983" s="7"/>
      <c r="C1983" s="6"/>
      <c r="D1983" s="3"/>
      <c r="E1983" s="3"/>
    </row>
    <row r="1984" s="2" customFormat="1" ht="15.75" spans="1:5">
      <c r="A1984" s="6"/>
      <c r="B1984" s="7"/>
      <c r="C1984" s="6"/>
      <c r="D1984" s="3"/>
      <c r="E1984" s="3"/>
    </row>
    <row r="1985" s="2" customFormat="1" ht="15.75" spans="1:5">
      <c r="A1985" s="6"/>
      <c r="B1985" s="7"/>
      <c r="C1985" s="6"/>
      <c r="D1985" s="3"/>
      <c r="E1985" s="3"/>
    </row>
    <row r="1986" s="2" customFormat="1" ht="15.75" spans="1:5">
      <c r="A1986" s="6"/>
      <c r="B1986" s="7"/>
      <c r="C1986" s="6"/>
      <c r="D1986" s="3"/>
      <c r="E1986" s="3"/>
    </row>
    <row r="1987" s="2" customFormat="1" ht="15.75" spans="1:5">
      <c r="A1987" s="6"/>
      <c r="B1987" s="7"/>
      <c r="C1987" s="6"/>
      <c r="D1987" s="3"/>
      <c r="E1987" s="3"/>
    </row>
    <row r="1988" s="2" customFormat="1" ht="15.75" spans="1:5">
      <c r="A1988" s="6"/>
      <c r="B1988" s="7"/>
      <c r="C1988" s="6"/>
      <c r="D1988" s="3"/>
      <c r="E1988" s="3"/>
    </row>
    <row r="1989" s="2" customFormat="1" ht="15.75" spans="1:5">
      <c r="A1989" s="6"/>
      <c r="B1989" s="7"/>
      <c r="C1989" s="6"/>
      <c r="D1989" s="3"/>
      <c r="E1989" s="3"/>
    </row>
    <row r="1990" s="2" customFormat="1" ht="15.75" spans="1:5">
      <c r="A1990" s="6"/>
      <c r="B1990" s="7"/>
      <c r="C1990" s="6"/>
      <c r="D1990" s="3"/>
      <c r="E1990" s="3"/>
    </row>
    <row r="1991" s="2" customFormat="1" ht="15.75" spans="1:5">
      <c r="A1991" s="6"/>
      <c r="B1991" s="7"/>
      <c r="C1991" s="6"/>
      <c r="D1991" s="3"/>
      <c r="E1991" s="3"/>
    </row>
    <row r="1992" s="2" customFormat="1" ht="15.75" spans="1:5">
      <c r="A1992" s="6"/>
      <c r="B1992" s="7"/>
      <c r="C1992" s="6"/>
      <c r="D1992" s="3"/>
      <c r="E1992" s="3"/>
    </row>
    <row r="1993" s="2" customFormat="1" ht="15.75" spans="1:5">
      <c r="A1993" s="6"/>
      <c r="B1993" s="7"/>
      <c r="C1993" s="6"/>
      <c r="D1993" s="3"/>
      <c r="E1993" s="3"/>
    </row>
    <row r="1994" s="2" customFormat="1" ht="15.75" spans="1:5">
      <c r="A1994" s="6"/>
      <c r="B1994" s="7"/>
      <c r="C1994" s="6"/>
      <c r="D1994" s="3"/>
      <c r="E1994" s="3"/>
    </row>
    <row r="1995" s="2" customFormat="1" ht="15.75" spans="1:5">
      <c r="A1995" s="6"/>
      <c r="B1995" s="7"/>
      <c r="C1995" s="6"/>
      <c r="D1995" s="3"/>
      <c r="E1995" s="3"/>
    </row>
    <row r="1996" s="2" customFormat="1" ht="15.75" spans="1:5">
      <c r="A1996" s="6"/>
      <c r="B1996" s="7"/>
      <c r="C1996" s="6"/>
      <c r="D1996" s="3"/>
      <c r="E1996" s="3"/>
    </row>
    <row r="1997" s="2" customFormat="1" ht="15.75" spans="1:5">
      <c r="A1997" s="6"/>
      <c r="B1997" s="7"/>
      <c r="C1997" s="6"/>
      <c r="D1997" s="3"/>
      <c r="E1997" s="3"/>
    </row>
    <row r="1998" s="2" customFormat="1" ht="15.75" spans="1:5">
      <c r="A1998" s="6"/>
      <c r="B1998" s="7"/>
      <c r="C1998" s="6"/>
      <c r="D1998" s="3"/>
      <c r="E1998" s="3"/>
    </row>
    <row r="1999" s="2" customFormat="1" ht="15.75" spans="1:5">
      <c r="A1999" s="6"/>
      <c r="B1999" s="7"/>
      <c r="C1999" s="6"/>
      <c r="D1999" s="3"/>
      <c r="E1999" s="3"/>
    </row>
    <row r="2000" s="2" customFormat="1" ht="15.75" spans="1:5">
      <c r="A2000" s="6"/>
      <c r="B2000" s="7"/>
      <c r="C2000" s="6"/>
      <c r="D2000" s="3"/>
      <c r="E2000" s="3"/>
    </row>
    <row r="2001" s="2" customFormat="1" ht="15.75" spans="1:5">
      <c r="A2001" s="6"/>
      <c r="B2001" s="7"/>
      <c r="C2001" s="6"/>
      <c r="D2001" s="3"/>
      <c r="E2001" s="3"/>
    </row>
    <row r="2002" s="2" customFormat="1" ht="15.75" spans="1:5">
      <c r="A2002" s="6"/>
      <c r="B2002" s="7"/>
      <c r="C2002" s="6"/>
      <c r="D2002" s="3"/>
      <c r="E2002" s="3"/>
    </row>
    <row r="2003" s="2" customFormat="1" ht="15.75" spans="1:5">
      <c r="A2003" s="6"/>
      <c r="B2003" s="7"/>
      <c r="C2003" s="6"/>
      <c r="D2003" s="3"/>
      <c r="E2003" s="3"/>
    </row>
    <row r="2004" s="2" customFormat="1" ht="15.75" spans="1:5">
      <c r="A2004" s="6"/>
      <c r="B2004" s="7"/>
      <c r="C2004" s="6"/>
      <c r="D2004" s="3"/>
      <c r="E2004" s="3"/>
    </row>
    <row r="2005" s="2" customFormat="1" ht="15.75" spans="1:5">
      <c r="A2005" s="6"/>
      <c r="B2005" s="7"/>
      <c r="C2005" s="6"/>
      <c r="D2005" s="3"/>
      <c r="E2005" s="3"/>
    </row>
    <row r="2006" s="2" customFormat="1" ht="15.75" spans="1:5">
      <c r="A2006" s="6"/>
      <c r="B2006" s="7"/>
      <c r="C2006" s="6"/>
      <c r="D2006" s="3"/>
      <c r="E2006" s="3"/>
    </row>
    <row r="2007" s="2" customFormat="1" ht="15.75" spans="1:5">
      <c r="A2007" s="6"/>
      <c r="B2007" s="7"/>
      <c r="C2007" s="6"/>
      <c r="D2007" s="3"/>
      <c r="E2007" s="3"/>
    </row>
    <row r="2008" s="2" customFormat="1" ht="15.75" spans="1:5">
      <c r="A2008" s="6"/>
      <c r="B2008" s="7"/>
      <c r="C2008" s="6"/>
      <c r="D2008" s="3"/>
      <c r="E2008" s="3"/>
    </row>
    <row r="2009" s="2" customFormat="1" ht="15.75" spans="1:5">
      <c r="A2009" s="6"/>
      <c r="B2009" s="7"/>
      <c r="C2009" s="6"/>
      <c r="D2009" s="3"/>
      <c r="E2009" s="3"/>
    </row>
    <row r="2010" s="2" customFormat="1" ht="15.75" spans="1:5">
      <c r="A2010" s="6"/>
      <c r="B2010" s="7"/>
      <c r="C2010" s="6"/>
      <c r="D2010" s="3"/>
      <c r="E2010" s="3"/>
    </row>
    <row r="2011" s="2" customFormat="1" ht="15.75" spans="1:5">
      <c r="A2011" s="6"/>
      <c r="B2011" s="7"/>
      <c r="C2011" s="6"/>
      <c r="D2011" s="3"/>
      <c r="E2011" s="3"/>
    </row>
    <row r="2012" s="2" customFormat="1" ht="15.75" spans="1:5">
      <c r="A2012" s="6"/>
      <c r="B2012" s="7"/>
      <c r="C2012" s="6"/>
      <c r="D2012" s="3"/>
      <c r="E2012" s="3"/>
    </row>
    <row r="2013" s="2" customFormat="1" ht="15.75" spans="1:5">
      <c r="A2013" s="6"/>
      <c r="B2013" s="7"/>
      <c r="C2013" s="6"/>
      <c r="D2013" s="3"/>
      <c r="E2013" s="3"/>
    </row>
    <row r="2014" s="2" customFormat="1" ht="15.75" spans="1:5">
      <c r="A2014" s="6"/>
      <c r="B2014" s="7"/>
      <c r="C2014" s="6"/>
      <c r="D2014" s="3"/>
      <c r="E2014" s="3"/>
    </row>
    <row r="2015" s="2" customFormat="1" ht="15.75" spans="1:5">
      <c r="A2015" s="6"/>
      <c r="B2015" s="7"/>
      <c r="C2015" s="6"/>
      <c r="D2015" s="3"/>
      <c r="E2015" s="3"/>
    </row>
    <row r="2016" s="2" customFormat="1" ht="15.75" spans="1:5">
      <c r="A2016" s="6"/>
      <c r="B2016" s="7"/>
      <c r="C2016" s="6"/>
      <c r="D2016" s="3"/>
      <c r="E2016" s="3"/>
    </row>
    <row r="2017" s="2" customFormat="1" ht="15.75" spans="1:5">
      <c r="A2017" s="6"/>
      <c r="B2017" s="7"/>
      <c r="C2017" s="6"/>
      <c r="D2017" s="3"/>
      <c r="E2017" s="3"/>
    </row>
    <row r="2018" s="2" customFormat="1" ht="15.75" spans="1:5">
      <c r="A2018" s="6"/>
      <c r="B2018" s="7"/>
      <c r="C2018" s="6"/>
      <c r="D2018" s="3"/>
      <c r="E2018" s="3"/>
    </row>
    <row r="2019" s="2" customFormat="1" ht="15.75" spans="1:5">
      <c r="A2019" s="6"/>
      <c r="B2019" s="7"/>
      <c r="C2019" s="6"/>
      <c r="D2019" s="3"/>
      <c r="E2019" s="3"/>
    </row>
    <row r="2020" s="2" customFormat="1" ht="15.75" spans="1:5">
      <c r="A2020" s="6"/>
      <c r="B2020" s="7"/>
      <c r="C2020" s="6"/>
      <c r="D2020" s="3"/>
      <c r="E2020" s="3"/>
    </row>
    <row r="2021" s="2" customFormat="1" ht="15.75" spans="1:5">
      <c r="A2021" s="6"/>
      <c r="B2021" s="7"/>
      <c r="C2021" s="6"/>
      <c r="D2021" s="3"/>
      <c r="E2021" s="3"/>
    </row>
    <row r="2022" s="2" customFormat="1" ht="15.75" spans="1:5">
      <c r="A2022" s="6"/>
      <c r="B2022" s="7"/>
      <c r="C2022" s="6"/>
      <c r="D2022" s="3"/>
      <c r="E2022" s="3"/>
    </row>
    <row r="2023" s="2" customFormat="1" ht="15.75" spans="1:5">
      <c r="A2023" s="6"/>
      <c r="B2023" s="7"/>
      <c r="C2023" s="6"/>
      <c r="D2023" s="3"/>
      <c r="E2023" s="3"/>
    </row>
    <row r="2024" s="2" customFormat="1" ht="15.75" spans="1:5">
      <c r="A2024" s="6"/>
      <c r="B2024" s="7"/>
      <c r="C2024" s="6"/>
      <c r="D2024" s="3"/>
      <c r="E2024" s="3"/>
    </row>
    <row r="2025" s="2" customFormat="1" ht="15.75" spans="1:5">
      <c r="A2025" s="6"/>
      <c r="B2025" s="7"/>
      <c r="C2025" s="6"/>
      <c r="D2025" s="3"/>
      <c r="E2025" s="3"/>
    </row>
    <row r="2026" s="2" customFormat="1" ht="15.75" spans="1:5">
      <c r="A2026" s="6"/>
      <c r="B2026" s="7"/>
      <c r="C2026" s="6"/>
      <c r="D2026" s="3"/>
      <c r="E2026" s="3"/>
    </row>
    <row r="2027" s="2" customFormat="1" ht="15.75" spans="1:5">
      <c r="A2027" s="6"/>
      <c r="B2027" s="7"/>
      <c r="C2027" s="6"/>
      <c r="D2027" s="3"/>
      <c r="E2027" s="3"/>
    </row>
    <row r="2028" s="2" customFormat="1" ht="15.75" spans="1:5">
      <c r="A2028" s="6"/>
      <c r="B2028" s="7"/>
      <c r="C2028" s="6"/>
      <c r="D2028" s="3"/>
      <c r="E2028" s="3"/>
    </row>
    <row r="2029" s="2" customFormat="1" ht="15.75" spans="1:5">
      <c r="A2029" s="6"/>
      <c r="B2029" s="7"/>
      <c r="C2029" s="6"/>
      <c r="D2029" s="3"/>
      <c r="E2029" s="3"/>
    </row>
    <row r="2030" s="2" customFormat="1" ht="15.75" spans="1:5">
      <c r="A2030" s="6"/>
      <c r="B2030" s="7"/>
      <c r="C2030" s="6"/>
      <c r="D2030" s="3"/>
      <c r="E2030" s="3"/>
    </row>
    <row r="2031" s="2" customFormat="1" ht="15.75" spans="1:5">
      <c r="A2031" s="6"/>
      <c r="B2031" s="7"/>
      <c r="C2031" s="6"/>
      <c r="D2031" s="3"/>
      <c r="E2031" s="3"/>
    </row>
    <row r="2032" s="2" customFormat="1" ht="15.75" spans="1:5">
      <c r="A2032" s="6"/>
      <c r="B2032" s="7"/>
      <c r="C2032" s="6"/>
      <c r="D2032" s="3"/>
      <c r="E2032" s="3"/>
    </row>
    <row r="2033" s="2" customFormat="1" ht="15.75" spans="1:5">
      <c r="A2033" s="6"/>
      <c r="B2033" s="7"/>
      <c r="C2033" s="6"/>
      <c r="D2033" s="3"/>
      <c r="E2033" s="3"/>
    </row>
    <row r="2034" s="2" customFormat="1" ht="15.75" spans="1:5">
      <c r="A2034" s="6"/>
      <c r="B2034" s="7"/>
      <c r="C2034" s="6"/>
      <c r="D2034" s="3"/>
      <c r="E2034" s="3"/>
    </row>
    <row r="2035" s="2" customFormat="1" ht="15.75" spans="1:5">
      <c r="A2035" s="6"/>
      <c r="B2035" s="7"/>
      <c r="C2035" s="6"/>
      <c r="D2035" s="3"/>
      <c r="E2035" s="3"/>
    </row>
    <row r="2036" s="2" customFormat="1" ht="15.75" spans="1:5">
      <c r="A2036" s="6"/>
      <c r="B2036" s="7"/>
      <c r="C2036" s="6"/>
      <c r="D2036" s="3"/>
      <c r="E2036" s="3"/>
    </row>
    <row r="2037" s="2" customFormat="1" ht="15.75" spans="1:5">
      <c r="A2037" s="6"/>
      <c r="B2037" s="7"/>
      <c r="C2037" s="6"/>
      <c r="D2037" s="3"/>
      <c r="E2037" s="3"/>
    </row>
    <row r="2038" s="2" customFormat="1" ht="15.75" spans="1:5">
      <c r="A2038" s="6"/>
      <c r="B2038" s="7"/>
      <c r="C2038" s="6"/>
      <c r="D2038" s="3"/>
      <c r="E2038" s="3"/>
    </row>
    <row r="2039" s="2" customFormat="1" ht="15.75" spans="1:5">
      <c r="A2039" s="6"/>
      <c r="B2039" s="7"/>
      <c r="C2039" s="6"/>
      <c r="D2039" s="3"/>
      <c r="E2039" s="3"/>
    </row>
    <row r="2040" s="2" customFormat="1" ht="15.75" spans="1:5">
      <c r="A2040" s="6"/>
      <c r="B2040" s="7"/>
      <c r="C2040" s="6"/>
      <c r="D2040" s="3"/>
      <c r="E2040" s="3"/>
    </row>
    <row r="2041" s="2" customFormat="1" ht="15.75" spans="1:5">
      <c r="A2041" s="6"/>
      <c r="B2041" s="7"/>
      <c r="C2041" s="6"/>
      <c r="D2041" s="3"/>
      <c r="E2041" s="3"/>
    </row>
    <row r="2042" s="2" customFormat="1" ht="15.75" spans="1:5">
      <c r="A2042" s="6"/>
      <c r="B2042" s="7"/>
      <c r="C2042" s="6"/>
      <c r="D2042" s="3"/>
      <c r="E2042" s="3"/>
    </row>
    <row r="2043" s="2" customFormat="1" ht="15.75" spans="1:5">
      <c r="A2043" s="6"/>
      <c r="B2043" s="7"/>
      <c r="C2043" s="6"/>
      <c r="D2043" s="3"/>
      <c r="E2043" s="3"/>
    </row>
    <row r="2044" s="2" customFormat="1" ht="15.75" spans="1:5">
      <c r="A2044" s="6"/>
      <c r="B2044" s="7"/>
      <c r="C2044" s="6"/>
      <c r="D2044" s="3"/>
      <c r="E2044" s="3"/>
    </row>
    <row r="2045" s="2" customFormat="1" ht="15.75" spans="1:5">
      <c r="A2045" s="6"/>
      <c r="B2045" s="7"/>
      <c r="C2045" s="6"/>
      <c r="D2045" s="3"/>
      <c r="E2045" s="3"/>
    </row>
    <row r="2046" s="2" customFormat="1" ht="15.75" spans="1:5">
      <c r="A2046" s="6"/>
      <c r="B2046" s="7"/>
      <c r="C2046" s="6"/>
      <c r="D2046" s="3"/>
      <c r="E2046" s="3"/>
    </row>
    <row r="2047" s="2" customFormat="1" ht="15.75" spans="1:5">
      <c r="A2047" s="6"/>
      <c r="B2047" s="7"/>
      <c r="C2047" s="6"/>
      <c r="D2047" s="3"/>
      <c r="E2047" s="3"/>
    </row>
    <row r="2048" s="2" customFormat="1" ht="15.75" spans="1:5">
      <c r="A2048" s="6"/>
      <c r="B2048" s="7"/>
      <c r="C2048" s="6"/>
      <c r="D2048" s="3"/>
      <c r="E2048" s="3"/>
    </row>
    <row r="2049" s="2" customFormat="1" ht="15.75" spans="1:5">
      <c r="A2049" s="6"/>
      <c r="B2049" s="7"/>
      <c r="C2049" s="6"/>
      <c r="D2049" s="3"/>
      <c r="E2049" s="3"/>
    </row>
    <row r="2050" s="2" customFormat="1" ht="15.75" spans="1:5">
      <c r="A2050" s="6"/>
      <c r="B2050" s="7"/>
      <c r="C2050" s="6"/>
      <c r="D2050" s="3"/>
      <c r="E2050" s="3"/>
    </row>
    <row r="2051" s="2" customFormat="1" ht="15.75" spans="1:5">
      <c r="A2051" s="6"/>
      <c r="B2051" s="7"/>
      <c r="C2051" s="6"/>
      <c r="D2051" s="3"/>
      <c r="E2051" s="3"/>
    </row>
    <row r="2052" s="2" customFormat="1" ht="15.75" spans="1:5">
      <c r="A2052" s="6"/>
      <c r="B2052" s="7"/>
      <c r="C2052" s="6"/>
      <c r="D2052" s="3"/>
      <c r="E2052" s="3"/>
    </row>
    <row r="2053" s="2" customFormat="1" ht="15.75" spans="1:5">
      <c r="A2053" s="6"/>
      <c r="B2053" s="7"/>
      <c r="C2053" s="6"/>
      <c r="D2053" s="3"/>
      <c r="E2053" s="3"/>
    </row>
    <row r="2054" s="2" customFormat="1" ht="15.75" spans="1:5">
      <c r="A2054" s="6"/>
      <c r="B2054" s="7"/>
      <c r="C2054" s="6"/>
      <c r="D2054" s="3"/>
      <c r="E2054" s="3"/>
    </row>
    <row r="2055" s="2" customFormat="1" ht="15.75" spans="1:5">
      <c r="A2055" s="6"/>
      <c r="B2055" s="7"/>
      <c r="C2055" s="6"/>
      <c r="D2055" s="3"/>
      <c r="E2055" s="3"/>
    </row>
    <row r="2056" s="2" customFormat="1" ht="15.75" spans="1:5">
      <c r="A2056" s="6"/>
      <c r="B2056" s="7"/>
      <c r="C2056" s="6"/>
      <c r="D2056" s="3"/>
      <c r="E2056" s="3"/>
    </row>
    <row r="2057" s="2" customFormat="1" ht="15.75" spans="1:5">
      <c r="A2057" s="6"/>
      <c r="B2057" s="7"/>
      <c r="C2057" s="6"/>
      <c r="D2057" s="3"/>
      <c r="E2057" s="3"/>
    </row>
    <row r="2058" s="2" customFormat="1" ht="15.75" spans="1:5">
      <c r="A2058" s="6"/>
      <c r="B2058" s="7"/>
      <c r="C2058" s="6"/>
      <c r="D2058" s="3"/>
      <c r="E2058" s="3"/>
    </row>
    <row r="2059" s="2" customFormat="1" ht="15.75" spans="1:5">
      <c r="A2059" s="6"/>
      <c r="B2059" s="7"/>
      <c r="C2059" s="6"/>
      <c r="D2059" s="3"/>
      <c r="E2059" s="3"/>
    </row>
    <row r="2060" s="2" customFormat="1" ht="15.75" spans="1:5">
      <c r="A2060" s="6"/>
      <c r="B2060" s="7"/>
      <c r="C2060" s="6"/>
      <c r="D2060" s="3"/>
      <c r="E2060" s="3"/>
    </row>
    <row r="2061" s="2" customFormat="1" ht="15.75" spans="1:5">
      <c r="A2061" s="6"/>
      <c r="B2061" s="7"/>
      <c r="C2061" s="6"/>
      <c r="D2061" s="3"/>
      <c r="E2061" s="3"/>
    </row>
    <row r="2062" s="2" customFormat="1" ht="15.75" spans="1:5">
      <c r="A2062" s="6"/>
      <c r="B2062" s="7"/>
      <c r="C2062" s="6"/>
      <c r="D2062" s="3"/>
      <c r="E2062" s="3"/>
    </row>
    <row r="2063" s="2" customFormat="1" ht="15.75" spans="1:5">
      <c r="A2063" s="6"/>
      <c r="B2063" s="7"/>
      <c r="C2063" s="6"/>
      <c r="D2063" s="3"/>
      <c r="E2063" s="3"/>
    </row>
    <row r="2064" s="2" customFormat="1" ht="15.75" spans="1:5">
      <c r="A2064" s="6"/>
      <c r="B2064" s="7"/>
      <c r="C2064" s="6"/>
      <c r="D2064" s="3"/>
      <c r="E2064" s="3"/>
    </row>
    <row r="2065" s="2" customFormat="1" ht="15.75" spans="1:5">
      <c r="A2065" s="6"/>
      <c r="B2065" s="7"/>
      <c r="C2065" s="6"/>
      <c r="D2065" s="3"/>
      <c r="E2065" s="3"/>
    </row>
    <row r="2066" s="2" customFormat="1" ht="15.75" spans="1:5">
      <c r="A2066" s="6"/>
      <c r="B2066" s="7"/>
      <c r="C2066" s="6"/>
      <c r="D2066" s="3"/>
      <c r="E2066" s="3"/>
    </row>
    <row r="2067" s="2" customFormat="1" ht="15.75" spans="1:5">
      <c r="A2067" s="6"/>
      <c r="B2067" s="7"/>
      <c r="C2067" s="6"/>
      <c r="D2067" s="3"/>
      <c r="E2067" s="3"/>
    </row>
    <row r="2068" s="2" customFormat="1" ht="15.75" spans="1:5">
      <c r="A2068" s="6"/>
      <c r="B2068" s="7"/>
      <c r="C2068" s="6"/>
      <c r="D2068" s="3"/>
      <c r="E2068" s="3"/>
    </row>
    <row r="2069" s="2" customFormat="1" ht="15.75" spans="1:5">
      <c r="A2069" s="6"/>
      <c r="B2069" s="7"/>
      <c r="C2069" s="6"/>
      <c r="D2069" s="3"/>
      <c r="E2069" s="3"/>
    </row>
    <row r="2070" s="2" customFormat="1" ht="15.75" spans="1:5">
      <c r="A2070" s="6"/>
      <c r="B2070" s="7"/>
      <c r="C2070" s="6"/>
      <c r="D2070" s="3"/>
      <c r="E2070" s="3"/>
    </row>
    <row r="2071" s="2" customFormat="1" ht="15.75" spans="1:5">
      <c r="A2071" s="6"/>
      <c r="B2071" s="7"/>
      <c r="C2071" s="6"/>
      <c r="D2071" s="3"/>
      <c r="E2071" s="3"/>
    </row>
    <row r="2072" s="2" customFormat="1" ht="15.75" spans="1:5">
      <c r="A2072" s="6"/>
      <c r="B2072" s="7"/>
      <c r="C2072" s="6"/>
      <c r="D2072" s="3"/>
      <c r="E2072" s="3"/>
    </row>
    <row r="2073" s="2" customFormat="1" ht="15.75" spans="1:5">
      <c r="A2073" s="6"/>
      <c r="B2073" s="7"/>
      <c r="C2073" s="6"/>
      <c r="D2073" s="3"/>
      <c r="E2073" s="3"/>
    </row>
    <row r="2074" s="2" customFormat="1" ht="15.75" spans="1:5">
      <c r="A2074" s="6"/>
      <c r="B2074" s="7"/>
      <c r="C2074" s="6"/>
      <c r="D2074" s="3"/>
      <c r="E2074" s="3"/>
    </row>
    <row r="2075" s="2" customFormat="1" ht="15.75" spans="1:5">
      <c r="A2075" s="6"/>
      <c r="B2075" s="7"/>
      <c r="C2075" s="6"/>
      <c r="D2075" s="3"/>
      <c r="E2075" s="3"/>
    </row>
    <row r="2076" s="2" customFormat="1" ht="15.75" spans="1:5">
      <c r="A2076" s="6"/>
      <c r="B2076" s="7"/>
      <c r="C2076" s="6"/>
      <c r="D2076" s="3"/>
      <c r="E2076" s="3"/>
    </row>
    <row r="2077" s="2" customFormat="1" ht="15.75" spans="1:5">
      <c r="A2077" s="6"/>
      <c r="B2077" s="7"/>
      <c r="C2077" s="6"/>
      <c r="D2077" s="3"/>
      <c r="E2077" s="3"/>
    </row>
    <row r="2078" s="2" customFormat="1" ht="15.75" spans="1:5">
      <c r="A2078" s="6"/>
      <c r="B2078" s="7"/>
      <c r="C2078" s="6"/>
      <c r="D2078" s="3"/>
      <c r="E2078" s="3"/>
    </row>
    <row r="2079" s="2" customFormat="1" ht="15.75" spans="1:5">
      <c r="A2079" s="6"/>
      <c r="B2079" s="7"/>
      <c r="C2079" s="6"/>
      <c r="D2079" s="3"/>
      <c r="E2079" s="3"/>
    </row>
    <row r="2080" s="2" customFormat="1" ht="15.75" spans="1:5">
      <c r="A2080" s="6"/>
      <c r="B2080" s="7"/>
      <c r="C2080" s="6"/>
      <c r="D2080" s="3"/>
      <c r="E2080" s="3"/>
    </row>
    <row r="2081" s="2" customFormat="1" ht="15.75" spans="1:5">
      <c r="A2081" s="6"/>
      <c r="B2081" s="7"/>
      <c r="C2081" s="6"/>
      <c r="D2081" s="3"/>
      <c r="E2081" s="3"/>
    </row>
    <row r="2082" s="2" customFormat="1" ht="15.75" spans="1:5">
      <c r="A2082" s="6"/>
      <c r="B2082" s="7"/>
      <c r="C2082" s="6"/>
      <c r="D2082" s="3"/>
      <c r="E2082" s="3"/>
    </row>
    <row r="2083" s="2" customFormat="1" ht="15.75" spans="1:5">
      <c r="A2083" s="6"/>
      <c r="B2083" s="7"/>
      <c r="C2083" s="6"/>
      <c r="D2083" s="3"/>
      <c r="E2083" s="3"/>
    </row>
    <row r="2084" s="2" customFormat="1" ht="15.75" spans="1:5">
      <c r="A2084" s="6"/>
      <c r="B2084" s="7"/>
      <c r="C2084" s="6"/>
      <c r="D2084" s="3"/>
      <c r="E2084" s="3"/>
    </row>
    <row r="2085" s="2" customFormat="1" ht="15.75" spans="1:5">
      <c r="A2085" s="6"/>
      <c r="B2085" s="7"/>
      <c r="C2085" s="6"/>
      <c r="D2085" s="3"/>
      <c r="E2085" s="3"/>
    </row>
    <row r="2086" s="2" customFormat="1" ht="15.75" spans="1:5">
      <c r="A2086" s="6"/>
      <c r="B2086" s="7"/>
      <c r="C2086" s="6"/>
      <c r="D2086" s="3"/>
      <c r="E2086" s="3"/>
    </row>
    <row r="2087" s="2" customFormat="1" ht="15.75" spans="1:5">
      <c r="A2087" s="6"/>
      <c r="B2087" s="7"/>
      <c r="C2087" s="6"/>
      <c r="D2087" s="3"/>
      <c r="E2087" s="3"/>
    </row>
    <row r="2088" s="2" customFormat="1" ht="15.75" spans="1:5">
      <c r="A2088" s="6"/>
      <c r="B2088" s="7"/>
      <c r="C2088" s="6"/>
      <c r="D2088" s="3"/>
      <c r="E2088" s="3"/>
    </row>
    <row r="2089" s="2" customFormat="1" ht="15.75" spans="1:5">
      <c r="A2089" s="6"/>
      <c r="B2089" s="7"/>
      <c r="C2089" s="6"/>
      <c r="D2089" s="3"/>
      <c r="E2089" s="3"/>
    </row>
    <row r="2090" s="2" customFormat="1" ht="15.75" spans="1:5">
      <c r="A2090" s="6"/>
      <c r="B2090" s="7"/>
      <c r="C2090" s="6"/>
      <c r="D2090" s="3"/>
      <c r="E2090" s="3"/>
    </row>
    <row r="2091" s="2" customFormat="1" ht="15.75" spans="1:5">
      <c r="A2091" s="6"/>
      <c r="B2091" s="7"/>
      <c r="C2091" s="6"/>
      <c r="D2091" s="3"/>
      <c r="E2091" s="3"/>
    </row>
    <row r="2092" s="2" customFormat="1" ht="15.75" spans="1:5">
      <c r="A2092" s="6"/>
      <c r="B2092" s="7"/>
      <c r="C2092" s="6"/>
      <c r="D2092" s="3"/>
      <c r="E2092" s="3"/>
    </row>
    <row r="2093" s="2" customFormat="1" ht="15.75" spans="1:5">
      <c r="A2093" s="6"/>
      <c r="B2093" s="7"/>
      <c r="C2093" s="6"/>
      <c r="D2093" s="3"/>
      <c r="E2093" s="3"/>
    </row>
    <row r="2094" s="2" customFormat="1" ht="15.75" spans="1:5">
      <c r="A2094" s="6"/>
      <c r="B2094" s="7"/>
      <c r="C2094" s="6"/>
      <c r="D2094" s="3"/>
      <c r="E2094" s="3"/>
    </row>
    <row r="2095" s="2" customFormat="1" ht="15.75" spans="1:5">
      <c r="A2095" s="6"/>
      <c r="B2095" s="7"/>
      <c r="C2095" s="6"/>
      <c r="D2095" s="3"/>
      <c r="E2095" s="3"/>
    </row>
    <row r="2096" s="2" customFormat="1" ht="15.75" spans="1:5">
      <c r="A2096" s="6"/>
      <c r="B2096" s="7"/>
      <c r="C2096" s="6"/>
      <c r="D2096" s="3"/>
      <c r="E2096" s="3"/>
    </row>
    <row r="2097" s="2" customFormat="1" ht="15.75" spans="1:5">
      <c r="A2097" s="6"/>
      <c r="B2097" s="7"/>
      <c r="C2097" s="6"/>
      <c r="D2097" s="3"/>
      <c r="E2097" s="3"/>
    </row>
    <row r="2098" s="2" customFormat="1" ht="15.75" spans="1:5">
      <c r="A2098" s="6"/>
      <c r="B2098" s="7"/>
      <c r="C2098" s="6"/>
      <c r="D2098" s="3"/>
      <c r="E2098" s="3"/>
    </row>
    <row r="2099" s="2" customFormat="1" ht="15.75" spans="1:5">
      <c r="A2099" s="6"/>
      <c r="B2099" s="7"/>
      <c r="C2099" s="6"/>
      <c r="D2099" s="3"/>
      <c r="E2099" s="3"/>
    </row>
    <row r="2100" s="2" customFormat="1" ht="15.75" spans="1:5">
      <c r="A2100" s="6"/>
      <c r="B2100" s="7"/>
      <c r="C2100" s="6"/>
      <c r="D2100" s="3"/>
      <c r="E2100" s="3"/>
    </row>
    <row r="2101" s="2" customFormat="1" ht="15.75" spans="1:5">
      <c r="A2101" s="6"/>
      <c r="B2101" s="7"/>
      <c r="C2101" s="6"/>
      <c r="D2101" s="3"/>
      <c r="E2101" s="3"/>
    </row>
    <row r="2102" s="2" customFormat="1" ht="15.75" spans="1:5">
      <c r="A2102" s="6"/>
      <c r="B2102" s="7"/>
      <c r="C2102" s="6"/>
      <c r="D2102" s="3"/>
      <c r="E2102" s="3"/>
    </row>
    <row r="2103" s="2" customFormat="1" ht="15.75" spans="1:5">
      <c r="A2103" s="6"/>
      <c r="B2103" s="7"/>
      <c r="C2103" s="6"/>
      <c r="D2103" s="3"/>
      <c r="E2103" s="3"/>
    </row>
    <row r="2104" s="2" customFormat="1" ht="15.75" spans="1:5">
      <c r="A2104" s="6"/>
      <c r="B2104" s="7"/>
      <c r="C2104" s="6"/>
      <c r="D2104" s="3"/>
      <c r="E2104" s="3"/>
    </row>
    <row r="2105" s="2" customFormat="1" ht="15.75" spans="1:5">
      <c r="A2105" s="6"/>
      <c r="B2105" s="7"/>
      <c r="C2105" s="6"/>
      <c r="D2105" s="3"/>
      <c r="E2105" s="3"/>
    </row>
    <row r="2106" s="2" customFormat="1" ht="15.75" spans="1:5">
      <c r="A2106" s="6"/>
      <c r="B2106" s="7"/>
      <c r="C2106" s="6"/>
      <c r="D2106" s="3"/>
      <c r="E2106" s="3"/>
    </row>
    <row r="2107" s="2" customFormat="1" ht="15.75" spans="1:5">
      <c r="A2107" s="6"/>
      <c r="B2107" s="7"/>
      <c r="C2107" s="6"/>
      <c r="D2107" s="3"/>
      <c r="E2107" s="3"/>
    </row>
    <row r="2108" s="2" customFormat="1" ht="15.75" spans="1:5">
      <c r="A2108" s="6"/>
      <c r="B2108" s="7"/>
      <c r="C2108" s="6"/>
      <c r="D2108" s="3"/>
      <c r="E2108" s="3"/>
    </row>
    <row r="2109" s="2" customFormat="1" ht="15.75" spans="1:5">
      <c r="A2109" s="6"/>
      <c r="B2109" s="7"/>
      <c r="C2109" s="6"/>
      <c r="D2109" s="3"/>
      <c r="E2109" s="3"/>
    </row>
    <row r="2110" s="2" customFormat="1" ht="15.75" spans="1:5">
      <c r="A2110" s="6"/>
      <c r="B2110" s="7"/>
      <c r="C2110" s="6"/>
      <c r="D2110" s="3"/>
      <c r="E2110" s="3"/>
    </row>
    <row r="2111" s="2" customFormat="1" ht="15.75" spans="1:5">
      <c r="A2111" s="6"/>
      <c r="B2111" s="7"/>
      <c r="C2111" s="6"/>
      <c r="D2111" s="3"/>
      <c r="E2111" s="3"/>
    </row>
    <row r="2112" s="2" customFormat="1" ht="15.75" spans="1:5">
      <c r="A2112" s="6"/>
      <c r="B2112" s="7"/>
      <c r="C2112" s="6"/>
      <c r="D2112" s="3"/>
      <c r="E2112" s="3"/>
    </row>
    <row r="2113" s="2" customFormat="1" ht="15.75" spans="1:5">
      <c r="A2113" s="6"/>
      <c r="B2113" s="7"/>
      <c r="C2113" s="6"/>
      <c r="D2113" s="3"/>
      <c r="E2113" s="3"/>
    </row>
    <row r="2114" s="2" customFormat="1" ht="15.75" spans="1:5">
      <c r="A2114" s="6"/>
      <c r="B2114" s="7"/>
      <c r="C2114" s="6"/>
      <c r="D2114" s="3"/>
      <c r="E2114" s="3"/>
    </row>
    <row r="2115" s="2" customFormat="1" ht="15.75" spans="1:5">
      <c r="A2115" s="6"/>
      <c r="B2115" s="7"/>
      <c r="C2115" s="6"/>
      <c r="D2115" s="3"/>
      <c r="E2115" s="3"/>
    </row>
    <row r="2116" s="2" customFormat="1" ht="15.75" spans="1:5">
      <c r="A2116" s="6"/>
      <c r="B2116" s="7"/>
      <c r="C2116" s="6"/>
      <c r="D2116" s="3"/>
      <c r="E2116" s="3"/>
    </row>
    <row r="2117" s="2" customFormat="1" ht="15.75" spans="1:5">
      <c r="A2117" s="6"/>
      <c r="B2117" s="7"/>
      <c r="C2117" s="6"/>
      <c r="D2117" s="3"/>
      <c r="E2117" s="3"/>
    </row>
    <row r="2118" s="2" customFormat="1" ht="15.75" spans="1:5">
      <c r="A2118" s="6"/>
      <c r="B2118" s="7"/>
      <c r="C2118" s="6"/>
      <c r="D2118" s="3"/>
      <c r="E2118" s="3"/>
    </row>
    <row r="2119" s="2" customFormat="1" ht="15.75" spans="1:5">
      <c r="A2119" s="6"/>
      <c r="B2119" s="7"/>
      <c r="C2119" s="6"/>
      <c r="D2119" s="3"/>
      <c r="E2119" s="3"/>
    </row>
    <row r="2120" s="2" customFormat="1" ht="15.75" spans="1:5">
      <c r="A2120" s="6"/>
      <c r="B2120" s="7"/>
      <c r="C2120" s="6"/>
      <c r="D2120" s="3"/>
      <c r="E2120" s="3"/>
    </row>
    <row r="2121" s="2" customFormat="1" ht="15.75" spans="1:5">
      <c r="A2121" s="6"/>
      <c r="B2121" s="7"/>
      <c r="C2121" s="6"/>
      <c r="D2121" s="3"/>
      <c r="E2121" s="3"/>
    </row>
    <row r="2122" s="2" customFormat="1" ht="15.75" spans="1:5">
      <c r="A2122" s="6"/>
      <c r="B2122" s="7"/>
      <c r="C2122" s="6"/>
      <c r="D2122" s="3"/>
      <c r="E2122" s="3"/>
    </row>
    <row r="2123" s="2" customFormat="1" ht="15.75" spans="1:5">
      <c r="A2123" s="6"/>
      <c r="B2123" s="7"/>
      <c r="C2123" s="6"/>
      <c r="D2123" s="3"/>
      <c r="E2123" s="3"/>
    </row>
    <row r="2124" s="2" customFormat="1" ht="15.75" spans="1:5">
      <c r="A2124" s="6"/>
      <c r="B2124" s="7"/>
      <c r="C2124" s="6"/>
      <c r="D2124" s="3"/>
      <c r="E2124" s="3"/>
    </row>
    <row r="2125" s="2" customFormat="1" ht="15.75" spans="1:5">
      <c r="A2125" s="6"/>
      <c r="B2125" s="7"/>
      <c r="C2125" s="6"/>
      <c r="D2125" s="3"/>
      <c r="E2125" s="3"/>
    </row>
    <row r="2126" s="2" customFormat="1" ht="15.75" spans="1:5">
      <c r="A2126" s="6"/>
      <c r="B2126" s="7"/>
      <c r="C2126" s="6"/>
      <c r="D2126" s="3"/>
      <c r="E2126" s="3"/>
    </row>
    <row r="2127" s="2" customFormat="1" ht="15.75" spans="1:5">
      <c r="A2127" s="6"/>
      <c r="B2127" s="7"/>
      <c r="C2127" s="6"/>
      <c r="D2127" s="3"/>
      <c r="E2127" s="3"/>
    </row>
    <row r="2128" s="2" customFormat="1" ht="15.75" spans="1:5">
      <c r="A2128" s="6"/>
      <c r="B2128" s="7"/>
      <c r="C2128" s="6"/>
      <c r="D2128" s="3"/>
      <c r="E2128" s="3"/>
    </row>
    <row r="2129" s="2" customFormat="1" ht="15.75" spans="1:5">
      <c r="A2129" s="6"/>
      <c r="B2129" s="7"/>
      <c r="C2129" s="6"/>
      <c r="D2129" s="3"/>
      <c r="E2129" s="3"/>
    </row>
    <row r="2130" s="2" customFormat="1" ht="15.75" spans="1:5">
      <c r="A2130" s="6"/>
      <c r="B2130" s="7"/>
      <c r="C2130" s="6"/>
      <c r="D2130" s="3"/>
      <c r="E2130" s="3"/>
    </row>
    <row r="2131" s="2" customFormat="1" ht="15.75" spans="1:5">
      <c r="A2131" s="6"/>
      <c r="B2131" s="7"/>
      <c r="C2131" s="6"/>
      <c r="D2131" s="3"/>
      <c r="E2131" s="3"/>
    </row>
    <row r="2132" s="2" customFormat="1" ht="15.75" spans="1:5">
      <c r="A2132" s="6"/>
      <c r="B2132" s="7"/>
      <c r="C2132" s="6"/>
      <c r="D2132" s="3"/>
      <c r="E2132" s="3"/>
    </row>
    <row r="2133" s="2" customFormat="1" ht="15.75" spans="1:5">
      <c r="A2133" s="6"/>
      <c r="B2133" s="7"/>
      <c r="C2133" s="6"/>
      <c r="D2133" s="3"/>
      <c r="E2133" s="3"/>
    </row>
    <row r="2134" s="2" customFormat="1" ht="15.75" spans="1:5">
      <c r="A2134" s="6"/>
      <c r="B2134" s="7"/>
      <c r="C2134" s="6"/>
      <c r="D2134" s="3"/>
      <c r="E2134" s="3"/>
    </row>
    <row r="2135" s="2" customFormat="1" ht="15.75" spans="1:5">
      <c r="A2135" s="6"/>
      <c r="B2135" s="7"/>
      <c r="C2135" s="6"/>
      <c r="D2135" s="3"/>
      <c r="E2135" s="3"/>
    </row>
    <row r="2136" s="2" customFormat="1" ht="15.75" spans="1:5">
      <c r="A2136" s="6"/>
      <c r="B2136" s="7"/>
      <c r="C2136" s="6"/>
      <c r="D2136" s="3"/>
      <c r="E2136" s="3"/>
    </row>
    <row r="2137" s="2" customFormat="1" ht="15.75" spans="1:5">
      <c r="A2137" s="6"/>
      <c r="B2137" s="7"/>
      <c r="C2137" s="6"/>
      <c r="D2137" s="3"/>
      <c r="E2137" s="3"/>
    </row>
    <row r="2138" s="2" customFormat="1" ht="15.75" spans="1:5">
      <c r="A2138" s="6"/>
      <c r="B2138" s="7"/>
      <c r="C2138" s="6"/>
      <c r="D2138" s="3"/>
      <c r="E2138" s="3"/>
    </row>
    <row r="2139" s="2" customFormat="1" ht="15.75" spans="1:5">
      <c r="A2139" s="6"/>
      <c r="B2139" s="7"/>
      <c r="C2139" s="6"/>
      <c r="D2139" s="3"/>
      <c r="E2139" s="3"/>
    </row>
    <row r="2140" s="2" customFormat="1" ht="15.75" spans="1:5">
      <c r="A2140" s="6"/>
      <c r="B2140" s="7"/>
      <c r="C2140" s="6"/>
      <c r="D2140" s="3"/>
      <c r="E2140" s="3"/>
    </row>
    <row r="2141" s="2" customFormat="1" ht="15.75" spans="1:5">
      <c r="A2141" s="6"/>
      <c r="B2141" s="7"/>
      <c r="C2141" s="6"/>
      <c r="D2141" s="3"/>
      <c r="E2141" s="3"/>
    </row>
    <row r="2142" s="2" customFormat="1" ht="15.75" spans="1:5">
      <c r="A2142" s="6"/>
      <c r="B2142" s="7"/>
      <c r="C2142" s="6"/>
      <c r="D2142" s="3"/>
      <c r="E2142" s="3"/>
    </row>
    <row r="2143" s="2" customFormat="1" ht="15.75" spans="1:5">
      <c r="A2143" s="6"/>
      <c r="B2143" s="7"/>
      <c r="C2143" s="6"/>
      <c r="D2143" s="3"/>
      <c r="E2143" s="3"/>
    </row>
    <row r="2144" s="2" customFormat="1" ht="15.75" spans="1:5">
      <c r="A2144" s="6"/>
      <c r="B2144" s="7"/>
      <c r="C2144" s="6"/>
      <c r="D2144" s="3"/>
      <c r="E2144" s="3"/>
    </row>
    <row r="2145" s="2" customFormat="1" ht="15.75" spans="1:5">
      <c r="A2145" s="6"/>
      <c r="B2145" s="7"/>
      <c r="C2145" s="6"/>
      <c r="D2145" s="3"/>
      <c r="E2145" s="3"/>
    </row>
    <row r="2146" s="2" customFormat="1" ht="15.75" spans="1:5">
      <c r="A2146" s="6"/>
      <c r="B2146" s="7"/>
      <c r="C2146" s="6"/>
      <c r="D2146" s="3"/>
      <c r="E2146" s="3"/>
    </row>
    <row r="2147" s="2" customFormat="1" ht="15.75" spans="1:5">
      <c r="A2147" s="6"/>
      <c r="B2147" s="7"/>
      <c r="C2147" s="6"/>
      <c r="D2147" s="3"/>
      <c r="E2147" s="3"/>
    </row>
    <row r="2148" s="2" customFormat="1" ht="15.75" spans="1:5">
      <c r="A2148" s="6"/>
      <c r="B2148" s="7"/>
      <c r="C2148" s="6"/>
      <c r="D2148" s="3"/>
      <c r="E2148" s="3"/>
    </row>
    <row r="2149" s="2" customFormat="1" ht="15.75" spans="1:5">
      <c r="A2149" s="6"/>
      <c r="B2149" s="7"/>
      <c r="C2149" s="6"/>
      <c r="D2149" s="3"/>
      <c r="E2149" s="3"/>
    </row>
    <row r="2150" s="2" customFormat="1" ht="15.75" spans="1:5">
      <c r="A2150" s="6"/>
      <c r="B2150" s="7"/>
      <c r="C2150" s="6"/>
      <c r="D2150" s="3"/>
      <c r="E2150" s="3"/>
    </row>
    <row r="2151" s="2" customFormat="1" ht="15.75" spans="1:5">
      <c r="A2151" s="6"/>
      <c r="B2151" s="7"/>
      <c r="C2151" s="6"/>
      <c r="D2151" s="3"/>
      <c r="E2151" s="3"/>
    </row>
    <row r="2152" s="2" customFormat="1" ht="15.75" spans="1:5">
      <c r="A2152" s="6"/>
      <c r="B2152" s="7"/>
      <c r="C2152" s="6"/>
      <c r="D2152" s="3"/>
      <c r="E2152" s="3"/>
    </row>
    <row r="2153" s="2" customFormat="1" ht="15.75" spans="1:5">
      <c r="A2153" s="6"/>
      <c r="B2153" s="7"/>
      <c r="C2153" s="6"/>
      <c r="D2153" s="3"/>
      <c r="E2153" s="3"/>
    </row>
    <row r="2154" s="2" customFormat="1" ht="15.75" spans="1:5">
      <c r="A2154" s="6"/>
      <c r="B2154" s="7"/>
      <c r="C2154" s="6"/>
      <c r="D2154" s="3"/>
      <c r="E2154" s="3"/>
    </row>
    <row r="2155" s="2" customFormat="1" ht="15.75" spans="1:5">
      <c r="A2155" s="6"/>
      <c r="B2155" s="7"/>
      <c r="C2155" s="6"/>
      <c r="D2155" s="3"/>
      <c r="E2155" s="3"/>
    </row>
    <row r="2156" s="2" customFormat="1" ht="15.75" spans="1:5">
      <c r="A2156" s="6"/>
      <c r="B2156" s="7"/>
      <c r="C2156" s="6"/>
      <c r="D2156" s="3"/>
      <c r="E2156" s="3"/>
    </row>
    <row r="2157" s="2" customFormat="1" ht="15.75" spans="1:5">
      <c r="A2157" s="6"/>
      <c r="B2157" s="7"/>
      <c r="C2157" s="6"/>
      <c r="D2157" s="3"/>
      <c r="E2157" s="3"/>
    </row>
    <row r="2158" s="2" customFormat="1" ht="15.75" spans="1:5">
      <c r="A2158" s="6"/>
      <c r="B2158" s="7"/>
      <c r="C2158" s="6"/>
      <c r="D2158" s="3"/>
      <c r="E2158" s="3"/>
    </row>
    <row r="2159" s="2" customFormat="1" ht="15.75" spans="1:5">
      <c r="A2159" s="6"/>
      <c r="B2159" s="7"/>
      <c r="C2159" s="6"/>
      <c r="D2159" s="3"/>
      <c r="E2159" s="3"/>
    </row>
    <row r="2160" s="2" customFormat="1" ht="15.75" spans="1:5">
      <c r="A2160" s="6"/>
      <c r="B2160" s="7"/>
      <c r="C2160" s="6"/>
      <c r="D2160" s="3"/>
      <c r="E2160" s="3"/>
    </row>
    <row r="2161" s="2" customFormat="1" ht="15.75" spans="1:5">
      <c r="A2161" s="6"/>
      <c r="B2161" s="7"/>
      <c r="C2161" s="6"/>
      <c r="D2161" s="3"/>
      <c r="E2161" s="3"/>
    </row>
    <row r="2162" s="2" customFormat="1" ht="15.75" spans="1:5">
      <c r="A2162" s="6"/>
      <c r="B2162" s="7"/>
      <c r="C2162" s="6"/>
      <c r="D2162" s="3"/>
      <c r="E2162" s="3"/>
    </row>
    <row r="2163" s="2" customFormat="1" ht="15.75" spans="1:5">
      <c r="A2163" s="6"/>
      <c r="B2163" s="7"/>
      <c r="C2163" s="6"/>
      <c r="D2163" s="3"/>
      <c r="E2163" s="3"/>
    </row>
    <row r="2164" s="2" customFormat="1" ht="15.75" spans="1:5">
      <c r="A2164" s="6"/>
      <c r="B2164" s="7"/>
      <c r="C2164" s="6"/>
      <c r="D2164" s="3"/>
      <c r="E2164" s="3"/>
    </row>
    <row r="2165" s="2" customFormat="1" ht="15.75" spans="1:5">
      <c r="A2165" s="6"/>
      <c r="B2165" s="7"/>
      <c r="C2165" s="6"/>
      <c r="D2165" s="3"/>
      <c r="E2165" s="3"/>
    </row>
    <row r="2166" s="2" customFormat="1" ht="15.75" spans="1:5">
      <c r="A2166" s="6"/>
      <c r="B2166" s="7"/>
      <c r="C2166" s="6"/>
      <c r="D2166" s="3"/>
      <c r="E2166" s="3"/>
    </row>
    <row r="2167" s="2" customFormat="1" ht="15.75" spans="1:5">
      <c r="A2167" s="6"/>
      <c r="B2167" s="7"/>
      <c r="C2167" s="6"/>
      <c r="D2167" s="3"/>
      <c r="E2167" s="3"/>
    </row>
    <row r="2168" s="2" customFormat="1" ht="15.75" spans="1:5">
      <c r="A2168" s="6"/>
      <c r="B2168" s="7"/>
      <c r="C2168" s="6"/>
      <c r="D2168" s="3"/>
      <c r="E2168" s="3"/>
    </row>
    <row r="2169" s="2" customFormat="1" ht="15.75" spans="1:5">
      <c r="A2169" s="6"/>
      <c r="B2169" s="7"/>
      <c r="C2169" s="6"/>
      <c r="D2169" s="3"/>
      <c r="E2169" s="3"/>
    </row>
    <row r="2170" s="2" customFormat="1" ht="15.75" spans="1:5">
      <c r="A2170" s="6"/>
      <c r="B2170" s="7"/>
      <c r="C2170" s="6"/>
      <c r="D2170" s="3"/>
      <c r="E2170" s="3"/>
    </row>
    <row r="2171" s="2" customFormat="1" ht="15.75" spans="1:5">
      <c r="A2171" s="6"/>
      <c r="B2171" s="7"/>
      <c r="C2171" s="6"/>
      <c r="D2171" s="3"/>
      <c r="E2171" s="3"/>
    </row>
    <row r="2172" s="2" customFormat="1" ht="15.75" spans="1:5">
      <c r="A2172" s="6"/>
      <c r="B2172" s="7"/>
      <c r="C2172" s="6"/>
      <c r="D2172" s="3"/>
      <c r="E2172" s="3"/>
    </row>
    <row r="2173" s="2" customFormat="1" ht="15.75" spans="1:5">
      <c r="A2173" s="6"/>
      <c r="B2173" s="7"/>
      <c r="C2173" s="6"/>
      <c r="D2173" s="3"/>
      <c r="E2173" s="3"/>
    </row>
    <row r="2174" s="2" customFormat="1" ht="15.75" spans="1:5">
      <c r="A2174" s="6"/>
      <c r="B2174" s="7"/>
      <c r="C2174" s="6"/>
      <c r="D2174" s="3"/>
      <c r="E2174" s="3"/>
    </row>
    <row r="2175" s="2" customFormat="1" ht="15.75" spans="1:5">
      <c r="A2175" s="6"/>
      <c r="B2175" s="7"/>
      <c r="C2175" s="6"/>
      <c r="D2175" s="3"/>
      <c r="E2175" s="3"/>
    </row>
    <row r="2176" s="2" customFormat="1" ht="15.75" spans="1:5">
      <c r="A2176" s="6"/>
      <c r="B2176" s="7"/>
      <c r="C2176" s="6"/>
      <c r="D2176" s="3"/>
      <c r="E2176" s="3"/>
    </row>
    <row r="2177" s="2" customFormat="1" ht="15.75" spans="1:5">
      <c r="A2177" s="6"/>
      <c r="B2177" s="7"/>
      <c r="C2177" s="6"/>
      <c r="D2177" s="3"/>
      <c r="E2177" s="3"/>
    </row>
    <row r="2178" s="2" customFormat="1" ht="15.75" spans="1:5">
      <c r="A2178" s="6"/>
      <c r="B2178" s="7"/>
      <c r="C2178" s="6"/>
      <c r="D2178" s="3"/>
      <c r="E2178" s="3"/>
    </row>
    <row r="2179" s="2" customFormat="1" ht="15.75" spans="1:5">
      <c r="A2179" s="6"/>
      <c r="B2179" s="7"/>
      <c r="C2179" s="6"/>
      <c r="D2179" s="3"/>
      <c r="E2179" s="3"/>
    </row>
    <row r="2180" s="2" customFormat="1" ht="15.75" spans="1:5">
      <c r="A2180" s="6"/>
      <c r="B2180" s="7"/>
      <c r="C2180" s="6"/>
      <c r="D2180" s="3"/>
      <c r="E2180" s="3"/>
    </row>
    <row r="2181" s="2" customFormat="1" ht="15.75" spans="1:5">
      <c r="A2181" s="6"/>
      <c r="B2181" s="7"/>
      <c r="C2181" s="6"/>
      <c r="D2181" s="3"/>
      <c r="E2181" s="3"/>
    </row>
    <row r="2182" s="2" customFormat="1" ht="15.75" spans="1:5">
      <c r="A2182" s="6"/>
      <c r="B2182" s="7"/>
      <c r="C2182" s="6"/>
      <c r="D2182" s="3"/>
      <c r="E2182" s="3"/>
    </row>
    <row r="2183" s="2" customFormat="1" ht="15.75" spans="1:5">
      <c r="A2183" s="6"/>
      <c r="B2183" s="7"/>
      <c r="C2183" s="6"/>
      <c r="D2183" s="3"/>
      <c r="E2183" s="3"/>
    </row>
    <row r="2184" s="2" customFormat="1" ht="15.75" spans="1:5">
      <c r="A2184" s="6"/>
      <c r="B2184" s="7"/>
      <c r="C2184" s="6"/>
      <c r="D2184" s="3"/>
      <c r="E2184" s="3"/>
    </row>
    <row r="2185" s="2" customFormat="1" ht="15.75" spans="1:5">
      <c r="A2185" s="6"/>
      <c r="B2185" s="7"/>
      <c r="C2185" s="6"/>
      <c r="D2185" s="3"/>
      <c r="E2185" s="3"/>
    </row>
    <row r="2186" s="2" customFormat="1" ht="15.75" spans="1:5">
      <c r="A2186" s="6"/>
      <c r="B2186" s="7"/>
      <c r="C2186" s="6"/>
      <c r="D2186" s="3"/>
      <c r="E2186" s="3"/>
    </row>
    <row r="2187" s="2" customFormat="1" ht="15.75" spans="1:5">
      <c r="A2187" s="6"/>
      <c r="B2187" s="7"/>
      <c r="C2187" s="6"/>
      <c r="D2187" s="3"/>
      <c r="E2187" s="3"/>
    </row>
    <row r="2188" s="2" customFormat="1" ht="15.75" spans="1:5">
      <c r="A2188" s="6"/>
      <c r="B2188" s="7"/>
      <c r="C2188" s="6"/>
      <c r="D2188" s="3"/>
      <c r="E2188" s="3"/>
    </row>
    <row r="2189" s="2" customFormat="1" ht="15.75" spans="1:5">
      <c r="A2189" s="6"/>
      <c r="B2189" s="7"/>
      <c r="C2189" s="6"/>
      <c r="D2189" s="3"/>
      <c r="E2189" s="3"/>
    </row>
    <row r="2190" s="2" customFormat="1" ht="15.75" spans="1:5">
      <c r="A2190" s="6"/>
      <c r="B2190" s="7"/>
      <c r="C2190" s="6"/>
      <c r="D2190" s="3"/>
      <c r="E2190" s="3"/>
    </row>
    <row r="2191" s="2" customFormat="1" ht="15.75" spans="1:5">
      <c r="A2191" s="6"/>
      <c r="B2191" s="7"/>
      <c r="C2191" s="6"/>
      <c r="D2191" s="3"/>
      <c r="E2191" s="3"/>
    </row>
    <row r="2192" s="2" customFormat="1" ht="15.75" spans="1:5">
      <c r="A2192" s="6"/>
      <c r="B2192" s="7"/>
      <c r="C2192" s="6"/>
      <c r="D2192" s="3"/>
      <c r="E2192" s="3"/>
    </row>
    <row r="2193" s="2" customFormat="1" ht="15.75" spans="1:5">
      <c r="A2193" s="6"/>
      <c r="B2193" s="7"/>
      <c r="C2193" s="6"/>
      <c r="D2193" s="3"/>
      <c r="E2193" s="3"/>
    </row>
    <row r="2194" s="2" customFormat="1" ht="15.75" spans="1:5">
      <c r="A2194" s="6"/>
      <c r="B2194" s="7"/>
      <c r="C2194" s="6"/>
      <c r="D2194" s="3"/>
      <c r="E2194" s="3"/>
    </row>
    <row r="2195" s="2" customFormat="1" ht="15.75" spans="1:5">
      <c r="A2195" s="6"/>
      <c r="B2195" s="7"/>
      <c r="C2195" s="6"/>
      <c r="D2195" s="3"/>
      <c r="E2195" s="3"/>
    </row>
    <row r="2196" s="2" customFormat="1" ht="15.75" spans="1:5">
      <c r="A2196" s="6"/>
      <c r="B2196" s="7"/>
      <c r="C2196" s="6"/>
      <c r="D2196" s="3"/>
      <c r="E2196" s="3"/>
    </row>
    <row r="2197" s="2" customFormat="1" ht="15.75" spans="1:5">
      <c r="A2197" s="6"/>
      <c r="B2197" s="7"/>
      <c r="C2197" s="6"/>
      <c r="D2197" s="3"/>
      <c r="E2197" s="3"/>
    </row>
    <row r="2198" s="2" customFormat="1" ht="15.75" spans="1:5">
      <c r="A2198" s="6"/>
      <c r="B2198" s="7"/>
      <c r="C2198" s="6"/>
      <c r="D2198" s="3"/>
      <c r="E2198" s="3"/>
    </row>
    <row r="2199" s="2" customFormat="1" ht="15.75" spans="1:5">
      <c r="A2199" s="6"/>
      <c r="B2199" s="7"/>
      <c r="C2199" s="6"/>
      <c r="D2199" s="3"/>
      <c r="E2199" s="3"/>
    </row>
    <row r="2200" s="2" customFormat="1" ht="15.75" spans="1:5">
      <c r="A2200" s="6"/>
      <c r="B2200" s="7"/>
      <c r="C2200" s="6"/>
      <c r="D2200" s="3"/>
      <c r="E2200" s="3"/>
    </row>
    <row r="2201" s="2" customFormat="1" ht="15.75" spans="1:5">
      <c r="A2201" s="6"/>
      <c r="B2201" s="7"/>
      <c r="C2201" s="6"/>
      <c r="D2201" s="3"/>
      <c r="E2201" s="3"/>
    </row>
    <row r="2202" s="2" customFormat="1" ht="15.75" spans="1:5">
      <c r="A2202" s="6"/>
      <c r="B2202" s="7"/>
      <c r="C2202" s="6"/>
      <c r="D2202" s="3"/>
      <c r="E2202" s="3"/>
    </row>
    <row r="2203" s="2" customFormat="1" ht="15.75" spans="1:5">
      <c r="A2203" s="6"/>
      <c r="B2203" s="7"/>
      <c r="C2203" s="6"/>
      <c r="D2203" s="3"/>
      <c r="E2203" s="3"/>
    </row>
    <row r="2204" s="2" customFormat="1" ht="15.75" spans="1:5">
      <c r="A2204" s="6"/>
      <c r="B2204" s="7"/>
      <c r="C2204" s="6"/>
      <c r="D2204" s="3"/>
      <c r="E2204" s="3"/>
    </row>
    <row r="2205" s="2" customFormat="1" ht="15.75" spans="1:5">
      <c r="A2205" s="6"/>
      <c r="B2205" s="7"/>
      <c r="C2205" s="6"/>
      <c r="D2205" s="3"/>
      <c r="E2205" s="3"/>
    </row>
    <row r="2206" s="2" customFormat="1" ht="15.75" spans="1:5">
      <c r="A2206" s="6"/>
      <c r="B2206" s="7"/>
      <c r="C2206" s="6"/>
      <c r="D2206" s="3"/>
      <c r="E2206" s="3"/>
    </row>
    <row r="2207" s="2" customFormat="1" ht="15.75" spans="1:5">
      <c r="A2207" s="6"/>
      <c r="B2207" s="7"/>
      <c r="C2207" s="6"/>
      <c r="D2207" s="3"/>
      <c r="E2207" s="3"/>
    </row>
    <row r="2208" s="2" customFormat="1" ht="15.75" spans="1:5">
      <c r="A2208" s="6"/>
      <c r="B2208" s="7"/>
      <c r="C2208" s="6"/>
      <c r="D2208" s="3"/>
      <c r="E2208" s="3"/>
    </row>
    <row r="2209" s="2" customFormat="1" ht="15.75" spans="1:5">
      <c r="A2209" s="6"/>
      <c r="B2209" s="7"/>
      <c r="C2209" s="6"/>
      <c r="D2209" s="3"/>
      <c r="E2209" s="3"/>
    </row>
    <row r="2210" s="2" customFormat="1" ht="15.75" spans="1:5">
      <c r="A2210" s="6"/>
      <c r="B2210" s="7"/>
      <c r="C2210" s="6"/>
      <c r="D2210" s="3"/>
      <c r="E2210" s="3"/>
    </row>
    <row r="2211" s="2" customFormat="1" ht="15.75" spans="1:5">
      <c r="A2211" s="6"/>
      <c r="B2211" s="7"/>
      <c r="C2211" s="6"/>
      <c r="D2211" s="3"/>
      <c r="E2211" s="3"/>
    </row>
    <row r="2212" s="2" customFormat="1" ht="15.75" spans="1:5">
      <c r="A2212" s="6"/>
      <c r="B2212" s="7"/>
      <c r="C2212" s="6"/>
      <c r="D2212" s="3"/>
      <c r="E2212" s="3"/>
    </row>
    <row r="2213" s="2" customFormat="1" ht="15.75" spans="1:5">
      <c r="A2213" s="6"/>
      <c r="B2213" s="7"/>
      <c r="C2213" s="6"/>
      <c r="D2213" s="3"/>
      <c r="E2213" s="3"/>
    </row>
    <row r="2214" s="2" customFormat="1" ht="15.75" spans="1:5">
      <c r="A2214" s="6"/>
      <c r="B2214" s="7"/>
      <c r="C2214" s="6"/>
      <c r="D2214" s="3"/>
      <c r="E2214" s="3"/>
    </row>
    <row r="2215" s="2" customFormat="1" ht="15.75" spans="1:5">
      <c r="A2215" s="6"/>
      <c r="B2215" s="7"/>
      <c r="C2215" s="6"/>
      <c r="D2215" s="3"/>
      <c r="E2215" s="3"/>
    </row>
    <row r="2216" s="2" customFormat="1" ht="15.75" spans="1:5">
      <c r="A2216" s="6"/>
      <c r="B2216" s="7"/>
      <c r="C2216" s="6"/>
      <c r="D2216" s="3"/>
      <c r="E2216" s="3"/>
    </row>
    <row r="2217" s="2" customFormat="1" ht="15.75" spans="1:5">
      <c r="A2217" s="6"/>
      <c r="B2217" s="7"/>
      <c r="C2217" s="6"/>
      <c r="D2217" s="3"/>
      <c r="E2217" s="3"/>
    </row>
    <row r="2218" s="2" customFormat="1" ht="15.75" spans="1:5">
      <c r="A2218" s="6"/>
      <c r="B2218" s="7"/>
      <c r="C2218" s="6"/>
      <c r="D2218" s="3"/>
      <c r="E2218" s="3"/>
    </row>
    <row r="2219" s="2" customFormat="1" ht="15.75" spans="1:5">
      <c r="A2219" s="6"/>
      <c r="B2219" s="7"/>
      <c r="C2219" s="6"/>
      <c r="D2219" s="3"/>
      <c r="E2219" s="3"/>
    </row>
    <row r="2220" s="2" customFormat="1" ht="15.75" spans="1:5">
      <c r="A2220" s="6"/>
      <c r="B2220" s="7"/>
      <c r="C2220" s="6"/>
      <c r="D2220" s="3"/>
      <c r="E2220" s="3"/>
    </row>
    <row r="2221" s="2" customFormat="1" ht="15.75" spans="1:5">
      <c r="A2221" s="6"/>
      <c r="B2221" s="7"/>
      <c r="C2221" s="6"/>
      <c r="D2221" s="3"/>
      <c r="E2221" s="3"/>
    </row>
    <row r="2222" s="2" customFormat="1" ht="15.75" spans="1:5">
      <c r="A2222" s="6"/>
      <c r="B2222" s="7"/>
      <c r="C2222" s="6"/>
      <c r="D2222" s="3"/>
      <c r="E2222" s="3"/>
    </row>
    <row r="2223" s="2" customFormat="1" ht="15.75" spans="1:5">
      <c r="A2223" s="6"/>
      <c r="B2223" s="7"/>
      <c r="C2223" s="6"/>
      <c r="D2223" s="3"/>
      <c r="E2223" s="3"/>
    </row>
    <row r="2224" s="2" customFormat="1" ht="15.75" spans="1:5">
      <c r="A2224" s="6"/>
      <c r="B2224" s="7"/>
      <c r="C2224" s="6"/>
      <c r="D2224" s="3"/>
      <c r="E2224" s="3"/>
    </row>
    <row r="2225" s="2" customFormat="1" ht="15.75" spans="1:5">
      <c r="A2225" s="6"/>
      <c r="B2225" s="7"/>
      <c r="C2225" s="6"/>
      <c r="D2225" s="3"/>
      <c r="E2225" s="3"/>
    </row>
    <row r="2226" s="2" customFormat="1" ht="15.75" spans="1:5">
      <c r="A2226" s="6"/>
      <c r="B2226" s="7"/>
      <c r="C2226" s="6"/>
      <c r="D2226" s="3"/>
      <c r="E2226" s="3"/>
    </row>
    <row r="2227" s="2" customFormat="1" ht="15.75" spans="1:5">
      <c r="A2227" s="6"/>
      <c r="B2227" s="7"/>
      <c r="C2227" s="6"/>
      <c r="D2227" s="3"/>
      <c r="E2227" s="3"/>
    </row>
    <row r="2228" s="2" customFormat="1" ht="15.75" spans="1:5">
      <c r="A2228" s="6"/>
      <c r="B2228" s="7"/>
      <c r="C2228" s="6"/>
      <c r="D2228" s="3"/>
      <c r="E2228" s="3"/>
    </row>
    <row r="2229" s="2" customFormat="1" ht="15.75" spans="1:5">
      <c r="A2229" s="6"/>
      <c r="B2229" s="7"/>
      <c r="C2229" s="6"/>
      <c r="D2229" s="3"/>
      <c r="E2229" s="3"/>
    </row>
    <row r="2230" s="2" customFormat="1" ht="15.75" spans="1:5">
      <c r="A2230" s="6"/>
      <c r="B2230" s="7"/>
      <c r="C2230" s="6"/>
      <c r="D2230" s="3"/>
      <c r="E2230" s="3"/>
    </row>
    <row r="2231" s="2" customFormat="1" ht="15.75" spans="1:5">
      <c r="A2231" s="6"/>
      <c r="B2231" s="7"/>
      <c r="C2231" s="6"/>
      <c r="D2231" s="3"/>
      <c r="E2231" s="3"/>
    </row>
    <row r="2232" s="2" customFormat="1" ht="15.75" spans="1:5">
      <c r="A2232" s="6"/>
      <c r="B2232" s="7"/>
      <c r="C2232" s="6"/>
      <c r="D2232" s="3"/>
      <c r="E2232" s="3"/>
    </row>
    <row r="2233" s="2" customFormat="1" ht="15.75" spans="1:5">
      <c r="A2233" s="6"/>
      <c r="B2233" s="7"/>
      <c r="C2233" s="6"/>
      <c r="D2233" s="3"/>
      <c r="E2233" s="3"/>
    </row>
    <row r="2234" s="2" customFormat="1" ht="15.75" spans="1:5">
      <c r="A2234" s="6"/>
      <c r="B2234" s="7"/>
      <c r="C2234" s="6"/>
      <c r="D2234" s="3"/>
      <c r="E2234" s="3"/>
    </row>
    <row r="2235" s="2" customFormat="1" ht="15.75" spans="1:5">
      <c r="A2235" s="6"/>
      <c r="B2235" s="7"/>
      <c r="C2235" s="6"/>
      <c r="D2235" s="3"/>
      <c r="E2235" s="3"/>
    </row>
    <row r="2236" s="2" customFormat="1" ht="15.75" spans="1:5">
      <c r="A2236" s="6"/>
      <c r="B2236" s="7"/>
      <c r="C2236" s="6"/>
      <c r="D2236" s="3"/>
      <c r="E2236" s="3"/>
    </row>
    <row r="2237" s="2" customFormat="1" ht="15.75" spans="1:5">
      <c r="A2237" s="6"/>
      <c r="B2237" s="7"/>
      <c r="C2237" s="6"/>
      <c r="D2237" s="3"/>
      <c r="E2237" s="3"/>
    </row>
    <row r="2238" s="2" customFormat="1" ht="15.75" spans="1:5">
      <c r="A2238" s="6"/>
      <c r="B2238" s="7"/>
      <c r="C2238" s="6"/>
      <c r="D2238" s="3"/>
      <c r="E2238" s="3"/>
    </row>
    <row r="2239" s="2" customFormat="1" ht="15.75" spans="1:5">
      <c r="A2239" s="6"/>
      <c r="B2239" s="7"/>
      <c r="C2239" s="6"/>
      <c r="D2239" s="3"/>
      <c r="E2239" s="3"/>
    </row>
    <row r="2240" s="2" customFormat="1" ht="15.75" spans="1:5">
      <c r="A2240" s="6"/>
      <c r="B2240" s="7"/>
      <c r="C2240" s="6"/>
      <c r="D2240" s="3"/>
      <c r="E2240" s="3"/>
    </row>
    <row r="2241" s="2" customFormat="1" ht="15.75" spans="1:5">
      <c r="A2241" s="6"/>
      <c r="B2241" s="7"/>
      <c r="C2241" s="6"/>
      <c r="D2241" s="3"/>
      <c r="E2241" s="3"/>
    </row>
    <row r="2242" s="2" customFormat="1" ht="15.75" spans="1:5">
      <c r="A2242" s="6"/>
      <c r="B2242" s="7"/>
      <c r="C2242" s="6"/>
      <c r="D2242" s="3"/>
      <c r="E2242" s="3"/>
    </row>
    <row r="2243" s="2" customFormat="1" ht="15.75" spans="1:5">
      <c r="A2243" s="6"/>
      <c r="B2243" s="7"/>
      <c r="C2243" s="6"/>
      <c r="D2243" s="3"/>
      <c r="E2243" s="3"/>
    </row>
    <row r="2244" s="2" customFormat="1" ht="15.75" spans="1:5">
      <c r="A2244" s="6"/>
      <c r="B2244" s="7"/>
      <c r="C2244" s="6"/>
      <c r="D2244" s="3"/>
      <c r="E2244" s="3"/>
    </row>
    <row r="2245" s="2" customFormat="1" ht="15.75" spans="1:5">
      <c r="A2245" s="6"/>
      <c r="B2245" s="7"/>
      <c r="C2245" s="6"/>
      <c r="D2245" s="3"/>
      <c r="E2245" s="3"/>
    </row>
    <row r="2246" s="2" customFormat="1" ht="15.75" spans="1:5">
      <c r="A2246" s="6"/>
      <c r="B2246" s="7"/>
      <c r="C2246" s="6"/>
      <c r="D2246" s="3"/>
      <c r="E2246" s="3"/>
    </row>
    <row r="2247" s="2" customFormat="1" ht="15.75" spans="1:5">
      <c r="A2247" s="6"/>
      <c r="B2247" s="7"/>
      <c r="C2247" s="6"/>
      <c r="D2247" s="3"/>
      <c r="E2247" s="3"/>
    </row>
    <row r="2248" s="2" customFormat="1" ht="15.75" spans="1:5">
      <c r="A2248" s="6"/>
      <c r="B2248" s="7"/>
      <c r="C2248" s="6"/>
      <c r="D2248" s="3"/>
      <c r="E2248" s="3"/>
    </row>
    <row r="2249" s="2" customFormat="1" ht="15.75" spans="1:5">
      <c r="A2249" s="6"/>
      <c r="B2249" s="7"/>
      <c r="C2249" s="6"/>
      <c r="D2249" s="3"/>
      <c r="E2249" s="3"/>
    </row>
    <row r="2250" s="2" customFormat="1" ht="15.75" spans="1:5">
      <c r="A2250" s="6"/>
      <c r="B2250" s="7"/>
      <c r="C2250" s="6"/>
      <c r="D2250" s="3"/>
      <c r="E2250" s="3"/>
    </row>
    <row r="2251" s="2" customFormat="1" ht="15.75" spans="1:5">
      <c r="A2251" s="6"/>
      <c r="B2251" s="7"/>
      <c r="C2251" s="6"/>
      <c r="D2251" s="3"/>
      <c r="E2251" s="3"/>
    </row>
    <row r="2252" s="2" customFormat="1" ht="15.75" spans="1:5">
      <c r="A2252" s="6"/>
      <c r="B2252" s="7"/>
      <c r="C2252" s="6"/>
      <c r="D2252" s="3"/>
      <c r="E2252" s="3"/>
    </row>
    <row r="2253" s="2" customFormat="1" ht="15.75" spans="1:5">
      <c r="A2253" s="6"/>
      <c r="B2253" s="7"/>
      <c r="C2253" s="6"/>
      <c r="D2253" s="3"/>
      <c r="E2253" s="3"/>
    </row>
    <row r="2254" s="2" customFormat="1" ht="15.75" spans="1:5">
      <c r="A2254" s="6"/>
      <c r="B2254" s="7"/>
      <c r="C2254" s="6"/>
      <c r="D2254" s="3"/>
      <c r="E2254" s="3"/>
    </row>
    <row r="2255" s="2" customFormat="1" ht="15.75" spans="1:5">
      <c r="A2255" s="6"/>
      <c r="B2255" s="7"/>
      <c r="C2255" s="6"/>
      <c r="D2255" s="3"/>
      <c r="E2255" s="3"/>
    </row>
    <row r="2256" s="2" customFormat="1" ht="15.75" spans="1:5">
      <c r="A2256" s="6"/>
      <c r="B2256" s="7"/>
      <c r="C2256" s="6"/>
      <c r="D2256" s="3"/>
      <c r="E2256" s="3"/>
    </row>
    <row r="2257" s="2" customFormat="1" ht="15.75" spans="1:5">
      <c r="A2257" s="6"/>
      <c r="B2257" s="7"/>
      <c r="C2257" s="6"/>
      <c r="D2257" s="3"/>
      <c r="E2257" s="3"/>
    </row>
    <row r="2258" s="2" customFormat="1" ht="15.75" spans="1:5">
      <c r="A2258" s="6"/>
      <c r="B2258" s="7"/>
      <c r="C2258" s="6"/>
      <c r="D2258" s="3"/>
      <c r="E2258" s="3"/>
    </row>
    <row r="2259" s="2" customFormat="1" ht="15.75" spans="1:5">
      <c r="A2259" s="6"/>
      <c r="B2259" s="7"/>
      <c r="C2259" s="6"/>
      <c r="D2259" s="3"/>
      <c r="E2259" s="3"/>
    </row>
    <row r="2260" s="2" customFormat="1" ht="15.75" spans="1:5">
      <c r="A2260" s="6"/>
      <c r="B2260" s="7"/>
      <c r="C2260" s="6"/>
      <c r="D2260" s="3"/>
      <c r="E2260" s="3"/>
    </row>
    <row r="2261" s="2" customFormat="1" ht="15.75" spans="1:5">
      <c r="A2261" s="6"/>
      <c r="B2261" s="7"/>
      <c r="C2261" s="6"/>
      <c r="D2261" s="3"/>
      <c r="E2261" s="3"/>
    </row>
    <row r="2262" s="2" customFormat="1" ht="15.75" spans="1:5">
      <c r="A2262" s="6"/>
      <c r="B2262" s="7"/>
      <c r="C2262" s="6"/>
      <c r="D2262" s="3"/>
      <c r="E2262" s="3"/>
    </row>
    <row r="2263" s="2" customFormat="1" ht="15.75" spans="1:5">
      <c r="A2263" s="6"/>
      <c r="B2263" s="7"/>
      <c r="C2263" s="6"/>
      <c r="D2263" s="3"/>
      <c r="E2263" s="3"/>
    </row>
    <row r="2264" s="2" customFormat="1" ht="15.75" spans="1:5">
      <c r="A2264" s="6"/>
      <c r="B2264" s="7"/>
      <c r="C2264" s="6"/>
      <c r="D2264" s="3"/>
      <c r="E2264" s="3"/>
    </row>
    <row r="2265" s="2" customFormat="1" ht="15.75" spans="1:5">
      <c r="A2265" s="6"/>
      <c r="B2265" s="7"/>
      <c r="C2265" s="6"/>
      <c r="D2265" s="3"/>
      <c r="E2265" s="3"/>
    </row>
    <row r="2266" s="2" customFormat="1" ht="15.75" spans="1:5">
      <c r="A2266" s="6"/>
      <c r="B2266" s="7"/>
      <c r="C2266" s="6"/>
      <c r="D2266" s="3"/>
      <c r="E2266" s="3"/>
    </row>
    <row r="2267" s="2" customFormat="1" ht="15.75" spans="1:5">
      <c r="A2267" s="6"/>
      <c r="B2267" s="7"/>
      <c r="C2267" s="6"/>
      <c r="D2267" s="3"/>
      <c r="E2267" s="3"/>
    </row>
    <row r="2268" s="2" customFormat="1" ht="15.75" spans="1:5">
      <c r="A2268" s="6"/>
      <c r="B2268" s="7"/>
      <c r="C2268" s="6"/>
      <c r="D2268" s="3"/>
      <c r="E2268" s="3"/>
    </row>
    <row r="2269" s="2" customFormat="1" ht="15.75" spans="1:5">
      <c r="A2269" s="6"/>
      <c r="B2269" s="7"/>
      <c r="C2269" s="6"/>
      <c r="D2269" s="3"/>
      <c r="E2269" s="3"/>
    </row>
    <row r="2270" s="2" customFormat="1" ht="15.75" spans="1:5">
      <c r="A2270" s="6"/>
      <c r="B2270" s="7"/>
      <c r="C2270" s="6"/>
      <c r="D2270" s="3"/>
      <c r="E2270" s="3"/>
    </row>
    <row r="2271" s="2" customFormat="1" ht="15.75" spans="1:5">
      <c r="A2271" s="6"/>
      <c r="B2271" s="7"/>
      <c r="C2271" s="6"/>
      <c r="D2271" s="3"/>
      <c r="E2271" s="3"/>
    </row>
    <row r="2272" s="2" customFormat="1" ht="15.75" spans="1:5">
      <c r="A2272" s="6"/>
      <c r="B2272" s="7"/>
      <c r="C2272" s="6"/>
      <c r="D2272" s="3"/>
      <c r="E2272" s="3"/>
    </row>
    <row r="2273" s="2" customFormat="1" ht="15.75" spans="1:5">
      <c r="A2273" s="6"/>
      <c r="B2273" s="7"/>
      <c r="C2273" s="6"/>
      <c r="D2273" s="3"/>
      <c r="E2273" s="3"/>
    </row>
    <row r="2274" s="2" customFormat="1" ht="15.75" spans="1:5">
      <c r="A2274" s="6"/>
      <c r="B2274" s="7"/>
      <c r="C2274" s="6"/>
      <c r="D2274" s="3"/>
      <c r="E2274" s="3"/>
    </row>
    <row r="2275" s="2" customFormat="1" ht="15.75" spans="1:5">
      <c r="A2275" s="6"/>
      <c r="B2275" s="7"/>
      <c r="C2275" s="6"/>
      <c r="D2275" s="3"/>
      <c r="E2275" s="3"/>
    </row>
    <row r="2276" s="2" customFormat="1" ht="15.75" spans="1:5">
      <c r="A2276" s="6"/>
      <c r="B2276" s="7"/>
      <c r="C2276" s="6"/>
      <c r="D2276" s="3"/>
      <c r="E2276" s="3"/>
    </row>
    <row r="2277" s="2" customFormat="1" ht="15.75" spans="1:5">
      <c r="A2277" s="6"/>
      <c r="B2277" s="7"/>
      <c r="C2277" s="6"/>
      <c r="D2277" s="3"/>
      <c r="E2277" s="3"/>
    </row>
    <row r="2278" s="2" customFormat="1" ht="15.75" spans="1:5">
      <c r="A2278" s="6"/>
      <c r="B2278" s="7"/>
      <c r="C2278" s="6"/>
      <c r="D2278" s="3"/>
      <c r="E2278" s="3"/>
    </row>
    <row r="2279" s="2" customFormat="1" ht="15.75" spans="1:5">
      <c r="A2279" s="6"/>
      <c r="B2279" s="7"/>
      <c r="C2279" s="6"/>
      <c r="D2279" s="3"/>
      <c r="E2279" s="3"/>
    </row>
    <row r="2280" s="2" customFormat="1" ht="15.75" spans="1:5">
      <c r="A2280" s="6"/>
      <c r="B2280" s="7"/>
      <c r="C2280" s="6"/>
      <c r="D2280" s="3"/>
      <c r="E2280" s="3"/>
    </row>
    <row r="2281" s="2" customFormat="1" ht="15.75" spans="1:5">
      <c r="A2281" s="6"/>
      <c r="B2281" s="7"/>
      <c r="C2281" s="6"/>
      <c r="D2281" s="3"/>
      <c r="E2281" s="3"/>
    </row>
    <row r="2282" s="2" customFormat="1" ht="15.75" spans="1:5">
      <c r="A2282" s="6"/>
      <c r="B2282" s="7"/>
      <c r="C2282" s="6"/>
      <c r="D2282" s="3"/>
      <c r="E2282" s="3"/>
    </row>
    <row r="2283" s="2" customFormat="1" ht="15.75" spans="1:5">
      <c r="A2283" s="6"/>
      <c r="B2283" s="7"/>
      <c r="C2283" s="6"/>
      <c r="D2283" s="3"/>
      <c r="E2283" s="3"/>
    </row>
    <row r="2284" s="2" customFormat="1" ht="15.75" spans="1:5">
      <c r="A2284" s="6"/>
      <c r="B2284" s="7"/>
      <c r="C2284" s="6"/>
      <c r="D2284" s="3"/>
      <c r="E2284" s="3"/>
    </row>
    <row r="2285" s="2" customFormat="1" ht="15.75" spans="1:5">
      <c r="A2285" s="6"/>
      <c r="B2285" s="7"/>
      <c r="C2285" s="6"/>
      <c r="D2285" s="3"/>
      <c r="E2285" s="3"/>
    </row>
    <row r="2286" s="2" customFormat="1" ht="15.75" spans="1:5">
      <c r="A2286" s="6"/>
      <c r="B2286" s="7"/>
      <c r="C2286" s="6"/>
      <c r="D2286" s="3"/>
      <c r="E2286" s="3"/>
    </row>
    <row r="2287" s="2" customFormat="1" ht="15.75" spans="1:5">
      <c r="A2287" s="6"/>
      <c r="B2287" s="7"/>
      <c r="C2287" s="6"/>
      <c r="D2287" s="3"/>
      <c r="E2287" s="3"/>
    </row>
    <row r="2288" s="2" customFormat="1" ht="15.75" spans="1:5">
      <c r="A2288" s="6"/>
      <c r="B2288" s="7"/>
      <c r="C2288" s="6"/>
      <c r="D2288" s="3"/>
      <c r="E2288" s="3"/>
    </row>
    <row r="2289" s="2" customFormat="1" ht="15.75" spans="1:5">
      <c r="A2289" s="6"/>
      <c r="B2289" s="7"/>
      <c r="C2289" s="6"/>
      <c r="D2289" s="3"/>
      <c r="E2289" s="3"/>
    </row>
    <row r="2290" s="2" customFormat="1" ht="15.75" spans="1:5">
      <c r="A2290" s="6"/>
      <c r="B2290" s="7"/>
      <c r="C2290" s="6"/>
      <c r="D2290" s="3"/>
      <c r="E2290" s="3"/>
    </row>
    <row r="2291" s="2" customFormat="1" ht="15.75" spans="1:5">
      <c r="A2291" s="6"/>
      <c r="B2291" s="7"/>
      <c r="C2291" s="6"/>
      <c r="D2291" s="3"/>
      <c r="E2291" s="3"/>
    </row>
    <row r="2292" s="2" customFormat="1" ht="15.75" spans="1:5">
      <c r="A2292" s="6"/>
      <c r="B2292" s="7"/>
      <c r="C2292" s="6"/>
      <c r="D2292" s="3"/>
      <c r="E2292" s="3"/>
    </row>
    <row r="2293" s="2" customFormat="1" ht="15.75" spans="1:5">
      <c r="A2293" s="6"/>
      <c r="B2293" s="7"/>
      <c r="C2293" s="6"/>
      <c r="D2293" s="3"/>
      <c r="E2293" s="3"/>
    </row>
    <row r="2294" s="2" customFormat="1" ht="15.75" spans="1:5">
      <c r="A2294" s="6"/>
      <c r="B2294" s="7"/>
      <c r="C2294" s="6"/>
      <c r="D2294" s="3"/>
      <c r="E2294" s="3"/>
    </row>
    <row r="2295" s="2" customFormat="1" ht="15.75" spans="1:5">
      <c r="A2295" s="6"/>
      <c r="B2295" s="7"/>
      <c r="C2295" s="6"/>
      <c r="D2295" s="3"/>
      <c r="E2295" s="3"/>
    </row>
    <row r="2296" s="2" customFormat="1" ht="15.75" spans="1:5">
      <c r="A2296" s="6"/>
      <c r="B2296" s="7"/>
      <c r="C2296" s="6"/>
      <c r="D2296" s="3"/>
      <c r="E2296" s="3"/>
    </row>
    <row r="2297" s="2" customFormat="1" ht="15.75" spans="1:5">
      <c r="A2297" s="6"/>
      <c r="B2297" s="7"/>
      <c r="C2297" s="6"/>
      <c r="D2297" s="3"/>
      <c r="E2297" s="3"/>
    </row>
    <row r="2298" s="2" customFormat="1" ht="15.75" spans="1:5">
      <c r="A2298" s="6"/>
      <c r="B2298" s="7"/>
      <c r="C2298" s="6"/>
      <c r="D2298" s="3"/>
      <c r="E2298" s="3"/>
    </row>
    <row r="2299" s="2" customFormat="1" ht="15.75" spans="1:5">
      <c r="A2299" s="6"/>
      <c r="B2299" s="7"/>
      <c r="C2299" s="6"/>
      <c r="D2299" s="3"/>
      <c r="E2299" s="3"/>
    </row>
    <row r="2300" s="2" customFormat="1" ht="15.75" spans="1:5">
      <c r="A2300" s="6"/>
      <c r="B2300" s="7"/>
      <c r="C2300" s="6"/>
      <c r="D2300" s="3"/>
      <c r="E2300" s="3"/>
    </row>
    <row r="2301" s="2" customFormat="1" ht="15.75" spans="1:5">
      <c r="A2301" s="6"/>
      <c r="B2301" s="7"/>
      <c r="C2301" s="6"/>
      <c r="D2301" s="3"/>
      <c r="E2301" s="3"/>
    </row>
    <row r="2302" s="2" customFormat="1" ht="15.75" spans="1:5">
      <c r="A2302" s="6"/>
      <c r="B2302" s="7"/>
      <c r="C2302" s="6"/>
      <c r="D2302" s="3"/>
      <c r="E2302" s="3"/>
    </row>
    <row r="2303" s="2" customFormat="1" ht="15.75" spans="1:5">
      <c r="A2303" s="6"/>
      <c r="B2303" s="7"/>
      <c r="C2303" s="6"/>
      <c r="D2303" s="3"/>
      <c r="E2303" s="3"/>
    </row>
    <row r="2304" s="2" customFormat="1" ht="15.75" spans="1:5">
      <c r="A2304" s="6"/>
      <c r="B2304" s="7"/>
      <c r="C2304" s="6"/>
      <c r="D2304" s="3"/>
      <c r="E2304" s="3"/>
    </row>
    <row r="2305" s="2" customFormat="1" ht="15.75" spans="1:5">
      <c r="A2305" s="6"/>
      <c r="B2305" s="7"/>
      <c r="C2305" s="6"/>
      <c r="D2305" s="3"/>
      <c r="E2305" s="3"/>
    </row>
    <row r="2306" s="2" customFormat="1" ht="15.75" spans="1:5">
      <c r="A2306" s="6"/>
      <c r="B2306" s="7"/>
      <c r="C2306" s="6"/>
      <c r="D2306" s="3"/>
      <c r="E2306" s="3"/>
    </row>
    <row r="2307" s="2" customFormat="1" ht="15.75" spans="1:5">
      <c r="A2307" s="6"/>
      <c r="B2307" s="7"/>
      <c r="C2307" s="6"/>
      <c r="D2307" s="3"/>
      <c r="E2307" s="3"/>
    </row>
    <row r="2308" s="2" customFormat="1" ht="15.75" spans="1:5">
      <c r="A2308" s="6"/>
      <c r="B2308" s="7"/>
      <c r="C2308" s="6"/>
      <c r="D2308" s="3"/>
      <c r="E2308" s="3"/>
    </row>
    <row r="2309" s="2" customFormat="1" ht="15.75" spans="1:5">
      <c r="A2309" s="6"/>
      <c r="B2309" s="7"/>
      <c r="C2309" s="6"/>
      <c r="D2309" s="3"/>
      <c r="E2309" s="3"/>
    </row>
    <row r="2310" s="2" customFormat="1" ht="15.75" spans="1:5">
      <c r="A2310" s="6"/>
      <c r="B2310" s="7"/>
      <c r="C2310" s="6"/>
      <c r="D2310" s="3"/>
      <c r="E2310" s="3"/>
    </row>
    <row r="2311" s="2" customFormat="1" ht="15.75" spans="1:5">
      <c r="A2311" s="6"/>
      <c r="B2311" s="7"/>
      <c r="C2311" s="6"/>
      <c r="D2311" s="3"/>
      <c r="E2311" s="3"/>
    </row>
    <row r="2312" s="2" customFormat="1" ht="15.75" spans="1:5">
      <c r="A2312" s="6"/>
      <c r="B2312" s="7"/>
      <c r="C2312" s="6"/>
      <c r="D2312" s="3"/>
      <c r="E2312" s="3"/>
    </row>
    <row r="2313" s="2" customFormat="1" ht="15.75" spans="1:5">
      <c r="A2313" s="6"/>
      <c r="B2313" s="7"/>
      <c r="C2313" s="6"/>
      <c r="D2313" s="3"/>
      <c r="E2313" s="3"/>
    </row>
    <row r="2314" s="2" customFormat="1" ht="15.75" spans="1:5">
      <c r="A2314" s="6"/>
      <c r="B2314" s="7"/>
      <c r="C2314" s="6"/>
      <c r="D2314" s="3"/>
      <c r="E2314" s="3"/>
    </row>
    <row r="2315" s="2" customFormat="1" ht="15.75" spans="1:5">
      <c r="A2315" s="6"/>
      <c r="B2315" s="7"/>
      <c r="C2315" s="6"/>
      <c r="D2315" s="3"/>
      <c r="E2315" s="3"/>
    </row>
    <row r="2316" s="2" customFormat="1" ht="15.75" spans="1:5">
      <c r="A2316" s="6"/>
      <c r="B2316" s="7"/>
      <c r="C2316" s="6"/>
      <c r="D2316" s="3"/>
      <c r="E2316" s="3"/>
    </row>
    <row r="2317" s="2" customFormat="1" ht="15.75" spans="1:5">
      <c r="A2317" s="6"/>
      <c r="B2317" s="7"/>
      <c r="C2317" s="6"/>
      <c r="D2317" s="3"/>
      <c r="E2317" s="3"/>
    </row>
    <row r="2318" s="2" customFormat="1" ht="15.75" spans="1:5">
      <c r="A2318" s="6"/>
      <c r="B2318" s="7"/>
      <c r="C2318" s="6"/>
      <c r="D2318" s="3"/>
      <c r="E2318" s="3"/>
    </row>
    <row r="2319" s="2" customFormat="1" ht="15.75" spans="1:5">
      <c r="A2319" s="6"/>
      <c r="B2319" s="7"/>
      <c r="C2319" s="6"/>
      <c r="D2319" s="3"/>
      <c r="E2319" s="3"/>
    </row>
    <row r="2320" s="2" customFormat="1" ht="15.75" spans="1:5">
      <c r="A2320" s="6"/>
      <c r="B2320" s="7"/>
      <c r="C2320" s="6"/>
      <c r="D2320" s="3"/>
      <c r="E2320" s="3"/>
    </row>
    <row r="2321" s="2" customFormat="1" ht="15.75" spans="1:5">
      <c r="A2321" s="6"/>
      <c r="B2321" s="7"/>
      <c r="C2321" s="6"/>
      <c r="D2321" s="3"/>
      <c r="E2321" s="3"/>
    </row>
    <row r="2322" s="2" customFormat="1" ht="15.75" spans="1:5">
      <c r="A2322" s="6"/>
      <c r="B2322" s="7"/>
      <c r="C2322" s="6"/>
      <c r="D2322" s="3"/>
      <c r="E2322" s="3"/>
    </row>
    <row r="2323" s="2" customFormat="1" ht="15.75" spans="1:5">
      <c r="A2323" s="6"/>
      <c r="B2323" s="7"/>
      <c r="C2323" s="6"/>
      <c r="D2323" s="3"/>
      <c r="E2323" s="3"/>
    </row>
    <row r="2324" s="2" customFormat="1" ht="15.75" spans="1:5">
      <c r="A2324" s="6"/>
      <c r="B2324" s="7"/>
      <c r="C2324" s="6"/>
      <c r="D2324" s="3"/>
      <c r="E2324" s="3"/>
    </row>
    <row r="2325" s="2" customFormat="1" ht="15.75" spans="1:5">
      <c r="A2325" s="6"/>
      <c r="B2325" s="7"/>
      <c r="C2325" s="6"/>
      <c r="D2325" s="3"/>
      <c r="E2325" s="3"/>
    </row>
    <row r="2326" s="2" customFormat="1" ht="15.75" spans="1:5">
      <c r="A2326" s="6"/>
      <c r="B2326" s="7"/>
      <c r="C2326" s="6"/>
      <c r="D2326" s="3"/>
      <c r="E2326" s="3"/>
    </row>
    <row r="2327" s="2" customFormat="1" ht="15.75" spans="1:5">
      <c r="A2327" s="6"/>
      <c r="B2327" s="7"/>
      <c r="C2327" s="6"/>
      <c r="D2327" s="3"/>
      <c r="E2327" s="3"/>
    </row>
    <row r="2328" s="2" customFormat="1" ht="15.75" spans="1:5">
      <c r="A2328" s="6"/>
      <c r="B2328" s="7"/>
      <c r="C2328" s="6"/>
      <c r="D2328" s="3"/>
      <c r="E2328" s="3"/>
    </row>
    <row r="2329" s="2" customFormat="1" ht="15.75" spans="1:5">
      <c r="A2329" s="6"/>
      <c r="B2329" s="7"/>
      <c r="C2329" s="6"/>
      <c r="D2329" s="3"/>
      <c r="E2329" s="3"/>
    </row>
    <row r="2330" s="2" customFormat="1" ht="15.75" spans="1:5">
      <c r="A2330" s="6"/>
      <c r="B2330" s="7"/>
      <c r="C2330" s="6"/>
      <c r="D2330" s="3"/>
      <c r="E2330" s="3"/>
    </row>
    <row r="2331" s="2" customFormat="1" ht="15.75" spans="1:5">
      <c r="A2331" s="6"/>
      <c r="B2331" s="7"/>
      <c r="C2331" s="6"/>
      <c r="D2331" s="3"/>
      <c r="E2331" s="3"/>
    </row>
    <row r="2332" s="2" customFormat="1" ht="15.75" spans="1:5">
      <c r="A2332" s="6"/>
      <c r="B2332" s="7"/>
      <c r="C2332" s="6"/>
      <c r="D2332" s="3"/>
      <c r="E2332" s="3"/>
    </row>
    <row r="2333" s="2" customFormat="1" ht="15.75" spans="1:5">
      <c r="A2333" s="6"/>
      <c r="B2333" s="7"/>
      <c r="C2333" s="6"/>
      <c r="D2333" s="3"/>
      <c r="E2333" s="3"/>
    </row>
    <row r="2334" s="2" customFormat="1" ht="15.75" spans="1:5">
      <c r="A2334" s="6"/>
      <c r="B2334" s="7"/>
      <c r="C2334" s="6"/>
      <c r="D2334" s="3"/>
      <c r="E2334" s="3"/>
    </row>
    <row r="2335" s="2" customFormat="1" ht="15.75" spans="1:5">
      <c r="A2335" s="6"/>
      <c r="B2335" s="7"/>
      <c r="C2335" s="6"/>
      <c r="D2335" s="3"/>
      <c r="E2335" s="3"/>
    </row>
    <row r="2336" s="2" customFormat="1" ht="15.75" spans="1:5">
      <c r="A2336" s="6"/>
      <c r="B2336" s="7"/>
      <c r="C2336" s="6"/>
      <c r="D2336" s="3"/>
      <c r="E2336" s="3"/>
    </row>
    <row r="2337" s="2" customFormat="1" ht="15.75" spans="1:5">
      <c r="A2337" s="6"/>
      <c r="B2337" s="7"/>
      <c r="C2337" s="6"/>
      <c r="D2337" s="3"/>
      <c r="E2337" s="3"/>
    </row>
    <row r="2338" s="2" customFormat="1" ht="15.75" spans="1:5">
      <c r="A2338" s="6"/>
      <c r="B2338" s="7"/>
      <c r="C2338" s="6"/>
      <c r="D2338" s="3"/>
      <c r="E2338" s="3"/>
    </row>
    <row r="2339" s="2" customFormat="1" ht="15.75" spans="1:5">
      <c r="A2339" s="6"/>
      <c r="B2339" s="7"/>
      <c r="C2339" s="6"/>
      <c r="D2339" s="3"/>
      <c r="E2339" s="3"/>
    </row>
    <row r="2340" s="2" customFormat="1" ht="15.75" spans="1:5">
      <c r="A2340" s="6"/>
      <c r="B2340" s="7"/>
      <c r="C2340" s="6"/>
      <c r="D2340" s="3"/>
      <c r="E2340" s="3"/>
    </row>
    <row r="2341" s="2" customFormat="1" ht="15.75" spans="1:5">
      <c r="A2341" s="6"/>
      <c r="B2341" s="7"/>
      <c r="C2341" s="6"/>
      <c r="D2341" s="3"/>
      <c r="E2341" s="3"/>
    </row>
    <row r="2342" s="2" customFormat="1" ht="15.75" spans="1:5">
      <c r="A2342" s="6"/>
      <c r="B2342" s="7"/>
      <c r="C2342" s="6"/>
      <c r="D2342" s="3"/>
      <c r="E2342" s="3"/>
    </row>
    <row r="2343" s="2" customFormat="1" ht="15.75" spans="1:5">
      <c r="A2343" s="6"/>
      <c r="B2343" s="7"/>
      <c r="C2343" s="6"/>
      <c r="D2343" s="3"/>
      <c r="E2343" s="3"/>
    </row>
    <row r="2344" s="2" customFormat="1" ht="15.75" spans="1:5">
      <c r="A2344" s="6"/>
      <c r="B2344" s="7"/>
      <c r="C2344" s="6"/>
      <c r="D2344" s="3"/>
      <c r="E2344" s="3"/>
    </row>
    <row r="2345" s="2" customFormat="1" ht="15.75" spans="1:5">
      <c r="A2345" s="6"/>
      <c r="B2345" s="7"/>
      <c r="C2345" s="6"/>
      <c r="D2345" s="3"/>
      <c r="E2345" s="3"/>
    </row>
    <row r="2346" s="2" customFormat="1" ht="15.75" spans="1:5">
      <c r="A2346" s="6"/>
      <c r="B2346" s="7"/>
      <c r="C2346" s="6"/>
      <c r="D2346" s="3"/>
      <c r="E2346" s="3"/>
    </row>
    <row r="2347" s="2" customFormat="1" ht="15.75" spans="1:5">
      <c r="A2347" s="6"/>
      <c r="B2347" s="7"/>
      <c r="C2347" s="6"/>
      <c r="D2347" s="3"/>
      <c r="E2347" s="3"/>
    </row>
    <row r="2348" s="2" customFormat="1" ht="15.75" spans="1:5">
      <c r="A2348" s="6"/>
      <c r="B2348" s="7"/>
      <c r="C2348" s="6"/>
      <c r="D2348" s="3"/>
      <c r="E2348" s="3"/>
    </row>
    <row r="2349" s="2" customFormat="1" ht="15.75" spans="1:5">
      <c r="A2349" s="6"/>
      <c r="B2349" s="7"/>
      <c r="C2349" s="6"/>
      <c r="D2349" s="3"/>
      <c r="E2349" s="3"/>
    </row>
    <row r="2350" s="2" customFormat="1" ht="15.75" spans="1:5">
      <c r="A2350" s="6"/>
      <c r="B2350" s="7"/>
      <c r="C2350" s="6"/>
      <c r="D2350" s="3"/>
      <c r="E2350" s="3"/>
    </row>
    <row r="2351" s="2" customFormat="1" ht="15.75" spans="1:5">
      <c r="A2351" s="6"/>
      <c r="B2351" s="7"/>
      <c r="C2351" s="6"/>
      <c r="D2351" s="3"/>
      <c r="E2351" s="3"/>
    </row>
    <row r="2352" s="2" customFormat="1" ht="15.75" spans="1:5">
      <c r="A2352" s="6"/>
      <c r="B2352" s="7"/>
      <c r="C2352" s="6"/>
      <c r="D2352" s="3"/>
      <c r="E2352" s="3"/>
    </row>
    <row r="2353" s="2" customFormat="1" ht="15.75" spans="1:5">
      <c r="A2353" s="6"/>
      <c r="B2353" s="7"/>
      <c r="C2353" s="6"/>
      <c r="D2353" s="3"/>
      <c r="E2353" s="3"/>
    </row>
    <row r="2354" s="2" customFormat="1" ht="15.75" spans="1:5">
      <c r="A2354" s="6"/>
      <c r="B2354" s="7"/>
      <c r="C2354" s="6"/>
      <c r="D2354" s="3"/>
      <c r="E2354" s="3"/>
    </row>
    <row r="2355" s="2" customFormat="1" ht="15.75" spans="1:5">
      <c r="A2355" s="6"/>
      <c r="B2355" s="7"/>
      <c r="C2355" s="6"/>
      <c r="D2355" s="3"/>
      <c r="E2355" s="3"/>
    </row>
    <row r="2356" s="2" customFormat="1" ht="15.75" spans="1:5">
      <c r="A2356" s="6"/>
      <c r="B2356" s="7"/>
      <c r="C2356" s="6"/>
      <c r="D2356" s="3"/>
      <c r="E2356" s="3"/>
    </row>
    <row r="2357" s="2" customFormat="1" ht="15.75" spans="1:5">
      <c r="A2357" s="6"/>
      <c r="B2357" s="7"/>
      <c r="C2357" s="6"/>
      <c r="D2357" s="3"/>
      <c r="E2357" s="3"/>
    </row>
    <row r="2358" s="2" customFormat="1" ht="15.75" spans="1:5">
      <c r="A2358" s="6"/>
      <c r="B2358" s="7"/>
      <c r="C2358" s="6"/>
      <c r="D2358" s="3"/>
      <c r="E2358" s="3"/>
    </row>
    <row r="2359" s="2" customFormat="1" ht="15.75" spans="1:5">
      <c r="A2359" s="6"/>
      <c r="B2359" s="7"/>
      <c r="C2359" s="6"/>
      <c r="D2359" s="3"/>
      <c r="E2359" s="3"/>
    </row>
    <row r="2360" s="2" customFormat="1" ht="15.75" spans="1:5">
      <c r="A2360" s="6"/>
      <c r="B2360" s="7"/>
      <c r="C2360" s="6"/>
      <c r="D2360" s="3"/>
      <c r="E2360" s="3"/>
    </row>
    <row r="2361" s="2" customFormat="1" ht="15.75" spans="1:5">
      <c r="A2361" s="6"/>
      <c r="B2361" s="7"/>
      <c r="C2361" s="6"/>
      <c r="D2361" s="3"/>
      <c r="E2361" s="3"/>
    </row>
    <row r="2362" s="2" customFormat="1" ht="15.75" spans="1:5">
      <c r="A2362" s="6"/>
      <c r="B2362" s="7"/>
      <c r="C2362" s="6"/>
      <c r="D2362" s="3"/>
      <c r="E2362" s="3"/>
    </row>
    <row r="2363" s="2" customFormat="1" ht="15.75" spans="1:5">
      <c r="A2363" s="6"/>
      <c r="B2363" s="7"/>
      <c r="C2363" s="6"/>
      <c r="D2363" s="3"/>
      <c r="E2363" s="3"/>
    </row>
    <row r="2364" s="2" customFormat="1" ht="15.75" spans="1:5">
      <c r="A2364" s="6"/>
      <c r="B2364" s="7"/>
      <c r="C2364" s="6"/>
      <c r="D2364" s="3"/>
      <c r="E2364" s="3"/>
    </row>
    <row r="2365" s="2" customFormat="1" ht="15.75" spans="1:5">
      <c r="A2365" s="6"/>
      <c r="B2365" s="7"/>
      <c r="C2365" s="6"/>
      <c r="D2365" s="3"/>
      <c r="E2365" s="3"/>
    </row>
    <row r="2366" s="2" customFormat="1" ht="15.75" spans="1:5">
      <c r="A2366" s="6"/>
      <c r="B2366" s="7"/>
      <c r="C2366" s="6"/>
      <c r="D2366" s="3"/>
      <c r="E2366" s="3"/>
    </row>
    <row r="2367" s="2" customFormat="1" ht="15.75" spans="1:5">
      <c r="A2367" s="6"/>
      <c r="B2367" s="7"/>
      <c r="C2367" s="6"/>
      <c r="D2367" s="3"/>
      <c r="E2367" s="3"/>
    </row>
    <row r="2368" s="2" customFormat="1" ht="15.75" spans="1:5">
      <c r="A2368" s="6"/>
      <c r="B2368" s="7"/>
      <c r="C2368" s="6"/>
      <c r="D2368" s="3"/>
      <c r="E2368" s="3"/>
    </row>
    <row r="2369" s="2" customFormat="1" ht="15.75" spans="1:5">
      <c r="A2369" s="6"/>
      <c r="B2369" s="7"/>
      <c r="C2369" s="6"/>
      <c r="D2369" s="3"/>
      <c r="E2369" s="3"/>
    </row>
    <row r="2370" s="2" customFormat="1" ht="15.75" spans="1:5">
      <c r="A2370" s="6"/>
      <c r="B2370" s="7"/>
      <c r="C2370" s="6"/>
      <c r="D2370" s="3"/>
      <c r="E2370" s="3"/>
    </row>
    <row r="2371" s="2" customFormat="1" ht="15.75" spans="1:5">
      <c r="A2371" s="6"/>
      <c r="B2371" s="7"/>
      <c r="C2371" s="6"/>
      <c r="D2371" s="3"/>
      <c r="E2371" s="3"/>
    </row>
    <row r="2372" s="2" customFormat="1" ht="15.75" spans="1:5">
      <c r="A2372" s="6"/>
      <c r="B2372" s="7"/>
      <c r="C2372" s="6"/>
      <c r="D2372" s="3"/>
      <c r="E2372" s="3"/>
    </row>
    <row r="2373" s="2" customFormat="1" ht="15.75" spans="1:5">
      <c r="A2373" s="6"/>
      <c r="B2373" s="7"/>
      <c r="C2373" s="6"/>
      <c r="D2373" s="3"/>
      <c r="E2373" s="3"/>
    </row>
    <row r="2374" s="2" customFormat="1" ht="15.75" spans="1:5">
      <c r="A2374" s="6"/>
      <c r="B2374" s="7"/>
      <c r="C2374" s="6"/>
      <c r="D2374" s="3"/>
      <c r="E2374" s="3"/>
    </row>
    <row r="2375" s="2" customFormat="1" ht="15.75" spans="1:5">
      <c r="A2375" s="6"/>
      <c r="B2375" s="7"/>
      <c r="C2375" s="6"/>
      <c r="D2375" s="3"/>
      <c r="E2375" s="3"/>
    </row>
    <row r="2376" s="2" customFormat="1" ht="15.75" spans="1:5">
      <c r="A2376" s="6"/>
      <c r="B2376" s="7"/>
      <c r="C2376" s="6"/>
      <c r="D2376" s="3"/>
      <c r="E2376" s="3"/>
    </row>
    <row r="2377" s="2" customFormat="1" ht="15.75" spans="1:5">
      <c r="A2377" s="6"/>
      <c r="B2377" s="7"/>
      <c r="C2377" s="6"/>
      <c r="D2377" s="3"/>
      <c r="E2377" s="3"/>
    </row>
    <row r="2378" s="2" customFormat="1" ht="15.75" spans="1:5">
      <c r="A2378" s="6"/>
      <c r="B2378" s="7"/>
      <c r="C2378" s="6"/>
      <c r="D2378" s="3"/>
      <c r="E2378" s="3"/>
    </row>
    <row r="2379" s="2" customFormat="1" ht="15.75" spans="1:5">
      <c r="A2379" s="6"/>
      <c r="B2379" s="7"/>
      <c r="C2379" s="6"/>
      <c r="D2379" s="3"/>
      <c r="E2379" s="3"/>
    </row>
    <row r="2380" s="2" customFormat="1" ht="15.75" spans="1:5">
      <c r="A2380" s="6"/>
      <c r="B2380" s="7"/>
      <c r="C2380" s="6"/>
      <c r="D2380" s="3"/>
      <c r="E2380" s="3"/>
    </row>
    <row r="2381" s="2" customFormat="1" ht="15.75" spans="1:5">
      <c r="A2381" s="6"/>
      <c r="B2381" s="7"/>
      <c r="C2381" s="6"/>
      <c r="D2381" s="3"/>
      <c r="E2381" s="3"/>
    </row>
    <row r="2382" s="2" customFormat="1" ht="15.75" spans="1:5">
      <c r="A2382" s="6"/>
      <c r="B2382" s="7"/>
      <c r="C2382" s="6"/>
      <c r="D2382" s="3"/>
      <c r="E2382" s="3"/>
    </row>
    <row r="2383" s="2" customFormat="1" ht="15.75" spans="1:5">
      <c r="A2383" s="6"/>
      <c r="B2383" s="7"/>
      <c r="C2383" s="6"/>
      <c r="D2383" s="3"/>
      <c r="E2383" s="3"/>
    </row>
    <row r="2384" s="2" customFormat="1" ht="15.75" spans="1:5">
      <c r="A2384" s="6"/>
      <c r="B2384" s="7"/>
      <c r="C2384" s="6"/>
      <c r="D2384" s="3"/>
      <c r="E2384" s="3"/>
    </row>
    <row r="2385" s="2" customFormat="1" ht="15.75" spans="1:5">
      <c r="A2385" s="6"/>
      <c r="B2385" s="7"/>
      <c r="C2385" s="6"/>
      <c r="D2385" s="3"/>
      <c r="E2385" s="3"/>
    </row>
    <row r="2386" s="2" customFormat="1" ht="15.75" spans="1:5">
      <c r="A2386" s="6"/>
      <c r="B2386" s="7"/>
      <c r="C2386" s="6"/>
      <c r="D2386" s="3"/>
      <c r="E2386" s="3"/>
    </row>
    <row r="2387" s="2" customFormat="1" ht="15.75" spans="1:5">
      <c r="A2387" s="6"/>
      <c r="B2387" s="7"/>
      <c r="C2387" s="6"/>
      <c r="D2387" s="3"/>
      <c r="E2387" s="3"/>
    </row>
    <row r="2388" s="2" customFormat="1" ht="15.75" spans="1:5">
      <c r="A2388" s="6"/>
      <c r="B2388" s="7"/>
      <c r="C2388" s="6"/>
      <c r="D2388" s="3"/>
      <c r="E2388" s="3"/>
    </row>
    <row r="2389" s="2" customFormat="1" ht="15.75" spans="1:5">
      <c r="A2389" s="6"/>
      <c r="B2389" s="7"/>
      <c r="C2389" s="6"/>
      <c r="D2389" s="3"/>
      <c r="E2389" s="3"/>
    </row>
    <row r="2390" s="2" customFormat="1" ht="15.75" spans="1:5">
      <c r="A2390" s="6"/>
      <c r="B2390" s="7"/>
      <c r="C2390" s="6"/>
      <c r="D2390" s="3"/>
      <c r="E2390" s="3"/>
    </row>
    <row r="2391" s="2" customFormat="1" ht="15.75" spans="1:5">
      <c r="A2391" s="6"/>
      <c r="B2391" s="7"/>
      <c r="C2391" s="6"/>
      <c r="D2391" s="3"/>
      <c r="E2391" s="3"/>
    </row>
    <row r="2392" s="2" customFormat="1" ht="15.75" spans="1:5">
      <c r="A2392" s="6"/>
      <c r="B2392" s="7"/>
      <c r="C2392" s="6"/>
      <c r="D2392" s="3"/>
      <c r="E2392" s="3"/>
    </row>
    <row r="2393" s="2" customFormat="1" ht="15.75" spans="1:5">
      <c r="A2393" s="6"/>
      <c r="B2393" s="7"/>
      <c r="C2393" s="6"/>
      <c r="D2393" s="3"/>
      <c r="E2393" s="3"/>
    </row>
    <row r="2394" s="2" customFormat="1" ht="15.75" spans="1:5">
      <c r="A2394" s="6"/>
      <c r="B2394" s="7"/>
      <c r="C2394" s="6"/>
      <c r="D2394" s="3"/>
      <c r="E2394" s="3"/>
    </row>
    <row r="2395" s="2" customFormat="1" ht="15.75" spans="1:5">
      <c r="A2395" s="6"/>
      <c r="B2395" s="7"/>
      <c r="C2395" s="6"/>
      <c r="D2395" s="3"/>
      <c r="E2395" s="3"/>
    </row>
    <row r="2396" s="2" customFormat="1" ht="15.75" spans="1:5">
      <c r="A2396" s="6"/>
      <c r="B2396" s="7"/>
      <c r="C2396" s="6"/>
      <c r="D2396" s="3"/>
      <c r="E2396" s="3"/>
    </row>
    <row r="2397" s="2" customFormat="1" ht="15.75" spans="1:5">
      <c r="A2397" s="6"/>
      <c r="B2397" s="7"/>
      <c r="C2397" s="6"/>
      <c r="D2397" s="3"/>
      <c r="E2397" s="3"/>
    </row>
    <row r="2398" s="2" customFormat="1" ht="15.75" spans="1:5">
      <c r="A2398" s="6"/>
      <c r="B2398" s="7"/>
      <c r="C2398" s="6"/>
      <c r="D2398" s="3"/>
      <c r="E2398" s="3"/>
    </row>
    <row r="2399" s="2" customFormat="1" ht="15.75" spans="1:5">
      <c r="A2399" s="6"/>
      <c r="B2399" s="7"/>
      <c r="C2399" s="6"/>
      <c r="D2399" s="3"/>
      <c r="E2399" s="3"/>
    </row>
    <row r="2400" s="2" customFormat="1" ht="15.75" spans="1:5">
      <c r="A2400" s="6"/>
      <c r="B2400" s="7"/>
      <c r="C2400" s="6"/>
      <c r="D2400" s="3"/>
      <c r="E2400" s="3"/>
    </row>
    <row r="2401" s="2" customFormat="1" ht="15.75" spans="1:5">
      <c r="A2401" s="6"/>
      <c r="B2401" s="7"/>
      <c r="C2401" s="6"/>
      <c r="D2401" s="3"/>
      <c r="E2401" s="3"/>
    </row>
    <row r="2402" s="2" customFormat="1" ht="15.75" spans="1:5">
      <c r="A2402" s="6"/>
      <c r="B2402" s="7"/>
      <c r="C2402" s="6"/>
      <c r="D2402" s="3"/>
      <c r="E2402" s="3"/>
    </row>
    <row r="2403" s="2" customFormat="1" ht="15.75" spans="1:5">
      <c r="A2403" s="6"/>
      <c r="B2403" s="7"/>
      <c r="C2403" s="6"/>
      <c r="D2403" s="3"/>
      <c r="E2403" s="3"/>
    </row>
    <row r="2404" s="2" customFormat="1" ht="15.75" spans="1:5">
      <c r="A2404" s="6"/>
      <c r="B2404" s="7"/>
      <c r="C2404" s="6"/>
      <c r="D2404" s="3"/>
      <c r="E2404" s="3"/>
    </row>
    <row r="2405" s="2" customFormat="1" ht="15.75" spans="1:5">
      <c r="A2405" s="6"/>
      <c r="B2405" s="7"/>
      <c r="C2405" s="6"/>
      <c r="D2405" s="3"/>
      <c r="E2405" s="3"/>
    </row>
    <row r="2406" s="2" customFormat="1" ht="15.75" spans="1:5">
      <c r="A2406" s="6"/>
      <c r="B2406" s="7"/>
      <c r="C2406" s="6"/>
      <c r="D2406" s="3"/>
      <c r="E2406" s="3"/>
    </row>
    <row r="2407" s="2" customFormat="1" ht="15.75" spans="1:5">
      <c r="A2407" s="6"/>
      <c r="B2407" s="7"/>
      <c r="C2407" s="6"/>
      <c r="D2407" s="3"/>
      <c r="E2407" s="3"/>
    </row>
    <row r="2408" s="2" customFormat="1" ht="15.75" spans="1:5">
      <c r="A2408" s="6"/>
      <c r="B2408" s="7"/>
      <c r="C2408" s="6"/>
      <c r="D2408" s="3"/>
      <c r="E2408" s="3"/>
    </row>
    <row r="2409" s="2" customFormat="1" ht="15.75" spans="1:5">
      <c r="A2409" s="6"/>
      <c r="B2409" s="7"/>
      <c r="C2409" s="6"/>
      <c r="D2409" s="3"/>
      <c r="E2409" s="3"/>
    </row>
    <row r="2410" s="2" customFormat="1" ht="15.75" spans="1:5">
      <c r="A2410" s="6"/>
      <c r="B2410" s="7"/>
      <c r="C2410" s="6"/>
      <c r="D2410" s="3"/>
      <c r="E2410" s="3"/>
    </row>
    <row r="2411" s="2" customFormat="1" ht="15.75" spans="1:5">
      <c r="A2411" s="6"/>
      <c r="B2411" s="7"/>
      <c r="C2411" s="6"/>
      <c r="D2411" s="3"/>
      <c r="E2411" s="3"/>
    </row>
    <row r="2412" s="2" customFormat="1" ht="15.75" spans="1:5">
      <c r="A2412" s="6"/>
      <c r="B2412" s="7"/>
      <c r="C2412" s="6"/>
      <c r="D2412" s="3"/>
      <c r="E2412" s="3"/>
    </row>
    <row r="2413" s="2" customFormat="1" ht="15.75" spans="1:5">
      <c r="A2413" s="6"/>
      <c r="B2413" s="7"/>
      <c r="C2413" s="6"/>
      <c r="D2413" s="3"/>
      <c r="E2413" s="3"/>
    </row>
    <row r="2414" s="2" customFormat="1" ht="15.75" spans="1:5">
      <c r="A2414" s="6"/>
      <c r="B2414" s="7"/>
      <c r="C2414" s="6"/>
      <c r="D2414" s="3"/>
      <c r="E2414" s="3"/>
    </row>
    <row r="2415" s="2" customFormat="1" ht="15.75" spans="1:5">
      <c r="A2415" s="6"/>
      <c r="B2415" s="7"/>
      <c r="C2415" s="6"/>
      <c r="D2415" s="3"/>
      <c r="E2415" s="3"/>
    </row>
    <row r="2416" s="2" customFormat="1" ht="15.75" spans="1:5">
      <c r="A2416" s="6"/>
      <c r="B2416" s="7"/>
      <c r="C2416" s="6"/>
      <c r="D2416" s="3"/>
      <c r="E2416" s="3"/>
    </row>
    <row r="2417" s="2" customFormat="1" ht="15.75" spans="1:5">
      <c r="A2417" s="6"/>
      <c r="B2417" s="7"/>
      <c r="C2417" s="6"/>
      <c r="D2417" s="3"/>
      <c r="E2417" s="3"/>
    </row>
    <row r="2418" s="2" customFormat="1" ht="15.75" spans="1:5">
      <c r="A2418" s="6"/>
      <c r="B2418" s="7"/>
      <c r="C2418" s="6"/>
      <c r="D2418" s="3"/>
      <c r="E2418" s="3"/>
    </row>
    <row r="2419" s="2" customFormat="1" ht="15.75" spans="1:5">
      <c r="A2419" s="6"/>
      <c r="B2419" s="7"/>
      <c r="C2419" s="6"/>
      <c r="D2419" s="3"/>
      <c r="E2419" s="3"/>
    </row>
    <row r="2420" s="2" customFormat="1" ht="15.75" spans="1:5">
      <c r="A2420" s="6"/>
      <c r="B2420" s="7"/>
      <c r="C2420" s="6"/>
      <c r="D2420" s="3"/>
      <c r="E2420" s="3"/>
    </row>
    <row r="2421" s="2" customFormat="1" ht="15.75" spans="1:5">
      <c r="A2421" s="6"/>
      <c r="B2421" s="7"/>
      <c r="C2421" s="6"/>
      <c r="D2421" s="3"/>
      <c r="E2421" s="3"/>
    </row>
    <row r="2422" s="2" customFormat="1" ht="15.75" spans="1:5">
      <c r="A2422" s="6"/>
      <c r="B2422" s="7"/>
      <c r="C2422" s="6"/>
      <c r="D2422" s="3"/>
      <c r="E2422" s="3"/>
    </row>
    <row r="2423" s="2" customFormat="1" ht="15.75" spans="1:5">
      <c r="A2423" s="6"/>
      <c r="B2423" s="7"/>
      <c r="C2423" s="6"/>
      <c r="D2423" s="3"/>
      <c r="E2423" s="3"/>
    </row>
    <row r="2424" s="2" customFormat="1" ht="15.75" spans="1:5">
      <c r="A2424" s="6"/>
      <c r="B2424" s="7"/>
      <c r="C2424" s="6"/>
      <c r="D2424" s="3"/>
      <c r="E2424" s="3"/>
    </row>
    <row r="2425" s="2" customFormat="1" ht="15.75" spans="1:5">
      <c r="A2425" s="6"/>
      <c r="B2425" s="7"/>
      <c r="C2425" s="6"/>
      <c r="D2425" s="3"/>
      <c r="E2425" s="3"/>
    </row>
    <row r="2426" s="2" customFormat="1" ht="15.75" spans="1:5">
      <c r="A2426" s="6"/>
      <c r="B2426" s="7"/>
      <c r="C2426" s="6"/>
      <c r="D2426" s="3"/>
      <c r="E2426" s="3"/>
    </row>
    <row r="2427" s="2" customFormat="1" ht="15.75" spans="1:5">
      <c r="A2427" s="6"/>
      <c r="B2427" s="7"/>
      <c r="C2427" s="6"/>
      <c r="D2427" s="3"/>
      <c r="E2427" s="3"/>
    </row>
    <row r="2428" s="2" customFormat="1" ht="15.75" spans="1:5">
      <c r="A2428" s="6"/>
      <c r="B2428" s="7"/>
      <c r="C2428" s="6"/>
      <c r="D2428" s="3"/>
      <c r="E2428" s="3"/>
    </row>
    <row r="2429" s="2" customFormat="1" ht="15.75" spans="1:5">
      <c r="A2429" s="6"/>
      <c r="B2429" s="7"/>
      <c r="C2429" s="6"/>
      <c r="D2429" s="3"/>
      <c r="E2429" s="3"/>
    </row>
    <row r="2430" s="2" customFormat="1" ht="15.75" spans="1:5">
      <c r="A2430" s="6"/>
      <c r="B2430" s="7"/>
      <c r="C2430" s="6"/>
      <c r="D2430" s="3"/>
      <c r="E2430" s="3"/>
    </row>
    <row r="2431" s="2" customFormat="1" ht="15.75" spans="1:5">
      <c r="A2431" s="6"/>
      <c r="B2431" s="7"/>
      <c r="C2431" s="6"/>
      <c r="D2431" s="3"/>
      <c r="E2431" s="3"/>
    </row>
    <row r="2432" s="2" customFormat="1" ht="15.75" spans="1:5">
      <c r="A2432" s="6"/>
      <c r="B2432" s="7"/>
      <c r="C2432" s="6"/>
      <c r="D2432" s="3"/>
      <c r="E2432" s="3"/>
    </row>
    <row r="2433" s="2" customFormat="1" ht="15.75" spans="1:5">
      <c r="A2433" s="6"/>
      <c r="B2433" s="7"/>
      <c r="C2433" s="6"/>
      <c r="D2433" s="3"/>
      <c r="E2433" s="3"/>
    </row>
    <row r="2434" s="2" customFormat="1" ht="15.75" spans="1:5">
      <c r="A2434" s="6"/>
      <c r="B2434" s="7"/>
      <c r="C2434" s="6"/>
      <c r="D2434" s="3"/>
      <c r="E2434" s="3"/>
    </row>
    <row r="2435" s="2" customFormat="1" ht="15.75" spans="1:5">
      <c r="A2435" s="6"/>
      <c r="B2435" s="7"/>
      <c r="C2435" s="6"/>
      <c r="D2435" s="3"/>
      <c r="E2435" s="3"/>
    </row>
    <row r="2436" s="2" customFormat="1" ht="15.75" spans="1:5">
      <c r="A2436" s="6"/>
      <c r="B2436" s="7"/>
      <c r="C2436" s="6"/>
      <c r="D2436" s="3"/>
      <c r="E2436" s="3"/>
    </row>
    <row r="2437" s="2" customFormat="1" ht="15.75" spans="1:5">
      <c r="A2437" s="6"/>
      <c r="B2437" s="7"/>
      <c r="C2437" s="6"/>
      <c r="D2437" s="3"/>
      <c r="E2437" s="3"/>
    </row>
    <row r="2438" s="2" customFormat="1" ht="15.75" spans="1:5">
      <c r="A2438" s="6"/>
      <c r="B2438" s="7"/>
      <c r="C2438" s="6"/>
      <c r="D2438" s="3"/>
      <c r="E2438" s="3"/>
    </row>
    <row r="2439" s="2" customFormat="1" ht="15.75" spans="1:5">
      <c r="A2439" s="6"/>
      <c r="B2439" s="7"/>
      <c r="C2439" s="6"/>
      <c r="D2439" s="3"/>
      <c r="E2439" s="3"/>
    </row>
    <row r="2440" s="2" customFormat="1" ht="15.75" spans="1:5">
      <c r="A2440" s="6"/>
      <c r="B2440" s="7"/>
      <c r="C2440" s="6"/>
      <c r="D2440" s="3"/>
      <c r="E2440" s="3"/>
    </row>
    <row r="2441" s="2" customFormat="1" ht="15.75" spans="1:5">
      <c r="A2441" s="6"/>
      <c r="B2441" s="7"/>
      <c r="C2441" s="6"/>
      <c r="D2441" s="3"/>
      <c r="E2441" s="3"/>
    </row>
    <row r="2442" s="2" customFormat="1" ht="15.75" spans="1:5">
      <c r="A2442" s="6"/>
      <c r="B2442" s="7"/>
      <c r="C2442" s="6"/>
      <c r="D2442" s="3"/>
      <c r="E2442" s="3"/>
    </row>
    <row r="2443" s="2" customFormat="1" ht="15.75" spans="1:5">
      <c r="A2443" s="6"/>
      <c r="B2443" s="7"/>
      <c r="C2443" s="6"/>
      <c r="D2443" s="3"/>
      <c r="E2443" s="3"/>
    </row>
    <row r="2444" s="2" customFormat="1" ht="15.75" spans="1:5">
      <c r="A2444" s="6"/>
      <c r="B2444" s="7"/>
      <c r="C2444" s="6"/>
      <c r="D2444" s="3"/>
      <c r="E2444" s="3"/>
    </row>
    <row r="2445" s="2" customFormat="1" ht="15.75" spans="1:5">
      <c r="A2445" s="6"/>
      <c r="B2445" s="7"/>
      <c r="C2445" s="6"/>
      <c r="D2445" s="3"/>
      <c r="E2445" s="3"/>
    </row>
    <row r="2446" s="2" customFormat="1" ht="15.75" spans="1:5">
      <c r="A2446" s="6"/>
      <c r="B2446" s="7"/>
      <c r="C2446" s="6"/>
      <c r="D2446" s="3"/>
      <c r="E2446" s="3"/>
    </row>
    <row r="2447" s="2" customFormat="1" ht="15.75" spans="1:5">
      <c r="A2447" s="6"/>
      <c r="B2447" s="7"/>
      <c r="C2447" s="6"/>
      <c r="D2447" s="3"/>
      <c r="E2447" s="3"/>
    </row>
    <row r="2448" s="2" customFormat="1" ht="15.75" spans="1:5">
      <c r="A2448" s="6"/>
      <c r="B2448" s="7"/>
      <c r="C2448" s="6"/>
      <c r="D2448" s="3"/>
      <c r="E2448" s="3"/>
    </row>
    <row r="2449" s="2" customFormat="1" ht="15.75" spans="1:5">
      <c r="A2449" s="6"/>
      <c r="B2449" s="7"/>
      <c r="C2449" s="6"/>
      <c r="D2449" s="3"/>
      <c r="E2449" s="3"/>
    </row>
    <row r="2450" s="2" customFormat="1" ht="15.75" spans="1:5">
      <c r="A2450" s="6"/>
      <c r="B2450" s="7"/>
      <c r="C2450" s="6"/>
      <c r="D2450" s="3"/>
      <c r="E2450" s="3"/>
    </row>
    <row r="2451" s="2" customFormat="1" ht="15.75" spans="1:5">
      <c r="A2451" s="6"/>
      <c r="B2451" s="7"/>
      <c r="C2451" s="6"/>
      <c r="D2451" s="3"/>
      <c r="E2451" s="3"/>
    </row>
    <row r="2452" s="2" customFormat="1" ht="15.75" spans="1:5">
      <c r="A2452" s="6"/>
      <c r="B2452" s="7"/>
      <c r="C2452" s="6"/>
      <c r="D2452" s="3"/>
      <c r="E2452" s="3"/>
    </row>
    <row r="2453" s="2" customFormat="1" ht="15.75" spans="1:5">
      <c r="A2453" s="6"/>
      <c r="B2453" s="7"/>
      <c r="C2453" s="6"/>
      <c r="D2453" s="3"/>
      <c r="E2453" s="3"/>
    </row>
    <row r="2454" s="2" customFormat="1" ht="15.75" spans="1:5">
      <c r="A2454" s="6"/>
      <c r="B2454" s="7"/>
      <c r="C2454" s="6"/>
      <c r="D2454" s="3"/>
      <c r="E2454" s="3"/>
    </row>
    <row r="2455" s="2" customFormat="1" ht="15.75" spans="1:5">
      <c r="A2455" s="6"/>
      <c r="B2455" s="7"/>
      <c r="C2455" s="6"/>
      <c r="D2455" s="3"/>
      <c r="E2455" s="3"/>
    </row>
    <row r="2456" s="2" customFormat="1" ht="15.75" spans="1:5">
      <c r="A2456" s="6"/>
      <c r="B2456" s="7"/>
      <c r="C2456" s="6"/>
      <c r="D2456" s="3"/>
      <c r="E2456" s="3"/>
    </row>
    <row r="2457" s="2" customFormat="1" ht="15.75" spans="1:5">
      <c r="A2457" s="6"/>
      <c r="B2457" s="7"/>
      <c r="C2457" s="6"/>
      <c r="D2457" s="3"/>
      <c r="E2457" s="3"/>
    </row>
    <row r="2458" s="2" customFormat="1" ht="15.75" spans="1:5">
      <c r="A2458" s="6"/>
      <c r="B2458" s="7"/>
      <c r="C2458" s="6"/>
      <c r="D2458" s="3"/>
      <c r="E2458" s="3"/>
    </row>
    <row r="2459" s="2" customFormat="1" ht="15.75" spans="1:5">
      <c r="A2459" s="6"/>
      <c r="B2459" s="7"/>
      <c r="C2459" s="6"/>
      <c r="D2459" s="3"/>
      <c r="E2459" s="3"/>
    </row>
    <row r="2460" s="2" customFormat="1" ht="15.75" spans="1:5">
      <c r="A2460" s="6"/>
      <c r="B2460" s="7"/>
      <c r="C2460" s="6"/>
      <c r="D2460" s="3"/>
      <c r="E2460" s="3"/>
    </row>
    <row r="2461" s="2" customFormat="1" ht="15.75" spans="1:5">
      <c r="A2461" s="6"/>
      <c r="B2461" s="7"/>
      <c r="C2461" s="6"/>
      <c r="D2461" s="3"/>
      <c r="E2461" s="3"/>
    </row>
    <row r="2462" s="2" customFormat="1" ht="15.75" spans="1:5">
      <c r="A2462" s="6"/>
      <c r="B2462" s="7"/>
      <c r="C2462" s="6"/>
      <c r="D2462" s="3"/>
      <c r="E2462" s="3"/>
    </row>
    <row r="2463" s="2" customFormat="1" ht="15.75" spans="1:5">
      <c r="A2463" s="6"/>
      <c r="B2463" s="7"/>
      <c r="C2463" s="6"/>
      <c r="D2463" s="3"/>
      <c r="E2463" s="3"/>
    </row>
    <row r="2464" s="2" customFormat="1" ht="15.75" spans="1:5">
      <c r="A2464" s="6"/>
      <c r="B2464" s="7"/>
      <c r="C2464" s="6"/>
      <c r="D2464" s="3"/>
      <c r="E2464" s="3"/>
    </row>
    <row r="2465" s="2" customFormat="1" ht="15.75" spans="1:5">
      <c r="A2465" s="6"/>
      <c r="B2465" s="7"/>
      <c r="C2465" s="6"/>
      <c r="D2465" s="3"/>
      <c r="E2465" s="3"/>
    </row>
    <row r="2466" s="2" customFormat="1" ht="15.75" spans="1:5">
      <c r="A2466" s="6"/>
      <c r="B2466" s="7"/>
      <c r="C2466" s="6"/>
      <c r="D2466" s="3"/>
      <c r="E2466" s="3"/>
    </row>
    <row r="2467" s="2" customFormat="1" ht="15.75" spans="1:5">
      <c r="A2467" s="6"/>
      <c r="B2467" s="7"/>
      <c r="C2467" s="6"/>
      <c r="D2467" s="3"/>
      <c r="E2467" s="3"/>
    </row>
    <row r="2468" s="2" customFormat="1" ht="15.75" spans="1:5">
      <c r="A2468" s="6"/>
      <c r="B2468" s="7"/>
      <c r="C2468" s="6"/>
      <c r="D2468" s="3"/>
      <c r="E2468" s="3"/>
    </row>
    <row r="2469" s="2" customFormat="1" ht="15.75" spans="1:5">
      <c r="A2469" s="6"/>
      <c r="B2469" s="7"/>
      <c r="C2469" s="6"/>
      <c r="D2469" s="3"/>
      <c r="E2469" s="3"/>
    </row>
    <row r="2470" s="2" customFormat="1" ht="15.75" spans="1:5">
      <c r="A2470" s="6"/>
      <c r="B2470" s="7"/>
      <c r="C2470" s="6"/>
      <c r="D2470" s="3"/>
      <c r="E2470" s="3"/>
    </row>
    <row r="2471" s="2" customFormat="1" ht="15.75" spans="1:5">
      <c r="A2471" s="6"/>
      <c r="B2471" s="7"/>
      <c r="C2471" s="6"/>
      <c r="D2471" s="3"/>
      <c r="E2471" s="3"/>
    </row>
    <row r="2472" s="2" customFormat="1" ht="15.75" spans="1:5">
      <c r="A2472" s="6"/>
      <c r="B2472" s="7"/>
      <c r="C2472" s="6"/>
      <c r="D2472" s="3"/>
      <c r="E2472" s="3"/>
    </row>
    <row r="2473" s="2" customFormat="1" ht="15.75" spans="1:5">
      <c r="A2473" s="6"/>
      <c r="B2473" s="7"/>
      <c r="C2473" s="6"/>
      <c r="D2473" s="3"/>
      <c r="E2473" s="3"/>
    </row>
    <row r="2474" s="2" customFormat="1" ht="15.75" spans="1:5">
      <c r="A2474" s="6"/>
      <c r="B2474" s="7"/>
      <c r="C2474" s="6"/>
      <c r="D2474" s="3"/>
      <c r="E2474" s="3"/>
    </row>
    <row r="2475" s="2" customFormat="1" ht="15.75" spans="1:5">
      <c r="A2475" s="6"/>
      <c r="B2475" s="7"/>
      <c r="C2475" s="6"/>
      <c r="D2475" s="3"/>
      <c r="E2475" s="3"/>
    </row>
    <row r="2476" s="2" customFormat="1" ht="15.75" spans="1:5">
      <c r="A2476" s="6"/>
      <c r="B2476" s="7"/>
      <c r="C2476" s="6"/>
      <c r="D2476" s="3"/>
      <c r="E2476" s="3"/>
    </row>
    <row r="2477" s="2" customFormat="1" ht="15.75" spans="1:5">
      <c r="A2477" s="6"/>
      <c r="B2477" s="7"/>
      <c r="C2477" s="6"/>
      <c r="D2477" s="3"/>
      <c r="E2477" s="3"/>
    </row>
    <row r="2478" s="2" customFormat="1" ht="15.75" spans="1:5">
      <c r="A2478" s="6"/>
      <c r="B2478" s="7"/>
      <c r="C2478" s="6"/>
      <c r="D2478" s="3"/>
      <c r="E2478" s="3"/>
    </row>
    <row r="2479" s="2" customFormat="1" ht="15.75" spans="1:5">
      <c r="A2479" s="6"/>
      <c r="B2479" s="7"/>
      <c r="C2479" s="6"/>
      <c r="D2479" s="3"/>
      <c r="E2479" s="3"/>
    </row>
    <row r="2480" s="2" customFormat="1" ht="15.75" spans="1:5">
      <c r="A2480" s="6"/>
      <c r="B2480" s="7"/>
      <c r="C2480" s="6"/>
      <c r="D2480" s="3"/>
      <c r="E2480" s="3"/>
    </row>
    <row r="2481" s="2" customFormat="1" ht="15.75" spans="1:5">
      <c r="A2481" s="6"/>
      <c r="B2481" s="7"/>
      <c r="C2481" s="6"/>
      <c r="D2481" s="3"/>
      <c r="E2481" s="3"/>
    </row>
    <row r="2482" s="2" customFormat="1" ht="15.75" spans="1:5">
      <c r="A2482" s="6"/>
      <c r="B2482" s="7"/>
      <c r="C2482" s="6"/>
      <c r="D2482" s="3"/>
      <c r="E2482" s="3"/>
    </row>
    <row r="2483" s="2" customFormat="1" ht="15.75" spans="1:5">
      <c r="A2483" s="6"/>
      <c r="B2483" s="7"/>
      <c r="C2483" s="6"/>
      <c r="D2483" s="3"/>
      <c r="E2483" s="3"/>
    </row>
    <row r="2484" s="2" customFormat="1" ht="15.75" spans="1:5">
      <c r="A2484" s="6"/>
      <c r="B2484" s="7"/>
      <c r="C2484" s="6"/>
      <c r="D2484" s="3"/>
      <c r="E2484" s="3"/>
    </row>
    <row r="2485" s="2" customFormat="1" ht="15.75" spans="1:5">
      <c r="A2485" s="6"/>
      <c r="B2485" s="7"/>
      <c r="C2485" s="6"/>
      <c r="D2485" s="3"/>
      <c r="E2485" s="3"/>
    </row>
    <row r="2486" s="2" customFormat="1" ht="15.75" spans="1:5">
      <c r="A2486" s="6"/>
      <c r="B2486" s="7"/>
      <c r="C2486" s="6"/>
      <c r="D2486" s="3"/>
      <c r="E2486" s="3"/>
    </row>
    <row r="2487" s="2" customFormat="1" ht="15.75" spans="1:5">
      <c r="A2487" s="6"/>
      <c r="B2487" s="7"/>
      <c r="C2487" s="6"/>
      <c r="D2487" s="3"/>
      <c r="E2487" s="3"/>
    </row>
    <row r="2488" s="2" customFormat="1" ht="15.75" spans="1:5">
      <c r="A2488" s="6"/>
      <c r="B2488" s="7"/>
      <c r="C2488" s="6"/>
      <c r="D2488" s="3"/>
      <c r="E2488" s="3"/>
    </row>
    <row r="2489" s="2" customFormat="1" ht="15.75" spans="1:5">
      <c r="A2489" s="6"/>
      <c r="B2489" s="7"/>
      <c r="C2489" s="6"/>
      <c r="D2489" s="3"/>
      <c r="E2489" s="3"/>
    </row>
    <row r="2490" s="2" customFormat="1" ht="15.75" spans="1:5">
      <c r="A2490" s="6"/>
      <c r="B2490" s="7"/>
      <c r="C2490" s="6"/>
      <c r="D2490" s="3"/>
      <c r="E2490" s="3"/>
    </row>
    <row r="2491" s="2" customFormat="1" ht="15.75" spans="1:5">
      <c r="A2491" s="6"/>
      <c r="B2491" s="7"/>
      <c r="C2491" s="6"/>
      <c r="D2491" s="3"/>
      <c r="E2491" s="3"/>
    </row>
    <row r="2492" s="2" customFormat="1" ht="15.75" spans="1:5">
      <c r="A2492" s="6"/>
      <c r="B2492" s="7"/>
      <c r="C2492" s="6"/>
      <c r="D2492" s="3"/>
      <c r="E2492" s="3"/>
    </row>
    <row r="2493" s="2" customFormat="1" ht="15.75" spans="1:5">
      <c r="A2493" s="6"/>
      <c r="B2493" s="7"/>
      <c r="C2493" s="6"/>
      <c r="D2493" s="3"/>
      <c r="E2493" s="3"/>
    </row>
    <row r="2494" s="2" customFormat="1" ht="15.75" spans="1:5">
      <c r="A2494" s="6"/>
      <c r="B2494" s="7"/>
      <c r="C2494" s="6"/>
      <c r="D2494" s="3"/>
      <c r="E2494" s="3"/>
    </row>
    <row r="2495" s="2" customFormat="1" ht="15.75" spans="1:5">
      <c r="A2495" s="6"/>
      <c r="B2495" s="7"/>
      <c r="C2495" s="6"/>
      <c r="D2495" s="3"/>
      <c r="E2495" s="3"/>
    </row>
    <row r="2496" s="2" customFormat="1" ht="15.75" spans="1:5">
      <c r="A2496" s="6"/>
      <c r="B2496" s="7"/>
      <c r="C2496" s="6"/>
      <c r="D2496" s="3"/>
      <c r="E2496" s="3"/>
    </row>
    <row r="2497" s="2" customFormat="1" ht="15.75" spans="1:5">
      <c r="A2497" s="6"/>
      <c r="B2497" s="7"/>
      <c r="C2497" s="6"/>
      <c r="D2497" s="3"/>
      <c r="E2497" s="3"/>
    </row>
    <row r="2498" s="2" customFormat="1" ht="15.75" spans="1:5">
      <c r="A2498" s="6"/>
      <c r="B2498" s="7"/>
      <c r="C2498" s="6"/>
      <c r="D2498" s="3"/>
      <c r="E2498" s="3"/>
    </row>
    <row r="2499" s="2" customFormat="1" ht="15.75" spans="1:5">
      <c r="A2499" s="6"/>
      <c r="B2499" s="7"/>
      <c r="C2499" s="6"/>
      <c r="D2499" s="3"/>
      <c r="E2499" s="3"/>
    </row>
    <row r="2500" s="2" customFormat="1" ht="15.75" spans="1:5">
      <c r="A2500" s="6"/>
      <c r="B2500" s="7"/>
      <c r="C2500" s="6"/>
      <c r="D2500" s="3"/>
      <c r="E2500" s="3"/>
    </row>
    <row r="2501" s="2" customFormat="1" ht="15.75" spans="1:5">
      <c r="A2501" s="6"/>
      <c r="B2501" s="7"/>
      <c r="C2501" s="6"/>
      <c r="D2501" s="3"/>
      <c r="E2501" s="3"/>
    </row>
    <row r="2502" s="2" customFormat="1" ht="15.75" spans="1:5">
      <c r="A2502" s="6"/>
      <c r="B2502" s="7"/>
      <c r="C2502" s="6"/>
      <c r="D2502" s="3"/>
      <c r="E2502" s="3"/>
    </row>
    <row r="2503" s="2" customFormat="1" ht="15.75" spans="1:5">
      <c r="A2503" s="6"/>
      <c r="B2503" s="7"/>
      <c r="C2503" s="6"/>
      <c r="D2503" s="3"/>
      <c r="E2503" s="3"/>
    </row>
    <row r="2504" s="2" customFormat="1" ht="15.75" spans="1:5">
      <c r="A2504" s="6"/>
      <c r="B2504" s="7"/>
      <c r="C2504" s="6"/>
      <c r="D2504" s="3"/>
      <c r="E2504" s="3"/>
    </row>
    <row r="2505" s="2" customFormat="1" ht="15.75" spans="1:5">
      <c r="A2505" s="6"/>
      <c r="B2505" s="7"/>
      <c r="C2505" s="6"/>
      <c r="D2505" s="3"/>
      <c r="E2505" s="3"/>
    </row>
    <row r="2506" s="2" customFormat="1" ht="15.75" spans="1:5">
      <c r="A2506" s="6"/>
      <c r="B2506" s="7"/>
      <c r="C2506" s="6"/>
      <c r="D2506" s="3"/>
      <c r="E2506" s="3"/>
    </row>
    <row r="2507" s="2" customFormat="1" ht="15.75" spans="1:5">
      <c r="A2507" s="6"/>
      <c r="B2507" s="7"/>
      <c r="C2507" s="6"/>
      <c r="D2507" s="3"/>
      <c r="E2507" s="3"/>
    </row>
    <row r="2508" s="2" customFormat="1" ht="15.75" spans="1:5">
      <c r="A2508" s="6"/>
      <c r="B2508" s="7"/>
      <c r="C2508" s="6"/>
      <c r="D2508" s="3"/>
      <c r="E2508" s="3"/>
    </row>
    <row r="2509" s="2" customFormat="1" ht="15.75" spans="1:5">
      <c r="A2509" s="6"/>
      <c r="B2509" s="7"/>
      <c r="C2509" s="6"/>
      <c r="D2509" s="3"/>
      <c r="E2509" s="3"/>
    </row>
    <row r="2510" s="2" customFormat="1" ht="15.75" spans="1:5">
      <c r="A2510" s="6"/>
      <c r="B2510" s="7"/>
      <c r="C2510" s="6"/>
      <c r="D2510" s="3"/>
      <c r="E2510" s="3"/>
    </row>
    <row r="2511" s="2" customFormat="1" ht="15.75" spans="1:5">
      <c r="A2511" s="6"/>
      <c r="B2511" s="7"/>
      <c r="C2511" s="6"/>
      <c r="D2511" s="3"/>
      <c r="E2511" s="3"/>
    </row>
    <row r="2512" s="2" customFormat="1" ht="15.75" spans="1:5">
      <c r="A2512" s="6"/>
      <c r="B2512" s="7"/>
      <c r="C2512" s="6"/>
      <c r="D2512" s="3"/>
      <c r="E2512" s="3"/>
    </row>
    <row r="2513" s="2" customFormat="1" ht="15.75" spans="1:5">
      <c r="A2513" s="6"/>
      <c r="B2513" s="7"/>
      <c r="C2513" s="6"/>
      <c r="D2513" s="3"/>
      <c r="E2513" s="3"/>
    </row>
    <row r="2514" s="2" customFormat="1" ht="15.75" spans="1:5">
      <c r="A2514" s="6"/>
      <c r="B2514" s="7"/>
      <c r="C2514" s="6"/>
      <c r="D2514" s="3"/>
      <c r="E2514" s="3"/>
    </row>
    <row r="2515" s="2" customFormat="1" ht="15.75" spans="1:5">
      <c r="A2515" s="6"/>
      <c r="B2515" s="7"/>
      <c r="C2515" s="6"/>
      <c r="D2515" s="3"/>
      <c r="E2515" s="3"/>
    </row>
    <row r="2516" s="2" customFormat="1" ht="15.75" spans="1:5">
      <c r="A2516" s="6"/>
      <c r="B2516" s="7"/>
      <c r="C2516" s="6"/>
      <c r="D2516" s="3"/>
      <c r="E2516" s="3"/>
    </row>
    <row r="2517" s="2" customFormat="1" ht="15.75" spans="1:5">
      <c r="A2517" s="6"/>
      <c r="B2517" s="7"/>
      <c r="C2517" s="6"/>
      <c r="D2517" s="3"/>
      <c r="E2517" s="3"/>
    </row>
    <row r="2518" s="2" customFormat="1" ht="15.75" spans="1:5">
      <c r="A2518" s="6"/>
      <c r="B2518" s="7"/>
      <c r="C2518" s="6"/>
      <c r="D2518" s="3"/>
      <c r="E2518" s="3"/>
    </row>
    <row r="2519" s="2" customFormat="1" ht="15.75" spans="1:5">
      <c r="A2519" s="6"/>
      <c r="B2519" s="7"/>
      <c r="C2519" s="6"/>
      <c r="D2519" s="3"/>
      <c r="E2519" s="3"/>
    </row>
    <row r="2520" s="2" customFormat="1" ht="15.75" spans="1:5">
      <c r="A2520" s="6"/>
      <c r="B2520" s="7"/>
      <c r="C2520" s="6"/>
      <c r="D2520" s="3"/>
      <c r="E2520" s="3"/>
    </row>
    <row r="2521" s="2" customFormat="1" ht="15.75" spans="1:5">
      <c r="A2521" s="6"/>
      <c r="B2521" s="7"/>
      <c r="C2521" s="6"/>
      <c r="D2521" s="3"/>
      <c r="E2521" s="3"/>
    </row>
    <row r="2522" s="2" customFormat="1" ht="15.75" spans="1:5">
      <c r="A2522" s="6"/>
      <c r="B2522" s="7"/>
      <c r="C2522" s="6"/>
      <c r="D2522" s="3"/>
      <c r="E2522" s="3"/>
    </row>
    <row r="2523" s="2" customFormat="1" ht="15.75" spans="1:5">
      <c r="A2523" s="6"/>
      <c r="B2523" s="7"/>
      <c r="C2523" s="6"/>
      <c r="D2523" s="3"/>
      <c r="E2523" s="3"/>
    </row>
    <row r="2524" s="2" customFormat="1" ht="15.75" spans="1:5">
      <c r="A2524" s="6"/>
      <c r="B2524" s="7"/>
      <c r="C2524" s="6"/>
      <c r="D2524" s="3"/>
      <c r="E2524" s="3"/>
    </row>
    <row r="2525" s="2" customFormat="1" ht="15.75" spans="1:5">
      <c r="A2525" s="6"/>
      <c r="B2525" s="7"/>
      <c r="C2525" s="6"/>
      <c r="D2525" s="3"/>
      <c r="E2525" s="3"/>
    </row>
    <row r="2526" s="2" customFormat="1" ht="15.75" spans="1:5">
      <c r="A2526" s="6"/>
      <c r="B2526" s="7"/>
      <c r="C2526" s="6"/>
      <c r="D2526" s="3"/>
      <c r="E2526" s="3"/>
    </row>
    <row r="2527" s="2" customFormat="1" ht="15.75" spans="1:5">
      <c r="A2527" s="6"/>
      <c r="B2527" s="7"/>
      <c r="C2527" s="6"/>
      <c r="D2527" s="3"/>
      <c r="E2527" s="3"/>
    </row>
    <row r="2528" s="2" customFormat="1" ht="15.75" spans="1:5">
      <c r="A2528" s="6"/>
      <c r="B2528" s="7"/>
      <c r="C2528" s="6"/>
      <c r="D2528" s="3"/>
      <c r="E2528" s="3"/>
    </row>
    <row r="2529" s="2" customFormat="1" ht="15.75" spans="1:5">
      <c r="A2529" s="6"/>
      <c r="B2529" s="7"/>
      <c r="C2529" s="6"/>
      <c r="D2529" s="3"/>
      <c r="E2529" s="3"/>
    </row>
    <row r="2530" s="2" customFormat="1" ht="15.75" spans="1:5">
      <c r="A2530" s="6"/>
      <c r="B2530" s="7"/>
      <c r="C2530" s="6"/>
      <c r="D2530" s="3"/>
      <c r="E2530" s="3"/>
    </row>
    <row r="2531" s="2" customFormat="1" ht="15.75" spans="1:5">
      <c r="A2531" s="6"/>
      <c r="B2531" s="7"/>
      <c r="C2531" s="6"/>
      <c r="D2531" s="3"/>
      <c r="E2531" s="3"/>
    </row>
    <row r="2532" s="2" customFormat="1" ht="15.75" spans="1:5">
      <c r="A2532" s="6"/>
      <c r="B2532" s="7"/>
      <c r="C2532" s="6"/>
      <c r="D2532" s="3"/>
      <c r="E2532" s="3"/>
    </row>
    <row r="2533" s="2" customFormat="1" ht="15.75" spans="1:5">
      <c r="A2533" s="6"/>
      <c r="B2533" s="7"/>
      <c r="C2533" s="6"/>
      <c r="D2533" s="3"/>
      <c r="E2533" s="3"/>
    </row>
    <row r="2534" s="2" customFormat="1" ht="15.75" spans="1:5">
      <c r="A2534" s="6"/>
      <c r="B2534" s="7"/>
      <c r="C2534" s="6"/>
      <c r="D2534" s="3"/>
      <c r="E2534" s="3"/>
    </row>
    <row r="2535" s="2" customFormat="1" ht="15.75" spans="1:5">
      <c r="A2535" s="6"/>
      <c r="B2535" s="7"/>
      <c r="C2535" s="6"/>
      <c r="D2535" s="3"/>
      <c r="E2535" s="3"/>
    </row>
    <row r="2536" s="2" customFormat="1" ht="15.75" spans="1:5">
      <c r="A2536" s="6"/>
      <c r="B2536" s="7"/>
      <c r="C2536" s="6"/>
      <c r="D2536" s="3"/>
      <c r="E2536" s="3"/>
    </row>
    <row r="2537" s="2" customFormat="1" ht="15.75" spans="1:5">
      <c r="A2537" s="6"/>
      <c r="B2537" s="7"/>
      <c r="C2537" s="6"/>
      <c r="D2537" s="3"/>
      <c r="E2537" s="3"/>
    </row>
    <row r="2538" s="2" customFormat="1" ht="15.75" spans="1:5">
      <c r="A2538" s="6"/>
      <c r="B2538" s="7"/>
      <c r="C2538" s="6"/>
      <c r="D2538" s="3"/>
      <c r="E2538" s="3"/>
    </row>
    <row r="2539" s="2" customFormat="1" ht="15.75" spans="1:5">
      <c r="A2539" s="6"/>
      <c r="B2539" s="7"/>
      <c r="C2539" s="6"/>
      <c r="D2539" s="3"/>
      <c r="E2539" s="3"/>
    </row>
    <row r="2540" s="2" customFormat="1" ht="15.75" spans="1:5">
      <c r="A2540" s="6"/>
      <c r="B2540" s="7"/>
      <c r="C2540" s="6"/>
      <c r="D2540" s="3"/>
      <c r="E2540" s="3"/>
    </row>
    <row r="2541" s="2" customFormat="1" ht="15.75" spans="1:5">
      <c r="A2541" s="6"/>
      <c r="B2541" s="7"/>
      <c r="C2541" s="6"/>
      <c r="D2541" s="3"/>
      <c r="E2541" s="3"/>
    </row>
    <row r="2542" s="2" customFormat="1" ht="15.75" spans="1:5">
      <c r="A2542" s="6"/>
      <c r="B2542" s="7"/>
      <c r="C2542" s="6"/>
      <c r="D2542" s="3"/>
      <c r="E2542" s="3"/>
    </row>
    <row r="2543" s="2" customFormat="1" ht="15.75" spans="1:5">
      <c r="A2543" s="6"/>
      <c r="B2543" s="7"/>
      <c r="C2543" s="6"/>
      <c r="D2543" s="3"/>
      <c r="E2543" s="3"/>
    </row>
    <row r="2544" s="2" customFormat="1" ht="15.75" spans="1:5">
      <c r="A2544" s="6"/>
      <c r="B2544" s="7"/>
      <c r="C2544" s="6"/>
      <c r="D2544" s="3"/>
      <c r="E2544" s="3"/>
    </row>
    <row r="2545" s="2" customFormat="1" ht="15.75" spans="1:5">
      <c r="A2545" s="6"/>
      <c r="B2545" s="7"/>
      <c r="C2545" s="6"/>
      <c r="D2545" s="3"/>
      <c r="E2545" s="3"/>
    </row>
    <row r="2546" s="2" customFormat="1" ht="15.75" spans="1:5">
      <c r="A2546" s="6"/>
      <c r="B2546" s="7"/>
      <c r="C2546" s="6"/>
      <c r="D2546" s="3"/>
      <c r="E2546" s="3"/>
    </row>
    <row r="2547" s="2" customFormat="1" ht="15.75" spans="1:5">
      <c r="A2547" s="6"/>
      <c r="B2547" s="7"/>
      <c r="C2547" s="6"/>
      <c r="D2547" s="3"/>
      <c r="E2547" s="3"/>
    </row>
    <row r="2548" s="2" customFormat="1" ht="15.75" spans="1:5">
      <c r="A2548" s="6"/>
      <c r="B2548" s="7"/>
      <c r="C2548" s="6"/>
      <c r="D2548" s="3"/>
      <c r="E2548" s="3"/>
    </row>
    <row r="2549" s="2" customFormat="1" ht="15.75" spans="1:5">
      <c r="A2549" s="6"/>
      <c r="B2549" s="7"/>
      <c r="C2549" s="6"/>
      <c r="D2549" s="3"/>
      <c r="E2549" s="3"/>
    </row>
    <row r="2550" s="2" customFormat="1" ht="15.75" spans="1:5">
      <c r="A2550" s="6"/>
      <c r="B2550" s="7"/>
      <c r="C2550" s="6"/>
      <c r="D2550" s="3"/>
      <c r="E2550" s="3"/>
    </row>
    <row r="2551" s="2" customFormat="1" ht="15.75" spans="1:5">
      <c r="A2551" s="6"/>
      <c r="B2551" s="7"/>
      <c r="C2551" s="6"/>
      <c r="D2551" s="3"/>
      <c r="E2551" s="3"/>
    </row>
    <row r="2552" s="2" customFormat="1" ht="15.75" spans="1:5">
      <c r="A2552" s="6"/>
      <c r="B2552" s="7"/>
      <c r="C2552" s="6"/>
      <c r="D2552" s="3"/>
      <c r="E2552" s="3"/>
    </row>
    <row r="2553" s="2" customFormat="1" ht="15.75" spans="1:5">
      <c r="A2553" s="6"/>
      <c r="B2553" s="7"/>
      <c r="C2553" s="6"/>
      <c r="D2553" s="3"/>
      <c r="E2553" s="3"/>
    </row>
    <row r="2554" s="2" customFormat="1" ht="15.75" spans="1:5">
      <c r="A2554" s="6"/>
      <c r="B2554" s="7"/>
      <c r="C2554" s="6"/>
      <c r="D2554" s="3"/>
      <c r="E2554" s="3"/>
    </row>
    <row r="2555" s="2" customFormat="1" ht="15.75" spans="1:5">
      <c r="A2555" s="6"/>
      <c r="B2555" s="7"/>
      <c r="C2555" s="6"/>
      <c r="D2555" s="3"/>
      <c r="E2555" s="3"/>
    </row>
    <row r="2556" s="2" customFormat="1" ht="15.75" spans="1:5">
      <c r="A2556" s="6"/>
      <c r="B2556" s="7"/>
      <c r="C2556" s="6"/>
      <c r="D2556" s="3"/>
      <c r="E2556" s="3"/>
    </row>
    <row r="2557" s="2" customFormat="1" ht="15.75" spans="1:5">
      <c r="A2557" s="6"/>
      <c r="B2557" s="7"/>
      <c r="C2557" s="6"/>
      <c r="D2557" s="3"/>
      <c r="E2557" s="3"/>
    </row>
    <row r="2558" s="2" customFormat="1" ht="15.75" spans="1:5">
      <c r="A2558" s="6"/>
      <c r="B2558" s="7"/>
      <c r="C2558" s="6"/>
      <c r="D2558" s="3"/>
      <c r="E2558" s="3"/>
    </row>
    <row r="2559" s="2" customFormat="1" ht="15.75" spans="1:5">
      <c r="A2559" s="6"/>
      <c r="B2559" s="7"/>
      <c r="C2559" s="6"/>
      <c r="D2559" s="3"/>
      <c r="E2559" s="3"/>
    </row>
    <row r="2560" s="2" customFormat="1" ht="15.75" spans="1:5">
      <c r="A2560" s="6"/>
      <c r="B2560" s="7"/>
      <c r="C2560" s="6"/>
      <c r="D2560" s="3"/>
      <c r="E2560" s="3"/>
    </row>
    <row r="2561" s="2" customFormat="1" ht="15.75" spans="1:5">
      <c r="A2561" s="6"/>
      <c r="B2561" s="7"/>
      <c r="C2561" s="6"/>
      <c r="D2561" s="3"/>
      <c r="E2561" s="3"/>
    </row>
    <row r="2562" s="2" customFormat="1" ht="15.75" spans="1:5">
      <c r="A2562" s="6"/>
      <c r="B2562" s="7"/>
      <c r="C2562" s="6"/>
      <c r="D2562" s="3"/>
      <c r="E2562" s="3"/>
    </row>
    <row r="2563" s="2" customFormat="1" ht="15.75" spans="1:5">
      <c r="A2563" s="6"/>
      <c r="B2563" s="7"/>
      <c r="C2563" s="6"/>
      <c r="D2563" s="3"/>
      <c r="E2563" s="3"/>
    </row>
    <row r="2564" s="2" customFormat="1" ht="15.75" spans="1:5">
      <c r="A2564" s="6"/>
      <c r="B2564" s="7"/>
      <c r="C2564" s="6"/>
      <c r="D2564" s="3"/>
      <c r="E2564" s="3"/>
    </row>
    <row r="2565" s="2" customFormat="1" ht="15.75" spans="1:5">
      <c r="A2565" s="6"/>
      <c r="B2565" s="7"/>
      <c r="C2565" s="6"/>
      <c r="D2565" s="3"/>
      <c r="E2565" s="3"/>
    </row>
    <row r="2566" s="2" customFormat="1" ht="15.75" spans="1:5">
      <c r="A2566" s="6"/>
      <c r="B2566" s="7"/>
      <c r="C2566" s="6"/>
      <c r="D2566" s="3"/>
      <c r="E2566" s="3"/>
    </row>
    <row r="2567" s="2" customFormat="1" ht="15.75" spans="1:5">
      <c r="A2567" s="6"/>
      <c r="B2567" s="7"/>
      <c r="C2567" s="6"/>
      <c r="D2567" s="3"/>
      <c r="E2567" s="3"/>
    </row>
    <row r="2568" s="2" customFormat="1" ht="15.75" spans="1:5">
      <c r="A2568" s="6"/>
      <c r="B2568" s="7"/>
      <c r="C2568" s="6"/>
      <c r="D2568" s="3"/>
      <c r="E2568" s="3"/>
    </row>
    <row r="2569" s="2" customFormat="1" ht="15.75" spans="1:5">
      <c r="A2569" s="6"/>
      <c r="B2569" s="7"/>
      <c r="C2569" s="6"/>
      <c r="D2569" s="3"/>
      <c r="E2569" s="3"/>
    </row>
    <row r="2570" s="2" customFormat="1" ht="15.75" spans="1:5">
      <c r="A2570" s="6"/>
      <c r="B2570" s="7"/>
      <c r="C2570" s="6"/>
      <c r="D2570" s="3"/>
      <c r="E2570" s="3"/>
    </row>
    <row r="2571" s="2" customFormat="1" ht="15.75" spans="1:5">
      <c r="A2571" s="6"/>
      <c r="B2571" s="7"/>
      <c r="C2571" s="6"/>
      <c r="D2571" s="3"/>
      <c r="E2571" s="3"/>
    </row>
    <row r="2572" s="2" customFormat="1" ht="15.75" spans="1:5">
      <c r="A2572" s="6"/>
      <c r="B2572" s="7"/>
      <c r="C2572" s="6"/>
      <c r="D2572" s="3"/>
      <c r="E2572" s="3"/>
    </row>
    <row r="2573" s="2" customFormat="1" ht="15.75" spans="1:5">
      <c r="A2573" s="6"/>
      <c r="B2573" s="7"/>
      <c r="C2573" s="6"/>
      <c r="D2573" s="3"/>
      <c r="E2573" s="3"/>
    </row>
    <row r="2574" s="2" customFormat="1" ht="15.75" spans="1:5">
      <c r="A2574" s="6"/>
      <c r="B2574" s="7"/>
      <c r="C2574" s="6"/>
      <c r="D2574" s="3"/>
      <c r="E2574" s="3"/>
    </row>
    <row r="2575" s="2" customFormat="1" ht="15.75" spans="1:5">
      <c r="A2575" s="6"/>
      <c r="B2575" s="7"/>
      <c r="C2575" s="6"/>
      <c r="D2575" s="3"/>
      <c r="E2575" s="3"/>
    </row>
    <row r="2576" s="2" customFormat="1" ht="15.75" spans="1:5">
      <c r="A2576" s="6"/>
      <c r="B2576" s="7"/>
      <c r="C2576" s="6"/>
      <c r="D2576" s="3"/>
      <c r="E2576" s="3"/>
    </row>
    <row r="2577" s="2" customFormat="1" ht="15.75" spans="1:5">
      <c r="A2577" s="6"/>
      <c r="B2577" s="7"/>
      <c r="C2577" s="6"/>
      <c r="D2577" s="3"/>
      <c r="E2577" s="3"/>
    </row>
    <row r="2578" s="2" customFormat="1" ht="15.75" spans="1:5">
      <c r="A2578" s="6"/>
      <c r="B2578" s="7"/>
      <c r="C2578" s="6"/>
      <c r="D2578" s="3"/>
      <c r="E2578" s="3"/>
    </row>
    <row r="2579" s="2" customFormat="1" ht="15.75" spans="1:5">
      <c r="A2579" s="6"/>
      <c r="B2579" s="7"/>
      <c r="C2579" s="6"/>
      <c r="D2579" s="3"/>
      <c r="E2579" s="3"/>
    </row>
    <row r="2580" s="2" customFormat="1" ht="15.75" spans="1:5">
      <c r="A2580" s="6"/>
      <c r="B2580" s="7"/>
      <c r="C2580" s="6"/>
      <c r="D2580" s="3"/>
      <c r="E2580" s="3"/>
    </row>
    <row r="2581" s="2" customFormat="1" ht="15.75" spans="1:5">
      <c r="A2581" s="6"/>
      <c r="B2581" s="7"/>
      <c r="C2581" s="6"/>
      <c r="D2581" s="3"/>
      <c r="E2581" s="3"/>
    </row>
    <row r="2582" s="2" customFormat="1" ht="15.75" spans="1:5">
      <c r="A2582" s="6"/>
      <c r="B2582" s="7"/>
      <c r="C2582" s="6"/>
      <c r="D2582" s="3"/>
      <c r="E2582" s="3"/>
    </row>
    <row r="2583" s="2" customFormat="1" ht="15.75" spans="1:5">
      <c r="A2583" s="6"/>
      <c r="B2583" s="7"/>
      <c r="C2583" s="6"/>
      <c r="D2583" s="3"/>
      <c r="E2583" s="3"/>
    </row>
    <row r="2584" s="2" customFormat="1" ht="15.75" spans="1:5">
      <c r="A2584" s="6"/>
      <c r="B2584" s="7"/>
      <c r="C2584" s="6"/>
      <c r="D2584" s="3"/>
      <c r="E2584" s="3"/>
    </row>
    <row r="2585" s="2" customFormat="1" ht="15.75" spans="1:5">
      <c r="A2585" s="6"/>
      <c r="B2585" s="7"/>
      <c r="C2585" s="6"/>
      <c r="D2585" s="3"/>
      <c r="E2585" s="3"/>
    </row>
    <row r="2586" s="2" customFormat="1" ht="15.75" spans="1:5">
      <c r="A2586" s="6"/>
      <c r="B2586" s="7"/>
      <c r="C2586" s="6"/>
      <c r="D2586" s="3"/>
      <c r="E2586" s="3"/>
    </row>
    <row r="2587" s="2" customFormat="1" ht="15.75" spans="1:5">
      <c r="A2587" s="6"/>
      <c r="B2587" s="7"/>
      <c r="C2587" s="6"/>
      <c r="D2587" s="3"/>
      <c r="E2587" s="3"/>
    </row>
    <row r="2588" s="2" customFormat="1" ht="15.75" spans="1:5">
      <c r="A2588" s="6"/>
      <c r="B2588" s="7"/>
      <c r="C2588" s="6"/>
      <c r="D2588" s="3"/>
      <c r="E2588" s="3"/>
    </row>
    <row r="2589" s="2" customFormat="1" ht="15.75" spans="1:5">
      <c r="A2589" s="6"/>
      <c r="B2589" s="7"/>
      <c r="C2589" s="6"/>
      <c r="D2589" s="3"/>
      <c r="E2589" s="3"/>
    </row>
    <row r="2590" s="2" customFormat="1" ht="15.75" spans="1:5">
      <c r="A2590" s="6"/>
      <c r="B2590" s="7"/>
      <c r="C2590" s="6"/>
      <c r="D2590" s="3"/>
      <c r="E2590" s="3"/>
    </row>
    <row r="2591" s="2" customFormat="1" ht="15.75" spans="1:5">
      <c r="A2591" s="6"/>
      <c r="B2591" s="7"/>
      <c r="C2591" s="6"/>
      <c r="D2591" s="3"/>
      <c r="E2591" s="3"/>
    </row>
    <row r="2592" s="2" customFormat="1" ht="15.75" spans="1:5">
      <c r="A2592" s="6"/>
      <c r="B2592" s="7"/>
      <c r="C2592" s="6"/>
      <c r="D2592" s="3"/>
      <c r="E2592" s="3"/>
    </row>
    <row r="2593" s="2" customFormat="1" ht="15.75" spans="1:5">
      <c r="A2593" s="6"/>
      <c r="B2593" s="7"/>
      <c r="C2593" s="6"/>
      <c r="D2593" s="3"/>
      <c r="E2593" s="3"/>
    </row>
    <row r="2594" s="2" customFormat="1" ht="15.75" spans="1:5">
      <c r="A2594" s="6"/>
      <c r="B2594" s="7"/>
      <c r="C2594" s="6"/>
      <c r="D2594" s="3"/>
      <c r="E2594" s="3"/>
    </row>
    <row r="2595" s="2" customFormat="1" ht="15.75" spans="1:5">
      <c r="A2595" s="6"/>
      <c r="B2595" s="7"/>
      <c r="C2595" s="6"/>
      <c r="D2595" s="3"/>
      <c r="E2595" s="3"/>
    </row>
    <row r="2596" s="2" customFormat="1" ht="15.75" spans="1:5">
      <c r="A2596" s="6"/>
      <c r="B2596" s="7"/>
      <c r="C2596" s="6"/>
      <c r="D2596" s="3"/>
      <c r="E2596" s="3"/>
    </row>
    <row r="2597" s="2" customFormat="1" ht="15.75" spans="1:5">
      <c r="A2597" s="6"/>
      <c r="B2597" s="7"/>
      <c r="C2597" s="6"/>
      <c r="D2597" s="3"/>
      <c r="E2597" s="3"/>
    </row>
    <row r="2598" s="2" customFormat="1" ht="15.75" spans="1:5">
      <c r="A2598" s="6"/>
      <c r="B2598" s="7"/>
      <c r="C2598" s="6"/>
      <c r="D2598" s="3"/>
      <c r="E2598" s="3"/>
    </row>
    <row r="2599" s="2" customFormat="1" ht="15.75" spans="1:5">
      <c r="A2599" s="6"/>
      <c r="B2599" s="7"/>
      <c r="C2599" s="6"/>
      <c r="D2599" s="3"/>
      <c r="E2599" s="3"/>
    </row>
    <row r="2600" s="2" customFormat="1" ht="15.75" spans="1:5">
      <c r="A2600" s="6"/>
      <c r="B2600" s="7"/>
      <c r="C2600" s="6"/>
      <c r="D2600" s="3"/>
      <c r="E2600" s="3"/>
    </row>
    <row r="2601" s="2" customFormat="1" ht="15.75" spans="1:5">
      <c r="A2601" s="6"/>
      <c r="B2601" s="7"/>
      <c r="C2601" s="6"/>
      <c r="D2601" s="3"/>
      <c r="E2601" s="3"/>
    </row>
    <row r="2602" s="2" customFormat="1" ht="15.75" spans="1:5">
      <c r="A2602" s="6"/>
      <c r="B2602" s="7"/>
      <c r="C2602" s="6"/>
      <c r="D2602" s="3"/>
      <c r="E2602" s="3"/>
    </row>
    <row r="2603" s="2" customFormat="1" ht="15.75" spans="1:5">
      <c r="A2603" s="6"/>
      <c r="B2603" s="7"/>
      <c r="C2603" s="6"/>
      <c r="D2603" s="3"/>
      <c r="E2603" s="3"/>
    </row>
    <row r="2604" s="2" customFormat="1" ht="15.75" spans="1:5">
      <c r="A2604" s="6"/>
      <c r="B2604" s="7"/>
      <c r="C2604" s="6"/>
      <c r="D2604" s="3"/>
      <c r="E2604" s="3"/>
    </row>
    <row r="2605" s="2" customFormat="1" ht="15.75" spans="1:5">
      <c r="A2605" s="6"/>
      <c r="B2605" s="7"/>
      <c r="C2605" s="6"/>
      <c r="D2605" s="3"/>
      <c r="E2605" s="3"/>
    </row>
    <row r="2606" s="2" customFormat="1" ht="15.75" spans="1:5">
      <c r="A2606" s="6"/>
      <c r="B2606" s="7"/>
      <c r="C2606" s="6"/>
      <c r="D2606" s="3"/>
      <c r="E2606" s="3"/>
    </row>
    <row r="2607" s="2" customFormat="1" ht="15.75" spans="1:5">
      <c r="A2607" s="6"/>
      <c r="B2607" s="7"/>
      <c r="C2607" s="6"/>
      <c r="D2607" s="3"/>
      <c r="E2607" s="3"/>
    </row>
    <row r="2608" s="2" customFormat="1" ht="15.75" spans="1:5">
      <c r="A2608" s="6"/>
      <c r="B2608" s="7"/>
      <c r="C2608" s="6"/>
      <c r="D2608" s="3"/>
      <c r="E2608" s="3"/>
    </row>
    <row r="2609" s="2" customFormat="1" ht="15.75" spans="1:5">
      <c r="A2609" s="6"/>
      <c r="B2609" s="7"/>
      <c r="C2609" s="6"/>
      <c r="D2609" s="3"/>
      <c r="E2609" s="3"/>
    </row>
    <row r="2610" s="2" customFormat="1" ht="15.75" spans="1:5">
      <c r="A2610" s="6"/>
      <c r="B2610" s="7"/>
      <c r="C2610" s="6"/>
      <c r="D2610" s="3"/>
      <c r="E2610" s="3"/>
    </row>
    <row r="2611" s="2" customFormat="1" ht="15.75" spans="1:5">
      <c r="A2611" s="6"/>
      <c r="B2611" s="7"/>
      <c r="C2611" s="6"/>
      <c r="D2611" s="3"/>
      <c r="E2611" s="3"/>
    </row>
    <row r="2612" s="2" customFormat="1" ht="15.75" spans="1:5">
      <c r="A2612" s="6"/>
      <c r="B2612" s="7"/>
      <c r="C2612" s="6"/>
      <c r="D2612" s="3"/>
      <c r="E2612" s="3"/>
    </row>
    <row r="2613" s="2" customFormat="1" ht="15.75" spans="1:5">
      <c r="A2613" s="6"/>
      <c r="B2613" s="7"/>
      <c r="C2613" s="6"/>
      <c r="D2613" s="3"/>
      <c r="E2613" s="3"/>
    </row>
    <row r="2614" s="2" customFormat="1" ht="15.75" spans="1:5">
      <c r="A2614" s="6"/>
      <c r="B2614" s="7"/>
      <c r="C2614" s="6"/>
      <c r="D2614" s="3"/>
      <c r="E2614" s="3"/>
    </row>
    <row r="2615" s="2" customFormat="1" ht="15.75" spans="1:5">
      <c r="A2615" s="6"/>
      <c r="B2615" s="7"/>
      <c r="C2615" s="6"/>
      <c r="D2615" s="3"/>
      <c r="E2615" s="3"/>
    </row>
    <row r="2616" s="2" customFormat="1" ht="15.75" spans="1:5">
      <c r="A2616" s="6"/>
      <c r="B2616" s="7"/>
      <c r="C2616" s="6"/>
      <c r="D2616" s="3"/>
      <c r="E2616" s="3"/>
    </row>
    <row r="2617" s="2" customFormat="1" ht="15.75" spans="1:5">
      <c r="A2617" s="6"/>
      <c r="B2617" s="7"/>
      <c r="C2617" s="6"/>
      <c r="D2617" s="3"/>
      <c r="E2617" s="3"/>
    </row>
    <row r="2618" s="2" customFormat="1" ht="15.75" spans="1:5">
      <c r="A2618" s="6"/>
      <c r="B2618" s="7"/>
      <c r="C2618" s="6"/>
      <c r="D2618" s="3"/>
      <c r="E2618" s="3"/>
    </row>
    <row r="2619" s="2" customFormat="1" ht="15.75" spans="1:5">
      <c r="A2619" s="6"/>
      <c r="B2619" s="7"/>
      <c r="C2619" s="6"/>
      <c r="D2619" s="3"/>
      <c r="E2619" s="3"/>
    </row>
    <row r="2620" s="2" customFormat="1" ht="15.75" spans="1:5">
      <c r="A2620" s="6"/>
      <c r="B2620" s="7"/>
      <c r="C2620" s="6"/>
      <c r="D2620" s="3"/>
      <c r="E2620" s="3"/>
    </row>
    <row r="2621" s="2" customFormat="1" ht="15.75" spans="1:5">
      <c r="A2621" s="6"/>
      <c r="B2621" s="7"/>
      <c r="C2621" s="6"/>
      <c r="D2621" s="3"/>
      <c r="E2621" s="3"/>
    </row>
    <row r="2622" s="2" customFormat="1" ht="15.75" spans="1:5">
      <c r="A2622" s="6"/>
      <c r="B2622" s="7"/>
      <c r="C2622" s="6"/>
      <c r="D2622" s="3"/>
      <c r="E2622" s="3"/>
    </row>
    <row r="2623" s="2" customFormat="1" ht="15.75" spans="1:5">
      <c r="A2623" s="6"/>
      <c r="B2623" s="7"/>
      <c r="C2623" s="6"/>
      <c r="D2623" s="3"/>
      <c r="E2623" s="3"/>
    </row>
    <row r="2624" s="2" customFormat="1" ht="15.75" spans="1:5">
      <c r="A2624" s="6"/>
      <c r="B2624" s="7"/>
      <c r="C2624" s="6"/>
      <c r="D2624" s="3"/>
      <c r="E2624" s="3"/>
    </row>
    <row r="2625" s="2" customFormat="1" ht="15.75" spans="1:5">
      <c r="A2625" s="6"/>
      <c r="B2625" s="7"/>
      <c r="C2625" s="6"/>
      <c r="D2625" s="3"/>
      <c r="E2625" s="3"/>
    </row>
    <row r="2626" s="2" customFormat="1" ht="15.75" spans="1:5">
      <c r="A2626" s="6"/>
      <c r="B2626" s="7"/>
      <c r="C2626" s="6"/>
      <c r="D2626" s="3"/>
      <c r="E2626" s="3"/>
    </row>
    <row r="2627" s="2" customFormat="1" ht="15.75" spans="1:5">
      <c r="A2627" s="6"/>
      <c r="B2627" s="7"/>
      <c r="C2627" s="6"/>
      <c r="D2627" s="3"/>
      <c r="E2627" s="3"/>
    </row>
    <row r="2628" s="2" customFormat="1" ht="15.75" spans="1:5">
      <c r="A2628" s="6"/>
      <c r="B2628" s="7"/>
      <c r="C2628" s="6"/>
      <c r="D2628" s="3"/>
      <c r="E2628" s="3"/>
    </row>
    <row r="2629" s="2" customFormat="1" ht="15.75" spans="1:5">
      <c r="A2629" s="6"/>
      <c r="B2629" s="7"/>
      <c r="C2629" s="6"/>
      <c r="D2629" s="3"/>
      <c r="E2629" s="3"/>
    </row>
    <row r="2630" s="2" customFormat="1" ht="15.75" spans="1:5">
      <c r="A2630" s="6"/>
      <c r="B2630" s="7"/>
      <c r="C2630" s="6"/>
      <c r="D2630" s="3"/>
      <c r="E2630" s="3"/>
    </row>
    <row r="2631" s="2" customFormat="1" ht="15.75" spans="1:5">
      <c r="A2631" s="6"/>
      <c r="B2631" s="7"/>
      <c r="C2631" s="6"/>
      <c r="D2631" s="3"/>
      <c r="E2631" s="3"/>
    </row>
    <row r="2632" s="2" customFormat="1" ht="15.75" spans="1:5">
      <c r="A2632" s="6"/>
      <c r="B2632" s="7"/>
      <c r="C2632" s="6"/>
      <c r="D2632" s="3"/>
      <c r="E2632" s="3"/>
    </row>
    <row r="2633" s="2" customFormat="1" ht="15.75" spans="1:5">
      <c r="A2633" s="6"/>
      <c r="B2633" s="7"/>
      <c r="C2633" s="6"/>
      <c r="D2633" s="3"/>
      <c r="E2633" s="3"/>
    </row>
    <row r="2634" s="2" customFormat="1" ht="15.75" spans="1:5">
      <c r="A2634" s="6"/>
      <c r="B2634" s="7"/>
      <c r="C2634" s="6"/>
      <c r="D2634" s="3"/>
      <c r="E2634" s="3"/>
    </row>
    <row r="2635" s="2" customFormat="1" ht="15.75" spans="1:5">
      <c r="A2635" s="6"/>
      <c r="B2635" s="7"/>
      <c r="C2635" s="6"/>
      <c r="D2635" s="3"/>
      <c r="E2635" s="3"/>
    </row>
    <row r="2636" s="2" customFormat="1" ht="15.75" spans="1:5">
      <c r="A2636" s="6"/>
      <c r="B2636" s="7"/>
      <c r="C2636" s="6"/>
      <c r="D2636" s="3"/>
      <c r="E2636" s="3"/>
    </row>
    <row r="2637" s="2" customFormat="1" ht="15.75" spans="1:5">
      <c r="A2637" s="6"/>
      <c r="B2637" s="7"/>
      <c r="C2637" s="6"/>
      <c r="D2637" s="3"/>
      <c r="E2637" s="3"/>
    </row>
    <row r="2638" s="2" customFormat="1" ht="15.75" spans="1:5">
      <c r="A2638" s="6"/>
      <c r="B2638" s="7"/>
      <c r="C2638" s="6"/>
      <c r="D2638" s="3"/>
      <c r="E2638" s="3"/>
    </row>
    <row r="2639" s="2" customFormat="1" ht="15.75" spans="1:5">
      <c r="A2639" s="6"/>
      <c r="B2639" s="7"/>
      <c r="C2639" s="6"/>
      <c r="D2639" s="3"/>
      <c r="E2639" s="3"/>
    </row>
    <row r="2640" s="2" customFormat="1" ht="15.75" spans="1:5">
      <c r="A2640" s="6"/>
      <c r="B2640" s="7"/>
      <c r="C2640" s="6"/>
      <c r="D2640" s="3"/>
      <c r="E2640" s="3"/>
    </row>
    <row r="2641" s="2" customFormat="1" ht="15.75" spans="1:5">
      <c r="A2641" s="6"/>
      <c r="B2641" s="7"/>
      <c r="C2641" s="6"/>
      <c r="D2641" s="3"/>
      <c r="E2641" s="3"/>
    </row>
    <row r="2642" s="2" customFormat="1" ht="15.75" spans="1:5">
      <c r="A2642" s="6"/>
      <c r="B2642" s="7"/>
      <c r="C2642" s="6"/>
      <c r="D2642" s="3"/>
      <c r="E2642" s="3"/>
    </row>
    <row r="2643" s="2" customFormat="1" ht="15.75" spans="1:5">
      <c r="A2643" s="6"/>
      <c r="B2643" s="7"/>
      <c r="C2643" s="6"/>
      <c r="D2643" s="3"/>
      <c r="E2643" s="3"/>
    </row>
    <row r="2644" s="2" customFormat="1" ht="15.75" spans="1:5">
      <c r="A2644" s="6"/>
      <c r="B2644" s="7"/>
      <c r="C2644" s="6"/>
      <c r="D2644" s="3"/>
      <c r="E2644" s="3"/>
    </row>
    <row r="2645" s="2" customFormat="1" ht="15.75" spans="1:5">
      <c r="A2645" s="6"/>
      <c r="B2645" s="7"/>
      <c r="C2645" s="6"/>
      <c r="D2645" s="3"/>
      <c r="E2645" s="3"/>
    </row>
    <row r="2646" s="2" customFormat="1" ht="15.75" spans="1:5">
      <c r="A2646" s="6"/>
      <c r="B2646" s="7"/>
      <c r="C2646" s="6"/>
      <c r="D2646" s="3"/>
      <c r="E2646" s="3"/>
    </row>
    <row r="2647" s="2" customFormat="1" ht="15.75" spans="1:5">
      <c r="A2647" s="6"/>
      <c r="B2647" s="7"/>
      <c r="C2647" s="6"/>
      <c r="D2647" s="3"/>
      <c r="E2647" s="3"/>
    </row>
    <row r="2648" s="2" customFormat="1" ht="15.75" spans="1:5">
      <c r="A2648" s="6"/>
      <c r="B2648" s="7"/>
      <c r="C2648" s="6"/>
      <c r="D2648" s="3"/>
      <c r="E2648" s="3"/>
    </row>
    <row r="2649" s="2" customFormat="1" ht="15.75" spans="1:5">
      <c r="A2649" s="6"/>
      <c r="B2649" s="7"/>
      <c r="C2649" s="6"/>
      <c r="D2649" s="3"/>
      <c r="E2649" s="3"/>
    </row>
    <row r="2650" s="2" customFormat="1" ht="15.75" spans="1:5">
      <c r="A2650" s="6"/>
      <c r="B2650" s="7"/>
      <c r="C2650" s="6"/>
      <c r="D2650" s="3"/>
      <c r="E2650" s="3"/>
    </row>
    <row r="2651" s="2" customFormat="1" ht="15.75" spans="1:5">
      <c r="A2651" s="6"/>
      <c r="B2651" s="7"/>
      <c r="C2651" s="6"/>
      <c r="D2651" s="3"/>
      <c r="E2651" s="3"/>
    </row>
    <row r="2652" s="2" customFormat="1" ht="15.75" spans="1:5">
      <c r="A2652" s="6"/>
      <c r="B2652" s="7"/>
      <c r="C2652" s="6"/>
      <c r="D2652" s="3"/>
      <c r="E2652" s="3"/>
    </row>
    <row r="2653" s="2" customFormat="1" ht="15.75" spans="1:5">
      <c r="A2653" s="6"/>
      <c r="B2653" s="7"/>
      <c r="C2653" s="6"/>
      <c r="D2653" s="3"/>
      <c r="E2653" s="3"/>
    </row>
    <row r="2654" s="2" customFormat="1" ht="15.75" spans="1:5">
      <c r="A2654" s="6"/>
      <c r="B2654" s="7"/>
      <c r="C2654" s="6"/>
      <c r="D2654" s="3"/>
      <c r="E2654" s="3"/>
    </row>
    <row r="2655" s="2" customFormat="1" ht="15.75" spans="1:5">
      <c r="A2655" s="6"/>
      <c r="B2655" s="7"/>
      <c r="C2655" s="6"/>
      <c r="D2655" s="3"/>
      <c r="E2655" s="3"/>
    </row>
    <row r="2656" s="2" customFormat="1" ht="15.75" spans="1:5">
      <c r="A2656" s="6"/>
      <c r="B2656" s="7"/>
      <c r="C2656" s="6"/>
      <c r="D2656" s="3"/>
      <c r="E2656" s="3"/>
    </row>
    <row r="2657" s="2" customFormat="1" ht="15.75" spans="1:5">
      <c r="A2657" s="6"/>
      <c r="B2657" s="7"/>
      <c r="C2657" s="6"/>
      <c r="D2657" s="3"/>
      <c r="E2657" s="3"/>
    </row>
    <row r="2658" s="2" customFormat="1" ht="15.75" spans="1:5">
      <c r="A2658" s="6"/>
      <c r="B2658" s="7"/>
      <c r="C2658" s="6"/>
      <c r="D2658" s="3"/>
      <c r="E2658" s="3"/>
    </row>
    <row r="2659" s="2" customFormat="1" ht="15.75" spans="1:5">
      <c r="A2659" s="6"/>
      <c r="B2659" s="7"/>
      <c r="C2659" s="6"/>
      <c r="D2659" s="3"/>
      <c r="E2659" s="3"/>
    </row>
    <row r="2660" s="2" customFormat="1" ht="15.75" spans="1:5">
      <c r="A2660" s="6"/>
      <c r="B2660" s="7"/>
      <c r="C2660" s="6"/>
      <c r="D2660" s="3"/>
      <c r="E2660" s="3"/>
    </row>
    <row r="2661" s="2" customFormat="1" ht="15.75" spans="1:5">
      <c r="A2661" s="6"/>
      <c r="B2661" s="7"/>
      <c r="C2661" s="6"/>
      <c r="D2661" s="3"/>
      <c r="E2661" s="3"/>
    </row>
    <row r="2662" s="2" customFormat="1" ht="15.75" spans="1:5">
      <c r="A2662" s="6"/>
      <c r="B2662" s="7"/>
      <c r="C2662" s="6"/>
      <c r="D2662" s="3"/>
      <c r="E2662" s="3"/>
    </row>
    <row r="2663" s="2" customFormat="1" ht="15.75" spans="1:5">
      <c r="A2663" s="6"/>
      <c r="B2663" s="7"/>
      <c r="C2663" s="6"/>
      <c r="D2663" s="3"/>
      <c r="E2663" s="3"/>
    </row>
    <row r="2664" s="2" customFormat="1" ht="15.75" spans="1:5">
      <c r="A2664" s="6"/>
      <c r="B2664" s="7"/>
      <c r="C2664" s="6"/>
      <c r="D2664" s="3"/>
      <c r="E2664" s="3"/>
    </row>
    <row r="2665" s="2" customFormat="1" ht="15.75" spans="1:5">
      <c r="A2665" s="6"/>
      <c r="B2665" s="7"/>
      <c r="C2665" s="6"/>
      <c r="D2665" s="3"/>
      <c r="E2665" s="3"/>
    </row>
    <row r="2666" s="2" customFormat="1" ht="15.75" spans="1:5">
      <c r="A2666" s="6"/>
      <c r="B2666" s="7"/>
      <c r="C2666" s="6"/>
      <c r="D2666" s="3"/>
      <c r="E2666" s="3"/>
    </row>
    <row r="2667" s="2" customFormat="1" ht="15.75" spans="1:5">
      <c r="A2667" s="6"/>
      <c r="B2667" s="7"/>
      <c r="C2667" s="6"/>
      <c r="D2667" s="3"/>
      <c r="E2667" s="3"/>
    </row>
    <row r="2668" s="2" customFormat="1" ht="15.75" spans="1:5">
      <c r="A2668" s="6"/>
      <c r="B2668" s="7"/>
      <c r="C2668" s="6"/>
      <c r="D2668" s="3"/>
      <c r="E2668" s="3"/>
    </row>
    <row r="2669" s="2" customFormat="1" ht="15.75" spans="1:5">
      <c r="A2669" s="6"/>
      <c r="B2669" s="7"/>
      <c r="C2669" s="6"/>
      <c r="D2669" s="3"/>
      <c r="E2669" s="3"/>
    </row>
    <row r="2670" s="2" customFormat="1" ht="15.75" spans="1:5">
      <c r="A2670" s="6"/>
      <c r="B2670" s="7"/>
      <c r="C2670" s="6"/>
      <c r="D2670" s="3"/>
      <c r="E2670" s="3"/>
    </row>
    <row r="2671" s="2" customFormat="1" ht="15.75" spans="1:5">
      <c r="A2671" s="6"/>
      <c r="B2671" s="7"/>
      <c r="C2671" s="6"/>
      <c r="D2671" s="3"/>
      <c r="E2671" s="3"/>
    </row>
    <row r="2672" s="2" customFormat="1" ht="15.75" spans="1:5">
      <c r="A2672" s="6"/>
      <c r="B2672" s="7"/>
      <c r="C2672" s="6"/>
      <c r="D2672" s="3"/>
      <c r="E2672" s="3"/>
    </row>
    <row r="2673" s="2" customFormat="1" ht="15.75" spans="1:5">
      <c r="A2673" s="6"/>
      <c r="B2673" s="7"/>
      <c r="C2673" s="6"/>
      <c r="D2673" s="3"/>
      <c r="E2673" s="3"/>
    </row>
    <row r="2674" s="2" customFormat="1" ht="15.75" spans="1:5">
      <c r="A2674" s="6"/>
      <c r="B2674" s="7"/>
      <c r="C2674" s="6"/>
      <c r="D2674" s="3"/>
      <c r="E2674" s="3"/>
    </row>
    <row r="2675" s="2" customFormat="1" ht="15.75" spans="1:5">
      <c r="A2675" s="6"/>
      <c r="B2675" s="7"/>
      <c r="C2675" s="6"/>
      <c r="D2675" s="3"/>
      <c r="E2675" s="3"/>
    </row>
    <row r="2676" s="2" customFormat="1" ht="15.75" spans="1:5">
      <c r="A2676" s="6"/>
      <c r="B2676" s="7"/>
      <c r="C2676" s="6"/>
      <c r="D2676" s="3"/>
      <c r="E2676" s="3"/>
    </row>
    <row r="2677" s="2" customFormat="1" ht="15.75" spans="1:5">
      <c r="A2677" s="6"/>
      <c r="B2677" s="7"/>
      <c r="C2677" s="6"/>
      <c r="D2677" s="3"/>
      <c r="E2677" s="3"/>
    </row>
    <row r="2678" s="2" customFormat="1" ht="15.75" spans="1:5">
      <c r="A2678" s="6"/>
      <c r="B2678" s="7"/>
      <c r="C2678" s="6"/>
      <c r="D2678" s="3"/>
      <c r="E2678" s="3"/>
    </row>
    <row r="2679" s="2" customFormat="1" ht="15.75" spans="1:5">
      <c r="A2679" s="6"/>
      <c r="B2679" s="7"/>
      <c r="C2679" s="6"/>
      <c r="D2679" s="3"/>
      <c r="E2679" s="3"/>
    </row>
    <row r="2680" s="2" customFormat="1" ht="15.75" spans="1:5">
      <c r="A2680" s="6"/>
      <c r="B2680" s="7"/>
      <c r="C2680" s="6"/>
      <c r="D2680" s="3"/>
      <c r="E2680" s="3"/>
    </row>
    <row r="2681" s="2" customFormat="1" ht="15.75" spans="1:5">
      <c r="A2681" s="6"/>
      <c r="B2681" s="7"/>
      <c r="C2681" s="6"/>
      <c r="D2681" s="3"/>
      <c r="E2681" s="3"/>
    </row>
    <row r="2682" s="2" customFormat="1" ht="15.75" spans="1:5">
      <c r="A2682" s="6"/>
      <c r="B2682" s="7"/>
      <c r="C2682" s="6"/>
      <c r="D2682" s="3"/>
      <c r="E2682" s="3"/>
    </row>
    <row r="2683" s="2" customFormat="1" ht="15.75" spans="1:5">
      <c r="A2683" s="6"/>
      <c r="B2683" s="7"/>
      <c r="C2683" s="6"/>
      <c r="D2683" s="3"/>
      <c r="E2683" s="3"/>
    </row>
    <row r="2684" s="2" customFormat="1" ht="15.75" spans="1:5">
      <c r="A2684" s="6"/>
      <c r="B2684" s="7"/>
      <c r="C2684" s="6"/>
      <c r="D2684" s="3"/>
      <c r="E2684" s="3"/>
    </row>
    <row r="2685" s="2" customFormat="1" ht="15.75" spans="1:5">
      <c r="A2685" s="6"/>
      <c r="B2685" s="7"/>
      <c r="C2685" s="6"/>
      <c r="D2685" s="3"/>
      <c r="E2685" s="3"/>
    </row>
    <row r="2686" s="2" customFormat="1" ht="15.75" spans="1:5">
      <c r="A2686" s="6"/>
      <c r="B2686" s="7"/>
      <c r="C2686" s="6"/>
      <c r="D2686" s="3"/>
      <c r="E2686" s="3"/>
    </row>
    <row r="2687" s="2" customFormat="1" ht="15.75" spans="1:5">
      <c r="A2687" s="6"/>
      <c r="B2687" s="7"/>
      <c r="C2687" s="6"/>
      <c r="D2687" s="3"/>
      <c r="E2687" s="3"/>
    </row>
    <row r="2688" s="2" customFormat="1" ht="15.75" spans="1:5">
      <c r="A2688" s="6"/>
      <c r="B2688" s="7"/>
      <c r="C2688" s="6"/>
      <c r="D2688" s="3"/>
      <c r="E2688" s="3"/>
    </row>
    <row r="2689" s="2" customFormat="1" ht="15.75" spans="1:5">
      <c r="A2689" s="6"/>
      <c r="B2689" s="7"/>
      <c r="C2689" s="6"/>
      <c r="D2689" s="3"/>
      <c r="E2689" s="3"/>
    </row>
    <row r="2690" s="2" customFormat="1" ht="15.75" spans="1:5">
      <c r="A2690" s="6"/>
      <c r="B2690" s="7"/>
      <c r="C2690" s="6"/>
      <c r="D2690" s="3"/>
      <c r="E2690" s="3"/>
    </row>
    <row r="2691" s="2" customFormat="1" ht="15.75" spans="1:5">
      <c r="A2691" s="6"/>
      <c r="B2691" s="7"/>
      <c r="C2691" s="6"/>
      <c r="D2691" s="3"/>
      <c r="E2691" s="3"/>
    </row>
    <row r="2692" s="2" customFormat="1" ht="15.75" spans="1:5">
      <c r="A2692" s="6"/>
      <c r="B2692" s="7"/>
      <c r="C2692" s="6"/>
      <c r="D2692" s="3"/>
      <c r="E2692" s="3"/>
    </row>
    <row r="2693" s="2" customFormat="1" ht="15.75" spans="1:5">
      <c r="A2693" s="6"/>
      <c r="B2693" s="7"/>
      <c r="C2693" s="6"/>
      <c r="D2693" s="3"/>
      <c r="E2693" s="3"/>
    </row>
    <row r="2694" s="2" customFormat="1" ht="15.75" spans="1:5">
      <c r="A2694" s="6"/>
      <c r="B2694" s="7"/>
      <c r="C2694" s="6"/>
      <c r="D2694" s="3"/>
      <c r="E2694" s="3"/>
    </row>
    <row r="2695" s="2" customFormat="1" ht="15.75" spans="1:5">
      <c r="A2695" s="6"/>
      <c r="B2695" s="7"/>
      <c r="C2695" s="6"/>
      <c r="D2695" s="3"/>
      <c r="E2695" s="3"/>
    </row>
    <row r="2696" s="2" customFormat="1" ht="15.75" spans="1:5">
      <c r="A2696" s="6"/>
      <c r="B2696" s="7"/>
      <c r="C2696" s="6"/>
      <c r="D2696" s="3"/>
      <c r="E2696" s="3"/>
    </row>
    <row r="2697" s="2" customFormat="1" ht="15.75" spans="1:5">
      <c r="A2697" s="6"/>
      <c r="B2697" s="7"/>
      <c r="C2697" s="6"/>
      <c r="D2697" s="3"/>
      <c r="E2697" s="3"/>
    </row>
    <row r="2698" s="2" customFormat="1" ht="15.75" spans="1:5">
      <c r="A2698" s="6"/>
      <c r="B2698" s="7"/>
      <c r="C2698" s="6"/>
      <c r="D2698" s="3"/>
      <c r="E2698" s="3"/>
    </row>
    <row r="2699" s="2" customFormat="1" ht="15.75" spans="1:5">
      <c r="A2699" s="6"/>
      <c r="B2699" s="7"/>
      <c r="C2699" s="6"/>
      <c r="D2699" s="3"/>
      <c r="E2699" s="3"/>
    </row>
    <row r="2700" s="2" customFormat="1" ht="15.75" spans="1:5">
      <c r="A2700" s="6"/>
      <c r="B2700" s="7"/>
      <c r="C2700" s="6"/>
      <c r="D2700" s="3"/>
      <c r="E2700" s="3"/>
    </row>
    <row r="2701" s="2" customFormat="1" ht="15.75" spans="1:5">
      <c r="A2701" s="6"/>
      <c r="B2701" s="7"/>
      <c r="C2701" s="6"/>
      <c r="D2701" s="3"/>
      <c r="E2701" s="3"/>
    </row>
    <row r="2702" s="2" customFormat="1" ht="15.75" spans="1:5">
      <c r="A2702" s="6"/>
      <c r="B2702" s="7"/>
      <c r="C2702" s="6"/>
      <c r="D2702" s="3"/>
      <c r="E2702" s="3"/>
    </row>
    <row r="2703" s="2" customFormat="1" ht="15.75" spans="1:5">
      <c r="A2703" s="6"/>
      <c r="B2703" s="7"/>
      <c r="C2703" s="6"/>
      <c r="D2703" s="3"/>
      <c r="E2703" s="3"/>
    </row>
    <row r="2704" s="2" customFormat="1" ht="15.75" spans="1:5">
      <c r="A2704" s="6"/>
      <c r="B2704" s="7"/>
      <c r="C2704" s="6"/>
      <c r="D2704" s="3"/>
      <c r="E2704" s="3"/>
    </row>
    <row r="2705" s="2" customFormat="1" ht="15.75" spans="1:5">
      <c r="A2705" s="6"/>
      <c r="B2705" s="7"/>
      <c r="C2705" s="6"/>
      <c r="D2705" s="3"/>
      <c r="E2705" s="3"/>
    </row>
    <row r="2706" s="2" customFormat="1" ht="15.75" spans="1:5">
      <c r="A2706" s="6"/>
      <c r="B2706" s="7"/>
      <c r="C2706" s="6"/>
      <c r="D2706" s="3"/>
      <c r="E2706" s="3"/>
    </row>
    <row r="2707" s="2" customFormat="1" ht="15.75" spans="1:5">
      <c r="A2707" s="6"/>
      <c r="B2707" s="7"/>
      <c r="C2707" s="6"/>
      <c r="D2707" s="3"/>
      <c r="E2707" s="3"/>
    </row>
    <row r="2708" s="2" customFormat="1" ht="15.75" spans="1:5">
      <c r="A2708" s="6"/>
      <c r="B2708" s="7"/>
      <c r="C2708" s="6"/>
      <c r="D2708" s="3"/>
      <c r="E2708" s="3"/>
    </row>
    <row r="2709" s="2" customFormat="1" ht="15.75" spans="1:5">
      <c r="A2709" s="6"/>
      <c r="B2709" s="7"/>
      <c r="C2709" s="6"/>
      <c r="D2709" s="3"/>
      <c r="E2709" s="3"/>
    </row>
    <row r="2710" s="2" customFormat="1" ht="15.75" spans="1:5">
      <c r="A2710" s="6"/>
      <c r="B2710" s="7"/>
      <c r="C2710" s="6"/>
      <c r="D2710" s="3"/>
      <c r="E2710" s="3"/>
    </row>
    <row r="2711" s="2" customFormat="1" ht="15.75" spans="1:5">
      <c r="A2711" s="6"/>
      <c r="B2711" s="7"/>
      <c r="C2711" s="6"/>
      <c r="D2711" s="3"/>
      <c r="E2711" s="3"/>
    </row>
    <row r="2712" s="2" customFormat="1" ht="15.75" spans="1:5">
      <c r="A2712" s="6"/>
      <c r="B2712" s="7"/>
      <c r="C2712" s="6"/>
      <c r="D2712" s="3"/>
      <c r="E2712" s="3"/>
    </row>
    <row r="2713" s="2" customFormat="1" ht="15.75" spans="1:5">
      <c r="A2713" s="6"/>
      <c r="B2713" s="7"/>
      <c r="C2713" s="6"/>
      <c r="D2713" s="3"/>
      <c r="E2713" s="3"/>
    </row>
    <row r="2714" s="2" customFormat="1" ht="15.75" spans="1:5">
      <c r="A2714" s="6"/>
      <c r="B2714" s="7"/>
      <c r="C2714" s="6"/>
      <c r="D2714" s="3"/>
      <c r="E2714" s="3"/>
    </row>
    <row r="2715" s="2" customFormat="1" ht="15.75" spans="1:5">
      <c r="A2715" s="6"/>
      <c r="B2715" s="7"/>
      <c r="C2715" s="6"/>
      <c r="D2715" s="3"/>
      <c r="E2715" s="3"/>
    </row>
    <row r="2716" s="2" customFormat="1" ht="15.75" spans="1:5">
      <c r="A2716" s="6"/>
      <c r="B2716" s="7"/>
      <c r="C2716" s="6"/>
      <c r="D2716" s="3"/>
      <c r="E2716" s="3"/>
    </row>
    <row r="2717" s="2" customFormat="1" ht="15.75" spans="1:5">
      <c r="A2717" s="6"/>
      <c r="B2717" s="7"/>
      <c r="C2717" s="6"/>
      <c r="D2717" s="3"/>
      <c r="E2717" s="3"/>
    </row>
    <row r="2718" s="2" customFormat="1" ht="15.75" spans="1:5">
      <c r="A2718" s="6"/>
      <c r="B2718" s="7"/>
      <c r="C2718" s="6"/>
      <c r="D2718" s="3"/>
      <c r="E2718" s="3"/>
    </row>
    <row r="2719" s="2" customFormat="1" ht="15.75" spans="1:5">
      <c r="A2719" s="6"/>
      <c r="B2719" s="7"/>
      <c r="C2719" s="6"/>
      <c r="D2719" s="3"/>
      <c r="E2719" s="3"/>
    </row>
    <row r="2720" s="2" customFormat="1" ht="15.75" spans="1:5">
      <c r="A2720" s="6"/>
      <c r="B2720" s="7"/>
      <c r="C2720" s="6"/>
      <c r="D2720" s="3"/>
      <c r="E2720" s="3"/>
    </row>
    <row r="2721" s="2" customFormat="1" ht="15.75" spans="1:5">
      <c r="A2721" s="6"/>
      <c r="B2721" s="7"/>
      <c r="C2721" s="6"/>
      <c r="D2721" s="3"/>
      <c r="E2721" s="3"/>
    </row>
    <row r="2722" s="2" customFormat="1" ht="15.75" spans="1:5">
      <c r="A2722" s="6"/>
      <c r="B2722" s="7"/>
      <c r="C2722" s="6"/>
      <c r="D2722" s="3"/>
      <c r="E2722" s="3"/>
    </row>
    <row r="2723" s="2" customFormat="1" ht="15.75" spans="1:5">
      <c r="A2723" s="6"/>
      <c r="B2723" s="7"/>
      <c r="C2723" s="6"/>
      <c r="D2723" s="3"/>
      <c r="E2723" s="3"/>
    </row>
    <row r="2724" s="2" customFormat="1" ht="15.75" spans="1:5">
      <c r="A2724" s="6"/>
      <c r="B2724" s="7"/>
      <c r="C2724" s="6"/>
      <c r="D2724" s="3"/>
      <c r="E2724" s="3"/>
    </row>
    <row r="2725" s="2" customFormat="1" ht="15.75" spans="1:5">
      <c r="A2725" s="6"/>
      <c r="B2725" s="7"/>
      <c r="C2725" s="6"/>
      <c r="D2725" s="3"/>
      <c r="E2725" s="3"/>
    </row>
    <row r="2726" s="2" customFormat="1" ht="15.75" spans="1:5">
      <c r="A2726" s="6"/>
      <c r="B2726" s="7"/>
      <c r="C2726" s="6"/>
      <c r="D2726" s="3"/>
      <c r="E2726" s="3"/>
    </row>
    <row r="2727" s="2" customFormat="1" ht="15.75" spans="1:5">
      <c r="A2727" s="6"/>
      <c r="B2727" s="7"/>
      <c r="C2727" s="6"/>
      <c r="D2727" s="3"/>
      <c r="E2727" s="3"/>
    </row>
    <row r="2728" s="2" customFormat="1" ht="15.75" spans="1:5">
      <c r="A2728" s="6"/>
      <c r="B2728" s="7"/>
      <c r="C2728" s="6"/>
      <c r="D2728" s="3"/>
      <c r="E2728" s="3"/>
    </row>
    <row r="2729" s="2" customFormat="1" ht="15.75" spans="1:5">
      <c r="A2729" s="6"/>
      <c r="B2729" s="7"/>
      <c r="C2729" s="6"/>
      <c r="D2729" s="3"/>
      <c r="E2729" s="3"/>
    </row>
    <row r="2730" s="2" customFormat="1" ht="15.75" spans="1:5">
      <c r="A2730" s="6"/>
      <c r="B2730" s="7"/>
      <c r="C2730" s="6"/>
      <c r="D2730" s="3"/>
      <c r="E2730" s="3"/>
    </row>
    <row r="2731" s="2" customFormat="1" ht="15.75" spans="1:5">
      <c r="A2731" s="6"/>
      <c r="B2731" s="7"/>
      <c r="C2731" s="6"/>
      <c r="D2731" s="3"/>
      <c r="E2731" s="3"/>
    </row>
    <row r="2732" s="2" customFormat="1" ht="15.75" spans="1:5">
      <c r="A2732" s="6"/>
      <c r="B2732" s="7"/>
      <c r="C2732" s="6"/>
      <c r="D2732" s="3"/>
      <c r="E2732" s="3"/>
    </row>
    <row r="2733" s="2" customFormat="1" ht="15.75" spans="1:5">
      <c r="A2733" s="6"/>
      <c r="B2733" s="7"/>
      <c r="C2733" s="6"/>
      <c r="D2733" s="3"/>
      <c r="E2733" s="3"/>
    </row>
    <row r="2734" s="2" customFormat="1" ht="15.75" spans="1:5">
      <c r="A2734" s="6"/>
      <c r="B2734" s="7"/>
      <c r="C2734" s="6"/>
      <c r="D2734" s="3"/>
      <c r="E2734" s="3"/>
    </row>
    <row r="2735" s="2" customFormat="1" ht="15.75" spans="1:5">
      <c r="A2735" s="6"/>
      <c r="B2735" s="7"/>
      <c r="C2735" s="6"/>
      <c r="D2735" s="3"/>
      <c r="E2735" s="3"/>
    </row>
    <row r="2736" s="2" customFormat="1" ht="15.75" spans="1:5">
      <c r="A2736" s="6"/>
      <c r="B2736" s="7"/>
      <c r="C2736" s="6"/>
      <c r="D2736" s="3"/>
      <c r="E2736" s="3"/>
    </row>
    <row r="2737" s="2" customFormat="1" ht="15.75" spans="1:5">
      <c r="A2737" s="6"/>
      <c r="B2737" s="7"/>
      <c r="C2737" s="6"/>
      <c r="D2737" s="3"/>
      <c r="E2737" s="3"/>
    </row>
    <row r="2738" s="2" customFormat="1" ht="15.75" spans="1:5">
      <c r="A2738" s="6"/>
      <c r="B2738" s="7"/>
      <c r="C2738" s="6"/>
      <c r="D2738" s="3"/>
      <c r="E2738" s="3"/>
    </row>
    <row r="2739" s="2" customFormat="1" ht="15.75" spans="1:5">
      <c r="A2739" s="6"/>
      <c r="B2739" s="7"/>
      <c r="C2739" s="6"/>
      <c r="D2739" s="3"/>
      <c r="E2739" s="3"/>
    </row>
    <row r="2740" s="2" customFormat="1" ht="15.75" spans="1:5">
      <c r="A2740" s="6"/>
      <c r="B2740" s="7"/>
      <c r="C2740" s="6"/>
      <c r="D2740" s="3"/>
      <c r="E2740" s="3"/>
    </row>
    <row r="2741" s="2" customFormat="1" ht="15.75" spans="1:5">
      <c r="A2741" s="6"/>
      <c r="B2741" s="7"/>
      <c r="C2741" s="6"/>
      <c r="D2741" s="3"/>
      <c r="E2741" s="3"/>
    </row>
    <row r="2742" s="2" customFormat="1" ht="15.75" spans="1:5">
      <c r="A2742" s="6"/>
      <c r="B2742" s="7"/>
      <c r="C2742" s="6"/>
      <c r="D2742" s="3"/>
      <c r="E2742" s="3"/>
    </row>
    <row r="2743" s="2" customFormat="1" ht="15.75" spans="1:5">
      <c r="A2743" s="6"/>
      <c r="B2743" s="7"/>
      <c r="C2743" s="6"/>
      <c r="D2743" s="3"/>
      <c r="E2743" s="3"/>
    </row>
    <row r="2744" s="2" customFormat="1" ht="15.75" spans="1:5">
      <c r="A2744" s="6"/>
      <c r="B2744" s="7"/>
      <c r="C2744" s="6"/>
      <c r="D2744" s="3"/>
      <c r="E2744" s="3"/>
    </row>
    <row r="2745" s="2" customFormat="1" ht="15.75" spans="1:5">
      <c r="A2745" s="6"/>
      <c r="B2745" s="7"/>
      <c r="C2745" s="6"/>
      <c r="D2745" s="3"/>
      <c r="E2745" s="3"/>
    </row>
    <row r="2746" s="2" customFormat="1" ht="15.75" spans="1:5">
      <c r="A2746" s="6"/>
      <c r="B2746" s="7"/>
      <c r="C2746" s="6"/>
      <c r="D2746" s="3"/>
      <c r="E2746" s="3"/>
    </row>
    <row r="2747" s="2" customFormat="1" ht="15.75" spans="1:5">
      <c r="A2747" s="6"/>
      <c r="B2747" s="7"/>
      <c r="C2747" s="6"/>
      <c r="D2747" s="3"/>
      <c r="E2747" s="3"/>
    </row>
    <row r="2748" s="2" customFormat="1" ht="15.75" spans="1:5">
      <c r="A2748" s="6"/>
      <c r="B2748" s="7"/>
      <c r="C2748" s="6"/>
      <c r="D2748" s="3"/>
      <c r="E2748" s="3"/>
    </row>
    <row r="2749" s="2" customFormat="1" ht="15.75" spans="1:5">
      <c r="A2749" s="6"/>
      <c r="B2749" s="7"/>
      <c r="C2749" s="6"/>
      <c r="D2749" s="3"/>
      <c r="E2749" s="3"/>
    </row>
    <row r="2750" s="2" customFormat="1" ht="15.75" spans="1:5">
      <c r="A2750" s="6"/>
      <c r="B2750" s="7"/>
      <c r="C2750" s="6"/>
      <c r="D2750" s="3"/>
      <c r="E2750" s="3"/>
    </row>
    <row r="2751" s="2" customFormat="1" ht="15.75" spans="1:5">
      <c r="A2751" s="6"/>
      <c r="B2751" s="7"/>
      <c r="C2751" s="6"/>
      <c r="D2751" s="3"/>
      <c r="E2751" s="3"/>
    </row>
    <row r="2752" s="2" customFormat="1" ht="15.75" spans="1:5">
      <c r="A2752" s="6"/>
      <c r="B2752" s="7"/>
      <c r="C2752" s="6"/>
      <c r="D2752" s="3"/>
      <c r="E2752" s="3"/>
    </row>
    <row r="2753" s="2" customFormat="1" ht="15.75" spans="1:5">
      <c r="A2753" s="6"/>
      <c r="B2753" s="7"/>
      <c r="C2753" s="6"/>
      <c r="D2753" s="3"/>
      <c r="E2753" s="3"/>
    </row>
    <row r="2754" s="2" customFormat="1" ht="15.75" spans="1:5">
      <c r="A2754" s="6"/>
      <c r="B2754" s="7"/>
      <c r="C2754" s="6"/>
      <c r="D2754" s="3"/>
      <c r="E2754" s="3"/>
    </row>
    <row r="2755" s="2" customFormat="1" ht="15.75" spans="1:5">
      <c r="A2755" s="6"/>
      <c r="B2755" s="7"/>
      <c r="C2755" s="6"/>
      <c r="D2755" s="3"/>
      <c r="E2755" s="3"/>
    </row>
    <row r="2756" s="2" customFormat="1" ht="15.75" spans="1:5">
      <c r="A2756" s="6"/>
      <c r="B2756" s="7"/>
      <c r="C2756" s="6"/>
      <c r="D2756" s="3"/>
      <c r="E2756" s="3"/>
    </row>
    <row r="2757" s="2" customFormat="1" ht="15.75" spans="1:5">
      <c r="A2757" s="6"/>
      <c r="B2757" s="7"/>
      <c r="C2757" s="6"/>
      <c r="D2757" s="3"/>
      <c r="E2757" s="3"/>
    </row>
    <row r="2758" s="2" customFormat="1" ht="15.75" spans="1:5">
      <c r="A2758" s="6"/>
      <c r="B2758" s="7"/>
      <c r="C2758" s="6"/>
      <c r="D2758" s="3"/>
      <c r="E2758" s="3"/>
    </row>
    <row r="2759" s="2" customFormat="1" ht="15.75" spans="1:5">
      <c r="A2759" s="6"/>
      <c r="B2759" s="7"/>
      <c r="C2759" s="6"/>
      <c r="D2759" s="3"/>
      <c r="E2759" s="3"/>
    </row>
    <row r="2760" s="2" customFormat="1" ht="15.75" spans="1:5">
      <c r="A2760" s="6"/>
      <c r="B2760" s="7"/>
      <c r="C2760" s="6"/>
      <c r="D2760" s="3"/>
      <c r="E2760" s="3"/>
    </row>
    <row r="2761" s="2" customFormat="1" ht="15.75" spans="1:5">
      <c r="A2761" s="6"/>
      <c r="B2761" s="7"/>
      <c r="C2761" s="6"/>
      <c r="D2761" s="3"/>
      <c r="E2761" s="3"/>
    </row>
    <row r="2762" s="2" customFormat="1" ht="15.75" spans="1:5">
      <c r="A2762" s="6"/>
      <c r="B2762" s="7"/>
      <c r="C2762" s="6"/>
      <c r="D2762" s="3"/>
      <c r="E2762" s="3"/>
    </row>
    <row r="2763" s="2" customFormat="1" ht="15.75" spans="1:5">
      <c r="A2763" s="6"/>
      <c r="B2763" s="7"/>
      <c r="C2763" s="6"/>
      <c r="D2763" s="3"/>
      <c r="E2763" s="3"/>
    </row>
    <row r="2764" s="2" customFormat="1" ht="15.75" spans="1:5">
      <c r="A2764" s="6"/>
      <c r="B2764" s="7"/>
      <c r="C2764" s="6"/>
      <c r="D2764" s="3"/>
      <c r="E2764" s="3"/>
    </row>
    <row r="2765" s="2" customFormat="1" ht="15.75" spans="1:5">
      <c r="A2765" s="6"/>
      <c r="B2765" s="7"/>
      <c r="C2765" s="6"/>
      <c r="D2765" s="3"/>
      <c r="E2765" s="3"/>
    </row>
    <row r="2766" s="2" customFormat="1" ht="15.75" spans="1:5">
      <c r="A2766" s="6"/>
      <c r="B2766" s="7"/>
      <c r="C2766" s="6"/>
      <c r="D2766" s="3"/>
      <c r="E2766" s="3"/>
    </row>
    <row r="2767" s="2" customFormat="1" ht="15.75" spans="1:5">
      <c r="A2767" s="6"/>
      <c r="B2767" s="7"/>
      <c r="C2767" s="6"/>
      <c r="D2767" s="3"/>
      <c r="E2767" s="3"/>
    </row>
    <row r="2768" s="2" customFormat="1" ht="15.75" spans="1:5">
      <c r="A2768" s="6"/>
      <c r="B2768" s="7"/>
      <c r="C2768" s="6"/>
      <c r="D2768" s="3"/>
      <c r="E2768" s="3"/>
    </row>
    <row r="2769" s="2" customFormat="1" ht="15.75" spans="1:5">
      <c r="A2769" s="6"/>
      <c r="B2769" s="7"/>
      <c r="C2769" s="6"/>
      <c r="D2769" s="3"/>
      <c r="E2769" s="3"/>
    </row>
    <row r="2770" s="2" customFormat="1" ht="15.75" spans="1:5">
      <c r="A2770" s="6"/>
      <c r="B2770" s="7"/>
      <c r="C2770" s="6"/>
      <c r="D2770" s="3"/>
      <c r="E2770" s="3"/>
    </row>
    <row r="2771" s="2" customFormat="1" ht="15.75" spans="1:5">
      <c r="A2771" s="6"/>
      <c r="B2771" s="7"/>
      <c r="C2771" s="6"/>
      <c r="D2771" s="3"/>
      <c r="E2771" s="3"/>
    </row>
    <row r="2772" s="2" customFormat="1" ht="15.75" spans="1:5">
      <c r="A2772" s="6"/>
      <c r="B2772" s="7"/>
      <c r="C2772" s="6"/>
      <c r="D2772" s="3"/>
      <c r="E2772" s="3"/>
    </row>
    <row r="2773" s="2" customFormat="1" ht="15.75" spans="1:5">
      <c r="A2773" s="6"/>
      <c r="B2773" s="7"/>
      <c r="C2773" s="6"/>
      <c r="D2773" s="3"/>
      <c r="E2773" s="3"/>
    </row>
    <row r="2774" s="2" customFormat="1" ht="15.75" spans="1:5">
      <c r="A2774" s="6"/>
      <c r="B2774" s="7"/>
      <c r="C2774" s="6"/>
      <c r="D2774" s="3"/>
      <c r="E2774" s="3"/>
    </row>
    <row r="2775" s="2" customFormat="1" ht="15.75" spans="1:5">
      <c r="A2775" s="6"/>
      <c r="B2775" s="7"/>
      <c r="C2775" s="6"/>
      <c r="D2775" s="3"/>
      <c r="E2775" s="3"/>
    </row>
    <row r="2776" s="2" customFormat="1" ht="15.75" spans="1:5">
      <c r="A2776" s="6"/>
      <c r="B2776" s="7"/>
      <c r="C2776" s="6"/>
      <c r="D2776" s="3"/>
      <c r="E2776" s="3"/>
    </row>
    <row r="2777" s="2" customFormat="1" ht="15.75" spans="1:5">
      <c r="A2777" s="6"/>
      <c r="B2777" s="7"/>
      <c r="C2777" s="6"/>
      <c r="D2777" s="3"/>
      <c r="E2777" s="3"/>
    </row>
    <row r="2778" s="2" customFormat="1" ht="15.75" spans="1:5">
      <c r="A2778" s="6"/>
      <c r="B2778" s="7"/>
      <c r="C2778" s="6"/>
      <c r="D2778" s="3"/>
      <c r="E2778" s="3"/>
    </row>
    <row r="2779" s="2" customFormat="1" ht="15.75" spans="1:5">
      <c r="A2779" s="6"/>
      <c r="B2779" s="7"/>
      <c r="C2779" s="6"/>
      <c r="D2779" s="3"/>
      <c r="E2779" s="3"/>
    </row>
    <row r="2780" s="2" customFormat="1" ht="15.75" spans="1:5">
      <c r="A2780" s="6"/>
      <c r="B2780" s="7"/>
      <c r="C2780" s="6"/>
      <c r="D2780" s="3"/>
      <c r="E2780" s="3"/>
    </row>
    <row r="2781" s="2" customFormat="1" ht="15.75" spans="1:5">
      <c r="A2781" s="6"/>
      <c r="B2781" s="7"/>
      <c r="C2781" s="6"/>
      <c r="D2781" s="3"/>
      <c r="E2781" s="3"/>
    </row>
    <row r="2782" s="2" customFormat="1" ht="15.75" spans="1:5">
      <c r="A2782" s="6"/>
      <c r="B2782" s="7"/>
      <c r="C2782" s="6"/>
      <c r="D2782" s="3"/>
      <c r="E2782" s="3"/>
    </row>
    <row r="2783" s="2" customFormat="1" ht="15.75" spans="1:5">
      <c r="A2783" s="6"/>
      <c r="B2783" s="7"/>
      <c r="C2783" s="6"/>
      <c r="D2783" s="3"/>
      <c r="E2783" s="3"/>
    </row>
    <row r="2784" s="2" customFormat="1" ht="15.75" spans="1:5">
      <c r="A2784" s="6"/>
      <c r="B2784" s="7"/>
      <c r="C2784" s="6"/>
      <c r="D2784" s="3"/>
      <c r="E2784" s="3"/>
    </row>
    <row r="2785" s="2" customFormat="1" ht="15.75" spans="1:5">
      <c r="A2785" s="6"/>
      <c r="B2785" s="7"/>
      <c r="C2785" s="6"/>
      <c r="D2785" s="3"/>
      <c r="E2785" s="3"/>
    </row>
    <row r="2786" s="2" customFormat="1" ht="15.75" spans="1:5">
      <c r="A2786" s="6"/>
      <c r="B2786" s="7"/>
      <c r="C2786" s="6"/>
      <c r="D2786" s="3"/>
      <c r="E2786" s="3"/>
    </row>
    <row r="2787" s="2" customFormat="1" ht="15.75" spans="1:5">
      <c r="A2787" s="6"/>
      <c r="B2787" s="7"/>
      <c r="C2787" s="6"/>
      <c r="D2787" s="3"/>
      <c r="E2787" s="3"/>
    </row>
    <row r="2788" s="2" customFormat="1" ht="15.75" spans="1:5">
      <c r="A2788" s="6"/>
      <c r="B2788" s="7"/>
      <c r="C2788" s="6"/>
      <c r="D2788" s="3"/>
      <c r="E2788" s="3"/>
    </row>
    <row r="2789" s="2" customFormat="1" ht="15.75" spans="1:5">
      <c r="A2789" s="6"/>
      <c r="B2789" s="7"/>
      <c r="C2789" s="6"/>
      <c r="D2789" s="3"/>
      <c r="E2789" s="3"/>
    </row>
    <row r="2790" s="2" customFormat="1" ht="15.75" spans="1:5">
      <c r="A2790" s="6"/>
      <c r="B2790" s="7"/>
      <c r="C2790" s="6"/>
      <c r="D2790" s="3"/>
      <c r="E2790" s="3"/>
    </row>
    <row r="2791" s="2" customFormat="1" ht="15.75" spans="1:5">
      <c r="A2791" s="6"/>
      <c r="B2791" s="7"/>
      <c r="C2791" s="6"/>
      <c r="D2791" s="3"/>
      <c r="E2791" s="3"/>
    </row>
    <row r="2792" s="2" customFormat="1" ht="15.75" spans="1:5">
      <c r="A2792" s="6"/>
      <c r="B2792" s="7"/>
      <c r="C2792" s="6"/>
      <c r="D2792" s="3"/>
      <c r="E2792" s="3"/>
    </row>
    <row r="2793" s="2" customFormat="1" ht="15.75" spans="1:5">
      <c r="A2793" s="6"/>
      <c r="B2793" s="7"/>
      <c r="C2793" s="6"/>
      <c r="D2793" s="3"/>
      <c r="E2793" s="3"/>
    </row>
    <row r="2794" s="2" customFormat="1" ht="15.75" spans="1:5">
      <c r="A2794" s="6"/>
      <c r="B2794" s="7"/>
      <c r="C2794" s="6"/>
      <c r="D2794" s="3"/>
      <c r="E2794" s="3"/>
    </row>
    <row r="2795" s="2" customFormat="1" ht="15.75" spans="1:5">
      <c r="A2795" s="6"/>
      <c r="B2795" s="7"/>
      <c r="C2795" s="6"/>
      <c r="D2795" s="3"/>
      <c r="E2795" s="3"/>
    </row>
    <row r="2796" s="2" customFormat="1" ht="15.75" spans="1:5">
      <c r="A2796" s="6"/>
      <c r="B2796" s="7"/>
      <c r="C2796" s="6"/>
      <c r="D2796" s="3"/>
      <c r="E2796" s="3"/>
    </row>
    <row r="2797" s="2" customFormat="1" ht="15.75" spans="1:5">
      <c r="A2797" s="6"/>
      <c r="B2797" s="7"/>
      <c r="C2797" s="6"/>
      <c r="D2797" s="3"/>
      <c r="E2797" s="3"/>
    </row>
    <row r="2798" s="2" customFormat="1" ht="15.75" spans="1:5">
      <c r="A2798" s="6"/>
      <c r="B2798" s="7"/>
      <c r="C2798" s="6"/>
      <c r="D2798" s="3"/>
      <c r="E2798" s="3"/>
    </row>
    <row r="2799" s="2" customFormat="1" ht="15.75" spans="1:5">
      <c r="A2799" s="6"/>
      <c r="B2799" s="7"/>
      <c r="C2799" s="6"/>
      <c r="D2799" s="3"/>
      <c r="E2799" s="3"/>
    </row>
    <row r="2800" s="2" customFormat="1" ht="15.75" spans="1:5">
      <c r="A2800" s="6"/>
      <c r="B2800" s="7"/>
      <c r="C2800" s="6"/>
      <c r="D2800" s="3"/>
      <c r="E2800" s="3"/>
    </row>
    <row r="2801" s="2" customFormat="1" ht="15.75" spans="1:5">
      <c r="A2801" s="6"/>
      <c r="B2801" s="7"/>
      <c r="C2801" s="6"/>
      <c r="D2801" s="3"/>
      <c r="E2801" s="3"/>
    </row>
    <row r="2802" s="2" customFormat="1" ht="15.75" spans="1:5">
      <c r="A2802" s="6"/>
      <c r="B2802" s="7"/>
      <c r="C2802" s="6"/>
      <c r="D2802" s="3"/>
      <c r="E2802" s="3"/>
    </row>
    <row r="2803" s="2" customFormat="1" ht="15.75" spans="1:5">
      <c r="A2803" s="6"/>
      <c r="B2803" s="7"/>
      <c r="C2803" s="6"/>
      <c r="D2803" s="3"/>
      <c r="E2803" s="3"/>
    </row>
    <row r="2804" s="2" customFormat="1" ht="15.75" spans="1:5">
      <c r="A2804" s="6"/>
      <c r="B2804" s="7"/>
      <c r="C2804" s="6"/>
      <c r="D2804" s="3"/>
      <c r="E2804" s="3"/>
    </row>
    <row r="2805" s="2" customFormat="1" ht="15.75" spans="1:5">
      <c r="A2805" s="6"/>
      <c r="B2805" s="7"/>
      <c r="C2805" s="6"/>
      <c r="D2805" s="3"/>
      <c r="E2805" s="3"/>
    </row>
    <row r="2806" s="2" customFormat="1" ht="15.75" spans="1:5">
      <c r="A2806" s="6"/>
      <c r="B2806" s="7"/>
      <c r="C2806" s="6"/>
      <c r="D2806" s="3"/>
      <c r="E2806" s="3"/>
    </row>
    <row r="2807" s="2" customFormat="1" ht="15.75" spans="1:5">
      <c r="A2807" s="6"/>
      <c r="B2807" s="7"/>
      <c r="C2807" s="6"/>
      <c r="D2807" s="3"/>
      <c r="E2807" s="3"/>
    </row>
    <row r="2808" s="2" customFormat="1" ht="15.75" spans="1:5">
      <c r="A2808" s="6"/>
      <c r="B2808" s="7"/>
      <c r="C2808" s="6"/>
      <c r="D2808" s="3"/>
      <c r="E2808" s="3"/>
    </row>
    <row r="2809" s="2" customFormat="1" ht="15.75" spans="1:5">
      <c r="A2809" s="6"/>
      <c r="B2809" s="7"/>
      <c r="C2809" s="6"/>
      <c r="D2809" s="3"/>
      <c r="E2809" s="3"/>
    </row>
    <row r="2810" s="2" customFormat="1" ht="15.75" spans="1:5">
      <c r="A2810" s="6"/>
      <c r="B2810" s="7"/>
      <c r="C2810" s="6"/>
      <c r="D2810" s="3"/>
      <c r="E2810" s="3"/>
    </row>
    <row r="2811" s="2" customFormat="1" ht="15.75" spans="1:5">
      <c r="A2811" s="6"/>
      <c r="B2811" s="7"/>
      <c r="C2811" s="6"/>
      <c r="D2811" s="3"/>
      <c r="E2811" s="3"/>
    </row>
    <row r="2812" s="2" customFormat="1" ht="15.75" spans="1:5">
      <c r="A2812" s="6"/>
      <c r="B2812" s="7"/>
      <c r="C2812" s="6"/>
      <c r="D2812" s="3"/>
      <c r="E2812" s="3"/>
    </row>
    <row r="2813" s="2" customFormat="1" ht="15.75" spans="1:5">
      <c r="A2813" s="6"/>
      <c r="B2813" s="7"/>
      <c r="C2813" s="6"/>
      <c r="D2813" s="3"/>
      <c r="E2813" s="3"/>
    </row>
    <row r="2814" s="2" customFormat="1" ht="15.75" spans="1:5">
      <c r="A2814" s="6"/>
      <c r="B2814" s="7"/>
      <c r="C2814" s="6"/>
      <c r="D2814" s="3"/>
      <c r="E2814" s="3"/>
    </row>
    <row r="2815" s="2" customFormat="1" ht="15.75" spans="1:5">
      <c r="A2815" s="6"/>
      <c r="B2815" s="7"/>
      <c r="C2815" s="6"/>
      <c r="D2815" s="3"/>
      <c r="E2815" s="3"/>
    </row>
    <row r="2816" s="2" customFormat="1" ht="15.75" spans="1:5">
      <c r="A2816" s="6"/>
      <c r="B2816" s="7"/>
      <c r="C2816" s="6"/>
      <c r="D2816" s="3"/>
      <c r="E2816" s="3"/>
    </row>
    <row r="2817" s="2" customFormat="1" ht="15.75" spans="1:5">
      <c r="A2817" s="6"/>
      <c r="B2817" s="7"/>
      <c r="C2817" s="6"/>
      <c r="D2817" s="3"/>
      <c r="E2817" s="3"/>
    </row>
    <row r="2818" s="2" customFormat="1" ht="15.75" spans="1:5">
      <c r="A2818" s="6"/>
      <c r="B2818" s="7"/>
      <c r="C2818" s="6"/>
      <c r="D2818" s="3"/>
      <c r="E2818" s="3"/>
    </row>
    <row r="2819" s="2" customFormat="1" ht="15.75" spans="1:5">
      <c r="A2819" s="6"/>
      <c r="B2819" s="7"/>
      <c r="C2819" s="6"/>
      <c r="D2819" s="3"/>
      <c r="E2819" s="3"/>
    </row>
    <row r="2820" s="2" customFormat="1" ht="15.75" spans="1:5">
      <c r="A2820" s="6"/>
      <c r="B2820" s="7"/>
      <c r="C2820" s="6"/>
      <c r="D2820" s="3"/>
      <c r="E2820" s="3"/>
    </row>
    <row r="2821" s="2" customFormat="1" ht="15.75" spans="1:5">
      <c r="A2821" s="6"/>
      <c r="B2821" s="7"/>
      <c r="C2821" s="6"/>
      <c r="D2821" s="3"/>
      <c r="E2821" s="3"/>
    </row>
    <row r="2822" s="2" customFormat="1" ht="15.75" spans="1:5">
      <c r="A2822" s="6"/>
      <c r="B2822" s="7"/>
      <c r="C2822" s="6"/>
      <c r="D2822" s="3"/>
      <c r="E2822" s="3"/>
    </row>
    <row r="2823" s="2" customFormat="1" ht="15.75" spans="1:5">
      <c r="A2823" s="6"/>
      <c r="B2823" s="7"/>
      <c r="C2823" s="6"/>
      <c r="D2823" s="3"/>
      <c r="E2823" s="3"/>
    </row>
    <row r="2824" s="2" customFormat="1" ht="15.75" spans="1:5">
      <c r="A2824" s="6"/>
      <c r="B2824" s="7"/>
      <c r="C2824" s="6"/>
      <c r="D2824" s="3"/>
      <c r="E2824" s="3"/>
    </row>
    <row r="2825" s="2" customFormat="1" ht="15.75" spans="1:5">
      <c r="A2825" s="6"/>
      <c r="B2825" s="7"/>
      <c r="C2825" s="6"/>
      <c r="D2825" s="3"/>
      <c r="E2825" s="3"/>
    </row>
    <row r="2826" s="2" customFormat="1" ht="15.75" spans="1:5">
      <c r="A2826" s="6"/>
      <c r="B2826" s="7"/>
      <c r="C2826" s="6"/>
      <c r="D2826" s="3"/>
      <c r="E2826" s="3"/>
    </row>
    <row r="2827" s="2" customFormat="1" ht="15.75" spans="1:5">
      <c r="A2827" s="6"/>
      <c r="B2827" s="7"/>
      <c r="C2827" s="6"/>
      <c r="D2827" s="3"/>
      <c r="E2827" s="3"/>
    </row>
    <row r="2828" s="2" customFormat="1" ht="15.75" spans="1:5">
      <c r="A2828" s="6"/>
      <c r="B2828" s="7"/>
      <c r="C2828" s="6"/>
      <c r="D2828" s="3"/>
      <c r="E2828" s="3"/>
    </row>
    <row r="2829" s="2" customFormat="1" ht="15.75" spans="1:5">
      <c r="A2829" s="6"/>
      <c r="B2829" s="7"/>
      <c r="C2829" s="6"/>
      <c r="D2829" s="3"/>
      <c r="E2829" s="3"/>
    </row>
    <row r="2830" s="2" customFormat="1" ht="15.75" spans="1:5">
      <c r="A2830" s="6"/>
      <c r="B2830" s="7"/>
      <c r="C2830" s="6"/>
      <c r="D2830" s="3"/>
      <c r="E2830" s="3"/>
    </row>
    <row r="2831" s="2" customFormat="1" ht="15.75" spans="1:5">
      <c r="A2831" s="6"/>
      <c r="B2831" s="7"/>
      <c r="C2831" s="6"/>
      <c r="D2831" s="3"/>
      <c r="E2831" s="3"/>
    </row>
    <row r="2832" s="2" customFormat="1" ht="15.75" spans="1:5">
      <c r="A2832" s="6"/>
      <c r="B2832" s="7"/>
      <c r="C2832" s="6"/>
      <c r="D2832" s="3"/>
      <c r="E2832" s="3"/>
    </row>
    <row r="2833" s="2" customFormat="1" ht="15.75" spans="1:5">
      <c r="A2833" s="6"/>
      <c r="B2833" s="7"/>
      <c r="C2833" s="6"/>
      <c r="D2833" s="3"/>
      <c r="E2833" s="3"/>
    </row>
    <row r="2834" s="2" customFormat="1" ht="15.75" spans="1:5">
      <c r="A2834" s="6"/>
      <c r="B2834" s="7"/>
      <c r="C2834" s="6"/>
      <c r="D2834" s="3"/>
      <c r="E2834" s="3"/>
    </row>
    <row r="2835" s="2" customFormat="1" ht="15.75" spans="1:5">
      <c r="A2835" s="6"/>
      <c r="B2835" s="7"/>
      <c r="C2835" s="6"/>
      <c r="D2835" s="3"/>
      <c r="E2835" s="3"/>
    </row>
    <row r="2836" s="2" customFormat="1" ht="15.75" spans="1:5">
      <c r="A2836" s="6"/>
      <c r="B2836" s="7"/>
      <c r="C2836" s="6"/>
      <c r="D2836" s="3"/>
      <c r="E2836" s="3"/>
    </row>
    <row r="2837" s="2" customFormat="1" ht="15.75" spans="1:5">
      <c r="A2837" s="6"/>
      <c r="B2837" s="7"/>
      <c r="C2837" s="6"/>
      <c r="D2837" s="3"/>
      <c r="E2837" s="3"/>
    </row>
    <row r="2838" s="2" customFormat="1" ht="15.75" spans="1:5">
      <c r="A2838" s="6"/>
      <c r="B2838" s="7"/>
      <c r="C2838" s="6"/>
      <c r="D2838" s="3"/>
      <c r="E2838" s="3"/>
    </row>
    <row r="2839" s="2" customFormat="1" ht="15.75" spans="1:5">
      <c r="A2839" s="6"/>
      <c r="B2839" s="7"/>
      <c r="C2839" s="6"/>
      <c r="D2839" s="3"/>
      <c r="E2839" s="3"/>
    </row>
    <row r="2840" s="2" customFormat="1" ht="15.75" spans="1:5">
      <c r="A2840" s="6"/>
      <c r="B2840" s="7"/>
      <c r="C2840" s="6"/>
      <c r="D2840" s="3"/>
      <c r="E2840" s="3"/>
    </row>
    <row r="2841" s="2" customFormat="1" ht="15.75" spans="1:5">
      <c r="A2841" s="6"/>
      <c r="B2841" s="7"/>
      <c r="C2841" s="6"/>
      <c r="D2841" s="3"/>
      <c r="E2841" s="3"/>
    </row>
    <row r="2842" s="2" customFormat="1" ht="15.75" spans="1:5">
      <c r="A2842" s="6"/>
      <c r="B2842" s="7"/>
      <c r="C2842" s="6"/>
      <c r="D2842" s="3"/>
      <c r="E2842" s="3"/>
    </row>
    <row r="2843" s="2" customFormat="1" ht="15.75" spans="1:5">
      <c r="A2843" s="6"/>
      <c r="B2843" s="7"/>
      <c r="C2843" s="6"/>
      <c r="D2843" s="3"/>
      <c r="E2843" s="3"/>
    </row>
    <row r="2844" s="2" customFormat="1" ht="15.75" spans="1:5">
      <c r="A2844" s="6"/>
      <c r="B2844" s="7"/>
      <c r="C2844" s="6"/>
      <c r="D2844" s="3"/>
      <c r="E2844" s="3"/>
    </row>
    <row r="2845" s="2" customFormat="1" ht="15.75" spans="1:5">
      <c r="A2845" s="6"/>
      <c r="B2845" s="7"/>
      <c r="C2845" s="6"/>
      <c r="D2845" s="3"/>
      <c r="E2845" s="3"/>
    </row>
    <row r="2846" s="2" customFormat="1" ht="15.75" spans="1:5">
      <c r="A2846" s="6"/>
      <c r="B2846" s="7"/>
      <c r="C2846" s="6"/>
      <c r="D2846" s="3"/>
      <c r="E2846" s="3"/>
    </row>
    <row r="2847" s="2" customFormat="1" ht="15.75" spans="1:5">
      <c r="A2847" s="6"/>
      <c r="B2847" s="7"/>
      <c r="C2847" s="6"/>
      <c r="D2847" s="3"/>
      <c r="E2847" s="3"/>
    </row>
    <row r="2848" s="2" customFormat="1" ht="15.75" spans="1:5">
      <c r="A2848" s="6"/>
      <c r="B2848" s="7"/>
      <c r="C2848" s="6"/>
      <c r="D2848" s="3"/>
      <c r="E2848" s="3"/>
    </row>
    <row r="2849" s="2" customFormat="1" ht="15.75" spans="1:5">
      <c r="A2849" s="6"/>
      <c r="B2849" s="7"/>
      <c r="C2849" s="6"/>
      <c r="D2849" s="3"/>
      <c r="E2849" s="3"/>
    </row>
    <row r="2850" s="2" customFormat="1" ht="15.75" spans="1:5">
      <c r="A2850" s="6"/>
      <c r="B2850" s="7"/>
      <c r="C2850" s="6"/>
      <c r="D2850" s="3"/>
      <c r="E2850" s="3"/>
    </row>
    <row r="2851" s="2" customFormat="1" ht="15.75" spans="1:5">
      <c r="A2851" s="6"/>
      <c r="B2851" s="7"/>
      <c r="C2851" s="6"/>
      <c r="D2851" s="3"/>
      <c r="E2851" s="3"/>
    </row>
    <row r="2852" s="2" customFormat="1" ht="15.75" spans="1:5">
      <c r="A2852" s="6"/>
      <c r="B2852" s="7"/>
      <c r="C2852" s="6"/>
      <c r="D2852" s="3"/>
      <c r="E2852" s="3"/>
    </row>
    <row r="2853" s="2" customFormat="1" ht="15.75" spans="1:5">
      <c r="A2853" s="6"/>
      <c r="B2853" s="7"/>
      <c r="C2853" s="6"/>
      <c r="D2853" s="3"/>
      <c r="E2853" s="3"/>
    </row>
    <row r="2854" s="2" customFormat="1" ht="15.75" spans="1:5">
      <c r="A2854" s="6"/>
      <c r="B2854" s="7"/>
      <c r="C2854" s="6"/>
      <c r="D2854" s="3"/>
      <c r="E2854" s="3"/>
    </row>
    <row r="2855" s="2" customFormat="1" ht="15.75" spans="1:5">
      <c r="A2855" s="6"/>
      <c r="B2855" s="7"/>
      <c r="C2855" s="6"/>
      <c r="D2855" s="3"/>
      <c r="E2855" s="3"/>
    </row>
    <row r="2856" s="2" customFormat="1" ht="15.75" spans="1:5">
      <c r="A2856" s="6"/>
      <c r="B2856" s="7"/>
      <c r="C2856" s="6"/>
      <c r="D2856" s="3"/>
      <c r="E2856" s="3"/>
    </row>
    <row r="2857" s="2" customFormat="1" ht="15.75" spans="1:5">
      <c r="A2857" s="6"/>
      <c r="B2857" s="7"/>
      <c r="C2857" s="6"/>
      <c r="D2857" s="3"/>
      <c r="E2857" s="3"/>
    </row>
    <row r="2858" s="2" customFormat="1" ht="15.75" spans="1:5">
      <c r="A2858" s="6"/>
      <c r="B2858" s="7"/>
      <c r="C2858" s="6"/>
      <c r="D2858" s="3"/>
      <c r="E2858" s="3"/>
    </row>
    <row r="2859" s="2" customFormat="1" ht="15.75" spans="1:5">
      <c r="A2859" s="6"/>
      <c r="B2859" s="7"/>
      <c r="C2859" s="6"/>
      <c r="D2859" s="3"/>
      <c r="E2859" s="3"/>
    </row>
    <row r="2860" s="2" customFormat="1" ht="15.75" spans="1:5">
      <c r="A2860" s="6"/>
      <c r="B2860" s="7"/>
      <c r="C2860" s="6"/>
      <c r="D2860" s="3"/>
      <c r="E2860" s="3"/>
    </row>
    <row r="2861" s="2" customFormat="1" ht="15.75" spans="1:5">
      <c r="A2861" s="6"/>
      <c r="B2861" s="7"/>
      <c r="C2861" s="6"/>
      <c r="D2861" s="3"/>
      <c r="E2861" s="3"/>
    </row>
    <row r="2862" s="2" customFormat="1" ht="15.75" spans="1:5">
      <c r="A2862" s="6"/>
      <c r="B2862" s="7"/>
      <c r="C2862" s="6"/>
      <c r="D2862" s="3"/>
      <c r="E2862" s="3"/>
    </row>
    <row r="2863" s="2" customFormat="1" ht="15.75" spans="1:5">
      <c r="A2863" s="6"/>
      <c r="B2863" s="7"/>
      <c r="C2863" s="6"/>
      <c r="D2863" s="3"/>
      <c r="E2863" s="3"/>
    </row>
    <row r="2864" s="2" customFormat="1" ht="15.75" spans="1:5">
      <c r="A2864" s="6"/>
      <c r="B2864" s="7"/>
      <c r="C2864" s="6"/>
      <c r="D2864" s="3"/>
      <c r="E2864" s="3"/>
    </row>
    <row r="2865" s="2" customFormat="1" ht="15.75" spans="1:5">
      <c r="A2865" s="6"/>
      <c r="B2865" s="7"/>
      <c r="C2865" s="6"/>
      <c r="D2865" s="3"/>
      <c r="E2865" s="3"/>
    </row>
    <row r="2866" s="2" customFormat="1" ht="15.75" spans="1:5">
      <c r="A2866" s="6"/>
      <c r="B2866" s="7"/>
      <c r="C2866" s="6"/>
      <c r="D2866" s="3"/>
      <c r="E2866" s="3"/>
    </row>
    <row r="2867" s="2" customFormat="1" ht="15.75" spans="1:5">
      <c r="A2867" s="6"/>
      <c r="B2867" s="7"/>
      <c r="C2867" s="6"/>
      <c r="D2867" s="3"/>
      <c r="E2867" s="3"/>
    </row>
    <row r="2868" s="2" customFormat="1" ht="15.75" spans="1:5">
      <c r="A2868" s="6"/>
      <c r="B2868" s="7"/>
      <c r="C2868" s="6"/>
      <c r="D2868" s="3"/>
      <c r="E2868" s="3"/>
    </row>
    <row r="2869" s="2" customFormat="1" ht="15.75" spans="1:5">
      <c r="A2869" s="6"/>
      <c r="B2869" s="7"/>
      <c r="C2869" s="6"/>
      <c r="D2869" s="3"/>
      <c r="E2869" s="3"/>
    </row>
    <row r="2870" s="2" customFormat="1" ht="15.75" spans="1:5">
      <c r="A2870" s="6"/>
      <c r="B2870" s="7"/>
      <c r="C2870" s="6"/>
      <c r="D2870" s="3"/>
      <c r="E2870" s="3"/>
    </row>
    <row r="2871" s="2" customFormat="1" ht="15.75" spans="1:5">
      <c r="A2871" s="6"/>
      <c r="B2871" s="7"/>
      <c r="C2871" s="6"/>
      <c r="D2871" s="3"/>
      <c r="E2871" s="3"/>
    </row>
    <row r="2872" s="2" customFormat="1" ht="15.75" spans="1:5">
      <c r="A2872" s="6"/>
      <c r="B2872" s="7"/>
      <c r="C2872" s="6"/>
      <c r="D2872" s="3"/>
      <c r="E2872" s="3"/>
    </row>
    <row r="2873" s="2" customFormat="1" ht="15.75" spans="1:5">
      <c r="A2873" s="6"/>
      <c r="B2873" s="7"/>
      <c r="C2873" s="6"/>
      <c r="D2873" s="3"/>
      <c r="E2873" s="3"/>
    </row>
    <row r="2874" s="2" customFormat="1" ht="15.75" spans="1:5">
      <c r="A2874" s="6"/>
      <c r="B2874" s="7"/>
      <c r="C2874" s="6"/>
      <c r="D2874" s="3"/>
      <c r="E2874" s="3"/>
    </row>
    <row r="2875" s="2" customFormat="1" ht="15.75" spans="1:5">
      <c r="A2875" s="6"/>
      <c r="B2875" s="7"/>
      <c r="C2875" s="6"/>
      <c r="D2875" s="3"/>
      <c r="E2875" s="3"/>
    </row>
    <row r="2876" s="2" customFormat="1" ht="15.75" spans="1:5">
      <c r="A2876" s="6"/>
      <c r="B2876" s="7"/>
      <c r="C2876" s="6"/>
      <c r="D2876" s="3"/>
      <c r="E2876" s="3"/>
    </row>
    <row r="2877" s="2" customFormat="1" ht="15.75" spans="1:5">
      <c r="A2877" s="6"/>
      <c r="B2877" s="7"/>
      <c r="C2877" s="6"/>
      <c r="D2877" s="3"/>
      <c r="E2877" s="3"/>
    </row>
    <row r="2878" s="2" customFormat="1" ht="15.75" spans="1:5">
      <c r="A2878" s="6"/>
      <c r="B2878" s="7"/>
      <c r="C2878" s="6"/>
      <c r="D2878" s="3"/>
      <c r="E2878" s="3"/>
    </row>
    <row r="2879" s="2" customFormat="1" ht="15.75" spans="1:5">
      <c r="A2879" s="6"/>
      <c r="B2879" s="7"/>
      <c r="C2879" s="6"/>
      <c r="D2879" s="3"/>
      <c r="E2879" s="3"/>
    </row>
    <row r="2880" s="2" customFormat="1" ht="15.75" spans="1:5">
      <c r="A2880" s="6"/>
      <c r="B2880" s="7"/>
      <c r="C2880" s="6"/>
      <c r="D2880" s="3"/>
      <c r="E2880" s="3"/>
    </row>
    <row r="2881" s="2" customFormat="1" ht="15.75" spans="1:5">
      <c r="A2881" s="6"/>
      <c r="B2881" s="7"/>
      <c r="C2881" s="6"/>
      <c r="D2881" s="3"/>
      <c r="E2881" s="3"/>
    </row>
    <row r="2882" s="2" customFormat="1" ht="15.75" spans="1:5">
      <c r="A2882" s="6"/>
      <c r="B2882" s="7"/>
      <c r="C2882" s="6"/>
      <c r="D2882" s="3"/>
      <c r="E2882" s="3"/>
    </row>
    <row r="2883" s="2" customFormat="1" ht="15.75" spans="1:5">
      <c r="A2883" s="6"/>
      <c r="B2883" s="7"/>
      <c r="C2883" s="6"/>
      <c r="D2883" s="3"/>
      <c r="E2883" s="3"/>
    </row>
    <row r="2884" s="2" customFormat="1" ht="15.75" spans="1:5">
      <c r="A2884" s="6"/>
      <c r="B2884" s="7"/>
      <c r="C2884" s="6"/>
      <c r="D2884" s="3"/>
      <c r="E2884" s="3"/>
    </row>
    <row r="2885" s="2" customFormat="1" ht="15.75" spans="1:5">
      <c r="A2885" s="6"/>
      <c r="B2885" s="7"/>
      <c r="C2885" s="6"/>
      <c r="D2885" s="3"/>
      <c r="E2885" s="3"/>
    </row>
    <row r="2886" s="2" customFormat="1" ht="15.75" spans="1:5">
      <c r="A2886" s="6"/>
      <c r="B2886" s="7"/>
      <c r="C2886" s="6"/>
      <c r="D2886" s="3"/>
      <c r="E2886" s="3"/>
    </row>
    <row r="2887" s="2" customFormat="1" ht="15.75" spans="1:5">
      <c r="A2887" s="6"/>
      <c r="B2887" s="7"/>
      <c r="C2887" s="6"/>
      <c r="D2887" s="3"/>
      <c r="E2887" s="3"/>
    </row>
    <row r="2888" s="2" customFormat="1" ht="15.75" spans="1:5">
      <c r="A2888" s="6"/>
      <c r="B2888" s="7"/>
      <c r="C2888" s="6"/>
      <c r="D2888" s="3"/>
      <c r="E2888" s="3"/>
    </row>
    <row r="2889" s="2" customFormat="1" ht="15.75" spans="1:5">
      <c r="A2889" s="6"/>
      <c r="B2889" s="7"/>
      <c r="C2889" s="6"/>
      <c r="D2889" s="3"/>
      <c r="E2889" s="3"/>
    </row>
    <row r="2890" s="2" customFormat="1" ht="15.75" spans="1:5">
      <c r="A2890" s="6"/>
      <c r="B2890" s="7"/>
      <c r="C2890" s="6"/>
      <c r="D2890" s="3"/>
      <c r="E2890" s="3"/>
    </row>
    <row r="2891" s="2" customFormat="1" ht="15.75" spans="1:5">
      <c r="A2891" s="6"/>
      <c r="B2891" s="7"/>
      <c r="C2891" s="6"/>
      <c r="D2891" s="3"/>
      <c r="E2891" s="3"/>
    </row>
    <row r="2892" s="2" customFormat="1" ht="15.75" spans="1:5">
      <c r="A2892" s="6"/>
      <c r="B2892" s="7"/>
      <c r="C2892" s="6"/>
      <c r="D2892" s="3"/>
      <c r="E2892" s="3"/>
    </row>
    <row r="2893" s="2" customFormat="1" ht="15.75" spans="1:5">
      <c r="A2893" s="6"/>
      <c r="B2893" s="7"/>
      <c r="C2893" s="6"/>
      <c r="D2893" s="3"/>
      <c r="E2893" s="3"/>
    </row>
    <row r="2894" s="2" customFormat="1" ht="15.75" spans="1:5">
      <c r="A2894" s="6"/>
      <c r="B2894" s="7"/>
      <c r="C2894" s="6"/>
      <c r="D2894" s="3"/>
      <c r="E2894" s="3"/>
    </row>
    <row r="2895" s="2" customFormat="1" ht="15.75" spans="1:5">
      <c r="A2895" s="6"/>
      <c r="B2895" s="7"/>
      <c r="C2895" s="6"/>
      <c r="D2895" s="3"/>
      <c r="E2895" s="3"/>
    </row>
    <row r="2896" s="2" customFormat="1" ht="15.75" spans="1:5">
      <c r="A2896" s="6"/>
      <c r="B2896" s="7"/>
      <c r="C2896" s="6"/>
      <c r="D2896" s="3"/>
      <c r="E2896" s="3"/>
    </row>
    <row r="2897" s="2" customFormat="1" ht="15.75" spans="1:5">
      <c r="A2897" s="6"/>
      <c r="B2897" s="7"/>
      <c r="C2897" s="6"/>
      <c r="D2897" s="3"/>
      <c r="E2897" s="3"/>
    </row>
    <row r="2898" s="2" customFormat="1" ht="15.75" spans="1:5">
      <c r="A2898" s="6"/>
      <c r="B2898" s="7"/>
      <c r="C2898" s="6"/>
      <c r="D2898" s="3"/>
      <c r="E2898" s="3"/>
    </row>
    <row r="2899" s="2" customFormat="1" ht="15.75" spans="1:5">
      <c r="A2899" s="6"/>
      <c r="B2899" s="7"/>
      <c r="C2899" s="6"/>
      <c r="D2899" s="3"/>
      <c r="E2899" s="3"/>
    </row>
    <row r="2900" s="2" customFormat="1" ht="15.75" spans="1:5">
      <c r="A2900" s="6"/>
      <c r="B2900" s="7"/>
      <c r="C2900" s="6"/>
      <c r="D2900" s="3"/>
      <c r="E2900" s="3"/>
    </row>
    <row r="2901" s="2" customFormat="1" ht="15.75" spans="1:5">
      <c r="A2901" s="6"/>
      <c r="B2901" s="7"/>
      <c r="C2901" s="6"/>
      <c r="D2901" s="3"/>
      <c r="E2901" s="3"/>
    </row>
    <row r="2902" s="2" customFormat="1" ht="15.75" spans="1:5">
      <c r="A2902" s="6"/>
      <c r="B2902" s="7"/>
      <c r="C2902" s="6"/>
      <c r="D2902" s="3"/>
      <c r="E2902" s="3"/>
    </row>
    <row r="2903" s="2" customFormat="1" ht="15.75" spans="1:5">
      <c r="A2903" s="6"/>
      <c r="B2903" s="7"/>
      <c r="C2903" s="6"/>
      <c r="D2903" s="3"/>
      <c r="E2903" s="3"/>
    </row>
    <row r="2904" s="2" customFormat="1" ht="15.75" spans="1:5">
      <c r="A2904" s="6"/>
      <c r="B2904" s="7"/>
      <c r="C2904" s="6"/>
      <c r="D2904" s="3"/>
      <c r="E2904" s="3"/>
    </row>
    <row r="2905" s="2" customFormat="1" ht="15.75" spans="1:5">
      <c r="A2905" s="6"/>
      <c r="B2905" s="7"/>
      <c r="C2905" s="6"/>
      <c r="D2905" s="3"/>
      <c r="E2905" s="3"/>
    </row>
    <row r="2906" s="2" customFormat="1" ht="15.75" spans="1:5">
      <c r="A2906" s="6"/>
      <c r="B2906" s="7"/>
      <c r="C2906" s="6"/>
      <c r="D2906" s="3"/>
      <c r="E2906" s="3"/>
    </row>
    <row r="2907" s="2" customFormat="1" ht="15.75" spans="1:5">
      <c r="A2907" s="6"/>
      <c r="B2907" s="7"/>
      <c r="C2907" s="6"/>
      <c r="D2907" s="3"/>
      <c r="E2907" s="3"/>
    </row>
    <row r="2908" s="2" customFormat="1" ht="15.75" spans="1:5">
      <c r="A2908" s="6"/>
      <c r="B2908" s="7"/>
      <c r="C2908" s="6"/>
      <c r="D2908" s="3"/>
      <c r="E2908" s="3"/>
    </row>
    <row r="2909" s="2" customFormat="1" ht="15.75" spans="1:5">
      <c r="A2909" s="6"/>
      <c r="B2909" s="7"/>
      <c r="C2909" s="6"/>
      <c r="D2909" s="3"/>
      <c r="E2909" s="3"/>
    </row>
    <row r="2910" s="2" customFormat="1" ht="15.75" spans="1:5">
      <c r="A2910" s="6"/>
      <c r="B2910" s="7"/>
      <c r="C2910" s="6"/>
      <c r="D2910" s="3"/>
      <c r="E2910" s="3"/>
    </row>
    <row r="2911" s="2" customFormat="1" ht="15.75" spans="1:5">
      <c r="A2911" s="6"/>
      <c r="B2911" s="7"/>
      <c r="C2911" s="6"/>
      <c r="D2911" s="3"/>
      <c r="E2911" s="3"/>
    </row>
    <row r="2912" s="2" customFormat="1" ht="15.75" spans="1:5">
      <c r="A2912" s="6"/>
      <c r="B2912" s="7"/>
      <c r="C2912" s="6"/>
      <c r="D2912" s="3"/>
      <c r="E2912" s="3"/>
    </row>
    <row r="2913" s="2" customFormat="1" ht="15.75" spans="1:5">
      <c r="A2913" s="6"/>
      <c r="B2913" s="7"/>
      <c r="C2913" s="6"/>
      <c r="D2913" s="3"/>
      <c r="E2913" s="3"/>
    </row>
    <row r="2914" s="2" customFormat="1" ht="15.75" spans="1:5">
      <c r="A2914" s="6"/>
      <c r="B2914" s="7"/>
      <c r="C2914" s="6"/>
      <c r="D2914" s="3"/>
      <c r="E2914" s="3"/>
    </row>
    <row r="2915" s="2" customFormat="1" ht="15.75" spans="1:5">
      <c r="A2915" s="6"/>
      <c r="B2915" s="7"/>
      <c r="C2915" s="6"/>
      <c r="D2915" s="3"/>
      <c r="E2915" s="3"/>
    </row>
    <row r="2916" s="2" customFormat="1" ht="15.75" spans="1:5">
      <c r="A2916" s="6"/>
      <c r="B2916" s="7"/>
      <c r="C2916" s="6"/>
      <c r="D2916" s="3"/>
      <c r="E2916" s="3"/>
    </row>
    <row r="2917" s="2" customFormat="1" ht="15.75" spans="1:5">
      <c r="A2917" s="6"/>
      <c r="B2917" s="7"/>
      <c r="C2917" s="6"/>
      <c r="D2917" s="3"/>
      <c r="E2917" s="3"/>
    </row>
    <row r="2918" s="2" customFormat="1" ht="15.75" spans="1:5">
      <c r="A2918" s="6"/>
      <c r="B2918" s="7"/>
      <c r="C2918" s="6"/>
      <c r="D2918" s="3"/>
      <c r="E2918" s="3"/>
    </row>
    <row r="2919" s="2" customFormat="1" ht="15.75" spans="1:5">
      <c r="A2919" s="6"/>
      <c r="B2919" s="7"/>
      <c r="C2919" s="6"/>
      <c r="D2919" s="3"/>
      <c r="E2919" s="3"/>
    </row>
    <row r="2920" s="2" customFormat="1" ht="15.75" spans="1:5">
      <c r="A2920" s="6"/>
      <c r="B2920" s="7"/>
      <c r="C2920" s="6"/>
      <c r="D2920" s="3"/>
      <c r="E2920" s="3"/>
    </row>
    <row r="2921" s="2" customFormat="1" ht="15.75" spans="1:5">
      <c r="A2921" s="6"/>
      <c r="B2921" s="7"/>
      <c r="C2921" s="6"/>
      <c r="D2921" s="3"/>
      <c r="E2921" s="3"/>
    </row>
    <row r="2922" s="2" customFormat="1" ht="15.75" spans="1:5">
      <c r="A2922" s="6"/>
      <c r="B2922" s="7"/>
      <c r="C2922" s="6"/>
      <c r="D2922" s="3"/>
      <c r="E2922" s="3"/>
    </row>
    <row r="2923" s="2" customFormat="1" ht="15.75" spans="1:5">
      <c r="A2923" s="6"/>
      <c r="B2923" s="7"/>
      <c r="C2923" s="6"/>
      <c r="D2923" s="3"/>
      <c r="E2923" s="3"/>
    </row>
    <row r="2924" s="2" customFormat="1" ht="15.75" spans="1:5">
      <c r="A2924" s="6"/>
      <c r="B2924" s="7"/>
      <c r="C2924" s="6"/>
      <c r="D2924" s="3"/>
      <c r="E2924" s="3"/>
    </row>
    <row r="2925" s="2" customFormat="1" ht="15.75" spans="1:5">
      <c r="A2925" s="6"/>
      <c r="B2925" s="7"/>
      <c r="C2925" s="6"/>
      <c r="D2925" s="3"/>
      <c r="E2925" s="3"/>
    </row>
    <row r="2926" s="2" customFormat="1" ht="15.75" spans="1:5">
      <c r="A2926" s="6"/>
      <c r="B2926" s="7"/>
      <c r="C2926" s="6"/>
      <c r="D2926" s="3"/>
      <c r="E2926" s="3"/>
    </row>
    <row r="2927" s="2" customFormat="1" ht="15.75" spans="1:5">
      <c r="A2927" s="6"/>
      <c r="B2927" s="7"/>
      <c r="C2927" s="6"/>
      <c r="D2927" s="3"/>
      <c r="E2927" s="3"/>
    </row>
    <row r="2928" s="2" customFormat="1" ht="15.75" spans="1:5">
      <c r="A2928" s="6"/>
      <c r="B2928" s="7"/>
      <c r="C2928" s="6"/>
      <c r="D2928" s="3"/>
      <c r="E2928" s="3"/>
    </row>
    <row r="2929" s="2" customFormat="1" ht="15.75" spans="1:5">
      <c r="A2929" s="6"/>
      <c r="B2929" s="7"/>
      <c r="C2929" s="6"/>
      <c r="D2929" s="3"/>
      <c r="E2929" s="3"/>
    </row>
    <row r="2930" s="2" customFormat="1" ht="15.75" spans="1:5">
      <c r="A2930" s="6"/>
      <c r="B2930" s="7"/>
      <c r="C2930" s="6"/>
      <c r="D2930" s="3"/>
      <c r="E2930" s="3"/>
    </row>
    <row r="2931" s="2" customFormat="1" ht="15.75" spans="1:5">
      <c r="A2931" s="6"/>
      <c r="B2931" s="7"/>
      <c r="C2931" s="6"/>
      <c r="D2931" s="3"/>
      <c r="E2931" s="3"/>
    </row>
    <row r="2932" s="2" customFormat="1" ht="15.75" spans="1:5">
      <c r="A2932" s="6"/>
      <c r="B2932" s="7"/>
      <c r="C2932" s="6"/>
      <c r="D2932" s="3"/>
      <c r="E2932" s="3"/>
    </row>
    <row r="2933" s="2" customFormat="1" ht="15.75" spans="1:5">
      <c r="A2933" s="6"/>
      <c r="B2933" s="7"/>
      <c r="C2933" s="6"/>
      <c r="D2933" s="3"/>
      <c r="E2933" s="3"/>
    </row>
    <row r="2934" s="2" customFormat="1" ht="15.75" spans="1:5">
      <c r="A2934" s="6"/>
      <c r="B2934" s="7"/>
      <c r="C2934" s="6"/>
      <c r="D2934" s="3"/>
      <c r="E2934" s="3"/>
    </row>
    <row r="2935" s="2" customFormat="1" ht="15.75" spans="1:5">
      <c r="A2935" s="6"/>
      <c r="B2935" s="7"/>
      <c r="C2935" s="6"/>
      <c r="D2935" s="3"/>
      <c r="E2935" s="3"/>
    </row>
    <row r="2936" s="2" customFormat="1" ht="15.75" spans="1:5">
      <c r="A2936" s="6"/>
      <c r="B2936" s="7"/>
      <c r="C2936" s="6"/>
      <c r="D2936" s="3"/>
      <c r="E2936" s="3"/>
    </row>
    <row r="2937" s="2" customFormat="1" ht="15.75" spans="1:5">
      <c r="A2937" s="6"/>
      <c r="B2937" s="7"/>
      <c r="C2937" s="6"/>
      <c r="D2937" s="3"/>
      <c r="E2937" s="3"/>
    </row>
    <row r="2938" s="2" customFormat="1" ht="15.75" spans="1:5">
      <c r="A2938" s="6"/>
      <c r="B2938" s="7"/>
      <c r="C2938" s="6"/>
      <c r="D2938" s="3"/>
      <c r="E2938" s="3"/>
    </row>
    <row r="2939" s="2" customFormat="1" ht="15.75" spans="1:5">
      <c r="A2939" s="6"/>
      <c r="B2939" s="7"/>
      <c r="C2939" s="6"/>
      <c r="D2939" s="3"/>
      <c r="E2939" s="3"/>
    </row>
    <row r="2940" s="2" customFormat="1" ht="15.75" spans="1:5">
      <c r="A2940" s="6"/>
      <c r="B2940" s="7"/>
      <c r="C2940" s="6"/>
      <c r="D2940" s="3"/>
      <c r="E2940" s="3"/>
    </row>
    <row r="2941" s="2" customFormat="1" ht="15.75" spans="1:5">
      <c r="A2941" s="6"/>
      <c r="B2941" s="7"/>
      <c r="C2941" s="6"/>
      <c r="D2941" s="3"/>
      <c r="E2941" s="3"/>
    </row>
    <row r="2942" s="2" customFormat="1" ht="15.75" spans="1:5">
      <c r="A2942" s="6"/>
      <c r="B2942" s="7"/>
      <c r="C2942" s="6"/>
      <c r="D2942" s="3"/>
      <c r="E2942" s="3"/>
    </row>
    <row r="2943" s="2" customFormat="1" ht="15.75" spans="1:5">
      <c r="A2943" s="6"/>
      <c r="B2943" s="7"/>
      <c r="C2943" s="6"/>
      <c r="D2943" s="3"/>
      <c r="E2943" s="3"/>
    </row>
    <row r="2944" s="2" customFormat="1" ht="15.75" spans="1:5">
      <c r="A2944" s="6"/>
      <c r="B2944" s="7"/>
      <c r="C2944" s="6"/>
      <c r="D2944" s="3"/>
      <c r="E2944" s="3"/>
    </row>
    <row r="2945" s="2" customFormat="1" ht="15.75" spans="1:5">
      <c r="A2945" s="6"/>
      <c r="B2945" s="7"/>
      <c r="C2945" s="6"/>
      <c r="D2945" s="3"/>
      <c r="E2945" s="3"/>
    </row>
    <row r="2946" s="2" customFormat="1" ht="15.75" spans="1:5">
      <c r="A2946" s="6"/>
      <c r="B2946" s="7"/>
      <c r="C2946" s="6"/>
      <c r="D2946" s="3"/>
      <c r="E2946" s="3"/>
    </row>
    <row r="2947" s="2" customFormat="1" ht="15.75" spans="1:5">
      <c r="A2947" s="6"/>
      <c r="B2947" s="7"/>
      <c r="C2947" s="6"/>
      <c r="D2947" s="3"/>
      <c r="E2947" s="3"/>
    </row>
    <row r="2948" s="2" customFormat="1" ht="15.75" spans="1:5">
      <c r="A2948" s="6"/>
      <c r="B2948" s="7"/>
      <c r="C2948" s="6"/>
      <c r="D2948" s="3"/>
      <c r="E2948" s="3"/>
    </row>
    <row r="2949" s="2" customFormat="1" ht="15.75" spans="1:5">
      <c r="A2949" s="6"/>
      <c r="B2949" s="7"/>
      <c r="C2949" s="6"/>
      <c r="D2949" s="3"/>
      <c r="E2949" s="3"/>
    </row>
    <row r="2950" s="2" customFormat="1" ht="15.75" spans="1:5">
      <c r="A2950" s="6"/>
      <c r="B2950" s="7"/>
      <c r="C2950" s="6"/>
      <c r="D2950" s="3"/>
      <c r="E2950" s="3"/>
    </row>
    <row r="2951" s="2" customFormat="1" ht="15.75" spans="1:5">
      <c r="A2951" s="6"/>
      <c r="B2951" s="7"/>
      <c r="C2951" s="6"/>
      <c r="D2951" s="3"/>
      <c r="E2951" s="3"/>
    </row>
    <row r="2952" s="2" customFormat="1" ht="15.75" spans="1:5">
      <c r="A2952" s="6"/>
      <c r="B2952" s="7"/>
      <c r="C2952" s="6"/>
      <c r="D2952" s="3"/>
      <c r="E2952" s="3"/>
    </row>
    <row r="2953" s="2" customFormat="1" ht="15.75" spans="1:5">
      <c r="A2953" s="6"/>
      <c r="B2953" s="7"/>
      <c r="C2953" s="6"/>
      <c r="D2953" s="3"/>
      <c r="E2953" s="3"/>
    </row>
    <row r="2954" s="2" customFormat="1" ht="15.75" spans="1:5">
      <c r="A2954" s="6"/>
      <c r="B2954" s="7"/>
      <c r="C2954" s="6"/>
      <c r="D2954" s="3"/>
      <c r="E2954" s="3"/>
    </row>
    <row r="2955" s="2" customFormat="1" ht="15.75" spans="1:5">
      <c r="A2955" s="6"/>
      <c r="B2955" s="7"/>
      <c r="C2955" s="6"/>
      <c r="D2955" s="3"/>
      <c r="E2955" s="3"/>
    </row>
    <row r="2956" s="2" customFormat="1" ht="15.75" spans="1:5">
      <c r="A2956" s="6"/>
      <c r="B2956" s="7"/>
      <c r="C2956" s="6"/>
      <c r="D2956" s="3"/>
      <c r="E2956" s="3"/>
    </row>
    <row r="2957" s="2" customFormat="1" ht="15.75" spans="1:5">
      <c r="A2957" s="6"/>
      <c r="B2957" s="7"/>
      <c r="C2957" s="6"/>
      <c r="D2957" s="3"/>
      <c r="E2957" s="3"/>
    </row>
    <row r="2958" s="2" customFormat="1" ht="15.75" spans="1:5">
      <c r="A2958" s="6"/>
      <c r="B2958" s="7"/>
      <c r="C2958" s="6"/>
      <c r="D2958" s="3"/>
      <c r="E2958" s="3"/>
    </row>
    <row r="2959" s="2" customFormat="1" ht="15.75" spans="1:5">
      <c r="A2959" s="6"/>
      <c r="B2959" s="7"/>
      <c r="C2959" s="6"/>
      <c r="D2959" s="3"/>
      <c r="E2959" s="3"/>
    </row>
    <row r="2960" s="2" customFormat="1" ht="15.75" spans="1:5">
      <c r="A2960" s="6"/>
      <c r="B2960" s="7"/>
      <c r="C2960" s="6"/>
      <c r="D2960" s="3"/>
      <c r="E2960" s="3"/>
    </row>
    <row r="2961" s="2" customFormat="1" ht="15.75" spans="1:5">
      <c r="A2961" s="6"/>
      <c r="B2961" s="7"/>
      <c r="C2961" s="6"/>
      <c r="D2961" s="3"/>
      <c r="E2961" s="3"/>
    </row>
    <row r="2962" s="2" customFormat="1" ht="15.75" spans="1:5">
      <c r="A2962" s="6"/>
      <c r="B2962" s="7"/>
      <c r="C2962" s="6"/>
      <c r="D2962" s="3"/>
      <c r="E2962" s="3"/>
    </row>
    <row r="2963" s="2" customFormat="1" ht="15.75" spans="1:5">
      <c r="A2963" s="6"/>
      <c r="B2963" s="7"/>
      <c r="C2963" s="6"/>
      <c r="D2963" s="3"/>
      <c r="E2963" s="3"/>
    </row>
    <row r="2964" s="2" customFormat="1" ht="15.75" spans="1:5">
      <c r="A2964" s="6"/>
      <c r="B2964" s="7"/>
      <c r="C2964" s="6"/>
      <c r="D2964" s="3"/>
      <c r="E2964" s="3"/>
    </row>
    <row r="2965" s="2" customFormat="1" ht="15.75" spans="1:5">
      <c r="A2965" s="6"/>
      <c r="B2965" s="7"/>
      <c r="C2965" s="6"/>
      <c r="D2965" s="3"/>
      <c r="E2965" s="3"/>
    </row>
    <row r="2966" s="2" customFormat="1" ht="15.75" spans="1:5">
      <c r="A2966" s="6"/>
      <c r="B2966" s="7"/>
      <c r="C2966" s="6"/>
      <c r="D2966" s="3"/>
      <c r="E2966" s="3"/>
    </row>
    <row r="2967" s="2" customFormat="1" ht="15.75" spans="1:5">
      <c r="A2967" s="6"/>
      <c r="B2967" s="7"/>
      <c r="C2967" s="6"/>
      <c r="D2967" s="3"/>
      <c r="E2967" s="3"/>
    </row>
    <row r="2968" s="2" customFormat="1" ht="15.75" spans="1:5">
      <c r="A2968" s="6"/>
      <c r="B2968" s="7"/>
      <c r="C2968" s="6"/>
      <c r="D2968" s="3"/>
      <c r="E2968" s="3"/>
    </row>
    <row r="2969" s="2" customFormat="1" ht="15.75" spans="1:5">
      <c r="A2969" s="6"/>
      <c r="B2969" s="7"/>
      <c r="C2969" s="6"/>
      <c r="D2969" s="3"/>
      <c r="E2969" s="3"/>
    </row>
    <row r="2970" s="2" customFormat="1" ht="15.75" spans="1:5">
      <c r="A2970" s="6"/>
      <c r="B2970" s="7"/>
      <c r="C2970" s="6"/>
      <c r="D2970" s="3"/>
      <c r="E2970" s="3"/>
    </row>
    <row r="2971" s="2" customFormat="1" ht="15.75" spans="1:5">
      <c r="A2971" s="6"/>
      <c r="B2971" s="7"/>
      <c r="C2971" s="6"/>
      <c r="D2971" s="3"/>
      <c r="E2971" s="3"/>
    </row>
    <row r="2972" s="2" customFormat="1" ht="15.75" spans="1:5">
      <c r="A2972" s="6"/>
      <c r="B2972" s="7"/>
      <c r="C2972" s="6"/>
      <c r="D2972" s="3"/>
      <c r="E2972" s="3"/>
    </row>
    <row r="2973" s="2" customFormat="1" ht="15.75" spans="1:5">
      <c r="A2973" s="6"/>
      <c r="B2973" s="7"/>
      <c r="C2973" s="6"/>
      <c r="D2973" s="3"/>
      <c r="E2973" s="3"/>
    </row>
    <row r="2974" s="2" customFormat="1" ht="15.75" spans="1:5">
      <c r="A2974" s="6"/>
      <c r="B2974" s="7"/>
      <c r="C2974" s="6"/>
      <c r="D2974" s="3"/>
      <c r="E2974" s="3"/>
    </row>
    <row r="2975" s="2" customFormat="1" ht="15.75" spans="1:5">
      <c r="A2975" s="6"/>
      <c r="B2975" s="7"/>
      <c r="C2975" s="6"/>
      <c r="D2975" s="3"/>
      <c r="E2975" s="3"/>
    </row>
    <row r="2976" s="2" customFormat="1" ht="15.75" spans="1:5">
      <c r="A2976" s="6"/>
      <c r="B2976" s="7"/>
      <c r="C2976" s="6"/>
      <c r="D2976" s="3"/>
      <c r="E2976" s="3"/>
    </row>
    <row r="2977" s="2" customFormat="1" ht="15.75" spans="1:5">
      <c r="A2977" s="6"/>
      <c r="B2977" s="7"/>
      <c r="C2977" s="6"/>
      <c r="D2977" s="3"/>
      <c r="E2977" s="3"/>
    </row>
    <row r="2978" s="2" customFormat="1" ht="15.75" spans="1:5">
      <c r="A2978" s="6"/>
      <c r="B2978" s="7"/>
      <c r="C2978" s="6"/>
      <c r="D2978" s="3"/>
      <c r="E2978" s="3"/>
    </row>
    <row r="2979" s="2" customFormat="1" ht="15.75" spans="1:5">
      <c r="A2979" s="6"/>
      <c r="B2979" s="7"/>
      <c r="C2979" s="6"/>
      <c r="D2979" s="3"/>
      <c r="E2979" s="3"/>
    </row>
    <row r="2980" s="2" customFormat="1" ht="15.75" spans="1:5">
      <c r="A2980" s="6"/>
      <c r="B2980" s="7"/>
      <c r="C2980" s="6"/>
      <c r="D2980" s="3"/>
      <c r="E2980" s="3"/>
    </row>
    <row r="2981" s="2" customFormat="1" ht="15.75" spans="1:5">
      <c r="A2981" s="6"/>
      <c r="B2981" s="7"/>
      <c r="C2981" s="6"/>
      <c r="D2981" s="3"/>
      <c r="E2981" s="3"/>
    </row>
    <row r="2982" s="2" customFormat="1" ht="15.75" spans="1:5">
      <c r="A2982" s="6"/>
      <c r="B2982" s="7"/>
      <c r="C2982" s="6"/>
      <c r="D2982" s="3"/>
      <c r="E2982" s="3"/>
    </row>
    <row r="2983" s="2" customFormat="1" ht="15.75" spans="1:5">
      <c r="A2983" s="6"/>
      <c r="B2983" s="7"/>
      <c r="C2983" s="6"/>
      <c r="D2983" s="3"/>
      <c r="E2983" s="3"/>
    </row>
    <row r="2984" s="2" customFormat="1" ht="15.75" spans="1:5">
      <c r="A2984" s="6"/>
      <c r="B2984" s="7"/>
      <c r="C2984" s="6"/>
      <c r="D2984" s="3"/>
      <c r="E2984" s="3"/>
    </row>
    <row r="2985" s="2" customFormat="1" ht="15.75" spans="1:5">
      <c r="A2985" s="6"/>
      <c r="B2985" s="7"/>
      <c r="C2985" s="6"/>
      <c r="D2985" s="3"/>
      <c r="E2985" s="3"/>
    </row>
    <row r="2986" s="2" customFormat="1" ht="15.75" spans="1:5">
      <c r="A2986" s="6"/>
      <c r="B2986" s="7"/>
      <c r="C2986" s="6"/>
      <c r="D2986" s="3"/>
      <c r="E2986" s="3"/>
    </row>
    <row r="2987" s="2" customFormat="1" ht="15.75" spans="1:5">
      <c r="A2987" s="6"/>
      <c r="B2987" s="7"/>
      <c r="C2987" s="6"/>
      <c r="D2987" s="3"/>
      <c r="E2987" s="3"/>
    </row>
    <row r="2988" s="2" customFormat="1" ht="15.75" spans="1:5">
      <c r="A2988" s="6"/>
      <c r="B2988" s="7"/>
      <c r="C2988" s="6"/>
      <c r="D2988" s="3"/>
      <c r="E2988" s="3"/>
    </row>
    <row r="2989" s="2" customFormat="1" ht="15.75" spans="1:5">
      <c r="A2989" s="6"/>
      <c r="B2989" s="7"/>
      <c r="C2989" s="6"/>
      <c r="D2989" s="3"/>
      <c r="E2989" s="3"/>
    </row>
    <row r="2990" s="2" customFormat="1" ht="15.75" spans="1:5">
      <c r="A2990" s="6"/>
      <c r="B2990" s="7"/>
      <c r="C2990" s="6"/>
      <c r="D2990" s="3"/>
      <c r="E2990" s="3"/>
    </row>
    <row r="2991" s="2" customFormat="1" ht="15.75" spans="1:5">
      <c r="A2991" s="6"/>
      <c r="B2991" s="7"/>
      <c r="C2991" s="6"/>
      <c r="D2991" s="3"/>
      <c r="E2991" s="3"/>
    </row>
    <row r="2992" s="2" customFormat="1" ht="15.75" spans="1:5">
      <c r="A2992" s="6"/>
      <c r="B2992" s="7"/>
      <c r="C2992" s="6"/>
      <c r="D2992" s="3"/>
      <c r="E2992" s="3"/>
    </row>
    <row r="2993" s="2" customFormat="1" ht="15.75" spans="1:5">
      <c r="A2993" s="6"/>
      <c r="B2993" s="7"/>
      <c r="C2993" s="6"/>
      <c r="D2993" s="3"/>
      <c r="E2993" s="3"/>
    </row>
    <row r="2994" s="2" customFormat="1" ht="15.75" spans="1:5">
      <c r="A2994" s="6"/>
      <c r="B2994" s="7"/>
      <c r="C2994" s="6"/>
      <c r="D2994" s="3"/>
      <c r="E2994" s="3"/>
    </row>
    <row r="2995" s="2" customFormat="1" ht="15.75" spans="1:5">
      <c r="A2995" s="6"/>
      <c r="B2995" s="7"/>
      <c r="C2995" s="6"/>
      <c r="D2995" s="3"/>
      <c r="E2995" s="3"/>
    </row>
    <row r="2996" s="2" customFormat="1" ht="15.75" spans="1:5">
      <c r="A2996" s="6"/>
      <c r="B2996" s="7"/>
      <c r="C2996" s="6"/>
      <c r="D2996" s="3"/>
      <c r="E2996" s="3"/>
    </row>
    <row r="2997" s="2" customFormat="1" ht="15.75" spans="1:5">
      <c r="A2997" s="6"/>
      <c r="B2997" s="7"/>
      <c r="C2997" s="6"/>
      <c r="D2997" s="3"/>
      <c r="E2997" s="3"/>
    </row>
    <row r="2998" s="2" customFormat="1" ht="15.75" spans="1:5">
      <c r="A2998" s="6"/>
      <c r="B2998" s="7"/>
      <c r="C2998" s="6"/>
      <c r="D2998" s="3"/>
      <c r="E2998" s="3"/>
    </row>
    <row r="2999" s="2" customFormat="1" ht="15.75" spans="1:5">
      <c r="A2999" s="6"/>
      <c r="B2999" s="7"/>
      <c r="C2999" s="6"/>
      <c r="D2999" s="3"/>
      <c r="E2999" s="3"/>
    </row>
    <row r="3000" s="2" customFormat="1" ht="15.75" spans="1:5">
      <c r="A3000" s="6"/>
      <c r="B3000" s="7"/>
      <c r="C3000" s="6"/>
      <c r="D3000" s="3"/>
      <c r="E3000" s="3"/>
    </row>
    <row r="3001" s="2" customFormat="1" ht="15.75" spans="1:5">
      <c r="A3001" s="6"/>
      <c r="B3001" s="7"/>
      <c r="C3001" s="6"/>
      <c r="D3001" s="3"/>
      <c r="E3001" s="3"/>
    </row>
    <row r="3002" s="2" customFormat="1" ht="15.75" spans="1:5">
      <c r="A3002" s="6"/>
      <c r="B3002" s="7"/>
      <c r="C3002" s="6"/>
      <c r="D3002" s="3"/>
      <c r="E3002" s="3"/>
    </row>
    <row r="3003" s="2" customFormat="1" ht="15.75" spans="1:5">
      <c r="A3003" s="6"/>
      <c r="B3003" s="7"/>
      <c r="C3003" s="6"/>
      <c r="D3003" s="3"/>
      <c r="E3003" s="3"/>
    </row>
    <row r="3004" s="2" customFormat="1" ht="15.75" spans="1:5">
      <c r="A3004" s="6"/>
      <c r="B3004" s="7"/>
      <c r="C3004" s="6"/>
      <c r="D3004" s="3"/>
      <c r="E3004" s="3"/>
    </row>
    <row r="3005" s="2" customFormat="1" ht="15.75" spans="1:5">
      <c r="A3005" s="6"/>
      <c r="B3005" s="7"/>
      <c r="C3005" s="6"/>
      <c r="D3005" s="3"/>
      <c r="E3005" s="3"/>
    </row>
    <row r="3006" s="2" customFormat="1" ht="15.75" spans="1:5">
      <c r="A3006" s="6"/>
      <c r="B3006" s="7"/>
      <c r="C3006" s="6"/>
      <c r="D3006" s="3"/>
      <c r="E3006" s="3"/>
    </row>
    <row r="3007" s="2" customFormat="1" ht="15.75" spans="1:5">
      <c r="A3007" s="6"/>
      <c r="B3007" s="7"/>
      <c r="C3007" s="6"/>
      <c r="D3007" s="3"/>
      <c r="E3007" s="3"/>
    </row>
    <row r="3008" s="2" customFormat="1" ht="15.75" spans="1:5">
      <c r="A3008" s="6"/>
      <c r="B3008" s="7"/>
      <c r="C3008" s="6"/>
      <c r="D3008" s="3"/>
      <c r="E3008" s="3"/>
    </row>
    <row r="3009" s="2" customFormat="1" ht="15.75" spans="1:5">
      <c r="A3009" s="6"/>
      <c r="B3009" s="7"/>
      <c r="C3009" s="6"/>
      <c r="D3009" s="3"/>
      <c r="E3009" s="3"/>
    </row>
    <row r="3010" s="2" customFormat="1" ht="15.75" spans="1:5">
      <c r="A3010" s="6"/>
      <c r="B3010" s="7"/>
      <c r="C3010" s="6"/>
      <c r="D3010" s="3"/>
      <c r="E3010" s="3"/>
    </row>
    <row r="3011" s="2" customFormat="1" ht="15.75" spans="1:5">
      <c r="A3011" s="6"/>
      <c r="B3011" s="7"/>
      <c r="C3011" s="6"/>
      <c r="D3011" s="3"/>
      <c r="E3011" s="3"/>
    </row>
    <row r="3012" s="2" customFormat="1" ht="15.75" spans="1:5">
      <c r="A3012" s="6"/>
      <c r="B3012" s="7"/>
      <c r="C3012" s="6"/>
      <c r="D3012" s="3"/>
      <c r="E3012" s="3"/>
    </row>
    <row r="3013" s="2" customFormat="1" ht="15.75" spans="1:5">
      <c r="A3013" s="6"/>
      <c r="B3013" s="7"/>
      <c r="C3013" s="6"/>
      <c r="D3013" s="3"/>
      <c r="E3013" s="3"/>
    </row>
    <row r="3014" s="2" customFormat="1" ht="15.75" spans="1:5">
      <c r="A3014" s="6"/>
      <c r="B3014" s="7"/>
      <c r="C3014" s="6"/>
      <c r="D3014" s="3"/>
      <c r="E3014" s="3"/>
    </row>
    <row r="3015" s="2" customFormat="1" ht="15.75" spans="1:5">
      <c r="A3015" s="6"/>
      <c r="B3015" s="7"/>
      <c r="C3015" s="6"/>
      <c r="D3015" s="3"/>
      <c r="E3015" s="3"/>
    </row>
    <row r="3016" s="2" customFormat="1" ht="15.75" spans="1:5">
      <c r="A3016" s="6"/>
      <c r="B3016" s="7"/>
      <c r="C3016" s="6"/>
      <c r="D3016" s="3"/>
      <c r="E3016" s="3"/>
    </row>
    <row r="3017" s="2" customFormat="1" ht="15.75" spans="1:5">
      <c r="A3017" s="6"/>
      <c r="B3017" s="7"/>
      <c r="C3017" s="6"/>
      <c r="D3017" s="3"/>
      <c r="E3017" s="3"/>
    </row>
    <row r="3018" s="2" customFormat="1" ht="15.75" spans="1:5">
      <c r="A3018" s="6"/>
      <c r="B3018" s="7"/>
      <c r="C3018" s="6"/>
      <c r="D3018" s="3"/>
      <c r="E3018" s="3"/>
    </row>
    <row r="3019" s="2" customFormat="1" ht="15.75" spans="1:5">
      <c r="A3019" s="6"/>
      <c r="B3019" s="7"/>
      <c r="C3019" s="6"/>
      <c r="D3019" s="3"/>
      <c r="E3019" s="3"/>
    </row>
    <row r="3020" s="2" customFormat="1" ht="15.75" spans="1:5">
      <c r="A3020" s="6"/>
      <c r="B3020" s="7"/>
      <c r="C3020" s="6"/>
      <c r="D3020" s="3"/>
      <c r="E3020" s="3"/>
    </row>
    <row r="3021" s="2" customFormat="1" ht="15.75" spans="1:5">
      <c r="A3021" s="6"/>
      <c r="B3021" s="7"/>
      <c r="C3021" s="6"/>
      <c r="D3021" s="3"/>
      <c r="E3021" s="3"/>
    </row>
    <row r="3022" s="2" customFormat="1" ht="15.75" spans="1:5">
      <c r="A3022" s="6"/>
      <c r="B3022" s="7"/>
      <c r="C3022" s="6"/>
      <c r="D3022" s="3"/>
      <c r="E3022" s="3"/>
    </row>
    <row r="3023" s="2" customFormat="1" ht="15.75" spans="1:5">
      <c r="A3023" s="6"/>
      <c r="B3023" s="7"/>
      <c r="C3023" s="6"/>
      <c r="D3023" s="3"/>
      <c r="E3023" s="3"/>
    </row>
    <row r="3024" s="2" customFormat="1" ht="15.75" spans="1:5">
      <c r="A3024" s="6"/>
      <c r="B3024" s="7"/>
      <c r="C3024" s="6"/>
      <c r="D3024" s="3"/>
      <c r="E3024" s="3"/>
    </row>
    <row r="3025" s="2" customFormat="1" ht="15.75" spans="1:5">
      <c r="A3025" s="6"/>
      <c r="B3025" s="7"/>
      <c r="C3025" s="6"/>
      <c r="D3025" s="3"/>
      <c r="E3025" s="3"/>
    </row>
    <row r="3026" s="2" customFormat="1" ht="15.75" spans="1:5">
      <c r="A3026" s="6"/>
      <c r="B3026" s="7"/>
      <c r="C3026" s="6"/>
      <c r="D3026" s="3"/>
      <c r="E3026" s="3"/>
    </row>
    <row r="3027" s="2" customFormat="1" ht="15.75" spans="1:5">
      <c r="A3027" s="6"/>
      <c r="B3027" s="7"/>
      <c r="C3027" s="6"/>
      <c r="D3027" s="3"/>
      <c r="E3027" s="3"/>
    </row>
    <row r="3028" s="2" customFormat="1" ht="15.75" spans="1:5">
      <c r="A3028" s="6"/>
      <c r="B3028" s="7"/>
      <c r="C3028" s="6"/>
      <c r="D3028" s="3"/>
      <c r="E3028" s="3"/>
    </row>
    <row r="3029" s="2" customFormat="1" ht="15.75" spans="1:5">
      <c r="A3029" s="6"/>
      <c r="B3029" s="7"/>
      <c r="C3029" s="6"/>
      <c r="D3029" s="3"/>
      <c r="E3029" s="3"/>
    </row>
    <row r="3030" s="2" customFormat="1" ht="15.75" spans="1:5">
      <c r="A3030" s="6"/>
      <c r="B3030" s="7"/>
      <c r="C3030" s="6"/>
      <c r="D3030" s="3"/>
      <c r="E3030" s="3"/>
    </row>
    <row r="3031" s="2" customFormat="1" ht="15.75" spans="1:5">
      <c r="A3031" s="6"/>
      <c r="B3031" s="7"/>
      <c r="C3031" s="6"/>
      <c r="D3031" s="3"/>
      <c r="E3031" s="3"/>
    </row>
    <row r="3032" s="2" customFormat="1" ht="15.75" spans="1:5">
      <c r="A3032" s="6"/>
      <c r="B3032" s="7"/>
      <c r="C3032" s="6"/>
      <c r="D3032" s="3"/>
      <c r="E3032" s="3"/>
    </row>
    <row r="3033" s="2" customFormat="1" ht="15.75" spans="1:5">
      <c r="A3033" s="6"/>
      <c r="B3033" s="7"/>
      <c r="C3033" s="6"/>
      <c r="D3033" s="3"/>
      <c r="E3033" s="3"/>
    </row>
    <row r="3034" s="2" customFormat="1" ht="15.75" spans="1:5">
      <c r="A3034" s="6"/>
      <c r="B3034" s="7"/>
      <c r="C3034" s="6"/>
      <c r="D3034" s="3"/>
      <c r="E3034" s="3"/>
    </row>
    <row r="3035" s="2" customFormat="1" ht="15.75" spans="1:5">
      <c r="A3035" s="6"/>
      <c r="B3035" s="7"/>
      <c r="C3035" s="6"/>
      <c r="D3035" s="3"/>
      <c r="E3035" s="3"/>
    </row>
    <row r="3036" s="2" customFormat="1" ht="15.75" spans="1:5">
      <c r="A3036" s="6"/>
      <c r="B3036" s="7"/>
      <c r="C3036" s="6"/>
      <c r="D3036" s="3"/>
      <c r="E3036" s="3"/>
    </row>
    <row r="3037" s="2" customFormat="1" ht="15.75" spans="1:5">
      <c r="A3037" s="6"/>
      <c r="B3037" s="7"/>
      <c r="C3037" s="6"/>
      <c r="D3037" s="3"/>
      <c r="E3037" s="3"/>
    </row>
    <row r="3038" s="2" customFormat="1" ht="15.75" spans="1:5">
      <c r="A3038" s="6"/>
      <c r="B3038" s="7"/>
      <c r="C3038" s="6"/>
      <c r="D3038" s="3"/>
      <c r="E3038" s="3"/>
    </row>
    <row r="3039" s="2" customFormat="1" ht="15.75" spans="1:5">
      <c r="A3039" s="6"/>
      <c r="B3039" s="7"/>
      <c r="C3039" s="6"/>
      <c r="D3039" s="3"/>
      <c r="E3039" s="3"/>
    </row>
    <row r="3040" s="2" customFormat="1" ht="15.75" spans="1:5">
      <c r="A3040" s="6"/>
      <c r="B3040" s="7"/>
      <c r="C3040" s="6"/>
      <c r="D3040" s="3"/>
      <c r="E3040" s="3"/>
    </row>
    <row r="3041" s="2" customFormat="1" ht="15.75" spans="1:5">
      <c r="A3041" s="6"/>
      <c r="B3041" s="7"/>
      <c r="C3041" s="6"/>
      <c r="D3041" s="3"/>
      <c r="E3041" s="3"/>
    </row>
    <row r="3042" s="2" customFormat="1" ht="15.75" spans="1:5">
      <c r="A3042" s="6"/>
      <c r="B3042" s="7"/>
      <c r="C3042" s="6"/>
      <c r="D3042" s="3"/>
      <c r="E3042" s="3"/>
    </row>
    <row r="3043" s="2" customFormat="1" ht="15.75" spans="1:5">
      <c r="A3043" s="6"/>
      <c r="B3043" s="7"/>
      <c r="C3043" s="6"/>
      <c r="D3043" s="3"/>
      <c r="E3043" s="3"/>
    </row>
    <row r="3044" s="2" customFormat="1" ht="15.75" spans="1:5">
      <c r="A3044" s="6"/>
      <c r="B3044" s="7"/>
      <c r="C3044" s="6"/>
      <c r="D3044" s="3"/>
      <c r="E3044" s="3"/>
    </row>
    <row r="3045" s="2" customFormat="1" ht="15.75" spans="1:5">
      <c r="A3045" s="6"/>
      <c r="B3045" s="7"/>
      <c r="C3045" s="6"/>
      <c r="D3045" s="3"/>
      <c r="E3045" s="3"/>
    </row>
    <row r="3046" s="2" customFormat="1" ht="15.75" spans="1:5">
      <c r="A3046" s="6"/>
      <c r="B3046" s="7"/>
      <c r="C3046" s="6"/>
      <c r="D3046" s="3"/>
      <c r="E3046" s="3"/>
    </row>
    <row r="3047" s="2" customFormat="1" ht="15.75" spans="1:5">
      <c r="A3047" s="6"/>
      <c r="B3047" s="7"/>
      <c r="C3047" s="6"/>
      <c r="D3047" s="3"/>
      <c r="E3047" s="3"/>
    </row>
    <row r="3048" s="2" customFormat="1" ht="15.75" spans="1:5">
      <c r="A3048" s="6"/>
      <c r="B3048" s="7"/>
      <c r="C3048" s="6"/>
      <c r="D3048" s="3"/>
      <c r="E3048" s="3"/>
    </row>
    <row r="3049" s="2" customFormat="1" ht="15.75" spans="1:5">
      <c r="A3049" s="6"/>
      <c r="B3049" s="7"/>
      <c r="C3049" s="6"/>
      <c r="D3049" s="3"/>
      <c r="E3049" s="3"/>
    </row>
    <row r="3050" s="2" customFormat="1" ht="15.75" spans="1:5">
      <c r="A3050" s="6"/>
      <c r="B3050" s="7"/>
      <c r="C3050" s="6"/>
      <c r="D3050" s="3"/>
      <c r="E3050" s="3"/>
    </row>
    <row r="3051" s="2" customFormat="1" ht="15.75" spans="1:5">
      <c r="A3051" s="6"/>
      <c r="B3051" s="7"/>
      <c r="C3051" s="6"/>
      <c r="D3051" s="3"/>
      <c r="E3051" s="3"/>
    </row>
    <row r="3052" s="2" customFormat="1" ht="15.75" spans="1:5">
      <c r="A3052" s="6"/>
      <c r="B3052" s="7"/>
      <c r="C3052" s="6"/>
      <c r="D3052" s="3"/>
      <c r="E3052" s="3"/>
    </row>
    <row r="3053" s="2" customFormat="1" ht="15.75" spans="1:5">
      <c r="A3053" s="6"/>
      <c r="B3053" s="7"/>
      <c r="C3053" s="6"/>
      <c r="D3053" s="3"/>
      <c r="E3053" s="3"/>
    </row>
    <row r="3054" s="2" customFormat="1" ht="15.75" spans="1:5">
      <c r="A3054" s="6"/>
      <c r="B3054" s="7"/>
      <c r="C3054" s="6"/>
      <c r="D3054" s="3"/>
      <c r="E3054" s="3"/>
    </row>
    <row r="3055" s="2" customFormat="1" ht="15.75" spans="1:5">
      <c r="A3055" s="6"/>
      <c r="B3055" s="7"/>
      <c r="C3055" s="6"/>
      <c r="D3055" s="3"/>
      <c r="E3055" s="3"/>
    </row>
    <row r="3056" s="2" customFormat="1" ht="15.75" spans="1:5">
      <c r="A3056" s="6"/>
      <c r="B3056" s="7"/>
      <c r="C3056" s="6"/>
      <c r="D3056" s="3"/>
      <c r="E3056" s="3"/>
    </row>
    <row r="3057" s="2" customFormat="1" ht="15.75" spans="1:5">
      <c r="A3057" s="6"/>
      <c r="B3057" s="7"/>
      <c r="C3057" s="6"/>
      <c r="D3057" s="3"/>
      <c r="E3057" s="3"/>
    </row>
    <row r="3058" s="2" customFormat="1" ht="15.75" spans="1:5">
      <c r="A3058" s="6"/>
      <c r="B3058" s="7"/>
      <c r="C3058" s="6"/>
      <c r="D3058" s="3"/>
      <c r="E3058" s="3"/>
    </row>
    <row r="3059" s="2" customFormat="1" ht="15.75" spans="1:5">
      <c r="A3059" s="6"/>
      <c r="B3059" s="7"/>
      <c r="C3059" s="6"/>
      <c r="D3059" s="3"/>
      <c r="E3059" s="3"/>
    </row>
    <row r="3060" s="2" customFormat="1" ht="15.75" spans="1:5">
      <c r="A3060" s="6"/>
      <c r="B3060" s="7"/>
      <c r="C3060" s="6"/>
      <c r="D3060" s="3"/>
      <c r="E3060" s="3"/>
    </row>
    <row r="3061" s="2" customFormat="1" ht="15.75" spans="1:5">
      <c r="A3061" s="6"/>
      <c r="B3061" s="7"/>
      <c r="C3061" s="6"/>
      <c r="D3061" s="3"/>
      <c r="E3061" s="3"/>
    </row>
    <row r="3062" s="2" customFormat="1" ht="15.75" spans="1:5">
      <c r="A3062" s="6"/>
      <c r="B3062" s="7"/>
      <c r="C3062" s="6"/>
      <c r="D3062" s="3"/>
      <c r="E3062" s="3"/>
    </row>
    <row r="3063" s="2" customFormat="1" ht="15.75" spans="1:5">
      <c r="A3063" s="6"/>
      <c r="B3063" s="7"/>
      <c r="C3063" s="6"/>
      <c r="D3063" s="3"/>
      <c r="E3063" s="3"/>
    </row>
    <row r="3064" s="2" customFormat="1" ht="15.75" spans="1:5">
      <c r="A3064" s="6"/>
      <c r="B3064" s="7"/>
      <c r="C3064" s="6"/>
      <c r="D3064" s="3"/>
      <c r="E3064" s="3"/>
    </row>
    <row r="3065" s="2" customFormat="1" ht="15.75" spans="1:5">
      <c r="A3065" s="6"/>
      <c r="B3065" s="7"/>
      <c r="C3065" s="6"/>
      <c r="D3065" s="3"/>
      <c r="E3065" s="3"/>
    </row>
    <row r="3066" s="2" customFormat="1" ht="15.75" spans="1:5">
      <c r="A3066" s="6"/>
      <c r="B3066" s="7"/>
      <c r="C3066" s="6"/>
      <c r="D3066" s="3"/>
      <c r="E3066" s="3"/>
    </row>
    <row r="3067" s="2" customFormat="1" ht="15.75" spans="1:5">
      <c r="A3067" s="6"/>
      <c r="B3067" s="7"/>
      <c r="C3067" s="6"/>
      <c r="D3067" s="3"/>
      <c r="E3067" s="3"/>
    </row>
    <row r="3068" s="2" customFormat="1" ht="15.75" spans="1:5">
      <c r="A3068" s="6"/>
      <c r="B3068" s="7"/>
      <c r="C3068" s="6"/>
      <c r="D3068" s="3"/>
      <c r="E3068" s="3"/>
    </row>
    <row r="3069" s="2" customFormat="1" ht="15.75" spans="1:5">
      <c r="A3069" s="6"/>
      <c r="B3069" s="7"/>
      <c r="C3069" s="6"/>
      <c r="D3069" s="3"/>
      <c r="E3069" s="3"/>
    </row>
    <row r="3070" s="2" customFormat="1" ht="15.75" spans="1:5">
      <c r="A3070" s="6"/>
      <c r="B3070" s="7"/>
      <c r="C3070" s="6"/>
      <c r="D3070" s="3"/>
      <c r="E3070" s="3"/>
    </row>
    <row r="3071" s="2" customFormat="1" ht="15.75" spans="1:5">
      <c r="A3071" s="6"/>
      <c r="B3071" s="7"/>
      <c r="C3071" s="6"/>
      <c r="D3071" s="3"/>
      <c r="E3071" s="3"/>
    </row>
    <row r="3072" s="2" customFormat="1" ht="15.75" spans="1:5">
      <c r="A3072" s="6"/>
      <c r="B3072" s="7"/>
      <c r="C3072" s="6"/>
      <c r="D3072" s="3"/>
      <c r="E3072" s="3"/>
    </row>
    <row r="3073" s="2" customFormat="1" ht="15.75" spans="1:5">
      <c r="A3073" s="6"/>
      <c r="B3073" s="7"/>
      <c r="C3073" s="6"/>
      <c r="D3073" s="3"/>
      <c r="E3073" s="3"/>
    </row>
    <row r="3074" s="2" customFormat="1" ht="15.75" spans="1:5">
      <c r="A3074" s="6"/>
      <c r="B3074" s="7"/>
      <c r="C3074" s="6"/>
      <c r="D3074" s="3"/>
      <c r="E3074" s="3"/>
    </row>
    <row r="3075" s="2" customFormat="1" ht="15.75" spans="1:5">
      <c r="A3075" s="6"/>
      <c r="B3075" s="7"/>
      <c r="C3075" s="6"/>
      <c r="D3075" s="3"/>
      <c r="E3075" s="3"/>
    </row>
    <row r="3076" s="2" customFormat="1" ht="15.75" spans="1:5">
      <c r="A3076" s="6"/>
      <c r="B3076" s="7"/>
      <c r="C3076" s="6"/>
      <c r="D3076" s="3"/>
      <c r="E3076" s="3"/>
    </row>
    <row r="3077" s="2" customFormat="1" ht="15.75" spans="1:5">
      <c r="A3077" s="6"/>
      <c r="B3077" s="7"/>
      <c r="C3077" s="6"/>
      <c r="D3077" s="3"/>
      <c r="E3077" s="3"/>
    </row>
    <row r="3078" s="2" customFormat="1" ht="15.75" spans="1:5">
      <c r="A3078" s="6"/>
      <c r="B3078" s="7"/>
      <c r="C3078" s="6"/>
      <c r="D3078" s="3"/>
      <c r="E3078" s="3"/>
    </row>
    <row r="3079" s="2" customFormat="1" ht="15.75" spans="1:5">
      <c r="A3079" s="6"/>
      <c r="B3079" s="7"/>
      <c r="C3079" s="6"/>
      <c r="D3079" s="3"/>
      <c r="E3079" s="3"/>
    </row>
    <row r="3080" s="2" customFormat="1" ht="15.75" spans="1:5">
      <c r="A3080" s="6"/>
      <c r="B3080" s="7"/>
      <c r="C3080" s="6"/>
      <c r="D3080" s="3"/>
      <c r="E3080" s="3"/>
    </row>
    <row r="3081" s="2" customFormat="1" ht="15.75" spans="1:5">
      <c r="A3081" s="6"/>
      <c r="B3081" s="7"/>
      <c r="C3081" s="6"/>
      <c r="D3081" s="3"/>
      <c r="E3081" s="3"/>
    </row>
    <row r="3082" s="2" customFormat="1" ht="15.75" spans="1:5">
      <c r="A3082" s="6"/>
      <c r="B3082" s="7"/>
      <c r="C3082" s="6"/>
      <c r="D3082" s="3"/>
      <c r="E3082" s="3"/>
    </row>
    <row r="3083" s="2" customFormat="1" ht="15.75" spans="1:5">
      <c r="A3083" s="6"/>
      <c r="B3083" s="7"/>
      <c r="C3083" s="6"/>
      <c r="D3083" s="3"/>
      <c r="E3083" s="3"/>
    </row>
    <row r="3084" s="2" customFormat="1" ht="15.75" spans="1:5">
      <c r="A3084" s="6"/>
      <c r="B3084" s="7"/>
      <c r="C3084" s="6"/>
      <c r="D3084" s="3"/>
      <c r="E3084" s="3"/>
    </row>
    <row r="3085" s="2" customFormat="1" ht="15.75" spans="1:5">
      <c r="A3085" s="6"/>
      <c r="B3085" s="7"/>
      <c r="C3085" s="6"/>
      <c r="D3085" s="3"/>
      <c r="E3085" s="3"/>
    </row>
    <row r="3086" s="2" customFormat="1" ht="15.75" spans="1:5">
      <c r="A3086" s="6"/>
      <c r="B3086" s="7"/>
      <c r="C3086" s="6"/>
      <c r="D3086" s="3"/>
      <c r="E3086" s="3"/>
    </row>
    <row r="3087" s="2" customFormat="1" ht="15.75" spans="1:5">
      <c r="A3087" s="6"/>
      <c r="B3087" s="7"/>
      <c r="C3087" s="6"/>
      <c r="D3087" s="3"/>
      <c r="E3087" s="3"/>
    </row>
    <row r="3088" s="2" customFormat="1" ht="15.75" spans="1:5">
      <c r="A3088" s="6"/>
      <c r="B3088" s="7"/>
      <c r="C3088" s="6"/>
      <c r="D3088" s="3"/>
      <c r="E3088" s="3"/>
    </row>
    <row r="3089" s="2" customFormat="1" ht="15.75" spans="1:5">
      <c r="A3089" s="6"/>
      <c r="B3089" s="7"/>
      <c r="C3089" s="6"/>
      <c r="D3089" s="3"/>
      <c r="E3089" s="3"/>
    </row>
    <row r="3090" s="2" customFormat="1" ht="15.75" spans="1:5">
      <c r="A3090" s="6"/>
      <c r="B3090" s="7"/>
      <c r="C3090" s="6"/>
      <c r="D3090" s="3"/>
      <c r="E3090" s="3"/>
    </row>
    <row r="3091" s="2" customFormat="1" ht="15.75" spans="1:5">
      <c r="A3091" s="6"/>
      <c r="B3091" s="7"/>
      <c r="C3091" s="6"/>
      <c r="D3091" s="3"/>
      <c r="E3091" s="3"/>
    </row>
    <row r="3092" s="2" customFormat="1" ht="15.75" spans="1:5">
      <c r="A3092" s="6"/>
      <c r="B3092" s="7"/>
      <c r="C3092" s="6"/>
      <c r="D3092" s="3"/>
      <c r="E3092" s="3"/>
    </row>
    <row r="3093" s="2" customFormat="1" ht="15.75" spans="1:5">
      <c r="A3093" s="6"/>
      <c r="B3093" s="7"/>
      <c r="C3093" s="6"/>
      <c r="D3093" s="3"/>
      <c r="E3093" s="3"/>
    </row>
    <row r="3094" s="2" customFormat="1" ht="15.75" spans="1:5">
      <c r="A3094" s="6"/>
      <c r="B3094" s="7"/>
      <c r="C3094" s="6"/>
      <c r="D3094" s="3"/>
      <c r="E3094" s="3"/>
    </row>
    <row r="3095" s="2" customFormat="1" ht="15.75" spans="1:5">
      <c r="A3095" s="6"/>
      <c r="B3095" s="7"/>
      <c r="C3095" s="6"/>
      <c r="D3095" s="3"/>
      <c r="E3095" s="3"/>
    </row>
    <row r="3096" s="2" customFormat="1" ht="15.75" spans="1:5">
      <c r="A3096" s="6"/>
      <c r="B3096" s="7"/>
      <c r="C3096" s="6"/>
      <c r="D3096" s="3"/>
      <c r="E3096" s="3"/>
    </row>
    <row r="3097" s="2" customFormat="1" ht="15.75" spans="1:5">
      <c r="A3097" s="6"/>
      <c r="B3097" s="7"/>
      <c r="C3097" s="6"/>
      <c r="D3097" s="3"/>
      <c r="E3097" s="3"/>
    </row>
    <row r="3098" s="2" customFormat="1" ht="15.75" spans="1:5">
      <c r="A3098" s="6"/>
      <c r="B3098" s="7"/>
      <c r="C3098" s="6"/>
      <c r="D3098" s="3"/>
      <c r="E3098" s="3"/>
    </row>
    <row r="3099" s="2" customFormat="1" ht="15.75" spans="1:5">
      <c r="A3099" s="6"/>
      <c r="B3099" s="7"/>
      <c r="C3099" s="6"/>
      <c r="D3099" s="3"/>
      <c r="E3099" s="3"/>
    </row>
    <row r="3100" s="2" customFormat="1" ht="15.75" spans="1:5">
      <c r="A3100" s="6"/>
      <c r="B3100" s="7"/>
      <c r="C3100" s="6"/>
      <c r="D3100" s="3"/>
      <c r="E3100" s="3"/>
    </row>
    <row r="3101" s="2" customFormat="1" ht="15.75" spans="1:5">
      <c r="A3101" s="6"/>
      <c r="B3101" s="7"/>
      <c r="C3101" s="6"/>
      <c r="D3101" s="3"/>
      <c r="E3101" s="3"/>
    </row>
    <row r="3102" s="2" customFormat="1" ht="15.75" spans="1:5">
      <c r="A3102" s="6"/>
      <c r="B3102" s="7"/>
      <c r="C3102" s="6"/>
      <c r="D3102" s="3"/>
      <c r="E3102" s="3"/>
    </row>
    <row r="3103" s="2" customFormat="1" ht="15.75" spans="1:5">
      <c r="A3103" s="6"/>
      <c r="B3103" s="7"/>
      <c r="C3103" s="6"/>
      <c r="D3103" s="3"/>
      <c r="E3103" s="3"/>
    </row>
    <row r="3104" s="2" customFormat="1" ht="15.75" spans="1:5">
      <c r="A3104" s="6"/>
      <c r="B3104" s="7"/>
      <c r="C3104" s="6"/>
      <c r="D3104" s="3"/>
      <c r="E3104" s="3"/>
    </row>
    <row r="3105" s="2" customFormat="1" ht="15.75" spans="1:5">
      <c r="A3105" s="6"/>
      <c r="B3105" s="7"/>
      <c r="C3105" s="6"/>
      <c r="D3105" s="3"/>
      <c r="E3105" s="3"/>
    </row>
    <row r="3106" s="2" customFormat="1" ht="15.75" spans="1:5">
      <c r="A3106" s="6"/>
      <c r="B3106" s="7"/>
      <c r="C3106" s="6"/>
      <c r="D3106" s="3"/>
      <c r="E3106" s="3"/>
    </row>
    <row r="3107" s="2" customFormat="1" ht="15.75" spans="1:5">
      <c r="A3107" s="6"/>
      <c r="B3107" s="7"/>
      <c r="C3107" s="6"/>
      <c r="D3107" s="3"/>
      <c r="E3107" s="3"/>
    </row>
    <row r="3108" s="2" customFormat="1" ht="15.75" spans="1:5">
      <c r="A3108" s="6"/>
      <c r="B3108" s="7"/>
      <c r="C3108" s="6"/>
      <c r="D3108" s="3"/>
      <c r="E3108" s="3"/>
    </row>
    <row r="3109" s="2" customFormat="1" ht="15.75" spans="1:5">
      <c r="A3109" s="6"/>
      <c r="B3109" s="7"/>
      <c r="C3109" s="6"/>
      <c r="D3109" s="3"/>
      <c r="E3109" s="3"/>
    </row>
    <row r="3110" s="2" customFormat="1" ht="15.75" spans="1:5">
      <c r="A3110" s="6"/>
      <c r="B3110" s="7"/>
      <c r="C3110" s="6"/>
      <c r="D3110" s="3"/>
      <c r="E3110" s="3"/>
    </row>
    <row r="3111" s="2" customFormat="1" ht="15.75" spans="1:5">
      <c r="A3111" s="6"/>
      <c r="B3111" s="7"/>
      <c r="C3111" s="6"/>
      <c r="D3111" s="3"/>
      <c r="E3111" s="3"/>
    </row>
    <row r="3112" s="2" customFormat="1" ht="15.75" spans="1:5">
      <c r="A3112" s="6"/>
      <c r="B3112" s="7"/>
      <c r="C3112" s="6"/>
      <c r="D3112" s="3"/>
      <c r="E3112" s="3"/>
    </row>
    <row r="3113" s="2" customFormat="1" ht="15.75" spans="1:5">
      <c r="A3113" s="6"/>
      <c r="B3113" s="7"/>
      <c r="C3113" s="6"/>
      <c r="D3113" s="3"/>
      <c r="E3113" s="3"/>
    </row>
    <row r="3114" s="2" customFormat="1" ht="15.75" spans="1:5">
      <c r="A3114" s="6"/>
      <c r="B3114" s="7"/>
      <c r="C3114" s="6"/>
      <c r="D3114" s="3"/>
      <c r="E3114" s="3"/>
    </row>
    <row r="3115" s="2" customFormat="1" ht="15.75" spans="1:5">
      <c r="A3115" s="6"/>
      <c r="B3115" s="7"/>
      <c r="C3115" s="6"/>
      <c r="D3115" s="3"/>
      <c r="E3115" s="3"/>
    </row>
    <row r="3116" s="2" customFormat="1" ht="15.75" spans="1:5">
      <c r="A3116" s="6"/>
      <c r="B3116" s="7"/>
      <c r="C3116" s="6"/>
      <c r="D3116" s="3"/>
      <c r="E3116" s="3"/>
    </row>
    <row r="3117" s="2" customFormat="1" ht="15.75" spans="1:5">
      <c r="A3117" s="6"/>
      <c r="B3117" s="7"/>
      <c r="C3117" s="6"/>
      <c r="D3117" s="3"/>
      <c r="E3117" s="3"/>
    </row>
    <row r="3118" s="2" customFormat="1" ht="15.75" spans="1:5">
      <c r="A3118" s="6"/>
      <c r="B3118" s="7"/>
      <c r="C3118" s="6"/>
      <c r="D3118" s="3"/>
      <c r="E3118" s="3"/>
    </row>
    <row r="3119" s="2" customFormat="1" ht="15.75" spans="1:5">
      <c r="A3119" s="6"/>
      <c r="B3119" s="7"/>
      <c r="C3119" s="6"/>
      <c r="D3119" s="3"/>
      <c r="E3119" s="3"/>
    </row>
    <row r="3120" s="2" customFormat="1" ht="15.75" spans="1:5">
      <c r="A3120" s="6"/>
      <c r="B3120" s="7"/>
      <c r="C3120" s="6"/>
      <c r="D3120" s="3"/>
      <c r="E3120" s="3"/>
    </row>
    <row r="3121" s="2" customFormat="1" ht="15.75" spans="1:5">
      <c r="A3121" s="6"/>
      <c r="B3121" s="7"/>
      <c r="C3121" s="6"/>
      <c r="D3121" s="3"/>
      <c r="E3121" s="3"/>
    </row>
    <row r="3122" s="2" customFormat="1" ht="15.75" spans="1:5">
      <c r="A3122" s="6"/>
      <c r="B3122" s="7"/>
      <c r="C3122" s="6"/>
      <c r="D3122" s="3"/>
      <c r="E3122" s="3"/>
    </row>
    <row r="3123" s="2" customFormat="1" ht="15.75" spans="1:5">
      <c r="A3123" s="6"/>
      <c r="B3123" s="7"/>
      <c r="C3123" s="6"/>
      <c r="D3123" s="3"/>
      <c r="E3123" s="3"/>
    </row>
    <row r="3124" s="2" customFormat="1" ht="15.75" spans="1:5">
      <c r="A3124" s="6"/>
      <c r="B3124" s="7"/>
      <c r="C3124" s="6"/>
      <c r="D3124" s="3"/>
      <c r="E3124" s="3"/>
    </row>
    <row r="3125" s="2" customFormat="1" ht="15.75" spans="1:5">
      <c r="A3125" s="6"/>
      <c r="B3125" s="7"/>
      <c r="C3125" s="6"/>
      <c r="D3125" s="3"/>
      <c r="E3125" s="3"/>
    </row>
    <row r="3126" s="2" customFormat="1" ht="15.75" spans="1:5">
      <c r="A3126" s="6"/>
      <c r="B3126" s="7"/>
      <c r="C3126" s="6"/>
      <c r="D3126" s="3"/>
      <c r="E3126" s="3"/>
    </row>
    <row r="3127" s="2" customFormat="1" ht="15.75" spans="1:5">
      <c r="A3127" s="6"/>
      <c r="B3127" s="7"/>
      <c r="C3127" s="6"/>
      <c r="D3127" s="3"/>
      <c r="E3127" s="3"/>
    </row>
    <row r="3128" s="2" customFormat="1" ht="15.75" spans="1:5">
      <c r="A3128" s="6"/>
      <c r="B3128" s="7"/>
      <c r="C3128" s="6"/>
      <c r="D3128" s="3"/>
      <c r="E3128" s="3"/>
    </row>
    <row r="3129" s="2" customFormat="1" ht="15.75" spans="1:5">
      <c r="A3129" s="6"/>
      <c r="B3129" s="7"/>
      <c r="C3129" s="6"/>
      <c r="D3129" s="3"/>
      <c r="E3129" s="3"/>
    </row>
    <row r="3130" s="2" customFormat="1" ht="15.75" spans="1:5">
      <c r="A3130" s="6"/>
      <c r="B3130" s="7"/>
      <c r="C3130" s="6"/>
      <c r="D3130" s="3"/>
      <c r="E3130" s="3"/>
    </row>
    <row r="3131" s="2" customFormat="1" ht="15.75" spans="1:5">
      <c r="A3131" s="6"/>
      <c r="B3131" s="7"/>
      <c r="C3131" s="6"/>
      <c r="D3131" s="3"/>
      <c r="E3131" s="3"/>
    </row>
    <row r="3132" s="2" customFormat="1" ht="15.75" spans="1:5">
      <c r="A3132" s="6"/>
      <c r="B3132" s="7"/>
      <c r="C3132" s="6"/>
      <c r="D3132" s="3"/>
      <c r="E3132" s="3"/>
    </row>
    <row r="3133" s="2" customFormat="1" ht="15.75" spans="1:5">
      <c r="A3133" s="6"/>
      <c r="B3133" s="7"/>
      <c r="C3133" s="6"/>
      <c r="D3133" s="3"/>
      <c r="E3133" s="3"/>
    </row>
    <row r="3134" s="2" customFormat="1" ht="15.75" spans="1:5">
      <c r="A3134" s="6"/>
      <c r="B3134" s="7"/>
      <c r="C3134" s="6"/>
      <c r="D3134" s="3"/>
      <c r="E3134" s="3"/>
    </row>
    <row r="3135" s="2" customFormat="1" ht="15.75" spans="1:5">
      <c r="A3135" s="6"/>
      <c r="B3135" s="7"/>
      <c r="C3135" s="6"/>
      <c r="D3135" s="3"/>
      <c r="E3135" s="3"/>
    </row>
    <row r="3136" s="2" customFormat="1" ht="15.75" spans="1:5">
      <c r="A3136" s="6"/>
      <c r="B3136" s="7"/>
      <c r="C3136" s="6"/>
      <c r="D3136" s="3"/>
      <c r="E3136" s="3"/>
    </row>
    <row r="3137" s="2" customFormat="1" ht="15.75" spans="1:5">
      <c r="A3137" s="6"/>
      <c r="B3137" s="7"/>
      <c r="C3137" s="6"/>
      <c r="D3137" s="3"/>
      <c r="E3137" s="3"/>
    </row>
    <row r="3138" s="2" customFormat="1" ht="15.75" spans="1:5">
      <c r="A3138" s="6"/>
      <c r="B3138" s="7"/>
      <c r="C3138" s="6"/>
      <c r="D3138" s="3"/>
      <c r="E3138" s="3"/>
    </row>
    <row r="3139" s="2" customFormat="1" ht="15.75" spans="1:5">
      <c r="A3139" s="6"/>
      <c r="B3139" s="7"/>
      <c r="C3139" s="6"/>
      <c r="D3139" s="3"/>
      <c r="E3139" s="3"/>
    </row>
    <row r="3140" s="2" customFormat="1" ht="15.75" spans="1:5">
      <c r="A3140" s="6"/>
      <c r="B3140" s="7"/>
      <c r="C3140" s="6"/>
      <c r="D3140" s="3"/>
      <c r="E3140" s="3"/>
    </row>
    <row r="3141" s="2" customFormat="1" ht="15.75" spans="1:5">
      <c r="A3141" s="6"/>
      <c r="B3141" s="7"/>
      <c r="C3141" s="6"/>
      <c r="D3141" s="3"/>
      <c r="E3141" s="3"/>
    </row>
    <row r="3142" s="2" customFormat="1" ht="15.75" spans="1:5">
      <c r="A3142" s="6"/>
      <c r="B3142" s="7"/>
      <c r="C3142" s="6"/>
      <c r="D3142" s="3"/>
      <c r="E3142" s="3"/>
    </row>
    <row r="3143" s="2" customFormat="1" ht="15.75" spans="1:5">
      <c r="A3143" s="6"/>
      <c r="B3143" s="7"/>
      <c r="C3143" s="6"/>
      <c r="D3143" s="3"/>
      <c r="E3143" s="3"/>
    </row>
    <row r="3144" s="2" customFormat="1" ht="15.75" spans="1:5">
      <c r="A3144" s="6"/>
      <c r="B3144" s="7"/>
      <c r="C3144" s="6"/>
      <c r="D3144" s="3"/>
      <c r="E3144" s="3"/>
    </row>
    <row r="3145" s="2" customFormat="1" ht="15.75" spans="1:5">
      <c r="A3145" s="6"/>
      <c r="B3145" s="7"/>
      <c r="C3145" s="6"/>
      <c r="D3145" s="3"/>
      <c r="E3145" s="3"/>
    </row>
    <row r="3146" s="2" customFormat="1" ht="15.75" spans="1:5">
      <c r="A3146" s="6"/>
      <c r="B3146" s="7"/>
      <c r="C3146" s="6"/>
      <c r="D3146" s="3"/>
      <c r="E3146" s="3"/>
    </row>
    <row r="3147" s="2" customFormat="1" ht="15.75" spans="1:5">
      <c r="A3147" s="6"/>
      <c r="B3147" s="7"/>
      <c r="C3147" s="6"/>
      <c r="D3147" s="3"/>
      <c r="E3147" s="3"/>
    </row>
    <row r="3148" s="2" customFormat="1" ht="15.75" spans="1:5">
      <c r="A3148" s="6"/>
      <c r="B3148" s="7"/>
      <c r="C3148" s="6"/>
      <c r="D3148" s="3"/>
      <c r="E3148" s="3"/>
    </row>
    <row r="3149" s="2" customFormat="1" ht="15.75" spans="1:5">
      <c r="A3149" s="6"/>
      <c r="B3149" s="7"/>
      <c r="C3149" s="6"/>
      <c r="D3149" s="3"/>
      <c r="E3149" s="3"/>
    </row>
    <row r="3150" s="2" customFormat="1" ht="15.75" spans="1:5">
      <c r="A3150" s="6"/>
      <c r="B3150" s="7"/>
      <c r="C3150" s="6"/>
      <c r="D3150" s="3"/>
      <c r="E3150" s="3"/>
    </row>
    <row r="3151" s="2" customFormat="1" ht="15.75" spans="1:5">
      <c r="A3151" s="6"/>
      <c r="B3151" s="7"/>
      <c r="C3151" s="6"/>
      <c r="D3151" s="3"/>
      <c r="E3151" s="3"/>
    </row>
    <row r="3152" s="2" customFormat="1" ht="15.75" spans="1:5">
      <c r="A3152" s="6"/>
      <c r="B3152" s="7"/>
      <c r="C3152" s="6"/>
      <c r="D3152" s="3"/>
      <c r="E3152" s="3"/>
    </row>
    <row r="3153" s="2" customFormat="1" ht="15.75" spans="1:5">
      <c r="A3153" s="6"/>
      <c r="B3153" s="7"/>
      <c r="C3153" s="6"/>
      <c r="D3153" s="3"/>
      <c r="E3153" s="3"/>
    </row>
    <row r="3154" s="2" customFormat="1" ht="15.75" spans="1:5">
      <c r="A3154" s="6"/>
      <c r="B3154" s="7"/>
      <c r="C3154" s="6"/>
      <c r="D3154" s="3"/>
      <c r="E3154" s="3"/>
    </row>
    <row r="3155" s="2" customFormat="1" ht="15.75" spans="1:5">
      <c r="A3155" s="6"/>
      <c r="B3155" s="7"/>
      <c r="C3155" s="6"/>
      <c r="D3155" s="3"/>
      <c r="E3155" s="3"/>
    </row>
    <row r="3156" s="2" customFormat="1" ht="15.75" spans="1:5">
      <c r="A3156" s="6"/>
      <c r="B3156" s="7"/>
      <c r="C3156" s="6"/>
      <c r="D3156" s="3"/>
      <c r="E3156" s="3"/>
    </row>
    <row r="3157" s="2" customFormat="1" ht="15.75" spans="1:5">
      <c r="A3157" s="6"/>
      <c r="B3157" s="7"/>
      <c r="C3157" s="6"/>
      <c r="D3157" s="3"/>
      <c r="E3157" s="3"/>
    </row>
    <row r="3158" s="2" customFormat="1" ht="15.75" spans="1:5">
      <c r="A3158" s="6"/>
      <c r="B3158" s="7"/>
      <c r="C3158" s="6"/>
      <c r="D3158" s="3"/>
      <c r="E3158" s="3"/>
    </row>
    <row r="3159" s="2" customFormat="1" ht="15.75" spans="1:5">
      <c r="A3159" s="6"/>
      <c r="B3159" s="7"/>
      <c r="C3159" s="6"/>
      <c r="D3159" s="3"/>
      <c r="E3159" s="3"/>
    </row>
    <row r="3160" s="2" customFormat="1" ht="15.75" spans="1:5">
      <c r="A3160" s="6"/>
      <c r="B3160" s="7"/>
      <c r="C3160" s="6"/>
      <c r="D3160" s="3"/>
      <c r="E3160" s="3"/>
    </row>
    <row r="3161" s="2" customFormat="1" ht="15.75" spans="1:5">
      <c r="A3161" s="6"/>
      <c r="B3161" s="7"/>
      <c r="C3161" s="6"/>
      <c r="D3161" s="3"/>
      <c r="E3161" s="3"/>
    </row>
    <row r="3162" s="2" customFormat="1" ht="15.75" spans="1:5">
      <c r="A3162" s="6"/>
      <c r="B3162" s="7"/>
      <c r="C3162" s="6"/>
      <c r="D3162" s="3"/>
      <c r="E3162" s="3"/>
    </row>
    <row r="3163" s="2" customFormat="1" ht="15.75" spans="1:5">
      <c r="A3163" s="6"/>
      <c r="B3163" s="7"/>
      <c r="C3163" s="6"/>
      <c r="D3163" s="3"/>
      <c r="E3163" s="3"/>
    </row>
    <row r="3164" s="2" customFormat="1" ht="15.75" spans="1:5">
      <c r="A3164" s="6"/>
      <c r="B3164" s="7"/>
      <c r="C3164" s="6"/>
      <c r="D3164" s="3"/>
      <c r="E3164" s="3"/>
    </row>
    <row r="3165" s="2" customFormat="1" ht="15.75" spans="1:5">
      <c r="A3165" s="6"/>
      <c r="B3165" s="7"/>
      <c r="C3165" s="6"/>
      <c r="D3165" s="3"/>
      <c r="E3165" s="3"/>
    </row>
    <row r="3166" s="2" customFormat="1" ht="15.75" spans="1:5">
      <c r="A3166" s="6"/>
      <c r="B3166" s="7"/>
      <c r="C3166" s="6"/>
      <c r="D3166" s="3"/>
      <c r="E3166" s="3"/>
    </row>
    <row r="3167" s="2" customFormat="1" ht="15.75" spans="1:5">
      <c r="A3167" s="6"/>
      <c r="B3167" s="7"/>
      <c r="C3167" s="6"/>
      <c r="D3167" s="3"/>
      <c r="E3167" s="3"/>
    </row>
    <row r="3168" s="2" customFormat="1" ht="15.75" spans="1:5">
      <c r="A3168" s="6"/>
      <c r="B3168" s="7"/>
      <c r="C3168" s="6"/>
      <c r="D3168" s="3"/>
      <c r="E3168" s="3"/>
    </row>
    <row r="3169" s="2" customFormat="1" ht="15.75" spans="1:5">
      <c r="A3169" s="6"/>
      <c r="B3169" s="7"/>
      <c r="C3169" s="6"/>
      <c r="D3169" s="3"/>
      <c r="E3169" s="3"/>
    </row>
    <row r="3170" s="2" customFormat="1" ht="15.75" spans="1:5">
      <c r="A3170" s="6"/>
      <c r="B3170" s="7"/>
      <c r="C3170" s="6"/>
      <c r="D3170" s="3"/>
      <c r="E3170" s="3"/>
    </row>
    <row r="3171" s="2" customFormat="1" ht="15.75" spans="1:5">
      <c r="A3171" s="6"/>
      <c r="B3171" s="7"/>
      <c r="C3171" s="6"/>
      <c r="D3171" s="3"/>
      <c r="E3171" s="3"/>
    </row>
    <row r="3172" s="2" customFormat="1" ht="15.75" spans="1:5">
      <c r="A3172" s="6"/>
      <c r="B3172" s="7"/>
      <c r="C3172" s="6"/>
      <c r="D3172" s="3"/>
      <c r="E3172" s="3"/>
    </row>
    <row r="3173" s="2" customFormat="1" ht="15.75" spans="1:5">
      <c r="A3173" s="6"/>
      <c r="B3173" s="7"/>
      <c r="C3173" s="6"/>
      <c r="D3173" s="3"/>
      <c r="E3173" s="3"/>
    </row>
    <row r="3174" s="2" customFormat="1" ht="15.75" spans="1:5">
      <c r="A3174" s="6"/>
      <c r="B3174" s="7"/>
      <c r="C3174" s="6"/>
      <c r="D3174" s="3"/>
      <c r="E3174" s="3"/>
    </row>
    <row r="3175" s="2" customFormat="1" ht="15.75" spans="1:5">
      <c r="A3175" s="6"/>
      <c r="B3175" s="7"/>
      <c r="C3175" s="6"/>
      <c r="D3175" s="3"/>
      <c r="E3175" s="3"/>
    </row>
    <row r="3176" s="2" customFormat="1" ht="15.75" spans="1:5">
      <c r="A3176" s="6"/>
      <c r="B3176" s="7"/>
      <c r="C3176" s="6"/>
      <c r="D3176" s="3"/>
      <c r="E3176" s="3"/>
    </row>
    <row r="3177" s="2" customFormat="1" ht="15.75" spans="1:5">
      <c r="A3177" s="6"/>
      <c r="B3177" s="7"/>
      <c r="C3177" s="6"/>
      <c r="D3177" s="3"/>
      <c r="E3177" s="3"/>
    </row>
    <row r="3178" s="2" customFormat="1" ht="15.75" spans="1:5">
      <c r="A3178" s="6"/>
      <c r="B3178" s="7"/>
      <c r="C3178" s="6"/>
      <c r="D3178" s="3"/>
      <c r="E3178" s="3"/>
    </row>
    <row r="3179" s="2" customFormat="1" ht="15.75" spans="1:5">
      <c r="A3179" s="6"/>
      <c r="B3179" s="7"/>
      <c r="C3179" s="6"/>
      <c r="D3179" s="3"/>
      <c r="E3179" s="3"/>
    </row>
    <row r="3180" s="2" customFormat="1" ht="15.75" spans="1:5">
      <c r="A3180" s="6"/>
      <c r="B3180" s="7"/>
      <c r="C3180" s="6"/>
      <c r="D3180" s="3"/>
      <c r="E3180" s="3"/>
    </row>
    <row r="3181" s="2" customFormat="1" ht="15.75" spans="1:5">
      <c r="A3181" s="6"/>
      <c r="B3181" s="7"/>
      <c r="C3181" s="6"/>
      <c r="D3181" s="3"/>
      <c r="E3181" s="3"/>
    </row>
    <row r="3182" s="2" customFormat="1" ht="15.75" spans="1:5">
      <c r="A3182" s="6"/>
      <c r="B3182" s="7"/>
      <c r="C3182" s="6"/>
      <c r="D3182" s="3"/>
      <c r="E3182" s="3"/>
    </row>
    <row r="3183" s="2" customFormat="1" ht="15.75" spans="1:5">
      <c r="A3183" s="6"/>
      <c r="B3183" s="7"/>
      <c r="C3183" s="6"/>
      <c r="D3183" s="3"/>
      <c r="E3183" s="3"/>
    </row>
    <row r="3184" s="2" customFormat="1" ht="15.75" spans="1:5">
      <c r="A3184" s="6"/>
      <c r="B3184" s="7"/>
      <c r="C3184" s="6"/>
      <c r="D3184" s="3"/>
      <c r="E3184" s="3"/>
    </row>
    <row r="3185" s="2" customFormat="1" ht="15.75" spans="1:5">
      <c r="A3185" s="6"/>
      <c r="B3185" s="7"/>
      <c r="C3185" s="6"/>
      <c r="D3185" s="3"/>
      <c r="E3185" s="3"/>
    </row>
    <row r="3186" s="2" customFormat="1" ht="15.75" spans="1:5">
      <c r="A3186" s="6"/>
      <c r="B3186" s="7"/>
      <c r="C3186" s="6"/>
      <c r="D3186" s="3"/>
      <c r="E3186" s="3"/>
    </row>
    <row r="3187" s="2" customFormat="1" ht="15.75" spans="1:5">
      <c r="A3187" s="6"/>
      <c r="B3187" s="7"/>
      <c r="C3187" s="6"/>
      <c r="D3187" s="3"/>
      <c r="E3187" s="3"/>
    </row>
    <row r="3188" s="2" customFormat="1" ht="15.75" spans="1:5">
      <c r="A3188" s="6"/>
      <c r="B3188" s="7"/>
      <c r="C3188" s="6"/>
      <c r="D3188" s="3"/>
      <c r="E3188" s="3"/>
    </row>
    <row r="3189" s="2" customFormat="1" ht="15.75" spans="1:5">
      <c r="A3189" s="6"/>
      <c r="B3189" s="7"/>
      <c r="C3189" s="6"/>
      <c r="D3189" s="3"/>
      <c r="E3189" s="3"/>
    </row>
    <row r="3190" s="2" customFormat="1" ht="15.75" spans="1:5">
      <c r="A3190" s="6"/>
      <c r="B3190" s="7"/>
      <c r="C3190" s="6"/>
      <c r="D3190" s="3"/>
      <c r="E3190" s="3"/>
    </row>
    <row r="3191" s="2" customFormat="1" ht="15.75" spans="1:5">
      <c r="A3191" s="6"/>
      <c r="B3191" s="7"/>
      <c r="C3191" s="6"/>
      <c r="D3191" s="3"/>
      <c r="E3191" s="3"/>
    </row>
    <row r="3192" s="2" customFormat="1" ht="15.75" spans="1:5">
      <c r="A3192" s="6"/>
      <c r="B3192" s="7"/>
      <c r="C3192" s="6"/>
      <c r="D3192" s="3"/>
      <c r="E3192" s="3"/>
    </row>
    <row r="3193" s="2" customFormat="1" ht="15.75" spans="1:5">
      <c r="A3193" s="6"/>
      <c r="B3193" s="7"/>
      <c r="C3193" s="6"/>
      <c r="D3193" s="3"/>
      <c r="E3193" s="3"/>
    </row>
    <row r="3194" s="2" customFormat="1" ht="15.75" spans="1:5">
      <c r="A3194" s="6"/>
      <c r="B3194" s="7"/>
      <c r="C3194" s="6"/>
      <c r="D3194" s="3"/>
      <c r="E3194" s="3"/>
    </row>
    <row r="3195" s="2" customFormat="1" ht="15.75" spans="1:5">
      <c r="A3195" s="6"/>
      <c r="B3195" s="7"/>
      <c r="C3195" s="6"/>
      <c r="D3195" s="3"/>
      <c r="E3195" s="3"/>
    </row>
    <row r="3196" s="2" customFormat="1" ht="15.75" spans="1:5">
      <c r="A3196" s="6"/>
      <c r="B3196" s="7"/>
      <c r="C3196" s="6"/>
      <c r="D3196" s="3"/>
      <c r="E3196" s="3"/>
    </row>
    <row r="3197" s="2" customFormat="1" ht="15.75" spans="1:5">
      <c r="A3197" s="6"/>
      <c r="B3197" s="7"/>
      <c r="C3197" s="6"/>
      <c r="D3197" s="3"/>
      <c r="E3197" s="3"/>
    </row>
    <row r="3198" s="2" customFormat="1" ht="15.75" spans="1:5">
      <c r="A3198" s="6"/>
      <c r="B3198" s="7"/>
      <c r="C3198" s="6"/>
      <c r="D3198" s="3"/>
      <c r="E3198" s="3"/>
    </row>
    <row r="3199" s="2" customFormat="1" ht="15.75" spans="1:5">
      <c r="A3199" s="6"/>
      <c r="B3199" s="7"/>
      <c r="C3199" s="6"/>
      <c r="D3199" s="3"/>
      <c r="E3199" s="3"/>
    </row>
    <row r="3200" s="2" customFormat="1" ht="15.75" spans="1:5">
      <c r="A3200" s="6"/>
      <c r="B3200" s="7"/>
      <c r="C3200" s="6"/>
      <c r="D3200" s="3"/>
      <c r="E3200" s="3"/>
    </row>
    <row r="3201" s="2" customFormat="1" ht="15.75" spans="1:5">
      <c r="A3201" s="6"/>
      <c r="B3201" s="7"/>
      <c r="C3201" s="6"/>
      <c r="D3201" s="3"/>
      <c r="E3201" s="3"/>
    </row>
    <row r="3202" s="2" customFormat="1" ht="15.75" spans="1:5">
      <c r="A3202" s="6"/>
      <c r="B3202" s="7"/>
      <c r="C3202" s="6"/>
      <c r="D3202" s="3"/>
      <c r="E3202" s="3"/>
    </row>
    <row r="3203" s="2" customFormat="1" ht="15.75" spans="1:5">
      <c r="A3203" s="6"/>
      <c r="B3203" s="7"/>
      <c r="C3203" s="6"/>
      <c r="D3203" s="3"/>
      <c r="E3203" s="3"/>
    </row>
    <row r="3204" s="2" customFormat="1" ht="15.75" spans="1:5">
      <c r="A3204" s="6"/>
      <c r="B3204" s="7"/>
      <c r="C3204" s="6"/>
      <c r="D3204" s="3"/>
      <c r="E3204" s="3"/>
    </row>
    <row r="3205" s="2" customFormat="1" ht="15.75" spans="1:5">
      <c r="A3205" s="6"/>
      <c r="B3205" s="7"/>
      <c r="C3205" s="6"/>
      <c r="D3205" s="3"/>
      <c r="E3205" s="3"/>
    </row>
    <row r="3206" s="2" customFormat="1" ht="15.75" spans="1:5">
      <c r="A3206" s="6"/>
      <c r="B3206" s="7"/>
      <c r="C3206" s="6"/>
      <c r="D3206" s="3"/>
      <c r="E3206" s="3"/>
    </row>
    <row r="3207" s="2" customFormat="1" ht="15.75" spans="1:5">
      <c r="A3207" s="6"/>
      <c r="B3207" s="7"/>
      <c r="C3207" s="6"/>
      <c r="D3207" s="3"/>
      <c r="E3207" s="3"/>
    </row>
    <row r="3208" s="2" customFormat="1" ht="15.75" spans="1:5">
      <c r="A3208" s="6"/>
      <c r="B3208" s="7"/>
      <c r="C3208" s="6"/>
      <c r="D3208" s="3"/>
      <c r="E3208" s="3"/>
    </row>
    <row r="3209" s="2" customFormat="1" ht="15.75" spans="1:5">
      <c r="A3209" s="6"/>
      <c r="B3209" s="7"/>
      <c r="C3209" s="6"/>
      <c r="D3209" s="3"/>
      <c r="E3209" s="3"/>
    </row>
    <row r="3210" s="2" customFormat="1" ht="15.75" spans="1:5">
      <c r="A3210" s="6"/>
      <c r="B3210" s="7"/>
      <c r="C3210" s="6"/>
      <c r="D3210" s="3"/>
      <c r="E3210" s="3"/>
    </row>
    <row r="3211" s="2" customFormat="1" ht="15.75" spans="1:5">
      <c r="A3211" s="6"/>
      <c r="B3211" s="7"/>
      <c r="C3211" s="6"/>
      <c r="D3211" s="3"/>
      <c r="E3211" s="3"/>
    </row>
    <row r="3212" s="2" customFormat="1" ht="15.75" spans="1:5">
      <c r="A3212" s="6"/>
      <c r="B3212" s="7"/>
      <c r="C3212" s="6"/>
      <c r="D3212" s="3"/>
      <c r="E3212" s="3"/>
    </row>
    <row r="3213" s="2" customFormat="1" ht="15.75" spans="1:5">
      <c r="A3213" s="6"/>
      <c r="B3213" s="7"/>
      <c r="C3213" s="6"/>
      <c r="D3213" s="3"/>
      <c r="E3213" s="3"/>
    </row>
    <row r="3214" s="2" customFormat="1" ht="15.75" spans="1:5">
      <c r="A3214" s="6"/>
      <c r="B3214" s="7"/>
      <c r="C3214" s="6"/>
      <c r="D3214" s="3"/>
      <c r="E3214" s="3"/>
    </row>
    <row r="3215" s="2" customFormat="1" ht="15.75" spans="1:5">
      <c r="A3215" s="6"/>
      <c r="B3215" s="7"/>
      <c r="C3215" s="6"/>
      <c r="D3215" s="3"/>
      <c r="E3215" s="3"/>
    </row>
    <row r="3216" s="2" customFormat="1" ht="15.75" spans="1:5">
      <c r="A3216" s="6"/>
      <c r="B3216" s="7"/>
      <c r="C3216" s="6"/>
      <c r="D3216" s="3"/>
      <c r="E3216" s="3"/>
    </row>
    <row r="3217" s="2" customFormat="1" ht="15.75" spans="1:5">
      <c r="A3217" s="6"/>
      <c r="B3217" s="7"/>
      <c r="C3217" s="6"/>
      <c r="D3217" s="3"/>
      <c r="E3217" s="3"/>
    </row>
    <row r="3218" s="2" customFormat="1" ht="15.75" spans="1:5">
      <c r="A3218" s="6"/>
      <c r="B3218" s="7"/>
      <c r="C3218" s="6"/>
      <c r="D3218" s="3"/>
      <c r="E3218" s="3"/>
    </row>
    <row r="3219" s="2" customFormat="1" ht="15.75" spans="1:5">
      <c r="A3219" s="6"/>
      <c r="B3219" s="7"/>
      <c r="C3219" s="6"/>
      <c r="D3219" s="3"/>
      <c r="E3219" s="3"/>
    </row>
    <row r="3220" s="2" customFormat="1" ht="15.75" spans="1:5">
      <c r="A3220" s="6"/>
      <c r="B3220" s="7"/>
      <c r="C3220" s="6"/>
      <c r="D3220" s="3"/>
      <c r="E3220" s="3"/>
    </row>
    <row r="3221" s="2" customFormat="1" ht="15.75" spans="1:5">
      <c r="A3221" s="6"/>
      <c r="B3221" s="7"/>
      <c r="C3221" s="6"/>
      <c r="D3221" s="3"/>
      <c r="E3221" s="3"/>
    </row>
    <row r="3222" s="2" customFormat="1" ht="15.75" spans="1:5">
      <c r="A3222" s="6"/>
      <c r="B3222" s="7"/>
      <c r="C3222" s="6"/>
      <c r="D3222" s="3"/>
      <c r="E3222" s="3"/>
    </row>
    <row r="3223" s="2" customFormat="1" ht="15.75" spans="1:5">
      <c r="A3223" s="6"/>
      <c r="B3223" s="7"/>
      <c r="C3223" s="6"/>
      <c r="D3223" s="3"/>
      <c r="E3223" s="3"/>
    </row>
    <row r="3224" s="2" customFormat="1" ht="15.75" spans="1:5">
      <c r="A3224" s="6"/>
      <c r="B3224" s="7"/>
      <c r="C3224" s="6"/>
      <c r="D3224" s="3"/>
      <c r="E3224" s="3"/>
    </row>
    <row r="3225" s="2" customFormat="1" ht="15.75" spans="1:5">
      <c r="A3225" s="6"/>
      <c r="B3225" s="7"/>
      <c r="C3225" s="6"/>
      <c r="D3225" s="3"/>
      <c r="E3225" s="3"/>
    </row>
    <row r="3226" s="2" customFormat="1" ht="15.75" spans="1:5">
      <c r="A3226" s="6"/>
      <c r="B3226" s="7"/>
      <c r="C3226" s="6"/>
      <c r="D3226" s="3"/>
      <c r="E3226" s="3"/>
    </row>
    <row r="3227" s="2" customFormat="1" ht="15.75" spans="1:5">
      <c r="A3227" s="6"/>
      <c r="B3227" s="7"/>
      <c r="C3227" s="6"/>
      <c r="D3227" s="3"/>
      <c r="E3227" s="3"/>
    </row>
    <row r="3228" s="2" customFormat="1" ht="15.75" spans="1:5">
      <c r="A3228" s="6"/>
      <c r="B3228" s="7"/>
      <c r="C3228" s="6"/>
      <c r="D3228" s="3"/>
      <c r="E3228" s="3"/>
    </row>
    <row r="3229" s="2" customFormat="1" ht="15.75" spans="1:5">
      <c r="A3229" s="6"/>
      <c r="B3229" s="7"/>
      <c r="C3229" s="6"/>
      <c r="D3229" s="3"/>
      <c r="E3229" s="3"/>
    </row>
    <row r="3230" s="2" customFormat="1" ht="15.75" spans="1:5">
      <c r="A3230" s="6"/>
      <c r="B3230" s="7"/>
      <c r="C3230" s="6"/>
      <c r="D3230" s="3"/>
      <c r="E3230" s="3"/>
    </row>
    <row r="3231" s="2" customFormat="1" ht="15.75" spans="1:5">
      <c r="A3231" s="6"/>
      <c r="B3231" s="7"/>
      <c r="C3231" s="6"/>
      <c r="D3231" s="3"/>
      <c r="E3231" s="3"/>
    </row>
    <row r="3232" s="2" customFormat="1" ht="15.75" spans="1:5">
      <c r="A3232" s="6"/>
      <c r="B3232" s="7"/>
      <c r="C3232" s="6"/>
      <c r="D3232" s="3"/>
      <c r="E3232" s="3"/>
    </row>
    <row r="3233" s="2" customFormat="1" ht="15.75" spans="1:5">
      <c r="A3233" s="6"/>
      <c r="B3233" s="7"/>
      <c r="C3233" s="6"/>
      <c r="D3233" s="3"/>
      <c r="E3233" s="3"/>
    </row>
    <row r="3234" s="2" customFormat="1" ht="15.75" spans="1:5">
      <c r="A3234" s="6"/>
      <c r="B3234" s="7"/>
      <c r="C3234" s="6"/>
      <c r="D3234" s="3"/>
      <c r="E3234" s="3"/>
    </row>
    <row r="3235" s="2" customFormat="1" ht="15.75" spans="1:5">
      <c r="A3235" s="6"/>
      <c r="B3235" s="7"/>
      <c r="C3235" s="6"/>
      <c r="D3235" s="3"/>
      <c r="E3235" s="3"/>
    </row>
    <row r="3236" s="2" customFormat="1" ht="15.75" spans="1:5">
      <c r="A3236" s="6"/>
      <c r="B3236" s="7"/>
      <c r="C3236" s="6"/>
      <c r="D3236" s="3"/>
      <c r="E3236" s="3"/>
    </row>
    <row r="3237" s="2" customFormat="1" ht="15.75" spans="1:5">
      <c r="A3237" s="6"/>
      <c r="B3237" s="7"/>
      <c r="C3237" s="6"/>
      <c r="D3237" s="3"/>
      <c r="E3237" s="3"/>
    </row>
    <row r="3238" s="2" customFormat="1" ht="15.75" spans="1:5">
      <c r="A3238" s="6"/>
      <c r="B3238" s="7"/>
      <c r="C3238" s="6"/>
      <c r="D3238" s="3"/>
      <c r="E3238" s="3"/>
    </row>
    <row r="3239" s="2" customFormat="1" ht="15.75" spans="1:5">
      <c r="A3239" s="6"/>
      <c r="B3239" s="7"/>
      <c r="C3239" s="6"/>
      <c r="D3239" s="3"/>
      <c r="E3239" s="3"/>
    </row>
    <row r="3240" s="2" customFormat="1" ht="15.75" spans="1:5">
      <c r="A3240" s="6"/>
      <c r="B3240" s="7"/>
      <c r="C3240" s="6"/>
      <c r="D3240" s="3"/>
      <c r="E3240" s="3"/>
    </row>
    <row r="3241" s="2" customFormat="1" ht="15.75" spans="1:5">
      <c r="A3241" s="6"/>
      <c r="B3241" s="7"/>
      <c r="C3241" s="6"/>
      <c r="D3241" s="3"/>
      <c r="E3241" s="3"/>
    </row>
    <row r="3242" s="2" customFormat="1" ht="15.75" spans="1:5">
      <c r="A3242" s="6"/>
      <c r="B3242" s="7"/>
      <c r="C3242" s="6"/>
      <c r="D3242" s="3"/>
      <c r="E3242" s="3"/>
    </row>
    <row r="3243" s="2" customFormat="1" ht="15.75" spans="1:5">
      <c r="A3243" s="6"/>
      <c r="B3243" s="7"/>
      <c r="C3243" s="6"/>
      <c r="D3243" s="3"/>
      <c r="E3243" s="3"/>
    </row>
    <row r="3244" s="2" customFormat="1" ht="15.75" spans="1:5">
      <c r="A3244" s="6"/>
      <c r="B3244" s="7"/>
      <c r="C3244" s="6"/>
      <c r="D3244" s="3"/>
      <c r="E3244" s="3"/>
    </row>
    <row r="3245" s="2" customFormat="1" ht="15.75" spans="1:5">
      <c r="A3245" s="6"/>
      <c r="B3245" s="7"/>
      <c r="C3245" s="6"/>
      <c r="D3245" s="3"/>
      <c r="E3245" s="3"/>
    </row>
    <row r="3246" s="2" customFormat="1" ht="15.75" spans="1:5">
      <c r="A3246" s="6"/>
      <c r="B3246" s="7"/>
      <c r="C3246" s="6"/>
      <c r="D3246" s="3"/>
      <c r="E3246" s="3"/>
    </row>
    <row r="3247" s="2" customFormat="1" ht="15.75" spans="1:5">
      <c r="A3247" s="6"/>
      <c r="B3247" s="7"/>
      <c r="C3247" s="6"/>
      <c r="D3247" s="3"/>
      <c r="E3247" s="3"/>
    </row>
    <row r="3248" s="2" customFormat="1" ht="15.75" spans="1:5">
      <c r="A3248" s="6"/>
      <c r="B3248" s="7"/>
      <c r="C3248" s="6"/>
      <c r="D3248" s="3"/>
      <c r="E3248" s="3"/>
    </row>
    <row r="3249" s="2" customFormat="1" ht="15.75" spans="1:5">
      <c r="A3249" s="6"/>
      <c r="B3249" s="7"/>
      <c r="C3249" s="6"/>
      <c r="D3249" s="3"/>
      <c r="E3249" s="3"/>
    </row>
    <row r="3250" s="2" customFormat="1" ht="15.75" spans="1:5">
      <c r="A3250" s="6"/>
      <c r="B3250" s="7"/>
      <c r="C3250" s="6"/>
      <c r="D3250" s="3"/>
      <c r="E3250" s="3"/>
    </row>
    <row r="3251" s="2" customFormat="1" ht="15.75" spans="1:5">
      <c r="A3251" s="6"/>
      <c r="B3251" s="7"/>
      <c r="C3251" s="6"/>
      <c r="D3251" s="3"/>
      <c r="E3251" s="3"/>
    </row>
    <row r="3252" s="2" customFormat="1" ht="15.75" spans="1:5">
      <c r="A3252" s="6"/>
      <c r="B3252" s="7"/>
      <c r="C3252" s="6"/>
      <c r="D3252" s="3"/>
      <c r="E3252" s="3"/>
    </row>
    <row r="3253" s="2" customFormat="1" ht="15.75" spans="1:5">
      <c r="A3253" s="6"/>
      <c r="B3253" s="7"/>
      <c r="C3253" s="6"/>
      <c r="D3253" s="3"/>
      <c r="E3253" s="3"/>
    </row>
    <row r="3254" s="2" customFormat="1" ht="15.75" spans="1:5">
      <c r="A3254" s="6"/>
      <c r="B3254" s="7"/>
      <c r="C3254" s="6"/>
      <c r="D3254" s="3"/>
      <c r="E3254" s="3"/>
    </row>
    <row r="3255" s="2" customFormat="1" ht="15.75" spans="1:5">
      <c r="A3255" s="6"/>
      <c r="B3255" s="7"/>
      <c r="C3255" s="6"/>
      <c r="D3255" s="3"/>
      <c r="E3255" s="3"/>
    </row>
    <row r="3256" s="2" customFormat="1" ht="15.75" spans="1:5">
      <c r="A3256" s="6"/>
      <c r="B3256" s="7"/>
      <c r="C3256" s="6"/>
      <c r="D3256" s="3"/>
      <c r="E3256" s="3"/>
    </row>
    <row r="3257" s="2" customFormat="1" ht="15.75" spans="1:5">
      <c r="A3257" s="6"/>
      <c r="B3257" s="7"/>
      <c r="C3257" s="6"/>
      <c r="D3257" s="3"/>
      <c r="E3257" s="3"/>
    </row>
    <row r="3258" s="2" customFormat="1" ht="15.75" spans="1:5">
      <c r="A3258" s="6"/>
      <c r="B3258" s="7"/>
      <c r="C3258" s="6"/>
      <c r="D3258" s="3"/>
      <c r="E3258" s="3"/>
    </row>
    <row r="3259" s="2" customFormat="1" ht="15.75" spans="1:5">
      <c r="A3259" s="6"/>
      <c r="B3259" s="7"/>
      <c r="C3259" s="6"/>
      <c r="D3259" s="3"/>
      <c r="E3259" s="3"/>
    </row>
    <row r="3260" s="2" customFormat="1" ht="15.75" spans="1:5">
      <c r="A3260" s="6"/>
      <c r="B3260" s="7"/>
      <c r="C3260" s="6"/>
      <c r="D3260" s="3"/>
      <c r="E3260" s="3"/>
    </row>
    <row r="3261" s="2" customFormat="1" ht="15.75" spans="1:5">
      <c r="A3261" s="6"/>
      <c r="B3261" s="7"/>
      <c r="C3261" s="6"/>
      <c r="D3261" s="3"/>
      <c r="E3261" s="3"/>
    </row>
    <row r="3262" s="2" customFormat="1" ht="15.75" spans="1:5">
      <c r="A3262" s="6"/>
      <c r="B3262" s="7"/>
      <c r="C3262" s="6"/>
      <c r="D3262" s="3"/>
      <c r="E3262" s="3"/>
    </row>
    <row r="3263" s="2" customFormat="1" ht="15.75" spans="1:5">
      <c r="A3263" s="6"/>
      <c r="B3263" s="7"/>
      <c r="C3263" s="6"/>
      <c r="D3263" s="3"/>
      <c r="E3263" s="3"/>
    </row>
    <row r="3264" s="2" customFormat="1" ht="15.75" spans="1:5">
      <c r="A3264" s="6"/>
      <c r="B3264" s="7"/>
      <c r="C3264" s="6"/>
      <c r="D3264" s="3"/>
      <c r="E3264" s="3"/>
    </row>
    <row r="3265" s="2" customFormat="1" ht="15.75" spans="1:5">
      <c r="A3265" s="6"/>
      <c r="B3265" s="7"/>
      <c r="C3265" s="6"/>
      <c r="D3265" s="3"/>
      <c r="E3265" s="3"/>
    </row>
    <row r="3266" s="2" customFormat="1" ht="15.75" spans="1:5">
      <c r="A3266" s="6"/>
      <c r="B3266" s="7"/>
      <c r="C3266" s="6"/>
      <c r="D3266" s="3"/>
      <c r="E3266" s="3"/>
    </row>
    <row r="3267" s="2" customFormat="1" ht="15.75" spans="1:5">
      <c r="A3267" s="6"/>
      <c r="B3267" s="7"/>
      <c r="C3267" s="6"/>
      <c r="D3267" s="3"/>
      <c r="E3267" s="3"/>
    </row>
    <row r="3268" s="2" customFormat="1" ht="15.75" spans="1:5">
      <c r="A3268" s="6"/>
      <c r="B3268" s="7"/>
      <c r="C3268" s="6"/>
      <c r="D3268" s="3"/>
      <c r="E3268" s="3"/>
    </row>
    <row r="3269" s="2" customFormat="1" ht="15.75" spans="1:5">
      <c r="A3269" s="6"/>
      <c r="B3269" s="7"/>
      <c r="C3269" s="6"/>
      <c r="D3269" s="3"/>
      <c r="E3269" s="3"/>
    </row>
    <row r="3270" s="2" customFormat="1" ht="15.75" spans="1:5">
      <c r="A3270" s="6"/>
      <c r="B3270" s="7"/>
      <c r="C3270" s="6"/>
      <c r="D3270" s="3"/>
      <c r="E3270" s="3"/>
    </row>
    <row r="3271" s="2" customFormat="1" ht="15.75" spans="1:5">
      <c r="A3271" s="6"/>
      <c r="B3271" s="7"/>
      <c r="C3271" s="6"/>
      <c r="D3271" s="3"/>
      <c r="E3271" s="3"/>
    </row>
    <row r="3272" s="2" customFormat="1" ht="15.75" spans="1:5">
      <c r="A3272" s="6"/>
      <c r="B3272" s="7"/>
      <c r="C3272" s="6"/>
      <c r="D3272" s="3"/>
      <c r="E3272" s="3"/>
    </row>
    <row r="3273" s="2" customFormat="1" ht="15.75" spans="1:5">
      <c r="A3273" s="6"/>
      <c r="B3273" s="7"/>
      <c r="C3273" s="6"/>
      <c r="D3273" s="3"/>
      <c r="E3273" s="3"/>
    </row>
    <row r="3274" s="2" customFormat="1" ht="15.75" spans="1:5">
      <c r="A3274" s="6"/>
      <c r="B3274" s="7"/>
      <c r="C3274" s="6"/>
      <c r="D3274" s="3"/>
      <c r="E3274" s="3"/>
    </row>
    <row r="3275" s="2" customFormat="1" ht="15.75" spans="1:5">
      <c r="A3275" s="6"/>
      <c r="B3275" s="7"/>
      <c r="C3275" s="6"/>
      <c r="D3275" s="3"/>
      <c r="E3275" s="3"/>
    </row>
    <row r="3276" s="2" customFormat="1" ht="15.75" spans="1:5">
      <c r="A3276" s="6"/>
      <c r="B3276" s="7"/>
      <c r="C3276" s="6"/>
      <c r="D3276" s="3"/>
      <c r="E3276" s="3"/>
    </row>
    <row r="3277" s="2" customFormat="1" ht="15.75" spans="1:5">
      <c r="A3277" s="6"/>
      <c r="B3277" s="7"/>
      <c r="C3277" s="6"/>
      <c r="D3277" s="3"/>
      <c r="E3277" s="3"/>
    </row>
    <row r="3278" s="2" customFormat="1" ht="15.75" spans="1:5">
      <c r="A3278" s="6"/>
      <c r="B3278" s="7"/>
      <c r="C3278" s="6"/>
      <c r="D3278" s="3"/>
      <c r="E3278" s="3"/>
    </row>
    <row r="3279" s="2" customFormat="1" ht="15.75" spans="1:5">
      <c r="A3279" s="6"/>
      <c r="B3279" s="7"/>
      <c r="C3279" s="6"/>
      <c r="D3279" s="3"/>
      <c r="E3279" s="3"/>
    </row>
    <row r="3280" s="2" customFormat="1" ht="15.75" spans="1:5">
      <c r="A3280" s="6"/>
      <c r="B3280" s="7"/>
      <c r="C3280" s="6"/>
      <c r="D3280" s="3"/>
      <c r="E3280" s="3"/>
    </row>
    <row r="3281" s="2" customFormat="1" ht="15.75" spans="1:5">
      <c r="A3281" s="6"/>
      <c r="B3281" s="7"/>
      <c r="C3281" s="6"/>
      <c r="D3281" s="3"/>
      <c r="E3281" s="3"/>
    </row>
    <row r="3282" s="2" customFormat="1" ht="15.75" spans="1:5">
      <c r="A3282" s="6"/>
      <c r="B3282" s="7"/>
      <c r="C3282" s="6"/>
      <c r="D3282" s="3"/>
      <c r="E3282" s="3"/>
    </row>
    <row r="3283" s="2" customFormat="1" ht="15.75" spans="1:5">
      <c r="A3283" s="6"/>
      <c r="B3283" s="7"/>
      <c r="C3283" s="6"/>
      <c r="D3283" s="3"/>
      <c r="E3283" s="3"/>
    </row>
    <row r="3284" s="2" customFormat="1" ht="15.75" spans="1:5">
      <c r="A3284" s="6"/>
      <c r="B3284" s="7"/>
      <c r="C3284" s="6"/>
      <c r="D3284" s="3"/>
      <c r="E3284" s="3"/>
    </row>
    <row r="3285" s="2" customFormat="1" ht="15.75" spans="1:5">
      <c r="A3285" s="6"/>
      <c r="B3285" s="7"/>
      <c r="C3285" s="6"/>
      <c r="D3285" s="3"/>
      <c r="E3285" s="3"/>
    </row>
    <row r="3286" s="2" customFormat="1" ht="15.75" spans="1:5">
      <c r="A3286" s="6"/>
      <c r="B3286" s="7"/>
      <c r="C3286" s="6"/>
      <c r="D3286" s="3"/>
      <c r="E3286" s="3"/>
    </row>
    <row r="3287" s="2" customFormat="1" ht="15.75" spans="1:5">
      <c r="A3287" s="6"/>
      <c r="B3287" s="7"/>
      <c r="C3287" s="6"/>
      <c r="D3287" s="3"/>
      <c r="E3287" s="3"/>
    </row>
    <row r="3288" s="2" customFormat="1" ht="15.75" spans="1:5">
      <c r="A3288" s="6"/>
      <c r="B3288" s="7"/>
      <c r="C3288" s="6"/>
      <c r="D3288" s="3"/>
      <c r="E3288" s="3"/>
    </row>
    <row r="3289" s="2" customFormat="1" ht="15.75" spans="1:5">
      <c r="A3289" s="6"/>
      <c r="B3289" s="7"/>
      <c r="C3289" s="6"/>
      <c r="D3289" s="3"/>
      <c r="E3289" s="3"/>
    </row>
    <row r="3290" s="2" customFormat="1" ht="15.75" spans="1:5">
      <c r="A3290" s="6"/>
      <c r="B3290" s="7"/>
      <c r="C3290" s="6"/>
      <c r="D3290" s="3"/>
      <c r="E3290" s="3"/>
    </row>
    <row r="3291" s="2" customFormat="1" ht="15.75" spans="1:5">
      <c r="A3291" s="6"/>
      <c r="B3291" s="7"/>
      <c r="C3291" s="6"/>
      <c r="D3291" s="3"/>
      <c r="E3291" s="3"/>
    </row>
    <row r="3292" s="2" customFormat="1" ht="15.75" spans="1:5">
      <c r="A3292" s="6"/>
      <c r="B3292" s="7"/>
      <c r="C3292" s="6"/>
      <c r="D3292" s="3"/>
      <c r="E3292" s="3"/>
    </row>
    <row r="3293" s="2" customFormat="1" ht="15.75" spans="1:5">
      <c r="A3293" s="6"/>
      <c r="B3293" s="7"/>
      <c r="C3293" s="6"/>
      <c r="D3293" s="3"/>
      <c r="E3293" s="3"/>
    </row>
    <row r="3294" s="2" customFormat="1" ht="15.75" spans="1:5">
      <c r="A3294" s="6"/>
      <c r="B3294" s="7"/>
      <c r="C3294" s="6"/>
      <c r="D3294" s="3"/>
      <c r="E3294" s="3"/>
    </row>
    <row r="3295" s="2" customFormat="1" ht="15.75" spans="1:5">
      <c r="A3295" s="6"/>
      <c r="B3295" s="7"/>
      <c r="C3295" s="6"/>
      <c r="D3295" s="3"/>
      <c r="E3295" s="3"/>
    </row>
    <row r="3296" s="2" customFormat="1" ht="15.75" spans="1:5">
      <c r="A3296" s="6"/>
      <c r="B3296" s="7"/>
      <c r="C3296" s="6"/>
      <c r="D3296" s="3"/>
      <c r="E3296" s="3"/>
    </row>
    <row r="3297" s="2" customFormat="1" ht="15.75" spans="1:5">
      <c r="A3297" s="6"/>
      <c r="B3297" s="7"/>
      <c r="C3297" s="6"/>
      <c r="D3297" s="3"/>
      <c r="E3297" s="3"/>
    </row>
    <row r="3298" s="2" customFormat="1" ht="15.75" spans="1:5">
      <c r="A3298" s="6"/>
      <c r="B3298" s="7"/>
      <c r="C3298" s="6"/>
      <c r="D3298" s="3"/>
      <c r="E3298" s="3"/>
    </row>
    <row r="3299" s="2" customFormat="1" ht="15.75" spans="1:5">
      <c r="A3299" s="6"/>
      <c r="B3299" s="7"/>
      <c r="C3299" s="6"/>
      <c r="D3299" s="3"/>
      <c r="E3299" s="3"/>
    </row>
    <row r="3300" s="2" customFormat="1" ht="15.75" spans="1:5">
      <c r="A3300" s="6"/>
      <c r="B3300" s="7"/>
      <c r="C3300" s="6"/>
      <c r="D3300" s="3"/>
      <c r="E3300" s="3"/>
    </row>
    <row r="3301" s="2" customFormat="1" ht="15.75" spans="1:5">
      <c r="A3301" s="6"/>
      <c r="B3301" s="7"/>
      <c r="C3301" s="6"/>
      <c r="D3301" s="3"/>
      <c r="E3301" s="3"/>
    </row>
    <row r="3302" s="2" customFormat="1" ht="15.75" spans="1:5">
      <c r="A3302" s="6"/>
      <c r="B3302" s="7"/>
      <c r="C3302" s="6"/>
      <c r="D3302" s="3"/>
      <c r="E3302" s="3"/>
    </row>
    <row r="3303" s="2" customFormat="1" ht="15.75" spans="1:5">
      <c r="A3303" s="6"/>
      <c r="B3303" s="7"/>
      <c r="C3303" s="6"/>
      <c r="D3303" s="3"/>
      <c r="E3303" s="3"/>
    </row>
    <row r="3304" s="2" customFormat="1" ht="15.75" spans="1:5">
      <c r="A3304" s="6"/>
      <c r="B3304" s="7"/>
      <c r="C3304" s="6"/>
      <c r="D3304" s="3"/>
      <c r="E3304" s="3"/>
    </row>
    <row r="3305" s="2" customFormat="1" ht="15.75" spans="1:5">
      <c r="A3305" s="6"/>
      <c r="B3305" s="7"/>
      <c r="C3305" s="6"/>
      <c r="D3305" s="3"/>
      <c r="E3305" s="3"/>
    </row>
    <row r="3306" s="2" customFormat="1" ht="15.75" spans="1:5">
      <c r="A3306" s="6"/>
      <c r="B3306" s="7"/>
      <c r="C3306" s="6"/>
      <c r="D3306" s="3"/>
      <c r="E3306" s="3"/>
    </row>
    <row r="3307" s="2" customFormat="1" ht="15.75" spans="1:5">
      <c r="A3307" s="6"/>
      <c r="B3307" s="7"/>
      <c r="C3307" s="6"/>
      <c r="D3307" s="3"/>
      <c r="E3307" s="3"/>
    </row>
    <row r="3308" s="2" customFormat="1" ht="15.75" spans="1:5">
      <c r="A3308" s="6"/>
      <c r="B3308" s="7"/>
      <c r="C3308" s="6"/>
      <c r="D3308" s="3"/>
      <c r="E3308" s="3"/>
    </row>
    <row r="3309" s="2" customFormat="1" ht="15.75" spans="1:5">
      <c r="A3309" s="6"/>
      <c r="B3309" s="7"/>
      <c r="C3309" s="6"/>
      <c r="D3309" s="3"/>
      <c r="E3309" s="3"/>
    </row>
    <row r="3310" s="2" customFormat="1" ht="15.75" spans="1:5">
      <c r="A3310" s="6"/>
      <c r="B3310" s="7"/>
      <c r="C3310" s="6"/>
      <c r="D3310" s="3"/>
      <c r="E3310" s="3"/>
    </row>
    <row r="3311" s="2" customFormat="1" ht="15.75" spans="1:5">
      <c r="A3311" s="6"/>
      <c r="B3311" s="7"/>
      <c r="C3311" s="6"/>
      <c r="D3311" s="3"/>
      <c r="E3311" s="3"/>
    </row>
    <row r="3312" s="2" customFormat="1" ht="15.75" spans="1:5">
      <c r="A3312" s="6"/>
      <c r="B3312" s="7"/>
      <c r="C3312" s="6"/>
      <c r="D3312" s="3"/>
      <c r="E3312" s="3"/>
    </row>
    <row r="3313" s="2" customFormat="1" ht="15.75" spans="1:5">
      <c r="A3313" s="6"/>
      <c r="B3313" s="7"/>
      <c r="C3313" s="6"/>
      <c r="D3313" s="3"/>
      <c r="E3313" s="3"/>
    </row>
    <row r="3314" s="2" customFormat="1" ht="15.75" spans="1:5">
      <c r="A3314" s="6"/>
      <c r="B3314" s="7"/>
      <c r="C3314" s="6"/>
      <c r="D3314" s="3"/>
      <c r="E3314" s="3"/>
    </row>
    <row r="3315" s="2" customFormat="1" ht="15.75" spans="1:5">
      <c r="A3315" s="6"/>
      <c r="B3315" s="7"/>
      <c r="C3315" s="6"/>
      <c r="D3315" s="3"/>
      <c r="E3315" s="3"/>
    </row>
    <row r="3316" s="2" customFormat="1" ht="15.75" spans="1:5">
      <c r="A3316" s="6"/>
      <c r="B3316" s="7"/>
      <c r="C3316" s="6"/>
      <c r="D3316" s="3"/>
      <c r="E3316" s="3"/>
    </row>
    <row r="3317" s="2" customFormat="1" ht="15.75" spans="1:5">
      <c r="A3317" s="6"/>
      <c r="B3317" s="7"/>
      <c r="C3317" s="6"/>
      <c r="D3317" s="3"/>
      <c r="E3317" s="3"/>
    </row>
    <row r="3318" s="2" customFormat="1" ht="15.75" spans="1:5">
      <c r="A3318" s="6"/>
      <c r="B3318" s="7"/>
      <c r="C3318" s="6"/>
      <c r="D3318" s="3"/>
      <c r="E3318" s="3"/>
    </row>
    <row r="3319" s="2" customFormat="1" ht="15.75" spans="1:5">
      <c r="A3319" s="6"/>
      <c r="B3319" s="7"/>
      <c r="C3319" s="6"/>
      <c r="D3319" s="3"/>
      <c r="E3319" s="3"/>
    </row>
    <row r="3320" s="2" customFormat="1" ht="15.75" spans="1:5">
      <c r="A3320" s="6"/>
      <c r="B3320" s="7"/>
      <c r="C3320" s="6"/>
      <c r="D3320" s="3"/>
      <c r="E3320" s="3"/>
    </row>
    <row r="3321" s="2" customFormat="1" ht="15.75" spans="1:5">
      <c r="A3321" s="6"/>
      <c r="B3321" s="7"/>
      <c r="C3321" s="6"/>
      <c r="D3321" s="3"/>
      <c r="E3321" s="3"/>
    </row>
    <row r="3322" s="2" customFormat="1" ht="15.75" spans="1:5">
      <c r="A3322" s="6"/>
      <c r="B3322" s="7"/>
      <c r="C3322" s="6"/>
      <c r="D3322" s="3"/>
      <c r="E3322" s="3"/>
    </row>
    <row r="3323" s="2" customFormat="1" ht="15.75" spans="1:5">
      <c r="A3323" s="6"/>
      <c r="B3323" s="7"/>
      <c r="C3323" s="6"/>
      <c r="D3323" s="3"/>
      <c r="E3323" s="3"/>
    </row>
    <row r="3324" s="2" customFormat="1" ht="15.75" spans="1:5">
      <c r="A3324" s="6"/>
      <c r="B3324" s="7"/>
      <c r="C3324" s="6"/>
      <c r="D3324" s="3"/>
      <c r="E3324" s="3"/>
    </row>
    <row r="3325" s="2" customFormat="1" ht="15.75" spans="1:5">
      <c r="A3325" s="6"/>
      <c r="B3325" s="7"/>
      <c r="C3325" s="6"/>
      <c r="D3325" s="3"/>
      <c r="E3325" s="3"/>
    </row>
    <row r="3326" s="2" customFormat="1" ht="15.75" spans="1:5">
      <c r="A3326" s="6"/>
      <c r="B3326" s="7"/>
      <c r="C3326" s="6"/>
      <c r="D3326" s="3"/>
      <c r="E3326" s="3"/>
    </row>
    <row r="3327" s="2" customFormat="1" ht="15.75" spans="1:5">
      <c r="A3327" s="6"/>
      <c r="B3327" s="7"/>
      <c r="C3327" s="6"/>
      <c r="D3327" s="3"/>
      <c r="E3327" s="3"/>
    </row>
    <row r="3328" s="2" customFormat="1" ht="15.75" spans="1:5">
      <c r="A3328" s="6"/>
      <c r="B3328" s="7"/>
      <c r="C3328" s="6"/>
      <c r="D3328" s="3"/>
      <c r="E3328" s="3"/>
    </row>
    <row r="3329" s="2" customFormat="1" ht="15.75" spans="1:5">
      <c r="A3329" s="6"/>
      <c r="B3329" s="7"/>
      <c r="C3329" s="6"/>
      <c r="D3329" s="3"/>
      <c r="E3329" s="3"/>
    </row>
    <row r="3330" s="2" customFormat="1" ht="15.75" spans="1:5">
      <c r="A3330" s="6"/>
      <c r="B3330" s="7"/>
      <c r="C3330" s="6"/>
      <c r="D3330" s="3"/>
      <c r="E3330" s="3"/>
    </row>
    <row r="3331" s="2" customFormat="1" ht="15.75" spans="1:5">
      <c r="A3331" s="6"/>
      <c r="B3331" s="7"/>
      <c r="C3331" s="6"/>
      <c r="D3331" s="3"/>
      <c r="E3331" s="3"/>
    </row>
    <row r="3332" s="2" customFormat="1" ht="15.75" spans="1:5">
      <c r="A3332" s="6"/>
      <c r="B3332" s="7"/>
      <c r="C3332" s="6"/>
      <c r="D3332" s="3"/>
      <c r="E3332" s="3"/>
    </row>
    <row r="3333" s="2" customFormat="1" ht="15.75" spans="1:5">
      <c r="A3333" s="6"/>
      <c r="B3333" s="7"/>
      <c r="C3333" s="6"/>
      <c r="D3333" s="3"/>
      <c r="E3333" s="3"/>
    </row>
    <row r="3334" s="2" customFormat="1" ht="15.75" spans="1:5">
      <c r="A3334" s="6"/>
      <c r="B3334" s="7"/>
      <c r="C3334" s="6"/>
      <c r="D3334" s="3"/>
      <c r="E3334" s="3"/>
    </row>
    <row r="3335" s="2" customFormat="1" ht="15.75" spans="1:5">
      <c r="A3335" s="6"/>
      <c r="B3335" s="7"/>
      <c r="C3335" s="6"/>
      <c r="D3335" s="3"/>
      <c r="E3335" s="3"/>
    </row>
    <row r="3336" s="2" customFormat="1" ht="15.75" spans="1:5">
      <c r="A3336" s="6"/>
      <c r="B3336" s="7"/>
      <c r="C3336" s="6"/>
      <c r="D3336" s="3"/>
      <c r="E3336" s="3"/>
    </row>
    <row r="3337" s="2" customFormat="1" ht="15.75" spans="1:5">
      <c r="A3337" s="6"/>
      <c r="B3337" s="7"/>
      <c r="C3337" s="6"/>
      <c r="D3337" s="3"/>
      <c r="E3337" s="3"/>
    </row>
    <row r="3338" s="2" customFormat="1" ht="15.75" spans="1:5">
      <c r="A3338" s="6"/>
      <c r="B3338" s="7"/>
      <c r="C3338" s="6"/>
      <c r="D3338" s="3"/>
      <c r="E3338" s="3"/>
    </row>
    <row r="3339" s="2" customFormat="1" ht="15.75" spans="1:5">
      <c r="A3339" s="6"/>
      <c r="B3339" s="7"/>
      <c r="C3339" s="6"/>
      <c r="D3339" s="3"/>
      <c r="E3339" s="3"/>
    </row>
    <row r="3340" s="2" customFormat="1" ht="15.75" spans="1:5">
      <c r="A3340" s="6"/>
      <c r="B3340" s="7"/>
      <c r="C3340" s="6"/>
      <c r="D3340" s="3"/>
      <c r="E3340" s="3"/>
    </row>
    <row r="3341" s="2" customFormat="1" ht="15.75" spans="1:5">
      <c r="A3341" s="6"/>
      <c r="B3341" s="7"/>
      <c r="C3341" s="6"/>
      <c r="D3341" s="3"/>
      <c r="E3341" s="3"/>
    </row>
    <row r="3342" s="2" customFormat="1" ht="15.75" spans="1:5">
      <c r="A3342" s="6"/>
      <c r="B3342" s="7"/>
      <c r="C3342" s="6"/>
      <c r="D3342" s="3"/>
      <c r="E3342" s="3"/>
    </row>
    <row r="3343" s="2" customFormat="1" ht="15.75" spans="1:5">
      <c r="A3343" s="6"/>
      <c r="B3343" s="7"/>
      <c r="C3343" s="6"/>
      <c r="D3343" s="3"/>
      <c r="E3343" s="3"/>
    </row>
    <row r="3344" s="2" customFormat="1" ht="15.75" spans="1:5">
      <c r="A3344" s="6"/>
      <c r="B3344" s="7"/>
      <c r="C3344" s="6"/>
      <c r="D3344" s="3"/>
      <c r="E3344" s="3"/>
    </row>
    <row r="3345" s="2" customFormat="1" ht="15.75" spans="1:5">
      <c r="A3345" s="6"/>
      <c r="B3345" s="7"/>
      <c r="C3345" s="6"/>
      <c r="D3345" s="3"/>
      <c r="E3345" s="3"/>
    </row>
    <row r="3346" s="2" customFormat="1" ht="15.75" spans="1:5">
      <c r="A3346" s="6"/>
      <c r="B3346" s="7"/>
      <c r="C3346" s="6"/>
      <c r="D3346" s="3"/>
      <c r="E3346" s="3"/>
    </row>
    <row r="3347" s="2" customFormat="1" ht="15.75" spans="1:5">
      <c r="A3347" s="6"/>
      <c r="B3347" s="7"/>
      <c r="C3347" s="6"/>
      <c r="D3347" s="3"/>
      <c r="E3347" s="3"/>
    </row>
    <row r="3348" s="2" customFormat="1" ht="15.75" spans="1:5">
      <c r="A3348" s="6"/>
      <c r="B3348" s="7"/>
      <c r="C3348" s="6"/>
      <c r="D3348" s="3"/>
      <c r="E3348" s="3"/>
    </row>
    <row r="3349" s="2" customFormat="1" ht="15.75" spans="1:5">
      <c r="A3349" s="6"/>
      <c r="B3349" s="7"/>
      <c r="C3349" s="6"/>
      <c r="D3349" s="3"/>
      <c r="E3349" s="3"/>
    </row>
    <row r="3350" s="2" customFormat="1" ht="15.75" spans="1:5">
      <c r="A3350" s="6"/>
      <c r="B3350" s="7"/>
      <c r="C3350" s="6"/>
      <c r="D3350" s="3"/>
      <c r="E3350" s="3"/>
    </row>
    <row r="3351" s="2" customFormat="1" ht="15.75" spans="1:5">
      <c r="A3351" s="6"/>
      <c r="B3351" s="7"/>
      <c r="C3351" s="6"/>
      <c r="D3351" s="3"/>
      <c r="E3351" s="3"/>
    </row>
    <row r="3352" s="2" customFormat="1" ht="15.75" spans="1:5">
      <c r="A3352" s="6"/>
      <c r="B3352" s="7"/>
      <c r="C3352" s="6"/>
      <c r="D3352" s="3"/>
      <c r="E3352" s="3"/>
    </row>
    <row r="3353" s="2" customFormat="1" ht="15.75" spans="1:5">
      <c r="A3353" s="6"/>
      <c r="B3353" s="7"/>
      <c r="C3353" s="6"/>
      <c r="D3353" s="3"/>
      <c r="E3353" s="3"/>
    </row>
    <row r="3354" s="2" customFormat="1" ht="15.75" spans="1:5">
      <c r="A3354" s="6"/>
      <c r="B3354" s="7"/>
      <c r="C3354" s="6"/>
      <c r="D3354" s="3"/>
      <c r="E3354" s="3"/>
    </row>
    <row r="3355" s="2" customFormat="1" ht="15.75" spans="1:5">
      <c r="A3355" s="6"/>
      <c r="B3355" s="7"/>
      <c r="C3355" s="6"/>
      <c r="D3355" s="3"/>
      <c r="E3355" s="3"/>
    </row>
    <row r="3356" s="2" customFormat="1" ht="15.75" spans="1:5">
      <c r="A3356" s="6"/>
      <c r="B3356" s="7"/>
      <c r="C3356" s="6"/>
      <c r="D3356" s="3"/>
      <c r="E3356" s="3"/>
    </row>
    <row r="3357" s="2" customFormat="1" ht="15.75" spans="1:5">
      <c r="A3357" s="6"/>
      <c r="B3357" s="7"/>
      <c r="C3357" s="6"/>
      <c r="D3357" s="3"/>
      <c r="E3357" s="3"/>
    </row>
    <row r="3358" s="2" customFormat="1" ht="15.75" spans="1:5">
      <c r="A3358" s="6"/>
      <c r="B3358" s="7"/>
      <c r="C3358" s="6"/>
      <c r="D3358" s="3"/>
      <c r="E3358" s="3"/>
    </row>
    <row r="3359" s="2" customFormat="1" ht="15.75" spans="1:5">
      <c r="A3359" s="6"/>
      <c r="B3359" s="7"/>
      <c r="C3359" s="6"/>
      <c r="D3359" s="3"/>
      <c r="E3359" s="3"/>
    </row>
    <row r="3360" s="2" customFormat="1" ht="15.75" spans="1:5">
      <c r="A3360" s="6"/>
      <c r="B3360" s="7"/>
      <c r="C3360" s="6"/>
      <c r="D3360" s="3"/>
      <c r="E3360" s="3"/>
    </row>
    <row r="3361" s="2" customFormat="1" ht="15.75" spans="1:5">
      <c r="A3361" s="6"/>
      <c r="B3361" s="7"/>
      <c r="C3361" s="6"/>
      <c r="D3361" s="3"/>
      <c r="E3361" s="3"/>
    </row>
    <row r="3362" s="2" customFormat="1" ht="15.75" spans="1:5">
      <c r="A3362" s="6"/>
      <c r="B3362" s="7"/>
      <c r="C3362" s="6"/>
      <c r="D3362" s="3"/>
      <c r="E3362" s="3"/>
    </row>
    <row r="3363" s="2" customFormat="1" ht="15.75" spans="1:5">
      <c r="A3363" s="6"/>
      <c r="B3363" s="7"/>
      <c r="C3363" s="6"/>
      <c r="D3363" s="3"/>
      <c r="E3363" s="3"/>
    </row>
    <row r="3364" s="2" customFormat="1" ht="15.75" spans="1:5">
      <c r="A3364" s="6"/>
      <c r="B3364" s="7"/>
      <c r="C3364" s="6"/>
      <c r="D3364" s="3"/>
      <c r="E3364" s="3"/>
    </row>
    <row r="3365" s="2" customFormat="1" ht="15.75" spans="1:5">
      <c r="A3365" s="6"/>
      <c r="B3365" s="7"/>
      <c r="C3365" s="6"/>
      <c r="D3365" s="3"/>
      <c r="E3365" s="3"/>
    </row>
    <row r="3366" s="2" customFormat="1" ht="15.75" spans="1:5">
      <c r="A3366" s="6"/>
      <c r="B3366" s="7"/>
      <c r="C3366" s="6"/>
      <c r="D3366" s="3"/>
      <c r="E3366" s="3"/>
    </row>
    <row r="3367" s="2" customFormat="1" ht="15.75" spans="1:5">
      <c r="A3367" s="6"/>
      <c r="B3367" s="7"/>
      <c r="C3367" s="6"/>
      <c r="D3367" s="3"/>
      <c r="E3367" s="3"/>
    </row>
    <row r="3368" s="2" customFormat="1" ht="15.75" spans="1:5">
      <c r="A3368" s="6"/>
      <c r="B3368" s="7"/>
      <c r="C3368" s="6"/>
      <c r="D3368" s="3"/>
      <c r="E3368" s="3"/>
    </row>
    <row r="3369" s="2" customFormat="1" ht="15.75" spans="1:5">
      <c r="A3369" s="6"/>
      <c r="B3369" s="7"/>
      <c r="C3369" s="6"/>
      <c r="D3369" s="3"/>
      <c r="E3369" s="3"/>
    </row>
    <row r="3370" s="2" customFormat="1" ht="15.75" spans="1:5">
      <c r="A3370" s="6"/>
      <c r="B3370" s="7"/>
      <c r="C3370" s="6"/>
      <c r="D3370" s="3"/>
      <c r="E3370" s="3"/>
    </row>
    <row r="3371" s="2" customFormat="1" ht="15.75" spans="1:5">
      <c r="A3371" s="6"/>
      <c r="B3371" s="7"/>
      <c r="C3371" s="6"/>
      <c r="D3371" s="3"/>
      <c r="E3371" s="3"/>
    </row>
    <row r="3372" s="2" customFormat="1" ht="15.75" spans="1:5">
      <c r="A3372" s="6"/>
      <c r="B3372" s="7"/>
      <c r="C3372" s="6"/>
      <c r="D3372" s="3"/>
      <c r="E3372" s="3"/>
    </row>
    <row r="3373" s="2" customFormat="1" ht="15.75" spans="1:5">
      <c r="A3373" s="6"/>
      <c r="B3373" s="7"/>
      <c r="C3373" s="6"/>
      <c r="D3373" s="3"/>
      <c r="E3373" s="3"/>
    </row>
    <row r="3374" s="2" customFormat="1" ht="15.75" spans="1:5">
      <c r="A3374" s="6"/>
      <c r="B3374" s="7"/>
      <c r="C3374" s="6"/>
      <c r="D3374" s="3"/>
      <c r="E3374" s="3"/>
    </row>
    <row r="3375" s="2" customFormat="1" ht="15.75" spans="1:5">
      <c r="A3375" s="6"/>
      <c r="B3375" s="7"/>
      <c r="C3375" s="6"/>
      <c r="D3375" s="3"/>
      <c r="E3375" s="3"/>
    </row>
    <row r="3376" s="2" customFormat="1" ht="15.75" spans="1:5">
      <c r="A3376" s="6"/>
      <c r="B3376" s="7"/>
      <c r="C3376" s="6"/>
      <c r="D3376" s="3"/>
      <c r="E3376" s="3"/>
    </row>
    <row r="3377" s="2" customFormat="1" ht="15.75" spans="1:5">
      <c r="A3377" s="6"/>
      <c r="B3377" s="7"/>
      <c r="C3377" s="6"/>
      <c r="D3377" s="3"/>
      <c r="E3377" s="3"/>
    </row>
    <row r="3378" s="2" customFormat="1" ht="15.75" spans="1:5">
      <c r="A3378" s="6"/>
      <c r="B3378" s="7"/>
      <c r="C3378" s="6"/>
      <c r="D3378" s="3"/>
      <c r="E3378" s="3"/>
    </row>
    <row r="3379" s="2" customFormat="1" ht="15.75" spans="1:5">
      <c r="A3379" s="6"/>
      <c r="B3379" s="7"/>
      <c r="C3379" s="6"/>
      <c r="D3379" s="3"/>
      <c r="E3379" s="3"/>
    </row>
    <row r="3380" s="2" customFormat="1" ht="15.75" spans="1:5">
      <c r="A3380" s="6"/>
      <c r="B3380" s="7"/>
      <c r="C3380" s="6"/>
      <c r="D3380" s="3"/>
      <c r="E3380" s="3"/>
    </row>
    <row r="3381" s="2" customFormat="1" ht="15.75" spans="1:5">
      <c r="A3381" s="6"/>
      <c r="B3381" s="7"/>
      <c r="C3381" s="6"/>
      <c r="D3381" s="3"/>
      <c r="E3381" s="3"/>
    </row>
    <row r="3382" s="2" customFormat="1" ht="15.75" spans="1:5">
      <c r="A3382" s="6"/>
      <c r="B3382" s="7"/>
      <c r="C3382" s="6"/>
      <c r="D3382" s="3"/>
      <c r="E3382" s="3"/>
    </row>
    <row r="3383" s="2" customFormat="1" ht="15.75" spans="1:5">
      <c r="A3383" s="6"/>
      <c r="B3383" s="7"/>
      <c r="C3383" s="6"/>
      <c r="D3383" s="3"/>
      <c r="E3383" s="3"/>
    </row>
    <row r="3384" s="2" customFormat="1" ht="15.75" spans="1:5">
      <c r="A3384" s="6"/>
      <c r="B3384" s="7"/>
      <c r="C3384" s="6"/>
      <c r="D3384" s="3"/>
      <c r="E3384" s="3"/>
    </row>
    <row r="3385" s="2" customFormat="1" ht="15.75" spans="1:5">
      <c r="A3385" s="6"/>
      <c r="B3385" s="7"/>
      <c r="C3385" s="6"/>
      <c r="D3385" s="3"/>
      <c r="E3385" s="3"/>
    </row>
    <row r="3386" s="2" customFormat="1" ht="15.75" spans="1:5">
      <c r="A3386" s="6"/>
      <c r="B3386" s="7"/>
      <c r="C3386" s="6"/>
      <c r="D3386" s="3"/>
      <c r="E3386" s="3"/>
    </row>
    <row r="3387" s="2" customFormat="1" ht="15.75" spans="1:5">
      <c r="A3387" s="6"/>
      <c r="B3387" s="7"/>
      <c r="C3387" s="6"/>
      <c r="D3387" s="3"/>
      <c r="E3387" s="3"/>
    </row>
    <row r="3388" s="2" customFormat="1" ht="15.75" spans="1:5">
      <c r="A3388" s="6"/>
      <c r="B3388" s="7"/>
      <c r="C3388" s="6"/>
      <c r="D3388" s="3"/>
      <c r="E3388" s="3"/>
    </row>
    <row r="3389" s="2" customFormat="1" ht="15.75" spans="1:5">
      <c r="A3389" s="6"/>
      <c r="B3389" s="7"/>
      <c r="C3389" s="6"/>
      <c r="D3389" s="3"/>
      <c r="E3389" s="3"/>
    </row>
    <row r="3390" s="2" customFormat="1" ht="15.75" spans="1:5">
      <c r="A3390" s="6"/>
      <c r="B3390" s="7"/>
      <c r="C3390" s="6"/>
      <c r="D3390" s="3"/>
      <c r="E3390" s="3"/>
    </row>
    <row r="3391" s="2" customFormat="1" ht="15.75" spans="1:5">
      <c r="A3391" s="6"/>
      <c r="B3391" s="7"/>
      <c r="C3391" s="6"/>
      <c r="D3391" s="3"/>
      <c r="E3391" s="3"/>
    </row>
    <row r="3392" s="2" customFormat="1" ht="15.75" spans="1:5">
      <c r="A3392" s="6"/>
      <c r="B3392" s="7"/>
      <c r="C3392" s="6"/>
      <c r="D3392" s="3"/>
      <c r="E3392" s="3"/>
    </row>
    <row r="3393" s="2" customFormat="1" ht="15.75" spans="1:5">
      <c r="A3393" s="6"/>
      <c r="B3393" s="7"/>
      <c r="C3393" s="6"/>
      <c r="D3393" s="3"/>
      <c r="E3393" s="3"/>
    </row>
    <row r="3394" s="2" customFormat="1" ht="15.75" spans="1:5">
      <c r="A3394" s="6"/>
      <c r="B3394" s="7"/>
      <c r="C3394" s="6"/>
      <c r="D3394" s="3"/>
      <c r="E3394" s="3"/>
    </row>
    <row r="3395" s="2" customFormat="1" ht="15.75" spans="1:5">
      <c r="A3395" s="6"/>
      <c r="B3395" s="7"/>
      <c r="C3395" s="6"/>
      <c r="D3395" s="3"/>
      <c r="E3395" s="3"/>
    </row>
    <row r="3396" s="2" customFormat="1" ht="15.75" spans="1:5">
      <c r="A3396" s="6"/>
      <c r="B3396" s="7"/>
      <c r="C3396" s="6"/>
      <c r="D3396" s="3"/>
      <c r="E3396" s="3"/>
    </row>
    <row r="3397" s="2" customFormat="1" ht="15.75" spans="1:5">
      <c r="A3397" s="6"/>
      <c r="B3397" s="7"/>
      <c r="C3397" s="6"/>
      <c r="D3397" s="3"/>
      <c r="E3397" s="3"/>
    </row>
    <row r="3398" s="2" customFormat="1" ht="15.75" spans="1:5">
      <c r="A3398" s="6"/>
      <c r="B3398" s="7"/>
      <c r="C3398" s="6"/>
      <c r="D3398" s="3"/>
      <c r="E3398" s="3"/>
    </row>
    <row r="3399" s="2" customFormat="1" ht="15.75" spans="1:5">
      <c r="A3399" s="6"/>
      <c r="B3399" s="7"/>
      <c r="C3399" s="6"/>
      <c r="D3399" s="3"/>
      <c r="E3399" s="3"/>
    </row>
    <row r="3400" s="2" customFormat="1" ht="15.75" spans="1:5">
      <c r="A3400" s="6"/>
      <c r="B3400" s="7"/>
      <c r="C3400" s="6"/>
      <c r="D3400" s="3"/>
      <c r="E3400" s="3"/>
    </row>
    <row r="3401" s="2" customFormat="1" ht="15.75" spans="1:5">
      <c r="A3401" s="6"/>
      <c r="B3401" s="7"/>
      <c r="C3401" s="6"/>
      <c r="D3401" s="3"/>
      <c r="E3401" s="3"/>
    </row>
    <row r="3402" s="2" customFormat="1" ht="15.75" spans="1:5">
      <c r="A3402" s="6"/>
      <c r="B3402" s="7"/>
      <c r="C3402" s="6"/>
      <c r="D3402" s="3"/>
      <c r="E3402" s="3"/>
    </row>
    <row r="3403" s="2" customFormat="1" ht="15.75" spans="1:5">
      <c r="A3403" s="6"/>
      <c r="B3403" s="7"/>
      <c r="C3403" s="6"/>
      <c r="D3403" s="3"/>
      <c r="E3403" s="3"/>
    </row>
    <row r="3404" s="2" customFormat="1" ht="15.75" spans="1:5">
      <c r="A3404" s="6"/>
      <c r="B3404" s="7"/>
      <c r="C3404" s="6"/>
      <c r="D3404" s="3"/>
      <c r="E3404" s="3"/>
    </row>
    <row r="3405" s="2" customFormat="1" ht="15.75" spans="1:5">
      <c r="A3405" s="6"/>
      <c r="B3405" s="7"/>
      <c r="C3405" s="6"/>
      <c r="D3405" s="3"/>
      <c r="E3405" s="3"/>
    </row>
    <row r="3406" s="2" customFormat="1" ht="15.75" spans="1:5">
      <c r="A3406" s="6"/>
      <c r="B3406" s="7"/>
      <c r="C3406" s="6"/>
      <c r="D3406" s="3"/>
      <c r="E3406" s="3"/>
    </row>
    <row r="3407" s="2" customFormat="1" ht="15.75" spans="1:5">
      <c r="A3407" s="6"/>
      <c r="B3407" s="7"/>
      <c r="C3407" s="6"/>
      <c r="D3407" s="3"/>
      <c r="E3407" s="3"/>
    </row>
    <row r="3408" s="2" customFormat="1" ht="15.75" spans="1:5">
      <c r="A3408" s="6"/>
      <c r="B3408" s="7"/>
      <c r="C3408" s="6"/>
      <c r="D3408" s="3"/>
      <c r="E3408" s="3"/>
    </row>
    <row r="3409" s="2" customFormat="1" ht="15.75" spans="1:5">
      <c r="A3409" s="6"/>
      <c r="B3409" s="7"/>
      <c r="C3409" s="6"/>
      <c r="D3409" s="3"/>
      <c r="E3409" s="3"/>
    </row>
    <row r="3410" s="2" customFormat="1" ht="15.75" spans="1:5">
      <c r="A3410" s="6"/>
      <c r="B3410" s="7"/>
      <c r="C3410" s="6"/>
      <c r="D3410" s="3"/>
      <c r="E3410" s="3"/>
    </row>
    <row r="3411" s="2" customFormat="1" ht="15.75" spans="1:5">
      <c r="A3411" s="6"/>
      <c r="B3411" s="7"/>
      <c r="C3411" s="6"/>
      <c r="D3411" s="3"/>
      <c r="E3411" s="3"/>
    </row>
    <row r="3412" s="2" customFormat="1" ht="15.75" spans="1:5">
      <c r="A3412" s="6"/>
      <c r="B3412" s="7"/>
      <c r="C3412" s="6"/>
      <c r="D3412" s="3"/>
      <c r="E3412" s="3"/>
    </row>
    <row r="3413" s="2" customFormat="1" ht="15.75" spans="1:5">
      <c r="A3413" s="6"/>
      <c r="B3413" s="7"/>
      <c r="C3413" s="6"/>
      <c r="D3413" s="3"/>
      <c r="E3413" s="3"/>
    </row>
    <row r="3414" s="2" customFormat="1" ht="15.75" spans="1:5">
      <c r="A3414" s="6"/>
      <c r="B3414" s="7"/>
      <c r="C3414" s="6"/>
      <c r="D3414" s="3"/>
      <c r="E3414" s="3"/>
    </row>
    <row r="3415" s="2" customFormat="1" ht="15.75" spans="1:5">
      <c r="A3415" s="6"/>
      <c r="B3415" s="7"/>
      <c r="C3415" s="6"/>
      <c r="D3415" s="3"/>
      <c r="E3415" s="3"/>
    </row>
    <row r="3416" s="2" customFormat="1" ht="15.75" spans="1:5">
      <c r="A3416" s="6"/>
      <c r="B3416" s="7"/>
      <c r="C3416" s="6"/>
      <c r="D3416" s="3"/>
      <c r="E3416" s="3"/>
    </row>
    <row r="3417" s="2" customFormat="1" ht="15.75" spans="1:5">
      <c r="A3417" s="6"/>
      <c r="B3417" s="7"/>
      <c r="C3417" s="6"/>
      <c r="D3417" s="3"/>
      <c r="E3417" s="3"/>
    </row>
    <row r="3418" s="2" customFormat="1" ht="15.75" spans="1:5">
      <c r="A3418" s="6"/>
      <c r="B3418" s="7"/>
      <c r="C3418" s="6"/>
      <c r="D3418" s="3"/>
      <c r="E3418" s="3"/>
    </row>
    <row r="3419" s="2" customFormat="1" ht="15.75" spans="1:5">
      <c r="A3419" s="6"/>
      <c r="B3419" s="7"/>
      <c r="C3419" s="6"/>
      <c r="D3419" s="3"/>
      <c r="E3419" s="3"/>
    </row>
    <row r="3420" s="2" customFormat="1" ht="15.75" spans="1:5">
      <c r="A3420" s="6"/>
      <c r="B3420" s="7"/>
      <c r="C3420" s="6"/>
      <c r="D3420" s="3"/>
      <c r="E3420" s="3"/>
    </row>
    <row r="3421" s="2" customFormat="1" ht="15.75" spans="1:5">
      <c r="A3421" s="6"/>
      <c r="B3421" s="7"/>
      <c r="C3421" s="6"/>
      <c r="D3421" s="3"/>
      <c r="E3421" s="3"/>
    </row>
    <row r="3422" s="2" customFormat="1" ht="15.75" spans="1:5">
      <c r="A3422" s="6"/>
      <c r="B3422" s="7"/>
      <c r="C3422" s="6"/>
      <c r="D3422" s="3"/>
      <c r="E3422" s="3"/>
    </row>
    <row r="3423" s="2" customFormat="1" ht="15.75" spans="1:5">
      <c r="A3423" s="6"/>
      <c r="B3423" s="7"/>
      <c r="C3423" s="6"/>
      <c r="D3423" s="3"/>
      <c r="E3423" s="3"/>
    </row>
    <row r="3424" s="2" customFormat="1" ht="15.75" spans="1:5">
      <c r="A3424" s="6"/>
      <c r="B3424" s="7"/>
      <c r="C3424" s="6"/>
      <c r="D3424" s="3"/>
      <c r="E3424" s="3"/>
    </row>
    <row r="3425" s="2" customFormat="1" ht="15.75" spans="1:5">
      <c r="A3425" s="6"/>
      <c r="B3425" s="7"/>
      <c r="C3425" s="6"/>
      <c r="D3425" s="3"/>
      <c r="E3425" s="3"/>
    </row>
    <row r="3426" s="2" customFormat="1" ht="15.75" spans="1:5">
      <c r="A3426" s="6"/>
      <c r="B3426" s="7"/>
      <c r="C3426" s="6"/>
      <c r="D3426" s="3"/>
      <c r="E3426" s="3"/>
    </row>
    <row r="3427" s="2" customFormat="1" ht="15.75" spans="1:5">
      <c r="A3427" s="6"/>
      <c r="B3427" s="7"/>
      <c r="C3427" s="6"/>
      <c r="D3427" s="3"/>
      <c r="E3427" s="3"/>
    </row>
    <row r="3428" s="2" customFormat="1" ht="15.75" spans="1:5">
      <c r="A3428" s="6"/>
      <c r="B3428" s="7"/>
      <c r="C3428" s="6"/>
      <c r="D3428" s="3"/>
      <c r="E3428" s="3"/>
    </row>
    <row r="3429" s="2" customFormat="1" ht="15.75" spans="1:5">
      <c r="A3429" s="6"/>
      <c r="B3429" s="7"/>
      <c r="C3429" s="6"/>
      <c r="D3429" s="3"/>
      <c r="E3429" s="3"/>
    </row>
    <row r="3430" s="2" customFormat="1" ht="15.75" spans="1:5">
      <c r="A3430" s="6"/>
      <c r="B3430" s="7"/>
      <c r="C3430" s="6"/>
      <c r="D3430" s="3"/>
      <c r="E3430" s="3"/>
    </row>
    <row r="3431" s="2" customFormat="1" ht="15.75" spans="1:5">
      <c r="A3431" s="6"/>
      <c r="B3431" s="7"/>
      <c r="C3431" s="6"/>
      <c r="D3431" s="3"/>
      <c r="E3431" s="3"/>
    </row>
    <row r="3432" s="2" customFormat="1" ht="15.75" spans="1:5">
      <c r="A3432" s="6"/>
      <c r="B3432" s="7"/>
      <c r="C3432" s="6"/>
      <c r="D3432" s="3"/>
      <c r="E3432" s="3"/>
    </row>
    <row r="3433" s="2" customFormat="1" ht="15.75" spans="1:5">
      <c r="A3433" s="6"/>
      <c r="B3433" s="7"/>
      <c r="C3433" s="6"/>
      <c r="D3433" s="3"/>
      <c r="E3433" s="3"/>
    </row>
    <row r="3434" s="2" customFormat="1" ht="15.75" spans="1:5">
      <c r="A3434" s="6"/>
      <c r="B3434" s="7"/>
      <c r="C3434" s="6"/>
      <c r="D3434" s="3"/>
      <c r="E3434" s="3"/>
    </row>
    <row r="3435" s="2" customFormat="1" ht="15.75" spans="1:5">
      <c r="A3435" s="6"/>
      <c r="B3435" s="7"/>
      <c r="C3435" s="6"/>
      <c r="D3435" s="3"/>
      <c r="E3435" s="3"/>
    </row>
    <row r="3436" s="2" customFormat="1" ht="15.75" spans="1:5">
      <c r="A3436" s="6"/>
      <c r="B3436" s="7"/>
      <c r="C3436" s="6"/>
      <c r="D3436" s="3"/>
      <c r="E3436" s="3"/>
    </row>
    <row r="3437" s="2" customFormat="1" ht="15.75" spans="1:5">
      <c r="A3437" s="6"/>
      <c r="B3437" s="7"/>
      <c r="C3437" s="6"/>
      <c r="D3437" s="3"/>
      <c r="E3437" s="3"/>
    </row>
    <row r="3438" s="2" customFormat="1" ht="15.75" spans="1:5">
      <c r="A3438" s="6"/>
      <c r="B3438" s="7"/>
      <c r="C3438" s="6"/>
      <c r="D3438" s="3"/>
      <c r="E3438" s="3"/>
    </row>
    <row r="3439" s="2" customFormat="1" ht="15.75" spans="1:5">
      <c r="A3439" s="6"/>
      <c r="B3439" s="7"/>
      <c r="C3439" s="6"/>
      <c r="D3439" s="3"/>
      <c r="E3439" s="3"/>
    </row>
    <row r="3440" s="2" customFormat="1" ht="15.75" spans="1:5">
      <c r="A3440" s="6"/>
      <c r="B3440" s="7"/>
      <c r="C3440" s="6"/>
      <c r="D3440" s="3"/>
      <c r="E3440" s="3"/>
    </row>
    <row r="3441" s="2" customFormat="1" ht="15.75" spans="1:5">
      <c r="A3441" s="6"/>
      <c r="B3441" s="7"/>
      <c r="C3441" s="6"/>
      <c r="D3441" s="3"/>
      <c r="E3441" s="3"/>
    </row>
    <row r="3442" s="2" customFormat="1" ht="15.75" spans="1:5">
      <c r="A3442" s="6"/>
      <c r="B3442" s="7"/>
      <c r="C3442" s="6"/>
      <c r="D3442" s="3"/>
      <c r="E3442" s="3"/>
    </row>
    <row r="3443" s="2" customFormat="1" ht="15.75" spans="1:5">
      <c r="A3443" s="6"/>
      <c r="B3443" s="7"/>
      <c r="C3443" s="6"/>
      <c r="D3443" s="3"/>
      <c r="E3443" s="3"/>
    </row>
    <row r="3444" s="2" customFormat="1" ht="15.75" spans="1:5">
      <c r="A3444" s="6"/>
      <c r="B3444" s="7"/>
      <c r="C3444" s="6"/>
      <c r="D3444" s="3"/>
      <c r="E3444" s="3"/>
    </row>
    <row r="3445" s="2" customFormat="1" ht="15.75" spans="1:5">
      <c r="A3445" s="6"/>
      <c r="B3445" s="7"/>
      <c r="C3445" s="6"/>
      <c r="D3445" s="3"/>
      <c r="E3445" s="3"/>
    </row>
    <row r="3446" s="2" customFormat="1" ht="15.75" spans="1:5">
      <c r="A3446" s="6"/>
      <c r="B3446" s="7"/>
      <c r="C3446" s="6"/>
      <c r="D3446" s="3"/>
      <c r="E3446" s="3"/>
    </row>
    <row r="3447" s="2" customFormat="1" ht="15.75" spans="1:5">
      <c r="A3447" s="6"/>
      <c r="B3447" s="7"/>
      <c r="C3447" s="6"/>
      <c r="D3447" s="3"/>
      <c r="E3447" s="3"/>
    </row>
    <row r="3448" s="2" customFormat="1" ht="15.75" spans="1:5">
      <c r="A3448" s="6"/>
      <c r="B3448" s="7"/>
      <c r="C3448" s="6"/>
      <c r="D3448" s="3"/>
      <c r="E3448" s="3"/>
    </row>
    <row r="3449" s="2" customFormat="1" ht="15.75" spans="1:5">
      <c r="A3449" s="6"/>
      <c r="B3449" s="7"/>
      <c r="C3449" s="6"/>
      <c r="D3449" s="3"/>
      <c r="E3449" s="3"/>
    </row>
    <row r="3450" s="2" customFormat="1" ht="15.75" spans="1:5">
      <c r="A3450" s="6"/>
      <c r="B3450" s="7"/>
      <c r="C3450" s="6"/>
      <c r="D3450" s="3"/>
      <c r="E3450" s="3"/>
    </row>
    <row r="3451" s="2" customFormat="1" ht="15.75" spans="1:5">
      <c r="A3451" s="6"/>
      <c r="B3451" s="7"/>
      <c r="C3451" s="6"/>
      <c r="D3451" s="3"/>
      <c r="E3451" s="3"/>
    </row>
    <row r="3452" s="2" customFormat="1" ht="15.75" spans="1:5">
      <c r="A3452" s="6"/>
      <c r="B3452" s="7"/>
      <c r="C3452" s="6"/>
      <c r="D3452" s="3"/>
      <c r="E3452" s="3"/>
    </row>
    <row r="3453" s="2" customFormat="1" ht="15.75" spans="1:5">
      <c r="A3453" s="6"/>
      <c r="B3453" s="7"/>
      <c r="C3453" s="6"/>
      <c r="D3453" s="3"/>
      <c r="E3453" s="3"/>
    </row>
    <row r="3454" s="2" customFormat="1" ht="15.75" spans="1:5">
      <c r="A3454" s="6"/>
      <c r="B3454" s="7"/>
      <c r="C3454" s="6"/>
      <c r="D3454" s="3"/>
      <c r="E3454" s="3"/>
    </row>
    <row r="3455" s="2" customFormat="1" ht="15.75" spans="1:5">
      <c r="A3455" s="6"/>
      <c r="B3455" s="7"/>
      <c r="C3455" s="6"/>
      <c r="D3455" s="3"/>
      <c r="E3455" s="3"/>
    </row>
    <row r="3456" s="2" customFormat="1" ht="15.75"/>
    <row r="3457" s="2" customFormat="1" ht="15.75"/>
    <row r="3458" s="2" customFormat="1" ht="15.75"/>
    <row r="3459" s="2" customFormat="1" ht="15.75"/>
    <row r="3460" s="2" customFormat="1" ht="15.75"/>
    <row r="3461" s="2" customFormat="1" ht="15.75"/>
    <row r="3462" s="2" customFormat="1" ht="15.75"/>
    <row r="3463" s="2" customFormat="1" ht="15.75"/>
    <row r="3464" s="2" customFormat="1" ht="15.75"/>
    <row r="3465" s="2" customFormat="1" ht="15.75"/>
    <row r="3466" s="2" customFormat="1" ht="15.75"/>
    <row r="3467" s="2" customFormat="1" ht="15.75"/>
    <row r="3468" s="2" customFormat="1" ht="15.75"/>
    <row r="3469" s="2" customFormat="1" ht="15.75"/>
    <row r="3470" s="2" customFormat="1" ht="15.75"/>
    <row r="3471" s="2" customFormat="1" ht="15.75"/>
    <row r="3472" s="2" customFormat="1" ht="15.75"/>
    <row r="3473" s="2" customFormat="1" ht="15.75"/>
    <row r="3474" s="2" customFormat="1" ht="15.75"/>
    <row r="3475" s="2" customFormat="1" ht="15.75"/>
    <row r="3476" s="2" customFormat="1" ht="15.75"/>
    <row r="3477" s="2" customFormat="1" ht="15.75"/>
    <row r="3478" s="2" customFormat="1" ht="15.75"/>
    <row r="3479" s="2" customFormat="1" ht="15.75"/>
    <row r="3480" s="2" customFormat="1" ht="15.75"/>
    <row r="3481" s="2" customFormat="1" ht="15.75"/>
    <row r="3482" s="2" customFormat="1" ht="15.75"/>
    <row r="3483" s="2" customFormat="1" ht="15.75"/>
    <row r="3484" s="2" customFormat="1" ht="15.75"/>
    <row r="3485" s="2" customFormat="1" ht="15.75"/>
    <row r="3486" s="2" customFormat="1" ht="15.75"/>
    <row r="3487" s="2" customFormat="1" ht="15.75"/>
    <row r="3488" s="2" customFormat="1" ht="15.75"/>
    <row r="3489" s="2" customFormat="1" ht="15.75"/>
    <row r="3490" s="2" customFormat="1" ht="15.75"/>
    <row r="3491" s="2" customFormat="1" ht="15.75"/>
    <row r="3492" s="2" customFormat="1" ht="15.75"/>
    <row r="3493" s="2" customFormat="1" ht="15.75"/>
    <row r="3494" s="2" customFormat="1" ht="15.75"/>
    <row r="3495" s="2" customFormat="1" ht="15.75"/>
    <row r="3496" s="2" customFormat="1" ht="15.75"/>
    <row r="3497" s="2" customFormat="1" ht="15.75"/>
    <row r="3498" s="2" customFormat="1" ht="15.75"/>
    <row r="3499" s="2" customFormat="1" ht="15.75"/>
    <row r="3500" s="2" customFormat="1" ht="15.75"/>
    <row r="3501" s="2" customFormat="1" ht="15.75"/>
    <row r="3502" s="2" customFormat="1" ht="15.75"/>
    <row r="3503" s="2" customFormat="1" ht="15.75"/>
    <row r="3504" s="2" customFormat="1" ht="15.75"/>
    <row r="3505" s="2" customFormat="1" ht="15.75"/>
    <row r="3506" s="2" customFormat="1" ht="15.75"/>
    <row r="3507" s="2" customFormat="1" ht="15.75"/>
    <row r="3508" s="2" customFormat="1" ht="15.75"/>
    <row r="3509" s="2" customFormat="1" ht="15.75"/>
    <row r="3510" s="2" customFormat="1" ht="15.75"/>
    <row r="3511" s="2" customFormat="1" ht="15.75"/>
    <row r="3512" s="2" customFormat="1" ht="15.75"/>
    <row r="3513" s="2" customFormat="1" ht="15.75"/>
    <row r="3514" s="2" customFormat="1" ht="15.75"/>
    <row r="3515" s="2" customFormat="1" ht="15.75"/>
    <row r="3516" s="2" customFormat="1" ht="15.75"/>
    <row r="3517" s="2" customFormat="1" ht="15.75"/>
    <row r="3518" s="2" customFormat="1" ht="15.75"/>
    <row r="3519" s="2" customFormat="1" ht="15.75"/>
    <row r="3520" s="2" customFormat="1" ht="15.75"/>
    <row r="3521" s="2" customFormat="1" ht="15.75"/>
    <row r="3522" s="2" customFormat="1" ht="15.75"/>
    <row r="3523" s="2" customFormat="1" ht="15.75"/>
    <row r="3524" s="2" customFormat="1" ht="15.75"/>
    <row r="3525" s="2" customFormat="1" ht="15.75"/>
    <row r="3526" s="2" customFormat="1" ht="15.75"/>
    <row r="3527" s="2" customFormat="1" ht="15.75"/>
    <row r="3528" s="2" customFormat="1" ht="15.75"/>
    <row r="3529" s="2" customFormat="1" ht="15.75"/>
    <row r="3530" s="2" customFormat="1" ht="15.75"/>
    <row r="3531" s="2" customFormat="1" ht="15.75"/>
    <row r="3532" s="2" customFormat="1" ht="15.75"/>
    <row r="3533" s="2" customFormat="1" ht="15.75"/>
    <row r="3534" s="2" customFormat="1" ht="15.75"/>
    <row r="3535" s="2" customFormat="1" ht="15.75"/>
    <row r="3536" s="2" customFormat="1" ht="15.75"/>
    <row r="3537" s="2" customFormat="1" ht="15.75"/>
    <row r="3538" s="2" customFormat="1" ht="15.75"/>
    <row r="3539" s="2" customFormat="1" ht="15.75"/>
    <row r="3540" s="2" customFormat="1" ht="15.75"/>
    <row r="3541" s="2" customFormat="1" ht="15.75"/>
    <row r="3542" s="2" customFormat="1" ht="15.75"/>
    <row r="3543" s="2" customFormat="1" ht="15.75"/>
    <row r="3544" s="2" customFormat="1" ht="15.75"/>
    <row r="3545" s="2" customFormat="1" ht="15.75"/>
    <row r="3546" s="2" customFormat="1" ht="15.75"/>
    <row r="3547" s="2" customFormat="1" ht="15.75"/>
    <row r="3548" s="2" customFormat="1" ht="15.75"/>
    <row r="3549" s="2" customFormat="1" ht="15.75"/>
    <row r="3550" s="2" customFormat="1" ht="15.75"/>
    <row r="3551" s="2" customFormat="1" ht="15.75"/>
    <row r="3552" s="2" customFormat="1" ht="15.75"/>
    <row r="3553" s="2" customFormat="1" ht="15.75"/>
    <row r="3554" s="2" customFormat="1" ht="15.75"/>
    <row r="3555" s="2" customFormat="1" ht="15.75"/>
    <row r="3556" s="2" customFormat="1" ht="15.75"/>
    <row r="3557" s="2" customFormat="1" ht="15.75"/>
    <row r="3558" s="2" customFormat="1" ht="15.75"/>
    <row r="3559" s="2" customFormat="1" ht="15.75"/>
    <row r="3560" s="2" customFormat="1" ht="15.75"/>
    <row r="3561" s="2" customFormat="1" ht="15.75"/>
    <row r="3562" s="2" customFormat="1" ht="15.75"/>
    <row r="3563" s="2" customFormat="1" ht="15.75"/>
    <row r="3564" s="2" customFormat="1" ht="15.75"/>
    <row r="3565" s="2" customFormat="1" ht="15.75"/>
    <row r="3566" s="2" customFormat="1" ht="15.75"/>
    <row r="3567" s="2" customFormat="1" ht="15.75"/>
    <row r="3568" s="2" customFormat="1" ht="15.75"/>
    <row r="3569" s="2" customFormat="1" ht="15.75"/>
    <row r="3570" s="2" customFormat="1" ht="15.75"/>
    <row r="3571" s="2" customFormat="1" ht="15.75"/>
    <row r="3572" s="2" customFormat="1" ht="15.75"/>
    <row r="3573" s="2" customFormat="1" ht="15.75"/>
    <row r="3574" s="2" customFormat="1" ht="15.75"/>
    <row r="3575" s="2" customFormat="1" ht="15.75"/>
    <row r="3576" s="2" customFormat="1" ht="15.75"/>
    <row r="3577" s="2" customFormat="1" ht="15.75"/>
    <row r="3578" s="2" customFormat="1" ht="15.75"/>
    <row r="3579" s="2" customFormat="1" ht="15.75"/>
    <row r="3580" s="2" customFormat="1" ht="15.75"/>
    <row r="3581" s="2" customFormat="1" ht="15.75"/>
    <row r="3582" s="2" customFormat="1" ht="15.75"/>
    <row r="3583" s="2" customFormat="1" ht="15.75"/>
    <row r="3584" s="2" customFormat="1" ht="15.75"/>
    <row r="3585" s="2" customFormat="1" ht="15.75"/>
    <row r="3586" s="2" customFormat="1" ht="15.75"/>
    <row r="3587" s="2" customFormat="1" ht="15.75"/>
    <row r="3588" s="2" customFormat="1" ht="15.75"/>
    <row r="3589" s="2" customFormat="1" ht="15.75"/>
    <row r="3590" s="2" customFormat="1" ht="15.75"/>
    <row r="3591" s="2" customFormat="1" ht="15.75"/>
    <row r="3592" s="2" customFormat="1" ht="15.75"/>
    <row r="3593" s="2" customFormat="1" ht="15.75"/>
    <row r="3594" s="2" customFormat="1" ht="15.75"/>
    <row r="3595" s="2" customFormat="1" ht="15.75"/>
    <row r="3596" s="2" customFormat="1" ht="15.75"/>
    <row r="3597" s="2" customFormat="1" ht="15.75"/>
    <row r="3598" s="2" customFormat="1" ht="15.75"/>
    <row r="3599" s="2" customFormat="1" ht="15.75"/>
    <row r="3600" s="2" customFormat="1" ht="15.75"/>
    <row r="3601" s="2" customFormat="1" ht="15.75"/>
    <row r="3602" s="2" customFormat="1" ht="15.75"/>
    <row r="3603" s="2" customFormat="1" ht="15.75"/>
    <row r="3604" s="2" customFormat="1" ht="15.75"/>
    <row r="3605" s="2" customFormat="1" ht="15.75"/>
    <row r="3606" s="2" customFormat="1" ht="15.75"/>
    <row r="3607" s="2" customFormat="1" ht="15.75"/>
    <row r="3608" s="2" customFormat="1" ht="15.75"/>
    <row r="3609" s="2" customFormat="1" ht="15.75"/>
    <row r="3610" s="2" customFormat="1" ht="15.75"/>
    <row r="3611" s="2" customFormat="1" ht="15.75"/>
    <row r="3612" s="2" customFormat="1" ht="15.75"/>
    <row r="3613" s="2" customFormat="1" ht="15.75"/>
    <row r="3614" s="2" customFormat="1" ht="15.75"/>
    <row r="3615" s="2" customFormat="1" ht="15.75"/>
    <row r="3616" s="2" customFormat="1" ht="15.75"/>
    <row r="3617" s="2" customFormat="1" ht="15.75"/>
    <row r="3618" s="2" customFormat="1" ht="15.75"/>
    <row r="3619" s="2" customFormat="1" ht="15.75"/>
    <row r="3620" s="2" customFormat="1" ht="15.75"/>
    <row r="3621" s="2" customFormat="1" ht="15.75"/>
    <row r="3622" s="2" customFormat="1" ht="15.75"/>
    <row r="3623" s="2" customFormat="1" ht="15.75"/>
    <row r="3624" s="2" customFormat="1" ht="15.75"/>
    <row r="3625" s="2" customFormat="1" ht="15.75"/>
    <row r="3626" s="2" customFormat="1" ht="15.75"/>
    <row r="3627" s="2" customFormat="1" ht="15.75"/>
    <row r="3628" s="2" customFormat="1" ht="15.75"/>
    <row r="3629" s="2" customFormat="1" ht="15.75"/>
    <row r="3630" s="2" customFormat="1" ht="15.75"/>
    <row r="3631" s="2" customFormat="1" ht="15.75"/>
    <row r="3632" s="2" customFormat="1" ht="15.75"/>
    <row r="3633" s="2" customFormat="1" ht="15.75"/>
    <row r="3634" s="2" customFormat="1" ht="15.75"/>
    <row r="3635" s="2" customFormat="1" ht="15.75"/>
    <row r="3636" s="2" customFormat="1" ht="15.75"/>
    <row r="3637" s="2" customFormat="1" ht="15.75"/>
    <row r="3638" s="2" customFormat="1" ht="15.75"/>
    <row r="3639" s="2" customFormat="1" ht="15.75"/>
    <row r="3640" s="2" customFormat="1" ht="15.75"/>
    <row r="3641" s="2" customFormat="1" ht="15.75"/>
    <row r="3642" s="2" customFormat="1" ht="15.75"/>
    <row r="3643" s="2" customFormat="1" ht="15.75"/>
    <row r="3644" s="2" customFormat="1" ht="15.75"/>
    <row r="3645" s="2" customFormat="1" ht="15.75"/>
    <row r="3646" s="2" customFormat="1" ht="15.75"/>
    <row r="3647" s="2" customFormat="1" ht="15.75"/>
    <row r="3648" s="2" customFormat="1" ht="15.75"/>
    <row r="3649" s="2" customFormat="1" ht="15.75"/>
    <row r="3650" s="2" customFormat="1" ht="15.75"/>
    <row r="3651" s="2" customFormat="1" ht="15.75"/>
    <row r="3652" s="2" customFormat="1" ht="15.75"/>
    <row r="3653" s="2" customFormat="1" ht="15.75"/>
    <row r="3654" s="2" customFormat="1" ht="15.75"/>
    <row r="3655" s="2" customFormat="1" ht="15.75"/>
    <row r="3656" s="2" customFormat="1" ht="15.75"/>
    <row r="3657" s="2" customFormat="1" ht="15.75"/>
    <row r="3658" s="2" customFormat="1" ht="15.75"/>
    <row r="3659" s="2" customFormat="1" ht="15.75"/>
    <row r="3660" s="2" customFormat="1" ht="15.75"/>
    <row r="3661" s="2" customFormat="1" ht="15.75"/>
    <row r="3662" s="2" customFormat="1" ht="15.75"/>
    <row r="3663" s="2" customFormat="1" ht="15.75"/>
    <row r="3664" s="2" customFormat="1" ht="15.75"/>
    <row r="3665" s="2" customFormat="1" ht="15.75"/>
    <row r="3666" s="2" customFormat="1" ht="15.75"/>
    <row r="3667" s="2" customFormat="1" ht="15.75"/>
    <row r="3668" s="2" customFormat="1" ht="15.75"/>
    <row r="3669" s="2" customFormat="1" ht="15.75"/>
    <row r="3670" s="2" customFormat="1" ht="15.75"/>
    <row r="3671" s="2" customFormat="1" ht="15.75"/>
    <row r="3672" s="2" customFormat="1" ht="15.75"/>
    <row r="3673" s="2" customFormat="1" ht="15.75"/>
    <row r="3674" s="2" customFormat="1" ht="15.75"/>
    <row r="3675" s="2" customFormat="1" ht="15.75"/>
    <row r="3676" s="2" customFormat="1" ht="15.75"/>
    <row r="3677" s="2" customFormat="1" ht="15.75"/>
    <row r="3678" s="2" customFormat="1" ht="15.75"/>
    <row r="3679" s="2" customFormat="1" ht="15.75"/>
    <row r="3680" s="2" customFormat="1" ht="15.75"/>
    <row r="3681" s="2" customFormat="1" ht="15.75"/>
    <row r="3682" s="2" customFormat="1" ht="15.75"/>
    <row r="3683" s="2" customFormat="1" ht="15.75"/>
    <row r="3684" s="2" customFormat="1" ht="15.75"/>
    <row r="3685" s="2" customFormat="1" ht="15.75"/>
    <row r="3686" s="2" customFormat="1" ht="15.75"/>
    <row r="3687" s="2" customFormat="1" ht="15.75"/>
    <row r="3688" s="2" customFormat="1" ht="15.75"/>
    <row r="3689" s="2" customFormat="1" ht="15.75"/>
    <row r="3690" s="2" customFormat="1" ht="15.75"/>
    <row r="3691" s="2" customFormat="1" ht="15.75"/>
    <row r="3692" s="2" customFormat="1" ht="15.75"/>
    <row r="3693" s="2" customFormat="1" ht="15.75"/>
    <row r="3694" s="2" customFormat="1" ht="15.75"/>
    <row r="3695" s="2" customFormat="1" ht="15.75"/>
    <row r="3696" s="2" customFormat="1" ht="15.75"/>
    <row r="3697" s="2" customFormat="1" ht="15.75"/>
    <row r="3698" s="2" customFormat="1" ht="15.75"/>
    <row r="3699" s="2" customFormat="1" ht="15.75"/>
    <row r="3700" s="2" customFormat="1" ht="15.75"/>
    <row r="3701" s="2" customFormat="1" ht="15.75"/>
    <row r="3702" s="2" customFormat="1" ht="15.75"/>
    <row r="3703" s="2" customFormat="1" ht="15.75"/>
    <row r="3704" s="2" customFormat="1" ht="15.75"/>
    <row r="3705" s="2" customFormat="1" ht="15.75"/>
    <row r="3706" s="2" customFormat="1" ht="15.75"/>
    <row r="3707" s="2" customFormat="1" ht="15.75"/>
    <row r="3708" s="2" customFormat="1" ht="15.75"/>
    <row r="3709" s="2" customFormat="1" ht="15.75"/>
    <row r="3710" s="2" customFormat="1" ht="15.75"/>
    <row r="3711" s="2" customFormat="1" ht="15.75"/>
    <row r="3712" s="2" customFormat="1" ht="15.75"/>
    <row r="3713" s="2" customFormat="1" ht="15.75"/>
    <row r="3714" s="2" customFormat="1" ht="15.75"/>
    <row r="3715" s="2" customFormat="1" ht="15.75"/>
    <row r="3716" s="2" customFormat="1" ht="15.75"/>
    <row r="3717" s="2" customFormat="1" ht="15.75"/>
    <row r="3718" s="2" customFormat="1" ht="15.75"/>
    <row r="3719" s="2" customFormat="1" ht="15.75"/>
    <row r="3720" s="2" customFormat="1" ht="15.75"/>
    <row r="3721" s="2" customFormat="1" ht="15.75"/>
    <row r="3722" s="2" customFormat="1" ht="15.75"/>
    <row r="3723" s="2" customFormat="1" ht="15.75"/>
    <row r="3724" s="2" customFormat="1" ht="15.75"/>
    <row r="3725" s="2" customFormat="1" ht="15.75"/>
    <row r="3726" s="2" customFormat="1" ht="15.75"/>
    <row r="3727" s="2" customFormat="1" ht="15.75"/>
    <row r="3728" s="2" customFormat="1" ht="15.75"/>
    <row r="3729" s="2" customFormat="1" ht="15.75"/>
    <row r="3730" s="2" customFormat="1" ht="15.75"/>
    <row r="3731" s="2" customFormat="1" ht="15.75"/>
    <row r="3732" s="2" customFormat="1" ht="15.75"/>
    <row r="3733" s="2" customFormat="1" ht="15.75"/>
    <row r="3734" s="2" customFormat="1" ht="15.75"/>
    <row r="3735" s="2" customFormat="1" ht="15.75"/>
    <row r="3736" s="2" customFormat="1" ht="15.75"/>
    <row r="3737" s="2" customFormat="1" ht="15.75"/>
    <row r="3738" s="2" customFormat="1" ht="15.75"/>
    <row r="3739" s="2" customFormat="1" ht="15.75"/>
    <row r="3740" s="2" customFormat="1" ht="15.75"/>
    <row r="3741" s="2" customFormat="1" ht="15.75"/>
    <row r="3742" s="2" customFormat="1" ht="15.75"/>
    <row r="3743" s="2" customFormat="1" ht="15.75"/>
    <row r="3744" s="2" customFormat="1" ht="15.75"/>
    <row r="3745" s="2" customFormat="1" ht="15.75"/>
    <row r="3746" s="2" customFormat="1" ht="15.75"/>
    <row r="3747" s="2" customFormat="1" ht="15.75"/>
    <row r="3748" s="2" customFormat="1" ht="15.75"/>
    <row r="3749" s="2" customFormat="1" ht="15.75"/>
    <row r="3750" s="2" customFormat="1" ht="15.75"/>
    <row r="3751" s="2" customFormat="1" ht="15.75"/>
    <row r="3752" s="2" customFormat="1" ht="15.75"/>
    <row r="3753" s="2" customFormat="1" ht="15.75"/>
    <row r="3754" s="2" customFormat="1" ht="15.75"/>
    <row r="3755" s="2" customFormat="1" ht="15.75"/>
    <row r="3756" s="2" customFormat="1" ht="15.75"/>
    <row r="3757" s="2" customFormat="1" ht="15.75"/>
    <row r="3758" s="2" customFormat="1" ht="15.75"/>
    <row r="3759" s="2" customFormat="1" ht="15.75"/>
    <row r="3760" s="2" customFormat="1" ht="15.75"/>
    <row r="3761" s="2" customFormat="1" ht="15.75"/>
    <row r="3762" s="2" customFormat="1" ht="15.75"/>
    <row r="3763" s="2" customFormat="1" ht="15.75"/>
    <row r="3764" s="2" customFormat="1" ht="15.75"/>
    <row r="3765" s="2" customFormat="1" ht="15.75"/>
    <row r="3766" s="2" customFormat="1" ht="15.75"/>
    <row r="3767" s="2" customFormat="1" ht="15.75"/>
    <row r="3768" s="2" customFormat="1" ht="15.75"/>
    <row r="3769" s="2" customFormat="1" ht="15.75"/>
    <row r="3770" s="2" customFormat="1" ht="15.75"/>
    <row r="3771" s="2" customFormat="1" ht="15.75"/>
    <row r="3772" s="2" customFormat="1" ht="15.75"/>
    <row r="3773" s="2" customFormat="1" ht="15.75"/>
    <row r="3774" s="2" customFormat="1" ht="15.75"/>
    <row r="3775" s="2" customFormat="1" ht="15.75"/>
    <row r="3776" s="2" customFormat="1" ht="15.75"/>
    <row r="3777" s="2" customFormat="1" ht="15.75"/>
    <row r="3778" s="2" customFormat="1" ht="15.75"/>
    <row r="3779" s="2" customFormat="1" ht="15.75"/>
    <row r="3780" s="2" customFormat="1" ht="15.75"/>
    <row r="3781" s="2" customFormat="1" ht="15.75"/>
    <row r="3782" s="2" customFormat="1" ht="15.75"/>
    <row r="3783" s="2" customFormat="1" ht="15.75"/>
    <row r="3784" s="2" customFormat="1" ht="15.75"/>
    <row r="3785" s="2" customFormat="1" ht="15.75"/>
    <row r="3786" s="2" customFormat="1" ht="15.75"/>
    <row r="3787" s="2" customFormat="1" ht="15.75"/>
    <row r="3788" s="2" customFormat="1" ht="15.75"/>
    <row r="3789" s="2" customFormat="1" ht="15.75"/>
    <row r="3790" s="2" customFormat="1" ht="15.75"/>
    <row r="3791" s="2" customFormat="1" ht="15.75"/>
    <row r="3792" s="2" customFormat="1" ht="15.75"/>
    <row r="3793" s="2" customFormat="1" ht="15.75"/>
    <row r="3794" s="2" customFormat="1" ht="15.75"/>
    <row r="3795" s="2" customFormat="1" ht="15.75"/>
    <row r="3796" s="2" customFormat="1" ht="15.75"/>
    <row r="3797" s="2" customFormat="1" ht="15.75"/>
    <row r="3798" s="2" customFormat="1" ht="15.75"/>
    <row r="3799" s="2" customFormat="1" ht="15.75"/>
    <row r="3800" s="2" customFormat="1" ht="15.75"/>
    <row r="3801" s="2" customFormat="1" ht="15.75"/>
    <row r="3802" s="2" customFormat="1" ht="15.75"/>
    <row r="3803" s="2" customFormat="1" ht="15.75"/>
    <row r="3804" s="2" customFormat="1" ht="15.75"/>
    <row r="3805" s="2" customFormat="1" ht="15.75"/>
    <row r="3806" s="2" customFormat="1" ht="15.75"/>
    <row r="3807" s="2" customFormat="1" ht="15.75"/>
    <row r="3808" s="2" customFormat="1" ht="15.75"/>
    <row r="3809" s="2" customFormat="1" ht="15.75"/>
    <row r="3810" s="2" customFormat="1" ht="15.75"/>
    <row r="3811" s="2" customFormat="1" ht="15.75"/>
    <row r="3812" s="2" customFormat="1" ht="15.75"/>
    <row r="3813" s="2" customFormat="1" ht="15.75"/>
    <row r="3814" s="2" customFormat="1" ht="15.75"/>
    <row r="3815" s="2" customFormat="1" ht="15.75"/>
    <row r="3816" s="2" customFormat="1" ht="15.75"/>
    <row r="3817" s="2" customFormat="1" ht="15.75"/>
    <row r="3818" s="2" customFormat="1" ht="15.75"/>
    <row r="3819" s="2" customFormat="1" ht="15.75"/>
    <row r="3820" s="2" customFormat="1" ht="15.75"/>
    <row r="3821" s="2" customFormat="1" ht="15.75"/>
    <row r="3822" s="2" customFormat="1" ht="15.75"/>
    <row r="3823" s="2" customFormat="1" ht="15.75"/>
    <row r="3824" s="2" customFormat="1" ht="15.75"/>
    <row r="3825" s="2" customFormat="1" ht="15.75"/>
    <row r="3826" s="2" customFormat="1" ht="15.75"/>
    <row r="3827" s="2" customFormat="1" ht="15.75"/>
    <row r="3828" s="2" customFormat="1" ht="15.75"/>
    <row r="3829" s="2" customFormat="1" ht="15.75"/>
    <row r="3830" s="2" customFormat="1" ht="15.75"/>
    <row r="3831" s="2" customFormat="1" ht="15.75"/>
    <row r="3832" s="2" customFormat="1" ht="15.75"/>
    <row r="3833" s="2" customFormat="1" ht="15.75"/>
    <row r="3834" s="2" customFormat="1" ht="15.75"/>
    <row r="3835" s="2" customFormat="1" ht="15.75"/>
    <row r="3836" s="2" customFormat="1" ht="15.75"/>
    <row r="3837" s="2" customFormat="1" ht="15.75"/>
    <row r="3838" s="2" customFormat="1" ht="15.75"/>
    <row r="3839" s="2" customFormat="1" ht="15.75"/>
    <row r="3840" s="2" customFormat="1" ht="15.75"/>
    <row r="3841" s="2" customFormat="1" ht="15.75"/>
    <row r="3842" s="2" customFormat="1" ht="15.75"/>
    <row r="3843" s="2" customFormat="1" ht="15.75"/>
    <row r="3844" s="2" customFormat="1" ht="15.75"/>
    <row r="3845" s="2" customFormat="1" ht="15.75"/>
    <row r="3846" s="2" customFormat="1" ht="15.75"/>
    <row r="3847" s="2" customFormat="1" ht="15.75"/>
    <row r="3848" s="2" customFormat="1" ht="15.75"/>
    <row r="3849" s="2" customFormat="1" ht="15.75"/>
    <row r="3850" s="2" customFormat="1" ht="15.75"/>
    <row r="3851" s="2" customFormat="1" ht="15.75"/>
    <row r="3852" s="2" customFormat="1" ht="15.75"/>
    <row r="3853" s="2" customFormat="1" ht="15.75"/>
    <row r="3854" s="2" customFormat="1" ht="15.75"/>
    <row r="3855" s="2" customFormat="1" ht="15.75"/>
    <row r="3856" s="2" customFormat="1" ht="15.75"/>
    <row r="3857" s="2" customFormat="1" ht="15.75"/>
    <row r="3858" s="2" customFormat="1" ht="15.75"/>
    <row r="3859" s="2" customFormat="1" ht="15.75"/>
    <row r="3860" s="2" customFormat="1" ht="15.75"/>
    <row r="3861" s="2" customFormat="1" ht="15.75"/>
    <row r="3862" s="2" customFormat="1" ht="15.75"/>
    <row r="3863" s="2" customFormat="1" ht="15.75"/>
    <row r="3864" s="2" customFormat="1" ht="15.75"/>
    <row r="3865" s="2" customFormat="1" ht="15.75"/>
    <row r="3866" s="2" customFormat="1" ht="15.75"/>
    <row r="3867" s="2" customFormat="1" ht="15.75"/>
    <row r="3868" s="2" customFormat="1" ht="15.75"/>
    <row r="3869" s="2" customFormat="1" ht="15.75"/>
    <row r="3870" s="2" customFormat="1" ht="15.75"/>
    <row r="3871" s="2" customFormat="1" ht="15.75"/>
    <row r="3872" s="2" customFormat="1" ht="15.75"/>
    <row r="3873" s="2" customFormat="1" ht="15.75"/>
    <row r="3874" s="2" customFormat="1" ht="15.75"/>
    <row r="3875" s="2" customFormat="1" ht="15.75"/>
    <row r="3876" s="2" customFormat="1" ht="15.75"/>
    <row r="3877" s="2" customFormat="1" ht="15.75"/>
    <row r="3878" s="2" customFormat="1" ht="15.75"/>
    <row r="3879" s="2" customFormat="1" ht="15.75"/>
    <row r="3880" s="2" customFormat="1" ht="15.75"/>
    <row r="3881" s="2" customFormat="1" ht="15.75"/>
    <row r="3882" s="2" customFormat="1" ht="15.75"/>
    <row r="3883" s="2" customFormat="1" ht="15.75"/>
    <row r="3884" s="2" customFormat="1" ht="15.75"/>
    <row r="3885" s="2" customFormat="1" ht="15.75"/>
    <row r="3886" s="2" customFormat="1" ht="15.75"/>
    <row r="3887" s="2" customFormat="1" ht="15.75"/>
    <row r="3888" s="2" customFormat="1" ht="15.75"/>
    <row r="3889" s="2" customFormat="1" ht="15.75"/>
    <row r="3890" s="2" customFormat="1" ht="15.75"/>
    <row r="3891" s="2" customFormat="1" ht="15.75"/>
    <row r="3892" s="2" customFormat="1" ht="15.75"/>
    <row r="3893" s="2" customFormat="1" ht="15.75"/>
    <row r="3894" s="2" customFormat="1" ht="15.75"/>
    <row r="3895" s="2" customFormat="1" ht="15.75"/>
    <row r="3896" s="2" customFormat="1" ht="15.75"/>
    <row r="3897" s="2" customFormat="1" ht="15.75"/>
    <row r="3898" s="2" customFormat="1" ht="15.75"/>
    <row r="3899" s="2" customFormat="1" ht="15.75"/>
    <row r="3900" s="2" customFormat="1" ht="15.75"/>
    <row r="3901" s="2" customFormat="1" ht="15.75"/>
    <row r="3902" s="2" customFormat="1" ht="15.75"/>
    <row r="3903" s="2" customFormat="1" ht="15.75"/>
    <row r="3904" s="2" customFormat="1" ht="15.75"/>
    <row r="3905" s="2" customFormat="1" ht="15.75"/>
    <row r="3906" s="2" customFormat="1" ht="15.75"/>
    <row r="3907" s="2" customFormat="1" ht="15.75"/>
    <row r="3908" s="2" customFormat="1" ht="15.75"/>
    <row r="3909" s="2" customFormat="1" ht="15.75"/>
    <row r="3910" s="2" customFormat="1" ht="15.75"/>
    <row r="3911" s="2" customFormat="1" ht="15.75"/>
    <row r="3912" s="2" customFormat="1" ht="15.75"/>
    <row r="3913" s="2" customFormat="1" ht="15.75"/>
    <row r="3914" s="2" customFormat="1" ht="15.75"/>
    <row r="3915" s="2" customFormat="1" ht="15.75"/>
    <row r="3916" s="2" customFormat="1" ht="15.75"/>
    <row r="3917" s="2" customFormat="1" ht="15.75"/>
    <row r="3918" s="2" customFormat="1" ht="15.75"/>
    <row r="3919" s="2" customFormat="1" ht="15.75"/>
    <row r="3920" s="2" customFormat="1" ht="15.75"/>
    <row r="3921" s="2" customFormat="1" ht="15.75"/>
    <row r="3922" s="2" customFormat="1" ht="15.75"/>
    <row r="3923" s="2" customFormat="1" ht="15.75"/>
    <row r="3924" s="2" customFormat="1" ht="15.75"/>
    <row r="3925" s="2" customFormat="1" ht="15.75"/>
    <row r="3926" s="2" customFormat="1" ht="15.75"/>
    <row r="3927" s="2" customFormat="1" ht="15.75"/>
    <row r="3928" s="2" customFormat="1" ht="15.75"/>
    <row r="3929" s="2" customFormat="1" ht="15.75"/>
    <row r="3930" s="2" customFormat="1" ht="15.75"/>
    <row r="3931" s="2" customFormat="1" ht="15.75"/>
    <row r="3932" s="2" customFormat="1" ht="15.75"/>
    <row r="3933" s="2" customFormat="1" ht="15.75"/>
    <row r="3934" s="2" customFormat="1" ht="15.75"/>
    <row r="3935" s="2" customFormat="1" ht="15.75"/>
    <row r="3936" s="2" customFormat="1" ht="15.75"/>
    <row r="3937" s="2" customFormat="1" ht="15.75"/>
    <row r="3938" s="2" customFormat="1" ht="15.75"/>
    <row r="3939" s="2" customFormat="1" ht="15.75"/>
    <row r="3940" s="2" customFormat="1" ht="15.75"/>
    <row r="3941" s="2" customFormat="1" ht="15.75"/>
    <row r="3942" s="2" customFormat="1" ht="15.75"/>
    <row r="3943" s="2" customFormat="1" ht="15.75"/>
    <row r="3944" s="2" customFormat="1" ht="15.75"/>
    <row r="3945" s="2" customFormat="1" ht="15.75"/>
    <row r="3946" s="2" customFormat="1" ht="15.75"/>
    <row r="3947" s="2" customFormat="1" ht="15.75"/>
    <row r="3948" s="2" customFormat="1" ht="15.75"/>
    <row r="3949" s="2" customFormat="1" ht="15.75"/>
    <row r="3950" s="2" customFormat="1" ht="15.75"/>
    <row r="3951" s="2" customFormat="1" ht="15.75"/>
    <row r="3952" s="2" customFormat="1" ht="15.75"/>
    <row r="3953" s="2" customFormat="1" ht="15.75"/>
    <row r="3954" s="2" customFormat="1" ht="15.75"/>
    <row r="3955" s="2" customFormat="1" ht="15.75"/>
    <row r="3956" s="2" customFormat="1" ht="15.75"/>
    <row r="3957" s="2" customFormat="1" ht="15.75"/>
    <row r="3958" s="2" customFormat="1" ht="15.75"/>
    <row r="3959" s="2" customFormat="1" ht="15.75"/>
    <row r="3960" s="2" customFormat="1" ht="15.75"/>
    <row r="3961" s="2" customFormat="1" ht="15.75"/>
    <row r="3962" s="2" customFormat="1" ht="15.75"/>
    <row r="3963" s="2" customFormat="1" ht="15.75"/>
    <row r="3964" s="2" customFormat="1" ht="15.75"/>
    <row r="3965" s="2" customFormat="1" ht="15.75"/>
    <row r="3966" s="2" customFormat="1" ht="15.75"/>
    <row r="3967" s="2" customFormat="1" ht="15.75"/>
    <row r="3968" s="2" customFormat="1" ht="15.75"/>
    <row r="3969" s="2" customFormat="1" ht="15.75"/>
    <row r="3970" s="2" customFormat="1" ht="15.75"/>
    <row r="3971" s="2" customFormat="1" ht="15.75"/>
    <row r="3972" s="2" customFormat="1" ht="15.75"/>
    <row r="3973" s="2" customFormat="1" ht="15.75"/>
    <row r="3974" s="2" customFormat="1" ht="15.75"/>
    <row r="3975" s="2" customFormat="1" ht="15.75"/>
    <row r="3976" s="2" customFormat="1" ht="15.75"/>
    <row r="3977" s="2" customFormat="1" ht="15.75"/>
    <row r="3978" s="2" customFormat="1" ht="15.75"/>
    <row r="3979" s="2" customFormat="1" ht="15.75"/>
    <row r="3980" s="2" customFormat="1" ht="15.75"/>
    <row r="3981" s="2" customFormat="1" ht="15.75"/>
    <row r="3982" s="2" customFormat="1" ht="15.75"/>
    <row r="3983" s="2" customFormat="1" ht="15.75"/>
    <row r="3984" s="2" customFormat="1" ht="15.75"/>
    <row r="3985" s="2" customFormat="1" ht="15.75"/>
    <row r="3986" s="2" customFormat="1" ht="15.75"/>
    <row r="3987" s="2" customFormat="1" ht="15.75"/>
    <row r="3988" s="2" customFormat="1" ht="15.75"/>
    <row r="3989" s="2" customFormat="1" ht="15.75"/>
    <row r="3990" s="2" customFormat="1" ht="15.75"/>
    <row r="3991" s="2" customFormat="1" ht="15.75"/>
    <row r="3992" s="2" customFormat="1" ht="15.75"/>
    <row r="3993" s="2" customFormat="1" ht="15.75"/>
    <row r="3994" s="2" customFormat="1" ht="15.75"/>
    <row r="3995" s="2" customFormat="1" ht="15.75"/>
    <row r="3996" s="2" customFormat="1" ht="15.75"/>
    <row r="3997" s="2" customFormat="1" ht="15.75"/>
    <row r="3998" s="2" customFormat="1" ht="15.75"/>
    <row r="3999" s="2" customFormat="1" ht="15.75"/>
    <row r="4000" s="2" customFormat="1" ht="15.75"/>
    <row r="4001" s="2" customFormat="1" ht="15.75"/>
    <row r="4002" s="2" customFormat="1" ht="15.75"/>
    <row r="4003" s="2" customFormat="1" ht="15.75"/>
    <row r="4004" s="2" customFormat="1" ht="15.75"/>
    <row r="4005" s="2" customFormat="1" ht="15.75"/>
    <row r="4006" s="2" customFormat="1" ht="15.75"/>
    <row r="4007" s="2" customFormat="1" ht="15.75"/>
    <row r="4008" s="2" customFormat="1" ht="15.75"/>
    <row r="4009" s="2" customFormat="1" ht="15.75"/>
    <row r="4010" s="2" customFormat="1" ht="15.75"/>
    <row r="4011" s="2" customFormat="1" ht="15.75"/>
    <row r="4012" s="2" customFormat="1" ht="15.75"/>
    <row r="4013" s="2" customFormat="1" ht="15.75"/>
    <row r="4014" s="2" customFormat="1" ht="15.75"/>
    <row r="4015" s="2" customFormat="1" ht="15.75"/>
    <row r="4016" s="2" customFormat="1" ht="15.75"/>
    <row r="4017" s="2" customFormat="1" ht="15.75"/>
    <row r="4018" s="2" customFormat="1" ht="15.75"/>
    <row r="4019" s="2" customFormat="1" ht="15.75"/>
    <row r="4020" s="2" customFormat="1" ht="15.75"/>
    <row r="4021" s="2" customFormat="1" ht="15.75"/>
    <row r="4022" s="2" customFormat="1" ht="15.75"/>
    <row r="4023" s="2" customFormat="1" ht="15.75"/>
    <row r="4024" s="2" customFormat="1" ht="15.75"/>
    <row r="4025" s="2" customFormat="1" ht="15.75"/>
    <row r="4026" s="2" customFormat="1" ht="15.75"/>
    <row r="4027" s="2" customFormat="1" ht="15.75"/>
    <row r="4028" s="2" customFormat="1" ht="15.75"/>
    <row r="4029" s="2" customFormat="1" ht="15.75"/>
    <row r="4030" s="2" customFormat="1" ht="15.75"/>
    <row r="4031" s="2" customFormat="1" ht="15.75"/>
    <row r="4032" s="2" customFormat="1" ht="15.75"/>
    <row r="4033" s="2" customFormat="1" ht="15.75"/>
    <row r="4034" s="2" customFormat="1" ht="15.75"/>
    <row r="4035" s="2" customFormat="1" ht="15.75"/>
    <row r="4036" s="2" customFormat="1" ht="15.75"/>
    <row r="4037" s="2" customFormat="1" ht="15.75"/>
    <row r="4038" s="2" customFormat="1" ht="15.75"/>
    <row r="4039" s="2" customFormat="1" ht="15.75"/>
    <row r="4040" s="2" customFormat="1" ht="15.75"/>
    <row r="4041" s="2" customFormat="1" ht="15.75"/>
    <row r="4042" s="2" customFormat="1" ht="15.75"/>
    <row r="4043" s="2" customFormat="1" ht="15.75"/>
    <row r="4044" s="2" customFormat="1" ht="15.75"/>
    <row r="4045" s="2" customFormat="1" ht="15.75"/>
    <row r="4046" s="2" customFormat="1" ht="15.75"/>
    <row r="4047" s="2" customFormat="1" ht="15.75"/>
    <row r="4048" s="2" customFormat="1" ht="15.75"/>
    <row r="4049" s="2" customFormat="1" ht="15.75"/>
    <row r="4050" s="2" customFormat="1" ht="15.75"/>
    <row r="4051" s="2" customFormat="1" ht="15.75"/>
    <row r="4052" s="2" customFormat="1" ht="15.75"/>
    <row r="4053" s="2" customFormat="1" ht="15.75"/>
    <row r="4054" s="2" customFormat="1" ht="15.75"/>
    <row r="4055" s="2" customFormat="1" ht="15.75"/>
    <row r="4056" s="2" customFormat="1" ht="15.75"/>
    <row r="4057" s="2" customFormat="1" ht="15.75"/>
    <row r="4058" s="2" customFormat="1" ht="15.75"/>
    <row r="4059" s="2" customFormat="1" ht="15.75"/>
    <row r="4060" s="2" customFormat="1" ht="15.75"/>
    <row r="4061" s="2" customFormat="1" ht="15.75"/>
    <row r="4062" s="2" customFormat="1" ht="15.75"/>
    <row r="4063" s="2" customFormat="1" ht="15.75"/>
    <row r="4064" s="2" customFormat="1" ht="15.75"/>
    <row r="4065" s="2" customFormat="1" ht="15.75"/>
    <row r="4066" s="2" customFormat="1" ht="15.75"/>
    <row r="4067" s="2" customFormat="1" ht="15.75"/>
    <row r="4068" s="2" customFormat="1" ht="15.75"/>
    <row r="4069" s="2" customFormat="1" ht="15.75"/>
    <row r="4070" s="2" customFormat="1" ht="15.75"/>
    <row r="4071" s="2" customFormat="1" ht="15.75"/>
    <row r="4072" s="2" customFormat="1" ht="15.75"/>
    <row r="4073" s="2" customFormat="1" ht="15.75"/>
    <row r="4074" s="2" customFormat="1" ht="15.75"/>
    <row r="4075" s="2" customFormat="1" ht="15.75"/>
    <row r="4076" s="2" customFormat="1" ht="15.75"/>
    <row r="4077" s="2" customFormat="1" ht="15.75"/>
    <row r="4078" s="2" customFormat="1" ht="15.75"/>
    <row r="4079" s="2" customFormat="1" ht="15.75"/>
    <row r="4080" s="2" customFormat="1" ht="15.75"/>
    <row r="4081" s="2" customFormat="1" ht="15.75"/>
    <row r="4082" s="2" customFormat="1" ht="15.75"/>
    <row r="4083" s="2" customFormat="1" ht="15.75"/>
    <row r="4084" s="2" customFormat="1" ht="15.75"/>
    <row r="4085" s="2" customFormat="1" ht="15.75"/>
    <row r="4086" s="2" customFormat="1" ht="15.75"/>
    <row r="4087" s="2" customFormat="1" ht="15.75"/>
    <row r="4088" s="2" customFormat="1" ht="15.75"/>
    <row r="4089" s="2" customFormat="1" ht="15.75"/>
    <row r="4090" s="2" customFormat="1" ht="15.75"/>
    <row r="4091" s="2" customFormat="1" ht="15.75"/>
    <row r="4092" s="2" customFormat="1" ht="15.75"/>
    <row r="4093" s="2" customFormat="1" ht="15.75"/>
    <row r="4094" s="2" customFormat="1" ht="15.75"/>
    <row r="4095" s="2" customFormat="1" ht="15.75"/>
    <row r="4096" s="2" customFormat="1" ht="15.75"/>
    <row r="4097" s="2" customFormat="1" ht="15.75"/>
    <row r="4098" s="2" customFormat="1" ht="15.75"/>
    <row r="4099" s="2" customFormat="1" ht="15.75"/>
    <row r="4100" s="2" customFormat="1" ht="15.75"/>
    <row r="4101" s="2" customFormat="1" ht="15.75"/>
    <row r="4102" s="2" customFormat="1" ht="15.75"/>
    <row r="4103" s="2" customFormat="1" ht="15.75"/>
    <row r="4104" s="2" customFormat="1" ht="15.75"/>
    <row r="4105" s="2" customFormat="1" ht="15.75"/>
    <row r="4106" s="2" customFormat="1" ht="15.75"/>
    <row r="4107" s="2" customFormat="1" ht="15.75"/>
    <row r="4108" s="2" customFormat="1" ht="15.75"/>
    <row r="4109" s="2" customFormat="1" ht="15.75"/>
    <row r="4110" s="2" customFormat="1" ht="15.75"/>
    <row r="4111" s="2" customFormat="1" ht="15.75"/>
    <row r="4112" s="2" customFormat="1" ht="15.75"/>
    <row r="4113" s="2" customFormat="1" ht="15.75"/>
    <row r="4114" s="2" customFormat="1" ht="15.75"/>
    <row r="4115" s="2" customFormat="1" ht="15.75"/>
    <row r="4116" s="2" customFormat="1" ht="15.75"/>
    <row r="4117" s="2" customFormat="1" ht="15.75"/>
    <row r="4118" s="2" customFormat="1" ht="15.75"/>
    <row r="4119" s="2" customFormat="1" ht="15.75"/>
    <row r="4120" s="2" customFormat="1" ht="15.75"/>
    <row r="4121" s="2" customFormat="1" ht="15.75"/>
    <row r="4122" s="2" customFormat="1" ht="15.75"/>
    <row r="4123" s="2" customFormat="1" ht="15.75"/>
    <row r="4124" s="2" customFormat="1" ht="15.75"/>
    <row r="4125" s="2" customFormat="1" ht="15.75"/>
    <row r="4126" s="2" customFormat="1" ht="15.75"/>
    <row r="4127" s="2" customFormat="1" ht="15.75"/>
    <row r="4128" s="2" customFormat="1" ht="15.75"/>
    <row r="4129" s="2" customFormat="1" ht="15.75"/>
    <row r="4130" s="2" customFormat="1" ht="15.75"/>
    <row r="4131" s="2" customFormat="1" ht="15.75"/>
    <row r="4132" s="2" customFormat="1" ht="15.75"/>
    <row r="4133" s="2" customFormat="1" ht="15.75"/>
    <row r="4134" s="2" customFormat="1" ht="15.75"/>
    <row r="4135" s="2" customFormat="1" ht="15.75"/>
    <row r="4136" s="2" customFormat="1" ht="15.75"/>
    <row r="4137" s="2" customFormat="1" ht="15.75"/>
    <row r="4138" s="2" customFormat="1" ht="15.75"/>
    <row r="4139" s="2" customFormat="1" ht="15.75"/>
    <row r="4140" s="2" customFormat="1" ht="15.75"/>
    <row r="4141" s="2" customFormat="1" ht="15.75"/>
    <row r="4142" s="2" customFormat="1" ht="15.75"/>
    <row r="4143" s="2" customFormat="1" ht="15.75"/>
    <row r="4144" s="2" customFormat="1" ht="15.75"/>
    <row r="4145" s="2" customFormat="1" ht="15.75"/>
    <row r="4146" s="2" customFormat="1" ht="15.75"/>
    <row r="4147" s="2" customFormat="1" ht="15.75"/>
    <row r="4148" s="2" customFormat="1" ht="15.75"/>
    <row r="4149" s="2" customFormat="1" ht="15.75"/>
    <row r="4150" s="2" customFormat="1" ht="15.75"/>
    <row r="4151" s="2" customFormat="1" ht="15.75"/>
    <row r="4152" s="2" customFormat="1" ht="15.75"/>
    <row r="4153" s="2" customFormat="1" ht="15.75"/>
    <row r="4154" s="2" customFormat="1" ht="15.75"/>
    <row r="4155" s="2" customFormat="1" ht="15.75"/>
    <row r="4156" s="2" customFormat="1" ht="15.75"/>
    <row r="4157" s="2" customFormat="1" ht="15.75"/>
    <row r="4158" s="2" customFormat="1" ht="15.75"/>
    <row r="4159" s="2" customFormat="1" ht="15.75"/>
    <row r="4160" s="2" customFormat="1" ht="15.75"/>
    <row r="4161" s="2" customFormat="1" ht="15.75"/>
    <row r="4162" s="2" customFormat="1" ht="15.75"/>
    <row r="4163" s="2" customFormat="1" ht="15.75"/>
    <row r="4164" s="2" customFormat="1" ht="15.75"/>
    <row r="4165" s="2" customFormat="1" ht="15.75"/>
  </sheetData>
  <pageMargins left="0.75" right="0.75" top="1" bottom="1" header="0.5" footer="0.5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3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STPP</vt:lpstr>
      <vt:lpstr>Maintenance</vt:lpstr>
      <vt:lpstr>Dropdown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IT SIG</cp:lastModifiedBy>
  <dcterms:created xsi:type="dcterms:W3CDTF">2025-08-08T09:15:00Z</dcterms:created>
  <dcterms:modified xsi:type="dcterms:W3CDTF">2026-09-01T09:05:31Z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3BE26559750F4375A38C71EC2936F76F_11</vt:lpwstr>
  </property>
  <property fmtid="{D5CDD505-2E9C-101B-9397-08002B2CF9AE}" pid="3" name="KSOProductBuildVer">
    <vt:lpwstr>2057-12.2.0.23206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